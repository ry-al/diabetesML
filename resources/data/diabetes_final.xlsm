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82e098c687f58b7/Documents/RU Data Science Bootcamp/diabetesML/resources/data/"/>
    </mc:Choice>
  </mc:AlternateContent>
  <xr:revisionPtr revIDLastSave="2" documentId="13_ncr:40009_{7DB816BB-24BA-4578-9681-7DCF6AC5528F}" xr6:coauthVersionLast="45" xr6:coauthVersionMax="45" xr10:uidLastSave="{BD0868B5-D848-4E93-8D4D-71524E5B7523}"/>
  <bookViews>
    <workbookView xWindow="20370" yWindow="-120" windowWidth="29040" windowHeight="15840" activeTab="1" xr2:uid="{00000000-000D-0000-FFFF-FFFF00000000}"/>
  </bookViews>
  <sheets>
    <sheet name="Sheet2" sheetId="3" r:id="rId1"/>
    <sheet name="diabetes_final" sheetId="1" r:id="rId2"/>
  </sheets>
  <externalReferences>
    <externalReference r:id="rId3"/>
  </externalReferences>
  <definedNames>
    <definedName name="_xlnm._FilterDatabase" localSheetId="1" hidden="1">diabetes_final!$B$1:$W$2001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" i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" i="1"/>
  <c r="T2" i="1"/>
  <c r="U2" i="1" l="1"/>
  <c r="V2" i="1" s="1"/>
  <c r="T3" i="1"/>
  <c r="T4" i="1"/>
  <c r="U3" i="1" l="1"/>
  <c r="V3" i="1" s="1"/>
  <c r="U4" i="1"/>
  <c r="V4" i="1" s="1"/>
  <c r="T5" i="1"/>
  <c r="U5" i="1" l="1"/>
  <c r="V5" i="1" s="1"/>
  <c r="T6" i="1"/>
  <c r="U6" i="1" l="1"/>
  <c r="V6" i="1" s="1"/>
  <c r="T7" i="1"/>
  <c r="U7" i="1" l="1"/>
  <c r="V7" i="1" s="1"/>
  <c r="T8" i="1"/>
  <c r="U8" i="1" l="1"/>
  <c r="V8" i="1" s="1"/>
  <c r="T9" i="1"/>
  <c r="U9" i="1" l="1"/>
  <c r="V9" i="1" s="1"/>
  <c r="T10" i="1"/>
  <c r="U10" i="1" l="1"/>
  <c r="V10" i="1" s="1"/>
  <c r="T11" i="1"/>
  <c r="U11" i="1" l="1"/>
  <c r="V11" i="1" s="1"/>
  <c r="T12" i="1"/>
  <c r="U12" i="1" l="1"/>
  <c r="V12" i="1" s="1"/>
  <c r="T13" i="1"/>
  <c r="U13" i="1" l="1"/>
  <c r="V13" i="1" s="1"/>
  <c r="T14" i="1"/>
  <c r="U14" i="1" l="1"/>
  <c r="V14" i="1" s="1"/>
  <c r="T15" i="1"/>
  <c r="U15" i="1" l="1"/>
  <c r="V15" i="1" s="1"/>
  <c r="T16" i="1"/>
  <c r="U16" i="1" l="1"/>
  <c r="V16" i="1" s="1"/>
  <c r="T17" i="1"/>
  <c r="U17" i="1" l="1"/>
  <c r="V17" i="1" s="1"/>
  <c r="T18" i="1"/>
  <c r="U18" i="1" l="1"/>
  <c r="V18" i="1" s="1"/>
  <c r="T19" i="1"/>
  <c r="U19" i="1" l="1"/>
  <c r="V19" i="1" s="1"/>
  <c r="T20" i="1"/>
  <c r="U20" i="1" l="1"/>
  <c r="V20" i="1" s="1"/>
  <c r="T21" i="1"/>
  <c r="U21" i="1" l="1"/>
  <c r="V21" i="1" s="1"/>
  <c r="T22" i="1"/>
  <c r="U22" i="1" l="1"/>
  <c r="V22" i="1" s="1"/>
  <c r="T23" i="1"/>
  <c r="U23" i="1" l="1"/>
  <c r="V23" i="1" s="1"/>
  <c r="T24" i="1"/>
  <c r="U24" i="1" l="1"/>
  <c r="V24" i="1" s="1"/>
  <c r="T25" i="1"/>
  <c r="U25" i="1" l="1"/>
  <c r="V25" i="1" s="1"/>
  <c r="T26" i="1"/>
  <c r="U26" i="1" l="1"/>
  <c r="V26" i="1" s="1"/>
  <c r="T27" i="1"/>
  <c r="U27" i="1" l="1"/>
  <c r="V27" i="1" s="1"/>
  <c r="T28" i="1"/>
  <c r="U28" i="1" l="1"/>
  <c r="V28" i="1" s="1"/>
  <c r="T29" i="1"/>
  <c r="U29" i="1" l="1"/>
  <c r="V29" i="1" s="1"/>
  <c r="T30" i="1"/>
  <c r="U30" i="1" l="1"/>
  <c r="V30" i="1" s="1"/>
  <c r="T31" i="1"/>
  <c r="U31" i="1" l="1"/>
  <c r="V31" i="1" s="1"/>
  <c r="T32" i="1"/>
  <c r="U32" i="1" l="1"/>
  <c r="V32" i="1" s="1"/>
  <c r="T33" i="1"/>
  <c r="U33" i="1" l="1"/>
  <c r="V33" i="1" s="1"/>
  <c r="T34" i="1"/>
  <c r="U34" i="1" l="1"/>
  <c r="V34" i="1" s="1"/>
  <c r="T35" i="1"/>
  <c r="U35" i="1" l="1"/>
  <c r="V35" i="1" s="1"/>
  <c r="T36" i="1"/>
  <c r="U36" i="1" l="1"/>
  <c r="V36" i="1" s="1"/>
  <c r="T37" i="1"/>
  <c r="U37" i="1" l="1"/>
  <c r="V37" i="1" s="1"/>
  <c r="T38" i="1"/>
  <c r="U38" i="1" l="1"/>
  <c r="V38" i="1" s="1"/>
  <c r="T39" i="1"/>
  <c r="U39" i="1" l="1"/>
  <c r="V39" i="1" s="1"/>
  <c r="T40" i="1"/>
  <c r="U40" i="1" l="1"/>
  <c r="V40" i="1" s="1"/>
  <c r="T41" i="1"/>
  <c r="U41" i="1" l="1"/>
  <c r="V41" i="1" s="1"/>
  <c r="T42" i="1"/>
  <c r="U42" i="1" l="1"/>
  <c r="V42" i="1" s="1"/>
  <c r="T43" i="1"/>
  <c r="U43" i="1" l="1"/>
  <c r="V43" i="1" s="1"/>
  <c r="T44" i="1"/>
  <c r="U44" i="1" l="1"/>
  <c r="V44" i="1" s="1"/>
  <c r="T45" i="1"/>
  <c r="U45" i="1" l="1"/>
  <c r="V45" i="1" s="1"/>
  <c r="T46" i="1"/>
  <c r="U46" i="1" l="1"/>
  <c r="V46" i="1" s="1"/>
  <c r="T47" i="1"/>
  <c r="U47" i="1" l="1"/>
  <c r="V47" i="1" s="1"/>
  <c r="T48" i="1"/>
  <c r="U48" i="1" l="1"/>
  <c r="V48" i="1" s="1"/>
  <c r="T49" i="1"/>
  <c r="U49" i="1" l="1"/>
  <c r="V49" i="1" s="1"/>
  <c r="T50" i="1"/>
  <c r="U50" i="1" l="1"/>
  <c r="V50" i="1" s="1"/>
  <c r="T51" i="1"/>
  <c r="U51" i="1" l="1"/>
  <c r="V51" i="1" s="1"/>
  <c r="T52" i="1"/>
  <c r="U52" i="1" l="1"/>
  <c r="V52" i="1" s="1"/>
  <c r="T53" i="1"/>
  <c r="U53" i="1" l="1"/>
  <c r="V53" i="1" s="1"/>
  <c r="T54" i="1"/>
  <c r="U54" i="1" l="1"/>
  <c r="V54" i="1" s="1"/>
  <c r="T55" i="1"/>
  <c r="U55" i="1" l="1"/>
  <c r="V55" i="1" s="1"/>
  <c r="T56" i="1"/>
  <c r="U56" i="1" l="1"/>
  <c r="V56" i="1" s="1"/>
  <c r="T57" i="1"/>
  <c r="U57" i="1" l="1"/>
  <c r="V57" i="1" s="1"/>
  <c r="T58" i="1"/>
  <c r="U58" i="1" l="1"/>
  <c r="V58" i="1" s="1"/>
  <c r="T59" i="1"/>
  <c r="U59" i="1" l="1"/>
  <c r="V59" i="1" s="1"/>
  <c r="T60" i="1"/>
  <c r="U60" i="1" l="1"/>
  <c r="V60" i="1" s="1"/>
  <c r="T61" i="1"/>
  <c r="U61" i="1" l="1"/>
  <c r="V61" i="1" s="1"/>
  <c r="T62" i="1"/>
  <c r="U62" i="1" l="1"/>
  <c r="V62" i="1" s="1"/>
  <c r="T63" i="1"/>
  <c r="U63" i="1" l="1"/>
  <c r="V63" i="1" s="1"/>
  <c r="T64" i="1"/>
  <c r="U64" i="1" l="1"/>
  <c r="V64" i="1" s="1"/>
  <c r="T65" i="1"/>
  <c r="U65" i="1" l="1"/>
  <c r="V65" i="1" s="1"/>
  <c r="T66" i="1"/>
  <c r="U66" i="1" l="1"/>
  <c r="V66" i="1" s="1"/>
  <c r="T67" i="1"/>
  <c r="U67" i="1" l="1"/>
  <c r="V67" i="1" s="1"/>
  <c r="T68" i="1"/>
  <c r="U68" i="1" l="1"/>
  <c r="V68" i="1" s="1"/>
  <c r="T69" i="1"/>
  <c r="U69" i="1" l="1"/>
  <c r="V69" i="1" s="1"/>
  <c r="T70" i="1"/>
  <c r="U70" i="1" l="1"/>
  <c r="V70" i="1" s="1"/>
  <c r="T71" i="1"/>
  <c r="U71" i="1" l="1"/>
  <c r="V71" i="1" s="1"/>
  <c r="T72" i="1"/>
  <c r="U72" i="1" l="1"/>
  <c r="V72" i="1" s="1"/>
  <c r="T73" i="1"/>
  <c r="U73" i="1" l="1"/>
  <c r="V73" i="1" s="1"/>
  <c r="T74" i="1"/>
  <c r="U74" i="1" l="1"/>
  <c r="V74" i="1" s="1"/>
  <c r="T75" i="1"/>
  <c r="U75" i="1" l="1"/>
  <c r="V75" i="1" s="1"/>
  <c r="T76" i="1"/>
  <c r="U76" i="1" l="1"/>
  <c r="V76" i="1" s="1"/>
  <c r="T77" i="1"/>
  <c r="U77" i="1" l="1"/>
  <c r="V77" i="1" s="1"/>
  <c r="T78" i="1"/>
  <c r="U78" i="1" l="1"/>
  <c r="V78" i="1" s="1"/>
  <c r="T79" i="1"/>
  <c r="U79" i="1" l="1"/>
  <c r="V79" i="1" s="1"/>
  <c r="T80" i="1"/>
  <c r="U80" i="1" l="1"/>
  <c r="V80" i="1" s="1"/>
  <c r="T81" i="1"/>
  <c r="U81" i="1" l="1"/>
  <c r="V81" i="1" s="1"/>
  <c r="T82" i="1"/>
  <c r="U82" i="1" l="1"/>
  <c r="V82" i="1" s="1"/>
  <c r="T83" i="1"/>
  <c r="U83" i="1" l="1"/>
  <c r="V83" i="1" s="1"/>
  <c r="T84" i="1"/>
  <c r="U84" i="1" l="1"/>
  <c r="V84" i="1" s="1"/>
  <c r="T85" i="1"/>
  <c r="U85" i="1" l="1"/>
  <c r="V85" i="1" s="1"/>
  <c r="T86" i="1"/>
  <c r="U86" i="1" l="1"/>
  <c r="V86" i="1" s="1"/>
  <c r="T87" i="1"/>
  <c r="U87" i="1" l="1"/>
  <c r="V87" i="1" s="1"/>
  <c r="T88" i="1"/>
  <c r="U88" i="1" l="1"/>
  <c r="V88" i="1" s="1"/>
  <c r="T89" i="1"/>
  <c r="U89" i="1" l="1"/>
  <c r="V89" i="1" s="1"/>
  <c r="T90" i="1"/>
  <c r="U90" i="1" l="1"/>
  <c r="V90" i="1" s="1"/>
  <c r="T91" i="1"/>
  <c r="U91" i="1" l="1"/>
  <c r="V91" i="1" s="1"/>
  <c r="T92" i="1"/>
  <c r="U92" i="1" l="1"/>
  <c r="V92" i="1" s="1"/>
  <c r="T93" i="1"/>
  <c r="U93" i="1" l="1"/>
  <c r="V93" i="1" s="1"/>
  <c r="T94" i="1"/>
  <c r="U94" i="1" l="1"/>
  <c r="V94" i="1" s="1"/>
  <c r="T95" i="1"/>
  <c r="U95" i="1" l="1"/>
  <c r="V95" i="1" s="1"/>
  <c r="T96" i="1"/>
  <c r="U96" i="1" l="1"/>
  <c r="V96" i="1" s="1"/>
  <c r="T97" i="1"/>
  <c r="U97" i="1" l="1"/>
  <c r="V97" i="1" s="1"/>
  <c r="T98" i="1"/>
  <c r="U98" i="1" l="1"/>
  <c r="V98" i="1" s="1"/>
  <c r="T99" i="1"/>
  <c r="U99" i="1" l="1"/>
  <c r="V99" i="1" s="1"/>
  <c r="T100" i="1"/>
  <c r="U100" i="1" l="1"/>
  <c r="V100" i="1" s="1"/>
  <c r="T101" i="1"/>
  <c r="U101" i="1" l="1"/>
  <c r="V101" i="1" s="1"/>
  <c r="T102" i="1"/>
  <c r="U102" i="1" l="1"/>
  <c r="V102" i="1" s="1"/>
  <c r="T103" i="1"/>
  <c r="U103" i="1" l="1"/>
  <c r="V103" i="1" s="1"/>
  <c r="T104" i="1"/>
  <c r="U104" i="1" l="1"/>
  <c r="V104" i="1" s="1"/>
  <c r="T105" i="1"/>
  <c r="U105" i="1" l="1"/>
  <c r="V105" i="1" s="1"/>
  <c r="T106" i="1"/>
  <c r="U106" i="1" l="1"/>
  <c r="V106" i="1" s="1"/>
  <c r="T107" i="1"/>
  <c r="U107" i="1" l="1"/>
  <c r="V107" i="1" s="1"/>
  <c r="T108" i="1"/>
  <c r="U108" i="1" l="1"/>
  <c r="V108" i="1" s="1"/>
  <c r="T109" i="1"/>
  <c r="U109" i="1" l="1"/>
  <c r="V109" i="1" s="1"/>
  <c r="T110" i="1"/>
  <c r="U110" i="1" l="1"/>
  <c r="V110" i="1" s="1"/>
  <c r="T111" i="1"/>
  <c r="U111" i="1" l="1"/>
  <c r="V111" i="1" s="1"/>
  <c r="T112" i="1"/>
  <c r="U112" i="1" l="1"/>
  <c r="V112" i="1" s="1"/>
  <c r="T113" i="1"/>
  <c r="U113" i="1" l="1"/>
  <c r="V113" i="1" s="1"/>
  <c r="T114" i="1"/>
  <c r="U114" i="1" l="1"/>
  <c r="V114" i="1" s="1"/>
  <c r="T115" i="1"/>
  <c r="U115" i="1" l="1"/>
  <c r="V115" i="1" s="1"/>
  <c r="T116" i="1"/>
  <c r="U116" i="1" l="1"/>
  <c r="V116" i="1" s="1"/>
  <c r="T117" i="1"/>
  <c r="U117" i="1" l="1"/>
  <c r="V117" i="1" s="1"/>
  <c r="T118" i="1"/>
  <c r="U118" i="1" l="1"/>
  <c r="V118" i="1" s="1"/>
  <c r="T119" i="1"/>
  <c r="U119" i="1" l="1"/>
  <c r="V119" i="1" s="1"/>
  <c r="T120" i="1"/>
  <c r="U120" i="1" l="1"/>
  <c r="V120" i="1" s="1"/>
  <c r="T121" i="1"/>
  <c r="U121" i="1" l="1"/>
  <c r="V121" i="1" s="1"/>
  <c r="T122" i="1"/>
  <c r="U122" i="1" l="1"/>
  <c r="V122" i="1" s="1"/>
  <c r="T123" i="1"/>
  <c r="U123" i="1" l="1"/>
  <c r="V123" i="1" s="1"/>
  <c r="T124" i="1"/>
  <c r="U124" i="1" l="1"/>
  <c r="V124" i="1" s="1"/>
  <c r="T125" i="1"/>
  <c r="U125" i="1" l="1"/>
  <c r="V125" i="1" s="1"/>
  <c r="T126" i="1"/>
  <c r="U126" i="1" l="1"/>
  <c r="V126" i="1" s="1"/>
  <c r="T127" i="1"/>
  <c r="U127" i="1" l="1"/>
  <c r="V127" i="1" s="1"/>
  <c r="T128" i="1"/>
  <c r="U128" i="1" l="1"/>
  <c r="V128" i="1" s="1"/>
  <c r="T129" i="1"/>
  <c r="U129" i="1" l="1"/>
  <c r="V129" i="1" s="1"/>
  <c r="T130" i="1"/>
  <c r="U130" i="1" l="1"/>
  <c r="V130" i="1" s="1"/>
  <c r="T131" i="1"/>
  <c r="U131" i="1" l="1"/>
  <c r="V131" i="1" s="1"/>
  <c r="T132" i="1"/>
  <c r="U132" i="1" l="1"/>
  <c r="V132" i="1" s="1"/>
  <c r="T133" i="1"/>
  <c r="U133" i="1" l="1"/>
  <c r="V133" i="1" s="1"/>
  <c r="T134" i="1"/>
  <c r="U134" i="1" l="1"/>
  <c r="V134" i="1" s="1"/>
  <c r="T135" i="1"/>
  <c r="U135" i="1" l="1"/>
  <c r="V135" i="1" s="1"/>
  <c r="T136" i="1"/>
  <c r="U136" i="1" l="1"/>
  <c r="V136" i="1" s="1"/>
  <c r="T137" i="1"/>
  <c r="U137" i="1" l="1"/>
  <c r="V137" i="1" s="1"/>
  <c r="T138" i="1"/>
  <c r="U138" i="1" l="1"/>
  <c r="V138" i="1" s="1"/>
  <c r="T139" i="1"/>
  <c r="U139" i="1" l="1"/>
  <c r="V139" i="1" s="1"/>
  <c r="T140" i="1"/>
  <c r="U140" i="1" l="1"/>
  <c r="V140" i="1" s="1"/>
  <c r="T141" i="1"/>
  <c r="U141" i="1" l="1"/>
  <c r="V141" i="1" s="1"/>
  <c r="T142" i="1"/>
  <c r="U142" i="1" l="1"/>
  <c r="V142" i="1" s="1"/>
  <c r="T143" i="1"/>
  <c r="U143" i="1" l="1"/>
  <c r="V143" i="1" s="1"/>
  <c r="T144" i="1"/>
  <c r="U144" i="1" l="1"/>
  <c r="V144" i="1" s="1"/>
  <c r="T145" i="1"/>
  <c r="U145" i="1" l="1"/>
  <c r="V145" i="1" s="1"/>
  <c r="T146" i="1"/>
  <c r="U146" i="1" l="1"/>
  <c r="V146" i="1" s="1"/>
  <c r="T147" i="1"/>
  <c r="U147" i="1" l="1"/>
  <c r="V147" i="1" s="1"/>
  <c r="T148" i="1"/>
  <c r="U148" i="1" l="1"/>
  <c r="V148" i="1" s="1"/>
  <c r="T149" i="1"/>
  <c r="U149" i="1" l="1"/>
  <c r="V149" i="1" s="1"/>
  <c r="T150" i="1"/>
  <c r="U150" i="1" l="1"/>
  <c r="V150" i="1" s="1"/>
  <c r="T151" i="1"/>
  <c r="U151" i="1" l="1"/>
  <c r="V151" i="1" s="1"/>
  <c r="T152" i="1"/>
  <c r="U152" i="1" l="1"/>
  <c r="V152" i="1" s="1"/>
  <c r="T153" i="1"/>
  <c r="U153" i="1" l="1"/>
  <c r="V153" i="1" s="1"/>
  <c r="T154" i="1"/>
  <c r="U154" i="1" l="1"/>
  <c r="V154" i="1" s="1"/>
  <c r="T155" i="1"/>
  <c r="U155" i="1" l="1"/>
  <c r="V155" i="1" s="1"/>
  <c r="T156" i="1"/>
  <c r="U156" i="1" l="1"/>
  <c r="V156" i="1" s="1"/>
  <c r="T157" i="1"/>
  <c r="U157" i="1" l="1"/>
  <c r="V157" i="1" s="1"/>
  <c r="T158" i="1"/>
  <c r="U158" i="1" l="1"/>
  <c r="V158" i="1" s="1"/>
  <c r="T159" i="1"/>
  <c r="U159" i="1" l="1"/>
  <c r="V159" i="1" s="1"/>
  <c r="T160" i="1"/>
  <c r="U160" i="1" l="1"/>
  <c r="V160" i="1" s="1"/>
  <c r="T161" i="1"/>
  <c r="U161" i="1" l="1"/>
  <c r="V161" i="1" s="1"/>
  <c r="T162" i="1"/>
  <c r="U162" i="1" l="1"/>
  <c r="V162" i="1" s="1"/>
  <c r="T163" i="1"/>
  <c r="U163" i="1" l="1"/>
  <c r="V163" i="1" s="1"/>
  <c r="T164" i="1"/>
  <c r="U164" i="1" l="1"/>
  <c r="V164" i="1" s="1"/>
  <c r="T165" i="1"/>
  <c r="U165" i="1" l="1"/>
  <c r="V165" i="1" s="1"/>
  <c r="T166" i="1"/>
  <c r="U166" i="1" l="1"/>
  <c r="V166" i="1" s="1"/>
  <c r="T167" i="1"/>
  <c r="U167" i="1" l="1"/>
  <c r="V167" i="1" s="1"/>
  <c r="T168" i="1"/>
  <c r="U168" i="1" l="1"/>
  <c r="V168" i="1" s="1"/>
  <c r="T169" i="1"/>
  <c r="U169" i="1" l="1"/>
  <c r="V169" i="1" s="1"/>
  <c r="T170" i="1"/>
  <c r="U170" i="1" l="1"/>
  <c r="V170" i="1" s="1"/>
  <c r="T171" i="1"/>
  <c r="U171" i="1" l="1"/>
  <c r="V171" i="1" s="1"/>
  <c r="T172" i="1"/>
  <c r="U172" i="1" l="1"/>
  <c r="V172" i="1" s="1"/>
  <c r="T173" i="1"/>
  <c r="U173" i="1" l="1"/>
  <c r="V173" i="1" s="1"/>
  <c r="T174" i="1"/>
  <c r="U174" i="1" l="1"/>
  <c r="V174" i="1" s="1"/>
  <c r="T175" i="1"/>
  <c r="U175" i="1" l="1"/>
  <c r="V175" i="1" s="1"/>
  <c r="T176" i="1"/>
  <c r="U176" i="1" l="1"/>
  <c r="V176" i="1" s="1"/>
  <c r="T177" i="1"/>
  <c r="U177" i="1" l="1"/>
  <c r="V177" i="1" s="1"/>
  <c r="T178" i="1"/>
  <c r="U178" i="1" l="1"/>
  <c r="V178" i="1" s="1"/>
  <c r="T179" i="1"/>
  <c r="U179" i="1" l="1"/>
  <c r="V179" i="1" s="1"/>
  <c r="T180" i="1"/>
  <c r="U180" i="1" l="1"/>
  <c r="V180" i="1" s="1"/>
  <c r="T181" i="1"/>
  <c r="U181" i="1" l="1"/>
  <c r="V181" i="1" s="1"/>
  <c r="T182" i="1"/>
  <c r="U182" i="1" l="1"/>
  <c r="V182" i="1" s="1"/>
  <c r="T183" i="1"/>
  <c r="U183" i="1" l="1"/>
  <c r="V183" i="1" s="1"/>
  <c r="T184" i="1"/>
  <c r="U184" i="1" l="1"/>
  <c r="V184" i="1" s="1"/>
  <c r="T185" i="1"/>
  <c r="U185" i="1" l="1"/>
  <c r="V185" i="1" s="1"/>
  <c r="T186" i="1"/>
  <c r="U186" i="1" l="1"/>
  <c r="V186" i="1" s="1"/>
  <c r="T187" i="1"/>
  <c r="U187" i="1" l="1"/>
  <c r="V187" i="1" s="1"/>
  <c r="T188" i="1"/>
  <c r="U188" i="1" l="1"/>
  <c r="V188" i="1" s="1"/>
  <c r="T189" i="1"/>
  <c r="U189" i="1" l="1"/>
  <c r="V189" i="1" s="1"/>
  <c r="T190" i="1"/>
  <c r="U190" i="1" l="1"/>
  <c r="V190" i="1" s="1"/>
  <c r="T191" i="1"/>
  <c r="U191" i="1" l="1"/>
  <c r="V191" i="1" s="1"/>
  <c r="T192" i="1"/>
  <c r="U192" i="1" l="1"/>
  <c r="V192" i="1" s="1"/>
  <c r="T193" i="1"/>
  <c r="U193" i="1" l="1"/>
  <c r="V193" i="1" s="1"/>
  <c r="T194" i="1"/>
  <c r="U194" i="1" l="1"/>
  <c r="V194" i="1" s="1"/>
  <c r="T195" i="1"/>
  <c r="U195" i="1" l="1"/>
  <c r="V195" i="1" s="1"/>
  <c r="T196" i="1"/>
  <c r="U196" i="1" l="1"/>
  <c r="V196" i="1" s="1"/>
  <c r="T197" i="1"/>
  <c r="U197" i="1" l="1"/>
  <c r="V197" i="1" s="1"/>
  <c r="T198" i="1"/>
  <c r="U198" i="1" l="1"/>
  <c r="V198" i="1" s="1"/>
  <c r="T199" i="1"/>
  <c r="U199" i="1" l="1"/>
  <c r="V199" i="1" s="1"/>
  <c r="T200" i="1"/>
  <c r="U200" i="1" l="1"/>
  <c r="V200" i="1" s="1"/>
  <c r="T201" i="1"/>
  <c r="U201" i="1" l="1"/>
  <c r="V201" i="1" s="1"/>
  <c r="T202" i="1"/>
  <c r="U202" i="1" l="1"/>
  <c r="V202" i="1" s="1"/>
  <c r="T203" i="1"/>
  <c r="U203" i="1" l="1"/>
  <c r="V203" i="1" s="1"/>
  <c r="T204" i="1"/>
  <c r="U204" i="1" l="1"/>
  <c r="V204" i="1" s="1"/>
  <c r="T205" i="1"/>
  <c r="U205" i="1" l="1"/>
  <c r="V205" i="1" s="1"/>
  <c r="T206" i="1"/>
  <c r="U206" i="1" l="1"/>
  <c r="V206" i="1" s="1"/>
  <c r="T207" i="1"/>
  <c r="U207" i="1" l="1"/>
  <c r="V207" i="1" s="1"/>
  <c r="T208" i="1"/>
  <c r="U208" i="1" l="1"/>
  <c r="V208" i="1" s="1"/>
  <c r="T209" i="1"/>
  <c r="U209" i="1" l="1"/>
  <c r="V209" i="1" s="1"/>
  <c r="T210" i="1"/>
  <c r="U210" i="1" l="1"/>
  <c r="V210" i="1" s="1"/>
  <c r="T211" i="1"/>
  <c r="U211" i="1" l="1"/>
  <c r="V211" i="1" s="1"/>
  <c r="T212" i="1"/>
  <c r="U212" i="1" l="1"/>
  <c r="V212" i="1" s="1"/>
  <c r="T213" i="1"/>
  <c r="U213" i="1" l="1"/>
  <c r="V213" i="1" s="1"/>
  <c r="T214" i="1"/>
  <c r="U214" i="1" l="1"/>
  <c r="V214" i="1" s="1"/>
  <c r="T215" i="1"/>
  <c r="U215" i="1" l="1"/>
  <c r="V215" i="1" s="1"/>
  <c r="T216" i="1"/>
  <c r="U216" i="1" l="1"/>
  <c r="V216" i="1" s="1"/>
  <c r="T217" i="1"/>
  <c r="U217" i="1" l="1"/>
  <c r="V217" i="1" s="1"/>
  <c r="T218" i="1"/>
  <c r="U218" i="1" l="1"/>
  <c r="V218" i="1" s="1"/>
  <c r="T219" i="1"/>
  <c r="U219" i="1" l="1"/>
  <c r="V219" i="1" s="1"/>
  <c r="T220" i="1"/>
  <c r="U220" i="1" l="1"/>
  <c r="V220" i="1" s="1"/>
  <c r="T221" i="1"/>
  <c r="U221" i="1" l="1"/>
  <c r="V221" i="1" s="1"/>
  <c r="T222" i="1"/>
  <c r="U222" i="1" l="1"/>
  <c r="V222" i="1" s="1"/>
  <c r="T223" i="1"/>
  <c r="U223" i="1" l="1"/>
  <c r="V223" i="1" s="1"/>
  <c r="T224" i="1"/>
  <c r="U224" i="1" l="1"/>
  <c r="V224" i="1" s="1"/>
  <c r="T225" i="1"/>
  <c r="U225" i="1" l="1"/>
  <c r="V225" i="1" s="1"/>
  <c r="T226" i="1"/>
  <c r="U226" i="1" l="1"/>
  <c r="V226" i="1" s="1"/>
  <c r="T227" i="1"/>
  <c r="U227" i="1" l="1"/>
  <c r="V227" i="1" s="1"/>
  <c r="T228" i="1"/>
  <c r="U228" i="1" l="1"/>
  <c r="V228" i="1" s="1"/>
  <c r="T229" i="1"/>
  <c r="U229" i="1" l="1"/>
  <c r="V229" i="1" s="1"/>
  <c r="T230" i="1"/>
  <c r="U230" i="1" l="1"/>
  <c r="V230" i="1" s="1"/>
  <c r="T231" i="1"/>
  <c r="U231" i="1" l="1"/>
  <c r="V231" i="1" s="1"/>
  <c r="T232" i="1"/>
  <c r="U232" i="1" l="1"/>
  <c r="V232" i="1" s="1"/>
  <c r="T233" i="1"/>
  <c r="U233" i="1" l="1"/>
  <c r="V233" i="1" s="1"/>
  <c r="T234" i="1"/>
  <c r="U234" i="1" l="1"/>
  <c r="V234" i="1" s="1"/>
  <c r="T235" i="1"/>
  <c r="U235" i="1" l="1"/>
  <c r="V235" i="1" s="1"/>
  <c r="T236" i="1"/>
  <c r="U236" i="1" l="1"/>
  <c r="V236" i="1" s="1"/>
  <c r="T237" i="1"/>
  <c r="U237" i="1" l="1"/>
  <c r="V237" i="1" s="1"/>
  <c r="T238" i="1"/>
  <c r="U238" i="1" l="1"/>
  <c r="V238" i="1" s="1"/>
  <c r="T239" i="1"/>
  <c r="U239" i="1" l="1"/>
  <c r="V239" i="1" s="1"/>
  <c r="T240" i="1"/>
  <c r="U240" i="1" l="1"/>
  <c r="V240" i="1" s="1"/>
  <c r="T241" i="1"/>
  <c r="U241" i="1" l="1"/>
  <c r="V241" i="1" s="1"/>
  <c r="T242" i="1"/>
  <c r="U242" i="1" l="1"/>
  <c r="V242" i="1" s="1"/>
  <c r="T243" i="1"/>
  <c r="U243" i="1" l="1"/>
  <c r="V243" i="1" s="1"/>
  <c r="T244" i="1"/>
  <c r="U244" i="1" l="1"/>
  <c r="V244" i="1" s="1"/>
  <c r="T245" i="1"/>
  <c r="U245" i="1" l="1"/>
  <c r="V245" i="1" s="1"/>
  <c r="T246" i="1"/>
  <c r="U246" i="1" l="1"/>
  <c r="V246" i="1" s="1"/>
  <c r="T247" i="1"/>
  <c r="U247" i="1" l="1"/>
  <c r="V247" i="1" s="1"/>
  <c r="T248" i="1"/>
  <c r="U248" i="1" l="1"/>
  <c r="V248" i="1" s="1"/>
  <c r="T249" i="1"/>
  <c r="U249" i="1" l="1"/>
  <c r="V249" i="1" s="1"/>
  <c r="T250" i="1"/>
  <c r="U250" i="1" l="1"/>
  <c r="V250" i="1" s="1"/>
  <c r="T251" i="1"/>
  <c r="U251" i="1" l="1"/>
  <c r="V251" i="1" s="1"/>
  <c r="T252" i="1"/>
  <c r="U252" i="1" l="1"/>
  <c r="V252" i="1" s="1"/>
  <c r="T253" i="1"/>
  <c r="U253" i="1" l="1"/>
  <c r="V253" i="1" s="1"/>
  <c r="T254" i="1"/>
  <c r="U254" i="1" l="1"/>
  <c r="V254" i="1" s="1"/>
  <c r="T255" i="1"/>
  <c r="U255" i="1" l="1"/>
  <c r="V255" i="1" s="1"/>
  <c r="T256" i="1"/>
  <c r="U256" i="1" l="1"/>
  <c r="V256" i="1" s="1"/>
  <c r="T257" i="1"/>
  <c r="U257" i="1" l="1"/>
  <c r="V257" i="1" s="1"/>
  <c r="T258" i="1"/>
  <c r="U258" i="1" l="1"/>
  <c r="V258" i="1" s="1"/>
  <c r="T259" i="1"/>
  <c r="U259" i="1" l="1"/>
  <c r="V259" i="1" s="1"/>
  <c r="T260" i="1"/>
  <c r="U260" i="1" l="1"/>
  <c r="V260" i="1" s="1"/>
  <c r="T261" i="1"/>
  <c r="U261" i="1" l="1"/>
  <c r="V261" i="1" s="1"/>
  <c r="T262" i="1"/>
  <c r="U262" i="1" l="1"/>
  <c r="V262" i="1" s="1"/>
  <c r="T263" i="1"/>
  <c r="U263" i="1" l="1"/>
  <c r="V263" i="1" s="1"/>
  <c r="T264" i="1"/>
  <c r="U264" i="1" l="1"/>
  <c r="V264" i="1" s="1"/>
  <c r="T265" i="1"/>
  <c r="U265" i="1" l="1"/>
  <c r="V265" i="1" s="1"/>
  <c r="T266" i="1"/>
  <c r="U266" i="1" l="1"/>
  <c r="V266" i="1" s="1"/>
  <c r="T267" i="1"/>
  <c r="U267" i="1" l="1"/>
  <c r="V267" i="1" s="1"/>
  <c r="T268" i="1"/>
  <c r="U268" i="1" l="1"/>
  <c r="V268" i="1" s="1"/>
  <c r="T269" i="1"/>
  <c r="U269" i="1" l="1"/>
  <c r="V269" i="1" s="1"/>
  <c r="T270" i="1"/>
  <c r="U270" i="1" l="1"/>
  <c r="V270" i="1" s="1"/>
  <c r="T271" i="1"/>
  <c r="U271" i="1" l="1"/>
  <c r="V271" i="1" s="1"/>
  <c r="T272" i="1"/>
  <c r="U272" i="1" l="1"/>
  <c r="V272" i="1" s="1"/>
  <c r="T273" i="1"/>
  <c r="U273" i="1" l="1"/>
  <c r="V273" i="1" s="1"/>
  <c r="T274" i="1"/>
  <c r="U274" i="1" l="1"/>
  <c r="V274" i="1" s="1"/>
  <c r="T275" i="1"/>
  <c r="U275" i="1" l="1"/>
  <c r="V275" i="1" s="1"/>
  <c r="T276" i="1"/>
  <c r="U276" i="1" l="1"/>
  <c r="V276" i="1" s="1"/>
  <c r="T277" i="1"/>
  <c r="U277" i="1" l="1"/>
  <c r="V277" i="1" s="1"/>
  <c r="T278" i="1"/>
  <c r="U278" i="1" l="1"/>
  <c r="V278" i="1" s="1"/>
  <c r="T279" i="1"/>
  <c r="U279" i="1" l="1"/>
  <c r="V279" i="1" s="1"/>
  <c r="T280" i="1"/>
  <c r="U280" i="1" l="1"/>
  <c r="V280" i="1" s="1"/>
  <c r="T281" i="1"/>
  <c r="U281" i="1" l="1"/>
  <c r="V281" i="1" s="1"/>
  <c r="T282" i="1"/>
  <c r="U282" i="1" l="1"/>
  <c r="V282" i="1" s="1"/>
  <c r="T283" i="1"/>
  <c r="U283" i="1" l="1"/>
  <c r="V283" i="1" s="1"/>
  <c r="T284" i="1"/>
  <c r="U284" i="1" l="1"/>
  <c r="V284" i="1" s="1"/>
  <c r="T285" i="1"/>
  <c r="U285" i="1" l="1"/>
  <c r="V285" i="1" s="1"/>
  <c r="T286" i="1"/>
  <c r="U286" i="1" l="1"/>
  <c r="V286" i="1" s="1"/>
  <c r="T287" i="1"/>
  <c r="U287" i="1" l="1"/>
  <c r="V287" i="1" s="1"/>
  <c r="T288" i="1"/>
  <c r="U288" i="1" l="1"/>
  <c r="V288" i="1" s="1"/>
  <c r="T289" i="1"/>
  <c r="U289" i="1" l="1"/>
  <c r="V289" i="1" s="1"/>
  <c r="T290" i="1"/>
  <c r="U290" i="1" l="1"/>
  <c r="V290" i="1" s="1"/>
  <c r="T291" i="1"/>
  <c r="U291" i="1" l="1"/>
  <c r="V291" i="1" s="1"/>
  <c r="T292" i="1"/>
  <c r="U292" i="1" l="1"/>
  <c r="V292" i="1" s="1"/>
  <c r="T293" i="1"/>
  <c r="U293" i="1" l="1"/>
  <c r="V293" i="1" s="1"/>
  <c r="T294" i="1"/>
  <c r="U294" i="1" l="1"/>
  <c r="V294" i="1" s="1"/>
  <c r="T295" i="1"/>
  <c r="U295" i="1" l="1"/>
  <c r="V295" i="1" s="1"/>
  <c r="T296" i="1"/>
  <c r="U296" i="1" l="1"/>
  <c r="V296" i="1" s="1"/>
  <c r="T297" i="1"/>
  <c r="U297" i="1" l="1"/>
  <c r="V297" i="1" s="1"/>
  <c r="T298" i="1"/>
  <c r="U298" i="1" l="1"/>
  <c r="V298" i="1" s="1"/>
  <c r="T299" i="1"/>
  <c r="U299" i="1" l="1"/>
  <c r="V299" i="1" s="1"/>
  <c r="T300" i="1"/>
  <c r="U300" i="1" l="1"/>
  <c r="V300" i="1" s="1"/>
  <c r="T301" i="1"/>
  <c r="U301" i="1" l="1"/>
  <c r="V301" i="1" s="1"/>
  <c r="T302" i="1"/>
  <c r="U302" i="1" l="1"/>
  <c r="V302" i="1" s="1"/>
  <c r="T303" i="1"/>
  <c r="U303" i="1" l="1"/>
  <c r="V303" i="1" s="1"/>
  <c r="T304" i="1"/>
  <c r="U304" i="1" l="1"/>
  <c r="V304" i="1" s="1"/>
  <c r="T305" i="1"/>
  <c r="U305" i="1" l="1"/>
  <c r="V305" i="1" s="1"/>
  <c r="T306" i="1"/>
  <c r="U306" i="1" l="1"/>
  <c r="V306" i="1" s="1"/>
  <c r="T307" i="1"/>
  <c r="U307" i="1" l="1"/>
  <c r="V307" i="1" s="1"/>
  <c r="T308" i="1"/>
  <c r="U308" i="1" l="1"/>
  <c r="V308" i="1" s="1"/>
  <c r="T309" i="1"/>
  <c r="U309" i="1" l="1"/>
  <c r="V309" i="1" s="1"/>
  <c r="T310" i="1"/>
  <c r="U310" i="1" l="1"/>
  <c r="V310" i="1" s="1"/>
  <c r="T311" i="1"/>
  <c r="U311" i="1" l="1"/>
  <c r="V311" i="1" s="1"/>
  <c r="T312" i="1"/>
  <c r="U312" i="1" l="1"/>
  <c r="V312" i="1" s="1"/>
  <c r="T313" i="1"/>
  <c r="U313" i="1" l="1"/>
  <c r="V313" i="1" s="1"/>
  <c r="T314" i="1"/>
  <c r="U314" i="1" l="1"/>
  <c r="V314" i="1" s="1"/>
  <c r="T315" i="1"/>
  <c r="U315" i="1" l="1"/>
  <c r="V315" i="1" s="1"/>
  <c r="T316" i="1"/>
  <c r="U316" i="1" l="1"/>
  <c r="V316" i="1" s="1"/>
  <c r="T317" i="1"/>
  <c r="U317" i="1" l="1"/>
  <c r="V317" i="1" s="1"/>
  <c r="T318" i="1"/>
  <c r="U318" i="1" l="1"/>
  <c r="V318" i="1" s="1"/>
  <c r="T319" i="1"/>
  <c r="U319" i="1" l="1"/>
  <c r="V319" i="1" s="1"/>
  <c r="T320" i="1"/>
  <c r="U320" i="1" l="1"/>
  <c r="V320" i="1" s="1"/>
  <c r="T321" i="1"/>
  <c r="U321" i="1" l="1"/>
  <c r="V321" i="1" s="1"/>
  <c r="T322" i="1"/>
  <c r="U322" i="1" l="1"/>
  <c r="V322" i="1" s="1"/>
  <c r="T323" i="1"/>
  <c r="U323" i="1" l="1"/>
  <c r="V323" i="1" s="1"/>
  <c r="T324" i="1"/>
  <c r="U324" i="1" l="1"/>
  <c r="V324" i="1" s="1"/>
  <c r="T325" i="1"/>
  <c r="U325" i="1" l="1"/>
  <c r="V325" i="1" s="1"/>
  <c r="T326" i="1"/>
  <c r="U326" i="1" l="1"/>
  <c r="V326" i="1" s="1"/>
  <c r="T327" i="1"/>
  <c r="U327" i="1" l="1"/>
  <c r="V327" i="1" s="1"/>
  <c r="T328" i="1"/>
  <c r="U328" i="1" l="1"/>
  <c r="V328" i="1" s="1"/>
  <c r="T329" i="1"/>
  <c r="U329" i="1" l="1"/>
  <c r="V329" i="1" s="1"/>
  <c r="T330" i="1"/>
  <c r="U330" i="1" l="1"/>
  <c r="V330" i="1" s="1"/>
  <c r="T331" i="1"/>
  <c r="U331" i="1" l="1"/>
  <c r="V331" i="1" s="1"/>
  <c r="T332" i="1"/>
  <c r="U332" i="1" l="1"/>
  <c r="V332" i="1" s="1"/>
  <c r="T333" i="1"/>
  <c r="U333" i="1" l="1"/>
  <c r="V333" i="1" s="1"/>
  <c r="T334" i="1"/>
  <c r="U334" i="1" l="1"/>
  <c r="V334" i="1" s="1"/>
  <c r="T335" i="1"/>
  <c r="U335" i="1" l="1"/>
  <c r="V335" i="1" s="1"/>
  <c r="T336" i="1"/>
  <c r="U336" i="1" l="1"/>
  <c r="V336" i="1" s="1"/>
  <c r="T337" i="1"/>
  <c r="U337" i="1" l="1"/>
  <c r="V337" i="1" s="1"/>
  <c r="T338" i="1"/>
  <c r="U338" i="1" l="1"/>
  <c r="V338" i="1" s="1"/>
  <c r="T339" i="1"/>
  <c r="U339" i="1" l="1"/>
  <c r="V339" i="1" s="1"/>
  <c r="T340" i="1"/>
  <c r="U340" i="1" l="1"/>
  <c r="V340" i="1" s="1"/>
  <c r="T341" i="1"/>
  <c r="U341" i="1" l="1"/>
  <c r="V341" i="1" s="1"/>
  <c r="T342" i="1"/>
  <c r="U342" i="1" l="1"/>
  <c r="V342" i="1" s="1"/>
  <c r="T343" i="1"/>
  <c r="U343" i="1" l="1"/>
  <c r="V343" i="1" s="1"/>
  <c r="T344" i="1"/>
  <c r="U344" i="1" l="1"/>
  <c r="V344" i="1" s="1"/>
  <c r="T345" i="1"/>
  <c r="U345" i="1" l="1"/>
  <c r="V345" i="1" s="1"/>
  <c r="T346" i="1"/>
  <c r="U346" i="1" l="1"/>
  <c r="V346" i="1" s="1"/>
  <c r="T347" i="1"/>
  <c r="U347" i="1" l="1"/>
  <c r="V347" i="1" s="1"/>
  <c r="T348" i="1"/>
  <c r="U348" i="1" l="1"/>
  <c r="V348" i="1" s="1"/>
  <c r="T349" i="1"/>
  <c r="U349" i="1" l="1"/>
  <c r="V349" i="1" s="1"/>
  <c r="T350" i="1"/>
  <c r="U350" i="1" l="1"/>
  <c r="V350" i="1" s="1"/>
  <c r="T351" i="1"/>
  <c r="U351" i="1" l="1"/>
  <c r="V351" i="1" s="1"/>
  <c r="T352" i="1"/>
  <c r="U352" i="1" l="1"/>
  <c r="V352" i="1" s="1"/>
  <c r="T353" i="1"/>
  <c r="U353" i="1" l="1"/>
  <c r="V353" i="1" s="1"/>
  <c r="T354" i="1"/>
  <c r="U354" i="1" l="1"/>
  <c r="V354" i="1" s="1"/>
  <c r="T355" i="1"/>
  <c r="U355" i="1" l="1"/>
  <c r="V355" i="1" s="1"/>
  <c r="T356" i="1"/>
  <c r="U356" i="1" l="1"/>
  <c r="V356" i="1" s="1"/>
  <c r="T357" i="1"/>
  <c r="U357" i="1" l="1"/>
  <c r="V357" i="1" s="1"/>
  <c r="T358" i="1"/>
  <c r="U358" i="1" l="1"/>
  <c r="V358" i="1" s="1"/>
  <c r="T359" i="1"/>
  <c r="U359" i="1" l="1"/>
  <c r="V359" i="1" s="1"/>
  <c r="T360" i="1"/>
  <c r="U360" i="1" l="1"/>
  <c r="V360" i="1" s="1"/>
  <c r="T361" i="1"/>
  <c r="U361" i="1" l="1"/>
  <c r="V361" i="1" s="1"/>
  <c r="T362" i="1"/>
  <c r="U362" i="1" l="1"/>
  <c r="V362" i="1" s="1"/>
  <c r="T363" i="1"/>
  <c r="U363" i="1" l="1"/>
  <c r="V363" i="1" s="1"/>
  <c r="T364" i="1"/>
  <c r="U364" i="1" l="1"/>
  <c r="V364" i="1" s="1"/>
  <c r="T365" i="1"/>
  <c r="U365" i="1" l="1"/>
  <c r="V365" i="1" s="1"/>
  <c r="T366" i="1"/>
  <c r="U366" i="1" l="1"/>
  <c r="V366" i="1" s="1"/>
  <c r="T367" i="1"/>
  <c r="U367" i="1" l="1"/>
  <c r="V367" i="1" s="1"/>
  <c r="T368" i="1"/>
  <c r="U368" i="1" l="1"/>
  <c r="V368" i="1" s="1"/>
  <c r="T369" i="1"/>
  <c r="U369" i="1" l="1"/>
  <c r="V369" i="1" s="1"/>
  <c r="T370" i="1"/>
  <c r="U370" i="1" l="1"/>
  <c r="V370" i="1" s="1"/>
  <c r="T371" i="1"/>
  <c r="U371" i="1" l="1"/>
  <c r="V371" i="1" s="1"/>
  <c r="T372" i="1"/>
  <c r="U372" i="1" l="1"/>
  <c r="V372" i="1" s="1"/>
  <c r="T373" i="1"/>
  <c r="U373" i="1" l="1"/>
  <c r="V373" i="1" s="1"/>
  <c r="T374" i="1"/>
  <c r="U374" i="1" l="1"/>
  <c r="V374" i="1" s="1"/>
  <c r="T375" i="1"/>
  <c r="U375" i="1" l="1"/>
  <c r="V375" i="1" s="1"/>
  <c r="T376" i="1"/>
  <c r="U376" i="1" l="1"/>
  <c r="V376" i="1" s="1"/>
  <c r="T377" i="1"/>
  <c r="U377" i="1" l="1"/>
  <c r="V377" i="1" s="1"/>
  <c r="T378" i="1"/>
  <c r="U378" i="1" l="1"/>
  <c r="V378" i="1" s="1"/>
  <c r="T379" i="1"/>
  <c r="U379" i="1" l="1"/>
  <c r="V379" i="1" s="1"/>
  <c r="T380" i="1"/>
  <c r="U380" i="1" l="1"/>
  <c r="V380" i="1" s="1"/>
  <c r="T381" i="1"/>
  <c r="U381" i="1" l="1"/>
  <c r="V381" i="1" s="1"/>
  <c r="T382" i="1"/>
  <c r="U382" i="1" l="1"/>
  <c r="V382" i="1" s="1"/>
  <c r="T383" i="1"/>
  <c r="U383" i="1" l="1"/>
  <c r="V383" i="1" s="1"/>
  <c r="T384" i="1"/>
  <c r="U384" i="1" l="1"/>
  <c r="V384" i="1" s="1"/>
  <c r="T385" i="1"/>
  <c r="U385" i="1" l="1"/>
  <c r="V385" i="1" s="1"/>
  <c r="T386" i="1"/>
  <c r="U386" i="1" l="1"/>
  <c r="V386" i="1" s="1"/>
  <c r="T387" i="1"/>
  <c r="U387" i="1" l="1"/>
  <c r="V387" i="1" s="1"/>
  <c r="T388" i="1"/>
  <c r="U388" i="1" l="1"/>
  <c r="V388" i="1" s="1"/>
  <c r="T389" i="1"/>
  <c r="U389" i="1" l="1"/>
  <c r="V389" i="1" s="1"/>
  <c r="T390" i="1"/>
  <c r="U390" i="1" l="1"/>
  <c r="V390" i="1" s="1"/>
  <c r="T391" i="1"/>
  <c r="U391" i="1" l="1"/>
  <c r="V391" i="1" s="1"/>
  <c r="T392" i="1"/>
  <c r="U392" i="1" l="1"/>
  <c r="V392" i="1" s="1"/>
  <c r="T393" i="1"/>
  <c r="U393" i="1" l="1"/>
  <c r="V393" i="1" s="1"/>
  <c r="T394" i="1"/>
  <c r="U394" i="1" l="1"/>
  <c r="V394" i="1" s="1"/>
  <c r="T395" i="1"/>
  <c r="U395" i="1" l="1"/>
  <c r="V395" i="1" s="1"/>
  <c r="T396" i="1"/>
  <c r="U396" i="1" l="1"/>
  <c r="V396" i="1" s="1"/>
  <c r="T397" i="1"/>
  <c r="U397" i="1" l="1"/>
  <c r="V397" i="1" s="1"/>
  <c r="T398" i="1"/>
  <c r="U398" i="1" l="1"/>
  <c r="V398" i="1" s="1"/>
  <c r="T399" i="1"/>
  <c r="U399" i="1" l="1"/>
  <c r="V399" i="1" s="1"/>
  <c r="T400" i="1"/>
  <c r="U400" i="1" l="1"/>
  <c r="V400" i="1" s="1"/>
  <c r="T401" i="1"/>
  <c r="U401" i="1" l="1"/>
  <c r="V401" i="1" s="1"/>
  <c r="T402" i="1"/>
  <c r="U402" i="1" l="1"/>
  <c r="V402" i="1" s="1"/>
  <c r="T403" i="1"/>
  <c r="U403" i="1" l="1"/>
  <c r="V403" i="1" s="1"/>
  <c r="T404" i="1"/>
  <c r="U404" i="1" l="1"/>
  <c r="V404" i="1" s="1"/>
  <c r="T405" i="1"/>
  <c r="U405" i="1" l="1"/>
  <c r="V405" i="1" s="1"/>
  <c r="T406" i="1"/>
  <c r="U406" i="1" l="1"/>
  <c r="V406" i="1" s="1"/>
  <c r="T407" i="1"/>
  <c r="U407" i="1" l="1"/>
  <c r="V407" i="1" s="1"/>
  <c r="T408" i="1"/>
  <c r="U408" i="1" l="1"/>
  <c r="V408" i="1" s="1"/>
  <c r="T409" i="1"/>
  <c r="U409" i="1" l="1"/>
  <c r="V409" i="1" s="1"/>
  <c r="T410" i="1"/>
  <c r="U410" i="1" l="1"/>
  <c r="V410" i="1" s="1"/>
  <c r="T411" i="1"/>
  <c r="U411" i="1" l="1"/>
  <c r="V411" i="1" s="1"/>
  <c r="T412" i="1"/>
  <c r="U412" i="1" l="1"/>
  <c r="V412" i="1" s="1"/>
  <c r="T413" i="1"/>
  <c r="U413" i="1" l="1"/>
  <c r="V413" i="1" s="1"/>
  <c r="T414" i="1"/>
  <c r="U414" i="1" l="1"/>
  <c r="V414" i="1" s="1"/>
  <c r="T415" i="1"/>
  <c r="U415" i="1" l="1"/>
  <c r="V415" i="1" s="1"/>
  <c r="T416" i="1"/>
  <c r="U416" i="1" l="1"/>
  <c r="V416" i="1" s="1"/>
  <c r="T417" i="1"/>
  <c r="U417" i="1" l="1"/>
  <c r="V417" i="1" s="1"/>
  <c r="T418" i="1"/>
  <c r="U418" i="1" l="1"/>
  <c r="V418" i="1" s="1"/>
  <c r="T419" i="1"/>
  <c r="U419" i="1" l="1"/>
  <c r="V419" i="1" s="1"/>
  <c r="T420" i="1"/>
  <c r="U420" i="1" l="1"/>
  <c r="V420" i="1" s="1"/>
  <c r="T421" i="1"/>
  <c r="U421" i="1" l="1"/>
  <c r="V421" i="1" s="1"/>
  <c r="T422" i="1"/>
  <c r="U422" i="1" l="1"/>
  <c r="V422" i="1" s="1"/>
  <c r="T423" i="1"/>
  <c r="U423" i="1" l="1"/>
  <c r="V423" i="1" s="1"/>
  <c r="T424" i="1"/>
  <c r="U424" i="1" l="1"/>
  <c r="V424" i="1" s="1"/>
  <c r="T425" i="1"/>
  <c r="U425" i="1" l="1"/>
  <c r="V425" i="1" s="1"/>
  <c r="T426" i="1"/>
  <c r="U426" i="1" l="1"/>
  <c r="V426" i="1" s="1"/>
  <c r="T427" i="1"/>
  <c r="U427" i="1" l="1"/>
  <c r="V427" i="1" s="1"/>
  <c r="T428" i="1"/>
  <c r="U428" i="1" l="1"/>
  <c r="V428" i="1" s="1"/>
  <c r="T429" i="1"/>
  <c r="U429" i="1" l="1"/>
  <c r="V429" i="1" s="1"/>
  <c r="T430" i="1"/>
  <c r="U430" i="1" l="1"/>
  <c r="V430" i="1" s="1"/>
  <c r="T431" i="1"/>
  <c r="U431" i="1" l="1"/>
  <c r="V431" i="1" s="1"/>
  <c r="T432" i="1"/>
  <c r="U432" i="1" l="1"/>
  <c r="V432" i="1" s="1"/>
  <c r="T433" i="1"/>
  <c r="U433" i="1" l="1"/>
  <c r="V433" i="1" s="1"/>
  <c r="T434" i="1"/>
  <c r="U434" i="1" l="1"/>
  <c r="V434" i="1" s="1"/>
  <c r="T435" i="1"/>
  <c r="U435" i="1" l="1"/>
  <c r="V435" i="1" s="1"/>
  <c r="T436" i="1"/>
  <c r="U436" i="1" l="1"/>
  <c r="V436" i="1" s="1"/>
  <c r="T437" i="1"/>
  <c r="U437" i="1" l="1"/>
  <c r="V437" i="1" s="1"/>
  <c r="T438" i="1"/>
  <c r="U438" i="1" l="1"/>
  <c r="V438" i="1" s="1"/>
  <c r="T439" i="1"/>
  <c r="U439" i="1" l="1"/>
  <c r="V439" i="1" s="1"/>
  <c r="T440" i="1"/>
  <c r="U440" i="1" l="1"/>
  <c r="V440" i="1" s="1"/>
  <c r="T441" i="1"/>
  <c r="U441" i="1" l="1"/>
  <c r="V441" i="1" s="1"/>
  <c r="T442" i="1"/>
  <c r="U442" i="1" l="1"/>
  <c r="V442" i="1" s="1"/>
  <c r="T443" i="1"/>
  <c r="U443" i="1" l="1"/>
  <c r="V443" i="1" s="1"/>
  <c r="T444" i="1"/>
  <c r="U444" i="1" l="1"/>
  <c r="V444" i="1" s="1"/>
  <c r="T445" i="1"/>
  <c r="U445" i="1" l="1"/>
  <c r="V445" i="1" s="1"/>
  <c r="T446" i="1"/>
  <c r="U446" i="1" l="1"/>
  <c r="V446" i="1" s="1"/>
  <c r="T447" i="1"/>
  <c r="U447" i="1" l="1"/>
  <c r="V447" i="1" s="1"/>
  <c r="T448" i="1"/>
  <c r="U448" i="1" l="1"/>
  <c r="V448" i="1" s="1"/>
  <c r="T449" i="1"/>
  <c r="U449" i="1" l="1"/>
  <c r="V449" i="1" s="1"/>
  <c r="T450" i="1"/>
  <c r="U450" i="1" l="1"/>
  <c r="V450" i="1" s="1"/>
  <c r="T451" i="1"/>
  <c r="U451" i="1" l="1"/>
  <c r="V451" i="1" s="1"/>
  <c r="T452" i="1"/>
  <c r="U452" i="1" l="1"/>
  <c r="V452" i="1" s="1"/>
  <c r="T453" i="1"/>
  <c r="U453" i="1" l="1"/>
  <c r="V453" i="1" s="1"/>
  <c r="T454" i="1"/>
  <c r="U454" i="1" l="1"/>
  <c r="V454" i="1" s="1"/>
  <c r="T455" i="1"/>
  <c r="U455" i="1" l="1"/>
  <c r="V455" i="1" s="1"/>
  <c r="T456" i="1"/>
  <c r="U456" i="1" l="1"/>
  <c r="V456" i="1" s="1"/>
  <c r="T457" i="1"/>
  <c r="U457" i="1" l="1"/>
  <c r="V457" i="1" s="1"/>
  <c r="T458" i="1"/>
  <c r="U458" i="1" l="1"/>
  <c r="V458" i="1" s="1"/>
  <c r="T459" i="1"/>
  <c r="U459" i="1" l="1"/>
  <c r="V459" i="1" s="1"/>
  <c r="T460" i="1"/>
  <c r="U460" i="1" l="1"/>
  <c r="V460" i="1" s="1"/>
  <c r="T461" i="1"/>
  <c r="U461" i="1" l="1"/>
  <c r="V461" i="1" s="1"/>
  <c r="T462" i="1"/>
  <c r="U462" i="1" l="1"/>
  <c r="V462" i="1" s="1"/>
  <c r="T463" i="1"/>
  <c r="U463" i="1" l="1"/>
  <c r="V463" i="1" s="1"/>
  <c r="T464" i="1"/>
  <c r="U464" i="1" l="1"/>
  <c r="V464" i="1" s="1"/>
  <c r="T465" i="1"/>
  <c r="U465" i="1" l="1"/>
  <c r="V465" i="1" s="1"/>
  <c r="T466" i="1"/>
  <c r="U466" i="1" l="1"/>
  <c r="V466" i="1" s="1"/>
  <c r="T467" i="1"/>
  <c r="U467" i="1" l="1"/>
  <c r="V467" i="1" s="1"/>
  <c r="T468" i="1"/>
  <c r="U468" i="1" l="1"/>
  <c r="V468" i="1" s="1"/>
  <c r="T469" i="1"/>
  <c r="U469" i="1" l="1"/>
  <c r="V469" i="1" s="1"/>
  <c r="T470" i="1"/>
  <c r="U470" i="1" l="1"/>
  <c r="V470" i="1" s="1"/>
  <c r="T471" i="1"/>
  <c r="U471" i="1" l="1"/>
  <c r="V471" i="1" s="1"/>
  <c r="T472" i="1"/>
  <c r="U472" i="1" l="1"/>
  <c r="V472" i="1" s="1"/>
  <c r="T473" i="1"/>
  <c r="U473" i="1" l="1"/>
  <c r="V473" i="1" s="1"/>
  <c r="T474" i="1"/>
  <c r="U474" i="1" l="1"/>
  <c r="V474" i="1" s="1"/>
  <c r="T475" i="1"/>
  <c r="U475" i="1" l="1"/>
  <c r="V475" i="1" s="1"/>
  <c r="T476" i="1"/>
  <c r="U476" i="1" l="1"/>
  <c r="V476" i="1" s="1"/>
  <c r="T477" i="1"/>
  <c r="U477" i="1" l="1"/>
  <c r="V477" i="1" s="1"/>
  <c r="T478" i="1"/>
  <c r="U478" i="1" l="1"/>
  <c r="V478" i="1" s="1"/>
  <c r="T479" i="1"/>
  <c r="U479" i="1" l="1"/>
  <c r="V479" i="1" s="1"/>
  <c r="T480" i="1"/>
  <c r="U480" i="1" l="1"/>
  <c r="V480" i="1" s="1"/>
  <c r="T481" i="1"/>
  <c r="U481" i="1" l="1"/>
  <c r="V481" i="1" s="1"/>
  <c r="T482" i="1"/>
  <c r="U482" i="1" l="1"/>
  <c r="V482" i="1" s="1"/>
  <c r="T483" i="1"/>
  <c r="U483" i="1" l="1"/>
  <c r="V483" i="1" s="1"/>
  <c r="T484" i="1"/>
  <c r="U484" i="1" l="1"/>
  <c r="V484" i="1" s="1"/>
  <c r="T485" i="1"/>
  <c r="U485" i="1" l="1"/>
  <c r="V485" i="1" s="1"/>
  <c r="T486" i="1"/>
  <c r="U486" i="1" l="1"/>
  <c r="V486" i="1" s="1"/>
  <c r="T487" i="1"/>
  <c r="U487" i="1" l="1"/>
  <c r="V487" i="1" s="1"/>
  <c r="T488" i="1"/>
  <c r="U488" i="1" l="1"/>
  <c r="V488" i="1" s="1"/>
  <c r="T489" i="1"/>
  <c r="U489" i="1" l="1"/>
  <c r="V489" i="1" s="1"/>
  <c r="T490" i="1"/>
  <c r="U490" i="1" l="1"/>
  <c r="V490" i="1" s="1"/>
  <c r="T491" i="1"/>
  <c r="U491" i="1" l="1"/>
  <c r="V491" i="1" s="1"/>
  <c r="T492" i="1"/>
  <c r="U492" i="1" l="1"/>
  <c r="V492" i="1" s="1"/>
  <c r="T493" i="1"/>
  <c r="U493" i="1" l="1"/>
  <c r="V493" i="1" s="1"/>
  <c r="T494" i="1"/>
  <c r="U494" i="1" l="1"/>
  <c r="V494" i="1" s="1"/>
  <c r="T495" i="1"/>
  <c r="U495" i="1" l="1"/>
  <c r="V495" i="1" s="1"/>
  <c r="T496" i="1"/>
  <c r="U496" i="1" l="1"/>
  <c r="V496" i="1" s="1"/>
  <c r="T497" i="1"/>
  <c r="U497" i="1" l="1"/>
  <c r="V497" i="1" s="1"/>
  <c r="T498" i="1"/>
  <c r="U498" i="1" l="1"/>
  <c r="V498" i="1" s="1"/>
  <c r="T499" i="1"/>
  <c r="U499" i="1" l="1"/>
  <c r="V499" i="1" s="1"/>
  <c r="T500" i="1"/>
  <c r="U500" i="1" l="1"/>
  <c r="V500" i="1" s="1"/>
  <c r="T501" i="1"/>
  <c r="U501" i="1" l="1"/>
  <c r="V501" i="1" s="1"/>
  <c r="T502" i="1"/>
  <c r="U502" i="1" l="1"/>
  <c r="V502" i="1" s="1"/>
  <c r="T503" i="1"/>
  <c r="U503" i="1" l="1"/>
  <c r="V503" i="1" s="1"/>
  <c r="T504" i="1"/>
  <c r="U504" i="1" l="1"/>
  <c r="V504" i="1" s="1"/>
  <c r="T505" i="1"/>
  <c r="U505" i="1" l="1"/>
  <c r="V505" i="1" s="1"/>
  <c r="T506" i="1"/>
  <c r="U506" i="1" l="1"/>
  <c r="V506" i="1" s="1"/>
  <c r="T507" i="1"/>
  <c r="U507" i="1" l="1"/>
  <c r="V507" i="1" s="1"/>
  <c r="T508" i="1"/>
  <c r="U508" i="1" l="1"/>
  <c r="V508" i="1" s="1"/>
  <c r="T509" i="1"/>
  <c r="U509" i="1" l="1"/>
  <c r="V509" i="1" s="1"/>
  <c r="T510" i="1"/>
  <c r="U510" i="1" l="1"/>
  <c r="V510" i="1" s="1"/>
  <c r="T511" i="1"/>
  <c r="U511" i="1" l="1"/>
  <c r="V511" i="1" s="1"/>
  <c r="T512" i="1"/>
  <c r="U512" i="1" l="1"/>
  <c r="V512" i="1" s="1"/>
  <c r="T513" i="1"/>
  <c r="U513" i="1" l="1"/>
  <c r="V513" i="1" s="1"/>
  <c r="T514" i="1"/>
  <c r="U514" i="1" l="1"/>
  <c r="V514" i="1" s="1"/>
  <c r="T515" i="1"/>
  <c r="U515" i="1" l="1"/>
  <c r="V515" i="1" s="1"/>
  <c r="T516" i="1"/>
  <c r="U516" i="1" l="1"/>
  <c r="V516" i="1" s="1"/>
  <c r="T517" i="1"/>
  <c r="U517" i="1" l="1"/>
  <c r="V517" i="1" s="1"/>
  <c r="T518" i="1"/>
  <c r="U518" i="1" l="1"/>
  <c r="V518" i="1" s="1"/>
  <c r="T519" i="1"/>
  <c r="U519" i="1" l="1"/>
  <c r="V519" i="1" s="1"/>
  <c r="T520" i="1"/>
  <c r="U520" i="1" l="1"/>
  <c r="V520" i="1" s="1"/>
  <c r="T521" i="1"/>
  <c r="U521" i="1" l="1"/>
  <c r="V521" i="1" s="1"/>
  <c r="T522" i="1"/>
  <c r="U522" i="1" l="1"/>
  <c r="V522" i="1" s="1"/>
  <c r="T523" i="1"/>
  <c r="U523" i="1" l="1"/>
  <c r="V523" i="1" s="1"/>
  <c r="T524" i="1"/>
  <c r="U524" i="1" l="1"/>
  <c r="V524" i="1" s="1"/>
  <c r="T525" i="1"/>
  <c r="U525" i="1" l="1"/>
  <c r="V525" i="1" s="1"/>
  <c r="T526" i="1"/>
  <c r="U526" i="1" l="1"/>
  <c r="V526" i="1" s="1"/>
  <c r="T527" i="1"/>
  <c r="U527" i="1" l="1"/>
  <c r="V527" i="1" s="1"/>
  <c r="T528" i="1"/>
  <c r="U528" i="1" l="1"/>
  <c r="V528" i="1" s="1"/>
  <c r="T529" i="1"/>
  <c r="U529" i="1" l="1"/>
  <c r="V529" i="1" s="1"/>
  <c r="T530" i="1"/>
  <c r="U530" i="1" l="1"/>
  <c r="V530" i="1" s="1"/>
  <c r="T531" i="1"/>
  <c r="U531" i="1" l="1"/>
  <c r="V531" i="1" s="1"/>
  <c r="T532" i="1"/>
  <c r="U532" i="1" l="1"/>
  <c r="V532" i="1" s="1"/>
  <c r="T533" i="1"/>
  <c r="U533" i="1" l="1"/>
  <c r="V533" i="1" s="1"/>
  <c r="T534" i="1"/>
  <c r="U534" i="1" l="1"/>
  <c r="V534" i="1" s="1"/>
  <c r="T535" i="1"/>
  <c r="U535" i="1" l="1"/>
  <c r="V535" i="1" s="1"/>
  <c r="T536" i="1"/>
  <c r="U536" i="1" l="1"/>
  <c r="V536" i="1" s="1"/>
  <c r="T537" i="1"/>
  <c r="U537" i="1" l="1"/>
  <c r="V537" i="1" s="1"/>
  <c r="T538" i="1"/>
  <c r="U538" i="1" l="1"/>
  <c r="V538" i="1" s="1"/>
  <c r="T539" i="1"/>
  <c r="U539" i="1" l="1"/>
  <c r="V539" i="1" s="1"/>
  <c r="T540" i="1"/>
  <c r="U540" i="1" l="1"/>
  <c r="V540" i="1" s="1"/>
  <c r="T541" i="1"/>
  <c r="U541" i="1" l="1"/>
  <c r="V541" i="1" s="1"/>
  <c r="T542" i="1"/>
  <c r="U542" i="1" l="1"/>
  <c r="V542" i="1" s="1"/>
  <c r="T543" i="1"/>
  <c r="U543" i="1" l="1"/>
  <c r="V543" i="1" s="1"/>
  <c r="T544" i="1"/>
  <c r="U544" i="1" l="1"/>
  <c r="V544" i="1" s="1"/>
  <c r="T545" i="1"/>
  <c r="U545" i="1" l="1"/>
  <c r="V545" i="1" s="1"/>
  <c r="T546" i="1"/>
  <c r="U546" i="1" l="1"/>
  <c r="V546" i="1" s="1"/>
  <c r="T547" i="1"/>
  <c r="U547" i="1" l="1"/>
  <c r="V547" i="1" s="1"/>
  <c r="T548" i="1"/>
  <c r="U548" i="1" l="1"/>
  <c r="V548" i="1" s="1"/>
  <c r="T549" i="1"/>
  <c r="U549" i="1" l="1"/>
  <c r="V549" i="1" s="1"/>
  <c r="T550" i="1"/>
  <c r="U550" i="1" l="1"/>
  <c r="V550" i="1" s="1"/>
  <c r="T551" i="1"/>
  <c r="U551" i="1" l="1"/>
  <c r="V551" i="1" s="1"/>
  <c r="T552" i="1"/>
  <c r="U552" i="1" l="1"/>
  <c r="V552" i="1" s="1"/>
  <c r="T553" i="1"/>
  <c r="U553" i="1" l="1"/>
  <c r="V553" i="1" s="1"/>
  <c r="T554" i="1"/>
  <c r="U554" i="1" l="1"/>
  <c r="V554" i="1" s="1"/>
  <c r="T555" i="1"/>
  <c r="U555" i="1" l="1"/>
  <c r="V555" i="1" s="1"/>
  <c r="T556" i="1"/>
  <c r="U556" i="1" l="1"/>
  <c r="V556" i="1" s="1"/>
  <c r="T557" i="1"/>
  <c r="U557" i="1" l="1"/>
  <c r="V557" i="1" s="1"/>
  <c r="T558" i="1"/>
  <c r="U558" i="1" l="1"/>
  <c r="V558" i="1" s="1"/>
  <c r="T559" i="1"/>
  <c r="U559" i="1" l="1"/>
  <c r="V559" i="1" s="1"/>
  <c r="T560" i="1"/>
  <c r="U560" i="1" l="1"/>
  <c r="V560" i="1" s="1"/>
  <c r="T561" i="1"/>
  <c r="U561" i="1" l="1"/>
  <c r="V561" i="1" s="1"/>
  <c r="T562" i="1"/>
  <c r="U562" i="1" l="1"/>
  <c r="V562" i="1" s="1"/>
  <c r="T563" i="1"/>
  <c r="U563" i="1" l="1"/>
  <c r="V563" i="1" s="1"/>
  <c r="T564" i="1"/>
  <c r="U564" i="1" l="1"/>
  <c r="V564" i="1" s="1"/>
  <c r="T565" i="1"/>
  <c r="U565" i="1" l="1"/>
  <c r="V565" i="1" s="1"/>
  <c r="T566" i="1"/>
  <c r="U566" i="1" l="1"/>
  <c r="V566" i="1" s="1"/>
  <c r="T567" i="1"/>
  <c r="U567" i="1" l="1"/>
  <c r="V567" i="1" s="1"/>
  <c r="T568" i="1"/>
  <c r="U568" i="1" l="1"/>
  <c r="V568" i="1" s="1"/>
  <c r="T569" i="1"/>
  <c r="U569" i="1" l="1"/>
  <c r="V569" i="1" s="1"/>
  <c r="T570" i="1"/>
  <c r="U570" i="1" l="1"/>
  <c r="V570" i="1" s="1"/>
  <c r="T571" i="1"/>
  <c r="U571" i="1" l="1"/>
  <c r="V571" i="1" s="1"/>
  <c r="T572" i="1"/>
  <c r="U572" i="1" l="1"/>
  <c r="V572" i="1" s="1"/>
  <c r="T573" i="1"/>
  <c r="U573" i="1" l="1"/>
  <c r="V573" i="1" s="1"/>
  <c r="T574" i="1"/>
  <c r="U574" i="1" l="1"/>
  <c r="V574" i="1" s="1"/>
  <c r="T575" i="1"/>
  <c r="U575" i="1" l="1"/>
  <c r="V575" i="1" s="1"/>
  <c r="T576" i="1"/>
  <c r="U576" i="1" l="1"/>
  <c r="V576" i="1" s="1"/>
  <c r="T577" i="1"/>
  <c r="U577" i="1" l="1"/>
  <c r="V577" i="1" s="1"/>
  <c r="T578" i="1"/>
  <c r="U578" i="1" l="1"/>
  <c r="V578" i="1" s="1"/>
  <c r="T579" i="1"/>
  <c r="U579" i="1" l="1"/>
  <c r="V579" i="1" s="1"/>
  <c r="T580" i="1"/>
  <c r="U580" i="1" l="1"/>
  <c r="V580" i="1" s="1"/>
  <c r="T581" i="1"/>
  <c r="U581" i="1" l="1"/>
  <c r="V581" i="1" s="1"/>
  <c r="T582" i="1"/>
  <c r="U582" i="1" l="1"/>
  <c r="V582" i="1" s="1"/>
  <c r="T583" i="1"/>
  <c r="U583" i="1" l="1"/>
  <c r="V583" i="1" s="1"/>
  <c r="T584" i="1"/>
  <c r="U584" i="1" l="1"/>
  <c r="V584" i="1" s="1"/>
  <c r="T585" i="1"/>
  <c r="U585" i="1" l="1"/>
  <c r="V585" i="1" s="1"/>
  <c r="T586" i="1"/>
  <c r="U586" i="1" l="1"/>
  <c r="V586" i="1" s="1"/>
  <c r="T587" i="1"/>
  <c r="U587" i="1" l="1"/>
  <c r="V587" i="1" s="1"/>
  <c r="T588" i="1"/>
  <c r="U588" i="1" l="1"/>
  <c r="V588" i="1" s="1"/>
  <c r="T589" i="1"/>
  <c r="U589" i="1" l="1"/>
  <c r="V589" i="1" s="1"/>
  <c r="T590" i="1"/>
  <c r="U590" i="1" l="1"/>
  <c r="V590" i="1" s="1"/>
  <c r="T591" i="1"/>
  <c r="U591" i="1" l="1"/>
  <c r="V591" i="1" s="1"/>
  <c r="T592" i="1"/>
  <c r="U592" i="1" l="1"/>
  <c r="V592" i="1" s="1"/>
  <c r="T593" i="1"/>
  <c r="U593" i="1" l="1"/>
  <c r="V593" i="1" s="1"/>
  <c r="T594" i="1"/>
  <c r="U594" i="1" l="1"/>
  <c r="V594" i="1" s="1"/>
  <c r="T595" i="1"/>
  <c r="U595" i="1" l="1"/>
  <c r="V595" i="1" s="1"/>
  <c r="T596" i="1"/>
  <c r="U596" i="1" l="1"/>
  <c r="V596" i="1" s="1"/>
  <c r="T597" i="1"/>
  <c r="U597" i="1" l="1"/>
  <c r="V597" i="1" s="1"/>
  <c r="T598" i="1"/>
  <c r="U598" i="1" l="1"/>
  <c r="V598" i="1" s="1"/>
  <c r="T599" i="1"/>
  <c r="U599" i="1" l="1"/>
  <c r="V599" i="1" s="1"/>
  <c r="T600" i="1"/>
  <c r="U600" i="1" l="1"/>
  <c r="V600" i="1" s="1"/>
  <c r="T601" i="1"/>
  <c r="U601" i="1" l="1"/>
  <c r="V601" i="1" s="1"/>
  <c r="T602" i="1"/>
  <c r="U602" i="1" l="1"/>
  <c r="V602" i="1" s="1"/>
  <c r="T603" i="1"/>
  <c r="U603" i="1" l="1"/>
  <c r="V603" i="1" s="1"/>
  <c r="T604" i="1"/>
  <c r="U604" i="1" l="1"/>
  <c r="V604" i="1" s="1"/>
  <c r="T605" i="1"/>
  <c r="U605" i="1" l="1"/>
  <c r="V605" i="1" s="1"/>
  <c r="T606" i="1"/>
  <c r="U606" i="1" l="1"/>
  <c r="V606" i="1" s="1"/>
  <c r="T607" i="1"/>
  <c r="U607" i="1" l="1"/>
  <c r="V607" i="1" s="1"/>
  <c r="T608" i="1"/>
  <c r="U608" i="1" l="1"/>
  <c r="V608" i="1" s="1"/>
  <c r="T609" i="1"/>
  <c r="U609" i="1" l="1"/>
  <c r="V609" i="1" s="1"/>
  <c r="T610" i="1"/>
  <c r="U610" i="1" l="1"/>
  <c r="V610" i="1" s="1"/>
  <c r="T611" i="1"/>
  <c r="U611" i="1" l="1"/>
  <c r="V611" i="1" s="1"/>
  <c r="T612" i="1"/>
  <c r="U612" i="1" l="1"/>
  <c r="V612" i="1" s="1"/>
  <c r="T613" i="1"/>
  <c r="U613" i="1" l="1"/>
  <c r="V613" i="1" s="1"/>
  <c r="T614" i="1"/>
  <c r="U614" i="1" l="1"/>
  <c r="V614" i="1" s="1"/>
  <c r="T615" i="1"/>
  <c r="U615" i="1" l="1"/>
  <c r="V615" i="1" s="1"/>
  <c r="T616" i="1"/>
  <c r="U616" i="1" l="1"/>
  <c r="V616" i="1" s="1"/>
  <c r="T617" i="1"/>
  <c r="U617" i="1" l="1"/>
  <c r="V617" i="1" s="1"/>
  <c r="T618" i="1"/>
  <c r="U618" i="1" l="1"/>
  <c r="V618" i="1" s="1"/>
  <c r="T619" i="1"/>
  <c r="U619" i="1" l="1"/>
  <c r="V619" i="1" s="1"/>
  <c r="T620" i="1"/>
  <c r="U620" i="1" l="1"/>
  <c r="V620" i="1" s="1"/>
  <c r="T621" i="1"/>
  <c r="U621" i="1" l="1"/>
  <c r="V621" i="1" s="1"/>
  <c r="T622" i="1"/>
  <c r="U622" i="1" l="1"/>
  <c r="V622" i="1" s="1"/>
  <c r="T623" i="1"/>
  <c r="U623" i="1" l="1"/>
  <c r="V623" i="1" s="1"/>
  <c r="T624" i="1"/>
  <c r="U624" i="1" l="1"/>
  <c r="V624" i="1" s="1"/>
  <c r="T625" i="1"/>
  <c r="U625" i="1" l="1"/>
  <c r="V625" i="1" s="1"/>
  <c r="T626" i="1"/>
  <c r="U626" i="1" l="1"/>
  <c r="V626" i="1" s="1"/>
  <c r="T627" i="1"/>
  <c r="U627" i="1" l="1"/>
  <c r="V627" i="1" s="1"/>
  <c r="T628" i="1"/>
  <c r="U628" i="1" l="1"/>
  <c r="V628" i="1" s="1"/>
  <c r="T629" i="1"/>
  <c r="U629" i="1" l="1"/>
  <c r="V629" i="1" s="1"/>
  <c r="T630" i="1"/>
  <c r="U630" i="1" l="1"/>
  <c r="V630" i="1" s="1"/>
  <c r="T631" i="1"/>
  <c r="U631" i="1" l="1"/>
  <c r="V631" i="1" s="1"/>
  <c r="T632" i="1"/>
  <c r="U632" i="1" l="1"/>
  <c r="V632" i="1" s="1"/>
  <c r="T633" i="1"/>
  <c r="U633" i="1" l="1"/>
  <c r="V633" i="1" s="1"/>
  <c r="T634" i="1"/>
  <c r="U634" i="1" l="1"/>
  <c r="V634" i="1" s="1"/>
  <c r="T635" i="1"/>
  <c r="U635" i="1" l="1"/>
  <c r="V635" i="1" s="1"/>
  <c r="T636" i="1"/>
  <c r="U636" i="1" l="1"/>
  <c r="V636" i="1" s="1"/>
  <c r="T637" i="1"/>
  <c r="U637" i="1" l="1"/>
  <c r="V637" i="1" s="1"/>
  <c r="T638" i="1"/>
  <c r="U638" i="1" l="1"/>
  <c r="V638" i="1" s="1"/>
  <c r="T639" i="1"/>
  <c r="U639" i="1" l="1"/>
  <c r="V639" i="1" s="1"/>
  <c r="T640" i="1"/>
  <c r="U640" i="1" l="1"/>
  <c r="V640" i="1" s="1"/>
  <c r="T641" i="1"/>
  <c r="U641" i="1" l="1"/>
  <c r="V641" i="1" s="1"/>
  <c r="T642" i="1"/>
  <c r="U642" i="1" l="1"/>
  <c r="V642" i="1" s="1"/>
  <c r="T643" i="1"/>
  <c r="U643" i="1" l="1"/>
  <c r="V643" i="1" s="1"/>
  <c r="T644" i="1"/>
  <c r="U644" i="1" l="1"/>
  <c r="V644" i="1" s="1"/>
  <c r="T645" i="1"/>
  <c r="U645" i="1" l="1"/>
  <c r="V645" i="1" s="1"/>
  <c r="T646" i="1"/>
  <c r="U646" i="1" l="1"/>
  <c r="V646" i="1" s="1"/>
  <c r="T647" i="1"/>
  <c r="U647" i="1" l="1"/>
  <c r="V647" i="1" s="1"/>
  <c r="T648" i="1"/>
  <c r="U648" i="1" l="1"/>
  <c r="V648" i="1" s="1"/>
  <c r="T649" i="1"/>
  <c r="U649" i="1" l="1"/>
  <c r="V649" i="1" s="1"/>
  <c r="T650" i="1"/>
  <c r="U650" i="1" l="1"/>
  <c r="V650" i="1" s="1"/>
  <c r="T651" i="1"/>
  <c r="U651" i="1" l="1"/>
  <c r="V651" i="1" s="1"/>
  <c r="T652" i="1"/>
  <c r="U652" i="1" l="1"/>
  <c r="V652" i="1" s="1"/>
  <c r="T653" i="1"/>
  <c r="U653" i="1" l="1"/>
  <c r="V653" i="1" s="1"/>
  <c r="T654" i="1"/>
  <c r="U654" i="1" l="1"/>
  <c r="V654" i="1" s="1"/>
  <c r="T655" i="1"/>
  <c r="U655" i="1" l="1"/>
  <c r="V655" i="1" s="1"/>
  <c r="T656" i="1"/>
  <c r="U656" i="1" l="1"/>
  <c r="V656" i="1" s="1"/>
  <c r="T657" i="1"/>
  <c r="U657" i="1" l="1"/>
  <c r="V657" i="1" s="1"/>
  <c r="T658" i="1"/>
  <c r="U658" i="1" l="1"/>
  <c r="V658" i="1" s="1"/>
  <c r="T659" i="1"/>
  <c r="U659" i="1" l="1"/>
  <c r="V659" i="1" s="1"/>
  <c r="T660" i="1"/>
  <c r="U660" i="1" l="1"/>
  <c r="V660" i="1" s="1"/>
  <c r="T661" i="1"/>
  <c r="U661" i="1" l="1"/>
  <c r="V661" i="1" s="1"/>
  <c r="T662" i="1"/>
  <c r="U662" i="1" l="1"/>
  <c r="V662" i="1" s="1"/>
  <c r="T663" i="1"/>
  <c r="U663" i="1" l="1"/>
  <c r="V663" i="1" s="1"/>
  <c r="T664" i="1"/>
  <c r="U664" i="1" l="1"/>
  <c r="V664" i="1" s="1"/>
  <c r="T665" i="1"/>
  <c r="U665" i="1" l="1"/>
  <c r="V665" i="1" s="1"/>
  <c r="T666" i="1"/>
  <c r="U666" i="1" l="1"/>
  <c r="V666" i="1" s="1"/>
  <c r="T667" i="1"/>
  <c r="U667" i="1" l="1"/>
  <c r="V667" i="1" s="1"/>
  <c r="T668" i="1"/>
  <c r="U668" i="1" l="1"/>
  <c r="V668" i="1" s="1"/>
  <c r="T669" i="1"/>
  <c r="U669" i="1" l="1"/>
  <c r="V669" i="1" s="1"/>
  <c r="T670" i="1"/>
  <c r="U670" i="1" l="1"/>
  <c r="V670" i="1" s="1"/>
  <c r="T671" i="1"/>
  <c r="U671" i="1" l="1"/>
  <c r="V671" i="1" s="1"/>
  <c r="T672" i="1"/>
  <c r="U672" i="1" l="1"/>
  <c r="V672" i="1" s="1"/>
  <c r="T673" i="1"/>
  <c r="U673" i="1" l="1"/>
  <c r="V673" i="1" s="1"/>
  <c r="T674" i="1"/>
  <c r="U674" i="1" l="1"/>
  <c r="V674" i="1" s="1"/>
  <c r="T675" i="1"/>
  <c r="U675" i="1" l="1"/>
  <c r="V675" i="1" s="1"/>
  <c r="T676" i="1"/>
  <c r="U676" i="1" l="1"/>
  <c r="V676" i="1" s="1"/>
  <c r="T677" i="1"/>
  <c r="U677" i="1" l="1"/>
  <c r="V677" i="1" s="1"/>
  <c r="T678" i="1"/>
  <c r="U678" i="1" l="1"/>
  <c r="V678" i="1" s="1"/>
  <c r="T679" i="1"/>
  <c r="U679" i="1" l="1"/>
  <c r="V679" i="1" s="1"/>
  <c r="T680" i="1"/>
  <c r="U680" i="1" l="1"/>
  <c r="V680" i="1" s="1"/>
  <c r="T681" i="1"/>
  <c r="U681" i="1" l="1"/>
  <c r="V681" i="1" s="1"/>
  <c r="T682" i="1"/>
  <c r="U682" i="1" l="1"/>
  <c r="V682" i="1" s="1"/>
  <c r="T683" i="1"/>
  <c r="U683" i="1" l="1"/>
  <c r="V683" i="1" s="1"/>
  <c r="T684" i="1"/>
  <c r="U684" i="1" l="1"/>
  <c r="V684" i="1" s="1"/>
  <c r="T685" i="1"/>
  <c r="U685" i="1" l="1"/>
  <c r="V685" i="1" s="1"/>
  <c r="T686" i="1"/>
  <c r="U686" i="1" l="1"/>
  <c r="V686" i="1" s="1"/>
  <c r="T687" i="1"/>
  <c r="U687" i="1" l="1"/>
  <c r="V687" i="1" s="1"/>
  <c r="T688" i="1"/>
  <c r="U688" i="1" l="1"/>
  <c r="V688" i="1" s="1"/>
  <c r="T689" i="1"/>
  <c r="U689" i="1" l="1"/>
  <c r="V689" i="1" s="1"/>
  <c r="T690" i="1"/>
  <c r="U690" i="1" l="1"/>
  <c r="V690" i="1" s="1"/>
  <c r="T691" i="1"/>
  <c r="U691" i="1" l="1"/>
  <c r="V691" i="1" s="1"/>
  <c r="T692" i="1"/>
  <c r="U692" i="1" l="1"/>
  <c r="V692" i="1" s="1"/>
  <c r="T693" i="1"/>
  <c r="U693" i="1" l="1"/>
  <c r="V693" i="1" s="1"/>
  <c r="T694" i="1"/>
  <c r="U694" i="1" l="1"/>
  <c r="V694" i="1" s="1"/>
  <c r="T695" i="1"/>
  <c r="U695" i="1" l="1"/>
  <c r="V695" i="1" s="1"/>
  <c r="T696" i="1"/>
  <c r="U696" i="1" l="1"/>
  <c r="V696" i="1" s="1"/>
  <c r="T697" i="1"/>
  <c r="U697" i="1" l="1"/>
  <c r="V697" i="1" s="1"/>
  <c r="T698" i="1"/>
  <c r="U698" i="1" l="1"/>
  <c r="V698" i="1" s="1"/>
  <c r="T699" i="1"/>
  <c r="U699" i="1" l="1"/>
  <c r="V699" i="1" s="1"/>
  <c r="T700" i="1"/>
  <c r="U700" i="1" l="1"/>
  <c r="V700" i="1" s="1"/>
  <c r="T701" i="1"/>
  <c r="U701" i="1" l="1"/>
  <c r="V701" i="1" s="1"/>
  <c r="T702" i="1"/>
  <c r="U702" i="1" l="1"/>
  <c r="V702" i="1" s="1"/>
  <c r="T703" i="1"/>
  <c r="U703" i="1" l="1"/>
  <c r="V703" i="1" s="1"/>
  <c r="T704" i="1"/>
  <c r="U704" i="1" l="1"/>
  <c r="V704" i="1" s="1"/>
  <c r="T705" i="1"/>
  <c r="U705" i="1" l="1"/>
  <c r="V705" i="1" s="1"/>
  <c r="T706" i="1"/>
  <c r="U706" i="1" l="1"/>
  <c r="V706" i="1" s="1"/>
  <c r="T707" i="1"/>
  <c r="U707" i="1" l="1"/>
  <c r="V707" i="1" s="1"/>
  <c r="T708" i="1"/>
  <c r="U708" i="1" l="1"/>
  <c r="V708" i="1" s="1"/>
  <c r="T709" i="1"/>
  <c r="U709" i="1" l="1"/>
  <c r="V709" i="1" s="1"/>
  <c r="T710" i="1"/>
  <c r="U710" i="1" l="1"/>
  <c r="V710" i="1" s="1"/>
  <c r="T711" i="1"/>
  <c r="U711" i="1" l="1"/>
  <c r="V711" i="1" s="1"/>
  <c r="T712" i="1"/>
  <c r="U712" i="1" l="1"/>
  <c r="V712" i="1" s="1"/>
  <c r="T713" i="1"/>
  <c r="U713" i="1" l="1"/>
  <c r="V713" i="1" s="1"/>
  <c r="T714" i="1"/>
  <c r="U714" i="1" l="1"/>
  <c r="V714" i="1" s="1"/>
  <c r="T715" i="1"/>
  <c r="U715" i="1" l="1"/>
  <c r="V715" i="1" s="1"/>
  <c r="T716" i="1"/>
  <c r="U716" i="1" l="1"/>
  <c r="V716" i="1" s="1"/>
  <c r="T717" i="1"/>
  <c r="U717" i="1" l="1"/>
  <c r="V717" i="1" s="1"/>
  <c r="T718" i="1"/>
  <c r="U718" i="1" l="1"/>
  <c r="V718" i="1" s="1"/>
  <c r="T719" i="1"/>
  <c r="U719" i="1" l="1"/>
  <c r="V719" i="1" s="1"/>
  <c r="T720" i="1"/>
  <c r="U720" i="1" l="1"/>
  <c r="V720" i="1" s="1"/>
  <c r="T721" i="1"/>
  <c r="U721" i="1" l="1"/>
  <c r="V721" i="1" s="1"/>
  <c r="T722" i="1"/>
  <c r="U722" i="1" l="1"/>
  <c r="V722" i="1" s="1"/>
  <c r="T723" i="1"/>
  <c r="U723" i="1" l="1"/>
  <c r="V723" i="1" s="1"/>
  <c r="T724" i="1"/>
  <c r="U724" i="1" l="1"/>
  <c r="V724" i="1" s="1"/>
  <c r="T725" i="1"/>
  <c r="U725" i="1" l="1"/>
  <c r="V725" i="1" s="1"/>
  <c r="T726" i="1"/>
  <c r="U726" i="1" l="1"/>
  <c r="V726" i="1" s="1"/>
  <c r="T727" i="1"/>
  <c r="U727" i="1" l="1"/>
  <c r="V727" i="1" s="1"/>
  <c r="T728" i="1"/>
  <c r="U728" i="1" l="1"/>
  <c r="V728" i="1" s="1"/>
  <c r="T729" i="1"/>
  <c r="U729" i="1" l="1"/>
  <c r="V729" i="1" s="1"/>
  <c r="T730" i="1"/>
  <c r="U730" i="1" l="1"/>
  <c r="V730" i="1" s="1"/>
  <c r="T731" i="1"/>
  <c r="U731" i="1" l="1"/>
  <c r="V731" i="1" s="1"/>
  <c r="T732" i="1"/>
  <c r="U732" i="1" l="1"/>
  <c r="V732" i="1" s="1"/>
  <c r="T733" i="1"/>
  <c r="U733" i="1" l="1"/>
  <c r="V733" i="1" s="1"/>
  <c r="T734" i="1"/>
  <c r="U734" i="1" l="1"/>
  <c r="V734" i="1" s="1"/>
  <c r="T735" i="1"/>
  <c r="U735" i="1" l="1"/>
  <c r="V735" i="1" s="1"/>
  <c r="T736" i="1"/>
  <c r="U736" i="1" l="1"/>
  <c r="V736" i="1" s="1"/>
  <c r="T737" i="1"/>
  <c r="U737" i="1" l="1"/>
  <c r="V737" i="1" s="1"/>
  <c r="T738" i="1"/>
  <c r="U738" i="1" l="1"/>
  <c r="V738" i="1" s="1"/>
  <c r="T739" i="1"/>
  <c r="U739" i="1" l="1"/>
  <c r="V739" i="1" s="1"/>
  <c r="T740" i="1"/>
  <c r="U740" i="1" l="1"/>
  <c r="V740" i="1" s="1"/>
  <c r="T741" i="1"/>
  <c r="U741" i="1" l="1"/>
  <c r="V741" i="1" s="1"/>
  <c r="T742" i="1"/>
  <c r="U742" i="1" l="1"/>
  <c r="V742" i="1" s="1"/>
  <c r="T743" i="1"/>
  <c r="U743" i="1" l="1"/>
  <c r="V743" i="1" s="1"/>
  <c r="T744" i="1"/>
  <c r="U744" i="1" l="1"/>
  <c r="V744" i="1" s="1"/>
  <c r="T745" i="1"/>
  <c r="U745" i="1" l="1"/>
  <c r="V745" i="1" s="1"/>
  <c r="T746" i="1"/>
  <c r="U746" i="1" l="1"/>
  <c r="V746" i="1" s="1"/>
  <c r="T747" i="1"/>
  <c r="U747" i="1" l="1"/>
  <c r="V747" i="1" s="1"/>
  <c r="T748" i="1"/>
  <c r="U748" i="1" l="1"/>
  <c r="V748" i="1" s="1"/>
  <c r="T749" i="1"/>
  <c r="U749" i="1" l="1"/>
  <c r="V749" i="1" s="1"/>
  <c r="T750" i="1"/>
  <c r="U750" i="1" l="1"/>
  <c r="V750" i="1" s="1"/>
  <c r="T751" i="1"/>
  <c r="U751" i="1" l="1"/>
  <c r="V751" i="1" s="1"/>
  <c r="T752" i="1"/>
  <c r="U752" i="1" l="1"/>
  <c r="V752" i="1" s="1"/>
  <c r="T753" i="1"/>
  <c r="U753" i="1" l="1"/>
  <c r="V753" i="1" s="1"/>
  <c r="T754" i="1"/>
  <c r="U754" i="1" l="1"/>
  <c r="V754" i="1" s="1"/>
  <c r="T755" i="1"/>
  <c r="U755" i="1" l="1"/>
  <c r="V755" i="1" s="1"/>
  <c r="T756" i="1"/>
  <c r="U756" i="1" l="1"/>
  <c r="V756" i="1" s="1"/>
  <c r="T757" i="1"/>
  <c r="U757" i="1" l="1"/>
  <c r="V757" i="1" s="1"/>
  <c r="T758" i="1"/>
  <c r="U758" i="1" l="1"/>
  <c r="V758" i="1" s="1"/>
  <c r="T759" i="1"/>
  <c r="U759" i="1" l="1"/>
  <c r="V759" i="1" s="1"/>
  <c r="T760" i="1"/>
  <c r="U760" i="1" l="1"/>
  <c r="V760" i="1" s="1"/>
  <c r="T761" i="1"/>
  <c r="U761" i="1" l="1"/>
  <c r="V761" i="1" s="1"/>
  <c r="T762" i="1"/>
  <c r="U762" i="1" l="1"/>
  <c r="V762" i="1" s="1"/>
  <c r="T763" i="1"/>
  <c r="U763" i="1" l="1"/>
  <c r="V763" i="1" s="1"/>
  <c r="T764" i="1"/>
  <c r="U764" i="1" l="1"/>
  <c r="V764" i="1" s="1"/>
  <c r="T765" i="1"/>
  <c r="U765" i="1" l="1"/>
  <c r="V765" i="1" s="1"/>
  <c r="T766" i="1"/>
  <c r="U766" i="1" l="1"/>
  <c r="V766" i="1" s="1"/>
  <c r="T767" i="1"/>
  <c r="U767" i="1" l="1"/>
  <c r="V767" i="1" s="1"/>
  <c r="T768" i="1"/>
  <c r="U768" i="1" l="1"/>
  <c r="V768" i="1" s="1"/>
  <c r="T769" i="1"/>
  <c r="U769" i="1" l="1"/>
  <c r="V769" i="1" s="1"/>
  <c r="T770" i="1"/>
  <c r="U770" i="1" l="1"/>
  <c r="V770" i="1" s="1"/>
  <c r="T771" i="1"/>
  <c r="U771" i="1" l="1"/>
  <c r="V771" i="1" s="1"/>
  <c r="T772" i="1"/>
  <c r="U772" i="1" l="1"/>
  <c r="V772" i="1" s="1"/>
  <c r="T773" i="1"/>
  <c r="U773" i="1" l="1"/>
  <c r="V773" i="1" s="1"/>
  <c r="T774" i="1"/>
  <c r="U774" i="1" l="1"/>
  <c r="V774" i="1" s="1"/>
  <c r="T775" i="1"/>
  <c r="U775" i="1" l="1"/>
  <c r="V775" i="1" s="1"/>
  <c r="T776" i="1"/>
  <c r="U776" i="1" l="1"/>
  <c r="V776" i="1" s="1"/>
  <c r="T777" i="1"/>
  <c r="U777" i="1" l="1"/>
  <c r="V777" i="1" s="1"/>
  <c r="T778" i="1"/>
  <c r="U778" i="1" l="1"/>
  <c r="V778" i="1" s="1"/>
  <c r="T779" i="1"/>
  <c r="U779" i="1" l="1"/>
  <c r="V779" i="1" s="1"/>
  <c r="T780" i="1"/>
  <c r="U780" i="1" l="1"/>
  <c r="V780" i="1" s="1"/>
  <c r="T781" i="1"/>
  <c r="U781" i="1" l="1"/>
  <c r="V781" i="1" s="1"/>
  <c r="T782" i="1"/>
  <c r="U782" i="1" l="1"/>
  <c r="V782" i="1" s="1"/>
  <c r="T783" i="1"/>
  <c r="U783" i="1" l="1"/>
  <c r="V783" i="1" s="1"/>
  <c r="T784" i="1"/>
  <c r="U784" i="1" l="1"/>
  <c r="V784" i="1" s="1"/>
  <c r="T785" i="1"/>
  <c r="U785" i="1" l="1"/>
  <c r="V785" i="1" s="1"/>
  <c r="T786" i="1"/>
  <c r="U786" i="1" l="1"/>
  <c r="V786" i="1" s="1"/>
  <c r="T787" i="1"/>
  <c r="U787" i="1" l="1"/>
  <c r="V787" i="1" s="1"/>
  <c r="T788" i="1"/>
  <c r="U788" i="1" l="1"/>
  <c r="V788" i="1" s="1"/>
  <c r="T789" i="1"/>
  <c r="U789" i="1" l="1"/>
  <c r="V789" i="1" s="1"/>
  <c r="T790" i="1"/>
  <c r="U790" i="1" l="1"/>
  <c r="V790" i="1" s="1"/>
  <c r="T791" i="1"/>
  <c r="U791" i="1" l="1"/>
  <c r="V791" i="1" s="1"/>
  <c r="T792" i="1"/>
  <c r="U792" i="1" l="1"/>
  <c r="V792" i="1" s="1"/>
  <c r="T793" i="1"/>
  <c r="U793" i="1" l="1"/>
  <c r="V793" i="1" s="1"/>
  <c r="T794" i="1"/>
  <c r="U794" i="1" l="1"/>
  <c r="V794" i="1" s="1"/>
  <c r="T795" i="1"/>
  <c r="U795" i="1" l="1"/>
  <c r="V795" i="1" s="1"/>
  <c r="T796" i="1"/>
  <c r="U796" i="1" l="1"/>
  <c r="V796" i="1" s="1"/>
  <c r="T797" i="1"/>
  <c r="U797" i="1" l="1"/>
  <c r="V797" i="1" s="1"/>
  <c r="T798" i="1"/>
  <c r="U798" i="1" l="1"/>
  <c r="V798" i="1" s="1"/>
  <c r="T799" i="1"/>
  <c r="U799" i="1" l="1"/>
  <c r="V799" i="1" s="1"/>
  <c r="T800" i="1"/>
  <c r="U800" i="1" l="1"/>
  <c r="V800" i="1" s="1"/>
  <c r="T801" i="1"/>
  <c r="U801" i="1" l="1"/>
  <c r="V801" i="1" s="1"/>
  <c r="T802" i="1"/>
  <c r="U802" i="1" l="1"/>
  <c r="V802" i="1" s="1"/>
  <c r="T803" i="1"/>
  <c r="U803" i="1" l="1"/>
  <c r="V803" i="1" s="1"/>
  <c r="T804" i="1"/>
  <c r="U804" i="1" l="1"/>
  <c r="V804" i="1" s="1"/>
  <c r="T805" i="1"/>
  <c r="U805" i="1" l="1"/>
  <c r="V805" i="1" s="1"/>
  <c r="T806" i="1"/>
  <c r="U806" i="1" l="1"/>
  <c r="V806" i="1" s="1"/>
  <c r="T807" i="1"/>
  <c r="U807" i="1" l="1"/>
  <c r="V807" i="1" s="1"/>
  <c r="T808" i="1"/>
  <c r="U808" i="1" l="1"/>
  <c r="V808" i="1" s="1"/>
  <c r="T809" i="1"/>
  <c r="U809" i="1" l="1"/>
  <c r="V809" i="1" s="1"/>
  <c r="T810" i="1"/>
  <c r="U810" i="1" l="1"/>
  <c r="V810" i="1" s="1"/>
  <c r="T811" i="1"/>
  <c r="U811" i="1" l="1"/>
  <c r="V811" i="1" s="1"/>
  <c r="T812" i="1"/>
  <c r="U812" i="1" l="1"/>
  <c r="V812" i="1" s="1"/>
  <c r="T813" i="1"/>
  <c r="U813" i="1" l="1"/>
  <c r="V813" i="1" s="1"/>
  <c r="T814" i="1"/>
  <c r="U814" i="1" l="1"/>
  <c r="V814" i="1" s="1"/>
  <c r="T815" i="1"/>
  <c r="U815" i="1" l="1"/>
  <c r="V815" i="1" s="1"/>
  <c r="T816" i="1"/>
  <c r="U816" i="1" l="1"/>
  <c r="V816" i="1" s="1"/>
  <c r="T817" i="1"/>
  <c r="U817" i="1" l="1"/>
  <c r="V817" i="1" s="1"/>
  <c r="T818" i="1"/>
  <c r="U818" i="1" l="1"/>
  <c r="V818" i="1" s="1"/>
  <c r="T819" i="1"/>
  <c r="U819" i="1" l="1"/>
  <c r="V819" i="1" s="1"/>
  <c r="T820" i="1"/>
  <c r="U820" i="1" l="1"/>
  <c r="V820" i="1" s="1"/>
  <c r="T821" i="1"/>
  <c r="U821" i="1" l="1"/>
  <c r="V821" i="1" s="1"/>
  <c r="T822" i="1"/>
  <c r="U822" i="1" l="1"/>
  <c r="V822" i="1" s="1"/>
  <c r="T823" i="1"/>
  <c r="U823" i="1" l="1"/>
  <c r="V823" i="1" s="1"/>
  <c r="T824" i="1"/>
  <c r="U824" i="1" l="1"/>
  <c r="V824" i="1" s="1"/>
  <c r="T825" i="1"/>
  <c r="U825" i="1" l="1"/>
  <c r="V825" i="1" s="1"/>
  <c r="T826" i="1"/>
  <c r="U826" i="1" l="1"/>
  <c r="V826" i="1" s="1"/>
  <c r="T827" i="1"/>
  <c r="U827" i="1" l="1"/>
  <c r="V827" i="1" s="1"/>
  <c r="T828" i="1"/>
  <c r="U828" i="1" l="1"/>
  <c r="V828" i="1" s="1"/>
  <c r="T829" i="1"/>
  <c r="U829" i="1" l="1"/>
  <c r="V829" i="1" s="1"/>
  <c r="T830" i="1"/>
  <c r="U830" i="1" l="1"/>
  <c r="V830" i="1" s="1"/>
  <c r="T831" i="1"/>
  <c r="U831" i="1" l="1"/>
  <c r="V831" i="1" s="1"/>
  <c r="T832" i="1"/>
  <c r="U832" i="1" l="1"/>
  <c r="V832" i="1" s="1"/>
  <c r="T833" i="1"/>
  <c r="U833" i="1" l="1"/>
  <c r="V833" i="1" s="1"/>
  <c r="T834" i="1"/>
  <c r="U834" i="1" l="1"/>
  <c r="V834" i="1" s="1"/>
  <c r="T835" i="1"/>
  <c r="U835" i="1" l="1"/>
  <c r="V835" i="1" s="1"/>
  <c r="T836" i="1"/>
  <c r="U836" i="1" l="1"/>
  <c r="V836" i="1" s="1"/>
  <c r="T837" i="1"/>
  <c r="U837" i="1" l="1"/>
  <c r="V837" i="1" s="1"/>
  <c r="T838" i="1"/>
  <c r="U838" i="1" l="1"/>
  <c r="V838" i="1" s="1"/>
  <c r="T839" i="1"/>
  <c r="U839" i="1" l="1"/>
  <c r="V839" i="1" s="1"/>
  <c r="T840" i="1"/>
  <c r="U840" i="1" l="1"/>
  <c r="V840" i="1" s="1"/>
  <c r="T841" i="1"/>
  <c r="U841" i="1" l="1"/>
  <c r="V841" i="1" s="1"/>
  <c r="T842" i="1"/>
  <c r="U842" i="1" l="1"/>
  <c r="V842" i="1" s="1"/>
  <c r="T843" i="1"/>
  <c r="U843" i="1" l="1"/>
  <c r="V843" i="1" s="1"/>
  <c r="T844" i="1"/>
  <c r="U844" i="1" l="1"/>
  <c r="V844" i="1" s="1"/>
  <c r="T845" i="1"/>
  <c r="U845" i="1" l="1"/>
  <c r="V845" i="1" s="1"/>
  <c r="T846" i="1"/>
  <c r="U846" i="1" l="1"/>
  <c r="V846" i="1" s="1"/>
  <c r="T847" i="1"/>
  <c r="U847" i="1" l="1"/>
  <c r="V847" i="1" s="1"/>
  <c r="T848" i="1"/>
  <c r="U848" i="1" l="1"/>
  <c r="V848" i="1" s="1"/>
  <c r="T849" i="1"/>
  <c r="U849" i="1" l="1"/>
  <c r="V849" i="1" s="1"/>
  <c r="T850" i="1"/>
  <c r="U850" i="1" l="1"/>
  <c r="V850" i="1" s="1"/>
  <c r="T851" i="1"/>
  <c r="U851" i="1" l="1"/>
  <c r="V851" i="1" s="1"/>
  <c r="T852" i="1"/>
  <c r="U852" i="1" l="1"/>
  <c r="V852" i="1" s="1"/>
  <c r="T853" i="1"/>
  <c r="U853" i="1" l="1"/>
  <c r="V853" i="1" s="1"/>
  <c r="T854" i="1"/>
  <c r="U854" i="1" l="1"/>
  <c r="V854" i="1" s="1"/>
  <c r="T855" i="1"/>
  <c r="U855" i="1" l="1"/>
  <c r="V855" i="1" s="1"/>
  <c r="T856" i="1"/>
  <c r="U856" i="1" l="1"/>
  <c r="V856" i="1" s="1"/>
  <c r="T857" i="1"/>
  <c r="U857" i="1" l="1"/>
  <c r="V857" i="1" s="1"/>
  <c r="T858" i="1"/>
  <c r="U858" i="1" l="1"/>
  <c r="V858" i="1" s="1"/>
  <c r="T859" i="1"/>
  <c r="U859" i="1" l="1"/>
  <c r="V859" i="1" s="1"/>
  <c r="T860" i="1"/>
  <c r="U860" i="1" l="1"/>
  <c r="V860" i="1" s="1"/>
  <c r="T861" i="1"/>
  <c r="U861" i="1" l="1"/>
  <c r="V861" i="1" s="1"/>
  <c r="T862" i="1"/>
  <c r="U862" i="1" l="1"/>
  <c r="V862" i="1" s="1"/>
  <c r="T863" i="1"/>
  <c r="U863" i="1" l="1"/>
  <c r="V863" i="1" s="1"/>
  <c r="T864" i="1"/>
  <c r="U864" i="1" l="1"/>
  <c r="V864" i="1" s="1"/>
  <c r="T865" i="1"/>
  <c r="U865" i="1" l="1"/>
  <c r="V865" i="1" s="1"/>
  <c r="T866" i="1"/>
  <c r="U866" i="1" l="1"/>
  <c r="V866" i="1" s="1"/>
  <c r="T867" i="1"/>
  <c r="U867" i="1" l="1"/>
  <c r="V867" i="1" s="1"/>
  <c r="T868" i="1"/>
  <c r="U868" i="1" l="1"/>
  <c r="V868" i="1" s="1"/>
  <c r="T869" i="1"/>
  <c r="U869" i="1" l="1"/>
  <c r="V869" i="1" s="1"/>
  <c r="T870" i="1"/>
  <c r="U870" i="1" l="1"/>
  <c r="V870" i="1" s="1"/>
  <c r="T871" i="1"/>
  <c r="U871" i="1" l="1"/>
  <c r="V871" i="1" s="1"/>
  <c r="T872" i="1"/>
  <c r="U872" i="1" l="1"/>
  <c r="V872" i="1" s="1"/>
  <c r="T873" i="1"/>
  <c r="U873" i="1" l="1"/>
  <c r="V873" i="1" s="1"/>
  <c r="T874" i="1"/>
  <c r="U874" i="1" l="1"/>
  <c r="V874" i="1" s="1"/>
  <c r="T875" i="1"/>
  <c r="U875" i="1" l="1"/>
  <c r="V875" i="1" s="1"/>
  <c r="T876" i="1"/>
  <c r="U876" i="1" l="1"/>
  <c r="V876" i="1" s="1"/>
  <c r="T877" i="1"/>
  <c r="U877" i="1" l="1"/>
  <c r="V877" i="1" s="1"/>
  <c r="T878" i="1"/>
  <c r="U878" i="1" l="1"/>
  <c r="V878" i="1" s="1"/>
  <c r="T879" i="1"/>
  <c r="U879" i="1" l="1"/>
  <c r="V879" i="1" s="1"/>
  <c r="T880" i="1"/>
  <c r="U880" i="1" l="1"/>
  <c r="V880" i="1" s="1"/>
  <c r="T881" i="1"/>
  <c r="U881" i="1" l="1"/>
  <c r="V881" i="1" s="1"/>
  <c r="T882" i="1"/>
  <c r="U882" i="1" l="1"/>
  <c r="V882" i="1" s="1"/>
  <c r="T883" i="1"/>
  <c r="U883" i="1" l="1"/>
  <c r="V883" i="1" s="1"/>
  <c r="T884" i="1"/>
  <c r="U884" i="1" l="1"/>
  <c r="V884" i="1" s="1"/>
  <c r="T885" i="1"/>
  <c r="U885" i="1" l="1"/>
  <c r="V885" i="1" s="1"/>
  <c r="T886" i="1"/>
  <c r="U886" i="1" l="1"/>
  <c r="V886" i="1" s="1"/>
  <c r="T887" i="1"/>
  <c r="U887" i="1" l="1"/>
  <c r="V887" i="1" s="1"/>
  <c r="T888" i="1"/>
  <c r="U888" i="1" l="1"/>
  <c r="V888" i="1" s="1"/>
  <c r="T889" i="1"/>
  <c r="U889" i="1" l="1"/>
  <c r="V889" i="1" s="1"/>
  <c r="T890" i="1"/>
  <c r="U890" i="1" l="1"/>
  <c r="V890" i="1" s="1"/>
  <c r="T891" i="1"/>
  <c r="U891" i="1" l="1"/>
  <c r="V891" i="1" s="1"/>
  <c r="T892" i="1"/>
  <c r="U892" i="1" l="1"/>
  <c r="V892" i="1" s="1"/>
  <c r="T893" i="1"/>
  <c r="U893" i="1" l="1"/>
  <c r="V893" i="1" s="1"/>
  <c r="T894" i="1"/>
  <c r="U894" i="1" l="1"/>
  <c r="V894" i="1" s="1"/>
  <c r="T895" i="1"/>
  <c r="U895" i="1" l="1"/>
  <c r="V895" i="1" s="1"/>
  <c r="T896" i="1"/>
  <c r="U896" i="1" l="1"/>
  <c r="V896" i="1" s="1"/>
  <c r="T897" i="1"/>
  <c r="U897" i="1" l="1"/>
  <c r="V897" i="1" s="1"/>
  <c r="T898" i="1"/>
  <c r="U898" i="1" l="1"/>
  <c r="V898" i="1" s="1"/>
  <c r="T899" i="1"/>
  <c r="U899" i="1" l="1"/>
  <c r="V899" i="1" s="1"/>
  <c r="T900" i="1"/>
  <c r="U900" i="1" l="1"/>
  <c r="V900" i="1" s="1"/>
  <c r="T901" i="1"/>
  <c r="U901" i="1" l="1"/>
  <c r="V901" i="1" s="1"/>
  <c r="T902" i="1"/>
  <c r="U902" i="1" l="1"/>
  <c r="V902" i="1" s="1"/>
  <c r="T903" i="1"/>
  <c r="U903" i="1" l="1"/>
  <c r="V903" i="1" s="1"/>
  <c r="T904" i="1"/>
  <c r="U904" i="1" l="1"/>
  <c r="V904" i="1" s="1"/>
  <c r="T905" i="1"/>
  <c r="U905" i="1" l="1"/>
  <c r="V905" i="1" s="1"/>
  <c r="T906" i="1"/>
  <c r="U906" i="1" l="1"/>
  <c r="V906" i="1" s="1"/>
  <c r="T907" i="1"/>
  <c r="U907" i="1" l="1"/>
  <c r="V907" i="1" s="1"/>
  <c r="T908" i="1"/>
  <c r="U908" i="1" l="1"/>
  <c r="V908" i="1" s="1"/>
  <c r="T909" i="1"/>
  <c r="U909" i="1" l="1"/>
  <c r="V909" i="1" s="1"/>
  <c r="T910" i="1"/>
  <c r="U910" i="1" l="1"/>
  <c r="V910" i="1" s="1"/>
  <c r="T911" i="1"/>
  <c r="U911" i="1" l="1"/>
  <c r="V911" i="1" s="1"/>
  <c r="T912" i="1"/>
  <c r="U912" i="1" l="1"/>
  <c r="V912" i="1" s="1"/>
  <c r="T913" i="1"/>
  <c r="U913" i="1" l="1"/>
  <c r="V913" i="1" s="1"/>
  <c r="T914" i="1"/>
  <c r="U914" i="1" l="1"/>
  <c r="V914" i="1" s="1"/>
  <c r="T915" i="1"/>
  <c r="U915" i="1" l="1"/>
  <c r="V915" i="1" s="1"/>
  <c r="T916" i="1"/>
  <c r="U916" i="1" l="1"/>
  <c r="V916" i="1" s="1"/>
  <c r="T917" i="1"/>
  <c r="U917" i="1" l="1"/>
  <c r="V917" i="1" s="1"/>
  <c r="T918" i="1"/>
  <c r="U918" i="1" l="1"/>
  <c r="V918" i="1" s="1"/>
  <c r="T919" i="1"/>
  <c r="U919" i="1" l="1"/>
  <c r="V919" i="1" s="1"/>
  <c r="T920" i="1"/>
  <c r="U920" i="1" l="1"/>
  <c r="V920" i="1" s="1"/>
  <c r="T921" i="1"/>
  <c r="U921" i="1" l="1"/>
  <c r="V921" i="1" s="1"/>
  <c r="T922" i="1"/>
  <c r="U922" i="1" l="1"/>
  <c r="V922" i="1" s="1"/>
  <c r="T923" i="1"/>
  <c r="U923" i="1" l="1"/>
  <c r="V923" i="1" s="1"/>
  <c r="T924" i="1"/>
  <c r="U924" i="1" l="1"/>
  <c r="V924" i="1" s="1"/>
  <c r="T925" i="1"/>
  <c r="U925" i="1" l="1"/>
  <c r="V925" i="1" s="1"/>
  <c r="T926" i="1"/>
  <c r="U926" i="1" l="1"/>
  <c r="V926" i="1" s="1"/>
  <c r="T927" i="1"/>
  <c r="U927" i="1" l="1"/>
  <c r="V927" i="1" s="1"/>
  <c r="T928" i="1"/>
  <c r="U928" i="1" l="1"/>
  <c r="V928" i="1" s="1"/>
  <c r="T929" i="1"/>
  <c r="U929" i="1" l="1"/>
  <c r="V929" i="1" s="1"/>
  <c r="T930" i="1"/>
  <c r="U930" i="1" l="1"/>
  <c r="V930" i="1" s="1"/>
  <c r="T931" i="1"/>
  <c r="U931" i="1" l="1"/>
  <c r="V931" i="1" s="1"/>
  <c r="T932" i="1"/>
  <c r="U932" i="1" l="1"/>
  <c r="V932" i="1" s="1"/>
  <c r="T933" i="1"/>
  <c r="U933" i="1" l="1"/>
  <c r="V933" i="1" s="1"/>
  <c r="T934" i="1"/>
  <c r="U934" i="1" l="1"/>
  <c r="V934" i="1" s="1"/>
  <c r="T935" i="1"/>
  <c r="U935" i="1" l="1"/>
  <c r="V935" i="1" s="1"/>
  <c r="T936" i="1"/>
  <c r="U936" i="1" l="1"/>
  <c r="V936" i="1" s="1"/>
  <c r="T937" i="1"/>
  <c r="U937" i="1" l="1"/>
  <c r="V937" i="1" s="1"/>
  <c r="T938" i="1"/>
  <c r="U938" i="1" l="1"/>
  <c r="V938" i="1" s="1"/>
  <c r="T939" i="1"/>
  <c r="U939" i="1" l="1"/>
  <c r="V939" i="1" s="1"/>
  <c r="T940" i="1"/>
  <c r="U940" i="1" l="1"/>
  <c r="V940" i="1" s="1"/>
  <c r="T941" i="1"/>
  <c r="U941" i="1" l="1"/>
  <c r="V941" i="1" s="1"/>
  <c r="T942" i="1"/>
  <c r="U942" i="1" l="1"/>
  <c r="V942" i="1" s="1"/>
  <c r="T943" i="1"/>
  <c r="U943" i="1" l="1"/>
  <c r="V943" i="1" s="1"/>
  <c r="T944" i="1"/>
  <c r="U944" i="1" l="1"/>
  <c r="V944" i="1" s="1"/>
  <c r="T945" i="1"/>
  <c r="U945" i="1" l="1"/>
  <c r="V945" i="1" s="1"/>
  <c r="T946" i="1"/>
  <c r="U946" i="1" l="1"/>
  <c r="V946" i="1" s="1"/>
  <c r="T947" i="1"/>
  <c r="U947" i="1" l="1"/>
  <c r="V947" i="1" s="1"/>
  <c r="T948" i="1"/>
  <c r="U948" i="1" l="1"/>
  <c r="V948" i="1" s="1"/>
  <c r="T949" i="1"/>
  <c r="U949" i="1" l="1"/>
  <c r="V949" i="1" s="1"/>
  <c r="T950" i="1"/>
  <c r="U950" i="1" l="1"/>
  <c r="V950" i="1" s="1"/>
  <c r="T951" i="1"/>
  <c r="U951" i="1" l="1"/>
  <c r="V951" i="1" s="1"/>
  <c r="T952" i="1"/>
  <c r="U952" i="1" l="1"/>
  <c r="V952" i="1" s="1"/>
  <c r="T953" i="1"/>
  <c r="U953" i="1" l="1"/>
  <c r="V953" i="1" s="1"/>
  <c r="T954" i="1"/>
  <c r="U954" i="1" l="1"/>
  <c r="V954" i="1" s="1"/>
  <c r="T955" i="1"/>
  <c r="U955" i="1" l="1"/>
  <c r="V955" i="1" s="1"/>
  <c r="T956" i="1"/>
  <c r="U956" i="1" l="1"/>
  <c r="V956" i="1" s="1"/>
  <c r="T957" i="1"/>
  <c r="U957" i="1" l="1"/>
  <c r="V957" i="1" s="1"/>
  <c r="T958" i="1"/>
  <c r="U958" i="1" l="1"/>
  <c r="V958" i="1" s="1"/>
  <c r="T959" i="1"/>
  <c r="U959" i="1" l="1"/>
  <c r="V959" i="1" s="1"/>
  <c r="T960" i="1"/>
  <c r="U960" i="1" l="1"/>
  <c r="V960" i="1" s="1"/>
  <c r="T961" i="1"/>
  <c r="U961" i="1" l="1"/>
  <c r="V961" i="1" s="1"/>
  <c r="T962" i="1"/>
  <c r="U962" i="1" l="1"/>
  <c r="V962" i="1" s="1"/>
  <c r="T963" i="1"/>
  <c r="U963" i="1" l="1"/>
  <c r="V963" i="1" s="1"/>
  <c r="T964" i="1"/>
  <c r="U964" i="1" l="1"/>
  <c r="V964" i="1" s="1"/>
  <c r="T965" i="1"/>
  <c r="U965" i="1" l="1"/>
  <c r="V965" i="1" s="1"/>
  <c r="T966" i="1"/>
  <c r="U966" i="1" l="1"/>
  <c r="V966" i="1" s="1"/>
  <c r="T967" i="1"/>
  <c r="U967" i="1" l="1"/>
  <c r="V967" i="1" s="1"/>
  <c r="T968" i="1"/>
  <c r="U968" i="1" l="1"/>
  <c r="V968" i="1" s="1"/>
  <c r="T969" i="1"/>
  <c r="U969" i="1" l="1"/>
  <c r="V969" i="1" s="1"/>
  <c r="T970" i="1"/>
  <c r="U970" i="1" l="1"/>
  <c r="V970" i="1" s="1"/>
  <c r="T971" i="1"/>
  <c r="U971" i="1" l="1"/>
  <c r="V971" i="1" s="1"/>
  <c r="T972" i="1"/>
  <c r="U972" i="1" l="1"/>
  <c r="V972" i="1" s="1"/>
  <c r="T973" i="1"/>
  <c r="U973" i="1" l="1"/>
  <c r="V973" i="1" s="1"/>
  <c r="T974" i="1"/>
  <c r="U974" i="1" l="1"/>
  <c r="V974" i="1" s="1"/>
  <c r="T975" i="1"/>
  <c r="U975" i="1" l="1"/>
  <c r="V975" i="1" s="1"/>
  <c r="T976" i="1"/>
  <c r="U976" i="1" l="1"/>
  <c r="V976" i="1" s="1"/>
  <c r="T977" i="1"/>
  <c r="U977" i="1" l="1"/>
  <c r="V977" i="1" s="1"/>
  <c r="T978" i="1"/>
  <c r="U978" i="1" l="1"/>
  <c r="V978" i="1" s="1"/>
  <c r="T979" i="1"/>
  <c r="U979" i="1" l="1"/>
  <c r="V979" i="1" s="1"/>
  <c r="T980" i="1"/>
  <c r="U980" i="1" l="1"/>
  <c r="V980" i="1" s="1"/>
  <c r="T981" i="1"/>
  <c r="U981" i="1" l="1"/>
  <c r="V981" i="1" s="1"/>
  <c r="T982" i="1"/>
  <c r="U982" i="1" l="1"/>
  <c r="V982" i="1" s="1"/>
  <c r="T983" i="1"/>
  <c r="U983" i="1" l="1"/>
  <c r="V983" i="1" s="1"/>
  <c r="T984" i="1"/>
  <c r="U984" i="1" l="1"/>
  <c r="V984" i="1" s="1"/>
  <c r="T985" i="1"/>
  <c r="U985" i="1" l="1"/>
  <c r="V985" i="1" s="1"/>
  <c r="T986" i="1"/>
  <c r="U986" i="1" l="1"/>
  <c r="V986" i="1" s="1"/>
  <c r="T987" i="1"/>
  <c r="U987" i="1" l="1"/>
  <c r="V987" i="1" s="1"/>
  <c r="T988" i="1"/>
  <c r="U988" i="1" l="1"/>
  <c r="V988" i="1" s="1"/>
  <c r="T989" i="1"/>
  <c r="U989" i="1" l="1"/>
  <c r="V989" i="1" s="1"/>
  <c r="T990" i="1"/>
  <c r="U990" i="1" l="1"/>
  <c r="V990" i="1" s="1"/>
  <c r="T991" i="1"/>
  <c r="U991" i="1" l="1"/>
  <c r="V991" i="1" s="1"/>
  <c r="T992" i="1"/>
  <c r="U992" i="1" l="1"/>
  <c r="V992" i="1" s="1"/>
  <c r="T993" i="1"/>
  <c r="U993" i="1" l="1"/>
  <c r="V993" i="1" s="1"/>
  <c r="T994" i="1"/>
  <c r="U994" i="1" l="1"/>
  <c r="V994" i="1" s="1"/>
  <c r="T995" i="1"/>
  <c r="U995" i="1" l="1"/>
  <c r="V995" i="1" s="1"/>
  <c r="T996" i="1"/>
  <c r="U996" i="1" l="1"/>
  <c r="V996" i="1" s="1"/>
  <c r="T997" i="1"/>
  <c r="U997" i="1" l="1"/>
  <c r="V997" i="1" s="1"/>
  <c r="T998" i="1"/>
  <c r="U998" i="1" l="1"/>
  <c r="V998" i="1" s="1"/>
  <c r="T999" i="1"/>
  <c r="U999" i="1" l="1"/>
  <c r="V999" i="1" s="1"/>
  <c r="T1000" i="1"/>
  <c r="U1000" i="1" l="1"/>
  <c r="V1000" i="1" s="1"/>
  <c r="T1001" i="1"/>
  <c r="U1001" i="1" l="1"/>
  <c r="V1001" i="1" s="1"/>
  <c r="T1002" i="1"/>
  <c r="U1002" i="1" l="1"/>
  <c r="V1002" i="1" s="1"/>
  <c r="T1003" i="1"/>
  <c r="U1003" i="1" l="1"/>
  <c r="V1003" i="1" s="1"/>
  <c r="T1004" i="1"/>
  <c r="U1004" i="1" l="1"/>
  <c r="V1004" i="1" s="1"/>
  <c r="T1005" i="1"/>
  <c r="U1005" i="1" l="1"/>
  <c r="V1005" i="1" s="1"/>
  <c r="T1006" i="1"/>
  <c r="U1006" i="1" l="1"/>
  <c r="V1006" i="1" s="1"/>
  <c r="T1007" i="1"/>
  <c r="U1007" i="1" l="1"/>
  <c r="V1007" i="1" s="1"/>
  <c r="T1008" i="1"/>
  <c r="U1008" i="1" l="1"/>
  <c r="V1008" i="1" s="1"/>
  <c r="T1009" i="1"/>
  <c r="U1009" i="1" l="1"/>
  <c r="V1009" i="1" s="1"/>
  <c r="T1010" i="1"/>
  <c r="U1010" i="1" l="1"/>
  <c r="V1010" i="1" s="1"/>
  <c r="T1011" i="1"/>
  <c r="U1011" i="1" l="1"/>
  <c r="V1011" i="1" s="1"/>
  <c r="T1012" i="1"/>
  <c r="U1012" i="1" l="1"/>
  <c r="V1012" i="1" s="1"/>
  <c r="T1013" i="1"/>
  <c r="U1013" i="1" l="1"/>
  <c r="V1013" i="1" s="1"/>
  <c r="T1014" i="1"/>
  <c r="U1014" i="1" l="1"/>
  <c r="V1014" i="1" s="1"/>
  <c r="T1015" i="1"/>
  <c r="U1015" i="1" l="1"/>
  <c r="V1015" i="1" s="1"/>
  <c r="T1016" i="1"/>
  <c r="U1016" i="1" l="1"/>
  <c r="V1016" i="1" s="1"/>
  <c r="T1017" i="1"/>
  <c r="U1017" i="1" l="1"/>
  <c r="V1017" i="1" s="1"/>
  <c r="T1018" i="1"/>
  <c r="U1018" i="1" l="1"/>
  <c r="V1018" i="1" s="1"/>
  <c r="T1019" i="1"/>
  <c r="U1019" i="1" l="1"/>
  <c r="V1019" i="1" s="1"/>
  <c r="T1020" i="1"/>
  <c r="U1020" i="1" l="1"/>
  <c r="V1020" i="1" s="1"/>
  <c r="T1021" i="1"/>
  <c r="U1021" i="1" l="1"/>
  <c r="V1021" i="1" s="1"/>
  <c r="T1022" i="1"/>
  <c r="U1022" i="1" l="1"/>
  <c r="V1022" i="1" s="1"/>
  <c r="T1023" i="1"/>
  <c r="U1023" i="1" l="1"/>
  <c r="V1023" i="1" s="1"/>
  <c r="T1024" i="1"/>
  <c r="U1024" i="1" l="1"/>
  <c r="V1024" i="1" s="1"/>
  <c r="T1025" i="1"/>
  <c r="U1025" i="1" l="1"/>
  <c r="V1025" i="1" s="1"/>
  <c r="T1026" i="1"/>
  <c r="U1026" i="1" l="1"/>
  <c r="V1026" i="1" s="1"/>
  <c r="T1027" i="1"/>
  <c r="U1027" i="1" l="1"/>
  <c r="V1027" i="1" s="1"/>
  <c r="T1028" i="1"/>
  <c r="U1028" i="1" l="1"/>
  <c r="V1028" i="1" s="1"/>
  <c r="T1029" i="1"/>
  <c r="U1029" i="1" l="1"/>
  <c r="V1029" i="1" s="1"/>
  <c r="T1030" i="1"/>
  <c r="U1030" i="1" l="1"/>
  <c r="V1030" i="1" s="1"/>
  <c r="T1031" i="1"/>
  <c r="U1031" i="1" l="1"/>
  <c r="V1031" i="1" s="1"/>
  <c r="T1032" i="1"/>
  <c r="U1032" i="1" l="1"/>
  <c r="V1032" i="1" s="1"/>
  <c r="T1033" i="1"/>
  <c r="U1033" i="1" l="1"/>
  <c r="V1033" i="1" s="1"/>
  <c r="T1034" i="1"/>
  <c r="U1034" i="1" l="1"/>
  <c r="V1034" i="1" s="1"/>
  <c r="T1035" i="1"/>
  <c r="U1035" i="1" l="1"/>
  <c r="V1035" i="1" s="1"/>
  <c r="T1036" i="1"/>
  <c r="U1036" i="1" l="1"/>
  <c r="V1036" i="1" s="1"/>
  <c r="T1037" i="1"/>
  <c r="U1037" i="1" l="1"/>
  <c r="V1037" i="1" s="1"/>
  <c r="T1038" i="1"/>
  <c r="U1038" i="1" l="1"/>
  <c r="V1038" i="1" s="1"/>
  <c r="T1039" i="1"/>
  <c r="U1039" i="1" l="1"/>
  <c r="V1039" i="1" s="1"/>
  <c r="T1040" i="1"/>
  <c r="U1040" i="1" l="1"/>
  <c r="V1040" i="1" s="1"/>
  <c r="T1041" i="1"/>
  <c r="U1041" i="1" l="1"/>
  <c r="V1041" i="1" s="1"/>
  <c r="T1042" i="1"/>
  <c r="U1042" i="1" l="1"/>
  <c r="V1042" i="1" s="1"/>
  <c r="T1043" i="1"/>
  <c r="U1043" i="1" l="1"/>
  <c r="V1043" i="1" s="1"/>
  <c r="T1044" i="1"/>
  <c r="U1044" i="1" l="1"/>
  <c r="V1044" i="1" s="1"/>
  <c r="T1045" i="1"/>
  <c r="U1045" i="1" l="1"/>
  <c r="V1045" i="1" s="1"/>
  <c r="T1046" i="1"/>
  <c r="U1046" i="1" l="1"/>
  <c r="V1046" i="1" s="1"/>
  <c r="T1047" i="1"/>
  <c r="U1047" i="1" l="1"/>
  <c r="V1047" i="1" s="1"/>
  <c r="T1048" i="1"/>
  <c r="U1048" i="1" l="1"/>
  <c r="V1048" i="1" s="1"/>
  <c r="T1049" i="1"/>
  <c r="U1049" i="1" l="1"/>
  <c r="V1049" i="1" s="1"/>
  <c r="T1050" i="1"/>
  <c r="U1050" i="1" l="1"/>
  <c r="V1050" i="1" s="1"/>
  <c r="T1051" i="1"/>
  <c r="U1051" i="1" l="1"/>
  <c r="V1051" i="1" s="1"/>
  <c r="T1052" i="1"/>
  <c r="U1052" i="1" l="1"/>
  <c r="V1052" i="1" s="1"/>
  <c r="T1053" i="1"/>
  <c r="U1053" i="1" l="1"/>
  <c r="V1053" i="1" s="1"/>
  <c r="T1054" i="1"/>
  <c r="U1054" i="1" l="1"/>
  <c r="V1054" i="1" s="1"/>
  <c r="T1055" i="1"/>
  <c r="U1055" i="1" l="1"/>
  <c r="V1055" i="1" s="1"/>
  <c r="T1056" i="1"/>
  <c r="U1056" i="1" l="1"/>
  <c r="V1056" i="1" s="1"/>
  <c r="T1057" i="1"/>
  <c r="U1057" i="1" l="1"/>
  <c r="V1057" i="1" s="1"/>
  <c r="T1058" i="1"/>
  <c r="U1058" i="1" l="1"/>
  <c r="V1058" i="1" s="1"/>
  <c r="T1059" i="1"/>
  <c r="U1059" i="1" l="1"/>
  <c r="V1059" i="1" s="1"/>
  <c r="T1060" i="1"/>
  <c r="U1060" i="1" l="1"/>
  <c r="V1060" i="1" s="1"/>
  <c r="T1061" i="1"/>
  <c r="U1061" i="1" l="1"/>
  <c r="V1061" i="1" s="1"/>
  <c r="T1062" i="1"/>
  <c r="U1062" i="1" l="1"/>
  <c r="V1062" i="1" s="1"/>
  <c r="T1063" i="1"/>
  <c r="U1063" i="1" l="1"/>
  <c r="V1063" i="1" s="1"/>
  <c r="T1064" i="1"/>
  <c r="U1064" i="1" l="1"/>
  <c r="V1064" i="1" s="1"/>
  <c r="T1065" i="1"/>
  <c r="U1065" i="1" l="1"/>
  <c r="V1065" i="1" s="1"/>
  <c r="T1066" i="1"/>
  <c r="U1066" i="1" l="1"/>
  <c r="V1066" i="1" s="1"/>
  <c r="T1067" i="1"/>
  <c r="U1067" i="1" l="1"/>
  <c r="V1067" i="1" s="1"/>
  <c r="T1068" i="1"/>
  <c r="U1068" i="1" l="1"/>
  <c r="V1068" i="1" s="1"/>
  <c r="T1069" i="1"/>
  <c r="U1069" i="1" l="1"/>
  <c r="V1069" i="1" s="1"/>
  <c r="T1070" i="1"/>
  <c r="U1070" i="1" l="1"/>
  <c r="V1070" i="1" s="1"/>
  <c r="T1071" i="1"/>
  <c r="U1071" i="1" l="1"/>
  <c r="V1071" i="1" s="1"/>
  <c r="T1072" i="1"/>
  <c r="U1072" i="1" l="1"/>
  <c r="V1072" i="1" s="1"/>
  <c r="T1073" i="1"/>
  <c r="U1073" i="1" l="1"/>
  <c r="V1073" i="1" s="1"/>
  <c r="T1074" i="1"/>
  <c r="U1074" i="1" l="1"/>
  <c r="V1074" i="1" s="1"/>
  <c r="T1075" i="1"/>
  <c r="U1075" i="1" l="1"/>
  <c r="V1075" i="1" s="1"/>
  <c r="T1076" i="1"/>
  <c r="U1076" i="1" l="1"/>
  <c r="V1076" i="1" s="1"/>
  <c r="T1077" i="1"/>
  <c r="U1077" i="1" l="1"/>
  <c r="V1077" i="1" s="1"/>
  <c r="T1078" i="1"/>
  <c r="U1078" i="1" l="1"/>
  <c r="V1078" i="1" s="1"/>
  <c r="T1079" i="1"/>
  <c r="U1079" i="1" l="1"/>
  <c r="V1079" i="1" s="1"/>
  <c r="T1080" i="1"/>
  <c r="U1080" i="1" l="1"/>
  <c r="V1080" i="1" s="1"/>
  <c r="T1081" i="1"/>
  <c r="U1081" i="1" l="1"/>
  <c r="V1081" i="1" s="1"/>
  <c r="T1082" i="1"/>
  <c r="U1082" i="1" l="1"/>
  <c r="V1082" i="1" s="1"/>
  <c r="T1083" i="1"/>
  <c r="U1083" i="1" l="1"/>
  <c r="V1083" i="1" s="1"/>
  <c r="T1084" i="1"/>
  <c r="U1084" i="1" l="1"/>
  <c r="V1084" i="1" s="1"/>
  <c r="T1085" i="1"/>
  <c r="U1085" i="1" l="1"/>
  <c r="V1085" i="1" s="1"/>
  <c r="T1086" i="1"/>
  <c r="U1086" i="1" l="1"/>
  <c r="V1086" i="1" s="1"/>
  <c r="T1087" i="1"/>
  <c r="U1087" i="1" l="1"/>
  <c r="V1087" i="1" s="1"/>
  <c r="T1088" i="1"/>
  <c r="U1088" i="1" l="1"/>
  <c r="V1088" i="1" s="1"/>
  <c r="T1089" i="1"/>
  <c r="U1089" i="1" l="1"/>
  <c r="V1089" i="1" s="1"/>
  <c r="T1090" i="1"/>
  <c r="U1090" i="1" l="1"/>
  <c r="V1090" i="1" s="1"/>
  <c r="T1091" i="1"/>
  <c r="U1091" i="1" l="1"/>
  <c r="V1091" i="1" s="1"/>
  <c r="T1092" i="1"/>
  <c r="U1092" i="1" l="1"/>
  <c r="V1092" i="1" s="1"/>
  <c r="T1093" i="1"/>
  <c r="U1093" i="1" l="1"/>
  <c r="V1093" i="1" s="1"/>
  <c r="T1094" i="1"/>
  <c r="U1094" i="1" l="1"/>
  <c r="V1094" i="1" s="1"/>
  <c r="T1095" i="1"/>
  <c r="U1095" i="1" l="1"/>
  <c r="V1095" i="1" s="1"/>
  <c r="T1096" i="1"/>
  <c r="U1096" i="1" l="1"/>
  <c r="V1096" i="1" s="1"/>
  <c r="T1097" i="1"/>
  <c r="U1097" i="1" l="1"/>
  <c r="V1097" i="1" s="1"/>
  <c r="T1098" i="1"/>
  <c r="U1098" i="1" l="1"/>
  <c r="V1098" i="1" s="1"/>
  <c r="T1099" i="1"/>
  <c r="U1099" i="1" l="1"/>
  <c r="V1099" i="1" s="1"/>
  <c r="T1100" i="1"/>
  <c r="U1100" i="1" l="1"/>
  <c r="V1100" i="1" s="1"/>
  <c r="T1101" i="1"/>
  <c r="U1101" i="1" l="1"/>
  <c r="V1101" i="1" s="1"/>
  <c r="T1102" i="1"/>
  <c r="U1102" i="1" l="1"/>
  <c r="V1102" i="1" s="1"/>
  <c r="T1103" i="1"/>
  <c r="U1103" i="1" l="1"/>
  <c r="V1103" i="1" s="1"/>
  <c r="T1104" i="1"/>
  <c r="U1104" i="1" l="1"/>
  <c r="V1104" i="1" s="1"/>
  <c r="T1105" i="1"/>
  <c r="U1105" i="1" l="1"/>
  <c r="V1105" i="1" s="1"/>
  <c r="T1106" i="1"/>
  <c r="U1106" i="1" l="1"/>
  <c r="V1106" i="1" s="1"/>
  <c r="T1107" i="1"/>
  <c r="U1107" i="1" l="1"/>
  <c r="V1107" i="1" s="1"/>
  <c r="T1108" i="1"/>
  <c r="U1108" i="1" l="1"/>
  <c r="V1108" i="1" s="1"/>
  <c r="T1109" i="1"/>
  <c r="U1109" i="1" l="1"/>
  <c r="V1109" i="1" s="1"/>
  <c r="T1110" i="1"/>
  <c r="U1110" i="1" l="1"/>
  <c r="V1110" i="1" s="1"/>
  <c r="T1111" i="1"/>
  <c r="U1111" i="1" l="1"/>
  <c r="V1111" i="1" s="1"/>
  <c r="T1112" i="1"/>
  <c r="U1112" i="1" l="1"/>
  <c r="V1112" i="1" s="1"/>
  <c r="T1113" i="1"/>
  <c r="U1113" i="1" l="1"/>
  <c r="V1113" i="1" s="1"/>
  <c r="T1114" i="1"/>
  <c r="U1114" i="1" l="1"/>
  <c r="V1114" i="1" s="1"/>
  <c r="T1115" i="1"/>
  <c r="U1115" i="1" l="1"/>
  <c r="V1115" i="1" s="1"/>
  <c r="T1116" i="1"/>
  <c r="U1116" i="1" l="1"/>
  <c r="V1116" i="1" s="1"/>
  <c r="T1117" i="1"/>
  <c r="U1117" i="1" l="1"/>
  <c r="V1117" i="1" s="1"/>
  <c r="T1118" i="1"/>
  <c r="U1118" i="1" l="1"/>
  <c r="V1118" i="1" s="1"/>
  <c r="T1119" i="1"/>
  <c r="U1119" i="1" l="1"/>
  <c r="V1119" i="1" s="1"/>
  <c r="T1120" i="1"/>
  <c r="U1120" i="1" l="1"/>
  <c r="V1120" i="1" s="1"/>
  <c r="T1121" i="1"/>
  <c r="U1121" i="1" l="1"/>
  <c r="V1121" i="1" s="1"/>
  <c r="T1122" i="1"/>
  <c r="U1122" i="1" l="1"/>
  <c r="V1122" i="1" s="1"/>
  <c r="T1123" i="1"/>
  <c r="U1123" i="1" l="1"/>
  <c r="V1123" i="1" s="1"/>
  <c r="T1124" i="1"/>
  <c r="U1124" i="1" l="1"/>
  <c r="V1124" i="1" s="1"/>
  <c r="T1125" i="1"/>
  <c r="U1125" i="1" l="1"/>
  <c r="V1125" i="1" s="1"/>
  <c r="T1126" i="1"/>
  <c r="U1126" i="1" l="1"/>
  <c r="V1126" i="1" s="1"/>
  <c r="T1127" i="1"/>
  <c r="U1127" i="1" l="1"/>
  <c r="V1127" i="1" s="1"/>
  <c r="T1128" i="1"/>
  <c r="U1128" i="1" l="1"/>
  <c r="V1128" i="1" s="1"/>
  <c r="T1129" i="1"/>
  <c r="U1129" i="1" l="1"/>
  <c r="V1129" i="1" s="1"/>
  <c r="T1130" i="1"/>
  <c r="U1130" i="1" l="1"/>
  <c r="V1130" i="1" s="1"/>
  <c r="T1131" i="1"/>
  <c r="U1131" i="1" l="1"/>
  <c r="V1131" i="1" s="1"/>
  <c r="T1132" i="1"/>
  <c r="U1132" i="1" l="1"/>
  <c r="V1132" i="1" s="1"/>
  <c r="T1133" i="1"/>
  <c r="U1133" i="1" l="1"/>
  <c r="V1133" i="1" s="1"/>
  <c r="T1134" i="1"/>
  <c r="U1134" i="1" l="1"/>
  <c r="V1134" i="1" s="1"/>
  <c r="T1135" i="1"/>
  <c r="U1135" i="1" l="1"/>
  <c r="V1135" i="1" s="1"/>
  <c r="T1136" i="1"/>
  <c r="U1136" i="1" l="1"/>
  <c r="V1136" i="1" s="1"/>
  <c r="T1137" i="1"/>
  <c r="U1137" i="1" l="1"/>
  <c r="V1137" i="1" s="1"/>
  <c r="T1138" i="1"/>
  <c r="U1138" i="1" l="1"/>
  <c r="V1138" i="1" s="1"/>
  <c r="T1139" i="1"/>
  <c r="U1139" i="1" l="1"/>
  <c r="V1139" i="1" s="1"/>
  <c r="T1140" i="1"/>
  <c r="U1140" i="1" l="1"/>
  <c r="V1140" i="1" s="1"/>
  <c r="T1141" i="1"/>
  <c r="U1141" i="1" l="1"/>
  <c r="V1141" i="1" s="1"/>
  <c r="T1142" i="1"/>
  <c r="U1142" i="1" l="1"/>
  <c r="V1142" i="1" s="1"/>
  <c r="T1143" i="1"/>
  <c r="U1143" i="1" l="1"/>
  <c r="V1143" i="1" s="1"/>
  <c r="T1144" i="1"/>
  <c r="U1144" i="1" l="1"/>
  <c r="V1144" i="1" s="1"/>
  <c r="T1145" i="1"/>
  <c r="U1145" i="1" l="1"/>
  <c r="V1145" i="1" s="1"/>
  <c r="T1146" i="1"/>
  <c r="U1146" i="1" l="1"/>
  <c r="V1146" i="1" s="1"/>
  <c r="T1147" i="1"/>
  <c r="U1147" i="1" l="1"/>
  <c r="V1147" i="1" s="1"/>
  <c r="T1148" i="1"/>
  <c r="U1148" i="1" l="1"/>
  <c r="V1148" i="1" s="1"/>
  <c r="T1149" i="1"/>
  <c r="U1149" i="1" l="1"/>
  <c r="V1149" i="1" s="1"/>
  <c r="T1150" i="1"/>
  <c r="U1150" i="1" l="1"/>
  <c r="V1150" i="1" s="1"/>
  <c r="T1151" i="1"/>
  <c r="U1151" i="1" l="1"/>
  <c r="V1151" i="1" s="1"/>
  <c r="T1152" i="1"/>
  <c r="U1152" i="1" l="1"/>
  <c r="V1152" i="1" s="1"/>
  <c r="T1153" i="1"/>
  <c r="U1153" i="1" l="1"/>
  <c r="V1153" i="1" s="1"/>
  <c r="T1154" i="1"/>
  <c r="U1154" i="1" l="1"/>
  <c r="V1154" i="1" s="1"/>
  <c r="T1155" i="1"/>
  <c r="U1155" i="1" l="1"/>
  <c r="V1155" i="1" s="1"/>
  <c r="T1156" i="1"/>
  <c r="U1156" i="1" l="1"/>
  <c r="V1156" i="1" s="1"/>
  <c r="T1157" i="1"/>
  <c r="U1157" i="1" l="1"/>
  <c r="V1157" i="1" s="1"/>
  <c r="T1158" i="1"/>
  <c r="U1158" i="1" l="1"/>
  <c r="V1158" i="1" s="1"/>
  <c r="T1159" i="1"/>
  <c r="U1159" i="1" l="1"/>
  <c r="V1159" i="1" s="1"/>
  <c r="T1160" i="1"/>
  <c r="U1160" i="1" l="1"/>
  <c r="V1160" i="1" s="1"/>
  <c r="T1161" i="1"/>
  <c r="U1161" i="1" l="1"/>
  <c r="V1161" i="1" s="1"/>
  <c r="T1162" i="1"/>
  <c r="U1162" i="1" l="1"/>
  <c r="V1162" i="1" s="1"/>
  <c r="T1163" i="1"/>
  <c r="U1163" i="1" l="1"/>
  <c r="V1163" i="1" s="1"/>
  <c r="T1164" i="1"/>
  <c r="U1164" i="1" l="1"/>
  <c r="V1164" i="1" s="1"/>
  <c r="T1165" i="1"/>
  <c r="U1165" i="1" l="1"/>
  <c r="V1165" i="1" s="1"/>
  <c r="T1166" i="1"/>
  <c r="U1166" i="1" l="1"/>
  <c r="V1166" i="1" s="1"/>
  <c r="T1167" i="1"/>
  <c r="U1167" i="1" l="1"/>
  <c r="V1167" i="1" s="1"/>
  <c r="T1168" i="1"/>
  <c r="U1168" i="1" l="1"/>
  <c r="V1168" i="1" s="1"/>
  <c r="T1169" i="1"/>
  <c r="U1169" i="1" l="1"/>
  <c r="V1169" i="1" s="1"/>
  <c r="T1170" i="1"/>
  <c r="U1170" i="1" l="1"/>
  <c r="V1170" i="1" s="1"/>
  <c r="T1171" i="1"/>
  <c r="U1171" i="1" l="1"/>
  <c r="V1171" i="1" s="1"/>
  <c r="T1172" i="1"/>
  <c r="U1172" i="1" l="1"/>
  <c r="V1172" i="1" s="1"/>
  <c r="T1173" i="1"/>
  <c r="U1173" i="1" l="1"/>
  <c r="V1173" i="1" s="1"/>
  <c r="T1174" i="1"/>
  <c r="U1174" i="1" l="1"/>
  <c r="V1174" i="1" s="1"/>
  <c r="T1175" i="1"/>
  <c r="U1175" i="1" l="1"/>
  <c r="V1175" i="1" s="1"/>
  <c r="T1176" i="1"/>
  <c r="U1176" i="1" l="1"/>
  <c r="V1176" i="1" s="1"/>
  <c r="T1177" i="1"/>
  <c r="U1177" i="1" l="1"/>
  <c r="V1177" i="1" s="1"/>
  <c r="T1178" i="1"/>
  <c r="U1178" i="1" l="1"/>
  <c r="V1178" i="1" s="1"/>
  <c r="T1179" i="1"/>
  <c r="U1179" i="1" l="1"/>
  <c r="V1179" i="1" s="1"/>
  <c r="T1180" i="1"/>
  <c r="U1180" i="1" l="1"/>
  <c r="V1180" i="1" s="1"/>
  <c r="T1181" i="1"/>
  <c r="U1181" i="1" l="1"/>
  <c r="V1181" i="1" s="1"/>
  <c r="T1182" i="1"/>
  <c r="U1182" i="1" l="1"/>
  <c r="V1182" i="1" s="1"/>
  <c r="T1183" i="1"/>
  <c r="U1183" i="1" l="1"/>
  <c r="V1183" i="1" s="1"/>
  <c r="T1184" i="1"/>
  <c r="U1184" i="1" l="1"/>
  <c r="V1184" i="1" s="1"/>
  <c r="T1185" i="1"/>
  <c r="U1185" i="1" l="1"/>
  <c r="V1185" i="1" s="1"/>
  <c r="T1186" i="1"/>
  <c r="U1186" i="1" l="1"/>
  <c r="V1186" i="1" s="1"/>
  <c r="T1187" i="1"/>
  <c r="U1187" i="1" l="1"/>
  <c r="V1187" i="1" s="1"/>
  <c r="T1188" i="1"/>
  <c r="U1188" i="1" l="1"/>
  <c r="V1188" i="1" s="1"/>
  <c r="T1189" i="1"/>
  <c r="U1189" i="1" l="1"/>
  <c r="V1189" i="1" s="1"/>
  <c r="T1190" i="1"/>
  <c r="U1190" i="1" l="1"/>
  <c r="V1190" i="1" s="1"/>
  <c r="T1191" i="1"/>
  <c r="U1191" i="1" l="1"/>
  <c r="V1191" i="1" s="1"/>
  <c r="T1192" i="1"/>
  <c r="U1192" i="1" l="1"/>
  <c r="V1192" i="1" s="1"/>
  <c r="T1193" i="1"/>
  <c r="U1193" i="1" l="1"/>
  <c r="V1193" i="1" s="1"/>
  <c r="T1194" i="1"/>
  <c r="U1194" i="1" l="1"/>
  <c r="V1194" i="1" s="1"/>
  <c r="T1195" i="1"/>
  <c r="U1195" i="1" l="1"/>
  <c r="V1195" i="1" s="1"/>
  <c r="T1196" i="1"/>
  <c r="U1196" i="1" l="1"/>
  <c r="V1196" i="1" s="1"/>
  <c r="T1197" i="1"/>
  <c r="U1197" i="1" l="1"/>
  <c r="V1197" i="1" s="1"/>
  <c r="T1198" i="1"/>
  <c r="U1198" i="1" l="1"/>
  <c r="V1198" i="1" s="1"/>
  <c r="T1199" i="1"/>
  <c r="U1199" i="1" l="1"/>
  <c r="V1199" i="1" s="1"/>
  <c r="T1200" i="1"/>
  <c r="U1200" i="1" l="1"/>
  <c r="V1200" i="1" s="1"/>
  <c r="T1201" i="1"/>
  <c r="U1201" i="1" l="1"/>
  <c r="V1201" i="1" s="1"/>
  <c r="T1202" i="1"/>
  <c r="U1202" i="1" l="1"/>
  <c r="V1202" i="1" s="1"/>
  <c r="T1203" i="1"/>
  <c r="U1203" i="1" l="1"/>
  <c r="V1203" i="1" s="1"/>
  <c r="T1204" i="1"/>
  <c r="U1204" i="1" l="1"/>
  <c r="V1204" i="1" s="1"/>
  <c r="T1205" i="1"/>
  <c r="U1205" i="1" l="1"/>
  <c r="V1205" i="1" s="1"/>
  <c r="T1206" i="1"/>
  <c r="U1206" i="1" l="1"/>
  <c r="V1206" i="1" s="1"/>
  <c r="T1207" i="1"/>
  <c r="U1207" i="1" l="1"/>
  <c r="V1207" i="1" s="1"/>
  <c r="T1208" i="1"/>
  <c r="U1208" i="1" l="1"/>
  <c r="V1208" i="1" s="1"/>
  <c r="T1209" i="1"/>
  <c r="U1209" i="1" l="1"/>
  <c r="V1209" i="1" s="1"/>
  <c r="T1210" i="1"/>
  <c r="U1210" i="1" l="1"/>
  <c r="V1210" i="1" s="1"/>
  <c r="T1211" i="1"/>
  <c r="U1211" i="1" l="1"/>
  <c r="V1211" i="1" s="1"/>
  <c r="T1212" i="1"/>
  <c r="U1212" i="1" l="1"/>
  <c r="V1212" i="1" s="1"/>
  <c r="T1213" i="1"/>
  <c r="U1213" i="1" l="1"/>
  <c r="V1213" i="1" s="1"/>
  <c r="T1214" i="1"/>
  <c r="U1214" i="1" l="1"/>
  <c r="V1214" i="1" s="1"/>
  <c r="T1215" i="1"/>
  <c r="U1215" i="1" l="1"/>
  <c r="V1215" i="1" s="1"/>
  <c r="T1216" i="1"/>
  <c r="U1216" i="1" l="1"/>
  <c r="V1216" i="1" s="1"/>
  <c r="T1217" i="1"/>
  <c r="U1217" i="1" l="1"/>
  <c r="V1217" i="1" s="1"/>
  <c r="T1218" i="1"/>
  <c r="U1218" i="1" l="1"/>
  <c r="V1218" i="1" s="1"/>
  <c r="T1219" i="1"/>
  <c r="U1219" i="1" l="1"/>
  <c r="V1219" i="1" s="1"/>
  <c r="T1220" i="1"/>
  <c r="U1220" i="1" l="1"/>
  <c r="V1220" i="1" s="1"/>
  <c r="T1221" i="1"/>
  <c r="U1221" i="1" l="1"/>
  <c r="V1221" i="1" s="1"/>
  <c r="T1222" i="1"/>
  <c r="U1222" i="1" l="1"/>
  <c r="V1222" i="1" s="1"/>
  <c r="T1223" i="1"/>
  <c r="U1223" i="1" l="1"/>
  <c r="V1223" i="1" s="1"/>
  <c r="T1224" i="1"/>
  <c r="U1224" i="1" l="1"/>
  <c r="V1224" i="1" s="1"/>
  <c r="T1225" i="1"/>
  <c r="U1225" i="1" l="1"/>
  <c r="V1225" i="1" s="1"/>
  <c r="T1226" i="1"/>
  <c r="U1226" i="1" l="1"/>
  <c r="V1226" i="1" s="1"/>
  <c r="T1227" i="1"/>
  <c r="U1227" i="1" l="1"/>
  <c r="V1227" i="1" s="1"/>
  <c r="T1228" i="1"/>
  <c r="U1228" i="1" l="1"/>
  <c r="V1228" i="1" s="1"/>
  <c r="T1229" i="1"/>
  <c r="U1229" i="1" l="1"/>
  <c r="V1229" i="1" s="1"/>
  <c r="T1230" i="1"/>
  <c r="U1230" i="1" l="1"/>
  <c r="V1230" i="1" s="1"/>
  <c r="T1231" i="1"/>
  <c r="U1231" i="1" l="1"/>
  <c r="V1231" i="1" s="1"/>
  <c r="T1232" i="1"/>
  <c r="U1232" i="1" l="1"/>
  <c r="V1232" i="1" s="1"/>
  <c r="T1233" i="1"/>
  <c r="U1233" i="1" l="1"/>
  <c r="V1233" i="1" s="1"/>
  <c r="T1234" i="1"/>
  <c r="U1234" i="1" l="1"/>
  <c r="V1234" i="1" s="1"/>
  <c r="T1235" i="1"/>
  <c r="U1235" i="1" l="1"/>
  <c r="V1235" i="1" s="1"/>
  <c r="T1236" i="1"/>
  <c r="U1236" i="1" l="1"/>
  <c r="V1236" i="1" s="1"/>
  <c r="T1237" i="1"/>
  <c r="U1237" i="1" l="1"/>
  <c r="V1237" i="1" s="1"/>
  <c r="T1238" i="1"/>
  <c r="U1238" i="1" l="1"/>
  <c r="V1238" i="1" s="1"/>
  <c r="T1239" i="1"/>
  <c r="U1239" i="1" l="1"/>
  <c r="V1239" i="1" s="1"/>
  <c r="T1240" i="1"/>
  <c r="U1240" i="1" l="1"/>
  <c r="V1240" i="1" s="1"/>
  <c r="T1241" i="1"/>
  <c r="U1241" i="1" l="1"/>
  <c r="V1241" i="1" s="1"/>
  <c r="T1242" i="1"/>
  <c r="U1242" i="1" l="1"/>
  <c r="V1242" i="1" s="1"/>
  <c r="T1243" i="1"/>
  <c r="U1243" i="1" l="1"/>
  <c r="V1243" i="1" s="1"/>
  <c r="T1244" i="1"/>
  <c r="U1244" i="1" l="1"/>
  <c r="V1244" i="1" s="1"/>
  <c r="T1245" i="1"/>
  <c r="U1245" i="1" l="1"/>
  <c r="V1245" i="1" s="1"/>
  <c r="T1246" i="1"/>
  <c r="U1246" i="1" l="1"/>
  <c r="V1246" i="1" s="1"/>
  <c r="T1247" i="1"/>
  <c r="U1247" i="1" l="1"/>
  <c r="V1247" i="1" s="1"/>
  <c r="T1248" i="1"/>
  <c r="U1248" i="1" l="1"/>
  <c r="V1248" i="1" s="1"/>
  <c r="T1249" i="1"/>
  <c r="U1249" i="1" l="1"/>
  <c r="V1249" i="1" s="1"/>
  <c r="T1250" i="1"/>
  <c r="U1250" i="1" l="1"/>
  <c r="V1250" i="1" s="1"/>
  <c r="T1251" i="1"/>
  <c r="U1251" i="1" l="1"/>
  <c r="V1251" i="1" s="1"/>
  <c r="T1252" i="1"/>
  <c r="U1252" i="1" l="1"/>
  <c r="V1252" i="1" s="1"/>
  <c r="T1253" i="1"/>
  <c r="U1253" i="1" l="1"/>
  <c r="V1253" i="1" s="1"/>
  <c r="T1254" i="1"/>
  <c r="U1254" i="1" l="1"/>
  <c r="V1254" i="1" s="1"/>
  <c r="T1255" i="1"/>
  <c r="U1255" i="1" l="1"/>
  <c r="V1255" i="1" s="1"/>
  <c r="T1256" i="1"/>
  <c r="U1256" i="1" l="1"/>
  <c r="V1256" i="1" s="1"/>
  <c r="T1257" i="1"/>
  <c r="U1257" i="1" l="1"/>
  <c r="V1257" i="1" s="1"/>
  <c r="T1258" i="1"/>
  <c r="U1258" i="1" l="1"/>
  <c r="V1258" i="1" s="1"/>
  <c r="T1259" i="1"/>
  <c r="U1259" i="1" l="1"/>
  <c r="V1259" i="1" s="1"/>
  <c r="T1260" i="1"/>
  <c r="U1260" i="1" l="1"/>
  <c r="V1260" i="1" s="1"/>
  <c r="T1261" i="1"/>
  <c r="U1261" i="1" l="1"/>
  <c r="V1261" i="1" s="1"/>
  <c r="T1262" i="1"/>
  <c r="U1262" i="1" l="1"/>
  <c r="V1262" i="1" s="1"/>
  <c r="T1263" i="1"/>
  <c r="U1263" i="1" l="1"/>
  <c r="V1263" i="1" s="1"/>
  <c r="T1264" i="1"/>
  <c r="U1264" i="1" l="1"/>
  <c r="V1264" i="1" s="1"/>
  <c r="T1265" i="1"/>
  <c r="U1265" i="1" l="1"/>
  <c r="V1265" i="1" s="1"/>
  <c r="T1266" i="1"/>
  <c r="U1266" i="1" l="1"/>
  <c r="V1266" i="1" s="1"/>
  <c r="T1267" i="1"/>
  <c r="U1267" i="1" l="1"/>
  <c r="V1267" i="1" s="1"/>
  <c r="T1268" i="1"/>
  <c r="U1268" i="1" l="1"/>
  <c r="V1268" i="1" s="1"/>
  <c r="T1269" i="1"/>
  <c r="U1269" i="1" l="1"/>
  <c r="V1269" i="1" s="1"/>
  <c r="T1270" i="1"/>
  <c r="U1270" i="1" l="1"/>
  <c r="V1270" i="1" s="1"/>
  <c r="T1271" i="1"/>
  <c r="U1271" i="1" l="1"/>
  <c r="V1271" i="1" s="1"/>
  <c r="T1272" i="1"/>
  <c r="U1272" i="1" l="1"/>
  <c r="V1272" i="1" s="1"/>
  <c r="T1273" i="1"/>
  <c r="U1273" i="1" l="1"/>
  <c r="V1273" i="1" s="1"/>
  <c r="T1274" i="1"/>
  <c r="U1274" i="1" l="1"/>
  <c r="V1274" i="1" s="1"/>
  <c r="T1275" i="1"/>
  <c r="U1275" i="1" l="1"/>
  <c r="V1275" i="1" s="1"/>
  <c r="T1276" i="1"/>
  <c r="U1276" i="1" l="1"/>
  <c r="V1276" i="1" s="1"/>
  <c r="T1277" i="1"/>
  <c r="U1277" i="1" l="1"/>
  <c r="V1277" i="1" s="1"/>
  <c r="T1278" i="1"/>
  <c r="U1278" i="1" l="1"/>
  <c r="V1278" i="1" s="1"/>
  <c r="T1279" i="1"/>
  <c r="U1279" i="1" l="1"/>
  <c r="V1279" i="1" s="1"/>
  <c r="T1280" i="1"/>
  <c r="U1280" i="1" l="1"/>
  <c r="V1280" i="1" s="1"/>
  <c r="T1281" i="1"/>
  <c r="U1281" i="1" l="1"/>
  <c r="V1281" i="1" s="1"/>
  <c r="T1282" i="1"/>
  <c r="U1282" i="1" l="1"/>
  <c r="V1282" i="1" s="1"/>
  <c r="T1283" i="1"/>
  <c r="U1283" i="1" l="1"/>
  <c r="V1283" i="1" s="1"/>
  <c r="T1284" i="1"/>
  <c r="U1284" i="1" l="1"/>
  <c r="V1284" i="1" s="1"/>
  <c r="T1285" i="1"/>
  <c r="U1285" i="1" l="1"/>
  <c r="V1285" i="1" s="1"/>
  <c r="T1286" i="1"/>
  <c r="U1286" i="1" l="1"/>
  <c r="V1286" i="1" s="1"/>
  <c r="T1287" i="1"/>
  <c r="U1287" i="1" l="1"/>
  <c r="V1287" i="1" s="1"/>
  <c r="T1288" i="1"/>
  <c r="U1288" i="1" l="1"/>
  <c r="V1288" i="1" s="1"/>
  <c r="T1289" i="1"/>
  <c r="U1289" i="1" l="1"/>
  <c r="V1289" i="1" s="1"/>
  <c r="T1290" i="1"/>
  <c r="U1290" i="1" l="1"/>
  <c r="V1290" i="1" s="1"/>
  <c r="T1291" i="1"/>
  <c r="U1291" i="1" l="1"/>
  <c r="V1291" i="1" s="1"/>
  <c r="T1292" i="1"/>
  <c r="U1292" i="1" l="1"/>
  <c r="V1292" i="1" s="1"/>
  <c r="T1293" i="1"/>
  <c r="U1293" i="1" l="1"/>
  <c r="V1293" i="1" s="1"/>
  <c r="T1294" i="1"/>
  <c r="U1294" i="1" l="1"/>
  <c r="V1294" i="1" s="1"/>
  <c r="T1295" i="1"/>
  <c r="U1295" i="1" l="1"/>
  <c r="V1295" i="1" s="1"/>
  <c r="T1296" i="1"/>
  <c r="U1296" i="1" l="1"/>
  <c r="V1296" i="1" s="1"/>
  <c r="T1297" i="1"/>
  <c r="U1297" i="1" l="1"/>
  <c r="V1297" i="1" s="1"/>
  <c r="T1298" i="1"/>
  <c r="U1298" i="1" l="1"/>
  <c r="V1298" i="1" s="1"/>
  <c r="T1299" i="1"/>
  <c r="U1299" i="1" l="1"/>
  <c r="V1299" i="1" s="1"/>
  <c r="T1300" i="1"/>
  <c r="U1300" i="1" l="1"/>
  <c r="V1300" i="1" s="1"/>
  <c r="T1301" i="1"/>
  <c r="U1301" i="1" l="1"/>
  <c r="V1301" i="1" s="1"/>
  <c r="T1302" i="1"/>
  <c r="U1302" i="1" l="1"/>
  <c r="V1302" i="1" s="1"/>
  <c r="T1303" i="1"/>
  <c r="U1303" i="1" l="1"/>
  <c r="V1303" i="1" s="1"/>
  <c r="T1304" i="1"/>
  <c r="U1304" i="1" l="1"/>
  <c r="V1304" i="1" s="1"/>
  <c r="T1305" i="1"/>
  <c r="U1305" i="1" l="1"/>
  <c r="V1305" i="1" s="1"/>
  <c r="T1306" i="1"/>
  <c r="U1306" i="1" l="1"/>
  <c r="V1306" i="1" s="1"/>
  <c r="T1307" i="1"/>
  <c r="U1307" i="1" l="1"/>
  <c r="V1307" i="1" s="1"/>
  <c r="T1308" i="1"/>
  <c r="U1308" i="1" l="1"/>
  <c r="V1308" i="1" s="1"/>
  <c r="T1309" i="1"/>
  <c r="U1309" i="1" l="1"/>
  <c r="V1309" i="1" s="1"/>
  <c r="T1310" i="1"/>
  <c r="U1310" i="1" l="1"/>
  <c r="V1310" i="1" s="1"/>
  <c r="T1311" i="1"/>
  <c r="U1311" i="1" l="1"/>
  <c r="V1311" i="1" s="1"/>
  <c r="T1312" i="1"/>
  <c r="U1312" i="1" l="1"/>
  <c r="V1312" i="1" s="1"/>
  <c r="T1313" i="1"/>
  <c r="U1313" i="1" l="1"/>
  <c r="V1313" i="1" s="1"/>
  <c r="T1314" i="1"/>
  <c r="U1314" i="1" l="1"/>
  <c r="V1314" i="1" s="1"/>
  <c r="T1315" i="1"/>
  <c r="U1315" i="1" l="1"/>
  <c r="V1315" i="1" s="1"/>
  <c r="T1316" i="1"/>
  <c r="U1316" i="1" l="1"/>
  <c r="V1316" i="1" s="1"/>
  <c r="T1317" i="1"/>
  <c r="U1317" i="1" l="1"/>
  <c r="V1317" i="1" s="1"/>
  <c r="T1318" i="1"/>
  <c r="U1318" i="1" l="1"/>
  <c r="V1318" i="1" s="1"/>
  <c r="T1319" i="1"/>
  <c r="U1319" i="1" l="1"/>
  <c r="V1319" i="1" s="1"/>
  <c r="T1320" i="1"/>
  <c r="U1320" i="1" l="1"/>
  <c r="V1320" i="1" s="1"/>
  <c r="T1321" i="1"/>
  <c r="U1321" i="1" l="1"/>
  <c r="V1321" i="1" s="1"/>
  <c r="T1322" i="1"/>
  <c r="U1322" i="1" l="1"/>
  <c r="V1322" i="1" s="1"/>
  <c r="T1323" i="1"/>
  <c r="U1323" i="1" l="1"/>
  <c r="V1323" i="1" s="1"/>
  <c r="T1324" i="1"/>
  <c r="U1324" i="1" l="1"/>
  <c r="V1324" i="1" s="1"/>
  <c r="T1325" i="1"/>
  <c r="U1325" i="1" l="1"/>
  <c r="V1325" i="1" s="1"/>
  <c r="T1326" i="1"/>
  <c r="U1326" i="1" l="1"/>
  <c r="V1326" i="1" s="1"/>
  <c r="T1327" i="1"/>
  <c r="U1327" i="1" l="1"/>
  <c r="V1327" i="1" s="1"/>
  <c r="T1328" i="1"/>
  <c r="U1328" i="1" l="1"/>
  <c r="V1328" i="1" s="1"/>
  <c r="T1329" i="1"/>
  <c r="U1329" i="1" l="1"/>
  <c r="V1329" i="1" s="1"/>
  <c r="T1330" i="1"/>
  <c r="U1330" i="1" l="1"/>
  <c r="V1330" i="1" s="1"/>
  <c r="T1331" i="1"/>
  <c r="U1331" i="1" l="1"/>
  <c r="V1331" i="1" s="1"/>
  <c r="T1332" i="1"/>
  <c r="U1332" i="1" l="1"/>
  <c r="V1332" i="1" s="1"/>
  <c r="T1333" i="1"/>
  <c r="U1333" i="1" l="1"/>
  <c r="V1333" i="1" s="1"/>
  <c r="T1334" i="1"/>
  <c r="U1334" i="1" l="1"/>
  <c r="V1334" i="1" s="1"/>
  <c r="T1335" i="1"/>
  <c r="U1335" i="1" l="1"/>
  <c r="V1335" i="1" s="1"/>
  <c r="T1336" i="1"/>
  <c r="U1336" i="1" l="1"/>
  <c r="V1336" i="1" s="1"/>
  <c r="T1337" i="1"/>
  <c r="U1337" i="1" l="1"/>
  <c r="V1337" i="1" s="1"/>
  <c r="T1338" i="1"/>
  <c r="U1338" i="1" l="1"/>
  <c r="V1338" i="1" s="1"/>
  <c r="T1339" i="1"/>
  <c r="U1339" i="1" l="1"/>
  <c r="V1339" i="1" s="1"/>
  <c r="T1340" i="1"/>
  <c r="U1340" i="1" l="1"/>
  <c r="V1340" i="1" s="1"/>
  <c r="T1341" i="1"/>
  <c r="U1341" i="1" l="1"/>
  <c r="V1341" i="1" s="1"/>
  <c r="T1342" i="1"/>
  <c r="U1342" i="1" l="1"/>
  <c r="V1342" i="1" s="1"/>
  <c r="T1343" i="1"/>
  <c r="U1343" i="1" l="1"/>
  <c r="V1343" i="1" s="1"/>
  <c r="T1344" i="1"/>
  <c r="U1344" i="1" l="1"/>
  <c r="V1344" i="1" s="1"/>
  <c r="T1345" i="1"/>
  <c r="U1345" i="1" l="1"/>
  <c r="V1345" i="1" s="1"/>
  <c r="T1346" i="1"/>
  <c r="U1346" i="1" l="1"/>
  <c r="V1346" i="1" s="1"/>
  <c r="T1347" i="1"/>
  <c r="U1347" i="1" l="1"/>
  <c r="V1347" i="1" s="1"/>
  <c r="T1348" i="1"/>
  <c r="U1348" i="1" l="1"/>
  <c r="V1348" i="1" s="1"/>
  <c r="T1349" i="1"/>
  <c r="U1349" i="1" l="1"/>
  <c r="V1349" i="1" s="1"/>
  <c r="T1350" i="1"/>
  <c r="U1350" i="1" l="1"/>
  <c r="V1350" i="1" s="1"/>
  <c r="T1351" i="1"/>
  <c r="U1351" i="1" l="1"/>
  <c r="V1351" i="1" s="1"/>
  <c r="T1352" i="1"/>
  <c r="U1352" i="1" l="1"/>
  <c r="V1352" i="1" s="1"/>
  <c r="T1353" i="1"/>
  <c r="U1353" i="1" l="1"/>
  <c r="V1353" i="1" s="1"/>
  <c r="T1354" i="1"/>
  <c r="U1354" i="1" l="1"/>
  <c r="V1354" i="1" s="1"/>
  <c r="T1355" i="1"/>
  <c r="U1355" i="1" l="1"/>
  <c r="V1355" i="1" s="1"/>
  <c r="T1356" i="1"/>
  <c r="U1356" i="1" l="1"/>
  <c r="V1356" i="1" s="1"/>
  <c r="T1357" i="1"/>
  <c r="U1357" i="1" l="1"/>
  <c r="V1357" i="1" s="1"/>
  <c r="T1358" i="1"/>
  <c r="U1358" i="1" l="1"/>
  <c r="V1358" i="1" s="1"/>
  <c r="T1359" i="1"/>
  <c r="U1359" i="1" l="1"/>
  <c r="V1359" i="1" s="1"/>
  <c r="T1360" i="1"/>
  <c r="U1360" i="1" l="1"/>
  <c r="V1360" i="1" s="1"/>
  <c r="T1361" i="1"/>
  <c r="U1361" i="1" l="1"/>
  <c r="V1361" i="1" s="1"/>
  <c r="T1362" i="1"/>
  <c r="U1362" i="1" l="1"/>
  <c r="V1362" i="1" s="1"/>
  <c r="T1363" i="1"/>
  <c r="U1363" i="1" l="1"/>
  <c r="V1363" i="1" s="1"/>
  <c r="T1364" i="1"/>
  <c r="U1364" i="1" l="1"/>
  <c r="V1364" i="1" s="1"/>
  <c r="T1365" i="1"/>
  <c r="U1365" i="1" l="1"/>
  <c r="V1365" i="1" s="1"/>
  <c r="T1366" i="1"/>
  <c r="U1366" i="1" l="1"/>
  <c r="V1366" i="1" s="1"/>
  <c r="T1367" i="1"/>
  <c r="U1367" i="1" l="1"/>
  <c r="V1367" i="1" s="1"/>
  <c r="T1368" i="1"/>
  <c r="U1368" i="1" l="1"/>
  <c r="V1368" i="1" s="1"/>
  <c r="T1369" i="1"/>
  <c r="U1369" i="1" l="1"/>
  <c r="V1369" i="1" s="1"/>
  <c r="T1370" i="1"/>
  <c r="U1370" i="1" l="1"/>
  <c r="V1370" i="1" s="1"/>
  <c r="T1371" i="1"/>
  <c r="U1371" i="1" l="1"/>
  <c r="V1371" i="1" s="1"/>
  <c r="T1372" i="1"/>
  <c r="U1372" i="1" l="1"/>
  <c r="V1372" i="1" s="1"/>
  <c r="T1373" i="1"/>
  <c r="U1373" i="1" l="1"/>
  <c r="V1373" i="1" s="1"/>
  <c r="T1374" i="1"/>
  <c r="U1374" i="1" l="1"/>
  <c r="V1374" i="1" s="1"/>
  <c r="T1375" i="1"/>
  <c r="U1375" i="1" l="1"/>
  <c r="V1375" i="1" s="1"/>
  <c r="T1376" i="1"/>
  <c r="U1376" i="1" l="1"/>
  <c r="V1376" i="1" s="1"/>
  <c r="T1377" i="1"/>
  <c r="U1377" i="1" l="1"/>
  <c r="V1377" i="1" s="1"/>
  <c r="T1378" i="1"/>
  <c r="U1378" i="1" l="1"/>
  <c r="V1378" i="1" s="1"/>
  <c r="T1379" i="1"/>
  <c r="U1379" i="1" l="1"/>
  <c r="V1379" i="1" s="1"/>
  <c r="T1380" i="1"/>
  <c r="U1380" i="1" l="1"/>
  <c r="V1380" i="1" s="1"/>
  <c r="T1381" i="1"/>
  <c r="U1381" i="1" l="1"/>
  <c r="V1381" i="1" s="1"/>
  <c r="T1382" i="1"/>
  <c r="U1382" i="1" l="1"/>
  <c r="V1382" i="1" s="1"/>
  <c r="T1383" i="1"/>
  <c r="U1383" i="1" l="1"/>
  <c r="V1383" i="1" s="1"/>
  <c r="T1384" i="1"/>
  <c r="U1384" i="1" l="1"/>
  <c r="V1384" i="1" s="1"/>
  <c r="T1385" i="1"/>
  <c r="U1385" i="1" l="1"/>
  <c r="V1385" i="1" s="1"/>
  <c r="T1386" i="1"/>
  <c r="U1386" i="1" l="1"/>
  <c r="V1386" i="1" s="1"/>
  <c r="T1387" i="1"/>
  <c r="U1387" i="1" l="1"/>
  <c r="V1387" i="1" s="1"/>
  <c r="T1388" i="1"/>
  <c r="U1388" i="1" l="1"/>
  <c r="V1388" i="1" s="1"/>
  <c r="T1389" i="1"/>
  <c r="U1389" i="1" l="1"/>
  <c r="V1389" i="1" s="1"/>
  <c r="T1390" i="1"/>
  <c r="U1390" i="1" l="1"/>
  <c r="V1390" i="1" s="1"/>
  <c r="T1391" i="1"/>
  <c r="U1391" i="1" l="1"/>
  <c r="V1391" i="1" s="1"/>
  <c r="T1392" i="1"/>
  <c r="U1392" i="1" l="1"/>
  <c r="V1392" i="1" s="1"/>
  <c r="T1393" i="1"/>
  <c r="U1393" i="1" l="1"/>
  <c r="V1393" i="1" s="1"/>
  <c r="T1394" i="1"/>
  <c r="U1394" i="1" l="1"/>
  <c r="V1394" i="1" s="1"/>
  <c r="T1395" i="1"/>
  <c r="U1395" i="1" l="1"/>
  <c r="V1395" i="1" s="1"/>
  <c r="T1396" i="1"/>
  <c r="U1396" i="1" l="1"/>
  <c r="V1396" i="1" s="1"/>
  <c r="T1397" i="1"/>
  <c r="U1397" i="1" l="1"/>
  <c r="V1397" i="1" s="1"/>
  <c r="T1398" i="1"/>
  <c r="U1398" i="1" l="1"/>
  <c r="V1398" i="1" s="1"/>
  <c r="T1399" i="1"/>
  <c r="U1399" i="1" l="1"/>
  <c r="V1399" i="1" s="1"/>
  <c r="T1400" i="1"/>
  <c r="U1400" i="1" l="1"/>
  <c r="V1400" i="1" s="1"/>
  <c r="T1401" i="1"/>
  <c r="U1401" i="1" l="1"/>
  <c r="V1401" i="1" s="1"/>
  <c r="T1402" i="1"/>
  <c r="U1402" i="1" l="1"/>
  <c r="V1402" i="1" s="1"/>
  <c r="T1403" i="1"/>
  <c r="U1403" i="1" l="1"/>
  <c r="V1403" i="1" s="1"/>
  <c r="T1404" i="1"/>
  <c r="U1404" i="1" l="1"/>
  <c r="V1404" i="1" s="1"/>
  <c r="T1405" i="1"/>
  <c r="U1405" i="1" l="1"/>
  <c r="V1405" i="1" s="1"/>
  <c r="T1406" i="1"/>
  <c r="U1406" i="1" l="1"/>
  <c r="V1406" i="1" s="1"/>
  <c r="T1407" i="1"/>
  <c r="U1407" i="1" l="1"/>
  <c r="V1407" i="1" s="1"/>
  <c r="T1408" i="1"/>
  <c r="U1408" i="1" l="1"/>
  <c r="V1408" i="1" s="1"/>
  <c r="T1409" i="1"/>
  <c r="U1409" i="1" l="1"/>
  <c r="V1409" i="1" s="1"/>
  <c r="T1410" i="1"/>
  <c r="U1410" i="1" l="1"/>
  <c r="V1410" i="1" s="1"/>
  <c r="T1411" i="1"/>
  <c r="U1411" i="1" l="1"/>
  <c r="V1411" i="1" s="1"/>
  <c r="T1412" i="1"/>
  <c r="U1412" i="1" l="1"/>
  <c r="V1412" i="1" s="1"/>
  <c r="T1413" i="1"/>
  <c r="U1413" i="1" l="1"/>
  <c r="V1413" i="1" s="1"/>
  <c r="T1414" i="1"/>
  <c r="U1414" i="1" l="1"/>
  <c r="V1414" i="1" s="1"/>
  <c r="T1415" i="1"/>
  <c r="U1415" i="1" l="1"/>
  <c r="V1415" i="1" s="1"/>
  <c r="T1416" i="1"/>
  <c r="U1416" i="1" l="1"/>
  <c r="V1416" i="1" s="1"/>
  <c r="T1417" i="1"/>
  <c r="U1417" i="1" l="1"/>
  <c r="V1417" i="1" s="1"/>
  <c r="T1418" i="1"/>
  <c r="U1418" i="1" l="1"/>
  <c r="V1418" i="1" s="1"/>
  <c r="T1419" i="1"/>
  <c r="U1419" i="1" l="1"/>
  <c r="V1419" i="1" s="1"/>
  <c r="T1420" i="1"/>
  <c r="U1420" i="1" l="1"/>
  <c r="V1420" i="1" s="1"/>
  <c r="T1421" i="1"/>
  <c r="U1421" i="1" l="1"/>
  <c r="V1421" i="1" s="1"/>
  <c r="T1422" i="1"/>
  <c r="U1422" i="1" l="1"/>
  <c r="V1422" i="1" s="1"/>
  <c r="T1423" i="1"/>
  <c r="U1423" i="1" l="1"/>
  <c r="V1423" i="1" s="1"/>
  <c r="T1424" i="1"/>
  <c r="U1424" i="1" l="1"/>
  <c r="V1424" i="1" s="1"/>
  <c r="T1425" i="1"/>
  <c r="U1425" i="1" l="1"/>
  <c r="V1425" i="1" s="1"/>
  <c r="T1426" i="1"/>
  <c r="U1426" i="1" l="1"/>
  <c r="V1426" i="1" s="1"/>
  <c r="T1427" i="1"/>
  <c r="U1427" i="1" l="1"/>
  <c r="V1427" i="1" s="1"/>
  <c r="T1428" i="1"/>
  <c r="U1428" i="1" l="1"/>
  <c r="V1428" i="1" s="1"/>
  <c r="T1429" i="1"/>
  <c r="U1429" i="1" l="1"/>
  <c r="V1429" i="1" s="1"/>
  <c r="T1430" i="1"/>
  <c r="U1430" i="1" l="1"/>
  <c r="V1430" i="1" s="1"/>
  <c r="T1431" i="1"/>
  <c r="U1431" i="1" l="1"/>
  <c r="V1431" i="1" s="1"/>
  <c r="T1432" i="1"/>
  <c r="U1432" i="1" l="1"/>
  <c r="V1432" i="1" s="1"/>
  <c r="T1433" i="1"/>
  <c r="U1433" i="1" l="1"/>
  <c r="V1433" i="1" s="1"/>
  <c r="T1434" i="1"/>
  <c r="U1434" i="1" l="1"/>
  <c r="V1434" i="1" s="1"/>
  <c r="T1435" i="1"/>
  <c r="U1435" i="1" l="1"/>
  <c r="V1435" i="1" s="1"/>
  <c r="T1436" i="1"/>
  <c r="U1436" i="1" l="1"/>
  <c r="V1436" i="1" s="1"/>
  <c r="T1437" i="1"/>
  <c r="U1437" i="1" l="1"/>
  <c r="V1437" i="1" s="1"/>
  <c r="T1438" i="1"/>
  <c r="U1438" i="1" l="1"/>
  <c r="V1438" i="1" s="1"/>
  <c r="T1439" i="1"/>
  <c r="U1439" i="1" l="1"/>
  <c r="V1439" i="1" s="1"/>
  <c r="T1440" i="1"/>
  <c r="U1440" i="1" l="1"/>
  <c r="V1440" i="1" s="1"/>
  <c r="T1441" i="1"/>
  <c r="U1441" i="1" l="1"/>
  <c r="V1441" i="1" s="1"/>
  <c r="T1442" i="1"/>
  <c r="U1442" i="1" l="1"/>
  <c r="V1442" i="1" s="1"/>
  <c r="T1443" i="1"/>
  <c r="U1443" i="1" l="1"/>
  <c r="V1443" i="1" s="1"/>
  <c r="T1444" i="1"/>
  <c r="U1444" i="1" l="1"/>
  <c r="V1444" i="1" s="1"/>
  <c r="T1445" i="1"/>
  <c r="U1445" i="1" l="1"/>
  <c r="V1445" i="1" s="1"/>
  <c r="T1446" i="1"/>
  <c r="U1446" i="1" l="1"/>
  <c r="V1446" i="1" s="1"/>
  <c r="T1447" i="1"/>
  <c r="U1447" i="1" l="1"/>
  <c r="V1447" i="1" s="1"/>
  <c r="T1448" i="1"/>
  <c r="U1448" i="1" l="1"/>
  <c r="V1448" i="1" s="1"/>
  <c r="T1449" i="1"/>
  <c r="U1449" i="1" l="1"/>
  <c r="V1449" i="1" s="1"/>
  <c r="T1450" i="1"/>
  <c r="U1450" i="1" l="1"/>
  <c r="V1450" i="1" s="1"/>
  <c r="T1451" i="1"/>
  <c r="U1451" i="1" l="1"/>
  <c r="V1451" i="1" s="1"/>
  <c r="T1452" i="1"/>
  <c r="U1452" i="1" l="1"/>
  <c r="V1452" i="1" s="1"/>
  <c r="T1453" i="1"/>
  <c r="U1453" i="1" l="1"/>
  <c r="V1453" i="1" s="1"/>
  <c r="T1454" i="1"/>
  <c r="U1454" i="1" l="1"/>
  <c r="V1454" i="1" s="1"/>
  <c r="T1455" i="1"/>
  <c r="U1455" i="1" l="1"/>
  <c r="V1455" i="1" s="1"/>
  <c r="T1456" i="1"/>
  <c r="U1456" i="1" l="1"/>
  <c r="V1456" i="1" s="1"/>
  <c r="T1457" i="1"/>
  <c r="U1457" i="1" l="1"/>
  <c r="V1457" i="1" s="1"/>
  <c r="T1458" i="1"/>
  <c r="U1458" i="1" l="1"/>
  <c r="V1458" i="1" s="1"/>
  <c r="T1459" i="1"/>
  <c r="U1459" i="1" l="1"/>
  <c r="V1459" i="1" s="1"/>
  <c r="T1460" i="1"/>
  <c r="U1460" i="1" l="1"/>
  <c r="V1460" i="1" s="1"/>
  <c r="T1461" i="1"/>
  <c r="U1461" i="1" l="1"/>
  <c r="V1461" i="1" s="1"/>
  <c r="T1462" i="1"/>
  <c r="U1462" i="1" l="1"/>
  <c r="V1462" i="1" s="1"/>
  <c r="T1463" i="1"/>
  <c r="U1463" i="1" l="1"/>
  <c r="V1463" i="1" s="1"/>
  <c r="T1464" i="1"/>
  <c r="U1464" i="1" l="1"/>
  <c r="V1464" i="1" s="1"/>
  <c r="T1465" i="1"/>
  <c r="U1465" i="1" l="1"/>
  <c r="V1465" i="1" s="1"/>
  <c r="T1466" i="1"/>
  <c r="U1466" i="1" l="1"/>
  <c r="V1466" i="1" s="1"/>
  <c r="T1467" i="1"/>
  <c r="U1467" i="1" l="1"/>
  <c r="V1467" i="1" s="1"/>
  <c r="T1468" i="1"/>
  <c r="U1468" i="1" l="1"/>
  <c r="V1468" i="1" s="1"/>
  <c r="T1469" i="1"/>
  <c r="U1469" i="1" l="1"/>
  <c r="V1469" i="1" s="1"/>
  <c r="T1470" i="1"/>
  <c r="U1470" i="1" l="1"/>
  <c r="V1470" i="1" s="1"/>
  <c r="T1471" i="1"/>
  <c r="U1471" i="1" l="1"/>
  <c r="V1471" i="1" s="1"/>
  <c r="T1472" i="1"/>
  <c r="U1472" i="1" l="1"/>
  <c r="V1472" i="1" s="1"/>
  <c r="T1473" i="1"/>
  <c r="U1473" i="1" l="1"/>
  <c r="V1473" i="1" s="1"/>
  <c r="T1474" i="1"/>
  <c r="U1474" i="1" l="1"/>
  <c r="V1474" i="1" s="1"/>
  <c r="T1475" i="1"/>
  <c r="U1475" i="1" l="1"/>
  <c r="V1475" i="1" s="1"/>
  <c r="T1476" i="1"/>
  <c r="U1476" i="1" l="1"/>
  <c r="V1476" i="1" s="1"/>
  <c r="T1477" i="1"/>
  <c r="U1477" i="1" l="1"/>
  <c r="V1477" i="1" s="1"/>
  <c r="T1478" i="1"/>
  <c r="U1478" i="1" l="1"/>
  <c r="V1478" i="1" s="1"/>
  <c r="T1479" i="1"/>
  <c r="U1479" i="1" l="1"/>
  <c r="V1479" i="1" s="1"/>
  <c r="T1480" i="1"/>
  <c r="U1480" i="1" l="1"/>
  <c r="V1480" i="1" s="1"/>
  <c r="T1481" i="1"/>
  <c r="U1481" i="1" l="1"/>
  <c r="V1481" i="1" s="1"/>
  <c r="T1482" i="1"/>
  <c r="U1482" i="1" l="1"/>
  <c r="V1482" i="1" s="1"/>
  <c r="T1483" i="1"/>
  <c r="U1483" i="1" l="1"/>
  <c r="V1483" i="1" s="1"/>
  <c r="T1484" i="1"/>
  <c r="U1484" i="1" l="1"/>
  <c r="V1484" i="1" s="1"/>
  <c r="T1485" i="1"/>
  <c r="U1485" i="1" l="1"/>
  <c r="V1485" i="1" s="1"/>
  <c r="T1486" i="1"/>
  <c r="U1486" i="1" l="1"/>
  <c r="V1486" i="1" s="1"/>
  <c r="T1487" i="1"/>
  <c r="U1487" i="1" l="1"/>
  <c r="V1487" i="1" s="1"/>
  <c r="T1488" i="1"/>
  <c r="U1488" i="1" l="1"/>
  <c r="V1488" i="1" s="1"/>
  <c r="T1489" i="1"/>
  <c r="U1489" i="1" l="1"/>
  <c r="V1489" i="1" s="1"/>
  <c r="T1490" i="1"/>
  <c r="U1490" i="1" l="1"/>
  <c r="V1490" i="1" s="1"/>
  <c r="T1491" i="1"/>
  <c r="U1491" i="1" l="1"/>
  <c r="V1491" i="1" s="1"/>
  <c r="T1492" i="1"/>
  <c r="U1492" i="1" l="1"/>
  <c r="V1492" i="1" s="1"/>
  <c r="T1493" i="1"/>
  <c r="U1493" i="1" l="1"/>
  <c r="V1493" i="1" s="1"/>
  <c r="T1494" i="1"/>
  <c r="U1494" i="1" l="1"/>
  <c r="V1494" i="1" s="1"/>
  <c r="T1495" i="1"/>
  <c r="U1495" i="1" l="1"/>
  <c r="V1495" i="1" s="1"/>
  <c r="T1496" i="1"/>
  <c r="U1496" i="1" l="1"/>
  <c r="V1496" i="1" s="1"/>
  <c r="T1497" i="1"/>
  <c r="U1497" i="1" l="1"/>
  <c r="V1497" i="1" s="1"/>
  <c r="T1498" i="1"/>
  <c r="U1498" i="1" l="1"/>
  <c r="V1498" i="1" s="1"/>
  <c r="T1499" i="1"/>
  <c r="U1499" i="1" l="1"/>
  <c r="V1499" i="1" s="1"/>
  <c r="T1500" i="1"/>
  <c r="U1500" i="1" l="1"/>
  <c r="V1500" i="1" s="1"/>
  <c r="T1501" i="1"/>
  <c r="U1501" i="1" l="1"/>
  <c r="V1501" i="1" s="1"/>
  <c r="T1502" i="1"/>
  <c r="U1502" i="1" l="1"/>
  <c r="V1502" i="1" s="1"/>
  <c r="T1503" i="1"/>
  <c r="U1503" i="1" l="1"/>
  <c r="V1503" i="1" s="1"/>
  <c r="T1504" i="1"/>
  <c r="U1504" i="1" l="1"/>
  <c r="V1504" i="1" s="1"/>
  <c r="T1505" i="1"/>
  <c r="U1505" i="1" l="1"/>
  <c r="V1505" i="1" s="1"/>
  <c r="T1506" i="1"/>
  <c r="U1506" i="1" l="1"/>
  <c r="V1506" i="1" s="1"/>
  <c r="T1507" i="1"/>
  <c r="U1507" i="1" l="1"/>
  <c r="V1507" i="1" s="1"/>
  <c r="T1508" i="1"/>
  <c r="U1508" i="1" l="1"/>
  <c r="V1508" i="1" s="1"/>
  <c r="T1509" i="1"/>
  <c r="U1509" i="1" l="1"/>
  <c r="V1509" i="1" s="1"/>
  <c r="T1510" i="1"/>
  <c r="U1510" i="1" l="1"/>
  <c r="V1510" i="1" s="1"/>
  <c r="T1511" i="1"/>
  <c r="U1511" i="1" l="1"/>
  <c r="V1511" i="1" s="1"/>
  <c r="T1512" i="1"/>
  <c r="U1512" i="1" l="1"/>
  <c r="V1512" i="1" s="1"/>
  <c r="T1513" i="1"/>
  <c r="U1513" i="1" l="1"/>
  <c r="V1513" i="1" s="1"/>
  <c r="T1514" i="1"/>
  <c r="U1514" i="1" l="1"/>
  <c r="V1514" i="1" s="1"/>
  <c r="T1515" i="1"/>
  <c r="U1515" i="1" l="1"/>
  <c r="V1515" i="1" s="1"/>
  <c r="T1516" i="1"/>
  <c r="U1516" i="1" l="1"/>
  <c r="V1516" i="1" s="1"/>
  <c r="T1517" i="1"/>
  <c r="U1517" i="1" l="1"/>
  <c r="V1517" i="1" s="1"/>
  <c r="T1518" i="1"/>
  <c r="U1518" i="1" l="1"/>
  <c r="V1518" i="1" s="1"/>
  <c r="T1519" i="1"/>
  <c r="U1519" i="1" l="1"/>
  <c r="V1519" i="1" s="1"/>
  <c r="T1520" i="1"/>
  <c r="U1520" i="1" l="1"/>
  <c r="V1520" i="1" s="1"/>
  <c r="T1521" i="1"/>
  <c r="U1521" i="1" l="1"/>
  <c r="V1521" i="1" s="1"/>
  <c r="T1522" i="1"/>
  <c r="U1522" i="1" l="1"/>
  <c r="V1522" i="1" s="1"/>
  <c r="T1523" i="1"/>
  <c r="U1523" i="1" l="1"/>
  <c r="V1523" i="1" s="1"/>
  <c r="T1524" i="1"/>
  <c r="U1524" i="1" l="1"/>
  <c r="V1524" i="1" s="1"/>
  <c r="T1525" i="1"/>
  <c r="U1525" i="1" l="1"/>
  <c r="V1525" i="1" s="1"/>
  <c r="T1526" i="1"/>
  <c r="U1526" i="1" l="1"/>
  <c r="V1526" i="1" s="1"/>
  <c r="T1527" i="1"/>
  <c r="U1527" i="1" l="1"/>
  <c r="V1527" i="1" s="1"/>
  <c r="T1528" i="1"/>
  <c r="U1528" i="1" l="1"/>
  <c r="V1528" i="1" s="1"/>
  <c r="T1529" i="1"/>
  <c r="U1529" i="1" l="1"/>
  <c r="V1529" i="1" s="1"/>
  <c r="T1530" i="1"/>
  <c r="U1530" i="1" l="1"/>
  <c r="V1530" i="1" s="1"/>
  <c r="T1531" i="1"/>
  <c r="U1531" i="1" l="1"/>
  <c r="V1531" i="1" s="1"/>
  <c r="T1532" i="1"/>
  <c r="U1532" i="1" l="1"/>
  <c r="V1532" i="1" s="1"/>
  <c r="T1533" i="1"/>
  <c r="U1533" i="1" l="1"/>
  <c r="V1533" i="1" s="1"/>
  <c r="T1534" i="1"/>
  <c r="U1534" i="1" l="1"/>
  <c r="V1534" i="1" s="1"/>
  <c r="T1535" i="1"/>
  <c r="U1535" i="1" l="1"/>
  <c r="V1535" i="1" s="1"/>
  <c r="T1536" i="1"/>
  <c r="U1536" i="1" l="1"/>
  <c r="V1536" i="1" s="1"/>
  <c r="T1537" i="1"/>
  <c r="U1537" i="1" l="1"/>
  <c r="V1537" i="1" s="1"/>
  <c r="T1538" i="1"/>
  <c r="U1538" i="1" l="1"/>
  <c r="V1538" i="1" s="1"/>
  <c r="T1539" i="1"/>
  <c r="U1539" i="1" l="1"/>
  <c r="V1539" i="1" s="1"/>
  <c r="T1540" i="1"/>
  <c r="U1540" i="1" l="1"/>
  <c r="V1540" i="1" s="1"/>
  <c r="T1541" i="1"/>
  <c r="U1541" i="1" l="1"/>
  <c r="V1541" i="1" s="1"/>
  <c r="T1542" i="1"/>
  <c r="U1542" i="1" l="1"/>
  <c r="V1542" i="1" s="1"/>
  <c r="T1543" i="1"/>
  <c r="U1543" i="1" l="1"/>
  <c r="V1543" i="1" s="1"/>
  <c r="T1544" i="1"/>
  <c r="U1544" i="1" l="1"/>
  <c r="V1544" i="1" s="1"/>
  <c r="T1545" i="1"/>
  <c r="U1545" i="1" l="1"/>
  <c r="V1545" i="1" s="1"/>
  <c r="T1546" i="1"/>
  <c r="U1546" i="1" l="1"/>
  <c r="V1546" i="1" s="1"/>
  <c r="T1547" i="1"/>
  <c r="U1547" i="1" l="1"/>
  <c r="V1547" i="1" s="1"/>
  <c r="T1548" i="1"/>
  <c r="U1548" i="1" l="1"/>
  <c r="V1548" i="1" s="1"/>
  <c r="T1549" i="1"/>
  <c r="U1549" i="1" l="1"/>
  <c r="V1549" i="1" s="1"/>
  <c r="T1550" i="1"/>
  <c r="U1550" i="1" l="1"/>
  <c r="V1550" i="1" s="1"/>
  <c r="T1551" i="1"/>
  <c r="U1551" i="1" l="1"/>
  <c r="V1551" i="1" s="1"/>
  <c r="T1552" i="1"/>
  <c r="U1552" i="1" l="1"/>
  <c r="V1552" i="1" s="1"/>
  <c r="T1553" i="1"/>
  <c r="U1553" i="1" l="1"/>
  <c r="V1553" i="1" s="1"/>
  <c r="T1554" i="1"/>
  <c r="U1554" i="1" l="1"/>
  <c r="V1554" i="1" s="1"/>
  <c r="T1555" i="1"/>
  <c r="U1555" i="1" l="1"/>
  <c r="V1555" i="1" s="1"/>
  <c r="T1556" i="1"/>
  <c r="U1556" i="1" l="1"/>
  <c r="V1556" i="1" s="1"/>
  <c r="T1557" i="1"/>
  <c r="U1557" i="1" l="1"/>
  <c r="V1557" i="1" s="1"/>
  <c r="T1558" i="1"/>
  <c r="U1558" i="1" l="1"/>
  <c r="V1558" i="1" s="1"/>
  <c r="T1559" i="1"/>
  <c r="U1559" i="1" l="1"/>
  <c r="V1559" i="1" s="1"/>
  <c r="T1560" i="1"/>
  <c r="U1560" i="1" l="1"/>
  <c r="V1560" i="1" s="1"/>
  <c r="T1561" i="1"/>
  <c r="U1561" i="1" l="1"/>
  <c r="V1561" i="1" s="1"/>
  <c r="T1562" i="1"/>
  <c r="U1562" i="1" l="1"/>
  <c r="V1562" i="1" s="1"/>
  <c r="T1563" i="1"/>
  <c r="U1563" i="1" l="1"/>
  <c r="V1563" i="1" s="1"/>
  <c r="T1564" i="1"/>
  <c r="U1564" i="1" l="1"/>
  <c r="V1564" i="1" s="1"/>
  <c r="T1565" i="1"/>
  <c r="U1565" i="1" l="1"/>
  <c r="V1565" i="1" s="1"/>
  <c r="T1566" i="1"/>
  <c r="U1566" i="1" l="1"/>
  <c r="V1566" i="1" s="1"/>
  <c r="T1567" i="1"/>
  <c r="U1567" i="1" l="1"/>
  <c r="V1567" i="1" s="1"/>
  <c r="T1568" i="1"/>
  <c r="U1568" i="1" l="1"/>
  <c r="V1568" i="1" s="1"/>
  <c r="T1569" i="1"/>
  <c r="U1569" i="1" l="1"/>
  <c r="V1569" i="1" s="1"/>
  <c r="T1570" i="1"/>
  <c r="U1570" i="1" l="1"/>
  <c r="V1570" i="1" s="1"/>
  <c r="T1571" i="1"/>
  <c r="U1571" i="1" l="1"/>
  <c r="V1571" i="1" s="1"/>
  <c r="T1572" i="1"/>
  <c r="U1572" i="1" l="1"/>
  <c r="V1572" i="1" s="1"/>
  <c r="T1573" i="1"/>
  <c r="U1573" i="1" l="1"/>
  <c r="V1573" i="1" s="1"/>
  <c r="T1574" i="1"/>
  <c r="U1574" i="1" l="1"/>
  <c r="V1574" i="1" s="1"/>
  <c r="T1575" i="1"/>
  <c r="U1575" i="1" l="1"/>
  <c r="V1575" i="1" s="1"/>
  <c r="T1576" i="1"/>
  <c r="U1576" i="1" l="1"/>
  <c r="V1576" i="1" s="1"/>
  <c r="T1577" i="1"/>
  <c r="U1577" i="1" l="1"/>
  <c r="V1577" i="1" s="1"/>
  <c r="T1578" i="1"/>
  <c r="U1578" i="1" l="1"/>
  <c r="V1578" i="1" s="1"/>
  <c r="T1579" i="1"/>
  <c r="U1579" i="1" l="1"/>
  <c r="V1579" i="1" s="1"/>
  <c r="T1580" i="1"/>
  <c r="U1580" i="1" l="1"/>
  <c r="V1580" i="1" s="1"/>
  <c r="T1581" i="1"/>
  <c r="U1581" i="1" l="1"/>
  <c r="V1581" i="1" s="1"/>
  <c r="T1582" i="1"/>
  <c r="U1582" i="1" l="1"/>
  <c r="V1582" i="1" s="1"/>
  <c r="T1583" i="1"/>
  <c r="U1583" i="1" l="1"/>
  <c r="V1583" i="1" s="1"/>
  <c r="T1584" i="1"/>
  <c r="U1584" i="1" l="1"/>
  <c r="V1584" i="1" s="1"/>
  <c r="T1585" i="1"/>
  <c r="U1585" i="1" l="1"/>
  <c r="V1585" i="1" s="1"/>
  <c r="T1586" i="1"/>
  <c r="U1586" i="1" l="1"/>
  <c r="V1586" i="1" s="1"/>
  <c r="T1587" i="1"/>
  <c r="U1587" i="1" l="1"/>
  <c r="V1587" i="1" s="1"/>
  <c r="T1588" i="1"/>
  <c r="U1588" i="1" l="1"/>
  <c r="V1588" i="1" s="1"/>
  <c r="T1589" i="1"/>
  <c r="U1589" i="1" l="1"/>
  <c r="V1589" i="1" s="1"/>
  <c r="T1590" i="1"/>
  <c r="U1590" i="1" l="1"/>
  <c r="V1590" i="1" s="1"/>
  <c r="T1591" i="1"/>
  <c r="U1591" i="1" l="1"/>
  <c r="V1591" i="1" s="1"/>
  <c r="T1592" i="1"/>
  <c r="U1592" i="1" l="1"/>
  <c r="V1592" i="1" s="1"/>
  <c r="T1593" i="1"/>
  <c r="U1593" i="1" l="1"/>
  <c r="V1593" i="1" s="1"/>
  <c r="T1594" i="1"/>
  <c r="U1594" i="1" l="1"/>
  <c r="V1594" i="1" s="1"/>
  <c r="T1595" i="1"/>
  <c r="U1595" i="1" l="1"/>
  <c r="V1595" i="1" s="1"/>
  <c r="T1596" i="1"/>
  <c r="U1596" i="1" l="1"/>
  <c r="V1596" i="1" s="1"/>
  <c r="T1597" i="1"/>
  <c r="U1597" i="1" l="1"/>
  <c r="V1597" i="1" s="1"/>
  <c r="T1598" i="1"/>
  <c r="U1598" i="1" l="1"/>
  <c r="V1598" i="1" s="1"/>
  <c r="T1599" i="1"/>
  <c r="U1599" i="1" l="1"/>
  <c r="V1599" i="1" s="1"/>
  <c r="T1600" i="1"/>
  <c r="U1600" i="1" l="1"/>
  <c r="V1600" i="1" s="1"/>
  <c r="T1601" i="1"/>
  <c r="U1601" i="1" l="1"/>
  <c r="V1601" i="1" s="1"/>
  <c r="T1602" i="1"/>
  <c r="U1602" i="1" l="1"/>
  <c r="V1602" i="1" s="1"/>
  <c r="T1603" i="1"/>
  <c r="U1603" i="1" l="1"/>
  <c r="V1603" i="1" s="1"/>
  <c r="T1604" i="1"/>
  <c r="U1604" i="1" l="1"/>
  <c r="V1604" i="1" s="1"/>
  <c r="T1605" i="1"/>
  <c r="U1605" i="1" l="1"/>
  <c r="V1605" i="1" s="1"/>
  <c r="T1606" i="1"/>
  <c r="U1606" i="1" l="1"/>
  <c r="V1606" i="1" s="1"/>
  <c r="T1607" i="1"/>
  <c r="U1607" i="1" l="1"/>
  <c r="V1607" i="1" s="1"/>
  <c r="T1608" i="1"/>
  <c r="U1608" i="1" l="1"/>
  <c r="V1608" i="1" s="1"/>
  <c r="T1609" i="1"/>
  <c r="U1609" i="1" l="1"/>
  <c r="V1609" i="1" s="1"/>
  <c r="T1610" i="1"/>
  <c r="U1610" i="1" l="1"/>
  <c r="V1610" i="1" s="1"/>
  <c r="T1611" i="1"/>
  <c r="U1611" i="1" l="1"/>
  <c r="V1611" i="1" s="1"/>
  <c r="T1612" i="1"/>
  <c r="U1612" i="1" l="1"/>
  <c r="V1612" i="1" s="1"/>
  <c r="T1613" i="1"/>
  <c r="U1613" i="1" l="1"/>
  <c r="V1613" i="1" s="1"/>
  <c r="T1614" i="1"/>
  <c r="U1614" i="1" l="1"/>
  <c r="V1614" i="1" s="1"/>
  <c r="T1615" i="1"/>
  <c r="U1615" i="1" l="1"/>
  <c r="V1615" i="1" s="1"/>
  <c r="T1616" i="1"/>
  <c r="U1616" i="1" l="1"/>
  <c r="V1616" i="1" s="1"/>
  <c r="T1617" i="1"/>
  <c r="U1617" i="1" l="1"/>
  <c r="V1617" i="1" s="1"/>
  <c r="T1618" i="1"/>
  <c r="U1618" i="1" l="1"/>
  <c r="V1618" i="1" s="1"/>
  <c r="T1619" i="1"/>
  <c r="U1619" i="1" l="1"/>
  <c r="V1619" i="1" s="1"/>
  <c r="T1620" i="1"/>
  <c r="U1620" i="1" l="1"/>
  <c r="V1620" i="1" s="1"/>
  <c r="T1621" i="1"/>
  <c r="U1621" i="1" l="1"/>
  <c r="V1621" i="1" s="1"/>
  <c r="T1622" i="1"/>
  <c r="U1622" i="1" l="1"/>
  <c r="V1622" i="1" s="1"/>
  <c r="T1623" i="1"/>
  <c r="U1623" i="1" l="1"/>
  <c r="V1623" i="1" s="1"/>
  <c r="T1624" i="1"/>
  <c r="U1624" i="1" l="1"/>
  <c r="V1624" i="1" s="1"/>
  <c r="T1625" i="1"/>
  <c r="U1625" i="1" l="1"/>
  <c r="V1625" i="1" s="1"/>
  <c r="T1626" i="1"/>
  <c r="U1626" i="1" l="1"/>
  <c r="V1626" i="1" s="1"/>
  <c r="T1627" i="1"/>
  <c r="U1627" i="1" l="1"/>
  <c r="V1627" i="1" s="1"/>
  <c r="T1628" i="1"/>
  <c r="U1628" i="1" l="1"/>
  <c r="V1628" i="1" s="1"/>
  <c r="T1629" i="1"/>
  <c r="U1629" i="1" l="1"/>
  <c r="V1629" i="1" s="1"/>
  <c r="T1630" i="1"/>
  <c r="U1630" i="1" l="1"/>
  <c r="V1630" i="1" s="1"/>
  <c r="T1631" i="1"/>
  <c r="U1631" i="1" l="1"/>
  <c r="V1631" i="1" s="1"/>
  <c r="T1632" i="1"/>
  <c r="U1632" i="1" l="1"/>
  <c r="V1632" i="1" s="1"/>
  <c r="T1633" i="1"/>
  <c r="U1633" i="1" l="1"/>
  <c r="V1633" i="1" s="1"/>
  <c r="T1634" i="1"/>
  <c r="U1634" i="1" l="1"/>
  <c r="V1634" i="1" s="1"/>
  <c r="T1635" i="1"/>
  <c r="U1635" i="1" l="1"/>
  <c r="V1635" i="1" s="1"/>
  <c r="T1636" i="1"/>
  <c r="U1636" i="1" l="1"/>
  <c r="V1636" i="1" s="1"/>
  <c r="T1637" i="1"/>
  <c r="U1637" i="1" l="1"/>
  <c r="V1637" i="1" s="1"/>
  <c r="T1638" i="1"/>
  <c r="U1638" i="1" l="1"/>
  <c r="V1638" i="1" s="1"/>
  <c r="T1639" i="1"/>
  <c r="U1639" i="1" l="1"/>
  <c r="V1639" i="1" s="1"/>
  <c r="T1640" i="1"/>
  <c r="U1640" i="1" l="1"/>
  <c r="V1640" i="1" s="1"/>
  <c r="T1641" i="1"/>
  <c r="U1641" i="1" l="1"/>
  <c r="V1641" i="1" s="1"/>
  <c r="T1642" i="1"/>
  <c r="U1642" i="1" l="1"/>
  <c r="V1642" i="1" s="1"/>
  <c r="T1643" i="1"/>
  <c r="U1643" i="1" l="1"/>
  <c r="V1643" i="1" s="1"/>
  <c r="T1644" i="1"/>
  <c r="U1644" i="1" l="1"/>
  <c r="V1644" i="1" s="1"/>
  <c r="T1645" i="1"/>
  <c r="U1645" i="1" l="1"/>
  <c r="V1645" i="1" s="1"/>
  <c r="T1646" i="1"/>
  <c r="U1646" i="1" l="1"/>
  <c r="V1646" i="1" s="1"/>
  <c r="T1647" i="1"/>
  <c r="U1647" i="1" l="1"/>
  <c r="V1647" i="1" s="1"/>
  <c r="T1648" i="1"/>
  <c r="U1648" i="1" l="1"/>
  <c r="V1648" i="1" s="1"/>
  <c r="T1649" i="1"/>
  <c r="U1649" i="1" l="1"/>
  <c r="V1649" i="1" s="1"/>
  <c r="T1650" i="1"/>
  <c r="U1650" i="1" l="1"/>
  <c r="V1650" i="1" s="1"/>
  <c r="T1651" i="1"/>
  <c r="U1651" i="1" l="1"/>
  <c r="V1651" i="1" s="1"/>
  <c r="T1652" i="1"/>
  <c r="U1652" i="1" l="1"/>
  <c r="V1652" i="1" s="1"/>
  <c r="T1653" i="1"/>
  <c r="U1653" i="1" l="1"/>
  <c r="V1653" i="1" s="1"/>
  <c r="T1654" i="1"/>
  <c r="U1654" i="1" l="1"/>
  <c r="V1654" i="1" s="1"/>
  <c r="T1655" i="1"/>
  <c r="U1655" i="1" l="1"/>
  <c r="V1655" i="1" s="1"/>
  <c r="T1656" i="1"/>
  <c r="U1656" i="1" l="1"/>
  <c r="V1656" i="1" s="1"/>
  <c r="T1657" i="1"/>
  <c r="U1657" i="1" l="1"/>
  <c r="V1657" i="1" s="1"/>
  <c r="T1658" i="1"/>
  <c r="U1658" i="1" l="1"/>
  <c r="V1658" i="1" s="1"/>
  <c r="T1659" i="1"/>
  <c r="U1659" i="1" l="1"/>
  <c r="V1659" i="1" s="1"/>
  <c r="T1660" i="1"/>
  <c r="U1660" i="1" l="1"/>
  <c r="V1660" i="1" s="1"/>
  <c r="T1661" i="1"/>
  <c r="U1661" i="1" l="1"/>
  <c r="V1661" i="1" s="1"/>
  <c r="T1662" i="1"/>
  <c r="U1662" i="1" l="1"/>
  <c r="V1662" i="1" s="1"/>
  <c r="T1663" i="1"/>
  <c r="U1663" i="1" l="1"/>
  <c r="V1663" i="1" s="1"/>
  <c r="T1664" i="1"/>
  <c r="U1664" i="1" l="1"/>
  <c r="V1664" i="1" s="1"/>
  <c r="T1665" i="1"/>
  <c r="U1665" i="1" l="1"/>
  <c r="V1665" i="1" s="1"/>
  <c r="T1666" i="1"/>
  <c r="U1666" i="1" l="1"/>
  <c r="V1666" i="1" s="1"/>
  <c r="T1667" i="1"/>
  <c r="U1667" i="1" l="1"/>
  <c r="V1667" i="1" s="1"/>
  <c r="T1668" i="1"/>
  <c r="U1668" i="1" l="1"/>
  <c r="V1668" i="1" s="1"/>
  <c r="T1669" i="1"/>
  <c r="U1669" i="1" l="1"/>
  <c r="V1669" i="1" s="1"/>
  <c r="T1670" i="1"/>
  <c r="U1670" i="1" l="1"/>
  <c r="V1670" i="1" s="1"/>
  <c r="T1671" i="1"/>
  <c r="U1671" i="1" l="1"/>
  <c r="V1671" i="1" s="1"/>
  <c r="T1672" i="1"/>
  <c r="U1672" i="1" l="1"/>
  <c r="V1672" i="1" s="1"/>
  <c r="T1673" i="1"/>
  <c r="U1673" i="1" l="1"/>
  <c r="V1673" i="1" s="1"/>
  <c r="T1674" i="1"/>
  <c r="U1674" i="1" l="1"/>
  <c r="V1674" i="1" s="1"/>
  <c r="T1675" i="1"/>
  <c r="U1675" i="1" l="1"/>
  <c r="V1675" i="1" s="1"/>
  <c r="T1676" i="1"/>
  <c r="U1676" i="1" l="1"/>
  <c r="V1676" i="1" s="1"/>
  <c r="T1677" i="1"/>
  <c r="U1677" i="1" l="1"/>
  <c r="V1677" i="1" s="1"/>
  <c r="T1678" i="1"/>
  <c r="U1678" i="1" l="1"/>
  <c r="V1678" i="1" s="1"/>
  <c r="T1679" i="1"/>
  <c r="U1679" i="1" l="1"/>
  <c r="V1679" i="1" s="1"/>
  <c r="T1680" i="1"/>
  <c r="U1680" i="1" l="1"/>
  <c r="V1680" i="1" s="1"/>
  <c r="T1681" i="1"/>
  <c r="U1681" i="1" l="1"/>
  <c r="V1681" i="1" s="1"/>
  <c r="T1682" i="1"/>
  <c r="U1682" i="1" l="1"/>
  <c r="V1682" i="1" s="1"/>
  <c r="T1683" i="1"/>
  <c r="U1683" i="1" l="1"/>
  <c r="V1683" i="1" s="1"/>
  <c r="T1684" i="1"/>
  <c r="U1684" i="1" l="1"/>
  <c r="V1684" i="1" s="1"/>
  <c r="T1685" i="1"/>
  <c r="U1685" i="1" l="1"/>
  <c r="V1685" i="1" s="1"/>
  <c r="T1686" i="1"/>
  <c r="U1686" i="1" l="1"/>
  <c r="V1686" i="1" s="1"/>
  <c r="T1687" i="1"/>
  <c r="U1687" i="1" l="1"/>
  <c r="V1687" i="1" s="1"/>
  <c r="T1688" i="1"/>
  <c r="U1688" i="1" l="1"/>
  <c r="V1688" i="1" s="1"/>
  <c r="T1689" i="1"/>
  <c r="U1689" i="1" l="1"/>
  <c r="V1689" i="1" s="1"/>
  <c r="T1690" i="1"/>
  <c r="U1690" i="1" l="1"/>
  <c r="V1690" i="1" s="1"/>
  <c r="T1691" i="1"/>
  <c r="U1691" i="1" l="1"/>
  <c r="V1691" i="1" s="1"/>
  <c r="T1692" i="1"/>
  <c r="U1692" i="1" l="1"/>
  <c r="V1692" i="1" s="1"/>
  <c r="T1693" i="1"/>
  <c r="U1693" i="1" l="1"/>
  <c r="V1693" i="1" s="1"/>
  <c r="T1694" i="1"/>
  <c r="U1694" i="1" l="1"/>
  <c r="V1694" i="1" s="1"/>
  <c r="T1695" i="1"/>
  <c r="U1695" i="1" l="1"/>
  <c r="V1695" i="1" s="1"/>
  <c r="T1696" i="1"/>
  <c r="U1696" i="1" l="1"/>
  <c r="V1696" i="1" s="1"/>
  <c r="T1697" i="1"/>
  <c r="U1697" i="1" l="1"/>
  <c r="V1697" i="1" s="1"/>
  <c r="T1698" i="1"/>
  <c r="U1698" i="1" l="1"/>
  <c r="V1698" i="1" s="1"/>
  <c r="T1699" i="1"/>
  <c r="U1699" i="1" l="1"/>
  <c r="V1699" i="1" s="1"/>
  <c r="T1700" i="1"/>
  <c r="U1700" i="1" l="1"/>
  <c r="V1700" i="1" s="1"/>
  <c r="T1701" i="1"/>
  <c r="U1701" i="1" l="1"/>
  <c r="V1701" i="1" s="1"/>
  <c r="T1702" i="1"/>
  <c r="U1702" i="1" l="1"/>
  <c r="V1702" i="1" s="1"/>
  <c r="T1703" i="1"/>
  <c r="U1703" i="1" l="1"/>
  <c r="V1703" i="1" s="1"/>
  <c r="T1704" i="1"/>
  <c r="U1704" i="1" l="1"/>
  <c r="V1704" i="1" s="1"/>
  <c r="T1705" i="1"/>
  <c r="U1705" i="1" l="1"/>
  <c r="V1705" i="1" s="1"/>
  <c r="T1706" i="1"/>
  <c r="U1706" i="1" l="1"/>
  <c r="V1706" i="1" s="1"/>
  <c r="T1707" i="1"/>
  <c r="U1707" i="1" l="1"/>
  <c r="V1707" i="1" s="1"/>
  <c r="T1708" i="1"/>
  <c r="U1708" i="1" l="1"/>
  <c r="V1708" i="1" s="1"/>
  <c r="T1709" i="1"/>
  <c r="U1709" i="1" l="1"/>
  <c r="V1709" i="1" s="1"/>
  <c r="T1710" i="1"/>
  <c r="U1710" i="1" l="1"/>
  <c r="V1710" i="1" s="1"/>
  <c r="T1711" i="1"/>
  <c r="U1711" i="1" l="1"/>
  <c r="V1711" i="1" s="1"/>
  <c r="T1712" i="1"/>
  <c r="U1712" i="1" l="1"/>
  <c r="V1712" i="1" s="1"/>
  <c r="T1713" i="1"/>
  <c r="U1713" i="1" l="1"/>
  <c r="V1713" i="1" s="1"/>
  <c r="T1714" i="1"/>
  <c r="U1714" i="1" l="1"/>
  <c r="V1714" i="1" s="1"/>
  <c r="T1715" i="1"/>
  <c r="U1715" i="1" l="1"/>
  <c r="V1715" i="1" s="1"/>
  <c r="T1716" i="1"/>
  <c r="U1716" i="1" l="1"/>
  <c r="V1716" i="1" s="1"/>
  <c r="T1717" i="1"/>
  <c r="U1717" i="1" l="1"/>
  <c r="V1717" i="1" s="1"/>
  <c r="T1718" i="1"/>
  <c r="U1718" i="1" l="1"/>
  <c r="V1718" i="1" s="1"/>
  <c r="T1719" i="1"/>
  <c r="U1719" i="1" l="1"/>
  <c r="V1719" i="1" s="1"/>
  <c r="T1720" i="1"/>
  <c r="U1720" i="1" l="1"/>
  <c r="V1720" i="1" s="1"/>
  <c r="T1721" i="1"/>
  <c r="U1721" i="1" l="1"/>
  <c r="V1721" i="1" s="1"/>
  <c r="T1722" i="1"/>
  <c r="U1722" i="1" l="1"/>
  <c r="V1722" i="1" s="1"/>
  <c r="T1723" i="1"/>
  <c r="U1723" i="1" l="1"/>
  <c r="V1723" i="1" s="1"/>
  <c r="T1724" i="1"/>
  <c r="U1724" i="1" l="1"/>
  <c r="V1724" i="1" s="1"/>
  <c r="T1725" i="1"/>
  <c r="U1725" i="1" l="1"/>
  <c r="V1725" i="1" s="1"/>
  <c r="T1726" i="1"/>
  <c r="U1726" i="1" l="1"/>
  <c r="V1726" i="1" s="1"/>
  <c r="T1727" i="1"/>
  <c r="U1727" i="1" l="1"/>
  <c r="V1727" i="1" s="1"/>
  <c r="T1728" i="1"/>
  <c r="U1728" i="1" l="1"/>
  <c r="V1728" i="1" s="1"/>
  <c r="T1729" i="1"/>
  <c r="U1729" i="1" l="1"/>
  <c r="V1729" i="1" s="1"/>
  <c r="T1730" i="1"/>
  <c r="U1730" i="1" l="1"/>
  <c r="V1730" i="1" s="1"/>
  <c r="T1731" i="1"/>
  <c r="U1731" i="1" l="1"/>
  <c r="V1731" i="1" s="1"/>
  <c r="T1732" i="1"/>
  <c r="U1732" i="1" l="1"/>
  <c r="V1732" i="1" s="1"/>
  <c r="T1733" i="1"/>
  <c r="U1733" i="1" l="1"/>
  <c r="V1733" i="1" s="1"/>
  <c r="T1734" i="1"/>
  <c r="U1734" i="1" l="1"/>
  <c r="V1734" i="1" s="1"/>
  <c r="T1735" i="1"/>
  <c r="U1735" i="1" l="1"/>
  <c r="V1735" i="1" s="1"/>
  <c r="T1736" i="1"/>
  <c r="U1736" i="1" l="1"/>
  <c r="V1736" i="1" s="1"/>
  <c r="T1737" i="1"/>
  <c r="U1737" i="1" l="1"/>
  <c r="V1737" i="1" s="1"/>
  <c r="T1738" i="1"/>
  <c r="U1738" i="1" l="1"/>
  <c r="V1738" i="1" s="1"/>
  <c r="T1739" i="1"/>
  <c r="U1739" i="1" l="1"/>
  <c r="V1739" i="1" s="1"/>
  <c r="T1740" i="1"/>
  <c r="U1740" i="1" l="1"/>
  <c r="V1740" i="1" s="1"/>
  <c r="T1741" i="1"/>
  <c r="U1741" i="1" l="1"/>
  <c r="V1741" i="1" s="1"/>
  <c r="T1742" i="1"/>
  <c r="U1742" i="1" l="1"/>
  <c r="V1742" i="1" s="1"/>
  <c r="T1743" i="1"/>
  <c r="U1743" i="1" l="1"/>
  <c r="V1743" i="1" s="1"/>
  <c r="T1744" i="1"/>
  <c r="U1744" i="1" l="1"/>
  <c r="V1744" i="1" s="1"/>
  <c r="T1745" i="1"/>
  <c r="U1745" i="1" l="1"/>
  <c r="V1745" i="1" s="1"/>
  <c r="T1746" i="1"/>
  <c r="U1746" i="1" l="1"/>
  <c r="V1746" i="1" s="1"/>
  <c r="T1747" i="1"/>
  <c r="U1747" i="1" l="1"/>
  <c r="V1747" i="1" s="1"/>
  <c r="T1748" i="1"/>
  <c r="U1748" i="1" l="1"/>
  <c r="V1748" i="1" s="1"/>
  <c r="T1749" i="1"/>
  <c r="U1749" i="1" l="1"/>
  <c r="V1749" i="1" s="1"/>
  <c r="T1750" i="1"/>
  <c r="U1750" i="1" l="1"/>
  <c r="V1750" i="1" s="1"/>
  <c r="T1751" i="1"/>
  <c r="U1751" i="1" l="1"/>
  <c r="V1751" i="1" s="1"/>
  <c r="T1752" i="1"/>
  <c r="U1752" i="1" l="1"/>
  <c r="V1752" i="1" s="1"/>
  <c r="T1753" i="1"/>
  <c r="U1753" i="1" l="1"/>
  <c r="V1753" i="1" s="1"/>
  <c r="T1754" i="1"/>
  <c r="U1754" i="1" l="1"/>
  <c r="V1754" i="1" s="1"/>
  <c r="T1755" i="1"/>
  <c r="U1755" i="1" l="1"/>
  <c r="V1755" i="1" s="1"/>
  <c r="T1756" i="1"/>
  <c r="U1756" i="1" l="1"/>
  <c r="V1756" i="1" s="1"/>
  <c r="T1757" i="1"/>
  <c r="U1757" i="1" l="1"/>
  <c r="V1757" i="1" s="1"/>
  <c r="T1758" i="1"/>
  <c r="U1758" i="1" l="1"/>
  <c r="V1758" i="1" s="1"/>
  <c r="T1759" i="1"/>
  <c r="U1759" i="1" l="1"/>
  <c r="V1759" i="1" s="1"/>
  <c r="T1760" i="1"/>
  <c r="U1760" i="1" l="1"/>
  <c r="V1760" i="1" s="1"/>
  <c r="T1761" i="1"/>
  <c r="U1761" i="1" l="1"/>
  <c r="V1761" i="1" s="1"/>
  <c r="T1762" i="1"/>
  <c r="U1762" i="1" l="1"/>
  <c r="V1762" i="1" s="1"/>
  <c r="T1763" i="1"/>
  <c r="U1763" i="1" l="1"/>
  <c r="V1763" i="1" s="1"/>
  <c r="T1764" i="1"/>
  <c r="U1764" i="1" l="1"/>
  <c r="V1764" i="1" s="1"/>
  <c r="T1765" i="1"/>
  <c r="U1765" i="1" l="1"/>
  <c r="V1765" i="1" s="1"/>
  <c r="T1766" i="1"/>
  <c r="U1766" i="1" l="1"/>
  <c r="V1766" i="1" s="1"/>
  <c r="T1767" i="1"/>
  <c r="U1767" i="1" l="1"/>
  <c r="V1767" i="1" s="1"/>
  <c r="T1768" i="1"/>
  <c r="U1768" i="1" l="1"/>
  <c r="V1768" i="1" s="1"/>
  <c r="T1769" i="1"/>
  <c r="U1769" i="1" l="1"/>
  <c r="V1769" i="1" s="1"/>
  <c r="T1770" i="1"/>
  <c r="U1770" i="1" l="1"/>
  <c r="V1770" i="1" s="1"/>
  <c r="T1771" i="1"/>
  <c r="U1771" i="1" l="1"/>
  <c r="V1771" i="1" s="1"/>
  <c r="T1772" i="1"/>
  <c r="U1772" i="1" l="1"/>
  <c r="V1772" i="1" s="1"/>
  <c r="T1773" i="1"/>
  <c r="U1773" i="1" l="1"/>
  <c r="V1773" i="1" s="1"/>
  <c r="T1774" i="1"/>
  <c r="U1774" i="1" l="1"/>
  <c r="V1774" i="1" s="1"/>
  <c r="T1775" i="1"/>
  <c r="U1775" i="1" l="1"/>
  <c r="V1775" i="1" s="1"/>
  <c r="T1776" i="1"/>
  <c r="U1776" i="1" l="1"/>
  <c r="V1776" i="1" s="1"/>
  <c r="T1777" i="1"/>
  <c r="U1777" i="1" l="1"/>
  <c r="V1777" i="1" s="1"/>
  <c r="T1778" i="1"/>
  <c r="U1778" i="1" l="1"/>
  <c r="V1778" i="1" s="1"/>
  <c r="T1779" i="1"/>
  <c r="U1779" i="1" l="1"/>
  <c r="V1779" i="1" s="1"/>
  <c r="T1780" i="1"/>
  <c r="U1780" i="1" l="1"/>
  <c r="V1780" i="1" s="1"/>
  <c r="T1781" i="1"/>
  <c r="U1781" i="1" l="1"/>
  <c r="V1781" i="1" s="1"/>
  <c r="T1782" i="1"/>
  <c r="U1782" i="1" l="1"/>
  <c r="V1782" i="1" s="1"/>
  <c r="T1783" i="1"/>
  <c r="U1783" i="1" l="1"/>
  <c r="V1783" i="1" s="1"/>
  <c r="T1784" i="1"/>
  <c r="U1784" i="1" l="1"/>
  <c r="V1784" i="1" s="1"/>
  <c r="T1785" i="1"/>
  <c r="U1785" i="1" l="1"/>
  <c r="V1785" i="1" s="1"/>
  <c r="T1786" i="1"/>
  <c r="U1786" i="1" l="1"/>
  <c r="V1786" i="1" s="1"/>
  <c r="T1787" i="1"/>
  <c r="U1787" i="1" l="1"/>
  <c r="V1787" i="1" s="1"/>
  <c r="T1788" i="1"/>
  <c r="U1788" i="1" l="1"/>
  <c r="V1788" i="1" s="1"/>
  <c r="T1789" i="1"/>
  <c r="U1789" i="1" l="1"/>
  <c r="V1789" i="1" s="1"/>
  <c r="T1790" i="1"/>
  <c r="U1790" i="1" l="1"/>
  <c r="V1790" i="1" s="1"/>
  <c r="T1791" i="1"/>
  <c r="U1791" i="1" l="1"/>
  <c r="V1791" i="1" s="1"/>
  <c r="T1792" i="1"/>
  <c r="U1792" i="1" l="1"/>
  <c r="V1792" i="1" s="1"/>
  <c r="T1793" i="1"/>
  <c r="U1793" i="1" l="1"/>
  <c r="V1793" i="1" s="1"/>
  <c r="T1794" i="1"/>
  <c r="U1794" i="1" l="1"/>
  <c r="V1794" i="1" s="1"/>
  <c r="T1795" i="1"/>
  <c r="U1795" i="1" l="1"/>
  <c r="V1795" i="1" s="1"/>
  <c r="T1796" i="1"/>
  <c r="U1796" i="1" l="1"/>
  <c r="V1796" i="1" s="1"/>
  <c r="T1797" i="1"/>
  <c r="U1797" i="1" l="1"/>
  <c r="V1797" i="1" s="1"/>
  <c r="T1798" i="1"/>
  <c r="U1798" i="1" l="1"/>
  <c r="V1798" i="1" s="1"/>
  <c r="T1799" i="1"/>
  <c r="U1799" i="1" l="1"/>
  <c r="V1799" i="1" s="1"/>
  <c r="T1800" i="1"/>
  <c r="U1800" i="1" l="1"/>
  <c r="V1800" i="1" s="1"/>
  <c r="T1801" i="1"/>
  <c r="U1801" i="1" l="1"/>
  <c r="V1801" i="1" s="1"/>
  <c r="T1802" i="1"/>
  <c r="U1802" i="1" l="1"/>
  <c r="V1802" i="1" s="1"/>
  <c r="T1803" i="1"/>
  <c r="U1803" i="1" l="1"/>
  <c r="V1803" i="1" s="1"/>
  <c r="T1804" i="1"/>
  <c r="U1804" i="1" l="1"/>
  <c r="V1804" i="1" s="1"/>
  <c r="T1805" i="1"/>
  <c r="U1805" i="1" l="1"/>
  <c r="V1805" i="1" s="1"/>
  <c r="T1806" i="1"/>
  <c r="U1806" i="1" l="1"/>
  <c r="V1806" i="1" s="1"/>
  <c r="T1807" i="1"/>
  <c r="U1807" i="1" l="1"/>
  <c r="V1807" i="1" s="1"/>
  <c r="T1808" i="1"/>
  <c r="U1808" i="1" l="1"/>
  <c r="V1808" i="1" s="1"/>
  <c r="T1809" i="1"/>
  <c r="U1809" i="1" l="1"/>
  <c r="V1809" i="1" s="1"/>
  <c r="T1810" i="1"/>
  <c r="U1810" i="1" l="1"/>
  <c r="V1810" i="1" s="1"/>
  <c r="T1811" i="1"/>
  <c r="U1811" i="1" l="1"/>
  <c r="V1811" i="1" s="1"/>
  <c r="T1812" i="1"/>
  <c r="U1812" i="1" l="1"/>
  <c r="V1812" i="1" s="1"/>
  <c r="T1813" i="1"/>
  <c r="U1813" i="1" l="1"/>
  <c r="V1813" i="1" s="1"/>
  <c r="T1814" i="1"/>
  <c r="U1814" i="1" l="1"/>
  <c r="V1814" i="1" s="1"/>
  <c r="T1815" i="1"/>
  <c r="U1815" i="1" l="1"/>
  <c r="V1815" i="1" s="1"/>
  <c r="T1816" i="1"/>
  <c r="U1816" i="1" l="1"/>
  <c r="V1816" i="1" s="1"/>
  <c r="T1817" i="1"/>
  <c r="U1817" i="1" l="1"/>
  <c r="V1817" i="1" s="1"/>
  <c r="T1818" i="1"/>
  <c r="U1818" i="1" l="1"/>
  <c r="V1818" i="1" s="1"/>
  <c r="T1819" i="1"/>
  <c r="U1819" i="1" l="1"/>
  <c r="V1819" i="1" s="1"/>
  <c r="T1820" i="1"/>
  <c r="U1820" i="1" l="1"/>
  <c r="V1820" i="1" s="1"/>
  <c r="T1821" i="1"/>
  <c r="U1821" i="1" l="1"/>
  <c r="V1821" i="1" s="1"/>
  <c r="T1822" i="1"/>
  <c r="U1822" i="1" l="1"/>
  <c r="V1822" i="1" s="1"/>
  <c r="T1823" i="1"/>
  <c r="U1823" i="1" l="1"/>
  <c r="V1823" i="1" s="1"/>
  <c r="T1824" i="1"/>
  <c r="U1824" i="1" l="1"/>
  <c r="V1824" i="1" s="1"/>
  <c r="T1825" i="1"/>
  <c r="U1825" i="1" l="1"/>
  <c r="V1825" i="1" s="1"/>
  <c r="T1826" i="1"/>
  <c r="U1826" i="1" l="1"/>
  <c r="V1826" i="1" s="1"/>
  <c r="T1827" i="1"/>
  <c r="U1827" i="1" l="1"/>
  <c r="V1827" i="1" s="1"/>
  <c r="T1828" i="1"/>
  <c r="U1828" i="1" l="1"/>
  <c r="V1828" i="1" s="1"/>
  <c r="T1829" i="1"/>
  <c r="U1829" i="1" l="1"/>
  <c r="V1829" i="1" s="1"/>
  <c r="T1830" i="1"/>
  <c r="U1830" i="1" l="1"/>
  <c r="V1830" i="1" s="1"/>
  <c r="T1831" i="1"/>
  <c r="U1831" i="1" l="1"/>
  <c r="V1831" i="1" s="1"/>
  <c r="T1832" i="1"/>
  <c r="U1832" i="1" l="1"/>
  <c r="V1832" i="1" s="1"/>
  <c r="T1833" i="1"/>
  <c r="U1833" i="1" l="1"/>
  <c r="V1833" i="1" s="1"/>
  <c r="T1834" i="1"/>
  <c r="U1834" i="1" l="1"/>
  <c r="V1834" i="1" s="1"/>
  <c r="T1835" i="1"/>
  <c r="U1835" i="1" l="1"/>
  <c r="V1835" i="1" s="1"/>
  <c r="T1836" i="1"/>
  <c r="U1836" i="1" l="1"/>
  <c r="V1836" i="1" s="1"/>
  <c r="T1837" i="1"/>
  <c r="U1837" i="1" l="1"/>
  <c r="V1837" i="1" s="1"/>
  <c r="T1838" i="1"/>
  <c r="U1838" i="1" l="1"/>
  <c r="V1838" i="1" s="1"/>
  <c r="T1839" i="1"/>
  <c r="U1839" i="1" l="1"/>
  <c r="V1839" i="1" s="1"/>
  <c r="T1840" i="1"/>
  <c r="U1840" i="1" l="1"/>
  <c r="V1840" i="1" s="1"/>
  <c r="T1841" i="1"/>
  <c r="U1841" i="1" l="1"/>
  <c r="V1841" i="1" s="1"/>
  <c r="T1842" i="1"/>
  <c r="U1842" i="1" l="1"/>
  <c r="V1842" i="1" s="1"/>
  <c r="T1843" i="1"/>
  <c r="U1843" i="1" l="1"/>
  <c r="V1843" i="1" s="1"/>
  <c r="T1844" i="1"/>
  <c r="U1844" i="1" l="1"/>
  <c r="V1844" i="1" s="1"/>
  <c r="T1845" i="1"/>
  <c r="U1845" i="1" l="1"/>
  <c r="V1845" i="1" s="1"/>
  <c r="T1846" i="1"/>
  <c r="U1846" i="1" l="1"/>
  <c r="V1846" i="1" s="1"/>
  <c r="T1847" i="1"/>
  <c r="U1847" i="1" l="1"/>
  <c r="V1847" i="1" s="1"/>
  <c r="T1848" i="1"/>
  <c r="U1848" i="1" l="1"/>
  <c r="V1848" i="1" s="1"/>
  <c r="T1849" i="1"/>
  <c r="U1849" i="1" l="1"/>
  <c r="V1849" i="1" s="1"/>
  <c r="T1850" i="1"/>
  <c r="U1850" i="1" l="1"/>
  <c r="V1850" i="1" s="1"/>
  <c r="T1851" i="1"/>
  <c r="U1851" i="1" l="1"/>
  <c r="V1851" i="1" s="1"/>
  <c r="T1852" i="1"/>
  <c r="U1852" i="1" l="1"/>
  <c r="V1852" i="1" s="1"/>
  <c r="T1853" i="1"/>
  <c r="U1853" i="1" l="1"/>
  <c r="V1853" i="1" s="1"/>
  <c r="T1854" i="1"/>
  <c r="U1854" i="1" l="1"/>
  <c r="V1854" i="1" s="1"/>
  <c r="T1855" i="1"/>
  <c r="U1855" i="1" l="1"/>
  <c r="V1855" i="1" s="1"/>
  <c r="T1856" i="1"/>
  <c r="U1856" i="1" l="1"/>
  <c r="V1856" i="1" s="1"/>
  <c r="T1857" i="1"/>
  <c r="U1857" i="1" l="1"/>
  <c r="V1857" i="1" s="1"/>
  <c r="T1858" i="1"/>
  <c r="U1858" i="1" l="1"/>
  <c r="V1858" i="1" s="1"/>
  <c r="T1859" i="1"/>
  <c r="U1859" i="1" l="1"/>
  <c r="V1859" i="1" s="1"/>
  <c r="T1860" i="1"/>
  <c r="U1860" i="1" l="1"/>
  <c r="V1860" i="1" s="1"/>
  <c r="T1861" i="1"/>
  <c r="U1861" i="1" l="1"/>
  <c r="V1861" i="1" s="1"/>
  <c r="T1862" i="1"/>
  <c r="U1862" i="1" l="1"/>
  <c r="V1862" i="1" s="1"/>
  <c r="T1863" i="1"/>
  <c r="U1863" i="1" l="1"/>
  <c r="V1863" i="1" s="1"/>
  <c r="T1864" i="1"/>
  <c r="U1864" i="1" l="1"/>
  <c r="V1864" i="1" s="1"/>
  <c r="T1865" i="1"/>
  <c r="U1865" i="1" l="1"/>
  <c r="V1865" i="1" s="1"/>
  <c r="T1866" i="1"/>
  <c r="U1866" i="1" l="1"/>
  <c r="V1866" i="1" s="1"/>
  <c r="T1867" i="1"/>
  <c r="U1867" i="1" l="1"/>
  <c r="V1867" i="1" s="1"/>
  <c r="T1868" i="1"/>
  <c r="U1868" i="1" l="1"/>
  <c r="V1868" i="1" s="1"/>
  <c r="T1869" i="1"/>
  <c r="U1869" i="1" l="1"/>
  <c r="V1869" i="1" s="1"/>
  <c r="T1870" i="1"/>
  <c r="U1870" i="1" l="1"/>
  <c r="V1870" i="1" s="1"/>
  <c r="T1871" i="1"/>
  <c r="U1871" i="1" l="1"/>
  <c r="V1871" i="1" s="1"/>
  <c r="T1872" i="1"/>
  <c r="U1872" i="1" l="1"/>
  <c r="V1872" i="1" s="1"/>
  <c r="T1873" i="1"/>
  <c r="U1873" i="1" l="1"/>
  <c r="V1873" i="1" s="1"/>
  <c r="T1874" i="1"/>
  <c r="U1874" i="1" l="1"/>
  <c r="V1874" i="1" s="1"/>
  <c r="T1875" i="1"/>
  <c r="U1875" i="1" l="1"/>
  <c r="V1875" i="1" s="1"/>
  <c r="T1876" i="1"/>
  <c r="U1876" i="1" l="1"/>
  <c r="V1876" i="1" s="1"/>
  <c r="T1877" i="1"/>
  <c r="U1877" i="1" l="1"/>
  <c r="V1877" i="1" s="1"/>
  <c r="T1878" i="1"/>
  <c r="U1878" i="1" l="1"/>
  <c r="V1878" i="1" s="1"/>
  <c r="T1879" i="1"/>
  <c r="U1879" i="1" l="1"/>
  <c r="V1879" i="1" s="1"/>
  <c r="T1880" i="1"/>
  <c r="U1880" i="1" l="1"/>
  <c r="V1880" i="1" s="1"/>
  <c r="T1881" i="1"/>
  <c r="U1881" i="1" l="1"/>
  <c r="V1881" i="1" s="1"/>
  <c r="T1882" i="1"/>
  <c r="U1882" i="1" l="1"/>
  <c r="V1882" i="1" s="1"/>
  <c r="T1883" i="1"/>
  <c r="U1883" i="1" l="1"/>
  <c r="V1883" i="1" s="1"/>
  <c r="T1884" i="1"/>
  <c r="U1884" i="1" l="1"/>
  <c r="V1884" i="1" s="1"/>
  <c r="T1885" i="1"/>
  <c r="U1885" i="1" l="1"/>
  <c r="V1885" i="1" s="1"/>
  <c r="T1886" i="1"/>
  <c r="U1886" i="1" l="1"/>
  <c r="V1886" i="1" s="1"/>
  <c r="T1887" i="1"/>
  <c r="U1887" i="1" l="1"/>
  <c r="V1887" i="1" s="1"/>
  <c r="T1888" i="1"/>
  <c r="U1888" i="1" l="1"/>
  <c r="V1888" i="1" s="1"/>
  <c r="T1889" i="1"/>
  <c r="U1889" i="1" l="1"/>
  <c r="V1889" i="1" s="1"/>
  <c r="T1890" i="1"/>
  <c r="U1890" i="1" l="1"/>
  <c r="V1890" i="1" s="1"/>
  <c r="T1891" i="1"/>
  <c r="U1891" i="1" l="1"/>
  <c r="V1891" i="1" s="1"/>
  <c r="T1892" i="1"/>
  <c r="U1892" i="1" l="1"/>
  <c r="V1892" i="1" s="1"/>
  <c r="T1893" i="1"/>
  <c r="U1893" i="1" l="1"/>
  <c r="V1893" i="1" s="1"/>
  <c r="T1894" i="1"/>
  <c r="U1894" i="1" l="1"/>
  <c r="V1894" i="1" s="1"/>
  <c r="T1895" i="1"/>
  <c r="U1895" i="1" l="1"/>
  <c r="V1895" i="1" s="1"/>
  <c r="T1896" i="1"/>
  <c r="U1896" i="1" l="1"/>
  <c r="V1896" i="1" s="1"/>
  <c r="T1897" i="1"/>
  <c r="U1897" i="1" l="1"/>
  <c r="V1897" i="1" s="1"/>
  <c r="T1898" i="1"/>
  <c r="U1898" i="1" l="1"/>
  <c r="V1898" i="1" s="1"/>
  <c r="T1899" i="1"/>
  <c r="U1899" i="1" l="1"/>
  <c r="V1899" i="1" s="1"/>
  <c r="T1900" i="1"/>
  <c r="U1900" i="1" l="1"/>
  <c r="V1900" i="1" s="1"/>
  <c r="T1901" i="1"/>
  <c r="U1901" i="1" l="1"/>
  <c r="V1901" i="1" s="1"/>
  <c r="T1902" i="1"/>
  <c r="U1902" i="1" l="1"/>
  <c r="V1902" i="1" s="1"/>
  <c r="T1903" i="1"/>
  <c r="U1903" i="1" l="1"/>
  <c r="V1903" i="1" s="1"/>
  <c r="T1904" i="1"/>
  <c r="U1904" i="1" l="1"/>
  <c r="V1904" i="1" s="1"/>
  <c r="T1905" i="1"/>
  <c r="U1905" i="1" l="1"/>
  <c r="V1905" i="1" s="1"/>
  <c r="T1906" i="1"/>
  <c r="U1906" i="1" l="1"/>
  <c r="V1906" i="1" s="1"/>
  <c r="T1907" i="1"/>
  <c r="U1907" i="1" l="1"/>
  <c r="V1907" i="1" s="1"/>
  <c r="T1908" i="1"/>
  <c r="U1908" i="1" l="1"/>
  <c r="V1908" i="1" s="1"/>
  <c r="T1909" i="1"/>
  <c r="U1909" i="1" l="1"/>
  <c r="V1909" i="1" s="1"/>
  <c r="T1910" i="1"/>
  <c r="U1910" i="1" l="1"/>
  <c r="V1910" i="1" s="1"/>
  <c r="T1911" i="1"/>
  <c r="U1911" i="1" l="1"/>
  <c r="V1911" i="1" s="1"/>
  <c r="T1912" i="1"/>
  <c r="U1912" i="1" l="1"/>
  <c r="V1912" i="1" s="1"/>
  <c r="T1913" i="1"/>
  <c r="U1913" i="1" l="1"/>
  <c r="V1913" i="1" s="1"/>
  <c r="T1914" i="1"/>
  <c r="U1914" i="1" l="1"/>
  <c r="V1914" i="1" s="1"/>
  <c r="T1915" i="1"/>
  <c r="U1915" i="1" l="1"/>
  <c r="V1915" i="1" s="1"/>
  <c r="T1916" i="1"/>
  <c r="U1916" i="1" l="1"/>
  <c r="V1916" i="1" s="1"/>
  <c r="T1917" i="1"/>
  <c r="U1917" i="1" l="1"/>
  <c r="V1917" i="1" s="1"/>
  <c r="T1918" i="1"/>
  <c r="U1918" i="1" l="1"/>
  <c r="V1918" i="1" s="1"/>
  <c r="T1919" i="1"/>
  <c r="U1919" i="1" l="1"/>
  <c r="V1919" i="1" s="1"/>
  <c r="T1920" i="1"/>
  <c r="U1920" i="1" l="1"/>
  <c r="V1920" i="1" s="1"/>
  <c r="T1921" i="1"/>
  <c r="U1921" i="1" l="1"/>
  <c r="V1921" i="1" s="1"/>
  <c r="T1922" i="1"/>
  <c r="U1922" i="1" l="1"/>
  <c r="V1922" i="1" s="1"/>
  <c r="T1923" i="1"/>
  <c r="U1923" i="1" l="1"/>
  <c r="V1923" i="1" s="1"/>
  <c r="T1924" i="1"/>
  <c r="U1924" i="1" l="1"/>
  <c r="V1924" i="1" s="1"/>
  <c r="T1925" i="1"/>
  <c r="U1925" i="1" l="1"/>
  <c r="V1925" i="1" s="1"/>
  <c r="T1926" i="1"/>
  <c r="U1926" i="1" l="1"/>
  <c r="V1926" i="1" s="1"/>
  <c r="T1927" i="1"/>
  <c r="U1927" i="1" l="1"/>
  <c r="V1927" i="1" s="1"/>
  <c r="T1928" i="1"/>
  <c r="U1928" i="1" l="1"/>
  <c r="V1928" i="1" s="1"/>
  <c r="T1929" i="1"/>
  <c r="U1929" i="1" l="1"/>
  <c r="V1929" i="1" s="1"/>
  <c r="T1930" i="1"/>
  <c r="U1930" i="1" l="1"/>
  <c r="V1930" i="1" s="1"/>
  <c r="T1931" i="1"/>
  <c r="U1931" i="1" l="1"/>
  <c r="V1931" i="1" s="1"/>
  <c r="T1932" i="1"/>
  <c r="U1932" i="1" l="1"/>
  <c r="V1932" i="1" s="1"/>
  <c r="T1933" i="1"/>
  <c r="U1933" i="1" l="1"/>
  <c r="V1933" i="1" s="1"/>
  <c r="T1934" i="1"/>
  <c r="U1934" i="1" l="1"/>
  <c r="V1934" i="1" s="1"/>
  <c r="T1935" i="1"/>
  <c r="U1935" i="1" l="1"/>
  <c r="V1935" i="1" s="1"/>
  <c r="T1936" i="1"/>
  <c r="U1936" i="1" l="1"/>
  <c r="V1936" i="1" s="1"/>
  <c r="T1937" i="1"/>
  <c r="U1937" i="1" l="1"/>
  <c r="V1937" i="1" s="1"/>
  <c r="T1938" i="1"/>
  <c r="U1938" i="1" l="1"/>
  <c r="V1938" i="1" s="1"/>
  <c r="T1939" i="1"/>
  <c r="U1939" i="1" l="1"/>
  <c r="V1939" i="1" s="1"/>
  <c r="T1940" i="1"/>
  <c r="U1940" i="1" l="1"/>
  <c r="V1940" i="1" s="1"/>
  <c r="T1941" i="1"/>
  <c r="U1941" i="1" l="1"/>
  <c r="V1941" i="1" s="1"/>
  <c r="T1942" i="1"/>
  <c r="U1942" i="1" l="1"/>
  <c r="V1942" i="1" s="1"/>
  <c r="T1943" i="1"/>
  <c r="U1943" i="1" l="1"/>
  <c r="V1943" i="1" s="1"/>
  <c r="T1944" i="1"/>
  <c r="U1944" i="1" l="1"/>
  <c r="V1944" i="1" s="1"/>
  <c r="T1945" i="1"/>
  <c r="U1945" i="1" l="1"/>
  <c r="V1945" i="1" s="1"/>
  <c r="T1946" i="1"/>
  <c r="U1946" i="1" l="1"/>
  <c r="V1946" i="1" s="1"/>
  <c r="T1947" i="1"/>
  <c r="U1947" i="1" l="1"/>
  <c r="V1947" i="1" s="1"/>
  <c r="T1948" i="1"/>
  <c r="U1948" i="1" l="1"/>
  <c r="V1948" i="1" s="1"/>
  <c r="T1949" i="1"/>
  <c r="U1949" i="1" l="1"/>
  <c r="V1949" i="1" s="1"/>
  <c r="T1950" i="1"/>
  <c r="U1950" i="1" l="1"/>
  <c r="V1950" i="1" s="1"/>
  <c r="T1951" i="1"/>
  <c r="U1951" i="1" l="1"/>
  <c r="V1951" i="1" s="1"/>
  <c r="T1952" i="1"/>
  <c r="U1952" i="1" l="1"/>
  <c r="V1952" i="1" s="1"/>
  <c r="T1953" i="1"/>
  <c r="U1953" i="1" l="1"/>
  <c r="V1953" i="1" s="1"/>
  <c r="T1954" i="1"/>
  <c r="U1954" i="1" l="1"/>
  <c r="V1954" i="1" s="1"/>
  <c r="T1955" i="1"/>
  <c r="U1955" i="1" l="1"/>
  <c r="V1955" i="1" s="1"/>
  <c r="T1956" i="1"/>
  <c r="U1956" i="1" l="1"/>
  <c r="V1956" i="1" s="1"/>
  <c r="T1957" i="1"/>
  <c r="U1957" i="1" l="1"/>
  <c r="V1957" i="1" s="1"/>
  <c r="T1958" i="1"/>
  <c r="U1958" i="1" l="1"/>
  <c r="V1958" i="1" s="1"/>
  <c r="T1959" i="1"/>
  <c r="U1959" i="1" l="1"/>
  <c r="V1959" i="1" s="1"/>
  <c r="T1960" i="1"/>
  <c r="U1960" i="1" l="1"/>
  <c r="V1960" i="1" s="1"/>
  <c r="T1961" i="1"/>
  <c r="U1961" i="1" l="1"/>
  <c r="V1961" i="1" s="1"/>
  <c r="T1962" i="1"/>
  <c r="U1962" i="1" l="1"/>
  <c r="V1962" i="1" s="1"/>
  <c r="T1963" i="1"/>
  <c r="U1963" i="1" l="1"/>
  <c r="V1963" i="1" s="1"/>
  <c r="T1964" i="1"/>
  <c r="U1964" i="1" l="1"/>
  <c r="V1964" i="1" s="1"/>
  <c r="T1965" i="1"/>
  <c r="U1965" i="1" l="1"/>
  <c r="V1965" i="1" s="1"/>
  <c r="T1966" i="1"/>
  <c r="U1966" i="1" l="1"/>
  <c r="V1966" i="1" s="1"/>
  <c r="T1967" i="1"/>
  <c r="U1967" i="1" l="1"/>
  <c r="V1967" i="1" s="1"/>
  <c r="T1968" i="1"/>
  <c r="U1968" i="1" l="1"/>
  <c r="V1968" i="1" s="1"/>
  <c r="T1969" i="1"/>
  <c r="U1969" i="1" l="1"/>
  <c r="V1969" i="1" s="1"/>
  <c r="T1970" i="1"/>
  <c r="U1970" i="1" l="1"/>
  <c r="V1970" i="1" s="1"/>
  <c r="T1971" i="1"/>
  <c r="U1971" i="1" l="1"/>
  <c r="V1971" i="1" s="1"/>
  <c r="T1972" i="1"/>
  <c r="U1972" i="1" l="1"/>
  <c r="V1972" i="1" s="1"/>
  <c r="T1973" i="1"/>
  <c r="U1973" i="1" l="1"/>
  <c r="V1973" i="1" s="1"/>
  <c r="T1974" i="1"/>
  <c r="U1974" i="1" l="1"/>
  <c r="V1974" i="1" s="1"/>
  <c r="T1975" i="1"/>
  <c r="U1975" i="1" l="1"/>
  <c r="V1975" i="1" s="1"/>
  <c r="T1976" i="1"/>
  <c r="U1976" i="1" l="1"/>
  <c r="V1976" i="1" s="1"/>
  <c r="T1977" i="1"/>
  <c r="U1977" i="1" l="1"/>
  <c r="V1977" i="1" s="1"/>
  <c r="T1978" i="1"/>
  <c r="U1978" i="1" l="1"/>
  <c r="V1978" i="1" s="1"/>
  <c r="T1979" i="1"/>
  <c r="U1979" i="1" l="1"/>
  <c r="V1979" i="1" s="1"/>
  <c r="T1980" i="1"/>
  <c r="U1980" i="1" l="1"/>
  <c r="V1980" i="1" s="1"/>
  <c r="T1981" i="1"/>
  <c r="U1981" i="1" l="1"/>
  <c r="V1981" i="1" s="1"/>
  <c r="T1982" i="1"/>
  <c r="U1982" i="1" l="1"/>
  <c r="V1982" i="1" s="1"/>
  <c r="T1983" i="1"/>
  <c r="U1983" i="1" l="1"/>
  <c r="V1983" i="1" s="1"/>
  <c r="T1984" i="1"/>
  <c r="U1984" i="1" l="1"/>
  <c r="V1984" i="1" s="1"/>
  <c r="T1985" i="1"/>
  <c r="U1985" i="1" l="1"/>
  <c r="V1985" i="1" s="1"/>
  <c r="T1986" i="1"/>
  <c r="U1986" i="1" l="1"/>
  <c r="V1986" i="1" s="1"/>
  <c r="T1987" i="1"/>
  <c r="U1987" i="1" l="1"/>
  <c r="V1987" i="1" s="1"/>
  <c r="T1988" i="1"/>
  <c r="U1988" i="1" l="1"/>
  <c r="V1988" i="1" s="1"/>
  <c r="T1989" i="1"/>
  <c r="U1989" i="1" l="1"/>
  <c r="V1989" i="1" s="1"/>
  <c r="T1990" i="1"/>
  <c r="U1990" i="1" l="1"/>
  <c r="V1990" i="1" s="1"/>
  <c r="T1991" i="1"/>
  <c r="U1991" i="1" l="1"/>
  <c r="V1991" i="1" s="1"/>
  <c r="T1992" i="1"/>
  <c r="U1992" i="1" l="1"/>
  <c r="V1992" i="1" s="1"/>
  <c r="T1993" i="1"/>
  <c r="U1993" i="1" l="1"/>
  <c r="V1993" i="1" s="1"/>
  <c r="T1994" i="1"/>
  <c r="U1994" i="1" l="1"/>
  <c r="V1994" i="1" s="1"/>
  <c r="T1995" i="1"/>
  <c r="U1995" i="1" l="1"/>
  <c r="V1995" i="1" s="1"/>
  <c r="T1996" i="1"/>
  <c r="U1996" i="1" l="1"/>
  <c r="V1996" i="1" s="1"/>
  <c r="T1997" i="1"/>
  <c r="U1997" i="1" l="1"/>
  <c r="V1997" i="1" s="1"/>
  <c r="T1998" i="1"/>
  <c r="U1998" i="1" l="1"/>
  <c r="V1998" i="1" s="1"/>
  <c r="T1999" i="1"/>
  <c r="U1999" i="1" l="1"/>
  <c r="V1999" i="1" s="1"/>
  <c r="T2001" i="1"/>
  <c r="T2000" i="1"/>
  <c r="U2000" i="1" l="1"/>
  <c r="V2000" i="1" s="1"/>
  <c r="U2001" i="1"/>
  <c r="V2001" i="1" s="1"/>
</calcChain>
</file>

<file path=xl/sharedStrings.xml><?xml version="1.0" encoding="utf-8"?>
<sst xmlns="http://schemas.openxmlformats.org/spreadsheetml/2006/main" count="71" uniqueCount="62">
  <si>
    <t>Pregnancies</t>
  </si>
  <si>
    <t>Glucose</t>
  </si>
  <si>
    <t>BloodPressure</t>
  </si>
  <si>
    <t>SkinThickness</t>
  </si>
  <si>
    <t>Insulin</t>
  </si>
  <si>
    <t>BMI</t>
  </si>
  <si>
    <t>DiabetesPedigreeFunction</t>
  </si>
  <si>
    <t>Age</t>
  </si>
  <si>
    <t>Outcome</t>
  </si>
  <si>
    <t>Prediction</t>
  </si>
  <si>
    <t>Match?</t>
  </si>
  <si>
    <t>ID</t>
  </si>
  <si>
    <t>Pregnancy Group</t>
  </si>
  <si>
    <t>Glucose Group</t>
  </si>
  <si>
    <t>Blood Pressure Group</t>
  </si>
  <si>
    <t>Skin Thickness Group</t>
  </si>
  <si>
    <t>Insulin Group</t>
  </si>
  <si>
    <t>BMI Group</t>
  </si>
  <si>
    <t>Diabetes Pedigree Function Group</t>
  </si>
  <si>
    <t>Age Group</t>
  </si>
  <si>
    <t>Outcome Group</t>
  </si>
  <si>
    <t>Prediction Group</t>
  </si>
  <si>
    <t>Row Labels</t>
  </si>
  <si>
    <t>Grand Total</t>
  </si>
  <si>
    <t>Count of Outcome</t>
  </si>
  <si>
    <t>3-4</t>
  </si>
  <si>
    <t>5-7</t>
  </si>
  <si>
    <t>8+</t>
  </si>
  <si>
    <t>Pregnancy</t>
  </si>
  <si>
    <t>100-125</t>
  </si>
  <si>
    <t>126-150</t>
  </si>
  <si>
    <t>151-175</t>
  </si>
  <si>
    <t>176-200</t>
  </si>
  <si>
    <t>Blood Pressure</t>
  </si>
  <si>
    <t>60-69</t>
  </si>
  <si>
    <t>70-79</t>
  </si>
  <si>
    <t>80+</t>
  </si>
  <si>
    <t>Skin Thickness</t>
  </si>
  <si>
    <t>40+</t>
  </si>
  <si>
    <t>30-39</t>
  </si>
  <si>
    <t>10-30</t>
  </si>
  <si>
    <t>Unknown</t>
  </si>
  <si>
    <t>1-99</t>
  </si>
  <si>
    <t>1-59</t>
  </si>
  <si>
    <t>1-10</t>
  </si>
  <si>
    <t>100-199</t>
  </si>
  <si>
    <t>200-399</t>
  </si>
  <si>
    <t>500+</t>
  </si>
  <si>
    <t>300-499</t>
  </si>
  <si>
    <t>1-25</t>
  </si>
  <si>
    <t>26-30</t>
  </si>
  <si>
    <t>31-35</t>
  </si>
  <si>
    <t>36+</t>
  </si>
  <si>
    <t>Diabetes Pedigree Function</t>
  </si>
  <si>
    <t>0.0 - 0.249</t>
  </si>
  <si>
    <t>0.25 - 0.39</t>
  </si>
  <si>
    <t>0.4 - 0.69</t>
  </si>
  <si>
    <t>0.7+</t>
  </si>
  <si>
    <t>&lt;=25</t>
  </si>
  <si>
    <t>26-35</t>
  </si>
  <si>
    <t>36-45</t>
  </si>
  <si>
    <t>46+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</si>
</sst>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17" fontId="0" fillId="0" borderId="0" xfId="0" quotePrefix="1" applyNumberFormat="1" applyAlignment="1">
      <alignment horizontal="center"/>
    </xf>
    <xf numFmtId="17" fontId="0" fillId="0" borderId="0" xfId="0" quotePrefix="1" applyNumberFormat="1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tes\OneDrive\Documents\RU%20Data%20Science%20Bootcamp\diabetesML\resources\data\diabetes_Recognition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betes_Recognition"/>
    </sheetNames>
    <sheetDataSet>
      <sheetData sheetId="0">
        <row r="1">
          <cell r="B1" t="str">
            <v>Prediction</v>
          </cell>
        </row>
        <row r="2">
          <cell r="A2">
            <v>674</v>
          </cell>
          <cell r="B2">
            <v>0</v>
          </cell>
        </row>
        <row r="3">
          <cell r="A3">
            <v>1699</v>
          </cell>
          <cell r="B3">
            <v>1</v>
          </cell>
        </row>
        <row r="4">
          <cell r="A4">
            <v>1282</v>
          </cell>
          <cell r="B4">
            <v>0</v>
          </cell>
        </row>
        <row r="5">
          <cell r="A5">
            <v>1315</v>
          </cell>
          <cell r="B5">
            <v>0</v>
          </cell>
        </row>
        <row r="6">
          <cell r="A6">
            <v>1210</v>
          </cell>
          <cell r="B6">
            <v>1</v>
          </cell>
        </row>
        <row r="7">
          <cell r="A7">
            <v>1636</v>
          </cell>
          <cell r="B7">
            <v>0</v>
          </cell>
        </row>
        <row r="8">
          <cell r="A8">
            <v>613</v>
          </cell>
          <cell r="B8">
            <v>0</v>
          </cell>
        </row>
        <row r="9">
          <cell r="A9">
            <v>447</v>
          </cell>
          <cell r="B9">
            <v>0</v>
          </cell>
        </row>
        <row r="10">
          <cell r="A10">
            <v>1131</v>
          </cell>
          <cell r="B10">
            <v>0</v>
          </cell>
        </row>
        <row r="11">
          <cell r="A11">
            <v>808</v>
          </cell>
          <cell r="B11">
            <v>1</v>
          </cell>
        </row>
        <row r="12">
          <cell r="A12">
            <v>1496</v>
          </cell>
          <cell r="B12">
            <v>1</v>
          </cell>
        </row>
        <row r="13">
          <cell r="A13">
            <v>1468</v>
          </cell>
          <cell r="B13">
            <v>1</v>
          </cell>
        </row>
        <row r="14">
          <cell r="A14">
            <v>1682</v>
          </cell>
          <cell r="B14">
            <v>0</v>
          </cell>
        </row>
        <row r="15">
          <cell r="A15">
            <v>1149</v>
          </cell>
          <cell r="B15">
            <v>0</v>
          </cell>
        </row>
        <row r="16">
          <cell r="A16">
            <v>442</v>
          </cell>
          <cell r="B16">
            <v>0</v>
          </cell>
        </row>
        <row r="17">
          <cell r="A17">
            <v>1813</v>
          </cell>
          <cell r="B17">
            <v>0</v>
          </cell>
        </row>
        <row r="18">
          <cell r="A18">
            <v>654</v>
          </cell>
          <cell r="B18">
            <v>0</v>
          </cell>
        </row>
        <row r="19">
          <cell r="A19">
            <v>1264</v>
          </cell>
          <cell r="B19">
            <v>0</v>
          </cell>
        </row>
        <row r="20">
          <cell r="A20">
            <v>858</v>
          </cell>
          <cell r="B20">
            <v>0</v>
          </cell>
        </row>
        <row r="21">
          <cell r="A21">
            <v>1482</v>
          </cell>
          <cell r="B21">
            <v>0</v>
          </cell>
        </row>
        <row r="22">
          <cell r="A22">
            <v>231</v>
          </cell>
          <cell r="B22">
            <v>1</v>
          </cell>
        </row>
        <row r="23">
          <cell r="A23">
            <v>1821</v>
          </cell>
          <cell r="B23">
            <v>0</v>
          </cell>
        </row>
        <row r="24">
          <cell r="A24">
            <v>1926</v>
          </cell>
          <cell r="B24">
            <v>0</v>
          </cell>
        </row>
        <row r="25">
          <cell r="A25">
            <v>881</v>
          </cell>
          <cell r="B25">
            <v>0</v>
          </cell>
        </row>
        <row r="26">
          <cell r="A26">
            <v>631</v>
          </cell>
          <cell r="B26">
            <v>0</v>
          </cell>
        </row>
        <row r="27">
          <cell r="A27">
            <v>375</v>
          </cell>
          <cell r="B27">
            <v>1</v>
          </cell>
        </row>
        <row r="28">
          <cell r="A28">
            <v>1960</v>
          </cell>
          <cell r="B28">
            <v>0</v>
          </cell>
        </row>
        <row r="29">
          <cell r="A29">
            <v>367</v>
          </cell>
          <cell r="B29">
            <v>0</v>
          </cell>
        </row>
        <row r="30">
          <cell r="A30">
            <v>558</v>
          </cell>
          <cell r="B30">
            <v>1</v>
          </cell>
        </row>
        <row r="31">
          <cell r="A31">
            <v>275</v>
          </cell>
          <cell r="B31">
            <v>0</v>
          </cell>
        </row>
        <row r="32">
          <cell r="A32">
            <v>1977</v>
          </cell>
          <cell r="B32">
            <v>0</v>
          </cell>
        </row>
        <row r="33">
          <cell r="A33">
            <v>874</v>
          </cell>
          <cell r="B33">
            <v>1</v>
          </cell>
        </row>
        <row r="34">
          <cell r="A34">
            <v>1678</v>
          </cell>
          <cell r="B34">
            <v>1</v>
          </cell>
        </row>
        <row r="35">
          <cell r="A35">
            <v>730</v>
          </cell>
          <cell r="B35">
            <v>0</v>
          </cell>
        </row>
        <row r="36">
          <cell r="A36">
            <v>573</v>
          </cell>
          <cell r="B36">
            <v>0</v>
          </cell>
        </row>
        <row r="37">
          <cell r="A37">
            <v>718</v>
          </cell>
          <cell r="B37">
            <v>0</v>
          </cell>
        </row>
        <row r="38">
          <cell r="A38">
            <v>577</v>
          </cell>
          <cell r="B38">
            <v>0</v>
          </cell>
        </row>
        <row r="39">
          <cell r="A39">
            <v>56</v>
          </cell>
          <cell r="B39">
            <v>1</v>
          </cell>
        </row>
        <row r="40">
          <cell r="A40">
            <v>868</v>
          </cell>
          <cell r="B40">
            <v>0</v>
          </cell>
        </row>
        <row r="41">
          <cell r="A41">
            <v>1728</v>
          </cell>
          <cell r="B41">
            <v>0</v>
          </cell>
        </row>
        <row r="42">
          <cell r="A42">
            <v>186</v>
          </cell>
          <cell r="B42">
            <v>1</v>
          </cell>
        </row>
        <row r="43">
          <cell r="A43">
            <v>282</v>
          </cell>
          <cell r="B43">
            <v>0</v>
          </cell>
        </row>
        <row r="44">
          <cell r="A44">
            <v>1138</v>
          </cell>
          <cell r="B44">
            <v>1</v>
          </cell>
        </row>
        <row r="45">
          <cell r="A45">
            <v>1044</v>
          </cell>
          <cell r="B45">
            <v>0</v>
          </cell>
        </row>
        <row r="46">
          <cell r="A46">
            <v>1068</v>
          </cell>
          <cell r="B46">
            <v>1</v>
          </cell>
        </row>
        <row r="47">
          <cell r="A47">
            <v>1624</v>
          </cell>
          <cell r="B47">
            <v>0</v>
          </cell>
        </row>
        <row r="48">
          <cell r="A48">
            <v>675</v>
          </cell>
          <cell r="B48">
            <v>1</v>
          </cell>
        </row>
        <row r="49">
          <cell r="A49">
            <v>1701</v>
          </cell>
          <cell r="B49">
            <v>0</v>
          </cell>
        </row>
        <row r="50">
          <cell r="A50">
            <v>1886</v>
          </cell>
          <cell r="B50">
            <v>0</v>
          </cell>
        </row>
        <row r="51">
          <cell r="A51">
            <v>1824</v>
          </cell>
          <cell r="B51">
            <v>0</v>
          </cell>
        </row>
        <row r="52">
          <cell r="A52">
            <v>1761</v>
          </cell>
          <cell r="B52">
            <v>1</v>
          </cell>
        </row>
        <row r="53">
          <cell r="A53">
            <v>1418</v>
          </cell>
          <cell r="B53">
            <v>1</v>
          </cell>
        </row>
        <row r="54">
          <cell r="A54">
            <v>587</v>
          </cell>
          <cell r="B54">
            <v>0</v>
          </cell>
        </row>
        <row r="55">
          <cell r="A55">
            <v>192</v>
          </cell>
          <cell r="B55">
            <v>1</v>
          </cell>
        </row>
        <row r="56">
          <cell r="A56">
            <v>693</v>
          </cell>
          <cell r="B56">
            <v>1</v>
          </cell>
        </row>
        <row r="57">
          <cell r="A57">
            <v>764</v>
          </cell>
          <cell r="B57">
            <v>0</v>
          </cell>
        </row>
        <row r="58">
          <cell r="A58">
            <v>671</v>
          </cell>
          <cell r="B58">
            <v>0</v>
          </cell>
        </row>
        <row r="59">
          <cell r="A59">
            <v>899</v>
          </cell>
          <cell r="B59">
            <v>0</v>
          </cell>
        </row>
        <row r="60">
          <cell r="A60">
            <v>1688</v>
          </cell>
          <cell r="B60">
            <v>0</v>
          </cell>
        </row>
        <row r="61">
          <cell r="A61">
            <v>1071</v>
          </cell>
          <cell r="B61">
            <v>1</v>
          </cell>
        </row>
        <row r="62">
          <cell r="A62">
            <v>304</v>
          </cell>
          <cell r="B62">
            <v>0</v>
          </cell>
        </row>
        <row r="63">
          <cell r="A63">
            <v>120</v>
          </cell>
          <cell r="B63">
            <v>1</v>
          </cell>
        </row>
        <row r="64">
          <cell r="A64">
            <v>1100</v>
          </cell>
          <cell r="B64">
            <v>0</v>
          </cell>
        </row>
        <row r="65">
          <cell r="A65">
            <v>1256</v>
          </cell>
          <cell r="B65">
            <v>0</v>
          </cell>
        </row>
        <row r="66">
          <cell r="A66">
            <v>1415</v>
          </cell>
          <cell r="B66">
            <v>0</v>
          </cell>
        </row>
        <row r="67">
          <cell r="A67">
            <v>872</v>
          </cell>
          <cell r="B67">
            <v>0</v>
          </cell>
        </row>
        <row r="68">
          <cell r="A68">
            <v>1270</v>
          </cell>
          <cell r="B68">
            <v>0</v>
          </cell>
        </row>
        <row r="69">
          <cell r="A69">
            <v>535</v>
          </cell>
          <cell r="B69">
            <v>1</v>
          </cell>
        </row>
        <row r="70">
          <cell r="A70">
            <v>729</v>
          </cell>
          <cell r="B70">
            <v>0</v>
          </cell>
        </row>
        <row r="71">
          <cell r="A71">
            <v>1402</v>
          </cell>
          <cell r="B71">
            <v>0</v>
          </cell>
        </row>
        <row r="72">
          <cell r="A72">
            <v>1811</v>
          </cell>
          <cell r="B72">
            <v>0</v>
          </cell>
        </row>
        <row r="73">
          <cell r="A73">
            <v>1618</v>
          </cell>
          <cell r="B73">
            <v>0</v>
          </cell>
        </row>
        <row r="74">
          <cell r="A74">
            <v>1842</v>
          </cell>
          <cell r="B74">
            <v>1</v>
          </cell>
        </row>
        <row r="75">
          <cell r="A75">
            <v>1910</v>
          </cell>
          <cell r="B75">
            <v>0</v>
          </cell>
        </row>
        <row r="76">
          <cell r="A76">
            <v>1440</v>
          </cell>
          <cell r="B76">
            <v>0</v>
          </cell>
        </row>
        <row r="77">
          <cell r="A77">
            <v>1027</v>
          </cell>
          <cell r="B77">
            <v>0</v>
          </cell>
        </row>
        <row r="78">
          <cell r="A78">
            <v>1369</v>
          </cell>
          <cell r="B78">
            <v>1</v>
          </cell>
        </row>
        <row r="79">
          <cell r="A79">
            <v>1135</v>
          </cell>
          <cell r="B79">
            <v>0</v>
          </cell>
        </row>
        <row r="80">
          <cell r="A80">
            <v>1437</v>
          </cell>
          <cell r="B80">
            <v>0</v>
          </cell>
        </row>
        <row r="81">
          <cell r="A81">
            <v>774</v>
          </cell>
          <cell r="B81">
            <v>0</v>
          </cell>
        </row>
        <row r="82">
          <cell r="A82">
            <v>325</v>
          </cell>
          <cell r="B82">
            <v>0</v>
          </cell>
        </row>
        <row r="83">
          <cell r="A83">
            <v>655</v>
          </cell>
          <cell r="B83">
            <v>0</v>
          </cell>
        </row>
        <row r="84">
          <cell r="A84">
            <v>102</v>
          </cell>
          <cell r="B84">
            <v>0</v>
          </cell>
        </row>
        <row r="85">
          <cell r="A85">
            <v>126</v>
          </cell>
          <cell r="B85">
            <v>0</v>
          </cell>
        </row>
        <row r="86">
          <cell r="A86">
            <v>1053</v>
          </cell>
          <cell r="B86">
            <v>0</v>
          </cell>
        </row>
        <row r="87">
          <cell r="A87">
            <v>1227</v>
          </cell>
          <cell r="B87">
            <v>1</v>
          </cell>
        </row>
        <row r="88">
          <cell r="A88">
            <v>927</v>
          </cell>
          <cell r="B88">
            <v>0</v>
          </cell>
        </row>
        <row r="89">
          <cell r="A89">
            <v>48</v>
          </cell>
          <cell r="B89">
            <v>0</v>
          </cell>
        </row>
        <row r="90">
          <cell r="A90">
            <v>111</v>
          </cell>
          <cell r="B90">
            <v>1</v>
          </cell>
        </row>
        <row r="91">
          <cell r="A91">
            <v>236</v>
          </cell>
          <cell r="B91">
            <v>1</v>
          </cell>
        </row>
        <row r="92">
          <cell r="A92">
            <v>372</v>
          </cell>
          <cell r="B92">
            <v>0</v>
          </cell>
        </row>
        <row r="93">
          <cell r="A93">
            <v>994</v>
          </cell>
          <cell r="B93">
            <v>0</v>
          </cell>
        </row>
        <row r="94">
          <cell r="A94">
            <v>285</v>
          </cell>
          <cell r="B94">
            <v>0</v>
          </cell>
        </row>
        <row r="95">
          <cell r="A95">
            <v>1971</v>
          </cell>
          <cell r="B95">
            <v>0</v>
          </cell>
        </row>
        <row r="96">
          <cell r="A96">
            <v>1712</v>
          </cell>
          <cell r="B96">
            <v>0</v>
          </cell>
        </row>
        <row r="97">
          <cell r="A97">
            <v>560</v>
          </cell>
          <cell r="B97">
            <v>0</v>
          </cell>
        </row>
        <row r="98">
          <cell r="A98">
            <v>1297</v>
          </cell>
          <cell r="B98">
            <v>0</v>
          </cell>
        </row>
        <row r="99">
          <cell r="A99">
            <v>1464</v>
          </cell>
          <cell r="B99">
            <v>0</v>
          </cell>
        </row>
        <row r="100">
          <cell r="A100">
            <v>877</v>
          </cell>
          <cell r="B100">
            <v>0</v>
          </cell>
        </row>
        <row r="101">
          <cell r="A101">
            <v>87</v>
          </cell>
          <cell r="B101">
            <v>0</v>
          </cell>
        </row>
        <row r="102">
          <cell r="A102">
            <v>1685</v>
          </cell>
          <cell r="B102">
            <v>0</v>
          </cell>
        </row>
        <row r="103">
          <cell r="A103">
            <v>108</v>
          </cell>
          <cell r="B103">
            <v>0</v>
          </cell>
        </row>
        <row r="104">
          <cell r="A104">
            <v>986</v>
          </cell>
          <cell r="B104">
            <v>1</v>
          </cell>
        </row>
        <row r="105">
          <cell r="A105">
            <v>47</v>
          </cell>
          <cell r="B105">
            <v>0</v>
          </cell>
        </row>
        <row r="106">
          <cell r="A106">
            <v>698</v>
          </cell>
          <cell r="B106">
            <v>0</v>
          </cell>
        </row>
        <row r="107">
          <cell r="A107">
            <v>1954</v>
          </cell>
          <cell r="B107">
            <v>0</v>
          </cell>
        </row>
        <row r="108">
          <cell r="A108">
            <v>1807</v>
          </cell>
          <cell r="B108">
            <v>0</v>
          </cell>
        </row>
        <row r="109">
          <cell r="A109">
            <v>1342</v>
          </cell>
          <cell r="B109">
            <v>0</v>
          </cell>
        </row>
        <row r="110">
          <cell r="A110">
            <v>700</v>
          </cell>
          <cell r="B110">
            <v>0</v>
          </cell>
        </row>
        <row r="111">
          <cell r="A111">
            <v>1146</v>
          </cell>
          <cell r="B111">
            <v>1</v>
          </cell>
        </row>
        <row r="112">
          <cell r="A112">
            <v>555</v>
          </cell>
          <cell r="B112">
            <v>0</v>
          </cell>
        </row>
        <row r="113">
          <cell r="A113">
            <v>478</v>
          </cell>
          <cell r="B113">
            <v>0</v>
          </cell>
        </row>
        <row r="114">
          <cell r="A114">
            <v>1480</v>
          </cell>
          <cell r="B114">
            <v>0</v>
          </cell>
        </row>
        <row r="115">
          <cell r="A115">
            <v>1986</v>
          </cell>
          <cell r="B115">
            <v>0</v>
          </cell>
        </row>
        <row r="116">
          <cell r="A116">
            <v>486</v>
          </cell>
          <cell r="B116">
            <v>0</v>
          </cell>
        </row>
        <row r="117">
          <cell r="A117">
            <v>857</v>
          </cell>
          <cell r="B117">
            <v>0</v>
          </cell>
        </row>
        <row r="118">
          <cell r="A118">
            <v>701</v>
          </cell>
          <cell r="B118">
            <v>0</v>
          </cell>
        </row>
        <row r="119">
          <cell r="A119">
            <v>1086</v>
          </cell>
          <cell r="B119">
            <v>0</v>
          </cell>
        </row>
        <row r="120">
          <cell r="A120">
            <v>1595</v>
          </cell>
          <cell r="B120">
            <v>0</v>
          </cell>
        </row>
        <row r="121">
          <cell r="A121">
            <v>1087</v>
          </cell>
          <cell r="B121">
            <v>0</v>
          </cell>
        </row>
        <row r="122">
          <cell r="A122">
            <v>1058</v>
          </cell>
          <cell r="B122">
            <v>0</v>
          </cell>
        </row>
        <row r="123">
          <cell r="A123">
            <v>1231</v>
          </cell>
          <cell r="B123">
            <v>0</v>
          </cell>
        </row>
        <row r="124">
          <cell r="A124">
            <v>1647</v>
          </cell>
          <cell r="B124">
            <v>1</v>
          </cell>
        </row>
        <row r="125">
          <cell r="A125">
            <v>1219</v>
          </cell>
          <cell r="B125">
            <v>0</v>
          </cell>
        </row>
        <row r="126">
          <cell r="A126">
            <v>827</v>
          </cell>
          <cell r="B126">
            <v>1</v>
          </cell>
        </row>
        <row r="127">
          <cell r="A127">
            <v>1314</v>
          </cell>
          <cell r="B127">
            <v>0</v>
          </cell>
        </row>
        <row r="128">
          <cell r="A128">
            <v>1247</v>
          </cell>
          <cell r="B128">
            <v>0</v>
          </cell>
        </row>
        <row r="129">
          <cell r="A129">
            <v>1228</v>
          </cell>
          <cell r="B129">
            <v>0</v>
          </cell>
        </row>
        <row r="130">
          <cell r="A130">
            <v>1944</v>
          </cell>
          <cell r="B130">
            <v>0</v>
          </cell>
        </row>
        <row r="131">
          <cell r="A131">
            <v>950</v>
          </cell>
          <cell r="B131">
            <v>1</v>
          </cell>
        </row>
        <row r="132">
          <cell r="A132">
            <v>1237</v>
          </cell>
          <cell r="B132">
            <v>0</v>
          </cell>
        </row>
        <row r="133">
          <cell r="A133">
            <v>745</v>
          </cell>
          <cell r="B133">
            <v>0</v>
          </cell>
        </row>
        <row r="134">
          <cell r="A134">
            <v>761</v>
          </cell>
          <cell r="B134">
            <v>1</v>
          </cell>
        </row>
        <row r="135">
          <cell r="A135">
            <v>406</v>
          </cell>
          <cell r="B135">
            <v>0</v>
          </cell>
        </row>
        <row r="136">
          <cell r="A136">
            <v>692</v>
          </cell>
          <cell r="B136">
            <v>0</v>
          </cell>
        </row>
        <row r="137">
          <cell r="A137">
            <v>1065</v>
          </cell>
          <cell r="B137">
            <v>0</v>
          </cell>
        </row>
        <row r="138">
          <cell r="A138">
            <v>1930</v>
          </cell>
          <cell r="B138">
            <v>0</v>
          </cell>
        </row>
        <row r="139">
          <cell r="A139">
            <v>348</v>
          </cell>
          <cell r="B139">
            <v>0</v>
          </cell>
        </row>
        <row r="140">
          <cell r="A140">
            <v>1786</v>
          </cell>
          <cell r="B140">
            <v>0</v>
          </cell>
        </row>
        <row r="141">
          <cell r="A141">
            <v>169</v>
          </cell>
          <cell r="B141">
            <v>0</v>
          </cell>
        </row>
        <row r="142">
          <cell r="A142">
            <v>887</v>
          </cell>
          <cell r="B142">
            <v>1</v>
          </cell>
        </row>
        <row r="143">
          <cell r="A143">
            <v>480</v>
          </cell>
          <cell r="B143">
            <v>1</v>
          </cell>
        </row>
        <row r="144">
          <cell r="A144">
            <v>1610</v>
          </cell>
          <cell r="B144">
            <v>1</v>
          </cell>
        </row>
        <row r="145">
          <cell r="A145">
            <v>1334</v>
          </cell>
          <cell r="B145">
            <v>0</v>
          </cell>
        </row>
        <row r="146">
          <cell r="A146">
            <v>512</v>
          </cell>
          <cell r="B146">
            <v>0</v>
          </cell>
        </row>
        <row r="147">
          <cell r="A147">
            <v>1421</v>
          </cell>
          <cell r="B147">
            <v>0</v>
          </cell>
        </row>
        <row r="148">
          <cell r="A148">
            <v>1166</v>
          </cell>
          <cell r="B148">
            <v>0</v>
          </cell>
        </row>
        <row r="149">
          <cell r="A149">
            <v>1946</v>
          </cell>
          <cell r="B149">
            <v>0</v>
          </cell>
        </row>
        <row r="150">
          <cell r="A150">
            <v>1073</v>
          </cell>
          <cell r="B150">
            <v>0</v>
          </cell>
        </row>
        <row r="151">
          <cell r="A151">
            <v>1691</v>
          </cell>
          <cell r="B151">
            <v>1</v>
          </cell>
        </row>
        <row r="152">
          <cell r="A152">
            <v>510</v>
          </cell>
          <cell r="B152">
            <v>0</v>
          </cell>
        </row>
        <row r="153">
          <cell r="A153">
            <v>389</v>
          </cell>
          <cell r="B153">
            <v>0</v>
          </cell>
        </row>
        <row r="154">
          <cell r="A154">
            <v>1657</v>
          </cell>
          <cell r="B154">
            <v>1</v>
          </cell>
        </row>
        <row r="155">
          <cell r="A155">
            <v>1028</v>
          </cell>
          <cell r="B155">
            <v>0</v>
          </cell>
        </row>
        <row r="156">
          <cell r="A156">
            <v>181</v>
          </cell>
          <cell r="B156">
            <v>0</v>
          </cell>
        </row>
        <row r="157">
          <cell r="A157">
            <v>1540</v>
          </cell>
          <cell r="B157">
            <v>0</v>
          </cell>
        </row>
        <row r="158">
          <cell r="A158">
            <v>1243</v>
          </cell>
          <cell r="B158">
            <v>0</v>
          </cell>
        </row>
        <row r="159">
          <cell r="A159">
            <v>1862</v>
          </cell>
          <cell r="B159">
            <v>1</v>
          </cell>
        </row>
        <row r="160">
          <cell r="A160">
            <v>612</v>
          </cell>
          <cell r="B160">
            <v>1</v>
          </cell>
        </row>
        <row r="161">
          <cell r="A161">
            <v>1428</v>
          </cell>
          <cell r="B161">
            <v>1</v>
          </cell>
        </row>
        <row r="162">
          <cell r="A162">
            <v>1109</v>
          </cell>
          <cell r="B162">
            <v>0</v>
          </cell>
        </row>
        <row r="163">
          <cell r="A163">
            <v>1551</v>
          </cell>
          <cell r="B163">
            <v>0</v>
          </cell>
        </row>
        <row r="164">
          <cell r="A164">
            <v>1167</v>
          </cell>
          <cell r="B164">
            <v>0</v>
          </cell>
        </row>
        <row r="165">
          <cell r="A165">
            <v>623</v>
          </cell>
          <cell r="B165">
            <v>0</v>
          </cell>
        </row>
        <row r="166">
          <cell r="A166">
            <v>137</v>
          </cell>
          <cell r="B166">
            <v>0</v>
          </cell>
        </row>
        <row r="167">
          <cell r="A167">
            <v>1567</v>
          </cell>
          <cell r="B167">
            <v>1</v>
          </cell>
        </row>
        <row r="168">
          <cell r="A168">
            <v>161</v>
          </cell>
          <cell r="B168">
            <v>0</v>
          </cell>
        </row>
        <row r="169">
          <cell r="A169">
            <v>309</v>
          </cell>
          <cell r="B169">
            <v>0</v>
          </cell>
        </row>
        <row r="170">
          <cell r="A170">
            <v>1262</v>
          </cell>
          <cell r="B170">
            <v>0</v>
          </cell>
        </row>
        <row r="171">
          <cell r="A171">
            <v>748</v>
          </cell>
          <cell r="B171">
            <v>1</v>
          </cell>
        </row>
        <row r="172">
          <cell r="A172">
            <v>697</v>
          </cell>
          <cell r="B172">
            <v>0</v>
          </cell>
        </row>
        <row r="173">
          <cell r="A173">
            <v>1443</v>
          </cell>
          <cell r="B173">
            <v>0</v>
          </cell>
        </row>
        <row r="174">
          <cell r="A174">
            <v>177</v>
          </cell>
          <cell r="B174">
            <v>1</v>
          </cell>
        </row>
        <row r="175">
          <cell r="A175">
            <v>1561</v>
          </cell>
          <cell r="B175">
            <v>0</v>
          </cell>
        </row>
        <row r="176">
          <cell r="A176">
            <v>270</v>
          </cell>
          <cell r="B176">
            <v>1</v>
          </cell>
        </row>
        <row r="177">
          <cell r="A177">
            <v>525</v>
          </cell>
          <cell r="B177">
            <v>0</v>
          </cell>
        </row>
        <row r="178">
          <cell r="A178">
            <v>987</v>
          </cell>
          <cell r="B178">
            <v>0</v>
          </cell>
        </row>
        <row r="179">
          <cell r="A179">
            <v>846</v>
          </cell>
          <cell r="B179">
            <v>0</v>
          </cell>
        </row>
        <row r="180">
          <cell r="A180">
            <v>563</v>
          </cell>
          <cell r="B180">
            <v>0</v>
          </cell>
        </row>
        <row r="181">
          <cell r="A181">
            <v>1265</v>
          </cell>
          <cell r="B181">
            <v>0</v>
          </cell>
        </row>
        <row r="182">
          <cell r="A182">
            <v>993</v>
          </cell>
          <cell r="B182">
            <v>0</v>
          </cell>
        </row>
        <row r="183">
          <cell r="A183">
            <v>1602</v>
          </cell>
          <cell r="B183">
            <v>0</v>
          </cell>
        </row>
        <row r="184">
          <cell r="A184">
            <v>661</v>
          </cell>
          <cell r="B184">
            <v>1</v>
          </cell>
        </row>
        <row r="185">
          <cell r="A185">
            <v>1990</v>
          </cell>
          <cell r="B185">
            <v>0</v>
          </cell>
        </row>
        <row r="186">
          <cell r="A186">
            <v>1015</v>
          </cell>
          <cell r="B186">
            <v>1</v>
          </cell>
        </row>
        <row r="187">
          <cell r="A187">
            <v>1632</v>
          </cell>
          <cell r="B187">
            <v>0</v>
          </cell>
        </row>
        <row r="188">
          <cell r="A188">
            <v>1291</v>
          </cell>
          <cell r="B188">
            <v>0</v>
          </cell>
        </row>
        <row r="189">
          <cell r="A189">
            <v>1406</v>
          </cell>
          <cell r="B189">
            <v>0</v>
          </cell>
        </row>
        <row r="190">
          <cell r="A190">
            <v>194</v>
          </cell>
          <cell r="B190">
            <v>0</v>
          </cell>
        </row>
        <row r="191">
          <cell r="A191">
            <v>625</v>
          </cell>
          <cell r="B191">
            <v>0</v>
          </cell>
        </row>
        <row r="192">
          <cell r="A192">
            <v>382</v>
          </cell>
          <cell r="B192">
            <v>0</v>
          </cell>
        </row>
        <row r="193">
          <cell r="A193">
            <v>1518</v>
          </cell>
          <cell r="B193">
            <v>1</v>
          </cell>
        </row>
        <row r="194">
          <cell r="A194">
            <v>1215</v>
          </cell>
          <cell r="B194">
            <v>0</v>
          </cell>
        </row>
        <row r="195">
          <cell r="A195">
            <v>1547</v>
          </cell>
          <cell r="B195">
            <v>0</v>
          </cell>
        </row>
        <row r="196">
          <cell r="A196">
            <v>258</v>
          </cell>
          <cell r="B196">
            <v>1</v>
          </cell>
        </row>
        <row r="197">
          <cell r="A197">
            <v>75</v>
          </cell>
          <cell r="B197">
            <v>0</v>
          </cell>
        </row>
        <row r="198">
          <cell r="A198">
            <v>190</v>
          </cell>
          <cell r="B198">
            <v>0</v>
          </cell>
        </row>
        <row r="199">
          <cell r="A199">
            <v>321</v>
          </cell>
          <cell r="B199">
            <v>0</v>
          </cell>
        </row>
        <row r="200">
          <cell r="A200">
            <v>972</v>
          </cell>
          <cell r="B200">
            <v>0</v>
          </cell>
        </row>
        <row r="201">
          <cell r="A201">
            <v>926</v>
          </cell>
          <cell r="B201">
            <v>0</v>
          </cell>
        </row>
        <row r="202">
          <cell r="A202">
            <v>541</v>
          </cell>
          <cell r="B202">
            <v>0</v>
          </cell>
        </row>
        <row r="203">
          <cell r="A203">
            <v>1132</v>
          </cell>
          <cell r="B203">
            <v>1</v>
          </cell>
        </row>
        <row r="204">
          <cell r="A204">
            <v>1582</v>
          </cell>
          <cell r="B204">
            <v>0</v>
          </cell>
        </row>
        <row r="205">
          <cell r="A205">
            <v>1244</v>
          </cell>
          <cell r="B205">
            <v>1</v>
          </cell>
        </row>
        <row r="206">
          <cell r="A206">
            <v>1947</v>
          </cell>
          <cell r="B206">
            <v>0</v>
          </cell>
        </row>
        <row r="207">
          <cell r="A207">
            <v>860</v>
          </cell>
          <cell r="B207">
            <v>0</v>
          </cell>
        </row>
        <row r="208">
          <cell r="A208">
            <v>1476</v>
          </cell>
          <cell r="B208">
            <v>1</v>
          </cell>
        </row>
        <row r="209">
          <cell r="A209">
            <v>1785</v>
          </cell>
          <cell r="B209">
            <v>0</v>
          </cell>
        </row>
        <row r="210">
          <cell r="A210">
            <v>1267</v>
          </cell>
          <cell r="B210">
            <v>0</v>
          </cell>
        </row>
        <row r="211">
          <cell r="A211">
            <v>840</v>
          </cell>
          <cell r="B211">
            <v>1</v>
          </cell>
        </row>
        <row r="212">
          <cell r="A212">
            <v>1634</v>
          </cell>
          <cell r="B212">
            <v>0</v>
          </cell>
        </row>
        <row r="213">
          <cell r="A213">
            <v>1865</v>
          </cell>
          <cell r="B213">
            <v>1</v>
          </cell>
        </row>
        <row r="214">
          <cell r="A214">
            <v>292</v>
          </cell>
          <cell r="B214">
            <v>1</v>
          </cell>
        </row>
        <row r="215">
          <cell r="A215">
            <v>660</v>
          </cell>
          <cell r="B215">
            <v>1</v>
          </cell>
        </row>
        <row r="216">
          <cell r="A216">
            <v>824</v>
          </cell>
          <cell r="B216">
            <v>0</v>
          </cell>
        </row>
        <row r="217">
          <cell r="A217">
            <v>301</v>
          </cell>
          <cell r="B217">
            <v>0</v>
          </cell>
        </row>
        <row r="218">
          <cell r="A218">
            <v>925</v>
          </cell>
          <cell r="B218">
            <v>1</v>
          </cell>
        </row>
        <row r="219">
          <cell r="A219">
            <v>453</v>
          </cell>
          <cell r="B219">
            <v>0</v>
          </cell>
        </row>
        <row r="220">
          <cell r="A220">
            <v>1778</v>
          </cell>
          <cell r="B220">
            <v>0</v>
          </cell>
        </row>
        <row r="221">
          <cell r="A221">
            <v>943</v>
          </cell>
          <cell r="B221">
            <v>0</v>
          </cell>
        </row>
        <row r="222">
          <cell r="A222">
            <v>1447</v>
          </cell>
          <cell r="B222">
            <v>0</v>
          </cell>
        </row>
        <row r="223">
          <cell r="A223">
            <v>1528</v>
          </cell>
          <cell r="B223">
            <v>1</v>
          </cell>
        </row>
        <row r="224">
          <cell r="A224">
            <v>1336</v>
          </cell>
          <cell r="B224">
            <v>1</v>
          </cell>
        </row>
        <row r="225">
          <cell r="A225">
            <v>119</v>
          </cell>
          <cell r="B225">
            <v>0</v>
          </cell>
        </row>
        <row r="226">
          <cell r="A226">
            <v>1898</v>
          </cell>
          <cell r="B226">
            <v>0</v>
          </cell>
        </row>
        <row r="227">
          <cell r="A227">
            <v>37</v>
          </cell>
          <cell r="B227">
            <v>0</v>
          </cell>
        </row>
        <row r="228">
          <cell r="A228">
            <v>861</v>
          </cell>
          <cell r="B228">
            <v>1</v>
          </cell>
        </row>
        <row r="229">
          <cell r="A229">
            <v>1041</v>
          </cell>
          <cell r="B229">
            <v>0</v>
          </cell>
        </row>
        <row r="230">
          <cell r="A230">
            <v>241</v>
          </cell>
          <cell r="B230">
            <v>0</v>
          </cell>
        </row>
        <row r="231">
          <cell r="A231">
            <v>1554</v>
          </cell>
          <cell r="B231">
            <v>1</v>
          </cell>
        </row>
        <row r="232">
          <cell r="A232">
            <v>1376</v>
          </cell>
          <cell r="B232">
            <v>0</v>
          </cell>
        </row>
        <row r="233">
          <cell r="A233">
            <v>1246</v>
          </cell>
          <cell r="B233">
            <v>1</v>
          </cell>
        </row>
        <row r="234">
          <cell r="A234">
            <v>1787</v>
          </cell>
          <cell r="B234">
            <v>1</v>
          </cell>
        </row>
        <row r="235">
          <cell r="A235">
            <v>952</v>
          </cell>
          <cell r="B235">
            <v>0</v>
          </cell>
        </row>
        <row r="236">
          <cell r="A236">
            <v>223</v>
          </cell>
          <cell r="B236">
            <v>1</v>
          </cell>
        </row>
        <row r="237">
          <cell r="A237">
            <v>1051</v>
          </cell>
          <cell r="B237">
            <v>0</v>
          </cell>
        </row>
        <row r="238">
          <cell r="A238">
            <v>779</v>
          </cell>
          <cell r="B238">
            <v>0</v>
          </cell>
        </row>
        <row r="239">
          <cell r="A239">
            <v>1456</v>
          </cell>
          <cell r="B239">
            <v>0</v>
          </cell>
        </row>
        <row r="240">
          <cell r="A240">
            <v>1271</v>
          </cell>
          <cell r="B240">
            <v>0</v>
          </cell>
        </row>
        <row r="241">
          <cell r="A241">
            <v>1501</v>
          </cell>
          <cell r="B241">
            <v>0</v>
          </cell>
        </row>
        <row r="242">
          <cell r="A242">
            <v>1546</v>
          </cell>
          <cell r="B242">
            <v>1</v>
          </cell>
        </row>
        <row r="243">
          <cell r="A243">
            <v>614</v>
          </cell>
          <cell r="B243">
            <v>1</v>
          </cell>
        </row>
        <row r="244">
          <cell r="A244">
            <v>507</v>
          </cell>
          <cell r="B244">
            <v>0</v>
          </cell>
        </row>
        <row r="245">
          <cell r="A245">
            <v>1805</v>
          </cell>
          <cell r="B245">
            <v>0</v>
          </cell>
        </row>
        <row r="246">
          <cell r="A246">
            <v>8</v>
          </cell>
          <cell r="B246">
            <v>0</v>
          </cell>
        </row>
        <row r="247">
          <cell r="A247">
            <v>297</v>
          </cell>
          <cell r="B247">
            <v>0</v>
          </cell>
        </row>
        <row r="248">
          <cell r="A248">
            <v>1017</v>
          </cell>
          <cell r="B248">
            <v>0</v>
          </cell>
        </row>
        <row r="249">
          <cell r="A249">
            <v>922</v>
          </cell>
          <cell r="B249">
            <v>0</v>
          </cell>
        </row>
        <row r="250">
          <cell r="A250">
            <v>1904</v>
          </cell>
          <cell r="B250">
            <v>0</v>
          </cell>
        </row>
        <row r="251">
          <cell r="A251">
            <v>1639</v>
          </cell>
          <cell r="B251">
            <v>0</v>
          </cell>
        </row>
        <row r="252">
          <cell r="A252">
            <v>386</v>
          </cell>
          <cell r="B252">
            <v>0</v>
          </cell>
        </row>
        <row r="253">
          <cell r="A253">
            <v>331</v>
          </cell>
          <cell r="B253">
            <v>0</v>
          </cell>
        </row>
        <row r="254">
          <cell r="A254">
            <v>1283</v>
          </cell>
          <cell r="B254">
            <v>0</v>
          </cell>
        </row>
        <row r="255">
          <cell r="A255">
            <v>1706</v>
          </cell>
          <cell r="B255">
            <v>1</v>
          </cell>
        </row>
        <row r="256">
          <cell r="A256">
            <v>1513</v>
          </cell>
          <cell r="B256">
            <v>0</v>
          </cell>
        </row>
        <row r="257">
          <cell r="A257">
            <v>1172</v>
          </cell>
          <cell r="B257">
            <v>1</v>
          </cell>
        </row>
        <row r="258">
          <cell r="A258">
            <v>1038</v>
          </cell>
          <cell r="B258">
            <v>0</v>
          </cell>
        </row>
        <row r="259">
          <cell r="A259">
            <v>1735</v>
          </cell>
          <cell r="B259">
            <v>1</v>
          </cell>
        </row>
        <row r="260">
          <cell r="A260">
            <v>737</v>
          </cell>
          <cell r="B260">
            <v>0</v>
          </cell>
        </row>
        <row r="261">
          <cell r="A261">
            <v>202</v>
          </cell>
          <cell r="B261">
            <v>0</v>
          </cell>
        </row>
        <row r="262">
          <cell r="A262">
            <v>1304</v>
          </cell>
          <cell r="B262">
            <v>0</v>
          </cell>
        </row>
        <row r="263">
          <cell r="A263">
            <v>1646</v>
          </cell>
          <cell r="B263">
            <v>0</v>
          </cell>
        </row>
        <row r="264">
          <cell r="A264">
            <v>60</v>
          </cell>
          <cell r="B264">
            <v>0</v>
          </cell>
        </row>
        <row r="265">
          <cell r="A265">
            <v>1622</v>
          </cell>
          <cell r="B265">
            <v>0</v>
          </cell>
        </row>
        <row r="266">
          <cell r="A266">
            <v>1638</v>
          </cell>
          <cell r="B266">
            <v>0</v>
          </cell>
        </row>
        <row r="267">
          <cell r="A267">
            <v>1274</v>
          </cell>
          <cell r="B267">
            <v>0</v>
          </cell>
        </row>
        <row r="268">
          <cell r="A268">
            <v>620</v>
          </cell>
          <cell r="B268">
            <v>0</v>
          </cell>
        </row>
        <row r="269">
          <cell r="A269">
            <v>1361</v>
          </cell>
          <cell r="B269">
            <v>0</v>
          </cell>
        </row>
        <row r="270">
          <cell r="A270">
            <v>1184</v>
          </cell>
          <cell r="B270">
            <v>0</v>
          </cell>
        </row>
        <row r="271">
          <cell r="A271">
            <v>1162</v>
          </cell>
          <cell r="B271">
            <v>0</v>
          </cell>
        </row>
        <row r="272">
          <cell r="A272">
            <v>368</v>
          </cell>
          <cell r="B272">
            <v>0</v>
          </cell>
        </row>
        <row r="273">
          <cell r="A273">
            <v>1198</v>
          </cell>
          <cell r="B273">
            <v>0</v>
          </cell>
        </row>
        <row r="274">
          <cell r="A274">
            <v>810</v>
          </cell>
          <cell r="B274">
            <v>0</v>
          </cell>
        </row>
        <row r="275">
          <cell r="A275">
            <v>1204</v>
          </cell>
          <cell r="B275">
            <v>0</v>
          </cell>
        </row>
        <row r="276">
          <cell r="A276">
            <v>1008</v>
          </cell>
          <cell r="B276">
            <v>0</v>
          </cell>
        </row>
        <row r="277">
          <cell r="A277">
            <v>888</v>
          </cell>
          <cell r="B277">
            <v>0</v>
          </cell>
        </row>
        <row r="278">
          <cell r="A278">
            <v>98</v>
          </cell>
          <cell r="B278">
            <v>0</v>
          </cell>
        </row>
        <row r="279">
          <cell r="A279">
            <v>1668</v>
          </cell>
          <cell r="B279">
            <v>1</v>
          </cell>
        </row>
        <row r="280">
          <cell r="A280">
            <v>260</v>
          </cell>
          <cell r="B280">
            <v>1</v>
          </cell>
        </row>
        <row r="281">
          <cell r="A281">
            <v>1000</v>
          </cell>
          <cell r="B281">
            <v>0</v>
          </cell>
        </row>
        <row r="282">
          <cell r="A282">
            <v>158</v>
          </cell>
          <cell r="B282">
            <v>0</v>
          </cell>
        </row>
        <row r="283">
          <cell r="A283">
            <v>1548</v>
          </cell>
          <cell r="B283">
            <v>1</v>
          </cell>
        </row>
        <row r="284">
          <cell r="A284">
            <v>547</v>
          </cell>
          <cell r="B284">
            <v>0</v>
          </cell>
        </row>
        <row r="285">
          <cell r="A285">
            <v>1757</v>
          </cell>
          <cell r="B285">
            <v>1</v>
          </cell>
        </row>
        <row r="286">
          <cell r="A286">
            <v>1403</v>
          </cell>
          <cell r="B286">
            <v>1</v>
          </cell>
        </row>
        <row r="287">
          <cell r="A287">
            <v>1178</v>
          </cell>
          <cell r="B287">
            <v>0</v>
          </cell>
        </row>
        <row r="288">
          <cell r="A288">
            <v>1899</v>
          </cell>
          <cell r="B288">
            <v>1</v>
          </cell>
        </row>
        <row r="289">
          <cell r="A289">
            <v>396</v>
          </cell>
          <cell r="B289">
            <v>0</v>
          </cell>
        </row>
        <row r="290">
          <cell r="A290">
            <v>1159</v>
          </cell>
          <cell r="B290">
            <v>1</v>
          </cell>
        </row>
        <row r="291">
          <cell r="A291">
            <v>1006</v>
          </cell>
          <cell r="B291">
            <v>1</v>
          </cell>
        </row>
        <row r="292">
          <cell r="A292">
            <v>1379</v>
          </cell>
          <cell r="B292">
            <v>1</v>
          </cell>
        </row>
        <row r="293">
          <cell r="A293">
            <v>82</v>
          </cell>
          <cell r="B293">
            <v>0</v>
          </cell>
        </row>
        <row r="294">
          <cell r="A294">
            <v>1593</v>
          </cell>
          <cell r="B294">
            <v>0</v>
          </cell>
        </row>
        <row r="295">
          <cell r="A295">
            <v>982</v>
          </cell>
          <cell r="B295">
            <v>0</v>
          </cell>
        </row>
        <row r="296">
          <cell r="A296">
            <v>1797</v>
          </cell>
          <cell r="B296">
            <v>0</v>
          </cell>
        </row>
        <row r="297">
          <cell r="A297">
            <v>104</v>
          </cell>
          <cell r="B297">
            <v>0</v>
          </cell>
        </row>
        <row r="298">
          <cell r="A298">
            <v>769</v>
          </cell>
          <cell r="B298">
            <v>0</v>
          </cell>
        </row>
        <row r="299">
          <cell r="A299">
            <v>596</v>
          </cell>
          <cell r="B299">
            <v>0</v>
          </cell>
        </row>
        <row r="300">
          <cell r="A300">
            <v>1338</v>
          </cell>
          <cell r="B300">
            <v>0</v>
          </cell>
        </row>
        <row r="301">
          <cell r="A301">
            <v>432</v>
          </cell>
          <cell r="B301">
            <v>0</v>
          </cell>
        </row>
        <row r="302">
          <cell r="A302">
            <v>403</v>
          </cell>
          <cell r="B302">
            <v>0</v>
          </cell>
        </row>
        <row r="303">
          <cell r="A303">
            <v>1611</v>
          </cell>
          <cell r="B303">
            <v>0</v>
          </cell>
        </row>
        <row r="304">
          <cell r="A304">
            <v>1882</v>
          </cell>
          <cell r="B304">
            <v>1</v>
          </cell>
        </row>
        <row r="305">
          <cell r="A305">
            <v>1750</v>
          </cell>
          <cell r="B305">
            <v>1</v>
          </cell>
        </row>
        <row r="306">
          <cell r="A306">
            <v>959</v>
          </cell>
          <cell r="B306">
            <v>1</v>
          </cell>
        </row>
        <row r="307">
          <cell r="A307">
            <v>1475</v>
          </cell>
          <cell r="B307">
            <v>0</v>
          </cell>
        </row>
        <row r="308">
          <cell r="A308">
            <v>1522</v>
          </cell>
          <cell r="B308">
            <v>0</v>
          </cell>
        </row>
        <row r="309">
          <cell r="A309">
            <v>916</v>
          </cell>
          <cell r="B309">
            <v>0</v>
          </cell>
        </row>
        <row r="310">
          <cell r="A310">
            <v>1730</v>
          </cell>
          <cell r="B310">
            <v>1</v>
          </cell>
        </row>
        <row r="311">
          <cell r="A311">
            <v>1211</v>
          </cell>
          <cell r="B311">
            <v>1</v>
          </cell>
        </row>
        <row r="312">
          <cell r="A312">
            <v>1871</v>
          </cell>
          <cell r="B312">
            <v>0</v>
          </cell>
        </row>
        <row r="313">
          <cell r="A313">
            <v>133</v>
          </cell>
          <cell r="B313">
            <v>0</v>
          </cell>
        </row>
        <row r="314">
          <cell r="A314">
            <v>227</v>
          </cell>
          <cell r="B314">
            <v>1</v>
          </cell>
        </row>
        <row r="315">
          <cell r="A315">
            <v>1637</v>
          </cell>
          <cell r="B315">
            <v>0</v>
          </cell>
        </row>
        <row r="316">
          <cell r="A316">
            <v>1395</v>
          </cell>
          <cell r="B316">
            <v>1</v>
          </cell>
        </row>
        <row r="317">
          <cell r="A317">
            <v>91</v>
          </cell>
          <cell r="B317">
            <v>0</v>
          </cell>
        </row>
        <row r="318">
          <cell r="A318">
            <v>579</v>
          </cell>
          <cell r="B318">
            <v>1</v>
          </cell>
        </row>
        <row r="319">
          <cell r="A319">
            <v>902</v>
          </cell>
          <cell r="B319">
            <v>0</v>
          </cell>
        </row>
        <row r="320">
          <cell r="A320">
            <v>11</v>
          </cell>
          <cell r="B320">
            <v>0</v>
          </cell>
        </row>
        <row r="321">
          <cell r="A321">
            <v>900</v>
          </cell>
          <cell r="B321">
            <v>0</v>
          </cell>
        </row>
        <row r="322">
          <cell r="A322">
            <v>1512</v>
          </cell>
          <cell r="B322">
            <v>0</v>
          </cell>
        </row>
        <row r="323">
          <cell r="A323">
            <v>53</v>
          </cell>
          <cell r="B323">
            <v>1</v>
          </cell>
        </row>
        <row r="324">
          <cell r="A324">
            <v>267</v>
          </cell>
          <cell r="B324">
            <v>1</v>
          </cell>
        </row>
        <row r="325">
          <cell r="A325">
            <v>1681</v>
          </cell>
          <cell r="B325">
            <v>0</v>
          </cell>
        </row>
        <row r="326">
          <cell r="A326">
            <v>1939</v>
          </cell>
          <cell r="B326">
            <v>0</v>
          </cell>
        </row>
        <row r="327">
          <cell r="A327">
            <v>1988</v>
          </cell>
          <cell r="B327">
            <v>0</v>
          </cell>
        </row>
        <row r="328">
          <cell r="A328">
            <v>428</v>
          </cell>
          <cell r="B328">
            <v>0</v>
          </cell>
        </row>
        <row r="329">
          <cell r="A329">
            <v>1604</v>
          </cell>
          <cell r="B329">
            <v>0</v>
          </cell>
        </row>
        <row r="330">
          <cell r="A330">
            <v>107</v>
          </cell>
          <cell r="B330">
            <v>0</v>
          </cell>
        </row>
        <row r="331">
          <cell r="A331">
            <v>834</v>
          </cell>
          <cell r="B331">
            <v>0</v>
          </cell>
        </row>
        <row r="332">
          <cell r="A332">
            <v>65</v>
          </cell>
          <cell r="B332">
            <v>0</v>
          </cell>
        </row>
        <row r="333">
          <cell r="A333">
            <v>1825</v>
          </cell>
          <cell r="B333">
            <v>0</v>
          </cell>
        </row>
        <row r="334">
          <cell r="A334">
            <v>1301</v>
          </cell>
          <cell r="B334">
            <v>0</v>
          </cell>
        </row>
        <row r="335">
          <cell r="A335">
            <v>536</v>
          </cell>
          <cell r="B335">
            <v>0</v>
          </cell>
        </row>
        <row r="336">
          <cell r="A336">
            <v>1470</v>
          </cell>
          <cell r="B336">
            <v>0</v>
          </cell>
        </row>
        <row r="337">
          <cell r="A337">
            <v>167</v>
          </cell>
          <cell r="B337">
            <v>0</v>
          </cell>
        </row>
        <row r="338">
          <cell r="A338">
            <v>957</v>
          </cell>
          <cell r="B338">
            <v>1</v>
          </cell>
        </row>
        <row r="339">
          <cell r="A339">
            <v>366</v>
          </cell>
          <cell r="B339">
            <v>0</v>
          </cell>
        </row>
        <row r="340">
          <cell r="A340">
            <v>598</v>
          </cell>
          <cell r="B340">
            <v>1</v>
          </cell>
        </row>
        <row r="341">
          <cell r="A341">
            <v>264</v>
          </cell>
          <cell r="B341">
            <v>0</v>
          </cell>
        </row>
        <row r="342">
          <cell r="A342">
            <v>351</v>
          </cell>
          <cell r="B342">
            <v>0</v>
          </cell>
        </row>
        <row r="343">
          <cell r="A343">
            <v>421</v>
          </cell>
          <cell r="B343">
            <v>0</v>
          </cell>
        </row>
        <row r="344">
          <cell r="A344">
            <v>1117</v>
          </cell>
          <cell r="B344">
            <v>1</v>
          </cell>
        </row>
        <row r="345">
          <cell r="A345">
            <v>1983</v>
          </cell>
          <cell r="B345">
            <v>0</v>
          </cell>
        </row>
        <row r="346">
          <cell r="A346">
            <v>1651</v>
          </cell>
          <cell r="B346">
            <v>0</v>
          </cell>
        </row>
        <row r="347">
          <cell r="A347">
            <v>268</v>
          </cell>
          <cell r="B347">
            <v>0</v>
          </cell>
        </row>
        <row r="348">
          <cell r="A348">
            <v>793</v>
          </cell>
          <cell r="B348">
            <v>1</v>
          </cell>
        </row>
        <row r="349">
          <cell r="A349">
            <v>3</v>
          </cell>
          <cell r="B349">
            <v>0</v>
          </cell>
        </row>
        <row r="350">
          <cell r="A350">
            <v>1381</v>
          </cell>
          <cell r="B350">
            <v>1</v>
          </cell>
        </row>
        <row r="351">
          <cell r="A351">
            <v>1347</v>
          </cell>
          <cell r="B351">
            <v>0</v>
          </cell>
        </row>
        <row r="352">
          <cell r="A352">
            <v>306</v>
          </cell>
          <cell r="B352">
            <v>1</v>
          </cell>
        </row>
        <row r="353">
          <cell r="A353">
            <v>414</v>
          </cell>
          <cell r="B353">
            <v>0</v>
          </cell>
        </row>
        <row r="354">
          <cell r="A354">
            <v>1950</v>
          </cell>
          <cell r="B354">
            <v>0</v>
          </cell>
        </row>
        <row r="355">
          <cell r="A355">
            <v>644</v>
          </cell>
          <cell r="B355">
            <v>0</v>
          </cell>
        </row>
        <row r="356">
          <cell r="A356">
            <v>17</v>
          </cell>
          <cell r="B356">
            <v>1</v>
          </cell>
        </row>
        <row r="357">
          <cell r="A357">
            <v>248</v>
          </cell>
          <cell r="B357">
            <v>0</v>
          </cell>
        </row>
        <row r="358">
          <cell r="A358">
            <v>572</v>
          </cell>
          <cell r="B358">
            <v>0</v>
          </cell>
        </row>
        <row r="359">
          <cell r="A359">
            <v>931</v>
          </cell>
          <cell r="B359">
            <v>0</v>
          </cell>
        </row>
        <row r="360">
          <cell r="A360">
            <v>757</v>
          </cell>
          <cell r="B360">
            <v>0</v>
          </cell>
        </row>
        <row r="361">
          <cell r="A361">
            <v>1874</v>
          </cell>
          <cell r="B361">
            <v>1</v>
          </cell>
        </row>
        <row r="362">
          <cell r="A362">
            <v>281</v>
          </cell>
          <cell r="B362">
            <v>1</v>
          </cell>
        </row>
        <row r="363">
          <cell r="A363">
            <v>602</v>
          </cell>
          <cell r="B363">
            <v>0</v>
          </cell>
        </row>
        <row r="364">
          <cell r="A364">
            <v>1189</v>
          </cell>
          <cell r="B364">
            <v>1</v>
          </cell>
        </row>
        <row r="365">
          <cell r="A365">
            <v>1555</v>
          </cell>
          <cell r="B365">
            <v>0</v>
          </cell>
        </row>
        <row r="366">
          <cell r="A366">
            <v>1739</v>
          </cell>
          <cell r="B366">
            <v>0</v>
          </cell>
        </row>
        <row r="367">
          <cell r="A367">
            <v>299</v>
          </cell>
          <cell r="B367">
            <v>0</v>
          </cell>
        </row>
        <row r="368">
          <cell r="A368">
            <v>1115</v>
          </cell>
          <cell r="B368">
            <v>1</v>
          </cell>
        </row>
        <row r="369">
          <cell r="A369">
            <v>1617</v>
          </cell>
          <cell r="B369">
            <v>0</v>
          </cell>
        </row>
        <row r="370">
          <cell r="A370">
            <v>702</v>
          </cell>
          <cell r="B370">
            <v>1</v>
          </cell>
        </row>
        <row r="371">
          <cell r="A371">
            <v>302</v>
          </cell>
          <cell r="B371">
            <v>0</v>
          </cell>
        </row>
        <row r="372">
          <cell r="A372">
            <v>1004</v>
          </cell>
          <cell r="B372">
            <v>0</v>
          </cell>
        </row>
        <row r="373">
          <cell r="A373">
            <v>1627</v>
          </cell>
          <cell r="B373">
            <v>0</v>
          </cell>
        </row>
        <row r="374">
          <cell r="A374">
            <v>341</v>
          </cell>
          <cell r="B374">
            <v>0</v>
          </cell>
        </row>
        <row r="375">
          <cell r="A375">
            <v>585</v>
          </cell>
          <cell r="B375">
            <v>0</v>
          </cell>
        </row>
        <row r="376">
          <cell r="A376">
            <v>1975</v>
          </cell>
          <cell r="B376">
            <v>1</v>
          </cell>
        </row>
        <row r="377">
          <cell r="A377">
            <v>259</v>
          </cell>
          <cell r="B377">
            <v>1</v>
          </cell>
        </row>
        <row r="378">
          <cell r="A378">
            <v>1663</v>
          </cell>
          <cell r="B378">
            <v>0</v>
          </cell>
        </row>
        <row r="379">
          <cell r="A379">
            <v>1230</v>
          </cell>
          <cell r="B379">
            <v>1</v>
          </cell>
        </row>
        <row r="380">
          <cell r="A380">
            <v>1839</v>
          </cell>
          <cell r="B380">
            <v>0</v>
          </cell>
        </row>
        <row r="381">
          <cell r="A381">
            <v>415</v>
          </cell>
          <cell r="B381">
            <v>1</v>
          </cell>
        </row>
        <row r="382">
          <cell r="A382">
            <v>140</v>
          </cell>
          <cell r="B382">
            <v>0</v>
          </cell>
        </row>
        <row r="383">
          <cell r="A383">
            <v>165</v>
          </cell>
          <cell r="B383">
            <v>0</v>
          </cell>
        </row>
        <row r="384">
          <cell r="A384">
            <v>527</v>
          </cell>
          <cell r="B384">
            <v>0</v>
          </cell>
        </row>
        <row r="385">
          <cell r="A385">
            <v>1729</v>
          </cell>
          <cell r="B385">
            <v>0</v>
          </cell>
        </row>
        <row r="386">
          <cell r="A386">
            <v>49</v>
          </cell>
          <cell r="B386">
            <v>0</v>
          </cell>
        </row>
        <row r="387">
          <cell r="A387">
            <v>1081</v>
          </cell>
          <cell r="B387">
            <v>0</v>
          </cell>
        </row>
        <row r="388">
          <cell r="A388">
            <v>1985</v>
          </cell>
          <cell r="B388">
            <v>0</v>
          </cell>
        </row>
        <row r="389">
          <cell r="A389">
            <v>534</v>
          </cell>
          <cell r="B389">
            <v>0</v>
          </cell>
        </row>
        <row r="390">
          <cell r="A390">
            <v>1852</v>
          </cell>
          <cell r="B390">
            <v>0</v>
          </cell>
        </row>
        <row r="391">
          <cell r="A391">
            <v>1942</v>
          </cell>
          <cell r="B391">
            <v>0</v>
          </cell>
        </row>
        <row r="392">
          <cell r="A392">
            <v>821</v>
          </cell>
          <cell r="B392">
            <v>0</v>
          </cell>
        </row>
        <row r="393">
          <cell r="A393">
            <v>726</v>
          </cell>
          <cell r="B393">
            <v>0</v>
          </cell>
        </row>
        <row r="394">
          <cell r="A394">
            <v>641</v>
          </cell>
          <cell r="B394">
            <v>0</v>
          </cell>
        </row>
        <row r="395">
          <cell r="A395">
            <v>1956</v>
          </cell>
          <cell r="B395">
            <v>0</v>
          </cell>
        </row>
        <row r="396">
          <cell r="A396">
            <v>1441</v>
          </cell>
          <cell r="B396">
            <v>1</v>
          </cell>
        </row>
        <row r="397">
          <cell r="A397">
            <v>400</v>
          </cell>
          <cell r="B397">
            <v>0</v>
          </cell>
        </row>
        <row r="398">
          <cell r="A398">
            <v>763</v>
          </cell>
          <cell r="B398">
            <v>0</v>
          </cell>
        </row>
        <row r="399">
          <cell r="A399">
            <v>385</v>
          </cell>
          <cell r="B399">
            <v>0</v>
          </cell>
        </row>
        <row r="400">
          <cell r="A400">
            <v>1667</v>
          </cell>
          <cell r="B400">
            <v>0</v>
          </cell>
        </row>
        <row r="401">
          <cell r="A401">
            <v>1820</v>
          </cell>
          <cell r="B401">
            <v>1</v>
          </cell>
        </row>
        <row r="402">
          <cell r="A402">
            <v>0</v>
          </cell>
          <cell r="B402">
            <v>0</v>
          </cell>
        </row>
        <row r="403">
          <cell r="A403">
            <v>816</v>
          </cell>
          <cell r="B403">
            <v>0</v>
          </cell>
        </row>
        <row r="404">
          <cell r="A404">
            <v>790</v>
          </cell>
          <cell r="B404">
            <v>0</v>
          </cell>
        </row>
        <row r="405">
          <cell r="A405">
            <v>361</v>
          </cell>
          <cell r="B405">
            <v>1</v>
          </cell>
        </row>
        <row r="406">
          <cell r="A406">
            <v>592</v>
          </cell>
          <cell r="B406">
            <v>0</v>
          </cell>
        </row>
        <row r="407">
          <cell r="A407">
            <v>1675</v>
          </cell>
          <cell r="B407">
            <v>0</v>
          </cell>
        </row>
        <row r="408">
          <cell r="A408">
            <v>115</v>
          </cell>
          <cell r="B408">
            <v>1</v>
          </cell>
        </row>
        <row r="409">
          <cell r="A409">
            <v>1079</v>
          </cell>
          <cell r="B409">
            <v>1</v>
          </cell>
        </row>
        <row r="410">
          <cell r="A410">
            <v>546</v>
          </cell>
          <cell r="B410">
            <v>1</v>
          </cell>
        </row>
        <row r="411">
          <cell r="A411">
            <v>336</v>
          </cell>
          <cell r="B411">
            <v>0</v>
          </cell>
        </row>
        <row r="412">
          <cell r="A412">
            <v>1225</v>
          </cell>
          <cell r="B412">
            <v>0</v>
          </cell>
        </row>
        <row r="413">
          <cell r="A413">
            <v>1656</v>
          </cell>
          <cell r="B413">
            <v>0</v>
          </cell>
        </row>
        <row r="414">
          <cell r="A414">
            <v>201</v>
          </cell>
          <cell r="B414">
            <v>0</v>
          </cell>
        </row>
        <row r="415">
          <cell r="A415">
            <v>906</v>
          </cell>
          <cell r="B415">
            <v>1</v>
          </cell>
        </row>
        <row r="416">
          <cell r="A416">
            <v>30</v>
          </cell>
          <cell r="B416">
            <v>0</v>
          </cell>
        </row>
        <row r="417">
          <cell r="A417">
            <v>424</v>
          </cell>
          <cell r="B417">
            <v>1</v>
          </cell>
        </row>
        <row r="418">
          <cell r="A418">
            <v>1583</v>
          </cell>
          <cell r="B418">
            <v>0</v>
          </cell>
        </row>
        <row r="419">
          <cell r="A419">
            <v>1631</v>
          </cell>
          <cell r="B419">
            <v>1</v>
          </cell>
        </row>
        <row r="420">
          <cell r="A420">
            <v>1153</v>
          </cell>
          <cell r="B420">
            <v>1</v>
          </cell>
        </row>
        <row r="421">
          <cell r="A421">
            <v>1781</v>
          </cell>
          <cell r="B421">
            <v>1</v>
          </cell>
        </row>
        <row r="422">
          <cell r="A422">
            <v>1754</v>
          </cell>
          <cell r="B422">
            <v>1</v>
          </cell>
        </row>
        <row r="423">
          <cell r="A423">
            <v>608</v>
          </cell>
          <cell r="B423">
            <v>0</v>
          </cell>
        </row>
        <row r="424">
          <cell r="A424">
            <v>1671</v>
          </cell>
          <cell r="B424">
            <v>0</v>
          </cell>
        </row>
        <row r="425">
          <cell r="A425">
            <v>969</v>
          </cell>
          <cell r="B425">
            <v>1</v>
          </cell>
        </row>
        <row r="426">
          <cell r="A426">
            <v>293</v>
          </cell>
          <cell r="B426">
            <v>0</v>
          </cell>
        </row>
        <row r="427">
          <cell r="A427">
            <v>305</v>
          </cell>
          <cell r="B427">
            <v>0</v>
          </cell>
        </row>
        <row r="428">
          <cell r="A428">
            <v>653</v>
          </cell>
          <cell r="B428">
            <v>0</v>
          </cell>
        </row>
        <row r="429">
          <cell r="A429">
            <v>1463</v>
          </cell>
          <cell r="B429">
            <v>1</v>
          </cell>
        </row>
        <row r="430">
          <cell r="A430">
            <v>146</v>
          </cell>
          <cell r="B430">
            <v>0</v>
          </cell>
        </row>
        <row r="431">
          <cell r="A431">
            <v>968</v>
          </cell>
          <cell r="B431">
            <v>1</v>
          </cell>
        </row>
        <row r="432">
          <cell r="A432">
            <v>330</v>
          </cell>
          <cell r="B432">
            <v>1</v>
          </cell>
        </row>
        <row r="433">
          <cell r="A433">
            <v>1917</v>
          </cell>
          <cell r="B433">
            <v>0</v>
          </cell>
        </row>
        <row r="434">
          <cell r="A434">
            <v>619</v>
          </cell>
          <cell r="B434">
            <v>0</v>
          </cell>
        </row>
        <row r="435">
          <cell r="A435">
            <v>724</v>
          </cell>
          <cell r="B435">
            <v>0</v>
          </cell>
        </row>
        <row r="436">
          <cell r="A436">
            <v>418</v>
          </cell>
          <cell r="B436">
            <v>0</v>
          </cell>
        </row>
        <row r="437">
          <cell r="A437">
            <v>991</v>
          </cell>
          <cell r="B437">
            <v>0</v>
          </cell>
        </row>
        <row r="438">
          <cell r="A438">
            <v>1705</v>
          </cell>
          <cell r="B438">
            <v>0</v>
          </cell>
        </row>
        <row r="439">
          <cell r="A439">
            <v>1972</v>
          </cell>
          <cell r="B439">
            <v>0</v>
          </cell>
        </row>
        <row r="440">
          <cell r="A440">
            <v>1141</v>
          </cell>
          <cell r="B440">
            <v>0</v>
          </cell>
        </row>
        <row r="441">
          <cell r="A441">
            <v>353</v>
          </cell>
          <cell r="B441">
            <v>0</v>
          </cell>
        </row>
        <row r="442">
          <cell r="A442">
            <v>1093</v>
          </cell>
          <cell r="B442">
            <v>0</v>
          </cell>
        </row>
        <row r="443">
          <cell r="A443">
            <v>1279</v>
          </cell>
          <cell r="B443">
            <v>0</v>
          </cell>
        </row>
        <row r="444">
          <cell r="A444">
            <v>1991</v>
          </cell>
          <cell r="B444">
            <v>0</v>
          </cell>
        </row>
        <row r="445">
          <cell r="A445">
            <v>39</v>
          </cell>
          <cell r="B445">
            <v>1</v>
          </cell>
        </row>
        <row r="446">
          <cell r="A446">
            <v>1890</v>
          </cell>
          <cell r="B446">
            <v>0</v>
          </cell>
        </row>
        <row r="447">
          <cell r="A447">
            <v>1803</v>
          </cell>
          <cell r="B447">
            <v>1</v>
          </cell>
        </row>
        <row r="448">
          <cell r="A448">
            <v>802</v>
          </cell>
          <cell r="B448">
            <v>1</v>
          </cell>
        </row>
        <row r="449">
          <cell r="A449">
            <v>1047</v>
          </cell>
          <cell r="B449">
            <v>1</v>
          </cell>
        </row>
        <row r="450">
          <cell r="A450">
            <v>80</v>
          </cell>
          <cell r="B450">
            <v>0</v>
          </cell>
        </row>
        <row r="451">
          <cell r="A451">
            <v>434</v>
          </cell>
          <cell r="B451">
            <v>0</v>
          </cell>
        </row>
        <row r="452">
          <cell r="A452">
            <v>705</v>
          </cell>
          <cell r="B452">
            <v>0</v>
          </cell>
        </row>
        <row r="453">
          <cell r="A453">
            <v>1353</v>
          </cell>
          <cell r="B453">
            <v>1</v>
          </cell>
        </row>
        <row r="454">
          <cell r="A454">
            <v>101</v>
          </cell>
          <cell r="B454">
            <v>0</v>
          </cell>
        </row>
        <row r="455">
          <cell r="A455">
            <v>607</v>
          </cell>
          <cell r="B455">
            <v>0</v>
          </cell>
        </row>
        <row r="456">
          <cell r="A456">
            <v>1083</v>
          </cell>
          <cell r="B456">
            <v>0</v>
          </cell>
        </row>
        <row r="457">
          <cell r="A457">
            <v>1409</v>
          </cell>
          <cell r="B457">
            <v>0</v>
          </cell>
        </row>
        <row r="458">
          <cell r="A458">
            <v>228</v>
          </cell>
          <cell r="B458">
            <v>1</v>
          </cell>
        </row>
        <row r="459">
          <cell r="A459">
            <v>679</v>
          </cell>
          <cell r="B459">
            <v>0</v>
          </cell>
        </row>
        <row r="460">
          <cell r="A460">
            <v>828</v>
          </cell>
          <cell r="B460">
            <v>0</v>
          </cell>
        </row>
        <row r="461">
          <cell r="A461">
            <v>1733</v>
          </cell>
          <cell r="B461">
            <v>0</v>
          </cell>
        </row>
        <row r="462">
          <cell r="A462">
            <v>801</v>
          </cell>
          <cell r="B462">
            <v>0</v>
          </cell>
        </row>
        <row r="463">
          <cell r="A463">
            <v>1205</v>
          </cell>
          <cell r="B463">
            <v>1</v>
          </cell>
        </row>
        <row r="464">
          <cell r="A464">
            <v>1698</v>
          </cell>
          <cell r="B464">
            <v>0</v>
          </cell>
        </row>
        <row r="465">
          <cell r="A465">
            <v>1090</v>
          </cell>
          <cell r="B465">
            <v>0</v>
          </cell>
        </row>
        <row r="466">
          <cell r="A466">
            <v>464</v>
          </cell>
          <cell r="B466">
            <v>0</v>
          </cell>
        </row>
        <row r="467">
          <cell r="A467">
            <v>976</v>
          </cell>
          <cell r="B467">
            <v>1</v>
          </cell>
        </row>
        <row r="468">
          <cell r="A468">
            <v>1390</v>
          </cell>
          <cell r="B468">
            <v>0</v>
          </cell>
        </row>
        <row r="469">
          <cell r="A469">
            <v>1915</v>
          </cell>
          <cell r="B469">
            <v>0</v>
          </cell>
        </row>
        <row r="470">
          <cell r="A470">
            <v>1830</v>
          </cell>
          <cell r="B470">
            <v>0</v>
          </cell>
        </row>
        <row r="471">
          <cell r="A471">
            <v>233</v>
          </cell>
          <cell r="B471">
            <v>0</v>
          </cell>
        </row>
        <row r="472">
          <cell r="A472">
            <v>984</v>
          </cell>
          <cell r="B472">
            <v>0</v>
          </cell>
        </row>
        <row r="473">
          <cell r="A473">
            <v>804</v>
          </cell>
          <cell r="B473">
            <v>0</v>
          </cell>
        </row>
        <row r="474">
          <cell r="A474">
            <v>1323</v>
          </cell>
          <cell r="B474">
            <v>0</v>
          </cell>
        </row>
        <row r="475">
          <cell r="A475">
            <v>335</v>
          </cell>
          <cell r="B475">
            <v>1</v>
          </cell>
        </row>
        <row r="476">
          <cell r="A476">
            <v>1365</v>
          </cell>
          <cell r="B476">
            <v>1</v>
          </cell>
        </row>
        <row r="477">
          <cell r="A477">
            <v>1298</v>
          </cell>
          <cell r="B477">
            <v>0</v>
          </cell>
        </row>
        <row r="478">
          <cell r="A478">
            <v>1629</v>
          </cell>
          <cell r="B478">
            <v>0</v>
          </cell>
        </row>
        <row r="479">
          <cell r="A479">
            <v>553</v>
          </cell>
          <cell r="B479">
            <v>0</v>
          </cell>
        </row>
        <row r="480">
          <cell r="A480">
            <v>1529</v>
          </cell>
          <cell r="B480">
            <v>1</v>
          </cell>
        </row>
        <row r="481">
          <cell r="A481">
            <v>767</v>
          </cell>
          <cell r="B481">
            <v>0</v>
          </cell>
        </row>
        <row r="482">
          <cell r="A482">
            <v>435</v>
          </cell>
          <cell r="B482">
            <v>1</v>
          </cell>
        </row>
        <row r="483">
          <cell r="A483">
            <v>556</v>
          </cell>
          <cell r="B483">
            <v>0</v>
          </cell>
        </row>
        <row r="484">
          <cell r="A484">
            <v>970</v>
          </cell>
          <cell r="B484">
            <v>0</v>
          </cell>
        </row>
        <row r="485">
          <cell r="A485">
            <v>983</v>
          </cell>
          <cell r="B485">
            <v>0</v>
          </cell>
        </row>
        <row r="486">
          <cell r="A486">
            <v>1653</v>
          </cell>
          <cell r="B486">
            <v>0</v>
          </cell>
        </row>
        <row r="487">
          <cell r="A487">
            <v>283</v>
          </cell>
          <cell r="B487">
            <v>1</v>
          </cell>
        </row>
        <row r="488">
          <cell r="A488">
            <v>303</v>
          </cell>
          <cell r="B488">
            <v>1</v>
          </cell>
        </row>
        <row r="489">
          <cell r="A489">
            <v>446</v>
          </cell>
          <cell r="B489">
            <v>0</v>
          </cell>
        </row>
        <row r="490">
          <cell r="A490">
            <v>622</v>
          </cell>
          <cell r="B490">
            <v>1</v>
          </cell>
        </row>
        <row r="491">
          <cell r="A491">
            <v>966</v>
          </cell>
          <cell r="B491">
            <v>0</v>
          </cell>
        </row>
        <row r="492">
          <cell r="A492">
            <v>885</v>
          </cell>
          <cell r="B492">
            <v>1</v>
          </cell>
        </row>
        <row r="493">
          <cell r="A493">
            <v>913</v>
          </cell>
          <cell r="B493">
            <v>0</v>
          </cell>
        </row>
        <row r="494">
          <cell r="A494">
            <v>40</v>
          </cell>
          <cell r="B494">
            <v>1</v>
          </cell>
        </row>
        <row r="495">
          <cell r="A495">
            <v>1009</v>
          </cell>
          <cell r="B495">
            <v>0</v>
          </cell>
        </row>
        <row r="496">
          <cell r="A496">
            <v>58</v>
          </cell>
          <cell r="B496">
            <v>1</v>
          </cell>
        </row>
        <row r="497">
          <cell r="A497">
            <v>537</v>
          </cell>
          <cell r="B497">
            <v>0</v>
          </cell>
        </row>
        <row r="498">
          <cell r="A498">
            <v>1450</v>
          </cell>
          <cell r="B498">
            <v>1</v>
          </cell>
        </row>
        <row r="499">
          <cell r="A499">
            <v>1919</v>
          </cell>
          <cell r="B499">
            <v>0</v>
          </cell>
        </row>
        <row r="500">
          <cell r="A500">
            <v>255</v>
          </cell>
          <cell r="B500">
            <v>0</v>
          </cell>
        </row>
        <row r="501">
          <cell r="A501">
            <v>589</v>
          </cell>
          <cell r="B501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tesh Parekh" refreshedDate="44049.93397233796" createdVersion="6" refreshedVersion="6" minRefreshableVersion="3" recordCount="2000" xr:uid="{00000000-000A-0000-FFFF-FFFF0C000000}">
  <cacheSource type="worksheet">
    <worksheetSource ref="B1:V2001" sheet="diabetes_final"/>
  </cacheSource>
  <cacheFields count="22">
    <cacheField name="Pregnancies" numFmtId="0">
      <sharedItems containsSemiMixedTypes="0" containsString="0" containsNumber="1" containsInteger="1" minValue="0" maxValue="17" count="17">
        <n v="2"/>
        <n v="0"/>
        <n v="1"/>
        <n v="4"/>
        <n v="8"/>
        <n v="3"/>
        <n v="6"/>
        <n v="5"/>
        <n v="7"/>
        <n v="10"/>
        <n v="12"/>
        <n v="9"/>
        <n v="11"/>
        <n v="13"/>
        <n v="15"/>
        <n v="17"/>
        <n v="14"/>
      </sharedItems>
    </cacheField>
    <cacheField name="Glucose" numFmtId="0">
      <sharedItems containsSemiMixedTypes="0" containsString="0" containsNumber="1" containsInteger="1" minValue="0" maxValue="199" count="136">
        <n v="138"/>
        <n v="84"/>
        <n v="145"/>
        <n v="135"/>
        <n v="139"/>
        <n v="173"/>
        <n v="99"/>
        <n v="194"/>
        <n v="83"/>
        <n v="89"/>
        <n v="125"/>
        <n v="80"/>
        <n v="166"/>
        <n v="110"/>
        <n v="81"/>
        <n v="195"/>
        <n v="154"/>
        <n v="117"/>
        <n v="0"/>
        <n v="94"/>
        <n v="96"/>
        <n v="75"/>
        <n v="180"/>
        <n v="130"/>
        <n v="120"/>
        <n v="91"/>
        <n v="163"/>
        <n v="122"/>
        <n v="103"/>
        <n v="102"/>
        <n v="90"/>
        <n v="111"/>
        <n v="133"/>
        <n v="106"/>
        <n v="171"/>
        <n v="159"/>
        <n v="146"/>
        <n v="71"/>
        <n v="105"/>
        <n v="101"/>
        <n v="88"/>
        <n v="176"/>
        <n v="150"/>
        <n v="73"/>
        <n v="187"/>
        <n v="100"/>
        <n v="44"/>
        <n v="141"/>
        <n v="114"/>
        <n v="109"/>
        <n v="95"/>
        <n v="126"/>
        <n v="129"/>
        <n v="79"/>
        <n v="62"/>
        <n v="131"/>
        <n v="112"/>
        <n v="113"/>
        <n v="74"/>
        <n v="137"/>
        <n v="136"/>
        <n v="107"/>
        <n v="123"/>
        <n v="134"/>
        <n v="142"/>
        <n v="144"/>
        <n v="92"/>
        <n v="93"/>
        <n v="151"/>
        <n v="85"/>
        <n v="155"/>
        <n v="76"/>
        <n v="160"/>
        <n v="124"/>
        <n v="78"/>
        <n v="97"/>
        <n v="162"/>
        <n v="132"/>
        <n v="118"/>
        <n v="170"/>
        <n v="128"/>
        <n v="108"/>
        <n v="57"/>
        <n v="147"/>
        <n v="156"/>
        <n v="153"/>
        <n v="188"/>
        <n v="152"/>
        <n v="104"/>
        <n v="148"/>
        <n v="87"/>
        <n v="179"/>
        <n v="143"/>
        <n v="119"/>
        <n v="181"/>
        <n v="158"/>
        <n v="196"/>
        <n v="184"/>
        <n v="140"/>
        <n v="177"/>
        <n v="197"/>
        <n v="164"/>
        <n v="165"/>
        <n v="86"/>
        <n v="193"/>
        <n v="191"/>
        <n v="161"/>
        <n v="167"/>
        <n v="77"/>
        <n v="115"/>
        <n v="182"/>
        <n v="157"/>
        <n v="178"/>
        <n v="116"/>
        <n v="61"/>
        <n v="189"/>
        <n v="98"/>
        <n v="127"/>
        <n v="82"/>
        <n v="72"/>
        <n v="168"/>
        <n v="172"/>
        <n v="175"/>
        <n v="68"/>
        <n v="186"/>
        <n v="198"/>
        <n v="121"/>
        <n v="67"/>
        <n v="183"/>
        <n v="174"/>
        <n v="199"/>
        <n v="56"/>
        <n v="169"/>
        <n v="149"/>
        <n v="65"/>
        <n v="190"/>
      </sharedItems>
    </cacheField>
    <cacheField name="BloodPressure" numFmtId="0">
      <sharedItems containsSemiMixedTypes="0" containsString="0" containsNumber="1" containsInteger="1" minValue="0" maxValue="122" count="47">
        <n v="62"/>
        <n v="82"/>
        <n v="0"/>
        <n v="68"/>
        <n v="78"/>
        <n v="72"/>
        <n v="80"/>
        <n v="65"/>
        <n v="90"/>
        <n v="70"/>
        <n v="74"/>
        <n v="64"/>
        <n v="60"/>
        <n v="50"/>
        <n v="54"/>
        <n v="76"/>
        <n v="84"/>
        <n v="92"/>
        <n v="110"/>
        <n v="66"/>
        <n v="56"/>
        <n v="88"/>
        <n v="58"/>
        <n v="85"/>
        <n v="86"/>
        <n v="75"/>
        <n v="48"/>
        <n v="44"/>
        <n v="108"/>
        <n v="55"/>
        <n v="96"/>
        <n v="122"/>
        <n v="30"/>
        <n v="52"/>
        <n v="98"/>
        <n v="104"/>
        <n v="95"/>
        <n v="46"/>
        <n v="102"/>
        <n v="100"/>
        <n v="61"/>
        <n v="94"/>
        <n v="24"/>
        <n v="38"/>
        <n v="106"/>
        <n v="114"/>
        <n v="40"/>
      </sharedItems>
    </cacheField>
    <cacheField name="SkinThickness" numFmtId="0">
      <sharedItems containsSemiMixedTypes="0" containsString="0" containsNumber="1" containsInteger="1" minValue="0" maxValue="110" count="53">
        <n v="35"/>
        <n v="31"/>
        <n v="0"/>
        <n v="42"/>
        <n v="41"/>
        <n v="32"/>
        <n v="17"/>
        <n v="28"/>
        <n v="30"/>
        <n v="38"/>
        <n v="18"/>
        <n v="15"/>
        <n v="33"/>
        <n v="19"/>
        <n v="25"/>
        <n v="39"/>
        <n v="26"/>
        <n v="23"/>
        <n v="37"/>
        <n v="47"/>
        <n v="24"/>
        <n v="27"/>
        <n v="11"/>
        <n v="21"/>
        <n v="34"/>
        <n v="10"/>
        <n v="60"/>
        <n v="13"/>
        <n v="20"/>
        <n v="22"/>
        <n v="29"/>
        <n v="54"/>
        <n v="40"/>
        <n v="51"/>
        <n v="56"/>
        <n v="36"/>
        <n v="14"/>
        <n v="50"/>
        <n v="44"/>
        <n v="12"/>
        <n v="46"/>
        <n v="16"/>
        <n v="7"/>
        <n v="52"/>
        <n v="43"/>
        <n v="45"/>
        <n v="48"/>
        <n v="8"/>
        <n v="49"/>
        <n v="63"/>
        <n v="99"/>
        <n v="59"/>
        <n v="110"/>
      </sharedItems>
    </cacheField>
    <cacheField name="Insulin" numFmtId="0">
      <sharedItems containsSemiMixedTypes="0" containsString="0" containsNumber="1" containsInteger="1" minValue="0" maxValue="744" count="182">
        <n v="0"/>
        <n v="125"/>
        <n v="250"/>
        <n v="480"/>
        <n v="265"/>
        <n v="66"/>
        <n v="122"/>
        <n v="76"/>
        <n v="145"/>
        <n v="193"/>
        <n v="71"/>
        <n v="79"/>
        <n v="90"/>
        <n v="170"/>
        <n v="210"/>
        <n v="86"/>
        <n v="105"/>
        <n v="192"/>
        <n v="207"/>
        <n v="70"/>
        <n v="240"/>
        <n v="82"/>
        <n v="36"/>
        <n v="23"/>
        <n v="300"/>
        <n v="342"/>
        <n v="304"/>
        <n v="110"/>
        <n v="142"/>
        <n v="128"/>
        <n v="38"/>
        <n v="100"/>
        <n v="140"/>
        <n v="270"/>
        <n v="176"/>
        <n v="48"/>
        <n v="64"/>
        <n v="228"/>
        <n v="220"/>
        <n v="40"/>
        <n v="152"/>
        <n v="18"/>
        <n v="135"/>
        <n v="495"/>
        <n v="37"/>
        <n v="175"/>
        <n v="51"/>
        <n v="99"/>
        <n v="94"/>
        <n v="168"/>
        <n v="225"/>
        <n v="49"/>
        <n v="50"/>
        <n v="92"/>
        <n v="325"/>
        <n v="63"/>
        <n v="284"/>
        <n v="119"/>
        <n v="204"/>
        <n v="155"/>
        <n v="485"/>
        <n v="53"/>
        <n v="114"/>
        <n v="285"/>
        <n v="156"/>
        <n v="78"/>
        <n v="130"/>
        <n v="55"/>
        <n v="58"/>
        <n v="160"/>
        <n v="318"/>
        <n v="44"/>
        <n v="190"/>
        <n v="280"/>
        <n v="87"/>
        <n v="271"/>
        <n v="129"/>
        <n v="120"/>
        <n v="478"/>
        <n v="56"/>
        <n v="32"/>
        <n v="744"/>
        <n v="370"/>
        <n v="45"/>
        <n v="88"/>
        <n v="194"/>
        <n v="680"/>
        <n v="402"/>
        <n v="258"/>
        <n v="375"/>
        <n v="150"/>
        <n v="67"/>
        <n v="57"/>
        <n v="116"/>
        <n v="278"/>
        <n v="545"/>
        <n v="75"/>
        <n v="74"/>
        <n v="182"/>
        <n v="360"/>
        <n v="215"/>
        <n v="184"/>
        <n v="42"/>
        <n v="132"/>
        <n v="148"/>
        <n v="180"/>
        <n v="205"/>
        <n v="96"/>
        <n v="85"/>
        <n v="231"/>
        <n v="29"/>
        <n v="68"/>
        <n v="52"/>
        <n v="255"/>
        <n v="171"/>
        <n v="73"/>
        <n v="108"/>
        <n v="83"/>
        <n v="43"/>
        <n v="167"/>
        <n v="54"/>
        <n v="249"/>
        <n v="293"/>
        <n v="465"/>
        <n v="89"/>
        <n v="158"/>
        <n v="84"/>
        <n v="72"/>
        <n v="59"/>
        <n v="81"/>
        <n v="196"/>
        <n v="415"/>
        <n v="275"/>
        <n v="115"/>
        <n v="165"/>
        <n v="579"/>
        <n v="310"/>
        <n v="61"/>
        <n v="474"/>
        <n v="277"/>
        <n v="60"/>
        <n v="14"/>
        <n v="95"/>
        <n v="237"/>
        <n v="191"/>
        <n v="328"/>
        <n v="326"/>
        <n v="188"/>
        <n v="106"/>
        <n v="65"/>
        <n v="166"/>
        <n v="274"/>
        <n v="77"/>
        <n v="126"/>
        <n v="330"/>
        <n v="600"/>
        <n v="230"/>
        <n v="185"/>
        <n v="25"/>
        <n v="41"/>
        <n v="272"/>
        <n v="321"/>
        <n v="144"/>
        <n v="15"/>
        <n v="183"/>
        <n v="91"/>
        <n v="46"/>
        <n v="440"/>
        <n v="159"/>
        <n v="540"/>
        <n v="200"/>
        <n v="335"/>
        <n v="387"/>
        <n v="22"/>
        <n v="291"/>
        <n v="392"/>
        <n v="178"/>
        <n v="127"/>
        <n v="510"/>
        <n v="16"/>
        <n v="112"/>
        <n v="177"/>
      </sharedItems>
    </cacheField>
    <cacheField name="BMI" numFmtId="0">
      <sharedItems containsSemiMixedTypes="0" containsString="0" containsNumber="1" minValue="0" maxValue="80.599999999999994" count="247">
        <n v="33.6"/>
        <n v="38.200000000000003"/>
        <n v="44.2"/>
        <n v="42.3"/>
        <n v="40.700000000000003"/>
        <n v="46.5"/>
        <n v="25.6"/>
        <n v="26.1"/>
        <n v="36.799999999999997"/>
        <n v="33.5"/>
        <n v="32.799999999999997"/>
        <n v="28.9"/>
        <n v="0"/>
        <n v="26.6"/>
        <n v="26"/>
        <n v="30.1"/>
        <n v="25.1"/>
        <n v="29.3"/>
        <n v="25.2"/>
        <n v="37.200000000000003"/>
        <n v="39"/>
        <n v="33.299999999999997"/>
        <n v="37.299999999999997"/>
        <n v="36.5"/>
        <n v="28.6"/>
        <n v="30.4"/>
        <n v="25"/>
        <n v="29.7"/>
        <n v="22.1"/>
        <n v="24.2"/>
        <n v="27.3"/>
        <n v="31.6"/>
        <n v="27.6"/>
        <n v="24"/>
        <n v="33.200000000000003"/>
        <n v="32.9"/>
        <n v="37.1"/>
        <n v="34"/>
        <n v="40.200000000000003"/>
        <n v="22.7"/>
        <n v="45.4"/>
        <n v="27.4"/>
        <n v="42"/>
        <n v="28"/>
        <n v="39.1"/>
        <n v="19.399999999999999"/>
        <n v="24.4"/>
        <n v="33.700000000000003"/>
        <n v="34.700000000000003"/>
        <n v="23"/>
        <n v="37.700000000000003"/>
        <n v="46.8"/>
        <n v="40.5"/>
        <n v="41.5"/>
        <n v="25.4"/>
        <n v="29"/>
        <n v="32.5"/>
        <n v="42.7"/>
        <n v="19.600000000000001"/>
        <n v="43.4"/>
        <n v="35.1"/>
        <n v="32"/>
        <n v="24.7"/>
        <n v="32.6"/>
        <n v="43.2"/>
        <n v="22.4"/>
        <n v="24.6"/>
        <n v="48.8"/>
        <n v="32.4"/>
        <n v="36.6"/>
        <n v="38.5"/>
        <n v="26.5"/>
        <n v="19.100000000000001"/>
        <n v="46.7"/>
        <n v="23.8"/>
        <n v="33.9"/>
        <n v="20.399999999999999"/>
        <n v="28.7"/>
        <n v="49.7"/>
        <n v="22.5"/>
        <n v="39.6"/>
        <n v="29.5"/>
        <n v="34.299999999999997"/>
        <n v="37.4"/>
        <n v="31.2"/>
        <n v="30.5"/>
        <n v="28.2"/>
        <n v="23.2"/>
        <n v="53.2"/>
        <n v="34.200000000000003"/>
        <n v="26.8"/>
        <n v="55"/>
        <n v="42.9"/>
        <n v="34.5"/>
        <n v="27.9"/>
        <n v="38.299999999999997"/>
        <n v="21.1"/>
        <n v="33.799999999999997"/>
        <n v="30.8"/>
        <n v="36.9"/>
        <n v="39.5"/>
        <n v="21.9"/>
        <n v="40.6"/>
        <n v="47.9"/>
        <n v="50"/>
        <n v="40.9"/>
        <n v="29.9"/>
        <n v="29.6"/>
        <n v="31.9"/>
        <n v="28.4"/>
        <n v="35.4"/>
        <n v="43.5"/>
        <n v="32.700000000000003"/>
        <n v="67.099999999999994"/>
        <n v="45"/>
        <n v="34.9"/>
        <n v="27.7"/>
        <n v="35.9"/>
        <n v="22.6"/>
        <n v="33.1"/>
        <n v="52.3"/>
        <n v="39.4"/>
        <n v="24.3"/>
        <n v="22.9"/>
        <n v="34.799999999999997"/>
        <n v="30.9"/>
        <n v="31"/>
        <n v="40.1"/>
        <n v="23.9"/>
        <n v="37.5"/>
        <n v="35.5"/>
        <n v="42.8"/>
        <n v="42.6"/>
        <n v="41.8"/>
        <n v="35.799999999999997"/>
        <n v="30"/>
        <n v="37.799999999999997"/>
        <n v="34.6"/>
        <n v="28.8"/>
        <n v="23.6"/>
        <n v="35.700000000000003"/>
        <n v="36.700000000000003"/>
        <n v="45.2"/>
        <n v="44"/>
        <n v="46.2"/>
        <n v="35"/>
        <n v="43.6"/>
        <n v="44.1"/>
        <n v="18.399999999999999"/>
        <n v="29.2"/>
        <n v="27.1"/>
        <n v="25.9"/>
        <n v="32.1"/>
        <n v="36.299999999999997"/>
        <n v="40"/>
        <n v="27.5"/>
        <n v="45.6"/>
        <n v="27.8"/>
        <n v="24.9"/>
        <n v="25.3"/>
        <n v="37.9"/>
        <n v="27"/>
        <n v="38.700000000000003"/>
        <n v="20.8"/>
        <n v="36.1"/>
        <n v="43.3"/>
        <n v="30.7"/>
        <n v="32.299999999999997"/>
        <n v="52.9"/>
        <n v="21"/>
        <n v="39.700000000000003"/>
        <n v="25.5"/>
        <n v="24.8"/>
        <n v="26.2"/>
        <n v="34.1"/>
        <n v="19.3"/>
        <n v="38.1"/>
        <n v="23.5"/>
        <n v="45.5"/>
        <n v="23.1"/>
        <n v="39.9"/>
        <n v="21.8"/>
        <n v="41"/>
        <n v="42.2"/>
        <n v="34.4"/>
        <n v="27.2"/>
        <n v="35.299999999999997"/>
        <n v="29.8"/>
        <n v="39.200000000000003"/>
        <n v="38.4"/>
        <n v="36.200000000000003"/>
        <n v="48.3"/>
        <n v="20"/>
        <n v="22.3"/>
        <n v="45.7"/>
        <n v="23.7"/>
        <n v="42.1"/>
        <n v="42.4"/>
        <n v="18.2"/>
        <n v="26.4"/>
        <n v="45.3"/>
        <n v="37"/>
        <n v="22.2"/>
        <n v="24.5"/>
        <n v="32.200000000000003"/>
        <n v="59.4"/>
        <n v="21.2"/>
        <n v="26.7"/>
        <n v="30.2"/>
        <n v="37.6"/>
        <n v="46.1"/>
        <n v="41.3"/>
        <n v="38.799999999999997"/>
        <n v="35.200000000000003"/>
        <n v="30.3"/>
        <n v="26.3"/>
        <n v="21.7"/>
        <n v="36.4"/>
        <n v="28.5"/>
        <n v="26.9"/>
        <n v="38.6"/>
        <n v="31.3"/>
        <n v="19.5"/>
        <n v="25.8"/>
        <n v="20.100000000000001"/>
        <n v="40.799999999999997"/>
        <n v="23.4"/>
        <n v="28.3"/>
        <n v="38.9"/>
        <n v="57.3"/>
        <n v="35.6"/>
        <n v="36"/>
        <n v="49.6"/>
        <n v="44.6"/>
        <n v="24.1"/>
        <n v="44.5"/>
        <n v="39.799999999999997"/>
        <n v="38"/>
        <n v="41.2"/>
        <n v="23.3"/>
        <n v="49.3"/>
        <n v="46.3"/>
        <n v="80.599999999999994"/>
        <n v="64.400000000000006"/>
        <n v="50.7"/>
        <n v="52.7"/>
        <n v="48.7"/>
      </sharedItems>
    </cacheField>
    <cacheField name="DiabetesPedigreeFunction" numFmtId="0">
      <sharedItems containsSemiMixedTypes="0" containsString="0" containsNumber="1" minValue="7.8E-2" maxValue="2.42" count="505">
        <n v="0.127"/>
        <n v="0.23300000000000001"/>
        <n v="0.63"/>
        <n v="0.36499999999999999"/>
        <n v="0.53600000000000003"/>
        <n v="1.159"/>
        <n v="0.29399999999999998"/>
        <n v="0.55100000000000005"/>
        <n v="0.629"/>
        <n v="0.29199999999999998"/>
        <n v="0.14499999999999999"/>
        <n v="1.1439999999999999"/>
        <n v="0.17399999999999999"/>
        <n v="0.30399999999999999"/>
        <n v="0.54700000000000004"/>
        <n v="0.16300000000000001"/>
        <n v="0.83899999999999997"/>
        <n v="0.313"/>
        <n v="0.26700000000000002"/>
        <n v="0.72699999999999998"/>
        <n v="0.73799999999999999"/>
        <n v="0.23799999999999999"/>
        <n v="0.26300000000000001"/>
        <n v="0.314"/>
        <n v="0.69199999999999995"/>
        <n v="0.96799999999999997"/>
        <n v="0.40899999999999997"/>
        <n v="0.29699999999999999"/>
        <n v="0.20699999999999999"/>
        <n v="0.2"/>
        <n v="0.52500000000000002"/>
        <n v="0.154"/>
        <n v="0.26800000000000002"/>
        <n v="0.51200000000000001"/>
        <n v="0.96599999999999997"/>
        <n v="0.42"/>
        <n v="0.66500000000000004"/>
        <n v="0.503"/>
        <n v="1.39"/>
        <n v="0.27100000000000002"/>
        <n v="0.69599999999999995"/>
        <n v="0.23499999999999999"/>
        <n v="0.72099999999999997"/>
        <n v="1.893"/>
        <n v="0.56399999999999995"/>
        <n v="0.58599999999999997"/>
        <n v="0.34399999999999997"/>
        <n v="0.30499999999999999"/>
        <n v="0.49099999999999999"/>
        <n v="0.52600000000000002"/>
        <n v="0.34200000000000003"/>
        <n v="0.46700000000000003"/>
        <n v="0.71799999999999997"/>
        <n v="0.248"/>
        <n v="0.254"/>
        <n v="0.96199999999999997"/>
        <n v="1.7809999999999999"/>
        <n v="0.17299999999999999"/>
        <n v="0.27"/>
        <n v="0.58699999999999997"/>
        <n v="0.69899999999999995"/>
        <n v="0.25800000000000001"/>
        <n v="0.20300000000000001"/>
        <n v="0.85499999999999998"/>
        <n v="0.84499999999999997"/>
        <n v="0.33400000000000002"/>
        <n v="0.189"/>
        <n v="0.86699999999999999"/>
        <n v="0.41099999999999998"/>
        <n v="0.58299999999999996"/>
        <n v="0.23100000000000001"/>
        <n v="0.39600000000000002"/>
        <n v="0.14000000000000001"/>
        <n v="0.39100000000000001"/>
        <n v="0.37"/>
        <n v="0.307"/>
        <n v="0.10199999999999999"/>
        <n v="0.76700000000000002"/>
        <n v="0.23699999999999999"/>
        <n v="0.22700000000000001"/>
        <n v="0.69799999999999995"/>
        <n v="0.17799999999999999"/>
        <n v="0.32400000000000001"/>
        <n v="0.153"/>
        <n v="0.16500000000000001"/>
        <n v="0.443"/>
        <n v="0.26100000000000001"/>
        <n v="0.27700000000000002"/>
        <n v="0.76100000000000001"/>
        <n v="0.255"/>
        <n v="0.13"/>
        <n v="0.32300000000000001"/>
        <n v="0.35599999999999998"/>
        <n v="0.32500000000000001"/>
        <n v="1.222"/>
        <n v="0.17899999999999999"/>
        <n v="0.26200000000000001"/>
        <n v="0.28299999999999997"/>
        <n v="0.93"/>
        <n v="0.80100000000000005"/>
        <n v="0.28699999999999998"/>
        <n v="0.33600000000000002"/>
        <n v="0.247"/>
        <n v="0.19900000000000001"/>
        <n v="0.54300000000000004"/>
        <n v="0.192"/>
        <n v="0.58799999999999997"/>
        <n v="0.53900000000000003"/>
        <n v="0.22"/>
        <n v="0.65400000000000003"/>
        <n v="0.223"/>
        <n v="0.75900000000000001"/>
        <n v="0.26"/>
        <n v="0.40400000000000003"/>
        <n v="0.186"/>
        <n v="0.27800000000000002"/>
        <n v="0.496"/>
        <n v="0.45200000000000001"/>
        <n v="0.40300000000000002"/>
        <n v="0.74099999999999999"/>
        <n v="0.36099999999999999"/>
        <n v="1.1140000000000001"/>
        <n v="0.45700000000000002"/>
        <n v="0.64700000000000002"/>
        <n v="8.7999999999999995E-2"/>
        <n v="0.59699999999999998"/>
        <n v="0.53200000000000003"/>
        <n v="0.70299999999999996"/>
        <n v="0.159"/>
        <n v="0.28599999999999998"/>
        <n v="0.318"/>
        <n v="0.27200000000000002"/>
        <n v="0.57199999999999995"/>
        <n v="9.6000000000000002E-2"/>
        <n v="1.4"/>
        <n v="0.218"/>
        <n v="8.5000000000000006E-2"/>
        <n v="0.39900000000000002"/>
        <n v="0.432"/>
        <n v="1.1890000000000001"/>
        <n v="0.68700000000000006"/>
        <n v="0.13700000000000001"/>
        <n v="0.33700000000000002"/>
        <n v="0.63700000000000001"/>
        <n v="0.83299999999999996"/>
        <n v="0.22900000000000001"/>
        <n v="0.81699999999999995"/>
        <n v="0.20399999999999999"/>
        <n v="0.16700000000000001"/>
        <n v="0.36799999999999999"/>
        <n v="0.74299999999999999"/>
        <n v="0.72199999999999998"/>
        <n v="0.25600000000000001"/>
        <n v="0.70899999999999996"/>
        <n v="0.47099999999999997"/>
        <n v="0.495"/>
        <n v="0.18"/>
        <n v="0.54200000000000004"/>
        <n v="0.77300000000000002"/>
        <n v="0.67800000000000005"/>
        <n v="0.71899999999999997"/>
        <n v="0.38200000000000001"/>
        <n v="0.31900000000000001"/>
        <n v="0.19"/>
        <n v="0.95599999999999996"/>
        <n v="8.4000000000000005E-2"/>
        <n v="0.72499999999999998"/>
        <n v="0.29899999999999999"/>
        <n v="0.24399999999999999"/>
        <n v="0.745"/>
        <n v="0.61499999999999999"/>
        <n v="1.321"/>
        <n v="0.64"/>
        <n v="0.14199999999999999"/>
        <n v="0.374"/>
        <n v="0.38300000000000001"/>
        <n v="0.57799999999999996"/>
        <n v="0.13600000000000001"/>
        <n v="0.39500000000000002"/>
        <n v="0.187"/>
        <n v="0.90500000000000003"/>
        <n v="0.15"/>
        <n v="0.874"/>
        <n v="0.23599999999999999"/>
        <n v="0.78700000000000003"/>
        <n v="0.40699999999999997"/>
        <n v="0.60499999999999998"/>
        <n v="0.151"/>
        <n v="0.28899999999999998"/>
        <n v="0.35499999999999998"/>
        <n v="0.28999999999999998"/>
        <n v="0.375"/>
        <n v="0.16400000000000001"/>
        <n v="0.43099999999999999"/>
        <n v="0.74199999999999999"/>
        <n v="0.51400000000000001"/>
        <n v="0.46400000000000002"/>
        <n v="1.224"/>
        <n v="1.0720000000000001"/>
        <n v="0.80500000000000005"/>
        <n v="0.20899999999999999"/>
        <n v="0.66600000000000004"/>
        <n v="0.10100000000000001"/>
        <n v="0.19800000000000001"/>
        <n v="0.65200000000000002"/>
        <n v="2.3290000000000002"/>
        <n v="8.8999999999999996E-2"/>
        <n v="0.64500000000000002"/>
        <n v="0.39400000000000002"/>
        <n v="0.29299999999999998"/>
        <n v="0.47899999999999998"/>
        <n v="0.68600000000000005"/>
        <n v="0.83099999999999996"/>
        <n v="0.58199999999999996"/>
        <n v="0.44600000000000001"/>
        <n v="0.40200000000000002"/>
        <n v="1.3180000000000001"/>
        <n v="0.32900000000000001"/>
        <n v="1.2130000000000001"/>
        <n v="0.42699999999999999"/>
        <n v="0.28199999999999997"/>
        <n v="0.14299999999999999"/>
        <n v="0.38"/>
        <n v="0.28399999999999997"/>
        <n v="0.249"/>
        <n v="0.92600000000000005"/>
        <n v="0.55700000000000005"/>
        <n v="9.1999999999999998E-2"/>
        <n v="0.65500000000000003"/>
        <n v="1.353"/>
        <n v="0.61199999999999999"/>
        <n v="0.22600000000000001"/>
        <n v="0.997"/>
        <n v="0.93300000000000005"/>
        <n v="1.101"/>
        <n v="7.8E-2"/>
        <n v="0.24"/>
        <n v="1.1359999999999999"/>
        <n v="0.128"/>
        <n v="0.42199999999999999"/>
        <n v="0.251"/>
        <n v="0.67700000000000005"/>
        <n v="0.29599999999999999"/>
        <n v="0.45400000000000001"/>
        <n v="0.74399999999999999"/>
        <n v="0.88100000000000001"/>
        <n v="0.28000000000000003"/>
        <n v="0.25900000000000001"/>
        <n v="0.61899999999999999"/>
        <n v="0.80800000000000005"/>
        <n v="0.34"/>
        <n v="0.434"/>
        <n v="0.75700000000000001"/>
        <n v="0.61299999999999999"/>
        <n v="0.52"/>
        <n v="0.41199999999999998"/>
        <n v="0.84"/>
        <n v="0.156"/>
        <n v="0.215"/>
        <n v="0.32600000000000001"/>
        <n v="1.391"/>
        <n v="0.875"/>
        <n v="0.433"/>
        <n v="0.626"/>
        <n v="1.127"/>
        <n v="0.315"/>
        <n v="0.34499999999999997"/>
        <n v="0.129"/>
        <n v="0.52700000000000002"/>
        <n v="0.19700000000000001"/>
        <n v="0.73099999999999998"/>
        <n v="0.14799999999999999"/>
        <n v="0.123"/>
        <n v="0.122"/>
        <n v="1.476"/>
        <n v="0.16600000000000001"/>
        <n v="0.93200000000000005"/>
        <n v="0.34300000000000003"/>
        <n v="0.89300000000000002"/>
        <n v="0.33100000000000002"/>
        <n v="0.47199999999999998"/>
        <n v="0.67300000000000004"/>
        <n v="0.38900000000000001"/>
        <n v="0.48499999999999999"/>
        <n v="0.34899999999999998"/>
        <n v="0.27900000000000003"/>
        <n v="0.34599999999999997"/>
        <n v="0.252"/>
        <n v="0.24299999999999999"/>
        <n v="0.57999999999999996"/>
        <n v="0.55900000000000005"/>
        <n v="0.30199999999999999"/>
        <n v="0.56899999999999995"/>
        <n v="0.378"/>
        <n v="0.38500000000000001"/>
        <n v="0.499"/>
        <n v="0.30599999999999999"/>
        <n v="0.23400000000000001"/>
        <n v="2.137"/>
        <n v="1.7310000000000001"/>
        <n v="0.54500000000000004"/>
        <n v="0.22500000000000001"/>
        <n v="0.81599999999999995"/>
        <n v="0.52800000000000002"/>
        <n v="0.50900000000000001"/>
        <n v="1.0209999999999999"/>
        <n v="0.82099999999999995"/>
        <n v="0.94699999999999995"/>
        <n v="1.268"/>
        <n v="0.221"/>
        <n v="0.20499999999999999"/>
        <n v="0.66"/>
        <n v="0.23899999999999999"/>
        <n v="0.94899999999999995"/>
        <n v="0.44400000000000001"/>
        <n v="0.46300000000000002"/>
        <n v="0.80300000000000005"/>
        <n v="1.6"/>
        <n v="0.94399999999999995"/>
        <n v="0.19600000000000001"/>
        <n v="0.24099999999999999"/>
        <n v="0.161"/>
        <n v="0.13500000000000001"/>
        <n v="0.376"/>
        <n v="1.1910000000000001"/>
        <n v="0.70199999999999996"/>
        <n v="0.67400000000000004"/>
        <n v="1.0760000000000001"/>
        <n v="0.53400000000000003"/>
        <n v="1.095"/>
        <n v="0.55400000000000005"/>
        <n v="0.624"/>
        <n v="0.219"/>
        <n v="0.50700000000000001"/>
        <n v="0.56100000000000005"/>
        <n v="0.42099999999999999"/>
        <n v="0.51600000000000001"/>
        <n v="0.26400000000000001"/>
        <n v="0.32800000000000001"/>
        <n v="0.108"/>
        <n v="1.1379999999999999"/>
        <n v="0.14699999999999999"/>
        <n v="0.435"/>
        <n v="0.497"/>
        <n v="0.23"/>
        <n v="0.95499999999999996"/>
        <n v="2.42"/>
        <n v="0.65800000000000003"/>
        <n v="0.33"/>
        <n v="0.51"/>
        <n v="0.28499999999999998"/>
        <n v="0.41499999999999998"/>
        <n v="0.38100000000000001"/>
        <n v="0.83199999999999996"/>
        <n v="0.498"/>
        <n v="0.21199999999999999"/>
        <n v="0.36399999999999999"/>
        <n v="1.0009999999999999"/>
        <n v="0.46"/>
        <n v="0.73299999999999998"/>
        <n v="0.41599999999999998"/>
        <n v="0.70499999999999996"/>
        <n v="1.022"/>
        <n v="0.26900000000000002"/>
        <n v="0.6"/>
        <n v="0.183"/>
        <n v="0.57099999999999995"/>
        <n v="0.60699999999999998"/>
        <n v="0.17"/>
        <n v="0.21"/>
        <n v="0.126"/>
        <n v="0.71099999999999997"/>
        <n v="0.46600000000000003"/>
        <n v="0.16200000000000001"/>
        <n v="0.41899999999999998"/>
        <n v="0.77100000000000002"/>
        <n v="0.107"/>
        <n v="0.49299999999999999"/>
        <n v="0.71699999999999997"/>
        <n v="0.91700000000000004"/>
        <n v="0.501"/>
        <n v="1.2509999999999999"/>
        <n v="0.73499999999999999"/>
        <n v="0.80400000000000005"/>
        <n v="0.66100000000000003"/>
        <n v="0.54900000000000004"/>
        <n v="0.82499999999999996"/>
        <n v="0.42299999999999999"/>
        <n v="1.034"/>
        <n v="0.16"/>
        <n v="0.34100000000000003"/>
        <n v="0.68"/>
        <n v="0.59099999999999997"/>
        <n v="0.3"/>
        <n v="0.121"/>
        <n v="0.502"/>
        <n v="0.40100000000000002"/>
        <n v="0.60099999999999998"/>
        <n v="0.748"/>
        <n v="0.33800000000000002"/>
        <n v="0.43"/>
        <n v="0.89200000000000002"/>
        <n v="0.81299999999999994"/>
        <n v="0.69299999999999995"/>
        <n v="0.245"/>
        <n v="0.57499999999999996"/>
        <n v="0.371"/>
        <n v="0.20599999999999999"/>
        <n v="0.41699999999999998"/>
        <n v="1.1539999999999999"/>
        <n v="0.92500000000000004"/>
        <n v="0.17499999999999999"/>
        <n v="1.6990000000000001"/>
        <n v="0.68200000000000005"/>
        <n v="0.19400000000000001"/>
        <n v="0.4"/>
        <n v="0.1"/>
        <n v="1.258"/>
        <n v="0.48199999999999998"/>
        <n v="0.13800000000000001"/>
        <n v="0.59299999999999997"/>
        <n v="0.878"/>
        <n v="0.157"/>
        <n v="0.25700000000000001"/>
        <n v="1.282"/>
        <n v="0.14099999999999999"/>
        <n v="0.246"/>
        <n v="1.698"/>
        <n v="1.4610000000000001"/>
        <n v="0.34699999999999998"/>
        <n v="0.158"/>
        <n v="0.36199999999999999"/>
        <n v="0.39300000000000002"/>
        <n v="0.14399999999999999"/>
        <n v="0.73199999999999998"/>
        <n v="0.115"/>
        <n v="0.46500000000000002"/>
        <n v="0.64900000000000002"/>
        <n v="0.871"/>
        <n v="0.14899999999999999"/>
        <n v="0.69499999999999995"/>
        <n v="0.30299999999999999"/>
        <n v="0.61"/>
        <n v="0.73"/>
        <n v="0.13400000000000001"/>
        <n v="0.44700000000000001"/>
        <n v="0.45500000000000002"/>
        <n v="0.13300000000000001"/>
        <n v="0.155"/>
        <n v="1.1619999999999999"/>
        <n v="1.292"/>
        <n v="0.182"/>
        <n v="1.3939999999999999"/>
        <n v="0.217"/>
        <n v="0.63100000000000001"/>
        <n v="0.88"/>
        <n v="0.61399999999999999"/>
        <n v="0.33200000000000002"/>
        <n v="0.36599999999999999"/>
        <n v="0.18099999999999999"/>
        <n v="0.82799999999999996"/>
        <n v="0.33500000000000002"/>
        <n v="0.85599999999999998"/>
        <n v="0.88600000000000001"/>
        <n v="0.439"/>
        <n v="0.191"/>
        <n v="0.253"/>
        <n v="0.59799999999999998"/>
        <n v="0.90400000000000003"/>
        <n v="0.48299999999999998"/>
        <n v="0.56499999999999995"/>
        <n v="0.11799999999999999"/>
        <n v="0.17699999999999999"/>
        <n v="0.17599999999999999"/>
        <n v="0.29499999999999998"/>
        <n v="0.441"/>
        <n v="0.35199999999999998"/>
        <n v="0.82599999999999996"/>
        <n v="0.97"/>
        <n v="0.59499999999999997"/>
        <n v="0.317"/>
        <n v="0.26500000000000001"/>
        <n v="0.64600000000000002"/>
        <n v="0.42599999999999999"/>
        <n v="0.56000000000000005"/>
        <n v="0.51500000000000001"/>
        <n v="0.45300000000000001"/>
        <n v="0.78500000000000003"/>
        <n v="0.73399999999999999"/>
        <n v="1.1739999999999999"/>
        <n v="0.48799999999999999"/>
        <n v="0.35799999999999998"/>
        <n v="1.0960000000000001"/>
        <n v="0.40799999999999997"/>
        <n v="1.1819999999999999"/>
        <n v="0.222"/>
        <n v="1.0569999999999999"/>
        <n v="0.76600000000000001"/>
        <n v="0.17100000000000001"/>
        <n v="0.82"/>
        <n v="0.72"/>
        <n v="0.62"/>
        <n v="0.152"/>
        <n v="0.32200000000000001"/>
        <n v="0.32"/>
      </sharedItems>
    </cacheField>
    <cacheField name="Age" numFmtId="0">
      <sharedItems containsSemiMixedTypes="0" containsString="0" containsNumber="1" containsInteger="1" minValue="21" maxValue="81" count="52">
        <n v="47"/>
        <n v="23"/>
        <n v="31"/>
        <n v="24"/>
        <n v="21"/>
        <n v="58"/>
        <n v="28"/>
        <n v="67"/>
        <n v="42"/>
        <n v="33"/>
        <n v="45"/>
        <n v="22"/>
        <n v="66"/>
        <n v="30"/>
        <n v="25"/>
        <n v="55"/>
        <n v="39"/>
        <n v="41"/>
        <n v="40"/>
        <n v="38"/>
        <n v="35"/>
        <n v="64"/>
        <n v="46"/>
        <n v="27"/>
        <n v="56"/>
        <n v="26"/>
        <n v="37"/>
        <n v="48"/>
        <n v="54"/>
        <n v="29"/>
        <n v="44"/>
        <n v="36"/>
        <n v="32"/>
        <n v="43"/>
        <n v="34"/>
        <n v="60"/>
        <n v="61"/>
        <n v="69"/>
        <n v="62"/>
        <n v="65"/>
        <n v="57"/>
        <n v="52"/>
        <n v="51"/>
        <n v="49"/>
        <n v="63"/>
        <n v="59"/>
        <n v="72"/>
        <n v="81"/>
        <n v="50"/>
        <n v="53"/>
        <n v="70"/>
        <n v="68"/>
      </sharedItems>
    </cacheField>
    <cacheField name="Outcome" numFmtId="0">
      <sharedItems containsSemiMixedTypes="0" containsString="0" containsNumber="1" containsInteger="1" minValue="0" maxValue="1"/>
    </cacheField>
    <cacheField name="Prediction" numFmtId="0">
      <sharedItems containsMixedTypes="1" containsNumber="1" containsInteger="1" minValue="0" maxValue="1"/>
    </cacheField>
    <cacheField name="ID" numFmtId="0">
      <sharedItems containsSemiMixedTypes="0" containsString="0" containsNumber="1" containsInteger="1" minValue="0" maxValue="1999"/>
    </cacheField>
    <cacheField name="Pregnancy Group" numFmtId="0">
      <sharedItems containsNonDate="0" containsString="0" containsBlank="1"/>
    </cacheField>
    <cacheField name="Glucose Group" numFmtId="0">
      <sharedItems containsNonDate="0" containsString="0" containsBlank="1"/>
    </cacheField>
    <cacheField name="Blood Pressure Group" numFmtId="0">
      <sharedItems containsNonDate="0" containsString="0" containsBlank="1"/>
    </cacheField>
    <cacheField name="Skin Thickness Group" numFmtId="0">
      <sharedItems containsNonDate="0" containsString="0" containsBlank="1"/>
    </cacheField>
    <cacheField name="Insulin Group" numFmtId="0">
      <sharedItems containsNonDate="0" containsString="0" containsBlank="1"/>
    </cacheField>
    <cacheField name="BMI Group" numFmtId="0">
      <sharedItems containsNonDate="0" containsString="0" containsBlank="1"/>
    </cacheField>
    <cacheField name="Diabetes Pedigree Function Group" numFmtId="0">
      <sharedItems containsNonDate="0" containsString="0" containsBlank="1"/>
    </cacheField>
    <cacheField name="Age Group" numFmtId="0">
      <sharedItems containsNonDate="0" containsString="0" containsBlank="1"/>
    </cacheField>
    <cacheField name="Outcome Group" numFmtId="0">
      <sharedItems/>
    </cacheField>
    <cacheField name="Prediction Group" numFmtId="0">
      <sharedItems/>
    </cacheField>
    <cacheField name="Match?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x v="0"/>
    <x v="0"/>
    <x v="0"/>
    <x v="0"/>
    <x v="0"/>
    <x v="0"/>
    <x v="0"/>
    <n v="1"/>
    <n v="0"/>
    <n v="0"/>
    <m/>
    <m/>
    <m/>
    <m/>
    <m/>
    <m/>
    <m/>
    <m/>
    <s v="Positive"/>
    <s v="Negative"/>
    <s v="Inaccurate Prediction"/>
  </r>
  <r>
    <x v="1"/>
    <x v="1"/>
    <x v="1"/>
    <x v="1"/>
    <x v="1"/>
    <x v="1"/>
    <x v="1"/>
    <x v="1"/>
    <n v="0"/>
    <s v="Not Sampled"/>
    <n v="1"/>
    <m/>
    <m/>
    <m/>
    <m/>
    <m/>
    <m/>
    <m/>
    <m/>
    <s v="Negative"/>
    <s v="Not Sampled"/>
    <s v="Not Sampled"/>
  </r>
  <r>
    <x v="1"/>
    <x v="2"/>
    <x v="2"/>
    <x v="2"/>
    <x v="0"/>
    <x v="2"/>
    <x v="2"/>
    <x v="2"/>
    <n v="1"/>
    <s v="Not Sampled"/>
    <n v="2"/>
    <m/>
    <m/>
    <m/>
    <m/>
    <m/>
    <m/>
    <m/>
    <m/>
    <s v="Positive"/>
    <s v="Not Sampled"/>
    <s v="Not Sampled"/>
  </r>
  <r>
    <x v="1"/>
    <x v="3"/>
    <x v="3"/>
    <x v="3"/>
    <x v="2"/>
    <x v="3"/>
    <x v="3"/>
    <x v="3"/>
    <n v="1"/>
    <n v="0"/>
    <n v="3"/>
    <m/>
    <m/>
    <m/>
    <m/>
    <m/>
    <m/>
    <m/>
    <m/>
    <s v="Positive"/>
    <s v="Negative"/>
    <s v="Inaccurate Prediction"/>
  </r>
  <r>
    <x v="2"/>
    <x v="4"/>
    <x v="0"/>
    <x v="4"/>
    <x v="3"/>
    <x v="4"/>
    <x v="4"/>
    <x v="4"/>
    <n v="0"/>
    <s v="Not Sampled"/>
    <n v="4"/>
    <m/>
    <m/>
    <m/>
    <m/>
    <m/>
    <m/>
    <m/>
    <m/>
    <s v="Negative"/>
    <s v="Not Sampled"/>
    <s v="Not Sampled"/>
  </r>
  <r>
    <x v="1"/>
    <x v="5"/>
    <x v="4"/>
    <x v="5"/>
    <x v="4"/>
    <x v="5"/>
    <x v="5"/>
    <x v="5"/>
    <n v="0"/>
    <s v="Not Sampled"/>
    <n v="5"/>
    <m/>
    <m/>
    <m/>
    <m/>
    <m/>
    <m/>
    <m/>
    <m/>
    <s v="Negative"/>
    <s v="Not Sampled"/>
    <s v="Not Sampled"/>
  </r>
  <r>
    <x v="3"/>
    <x v="6"/>
    <x v="5"/>
    <x v="6"/>
    <x v="0"/>
    <x v="6"/>
    <x v="6"/>
    <x v="6"/>
    <n v="0"/>
    <s v="Not Sampled"/>
    <n v="6"/>
    <m/>
    <m/>
    <m/>
    <m/>
    <m/>
    <m/>
    <m/>
    <m/>
    <s v="Negative"/>
    <s v="Not Sampled"/>
    <s v="Not Sampled"/>
  </r>
  <r>
    <x v="4"/>
    <x v="7"/>
    <x v="6"/>
    <x v="2"/>
    <x v="0"/>
    <x v="7"/>
    <x v="7"/>
    <x v="7"/>
    <n v="0"/>
    <s v="Not Sampled"/>
    <n v="7"/>
    <m/>
    <m/>
    <m/>
    <m/>
    <m/>
    <m/>
    <m/>
    <m/>
    <s v="Negative"/>
    <s v="Not Sampled"/>
    <s v="Not Sampled"/>
  </r>
  <r>
    <x v="0"/>
    <x v="8"/>
    <x v="7"/>
    <x v="7"/>
    <x v="5"/>
    <x v="8"/>
    <x v="8"/>
    <x v="3"/>
    <n v="0"/>
    <n v="0"/>
    <n v="8"/>
    <m/>
    <m/>
    <m/>
    <m/>
    <m/>
    <m/>
    <m/>
    <m/>
    <s v="Negative"/>
    <s v="Negative"/>
    <s v="Accurate Prediction"/>
  </r>
  <r>
    <x v="0"/>
    <x v="9"/>
    <x v="8"/>
    <x v="8"/>
    <x v="0"/>
    <x v="9"/>
    <x v="9"/>
    <x v="8"/>
    <n v="0"/>
    <s v="Not Sampled"/>
    <n v="9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s v="Not Sampled"/>
    <n v="10"/>
    <m/>
    <m/>
    <m/>
    <m/>
    <m/>
    <m/>
    <m/>
    <m/>
    <s v="Negative"/>
    <s v="Not Sampled"/>
    <s v="Not Sampled"/>
  </r>
  <r>
    <x v="3"/>
    <x v="10"/>
    <x v="9"/>
    <x v="10"/>
    <x v="6"/>
    <x v="11"/>
    <x v="11"/>
    <x v="10"/>
    <n v="1"/>
    <n v="0"/>
    <n v="11"/>
    <m/>
    <m/>
    <m/>
    <m/>
    <m/>
    <m/>
    <m/>
    <m/>
    <s v="Positive"/>
    <s v="Negative"/>
    <s v="Inaccurate Prediction"/>
  </r>
  <r>
    <x v="5"/>
    <x v="11"/>
    <x v="2"/>
    <x v="2"/>
    <x v="0"/>
    <x v="12"/>
    <x v="12"/>
    <x v="11"/>
    <n v="0"/>
    <s v="Not Sampled"/>
    <n v="12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s v="Not Sampled"/>
    <n v="13"/>
    <m/>
    <m/>
    <m/>
    <m/>
    <m/>
    <m/>
    <m/>
    <m/>
    <s v="Negative"/>
    <s v="Not Sampled"/>
    <s v="Not Sampled"/>
  </r>
  <r>
    <x v="7"/>
    <x v="13"/>
    <x v="3"/>
    <x v="2"/>
    <x v="0"/>
    <x v="14"/>
    <x v="9"/>
    <x v="13"/>
    <n v="0"/>
    <s v="Not Sampled"/>
    <n v="14"/>
    <m/>
    <m/>
    <m/>
    <m/>
    <m/>
    <m/>
    <m/>
    <m/>
    <s v="Negative"/>
    <s v="Not Sampled"/>
    <s v="Not Sampled"/>
  </r>
  <r>
    <x v="0"/>
    <x v="14"/>
    <x v="5"/>
    <x v="11"/>
    <x v="7"/>
    <x v="15"/>
    <x v="14"/>
    <x v="14"/>
    <n v="0"/>
    <s v="Not Sampled"/>
    <n v="15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s v="Not Sampled"/>
    <n v="16"/>
    <m/>
    <m/>
    <m/>
    <m/>
    <m/>
    <m/>
    <m/>
    <m/>
    <s v="Positive"/>
    <s v="Not Sampled"/>
    <s v="Not Sampled"/>
  </r>
  <r>
    <x v="6"/>
    <x v="16"/>
    <x v="10"/>
    <x v="5"/>
    <x v="9"/>
    <x v="17"/>
    <x v="16"/>
    <x v="16"/>
    <n v="0"/>
    <n v="1"/>
    <n v="17"/>
    <m/>
    <m/>
    <m/>
    <m/>
    <m/>
    <m/>
    <m/>
    <m/>
    <s v="Negative"/>
    <s v="Positive"/>
    <s v="Inaccurate Prediction"/>
  </r>
  <r>
    <x v="0"/>
    <x v="17"/>
    <x v="8"/>
    <x v="13"/>
    <x v="10"/>
    <x v="18"/>
    <x v="17"/>
    <x v="4"/>
    <n v="0"/>
    <s v="Not Sampled"/>
    <n v="18"/>
    <m/>
    <m/>
    <m/>
    <m/>
    <m/>
    <m/>
    <m/>
    <m/>
    <s v="Negative"/>
    <s v="Not Sampled"/>
    <s v="Not Sampled"/>
  </r>
  <r>
    <x v="5"/>
    <x v="1"/>
    <x v="5"/>
    <x v="5"/>
    <x v="0"/>
    <x v="19"/>
    <x v="18"/>
    <x v="6"/>
    <n v="0"/>
    <s v="Not Sampled"/>
    <n v="19"/>
    <m/>
    <m/>
    <m/>
    <m/>
    <m/>
    <m/>
    <m/>
    <m/>
    <s v="Negative"/>
    <s v="Not Sampled"/>
    <s v="Not Sampled"/>
  </r>
  <r>
    <x v="6"/>
    <x v="18"/>
    <x v="3"/>
    <x v="4"/>
    <x v="0"/>
    <x v="20"/>
    <x v="19"/>
    <x v="17"/>
    <n v="1"/>
    <s v="Not Sampled"/>
    <n v="20"/>
    <m/>
    <m/>
    <m/>
    <m/>
    <m/>
    <m/>
    <m/>
    <m/>
    <s v="Positive"/>
    <s v="Not Sampled"/>
    <s v="Not Sampled"/>
  </r>
  <r>
    <x v="8"/>
    <x v="19"/>
    <x v="11"/>
    <x v="14"/>
    <x v="11"/>
    <x v="21"/>
    <x v="20"/>
    <x v="17"/>
    <n v="0"/>
    <s v="Not Sampled"/>
    <n v="21"/>
    <m/>
    <m/>
    <m/>
    <m/>
    <m/>
    <m/>
    <m/>
    <m/>
    <s v="Negative"/>
    <s v="Not Sampled"/>
    <s v="Not Sampled"/>
  </r>
  <r>
    <x v="5"/>
    <x v="20"/>
    <x v="4"/>
    <x v="15"/>
    <x v="0"/>
    <x v="22"/>
    <x v="21"/>
    <x v="18"/>
    <n v="0"/>
    <s v="Not Sampled"/>
    <n v="22"/>
    <m/>
    <m/>
    <m/>
    <m/>
    <m/>
    <m/>
    <m/>
    <m/>
    <s v="Negative"/>
    <s v="Not Sampled"/>
    <s v="Not Sampled"/>
  </r>
  <r>
    <x v="9"/>
    <x v="21"/>
    <x v="1"/>
    <x v="2"/>
    <x v="0"/>
    <x v="21"/>
    <x v="22"/>
    <x v="19"/>
    <n v="0"/>
    <s v="Not Sampled"/>
    <n v="23"/>
    <m/>
    <m/>
    <m/>
    <m/>
    <m/>
    <m/>
    <m/>
    <m/>
    <s v="Negative"/>
    <s v="Not Sampled"/>
    <s v="Not Sampled"/>
  </r>
  <r>
    <x v="1"/>
    <x v="22"/>
    <x v="8"/>
    <x v="16"/>
    <x v="12"/>
    <x v="23"/>
    <x v="23"/>
    <x v="20"/>
    <n v="1"/>
    <s v="Not Sampled"/>
    <n v="24"/>
    <m/>
    <m/>
    <m/>
    <m/>
    <m/>
    <m/>
    <m/>
    <m/>
    <s v="Positive"/>
    <s v="Not Sampled"/>
    <s v="Not Sampled"/>
  </r>
  <r>
    <x v="2"/>
    <x v="23"/>
    <x v="12"/>
    <x v="17"/>
    <x v="13"/>
    <x v="24"/>
    <x v="24"/>
    <x v="4"/>
    <n v="0"/>
    <s v="Not Sampled"/>
    <n v="25"/>
    <m/>
    <m/>
    <m/>
    <m/>
    <m/>
    <m/>
    <m/>
    <m/>
    <s v="Negative"/>
    <s v="Not Sampled"/>
    <s v="Not Sampled"/>
  </r>
  <r>
    <x v="0"/>
    <x v="1"/>
    <x v="13"/>
    <x v="17"/>
    <x v="7"/>
    <x v="25"/>
    <x v="25"/>
    <x v="4"/>
    <n v="0"/>
    <s v="Not Sampled"/>
    <n v="26"/>
    <m/>
    <m/>
    <m/>
    <m/>
    <m/>
    <m/>
    <m/>
    <m/>
    <s v="Negative"/>
    <s v="Not Sampled"/>
    <s v="Not Sampled"/>
  </r>
  <r>
    <x v="4"/>
    <x v="24"/>
    <x v="4"/>
    <x v="2"/>
    <x v="0"/>
    <x v="26"/>
    <x v="26"/>
    <x v="21"/>
    <n v="0"/>
    <s v="Not Sampled"/>
    <n v="27"/>
    <m/>
    <m/>
    <m/>
    <m/>
    <m/>
    <m/>
    <m/>
    <m/>
    <s v="Negative"/>
    <s v="Not Sampled"/>
    <s v="Not Sampled"/>
  </r>
  <r>
    <x v="10"/>
    <x v="1"/>
    <x v="5"/>
    <x v="1"/>
    <x v="0"/>
    <x v="27"/>
    <x v="27"/>
    <x v="22"/>
    <n v="1"/>
    <s v="Not Sampled"/>
    <n v="28"/>
    <m/>
    <m/>
    <m/>
    <m/>
    <m/>
    <m/>
    <m/>
    <m/>
    <s v="Positive"/>
    <s v="Not Sampled"/>
    <s v="Not Sampled"/>
  </r>
  <r>
    <x v="1"/>
    <x v="4"/>
    <x v="0"/>
    <x v="6"/>
    <x v="14"/>
    <x v="28"/>
    <x v="28"/>
    <x v="4"/>
    <n v="0"/>
    <s v="Not Sampled"/>
    <n v="29"/>
    <m/>
    <m/>
    <m/>
    <m/>
    <m/>
    <m/>
    <m/>
    <m/>
    <s v="Negative"/>
    <s v="Not Sampled"/>
    <s v="Not Sampled"/>
  </r>
  <r>
    <x v="11"/>
    <x v="25"/>
    <x v="3"/>
    <x v="2"/>
    <x v="0"/>
    <x v="29"/>
    <x v="29"/>
    <x v="5"/>
    <n v="0"/>
    <n v="0"/>
    <n v="30"/>
    <m/>
    <m/>
    <m/>
    <m/>
    <m/>
    <m/>
    <m/>
    <m/>
    <s v="Negative"/>
    <s v="Negative"/>
    <s v="Accurate Prediction"/>
  </r>
  <r>
    <x v="0"/>
    <x v="25"/>
    <x v="0"/>
    <x v="2"/>
    <x v="0"/>
    <x v="30"/>
    <x v="30"/>
    <x v="11"/>
    <n v="0"/>
    <s v="Not Sampled"/>
    <n v="31"/>
    <m/>
    <m/>
    <m/>
    <m/>
    <m/>
    <m/>
    <m/>
    <m/>
    <s v="Negative"/>
    <s v="Not Sampled"/>
    <s v="Not Sampled"/>
  </r>
  <r>
    <x v="5"/>
    <x v="6"/>
    <x v="14"/>
    <x v="13"/>
    <x v="15"/>
    <x v="6"/>
    <x v="31"/>
    <x v="3"/>
    <n v="0"/>
    <s v="Not Sampled"/>
    <n v="32"/>
    <m/>
    <m/>
    <m/>
    <m/>
    <m/>
    <m/>
    <m/>
    <m/>
    <s v="Negative"/>
    <s v="Not Sampled"/>
    <s v="Not Sampled"/>
  </r>
  <r>
    <x v="5"/>
    <x v="26"/>
    <x v="9"/>
    <x v="10"/>
    <x v="16"/>
    <x v="31"/>
    <x v="32"/>
    <x v="6"/>
    <n v="1"/>
    <s v="Not Sampled"/>
    <n v="33"/>
    <m/>
    <m/>
    <m/>
    <m/>
    <m/>
    <m/>
    <m/>
    <m/>
    <s v="Positive"/>
    <s v="Not Sampled"/>
    <s v="Not Sampled"/>
  </r>
  <r>
    <x v="9"/>
    <x v="27"/>
    <x v="4"/>
    <x v="1"/>
    <x v="0"/>
    <x v="32"/>
    <x v="33"/>
    <x v="10"/>
    <n v="0"/>
    <s v="Not Sampled"/>
    <n v="34"/>
    <m/>
    <m/>
    <m/>
    <m/>
    <m/>
    <m/>
    <m/>
    <m/>
    <s v="Negative"/>
    <s v="Not Sampled"/>
    <s v="Not Sampled"/>
  </r>
  <r>
    <x v="3"/>
    <x v="28"/>
    <x v="12"/>
    <x v="12"/>
    <x v="17"/>
    <x v="33"/>
    <x v="34"/>
    <x v="9"/>
    <n v="0"/>
    <s v="Not Sampled"/>
    <n v="35"/>
    <m/>
    <m/>
    <m/>
    <m/>
    <m/>
    <m/>
    <m/>
    <m/>
    <s v="Negative"/>
    <s v="Not Sampled"/>
    <s v="Not Sampled"/>
  </r>
  <r>
    <x v="12"/>
    <x v="0"/>
    <x v="15"/>
    <x v="2"/>
    <x v="0"/>
    <x v="34"/>
    <x v="35"/>
    <x v="20"/>
    <n v="0"/>
    <s v="Not Sampled"/>
    <n v="36"/>
    <m/>
    <m/>
    <m/>
    <m/>
    <m/>
    <m/>
    <m/>
    <m/>
    <s v="Negative"/>
    <s v="Not Sampled"/>
    <s v="Not Sampled"/>
  </r>
  <r>
    <x v="11"/>
    <x v="29"/>
    <x v="15"/>
    <x v="18"/>
    <x v="0"/>
    <x v="35"/>
    <x v="36"/>
    <x v="22"/>
    <n v="1"/>
    <n v="0"/>
    <n v="37"/>
    <m/>
    <m/>
    <m/>
    <m/>
    <m/>
    <m/>
    <m/>
    <m/>
    <s v="Positive"/>
    <s v="Negative"/>
    <s v="Inaccurate Prediction"/>
  </r>
  <r>
    <x v="0"/>
    <x v="30"/>
    <x v="3"/>
    <x v="3"/>
    <x v="0"/>
    <x v="1"/>
    <x v="37"/>
    <x v="23"/>
    <n v="1"/>
    <s v="Not Sampled"/>
    <n v="38"/>
    <m/>
    <m/>
    <m/>
    <m/>
    <m/>
    <m/>
    <m/>
    <m/>
    <s v="Positive"/>
    <s v="Not Sampled"/>
    <s v="Not Sampled"/>
  </r>
  <r>
    <x v="3"/>
    <x v="31"/>
    <x v="5"/>
    <x v="19"/>
    <x v="18"/>
    <x v="36"/>
    <x v="38"/>
    <x v="24"/>
    <n v="1"/>
    <n v="1"/>
    <n v="39"/>
    <m/>
    <m/>
    <m/>
    <m/>
    <m/>
    <m/>
    <m/>
    <m/>
    <s v="Positive"/>
    <s v="Positive"/>
    <s v="Accurate Prediction"/>
  </r>
  <r>
    <x v="5"/>
    <x v="22"/>
    <x v="11"/>
    <x v="14"/>
    <x v="19"/>
    <x v="37"/>
    <x v="39"/>
    <x v="25"/>
    <n v="0"/>
    <n v="1"/>
    <n v="40"/>
    <m/>
    <m/>
    <m/>
    <m/>
    <m/>
    <m/>
    <m/>
    <m/>
    <s v="Negative"/>
    <s v="Positive"/>
    <s v="Inaccurate Prediction"/>
  </r>
  <r>
    <x v="8"/>
    <x v="32"/>
    <x v="16"/>
    <x v="2"/>
    <x v="0"/>
    <x v="38"/>
    <x v="40"/>
    <x v="26"/>
    <n v="0"/>
    <s v="Not Sampled"/>
    <n v="41"/>
    <m/>
    <m/>
    <m/>
    <m/>
    <m/>
    <m/>
    <m/>
    <m/>
    <s v="Negative"/>
    <s v="Not Sampled"/>
    <s v="Not Sampled"/>
  </r>
  <r>
    <x v="8"/>
    <x v="33"/>
    <x v="17"/>
    <x v="10"/>
    <x v="0"/>
    <x v="39"/>
    <x v="41"/>
    <x v="27"/>
    <n v="0"/>
    <s v="Not Sampled"/>
    <n v="42"/>
    <m/>
    <m/>
    <m/>
    <m/>
    <m/>
    <m/>
    <m/>
    <m/>
    <s v="Negative"/>
    <s v="Not Sampled"/>
    <s v="Not Sampled"/>
  </r>
  <r>
    <x v="11"/>
    <x v="34"/>
    <x v="18"/>
    <x v="20"/>
    <x v="20"/>
    <x v="40"/>
    <x v="42"/>
    <x v="28"/>
    <n v="1"/>
    <s v="Not Sampled"/>
    <n v="43"/>
    <m/>
    <m/>
    <m/>
    <m/>
    <m/>
    <m/>
    <m/>
    <m/>
    <s v="Positive"/>
    <s v="Not Sampled"/>
    <s v="Not Sampled"/>
  </r>
  <r>
    <x v="8"/>
    <x v="35"/>
    <x v="11"/>
    <x v="2"/>
    <x v="0"/>
    <x v="41"/>
    <x v="6"/>
    <x v="18"/>
    <n v="0"/>
    <s v="Not Sampled"/>
    <n v="44"/>
    <m/>
    <m/>
    <m/>
    <m/>
    <m/>
    <m/>
    <m/>
    <m/>
    <s v="Negative"/>
    <s v="Not Sampled"/>
    <s v="Not Sampled"/>
  </r>
  <r>
    <x v="1"/>
    <x v="22"/>
    <x v="19"/>
    <x v="15"/>
    <x v="0"/>
    <x v="42"/>
    <x v="43"/>
    <x v="14"/>
    <n v="1"/>
    <s v="Not Sampled"/>
    <n v="45"/>
    <m/>
    <m/>
    <m/>
    <m/>
    <m/>
    <m/>
    <m/>
    <m/>
    <s v="Positive"/>
    <s v="Not Sampled"/>
    <s v="Not Sampled"/>
  </r>
  <r>
    <x v="2"/>
    <x v="36"/>
    <x v="20"/>
    <x v="2"/>
    <x v="0"/>
    <x v="27"/>
    <x v="44"/>
    <x v="29"/>
    <n v="0"/>
    <s v="Not Sampled"/>
    <n v="46"/>
    <m/>
    <m/>
    <m/>
    <m/>
    <m/>
    <m/>
    <m/>
    <m/>
    <s v="Negative"/>
    <s v="Not Sampled"/>
    <s v="Not Sampled"/>
  </r>
  <r>
    <x v="0"/>
    <x v="37"/>
    <x v="9"/>
    <x v="21"/>
    <x v="0"/>
    <x v="43"/>
    <x v="45"/>
    <x v="11"/>
    <n v="0"/>
    <n v="0"/>
    <n v="47"/>
    <m/>
    <m/>
    <m/>
    <m/>
    <m/>
    <m/>
    <m/>
    <m/>
    <s v="Negative"/>
    <s v="Negative"/>
    <s v="Accurate Prediction"/>
  </r>
  <r>
    <x v="8"/>
    <x v="28"/>
    <x v="19"/>
    <x v="5"/>
    <x v="0"/>
    <x v="44"/>
    <x v="46"/>
    <x v="2"/>
    <n v="1"/>
    <n v="0"/>
    <n v="48"/>
    <m/>
    <m/>
    <m/>
    <m/>
    <m/>
    <m/>
    <m/>
    <m/>
    <s v="Positive"/>
    <s v="Negative"/>
    <s v="Inaccurate Prediction"/>
  </r>
  <r>
    <x v="8"/>
    <x v="38"/>
    <x v="2"/>
    <x v="2"/>
    <x v="0"/>
    <x v="12"/>
    <x v="47"/>
    <x v="3"/>
    <n v="0"/>
    <n v="0"/>
    <n v="49"/>
    <m/>
    <m/>
    <m/>
    <m/>
    <m/>
    <m/>
    <m/>
    <m/>
    <s v="Negative"/>
    <s v="Negative"/>
    <s v="Accurate Prediction"/>
  </r>
  <r>
    <x v="2"/>
    <x v="28"/>
    <x v="6"/>
    <x v="22"/>
    <x v="21"/>
    <x v="45"/>
    <x v="48"/>
    <x v="11"/>
    <n v="0"/>
    <s v="Not Sampled"/>
    <n v="50"/>
    <m/>
    <m/>
    <m/>
    <m/>
    <m/>
    <m/>
    <m/>
    <m/>
    <s v="Negative"/>
    <s v="Not Sampled"/>
    <s v="Not Sampled"/>
  </r>
  <r>
    <x v="2"/>
    <x v="39"/>
    <x v="13"/>
    <x v="11"/>
    <x v="22"/>
    <x v="29"/>
    <x v="49"/>
    <x v="25"/>
    <n v="0"/>
    <s v="Not Sampled"/>
    <n v="51"/>
    <m/>
    <m/>
    <m/>
    <m/>
    <m/>
    <m/>
    <m/>
    <m/>
    <s v="Negative"/>
    <s v="Not Sampled"/>
    <s v="Not Sampled"/>
  </r>
  <r>
    <x v="7"/>
    <x v="40"/>
    <x v="19"/>
    <x v="23"/>
    <x v="23"/>
    <x v="46"/>
    <x v="50"/>
    <x v="13"/>
    <n v="0"/>
    <s v="Not Sampled"/>
    <n v="52"/>
    <m/>
    <m/>
    <m/>
    <m/>
    <m/>
    <m/>
    <m/>
    <m/>
    <s v="Negative"/>
    <s v="Not Sampled"/>
    <s v="Not Sampled"/>
  </r>
  <r>
    <x v="4"/>
    <x v="41"/>
    <x v="8"/>
    <x v="24"/>
    <x v="24"/>
    <x v="47"/>
    <x v="51"/>
    <x v="5"/>
    <n v="1"/>
    <n v="1"/>
    <n v="53"/>
    <m/>
    <m/>
    <m/>
    <m/>
    <m/>
    <m/>
    <m/>
    <m/>
    <s v="Positive"/>
    <s v="Positive"/>
    <s v="Accurate Prediction"/>
  </r>
  <r>
    <x v="8"/>
    <x v="42"/>
    <x v="19"/>
    <x v="3"/>
    <x v="25"/>
    <x v="48"/>
    <x v="52"/>
    <x v="8"/>
    <n v="0"/>
    <s v="Not Sampled"/>
    <n v="54"/>
    <m/>
    <m/>
    <m/>
    <m/>
    <m/>
    <m/>
    <m/>
    <m/>
    <s v="Negative"/>
    <s v="Not Sampled"/>
    <s v="Not Sampled"/>
  </r>
  <r>
    <x v="2"/>
    <x v="43"/>
    <x v="13"/>
    <x v="25"/>
    <x v="0"/>
    <x v="49"/>
    <x v="53"/>
    <x v="4"/>
    <n v="0"/>
    <s v="Not Sampled"/>
    <n v="55"/>
    <m/>
    <m/>
    <m/>
    <m/>
    <m/>
    <m/>
    <m/>
    <m/>
    <s v="Negative"/>
    <s v="Not Sampled"/>
    <s v="Not Sampled"/>
  </r>
  <r>
    <x v="8"/>
    <x v="44"/>
    <x v="3"/>
    <x v="15"/>
    <x v="26"/>
    <x v="50"/>
    <x v="54"/>
    <x v="17"/>
    <n v="1"/>
    <n v="1"/>
    <n v="56"/>
    <m/>
    <m/>
    <m/>
    <m/>
    <m/>
    <m/>
    <m/>
    <m/>
    <s v="Positive"/>
    <s v="Positive"/>
    <s v="Accurate Prediction"/>
  </r>
  <r>
    <x v="1"/>
    <x v="45"/>
    <x v="21"/>
    <x v="26"/>
    <x v="27"/>
    <x v="51"/>
    <x v="55"/>
    <x v="2"/>
    <n v="0"/>
    <s v="Not Sampled"/>
    <n v="57"/>
    <m/>
    <m/>
    <m/>
    <m/>
    <m/>
    <m/>
    <m/>
    <m/>
    <s v="Negative"/>
    <s v="Not Sampled"/>
    <s v="Not Sampled"/>
  </r>
  <r>
    <x v="1"/>
    <x v="36"/>
    <x v="1"/>
    <x v="2"/>
    <x v="0"/>
    <x v="52"/>
    <x v="56"/>
    <x v="30"/>
    <n v="0"/>
    <n v="1"/>
    <n v="58"/>
    <m/>
    <m/>
    <m/>
    <m/>
    <m/>
    <m/>
    <m/>
    <m/>
    <s v="Negative"/>
    <s v="Positive"/>
    <s v="Inaccurate Prediction"/>
  </r>
  <r>
    <x v="1"/>
    <x v="38"/>
    <x v="11"/>
    <x v="4"/>
    <x v="28"/>
    <x v="53"/>
    <x v="57"/>
    <x v="11"/>
    <n v="0"/>
    <s v="Not Sampled"/>
    <n v="59"/>
    <m/>
    <m/>
    <m/>
    <m/>
    <m/>
    <m/>
    <m/>
    <m/>
    <s v="Negative"/>
    <s v="Not Sampled"/>
    <s v="Not Sampled"/>
  </r>
  <r>
    <x v="0"/>
    <x v="1"/>
    <x v="2"/>
    <x v="2"/>
    <x v="0"/>
    <x v="12"/>
    <x v="13"/>
    <x v="4"/>
    <n v="0"/>
    <n v="0"/>
    <n v="60"/>
    <m/>
    <m/>
    <m/>
    <m/>
    <m/>
    <m/>
    <m/>
    <m/>
    <s v="Negative"/>
    <s v="Negative"/>
    <s v="Accurate Prediction"/>
  </r>
  <r>
    <x v="4"/>
    <x v="32"/>
    <x v="5"/>
    <x v="2"/>
    <x v="0"/>
    <x v="35"/>
    <x v="58"/>
    <x v="16"/>
    <n v="1"/>
    <s v="Not Sampled"/>
    <n v="61"/>
    <m/>
    <m/>
    <m/>
    <m/>
    <m/>
    <m/>
    <m/>
    <m/>
    <s v="Positive"/>
    <s v="Not Sampled"/>
    <s v="Not Sampled"/>
  </r>
  <r>
    <x v="7"/>
    <x v="46"/>
    <x v="0"/>
    <x v="2"/>
    <x v="0"/>
    <x v="26"/>
    <x v="59"/>
    <x v="31"/>
    <n v="0"/>
    <s v="Not Sampled"/>
    <n v="62"/>
    <m/>
    <m/>
    <m/>
    <m/>
    <m/>
    <m/>
    <m/>
    <m/>
    <s v="Negative"/>
    <s v="Not Sampled"/>
    <s v="Not Sampled"/>
  </r>
  <r>
    <x v="0"/>
    <x v="47"/>
    <x v="22"/>
    <x v="24"/>
    <x v="29"/>
    <x v="54"/>
    <x v="60"/>
    <x v="3"/>
    <n v="0"/>
    <s v="Not Sampled"/>
    <n v="63"/>
    <m/>
    <m/>
    <m/>
    <m/>
    <m/>
    <m/>
    <m/>
    <m/>
    <s v="Negative"/>
    <s v="Not Sampled"/>
    <s v="Not Sampled"/>
  </r>
  <r>
    <x v="8"/>
    <x v="48"/>
    <x v="19"/>
    <x v="2"/>
    <x v="0"/>
    <x v="10"/>
    <x v="61"/>
    <x v="8"/>
    <n v="1"/>
    <s v="Not Sampled"/>
    <n v="64"/>
    <m/>
    <m/>
    <m/>
    <m/>
    <m/>
    <m/>
    <m/>
    <m/>
    <s v="Positive"/>
    <s v="Not Sampled"/>
    <s v="Not Sampled"/>
  </r>
  <r>
    <x v="7"/>
    <x v="6"/>
    <x v="10"/>
    <x v="21"/>
    <x v="0"/>
    <x v="55"/>
    <x v="62"/>
    <x v="32"/>
    <n v="0"/>
    <n v="0"/>
    <n v="65"/>
    <m/>
    <m/>
    <m/>
    <m/>
    <m/>
    <m/>
    <m/>
    <m/>
    <s v="Negative"/>
    <s v="Negative"/>
    <s v="Accurate Prediction"/>
  </r>
  <r>
    <x v="1"/>
    <x v="49"/>
    <x v="21"/>
    <x v="8"/>
    <x v="0"/>
    <x v="56"/>
    <x v="63"/>
    <x v="19"/>
    <n v="1"/>
    <s v="Not Sampled"/>
    <n v="66"/>
    <m/>
    <m/>
    <m/>
    <m/>
    <m/>
    <m/>
    <m/>
    <m/>
    <s v="Positive"/>
    <s v="Not Sampled"/>
    <s v="Not Sampled"/>
  </r>
  <r>
    <x v="0"/>
    <x v="49"/>
    <x v="17"/>
    <x v="2"/>
    <x v="0"/>
    <x v="57"/>
    <x v="64"/>
    <x v="28"/>
    <n v="0"/>
    <s v="Not Sampled"/>
    <n v="67"/>
    <m/>
    <m/>
    <m/>
    <m/>
    <m/>
    <m/>
    <m/>
    <m/>
    <s v="Negative"/>
    <s v="Not Sampled"/>
    <s v="Not Sampled"/>
  </r>
  <r>
    <x v="2"/>
    <x v="50"/>
    <x v="19"/>
    <x v="27"/>
    <x v="30"/>
    <x v="58"/>
    <x v="65"/>
    <x v="14"/>
    <n v="0"/>
    <s v="Not Sampled"/>
    <n v="68"/>
    <m/>
    <m/>
    <m/>
    <m/>
    <m/>
    <m/>
    <m/>
    <m/>
    <s v="Negative"/>
    <s v="Not Sampled"/>
    <s v="Not Sampled"/>
  </r>
  <r>
    <x v="3"/>
    <x v="36"/>
    <x v="23"/>
    <x v="21"/>
    <x v="31"/>
    <x v="11"/>
    <x v="66"/>
    <x v="23"/>
    <n v="0"/>
    <s v="Not Sampled"/>
    <n v="69"/>
    <m/>
    <m/>
    <m/>
    <m/>
    <m/>
    <m/>
    <m/>
    <m/>
    <s v="Negative"/>
    <s v="Not Sampled"/>
    <s v="Not Sampled"/>
  </r>
  <r>
    <x v="0"/>
    <x v="45"/>
    <x v="19"/>
    <x v="28"/>
    <x v="12"/>
    <x v="35"/>
    <x v="67"/>
    <x v="6"/>
    <n v="1"/>
    <s v="Not Sampled"/>
    <n v="70"/>
    <m/>
    <m/>
    <m/>
    <m/>
    <m/>
    <m/>
    <m/>
    <m/>
    <s v="Positive"/>
    <s v="Not Sampled"/>
    <s v="Not Sampled"/>
  </r>
  <r>
    <x v="7"/>
    <x v="4"/>
    <x v="11"/>
    <x v="0"/>
    <x v="32"/>
    <x v="24"/>
    <x v="68"/>
    <x v="25"/>
    <n v="0"/>
    <s v="Not Sampled"/>
    <n v="71"/>
    <m/>
    <m/>
    <m/>
    <m/>
    <m/>
    <m/>
    <m/>
    <m/>
    <s v="Negative"/>
    <s v="Not Sampled"/>
    <s v="Not Sampled"/>
  </r>
  <r>
    <x v="13"/>
    <x v="51"/>
    <x v="8"/>
    <x v="2"/>
    <x v="0"/>
    <x v="59"/>
    <x v="69"/>
    <x v="8"/>
    <n v="1"/>
    <s v="Not Sampled"/>
    <n v="72"/>
    <m/>
    <m/>
    <m/>
    <m/>
    <m/>
    <m/>
    <m/>
    <m/>
    <s v="Positive"/>
    <s v="Not Sampled"/>
    <s v="Not Sampled"/>
  </r>
  <r>
    <x v="3"/>
    <x v="52"/>
    <x v="24"/>
    <x v="28"/>
    <x v="33"/>
    <x v="60"/>
    <x v="70"/>
    <x v="1"/>
    <n v="0"/>
    <s v="Not Sampled"/>
    <n v="73"/>
    <m/>
    <m/>
    <m/>
    <m/>
    <m/>
    <m/>
    <m/>
    <m/>
    <s v="Negative"/>
    <s v="Not Sampled"/>
    <s v="Not Sampled"/>
  </r>
  <r>
    <x v="2"/>
    <x v="53"/>
    <x v="25"/>
    <x v="8"/>
    <x v="0"/>
    <x v="61"/>
    <x v="71"/>
    <x v="11"/>
    <n v="0"/>
    <s v="Not Sampled"/>
    <n v="74"/>
    <m/>
    <m/>
    <m/>
    <m/>
    <m/>
    <m/>
    <m/>
    <m/>
    <s v="Negative"/>
    <s v="Not Sampled"/>
    <s v="Not Sampled"/>
  </r>
  <r>
    <x v="2"/>
    <x v="18"/>
    <x v="26"/>
    <x v="28"/>
    <x v="0"/>
    <x v="62"/>
    <x v="72"/>
    <x v="11"/>
    <n v="0"/>
    <n v="0"/>
    <n v="75"/>
    <m/>
    <m/>
    <m/>
    <m/>
    <m/>
    <m/>
    <m/>
    <m/>
    <s v="Negative"/>
    <s v="Negative"/>
    <s v="Accurate Prediction"/>
  </r>
  <r>
    <x v="8"/>
    <x v="54"/>
    <x v="4"/>
    <x v="2"/>
    <x v="0"/>
    <x v="63"/>
    <x v="73"/>
    <x v="17"/>
    <n v="0"/>
    <s v="Not Sampled"/>
    <n v="76"/>
    <m/>
    <m/>
    <m/>
    <m/>
    <m/>
    <m/>
    <m/>
    <m/>
    <s v="Negative"/>
    <s v="Not Sampled"/>
    <s v="Not Sampled"/>
  </r>
  <r>
    <x v="7"/>
    <x v="50"/>
    <x v="5"/>
    <x v="12"/>
    <x v="0"/>
    <x v="50"/>
    <x v="74"/>
    <x v="23"/>
    <n v="0"/>
    <s v="Not Sampled"/>
    <n v="77"/>
    <m/>
    <m/>
    <m/>
    <m/>
    <m/>
    <m/>
    <m/>
    <m/>
    <s v="Negative"/>
    <s v="Not Sampled"/>
    <s v="Not Sampled"/>
  </r>
  <r>
    <x v="1"/>
    <x v="55"/>
    <x v="2"/>
    <x v="2"/>
    <x v="0"/>
    <x v="64"/>
    <x v="58"/>
    <x v="25"/>
    <n v="1"/>
    <s v="Not Sampled"/>
    <n v="78"/>
    <m/>
    <m/>
    <m/>
    <m/>
    <m/>
    <m/>
    <m/>
    <m/>
    <s v="Positive"/>
    <s v="Not Sampled"/>
    <s v="Not Sampled"/>
  </r>
  <r>
    <x v="0"/>
    <x v="56"/>
    <x v="19"/>
    <x v="29"/>
    <x v="0"/>
    <x v="26"/>
    <x v="75"/>
    <x v="3"/>
    <n v="0"/>
    <s v="Not Sampled"/>
    <n v="79"/>
    <m/>
    <m/>
    <m/>
    <m/>
    <m/>
    <m/>
    <m/>
    <m/>
    <s v="Negative"/>
    <s v="Not Sampled"/>
    <s v="Not Sampled"/>
  </r>
  <r>
    <x v="5"/>
    <x v="57"/>
    <x v="27"/>
    <x v="27"/>
    <x v="0"/>
    <x v="65"/>
    <x v="72"/>
    <x v="11"/>
    <n v="0"/>
    <n v="0"/>
    <n v="80"/>
    <m/>
    <m/>
    <m/>
    <m/>
    <m/>
    <m/>
    <m/>
    <m/>
    <s v="Negative"/>
    <s v="Negative"/>
    <s v="Accurate Prediction"/>
  </r>
  <r>
    <x v="0"/>
    <x v="58"/>
    <x v="2"/>
    <x v="2"/>
    <x v="0"/>
    <x v="12"/>
    <x v="76"/>
    <x v="11"/>
    <n v="0"/>
    <s v="Not Sampled"/>
    <n v="81"/>
    <m/>
    <m/>
    <m/>
    <m/>
    <m/>
    <m/>
    <m/>
    <m/>
    <s v="Negative"/>
    <s v="Not Sampled"/>
    <s v="Not Sampled"/>
  </r>
  <r>
    <x v="8"/>
    <x v="8"/>
    <x v="4"/>
    <x v="16"/>
    <x v="10"/>
    <x v="17"/>
    <x v="77"/>
    <x v="31"/>
    <n v="0"/>
    <n v="0"/>
    <n v="82"/>
    <m/>
    <m/>
    <m/>
    <m/>
    <m/>
    <m/>
    <m/>
    <m/>
    <s v="Negative"/>
    <s v="Negative"/>
    <s v="Accurate Prediction"/>
  </r>
  <r>
    <x v="1"/>
    <x v="39"/>
    <x v="7"/>
    <x v="7"/>
    <x v="0"/>
    <x v="66"/>
    <x v="78"/>
    <x v="11"/>
    <n v="0"/>
    <s v="Not Sampled"/>
    <n v="83"/>
    <m/>
    <m/>
    <m/>
    <m/>
    <m/>
    <m/>
    <m/>
    <m/>
    <s v="Negative"/>
    <s v="Not Sampled"/>
    <s v="Not Sampled"/>
  </r>
  <r>
    <x v="7"/>
    <x v="59"/>
    <x v="28"/>
    <x v="2"/>
    <x v="0"/>
    <x v="67"/>
    <x v="79"/>
    <x v="26"/>
    <n v="1"/>
    <s v="Not Sampled"/>
    <n v="84"/>
    <m/>
    <m/>
    <m/>
    <m/>
    <m/>
    <m/>
    <m/>
    <m/>
    <s v="Positive"/>
    <s v="Not Sampled"/>
    <s v="Not Sampled"/>
  </r>
  <r>
    <x v="0"/>
    <x v="13"/>
    <x v="10"/>
    <x v="30"/>
    <x v="1"/>
    <x v="68"/>
    <x v="80"/>
    <x v="23"/>
    <n v="0"/>
    <s v="Not Sampled"/>
    <n v="85"/>
    <m/>
    <m/>
    <m/>
    <m/>
    <m/>
    <m/>
    <m/>
    <m/>
    <s v="Negative"/>
    <s v="Not Sampled"/>
    <s v="Not Sampled"/>
  </r>
  <r>
    <x v="13"/>
    <x v="33"/>
    <x v="5"/>
    <x v="31"/>
    <x v="0"/>
    <x v="69"/>
    <x v="81"/>
    <x v="10"/>
    <n v="0"/>
    <s v="Not Sampled"/>
    <n v="86"/>
    <m/>
    <m/>
    <m/>
    <m/>
    <m/>
    <m/>
    <m/>
    <m/>
    <s v="Negative"/>
    <s v="Not Sampled"/>
    <s v="Not Sampled"/>
  </r>
  <r>
    <x v="0"/>
    <x v="45"/>
    <x v="3"/>
    <x v="14"/>
    <x v="10"/>
    <x v="70"/>
    <x v="82"/>
    <x v="25"/>
    <n v="0"/>
    <n v="0"/>
    <n v="87"/>
    <m/>
    <m/>
    <m/>
    <m/>
    <m/>
    <m/>
    <m/>
    <m/>
    <s v="Negative"/>
    <s v="Negative"/>
    <s v="Accurate Prediction"/>
  </r>
  <r>
    <x v="14"/>
    <x v="60"/>
    <x v="9"/>
    <x v="5"/>
    <x v="27"/>
    <x v="36"/>
    <x v="83"/>
    <x v="33"/>
    <n v="1"/>
    <s v="Not Sampled"/>
    <n v="88"/>
    <m/>
    <m/>
    <m/>
    <m/>
    <m/>
    <m/>
    <m/>
    <m/>
    <s v="Positive"/>
    <s v="Not Sampled"/>
    <s v="Not Sampled"/>
  </r>
  <r>
    <x v="2"/>
    <x v="61"/>
    <x v="3"/>
    <x v="13"/>
    <x v="0"/>
    <x v="71"/>
    <x v="84"/>
    <x v="3"/>
    <n v="0"/>
    <s v="Not Sampled"/>
    <n v="89"/>
    <m/>
    <m/>
    <m/>
    <m/>
    <m/>
    <m/>
    <m/>
    <m/>
    <s v="Negative"/>
    <s v="Not Sampled"/>
    <s v="Not Sampled"/>
  </r>
  <r>
    <x v="2"/>
    <x v="11"/>
    <x v="29"/>
    <x v="2"/>
    <x v="0"/>
    <x v="72"/>
    <x v="61"/>
    <x v="4"/>
    <n v="0"/>
    <s v="Not Sampled"/>
    <n v="90"/>
    <m/>
    <m/>
    <m/>
    <m/>
    <m/>
    <m/>
    <m/>
    <m/>
    <s v="Negative"/>
    <s v="Not Sampled"/>
    <s v="Not Sampled"/>
  </r>
  <r>
    <x v="3"/>
    <x v="62"/>
    <x v="6"/>
    <x v="11"/>
    <x v="34"/>
    <x v="61"/>
    <x v="85"/>
    <x v="34"/>
    <n v="0"/>
    <n v="0"/>
    <n v="91"/>
    <m/>
    <m/>
    <m/>
    <m/>
    <m/>
    <m/>
    <m/>
    <m/>
    <s v="Negative"/>
    <s v="Negative"/>
    <s v="Accurate Prediction"/>
  </r>
  <r>
    <x v="8"/>
    <x v="14"/>
    <x v="4"/>
    <x v="32"/>
    <x v="35"/>
    <x v="73"/>
    <x v="86"/>
    <x v="8"/>
    <n v="0"/>
    <s v="Not Sampled"/>
    <n v="92"/>
    <m/>
    <m/>
    <m/>
    <m/>
    <m/>
    <m/>
    <m/>
    <m/>
    <s v="Negative"/>
    <s v="Not Sampled"/>
    <s v="Not Sampled"/>
  </r>
  <r>
    <x v="3"/>
    <x v="63"/>
    <x v="5"/>
    <x v="2"/>
    <x v="0"/>
    <x v="74"/>
    <x v="87"/>
    <x v="35"/>
    <n v="1"/>
    <s v="Not Sampled"/>
    <n v="93"/>
    <m/>
    <m/>
    <m/>
    <m/>
    <m/>
    <m/>
    <m/>
    <m/>
    <s v="Positive"/>
    <s v="Not Sampled"/>
    <s v="Not Sampled"/>
  </r>
  <r>
    <x v="0"/>
    <x v="64"/>
    <x v="1"/>
    <x v="10"/>
    <x v="36"/>
    <x v="62"/>
    <x v="88"/>
    <x v="4"/>
    <n v="0"/>
    <s v="Not Sampled"/>
    <n v="94"/>
    <m/>
    <m/>
    <m/>
    <m/>
    <m/>
    <m/>
    <m/>
    <m/>
    <s v="Negative"/>
    <s v="Not Sampled"/>
    <s v="Not Sampled"/>
  </r>
  <r>
    <x v="6"/>
    <x v="65"/>
    <x v="5"/>
    <x v="21"/>
    <x v="37"/>
    <x v="75"/>
    <x v="89"/>
    <x v="18"/>
    <n v="0"/>
    <s v="Not Sampled"/>
    <n v="95"/>
    <m/>
    <m/>
    <m/>
    <m/>
    <m/>
    <m/>
    <m/>
    <m/>
    <s v="Negative"/>
    <s v="Not Sampled"/>
    <s v="Not Sampled"/>
  </r>
  <r>
    <x v="0"/>
    <x v="66"/>
    <x v="0"/>
    <x v="7"/>
    <x v="0"/>
    <x v="31"/>
    <x v="90"/>
    <x v="3"/>
    <n v="0"/>
    <s v="Not Sampled"/>
    <n v="96"/>
    <m/>
    <m/>
    <m/>
    <m/>
    <m/>
    <m/>
    <m/>
    <m/>
    <s v="Negative"/>
    <s v="Not Sampled"/>
    <s v="Not Sampled"/>
  </r>
  <r>
    <x v="2"/>
    <x v="37"/>
    <x v="26"/>
    <x v="10"/>
    <x v="7"/>
    <x v="76"/>
    <x v="91"/>
    <x v="11"/>
    <n v="0"/>
    <s v="Not Sampled"/>
    <n v="97"/>
    <m/>
    <m/>
    <m/>
    <m/>
    <m/>
    <m/>
    <m/>
    <m/>
    <s v="Negative"/>
    <s v="Not Sampled"/>
    <s v="Not Sampled"/>
  </r>
  <r>
    <x v="6"/>
    <x v="67"/>
    <x v="13"/>
    <x v="8"/>
    <x v="36"/>
    <x v="77"/>
    <x v="92"/>
    <x v="1"/>
    <n v="0"/>
    <n v="0"/>
    <n v="98"/>
    <m/>
    <m/>
    <m/>
    <m/>
    <m/>
    <m/>
    <m/>
    <m/>
    <s v="Negative"/>
    <s v="Negative"/>
    <s v="Accurate Prediction"/>
  </r>
  <r>
    <x v="2"/>
    <x v="27"/>
    <x v="8"/>
    <x v="33"/>
    <x v="38"/>
    <x v="78"/>
    <x v="93"/>
    <x v="2"/>
    <n v="1"/>
    <s v="Not Sampled"/>
    <n v="99"/>
    <m/>
    <m/>
    <m/>
    <m/>
    <m/>
    <m/>
    <m/>
    <m/>
    <s v="Positive"/>
    <s v="Not Sampled"/>
    <s v="Not Sampled"/>
  </r>
  <r>
    <x v="2"/>
    <x v="26"/>
    <x v="5"/>
    <x v="2"/>
    <x v="0"/>
    <x v="20"/>
    <x v="94"/>
    <x v="9"/>
    <n v="1"/>
    <s v="Not Sampled"/>
    <n v="100"/>
    <m/>
    <m/>
    <m/>
    <m/>
    <m/>
    <m/>
    <m/>
    <m/>
    <s v="Positive"/>
    <s v="Not Sampled"/>
    <s v="Not Sampled"/>
  </r>
  <r>
    <x v="2"/>
    <x v="68"/>
    <x v="12"/>
    <x v="2"/>
    <x v="0"/>
    <x v="7"/>
    <x v="95"/>
    <x v="11"/>
    <n v="0"/>
    <n v="0"/>
    <n v="101"/>
    <m/>
    <m/>
    <m/>
    <m/>
    <m/>
    <m/>
    <m/>
    <m/>
    <s v="Negative"/>
    <s v="Negative"/>
    <s v="Accurate Prediction"/>
  </r>
  <r>
    <x v="1"/>
    <x v="10"/>
    <x v="30"/>
    <x v="2"/>
    <x v="0"/>
    <x v="79"/>
    <x v="96"/>
    <x v="4"/>
    <n v="0"/>
    <n v="0"/>
    <n v="102"/>
    <m/>
    <m/>
    <m/>
    <m/>
    <m/>
    <m/>
    <m/>
    <m/>
    <s v="Negative"/>
    <s v="Negative"/>
    <s v="Accurate Prediction"/>
  </r>
  <r>
    <x v="2"/>
    <x v="14"/>
    <x v="5"/>
    <x v="10"/>
    <x v="39"/>
    <x v="13"/>
    <x v="97"/>
    <x v="3"/>
    <n v="0"/>
    <s v="Not Sampled"/>
    <n v="103"/>
    <m/>
    <m/>
    <m/>
    <m/>
    <m/>
    <m/>
    <m/>
    <m/>
    <s v="Negative"/>
    <s v="Not Sampled"/>
    <s v="Not Sampled"/>
  </r>
  <r>
    <x v="0"/>
    <x v="69"/>
    <x v="7"/>
    <x v="2"/>
    <x v="0"/>
    <x v="80"/>
    <x v="98"/>
    <x v="23"/>
    <n v="0"/>
    <n v="0"/>
    <n v="104"/>
    <m/>
    <m/>
    <m/>
    <m/>
    <m/>
    <m/>
    <m/>
    <m/>
    <s v="Negative"/>
    <s v="Negative"/>
    <s v="Accurate Prediction"/>
  </r>
  <r>
    <x v="2"/>
    <x v="51"/>
    <x v="20"/>
    <x v="30"/>
    <x v="40"/>
    <x v="77"/>
    <x v="99"/>
    <x v="4"/>
    <n v="0"/>
    <s v="Not Sampled"/>
    <n v="105"/>
    <m/>
    <m/>
    <m/>
    <m/>
    <m/>
    <m/>
    <m/>
    <m/>
    <s v="Negative"/>
    <s v="Not Sampled"/>
    <s v="Not Sampled"/>
  </r>
  <r>
    <x v="2"/>
    <x v="20"/>
    <x v="31"/>
    <x v="2"/>
    <x v="0"/>
    <x v="65"/>
    <x v="28"/>
    <x v="23"/>
    <n v="0"/>
    <s v="Not Sampled"/>
    <n v="106"/>
    <m/>
    <m/>
    <m/>
    <m/>
    <m/>
    <m/>
    <m/>
    <m/>
    <s v="Negative"/>
    <s v="Not Sampled"/>
    <s v="Not Sampled"/>
  </r>
  <r>
    <x v="3"/>
    <x v="65"/>
    <x v="22"/>
    <x v="7"/>
    <x v="32"/>
    <x v="81"/>
    <x v="100"/>
    <x v="26"/>
    <n v="0"/>
    <n v="0"/>
    <n v="107"/>
    <m/>
    <m/>
    <m/>
    <m/>
    <m/>
    <m/>
    <m/>
    <m/>
    <s v="Negative"/>
    <s v="Negative"/>
    <s v="Accurate Prediction"/>
  </r>
  <r>
    <x v="5"/>
    <x v="8"/>
    <x v="22"/>
    <x v="1"/>
    <x v="41"/>
    <x v="82"/>
    <x v="101"/>
    <x v="14"/>
    <n v="0"/>
    <n v="0"/>
    <n v="108"/>
    <m/>
    <m/>
    <m/>
    <m/>
    <m/>
    <m/>
    <m/>
    <m/>
    <s v="Negative"/>
    <s v="Negative"/>
    <s v="Accurate Prediction"/>
  </r>
  <r>
    <x v="1"/>
    <x v="50"/>
    <x v="23"/>
    <x v="14"/>
    <x v="22"/>
    <x v="83"/>
    <x v="102"/>
    <x v="3"/>
    <n v="1"/>
    <s v="Not Sampled"/>
    <n v="109"/>
    <m/>
    <m/>
    <m/>
    <m/>
    <m/>
    <m/>
    <m/>
    <m/>
    <s v="Positive"/>
    <s v="Not Sampled"/>
    <s v="Not Sampled"/>
  </r>
  <r>
    <x v="5"/>
    <x v="34"/>
    <x v="5"/>
    <x v="12"/>
    <x v="42"/>
    <x v="21"/>
    <x v="103"/>
    <x v="3"/>
    <n v="1"/>
    <s v="Not Sampled"/>
    <n v="110"/>
    <m/>
    <m/>
    <m/>
    <m/>
    <m/>
    <m/>
    <m/>
    <m/>
    <s v="Positive"/>
    <s v="Not Sampled"/>
    <s v="Not Sampled"/>
  </r>
  <r>
    <x v="4"/>
    <x v="70"/>
    <x v="0"/>
    <x v="16"/>
    <x v="43"/>
    <x v="37"/>
    <x v="104"/>
    <x v="22"/>
    <n v="1"/>
    <n v="1"/>
    <n v="111"/>
    <m/>
    <m/>
    <m/>
    <m/>
    <m/>
    <m/>
    <m/>
    <m/>
    <s v="Positive"/>
    <s v="Positive"/>
    <s v="Accurate Prediction"/>
  </r>
  <r>
    <x v="2"/>
    <x v="9"/>
    <x v="15"/>
    <x v="24"/>
    <x v="44"/>
    <x v="84"/>
    <x v="105"/>
    <x v="1"/>
    <n v="0"/>
    <s v="Not Sampled"/>
    <n v="112"/>
    <m/>
    <m/>
    <m/>
    <m/>
    <m/>
    <m/>
    <m/>
    <m/>
    <s v="Negative"/>
    <s v="Not Sampled"/>
    <s v="Not Sampled"/>
  </r>
  <r>
    <x v="3"/>
    <x v="71"/>
    <x v="0"/>
    <x v="2"/>
    <x v="0"/>
    <x v="37"/>
    <x v="73"/>
    <x v="14"/>
    <n v="0"/>
    <s v="Not Sampled"/>
    <n v="113"/>
    <m/>
    <m/>
    <m/>
    <m/>
    <m/>
    <m/>
    <m/>
    <m/>
    <s v="Negative"/>
    <s v="Not Sampled"/>
    <s v="Not Sampled"/>
  </r>
  <r>
    <x v="8"/>
    <x v="72"/>
    <x v="14"/>
    <x v="5"/>
    <x v="45"/>
    <x v="85"/>
    <x v="106"/>
    <x v="16"/>
    <n v="1"/>
    <s v="Not Sampled"/>
    <n v="114"/>
    <m/>
    <m/>
    <m/>
    <m/>
    <m/>
    <m/>
    <m/>
    <m/>
    <s v="Positive"/>
    <s v="Not Sampled"/>
    <s v="Not Sampled"/>
  </r>
  <r>
    <x v="3"/>
    <x v="36"/>
    <x v="17"/>
    <x v="2"/>
    <x v="0"/>
    <x v="84"/>
    <x v="107"/>
    <x v="36"/>
    <n v="1"/>
    <n v="1"/>
    <n v="115"/>
    <m/>
    <m/>
    <m/>
    <m/>
    <m/>
    <m/>
    <m/>
    <m/>
    <s v="Positive"/>
    <s v="Positive"/>
    <s v="Accurate Prediction"/>
  </r>
  <r>
    <x v="7"/>
    <x v="73"/>
    <x v="10"/>
    <x v="2"/>
    <x v="0"/>
    <x v="37"/>
    <x v="108"/>
    <x v="19"/>
    <n v="1"/>
    <s v="Not Sampled"/>
    <n v="116"/>
    <m/>
    <m/>
    <m/>
    <m/>
    <m/>
    <m/>
    <m/>
    <m/>
    <s v="Positive"/>
    <s v="Not Sampled"/>
    <s v="Not Sampled"/>
  </r>
  <r>
    <x v="7"/>
    <x v="74"/>
    <x v="26"/>
    <x v="2"/>
    <x v="0"/>
    <x v="47"/>
    <x v="109"/>
    <x v="14"/>
    <n v="0"/>
    <s v="Not Sampled"/>
    <n v="117"/>
    <m/>
    <m/>
    <m/>
    <m/>
    <m/>
    <m/>
    <m/>
    <m/>
    <s v="Negative"/>
    <s v="Not Sampled"/>
    <s v="Not Sampled"/>
  </r>
  <r>
    <x v="3"/>
    <x v="75"/>
    <x v="12"/>
    <x v="17"/>
    <x v="0"/>
    <x v="86"/>
    <x v="85"/>
    <x v="11"/>
    <n v="0"/>
    <s v="Not Sampled"/>
    <n v="118"/>
    <m/>
    <m/>
    <m/>
    <m/>
    <m/>
    <m/>
    <m/>
    <m/>
    <s v="Negative"/>
    <s v="Not Sampled"/>
    <s v="Not Sampled"/>
  </r>
  <r>
    <x v="3"/>
    <x v="6"/>
    <x v="15"/>
    <x v="11"/>
    <x v="46"/>
    <x v="87"/>
    <x v="110"/>
    <x v="4"/>
    <n v="0"/>
    <n v="0"/>
    <n v="119"/>
    <m/>
    <m/>
    <m/>
    <m/>
    <m/>
    <m/>
    <m/>
    <m/>
    <s v="Negative"/>
    <s v="Negative"/>
    <s v="Accurate Prediction"/>
  </r>
  <r>
    <x v="1"/>
    <x v="76"/>
    <x v="15"/>
    <x v="34"/>
    <x v="31"/>
    <x v="88"/>
    <x v="111"/>
    <x v="14"/>
    <n v="1"/>
    <n v="1"/>
    <n v="120"/>
    <m/>
    <m/>
    <m/>
    <m/>
    <m/>
    <m/>
    <m/>
    <m/>
    <s v="Positive"/>
    <s v="Positive"/>
    <s v="Accurate Prediction"/>
  </r>
  <r>
    <x v="6"/>
    <x v="31"/>
    <x v="11"/>
    <x v="15"/>
    <x v="0"/>
    <x v="89"/>
    <x v="112"/>
    <x v="3"/>
    <n v="0"/>
    <s v="Not Sampled"/>
    <n v="121"/>
    <m/>
    <m/>
    <m/>
    <m/>
    <m/>
    <m/>
    <m/>
    <m/>
    <s v="Negative"/>
    <s v="Not Sampled"/>
    <s v="Not Sampled"/>
  </r>
  <r>
    <x v="0"/>
    <x v="61"/>
    <x v="10"/>
    <x v="8"/>
    <x v="31"/>
    <x v="0"/>
    <x v="113"/>
    <x v="1"/>
    <n v="0"/>
    <s v="Not Sampled"/>
    <n v="122"/>
    <m/>
    <m/>
    <m/>
    <m/>
    <m/>
    <m/>
    <m/>
    <m/>
    <s v="Negative"/>
    <s v="Not Sampled"/>
    <s v="Not Sampled"/>
  </r>
  <r>
    <x v="7"/>
    <x v="77"/>
    <x v="6"/>
    <x v="2"/>
    <x v="0"/>
    <x v="90"/>
    <x v="114"/>
    <x v="37"/>
    <n v="0"/>
    <s v="Not Sampled"/>
    <n v="123"/>
    <m/>
    <m/>
    <m/>
    <m/>
    <m/>
    <m/>
    <m/>
    <m/>
    <s v="Negative"/>
    <s v="Not Sampled"/>
    <s v="Not Sampled"/>
  </r>
  <r>
    <x v="1"/>
    <x v="57"/>
    <x v="15"/>
    <x v="2"/>
    <x v="0"/>
    <x v="21"/>
    <x v="115"/>
    <x v="1"/>
    <n v="1"/>
    <s v="Not Sampled"/>
    <n v="124"/>
    <m/>
    <m/>
    <m/>
    <m/>
    <m/>
    <m/>
    <m/>
    <m/>
    <s v="Positive"/>
    <s v="Not Sampled"/>
    <s v="Not Sampled"/>
  </r>
  <r>
    <x v="2"/>
    <x v="40"/>
    <x v="32"/>
    <x v="3"/>
    <x v="47"/>
    <x v="91"/>
    <x v="116"/>
    <x v="25"/>
    <n v="1"/>
    <s v="Not Sampled"/>
    <n v="125"/>
    <m/>
    <m/>
    <m/>
    <m/>
    <m/>
    <m/>
    <m/>
    <m/>
    <s v="Positive"/>
    <s v="Not Sampled"/>
    <s v="Not Sampled"/>
  </r>
  <r>
    <x v="5"/>
    <x v="24"/>
    <x v="9"/>
    <x v="8"/>
    <x v="42"/>
    <x v="92"/>
    <x v="117"/>
    <x v="13"/>
    <n v="0"/>
    <n v="0"/>
    <n v="126"/>
    <m/>
    <m/>
    <m/>
    <m/>
    <m/>
    <m/>
    <m/>
    <m/>
    <s v="Negative"/>
    <s v="Negative"/>
    <s v="Accurate Prediction"/>
  </r>
  <r>
    <x v="2"/>
    <x v="78"/>
    <x v="22"/>
    <x v="35"/>
    <x v="48"/>
    <x v="21"/>
    <x v="86"/>
    <x v="1"/>
    <n v="0"/>
    <s v="Not Sampled"/>
    <n v="127"/>
    <m/>
    <m/>
    <m/>
    <m/>
    <m/>
    <m/>
    <m/>
    <m/>
    <s v="Negative"/>
    <s v="Not Sampled"/>
    <s v="Not Sampled"/>
  </r>
  <r>
    <x v="2"/>
    <x v="17"/>
    <x v="21"/>
    <x v="20"/>
    <x v="8"/>
    <x v="93"/>
    <x v="118"/>
    <x v="18"/>
    <n v="1"/>
    <s v="Not Sampled"/>
    <n v="128"/>
    <m/>
    <m/>
    <m/>
    <m/>
    <m/>
    <m/>
    <m/>
    <m/>
    <s v="Positive"/>
    <s v="Not Sampled"/>
    <s v="Not Sampled"/>
  </r>
  <r>
    <x v="1"/>
    <x v="38"/>
    <x v="16"/>
    <x v="2"/>
    <x v="0"/>
    <x v="94"/>
    <x v="119"/>
    <x v="38"/>
    <n v="1"/>
    <s v="Not Sampled"/>
    <n v="129"/>
    <m/>
    <m/>
    <m/>
    <m/>
    <m/>
    <m/>
    <m/>
    <m/>
    <s v="Positive"/>
    <s v="Not Sampled"/>
    <s v="Not Sampled"/>
  </r>
  <r>
    <x v="3"/>
    <x v="5"/>
    <x v="9"/>
    <x v="36"/>
    <x v="49"/>
    <x v="27"/>
    <x v="120"/>
    <x v="9"/>
    <n v="1"/>
    <s v="Not Sampled"/>
    <n v="130"/>
    <m/>
    <m/>
    <m/>
    <m/>
    <m/>
    <m/>
    <m/>
    <m/>
    <s v="Positive"/>
    <s v="Not Sampled"/>
    <s v="Not Sampled"/>
  </r>
  <r>
    <x v="11"/>
    <x v="27"/>
    <x v="20"/>
    <x v="2"/>
    <x v="0"/>
    <x v="21"/>
    <x v="121"/>
    <x v="9"/>
    <n v="1"/>
    <s v="Not Sampled"/>
    <n v="131"/>
    <m/>
    <m/>
    <m/>
    <m/>
    <m/>
    <m/>
    <m/>
    <m/>
    <s v="Positive"/>
    <s v="Not Sampled"/>
    <s v="Not Sampled"/>
  </r>
  <r>
    <x v="5"/>
    <x v="79"/>
    <x v="11"/>
    <x v="18"/>
    <x v="50"/>
    <x v="93"/>
    <x v="92"/>
    <x v="13"/>
    <n v="1"/>
    <s v="Not Sampled"/>
    <n v="132"/>
    <m/>
    <m/>
    <m/>
    <m/>
    <m/>
    <m/>
    <m/>
    <m/>
    <s v="Positive"/>
    <s v="Not Sampled"/>
    <s v="Not Sampled"/>
  </r>
  <r>
    <x v="4"/>
    <x v="1"/>
    <x v="10"/>
    <x v="1"/>
    <x v="0"/>
    <x v="95"/>
    <x v="122"/>
    <x v="16"/>
    <n v="0"/>
    <n v="0"/>
    <n v="133"/>
    <m/>
    <m/>
    <m/>
    <m/>
    <m/>
    <m/>
    <m/>
    <m/>
    <s v="Negative"/>
    <s v="Negative"/>
    <s v="Accurate Prediction"/>
  </r>
  <r>
    <x v="0"/>
    <x v="20"/>
    <x v="3"/>
    <x v="27"/>
    <x v="51"/>
    <x v="96"/>
    <x v="123"/>
    <x v="25"/>
    <n v="0"/>
    <s v="Not Sampled"/>
    <n v="134"/>
    <m/>
    <m/>
    <m/>
    <m/>
    <m/>
    <m/>
    <m/>
    <m/>
    <s v="Negative"/>
    <s v="Not Sampled"/>
    <s v="Not Sampled"/>
  </r>
  <r>
    <x v="0"/>
    <x v="10"/>
    <x v="12"/>
    <x v="28"/>
    <x v="32"/>
    <x v="97"/>
    <x v="124"/>
    <x v="2"/>
    <n v="0"/>
    <s v="Not Sampled"/>
    <n v="135"/>
    <m/>
    <m/>
    <m/>
    <m/>
    <m/>
    <m/>
    <m/>
    <m/>
    <s v="Negative"/>
    <s v="Not Sampled"/>
    <s v="Not Sampled"/>
  </r>
  <r>
    <x v="1"/>
    <x v="45"/>
    <x v="9"/>
    <x v="16"/>
    <x v="52"/>
    <x v="98"/>
    <x v="125"/>
    <x v="4"/>
    <n v="0"/>
    <s v="Not Sampled"/>
    <n v="136"/>
    <m/>
    <m/>
    <m/>
    <m/>
    <m/>
    <m/>
    <m/>
    <m/>
    <s v="Negative"/>
    <s v="Not Sampled"/>
    <s v="Not Sampled"/>
  </r>
  <r>
    <x v="1"/>
    <x v="67"/>
    <x v="12"/>
    <x v="14"/>
    <x v="53"/>
    <x v="77"/>
    <x v="126"/>
    <x v="11"/>
    <n v="0"/>
    <n v="0"/>
    <n v="137"/>
    <m/>
    <m/>
    <m/>
    <m/>
    <m/>
    <m/>
    <m/>
    <m/>
    <s v="Negative"/>
    <s v="Negative"/>
    <s v="Accurate Prediction"/>
  </r>
  <r>
    <x v="1"/>
    <x v="52"/>
    <x v="6"/>
    <x v="2"/>
    <x v="0"/>
    <x v="84"/>
    <x v="127"/>
    <x v="29"/>
    <n v="0"/>
    <s v="Not Sampled"/>
    <n v="138"/>
    <m/>
    <m/>
    <m/>
    <m/>
    <m/>
    <m/>
    <m/>
    <m/>
    <s v="Negative"/>
    <s v="Not Sampled"/>
    <s v="Not Sampled"/>
  </r>
  <r>
    <x v="7"/>
    <x v="38"/>
    <x v="5"/>
    <x v="30"/>
    <x v="54"/>
    <x v="99"/>
    <x v="128"/>
    <x v="6"/>
    <n v="0"/>
    <s v="Not Sampled"/>
    <n v="139"/>
    <m/>
    <m/>
    <m/>
    <m/>
    <m/>
    <m/>
    <m/>
    <m/>
    <s v="Negative"/>
    <s v="Not Sampled"/>
    <s v="Not Sampled"/>
  </r>
  <r>
    <x v="5"/>
    <x v="80"/>
    <x v="4"/>
    <x v="2"/>
    <x v="0"/>
    <x v="96"/>
    <x v="32"/>
    <x v="15"/>
    <n v="0"/>
    <n v="0"/>
    <n v="140"/>
    <m/>
    <m/>
    <m/>
    <m/>
    <m/>
    <m/>
    <m/>
    <m/>
    <s v="Negative"/>
    <s v="Negative"/>
    <s v="Accurate Prediction"/>
  </r>
  <r>
    <x v="7"/>
    <x v="33"/>
    <x v="1"/>
    <x v="8"/>
    <x v="0"/>
    <x v="100"/>
    <x v="129"/>
    <x v="19"/>
    <n v="0"/>
    <s v="Not Sampled"/>
    <n v="141"/>
    <m/>
    <m/>
    <m/>
    <m/>
    <m/>
    <m/>
    <m/>
    <m/>
    <s v="Negative"/>
    <s v="Not Sampled"/>
    <s v="Not Sampled"/>
  </r>
  <r>
    <x v="0"/>
    <x v="81"/>
    <x v="33"/>
    <x v="16"/>
    <x v="55"/>
    <x v="56"/>
    <x v="130"/>
    <x v="11"/>
    <n v="0"/>
    <s v="Not Sampled"/>
    <n v="142"/>
    <m/>
    <m/>
    <m/>
    <m/>
    <m/>
    <m/>
    <m/>
    <m/>
    <s v="Negative"/>
    <s v="Not Sampled"/>
    <s v="Not Sampled"/>
  </r>
  <r>
    <x v="9"/>
    <x v="81"/>
    <x v="19"/>
    <x v="2"/>
    <x v="0"/>
    <x v="68"/>
    <x v="131"/>
    <x v="8"/>
    <n v="1"/>
    <s v="Not Sampled"/>
    <n v="143"/>
    <m/>
    <m/>
    <m/>
    <m/>
    <m/>
    <m/>
    <m/>
    <m/>
    <s v="Positive"/>
    <s v="Not Sampled"/>
    <s v="Not Sampled"/>
  </r>
  <r>
    <x v="3"/>
    <x v="16"/>
    <x v="0"/>
    <x v="1"/>
    <x v="56"/>
    <x v="10"/>
    <x v="78"/>
    <x v="1"/>
    <n v="0"/>
    <s v="Not Sampled"/>
    <n v="144"/>
    <m/>
    <m/>
    <m/>
    <m/>
    <m/>
    <m/>
    <m/>
    <m/>
    <s v="Negative"/>
    <s v="Not Sampled"/>
    <s v="Not Sampled"/>
  </r>
  <r>
    <x v="1"/>
    <x v="29"/>
    <x v="25"/>
    <x v="17"/>
    <x v="0"/>
    <x v="12"/>
    <x v="132"/>
    <x v="4"/>
    <n v="0"/>
    <s v="Not Sampled"/>
    <n v="145"/>
    <m/>
    <m/>
    <m/>
    <m/>
    <m/>
    <m/>
    <m/>
    <m/>
    <s v="Negative"/>
    <s v="Not Sampled"/>
    <s v="Not Sampled"/>
  </r>
  <r>
    <x v="11"/>
    <x v="82"/>
    <x v="6"/>
    <x v="18"/>
    <x v="0"/>
    <x v="10"/>
    <x v="133"/>
    <x v="17"/>
    <n v="0"/>
    <n v="0"/>
    <n v="146"/>
    <m/>
    <m/>
    <m/>
    <m/>
    <m/>
    <m/>
    <m/>
    <m/>
    <s v="Negative"/>
    <s v="Negative"/>
    <s v="Accurate Prediction"/>
  </r>
  <r>
    <x v="0"/>
    <x v="33"/>
    <x v="11"/>
    <x v="0"/>
    <x v="57"/>
    <x v="85"/>
    <x v="134"/>
    <x v="34"/>
    <n v="0"/>
    <s v="Not Sampled"/>
    <n v="147"/>
    <m/>
    <m/>
    <m/>
    <m/>
    <m/>
    <m/>
    <m/>
    <m/>
    <s v="Negative"/>
    <s v="Not Sampled"/>
    <s v="Not Sampled"/>
  </r>
  <r>
    <x v="7"/>
    <x v="83"/>
    <x v="4"/>
    <x v="2"/>
    <x v="0"/>
    <x v="47"/>
    <x v="135"/>
    <x v="39"/>
    <n v="0"/>
    <s v="Not Sampled"/>
    <n v="148"/>
    <m/>
    <m/>
    <m/>
    <m/>
    <m/>
    <m/>
    <m/>
    <m/>
    <s v="Negative"/>
    <s v="Not Sampled"/>
    <s v="Not Sampled"/>
  </r>
  <r>
    <x v="0"/>
    <x v="30"/>
    <x v="9"/>
    <x v="6"/>
    <x v="0"/>
    <x v="30"/>
    <x v="136"/>
    <x v="11"/>
    <n v="0"/>
    <s v="Not Sampled"/>
    <n v="149"/>
    <m/>
    <m/>
    <m/>
    <m/>
    <m/>
    <m/>
    <m/>
    <m/>
    <s v="Negative"/>
    <s v="Not Sampled"/>
    <s v="Not Sampled"/>
  </r>
  <r>
    <x v="2"/>
    <x v="60"/>
    <x v="10"/>
    <x v="37"/>
    <x v="58"/>
    <x v="83"/>
    <x v="137"/>
    <x v="3"/>
    <n v="0"/>
    <s v="Not Sampled"/>
    <n v="150"/>
    <m/>
    <m/>
    <m/>
    <m/>
    <m/>
    <m/>
    <m/>
    <m/>
    <s v="Negative"/>
    <s v="Not Sampled"/>
    <s v="Not Sampled"/>
  </r>
  <r>
    <x v="3"/>
    <x v="48"/>
    <x v="7"/>
    <x v="2"/>
    <x v="0"/>
    <x v="101"/>
    <x v="138"/>
    <x v="26"/>
    <n v="0"/>
    <s v="Not Sampled"/>
    <n v="151"/>
    <m/>
    <m/>
    <m/>
    <m/>
    <m/>
    <m/>
    <m/>
    <m/>
    <s v="Negative"/>
    <s v="Not Sampled"/>
    <s v="Not Sampled"/>
  </r>
  <r>
    <x v="11"/>
    <x v="84"/>
    <x v="24"/>
    <x v="7"/>
    <x v="59"/>
    <x v="82"/>
    <x v="139"/>
    <x v="8"/>
    <n v="1"/>
    <s v="Not Sampled"/>
    <n v="152"/>
    <m/>
    <m/>
    <m/>
    <m/>
    <m/>
    <m/>
    <m/>
    <m/>
    <s v="Positive"/>
    <s v="Not Sampled"/>
    <s v="Not Sampled"/>
  </r>
  <r>
    <x v="2"/>
    <x v="85"/>
    <x v="1"/>
    <x v="3"/>
    <x v="60"/>
    <x v="102"/>
    <x v="140"/>
    <x v="1"/>
    <n v="0"/>
    <s v="Not Sampled"/>
    <n v="153"/>
    <m/>
    <m/>
    <m/>
    <m/>
    <m/>
    <m/>
    <m/>
    <m/>
    <s v="Negative"/>
    <s v="Not Sampled"/>
    <s v="Not Sampled"/>
  </r>
  <r>
    <x v="4"/>
    <x v="86"/>
    <x v="4"/>
    <x v="2"/>
    <x v="0"/>
    <x v="103"/>
    <x v="141"/>
    <x v="33"/>
    <n v="1"/>
    <s v="Not Sampled"/>
    <n v="154"/>
    <m/>
    <m/>
    <m/>
    <m/>
    <m/>
    <m/>
    <m/>
    <m/>
    <s v="Positive"/>
    <s v="Not Sampled"/>
    <s v="Not Sampled"/>
  </r>
  <r>
    <x v="8"/>
    <x v="87"/>
    <x v="21"/>
    <x v="38"/>
    <x v="0"/>
    <x v="104"/>
    <x v="142"/>
    <x v="31"/>
    <n v="1"/>
    <s v="Not Sampled"/>
    <n v="155"/>
    <m/>
    <m/>
    <m/>
    <m/>
    <m/>
    <m/>
    <m/>
    <m/>
    <s v="Positive"/>
    <s v="Not Sampled"/>
    <s v="Not Sampled"/>
  </r>
  <r>
    <x v="0"/>
    <x v="6"/>
    <x v="33"/>
    <x v="11"/>
    <x v="48"/>
    <x v="66"/>
    <x v="143"/>
    <x v="4"/>
    <n v="0"/>
    <s v="Not Sampled"/>
    <n v="156"/>
    <m/>
    <m/>
    <m/>
    <m/>
    <m/>
    <m/>
    <m/>
    <m/>
    <s v="Negative"/>
    <s v="Not Sampled"/>
    <s v="Not Sampled"/>
  </r>
  <r>
    <x v="2"/>
    <x v="49"/>
    <x v="20"/>
    <x v="23"/>
    <x v="42"/>
    <x v="18"/>
    <x v="144"/>
    <x v="1"/>
    <n v="0"/>
    <s v="Not Sampled"/>
    <n v="157"/>
    <m/>
    <m/>
    <m/>
    <m/>
    <m/>
    <m/>
    <m/>
    <m/>
    <s v="Negative"/>
    <s v="Not Sampled"/>
    <s v="Not Sampled"/>
  </r>
  <r>
    <x v="0"/>
    <x v="40"/>
    <x v="10"/>
    <x v="13"/>
    <x v="61"/>
    <x v="55"/>
    <x v="145"/>
    <x v="11"/>
    <n v="0"/>
    <n v="0"/>
    <n v="158"/>
    <m/>
    <m/>
    <m/>
    <m/>
    <m/>
    <m/>
    <m/>
    <m/>
    <s v="Negative"/>
    <s v="Negative"/>
    <s v="Accurate Prediction"/>
  </r>
  <r>
    <x v="15"/>
    <x v="26"/>
    <x v="5"/>
    <x v="4"/>
    <x v="62"/>
    <x v="105"/>
    <x v="146"/>
    <x v="0"/>
    <n v="1"/>
    <s v="Not Sampled"/>
    <n v="159"/>
    <m/>
    <m/>
    <m/>
    <m/>
    <m/>
    <m/>
    <m/>
    <m/>
    <s v="Positive"/>
    <s v="Not Sampled"/>
    <s v="Not Sampled"/>
  </r>
  <r>
    <x v="3"/>
    <x v="68"/>
    <x v="8"/>
    <x v="9"/>
    <x v="0"/>
    <x v="27"/>
    <x v="6"/>
    <x v="31"/>
    <n v="0"/>
    <s v="Not Sampled"/>
    <n v="160"/>
    <m/>
    <m/>
    <m/>
    <m/>
    <m/>
    <m/>
    <m/>
    <m/>
    <s v="Negative"/>
    <s v="Not Sampled"/>
    <s v="Not Sampled"/>
  </r>
  <r>
    <x v="8"/>
    <x v="29"/>
    <x v="10"/>
    <x v="32"/>
    <x v="16"/>
    <x v="19"/>
    <x v="147"/>
    <x v="10"/>
    <n v="0"/>
    <n v="0"/>
    <n v="161"/>
    <m/>
    <m/>
    <m/>
    <m/>
    <m/>
    <m/>
    <m/>
    <m/>
    <s v="Negative"/>
    <s v="Negative"/>
    <s v="Accurate Prediction"/>
  </r>
  <r>
    <x v="1"/>
    <x v="48"/>
    <x v="6"/>
    <x v="24"/>
    <x v="63"/>
    <x v="2"/>
    <x v="148"/>
    <x v="23"/>
    <n v="0"/>
    <s v="Not Sampled"/>
    <n v="162"/>
    <m/>
    <m/>
    <m/>
    <m/>
    <m/>
    <m/>
    <m/>
    <m/>
    <s v="Negative"/>
    <s v="Not Sampled"/>
    <s v="Not Sampled"/>
  </r>
  <r>
    <x v="0"/>
    <x v="45"/>
    <x v="11"/>
    <x v="17"/>
    <x v="0"/>
    <x v="27"/>
    <x v="149"/>
    <x v="4"/>
    <n v="0"/>
    <s v="Not Sampled"/>
    <n v="163"/>
    <m/>
    <m/>
    <m/>
    <m/>
    <m/>
    <m/>
    <m/>
    <m/>
    <s v="Negative"/>
    <s v="Not Sampled"/>
    <s v="Not Sampled"/>
  </r>
  <r>
    <x v="1"/>
    <x v="55"/>
    <x v="21"/>
    <x v="2"/>
    <x v="0"/>
    <x v="31"/>
    <x v="150"/>
    <x v="32"/>
    <n v="1"/>
    <s v="Not Sampled"/>
    <n v="164"/>
    <m/>
    <m/>
    <m/>
    <m/>
    <m/>
    <m/>
    <m/>
    <m/>
    <s v="Positive"/>
    <s v="Not Sampled"/>
    <s v="Not Sampled"/>
  </r>
  <r>
    <x v="6"/>
    <x v="88"/>
    <x v="10"/>
    <x v="10"/>
    <x v="64"/>
    <x v="106"/>
    <x v="151"/>
    <x v="17"/>
    <n v="1"/>
    <n v="0"/>
    <n v="165"/>
    <m/>
    <m/>
    <m/>
    <m/>
    <m/>
    <m/>
    <m/>
    <m/>
    <s v="Positive"/>
    <s v="Negative"/>
    <s v="Inaccurate Prediction"/>
  </r>
  <r>
    <x v="5"/>
    <x v="89"/>
    <x v="19"/>
    <x v="14"/>
    <x v="0"/>
    <x v="56"/>
    <x v="152"/>
    <x v="11"/>
    <n v="0"/>
    <s v="Not Sampled"/>
    <n v="166"/>
    <m/>
    <m/>
    <m/>
    <m/>
    <m/>
    <m/>
    <m/>
    <m/>
    <s v="Negative"/>
    <s v="Not Sampled"/>
    <s v="Not Sampled"/>
  </r>
  <r>
    <x v="3"/>
    <x v="24"/>
    <x v="3"/>
    <x v="2"/>
    <x v="0"/>
    <x v="107"/>
    <x v="153"/>
    <x v="34"/>
    <n v="0"/>
    <n v="0"/>
    <n v="167"/>
    <m/>
    <m/>
    <m/>
    <m/>
    <m/>
    <m/>
    <m/>
    <m/>
    <s v="Negative"/>
    <s v="Negative"/>
    <s v="Accurate Prediction"/>
  </r>
  <r>
    <x v="3"/>
    <x v="13"/>
    <x v="19"/>
    <x v="2"/>
    <x v="0"/>
    <x v="108"/>
    <x v="154"/>
    <x v="29"/>
    <n v="0"/>
    <s v="Not Sampled"/>
    <n v="168"/>
    <m/>
    <m/>
    <m/>
    <m/>
    <m/>
    <m/>
    <m/>
    <m/>
    <s v="Negative"/>
    <s v="Not Sampled"/>
    <s v="Not Sampled"/>
  </r>
  <r>
    <x v="5"/>
    <x v="31"/>
    <x v="8"/>
    <x v="39"/>
    <x v="65"/>
    <x v="109"/>
    <x v="155"/>
    <x v="29"/>
    <n v="0"/>
    <n v="0"/>
    <n v="169"/>
    <m/>
    <m/>
    <m/>
    <m/>
    <m/>
    <m/>
    <m/>
    <m/>
    <s v="Negative"/>
    <s v="Negative"/>
    <s v="Accurate Prediction"/>
  </r>
  <r>
    <x v="6"/>
    <x v="29"/>
    <x v="1"/>
    <x v="2"/>
    <x v="0"/>
    <x v="98"/>
    <x v="156"/>
    <x v="31"/>
    <n v="1"/>
    <s v="Not Sampled"/>
    <n v="170"/>
    <m/>
    <m/>
    <m/>
    <m/>
    <m/>
    <m/>
    <m/>
    <m/>
    <s v="Positive"/>
    <s v="Not Sampled"/>
    <s v="Not Sampled"/>
  </r>
  <r>
    <x v="6"/>
    <x v="63"/>
    <x v="9"/>
    <x v="17"/>
    <x v="66"/>
    <x v="110"/>
    <x v="157"/>
    <x v="29"/>
    <n v="1"/>
    <s v="Not Sampled"/>
    <n v="171"/>
    <m/>
    <m/>
    <m/>
    <m/>
    <m/>
    <m/>
    <m/>
    <m/>
    <s v="Positive"/>
    <s v="Not Sampled"/>
    <s v="Not Sampled"/>
  </r>
  <r>
    <x v="0"/>
    <x v="90"/>
    <x v="2"/>
    <x v="17"/>
    <x v="0"/>
    <x v="11"/>
    <x v="158"/>
    <x v="14"/>
    <n v="0"/>
    <s v="Not Sampled"/>
    <n v="172"/>
    <m/>
    <m/>
    <m/>
    <m/>
    <m/>
    <m/>
    <m/>
    <m/>
    <s v="Negative"/>
    <s v="Not Sampled"/>
    <s v="Not Sampled"/>
  </r>
  <r>
    <x v="2"/>
    <x v="53"/>
    <x v="12"/>
    <x v="3"/>
    <x v="35"/>
    <x v="111"/>
    <x v="159"/>
    <x v="1"/>
    <n v="0"/>
    <s v="Not Sampled"/>
    <n v="173"/>
    <m/>
    <m/>
    <m/>
    <m/>
    <m/>
    <m/>
    <m/>
    <m/>
    <s v="Negative"/>
    <s v="Not Sampled"/>
    <s v="Not Sampled"/>
  </r>
  <r>
    <x v="0"/>
    <x v="21"/>
    <x v="11"/>
    <x v="20"/>
    <x v="67"/>
    <x v="27"/>
    <x v="74"/>
    <x v="9"/>
    <n v="0"/>
    <s v="Not Sampled"/>
    <n v="174"/>
    <m/>
    <m/>
    <m/>
    <m/>
    <m/>
    <m/>
    <m/>
    <m/>
    <s v="Negative"/>
    <s v="Not Sampled"/>
    <s v="Not Sampled"/>
  </r>
  <r>
    <x v="4"/>
    <x v="91"/>
    <x v="5"/>
    <x v="3"/>
    <x v="66"/>
    <x v="112"/>
    <x v="160"/>
    <x v="31"/>
    <n v="1"/>
    <s v="Not Sampled"/>
    <n v="175"/>
    <m/>
    <m/>
    <m/>
    <m/>
    <m/>
    <m/>
    <m/>
    <m/>
    <s v="Positive"/>
    <s v="Not Sampled"/>
    <s v="Not Sampled"/>
  </r>
  <r>
    <x v="6"/>
    <x v="69"/>
    <x v="4"/>
    <x v="2"/>
    <x v="0"/>
    <x v="84"/>
    <x v="161"/>
    <x v="8"/>
    <n v="0"/>
    <s v="Not Sampled"/>
    <n v="176"/>
    <m/>
    <m/>
    <m/>
    <m/>
    <m/>
    <m/>
    <m/>
    <m/>
    <s v="Negative"/>
    <s v="Not Sampled"/>
    <s v="Not Sampled"/>
  </r>
  <r>
    <x v="1"/>
    <x v="52"/>
    <x v="18"/>
    <x v="40"/>
    <x v="66"/>
    <x v="113"/>
    <x v="162"/>
    <x v="25"/>
    <n v="1"/>
    <n v="1"/>
    <n v="177"/>
    <m/>
    <m/>
    <m/>
    <m/>
    <m/>
    <m/>
    <m/>
    <m/>
    <s v="Positive"/>
    <s v="Positive"/>
    <s v="Accurate Prediction"/>
  </r>
  <r>
    <x v="7"/>
    <x v="92"/>
    <x v="4"/>
    <x v="2"/>
    <x v="0"/>
    <x v="114"/>
    <x v="163"/>
    <x v="0"/>
    <n v="0"/>
    <s v="Not Sampled"/>
    <n v="178"/>
    <m/>
    <m/>
    <m/>
    <m/>
    <m/>
    <m/>
    <m/>
    <m/>
    <s v="Negative"/>
    <s v="Not Sampled"/>
    <s v="Not Sampled"/>
  </r>
  <r>
    <x v="7"/>
    <x v="23"/>
    <x v="1"/>
    <x v="2"/>
    <x v="0"/>
    <x v="44"/>
    <x v="164"/>
    <x v="26"/>
    <n v="1"/>
    <s v="Not Sampled"/>
    <n v="179"/>
    <m/>
    <m/>
    <m/>
    <m/>
    <m/>
    <m/>
    <m/>
    <m/>
    <s v="Positive"/>
    <s v="Not Sampled"/>
    <s v="Not Sampled"/>
  </r>
  <r>
    <x v="6"/>
    <x v="90"/>
    <x v="6"/>
    <x v="2"/>
    <x v="0"/>
    <x v="87"/>
    <x v="165"/>
    <x v="32"/>
    <n v="0"/>
    <s v="Not Sampled"/>
    <n v="180"/>
    <m/>
    <m/>
    <m/>
    <m/>
    <m/>
    <m/>
    <m/>
    <m/>
    <s v="Negative"/>
    <s v="Not Sampled"/>
    <s v="Not Sampled"/>
  </r>
  <r>
    <x v="1"/>
    <x v="93"/>
    <x v="11"/>
    <x v="10"/>
    <x v="53"/>
    <x v="115"/>
    <x v="166"/>
    <x v="1"/>
    <n v="0"/>
    <n v="0"/>
    <n v="181"/>
    <m/>
    <m/>
    <m/>
    <m/>
    <m/>
    <m/>
    <m/>
    <m/>
    <s v="Negative"/>
    <s v="Negative"/>
    <s v="Accurate Prediction"/>
  </r>
  <r>
    <x v="2"/>
    <x v="18"/>
    <x v="10"/>
    <x v="28"/>
    <x v="23"/>
    <x v="116"/>
    <x v="167"/>
    <x v="4"/>
    <n v="0"/>
    <s v="Not Sampled"/>
    <n v="182"/>
    <m/>
    <m/>
    <m/>
    <m/>
    <m/>
    <m/>
    <m/>
    <m/>
    <s v="Negative"/>
    <s v="Not Sampled"/>
    <s v="Not Sampled"/>
  </r>
  <r>
    <x v="7"/>
    <x v="43"/>
    <x v="12"/>
    <x v="2"/>
    <x v="0"/>
    <x v="90"/>
    <x v="32"/>
    <x v="23"/>
    <n v="0"/>
    <s v="Not Sampled"/>
    <n v="183"/>
    <m/>
    <m/>
    <m/>
    <m/>
    <m/>
    <m/>
    <m/>
    <m/>
    <s v="Negative"/>
    <s v="Not Sampled"/>
    <s v="Not Sampled"/>
  </r>
  <r>
    <x v="3"/>
    <x v="47"/>
    <x v="10"/>
    <x v="2"/>
    <x v="0"/>
    <x v="32"/>
    <x v="168"/>
    <x v="18"/>
    <n v="0"/>
    <s v="Not Sampled"/>
    <n v="184"/>
    <m/>
    <m/>
    <m/>
    <m/>
    <m/>
    <m/>
    <m/>
    <m/>
    <s v="Negative"/>
    <s v="Not Sampled"/>
    <s v="Not Sampled"/>
  </r>
  <r>
    <x v="8"/>
    <x v="7"/>
    <x v="3"/>
    <x v="7"/>
    <x v="0"/>
    <x v="117"/>
    <x v="169"/>
    <x v="17"/>
    <n v="1"/>
    <s v="Not Sampled"/>
    <n v="185"/>
    <m/>
    <m/>
    <m/>
    <m/>
    <m/>
    <m/>
    <m/>
    <m/>
    <s v="Positive"/>
    <s v="Not Sampled"/>
    <s v="Not Sampled"/>
  </r>
  <r>
    <x v="4"/>
    <x v="94"/>
    <x v="3"/>
    <x v="35"/>
    <x v="43"/>
    <x v="15"/>
    <x v="170"/>
    <x v="35"/>
    <n v="1"/>
    <n v="1"/>
    <n v="186"/>
    <m/>
    <m/>
    <m/>
    <m/>
    <m/>
    <m/>
    <m/>
    <m/>
    <s v="Positive"/>
    <s v="Positive"/>
    <s v="Accurate Prediction"/>
  </r>
  <r>
    <x v="2"/>
    <x v="80"/>
    <x v="34"/>
    <x v="4"/>
    <x v="68"/>
    <x v="61"/>
    <x v="171"/>
    <x v="9"/>
    <n v="1"/>
    <s v="Not Sampled"/>
    <n v="187"/>
    <m/>
    <m/>
    <m/>
    <m/>
    <m/>
    <m/>
    <m/>
    <m/>
    <s v="Positive"/>
    <s v="Not Sampled"/>
    <s v="Not Sampled"/>
  </r>
  <r>
    <x v="4"/>
    <x v="49"/>
    <x v="15"/>
    <x v="15"/>
    <x v="62"/>
    <x v="94"/>
    <x v="172"/>
    <x v="2"/>
    <n v="1"/>
    <s v="Not Sampled"/>
    <n v="188"/>
    <m/>
    <m/>
    <m/>
    <m/>
    <m/>
    <m/>
    <m/>
    <m/>
    <s v="Positive"/>
    <s v="Not Sampled"/>
    <s v="Not Sampled"/>
  </r>
  <r>
    <x v="7"/>
    <x v="4"/>
    <x v="6"/>
    <x v="0"/>
    <x v="69"/>
    <x v="31"/>
    <x v="120"/>
    <x v="14"/>
    <n v="1"/>
    <s v="Not Sampled"/>
    <n v="189"/>
    <m/>
    <m/>
    <m/>
    <m/>
    <m/>
    <m/>
    <m/>
    <m/>
    <s v="Positive"/>
    <s v="Not Sampled"/>
    <s v="Not Sampled"/>
  </r>
  <r>
    <x v="5"/>
    <x v="31"/>
    <x v="0"/>
    <x v="2"/>
    <x v="0"/>
    <x v="118"/>
    <x v="173"/>
    <x v="4"/>
    <n v="0"/>
    <n v="0"/>
    <n v="190"/>
    <m/>
    <m/>
    <m/>
    <m/>
    <m/>
    <m/>
    <m/>
    <m/>
    <s v="Negative"/>
    <s v="Negative"/>
    <s v="Accurate Prediction"/>
  </r>
  <r>
    <x v="11"/>
    <x v="62"/>
    <x v="9"/>
    <x v="38"/>
    <x v="48"/>
    <x v="119"/>
    <x v="174"/>
    <x v="18"/>
    <n v="0"/>
    <s v="Not Sampled"/>
    <n v="191"/>
    <m/>
    <m/>
    <m/>
    <m/>
    <m/>
    <m/>
    <m/>
    <m/>
    <s v="Negative"/>
    <s v="Not Sampled"/>
    <s v="Not Sampled"/>
  </r>
  <r>
    <x v="8"/>
    <x v="35"/>
    <x v="19"/>
    <x v="2"/>
    <x v="0"/>
    <x v="25"/>
    <x v="175"/>
    <x v="31"/>
    <n v="1"/>
    <n v="1"/>
    <n v="192"/>
    <m/>
    <m/>
    <m/>
    <m/>
    <m/>
    <m/>
    <m/>
    <m/>
    <s v="Positive"/>
    <s v="Positive"/>
    <s v="Accurate Prediction"/>
  </r>
  <r>
    <x v="12"/>
    <x v="3"/>
    <x v="2"/>
    <x v="2"/>
    <x v="0"/>
    <x v="120"/>
    <x v="176"/>
    <x v="18"/>
    <n v="1"/>
    <s v="Not Sampled"/>
    <n v="193"/>
    <m/>
    <m/>
    <m/>
    <m/>
    <m/>
    <m/>
    <m/>
    <m/>
    <s v="Positive"/>
    <s v="Not Sampled"/>
    <s v="Not Sampled"/>
  </r>
  <r>
    <x v="4"/>
    <x v="69"/>
    <x v="29"/>
    <x v="28"/>
    <x v="0"/>
    <x v="46"/>
    <x v="177"/>
    <x v="8"/>
    <n v="0"/>
    <n v="0"/>
    <n v="194"/>
    <m/>
    <m/>
    <m/>
    <m/>
    <m/>
    <m/>
    <m/>
    <m/>
    <s v="Negative"/>
    <s v="Negative"/>
    <s v="Accurate Prediction"/>
  </r>
  <r>
    <x v="7"/>
    <x v="95"/>
    <x v="16"/>
    <x v="4"/>
    <x v="14"/>
    <x v="121"/>
    <x v="178"/>
    <x v="29"/>
    <n v="1"/>
    <s v="Not Sampled"/>
    <n v="195"/>
    <m/>
    <m/>
    <m/>
    <m/>
    <m/>
    <m/>
    <m/>
    <m/>
    <s v="Positive"/>
    <s v="Not Sampled"/>
    <s v="Not Sampled"/>
  </r>
  <r>
    <x v="2"/>
    <x v="38"/>
    <x v="22"/>
    <x v="2"/>
    <x v="0"/>
    <x v="122"/>
    <x v="179"/>
    <x v="4"/>
    <n v="0"/>
    <s v="Not Sampled"/>
    <n v="196"/>
    <m/>
    <m/>
    <m/>
    <m/>
    <m/>
    <m/>
    <m/>
    <m/>
    <s v="Negative"/>
    <s v="Not Sampled"/>
    <s v="Not Sampled"/>
  </r>
  <r>
    <x v="5"/>
    <x v="61"/>
    <x v="0"/>
    <x v="27"/>
    <x v="35"/>
    <x v="123"/>
    <x v="159"/>
    <x v="1"/>
    <n v="1"/>
    <s v="Not Sampled"/>
    <n v="197"/>
    <m/>
    <m/>
    <m/>
    <m/>
    <m/>
    <m/>
    <m/>
    <m/>
    <s v="Positive"/>
    <s v="Not Sampled"/>
    <s v="Not Sampled"/>
  </r>
  <r>
    <x v="3"/>
    <x v="49"/>
    <x v="11"/>
    <x v="38"/>
    <x v="47"/>
    <x v="124"/>
    <x v="180"/>
    <x v="25"/>
    <n v="1"/>
    <s v="Not Sampled"/>
    <n v="198"/>
    <m/>
    <m/>
    <m/>
    <m/>
    <m/>
    <m/>
    <m/>
    <m/>
    <s v="Positive"/>
    <s v="Not Sampled"/>
    <s v="Not Sampled"/>
  </r>
  <r>
    <x v="3"/>
    <x v="89"/>
    <x v="12"/>
    <x v="21"/>
    <x v="70"/>
    <x v="125"/>
    <x v="181"/>
    <x v="29"/>
    <n v="1"/>
    <s v="Not Sampled"/>
    <n v="199"/>
    <m/>
    <m/>
    <m/>
    <m/>
    <m/>
    <m/>
    <m/>
    <m/>
    <s v="Positive"/>
    <s v="Not Sampled"/>
    <s v="Not Sampled"/>
  </r>
  <r>
    <x v="1"/>
    <x v="57"/>
    <x v="6"/>
    <x v="41"/>
    <x v="0"/>
    <x v="126"/>
    <x v="182"/>
    <x v="4"/>
    <n v="0"/>
    <s v="Not Sampled"/>
    <n v="200"/>
    <m/>
    <m/>
    <m/>
    <m/>
    <m/>
    <m/>
    <m/>
    <m/>
    <s v="Negative"/>
    <s v="Not Sampled"/>
    <s v="Not Sampled"/>
  </r>
  <r>
    <x v="2"/>
    <x v="0"/>
    <x v="1"/>
    <x v="2"/>
    <x v="0"/>
    <x v="127"/>
    <x v="183"/>
    <x v="6"/>
    <n v="0"/>
    <n v="0"/>
    <n v="201"/>
    <m/>
    <m/>
    <m/>
    <m/>
    <m/>
    <m/>
    <m/>
    <m/>
    <s v="Negative"/>
    <s v="Negative"/>
    <s v="Accurate Prediction"/>
  </r>
  <r>
    <x v="1"/>
    <x v="81"/>
    <x v="3"/>
    <x v="28"/>
    <x v="0"/>
    <x v="30"/>
    <x v="184"/>
    <x v="32"/>
    <n v="0"/>
    <n v="0"/>
    <n v="202"/>
    <m/>
    <m/>
    <m/>
    <m/>
    <m/>
    <m/>
    <m/>
    <m/>
    <s v="Negative"/>
    <s v="Negative"/>
    <s v="Accurate Prediction"/>
  </r>
  <r>
    <x v="0"/>
    <x v="6"/>
    <x v="9"/>
    <x v="41"/>
    <x v="71"/>
    <x v="76"/>
    <x v="41"/>
    <x v="23"/>
    <n v="0"/>
    <s v="Not Sampled"/>
    <n v="203"/>
    <m/>
    <m/>
    <m/>
    <m/>
    <m/>
    <m/>
    <m/>
    <m/>
    <s v="Negative"/>
    <s v="Not Sampled"/>
    <s v="Not Sampled"/>
  </r>
  <r>
    <x v="6"/>
    <x v="28"/>
    <x v="5"/>
    <x v="5"/>
    <x v="72"/>
    <x v="50"/>
    <x v="82"/>
    <x v="15"/>
    <n v="0"/>
    <s v="Not Sampled"/>
    <n v="204"/>
    <m/>
    <m/>
    <m/>
    <m/>
    <m/>
    <m/>
    <m/>
    <m/>
    <s v="Negative"/>
    <s v="Not Sampled"/>
    <s v="Not Sampled"/>
  </r>
  <r>
    <x v="7"/>
    <x v="31"/>
    <x v="5"/>
    <x v="7"/>
    <x v="0"/>
    <x v="128"/>
    <x v="185"/>
    <x v="23"/>
    <n v="0"/>
    <s v="Not Sampled"/>
    <n v="205"/>
    <m/>
    <m/>
    <m/>
    <m/>
    <m/>
    <m/>
    <m/>
    <m/>
    <s v="Negative"/>
    <s v="Not Sampled"/>
    <s v="Not Sampled"/>
  </r>
  <r>
    <x v="4"/>
    <x v="96"/>
    <x v="15"/>
    <x v="30"/>
    <x v="73"/>
    <x v="129"/>
    <x v="186"/>
    <x v="40"/>
    <n v="1"/>
    <s v="Not Sampled"/>
    <n v="206"/>
    <m/>
    <m/>
    <m/>
    <m/>
    <m/>
    <m/>
    <m/>
    <m/>
    <s v="Positive"/>
    <s v="Not Sampled"/>
    <s v="Not Sampled"/>
  </r>
  <r>
    <x v="7"/>
    <x v="76"/>
    <x v="35"/>
    <x v="2"/>
    <x v="0"/>
    <x v="50"/>
    <x v="187"/>
    <x v="41"/>
    <n v="1"/>
    <s v="Not Sampled"/>
    <n v="207"/>
    <m/>
    <m/>
    <m/>
    <m/>
    <m/>
    <m/>
    <m/>
    <m/>
    <s v="Positive"/>
    <s v="Not Sampled"/>
    <s v="Not Sampled"/>
  </r>
  <r>
    <x v="2"/>
    <x v="20"/>
    <x v="11"/>
    <x v="21"/>
    <x v="74"/>
    <x v="34"/>
    <x v="188"/>
    <x v="4"/>
    <n v="0"/>
    <s v="Not Sampled"/>
    <n v="208"/>
    <m/>
    <m/>
    <m/>
    <m/>
    <m/>
    <m/>
    <m/>
    <m/>
    <s v="Negative"/>
    <s v="Not Sampled"/>
    <s v="Not Sampled"/>
  </r>
  <r>
    <x v="8"/>
    <x v="97"/>
    <x v="16"/>
    <x v="12"/>
    <x v="0"/>
    <x v="130"/>
    <x v="189"/>
    <x v="17"/>
    <n v="1"/>
    <s v="Not Sampled"/>
    <n v="209"/>
    <m/>
    <m/>
    <m/>
    <m/>
    <m/>
    <m/>
    <m/>
    <m/>
    <s v="Positive"/>
    <s v="Not Sampled"/>
    <s v="Not Sampled"/>
  </r>
  <r>
    <x v="0"/>
    <x v="14"/>
    <x v="12"/>
    <x v="29"/>
    <x v="0"/>
    <x v="116"/>
    <x v="190"/>
    <x v="14"/>
    <n v="0"/>
    <s v="Not Sampled"/>
    <n v="210"/>
    <m/>
    <m/>
    <m/>
    <m/>
    <m/>
    <m/>
    <m/>
    <m/>
    <s v="Negative"/>
    <s v="Not Sampled"/>
    <s v="Not Sampled"/>
  </r>
  <r>
    <x v="1"/>
    <x v="83"/>
    <x v="23"/>
    <x v="31"/>
    <x v="0"/>
    <x v="131"/>
    <x v="191"/>
    <x v="3"/>
    <n v="0"/>
    <s v="Not Sampled"/>
    <n v="211"/>
    <m/>
    <m/>
    <m/>
    <m/>
    <m/>
    <m/>
    <m/>
    <m/>
    <s v="Negative"/>
    <s v="Not Sampled"/>
    <s v="Not Sampled"/>
  </r>
  <r>
    <x v="8"/>
    <x v="91"/>
    <x v="36"/>
    <x v="1"/>
    <x v="0"/>
    <x v="89"/>
    <x v="192"/>
    <x v="35"/>
    <n v="0"/>
    <s v="Not Sampled"/>
    <n v="212"/>
    <m/>
    <m/>
    <m/>
    <m/>
    <m/>
    <m/>
    <m/>
    <m/>
    <s v="Negative"/>
    <s v="Not Sampled"/>
    <s v="Not Sampled"/>
  </r>
  <r>
    <x v="1"/>
    <x v="98"/>
    <x v="7"/>
    <x v="16"/>
    <x v="66"/>
    <x v="132"/>
    <x v="193"/>
    <x v="3"/>
    <n v="1"/>
    <s v="Not Sampled"/>
    <n v="213"/>
    <m/>
    <m/>
    <m/>
    <m/>
    <m/>
    <m/>
    <m/>
    <m/>
    <s v="Positive"/>
    <s v="Not Sampled"/>
    <s v="Not Sampled"/>
  </r>
  <r>
    <x v="11"/>
    <x v="56"/>
    <x v="1"/>
    <x v="5"/>
    <x v="45"/>
    <x v="89"/>
    <x v="112"/>
    <x v="31"/>
    <n v="1"/>
    <s v="Not Sampled"/>
    <n v="214"/>
    <m/>
    <m/>
    <m/>
    <m/>
    <m/>
    <m/>
    <m/>
    <m/>
    <s v="Positive"/>
    <s v="Not Sampled"/>
    <s v="Not Sampled"/>
  </r>
  <r>
    <x v="10"/>
    <x v="68"/>
    <x v="9"/>
    <x v="32"/>
    <x v="75"/>
    <x v="133"/>
    <x v="194"/>
    <x v="19"/>
    <n v="1"/>
    <s v="Not Sampled"/>
    <n v="215"/>
    <m/>
    <m/>
    <m/>
    <m/>
    <m/>
    <m/>
    <m/>
    <m/>
    <s v="Positive"/>
    <s v="Not Sampled"/>
    <s v="Not Sampled"/>
  </r>
  <r>
    <x v="7"/>
    <x v="49"/>
    <x v="0"/>
    <x v="4"/>
    <x v="76"/>
    <x v="134"/>
    <x v="195"/>
    <x v="14"/>
    <n v="1"/>
    <s v="Not Sampled"/>
    <n v="216"/>
    <m/>
    <m/>
    <m/>
    <m/>
    <m/>
    <m/>
    <m/>
    <m/>
    <s v="Positive"/>
    <s v="Not Sampled"/>
    <s v="Not Sampled"/>
  </r>
  <r>
    <x v="6"/>
    <x v="10"/>
    <x v="3"/>
    <x v="8"/>
    <x v="77"/>
    <x v="135"/>
    <x v="196"/>
    <x v="32"/>
    <n v="0"/>
    <s v="Not Sampled"/>
    <n v="217"/>
    <m/>
    <m/>
    <m/>
    <m/>
    <m/>
    <m/>
    <m/>
    <m/>
    <s v="Negative"/>
    <s v="Not Sampled"/>
    <s v="Not Sampled"/>
  </r>
  <r>
    <x v="7"/>
    <x v="69"/>
    <x v="10"/>
    <x v="29"/>
    <x v="0"/>
    <x v="55"/>
    <x v="197"/>
    <x v="32"/>
    <n v="1"/>
    <s v="Not Sampled"/>
    <n v="218"/>
    <m/>
    <m/>
    <m/>
    <m/>
    <m/>
    <m/>
    <m/>
    <m/>
    <s v="Positive"/>
    <s v="Not Sampled"/>
    <s v="Not Sampled"/>
  </r>
  <r>
    <x v="7"/>
    <x v="56"/>
    <x v="19"/>
    <x v="2"/>
    <x v="0"/>
    <x v="136"/>
    <x v="86"/>
    <x v="17"/>
    <n v="1"/>
    <s v="Not Sampled"/>
    <n v="219"/>
    <m/>
    <m/>
    <m/>
    <m/>
    <m/>
    <m/>
    <m/>
    <m/>
    <s v="Positive"/>
    <s v="Not Sampled"/>
    <s v="Not Sampled"/>
  </r>
  <r>
    <x v="1"/>
    <x v="99"/>
    <x v="12"/>
    <x v="30"/>
    <x v="78"/>
    <x v="137"/>
    <x v="198"/>
    <x v="4"/>
    <n v="1"/>
    <s v="Not Sampled"/>
    <n v="220"/>
    <m/>
    <m/>
    <m/>
    <m/>
    <m/>
    <m/>
    <m/>
    <m/>
    <s v="Positive"/>
    <s v="Not Sampled"/>
    <s v="Not Sampled"/>
  </r>
  <r>
    <x v="0"/>
    <x v="95"/>
    <x v="8"/>
    <x v="2"/>
    <x v="0"/>
    <x v="31"/>
    <x v="199"/>
    <x v="12"/>
    <n v="1"/>
    <s v="Not Sampled"/>
    <n v="221"/>
    <m/>
    <m/>
    <m/>
    <m/>
    <m/>
    <m/>
    <m/>
    <m/>
    <s v="Positive"/>
    <s v="Not Sampled"/>
    <s v="Not Sampled"/>
  </r>
  <r>
    <x v="8"/>
    <x v="93"/>
    <x v="2"/>
    <x v="2"/>
    <x v="0"/>
    <x v="18"/>
    <x v="200"/>
    <x v="26"/>
    <n v="0"/>
    <s v="Not Sampled"/>
    <n v="222"/>
    <m/>
    <m/>
    <m/>
    <m/>
    <m/>
    <m/>
    <m/>
    <m/>
    <s v="Negative"/>
    <s v="Not Sampled"/>
    <s v="Not Sampled"/>
  </r>
  <r>
    <x v="8"/>
    <x v="64"/>
    <x v="12"/>
    <x v="12"/>
    <x v="72"/>
    <x v="138"/>
    <x v="140"/>
    <x v="36"/>
    <n v="0"/>
    <n v="1"/>
    <n v="223"/>
    <m/>
    <m/>
    <m/>
    <m/>
    <m/>
    <m/>
    <m/>
    <m/>
    <s v="Negative"/>
    <s v="Positive"/>
    <s v="Inaccurate Prediction"/>
  </r>
  <r>
    <x v="2"/>
    <x v="45"/>
    <x v="19"/>
    <x v="11"/>
    <x v="79"/>
    <x v="139"/>
    <x v="201"/>
    <x v="25"/>
    <n v="0"/>
    <s v="Not Sampled"/>
    <n v="224"/>
    <m/>
    <m/>
    <m/>
    <m/>
    <m/>
    <m/>
    <m/>
    <m/>
    <s v="Negative"/>
    <s v="Not Sampled"/>
    <s v="Not Sampled"/>
  </r>
  <r>
    <x v="2"/>
    <x v="90"/>
    <x v="4"/>
    <x v="21"/>
    <x v="80"/>
    <x v="137"/>
    <x v="202"/>
    <x v="11"/>
    <n v="0"/>
    <s v="Not Sampled"/>
    <n v="225"/>
    <m/>
    <m/>
    <m/>
    <m/>
    <m/>
    <m/>
    <m/>
    <m/>
    <s v="Negative"/>
    <s v="Not Sampled"/>
    <s v="Not Sampled"/>
  </r>
  <r>
    <x v="1"/>
    <x v="39"/>
    <x v="15"/>
    <x v="2"/>
    <x v="0"/>
    <x v="140"/>
    <x v="203"/>
    <x v="25"/>
    <n v="0"/>
    <s v="Not Sampled"/>
    <n v="226"/>
    <m/>
    <m/>
    <m/>
    <m/>
    <m/>
    <m/>
    <m/>
    <m/>
    <s v="Negative"/>
    <s v="Not Sampled"/>
    <s v="Not Sampled"/>
  </r>
  <r>
    <x v="5"/>
    <x v="76"/>
    <x v="33"/>
    <x v="9"/>
    <x v="0"/>
    <x v="19"/>
    <x v="204"/>
    <x v="3"/>
    <n v="1"/>
    <n v="1"/>
    <n v="227"/>
    <m/>
    <m/>
    <m/>
    <m/>
    <m/>
    <m/>
    <m/>
    <m/>
    <s v="Positive"/>
    <s v="Positive"/>
    <s v="Accurate Prediction"/>
  </r>
  <r>
    <x v="3"/>
    <x v="100"/>
    <x v="9"/>
    <x v="15"/>
    <x v="81"/>
    <x v="141"/>
    <x v="205"/>
    <x v="2"/>
    <n v="0"/>
    <n v="1"/>
    <n v="228"/>
    <m/>
    <m/>
    <m/>
    <m/>
    <m/>
    <m/>
    <m/>
    <m/>
    <s v="Negative"/>
    <s v="Positive"/>
    <s v="Inaccurate Prediction"/>
  </r>
  <r>
    <x v="1"/>
    <x v="17"/>
    <x v="6"/>
    <x v="1"/>
    <x v="61"/>
    <x v="142"/>
    <x v="206"/>
    <x v="3"/>
    <n v="0"/>
    <s v="Not Sampled"/>
    <n v="229"/>
    <m/>
    <m/>
    <m/>
    <m/>
    <m/>
    <m/>
    <m/>
    <m/>
    <s v="Negative"/>
    <s v="Not Sampled"/>
    <s v="Not Sampled"/>
  </r>
  <r>
    <x v="3"/>
    <x v="64"/>
    <x v="24"/>
    <x v="2"/>
    <x v="0"/>
    <x v="143"/>
    <x v="207"/>
    <x v="11"/>
    <n v="1"/>
    <s v="Not Sampled"/>
    <n v="230"/>
    <m/>
    <m/>
    <m/>
    <m/>
    <m/>
    <m/>
    <m/>
    <m/>
    <s v="Positive"/>
    <s v="Not Sampled"/>
    <s v="Not Sampled"/>
  </r>
  <r>
    <x v="6"/>
    <x v="63"/>
    <x v="6"/>
    <x v="18"/>
    <x v="82"/>
    <x v="144"/>
    <x v="21"/>
    <x v="22"/>
    <n v="1"/>
    <n v="1"/>
    <n v="231"/>
    <m/>
    <m/>
    <m/>
    <m/>
    <m/>
    <m/>
    <m/>
    <m/>
    <s v="Positive"/>
    <s v="Positive"/>
    <s v="Accurate Prediction"/>
  </r>
  <r>
    <x v="2"/>
    <x v="53"/>
    <x v="6"/>
    <x v="14"/>
    <x v="44"/>
    <x v="54"/>
    <x v="69"/>
    <x v="11"/>
    <n v="0"/>
    <s v="Not Sampled"/>
    <n v="232"/>
    <m/>
    <m/>
    <m/>
    <m/>
    <m/>
    <m/>
    <m/>
    <m/>
    <s v="Negative"/>
    <s v="Not Sampled"/>
    <s v="Not Sampled"/>
  </r>
  <r>
    <x v="3"/>
    <x v="27"/>
    <x v="3"/>
    <x v="2"/>
    <x v="0"/>
    <x v="145"/>
    <x v="208"/>
    <x v="29"/>
    <n v="0"/>
    <n v="0"/>
    <n v="233"/>
    <m/>
    <m/>
    <m/>
    <m/>
    <m/>
    <m/>
    <m/>
    <m/>
    <s v="Negative"/>
    <s v="Negative"/>
    <s v="Accurate Prediction"/>
  </r>
  <r>
    <x v="5"/>
    <x v="58"/>
    <x v="3"/>
    <x v="7"/>
    <x v="83"/>
    <x v="27"/>
    <x v="209"/>
    <x v="1"/>
    <n v="0"/>
    <s v="Not Sampled"/>
    <n v="234"/>
    <m/>
    <m/>
    <m/>
    <m/>
    <m/>
    <m/>
    <m/>
    <m/>
    <s v="Negative"/>
    <s v="Not Sampled"/>
    <s v="Not Sampled"/>
  </r>
  <r>
    <x v="3"/>
    <x v="34"/>
    <x v="5"/>
    <x v="2"/>
    <x v="0"/>
    <x v="146"/>
    <x v="210"/>
    <x v="25"/>
    <n v="1"/>
    <s v="Not Sampled"/>
    <n v="235"/>
    <m/>
    <m/>
    <m/>
    <m/>
    <m/>
    <m/>
    <m/>
    <m/>
    <s v="Positive"/>
    <s v="Not Sampled"/>
    <s v="Not Sampled"/>
  </r>
  <r>
    <x v="8"/>
    <x v="94"/>
    <x v="16"/>
    <x v="23"/>
    <x v="17"/>
    <x v="117"/>
    <x v="45"/>
    <x v="42"/>
    <n v="1"/>
    <n v="1"/>
    <n v="236"/>
    <m/>
    <m/>
    <m/>
    <m/>
    <m/>
    <m/>
    <m/>
    <m/>
    <s v="Positive"/>
    <s v="Positive"/>
    <s v="Accurate Prediction"/>
  </r>
  <r>
    <x v="1"/>
    <x v="91"/>
    <x v="8"/>
    <x v="21"/>
    <x v="0"/>
    <x v="147"/>
    <x v="211"/>
    <x v="1"/>
    <n v="1"/>
    <s v="Not Sampled"/>
    <n v="237"/>
    <m/>
    <m/>
    <m/>
    <m/>
    <m/>
    <m/>
    <m/>
    <m/>
    <s v="Positive"/>
    <s v="Not Sampled"/>
    <s v="Not Sampled"/>
  </r>
  <r>
    <x v="11"/>
    <x v="101"/>
    <x v="16"/>
    <x v="23"/>
    <x v="0"/>
    <x v="98"/>
    <x v="212"/>
    <x v="32"/>
    <n v="1"/>
    <s v="Not Sampled"/>
    <n v="238"/>
    <m/>
    <m/>
    <m/>
    <m/>
    <m/>
    <m/>
    <m/>
    <m/>
    <s v="Positive"/>
    <s v="Not Sampled"/>
    <s v="Not Sampled"/>
  </r>
  <r>
    <x v="1"/>
    <x v="88"/>
    <x v="15"/>
    <x v="2"/>
    <x v="0"/>
    <x v="148"/>
    <x v="213"/>
    <x v="23"/>
    <n v="0"/>
    <s v="Not Sampled"/>
    <n v="239"/>
    <m/>
    <m/>
    <m/>
    <m/>
    <m/>
    <m/>
    <m/>
    <m/>
    <s v="Negative"/>
    <s v="Not Sampled"/>
    <s v="Not Sampled"/>
  </r>
  <r>
    <x v="2"/>
    <x v="25"/>
    <x v="11"/>
    <x v="20"/>
    <x v="0"/>
    <x v="149"/>
    <x v="105"/>
    <x v="4"/>
    <n v="0"/>
    <s v="Not Sampled"/>
    <n v="240"/>
    <m/>
    <m/>
    <m/>
    <m/>
    <m/>
    <m/>
    <m/>
    <m/>
    <s v="Negative"/>
    <s v="Not Sampled"/>
    <s v="Not Sampled"/>
  </r>
  <r>
    <x v="3"/>
    <x v="25"/>
    <x v="9"/>
    <x v="5"/>
    <x v="84"/>
    <x v="119"/>
    <x v="214"/>
    <x v="11"/>
    <n v="0"/>
    <n v="0"/>
    <n v="241"/>
    <m/>
    <m/>
    <m/>
    <m/>
    <m/>
    <m/>
    <m/>
    <m/>
    <s v="Negative"/>
    <s v="Negative"/>
    <s v="Accurate Prediction"/>
  </r>
  <r>
    <x v="5"/>
    <x v="4"/>
    <x v="14"/>
    <x v="2"/>
    <x v="0"/>
    <x v="6"/>
    <x v="215"/>
    <x v="11"/>
    <n v="1"/>
    <s v="Not Sampled"/>
    <n v="242"/>
    <m/>
    <m/>
    <m/>
    <m/>
    <m/>
    <m/>
    <m/>
    <m/>
    <s v="Positive"/>
    <s v="Not Sampled"/>
    <s v="Not Sampled"/>
  </r>
  <r>
    <x v="6"/>
    <x v="93"/>
    <x v="13"/>
    <x v="29"/>
    <x v="34"/>
    <x v="150"/>
    <x v="216"/>
    <x v="9"/>
    <n v="1"/>
    <s v="Not Sampled"/>
    <n v="243"/>
    <m/>
    <m/>
    <m/>
    <m/>
    <m/>
    <m/>
    <m/>
    <m/>
    <s v="Positive"/>
    <s v="Not Sampled"/>
    <s v="Not Sampled"/>
  </r>
  <r>
    <x v="0"/>
    <x v="36"/>
    <x v="15"/>
    <x v="0"/>
    <x v="85"/>
    <x v="1"/>
    <x v="217"/>
    <x v="29"/>
    <n v="0"/>
    <s v="Not Sampled"/>
    <n v="244"/>
    <m/>
    <m/>
    <m/>
    <m/>
    <m/>
    <m/>
    <m/>
    <m/>
    <s v="Negative"/>
    <s v="Not Sampled"/>
    <s v="Not Sampled"/>
  </r>
  <r>
    <x v="11"/>
    <x v="97"/>
    <x v="23"/>
    <x v="11"/>
    <x v="0"/>
    <x v="135"/>
    <x v="218"/>
    <x v="43"/>
    <n v="1"/>
    <s v="Not Sampled"/>
    <n v="245"/>
    <m/>
    <m/>
    <m/>
    <m/>
    <m/>
    <m/>
    <m/>
    <m/>
    <s v="Positive"/>
    <s v="Not Sampled"/>
    <s v="Not Sampled"/>
  </r>
  <r>
    <x v="9"/>
    <x v="27"/>
    <x v="3"/>
    <x v="2"/>
    <x v="0"/>
    <x v="84"/>
    <x v="61"/>
    <x v="17"/>
    <n v="0"/>
    <s v="Not Sampled"/>
    <n v="246"/>
    <m/>
    <m/>
    <m/>
    <m/>
    <m/>
    <m/>
    <m/>
    <m/>
    <s v="Negative"/>
    <s v="Not Sampled"/>
    <s v="Not Sampled"/>
  </r>
  <r>
    <x v="1"/>
    <x v="102"/>
    <x v="8"/>
    <x v="12"/>
    <x v="86"/>
    <x v="120"/>
    <x v="219"/>
    <x v="1"/>
    <n v="0"/>
    <s v="Not Sampled"/>
    <n v="247"/>
    <m/>
    <m/>
    <m/>
    <m/>
    <m/>
    <m/>
    <m/>
    <m/>
    <s v="Negative"/>
    <s v="Not Sampled"/>
    <s v="Not Sampled"/>
  </r>
  <r>
    <x v="11"/>
    <x v="73"/>
    <x v="9"/>
    <x v="12"/>
    <x v="87"/>
    <x v="110"/>
    <x v="220"/>
    <x v="34"/>
    <n v="0"/>
    <n v="0"/>
    <n v="248"/>
    <m/>
    <m/>
    <m/>
    <m/>
    <m/>
    <m/>
    <m/>
    <m/>
    <s v="Negative"/>
    <s v="Negative"/>
    <s v="Accurate Prediction"/>
  </r>
  <r>
    <x v="2"/>
    <x v="31"/>
    <x v="24"/>
    <x v="13"/>
    <x v="0"/>
    <x v="15"/>
    <x v="221"/>
    <x v="1"/>
    <n v="0"/>
    <s v="Not Sampled"/>
    <n v="249"/>
    <m/>
    <m/>
    <m/>
    <m/>
    <m/>
    <m/>
    <m/>
    <m/>
    <s v="Negative"/>
    <s v="Not Sampled"/>
    <s v="Not Sampled"/>
  </r>
  <r>
    <x v="11"/>
    <x v="33"/>
    <x v="33"/>
    <x v="2"/>
    <x v="0"/>
    <x v="84"/>
    <x v="222"/>
    <x v="8"/>
    <n v="0"/>
    <s v="Not Sampled"/>
    <n v="250"/>
    <m/>
    <m/>
    <m/>
    <m/>
    <m/>
    <m/>
    <m/>
    <m/>
    <s v="Negative"/>
    <s v="Not Sampled"/>
    <s v="Not Sampled"/>
  </r>
  <r>
    <x v="0"/>
    <x v="52"/>
    <x v="16"/>
    <x v="2"/>
    <x v="0"/>
    <x v="43"/>
    <x v="223"/>
    <x v="23"/>
    <n v="0"/>
    <s v="Not Sampled"/>
    <n v="251"/>
    <m/>
    <m/>
    <m/>
    <m/>
    <m/>
    <m/>
    <m/>
    <m/>
    <s v="Negative"/>
    <s v="Not Sampled"/>
    <s v="Not Sampled"/>
  </r>
  <r>
    <x v="0"/>
    <x v="30"/>
    <x v="6"/>
    <x v="36"/>
    <x v="67"/>
    <x v="46"/>
    <x v="224"/>
    <x v="3"/>
    <n v="0"/>
    <s v="Not Sampled"/>
    <n v="252"/>
    <m/>
    <m/>
    <m/>
    <m/>
    <m/>
    <m/>
    <m/>
    <m/>
    <s v="Negative"/>
    <s v="Not Sampled"/>
    <s v="Not Sampled"/>
  </r>
  <r>
    <x v="1"/>
    <x v="103"/>
    <x v="3"/>
    <x v="5"/>
    <x v="0"/>
    <x v="134"/>
    <x v="21"/>
    <x v="14"/>
    <n v="0"/>
    <s v="Not Sampled"/>
    <n v="253"/>
    <m/>
    <m/>
    <m/>
    <m/>
    <m/>
    <m/>
    <m/>
    <m/>
    <s v="Negative"/>
    <s v="Not Sampled"/>
    <s v="Not Sampled"/>
  </r>
  <r>
    <x v="10"/>
    <x v="66"/>
    <x v="0"/>
    <x v="42"/>
    <x v="88"/>
    <x v="32"/>
    <x v="225"/>
    <x v="30"/>
    <n v="1"/>
    <s v="Not Sampled"/>
    <n v="254"/>
    <m/>
    <m/>
    <m/>
    <m/>
    <m/>
    <m/>
    <m/>
    <m/>
    <s v="Positive"/>
    <s v="Not Sampled"/>
    <s v="Not Sampled"/>
  </r>
  <r>
    <x v="2"/>
    <x v="57"/>
    <x v="11"/>
    <x v="0"/>
    <x v="0"/>
    <x v="0"/>
    <x v="104"/>
    <x v="4"/>
    <n v="1"/>
    <n v="0"/>
    <n v="255"/>
    <m/>
    <m/>
    <m/>
    <m/>
    <m/>
    <m/>
    <m/>
    <m/>
    <s v="Positive"/>
    <s v="Negative"/>
    <s v="Inaccurate Prediction"/>
  </r>
  <r>
    <x v="5"/>
    <x v="31"/>
    <x v="20"/>
    <x v="15"/>
    <x v="0"/>
    <x v="15"/>
    <x v="226"/>
    <x v="13"/>
    <n v="0"/>
    <s v="Not Sampled"/>
    <n v="256"/>
    <m/>
    <m/>
    <m/>
    <m/>
    <m/>
    <m/>
    <m/>
    <m/>
    <s v="Negative"/>
    <s v="Not Sampled"/>
    <s v="Not Sampled"/>
  </r>
  <r>
    <x v="0"/>
    <x v="48"/>
    <x v="3"/>
    <x v="29"/>
    <x v="0"/>
    <x v="77"/>
    <x v="227"/>
    <x v="14"/>
    <n v="0"/>
    <s v="Not Sampled"/>
    <n v="257"/>
    <m/>
    <m/>
    <m/>
    <m/>
    <m/>
    <m/>
    <m/>
    <m/>
    <s v="Negative"/>
    <s v="Not Sampled"/>
    <s v="Not Sampled"/>
  </r>
  <r>
    <x v="2"/>
    <x v="104"/>
    <x v="13"/>
    <x v="41"/>
    <x v="89"/>
    <x v="151"/>
    <x v="228"/>
    <x v="3"/>
    <n v="0"/>
    <n v="1"/>
    <n v="258"/>
    <m/>
    <m/>
    <m/>
    <m/>
    <m/>
    <m/>
    <m/>
    <m/>
    <s v="Negative"/>
    <s v="Positive"/>
    <s v="Inaccurate Prediction"/>
  </r>
  <r>
    <x v="12"/>
    <x v="70"/>
    <x v="15"/>
    <x v="7"/>
    <x v="90"/>
    <x v="21"/>
    <x v="229"/>
    <x v="42"/>
    <n v="1"/>
    <n v="1"/>
    <n v="259"/>
    <m/>
    <m/>
    <m/>
    <m/>
    <m/>
    <m/>
    <m/>
    <m/>
    <s v="Positive"/>
    <s v="Positive"/>
    <s v="Accurate Prediction"/>
  </r>
  <r>
    <x v="5"/>
    <x v="105"/>
    <x v="3"/>
    <x v="11"/>
    <x v="66"/>
    <x v="125"/>
    <x v="167"/>
    <x v="34"/>
    <n v="0"/>
    <n v="1"/>
    <n v="260"/>
    <m/>
    <m/>
    <m/>
    <m/>
    <m/>
    <m/>
    <m/>
    <m/>
    <s v="Negative"/>
    <s v="Positive"/>
    <s v="Inaccurate Prediction"/>
  </r>
  <r>
    <x v="5"/>
    <x v="47"/>
    <x v="2"/>
    <x v="2"/>
    <x v="0"/>
    <x v="135"/>
    <x v="88"/>
    <x v="23"/>
    <n v="1"/>
    <s v="Not Sampled"/>
    <n v="261"/>
    <m/>
    <m/>
    <m/>
    <m/>
    <m/>
    <m/>
    <m/>
    <m/>
    <s v="Positive"/>
    <s v="Not Sampled"/>
    <s v="Not Sampled"/>
  </r>
  <r>
    <x v="3"/>
    <x v="50"/>
    <x v="9"/>
    <x v="5"/>
    <x v="0"/>
    <x v="152"/>
    <x v="230"/>
    <x v="3"/>
    <n v="0"/>
    <s v="Not Sampled"/>
    <n v="262"/>
    <m/>
    <m/>
    <m/>
    <m/>
    <m/>
    <m/>
    <m/>
    <m/>
    <s v="Negative"/>
    <s v="Not Sampled"/>
    <s v="Not Sampled"/>
  </r>
  <r>
    <x v="5"/>
    <x v="64"/>
    <x v="6"/>
    <x v="11"/>
    <x v="0"/>
    <x v="68"/>
    <x v="29"/>
    <x v="44"/>
    <n v="0"/>
    <s v="Not Sampled"/>
    <n v="263"/>
    <m/>
    <m/>
    <m/>
    <m/>
    <m/>
    <m/>
    <m/>
    <m/>
    <s v="Negative"/>
    <s v="Not Sampled"/>
    <s v="Not Sampled"/>
  </r>
  <r>
    <x v="3"/>
    <x v="62"/>
    <x v="0"/>
    <x v="2"/>
    <x v="0"/>
    <x v="61"/>
    <x v="231"/>
    <x v="20"/>
    <n v="1"/>
    <n v="0"/>
    <n v="264"/>
    <m/>
    <m/>
    <m/>
    <m/>
    <m/>
    <m/>
    <m/>
    <m/>
    <s v="Positive"/>
    <s v="Negative"/>
    <s v="Inaccurate Prediction"/>
  </r>
  <r>
    <x v="7"/>
    <x v="20"/>
    <x v="10"/>
    <x v="10"/>
    <x v="91"/>
    <x v="0"/>
    <x v="232"/>
    <x v="33"/>
    <n v="0"/>
    <s v="Not Sampled"/>
    <n v="265"/>
    <m/>
    <m/>
    <m/>
    <m/>
    <m/>
    <m/>
    <m/>
    <m/>
    <s v="Negative"/>
    <s v="Not Sampled"/>
    <s v="Not Sampled"/>
  </r>
  <r>
    <x v="1"/>
    <x v="0"/>
    <x v="2"/>
    <x v="2"/>
    <x v="0"/>
    <x v="153"/>
    <x v="233"/>
    <x v="14"/>
    <n v="1"/>
    <s v="Not Sampled"/>
    <n v="266"/>
    <m/>
    <m/>
    <m/>
    <m/>
    <m/>
    <m/>
    <m/>
    <m/>
    <s v="Positive"/>
    <s v="Not Sampled"/>
    <s v="Not Sampled"/>
  </r>
  <r>
    <x v="0"/>
    <x v="80"/>
    <x v="11"/>
    <x v="3"/>
    <x v="0"/>
    <x v="154"/>
    <x v="234"/>
    <x v="3"/>
    <n v="0"/>
    <n v="1"/>
    <n v="267"/>
    <m/>
    <m/>
    <m/>
    <m/>
    <m/>
    <m/>
    <m/>
    <m/>
    <s v="Negative"/>
    <s v="Positive"/>
    <s v="Inaccurate Prediction"/>
  </r>
  <r>
    <x v="1"/>
    <x v="29"/>
    <x v="33"/>
    <x v="2"/>
    <x v="0"/>
    <x v="16"/>
    <x v="235"/>
    <x v="4"/>
    <n v="0"/>
    <n v="0"/>
    <n v="268"/>
    <m/>
    <m/>
    <m/>
    <m/>
    <m/>
    <m/>
    <m/>
    <m/>
    <s v="Negative"/>
    <s v="Negative"/>
    <s v="Accurate Prediction"/>
  </r>
  <r>
    <x v="0"/>
    <x v="36"/>
    <x v="2"/>
    <x v="2"/>
    <x v="0"/>
    <x v="155"/>
    <x v="236"/>
    <x v="6"/>
    <n v="1"/>
    <s v="Not Sampled"/>
    <n v="269"/>
    <m/>
    <m/>
    <m/>
    <m/>
    <m/>
    <m/>
    <m/>
    <m/>
    <s v="Positive"/>
    <s v="Not Sampled"/>
    <s v="Not Sampled"/>
  </r>
  <r>
    <x v="9"/>
    <x v="39"/>
    <x v="24"/>
    <x v="18"/>
    <x v="0"/>
    <x v="156"/>
    <x v="237"/>
    <x v="19"/>
    <n v="1"/>
    <n v="1"/>
    <n v="270"/>
    <m/>
    <m/>
    <m/>
    <m/>
    <m/>
    <m/>
    <m/>
    <m/>
    <s v="Positive"/>
    <s v="Positive"/>
    <s v="Accurate Prediction"/>
  </r>
  <r>
    <x v="0"/>
    <x v="81"/>
    <x v="0"/>
    <x v="5"/>
    <x v="79"/>
    <x v="18"/>
    <x v="238"/>
    <x v="4"/>
    <n v="0"/>
    <s v="Not Sampled"/>
    <n v="271"/>
    <m/>
    <m/>
    <m/>
    <m/>
    <m/>
    <m/>
    <m/>
    <m/>
    <s v="Negative"/>
    <s v="Not Sampled"/>
    <s v="Not Sampled"/>
  </r>
  <r>
    <x v="5"/>
    <x v="27"/>
    <x v="4"/>
    <x v="2"/>
    <x v="0"/>
    <x v="49"/>
    <x v="54"/>
    <x v="18"/>
    <n v="0"/>
    <s v="Not Sampled"/>
    <n v="272"/>
    <m/>
    <m/>
    <m/>
    <m/>
    <m/>
    <m/>
    <m/>
    <m/>
    <s v="Negative"/>
    <s v="Not Sampled"/>
    <s v="Not Sampled"/>
  </r>
  <r>
    <x v="2"/>
    <x v="37"/>
    <x v="4"/>
    <x v="37"/>
    <x v="83"/>
    <x v="34"/>
    <x v="239"/>
    <x v="4"/>
    <n v="0"/>
    <s v="Not Sampled"/>
    <n v="273"/>
    <m/>
    <m/>
    <m/>
    <m/>
    <m/>
    <m/>
    <m/>
    <m/>
    <s v="Negative"/>
    <s v="Not Sampled"/>
    <s v="Not Sampled"/>
  </r>
  <r>
    <x v="13"/>
    <x v="33"/>
    <x v="9"/>
    <x v="2"/>
    <x v="0"/>
    <x v="89"/>
    <x v="240"/>
    <x v="41"/>
    <n v="0"/>
    <s v="Not Sampled"/>
    <n v="274"/>
    <m/>
    <m/>
    <m/>
    <m/>
    <m/>
    <m/>
    <m/>
    <m/>
    <s v="Negative"/>
    <s v="Not Sampled"/>
    <s v="Not Sampled"/>
  </r>
  <r>
    <x v="0"/>
    <x v="45"/>
    <x v="9"/>
    <x v="43"/>
    <x v="92"/>
    <x v="52"/>
    <x v="241"/>
    <x v="14"/>
    <n v="0"/>
    <n v="0"/>
    <n v="275"/>
    <m/>
    <m/>
    <m/>
    <m/>
    <m/>
    <m/>
    <m/>
    <m/>
    <s v="Negative"/>
    <s v="Negative"/>
    <s v="Accurate Prediction"/>
  </r>
  <r>
    <x v="8"/>
    <x v="33"/>
    <x v="12"/>
    <x v="20"/>
    <x v="0"/>
    <x v="71"/>
    <x v="242"/>
    <x v="29"/>
    <n v="1"/>
    <s v="Not Sampled"/>
    <n v="276"/>
    <m/>
    <m/>
    <m/>
    <m/>
    <m/>
    <m/>
    <m/>
    <m/>
    <s v="Positive"/>
    <s v="Not Sampled"/>
    <s v="Not Sampled"/>
  </r>
  <r>
    <x v="1"/>
    <x v="88"/>
    <x v="11"/>
    <x v="17"/>
    <x v="93"/>
    <x v="157"/>
    <x v="243"/>
    <x v="1"/>
    <n v="0"/>
    <s v="Not Sampled"/>
    <n v="277"/>
    <m/>
    <m/>
    <m/>
    <m/>
    <m/>
    <m/>
    <m/>
    <m/>
    <s v="Negative"/>
    <s v="Not Sampled"/>
    <s v="Not Sampled"/>
  </r>
  <r>
    <x v="7"/>
    <x v="48"/>
    <x v="10"/>
    <x v="2"/>
    <x v="0"/>
    <x v="158"/>
    <x v="244"/>
    <x v="40"/>
    <n v="0"/>
    <s v="Not Sampled"/>
    <n v="278"/>
    <m/>
    <m/>
    <m/>
    <m/>
    <m/>
    <m/>
    <m/>
    <m/>
    <s v="Negative"/>
    <s v="Not Sampled"/>
    <s v="Not Sampled"/>
  </r>
  <r>
    <x v="0"/>
    <x v="81"/>
    <x v="0"/>
    <x v="25"/>
    <x v="94"/>
    <x v="159"/>
    <x v="245"/>
    <x v="11"/>
    <n v="0"/>
    <s v="Not Sampled"/>
    <n v="279"/>
    <m/>
    <m/>
    <m/>
    <m/>
    <m/>
    <m/>
    <m/>
    <m/>
    <s v="Negative"/>
    <s v="Not Sampled"/>
    <s v="Not Sampled"/>
  </r>
  <r>
    <x v="1"/>
    <x v="36"/>
    <x v="9"/>
    <x v="2"/>
    <x v="0"/>
    <x v="160"/>
    <x v="65"/>
    <x v="6"/>
    <n v="1"/>
    <s v="Not Sampled"/>
    <n v="280"/>
    <m/>
    <m/>
    <m/>
    <m/>
    <m/>
    <m/>
    <m/>
    <m/>
    <s v="Positive"/>
    <s v="Not Sampled"/>
    <s v="Not Sampled"/>
  </r>
  <r>
    <x v="9"/>
    <x v="52"/>
    <x v="15"/>
    <x v="7"/>
    <x v="6"/>
    <x v="117"/>
    <x v="246"/>
    <x v="16"/>
    <n v="0"/>
    <n v="1"/>
    <n v="281"/>
    <m/>
    <m/>
    <m/>
    <m/>
    <m/>
    <m/>
    <m/>
    <m/>
    <s v="Negative"/>
    <s v="Positive"/>
    <s v="Inaccurate Prediction"/>
  </r>
  <r>
    <x v="8"/>
    <x v="32"/>
    <x v="21"/>
    <x v="11"/>
    <x v="59"/>
    <x v="68"/>
    <x v="96"/>
    <x v="26"/>
    <n v="0"/>
    <n v="0"/>
    <n v="282"/>
    <m/>
    <m/>
    <m/>
    <m/>
    <m/>
    <m/>
    <m/>
    <m/>
    <s v="Negative"/>
    <s v="Negative"/>
    <s v="Accurate Prediction"/>
  </r>
  <r>
    <x v="8"/>
    <x v="106"/>
    <x v="24"/>
    <x v="2"/>
    <x v="0"/>
    <x v="25"/>
    <x v="84"/>
    <x v="0"/>
    <n v="1"/>
    <n v="1"/>
    <n v="283"/>
    <m/>
    <m/>
    <m/>
    <m/>
    <m/>
    <m/>
    <m/>
    <m/>
    <s v="Positive"/>
    <s v="Positive"/>
    <s v="Accurate Prediction"/>
  </r>
  <r>
    <x v="0"/>
    <x v="81"/>
    <x v="6"/>
    <x v="2"/>
    <x v="0"/>
    <x v="161"/>
    <x v="247"/>
    <x v="41"/>
    <n v="1"/>
    <s v="Not Sampled"/>
    <n v="284"/>
    <m/>
    <m/>
    <m/>
    <m/>
    <m/>
    <m/>
    <m/>
    <m/>
    <s v="Positive"/>
    <s v="Not Sampled"/>
    <s v="Not Sampled"/>
  </r>
  <r>
    <x v="8"/>
    <x v="60"/>
    <x v="10"/>
    <x v="16"/>
    <x v="42"/>
    <x v="14"/>
    <x v="123"/>
    <x v="42"/>
    <n v="0"/>
    <n v="0"/>
    <n v="285"/>
    <m/>
    <m/>
    <m/>
    <m/>
    <m/>
    <m/>
    <m/>
    <m/>
    <s v="Negative"/>
    <s v="Negative"/>
    <s v="Accurate Prediction"/>
  </r>
  <r>
    <x v="7"/>
    <x v="70"/>
    <x v="16"/>
    <x v="38"/>
    <x v="95"/>
    <x v="162"/>
    <x v="248"/>
    <x v="34"/>
    <n v="0"/>
    <s v="Not Sampled"/>
    <n v="286"/>
    <m/>
    <m/>
    <m/>
    <m/>
    <m/>
    <m/>
    <m/>
    <m/>
    <s v="Negative"/>
    <s v="Not Sampled"/>
    <s v="Not Sampled"/>
  </r>
  <r>
    <x v="2"/>
    <x v="93"/>
    <x v="24"/>
    <x v="15"/>
    <x v="38"/>
    <x v="156"/>
    <x v="249"/>
    <x v="29"/>
    <n v="1"/>
    <s v="Not Sampled"/>
    <n v="287"/>
    <m/>
    <m/>
    <m/>
    <m/>
    <m/>
    <m/>
    <m/>
    <m/>
    <s v="Positive"/>
    <s v="Not Sampled"/>
    <s v="Not Sampled"/>
  </r>
  <r>
    <x v="3"/>
    <x v="20"/>
    <x v="20"/>
    <x v="6"/>
    <x v="51"/>
    <x v="163"/>
    <x v="250"/>
    <x v="25"/>
    <n v="0"/>
    <s v="Not Sampled"/>
    <n v="288"/>
    <m/>
    <m/>
    <m/>
    <m/>
    <m/>
    <m/>
    <m/>
    <m/>
    <s v="Negative"/>
    <s v="Not Sampled"/>
    <s v="Not Sampled"/>
  </r>
  <r>
    <x v="7"/>
    <x v="81"/>
    <x v="5"/>
    <x v="44"/>
    <x v="96"/>
    <x v="164"/>
    <x v="22"/>
    <x v="9"/>
    <n v="0"/>
    <s v="Not Sampled"/>
    <n v="289"/>
    <m/>
    <m/>
    <m/>
    <m/>
    <m/>
    <m/>
    <m/>
    <m/>
    <s v="Negative"/>
    <s v="Not Sampled"/>
    <s v="Not Sampled"/>
  </r>
  <r>
    <x v="1"/>
    <x v="74"/>
    <x v="21"/>
    <x v="30"/>
    <x v="39"/>
    <x v="99"/>
    <x v="251"/>
    <x v="4"/>
    <n v="0"/>
    <s v="Not Sampled"/>
    <n v="290"/>
    <m/>
    <m/>
    <m/>
    <m/>
    <m/>
    <m/>
    <m/>
    <m/>
    <s v="Negative"/>
    <s v="Not Sampled"/>
    <s v="Not Sampled"/>
  </r>
  <r>
    <x v="1"/>
    <x v="61"/>
    <x v="0"/>
    <x v="8"/>
    <x v="97"/>
    <x v="69"/>
    <x v="252"/>
    <x v="14"/>
    <n v="1"/>
    <s v="Not Sampled"/>
    <n v="291"/>
    <m/>
    <m/>
    <m/>
    <m/>
    <m/>
    <m/>
    <m/>
    <m/>
    <s v="Positive"/>
    <s v="Not Sampled"/>
    <s v="Not Sampled"/>
  </r>
  <r>
    <x v="0"/>
    <x v="80"/>
    <x v="4"/>
    <x v="18"/>
    <x v="98"/>
    <x v="165"/>
    <x v="197"/>
    <x v="2"/>
    <n v="1"/>
    <n v="1"/>
    <n v="292"/>
    <m/>
    <m/>
    <m/>
    <m/>
    <m/>
    <m/>
    <m/>
    <m/>
    <s v="Positive"/>
    <s v="Positive"/>
    <s v="Accurate Prediction"/>
  </r>
  <r>
    <x v="2"/>
    <x v="80"/>
    <x v="26"/>
    <x v="45"/>
    <x v="85"/>
    <x v="52"/>
    <x v="253"/>
    <x v="3"/>
    <n v="1"/>
    <n v="0"/>
    <n v="293"/>
    <m/>
    <m/>
    <m/>
    <m/>
    <m/>
    <m/>
    <m/>
    <m/>
    <s v="Positive"/>
    <s v="Negative"/>
    <s v="Inaccurate Prediction"/>
  </r>
  <r>
    <x v="1"/>
    <x v="106"/>
    <x v="13"/>
    <x v="2"/>
    <x v="0"/>
    <x v="101"/>
    <x v="54"/>
    <x v="39"/>
    <n v="0"/>
    <s v="Not Sampled"/>
    <n v="294"/>
    <m/>
    <m/>
    <m/>
    <m/>
    <m/>
    <m/>
    <m/>
    <m/>
    <s v="Negative"/>
    <s v="Not Sampled"/>
    <s v="Not Sampled"/>
  </r>
  <r>
    <x v="6"/>
    <x v="68"/>
    <x v="0"/>
    <x v="1"/>
    <x v="77"/>
    <x v="130"/>
    <x v="24"/>
    <x v="6"/>
    <n v="0"/>
    <s v="Not Sampled"/>
    <n v="295"/>
    <m/>
    <m/>
    <m/>
    <m/>
    <m/>
    <m/>
    <m/>
    <m/>
    <s v="Negative"/>
    <s v="Not Sampled"/>
    <s v="Not Sampled"/>
  </r>
  <r>
    <x v="0"/>
    <x v="36"/>
    <x v="9"/>
    <x v="9"/>
    <x v="99"/>
    <x v="43"/>
    <x v="142"/>
    <x v="29"/>
    <n v="1"/>
    <s v="Not Sampled"/>
    <n v="296"/>
    <m/>
    <m/>
    <m/>
    <m/>
    <m/>
    <m/>
    <m/>
    <m/>
    <s v="Positive"/>
    <s v="Not Sampled"/>
    <s v="Not Sampled"/>
  </r>
  <r>
    <x v="1"/>
    <x v="51"/>
    <x v="16"/>
    <x v="30"/>
    <x v="100"/>
    <x v="166"/>
    <x v="254"/>
    <x v="3"/>
    <n v="0"/>
    <n v="0"/>
    <n v="297"/>
    <m/>
    <m/>
    <m/>
    <m/>
    <m/>
    <m/>
    <m/>
    <m/>
    <s v="Negative"/>
    <s v="Negative"/>
    <s v="Accurate Prediction"/>
  </r>
  <r>
    <x v="16"/>
    <x v="45"/>
    <x v="4"/>
    <x v="14"/>
    <x v="101"/>
    <x v="69"/>
    <x v="255"/>
    <x v="22"/>
    <n v="1"/>
    <s v="Not Sampled"/>
    <n v="298"/>
    <m/>
    <m/>
    <m/>
    <m/>
    <m/>
    <m/>
    <m/>
    <m/>
    <s v="Positive"/>
    <s v="Not Sampled"/>
    <s v="Not Sampled"/>
  </r>
  <r>
    <x v="4"/>
    <x v="56"/>
    <x v="5"/>
    <x v="2"/>
    <x v="0"/>
    <x v="139"/>
    <x v="256"/>
    <x v="5"/>
    <n v="0"/>
    <n v="0"/>
    <n v="299"/>
    <m/>
    <m/>
    <m/>
    <m/>
    <m/>
    <m/>
    <m/>
    <m/>
    <s v="Negative"/>
    <s v="Negative"/>
    <s v="Accurate Prediction"/>
  </r>
  <r>
    <x v="1"/>
    <x v="107"/>
    <x v="2"/>
    <x v="2"/>
    <x v="0"/>
    <x v="167"/>
    <x v="16"/>
    <x v="13"/>
    <n v="1"/>
    <s v="Not Sampled"/>
    <n v="300"/>
    <m/>
    <m/>
    <m/>
    <m/>
    <m/>
    <m/>
    <m/>
    <m/>
    <s v="Positive"/>
    <s v="Not Sampled"/>
    <s v="Not Sampled"/>
  </r>
  <r>
    <x v="0"/>
    <x v="65"/>
    <x v="22"/>
    <x v="12"/>
    <x v="42"/>
    <x v="31"/>
    <x v="239"/>
    <x v="14"/>
    <n v="1"/>
    <n v="0"/>
    <n v="301"/>
    <m/>
    <m/>
    <m/>
    <m/>
    <m/>
    <m/>
    <m/>
    <m/>
    <s v="Positive"/>
    <s v="Negative"/>
    <s v="Inaccurate Prediction"/>
  </r>
  <r>
    <x v="7"/>
    <x v="108"/>
    <x v="1"/>
    <x v="4"/>
    <x v="102"/>
    <x v="134"/>
    <x v="257"/>
    <x v="20"/>
    <n v="0"/>
    <n v="0"/>
    <n v="302"/>
    <m/>
    <m/>
    <m/>
    <m/>
    <m/>
    <m/>
    <m/>
    <m/>
    <s v="Negative"/>
    <s v="Negative"/>
    <s v="Accurate Prediction"/>
  </r>
  <r>
    <x v="7"/>
    <x v="109"/>
    <x v="34"/>
    <x v="2"/>
    <x v="0"/>
    <x v="168"/>
    <x v="200"/>
    <x v="6"/>
    <n v="1"/>
    <n v="1"/>
    <n v="303"/>
    <m/>
    <m/>
    <m/>
    <m/>
    <m/>
    <m/>
    <m/>
    <m/>
    <s v="Positive"/>
    <s v="Positive"/>
    <s v="Accurate Prediction"/>
  </r>
  <r>
    <x v="5"/>
    <x v="42"/>
    <x v="15"/>
    <x v="2"/>
    <x v="0"/>
    <x v="169"/>
    <x v="28"/>
    <x v="26"/>
    <n v="0"/>
    <n v="0"/>
    <n v="304"/>
    <m/>
    <m/>
    <m/>
    <m/>
    <m/>
    <m/>
    <m/>
    <m/>
    <s v="Negative"/>
    <s v="Negative"/>
    <s v="Accurate Prediction"/>
  </r>
  <r>
    <x v="0"/>
    <x v="24"/>
    <x v="15"/>
    <x v="18"/>
    <x v="16"/>
    <x v="170"/>
    <x v="258"/>
    <x v="29"/>
    <n v="0"/>
    <n v="0"/>
    <n v="305"/>
    <m/>
    <m/>
    <m/>
    <m/>
    <m/>
    <m/>
    <m/>
    <m/>
    <s v="Negative"/>
    <s v="Negative"/>
    <s v="Accurate Prediction"/>
  </r>
  <r>
    <x v="9"/>
    <x v="106"/>
    <x v="3"/>
    <x v="17"/>
    <x v="103"/>
    <x v="171"/>
    <x v="259"/>
    <x v="0"/>
    <n v="1"/>
    <n v="1"/>
    <n v="306"/>
    <m/>
    <m/>
    <m/>
    <m/>
    <m/>
    <m/>
    <m/>
    <m/>
    <s v="Positive"/>
    <s v="Positive"/>
    <s v="Accurate Prediction"/>
  </r>
  <r>
    <x v="1"/>
    <x v="59"/>
    <x v="3"/>
    <x v="36"/>
    <x v="104"/>
    <x v="172"/>
    <x v="221"/>
    <x v="4"/>
    <n v="0"/>
    <s v="Not Sampled"/>
    <n v="307"/>
    <m/>
    <m/>
    <m/>
    <m/>
    <m/>
    <m/>
    <m/>
    <m/>
    <s v="Negative"/>
    <s v="Not Sampled"/>
    <s v="Not Sampled"/>
  </r>
  <r>
    <x v="1"/>
    <x v="80"/>
    <x v="3"/>
    <x v="13"/>
    <x v="105"/>
    <x v="85"/>
    <x v="260"/>
    <x v="14"/>
    <n v="1"/>
    <s v="Not Sampled"/>
    <n v="308"/>
    <m/>
    <m/>
    <m/>
    <m/>
    <m/>
    <m/>
    <m/>
    <m/>
    <s v="Positive"/>
    <s v="Not Sampled"/>
    <s v="Not Sampled"/>
  </r>
  <r>
    <x v="0"/>
    <x v="73"/>
    <x v="3"/>
    <x v="7"/>
    <x v="106"/>
    <x v="35"/>
    <x v="261"/>
    <x v="13"/>
    <n v="1"/>
    <n v="0"/>
    <n v="309"/>
    <m/>
    <m/>
    <m/>
    <m/>
    <m/>
    <m/>
    <m/>
    <m/>
    <s v="Positive"/>
    <s v="Negative"/>
    <s v="Inaccurate Prediction"/>
  </r>
  <r>
    <x v="6"/>
    <x v="11"/>
    <x v="19"/>
    <x v="8"/>
    <x v="0"/>
    <x v="173"/>
    <x v="17"/>
    <x v="17"/>
    <n v="0"/>
    <s v="Not Sampled"/>
    <n v="310"/>
    <m/>
    <m/>
    <m/>
    <m/>
    <m/>
    <m/>
    <m/>
    <m/>
    <s v="Negative"/>
    <s v="Not Sampled"/>
    <s v="Not Sampled"/>
  </r>
  <r>
    <x v="1"/>
    <x v="33"/>
    <x v="9"/>
    <x v="18"/>
    <x v="104"/>
    <x v="121"/>
    <x v="186"/>
    <x v="11"/>
    <n v="0"/>
    <s v="Not Sampled"/>
    <n v="311"/>
    <m/>
    <m/>
    <m/>
    <m/>
    <m/>
    <m/>
    <m/>
    <m/>
    <s v="Negative"/>
    <s v="Not Sampled"/>
    <s v="Not Sampled"/>
  </r>
  <r>
    <x v="0"/>
    <x v="70"/>
    <x v="10"/>
    <x v="6"/>
    <x v="107"/>
    <x v="13"/>
    <x v="262"/>
    <x v="23"/>
    <n v="1"/>
    <s v="Not Sampled"/>
    <n v="312"/>
    <m/>
    <m/>
    <m/>
    <m/>
    <m/>
    <m/>
    <m/>
    <m/>
    <s v="Positive"/>
    <s v="Not Sampled"/>
    <s v="Not Sampled"/>
  </r>
  <r>
    <x v="5"/>
    <x v="57"/>
    <x v="13"/>
    <x v="25"/>
    <x v="108"/>
    <x v="81"/>
    <x v="263"/>
    <x v="14"/>
    <n v="0"/>
    <s v="Not Sampled"/>
    <n v="313"/>
    <m/>
    <m/>
    <m/>
    <m/>
    <m/>
    <m/>
    <m/>
    <m/>
    <s v="Negative"/>
    <s v="Not Sampled"/>
    <s v="Not Sampled"/>
  </r>
  <r>
    <x v="8"/>
    <x v="49"/>
    <x v="6"/>
    <x v="1"/>
    <x v="0"/>
    <x v="117"/>
    <x v="264"/>
    <x v="33"/>
    <n v="1"/>
    <s v="Not Sampled"/>
    <n v="314"/>
    <m/>
    <m/>
    <m/>
    <m/>
    <m/>
    <m/>
    <m/>
    <m/>
    <s v="Positive"/>
    <s v="Not Sampled"/>
    <s v="Not Sampled"/>
  </r>
  <r>
    <x v="0"/>
    <x v="56"/>
    <x v="3"/>
    <x v="29"/>
    <x v="48"/>
    <x v="174"/>
    <x v="265"/>
    <x v="25"/>
    <n v="0"/>
    <s v="Not Sampled"/>
    <n v="315"/>
    <m/>
    <m/>
    <m/>
    <m/>
    <m/>
    <m/>
    <m/>
    <m/>
    <s v="Negative"/>
    <s v="Not Sampled"/>
    <s v="Not Sampled"/>
  </r>
  <r>
    <x v="5"/>
    <x v="6"/>
    <x v="6"/>
    <x v="22"/>
    <x v="36"/>
    <x v="175"/>
    <x v="223"/>
    <x v="13"/>
    <n v="0"/>
    <s v="Not Sampled"/>
    <n v="316"/>
    <m/>
    <m/>
    <m/>
    <m/>
    <m/>
    <m/>
    <m/>
    <m/>
    <s v="Negative"/>
    <s v="Not Sampled"/>
    <s v="Not Sampled"/>
  </r>
  <r>
    <x v="5"/>
    <x v="110"/>
    <x v="10"/>
    <x v="2"/>
    <x v="0"/>
    <x v="85"/>
    <x v="266"/>
    <x v="29"/>
    <n v="1"/>
    <s v="Not Sampled"/>
    <n v="317"/>
    <m/>
    <m/>
    <m/>
    <m/>
    <m/>
    <m/>
    <m/>
    <m/>
    <s v="Positive"/>
    <s v="Not Sampled"/>
    <s v="Not Sampled"/>
  </r>
  <r>
    <x v="5"/>
    <x v="109"/>
    <x v="19"/>
    <x v="15"/>
    <x v="32"/>
    <x v="176"/>
    <x v="181"/>
    <x v="6"/>
    <n v="0"/>
    <s v="Not Sampled"/>
    <n v="318"/>
    <m/>
    <m/>
    <m/>
    <m/>
    <m/>
    <m/>
    <m/>
    <m/>
    <s v="Negative"/>
    <s v="Not Sampled"/>
    <s v="Not Sampled"/>
  </r>
  <r>
    <x v="6"/>
    <x v="7"/>
    <x v="4"/>
    <x v="2"/>
    <x v="0"/>
    <x v="177"/>
    <x v="267"/>
    <x v="45"/>
    <n v="1"/>
    <s v="Not Sampled"/>
    <n v="319"/>
    <m/>
    <m/>
    <m/>
    <m/>
    <m/>
    <m/>
    <m/>
    <m/>
    <s v="Positive"/>
    <s v="Not Sampled"/>
    <s v="Not Sampled"/>
  </r>
  <r>
    <x v="3"/>
    <x v="52"/>
    <x v="12"/>
    <x v="39"/>
    <x v="109"/>
    <x v="155"/>
    <x v="268"/>
    <x v="2"/>
    <n v="0"/>
    <s v="Not Sampled"/>
    <n v="320"/>
    <m/>
    <m/>
    <m/>
    <m/>
    <m/>
    <m/>
    <m/>
    <m/>
    <s v="Negative"/>
    <s v="Not Sampled"/>
    <s v="Not Sampled"/>
  </r>
  <r>
    <x v="5"/>
    <x v="56"/>
    <x v="10"/>
    <x v="8"/>
    <x v="0"/>
    <x v="31"/>
    <x v="269"/>
    <x v="14"/>
    <n v="1"/>
    <n v="0"/>
    <n v="321"/>
    <m/>
    <m/>
    <m/>
    <m/>
    <m/>
    <m/>
    <m/>
    <m/>
    <s v="Positive"/>
    <s v="Negative"/>
    <s v="Inaccurate Prediction"/>
  </r>
  <r>
    <x v="1"/>
    <x v="73"/>
    <x v="9"/>
    <x v="28"/>
    <x v="0"/>
    <x v="41"/>
    <x v="54"/>
    <x v="31"/>
    <n v="1"/>
    <s v="Not Sampled"/>
    <n v="322"/>
    <m/>
    <m/>
    <m/>
    <m/>
    <m/>
    <m/>
    <m/>
    <m/>
    <s v="Positive"/>
    <s v="Not Sampled"/>
    <s v="Not Sampled"/>
  </r>
  <r>
    <x v="13"/>
    <x v="87"/>
    <x v="8"/>
    <x v="12"/>
    <x v="110"/>
    <x v="90"/>
    <x v="270"/>
    <x v="33"/>
    <n v="1"/>
    <s v="Not Sampled"/>
    <n v="323"/>
    <m/>
    <m/>
    <m/>
    <m/>
    <m/>
    <m/>
    <m/>
    <m/>
    <s v="Positive"/>
    <s v="Not Sampled"/>
    <s v="Not Sampled"/>
  </r>
  <r>
    <x v="0"/>
    <x v="56"/>
    <x v="25"/>
    <x v="5"/>
    <x v="0"/>
    <x v="140"/>
    <x v="271"/>
    <x v="4"/>
    <n v="0"/>
    <s v="Not Sampled"/>
    <n v="324"/>
    <m/>
    <m/>
    <m/>
    <m/>
    <m/>
    <m/>
    <m/>
    <m/>
    <s v="Negative"/>
    <s v="Not Sampled"/>
    <s v="Not Sampled"/>
  </r>
  <r>
    <x v="2"/>
    <x v="111"/>
    <x v="5"/>
    <x v="23"/>
    <x v="49"/>
    <x v="6"/>
    <x v="272"/>
    <x v="3"/>
    <n v="0"/>
    <n v="0"/>
    <n v="325"/>
    <m/>
    <m/>
    <m/>
    <m/>
    <m/>
    <m/>
    <m/>
    <m/>
    <s v="Negative"/>
    <s v="Negative"/>
    <s v="Accurate Prediction"/>
  </r>
  <r>
    <x v="2"/>
    <x v="27"/>
    <x v="11"/>
    <x v="5"/>
    <x v="64"/>
    <x v="60"/>
    <x v="24"/>
    <x v="13"/>
    <n v="1"/>
    <s v="Not Sampled"/>
    <n v="326"/>
    <m/>
    <m/>
    <m/>
    <m/>
    <m/>
    <m/>
    <m/>
    <m/>
    <s v="Positive"/>
    <s v="Not Sampled"/>
    <s v="Not Sampled"/>
  </r>
  <r>
    <x v="9"/>
    <x v="91"/>
    <x v="9"/>
    <x v="2"/>
    <x v="0"/>
    <x v="60"/>
    <x v="29"/>
    <x v="26"/>
    <n v="0"/>
    <s v="Not Sampled"/>
    <n v="327"/>
    <m/>
    <m/>
    <m/>
    <m/>
    <m/>
    <m/>
    <m/>
    <m/>
    <s v="Negative"/>
    <s v="Not Sampled"/>
    <s v="Not Sampled"/>
  </r>
  <r>
    <x v="0"/>
    <x v="29"/>
    <x v="24"/>
    <x v="35"/>
    <x v="77"/>
    <x v="178"/>
    <x v="0"/>
    <x v="1"/>
    <n v="1"/>
    <s v="Not Sampled"/>
    <n v="328"/>
    <m/>
    <m/>
    <m/>
    <m/>
    <m/>
    <m/>
    <m/>
    <m/>
    <s v="Positive"/>
    <s v="Not Sampled"/>
    <s v="Not Sampled"/>
  </r>
  <r>
    <x v="6"/>
    <x v="38"/>
    <x v="9"/>
    <x v="5"/>
    <x v="111"/>
    <x v="98"/>
    <x v="273"/>
    <x v="26"/>
    <n v="0"/>
    <s v="Not Sampled"/>
    <n v="329"/>
    <m/>
    <m/>
    <m/>
    <m/>
    <m/>
    <m/>
    <m/>
    <m/>
    <s v="Negative"/>
    <s v="Not Sampled"/>
    <s v="Not Sampled"/>
  </r>
  <r>
    <x v="4"/>
    <x v="78"/>
    <x v="5"/>
    <x v="13"/>
    <x v="0"/>
    <x v="179"/>
    <x v="274"/>
    <x v="22"/>
    <n v="0"/>
    <n v="1"/>
    <n v="330"/>
    <m/>
    <m/>
    <m/>
    <m/>
    <m/>
    <m/>
    <m/>
    <m/>
    <s v="Negative"/>
    <s v="Positive"/>
    <s v="Inaccurate Prediction"/>
  </r>
  <r>
    <x v="0"/>
    <x v="90"/>
    <x v="22"/>
    <x v="41"/>
    <x v="112"/>
    <x v="112"/>
    <x v="275"/>
    <x v="14"/>
    <n v="0"/>
    <n v="0"/>
    <n v="331"/>
    <m/>
    <m/>
    <m/>
    <m/>
    <m/>
    <m/>
    <m/>
    <m/>
    <s v="Negative"/>
    <s v="Negative"/>
    <s v="Accurate Prediction"/>
  </r>
  <r>
    <x v="2"/>
    <x v="22"/>
    <x v="2"/>
    <x v="2"/>
    <x v="0"/>
    <x v="165"/>
    <x v="220"/>
    <x v="17"/>
    <n v="1"/>
    <s v="Not Sampled"/>
    <n v="332"/>
    <m/>
    <m/>
    <m/>
    <m/>
    <m/>
    <m/>
    <m/>
    <m/>
    <s v="Positive"/>
    <s v="Not Sampled"/>
    <s v="Not Sampled"/>
  </r>
  <r>
    <x v="10"/>
    <x v="33"/>
    <x v="6"/>
    <x v="2"/>
    <x v="0"/>
    <x v="139"/>
    <x v="141"/>
    <x v="30"/>
    <n v="0"/>
    <s v="Not Sampled"/>
    <n v="333"/>
    <m/>
    <m/>
    <m/>
    <m/>
    <m/>
    <m/>
    <m/>
    <m/>
    <s v="Negative"/>
    <s v="Not Sampled"/>
    <s v="Not Sampled"/>
  </r>
  <r>
    <x v="2"/>
    <x v="50"/>
    <x v="12"/>
    <x v="10"/>
    <x v="68"/>
    <x v="128"/>
    <x v="112"/>
    <x v="11"/>
    <n v="0"/>
    <s v="Not Sampled"/>
    <n v="334"/>
    <m/>
    <m/>
    <m/>
    <m/>
    <m/>
    <m/>
    <m/>
    <m/>
    <s v="Negative"/>
    <s v="Not Sampled"/>
    <s v="Not Sampled"/>
  </r>
  <r>
    <x v="1"/>
    <x v="102"/>
    <x v="15"/>
    <x v="44"/>
    <x v="113"/>
    <x v="103"/>
    <x v="247"/>
    <x v="25"/>
    <n v="0"/>
    <n v="1"/>
    <n v="335"/>
    <m/>
    <m/>
    <m/>
    <m/>
    <m/>
    <m/>
    <m/>
    <m/>
    <s v="Negative"/>
    <s v="Positive"/>
    <s v="Inaccurate Prediction"/>
  </r>
  <r>
    <x v="1"/>
    <x v="17"/>
    <x v="2"/>
    <x v="2"/>
    <x v="0"/>
    <x v="97"/>
    <x v="276"/>
    <x v="30"/>
    <n v="0"/>
    <n v="0"/>
    <n v="336"/>
    <m/>
    <m/>
    <m/>
    <m/>
    <m/>
    <m/>
    <m/>
    <m/>
    <s v="Negative"/>
    <s v="Negative"/>
    <s v="Accurate Prediction"/>
  </r>
  <r>
    <x v="7"/>
    <x v="109"/>
    <x v="15"/>
    <x v="2"/>
    <x v="0"/>
    <x v="84"/>
    <x v="277"/>
    <x v="30"/>
    <n v="1"/>
    <s v="Not Sampled"/>
    <n v="337"/>
    <m/>
    <m/>
    <m/>
    <m/>
    <m/>
    <m/>
    <m/>
    <m/>
    <s v="Positive"/>
    <s v="Not Sampled"/>
    <s v="Not Sampled"/>
  </r>
  <r>
    <x v="11"/>
    <x v="87"/>
    <x v="4"/>
    <x v="24"/>
    <x v="114"/>
    <x v="89"/>
    <x v="278"/>
    <x v="9"/>
    <n v="1"/>
    <s v="Not Sampled"/>
    <n v="338"/>
    <m/>
    <m/>
    <m/>
    <m/>
    <m/>
    <m/>
    <m/>
    <m/>
    <s v="Positive"/>
    <s v="Not Sampled"/>
    <s v="Not Sampled"/>
  </r>
  <r>
    <x v="8"/>
    <x v="112"/>
    <x v="16"/>
    <x v="2"/>
    <x v="0"/>
    <x v="180"/>
    <x v="279"/>
    <x v="17"/>
    <n v="1"/>
    <s v="Not Sampled"/>
    <n v="339"/>
    <m/>
    <m/>
    <m/>
    <m/>
    <m/>
    <m/>
    <m/>
    <m/>
    <s v="Positive"/>
    <s v="Not Sampled"/>
    <s v="Not Sampled"/>
  </r>
  <r>
    <x v="2"/>
    <x v="23"/>
    <x v="9"/>
    <x v="27"/>
    <x v="16"/>
    <x v="151"/>
    <x v="280"/>
    <x v="11"/>
    <n v="0"/>
    <s v="Not Sampled"/>
    <n v="340"/>
    <m/>
    <m/>
    <m/>
    <m/>
    <m/>
    <m/>
    <m/>
    <m/>
    <s v="Negative"/>
    <s v="Not Sampled"/>
    <s v="Not Sampled"/>
  </r>
  <r>
    <x v="2"/>
    <x v="50"/>
    <x v="10"/>
    <x v="23"/>
    <x v="115"/>
    <x v="151"/>
    <x v="281"/>
    <x v="31"/>
    <n v="0"/>
    <n v="0"/>
    <n v="341"/>
    <m/>
    <m/>
    <m/>
    <m/>
    <m/>
    <m/>
    <m/>
    <m/>
    <s v="Negative"/>
    <s v="Negative"/>
    <s v="Accurate Prediction"/>
  </r>
  <r>
    <x v="2"/>
    <x v="18"/>
    <x v="3"/>
    <x v="0"/>
    <x v="0"/>
    <x v="61"/>
    <x v="282"/>
    <x v="11"/>
    <n v="0"/>
    <s v="Not Sampled"/>
    <n v="342"/>
    <m/>
    <m/>
    <m/>
    <m/>
    <m/>
    <m/>
    <m/>
    <m/>
    <s v="Negative"/>
    <s v="Not Sampled"/>
    <s v="Not Sampled"/>
  </r>
  <r>
    <x v="7"/>
    <x v="27"/>
    <x v="24"/>
    <x v="2"/>
    <x v="0"/>
    <x v="48"/>
    <x v="190"/>
    <x v="9"/>
    <n v="0"/>
    <s v="Not Sampled"/>
    <n v="343"/>
    <m/>
    <m/>
    <m/>
    <m/>
    <m/>
    <m/>
    <m/>
    <m/>
    <s v="Negative"/>
    <s v="Not Sampled"/>
    <s v="Not Sampled"/>
  </r>
  <r>
    <x v="4"/>
    <x v="50"/>
    <x v="5"/>
    <x v="2"/>
    <x v="0"/>
    <x v="8"/>
    <x v="283"/>
    <x v="40"/>
    <n v="0"/>
    <s v="Not Sampled"/>
    <n v="344"/>
    <m/>
    <m/>
    <m/>
    <m/>
    <m/>
    <m/>
    <m/>
    <m/>
    <s v="Negative"/>
    <s v="Not Sampled"/>
    <s v="Not Sampled"/>
  </r>
  <r>
    <x v="4"/>
    <x v="51"/>
    <x v="21"/>
    <x v="35"/>
    <x v="116"/>
    <x v="70"/>
    <x v="284"/>
    <x v="43"/>
    <n v="0"/>
    <s v="Not Sampled"/>
    <n v="345"/>
    <m/>
    <m/>
    <m/>
    <m/>
    <m/>
    <m/>
    <m/>
    <m/>
    <s v="Negative"/>
    <s v="Not Sampled"/>
    <s v="Not Sampled"/>
  </r>
  <r>
    <x v="2"/>
    <x v="4"/>
    <x v="37"/>
    <x v="13"/>
    <x v="117"/>
    <x v="77"/>
    <x v="109"/>
    <x v="11"/>
    <n v="0"/>
    <s v="Not Sampled"/>
    <n v="346"/>
    <m/>
    <m/>
    <m/>
    <m/>
    <m/>
    <m/>
    <m/>
    <m/>
    <s v="Negative"/>
    <s v="Not Sampled"/>
    <s v="Not Sampled"/>
  </r>
  <r>
    <x v="5"/>
    <x v="113"/>
    <x v="2"/>
    <x v="2"/>
    <x v="0"/>
    <x v="177"/>
    <x v="179"/>
    <x v="1"/>
    <n v="0"/>
    <s v="Not Sampled"/>
    <n v="347"/>
    <m/>
    <m/>
    <m/>
    <m/>
    <m/>
    <m/>
    <m/>
    <m/>
    <s v="Negative"/>
    <s v="Not Sampled"/>
    <s v="Not Sampled"/>
  </r>
  <r>
    <x v="5"/>
    <x v="6"/>
    <x v="0"/>
    <x v="13"/>
    <x v="97"/>
    <x v="181"/>
    <x v="285"/>
    <x v="25"/>
    <n v="0"/>
    <n v="0"/>
    <n v="348"/>
    <m/>
    <m/>
    <m/>
    <m/>
    <m/>
    <m/>
    <m/>
    <m/>
    <s v="Negative"/>
    <s v="Negative"/>
    <s v="Accurate Prediction"/>
  </r>
  <r>
    <x v="7"/>
    <x v="18"/>
    <x v="6"/>
    <x v="5"/>
    <x v="0"/>
    <x v="182"/>
    <x v="286"/>
    <x v="26"/>
    <n v="1"/>
    <s v="Not Sampled"/>
    <n v="349"/>
    <m/>
    <m/>
    <m/>
    <m/>
    <m/>
    <m/>
    <m/>
    <m/>
    <s v="Positive"/>
    <s v="Not Sampled"/>
    <s v="Not Sampled"/>
  </r>
  <r>
    <x v="3"/>
    <x v="66"/>
    <x v="6"/>
    <x v="2"/>
    <x v="0"/>
    <x v="183"/>
    <x v="78"/>
    <x v="29"/>
    <n v="0"/>
    <s v="Not Sampled"/>
    <n v="350"/>
    <m/>
    <m/>
    <m/>
    <m/>
    <m/>
    <m/>
    <m/>
    <m/>
    <s v="Negative"/>
    <s v="Not Sampled"/>
    <s v="Not Sampled"/>
  </r>
  <r>
    <x v="3"/>
    <x v="59"/>
    <x v="16"/>
    <x v="2"/>
    <x v="0"/>
    <x v="84"/>
    <x v="287"/>
    <x v="13"/>
    <n v="0"/>
    <n v="0"/>
    <n v="351"/>
    <m/>
    <m/>
    <m/>
    <m/>
    <m/>
    <m/>
    <m/>
    <m/>
    <s v="Negative"/>
    <s v="Negative"/>
    <s v="Accurate Prediction"/>
  </r>
  <r>
    <x v="5"/>
    <x v="114"/>
    <x v="1"/>
    <x v="7"/>
    <x v="0"/>
    <x v="184"/>
    <x v="288"/>
    <x v="22"/>
    <n v="0"/>
    <s v="Not Sampled"/>
    <n v="352"/>
    <m/>
    <m/>
    <m/>
    <m/>
    <m/>
    <m/>
    <m/>
    <m/>
    <s v="Negative"/>
    <s v="Not Sampled"/>
    <s v="Not Sampled"/>
  </r>
  <r>
    <x v="2"/>
    <x v="30"/>
    <x v="0"/>
    <x v="39"/>
    <x v="118"/>
    <x v="185"/>
    <x v="289"/>
    <x v="3"/>
    <n v="0"/>
    <n v="0"/>
    <n v="353"/>
    <m/>
    <m/>
    <m/>
    <m/>
    <m/>
    <m/>
    <m/>
    <m/>
    <s v="Negative"/>
    <s v="Negative"/>
    <s v="Accurate Prediction"/>
  </r>
  <r>
    <x v="5"/>
    <x v="30"/>
    <x v="4"/>
    <x v="2"/>
    <x v="0"/>
    <x v="57"/>
    <x v="290"/>
    <x v="4"/>
    <n v="0"/>
    <s v="Not Sampled"/>
    <n v="354"/>
    <m/>
    <m/>
    <m/>
    <m/>
    <m/>
    <m/>
    <m/>
    <m/>
    <s v="Negative"/>
    <s v="Not Sampled"/>
    <s v="Not Sampled"/>
  </r>
  <r>
    <x v="11"/>
    <x v="102"/>
    <x v="21"/>
    <x v="2"/>
    <x v="0"/>
    <x v="25"/>
    <x v="291"/>
    <x v="43"/>
    <n v="1"/>
    <s v="Not Sampled"/>
    <n v="355"/>
    <m/>
    <m/>
    <m/>
    <m/>
    <m/>
    <m/>
    <m/>
    <m/>
    <s v="Positive"/>
    <s v="Not Sampled"/>
    <s v="Not Sampled"/>
  </r>
  <r>
    <x v="2"/>
    <x v="10"/>
    <x v="13"/>
    <x v="32"/>
    <x v="119"/>
    <x v="21"/>
    <x v="55"/>
    <x v="6"/>
    <n v="1"/>
    <s v="Not Sampled"/>
    <n v="356"/>
    <m/>
    <m/>
    <m/>
    <m/>
    <m/>
    <m/>
    <m/>
    <m/>
    <s v="Positive"/>
    <s v="Not Sampled"/>
    <s v="Not Sampled"/>
  </r>
  <r>
    <x v="13"/>
    <x v="52"/>
    <x v="2"/>
    <x v="8"/>
    <x v="0"/>
    <x v="180"/>
    <x v="292"/>
    <x v="30"/>
    <n v="1"/>
    <s v="Not Sampled"/>
    <n v="357"/>
    <m/>
    <m/>
    <m/>
    <m/>
    <m/>
    <m/>
    <m/>
    <m/>
    <s v="Positive"/>
    <s v="Not Sampled"/>
    <s v="Not Sampled"/>
  </r>
  <r>
    <x v="10"/>
    <x v="40"/>
    <x v="10"/>
    <x v="32"/>
    <x v="120"/>
    <x v="186"/>
    <x v="293"/>
    <x v="27"/>
    <n v="0"/>
    <s v="Not Sampled"/>
    <n v="358"/>
    <m/>
    <m/>
    <m/>
    <m/>
    <m/>
    <m/>
    <m/>
    <m/>
    <s v="Negative"/>
    <s v="Not Sampled"/>
    <s v="Not Sampled"/>
  </r>
  <r>
    <x v="2"/>
    <x v="96"/>
    <x v="15"/>
    <x v="35"/>
    <x v="121"/>
    <x v="23"/>
    <x v="261"/>
    <x v="29"/>
    <n v="1"/>
    <s v="Not Sampled"/>
    <n v="359"/>
    <m/>
    <m/>
    <m/>
    <m/>
    <m/>
    <m/>
    <m/>
    <m/>
    <s v="Positive"/>
    <s v="Not Sampled"/>
    <s v="Not Sampled"/>
  </r>
  <r>
    <x v="7"/>
    <x v="115"/>
    <x v="11"/>
    <x v="12"/>
    <x v="54"/>
    <x v="84"/>
    <x v="69"/>
    <x v="29"/>
    <n v="1"/>
    <s v="Not Sampled"/>
    <n v="360"/>
    <m/>
    <m/>
    <m/>
    <m/>
    <m/>
    <m/>
    <m/>
    <m/>
    <s v="Positive"/>
    <s v="Not Sampled"/>
    <s v="Not Sampled"/>
  </r>
  <r>
    <x v="7"/>
    <x v="95"/>
    <x v="9"/>
    <x v="2"/>
    <x v="0"/>
    <x v="187"/>
    <x v="28"/>
    <x v="44"/>
    <n v="0"/>
    <n v="1"/>
    <n v="361"/>
    <m/>
    <m/>
    <m/>
    <m/>
    <m/>
    <m/>
    <m/>
    <m/>
    <s v="Negative"/>
    <s v="Positive"/>
    <s v="Inaccurate Prediction"/>
  </r>
  <r>
    <x v="7"/>
    <x v="28"/>
    <x v="28"/>
    <x v="18"/>
    <x v="0"/>
    <x v="188"/>
    <x v="47"/>
    <x v="39"/>
    <n v="0"/>
    <s v="Not Sampled"/>
    <n v="362"/>
    <m/>
    <m/>
    <m/>
    <m/>
    <m/>
    <m/>
    <m/>
    <m/>
    <s v="Negative"/>
    <s v="Not Sampled"/>
    <s v="Not Sampled"/>
  </r>
  <r>
    <x v="3"/>
    <x v="36"/>
    <x v="4"/>
    <x v="2"/>
    <x v="0"/>
    <x v="70"/>
    <x v="254"/>
    <x v="7"/>
    <n v="1"/>
    <s v="Not Sampled"/>
    <n v="363"/>
    <m/>
    <m/>
    <m/>
    <m/>
    <m/>
    <m/>
    <m/>
    <m/>
    <s v="Positive"/>
    <s v="Not Sampled"/>
    <s v="Not Sampled"/>
  </r>
  <r>
    <x v="3"/>
    <x v="83"/>
    <x v="10"/>
    <x v="14"/>
    <x v="122"/>
    <x v="115"/>
    <x v="294"/>
    <x v="13"/>
    <n v="0"/>
    <s v="Not Sampled"/>
    <n v="364"/>
    <m/>
    <m/>
    <m/>
    <m/>
    <m/>
    <m/>
    <m/>
    <m/>
    <s v="Negative"/>
    <s v="Not Sampled"/>
    <s v="Not Sampled"/>
  </r>
  <r>
    <x v="7"/>
    <x v="6"/>
    <x v="14"/>
    <x v="7"/>
    <x v="117"/>
    <x v="37"/>
    <x v="295"/>
    <x v="13"/>
    <n v="0"/>
    <s v="Not Sampled"/>
    <n v="365"/>
    <m/>
    <m/>
    <m/>
    <m/>
    <m/>
    <m/>
    <m/>
    <m/>
    <s v="Negative"/>
    <s v="Not Sampled"/>
    <s v="Not Sampled"/>
  </r>
  <r>
    <x v="6"/>
    <x v="73"/>
    <x v="5"/>
    <x v="2"/>
    <x v="0"/>
    <x v="32"/>
    <x v="149"/>
    <x v="29"/>
    <n v="1"/>
    <n v="0"/>
    <n v="366"/>
    <m/>
    <m/>
    <m/>
    <m/>
    <m/>
    <m/>
    <m/>
    <m/>
    <s v="Positive"/>
    <s v="Negative"/>
    <s v="Inaccurate Prediction"/>
  </r>
  <r>
    <x v="1"/>
    <x v="39"/>
    <x v="11"/>
    <x v="6"/>
    <x v="0"/>
    <x v="169"/>
    <x v="287"/>
    <x v="4"/>
    <n v="0"/>
    <n v="0"/>
    <n v="367"/>
    <m/>
    <m/>
    <m/>
    <m/>
    <m/>
    <m/>
    <m/>
    <m/>
    <s v="Negative"/>
    <s v="Negative"/>
    <s v="Accurate Prediction"/>
  </r>
  <r>
    <x v="5"/>
    <x v="14"/>
    <x v="24"/>
    <x v="41"/>
    <x v="5"/>
    <x v="155"/>
    <x v="296"/>
    <x v="11"/>
    <n v="0"/>
    <n v="0"/>
    <n v="368"/>
    <m/>
    <m/>
    <m/>
    <m/>
    <m/>
    <m/>
    <m/>
    <m/>
    <s v="Negative"/>
    <s v="Negative"/>
    <s v="Accurate Prediction"/>
  </r>
  <r>
    <x v="2"/>
    <x v="32"/>
    <x v="38"/>
    <x v="7"/>
    <x v="32"/>
    <x v="10"/>
    <x v="297"/>
    <x v="10"/>
    <n v="1"/>
    <s v="Not Sampled"/>
    <n v="369"/>
    <m/>
    <m/>
    <m/>
    <m/>
    <m/>
    <m/>
    <m/>
    <m/>
    <s v="Positive"/>
    <s v="Not Sampled"/>
    <s v="Not Sampled"/>
  </r>
  <r>
    <x v="5"/>
    <x v="5"/>
    <x v="1"/>
    <x v="46"/>
    <x v="123"/>
    <x v="189"/>
    <x v="298"/>
    <x v="14"/>
    <n v="1"/>
    <s v="Not Sampled"/>
    <n v="370"/>
    <m/>
    <m/>
    <m/>
    <m/>
    <m/>
    <m/>
    <m/>
    <m/>
    <s v="Positive"/>
    <s v="Not Sampled"/>
    <s v="Not Sampled"/>
  </r>
  <r>
    <x v="1"/>
    <x v="78"/>
    <x v="11"/>
    <x v="17"/>
    <x v="124"/>
    <x v="12"/>
    <x v="299"/>
    <x v="4"/>
    <n v="0"/>
    <s v="Not Sampled"/>
    <n v="371"/>
    <m/>
    <m/>
    <m/>
    <m/>
    <m/>
    <m/>
    <m/>
    <m/>
    <s v="Negative"/>
    <s v="Not Sampled"/>
    <s v="Not Sampled"/>
  </r>
  <r>
    <x v="1"/>
    <x v="1"/>
    <x v="11"/>
    <x v="29"/>
    <x v="5"/>
    <x v="134"/>
    <x v="300"/>
    <x v="4"/>
    <n v="0"/>
    <n v="0"/>
    <n v="372"/>
    <m/>
    <m/>
    <m/>
    <m/>
    <m/>
    <m/>
    <m/>
    <m/>
    <s v="Negative"/>
    <s v="Negative"/>
    <s v="Accurate Prediction"/>
  </r>
  <r>
    <x v="0"/>
    <x v="38"/>
    <x v="22"/>
    <x v="32"/>
    <x v="48"/>
    <x v="115"/>
    <x v="301"/>
    <x v="14"/>
    <n v="0"/>
    <s v="Not Sampled"/>
    <n v="373"/>
    <m/>
    <m/>
    <m/>
    <m/>
    <m/>
    <m/>
    <m/>
    <m/>
    <s v="Negative"/>
    <s v="Not Sampled"/>
    <s v="Not Sampled"/>
  </r>
  <r>
    <x v="0"/>
    <x v="27"/>
    <x v="33"/>
    <x v="44"/>
    <x v="125"/>
    <x v="190"/>
    <x v="302"/>
    <x v="6"/>
    <n v="0"/>
    <s v="Not Sampled"/>
    <n v="374"/>
    <m/>
    <m/>
    <m/>
    <m/>
    <m/>
    <m/>
    <m/>
    <m/>
    <s v="Negative"/>
    <s v="Not Sampled"/>
    <s v="Not Sampled"/>
  </r>
  <r>
    <x v="10"/>
    <x v="98"/>
    <x v="1"/>
    <x v="44"/>
    <x v="54"/>
    <x v="188"/>
    <x v="303"/>
    <x v="5"/>
    <n v="1"/>
    <n v="1"/>
    <n v="375"/>
    <m/>
    <m/>
    <m/>
    <m/>
    <m/>
    <m/>
    <m/>
    <m/>
    <s v="Positive"/>
    <s v="Positive"/>
    <s v="Accurate Prediction"/>
  </r>
  <r>
    <x v="1"/>
    <x v="116"/>
    <x v="1"/>
    <x v="11"/>
    <x v="126"/>
    <x v="18"/>
    <x v="167"/>
    <x v="11"/>
    <n v="0"/>
    <s v="Not Sampled"/>
    <n v="376"/>
    <m/>
    <m/>
    <m/>
    <m/>
    <m/>
    <m/>
    <m/>
    <m/>
    <s v="Negative"/>
    <s v="Not Sampled"/>
    <s v="Not Sampled"/>
  </r>
  <r>
    <x v="2"/>
    <x v="90"/>
    <x v="12"/>
    <x v="18"/>
    <x v="96"/>
    <x v="19"/>
    <x v="304"/>
    <x v="11"/>
    <n v="0"/>
    <s v="Not Sampled"/>
    <n v="377"/>
    <m/>
    <m/>
    <m/>
    <m/>
    <m/>
    <m/>
    <m/>
    <m/>
    <s v="Negative"/>
    <s v="Not Sampled"/>
    <s v="Not Sampled"/>
  </r>
  <r>
    <x v="3"/>
    <x v="84"/>
    <x v="25"/>
    <x v="2"/>
    <x v="0"/>
    <x v="191"/>
    <x v="21"/>
    <x v="32"/>
    <n v="1"/>
    <s v="Not Sampled"/>
    <n v="378"/>
    <m/>
    <m/>
    <m/>
    <m/>
    <m/>
    <m/>
    <m/>
    <m/>
    <s v="Positive"/>
    <s v="Not Sampled"/>
    <s v="Not Sampled"/>
  </r>
  <r>
    <x v="1"/>
    <x v="67"/>
    <x v="39"/>
    <x v="15"/>
    <x v="127"/>
    <x v="59"/>
    <x v="305"/>
    <x v="20"/>
    <n v="0"/>
    <s v="Not Sampled"/>
    <n v="379"/>
    <m/>
    <m/>
    <m/>
    <m/>
    <m/>
    <m/>
    <m/>
    <m/>
    <s v="Negative"/>
    <s v="Not Sampled"/>
    <s v="Not Sampled"/>
  </r>
  <r>
    <x v="2"/>
    <x v="61"/>
    <x v="5"/>
    <x v="8"/>
    <x v="21"/>
    <x v="98"/>
    <x v="306"/>
    <x v="3"/>
    <n v="0"/>
    <s v="Not Sampled"/>
    <n v="380"/>
    <m/>
    <m/>
    <m/>
    <m/>
    <m/>
    <m/>
    <m/>
    <m/>
    <s v="Negative"/>
    <s v="Not Sampled"/>
    <s v="Not Sampled"/>
  </r>
  <r>
    <x v="1"/>
    <x v="38"/>
    <x v="3"/>
    <x v="29"/>
    <x v="0"/>
    <x v="192"/>
    <x v="183"/>
    <x v="11"/>
    <n v="0"/>
    <s v="Not Sampled"/>
    <n v="381"/>
    <m/>
    <m/>
    <m/>
    <m/>
    <m/>
    <m/>
    <m/>
    <m/>
    <s v="Negative"/>
    <s v="Not Sampled"/>
    <s v="Not Sampled"/>
  </r>
  <r>
    <x v="2"/>
    <x v="49"/>
    <x v="12"/>
    <x v="47"/>
    <x v="98"/>
    <x v="54"/>
    <x v="307"/>
    <x v="4"/>
    <n v="0"/>
    <n v="0"/>
    <n v="382"/>
    <m/>
    <m/>
    <m/>
    <m/>
    <m/>
    <m/>
    <m/>
    <m/>
    <s v="Negative"/>
    <s v="Negative"/>
    <s v="Accurate Prediction"/>
  </r>
  <r>
    <x v="2"/>
    <x v="30"/>
    <x v="0"/>
    <x v="10"/>
    <x v="128"/>
    <x v="16"/>
    <x v="308"/>
    <x v="14"/>
    <n v="0"/>
    <s v="Not Sampled"/>
    <n v="383"/>
    <m/>
    <m/>
    <m/>
    <m/>
    <m/>
    <m/>
    <m/>
    <m/>
    <s v="Negative"/>
    <s v="Not Sampled"/>
    <s v="Not Sampled"/>
  </r>
  <r>
    <x v="2"/>
    <x v="10"/>
    <x v="9"/>
    <x v="20"/>
    <x v="27"/>
    <x v="122"/>
    <x v="309"/>
    <x v="14"/>
    <n v="0"/>
    <s v="Not Sampled"/>
    <n v="384"/>
    <m/>
    <m/>
    <m/>
    <m/>
    <m/>
    <m/>
    <m/>
    <m/>
    <s v="Negative"/>
    <s v="Not Sampled"/>
    <s v="Not Sampled"/>
  </r>
  <r>
    <x v="2"/>
    <x v="93"/>
    <x v="14"/>
    <x v="27"/>
    <x v="52"/>
    <x v="193"/>
    <x v="310"/>
    <x v="3"/>
    <n v="0"/>
    <n v="0"/>
    <n v="385"/>
    <m/>
    <m/>
    <m/>
    <m/>
    <m/>
    <m/>
    <m/>
    <m/>
    <s v="Negative"/>
    <s v="Negative"/>
    <s v="Accurate Prediction"/>
  </r>
  <r>
    <x v="7"/>
    <x v="113"/>
    <x v="10"/>
    <x v="30"/>
    <x v="0"/>
    <x v="167"/>
    <x v="311"/>
    <x v="20"/>
    <n v="1"/>
    <n v="0"/>
    <n v="386"/>
    <m/>
    <m/>
    <m/>
    <m/>
    <m/>
    <m/>
    <m/>
    <m/>
    <s v="Positive"/>
    <s v="Negative"/>
    <s v="Inaccurate Prediction"/>
  </r>
  <r>
    <x v="4"/>
    <x v="38"/>
    <x v="39"/>
    <x v="35"/>
    <x v="0"/>
    <x v="165"/>
    <x v="312"/>
    <x v="10"/>
    <n v="1"/>
    <s v="Not Sampled"/>
    <n v="387"/>
    <m/>
    <m/>
    <m/>
    <m/>
    <m/>
    <m/>
    <m/>
    <m/>
    <s v="Positive"/>
    <s v="Not Sampled"/>
    <s v="Not Sampled"/>
  </r>
  <r>
    <x v="7"/>
    <x v="65"/>
    <x v="1"/>
    <x v="16"/>
    <x v="63"/>
    <x v="61"/>
    <x v="117"/>
    <x v="5"/>
    <n v="1"/>
    <s v="Not Sampled"/>
    <n v="388"/>
    <m/>
    <m/>
    <m/>
    <m/>
    <m/>
    <m/>
    <m/>
    <m/>
    <s v="Positive"/>
    <s v="Not Sampled"/>
    <s v="Not Sampled"/>
  </r>
  <r>
    <x v="5"/>
    <x v="45"/>
    <x v="3"/>
    <x v="17"/>
    <x v="129"/>
    <x v="31"/>
    <x v="313"/>
    <x v="6"/>
    <n v="0"/>
    <n v="0"/>
    <n v="389"/>
    <m/>
    <m/>
    <m/>
    <m/>
    <m/>
    <m/>
    <m/>
    <m/>
    <s v="Negative"/>
    <s v="Negative"/>
    <s v="Accurate Prediction"/>
  </r>
  <r>
    <x v="2"/>
    <x v="45"/>
    <x v="19"/>
    <x v="30"/>
    <x v="130"/>
    <x v="61"/>
    <x v="314"/>
    <x v="8"/>
    <n v="0"/>
    <s v="Not Sampled"/>
    <n v="390"/>
    <m/>
    <m/>
    <m/>
    <m/>
    <m/>
    <m/>
    <m/>
    <m/>
    <s v="Negative"/>
    <s v="Not Sampled"/>
    <s v="Not Sampled"/>
  </r>
  <r>
    <x v="7"/>
    <x v="12"/>
    <x v="15"/>
    <x v="2"/>
    <x v="0"/>
    <x v="194"/>
    <x v="250"/>
    <x v="23"/>
    <n v="1"/>
    <s v="Not Sampled"/>
    <n v="391"/>
    <m/>
    <m/>
    <m/>
    <m/>
    <m/>
    <m/>
    <m/>
    <m/>
    <s v="Positive"/>
    <s v="Not Sampled"/>
    <s v="Not Sampled"/>
  </r>
  <r>
    <x v="2"/>
    <x v="55"/>
    <x v="11"/>
    <x v="36"/>
    <x v="131"/>
    <x v="195"/>
    <x v="282"/>
    <x v="4"/>
    <n v="0"/>
    <s v="Not Sampled"/>
    <n v="392"/>
    <m/>
    <m/>
    <m/>
    <m/>
    <m/>
    <m/>
    <m/>
    <m/>
    <s v="Negative"/>
    <s v="Not Sampled"/>
    <s v="Not Sampled"/>
  </r>
  <r>
    <x v="3"/>
    <x v="113"/>
    <x v="5"/>
    <x v="39"/>
    <x v="74"/>
    <x v="28"/>
    <x v="315"/>
    <x v="26"/>
    <n v="0"/>
    <s v="Not Sampled"/>
    <n v="393"/>
    <m/>
    <m/>
    <m/>
    <m/>
    <m/>
    <m/>
    <m/>
    <m/>
    <s v="Negative"/>
    <s v="Not Sampled"/>
    <s v="Not Sampled"/>
  </r>
  <r>
    <x v="3"/>
    <x v="95"/>
    <x v="4"/>
    <x v="2"/>
    <x v="0"/>
    <x v="35"/>
    <x v="316"/>
    <x v="2"/>
    <n v="1"/>
    <s v="Not Sampled"/>
    <n v="394"/>
    <m/>
    <m/>
    <m/>
    <m/>
    <m/>
    <m/>
    <m/>
    <m/>
    <s v="Positive"/>
    <s v="Not Sampled"/>
    <s v="Not Sampled"/>
  </r>
  <r>
    <x v="0"/>
    <x v="117"/>
    <x v="22"/>
    <x v="20"/>
    <x v="132"/>
    <x v="116"/>
    <x v="317"/>
    <x v="14"/>
    <n v="0"/>
    <s v="Not Sampled"/>
    <n v="395"/>
    <m/>
    <m/>
    <m/>
    <m/>
    <m/>
    <m/>
    <m/>
    <m/>
    <s v="Negative"/>
    <s v="Not Sampled"/>
    <s v="Not Sampled"/>
  </r>
  <r>
    <x v="5"/>
    <x v="20"/>
    <x v="20"/>
    <x v="24"/>
    <x v="133"/>
    <x v="62"/>
    <x v="318"/>
    <x v="16"/>
    <n v="0"/>
    <n v="0"/>
    <n v="396"/>
    <m/>
    <m/>
    <m/>
    <m/>
    <m/>
    <m/>
    <m/>
    <m/>
    <s v="Negative"/>
    <s v="Negative"/>
    <s v="Accurate Prediction"/>
  </r>
  <r>
    <x v="1"/>
    <x v="55"/>
    <x v="19"/>
    <x v="32"/>
    <x v="0"/>
    <x v="82"/>
    <x v="319"/>
    <x v="11"/>
    <n v="1"/>
    <s v="Not Sampled"/>
    <n v="397"/>
    <m/>
    <m/>
    <m/>
    <m/>
    <m/>
    <m/>
    <m/>
    <m/>
    <s v="Positive"/>
    <s v="Not Sampled"/>
    <s v="Not Sampled"/>
  </r>
  <r>
    <x v="5"/>
    <x v="118"/>
    <x v="9"/>
    <x v="2"/>
    <x v="0"/>
    <x v="96"/>
    <x v="282"/>
    <x v="14"/>
    <n v="0"/>
    <s v="Not Sampled"/>
    <n v="398"/>
    <m/>
    <m/>
    <m/>
    <m/>
    <m/>
    <m/>
    <m/>
    <m/>
    <s v="Negative"/>
    <s v="Not Sampled"/>
    <s v="Not Sampled"/>
  </r>
  <r>
    <x v="5"/>
    <x v="104"/>
    <x v="9"/>
    <x v="1"/>
    <x v="0"/>
    <x v="115"/>
    <x v="320"/>
    <x v="14"/>
    <n v="1"/>
    <s v="Not Sampled"/>
    <n v="399"/>
    <m/>
    <m/>
    <m/>
    <m/>
    <m/>
    <m/>
    <m/>
    <m/>
    <s v="Positive"/>
    <s v="Not Sampled"/>
    <s v="Not Sampled"/>
  </r>
  <r>
    <x v="3"/>
    <x v="50"/>
    <x v="11"/>
    <x v="2"/>
    <x v="0"/>
    <x v="61"/>
    <x v="321"/>
    <x v="2"/>
    <n v="1"/>
    <n v="0"/>
    <n v="400"/>
    <m/>
    <m/>
    <m/>
    <m/>
    <m/>
    <m/>
    <m/>
    <m/>
    <s v="Positive"/>
    <s v="Negative"/>
    <s v="Inaccurate Prediction"/>
  </r>
  <r>
    <x v="6"/>
    <x v="59"/>
    <x v="40"/>
    <x v="2"/>
    <x v="0"/>
    <x v="29"/>
    <x v="187"/>
    <x v="15"/>
    <n v="0"/>
    <s v="Not Sampled"/>
    <n v="401"/>
    <m/>
    <m/>
    <m/>
    <m/>
    <m/>
    <m/>
    <m/>
    <m/>
    <s v="Negative"/>
    <s v="Not Sampled"/>
    <s v="Not Sampled"/>
  </r>
  <r>
    <x v="7"/>
    <x v="60"/>
    <x v="16"/>
    <x v="4"/>
    <x v="84"/>
    <x v="145"/>
    <x v="129"/>
    <x v="20"/>
    <n v="1"/>
    <s v="Not Sampled"/>
    <n v="402"/>
    <m/>
    <m/>
    <m/>
    <m/>
    <m/>
    <m/>
    <m/>
    <m/>
    <s v="Positive"/>
    <s v="Not Sampled"/>
    <s v="Not Sampled"/>
  </r>
  <r>
    <x v="11"/>
    <x v="119"/>
    <x v="4"/>
    <x v="14"/>
    <x v="0"/>
    <x v="31"/>
    <x v="246"/>
    <x v="19"/>
    <n v="0"/>
    <n v="0"/>
    <n v="403"/>
    <m/>
    <m/>
    <m/>
    <m/>
    <m/>
    <m/>
    <m/>
    <m/>
    <s v="Negative"/>
    <s v="Negative"/>
    <s v="Accurate Prediction"/>
  </r>
  <r>
    <x v="7"/>
    <x v="120"/>
    <x v="11"/>
    <x v="2"/>
    <x v="0"/>
    <x v="35"/>
    <x v="322"/>
    <x v="17"/>
    <n v="1"/>
    <s v="Not Sampled"/>
    <n v="404"/>
    <m/>
    <m/>
    <m/>
    <m/>
    <m/>
    <m/>
    <m/>
    <m/>
    <s v="Positive"/>
    <s v="Not Sampled"/>
    <s v="Not Sampled"/>
  </r>
  <r>
    <x v="0"/>
    <x v="62"/>
    <x v="26"/>
    <x v="5"/>
    <x v="134"/>
    <x v="196"/>
    <x v="254"/>
    <x v="25"/>
    <n v="0"/>
    <s v="Not Sampled"/>
    <n v="405"/>
    <m/>
    <m/>
    <m/>
    <m/>
    <m/>
    <m/>
    <m/>
    <m/>
    <s v="Negative"/>
    <s v="Not Sampled"/>
    <s v="Not Sampled"/>
  </r>
  <r>
    <x v="3"/>
    <x v="109"/>
    <x v="5"/>
    <x v="2"/>
    <x v="0"/>
    <x v="11"/>
    <x v="323"/>
    <x v="22"/>
    <n v="1"/>
    <n v="0"/>
    <n v="406"/>
    <m/>
    <m/>
    <m/>
    <m/>
    <m/>
    <m/>
    <m/>
    <m/>
    <s v="Positive"/>
    <s v="Negative"/>
    <s v="Inaccurate Prediction"/>
  </r>
  <r>
    <x v="1"/>
    <x v="39"/>
    <x v="0"/>
    <x v="2"/>
    <x v="0"/>
    <x v="101"/>
    <x v="101"/>
    <x v="14"/>
    <n v="0"/>
    <s v="Not Sampled"/>
    <n v="407"/>
    <m/>
    <m/>
    <m/>
    <m/>
    <m/>
    <m/>
    <m/>
    <m/>
    <s v="Negative"/>
    <s v="Not Sampled"/>
    <s v="Not Sampled"/>
  </r>
  <r>
    <x v="4"/>
    <x v="100"/>
    <x v="10"/>
    <x v="2"/>
    <x v="0"/>
    <x v="151"/>
    <x v="324"/>
    <x v="16"/>
    <n v="1"/>
    <s v="Not Sampled"/>
    <n v="408"/>
    <m/>
    <m/>
    <m/>
    <m/>
    <m/>
    <m/>
    <m/>
    <m/>
    <s v="Positive"/>
    <s v="Not Sampled"/>
    <s v="Not Sampled"/>
  </r>
  <r>
    <x v="2"/>
    <x v="121"/>
    <x v="3"/>
    <x v="48"/>
    <x v="135"/>
    <x v="197"/>
    <x v="325"/>
    <x v="6"/>
    <n v="1"/>
    <s v="Not Sampled"/>
    <n v="409"/>
    <m/>
    <m/>
    <m/>
    <m/>
    <m/>
    <m/>
    <m/>
    <m/>
    <s v="Positive"/>
    <s v="Not Sampled"/>
    <s v="Not Sampled"/>
  </r>
  <r>
    <x v="6"/>
    <x v="29"/>
    <x v="8"/>
    <x v="15"/>
    <x v="0"/>
    <x v="140"/>
    <x v="326"/>
    <x v="6"/>
    <n v="0"/>
    <s v="Not Sampled"/>
    <n v="410"/>
    <m/>
    <m/>
    <m/>
    <m/>
    <m/>
    <m/>
    <m/>
    <m/>
    <s v="Negative"/>
    <s v="Not Sampled"/>
    <s v="Not Sampled"/>
  </r>
  <r>
    <x v="2"/>
    <x v="56"/>
    <x v="5"/>
    <x v="8"/>
    <x v="34"/>
    <x v="184"/>
    <x v="303"/>
    <x v="14"/>
    <n v="0"/>
    <s v="Not Sampled"/>
    <n v="411"/>
    <m/>
    <m/>
    <m/>
    <m/>
    <m/>
    <m/>
    <m/>
    <m/>
    <s v="Negative"/>
    <s v="Not Sampled"/>
    <s v="Not Sampled"/>
  </r>
  <r>
    <x v="2"/>
    <x v="92"/>
    <x v="16"/>
    <x v="17"/>
    <x v="136"/>
    <x v="197"/>
    <x v="327"/>
    <x v="11"/>
    <n v="0"/>
    <s v="Not Sampled"/>
    <n v="412"/>
    <m/>
    <m/>
    <m/>
    <m/>
    <m/>
    <m/>
    <m/>
    <m/>
    <s v="Negative"/>
    <s v="Not Sampled"/>
    <s v="Not Sampled"/>
  </r>
  <r>
    <x v="2"/>
    <x v="92"/>
    <x v="10"/>
    <x v="29"/>
    <x v="137"/>
    <x v="173"/>
    <x v="152"/>
    <x v="4"/>
    <n v="0"/>
    <s v="Not Sampled"/>
    <n v="413"/>
    <m/>
    <m/>
    <m/>
    <m/>
    <m/>
    <m/>
    <m/>
    <m/>
    <s v="Negative"/>
    <s v="Not Sampled"/>
    <s v="Not Sampled"/>
  </r>
  <r>
    <x v="1"/>
    <x v="0"/>
    <x v="12"/>
    <x v="0"/>
    <x v="119"/>
    <x v="137"/>
    <x v="328"/>
    <x v="4"/>
    <n v="1"/>
    <n v="0"/>
    <n v="414"/>
    <m/>
    <m/>
    <m/>
    <m/>
    <m/>
    <m/>
    <m/>
    <m/>
    <s v="Positive"/>
    <s v="Negative"/>
    <s v="Inaccurate Prediction"/>
  </r>
  <r>
    <x v="5"/>
    <x v="5"/>
    <x v="16"/>
    <x v="12"/>
    <x v="138"/>
    <x v="140"/>
    <x v="61"/>
    <x v="11"/>
    <n v="1"/>
    <n v="1"/>
    <n v="415"/>
    <m/>
    <m/>
    <m/>
    <m/>
    <m/>
    <m/>
    <m/>
    <m/>
    <s v="Positive"/>
    <s v="Positive"/>
    <s v="Accurate Prediction"/>
  </r>
  <r>
    <x v="2"/>
    <x v="75"/>
    <x v="3"/>
    <x v="23"/>
    <x v="0"/>
    <x v="185"/>
    <x v="329"/>
    <x v="11"/>
    <n v="0"/>
    <s v="Not Sampled"/>
    <n v="416"/>
    <m/>
    <m/>
    <m/>
    <m/>
    <m/>
    <m/>
    <m/>
    <m/>
    <s v="Negative"/>
    <s v="Not Sampled"/>
    <s v="Not Sampled"/>
  </r>
  <r>
    <x v="3"/>
    <x v="65"/>
    <x v="1"/>
    <x v="5"/>
    <x v="0"/>
    <x v="70"/>
    <x v="330"/>
    <x v="26"/>
    <n v="1"/>
    <s v="Not Sampled"/>
    <n v="417"/>
    <m/>
    <m/>
    <m/>
    <m/>
    <m/>
    <m/>
    <m/>
    <m/>
    <s v="Positive"/>
    <s v="Not Sampled"/>
    <s v="Not Sampled"/>
  </r>
  <r>
    <x v="2"/>
    <x v="8"/>
    <x v="3"/>
    <x v="2"/>
    <x v="0"/>
    <x v="198"/>
    <x v="331"/>
    <x v="23"/>
    <n v="0"/>
    <n v="0"/>
    <n v="418"/>
    <m/>
    <m/>
    <m/>
    <m/>
    <m/>
    <m/>
    <m/>
    <m/>
    <s v="Negative"/>
    <s v="Negative"/>
    <s v="Accurate Prediction"/>
  </r>
  <r>
    <x v="5"/>
    <x v="52"/>
    <x v="11"/>
    <x v="30"/>
    <x v="133"/>
    <x v="199"/>
    <x v="332"/>
    <x v="6"/>
    <n v="1"/>
    <s v="Not Sampled"/>
    <n v="419"/>
    <m/>
    <m/>
    <m/>
    <m/>
    <m/>
    <m/>
    <m/>
    <m/>
    <s v="Positive"/>
    <s v="Not Sampled"/>
    <s v="Not Sampled"/>
  </r>
  <r>
    <x v="2"/>
    <x v="93"/>
    <x v="21"/>
    <x v="4"/>
    <x v="13"/>
    <x v="200"/>
    <x v="333"/>
    <x v="25"/>
    <n v="0"/>
    <s v="Not Sampled"/>
    <n v="420"/>
    <m/>
    <m/>
    <m/>
    <m/>
    <m/>
    <m/>
    <m/>
    <m/>
    <s v="Negative"/>
    <s v="Not Sampled"/>
    <s v="Not Sampled"/>
  </r>
  <r>
    <x v="0"/>
    <x v="19"/>
    <x v="3"/>
    <x v="10"/>
    <x v="7"/>
    <x v="14"/>
    <x v="334"/>
    <x v="4"/>
    <n v="0"/>
    <n v="0"/>
    <n v="421"/>
    <m/>
    <m/>
    <m/>
    <m/>
    <m/>
    <m/>
    <m/>
    <m/>
    <s v="Negative"/>
    <s v="Negative"/>
    <s v="Accurate Prediction"/>
  </r>
  <r>
    <x v="1"/>
    <x v="29"/>
    <x v="11"/>
    <x v="40"/>
    <x v="65"/>
    <x v="102"/>
    <x v="116"/>
    <x v="4"/>
    <n v="0"/>
    <s v="Not Sampled"/>
    <n v="422"/>
    <m/>
    <m/>
    <m/>
    <m/>
    <m/>
    <m/>
    <m/>
    <m/>
    <s v="Negative"/>
    <s v="Not Sampled"/>
    <s v="Not Sampled"/>
  </r>
  <r>
    <x v="0"/>
    <x v="109"/>
    <x v="11"/>
    <x v="29"/>
    <x v="0"/>
    <x v="98"/>
    <x v="335"/>
    <x v="4"/>
    <n v="0"/>
    <s v="Not Sampled"/>
    <n v="423"/>
    <m/>
    <m/>
    <m/>
    <m/>
    <m/>
    <m/>
    <m/>
    <m/>
    <s v="Negative"/>
    <s v="Not Sampled"/>
    <s v="Not Sampled"/>
  </r>
  <r>
    <x v="4"/>
    <x v="68"/>
    <x v="4"/>
    <x v="5"/>
    <x v="14"/>
    <x v="92"/>
    <x v="336"/>
    <x v="31"/>
    <n v="1"/>
    <n v="1"/>
    <n v="424"/>
    <m/>
    <m/>
    <m/>
    <m/>
    <m/>
    <m/>
    <m/>
    <m/>
    <s v="Positive"/>
    <s v="Positive"/>
    <s v="Accurate Prediction"/>
  </r>
  <r>
    <x v="3"/>
    <x v="97"/>
    <x v="4"/>
    <x v="15"/>
    <x v="139"/>
    <x v="201"/>
    <x v="337"/>
    <x v="2"/>
    <n v="1"/>
    <s v="Not Sampled"/>
    <n v="425"/>
    <m/>
    <m/>
    <m/>
    <m/>
    <m/>
    <m/>
    <m/>
    <m/>
    <s v="Positive"/>
    <s v="Not Sampled"/>
    <s v="Not Sampled"/>
  </r>
  <r>
    <x v="1"/>
    <x v="19"/>
    <x v="2"/>
    <x v="2"/>
    <x v="0"/>
    <x v="12"/>
    <x v="152"/>
    <x v="14"/>
    <n v="0"/>
    <s v="Not Sampled"/>
    <n v="426"/>
    <m/>
    <m/>
    <m/>
    <m/>
    <m/>
    <m/>
    <m/>
    <m/>
    <s v="Negative"/>
    <s v="Not Sampled"/>
    <s v="Not Sampled"/>
  </r>
  <r>
    <x v="2"/>
    <x v="94"/>
    <x v="11"/>
    <x v="8"/>
    <x v="105"/>
    <x v="174"/>
    <x v="338"/>
    <x v="19"/>
    <n v="1"/>
    <s v="Not Sampled"/>
    <n v="427"/>
    <m/>
    <m/>
    <m/>
    <m/>
    <m/>
    <m/>
    <m/>
    <m/>
    <s v="Positive"/>
    <s v="Not Sampled"/>
    <s v="Not Sampled"/>
  </r>
  <r>
    <x v="1"/>
    <x v="3"/>
    <x v="41"/>
    <x v="40"/>
    <x v="8"/>
    <x v="102"/>
    <x v="223"/>
    <x v="25"/>
    <n v="0"/>
    <n v="0"/>
    <n v="428"/>
    <m/>
    <m/>
    <m/>
    <m/>
    <m/>
    <m/>
    <m/>
    <m/>
    <s v="Negative"/>
    <s v="Negative"/>
    <s v="Accurate Prediction"/>
  </r>
  <r>
    <x v="2"/>
    <x v="50"/>
    <x v="1"/>
    <x v="14"/>
    <x v="105"/>
    <x v="145"/>
    <x v="1"/>
    <x v="33"/>
    <n v="1"/>
    <s v="Not Sampled"/>
    <n v="429"/>
    <m/>
    <m/>
    <m/>
    <m/>
    <m/>
    <m/>
    <m/>
    <m/>
    <s v="Positive"/>
    <s v="Not Sampled"/>
    <s v="Not Sampled"/>
  </r>
  <r>
    <x v="0"/>
    <x v="6"/>
    <x v="2"/>
    <x v="2"/>
    <x v="0"/>
    <x v="202"/>
    <x v="339"/>
    <x v="1"/>
    <n v="0"/>
    <s v="Not Sampled"/>
    <n v="430"/>
    <m/>
    <m/>
    <m/>
    <m/>
    <m/>
    <m/>
    <m/>
    <m/>
    <s v="Negative"/>
    <s v="Not Sampled"/>
    <s v="Not Sampled"/>
  </r>
  <r>
    <x v="5"/>
    <x v="9"/>
    <x v="10"/>
    <x v="41"/>
    <x v="108"/>
    <x v="25"/>
    <x v="7"/>
    <x v="19"/>
    <n v="0"/>
    <s v="Not Sampled"/>
    <n v="431"/>
    <m/>
    <m/>
    <m/>
    <m/>
    <m/>
    <m/>
    <m/>
    <m/>
    <s v="Negative"/>
    <s v="Not Sampled"/>
    <s v="Not Sampled"/>
  </r>
  <r>
    <x v="2"/>
    <x v="11"/>
    <x v="10"/>
    <x v="22"/>
    <x v="140"/>
    <x v="135"/>
    <x v="268"/>
    <x v="11"/>
    <n v="0"/>
    <n v="0"/>
    <n v="432"/>
    <m/>
    <m/>
    <m/>
    <m/>
    <m/>
    <m/>
    <m/>
    <m/>
    <s v="Negative"/>
    <s v="Negative"/>
    <s v="Accurate Prediction"/>
  </r>
  <r>
    <x v="0"/>
    <x v="4"/>
    <x v="25"/>
    <x v="2"/>
    <x v="0"/>
    <x v="6"/>
    <x v="148"/>
    <x v="29"/>
    <n v="0"/>
    <s v="Not Sampled"/>
    <n v="433"/>
    <m/>
    <m/>
    <m/>
    <m/>
    <m/>
    <m/>
    <m/>
    <m/>
    <s v="Negative"/>
    <s v="Not Sampled"/>
    <s v="Not Sampled"/>
  </r>
  <r>
    <x v="2"/>
    <x v="30"/>
    <x v="3"/>
    <x v="47"/>
    <x v="0"/>
    <x v="203"/>
    <x v="340"/>
    <x v="31"/>
    <n v="0"/>
    <n v="0"/>
    <n v="434"/>
    <m/>
    <m/>
    <m/>
    <m/>
    <m/>
    <m/>
    <m/>
    <m/>
    <s v="Negative"/>
    <s v="Negative"/>
    <s v="Accurate Prediction"/>
  </r>
  <r>
    <x v="1"/>
    <x v="47"/>
    <x v="2"/>
    <x v="2"/>
    <x v="0"/>
    <x v="197"/>
    <x v="310"/>
    <x v="29"/>
    <n v="1"/>
    <n v="1"/>
    <n v="435"/>
    <m/>
    <m/>
    <m/>
    <m/>
    <m/>
    <m/>
    <m/>
    <m/>
    <s v="Positive"/>
    <s v="Positive"/>
    <s v="Accurate Prediction"/>
  </r>
  <r>
    <x v="10"/>
    <x v="98"/>
    <x v="23"/>
    <x v="12"/>
    <x v="0"/>
    <x v="83"/>
    <x v="168"/>
    <x v="17"/>
    <n v="0"/>
    <s v="Not Sampled"/>
    <n v="436"/>
    <m/>
    <m/>
    <m/>
    <m/>
    <m/>
    <m/>
    <m/>
    <m/>
    <s v="Negative"/>
    <s v="Not Sampled"/>
    <s v="Not Sampled"/>
  </r>
  <r>
    <x v="7"/>
    <x v="83"/>
    <x v="25"/>
    <x v="2"/>
    <x v="0"/>
    <x v="106"/>
    <x v="251"/>
    <x v="6"/>
    <n v="0"/>
    <s v="Not Sampled"/>
    <n v="437"/>
    <m/>
    <m/>
    <m/>
    <m/>
    <m/>
    <m/>
    <m/>
    <m/>
    <s v="Negative"/>
    <s v="Not Sampled"/>
    <s v="Not Sampled"/>
  </r>
  <r>
    <x v="2"/>
    <x v="75"/>
    <x v="9"/>
    <x v="11"/>
    <x v="0"/>
    <x v="198"/>
    <x v="341"/>
    <x v="4"/>
    <n v="0"/>
    <s v="Not Sampled"/>
    <n v="438"/>
    <m/>
    <m/>
    <m/>
    <m/>
    <m/>
    <m/>
    <m/>
    <m/>
    <s v="Negative"/>
    <s v="Not Sampled"/>
    <s v="Not Sampled"/>
  </r>
  <r>
    <x v="6"/>
    <x v="61"/>
    <x v="21"/>
    <x v="2"/>
    <x v="0"/>
    <x v="8"/>
    <x v="19"/>
    <x v="2"/>
    <n v="0"/>
    <s v="Not Sampled"/>
    <n v="439"/>
    <m/>
    <m/>
    <m/>
    <m/>
    <m/>
    <m/>
    <m/>
    <m/>
    <s v="Negative"/>
    <s v="Not Sampled"/>
    <s v="Not Sampled"/>
  </r>
  <r>
    <x v="1"/>
    <x v="115"/>
    <x v="35"/>
    <x v="14"/>
    <x v="0"/>
    <x v="82"/>
    <x v="342"/>
    <x v="17"/>
    <n v="1"/>
    <s v="Not Sampled"/>
    <n v="440"/>
    <m/>
    <m/>
    <m/>
    <m/>
    <m/>
    <m/>
    <m/>
    <m/>
    <s v="Positive"/>
    <s v="Not Sampled"/>
    <s v="Not Sampled"/>
  </r>
  <r>
    <x v="0"/>
    <x v="8"/>
    <x v="19"/>
    <x v="17"/>
    <x v="52"/>
    <x v="204"/>
    <x v="343"/>
    <x v="11"/>
    <n v="0"/>
    <s v="Not Sampled"/>
    <n v="441"/>
    <m/>
    <m/>
    <m/>
    <m/>
    <m/>
    <m/>
    <m/>
    <m/>
    <s v="Negative"/>
    <s v="Not Sampled"/>
    <s v="Not Sampled"/>
  </r>
  <r>
    <x v="3"/>
    <x v="17"/>
    <x v="11"/>
    <x v="21"/>
    <x v="77"/>
    <x v="34"/>
    <x v="344"/>
    <x v="3"/>
    <n v="0"/>
    <n v="0"/>
    <n v="442"/>
    <m/>
    <m/>
    <m/>
    <m/>
    <m/>
    <m/>
    <m/>
    <m/>
    <s v="Negative"/>
    <s v="Negative"/>
    <s v="Accurate Prediction"/>
  </r>
  <r>
    <x v="4"/>
    <x v="81"/>
    <x v="9"/>
    <x v="2"/>
    <x v="0"/>
    <x v="85"/>
    <x v="345"/>
    <x v="9"/>
    <n v="1"/>
    <s v="Not Sampled"/>
    <n v="443"/>
    <m/>
    <m/>
    <m/>
    <m/>
    <m/>
    <m/>
    <m/>
    <m/>
    <s v="Positive"/>
    <s v="Not Sampled"/>
    <s v="Not Sampled"/>
  </r>
  <r>
    <x v="3"/>
    <x v="17"/>
    <x v="0"/>
    <x v="39"/>
    <x v="0"/>
    <x v="27"/>
    <x v="222"/>
    <x v="13"/>
    <n v="1"/>
    <s v="Not Sampled"/>
    <n v="444"/>
    <m/>
    <m/>
    <m/>
    <m/>
    <m/>
    <m/>
    <m/>
    <m/>
    <s v="Positive"/>
    <s v="Not Sampled"/>
    <s v="Not Sampled"/>
  </r>
  <r>
    <x v="1"/>
    <x v="22"/>
    <x v="4"/>
    <x v="49"/>
    <x v="141"/>
    <x v="205"/>
    <x v="346"/>
    <x v="14"/>
    <n v="1"/>
    <s v="Not Sampled"/>
    <n v="445"/>
    <m/>
    <m/>
    <m/>
    <m/>
    <m/>
    <m/>
    <m/>
    <m/>
    <s v="Positive"/>
    <s v="Not Sampled"/>
    <s v="Not Sampled"/>
  </r>
  <r>
    <x v="2"/>
    <x v="45"/>
    <x v="5"/>
    <x v="39"/>
    <x v="19"/>
    <x v="159"/>
    <x v="347"/>
    <x v="6"/>
    <n v="0"/>
    <n v="0"/>
    <n v="446"/>
    <m/>
    <m/>
    <m/>
    <m/>
    <m/>
    <m/>
    <m/>
    <m/>
    <s v="Negative"/>
    <s v="Negative"/>
    <s v="Accurate Prediction"/>
  </r>
  <r>
    <x v="1"/>
    <x v="50"/>
    <x v="6"/>
    <x v="45"/>
    <x v="53"/>
    <x v="23"/>
    <x v="348"/>
    <x v="25"/>
    <n v="0"/>
    <n v="0"/>
    <n v="447"/>
    <m/>
    <m/>
    <m/>
    <m/>
    <m/>
    <m/>
    <m/>
    <m/>
    <s v="Negative"/>
    <s v="Negative"/>
    <s v="Accurate Prediction"/>
  </r>
  <r>
    <x v="1"/>
    <x v="88"/>
    <x v="11"/>
    <x v="18"/>
    <x v="36"/>
    <x v="0"/>
    <x v="349"/>
    <x v="11"/>
    <n v="1"/>
    <s v="Not Sampled"/>
    <n v="448"/>
    <m/>
    <m/>
    <m/>
    <m/>
    <m/>
    <m/>
    <m/>
    <m/>
    <s v="Positive"/>
    <s v="Not Sampled"/>
    <s v="Not Sampled"/>
  </r>
  <r>
    <x v="1"/>
    <x v="24"/>
    <x v="10"/>
    <x v="10"/>
    <x v="55"/>
    <x v="85"/>
    <x v="350"/>
    <x v="25"/>
    <n v="0"/>
    <s v="Not Sampled"/>
    <n v="449"/>
    <m/>
    <m/>
    <m/>
    <m/>
    <m/>
    <m/>
    <m/>
    <m/>
    <s v="Negative"/>
    <s v="Not Sampled"/>
    <s v="Not Sampled"/>
  </r>
  <r>
    <x v="2"/>
    <x v="118"/>
    <x v="11"/>
    <x v="27"/>
    <x v="142"/>
    <x v="206"/>
    <x v="351"/>
    <x v="1"/>
    <n v="0"/>
    <s v="Not Sampled"/>
    <n v="450"/>
    <m/>
    <m/>
    <m/>
    <m/>
    <m/>
    <m/>
    <m/>
    <m/>
    <s v="Negative"/>
    <s v="Not Sampled"/>
    <s v="Not Sampled"/>
  </r>
  <r>
    <x v="0"/>
    <x v="63"/>
    <x v="9"/>
    <x v="2"/>
    <x v="0"/>
    <x v="11"/>
    <x v="157"/>
    <x v="1"/>
    <n v="1"/>
    <s v="Not Sampled"/>
    <n v="451"/>
    <m/>
    <m/>
    <m/>
    <m/>
    <m/>
    <m/>
    <m/>
    <m/>
    <s v="Positive"/>
    <s v="Not Sampled"/>
    <s v="Not Sampled"/>
  </r>
  <r>
    <x v="1"/>
    <x v="25"/>
    <x v="3"/>
    <x v="5"/>
    <x v="14"/>
    <x v="180"/>
    <x v="352"/>
    <x v="14"/>
    <n v="0"/>
    <s v="Not Sampled"/>
    <n v="452"/>
    <m/>
    <m/>
    <m/>
    <m/>
    <m/>
    <m/>
    <m/>
    <m/>
    <s v="Negative"/>
    <s v="Not Sampled"/>
    <s v="Not Sampled"/>
  </r>
  <r>
    <x v="0"/>
    <x v="93"/>
    <x v="2"/>
    <x v="2"/>
    <x v="0"/>
    <x v="58"/>
    <x v="353"/>
    <x v="46"/>
    <n v="0"/>
    <n v="0"/>
    <n v="453"/>
    <m/>
    <m/>
    <m/>
    <m/>
    <m/>
    <m/>
    <m/>
    <m/>
    <s v="Negative"/>
    <s v="Negative"/>
    <s v="Accurate Prediction"/>
  </r>
  <r>
    <x v="0"/>
    <x v="45"/>
    <x v="14"/>
    <x v="7"/>
    <x v="16"/>
    <x v="136"/>
    <x v="354"/>
    <x v="3"/>
    <n v="0"/>
    <s v="Not Sampled"/>
    <n v="454"/>
    <m/>
    <m/>
    <m/>
    <m/>
    <m/>
    <m/>
    <m/>
    <m/>
    <s v="Negative"/>
    <s v="Not Sampled"/>
    <s v="Not Sampled"/>
  </r>
  <r>
    <x v="16"/>
    <x v="122"/>
    <x v="0"/>
    <x v="8"/>
    <x v="0"/>
    <x v="0"/>
    <x v="355"/>
    <x v="19"/>
    <n v="1"/>
    <s v="Not Sampled"/>
    <n v="455"/>
    <m/>
    <m/>
    <m/>
    <m/>
    <m/>
    <m/>
    <m/>
    <m/>
    <s v="Positive"/>
    <s v="Not Sampled"/>
    <s v="Not Sampled"/>
  </r>
  <r>
    <x v="2"/>
    <x v="3"/>
    <x v="14"/>
    <x v="2"/>
    <x v="0"/>
    <x v="207"/>
    <x v="140"/>
    <x v="38"/>
    <n v="0"/>
    <s v="Not Sampled"/>
    <n v="456"/>
    <m/>
    <m/>
    <m/>
    <m/>
    <m/>
    <m/>
    <m/>
    <m/>
    <s v="Negative"/>
    <s v="Not Sampled"/>
    <s v="Not Sampled"/>
  </r>
  <r>
    <x v="7"/>
    <x v="103"/>
    <x v="3"/>
    <x v="7"/>
    <x v="10"/>
    <x v="208"/>
    <x v="356"/>
    <x v="3"/>
    <n v="0"/>
    <s v="Not Sampled"/>
    <n v="457"/>
    <m/>
    <m/>
    <m/>
    <m/>
    <m/>
    <m/>
    <m/>
    <m/>
    <s v="Negative"/>
    <s v="Not Sampled"/>
    <s v="Not Sampled"/>
  </r>
  <r>
    <x v="9"/>
    <x v="89"/>
    <x v="16"/>
    <x v="46"/>
    <x v="143"/>
    <x v="209"/>
    <x v="357"/>
    <x v="42"/>
    <n v="1"/>
    <s v="Not Sampled"/>
    <n v="458"/>
    <m/>
    <m/>
    <m/>
    <m/>
    <m/>
    <m/>
    <m/>
    <m/>
    <s v="Positive"/>
    <s v="Not Sampled"/>
    <s v="Not Sampled"/>
  </r>
  <r>
    <x v="11"/>
    <x v="63"/>
    <x v="10"/>
    <x v="12"/>
    <x v="140"/>
    <x v="151"/>
    <x v="358"/>
    <x v="47"/>
    <n v="0"/>
    <s v="Not Sampled"/>
    <n v="459"/>
    <m/>
    <m/>
    <m/>
    <m/>
    <m/>
    <m/>
    <m/>
    <m/>
    <s v="Negative"/>
    <s v="Not Sampled"/>
    <s v="Not Sampled"/>
  </r>
  <r>
    <x v="11"/>
    <x v="24"/>
    <x v="5"/>
    <x v="29"/>
    <x v="79"/>
    <x v="163"/>
    <x v="359"/>
    <x v="27"/>
    <n v="0"/>
    <s v="Not Sampled"/>
    <n v="460"/>
    <m/>
    <m/>
    <m/>
    <m/>
    <m/>
    <m/>
    <m/>
    <m/>
    <s v="Negative"/>
    <s v="Not Sampled"/>
    <s v="Not Sampled"/>
  </r>
  <r>
    <x v="2"/>
    <x v="37"/>
    <x v="0"/>
    <x v="2"/>
    <x v="0"/>
    <x v="181"/>
    <x v="360"/>
    <x v="25"/>
    <n v="0"/>
    <s v="Not Sampled"/>
    <n v="461"/>
    <m/>
    <m/>
    <m/>
    <m/>
    <m/>
    <m/>
    <m/>
    <m/>
    <s v="Negative"/>
    <s v="Not Sampled"/>
    <s v="Not Sampled"/>
  </r>
  <r>
    <x v="4"/>
    <x v="58"/>
    <x v="9"/>
    <x v="32"/>
    <x v="51"/>
    <x v="186"/>
    <x v="361"/>
    <x v="16"/>
    <n v="0"/>
    <s v="Not Sampled"/>
    <n v="462"/>
    <m/>
    <m/>
    <m/>
    <m/>
    <m/>
    <m/>
    <m/>
    <m/>
    <s v="Negative"/>
    <s v="Not Sampled"/>
    <s v="Not Sampled"/>
  </r>
  <r>
    <x v="7"/>
    <x v="40"/>
    <x v="4"/>
    <x v="8"/>
    <x v="0"/>
    <x v="32"/>
    <x v="61"/>
    <x v="26"/>
    <n v="0"/>
    <s v="Not Sampled"/>
    <n v="463"/>
    <m/>
    <m/>
    <m/>
    <m/>
    <m/>
    <m/>
    <m/>
    <m/>
    <s v="Negative"/>
    <s v="Not Sampled"/>
    <s v="Not Sampled"/>
  </r>
  <r>
    <x v="9"/>
    <x v="109"/>
    <x v="34"/>
    <x v="2"/>
    <x v="0"/>
    <x v="33"/>
    <x v="362"/>
    <x v="34"/>
    <n v="0"/>
    <n v="0"/>
    <n v="464"/>
    <m/>
    <m/>
    <m/>
    <m/>
    <m/>
    <m/>
    <m/>
    <m/>
    <s v="Negative"/>
    <s v="Negative"/>
    <s v="Accurate Prediction"/>
  </r>
  <r>
    <x v="1"/>
    <x v="73"/>
    <x v="20"/>
    <x v="27"/>
    <x v="16"/>
    <x v="181"/>
    <x v="117"/>
    <x v="4"/>
    <n v="0"/>
    <s v="Not Sampled"/>
    <n v="465"/>
    <m/>
    <m/>
    <m/>
    <m/>
    <m/>
    <m/>
    <m/>
    <m/>
    <s v="Negative"/>
    <s v="Not Sampled"/>
    <s v="Not Sampled"/>
  </r>
  <r>
    <x v="1"/>
    <x v="58"/>
    <x v="33"/>
    <x v="25"/>
    <x v="22"/>
    <x v="157"/>
    <x v="363"/>
    <x v="11"/>
    <n v="0"/>
    <s v="Not Sampled"/>
    <n v="466"/>
    <m/>
    <m/>
    <m/>
    <m/>
    <m/>
    <m/>
    <m/>
    <m/>
    <s v="Negative"/>
    <s v="Not Sampled"/>
    <s v="Not Sampled"/>
  </r>
  <r>
    <x v="1"/>
    <x v="75"/>
    <x v="11"/>
    <x v="35"/>
    <x v="31"/>
    <x v="8"/>
    <x v="364"/>
    <x v="14"/>
    <n v="0"/>
    <s v="Not Sampled"/>
    <n v="467"/>
    <m/>
    <m/>
    <m/>
    <m/>
    <m/>
    <m/>
    <m/>
    <m/>
    <s v="Negative"/>
    <s v="Not Sampled"/>
    <s v="Not Sampled"/>
  </r>
  <r>
    <x v="4"/>
    <x v="24"/>
    <x v="2"/>
    <x v="2"/>
    <x v="0"/>
    <x v="135"/>
    <x v="365"/>
    <x v="19"/>
    <n v="1"/>
    <s v="Not Sampled"/>
    <n v="468"/>
    <m/>
    <m/>
    <m/>
    <m/>
    <m/>
    <m/>
    <m/>
    <m/>
    <s v="Positive"/>
    <s v="Not Sampled"/>
    <s v="Not Sampled"/>
  </r>
  <r>
    <x v="6"/>
    <x v="16"/>
    <x v="4"/>
    <x v="4"/>
    <x v="32"/>
    <x v="210"/>
    <x v="366"/>
    <x v="23"/>
    <n v="0"/>
    <s v="Not Sampled"/>
    <n v="469"/>
    <m/>
    <m/>
    <m/>
    <m/>
    <m/>
    <m/>
    <m/>
    <m/>
    <s v="Negative"/>
    <s v="Not Sampled"/>
    <s v="Not Sampled"/>
  </r>
  <r>
    <x v="2"/>
    <x v="65"/>
    <x v="1"/>
    <x v="32"/>
    <x v="0"/>
    <x v="211"/>
    <x v="367"/>
    <x v="6"/>
    <n v="0"/>
    <s v="Not Sampled"/>
    <n v="470"/>
    <m/>
    <m/>
    <m/>
    <m/>
    <m/>
    <m/>
    <m/>
    <m/>
    <s v="Negative"/>
    <s v="Not Sampled"/>
    <s v="Not Sampled"/>
  </r>
  <r>
    <x v="1"/>
    <x v="59"/>
    <x v="9"/>
    <x v="9"/>
    <x v="0"/>
    <x v="34"/>
    <x v="368"/>
    <x v="11"/>
    <n v="0"/>
    <s v="Not Sampled"/>
    <n v="471"/>
    <m/>
    <m/>
    <m/>
    <m/>
    <m/>
    <m/>
    <m/>
    <m/>
    <s v="Negative"/>
    <s v="Not Sampled"/>
    <s v="Not Sampled"/>
  </r>
  <r>
    <x v="1"/>
    <x v="93"/>
    <x v="19"/>
    <x v="21"/>
    <x v="0"/>
    <x v="212"/>
    <x v="247"/>
    <x v="11"/>
    <n v="0"/>
    <s v="Not Sampled"/>
    <n v="472"/>
    <m/>
    <m/>
    <m/>
    <m/>
    <m/>
    <m/>
    <m/>
    <m/>
    <s v="Negative"/>
    <s v="Not Sampled"/>
    <s v="Not Sampled"/>
  </r>
  <r>
    <x v="8"/>
    <x v="60"/>
    <x v="8"/>
    <x v="2"/>
    <x v="0"/>
    <x v="106"/>
    <x v="369"/>
    <x v="48"/>
    <n v="0"/>
    <s v="Not Sampled"/>
    <n v="473"/>
    <m/>
    <m/>
    <m/>
    <m/>
    <m/>
    <m/>
    <m/>
    <m/>
    <s v="Negative"/>
    <s v="Not Sampled"/>
    <s v="Not Sampled"/>
  </r>
  <r>
    <x v="3"/>
    <x v="48"/>
    <x v="11"/>
    <x v="2"/>
    <x v="0"/>
    <x v="11"/>
    <x v="370"/>
    <x v="3"/>
    <n v="0"/>
    <s v="Not Sampled"/>
    <n v="474"/>
    <m/>
    <m/>
    <m/>
    <m/>
    <m/>
    <m/>
    <m/>
    <m/>
    <s v="Negative"/>
    <s v="Not Sampled"/>
    <s v="Not Sampled"/>
  </r>
  <r>
    <x v="1"/>
    <x v="59"/>
    <x v="16"/>
    <x v="21"/>
    <x v="0"/>
    <x v="30"/>
    <x v="70"/>
    <x v="45"/>
    <n v="0"/>
    <s v="Not Sampled"/>
    <n v="475"/>
    <m/>
    <m/>
    <m/>
    <m/>
    <m/>
    <m/>
    <m/>
    <m/>
    <s v="Negative"/>
    <s v="Not Sampled"/>
    <s v="Not Sampled"/>
  </r>
  <r>
    <x v="0"/>
    <x v="38"/>
    <x v="6"/>
    <x v="45"/>
    <x v="144"/>
    <x v="47"/>
    <x v="371"/>
    <x v="29"/>
    <n v="1"/>
    <s v="Not Sampled"/>
    <n v="476"/>
    <m/>
    <m/>
    <m/>
    <m/>
    <m/>
    <m/>
    <m/>
    <m/>
    <s v="Positive"/>
    <s v="Not Sampled"/>
    <s v="Not Sampled"/>
  </r>
  <r>
    <x v="8"/>
    <x v="48"/>
    <x v="15"/>
    <x v="6"/>
    <x v="27"/>
    <x v="74"/>
    <x v="372"/>
    <x v="2"/>
    <n v="0"/>
    <s v="Not Sampled"/>
    <n v="477"/>
    <m/>
    <m/>
    <m/>
    <m/>
    <m/>
    <m/>
    <m/>
    <m/>
    <s v="Negative"/>
    <s v="Not Sampled"/>
    <s v="Not Sampled"/>
  </r>
  <r>
    <x v="4"/>
    <x v="51"/>
    <x v="10"/>
    <x v="9"/>
    <x v="96"/>
    <x v="151"/>
    <x v="373"/>
    <x v="16"/>
    <n v="0"/>
    <n v="0"/>
    <n v="478"/>
    <m/>
    <m/>
    <m/>
    <m/>
    <m/>
    <m/>
    <m/>
    <m/>
    <s v="Negative"/>
    <s v="Negative"/>
    <s v="Accurate Prediction"/>
  </r>
  <r>
    <x v="3"/>
    <x v="77"/>
    <x v="24"/>
    <x v="1"/>
    <x v="0"/>
    <x v="43"/>
    <x v="374"/>
    <x v="44"/>
    <n v="0"/>
    <s v="Not Sampled"/>
    <n v="479"/>
    <m/>
    <m/>
    <m/>
    <m/>
    <m/>
    <m/>
    <m/>
    <m/>
    <s v="Negative"/>
    <s v="Not Sampled"/>
    <s v="Not Sampled"/>
  </r>
  <r>
    <x v="5"/>
    <x v="95"/>
    <x v="9"/>
    <x v="8"/>
    <x v="145"/>
    <x v="130"/>
    <x v="46"/>
    <x v="20"/>
    <n v="1"/>
    <n v="1"/>
    <n v="480"/>
    <m/>
    <m/>
    <m/>
    <m/>
    <m/>
    <m/>
    <m/>
    <m/>
    <s v="Positive"/>
    <s v="Positive"/>
    <s v="Accurate Prediction"/>
  </r>
  <r>
    <x v="1"/>
    <x v="62"/>
    <x v="21"/>
    <x v="18"/>
    <x v="0"/>
    <x v="213"/>
    <x v="269"/>
    <x v="29"/>
    <n v="0"/>
    <s v="Not Sampled"/>
    <n v="481"/>
    <m/>
    <m/>
    <m/>
    <m/>
    <m/>
    <m/>
    <m/>
    <m/>
    <s v="Negative"/>
    <s v="Not Sampled"/>
    <s v="Not Sampled"/>
  </r>
  <r>
    <x v="3"/>
    <x v="69"/>
    <x v="22"/>
    <x v="29"/>
    <x v="51"/>
    <x v="157"/>
    <x v="296"/>
    <x v="6"/>
    <n v="0"/>
    <s v="Not Sampled"/>
    <n v="482"/>
    <m/>
    <m/>
    <m/>
    <m/>
    <m/>
    <m/>
    <m/>
    <m/>
    <s v="Negative"/>
    <s v="Not Sampled"/>
    <s v="Not Sampled"/>
  </r>
  <r>
    <x v="1"/>
    <x v="1"/>
    <x v="1"/>
    <x v="1"/>
    <x v="1"/>
    <x v="1"/>
    <x v="1"/>
    <x v="1"/>
    <n v="0"/>
    <s v="Not Sampled"/>
    <n v="483"/>
    <m/>
    <m/>
    <m/>
    <m/>
    <m/>
    <m/>
    <m/>
    <m/>
    <s v="Negative"/>
    <s v="Not Sampled"/>
    <s v="Not Sampled"/>
  </r>
  <r>
    <x v="1"/>
    <x v="2"/>
    <x v="2"/>
    <x v="2"/>
    <x v="0"/>
    <x v="2"/>
    <x v="2"/>
    <x v="2"/>
    <n v="1"/>
    <s v="Not Sampled"/>
    <n v="484"/>
    <m/>
    <m/>
    <m/>
    <m/>
    <m/>
    <m/>
    <m/>
    <m/>
    <s v="Positive"/>
    <s v="Not Sampled"/>
    <s v="Not Sampled"/>
  </r>
  <r>
    <x v="1"/>
    <x v="3"/>
    <x v="3"/>
    <x v="3"/>
    <x v="2"/>
    <x v="3"/>
    <x v="3"/>
    <x v="3"/>
    <n v="1"/>
    <s v="Not Sampled"/>
    <n v="485"/>
    <m/>
    <m/>
    <m/>
    <m/>
    <m/>
    <m/>
    <m/>
    <m/>
    <s v="Positive"/>
    <s v="Not Sampled"/>
    <s v="Not Sampled"/>
  </r>
  <r>
    <x v="2"/>
    <x v="4"/>
    <x v="0"/>
    <x v="4"/>
    <x v="3"/>
    <x v="4"/>
    <x v="4"/>
    <x v="4"/>
    <n v="0"/>
    <n v="0"/>
    <n v="486"/>
    <m/>
    <m/>
    <m/>
    <m/>
    <m/>
    <m/>
    <m/>
    <m/>
    <s v="Negative"/>
    <s v="Negative"/>
    <s v="Accurate Prediction"/>
  </r>
  <r>
    <x v="1"/>
    <x v="5"/>
    <x v="4"/>
    <x v="5"/>
    <x v="4"/>
    <x v="5"/>
    <x v="5"/>
    <x v="5"/>
    <n v="0"/>
    <s v="Not Sampled"/>
    <n v="487"/>
    <m/>
    <m/>
    <m/>
    <m/>
    <m/>
    <m/>
    <m/>
    <m/>
    <s v="Negative"/>
    <s v="Not Sampled"/>
    <s v="Not Sampled"/>
  </r>
  <r>
    <x v="3"/>
    <x v="6"/>
    <x v="5"/>
    <x v="6"/>
    <x v="0"/>
    <x v="6"/>
    <x v="6"/>
    <x v="6"/>
    <n v="0"/>
    <s v="Not Sampled"/>
    <n v="488"/>
    <m/>
    <m/>
    <m/>
    <m/>
    <m/>
    <m/>
    <m/>
    <m/>
    <s v="Negative"/>
    <s v="Not Sampled"/>
    <s v="Not Sampled"/>
  </r>
  <r>
    <x v="4"/>
    <x v="7"/>
    <x v="6"/>
    <x v="2"/>
    <x v="0"/>
    <x v="7"/>
    <x v="7"/>
    <x v="7"/>
    <n v="0"/>
    <s v="Not Sampled"/>
    <n v="489"/>
    <m/>
    <m/>
    <m/>
    <m/>
    <m/>
    <m/>
    <m/>
    <m/>
    <s v="Negative"/>
    <s v="Not Sampled"/>
    <s v="Not Sampled"/>
  </r>
  <r>
    <x v="0"/>
    <x v="8"/>
    <x v="7"/>
    <x v="7"/>
    <x v="5"/>
    <x v="8"/>
    <x v="8"/>
    <x v="3"/>
    <n v="0"/>
    <s v="Not Sampled"/>
    <n v="490"/>
    <m/>
    <m/>
    <m/>
    <m/>
    <m/>
    <m/>
    <m/>
    <m/>
    <s v="Negative"/>
    <s v="Not Sampled"/>
    <s v="Not Sampled"/>
  </r>
  <r>
    <x v="0"/>
    <x v="9"/>
    <x v="8"/>
    <x v="8"/>
    <x v="0"/>
    <x v="9"/>
    <x v="9"/>
    <x v="8"/>
    <n v="0"/>
    <s v="Not Sampled"/>
    <n v="491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s v="Not Sampled"/>
    <n v="492"/>
    <m/>
    <m/>
    <m/>
    <m/>
    <m/>
    <m/>
    <m/>
    <m/>
    <s v="Negative"/>
    <s v="Not Sampled"/>
    <s v="Not Sampled"/>
  </r>
  <r>
    <x v="3"/>
    <x v="10"/>
    <x v="9"/>
    <x v="10"/>
    <x v="6"/>
    <x v="11"/>
    <x v="11"/>
    <x v="10"/>
    <n v="1"/>
    <s v="Not Sampled"/>
    <n v="493"/>
    <m/>
    <m/>
    <m/>
    <m/>
    <m/>
    <m/>
    <m/>
    <m/>
    <s v="Positive"/>
    <s v="Not Sampled"/>
    <s v="Not Sampled"/>
  </r>
  <r>
    <x v="5"/>
    <x v="11"/>
    <x v="2"/>
    <x v="2"/>
    <x v="0"/>
    <x v="12"/>
    <x v="12"/>
    <x v="11"/>
    <n v="0"/>
    <s v="Not Sampled"/>
    <n v="494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s v="Not Sampled"/>
    <n v="495"/>
    <m/>
    <m/>
    <m/>
    <m/>
    <m/>
    <m/>
    <m/>
    <m/>
    <s v="Negative"/>
    <s v="Not Sampled"/>
    <s v="Not Sampled"/>
  </r>
  <r>
    <x v="7"/>
    <x v="13"/>
    <x v="3"/>
    <x v="2"/>
    <x v="0"/>
    <x v="14"/>
    <x v="9"/>
    <x v="13"/>
    <n v="0"/>
    <s v="Not Sampled"/>
    <n v="496"/>
    <m/>
    <m/>
    <m/>
    <m/>
    <m/>
    <m/>
    <m/>
    <m/>
    <s v="Negative"/>
    <s v="Not Sampled"/>
    <s v="Not Sampled"/>
  </r>
  <r>
    <x v="0"/>
    <x v="14"/>
    <x v="5"/>
    <x v="11"/>
    <x v="7"/>
    <x v="15"/>
    <x v="14"/>
    <x v="14"/>
    <n v="0"/>
    <s v="Not Sampled"/>
    <n v="497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s v="Not Sampled"/>
    <n v="498"/>
    <m/>
    <m/>
    <m/>
    <m/>
    <m/>
    <m/>
    <m/>
    <m/>
    <s v="Positive"/>
    <s v="Not Sampled"/>
    <s v="Not Sampled"/>
  </r>
  <r>
    <x v="6"/>
    <x v="16"/>
    <x v="10"/>
    <x v="5"/>
    <x v="9"/>
    <x v="17"/>
    <x v="16"/>
    <x v="16"/>
    <n v="0"/>
    <s v="Not Sampled"/>
    <n v="499"/>
    <m/>
    <m/>
    <m/>
    <m/>
    <m/>
    <m/>
    <m/>
    <m/>
    <s v="Negative"/>
    <s v="Not Sampled"/>
    <s v="Not Sampled"/>
  </r>
  <r>
    <x v="0"/>
    <x v="17"/>
    <x v="8"/>
    <x v="13"/>
    <x v="10"/>
    <x v="18"/>
    <x v="17"/>
    <x v="4"/>
    <n v="0"/>
    <s v="Not Sampled"/>
    <n v="500"/>
    <m/>
    <m/>
    <m/>
    <m/>
    <m/>
    <m/>
    <m/>
    <m/>
    <s v="Negative"/>
    <s v="Not Sampled"/>
    <s v="Not Sampled"/>
  </r>
  <r>
    <x v="5"/>
    <x v="1"/>
    <x v="5"/>
    <x v="5"/>
    <x v="0"/>
    <x v="19"/>
    <x v="18"/>
    <x v="6"/>
    <n v="0"/>
    <s v="Not Sampled"/>
    <n v="501"/>
    <m/>
    <m/>
    <m/>
    <m/>
    <m/>
    <m/>
    <m/>
    <m/>
    <s v="Negative"/>
    <s v="Not Sampled"/>
    <s v="Not Sampled"/>
  </r>
  <r>
    <x v="6"/>
    <x v="18"/>
    <x v="3"/>
    <x v="4"/>
    <x v="0"/>
    <x v="20"/>
    <x v="19"/>
    <x v="17"/>
    <n v="1"/>
    <s v="Not Sampled"/>
    <n v="502"/>
    <m/>
    <m/>
    <m/>
    <m/>
    <m/>
    <m/>
    <m/>
    <m/>
    <s v="Positive"/>
    <s v="Not Sampled"/>
    <s v="Not Sampled"/>
  </r>
  <r>
    <x v="8"/>
    <x v="19"/>
    <x v="11"/>
    <x v="14"/>
    <x v="11"/>
    <x v="21"/>
    <x v="20"/>
    <x v="17"/>
    <n v="0"/>
    <s v="Not Sampled"/>
    <n v="503"/>
    <m/>
    <m/>
    <m/>
    <m/>
    <m/>
    <m/>
    <m/>
    <m/>
    <s v="Negative"/>
    <s v="Not Sampled"/>
    <s v="Not Sampled"/>
  </r>
  <r>
    <x v="5"/>
    <x v="20"/>
    <x v="4"/>
    <x v="15"/>
    <x v="0"/>
    <x v="22"/>
    <x v="21"/>
    <x v="18"/>
    <n v="0"/>
    <s v="Not Sampled"/>
    <n v="504"/>
    <m/>
    <m/>
    <m/>
    <m/>
    <m/>
    <m/>
    <m/>
    <m/>
    <s v="Negative"/>
    <s v="Not Sampled"/>
    <s v="Not Sampled"/>
  </r>
  <r>
    <x v="9"/>
    <x v="21"/>
    <x v="1"/>
    <x v="2"/>
    <x v="0"/>
    <x v="21"/>
    <x v="22"/>
    <x v="19"/>
    <n v="0"/>
    <s v="Not Sampled"/>
    <n v="505"/>
    <m/>
    <m/>
    <m/>
    <m/>
    <m/>
    <m/>
    <m/>
    <m/>
    <s v="Negative"/>
    <s v="Not Sampled"/>
    <s v="Not Sampled"/>
  </r>
  <r>
    <x v="1"/>
    <x v="22"/>
    <x v="8"/>
    <x v="16"/>
    <x v="12"/>
    <x v="23"/>
    <x v="23"/>
    <x v="20"/>
    <n v="1"/>
    <s v="Not Sampled"/>
    <n v="506"/>
    <m/>
    <m/>
    <m/>
    <m/>
    <m/>
    <m/>
    <m/>
    <m/>
    <s v="Positive"/>
    <s v="Not Sampled"/>
    <s v="Not Sampled"/>
  </r>
  <r>
    <x v="2"/>
    <x v="23"/>
    <x v="12"/>
    <x v="17"/>
    <x v="13"/>
    <x v="24"/>
    <x v="24"/>
    <x v="4"/>
    <n v="0"/>
    <n v="0"/>
    <n v="507"/>
    <m/>
    <m/>
    <m/>
    <m/>
    <m/>
    <m/>
    <m/>
    <m/>
    <s v="Negative"/>
    <s v="Negative"/>
    <s v="Accurate Prediction"/>
  </r>
  <r>
    <x v="0"/>
    <x v="1"/>
    <x v="13"/>
    <x v="17"/>
    <x v="7"/>
    <x v="25"/>
    <x v="25"/>
    <x v="4"/>
    <n v="0"/>
    <s v="Not Sampled"/>
    <n v="508"/>
    <m/>
    <m/>
    <m/>
    <m/>
    <m/>
    <m/>
    <m/>
    <m/>
    <s v="Negative"/>
    <s v="Not Sampled"/>
    <s v="Not Sampled"/>
  </r>
  <r>
    <x v="4"/>
    <x v="24"/>
    <x v="4"/>
    <x v="2"/>
    <x v="0"/>
    <x v="26"/>
    <x v="26"/>
    <x v="21"/>
    <n v="0"/>
    <s v="Not Sampled"/>
    <n v="509"/>
    <m/>
    <m/>
    <m/>
    <m/>
    <m/>
    <m/>
    <m/>
    <m/>
    <s v="Negative"/>
    <s v="Not Sampled"/>
    <s v="Not Sampled"/>
  </r>
  <r>
    <x v="10"/>
    <x v="1"/>
    <x v="5"/>
    <x v="1"/>
    <x v="0"/>
    <x v="27"/>
    <x v="27"/>
    <x v="22"/>
    <n v="1"/>
    <n v="0"/>
    <n v="510"/>
    <m/>
    <m/>
    <m/>
    <m/>
    <m/>
    <m/>
    <m/>
    <m/>
    <s v="Positive"/>
    <s v="Negative"/>
    <s v="Inaccurate Prediction"/>
  </r>
  <r>
    <x v="1"/>
    <x v="4"/>
    <x v="0"/>
    <x v="6"/>
    <x v="14"/>
    <x v="28"/>
    <x v="28"/>
    <x v="4"/>
    <n v="0"/>
    <s v="Not Sampled"/>
    <n v="511"/>
    <m/>
    <m/>
    <m/>
    <m/>
    <m/>
    <m/>
    <m/>
    <m/>
    <s v="Negative"/>
    <s v="Not Sampled"/>
    <s v="Not Sampled"/>
  </r>
  <r>
    <x v="11"/>
    <x v="25"/>
    <x v="3"/>
    <x v="2"/>
    <x v="0"/>
    <x v="29"/>
    <x v="29"/>
    <x v="5"/>
    <n v="0"/>
    <n v="0"/>
    <n v="512"/>
    <m/>
    <m/>
    <m/>
    <m/>
    <m/>
    <m/>
    <m/>
    <m/>
    <s v="Negative"/>
    <s v="Negative"/>
    <s v="Accurate Prediction"/>
  </r>
  <r>
    <x v="0"/>
    <x v="25"/>
    <x v="0"/>
    <x v="2"/>
    <x v="0"/>
    <x v="30"/>
    <x v="30"/>
    <x v="11"/>
    <n v="0"/>
    <s v="Not Sampled"/>
    <n v="513"/>
    <m/>
    <m/>
    <m/>
    <m/>
    <m/>
    <m/>
    <m/>
    <m/>
    <s v="Negative"/>
    <s v="Not Sampled"/>
    <s v="Not Sampled"/>
  </r>
  <r>
    <x v="5"/>
    <x v="6"/>
    <x v="14"/>
    <x v="13"/>
    <x v="15"/>
    <x v="6"/>
    <x v="31"/>
    <x v="3"/>
    <n v="0"/>
    <s v="Not Sampled"/>
    <n v="514"/>
    <m/>
    <m/>
    <m/>
    <m/>
    <m/>
    <m/>
    <m/>
    <m/>
    <s v="Negative"/>
    <s v="Not Sampled"/>
    <s v="Not Sampled"/>
  </r>
  <r>
    <x v="5"/>
    <x v="26"/>
    <x v="9"/>
    <x v="10"/>
    <x v="16"/>
    <x v="31"/>
    <x v="32"/>
    <x v="6"/>
    <n v="1"/>
    <s v="Not Sampled"/>
    <n v="515"/>
    <m/>
    <m/>
    <m/>
    <m/>
    <m/>
    <m/>
    <m/>
    <m/>
    <s v="Positive"/>
    <s v="Not Sampled"/>
    <s v="Not Sampled"/>
  </r>
  <r>
    <x v="11"/>
    <x v="2"/>
    <x v="21"/>
    <x v="24"/>
    <x v="134"/>
    <x v="214"/>
    <x v="375"/>
    <x v="49"/>
    <n v="1"/>
    <s v="Not Sampled"/>
    <n v="516"/>
    <m/>
    <m/>
    <m/>
    <m/>
    <m/>
    <m/>
    <m/>
    <m/>
    <s v="Positive"/>
    <s v="Not Sampled"/>
    <s v="Not Sampled"/>
  </r>
  <r>
    <x v="8"/>
    <x v="10"/>
    <x v="24"/>
    <x v="2"/>
    <x v="0"/>
    <x v="209"/>
    <x v="13"/>
    <x v="42"/>
    <n v="0"/>
    <s v="Not Sampled"/>
    <n v="517"/>
    <m/>
    <m/>
    <m/>
    <m/>
    <m/>
    <m/>
    <m/>
    <m/>
    <s v="Negative"/>
    <s v="Not Sampled"/>
    <s v="Not Sampled"/>
  </r>
  <r>
    <x v="13"/>
    <x v="71"/>
    <x v="12"/>
    <x v="2"/>
    <x v="0"/>
    <x v="10"/>
    <x v="156"/>
    <x v="17"/>
    <n v="0"/>
    <s v="Not Sampled"/>
    <n v="518"/>
    <m/>
    <m/>
    <m/>
    <m/>
    <m/>
    <m/>
    <m/>
    <m/>
    <s v="Negative"/>
    <s v="Not Sampled"/>
    <s v="Not Sampled"/>
  </r>
  <r>
    <x v="6"/>
    <x v="52"/>
    <x v="8"/>
    <x v="42"/>
    <x v="146"/>
    <x v="58"/>
    <x v="213"/>
    <x v="35"/>
    <n v="0"/>
    <s v="Not Sampled"/>
    <n v="519"/>
    <m/>
    <m/>
    <m/>
    <m/>
    <m/>
    <m/>
    <m/>
    <m/>
    <s v="Negative"/>
    <s v="Not Sampled"/>
    <s v="Not Sampled"/>
  </r>
  <r>
    <x v="0"/>
    <x v="123"/>
    <x v="9"/>
    <x v="5"/>
    <x v="5"/>
    <x v="26"/>
    <x v="179"/>
    <x v="14"/>
    <n v="0"/>
    <s v="Not Sampled"/>
    <n v="520"/>
    <m/>
    <m/>
    <m/>
    <m/>
    <m/>
    <m/>
    <m/>
    <m/>
    <s v="Negative"/>
    <s v="Not Sampled"/>
    <s v="Not Sampled"/>
  </r>
  <r>
    <x v="5"/>
    <x v="73"/>
    <x v="6"/>
    <x v="12"/>
    <x v="66"/>
    <x v="34"/>
    <x v="47"/>
    <x v="25"/>
    <n v="0"/>
    <s v="Not Sampled"/>
    <n v="521"/>
    <m/>
    <m/>
    <m/>
    <m/>
    <m/>
    <m/>
    <m/>
    <m/>
    <s v="Negative"/>
    <s v="Not Sampled"/>
    <s v="Not Sampled"/>
  </r>
  <r>
    <x v="6"/>
    <x v="48"/>
    <x v="2"/>
    <x v="2"/>
    <x v="0"/>
    <x v="12"/>
    <x v="66"/>
    <x v="25"/>
    <n v="0"/>
    <s v="Not Sampled"/>
    <n v="522"/>
    <m/>
    <m/>
    <m/>
    <m/>
    <m/>
    <m/>
    <m/>
    <m/>
    <s v="Negative"/>
    <s v="Not Sampled"/>
    <s v="Not Sampled"/>
  </r>
  <r>
    <x v="11"/>
    <x v="23"/>
    <x v="9"/>
    <x v="2"/>
    <x v="0"/>
    <x v="89"/>
    <x v="204"/>
    <x v="10"/>
    <n v="1"/>
    <s v="Not Sampled"/>
    <n v="523"/>
    <m/>
    <m/>
    <m/>
    <m/>
    <m/>
    <m/>
    <m/>
    <m/>
    <s v="Positive"/>
    <s v="Not Sampled"/>
    <s v="Not Sampled"/>
  </r>
  <r>
    <x v="5"/>
    <x v="10"/>
    <x v="22"/>
    <x v="2"/>
    <x v="0"/>
    <x v="31"/>
    <x v="187"/>
    <x v="3"/>
    <n v="0"/>
    <s v="Not Sampled"/>
    <n v="524"/>
    <m/>
    <m/>
    <m/>
    <m/>
    <m/>
    <m/>
    <m/>
    <m/>
    <s v="Negative"/>
    <s v="Not Sampled"/>
    <s v="Not Sampled"/>
  </r>
  <r>
    <x v="5"/>
    <x v="90"/>
    <x v="12"/>
    <x v="10"/>
    <x v="0"/>
    <x v="181"/>
    <x v="314"/>
    <x v="4"/>
    <n v="0"/>
    <n v="0"/>
    <n v="525"/>
    <m/>
    <m/>
    <m/>
    <m/>
    <m/>
    <m/>
    <m/>
    <m/>
    <s v="Negative"/>
    <s v="Negative"/>
    <s v="Accurate Prediction"/>
  </r>
  <r>
    <x v="2"/>
    <x v="75"/>
    <x v="11"/>
    <x v="13"/>
    <x v="21"/>
    <x v="198"/>
    <x v="167"/>
    <x v="4"/>
    <n v="0"/>
    <s v="Not Sampled"/>
    <n v="526"/>
    <m/>
    <m/>
    <m/>
    <m/>
    <m/>
    <m/>
    <m/>
    <m/>
    <s v="Negative"/>
    <s v="Not Sampled"/>
    <s v="Not Sampled"/>
  </r>
  <r>
    <x v="5"/>
    <x v="113"/>
    <x v="10"/>
    <x v="11"/>
    <x v="16"/>
    <x v="215"/>
    <x v="376"/>
    <x v="3"/>
    <n v="0"/>
    <n v="0"/>
    <n v="527"/>
    <m/>
    <m/>
    <m/>
    <m/>
    <m/>
    <m/>
    <m/>
    <m/>
    <s v="Negative"/>
    <s v="Negative"/>
    <s v="Accurate Prediction"/>
  </r>
  <r>
    <x v="1"/>
    <x v="17"/>
    <x v="19"/>
    <x v="1"/>
    <x v="147"/>
    <x v="98"/>
    <x v="377"/>
    <x v="11"/>
    <n v="0"/>
    <s v="Not Sampled"/>
    <n v="528"/>
    <m/>
    <m/>
    <m/>
    <m/>
    <m/>
    <m/>
    <m/>
    <m/>
    <s v="Negative"/>
    <s v="Not Sampled"/>
    <s v="Not Sampled"/>
  </r>
  <r>
    <x v="1"/>
    <x v="31"/>
    <x v="7"/>
    <x v="2"/>
    <x v="0"/>
    <x v="66"/>
    <x v="311"/>
    <x v="2"/>
    <n v="0"/>
    <s v="Not Sampled"/>
    <n v="529"/>
    <m/>
    <m/>
    <m/>
    <m/>
    <m/>
    <m/>
    <m/>
    <m/>
    <s v="Negative"/>
    <s v="Not Sampled"/>
    <s v="Not Sampled"/>
  </r>
  <r>
    <x v="0"/>
    <x v="27"/>
    <x v="12"/>
    <x v="10"/>
    <x v="148"/>
    <x v="187"/>
    <x v="378"/>
    <x v="11"/>
    <n v="0"/>
    <s v="Not Sampled"/>
    <n v="530"/>
    <m/>
    <m/>
    <m/>
    <m/>
    <m/>
    <m/>
    <m/>
    <m/>
    <s v="Negative"/>
    <s v="Not Sampled"/>
    <s v="Not Sampled"/>
  </r>
  <r>
    <x v="1"/>
    <x v="61"/>
    <x v="15"/>
    <x v="2"/>
    <x v="0"/>
    <x v="200"/>
    <x v="211"/>
    <x v="3"/>
    <n v="0"/>
    <s v="Not Sampled"/>
    <n v="531"/>
    <m/>
    <m/>
    <m/>
    <m/>
    <m/>
    <m/>
    <m/>
    <m/>
    <s v="Negative"/>
    <s v="Not Sampled"/>
    <s v="Not Sampled"/>
  </r>
  <r>
    <x v="2"/>
    <x v="103"/>
    <x v="19"/>
    <x v="43"/>
    <x v="149"/>
    <x v="211"/>
    <x v="379"/>
    <x v="29"/>
    <n v="0"/>
    <s v="Not Sampled"/>
    <n v="532"/>
    <m/>
    <m/>
    <m/>
    <m/>
    <m/>
    <m/>
    <m/>
    <m/>
    <s v="Negative"/>
    <s v="Not Sampled"/>
    <s v="Not Sampled"/>
  </r>
  <r>
    <x v="6"/>
    <x v="25"/>
    <x v="2"/>
    <x v="2"/>
    <x v="0"/>
    <x v="187"/>
    <x v="380"/>
    <x v="2"/>
    <n v="0"/>
    <s v="Not Sampled"/>
    <n v="533"/>
    <m/>
    <m/>
    <m/>
    <m/>
    <m/>
    <m/>
    <m/>
    <m/>
    <s v="Negative"/>
    <s v="Not Sampled"/>
    <s v="Not Sampled"/>
  </r>
  <r>
    <x v="2"/>
    <x v="108"/>
    <x v="20"/>
    <x v="8"/>
    <x v="79"/>
    <x v="21"/>
    <x v="381"/>
    <x v="3"/>
    <n v="0"/>
    <n v="0"/>
    <n v="534"/>
    <m/>
    <m/>
    <m/>
    <m/>
    <m/>
    <m/>
    <m/>
    <m/>
    <s v="Negative"/>
    <s v="Negative"/>
    <s v="Accurate Prediction"/>
  </r>
  <r>
    <x v="3"/>
    <x v="77"/>
    <x v="2"/>
    <x v="2"/>
    <x v="0"/>
    <x v="35"/>
    <x v="291"/>
    <x v="1"/>
    <n v="1"/>
    <n v="1"/>
    <n v="535"/>
    <m/>
    <m/>
    <m/>
    <m/>
    <m/>
    <m/>
    <m/>
    <m/>
    <s v="Positive"/>
    <s v="Positive"/>
    <s v="Accurate Prediction"/>
  </r>
  <r>
    <x v="1"/>
    <x v="38"/>
    <x v="8"/>
    <x v="2"/>
    <x v="0"/>
    <x v="107"/>
    <x v="269"/>
    <x v="22"/>
    <n v="0"/>
    <n v="0"/>
    <n v="536"/>
    <m/>
    <m/>
    <m/>
    <m/>
    <m/>
    <m/>
    <m/>
    <m/>
    <s v="Negative"/>
    <s v="Negative"/>
    <s v="Accurate Prediction"/>
  </r>
  <r>
    <x v="1"/>
    <x v="82"/>
    <x v="12"/>
    <x v="2"/>
    <x v="0"/>
    <x v="216"/>
    <x v="382"/>
    <x v="7"/>
    <n v="0"/>
    <n v="0"/>
    <n v="537"/>
    <m/>
    <m/>
    <m/>
    <m/>
    <m/>
    <m/>
    <m/>
    <m/>
    <s v="Negative"/>
    <s v="Negative"/>
    <s v="Accurate Prediction"/>
  </r>
  <r>
    <x v="1"/>
    <x v="117"/>
    <x v="6"/>
    <x v="18"/>
    <x v="14"/>
    <x v="153"/>
    <x v="383"/>
    <x v="1"/>
    <n v="0"/>
    <s v="Not Sampled"/>
    <n v="538"/>
    <m/>
    <m/>
    <m/>
    <m/>
    <m/>
    <m/>
    <m/>
    <m/>
    <s v="Negative"/>
    <s v="Not Sampled"/>
    <s v="Not Sampled"/>
  </r>
  <r>
    <x v="5"/>
    <x v="52"/>
    <x v="17"/>
    <x v="48"/>
    <x v="59"/>
    <x v="217"/>
    <x v="25"/>
    <x v="32"/>
    <n v="1"/>
    <s v="Not Sampled"/>
    <n v="539"/>
    <m/>
    <m/>
    <m/>
    <m/>
    <m/>
    <m/>
    <m/>
    <m/>
    <s v="Positive"/>
    <s v="Not Sampled"/>
    <s v="Not Sampled"/>
  </r>
  <r>
    <x v="4"/>
    <x v="45"/>
    <x v="10"/>
    <x v="32"/>
    <x v="100"/>
    <x v="121"/>
    <x v="384"/>
    <x v="33"/>
    <n v="1"/>
    <s v="Not Sampled"/>
    <n v="540"/>
    <m/>
    <m/>
    <m/>
    <m/>
    <m/>
    <m/>
    <m/>
    <m/>
    <s v="Positive"/>
    <s v="Not Sampled"/>
    <s v="Not Sampled"/>
  </r>
  <r>
    <x v="5"/>
    <x v="80"/>
    <x v="5"/>
    <x v="14"/>
    <x v="72"/>
    <x v="68"/>
    <x v="385"/>
    <x v="23"/>
    <n v="1"/>
    <n v="0"/>
    <n v="541"/>
    <m/>
    <m/>
    <m/>
    <m/>
    <m/>
    <m/>
    <m/>
    <m/>
    <s v="Positive"/>
    <s v="Negative"/>
    <s v="Inaccurate Prediction"/>
  </r>
  <r>
    <x v="9"/>
    <x v="30"/>
    <x v="23"/>
    <x v="5"/>
    <x v="0"/>
    <x v="115"/>
    <x v="386"/>
    <x v="24"/>
    <n v="1"/>
    <s v="Not Sampled"/>
    <n v="542"/>
    <m/>
    <m/>
    <m/>
    <m/>
    <m/>
    <m/>
    <m/>
    <m/>
    <s v="Positive"/>
    <s v="Not Sampled"/>
    <s v="Not Sampled"/>
  </r>
  <r>
    <x v="3"/>
    <x v="1"/>
    <x v="8"/>
    <x v="17"/>
    <x v="79"/>
    <x v="100"/>
    <x v="128"/>
    <x v="14"/>
    <n v="0"/>
    <s v="Not Sampled"/>
    <n v="543"/>
    <m/>
    <m/>
    <m/>
    <m/>
    <m/>
    <m/>
    <m/>
    <m/>
    <s v="Negative"/>
    <s v="Not Sampled"/>
    <s v="Not Sampled"/>
  </r>
  <r>
    <x v="2"/>
    <x v="40"/>
    <x v="4"/>
    <x v="30"/>
    <x v="7"/>
    <x v="61"/>
    <x v="3"/>
    <x v="29"/>
    <n v="0"/>
    <s v="Not Sampled"/>
    <n v="544"/>
    <m/>
    <m/>
    <m/>
    <m/>
    <m/>
    <m/>
    <m/>
    <m/>
    <s v="Negative"/>
    <s v="Not Sampled"/>
    <s v="Not Sampled"/>
  </r>
  <r>
    <x v="4"/>
    <x v="124"/>
    <x v="8"/>
    <x v="0"/>
    <x v="50"/>
    <x v="93"/>
    <x v="387"/>
    <x v="26"/>
    <n v="1"/>
    <s v="Not Sampled"/>
    <n v="545"/>
    <m/>
    <m/>
    <m/>
    <m/>
    <m/>
    <m/>
    <m/>
    <m/>
    <s v="Positive"/>
    <s v="Not Sampled"/>
    <s v="Not Sampled"/>
  </r>
  <r>
    <x v="7"/>
    <x v="44"/>
    <x v="15"/>
    <x v="21"/>
    <x v="18"/>
    <x v="146"/>
    <x v="388"/>
    <x v="49"/>
    <n v="1"/>
    <n v="1"/>
    <n v="546"/>
    <m/>
    <m/>
    <m/>
    <m/>
    <m/>
    <m/>
    <m/>
    <m/>
    <s v="Positive"/>
    <s v="Positive"/>
    <s v="Accurate Prediction"/>
  </r>
  <r>
    <x v="3"/>
    <x v="55"/>
    <x v="3"/>
    <x v="23"/>
    <x v="150"/>
    <x v="119"/>
    <x v="389"/>
    <x v="6"/>
    <n v="0"/>
    <n v="0"/>
    <n v="547"/>
    <m/>
    <m/>
    <m/>
    <m/>
    <m/>
    <m/>
    <m/>
    <m/>
    <s v="Negative"/>
    <s v="Negative"/>
    <s v="Accurate Prediction"/>
  </r>
  <r>
    <x v="2"/>
    <x v="101"/>
    <x v="1"/>
    <x v="44"/>
    <x v="91"/>
    <x v="10"/>
    <x v="390"/>
    <x v="48"/>
    <n v="0"/>
    <s v="Not Sampled"/>
    <n v="548"/>
    <m/>
    <m/>
    <m/>
    <m/>
    <m/>
    <m/>
    <m/>
    <m/>
    <s v="Negative"/>
    <s v="Not Sampled"/>
    <s v="Not Sampled"/>
  </r>
  <r>
    <x v="3"/>
    <x v="115"/>
    <x v="18"/>
    <x v="1"/>
    <x v="0"/>
    <x v="218"/>
    <x v="391"/>
    <x v="26"/>
    <n v="0"/>
    <s v="Not Sampled"/>
    <n v="549"/>
    <m/>
    <m/>
    <m/>
    <m/>
    <m/>
    <m/>
    <m/>
    <m/>
    <s v="Negative"/>
    <s v="Not Sampled"/>
    <s v="Not Sampled"/>
  </r>
  <r>
    <x v="2"/>
    <x v="113"/>
    <x v="9"/>
    <x v="7"/>
    <x v="0"/>
    <x v="41"/>
    <x v="147"/>
    <x v="4"/>
    <n v="0"/>
    <s v="Not Sampled"/>
    <n v="550"/>
    <m/>
    <m/>
    <m/>
    <m/>
    <m/>
    <m/>
    <m/>
    <m/>
    <s v="Negative"/>
    <s v="Not Sampled"/>
    <s v="Not Sampled"/>
  </r>
  <r>
    <x v="5"/>
    <x v="1"/>
    <x v="3"/>
    <x v="8"/>
    <x v="148"/>
    <x v="108"/>
    <x v="392"/>
    <x v="14"/>
    <n v="0"/>
    <s v="Not Sampled"/>
    <n v="551"/>
    <m/>
    <m/>
    <m/>
    <m/>
    <m/>
    <m/>
    <m/>
    <m/>
    <s v="Negative"/>
    <s v="Not Sampled"/>
    <s v="Not Sampled"/>
  </r>
  <r>
    <x v="6"/>
    <x v="48"/>
    <x v="21"/>
    <x v="2"/>
    <x v="0"/>
    <x v="157"/>
    <x v="102"/>
    <x v="12"/>
    <n v="0"/>
    <s v="Not Sampled"/>
    <n v="552"/>
    <m/>
    <m/>
    <m/>
    <m/>
    <m/>
    <m/>
    <m/>
    <m/>
    <s v="Negative"/>
    <s v="Not Sampled"/>
    <s v="Not Sampled"/>
  </r>
  <r>
    <x v="2"/>
    <x v="40"/>
    <x v="0"/>
    <x v="20"/>
    <x v="71"/>
    <x v="106"/>
    <x v="239"/>
    <x v="1"/>
    <n v="0"/>
    <n v="0"/>
    <n v="553"/>
    <m/>
    <m/>
    <m/>
    <m/>
    <m/>
    <m/>
    <m/>
    <m/>
    <s v="Negative"/>
    <s v="Negative"/>
    <s v="Accurate Prediction"/>
  </r>
  <r>
    <x v="2"/>
    <x v="1"/>
    <x v="11"/>
    <x v="17"/>
    <x v="133"/>
    <x v="99"/>
    <x v="154"/>
    <x v="6"/>
    <n v="0"/>
    <s v="Not Sampled"/>
    <n v="554"/>
    <m/>
    <m/>
    <m/>
    <m/>
    <m/>
    <m/>
    <m/>
    <m/>
    <s v="Negative"/>
    <s v="Not Sampled"/>
    <s v="Not Sampled"/>
  </r>
  <r>
    <x v="8"/>
    <x v="73"/>
    <x v="9"/>
    <x v="12"/>
    <x v="100"/>
    <x v="171"/>
    <x v="321"/>
    <x v="26"/>
    <n v="0"/>
    <n v="0"/>
    <n v="555"/>
    <m/>
    <m/>
    <m/>
    <m/>
    <m/>
    <m/>
    <m/>
    <m/>
    <s v="Negative"/>
    <s v="Negative"/>
    <s v="Accurate Prediction"/>
  </r>
  <r>
    <x v="2"/>
    <x v="75"/>
    <x v="9"/>
    <x v="32"/>
    <x v="0"/>
    <x v="176"/>
    <x v="135"/>
    <x v="13"/>
    <n v="0"/>
    <n v="0"/>
    <n v="556"/>
    <m/>
    <m/>
    <m/>
    <m/>
    <m/>
    <m/>
    <m/>
    <m/>
    <s v="Negative"/>
    <s v="Negative"/>
    <s v="Accurate Prediction"/>
  </r>
  <r>
    <x v="4"/>
    <x v="13"/>
    <x v="15"/>
    <x v="2"/>
    <x v="0"/>
    <x v="157"/>
    <x v="78"/>
    <x v="5"/>
    <n v="0"/>
    <s v="Not Sampled"/>
    <n v="557"/>
    <m/>
    <m/>
    <m/>
    <m/>
    <m/>
    <m/>
    <m/>
    <m/>
    <s v="Negative"/>
    <s v="Not Sampled"/>
    <s v="Not Sampled"/>
  </r>
  <r>
    <x v="12"/>
    <x v="28"/>
    <x v="3"/>
    <x v="32"/>
    <x v="0"/>
    <x v="144"/>
    <x v="370"/>
    <x v="8"/>
    <n v="0"/>
    <n v="1"/>
    <n v="558"/>
    <m/>
    <m/>
    <m/>
    <m/>
    <m/>
    <m/>
    <m/>
    <m/>
    <s v="Negative"/>
    <s v="Positive"/>
    <s v="Inaccurate Prediction"/>
  </r>
  <r>
    <x v="12"/>
    <x v="69"/>
    <x v="10"/>
    <x v="2"/>
    <x v="0"/>
    <x v="15"/>
    <x v="393"/>
    <x v="20"/>
    <n v="0"/>
    <s v="Not Sampled"/>
    <n v="559"/>
    <m/>
    <m/>
    <m/>
    <m/>
    <m/>
    <m/>
    <m/>
    <m/>
    <s v="Negative"/>
    <s v="Not Sampled"/>
    <s v="Not Sampled"/>
  </r>
  <r>
    <x v="6"/>
    <x v="10"/>
    <x v="15"/>
    <x v="2"/>
    <x v="0"/>
    <x v="97"/>
    <x v="394"/>
    <x v="28"/>
    <n v="1"/>
    <n v="0"/>
    <n v="560"/>
    <m/>
    <m/>
    <m/>
    <m/>
    <m/>
    <m/>
    <m/>
    <m/>
    <s v="Positive"/>
    <s v="Negative"/>
    <s v="Inaccurate Prediction"/>
  </r>
  <r>
    <x v="1"/>
    <x v="125"/>
    <x v="19"/>
    <x v="5"/>
    <x v="151"/>
    <x v="211"/>
    <x v="395"/>
    <x v="6"/>
    <n v="1"/>
    <s v="Not Sampled"/>
    <n v="561"/>
    <m/>
    <m/>
    <m/>
    <m/>
    <m/>
    <m/>
    <m/>
    <m/>
    <s v="Positive"/>
    <s v="Not Sampled"/>
    <s v="Not Sampled"/>
  </r>
  <r>
    <x v="2"/>
    <x v="90"/>
    <x v="3"/>
    <x v="24"/>
    <x v="152"/>
    <x v="209"/>
    <x v="396"/>
    <x v="3"/>
    <n v="0"/>
    <s v="Not Sampled"/>
    <n v="562"/>
    <m/>
    <m/>
    <m/>
    <m/>
    <m/>
    <m/>
    <m/>
    <m/>
    <s v="Negative"/>
    <s v="Not Sampled"/>
    <s v="Not Sampled"/>
  </r>
  <r>
    <x v="6"/>
    <x v="6"/>
    <x v="12"/>
    <x v="13"/>
    <x v="120"/>
    <x v="219"/>
    <x v="343"/>
    <x v="32"/>
    <n v="0"/>
    <n v="0"/>
    <n v="563"/>
    <m/>
    <m/>
    <m/>
    <m/>
    <m/>
    <m/>
    <m/>
    <m/>
    <s v="Negative"/>
    <s v="Negative"/>
    <s v="Accurate Prediction"/>
  </r>
  <r>
    <x v="1"/>
    <x v="25"/>
    <x v="6"/>
    <x v="2"/>
    <x v="0"/>
    <x v="68"/>
    <x v="397"/>
    <x v="23"/>
    <n v="0"/>
    <s v="Not Sampled"/>
    <n v="564"/>
    <m/>
    <m/>
    <m/>
    <m/>
    <m/>
    <m/>
    <m/>
    <m/>
    <s v="Negative"/>
    <s v="Not Sampled"/>
    <s v="Not Sampled"/>
  </r>
  <r>
    <x v="0"/>
    <x v="50"/>
    <x v="14"/>
    <x v="36"/>
    <x v="84"/>
    <x v="7"/>
    <x v="398"/>
    <x v="11"/>
    <n v="0"/>
    <s v="Not Sampled"/>
    <n v="565"/>
    <m/>
    <m/>
    <m/>
    <m/>
    <m/>
    <m/>
    <m/>
    <m/>
    <s v="Negative"/>
    <s v="Not Sampled"/>
    <s v="Not Sampled"/>
  </r>
  <r>
    <x v="2"/>
    <x v="6"/>
    <x v="5"/>
    <x v="8"/>
    <x v="41"/>
    <x v="220"/>
    <x v="255"/>
    <x v="4"/>
    <n v="0"/>
    <s v="Not Sampled"/>
    <n v="566"/>
    <m/>
    <m/>
    <m/>
    <m/>
    <m/>
    <m/>
    <m/>
    <m/>
    <s v="Negative"/>
    <s v="Not Sampled"/>
    <s v="Not Sampled"/>
  </r>
  <r>
    <x v="6"/>
    <x v="66"/>
    <x v="0"/>
    <x v="5"/>
    <x v="153"/>
    <x v="61"/>
    <x v="136"/>
    <x v="22"/>
    <n v="0"/>
    <s v="Not Sampled"/>
    <n v="567"/>
    <m/>
    <m/>
    <m/>
    <m/>
    <m/>
    <m/>
    <m/>
    <m/>
    <s v="Negative"/>
    <s v="Not Sampled"/>
    <s v="Not Sampled"/>
  </r>
  <r>
    <x v="3"/>
    <x v="16"/>
    <x v="5"/>
    <x v="30"/>
    <x v="153"/>
    <x v="221"/>
    <x v="399"/>
    <x v="26"/>
    <n v="0"/>
    <s v="Not Sampled"/>
    <n v="568"/>
    <m/>
    <m/>
    <m/>
    <m/>
    <m/>
    <m/>
    <m/>
    <m/>
    <s v="Negative"/>
    <s v="Not Sampled"/>
    <s v="Not Sampled"/>
  </r>
  <r>
    <x v="1"/>
    <x v="126"/>
    <x v="19"/>
    <x v="8"/>
    <x v="134"/>
    <x v="82"/>
    <x v="62"/>
    <x v="9"/>
    <n v="1"/>
    <s v="Not Sampled"/>
    <n v="569"/>
    <m/>
    <m/>
    <m/>
    <m/>
    <m/>
    <m/>
    <m/>
    <m/>
    <s v="Positive"/>
    <s v="Not Sampled"/>
    <s v="Not Sampled"/>
  </r>
  <r>
    <x v="5"/>
    <x v="74"/>
    <x v="9"/>
    <x v="2"/>
    <x v="0"/>
    <x v="56"/>
    <x v="58"/>
    <x v="16"/>
    <n v="0"/>
    <s v="Not Sampled"/>
    <n v="570"/>
    <m/>
    <m/>
    <m/>
    <m/>
    <m/>
    <m/>
    <m/>
    <m/>
    <s v="Negative"/>
    <s v="Not Sampled"/>
    <s v="Not Sampled"/>
  </r>
  <r>
    <x v="0"/>
    <x v="23"/>
    <x v="30"/>
    <x v="2"/>
    <x v="0"/>
    <x v="118"/>
    <x v="32"/>
    <x v="4"/>
    <n v="0"/>
    <s v="Not Sampled"/>
    <n v="571"/>
    <m/>
    <m/>
    <m/>
    <m/>
    <m/>
    <m/>
    <m/>
    <m/>
    <s v="Negative"/>
    <s v="Not Sampled"/>
    <s v="Not Sampled"/>
  </r>
  <r>
    <x v="5"/>
    <x v="31"/>
    <x v="22"/>
    <x v="1"/>
    <x v="71"/>
    <x v="81"/>
    <x v="400"/>
    <x v="11"/>
    <n v="0"/>
    <n v="0"/>
    <n v="572"/>
    <m/>
    <m/>
    <m/>
    <m/>
    <m/>
    <m/>
    <m/>
    <m/>
    <s v="Negative"/>
    <s v="Negative"/>
    <s v="Accurate Prediction"/>
  </r>
  <r>
    <x v="0"/>
    <x v="116"/>
    <x v="12"/>
    <x v="6"/>
    <x v="77"/>
    <x v="48"/>
    <x v="203"/>
    <x v="11"/>
    <n v="0"/>
    <n v="0"/>
    <n v="573"/>
    <m/>
    <m/>
    <m/>
    <m/>
    <m/>
    <m/>
    <m/>
    <m/>
    <s v="Negative"/>
    <s v="Negative"/>
    <s v="Accurate Prediction"/>
  </r>
  <r>
    <x v="2"/>
    <x v="92"/>
    <x v="24"/>
    <x v="8"/>
    <x v="154"/>
    <x v="15"/>
    <x v="401"/>
    <x v="1"/>
    <n v="0"/>
    <s v="Not Sampled"/>
    <n v="574"/>
    <m/>
    <m/>
    <m/>
    <m/>
    <m/>
    <m/>
    <m/>
    <m/>
    <s v="Negative"/>
    <s v="Not Sampled"/>
    <s v="Not Sampled"/>
  </r>
  <r>
    <x v="2"/>
    <x v="93"/>
    <x v="27"/>
    <x v="19"/>
    <x v="55"/>
    <x v="130"/>
    <x v="246"/>
    <x v="14"/>
    <n v="0"/>
    <s v="Not Sampled"/>
    <n v="575"/>
    <m/>
    <m/>
    <m/>
    <m/>
    <m/>
    <m/>
    <m/>
    <m/>
    <s v="Negative"/>
    <s v="Not Sampled"/>
    <s v="Not Sampled"/>
  </r>
  <r>
    <x v="6"/>
    <x v="81"/>
    <x v="27"/>
    <x v="28"/>
    <x v="66"/>
    <x v="33"/>
    <x v="402"/>
    <x v="20"/>
    <n v="0"/>
    <s v="Not Sampled"/>
    <n v="576"/>
    <m/>
    <m/>
    <m/>
    <m/>
    <m/>
    <m/>
    <m/>
    <m/>
    <s v="Negative"/>
    <s v="Not Sampled"/>
    <s v="Not Sampled"/>
  </r>
  <r>
    <x v="0"/>
    <x v="78"/>
    <x v="6"/>
    <x v="2"/>
    <x v="0"/>
    <x v="92"/>
    <x v="403"/>
    <x v="4"/>
    <n v="1"/>
    <n v="0"/>
    <n v="577"/>
    <m/>
    <m/>
    <m/>
    <m/>
    <m/>
    <m/>
    <m/>
    <m/>
    <s v="Positive"/>
    <s v="Negative"/>
    <s v="Inaccurate Prediction"/>
  </r>
  <r>
    <x v="9"/>
    <x v="32"/>
    <x v="3"/>
    <x v="2"/>
    <x v="0"/>
    <x v="161"/>
    <x v="404"/>
    <x v="31"/>
    <n v="0"/>
    <s v="Not Sampled"/>
    <n v="578"/>
    <m/>
    <m/>
    <m/>
    <m/>
    <m/>
    <m/>
    <m/>
    <m/>
    <s v="Negative"/>
    <s v="Not Sampled"/>
    <s v="Not Sampled"/>
  </r>
  <r>
    <x v="0"/>
    <x v="100"/>
    <x v="9"/>
    <x v="50"/>
    <x v="0"/>
    <x v="48"/>
    <x v="405"/>
    <x v="38"/>
    <n v="1"/>
    <n v="1"/>
    <n v="579"/>
    <m/>
    <m/>
    <m/>
    <m/>
    <m/>
    <m/>
    <m/>
    <m/>
    <s v="Positive"/>
    <s v="Positive"/>
    <s v="Accurate Prediction"/>
  </r>
  <r>
    <x v="1"/>
    <x v="68"/>
    <x v="8"/>
    <x v="40"/>
    <x v="0"/>
    <x v="196"/>
    <x v="406"/>
    <x v="4"/>
    <n v="1"/>
    <s v="Not Sampled"/>
    <n v="580"/>
    <m/>
    <m/>
    <m/>
    <m/>
    <m/>
    <m/>
    <m/>
    <m/>
    <s v="Positive"/>
    <s v="Not Sampled"/>
    <s v="Not Sampled"/>
  </r>
  <r>
    <x v="6"/>
    <x v="49"/>
    <x v="12"/>
    <x v="21"/>
    <x v="0"/>
    <x v="26"/>
    <x v="407"/>
    <x v="23"/>
    <n v="0"/>
    <s v="Not Sampled"/>
    <n v="581"/>
    <m/>
    <m/>
    <m/>
    <m/>
    <m/>
    <m/>
    <m/>
    <m/>
    <s v="Negative"/>
    <s v="Not Sampled"/>
    <s v="Not Sampled"/>
  </r>
  <r>
    <x v="10"/>
    <x v="126"/>
    <x v="4"/>
    <x v="6"/>
    <x v="0"/>
    <x v="71"/>
    <x v="247"/>
    <x v="38"/>
    <n v="0"/>
    <s v="Not Sampled"/>
    <n v="582"/>
    <m/>
    <m/>
    <m/>
    <m/>
    <m/>
    <m/>
    <m/>
    <m/>
    <s v="Negative"/>
    <s v="Not Sampled"/>
    <s v="Not Sampled"/>
  </r>
  <r>
    <x v="4"/>
    <x v="45"/>
    <x v="15"/>
    <x v="2"/>
    <x v="0"/>
    <x v="162"/>
    <x v="163"/>
    <x v="8"/>
    <n v="0"/>
    <s v="Not Sampled"/>
    <n v="583"/>
    <m/>
    <m/>
    <m/>
    <m/>
    <m/>
    <m/>
    <m/>
    <m/>
    <s v="Negative"/>
    <s v="Not Sampled"/>
    <s v="Not Sampled"/>
  </r>
  <r>
    <x v="4"/>
    <x v="73"/>
    <x v="15"/>
    <x v="20"/>
    <x v="155"/>
    <x v="77"/>
    <x v="140"/>
    <x v="41"/>
    <n v="1"/>
    <s v="Not Sampled"/>
    <n v="584"/>
    <m/>
    <m/>
    <m/>
    <m/>
    <m/>
    <m/>
    <m/>
    <m/>
    <s v="Positive"/>
    <s v="Not Sampled"/>
    <s v="Not Sampled"/>
  </r>
  <r>
    <x v="2"/>
    <x v="67"/>
    <x v="20"/>
    <x v="22"/>
    <x v="0"/>
    <x v="79"/>
    <x v="408"/>
    <x v="11"/>
    <n v="0"/>
    <n v="0"/>
    <n v="585"/>
    <m/>
    <m/>
    <m/>
    <m/>
    <m/>
    <m/>
    <m/>
    <m/>
    <s v="Negative"/>
    <s v="Negative"/>
    <s v="Accurate Prediction"/>
  </r>
  <r>
    <x v="4"/>
    <x v="92"/>
    <x v="19"/>
    <x v="2"/>
    <x v="0"/>
    <x v="115"/>
    <x v="267"/>
    <x v="17"/>
    <n v="1"/>
    <s v="Not Sampled"/>
    <n v="586"/>
    <m/>
    <m/>
    <m/>
    <m/>
    <m/>
    <m/>
    <m/>
    <m/>
    <s v="Positive"/>
    <s v="Not Sampled"/>
    <s v="Not Sampled"/>
  </r>
  <r>
    <x v="6"/>
    <x v="28"/>
    <x v="19"/>
    <x v="2"/>
    <x v="0"/>
    <x v="122"/>
    <x v="224"/>
    <x v="29"/>
    <n v="0"/>
    <n v="0"/>
    <n v="587"/>
    <m/>
    <m/>
    <m/>
    <m/>
    <m/>
    <m/>
    <m/>
    <m/>
    <s v="Negative"/>
    <s v="Negative"/>
    <s v="Accurate Prediction"/>
  </r>
  <r>
    <x v="5"/>
    <x v="41"/>
    <x v="24"/>
    <x v="21"/>
    <x v="64"/>
    <x v="21"/>
    <x v="409"/>
    <x v="41"/>
    <n v="1"/>
    <s v="Not Sampled"/>
    <n v="588"/>
    <m/>
    <m/>
    <m/>
    <m/>
    <m/>
    <m/>
    <m/>
    <m/>
    <s v="Positive"/>
    <s v="Not Sampled"/>
    <s v="Not Sampled"/>
  </r>
  <r>
    <x v="1"/>
    <x v="43"/>
    <x v="2"/>
    <x v="2"/>
    <x v="0"/>
    <x v="96"/>
    <x v="50"/>
    <x v="14"/>
    <n v="0"/>
    <n v="0"/>
    <n v="589"/>
    <m/>
    <m/>
    <m/>
    <m/>
    <m/>
    <m/>
    <m/>
    <m/>
    <s v="Negative"/>
    <s v="Negative"/>
    <s v="Accurate Prediction"/>
  </r>
  <r>
    <x v="12"/>
    <x v="31"/>
    <x v="16"/>
    <x v="32"/>
    <x v="0"/>
    <x v="51"/>
    <x v="410"/>
    <x v="10"/>
    <n v="1"/>
    <s v="Not Sampled"/>
    <n v="590"/>
    <m/>
    <m/>
    <m/>
    <m/>
    <m/>
    <m/>
    <m/>
    <m/>
    <s v="Positive"/>
    <s v="Not Sampled"/>
    <s v="Not Sampled"/>
  </r>
  <r>
    <x v="0"/>
    <x v="56"/>
    <x v="4"/>
    <x v="37"/>
    <x v="32"/>
    <x v="121"/>
    <x v="411"/>
    <x v="3"/>
    <n v="0"/>
    <s v="Not Sampled"/>
    <n v="591"/>
    <m/>
    <m/>
    <m/>
    <m/>
    <m/>
    <m/>
    <m/>
    <m/>
    <s v="Negative"/>
    <s v="Not Sampled"/>
    <s v="Not Sampled"/>
  </r>
  <r>
    <x v="5"/>
    <x v="77"/>
    <x v="6"/>
    <x v="2"/>
    <x v="0"/>
    <x v="184"/>
    <x v="215"/>
    <x v="30"/>
    <n v="1"/>
    <n v="0"/>
    <n v="592"/>
    <m/>
    <m/>
    <m/>
    <m/>
    <m/>
    <m/>
    <m/>
    <m/>
    <s v="Positive"/>
    <s v="Negative"/>
    <s v="Inaccurate Prediction"/>
  </r>
  <r>
    <x v="0"/>
    <x v="118"/>
    <x v="33"/>
    <x v="29"/>
    <x v="133"/>
    <x v="218"/>
    <x v="412"/>
    <x v="14"/>
    <n v="0"/>
    <s v="Not Sampled"/>
    <n v="593"/>
    <m/>
    <m/>
    <m/>
    <m/>
    <m/>
    <m/>
    <m/>
    <m/>
    <s v="Negative"/>
    <s v="Not Sampled"/>
    <s v="Not Sampled"/>
  </r>
  <r>
    <x v="6"/>
    <x v="62"/>
    <x v="5"/>
    <x v="45"/>
    <x v="156"/>
    <x v="0"/>
    <x v="359"/>
    <x v="34"/>
    <n v="0"/>
    <s v="Not Sampled"/>
    <n v="594"/>
    <m/>
    <m/>
    <m/>
    <m/>
    <m/>
    <m/>
    <m/>
    <m/>
    <s v="Negative"/>
    <s v="Not Sampled"/>
    <s v="Not Sampled"/>
  </r>
  <r>
    <x v="1"/>
    <x v="86"/>
    <x v="1"/>
    <x v="36"/>
    <x v="157"/>
    <x v="61"/>
    <x v="413"/>
    <x v="11"/>
    <n v="1"/>
    <s v="Not Sampled"/>
    <n v="595"/>
    <m/>
    <m/>
    <m/>
    <m/>
    <m/>
    <m/>
    <m/>
    <m/>
    <s v="Positive"/>
    <s v="Not Sampled"/>
    <s v="Not Sampled"/>
  </r>
  <r>
    <x v="1"/>
    <x v="127"/>
    <x v="15"/>
    <x v="2"/>
    <x v="0"/>
    <x v="200"/>
    <x v="414"/>
    <x v="22"/>
    <n v="0"/>
    <n v="0"/>
    <n v="596"/>
    <m/>
    <m/>
    <m/>
    <m/>
    <m/>
    <m/>
    <m/>
    <m/>
    <s v="Negative"/>
    <s v="Negative"/>
    <s v="Accurate Prediction"/>
  </r>
  <r>
    <x v="2"/>
    <x v="9"/>
    <x v="42"/>
    <x v="13"/>
    <x v="158"/>
    <x v="157"/>
    <x v="290"/>
    <x v="4"/>
    <n v="0"/>
    <s v="Not Sampled"/>
    <n v="597"/>
    <m/>
    <m/>
    <m/>
    <m/>
    <m/>
    <m/>
    <m/>
    <m/>
    <s v="Negative"/>
    <s v="Not Sampled"/>
    <s v="Not Sampled"/>
  </r>
  <r>
    <x v="2"/>
    <x v="5"/>
    <x v="10"/>
    <x v="2"/>
    <x v="0"/>
    <x v="8"/>
    <x v="124"/>
    <x v="19"/>
    <n v="1"/>
    <n v="1"/>
    <n v="598"/>
    <m/>
    <m/>
    <m/>
    <m/>
    <m/>
    <m/>
    <m/>
    <m/>
    <s v="Positive"/>
    <s v="Positive"/>
    <s v="Accurate Prediction"/>
  </r>
  <r>
    <x v="2"/>
    <x v="49"/>
    <x v="43"/>
    <x v="10"/>
    <x v="77"/>
    <x v="179"/>
    <x v="185"/>
    <x v="25"/>
    <n v="0"/>
    <s v="Not Sampled"/>
    <n v="599"/>
    <m/>
    <m/>
    <m/>
    <m/>
    <m/>
    <m/>
    <m/>
    <m/>
    <s v="Negative"/>
    <s v="Not Sampled"/>
    <s v="Not Sampled"/>
  </r>
  <r>
    <x v="2"/>
    <x v="81"/>
    <x v="21"/>
    <x v="13"/>
    <x v="0"/>
    <x v="150"/>
    <x v="415"/>
    <x v="3"/>
    <n v="0"/>
    <s v="Not Sampled"/>
    <n v="600"/>
    <m/>
    <m/>
    <m/>
    <m/>
    <m/>
    <m/>
    <m/>
    <m/>
    <s v="Negative"/>
    <s v="Not Sampled"/>
    <s v="Not Sampled"/>
  </r>
  <r>
    <x v="6"/>
    <x v="20"/>
    <x v="2"/>
    <x v="2"/>
    <x v="0"/>
    <x v="195"/>
    <x v="163"/>
    <x v="6"/>
    <n v="0"/>
    <s v="Not Sampled"/>
    <n v="601"/>
    <m/>
    <m/>
    <m/>
    <m/>
    <m/>
    <m/>
    <m/>
    <m/>
    <s v="Negative"/>
    <s v="Not Sampled"/>
    <s v="Not Sampled"/>
  </r>
  <r>
    <x v="2"/>
    <x v="73"/>
    <x v="10"/>
    <x v="35"/>
    <x v="0"/>
    <x v="157"/>
    <x v="416"/>
    <x v="13"/>
    <n v="0"/>
    <n v="0"/>
    <n v="602"/>
    <m/>
    <m/>
    <m/>
    <m/>
    <m/>
    <m/>
    <m/>
    <m/>
    <s v="Negative"/>
    <s v="Negative"/>
    <s v="Accurate Prediction"/>
  </r>
  <r>
    <x v="8"/>
    <x v="42"/>
    <x v="4"/>
    <x v="30"/>
    <x v="153"/>
    <x v="213"/>
    <x v="24"/>
    <x v="28"/>
    <n v="1"/>
    <s v="Not Sampled"/>
    <n v="603"/>
    <m/>
    <m/>
    <m/>
    <m/>
    <m/>
    <m/>
    <m/>
    <m/>
    <s v="Positive"/>
    <s v="Not Sampled"/>
    <s v="Not Sampled"/>
  </r>
  <r>
    <x v="3"/>
    <x v="128"/>
    <x v="2"/>
    <x v="2"/>
    <x v="0"/>
    <x v="109"/>
    <x v="355"/>
    <x v="31"/>
    <n v="1"/>
    <s v="Not Sampled"/>
    <n v="604"/>
    <m/>
    <m/>
    <m/>
    <m/>
    <m/>
    <m/>
    <m/>
    <m/>
    <s v="Positive"/>
    <s v="Not Sampled"/>
    <s v="Not Sampled"/>
  </r>
  <r>
    <x v="2"/>
    <x v="73"/>
    <x v="12"/>
    <x v="5"/>
    <x v="0"/>
    <x v="134"/>
    <x v="195"/>
    <x v="4"/>
    <n v="0"/>
    <s v="Not Sampled"/>
    <n v="605"/>
    <m/>
    <m/>
    <m/>
    <m/>
    <m/>
    <m/>
    <m/>
    <m/>
    <s v="Negative"/>
    <s v="Not Sampled"/>
    <s v="Not Sampled"/>
  </r>
  <r>
    <x v="2"/>
    <x v="94"/>
    <x v="4"/>
    <x v="3"/>
    <x v="122"/>
    <x v="154"/>
    <x v="417"/>
    <x v="11"/>
    <n v="1"/>
    <s v="Not Sampled"/>
    <n v="606"/>
    <m/>
    <m/>
    <m/>
    <m/>
    <m/>
    <m/>
    <m/>
    <m/>
    <s v="Positive"/>
    <s v="Not Sampled"/>
    <s v="Not Sampled"/>
  </r>
  <r>
    <x v="2"/>
    <x v="66"/>
    <x v="0"/>
    <x v="14"/>
    <x v="159"/>
    <x v="222"/>
    <x v="418"/>
    <x v="14"/>
    <n v="0"/>
    <n v="0"/>
    <n v="607"/>
    <m/>
    <m/>
    <m/>
    <m/>
    <m/>
    <m/>
    <m/>
    <m/>
    <s v="Negative"/>
    <s v="Negative"/>
    <s v="Accurate Prediction"/>
  </r>
  <r>
    <x v="1"/>
    <x v="87"/>
    <x v="1"/>
    <x v="15"/>
    <x v="160"/>
    <x v="53"/>
    <x v="58"/>
    <x v="23"/>
    <n v="0"/>
    <n v="0"/>
    <n v="608"/>
    <m/>
    <m/>
    <m/>
    <m/>
    <m/>
    <m/>
    <m/>
    <m/>
    <s v="Negative"/>
    <s v="Negative"/>
    <s v="Accurate Prediction"/>
  </r>
  <r>
    <x v="2"/>
    <x v="31"/>
    <x v="0"/>
    <x v="27"/>
    <x v="98"/>
    <x v="33"/>
    <x v="419"/>
    <x v="1"/>
    <n v="0"/>
    <s v="Not Sampled"/>
    <n v="609"/>
    <m/>
    <m/>
    <m/>
    <m/>
    <m/>
    <m/>
    <m/>
    <m/>
    <s v="Negative"/>
    <s v="Not Sampled"/>
    <s v="Not Sampled"/>
  </r>
  <r>
    <x v="5"/>
    <x v="33"/>
    <x v="14"/>
    <x v="23"/>
    <x v="125"/>
    <x v="125"/>
    <x v="9"/>
    <x v="3"/>
    <n v="0"/>
    <s v="Not Sampled"/>
    <n v="610"/>
    <m/>
    <m/>
    <m/>
    <m/>
    <m/>
    <m/>
    <m/>
    <m/>
    <s v="Negative"/>
    <s v="Not Sampled"/>
    <s v="Not Sampled"/>
  </r>
  <r>
    <x v="5"/>
    <x v="129"/>
    <x v="22"/>
    <x v="29"/>
    <x v="85"/>
    <x v="35"/>
    <x v="420"/>
    <x v="31"/>
    <n v="1"/>
    <s v="Not Sampled"/>
    <n v="611"/>
    <m/>
    <m/>
    <m/>
    <m/>
    <m/>
    <m/>
    <m/>
    <m/>
    <s v="Positive"/>
    <s v="Not Sampled"/>
    <s v="Not Sampled"/>
  </r>
  <r>
    <x v="8"/>
    <x v="120"/>
    <x v="21"/>
    <x v="3"/>
    <x v="161"/>
    <x v="1"/>
    <x v="184"/>
    <x v="18"/>
    <n v="1"/>
    <n v="1"/>
    <n v="612"/>
    <m/>
    <m/>
    <m/>
    <m/>
    <m/>
    <m/>
    <m/>
    <m/>
    <s v="Positive"/>
    <s v="Positive"/>
    <s v="Accurate Prediction"/>
  </r>
  <r>
    <x v="6"/>
    <x v="38"/>
    <x v="6"/>
    <x v="7"/>
    <x v="0"/>
    <x v="56"/>
    <x v="421"/>
    <x v="25"/>
    <n v="0"/>
    <n v="0"/>
    <n v="613"/>
    <m/>
    <m/>
    <m/>
    <m/>
    <m/>
    <m/>
    <m/>
    <m/>
    <s v="Negative"/>
    <s v="Negative"/>
    <s v="Accurate Prediction"/>
  </r>
  <r>
    <x v="12"/>
    <x v="0"/>
    <x v="10"/>
    <x v="16"/>
    <x v="162"/>
    <x v="164"/>
    <x v="226"/>
    <x v="48"/>
    <n v="1"/>
    <n v="1"/>
    <n v="614"/>
    <m/>
    <m/>
    <m/>
    <m/>
    <m/>
    <m/>
    <m/>
    <m/>
    <s v="Positive"/>
    <s v="Positive"/>
    <s v="Accurate Prediction"/>
  </r>
  <r>
    <x v="5"/>
    <x v="33"/>
    <x v="5"/>
    <x v="2"/>
    <x v="0"/>
    <x v="223"/>
    <x v="28"/>
    <x v="23"/>
    <n v="0"/>
    <s v="Not Sampled"/>
    <n v="615"/>
    <m/>
    <m/>
    <m/>
    <m/>
    <m/>
    <m/>
    <m/>
    <m/>
    <s v="Negative"/>
    <s v="Not Sampled"/>
    <s v="Not Sampled"/>
  </r>
  <r>
    <x v="6"/>
    <x v="17"/>
    <x v="30"/>
    <x v="2"/>
    <x v="0"/>
    <x v="77"/>
    <x v="422"/>
    <x v="13"/>
    <n v="0"/>
    <s v="Not Sampled"/>
    <n v="616"/>
    <m/>
    <m/>
    <m/>
    <m/>
    <m/>
    <m/>
    <m/>
    <m/>
    <s v="Negative"/>
    <s v="Not Sampled"/>
    <s v="Not Sampled"/>
  </r>
  <r>
    <x v="0"/>
    <x v="123"/>
    <x v="0"/>
    <x v="27"/>
    <x v="163"/>
    <x v="224"/>
    <x v="423"/>
    <x v="1"/>
    <n v="0"/>
    <s v="Not Sampled"/>
    <n v="617"/>
    <m/>
    <m/>
    <m/>
    <m/>
    <m/>
    <m/>
    <m/>
    <m/>
    <s v="Negative"/>
    <s v="Not Sampled"/>
    <s v="Not Sampled"/>
  </r>
  <r>
    <x v="11"/>
    <x v="56"/>
    <x v="1"/>
    <x v="20"/>
    <x v="0"/>
    <x v="86"/>
    <x v="424"/>
    <x v="48"/>
    <n v="1"/>
    <s v="Not Sampled"/>
    <n v="618"/>
    <m/>
    <m/>
    <m/>
    <m/>
    <m/>
    <m/>
    <m/>
    <m/>
    <s v="Positive"/>
    <s v="Not Sampled"/>
    <s v="Not Sampled"/>
  </r>
  <r>
    <x v="1"/>
    <x v="93"/>
    <x v="2"/>
    <x v="2"/>
    <x v="0"/>
    <x v="68"/>
    <x v="425"/>
    <x v="3"/>
    <n v="1"/>
    <n v="0"/>
    <n v="619"/>
    <m/>
    <m/>
    <m/>
    <m/>
    <m/>
    <m/>
    <m/>
    <m/>
    <s v="Positive"/>
    <s v="Negative"/>
    <s v="Inaccurate Prediction"/>
  </r>
  <r>
    <x v="0"/>
    <x v="56"/>
    <x v="24"/>
    <x v="3"/>
    <x v="69"/>
    <x v="189"/>
    <x v="426"/>
    <x v="6"/>
    <n v="0"/>
    <n v="0"/>
    <n v="620"/>
    <m/>
    <m/>
    <m/>
    <m/>
    <m/>
    <m/>
    <m/>
    <m/>
    <s v="Negative"/>
    <s v="Negative"/>
    <s v="Accurate Prediction"/>
  </r>
  <r>
    <x v="0"/>
    <x v="66"/>
    <x v="15"/>
    <x v="28"/>
    <x v="0"/>
    <x v="29"/>
    <x v="427"/>
    <x v="6"/>
    <n v="0"/>
    <s v="Not Sampled"/>
    <n v="621"/>
    <m/>
    <m/>
    <m/>
    <m/>
    <m/>
    <m/>
    <m/>
    <m/>
    <s v="Negative"/>
    <s v="Not Sampled"/>
    <s v="Not Sampled"/>
  </r>
  <r>
    <x v="6"/>
    <x v="128"/>
    <x v="41"/>
    <x v="2"/>
    <x v="0"/>
    <x v="225"/>
    <x v="428"/>
    <x v="10"/>
    <n v="0"/>
    <n v="1"/>
    <n v="622"/>
    <m/>
    <m/>
    <m/>
    <m/>
    <m/>
    <m/>
    <m/>
    <m/>
    <s v="Negative"/>
    <s v="Positive"/>
    <s v="Inaccurate Prediction"/>
  </r>
  <r>
    <x v="1"/>
    <x v="19"/>
    <x v="9"/>
    <x v="21"/>
    <x v="133"/>
    <x v="111"/>
    <x v="429"/>
    <x v="4"/>
    <n v="0"/>
    <n v="0"/>
    <n v="623"/>
    <m/>
    <m/>
    <m/>
    <m/>
    <m/>
    <m/>
    <m/>
    <m/>
    <s v="Negative"/>
    <s v="Negative"/>
    <s v="Accurate Prediction"/>
  </r>
  <r>
    <x v="0"/>
    <x v="81"/>
    <x v="11"/>
    <x v="2"/>
    <x v="0"/>
    <x v="98"/>
    <x v="430"/>
    <x v="4"/>
    <n v="0"/>
    <s v="Not Sampled"/>
    <n v="624"/>
    <m/>
    <m/>
    <m/>
    <m/>
    <m/>
    <m/>
    <m/>
    <m/>
    <s v="Negative"/>
    <s v="Not Sampled"/>
    <s v="Not Sampled"/>
  </r>
  <r>
    <x v="3"/>
    <x v="30"/>
    <x v="21"/>
    <x v="19"/>
    <x v="120"/>
    <x v="50"/>
    <x v="431"/>
    <x v="29"/>
    <n v="0"/>
    <n v="0"/>
    <n v="625"/>
    <m/>
    <m/>
    <m/>
    <m/>
    <m/>
    <m/>
    <m/>
    <m/>
    <s v="Negative"/>
    <s v="Negative"/>
    <s v="Accurate Prediction"/>
  </r>
  <r>
    <x v="1"/>
    <x v="10"/>
    <x v="3"/>
    <x v="2"/>
    <x v="0"/>
    <x v="62"/>
    <x v="407"/>
    <x v="4"/>
    <n v="0"/>
    <s v="Not Sampled"/>
    <n v="626"/>
    <m/>
    <m/>
    <m/>
    <m/>
    <m/>
    <m/>
    <m/>
    <m/>
    <s v="Negative"/>
    <s v="Not Sampled"/>
    <s v="Not Sampled"/>
  </r>
  <r>
    <x v="1"/>
    <x v="77"/>
    <x v="4"/>
    <x v="2"/>
    <x v="0"/>
    <x v="68"/>
    <x v="432"/>
    <x v="4"/>
    <n v="0"/>
    <s v="Not Sampled"/>
    <n v="627"/>
    <m/>
    <m/>
    <m/>
    <m/>
    <m/>
    <m/>
    <m/>
    <m/>
    <s v="Negative"/>
    <s v="Not Sampled"/>
    <s v="Not Sampled"/>
  </r>
  <r>
    <x v="7"/>
    <x v="80"/>
    <x v="6"/>
    <x v="2"/>
    <x v="0"/>
    <x v="137"/>
    <x v="433"/>
    <x v="10"/>
    <n v="0"/>
    <s v="Not Sampled"/>
    <n v="628"/>
    <m/>
    <m/>
    <m/>
    <m/>
    <m/>
    <m/>
    <m/>
    <m/>
    <s v="Negative"/>
    <s v="Not Sampled"/>
    <s v="Not Sampled"/>
  </r>
  <r>
    <x v="3"/>
    <x v="19"/>
    <x v="7"/>
    <x v="29"/>
    <x v="0"/>
    <x v="62"/>
    <x v="271"/>
    <x v="4"/>
    <n v="0"/>
    <s v="Not Sampled"/>
    <n v="629"/>
    <m/>
    <m/>
    <m/>
    <m/>
    <m/>
    <m/>
    <m/>
    <m/>
    <s v="Negative"/>
    <s v="Not Sampled"/>
    <s v="Not Sampled"/>
  </r>
  <r>
    <x v="8"/>
    <x v="48"/>
    <x v="11"/>
    <x v="2"/>
    <x v="0"/>
    <x v="41"/>
    <x v="434"/>
    <x v="34"/>
    <n v="1"/>
    <s v="Not Sampled"/>
    <n v="630"/>
    <m/>
    <m/>
    <m/>
    <m/>
    <m/>
    <m/>
    <m/>
    <m/>
    <s v="Positive"/>
    <s v="Not Sampled"/>
    <s v="Not Sampled"/>
  </r>
  <r>
    <x v="1"/>
    <x v="29"/>
    <x v="4"/>
    <x v="32"/>
    <x v="12"/>
    <x v="93"/>
    <x v="21"/>
    <x v="3"/>
    <n v="0"/>
    <n v="0"/>
    <n v="631"/>
    <m/>
    <m/>
    <m/>
    <m/>
    <m/>
    <m/>
    <m/>
    <m/>
    <s v="Negative"/>
    <s v="Negative"/>
    <s v="Accurate Prediction"/>
  </r>
  <r>
    <x v="0"/>
    <x v="31"/>
    <x v="12"/>
    <x v="2"/>
    <x v="0"/>
    <x v="173"/>
    <x v="277"/>
    <x v="1"/>
    <n v="0"/>
    <s v="Not Sampled"/>
    <n v="632"/>
    <m/>
    <m/>
    <m/>
    <m/>
    <m/>
    <m/>
    <m/>
    <m/>
    <s v="Negative"/>
    <s v="Not Sampled"/>
    <s v="Not Sampled"/>
  </r>
  <r>
    <x v="2"/>
    <x v="80"/>
    <x v="1"/>
    <x v="6"/>
    <x v="164"/>
    <x v="155"/>
    <x v="435"/>
    <x v="11"/>
    <n v="0"/>
    <s v="Not Sampled"/>
    <n v="633"/>
    <m/>
    <m/>
    <m/>
    <m/>
    <m/>
    <m/>
    <m/>
    <m/>
    <s v="Negative"/>
    <s v="Not Sampled"/>
    <s v="Not Sampled"/>
  </r>
  <r>
    <x v="9"/>
    <x v="66"/>
    <x v="0"/>
    <x v="2"/>
    <x v="0"/>
    <x v="151"/>
    <x v="148"/>
    <x v="2"/>
    <n v="0"/>
    <s v="Not Sampled"/>
    <n v="634"/>
    <m/>
    <m/>
    <m/>
    <m/>
    <m/>
    <m/>
    <m/>
    <m/>
    <s v="Negative"/>
    <s v="Not Sampled"/>
    <s v="Not Sampled"/>
  </r>
  <r>
    <x v="13"/>
    <x v="88"/>
    <x v="5"/>
    <x v="2"/>
    <x v="0"/>
    <x v="84"/>
    <x v="436"/>
    <x v="19"/>
    <n v="1"/>
    <s v="Not Sampled"/>
    <n v="635"/>
    <m/>
    <m/>
    <m/>
    <m/>
    <m/>
    <m/>
    <m/>
    <m/>
    <s v="Positive"/>
    <s v="Not Sampled"/>
    <s v="Not Sampled"/>
  </r>
  <r>
    <x v="7"/>
    <x v="88"/>
    <x v="10"/>
    <x v="2"/>
    <x v="0"/>
    <x v="138"/>
    <x v="83"/>
    <x v="27"/>
    <n v="0"/>
    <s v="Not Sampled"/>
    <n v="636"/>
    <m/>
    <m/>
    <m/>
    <m/>
    <m/>
    <m/>
    <m/>
    <m/>
    <s v="Negative"/>
    <s v="Not Sampled"/>
    <s v="Not Sampled"/>
  </r>
  <r>
    <x v="0"/>
    <x v="19"/>
    <x v="15"/>
    <x v="10"/>
    <x v="5"/>
    <x v="31"/>
    <x v="437"/>
    <x v="1"/>
    <n v="0"/>
    <s v="Not Sampled"/>
    <n v="637"/>
    <m/>
    <m/>
    <m/>
    <m/>
    <m/>
    <m/>
    <m/>
    <m/>
    <s v="Negative"/>
    <s v="Not Sampled"/>
    <s v="Not Sampled"/>
  </r>
  <r>
    <x v="8"/>
    <x v="75"/>
    <x v="15"/>
    <x v="5"/>
    <x v="165"/>
    <x v="105"/>
    <x v="438"/>
    <x v="32"/>
    <n v="1"/>
    <s v="Not Sampled"/>
    <n v="638"/>
    <m/>
    <m/>
    <m/>
    <m/>
    <m/>
    <m/>
    <m/>
    <m/>
    <s v="Positive"/>
    <s v="Not Sampled"/>
    <s v="Not Sampled"/>
  </r>
  <r>
    <x v="2"/>
    <x v="45"/>
    <x v="10"/>
    <x v="39"/>
    <x v="166"/>
    <x v="222"/>
    <x v="439"/>
    <x v="6"/>
    <n v="0"/>
    <s v="Not Sampled"/>
    <n v="639"/>
    <m/>
    <m/>
    <m/>
    <m/>
    <m/>
    <m/>
    <m/>
    <m/>
    <s v="Negative"/>
    <s v="Not Sampled"/>
    <s v="Not Sampled"/>
  </r>
  <r>
    <x v="1"/>
    <x v="29"/>
    <x v="24"/>
    <x v="6"/>
    <x v="16"/>
    <x v="17"/>
    <x v="440"/>
    <x v="23"/>
    <n v="0"/>
    <s v="Not Sampled"/>
    <n v="640"/>
    <m/>
    <m/>
    <m/>
    <m/>
    <m/>
    <m/>
    <m/>
    <m/>
    <s v="Negative"/>
    <s v="Not Sampled"/>
    <s v="Not Sampled"/>
  </r>
  <r>
    <x v="3"/>
    <x v="80"/>
    <x v="9"/>
    <x v="2"/>
    <x v="0"/>
    <x v="82"/>
    <x v="441"/>
    <x v="3"/>
    <n v="0"/>
    <n v="0"/>
    <n v="641"/>
    <m/>
    <m/>
    <m/>
    <m/>
    <m/>
    <m/>
    <m/>
    <m/>
    <s v="Negative"/>
    <s v="Negative"/>
    <s v="Accurate Prediction"/>
  </r>
  <r>
    <x v="6"/>
    <x v="83"/>
    <x v="6"/>
    <x v="2"/>
    <x v="0"/>
    <x v="81"/>
    <x v="81"/>
    <x v="48"/>
    <n v="1"/>
    <s v="Not Sampled"/>
    <n v="642"/>
    <m/>
    <m/>
    <m/>
    <m/>
    <m/>
    <m/>
    <m/>
    <m/>
    <s v="Positive"/>
    <s v="Not Sampled"/>
    <s v="Not Sampled"/>
  </r>
  <r>
    <x v="3"/>
    <x v="30"/>
    <x v="2"/>
    <x v="2"/>
    <x v="0"/>
    <x v="43"/>
    <x v="442"/>
    <x v="2"/>
    <n v="0"/>
    <s v="Not Sampled"/>
    <n v="643"/>
    <m/>
    <m/>
    <m/>
    <m/>
    <m/>
    <m/>
    <m/>
    <m/>
    <s v="Negative"/>
    <s v="Not Sampled"/>
    <s v="Not Sampled"/>
  </r>
  <r>
    <x v="5"/>
    <x v="28"/>
    <x v="5"/>
    <x v="8"/>
    <x v="40"/>
    <x v="32"/>
    <x v="443"/>
    <x v="23"/>
    <n v="0"/>
    <n v="0"/>
    <n v="644"/>
    <m/>
    <m/>
    <m/>
    <m/>
    <m/>
    <m/>
    <m/>
    <m/>
    <s v="Negative"/>
    <s v="Negative"/>
    <s v="Accurate Prediction"/>
  </r>
  <r>
    <x v="0"/>
    <x v="111"/>
    <x v="10"/>
    <x v="0"/>
    <x v="167"/>
    <x v="121"/>
    <x v="444"/>
    <x v="13"/>
    <n v="0"/>
    <s v="Not Sampled"/>
    <n v="645"/>
    <m/>
    <m/>
    <m/>
    <m/>
    <m/>
    <m/>
    <m/>
    <m/>
    <s v="Negative"/>
    <s v="Not Sampled"/>
    <s v="Not Sampled"/>
  </r>
  <r>
    <x v="2"/>
    <x v="107"/>
    <x v="10"/>
    <x v="6"/>
    <x v="162"/>
    <x v="226"/>
    <x v="445"/>
    <x v="9"/>
    <n v="1"/>
    <s v="Not Sampled"/>
    <n v="646"/>
    <m/>
    <m/>
    <m/>
    <m/>
    <m/>
    <m/>
    <m/>
    <m/>
    <s v="Positive"/>
    <s v="Not Sampled"/>
    <s v="Not Sampled"/>
  </r>
  <r>
    <x v="1"/>
    <x v="91"/>
    <x v="13"/>
    <x v="35"/>
    <x v="168"/>
    <x v="136"/>
    <x v="446"/>
    <x v="11"/>
    <n v="1"/>
    <s v="Not Sampled"/>
    <n v="647"/>
    <m/>
    <m/>
    <m/>
    <m/>
    <m/>
    <m/>
    <m/>
    <m/>
    <s v="Positive"/>
    <s v="Not Sampled"/>
    <s v="Not Sampled"/>
  </r>
  <r>
    <x v="12"/>
    <x v="60"/>
    <x v="16"/>
    <x v="0"/>
    <x v="66"/>
    <x v="227"/>
    <x v="112"/>
    <x v="8"/>
    <n v="1"/>
    <s v="Not Sampled"/>
    <n v="648"/>
    <m/>
    <m/>
    <m/>
    <m/>
    <m/>
    <m/>
    <m/>
    <m/>
    <s v="Positive"/>
    <s v="Not Sampled"/>
    <s v="Not Sampled"/>
  </r>
  <r>
    <x v="1"/>
    <x v="61"/>
    <x v="12"/>
    <x v="14"/>
    <x v="0"/>
    <x v="199"/>
    <x v="447"/>
    <x v="1"/>
    <n v="0"/>
    <s v="Not Sampled"/>
    <n v="649"/>
    <m/>
    <m/>
    <m/>
    <m/>
    <m/>
    <m/>
    <m/>
    <m/>
    <s v="Negative"/>
    <s v="Not Sampled"/>
    <s v="Not Sampled"/>
  </r>
  <r>
    <x v="2"/>
    <x v="25"/>
    <x v="14"/>
    <x v="14"/>
    <x v="31"/>
    <x v="18"/>
    <x v="297"/>
    <x v="1"/>
    <n v="0"/>
    <s v="Not Sampled"/>
    <n v="650"/>
    <m/>
    <m/>
    <m/>
    <m/>
    <m/>
    <m/>
    <m/>
    <m/>
    <s v="Negative"/>
    <s v="Not Sampled"/>
    <s v="Not Sampled"/>
  </r>
  <r>
    <x v="2"/>
    <x v="17"/>
    <x v="12"/>
    <x v="17"/>
    <x v="148"/>
    <x v="97"/>
    <x v="372"/>
    <x v="23"/>
    <n v="0"/>
    <s v="Not Sampled"/>
    <n v="651"/>
    <m/>
    <m/>
    <m/>
    <m/>
    <m/>
    <m/>
    <m/>
    <m/>
    <s v="Negative"/>
    <s v="Not Sampled"/>
    <s v="Not Sampled"/>
  </r>
  <r>
    <x v="7"/>
    <x v="62"/>
    <x v="10"/>
    <x v="32"/>
    <x v="152"/>
    <x v="174"/>
    <x v="363"/>
    <x v="6"/>
    <n v="0"/>
    <s v="Not Sampled"/>
    <n v="652"/>
    <m/>
    <m/>
    <m/>
    <m/>
    <m/>
    <m/>
    <m/>
    <m/>
    <s v="Negative"/>
    <s v="Not Sampled"/>
    <s v="Not Sampled"/>
  </r>
  <r>
    <x v="0"/>
    <x v="24"/>
    <x v="14"/>
    <x v="2"/>
    <x v="0"/>
    <x v="90"/>
    <x v="446"/>
    <x v="23"/>
    <n v="0"/>
    <n v="0"/>
    <n v="653"/>
    <m/>
    <m/>
    <m/>
    <m/>
    <m/>
    <m/>
    <m/>
    <m/>
    <s v="Negative"/>
    <s v="Negative"/>
    <s v="Accurate Prediction"/>
  </r>
  <r>
    <x v="2"/>
    <x v="33"/>
    <x v="9"/>
    <x v="7"/>
    <x v="42"/>
    <x v="89"/>
    <x v="173"/>
    <x v="11"/>
    <n v="0"/>
    <n v="0"/>
    <n v="654"/>
    <m/>
    <m/>
    <m/>
    <m/>
    <m/>
    <m/>
    <m/>
    <m/>
    <s v="Negative"/>
    <s v="Negative"/>
    <s v="Accurate Prediction"/>
  </r>
  <r>
    <x v="0"/>
    <x v="70"/>
    <x v="33"/>
    <x v="21"/>
    <x v="169"/>
    <x v="162"/>
    <x v="236"/>
    <x v="14"/>
    <n v="1"/>
    <n v="0"/>
    <n v="655"/>
    <m/>
    <m/>
    <m/>
    <m/>
    <m/>
    <m/>
    <m/>
    <m/>
    <s v="Positive"/>
    <s v="Negative"/>
    <s v="Inaccurate Prediction"/>
  </r>
  <r>
    <x v="0"/>
    <x v="39"/>
    <x v="22"/>
    <x v="0"/>
    <x v="12"/>
    <x v="181"/>
    <x v="448"/>
    <x v="11"/>
    <n v="0"/>
    <s v="Not Sampled"/>
    <n v="656"/>
    <m/>
    <m/>
    <m/>
    <m/>
    <m/>
    <m/>
    <m/>
    <m/>
    <s v="Negative"/>
    <s v="Not Sampled"/>
    <s v="Not Sampled"/>
  </r>
  <r>
    <x v="2"/>
    <x v="24"/>
    <x v="6"/>
    <x v="46"/>
    <x v="170"/>
    <x v="228"/>
    <x v="449"/>
    <x v="17"/>
    <n v="0"/>
    <s v="Not Sampled"/>
    <n v="657"/>
    <m/>
    <m/>
    <m/>
    <m/>
    <m/>
    <m/>
    <m/>
    <m/>
    <s v="Negative"/>
    <s v="Not Sampled"/>
    <s v="Not Sampled"/>
  </r>
  <r>
    <x v="12"/>
    <x v="117"/>
    <x v="44"/>
    <x v="2"/>
    <x v="0"/>
    <x v="20"/>
    <x v="163"/>
    <x v="42"/>
    <n v="0"/>
    <s v="Not Sampled"/>
    <n v="658"/>
    <m/>
    <m/>
    <m/>
    <m/>
    <m/>
    <m/>
    <m/>
    <m/>
    <s v="Negative"/>
    <s v="Not Sampled"/>
    <s v="Not Sampled"/>
  </r>
  <r>
    <x v="5"/>
    <x v="11"/>
    <x v="1"/>
    <x v="1"/>
    <x v="19"/>
    <x v="89"/>
    <x v="450"/>
    <x v="23"/>
    <n v="1"/>
    <s v="Not Sampled"/>
    <n v="659"/>
    <m/>
    <m/>
    <m/>
    <m/>
    <m/>
    <m/>
    <m/>
    <m/>
    <s v="Positive"/>
    <s v="Not Sampled"/>
    <s v="Not Sampled"/>
  </r>
  <r>
    <x v="9"/>
    <x v="76"/>
    <x v="16"/>
    <x v="2"/>
    <x v="0"/>
    <x v="116"/>
    <x v="451"/>
    <x v="28"/>
    <n v="0"/>
    <n v="1"/>
    <n v="660"/>
    <m/>
    <m/>
    <m/>
    <m/>
    <m/>
    <m/>
    <m/>
    <m/>
    <s v="Negative"/>
    <s v="Positive"/>
    <s v="Inaccurate Prediction"/>
  </r>
  <r>
    <x v="2"/>
    <x v="130"/>
    <x v="15"/>
    <x v="44"/>
    <x v="0"/>
    <x v="92"/>
    <x v="452"/>
    <x v="11"/>
    <n v="1"/>
    <n v="1"/>
    <n v="661"/>
    <m/>
    <m/>
    <m/>
    <m/>
    <m/>
    <m/>
    <m/>
    <m/>
    <s v="Positive"/>
    <s v="Positive"/>
    <s v="Accurate Prediction"/>
  </r>
  <r>
    <x v="4"/>
    <x v="107"/>
    <x v="44"/>
    <x v="40"/>
    <x v="109"/>
    <x v="209"/>
    <x v="84"/>
    <x v="33"/>
    <n v="1"/>
    <s v="Not Sampled"/>
    <n v="662"/>
    <m/>
    <m/>
    <m/>
    <m/>
    <m/>
    <m/>
    <m/>
    <m/>
    <s v="Positive"/>
    <s v="Not Sampled"/>
    <s v="Not Sampled"/>
  </r>
  <r>
    <x v="11"/>
    <x v="2"/>
    <x v="6"/>
    <x v="40"/>
    <x v="66"/>
    <x v="160"/>
    <x v="143"/>
    <x v="18"/>
    <n v="1"/>
    <s v="Not Sampled"/>
    <n v="663"/>
    <m/>
    <m/>
    <m/>
    <m/>
    <m/>
    <m/>
    <m/>
    <m/>
    <s v="Positive"/>
    <s v="Not Sampled"/>
    <s v="Not Sampled"/>
  </r>
  <r>
    <x v="6"/>
    <x v="109"/>
    <x v="12"/>
    <x v="15"/>
    <x v="0"/>
    <x v="47"/>
    <x v="404"/>
    <x v="18"/>
    <n v="1"/>
    <s v="Not Sampled"/>
    <n v="664"/>
    <m/>
    <m/>
    <m/>
    <m/>
    <m/>
    <m/>
    <m/>
    <m/>
    <s v="Positive"/>
    <s v="Not Sampled"/>
    <s v="Not Sampled"/>
  </r>
  <r>
    <x v="2"/>
    <x v="56"/>
    <x v="6"/>
    <x v="45"/>
    <x v="103"/>
    <x v="124"/>
    <x v="453"/>
    <x v="3"/>
    <n v="0"/>
    <s v="Not Sampled"/>
    <n v="665"/>
    <m/>
    <m/>
    <m/>
    <m/>
    <m/>
    <m/>
    <m/>
    <m/>
    <s v="Negative"/>
    <s v="Not Sampled"/>
    <s v="Not Sampled"/>
  </r>
  <r>
    <x v="3"/>
    <x v="2"/>
    <x v="1"/>
    <x v="10"/>
    <x v="0"/>
    <x v="56"/>
    <x v="41"/>
    <x v="50"/>
    <n v="1"/>
    <s v="Not Sampled"/>
    <n v="666"/>
    <m/>
    <m/>
    <m/>
    <m/>
    <m/>
    <m/>
    <m/>
    <m/>
    <s v="Positive"/>
    <s v="Not Sampled"/>
    <s v="Not Sampled"/>
  </r>
  <r>
    <x v="9"/>
    <x v="31"/>
    <x v="9"/>
    <x v="21"/>
    <x v="0"/>
    <x v="155"/>
    <x v="425"/>
    <x v="18"/>
    <n v="1"/>
    <s v="Not Sampled"/>
    <n v="667"/>
    <m/>
    <m/>
    <m/>
    <m/>
    <m/>
    <m/>
    <m/>
    <m/>
    <s v="Positive"/>
    <s v="Not Sampled"/>
    <s v="Not Sampled"/>
  </r>
  <r>
    <x v="6"/>
    <x v="116"/>
    <x v="22"/>
    <x v="12"/>
    <x v="72"/>
    <x v="37"/>
    <x v="400"/>
    <x v="33"/>
    <n v="0"/>
    <s v="Not Sampled"/>
    <n v="668"/>
    <m/>
    <m/>
    <m/>
    <m/>
    <m/>
    <m/>
    <m/>
    <m/>
    <s v="Negative"/>
    <s v="Not Sampled"/>
    <s v="Not Sampled"/>
  </r>
  <r>
    <x v="11"/>
    <x v="16"/>
    <x v="4"/>
    <x v="8"/>
    <x v="31"/>
    <x v="125"/>
    <x v="192"/>
    <x v="10"/>
    <n v="0"/>
    <s v="Not Sampled"/>
    <n v="669"/>
    <m/>
    <m/>
    <m/>
    <m/>
    <m/>
    <m/>
    <m/>
    <m/>
    <s v="Negative"/>
    <s v="Not Sampled"/>
    <s v="Not Sampled"/>
  </r>
  <r>
    <x v="6"/>
    <x v="102"/>
    <x v="3"/>
    <x v="16"/>
    <x v="49"/>
    <x v="0"/>
    <x v="454"/>
    <x v="43"/>
    <n v="0"/>
    <s v="Not Sampled"/>
    <n v="670"/>
    <m/>
    <m/>
    <m/>
    <m/>
    <m/>
    <m/>
    <m/>
    <m/>
    <s v="Negative"/>
    <s v="Not Sampled"/>
    <s v="Not Sampled"/>
  </r>
  <r>
    <x v="2"/>
    <x v="6"/>
    <x v="22"/>
    <x v="25"/>
    <x v="0"/>
    <x v="54"/>
    <x v="7"/>
    <x v="4"/>
    <n v="0"/>
    <n v="0"/>
    <n v="671"/>
    <m/>
    <m/>
    <m/>
    <m/>
    <m/>
    <m/>
    <m/>
    <m/>
    <s v="Negative"/>
    <s v="Negative"/>
    <s v="Accurate Prediction"/>
  </r>
  <r>
    <x v="9"/>
    <x v="123"/>
    <x v="44"/>
    <x v="17"/>
    <x v="51"/>
    <x v="130"/>
    <x v="350"/>
    <x v="0"/>
    <n v="0"/>
    <s v="Not Sampled"/>
    <n v="672"/>
    <m/>
    <m/>
    <m/>
    <m/>
    <m/>
    <m/>
    <m/>
    <m/>
    <s v="Negative"/>
    <s v="Not Sampled"/>
    <s v="Not Sampled"/>
  </r>
  <r>
    <x v="5"/>
    <x v="62"/>
    <x v="39"/>
    <x v="0"/>
    <x v="20"/>
    <x v="229"/>
    <x v="455"/>
    <x v="11"/>
    <n v="0"/>
    <s v="Not Sampled"/>
    <n v="673"/>
    <m/>
    <m/>
    <m/>
    <m/>
    <m/>
    <m/>
    <m/>
    <m/>
    <s v="Negative"/>
    <s v="Not Sampled"/>
    <s v="Not Sampled"/>
  </r>
  <r>
    <x v="4"/>
    <x v="25"/>
    <x v="1"/>
    <x v="2"/>
    <x v="0"/>
    <x v="230"/>
    <x v="59"/>
    <x v="51"/>
    <n v="0"/>
    <n v="0"/>
    <n v="674"/>
    <m/>
    <m/>
    <m/>
    <m/>
    <m/>
    <m/>
    <m/>
    <m/>
    <s v="Negative"/>
    <s v="Negative"/>
    <s v="Accurate Prediction"/>
  </r>
  <r>
    <x v="6"/>
    <x v="15"/>
    <x v="9"/>
    <x v="2"/>
    <x v="0"/>
    <x v="125"/>
    <x v="338"/>
    <x v="2"/>
    <n v="1"/>
    <n v="1"/>
    <n v="675"/>
    <m/>
    <m/>
    <m/>
    <m/>
    <m/>
    <m/>
    <m/>
    <m/>
    <s v="Positive"/>
    <s v="Positive"/>
    <s v="Accurate Prediction"/>
  </r>
  <r>
    <x v="11"/>
    <x v="84"/>
    <x v="24"/>
    <x v="2"/>
    <x v="0"/>
    <x v="172"/>
    <x v="344"/>
    <x v="49"/>
    <n v="1"/>
    <s v="Not Sampled"/>
    <n v="676"/>
    <m/>
    <m/>
    <m/>
    <m/>
    <m/>
    <m/>
    <m/>
    <m/>
    <s v="Positive"/>
    <s v="Not Sampled"/>
    <s v="Not Sampled"/>
  </r>
  <r>
    <x v="1"/>
    <x v="67"/>
    <x v="12"/>
    <x v="2"/>
    <x v="0"/>
    <x v="186"/>
    <x v="22"/>
    <x v="14"/>
    <n v="0"/>
    <s v="Not Sampled"/>
    <n v="677"/>
    <m/>
    <m/>
    <m/>
    <m/>
    <m/>
    <m/>
    <m/>
    <m/>
    <s v="Negative"/>
    <s v="Not Sampled"/>
    <s v="Not Sampled"/>
  </r>
  <r>
    <x v="5"/>
    <x v="126"/>
    <x v="33"/>
    <x v="2"/>
    <x v="0"/>
    <x v="231"/>
    <x v="0"/>
    <x v="14"/>
    <n v="1"/>
    <s v="Not Sampled"/>
    <n v="678"/>
    <m/>
    <m/>
    <m/>
    <m/>
    <m/>
    <m/>
    <m/>
    <m/>
    <s v="Positive"/>
    <s v="Not Sampled"/>
    <s v="Not Sampled"/>
  </r>
  <r>
    <x v="0"/>
    <x v="39"/>
    <x v="22"/>
    <x v="6"/>
    <x v="4"/>
    <x v="29"/>
    <x v="456"/>
    <x v="1"/>
    <n v="0"/>
    <n v="0"/>
    <n v="679"/>
    <m/>
    <m/>
    <m/>
    <m/>
    <m/>
    <m/>
    <m/>
    <m/>
    <s v="Negative"/>
    <s v="Negative"/>
    <s v="Accurate Prediction"/>
  </r>
  <r>
    <x v="0"/>
    <x v="131"/>
    <x v="20"/>
    <x v="7"/>
    <x v="83"/>
    <x v="29"/>
    <x v="457"/>
    <x v="11"/>
    <n v="0"/>
    <s v="Not Sampled"/>
    <n v="680"/>
    <m/>
    <m/>
    <m/>
    <m/>
    <m/>
    <m/>
    <m/>
    <m/>
    <s v="Negative"/>
    <s v="Not Sampled"/>
    <s v="Not Sampled"/>
  </r>
  <r>
    <x v="1"/>
    <x v="76"/>
    <x v="15"/>
    <x v="35"/>
    <x v="0"/>
    <x v="232"/>
    <x v="356"/>
    <x v="25"/>
    <n v="1"/>
    <s v="Not Sampled"/>
    <n v="681"/>
    <m/>
    <m/>
    <m/>
    <m/>
    <m/>
    <m/>
    <m/>
    <m/>
    <s v="Positive"/>
    <s v="Not Sampled"/>
    <s v="Not Sampled"/>
  </r>
  <r>
    <x v="1"/>
    <x v="50"/>
    <x v="11"/>
    <x v="15"/>
    <x v="16"/>
    <x v="233"/>
    <x v="458"/>
    <x v="11"/>
    <n v="0"/>
    <s v="Not Sampled"/>
    <n v="682"/>
    <m/>
    <m/>
    <m/>
    <m/>
    <m/>
    <m/>
    <m/>
    <m/>
    <s v="Negative"/>
    <s v="Not Sampled"/>
    <s v="Not Sampled"/>
  </r>
  <r>
    <x v="3"/>
    <x v="10"/>
    <x v="6"/>
    <x v="2"/>
    <x v="0"/>
    <x v="167"/>
    <x v="4"/>
    <x v="23"/>
    <n v="1"/>
    <s v="Not Sampled"/>
    <n v="683"/>
    <m/>
    <m/>
    <m/>
    <m/>
    <m/>
    <m/>
    <m/>
    <m/>
    <s v="Positive"/>
    <s v="Not Sampled"/>
    <s v="Not Sampled"/>
  </r>
  <r>
    <x v="7"/>
    <x v="60"/>
    <x v="1"/>
    <x v="2"/>
    <x v="0"/>
    <x v="12"/>
    <x v="172"/>
    <x v="37"/>
    <n v="0"/>
    <s v="Not Sampled"/>
    <n v="684"/>
    <m/>
    <m/>
    <m/>
    <m/>
    <m/>
    <m/>
    <m/>
    <m/>
    <s v="Negative"/>
    <s v="Not Sampled"/>
    <s v="Not Sampled"/>
  </r>
  <r>
    <x v="0"/>
    <x v="52"/>
    <x v="10"/>
    <x v="16"/>
    <x v="106"/>
    <x v="34"/>
    <x v="392"/>
    <x v="14"/>
    <n v="0"/>
    <s v="Not Sampled"/>
    <n v="685"/>
    <m/>
    <m/>
    <m/>
    <m/>
    <m/>
    <m/>
    <m/>
    <m/>
    <s v="Negative"/>
    <s v="Not Sampled"/>
    <s v="Not Sampled"/>
  </r>
  <r>
    <x v="5"/>
    <x v="23"/>
    <x v="11"/>
    <x v="2"/>
    <x v="0"/>
    <x v="179"/>
    <x v="23"/>
    <x v="11"/>
    <n v="0"/>
    <s v="Not Sampled"/>
    <n v="686"/>
    <m/>
    <m/>
    <m/>
    <m/>
    <m/>
    <m/>
    <m/>
    <m/>
    <s v="Negative"/>
    <s v="Not Sampled"/>
    <s v="Not Sampled"/>
  </r>
  <r>
    <x v="2"/>
    <x v="61"/>
    <x v="13"/>
    <x v="13"/>
    <x v="0"/>
    <x v="227"/>
    <x v="459"/>
    <x v="29"/>
    <n v="0"/>
    <s v="Not Sampled"/>
    <n v="687"/>
    <m/>
    <m/>
    <m/>
    <m/>
    <m/>
    <m/>
    <m/>
    <m/>
    <s v="Negative"/>
    <s v="Not Sampled"/>
    <s v="Not Sampled"/>
  </r>
  <r>
    <x v="2"/>
    <x v="98"/>
    <x v="10"/>
    <x v="16"/>
    <x v="105"/>
    <x v="234"/>
    <x v="460"/>
    <x v="1"/>
    <n v="0"/>
    <s v="Not Sampled"/>
    <n v="688"/>
    <m/>
    <m/>
    <m/>
    <m/>
    <m/>
    <m/>
    <m/>
    <m/>
    <s v="Negative"/>
    <s v="Not Sampled"/>
    <s v="Not Sampled"/>
  </r>
  <r>
    <x v="2"/>
    <x v="65"/>
    <x v="1"/>
    <x v="40"/>
    <x v="105"/>
    <x v="210"/>
    <x v="461"/>
    <x v="22"/>
    <n v="1"/>
    <s v="Not Sampled"/>
    <n v="689"/>
    <m/>
    <m/>
    <m/>
    <m/>
    <m/>
    <m/>
    <m/>
    <m/>
    <s v="Positive"/>
    <s v="Not Sampled"/>
    <s v="Not Sampled"/>
  </r>
  <r>
    <x v="4"/>
    <x v="61"/>
    <x v="6"/>
    <x v="2"/>
    <x v="0"/>
    <x v="66"/>
    <x v="462"/>
    <x v="34"/>
    <n v="0"/>
    <s v="Not Sampled"/>
    <n v="690"/>
    <m/>
    <m/>
    <m/>
    <m/>
    <m/>
    <m/>
    <m/>
    <m/>
    <s v="Negative"/>
    <s v="Not Sampled"/>
    <s v="Not Sampled"/>
  </r>
  <r>
    <x v="13"/>
    <x v="95"/>
    <x v="45"/>
    <x v="2"/>
    <x v="0"/>
    <x v="3"/>
    <x v="423"/>
    <x v="30"/>
    <n v="1"/>
    <s v="Not Sampled"/>
    <n v="691"/>
    <m/>
    <m/>
    <m/>
    <m/>
    <m/>
    <m/>
    <m/>
    <m/>
    <s v="Positive"/>
    <s v="Not Sampled"/>
    <s v="Not Sampled"/>
  </r>
  <r>
    <x v="0"/>
    <x v="126"/>
    <x v="9"/>
    <x v="5"/>
    <x v="142"/>
    <x v="44"/>
    <x v="463"/>
    <x v="1"/>
    <n v="0"/>
    <n v="0"/>
    <n v="692"/>
    <m/>
    <m/>
    <m/>
    <m/>
    <m/>
    <m/>
    <m/>
    <m/>
    <s v="Negative"/>
    <s v="Negative"/>
    <s v="Accurate Prediction"/>
  </r>
  <r>
    <x v="8"/>
    <x v="52"/>
    <x v="3"/>
    <x v="48"/>
    <x v="1"/>
    <x v="70"/>
    <x v="464"/>
    <x v="33"/>
    <n v="1"/>
    <n v="1"/>
    <n v="693"/>
    <m/>
    <m/>
    <m/>
    <m/>
    <m/>
    <m/>
    <m/>
    <m/>
    <s v="Positive"/>
    <s v="Positive"/>
    <s v="Accurate Prediction"/>
  </r>
  <r>
    <x v="0"/>
    <x v="30"/>
    <x v="12"/>
    <x v="2"/>
    <x v="0"/>
    <x v="177"/>
    <x v="465"/>
    <x v="14"/>
    <n v="0"/>
    <s v="Not Sampled"/>
    <n v="694"/>
    <m/>
    <m/>
    <m/>
    <m/>
    <m/>
    <m/>
    <m/>
    <m/>
    <s v="Negative"/>
    <s v="Not Sampled"/>
    <s v="Not Sampled"/>
  </r>
  <r>
    <x v="8"/>
    <x v="64"/>
    <x v="8"/>
    <x v="20"/>
    <x v="3"/>
    <x v="25"/>
    <x v="238"/>
    <x v="33"/>
    <n v="1"/>
    <s v="Not Sampled"/>
    <n v="695"/>
    <m/>
    <m/>
    <m/>
    <m/>
    <m/>
    <m/>
    <m/>
    <m/>
    <s v="Positive"/>
    <s v="Not Sampled"/>
    <s v="Not Sampled"/>
  </r>
  <r>
    <x v="5"/>
    <x v="132"/>
    <x v="10"/>
    <x v="13"/>
    <x v="1"/>
    <x v="106"/>
    <x v="32"/>
    <x v="2"/>
    <n v="1"/>
    <s v="Not Sampled"/>
    <n v="696"/>
    <m/>
    <m/>
    <m/>
    <m/>
    <m/>
    <m/>
    <m/>
    <m/>
    <s v="Positive"/>
    <s v="Not Sampled"/>
    <s v="Not Sampled"/>
  </r>
  <r>
    <x v="1"/>
    <x v="6"/>
    <x v="2"/>
    <x v="2"/>
    <x v="0"/>
    <x v="26"/>
    <x v="466"/>
    <x v="11"/>
    <n v="0"/>
    <n v="0"/>
    <n v="697"/>
    <m/>
    <m/>
    <m/>
    <m/>
    <m/>
    <m/>
    <m/>
    <m/>
    <s v="Negative"/>
    <s v="Negative"/>
    <s v="Accurate Prediction"/>
  </r>
  <r>
    <x v="3"/>
    <x v="117"/>
    <x v="21"/>
    <x v="22"/>
    <x v="59"/>
    <x v="93"/>
    <x v="467"/>
    <x v="6"/>
    <n v="0"/>
    <n v="0"/>
    <n v="698"/>
    <m/>
    <m/>
    <m/>
    <m/>
    <m/>
    <m/>
    <m/>
    <m/>
    <s v="Negative"/>
    <s v="Negative"/>
    <s v="Accurate Prediction"/>
  </r>
  <r>
    <x v="3"/>
    <x v="78"/>
    <x v="9"/>
    <x v="2"/>
    <x v="0"/>
    <x v="235"/>
    <x v="468"/>
    <x v="25"/>
    <n v="0"/>
    <s v="Not Sampled"/>
    <n v="699"/>
    <m/>
    <m/>
    <m/>
    <m/>
    <m/>
    <m/>
    <m/>
    <m/>
    <s v="Negative"/>
    <s v="Not Sampled"/>
    <s v="Not Sampled"/>
  </r>
  <r>
    <x v="0"/>
    <x v="27"/>
    <x v="15"/>
    <x v="21"/>
    <x v="170"/>
    <x v="117"/>
    <x v="469"/>
    <x v="25"/>
    <n v="0"/>
    <n v="0"/>
    <n v="700"/>
    <m/>
    <m/>
    <m/>
    <m/>
    <m/>
    <m/>
    <m/>
    <m/>
    <s v="Negative"/>
    <s v="Negative"/>
    <s v="Accurate Prediction"/>
  </r>
  <r>
    <x v="6"/>
    <x v="10"/>
    <x v="4"/>
    <x v="1"/>
    <x v="0"/>
    <x v="32"/>
    <x v="470"/>
    <x v="43"/>
    <n v="1"/>
    <n v="0"/>
    <n v="701"/>
    <m/>
    <m/>
    <m/>
    <m/>
    <m/>
    <m/>
    <m/>
    <m/>
    <s v="Positive"/>
    <s v="Negative"/>
    <s v="Inaccurate Prediction"/>
  </r>
  <r>
    <x v="2"/>
    <x v="120"/>
    <x v="21"/>
    <x v="30"/>
    <x v="0"/>
    <x v="145"/>
    <x v="180"/>
    <x v="41"/>
    <n v="1"/>
    <n v="1"/>
    <n v="702"/>
    <m/>
    <m/>
    <m/>
    <m/>
    <m/>
    <m/>
    <m/>
    <m/>
    <s v="Positive"/>
    <s v="Positive"/>
    <s v="Accurate Prediction"/>
  </r>
  <r>
    <x v="0"/>
    <x v="52"/>
    <x v="2"/>
    <x v="2"/>
    <x v="0"/>
    <x v="70"/>
    <x v="13"/>
    <x v="17"/>
    <n v="0"/>
    <s v="Not Sampled"/>
    <n v="703"/>
    <m/>
    <m/>
    <m/>
    <m/>
    <m/>
    <m/>
    <m/>
    <m/>
    <s v="Negative"/>
    <s v="Not Sampled"/>
    <s v="Not Sampled"/>
  </r>
  <r>
    <x v="3"/>
    <x v="13"/>
    <x v="15"/>
    <x v="28"/>
    <x v="31"/>
    <x v="109"/>
    <x v="471"/>
    <x v="23"/>
    <n v="0"/>
    <s v="Not Sampled"/>
    <n v="704"/>
    <m/>
    <m/>
    <m/>
    <m/>
    <m/>
    <m/>
    <m/>
    <m/>
    <s v="Negative"/>
    <s v="Not Sampled"/>
    <s v="Not Sampled"/>
  </r>
  <r>
    <x v="6"/>
    <x v="11"/>
    <x v="6"/>
    <x v="35"/>
    <x v="0"/>
    <x v="236"/>
    <x v="472"/>
    <x v="6"/>
    <n v="0"/>
    <n v="0"/>
    <n v="705"/>
    <m/>
    <m/>
    <m/>
    <m/>
    <m/>
    <m/>
    <m/>
    <m/>
    <s v="Negative"/>
    <s v="Negative"/>
    <s v="Accurate Prediction"/>
  </r>
  <r>
    <x v="9"/>
    <x v="109"/>
    <x v="2"/>
    <x v="2"/>
    <x v="0"/>
    <x v="12"/>
    <x v="86"/>
    <x v="13"/>
    <n v="1"/>
    <s v="Not Sampled"/>
    <n v="706"/>
    <m/>
    <m/>
    <m/>
    <m/>
    <m/>
    <m/>
    <m/>
    <m/>
    <s v="Positive"/>
    <s v="Not Sampled"/>
    <s v="Not Sampled"/>
  </r>
  <r>
    <x v="0"/>
    <x v="117"/>
    <x v="37"/>
    <x v="23"/>
    <x v="171"/>
    <x v="184"/>
    <x v="473"/>
    <x v="11"/>
    <n v="0"/>
    <s v="Not Sampled"/>
    <n v="707"/>
    <m/>
    <m/>
    <m/>
    <m/>
    <m/>
    <m/>
    <m/>
    <m/>
    <s v="Negative"/>
    <s v="Not Sampled"/>
    <s v="Not Sampled"/>
  </r>
  <r>
    <x v="11"/>
    <x v="101"/>
    <x v="4"/>
    <x v="2"/>
    <x v="0"/>
    <x v="10"/>
    <x v="271"/>
    <x v="10"/>
    <n v="1"/>
    <s v="Not Sampled"/>
    <n v="708"/>
    <m/>
    <m/>
    <m/>
    <m/>
    <m/>
    <m/>
    <m/>
    <m/>
    <s v="Positive"/>
    <s v="Not Sampled"/>
    <s v="Not Sampled"/>
  </r>
  <r>
    <x v="0"/>
    <x v="67"/>
    <x v="11"/>
    <x v="5"/>
    <x v="69"/>
    <x v="237"/>
    <x v="326"/>
    <x v="1"/>
    <n v="1"/>
    <s v="Not Sampled"/>
    <n v="709"/>
    <m/>
    <m/>
    <m/>
    <m/>
    <m/>
    <m/>
    <m/>
    <m/>
    <s v="Positive"/>
    <s v="Not Sampled"/>
    <s v="Not Sampled"/>
  </r>
  <r>
    <x v="5"/>
    <x v="95"/>
    <x v="11"/>
    <x v="27"/>
    <x v="172"/>
    <x v="84"/>
    <x v="474"/>
    <x v="3"/>
    <n v="0"/>
    <s v="Not Sampled"/>
    <n v="710"/>
    <m/>
    <m/>
    <m/>
    <m/>
    <m/>
    <m/>
    <m/>
    <m/>
    <s v="Negative"/>
    <s v="Not Sampled"/>
    <s v="Not Sampled"/>
  </r>
  <r>
    <x v="7"/>
    <x v="51"/>
    <x v="4"/>
    <x v="21"/>
    <x v="173"/>
    <x v="107"/>
    <x v="464"/>
    <x v="18"/>
    <n v="0"/>
    <s v="Not Sampled"/>
    <n v="711"/>
    <m/>
    <m/>
    <m/>
    <m/>
    <m/>
    <m/>
    <m/>
    <m/>
    <s v="Negative"/>
    <s v="Not Sampled"/>
    <s v="Not Sampled"/>
  </r>
  <r>
    <x v="9"/>
    <x v="52"/>
    <x v="0"/>
    <x v="35"/>
    <x v="0"/>
    <x v="238"/>
    <x v="475"/>
    <x v="19"/>
    <n v="1"/>
    <s v="Not Sampled"/>
    <n v="712"/>
    <m/>
    <m/>
    <m/>
    <m/>
    <m/>
    <m/>
    <m/>
    <m/>
    <s v="Positive"/>
    <s v="Not Sampled"/>
    <s v="Not Sampled"/>
  </r>
  <r>
    <x v="1"/>
    <x v="63"/>
    <x v="22"/>
    <x v="28"/>
    <x v="174"/>
    <x v="199"/>
    <x v="476"/>
    <x v="4"/>
    <n v="0"/>
    <s v="Not Sampled"/>
    <n v="713"/>
    <m/>
    <m/>
    <m/>
    <m/>
    <m/>
    <m/>
    <m/>
    <m/>
    <s v="Negative"/>
    <s v="Not Sampled"/>
    <s v="Not Sampled"/>
  </r>
  <r>
    <x v="5"/>
    <x v="29"/>
    <x v="10"/>
    <x v="2"/>
    <x v="0"/>
    <x v="81"/>
    <x v="394"/>
    <x v="32"/>
    <n v="0"/>
    <s v="Not Sampled"/>
    <n v="714"/>
    <m/>
    <m/>
    <m/>
    <m/>
    <m/>
    <m/>
    <m/>
    <m/>
    <s v="Negative"/>
    <s v="Not Sampled"/>
    <s v="Not Sampled"/>
  </r>
  <r>
    <x v="8"/>
    <x v="44"/>
    <x v="13"/>
    <x v="12"/>
    <x v="175"/>
    <x v="75"/>
    <x v="477"/>
    <x v="34"/>
    <n v="1"/>
    <s v="Not Sampled"/>
    <n v="715"/>
    <m/>
    <m/>
    <m/>
    <m/>
    <m/>
    <m/>
    <m/>
    <m/>
    <s v="Positive"/>
    <s v="Not Sampled"/>
    <s v="Not Sampled"/>
  </r>
  <r>
    <x v="5"/>
    <x v="5"/>
    <x v="4"/>
    <x v="15"/>
    <x v="157"/>
    <x v="97"/>
    <x v="478"/>
    <x v="2"/>
    <n v="1"/>
    <s v="Not Sampled"/>
    <n v="716"/>
    <m/>
    <m/>
    <m/>
    <m/>
    <m/>
    <m/>
    <m/>
    <m/>
    <s v="Positive"/>
    <s v="Not Sampled"/>
    <s v="Not Sampled"/>
  </r>
  <r>
    <x v="9"/>
    <x v="19"/>
    <x v="5"/>
    <x v="10"/>
    <x v="0"/>
    <x v="179"/>
    <x v="479"/>
    <x v="24"/>
    <n v="0"/>
    <s v="Not Sampled"/>
    <n v="717"/>
    <m/>
    <m/>
    <m/>
    <m/>
    <m/>
    <m/>
    <m/>
    <m/>
    <s v="Negative"/>
    <s v="Not Sampled"/>
    <s v="Not Sampled"/>
  </r>
  <r>
    <x v="2"/>
    <x v="81"/>
    <x v="12"/>
    <x v="40"/>
    <x v="176"/>
    <x v="130"/>
    <x v="351"/>
    <x v="3"/>
    <n v="0"/>
    <n v="0"/>
    <n v="718"/>
    <m/>
    <m/>
    <m/>
    <m/>
    <m/>
    <m/>
    <m/>
    <m/>
    <s v="Negative"/>
    <s v="Negative"/>
    <s v="Accurate Prediction"/>
  </r>
  <r>
    <x v="7"/>
    <x v="75"/>
    <x v="15"/>
    <x v="21"/>
    <x v="0"/>
    <x v="230"/>
    <x v="293"/>
    <x v="41"/>
    <n v="1"/>
    <s v="Not Sampled"/>
    <n v="719"/>
    <m/>
    <m/>
    <m/>
    <m/>
    <m/>
    <m/>
    <m/>
    <m/>
    <s v="Positive"/>
    <s v="Not Sampled"/>
    <s v="Not Sampled"/>
  </r>
  <r>
    <x v="3"/>
    <x v="8"/>
    <x v="24"/>
    <x v="13"/>
    <x v="0"/>
    <x v="17"/>
    <x v="480"/>
    <x v="34"/>
    <n v="0"/>
    <s v="Not Sampled"/>
    <n v="720"/>
    <m/>
    <m/>
    <m/>
    <m/>
    <m/>
    <m/>
    <m/>
    <m/>
    <s v="Negative"/>
    <s v="Not Sampled"/>
    <s v="Not Sampled"/>
  </r>
  <r>
    <x v="2"/>
    <x v="48"/>
    <x v="19"/>
    <x v="35"/>
    <x v="170"/>
    <x v="176"/>
    <x v="188"/>
    <x v="4"/>
    <n v="0"/>
    <s v="Not Sampled"/>
    <n v="721"/>
    <m/>
    <m/>
    <m/>
    <m/>
    <m/>
    <m/>
    <m/>
    <m/>
    <s v="Negative"/>
    <s v="Not Sampled"/>
    <s v="Not Sampled"/>
  </r>
  <r>
    <x v="2"/>
    <x v="133"/>
    <x v="3"/>
    <x v="30"/>
    <x v="177"/>
    <x v="17"/>
    <x v="284"/>
    <x v="8"/>
    <n v="1"/>
    <s v="Not Sampled"/>
    <n v="722"/>
    <m/>
    <m/>
    <m/>
    <m/>
    <m/>
    <m/>
    <m/>
    <m/>
    <s v="Positive"/>
    <s v="Not Sampled"/>
    <s v="Not Sampled"/>
  </r>
  <r>
    <x v="7"/>
    <x v="17"/>
    <x v="24"/>
    <x v="8"/>
    <x v="16"/>
    <x v="44"/>
    <x v="240"/>
    <x v="8"/>
    <n v="0"/>
    <s v="Not Sampled"/>
    <n v="723"/>
    <m/>
    <m/>
    <m/>
    <m/>
    <m/>
    <m/>
    <m/>
    <m/>
    <s v="Negative"/>
    <s v="Not Sampled"/>
    <s v="Not Sampled"/>
  </r>
  <r>
    <x v="2"/>
    <x v="31"/>
    <x v="41"/>
    <x v="2"/>
    <x v="0"/>
    <x v="10"/>
    <x v="481"/>
    <x v="10"/>
    <n v="0"/>
    <n v="0"/>
    <n v="724"/>
    <m/>
    <m/>
    <m/>
    <m/>
    <m/>
    <m/>
    <m/>
    <m/>
    <s v="Negative"/>
    <s v="Negative"/>
    <s v="Accurate Prediction"/>
  </r>
  <r>
    <x v="3"/>
    <x v="56"/>
    <x v="4"/>
    <x v="32"/>
    <x v="0"/>
    <x v="121"/>
    <x v="183"/>
    <x v="19"/>
    <n v="0"/>
    <s v="Not Sampled"/>
    <n v="725"/>
    <m/>
    <m/>
    <m/>
    <m/>
    <m/>
    <m/>
    <m/>
    <m/>
    <s v="Negative"/>
    <s v="Not Sampled"/>
    <s v="Not Sampled"/>
  </r>
  <r>
    <x v="2"/>
    <x v="113"/>
    <x v="4"/>
    <x v="30"/>
    <x v="105"/>
    <x v="164"/>
    <x v="116"/>
    <x v="14"/>
    <n v="0"/>
    <n v="0"/>
    <n v="726"/>
    <m/>
    <m/>
    <m/>
    <m/>
    <m/>
    <m/>
    <m/>
    <m/>
    <s v="Negative"/>
    <s v="Negative"/>
    <s v="Accurate Prediction"/>
  </r>
  <r>
    <x v="1"/>
    <x v="47"/>
    <x v="16"/>
    <x v="16"/>
    <x v="0"/>
    <x v="68"/>
    <x v="262"/>
    <x v="11"/>
    <n v="0"/>
    <s v="Not Sampled"/>
    <n v="727"/>
    <m/>
    <m/>
    <m/>
    <m/>
    <m/>
    <m/>
    <m/>
    <m/>
    <s v="Negative"/>
    <s v="Not Sampled"/>
    <s v="Not Sampled"/>
  </r>
  <r>
    <x v="0"/>
    <x v="122"/>
    <x v="21"/>
    <x v="2"/>
    <x v="0"/>
    <x v="123"/>
    <x v="259"/>
    <x v="11"/>
    <n v="0"/>
    <s v="Not Sampled"/>
    <n v="728"/>
    <m/>
    <m/>
    <m/>
    <m/>
    <m/>
    <m/>
    <m/>
    <m/>
    <s v="Negative"/>
    <s v="Not Sampled"/>
    <s v="Not Sampled"/>
  </r>
  <r>
    <x v="0"/>
    <x v="66"/>
    <x v="33"/>
    <x v="2"/>
    <x v="0"/>
    <x v="15"/>
    <x v="425"/>
    <x v="11"/>
    <n v="0"/>
    <n v="0"/>
    <n v="729"/>
    <m/>
    <m/>
    <m/>
    <m/>
    <m/>
    <m/>
    <m/>
    <m/>
    <s v="Negative"/>
    <s v="Negative"/>
    <s v="Accurate Prediction"/>
  </r>
  <r>
    <x v="5"/>
    <x v="23"/>
    <x v="4"/>
    <x v="17"/>
    <x v="11"/>
    <x v="109"/>
    <x v="91"/>
    <x v="34"/>
    <n v="1"/>
    <n v="0"/>
    <n v="730"/>
    <m/>
    <m/>
    <m/>
    <m/>
    <m/>
    <m/>
    <m/>
    <m/>
    <s v="Positive"/>
    <s v="Negative"/>
    <s v="Inaccurate Prediction"/>
  </r>
  <r>
    <x v="4"/>
    <x v="24"/>
    <x v="24"/>
    <x v="2"/>
    <x v="0"/>
    <x v="109"/>
    <x v="247"/>
    <x v="11"/>
    <n v="1"/>
    <s v="Not Sampled"/>
    <n v="731"/>
    <m/>
    <m/>
    <m/>
    <m/>
    <m/>
    <m/>
    <m/>
    <m/>
    <s v="Positive"/>
    <s v="Not Sampled"/>
    <s v="Not Sampled"/>
  </r>
  <r>
    <x v="0"/>
    <x v="129"/>
    <x v="21"/>
    <x v="18"/>
    <x v="77"/>
    <x v="235"/>
    <x v="482"/>
    <x v="3"/>
    <n v="1"/>
    <s v="Not Sampled"/>
    <n v="732"/>
    <m/>
    <m/>
    <m/>
    <m/>
    <m/>
    <m/>
    <m/>
    <m/>
    <s v="Positive"/>
    <s v="Not Sampled"/>
    <s v="Not Sampled"/>
  </r>
  <r>
    <x v="0"/>
    <x v="33"/>
    <x v="20"/>
    <x v="21"/>
    <x v="134"/>
    <x v="55"/>
    <x v="483"/>
    <x v="11"/>
    <n v="0"/>
    <s v="Not Sampled"/>
    <n v="733"/>
    <m/>
    <m/>
    <m/>
    <m/>
    <m/>
    <m/>
    <m/>
    <m/>
    <s v="Negative"/>
    <s v="Not Sampled"/>
    <s v="Not Sampled"/>
  </r>
  <r>
    <x v="0"/>
    <x v="38"/>
    <x v="25"/>
    <x v="2"/>
    <x v="0"/>
    <x v="239"/>
    <x v="484"/>
    <x v="49"/>
    <n v="0"/>
    <s v="Not Sampled"/>
    <n v="734"/>
    <m/>
    <m/>
    <m/>
    <m/>
    <m/>
    <m/>
    <m/>
    <m/>
    <s v="Negative"/>
    <s v="Not Sampled"/>
    <s v="Not Sampled"/>
  </r>
  <r>
    <x v="3"/>
    <x v="50"/>
    <x v="12"/>
    <x v="5"/>
    <x v="0"/>
    <x v="110"/>
    <x v="223"/>
    <x v="6"/>
    <n v="0"/>
    <s v="Not Sampled"/>
    <n v="735"/>
    <m/>
    <m/>
    <m/>
    <m/>
    <m/>
    <m/>
    <m/>
    <m/>
    <s v="Negative"/>
    <s v="Not Sampled"/>
    <s v="Not Sampled"/>
  </r>
  <r>
    <x v="1"/>
    <x v="51"/>
    <x v="24"/>
    <x v="21"/>
    <x v="77"/>
    <x v="41"/>
    <x v="485"/>
    <x v="4"/>
    <n v="0"/>
    <s v="Not Sampled"/>
    <n v="736"/>
    <m/>
    <m/>
    <m/>
    <m/>
    <m/>
    <m/>
    <m/>
    <m/>
    <s v="Negative"/>
    <s v="Not Sampled"/>
    <s v="Not Sampled"/>
  </r>
  <r>
    <x v="4"/>
    <x v="134"/>
    <x v="5"/>
    <x v="17"/>
    <x v="0"/>
    <x v="61"/>
    <x v="364"/>
    <x v="8"/>
    <n v="0"/>
    <n v="0"/>
    <n v="737"/>
    <m/>
    <m/>
    <m/>
    <m/>
    <m/>
    <m/>
    <m/>
    <m/>
    <s v="Negative"/>
    <s v="Negative"/>
    <s v="Accurate Prediction"/>
  </r>
  <r>
    <x v="0"/>
    <x v="6"/>
    <x v="12"/>
    <x v="6"/>
    <x v="69"/>
    <x v="69"/>
    <x v="486"/>
    <x v="4"/>
    <n v="0"/>
    <s v="Not Sampled"/>
    <n v="738"/>
    <m/>
    <m/>
    <m/>
    <m/>
    <m/>
    <m/>
    <m/>
    <m/>
    <s v="Negative"/>
    <s v="Not Sampled"/>
    <s v="Not Sampled"/>
  </r>
  <r>
    <x v="2"/>
    <x v="29"/>
    <x v="10"/>
    <x v="2"/>
    <x v="0"/>
    <x v="100"/>
    <x v="209"/>
    <x v="8"/>
    <n v="1"/>
    <s v="Not Sampled"/>
    <n v="739"/>
    <m/>
    <m/>
    <m/>
    <m/>
    <m/>
    <m/>
    <m/>
    <m/>
    <s v="Positive"/>
    <s v="Not Sampled"/>
    <s v="Not Sampled"/>
  </r>
  <r>
    <x v="12"/>
    <x v="24"/>
    <x v="6"/>
    <x v="18"/>
    <x v="90"/>
    <x v="3"/>
    <x v="487"/>
    <x v="27"/>
    <n v="1"/>
    <s v="Not Sampled"/>
    <n v="740"/>
    <m/>
    <m/>
    <m/>
    <m/>
    <m/>
    <m/>
    <m/>
    <m/>
    <s v="Positive"/>
    <s v="Not Sampled"/>
    <s v="Not Sampled"/>
  </r>
  <r>
    <x v="5"/>
    <x v="29"/>
    <x v="27"/>
    <x v="28"/>
    <x v="48"/>
    <x v="98"/>
    <x v="415"/>
    <x v="25"/>
    <n v="0"/>
    <s v="Not Sampled"/>
    <n v="741"/>
    <m/>
    <m/>
    <m/>
    <m/>
    <m/>
    <m/>
    <m/>
    <m/>
    <s v="Negative"/>
    <s v="Not Sampled"/>
    <s v="Not Sampled"/>
  </r>
  <r>
    <x v="2"/>
    <x v="49"/>
    <x v="22"/>
    <x v="10"/>
    <x v="93"/>
    <x v="218"/>
    <x v="332"/>
    <x v="11"/>
    <n v="0"/>
    <s v="Not Sampled"/>
    <n v="742"/>
    <m/>
    <m/>
    <m/>
    <m/>
    <m/>
    <m/>
    <m/>
    <m/>
    <s v="Negative"/>
    <s v="Not Sampled"/>
    <s v="Not Sampled"/>
  </r>
  <r>
    <x v="11"/>
    <x v="98"/>
    <x v="41"/>
    <x v="2"/>
    <x v="0"/>
    <x v="112"/>
    <x v="488"/>
    <x v="10"/>
    <n v="1"/>
    <s v="Not Sampled"/>
    <n v="743"/>
    <m/>
    <m/>
    <m/>
    <m/>
    <m/>
    <m/>
    <m/>
    <m/>
    <s v="Positive"/>
    <s v="Not Sampled"/>
    <s v="Not Sampled"/>
  </r>
  <r>
    <x v="13"/>
    <x v="85"/>
    <x v="21"/>
    <x v="18"/>
    <x v="32"/>
    <x v="102"/>
    <x v="489"/>
    <x v="16"/>
    <n v="0"/>
    <s v="Not Sampled"/>
    <n v="744"/>
    <m/>
    <m/>
    <m/>
    <m/>
    <m/>
    <m/>
    <m/>
    <m/>
    <s v="Negative"/>
    <s v="Not Sampled"/>
    <s v="Not Sampled"/>
  </r>
  <r>
    <x v="10"/>
    <x v="45"/>
    <x v="16"/>
    <x v="12"/>
    <x v="16"/>
    <x v="135"/>
    <x v="490"/>
    <x v="22"/>
    <n v="0"/>
    <n v="0"/>
    <n v="745"/>
    <m/>
    <m/>
    <m/>
    <m/>
    <m/>
    <m/>
    <m/>
    <m/>
    <s v="Negative"/>
    <s v="Negative"/>
    <s v="Accurate Prediction"/>
  </r>
  <r>
    <x v="2"/>
    <x v="83"/>
    <x v="41"/>
    <x v="4"/>
    <x v="0"/>
    <x v="240"/>
    <x v="491"/>
    <x v="23"/>
    <n v="1"/>
    <s v="Not Sampled"/>
    <n v="746"/>
    <m/>
    <m/>
    <m/>
    <m/>
    <m/>
    <m/>
    <m/>
    <m/>
    <s v="Positive"/>
    <s v="Not Sampled"/>
    <s v="Not Sampled"/>
  </r>
  <r>
    <x v="2"/>
    <x v="14"/>
    <x v="10"/>
    <x v="4"/>
    <x v="92"/>
    <x v="241"/>
    <x v="492"/>
    <x v="32"/>
    <n v="0"/>
    <s v="Not Sampled"/>
    <n v="747"/>
    <m/>
    <m/>
    <m/>
    <m/>
    <m/>
    <m/>
    <m/>
    <m/>
    <s v="Negative"/>
    <s v="Not Sampled"/>
    <s v="Not Sampled"/>
  </r>
  <r>
    <x v="5"/>
    <x v="44"/>
    <x v="9"/>
    <x v="29"/>
    <x v="170"/>
    <x v="217"/>
    <x v="493"/>
    <x v="31"/>
    <n v="1"/>
    <n v="1"/>
    <n v="748"/>
    <m/>
    <m/>
    <m/>
    <m/>
    <m/>
    <m/>
    <m/>
    <m/>
    <s v="Positive"/>
    <s v="Positive"/>
    <s v="Accurate Prediction"/>
  </r>
  <r>
    <x v="6"/>
    <x v="76"/>
    <x v="0"/>
    <x v="2"/>
    <x v="0"/>
    <x v="122"/>
    <x v="81"/>
    <x v="48"/>
    <n v="1"/>
    <s v="Not Sampled"/>
    <n v="749"/>
    <m/>
    <m/>
    <m/>
    <m/>
    <m/>
    <m/>
    <m/>
    <m/>
    <s v="Positive"/>
    <s v="Not Sampled"/>
    <s v="Not Sampled"/>
  </r>
  <r>
    <x v="3"/>
    <x v="60"/>
    <x v="9"/>
    <x v="2"/>
    <x v="0"/>
    <x v="84"/>
    <x v="494"/>
    <x v="11"/>
    <n v="1"/>
    <s v="Not Sampled"/>
    <n v="750"/>
    <m/>
    <m/>
    <m/>
    <m/>
    <m/>
    <m/>
    <m/>
    <m/>
    <s v="Positive"/>
    <s v="Not Sampled"/>
    <s v="Not Sampled"/>
  </r>
  <r>
    <x v="2"/>
    <x v="126"/>
    <x v="4"/>
    <x v="15"/>
    <x v="97"/>
    <x v="20"/>
    <x v="86"/>
    <x v="6"/>
    <n v="0"/>
    <s v="Not Sampled"/>
    <n v="751"/>
    <m/>
    <m/>
    <m/>
    <m/>
    <m/>
    <m/>
    <m/>
    <m/>
    <s v="Negative"/>
    <s v="Not Sampled"/>
    <s v="Not Sampled"/>
  </r>
  <r>
    <x v="5"/>
    <x v="81"/>
    <x v="0"/>
    <x v="20"/>
    <x v="0"/>
    <x v="14"/>
    <x v="110"/>
    <x v="14"/>
    <n v="0"/>
    <s v="Not Sampled"/>
    <n v="752"/>
    <m/>
    <m/>
    <m/>
    <m/>
    <m/>
    <m/>
    <m/>
    <m/>
    <s v="Negative"/>
    <s v="Not Sampled"/>
    <s v="Not Sampled"/>
  </r>
  <r>
    <x v="1"/>
    <x v="94"/>
    <x v="21"/>
    <x v="38"/>
    <x v="178"/>
    <x v="165"/>
    <x v="495"/>
    <x v="25"/>
    <n v="1"/>
    <s v="Not Sampled"/>
    <n v="753"/>
    <m/>
    <m/>
    <m/>
    <m/>
    <m/>
    <m/>
    <m/>
    <m/>
    <s v="Positive"/>
    <s v="Not Sampled"/>
    <s v="Not Sampled"/>
  </r>
  <r>
    <x v="4"/>
    <x v="16"/>
    <x v="4"/>
    <x v="5"/>
    <x v="0"/>
    <x v="68"/>
    <x v="85"/>
    <x v="10"/>
    <n v="1"/>
    <s v="Not Sampled"/>
    <n v="754"/>
    <m/>
    <m/>
    <m/>
    <m/>
    <m/>
    <m/>
    <m/>
    <m/>
    <s v="Positive"/>
    <s v="Not Sampled"/>
    <s v="Not Sampled"/>
  </r>
  <r>
    <x v="2"/>
    <x v="80"/>
    <x v="21"/>
    <x v="15"/>
    <x v="27"/>
    <x v="23"/>
    <x v="496"/>
    <x v="26"/>
    <n v="1"/>
    <s v="Not Sampled"/>
    <n v="755"/>
    <m/>
    <m/>
    <m/>
    <m/>
    <m/>
    <m/>
    <m/>
    <m/>
    <s v="Positive"/>
    <s v="Not Sampled"/>
    <s v="Not Sampled"/>
  </r>
  <r>
    <x v="8"/>
    <x v="59"/>
    <x v="8"/>
    <x v="4"/>
    <x v="0"/>
    <x v="61"/>
    <x v="73"/>
    <x v="16"/>
    <n v="0"/>
    <s v="Not Sampled"/>
    <n v="756"/>
    <m/>
    <m/>
    <m/>
    <m/>
    <m/>
    <m/>
    <m/>
    <m/>
    <s v="Negative"/>
    <s v="Not Sampled"/>
    <s v="Not Sampled"/>
  </r>
  <r>
    <x v="1"/>
    <x v="62"/>
    <x v="5"/>
    <x v="2"/>
    <x v="0"/>
    <x v="153"/>
    <x v="61"/>
    <x v="41"/>
    <n v="1"/>
    <n v="0"/>
    <n v="757"/>
    <m/>
    <m/>
    <m/>
    <m/>
    <m/>
    <m/>
    <m/>
    <m/>
    <s v="Positive"/>
    <s v="Negative"/>
    <s v="Inaccurate Prediction"/>
  </r>
  <r>
    <x v="2"/>
    <x v="33"/>
    <x v="15"/>
    <x v="2"/>
    <x v="0"/>
    <x v="129"/>
    <x v="269"/>
    <x v="25"/>
    <n v="0"/>
    <s v="Not Sampled"/>
    <n v="758"/>
    <m/>
    <m/>
    <m/>
    <m/>
    <m/>
    <m/>
    <m/>
    <m/>
    <s v="Negative"/>
    <s v="Not Sampled"/>
    <s v="Not Sampled"/>
  </r>
  <r>
    <x v="6"/>
    <x v="135"/>
    <x v="17"/>
    <x v="2"/>
    <x v="0"/>
    <x v="130"/>
    <x v="115"/>
    <x v="12"/>
    <n v="1"/>
    <s v="Not Sampled"/>
    <n v="759"/>
    <m/>
    <m/>
    <m/>
    <m/>
    <m/>
    <m/>
    <m/>
    <m/>
    <s v="Positive"/>
    <s v="Not Sampled"/>
    <s v="Not Sampled"/>
  </r>
  <r>
    <x v="0"/>
    <x v="40"/>
    <x v="22"/>
    <x v="16"/>
    <x v="179"/>
    <x v="109"/>
    <x v="497"/>
    <x v="11"/>
    <n v="0"/>
    <s v="Not Sampled"/>
    <n v="760"/>
    <m/>
    <m/>
    <m/>
    <m/>
    <m/>
    <m/>
    <m/>
    <m/>
    <s v="Negative"/>
    <s v="Not Sampled"/>
    <s v="Not Sampled"/>
  </r>
  <r>
    <x v="11"/>
    <x v="79"/>
    <x v="10"/>
    <x v="1"/>
    <x v="0"/>
    <x v="143"/>
    <x v="118"/>
    <x v="33"/>
    <n v="1"/>
    <n v="1"/>
    <n v="761"/>
    <m/>
    <m/>
    <m/>
    <m/>
    <m/>
    <m/>
    <m/>
    <m/>
    <s v="Positive"/>
    <s v="Positive"/>
    <s v="Accurate Prediction"/>
  </r>
  <r>
    <x v="11"/>
    <x v="9"/>
    <x v="0"/>
    <x v="2"/>
    <x v="0"/>
    <x v="79"/>
    <x v="173"/>
    <x v="9"/>
    <n v="0"/>
    <s v="Not Sampled"/>
    <n v="762"/>
    <m/>
    <m/>
    <m/>
    <m/>
    <m/>
    <m/>
    <m/>
    <m/>
    <s v="Negative"/>
    <s v="Not Sampled"/>
    <s v="Not Sampled"/>
  </r>
  <r>
    <x v="9"/>
    <x v="39"/>
    <x v="15"/>
    <x v="46"/>
    <x v="105"/>
    <x v="35"/>
    <x v="498"/>
    <x v="44"/>
    <n v="0"/>
    <n v="0"/>
    <n v="763"/>
    <m/>
    <m/>
    <m/>
    <m/>
    <m/>
    <m/>
    <m/>
    <m/>
    <s v="Negative"/>
    <s v="Negative"/>
    <s v="Accurate Prediction"/>
  </r>
  <r>
    <x v="0"/>
    <x v="27"/>
    <x v="9"/>
    <x v="21"/>
    <x v="0"/>
    <x v="8"/>
    <x v="250"/>
    <x v="23"/>
    <n v="0"/>
    <n v="0"/>
    <n v="764"/>
    <m/>
    <m/>
    <m/>
    <m/>
    <m/>
    <m/>
    <m/>
    <m/>
    <s v="Negative"/>
    <s v="Negative"/>
    <s v="Accurate Prediction"/>
  </r>
  <r>
    <x v="7"/>
    <x v="126"/>
    <x v="5"/>
    <x v="17"/>
    <x v="180"/>
    <x v="173"/>
    <x v="404"/>
    <x v="13"/>
    <n v="0"/>
    <s v="Not Sampled"/>
    <n v="765"/>
    <m/>
    <m/>
    <m/>
    <m/>
    <m/>
    <m/>
    <m/>
    <m/>
    <s v="Negative"/>
    <s v="Not Sampled"/>
    <s v="Not Sampled"/>
  </r>
  <r>
    <x v="2"/>
    <x v="51"/>
    <x v="12"/>
    <x v="2"/>
    <x v="0"/>
    <x v="15"/>
    <x v="284"/>
    <x v="0"/>
    <n v="1"/>
    <s v="Not Sampled"/>
    <n v="766"/>
    <m/>
    <m/>
    <m/>
    <m/>
    <m/>
    <m/>
    <m/>
    <m/>
    <s v="Positive"/>
    <s v="Not Sampled"/>
    <s v="Not Sampled"/>
  </r>
  <r>
    <x v="2"/>
    <x v="67"/>
    <x v="9"/>
    <x v="1"/>
    <x v="0"/>
    <x v="25"/>
    <x v="265"/>
    <x v="1"/>
    <n v="0"/>
    <n v="0"/>
    <n v="767"/>
    <m/>
    <m/>
    <m/>
    <m/>
    <m/>
    <m/>
    <m/>
    <m/>
    <s v="Negative"/>
    <s v="Negative"/>
    <s v="Accurate Prediction"/>
  </r>
  <r>
    <x v="16"/>
    <x v="45"/>
    <x v="4"/>
    <x v="14"/>
    <x v="101"/>
    <x v="69"/>
    <x v="255"/>
    <x v="22"/>
    <n v="1"/>
    <s v="Not Sampled"/>
    <n v="768"/>
    <m/>
    <m/>
    <m/>
    <m/>
    <m/>
    <m/>
    <m/>
    <m/>
    <s v="Positive"/>
    <s v="Not Sampled"/>
    <s v="Not Sampled"/>
  </r>
  <r>
    <x v="4"/>
    <x v="56"/>
    <x v="5"/>
    <x v="2"/>
    <x v="0"/>
    <x v="139"/>
    <x v="256"/>
    <x v="5"/>
    <n v="0"/>
    <n v="0"/>
    <n v="769"/>
    <m/>
    <m/>
    <m/>
    <m/>
    <m/>
    <m/>
    <m/>
    <m/>
    <s v="Negative"/>
    <s v="Negative"/>
    <s v="Accurate Prediction"/>
  </r>
  <r>
    <x v="1"/>
    <x v="107"/>
    <x v="2"/>
    <x v="2"/>
    <x v="0"/>
    <x v="167"/>
    <x v="16"/>
    <x v="13"/>
    <n v="1"/>
    <s v="Not Sampled"/>
    <n v="770"/>
    <m/>
    <m/>
    <m/>
    <m/>
    <m/>
    <m/>
    <m/>
    <m/>
    <s v="Positive"/>
    <s v="Not Sampled"/>
    <s v="Not Sampled"/>
  </r>
  <r>
    <x v="0"/>
    <x v="65"/>
    <x v="22"/>
    <x v="12"/>
    <x v="42"/>
    <x v="31"/>
    <x v="239"/>
    <x v="14"/>
    <n v="1"/>
    <s v="Not Sampled"/>
    <n v="771"/>
    <m/>
    <m/>
    <m/>
    <m/>
    <m/>
    <m/>
    <m/>
    <m/>
    <s v="Positive"/>
    <s v="Not Sampled"/>
    <s v="Not Sampled"/>
  </r>
  <r>
    <x v="7"/>
    <x v="108"/>
    <x v="1"/>
    <x v="4"/>
    <x v="102"/>
    <x v="134"/>
    <x v="257"/>
    <x v="20"/>
    <n v="0"/>
    <s v="Not Sampled"/>
    <n v="772"/>
    <m/>
    <m/>
    <m/>
    <m/>
    <m/>
    <m/>
    <m/>
    <m/>
    <s v="Negative"/>
    <s v="Not Sampled"/>
    <s v="Not Sampled"/>
  </r>
  <r>
    <x v="7"/>
    <x v="109"/>
    <x v="34"/>
    <x v="2"/>
    <x v="0"/>
    <x v="168"/>
    <x v="200"/>
    <x v="6"/>
    <n v="1"/>
    <s v="Not Sampled"/>
    <n v="773"/>
    <m/>
    <m/>
    <m/>
    <m/>
    <m/>
    <m/>
    <m/>
    <m/>
    <s v="Positive"/>
    <s v="Not Sampled"/>
    <s v="Not Sampled"/>
  </r>
  <r>
    <x v="5"/>
    <x v="42"/>
    <x v="15"/>
    <x v="2"/>
    <x v="0"/>
    <x v="169"/>
    <x v="28"/>
    <x v="26"/>
    <n v="0"/>
    <n v="0"/>
    <n v="774"/>
    <m/>
    <m/>
    <m/>
    <m/>
    <m/>
    <m/>
    <m/>
    <m/>
    <s v="Negative"/>
    <s v="Negative"/>
    <s v="Accurate Prediction"/>
  </r>
  <r>
    <x v="0"/>
    <x v="24"/>
    <x v="15"/>
    <x v="18"/>
    <x v="16"/>
    <x v="170"/>
    <x v="258"/>
    <x v="29"/>
    <n v="0"/>
    <s v="Not Sampled"/>
    <n v="775"/>
    <m/>
    <m/>
    <m/>
    <m/>
    <m/>
    <m/>
    <m/>
    <m/>
    <s v="Negative"/>
    <s v="Not Sampled"/>
    <s v="Not Sampled"/>
  </r>
  <r>
    <x v="9"/>
    <x v="106"/>
    <x v="3"/>
    <x v="17"/>
    <x v="103"/>
    <x v="171"/>
    <x v="259"/>
    <x v="0"/>
    <n v="1"/>
    <s v="Not Sampled"/>
    <n v="776"/>
    <m/>
    <m/>
    <m/>
    <m/>
    <m/>
    <m/>
    <m/>
    <m/>
    <s v="Positive"/>
    <s v="Not Sampled"/>
    <s v="Not Sampled"/>
  </r>
  <r>
    <x v="1"/>
    <x v="59"/>
    <x v="3"/>
    <x v="36"/>
    <x v="104"/>
    <x v="172"/>
    <x v="221"/>
    <x v="4"/>
    <n v="0"/>
    <s v="Not Sampled"/>
    <n v="777"/>
    <m/>
    <m/>
    <m/>
    <m/>
    <m/>
    <m/>
    <m/>
    <m/>
    <s v="Negative"/>
    <s v="Not Sampled"/>
    <s v="Not Sampled"/>
  </r>
  <r>
    <x v="1"/>
    <x v="80"/>
    <x v="3"/>
    <x v="13"/>
    <x v="105"/>
    <x v="85"/>
    <x v="260"/>
    <x v="14"/>
    <n v="1"/>
    <s v="Not Sampled"/>
    <n v="778"/>
    <m/>
    <m/>
    <m/>
    <m/>
    <m/>
    <m/>
    <m/>
    <m/>
    <s v="Positive"/>
    <s v="Not Sampled"/>
    <s v="Not Sampled"/>
  </r>
  <r>
    <x v="0"/>
    <x v="73"/>
    <x v="3"/>
    <x v="7"/>
    <x v="106"/>
    <x v="35"/>
    <x v="261"/>
    <x v="13"/>
    <n v="1"/>
    <n v="0"/>
    <n v="779"/>
    <m/>
    <m/>
    <m/>
    <m/>
    <m/>
    <m/>
    <m/>
    <m/>
    <s v="Positive"/>
    <s v="Negative"/>
    <s v="Inaccurate Prediction"/>
  </r>
  <r>
    <x v="6"/>
    <x v="11"/>
    <x v="19"/>
    <x v="8"/>
    <x v="0"/>
    <x v="173"/>
    <x v="17"/>
    <x v="17"/>
    <n v="0"/>
    <s v="Not Sampled"/>
    <n v="780"/>
    <m/>
    <m/>
    <m/>
    <m/>
    <m/>
    <m/>
    <m/>
    <m/>
    <s v="Negative"/>
    <s v="Not Sampled"/>
    <s v="Not Sampled"/>
  </r>
  <r>
    <x v="1"/>
    <x v="33"/>
    <x v="9"/>
    <x v="18"/>
    <x v="104"/>
    <x v="121"/>
    <x v="186"/>
    <x v="11"/>
    <n v="0"/>
    <s v="Not Sampled"/>
    <n v="781"/>
    <m/>
    <m/>
    <m/>
    <m/>
    <m/>
    <m/>
    <m/>
    <m/>
    <s v="Negative"/>
    <s v="Not Sampled"/>
    <s v="Not Sampled"/>
  </r>
  <r>
    <x v="0"/>
    <x v="70"/>
    <x v="10"/>
    <x v="6"/>
    <x v="107"/>
    <x v="13"/>
    <x v="262"/>
    <x v="23"/>
    <n v="1"/>
    <s v="Not Sampled"/>
    <n v="782"/>
    <m/>
    <m/>
    <m/>
    <m/>
    <m/>
    <m/>
    <m/>
    <m/>
    <s v="Positive"/>
    <s v="Not Sampled"/>
    <s v="Not Sampled"/>
  </r>
  <r>
    <x v="5"/>
    <x v="57"/>
    <x v="13"/>
    <x v="25"/>
    <x v="108"/>
    <x v="81"/>
    <x v="263"/>
    <x v="14"/>
    <n v="0"/>
    <s v="Not Sampled"/>
    <n v="783"/>
    <m/>
    <m/>
    <m/>
    <m/>
    <m/>
    <m/>
    <m/>
    <m/>
    <s v="Negative"/>
    <s v="Not Sampled"/>
    <s v="Not Sampled"/>
  </r>
  <r>
    <x v="8"/>
    <x v="49"/>
    <x v="6"/>
    <x v="1"/>
    <x v="0"/>
    <x v="117"/>
    <x v="264"/>
    <x v="33"/>
    <n v="1"/>
    <s v="Not Sampled"/>
    <n v="784"/>
    <m/>
    <m/>
    <m/>
    <m/>
    <m/>
    <m/>
    <m/>
    <m/>
    <s v="Positive"/>
    <s v="Not Sampled"/>
    <s v="Not Sampled"/>
  </r>
  <r>
    <x v="0"/>
    <x v="56"/>
    <x v="3"/>
    <x v="29"/>
    <x v="48"/>
    <x v="174"/>
    <x v="265"/>
    <x v="25"/>
    <n v="0"/>
    <s v="Not Sampled"/>
    <n v="785"/>
    <m/>
    <m/>
    <m/>
    <m/>
    <m/>
    <m/>
    <m/>
    <m/>
    <s v="Negative"/>
    <s v="Not Sampled"/>
    <s v="Not Sampled"/>
  </r>
  <r>
    <x v="5"/>
    <x v="6"/>
    <x v="6"/>
    <x v="22"/>
    <x v="36"/>
    <x v="175"/>
    <x v="223"/>
    <x v="13"/>
    <n v="0"/>
    <s v="Not Sampled"/>
    <n v="786"/>
    <m/>
    <m/>
    <m/>
    <m/>
    <m/>
    <m/>
    <m/>
    <m/>
    <s v="Negative"/>
    <s v="Not Sampled"/>
    <s v="Not Sampled"/>
  </r>
  <r>
    <x v="5"/>
    <x v="110"/>
    <x v="10"/>
    <x v="2"/>
    <x v="0"/>
    <x v="85"/>
    <x v="266"/>
    <x v="29"/>
    <n v="1"/>
    <s v="Not Sampled"/>
    <n v="787"/>
    <m/>
    <m/>
    <m/>
    <m/>
    <m/>
    <m/>
    <m/>
    <m/>
    <s v="Positive"/>
    <s v="Not Sampled"/>
    <s v="Not Sampled"/>
  </r>
  <r>
    <x v="5"/>
    <x v="109"/>
    <x v="19"/>
    <x v="15"/>
    <x v="32"/>
    <x v="176"/>
    <x v="181"/>
    <x v="6"/>
    <n v="0"/>
    <s v="Not Sampled"/>
    <n v="788"/>
    <m/>
    <m/>
    <m/>
    <m/>
    <m/>
    <m/>
    <m/>
    <m/>
    <s v="Negative"/>
    <s v="Not Sampled"/>
    <s v="Not Sampled"/>
  </r>
  <r>
    <x v="6"/>
    <x v="7"/>
    <x v="4"/>
    <x v="2"/>
    <x v="0"/>
    <x v="177"/>
    <x v="267"/>
    <x v="45"/>
    <n v="1"/>
    <s v="Not Sampled"/>
    <n v="789"/>
    <m/>
    <m/>
    <m/>
    <m/>
    <m/>
    <m/>
    <m/>
    <m/>
    <s v="Positive"/>
    <s v="Not Sampled"/>
    <s v="Not Sampled"/>
  </r>
  <r>
    <x v="3"/>
    <x v="52"/>
    <x v="12"/>
    <x v="39"/>
    <x v="109"/>
    <x v="155"/>
    <x v="268"/>
    <x v="2"/>
    <n v="0"/>
    <n v="0"/>
    <n v="790"/>
    <m/>
    <m/>
    <m/>
    <m/>
    <m/>
    <m/>
    <m/>
    <m/>
    <s v="Negative"/>
    <s v="Negative"/>
    <s v="Accurate Prediction"/>
  </r>
  <r>
    <x v="5"/>
    <x v="56"/>
    <x v="10"/>
    <x v="8"/>
    <x v="0"/>
    <x v="31"/>
    <x v="269"/>
    <x v="14"/>
    <n v="1"/>
    <s v="Not Sampled"/>
    <n v="791"/>
    <m/>
    <m/>
    <m/>
    <m/>
    <m/>
    <m/>
    <m/>
    <m/>
    <s v="Positive"/>
    <s v="Not Sampled"/>
    <s v="Not Sampled"/>
  </r>
  <r>
    <x v="1"/>
    <x v="73"/>
    <x v="9"/>
    <x v="28"/>
    <x v="0"/>
    <x v="41"/>
    <x v="54"/>
    <x v="31"/>
    <n v="1"/>
    <s v="Not Sampled"/>
    <n v="792"/>
    <m/>
    <m/>
    <m/>
    <m/>
    <m/>
    <m/>
    <m/>
    <m/>
    <s v="Positive"/>
    <s v="Not Sampled"/>
    <s v="Not Sampled"/>
  </r>
  <r>
    <x v="13"/>
    <x v="87"/>
    <x v="8"/>
    <x v="12"/>
    <x v="110"/>
    <x v="90"/>
    <x v="270"/>
    <x v="33"/>
    <n v="1"/>
    <n v="1"/>
    <n v="793"/>
    <m/>
    <m/>
    <m/>
    <m/>
    <m/>
    <m/>
    <m/>
    <m/>
    <s v="Positive"/>
    <s v="Positive"/>
    <s v="Accurate Prediction"/>
  </r>
  <r>
    <x v="0"/>
    <x v="56"/>
    <x v="25"/>
    <x v="5"/>
    <x v="0"/>
    <x v="140"/>
    <x v="271"/>
    <x v="4"/>
    <n v="0"/>
    <s v="Not Sampled"/>
    <n v="794"/>
    <m/>
    <m/>
    <m/>
    <m/>
    <m/>
    <m/>
    <m/>
    <m/>
    <s v="Negative"/>
    <s v="Not Sampled"/>
    <s v="Not Sampled"/>
  </r>
  <r>
    <x v="2"/>
    <x v="111"/>
    <x v="5"/>
    <x v="23"/>
    <x v="49"/>
    <x v="6"/>
    <x v="272"/>
    <x v="3"/>
    <n v="0"/>
    <s v="Not Sampled"/>
    <n v="795"/>
    <m/>
    <m/>
    <m/>
    <m/>
    <m/>
    <m/>
    <m/>
    <m/>
    <s v="Negative"/>
    <s v="Not Sampled"/>
    <s v="Not Sampled"/>
  </r>
  <r>
    <x v="2"/>
    <x v="27"/>
    <x v="11"/>
    <x v="5"/>
    <x v="64"/>
    <x v="60"/>
    <x v="24"/>
    <x v="13"/>
    <n v="1"/>
    <s v="Not Sampled"/>
    <n v="796"/>
    <m/>
    <m/>
    <m/>
    <m/>
    <m/>
    <m/>
    <m/>
    <m/>
    <s v="Positive"/>
    <s v="Not Sampled"/>
    <s v="Not Sampled"/>
  </r>
  <r>
    <x v="9"/>
    <x v="91"/>
    <x v="9"/>
    <x v="2"/>
    <x v="0"/>
    <x v="60"/>
    <x v="29"/>
    <x v="26"/>
    <n v="0"/>
    <s v="Not Sampled"/>
    <n v="797"/>
    <m/>
    <m/>
    <m/>
    <m/>
    <m/>
    <m/>
    <m/>
    <m/>
    <s v="Negative"/>
    <s v="Not Sampled"/>
    <s v="Not Sampled"/>
  </r>
  <r>
    <x v="0"/>
    <x v="29"/>
    <x v="24"/>
    <x v="35"/>
    <x v="77"/>
    <x v="178"/>
    <x v="0"/>
    <x v="1"/>
    <n v="1"/>
    <s v="Not Sampled"/>
    <n v="798"/>
    <m/>
    <m/>
    <m/>
    <m/>
    <m/>
    <m/>
    <m/>
    <m/>
    <s v="Positive"/>
    <s v="Not Sampled"/>
    <s v="Not Sampled"/>
  </r>
  <r>
    <x v="6"/>
    <x v="38"/>
    <x v="9"/>
    <x v="5"/>
    <x v="111"/>
    <x v="98"/>
    <x v="273"/>
    <x v="26"/>
    <n v="0"/>
    <s v="Not Sampled"/>
    <n v="799"/>
    <m/>
    <m/>
    <m/>
    <m/>
    <m/>
    <m/>
    <m/>
    <m/>
    <s v="Negative"/>
    <s v="Not Sampled"/>
    <s v="Not Sampled"/>
  </r>
  <r>
    <x v="4"/>
    <x v="78"/>
    <x v="5"/>
    <x v="13"/>
    <x v="0"/>
    <x v="179"/>
    <x v="274"/>
    <x v="22"/>
    <n v="0"/>
    <s v="Not Sampled"/>
    <n v="800"/>
    <m/>
    <m/>
    <m/>
    <m/>
    <m/>
    <m/>
    <m/>
    <m/>
    <s v="Negative"/>
    <s v="Not Sampled"/>
    <s v="Not Sampled"/>
  </r>
  <r>
    <x v="0"/>
    <x v="90"/>
    <x v="22"/>
    <x v="41"/>
    <x v="112"/>
    <x v="112"/>
    <x v="275"/>
    <x v="14"/>
    <n v="0"/>
    <n v="0"/>
    <n v="801"/>
    <m/>
    <m/>
    <m/>
    <m/>
    <m/>
    <m/>
    <m/>
    <m/>
    <s v="Negative"/>
    <s v="Negative"/>
    <s v="Accurate Prediction"/>
  </r>
  <r>
    <x v="2"/>
    <x v="22"/>
    <x v="2"/>
    <x v="2"/>
    <x v="0"/>
    <x v="165"/>
    <x v="220"/>
    <x v="17"/>
    <n v="1"/>
    <n v="1"/>
    <n v="802"/>
    <m/>
    <m/>
    <m/>
    <m/>
    <m/>
    <m/>
    <m/>
    <m/>
    <s v="Positive"/>
    <s v="Positive"/>
    <s v="Accurate Prediction"/>
  </r>
  <r>
    <x v="10"/>
    <x v="33"/>
    <x v="6"/>
    <x v="2"/>
    <x v="0"/>
    <x v="139"/>
    <x v="141"/>
    <x v="30"/>
    <n v="0"/>
    <s v="Not Sampled"/>
    <n v="803"/>
    <m/>
    <m/>
    <m/>
    <m/>
    <m/>
    <m/>
    <m/>
    <m/>
    <s v="Negative"/>
    <s v="Not Sampled"/>
    <s v="Not Sampled"/>
  </r>
  <r>
    <x v="2"/>
    <x v="50"/>
    <x v="12"/>
    <x v="10"/>
    <x v="68"/>
    <x v="128"/>
    <x v="112"/>
    <x v="11"/>
    <n v="0"/>
    <n v="0"/>
    <n v="804"/>
    <m/>
    <m/>
    <m/>
    <m/>
    <m/>
    <m/>
    <m/>
    <m/>
    <s v="Negative"/>
    <s v="Negative"/>
    <s v="Accurate Prediction"/>
  </r>
  <r>
    <x v="1"/>
    <x v="102"/>
    <x v="15"/>
    <x v="44"/>
    <x v="113"/>
    <x v="103"/>
    <x v="247"/>
    <x v="25"/>
    <n v="0"/>
    <s v="Not Sampled"/>
    <n v="805"/>
    <m/>
    <m/>
    <m/>
    <m/>
    <m/>
    <m/>
    <m/>
    <m/>
    <s v="Negative"/>
    <s v="Not Sampled"/>
    <s v="Not Sampled"/>
  </r>
  <r>
    <x v="1"/>
    <x v="17"/>
    <x v="2"/>
    <x v="2"/>
    <x v="0"/>
    <x v="97"/>
    <x v="276"/>
    <x v="30"/>
    <n v="0"/>
    <s v="Not Sampled"/>
    <n v="806"/>
    <m/>
    <m/>
    <m/>
    <m/>
    <m/>
    <m/>
    <m/>
    <m/>
    <s v="Negative"/>
    <s v="Not Sampled"/>
    <s v="Not Sampled"/>
  </r>
  <r>
    <x v="7"/>
    <x v="109"/>
    <x v="15"/>
    <x v="2"/>
    <x v="0"/>
    <x v="84"/>
    <x v="277"/>
    <x v="30"/>
    <n v="1"/>
    <s v="Not Sampled"/>
    <n v="807"/>
    <m/>
    <m/>
    <m/>
    <m/>
    <m/>
    <m/>
    <m/>
    <m/>
    <s v="Positive"/>
    <s v="Not Sampled"/>
    <s v="Not Sampled"/>
  </r>
  <r>
    <x v="11"/>
    <x v="87"/>
    <x v="4"/>
    <x v="24"/>
    <x v="114"/>
    <x v="89"/>
    <x v="278"/>
    <x v="9"/>
    <n v="1"/>
    <n v="1"/>
    <n v="808"/>
    <m/>
    <m/>
    <m/>
    <m/>
    <m/>
    <m/>
    <m/>
    <m/>
    <s v="Positive"/>
    <s v="Positive"/>
    <s v="Accurate Prediction"/>
  </r>
  <r>
    <x v="8"/>
    <x v="112"/>
    <x v="16"/>
    <x v="2"/>
    <x v="0"/>
    <x v="180"/>
    <x v="279"/>
    <x v="17"/>
    <n v="1"/>
    <s v="Not Sampled"/>
    <n v="809"/>
    <m/>
    <m/>
    <m/>
    <m/>
    <m/>
    <m/>
    <m/>
    <m/>
    <s v="Positive"/>
    <s v="Not Sampled"/>
    <s v="Not Sampled"/>
  </r>
  <r>
    <x v="2"/>
    <x v="23"/>
    <x v="9"/>
    <x v="27"/>
    <x v="16"/>
    <x v="151"/>
    <x v="280"/>
    <x v="11"/>
    <n v="0"/>
    <n v="0"/>
    <n v="810"/>
    <m/>
    <m/>
    <m/>
    <m/>
    <m/>
    <m/>
    <m/>
    <m/>
    <s v="Negative"/>
    <s v="Negative"/>
    <s v="Accurate Prediction"/>
  </r>
  <r>
    <x v="2"/>
    <x v="50"/>
    <x v="10"/>
    <x v="23"/>
    <x v="115"/>
    <x v="151"/>
    <x v="281"/>
    <x v="31"/>
    <n v="0"/>
    <s v="Not Sampled"/>
    <n v="811"/>
    <m/>
    <m/>
    <m/>
    <m/>
    <m/>
    <m/>
    <m/>
    <m/>
    <s v="Negative"/>
    <s v="Not Sampled"/>
    <s v="Not Sampled"/>
  </r>
  <r>
    <x v="2"/>
    <x v="18"/>
    <x v="3"/>
    <x v="0"/>
    <x v="0"/>
    <x v="61"/>
    <x v="282"/>
    <x v="11"/>
    <n v="0"/>
    <s v="Not Sampled"/>
    <n v="812"/>
    <m/>
    <m/>
    <m/>
    <m/>
    <m/>
    <m/>
    <m/>
    <m/>
    <s v="Negative"/>
    <s v="Not Sampled"/>
    <s v="Not Sampled"/>
  </r>
  <r>
    <x v="7"/>
    <x v="27"/>
    <x v="24"/>
    <x v="2"/>
    <x v="0"/>
    <x v="48"/>
    <x v="190"/>
    <x v="9"/>
    <n v="0"/>
    <s v="Not Sampled"/>
    <n v="813"/>
    <m/>
    <m/>
    <m/>
    <m/>
    <m/>
    <m/>
    <m/>
    <m/>
    <s v="Negative"/>
    <s v="Not Sampled"/>
    <s v="Not Sampled"/>
  </r>
  <r>
    <x v="4"/>
    <x v="50"/>
    <x v="5"/>
    <x v="2"/>
    <x v="0"/>
    <x v="8"/>
    <x v="283"/>
    <x v="40"/>
    <n v="0"/>
    <s v="Not Sampled"/>
    <n v="814"/>
    <m/>
    <m/>
    <m/>
    <m/>
    <m/>
    <m/>
    <m/>
    <m/>
    <s v="Negative"/>
    <s v="Not Sampled"/>
    <s v="Not Sampled"/>
  </r>
  <r>
    <x v="4"/>
    <x v="51"/>
    <x v="21"/>
    <x v="35"/>
    <x v="116"/>
    <x v="70"/>
    <x v="284"/>
    <x v="43"/>
    <n v="0"/>
    <s v="Not Sampled"/>
    <n v="815"/>
    <m/>
    <m/>
    <m/>
    <m/>
    <m/>
    <m/>
    <m/>
    <m/>
    <s v="Negative"/>
    <s v="Not Sampled"/>
    <s v="Not Sampled"/>
  </r>
  <r>
    <x v="2"/>
    <x v="4"/>
    <x v="37"/>
    <x v="13"/>
    <x v="117"/>
    <x v="77"/>
    <x v="109"/>
    <x v="11"/>
    <n v="0"/>
    <n v="0"/>
    <n v="816"/>
    <m/>
    <m/>
    <m/>
    <m/>
    <m/>
    <m/>
    <m/>
    <m/>
    <s v="Negative"/>
    <s v="Negative"/>
    <s v="Accurate Prediction"/>
  </r>
  <r>
    <x v="5"/>
    <x v="113"/>
    <x v="2"/>
    <x v="2"/>
    <x v="0"/>
    <x v="177"/>
    <x v="179"/>
    <x v="1"/>
    <n v="0"/>
    <s v="Not Sampled"/>
    <n v="817"/>
    <m/>
    <m/>
    <m/>
    <m/>
    <m/>
    <m/>
    <m/>
    <m/>
    <s v="Negative"/>
    <s v="Not Sampled"/>
    <s v="Not Sampled"/>
  </r>
  <r>
    <x v="5"/>
    <x v="6"/>
    <x v="0"/>
    <x v="13"/>
    <x v="97"/>
    <x v="181"/>
    <x v="285"/>
    <x v="25"/>
    <n v="0"/>
    <s v="Not Sampled"/>
    <n v="818"/>
    <m/>
    <m/>
    <m/>
    <m/>
    <m/>
    <m/>
    <m/>
    <m/>
    <s v="Negative"/>
    <s v="Not Sampled"/>
    <s v="Not Sampled"/>
  </r>
  <r>
    <x v="7"/>
    <x v="18"/>
    <x v="6"/>
    <x v="5"/>
    <x v="0"/>
    <x v="182"/>
    <x v="286"/>
    <x v="26"/>
    <n v="1"/>
    <s v="Not Sampled"/>
    <n v="819"/>
    <m/>
    <m/>
    <m/>
    <m/>
    <m/>
    <m/>
    <m/>
    <m/>
    <s v="Positive"/>
    <s v="Not Sampled"/>
    <s v="Not Sampled"/>
  </r>
  <r>
    <x v="3"/>
    <x v="66"/>
    <x v="6"/>
    <x v="2"/>
    <x v="0"/>
    <x v="183"/>
    <x v="78"/>
    <x v="29"/>
    <n v="0"/>
    <s v="Not Sampled"/>
    <n v="820"/>
    <m/>
    <m/>
    <m/>
    <m/>
    <m/>
    <m/>
    <m/>
    <m/>
    <s v="Negative"/>
    <s v="Not Sampled"/>
    <s v="Not Sampled"/>
  </r>
  <r>
    <x v="3"/>
    <x v="59"/>
    <x v="16"/>
    <x v="2"/>
    <x v="0"/>
    <x v="84"/>
    <x v="287"/>
    <x v="13"/>
    <n v="0"/>
    <n v="0"/>
    <n v="821"/>
    <m/>
    <m/>
    <m/>
    <m/>
    <m/>
    <m/>
    <m/>
    <m/>
    <s v="Negative"/>
    <s v="Negative"/>
    <s v="Accurate Prediction"/>
  </r>
  <r>
    <x v="5"/>
    <x v="114"/>
    <x v="1"/>
    <x v="7"/>
    <x v="0"/>
    <x v="184"/>
    <x v="288"/>
    <x v="22"/>
    <n v="0"/>
    <s v="Not Sampled"/>
    <n v="822"/>
    <m/>
    <m/>
    <m/>
    <m/>
    <m/>
    <m/>
    <m/>
    <m/>
    <s v="Negative"/>
    <s v="Not Sampled"/>
    <s v="Not Sampled"/>
  </r>
  <r>
    <x v="2"/>
    <x v="30"/>
    <x v="0"/>
    <x v="39"/>
    <x v="118"/>
    <x v="185"/>
    <x v="289"/>
    <x v="3"/>
    <n v="0"/>
    <s v="Not Sampled"/>
    <n v="823"/>
    <m/>
    <m/>
    <m/>
    <m/>
    <m/>
    <m/>
    <m/>
    <m/>
    <s v="Negative"/>
    <s v="Not Sampled"/>
    <s v="Not Sampled"/>
  </r>
  <r>
    <x v="5"/>
    <x v="30"/>
    <x v="4"/>
    <x v="2"/>
    <x v="0"/>
    <x v="57"/>
    <x v="290"/>
    <x v="4"/>
    <n v="0"/>
    <n v="0"/>
    <n v="824"/>
    <m/>
    <m/>
    <m/>
    <m/>
    <m/>
    <m/>
    <m/>
    <m/>
    <s v="Negative"/>
    <s v="Negative"/>
    <s v="Accurate Prediction"/>
  </r>
  <r>
    <x v="11"/>
    <x v="102"/>
    <x v="21"/>
    <x v="2"/>
    <x v="0"/>
    <x v="25"/>
    <x v="291"/>
    <x v="43"/>
    <n v="1"/>
    <s v="Not Sampled"/>
    <n v="825"/>
    <m/>
    <m/>
    <m/>
    <m/>
    <m/>
    <m/>
    <m/>
    <m/>
    <s v="Positive"/>
    <s v="Not Sampled"/>
    <s v="Not Sampled"/>
  </r>
  <r>
    <x v="2"/>
    <x v="10"/>
    <x v="13"/>
    <x v="32"/>
    <x v="119"/>
    <x v="21"/>
    <x v="55"/>
    <x v="6"/>
    <n v="1"/>
    <s v="Not Sampled"/>
    <n v="826"/>
    <m/>
    <m/>
    <m/>
    <m/>
    <m/>
    <m/>
    <m/>
    <m/>
    <s v="Positive"/>
    <s v="Not Sampled"/>
    <s v="Not Sampled"/>
  </r>
  <r>
    <x v="13"/>
    <x v="52"/>
    <x v="2"/>
    <x v="8"/>
    <x v="0"/>
    <x v="180"/>
    <x v="292"/>
    <x v="30"/>
    <n v="1"/>
    <n v="1"/>
    <n v="827"/>
    <m/>
    <m/>
    <m/>
    <m/>
    <m/>
    <m/>
    <m/>
    <m/>
    <s v="Positive"/>
    <s v="Positive"/>
    <s v="Accurate Prediction"/>
  </r>
  <r>
    <x v="10"/>
    <x v="40"/>
    <x v="10"/>
    <x v="32"/>
    <x v="120"/>
    <x v="186"/>
    <x v="293"/>
    <x v="27"/>
    <n v="0"/>
    <n v="0"/>
    <n v="828"/>
    <m/>
    <m/>
    <m/>
    <m/>
    <m/>
    <m/>
    <m/>
    <m/>
    <s v="Negative"/>
    <s v="Negative"/>
    <s v="Accurate Prediction"/>
  </r>
  <r>
    <x v="2"/>
    <x v="96"/>
    <x v="15"/>
    <x v="35"/>
    <x v="121"/>
    <x v="23"/>
    <x v="261"/>
    <x v="29"/>
    <n v="1"/>
    <s v="Not Sampled"/>
    <n v="829"/>
    <m/>
    <m/>
    <m/>
    <m/>
    <m/>
    <m/>
    <m/>
    <m/>
    <s v="Positive"/>
    <s v="Not Sampled"/>
    <s v="Not Sampled"/>
  </r>
  <r>
    <x v="7"/>
    <x v="115"/>
    <x v="11"/>
    <x v="12"/>
    <x v="54"/>
    <x v="84"/>
    <x v="69"/>
    <x v="29"/>
    <n v="1"/>
    <s v="Not Sampled"/>
    <n v="830"/>
    <m/>
    <m/>
    <m/>
    <m/>
    <m/>
    <m/>
    <m/>
    <m/>
    <s v="Positive"/>
    <s v="Not Sampled"/>
    <s v="Not Sampled"/>
  </r>
  <r>
    <x v="7"/>
    <x v="95"/>
    <x v="9"/>
    <x v="2"/>
    <x v="0"/>
    <x v="187"/>
    <x v="28"/>
    <x v="44"/>
    <n v="0"/>
    <s v="Not Sampled"/>
    <n v="831"/>
    <m/>
    <m/>
    <m/>
    <m/>
    <m/>
    <m/>
    <m/>
    <m/>
    <s v="Negative"/>
    <s v="Not Sampled"/>
    <s v="Not Sampled"/>
  </r>
  <r>
    <x v="7"/>
    <x v="28"/>
    <x v="28"/>
    <x v="18"/>
    <x v="0"/>
    <x v="188"/>
    <x v="47"/>
    <x v="39"/>
    <n v="0"/>
    <s v="Not Sampled"/>
    <n v="832"/>
    <m/>
    <m/>
    <m/>
    <m/>
    <m/>
    <m/>
    <m/>
    <m/>
    <s v="Negative"/>
    <s v="Not Sampled"/>
    <s v="Not Sampled"/>
  </r>
  <r>
    <x v="3"/>
    <x v="36"/>
    <x v="4"/>
    <x v="2"/>
    <x v="0"/>
    <x v="70"/>
    <x v="254"/>
    <x v="7"/>
    <n v="1"/>
    <s v="Not Sampled"/>
    <n v="833"/>
    <m/>
    <m/>
    <m/>
    <m/>
    <m/>
    <m/>
    <m/>
    <m/>
    <s v="Positive"/>
    <s v="Not Sampled"/>
    <s v="Not Sampled"/>
  </r>
  <r>
    <x v="3"/>
    <x v="83"/>
    <x v="10"/>
    <x v="14"/>
    <x v="122"/>
    <x v="115"/>
    <x v="294"/>
    <x v="13"/>
    <n v="0"/>
    <n v="0"/>
    <n v="834"/>
    <m/>
    <m/>
    <m/>
    <m/>
    <m/>
    <m/>
    <m/>
    <m/>
    <s v="Negative"/>
    <s v="Negative"/>
    <s v="Accurate Prediction"/>
  </r>
  <r>
    <x v="7"/>
    <x v="6"/>
    <x v="14"/>
    <x v="7"/>
    <x v="117"/>
    <x v="37"/>
    <x v="295"/>
    <x v="13"/>
    <n v="0"/>
    <s v="Not Sampled"/>
    <n v="835"/>
    <m/>
    <m/>
    <m/>
    <m/>
    <m/>
    <m/>
    <m/>
    <m/>
    <s v="Negative"/>
    <s v="Not Sampled"/>
    <s v="Not Sampled"/>
  </r>
  <r>
    <x v="6"/>
    <x v="73"/>
    <x v="5"/>
    <x v="2"/>
    <x v="0"/>
    <x v="32"/>
    <x v="149"/>
    <x v="29"/>
    <n v="1"/>
    <s v="Not Sampled"/>
    <n v="836"/>
    <m/>
    <m/>
    <m/>
    <m/>
    <m/>
    <m/>
    <m/>
    <m/>
    <s v="Positive"/>
    <s v="Not Sampled"/>
    <s v="Not Sampled"/>
  </r>
  <r>
    <x v="1"/>
    <x v="39"/>
    <x v="11"/>
    <x v="6"/>
    <x v="0"/>
    <x v="169"/>
    <x v="287"/>
    <x v="4"/>
    <n v="0"/>
    <s v="Not Sampled"/>
    <n v="837"/>
    <m/>
    <m/>
    <m/>
    <m/>
    <m/>
    <m/>
    <m/>
    <m/>
    <s v="Negative"/>
    <s v="Not Sampled"/>
    <s v="Not Sampled"/>
  </r>
  <r>
    <x v="5"/>
    <x v="14"/>
    <x v="24"/>
    <x v="41"/>
    <x v="5"/>
    <x v="155"/>
    <x v="296"/>
    <x v="11"/>
    <n v="0"/>
    <s v="Not Sampled"/>
    <n v="838"/>
    <m/>
    <m/>
    <m/>
    <m/>
    <m/>
    <m/>
    <m/>
    <m/>
    <s v="Negative"/>
    <s v="Not Sampled"/>
    <s v="Not Sampled"/>
  </r>
  <r>
    <x v="2"/>
    <x v="32"/>
    <x v="38"/>
    <x v="7"/>
    <x v="32"/>
    <x v="10"/>
    <x v="297"/>
    <x v="10"/>
    <n v="1"/>
    <s v="Not Sampled"/>
    <n v="839"/>
    <m/>
    <m/>
    <m/>
    <m/>
    <m/>
    <m/>
    <m/>
    <m/>
    <s v="Positive"/>
    <s v="Not Sampled"/>
    <s v="Not Sampled"/>
  </r>
  <r>
    <x v="5"/>
    <x v="5"/>
    <x v="1"/>
    <x v="46"/>
    <x v="123"/>
    <x v="189"/>
    <x v="298"/>
    <x v="14"/>
    <n v="1"/>
    <n v="1"/>
    <n v="840"/>
    <m/>
    <m/>
    <m/>
    <m/>
    <m/>
    <m/>
    <m/>
    <m/>
    <s v="Positive"/>
    <s v="Positive"/>
    <s v="Accurate Prediction"/>
  </r>
  <r>
    <x v="1"/>
    <x v="78"/>
    <x v="11"/>
    <x v="17"/>
    <x v="124"/>
    <x v="12"/>
    <x v="299"/>
    <x v="4"/>
    <n v="0"/>
    <s v="Not Sampled"/>
    <n v="841"/>
    <m/>
    <m/>
    <m/>
    <m/>
    <m/>
    <m/>
    <m/>
    <m/>
    <s v="Negative"/>
    <s v="Not Sampled"/>
    <s v="Not Sampled"/>
  </r>
  <r>
    <x v="1"/>
    <x v="1"/>
    <x v="11"/>
    <x v="29"/>
    <x v="5"/>
    <x v="134"/>
    <x v="300"/>
    <x v="4"/>
    <n v="0"/>
    <s v="Not Sampled"/>
    <n v="842"/>
    <m/>
    <m/>
    <m/>
    <m/>
    <m/>
    <m/>
    <m/>
    <m/>
    <s v="Negative"/>
    <s v="Not Sampled"/>
    <s v="Not Sampled"/>
  </r>
  <r>
    <x v="0"/>
    <x v="38"/>
    <x v="22"/>
    <x v="32"/>
    <x v="48"/>
    <x v="115"/>
    <x v="301"/>
    <x v="14"/>
    <n v="0"/>
    <s v="Not Sampled"/>
    <n v="843"/>
    <m/>
    <m/>
    <m/>
    <m/>
    <m/>
    <m/>
    <m/>
    <m/>
    <s v="Negative"/>
    <s v="Not Sampled"/>
    <s v="Not Sampled"/>
  </r>
  <r>
    <x v="0"/>
    <x v="27"/>
    <x v="33"/>
    <x v="44"/>
    <x v="125"/>
    <x v="190"/>
    <x v="302"/>
    <x v="6"/>
    <n v="0"/>
    <s v="Not Sampled"/>
    <n v="844"/>
    <m/>
    <m/>
    <m/>
    <m/>
    <m/>
    <m/>
    <m/>
    <m/>
    <s v="Negative"/>
    <s v="Not Sampled"/>
    <s v="Not Sampled"/>
  </r>
  <r>
    <x v="10"/>
    <x v="98"/>
    <x v="1"/>
    <x v="44"/>
    <x v="54"/>
    <x v="188"/>
    <x v="303"/>
    <x v="5"/>
    <n v="1"/>
    <s v="Not Sampled"/>
    <n v="845"/>
    <m/>
    <m/>
    <m/>
    <m/>
    <m/>
    <m/>
    <m/>
    <m/>
    <s v="Positive"/>
    <s v="Not Sampled"/>
    <s v="Not Sampled"/>
  </r>
  <r>
    <x v="1"/>
    <x v="116"/>
    <x v="1"/>
    <x v="11"/>
    <x v="126"/>
    <x v="18"/>
    <x v="167"/>
    <x v="11"/>
    <n v="0"/>
    <n v="0"/>
    <n v="846"/>
    <m/>
    <m/>
    <m/>
    <m/>
    <m/>
    <m/>
    <m/>
    <m/>
    <s v="Negative"/>
    <s v="Negative"/>
    <s v="Accurate Prediction"/>
  </r>
  <r>
    <x v="2"/>
    <x v="90"/>
    <x v="12"/>
    <x v="18"/>
    <x v="96"/>
    <x v="19"/>
    <x v="304"/>
    <x v="11"/>
    <n v="0"/>
    <s v="Not Sampled"/>
    <n v="847"/>
    <m/>
    <m/>
    <m/>
    <m/>
    <m/>
    <m/>
    <m/>
    <m/>
    <s v="Negative"/>
    <s v="Not Sampled"/>
    <s v="Not Sampled"/>
  </r>
  <r>
    <x v="3"/>
    <x v="84"/>
    <x v="25"/>
    <x v="2"/>
    <x v="0"/>
    <x v="191"/>
    <x v="21"/>
    <x v="32"/>
    <n v="1"/>
    <s v="Not Sampled"/>
    <n v="848"/>
    <m/>
    <m/>
    <m/>
    <m/>
    <m/>
    <m/>
    <m/>
    <m/>
    <s v="Positive"/>
    <s v="Not Sampled"/>
    <s v="Not Sampled"/>
  </r>
  <r>
    <x v="1"/>
    <x v="67"/>
    <x v="39"/>
    <x v="15"/>
    <x v="127"/>
    <x v="59"/>
    <x v="305"/>
    <x v="20"/>
    <n v="0"/>
    <s v="Not Sampled"/>
    <n v="849"/>
    <m/>
    <m/>
    <m/>
    <m/>
    <m/>
    <m/>
    <m/>
    <m/>
    <s v="Negative"/>
    <s v="Not Sampled"/>
    <s v="Not Sampled"/>
  </r>
  <r>
    <x v="2"/>
    <x v="61"/>
    <x v="5"/>
    <x v="8"/>
    <x v="21"/>
    <x v="98"/>
    <x v="306"/>
    <x v="3"/>
    <n v="0"/>
    <s v="Not Sampled"/>
    <n v="850"/>
    <m/>
    <m/>
    <m/>
    <m/>
    <m/>
    <m/>
    <m/>
    <m/>
    <s v="Negative"/>
    <s v="Not Sampled"/>
    <s v="Not Sampled"/>
  </r>
  <r>
    <x v="1"/>
    <x v="38"/>
    <x v="3"/>
    <x v="29"/>
    <x v="0"/>
    <x v="192"/>
    <x v="183"/>
    <x v="11"/>
    <n v="0"/>
    <s v="Not Sampled"/>
    <n v="851"/>
    <m/>
    <m/>
    <m/>
    <m/>
    <m/>
    <m/>
    <m/>
    <m/>
    <s v="Negative"/>
    <s v="Not Sampled"/>
    <s v="Not Sampled"/>
  </r>
  <r>
    <x v="2"/>
    <x v="49"/>
    <x v="12"/>
    <x v="47"/>
    <x v="98"/>
    <x v="54"/>
    <x v="307"/>
    <x v="4"/>
    <n v="0"/>
    <s v="Not Sampled"/>
    <n v="852"/>
    <m/>
    <m/>
    <m/>
    <m/>
    <m/>
    <m/>
    <m/>
    <m/>
    <s v="Negative"/>
    <s v="Not Sampled"/>
    <s v="Not Sampled"/>
  </r>
  <r>
    <x v="2"/>
    <x v="30"/>
    <x v="0"/>
    <x v="10"/>
    <x v="128"/>
    <x v="16"/>
    <x v="308"/>
    <x v="14"/>
    <n v="0"/>
    <s v="Not Sampled"/>
    <n v="853"/>
    <m/>
    <m/>
    <m/>
    <m/>
    <m/>
    <m/>
    <m/>
    <m/>
    <s v="Negative"/>
    <s v="Not Sampled"/>
    <s v="Not Sampled"/>
  </r>
  <r>
    <x v="2"/>
    <x v="10"/>
    <x v="9"/>
    <x v="20"/>
    <x v="27"/>
    <x v="122"/>
    <x v="309"/>
    <x v="14"/>
    <n v="0"/>
    <s v="Not Sampled"/>
    <n v="854"/>
    <m/>
    <m/>
    <m/>
    <m/>
    <m/>
    <m/>
    <m/>
    <m/>
    <s v="Negative"/>
    <s v="Not Sampled"/>
    <s v="Not Sampled"/>
  </r>
  <r>
    <x v="2"/>
    <x v="93"/>
    <x v="14"/>
    <x v="27"/>
    <x v="52"/>
    <x v="193"/>
    <x v="310"/>
    <x v="3"/>
    <n v="0"/>
    <s v="Not Sampled"/>
    <n v="855"/>
    <m/>
    <m/>
    <m/>
    <m/>
    <m/>
    <m/>
    <m/>
    <m/>
    <s v="Negative"/>
    <s v="Not Sampled"/>
    <s v="Not Sampled"/>
  </r>
  <r>
    <x v="7"/>
    <x v="113"/>
    <x v="10"/>
    <x v="30"/>
    <x v="0"/>
    <x v="167"/>
    <x v="311"/>
    <x v="20"/>
    <n v="1"/>
    <s v="Not Sampled"/>
    <n v="856"/>
    <m/>
    <m/>
    <m/>
    <m/>
    <m/>
    <m/>
    <m/>
    <m/>
    <s v="Positive"/>
    <s v="Not Sampled"/>
    <s v="Not Sampled"/>
  </r>
  <r>
    <x v="4"/>
    <x v="38"/>
    <x v="39"/>
    <x v="35"/>
    <x v="0"/>
    <x v="165"/>
    <x v="312"/>
    <x v="10"/>
    <n v="1"/>
    <n v="0"/>
    <n v="857"/>
    <m/>
    <m/>
    <m/>
    <m/>
    <m/>
    <m/>
    <m/>
    <m/>
    <s v="Positive"/>
    <s v="Negative"/>
    <s v="Inaccurate Prediction"/>
  </r>
  <r>
    <x v="7"/>
    <x v="65"/>
    <x v="1"/>
    <x v="16"/>
    <x v="63"/>
    <x v="61"/>
    <x v="117"/>
    <x v="5"/>
    <n v="1"/>
    <n v="0"/>
    <n v="858"/>
    <m/>
    <m/>
    <m/>
    <m/>
    <m/>
    <m/>
    <m/>
    <m/>
    <s v="Positive"/>
    <s v="Negative"/>
    <s v="Inaccurate Prediction"/>
  </r>
  <r>
    <x v="5"/>
    <x v="45"/>
    <x v="3"/>
    <x v="17"/>
    <x v="129"/>
    <x v="31"/>
    <x v="313"/>
    <x v="6"/>
    <n v="0"/>
    <s v="Not Sampled"/>
    <n v="859"/>
    <m/>
    <m/>
    <m/>
    <m/>
    <m/>
    <m/>
    <m/>
    <m/>
    <s v="Negative"/>
    <s v="Not Sampled"/>
    <s v="Not Sampled"/>
  </r>
  <r>
    <x v="2"/>
    <x v="45"/>
    <x v="19"/>
    <x v="30"/>
    <x v="130"/>
    <x v="61"/>
    <x v="314"/>
    <x v="8"/>
    <n v="0"/>
    <n v="0"/>
    <n v="860"/>
    <m/>
    <m/>
    <m/>
    <m/>
    <m/>
    <m/>
    <m/>
    <m/>
    <s v="Negative"/>
    <s v="Negative"/>
    <s v="Accurate Prediction"/>
  </r>
  <r>
    <x v="7"/>
    <x v="12"/>
    <x v="15"/>
    <x v="2"/>
    <x v="0"/>
    <x v="194"/>
    <x v="250"/>
    <x v="23"/>
    <n v="1"/>
    <n v="1"/>
    <n v="861"/>
    <m/>
    <m/>
    <m/>
    <m/>
    <m/>
    <m/>
    <m/>
    <m/>
    <s v="Positive"/>
    <s v="Positive"/>
    <s v="Accurate Prediction"/>
  </r>
  <r>
    <x v="2"/>
    <x v="55"/>
    <x v="11"/>
    <x v="36"/>
    <x v="131"/>
    <x v="195"/>
    <x v="282"/>
    <x v="4"/>
    <n v="0"/>
    <s v="Not Sampled"/>
    <n v="862"/>
    <m/>
    <m/>
    <m/>
    <m/>
    <m/>
    <m/>
    <m/>
    <m/>
    <s v="Negative"/>
    <s v="Not Sampled"/>
    <s v="Not Sampled"/>
  </r>
  <r>
    <x v="3"/>
    <x v="113"/>
    <x v="5"/>
    <x v="39"/>
    <x v="74"/>
    <x v="28"/>
    <x v="315"/>
    <x v="26"/>
    <n v="0"/>
    <s v="Not Sampled"/>
    <n v="863"/>
    <m/>
    <m/>
    <m/>
    <m/>
    <m/>
    <m/>
    <m/>
    <m/>
    <s v="Negative"/>
    <s v="Not Sampled"/>
    <s v="Not Sampled"/>
  </r>
  <r>
    <x v="3"/>
    <x v="95"/>
    <x v="4"/>
    <x v="2"/>
    <x v="0"/>
    <x v="35"/>
    <x v="316"/>
    <x v="2"/>
    <n v="1"/>
    <s v="Not Sampled"/>
    <n v="864"/>
    <m/>
    <m/>
    <m/>
    <m/>
    <m/>
    <m/>
    <m/>
    <m/>
    <s v="Positive"/>
    <s v="Not Sampled"/>
    <s v="Not Sampled"/>
  </r>
  <r>
    <x v="0"/>
    <x v="117"/>
    <x v="22"/>
    <x v="20"/>
    <x v="132"/>
    <x v="116"/>
    <x v="317"/>
    <x v="14"/>
    <n v="0"/>
    <s v="Not Sampled"/>
    <n v="865"/>
    <m/>
    <m/>
    <m/>
    <m/>
    <m/>
    <m/>
    <m/>
    <m/>
    <s v="Negative"/>
    <s v="Not Sampled"/>
    <s v="Not Sampled"/>
  </r>
  <r>
    <x v="5"/>
    <x v="20"/>
    <x v="20"/>
    <x v="24"/>
    <x v="133"/>
    <x v="62"/>
    <x v="318"/>
    <x v="16"/>
    <n v="0"/>
    <s v="Not Sampled"/>
    <n v="866"/>
    <m/>
    <m/>
    <m/>
    <m/>
    <m/>
    <m/>
    <m/>
    <m/>
    <s v="Negative"/>
    <s v="Not Sampled"/>
    <s v="Not Sampled"/>
  </r>
  <r>
    <x v="1"/>
    <x v="55"/>
    <x v="19"/>
    <x v="32"/>
    <x v="0"/>
    <x v="82"/>
    <x v="319"/>
    <x v="11"/>
    <n v="1"/>
    <s v="Not Sampled"/>
    <n v="867"/>
    <m/>
    <m/>
    <m/>
    <m/>
    <m/>
    <m/>
    <m/>
    <m/>
    <s v="Positive"/>
    <s v="Not Sampled"/>
    <s v="Not Sampled"/>
  </r>
  <r>
    <x v="5"/>
    <x v="118"/>
    <x v="9"/>
    <x v="2"/>
    <x v="0"/>
    <x v="96"/>
    <x v="282"/>
    <x v="14"/>
    <n v="0"/>
    <n v="0"/>
    <n v="868"/>
    <m/>
    <m/>
    <m/>
    <m/>
    <m/>
    <m/>
    <m/>
    <m/>
    <s v="Negative"/>
    <s v="Negative"/>
    <s v="Accurate Prediction"/>
  </r>
  <r>
    <x v="5"/>
    <x v="104"/>
    <x v="9"/>
    <x v="1"/>
    <x v="0"/>
    <x v="115"/>
    <x v="320"/>
    <x v="14"/>
    <n v="1"/>
    <s v="Not Sampled"/>
    <n v="869"/>
    <m/>
    <m/>
    <m/>
    <m/>
    <m/>
    <m/>
    <m/>
    <m/>
    <s v="Positive"/>
    <s v="Not Sampled"/>
    <s v="Not Sampled"/>
  </r>
  <r>
    <x v="3"/>
    <x v="50"/>
    <x v="11"/>
    <x v="2"/>
    <x v="0"/>
    <x v="61"/>
    <x v="321"/>
    <x v="2"/>
    <n v="1"/>
    <s v="Not Sampled"/>
    <n v="870"/>
    <m/>
    <m/>
    <m/>
    <m/>
    <m/>
    <m/>
    <m/>
    <m/>
    <s v="Positive"/>
    <s v="Not Sampled"/>
    <s v="Not Sampled"/>
  </r>
  <r>
    <x v="6"/>
    <x v="59"/>
    <x v="40"/>
    <x v="2"/>
    <x v="0"/>
    <x v="29"/>
    <x v="187"/>
    <x v="15"/>
    <n v="0"/>
    <s v="Not Sampled"/>
    <n v="871"/>
    <m/>
    <m/>
    <m/>
    <m/>
    <m/>
    <m/>
    <m/>
    <m/>
    <s v="Negative"/>
    <s v="Not Sampled"/>
    <s v="Not Sampled"/>
  </r>
  <r>
    <x v="7"/>
    <x v="60"/>
    <x v="16"/>
    <x v="4"/>
    <x v="84"/>
    <x v="145"/>
    <x v="129"/>
    <x v="20"/>
    <n v="1"/>
    <n v="0"/>
    <n v="872"/>
    <m/>
    <m/>
    <m/>
    <m/>
    <m/>
    <m/>
    <m/>
    <m/>
    <s v="Positive"/>
    <s v="Negative"/>
    <s v="Inaccurate Prediction"/>
  </r>
  <r>
    <x v="11"/>
    <x v="119"/>
    <x v="4"/>
    <x v="14"/>
    <x v="0"/>
    <x v="31"/>
    <x v="246"/>
    <x v="19"/>
    <n v="0"/>
    <s v="Not Sampled"/>
    <n v="873"/>
    <m/>
    <m/>
    <m/>
    <m/>
    <m/>
    <m/>
    <m/>
    <m/>
    <s v="Negative"/>
    <s v="Not Sampled"/>
    <s v="Not Sampled"/>
  </r>
  <r>
    <x v="7"/>
    <x v="120"/>
    <x v="11"/>
    <x v="2"/>
    <x v="0"/>
    <x v="35"/>
    <x v="322"/>
    <x v="17"/>
    <n v="1"/>
    <n v="1"/>
    <n v="874"/>
    <m/>
    <m/>
    <m/>
    <m/>
    <m/>
    <m/>
    <m/>
    <m/>
    <s v="Positive"/>
    <s v="Positive"/>
    <s v="Accurate Prediction"/>
  </r>
  <r>
    <x v="0"/>
    <x v="62"/>
    <x v="26"/>
    <x v="5"/>
    <x v="134"/>
    <x v="196"/>
    <x v="254"/>
    <x v="25"/>
    <n v="0"/>
    <s v="Not Sampled"/>
    <n v="875"/>
    <m/>
    <m/>
    <m/>
    <m/>
    <m/>
    <m/>
    <m/>
    <m/>
    <s v="Negative"/>
    <s v="Not Sampled"/>
    <s v="Not Sampled"/>
  </r>
  <r>
    <x v="3"/>
    <x v="109"/>
    <x v="5"/>
    <x v="2"/>
    <x v="0"/>
    <x v="11"/>
    <x v="323"/>
    <x v="22"/>
    <n v="1"/>
    <s v="Not Sampled"/>
    <n v="876"/>
    <m/>
    <m/>
    <m/>
    <m/>
    <m/>
    <m/>
    <m/>
    <m/>
    <s v="Positive"/>
    <s v="Not Sampled"/>
    <s v="Not Sampled"/>
  </r>
  <r>
    <x v="1"/>
    <x v="39"/>
    <x v="0"/>
    <x v="2"/>
    <x v="0"/>
    <x v="101"/>
    <x v="101"/>
    <x v="14"/>
    <n v="0"/>
    <n v="0"/>
    <n v="877"/>
    <m/>
    <m/>
    <m/>
    <m/>
    <m/>
    <m/>
    <m/>
    <m/>
    <s v="Negative"/>
    <s v="Negative"/>
    <s v="Accurate Prediction"/>
  </r>
  <r>
    <x v="4"/>
    <x v="100"/>
    <x v="10"/>
    <x v="2"/>
    <x v="0"/>
    <x v="151"/>
    <x v="324"/>
    <x v="16"/>
    <n v="1"/>
    <s v="Not Sampled"/>
    <n v="878"/>
    <m/>
    <m/>
    <m/>
    <m/>
    <m/>
    <m/>
    <m/>
    <m/>
    <s v="Positive"/>
    <s v="Not Sampled"/>
    <s v="Not Sampled"/>
  </r>
  <r>
    <x v="2"/>
    <x v="121"/>
    <x v="3"/>
    <x v="48"/>
    <x v="135"/>
    <x v="197"/>
    <x v="325"/>
    <x v="6"/>
    <n v="1"/>
    <s v="Not Sampled"/>
    <n v="879"/>
    <m/>
    <m/>
    <m/>
    <m/>
    <m/>
    <m/>
    <m/>
    <m/>
    <s v="Positive"/>
    <s v="Not Sampled"/>
    <s v="Not Sampled"/>
  </r>
  <r>
    <x v="6"/>
    <x v="29"/>
    <x v="8"/>
    <x v="15"/>
    <x v="0"/>
    <x v="140"/>
    <x v="326"/>
    <x v="6"/>
    <n v="0"/>
    <s v="Not Sampled"/>
    <n v="880"/>
    <m/>
    <m/>
    <m/>
    <m/>
    <m/>
    <m/>
    <m/>
    <m/>
    <s v="Negative"/>
    <s v="Not Sampled"/>
    <s v="Not Sampled"/>
  </r>
  <r>
    <x v="2"/>
    <x v="56"/>
    <x v="5"/>
    <x v="8"/>
    <x v="34"/>
    <x v="184"/>
    <x v="303"/>
    <x v="14"/>
    <n v="0"/>
    <n v="0"/>
    <n v="881"/>
    <m/>
    <m/>
    <m/>
    <m/>
    <m/>
    <m/>
    <m/>
    <m/>
    <s v="Negative"/>
    <s v="Negative"/>
    <s v="Accurate Prediction"/>
  </r>
  <r>
    <x v="2"/>
    <x v="92"/>
    <x v="16"/>
    <x v="17"/>
    <x v="136"/>
    <x v="197"/>
    <x v="327"/>
    <x v="11"/>
    <n v="0"/>
    <s v="Not Sampled"/>
    <n v="882"/>
    <m/>
    <m/>
    <m/>
    <m/>
    <m/>
    <m/>
    <m/>
    <m/>
    <s v="Negative"/>
    <s v="Not Sampled"/>
    <s v="Not Sampled"/>
  </r>
  <r>
    <x v="2"/>
    <x v="92"/>
    <x v="10"/>
    <x v="29"/>
    <x v="137"/>
    <x v="173"/>
    <x v="152"/>
    <x v="4"/>
    <n v="0"/>
    <s v="Not Sampled"/>
    <n v="883"/>
    <m/>
    <m/>
    <m/>
    <m/>
    <m/>
    <m/>
    <m/>
    <m/>
    <s v="Negative"/>
    <s v="Not Sampled"/>
    <s v="Not Sampled"/>
  </r>
  <r>
    <x v="1"/>
    <x v="0"/>
    <x v="12"/>
    <x v="0"/>
    <x v="119"/>
    <x v="137"/>
    <x v="328"/>
    <x v="4"/>
    <n v="1"/>
    <s v="Not Sampled"/>
    <n v="884"/>
    <m/>
    <m/>
    <m/>
    <m/>
    <m/>
    <m/>
    <m/>
    <m/>
    <s v="Positive"/>
    <s v="Not Sampled"/>
    <s v="Not Sampled"/>
  </r>
  <r>
    <x v="5"/>
    <x v="5"/>
    <x v="16"/>
    <x v="12"/>
    <x v="138"/>
    <x v="140"/>
    <x v="61"/>
    <x v="11"/>
    <n v="1"/>
    <n v="1"/>
    <n v="885"/>
    <m/>
    <m/>
    <m/>
    <m/>
    <m/>
    <m/>
    <m/>
    <m/>
    <s v="Positive"/>
    <s v="Positive"/>
    <s v="Accurate Prediction"/>
  </r>
  <r>
    <x v="2"/>
    <x v="75"/>
    <x v="3"/>
    <x v="23"/>
    <x v="0"/>
    <x v="185"/>
    <x v="329"/>
    <x v="11"/>
    <n v="0"/>
    <s v="Not Sampled"/>
    <n v="886"/>
    <m/>
    <m/>
    <m/>
    <m/>
    <m/>
    <m/>
    <m/>
    <m/>
    <s v="Negative"/>
    <s v="Not Sampled"/>
    <s v="Not Sampled"/>
  </r>
  <r>
    <x v="3"/>
    <x v="65"/>
    <x v="1"/>
    <x v="5"/>
    <x v="0"/>
    <x v="70"/>
    <x v="330"/>
    <x v="26"/>
    <n v="1"/>
    <n v="1"/>
    <n v="887"/>
    <m/>
    <m/>
    <m/>
    <m/>
    <m/>
    <m/>
    <m/>
    <m/>
    <s v="Positive"/>
    <s v="Positive"/>
    <s v="Accurate Prediction"/>
  </r>
  <r>
    <x v="2"/>
    <x v="8"/>
    <x v="3"/>
    <x v="2"/>
    <x v="0"/>
    <x v="198"/>
    <x v="331"/>
    <x v="23"/>
    <n v="0"/>
    <n v="0"/>
    <n v="888"/>
    <m/>
    <m/>
    <m/>
    <m/>
    <m/>
    <m/>
    <m/>
    <m/>
    <s v="Negative"/>
    <s v="Negative"/>
    <s v="Accurate Prediction"/>
  </r>
  <r>
    <x v="5"/>
    <x v="52"/>
    <x v="11"/>
    <x v="30"/>
    <x v="133"/>
    <x v="199"/>
    <x v="332"/>
    <x v="6"/>
    <n v="1"/>
    <s v="Not Sampled"/>
    <n v="889"/>
    <m/>
    <m/>
    <m/>
    <m/>
    <m/>
    <m/>
    <m/>
    <m/>
    <s v="Positive"/>
    <s v="Not Sampled"/>
    <s v="Not Sampled"/>
  </r>
  <r>
    <x v="2"/>
    <x v="93"/>
    <x v="21"/>
    <x v="4"/>
    <x v="13"/>
    <x v="200"/>
    <x v="333"/>
    <x v="25"/>
    <n v="0"/>
    <s v="Not Sampled"/>
    <n v="890"/>
    <m/>
    <m/>
    <m/>
    <m/>
    <m/>
    <m/>
    <m/>
    <m/>
    <s v="Negative"/>
    <s v="Not Sampled"/>
    <s v="Not Sampled"/>
  </r>
  <r>
    <x v="0"/>
    <x v="19"/>
    <x v="3"/>
    <x v="10"/>
    <x v="7"/>
    <x v="14"/>
    <x v="334"/>
    <x v="4"/>
    <n v="0"/>
    <s v="Not Sampled"/>
    <n v="891"/>
    <m/>
    <m/>
    <m/>
    <m/>
    <m/>
    <m/>
    <m/>
    <m/>
    <s v="Negative"/>
    <s v="Not Sampled"/>
    <s v="Not Sampled"/>
  </r>
  <r>
    <x v="1"/>
    <x v="29"/>
    <x v="11"/>
    <x v="40"/>
    <x v="65"/>
    <x v="102"/>
    <x v="116"/>
    <x v="4"/>
    <n v="0"/>
    <s v="Not Sampled"/>
    <n v="892"/>
    <m/>
    <m/>
    <m/>
    <m/>
    <m/>
    <m/>
    <m/>
    <m/>
    <s v="Negative"/>
    <s v="Not Sampled"/>
    <s v="Not Sampled"/>
  </r>
  <r>
    <x v="0"/>
    <x v="109"/>
    <x v="11"/>
    <x v="29"/>
    <x v="0"/>
    <x v="98"/>
    <x v="335"/>
    <x v="4"/>
    <n v="0"/>
    <s v="Not Sampled"/>
    <n v="893"/>
    <m/>
    <m/>
    <m/>
    <m/>
    <m/>
    <m/>
    <m/>
    <m/>
    <s v="Negative"/>
    <s v="Not Sampled"/>
    <s v="Not Sampled"/>
  </r>
  <r>
    <x v="4"/>
    <x v="68"/>
    <x v="4"/>
    <x v="5"/>
    <x v="14"/>
    <x v="92"/>
    <x v="336"/>
    <x v="31"/>
    <n v="1"/>
    <s v="Not Sampled"/>
    <n v="894"/>
    <m/>
    <m/>
    <m/>
    <m/>
    <m/>
    <m/>
    <m/>
    <m/>
    <s v="Positive"/>
    <s v="Not Sampled"/>
    <s v="Not Sampled"/>
  </r>
  <r>
    <x v="3"/>
    <x v="97"/>
    <x v="4"/>
    <x v="15"/>
    <x v="139"/>
    <x v="201"/>
    <x v="337"/>
    <x v="2"/>
    <n v="1"/>
    <s v="Not Sampled"/>
    <n v="895"/>
    <m/>
    <m/>
    <m/>
    <m/>
    <m/>
    <m/>
    <m/>
    <m/>
    <s v="Positive"/>
    <s v="Not Sampled"/>
    <s v="Not Sampled"/>
  </r>
  <r>
    <x v="1"/>
    <x v="19"/>
    <x v="2"/>
    <x v="2"/>
    <x v="0"/>
    <x v="12"/>
    <x v="152"/>
    <x v="14"/>
    <n v="0"/>
    <s v="Not Sampled"/>
    <n v="896"/>
    <m/>
    <m/>
    <m/>
    <m/>
    <m/>
    <m/>
    <m/>
    <m/>
    <s v="Negative"/>
    <s v="Not Sampled"/>
    <s v="Not Sampled"/>
  </r>
  <r>
    <x v="2"/>
    <x v="94"/>
    <x v="11"/>
    <x v="8"/>
    <x v="105"/>
    <x v="174"/>
    <x v="338"/>
    <x v="19"/>
    <n v="1"/>
    <s v="Not Sampled"/>
    <n v="897"/>
    <m/>
    <m/>
    <m/>
    <m/>
    <m/>
    <m/>
    <m/>
    <m/>
    <s v="Positive"/>
    <s v="Not Sampled"/>
    <s v="Not Sampled"/>
  </r>
  <r>
    <x v="1"/>
    <x v="3"/>
    <x v="41"/>
    <x v="40"/>
    <x v="8"/>
    <x v="102"/>
    <x v="223"/>
    <x v="25"/>
    <n v="0"/>
    <s v="Not Sampled"/>
    <n v="898"/>
    <m/>
    <m/>
    <m/>
    <m/>
    <m/>
    <m/>
    <m/>
    <m/>
    <s v="Negative"/>
    <s v="Not Sampled"/>
    <s v="Not Sampled"/>
  </r>
  <r>
    <x v="2"/>
    <x v="50"/>
    <x v="1"/>
    <x v="14"/>
    <x v="105"/>
    <x v="145"/>
    <x v="1"/>
    <x v="33"/>
    <n v="1"/>
    <n v="0"/>
    <n v="899"/>
    <m/>
    <m/>
    <m/>
    <m/>
    <m/>
    <m/>
    <m/>
    <m/>
    <s v="Positive"/>
    <s v="Negative"/>
    <s v="Inaccurate Prediction"/>
  </r>
  <r>
    <x v="0"/>
    <x v="6"/>
    <x v="2"/>
    <x v="2"/>
    <x v="0"/>
    <x v="202"/>
    <x v="339"/>
    <x v="1"/>
    <n v="0"/>
    <n v="0"/>
    <n v="900"/>
    <m/>
    <m/>
    <m/>
    <m/>
    <m/>
    <m/>
    <m/>
    <m/>
    <s v="Negative"/>
    <s v="Negative"/>
    <s v="Accurate Prediction"/>
  </r>
  <r>
    <x v="5"/>
    <x v="9"/>
    <x v="10"/>
    <x v="41"/>
    <x v="108"/>
    <x v="25"/>
    <x v="7"/>
    <x v="19"/>
    <n v="0"/>
    <s v="Not Sampled"/>
    <n v="901"/>
    <m/>
    <m/>
    <m/>
    <m/>
    <m/>
    <m/>
    <m/>
    <m/>
    <s v="Negative"/>
    <s v="Not Sampled"/>
    <s v="Not Sampled"/>
  </r>
  <r>
    <x v="2"/>
    <x v="11"/>
    <x v="10"/>
    <x v="22"/>
    <x v="140"/>
    <x v="135"/>
    <x v="268"/>
    <x v="11"/>
    <n v="0"/>
    <n v="0"/>
    <n v="902"/>
    <m/>
    <m/>
    <m/>
    <m/>
    <m/>
    <m/>
    <m/>
    <m/>
    <s v="Negative"/>
    <s v="Negative"/>
    <s v="Accurate Prediction"/>
  </r>
  <r>
    <x v="0"/>
    <x v="4"/>
    <x v="25"/>
    <x v="2"/>
    <x v="0"/>
    <x v="6"/>
    <x v="148"/>
    <x v="29"/>
    <n v="0"/>
    <s v="Not Sampled"/>
    <n v="903"/>
    <m/>
    <m/>
    <m/>
    <m/>
    <m/>
    <m/>
    <m/>
    <m/>
    <s v="Negative"/>
    <s v="Not Sampled"/>
    <s v="Not Sampled"/>
  </r>
  <r>
    <x v="2"/>
    <x v="30"/>
    <x v="3"/>
    <x v="47"/>
    <x v="0"/>
    <x v="203"/>
    <x v="340"/>
    <x v="31"/>
    <n v="0"/>
    <s v="Not Sampled"/>
    <n v="904"/>
    <m/>
    <m/>
    <m/>
    <m/>
    <m/>
    <m/>
    <m/>
    <m/>
    <s v="Negative"/>
    <s v="Not Sampled"/>
    <s v="Not Sampled"/>
  </r>
  <r>
    <x v="1"/>
    <x v="47"/>
    <x v="2"/>
    <x v="2"/>
    <x v="0"/>
    <x v="197"/>
    <x v="310"/>
    <x v="29"/>
    <n v="1"/>
    <s v="Not Sampled"/>
    <n v="905"/>
    <m/>
    <m/>
    <m/>
    <m/>
    <m/>
    <m/>
    <m/>
    <m/>
    <s v="Positive"/>
    <s v="Not Sampled"/>
    <s v="Not Sampled"/>
  </r>
  <r>
    <x v="10"/>
    <x v="98"/>
    <x v="23"/>
    <x v="12"/>
    <x v="0"/>
    <x v="83"/>
    <x v="168"/>
    <x v="17"/>
    <n v="0"/>
    <n v="1"/>
    <n v="906"/>
    <m/>
    <m/>
    <m/>
    <m/>
    <m/>
    <m/>
    <m/>
    <m/>
    <s v="Negative"/>
    <s v="Positive"/>
    <s v="Inaccurate Prediction"/>
  </r>
  <r>
    <x v="7"/>
    <x v="83"/>
    <x v="25"/>
    <x v="2"/>
    <x v="0"/>
    <x v="106"/>
    <x v="251"/>
    <x v="6"/>
    <n v="0"/>
    <s v="Not Sampled"/>
    <n v="907"/>
    <m/>
    <m/>
    <m/>
    <m/>
    <m/>
    <m/>
    <m/>
    <m/>
    <s v="Negative"/>
    <s v="Not Sampled"/>
    <s v="Not Sampled"/>
  </r>
  <r>
    <x v="2"/>
    <x v="75"/>
    <x v="9"/>
    <x v="11"/>
    <x v="0"/>
    <x v="198"/>
    <x v="341"/>
    <x v="4"/>
    <n v="0"/>
    <s v="Not Sampled"/>
    <n v="908"/>
    <m/>
    <m/>
    <m/>
    <m/>
    <m/>
    <m/>
    <m/>
    <m/>
    <s v="Negative"/>
    <s v="Not Sampled"/>
    <s v="Not Sampled"/>
  </r>
  <r>
    <x v="6"/>
    <x v="61"/>
    <x v="21"/>
    <x v="2"/>
    <x v="0"/>
    <x v="8"/>
    <x v="19"/>
    <x v="2"/>
    <n v="0"/>
    <s v="Not Sampled"/>
    <n v="909"/>
    <m/>
    <m/>
    <m/>
    <m/>
    <m/>
    <m/>
    <m/>
    <m/>
    <s v="Negative"/>
    <s v="Not Sampled"/>
    <s v="Not Sampled"/>
  </r>
  <r>
    <x v="1"/>
    <x v="115"/>
    <x v="35"/>
    <x v="14"/>
    <x v="0"/>
    <x v="82"/>
    <x v="342"/>
    <x v="17"/>
    <n v="1"/>
    <s v="Not Sampled"/>
    <n v="910"/>
    <m/>
    <m/>
    <m/>
    <m/>
    <m/>
    <m/>
    <m/>
    <m/>
    <s v="Positive"/>
    <s v="Not Sampled"/>
    <s v="Not Sampled"/>
  </r>
  <r>
    <x v="0"/>
    <x v="8"/>
    <x v="19"/>
    <x v="17"/>
    <x v="52"/>
    <x v="204"/>
    <x v="343"/>
    <x v="11"/>
    <n v="0"/>
    <s v="Not Sampled"/>
    <n v="911"/>
    <m/>
    <m/>
    <m/>
    <m/>
    <m/>
    <m/>
    <m/>
    <m/>
    <s v="Negative"/>
    <s v="Not Sampled"/>
    <s v="Not Sampled"/>
  </r>
  <r>
    <x v="3"/>
    <x v="17"/>
    <x v="11"/>
    <x v="21"/>
    <x v="77"/>
    <x v="34"/>
    <x v="344"/>
    <x v="3"/>
    <n v="0"/>
    <s v="Not Sampled"/>
    <n v="912"/>
    <m/>
    <m/>
    <m/>
    <m/>
    <m/>
    <m/>
    <m/>
    <m/>
    <s v="Negative"/>
    <s v="Not Sampled"/>
    <s v="Not Sampled"/>
  </r>
  <r>
    <x v="4"/>
    <x v="81"/>
    <x v="9"/>
    <x v="2"/>
    <x v="0"/>
    <x v="85"/>
    <x v="345"/>
    <x v="9"/>
    <n v="1"/>
    <n v="0"/>
    <n v="913"/>
    <m/>
    <m/>
    <m/>
    <m/>
    <m/>
    <m/>
    <m/>
    <m/>
    <s v="Positive"/>
    <s v="Negative"/>
    <s v="Inaccurate Prediction"/>
  </r>
  <r>
    <x v="3"/>
    <x v="17"/>
    <x v="0"/>
    <x v="39"/>
    <x v="0"/>
    <x v="27"/>
    <x v="222"/>
    <x v="13"/>
    <n v="1"/>
    <s v="Not Sampled"/>
    <n v="914"/>
    <m/>
    <m/>
    <m/>
    <m/>
    <m/>
    <m/>
    <m/>
    <m/>
    <s v="Positive"/>
    <s v="Not Sampled"/>
    <s v="Not Sampled"/>
  </r>
  <r>
    <x v="1"/>
    <x v="22"/>
    <x v="4"/>
    <x v="49"/>
    <x v="141"/>
    <x v="205"/>
    <x v="346"/>
    <x v="14"/>
    <n v="1"/>
    <s v="Not Sampled"/>
    <n v="915"/>
    <m/>
    <m/>
    <m/>
    <m/>
    <m/>
    <m/>
    <m/>
    <m/>
    <s v="Positive"/>
    <s v="Not Sampled"/>
    <s v="Not Sampled"/>
  </r>
  <r>
    <x v="2"/>
    <x v="45"/>
    <x v="5"/>
    <x v="39"/>
    <x v="19"/>
    <x v="159"/>
    <x v="347"/>
    <x v="6"/>
    <n v="0"/>
    <n v="0"/>
    <n v="916"/>
    <m/>
    <m/>
    <m/>
    <m/>
    <m/>
    <m/>
    <m/>
    <m/>
    <s v="Negative"/>
    <s v="Negative"/>
    <s v="Accurate Prediction"/>
  </r>
  <r>
    <x v="1"/>
    <x v="50"/>
    <x v="6"/>
    <x v="45"/>
    <x v="53"/>
    <x v="23"/>
    <x v="348"/>
    <x v="25"/>
    <n v="0"/>
    <s v="Not Sampled"/>
    <n v="917"/>
    <m/>
    <m/>
    <m/>
    <m/>
    <m/>
    <m/>
    <m/>
    <m/>
    <s v="Negative"/>
    <s v="Not Sampled"/>
    <s v="Not Sampled"/>
  </r>
  <r>
    <x v="1"/>
    <x v="88"/>
    <x v="11"/>
    <x v="18"/>
    <x v="36"/>
    <x v="0"/>
    <x v="349"/>
    <x v="11"/>
    <n v="1"/>
    <s v="Not Sampled"/>
    <n v="918"/>
    <m/>
    <m/>
    <m/>
    <m/>
    <m/>
    <m/>
    <m/>
    <m/>
    <s v="Positive"/>
    <s v="Not Sampled"/>
    <s v="Not Sampled"/>
  </r>
  <r>
    <x v="1"/>
    <x v="24"/>
    <x v="10"/>
    <x v="10"/>
    <x v="55"/>
    <x v="85"/>
    <x v="350"/>
    <x v="25"/>
    <n v="0"/>
    <s v="Not Sampled"/>
    <n v="919"/>
    <m/>
    <m/>
    <m/>
    <m/>
    <m/>
    <m/>
    <m/>
    <m/>
    <s v="Negative"/>
    <s v="Not Sampled"/>
    <s v="Not Sampled"/>
  </r>
  <r>
    <x v="2"/>
    <x v="118"/>
    <x v="11"/>
    <x v="27"/>
    <x v="142"/>
    <x v="206"/>
    <x v="351"/>
    <x v="1"/>
    <n v="0"/>
    <s v="Not Sampled"/>
    <n v="920"/>
    <m/>
    <m/>
    <m/>
    <m/>
    <m/>
    <m/>
    <m/>
    <m/>
    <s v="Negative"/>
    <s v="Not Sampled"/>
    <s v="Not Sampled"/>
  </r>
  <r>
    <x v="0"/>
    <x v="63"/>
    <x v="9"/>
    <x v="2"/>
    <x v="0"/>
    <x v="11"/>
    <x v="157"/>
    <x v="1"/>
    <n v="1"/>
    <s v="Not Sampled"/>
    <n v="921"/>
    <m/>
    <m/>
    <m/>
    <m/>
    <m/>
    <m/>
    <m/>
    <m/>
    <s v="Positive"/>
    <s v="Not Sampled"/>
    <s v="Not Sampled"/>
  </r>
  <r>
    <x v="1"/>
    <x v="25"/>
    <x v="3"/>
    <x v="5"/>
    <x v="14"/>
    <x v="180"/>
    <x v="352"/>
    <x v="14"/>
    <n v="0"/>
    <n v="0"/>
    <n v="922"/>
    <m/>
    <m/>
    <m/>
    <m/>
    <m/>
    <m/>
    <m/>
    <m/>
    <s v="Negative"/>
    <s v="Negative"/>
    <s v="Accurate Prediction"/>
  </r>
  <r>
    <x v="0"/>
    <x v="93"/>
    <x v="2"/>
    <x v="2"/>
    <x v="0"/>
    <x v="58"/>
    <x v="353"/>
    <x v="46"/>
    <n v="0"/>
    <s v="Not Sampled"/>
    <n v="923"/>
    <m/>
    <m/>
    <m/>
    <m/>
    <m/>
    <m/>
    <m/>
    <m/>
    <s v="Negative"/>
    <s v="Not Sampled"/>
    <s v="Not Sampled"/>
  </r>
  <r>
    <x v="0"/>
    <x v="45"/>
    <x v="14"/>
    <x v="7"/>
    <x v="16"/>
    <x v="136"/>
    <x v="354"/>
    <x v="3"/>
    <n v="0"/>
    <s v="Not Sampled"/>
    <n v="924"/>
    <m/>
    <m/>
    <m/>
    <m/>
    <m/>
    <m/>
    <m/>
    <m/>
    <s v="Negative"/>
    <s v="Not Sampled"/>
    <s v="Not Sampled"/>
  </r>
  <r>
    <x v="16"/>
    <x v="122"/>
    <x v="0"/>
    <x v="8"/>
    <x v="0"/>
    <x v="0"/>
    <x v="355"/>
    <x v="19"/>
    <n v="1"/>
    <n v="1"/>
    <n v="925"/>
    <m/>
    <m/>
    <m/>
    <m/>
    <m/>
    <m/>
    <m/>
    <m/>
    <s v="Positive"/>
    <s v="Positive"/>
    <s v="Accurate Prediction"/>
  </r>
  <r>
    <x v="2"/>
    <x v="3"/>
    <x v="14"/>
    <x v="2"/>
    <x v="0"/>
    <x v="207"/>
    <x v="140"/>
    <x v="38"/>
    <n v="0"/>
    <n v="0"/>
    <n v="926"/>
    <m/>
    <m/>
    <m/>
    <m/>
    <m/>
    <m/>
    <m/>
    <m/>
    <s v="Negative"/>
    <s v="Negative"/>
    <s v="Accurate Prediction"/>
  </r>
  <r>
    <x v="7"/>
    <x v="103"/>
    <x v="3"/>
    <x v="7"/>
    <x v="10"/>
    <x v="208"/>
    <x v="356"/>
    <x v="3"/>
    <n v="0"/>
    <n v="0"/>
    <n v="927"/>
    <m/>
    <m/>
    <m/>
    <m/>
    <m/>
    <m/>
    <m/>
    <m/>
    <s v="Negative"/>
    <s v="Negative"/>
    <s v="Accurate Prediction"/>
  </r>
  <r>
    <x v="9"/>
    <x v="89"/>
    <x v="16"/>
    <x v="46"/>
    <x v="143"/>
    <x v="209"/>
    <x v="357"/>
    <x v="42"/>
    <n v="1"/>
    <s v="Not Sampled"/>
    <n v="928"/>
    <m/>
    <m/>
    <m/>
    <m/>
    <m/>
    <m/>
    <m/>
    <m/>
    <s v="Positive"/>
    <s v="Not Sampled"/>
    <s v="Not Sampled"/>
  </r>
  <r>
    <x v="11"/>
    <x v="63"/>
    <x v="10"/>
    <x v="12"/>
    <x v="140"/>
    <x v="151"/>
    <x v="358"/>
    <x v="47"/>
    <n v="0"/>
    <s v="Not Sampled"/>
    <n v="929"/>
    <m/>
    <m/>
    <m/>
    <m/>
    <m/>
    <m/>
    <m/>
    <m/>
    <s v="Negative"/>
    <s v="Not Sampled"/>
    <s v="Not Sampled"/>
  </r>
  <r>
    <x v="11"/>
    <x v="24"/>
    <x v="5"/>
    <x v="29"/>
    <x v="79"/>
    <x v="163"/>
    <x v="359"/>
    <x v="27"/>
    <n v="0"/>
    <s v="Not Sampled"/>
    <n v="930"/>
    <m/>
    <m/>
    <m/>
    <m/>
    <m/>
    <m/>
    <m/>
    <m/>
    <s v="Negative"/>
    <s v="Not Sampled"/>
    <s v="Not Sampled"/>
  </r>
  <r>
    <x v="2"/>
    <x v="37"/>
    <x v="0"/>
    <x v="2"/>
    <x v="0"/>
    <x v="181"/>
    <x v="360"/>
    <x v="25"/>
    <n v="0"/>
    <n v="0"/>
    <n v="931"/>
    <m/>
    <m/>
    <m/>
    <m/>
    <m/>
    <m/>
    <m/>
    <m/>
    <s v="Negative"/>
    <s v="Negative"/>
    <s v="Accurate Prediction"/>
  </r>
  <r>
    <x v="4"/>
    <x v="58"/>
    <x v="9"/>
    <x v="32"/>
    <x v="51"/>
    <x v="186"/>
    <x v="361"/>
    <x v="16"/>
    <n v="0"/>
    <s v="Not Sampled"/>
    <n v="932"/>
    <m/>
    <m/>
    <m/>
    <m/>
    <m/>
    <m/>
    <m/>
    <m/>
    <s v="Negative"/>
    <s v="Not Sampled"/>
    <s v="Not Sampled"/>
  </r>
  <r>
    <x v="7"/>
    <x v="40"/>
    <x v="4"/>
    <x v="8"/>
    <x v="0"/>
    <x v="32"/>
    <x v="61"/>
    <x v="26"/>
    <n v="0"/>
    <s v="Not Sampled"/>
    <n v="933"/>
    <m/>
    <m/>
    <m/>
    <m/>
    <m/>
    <m/>
    <m/>
    <m/>
    <s v="Negative"/>
    <s v="Not Sampled"/>
    <s v="Not Sampled"/>
  </r>
  <r>
    <x v="9"/>
    <x v="109"/>
    <x v="34"/>
    <x v="2"/>
    <x v="0"/>
    <x v="33"/>
    <x v="362"/>
    <x v="34"/>
    <n v="0"/>
    <s v="Not Sampled"/>
    <n v="934"/>
    <m/>
    <m/>
    <m/>
    <m/>
    <m/>
    <m/>
    <m/>
    <m/>
    <s v="Negative"/>
    <s v="Not Sampled"/>
    <s v="Not Sampled"/>
  </r>
  <r>
    <x v="1"/>
    <x v="73"/>
    <x v="20"/>
    <x v="27"/>
    <x v="16"/>
    <x v="181"/>
    <x v="117"/>
    <x v="4"/>
    <n v="0"/>
    <s v="Not Sampled"/>
    <n v="935"/>
    <m/>
    <m/>
    <m/>
    <m/>
    <m/>
    <m/>
    <m/>
    <m/>
    <s v="Negative"/>
    <s v="Not Sampled"/>
    <s v="Not Sampled"/>
  </r>
  <r>
    <x v="1"/>
    <x v="58"/>
    <x v="33"/>
    <x v="25"/>
    <x v="22"/>
    <x v="157"/>
    <x v="363"/>
    <x v="11"/>
    <n v="0"/>
    <s v="Not Sampled"/>
    <n v="936"/>
    <m/>
    <m/>
    <m/>
    <m/>
    <m/>
    <m/>
    <m/>
    <m/>
    <s v="Negative"/>
    <s v="Not Sampled"/>
    <s v="Not Sampled"/>
  </r>
  <r>
    <x v="1"/>
    <x v="75"/>
    <x v="11"/>
    <x v="35"/>
    <x v="31"/>
    <x v="8"/>
    <x v="364"/>
    <x v="14"/>
    <n v="0"/>
    <s v="Not Sampled"/>
    <n v="937"/>
    <m/>
    <m/>
    <m/>
    <m/>
    <m/>
    <m/>
    <m/>
    <m/>
    <s v="Negative"/>
    <s v="Not Sampled"/>
    <s v="Not Sampled"/>
  </r>
  <r>
    <x v="4"/>
    <x v="24"/>
    <x v="2"/>
    <x v="2"/>
    <x v="0"/>
    <x v="135"/>
    <x v="365"/>
    <x v="19"/>
    <n v="1"/>
    <s v="Not Sampled"/>
    <n v="938"/>
    <m/>
    <m/>
    <m/>
    <m/>
    <m/>
    <m/>
    <m/>
    <m/>
    <s v="Positive"/>
    <s v="Not Sampled"/>
    <s v="Not Sampled"/>
  </r>
  <r>
    <x v="6"/>
    <x v="16"/>
    <x v="4"/>
    <x v="4"/>
    <x v="32"/>
    <x v="210"/>
    <x v="366"/>
    <x v="23"/>
    <n v="0"/>
    <s v="Not Sampled"/>
    <n v="939"/>
    <m/>
    <m/>
    <m/>
    <m/>
    <m/>
    <m/>
    <m/>
    <m/>
    <s v="Negative"/>
    <s v="Not Sampled"/>
    <s v="Not Sampled"/>
  </r>
  <r>
    <x v="2"/>
    <x v="65"/>
    <x v="1"/>
    <x v="32"/>
    <x v="0"/>
    <x v="211"/>
    <x v="367"/>
    <x v="6"/>
    <n v="0"/>
    <s v="Not Sampled"/>
    <n v="940"/>
    <m/>
    <m/>
    <m/>
    <m/>
    <m/>
    <m/>
    <m/>
    <m/>
    <s v="Negative"/>
    <s v="Not Sampled"/>
    <s v="Not Sampled"/>
  </r>
  <r>
    <x v="1"/>
    <x v="59"/>
    <x v="9"/>
    <x v="9"/>
    <x v="0"/>
    <x v="34"/>
    <x v="368"/>
    <x v="11"/>
    <n v="0"/>
    <s v="Not Sampled"/>
    <n v="941"/>
    <m/>
    <m/>
    <m/>
    <m/>
    <m/>
    <m/>
    <m/>
    <m/>
    <s v="Negative"/>
    <s v="Not Sampled"/>
    <s v="Not Sampled"/>
  </r>
  <r>
    <x v="1"/>
    <x v="93"/>
    <x v="19"/>
    <x v="21"/>
    <x v="0"/>
    <x v="212"/>
    <x v="247"/>
    <x v="11"/>
    <n v="0"/>
    <s v="Not Sampled"/>
    <n v="942"/>
    <m/>
    <m/>
    <m/>
    <m/>
    <m/>
    <m/>
    <m/>
    <m/>
    <s v="Negative"/>
    <s v="Not Sampled"/>
    <s v="Not Sampled"/>
  </r>
  <r>
    <x v="8"/>
    <x v="60"/>
    <x v="8"/>
    <x v="2"/>
    <x v="0"/>
    <x v="106"/>
    <x v="369"/>
    <x v="48"/>
    <n v="0"/>
    <n v="0"/>
    <n v="943"/>
    <m/>
    <m/>
    <m/>
    <m/>
    <m/>
    <m/>
    <m/>
    <m/>
    <s v="Negative"/>
    <s v="Negative"/>
    <s v="Accurate Prediction"/>
  </r>
  <r>
    <x v="3"/>
    <x v="48"/>
    <x v="11"/>
    <x v="2"/>
    <x v="0"/>
    <x v="11"/>
    <x v="370"/>
    <x v="3"/>
    <n v="0"/>
    <s v="Not Sampled"/>
    <n v="944"/>
    <m/>
    <m/>
    <m/>
    <m/>
    <m/>
    <m/>
    <m/>
    <m/>
    <s v="Negative"/>
    <s v="Not Sampled"/>
    <s v="Not Sampled"/>
  </r>
  <r>
    <x v="1"/>
    <x v="59"/>
    <x v="16"/>
    <x v="21"/>
    <x v="0"/>
    <x v="30"/>
    <x v="70"/>
    <x v="45"/>
    <n v="0"/>
    <s v="Not Sampled"/>
    <n v="945"/>
    <m/>
    <m/>
    <m/>
    <m/>
    <m/>
    <m/>
    <m/>
    <m/>
    <s v="Negative"/>
    <s v="Not Sampled"/>
    <s v="Not Sampled"/>
  </r>
  <r>
    <x v="0"/>
    <x v="38"/>
    <x v="6"/>
    <x v="45"/>
    <x v="144"/>
    <x v="47"/>
    <x v="371"/>
    <x v="29"/>
    <n v="1"/>
    <s v="Not Sampled"/>
    <n v="946"/>
    <m/>
    <m/>
    <m/>
    <m/>
    <m/>
    <m/>
    <m/>
    <m/>
    <s v="Positive"/>
    <s v="Not Sampled"/>
    <s v="Not Sampled"/>
  </r>
  <r>
    <x v="8"/>
    <x v="48"/>
    <x v="15"/>
    <x v="6"/>
    <x v="27"/>
    <x v="74"/>
    <x v="372"/>
    <x v="2"/>
    <n v="0"/>
    <s v="Not Sampled"/>
    <n v="947"/>
    <m/>
    <m/>
    <m/>
    <m/>
    <m/>
    <m/>
    <m/>
    <m/>
    <s v="Negative"/>
    <s v="Not Sampled"/>
    <s v="Not Sampled"/>
  </r>
  <r>
    <x v="4"/>
    <x v="51"/>
    <x v="10"/>
    <x v="9"/>
    <x v="96"/>
    <x v="151"/>
    <x v="373"/>
    <x v="16"/>
    <n v="0"/>
    <s v="Not Sampled"/>
    <n v="948"/>
    <m/>
    <m/>
    <m/>
    <m/>
    <m/>
    <m/>
    <m/>
    <m/>
    <s v="Negative"/>
    <s v="Not Sampled"/>
    <s v="Not Sampled"/>
  </r>
  <r>
    <x v="3"/>
    <x v="77"/>
    <x v="24"/>
    <x v="1"/>
    <x v="0"/>
    <x v="43"/>
    <x v="374"/>
    <x v="44"/>
    <n v="0"/>
    <s v="Not Sampled"/>
    <n v="949"/>
    <m/>
    <m/>
    <m/>
    <m/>
    <m/>
    <m/>
    <m/>
    <m/>
    <s v="Negative"/>
    <s v="Not Sampled"/>
    <s v="Not Sampled"/>
  </r>
  <r>
    <x v="5"/>
    <x v="95"/>
    <x v="9"/>
    <x v="8"/>
    <x v="145"/>
    <x v="130"/>
    <x v="46"/>
    <x v="20"/>
    <n v="1"/>
    <n v="1"/>
    <n v="950"/>
    <m/>
    <m/>
    <m/>
    <m/>
    <m/>
    <m/>
    <m/>
    <m/>
    <s v="Positive"/>
    <s v="Positive"/>
    <s v="Accurate Prediction"/>
  </r>
  <r>
    <x v="1"/>
    <x v="62"/>
    <x v="21"/>
    <x v="18"/>
    <x v="0"/>
    <x v="213"/>
    <x v="269"/>
    <x v="29"/>
    <n v="0"/>
    <s v="Not Sampled"/>
    <n v="951"/>
    <m/>
    <m/>
    <m/>
    <m/>
    <m/>
    <m/>
    <m/>
    <m/>
    <s v="Negative"/>
    <s v="Not Sampled"/>
    <s v="Not Sampled"/>
  </r>
  <r>
    <x v="3"/>
    <x v="69"/>
    <x v="22"/>
    <x v="29"/>
    <x v="51"/>
    <x v="157"/>
    <x v="296"/>
    <x v="6"/>
    <n v="0"/>
    <n v="0"/>
    <n v="952"/>
    <m/>
    <m/>
    <m/>
    <m/>
    <m/>
    <m/>
    <m/>
    <m/>
    <s v="Negative"/>
    <s v="Negative"/>
    <s v="Accurate Prediction"/>
  </r>
  <r>
    <x v="1"/>
    <x v="1"/>
    <x v="1"/>
    <x v="1"/>
    <x v="1"/>
    <x v="1"/>
    <x v="1"/>
    <x v="1"/>
    <n v="0"/>
    <s v="Not Sampled"/>
    <n v="953"/>
    <m/>
    <m/>
    <m/>
    <m/>
    <m/>
    <m/>
    <m/>
    <m/>
    <s v="Negative"/>
    <s v="Not Sampled"/>
    <s v="Not Sampled"/>
  </r>
  <r>
    <x v="1"/>
    <x v="2"/>
    <x v="2"/>
    <x v="2"/>
    <x v="0"/>
    <x v="2"/>
    <x v="2"/>
    <x v="2"/>
    <n v="1"/>
    <s v="Not Sampled"/>
    <n v="954"/>
    <m/>
    <m/>
    <m/>
    <m/>
    <m/>
    <m/>
    <m/>
    <m/>
    <s v="Positive"/>
    <s v="Not Sampled"/>
    <s v="Not Sampled"/>
  </r>
  <r>
    <x v="1"/>
    <x v="3"/>
    <x v="3"/>
    <x v="3"/>
    <x v="2"/>
    <x v="3"/>
    <x v="3"/>
    <x v="3"/>
    <n v="1"/>
    <s v="Not Sampled"/>
    <n v="955"/>
    <m/>
    <m/>
    <m/>
    <m/>
    <m/>
    <m/>
    <m/>
    <m/>
    <s v="Positive"/>
    <s v="Not Sampled"/>
    <s v="Not Sampled"/>
  </r>
  <r>
    <x v="2"/>
    <x v="4"/>
    <x v="0"/>
    <x v="4"/>
    <x v="3"/>
    <x v="4"/>
    <x v="4"/>
    <x v="4"/>
    <n v="0"/>
    <s v="Not Sampled"/>
    <n v="956"/>
    <m/>
    <m/>
    <m/>
    <m/>
    <m/>
    <m/>
    <m/>
    <m/>
    <s v="Negative"/>
    <s v="Not Sampled"/>
    <s v="Not Sampled"/>
  </r>
  <r>
    <x v="1"/>
    <x v="5"/>
    <x v="4"/>
    <x v="5"/>
    <x v="4"/>
    <x v="5"/>
    <x v="5"/>
    <x v="5"/>
    <n v="0"/>
    <n v="1"/>
    <n v="957"/>
    <m/>
    <m/>
    <m/>
    <m/>
    <m/>
    <m/>
    <m/>
    <m/>
    <s v="Negative"/>
    <s v="Positive"/>
    <s v="Inaccurate Prediction"/>
  </r>
  <r>
    <x v="3"/>
    <x v="6"/>
    <x v="5"/>
    <x v="6"/>
    <x v="0"/>
    <x v="6"/>
    <x v="6"/>
    <x v="6"/>
    <n v="0"/>
    <s v="Not Sampled"/>
    <n v="958"/>
    <m/>
    <m/>
    <m/>
    <m/>
    <m/>
    <m/>
    <m/>
    <m/>
    <s v="Negative"/>
    <s v="Not Sampled"/>
    <s v="Not Sampled"/>
  </r>
  <r>
    <x v="4"/>
    <x v="7"/>
    <x v="6"/>
    <x v="2"/>
    <x v="0"/>
    <x v="7"/>
    <x v="7"/>
    <x v="7"/>
    <n v="0"/>
    <n v="1"/>
    <n v="959"/>
    <m/>
    <m/>
    <m/>
    <m/>
    <m/>
    <m/>
    <m/>
    <m/>
    <s v="Negative"/>
    <s v="Positive"/>
    <s v="Inaccurate Prediction"/>
  </r>
  <r>
    <x v="0"/>
    <x v="8"/>
    <x v="7"/>
    <x v="7"/>
    <x v="5"/>
    <x v="8"/>
    <x v="8"/>
    <x v="3"/>
    <n v="0"/>
    <s v="Not Sampled"/>
    <n v="960"/>
    <m/>
    <m/>
    <m/>
    <m/>
    <m/>
    <m/>
    <m/>
    <m/>
    <s v="Negative"/>
    <s v="Not Sampled"/>
    <s v="Not Sampled"/>
  </r>
  <r>
    <x v="0"/>
    <x v="9"/>
    <x v="8"/>
    <x v="8"/>
    <x v="0"/>
    <x v="9"/>
    <x v="9"/>
    <x v="8"/>
    <n v="0"/>
    <s v="Not Sampled"/>
    <n v="961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s v="Not Sampled"/>
    <n v="962"/>
    <m/>
    <m/>
    <m/>
    <m/>
    <m/>
    <m/>
    <m/>
    <m/>
    <s v="Negative"/>
    <s v="Not Sampled"/>
    <s v="Not Sampled"/>
  </r>
  <r>
    <x v="3"/>
    <x v="10"/>
    <x v="9"/>
    <x v="10"/>
    <x v="6"/>
    <x v="11"/>
    <x v="11"/>
    <x v="10"/>
    <n v="1"/>
    <s v="Not Sampled"/>
    <n v="963"/>
    <m/>
    <m/>
    <m/>
    <m/>
    <m/>
    <m/>
    <m/>
    <m/>
    <s v="Positive"/>
    <s v="Not Sampled"/>
    <s v="Not Sampled"/>
  </r>
  <r>
    <x v="5"/>
    <x v="11"/>
    <x v="2"/>
    <x v="2"/>
    <x v="0"/>
    <x v="12"/>
    <x v="12"/>
    <x v="11"/>
    <n v="0"/>
    <s v="Not Sampled"/>
    <n v="964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s v="Not Sampled"/>
    <n v="965"/>
    <m/>
    <m/>
    <m/>
    <m/>
    <m/>
    <m/>
    <m/>
    <m/>
    <s v="Negative"/>
    <s v="Not Sampled"/>
    <s v="Not Sampled"/>
  </r>
  <r>
    <x v="7"/>
    <x v="13"/>
    <x v="3"/>
    <x v="2"/>
    <x v="0"/>
    <x v="14"/>
    <x v="9"/>
    <x v="13"/>
    <n v="0"/>
    <n v="0"/>
    <n v="966"/>
    <m/>
    <m/>
    <m/>
    <m/>
    <m/>
    <m/>
    <m/>
    <m/>
    <s v="Negative"/>
    <s v="Negative"/>
    <s v="Accurate Prediction"/>
  </r>
  <r>
    <x v="0"/>
    <x v="14"/>
    <x v="5"/>
    <x v="11"/>
    <x v="7"/>
    <x v="15"/>
    <x v="14"/>
    <x v="14"/>
    <n v="0"/>
    <s v="Not Sampled"/>
    <n v="967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n v="1"/>
    <n v="968"/>
    <m/>
    <m/>
    <m/>
    <m/>
    <m/>
    <m/>
    <m/>
    <m/>
    <s v="Positive"/>
    <s v="Positive"/>
    <s v="Accurate Prediction"/>
  </r>
  <r>
    <x v="6"/>
    <x v="16"/>
    <x v="10"/>
    <x v="5"/>
    <x v="9"/>
    <x v="17"/>
    <x v="16"/>
    <x v="16"/>
    <n v="0"/>
    <n v="1"/>
    <n v="969"/>
    <m/>
    <m/>
    <m/>
    <m/>
    <m/>
    <m/>
    <m/>
    <m/>
    <s v="Negative"/>
    <s v="Positive"/>
    <s v="Inaccurate Prediction"/>
  </r>
  <r>
    <x v="0"/>
    <x v="17"/>
    <x v="8"/>
    <x v="13"/>
    <x v="10"/>
    <x v="18"/>
    <x v="17"/>
    <x v="4"/>
    <n v="0"/>
    <n v="0"/>
    <n v="970"/>
    <m/>
    <m/>
    <m/>
    <m/>
    <m/>
    <m/>
    <m/>
    <m/>
    <s v="Negative"/>
    <s v="Negative"/>
    <s v="Accurate Prediction"/>
  </r>
  <r>
    <x v="5"/>
    <x v="1"/>
    <x v="5"/>
    <x v="5"/>
    <x v="0"/>
    <x v="19"/>
    <x v="18"/>
    <x v="6"/>
    <n v="0"/>
    <s v="Not Sampled"/>
    <n v="971"/>
    <m/>
    <m/>
    <m/>
    <m/>
    <m/>
    <m/>
    <m/>
    <m/>
    <s v="Negative"/>
    <s v="Not Sampled"/>
    <s v="Not Sampled"/>
  </r>
  <r>
    <x v="6"/>
    <x v="18"/>
    <x v="3"/>
    <x v="4"/>
    <x v="0"/>
    <x v="20"/>
    <x v="19"/>
    <x v="17"/>
    <n v="1"/>
    <n v="0"/>
    <n v="972"/>
    <m/>
    <m/>
    <m/>
    <m/>
    <m/>
    <m/>
    <m/>
    <m/>
    <s v="Positive"/>
    <s v="Negative"/>
    <s v="Inaccurate Prediction"/>
  </r>
  <r>
    <x v="8"/>
    <x v="19"/>
    <x v="11"/>
    <x v="14"/>
    <x v="11"/>
    <x v="21"/>
    <x v="20"/>
    <x v="17"/>
    <n v="0"/>
    <s v="Not Sampled"/>
    <n v="973"/>
    <m/>
    <m/>
    <m/>
    <m/>
    <m/>
    <m/>
    <m/>
    <m/>
    <s v="Negative"/>
    <s v="Not Sampled"/>
    <s v="Not Sampled"/>
  </r>
  <r>
    <x v="5"/>
    <x v="20"/>
    <x v="4"/>
    <x v="15"/>
    <x v="0"/>
    <x v="22"/>
    <x v="21"/>
    <x v="18"/>
    <n v="0"/>
    <s v="Not Sampled"/>
    <n v="974"/>
    <m/>
    <m/>
    <m/>
    <m/>
    <m/>
    <m/>
    <m/>
    <m/>
    <s v="Negative"/>
    <s v="Not Sampled"/>
    <s v="Not Sampled"/>
  </r>
  <r>
    <x v="9"/>
    <x v="21"/>
    <x v="1"/>
    <x v="2"/>
    <x v="0"/>
    <x v="21"/>
    <x v="22"/>
    <x v="19"/>
    <n v="0"/>
    <s v="Not Sampled"/>
    <n v="975"/>
    <m/>
    <m/>
    <m/>
    <m/>
    <m/>
    <m/>
    <m/>
    <m/>
    <s v="Negative"/>
    <s v="Not Sampled"/>
    <s v="Not Sampled"/>
  </r>
  <r>
    <x v="1"/>
    <x v="22"/>
    <x v="8"/>
    <x v="16"/>
    <x v="12"/>
    <x v="23"/>
    <x v="23"/>
    <x v="20"/>
    <n v="1"/>
    <n v="1"/>
    <n v="976"/>
    <m/>
    <m/>
    <m/>
    <m/>
    <m/>
    <m/>
    <m/>
    <m/>
    <s v="Positive"/>
    <s v="Positive"/>
    <s v="Accurate Prediction"/>
  </r>
  <r>
    <x v="2"/>
    <x v="23"/>
    <x v="12"/>
    <x v="17"/>
    <x v="13"/>
    <x v="24"/>
    <x v="24"/>
    <x v="4"/>
    <n v="0"/>
    <s v="Not Sampled"/>
    <n v="977"/>
    <m/>
    <m/>
    <m/>
    <m/>
    <m/>
    <m/>
    <m/>
    <m/>
    <s v="Negative"/>
    <s v="Not Sampled"/>
    <s v="Not Sampled"/>
  </r>
  <r>
    <x v="0"/>
    <x v="1"/>
    <x v="13"/>
    <x v="17"/>
    <x v="7"/>
    <x v="25"/>
    <x v="25"/>
    <x v="4"/>
    <n v="0"/>
    <s v="Not Sampled"/>
    <n v="978"/>
    <m/>
    <m/>
    <m/>
    <m/>
    <m/>
    <m/>
    <m/>
    <m/>
    <s v="Negative"/>
    <s v="Not Sampled"/>
    <s v="Not Sampled"/>
  </r>
  <r>
    <x v="4"/>
    <x v="24"/>
    <x v="4"/>
    <x v="2"/>
    <x v="0"/>
    <x v="26"/>
    <x v="26"/>
    <x v="21"/>
    <n v="0"/>
    <s v="Not Sampled"/>
    <n v="979"/>
    <m/>
    <m/>
    <m/>
    <m/>
    <m/>
    <m/>
    <m/>
    <m/>
    <s v="Negative"/>
    <s v="Not Sampled"/>
    <s v="Not Sampled"/>
  </r>
  <r>
    <x v="10"/>
    <x v="1"/>
    <x v="5"/>
    <x v="1"/>
    <x v="0"/>
    <x v="27"/>
    <x v="27"/>
    <x v="22"/>
    <n v="1"/>
    <s v="Not Sampled"/>
    <n v="980"/>
    <m/>
    <m/>
    <m/>
    <m/>
    <m/>
    <m/>
    <m/>
    <m/>
    <s v="Positive"/>
    <s v="Not Sampled"/>
    <s v="Not Sampled"/>
  </r>
  <r>
    <x v="1"/>
    <x v="4"/>
    <x v="0"/>
    <x v="6"/>
    <x v="14"/>
    <x v="28"/>
    <x v="28"/>
    <x v="4"/>
    <n v="0"/>
    <s v="Not Sampled"/>
    <n v="981"/>
    <m/>
    <m/>
    <m/>
    <m/>
    <m/>
    <m/>
    <m/>
    <m/>
    <s v="Negative"/>
    <s v="Not Sampled"/>
    <s v="Not Sampled"/>
  </r>
  <r>
    <x v="11"/>
    <x v="25"/>
    <x v="3"/>
    <x v="2"/>
    <x v="0"/>
    <x v="29"/>
    <x v="29"/>
    <x v="5"/>
    <n v="0"/>
    <n v="0"/>
    <n v="982"/>
    <m/>
    <m/>
    <m/>
    <m/>
    <m/>
    <m/>
    <m/>
    <m/>
    <s v="Negative"/>
    <s v="Negative"/>
    <s v="Accurate Prediction"/>
  </r>
  <r>
    <x v="0"/>
    <x v="25"/>
    <x v="0"/>
    <x v="2"/>
    <x v="0"/>
    <x v="30"/>
    <x v="30"/>
    <x v="11"/>
    <n v="0"/>
    <n v="0"/>
    <n v="983"/>
    <m/>
    <m/>
    <m/>
    <m/>
    <m/>
    <m/>
    <m/>
    <m/>
    <s v="Negative"/>
    <s v="Negative"/>
    <s v="Accurate Prediction"/>
  </r>
  <r>
    <x v="5"/>
    <x v="6"/>
    <x v="14"/>
    <x v="13"/>
    <x v="15"/>
    <x v="6"/>
    <x v="31"/>
    <x v="3"/>
    <n v="0"/>
    <n v="0"/>
    <n v="984"/>
    <m/>
    <m/>
    <m/>
    <m/>
    <m/>
    <m/>
    <m/>
    <m/>
    <s v="Negative"/>
    <s v="Negative"/>
    <s v="Accurate Prediction"/>
  </r>
  <r>
    <x v="5"/>
    <x v="26"/>
    <x v="9"/>
    <x v="10"/>
    <x v="16"/>
    <x v="31"/>
    <x v="32"/>
    <x v="6"/>
    <n v="1"/>
    <s v="Not Sampled"/>
    <n v="985"/>
    <m/>
    <m/>
    <m/>
    <m/>
    <m/>
    <m/>
    <m/>
    <m/>
    <s v="Positive"/>
    <s v="Not Sampled"/>
    <s v="Not Sampled"/>
  </r>
  <r>
    <x v="11"/>
    <x v="2"/>
    <x v="21"/>
    <x v="24"/>
    <x v="134"/>
    <x v="214"/>
    <x v="375"/>
    <x v="49"/>
    <n v="1"/>
    <n v="1"/>
    <n v="986"/>
    <m/>
    <m/>
    <m/>
    <m/>
    <m/>
    <m/>
    <m/>
    <m/>
    <s v="Positive"/>
    <s v="Positive"/>
    <s v="Accurate Prediction"/>
  </r>
  <r>
    <x v="0"/>
    <x v="27"/>
    <x v="12"/>
    <x v="10"/>
    <x v="148"/>
    <x v="187"/>
    <x v="378"/>
    <x v="11"/>
    <n v="0"/>
    <n v="0"/>
    <n v="987"/>
    <m/>
    <m/>
    <m/>
    <m/>
    <m/>
    <m/>
    <m/>
    <m/>
    <s v="Negative"/>
    <s v="Negative"/>
    <s v="Accurate Prediction"/>
  </r>
  <r>
    <x v="1"/>
    <x v="61"/>
    <x v="15"/>
    <x v="2"/>
    <x v="0"/>
    <x v="200"/>
    <x v="211"/>
    <x v="3"/>
    <n v="0"/>
    <s v="Not Sampled"/>
    <n v="988"/>
    <m/>
    <m/>
    <m/>
    <m/>
    <m/>
    <m/>
    <m/>
    <m/>
    <s v="Negative"/>
    <s v="Not Sampled"/>
    <s v="Not Sampled"/>
  </r>
  <r>
    <x v="2"/>
    <x v="103"/>
    <x v="19"/>
    <x v="43"/>
    <x v="149"/>
    <x v="211"/>
    <x v="379"/>
    <x v="29"/>
    <n v="0"/>
    <s v="Not Sampled"/>
    <n v="989"/>
    <m/>
    <m/>
    <m/>
    <m/>
    <m/>
    <m/>
    <m/>
    <m/>
    <s v="Negative"/>
    <s v="Not Sampled"/>
    <s v="Not Sampled"/>
  </r>
  <r>
    <x v="6"/>
    <x v="25"/>
    <x v="2"/>
    <x v="2"/>
    <x v="0"/>
    <x v="187"/>
    <x v="380"/>
    <x v="2"/>
    <n v="0"/>
    <s v="Not Sampled"/>
    <n v="990"/>
    <m/>
    <m/>
    <m/>
    <m/>
    <m/>
    <m/>
    <m/>
    <m/>
    <s v="Negative"/>
    <s v="Not Sampled"/>
    <s v="Not Sampled"/>
  </r>
  <r>
    <x v="2"/>
    <x v="108"/>
    <x v="20"/>
    <x v="8"/>
    <x v="79"/>
    <x v="21"/>
    <x v="381"/>
    <x v="3"/>
    <n v="0"/>
    <n v="0"/>
    <n v="991"/>
    <m/>
    <m/>
    <m/>
    <m/>
    <m/>
    <m/>
    <m/>
    <m/>
    <s v="Negative"/>
    <s v="Negative"/>
    <s v="Accurate Prediction"/>
  </r>
  <r>
    <x v="3"/>
    <x v="77"/>
    <x v="2"/>
    <x v="2"/>
    <x v="0"/>
    <x v="35"/>
    <x v="291"/>
    <x v="1"/>
    <n v="1"/>
    <s v="Not Sampled"/>
    <n v="992"/>
    <m/>
    <m/>
    <m/>
    <m/>
    <m/>
    <m/>
    <m/>
    <m/>
    <s v="Positive"/>
    <s v="Not Sampled"/>
    <s v="Not Sampled"/>
  </r>
  <r>
    <x v="1"/>
    <x v="38"/>
    <x v="8"/>
    <x v="2"/>
    <x v="0"/>
    <x v="107"/>
    <x v="269"/>
    <x v="22"/>
    <n v="0"/>
    <n v="0"/>
    <n v="993"/>
    <m/>
    <m/>
    <m/>
    <m/>
    <m/>
    <m/>
    <m/>
    <m/>
    <s v="Negative"/>
    <s v="Negative"/>
    <s v="Accurate Prediction"/>
  </r>
  <r>
    <x v="1"/>
    <x v="82"/>
    <x v="12"/>
    <x v="2"/>
    <x v="0"/>
    <x v="216"/>
    <x v="382"/>
    <x v="7"/>
    <n v="0"/>
    <n v="0"/>
    <n v="994"/>
    <m/>
    <m/>
    <m/>
    <m/>
    <m/>
    <m/>
    <m/>
    <m/>
    <s v="Negative"/>
    <s v="Negative"/>
    <s v="Accurate Prediction"/>
  </r>
  <r>
    <x v="1"/>
    <x v="117"/>
    <x v="6"/>
    <x v="18"/>
    <x v="14"/>
    <x v="153"/>
    <x v="383"/>
    <x v="1"/>
    <n v="0"/>
    <s v="Not Sampled"/>
    <n v="995"/>
    <m/>
    <m/>
    <m/>
    <m/>
    <m/>
    <m/>
    <m/>
    <m/>
    <s v="Negative"/>
    <s v="Not Sampled"/>
    <s v="Not Sampled"/>
  </r>
  <r>
    <x v="5"/>
    <x v="52"/>
    <x v="17"/>
    <x v="48"/>
    <x v="59"/>
    <x v="217"/>
    <x v="25"/>
    <x v="32"/>
    <n v="1"/>
    <s v="Not Sampled"/>
    <n v="996"/>
    <m/>
    <m/>
    <m/>
    <m/>
    <m/>
    <m/>
    <m/>
    <m/>
    <s v="Positive"/>
    <s v="Not Sampled"/>
    <s v="Not Sampled"/>
  </r>
  <r>
    <x v="4"/>
    <x v="45"/>
    <x v="10"/>
    <x v="32"/>
    <x v="100"/>
    <x v="121"/>
    <x v="384"/>
    <x v="33"/>
    <n v="1"/>
    <s v="Not Sampled"/>
    <n v="997"/>
    <m/>
    <m/>
    <m/>
    <m/>
    <m/>
    <m/>
    <m/>
    <m/>
    <s v="Positive"/>
    <s v="Not Sampled"/>
    <s v="Not Sampled"/>
  </r>
  <r>
    <x v="5"/>
    <x v="80"/>
    <x v="5"/>
    <x v="14"/>
    <x v="72"/>
    <x v="68"/>
    <x v="385"/>
    <x v="23"/>
    <n v="1"/>
    <s v="Not Sampled"/>
    <n v="998"/>
    <m/>
    <m/>
    <m/>
    <m/>
    <m/>
    <m/>
    <m/>
    <m/>
    <s v="Positive"/>
    <s v="Not Sampled"/>
    <s v="Not Sampled"/>
  </r>
  <r>
    <x v="9"/>
    <x v="30"/>
    <x v="23"/>
    <x v="5"/>
    <x v="0"/>
    <x v="115"/>
    <x v="386"/>
    <x v="24"/>
    <n v="1"/>
    <s v="Not Sampled"/>
    <n v="999"/>
    <m/>
    <m/>
    <m/>
    <m/>
    <m/>
    <m/>
    <m/>
    <m/>
    <s v="Positive"/>
    <s v="Not Sampled"/>
    <s v="Not Sampled"/>
  </r>
  <r>
    <x v="3"/>
    <x v="1"/>
    <x v="8"/>
    <x v="17"/>
    <x v="79"/>
    <x v="100"/>
    <x v="128"/>
    <x v="14"/>
    <n v="0"/>
    <n v="0"/>
    <n v="1000"/>
    <m/>
    <m/>
    <m/>
    <m/>
    <m/>
    <m/>
    <m/>
    <m/>
    <s v="Negative"/>
    <s v="Negative"/>
    <s v="Accurate Prediction"/>
  </r>
  <r>
    <x v="2"/>
    <x v="40"/>
    <x v="4"/>
    <x v="30"/>
    <x v="7"/>
    <x v="61"/>
    <x v="3"/>
    <x v="29"/>
    <n v="0"/>
    <s v="Not Sampled"/>
    <n v="1001"/>
    <m/>
    <m/>
    <m/>
    <m/>
    <m/>
    <m/>
    <m/>
    <m/>
    <s v="Negative"/>
    <s v="Not Sampled"/>
    <s v="Not Sampled"/>
  </r>
  <r>
    <x v="4"/>
    <x v="124"/>
    <x v="8"/>
    <x v="0"/>
    <x v="50"/>
    <x v="93"/>
    <x v="387"/>
    <x v="26"/>
    <n v="1"/>
    <s v="Not Sampled"/>
    <n v="1002"/>
    <m/>
    <m/>
    <m/>
    <m/>
    <m/>
    <m/>
    <m/>
    <m/>
    <s v="Positive"/>
    <s v="Not Sampled"/>
    <s v="Not Sampled"/>
  </r>
  <r>
    <x v="7"/>
    <x v="44"/>
    <x v="15"/>
    <x v="21"/>
    <x v="18"/>
    <x v="146"/>
    <x v="388"/>
    <x v="49"/>
    <n v="1"/>
    <s v="Not Sampled"/>
    <n v="1003"/>
    <m/>
    <m/>
    <m/>
    <m/>
    <m/>
    <m/>
    <m/>
    <m/>
    <s v="Positive"/>
    <s v="Not Sampled"/>
    <s v="Not Sampled"/>
  </r>
  <r>
    <x v="3"/>
    <x v="55"/>
    <x v="3"/>
    <x v="23"/>
    <x v="150"/>
    <x v="119"/>
    <x v="389"/>
    <x v="6"/>
    <n v="0"/>
    <n v="0"/>
    <n v="1004"/>
    <m/>
    <m/>
    <m/>
    <m/>
    <m/>
    <m/>
    <m/>
    <m/>
    <s v="Negative"/>
    <s v="Negative"/>
    <s v="Accurate Prediction"/>
  </r>
  <r>
    <x v="2"/>
    <x v="101"/>
    <x v="1"/>
    <x v="44"/>
    <x v="91"/>
    <x v="10"/>
    <x v="390"/>
    <x v="48"/>
    <n v="0"/>
    <s v="Not Sampled"/>
    <n v="1005"/>
    <m/>
    <m/>
    <m/>
    <m/>
    <m/>
    <m/>
    <m/>
    <m/>
    <s v="Negative"/>
    <s v="Not Sampled"/>
    <s v="Not Sampled"/>
  </r>
  <r>
    <x v="3"/>
    <x v="115"/>
    <x v="18"/>
    <x v="1"/>
    <x v="0"/>
    <x v="218"/>
    <x v="391"/>
    <x v="26"/>
    <n v="0"/>
    <n v="1"/>
    <n v="1006"/>
    <m/>
    <m/>
    <m/>
    <m/>
    <m/>
    <m/>
    <m/>
    <m/>
    <s v="Negative"/>
    <s v="Positive"/>
    <s v="Inaccurate Prediction"/>
  </r>
  <r>
    <x v="2"/>
    <x v="113"/>
    <x v="9"/>
    <x v="7"/>
    <x v="0"/>
    <x v="41"/>
    <x v="147"/>
    <x v="4"/>
    <n v="0"/>
    <s v="Not Sampled"/>
    <n v="1007"/>
    <m/>
    <m/>
    <m/>
    <m/>
    <m/>
    <m/>
    <m/>
    <m/>
    <s v="Negative"/>
    <s v="Not Sampled"/>
    <s v="Not Sampled"/>
  </r>
  <r>
    <x v="5"/>
    <x v="1"/>
    <x v="3"/>
    <x v="8"/>
    <x v="148"/>
    <x v="108"/>
    <x v="392"/>
    <x v="14"/>
    <n v="0"/>
    <n v="0"/>
    <n v="1008"/>
    <m/>
    <m/>
    <m/>
    <m/>
    <m/>
    <m/>
    <m/>
    <m/>
    <s v="Negative"/>
    <s v="Negative"/>
    <s v="Accurate Prediction"/>
  </r>
  <r>
    <x v="6"/>
    <x v="48"/>
    <x v="21"/>
    <x v="2"/>
    <x v="0"/>
    <x v="157"/>
    <x v="102"/>
    <x v="12"/>
    <n v="0"/>
    <n v="0"/>
    <n v="1009"/>
    <m/>
    <m/>
    <m/>
    <m/>
    <m/>
    <m/>
    <m/>
    <m/>
    <s v="Negative"/>
    <s v="Negative"/>
    <s v="Accurate Prediction"/>
  </r>
  <r>
    <x v="2"/>
    <x v="40"/>
    <x v="0"/>
    <x v="20"/>
    <x v="71"/>
    <x v="106"/>
    <x v="239"/>
    <x v="1"/>
    <n v="0"/>
    <s v="Not Sampled"/>
    <n v="1010"/>
    <m/>
    <m/>
    <m/>
    <m/>
    <m/>
    <m/>
    <m/>
    <m/>
    <s v="Negative"/>
    <s v="Not Sampled"/>
    <s v="Not Sampled"/>
  </r>
  <r>
    <x v="2"/>
    <x v="1"/>
    <x v="11"/>
    <x v="17"/>
    <x v="133"/>
    <x v="99"/>
    <x v="154"/>
    <x v="6"/>
    <n v="0"/>
    <s v="Not Sampled"/>
    <n v="1011"/>
    <m/>
    <m/>
    <m/>
    <m/>
    <m/>
    <m/>
    <m/>
    <m/>
    <s v="Negative"/>
    <s v="Not Sampled"/>
    <s v="Not Sampled"/>
  </r>
  <r>
    <x v="8"/>
    <x v="73"/>
    <x v="9"/>
    <x v="12"/>
    <x v="100"/>
    <x v="171"/>
    <x v="321"/>
    <x v="26"/>
    <n v="0"/>
    <s v="Not Sampled"/>
    <n v="1012"/>
    <m/>
    <m/>
    <m/>
    <m/>
    <m/>
    <m/>
    <m/>
    <m/>
    <s v="Negative"/>
    <s v="Not Sampled"/>
    <s v="Not Sampled"/>
  </r>
  <r>
    <x v="2"/>
    <x v="75"/>
    <x v="9"/>
    <x v="32"/>
    <x v="0"/>
    <x v="176"/>
    <x v="135"/>
    <x v="13"/>
    <n v="0"/>
    <s v="Not Sampled"/>
    <n v="1013"/>
    <m/>
    <m/>
    <m/>
    <m/>
    <m/>
    <m/>
    <m/>
    <m/>
    <s v="Negative"/>
    <s v="Not Sampled"/>
    <s v="Not Sampled"/>
  </r>
  <r>
    <x v="4"/>
    <x v="13"/>
    <x v="15"/>
    <x v="2"/>
    <x v="0"/>
    <x v="157"/>
    <x v="78"/>
    <x v="5"/>
    <n v="0"/>
    <s v="Not Sampled"/>
    <n v="1014"/>
    <m/>
    <m/>
    <m/>
    <m/>
    <m/>
    <m/>
    <m/>
    <m/>
    <s v="Negative"/>
    <s v="Not Sampled"/>
    <s v="Not Sampled"/>
  </r>
  <r>
    <x v="12"/>
    <x v="28"/>
    <x v="3"/>
    <x v="32"/>
    <x v="0"/>
    <x v="144"/>
    <x v="370"/>
    <x v="8"/>
    <n v="0"/>
    <n v="1"/>
    <n v="1015"/>
    <m/>
    <m/>
    <m/>
    <m/>
    <m/>
    <m/>
    <m/>
    <m/>
    <s v="Negative"/>
    <s v="Positive"/>
    <s v="Inaccurate Prediction"/>
  </r>
  <r>
    <x v="12"/>
    <x v="69"/>
    <x v="10"/>
    <x v="2"/>
    <x v="0"/>
    <x v="15"/>
    <x v="393"/>
    <x v="20"/>
    <n v="0"/>
    <s v="Not Sampled"/>
    <n v="1016"/>
    <m/>
    <m/>
    <m/>
    <m/>
    <m/>
    <m/>
    <m/>
    <m/>
    <s v="Negative"/>
    <s v="Not Sampled"/>
    <s v="Not Sampled"/>
  </r>
  <r>
    <x v="6"/>
    <x v="10"/>
    <x v="15"/>
    <x v="2"/>
    <x v="0"/>
    <x v="97"/>
    <x v="394"/>
    <x v="28"/>
    <n v="1"/>
    <n v="0"/>
    <n v="1017"/>
    <m/>
    <m/>
    <m/>
    <m/>
    <m/>
    <m/>
    <m/>
    <m/>
    <s v="Positive"/>
    <s v="Negative"/>
    <s v="Inaccurate Prediction"/>
  </r>
  <r>
    <x v="1"/>
    <x v="125"/>
    <x v="19"/>
    <x v="5"/>
    <x v="151"/>
    <x v="211"/>
    <x v="395"/>
    <x v="6"/>
    <n v="1"/>
    <s v="Not Sampled"/>
    <n v="1018"/>
    <m/>
    <m/>
    <m/>
    <m/>
    <m/>
    <m/>
    <m/>
    <m/>
    <s v="Positive"/>
    <s v="Not Sampled"/>
    <s v="Not Sampled"/>
  </r>
  <r>
    <x v="2"/>
    <x v="90"/>
    <x v="3"/>
    <x v="24"/>
    <x v="152"/>
    <x v="209"/>
    <x v="396"/>
    <x v="3"/>
    <n v="0"/>
    <s v="Not Sampled"/>
    <n v="1019"/>
    <m/>
    <m/>
    <m/>
    <m/>
    <m/>
    <m/>
    <m/>
    <m/>
    <s v="Negative"/>
    <s v="Not Sampled"/>
    <s v="Not Sampled"/>
  </r>
  <r>
    <x v="6"/>
    <x v="6"/>
    <x v="12"/>
    <x v="13"/>
    <x v="120"/>
    <x v="219"/>
    <x v="343"/>
    <x v="32"/>
    <n v="0"/>
    <s v="Not Sampled"/>
    <n v="1020"/>
    <m/>
    <m/>
    <m/>
    <m/>
    <m/>
    <m/>
    <m/>
    <m/>
    <s v="Negative"/>
    <s v="Not Sampled"/>
    <s v="Not Sampled"/>
  </r>
  <r>
    <x v="1"/>
    <x v="25"/>
    <x v="6"/>
    <x v="2"/>
    <x v="0"/>
    <x v="68"/>
    <x v="397"/>
    <x v="23"/>
    <n v="0"/>
    <s v="Not Sampled"/>
    <n v="1021"/>
    <m/>
    <m/>
    <m/>
    <m/>
    <m/>
    <m/>
    <m/>
    <m/>
    <s v="Negative"/>
    <s v="Not Sampled"/>
    <s v="Not Sampled"/>
  </r>
  <r>
    <x v="0"/>
    <x v="50"/>
    <x v="14"/>
    <x v="36"/>
    <x v="84"/>
    <x v="7"/>
    <x v="398"/>
    <x v="11"/>
    <n v="0"/>
    <s v="Not Sampled"/>
    <n v="1022"/>
    <m/>
    <m/>
    <m/>
    <m/>
    <m/>
    <m/>
    <m/>
    <m/>
    <s v="Negative"/>
    <s v="Not Sampled"/>
    <s v="Not Sampled"/>
  </r>
  <r>
    <x v="2"/>
    <x v="6"/>
    <x v="5"/>
    <x v="8"/>
    <x v="41"/>
    <x v="220"/>
    <x v="255"/>
    <x v="4"/>
    <n v="0"/>
    <s v="Not Sampled"/>
    <n v="1023"/>
    <m/>
    <m/>
    <m/>
    <m/>
    <m/>
    <m/>
    <m/>
    <m/>
    <s v="Negative"/>
    <s v="Not Sampled"/>
    <s v="Not Sampled"/>
  </r>
  <r>
    <x v="6"/>
    <x v="66"/>
    <x v="0"/>
    <x v="5"/>
    <x v="153"/>
    <x v="61"/>
    <x v="136"/>
    <x v="22"/>
    <n v="0"/>
    <s v="Not Sampled"/>
    <n v="1024"/>
    <m/>
    <m/>
    <m/>
    <m/>
    <m/>
    <m/>
    <m/>
    <m/>
    <s v="Negative"/>
    <s v="Not Sampled"/>
    <s v="Not Sampled"/>
  </r>
  <r>
    <x v="3"/>
    <x v="16"/>
    <x v="5"/>
    <x v="30"/>
    <x v="153"/>
    <x v="221"/>
    <x v="399"/>
    <x v="26"/>
    <n v="0"/>
    <s v="Not Sampled"/>
    <n v="1025"/>
    <m/>
    <m/>
    <m/>
    <m/>
    <m/>
    <m/>
    <m/>
    <m/>
    <s v="Negative"/>
    <s v="Not Sampled"/>
    <s v="Not Sampled"/>
  </r>
  <r>
    <x v="1"/>
    <x v="126"/>
    <x v="19"/>
    <x v="8"/>
    <x v="134"/>
    <x v="82"/>
    <x v="62"/>
    <x v="9"/>
    <n v="1"/>
    <s v="Not Sampled"/>
    <n v="1026"/>
    <m/>
    <m/>
    <m/>
    <m/>
    <m/>
    <m/>
    <m/>
    <m/>
    <s v="Positive"/>
    <s v="Not Sampled"/>
    <s v="Not Sampled"/>
  </r>
  <r>
    <x v="5"/>
    <x v="74"/>
    <x v="9"/>
    <x v="2"/>
    <x v="0"/>
    <x v="56"/>
    <x v="58"/>
    <x v="16"/>
    <n v="0"/>
    <n v="0"/>
    <n v="1027"/>
    <m/>
    <m/>
    <m/>
    <m/>
    <m/>
    <m/>
    <m/>
    <m/>
    <s v="Negative"/>
    <s v="Negative"/>
    <s v="Accurate Prediction"/>
  </r>
  <r>
    <x v="0"/>
    <x v="23"/>
    <x v="30"/>
    <x v="2"/>
    <x v="0"/>
    <x v="118"/>
    <x v="32"/>
    <x v="4"/>
    <n v="0"/>
    <n v="0"/>
    <n v="1028"/>
    <m/>
    <m/>
    <m/>
    <m/>
    <m/>
    <m/>
    <m/>
    <m/>
    <s v="Negative"/>
    <s v="Negative"/>
    <s v="Accurate Prediction"/>
  </r>
  <r>
    <x v="5"/>
    <x v="31"/>
    <x v="22"/>
    <x v="1"/>
    <x v="71"/>
    <x v="81"/>
    <x v="400"/>
    <x v="11"/>
    <n v="0"/>
    <s v="Not Sampled"/>
    <n v="1029"/>
    <m/>
    <m/>
    <m/>
    <m/>
    <m/>
    <m/>
    <m/>
    <m/>
    <s v="Negative"/>
    <s v="Not Sampled"/>
    <s v="Not Sampled"/>
  </r>
  <r>
    <x v="0"/>
    <x v="116"/>
    <x v="12"/>
    <x v="6"/>
    <x v="77"/>
    <x v="48"/>
    <x v="203"/>
    <x v="11"/>
    <n v="0"/>
    <s v="Not Sampled"/>
    <n v="1030"/>
    <m/>
    <m/>
    <m/>
    <m/>
    <m/>
    <m/>
    <m/>
    <m/>
    <s v="Negative"/>
    <s v="Not Sampled"/>
    <s v="Not Sampled"/>
  </r>
  <r>
    <x v="2"/>
    <x v="92"/>
    <x v="24"/>
    <x v="8"/>
    <x v="154"/>
    <x v="15"/>
    <x v="401"/>
    <x v="1"/>
    <n v="0"/>
    <s v="Not Sampled"/>
    <n v="1031"/>
    <m/>
    <m/>
    <m/>
    <m/>
    <m/>
    <m/>
    <m/>
    <m/>
    <s v="Negative"/>
    <s v="Not Sampled"/>
    <s v="Not Sampled"/>
  </r>
  <r>
    <x v="2"/>
    <x v="93"/>
    <x v="27"/>
    <x v="19"/>
    <x v="55"/>
    <x v="130"/>
    <x v="246"/>
    <x v="14"/>
    <n v="0"/>
    <s v="Not Sampled"/>
    <n v="1032"/>
    <m/>
    <m/>
    <m/>
    <m/>
    <m/>
    <m/>
    <m/>
    <m/>
    <s v="Negative"/>
    <s v="Not Sampled"/>
    <s v="Not Sampled"/>
  </r>
  <r>
    <x v="6"/>
    <x v="81"/>
    <x v="27"/>
    <x v="28"/>
    <x v="66"/>
    <x v="33"/>
    <x v="402"/>
    <x v="20"/>
    <n v="0"/>
    <s v="Not Sampled"/>
    <n v="1033"/>
    <m/>
    <m/>
    <m/>
    <m/>
    <m/>
    <m/>
    <m/>
    <m/>
    <s v="Negative"/>
    <s v="Not Sampled"/>
    <s v="Not Sampled"/>
  </r>
  <r>
    <x v="0"/>
    <x v="78"/>
    <x v="6"/>
    <x v="2"/>
    <x v="0"/>
    <x v="92"/>
    <x v="403"/>
    <x v="4"/>
    <n v="1"/>
    <s v="Not Sampled"/>
    <n v="1034"/>
    <m/>
    <m/>
    <m/>
    <m/>
    <m/>
    <m/>
    <m/>
    <m/>
    <s v="Positive"/>
    <s v="Not Sampled"/>
    <s v="Not Sampled"/>
  </r>
  <r>
    <x v="9"/>
    <x v="32"/>
    <x v="3"/>
    <x v="2"/>
    <x v="0"/>
    <x v="161"/>
    <x v="404"/>
    <x v="31"/>
    <n v="0"/>
    <s v="Not Sampled"/>
    <n v="1035"/>
    <m/>
    <m/>
    <m/>
    <m/>
    <m/>
    <m/>
    <m/>
    <m/>
    <s v="Negative"/>
    <s v="Not Sampled"/>
    <s v="Not Sampled"/>
  </r>
  <r>
    <x v="0"/>
    <x v="100"/>
    <x v="9"/>
    <x v="50"/>
    <x v="0"/>
    <x v="48"/>
    <x v="405"/>
    <x v="38"/>
    <n v="1"/>
    <s v="Not Sampled"/>
    <n v="1036"/>
    <m/>
    <m/>
    <m/>
    <m/>
    <m/>
    <m/>
    <m/>
    <m/>
    <s v="Positive"/>
    <s v="Not Sampled"/>
    <s v="Not Sampled"/>
  </r>
  <r>
    <x v="1"/>
    <x v="68"/>
    <x v="8"/>
    <x v="40"/>
    <x v="0"/>
    <x v="196"/>
    <x v="406"/>
    <x v="4"/>
    <n v="1"/>
    <s v="Not Sampled"/>
    <n v="1037"/>
    <m/>
    <m/>
    <m/>
    <m/>
    <m/>
    <m/>
    <m/>
    <m/>
    <s v="Positive"/>
    <s v="Not Sampled"/>
    <s v="Not Sampled"/>
  </r>
  <r>
    <x v="6"/>
    <x v="49"/>
    <x v="12"/>
    <x v="21"/>
    <x v="0"/>
    <x v="26"/>
    <x v="407"/>
    <x v="23"/>
    <n v="0"/>
    <n v="0"/>
    <n v="1038"/>
    <m/>
    <m/>
    <m/>
    <m/>
    <m/>
    <m/>
    <m/>
    <m/>
    <s v="Negative"/>
    <s v="Negative"/>
    <s v="Accurate Prediction"/>
  </r>
  <r>
    <x v="10"/>
    <x v="126"/>
    <x v="4"/>
    <x v="6"/>
    <x v="0"/>
    <x v="71"/>
    <x v="247"/>
    <x v="38"/>
    <n v="0"/>
    <s v="Not Sampled"/>
    <n v="1039"/>
    <m/>
    <m/>
    <m/>
    <m/>
    <m/>
    <m/>
    <m/>
    <m/>
    <s v="Negative"/>
    <s v="Not Sampled"/>
    <s v="Not Sampled"/>
  </r>
  <r>
    <x v="4"/>
    <x v="45"/>
    <x v="15"/>
    <x v="2"/>
    <x v="0"/>
    <x v="162"/>
    <x v="163"/>
    <x v="8"/>
    <n v="0"/>
    <s v="Not Sampled"/>
    <n v="1040"/>
    <m/>
    <m/>
    <m/>
    <m/>
    <m/>
    <m/>
    <m/>
    <m/>
    <s v="Negative"/>
    <s v="Not Sampled"/>
    <s v="Not Sampled"/>
  </r>
  <r>
    <x v="4"/>
    <x v="73"/>
    <x v="15"/>
    <x v="20"/>
    <x v="155"/>
    <x v="77"/>
    <x v="140"/>
    <x v="41"/>
    <n v="1"/>
    <n v="0"/>
    <n v="1041"/>
    <m/>
    <m/>
    <m/>
    <m/>
    <m/>
    <m/>
    <m/>
    <m/>
    <s v="Positive"/>
    <s v="Negative"/>
    <s v="Inaccurate Prediction"/>
  </r>
  <r>
    <x v="2"/>
    <x v="67"/>
    <x v="20"/>
    <x v="22"/>
    <x v="0"/>
    <x v="79"/>
    <x v="408"/>
    <x v="11"/>
    <n v="0"/>
    <s v="Not Sampled"/>
    <n v="1042"/>
    <m/>
    <m/>
    <m/>
    <m/>
    <m/>
    <m/>
    <m/>
    <m/>
    <s v="Negative"/>
    <s v="Not Sampled"/>
    <s v="Not Sampled"/>
  </r>
  <r>
    <x v="4"/>
    <x v="92"/>
    <x v="19"/>
    <x v="2"/>
    <x v="0"/>
    <x v="115"/>
    <x v="267"/>
    <x v="17"/>
    <n v="1"/>
    <s v="Not Sampled"/>
    <n v="1043"/>
    <m/>
    <m/>
    <m/>
    <m/>
    <m/>
    <m/>
    <m/>
    <m/>
    <s v="Positive"/>
    <s v="Not Sampled"/>
    <s v="Not Sampled"/>
  </r>
  <r>
    <x v="6"/>
    <x v="28"/>
    <x v="19"/>
    <x v="2"/>
    <x v="0"/>
    <x v="122"/>
    <x v="224"/>
    <x v="29"/>
    <n v="0"/>
    <n v="0"/>
    <n v="1044"/>
    <m/>
    <m/>
    <m/>
    <m/>
    <m/>
    <m/>
    <m/>
    <m/>
    <s v="Negative"/>
    <s v="Negative"/>
    <s v="Accurate Prediction"/>
  </r>
  <r>
    <x v="5"/>
    <x v="41"/>
    <x v="24"/>
    <x v="21"/>
    <x v="64"/>
    <x v="21"/>
    <x v="409"/>
    <x v="41"/>
    <n v="1"/>
    <s v="Not Sampled"/>
    <n v="1045"/>
    <m/>
    <m/>
    <m/>
    <m/>
    <m/>
    <m/>
    <m/>
    <m/>
    <s v="Positive"/>
    <s v="Not Sampled"/>
    <s v="Not Sampled"/>
  </r>
  <r>
    <x v="1"/>
    <x v="43"/>
    <x v="2"/>
    <x v="2"/>
    <x v="0"/>
    <x v="96"/>
    <x v="50"/>
    <x v="14"/>
    <n v="0"/>
    <s v="Not Sampled"/>
    <n v="1046"/>
    <m/>
    <m/>
    <m/>
    <m/>
    <m/>
    <m/>
    <m/>
    <m/>
    <s v="Negative"/>
    <s v="Not Sampled"/>
    <s v="Not Sampled"/>
  </r>
  <r>
    <x v="12"/>
    <x v="31"/>
    <x v="16"/>
    <x v="32"/>
    <x v="0"/>
    <x v="51"/>
    <x v="410"/>
    <x v="10"/>
    <n v="1"/>
    <n v="1"/>
    <n v="1047"/>
    <m/>
    <m/>
    <m/>
    <m/>
    <m/>
    <m/>
    <m/>
    <m/>
    <s v="Positive"/>
    <s v="Positive"/>
    <s v="Accurate Prediction"/>
  </r>
  <r>
    <x v="0"/>
    <x v="56"/>
    <x v="4"/>
    <x v="37"/>
    <x v="32"/>
    <x v="121"/>
    <x v="411"/>
    <x v="3"/>
    <n v="0"/>
    <s v="Not Sampled"/>
    <n v="1048"/>
    <m/>
    <m/>
    <m/>
    <m/>
    <m/>
    <m/>
    <m/>
    <m/>
    <s v="Negative"/>
    <s v="Not Sampled"/>
    <s v="Not Sampled"/>
  </r>
  <r>
    <x v="5"/>
    <x v="77"/>
    <x v="6"/>
    <x v="2"/>
    <x v="0"/>
    <x v="184"/>
    <x v="215"/>
    <x v="30"/>
    <n v="1"/>
    <s v="Not Sampled"/>
    <n v="1049"/>
    <m/>
    <m/>
    <m/>
    <m/>
    <m/>
    <m/>
    <m/>
    <m/>
    <s v="Positive"/>
    <s v="Not Sampled"/>
    <s v="Not Sampled"/>
  </r>
  <r>
    <x v="0"/>
    <x v="118"/>
    <x v="33"/>
    <x v="29"/>
    <x v="133"/>
    <x v="218"/>
    <x v="412"/>
    <x v="14"/>
    <n v="0"/>
    <s v="Not Sampled"/>
    <n v="1050"/>
    <m/>
    <m/>
    <m/>
    <m/>
    <m/>
    <m/>
    <m/>
    <m/>
    <s v="Negative"/>
    <s v="Not Sampled"/>
    <s v="Not Sampled"/>
  </r>
  <r>
    <x v="6"/>
    <x v="62"/>
    <x v="5"/>
    <x v="45"/>
    <x v="156"/>
    <x v="0"/>
    <x v="359"/>
    <x v="34"/>
    <n v="0"/>
    <n v="0"/>
    <n v="1051"/>
    <m/>
    <m/>
    <m/>
    <m/>
    <m/>
    <m/>
    <m/>
    <m/>
    <s v="Negative"/>
    <s v="Negative"/>
    <s v="Accurate Prediction"/>
  </r>
  <r>
    <x v="1"/>
    <x v="86"/>
    <x v="1"/>
    <x v="36"/>
    <x v="157"/>
    <x v="61"/>
    <x v="413"/>
    <x v="11"/>
    <n v="1"/>
    <s v="Not Sampled"/>
    <n v="1052"/>
    <m/>
    <m/>
    <m/>
    <m/>
    <m/>
    <m/>
    <m/>
    <m/>
    <s v="Positive"/>
    <s v="Not Sampled"/>
    <s v="Not Sampled"/>
  </r>
  <r>
    <x v="1"/>
    <x v="127"/>
    <x v="15"/>
    <x v="2"/>
    <x v="0"/>
    <x v="200"/>
    <x v="414"/>
    <x v="22"/>
    <n v="0"/>
    <n v="0"/>
    <n v="1053"/>
    <m/>
    <m/>
    <m/>
    <m/>
    <m/>
    <m/>
    <m/>
    <m/>
    <s v="Negative"/>
    <s v="Negative"/>
    <s v="Accurate Prediction"/>
  </r>
  <r>
    <x v="2"/>
    <x v="9"/>
    <x v="42"/>
    <x v="13"/>
    <x v="158"/>
    <x v="157"/>
    <x v="290"/>
    <x v="4"/>
    <n v="0"/>
    <s v="Not Sampled"/>
    <n v="1054"/>
    <m/>
    <m/>
    <m/>
    <m/>
    <m/>
    <m/>
    <m/>
    <m/>
    <s v="Negative"/>
    <s v="Not Sampled"/>
    <s v="Not Sampled"/>
  </r>
  <r>
    <x v="2"/>
    <x v="5"/>
    <x v="10"/>
    <x v="2"/>
    <x v="0"/>
    <x v="8"/>
    <x v="124"/>
    <x v="19"/>
    <n v="1"/>
    <s v="Not Sampled"/>
    <n v="1055"/>
    <m/>
    <m/>
    <m/>
    <m/>
    <m/>
    <m/>
    <m/>
    <m/>
    <s v="Positive"/>
    <s v="Not Sampled"/>
    <s v="Not Sampled"/>
  </r>
  <r>
    <x v="2"/>
    <x v="49"/>
    <x v="43"/>
    <x v="10"/>
    <x v="77"/>
    <x v="179"/>
    <x v="185"/>
    <x v="25"/>
    <n v="0"/>
    <s v="Not Sampled"/>
    <n v="1056"/>
    <m/>
    <m/>
    <m/>
    <m/>
    <m/>
    <m/>
    <m/>
    <m/>
    <s v="Negative"/>
    <s v="Not Sampled"/>
    <s v="Not Sampled"/>
  </r>
  <r>
    <x v="2"/>
    <x v="81"/>
    <x v="21"/>
    <x v="13"/>
    <x v="0"/>
    <x v="150"/>
    <x v="415"/>
    <x v="3"/>
    <n v="0"/>
    <s v="Not Sampled"/>
    <n v="1057"/>
    <m/>
    <m/>
    <m/>
    <m/>
    <m/>
    <m/>
    <m/>
    <m/>
    <s v="Negative"/>
    <s v="Not Sampled"/>
    <s v="Not Sampled"/>
  </r>
  <r>
    <x v="6"/>
    <x v="20"/>
    <x v="2"/>
    <x v="2"/>
    <x v="0"/>
    <x v="195"/>
    <x v="163"/>
    <x v="6"/>
    <n v="0"/>
    <n v="0"/>
    <n v="1058"/>
    <m/>
    <m/>
    <m/>
    <m/>
    <m/>
    <m/>
    <m/>
    <m/>
    <s v="Negative"/>
    <s v="Negative"/>
    <s v="Accurate Prediction"/>
  </r>
  <r>
    <x v="2"/>
    <x v="73"/>
    <x v="10"/>
    <x v="35"/>
    <x v="0"/>
    <x v="157"/>
    <x v="416"/>
    <x v="13"/>
    <n v="0"/>
    <s v="Not Sampled"/>
    <n v="1059"/>
    <m/>
    <m/>
    <m/>
    <m/>
    <m/>
    <m/>
    <m/>
    <m/>
    <s v="Negative"/>
    <s v="Not Sampled"/>
    <s v="Not Sampled"/>
  </r>
  <r>
    <x v="8"/>
    <x v="42"/>
    <x v="4"/>
    <x v="30"/>
    <x v="153"/>
    <x v="213"/>
    <x v="24"/>
    <x v="28"/>
    <n v="1"/>
    <s v="Not Sampled"/>
    <n v="1060"/>
    <m/>
    <m/>
    <m/>
    <m/>
    <m/>
    <m/>
    <m/>
    <m/>
    <s v="Positive"/>
    <s v="Not Sampled"/>
    <s v="Not Sampled"/>
  </r>
  <r>
    <x v="3"/>
    <x v="128"/>
    <x v="2"/>
    <x v="2"/>
    <x v="0"/>
    <x v="109"/>
    <x v="355"/>
    <x v="31"/>
    <n v="1"/>
    <s v="Not Sampled"/>
    <n v="1061"/>
    <m/>
    <m/>
    <m/>
    <m/>
    <m/>
    <m/>
    <m/>
    <m/>
    <s v="Positive"/>
    <s v="Not Sampled"/>
    <s v="Not Sampled"/>
  </r>
  <r>
    <x v="2"/>
    <x v="73"/>
    <x v="12"/>
    <x v="5"/>
    <x v="0"/>
    <x v="134"/>
    <x v="195"/>
    <x v="4"/>
    <n v="0"/>
    <s v="Not Sampled"/>
    <n v="1062"/>
    <m/>
    <m/>
    <m/>
    <m/>
    <m/>
    <m/>
    <m/>
    <m/>
    <s v="Negative"/>
    <s v="Not Sampled"/>
    <s v="Not Sampled"/>
  </r>
  <r>
    <x v="2"/>
    <x v="94"/>
    <x v="4"/>
    <x v="3"/>
    <x v="122"/>
    <x v="154"/>
    <x v="417"/>
    <x v="11"/>
    <n v="1"/>
    <s v="Not Sampled"/>
    <n v="1063"/>
    <m/>
    <m/>
    <m/>
    <m/>
    <m/>
    <m/>
    <m/>
    <m/>
    <s v="Positive"/>
    <s v="Not Sampled"/>
    <s v="Not Sampled"/>
  </r>
  <r>
    <x v="2"/>
    <x v="66"/>
    <x v="0"/>
    <x v="14"/>
    <x v="159"/>
    <x v="222"/>
    <x v="418"/>
    <x v="14"/>
    <n v="0"/>
    <s v="Not Sampled"/>
    <n v="1064"/>
    <m/>
    <m/>
    <m/>
    <m/>
    <m/>
    <m/>
    <m/>
    <m/>
    <s v="Negative"/>
    <s v="Not Sampled"/>
    <s v="Not Sampled"/>
  </r>
  <r>
    <x v="1"/>
    <x v="87"/>
    <x v="1"/>
    <x v="15"/>
    <x v="160"/>
    <x v="53"/>
    <x v="58"/>
    <x v="23"/>
    <n v="0"/>
    <n v="0"/>
    <n v="1065"/>
    <m/>
    <m/>
    <m/>
    <m/>
    <m/>
    <m/>
    <m/>
    <m/>
    <s v="Negative"/>
    <s v="Negative"/>
    <s v="Accurate Prediction"/>
  </r>
  <r>
    <x v="2"/>
    <x v="31"/>
    <x v="0"/>
    <x v="27"/>
    <x v="98"/>
    <x v="33"/>
    <x v="419"/>
    <x v="1"/>
    <n v="0"/>
    <s v="Not Sampled"/>
    <n v="1066"/>
    <m/>
    <m/>
    <m/>
    <m/>
    <m/>
    <m/>
    <m/>
    <m/>
    <s v="Negative"/>
    <s v="Not Sampled"/>
    <s v="Not Sampled"/>
  </r>
  <r>
    <x v="5"/>
    <x v="33"/>
    <x v="14"/>
    <x v="23"/>
    <x v="125"/>
    <x v="125"/>
    <x v="9"/>
    <x v="3"/>
    <n v="0"/>
    <s v="Not Sampled"/>
    <n v="1067"/>
    <m/>
    <m/>
    <m/>
    <m/>
    <m/>
    <m/>
    <m/>
    <m/>
    <s v="Negative"/>
    <s v="Not Sampled"/>
    <s v="Not Sampled"/>
  </r>
  <r>
    <x v="5"/>
    <x v="129"/>
    <x v="22"/>
    <x v="29"/>
    <x v="85"/>
    <x v="35"/>
    <x v="420"/>
    <x v="31"/>
    <n v="1"/>
    <n v="1"/>
    <n v="1068"/>
    <m/>
    <m/>
    <m/>
    <m/>
    <m/>
    <m/>
    <m/>
    <m/>
    <s v="Positive"/>
    <s v="Positive"/>
    <s v="Accurate Prediction"/>
  </r>
  <r>
    <x v="8"/>
    <x v="120"/>
    <x v="21"/>
    <x v="3"/>
    <x v="161"/>
    <x v="1"/>
    <x v="184"/>
    <x v="18"/>
    <n v="1"/>
    <s v="Not Sampled"/>
    <n v="1069"/>
    <m/>
    <m/>
    <m/>
    <m/>
    <m/>
    <m/>
    <m/>
    <m/>
    <s v="Positive"/>
    <s v="Not Sampled"/>
    <s v="Not Sampled"/>
  </r>
  <r>
    <x v="6"/>
    <x v="38"/>
    <x v="6"/>
    <x v="7"/>
    <x v="0"/>
    <x v="56"/>
    <x v="421"/>
    <x v="25"/>
    <n v="0"/>
    <s v="Not Sampled"/>
    <n v="1070"/>
    <m/>
    <m/>
    <m/>
    <m/>
    <m/>
    <m/>
    <m/>
    <m/>
    <s v="Negative"/>
    <s v="Not Sampled"/>
    <s v="Not Sampled"/>
  </r>
  <r>
    <x v="12"/>
    <x v="0"/>
    <x v="10"/>
    <x v="16"/>
    <x v="162"/>
    <x v="164"/>
    <x v="226"/>
    <x v="48"/>
    <n v="1"/>
    <n v="1"/>
    <n v="1071"/>
    <m/>
    <m/>
    <m/>
    <m/>
    <m/>
    <m/>
    <m/>
    <m/>
    <s v="Positive"/>
    <s v="Positive"/>
    <s v="Accurate Prediction"/>
  </r>
  <r>
    <x v="5"/>
    <x v="33"/>
    <x v="5"/>
    <x v="2"/>
    <x v="0"/>
    <x v="223"/>
    <x v="28"/>
    <x v="23"/>
    <n v="0"/>
    <s v="Not Sampled"/>
    <n v="1072"/>
    <m/>
    <m/>
    <m/>
    <m/>
    <m/>
    <m/>
    <m/>
    <m/>
    <s v="Negative"/>
    <s v="Not Sampled"/>
    <s v="Not Sampled"/>
  </r>
  <r>
    <x v="6"/>
    <x v="17"/>
    <x v="30"/>
    <x v="2"/>
    <x v="0"/>
    <x v="77"/>
    <x v="422"/>
    <x v="13"/>
    <n v="0"/>
    <n v="0"/>
    <n v="1073"/>
    <m/>
    <m/>
    <m/>
    <m/>
    <m/>
    <m/>
    <m/>
    <m/>
    <s v="Negative"/>
    <s v="Negative"/>
    <s v="Accurate Prediction"/>
  </r>
  <r>
    <x v="0"/>
    <x v="123"/>
    <x v="0"/>
    <x v="27"/>
    <x v="163"/>
    <x v="224"/>
    <x v="423"/>
    <x v="1"/>
    <n v="0"/>
    <s v="Not Sampled"/>
    <n v="1074"/>
    <m/>
    <m/>
    <m/>
    <m/>
    <m/>
    <m/>
    <m/>
    <m/>
    <s v="Negative"/>
    <s v="Not Sampled"/>
    <s v="Not Sampled"/>
  </r>
  <r>
    <x v="11"/>
    <x v="56"/>
    <x v="1"/>
    <x v="20"/>
    <x v="0"/>
    <x v="86"/>
    <x v="424"/>
    <x v="48"/>
    <n v="1"/>
    <s v="Not Sampled"/>
    <n v="1075"/>
    <m/>
    <m/>
    <m/>
    <m/>
    <m/>
    <m/>
    <m/>
    <m/>
    <s v="Positive"/>
    <s v="Not Sampled"/>
    <s v="Not Sampled"/>
  </r>
  <r>
    <x v="1"/>
    <x v="93"/>
    <x v="2"/>
    <x v="2"/>
    <x v="0"/>
    <x v="68"/>
    <x v="425"/>
    <x v="3"/>
    <n v="1"/>
    <s v="Not Sampled"/>
    <n v="1076"/>
    <m/>
    <m/>
    <m/>
    <m/>
    <m/>
    <m/>
    <m/>
    <m/>
    <s v="Positive"/>
    <s v="Not Sampled"/>
    <s v="Not Sampled"/>
  </r>
  <r>
    <x v="0"/>
    <x v="56"/>
    <x v="24"/>
    <x v="3"/>
    <x v="69"/>
    <x v="189"/>
    <x v="426"/>
    <x v="6"/>
    <n v="0"/>
    <s v="Not Sampled"/>
    <n v="1077"/>
    <m/>
    <m/>
    <m/>
    <m/>
    <m/>
    <m/>
    <m/>
    <m/>
    <s v="Negative"/>
    <s v="Not Sampled"/>
    <s v="Not Sampled"/>
  </r>
  <r>
    <x v="0"/>
    <x v="66"/>
    <x v="15"/>
    <x v="28"/>
    <x v="0"/>
    <x v="29"/>
    <x v="427"/>
    <x v="6"/>
    <n v="0"/>
    <s v="Not Sampled"/>
    <n v="1078"/>
    <m/>
    <m/>
    <m/>
    <m/>
    <m/>
    <m/>
    <m/>
    <m/>
    <s v="Negative"/>
    <s v="Not Sampled"/>
    <s v="Not Sampled"/>
  </r>
  <r>
    <x v="6"/>
    <x v="128"/>
    <x v="41"/>
    <x v="2"/>
    <x v="0"/>
    <x v="225"/>
    <x v="428"/>
    <x v="10"/>
    <n v="0"/>
    <n v="1"/>
    <n v="1079"/>
    <m/>
    <m/>
    <m/>
    <m/>
    <m/>
    <m/>
    <m/>
    <m/>
    <s v="Negative"/>
    <s v="Positive"/>
    <s v="Inaccurate Prediction"/>
  </r>
  <r>
    <x v="1"/>
    <x v="19"/>
    <x v="9"/>
    <x v="21"/>
    <x v="133"/>
    <x v="111"/>
    <x v="429"/>
    <x v="4"/>
    <n v="0"/>
    <s v="Not Sampled"/>
    <n v="1080"/>
    <m/>
    <m/>
    <m/>
    <m/>
    <m/>
    <m/>
    <m/>
    <m/>
    <s v="Negative"/>
    <s v="Not Sampled"/>
    <s v="Not Sampled"/>
  </r>
  <r>
    <x v="0"/>
    <x v="81"/>
    <x v="11"/>
    <x v="2"/>
    <x v="0"/>
    <x v="98"/>
    <x v="430"/>
    <x v="4"/>
    <n v="0"/>
    <n v="0"/>
    <n v="1081"/>
    <m/>
    <m/>
    <m/>
    <m/>
    <m/>
    <m/>
    <m/>
    <m/>
    <s v="Negative"/>
    <s v="Negative"/>
    <s v="Accurate Prediction"/>
  </r>
  <r>
    <x v="3"/>
    <x v="30"/>
    <x v="21"/>
    <x v="19"/>
    <x v="120"/>
    <x v="50"/>
    <x v="431"/>
    <x v="29"/>
    <n v="0"/>
    <s v="Not Sampled"/>
    <n v="1082"/>
    <m/>
    <m/>
    <m/>
    <m/>
    <m/>
    <m/>
    <m/>
    <m/>
    <s v="Negative"/>
    <s v="Not Sampled"/>
    <s v="Not Sampled"/>
  </r>
  <r>
    <x v="1"/>
    <x v="10"/>
    <x v="3"/>
    <x v="2"/>
    <x v="0"/>
    <x v="62"/>
    <x v="407"/>
    <x v="4"/>
    <n v="0"/>
    <n v="0"/>
    <n v="1083"/>
    <m/>
    <m/>
    <m/>
    <m/>
    <m/>
    <m/>
    <m/>
    <m/>
    <s v="Negative"/>
    <s v="Negative"/>
    <s v="Accurate Prediction"/>
  </r>
  <r>
    <x v="1"/>
    <x v="77"/>
    <x v="4"/>
    <x v="2"/>
    <x v="0"/>
    <x v="68"/>
    <x v="432"/>
    <x v="4"/>
    <n v="0"/>
    <s v="Not Sampled"/>
    <n v="1084"/>
    <m/>
    <m/>
    <m/>
    <m/>
    <m/>
    <m/>
    <m/>
    <m/>
    <s v="Negative"/>
    <s v="Not Sampled"/>
    <s v="Not Sampled"/>
  </r>
  <r>
    <x v="7"/>
    <x v="80"/>
    <x v="6"/>
    <x v="2"/>
    <x v="0"/>
    <x v="137"/>
    <x v="433"/>
    <x v="10"/>
    <n v="0"/>
    <s v="Not Sampled"/>
    <n v="1085"/>
    <m/>
    <m/>
    <m/>
    <m/>
    <m/>
    <m/>
    <m/>
    <m/>
    <s v="Negative"/>
    <s v="Not Sampled"/>
    <s v="Not Sampled"/>
  </r>
  <r>
    <x v="3"/>
    <x v="19"/>
    <x v="7"/>
    <x v="29"/>
    <x v="0"/>
    <x v="62"/>
    <x v="271"/>
    <x v="4"/>
    <n v="0"/>
    <n v="0"/>
    <n v="1086"/>
    <m/>
    <m/>
    <m/>
    <m/>
    <m/>
    <m/>
    <m/>
    <m/>
    <s v="Negative"/>
    <s v="Negative"/>
    <s v="Accurate Prediction"/>
  </r>
  <r>
    <x v="8"/>
    <x v="48"/>
    <x v="11"/>
    <x v="2"/>
    <x v="0"/>
    <x v="41"/>
    <x v="434"/>
    <x v="34"/>
    <n v="1"/>
    <n v="0"/>
    <n v="1087"/>
    <m/>
    <m/>
    <m/>
    <m/>
    <m/>
    <m/>
    <m/>
    <m/>
    <s v="Positive"/>
    <s v="Negative"/>
    <s v="Inaccurate Prediction"/>
  </r>
  <r>
    <x v="1"/>
    <x v="29"/>
    <x v="4"/>
    <x v="32"/>
    <x v="12"/>
    <x v="93"/>
    <x v="21"/>
    <x v="3"/>
    <n v="0"/>
    <s v="Not Sampled"/>
    <n v="1088"/>
    <m/>
    <m/>
    <m/>
    <m/>
    <m/>
    <m/>
    <m/>
    <m/>
    <s v="Negative"/>
    <s v="Not Sampled"/>
    <s v="Not Sampled"/>
  </r>
  <r>
    <x v="0"/>
    <x v="31"/>
    <x v="12"/>
    <x v="2"/>
    <x v="0"/>
    <x v="173"/>
    <x v="277"/>
    <x v="1"/>
    <n v="0"/>
    <s v="Not Sampled"/>
    <n v="1089"/>
    <m/>
    <m/>
    <m/>
    <m/>
    <m/>
    <m/>
    <m/>
    <m/>
    <s v="Negative"/>
    <s v="Not Sampled"/>
    <s v="Not Sampled"/>
  </r>
  <r>
    <x v="2"/>
    <x v="80"/>
    <x v="1"/>
    <x v="6"/>
    <x v="164"/>
    <x v="155"/>
    <x v="435"/>
    <x v="11"/>
    <n v="0"/>
    <n v="0"/>
    <n v="1090"/>
    <m/>
    <m/>
    <m/>
    <m/>
    <m/>
    <m/>
    <m/>
    <m/>
    <s v="Negative"/>
    <s v="Negative"/>
    <s v="Accurate Prediction"/>
  </r>
  <r>
    <x v="9"/>
    <x v="66"/>
    <x v="0"/>
    <x v="2"/>
    <x v="0"/>
    <x v="151"/>
    <x v="148"/>
    <x v="2"/>
    <n v="0"/>
    <s v="Not Sampled"/>
    <n v="1091"/>
    <m/>
    <m/>
    <m/>
    <m/>
    <m/>
    <m/>
    <m/>
    <m/>
    <s v="Negative"/>
    <s v="Not Sampled"/>
    <s v="Not Sampled"/>
  </r>
  <r>
    <x v="13"/>
    <x v="88"/>
    <x v="5"/>
    <x v="2"/>
    <x v="0"/>
    <x v="84"/>
    <x v="436"/>
    <x v="19"/>
    <n v="1"/>
    <s v="Not Sampled"/>
    <n v="1092"/>
    <m/>
    <m/>
    <m/>
    <m/>
    <m/>
    <m/>
    <m/>
    <m/>
    <s v="Positive"/>
    <s v="Not Sampled"/>
    <s v="Not Sampled"/>
  </r>
  <r>
    <x v="7"/>
    <x v="88"/>
    <x v="10"/>
    <x v="2"/>
    <x v="0"/>
    <x v="138"/>
    <x v="83"/>
    <x v="27"/>
    <n v="0"/>
    <n v="0"/>
    <n v="1093"/>
    <m/>
    <m/>
    <m/>
    <m/>
    <m/>
    <m/>
    <m/>
    <m/>
    <s v="Negative"/>
    <s v="Negative"/>
    <s v="Accurate Prediction"/>
  </r>
  <r>
    <x v="0"/>
    <x v="19"/>
    <x v="15"/>
    <x v="10"/>
    <x v="5"/>
    <x v="31"/>
    <x v="437"/>
    <x v="1"/>
    <n v="0"/>
    <s v="Not Sampled"/>
    <n v="1094"/>
    <m/>
    <m/>
    <m/>
    <m/>
    <m/>
    <m/>
    <m/>
    <m/>
    <s v="Negative"/>
    <s v="Not Sampled"/>
    <s v="Not Sampled"/>
  </r>
  <r>
    <x v="8"/>
    <x v="75"/>
    <x v="15"/>
    <x v="5"/>
    <x v="165"/>
    <x v="105"/>
    <x v="438"/>
    <x v="32"/>
    <n v="1"/>
    <s v="Not Sampled"/>
    <n v="1095"/>
    <m/>
    <m/>
    <m/>
    <m/>
    <m/>
    <m/>
    <m/>
    <m/>
    <s v="Positive"/>
    <s v="Not Sampled"/>
    <s v="Not Sampled"/>
  </r>
  <r>
    <x v="2"/>
    <x v="45"/>
    <x v="10"/>
    <x v="39"/>
    <x v="166"/>
    <x v="222"/>
    <x v="439"/>
    <x v="6"/>
    <n v="0"/>
    <s v="Not Sampled"/>
    <n v="1096"/>
    <m/>
    <m/>
    <m/>
    <m/>
    <m/>
    <m/>
    <m/>
    <m/>
    <s v="Negative"/>
    <s v="Not Sampled"/>
    <s v="Not Sampled"/>
  </r>
  <r>
    <x v="1"/>
    <x v="29"/>
    <x v="24"/>
    <x v="6"/>
    <x v="16"/>
    <x v="17"/>
    <x v="440"/>
    <x v="23"/>
    <n v="0"/>
    <s v="Not Sampled"/>
    <n v="1097"/>
    <m/>
    <m/>
    <m/>
    <m/>
    <m/>
    <m/>
    <m/>
    <m/>
    <s v="Negative"/>
    <s v="Not Sampled"/>
    <s v="Not Sampled"/>
  </r>
  <r>
    <x v="3"/>
    <x v="80"/>
    <x v="9"/>
    <x v="2"/>
    <x v="0"/>
    <x v="82"/>
    <x v="441"/>
    <x v="3"/>
    <n v="0"/>
    <s v="Not Sampled"/>
    <n v="1098"/>
    <m/>
    <m/>
    <m/>
    <m/>
    <m/>
    <m/>
    <m/>
    <m/>
    <s v="Negative"/>
    <s v="Not Sampled"/>
    <s v="Not Sampled"/>
  </r>
  <r>
    <x v="6"/>
    <x v="83"/>
    <x v="6"/>
    <x v="2"/>
    <x v="0"/>
    <x v="81"/>
    <x v="81"/>
    <x v="48"/>
    <n v="1"/>
    <s v="Not Sampled"/>
    <n v="1099"/>
    <m/>
    <m/>
    <m/>
    <m/>
    <m/>
    <m/>
    <m/>
    <m/>
    <s v="Positive"/>
    <s v="Not Sampled"/>
    <s v="Not Sampled"/>
  </r>
  <r>
    <x v="3"/>
    <x v="30"/>
    <x v="2"/>
    <x v="2"/>
    <x v="0"/>
    <x v="43"/>
    <x v="442"/>
    <x v="2"/>
    <n v="0"/>
    <n v="0"/>
    <n v="1100"/>
    <m/>
    <m/>
    <m/>
    <m/>
    <m/>
    <m/>
    <m/>
    <m/>
    <s v="Negative"/>
    <s v="Negative"/>
    <s v="Accurate Prediction"/>
  </r>
  <r>
    <x v="5"/>
    <x v="28"/>
    <x v="5"/>
    <x v="8"/>
    <x v="40"/>
    <x v="32"/>
    <x v="443"/>
    <x v="23"/>
    <n v="0"/>
    <s v="Not Sampled"/>
    <n v="1101"/>
    <m/>
    <m/>
    <m/>
    <m/>
    <m/>
    <m/>
    <m/>
    <m/>
    <s v="Negative"/>
    <s v="Not Sampled"/>
    <s v="Not Sampled"/>
  </r>
  <r>
    <x v="0"/>
    <x v="111"/>
    <x v="10"/>
    <x v="0"/>
    <x v="167"/>
    <x v="121"/>
    <x v="444"/>
    <x v="13"/>
    <n v="0"/>
    <s v="Not Sampled"/>
    <n v="1102"/>
    <m/>
    <m/>
    <m/>
    <m/>
    <m/>
    <m/>
    <m/>
    <m/>
    <s v="Negative"/>
    <s v="Not Sampled"/>
    <s v="Not Sampled"/>
  </r>
  <r>
    <x v="2"/>
    <x v="107"/>
    <x v="10"/>
    <x v="6"/>
    <x v="162"/>
    <x v="226"/>
    <x v="445"/>
    <x v="9"/>
    <n v="1"/>
    <s v="Not Sampled"/>
    <n v="1103"/>
    <m/>
    <m/>
    <m/>
    <m/>
    <m/>
    <m/>
    <m/>
    <m/>
    <s v="Positive"/>
    <s v="Not Sampled"/>
    <s v="Not Sampled"/>
  </r>
  <r>
    <x v="1"/>
    <x v="91"/>
    <x v="13"/>
    <x v="35"/>
    <x v="168"/>
    <x v="136"/>
    <x v="446"/>
    <x v="11"/>
    <n v="1"/>
    <s v="Not Sampled"/>
    <n v="1104"/>
    <m/>
    <m/>
    <m/>
    <m/>
    <m/>
    <m/>
    <m/>
    <m/>
    <s v="Positive"/>
    <s v="Not Sampled"/>
    <s v="Not Sampled"/>
  </r>
  <r>
    <x v="12"/>
    <x v="60"/>
    <x v="16"/>
    <x v="0"/>
    <x v="66"/>
    <x v="227"/>
    <x v="112"/>
    <x v="8"/>
    <n v="1"/>
    <s v="Not Sampled"/>
    <n v="1105"/>
    <m/>
    <m/>
    <m/>
    <m/>
    <m/>
    <m/>
    <m/>
    <m/>
    <s v="Positive"/>
    <s v="Not Sampled"/>
    <s v="Not Sampled"/>
  </r>
  <r>
    <x v="1"/>
    <x v="61"/>
    <x v="12"/>
    <x v="14"/>
    <x v="0"/>
    <x v="199"/>
    <x v="447"/>
    <x v="1"/>
    <n v="0"/>
    <s v="Not Sampled"/>
    <n v="1106"/>
    <m/>
    <m/>
    <m/>
    <m/>
    <m/>
    <m/>
    <m/>
    <m/>
    <s v="Negative"/>
    <s v="Not Sampled"/>
    <s v="Not Sampled"/>
  </r>
  <r>
    <x v="2"/>
    <x v="25"/>
    <x v="14"/>
    <x v="14"/>
    <x v="31"/>
    <x v="18"/>
    <x v="297"/>
    <x v="1"/>
    <n v="0"/>
    <s v="Not Sampled"/>
    <n v="1107"/>
    <m/>
    <m/>
    <m/>
    <m/>
    <m/>
    <m/>
    <m/>
    <m/>
    <s v="Negative"/>
    <s v="Not Sampled"/>
    <s v="Not Sampled"/>
  </r>
  <r>
    <x v="2"/>
    <x v="17"/>
    <x v="12"/>
    <x v="17"/>
    <x v="148"/>
    <x v="97"/>
    <x v="372"/>
    <x v="23"/>
    <n v="0"/>
    <s v="Not Sampled"/>
    <n v="1108"/>
    <m/>
    <m/>
    <m/>
    <m/>
    <m/>
    <m/>
    <m/>
    <m/>
    <s v="Negative"/>
    <s v="Not Sampled"/>
    <s v="Not Sampled"/>
  </r>
  <r>
    <x v="7"/>
    <x v="62"/>
    <x v="10"/>
    <x v="32"/>
    <x v="152"/>
    <x v="174"/>
    <x v="363"/>
    <x v="6"/>
    <n v="0"/>
    <n v="0"/>
    <n v="1109"/>
    <m/>
    <m/>
    <m/>
    <m/>
    <m/>
    <m/>
    <m/>
    <m/>
    <s v="Negative"/>
    <s v="Negative"/>
    <s v="Accurate Prediction"/>
  </r>
  <r>
    <x v="0"/>
    <x v="24"/>
    <x v="14"/>
    <x v="2"/>
    <x v="0"/>
    <x v="90"/>
    <x v="446"/>
    <x v="23"/>
    <n v="0"/>
    <s v="Not Sampled"/>
    <n v="1110"/>
    <m/>
    <m/>
    <m/>
    <m/>
    <m/>
    <m/>
    <m/>
    <m/>
    <s v="Negative"/>
    <s v="Not Sampled"/>
    <s v="Not Sampled"/>
  </r>
  <r>
    <x v="2"/>
    <x v="33"/>
    <x v="9"/>
    <x v="7"/>
    <x v="42"/>
    <x v="89"/>
    <x v="173"/>
    <x v="11"/>
    <n v="0"/>
    <s v="Not Sampled"/>
    <n v="1111"/>
    <m/>
    <m/>
    <m/>
    <m/>
    <m/>
    <m/>
    <m/>
    <m/>
    <s v="Negative"/>
    <s v="Not Sampled"/>
    <s v="Not Sampled"/>
  </r>
  <r>
    <x v="0"/>
    <x v="70"/>
    <x v="33"/>
    <x v="21"/>
    <x v="169"/>
    <x v="162"/>
    <x v="236"/>
    <x v="14"/>
    <n v="1"/>
    <s v="Not Sampled"/>
    <n v="1112"/>
    <m/>
    <m/>
    <m/>
    <m/>
    <m/>
    <m/>
    <m/>
    <m/>
    <s v="Positive"/>
    <s v="Not Sampled"/>
    <s v="Not Sampled"/>
  </r>
  <r>
    <x v="0"/>
    <x v="39"/>
    <x v="22"/>
    <x v="0"/>
    <x v="12"/>
    <x v="181"/>
    <x v="448"/>
    <x v="11"/>
    <n v="0"/>
    <s v="Not Sampled"/>
    <n v="1113"/>
    <m/>
    <m/>
    <m/>
    <m/>
    <m/>
    <m/>
    <m/>
    <m/>
    <s v="Negative"/>
    <s v="Not Sampled"/>
    <s v="Not Sampled"/>
  </r>
  <r>
    <x v="2"/>
    <x v="24"/>
    <x v="6"/>
    <x v="46"/>
    <x v="170"/>
    <x v="228"/>
    <x v="449"/>
    <x v="17"/>
    <n v="0"/>
    <s v="Not Sampled"/>
    <n v="1114"/>
    <m/>
    <m/>
    <m/>
    <m/>
    <m/>
    <m/>
    <m/>
    <m/>
    <s v="Negative"/>
    <s v="Not Sampled"/>
    <s v="Not Sampled"/>
  </r>
  <r>
    <x v="12"/>
    <x v="117"/>
    <x v="44"/>
    <x v="2"/>
    <x v="0"/>
    <x v="20"/>
    <x v="163"/>
    <x v="42"/>
    <n v="0"/>
    <n v="1"/>
    <n v="1115"/>
    <m/>
    <m/>
    <m/>
    <m/>
    <m/>
    <m/>
    <m/>
    <m/>
    <s v="Negative"/>
    <s v="Positive"/>
    <s v="Inaccurate Prediction"/>
  </r>
  <r>
    <x v="5"/>
    <x v="11"/>
    <x v="1"/>
    <x v="1"/>
    <x v="19"/>
    <x v="89"/>
    <x v="450"/>
    <x v="23"/>
    <n v="1"/>
    <s v="Not Sampled"/>
    <n v="1116"/>
    <m/>
    <m/>
    <m/>
    <m/>
    <m/>
    <m/>
    <m/>
    <m/>
    <s v="Positive"/>
    <s v="Not Sampled"/>
    <s v="Not Sampled"/>
  </r>
  <r>
    <x v="9"/>
    <x v="76"/>
    <x v="16"/>
    <x v="2"/>
    <x v="0"/>
    <x v="116"/>
    <x v="451"/>
    <x v="28"/>
    <n v="0"/>
    <n v="1"/>
    <n v="1117"/>
    <m/>
    <m/>
    <m/>
    <m/>
    <m/>
    <m/>
    <m/>
    <m/>
    <s v="Negative"/>
    <s v="Positive"/>
    <s v="Inaccurate Prediction"/>
  </r>
  <r>
    <x v="2"/>
    <x v="130"/>
    <x v="15"/>
    <x v="44"/>
    <x v="0"/>
    <x v="92"/>
    <x v="452"/>
    <x v="11"/>
    <n v="1"/>
    <s v="Not Sampled"/>
    <n v="1118"/>
    <m/>
    <m/>
    <m/>
    <m/>
    <m/>
    <m/>
    <m/>
    <m/>
    <s v="Positive"/>
    <s v="Not Sampled"/>
    <s v="Not Sampled"/>
  </r>
  <r>
    <x v="4"/>
    <x v="107"/>
    <x v="44"/>
    <x v="40"/>
    <x v="109"/>
    <x v="209"/>
    <x v="84"/>
    <x v="33"/>
    <n v="1"/>
    <s v="Not Sampled"/>
    <n v="1119"/>
    <m/>
    <m/>
    <m/>
    <m/>
    <m/>
    <m/>
    <m/>
    <m/>
    <s v="Positive"/>
    <s v="Not Sampled"/>
    <s v="Not Sampled"/>
  </r>
  <r>
    <x v="11"/>
    <x v="2"/>
    <x v="6"/>
    <x v="40"/>
    <x v="66"/>
    <x v="160"/>
    <x v="143"/>
    <x v="18"/>
    <n v="1"/>
    <s v="Not Sampled"/>
    <n v="1120"/>
    <m/>
    <m/>
    <m/>
    <m/>
    <m/>
    <m/>
    <m/>
    <m/>
    <s v="Positive"/>
    <s v="Not Sampled"/>
    <s v="Not Sampled"/>
  </r>
  <r>
    <x v="6"/>
    <x v="109"/>
    <x v="12"/>
    <x v="15"/>
    <x v="0"/>
    <x v="47"/>
    <x v="404"/>
    <x v="18"/>
    <n v="1"/>
    <s v="Not Sampled"/>
    <n v="1121"/>
    <m/>
    <m/>
    <m/>
    <m/>
    <m/>
    <m/>
    <m/>
    <m/>
    <s v="Positive"/>
    <s v="Not Sampled"/>
    <s v="Not Sampled"/>
  </r>
  <r>
    <x v="2"/>
    <x v="56"/>
    <x v="6"/>
    <x v="45"/>
    <x v="103"/>
    <x v="124"/>
    <x v="453"/>
    <x v="3"/>
    <n v="0"/>
    <s v="Not Sampled"/>
    <n v="1122"/>
    <m/>
    <m/>
    <m/>
    <m/>
    <m/>
    <m/>
    <m/>
    <m/>
    <s v="Negative"/>
    <s v="Not Sampled"/>
    <s v="Not Sampled"/>
  </r>
  <r>
    <x v="3"/>
    <x v="2"/>
    <x v="1"/>
    <x v="10"/>
    <x v="0"/>
    <x v="56"/>
    <x v="41"/>
    <x v="50"/>
    <n v="1"/>
    <s v="Not Sampled"/>
    <n v="1123"/>
    <m/>
    <m/>
    <m/>
    <m/>
    <m/>
    <m/>
    <m/>
    <m/>
    <s v="Positive"/>
    <s v="Not Sampled"/>
    <s v="Not Sampled"/>
  </r>
  <r>
    <x v="9"/>
    <x v="31"/>
    <x v="9"/>
    <x v="21"/>
    <x v="0"/>
    <x v="155"/>
    <x v="425"/>
    <x v="18"/>
    <n v="1"/>
    <s v="Not Sampled"/>
    <n v="1124"/>
    <m/>
    <m/>
    <m/>
    <m/>
    <m/>
    <m/>
    <m/>
    <m/>
    <s v="Positive"/>
    <s v="Not Sampled"/>
    <s v="Not Sampled"/>
  </r>
  <r>
    <x v="6"/>
    <x v="116"/>
    <x v="22"/>
    <x v="12"/>
    <x v="72"/>
    <x v="37"/>
    <x v="400"/>
    <x v="33"/>
    <n v="0"/>
    <s v="Not Sampled"/>
    <n v="1125"/>
    <m/>
    <m/>
    <m/>
    <m/>
    <m/>
    <m/>
    <m/>
    <m/>
    <s v="Negative"/>
    <s v="Not Sampled"/>
    <s v="Not Sampled"/>
  </r>
  <r>
    <x v="11"/>
    <x v="16"/>
    <x v="4"/>
    <x v="8"/>
    <x v="31"/>
    <x v="125"/>
    <x v="192"/>
    <x v="10"/>
    <n v="0"/>
    <s v="Not Sampled"/>
    <n v="1126"/>
    <m/>
    <m/>
    <m/>
    <m/>
    <m/>
    <m/>
    <m/>
    <m/>
    <s v="Negative"/>
    <s v="Not Sampled"/>
    <s v="Not Sampled"/>
  </r>
  <r>
    <x v="6"/>
    <x v="102"/>
    <x v="3"/>
    <x v="16"/>
    <x v="49"/>
    <x v="0"/>
    <x v="454"/>
    <x v="43"/>
    <n v="0"/>
    <s v="Not Sampled"/>
    <n v="1127"/>
    <m/>
    <m/>
    <m/>
    <m/>
    <m/>
    <m/>
    <m/>
    <m/>
    <s v="Negative"/>
    <s v="Not Sampled"/>
    <s v="Not Sampled"/>
  </r>
  <r>
    <x v="2"/>
    <x v="6"/>
    <x v="22"/>
    <x v="25"/>
    <x v="0"/>
    <x v="54"/>
    <x v="7"/>
    <x v="4"/>
    <n v="0"/>
    <s v="Not Sampled"/>
    <n v="1128"/>
    <m/>
    <m/>
    <m/>
    <m/>
    <m/>
    <m/>
    <m/>
    <m/>
    <s v="Negative"/>
    <s v="Not Sampled"/>
    <s v="Not Sampled"/>
  </r>
  <r>
    <x v="9"/>
    <x v="123"/>
    <x v="44"/>
    <x v="17"/>
    <x v="51"/>
    <x v="130"/>
    <x v="350"/>
    <x v="0"/>
    <n v="0"/>
    <s v="Not Sampled"/>
    <n v="1129"/>
    <m/>
    <m/>
    <m/>
    <m/>
    <m/>
    <m/>
    <m/>
    <m/>
    <s v="Negative"/>
    <s v="Not Sampled"/>
    <s v="Not Sampled"/>
  </r>
  <r>
    <x v="5"/>
    <x v="62"/>
    <x v="39"/>
    <x v="0"/>
    <x v="20"/>
    <x v="229"/>
    <x v="455"/>
    <x v="11"/>
    <n v="0"/>
    <s v="Not Sampled"/>
    <n v="1130"/>
    <m/>
    <m/>
    <m/>
    <m/>
    <m/>
    <m/>
    <m/>
    <m/>
    <s v="Negative"/>
    <s v="Not Sampled"/>
    <s v="Not Sampled"/>
  </r>
  <r>
    <x v="4"/>
    <x v="25"/>
    <x v="1"/>
    <x v="2"/>
    <x v="0"/>
    <x v="230"/>
    <x v="59"/>
    <x v="51"/>
    <n v="0"/>
    <n v="0"/>
    <n v="1131"/>
    <m/>
    <m/>
    <m/>
    <m/>
    <m/>
    <m/>
    <m/>
    <m/>
    <s v="Negative"/>
    <s v="Negative"/>
    <s v="Accurate Prediction"/>
  </r>
  <r>
    <x v="6"/>
    <x v="15"/>
    <x v="9"/>
    <x v="2"/>
    <x v="0"/>
    <x v="125"/>
    <x v="338"/>
    <x v="2"/>
    <n v="1"/>
    <n v="1"/>
    <n v="1132"/>
    <m/>
    <m/>
    <m/>
    <m/>
    <m/>
    <m/>
    <m/>
    <m/>
    <s v="Positive"/>
    <s v="Positive"/>
    <s v="Accurate Prediction"/>
  </r>
  <r>
    <x v="11"/>
    <x v="84"/>
    <x v="24"/>
    <x v="2"/>
    <x v="0"/>
    <x v="172"/>
    <x v="344"/>
    <x v="49"/>
    <n v="1"/>
    <s v="Not Sampled"/>
    <n v="1133"/>
    <m/>
    <m/>
    <m/>
    <m/>
    <m/>
    <m/>
    <m/>
    <m/>
    <s v="Positive"/>
    <s v="Not Sampled"/>
    <s v="Not Sampled"/>
  </r>
  <r>
    <x v="1"/>
    <x v="67"/>
    <x v="12"/>
    <x v="2"/>
    <x v="0"/>
    <x v="186"/>
    <x v="22"/>
    <x v="14"/>
    <n v="0"/>
    <s v="Not Sampled"/>
    <n v="1134"/>
    <m/>
    <m/>
    <m/>
    <m/>
    <m/>
    <m/>
    <m/>
    <m/>
    <s v="Negative"/>
    <s v="Not Sampled"/>
    <s v="Not Sampled"/>
  </r>
  <r>
    <x v="5"/>
    <x v="126"/>
    <x v="33"/>
    <x v="2"/>
    <x v="0"/>
    <x v="231"/>
    <x v="0"/>
    <x v="14"/>
    <n v="1"/>
    <n v="0"/>
    <n v="1135"/>
    <m/>
    <m/>
    <m/>
    <m/>
    <m/>
    <m/>
    <m/>
    <m/>
    <s v="Positive"/>
    <s v="Negative"/>
    <s v="Inaccurate Prediction"/>
  </r>
  <r>
    <x v="0"/>
    <x v="39"/>
    <x v="22"/>
    <x v="6"/>
    <x v="4"/>
    <x v="29"/>
    <x v="456"/>
    <x v="1"/>
    <n v="0"/>
    <s v="Not Sampled"/>
    <n v="1136"/>
    <m/>
    <m/>
    <m/>
    <m/>
    <m/>
    <m/>
    <m/>
    <m/>
    <s v="Negative"/>
    <s v="Not Sampled"/>
    <s v="Not Sampled"/>
  </r>
  <r>
    <x v="0"/>
    <x v="131"/>
    <x v="20"/>
    <x v="7"/>
    <x v="83"/>
    <x v="29"/>
    <x v="457"/>
    <x v="11"/>
    <n v="0"/>
    <s v="Not Sampled"/>
    <n v="1137"/>
    <m/>
    <m/>
    <m/>
    <m/>
    <m/>
    <m/>
    <m/>
    <m/>
    <s v="Negative"/>
    <s v="Not Sampled"/>
    <s v="Not Sampled"/>
  </r>
  <r>
    <x v="1"/>
    <x v="76"/>
    <x v="15"/>
    <x v="35"/>
    <x v="0"/>
    <x v="232"/>
    <x v="356"/>
    <x v="25"/>
    <n v="1"/>
    <n v="1"/>
    <n v="1138"/>
    <m/>
    <m/>
    <m/>
    <m/>
    <m/>
    <m/>
    <m/>
    <m/>
    <s v="Positive"/>
    <s v="Positive"/>
    <s v="Accurate Prediction"/>
  </r>
  <r>
    <x v="1"/>
    <x v="50"/>
    <x v="11"/>
    <x v="15"/>
    <x v="16"/>
    <x v="233"/>
    <x v="458"/>
    <x v="11"/>
    <n v="0"/>
    <s v="Not Sampled"/>
    <n v="1139"/>
    <m/>
    <m/>
    <m/>
    <m/>
    <m/>
    <m/>
    <m/>
    <m/>
    <s v="Negative"/>
    <s v="Not Sampled"/>
    <s v="Not Sampled"/>
  </r>
  <r>
    <x v="3"/>
    <x v="10"/>
    <x v="6"/>
    <x v="2"/>
    <x v="0"/>
    <x v="167"/>
    <x v="4"/>
    <x v="23"/>
    <n v="1"/>
    <s v="Not Sampled"/>
    <n v="1140"/>
    <m/>
    <m/>
    <m/>
    <m/>
    <m/>
    <m/>
    <m/>
    <m/>
    <s v="Positive"/>
    <s v="Not Sampled"/>
    <s v="Not Sampled"/>
  </r>
  <r>
    <x v="7"/>
    <x v="60"/>
    <x v="1"/>
    <x v="2"/>
    <x v="0"/>
    <x v="12"/>
    <x v="172"/>
    <x v="37"/>
    <n v="0"/>
    <n v="0"/>
    <n v="1141"/>
    <m/>
    <m/>
    <m/>
    <m/>
    <m/>
    <m/>
    <m/>
    <m/>
    <s v="Negative"/>
    <s v="Negative"/>
    <s v="Accurate Prediction"/>
  </r>
  <r>
    <x v="0"/>
    <x v="52"/>
    <x v="10"/>
    <x v="16"/>
    <x v="106"/>
    <x v="34"/>
    <x v="392"/>
    <x v="14"/>
    <n v="0"/>
    <s v="Not Sampled"/>
    <n v="1142"/>
    <m/>
    <m/>
    <m/>
    <m/>
    <m/>
    <m/>
    <m/>
    <m/>
    <s v="Negative"/>
    <s v="Not Sampled"/>
    <s v="Not Sampled"/>
  </r>
  <r>
    <x v="5"/>
    <x v="23"/>
    <x v="11"/>
    <x v="2"/>
    <x v="0"/>
    <x v="179"/>
    <x v="23"/>
    <x v="11"/>
    <n v="0"/>
    <s v="Not Sampled"/>
    <n v="1143"/>
    <m/>
    <m/>
    <m/>
    <m/>
    <m/>
    <m/>
    <m/>
    <m/>
    <s v="Negative"/>
    <s v="Not Sampled"/>
    <s v="Not Sampled"/>
  </r>
  <r>
    <x v="2"/>
    <x v="61"/>
    <x v="13"/>
    <x v="13"/>
    <x v="0"/>
    <x v="227"/>
    <x v="459"/>
    <x v="29"/>
    <n v="0"/>
    <s v="Not Sampled"/>
    <n v="1144"/>
    <m/>
    <m/>
    <m/>
    <m/>
    <m/>
    <m/>
    <m/>
    <m/>
    <s v="Negative"/>
    <s v="Not Sampled"/>
    <s v="Not Sampled"/>
  </r>
  <r>
    <x v="2"/>
    <x v="98"/>
    <x v="10"/>
    <x v="16"/>
    <x v="105"/>
    <x v="234"/>
    <x v="460"/>
    <x v="1"/>
    <n v="0"/>
    <s v="Not Sampled"/>
    <n v="1145"/>
    <m/>
    <m/>
    <m/>
    <m/>
    <m/>
    <m/>
    <m/>
    <m/>
    <s v="Negative"/>
    <s v="Not Sampled"/>
    <s v="Not Sampled"/>
  </r>
  <r>
    <x v="2"/>
    <x v="65"/>
    <x v="1"/>
    <x v="40"/>
    <x v="105"/>
    <x v="210"/>
    <x v="461"/>
    <x v="22"/>
    <n v="1"/>
    <n v="1"/>
    <n v="1146"/>
    <m/>
    <m/>
    <m/>
    <m/>
    <m/>
    <m/>
    <m/>
    <m/>
    <s v="Positive"/>
    <s v="Positive"/>
    <s v="Accurate Prediction"/>
  </r>
  <r>
    <x v="4"/>
    <x v="61"/>
    <x v="6"/>
    <x v="2"/>
    <x v="0"/>
    <x v="66"/>
    <x v="462"/>
    <x v="34"/>
    <n v="0"/>
    <s v="Not Sampled"/>
    <n v="1147"/>
    <m/>
    <m/>
    <m/>
    <m/>
    <m/>
    <m/>
    <m/>
    <m/>
    <s v="Negative"/>
    <s v="Not Sampled"/>
    <s v="Not Sampled"/>
  </r>
  <r>
    <x v="13"/>
    <x v="95"/>
    <x v="45"/>
    <x v="2"/>
    <x v="0"/>
    <x v="3"/>
    <x v="423"/>
    <x v="30"/>
    <n v="1"/>
    <s v="Not Sampled"/>
    <n v="1148"/>
    <m/>
    <m/>
    <m/>
    <m/>
    <m/>
    <m/>
    <m/>
    <m/>
    <s v="Positive"/>
    <s v="Not Sampled"/>
    <s v="Not Sampled"/>
  </r>
  <r>
    <x v="0"/>
    <x v="126"/>
    <x v="9"/>
    <x v="5"/>
    <x v="142"/>
    <x v="44"/>
    <x v="463"/>
    <x v="1"/>
    <n v="0"/>
    <n v="0"/>
    <n v="1149"/>
    <m/>
    <m/>
    <m/>
    <m/>
    <m/>
    <m/>
    <m/>
    <m/>
    <s v="Negative"/>
    <s v="Negative"/>
    <s v="Accurate Prediction"/>
  </r>
  <r>
    <x v="8"/>
    <x v="52"/>
    <x v="3"/>
    <x v="48"/>
    <x v="1"/>
    <x v="70"/>
    <x v="464"/>
    <x v="33"/>
    <n v="1"/>
    <s v="Not Sampled"/>
    <n v="1150"/>
    <m/>
    <m/>
    <m/>
    <m/>
    <m/>
    <m/>
    <m/>
    <m/>
    <s v="Positive"/>
    <s v="Not Sampled"/>
    <s v="Not Sampled"/>
  </r>
  <r>
    <x v="0"/>
    <x v="30"/>
    <x v="12"/>
    <x v="2"/>
    <x v="0"/>
    <x v="177"/>
    <x v="465"/>
    <x v="14"/>
    <n v="0"/>
    <s v="Not Sampled"/>
    <n v="1151"/>
    <m/>
    <m/>
    <m/>
    <m/>
    <m/>
    <m/>
    <m/>
    <m/>
    <s v="Negative"/>
    <s v="Not Sampled"/>
    <s v="Not Sampled"/>
  </r>
  <r>
    <x v="8"/>
    <x v="64"/>
    <x v="8"/>
    <x v="20"/>
    <x v="3"/>
    <x v="25"/>
    <x v="238"/>
    <x v="33"/>
    <n v="1"/>
    <s v="Not Sampled"/>
    <n v="1152"/>
    <m/>
    <m/>
    <m/>
    <m/>
    <m/>
    <m/>
    <m/>
    <m/>
    <s v="Positive"/>
    <s v="Not Sampled"/>
    <s v="Not Sampled"/>
  </r>
  <r>
    <x v="5"/>
    <x v="132"/>
    <x v="10"/>
    <x v="13"/>
    <x v="1"/>
    <x v="106"/>
    <x v="32"/>
    <x v="2"/>
    <n v="1"/>
    <n v="1"/>
    <n v="1153"/>
    <m/>
    <m/>
    <m/>
    <m/>
    <m/>
    <m/>
    <m/>
    <m/>
    <s v="Positive"/>
    <s v="Positive"/>
    <s v="Accurate Prediction"/>
  </r>
  <r>
    <x v="1"/>
    <x v="6"/>
    <x v="2"/>
    <x v="2"/>
    <x v="0"/>
    <x v="26"/>
    <x v="466"/>
    <x v="11"/>
    <n v="0"/>
    <s v="Not Sampled"/>
    <n v="1154"/>
    <m/>
    <m/>
    <m/>
    <m/>
    <m/>
    <m/>
    <m/>
    <m/>
    <s v="Negative"/>
    <s v="Not Sampled"/>
    <s v="Not Sampled"/>
  </r>
  <r>
    <x v="3"/>
    <x v="117"/>
    <x v="21"/>
    <x v="22"/>
    <x v="59"/>
    <x v="93"/>
    <x v="467"/>
    <x v="6"/>
    <n v="0"/>
    <s v="Not Sampled"/>
    <n v="1155"/>
    <m/>
    <m/>
    <m/>
    <m/>
    <m/>
    <m/>
    <m/>
    <m/>
    <s v="Negative"/>
    <s v="Not Sampled"/>
    <s v="Not Sampled"/>
  </r>
  <r>
    <x v="3"/>
    <x v="78"/>
    <x v="9"/>
    <x v="2"/>
    <x v="0"/>
    <x v="235"/>
    <x v="468"/>
    <x v="25"/>
    <n v="0"/>
    <s v="Not Sampled"/>
    <n v="1156"/>
    <m/>
    <m/>
    <m/>
    <m/>
    <m/>
    <m/>
    <m/>
    <m/>
    <s v="Negative"/>
    <s v="Not Sampled"/>
    <s v="Not Sampled"/>
  </r>
  <r>
    <x v="0"/>
    <x v="27"/>
    <x v="15"/>
    <x v="21"/>
    <x v="170"/>
    <x v="117"/>
    <x v="469"/>
    <x v="25"/>
    <n v="0"/>
    <s v="Not Sampled"/>
    <n v="1157"/>
    <m/>
    <m/>
    <m/>
    <m/>
    <m/>
    <m/>
    <m/>
    <m/>
    <s v="Negative"/>
    <s v="Not Sampled"/>
    <s v="Not Sampled"/>
  </r>
  <r>
    <x v="6"/>
    <x v="10"/>
    <x v="4"/>
    <x v="1"/>
    <x v="0"/>
    <x v="32"/>
    <x v="470"/>
    <x v="43"/>
    <n v="1"/>
    <s v="Not Sampled"/>
    <n v="1158"/>
    <m/>
    <m/>
    <m/>
    <m/>
    <m/>
    <m/>
    <m/>
    <m/>
    <s v="Positive"/>
    <s v="Not Sampled"/>
    <s v="Not Sampled"/>
  </r>
  <r>
    <x v="2"/>
    <x v="120"/>
    <x v="21"/>
    <x v="30"/>
    <x v="0"/>
    <x v="145"/>
    <x v="180"/>
    <x v="41"/>
    <n v="1"/>
    <n v="1"/>
    <n v="1159"/>
    <m/>
    <m/>
    <m/>
    <m/>
    <m/>
    <m/>
    <m/>
    <m/>
    <s v="Positive"/>
    <s v="Positive"/>
    <s v="Accurate Prediction"/>
  </r>
  <r>
    <x v="0"/>
    <x v="52"/>
    <x v="2"/>
    <x v="2"/>
    <x v="0"/>
    <x v="70"/>
    <x v="13"/>
    <x v="17"/>
    <n v="0"/>
    <s v="Not Sampled"/>
    <n v="1160"/>
    <m/>
    <m/>
    <m/>
    <m/>
    <m/>
    <m/>
    <m/>
    <m/>
    <s v="Negative"/>
    <s v="Not Sampled"/>
    <s v="Not Sampled"/>
  </r>
  <r>
    <x v="3"/>
    <x v="13"/>
    <x v="15"/>
    <x v="28"/>
    <x v="31"/>
    <x v="109"/>
    <x v="471"/>
    <x v="23"/>
    <n v="0"/>
    <s v="Not Sampled"/>
    <n v="1161"/>
    <m/>
    <m/>
    <m/>
    <m/>
    <m/>
    <m/>
    <m/>
    <m/>
    <s v="Negative"/>
    <s v="Not Sampled"/>
    <s v="Not Sampled"/>
  </r>
  <r>
    <x v="6"/>
    <x v="11"/>
    <x v="6"/>
    <x v="35"/>
    <x v="0"/>
    <x v="236"/>
    <x v="472"/>
    <x v="6"/>
    <n v="0"/>
    <n v="0"/>
    <n v="1162"/>
    <m/>
    <m/>
    <m/>
    <m/>
    <m/>
    <m/>
    <m/>
    <m/>
    <s v="Negative"/>
    <s v="Negative"/>
    <s v="Accurate Prediction"/>
  </r>
  <r>
    <x v="9"/>
    <x v="109"/>
    <x v="2"/>
    <x v="2"/>
    <x v="0"/>
    <x v="12"/>
    <x v="86"/>
    <x v="13"/>
    <n v="1"/>
    <s v="Not Sampled"/>
    <n v="1163"/>
    <m/>
    <m/>
    <m/>
    <m/>
    <m/>
    <m/>
    <m/>
    <m/>
    <s v="Positive"/>
    <s v="Not Sampled"/>
    <s v="Not Sampled"/>
  </r>
  <r>
    <x v="0"/>
    <x v="117"/>
    <x v="37"/>
    <x v="23"/>
    <x v="171"/>
    <x v="184"/>
    <x v="473"/>
    <x v="11"/>
    <n v="0"/>
    <s v="Not Sampled"/>
    <n v="1164"/>
    <m/>
    <m/>
    <m/>
    <m/>
    <m/>
    <m/>
    <m/>
    <m/>
    <s v="Negative"/>
    <s v="Not Sampled"/>
    <s v="Not Sampled"/>
  </r>
  <r>
    <x v="11"/>
    <x v="101"/>
    <x v="4"/>
    <x v="2"/>
    <x v="0"/>
    <x v="10"/>
    <x v="271"/>
    <x v="10"/>
    <n v="1"/>
    <s v="Not Sampled"/>
    <n v="1165"/>
    <m/>
    <m/>
    <m/>
    <m/>
    <m/>
    <m/>
    <m/>
    <m/>
    <s v="Positive"/>
    <s v="Not Sampled"/>
    <s v="Not Sampled"/>
  </r>
  <r>
    <x v="0"/>
    <x v="67"/>
    <x v="11"/>
    <x v="5"/>
    <x v="69"/>
    <x v="237"/>
    <x v="326"/>
    <x v="1"/>
    <n v="1"/>
    <n v="0"/>
    <n v="1166"/>
    <m/>
    <m/>
    <m/>
    <m/>
    <m/>
    <m/>
    <m/>
    <m/>
    <s v="Positive"/>
    <s v="Negative"/>
    <s v="Inaccurate Prediction"/>
  </r>
  <r>
    <x v="5"/>
    <x v="95"/>
    <x v="11"/>
    <x v="27"/>
    <x v="172"/>
    <x v="84"/>
    <x v="474"/>
    <x v="3"/>
    <n v="0"/>
    <n v="0"/>
    <n v="1167"/>
    <m/>
    <m/>
    <m/>
    <m/>
    <m/>
    <m/>
    <m/>
    <m/>
    <s v="Negative"/>
    <s v="Negative"/>
    <s v="Accurate Prediction"/>
  </r>
  <r>
    <x v="7"/>
    <x v="51"/>
    <x v="4"/>
    <x v="21"/>
    <x v="173"/>
    <x v="107"/>
    <x v="464"/>
    <x v="18"/>
    <n v="0"/>
    <s v="Not Sampled"/>
    <n v="1168"/>
    <m/>
    <m/>
    <m/>
    <m/>
    <m/>
    <m/>
    <m/>
    <m/>
    <s v="Negative"/>
    <s v="Not Sampled"/>
    <s v="Not Sampled"/>
  </r>
  <r>
    <x v="9"/>
    <x v="52"/>
    <x v="0"/>
    <x v="35"/>
    <x v="0"/>
    <x v="238"/>
    <x v="475"/>
    <x v="19"/>
    <n v="1"/>
    <s v="Not Sampled"/>
    <n v="1169"/>
    <m/>
    <m/>
    <m/>
    <m/>
    <m/>
    <m/>
    <m/>
    <m/>
    <s v="Positive"/>
    <s v="Not Sampled"/>
    <s v="Not Sampled"/>
  </r>
  <r>
    <x v="1"/>
    <x v="63"/>
    <x v="22"/>
    <x v="28"/>
    <x v="174"/>
    <x v="199"/>
    <x v="476"/>
    <x v="4"/>
    <n v="0"/>
    <s v="Not Sampled"/>
    <n v="1170"/>
    <m/>
    <m/>
    <m/>
    <m/>
    <m/>
    <m/>
    <m/>
    <m/>
    <s v="Negative"/>
    <s v="Not Sampled"/>
    <s v="Not Sampled"/>
  </r>
  <r>
    <x v="5"/>
    <x v="29"/>
    <x v="10"/>
    <x v="2"/>
    <x v="0"/>
    <x v="81"/>
    <x v="394"/>
    <x v="32"/>
    <n v="0"/>
    <s v="Not Sampled"/>
    <n v="1171"/>
    <m/>
    <m/>
    <m/>
    <m/>
    <m/>
    <m/>
    <m/>
    <m/>
    <s v="Negative"/>
    <s v="Not Sampled"/>
    <s v="Not Sampled"/>
  </r>
  <r>
    <x v="8"/>
    <x v="44"/>
    <x v="13"/>
    <x v="12"/>
    <x v="175"/>
    <x v="75"/>
    <x v="477"/>
    <x v="34"/>
    <n v="1"/>
    <n v="1"/>
    <n v="1172"/>
    <m/>
    <m/>
    <m/>
    <m/>
    <m/>
    <m/>
    <m/>
    <m/>
    <s v="Positive"/>
    <s v="Positive"/>
    <s v="Accurate Prediction"/>
  </r>
  <r>
    <x v="5"/>
    <x v="5"/>
    <x v="4"/>
    <x v="15"/>
    <x v="157"/>
    <x v="97"/>
    <x v="478"/>
    <x v="2"/>
    <n v="1"/>
    <s v="Not Sampled"/>
    <n v="1173"/>
    <m/>
    <m/>
    <m/>
    <m/>
    <m/>
    <m/>
    <m/>
    <m/>
    <s v="Positive"/>
    <s v="Not Sampled"/>
    <s v="Not Sampled"/>
  </r>
  <r>
    <x v="9"/>
    <x v="19"/>
    <x v="5"/>
    <x v="10"/>
    <x v="0"/>
    <x v="179"/>
    <x v="479"/>
    <x v="24"/>
    <n v="0"/>
    <s v="Not Sampled"/>
    <n v="1174"/>
    <m/>
    <m/>
    <m/>
    <m/>
    <m/>
    <m/>
    <m/>
    <m/>
    <s v="Negative"/>
    <s v="Not Sampled"/>
    <s v="Not Sampled"/>
  </r>
  <r>
    <x v="2"/>
    <x v="81"/>
    <x v="12"/>
    <x v="40"/>
    <x v="176"/>
    <x v="130"/>
    <x v="351"/>
    <x v="3"/>
    <n v="0"/>
    <s v="Not Sampled"/>
    <n v="1175"/>
    <m/>
    <m/>
    <m/>
    <m/>
    <m/>
    <m/>
    <m/>
    <m/>
    <s v="Negative"/>
    <s v="Not Sampled"/>
    <s v="Not Sampled"/>
  </r>
  <r>
    <x v="7"/>
    <x v="75"/>
    <x v="15"/>
    <x v="21"/>
    <x v="0"/>
    <x v="230"/>
    <x v="293"/>
    <x v="41"/>
    <n v="1"/>
    <s v="Not Sampled"/>
    <n v="1176"/>
    <m/>
    <m/>
    <m/>
    <m/>
    <m/>
    <m/>
    <m/>
    <m/>
    <s v="Positive"/>
    <s v="Not Sampled"/>
    <s v="Not Sampled"/>
  </r>
  <r>
    <x v="3"/>
    <x v="8"/>
    <x v="24"/>
    <x v="13"/>
    <x v="0"/>
    <x v="17"/>
    <x v="480"/>
    <x v="34"/>
    <n v="0"/>
    <s v="Not Sampled"/>
    <n v="1177"/>
    <m/>
    <m/>
    <m/>
    <m/>
    <m/>
    <m/>
    <m/>
    <m/>
    <s v="Negative"/>
    <s v="Not Sampled"/>
    <s v="Not Sampled"/>
  </r>
  <r>
    <x v="2"/>
    <x v="48"/>
    <x v="19"/>
    <x v="35"/>
    <x v="170"/>
    <x v="176"/>
    <x v="188"/>
    <x v="4"/>
    <n v="0"/>
    <n v="0"/>
    <n v="1178"/>
    <m/>
    <m/>
    <m/>
    <m/>
    <m/>
    <m/>
    <m/>
    <m/>
    <s v="Negative"/>
    <s v="Negative"/>
    <s v="Accurate Prediction"/>
  </r>
  <r>
    <x v="2"/>
    <x v="133"/>
    <x v="3"/>
    <x v="30"/>
    <x v="177"/>
    <x v="17"/>
    <x v="284"/>
    <x v="8"/>
    <n v="1"/>
    <s v="Not Sampled"/>
    <n v="1179"/>
    <m/>
    <m/>
    <m/>
    <m/>
    <m/>
    <m/>
    <m/>
    <m/>
    <s v="Positive"/>
    <s v="Not Sampled"/>
    <s v="Not Sampled"/>
  </r>
  <r>
    <x v="7"/>
    <x v="17"/>
    <x v="24"/>
    <x v="8"/>
    <x v="16"/>
    <x v="44"/>
    <x v="240"/>
    <x v="8"/>
    <n v="0"/>
    <s v="Not Sampled"/>
    <n v="1180"/>
    <m/>
    <m/>
    <m/>
    <m/>
    <m/>
    <m/>
    <m/>
    <m/>
    <s v="Negative"/>
    <s v="Not Sampled"/>
    <s v="Not Sampled"/>
  </r>
  <r>
    <x v="2"/>
    <x v="31"/>
    <x v="41"/>
    <x v="2"/>
    <x v="0"/>
    <x v="10"/>
    <x v="481"/>
    <x v="10"/>
    <n v="0"/>
    <s v="Not Sampled"/>
    <n v="1181"/>
    <m/>
    <m/>
    <m/>
    <m/>
    <m/>
    <m/>
    <m/>
    <m/>
    <s v="Negative"/>
    <s v="Not Sampled"/>
    <s v="Not Sampled"/>
  </r>
  <r>
    <x v="3"/>
    <x v="56"/>
    <x v="4"/>
    <x v="32"/>
    <x v="0"/>
    <x v="121"/>
    <x v="183"/>
    <x v="19"/>
    <n v="0"/>
    <s v="Not Sampled"/>
    <n v="1182"/>
    <m/>
    <m/>
    <m/>
    <m/>
    <m/>
    <m/>
    <m/>
    <m/>
    <s v="Negative"/>
    <s v="Not Sampled"/>
    <s v="Not Sampled"/>
  </r>
  <r>
    <x v="2"/>
    <x v="113"/>
    <x v="4"/>
    <x v="30"/>
    <x v="105"/>
    <x v="164"/>
    <x v="116"/>
    <x v="14"/>
    <n v="0"/>
    <s v="Not Sampled"/>
    <n v="1183"/>
    <m/>
    <m/>
    <m/>
    <m/>
    <m/>
    <m/>
    <m/>
    <m/>
    <s v="Negative"/>
    <s v="Not Sampled"/>
    <s v="Not Sampled"/>
  </r>
  <r>
    <x v="1"/>
    <x v="47"/>
    <x v="16"/>
    <x v="16"/>
    <x v="0"/>
    <x v="68"/>
    <x v="262"/>
    <x v="11"/>
    <n v="0"/>
    <n v="0"/>
    <n v="1184"/>
    <m/>
    <m/>
    <m/>
    <m/>
    <m/>
    <m/>
    <m/>
    <m/>
    <s v="Negative"/>
    <s v="Negative"/>
    <s v="Accurate Prediction"/>
  </r>
  <r>
    <x v="0"/>
    <x v="122"/>
    <x v="21"/>
    <x v="2"/>
    <x v="0"/>
    <x v="123"/>
    <x v="259"/>
    <x v="11"/>
    <n v="0"/>
    <s v="Not Sampled"/>
    <n v="1185"/>
    <m/>
    <m/>
    <m/>
    <m/>
    <m/>
    <m/>
    <m/>
    <m/>
    <s v="Negative"/>
    <s v="Not Sampled"/>
    <s v="Not Sampled"/>
  </r>
  <r>
    <x v="0"/>
    <x v="66"/>
    <x v="33"/>
    <x v="2"/>
    <x v="0"/>
    <x v="15"/>
    <x v="425"/>
    <x v="11"/>
    <n v="0"/>
    <s v="Not Sampled"/>
    <n v="1186"/>
    <m/>
    <m/>
    <m/>
    <m/>
    <m/>
    <m/>
    <m/>
    <m/>
    <s v="Negative"/>
    <s v="Not Sampled"/>
    <s v="Not Sampled"/>
  </r>
  <r>
    <x v="5"/>
    <x v="23"/>
    <x v="4"/>
    <x v="17"/>
    <x v="11"/>
    <x v="109"/>
    <x v="91"/>
    <x v="34"/>
    <n v="1"/>
    <s v="Not Sampled"/>
    <n v="1187"/>
    <m/>
    <m/>
    <m/>
    <m/>
    <m/>
    <m/>
    <m/>
    <m/>
    <s v="Positive"/>
    <s v="Not Sampled"/>
    <s v="Not Sampled"/>
  </r>
  <r>
    <x v="4"/>
    <x v="24"/>
    <x v="24"/>
    <x v="2"/>
    <x v="0"/>
    <x v="109"/>
    <x v="247"/>
    <x v="11"/>
    <n v="1"/>
    <s v="Not Sampled"/>
    <n v="1188"/>
    <m/>
    <m/>
    <m/>
    <m/>
    <m/>
    <m/>
    <m/>
    <m/>
    <s v="Positive"/>
    <s v="Not Sampled"/>
    <s v="Not Sampled"/>
  </r>
  <r>
    <x v="0"/>
    <x v="129"/>
    <x v="21"/>
    <x v="18"/>
    <x v="77"/>
    <x v="235"/>
    <x v="482"/>
    <x v="3"/>
    <n v="1"/>
    <n v="1"/>
    <n v="1189"/>
    <m/>
    <m/>
    <m/>
    <m/>
    <m/>
    <m/>
    <m/>
    <m/>
    <s v="Positive"/>
    <s v="Positive"/>
    <s v="Accurate Prediction"/>
  </r>
  <r>
    <x v="0"/>
    <x v="33"/>
    <x v="20"/>
    <x v="21"/>
    <x v="134"/>
    <x v="55"/>
    <x v="483"/>
    <x v="11"/>
    <n v="0"/>
    <s v="Not Sampled"/>
    <n v="1190"/>
    <m/>
    <m/>
    <m/>
    <m/>
    <m/>
    <m/>
    <m/>
    <m/>
    <s v="Negative"/>
    <s v="Not Sampled"/>
    <s v="Not Sampled"/>
  </r>
  <r>
    <x v="0"/>
    <x v="38"/>
    <x v="25"/>
    <x v="2"/>
    <x v="0"/>
    <x v="239"/>
    <x v="484"/>
    <x v="49"/>
    <n v="0"/>
    <s v="Not Sampled"/>
    <n v="1191"/>
    <m/>
    <m/>
    <m/>
    <m/>
    <m/>
    <m/>
    <m/>
    <m/>
    <s v="Negative"/>
    <s v="Not Sampled"/>
    <s v="Not Sampled"/>
  </r>
  <r>
    <x v="3"/>
    <x v="50"/>
    <x v="12"/>
    <x v="5"/>
    <x v="0"/>
    <x v="110"/>
    <x v="223"/>
    <x v="6"/>
    <n v="0"/>
    <s v="Not Sampled"/>
    <n v="1192"/>
    <m/>
    <m/>
    <m/>
    <m/>
    <m/>
    <m/>
    <m/>
    <m/>
    <s v="Negative"/>
    <s v="Not Sampled"/>
    <s v="Not Sampled"/>
  </r>
  <r>
    <x v="1"/>
    <x v="51"/>
    <x v="24"/>
    <x v="21"/>
    <x v="77"/>
    <x v="41"/>
    <x v="485"/>
    <x v="4"/>
    <n v="0"/>
    <s v="Not Sampled"/>
    <n v="1193"/>
    <m/>
    <m/>
    <m/>
    <m/>
    <m/>
    <m/>
    <m/>
    <m/>
    <s v="Negative"/>
    <s v="Not Sampled"/>
    <s v="Not Sampled"/>
  </r>
  <r>
    <x v="4"/>
    <x v="134"/>
    <x v="5"/>
    <x v="17"/>
    <x v="0"/>
    <x v="61"/>
    <x v="364"/>
    <x v="8"/>
    <n v="0"/>
    <s v="Not Sampled"/>
    <n v="1194"/>
    <m/>
    <m/>
    <m/>
    <m/>
    <m/>
    <m/>
    <m/>
    <m/>
    <s v="Negative"/>
    <s v="Not Sampled"/>
    <s v="Not Sampled"/>
  </r>
  <r>
    <x v="0"/>
    <x v="6"/>
    <x v="12"/>
    <x v="6"/>
    <x v="69"/>
    <x v="69"/>
    <x v="486"/>
    <x v="4"/>
    <n v="0"/>
    <s v="Not Sampled"/>
    <n v="1195"/>
    <m/>
    <m/>
    <m/>
    <m/>
    <m/>
    <m/>
    <m/>
    <m/>
    <s v="Negative"/>
    <s v="Not Sampled"/>
    <s v="Not Sampled"/>
  </r>
  <r>
    <x v="2"/>
    <x v="29"/>
    <x v="10"/>
    <x v="2"/>
    <x v="0"/>
    <x v="100"/>
    <x v="209"/>
    <x v="8"/>
    <n v="1"/>
    <s v="Not Sampled"/>
    <n v="1196"/>
    <m/>
    <m/>
    <m/>
    <m/>
    <m/>
    <m/>
    <m/>
    <m/>
    <s v="Positive"/>
    <s v="Not Sampled"/>
    <s v="Not Sampled"/>
  </r>
  <r>
    <x v="12"/>
    <x v="24"/>
    <x v="6"/>
    <x v="18"/>
    <x v="90"/>
    <x v="3"/>
    <x v="487"/>
    <x v="27"/>
    <n v="1"/>
    <s v="Not Sampled"/>
    <n v="1197"/>
    <m/>
    <m/>
    <m/>
    <m/>
    <m/>
    <m/>
    <m/>
    <m/>
    <s v="Positive"/>
    <s v="Not Sampled"/>
    <s v="Not Sampled"/>
  </r>
  <r>
    <x v="5"/>
    <x v="29"/>
    <x v="27"/>
    <x v="28"/>
    <x v="48"/>
    <x v="98"/>
    <x v="415"/>
    <x v="25"/>
    <n v="0"/>
    <n v="0"/>
    <n v="1198"/>
    <m/>
    <m/>
    <m/>
    <m/>
    <m/>
    <m/>
    <m/>
    <m/>
    <s v="Negative"/>
    <s v="Negative"/>
    <s v="Accurate Prediction"/>
  </r>
  <r>
    <x v="2"/>
    <x v="49"/>
    <x v="22"/>
    <x v="10"/>
    <x v="93"/>
    <x v="218"/>
    <x v="332"/>
    <x v="11"/>
    <n v="0"/>
    <s v="Not Sampled"/>
    <n v="1199"/>
    <m/>
    <m/>
    <m/>
    <m/>
    <m/>
    <m/>
    <m/>
    <m/>
    <s v="Negative"/>
    <s v="Not Sampled"/>
    <s v="Not Sampled"/>
  </r>
  <r>
    <x v="11"/>
    <x v="98"/>
    <x v="41"/>
    <x v="2"/>
    <x v="0"/>
    <x v="112"/>
    <x v="488"/>
    <x v="10"/>
    <n v="1"/>
    <s v="Not Sampled"/>
    <n v="1200"/>
    <m/>
    <m/>
    <m/>
    <m/>
    <m/>
    <m/>
    <m/>
    <m/>
    <s v="Positive"/>
    <s v="Not Sampled"/>
    <s v="Not Sampled"/>
  </r>
  <r>
    <x v="13"/>
    <x v="85"/>
    <x v="21"/>
    <x v="18"/>
    <x v="32"/>
    <x v="102"/>
    <x v="489"/>
    <x v="16"/>
    <n v="0"/>
    <s v="Not Sampled"/>
    <n v="1201"/>
    <m/>
    <m/>
    <m/>
    <m/>
    <m/>
    <m/>
    <m/>
    <m/>
    <s v="Negative"/>
    <s v="Not Sampled"/>
    <s v="Not Sampled"/>
  </r>
  <r>
    <x v="10"/>
    <x v="45"/>
    <x v="16"/>
    <x v="12"/>
    <x v="16"/>
    <x v="135"/>
    <x v="490"/>
    <x v="22"/>
    <n v="0"/>
    <s v="Not Sampled"/>
    <n v="1202"/>
    <m/>
    <m/>
    <m/>
    <m/>
    <m/>
    <m/>
    <m/>
    <m/>
    <s v="Negative"/>
    <s v="Not Sampled"/>
    <s v="Not Sampled"/>
  </r>
  <r>
    <x v="2"/>
    <x v="83"/>
    <x v="41"/>
    <x v="4"/>
    <x v="0"/>
    <x v="240"/>
    <x v="491"/>
    <x v="23"/>
    <n v="1"/>
    <s v="Not Sampled"/>
    <n v="1203"/>
    <m/>
    <m/>
    <m/>
    <m/>
    <m/>
    <m/>
    <m/>
    <m/>
    <s v="Positive"/>
    <s v="Not Sampled"/>
    <s v="Not Sampled"/>
  </r>
  <r>
    <x v="2"/>
    <x v="14"/>
    <x v="10"/>
    <x v="4"/>
    <x v="92"/>
    <x v="241"/>
    <x v="492"/>
    <x v="32"/>
    <n v="0"/>
    <n v="0"/>
    <n v="1204"/>
    <m/>
    <m/>
    <m/>
    <m/>
    <m/>
    <m/>
    <m/>
    <m/>
    <s v="Negative"/>
    <s v="Negative"/>
    <s v="Accurate Prediction"/>
  </r>
  <r>
    <x v="5"/>
    <x v="44"/>
    <x v="9"/>
    <x v="29"/>
    <x v="170"/>
    <x v="217"/>
    <x v="493"/>
    <x v="31"/>
    <n v="1"/>
    <n v="1"/>
    <n v="1205"/>
    <m/>
    <m/>
    <m/>
    <m/>
    <m/>
    <m/>
    <m/>
    <m/>
    <s v="Positive"/>
    <s v="Positive"/>
    <s v="Accurate Prediction"/>
  </r>
  <r>
    <x v="6"/>
    <x v="76"/>
    <x v="0"/>
    <x v="2"/>
    <x v="0"/>
    <x v="122"/>
    <x v="81"/>
    <x v="48"/>
    <n v="1"/>
    <s v="Not Sampled"/>
    <n v="1206"/>
    <m/>
    <m/>
    <m/>
    <m/>
    <m/>
    <m/>
    <m/>
    <m/>
    <s v="Positive"/>
    <s v="Not Sampled"/>
    <s v="Not Sampled"/>
  </r>
  <r>
    <x v="3"/>
    <x v="60"/>
    <x v="9"/>
    <x v="2"/>
    <x v="0"/>
    <x v="84"/>
    <x v="494"/>
    <x v="11"/>
    <n v="1"/>
    <s v="Not Sampled"/>
    <n v="1207"/>
    <m/>
    <m/>
    <m/>
    <m/>
    <m/>
    <m/>
    <m/>
    <m/>
    <s v="Positive"/>
    <s v="Not Sampled"/>
    <s v="Not Sampled"/>
  </r>
  <r>
    <x v="2"/>
    <x v="126"/>
    <x v="4"/>
    <x v="15"/>
    <x v="97"/>
    <x v="20"/>
    <x v="86"/>
    <x v="6"/>
    <n v="0"/>
    <s v="Not Sampled"/>
    <n v="1208"/>
    <m/>
    <m/>
    <m/>
    <m/>
    <m/>
    <m/>
    <m/>
    <m/>
    <s v="Negative"/>
    <s v="Not Sampled"/>
    <s v="Not Sampled"/>
  </r>
  <r>
    <x v="5"/>
    <x v="81"/>
    <x v="0"/>
    <x v="20"/>
    <x v="0"/>
    <x v="14"/>
    <x v="110"/>
    <x v="14"/>
    <n v="0"/>
    <s v="Not Sampled"/>
    <n v="1209"/>
    <m/>
    <m/>
    <m/>
    <m/>
    <m/>
    <m/>
    <m/>
    <m/>
    <s v="Negative"/>
    <s v="Not Sampled"/>
    <s v="Not Sampled"/>
  </r>
  <r>
    <x v="1"/>
    <x v="94"/>
    <x v="21"/>
    <x v="38"/>
    <x v="178"/>
    <x v="165"/>
    <x v="495"/>
    <x v="25"/>
    <n v="1"/>
    <n v="1"/>
    <n v="1210"/>
    <m/>
    <m/>
    <m/>
    <m/>
    <m/>
    <m/>
    <m/>
    <m/>
    <s v="Positive"/>
    <s v="Positive"/>
    <s v="Accurate Prediction"/>
  </r>
  <r>
    <x v="4"/>
    <x v="16"/>
    <x v="4"/>
    <x v="5"/>
    <x v="0"/>
    <x v="68"/>
    <x v="85"/>
    <x v="10"/>
    <n v="1"/>
    <n v="1"/>
    <n v="1211"/>
    <m/>
    <m/>
    <m/>
    <m/>
    <m/>
    <m/>
    <m/>
    <m/>
    <s v="Positive"/>
    <s v="Positive"/>
    <s v="Accurate Prediction"/>
  </r>
  <r>
    <x v="2"/>
    <x v="80"/>
    <x v="21"/>
    <x v="15"/>
    <x v="27"/>
    <x v="23"/>
    <x v="496"/>
    <x v="26"/>
    <n v="1"/>
    <s v="Not Sampled"/>
    <n v="1212"/>
    <m/>
    <m/>
    <m/>
    <m/>
    <m/>
    <m/>
    <m/>
    <m/>
    <s v="Positive"/>
    <s v="Not Sampled"/>
    <s v="Not Sampled"/>
  </r>
  <r>
    <x v="8"/>
    <x v="59"/>
    <x v="8"/>
    <x v="4"/>
    <x v="0"/>
    <x v="61"/>
    <x v="73"/>
    <x v="16"/>
    <n v="0"/>
    <s v="Not Sampled"/>
    <n v="1213"/>
    <m/>
    <m/>
    <m/>
    <m/>
    <m/>
    <m/>
    <m/>
    <m/>
    <s v="Negative"/>
    <s v="Not Sampled"/>
    <s v="Not Sampled"/>
  </r>
  <r>
    <x v="1"/>
    <x v="62"/>
    <x v="5"/>
    <x v="2"/>
    <x v="0"/>
    <x v="153"/>
    <x v="61"/>
    <x v="41"/>
    <n v="1"/>
    <s v="Not Sampled"/>
    <n v="1214"/>
    <m/>
    <m/>
    <m/>
    <m/>
    <m/>
    <m/>
    <m/>
    <m/>
    <s v="Positive"/>
    <s v="Not Sampled"/>
    <s v="Not Sampled"/>
  </r>
  <r>
    <x v="2"/>
    <x v="33"/>
    <x v="15"/>
    <x v="2"/>
    <x v="0"/>
    <x v="129"/>
    <x v="269"/>
    <x v="25"/>
    <n v="0"/>
    <n v="0"/>
    <n v="1215"/>
    <m/>
    <m/>
    <m/>
    <m/>
    <m/>
    <m/>
    <m/>
    <m/>
    <s v="Negative"/>
    <s v="Negative"/>
    <s v="Accurate Prediction"/>
  </r>
  <r>
    <x v="6"/>
    <x v="135"/>
    <x v="17"/>
    <x v="2"/>
    <x v="0"/>
    <x v="130"/>
    <x v="115"/>
    <x v="12"/>
    <n v="1"/>
    <s v="Not Sampled"/>
    <n v="1216"/>
    <m/>
    <m/>
    <m/>
    <m/>
    <m/>
    <m/>
    <m/>
    <m/>
    <s v="Positive"/>
    <s v="Not Sampled"/>
    <s v="Not Sampled"/>
  </r>
  <r>
    <x v="0"/>
    <x v="40"/>
    <x v="22"/>
    <x v="16"/>
    <x v="179"/>
    <x v="109"/>
    <x v="497"/>
    <x v="11"/>
    <n v="0"/>
    <s v="Not Sampled"/>
    <n v="1217"/>
    <m/>
    <m/>
    <m/>
    <m/>
    <m/>
    <m/>
    <m/>
    <m/>
    <s v="Negative"/>
    <s v="Not Sampled"/>
    <s v="Not Sampled"/>
  </r>
  <r>
    <x v="11"/>
    <x v="79"/>
    <x v="10"/>
    <x v="1"/>
    <x v="0"/>
    <x v="143"/>
    <x v="118"/>
    <x v="33"/>
    <n v="1"/>
    <s v="Not Sampled"/>
    <n v="1218"/>
    <m/>
    <m/>
    <m/>
    <m/>
    <m/>
    <m/>
    <m/>
    <m/>
    <s v="Positive"/>
    <s v="Not Sampled"/>
    <s v="Not Sampled"/>
  </r>
  <r>
    <x v="11"/>
    <x v="9"/>
    <x v="0"/>
    <x v="2"/>
    <x v="0"/>
    <x v="79"/>
    <x v="173"/>
    <x v="9"/>
    <n v="0"/>
    <n v="0"/>
    <n v="1219"/>
    <m/>
    <m/>
    <m/>
    <m/>
    <m/>
    <m/>
    <m/>
    <m/>
    <s v="Negative"/>
    <s v="Negative"/>
    <s v="Accurate Prediction"/>
  </r>
  <r>
    <x v="9"/>
    <x v="39"/>
    <x v="15"/>
    <x v="46"/>
    <x v="105"/>
    <x v="35"/>
    <x v="498"/>
    <x v="44"/>
    <n v="0"/>
    <s v="Not Sampled"/>
    <n v="1220"/>
    <m/>
    <m/>
    <m/>
    <m/>
    <m/>
    <m/>
    <m/>
    <m/>
    <s v="Negative"/>
    <s v="Not Sampled"/>
    <s v="Not Sampled"/>
  </r>
  <r>
    <x v="0"/>
    <x v="27"/>
    <x v="9"/>
    <x v="21"/>
    <x v="0"/>
    <x v="8"/>
    <x v="250"/>
    <x v="23"/>
    <n v="0"/>
    <s v="Not Sampled"/>
    <n v="1221"/>
    <m/>
    <m/>
    <m/>
    <m/>
    <m/>
    <m/>
    <m/>
    <m/>
    <s v="Negative"/>
    <s v="Not Sampled"/>
    <s v="Not Sampled"/>
  </r>
  <r>
    <x v="7"/>
    <x v="126"/>
    <x v="5"/>
    <x v="17"/>
    <x v="180"/>
    <x v="173"/>
    <x v="404"/>
    <x v="13"/>
    <n v="0"/>
    <s v="Not Sampled"/>
    <n v="1222"/>
    <m/>
    <m/>
    <m/>
    <m/>
    <m/>
    <m/>
    <m/>
    <m/>
    <s v="Negative"/>
    <s v="Not Sampled"/>
    <s v="Not Sampled"/>
  </r>
  <r>
    <x v="2"/>
    <x v="51"/>
    <x v="12"/>
    <x v="2"/>
    <x v="0"/>
    <x v="15"/>
    <x v="284"/>
    <x v="0"/>
    <n v="1"/>
    <s v="Not Sampled"/>
    <n v="1223"/>
    <m/>
    <m/>
    <m/>
    <m/>
    <m/>
    <m/>
    <m/>
    <m/>
    <s v="Positive"/>
    <s v="Not Sampled"/>
    <s v="Not Sampled"/>
  </r>
  <r>
    <x v="2"/>
    <x v="67"/>
    <x v="9"/>
    <x v="1"/>
    <x v="0"/>
    <x v="25"/>
    <x v="265"/>
    <x v="1"/>
    <n v="0"/>
    <s v="Not Sampled"/>
    <n v="1224"/>
    <m/>
    <m/>
    <m/>
    <m/>
    <m/>
    <m/>
    <m/>
    <m/>
    <s v="Negative"/>
    <s v="Not Sampled"/>
    <s v="Not Sampled"/>
  </r>
  <r>
    <x v="16"/>
    <x v="45"/>
    <x v="4"/>
    <x v="14"/>
    <x v="101"/>
    <x v="69"/>
    <x v="255"/>
    <x v="22"/>
    <n v="1"/>
    <n v="0"/>
    <n v="1225"/>
    <m/>
    <m/>
    <m/>
    <m/>
    <m/>
    <m/>
    <m/>
    <m/>
    <s v="Positive"/>
    <s v="Negative"/>
    <s v="Inaccurate Prediction"/>
  </r>
  <r>
    <x v="4"/>
    <x v="56"/>
    <x v="5"/>
    <x v="2"/>
    <x v="0"/>
    <x v="139"/>
    <x v="256"/>
    <x v="5"/>
    <n v="0"/>
    <s v="Not Sampled"/>
    <n v="1226"/>
    <m/>
    <m/>
    <m/>
    <m/>
    <m/>
    <m/>
    <m/>
    <m/>
    <s v="Negative"/>
    <s v="Not Sampled"/>
    <s v="Not Sampled"/>
  </r>
  <r>
    <x v="1"/>
    <x v="107"/>
    <x v="2"/>
    <x v="2"/>
    <x v="0"/>
    <x v="167"/>
    <x v="16"/>
    <x v="13"/>
    <n v="1"/>
    <n v="1"/>
    <n v="1227"/>
    <m/>
    <m/>
    <m/>
    <m/>
    <m/>
    <m/>
    <m/>
    <m/>
    <s v="Positive"/>
    <s v="Positive"/>
    <s v="Accurate Prediction"/>
  </r>
  <r>
    <x v="0"/>
    <x v="65"/>
    <x v="22"/>
    <x v="12"/>
    <x v="42"/>
    <x v="31"/>
    <x v="239"/>
    <x v="14"/>
    <n v="1"/>
    <n v="0"/>
    <n v="1228"/>
    <m/>
    <m/>
    <m/>
    <m/>
    <m/>
    <m/>
    <m/>
    <m/>
    <s v="Positive"/>
    <s v="Negative"/>
    <s v="Inaccurate Prediction"/>
  </r>
  <r>
    <x v="7"/>
    <x v="108"/>
    <x v="1"/>
    <x v="4"/>
    <x v="102"/>
    <x v="134"/>
    <x v="257"/>
    <x v="20"/>
    <n v="0"/>
    <s v="Not Sampled"/>
    <n v="1229"/>
    <m/>
    <m/>
    <m/>
    <m/>
    <m/>
    <m/>
    <m/>
    <m/>
    <s v="Negative"/>
    <s v="Not Sampled"/>
    <s v="Not Sampled"/>
  </r>
  <r>
    <x v="7"/>
    <x v="109"/>
    <x v="34"/>
    <x v="2"/>
    <x v="0"/>
    <x v="168"/>
    <x v="200"/>
    <x v="6"/>
    <n v="1"/>
    <n v="1"/>
    <n v="1230"/>
    <m/>
    <m/>
    <m/>
    <m/>
    <m/>
    <m/>
    <m/>
    <m/>
    <s v="Positive"/>
    <s v="Positive"/>
    <s v="Accurate Prediction"/>
  </r>
  <r>
    <x v="5"/>
    <x v="42"/>
    <x v="15"/>
    <x v="2"/>
    <x v="0"/>
    <x v="169"/>
    <x v="28"/>
    <x v="26"/>
    <n v="0"/>
    <n v="0"/>
    <n v="1231"/>
    <m/>
    <m/>
    <m/>
    <m/>
    <m/>
    <m/>
    <m/>
    <m/>
    <s v="Negative"/>
    <s v="Negative"/>
    <s v="Accurate Prediction"/>
  </r>
  <r>
    <x v="0"/>
    <x v="24"/>
    <x v="15"/>
    <x v="18"/>
    <x v="16"/>
    <x v="170"/>
    <x v="258"/>
    <x v="29"/>
    <n v="0"/>
    <s v="Not Sampled"/>
    <n v="1232"/>
    <m/>
    <m/>
    <m/>
    <m/>
    <m/>
    <m/>
    <m/>
    <m/>
    <s v="Negative"/>
    <s v="Not Sampled"/>
    <s v="Not Sampled"/>
  </r>
  <r>
    <x v="9"/>
    <x v="106"/>
    <x v="3"/>
    <x v="17"/>
    <x v="103"/>
    <x v="171"/>
    <x v="259"/>
    <x v="0"/>
    <n v="1"/>
    <s v="Not Sampled"/>
    <n v="1233"/>
    <m/>
    <m/>
    <m/>
    <m/>
    <m/>
    <m/>
    <m/>
    <m/>
    <s v="Positive"/>
    <s v="Not Sampled"/>
    <s v="Not Sampled"/>
  </r>
  <r>
    <x v="1"/>
    <x v="59"/>
    <x v="3"/>
    <x v="36"/>
    <x v="104"/>
    <x v="172"/>
    <x v="221"/>
    <x v="4"/>
    <n v="0"/>
    <s v="Not Sampled"/>
    <n v="1234"/>
    <m/>
    <m/>
    <m/>
    <m/>
    <m/>
    <m/>
    <m/>
    <m/>
    <s v="Negative"/>
    <s v="Not Sampled"/>
    <s v="Not Sampled"/>
  </r>
  <r>
    <x v="1"/>
    <x v="80"/>
    <x v="3"/>
    <x v="13"/>
    <x v="105"/>
    <x v="85"/>
    <x v="260"/>
    <x v="14"/>
    <n v="1"/>
    <s v="Not Sampled"/>
    <n v="1235"/>
    <m/>
    <m/>
    <m/>
    <m/>
    <m/>
    <m/>
    <m/>
    <m/>
    <s v="Positive"/>
    <s v="Not Sampled"/>
    <s v="Not Sampled"/>
  </r>
  <r>
    <x v="0"/>
    <x v="73"/>
    <x v="3"/>
    <x v="7"/>
    <x v="106"/>
    <x v="35"/>
    <x v="261"/>
    <x v="13"/>
    <n v="1"/>
    <s v="Not Sampled"/>
    <n v="1236"/>
    <m/>
    <m/>
    <m/>
    <m/>
    <m/>
    <m/>
    <m/>
    <m/>
    <s v="Positive"/>
    <s v="Not Sampled"/>
    <s v="Not Sampled"/>
  </r>
  <r>
    <x v="6"/>
    <x v="11"/>
    <x v="19"/>
    <x v="8"/>
    <x v="0"/>
    <x v="173"/>
    <x v="17"/>
    <x v="17"/>
    <n v="0"/>
    <n v="0"/>
    <n v="1237"/>
    <m/>
    <m/>
    <m/>
    <m/>
    <m/>
    <m/>
    <m/>
    <m/>
    <s v="Negative"/>
    <s v="Negative"/>
    <s v="Accurate Prediction"/>
  </r>
  <r>
    <x v="1"/>
    <x v="33"/>
    <x v="9"/>
    <x v="18"/>
    <x v="104"/>
    <x v="121"/>
    <x v="186"/>
    <x v="11"/>
    <n v="0"/>
    <s v="Not Sampled"/>
    <n v="1238"/>
    <m/>
    <m/>
    <m/>
    <m/>
    <m/>
    <m/>
    <m/>
    <m/>
    <s v="Negative"/>
    <s v="Not Sampled"/>
    <s v="Not Sampled"/>
  </r>
  <r>
    <x v="0"/>
    <x v="70"/>
    <x v="10"/>
    <x v="6"/>
    <x v="107"/>
    <x v="13"/>
    <x v="262"/>
    <x v="23"/>
    <n v="1"/>
    <s v="Not Sampled"/>
    <n v="1239"/>
    <m/>
    <m/>
    <m/>
    <m/>
    <m/>
    <m/>
    <m/>
    <m/>
    <s v="Positive"/>
    <s v="Not Sampled"/>
    <s v="Not Sampled"/>
  </r>
  <r>
    <x v="5"/>
    <x v="57"/>
    <x v="13"/>
    <x v="25"/>
    <x v="108"/>
    <x v="81"/>
    <x v="263"/>
    <x v="14"/>
    <n v="0"/>
    <s v="Not Sampled"/>
    <n v="1240"/>
    <m/>
    <m/>
    <m/>
    <m/>
    <m/>
    <m/>
    <m/>
    <m/>
    <s v="Negative"/>
    <s v="Not Sampled"/>
    <s v="Not Sampled"/>
  </r>
  <r>
    <x v="8"/>
    <x v="49"/>
    <x v="6"/>
    <x v="1"/>
    <x v="0"/>
    <x v="117"/>
    <x v="264"/>
    <x v="33"/>
    <n v="1"/>
    <s v="Not Sampled"/>
    <n v="1241"/>
    <m/>
    <m/>
    <m/>
    <m/>
    <m/>
    <m/>
    <m/>
    <m/>
    <s v="Positive"/>
    <s v="Not Sampled"/>
    <s v="Not Sampled"/>
  </r>
  <r>
    <x v="0"/>
    <x v="56"/>
    <x v="3"/>
    <x v="29"/>
    <x v="48"/>
    <x v="174"/>
    <x v="265"/>
    <x v="25"/>
    <n v="0"/>
    <s v="Not Sampled"/>
    <n v="1242"/>
    <m/>
    <m/>
    <m/>
    <m/>
    <m/>
    <m/>
    <m/>
    <m/>
    <s v="Negative"/>
    <s v="Not Sampled"/>
    <s v="Not Sampled"/>
  </r>
  <r>
    <x v="5"/>
    <x v="6"/>
    <x v="6"/>
    <x v="22"/>
    <x v="36"/>
    <x v="175"/>
    <x v="223"/>
    <x v="13"/>
    <n v="0"/>
    <n v="0"/>
    <n v="1243"/>
    <m/>
    <m/>
    <m/>
    <m/>
    <m/>
    <m/>
    <m/>
    <m/>
    <s v="Negative"/>
    <s v="Negative"/>
    <s v="Accurate Prediction"/>
  </r>
  <r>
    <x v="5"/>
    <x v="110"/>
    <x v="10"/>
    <x v="2"/>
    <x v="0"/>
    <x v="85"/>
    <x v="266"/>
    <x v="29"/>
    <n v="1"/>
    <n v="1"/>
    <n v="1244"/>
    <m/>
    <m/>
    <m/>
    <m/>
    <m/>
    <m/>
    <m/>
    <m/>
    <s v="Positive"/>
    <s v="Positive"/>
    <s v="Accurate Prediction"/>
  </r>
  <r>
    <x v="5"/>
    <x v="109"/>
    <x v="19"/>
    <x v="15"/>
    <x v="32"/>
    <x v="176"/>
    <x v="181"/>
    <x v="6"/>
    <n v="0"/>
    <s v="Not Sampled"/>
    <n v="1245"/>
    <m/>
    <m/>
    <m/>
    <m/>
    <m/>
    <m/>
    <m/>
    <m/>
    <s v="Negative"/>
    <s v="Not Sampled"/>
    <s v="Not Sampled"/>
  </r>
  <r>
    <x v="6"/>
    <x v="7"/>
    <x v="4"/>
    <x v="2"/>
    <x v="0"/>
    <x v="177"/>
    <x v="267"/>
    <x v="45"/>
    <n v="1"/>
    <n v="1"/>
    <n v="1246"/>
    <m/>
    <m/>
    <m/>
    <m/>
    <m/>
    <m/>
    <m/>
    <m/>
    <s v="Positive"/>
    <s v="Positive"/>
    <s v="Accurate Prediction"/>
  </r>
  <r>
    <x v="3"/>
    <x v="52"/>
    <x v="12"/>
    <x v="39"/>
    <x v="109"/>
    <x v="155"/>
    <x v="268"/>
    <x v="2"/>
    <n v="0"/>
    <n v="0"/>
    <n v="1247"/>
    <m/>
    <m/>
    <m/>
    <m/>
    <m/>
    <m/>
    <m/>
    <m/>
    <s v="Negative"/>
    <s v="Negative"/>
    <s v="Accurate Prediction"/>
  </r>
  <r>
    <x v="5"/>
    <x v="56"/>
    <x v="10"/>
    <x v="8"/>
    <x v="0"/>
    <x v="31"/>
    <x v="269"/>
    <x v="14"/>
    <n v="1"/>
    <s v="Not Sampled"/>
    <n v="1248"/>
    <m/>
    <m/>
    <m/>
    <m/>
    <m/>
    <m/>
    <m/>
    <m/>
    <s v="Positive"/>
    <s v="Not Sampled"/>
    <s v="Not Sampled"/>
  </r>
  <r>
    <x v="1"/>
    <x v="73"/>
    <x v="9"/>
    <x v="28"/>
    <x v="0"/>
    <x v="41"/>
    <x v="54"/>
    <x v="31"/>
    <n v="1"/>
    <s v="Not Sampled"/>
    <n v="1249"/>
    <m/>
    <m/>
    <m/>
    <m/>
    <m/>
    <m/>
    <m/>
    <m/>
    <s v="Positive"/>
    <s v="Not Sampled"/>
    <s v="Not Sampled"/>
  </r>
  <r>
    <x v="13"/>
    <x v="87"/>
    <x v="8"/>
    <x v="12"/>
    <x v="110"/>
    <x v="90"/>
    <x v="270"/>
    <x v="33"/>
    <n v="1"/>
    <s v="Not Sampled"/>
    <n v="1250"/>
    <m/>
    <m/>
    <m/>
    <m/>
    <m/>
    <m/>
    <m/>
    <m/>
    <s v="Positive"/>
    <s v="Not Sampled"/>
    <s v="Not Sampled"/>
  </r>
  <r>
    <x v="0"/>
    <x v="56"/>
    <x v="25"/>
    <x v="5"/>
    <x v="0"/>
    <x v="140"/>
    <x v="271"/>
    <x v="4"/>
    <n v="0"/>
    <s v="Not Sampled"/>
    <n v="1251"/>
    <m/>
    <m/>
    <m/>
    <m/>
    <m/>
    <m/>
    <m/>
    <m/>
    <s v="Negative"/>
    <s v="Not Sampled"/>
    <s v="Not Sampled"/>
  </r>
  <r>
    <x v="2"/>
    <x v="111"/>
    <x v="5"/>
    <x v="23"/>
    <x v="49"/>
    <x v="6"/>
    <x v="272"/>
    <x v="3"/>
    <n v="0"/>
    <s v="Not Sampled"/>
    <n v="1252"/>
    <m/>
    <m/>
    <m/>
    <m/>
    <m/>
    <m/>
    <m/>
    <m/>
    <s v="Negative"/>
    <s v="Not Sampled"/>
    <s v="Not Sampled"/>
  </r>
  <r>
    <x v="2"/>
    <x v="27"/>
    <x v="11"/>
    <x v="5"/>
    <x v="64"/>
    <x v="60"/>
    <x v="24"/>
    <x v="13"/>
    <n v="1"/>
    <s v="Not Sampled"/>
    <n v="1253"/>
    <m/>
    <m/>
    <m/>
    <m/>
    <m/>
    <m/>
    <m/>
    <m/>
    <s v="Positive"/>
    <s v="Not Sampled"/>
    <s v="Not Sampled"/>
  </r>
  <r>
    <x v="9"/>
    <x v="91"/>
    <x v="9"/>
    <x v="2"/>
    <x v="0"/>
    <x v="60"/>
    <x v="29"/>
    <x v="26"/>
    <n v="0"/>
    <s v="Not Sampled"/>
    <n v="1254"/>
    <m/>
    <m/>
    <m/>
    <m/>
    <m/>
    <m/>
    <m/>
    <m/>
    <s v="Negative"/>
    <s v="Not Sampled"/>
    <s v="Not Sampled"/>
  </r>
  <r>
    <x v="0"/>
    <x v="29"/>
    <x v="24"/>
    <x v="35"/>
    <x v="77"/>
    <x v="178"/>
    <x v="0"/>
    <x v="1"/>
    <n v="1"/>
    <s v="Not Sampled"/>
    <n v="1255"/>
    <m/>
    <m/>
    <m/>
    <m/>
    <m/>
    <m/>
    <m/>
    <m/>
    <s v="Positive"/>
    <s v="Not Sampled"/>
    <s v="Not Sampled"/>
  </r>
  <r>
    <x v="6"/>
    <x v="67"/>
    <x v="13"/>
    <x v="8"/>
    <x v="36"/>
    <x v="77"/>
    <x v="92"/>
    <x v="1"/>
    <n v="0"/>
    <n v="0"/>
    <n v="1256"/>
    <m/>
    <m/>
    <m/>
    <m/>
    <m/>
    <m/>
    <m/>
    <m/>
    <s v="Negative"/>
    <s v="Negative"/>
    <s v="Accurate Prediction"/>
  </r>
  <r>
    <x v="2"/>
    <x v="27"/>
    <x v="8"/>
    <x v="33"/>
    <x v="38"/>
    <x v="78"/>
    <x v="93"/>
    <x v="2"/>
    <n v="1"/>
    <s v="Not Sampled"/>
    <n v="1257"/>
    <m/>
    <m/>
    <m/>
    <m/>
    <m/>
    <m/>
    <m/>
    <m/>
    <s v="Positive"/>
    <s v="Not Sampled"/>
    <s v="Not Sampled"/>
  </r>
  <r>
    <x v="2"/>
    <x v="26"/>
    <x v="5"/>
    <x v="2"/>
    <x v="0"/>
    <x v="20"/>
    <x v="94"/>
    <x v="9"/>
    <n v="1"/>
    <s v="Not Sampled"/>
    <n v="1258"/>
    <m/>
    <m/>
    <m/>
    <m/>
    <m/>
    <m/>
    <m/>
    <m/>
    <s v="Positive"/>
    <s v="Not Sampled"/>
    <s v="Not Sampled"/>
  </r>
  <r>
    <x v="2"/>
    <x v="68"/>
    <x v="12"/>
    <x v="2"/>
    <x v="0"/>
    <x v="7"/>
    <x v="95"/>
    <x v="11"/>
    <n v="0"/>
    <s v="Not Sampled"/>
    <n v="1259"/>
    <m/>
    <m/>
    <m/>
    <m/>
    <m/>
    <m/>
    <m/>
    <m/>
    <s v="Negative"/>
    <s v="Not Sampled"/>
    <s v="Not Sampled"/>
  </r>
  <r>
    <x v="1"/>
    <x v="10"/>
    <x v="30"/>
    <x v="2"/>
    <x v="0"/>
    <x v="79"/>
    <x v="96"/>
    <x v="4"/>
    <n v="0"/>
    <s v="Not Sampled"/>
    <n v="1260"/>
    <m/>
    <m/>
    <m/>
    <m/>
    <m/>
    <m/>
    <m/>
    <m/>
    <s v="Negative"/>
    <s v="Not Sampled"/>
    <s v="Not Sampled"/>
  </r>
  <r>
    <x v="2"/>
    <x v="14"/>
    <x v="5"/>
    <x v="10"/>
    <x v="39"/>
    <x v="13"/>
    <x v="97"/>
    <x v="3"/>
    <n v="0"/>
    <s v="Not Sampled"/>
    <n v="1261"/>
    <m/>
    <m/>
    <m/>
    <m/>
    <m/>
    <m/>
    <m/>
    <m/>
    <s v="Negative"/>
    <s v="Not Sampled"/>
    <s v="Not Sampled"/>
  </r>
  <r>
    <x v="0"/>
    <x v="69"/>
    <x v="7"/>
    <x v="2"/>
    <x v="0"/>
    <x v="80"/>
    <x v="98"/>
    <x v="23"/>
    <n v="0"/>
    <n v="0"/>
    <n v="1262"/>
    <m/>
    <m/>
    <m/>
    <m/>
    <m/>
    <m/>
    <m/>
    <m/>
    <s v="Negative"/>
    <s v="Negative"/>
    <s v="Accurate Prediction"/>
  </r>
  <r>
    <x v="2"/>
    <x v="51"/>
    <x v="20"/>
    <x v="30"/>
    <x v="40"/>
    <x v="77"/>
    <x v="99"/>
    <x v="4"/>
    <n v="0"/>
    <s v="Not Sampled"/>
    <n v="1263"/>
    <m/>
    <m/>
    <m/>
    <m/>
    <m/>
    <m/>
    <m/>
    <m/>
    <s v="Negative"/>
    <s v="Not Sampled"/>
    <s v="Not Sampled"/>
  </r>
  <r>
    <x v="2"/>
    <x v="20"/>
    <x v="31"/>
    <x v="2"/>
    <x v="0"/>
    <x v="65"/>
    <x v="28"/>
    <x v="23"/>
    <n v="0"/>
    <n v="0"/>
    <n v="1264"/>
    <m/>
    <m/>
    <m/>
    <m/>
    <m/>
    <m/>
    <m/>
    <m/>
    <s v="Negative"/>
    <s v="Negative"/>
    <s v="Accurate Prediction"/>
  </r>
  <r>
    <x v="3"/>
    <x v="65"/>
    <x v="22"/>
    <x v="7"/>
    <x v="32"/>
    <x v="81"/>
    <x v="100"/>
    <x v="26"/>
    <n v="0"/>
    <n v="0"/>
    <n v="1265"/>
    <m/>
    <m/>
    <m/>
    <m/>
    <m/>
    <m/>
    <m/>
    <m/>
    <s v="Negative"/>
    <s v="Negative"/>
    <s v="Accurate Prediction"/>
  </r>
  <r>
    <x v="5"/>
    <x v="8"/>
    <x v="22"/>
    <x v="1"/>
    <x v="41"/>
    <x v="82"/>
    <x v="101"/>
    <x v="14"/>
    <n v="0"/>
    <s v="Not Sampled"/>
    <n v="1266"/>
    <m/>
    <m/>
    <m/>
    <m/>
    <m/>
    <m/>
    <m/>
    <m/>
    <s v="Negative"/>
    <s v="Not Sampled"/>
    <s v="Not Sampled"/>
  </r>
  <r>
    <x v="1"/>
    <x v="50"/>
    <x v="23"/>
    <x v="14"/>
    <x v="22"/>
    <x v="83"/>
    <x v="102"/>
    <x v="3"/>
    <n v="1"/>
    <n v="0"/>
    <n v="1267"/>
    <m/>
    <m/>
    <m/>
    <m/>
    <m/>
    <m/>
    <m/>
    <m/>
    <s v="Positive"/>
    <s v="Negative"/>
    <s v="Inaccurate Prediction"/>
  </r>
  <r>
    <x v="5"/>
    <x v="34"/>
    <x v="5"/>
    <x v="12"/>
    <x v="42"/>
    <x v="21"/>
    <x v="103"/>
    <x v="3"/>
    <n v="1"/>
    <s v="Not Sampled"/>
    <n v="1268"/>
    <m/>
    <m/>
    <m/>
    <m/>
    <m/>
    <m/>
    <m/>
    <m/>
    <s v="Positive"/>
    <s v="Not Sampled"/>
    <s v="Not Sampled"/>
  </r>
  <r>
    <x v="4"/>
    <x v="70"/>
    <x v="0"/>
    <x v="16"/>
    <x v="43"/>
    <x v="37"/>
    <x v="104"/>
    <x v="22"/>
    <n v="1"/>
    <s v="Not Sampled"/>
    <n v="1269"/>
    <m/>
    <m/>
    <m/>
    <m/>
    <m/>
    <m/>
    <m/>
    <m/>
    <s v="Positive"/>
    <s v="Not Sampled"/>
    <s v="Not Sampled"/>
  </r>
  <r>
    <x v="2"/>
    <x v="9"/>
    <x v="15"/>
    <x v="24"/>
    <x v="44"/>
    <x v="84"/>
    <x v="105"/>
    <x v="1"/>
    <n v="0"/>
    <n v="0"/>
    <n v="1270"/>
    <m/>
    <m/>
    <m/>
    <m/>
    <m/>
    <m/>
    <m/>
    <m/>
    <s v="Negative"/>
    <s v="Negative"/>
    <s v="Accurate Prediction"/>
  </r>
  <r>
    <x v="3"/>
    <x v="71"/>
    <x v="0"/>
    <x v="2"/>
    <x v="0"/>
    <x v="37"/>
    <x v="73"/>
    <x v="14"/>
    <n v="0"/>
    <n v="0"/>
    <n v="1271"/>
    <m/>
    <m/>
    <m/>
    <m/>
    <m/>
    <m/>
    <m/>
    <m/>
    <s v="Negative"/>
    <s v="Negative"/>
    <s v="Accurate Prediction"/>
  </r>
  <r>
    <x v="8"/>
    <x v="72"/>
    <x v="14"/>
    <x v="5"/>
    <x v="45"/>
    <x v="85"/>
    <x v="106"/>
    <x v="16"/>
    <n v="1"/>
    <s v="Not Sampled"/>
    <n v="1272"/>
    <m/>
    <m/>
    <m/>
    <m/>
    <m/>
    <m/>
    <m/>
    <m/>
    <s v="Positive"/>
    <s v="Not Sampled"/>
    <s v="Not Sampled"/>
  </r>
  <r>
    <x v="3"/>
    <x v="36"/>
    <x v="17"/>
    <x v="2"/>
    <x v="0"/>
    <x v="84"/>
    <x v="107"/>
    <x v="36"/>
    <n v="1"/>
    <s v="Not Sampled"/>
    <n v="1273"/>
    <m/>
    <m/>
    <m/>
    <m/>
    <m/>
    <m/>
    <m/>
    <m/>
    <s v="Positive"/>
    <s v="Not Sampled"/>
    <s v="Not Sampled"/>
  </r>
  <r>
    <x v="7"/>
    <x v="73"/>
    <x v="10"/>
    <x v="2"/>
    <x v="0"/>
    <x v="37"/>
    <x v="108"/>
    <x v="19"/>
    <n v="1"/>
    <n v="0"/>
    <n v="1274"/>
    <m/>
    <m/>
    <m/>
    <m/>
    <m/>
    <m/>
    <m/>
    <m/>
    <s v="Positive"/>
    <s v="Negative"/>
    <s v="Inaccurate Prediction"/>
  </r>
  <r>
    <x v="7"/>
    <x v="74"/>
    <x v="26"/>
    <x v="2"/>
    <x v="0"/>
    <x v="47"/>
    <x v="109"/>
    <x v="14"/>
    <n v="0"/>
    <s v="Not Sampled"/>
    <n v="1275"/>
    <m/>
    <m/>
    <m/>
    <m/>
    <m/>
    <m/>
    <m/>
    <m/>
    <s v="Negative"/>
    <s v="Not Sampled"/>
    <s v="Not Sampled"/>
  </r>
  <r>
    <x v="3"/>
    <x v="75"/>
    <x v="12"/>
    <x v="17"/>
    <x v="0"/>
    <x v="86"/>
    <x v="85"/>
    <x v="11"/>
    <n v="0"/>
    <s v="Not Sampled"/>
    <n v="1276"/>
    <m/>
    <m/>
    <m/>
    <m/>
    <m/>
    <m/>
    <m/>
    <m/>
    <s v="Negative"/>
    <s v="Not Sampled"/>
    <s v="Not Sampled"/>
  </r>
  <r>
    <x v="3"/>
    <x v="6"/>
    <x v="15"/>
    <x v="11"/>
    <x v="46"/>
    <x v="87"/>
    <x v="110"/>
    <x v="4"/>
    <n v="0"/>
    <s v="Not Sampled"/>
    <n v="1277"/>
    <m/>
    <m/>
    <m/>
    <m/>
    <m/>
    <m/>
    <m/>
    <m/>
    <s v="Negative"/>
    <s v="Not Sampled"/>
    <s v="Not Sampled"/>
  </r>
  <r>
    <x v="1"/>
    <x v="76"/>
    <x v="15"/>
    <x v="34"/>
    <x v="31"/>
    <x v="88"/>
    <x v="111"/>
    <x v="14"/>
    <n v="1"/>
    <s v="Not Sampled"/>
    <n v="1278"/>
    <m/>
    <m/>
    <m/>
    <m/>
    <m/>
    <m/>
    <m/>
    <m/>
    <s v="Positive"/>
    <s v="Not Sampled"/>
    <s v="Not Sampled"/>
  </r>
  <r>
    <x v="6"/>
    <x v="31"/>
    <x v="11"/>
    <x v="15"/>
    <x v="0"/>
    <x v="89"/>
    <x v="112"/>
    <x v="3"/>
    <n v="0"/>
    <n v="0"/>
    <n v="1279"/>
    <m/>
    <m/>
    <m/>
    <m/>
    <m/>
    <m/>
    <m/>
    <m/>
    <s v="Negative"/>
    <s v="Negative"/>
    <s v="Accurate Prediction"/>
  </r>
  <r>
    <x v="0"/>
    <x v="61"/>
    <x v="10"/>
    <x v="8"/>
    <x v="31"/>
    <x v="0"/>
    <x v="113"/>
    <x v="1"/>
    <n v="0"/>
    <s v="Not Sampled"/>
    <n v="1280"/>
    <m/>
    <m/>
    <m/>
    <m/>
    <m/>
    <m/>
    <m/>
    <m/>
    <s v="Negative"/>
    <s v="Not Sampled"/>
    <s v="Not Sampled"/>
  </r>
  <r>
    <x v="7"/>
    <x v="77"/>
    <x v="6"/>
    <x v="2"/>
    <x v="0"/>
    <x v="90"/>
    <x v="114"/>
    <x v="37"/>
    <n v="0"/>
    <s v="Not Sampled"/>
    <n v="1281"/>
    <m/>
    <m/>
    <m/>
    <m/>
    <m/>
    <m/>
    <m/>
    <m/>
    <s v="Negative"/>
    <s v="Not Sampled"/>
    <s v="Not Sampled"/>
  </r>
  <r>
    <x v="1"/>
    <x v="57"/>
    <x v="15"/>
    <x v="2"/>
    <x v="0"/>
    <x v="21"/>
    <x v="115"/>
    <x v="1"/>
    <n v="1"/>
    <n v="0"/>
    <n v="1282"/>
    <m/>
    <m/>
    <m/>
    <m/>
    <m/>
    <m/>
    <m/>
    <m/>
    <s v="Positive"/>
    <s v="Negative"/>
    <s v="Inaccurate Prediction"/>
  </r>
  <r>
    <x v="2"/>
    <x v="40"/>
    <x v="32"/>
    <x v="3"/>
    <x v="47"/>
    <x v="91"/>
    <x v="116"/>
    <x v="25"/>
    <n v="1"/>
    <n v="0"/>
    <n v="1283"/>
    <m/>
    <m/>
    <m/>
    <m/>
    <m/>
    <m/>
    <m/>
    <m/>
    <s v="Positive"/>
    <s v="Negative"/>
    <s v="Inaccurate Prediction"/>
  </r>
  <r>
    <x v="5"/>
    <x v="24"/>
    <x v="9"/>
    <x v="8"/>
    <x v="42"/>
    <x v="92"/>
    <x v="117"/>
    <x v="13"/>
    <n v="0"/>
    <s v="Not Sampled"/>
    <n v="1284"/>
    <m/>
    <m/>
    <m/>
    <m/>
    <m/>
    <m/>
    <m/>
    <m/>
    <s v="Negative"/>
    <s v="Not Sampled"/>
    <s v="Not Sampled"/>
  </r>
  <r>
    <x v="2"/>
    <x v="78"/>
    <x v="22"/>
    <x v="35"/>
    <x v="48"/>
    <x v="21"/>
    <x v="86"/>
    <x v="1"/>
    <n v="0"/>
    <s v="Not Sampled"/>
    <n v="1285"/>
    <m/>
    <m/>
    <m/>
    <m/>
    <m/>
    <m/>
    <m/>
    <m/>
    <s v="Negative"/>
    <s v="Not Sampled"/>
    <s v="Not Sampled"/>
  </r>
  <r>
    <x v="2"/>
    <x v="17"/>
    <x v="21"/>
    <x v="20"/>
    <x v="8"/>
    <x v="93"/>
    <x v="118"/>
    <x v="18"/>
    <n v="1"/>
    <s v="Not Sampled"/>
    <n v="1286"/>
    <m/>
    <m/>
    <m/>
    <m/>
    <m/>
    <m/>
    <m/>
    <m/>
    <s v="Positive"/>
    <s v="Not Sampled"/>
    <s v="Not Sampled"/>
  </r>
  <r>
    <x v="1"/>
    <x v="38"/>
    <x v="16"/>
    <x v="2"/>
    <x v="0"/>
    <x v="94"/>
    <x v="119"/>
    <x v="38"/>
    <n v="1"/>
    <s v="Not Sampled"/>
    <n v="1287"/>
    <m/>
    <m/>
    <m/>
    <m/>
    <m/>
    <m/>
    <m/>
    <m/>
    <s v="Positive"/>
    <s v="Not Sampled"/>
    <s v="Not Sampled"/>
  </r>
  <r>
    <x v="3"/>
    <x v="5"/>
    <x v="9"/>
    <x v="36"/>
    <x v="49"/>
    <x v="27"/>
    <x v="120"/>
    <x v="9"/>
    <n v="1"/>
    <s v="Not Sampled"/>
    <n v="1288"/>
    <m/>
    <m/>
    <m/>
    <m/>
    <m/>
    <m/>
    <m/>
    <m/>
    <s v="Positive"/>
    <s v="Not Sampled"/>
    <s v="Not Sampled"/>
  </r>
  <r>
    <x v="11"/>
    <x v="27"/>
    <x v="20"/>
    <x v="2"/>
    <x v="0"/>
    <x v="21"/>
    <x v="121"/>
    <x v="9"/>
    <n v="1"/>
    <s v="Not Sampled"/>
    <n v="1289"/>
    <m/>
    <m/>
    <m/>
    <m/>
    <m/>
    <m/>
    <m/>
    <m/>
    <s v="Positive"/>
    <s v="Not Sampled"/>
    <s v="Not Sampled"/>
  </r>
  <r>
    <x v="5"/>
    <x v="79"/>
    <x v="11"/>
    <x v="18"/>
    <x v="50"/>
    <x v="93"/>
    <x v="92"/>
    <x v="13"/>
    <n v="1"/>
    <s v="Not Sampled"/>
    <n v="1290"/>
    <m/>
    <m/>
    <m/>
    <m/>
    <m/>
    <m/>
    <m/>
    <m/>
    <s v="Positive"/>
    <s v="Not Sampled"/>
    <s v="Not Sampled"/>
  </r>
  <r>
    <x v="4"/>
    <x v="1"/>
    <x v="10"/>
    <x v="1"/>
    <x v="0"/>
    <x v="95"/>
    <x v="122"/>
    <x v="16"/>
    <n v="0"/>
    <n v="0"/>
    <n v="1291"/>
    <m/>
    <m/>
    <m/>
    <m/>
    <m/>
    <m/>
    <m/>
    <m/>
    <s v="Negative"/>
    <s v="Negative"/>
    <s v="Accurate Prediction"/>
  </r>
  <r>
    <x v="0"/>
    <x v="20"/>
    <x v="3"/>
    <x v="27"/>
    <x v="51"/>
    <x v="96"/>
    <x v="123"/>
    <x v="25"/>
    <n v="0"/>
    <s v="Not Sampled"/>
    <n v="1292"/>
    <m/>
    <m/>
    <m/>
    <m/>
    <m/>
    <m/>
    <m/>
    <m/>
    <s v="Negative"/>
    <s v="Not Sampled"/>
    <s v="Not Sampled"/>
  </r>
  <r>
    <x v="0"/>
    <x v="10"/>
    <x v="12"/>
    <x v="28"/>
    <x v="32"/>
    <x v="97"/>
    <x v="124"/>
    <x v="2"/>
    <n v="0"/>
    <s v="Not Sampled"/>
    <n v="1293"/>
    <m/>
    <m/>
    <m/>
    <m/>
    <m/>
    <m/>
    <m/>
    <m/>
    <s v="Negative"/>
    <s v="Not Sampled"/>
    <s v="Not Sampled"/>
  </r>
  <r>
    <x v="1"/>
    <x v="45"/>
    <x v="9"/>
    <x v="16"/>
    <x v="52"/>
    <x v="98"/>
    <x v="125"/>
    <x v="4"/>
    <n v="0"/>
    <s v="Not Sampled"/>
    <n v="1294"/>
    <m/>
    <m/>
    <m/>
    <m/>
    <m/>
    <m/>
    <m/>
    <m/>
    <s v="Negative"/>
    <s v="Not Sampled"/>
    <s v="Not Sampled"/>
  </r>
  <r>
    <x v="1"/>
    <x v="67"/>
    <x v="12"/>
    <x v="14"/>
    <x v="53"/>
    <x v="77"/>
    <x v="126"/>
    <x v="11"/>
    <n v="0"/>
    <s v="Not Sampled"/>
    <n v="1295"/>
    <m/>
    <m/>
    <m/>
    <m/>
    <m/>
    <m/>
    <m/>
    <m/>
    <s v="Negative"/>
    <s v="Not Sampled"/>
    <s v="Not Sampled"/>
  </r>
  <r>
    <x v="1"/>
    <x v="52"/>
    <x v="6"/>
    <x v="2"/>
    <x v="0"/>
    <x v="84"/>
    <x v="127"/>
    <x v="29"/>
    <n v="0"/>
    <s v="Not Sampled"/>
    <n v="1296"/>
    <m/>
    <m/>
    <m/>
    <m/>
    <m/>
    <m/>
    <m/>
    <m/>
    <s v="Negative"/>
    <s v="Not Sampled"/>
    <s v="Not Sampled"/>
  </r>
  <r>
    <x v="7"/>
    <x v="38"/>
    <x v="5"/>
    <x v="30"/>
    <x v="54"/>
    <x v="99"/>
    <x v="128"/>
    <x v="6"/>
    <n v="0"/>
    <n v="0"/>
    <n v="1297"/>
    <m/>
    <m/>
    <m/>
    <m/>
    <m/>
    <m/>
    <m/>
    <m/>
    <s v="Negative"/>
    <s v="Negative"/>
    <s v="Accurate Prediction"/>
  </r>
  <r>
    <x v="5"/>
    <x v="80"/>
    <x v="4"/>
    <x v="2"/>
    <x v="0"/>
    <x v="96"/>
    <x v="32"/>
    <x v="15"/>
    <n v="0"/>
    <n v="0"/>
    <n v="1298"/>
    <m/>
    <m/>
    <m/>
    <m/>
    <m/>
    <m/>
    <m/>
    <m/>
    <s v="Negative"/>
    <s v="Negative"/>
    <s v="Accurate Prediction"/>
  </r>
  <r>
    <x v="7"/>
    <x v="33"/>
    <x v="1"/>
    <x v="8"/>
    <x v="0"/>
    <x v="100"/>
    <x v="129"/>
    <x v="19"/>
    <n v="0"/>
    <s v="Not Sampled"/>
    <n v="1299"/>
    <m/>
    <m/>
    <m/>
    <m/>
    <m/>
    <m/>
    <m/>
    <m/>
    <s v="Negative"/>
    <s v="Not Sampled"/>
    <s v="Not Sampled"/>
  </r>
  <r>
    <x v="0"/>
    <x v="81"/>
    <x v="33"/>
    <x v="16"/>
    <x v="55"/>
    <x v="56"/>
    <x v="130"/>
    <x v="11"/>
    <n v="0"/>
    <s v="Not Sampled"/>
    <n v="1300"/>
    <m/>
    <m/>
    <m/>
    <m/>
    <m/>
    <m/>
    <m/>
    <m/>
    <s v="Negative"/>
    <s v="Not Sampled"/>
    <s v="Not Sampled"/>
  </r>
  <r>
    <x v="9"/>
    <x v="81"/>
    <x v="19"/>
    <x v="2"/>
    <x v="0"/>
    <x v="68"/>
    <x v="131"/>
    <x v="8"/>
    <n v="1"/>
    <n v="0"/>
    <n v="1301"/>
    <m/>
    <m/>
    <m/>
    <m/>
    <m/>
    <m/>
    <m/>
    <m/>
    <s v="Positive"/>
    <s v="Negative"/>
    <s v="Inaccurate Prediction"/>
  </r>
  <r>
    <x v="3"/>
    <x v="16"/>
    <x v="0"/>
    <x v="1"/>
    <x v="56"/>
    <x v="10"/>
    <x v="78"/>
    <x v="1"/>
    <n v="0"/>
    <s v="Not Sampled"/>
    <n v="1302"/>
    <m/>
    <m/>
    <m/>
    <m/>
    <m/>
    <m/>
    <m/>
    <m/>
    <s v="Negative"/>
    <s v="Not Sampled"/>
    <s v="Not Sampled"/>
  </r>
  <r>
    <x v="1"/>
    <x v="29"/>
    <x v="25"/>
    <x v="17"/>
    <x v="0"/>
    <x v="12"/>
    <x v="132"/>
    <x v="4"/>
    <n v="0"/>
    <s v="Not Sampled"/>
    <n v="1303"/>
    <m/>
    <m/>
    <m/>
    <m/>
    <m/>
    <m/>
    <m/>
    <m/>
    <s v="Negative"/>
    <s v="Not Sampled"/>
    <s v="Not Sampled"/>
  </r>
  <r>
    <x v="11"/>
    <x v="82"/>
    <x v="6"/>
    <x v="18"/>
    <x v="0"/>
    <x v="10"/>
    <x v="133"/>
    <x v="17"/>
    <n v="0"/>
    <n v="0"/>
    <n v="1304"/>
    <m/>
    <m/>
    <m/>
    <m/>
    <m/>
    <m/>
    <m/>
    <m/>
    <s v="Negative"/>
    <s v="Negative"/>
    <s v="Accurate Prediction"/>
  </r>
  <r>
    <x v="0"/>
    <x v="33"/>
    <x v="11"/>
    <x v="0"/>
    <x v="57"/>
    <x v="85"/>
    <x v="134"/>
    <x v="34"/>
    <n v="0"/>
    <s v="Not Sampled"/>
    <n v="1305"/>
    <m/>
    <m/>
    <m/>
    <m/>
    <m/>
    <m/>
    <m/>
    <m/>
    <s v="Negative"/>
    <s v="Not Sampled"/>
    <s v="Not Sampled"/>
  </r>
  <r>
    <x v="7"/>
    <x v="83"/>
    <x v="4"/>
    <x v="2"/>
    <x v="0"/>
    <x v="47"/>
    <x v="135"/>
    <x v="39"/>
    <n v="0"/>
    <s v="Not Sampled"/>
    <n v="1306"/>
    <m/>
    <m/>
    <m/>
    <m/>
    <m/>
    <m/>
    <m/>
    <m/>
    <s v="Negative"/>
    <s v="Not Sampled"/>
    <s v="Not Sampled"/>
  </r>
  <r>
    <x v="0"/>
    <x v="30"/>
    <x v="9"/>
    <x v="6"/>
    <x v="0"/>
    <x v="30"/>
    <x v="136"/>
    <x v="11"/>
    <n v="0"/>
    <s v="Not Sampled"/>
    <n v="1307"/>
    <m/>
    <m/>
    <m/>
    <m/>
    <m/>
    <m/>
    <m/>
    <m/>
    <s v="Negative"/>
    <s v="Not Sampled"/>
    <s v="Not Sampled"/>
  </r>
  <r>
    <x v="2"/>
    <x v="60"/>
    <x v="10"/>
    <x v="37"/>
    <x v="58"/>
    <x v="83"/>
    <x v="137"/>
    <x v="3"/>
    <n v="0"/>
    <s v="Not Sampled"/>
    <n v="1308"/>
    <m/>
    <m/>
    <m/>
    <m/>
    <m/>
    <m/>
    <m/>
    <m/>
    <s v="Negative"/>
    <s v="Not Sampled"/>
    <s v="Not Sampled"/>
  </r>
  <r>
    <x v="3"/>
    <x v="48"/>
    <x v="7"/>
    <x v="2"/>
    <x v="0"/>
    <x v="101"/>
    <x v="138"/>
    <x v="26"/>
    <n v="0"/>
    <s v="Not Sampled"/>
    <n v="1309"/>
    <m/>
    <m/>
    <m/>
    <m/>
    <m/>
    <m/>
    <m/>
    <m/>
    <s v="Negative"/>
    <s v="Not Sampled"/>
    <s v="Not Sampled"/>
  </r>
  <r>
    <x v="11"/>
    <x v="84"/>
    <x v="24"/>
    <x v="7"/>
    <x v="59"/>
    <x v="82"/>
    <x v="139"/>
    <x v="8"/>
    <n v="1"/>
    <s v="Not Sampled"/>
    <n v="1310"/>
    <m/>
    <m/>
    <m/>
    <m/>
    <m/>
    <m/>
    <m/>
    <m/>
    <s v="Positive"/>
    <s v="Not Sampled"/>
    <s v="Not Sampled"/>
  </r>
  <r>
    <x v="2"/>
    <x v="85"/>
    <x v="1"/>
    <x v="3"/>
    <x v="60"/>
    <x v="102"/>
    <x v="140"/>
    <x v="1"/>
    <n v="0"/>
    <s v="Not Sampled"/>
    <n v="1311"/>
    <m/>
    <m/>
    <m/>
    <m/>
    <m/>
    <m/>
    <m/>
    <m/>
    <s v="Negative"/>
    <s v="Not Sampled"/>
    <s v="Not Sampled"/>
  </r>
  <r>
    <x v="4"/>
    <x v="86"/>
    <x v="4"/>
    <x v="2"/>
    <x v="0"/>
    <x v="103"/>
    <x v="141"/>
    <x v="33"/>
    <n v="1"/>
    <s v="Not Sampled"/>
    <n v="1312"/>
    <m/>
    <m/>
    <m/>
    <m/>
    <m/>
    <m/>
    <m/>
    <m/>
    <s v="Positive"/>
    <s v="Not Sampled"/>
    <s v="Not Sampled"/>
  </r>
  <r>
    <x v="8"/>
    <x v="87"/>
    <x v="21"/>
    <x v="38"/>
    <x v="0"/>
    <x v="104"/>
    <x v="142"/>
    <x v="31"/>
    <n v="1"/>
    <s v="Not Sampled"/>
    <n v="1313"/>
    <m/>
    <m/>
    <m/>
    <m/>
    <m/>
    <m/>
    <m/>
    <m/>
    <s v="Positive"/>
    <s v="Not Sampled"/>
    <s v="Not Sampled"/>
  </r>
  <r>
    <x v="0"/>
    <x v="6"/>
    <x v="33"/>
    <x v="11"/>
    <x v="48"/>
    <x v="66"/>
    <x v="143"/>
    <x v="4"/>
    <n v="0"/>
    <n v="0"/>
    <n v="1314"/>
    <m/>
    <m/>
    <m/>
    <m/>
    <m/>
    <m/>
    <m/>
    <m/>
    <s v="Negative"/>
    <s v="Negative"/>
    <s v="Accurate Prediction"/>
  </r>
  <r>
    <x v="2"/>
    <x v="49"/>
    <x v="20"/>
    <x v="23"/>
    <x v="42"/>
    <x v="18"/>
    <x v="144"/>
    <x v="1"/>
    <n v="0"/>
    <n v="0"/>
    <n v="1315"/>
    <m/>
    <m/>
    <m/>
    <m/>
    <m/>
    <m/>
    <m/>
    <m/>
    <s v="Negative"/>
    <s v="Negative"/>
    <s v="Accurate Prediction"/>
  </r>
  <r>
    <x v="0"/>
    <x v="40"/>
    <x v="10"/>
    <x v="13"/>
    <x v="61"/>
    <x v="55"/>
    <x v="145"/>
    <x v="11"/>
    <n v="0"/>
    <s v="Not Sampled"/>
    <n v="1316"/>
    <m/>
    <m/>
    <m/>
    <m/>
    <m/>
    <m/>
    <m/>
    <m/>
    <s v="Negative"/>
    <s v="Not Sampled"/>
    <s v="Not Sampled"/>
  </r>
  <r>
    <x v="15"/>
    <x v="26"/>
    <x v="5"/>
    <x v="4"/>
    <x v="62"/>
    <x v="105"/>
    <x v="146"/>
    <x v="0"/>
    <n v="1"/>
    <s v="Not Sampled"/>
    <n v="1317"/>
    <m/>
    <m/>
    <m/>
    <m/>
    <m/>
    <m/>
    <m/>
    <m/>
    <s v="Positive"/>
    <s v="Not Sampled"/>
    <s v="Not Sampled"/>
  </r>
  <r>
    <x v="3"/>
    <x v="68"/>
    <x v="8"/>
    <x v="9"/>
    <x v="0"/>
    <x v="27"/>
    <x v="6"/>
    <x v="31"/>
    <n v="0"/>
    <s v="Not Sampled"/>
    <n v="1318"/>
    <m/>
    <m/>
    <m/>
    <m/>
    <m/>
    <m/>
    <m/>
    <m/>
    <s v="Negative"/>
    <s v="Not Sampled"/>
    <s v="Not Sampled"/>
  </r>
  <r>
    <x v="8"/>
    <x v="29"/>
    <x v="10"/>
    <x v="32"/>
    <x v="16"/>
    <x v="19"/>
    <x v="147"/>
    <x v="10"/>
    <n v="0"/>
    <s v="Not Sampled"/>
    <n v="1319"/>
    <m/>
    <m/>
    <m/>
    <m/>
    <m/>
    <m/>
    <m/>
    <m/>
    <s v="Negative"/>
    <s v="Not Sampled"/>
    <s v="Not Sampled"/>
  </r>
  <r>
    <x v="1"/>
    <x v="48"/>
    <x v="6"/>
    <x v="24"/>
    <x v="63"/>
    <x v="2"/>
    <x v="148"/>
    <x v="23"/>
    <n v="0"/>
    <s v="Not Sampled"/>
    <n v="1320"/>
    <m/>
    <m/>
    <m/>
    <m/>
    <m/>
    <m/>
    <m/>
    <m/>
    <s v="Negative"/>
    <s v="Not Sampled"/>
    <s v="Not Sampled"/>
  </r>
  <r>
    <x v="0"/>
    <x v="45"/>
    <x v="11"/>
    <x v="17"/>
    <x v="0"/>
    <x v="27"/>
    <x v="149"/>
    <x v="4"/>
    <n v="0"/>
    <s v="Not Sampled"/>
    <n v="1321"/>
    <m/>
    <m/>
    <m/>
    <m/>
    <m/>
    <m/>
    <m/>
    <m/>
    <s v="Negative"/>
    <s v="Not Sampled"/>
    <s v="Not Sampled"/>
  </r>
  <r>
    <x v="1"/>
    <x v="55"/>
    <x v="21"/>
    <x v="2"/>
    <x v="0"/>
    <x v="31"/>
    <x v="150"/>
    <x v="32"/>
    <n v="1"/>
    <s v="Not Sampled"/>
    <n v="1322"/>
    <m/>
    <m/>
    <m/>
    <m/>
    <m/>
    <m/>
    <m/>
    <m/>
    <s v="Positive"/>
    <s v="Not Sampled"/>
    <s v="Not Sampled"/>
  </r>
  <r>
    <x v="6"/>
    <x v="88"/>
    <x v="10"/>
    <x v="10"/>
    <x v="64"/>
    <x v="106"/>
    <x v="151"/>
    <x v="17"/>
    <n v="1"/>
    <n v="0"/>
    <n v="1323"/>
    <m/>
    <m/>
    <m/>
    <m/>
    <m/>
    <m/>
    <m/>
    <m/>
    <s v="Positive"/>
    <s v="Negative"/>
    <s v="Inaccurate Prediction"/>
  </r>
  <r>
    <x v="5"/>
    <x v="89"/>
    <x v="19"/>
    <x v="14"/>
    <x v="0"/>
    <x v="56"/>
    <x v="152"/>
    <x v="11"/>
    <n v="0"/>
    <s v="Not Sampled"/>
    <n v="1324"/>
    <m/>
    <m/>
    <m/>
    <m/>
    <m/>
    <m/>
    <m/>
    <m/>
    <s v="Negative"/>
    <s v="Not Sampled"/>
    <s v="Not Sampled"/>
  </r>
  <r>
    <x v="3"/>
    <x v="24"/>
    <x v="3"/>
    <x v="2"/>
    <x v="0"/>
    <x v="107"/>
    <x v="153"/>
    <x v="34"/>
    <n v="0"/>
    <s v="Not Sampled"/>
    <n v="1325"/>
    <m/>
    <m/>
    <m/>
    <m/>
    <m/>
    <m/>
    <m/>
    <m/>
    <s v="Negative"/>
    <s v="Not Sampled"/>
    <s v="Not Sampled"/>
  </r>
  <r>
    <x v="3"/>
    <x v="13"/>
    <x v="19"/>
    <x v="2"/>
    <x v="0"/>
    <x v="108"/>
    <x v="154"/>
    <x v="29"/>
    <n v="0"/>
    <s v="Not Sampled"/>
    <n v="1326"/>
    <m/>
    <m/>
    <m/>
    <m/>
    <m/>
    <m/>
    <m/>
    <m/>
    <s v="Negative"/>
    <s v="Not Sampled"/>
    <s v="Not Sampled"/>
  </r>
  <r>
    <x v="5"/>
    <x v="31"/>
    <x v="8"/>
    <x v="39"/>
    <x v="65"/>
    <x v="109"/>
    <x v="155"/>
    <x v="29"/>
    <n v="0"/>
    <s v="Not Sampled"/>
    <n v="1327"/>
    <m/>
    <m/>
    <m/>
    <m/>
    <m/>
    <m/>
    <m/>
    <m/>
    <s v="Negative"/>
    <s v="Not Sampled"/>
    <s v="Not Sampled"/>
  </r>
  <r>
    <x v="6"/>
    <x v="29"/>
    <x v="1"/>
    <x v="2"/>
    <x v="0"/>
    <x v="98"/>
    <x v="156"/>
    <x v="31"/>
    <n v="1"/>
    <s v="Not Sampled"/>
    <n v="1328"/>
    <m/>
    <m/>
    <m/>
    <m/>
    <m/>
    <m/>
    <m/>
    <m/>
    <s v="Positive"/>
    <s v="Not Sampled"/>
    <s v="Not Sampled"/>
  </r>
  <r>
    <x v="6"/>
    <x v="63"/>
    <x v="9"/>
    <x v="17"/>
    <x v="66"/>
    <x v="110"/>
    <x v="157"/>
    <x v="29"/>
    <n v="1"/>
    <s v="Not Sampled"/>
    <n v="1329"/>
    <m/>
    <m/>
    <m/>
    <m/>
    <m/>
    <m/>
    <m/>
    <m/>
    <s v="Positive"/>
    <s v="Not Sampled"/>
    <s v="Not Sampled"/>
  </r>
  <r>
    <x v="0"/>
    <x v="90"/>
    <x v="2"/>
    <x v="17"/>
    <x v="0"/>
    <x v="11"/>
    <x v="158"/>
    <x v="14"/>
    <n v="0"/>
    <s v="Not Sampled"/>
    <n v="1330"/>
    <m/>
    <m/>
    <m/>
    <m/>
    <m/>
    <m/>
    <m/>
    <m/>
    <s v="Negative"/>
    <s v="Not Sampled"/>
    <s v="Not Sampled"/>
  </r>
  <r>
    <x v="2"/>
    <x v="53"/>
    <x v="12"/>
    <x v="3"/>
    <x v="35"/>
    <x v="111"/>
    <x v="159"/>
    <x v="1"/>
    <n v="0"/>
    <s v="Not Sampled"/>
    <n v="1331"/>
    <m/>
    <m/>
    <m/>
    <m/>
    <m/>
    <m/>
    <m/>
    <m/>
    <s v="Negative"/>
    <s v="Not Sampled"/>
    <s v="Not Sampled"/>
  </r>
  <r>
    <x v="0"/>
    <x v="21"/>
    <x v="11"/>
    <x v="20"/>
    <x v="67"/>
    <x v="27"/>
    <x v="74"/>
    <x v="9"/>
    <n v="0"/>
    <s v="Not Sampled"/>
    <n v="1332"/>
    <m/>
    <m/>
    <m/>
    <m/>
    <m/>
    <m/>
    <m/>
    <m/>
    <s v="Negative"/>
    <s v="Not Sampled"/>
    <s v="Not Sampled"/>
  </r>
  <r>
    <x v="4"/>
    <x v="91"/>
    <x v="5"/>
    <x v="3"/>
    <x v="66"/>
    <x v="112"/>
    <x v="160"/>
    <x v="31"/>
    <n v="1"/>
    <s v="Not Sampled"/>
    <n v="1333"/>
    <m/>
    <m/>
    <m/>
    <m/>
    <m/>
    <m/>
    <m/>
    <m/>
    <s v="Positive"/>
    <s v="Not Sampled"/>
    <s v="Not Sampled"/>
  </r>
  <r>
    <x v="6"/>
    <x v="69"/>
    <x v="4"/>
    <x v="2"/>
    <x v="0"/>
    <x v="84"/>
    <x v="161"/>
    <x v="8"/>
    <n v="0"/>
    <n v="0"/>
    <n v="1334"/>
    <m/>
    <m/>
    <m/>
    <m/>
    <m/>
    <m/>
    <m/>
    <m/>
    <s v="Negative"/>
    <s v="Negative"/>
    <s v="Accurate Prediction"/>
  </r>
  <r>
    <x v="1"/>
    <x v="52"/>
    <x v="18"/>
    <x v="40"/>
    <x v="66"/>
    <x v="113"/>
    <x v="162"/>
    <x v="25"/>
    <n v="1"/>
    <s v="Not Sampled"/>
    <n v="1335"/>
    <m/>
    <m/>
    <m/>
    <m/>
    <m/>
    <m/>
    <m/>
    <m/>
    <s v="Positive"/>
    <s v="Not Sampled"/>
    <s v="Not Sampled"/>
  </r>
  <r>
    <x v="7"/>
    <x v="92"/>
    <x v="4"/>
    <x v="2"/>
    <x v="0"/>
    <x v="114"/>
    <x v="163"/>
    <x v="0"/>
    <n v="0"/>
    <n v="1"/>
    <n v="1336"/>
    <m/>
    <m/>
    <m/>
    <m/>
    <m/>
    <m/>
    <m/>
    <m/>
    <s v="Negative"/>
    <s v="Positive"/>
    <s v="Inaccurate Prediction"/>
  </r>
  <r>
    <x v="7"/>
    <x v="23"/>
    <x v="1"/>
    <x v="2"/>
    <x v="0"/>
    <x v="44"/>
    <x v="164"/>
    <x v="26"/>
    <n v="1"/>
    <s v="Not Sampled"/>
    <n v="1337"/>
    <m/>
    <m/>
    <m/>
    <m/>
    <m/>
    <m/>
    <m/>
    <m/>
    <s v="Positive"/>
    <s v="Not Sampled"/>
    <s v="Not Sampled"/>
  </r>
  <r>
    <x v="6"/>
    <x v="90"/>
    <x v="6"/>
    <x v="2"/>
    <x v="0"/>
    <x v="87"/>
    <x v="165"/>
    <x v="32"/>
    <n v="0"/>
    <n v="0"/>
    <n v="1338"/>
    <m/>
    <m/>
    <m/>
    <m/>
    <m/>
    <m/>
    <m/>
    <m/>
    <s v="Negative"/>
    <s v="Negative"/>
    <s v="Accurate Prediction"/>
  </r>
  <r>
    <x v="1"/>
    <x v="93"/>
    <x v="11"/>
    <x v="10"/>
    <x v="53"/>
    <x v="115"/>
    <x v="166"/>
    <x v="1"/>
    <n v="0"/>
    <s v="Not Sampled"/>
    <n v="1339"/>
    <m/>
    <m/>
    <m/>
    <m/>
    <m/>
    <m/>
    <m/>
    <m/>
    <s v="Negative"/>
    <s v="Not Sampled"/>
    <s v="Not Sampled"/>
  </r>
  <r>
    <x v="2"/>
    <x v="18"/>
    <x v="10"/>
    <x v="28"/>
    <x v="23"/>
    <x v="116"/>
    <x v="167"/>
    <x v="4"/>
    <n v="0"/>
    <s v="Not Sampled"/>
    <n v="1340"/>
    <m/>
    <m/>
    <m/>
    <m/>
    <m/>
    <m/>
    <m/>
    <m/>
    <s v="Negative"/>
    <s v="Not Sampled"/>
    <s v="Not Sampled"/>
  </r>
  <r>
    <x v="7"/>
    <x v="43"/>
    <x v="12"/>
    <x v="2"/>
    <x v="0"/>
    <x v="90"/>
    <x v="32"/>
    <x v="23"/>
    <n v="0"/>
    <s v="Not Sampled"/>
    <n v="1341"/>
    <m/>
    <m/>
    <m/>
    <m/>
    <m/>
    <m/>
    <m/>
    <m/>
    <s v="Negative"/>
    <s v="Not Sampled"/>
    <s v="Not Sampled"/>
  </r>
  <r>
    <x v="3"/>
    <x v="47"/>
    <x v="10"/>
    <x v="2"/>
    <x v="0"/>
    <x v="32"/>
    <x v="168"/>
    <x v="18"/>
    <n v="0"/>
    <n v="0"/>
    <n v="1342"/>
    <m/>
    <m/>
    <m/>
    <m/>
    <m/>
    <m/>
    <m/>
    <m/>
    <s v="Negative"/>
    <s v="Negative"/>
    <s v="Accurate Prediction"/>
  </r>
  <r>
    <x v="8"/>
    <x v="7"/>
    <x v="3"/>
    <x v="7"/>
    <x v="0"/>
    <x v="117"/>
    <x v="169"/>
    <x v="17"/>
    <n v="1"/>
    <s v="Not Sampled"/>
    <n v="1343"/>
    <m/>
    <m/>
    <m/>
    <m/>
    <m/>
    <m/>
    <m/>
    <m/>
    <s v="Positive"/>
    <s v="Not Sampled"/>
    <s v="Not Sampled"/>
  </r>
  <r>
    <x v="4"/>
    <x v="94"/>
    <x v="3"/>
    <x v="35"/>
    <x v="43"/>
    <x v="15"/>
    <x v="170"/>
    <x v="35"/>
    <n v="1"/>
    <s v="Not Sampled"/>
    <n v="1344"/>
    <m/>
    <m/>
    <m/>
    <m/>
    <m/>
    <m/>
    <m/>
    <m/>
    <s v="Positive"/>
    <s v="Not Sampled"/>
    <s v="Not Sampled"/>
  </r>
  <r>
    <x v="2"/>
    <x v="80"/>
    <x v="34"/>
    <x v="4"/>
    <x v="68"/>
    <x v="61"/>
    <x v="171"/>
    <x v="9"/>
    <n v="1"/>
    <s v="Not Sampled"/>
    <n v="1345"/>
    <m/>
    <m/>
    <m/>
    <m/>
    <m/>
    <m/>
    <m/>
    <m/>
    <s v="Positive"/>
    <s v="Not Sampled"/>
    <s v="Not Sampled"/>
  </r>
  <r>
    <x v="4"/>
    <x v="49"/>
    <x v="15"/>
    <x v="15"/>
    <x v="62"/>
    <x v="94"/>
    <x v="172"/>
    <x v="2"/>
    <n v="1"/>
    <s v="Not Sampled"/>
    <n v="1346"/>
    <m/>
    <m/>
    <m/>
    <m/>
    <m/>
    <m/>
    <m/>
    <m/>
    <s v="Positive"/>
    <s v="Not Sampled"/>
    <s v="Not Sampled"/>
  </r>
  <r>
    <x v="7"/>
    <x v="4"/>
    <x v="6"/>
    <x v="0"/>
    <x v="69"/>
    <x v="31"/>
    <x v="120"/>
    <x v="14"/>
    <n v="1"/>
    <n v="0"/>
    <n v="1347"/>
    <m/>
    <m/>
    <m/>
    <m/>
    <m/>
    <m/>
    <m/>
    <m/>
    <s v="Positive"/>
    <s v="Negative"/>
    <s v="Inaccurate Prediction"/>
  </r>
  <r>
    <x v="5"/>
    <x v="31"/>
    <x v="0"/>
    <x v="2"/>
    <x v="0"/>
    <x v="118"/>
    <x v="173"/>
    <x v="4"/>
    <n v="0"/>
    <s v="Not Sampled"/>
    <n v="1348"/>
    <m/>
    <m/>
    <m/>
    <m/>
    <m/>
    <m/>
    <m/>
    <m/>
    <s v="Negative"/>
    <s v="Not Sampled"/>
    <s v="Not Sampled"/>
  </r>
  <r>
    <x v="11"/>
    <x v="62"/>
    <x v="9"/>
    <x v="38"/>
    <x v="48"/>
    <x v="119"/>
    <x v="174"/>
    <x v="18"/>
    <n v="0"/>
    <s v="Not Sampled"/>
    <n v="1349"/>
    <m/>
    <m/>
    <m/>
    <m/>
    <m/>
    <m/>
    <m/>
    <m/>
    <s v="Negative"/>
    <s v="Not Sampled"/>
    <s v="Not Sampled"/>
  </r>
  <r>
    <x v="8"/>
    <x v="35"/>
    <x v="19"/>
    <x v="2"/>
    <x v="0"/>
    <x v="25"/>
    <x v="175"/>
    <x v="31"/>
    <n v="1"/>
    <s v="Not Sampled"/>
    <n v="1350"/>
    <m/>
    <m/>
    <m/>
    <m/>
    <m/>
    <m/>
    <m/>
    <m/>
    <s v="Positive"/>
    <s v="Not Sampled"/>
    <s v="Not Sampled"/>
  </r>
  <r>
    <x v="12"/>
    <x v="3"/>
    <x v="2"/>
    <x v="2"/>
    <x v="0"/>
    <x v="120"/>
    <x v="176"/>
    <x v="18"/>
    <n v="1"/>
    <s v="Not Sampled"/>
    <n v="1351"/>
    <m/>
    <m/>
    <m/>
    <m/>
    <m/>
    <m/>
    <m/>
    <m/>
    <s v="Positive"/>
    <s v="Not Sampled"/>
    <s v="Not Sampled"/>
  </r>
  <r>
    <x v="4"/>
    <x v="69"/>
    <x v="29"/>
    <x v="28"/>
    <x v="0"/>
    <x v="46"/>
    <x v="177"/>
    <x v="8"/>
    <n v="0"/>
    <s v="Not Sampled"/>
    <n v="1352"/>
    <m/>
    <m/>
    <m/>
    <m/>
    <m/>
    <m/>
    <m/>
    <m/>
    <s v="Negative"/>
    <s v="Not Sampled"/>
    <s v="Not Sampled"/>
  </r>
  <r>
    <x v="7"/>
    <x v="95"/>
    <x v="16"/>
    <x v="4"/>
    <x v="14"/>
    <x v="121"/>
    <x v="178"/>
    <x v="29"/>
    <n v="1"/>
    <n v="1"/>
    <n v="1353"/>
    <m/>
    <m/>
    <m/>
    <m/>
    <m/>
    <m/>
    <m/>
    <m/>
    <s v="Positive"/>
    <s v="Positive"/>
    <s v="Accurate Prediction"/>
  </r>
  <r>
    <x v="2"/>
    <x v="38"/>
    <x v="22"/>
    <x v="2"/>
    <x v="0"/>
    <x v="122"/>
    <x v="179"/>
    <x v="4"/>
    <n v="0"/>
    <s v="Not Sampled"/>
    <n v="1354"/>
    <m/>
    <m/>
    <m/>
    <m/>
    <m/>
    <m/>
    <m/>
    <m/>
    <s v="Negative"/>
    <s v="Not Sampled"/>
    <s v="Not Sampled"/>
  </r>
  <r>
    <x v="5"/>
    <x v="61"/>
    <x v="0"/>
    <x v="27"/>
    <x v="35"/>
    <x v="123"/>
    <x v="159"/>
    <x v="1"/>
    <n v="1"/>
    <s v="Not Sampled"/>
    <n v="1355"/>
    <m/>
    <m/>
    <m/>
    <m/>
    <m/>
    <m/>
    <m/>
    <m/>
    <s v="Positive"/>
    <s v="Not Sampled"/>
    <s v="Not Sampled"/>
  </r>
  <r>
    <x v="3"/>
    <x v="49"/>
    <x v="11"/>
    <x v="38"/>
    <x v="47"/>
    <x v="124"/>
    <x v="180"/>
    <x v="25"/>
    <n v="1"/>
    <s v="Not Sampled"/>
    <n v="1356"/>
    <m/>
    <m/>
    <m/>
    <m/>
    <m/>
    <m/>
    <m/>
    <m/>
    <s v="Positive"/>
    <s v="Not Sampled"/>
    <s v="Not Sampled"/>
  </r>
  <r>
    <x v="3"/>
    <x v="89"/>
    <x v="12"/>
    <x v="21"/>
    <x v="70"/>
    <x v="125"/>
    <x v="181"/>
    <x v="29"/>
    <n v="1"/>
    <s v="Not Sampled"/>
    <n v="1357"/>
    <m/>
    <m/>
    <m/>
    <m/>
    <m/>
    <m/>
    <m/>
    <m/>
    <s v="Positive"/>
    <s v="Not Sampled"/>
    <s v="Not Sampled"/>
  </r>
  <r>
    <x v="1"/>
    <x v="57"/>
    <x v="6"/>
    <x v="41"/>
    <x v="0"/>
    <x v="126"/>
    <x v="182"/>
    <x v="4"/>
    <n v="0"/>
    <s v="Not Sampled"/>
    <n v="1358"/>
    <m/>
    <m/>
    <m/>
    <m/>
    <m/>
    <m/>
    <m/>
    <m/>
    <s v="Negative"/>
    <s v="Not Sampled"/>
    <s v="Not Sampled"/>
  </r>
  <r>
    <x v="2"/>
    <x v="0"/>
    <x v="1"/>
    <x v="2"/>
    <x v="0"/>
    <x v="127"/>
    <x v="183"/>
    <x v="6"/>
    <n v="0"/>
    <s v="Not Sampled"/>
    <n v="1359"/>
    <m/>
    <m/>
    <m/>
    <m/>
    <m/>
    <m/>
    <m/>
    <m/>
    <s v="Negative"/>
    <s v="Not Sampled"/>
    <s v="Not Sampled"/>
  </r>
  <r>
    <x v="1"/>
    <x v="81"/>
    <x v="3"/>
    <x v="28"/>
    <x v="0"/>
    <x v="30"/>
    <x v="184"/>
    <x v="32"/>
    <n v="0"/>
    <s v="Not Sampled"/>
    <n v="1360"/>
    <m/>
    <m/>
    <m/>
    <m/>
    <m/>
    <m/>
    <m/>
    <m/>
    <s v="Negative"/>
    <s v="Not Sampled"/>
    <s v="Not Sampled"/>
  </r>
  <r>
    <x v="0"/>
    <x v="6"/>
    <x v="9"/>
    <x v="41"/>
    <x v="71"/>
    <x v="76"/>
    <x v="41"/>
    <x v="23"/>
    <n v="0"/>
    <n v="0"/>
    <n v="1361"/>
    <m/>
    <m/>
    <m/>
    <m/>
    <m/>
    <m/>
    <m/>
    <m/>
    <s v="Negative"/>
    <s v="Negative"/>
    <s v="Accurate Prediction"/>
  </r>
  <r>
    <x v="6"/>
    <x v="28"/>
    <x v="5"/>
    <x v="5"/>
    <x v="72"/>
    <x v="50"/>
    <x v="82"/>
    <x v="15"/>
    <n v="0"/>
    <s v="Not Sampled"/>
    <n v="1362"/>
    <m/>
    <m/>
    <m/>
    <m/>
    <m/>
    <m/>
    <m/>
    <m/>
    <s v="Negative"/>
    <s v="Not Sampled"/>
    <s v="Not Sampled"/>
  </r>
  <r>
    <x v="7"/>
    <x v="31"/>
    <x v="5"/>
    <x v="7"/>
    <x v="0"/>
    <x v="128"/>
    <x v="185"/>
    <x v="23"/>
    <n v="0"/>
    <s v="Not Sampled"/>
    <n v="1363"/>
    <m/>
    <m/>
    <m/>
    <m/>
    <m/>
    <m/>
    <m/>
    <m/>
    <s v="Negative"/>
    <s v="Not Sampled"/>
    <s v="Not Sampled"/>
  </r>
  <r>
    <x v="4"/>
    <x v="96"/>
    <x v="15"/>
    <x v="30"/>
    <x v="73"/>
    <x v="129"/>
    <x v="186"/>
    <x v="40"/>
    <n v="1"/>
    <s v="Not Sampled"/>
    <n v="1364"/>
    <m/>
    <m/>
    <m/>
    <m/>
    <m/>
    <m/>
    <m/>
    <m/>
    <s v="Positive"/>
    <s v="Not Sampled"/>
    <s v="Not Sampled"/>
  </r>
  <r>
    <x v="7"/>
    <x v="76"/>
    <x v="35"/>
    <x v="2"/>
    <x v="0"/>
    <x v="50"/>
    <x v="187"/>
    <x v="41"/>
    <n v="1"/>
    <n v="1"/>
    <n v="1365"/>
    <m/>
    <m/>
    <m/>
    <m/>
    <m/>
    <m/>
    <m/>
    <m/>
    <s v="Positive"/>
    <s v="Positive"/>
    <s v="Accurate Prediction"/>
  </r>
  <r>
    <x v="2"/>
    <x v="20"/>
    <x v="11"/>
    <x v="21"/>
    <x v="74"/>
    <x v="34"/>
    <x v="188"/>
    <x v="4"/>
    <n v="0"/>
    <s v="Not Sampled"/>
    <n v="1366"/>
    <m/>
    <m/>
    <m/>
    <m/>
    <m/>
    <m/>
    <m/>
    <m/>
    <s v="Negative"/>
    <s v="Not Sampled"/>
    <s v="Not Sampled"/>
  </r>
  <r>
    <x v="8"/>
    <x v="97"/>
    <x v="16"/>
    <x v="12"/>
    <x v="0"/>
    <x v="130"/>
    <x v="189"/>
    <x v="17"/>
    <n v="1"/>
    <s v="Not Sampled"/>
    <n v="1367"/>
    <m/>
    <m/>
    <m/>
    <m/>
    <m/>
    <m/>
    <m/>
    <m/>
    <s v="Positive"/>
    <s v="Not Sampled"/>
    <s v="Not Sampled"/>
  </r>
  <r>
    <x v="0"/>
    <x v="14"/>
    <x v="12"/>
    <x v="29"/>
    <x v="0"/>
    <x v="116"/>
    <x v="190"/>
    <x v="14"/>
    <n v="0"/>
    <s v="Not Sampled"/>
    <n v="1368"/>
    <m/>
    <m/>
    <m/>
    <m/>
    <m/>
    <m/>
    <m/>
    <m/>
    <s v="Negative"/>
    <s v="Not Sampled"/>
    <s v="Not Sampled"/>
  </r>
  <r>
    <x v="1"/>
    <x v="83"/>
    <x v="23"/>
    <x v="31"/>
    <x v="0"/>
    <x v="131"/>
    <x v="191"/>
    <x v="3"/>
    <n v="0"/>
    <n v="1"/>
    <n v="1369"/>
    <m/>
    <m/>
    <m/>
    <m/>
    <m/>
    <m/>
    <m/>
    <m/>
    <s v="Negative"/>
    <s v="Positive"/>
    <s v="Inaccurate Prediction"/>
  </r>
  <r>
    <x v="8"/>
    <x v="91"/>
    <x v="36"/>
    <x v="1"/>
    <x v="0"/>
    <x v="89"/>
    <x v="192"/>
    <x v="35"/>
    <n v="0"/>
    <s v="Not Sampled"/>
    <n v="1370"/>
    <m/>
    <m/>
    <m/>
    <m/>
    <m/>
    <m/>
    <m/>
    <m/>
    <s v="Negative"/>
    <s v="Not Sampled"/>
    <s v="Not Sampled"/>
  </r>
  <r>
    <x v="1"/>
    <x v="98"/>
    <x v="7"/>
    <x v="16"/>
    <x v="66"/>
    <x v="132"/>
    <x v="193"/>
    <x v="3"/>
    <n v="1"/>
    <s v="Not Sampled"/>
    <n v="1371"/>
    <m/>
    <m/>
    <m/>
    <m/>
    <m/>
    <m/>
    <m/>
    <m/>
    <s v="Positive"/>
    <s v="Not Sampled"/>
    <s v="Not Sampled"/>
  </r>
  <r>
    <x v="11"/>
    <x v="56"/>
    <x v="1"/>
    <x v="5"/>
    <x v="45"/>
    <x v="89"/>
    <x v="112"/>
    <x v="31"/>
    <n v="1"/>
    <s v="Not Sampled"/>
    <n v="1372"/>
    <m/>
    <m/>
    <m/>
    <m/>
    <m/>
    <m/>
    <m/>
    <m/>
    <s v="Positive"/>
    <s v="Not Sampled"/>
    <s v="Not Sampled"/>
  </r>
  <r>
    <x v="10"/>
    <x v="68"/>
    <x v="9"/>
    <x v="32"/>
    <x v="75"/>
    <x v="133"/>
    <x v="194"/>
    <x v="19"/>
    <n v="1"/>
    <s v="Not Sampled"/>
    <n v="1373"/>
    <m/>
    <m/>
    <m/>
    <m/>
    <m/>
    <m/>
    <m/>
    <m/>
    <s v="Positive"/>
    <s v="Not Sampled"/>
    <s v="Not Sampled"/>
  </r>
  <r>
    <x v="7"/>
    <x v="49"/>
    <x v="0"/>
    <x v="4"/>
    <x v="76"/>
    <x v="134"/>
    <x v="195"/>
    <x v="14"/>
    <n v="1"/>
    <s v="Not Sampled"/>
    <n v="1374"/>
    <m/>
    <m/>
    <m/>
    <m/>
    <m/>
    <m/>
    <m/>
    <m/>
    <s v="Positive"/>
    <s v="Not Sampled"/>
    <s v="Not Sampled"/>
  </r>
  <r>
    <x v="6"/>
    <x v="10"/>
    <x v="3"/>
    <x v="8"/>
    <x v="77"/>
    <x v="135"/>
    <x v="196"/>
    <x v="32"/>
    <n v="0"/>
    <s v="Not Sampled"/>
    <n v="1375"/>
    <m/>
    <m/>
    <m/>
    <m/>
    <m/>
    <m/>
    <m/>
    <m/>
    <s v="Negative"/>
    <s v="Not Sampled"/>
    <s v="Not Sampled"/>
  </r>
  <r>
    <x v="7"/>
    <x v="69"/>
    <x v="10"/>
    <x v="29"/>
    <x v="0"/>
    <x v="55"/>
    <x v="197"/>
    <x v="32"/>
    <n v="1"/>
    <n v="0"/>
    <n v="1376"/>
    <m/>
    <m/>
    <m/>
    <m/>
    <m/>
    <m/>
    <m/>
    <m/>
    <s v="Positive"/>
    <s v="Negative"/>
    <s v="Inaccurate Prediction"/>
  </r>
  <r>
    <x v="7"/>
    <x v="56"/>
    <x v="19"/>
    <x v="2"/>
    <x v="0"/>
    <x v="136"/>
    <x v="86"/>
    <x v="17"/>
    <n v="1"/>
    <s v="Not Sampled"/>
    <n v="1377"/>
    <m/>
    <m/>
    <m/>
    <m/>
    <m/>
    <m/>
    <m/>
    <m/>
    <s v="Positive"/>
    <s v="Not Sampled"/>
    <s v="Not Sampled"/>
  </r>
  <r>
    <x v="1"/>
    <x v="99"/>
    <x v="12"/>
    <x v="30"/>
    <x v="78"/>
    <x v="137"/>
    <x v="198"/>
    <x v="4"/>
    <n v="1"/>
    <s v="Not Sampled"/>
    <n v="1378"/>
    <m/>
    <m/>
    <m/>
    <m/>
    <m/>
    <m/>
    <m/>
    <m/>
    <s v="Positive"/>
    <s v="Not Sampled"/>
    <s v="Not Sampled"/>
  </r>
  <r>
    <x v="0"/>
    <x v="95"/>
    <x v="8"/>
    <x v="2"/>
    <x v="0"/>
    <x v="31"/>
    <x v="199"/>
    <x v="12"/>
    <n v="1"/>
    <n v="1"/>
    <n v="1379"/>
    <m/>
    <m/>
    <m/>
    <m/>
    <m/>
    <m/>
    <m/>
    <m/>
    <s v="Positive"/>
    <s v="Positive"/>
    <s v="Accurate Prediction"/>
  </r>
  <r>
    <x v="8"/>
    <x v="93"/>
    <x v="2"/>
    <x v="2"/>
    <x v="0"/>
    <x v="18"/>
    <x v="200"/>
    <x v="26"/>
    <n v="0"/>
    <s v="Not Sampled"/>
    <n v="1380"/>
    <m/>
    <m/>
    <m/>
    <m/>
    <m/>
    <m/>
    <m/>
    <m/>
    <s v="Negative"/>
    <s v="Not Sampled"/>
    <s v="Not Sampled"/>
  </r>
  <r>
    <x v="8"/>
    <x v="64"/>
    <x v="12"/>
    <x v="12"/>
    <x v="72"/>
    <x v="138"/>
    <x v="140"/>
    <x v="36"/>
    <n v="0"/>
    <n v="1"/>
    <n v="1381"/>
    <m/>
    <m/>
    <m/>
    <m/>
    <m/>
    <m/>
    <m/>
    <m/>
    <s v="Negative"/>
    <s v="Positive"/>
    <s v="Inaccurate Prediction"/>
  </r>
  <r>
    <x v="2"/>
    <x v="45"/>
    <x v="19"/>
    <x v="11"/>
    <x v="79"/>
    <x v="139"/>
    <x v="201"/>
    <x v="25"/>
    <n v="0"/>
    <s v="Not Sampled"/>
    <n v="1382"/>
    <m/>
    <m/>
    <m/>
    <m/>
    <m/>
    <m/>
    <m/>
    <m/>
    <s v="Negative"/>
    <s v="Not Sampled"/>
    <s v="Not Sampled"/>
  </r>
  <r>
    <x v="2"/>
    <x v="90"/>
    <x v="4"/>
    <x v="21"/>
    <x v="80"/>
    <x v="137"/>
    <x v="202"/>
    <x v="11"/>
    <n v="0"/>
    <s v="Not Sampled"/>
    <n v="1383"/>
    <m/>
    <m/>
    <m/>
    <m/>
    <m/>
    <m/>
    <m/>
    <m/>
    <s v="Negative"/>
    <s v="Not Sampled"/>
    <s v="Not Sampled"/>
  </r>
  <r>
    <x v="1"/>
    <x v="39"/>
    <x v="15"/>
    <x v="2"/>
    <x v="0"/>
    <x v="140"/>
    <x v="203"/>
    <x v="25"/>
    <n v="0"/>
    <s v="Not Sampled"/>
    <n v="1384"/>
    <m/>
    <m/>
    <m/>
    <m/>
    <m/>
    <m/>
    <m/>
    <m/>
    <s v="Negative"/>
    <s v="Not Sampled"/>
    <s v="Not Sampled"/>
  </r>
  <r>
    <x v="5"/>
    <x v="76"/>
    <x v="33"/>
    <x v="9"/>
    <x v="0"/>
    <x v="19"/>
    <x v="204"/>
    <x v="3"/>
    <n v="1"/>
    <s v="Not Sampled"/>
    <n v="1385"/>
    <m/>
    <m/>
    <m/>
    <m/>
    <m/>
    <m/>
    <m/>
    <m/>
    <s v="Positive"/>
    <s v="Not Sampled"/>
    <s v="Not Sampled"/>
  </r>
  <r>
    <x v="3"/>
    <x v="100"/>
    <x v="9"/>
    <x v="15"/>
    <x v="81"/>
    <x v="141"/>
    <x v="205"/>
    <x v="2"/>
    <n v="0"/>
    <s v="Not Sampled"/>
    <n v="1386"/>
    <m/>
    <m/>
    <m/>
    <m/>
    <m/>
    <m/>
    <m/>
    <m/>
    <s v="Negative"/>
    <s v="Not Sampled"/>
    <s v="Not Sampled"/>
  </r>
  <r>
    <x v="1"/>
    <x v="17"/>
    <x v="6"/>
    <x v="1"/>
    <x v="61"/>
    <x v="142"/>
    <x v="206"/>
    <x v="3"/>
    <n v="0"/>
    <s v="Not Sampled"/>
    <n v="1387"/>
    <m/>
    <m/>
    <m/>
    <m/>
    <m/>
    <m/>
    <m/>
    <m/>
    <s v="Negative"/>
    <s v="Not Sampled"/>
    <s v="Not Sampled"/>
  </r>
  <r>
    <x v="3"/>
    <x v="64"/>
    <x v="24"/>
    <x v="2"/>
    <x v="0"/>
    <x v="143"/>
    <x v="207"/>
    <x v="11"/>
    <n v="1"/>
    <s v="Not Sampled"/>
    <n v="1388"/>
    <m/>
    <m/>
    <m/>
    <m/>
    <m/>
    <m/>
    <m/>
    <m/>
    <s v="Positive"/>
    <s v="Not Sampled"/>
    <s v="Not Sampled"/>
  </r>
  <r>
    <x v="6"/>
    <x v="63"/>
    <x v="6"/>
    <x v="18"/>
    <x v="82"/>
    <x v="144"/>
    <x v="21"/>
    <x v="22"/>
    <n v="1"/>
    <s v="Not Sampled"/>
    <n v="1389"/>
    <m/>
    <m/>
    <m/>
    <m/>
    <m/>
    <m/>
    <m/>
    <m/>
    <s v="Positive"/>
    <s v="Not Sampled"/>
    <s v="Not Sampled"/>
  </r>
  <r>
    <x v="2"/>
    <x v="53"/>
    <x v="6"/>
    <x v="14"/>
    <x v="44"/>
    <x v="54"/>
    <x v="69"/>
    <x v="11"/>
    <n v="0"/>
    <n v="0"/>
    <n v="1390"/>
    <m/>
    <m/>
    <m/>
    <m/>
    <m/>
    <m/>
    <m/>
    <m/>
    <s v="Negative"/>
    <s v="Negative"/>
    <s v="Accurate Prediction"/>
  </r>
  <r>
    <x v="3"/>
    <x v="27"/>
    <x v="3"/>
    <x v="2"/>
    <x v="0"/>
    <x v="145"/>
    <x v="208"/>
    <x v="29"/>
    <n v="0"/>
    <s v="Not Sampled"/>
    <n v="1391"/>
    <m/>
    <m/>
    <m/>
    <m/>
    <m/>
    <m/>
    <m/>
    <m/>
    <s v="Negative"/>
    <s v="Not Sampled"/>
    <s v="Not Sampled"/>
  </r>
  <r>
    <x v="5"/>
    <x v="58"/>
    <x v="3"/>
    <x v="7"/>
    <x v="83"/>
    <x v="27"/>
    <x v="209"/>
    <x v="1"/>
    <n v="0"/>
    <s v="Not Sampled"/>
    <n v="1392"/>
    <m/>
    <m/>
    <m/>
    <m/>
    <m/>
    <m/>
    <m/>
    <m/>
    <s v="Negative"/>
    <s v="Not Sampled"/>
    <s v="Not Sampled"/>
  </r>
  <r>
    <x v="3"/>
    <x v="34"/>
    <x v="5"/>
    <x v="2"/>
    <x v="0"/>
    <x v="146"/>
    <x v="210"/>
    <x v="25"/>
    <n v="1"/>
    <s v="Not Sampled"/>
    <n v="1393"/>
    <m/>
    <m/>
    <m/>
    <m/>
    <m/>
    <m/>
    <m/>
    <m/>
    <s v="Positive"/>
    <s v="Not Sampled"/>
    <s v="Not Sampled"/>
  </r>
  <r>
    <x v="8"/>
    <x v="94"/>
    <x v="16"/>
    <x v="23"/>
    <x v="17"/>
    <x v="117"/>
    <x v="45"/>
    <x v="42"/>
    <n v="1"/>
    <s v="Not Sampled"/>
    <n v="1394"/>
    <m/>
    <m/>
    <m/>
    <m/>
    <m/>
    <m/>
    <m/>
    <m/>
    <s v="Positive"/>
    <s v="Not Sampled"/>
    <s v="Not Sampled"/>
  </r>
  <r>
    <x v="1"/>
    <x v="91"/>
    <x v="8"/>
    <x v="21"/>
    <x v="0"/>
    <x v="147"/>
    <x v="211"/>
    <x v="1"/>
    <n v="1"/>
    <n v="1"/>
    <n v="1395"/>
    <m/>
    <m/>
    <m/>
    <m/>
    <m/>
    <m/>
    <m/>
    <m/>
    <s v="Positive"/>
    <s v="Positive"/>
    <s v="Accurate Prediction"/>
  </r>
  <r>
    <x v="11"/>
    <x v="101"/>
    <x v="16"/>
    <x v="23"/>
    <x v="0"/>
    <x v="98"/>
    <x v="212"/>
    <x v="32"/>
    <n v="1"/>
    <s v="Not Sampled"/>
    <n v="1396"/>
    <m/>
    <m/>
    <m/>
    <m/>
    <m/>
    <m/>
    <m/>
    <m/>
    <s v="Positive"/>
    <s v="Not Sampled"/>
    <s v="Not Sampled"/>
  </r>
  <r>
    <x v="1"/>
    <x v="88"/>
    <x v="15"/>
    <x v="2"/>
    <x v="0"/>
    <x v="148"/>
    <x v="213"/>
    <x v="23"/>
    <n v="0"/>
    <s v="Not Sampled"/>
    <n v="1397"/>
    <m/>
    <m/>
    <m/>
    <m/>
    <m/>
    <m/>
    <m/>
    <m/>
    <s v="Negative"/>
    <s v="Not Sampled"/>
    <s v="Not Sampled"/>
  </r>
  <r>
    <x v="2"/>
    <x v="25"/>
    <x v="11"/>
    <x v="20"/>
    <x v="0"/>
    <x v="149"/>
    <x v="105"/>
    <x v="4"/>
    <n v="0"/>
    <s v="Not Sampled"/>
    <n v="1398"/>
    <m/>
    <m/>
    <m/>
    <m/>
    <m/>
    <m/>
    <m/>
    <m/>
    <s v="Negative"/>
    <s v="Not Sampled"/>
    <s v="Not Sampled"/>
  </r>
  <r>
    <x v="3"/>
    <x v="25"/>
    <x v="9"/>
    <x v="5"/>
    <x v="84"/>
    <x v="119"/>
    <x v="214"/>
    <x v="11"/>
    <n v="0"/>
    <s v="Not Sampled"/>
    <n v="1399"/>
    <m/>
    <m/>
    <m/>
    <m/>
    <m/>
    <m/>
    <m/>
    <m/>
    <s v="Negative"/>
    <s v="Not Sampled"/>
    <s v="Not Sampled"/>
  </r>
  <r>
    <x v="5"/>
    <x v="4"/>
    <x v="14"/>
    <x v="2"/>
    <x v="0"/>
    <x v="6"/>
    <x v="215"/>
    <x v="11"/>
    <n v="1"/>
    <s v="Not Sampled"/>
    <n v="1400"/>
    <m/>
    <m/>
    <m/>
    <m/>
    <m/>
    <m/>
    <m/>
    <m/>
    <s v="Positive"/>
    <s v="Not Sampled"/>
    <s v="Not Sampled"/>
  </r>
  <r>
    <x v="6"/>
    <x v="93"/>
    <x v="13"/>
    <x v="29"/>
    <x v="34"/>
    <x v="150"/>
    <x v="216"/>
    <x v="9"/>
    <n v="1"/>
    <s v="Not Sampled"/>
    <n v="1401"/>
    <m/>
    <m/>
    <m/>
    <m/>
    <m/>
    <m/>
    <m/>
    <m/>
    <s v="Positive"/>
    <s v="Not Sampled"/>
    <s v="Not Sampled"/>
  </r>
  <r>
    <x v="0"/>
    <x v="36"/>
    <x v="15"/>
    <x v="0"/>
    <x v="85"/>
    <x v="1"/>
    <x v="217"/>
    <x v="29"/>
    <n v="0"/>
    <n v="0"/>
    <n v="1402"/>
    <m/>
    <m/>
    <m/>
    <m/>
    <m/>
    <m/>
    <m/>
    <m/>
    <s v="Negative"/>
    <s v="Negative"/>
    <s v="Accurate Prediction"/>
  </r>
  <r>
    <x v="11"/>
    <x v="97"/>
    <x v="23"/>
    <x v="11"/>
    <x v="0"/>
    <x v="135"/>
    <x v="218"/>
    <x v="43"/>
    <n v="1"/>
    <n v="1"/>
    <n v="1403"/>
    <m/>
    <m/>
    <m/>
    <m/>
    <m/>
    <m/>
    <m/>
    <m/>
    <s v="Positive"/>
    <s v="Positive"/>
    <s v="Accurate Prediction"/>
  </r>
  <r>
    <x v="9"/>
    <x v="27"/>
    <x v="3"/>
    <x v="2"/>
    <x v="0"/>
    <x v="84"/>
    <x v="61"/>
    <x v="17"/>
    <n v="0"/>
    <s v="Not Sampled"/>
    <n v="1404"/>
    <m/>
    <m/>
    <m/>
    <m/>
    <m/>
    <m/>
    <m/>
    <m/>
    <s v="Negative"/>
    <s v="Not Sampled"/>
    <s v="Not Sampled"/>
  </r>
  <r>
    <x v="1"/>
    <x v="102"/>
    <x v="8"/>
    <x v="12"/>
    <x v="86"/>
    <x v="120"/>
    <x v="219"/>
    <x v="1"/>
    <n v="0"/>
    <s v="Not Sampled"/>
    <n v="1405"/>
    <m/>
    <m/>
    <m/>
    <m/>
    <m/>
    <m/>
    <m/>
    <m/>
    <s v="Negative"/>
    <s v="Not Sampled"/>
    <s v="Not Sampled"/>
  </r>
  <r>
    <x v="11"/>
    <x v="73"/>
    <x v="9"/>
    <x v="12"/>
    <x v="87"/>
    <x v="110"/>
    <x v="220"/>
    <x v="34"/>
    <n v="0"/>
    <n v="0"/>
    <n v="1406"/>
    <m/>
    <m/>
    <m/>
    <m/>
    <m/>
    <m/>
    <m/>
    <m/>
    <s v="Negative"/>
    <s v="Negative"/>
    <s v="Accurate Prediction"/>
  </r>
  <r>
    <x v="2"/>
    <x v="31"/>
    <x v="24"/>
    <x v="13"/>
    <x v="0"/>
    <x v="15"/>
    <x v="221"/>
    <x v="1"/>
    <n v="0"/>
    <s v="Not Sampled"/>
    <n v="1407"/>
    <m/>
    <m/>
    <m/>
    <m/>
    <m/>
    <m/>
    <m/>
    <m/>
    <s v="Negative"/>
    <s v="Not Sampled"/>
    <s v="Not Sampled"/>
  </r>
  <r>
    <x v="11"/>
    <x v="33"/>
    <x v="33"/>
    <x v="2"/>
    <x v="0"/>
    <x v="84"/>
    <x v="222"/>
    <x v="8"/>
    <n v="0"/>
    <s v="Not Sampled"/>
    <n v="1408"/>
    <m/>
    <m/>
    <m/>
    <m/>
    <m/>
    <m/>
    <m/>
    <m/>
    <s v="Negative"/>
    <s v="Not Sampled"/>
    <s v="Not Sampled"/>
  </r>
  <r>
    <x v="0"/>
    <x v="52"/>
    <x v="16"/>
    <x v="2"/>
    <x v="0"/>
    <x v="43"/>
    <x v="223"/>
    <x v="23"/>
    <n v="0"/>
    <n v="0"/>
    <n v="1409"/>
    <m/>
    <m/>
    <m/>
    <m/>
    <m/>
    <m/>
    <m/>
    <m/>
    <s v="Negative"/>
    <s v="Negative"/>
    <s v="Accurate Prediction"/>
  </r>
  <r>
    <x v="0"/>
    <x v="30"/>
    <x v="6"/>
    <x v="36"/>
    <x v="67"/>
    <x v="46"/>
    <x v="224"/>
    <x v="3"/>
    <n v="0"/>
    <s v="Not Sampled"/>
    <n v="1410"/>
    <m/>
    <m/>
    <m/>
    <m/>
    <m/>
    <m/>
    <m/>
    <m/>
    <s v="Negative"/>
    <s v="Not Sampled"/>
    <s v="Not Sampled"/>
  </r>
  <r>
    <x v="1"/>
    <x v="103"/>
    <x v="3"/>
    <x v="5"/>
    <x v="0"/>
    <x v="134"/>
    <x v="21"/>
    <x v="14"/>
    <n v="0"/>
    <s v="Not Sampled"/>
    <n v="1411"/>
    <m/>
    <m/>
    <m/>
    <m/>
    <m/>
    <m/>
    <m/>
    <m/>
    <s v="Negative"/>
    <s v="Not Sampled"/>
    <s v="Not Sampled"/>
  </r>
  <r>
    <x v="10"/>
    <x v="66"/>
    <x v="0"/>
    <x v="42"/>
    <x v="88"/>
    <x v="32"/>
    <x v="225"/>
    <x v="30"/>
    <n v="1"/>
    <s v="Not Sampled"/>
    <n v="1412"/>
    <m/>
    <m/>
    <m/>
    <m/>
    <m/>
    <m/>
    <m/>
    <m/>
    <s v="Positive"/>
    <s v="Not Sampled"/>
    <s v="Not Sampled"/>
  </r>
  <r>
    <x v="2"/>
    <x v="57"/>
    <x v="11"/>
    <x v="0"/>
    <x v="0"/>
    <x v="0"/>
    <x v="104"/>
    <x v="4"/>
    <n v="1"/>
    <s v="Not Sampled"/>
    <n v="1413"/>
    <m/>
    <m/>
    <m/>
    <m/>
    <m/>
    <m/>
    <m/>
    <m/>
    <s v="Positive"/>
    <s v="Not Sampled"/>
    <s v="Not Sampled"/>
  </r>
  <r>
    <x v="5"/>
    <x v="31"/>
    <x v="20"/>
    <x v="15"/>
    <x v="0"/>
    <x v="15"/>
    <x v="226"/>
    <x v="13"/>
    <n v="0"/>
    <s v="Not Sampled"/>
    <n v="1414"/>
    <m/>
    <m/>
    <m/>
    <m/>
    <m/>
    <m/>
    <m/>
    <m/>
    <s v="Negative"/>
    <s v="Not Sampled"/>
    <s v="Not Sampled"/>
  </r>
  <r>
    <x v="0"/>
    <x v="48"/>
    <x v="3"/>
    <x v="29"/>
    <x v="0"/>
    <x v="77"/>
    <x v="227"/>
    <x v="14"/>
    <n v="0"/>
    <n v="0"/>
    <n v="1415"/>
    <m/>
    <m/>
    <m/>
    <m/>
    <m/>
    <m/>
    <m/>
    <m/>
    <s v="Negative"/>
    <s v="Negative"/>
    <s v="Accurate Prediction"/>
  </r>
  <r>
    <x v="2"/>
    <x v="104"/>
    <x v="13"/>
    <x v="41"/>
    <x v="89"/>
    <x v="151"/>
    <x v="228"/>
    <x v="3"/>
    <n v="0"/>
    <s v="Not Sampled"/>
    <n v="1416"/>
    <m/>
    <m/>
    <m/>
    <m/>
    <m/>
    <m/>
    <m/>
    <m/>
    <s v="Negative"/>
    <s v="Not Sampled"/>
    <s v="Not Sampled"/>
  </r>
  <r>
    <x v="12"/>
    <x v="70"/>
    <x v="15"/>
    <x v="7"/>
    <x v="90"/>
    <x v="21"/>
    <x v="229"/>
    <x v="42"/>
    <n v="1"/>
    <s v="Not Sampled"/>
    <n v="1417"/>
    <m/>
    <m/>
    <m/>
    <m/>
    <m/>
    <m/>
    <m/>
    <m/>
    <s v="Positive"/>
    <s v="Not Sampled"/>
    <s v="Not Sampled"/>
  </r>
  <r>
    <x v="5"/>
    <x v="105"/>
    <x v="3"/>
    <x v="11"/>
    <x v="66"/>
    <x v="125"/>
    <x v="167"/>
    <x v="34"/>
    <n v="0"/>
    <n v="1"/>
    <n v="1418"/>
    <m/>
    <m/>
    <m/>
    <m/>
    <m/>
    <m/>
    <m/>
    <m/>
    <s v="Negative"/>
    <s v="Positive"/>
    <s v="Inaccurate Prediction"/>
  </r>
  <r>
    <x v="5"/>
    <x v="47"/>
    <x v="2"/>
    <x v="2"/>
    <x v="0"/>
    <x v="135"/>
    <x v="88"/>
    <x v="23"/>
    <n v="1"/>
    <s v="Not Sampled"/>
    <n v="1419"/>
    <m/>
    <m/>
    <m/>
    <m/>
    <m/>
    <m/>
    <m/>
    <m/>
    <s v="Positive"/>
    <s v="Not Sampled"/>
    <s v="Not Sampled"/>
  </r>
  <r>
    <x v="3"/>
    <x v="50"/>
    <x v="9"/>
    <x v="5"/>
    <x v="0"/>
    <x v="152"/>
    <x v="230"/>
    <x v="3"/>
    <n v="0"/>
    <s v="Not Sampled"/>
    <n v="1420"/>
    <m/>
    <m/>
    <m/>
    <m/>
    <m/>
    <m/>
    <m/>
    <m/>
    <s v="Negative"/>
    <s v="Not Sampled"/>
    <s v="Not Sampled"/>
  </r>
  <r>
    <x v="5"/>
    <x v="64"/>
    <x v="6"/>
    <x v="11"/>
    <x v="0"/>
    <x v="68"/>
    <x v="29"/>
    <x v="44"/>
    <n v="0"/>
    <n v="0"/>
    <n v="1421"/>
    <m/>
    <m/>
    <m/>
    <m/>
    <m/>
    <m/>
    <m/>
    <m/>
    <s v="Negative"/>
    <s v="Negative"/>
    <s v="Accurate Prediction"/>
  </r>
  <r>
    <x v="3"/>
    <x v="62"/>
    <x v="0"/>
    <x v="2"/>
    <x v="0"/>
    <x v="61"/>
    <x v="231"/>
    <x v="20"/>
    <n v="1"/>
    <s v="Not Sampled"/>
    <n v="1422"/>
    <m/>
    <m/>
    <m/>
    <m/>
    <m/>
    <m/>
    <m/>
    <m/>
    <s v="Positive"/>
    <s v="Not Sampled"/>
    <s v="Not Sampled"/>
  </r>
  <r>
    <x v="7"/>
    <x v="20"/>
    <x v="10"/>
    <x v="10"/>
    <x v="91"/>
    <x v="0"/>
    <x v="232"/>
    <x v="33"/>
    <n v="0"/>
    <s v="Not Sampled"/>
    <n v="1423"/>
    <m/>
    <m/>
    <m/>
    <m/>
    <m/>
    <m/>
    <m/>
    <m/>
    <s v="Negative"/>
    <s v="Not Sampled"/>
    <s v="Not Sampled"/>
  </r>
  <r>
    <x v="1"/>
    <x v="0"/>
    <x v="2"/>
    <x v="2"/>
    <x v="0"/>
    <x v="153"/>
    <x v="233"/>
    <x v="14"/>
    <n v="1"/>
    <s v="Not Sampled"/>
    <n v="1424"/>
    <m/>
    <m/>
    <m/>
    <m/>
    <m/>
    <m/>
    <m/>
    <m/>
    <s v="Positive"/>
    <s v="Not Sampled"/>
    <s v="Not Sampled"/>
  </r>
  <r>
    <x v="0"/>
    <x v="80"/>
    <x v="11"/>
    <x v="3"/>
    <x v="0"/>
    <x v="154"/>
    <x v="234"/>
    <x v="3"/>
    <n v="0"/>
    <s v="Not Sampled"/>
    <n v="1425"/>
    <m/>
    <m/>
    <m/>
    <m/>
    <m/>
    <m/>
    <m/>
    <m/>
    <s v="Negative"/>
    <s v="Not Sampled"/>
    <s v="Not Sampled"/>
  </r>
  <r>
    <x v="1"/>
    <x v="29"/>
    <x v="33"/>
    <x v="2"/>
    <x v="0"/>
    <x v="16"/>
    <x v="235"/>
    <x v="4"/>
    <n v="0"/>
    <s v="Not Sampled"/>
    <n v="1426"/>
    <m/>
    <m/>
    <m/>
    <m/>
    <m/>
    <m/>
    <m/>
    <m/>
    <s v="Negative"/>
    <s v="Not Sampled"/>
    <s v="Not Sampled"/>
  </r>
  <r>
    <x v="0"/>
    <x v="36"/>
    <x v="2"/>
    <x v="2"/>
    <x v="0"/>
    <x v="155"/>
    <x v="236"/>
    <x v="6"/>
    <n v="1"/>
    <s v="Not Sampled"/>
    <n v="1427"/>
    <m/>
    <m/>
    <m/>
    <m/>
    <m/>
    <m/>
    <m/>
    <m/>
    <s v="Positive"/>
    <s v="Not Sampled"/>
    <s v="Not Sampled"/>
  </r>
  <r>
    <x v="9"/>
    <x v="39"/>
    <x v="24"/>
    <x v="18"/>
    <x v="0"/>
    <x v="156"/>
    <x v="237"/>
    <x v="19"/>
    <n v="1"/>
    <n v="1"/>
    <n v="1428"/>
    <m/>
    <m/>
    <m/>
    <m/>
    <m/>
    <m/>
    <m/>
    <m/>
    <s v="Positive"/>
    <s v="Positive"/>
    <s v="Accurate Prediction"/>
  </r>
  <r>
    <x v="0"/>
    <x v="81"/>
    <x v="0"/>
    <x v="5"/>
    <x v="79"/>
    <x v="18"/>
    <x v="238"/>
    <x v="4"/>
    <n v="0"/>
    <s v="Not Sampled"/>
    <n v="1429"/>
    <m/>
    <m/>
    <m/>
    <m/>
    <m/>
    <m/>
    <m/>
    <m/>
    <s v="Negative"/>
    <s v="Not Sampled"/>
    <s v="Not Sampled"/>
  </r>
  <r>
    <x v="5"/>
    <x v="27"/>
    <x v="4"/>
    <x v="2"/>
    <x v="0"/>
    <x v="49"/>
    <x v="54"/>
    <x v="18"/>
    <n v="0"/>
    <s v="Not Sampled"/>
    <n v="1430"/>
    <m/>
    <m/>
    <m/>
    <m/>
    <m/>
    <m/>
    <m/>
    <m/>
    <s v="Negative"/>
    <s v="Not Sampled"/>
    <s v="Not Sampled"/>
  </r>
  <r>
    <x v="2"/>
    <x v="37"/>
    <x v="4"/>
    <x v="37"/>
    <x v="83"/>
    <x v="34"/>
    <x v="239"/>
    <x v="4"/>
    <n v="0"/>
    <s v="Not Sampled"/>
    <n v="1431"/>
    <m/>
    <m/>
    <m/>
    <m/>
    <m/>
    <m/>
    <m/>
    <m/>
    <s v="Negative"/>
    <s v="Not Sampled"/>
    <s v="Not Sampled"/>
  </r>
  <r>
    <x v="13"/>
    <x v="33"/>
    <x v="9"/>
    <x v="2"/>
    <x v="0"/>
    <x v="89"/>
    <x v="240"/>
    <x v="41"/>
    <n v="0"/>
    <s v="Not Sampled"/>
    <n v="1432"/>
    <m/>
    <m/>
    <m/>
    <m/>
    <m/>
    <m/>
    <m/>
    <m/>
    <s v="Negative"/>
    <s v="Not Sampled"/>
    <s v="Not Sampled"/>
  </r>
  <r>
    <x v="0"/>
    <x v="45"/>
    <x v="9"/>
    <x v="43"/>
    <x v="92"/>
    <x v="52"/>
    <x v="241"/>
    <x v="14"/>
    <n v="0"/>
    <s v="Not Sampled"/>
    <n v="1433"/>
    <m/>
    <m/>
    <m/>
    <m/>
    <m/>
    <m/>
    <m/>
    <m/>
    <s v="Negative"/>
    <s v="Not Sampled"/>
    <s v="Not Sampled"/>
  </r>
  <r>
    <x v="8"/>
    <x v="33"/>
    <x v="12"/>
    <x v="20"/>
    <x v="0"/>
    <x v="71"/>
    <x v="242"/>
    <x v="29"/>
    <n v="1"/>
    <s v="Not Sampled"/>
    <n v="1434"/>
    <m/>
    <m/>
    <m/>
    <m/>
    <m/>
    <m/>
    <m/>
    <m/>
    <s v="Positive"/>
    <s v="Not Sampled"/>
    <s v="Not Sampled"/>
  </r>
  <r>
    <x v="1"/>
    <x v="88"/>
    <x v="11"/>
    <x v="17"/>
    <x v="93"/>
    <x v="157"/>
    <x v="243"/>
    <x v="1"/>
    <n v="0"/>
    <s v="Not Sampled"/>
    <n v="1435"/>
    <m/>
    <m/>
    <m/>
    <m/>
    <m/>
    <m/>
    <m/>
    <m/>
    <s v="Negative"/>
    <s v="Not Sampled"/>
    <s v="Not Sampled"/>
  </r>
  <r>
    <x v="7"/>
    <x v="48"/>
    <x v="10"/>
    <x v="2"/>
    <x v="0"/>
    <x v="158"/>
    <x v="244"/>
    <x v="40"/>
    <n v="0"/>
    <s v="Not Sampled"/>
    <n v="1436"/>
    <m/>
    <m/>
    <m/>
    <m/>
    <m/>
    <m/>
    <m/>
    <m/>
    <s v="Negative"/>
    <s v="Not Sampled"/>
    <s v="Not Sampled"/>
  </r>
  <r>
    <x v="0"/>
    <x v="81"/>
    <x v="0"/>
    <x v="25"/>
    <x v="94"/>
    <x v="159"/>
    <x v="245"/>
    <x v="11"/>
    <n v="0"/>
    <n v="0"/>
    <n v="1437"/>
    <m/>
    <m/>
    <m/>
    <m/>
    <m/>
    <m/>
    <m/>
    <m/>
    <s v="Negative"/>
    <s v="Negative"/>
    <s v="Accurate Prediction"/>
  </r>
  <r>
    <x v="1"/>
    <x v="36"/>
    <x v="9"/>
    <x v="2"/>
    <x v="0"/>
    <x v="160"/>
    <x v="65"/>
    <x v="6"/>
    <n v="1"/>
    <s v="Not Sampled"/>
    <n v="1438"/>
    <m/>
    <m/>
    <m/>
    <m/>
    <m/>
    <m/>
    <m/>
    <m/>
    <s v="Positive"/>
    <s v="Not Sampled"/>
    <s v="Not Sampled"/>
  </r>
  <r>
    <x v="9"/>
    <x v="52"/>
    <x v="15"/>
    <x v="7"/>
    <x v="6"/>
    <x v="117"/>
    <x v="246"/>
    <x v="16"/>
    <n v="0"/>
    <s v="Not Sampled"/>
    <n v="1439"/>
    <m/>
    <m/>
    <m/>
    <m/>
    <m/>
    <m/>
    <m/>
    <m/>
    <s v="Negative"/>
    <s v="Not Sampled"/>
    <s v="Not Sampled"/>
  </r>
  <r>
    <x v="8"/>
    <x v="32"/>
    <x v="21"/>
    <x v="11"/>
    <x v="59"/>
    <x v="68"/>
    <x v="96"/>
    <x v="26"/>
    <n v="0"/>
    <n v="0"/>
    <n v="1440"/>
    <m/>
    <m/>
    <m/>
    <m/>
    <m/>
    <m/>
    <m/>
    <m/>
    <s v="Negative"/>
    <s v="Negative"/>
    <s v="Accurate Prediction"/>
  </r>
  <r>
    <x v="8"/>
    <x v="106"/>
    <x v="24"/>
    <x v="2"/>
    <x v="0"/>
    <x v="25"/>
    <x v="84"/>
    <x v="0"/>
    <n v="1"/>
    <n v="1"/>
    <n v="1441"/>
    <m/>
    <m/>
    <m/>
    <m/>
    <m/>
    <m/>
    <m/>
    <m/>
    <s v="Positive"/>
    <s v="Positive"/>
    <s v="Accurate Prediction"/>
  </r>
  <r>
    <x v="0"/>
    <x v="81"/>
    <x v="6"/>
    <x v="2"/>
    <x v="0"/>
    <x v="161"/>
    <x v="247"/>
    <x v="41"/>
    <n v="1"/>
    <s v="Not Sampled"/>
    <n v="1442"/>
    <m/>
    <m/>
    <m/>
    <m/>
    <m/>
    <m/>
    <m/>
    <m/>
    <s v="Positive"/>
    <s v="Not Sampled"/>
    <s v="Not Sampled"/>
  </r>
  <r>
    <x v="8"/>
    <x v="60"/>
    <x v="10"/>
    <x v="16"/>
    <x v="42"/>
    <x v="14"/>
    <x v="123"/>
    <x v="42"/>
    <n v="0"/>
    <n v="0"/>
    <n v="1443"/>
    <m/>
    <m/>
    <m/>
    <m/>
    <m/>
    <m/>
    <m/>
    <m/>
    <s v="Negative"/>
    <s v="Negative"/>
    <s v="Accurate Prediction"/>
  </r>
  <r>
    <x v="7"/>
    <x v="70"/>
    <x v="16"/>
    <x v="38"/>
    <x v="95"/>
    <x v="162"/>
    <x v="248"/>
    <x v="34"/>
    <n v="0"/>
    <s v="Not Sampled"/>
    <n v="1444"/>
    <m/>
    <m/>
    <m/>
    <m/>
    <m/>
    <m/>
    <m/>
    <m/>
    <s v="Negative"/>
    <s v="Not Sampled"/>
    <s v="Not Sampled"/>
  </r>
  <r>
    <x v="2"/>
    <x v="93"/>
    <x v="24"/>
    <x v="15"/>
    <x v="38"/>
    <x v="156"/>
    <x v="249"/>
    <x v="29"/>
    <n v="1"/>
    <s v="Not Sampled"/>
    <n v="1445"/>
    <m/>
    <m/>
    <m/>
    <m/>
    <m/>
    <m/>
    <m/>
    <m/>
    <s v="Positive"/>
    <s v="Not Sampled"/>
    <s v="Not Sampled"/>
  </r>
  <r>
    <x v="3"/>
    <x v="20"/>
    <x v="20"/>
    <x v="6"/>
    <x v="51"/>
    <x v="163"/>
    <x v="250"/>
    <x v="25"/>
    <n v="0"/>
    <s v="Not Sampled"/>
    <n v="1446"/>
    <m/>
    <m/>
    <m/>
    <m/>
    <m/>
    <m/>
    <m/>
    <m/>
    <s v="Negative"/>
    <s v="Not Sampled"/>
    <s v="Not Sampled"/>
  </r>
  <r>
    <x v="7"/>
    <x v="81"/>
    <x v="5"/>
    <x v="44"/>
    <x v="96"/>
    <x v="164"/>
    <x v="22"/>
    <x v="9"/>
    <n v="0"/>
    <n v="0"/>
    <n v="1447"/>
    <m/>
    <m/>
    <m/>
    <m/>
    <m/>
    <m/>
    <m/>
    <m/>
    <s v="Negative"/>
    <s v="Negative"/>
    <s v="Accurate Prediction"/>
  </r>
  <r>
    <x v="1"/>
    <x v="74"/>
    <x v="21"/>
    <x v="30"/>
    <x v="39"/>
    <x v="99"/>
    <x v="251"/>
    <x v="4"/>
    <n v="0"/>
    <s v="Not Sampled"/>
    <n v="1448"/>
    <m/>
    <m/>
    <m/>
    <m/>
    <m/>
    <m/>
    <m/>
    <m/>
    <s v="Negative"/>
    <s v="Not Sampled"/>
    <s v="Not Sampled"/>
  </r>
  <r>
    <x v="1"/>
    <x v="61"/>
    <x v="0"/>
    <x v="8"/>
    <x v="97"/>
    <x v="69"/>
    <x v="252"/>
    <x v="14"/>
    <n v="1"/>
    <s v="Not Sampled"/>
    <n v="1449"/>
    <m/>
    <m/>
    <m/>
    <m/>
    <m/>
    <m/>
    <m/>
    <m/>
    <s v="Positive"/>
    <s v="Not Sampled"/>
    <s v="Not Sampled"/>
  </r>
  <r>
    <x v="0"/>
    <x v="80"/>
    <x v="4"/>
    <x v="18"/>
    <x v="98"/>
    <x v="165"/>
    <x v="197"/>
    <x v="2"/>
    <n v="1"/>
    <n v="1"/>
    <n v="1450"/>
    <m/>
    <m/>
    <m/>
    <m/>
    <m/>
    <m/>
    <m/>
    <m/>
    <s v="Positive"/>
    <s v="Positive"/>
    <s v="Accurate Prediction"/>
  </r>
  <r>
    <x v="2"/>
    <x v="80"/>
    <x v="26"/>
    <x v="45"/>
    <x v="85"/>
    <x v="52"/>
    <x v="253"/>
    <x v="3"/>
    <n v="1"/>
    <s v="Not Sampled"/>
    <n v="1451"/>
    <m/>
    <m/>
    <m/>
    <m/>
    <m/>
    <m/>
    <m/>
    <m/>
    <s v="Positive"/>
    <s v="Not Sampled"/>
    <s v="Not Sampled"/>
  </r>
  <r>
    <x v="1"/>
    <x v="106"/>
    <x v="13"/>
    <x v="2"/>
    <x v="0"/>
    <x v="101"/>
    <x v="54"/>
    <x v="39"/>
    <n v="0"/>
    <s v="Not Sampled"/>
    <n v="1452"/>
    <m/>
    <m/>
    <m/>
    <m/>
    <m/>
    <m/>
    <m/>
    <m/>
    <s v="Negative"/>
    <s v="Not Sampled"/>
    <s v="Not Sampled"/>
  </r>
  <r>
    <x v="6"/>
    <x v="68"/>
    <x v="0"/>
    <x v="1"/>
    <x v="77"/>
    <x v="130"/>
    <x v="24"/>
    <x v="6"/>
    <n v="0"/>
    <s v="Not Sampled"/>
    <n v="1453"/>
    <m/>
    <m/>
    <m/>
    <m/>
    <m/>
    <m/>
    <m/>
    <m/>
    <s v="Negative"/>
    <s v="Not Sampled"/>
    <s v="Not Sampled"/>
  </r>
  <r>
    <x v="0"/>
    <x v="36"/>
    <x v="9"/>
    <x v="9"/>
    <x v="99"/>
    <x v="43"/>
    <x v="142"/>
    <x v="29"/>
    <n v="1"/>
    <s v="Not Sampled"/>
    <n v="1454"/>
    <m/>
    <m/>
    <m/>
    <m/>
    <m/>
    <m/>
    <m/>
    <m/>
    <s v="Positive"/>
    <s v="Not Sampled"/>
    <s v="Not Sampled"/>
  </r>
  <r>
    <x v="1"/>
    <x v="51"/>
    <x v="16"/>
    <x v="30"/>
    <x v="100"/>
    <x v="166"/>
    <x v="254"/>
    <x v="3"/>
    <n v="0"/>
    <s v="Not Sampled"/>
    <n v="1455"/>
    <m/>
    <m/>
    <m/>
    <m/>
    <m/>
    <m/>
    <m/>
    <m/>
    <s v="Negative"/>
    <s v="Not Sampled"/>
    <s v="Not Sampled"/>
  </r>
  <r>
    <x v="16"/>
    <x v="45"/>
    <x v="4"/>
    <x v="14"/>
    <x v="101"/>
    <x v="69"/>
    <x v="255"/>
    <x v="22"/>
    <n v="1"/>
    <n v="0"/>
    <n v="1456"/>
    <m/>
    <m/>
    <m/>
    <m/>
    <m/>
    <m/>
    <m/>
    <m/>
    <s v="Positive"/>
    <s v="Negative"/>
    <s v="Inaccurate Prediction"/>
  </r>
  <r>
    <x v="5"/>
    <x v="118"/>
    <x v="9"/>
    <x v="2"/>
    <x v="0"/>
    <x v="96"/>
    <x v="282"/>
    <x v="14"/>
    <n v="0"/>
    <s v="Not Sampled"/>
    <n v="1457"/>
    <m/>
    <m/>
    <m/>
    <m/>
    <m/>
    <m/>
    <m/>
    <m/>
    <s v="Negative"/>
    <s v="Not Sampled"/>
    <s v="Not Sampled"/>
  </r>
  <r>
    <x v="5"/>
    <x v="104"/>
    <x v="9"/>
    <x v="1"/>
    <x v="0"/>
    <x v="115"/>
    <x v="320"/>
    <x v="14"/>
    <n v="1"/>
    <s v="Not Sampled"/>
    <n v="1458"/>
    <m/>
    <m/>
    <m/>
    <m/>
    <m/>
    <m/>
    <m/>
    <m/>
    <s v="Positive"/>
    <s v="Not Sampled"/>
    <s v="Not Sampled"/>
  </r>
  <r>
    <x v="3"/>
    <x v="50"/>
    <x v="11"/>
    <x v="2"/>
    <x v="0"/>
    <x v="61"/>
    <x v="321"/>
    <x v="2"/>
    <n v="1"/>
    <s v="Not Sampled"/>
    <n v="1459"/>
    <m/>
    <m/>
    <m/>
    <m/>
    <m/>
    <m/>
    <m/>
    <m/>
    <s v="Positive"/>
    <s v="Not Sampled"/>
    <s v="Not Sampled"/>
  </r>
  <r>
    <x v="6"/>
    <x v="59"/>
    <x v="40"/>
    <x v="2"/>
    <x v="0"/>
    <x v="29"/>
    <x v="187"/>
    <x v="15"/>
    <n v="0"/>
    <s v="Not Sampled"/>
    <n v="1460"/>
    <m/>
    <m/>
    <m/>
    <m/>
    <m/>
    <m/>
    <m/>
    <m/>
    <s v="Negative"/>
    <s v="Not Sampled"/>
    <s v="Not Sampled"/>
  </r>
  <r>
    <x v="7"/>
    <x v="60"/>
    <x v="16"/>
    <x v="4"/>
    <x v="84"/>
    <x v="145"/>
    <x v="129"/>
    <x v="20"/>
    <n v="1"/>
    <s v="Not Sampled"/>
    <n v="1461"/>
    <m/>
    <m/>
    <m/>
    <m/>
    <m/>
    <m/>
    <m/>
    <m/>
    <s v="Positive"/>
    <s v="Not Sampled"/>
    <s v="Not Sampled"/>
  </r>
  <r>
    <x v="11"/>
    <x v="119"/>
    <x v="4"/>
    <x v="14"/>
    <x v="0"/>
    <x v="31"/>
    <x v="246"/>
    <x v="19"/>
    <n v="0"/>
    <s v="Not Sampled"/>
    <n v="1462"/>
    <m/>
    <m/>
    <m/>
    <m/>
    <m/>
    <m/>
    <m/>
    <m/>
    <s v="Negative"/>
    <s v="Not Sampled"/>
    <s v="Not Sampled"/>
  </r>
  <r>
    <x v="7"/>
    <x v="120"/>
    <x v="11"/>
    <x v="2"/>
    <x v="0"/>
    <x v="35"/>
    <x v="322"/>
    <x v="17"/>
    <n v="1"/>
    <n v="1"/>
    <n v="1463"/>
    <m/>
    <m/>
    <m/>
    <m/>
    <m/>
    <m/>
    <m/>
    <m/>
    <s v="Positive"/>
    <s v="Positive"/>
    <s v="Accurate Prediction"/>
  </r>
  <r>
    <x v="0"/>
    <x v="62"/>
    <x v="26"/>
    <x v="5"/>
    <x v="134"/>
    <x v="196"/>
    <x v="254"/>
    <x v="25"/>
    <n v="0"/>
    <n v="0"/>
    <n v="1464"/>
    <m/>
    <m/>
    <m/>
    <m/>
    <m/>
    <m/>
    <m/>
    <m/>
    <s v="Negative"/>
    <s v="Negative"/>
    <s v="Accurate Prediction"/>
  </r>
  <r>
    <x v="3"/>
    <x v="109"/>
    <x v="5"/>
    <x v="2"/>
    <x v="0"/>
    <x v="11"/>
    <x v="323"/>
    <x v="22"/>
    <n v="1"/>
    <s v="Not Sampled"/>
    <n v="1465"/>
    <m/>
    <m/>
    <m/>
    <m/>
    <m/>
    <m/>
    <m/>
    <m/>
    <s v="Positive"/>
    <s v="Not Sampled"/>
    <s v="Not Sampled"/>
  </r>
  <r>
    <x v="1"/>
    <x v="39"/>
    <x v="0"/>
    <x v="2"/>
    <x v="0"/>
    <x v="101"/>
    <x v="101"/>
    <x v="14"/>
    <n v="0"/>
    <s v="Not Sampled"/>
    <n v="1466"/>
    <m/>
    <m/>
    <m/>
    <m/>
    <m/>
    <m/>
    <m/>
    <m/>
    <s v="Negative"/>
    <s v="Not Sampled"/>
    <s v="Not Sampled"/>
  </r>
  <r>
    <x v="4"/>
    <x v="100"/>
    <x v="10"/>
    <x v="2"/>
    <x v="0"/>
    <x v="151"/>
    <x v="324"/>
    <x v="16"/>
    <n v="1"/>
    <s v="Not Sampled"/>
    <n v="1467"/>
    <m/>
    <m/>
    <m/>
    <m/>
    <m/>
    <m/>
    <m/>
    <m/>
    <s v="Positive"/>
    <s v="Not Sampled"/>
    <s v="Not Sampled"/>
  </r>
  <r>
    <x v="2"/>
    <x v="121"/>
    <x v="3"/>
    <x v="48"/>
    <x v="135"/>
    <x v="197"/>
    <x v="325"/>
    <x v="6"/>
    <n v="1"/>
    <n v="1"/>
    <n v="1468"/>
    <m/>
    <m/>
    <m/>
    <m/>
    <m/>
    <m/>
    <m/>
    <m/>
    <s v="Positive"/>
    <s v="Positive"/>
    <s v="Accurate Prediction"/>
  </r>
  <r>
    <x v="6"/>
    <x v="29"/>
    <x v="8"/>
    <x v="15"/>
    <x v="0"/>
    <x v="140"/>
    <x v="326"/>
    <x v="6"/>
    <n v="0"/>
    <s v="Not Sampled"/>
    <n v="1469"/>
    <m/>
    <m/>
    <m/>
    <m/>
    <m/>
    <m/>
    <m/>
    <m/>
    <s v="Negative"/>
    <s v="Not Sampled"/>
    <s v="Not Sampled"/>
  </r>
  <r>
    <x v="2"/>
    <x v="56"/>
    <x v="5"/>
    <x v="8"/>
    <x v="34"/>
    <x v="184"/>
    <x v="303"/>
    <x v="14"/>
    <n v="0"/>
    <n v="0"/>
    <n v="1470"/>
    <m/>
    <m/>
    <m/>
    <m/>
    <m/>
    <m/>
    <m/>
    <m/>
    <s v="Negative"/>
    <s v="Negative"/>
    <s v="Accurate Prediction"/>
  </r>
  <r>
    <x v="2"/>
    <x v="92"/>
    <x v="16"/>
    <x v="17"/>
    <x v="136"/>
    <x v="197"/>
    <x v="327"/>
    <x v="11"/>
    <n v="0"/>
    <s v="Not Sampled"/>
    <n v="1471"/>
    <m/>
    <m/>
    <m/>
    <m/>
    <m/>
    <m/>
    <m/>
    <m/>
    <s v="Negative"/>
    <s v="Not Sampled"/>
    <s v="Not Sampled"/>
  </r>
  <r>
    <x v="2"/>
    <x v="92"/>
    <x v="10"/>
    <x v="29"/>
    <x v="137"/>
    <x v="173"/>
    <x v="152"/>
    <x v="4"/>
    <n v="0"/>
    <s v="Not Sampled"/>
    <n v="1472"/>
    <m/>
    <m/>
    <m/>
    <m/>
    <m/>
    <m/>
    <m/>
    <m/>
    <s v="Negative"/>
    <s v="Not Sampled"/>
    <s v="Not Sampled"/>
  </r>
  <r>
    <x v="1"/>
    <x v="0"/>
    <x v="12"/>
    <x v="0"/>
    <x v="119"/>
    <x v="137"/>
    <x v="328"/>
    <x v="4"/>
    <n v="1"/>
    <s v="Not Sampled"/>
    <n v="1473"/>
    <m/>
    <m/>
    <m/>
    <m/>
    <m/>
    <m/>
    <m/>
    <m/>
    <s v="Positive"/>
    <s v="Not Sampled"/>
    <s v="Not Sampled"/>
  </r>
  <r>
    <x v="5"/>
    <x v="5"/>
    <x v="16"/>
    <x v="12"/>
    <x v="138"/>
    <x v="140"/>
    <x v="61"/>
    <x v="11"/>
    <n v="1"/>
    <s v="Not Sampled"/>
    <n v="1474"/>
    <m/>
    <m/>
    <m/>
    <m/>
    <m/>
    <m/>
    <m/>
    <m/>
    <s v="Positive"/>
    <s v="Not Sampled"/>
    <s v="Not Sampled"/>
  </r>
  <r>
    <x v="2"/>
    <x v="75"/>
    <x v="3"/>
    <x v="23"/>
    <x v="0"/>
    <x v="185"/>
    <x v="329"/>
    <x v="11"/>
    <n v="0"/>
    <n v="0"/>
    <n v="1475"/>
    <m/>
    <m/>
    <m/>
    <m/>
    <m/>
    <m/>
    <m/>
    <m/>
    <s v="Negative"/>
    <s v="Negative"/>
    <s v="Accurate Prediction"/>
  </r>
  <r>
    <x v="3"/>
    <x v="65"/>
    <x v="1"/>
    <x v="5"/>
    <x v="0"/>
    <x v="70"/>
    <x v="330"/>
    <x v="26"/>
    <n v="1"/>
    <n v="1"/>
    <n v="1476"/>
    <m/>
    <m/>
    <m/>
    <m/>
    <m/>
    <m/>
    <m/>
    <m/>
    <s v="Positive"/>
    <s v="Positive"/>
    <s v="Accurate Prediction"/>
  </r>
  <r>
    <x v="2"/>
    <x v="8"/>
    <x v="3"/>
    <x v="2"/>
    <x v="0"/>
    <x v="198"/>
    <x v="331"/>
    <x v="23"/>
    <n v="0"/>
    <s v="Not Sampled"/>
    <n v="1477"/>
    <m/>
    <m/>
    <m/>
    <m/>
    <m/>
    <m/>
    <m/>
    <m/>
    <s v="Negative"/>
    <s v="Not Sampled"/>
    <s v="Not Sampled"/>
  </r>
  <r>
    <x v="5"/>
    <x v="52"/>
    <x v="11"/>
    <x v="30"/>
    <x v="133"/>
    <x v="199"/>
    <x v="332"/>
    <x v="6"/>
    <n v="1"/>
    <s v="Not Sampled"/>
    <n v="1478"/>
    <m/>
    <m/>
    <m/>
    <m/>
    <m/>
    <m/>
    <m/>
    <m/>
    <s v="Positive"/>
    <s v="Not Sampled"/>
    <s v="Not Sampled"/>
  </r>
  <r>
    <x v="2"/>
    <x v="93"/>
    <x v="21"/>
    <x v="4"/>
    <x v="13"/>
    <x v="200"/>
    <x v="333"/>
    <x v="25"/>
    <n v="0"/>
    <s v="Not Sampled"/>
    <n v="1479"/>
    <m/>
    <m/>
    <m/>
    <m/>
    <m/>
    <m/>
    <m/>
    <m/>
    <s v="Negative"/>
    <s v="Not Sampled"/>
    <s v="Not Sampled"/>
  </r>
  <r>
    <x v="0"/>
    <x v="19"/>
    <x v="3"/>
    <x v="10"/>
    <x v="7"/>
    <x v="14"/>
    <x v="334"/>
    <x v="4"/>
    <n v="0"/>
    <n v="0"/>
    <n v="1480"/>
    <m/>
    <m/>
    <m/>
    <m/>
    <m/>
    <m/>
    <m/>
    <m/>
    <s v="Negative"/>
    <s v="Negative"/>
    <s v="Accurate Prediction"/>
  </r>
  <r>
    <x v="1"/>
    <x v="29"/>
    <x v="11"/>
    <x v="40"/>
    <x v="65"/>
    <x v="102"/>
    <x v="116"/>
    <x v="4"/>
    <n v="0"/>
    <s v="Not Sampled"/>
    <n v="1481"/>
    <m/>
    <m/>
    <m/>
    <m/>
    <m/>
    <m/>
    <m/>
    <m/>
    <s v="Negative"/>
    <s v="Not Sampled"/>
    <s v="Not Sampled"/>
  </r>
  <r>
    <x v="0"/>
    <x v="109"/>
    <x v="11"/>
    <x v="29"/>
    <x v="0"/>
    <x v="98"/>
    <x v="335"/>
    <x v="4"/>
    <n v="0"/>
    <n v="0"/>
    <n v="1482"/>
    <m/>
    <m/>
    <m/>
    <m/>
    <m/>
    <m/>
    <m/>
    <m/>
    <s v="Negative"/>
    <s v="Negative"/>
    <s v="Accurate Prediction"/>
  </r>
  <r>
    <x v="4"/>
    <x v="68"/>
    <x v="4"/>
    <x v="5"/>
    <x v="14"/>
    <x v="92"/>
    <x v="336"/>
    <x v="31"/>
    <n v="1"/>
    <s v="Not Sampled"/>
    <n v="1483"/>
    <m/>
    <m/>
    <m/>
    <m/>
    <m/>
    <m/>
    <m/>
    <m/>
    <s v="Positive"/>
    <s v="Not Sampled"/>
    <s v="Not Sampled"/>
  </r>
  <r>
    <x v="3"/>
    <x v="97"/>
    <x v="4"/>
    <x v="15"/>
    <x v="139"/>
    <x v="201"/>
    <x v="337"/>
    <x v="2"/>
    <n v="1"/>
    <s v="Not Sampled"/>
    <n v="1484"/>
    <m/>
    <m/>
    <m/>
    <m/>
    <m/>
    <m/>
    <m/>
    <m/>
    <s v="Positive"/>
    <s v="Not Sampled"/>
    <s v="Not Sampled"/>
  </r>
  <r>
    <x v="1"/>
    <x v="19"/>
    <x v="2"/>
    <x v="2"/>
    <x v="0"/>
    <x v="12"/>
    <x v="152"/>
    <x v="14"/>
    <n v="0"/>
    <s v="Not Sampled"/>
    <n v="1485"/>
    <m/>
    <m/>
    <m/>
    <m/>
    <m/>
    <m/>
    <m/>
    <m/>
    <s v="Negative"/>
    <s v="Not Sampled"/>
    <s v="Not Sampled"/>
  </r>
  <r>
    <x v="2"/>
    <x v="94"/>
    <x v="11"/>
    <x v="8"/>
    <x v="105"/>
    <x v="174"/>
    <x v="338"/>
    <x v="19"/>
    <n v="1"/>
    <s v="Not Sampled"/>
    <n v="1486"/>
    <m/>
    <m/>
    <m/>
    <m/>
    <m/>
    <m/>
    <m/>
    <m/>
    <s v="Positive"/>
    <s v="Not Sampled"/>
    <s v="Not Sampled"/>
  </r>
  <r>
    <x v="1"/>
    <x v="3"/>
    <x v="41"/>
    <x v="40"/>
    <x v="8"/>
    <x v="102"/>
    <x v="223"/>
    <x v="25"/>
    <n v="0"/>
    <s v="Not Sampled"/>
    <n v="1487"/>
    <m/>
    <m/>
    <m/>
    <m/>
    <m/>
    <m/>
    <m/>
    <m/>
    <s v="Negative"/>
    <s v="Not Sampled"/>
    <s v="Not Sampled"/>
  </r>
  <r>
    <x v="2"/>
    <x v="50"/>
    <x v="1"/>
    <x v="14"/>
    <x v="105"/>
    <x v="145"/>
    <x v="1"/>
    <x v="33"/>
    <n v="1"/>
    <s v="Not Sampled"/>
    <n v="1488"/>
    <m/>
    <m/>
    <m/>
    <m/>
    <m/>
    <m/>
    <m/>
    <m/>
    <s v="Positive"/>
    <s v="Not Sampled"/>
    <s v="Not Sampled"/>
  </r>
  <r>
    <x v="0"/>
    <x v="6"/>
    <x v="2"/>
    <x v="2"/>
    <x v="0"/>
    <x v="202"/>
    <x v="339"/>
    <x v="1"/>
    <n v="0"/>
    <s v="Not Sampled"/>
    <n v="1489"/>
    <m/>
    <m/>
    <m/>
    <m/>
    <m/>
    <m/>
    <m/>
    <m/>
    <s v="Negative"/>
    <s v="Not Sampled"/>
    <s v="Not Sampled"/>
  </r>
  <r>
    <x v="5"/>
    <x v="9"/>
    <x v="10"/>
    <x v="41"/>
    <x v="108"/>
    <x v="25"/>
    <x v="7"/>
    <x v="19"/>
    <n v="0"/>
    <s v="Not Sampled"/>
    <n v="1490"/>
    <m/>
    <m/>
    <m/>
    <m/>
    <m/>
    <m/>
    <m/>
    <m/>
    <s v="Negative"/>
    <s v="Not Sampled"/>
    <s v="Not Sampled"/>
  </r>
  <r>
    <x v="2"/>
    <x v="11"/>
    <x v="10"/>
    <x v="22"/>
    <x v="140"/>
    <x v="135"/>
    <x v="268"/>
    <x v="11"/>
    <n v="0"/>
    <s v="Not Sampled"/>
    <n v="1491"/>
    <m/>
    <m/>
    <m/>
    <m/>
    <m/>
    <m/>
    <m/>
    <m/>
    <s v="Negative"/>
    <s v="Not Sampled"/>
    <s v="Not Sampled"/>
  </r>
  <r>
    <x v="0"/>
    <x v="4"/>
    <x v="25"/>
    <x v="2"/>
    <x v="0"/>
    <x v="6"/>
    <x v="148"/>
    <x v="29"/>
    <n v="0"/>
    <s v="Not Sampled"/>
    <n v="1492"/>
    <m/>
    <m/>
    <m/>
    <m/>
    <m/>
    <m/>
    <m/>
    <m/>
    <s v="Negative"/>
    <s v="Not Sampled"/>
    <s v="Not Sampled"/>
  </r>
  <r>
    <x v="2"/>
    <x v="30"/>
    <x v="3"/>
    <x v="47"/>
    <x v="0"/>
    <x v="203"/>
    <x v="340"/>
    <x v="31"/>
    <n v="0"/>
    <s v="Not Sampled"/>
    <n v="1493"/>
    <m/>
    <m/>
    <m/>
    <m/>
    <m/>
    <m/>
    <m/>
    <m/>
    <s v="Negative"/>
    <s v="Not Sampled"/>
    <s v="Not Sampled"/>
  </r>
  <r>
    <x v="1"/>
    <x v="47"/>
    <x v="2"/>
    <x v="2"/>
    <x v="0"/>
    <x v="197"/>
    <x v="310"/>
    <x v="29"/>
    <n v="1"/>
    <s v="Not Sampled"/>
    <n v="1494"/>
    <m/>
    <m/>
    <m/>
    <m/>
    <m/>
    <m/>
    <m/>
    <m/>
    <s v="Positive"/>
    <s v="Not Sampled"/>
    <s v="Not Sampled"/>
  </r>
  <r>
    <x v="10"/>
    <x v="98"/>
    <x v="23"/>
    <x v="12"/>
    <x v="0"/>
    <x v="83"/>
    <x v="168"/>
    <x v="17"/>
    <n v="0"/>
    <s v="Not Sampled"/>
    <n v="1495"/>
    <m/>
    <m/>
    <m/>
    <m/>
    <m/>
    <m/>
    <m/>
    <m/>
    <s v="Negative"/>
    <s v="Not Sampled"/>
    <s v="Not Sampled"/>
  </r>
  <r>
    <x v="7"/>
    <x v="83"/>
    <x v="25"/>
    <x v="2"/>
    <x v="0"/>
    <x v="106"/>
    <x v="251"/>
    <x v="6"/>
    <n v="0"/>
    <n v="1"/>
    <n v="1496"/>
    <m/>
    <m/>
    <m/>
    <m/>
    <m/>
    <m/>
    <m/>
    <m/>
    <s v="Negative"/>
    <s v="Positive"/>
    <s v="Inaccurate Prediction"/>
  </r>
  <r>
    <x v="2"/>
    <x v="75"/>
    <x v="9"/>
    <x v="11"/>
    <x v="0"/>
    <x v="198"/>
    <x v="341"/>
    <x v="4"/>
    <n v="0"/>
    <s v="Not Sampled"/>
    <n v="1497"/>
    <m/>
    <m/>
    <m/>
    <m/>
    <m/>
    <m/>
    <m/>
    <m/>
    <s v="Negative"/>
    <s v="Not Sampled"/>
    <s v="Not Sampled"/>
  </r>
  <r>
    <x v="6"/>
    <x v="61"/>
    <x v="21"/>
    <x v="2"/>
    <x v="0"/>
    <x v="8"/>
    <x v="19"/>
    <x v="2"/>
    <n v="0"/>
    <s v="Not Sampled"/>
    <n v="1498"/>
    <m/>
    <m/>
    <m/>
    <m/>
    <m/>
    <m/>
    <m/>
    <m/>
    <s v="Negative"/>
    <s v="Not Sampled"/>
    <s v="Not Sampled"/>
  </r>
  <r>
    <x v="1"/>
    <x v="115"/>
    <x v="35"/>
    <x v="14"/>
    <x v="0"/>
    <x v="82"/>
    <x v="342"/>
    <x v="17"/>
    <n v="1"/>
    <s v="Not Sampled"/>
    <n v="1499"/>
    <m/>
    <m/>
    <m/>
    <m/>
    <m/>
    <m/>
    <m/>
    <m/>
    <s v="Positive"/>
    <s v="Not Sampled"/>
    <s v="Not Sampled"/>
  </r>
  <r>
    <x v="0"/>
    <x v="8"/>
    <x v="19"/>
    <x v="17"/>
    <x v="52"/>
    <x v="204"/>
    <x v="343"/>
    <x v="11"/>
    <n v="0"/>
    <s v="Not Sampled"/>
    <n v="1500"/>
    <m/>
    <m/>
    <m/>
    <m/>
    <m/>
    <m/>
    <m/>
    <m/>
    <s v="Negative"/>
    <s v="Not Sampled"/>
    <s v="Not Sampled"/>
  </r>
  <r>
    <x v="3"/>
    <x v="17"/>
    <x v="11"/>
    <x v="21"/>
    <x v="77"/>
    <x v="34"/>
    <x v="344"/>
    <x v="3"/>
    <n v="0"/>
    <n v="0"/>
    <n v="1501"/>
    <m/>
    <m/>
    <m/>
    <m/>
    <m/>
    <m/>
    <m/>
    <m/>
    <s v="Negative"/>
    <s v="Negative"/>
    <s v="Accurate Prediction"/>
  </r>
  <r>
    <x v="4"/>
    <x v="81"/>
    <x v="9"/>
    <x v="2"/>
    <x v="0"/>
    <x v="85"/>
    <x v="345"/>
    <x v="9"/>
    <n v="1"/>
    <s v="Not Sampled"/>
    <n v="1502"/>
    <m/>
    <m/>
    <m/>
    <m/>
    <m/>
    <m/>
    <m/>
    <m/>
    <s v="Positive"/>
    <s v="Not Sampled"/>
    <s v="Not Sampled"/>
  </r>
  <r>
    <x v="3"/>
    <x v="17"/>
    <x v="0"/>
    <x v="39"/>
    <x v="0"/>
    <x v="27"/>
    <x v="222"/>
    <x v="13"/>
    <n v="1"/>
    <s v="Not Sampled"/>
    <n v="1503"/>
    <m/>
    <m/>
    <m/>
    <m/>
    <m/>
    <m/>
    <m/>
    <m/>
    <s v="Positive"/>
    <s v="Not Sampled"/>
    <s v="Not Sampled"/>
  </r>
  <r>
    <x v="1"/>
    <x v="22"/>
    <x v="4"/>
    <x v="49"/>
    <x v="141"/>
    <x v="205"/>
    <x v="346"/>
    <x v="14"/>
    <n v="1"/>
    <s v="Not Sampled"/>
    <n v="1504"/>
    <m/>
    <m/>
    <m/>
    <m/>
    <m/>
    <m/>
    <m/>
    <m/>
    <s v="Positive"/>
    <s v="Not Sampled"/>
    <s v="Not Sampled"/>
  </r>
  <r>
    <x v="2"/>
    <x v="45"/>
    <x v="5"/>
    <x v="39"/>
    <x v="19"/>
    <x v="159"/>
    <x v="347"/>
    <x v="6"/>
    <n v="0"/>
    <s v="Not Sampled"/>
    <n v="1505"/>
    <m/>
    <m/>
    <m/>
    <m/>
    <m/>
    <m/>
    <m/>
    <m/>
    <s v="Negative"/>
    <s v="Not Sampled"/>
    <s v="Not Sampled"/>
  </r>
  <r>
    <x v="1"/>
    <x v="50"/>
    <x v="6"/>
    <x v="45"/>
    <x v="53"/>
    <x v="23"/>
    <x v="348"/>
    <x v="25"/>
    <n v="0"/>
    <s v="Not Sampled"/>
    <n v="1506"/>
    <m/>
    <m/>
    <m/>
    <m/>
    <m/>
    <m/>
    <m/>
    <m/>
    <s v="Negative"/>
    <s v="Not Sampled"/>
    <s v="Not Sampled"/>
  </r>
  <r>
    <x v="1"/>
    <x v="88"/>
    <x v="11"/>
    <x v="18"/>
    <x v="36"/>
    <x v="0"/>
    <x v="349"/>
    <x v="11"/>
    <n v="1"/>
    <s v="Not Sampled"/>
    <n v="1507"/>
    <m/>
    <m/>
    <m/>
    <m/>
    <m/>
    <m/>
    <m/>
    <m/>
    <s v="Positive"/>
    <s v="Not Sampled"/>
    <s v="Not Sampled"/>
  </r>
  <r>
    <x v="1"/>
    <x v="24"/>
    <x v="10"/>
    <x v="10"/>
    <x v="55"/>
    <x v="85"/>
    <x v="350"/>
    <x v="25"/>
    <n v="0"/>
    <s v="Not Sampled"/>
    <n v="1508"/>
    <m/>
    <m/>
    <m/>
    <m/>
    <m/>
    <m/>
    <m/>
    <m/>
    <s v="Negative"/>
    <s v="Not Sampled"/>
    <s v="Not Sampled"/>
  </r>
  <r>
    <x v="2"/>
    <x v="118"/>
    <x v="11"/>
    <x v="27"/>
    <x v="142"/>
    <x v="206"/>
    <x v="351"/>
    <x v="1"/>
    <n v="0"/>
    <s v="Not Sampled"/>
    <n v="1509"/>
    <m/>
    <m/>
    <m/>
    <m/>
    <m/>
    <m/>
    <m/>
    <m/>
    <s v="Negative"/>
    <s v="Not Sampled"/>
    <s v="Not Sampled"/>
  </r>
  <r>
    <x v="0"/>
    <x v="63"/>
    <x v="9"/>
    <x v="2"/>
    <x v="0"/>
    <x v="11"/>
    <x v="157"/>
    <x v="1"/>
    <n v="1"/>
    <s v="Not Sampled"/>
    <n v="1510"/>
    <m/>
    <m/>
    <m/>
    <m/>
    <m/>
    <m/>
    <m/>
    <m/>
    <s v="Positive"/>
    <s v="Not Sampled"/>
    <s v="Not Sampled"/>
  </r>
  <r>
    <x v="1"/>
    <x v="25"/>
    <x v="3"/>
    <x v="5"/>
    <x v="14"/>
    <x v="180"/>
    <x v="352"/>
    <x v="14"/>
    <n v="0"/>
    <s v="Not Sampled"/>
    <n v="1511"/>
    <m/>
    <m/>
    <m/>
    <m/>
    <m/>
    <m/>
    <m/>
    <m/>
    <s v="Negative"/>
    <s v="Not Sampled"/>
    <s v="Not Sampled"/>
  </r>
  <r>
    <x v="0"/>
    <x v="93"/>
    <x v="2"/>
    <x v="2"/>
    <x v="0"/>
    <x v="58"/>
    <x v="353"/>
    <x v="46"/>
    <n v="0"/>
    <n v="0"/>
    <n v="1512"/>
    <m/>
    <m/>
    <m/>
    <m/>
    <m/>
    <m/>
    <m/>
    <m/>
    <s v="Negative"/>
    <s v="Negative"/>
    <s v="Accurate Prediction"/>
  </r>
  <r>
    <x v="0"/>
    <x v="45"/>
    <x v="14"/>
    <x v="7"/>
    <x v="16"/>
    <x v="136"/>
    <x v="354"/>
    <x v="3"/>
    <n v="0"/>
    <n v="0"/>
    <n v="1513"/>
    <m/>
    <m/>
    <m/>
    <m/>
    <m/>
    <m/>
    <m/>
    <m/>
    <s v="Negative"/>
    <s v="Negative"/>
    <s v="Accurate Prediction"/>
  </r>
  <r>
    <x v="16"/>
    <x v="122"/>
    <x v="0"/>
    <x v="8"/>
    <x v="0"/>
    <x v="0"/>
    <x v="355"/>
    <x v="19"/>
    <n v="1"/>
    <s v="Not Sampled"/>
    <n v="1514"/>
    <m/>
    <m/>
    <m/>
    <m/>
    <m/>
    <m/>
    <m/>
    <m/>
    <s v="Positive"/>
    <s v="Not Sampled"/>
    <s v="Not Sampled"/>
  </r>
  <r>
    <x v="2"/>
    <x v="3"/>
    <x v="14"/>
    <x v="2"/>
    <x v="0"/>
    <x v="207"/>
    <x v="140"/>
    <x v="38"/>
    <n v="0"/>
    <s v="Not Sampled"/>
    <n v="1515"/>
    <m/>
    <m/>
    <m/>
    <m/>
    <m/>
    <m/>
    <m/>
    <m/>
    <s v="Negative"/>
    <s v="Not Sampled"/>
    <s v="Not Sampled"/>
  </r>
  <r>
    <x v="7"/>
    <x v="103"/>
    <x v="3"/>
    <x v="7"/>
    <x v="10"/>
    <x v="208"/>
    <x v="356"/>
    <x v="3"/>
    <n v="0"/>
    <s v="Not Sampled"/>
    <n v="1516"/>
    <m/>
    <m/>
    <m/>
    <m/>
    <m/>
    <m/>
    <m/>
    <m/>
    <s v="Negative"/>
    <s v="Not Sampled"/>
    <s v="Not Sampled"/>
  </r>
  <r>
    <x v="9"/>
    <x v="89"/>
    <x v="16"/>
    <x v="46"/>
    <x v="143"/>
    <x v="209"/>
    <x v="357"/>
    <x v="42"/>
    <n v="1"/>
    <s v="Not Sampled"/>
    <n v="1517"/>
    <m/>
    <m/>
    <m/>
    <m/>
    <m/>
    <m/>
    <m/>
    <m/>
    <s v="Positive"/>
    <s v="Not Sampled"/>
    <s v="Not Sampled"/>
  </r>
  <r>
    <x v="11"/>
    <x v="63"/>
    <x v="10"/>
    <x v="12"/>
    <x v="140"/>
    <x v="151"/>
    <x v="358"/>
    <x v="47"/>
    <n v="0"/>
    <n v="1"/>
    <n v="1518"/>
    <m/>
    <m/>
    <m/>
    <m/>
    <m/>
    <m/>
    <m/>
    <m/>
    <s v="Negative"/>
    <s v="Positive"/>
    <s v="Inaccurate Prediction"/>
  </r>
  <r>
    <x v="11"/>
    <x v="24"/>
    <x v="5"/>
    <x v="29"/>
    <x v="79"/>
    <x v="163"/>
    <x v="359"/>
    <x v="27"/>
    <n v="0"/>
    <s v="Not Sampled"/>
    <n v="1519"/>
    <m/>
    <m/>
    <m/>
    <m/>
    <m/>
    <m/>
    <m/>
    <m/>
    <s v="Negative"/>
    <s v="Not Sampled"/>
    <s v="Not Sampled"/>
  </r>
  <r>
    <x v="2"/>
    <x v="37"/>
    <x v="0"/>
    <x v="2"/>
    <x v="0"/>
    <x v="181"/>
    <x v="360"/>
    <x v="25"/>
    <n v="0"/>
    <s v="Not Sampled"/>
    <n v="1520"/>
    <m/>
    <m/>
    <m/>
    <m/>
    <m/>
    <m/>
    <m/>
    <m/>
    <s v="Negative"/>
    <s v="Not Sampled"/>
    <s v="Not Sampled"/>
  </r>
  <r>
    <x v="4"/>
    <x v="58"/>
    <x v="9"/>
    <x v="32"/>
    <x v="51"/>
    <x v="186"/>
    <x v="361"/>
    <x v="16"/>
    <n v="0"/>
    <s v="Not Sampled"/>
    <n v="1521"/>
    <m/>
    <m/>
    <m/>
    <m/>
    <m/>
    <m/>
    <m/>
    <m/>
    <s v="Negative"/>
    <s v="Not Sampled"/>
    <s v="Not Sampled"/>
  </r>
  <r>
    <x v="7"/>
    <x v="40"/>
    <x v="4"/>
    <x v="8"/>
    <x v="0"/>
    <x v="32"/>
    <x v="61"/>
    <x v="26"/>
    <n v="0"/>
    <n v="0"/>
    <n v="1522"/>
    <m/>
    <m/>
    <m/>
    <m/>
    <m/>
    <m/>
    <m/>
    <m/>
    <s v="Negative"/>
    <s v="Negative"/>
    <s v="Accurate Prediction"/>
  </r>
  <r>
    <x v="9"/>
    <x v="109"/>
    <x v="34"/>
    <x v="2"/>
    <x v="0"/>
    <x v="33"/>
    <x v="362"/>
    <x v="34"/>
    <n v="0"/>
    <s v="Not Sampled"/>
    <n v="1523"/>
    <m/>
    <m/>
    <m/>
    <m/>
    <m/>
    <m/>
    <m/>
    <m/>
    <s v="Negative"/>
    <s v="Not Sampled"/>
    <s v="Not Sampled"/>
  </r>
  <r>
    <x v="1"/>
    <x v="73"/>
    <x v="20"/>
    <x v="27"/>
    <x v="16"/>
    <x v="181"/>
    <x v="117"/>
    <x v="4"/>
    <n v="0"/>
    <s v="Not Sampled"/>
    <n v="1524"/>
    <m/>
    <m/>
    <m/>
    <m/>
    <m/>
    <m/>
    <m/>
    <m/>
    <s v="Negative"/>
    <s v="Not Sampled"/>
    <s v="Not Sampled"/>
  </r>
  <r>
    <x v="1"/>
    <x v="58"/>
    <x v="33"/>
    <x v="25"/>
    <x v="22"/>
    <x v="157"/>
    <x v="363"/>
    <x v="11"/>
    <n v="0"/>
    <s v="Not Sampled"/>
    <n v="1525"/>
    <m/>
    <m/>
    <m/>
    <m/>
    <m/>
    <m/>
    <m/>
    <m/>
    <s v="Negative"/>
    <s v="Not Sampled"/>
    <s v="Not Sampled"/>
  </r>
  <r>
    <x v="1"/>
    <x v="75"/>
    <x v="11"/>
    <x v="35"/>
    <x v="31"/>
    <x v="8"/>
    <x v="364"/>
    <x v="14"/>
    <n v="0"/>
    <s v="Not Sampled"/>
    <n v="1526"/>
    <m/>
    <m/>
    <m/>
    <m/>
    <m/>
    <m/>
    <m/>
    <m/>
    <s v="Negative"/>
    <s v="Not Sampled"/>
    <s v="Not Sampled"/>
  </r>
  <r>
    <x v="4"/>
    <x v="24"/>
    <x v="2"/>
    <x v="2"/>
    <x v="0"/>
    <x v="135"/>
    <x v="365"/>
    <x v="19"/>
    <n v="1"/>
    <s v="Not Sampled"/>
    <n v="1527"/>
    <m/>
    <m/>
    <m/>
    <m/>
    <m/>
    <m/>
    <m/>
    <m/>
    <s v="Positive"/>
    <s v="Not Sampled"/>
    <s v="Not Sampled"/>
  </r>
  <r>
    <x v="6"/>
    <x v="16"/>
    <x v="4"/>
    <x v="4"/>
    <x v="32"/>
    <x v="210"/>
    <x v="366"/>
    <x v="23"/>
    <n v="0"/>
    <n v="1"/>
    <n v="1528"/>
    <m/>
    <m/>
    <m/>
    <m/>
    <m/>
    <m/>
    <m/>
    <m/>
    <s v="Negative"/>
    <s v="Positive"/>
    <s v="Inaccurate Prediction"/>
  </r>
  <r>
    <x v="2"/>
    <x v="65"/>
    <x v="1"/>
    <x v="32"/>
    <x v="0"/>
    <x v="211"/>
    <x v="367"/>
    <x v="6"/>
    <n v="0"/>
    <n v="1"/>
    <n v="1529"/>
    <m/>
    <m/>
    <m/>
    <m/>
    <m/>
    <m/>
    <m/>
    <m/>
    <s v="Negative"/>
    <s v="Positive"/>
    <s v="Inaccurate Prediction"/>
  </r>
  <r>
    <x v="1"/>
    <x v="59"/>
    <x v="9"/>
    <x v="9"/>
    <x v="0"/>
    <x v="34"/>
    <x v="368"/>
    <x v="11"/>
    <n v="0"/>
    <s v="Not Sampled"/>
    <n v="1530"/>
    <m/>
    <m/>
    <m/>
    <m/>
    <m/>
    <m/>
    <m/>
    <m/>
    <s v="Negative"/>
    <s v="Not Sampled"/>
    <s v="Not Sampled"/>
  </r>
  <r>
    <x v="1"/>
    <x v="93"/>
    <x v="19"/>
    <x v="21"/>
    <x v="0"/>
    <x v="212"/>
    <x v="247"/>
    <x v="11"/>
    <n v="0"/>
    <s v="Not Sampled"/>
    <n v="1531"/>
    <m/>
    <m/>
    <m/>
    <m/>
    <m/>
    <m/>
    <m/>
    <m/>
    <s v="Negative"/>
    <s v="Not Sampled"/>
    <s v="Not Sampled"/>
  </r>
  <r>
    <x v="8"/>
    <x v="60"/>
    <x v="8"/>
    <x v="2"/>
    <x v="0"/>
    <x v="106"/>
    <x v="369"/>
    <x v="48"/>
    <n v="0"/>
    <s v="Not Sampled"/>
    <n v="1532"/>
    <m/>
    <m/>
    <m/>
    <m/>
    <m/>
    <m/>
    <m/>
    <m/>
    <s v="Negative"/>
    <s v="Not Sampled"/>
    <s v="Not Sampled"/>
  </r>
  <r>
    <x v="3"/>
    <x v="48"/>
    <x v="11"/>
    <x v="2"/>
    <x v="0"/>
    <x v="11"/>
    <x v="370"/>
    <x v="3"/>
    <n v="0"/>
    <s v="Not Sampled"/>
    <n v="1533"/>
    <m/>
    <m/>
    <m/>
    <m/>
    <m/>
    <m/>
    <m/>
    <m/>
    <s v="Negative"/>
    <s v="Not Sampled"/>
    <s v="Not Sampled"/>
  </r>
  <r>
    <x v="1"/>
    <x v="59"/>
    <x v="16"/>
    <x v="21"/>
    <x v="0"/>
    <x v="30"/>
    <x v="70"/>
    <x v="45"/>
    <n v="0"/>
    <s v="Not Sampled"/>
    <n v="1534"/>
    <m/>
    <m/>
    <m/>
    <m/>
    <m/>
    <m/>
    <m/>
    <m/>
    <s v="Negative"/>
    <s v="Not Sampled"/>
    <s v="Not Sampled"/>
  </r>
  <r>
    <x v="0"/>
    <x v="38"/>
    <x v="6"/>
    <x v="45"/>
    <x v="144"/>
    <x v="47"/>
    <x v="371"/>
    <x v="29"/>
    <n v="1"/>
    <s v="Not Sampled"/>
    <n v="1535"/>
    <m/>
    <m/>
    <m/>
    <m/>
    <m/>
    <m/>
    <m/>
    <m/>
    <s v="Positive"/>
    <s v="Not Sampled"/>
    <s v="Not Sampled"/>
  </r>
  <r>
    <x v="8"/>
    <x v="48"/>
    <x v="15"/>
    <x v="6"/>
    <x v="27"/>
    <x v="74"/>
    <x v="372"/>
    <x v="2"/>
    <n v="0"/>
    <s v="Not Sampled"/>
    <n v="1536"/>
    <m/>
    <m/>
    <m/>
    <m/>
    <m/>
    <m/>
    <m/>
    <m/>
    <s v="Negative"/>
    <s v="Not Sampled"/>
    <s v="Not Sampled"/>
  </r>
  <r>
    <x v="4"/>
    <x v="51"/>
    <x v="10"/>
    <x v="9"/>
    <x v="96"/>
    <x v="151"/>
    <x v="373"/>
    <x v="16"/>
    <n v="0"/>
    <s v="Not Sampled"/>
    <n v="1537"/>
    <m/>
    <m/>
    <m/>
    <m/>
    <m/>
    <m/>
    <m/>
    <m/>
    <s v="Negative"/>
    <s v="Not Sampled"/>
    <s v="Not Sampled"/>
  </r>
  <r>
    <x v="3"/>
    <x v="77"/>
    <x v="24"/>
    <x v="1"/>
    <x v="0"/>
    <x v="43"/>
    <x v="374"/>
    <x v="44"/>
    <n v="0"/>
    <s v="Not Sampled"/>
    <n v="1538"/>
    <m/>
    <m/>
    <m/>
    <m/>
    <m/>
    <m/>
    <m/>
    <m/>
    <s v="Negative"/>
    <s v="Not Sampled"/>
    <s v="Not Sampled"/>
  </r>
  <r>
    <x v="5"/>
    <x v="95"/>
    <x v="9"/>
    <x v="8"/>
    <x v="145"/>
    <x v="130"/>
    <x v="46"/>
    <x v="20"/>
    <n v="1"/>
    <s v="Not Sampled"/>
    <n v="1539"/>
    <m/>
    <m/>
    <m/>
    <m/>
    <m/>
    <m/>
    <m/>
    <m/>
    <s v="Positive"/>
    <s v="Not Sampled"/>
    <s v="Not Sampled"/>
  </r>
  <r>
    <x v="1"/>
    <x v="62"/>
    <x v="21"/>
    <x v="18"/>
    <x v="0"/>
    <x v="213"/>
    <x v="269"/>
    <x v="29"/>
    <n v="0"/>
    <n v="0"/>
    <n v="1540"/>
    <m/>
    <m/>
    <m/>
    <m/>
    <m/>
    <m/>
    <m/>
    <m/>
    <s v="Negative"/>
    <s v="Negative"/>
    <s v="Accurate Prediction"/>
  </r>
  <r>
    <x v="3"/>
    <x v="69"/>
    <x v="22"/>
    <x v="29"/>
    <x v="51"/>
    <x v="157"/>
    <x v="296"/>
    <x v="6"/>
    <n v="0"/>
    <s v="Not Sampled"/>
    <n v="1541"/>
    <m/>
    <m/>
    <m/>
    <m/>
    <m/>
    <m/>
    <m/>
    <m/>
    <s v="Negative"/>
    <s v="Not Sampled"/>
    <s v="Not Sampled"/>
  </r>
  <r>
    <x v="1"/>
    <x v="1"/>
    <x v="1"/>
    <x v="1"/>
    <x v="1"/>
    <x v="1"/>
    <x v="1"/>
    <x v="1"/>
    <n v="0"/>
    <s v="Not Sampled"/>
    <n v="1542"/>
    <m/>
    <m/>
    <m/>
    <m/>
    <m/>
    <m/>
    <m/>
    <m/>
    <s v="Negative"/>
    <s v="Not Sampled"/>
    <s v="Not Sampled"/>
  </r>
  <r>
    <x v="1"/>
    <x v="2"/>
    <x v="2"/>
    <x v="2"/>
    <x v="0"/>
    <x v="2"/>
    <x v="2"/>
    <x v="2"/>
    <n v="1"/>
    <s v="Not Sampled"/>
    <n v="1543"/>
    <m/>
    <m/>
    <m/>
    <m/>
    <m/>
    <m/>
    <m/>
    <m/>
    <s v="Positive"/>
    <s v="Not Sampled"/>
    <s v="Not Sampled"/>
  </r>
  <r>
    <x v="1"/>
    <x v="3"/>
    <x v="3"/>
    <x v="3"/>
    <x v="2"/>
    <x v="3"/>
    <x v="3"/>
    <x v="3"/>
    <n v="1"/>
    <s v="Not Sampled"/>
    <n v="1544"/>
    <m/>
    <m/>
    <m/>
    <m/>
    <m/>
    <m/>
    <m/>
    <m/>
    <s v="Positive"/>
    <s v="Not Sampled"/>
    <s v="Not Sampled"/>
  </r>
  <r>
    <x v="2"/>
    <x v="4"/>
    <x v="0"/>
    <x v="4"/>
    <x v="3"/>
    <x v="4"/>
    <x v="4"/>
    <x v="4"/>
    <n v="0"/>
    <s v="Not Sampled"/>
    <n v="1545"/>
    <m/>
    <m/>
    <m/>
    <m/>
    <m/>
    <m/>
    <m/>
    <m/>
    <s v="Negative"/>
    <s v="Not Sampled"/>
    <s v="Not Sampled"/>
  </r>
  <r>
    <x v="1"/>
    <x v="5"/>
    <x v="4"/>
    <x v="5"/>
    <x v="4"/>
    <x v="5"/>
    <x v="5"/>
    <x v="5"/>
    <n v="0"/>
    <n v="1"/>
    <n v="1546"/>
    <m/>
    <m/>
    <m/>
    <m/>
    <m/>
    <m/>
    <m/>
    <m/>
    <s v="Negative"/>
    <s v="Positive"/>
    <s v="Inaccurate Prediction"/>
  </r>
  <r>
    <x v="3"/>
    <x v="6"/>
    <x v="5"/>
    <x v="6"/>
    <x v="0"/>
    <x v="6"/>
    <x v="6"/>
    <x v="6"/>
    <n v="0"/>
    <n v="0"/>
    <n v="1547"/>
    <m/>
    <m/>
    <m/>
    <m/>
    <m/>
    <m/>
    <m/>
    <m/>
    <s v="Negative"/>
    <s v="Negative"/>
    <s v="Accurate Prediction"/>
  </r>
  <r>
    <x v="4"/>
    <x v="7"/>
    <x v="6"/>
    <x v="2"/>
    <x v="0"/>
    <x v="7"/>
    <x v="7"/>
    <x v="7"/>
    <n v="0"/>
    <n v="1"/>
    <n v="1548"/>
    <m/>
    <m/>
    <m/>
    <m/>
    <m/>
    <m/>
    <m/>
    <m/>
    <s v="Negative"/>
    <s v="Positive"/>
    <s v="Inaccurate Prediction"/>
  </r>
  <r>
    <x v="0"/>
    <x v="8"/>
    <x v="7"/>
    <x v="7"/>
    <x v="5"/>
    <x v="8"/>
    <x v="8"/>
    <x v="3"/>
    <n v="0"/>
    <s v="Not Sampled"/>
    <n v="1549"/>
    <m/>
    <m/>
    <m/>
    <m/>
    <m/>
    <m/>
    <m/>
    <m/>
    <s v="Negative"/>
    <s v="Not Sampled"/>
    <s v="Not Sampled"/>
  </r>
  <r>
    <x v="0"/>
    <x v="9"/>
    <x v="8"/>
    <x v="8"/>
    <x v="0"/>
    <x v="9"/>
    <x v="9"/>
    <x v="8"/>
    <n v="0"/>
    <s v="Not Sampled"/>
    <n v="1550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n v="0"/>
    <n v="1551"/>
    <m/>
    <m/>
    <m/>
    <m/>
    <m/>
    <m/>
    <m/>
    <m/>
    <s v="Negative"/>
    <s v="Negative"/>
    <s v="Accurate Prediction"/>
  </r>
  <r>
    <x v="3"/>
    <x v="10"/>
    <x v="9"/>
    <x v="10"/>
    <x v="6"/>
    <x v="11"/>
    <x v="11"/>
    <x v="10"/>
    <n v="1"/>
    <s v="Not Sampled"/>
    <n v="1552"/>
    <m/>
    <m/>
    <m/>
    <m/>
    <m/>
    <m/>
    <m/>
    <m/>
    <s v="Positive"/>
    <s v="Not Sampled"/>
    <s v="Not Sampled"/>
  </r>
  <r>
    <x v="5"/>
    <x v="11"/>
    <x v="2"/>
    <x v="2"/>
    <x v="0"/>
    <x v="12"/>
    <x v="12"/>
    <x v="11"/>
    <n v="0"/>
    <s v="Not Sampled"/>
    <n v="1553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n v="1"/>
    <n v="1554"/>
    <m/>
    <m/>
    <m/>
    <m/>
    <m/>
    <m/>
    <m/>
    <m/>
    <s v="Negative"/>
    <s v="Positive"/>
    <s v="Inaccurate Prediction"/>
  </r>
  <r>
    <x v="7"/>
    <x v="13"/>
    <x v="3"/>
    <x v="2"/>
    <x v="0"/>
    <x v="14"/>
    <x v="9"/>
    <x v="13"/>
    <n v="0"/>
    <n v="0"/>
    <n v="1555"/>
    <m/>
    <m/>
    <m/>
    <m/>
    <m/>
    <m/>
    <m/>
    <m/>
    <s v="Negative"/>
    <s v="Negative"/>
    <s v="Accurate Prediction"/>
  </r>
  <r>
    <x v="0"/>
    <x v="14"/>
    <x v="5"/>
    <x v="11"/>
    <x v="7"/>
    <x v="15"/>
    <x v="14"/>
    <x v="14"/>
    <n v="0"/>
    <s v="Not Sampled"/>
    <n v="1556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s v="Not Sampled"/>
    <n v="1557"/>
    <m/>
    <m/>
    <m/>
    <m/>
    <m/>
    <m/>
    <m/>
    <m/>
    <s v="Positive"/>
    <s v="Not Sampled"/>
    <s v="Not Sampled"/>
  </r>
  <r>
    <x v="6"/>
    <x v="16"/>
    <x v="10"/>
    <x v="5"/>
    <x v="9"/>
    <x v="17"/>
    <x v="16"/>
    <x v="16"/>
    <n v="0"/>
    <s v="Not Sampled"/>
    <n v="1558"/>
    <m/>
    <m/>
    <m/>
    <m/>
    <m/>
    <m/>
    <m/>
    <m/>
    <s v="Negative"/>
    <s v="Not Sampled"/>
    <s v="Not Sampled"/>
  </r>
  <r>
    <x v="1"/>
    <x v="60"/>
    <x v="10"/>
    <x v="48"/>
    <x v="38"/>
    <x v="224"/>
    <x v="499"/>
    <x v="30"/>
    <n v="1"/>
    <s v="Not Sampled"/>
    <n v="1559"/>
    <m/>
    <m/>
    <m/>
    <m/>
    <m/>
    <m/>
    <m/>
    <m/>
    <s v="Positive"/>
    <s v="Not Sampled"/>
    <s v="Not Sampled"/>
  </r>
  <r>
    <x v="1"/>
    <x v="51"/>
    <x v="16"/>
    <x v="30"/>
    <x v="100"/>
    <x v="166"/>
    <x v="254"/>
    <x v="3"/>
    <n v="0"/>
    <s v="Not Sampled"/>
    <n v="1560"/>
    <m/>
    <m/>
    <m/>
    <m/>
    <m/>
    <m/>
    <m/>
    <m/>
    <s v="Negative"/>
    <s v="Not Sampled"/>
    <s v="Not Sampled"/>
  </r>
  <r>
    <x v="1"/>
    <x v="113"/>
    <x v="11"/>
    <x v="15"/>
    <x v="50"/>
    <x v="38"/>
    <x v="500"/>
    <x v="48"/>
    <n v="0"/>
    <n v="0"/>
    <n v="1561"/>
    <m/>
    <m/>
    <m/>
    <m/>
    <m/>
    <m/>
    <m/>
    <m/>
    <s v="Negative"/>
    <s v="Negative"/>
    <s v="Accurate Prediction"/>
  </r>
  <r>
    <x v="0"/>
    <x v="64"/>
    <x v="41"/>
    <x v="51"/>
    <x v="181"/>
    <x v="95"/>
    <x v="501"/>
    <x v="44"/>
    <n v="1"/>
    <s v="Not Sampled"/>
    <n v="1562"/>
    <m/>
    <m/>
    <m/>
    <m/>
    <m/>
    <m/>
    <m/>
    <m/>
    <s v="Positive"/>
    <s v="Not Sampled"/>
    <s v="Not Sampled"/>
  </r>
  <r>
    <x v="3"/>
    <x v="128"/>
    <x v="19"/>
    <x v="2"/>
    <x v="100"/>
    <x v="242"/>
    <x v="109"/>
    <x v="18"/>
    <n v="0"/>
    <s v="Not Sampled"/>
    <n v="1563"/>
    <m/>
    <m/>
    <m/>
    <m/>
    <m/>
    <m/>
    <m/>
    <m/>
    <s v="Negative"/>
    <s v="Not Sampled"/>
    <s v="Not Sampled"/>
  </r>
  <r>
    <x v="2"/>
    <x v="45"/>
    <x v="0"/>
    <x v="2"/>
    <x v="0"/>
    <x v="243"/>
    <x v="502"/>
    <x v="31"/>
    <n v="0"/>
    <s v="Not Sampled"/>
    <n v="1564"/>
    <m/>
    <m/>
    <m/>
    <m/>
    <m/>
    <m/>
    <m/>
    <m/>
    <s v="Negative"/>
    <s v="Not Sampled"/>
    <s v="Not Sampled"/>
  </r>
  <r>
    <x v="1"/>
    <x v="26"/>
    <x v="46"/>
    <x v="17"/>
    <x v="36"/>
    <x v="4"/>
    <x v="503"/>
    <x v="9"/>
    <n v="0"/>
    <s v="Not Sampled"/>
    <n v="1565"/>
    <m/>
    <m/>
    <m/>
    <m/>
    <m/>
    <m/>
    <m/>
    <m/>
    <s v="Negative"/>
    <s v="Not Sampled"/>
    <s v="Not Sampled"/>
  </r>
  <r>
    <x v="6"/>
    <x v="4"/>
    <x v="16"/>
    <x v="18"/>
    <x v="0"/>
    <x v="244"/>
    <x v="504"/>
    <x v="48"/>
    <n v="1"/>
    <s v="Not Sampled"/>
    <n v="1566"/>
    <m/>
    <m/>
    <m/>
    <m/>
    <m/>
    <m/>
    <m/>
    <m/>
    <s v="Positive"/>
    <s v="Not Sampled"/>
    <s v="Not Sampled"/>
  </r>
  <r>
    <x v="0"/>
    <x v="107"/>
    <x v="27"/>
    <x v="8"/>
    <x v="32"/>
    <x v="245"/>
    <x v="117"/>
    <x v="6"/>
    <n v="0"/>
    <n v="1"/>
    <n v="1567"/>
    <m/>
    <m/>
    <m/>
    <m/>
    <m/>
    <m/>
    <m/>
    <m/>
    <s v="Negative"/>
    <s v="Positive"/>
    <s v="Inaccurate Prediction"/>
  </r>
  <r>
    <x v="5"/>
    <x v="76"/>
    <x v="2"/>
    <x v="52"/>
    <x v="100"/>
    <x v="246"/>
    <x v="254"/>
    <x v="3"/>
    <n v="0"/>
    <s v="Not Sampled"/>
    <n v="1568"/>
    <m/>
    <m/>
    <m/>
    <m/>
    <m/>
    <m/>
    <m/>
    <m/>
    <s v="Negative"/>
    <s v="Not Sampled"/>
    <s v="Not Sampled"/>
  </r>
  <r>
    <x v="1"/>
    <x v="5"/>
    <x v="4"/>
    <x v="5"/>
    <x v="4"/>
    <x v="5"/>
    <x v="5"/>
    <x v="5"/>
    <n v="0"/>
    <s v="Not Sampled"/>
    <n v="1569"/>
    <m/>
    <m/>
    <m/>
    <m/>
    <m/>
    <m/>
    <m/>
    <m/>
    <s v="Negative"/>
    <s v="Not Sampled"/>
    <s v="Not Sampled"/>
  </r>
  <r>
    <x v="3"/>
    <x v="6"/>
    <x v="5"/>
    <x v="6"/>
    <x v="0"/>
    <x v="6"/>
    <x v="6"/>
    <x v="6"/>
    <n v="0"/>
    <s v="Not Sampled"/>
    <n v="1570"/>
    <m/>
    <m/>
    <m/>
    <m/>
    <m/>
    <m/>
    <m/>
    <m/>
    <s v="Negative"/>
    <s v="Not Sampled"/>
    <s v="Not Sampled"/>
  </r>
  <r>
    <x v="4"/>
    <x v="7"/>
    <x v="6"/>
    <x v="2"/>
    <x v="0"/>
    <x v="7"/>
    <x v="7"/>
    <x v="7"/>
    <n v="0"/>
    <s v="Not Sampled"/>
    <n v="1571"/>
    <m/>
    <m/>
    <m/>
    <m/>
    <m/>
    <m/>
    <m/>
    <m/>
    <s v="Negative"/>
    <s v="Not Sampled"/>
    <s v="Not Sampled"/>
  </r>
  <r>
    <x v="0"/>
    <x v="8"/>
    <x v="7"/>
    <x v="7"/>
    <x v="5"/>
    <x v="8"/>
    <x v="8"/>
    <x v="3"/>
    <n v="0"/>
    <s v="Not Sampled"/>
    <n v="1572"/>
    <m/>
    <m/>
    <m/>
    <m/>
    <m/>
    <m/>
    <m/>
    <m/>
    <s v="Negative"/>
    <s v="Not Sampled"/>
    <s v="Not Sampled"/>
  </r>
  <r>
    <x v="0"/>
    <x v="9"/>
    <x v="8"/>
    <x v="8"/>
    <x v="0"/>
    <x v="9"/>
    <x v="9"/>
    <x v="8"/>
    <n v="0"/>
    <s v="Not Sampled"/>
    <n v="1573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s v="Not Sampled"/>
    <n v="1574"/>
    <m/>
    <m/>
    <m/>
    <m/>
    <m/>
    <m/>
    <m/>
    <m/>
    <s v="Negative"/>
    <s v="Not Sampled"/>
    <s v="Not Sampled"/>
  </r>
  <r>
    <x v="3"/>
    <x v="10"/>
    <x v="9"/>
    <x v="10"/>
    <x v="6"/>
    <x v="11"/>
    <x v="11"/>
    <x v="10"/>
    <n v="1"/>
    <s v="Not Sampled"/>
    <n v="1575"/>
    <m/>
    <m/>
    <m/>
    <m/>
    <m/>
    <m/>
    <m/>
    <m/>
    <s v="Positive"/>
    <s v="Not Sampled"/>
    <s v="Not Sampled"/>
  </r>
  <r>
    <x v="5"/>
    <x v="11"/>
    <x v="2"/>
    <x v="2"/>
    <x v="0"/>
    <x v="12"/>
    <x v="12"/>
    <x v="11"/>
    <n v="0"/>
    <s v="Not Sampled"/>
    <n v="1576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s v="Not Sampled"/>
    <n v="1577"/>
    <m/>
    <m/>
    <m/>
    <m/>
    <m/>
    <m/>
    <m/>
    <m/>
    <s v="Negative"/>
    <s v="Not Sampled"/>
    <s v="Not Sampled"/>
  </r>
  <r>
    <x v="7"/>
    <x v="13"/>
    <x v="3"/>
    <x v="2"/>
    <x v="0"/>
    <x v="14"/>
    <x v="9"/>
    <x v="13"/>
    <n v="0"/>
    <s v="Not Sampled"/>
    <n v="1578"/>
    <m/>
    <m/>
    <m/>
    <m/>
    <m/>
    <m/>
    <m/>
    <m/>
    <s v="Negative"/>
    <s v="Not Sampled"/>
    <s v="Not Sampled"/>
  </r>
  <r>
    <x v="0"/>
    <x v="14"/>
    <x v="5"/>
    <x v="11"/>
    <x v="7"/>
    <x v="15"/>
    <x v="14"/>
    <x v="14"/>
    <n v="0"/>
    <s v="Not Sampled"/>
    <n v="1579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s v="Not Sampled"/>
    <n v="1580"/>
    <m/>
    <m/>
    <m/>
    <m/>
    <m/>
    <m/>
    <m/>
    <m/>
    <s v="Positive"/>
    <s v="Not Sampled"/>
    <s v="Not Sampled"/>
  </r>
  <r>
    <x v="6"/>
    <x v="16"/>
    <x v="10"/>
    <x v="5"/>
    <x v="9"/>
    <x v="17"/>
    <x v="16"/>
    <x v="16"/>
    <n v="0"/>
    <s v="Not Sampled"/>
    <n v="1581"/>
    <m/>
    <m/>
    <m/>
    <m/>
    <m/>
    <m/>
    <m/>
    <m/>
    <s v="Negative"/>
    <s v="Not Sampled"/>
    <s v="Not Sampled"/>
  </r>
  <r>
    <x v="1"/>
    <x v="60"/>
    <x v="10"/>
    <x v="48"/>
    <x v="38"/>
    <x v="224"/>
    <x v="499"/>
    <x v="30"/>
    <n v="1"/>
    <n v="0"/>
    <n v="1582"/>
    <m/>
    <m/>
    <m/>
    <m/>
    <m/>
    <m/>
    <m/>
    <m/>
    <s v="Positive"/>
    <s v="Negative"/>
    <s v="Inaccurate Prediction"/>
  </r>
  <r>
    <x v="1"/>
    <x v="51"/>
    <x v="16"/>
    <x v="30"/>
    <x v="100"/>
    <x v="166"/>
    <x v="254"/>
    <x v="3"/>
    <n v="0"/>
    <n v="0"/>
    <n v="1583"/>
    <m/>
    <m/>
    <m/>
    <m/>
    <m/>
    <m/>
    <m/>
    <m/>
    <s v="Negative"/>
    <s v="Negative"/>
    <s v="Accurate Prediction"/>
  </r>
  <r>
    <x v="1"/>
    <x v="113"/>
    <x v="11"/>
    <x v="15"/>
    <x v="50"/>
    <x v="38"/>
    <x v="500"/>
    <x v="48"/>
    <n v="0"/>
    <s v="Not Sampled"/>
    <n v="1584"/>
    <m/>
    <m/>
    <m/>
    <m/>
    <m/>
    <m/>
    <m/>
    <m/>
    <s v="Negative"/>
    <s v="Not Sampled"/>
    <s v="Not Sampled"/>
  </r>
  <r>
    <x v="0"/>
    <x v="64"/>
    <x v="41"/>
    <x v="51"/>
    <x v="181"/>
    <x v="95"/>
    <x v="501"/>
    <x v="44"/>
    <n v="1"/>
    <s v="Not Sampled"/>
    <n v="1585"/>
    <m/>
    <m/>
    <m/>
    <m/>
    <m/>
    <m/>
    <m/>
    <m/>
    <s v="Positive"/>
    <s v="Not Sampled"/>
    <s v="Not Sampled"/>
  </r>
  <r>
    <x v="3"/>
    <x v="128"/>
    <x v="19"/>
    <x v="2"/>
    <x v="100"/>
    <x v="242"/>
    <x v="109"/>
    <x v="18"/>
    <n v="0"/>
    <s v="Not Sampled"/>
    <n v="1586"/>
    <m/>
    <m/>
    <m/>
    <m/>
    <m/>
    <m/>
    <m/>
    <m/>
    <s v="Negative"/>
    <s v="Not Sampled"/>
    <s v="Not Sampled"/>
  </r>
  <r>
    <x v="2"/>
    <x v="45"/>
    <x v="0"/>
    <x v="2"/>
    <x v="0"/>
    <x v="243"/>
    <x v="502"/>
    <x v="31"/>
    <n v="0"/>
    <s v="Not Sampled"/>
    <n v="1587"/>
    <m/>
    <m/>
    <m/>
    <m/>
    <m/>
    <m/>
    <m/>
    <m/>
    <s v="Negative"/>
    <s v="Not Sampled"/>
    <s v="Not Sampled"/>
  </r>
  <r>
    <x v="1"/>
    <x v="26"/>
    <x v="46"/>
    <x v="17"/>
    <x v="36"/>
    <x v="4"/>
    <x v="503"/>
    <x v="9"/>
    <n v="0"/>
    <s v="Not Sampled"/>
    <n v="1588"/>
    <m/>
    <m/>
    <m/>
    <m/>
    <m/>
    <m/>
    <m/>
    <m/>
    <s v="Negative"/>
    <s v="Not Sampled"/>
    <s v="Not Sampled"/>
  </r>
  <r>
    <x v="6"/>
    <x v="4"/>
    <x v="16"/>
    <x v="18"/>
    <x v="0"/>
    <x v="244"/>
    <x v="504"/>
    <x v="48"/>
    <n v="1"/>
    <s v="Not Sampled"/>
    <n v="1589"/>
    <m/>
    <m/>
    <m/>
    <m/>
    <m/>
    <m/>
    <m/>
    <m/>
    <s v="Positive"/>
    <s v="Not Sampled"/>
    <s v="Not Sampled"/>
  </r>
  <r>
    <x v="0"/>
    <x v="107"/>
    <x v="27"/>
    <x v="8"/>
    <x v="32"/>
    <x v="245"/>
    <x v="117"/>
    <x v="6"/>
    <n v="0"/>
    <s v="Not Sampled"/>
    <n v="1590"/>
    <m/>
    <m/>
    <m/>
    <m/>
    <m/>
    <m/>
    <m/>
    <m/>
    <s v="Negative"/>
    <s v="Not Sampled"/>
    <s v="Not Sampled"/>
  </r>
  <r>
    <x v="5"/>
    <x v="76"/>
    <x v="2"/>
    <x v="52"/>
    <x v="100"/>
    <x v="246"/>
    <x v="254"/>
    <x v="3"/>
    <n v="0"/>
    <s v="Not Sampled"/>
    <n v="1591"/>
    <m/>
    <m/>
    <m/>
    <m/>
    <m/>
    <m/>
    <m/>
    <m/>
    <s v="Negative"/>
    <s v="Not Sampled"/>
    <s v="Not Sampled"/>
  </r>
  <r>
    <x v="8"/>
    <x v="112"/>
    <x v="16"/>
    <x v="2"/>
    <x v="0"/>
    <x v="180"/>
    <x v="279"/>
    <x v="17"/>
    <n v="1"/>
    <s v="Not Sampled"/>
    <n v="1592"/>
    <m/>
    <m/>
    <m/>
    <m/>
    <m/>
    <m/>
    <m/>
    <m/>
    <s v="Positive"/>
    <s v="Not Sampled"/>
    <s v="Not Sampled"/>
  </r>
  <r>
    <x v="2"/>
    <x v="23"/>
    <x v="9"/>
    <x v="27"/>
    <x v="16"/>
    <x v="151"/>
    <x v="280"/>
    <x v="11"/>
    <n v="0"/>
    <n v="0"/>
    <n v="1593"/>
    <m/>
    <m/>
    <m/>
    <m/>
    <m/>
    <m/>
    <m/>
    <m/>
    <s v="Negative"/>
    <s v="Negative"/>
    <s v="Accurate Prediction"/>
  </r>
  <r>
    <x v="2"/>
    <x v="50"/>
    <x v="10"/>
    <x v="23"/>
    <x v="115"/>
    <x v="151"/>
    <x v="281"/>
    <x v="31"/>
    <n v="0"/>
    <s v="Not Sampled"/>
    <n v="1594"/>
    <m/>
    <m/>
    <m/>
    <m/>
    <m/>
    <m/>
    <m/>
    <m/>
    <s v="Negative"/>
    <s v="Not Sampled"/>
    <s v="Not Sampled"/>
  </r>
  <r>
    <x v="2"/>
    <x v="18"/>
    <x v="3"/>
    <x v="0"/>
    <x v="0"/>
    <x v="61"/>
    <x v="282"/>
    <x v="11"/>
    <n v="0"/>
    <n v="0"/>
    <n v="1595"/>
    <m/>
    <m/>
    <m/>
    <m/>
    <m/>
    <m/>
    <m/>
    <m/>
    <s v="Negative"/>
    <s v="Negative"/>
    <s v="Accurate Prediction"/>
  </r>
  <r>
    <x v="7"/>
    <x v="27"/>
    <x v="24"/>
    <x v="2"/>
    <x v="0"/>
    <x v="48"/>
    <x v="190"/>
    <x v="9"/>
    <n v="0"/>
    <s v="Not Sampled"/>
    <n v="1596"/>
    <m/>
    <m/>
    <m/>
    <m/>
    <m/>
    <m/>
    <m/>
    <m/>
    <s v="Negative"/>
    <s v="Not Sampled"/>
    <s v="Not Sampled"/>
  </r>
  <r>
    <x v="4"/>
    <x v="50"/>
    <x v="5"/>
    <x v="2"/>
    <x v="0"/>
    <x v="8"/>
    <x v="283"/>
    <x v="40"/>
    <n v="0"/>
    <s v="Not Sampled"/>
    <n v="1597"/>
    <m/>
    <m/>
    <m/>
    <m/>
    <m/>
    <m/>
    <m/>
    <m/>
    <s v="Negative"/>
    <s v="Not Sampled"/>
    <s v="Not Sampled"/>
  </r>
  <r>
    <x v="4"/>
    <x v="51"/>
    <x v="21"/>
    <x v="35"/>
    <x v="116"/>
    <x v="70"/>
    <x v="284"/>
    <x v="43"/>
    <n v="0"/>
    <s v="Not Sampled"/>
    <n v="1598"/>
    <m/>
    <m/>
    <m/>
    <m/>
    <m/>
    <m/>
    <m/>
    <m/>
    <s v="Negative"/>
    <s v="Not Sampled"/>
    <s v="Not Sampled"/>
  </r>
  <r>
    <x v="2"/>
    <x v="4"/>
    <x v="37"/>
    <x v="13"/>
    <x v="117"/>
    <x v="77"/>
    <x v="109"/>
    <x v="11"/>
    <n v="0"/>
    <s v="Not Sampled"/>
    <n v="1599"/>
    <m/>
    <m/>
    <m/>
    <m/>
    <m/>
    <m/>
    <m/>
    <m/>
    <s v="Negative"/>
    <s v="Not Sampled"/>
    <s v="Not Sampled"/>
  </r>
  <r>
    <x v="5"/>
    <x v="113"/>
    <x v="2"/>
    <x v="2"/>
    <x v="0"/>
    <x v="177"/>
    <x v="179"/>
    <x v="1"/>
    <n v="0"/>
    <s v="Not Sampled"/>
    <n v="1600"/>
    <m/>
    <m/>
    <m/>
    <m/>
    <m/>
    <m/>
    <m/>
    <m/>
    <s v="Negative"/>
    <s v="Not Sampled"/>
    <s v="Not Sampled"/>
  </r>
  <r>
    <x v="5"/>
    <x v="6"/>
    <x v="0"/>
    <x v="13"/>
    <x v="97"/>
    <x v="181"/>
    <x v="285"/>
    <x v="25"/>
    <n v="0"/>
    <s v="Not Sampled"/>
    <n v="1601"/>
    <m/>
    <m/>
    <m/>
    <m/>
    <m/>
    <m/>
    <m/>
    <m/>
    <s v="Negative"/>
    <s v="Not Sampled"/>
    <s v="Not Sampled"/>
  </r>
  <r>
    <x v="7"/>
    <x v="18"/>
    <x v="6"/>
    <x v="5"/>
    <x v="0"/>
    <x v="182"/>
    <x v="286"/>
    <x v="26"/>
    <n v="1"/>
    <n v="0"/>
    <n v="1602"/>
    <m/>
    <m/>
    <m/>
    <m/>
    <m/>
    <m/>
    <m/>
    <m/>
    <s v="Positive"/>
    <s v="Negative"/>
    <s v="Inaccurate Prediction"/>
  </r>
  <r>
    <x v="3"/>
    <x v="66"/>
    <x v="6"/>
    <x v="2"/>
    <x v="0"/>
    <x v="183"/>
    <x v="78"/>
    <x v="29"/>
    <n v="0"/>
    <s v="Not Sampled"/>
    <n v="1603"/>
    <m/>
    <m/>
    <m/>
    <m/>
    <m/>
    <m/>
    <m/>
    <m/>
    <s v="Negative"/>
    <s v="Not Sampled"/>
    <s v="Not Sampled"/>
  </r>
  <r>
    <x v="3"/>
    <x v="59"/>
    <x v="16"/>
    <x v="2"/>
    <x v="0"/>
    <x v="84"/>
    <x v="287"/>
    <x v="13"/>
    <n v="0"/>
    <n v="0"/>
    <n v="1604"/>
    <m/>
    <m/>
    <m/>
    <m/>
    <m/>
    <m/>
    <m/>
    <m/>
    <s v="Negative"/>
    <s v="Negative"/>
    <s v="Accurate Prediction"/>
  </r>
  <r>
    <x v="5"/>
    <x v="114"/>
    <x v="1"/>
    <x v="7"/>
    <x v="0"/>
    <x v="184"/>
    <x v="288"/>
    <x v="22"/>
    <n v="0"/>
    <s v="Not Sampled"/>
    <n v="1605"/>
    <m/>
    <m/>
    <m/>
    <m/>
    <m/>
    <m/>
    <m/>
    <m/>
    <s v="Negative"/>
    <s v="Not Sampled"/>
    <s v="Not Sampled"/>
  </r>
  <r>
    <x v="2"/>
    <x v="30"/>
    <x v="0"/>
    <x v="39"/>
    <x v="118"/>
    <x v="185"/>
    <x v="289"/>
    <x v="3"/>
    <n v="0"/>
    <s v="Not Sampled"/>
    <n v="1606"/>
    <m/>
    <m/>
    <m/>
    <m/>
    <m/>
    <m/>
    <m/>
    <m/>
    <s v="Negative"/>
    <s v="Not Sampled"/>
    <s v="Not Sampled"/>
  </r>
  <r>
    <x v="5"/>
    <x v="30"/>
    <x v="4"/>
    <x v="2"/>
    <x v="0"/>
    <x v="57"/>
    <x v="290"/>
    <x v="4"/>
    <n v="0"/>
    <s v="Not Sampled"/>
    <n v="1607"/>
    <m/>
    <m/>
    <m/>
    <m/>
    <m/>
    <m/>
    <m/>
    <m/>
    <s v="Negative"/>
    <s v="Not Sampled"/>
    <s v="Not Sampled"/>
  </r>
  <r>
    <x v="11"/>
    <x v="102"/>
    <x v="21"/>
    <x v="2"/>
    <x v="0"/>
    <x v="25"/>
    <x v="291"/>
    <x v="43"/>
    <n v="1"/>
    <s v="Not Sampled"/>
    <n v="1608"/>
    <m/>
    <m/>
    <m/>
    <m/>
    <m/>
    <m/>
    <m/>
    <m/>
    <s v="Positive"/>
    <s v="Not Sampled"/>
    <s v="Not Sampled"/>
  </r>
  <r>
    <x v="2"/>
    <x v="10"/>
    <x v="13"/>
    <x v="32"/>
    <x v="119"/>
    <x v="21"/>
    <x v="55"/>
    <x v="6"/>
    <n v="1"/>
    <s v="Not Sampled"/>
    <n v="1609"/>
    <m/>
    <m/>
    <m/>
    <m/>
    <m/>
    <m/>
    <m/>
    <m/>
    <s v="Positive"/>
    <s v="Not Sampled"/>
    <s v="Not Sampled"/>
  </r>
  <r>
    <x v="13"/>
    <x v="52"/>
    <x v="2"/>
    <x v="8"/>
    <x v="0"/>
    <x v="180"/>
    <x v="292"/>
    <x v="30"/>
    <n v="1"/>
    <n v="1"/>
    <n v="1610"/>
    <m/>
    <m/>
    <m/>
    <m/>
    <m/>
    <m/>
    <m/>
    <m/>
    <s v="Positive"/>
    <s v="Positive"/>
    <s v="Accurate Prediction"/>
  </r>
  <r>
    <x v="10"/>
    <x v="40"/>
    <x v="10"/>
    <x v="32"/>
    <x v="120"/>
    <x v="186"/>
    <x v="293"/>
    <x v="27"/>
    <n v="0"/>
    <n v="0"/>
    <n v="1611"/>
    <m/>
    <m/>
    <m/>
    <m/>
    <m/>
    <m/>
    <m/>
    <m/>
    <s v="Negative"/>
    <s v="Negative"/>
    <s v="Accurate Prediction"/>
  </r>
  <r>
    <x v="2"/>
    <x v="96"/>
    <x v="15"/>
    <x v="35"/>
    <x v="121"/>
    <x v="23"/>
    <x v="261"/>
    <x v="29"/>
    <n v="1"/>
    <s v="Not Sampled"/>
    <n v="1612"/>
    <m/>
    <m/>
    <m/>
    <m/>
    <m/>
    <m/>
    <m/>
    <m/>
    <s v="Positive"/>
    <s v="Not Sampled"/>
    <s v="Not Sampled"/>
  </r>
  <r>
    <x v="7"/>
    <x v="115"/>
    <x v="11"/>
    <x v="12"/>
    <x v="54"/>
    <x v="84"/>
    <x v="69"/>
    <x v="29"/>
    <n v="1"/>
    <s v="Not Sampled"/>
    <n v="1613"/>
    <m/>
    <m/>
    <m/>
    <m/>
    <m/>
    <m/>
    <m/>
    <m/>
    <s v="Positive"/>
    <s v="Not Sampled"/>
    <s v="Not Sampled"/>
  </r>
  <r>
    <x v="7"/>
    <x v="95"/>
    <x v="9"/>
    <x v="2"/>
    <x v="0"/>
    <x v="187"/>
    <x v="28"/>
    <x v="44"/>
    <n v="0"/>
    <s v="Not Sampled"/>
    <n v="1614"/>
    <m/>
    <m/>
    <m/>
    <m/>
    <m/>
    <m/>
    <m/>
    <m/>
    <s v="Negative"/>
    <s v="Not Sampled"/>
    <s v="Not Sampled"/>
  </r>
  <r>
    <x v="7"/>
    <x v="28"/>
    <x v="28"/>
    <x v="18"/>
    <x v="0"/>
    <x v="188"/>
    <x v="47"/>
    <x v="39"/>
    <n v="0"/>
    <s v="Not Sampled"/>
    <n v="1615"/>
    <m/>
    <m/>
    <m/>
    <m/>
    <m/>
    <m/>
    <m/>
    <m/>
    <s v="Negative"/>
    <s v="Not Sampled"/>
    <s v="Not Sampled"/>
  </r>
  <r>
    <x v="3"/>
    <x v="36"/>
    <x v="4"/>
    <x v="2"/>
    <x v="0"/>
    <x v="70"/>
    <x v="254"/>
    <x v="7"/>
    <n v="1"/>
    <s v="Not Sampled"/>
    <n v="1616"/>
    <m/>
    <m/>
    <m/>
    <m/>
    <m/>
    <m/>
    <m/>
    <m/>
    <s v="Positive"/>
    <s v="Not Sampled"/>
    <s v="Not Sampled"/>
  </r>
  <r>
    <x v="3"/>
    <x v="83"/>
    <x v="10"/>
    <x v="14"/>
    <x v="122"/>
    <x v="115"/>
    <x v="294"/>
    <x v="13"/>
    <n v="0"/>
    <n v="0"/>
    <n v="1617"/>
    <m/>
    <m/>
    <m/>
    <m/>
    <m/>
    <m/>
    <m/>
    <m/>
    <s v="Negative"/>
    <s v="Negative"/>
    <s v="Accurate Prediction"/>
  </r>
  <r>
    <x v="7"/>
    <x v="6"/>
    <x v="14"/>
    <x v="7"/>
    <x v="117"/>
    <x v="37"/>
    <x v="295"/>
    <x v="13"/>
    <n v="0"/>
    <n v="0"/>
    <n v="1618"/>
    <m/>
    <m/>
    <m/>
    <m/>
    <m/>
    <m/>
    <m/>
    <m/>
    <s v="Negative"/>
    <s v="Negative"/>
    <s v="Accurate Prediction"/>
  </r>
  <r>
    <x v="6"/>
    <x v="73"/>
    <x v="5"/>
    <x v="2"/>
    <x v="0"/>
    <x v="32"/>
    <x v="149"/>
    <x v="29"/>
    <n v="1"/>
    <s v="Not Sampled"/>
    <n v="1619"/>
    <m/>
    <m/>
    <m/>
    <m/>
    <m/>
    <m/>
    <m/>
    <m/>
    <s v="Positive"/>
    <s v="Not Sampled"/>
    <s v="Not Sampled"/>
  </r>
  <r>
    <x v="1"/>
    <x v="39"/>
    <x v="11"/>
    <x v="6"/>
    <x v="0"/>
    <x v="169"/>
    <x v="287"/>
    <x v="4"/>
    <n v="0"/>
    <s v="Not Sampled"/>
    <n v="1620"/>
    <m/>
    <m/>
    <m/>
    <m/>
    <m/>
    <m/>
    <m/>
    <m/>
    <s v="Negative"/>
    <s v="Not Sampled"/>
    <s v="Not Sampled"/>
  </r>
  <r>
    <x v="5"/>
    <x v="14"/>
    <x v="24"/>
    <x v="41"/>
    <x v="5"/>
    <x v="155"/>
    <x v="296"/>
    <x v="11"/>
    <n v="0"/>
    <s v="Not Sampled"/>
    <n v="1621"/>
    <m/>
    <m/>
    <m/>
    <m/>
    <m/>
    <m/>
    <m/>
    <m/>
    <s v="Negative"/>
    <s v="Not Sampled"/>
    <s v="Not Sampled"/>
  </r>
  <r>
    <x v="2"/>
    <x v="32"/>
    <x v="38"/>
    <x v="7"/>
    <x v="32"/>
    <x v="10"/>
    <x v="297"/>
    <x v="10"/>
    <n v="1"/>
    <n v="0"/>
    <n v="1622"/>
    <m/>
    <m/>
    <m/>
    <m/>
    <m/>
    <m/>
    <m/>
    <m/>
    <s v="Positive"/>
    <s v="Negative"/>
    <s v="Inaccurate Prediction"/>
  </r>
  <r>
    <x v="5"/>
    <x v="5"/>
    <x v="1"/>
    <x v="46"/>
    <x v="123"/>
    <x v="189"/>
    <x v="298"/>
    <x v="14"/>
    <n v="1"/>
    <s v="Not Sampled"/>
    <n v="1623"/>
    <m/>
    <m/>
    <m/>
    <m/>
    <m/>
    <m/>
    <m/>
    <m/>
    <s v="Positive"/>
    <s v="Not Sampled"/>
    <s v="Not Sampled"/>
  </r>
  <r>
    <x v="1"/>
    <x v="78"/>
    <x v="11"/>
    <x v="17"/>
    <x v="124"/>
    <x v="12"/>
    <x v="299"/>
    <x v="4"/>
    <n v="0"/>
    <n v="0"/>
    <n v="1624"/>
    <m/>
    <m/>
    <m/>
    <m/>
    <m/>
    <m/>
    <m/>
    <m/>
    <s v="Negative"/>
    <s v="Negative"/>
    <s v="Accurate Prediction"/>
  </r>
  <r>
    <x v="1"/>
    <x v="1"/>
    <x v="11"/>
    <x v="29"/>
    <x v="5"/>
    <x v="134"/>
    <x v="300"/>
    <x v="4"/>
    <n v="0"/>
    <s v="Not Sampled"/>
    <n v="1625"/>
    <m/>
    <m/>
    <m/>
    <m/>
    <m/>
    <m/>
    <m/>
    <m/>
    <s v="Negative"/>
    <s v="Not Sampled"/>
    <s v="Not Sampled"/>
  </r>
  <r>
    <x v="0"/>
    <x v="38"/>
    <x v="22"/>
    <x v="32"/>
    <x v="48"/>
    <x v="115"/>
    <x v="301"/>
    <x v="14"/>
    <n v="0"/>
    <s v="Not Sampled"/>
    <n v="1626"/>
    <m/>
    <m/>
    <m/>
    <m/>
    <m/>
    <m/>
    <m/>
    <m/>
    <s v="Negative"/>
    <s v="Not Sampled"/>
    <s v="Not Sampled"/>
  </r>
  <r>
    <x v="0"/>
    <x v="27"/>
    <x v="33"/>
    <x v="44"/>
    <x v="125"/>
    <x v="190"/>
    <x v="302"/>
    <x v="6"/>
    <n v="0"/>
    <n v="0"/>
    <n v="1627"/>
    <m/>
    <m/>
    <m/>
    <m/>
    <m/>
    <m/>
    <m/>
    <m/>
    <s v="Negative"/>
    <s v="Negative"/>
    <s v="Accurate Prediction"/>
  </r>
  <r>
    <x v="10"/>
    <x v="98"/>
    <x v="1"/>
    <x v="44"/>
    <x v="54"/>
    <x v="188"/>
    <x v="303"/>
    <x v="5"/>
    <n v="1"/>
    <s v="Not Sampled"/>
    <n v="1628"/>
    <m/>
    <m/>
    <m/>
    <m/>
    <m/>
    <m/>
    <m/>
    <m/>
    <s v="Positive"/>
    <s v="Not Sampled"/>
    <s v="Not Sampled"/>
  </r>
  <r>
    <x v="1"/>
    <x v="116"/>
    <x v="1"/>
    <x v="11"/>
    <x v="126"/>
    <x v="18"/>
    <x v="167"/>
    <x v="11"/>
    <n v="0"/>
    <n v="0"/>
    <n v="1629"/>
    <m/>
    <m/>
    <m/>
    <m/>
    <m/>
    <m/>
    <m/>
    <m/>
    <s v="Negative"/>
    <s v="Negative"/>
    <s v="Accurate Prediction"/>
  </r>
  <r>
    <x v="2"/>
    <x v="90"/>
    <x v="12"/>
    <x v="18"/>
    <x v="96"/>
    <x v="19"/>
    <x v="304"/>
    <x v="11"/>
    <n v="0"/>
    <s v="Not Sampled"/>
    <n v="1630"/>
    <m/>
    <m/>
    <m/>
    <m/>
    <m/>
    <m/>
    <m/>
    <m/>
    <s v="Negative"/>
    <s v="Not Sampled"/>
    <s v="Not Sampled"/>
  </r>
  <r>
    <x v="3"/>
    <x v="84"/>
    <x v="25"/>
    <x v="2"/>
    <x v="0"/>
    <x v="191"/>
    <x v="21"/>
    <x v="32"/>
    <n v="1"/>
    <n v="1"/>
    <n v="1631"/>
    <m/>
    <m/>
    <m/>
    <m/>
    <m/>
    <m/>
    <m/>
    <m/>
    <s v="Positive"/>
    <s v="Positive"/>
    <s v="Accurate Prediction"/>
  </r>
  <r>
    <x v="1"/>
    <x v="67"/>
    <x v="39"/>
    <x v="15"/>
    <x v="127"/>
    <x v="59"/>
    <x v="305"/>
    <x v="20"/>
    <n v="0"/>
    <n v="0"/>
    <n v="1632"/>
    <m/>
    <m/>
    <m/>
    <m/>
    <m/>
    <m/>
    <m/>
    <m/>
    <s v="Negative"/>
    <s v="Negative"/>
    <s v="Accurate Prediction"/>
  </r>
  <r>
    <x v="2"/>
    <x v="61"/>
    <x v="5"/>
    <x v="8"/>
    <x v="21"/>
    <x v="98"/>
    <x v="306"/>
    <x v="3"/>
    <n v="0"/>
    <s v="Not Sampled"/>
    <n v="1633"/>
    <m/>
    <m/>
    <m/>
    <m/>
    <m/>
    <m/>
    <m/>
    <m/>
    <s v="Negative"/>
    <s v="Not Sampled"/>
    <s v="Not Sampled"/>
  </r>
  <r>
    <x v="1"/>
    <x v="38"/>
    <x v="3"/>
    <x v="29"/>
    <x v="0"/>
    <x v="192"/>
    <x v="183"/>
    <x v="11"/>
    <n v="0"/>
    <n v="0"/>
    <n v="1634"/>
    <m/>
    <m/>
    <m/>
    <m/>
    <m/>
    <m/>
    <m/>
    <m/>
    <s v="Negative"/>
    <s v="Negative"/>
    <s v="Accurate Prediction"/>
  </r>
  <r>
    <x v="2"/>
    <x v="49"/>
    <x v="12"/>
    <x v="47"/>
    <x v="98"/>
    <x v="54"/>
    <x v="307"/>
    <x v="4"/>
    <n v="0"/>
    <s v="Not Sampled"/>
    <n v="1635"/>
    <m/>
    <m/>
    <m/>
    <m/>
    <m/>
    <m/>
    <m/>
    <m/>
    <s v="Negative"/>
    <s v="Not Sampled"/>
    <s v="Not Sampled"/>
  </r>
  <r>
    <x v="2"/>
    <x v="30"/>
    <x v="0"/>
    <x v="10"/>
    <x v="128"/>
    <x v="16"/>
    <x v="308"/>
    <x v="14"/>
    <n v="0"/>
    <n v="0"/>
    <n v="1636"/>
    <m/>
    <m/>
    <m/>
    <m/>
    <m/>
    <m/>
    <m/>
    <m/>
    <s v="Negative"/>
    <s v="Negative"/>
    <s v="Accurate Prediction"/>
  </r>
  <r>
    <x v="2"/>
    <x v="10"/>
    <x v="9"/>
    <x v="20"/>
    <x v="27"/>
    <x v="122"/>
    <x v="309"/>
    <x v="14"/>
    <n v="0"/>
    <n v="0"/>
    <n v="1637"/>
    <m/>
    <m/>
    <m/>
    <m/>
    <m/>
    <m/>
    <m/>
    <m/>
    <s v="Negative"/>
    <s v="Negative"/>
    <s v="Accurate Prediction"/>
  </r>
  <r>
    <x v="2"/>
    <x v="93"/>
    <x v="14"/>
    <x v="27"/>
    <x v="52"/>
    <x v="193"/>
    <x v="310"/>
    <x v="3"/>
    <n v="0"/>
    <n v="0"/>
    <n v="1638"/>
    <m/>
    <m/>
    <m/>
    <m/>
    <m/>
    <m/>
    <m/>
    <m/>
    <s v="Negative"/>
    <s v="Negative"/>
    <s v="Accurate Prediction"/>
  </r>
  <r>
    <x v="7"/>
    <x v="113"/>
    <x v="10"/>
    <x v="30"/>
    <x v="0"/>
    <x v="167"/>
    <x v="311"/>
    <x v="20"/>
    <n v="1"/>
    <n v="0"/>
    <n v="1639"/>
    <m/>
    <m/>
    <m/>
    <m/>
    <m/>
    <m/>
    <m/>
    <m/>
    <s v="Positive"/>
    <s v="Negative"/>
    <s v="Inaccurate Prediction"/>
  </r>
  <r>
    <x v="4"/>
    <x v="38"/>
    <x v="39"/>
    <x v="35"/>
    <x v="0"/>
    <x v="165"/>
    <x v="312"/>
    <x v="10"/>
    <n v="1"/>
    <s v="Not Sampled"/>
    <n v="1640"/>
    <m/>
    <m/>
    <m/>
    <m/>
    <m/>
    <m/>
    <m/>
    <m/>
    <s v="Positive"/>
    <s v="Not Sampled"/>
    <s v="Not Sampled"/>
  </r>
  <r>
    <x v="7"/>
    <x v="65"/>
    <x v="1"/>
    <x v="16"/>
    <x v="63"/>
    <x v="61"/>
    <x v="117"/>
    <x v="5"/>
    <n v="1"/>
    <s v="Not Sampled"/>
    <n v="1641"/>
    <m/>
    <m/>
    <m/>
    <m/>
    <m/>
    <m/>
    <m/>
    <m/>
    <s v="Positive"/>
    <s v="Not Sampled"/>
    <s v="Not Sampled"/>
  </r>
  <r>
    <x v="5"/>
    <x v="45"/>
    <x v="3"/>
    <x v="17"/>
    <x v="129"/>
    <x v="31"/>
    <x v="313"/>
    <x v="6"/>
    <n v="0"/>
    <s v="Not Sampled"/>
    <n v="1642"/>
    <m/>
    <m/>
    <m/>
    <m/>
    <m/>
    <m/>
    <m/>
    <m/>
    <s v="Negative"/>
    <s v="Not Sampled"/>
    <s v="Not Sampled"/>
  </r>
  <r>
    <x v="2"/>
    <x v="45"/>
    <x v="19"/>
    <x v="30"/>
    <x v="130"/>
    <x v="61"/>
    <x v="314"/>
    <x v="8"/>
    <n v="0"/>
    <s v="Not Sampled"/>
    <n v="1643"/>
    <m/>
    <m/>
    <m/>
    <m/>
    <m/>
    <m/>
    <m/>
    <m/>
    <s v="Negative"/>
    <s v="Not Sampled"/>
    <s v="Not Sampled"/>
  </r>
  <r>
    <x v="7"/>
    <x v="12"/>
    <x v="15"/>
    <x v="2"/>
    <x v="0"/>
    <x v="194"/>
    <x v="250"/>
    <x v="23"/>
    <n v="1"/>
    <s v="Not Sampled"/>
    <n v="1644"/>
    <m/>
    <m/>
    <m/>
    <m/>
    <m/>
    <m/>
    <m/>
    <m/>
    <s v="Positive"/>
    <s v="Not Sampled"/>
    <s v="Not Sampled"/>
  </r>
  <r>
    <x v="2"/>
    <x v="55"/>
    <x v="11"/>
    <x v="36"/>
    <x v="131"/>
    <x v="195"/>
    <x v="282"/>
    <x v="4"/>
    <n v="0"/>
    <s v="Not Sampled"/>
    <n v="1645"/>
    <m/>
    <m/>
    <m/>
    <m/>
    <m/>
    <m/>
    <m/>
    <m/>
    <s v="Negative"/>
    <s v="Not Sampled"/>
    <s v="Not Sampled"/>
  </r>
  <r>
    <x v="3"/>
    <x v="113"/>
    <x v="5"/>
    <x v="39"/>
    <x v="74"/>
    <x v="28"/>
    <x v="315"/>
    <x v="26"/>
    <n v="0"/>
    <n v="0"/>
    <n v="1646"/>
    <m/>
    <m/>
    <m/>
    <m/>
    <m/>
    <m/>
    <m/>
    <m/>
    <s v="Negative"/>
    <s v="Negative"/>
    <s v="Accurate Prediction"/>
  </r>
  <r>
    <x v="3"/>
    <x v="95"/>
    <x v="4"/>
    <x v="2"/>
    <x v="0"/>
    <x v="35"/>
    <x v="316"/>
    <x v="2"/>
    <n v="1"/>
    <n v="1"/>
    <n v="1647"/>
    <m/>
    <m/>
    <m/>
    <m/>
    <m/>
    <m/>
    <m/>
    <m/>
    <s v="Positive"/>
    <s v="Positive"/>
    <s v="Accurate Prediction"/>
  </r>
  <r>
    <x v="0"/>
    <x v="117"/>
    <x v="22"/>
    <x v="20"/>
    <x v="132"/>
    <x v="116"/>
    <x v="317"/>
    <x v="14"/>
    <n v="0"/>
    <s v="Not Sampled"/>
    <n v="1648"/>
    <m/>
    <m/>
    <m/>
    <m/>
    <m/>
    <m/>
    <m/>
    <m/>
    <s v="Negative"/>
    <s v="Not Sampled"/>
    <s v="Not Sampled"/>
  </r>
  <r>
    <x v="5"/>
    <x v="20"/>
    <x v="20"/>
    <x v="24"/>
    <x v="133"/>
    <x v="62"/>
    <x v="318"/>
    <x v="16"/>
    <n v="0"/>
    <s v="Not Sampled"/>
    <n v="1649"/>
    <m/>
    <m/>
    <m/>
    <m/>
    <m/>
    <m/>
    <m/>
    <m/>
    <s v="Negative"/>
    <s v="Not Sampled"/>
    <s v="Not Sampled"/>
  </r>
  <r>
    <x v="1"/>
    <x v="55"/>
    <x v="19"/>
    <x v="32"/>
    <x v="0"/>
    <x v="82"/>
    <x v="319"/>
    <x v="11"/>
    <n v="1"/>
    <s v="Not Sampled"/>
    <n v="1650"/>
    <m/>
    <m/>
    <m/>
    <m/>
    <m/>
    <m/>
    <m/>
    <m/>
    <s v="Positive"/>
    <s v="Not Sampled"/>
    <s v="Not Sampled"/>
  </r>
  <r>
    <x v="5"/>
    <x v="118"/>
    <x v="9"/>
    <x v="2"/>
    <x v="0"/>
    <x v="96"/>
    <x v="282"/>
    <x v="14"/>
    <n v="0"/>
    <n v="0"/>
    <n v="1651"/>
    <m/>
    <m/>
    <m/>
    <m/>
    <m/>
    <m/>
    <m/>
    <m/>
    <s v="Negative"/>
    <s v="Negative"/>
    <s v="Accurate Prediction"/>
  </r>
  <r>
    <x v="5"/>
    <x v="104"/>
    <x v="9"/>
    <x v="1"/>
    <x v="0"/>
    <x v="115"/>
    <x v="320"/>
    <x v="14"/>
    <n v="1"/>
    <s v="Not Sampled"/>
    <n v="1652"/>
    <m/>
    <m/>
    <m/>
    <m/>
    <m/>
    <m/>
    <m/>
    <m/>
    <s v="Positive"/>
    <s v="Not Sampled"/>
    <s v="Not Sampled"/>
  </r>
  <r>
    <x v="3"/>
    <x v="50"/>
    <x v="11"/>
    <x v="2"/>
    <x v="0"/>
    <x v="61"/>
    <x v="321"/>
    <x v="2"/>
    <n v="1"/>
    <n v="0"/>
    <n v="1653"/>
    <m/>
    <m/>
    <m/>
    <m/>
    <m/>
    <m/>
    <m/>
    <m/>
    <s v="Positive"/>
    <s v="Negative"/>
    <s v="Inaccurate Prediction"/>
  </r>
  <r>
    <x v="6"/>
    <x v="59"/>
    <x v="40"/>
    <x v="2"/>
    <x v="0"/>
    <x v="29"/>
    <x v="187"/>
    <x v="15"/>
    <n v="0"/>
    <s v="Not Sampled"/>
    <n v="1654"/>
    <m/>
    <m/>
    <m/>
    <m/>
    <m/>
    <m/>
    <m/>
    <m/>
    <s v="Negative"/>
    <s v="Not Sampled"/>
    <s v="Not Sampled"/>
  </r>
  <r>
    <x v="7"/>
    <x v="60"/>
    <x v="16"/>
    <x v="4"/>
    <x v="84"/>
    <x v="145"/>
    <x v="129"/>
    <x v="20"/>
    <n v="1"/>
    <s v="Not Sampled"/>
    <n v="1655"/>
    <m/>
    <m/>
    <m/>
    <m/>
    <m/>
    <m/>
    <m/>
    <m/>
    <s v="Positive"/>
    <s v="Not Sampled"/>
    <s v="Not Sampled"/>
  </r>
  <r>
    <x v="11"/>
    <x v="119"/>
    <x v="4"/>
    <x v="14"/>
    <x v="0"/>
    <x v="31"/>
    <x v="246"/>
    <x v="19"/>
    <n v="0"/>
    <n v="0"/>
    <n v="1656"/>
    <m/>
    <m/>
    <m/>
    <m/>
    <m/>
    <m/>
    <m/>
    <m/>
    <s v="Negative"/>
    <s v="Negative"/>
    <s v="Accurate Prediction"/>
  </r>
  <r>
    <x v="7"/>
    <x v="120"/>
    <x v="11"/>
    <x v="2"/>
    <x v="0"/>
    <x v="35"/>
    <x v="322"/>
    <x v="17"/>
    <n v="1"/>
    <n v="1"/>
    <n v="1657"/>
    <m/>
    <m/>
    <m/>
    <m/>
    <m/>
    <m/>
    <m/>
    <m/>
    <s v="Positive"/>
    <s v="Positive"/>
    <s v="Accurate Prediction"/>
  </r>
  <r>
    <x v="0"/>
    <x v="62"/>
    <x v="26"/>
    <x v="5"/>
    <x v="134"/>
    <x v="196"/>
    <x v="254"/>
    <x v="25"/>
    <n v="0"/>
    <s v="Not Sampled"/>
    <n v="1658"/>
    <m/>
    <m/>
    <m/>
    <m/>
    <m/>
    <m/>
    <m/>
    <m/>
    <s v="Negative"/>
    <s v="Not Sampled"/>
    <s v="Not Sampled"/>
  </r>
  <r>
    <x v="3"/>
    <x v="109"/>
    <x v="5"/>
    <x v="2"/>
    <x v="0"/>
    <x v="11"/>
    <x v="323"/>
    <x v="22"/>
    <n v="1"/>
    <s v="Not Sampled"/>
    <n v="1659"/>
    <m/>
    <m/>
    <m/>
    <m/>
    <m/>
    <m/>
    <m/>
    <m/>
    <s v="Positive"/>
    <s v="Not Sampled"/>
    <s v="Not Sampled"/>
  </r>
  <r>
    <x v="1"/>
    <x v="39"/>
    <x v="0"/>
    <x v="2"/>
    <x v="0"/>
    <x v="101"/>
    <x v="101"/>
    <x v="14"/>
    <n v="0"/>
    <s v="Not Sampled"/>
    <n v="1660"/>
    <m/>
    <m/>
    <m/>
    <m/>
    <m/>
    <m/>
    <m/>
    <m/>
    <s v="Negative"/>
    <s v="Not Sampled"/>
    <s v="Not Sampled"/>
  </r>
  <r>
    <x v="4"/>
    <x v="100"/>
    <x v="10"/>
    <x v="2"/>
    <x v="0"/>
    <x v="151"/>
    <x v="324"/>
    <x v="16"/>
    <n v="1"/>
    <s v="Not Sampled"/>
    <n v="1661"/>
    <m/>
    <m/>
    <m/>
    <m/>
    <m/>
    <m/>
    <m/>
    <m/>
    <s v="Positive"/>
    <s v="Not Sampled"/>
    <s v="Not Sampled"/>
  </r>
  <r>
    <x v="2"/>
    <x v="121"/>
    <x v="3"/>
    <x v="48"/>
    <x v="135"/>
    <x v="197"/>
    <x v="325"/>
    <x v="6"/>
    <n v="1"/>
    <s v="Not Sampled"/>
    <n v="1662"/>
    <m/>
    <m/>
    <m/>
    <m/>
    <m/>
    <m/>
    <m/>
    <m/>
    <s v="Positive"/>
    <s v="Not Sampled"/>
    <s v="Not Sampled"/>
  </r>
  <r>
    <x v="6"/>
    <x v="29"/>
    <x v="8"/>
    <x v="15"/>
    <x v="0"/>
    <x v="140"/>
    <x v="326"/>
    <x v="6"/>
    <n v="0"/>
    <n v="0"/>
    <n v="1663"/>
    <m/>
    <m/>
    <m/>
    <m/>
    <m/>
    <m/>
    <m/>
    <m/>
    <s v="Negative"/>
    <s v="Negative"/>
    <s v="Accurate Prediction"/>
  </r>
  <r>
    <x v="2"/>
    <x v="56"/>
    <x v="5"/>
    <x v="8"/>
    <x v="34"/>
    <x v="184"/>
    <x v="303"/>
    <x v="14"/>
    <n v="0"/>
    <s v="Not Sampled"/>
    <n v="1664"/>
    <m/>
    <m/>
    <m/>
    <m/>
    <m/>
    <m/>
    <m/>
    <m/>
    <s v="Negative"/>
    <s v="Not Sampled"/>
    <s v="Not Sampled"/>
  </r>
  <r>
    <x v="2"/>
    <x v="92"/>
    <x v="16"/>
    <x v="17"/>
    <x v="136"/>
    <x v="197"/>
    <x v="327"/>
    <x v="11"/>
    <n v="0"/>
    <s v="Not Sampled"/>
    <n v="1665"/>
    <m/>
    <m/>
    <m/>
    <m/>
    <m/>
    <m/>
    <m/>
    <m/>
    <s v="Negative"/>
    <s v="Not Sampled"/>
    <s v="Not Sampled"/>
  </r>
  <r>
    <x v="2"/>
    <x v="92"/>
    <x v="10"/>
    <x v="29"/>
    <x v="137"/>
    <x v="173"/>
    <x v="152"/>
    <x v="4"/>
    <n v="0"/>
    <s v="Not Sampled"/>
    <n v="1666"/>
    <m/>
    <m/>
    <m/>
    <m/>
    <m/>
    <m/>
    <m/>
    <m/>
    <s v="Negative"/>
    <s v="Not Sampled"/>
    <s v="Not Sampled"/>
  </r>
  <r>
    <x v="1"/>
    <x v="0"/>
    <x v="12"/>
    <x v="0"/>
    <x v="119"/>
    <x v="137"/>
    <x v="328"/>
    <x v="4"/>
    <n v="1"/>
    <n v="0"/>
    <n v="1667"/>
    <m/>
    <m/>
    <m/>
    <m/>
    <m/>
    <m/>
    <m/>
    <m/>
    <s v="Positive"/>
    <s v="Negative"/>
    <s v="Inaccurate Prediction"/>
  </r>
  <r>
    <x v="5"/>
    <x v="5"/>
    <x v="16"/>
    <x v="12"/>
    <x v="138"/>
    <x v="140"/>
    <x v="61"/>
    <x v="11"/>
    <n v="1"/>
    <n v="1"/>
    <n v="1668"/>
    <m/>
    <m/>
    <m/>
    <m/>
    <m/>
    <m/>
    <m/>
    <m/>
    <s v="Positive"/>
    <s v="Positive"/>
    <s v="Accurate Prediction"/>
  </r>
  <r>
    <x v="2"/>
    <x v="75"/>
    <x v="3"/>
    <x v="23"/>
    <x v="0"/>
    <x v="185"/>
    <x v="329"/>
    <x v="11"/>
    <n v="0"/>
    <s v="Not Sampled"/>
    <n v="1669"/>
    <m/>
    <m/>
    <m/>
    <m/>
    <m/>
    <m/>
    <m/>
    <m/>
    <s v="Negative"/>
    <s v="Not Sampled"/>
    <s v="Not Sampled"/>
  </r>
  <r>
    <x v="3"/>
    <x v="65"/>
    <x v="1"/>
    <x v="5"/>
    <x v="0"/>
    <x v="70"/>
    <x v="330"/>
    <x v="26"/>
    <n v="1"/>
    <s v="Not Sampled"/>
    <n v="1670"/>
    <m/>
    <m/>
    <m/>
    <m/>
    <m/>
    <m/>
    <m/>
    <m/>
    <s v="Positive"/>
    <s v="Not Sampled"/>
    <s v="Not Sampled"/>
  </r>
  <r>
    <x v="2"/>
    <x v="8"/>
    <x v="3"/>
    <x v="2"/>
    <x v="0"/>
    <x v="198"/>
    <x v="331"/>
    <x v="23"/>
    <n v="0"/>
    <n v="0"/>
    <n v="1671"/>
    <m/>
    <m/>
    <m/>
    <m/>
    <m/>
    <m/>
    <m/>
    <m/>
    <s v="Negative"/>
    <s v="Negative"/>
    <s v="Accurate Prediction"/>
  </r>
  <r>
    <x v="5"/>
    <x v="52"/>
    <x v="11"/>
    <x v="30"/>
    <x v="133"/>
    <x v="199"/>
    <x v="332"/>
    <x v="6"/>
    <n v="1"/>
    <s v="Not Sampled"/>
    <n v="1672"/>
    <m/>
    <m/>
    <m/>
    <m/>
    <m/>
    <m/>
    <m/>
    <m/>
    <s v="Positive"/>
    <s v="Not Sampled"/>
    <s v="Not Sampled"/>
  </r>
  <r>
    <x v="2"/>
    <x v="93"/>
    <x v="21"/>
    <x v="4"/>
    <x v="13"/>
    <x v="200"/>
    <x v="333"/>
    <x v="25"/>
    <n v="0"/>
    <s v="Not Sampled"/>
    <n v="1673"/>
    <m/>
    <m/>
    <m/>
    <m/>
    <m/>
    <m/>
    <m/>
    <m/>
    <s v="Negative"/>
    <s v="Not Sampled"/>
    <s v="Not Sampled"/>
  </r>
  <r>
    <x v="0"/>
    <x v="19"/>
    <x v="3"/>
    <x v="10"/>
    <x v="7"/>
    <x v="14"/>
    <x v="334"/>
    <x v="4"/>
    <n v="0"/>
    <s v="Not Sampled"/>
    <n v="1674"/>
    <m/>
    <m/>
    <m/>
    <m/>
    <m/>
    <m/>
    <m/>
    <m/>
    <s v="Negative"/>
    <s v="Not Sampled"/>
    <s v="Not Sampled"/>
  </r>
  <r>
    <x v="1"/>
    <x v="29"/>
    <x v="11"/>
    <x v="40"/>
    <x v="65"/>
    <x v="102"/>
    <x v="116"/>
    <x v="4"/>
    <n v="0"/>
    <n v="0"/>
    <n v="1675"/>
    <m/>
    <m/>
    <m/>
    <m/>
    <m/>
    <m/>
    <m/>
    <m/>
    <s v="Negative"/>
    <s v="Negative"/>
    <s v="Accurate Prediction"/>
  </r>
  <r>
    <x v="0"/>
    <x v="109"/>
    <x v="11"/>
    <x v="29"/>
    <x v="0"/>
    <x v="98"/>
    <x v="335"/>
    <x v="4"/>
    <n v="0"/>
    <s v="Not Sampled"/>
    <n v="1676"/>
    <m/>
    <m/>
    <m/>
    <m/>
    <m/>
    <m/>
    <m/>
    <m/>
    <s v="Negative"/>
    <s v="Not Sampled"/>
    <s v="Not Sampled"/>
  </r>
  <r>
    <x v="4"/>
    <x v="68"/>
    <x v="4"/>
    <x v="5"/>
    <x v="14"/>
    <x v="92"/>
    <x v="336"/>
    <x v="31"/>
    <n v="1"/>
    <s v="Not Sampled"/>
    <n v="1677"/>
    <m/>
    <m/>
    <m/>
    <m/>
    <m/>
    <m/>
    <m/>
    <m/>
    <s v="Positive"/>
    <s v="Not Sampled"/>
    <s v="Not Sampled"/>
  </r>
  <r>
    <x v="3"/>
    <x v="97"/>
    <x v="4"/>
    <x v="15"/>
    <x v="139"/>
    <x v="201"/>
    <x v="337"/>
    <x v="2"/>
    <n v="1"/>
    <n v="1"/>
    <n v="1678"/>
    <m/>
    <m/>
    <m/>
    <m/>
    <m/>
    <m/>
    <m/>
    <m/>
    <s v="Positive"/>
    <s v="Positive"/>
    <s v="Accurate Prediction"/>
  </r>
  <r>
    <x v="1"/>
    <x v="19"/>
    <x v="2"/>
    <x v="2"/>
    <x v="0"/>
    <x v="12"/>
    <x v="152"/>
    <x v="14"/>
    <n v="0"/>
    <s v="Not Sampled"/>
    <n v="1679"/>
    <m/>
    <m/>
    <m/>
    <m/>
    <m/>
    <m/>
    <m/>
    <m/>
    <s v="Negative"/>
    <s v="Not Sampled"/>
    <s v="Not Sampled"/>
  </r>
  <r>
    <x v="2"/>
    <x v="94"/>
    <x v="11"/>
    <x v="8"/>
    <x v="105"/>
    <x v="174"/>
    <x v="338"/>
    <x v="19"/>
    <n v="1"/>
    <s v="Not Sampled"/>
    <n v="1680"/>
    <m/>
    <m/>
    <m/>
    <m/>
    <m/>
    <m/>
    <m/>
    <m/>
    <s v="Positive"/>
    <s v="Not Sampled"/>
    <s v="Not Sampled"/>
  </r>
  <r>
    <x v="1"/>
    <x v="3"/>
    <x v="41"/>
    <x v="40"/>
    <x v="8"/>
    <x v="102"/>
    <x v="223"/>
    <x v="25"/>
    <n v="0"/>
    <n v="0"/>
    <n v="1681"/>
    <m/>
    <m/>
    <m/>
    <m/>
    <m/>
    <m/>
    <m/>
    <m/>
    <s v="Negative"/>
    <s v="Negative"/>
    <s v="Accurate Prediction"/>
  </r>
  <r>
    <x v="2"/>
    <x v="50"/>
    <x v="1"/>
    <x v="14"/>
    <x v="105"/>
    <x v="145"/>
    <x v="1"/>
    <x v="33"/>
    <n v="1"/>
    <n v="0"/>
    <n v="1682"/>
    <m/>
    <m/>
    <m/>
    <m/>
    <m/>
    <m/>
    <m/>
    <m/>
    <s v="Positive"/>
    <s v="Negative"/>
    <s v="Inaccurate Prediction"/>
  </r>
  <r>
    <x v="0"/>
    <x v="6"/>
    <x v="2"/>
    <x v="2"/>
    <x v="0"/>
    <x v="202"/>
    <x v="339"/>
    <x v="1"/>
    <n v="0"/>
    <s v="Not Sampled"/>
    <n v="1683"/>
    <m/>
    <m/>
    <m/>
    <m/>
    <m/>
    <m/>
    <m/>
    <m/>
    <s v="Negative"/>
    <s v="Not Sampled"/>
    <s v="Not Sampled"/>
  </r>
  <r>
    <x v="5"/>
    <x v="9"/>
    <x v="10"/>
    <x v="41"/>
    <x v="108"/>
    <x v="25"/>
    <x v="7"/>
    <x v="19"/>
    <n v="0"/>
    <s v="Not Sampled"/>
    <n v="1684"/>
    <m/>
    <m/>
    <m/>
    <m/>
    <m/>
    <m/>
    <m/>
    <m/>
    <s v="Negative"/>
    <s v="Not Sampled"/>
    <s v="Not Sampled"/>
  </r>
  <r>
    <x v="2"/>
    <x v="11"/>
    <x v="10"/>
    <x v="22"/>
    <x v="140"/>
    <x v="135"/>
    <x v="268"/>
    <x v="11"/>
    <n v="0"/>
    <n v="0"/>
    <n v="1685"/>
    <m/>
    <m/>
    <m/>
    <m/>
    <m/>
    <m/>
    <m/>
    <m/>
    <s v="Negative"/>
    <s v="Negative"/>
    <s v="Accurate Prediction"/>
  </r>
  <r>
    <x v="2"/>
    <x v="5"/>
    <x v="10"/>
    <x v="2"/>
    <x v="0"/>
    <x v="8"/>
    <x v="124"/>
    <x v="19"/>
    <n v="1"/>
    <s v="Not Sampled"/>
    <n v="1686"/>
    <m/>
    <m/>
    <m/>
    <m/>
    <m/>
    <m/>
    <m/>
    <m/>
    <s v="Positive"/>
    <s v="Not Sampled"/>
    <s v="Not Sampled"/>
  </r>
  <r>
    <x v="2"/>
    <x v="49"/>
    <x v="43"/>
    <x v="10"/>
    <x v="77"/>
    <x v="179"/>
    <x v="185"/>
    <x v="25"/>
    <n v="0"/>
    <s v="Not Sampled"/>
    <n v="1687"/>
    <m/>
    <m/>
    <m/>
    <m/>
    <m/>
    <m/>
    <m/>
    <m/>
    <s v="Negative"/>
    <s v="Not Sampled"/>
    <s v="Not Sampled"/>
  </r>
  <r>
    <x v="2"/>
    <x v="81"/>
    <x v="21"/>
    <x v="13"/>
    <x v="0"/>
    <x v="150"/>
    <x v="415"/>
    <x v="3"/>
    <n v="0"/>
    <n v="0"/>
    <n v="1688"/>
    <m/>
    <m/>
    <m/>
    <m/>
    <m/>
    <m/>
    <m/>
    <m/>
    <s v="Negative"/>
    <s v="Negative"/>
    <s v="Accurate Prediction"/>
  </r>
  <r>
    <x v="6"/>
    <x v="20"/>
    <x v="2"/>
    <x v="2"/>
    <x v="0"/>
    <x v="195"/>
    <x v="163"/>
    <x v="6"/>
    <n v="0"/>
    <s v="Not Sampled"/>
    <n v="1689"/>
    <m/>
    <m/>
    <m/>
    <m/>
    <m/>
    <m/>
    <m/>
    <m/>
    <s v="Negative"/>
    <s v="Not Sampled"/>
    <s v="Not Sampled"/>
  </r>
  <r>
    <x v="2"/>
    <x v="73"/>
    <x v="10"/>
    <x v="35"/>
    <x v="0"/>
    <x v="157"/>
    <x v="416"/>
    <x v="13"/>
    <n v="0"/>
    <s v="Not Sampled"/>
    <n v="1690"/>
    <m/>
    <m/>
    <m/>
    <m/>
    <m/>
    <m/>
    <m/>
    <m/>
    <s v="Negative"/>
    <s v="Not Sampled"/>
    <s v="Not Sampled"/>
  </r>
  <r>
    <x v="8"/>
    <x v="42"/>
    <x v="4"/>
    <x v="30"/>
    <x v="153"/>
    <x v="213"/>
    <x v="24"/>
    <x v="28"/>
    <n v="1"/>
    <n v="1"/>
    <n v="1691"/>
    <m/>
    <m/>
    <m/>
    <m/>
    <m/>
    <m/>
    <m/>
    <m/>
    <s v="Positive"/>
    <s v="Positive"/>
    <s v="Accurate Prediction"/>
  </r>
  <r>
    <x v="3"/>
    <x v="128"/>
    <x v="2"/>
    <x v="2"/>
    <x v="0"/>
    <x v="109"/>
    <x v="355"/>
    <x v="31"/>
    <n v="1"/>
    <s v="Not Sampled"/>
    <n v="1692"/>
    <m/>
    <m/>
    <m/>
    <m/>
    <m/>
    <m/>
    <m/>
    <m/>
    <s v="Positive"/>
    <s v="Not Sampled"/>
    <s v="Not Sampled"/>
  </r>
  <r>
    <x v="2"/>
    <x v="73"/>
    <x v="12"/>
    <x v="5"/>
    <x v="0"/>
    <x v="134"/>
    <x v="195"/>
    <x v="4"/>
    <n v="0"/>
    <s v="Not Sampled"/>
    <n v="1693"/>
    <m/>
    <m/>
    <m/>
    <m/>
    <m/>
    <m/>
    <m/>
    <m/>
    <s v="Negative"/>
    <s v="Not Sampled"/>
    <s v="Not Sampled"/>
  </r>
  <r>
    <x v="2"/>
    <x v="94"/>
    <x v="4"/>
    <x v="3"/>
    <x v="122"/>
    <x v="154"/>
    <x v="417"/>
    <x v="11"/>
    <n v="1"/>
    <s v="Not Sampled"/>
    <n v="1694"/>
    <m/>
    <m/>
    <m/>
    <m/>
    <m/>
    <m/>
    <m/>
    <m/>
    <s v="Positive"/>
    <s v="Not Sampled"/>
    <s v="Not Sampled"/>
  </r>
  <r>
    <x v="2"/>
    <x v="66"/>
    <x v="0"/>
    <x v="14"/>
    <x v="159"/>
    <x v="222"/>
    <x v="418"/>
    <x v="14"/>
    <n v="0"/>
    <s v="Not Sampled"/>
    <n v="1695"/>
    <m/>
    <m/>
    <m/>
    <m/>
    <m/>
    <m/>
    <m/>
    <m/>
    <s v="Negative"/>
    <s v="Not Sampled"/>
    <s v="Not Sampled"/>
  </r>
  <r>
    <x v="1"/>
    <x v="87"/>
    <x v="1"/>
    <x v="15"/>
    <x v="160"/>
    <x v="53"/>
    <x v="58"/>
    <x v="23"/>
    <n v="0"/>
    <s v="Not Sampled"/>
    <n v="1696"/>
    <m/>
    <m/>
    <m/>
    <m/>
    <m/>
    <m/>
    <m/>
    <m/>
    <s v="Negative"/>
    <s v="Not Sampled"/>
    <s v="Not Sampled"/>
  </r>
  <r>
    <x v="2"/>
    <x v="31"/>
    <x v="0"/>
    <x v="27"/>
    <x v="98"/>
    <x v="33"/>
    <x v="419"/>
    <x v="1"/>
    <n v="0"/>
    <s v="Not Sampled"/>
    <n v="1697"/>
    <m/>
    <m/>
    <m/>
    <m/>
    <m/>
    <m/>
    <m/>
    <m/>
    <s v="Negative"/>
    <s v="Not Sampled"/>
    <s v="Not Sampled"/>
  </r>
  <r>
    <x v="5"/>
    <x v="33"/>
    <x v="14"/>
    <x v="23"/>
    <x v="125"/>
    <x v="125"/>
    <x v="9"/>
    <x v="3"/>
    <n v="0"/>
    <n v="0"/>
    <n v="1698"/>
    <m/>
    <m/>
    <m/>
    <m/>
    <m/>
    <m/>
    <m/>
    <m/>
    <s v="Negative"/>
    <s v="Negative"/>
    <s v="Accurate Prediction"/>
  </r>
  <r>
    <x v="5"/>
    <x v="129"/>
    <x v="22"/>
    <x v="29"/>
    <x v="85"/>
    <x v="35"/>
    <x v="420"/>
    <x v="31"/>
    <n v="1"/>
    <n v="1"/>
    <n v="1699"/>
    <m/>
    <m/>
    <m/>
    <m/>
    <m/>
    <m/>
    <m/>
    <m/>
    <s v="Positive"/>
    <s v="Positive"/>
    <s v="Accurate Prediction"/>
  </r>
  <r>
    <x v="8"/>
    <x v="120"/>
    <x v="21"/>
    <x v="3"/>
    <x v="161"/>
    <x v="1"/>
    <x v="184"/>
    <x v="18"/>
    <n v="1"/>
    <s v="Not Sampled"/>
    <n v="1700"/>
    <m/>
    <m/>
    <m/>
    <m/>
    <m/>
    <m/>
    <m/>
    <m/>
    <s v="Positive"/>
    <s v="Not Sampled"/>
    <s v="Not Sampled"/>
  </r>
  <r>
    <x v="6"/>
    <x v="38"/>
    <x v="6"/>
    <x v="7"/>
    <x v="0"/>
    <x v="56"/>
    <x v="421"/>
    <x v="25"/>
    <n v="0"/>
    <n v="0"/>
    <n v="1701"/>
    <m/>
    <m/>
    <m/>
    <m/>
    <m/>
    <m/>
    <m/>
    <m/>
    <s v="Negative"/>
    <s v="Negative"/>
    <s v="Accurate Prediction"/>
  </r>
  <r>
    <x v="12"/>
    <x v="0"/>
    <x v="10"/>
    <x v="16"/>
    <x v="162"/>
    <x v="164"/>
    <x v="226"/>
    <x v="48"/>
    <n v="1"/>
    <s v="Not Sampled"/>
    <n v="1702"/>
    <m/>
    <m/>
    <m/>
    <m/>
    <m/>
    <m/>
    <m/>
    <m/>
    <s v="Positive"/>
    <s v="Not Sampled"/>
    <s v="Not Sampled"/>
  </r>
  <r>
    <x v="5"/>
    <x v="33"/>
    <x v="5"/>
    <x v="2"/>
    <x v="0"/>
    <x v="223"/>
    <x v="28"/>
    <x v="23"/>
    <n v="0"/>
    <s v="Not Sampled"/>
    <n v="1703"/>
    <m/>
    <m/>
    <m/>
    <m/>
    <m/>
    <m/>
    <m/>
    <m/>
    <s v="Negative"/>
    <s v="Not Sampled"/>
    <s v="Not Sampled"/>
  </r>
  <r>
    <x v="6"/>
    <x v="17"/>
    <x v="30"/>
    <x v="2"/>
    <x v="0"/>
    <x v="77"/>
    <x v="422"/>
    <x v="13"/>
    <n v="0"/>
    <s v="Not Sampled"/>
    <n v="1704"/>
    <m/>
    <m/>
    <m/>
    <m/>
    <m/>
    <m/>
    <m/>
    <m/>
    <s v="Negative"/>
    <s v="Not Sampled"/>
    <s v="Not Sampled"/>
  </r>
  <r>
    <x v="0"/>
    <x v="123"/>
    <x v="0"/>
    <x v="27"/>
    <x v="163"/>
    <x v="224"/>
    <x v="423"/>
    <x v="1"/>
    <n v="0"/>
    <n v="0"/>
    <n v="1705"/>
    <m/>
    <m/>
    <m/>
    <m/>
    <m/>
    <m/>
    <m/>
    <m/>
    <s v="Negative"/>
    <s v="Negative"/>
    <s v="Accurate Prediction"/>
  </r>
  <r>
    <x v="11"/>
    <x v="56"/>
    <x v="1"/>
    <x v="20"/>
    <x v="0"/>
    <x v="86"/>
    <x v="424"/>
    <x v="48"/>
    <n v="1"/>
    <n v="1"/>
    <n v="1706"/>
    <m/>
    <m/>
    <m/>
    <m/>
    <m/>
    <m/>
    <m/>
    <m/>
    <s v="Positive"/>
    <s v="Positive"/>
    <s v="Accurate Prediction"/>
  </r>
  <r>
    <x v="1"/>
    <x v="93"/>
    <x v="2"/>
    <x v="2"/>
    <x v="0"/>
    <x v="68"/>
    <x v="425"/>
    <x v="3"/>
    <n v="1"/>
    <s v="Not Sampled"/>
    <n v="1707"/>
    <m/>
    <m/>
    <m/>
    <m/>
    <m/>
    <m/>
    <m/>
    <m/>
    <s v="Positive"/>
    <s v="Not Sampled"/>
    <s v="Not Sampled"/>
  </r>
  <r>
    <x v="0"/>
    <x v="56"/>
    <x v="24"/>
    <x v="3"/>
    <x v="69"/>
    <x v="189"/>
    <x v="426"/>
    <x v="6"/>
    <n v="0"/>
    <s v="Not Sampled"/>
    <n v="1708"/>
    <m/>
    <m/>
    <m/>
    <m/>
    <m/>
    <m/>
    <m/>
    <m/>
    <s v="Negative"/>
    <s v="Not Sampled"/>
    <s v="Not Sampled"/>
  </r>
  <r>
    <x v="0"/>
    <x v="66"/>
    <x v="15"/>
    <x v="28"/>
    <x v="0"/>
    <x v="29"/>
    <x v="427"/>
    <x v="6"/>
    <n v="0"/>
    <s v="Not Sampled"/>
    <n v="1709"/>
    <m/>
    <m/>
    <m/>
    <m/>
    <m/>
    <m/>
    <m/>
    <m/>
    <s v="Negative"/>
    <s v="Not Sampled"/>
    <s v="Not Sampled"/>
  </r>
  <r>
    <x v="6"/>
    <x v="128"/>
    <x v="41"/>
    <x v="2"/>
    <x v="0"/>
    <x v="225"/>
    <x v="428"/>
    <x v="10"/>
    <n v="0"/>
    <s v="Not Sampled"/>
    <n v="1710"/>
    <m/>
    <m/>
    <m/>
    <m/>
    <m/>
    <m/>
    <m/>
    <m/>
    <s v="Negative"/>
    <s v="Not Sampled"/>
    <s v="Not Sampled"/>
  </r>
  <r>
    <x v="1"/>
    <x v="19"/>
    <x v="9"/>
    <x v="21"/>
    <x v="133"/>
    <x v="111"/>
    <x v="429"/>
    <x v="4"/>
    <n v="0"/>
    <s v="Not Sampled"/>
    <n v="1711"/>
    <m/>
    <m/>
    <m/>
    <m/>
    <m/>
    <m/>
    <m/>
    <m/>
    <s v="Negative"/>
    <s v="Not Sampled"/>
    <s v="Not Sampled"/>
  </r>
  <r>
    <x v="0"/>
    <x v="81"/>
    <x v="11"/>
    <x v="2"/>
    <x v="0"/>
    <x v="98"/>
    <x v="430"/>
    <x v="4"/>
    <n v="0"/>
    <n v="0"/>
    <n v="1712"/>
    <m/>
    <m/>
    <m/>
    <m/>
    <m/>
    <m/>
    <m/>
    <m/>
    <s v="Negative"/>
    <s v="Negative"/>
    <s v="Accurate Prediction"/>
  </r>
  <r>
    <x v="3"/>
    <x v="30"/>
    <x v="21"/>
    <x v="19"/>
    <x v="120"/>
    <x v="50"/>
    <x v="431"/>
    <x v="29"/>
    <n v="0"/>
    <s v="Not Sampled"/>
    <n v="1713"/>
    <m/>
    <m/>
    <m/>
    <m/>
    <m/>
    <m/>
    <m/>
    <m/>
    <s v="Negative"/>
    <s v="Not Sampled"/>
    <s v="Not Sampled"/>
  </r>
  <r>
    <x v="1"/>
    <x v="10"/>
    <x v="3"/>
    <x v="2"/>
    <x v="0"/>
    <x v="62"/>
    <x v="407"/>
    <x v="4"/>
    <n v="0"/>
    <s v="Not Sampled"/>
    <n v="1714"/>
    <m/>
    <m/>
    <m/>
    <m/>
    <m/>
    <m/>
    <m/>
    <m/>
    <s v="Negative"/>
    <s v="Not Sampled"/>
    <s v="Not Sampled"/>
  </r>
  <r>
    <x v="1"/>
    <x v="77"/>
    <x v="4"/>
    <x v="2"/>
    <x v="0"/>
    <x v="68"/>
    <x v="432"/>
    <x v="4"/>
    <n v="0"/>
    <s v="Not Sampled"/>
    <n v="1715"/>
    <m/>
    <m/>
    <m/>
    <m/>
    <m/>
    <m/>
    <m/>
    <m/>
    <s v="Negative"/>
    <s v="Not Sampled"/>
    <s v="Not Sampled"/>
  </r>
  <r>
    <x v="7"/>
    <x v="80"/>
    <x v="6"/>
    <x v="2"/>
    <x v="0"/>
    <x v="137"/>
    <x v="433"/>
    <x v="10"/>
    <n v="0"/>
    <s v="Not Sampled"/>
    <n v="1716"/>
    <m/>
    <m/>
    <m/>
    <m/>
    <m/>
    <m/>
    <m/>
    <m/>
    <s v="Negative"/>
    <s v="Not Sampled"/>
    <s v="Not Sampled"/>
  </r>
  <r>
    <x v="3"/>
    <x v="19"/>
    <x v="7"/>
    <x v="29"/>
    <x v="0"/>
    <x v="62"/>
    <x v="271"/>
    <x v="4"/>
    <n v="0"/>
    <s v="Not Sampled"/>
    <n v="1717"/>
    <m/>
    <m/>
    <m/>
    <m/>
    <m/>
    <m/>
    <m/>
    <m/>
    <s v="Negative"/>
    <s v="Not Sampled"/>
    <s v="Not Sampled"/>
  </r>
  <r>
    <x v="8"/>
    <x v="48"/>
    <x v="11"/>
    <x v="2"/>
    <x v="0"/>
    <x v="41"/>
    <x v="434"/>
    <x v="34"/>
    <n v="1"/>
    <s v="Not Sampled"/>
    <n v="1718"/>
    <m/>
    <m/>
    <m/>
    <m/>
    <m/>
    <m/>
    <m/>
    <m/>
    <s v="Positive"/>
    <s v="Not Sampled"/>
    <s v="Not Sampled"/>
  </r>
  <r>
    <x v="1"/>
    <x v="29"/>
    <x v="4"/>
    <x v="32"/>
    <x v="12"/>
    <x v="93"/>
    <x v="21"/>
    <x v="3"/>
    <n v="0"/>
    <s v="Not Sampled"/>
    <n v="1719"/>
    <m/>
    <m/>
    <m/>
    <m/>
    <m/>
    <m/>
    <m/>
    <m/>
    <s v="Negative"/>
    <s v="Not Sampled"/>
    <s v="Not Sampled"/>
  </r>
  <r>
    <x v="0"/>
    <x v="31"/>
    <x v="12"/>
    <x v="2"/>
    <x v="0"/>
    <x v="173"/>
    <x v="277"/>
    <x v="1"/>
    <n v="0"/>
    <s v="Not Sampled"/>
    <n v="1720"/>
    <m/>
    <m/>
    <m/>
    <m/>
    <m/>
    <m/>
    <m/>
    <m/>
    <s v="Negative"/>
    <s v="Not Sampled"/>
    <s v="Not Sampled"/>
  </r>
  <r>
    <x v="2"/>
    <x v="80"/>
    <x v="1"/>
    <x v="6"/>
    <x v="164"/>
    <x v="155"/>
    <x v="435"/>
    <x v="11"/>
    <n v="0"/>
    <s v="Not Sampled"/>
    <n v="1721"/>
    <m/>
    <m/>
    <m/>
    <m/>
    <m/>
    <m/>
    <m/>
    <m/>
    <s v="Negative"/>
    <s v="Not Sampled"/>
    <s v="Not Sampled"/>
  </r>
  <r>
    <x v="9"/>
    <x v="66"/>
    <x v="0"/>
    <x v="2"/>
    <x v="0"/>
    <x v="151"/>
    <x v="148"/>
    <x v="2"/>
    <n v="0"/>
    <s v="Not Sampled"/>
    <n v="1722"/>
    <m/>
    <m/>
    <m/>
    <m/>
    <m/>
    <m/>
    <m/>
    <m/>
    <s v="Negative"/>
    <s v="Not Sampled"/>
    <s v="Not Sampled"/>
  </r>
  <r>
    <x v="13"/>
    <x v="88"/>
    <x v="5"/>
    <x v="2"/>
    <x v="0"/>
    <x v="84"/>
    <x v="436"/>
    <x v="19"/>
    <n v="1"/>
    <s v="Not Sampled"/>
    <n v="1723"/>
    <m/>
    <m/>
    <m/>
    <m/>
    <m/>
    <m/>
    <m/>
    <m/>
    <s v="Positive"/>
    <s v="Not Sampled"/>
    <s v="Not Sampled"/>
  </r>
  <r>
    <x v="7"/>
    <x v="88"/>
    <x v="10"/>
    <x v="2"/>
    <x v="0"/>
    <x v="138"/>
    <x v="83"/>
    <x v="27"/>
    <n v="0"/>
    <s v="Not Sampled"/>
    <n v="1724"/>
    <m/>
    <m/>
    <m/>
    <m/>
    <m/>
    <m/>
    <m/>
    <m/>
    <s v="Negative"/>
    <s v="Not Sampled"/>
    <s v="Not Sampled"/>
  </r>
  <r>
    <x v="0"/>
    <x v="19"/>
    <x v="15"/>
    <x v="10"/>
    <x v="5"/>
    <x v="31"/>
    <x v="437"/>
    <x v="1"/>
    <n v="0"/>
    <s v="Not Sampled"/>
    <n v="1725"/>
    <m/>
    <m/>
    <m/>
    <m/>
    <m/>
    <m/>
    <m/>
    <m/>
    <s v="Negative"/>
    <s v="Not Sampled"/>
    <s v="Not Sampled"/>
  </r>
  <r>
    <x v="8"/>
    <x v="75"/>
    <x v="15"/>
    <x v="5"/>
    <x v="165"/>
    <x v="105"/>
    <x v="438"/>
    <x v="32"/>
    <n v="1"/>
    <s v="Not Sampled"/>
    <n v="1726"/>
    <m/>
    <m/>
    <m/>
    <m/>
    <m/>
    <m/>
    <m/>
    <m/>
    <s v="Positive"/>
    <s v="Not Sampled"/>
    <s v="Not Sampled"/>
  </r>
  <r>
    <x v="2"/>
    <x v="45"/>
    <x v="10"/>
    <x v="39"/>
    <x v="166"/>
    <x v="222"/>
    <x v="439"/>
    <x v="6"/>
    <n v="0"/>
    <s v="Not Sampled"/>
    <n v="1727"/>
    <m/>
    <m/>
    <m/>
    <m/>
    <m/>
    <m/>
    <m/>
    <m/>
    <s v="Negative"/>
    <s v="Not Sampled"/>
    <s v="Not Sampled"/>
  </r>
  <r>
    <x v="1"/>
    <x v="29"/>
    <x v="24"/>
    <x v="6"/>
    <x v="16"/>
    <x v="17"/>
    <x v="440"/>
    <x v="23"/>
    <n v="0"/>
    <n v="0"/>
    <n v="1728"/>
    <m/>
    <m/>
    <m/>
    <m/>
    <m/>
    <m/>
    <m/>
    <m/>
    <s v="Negative"/>
    <s v="Negative"/>
    <s v="Accurate Prediction"/>
  </r>
  <r>
    <x v="3"/>
    <x v="80"/>
    <x v="9"/>
    <x v="2"/>
    <x v="0"/>
    <x v="82"/>
    <x v="441"/>
    <x v="3"/>
    <n v="0"/>
    <n v="0"/>
    <n v="1729"/>
    <m/>
    <m/>
    <m/>
    <m/>
    <m/>
    <m/>
    <m/>
    <m/>
    <s v="Negative"/>
    <s v="Negative"/>
    <s v="Accurate Prediction"/>
  </r>
  <r>
    <x v="6"/>
    <x v="83"/>
    <x v="6"/>
    <x v="2"/>
    <x v="0"/>
    <x v="81"/>
    <x v="81"/>
    <x v="48"/>
    <n v="1"/>
    <n v="1"/>
    <n v="1730"/>
    <m/>
    <m/>
    <m/>
    <m/>
    <m/>
    <m/>
    <m/>
    <m/>
    <s v="Positive"/>
    <s v="Positive"/>
    <s v="Accurate Prediction"/>
  </r>
  <r>
    <x v="3"/>
    <x v="30"/>
    <x v="2"/>
    <x v="2"/>
    <x v="0"/>
    <x v="43"/>
    <x v="442"/>
    <x v="2"/>
    <n v="0"/>
    <s v="Not Sampled"/>
    <n v="1731"/>
    <m/>
    <m/>
    <m/>
    <m/>
    <m/>
    <m/>
    <m/>
    <m/>
    <s v="Negative"/>
    <s v="Not Sampled"/>
    <s v="Not Sampled"/>
  </r>
  <r>
    <x v="5"/>
    <x v="28"/>
    <x v="5"/>
    <x v="8"/>
    <x v="40"/>
    <x v="32"/>
    <x v="443"/>
    <x v="23"/>
    <n v="0"/>
    <s v="Not Sampled"/>
    <n v="1732"/>
    <m/>
    <m/>
    <m/>
    <m/>
    <m/>
    <m/>
    <m/>
    <m/>
    <s v="Negative"/>
    <s v="Not Sampled"/>
    <s v="Not Sampled"/>
  </r>
  <r>
    <x v="0"/>
    <x v="111"/>
    <x v="10"/>
    <x v="0"/>
    <x v="167"/>
    <x v="121"/>
    <x v="444"/>
    <x v="13"/>
    <n v="0"/>
    <n v="0"/>
    <n v="1733"/>
    <m/>
    <m/>
    <m/>
    <m/>
    <m/>
    <m/>
    <m/>
    <m/>
    <s v="Negative"/>
    <s v="Negative"/>
    <s v="Accurate Prediction"/>
  </r>
  <r>
    <x v="2"/>
    <x v="107"/>
    <x v="10"/>
    <x v="6"/>
    <x v="162"/>
    <x v="226"/>
    <x v="445"/>
    <x v="9"/>
    <n v="1"/>
    <s v="Not Sampled"/>
    <n v="1734"/>
    <m/>
    <m/>
    <m/>
    <m/>
    <m/>
    <m/>
    <m/>
    <m/>
    <s v="Positive"/>
    <s v="Not Sampled"/>
    <s v="Not Sampled"/>
  </r>
  <r>
    <x v="1"/>
    <x v="91"/>
    <x v="13"/>
    <x v="35"/>
    <x v="168"/>
    <x v="136"/>
    <x v="446"/>
    <x v="11"/>
    <n v="1"/>
    <n v="1"/>
    <n v="1735"/>
    <m/>
    <m/>
    <m/>
    <m/>
    <m/>
    <m/>
    <m/>
    <m/>
    <s v="Positive"/>
    <s v="Positive"/>
    <s v="Accurate Prediction"/>
  </r>
  <r>
    <x v="12"/>
    <x v="60"/>
    <x v="16"/>
    <x v="0"/>
    <x v="66"/>
    <x v="227"/>
    <x v="112"/>
    <x v="8"/>
    <n v="1"/>
    <s v="Not Sampled"/>
    <n v="1736"/>
    <m/>
    <m/>
    <m/>
    <m/>
    <m/>
    <m/>
    <m/>
    <m/>
    <s v="Positive"/>
    <s v="Not Sampled"/>
    <s v="Not Sampled"/>
  </r>
  <r>
    <x v="1"/>
    <x v="61"/>
    <x v="12"/>
    <x v="14"/>
    <x v="0"/>
    <x v="199"/>
    <x v="447"/>
    <x v="1"/>
    <n v="0"/>
    <s v="Not Sampled"/>
    <n v="1737"/>
    <m/>
    <m/>
    <m/>
    <m/>
    <m/>
    <m/>
    <m/>
    <m/>
    <s v="Negative"/>
    <s v="Not Sampled"/>
    <s v="Not Sampled"/>
  </r>
  <r>
    <x v="2"/>
    <x v="25"/>
    <x v="14"/>
    <x v="14"/>
    <x v="31"/>
    <x v="18"/>
    <x v="297"/>
    <x v="1"/>
    <n v="0"/>
    <s v="Not Sampled"/>
    <n v="1738"/>
    <m/>
    <m/>
    <m/>
    <m/>
    <m/>
    <m/>
    <m/>
    <m/>
    <s v="Negative"/>
    <s v="Not Sampled"/>
    <s v="Not Sampled"/>
  </r>
  <r>
    <x v="2"/>
    <x v="17"/>
    <x v="12"/>
    <x v="17"/>
    <x v="148"/>
    <x v="97"/>
    <x v="372"/>
    <x v="23"/>
    <n v="0"/>
    <n v="0"/>
    <n v="1739"/>
    <m/>
    <m/>
    <m/>
    <m/>
    <m/>
    <m/>
    <m/>
    <m/>
    <s v="Negative"/>
    <s v="Negative"/>
    <s v="Accurate Prediction"/>
  </r>
  <r>
    <x v="7"/>
    <x v="62"/>
    <x v="10"/>
    <x v="32"/>
    <x v="152"/>
    <x v="174"/>
    <x v="363"/>
    <x v="6"/>
    <n v="0"/>
    <s v="Not Sampled"/>
    <n v="1740"/>
    <m/>
    <m/>
    <m/>
    <m/>
    <m/>
    <m/>
    <m/>
    <m/>
    <s v="Negative"/>
    <s v="Not Sampled"/>
    <s v="Not Sampled"/>
  </r>
  <r>
    <x v="0"/>
    <x v="24"/>
    <x v="14"/>
    <x v="2"/>
    <x v="0"/>
    <x v="90"/>
    <x v="446"/>
    <x v="23"/>
    <n v="0"/>
    <s v="Not Sampled"/>
    <n v="1741"/>
    <m/>
    <m/>
    <m/>
    <m/>
    <m/>
    <m/>
    <m/>
    <m/>
    <s v="Negative"/>
    <s v="Not Sampled"/>
    <s v="Not Sampled"/>
  </r>
  <r>
    <x v="2"/>
    <x v="33"/>
    <x v="9"/>
    <x v="7"/>
    <x v="42"/>
    <x v="89"/>
    <x v="173"/>
    <x v="11"/>
    <n v="0"/>
    <s v="Not Sampled"/>
    <n v="1742"/>
    <m/>
    <m/>
    <m/>
    <m/>
    <m/>
    <m/>
    <m/>
    <m/>
    <s v="Negative"/>
    <s v="Not Sampled"/>
    <s v="Not Sampled"/>
  </r>
  <r>
    <x v="0"/>
    <x v="70"/>
    <x v="33"/>
    <x v="21"/>
    <x v="169"/>
    <x v="162"/>
    <x v="236"/>
    <x v="14"/>
    <n v="1"/>
    <s v="Not Sampled"/>
    <n v="1743"/>
    <m/>
    <m/>
    <m/>
    <m/>
    <m/>
    <m/>
    <m/>
    <m/>
    <s v="Positive"/>
    <s v="Not Sampled"/>
    <s v="Not Sampled"/>
  </r>
  <r>
    <x v="0"/>
    <x v="39"/>
    <x v="22"/>
    <x v="0"/>
    <x v="12"/>
    <x v="181"/>
    <x v="448"/>
    <x v="11"/>
    <n v="0"/>
    <s v="Not Sampled"/>
    <n v="1744"/>
    <m/>
    <m/>
    <m/>
    <m/>
    <m/>
    <m/>
    <m/>
    <m/>
    <s v="Negative"/>
    <s v="Not Sampled"/>
    <s v="Not Sampled"/>
  </r>
  <r>
    <x v="2"/>
    <x v="24"/>
    <x v="6"/>
    <x v="46"/>
    <x v="170"/>
    <x v="228"/>
    <x v="449"/>
    <x v="17"/>
    <n v="0"/>
    <s v="Not Sampled"/>
    <n v="1745"/>
    <m/>
    <m/>
    <m/>
    <m/>
    <m/>
    <m/>
    <m/>
    <m/>
    <s v="Negative"/>
    <s v="Not Sampled"/>
    <s v="Not Sampled"/>
  </r>
  <r>
    <x v="12"/>
    <x v="117"/>
    <x v="44"/>
    <x v="2"/>
    <x v="0"/>
    <x v="20"/>
    <x v="163"/>
    <x v="42"/>
    <n v="0"/>
    <s v="Not Sampled"/>
    <n v="1746"/>
    <m/>
    <m/>
    <m/>
    <m/>
    <m/>
    <m/>
    <m/>
    <m/>
    <s v="Negative"/>
    <s v="Not Sampled"/>
    <s v="Not Sampled"/>
  </r>
  <r>
    <x v="5"/>
    <x v="11"/>
    <x v="1"/>
    <x v="1"/>
    <x v="19"/>
    <x v="89"/>
    <x v="450"/>
    <x v="23"/>
    <n v="1"/>
    <s v="Not Sampled"/>
    <n v="1747"/>
    <m/>
    <m/>
    <m/>
    <m/>
    <m/>
    <m/>
    <m/>
    <m/>
    <s v="Positive"/>
    <s v="Not Sampled"/>
    <s v="Not Sampled"/>
  </r>
  <r>
    <x v="9"/>
    <x v="76"/>
    <x v="16"/>
    <x v="2"/>
    <x v="0"/>
    <x v="116"/>
    <x v="451"/>
    <x v="28"/>
    <n v="0"/>
    <s v="Not Sampled"/>
    <n v="1748"/>
    <m/>
    <m/>
    <m/>
    <m/>
    <m/>
    <m/>
    <m/>
    <m/>
    <s v="Negative"/>
    <s v="Not Sampled"/>
    <s v="Not Sampled"/>
  </r>
  <r>
    <x v="2"/>
    <x v="130"/>
    <x v="15"/>
    <x v="44"/>
    <x v="0"/>
    <x v="92"/>
    <x v="452"/>
    <x v="11"/>
    <n v="1"/>
    <s v="Not Sampled"/>
    <n v="1749"/>
    <m/>
    <m/>
    <m/>
    <m/>
    <m/>
    <m/>
    <m/>
    <m/>
    <s v="Positive"/>
    <s v="Not Sampled"/>
    <s v="Not Sampled"/>
  </r>
  <r>
    <x v="4"/>
    <x v="107"/>
    <x v="44"/>
    <x v="40"/>
    <x v="109"/>
    <x v="209"/>
    <x v="84"/>
    <x v="33"/>
    <n v="1"/>
    <n v="1"/>
    <n v="1750"/>
    <m/>
    <m/>
    <m/>
    <m/>
    <m/>
    <m/>
    <m/>
    <m/>
    <s v="Positive"/>
    <s v="Positive"/>
    <s v="Accurate Prediction"/>
  </r>
  <r>
    <x v="11"/>
    <x v="2"/>
    <x v="6"/>
    <x v="40"/>
    <x v="66"/>
    <x v="160"/>
    <x v="143"/>
    <x v="18"/>
    <n v="1"/>
    <s v="Not Sampled"/>
    <n v="1751"/>
    <m/>
    <m/>
    <m/>
    <m/>
    <m/>
    <m/>
    <m/>
    <m/>
    <s v="Positive"/>
    <s v="Not Sampled"/>
    <s v="Not Sampled"/>
  </r>
  <r>
    <x v="6"/>
    <x v="109"/>
    <x v="12"/>
    <x v="15"/>
    <x v="0"/>
    <x v="47"/>
    <x v="404"/>
    <x v="18"/>
    <n v="1"/>
    <s v="Not Sampled"/>
    <n v="1752"/>
    <m/>
    <m/>
    <m/>
    <m/>
    <m/>
    <m/>
    <m/>
    <m/>
    <s v="Positive"/>
    <s v="Not Sampled"/>
    <s v="Not Sampled"/>
  </r>
  <r>
    <x v="2"/>
    <x v="56"/>
    <x v="6"/>
    <x v="45"/>
    <x v="103"/>
    <x v="124"/>
    <x v="453"/>
    <x v="3"/>
    <n v="0"/>
    <s v="Not Sampled"/>
    <n v="1753"/>
    <m/>
    <m/>
    <m/>
    <m/>
    <m/>
    <m/>
    <m/>
    <m/>
    <s v="Negative"/>
    <s v="Not Sampled"/>
    <s v="Not Sampled"/>
  </r>
  <r>
    <x v="3"/>
    <x v="2"/>
    <x v="1"/>
    <x v="10"/>
    <x v="0"/>
    <x v="56"/>
    <x v="41"/>
    <x v="50"/>
    <n v="1"/>
    <n v="1"/>
    <n v="1754"/>
    <m/>
    <m/>
    <m/>
    <m/>
    <m/>
    <m/>
    <m/>
    <m/>
    <s v="Positive"/>
    <s v="Positive"/>
    <s v="Accurate Prediction"/>
  </r>
  <r>
    <x v="9"/>
    <x v="31"/>
    <x v="9"/>
    <x v="21"/>
    <x v="0"/>
    <x v="155"/>
    <x v="425"/>
    <x v="18"/>
    <n v="1"/>
    <s v="Not Sampled"/>
    <n v="1755"/>
    <m/>
    <m/>
    <m/>
    <m/>
    <m/>
    <m/>
    <m/>
    <m/>
    <s v="Positive"/>
    <s v="Not Sampled"/>
    <s v="Not Sampled"/>
  </r>
  <r>
    <x v="6"/>
    <x v="116"/>
    <x v="22"/>
    <x v="12"/>
    <x v="72"/>
    <x v="37"/>
    <x v="400"/>
    <x v="33"/>
    <n v="0"/>
    <s v="Not Sampled"/>
    <n v="1756"/>
    <m/>
    <m/>
    <m/>
    <m/>
    <m/>
    <m/>
    <m/>
    <m/>
    <s v="Negative"/>
    <s v="Not Sampled"/>
    <s v="Not Sampled"/>
  </r>
  <r>
    <x v="11"/>
    <x v="16"/>
    <x v="4"/>
    <x v="8"/>
    <x v="31"/>
    <x v="125"/>
    <x v="192"/>
    <x v="10"/>
    <n v="0"/>
    <n v="1"/>
    <n v="1757"/>
    <m/>
    <m/>
    <m/>
    <m/>
    <m/>
    <m/>
    <m/>
    <m/>
    <s v="Negative"/>
    <s v="Positive"/>
    <s v="Inaccurate Prediction"/>
  </r>
  <r>
    <x v="6"/>
    <x v="102"/>
    <x v="3"/>
    <x v="16"/>
    <x v="49"/>
    <x v="0"/>
    <x v="454"/>
    <x v="43"/>
    <n v="0"/>
    <s v="Not Sampled"/>
    <n v="1758"/>
    <m/>
    <m/>
    <m/>
    <m/>
    <m/>
    <m/>
    <m/>
    <m/>
    <s v="Negative"/>
    <s v="Not Sampled"/>
    <s v="Not Sampled"/>
  </r>
  <r>
    <x v="2"/>
    <x v="6"/>
    <x v="22"/>
    <x v="25"/>
    <x v="0"/>
    <x v="54"/>
    <x v="7"/>
    <x v="4"/>
    <n v="0"/>
    <s v="Not Sampled"/>
    <n v="1759"/>
    <m/>
    <m/>
    <m/>
    <m/>
    <m/>
    <m/>
    <m/>
    <m/>
    <s v="Negative"/>
    <s v="Not Sampled"/>
    <s v="Not Sampled"/>
  </r>
  <r>
    <x v="9"/>
    <x v="123"/>
    <x v="44"/>
    <x v="17"/>
    <x v="51"/>
    <x v="130"/>
    <x v="350"/>
    <x v="0"/>
    <n v="0"/>
    <s v="Not Sampled"/>
    <n v="1760"/>
    <m/>
    <m/>
    <m/>
    <m/>
    <m/>
    <m/>
    <m/>
    <m/>
    <s v="Negative"/>
    <s v="Not Sampled"/>
    <s v="Not Sampled"/>
  </r>
  <r>
    <x v="5"/>
    <x v="62"/>
    <x v="39"/>
    <x v="0"/>
    <x v="20"/>
    <x v="229"/>
    <x v="455"/>
    <x v="11"/>
    <n v="0"/>
    <n v="1"/>
    <n v="1761"/>
    <m/>
    <m/>
    <m/>
    <m/>
    <m/>
    <m/>
    <m/>
    <m/>
    <s v="Negative"/>
    <s v="Positive"/>
    <s v="Inaccurate Prediction"/>
  </r>
  <r>
    <x v="4"/>
    <x v="25"/>
    <x v="1"/>
    <x v="2"/>
    <x v="0"/>
    <x v="230"/>
    <x v="59"/>
    <x v="51"/>
    <n v="0"/>
    <s v="Not Sampled"/>
    <n v="1762"/>
    <m/>
    <m/>
    <m/>
    <m/>
    <m/>
    <m/>
    <m/>
    <m/>
    <s v="Negative"/>
    <s v="Not Sampled"/>
    <s v="Not Sampled"/>
  </r>
  <r>
    <x v="6"/>
    <x v="15"/>
    <x v="9"/>
    <x v="2"/>
    <x v="0"/>
    <x v="125"/>
    <x v="338"/>
    <x v="2"/>
    <n v="1"/>
    <s v="Not Sampled"/>
    <n v="1763"/>
    <m/>
    <m/>
    <m/>
    <m/>
    <m/>
    <m/>
    <m/>
    <m/>
    <s v="Positive"/>
    <s v="Not Sampled"/>
    <s v="Not Sampled"/>
  </r>
  <r>
    <x v="11"/>
    <x v="84"/>
    <x v="24"/>
    <x v="2"/>
    <x v="0"/>
    <x v="172"/>
    <x v="344"/>
    <x v="49"/>
    <n v="1"/>
    <s v="Not Sampled"/>
    <n v="1764"/>
    <m/>
    <m/>
    <m/>
    <m/>
    <m/>
    <m/>
    <m/>
    <m/>
    <s v="Positive"/>
    <s v="Not Sampled"/>
    <s v="Not Sampled"/>
  </r>
  <r>
    <x v="1"/>
    <x v="67"/>
    <x v="12"/>
    <x v="2"/>
    <x v="0"/>
    <x v="186"/>
    <x v="22"/>
    <x v="14"/>
    <n v="0"/>
    <s v="Not Sampled"/>
    <n v="1765"/>
    <m/>
    <m/>
    <m/>
    <m/>
    <m/>
    <m/>
    <m/>
    <m/>
    <s v="Negative"/>
    <s v="Not Sampled"/>
    <s v="Not Sampled"/>
  </r>
  <r>
    <x v="5"/>
    <x v="126"/>
    <x v="33"/>
    <x v="2"/>
    <x v="0"/>
    <x v="231"/>
    <x v="0"/>
    <x v="14"/>
    <n v="1"/>
    <s v="Not Sampled"/>
    <n v="1766"/>
    <m/>
    <m/>
    <m/>
    <m/>
    <m/>
    <m/>
    <m/>
    <m/>
    <s v="Positive"/>
    <s v="Not Sampled"/>
    <s v="Not Sampled"/>
  </r>
  <r>
    <x v="0"/>
    <x v="39"/>
    <x v="22"/>
    <x v="6"/>
    <x v="4"/>
    <x v="29"/>
    <x v="456"/>
    <x v="1"/>
    <n v="0"/>
    <s v="Not Sampled"/>
    <n v="1767"/>
    <m/>
    <m/>
    <m/>
    <m/>
    <m/>
    <m/>
    <m/>
    <m/>
    <s v="Negative"/>
    <s v="Not Sampled"/>
    <s v="Not Sampled"/>
  </r>
  <r>
    <x v="0"/>
    <x v="131"/>
    <x v="20"/>
    <x v="7"/>
    <x v="83"/>
    <x v="29"/>
    <x v="457"/>
    <x v="11"/>
    <n v="0"/>
    <s v="Not Sampled"/>
    <n v="1768"/>
    <m/>
    <m/>
    <m/>
    <m/>
    <m/>
    <m/>
    <m/>
    <m/>
    <s v="Negative"/>
    <s v="Not Sampled"/>
    <s v="Not Sampled"/>
  </r>
  <r>
    <x v="1"/>
    <x v="76"/>
    <x v="15"/>
    <x v="35"/>
    <x v="0"/>
    <x v="232"/>
    <x v="356"/>
    <x v="25"/>
    <n v="1"/>
    <s v="Not Sampled"/>
    <n v="1769"/>
    <m/>
    <m/>
    <m/>
    <m/>
    <m/>
    <m/>
    <m/>
    <m/>
    <s v="Positive"/>
    <s v="Not Sampled"/>
    <s v="Not Sampled"/>
  </r>
  <r>
    <x v="1"/>
    <x v="50"/>
    <x v="11"/>
    <x v="15"/>
    <x v="16"/>
    <x v="233"/>
    <x v="458"/>
    <x v="11"/>
    <n v="0"/>
    <s v="Not Sampled"/>
    <n v="1770"/>
    <m/>
    <m/>
    <m/>
    <m/>
    <m/>
    <m/>
    <m/>
    <m/>
    <s v="Negative"/>
    <s v="Not Sampled"/>
    <s v="Not Sampled"/>
  </r>
  <r>
    <x v="3"/>
    <x v="10"/>
    <x v="6"/>
    <x v="2"/>
    <x v="0"/>
    <x v="167"/>
    <x v="4"/>
    <x v="23"/>
    <n v="1"/>
    <s v="Not Sampled"/>
    <n v="1771"/>
    <m/>
    <m/>
    <m/>
    <m/>
    <m/>
    <m/>
    <m/>
    <m/>
    <s v="Positive"/>
    <s v="Not Sampled"/>
    <s v="Not Sampled"/>
  </r>
  <r>
    <x v="7"/>
    <x v="60"/>
    <x v="1"/>
    <x v="2"/>
    <x v="0"/>
    <x v="12"/>
    <x v="172"/>
    <x v="37"/>
    <n v="0"/>
    <s v="Not Sampled"/>
    <n v="1772"/>
    <m/>
    <m/>
    <m/>
    <m/>
    <m/>
    <m/>
    <m/>
    <m/>
    <s v="Negative"/>
    <s v="Not Sampled"/>
    <s v="Not Sampled"/>
  </r>
  <r>
    <x v="0"/>
    <x v="52"/>
    <x v="10"/>
    <x v="16"/>
    <x v="106"/>
    <x v="34"/>
    <x v="392"/>
    <x v="14"/>
    <n v="0"/>
    <s v="Not Sampled"/>
    <n v="1773"/>
    <m/>
    <m/>
    <m/>
    <m/>
    <m/>
    <m/>
    <m/>
    <m/>
    <s v="Negative"/>
    <s v="Not Sampled"/>
    <s v="Not Sampled"/>
  </r>
  <r>
    <x v="5"/>
    <x v="23"/>
    <x v="11"/>
    <x v="2"/>
    <x v="0"/>
    <x v="179"/>
    <x v="23"/>
    <x v="11"/>
    <n v="0"/>
    <s v="Not Sampled"/>
    <n v="1774"/>
    <m/>
    <m/>
    <m/>
    <m/>
    <m/>
    <m/>
    <m/>
    <m/>
    <s v="Negative"/>
    <s v="Not Sampled"/>
    <s v="Not Sampled"/>
  </r>
  <r>
    <x v="2"/>
    <x v="61"/>
    <x v="13"/>
    <x v="13"/>
    <x v="0"/>
    <x v="227"/>
    <x v="459"/>
    <x v="29"/>
    <n v="0"/>
    <s v="Not Sampled"/>
    <n v="1775"/>
    <m/>
    <m/>
    <m/>
    <m/>
    <m/>
    <m/>
    <m/>
    <m/>
    <s v="Negative"/>
    <s v="Not Sampled"/>
    <s v="Not Sampled"/>
  </r>
  <r>
    <x v="2"/>
    <x v="98"/>
    <x v="10"/>
    <x v="16"/>
    <x v="105"/>
    <x v="234"/>
    <x v="460"/>
    <x v="1"/>
    <n v="0"/>
    <s v="Not Sampled"/>
    <n v="1776"/>
    <m/>
    <m/>
    <m/>
    <m/>
    <m/>
    <m/>
    <m/>
    <m/>
    <s v="Negative"/>
    <s v="Not Sampled"/>
    <s v="Not Sampled"/>
  </r>
  <r>
    <x v="2"/>
    <x v="65"/>
    <x v="1"/>
    <x v="40"/>
    <x v="105"/>
    <x v="210"/>
    <x v="461"/>
    <x v="22"/>
    <n v="1"/>
    <s v="Not Sampled"/>
    <n v="1777"/>
    <m/>
    <m/>
    <m/>
    <m/>
    <m/>
    <m/>
    <m/>
    <m/>
    <s v="Positive"/>
    <s v="Not Sampled"/>
    <s v="Not Sampled"/>
  </r>
  <r>
    <x v="4"/>
    <x v="61"/>
    <x v="6"/>
    <x v="2"/>
    <x v="0"/>
    <x v="66"/>
    <x v="462"/>
    <x v="34"/>
    <n v="0"/>
    <n v="0"/>
    <n v="1778"/>
    <m/>
    <m/>
    <m/>
    <m/>
    <m/>
    <m/>
    <m/>
    <m/>
    <s v="Negative"/>
    <s v="Negative"/>
    <s v="Accurate Prediction"/>
  </r>
  <r>
    <x v="13"/>
    <x v="95"/>
    <x v="45"/>
    <x v="2"/>
    <x v="0"/>
    <x v="3"/>
    <x v="423"/>
    <x v="30"/>
    <n v="1"/>
    <s v="Not Sampled"/>
    <n v="1779"/>
    <m/>
    <m/>
    <m/>
    <m/>
    <m/>
    <m/>
    <m/>
    <m/>
    <s v="Positive"/>
    <s v="Not Sampled"/>
    <s v="Not Sampled"/>
  </r>
  <r>
    <x v="0"/>
    <x v="126"/>
    <x v="9"/>
    <x v="5"/>
    <x v="142"/>
    <x v="44"/>
    <x v="463"/>
    <x v="1"/>
    <n v="0"/>
    <s v="Not Sampled"/>
    <n v="1780"/>
    <m/>
    <m/>
    <m/>
    <m/>
    <m/>
    <m/>
    <m/>
    <m/>
    <s v="Negative"/>
    <s v="Not Sampled"/>
    <s v="Not Sampled"/>
  </r>
  <r>
    <x v="8"/>
    <x v="52"/>
    <x v="3"/>
    <x v="48"/>
    <x v="1"/>
    <x v="70"/>
    <x v="464"/>
    <x v="33"/>
    <n v="1"/>
    <n v="1"/>
    <n v="1781"/>
    <m/>
    <m/>
    <m/>
    <m/>
    <m/>
    <m/>
    <m/>
    <m/>
    <s v="Positive"/>
    <s v="Positive"/>
    <s v="Accurate Prediction"/>
  </r>
  <r>
    <x v="0"/>
    <x v="30"/>
    <x v="12"/>
    <x v="2"/>
    <x v="0"/>
    <x v="177"/>
    <x v="465"/>
    <x v="14"/>
    <n v="0"/>
    <s v="Not Sampled"/>
    <n v="1782"/>
    <m/>
    <m/>
    <m/>
    <m/>
    <m/>
    <m/>
    <m/>
    <m/>
    <s v="Negative"/>
    <s v="Not Sampled"/>
    <s v="Not Sampled"/>
  </r>
  <r>
    <x v="8"/>
    <x v="64"/>
    <x v="8"/>
    <x v="20"/>
    <x v="3"/>
    <x v="25"/>
    <x v="238"/>
    <x v="33"/>
    <n v="1"/>
    <s v="Not Sampled"/>
    <n v="1783"/>
    <m/>
    <m/>
    <m/>
    <m/>
    <m/>
    <m/>
    <m/>
    <m/>
    <s v="Positive"/>
    <s v="Not Sampled"/>
    <s v="Not Sampled"/>
  </r>
  <r>
    <x v="5"/>
    <x v="132"/>
    <x v="10"/>
    <x v="13"/>
    <x v="1"/>
    <x v="106"/>
    <x v="32"/>
    <x v="2"/>
    <n v="1"/>
    <s v="Not Sampled"/>
    <n v="1784"/>
    <m/>
    <m/>
    <m/>
    <m/>
    <m/>
    <m/>
    <m/>
    <m/>
    <s v="Positive"/>
    <s v="Not Sampled"/>
    <s v="Not Sampled"/>
  </r>
  <r>
    <x v="1"/>
    <x v="6"/>
    <x v="2"/>
    <x v="2"/>
    <x v="0"/>
    <x v="26"/>
    <x v="466"/>
    <x v="11"/>
    <n v="0"/>
    <n v="0"/>
    <n v="1785"/>
    <m/>
    <m/>
    <m/>
    <m/>
    <m/>
    <m/>
    <m/>
    <m/>
    <s v="Negative"/>
    <s v="Negative"/>
    <s v="Accurate Prediction"/>
  </r>
  <r>
    <x v="3"/>
    <x v="117"/>
    <x v="21"/>
    <x v="22"/>
    <x v="59"/>
    <x v="93"/>
    <x v="467"/>
    <x v="6"/>
    <n v="0"/>
    <n v="0"/>
    <n v="1786"/>
    <m/>
    <m/>
    <m/>
    <m/>
    <m/>
    <m/>
    <m/>
    <m/>
    <s v="Negative"/>
    <s v="Negative"/>
    <s v="Accurate Prediction"/>
  </r>
  <r>
    <x v="3"/>
    <x v="78"/>
    <x v="9"/>
    <x v="2"/>
    <x v="0"/>
    <x v="235"/>
    <x v="468"/>
    <x v="25"/>
    <n v="0"/>
    <n v="1"/>
    <n v="1787"/>
    <m/>
    <m/>
    <m/>
    <m/>
    <m/>
    <m/>
    <m/>
    <m/>
    <s v="Negative"/>
    <s v="Positive"/>
    <s v="Inaccurate Prediction"/>
  </r>
  <r>
    <x v="0"/>
    <x v="27"/>
    <x v="15"/>
    <x v="21"/>
    <x v="170"/>
    <x v="117"/>
    <x v="469"/>
    <x v="25"/>
    <n v="0"/>
    <s v="Not Sampled"/>
    <n v="1788"/>
    <m/>
    <m/>
    <m/>
    <m/>
    <m/>
    <m/>
    <m/>
    <m/>
    <s v="Negative"/>
    <s v="Not Sampled"/>
    <s v="Not Sampled"/>
  </r>
  <r>
    <x v="6"/>
    <x v="10"/>
    <x v="4"/>
    <x v="1"/>
    <x v="0"/>
    <x v="32"/>
    <x v="470"/>
    <x v="43"/>
    <n v="1"/>
    <s v="Not Sampled"/>
    <n v="1789"/>
    <m/>
    <m/>
    <m/>
    <m/>
    <m/>
    <m/>
    <m/>
    <m/>
    <s v="Positive"/>
    <s v="Not Sampled"/>
    <s v="Not Sampled"/>
  </r>
  <r>
    <x v="2"/>
    <x v="120"/>
    <x v="21"/>
    <x v="30"/>
    <x v="0"/>
    <x v="145"/>
    <x v="180"/>
    <x v="41"/>
    <n v="1"/>
    <s v="Not Sampled"/>
    <n v="1790"/>
    <m/>
    <m/>
    <m/>
    <m/>
    <m/>
    <m/>
    <m/>
    <m/>
    <s v="Positive"/>
    <s v="Not Sampled"/>
    <s v="Not Sampled"/>
  </r>
  <r>
    <x v="0"/>
    <x v="52"/>
    <x v="2"/>
    <x v="2"/>
    <x v="0"/>
    <x v="70"/>
    <x v="13"/>
    <x v="17"/>
    <n v="0"/>
    <s v="Not Sampled"/>
    <n v="1791"/>
    <m/>
    <m/>
    <m/>
    <m/>
    <m/>
    <m/>
    <m/>
    <m/>
    <s v="Negative"/>
    <s v="Not Sampled"/>
    <s v="Not Sampled"/>
  </r>
  <r>
    <x v="3"/>
    <x v="13"/>
    <x v="15"/>
    <x v="28"/>
    <x v="31"/>
    <x v="109"/>
    <x v="471"/>
    <x v="23"/>
    <n v="0"/>
    <s v="Not Sampled"/>
    <n v="1792"/>
    <m/>
    <m/>
    <m/>
    <m/>
    <m/>
    <m/>
    <m/>
    <m/>
    <s v="Negative"/>
    <s v="Not Sampled"/>
    <s v="Not Sampled"/>
  </r>
  <r>
    <x v="6"/>
    <x v="11"/>
    <x v="6"/>
    <x v="35"/>
    <x v="0"/>
    <x v="236"/>
    <x v="472"/>
    <x v="6"/>
    <n v="0"/>
    <s v="Not Sampled"/>
    <n v="1793"/>
    <m/>
    <m/>
    <m/>
    <m/>
    <m/>
    <m/>
    <m/>
    <m/>
    <s v="Negative"/>
    <s v="Not Sampled"/>
    <s v="Not Sampled"/>
  </r>
  <r>
    <x v="9"/>
    <x v="109"/>
    <x v="2"/>
    <x v="2"/>
    <x v="0"/>
    <x v="12"/>
    <x v="86"/>
    <x v="13"/>
    <n v="1"/>
    <s v="Not Sampled"/>
    <n v="1794"/>
    <m/>
    <m/>
    <m/>
    <m/>
    <m/>
    <m/>
    <m/>
    <m/>
    <s v="Positive"/>
    <s v="Not Sampled"/>
    <s v="Not Sampled"/>
  </r>
  <r>
    <x v="0"/>
    <x v="117"/>
    <x v="37"/>
    <x v="23"/>
    <x v="171"/>
    <x v="184"/>
    <x v="473"/>
    <x v="11"/>
    <n v="0"/>
    <s v="Not Sampled"/>
    <n v="1795"/>
    <m/>
    <m/>
    <m/>
    <m/>
    <m/>
    <m/>
    <m/>
    <m/>
    <s v="Negative"/>
    <s v="Not Sampled"/>
    <s v="Not Sampled"/>
  </r>
  <r>
    <x v="11"/>
    <x v="101"/>
    <x v="4"/>
    <x v="2"/>
    <x v="0"/>
    <x v="10"/>
    <x v="271"/>
    <x v="10"/>
    <n v="1"/>
    <s v="Not Sampled"/>
    <n v="1796"/>
    <m/>
    <m/>
    <m/>
    <m/>
    <m/>
    <m/>
    <m/>
    <m/>
    <s v="Positive"/>
    <s v="Not Sampled"/>
    <s v="Not Sampled"/>
  </r>
  <r>
    <x v="0"/>
    <x v="67"/>
    <x v="11"/>
    <x v="5"/>
    <x v="69"/>
    <x v="237"/>
    <x v="326"/>
    <x v="1"/>
    <n v="1"/>
    <n v="0"/>
    <n v="1797"/>
    <m/>
    <m/>
    <m/>
    <m/>
    <m/>
    <m/>
    <m/>
    <m/>
    <s v="Positive"/>
    <s v="Negative"/>
    <s v="Inaccurate Prediction"/>
  </r>
  <r>
    <x v="5"/>
    <x v="95"/>
    <x v="11"/>
    <x v="27"/>
    <x v="172"/>
    <x v="84"/>
    <x v="474"/>
    <x v="3"/>
    <n v="0"/>
    <s v="Not Sampled"/>
    <n v="1798"/>
    <m/>
    <m/>
    <m/>
    <m/>
    <m/>
    <m/>
    <m/>
    <m/>
    <s v="Negative"/>
    <s v="Not Sampled"/>
    <s v="Not Sampled"/>
  </r>
  <r>
    <x v="7"/>
    <x v="51"/>
    <x v="4"/>
    <x v="21"/>
    <x v="173"/>
    <x v="107"/>
    <x v="464"/>
    <x v="18"/>
    <n v="0"/>
    <s v="Not Sampled"/>
    <n v="1799"/>
    <m/>
    <m/>
    <m/>
    <m/>
    <m/>
    <m/>
    <m/>
    <m/>
    <s v="Negative"/>
    <s v="Not Sampled"/>
    <s v="Not Sampled"/>
  </r>
  <r>
    <x v="9"/>
    <x v="52"/>
    <x v="0"/>
    <x v="35"/>
    <x v="0"/>
    <x v="238"/>
    <x v="475"/>
    <x v="19"/>
    <n v="1"/>
    <s v="Not Sampled"/>
    <n v="1800"/>
    <m/>
    <m/>
    <m/>
    <m/>
    <m/>
    <m/>
    <m/>
    <m/>
    <s v="Positive"/>
    <s v="Not Sampled"/>
    <s v="Not Sampled"/>
  </r>
  <r>
    <x v="1"/>
    <x v="63"/>
    <x v="22"/>
    <x v="28"/>
    <x v="174"/>
    <x v="199"/>
    <x v="476"/>
    <x v="4"/>
    <n v="0"/>
    <s v="Not Sampled"/>
    <n v="1801"/>
    <m/>
    <m/>
    <m/>
    <m/>
    <m/>
    <m/>
    <m/>
    <m/>
    <s v="Negative"/>
    <s v="Not Sampled"/>
    <s v="Not Sampled"/>
  </r>
  <r>
    <x v="5"/>
    <x v="29"/>
    <x v="10"/>
    <x v="2"/>
    <x v="0"/>
    <x v="81"/>
    <x v="394"/>
    <x v="32"/>
    <n v="0"/>
    <s v="Not Sampled"/>
    <n v="1802"/>
    <m/>
    <m/>
    <m/>
    <m/>
    <m/>
    <m/>
    <m/>
    <m/>
    <s v="Negative"/>
    <s v="Not Sampled"/>
    <s v="Not Sampled"/>
  </r>
  <r>
    <x v="8"/>
    <x v="44"/>
    <x v="13"/>
    <x v="12"/>
    <x v="175"/>
    <x v="75"/>
    <x v="477"/>
    <x v="34"/>
    <n v="1"/>
    <n v="1"/>
    <n v="1803"/>
    <m/>
    <m/>
    <m/>
    <m/>
    <m/>
    <m/>
    <m/>
    <m/>
    <s v="Positive"/>
    <s v="Positive"/>
    <s v="Accurate Prediction"/>
  </r>
  <r>
    <x v="5"/>
    <x v="5"/>
    <x v="4"/>
    <x v="15"/>
    <x v="157"/>
    <x v="97"/>
    <x v="478"/>
    <x v="2"/>
    <n v="1"/>
    <s v="Not Sampled"/>
    <n v="1804"/>
    <m/>
    <m/>
    <m/>
    <m/>
    <m/>
    <m/>
    <m/>
    <m/>
    <s v="Positive"/>
    <s v="Not Sampled"/>
    <s v="Not Sampled"/>
  </r>
  <r>
    <x v="9"/>
    <x v="19"/>
    <x v="5"/>
    <x v="10"/>
    <x v="0"/>
    <x v="179"/>
    <x v="479"/>
    <x v="24"/>
    <n v="0"/>
    <n v="0"/>
    <n v="1805"/>
    <m/>
    <m/>
    <m/>
    <m/>
    <m/>
    <m/>
    <m/>
    <m/>
    <s v="Negative"/>
    <s v="Negative"/>
    <s v="Accurate Prediction"/>
  </r>
  <r>
    <x v="2"/>
    <x v="81"/>
    <x v="12"/>
    <x v="40"/>
    <x v="176"/>
    <x v="130"/>
    <x v="351"/>
    <x v="3"/>
    <n v="0"/>
    <s v="Not Sampled"/>
    <n v="1806"/>
    <m/>
    <m/>
    <m/>
    <m/>
    <m/>
    <m/>
    <m/>
    <m/>
    <s v="Negative"/>
    <s v="Not Sampled"/>
    <s v="Not Sampled"/>
  </r>
  <r>
    <x v="7"/>
    <x v="75"/>
    <x v="15"/>
    <x v="21"/>
    <x v="0"/>
    <x v="230"/>
    <x v="293"/>
    <x v="41"/>
    <n v="1"/>
    <n v="0"/>
    <n v="1807"/>
    <m/>
    <m/>
    <m/>
    <m/>
    <m/>
    <m/>
    <m/>
    <m/>
    <s v="Positive"/>
    <s v="Negative"/>
    <s v="Inaccurate Prediction"/>
  </r>
  <r>
    <x v="3"/>
    <x v="8"/>
    <x v="24"/>
    <x v="13"/>
    <x v="0"/>
    <x v="17"/>
    <x v="480"/>
    <x v="34"/>
    <n v="0"/>
    <s v="Not Sampled"/>
    <n v="1808"/>
    <m/>
    <m/>
    <m/>
    <m/>
    <m/>
    <m/>
    <m/>
    <m/>
    <s v="Negative"/>
    <s v="Not Sampled"/>
    <s v="Not Sampled"/>
  </r>
  <r>
    <x v="2"/>
    <x v="48"/>
    <x v="19"/>
    <x v="35"/>
    <x v="170"/>
    <x v="176"/>
    <x v="188"/>
    <x v="4"/>
    <n v="0"/>
    <s v="Not Sampled"/>
    <n v="1809"/>
    <m/>
    <m/>
    <m/>
    <m/>
    <m/>
    <m/>
    <m/>
    <m/>
    <s v="Negative"/>
    <s v="Not Sampled"/>
    <s v="Not Sampled"/>
  </r>
  <r>
    <x v="2"/>
    <x v="133"/>
    <x v="3"/>
    <x v="30"/>
    <x v="177"/>
    <x v="17"/>
    <x v="284"/>
    <x v="8"/>
    <n v="1"/>
    <s v="Not Sampled"/>
    <n v="1810"/>
    <m/>
    <m/>
    <m/>
    <m/>
    <m/>
    <m/>
    <m/>
    <m/>
    <s v="Positive"/>
    <s v="Not Sampled"/>
    <s v="Not Sampled"/>
  </r>
  <r>
    <x v="7"/>
    <x v="17"/>
    <x v="24"/>
    <x v="8"/>
    <x v="16"/>
    <x v="44"/>
    <x v="240"/>
    <x v="8"/>
    <n v="0"/>
    <n v="0"/>
    <n v="1811"/>
    <m/>
    <m/>
    <m/>
    <m/>
    <m/>
    <m/>
    <m/>
    <m/>
    <s v="Negative"/>
    <s v="Negative"/>
    <s v="Accurate Prediction"/>
  </r>
  <r>
    <x v="2"/>
    <x v="31"/>
    <x v="41"/>
    <x v="2"/>
    <x v="0"/>
    <x v="10"/>
    <x v="481"/>
    <x v="10"/>
    <n v="0"/>
    <s v="Not Sampled"/>
    <n v="1812"/>
    <m/>
    <m/>
    <m/>
    <m/>
    <m/>
    <m/>
    <m/>
    <m/>
    <s v="Negative"/>
    <s v="Not Sampled"/>
    <s v="Not Sampled"/>
  </r>
  <r>
    <x v="3"/>
    <x v="56"/>
    <x v="4"/>
    <x v="32"/>
    <x v="0"/>
    <x v="121"/>
    <x v="183"/>
    <x v="19"/>
    <n v="0"/>
    <n v="0"/>
    <n v="1813"/>
    <m/>
    <m/>
    <m/>
    <m/>
    <m/>
    <m/>
    <m/>
    <m/>
    <s v="Negative"/>
    <s v="Negative"/>
    <s v="Accurate Prediction"/>
  </r>
  <r>
    <x v="2"/>
    <x v="113"/>
    <x v="4"/>
    <x v="30"/>
    <x v="105"/>
    <x v="164"/>
    <x v="116"/>
    <x v="14"/>
    <n v="0"/>
    <s v="Not Sampled"/>
    <n v="1814"/>
    <m/>
    <m/>
    <m/>
    <m/>
    <m/>
    <m/>
    <m/>
    <m/>
    <s v="Negative"/>
    <s v="Not Sampled"/>
    <s v="Not Sampled"/>
  </r>
  <r>
    <x v="1"/>
    <x v="47"/>
    <x v="16"/>
    <x v="16"/>
    <x v="0"/>
    <x v="68"/>
    <x v="262"/>
    <x v="11"/>
    <n v="0"/>
    <s v="Not Sampled"/>
    <n v="1815"/>
    <m/>
    <m/>
    <m/>
    <m/>
    <m/>
    <m/>
    <m/>
    <m/>
    <s v="Negative"/>
    <s v="Not Sampled"/>
    <s v="Not Sampled"/>
  </r>
  <r>
    <x v="0"/>
    <x v="122"/>
    <x v="21"/>
    <x v="2"/>
    <x v="0"/>
    <x v="123"/>
    <x v="259"/>
    <x v="11"/>
    <n v="0"/>
    <s v="Not Sampled"/>
    <n v="1816"/>
    <m/>
    <m/>
    <m/>
    <m/>
    <m/>
    <m/>
    <m/>
    <m/>
    <s v="Negative"/>
    <s v="Not Sampled"/>
    <s v="Not Sampled"/>
  </r>
  <r>
    <x v="0"/>
    <x v="66"/>
    <x v="33"/>
    <x v="2"/>
    <x v="0"/>
    <x v="15"/>
    <x v="425"/>
    <x v="11"/>
    <n v="0"/>
    <s v="Not Sampled"/>
    <n v="1817"/>
    <m/>
    <m/>
    <m/>
    <m/>
    <m/>
    <m/>
    <m/>
    <m/>
    <s v="Negative"/>
    <s v="Not Sampled"/>
    <s v="Not Sampled"/>
  </r>
  <r>
    <x v="5"/>
    <x v="23"/>
    <x v="4"/>
    <x v="17"/>
    <x v="11"/>
    <x v="109"/>
    <x v="91"/>
    <x v="34"/>
    <n v="1"/>
    <s v="Not Sampled"/>
    <n v="1818"/>
    <m/>
    <m/>
    <m/>
    <m/>
    <m/>
    <m/>
    <m/>
    <m/>
    <s v="Positive"/>
    <s v="Not Sampled"/>
    <s v="Not Sampled"/>
  </r>
  <r>
    <x v="4"/>
    <x v="24"/>
    <x v="24"/>
    <x v="2"/>
    <x v="0"/>
    <x v="109"/>
    <x v="247"/>
    <x v="11"/>
    <n v="1"/>
    <s v="Not Sampled"/>
    <n v="1819"/>
    <m/>
    <m/>
    <m/>
    <m/>
    <m/>
    <m/>
    <m/>
    <m/>
    <s v="Positive"/>
    <s v="Not Sampled"/>
    <s v="Not Sampled"/>
  </r>
  <r>
    <x v="0"/>
    <x v="129"/>
    <x v="21"/>
    <x v="18"/>
    <x v="77"/>
    <x v="235"/>
    <x v="482"/>
    <x v="3"/>
    <n v="1"/>
    <n v="1"/>
    <n v="1820"/>
    <m/>
    <m/>
    <m/>
    <m/>
    <m/>
    <m/>
    <m/>
    <m/>
    <s v="Positive"/>
    <s v="Positive"/>
    <s v="Accurate Prediction"/>
  </r>
  <r>
    <x v="0"/>
    <x v="33"/>
    <x v="20"/>
    <x v="21"/>
    <x v="134"/>
    <x v="55"/>
    <x v="483"/>
    <x v="11"/>
    <n v="0"/>
    <n v="0"/>
    <n v="1821"/>
    <m/>
    <m/>
    <m/>
    <m/>
    <m/>
    <m/>
    <m/>
    <m/>
    <s v="Negative"/>
    <s v="Negative"/>
    <s v="Accurate Prediction"/>
  </r>
  <r>
    <x v="0"/>
    <x v="38"/>
    <x v="25"/>
    <x v="2"/>
    <x v="0"/>
    <x v="239"/>
    <x v="484"/>
    <x v="49"/>
    <n v="0"/>
    <s v="Not Sampled"/>
    <n v="1822"/>
    <m/>
    <m/>
    <m/>
    <m/>
    <m/>
    <m/>
    <m/>
    <m/>
    <s v="Negative"/>
    <s v="Not Sampled"/>
    <s v="Not Sampled"/>
  </r>
  <r>
    <x v="3"/>
    <x v="50"/>
    <x v="12"/>
    <x v="5"/>
    <x v="0"/>
    <x v="110"/>
    <x v="223"/>
    <x v="6"/>
    <n v="0"/>
    <s v="Not Sampled"/>
    <n v="1823"/>
    <m/>
    <m/>
    <m/>
    <m/>
    <m/>
    <m/>
    <m/>
    <m/>
    <s v="Negative"/>
    <s v="Not Sampled"/>
    <s v="Not Sampled"/>
  </r>
  <r>
    <x v="1"/>
    <x v="51"/>
    <x v="24"/>
    <x v="21"/>
    <x v="77"/>
    <x v="41"/>
    <x v="485"/>
    <x v="4"/>
    <n v="0"/>
    <n v="0"/>
    <n v="1824"/>
    <m/>
    <m/>
    <m/>
    <m/>
    <m/>
    <m/>
    <m/>
    <m/>
    <s v="Negative"/>
    <s v="Negative"/>
    <s v="Accurate Prediction"/>
  </r>
  <r>
    <x v="4"/>
    <x v="134"/>
    <x v="5"/>
    <x v="17"/>
    <x v="0"/>
    <x v="61"/>
    <x v="364"/>
    <x v="8"/>
    <n v="0"/>
    <n v="0"/>
    <n v="1825"/>
    <m/>
    <m/>
    <m/>
    <m/>
    <m/>
    <m/>
    <m/>
    <m/>
    <s v="Negative"/>
    <s v="Negative"/>
    <s v="Accurate Prediction"/>
  </r>
  <r>
    <x v="0"/>
    <x v="6"/>
    <x v="12"/>
    <x v="6"/>
    <x v="69"/>
    <x v="69"/>
    <x v="486"/>
    <x v="4"/>
    <n v="0"/>
    <s v="Not Sampled"/>
    <n v="1826"/>
    <m/>
    <m/>
    <m/>
    <m/>
    <m/>
    <m/>
    <m/>
    <m/>
    <s v="Negative"/>
    <s v="Not Sampled"/>
    <s v="Not Sampled"/>
  </r>
  <r>
    <x v="2"/>
    <x v="29"/>
    <x v="10"/>
    <x v="2"/>
    <x v="0"/>
    <x v="100"/>
    <x v="209"/>
    <x v="8"/>
    <n v="1"/>
    <s v="Not Sampled"/>
    <n v="1827"/>
    <m/>
    <m/>
    <m/>
    <m/>
    <m/>
    <m/>
    <m/>
    <m/>
    <s v="Positive"/>
    <s v="Not Sampled"/>
    <s v="Not Sampled"/>
  </r>
  <r>
    <x v="12"/>
    <x v="24"/>
    <x v="6"/>
    <x v="18"/>
    <x v="90"/>
    <x v="3"/>
    <x v="487"/>
    <x v="27"/>
    <n v="1"/>
    <s v="Not Sampled"/>
    <n v="1828"/>
    <m/>
    <m/>
    <m/>
    <m/>
    <m/>
    <m/>
    <m/>
    <m/>
    <s v="Positive"/>
    <s v="Not Sampled"/>
    <s v="Not Sampled"/>
  </r>
  <r>
    <x v="5"/>
    <x v="29"/>
    <x v="27"/>
    <x v="28"/>
    <x v="48"/>
    <x v="98"/>
    <x v="415"/>
    <x v="25"/>
    <n v="0"/>
    <s v="Not Sampled"/>
    <n v="1829"/>
    <m/>
    <m/>
    <m/>
    <m/>
    <m/>
    <m/>
    <m/>
    <m/>
    <s v="Negative"/>
    <s v="Not Sampled"/>
    <s v="Not Sampled"/>
  </r>
  <r>
    <x v="2"/>
    <x v="49"/>
    <x v="22"/>
    <x v="10"/>
    <x v="93"/>
    <x v="218"/>
    <x v="332"/>
    <x v="11"/>
    <n v="0"/>
    <n v="0"/>
    <n v="1830"/>
    <m/>
    <m/>
    <m/>
    <m/>
    <m/>
    <m/>
    <m/>
    <m/>
    <s v="Negative"/>
    <s v="Negative"/>
    <s v="Accurate Prediction"/>
  </r>
  <r>
    <x v="11"/>
    <x v="98"/>
    <x v="41"/>
    <x v="2"/>
    <x v="0"/>
    <x v="112"/>
    <x v="488"/>
    <x v="10"/>
    <n v="1"/>
    <s v="Not Sampled"/>
    <n v="1831"/>
    <m/>
    <m/>
    <m/>
    <m/>
    <m/>
    <m/>
    <m/>
    <m/>
    <s v="Positive"/>
    <s v="Not Sampled"/>
    <s v="Not Sampled"/>
  </r>
  <r>
    <x v="13"/>
    <x v="85"/>
    <x v="21"/>
    <x v="18"/>
    <x v="32"/>
    <x v="102"/>
    <x v="489"/>
    <x v="16"/>
    <n v="0"/>
    <s v="Not Sampled"/>
    <n v="1832"/>
    <m/>
    <m/>
    <m/>
    <m/>
    <m/>
    <m/>
    <m/>
    <m/>
    <s v="Negative"/>
    <s v="Not Sampled"/>
    <s v="Not Sampled"/>
  </r>
  <r>
    <x v="10"/>
    <x v="45"/>
    <x v="16"/>
    <x v="12"/>
    <x v="16"/>
    <x v="135"/>
    <x v="490"/>
    <x v="22"/>
    <n v="0"/>
    <s v="Not Sampled"/>
    <n v="1833"/>
    <m/>
    <m/>
    <m/>
    <m/>
    <m/>
    <m/>
    <m/>
    <m/>
    <s v="Negative"/>
    <s v="Not Sampled"/>
    <s v="Not Sampled"/>
  </r>
  <r>
    <x v="2"/>
    <x v="83"/>
    <x v="41"/>
    <x v="4"/>
    <x v="0"/>
    <x v="240"/>
    <x v="491"/>
    <x v="23"/>
    <n v="1"/>
    <s v="Not Sampled"/>
    <n v="1834"/>
    <m/>
    <m/>
    <m/>
    <m/>
    <m/>
    <m/>
    <m/>
    <m/>
    <s v="Positive"/>
    <s v="Not Sampled"/>
    <s v="Not Sampled"/>
  </r>
  <r>
    <x v="2"/>
    <x v="14"/>
    <x v="10"/>
    <x v="4"/>
    <x v="92"/>
    <x v="241"/>
    <x v="492"/>
    <x v="32"/>
    <n v="0"/>
    <s v="Not Sampled"/>
    <n v="1835"/>
    <m/>
    <m/>
    <m/>
    <m/>
    <m/>
    <m/>
    <m/>
    <m/>
    <s v="Negative"/>
    <s v="Not Sampled"/>
    <s v="Not Sampled"/>
  </r>
  <r>
    <x v="5"/>
    <x v="44"/>
    <x v="9"/>
    <x v="29"/>
    <x v="170"/>
    <x v="217"/>
    <x v="493"/>
    <x v="31"/>
    <n v="1"/>
    <s v="Not Sampled"/>
    <n v="1836"/>
    <m/>
    <m/>
    <m/>
    <m/>
    <m/>
    <m/>
    <m/>
    <m/>
    <s v="Positive"/>
    <s v="Not Sampled"/>
    <s v="Not Sampled"/>
  </r>
  <r>
    <x v="6"/>
    <x v="76"/>
    <x v="0"/>
    <x v="2"/>
    <x v="0"/>
    <x v="122"/>
    <x v="81"/>
    <x v="48"/>
    <n v="1"/>
    <s v="Not Sampled"/>
    <n v="1837"/>
    <m/>
    <m/>
    <m/>
    <m/>
    <m/>
    <m/>
    <m/>
    <m/>
    <s v="Positive"/>
    <s v="Not Sampled"/>
    <s v="Not Sampled"/>
  </r>
  <r>
    <x v="3"/>
    <x v="60"/>
    <x v="9"/>
    <x v="2"/>
    <x v="0"/>
    <x v="84"/>
    <x v="494"/>
    <x v="11"/>
    <n v="1"/>
    <s v="Not Sampled"/>
    <n v="1838"/>
    <m/>
    <m/>
    <m/>
    <m/>
    <m/>
    <m/>
    <m/>
    <m/>
    <s v="Positive"/>
    <s v="Not Sampled"/>
    <s v="Not Sampled"/>
  </r>
  <r>
    <x v="2"/>
    <x v="126"/>
    <x v="4"/>
    <x v="15"/>
    <x v="97"/>
    <x v="20"/>
    <x v="86"/>
    <x v="6"/>
    <n v="0"/>
    <n v="0"/>
    <n v="1839"/>
    <m/>
    <m/>
    <m/>
    <m/>
    <m/>
    <m/>
    <m/>
    <m/>
    <s v="Negative"/>
    <s v="Negative"/>
    <s v="Accurate Prediction"/>
  </r>
  <r>
    <x v="5"/>
    <x v="81"/>
    <x v="0"/>
    <x v="20"/>
    <x v="0"/>
    <x v="14"/>
    <x v="110"/>
    <x v="14"/>
    <n v="0"/>
    <s v="Not Sampled"/>
    <n v="1840"/>
    <m/>
    <m/>
    <m/>
    <m/>
    <m/>
    <m/>
    <m/>
    <m/>
    <s v="Negative"/>
    <s v="Not Sampled"/>
    <s v="Not Sampled"/>
  </r>
  <r>
    <x v="1"/>
    <x v="94"/>
    <x v="21"/>
    <x v="38"/>
    <x v="178"/>
    <x v="165"/>
    <x v="495"/>
    <x v="25"/>
    <n v="1"/>
    <s v="Not Sampled"/>
    <n v="1841"/>
    <m/>
    <m/>
    <m/>
    <m/>
    <m/>
    <m/>
    <m/>
    <m/>
    <s v="Positive"/>
    <s v="Not Sampled"/>
    <s v="Not Sampled"/>
  </r>
  <r>
    <x v="4"/>
    <x v="16"/>
    <x v="4"/>
    <x v="5"/>
    <x v="0"/>
    <x v="68"/>
    <x v="85"/>
    <x v="10"/>
    <n v="1"/>
    <n v="1"/>
    <n v="1842"/>
    <m/>
    <m/>
    <m/>
    <m/>
    <m/>
    <m/>
    <m/>
    <m/>
    <s v="Positive"/>
    <s v="Positive"/>
    <s v="Accurate Prediction"/>
  </r>
  <r>
    <x v="2"/>
    <x v="80"/>
    <x v="21"/>
    <x v="15"/>
    <x v="27"/>
    <x v="23"/>
    <x v="496"/>
    <x v="26"/>
    <n v="1"/>
    <s v="Not Sampled"/>
    <n v="1843"/>
    <m/>
    <m/>
    <m/>
    <m/>
    <m/>
    <m/>
    <m/>
    <m/>
    <s v="Positive"/>
    <s v="Not Sampled"/>
    <s v="Not Sampled"/>
  </r>
  <r>
    <x v="8"/>
    <x v="59"/>
    <x v="8"/>
    <x v="4"/>
    <x v="0"/>
    <x v="61"/>
    <x v="73"/>
    <x v="16"/>
    <n v="0"/>
    <s v="Not Sampled"/>
    <n v="1844"/>
    <m/>
    <m/>
    <m/>
    <m/>
    <m/>
    <m/>
    <m/>
    <m/>
    <s v="Negative"/>
    <s v="Not Sampled"/>
    <s v="Not Sampled"/>
  </r>
  <r>
    <x v="1"/>
    <x v="62"/>
    <x v="5"/>
    <x v="2"/>
    <x v="0"/>
    <x v="153"/>
    <x v="61"/>
    <x v="41"/>
    <n v="1"/>
    <s v="Not Sampled"/>
    <n v="1845"/>
    <m/>
    <m/>
    <m/>
    <m/>
    <m/>
    <m/>
    <m/>
    <m/>
    <s v="Positive"/>
    <s v="Not Sampled"/>
    <s v="Not Sampled"/>
  </r>
  <r>
    <x v="2"/>
    <x v="33"/>
    <x v="15"/>
    <x v="2"/>
    <x v="0"/>
    <x v="129"/>
    <x v="269"/>
    <x v="25"/>
    <n v="0"/>
    <s v="Not Sampled"/>
    <n v="1846"/>
    <m/>
    <m/>
    <m/>
    <m/>
    <m/>
    <m/>
    <m/>
    <m/>
    <s v="Negative"/>
    <s v="Not Sampled"/>
    <s v="Not Sampled"/>
  </r>
  <r>
    <x v="6"/>
    <x v="135"/>
    <x v="17"/>
    <x v="2"/>
    <x v="0"/>
    <x v="130"/>
    <x v="115"/>
    <x v="12"/>
    <n v="1"/>
    <s v="Not Sampled"/>
    <n v="1847"/>
    <m/>
    <m/>
    <m/>
    <m/>
    <m/>
    <m/>
    <m/>
    <m/>
    <s v="Positive"/>
    <s v="Not Sampled"/>
    <s v="Not Sampled"/>
  </r>
  <r>
    <x v="0"/>
    <x v="40"/>
    <x v="22"/>
    <x v="16"/>
    <x v="179"/>
    <x v="109"/>
    <x v="497"/>
    <x v="11"/>
    <n v="0"/>
    <s v="Not Sampled"/>
    <n v="1848"/>
    <m/>
    <m/>
    <m/>
    <m/>
    <m/>
    <m/>
    <m/>
    <m/>
    <s v="Negative"/>
    <s v="Not Sampled"/>
    <s v="Not Sampled"/>
  </r>
  <r>
    <x v="11"/>
    <x v="79"/>
    <x v="10"/>
    <x v="1"/>
    <x v="0"/>
    <x v="143"/>
    <x v="118"/>
    <x v="33"/>
    <n v="1"/>
    <s v="Not Sampled"/>
    <n v="1849"/>
    <m/>
    <m/>
    <m/>
    <m/>
    <m/>
    <m/>
    <m/>
    <m/>
    <s v="Positive"/>
    <s v="Not Sampled"/>
    <s v="Not Sampled"/>
  </r>
  <r>
    <x v="11"/>
    <x v="9"/>
    <x v="0"/>
    <x v="2"/>
    <x v="0"/>
    <x v="79"/>
    <x v="173"/>
    <x v="9"/>
    <n v="0"/>
    <s v="Not Sampled"/>
    <n v="1850"/>
    <m/>
    <m/>
    <m/>
    <m/>
    <m/>
    <m/>
    <m/>
    <m/>
    <s v="Negative"/>
    <s v="Not Sampled"/>
    <s v="Not Sampled"/>
  </r>
  <r>
    <x v="9"/>
    <x v="39"/>
    <x v="15"/>
    <x v="46"/>
    <x v="105"/>
    <x v="35"/>
    <x v="498"/>
    <x v="44"/>
    <n v="0"/>
    <s v="Not Sampled"/>
    <n v="1851"/>
    <m/>
    <m/>
    <m/>
    <m/>
    <m/>
    <m/>
    <m/>
    <m/>
    <s v="Negative"/>
    <s v="Not Sampled"/>
    <s v="Not Sampled"/>
  </r>
  <r>
    <x v="0"/>
    <x v="27"/>
    <x v="9"/>
    <x v="21"/>
    <x v="0"/>
    <x v="8"/>
    <x v="250"/>
    <x v="23"/>
    <n v="0"/>
    <n v="0"/>
    <n v="1852"/>
    <m/>
    <m/>
    <m/>
    <m/>
    <m/>
    <m/>
    <m/>
    <m/>
    <s v="Negative"/>
    <s v="Negative"/>
    <s v="Accurate Prediction"/>
  </r>
  <r>
    <x v="7"/>
    <x v="126"/>
    <x v="5"/>
    <x v="17"/>
    <x v="180"/>
    <x v="173"/>
    <x v="404"/>
    <x v="13"/>
    <n v="0"/>
    <s v="Not Sampled"/>
    <n v="1853"/>
    <m/>
    <m/>
    <m/>
    <m/>
    <m/>
    <m/>
    <m/>
    <m/>
    <s v="Negative"/>
    <s v="Not Sampled"/>
    <s v="Not Sampled"/>
  </r>
  <r>
    <x v="2"/>
    <x v="51"/>
    <x v="12"/>
    <x v="2"/>
    <x v="0"/>
    <x v="15"/>
    <x v="284"/>
    <x v="0"/>
    <n v="1"/>
    <s v="Not Sampled"/>
    <n v="1854"/>
    <m/>
    <m/>
    <m/>
    <m/>
    <m/>
    <m/>
    <m/>
    <m/>
    <s v="Positive"/>
    <s v="Not Sampled"/>
    <s v="Not Sampled"/>
  </r>
  <r>
    <x v="9"/>
    <x v="27"/>
    <x v="4"/>
    <x v="1"/>
    <x v="0"/>
    <x v="32"/>
    <x v="33"/>
    <x v="10"/>
    <n v="0"/>
    <s v="Not Sampled"/>
    <n v="1855"/>
    <m/>
    <m/>
    <m/>
    <m/>
    <m/>
    <m/>
    <m/>
    <m/>
    <s v="Negative"/>
    <s v="Not Sampled"/>
    <s v="Not Sampled"/>
  </r>
  <r>
    <x v="3"/>
    <x v="28"/>
    <x v="12"/>
    <x v="12"/>
    <x v="17"/>
    <x v="33"/>
    <x v="34"/>
    <x v="9"/>
    <n v="0"/>
    <s v="Not Sampled"/>
    <n v="1856"/>
    <m/>
    <m/>
    <m/>
    <m/>
    <m/>
    <m/>
    <m/>
    <m/>
    <s v="Negative"/>
    <s v="Not Sampled"/>
    <s v="Not Sampled"/>
  </r>
  <r>
    <x v="12"/>
    <x v="0"/>
    <x v="15"/>
    <x v="2"/>
    <x v="0"/>
    <x v="34"/>
    <x v="35"/>
    <x v="20"/>
    <n v="0"/>
    <s v="Not Sampled"/>
    <n v="1857"/>
    <m/>
    <m/>
    <m/>
    <m/>
    <m/>
    <m/>
    <m/>
    <m/>
    <s v="Negative"/>
    <s v="Not Sampled"/>
    <s v="Not Sampled"/>
  </r>
  <r>
    <x v="11"/>
    <x v="29"/>
    <x v="15"/>
    <x v="18"/>
    <x v="0"/>
    <x v="35"/>
    <x v="36"/>
    <x v="22"/>
    <n v="1"/>
    <s v="Not Sampled"/>
    <n v="1858"/>
    <m/>
    <m/>
    <m/>
    <m/>
    <m/>
    <m/>
    <m/>
    <m/>
    <s v="Positive"/>
    <s v="Not Sampled"/>
    <s v="Not Sampled"/>
  </r>
  <r>
    <x v="0"/>
    <x v="30"/>
    <x v="3"/>
    <x v="3"/>
    <x v="0"/>
    <x v="1"/>
    <x v="37"/>
    <x v="23"/>
    <n v="1"/>
    <s v="Not Sampled"/>
    <n v="1859"/>
    <m/>
    <m/>
    <m/>
    <m/>
    <m/>
    <m/>
    <m/>
    <m/>
    <s v="Positive"/>
    <s v="Not Sampled"/>
    <s v="Not Sampled"/>
  </r>
  <r>
    <x v="3"/>
    <x v="31"/>
    <x v="5"/>
    <x v="19"/>
    <x v="18"/>
    <x v="36"/>
    <x v="38"/>
    <x v="24"/>
    <n v="1"/>
    <s v="Not Sampled"/>
    <n v="1860"/>
    <m/>
    <m/>
    <m/>
    <m/>
    <m/>
    <m/>
    <m/>
    <m/>
    <s v="Positive"/>
    <s v="Not Sampled"/>
    <s v="Not Sampled"/>
  </r>
  <r>
    <x v="5"/>
    <x v="22"/>
    <x v="11"/>
    <x v="14"/>
    <x v="19"/>
    <x v="37"/>
    <x v="39"/>
    <x v="25"/>
    <n v="0"/>
    <s v="Not Sampled"/>
    <n v="1861"/>
    <m/>
    <m/>
    <m/>
    <m/>
    <m/>
    <m/>
    <m/>
    <m/>
    <s v="Negative"/>
    <s v="Not Sampled"/>
    <s v="Not Sampled"/>
  </r>
  <r>
    <x v="8"/>
    <x v="32"/>
    <x v="16"/>
    <x v="2"/>
    <x v="0"/>
    <x v="38"/>
    <x v="40"/>
    <x v="26"/>
    <n v="0"/>
    <n v="1"/>
    <n v="1862"/>
    <m/>
    <m/>
    <m/>
    <m/>
    <m/>
    <m/>
    <m/>
    <m/>
    <s v="Negative"/>
    <s v="Positive"/>
    <s v="Inaccurate Prediction"/>
  </r>
  <r>
    <x v="8"/>
    <x v="33"/>
    <x v="17"/>
    <x v="10"/>
    <x v="0"/>
    <x v="39"/>
    <x v="41"/>
    <x v="27"/>
    <n v="0"/>
    <s v="Not Sampled"/>
    <n v="1863"/>
    <m/>
    <m/>
    <m/>
    <m/>
    <m/>
    <m/>
    <m/>
    <m/>
    <s v="Negative"/>
    <s v="Not Sampled"/>
    <s v="Not Sampled"/>
  </r>
  <r>
    <x v="11"/>
    <x v="34"/>
    <x v="18"/>
    <x v="20"/>
    <x v="20"/>
    <x v="40"/>
    <x v="42"/>
    <x v="28"/>
    <n v="1"/>
    <s v="Not Sampled"/>
    <n v="1864"/>
    <m/>
    <m/>
    <m/>
    <m/>
    <m/>
    <m/>
    <m/>
    <m/>
    <s v="Positive"/>
    <s v="Not Sampled"/>
    <s v="Not Sampled"/>
  </r>
  <r>
    <x v="8"/>
    <x v="35"/>
    <x v="11"/>
    <x v="2"/>
    <x v="0"/>
    <x v="41"/>
    <x v="6"/>
    <x v="18"/>
    <n v="0"/>
    <n v="1"/>
    <n v="1865"/>
    <m/>
    <m/>
    <m/>
    <m/>
    <m/>
    <m/>
    <m/>
    <m/>
    <s v="Negative"/>
    <s v="Positive"/>
    <s v="Inaccurate Prediction"/>
  </r>
  <r>
    <x v="1"/>
    <x v="22"/>
    <x v="19"/>
    <x v="15"/>
    <x v="0"/>
    <x v="42"/>
    <x v="43"/>
    <x v="14"/>
    <n v="1"/>
    <s v="Not Sampled"/>
    <n v="1866"/>
    <m/>
    <m/>
    <m/>
    <m/>
    <m/>
    <m/>
    <m/>
    <m/>
    <s v="Positive"/>
    <s v="Not Sampled"/>
    <s v="Not Sampled"/>
  </r>
  <r>
    <x v="2"/>
    <x v="36"/>
    <x v="20"/>
    <x v="2"/>
    <x v="0"/>
    <x v="27"/>
    <x v="44"/>
    <x v="29"/>
    <n v="0"/>
    <s v="Not Sampled"/>
    <n v="1867"/>
    <m/>
    <m/>
    <m/>
    <m/>
    <m/>
    <m/>
    <m/>
    <m/>
    <s v="Negative"/>
    <s v="Not Sampled"/>
    <s v="Not Sampled"/>
  </r>
  <r>
    <x v="0"/>
    <x v="37"/>
    <x v="9"/>
    <x v="21"/>
    <x v="0"/>
    <x v="43"/>
    <x v="45"/>
    <x v="11"/>
    <n v="0"/>
    <s v="Not Sampled"/>
    <n v="1868"/>
    <m/>
    <m/>
    <m/>
    <m/>
    <m/>
    <m/>
    <m/>
    <m/>
    <s v="Negative"/>
    <s v="Not Sampled"/>
    <s v="Not Sampled"/>
  </r>
  <r>
    <x v="8"/>
    <x v="28"/>
    <x v="19"/>
    <x v="5"/>
    <x v="0"/>
    <x v="44"/>
    <x v="46"/>
    <x v="2"/>
    <n v="1"/>
    <s v="Not Sampled"/>
    <n v="1869"/>
    <m/>
    <m/>
    <m/>
    <m/>
    <m/>
    <m/>
    <m/>
    <m/>
    <s v="Positive"/>
    <s v="Not Sampled"/>
    <s v="Not Sampled"/>
  </r>
  <r>
    <x v="8"/>
    <x v="38"/>
    <x v="2"/>
    <x v="2"/>
    <x v="0"/>
    <x v="12"/>
    <x v="47"/>
    <x v="3"/>
    <n v="0"/>
    <s v="Not Sampled"/>
    <n v="1870"/>
    <m/>
    <m/>
    <m/>
    <m/>
    <m/>
    <m/>
    <m/>
    <m/>
    <s v="Negative"/>
    <s v="Not Sampled"/>
    <s v="Not Sampled"/>
  </r>
  <r>
    <x v="2"/>
    <x v="28"/>
    <x v="6"/>
    <x v="22"/>
    <x v="21"/>
    <x v="45"/>
    <x v="48"/>
    <x v="11"/>
    <n v="0"/>
    <n v="0"/>
    <n v="1871"/>
    <m/>
    <m/>
    <m/>
    <m/>
    <m/>
    <m/>
    <m/>
    <m/>
    <s v="Negative"/>
    <s v="Negative"/>
    <s v="Accurate Prediction"/>
  </r>
  <r>
    <x v="2"/>
    <x v="39"/>
    <x v="13"/>
    <x v="11"/>
    <x v="22"/>
    <x v="29"/>
    <x v="49"/>
    <x v="25"/>
    <n v="0"/>
    <s v="Not Sampled"/>
    <n v="1872"/>
    <m/>
    <m/>
    <m/>
    <m/>
    <m/>
    <m/>
    <m/>
    <m/>
    <s v="Negative"/>
    <s v="Not Sampled"/>
    <s v="Not Sampled"/>
  </r>
  <r>
    <x v="7"/>
    <x v="40"/>
    <x v="19"/>
    <x v="23"/>
    <x v="23"/>
    <x v="46"/>
    <x v="50"/>
    <x v="13"/>
    <n v="0"/>
    <s v="Not Sampled"/>
    <n v="1873"/>
    <m/>
    <m/>
    <m/>
    <m/>
    <m/>
    <m/>
    <m/>
    <m/>
    <s v="Negative"/>
    <s v="Not Sampled"/>
    <s v="Not Sampled"/>
  </r>
  <r>
    <x v="4"/>
    <x v="41"/>
    <x v="8"/>
    <x v="24"/>
    <x v="24"/>
    <x v="47"/>
    <x v="51"/>
    <x v="5"/>
    <n v="1"/>
    <n v="1"/>
    <n v="1874"/>
    <m/>
    <m/>
    <m/>
    <m/>
    <m/>
    <m/>
    <m/>
    <m/>
    <s v="Positive"/>
    <s v="Positive"/>
    <s v="Accurate Prediction"/>
  </r>
  <r>
    <x v="8"/>
    <x v="42"/>
    <x v="19"/>
    <x v="3"/>
    <x v="25"/>
    <x v="48"/>
    <x v="52"/>
    <x v="8"/>
    <n v="0"/>
    <s v="Not Sampled"/>
    <n v="1875"/>
    <m/>
    <m/>
    <m/>
    <m/>
    <m/>
    <m/>
    <m/>
    <m/>
    <s v="Negative"/>
    <s v="Not Sampled"/>
    <s v="Not Sampled"/>
  </r>
  <r>
    <x v="2"/>
    <x v="43"/>
    <x v="13"/>
    <x v="25"/>
    <x v="0"/>
    <x v="49"/>
    <x v="53"/>
    <x v="4"/>
    <n v="0"/>
    <s v="Not Sampled"/>
    <n v="1876"/>
    <m/>
    <m/>
    <m/>
    <m/>
    <m/>
    <m/>
    <m/>
    <m/>
    <s v="Negative"/>
    <s v="Not Sampled"/>
    <s v="Not Sampled"/>
  </r>
  <r>
    <x v="8"/>
    <x v="44"/>
    <x v="3"/>
    <x v="15"/>
    <x v="26"/>
    <x v="50"/>
    <x v="54"/>
    <x v="17"/>
    <n v="1"/>
    <s v="Not Sampled"/>
    <n v="1877"/>
    <m/>
    <m/>
    <m/>
    <m/>
    <m/>
    <m/>
    <m/>
    <m/>
    <s v="Positive"/>
    <s v="Not Sampled"/>
    <s v="Not Sampled"/>
  </r>
  <r>
    <x v="1"/>
    <x v="45"/>
    <x v="21"/>
    <x v="26"/>
    <x v="27"/>
    <x v="51"/>
    <x v="55"/>
    <x v="2"/>
    <n v="0"/>
    <s v="Not Sampled"/>
    <n v="1878"/>
    <m/>
    <m/>
    <m/>
    <m/>
    <m/>
    <m/>
    <m/>
    <m/>
    <s v="Negative"/>
    <s v="Not Sampled"/>
    <s v="Not Sampled"/>
  </r>
  <r>
    <x v="1"/>
    <x v="36"/>
    <x v="1"/>
    <x v="2"/>
    <x v="0"/>
    <x v="52"/>
    <x v="56"/>
    <x v="30"/>
    <n v="0"/>
    <s v="Not Sampled"/>
    <n v="1879"/>
    <m/>
    <m/>
    <m/>
    <m/>
    <m/>
    <m/>
    <m/>
    <m/>
    <s v="Negative"/>
    <s v="Not Sampled"/>
    <s v="Not Sampled"/>
  </r>
  <r>
    <x v="1"/>
    <x v="38"/>
    <x v="11"/>
    <x v="4"/>
    <x v="28"/>
    <x v="53"/>
    <x v="57"/>
    <x v="11"/>
    <n v="0"/>
    <s v="Not Sampled"/>
    <n v="1880"/>
    <m/>
    <m/>
    <m/>
    <m/>
    <m/>
    <m/>
    <m/>
    <m/>
    <s v="Negative"/>
    <s v="Not Sampled"/>
    <s v="Not Sampled"/>
  </r>
  <r>
    <x v="0"/>
    <x v="1"/>
    <x v="2"/>
    <x v="2"/>
    <x v="0"/>
    <x v="12"/>
    <x v="13"/>
    <x v="4"/>
    <n v="0"/>
    <s v="Not Sampled"/>
    <n v="1881"/>
    <m/>
    <m/>
    <m/>
    <m/>
    <m/>
    <m/>
    <m/>
    <m/>
    <s v="Negative"/>
    <s v="Not Sampled"/>
    <s v="Not Sampled"/>
  </r>
  <r>
    <x v="4"/>
    <x v="32"/>
    <x v="5"/>
    <x v="2"/>
    <x v="0"/>
    <x v="35"/>
    <x v="58"/>
    <x v="16"/>
    <n v="1"/>
    <n v="1"/>
    <n v="1882"/>
    <m/>
    <m/>
    <m/>
    <m/>
    <m/>
    <m/>
    <m/>
    <m/>
    <s v="Positive"/>
    <s v="Positive"/>
    <s v="Accurate Prediction"/>
  </r>
  <r>
    <x v="7"/>
    <x v="46"/>
    <x v="0"/>
    <x v="2"/>
    <x v="0"/>
    <x v="26"/>
    <x v="59"/>
    <x v="31"/>
    <n v="0"/>
    <s v="Not Sampled"/>
    <n v="1883"/>
    <m/>
    <m/>
    <m/>
    <m/>
    <m/>
    <m/>
    <m/>
    <m/>
    <s v="Negative"/>
    <s v="Not Sampled"/>
    <s v="Not Sampled"/>
  </r>
  <r>
    <x v="0"/>
    <x v="47"/>
    <x v="22"/>
    <x v="24"/>
    <x v="29"/>
    <x v="54"/>
    <x v="60"/>
    <x v="3"/>
    <n v="0"/>
    <s v="Not Sampled"/>
    <n v="1884"/>
    <m/>
    <m/>
    <m/>
    <m/>
    <m/>
    <m/>
    <m/>
    <m/>
    <s v="Negative"/>
    <s v="Not Sampled"/>
    <s v="Not Sampled"/>
  </r>
  <r>
    <x v="8"/>
    <x v="48"/>
    <x v="19"/>
    <x v="2"/>
    <x v="0"/>
    <x v="10"/>
    <x v="61"/>
    <x v="8"/>
    <n v="1"/>
    <s v="Not Sampled"/>
    <n v="1885"/>
    <m/>
    <m/>
    <m/>
    <m/>
    <m/>
    <m/>
    <m/>
    <m/>
    <s v="Positive"/>
    <s v="Not Sampled"/>
    <s v="Not Sampled"/>
  </r>
  <r>
    <x v="7"/>
    <x v="6"/>
    <x v="10"/>
    <x v="21"/>
    <x v="0"/>
    <x v="55"/>
    <x v="62"/>
    <x v="32"/>
    <n v="0"/>
    <n v="0"/>
    <n v="1886"/>
    <m/>
    <m/>
    <m/>
    <m/>
    <m/>
    <m/>
    <m/>
    <m/>
    <s v="Negative"/>
    <s v="Negative"/>
    <s v="Accurate Prediction"/>
  </r>
  <r>
    <x v="1"/>
    <x v="49"/>
    <x v="21"/>
    <x v="8"/>
    <x v="0"/>
    <x v="56"/>
    <x v="63"/>
    <x v="19"/>
    <n v="1"/>
    <s v="Not Sampled"/>
    <n v="1887"/>
    <m/>
    <m/>
    <m/>
    <m/>
    <m/>
    <m/>
    <m/>
    <m/>
    <s v="Positive"/>
    <s v="Not Sampled"/>
    <s v="Not Sampled"/>
  </r>
  <r>
    <x v="0"/>
    <x v="49"/>
    <x v="17"/>
    <x v="2"/>
    <x v="0"/>
    <x v="57"/>
    <x v="64"/>
    <x v="28"/>
    <n v="0"/>
    <s v="Not Sampled"/>
    <n v="1888"/>
    <m/>
    <m/>
    <m/>
    <m/>
    <m/>
    <m/>
    <m/>
    <m/>
    <s v="Negative"/>
    <s v="Not Sampled"/>
    <s v="Not Sampled"/>
  </r>
  <r>
    <x v="2"/>
    <x v="50"/>
    <x v="19"/>
    <x v="27"/>
    <x v="30"/>
    <x v="58"/>
    <x v="65"/>
    <x v="14"/>
    <n v="0"/>
    <s v="Not Sampled"/>
    <n v="1889"/>
    <m/>
    <m/>
    <m/>
    <m/>
    <m/>
    <m/>
    <m/>
    <m/>
    <s v="Negative"/>
    <s v="Not Sampled"/>
    <s v="Not Sampled"/>
  </r>
  <r>
    <x v="3"/>
    <x v="36"/>
    <x v="23"/>
    <x v="21"/>
    <x v="31"/>
    <x v="11"/>
    <x v="66"/>
    <x v="23"/>
    <n v="0"/>
    <n v="0"/>
    <n v="1890"/>
    <m/>
    <m/>
    <m/>
    <m/>
    <m/>
    <m/>
    <m/>
    <m/>
    <s v="Negative"/>
    <s v="Negative"/>
    <s v="Accurate Prediction"/>
  </r>
  <r>
    <x v="0"/>
    <x v="45"/>
    <x v="19"/>
    <x v="28"/>
    <x v="12"/>
    <x v="35"/>
    <x v="67"/>
    <x v="6"/>
    <n v="1"/>
    <s v="Not Sampled"/>
    <n v="1891"/>
    <m/>
    <m/>
    <m/>
    <m/>
    <m/>
    <m/>
    <m/>
    <m/>
    <s v="Positive"/>
    <s v="Not Sampled"/>
    <s v="Not Sampled"/>
  </r>
  <r>
    <x v="7"/>
    <x v="4"/>
    <x v="11"/>
    <x v="0"/>
    <x v="32"/>
    <x v="24"/>
    <x v="68"/>
    <x v="25"/>
    <n v="0"/>
    <s v="Not Sampled"/>
    <n v="1892"/>
    <m/>
    <m/>
    <m/>
    <m/>
    <m/>
    <m/>
    <m/>
    <m/>
    <s v="Negative"/>
    <s v="Not Sampled"/>
    <s v="Not Sampled"/>
  </r>
  <r>
    <x v="13"/>
    <x v="51"/>
    <x v="8"/>
    <x v="2"/>
    <x v="0"/>
    <x v="59"/>
    <x v="69"/>
    <x v="8"/>
    <n v="1"/>
    <s v="Not Sampled"/>
    <n v="1893"/>
    <m/>
    <m/>
    <m/>
    <m/>
    <m/>
    <m/>
    <m/>
    <m/>
    <s v="Positive"/>
    <s v="Not Sampled"/>
    <s v="Not Sampled"/>
  </r>
  <r>
    <x v="3"/>
    <x v="52"/>
    <x v="24"/>
    <x v="28"/>
    <x v="33"/>
    <x v="60"/>
    <x v="70"/>
    <x v="1"/>
    <n v="0"/>
    <s v="Not Sampled"/>
    <n v="1894"/>
    <m/>
    <m/>
    <m/>
    <m/>
    <m/>
    <m/>
    <m/>
    <m/>
    <s v="Negative"/>
    <s v="Not Sampled"/>
    <s v="Not Sampled"/>
  </r>
  <r>
    <x v="2"/>
    <x v="53"/>
    <x v="25"/>
    <x v="8"/>
    <x v="0"/>
    <x v="61"/>
    <x v="71"/>
    <x v="11"/>
    <n v="0"/>
    <s v="Not Sampled"/>
    <n v="1895"/>
    <m/>
    <m/>
    <m/>
    <m/>
    <m/>
    <m/>
    <m/>
    <m/>
    <s v="Negative"/>
    <s v="Not Sampled"/>
    <s v="Not Sampled"/>
  </r>
  <r>
    <x v="2"/>
    <x v="18"/>
    <x v="26"/>
    <x v="28"/>
    <x v="0"/>
    <x v="62"/>
    <x v="72"/>
    <x v="11"/>
    <n v="0"/>
    <s v="Not Sampled"/>
    <n v="1896"/>
    <m/>
    <m/>
    <m/>
    <m/>
    <m/>
    <m/>
    <m/>
    <m/>
    <s v="Negative"/>
    <s v="Not Sampled"/>
    <s v="Not Sampled"/>
  </r>
  <r>
    <x v="8"/>
    <x v="54"/>
    <x v="4"/>
    <x v="2"/>
    <x v="0"/>
    <x v="63"/>
    <x v="73"/>
    <x v="17"/>
    <n v="0"/>
    <s v="Not Sampled"/>
    <n v="1897"/>
    <m/>
    <m/>
    <m/>
    <m/>
    <m/>
    <m/>
    <m/>
    <m/>
    <s v="Negative"/>
    <s v="Not Sampled"/>
    <s v="Not Sampled"/>
  </r>
  <r>
    <x v="7"/>
    <x v="50"/>
    <x v="5"/>
    <x v="12"/>
    <x v="0"/>
    <x v="50"/>
    <x v="74"/>
    <x v="23"/>
    <n v="0"/>
    <n v="0"/>
    <n v="1898"/>
    <m/>
    <m/>
    <m/>
    <m/>
    <m/>
    <m/>
    <m/>
    <m/>
    <s v="Negative"/>
    <s v="Negative"/>
    <s v="Accurate Prediction"/>
  </r>
  <r>
    <x v="1"/>
    <x v="55"/>
    <x v="2"/>
    <x v="2"/>
    <x v="0"/>
    <x v="64"/>
    <x v="58"/>
    <x v="25"/>
    <n v="1"/>
    <n v="1"/>
    <n v="1899"/>
    <m/>
    <m/>
    <m/>
    <m/>
    <m/>
    <m/>
    <m/>
    <m/>
    <s v="Positive"/>
    <s v="Positive"/>
    <s v="Accurate Prediction"/>
  </r>
  <r>
    <x v="0"/>
    <x v="56"/>
    <x v="19"/>
    <x v="29"/>
    <x v="0"/>
    <x v="26"/>
    <x v="75"/>
    <x v="3"/>
    <n v="0"/>
    <s v="Not Sampled"/>
    <n v="1900"/>
    <m/>
    <m/>
    <m/>
    <m/>
    <m/>
    <m/>
    <m/>
    <m/>
    <s v="Negative"/>
    <s v="Not Sampled"/>
    <s v="Not Sampled"/>
  </r>
  <r>
    <x v="5"/>
    <x v="57"/>
    <x v="27"/>
    <x v="27"/>
    <x v="0"/>
    <x v="65"/>
    <x v="72"/>
    <x v="11"/>
    <n v="0"/>
    <s v="Not Sampled"/>
    <n v="1901"/>
    <m/>
    <m/>
    <m/>
    <m/>
    <m/>
    <m/>
    <m/>
    <m/>
    <s v="Negative"/>
    <s v="Not Sampled"/>
    <s v="Not Sampled"/>
  </r>
  <r>
    <x v="0"/>
    <x v="58"/>
    <x v="2"/>
    <x v="2"/>
    <x v="0"/>
    <x v="12"/>
    <x v="76"/>
    <x v="11"/>
    <n v="0"/>
    <s v="Not Sampled"/>
    <n v="1902"/>
    <m/>
    <m/>
    <m/>
    <m/>
    <m/>
    <m/>
    <m/>
    <m/>
    <s v="Negative"/>
    <s v="Not Sampled"/>
    <s v="Not Sampled"/>
  </r>
  <r>
    <x v="8"/>
    <x v="8"/>
    <x v="4"/>
    <x v="16"/>
    <x v="10"/>
    <x v="17"/>
    <x v="77"/>
    <x v="31"/>
    <n v="0"/>
    <s v="Not Sampled"/>
    <n v="1903"/>
    <m/>
    <m/>
    <m/>
    <m/>
    <m/>
    <m/>
    <m/>
    <m/>
    <s v="Negative"/>
    <s v="Not Sampled"/>
    <s v="Not Sampled"/>
  </r>
  <r>
    <x v="1"/>
    <x v="39"/>
    <x v="7"/>
    <x v="7"/>
    <x v="0"/>
    <x v="66"/>
    <x v="78"/>
    <x v="11"/>
    <n v="0"/>
    <n v="0"/>
    <n v="1904"/>
    <m/>
    <m/>
    <m/>
    <m/>
    <m/>
    <m/>
    <m/>
    <m/>
    <s v="Negative"/>
    <s v="Negative"/>
    <s v="Accurate Prediction"/>
  </r>
  <r>
    <x v="7"/>
    <x v="59"/>
    <x v="28"/>
    <x v="2"/>
    <x v="0"/>
    <x v="67"/>
    <x v="79"/>
    <x v="26"/>
    <n v="1"/>
    <s v="Not Sampled"/>
    <n v="1905"/>
    <m/>
    <m/>
    <m/>
    <m/>
    <m/>
    <m/>
    <m/>
    <m/>
    <s v="Positive"/>
    <s v="Not Sampled"/>
    <s v="Not Sampled"/>
  </r>
  <r>
    <x v="0"/>
    <x v="13"/>
    <x v="10"/>
    <x v="30"/>
    <x v="1"/>
    <x v="68"/>
    <x v="80"/>
    <x v="23"/>
    <n v="0"/>
    <s v="Not Sampled"/>
    <n v="1906"/>
    <m/>
    <m/>
    <m/>
    <m/>
    <m/>
    <m/>
    <m/>
    <m/>
    <s v="Negative"/>
    <s v="Not Sampled"/>
    <s v="Not Sampled"/>
  </r>
  <r>
    <x v="13"/>
    <x v="33"/>
    <x v="5"/>
    <x v="31"/>
    <x v="0"/>
    <x v="69"/>
    <x v="81"/>
    <x v="10"/>
    <n v="0"/>
    <s v="Not Sampled"/>
    <n v="1907"/>
    <m/>
    <m/>
    <m/>
    <m/>
    <m/>
    <m/>
    <m/>
    <m/>
    <s v="Negative"/>
    <s v="Not Sampled"/>
    <s v="Not Sampled"/>
  </r>
  <r>
    <x v="0"/>
    <x v="45"/>
    <x v="3"/>
    <x v="14"/>
    <x v="10"/>
    <x v="70"/>
    <x v="82"/>
    <x v="25"/>
    <n v="0"/>
    <s v="Not Sampled"/>
    <n v="1908"/>
    <m/>
    <m/>
    <m/>
    <m/>
    <m/>
    <m/>
    <m/>
    <m/>
    <s v="Negative"/>
    <s v="Not Sampled"/>
    <s v="Not Sampled"/>
  </r>
  <r>
    <x v="14"/>
    <x v="60"/>
    <x v="9"/>
    <x v="5"/>
    <x v="27"/>
    <x v="36"/>
    <x v="83"/>
    <x v="33"/>
    <n v="1"/>
    <s v="Not Sampled"/>
    <n v="1909"/>
    <m/>
    <m/>
    <m/>
    <m/>
    <m/>
    <m/>
    <m/>
    <m/>
    <s v="Positive"/>
    <s v="Not Sampled"/>
    <s v="Not Sampled"/>
  </r>
  <r>
    <x v="2"/>
    <x v="61"/>
    <x v="3"/>
    <x v="13"/>
    <x v="0"/>
    <x v="71"/>
    <x v="84"/>
    <x v="3"/>
    <n v="0"/>
    <n v="0"/>
    <n v="1910"/>
    <m/>
    <m/>
    <m/>
    <m/>
    <m/>
    <m/>
    <m/>
    <m/>
    <s v="Negative"/>
    <s v="Negative"/>
    <s v="Accurate Prediction"/>
  </r>
  <r>
    <x v="2"/>
    <x v="11"/>
    <x v="29"/>
    <x v="2"/>
    <x v="0"/>
    <x v="72"/>
    <x v="61"/>
    <x v="4"/>
    <n v="0"/>
    <s v="Not Sampled"/>
    <n v="1911"/>
    <m/>
    <m/>
    <m/>
    <m/>
    <m/>
    <m/>
    <m/>
    <m/>
    <s v="Negative"/>
    <s v="Not Sampled"/>
    <s v="Not Sampled"/>
  </r>
  <r>
    <x v="3"/>
    <x v="62"/>
    <x v="6"/>
    <x v="11"/>
    <x v="34"/>
    <x v="61"/>
    <x v="85"/>
    <x v="34"/>
    <n v="0"/>
    <s v="Not Sampled"/>
    <n v="1912"/>
    <m/>
    <m/>
    <m/>
    <m/>
    <m/>
    <m/>
    <m/>
    <m/>
    <s v="Negative"/>
    <s v="Not Sampled"/>
    <s v="Not Sampled"/>
  </r>
  <r>
    <x v="8"/>
    <x v="14"/>
    <x v="4"/>
    <x v="32"/>
    <x v="35"/>
    <x v="73"/>
    <x v="86"/>
    <x v="8"/>
    <n v="0"/>
    <s v="Not Sampled"/>
    <n v="1913"/>
    <m/>
    <m/>
    <m/>
    <m/>
    <m/>
    <m/>
    <m/>
    <m/>
    <s v="Negative"/>
    <s v="Not Sampled"/>
    <s v="Not Sampled"/>
  </r>
  <r>
    <x v="3"/>
    <x v="63"/>
    <x v="5"/>
    <x v="2"/>
    <x v="0"/>
    <x v="74"/>
    <x v="87"/>
    <x v="35"/>
    <n v="1"/>
    <s v="Not Sampled"/>
    <n v="1914"/>
    <m/>
    <m/>
    <m/>
    <m/>
    <m/>
    <m/>
    <m/>
    <m/>
    <s v="Positive"/>
    <s v="Not Sampled"/>
    <s v="Not Sampled"/>
  </r>
  <r>
    <x v="0"/>
    <x v="64"/>
    <x v="1"/>
    <x v="10"/>
    <x v="36"/>
    <x v="62"/>
    <x v="88"/>
    <x v="4"/>
    <n v="0"/>
    <n v="0"/>
    <n v="1915"/>
    <m/>
    <m/>
    <m/>
    <m/>
    <m/>
    <m/>
    <m/>
    <m/>
    <s v="Negative"/>
    <s v="Negative"/>
    <s v="Accurate Prediction"/>
  </r>
  <r>
    <x v="6"/>
    <x v="65"/>
    <x v="5"/>
    <x v="21"/>
    <x v="37"/>
    <x v="75"/>
    <x v="89"/>
    <x v="18"/>
    <n v="0"/>
    <s v="Not Sampled"/>
    <n v="1916"/>
    <m/>
    <m/>
    <m/>
    <m/>
    <m/>
    <m/>
    <m/>
    <m/>
    <s v="Negative"/>
    <s v="Not Sampled"/>
    <s v="Not Sampled"/>
  </r>
  <r>
    <x v="0"/>
    <x v="66"/>
    <x v="0"/>
    <x v="7"/>
    <x v="0"/>
    <x v="31"/>
    <x v="90"/>
    <x v="3"/>
    <n v="0"/>
    <n v="0"/>
    <n v="1917"/>
    <m/>
    <m/>
    <m/>
    <m/>
    <m/>
    <m/>
    <m/>
    <m/>
    <s v="Negative"/>
    <s v="Negative"/>
    <s v="Accurate Prediction"/>
  </r>
  <r>
    <x v="2"/>
    <x v="37"/>
    <x v="26"/>
    <x v="10"/>
    <x v="7"/>
    <x v="76"/>
    <x v="91"/>
    <x v="11"/>
    <n v="0"/>
    <s v="Not Sampled"/>
    <n v="1918"/>
    <m/>
    <m/>
    <m/>
    <m/>
    <m/>
    <m/>
    <m/>
    <m/>
    <s v="Negative"/>
    <s v="Not Sampled"/>
    <s v="Not Sampled"/>
  </r>
  <r>
    <x v="6"/>
    <x v="67"/>
    <x v="13"/>
    <x v="8"/>
    <x v="36"/>
    <x v="77"/>
    <x v="92"/>
    <x v="1"/>
    <n v="0"/>
    <n v="0"/>
    <n v="1919"/>
    <m/>
    <m/>
    <m/>
    <m/>
    <m/>
    <m/>
    <m/>
    <m/>
    <s v="Negative"/>
    <s v="Negative"/>
    <s v="Accurate Prediction"/>
  </r>
  <r>
    <x v="2"/>
    <x v="27"/>
    <x v="8"/>
    <x v="33"/>
    <x v="38"/>
    <x v="78"/>
    <x v="93"/>
    <x v="2"/>
    <n v="1"/>
    <s v="Not Sampled"/>
    <n v="1920"/>
    <m/>
    <m/>
    <m/>
    <m/>
    <m/>
    <m/>
    <m/>
    <m/>
    <s v="Positive"/>
    <s v="Not Sampled"/>
    <s v="Not Sampled"/>
  </r>
  <r>
    <x v="2"/>
    <x v="26"/>
    <x v="5"/>
    <x v="2"/>
    <x v="0"/>
    <x v="20"/>
    <x v="94"/>
    <x v="9"/>
    <n v="1"/>
    <s v="Not Sampled"/>
    <n v="1921"/>
    <m/>
    <m/>
    <m/>
    <m/>
    <m/>
    <m/>
    <m/>
    <m/>
    <s v="Positive"/>
    <s v="Not Sampled"/>
    <s v="Not Sampled"/>
  </r>
  <r>
    <x v="2"/>
    <x v="68"/>
    <x v="12"/>
    <x v="2"/>
    <x v="0"/>
    <x v="7"/>
    <x v="95"/>
    <x v="11"/>
    <n v="0"/>
    <s v="Not Sampled"/>
    <n v="1922"/>
    <m/>
    <m/>
    <m/>
    <m/>
    <m/>
    <m/>
    <m/>
    <m/>
    <s v="Negative"/>
    <s v="Not Sampled"/>
    <s v="Not Sampled"/>
  </r>
  <r>
    <x v="1"/>
    <x v="10"/>
    <x v="30"/>
    <x v="2"/>
    <x v="0"/>
    <x v="79"/>
    <x v="96"/>
    <x v="4"/>
    <n v="0"/>
    <s v="Not Sampled"/>
    <n v="1923"/>
    <m/>
    <m/>
    <m/>
    <m/>
    <m/>
    <m/>
    <m/>
    <m/>
    <s v="Negative"/>
    <s v="Not Sampled"/>
    <s v="Not Sampled"/>
  </r>
  <r>
    <x v="2"/>
    <x v="14"/>
    <x v="5"/>
    <x v="10"/>
    <x v="39"/>
    <x v="13"/>
    <x v="97"/>
    <x v="3"/>
    <n v="0"/>
    <s v="Not Sampled"/>
    <n v="1924"/>
    <m/>
    <m/>
    <m/>
    <m/>
    <m/>
    <m/>
    <m/>
    <m/>
    <s v="Negative"/>
    <s v="Not Sampled"/>
    <s v="Not Sampled"/>
  </r>
  <r>
    <x v="0"/>
    <x v="69"/>
    <x v="7"/>
    <x v="2"/>
    <x v="0"/>
    <x v="80"/>
    <x v="98"/>
    <x v="23"/>
    <n v="0"/>
    <s v="Not Sampled"/>
    <n v="1925"/>
    <m/>
    <m/>
    <m/>
    <m/>
    <m/>
    <m/>
    <m/>
    <m/>
    <s v="Negative"/>
    <s v="Not Sampled"/>
    <s v="Not Sampled"/>
  </r>
  <r>
    <x v="2"/>
    <x v="51"/>
    <x v="20"/>
    <x v="30"/>
    <x v="40"/>
    <x v="77"/>
    <x v="99"/>
    <x v="4"/>
    <n v="0"/>
    <n v="0"/>
    <n v="1926"/>
    <m/>
    <m/>
    <m/>
    <m/>
    <m/>
    <m/>
    <m/>
    <m/>
    <s v="Negative"/>
    <s v="Negative"/>
    <s v="Accurate Prediction"/>
  </r>
  <r>
    <x v="2"/>
    <x v="20"/>
    <x v="31"/>
    <x v="2"/>
    <x v="0"/>
    <x v="65"/>
    <x v="28"/>
    <x v="23"/>
    <n v="0"/>
    <s v="Not Sampled"/>
    <n v="1927"/>
    <m/>
    <m/>
    <m/>
    <m/>
    <m/>
    <m/>
    <m/>
    <m/>
    <s v="Negative"/>
    <s v="Not Sampled"/>
    <s v="Not Sampled"/>
  </r>
  <r>
    <x v="3"/>
    <x v="65"/>
    <x v="22"/>
    <x v="7"/>
    <x v="32"/>
    <x v="81"/>
    <x v="100"/>
    <x v="26"/>
    <n v="0"/>
    <s v="Not Sampled"/>
    <n v="1928"/>
    <m/>
    <m/>
    <m/>
    <m/>
    <m/>
    <m/>
    <m/>
    <m/>
    <s v="Negative"/>
    <s v="Not Sampled"/>
    <s v="Not Sampled"/>
  </r>
  <r>
    <x v="5"/>
    <x v="8"/>
    <x v="22"/>
    <x v="1"/>
    <x v="41"/>
    <x v="82"/>
    <x v="101"/>
    <x v="14"/>
    <n v="0"/>
    <s v="Not Sampled"/>
    <n v="1929"/>
    <m/>
    <m/>
    <m/>
    <m/>
    <m/>
    <m/>
    <m/>
    <m/>
    <s v="Negative"/>
    <s v="Not Sampled"/>
    <s v="Not Sampled"/>
  </r>
  <r>
    <x v="1"/>
    <x v="50"/>
    <x v="23"/>
    <x v="14"/>
    <x v="22"/>
    <x v="83"/>
    <x v="102"/>
    <x v="3"/>
    <n v="1"/>
    <n v="0"/>
    <n v="1930"/>
    <m/>
    <m/>
    <m/>
    <m/>
    <m/>
    <m/>
    <m/>
    <m/>
    <s v="Positive"/>
    <s v="Negative"/>
    <s v="Inaccurate Prediction"/>
  </r>
  <r>
    <x v="5"/>
    <x v="34"/>
    <x v="5"/>
    <x v="12"/>
    <x v="42"/>
    <x v="21"/>
    <x v="103"/>
    <x v="3"/>
    <n v="1"/>
    <s v="Not Sampled"/>
    <n v="1931"/>
    <m/>
    <m/>
    <m/>
    <m/>
    <m/>
    <m/>
    <m/>
    <m/>
    <s v="Positive"/>
    <s v="Not Sampled"/>
    <s v="Not Sampled"/>
  </r>
  <r>
    <x v="4"/>
    <x v="70"/>
    <x v="0"/>
    <x v="16"/>
    <x v="43"/>
    <x v="37"/>
    <x v="104"/>
    <x v="22"/>
    <n v="1"/>
    <s v="Not Sampled"/>
    <n v="1932"/>
    <m/>
    <m/>
    <m/>
    <m/>
    <m/>
    <m/>
    <m/>
    <m/>
    <s v="Positive"/>
    <s v="Not Sampled"/>
    <s v="Not Sampled"/>
  </r>
  <r>
    <x v="2"/>
    <x v="9"/>
    <x v="15"/>
    <x v="24"/>
    <x v="44"/>
    <x v="84"/>
    <x v="105"/>
    <x v="1"/>
    <n v="0"/>
    <s v="Not Sampled"/>
    <n v="1933"/>
    <m/>
    <m/>
    <m/>
    <m/>
    <m/>
    <m/>
    <m/>
    <m/>
    <s v="Negative"/>
    <s v="Not Sampled"/>
    <s v="Not Sampled"/>
  </r>
  <r>
    <x v="3"/>
    <x v="71"/>
    <x v="0"/>
    <x v="2"/>
    <x v="0"/>
    <x v="37"/>
    <x v="73"/>
    <x v="14"/>
    <n v="0"/>
    <s v="Not Sampled"/>
    <n v="1934"/>
    <m/>
    <m/>
    <m/>
    <m/>
    <m/>
    <m/>
    <m/>
    <m/>
    <s v="Negative"/>
    <s v="Not Sampled"/>
    <s v="Not Sampled"/>
  </r>
  <r>
    <x v="8"/>
    <x v="72"/>
    <x v="14"/>
    <x v="5"/>
    <x v="45"/>
    <x v="85"/>
    <x v="106"/>
    <x v="16"/>
    <n v="1"/>
    <s v="Not Sampled"/>
    <n v="1935"/>
    <m/>
    <m/>
    <m/>
    <m/>
    <m/>
    <m/>
    <m/>
    <m/>
    <s v="Positive"/>
    <s v="Not Sampled"/>
    <s v="Not Sampled"/>
  </r>
  <r>
    <x v="3"/>
    <x v="36"/>
    <x v="17"/>
    <x v="2"/>
    <x v="0"/>
    <x v="84"/>
    <x v="107"/>
    <x v="36"/>
    <n v="1"/>
    <s v="Not Sampled"/>
    <n v="1936"/>
    <m/>
    <m/>
    <m/>
    <m/>
    <m/>
    <m/>
    <m/>
    <m/>
    <s v="Positive"/>
    <s v="Not Sampled"/>
    <s v="Not Sampled"/>
  </r>
  <r>
    <x v="7"/>
    <x v="73"/>
    <x v="10"/>
    <x v="2"/>
    <x v="0"/>
    <x v="37"/>
    <x v="108"/>
    <x v="19"/>
    <n v="1"/>
    <s v="Not Sampled"/>
    <n v="1937"/>
    <m/>
    <m/>
    <m/>
    <m/>
    <m/>
    <m/>
    <m/>
    <m/>
    <s v="Positive"/>
    <s v="Not Sampled"/>
    <s v="Not Sampled"/>
  </r>
  <r>
    <x v="7"/>
    <x v="74"/>
    <x v="26"/>
    <x v="2"/>
    <x v="0"/>
    <x v="47"/>
    <x v="109"/>
    <x v="14"/>
    <n v="0"/>
    <s v="Not Sampled"/>
    <n v="1938"/>
    <m/>
    <m/>
    <m/>
    <m/>
    <m/>
    <m/>
    <m/>
    <m/>
    <s v="Negative"/>
    <s v="Not Sampled"/>
    <s v="Not Sampled"/>
  </r>
  <r>
    <x v="3"/>
    <x v="75"/>
    <x v="12"/>
    <x v="17"/>
    <x v="0"/>
    <x v="86"/>
    <x v="85"/>
    <x v="11"/>
    <n v="0"/>
    <n v="0"/>
    <n v="1939"/>
    <m/>
    <m/>
    <m/>
    <m/>
    <m/>
    <m/>
    <m/>
    <m/>
    <s v="Negative"/>
    <s v="Negative"/>
    <s v="Accurate Prediction"/>
  </r>
  <r>
    <x v="3"/>
    <x v="6"/>
    <x v="15"/>
    <x v="11"/>
    <x v="46"/>
    <x v="87"/>
    <x v="110"/>
    <x v="4"/>
    <n v="0"/>
    <s v="Not Sampled"/>
    <n v="1940"/>
    <m/>
    <m/>
    <m/>
    <m/>
    <m/>
    <m/>
    <m/>
    <m/>
    <s v="Negative"/>
    <s v="Not Sampled"/>
    <s v="Not Sampled"/>
  </r>
  <r>
    <x v="1"/>
    <x v="76"/>
    <x v="15"/>
    <x v="34"/>
    <x v="31"/>
    <x v="88"/>
    <x v="111"/>
    <x v="14"/>
    <n v="1"/>
    <s v="Not Sampled"/>
    <n v="1941"/>
    <m/>
    <m/>
    <m/>
    <m/>
    <m/>
    <m/>
    <m/>
    <m/>
    <s v="Positive"/>
    <s v="Not Sampled"/>
    <s v="Not Sampled"/>
  </r>
  <r>
    <x v="6"/>
    <x v="31"/>
    <x v="11"/>
    <x v="15"/>
    <x v="0"/>
    <x v="89"/>
    <x v="112"/>
    <x v="3"/>
    <n v="0"/>
    <n v="0"/>
    <n v="1942"/>
    <m/>
    <m/>
    <m/>
    <m/>
    <m/>
    <m/>
    <m/>
    <m/>
    <s v="Negative"/>
    <s v="Negative"/>
    <s v="Accurate Prediction"/>
  </r>
  <r>
    <x v="0"/>
    <x v="61"/>
    <x v="10"/>
    <x v="8"/>
    <x v="31"/>
    <x v="0"/>
    <x v="113"/>
    <x v="1"/>
    <n v="0"/>
    <s v="Not Sampled"/>
    <n v="1943"/>
    <m/>
    <m/>
    <m/>
    <m/>
    <m/>
    <m/>
    <m/>
    <m/>
    <s v="Negative"/>
    <s v="Not Sampled"/>
    <s v="Not Sampled"/>
  </r>
  <r>
    <x v="7"/>
    <x v="77"/>
    <x v="6"/>
    <x v="2"/>
    <x v="0"/>
    <x v="90"/>
    <x v="114"/>
    <x v="37"/>
    <n v="0"/>
    <n v="0"/>
    <n v="1944"/>
    <m/>
    <m/>
    <m/>
    <m/>
    <m/>
    <m/>
    <m/>
    <m/>
    <s v="Negative"/>
    <s v="Negative"/>
    <s v="Accurate Prediction"/>
  </r>
  <r>
    <x v="1"/>
    <x v="57"/>
    <x v="15"/>
    <x v="2"/>
    <x v="0"/>
    <x v="21"/>
    <x v="115"/>
    <x v="1"/>
    <n v="1"/>
    <s v="Not Sampled"/>
    <n v="1945"/>
    <m/>
    <m/>
    <m/>
    <m/>
    <m/>
    <m/>
    <m/>
    <m/>
    <s v="Positive"/>
    <s v="Not Sampled"/>
    <s v="Not Sampled"/>
  </r>
  <r>
    <x v="2"/>
    <x v="40"/>
    <x v="32"/>
    <x v="3"/>
    <x v="47"/>
    <x v="91"/>
    <x v="116"/>
    <x v="25"/>
    <n v="1"/>
    <n v="0"/>
    <n v="1946"/>
    <m/>
    <m/>
    <m/>
    <m/>
    <m/>
    <m/>
    <m/>
    <m/>
    <s v="Positive"/>
    <s v="Negative"/>
    <s v="Inaccurate Prediction"/>
  </r>
  <r>
    <x v="5"/>
    <x v="24"/>
    <x v="9"/>
    <x v="8"/>
    <x v="42"/>
    <x v="92"/>
    <x v="117"/>
    <x v="13"/>
    <n v="0"/>
    <n v="0"/>
    <n v="1947"/>
    <m/>
    <m/>
    <m/>
    <m/>
    <m/>
    <m/>
    <m/>
    <m/>
    <s v="Negative"/>
    <s v="Negative"/>
    <s v="Accurate Prediction"/>
  </r>
  <r>
    <x v="2"/>
    <x v="78"/>
    <x v="22"/>
    <x v="35"/>
    <x v="48"/>
    <x v="21"/>
    <x v="86"/>
    <x v="1"/>
    <n v="0"/>
    <s v="Not Sampled"/>
    <n v="1948"/>
    <m/>
    <m/>
    <m/>
    <m/>
    <m/>
    <m/>
    <m/>
    <m/>
    <s v="Negative"/>
    <s v="Not Sampled"/>
    <s v="Not Sampled"/>
  </r>
  <r>
    <x v="2"/>
    <x v="17"/>
    <x v="21"/>
    <x v="20"/>
    <x v="8"/>
    <x v="93"/>
    <x v="118"/>
    <x v="18"/>
    <n v="1"/>
    <s v="Not Sampled"/>
    <n v="1949"/>
    <m/>
    <m/>
    <m/>
    <m/>
    <m/>
    <m/>
    <m/>
    <m/>
    <s v="Positive"/>
    <s v="Not Sampled"/>
    <s v="Not Sampled"/>
  </r>
  <r>
    <x v="1"/>
    <x v="38"/>
    <x v="16"/>
    <x v="2"/>
    <x v="0"/>
    <x v="94"/>
    <x v="119"/>
    <x v="38"/>
    <n v="1"/>
    <n v="0"/>
    <n v="1950"/>
    <m/>
    <m/>
    <m/>
    <m/>
    <m/>
    <m/>
    <m/>
    <m/>
    <s v="Positive"/>
    <s v="Negative"/>
    <s v="Inaccurate Prediction"/>
  </r>
  <r>
    <x v="3"/>
    <x v="5"/>
    <x v="9"/>
    <x v="36"/>
    <x v="49"/>
    <x v="27"/>
    <x v="120"/>
    <x v="9"/>
    <n v="1"/>
    <s v="Not Sampled"/>
    <n v="1951"/>
    <m/>
    <m/>
    <m/>
    <m/>
    <m/>
    <m/>
    <m/>
    <m/>
    <s v="Positive"/>
    <s v="Not Sampled"/>
    <s v="Not Sampled"/>
  </r>
  <r>
    <x v="11"/>
    <x v="27"/>
    <x v="20"/>
    <x v="2"/>
    <x v="0"/>
    <x v="21"/>
    <x v="121"/>
    <x v="9"/>
    <n v="1"/>
    <s v="Not Sampled"/>
    <n v="1952"/>
    <m/>
    <m/>
    <m/>
    <m/>
    <m/>
    <m/>
    <m/>
    <m/>
    <s v="Positive"/>
    <s v="Not Sampled"/>
    <s v="Not Sampled"/>
  </r>
  <r>
    <x v="5"/>
    <x v="79"/>
    <x v="11"/>
    <x v="18"/>
    <x v="50"/>
    <x v="93"/>
    <x v="92"/>
    <x v="13"/>
    <n v="1"/>
    <s v="Not Sampled"/>
    <n v="1953"/>
    <m/>
    <m/>
    <m/>
    <m/>
    <m/>
    <m/>
    <m/>
    <m/>
    <s v="Positive"/>
    <s v="Not Sampled"/>
    <s v="Not Sampled"/>
  </r>
  <r>
    <x v="4"/>
    <x v="1"/>
    <x v="10"/>
    <x v="1"/>
    <x v="0"/>
    <x v="95"/>
    <x v="122"/>
    <x v="16"/>
    <n v="0"/>
    <n v="0"/>
    <n v="1954"/>
    <m/>
    <m/>
    <m/>
    <m/>
    <m/>
    <m/>
    <m/>
    <m/>
    <s v="Negative"/>
    <s v="Negative"/>
    <s v="Accurate Prediction"/>
  </r>
  <r>
    <x v="0"/>
    <x v="20"/>
    <x v="3"/>
    <x v="27"/>
    <x v="51"/>
    <x v="96"/>
    <x v="123"/>
    <x v="25"/>
    <n v="0"/>
    <s v="Not Sampled"/>
    <n v="1955"/>
    <m/>
    <m/>
    <m/>
    <m/>
    <m/>
    <m/>
    <m/>
    <m/>
    <s v="Negative"/>
    <s v="Not Sampled"/>
    <s v="Not Sampled"/>
  </r>
  <r>
    <x v="0"/>
    <x v="10"/>
    <x v="12"/>
    <x v="28"/>
    <x v="32"/>
    <x v="97"/>
    <x v="124"/>
    <x v="2"/>
    <n v="0"/>
    <n v="0"/>
    <n v="1956"/>
    <m/>
    <m/>
    <m/>
    <m/>
    <m/>
    <m/>
    <m/>
    <m/>
    <s v="Negative"/>
    <s v="Negative"/>
    <s v="Accurate Prediction"/>
  </r>
  <r>
    <x v="1"/>
    <x v="45"/>
    <x v="9"/>
    <x v="16"/>
    <x v="52"/>
    <x v="98"/>
    <x v="125"/>
    <x v="4"/>
    <n v="0"/>
    <s v="Not Sampled"/>
    <n v="1957"/>
    <m/>
    <m/>
    <m/>
    <m/>
    <m/>
    <m/>
    <m/>
    <m/>
    <s v="Negative"/>
    <s v="Not Sampled"/>
    <s v="Not Sampled"/>
  </r>
  <r>
    <x v="1"/>
    <x v="67"/>
    <x v="12"/>
    <x v="14"/>
    <x v="53"/>
    <x v="77"/>
    <x v="126"/>
    <x v="11"/>
    <n v="0"/>
    <s v="Not Sampled"/>
    <n v="1958"/>
    <m/>
    <m/>
    <m/>
    <m/>
    <m/>
    <m/>
    <m/>
    <m/>
    <s v="Negative"/>
    <s v="Not Sampled"/>
    <s v="Not Sampled"/>
  </r>
  <r>
    <x v="1"/>
    <x v="52"/>
    <x v="6"/>
    <x v="2"/>
    <x v="0"/>
    <x v="84"/>
    <x v="127"/>
    <x v="29"/>
    <n v="0"/>
    <s v="Not Sampled"/>
    <n v="1959"/>
    <m/>
    <m/>
    <m/>
    <m/>
    <m/>
    <m/>
    <m/>
    <m/>
    <s v="Negative"/>
    <s v="Not Sampled"/>
    <s v="Not Sampled"/>
  </r>
  <r>
    <x v="7"/>
    <x v="38"/>
    <x v="5"/>
    <x v="30"/>
    <x v="54"/>
    <x v="99"/>
    <x v="128"/>
    <x v="6"/>
    <n v="0"/>
    <n v="0"/>
    <n v="1960"/>
    <m/>
    <m/>
    <m/>
    <m/>
    <m/>
    <m/>
    <m/>
    <m/>
    <s v="Negative"/>
    <s v="Negative"/>
    <s v="Accurate Prediction"/>
  </r>
  <r>
    <x v="5"/>
    <x v="80"/>
    <x v="4"/>
    <x v="2"/>
    <x v="0"/>
    <x v="96"/>
    <x v="32"/>
    <x v="15"/>
    <n v="0"/>
    <s v="Not Sampled"/>
    <n v="1961"/>
    <m/>
    <m/>
    <m/>
    <m/>
    <m/>
    <m/>
    <m/>
    <m/>
    <s v="Negative"/>
    <s v="Not Sampled"/>
    <s v="Not Sampled"/>
  </r>
  <r>
    <x v="7"/>
    <x v="33"/>
    <x v="1"/>
    <x v="8"/>
    <x v="0"/>
    <x v="100"/>
    <x v="129"/>
    <x v="19"/>
    <n v="0"/>
    <s v="Not Sampled"/>
    <n v="1962"/>
    <m/>
    <m/>
    <m/>
    <m/>
    <m/>
    <m/>
    <m/>
    <m/>
    <s v="Negative"/>
    <s v="Not Sampled"/>
    <s v="Not Sampled"/>
  </r>
  <r>
    <x v="0"/>
    <x v="81"/>
    <x v="33"/>
    <x v="16"/>
    <x v="55"/>
    <x v="56"/>
    <x v="130"/>
    <x v="11"/>
    <n v="0"/>
    <s v="Not Sampled"/>
    <n v="1963"/>
    <m/>
    <m/>
    <m/>
    <m/>
    <m/>
    <m/>
    <m/>
    <m/>
    <s v="Negative"/>
    <s v="Not Sampled"/>
    <s v="Not Sampled"/>
  </r>
  <r>
    <x v="9"/>
    <x v="81"/>
    <x v="19"/>
    <x v="2"/>
    <x v="0"/>
    <x v="68"/>
    <x v="131"/>
    <x v="8"/>
    <n v="1"/>
    <s v="Not Sampled"/>
    <n v="1964"/>
    <m/>
    <m/>
    <m/>
    <m/>
    <m/>
    <m/>
    <m/>
    <m/>
    <s v="Positive"/>
    <s v="Not Sampled"/>
    <s v="Not Sampled"/>
  </r>
  <r>
    <x v="3"/>
    <x v="16"/>
    <x v="0"/>
    <x v="1"/>
    <x v="56"/>
    <x v="10"/>
    <x v="78"/>
    <x v="1"/>
    <n v="0"/>
    <s v="Not Sampled"/>
    <n v="1965"/>
    <m/>
    <m/>
    <m/>
    <m/>
    <m/>
    <m/>
    <m/>
    <m/>
    <s v="Negative"/>
    <s v="Not Sampled"/>
    <s v="Not Sampled"/>
  </r>
  <r>
    <x v="1"/>
    <x v="29"/>
    <x v="25"/>
    <x v="17"/>
    <x v="0"/>
    <x v="12"/>
    <x v="132"/>
    <x v="4"/>
    <n v="0"/>
    <s v="Not Sampled"/>
    <n v="1966"/>
    <m/>
    <m/>
    <m/>
    <m/>
    <m/>
    <m/>
    <m/>
    <m/>
    <s v="Negative"/>
    <s v="Not Sampled"/>
    <s v="Not Sampled"/>
  </r>
  <r>
    <x v="11"/>
    <x v="82"/>
    <x v="6"/>
    <x v="18"/>
    <x v="0"/>
    <x v="10"/>
    <x v="133"/>
    <x v="17"/>
    <n v="0"/>
    <s v="Not Sampled"/>
    <n v="1967"/>
    <m/>
    <m/>
    <m/>
    <m/>
    <m/>
    <m/>
    <m/>
    <m/>
    <s v="Negative"/>
    <s v="Not Sampled"/>
    <s v="Not Sampled"/>
  </r>
  <r>
    <x v="0"/>
    <x v="33"/>
    <x v="11"/>
    <x v="0"/>
    <x v="57"/>
    <x v="85"/>
    <x v="134"/>
    <x v="34"/>
    <n v="0"/>
    <s v="Not Sampled"/>
    <n v="1968"/>
    <m/>
    <m/>
    <m/>
    <m/>
    <m/>
    <m/>
    <m/>
    <m/>
    <s v="Negative"/>
    <s v="Not Sampled"/>
    <s v="Not Sampled"/>
  </r>
  <r>
    <x v="7"/>
    <x v="83"/>
    <x v="4"/>
    <x v="2"/>
    <x v="0"/>
    <x v="47"/>
    <x v="135"/>
    <x v="39"/>
    <n v="0"/>
    <s v="Not Sampled"/>
    <n v="1969"/>
    <m/>
    <m/>
    <m/>
    <m/>
    <m/>
    <m/>
    <m/>
    <m/>
    <s v="Negative"/>
    <s v="Not Sampled"/>
    <s v="Not Sampled"/>
  </r>
  <r>
    <x v="0"/>
    <x v="30"/>
    <x v="9"/>
    <x v="6"/>
    <x v="0"/>
    <x v="30"/>
    <x v="136"/>
    <x v="11"/>
    <n v="0"/>
    <s v="Not Sampled"/>
    <n v="1970"/>
    <m/>
    <m/>
    <m/>
    <m/>
    <m/>
    <m/>
    <m/>
    <m/>
    <s v="Negative"/>
    <s v="Not Sampled"/>
    <s v="Not Sampled"/>
  </r>
  <r>
    <x v="2"/>
    <x v="60"/>
    <x v="10"/>
    <x v="37"/>
    <x v="58"/>
    <x v="83"/>
    <x v="137"/>
    <x v="3"/>
    <n v="0"/>
    <n v="0"/>
    <n v="1971"/>
    <m/>
    <m/>
    <m/>
    <m/>
    <m/>
    <m/>
    <m/>
    <m/>
    <s v="Negative"/>
    <s v="Negative"/>
    <s v="Accurate Prediction"/>
  </r>
  <r>
    <x v="3"/>
    <x v="48"/>
    <x v="7"/>
    <x v="2"/>
    <x v="0"/>
    <x v="101"/>
    <x v="138"/>
    <x v="26"/>
    <n v="0"/>
    <n v="0"/>
    <n v="1972"/>
    <m/>
    <m/>
    <m/>
    <m/>
    <m/>
    <m/>
    <m/>
    <m/>
    <s v="Negative"/>
    <s v="Negative"/>
    <s v="Accurate Prediction"/>
  </r>
  <r>
    <x v="11"/>
    <x v="84"/>
    <x v="24"/>
    <x v="7"/>
    <x v="59"/>
    <x v="82"/>
    <x v="139"/>
    <x v="8"/>
    <n v="1"/>
    <s v="Not Sampled"/>
    <n v="1973"/>
    <m/>
    <m/>
    <m/>
    <m/>
    <m/>
    <m/>
    <m/>
    <m/>
    <s v="Positive"/>
    <s v="Not Sampled"/>
    <s v="Not Sampled"/>
  </r>
  <r>
    <x v="2"/>
    <x v="85"/>
    <x v="1"/>
    <x v="3"/>
    <x v="60"/>
    <x v="102"/>
    <x v="140"/>
    <x v="1"/>
    <n v="0"/>
    <s v="Not Sampled"/>
    <n v="1974"/>
    <m/>
    <m/>
    <m/>
    <m/>
    <m/>
    <m/>
    <m/>
    <m/>
    <s v="Negative"/>
    <s v="Not Sampled"/>
    <s v="Not Sampled"/>
  </r>
  <r>
    <x v="4"/>
    <x v="86"/>
    <x v="4"/>
    <x v="2"/>
    <x v="0"/>
    <x v="103"/>
    <x v="141"/>
    <x v="33"/>
    <n v="1"/>
    <n v="1"/>
    <n v="1975"/>
    <m/>
    <m/>
    <m/>
    <m/>
    <m/>
    <m/>
    <m/>
    <m/>
    <s v="Positive"/>
    <s v="Positive"/>
    <s v="Accurate Prediction"/>
  </r>
  <r>
    <x v="8"/>
    <x v="87"/>
    <x v="21"/>
    <x v="38"/>
    <x v="0"/>
    <x v="104"/>
    <x v="142"/>
    <x v="31"/>
    <n v="1"/>
    <s v="Not Sampled"/>
    <n v="1976"/>
    <m/>
    <m/>
    <m/>
    <m/>
    <m/>
    <m/>
    <m/>
    <m/>
    <s v="Positive"/>
    <s v="Not Sampled"/>
    <s v="Not Sampled"/>
  </r>
  <r>
    <x v="0"/>
    <x v="6"/>
    <x v="33"/>
    <x v="11"/>
    <x v="48"/>
    <x v="66"/>
    <x v="143"/>
    <x v="4"/>
    <n v="0"/>
    <n v="0"/>
    <n v="1977"/>
    <m/>
    <m/>
    <m/>
    <m/>
    <m/>
    <m/>
    <m/>
    <m/>
    <s v="Negative"/>
    <s v="Negative"/>
    <s v="Accurate Prediction"/>
  </r>
  <r>
    <x v="2"/>
    <x v="49"/>
    <x v="20"/>
    <x v="23"/>
    <x v="42"/>
    <x v="18"/>
    <x v="144"/>
    <x v="1"/>
    <n v="0"/>
    <s v="Not Sampled"/>
    <n v="1978"/>
    <m/>
    <m/>
    <m/>
    <m/>
    <m/>
    <m/>
    <m/>
    <m/>
    <s v="Negative"/>
    <s v="Not Sampled"/>
    <s v="Not Sampled"/>
  </r>
  <r>
    <x v="0"/>
    <x v="40"/>
    <x v="10"/>
    <x v="13"/>
    <x v="61"/>
    <x v="55"/>
    <x v="145"/>
    <x v="11"/>
    <n v="0"/>
    <s v="Not Sampled"/>
    <n v="1979"/>
    <m/>
    <m/>
    <m/>
    <m/>
    <m/>
    <m/>
    <m/>
    <m/>
    <s v="Negative"/>
    <s v="Not Sampled"/>
    <s v="Not Sampled"/>
  </r>
  <r>
    <x v="15"/>
    <x v="26"/>
    <x v="5"/>
    <x v="4"/>
    <x v="62"/>
    <x v="105"/>
    <x v="146"/>
    <x v="0"/>
    <n v="1"/>
    <s v="Not Sampled"/>
    <n v="1980"/>
    <m/>
    <m/>
    <m/>
    <m/>
    <m/>
    <m/>
    <m/>
    <m/>
    <s v="Positive"/>
    <s v="Not Sampled"/>
    <s v="Not Sampled"/>
  </r>
  <r>
    <x v="3"/>
    <x v="68"/>
    <x v="8"/>
    <x v="9"/>
    <x v="0"/>
    <x v="27"/>
    <x v="6"/>
    <x v="31"/>
    <n v="0"/>
    <s v="Not Sampled"/>
    <n v="1981"/>
    <m/>
    <m/>
    <m/>
    <m/>
    <m/>
    <m/>
    <m/>
    <m/>
    <s v="Negative"/>
    <s v="Not Sampled"/>
    <s v="Not Sampled"/>
  </r>
  <r>
    <x v="8"/>
    <x v="29"/>
    <x v="10"/>
    <x v="32"/>
    <x v="16"/>
    <x v="19"/>
    <x v="147"/>
    <x v="10"/>
    <n v="0"/>
    <s v="Not Sampled"/>
    <n v="1982"/>
    <m/>
    <m/>
    <m/>
    <m/>
    <m/>
    <m/>
    <m/>
    <m/>
    <s v="Negative"/>
    <s v="Not Sampled"/>
    <s v="Not Sampled"/>
  </r>
  <r>
    <x v="1"/>
    <x v="48"/>
    <x v="6"/>
    <x v="24"/>
    <x v="63"/>
    <x v="2"/>
    <x v="148"/>
    <x v="23"/>
    <n v="0"/>
    <n v="0"/>
    <n v="1983"/>
    <m/>
    <m/>
    <m/>
    <m/>
    <m/>
    <m/>
    <m/>
    <m/>
    <s v="Negative"/>
    <s v="Negative"/>
    <s v="Accurate Prediction"/>
  </r>
  <r>
    <x v="0"/>
    <x v="45"/>
    <x v="11"/>
    <x v="17"/>
    <x v="0"/>
    <x v="27"/>
    <x v="149"/>
    <x v="4"/>
    <n v="0"/>
    <s v="Not Sampled"/>
    <n v="1984"/>
    <m/>
    <m/>
    <m/>
    <m/>
    <m/>
    <m/>
    <m/>
    <m/>
    <s v="Negative"/>
    <s v="Not Sampled"/>
    <s v="Not Sampled"/>
  </r>
  <r>
    <x v="1"/>
    <x v="55"/>
    <x v="21"/>
    <x v="2"/>
    <x v="0"/>
    <x v="31"/>
    <x v="150"/>
    <x v="32"/>
    <n v="1"/>
    <n v="0"/>
    <n v="1985"/>
    <m/>
    <m/>
    <m/>
    <m/>
    <m/>
    <m/>
    <m/>
    <m/>
    <s v="Positive"/>
    <s v="Negative"/>
    <s v="Inaccurate Prediction"/>
  </r>
  <r>
    <x v="6"/>
    <x v="88"/>
    <x v="10"/>
    <x v="10"/>
    <x v="64"/>
    <x v="106"/>
    <x v="151"/>
    <x v="17"/>
    <n v="1"/>
    <n v="0"/>
    <n v="1986"/>
    <m/>
    <m/>
    <m/>
    <m/>
    <m/>
    <m/>
    <m/>
    <m/>
    <s v="Positive"/>
    <s v="Negative"/>
    <s v="Inaccurate Prediction"/>
  </r>
  <r>
    <x v="5"/>
    <x v="89"/>
    <x v="19"/>
    <x v="14"/>
    <x v="0"/>
    <x v="56"/>
    <x v="152"/>
    <x v="11"/>
    <n v="0"/>
    <s v="Not Sampled"/>
    <n v="1987"/>
    <m/>
    <m/>
    <m/>
    <m/>
    <m/>
    <m/>
    <m/>
    <m/>
    <s v="Negative"/>
    <s v="Not Sampled"/>
    <s v="Not Sampled"/>
  </r>
  <r>
    <x v="3"/>
    <x v="24"/>
    <x v="3"/>
    <x v="2"/>
    <x v="0"/>
    <x v="107"/>
    <x v="153"/>
    <x v="34"/>
    <n v="0"/>
    <n v="0"/>
    <n v="1988"/>
    <m/>
    <m/>
    <m/>
    <m/>
    <m/>
    <m/>
    <m/>
    <m/>
    <s v="Negative"/>
    <s v="Negative"/>
    <s v="Accurate Prediction"/>
  </r>
  <r>
    <x v="3"/>
    <x v="13"/>
    <x v="19"/>
    <x v="2"/>
    <x v="0"/>
    <x v="108"/>
    <x v="154"/>
    <x v="29"/>
    <n v="0"/>
    <s v="Not Sampled"/>
    <n v="1989"/>
    <m/>
    <m/>
    <m/>
    <m/>
    <m/>
    <m/>
    <m/>
    <m/>
    <s v="Negative"/>
    <s v="Not Sampled"/>
    <s v="Not Sampled"/>
  </r>
  <r>
    <x v="5"/>
    <x v="31"/>
    <x v="8"/>
    <x v="39"/>
    <x v="65"/>
    <x v="109"/>
    <x v="155"/>
    <x v="29"/>
    <n v="0"/>
    <n v="0"/>
    <n v="1990"/>
    <m/>
    <m/>
    <m/>
    <m/>
    <m/>
    <m/>
    <m/>
    <m/>
    <s v="Negative"/>
    <s v="Negative"/>
    <s v="Accurate Prediction"/>
  </r>
  <r>
    <x v="6"/>
    <x v="29"/>
    <x v="1"/>
    <x v="2"/>
    <x v="0"/>
    <x v="98"/>
    <x v="156"/>
    <x v="31"/>
    <n v="1"/>
    <n v="0"/>
    <n v="1991"/>
    <m/>
    <m/>
    <m/>
    <m/>
    <m/>
    <m/>
    <m/>
    <m/>
    <s v="Positive"/>
    <s v="Negative"/>
    <s v="Inaccurate Prediction"/>
  </r>
  <r>
    <x v="6"/>
    <x v="63"/>
    <x v="9"/>
    <x v="17"/>
    <x v="66"/>
    <x v="110"/>
    <x v="157"/>
    <x v="29"/>
    <n v="1"/>
    <s v="Not Sampled"/>
    <n v="1992"/>
    <m/>
    <m/>
    <m/>
    <m/>
    <m/>
    <m/>
    <m/>
    <m/>
    <s v="Positive"/>
    <s v="Not Sampled"/>
    <s v="Not Sampled"/>
  </r>
  <r>
    <x v="0"/>
    <x v="90"/>
    <x v="2"/>
    <x v="17"/>
    <x v="0"/>
    <x v="11"/>
    <x v="158"/>
    <x v="14"/>
    <n v="0"/>
    <s v="Not Sampled"/>
    <n v="1993"/>
    <m/>
    <m/>
    <m/>
    <m/>
    <m/>
    <m/>
    <m/>
    <m/>
    <s v="Negative"/>
    <s v="Not Sampled"/>
    <s v="Not Sampled"/>
  </r>
  <r>
    <x v="2"/>
    <x v="53"/>
    <x v="12"/>
    <x v="3"/>
    <x v="35"/>
    <x v="111"/>
    <x v="159"/>
    <x v="1"/>
    <n v="0"/>
    <s v="Not Sampled"/>
    <n v="1994"/>
    <m/>
    <m/>
    <m/>
    <m/>
    <m/>
    <m/>
    <m/>
    <m/>
    <s v="Negative"/>
    <s v="Not Sampled"/>
    <s v="Not Sampled"/>
  </r>
  <r>
    <x v="0"/>
    <x v="21"/>
    <x v="11"/>
    <x v="20"/>
    <x v="67"/>
    <x v="27"/>
    <x v="74"/>
    <x v="9"/>
    <n v="0"/>
    <s v="Not Sampled"/>
    <n v="1995"/>
    <m/>
    <m/>
    <m/>
    <m/>
    <m/>
    <m/>
    <m/>
    <m/>
    <s v="Negative"/>
    <s v="Not Sampled"/>
    <s v="Not Sampled"/>
  </r>
  <r>
    <x v="4"/>
    <x v="91"/>
    <x v="5"/>
    <x v="3"/>
    <x v="66"/>
    <x v="112"/>
    <x v="160"/>
    <x v="31"/>
    <n v="1"/>
    <s v="Not Sampled"/>
    <n v="1996"/>
    <m/>
    <m/>
    <m/>
    <m/>
    <m/>
    <m/>
    <m/>
    <m/>
    <s v="Positive"/>
    <s v="Not Sampled"/>
    <s v="Not Sampled"/>
  </r>
  <r>
    <x v="6"/>
    <x v="69"/>
    <x v="4"/>
    <x v="2"/>
    <x v="0"/>
    <x v="84"/>
    <x v="161"/>
    <x v="8"/>
    <n v="0"/>
    <s v="Not Sampled"/>
    <n v="1997"/>
    <m/>
    <m/>
    <m/>
    <m/>
    <m/>
    <m/>
    <m/>
    <m/>
    <s v="Negative"/>
    <s v="Not Sampled"/>
    <s v="Not Sampled"/>
  </r>
  <r>
    <x v="1"/>
    <x v="52"/>
    <x v="18"/>
    <x v="40"/>
    <x v="66"/>
    <x v="113"/>
    <x v="162"/>
    <x v="25"/>
    <n v="1"/>
    <s v="Not Sampled"/>
    <n v="1998"/>
    <m/>
    <m/>
    <m/>
    <m/>
    <m/>
    <m/>
    <m/>
    <m/>
    <s v="Positive"/>
    <s v="Not Sampled"/>
    <s v="Not Sampled"/>
  </r>
  <r>
    <x v="0"/>
    <x v="14"/>
    <x v="5"/>
    <x v="11"/>
    <x v="7"/>
    <x v="15"/>
    <x v="14"/>
    <x v="14"/>
    <n v="0"/>
    <s v="Not Sampled"/>
    <n v="1999"/>
    <m/>
    <m/>
    <m/>
    <m/>
    <m/>
    <m/>
    <m/>
    <m/>
    <s v="Negative"/>
    <s v="Not Sampled"/>
    <s v="Not Sampl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6" firstHeaderRow="1" firstDataRow="1" firstDataCol="1"/>
  <pivotFields count="22">
    <pivotField showAll="0">
      <items count="18">
        <item x="1"/>
        <item x="2"/>
        <item x="0"/>
        <item x="5"/>
        <item x="3"/>
        <item x="7"/>
        <item x="6"/>
        <item x="8"/>
        <item x="4"/>
        <item x="11"/>
        <item x="9"/>
        <item x="12"/>
        <item x="10"/>
        <item x="13"/>
        <item x="16"/>
        <item x="14"/>
        <item x="15"/>
        <item t="default"/>
      </items>
    </pivotField>
    <pivotField showAll="0">
      <items count="137">
        <item x="18"/>
        <item x="46"/>
        <item x="131"/>
        <item x="82"/>
        <item x="114"/>
        <item x="54"/>
        <item x="134"/>
        <item x="127"/>
        <item x="123"/>
        <item x="37"/>
        <item x="119"/>
        <item x="43"/>
        <item x="58"/>
        <item x="21"/>
        <item x="71"/>
        <item x="108"/>
        <item x="74"/>
        <item x="53"/>
        <item x="11"/>
        <item x="14"/>
        <item x="118"/>
        <item x="8"/>
        <item x="1"/>
        <item x="69"/>
        <item x="103"/>
        <item x="90"/>
        <item x="40"/>
        <item x="9"/>
        <item x="30"/>
        <item x="25"/>
        <item x="66"/>
        <item x="67"/>
        <item x="19"/>
        <item x="50"/>
        <item x="20"/>
        <item x="75"/>
        <item x="116"/>
        <item x="6"/>
        <item x="45"/>
        <item x="39"/>
        <item x="29"/>
        <item x="28"/>
        <item x="88"/>
        <item x="38"/>
        <item x="33"/>
        <item x="61"/>
        <item x="81"/>
        <item x="49"/>
        <item x="13"/>
        <item x="31"/>
        <item x="56"/>
        <item x="57"/>
        <item x="48"/>
        <item x="109"/>
        <item x="113"/>
        <item x="17"/>
        <item x="78"/>
        <item x="93"/>
        <item x="24"/>
        <item x="126"/>
        <item x="27"/>
        <item x="62"/>
        <item x="73"/>
        <item x="10"/>
        <item x="51"/>
        <item x="117"/>
        <item x="80"/>
        <item x="52"/>
        <item x="23"/>
        <item x="55"/>
        <item x="77"/>
        <item x="32"/>
        <item x="63"/>
        <item x="3"/>
        <item x="60"/>
        <item x="59"/>
        <item x="0"/>
        <item x="4"/>
        <item x="98"/>
        <item x="47"/>
        <item x="64"/>
        <item x="92"/>
        <item x="65"/>
        <item x="2"/>
        <item x="36"/>
        <item x="83"/>
        <item x="89"/>
        <item x="133"/>
        <item x="42"/>
        <item x="68"/>
        <item x="87"/>
        <item x="85"/>
        <item x="16"/>
        <item x="70"/>
        <item x="84"/>
        <item x="111"/>
        <item x="95"/>
        <item x="35"/>
        <item x="72"/>
        <item x="106"/>
        <item x="76"/>
        <item x="26"/>
        <item x="101"/>
        <item x="102"/>
        <item x="12"/>
        <item x="107"/>
        <item x="120"/>
        <item x="132"/>
        <item x="79"/>
        <item x="34"/>
        <item x="121"/>
        <item x="5"/>
        <item x="129"/>
        <item x="122"/>
        <item x="41"/>
        <item x="99"/>
        <item x="112"/>
        <item x="91"/>
        <item x="22"/>
        <item x="94"/>
        <item x="110"/>
        <item x="128"/>
        <item x="97"/>
        <item x="124"/>
        <item x="44"/>
        <item x="86"/>
        <item x="115"/>
        <item x="135"/>
        <item x="105"/>
        <item x="104"/>
        <item x="7"/>
        <item x="15"/>
        <item x="96"/>
        <item x="100"/>
        <item x="125"/>
        <item x="130"/>
        <item t="default"/>
      </items>
    </pivotField>
    <pivotField showAll="0">
      <items count="48">
        <item x="2"/>
        <item x="42"/>
        <item x="32"/>
        <item x="43"/>
        <item x="46"/>
        <item x="27"/>
        <item x="37"/>
        <item x="26"/>
        <item x="13"/>
        <item x="33"/>
        <item x="14"/>
        <item x="29"/>
        <item x="20"/>
        <item x="22"/>
        <item x="12"/>
        <item x="40"/>
        <item x="0"/>
        <item x="11"/>
        <item x="7"/>
        <item x="19"/>
        <item x="3"/>
        <item x="9"/>
        <item x="5"/>
        <item x="10"/>
        <item x="25"/>
        <item x="15"/>
        <item x="4"/>
        <item x="6"/>
        <item x="1"/>
        <item x="16"/>
        <item x="23"/>
        <item x="24"/>
        <item x="21"/>
        <item x="8"/>
        <item x="17"/>
        <item x="41"/>
        <item x="36"/>
        <item x="30"/>
        <item x="34"/>
        <item x="39"/>
        <item x="38"/>
        <item x="35"/>
        <item x="44"/>
        <item x="28"/>
        <item x="18"/>
        <item x="45"/>
        <item x="31"/>
        <item t="default"/>
      </items>
    </pivotField>
    <pivotField showAll="0">
      <items count="54">
        <item x="2"/>
        <item x="42"/>
        <item x="47"/>
        <item x="25"/>
        <item x="22"/>
        <item x="39"/>
        <item x="27"/>
        <item x="36"/>
        <item x="11"/>
        <item x="41"/>
        <item x="6"/>
        <item x="10"/>
        <item x="13"/>
        <item x="28"/>
        <item x="23"/>
        <item x="29"/>
        <item x="17"/>
        <item x="20"/>
        <item x="14"/>
        <item x="16"/>
        <item x="21"/>
        <item x="7"/>
        <item x="30"/>
        <item x="8"/>
        <item x="1"/>
        <item x="5"/>
        <item x="12"/>
        <item x="24"/>
        <item x="0"/>
        <item x="35"/>
        <item x="18"/>
        <item x="9"/>
        <item x="15"/>
        <item x="32"/>
        <item x="4"/>
        <item x="3"/>
        <item x="44"/>
        <item x="38"/>
        <item x="45"/>
        <item x="40"/>
        <item x="19"/>
        <item x="46"/>
        <item x="48"/>
        <item x="37"/>
        <item x="33"/>
        <item x="43"/>
        <item x="31"/>
        <item x="34"/>
        <item x="51"/>
        <item x="26"/>
        <item x="49"/>
        <item x="50"/>
        <item x="52"/>
        <item t="default"/>
      </items>
    </pivotField>
    <pivotField showAll="0">
      <items count="183">
        <item x="0"/>
        <item x="141"/>
        <item x="163"/>
        <item x="179"/>
        <item x="41"/>
        <item x="173"/>
        <item x="23"/>
        <item x="158"/>
        <item x="110"/>
        <item x="80"/>
        <item x="22"/>
        <item x="44"/>
        <item x="30"/>
        <item x="39"/>
        <item x="159"/>
        <item x="102"/>
        <item x="118"/>
        <item x="71"/>
        <item x="83"/>
        <item x="166"/>
        <item x="35"/>
        <item x="51"/>
        <item x="52"/>
        <item x="46"/>
        <item x="112"/>
        <item x="61"/>
        <item x="120"/>
        <item x="67"/>
        <item x="79"/>
        <item x="92"/>
        <item x="68"/>
        <item x="128"/>
        <item x="140"/>
        <item x="137"/>
        <item x="55"/>
        <item x="36"/>
        <item x="149"/>
        <item x="5"/>
        <item x="91"/>
        <item x="111"/>
        <item x="19"/>
        <item x="10"/>
        <item x="127"/>
        <item x="115"/>
        <item x="97"/>
        <item x="96"/>
        <item x="7"/>
        <item x="152"/>
        <item x="65"/>
        <item x="11"/>
        <item x="129"/>
        <item x="21"/>
        <item x="117"/>
        <item x="126"/>
        <item x="108"/>
        <item x="15"/>
        <item x="74"/>
        <item x="84"/>
        <item x="124"/>
        <item x="12"/>
        <item x="165"/>
        <item x="53"/>
        <item x="48"/>
        <item x="142"/>
        <item x="107"/>
        <item x="47"/>
        <item x="31"/>
        <item x="16"/>
        <item x="148"/>
        <item x="116"/>
        <item x="27"/>
        <item x="180"/>
        <item x="62"/>
        <item x="133"/>
        <item x="93"/>
        <item x="57"/>
        <item x="77"/>
        <item x="6"/>
        <item x="1"/>
        <item x="153"/>
        <item x="177"/>
        <item x="29"/>
        <item x="76"/>
        <item x="66"/>
        <item x="103"/>
        <item x="42"/>
        <item x="32"/>
        <item x="28"/>
        <item x="162"/>
        <item x="8"/>
        <item x="104"/>
        <item x="90"/>
        <item x="40"/>
        <item x="59"/>
        <item x="64"/>
        <item x="125"/>
        <item x="168"/>
        <item x="69"/>
        <item x="134"/>
        <item x="150"/>
        <item x="119"/>
        <item x="49"/>
        <item x="13"/>
        <item x="114"/>
        <item x="45"/>
        <item x="34"/>
        <item x="181"/>
        <item x="176"/>
        <item x="105"/>
        <item x="98"/>
        <item x="164"/>
        <item x="101"/>
        <item x="157"/>
        <item x="147"/>
        <item x="72"/>
        <item x="144"/>
        <item x="17"/>
        <item x="9"/>
        <item x="85"/>
        <item x="130"/>
        <item x="170"/>
        <item x="58"/>
        <item x="106"/>
        <item x="18"/>
        <item x="14"/>
        <item x="100"/>
        <item x="38"/>
        <item x="50"/>
        <item x="37"/>
        <item x="156"/>
        <item x="109"/>
        <item x="143"/>
        <item x="20"/>
        <item x="121"/>
        <item x="2"/>
        <item x="113"/>
        <item x="88"/>
        <item x="4"/>
        <item x="33"/>
        <item x="75"/>
        <item x="160"/>
        <item x="151"/>
        <item x="132"/>
        <item x="139"/>
        <item x="94"/>
        <item x="73"/>
        <item x="56"/>
        <item x="63"/>
        <item x="174"/>
        <item x="122"/>
        <item x="24"/>
        <item x="26"/>
        <item x="136"/>
        <item x="70"/>
        <item x="161"/>
        <item x="54"/>
        <item x="146"/>
        <item x="145"/>
        <item x="154"/>
        <item x="171"/>
        <item x="25"/>
        <item x="99"/>
        <item x="82"/>
        <item x="89"/>
        <item x="172"/>
        <item x="175"/>
        <item x="87"/>
        <item x="131"/>
        <item x="167"/>
        <item x="123"/>
        <item x="138"/>
        <item x="78"/>
        <item x="3"/>
        <item x="60"/>
        <item x="43"/>
        <item x="178"/>
        <item x="169"/>
        <item x="95"/>
        <item x="135"/>
        <item x="155"/>
        <item x="86"/>
        <item x="81"/>
        <item t="default"/>
      </items>
    </pivotField>
    <pivotField showAll="0">
      <items count="248">
        <item x="12"/>
        <item x="198"/>
        <item x="148"/>
        <item x="72"/>
        <item x="175"/>
        <item x="45"/>
        <item x="222"/>
        <item x="58"/>
        <item x="192"/>
        <item x="224"/>
        <item x="76"/>
        <item x="163"/>
        <item x="169"/>
        <item x="96"/>
        <item x="206"/>
        <item x="216"/>
        <item x="181"/>
        <item x="101"/>
        <item x="28"/>
        <item x="202"/>
        <item x="193"/>
        <item x="65"/>
        <item x="79"/>
        <item x="118"/>
        <item x="39"/>
        <item x="123"/>
        <item x="49"/>
        <item x="179"/>
        <item x="87"/>
        <item x="239"/>
        <item x="226"/>
        <item x="177"/>
        <item x="139"/>
        <item x="195"/>
        <item x="74"/>
        <item x="128"/>
        <item x="33"/>
        <item x="234"/>
        <item x="29"/>
        <item x="122"/>
        <item x="46"/>
        <item x="203"/>
        <item x="66"/>
        <item x="62"/>
        <item x="172"/>
        <item x="158"/>
        <item x="26"/>
        <item x="16"/>
        <item x="18"/>
        <item x="159"/>
        <item x="54"/>
        <item x="171"/>
        <item x="6"/>
        <item x="223"/>
        <item x="151"/>
        <item x="14"/>
        <item x="7"/>
        <item x="173"/>
        <item x="215"/>
        <item x="199"/>
        <item x="71"/>
        <item x="13"/>
        <item x="207"/>
        <item x="90"/>
        <item x="219"/>
        <item x="161"/>
        <item x="150"/>
        <item x="185"/>
        <item x="30"/>
        <item x="41"/>
        <item x="155"/>
        <item x="32"/>
        <item x="116"/>
        <item x="157"/>
        <item x="94"/>
        <item x="43"/>
        <item x="86"/>
        <item x="227"/>
        <item x="109"/>
        <item x="218"/>
        <item x="24"/>
        <item x="77"/>
        <item x="138"/>
        <item x="11"/>
        <item x="55"/>
        <item x="149"/>
        <item x="17"/>
        <item x="81"/>
        <item x="107"/>
        <item x="27"/>
        <item x="187"/>
        <item x="106"/>
        <item x="135"/>
        <item x="15"/>
        <item x="208"/>
        <item x="214"/>
        <item x="25"/>
        <item x="85"/>
        <item x="166"/>
        <item x="98"/>
        <item x="125"/>
        <item x="126"/>
        <item x="84"/>
        <item x="221"/>
        <item x="31"/>
        <item x="108"/>
        <item x="61"/>
        <item x="152"/>
        <item x="204"/>
        <item x="167"/>
        <item x="68"/>
        <item x="56"/>
        <item x="63"/>
        <item x="112"/>
        <item x="10"/>
        <item x="35"/>
        <item x="119"/>
        <item x="34"/>
        <item x="21"/>
        <item x="9"/>
        <item x="0"/>
        <item x="47"/>
        <item x="97"/>
        <item x="75"/>
        <item x="37"/>
        <item x="174"/>
        <item x="89"/>
        <item x="82"/>
        <item x="184"/>
        <item x="93"/>
        <item x="137"/>
        <item x="48"/>
        <item x="124"/>
        <item x="115"/>
        <item x="145"/>
        <item x="60"/>
        <item x="213"/>
        <item x="186"/>
        <item x="110"/>
        <item x="130"/>
        <item x="230"/>
        <item x="140"/>
        <item x="134"/>
        <item x="117"/>
        <item x="231"/>
        <item x="164"/>
        <item x="190"/>
        <item x="153"/>
        <item x="217"/>
        <item x="23"/>
        <item x="69"/>
        <item x="141"/>
        <item x="8"/>
        <item x="99"/>
        <item x="201"/>
        <item x="36"/>
        <item x="19"/>
        <item x="22"/>
        <item x="83"/>
        <item x="129"/>
        <item x="209"/>
        <item x="50"/>
        <item x="136"/>
        <item x="160"/>
        <item x="237"/>
        <item x="176"/>
        <item x="1"/>
        <item x="95"/>
        <item x="189"/>
        <item x="70"/>
        <item x="220"/>
        <item x="162"/>
        <item x="212"/>
        <item x="228"/>
        <item x="20"/>
        <item x="44"/>
        <item x="188"/>
        <item x="121"/>
        <item x="100"/>
        <item x="80"/>
        <item x="170"/>
        <item x="236"/>
        <item x="180"/>
        <item x="154"/>
        <item x="127"/>
        <item x="38"/>
        <item x="52"/>
        <item x="102"/>
        <item x="4"/>
        <item x="225"/>
        <item x="105"/>
        <item x="182"/>
        <item x="238"/>
        <item x="211"/>
        <item x="53"/>
        <item x="133"/>
        <item x="42"/>
        <item x="196"/>
        <item x="183"/>
        <item x="3"/>
        <item x="197"/>
        <item x="132"/>
        <item x="57"/>
        <item x="131"/>
        <item x="92"/>
        <item x="64"/>
        <item x="165"/>
        <item x="59"/>
        <item x="111"/>
        <item x="146"/>
        <item x="143"/>
        <item x="147"/>
        <item x="2"/>
        <item x="235"/>
        <item x="233"/>
        <item x="114"/>
        <item x="142"/>
        <item x="200"/>
        <item x="40"/>
        <item x="178"/>
        <item x="156"/>
        <item x="194"/>
        <item x="210"/>
        <item x="144"/>
        <item x="241"/>
        <item x="5"/>
        <item x="73"/>
        <item x="51"/>
        <item x="103"/>
        <item x="191"/>
        <item x="246"/>
        <item x="67"/>
        <item x="240"/>
        <item x="232"/>
        <item x="78"/>
        <item x="104"/>
        <item x="244"/>
        <item x="120"/>
        <item x="245"/>
        <item x="168"/>
        <item x="88"/>
        <item x="91"/>
        <item x="229"/>
        <item x="205"/>
        <item x="243"/>
        <item x="113"/>
        <item x="242"/>
        <item t="default"/>
      </items>
    </pivotField>
    <pivotField showAll="0">
      <items count="506">
        <item x="235"/>
        <item x="165"/>
        <item x="136"/>
        <item x="124"/>
        <item x="206"/>
        <item x="227"/>
        <item x="133"/>
        <item x="416"/>
        <item x="202"/>
        <item x="76"/>
        <item x="376"/>
        <item x="339"/>
        <item x="435"/>
        <item x="471"/>
        <item x="394"/>
        <item x="273"/>
        <item x="272"/>
        <item x="370"/>
        <item x="0"/>
        <item x="238"/>
        <item x="267"/>
        <item x="90"/>
        <item x="447"/>
        <item x="444"/>
        <item x="322"/>
        <item x="177"/>
        <item x="141"/>
        <item x="419"/>
        <item x="72"/>
        <item x="425"/>
        <item x="173"/>
        <item x="221"/>
        <item x="433"/>
        <item x="10"/>
        <item x="341"/>
        <item x="271"/>
        <item x="439"/>
        <item x="181"/>
        <item x="187"/>
        <item x="502"/>
        <item x="83"/>
        <item x="31"/>
        <item x="448"/>
        <item x="257"/>
        <item x="422"/>
        <item x="430"/>
        <item x="128"/>
        <item x="389"/>
        <item x="321"/>
        <item x="373"/>
        <item x="15"/>
        <item x="192"/>
        <item x="84"/>
        <item x="275"/>
        <item x="148"/>
        <item x="368"/>
        <item x="498"/>
        <item x="57"/>
        <item x="12"/>
        <item x="411"/>
        <item x="473"/>
        <item x="472"/>
        <item x="81"/>
        <item x="95"/>
        <item x="156"/>
        <item x="459"/>
        <item x="451"/>
        <item x="365"/>
        <item x="114"/>
        <item x="179"/>
        <item x="66"/>
        <item x="163"/>
        <item x="465"/>
        <item x="105"/>
        <item x="414"/>
        <item x="319"/>
        <item x="269"/>
        <item x="203"/>
        <item x="103"/>
        <item x="29"/>
        <item x="62"/>
        <item x="147"/>
        <item x="310"/>
        <item x="407"/>
        <item x="28"/>
        <item x="200"/>
        <item x="369"/>
        <item x="355"/>
        <item x="258"/>
        <item x="453"/>
        <item x="135"/>
        <item x="332"/>
        <item x="108"/>
        <item x="309"/>
        <item x="495"/>
        <item x="110"/>
        <item x="301"/>
        <item x="231"/>
        <item x="79"/>
        <item x="145"/>
        <item x="344"/>
        <item x="70"/>
        <item x="1"/>
        <item x="297"/>
        <item x="41"/>
        <item x="183"/>
        <item x="78"/>
        <item x="21"/>
        <item x="312"/>
        <item x="236"/>
        <item x="320"/>
        <item x="288"/>
        <item x="168"/>
        <item x="404"/>
        <item x="426"/>
        <item x="102"/>
        <item x="53"/>
        <item x="224"/>
        <item x="240"/>
        <item x="287"/>
        <item x="466"/>
        <item x="54"/>
        <item x="89"/>
        <item x="152"/>
        <item x="423"/>
        <item x="61"/>
        <item x="247"/>
        <item x="112"/>
        <item x="86"/>
        <item x="96"/>
        <item x="22"/>
        <item x="337"/>
        <item x="481"/>
        <item x="18"/>
        <item x="32"/>
        <item x="363"/>
        <item x="58"/>
        <item x="39"/>
        <item x="131"/>
        <item x="87"/>
        <item x="115"/>
        <item x="285"/>
        <item x="246"/>
        <item x="220"/>
        <item x="97"/>
        <item x="223"/>
        <item x="350"/>
        <item x="129"/>
        <item x="100"/>
        <item x="188"/>
        <item x="190"/>
        <item x="9"/>
        <item x="209"/>
        <item x="6"/>
        <item x="474"/>
        <item x="242"/>
        <item x="27"/>
        <item x="167"/>
        <item x="393"/>
        <item x="291"/>
        <item x="441"/>
        <item x="13"/>
        <item x="47"/>
        <item x="296"/>
        <item x="75"/>
        <item x="17"/>
        <item x="23"/>
        <item x="265"/>
        <item x="480"/>
        <item x="130"/>
        <item x="162"/>
        <item x="504"/>
        <item x="503"/>
        <item x="91"/>
        <item x="82"/>
        <item x="93"/>
        <item x="259"/>
        <item x="338"/>
        <item x="217"/>
        <item x="348"/>
        <item x="279"/>
        <item x="457"/>
        <item x="65"/>
        <item x="461"/>
        <item x="101"/>
        <item x="142"/>
        <item x="399"/>
        <item x="250"/>
        <item x="390"/>
        <item x="50"/>
        <item x="277"/>
        <item x="46"/>
        <item x="266"/>
        <item x="286"/>
        <item x="429"/>
        <item x="284"/>
        <item x="476"/>
        <item x="189"/>
        <item x="92"/>
        <item x="491"/>
        <item x="120"/>
        <item x="431"/>
        <item x="356"/>
        <item x="3"/>
        <item x="458"/>
        <item x="149"/>
        <item x="74"/>
        <item x="406"/>
        <item x="174"/>
        <item x="191"/>
        <item x="323"/>
        <item x="293"/>
        <item x="222"/>
        <item x="352"/>
        <item x="161"/>
        <item x="175"/>
        <item x="294"/>
        <item x="282"/>
        <item x="73"/>
        <item x="432"/>
        <item x="208"/>
        <item x="178"/>
        <item x="71"/>
        <item x="137"/>
        <item x="415"/>
        <item x="396"/>
        <item x="215"/>
        <item x="118"/>
        <item x="113"/>
        <item x="185"/>
        <item x="493"/>
        <item x="26"/>
        <item x="68"/>
        <item x="255"/>
        <item x="351"/>
        <item x="360"/>
        <item x="408"/>
        <item x="374"/>
        <item x="35"/>
        <item x="335"/>
        <item x="239"/>
        <item x="387"/>
        <item x="483"/>
        <item x="219"/>
        <item x="400"/>
        <item x="193"/>
        <item x="138"/>
        <item x="262"/>
        <item x="251"/>
        <item x="342"/>
        <item x="464"/>
        <item x="475"/>
        <item x="85"/>
        <item x="314"/>
        <item x="214"/>
        <item x="445"/>
        <item x="117"/>
        <item x="486"/>
        <item x="243"/>
        <item x="446"/>
        <item x="122"/>
        <item x="358"/>
        <item x="315"/>
        <item x="196"/>
        <item x="436"/>
        <item x="372"/>
        <item x="51"/>
        <item x="154"/>
        <item x="280"/>
        <item x="210"/>
        <item x="418"/>
        <item x="469"/>
        <item x="283"/>
        <item x="490"/>
        <item x="48"/>
        <item x="377"/>
        <item x="155"/>
        <item x="116"/>
        <item x="343"/>
        <item x="354"/>
        <item x="295"/>
        <item x="380"/>
        <item x="395"/>
        <item x="37"/>
        <item x="333"/>
        <item x="304"/>
        <item x="349"/>
        <item x="33"/>
        <item x="195"/>
        <item x="485"/>
        <item x="336"/>
        <item x="254"/>
        <item x="30"/>
        <item x="49"/>
        <item x="268"/>
        <item x="303"/>
        <item x="126"/>
        <item x="328"/>
        <item x="4"/>
        <item x="107"/>
        <item x="157"/>
        <item x="104"/>
        <item x="300"/>
        <item x="14"/>
        <item x="385"/>
        <item x="7"/>
        <item x="330"/>
        <item x="226"/>
        <item x="290"/>
        <item x="484"/>
        <item x="334"/>
        <item x="44"/>
        <item x="470"/>
        <item x="292"/>
        <item x="366"/>
        <item x="132"/>
        <item x="405"/>
        <item x="176"/>
        <item x="289"/>
        <item x="213"/>
        <item x="69"/>
        <item x="45"/>
        <item x="59"/>
        <item x="106"/>
        <item x="392"/>
        <item x="420"/>
        <item x="479"/>
        <item x="125"/>
        <item x="467"/>
        <item x="364"/>
        <item x="397"/>
        <item x="186"/>
        <item x="367"/>
        <item x="442"/>
        <item x="230"/>
        <item x="253"/>
        <item x="456"/>
        <item x="170"/>
        <item x="248"/>
        <item x="501"/>
        <item x="331"/>
        <item x="263"/>
        <item x="8"/>
        <item x="2"/>
        <item x="454"/>
        <item x="143"/>
        <item x="172"/>
        <item x="207"/>
        <item x="482"/>
        <item x="123"/>
        <item x="437"/>
        <item x="204"/>
        <item x="109"/>
        <item x="228"/>
        <item x="347"/>
        <item x="311"/>
        <item x="384"/>
        <item x="36"/>
        <item x="201"/>
        <item x="281"/>
        <item x="326"/>
        <item x="241"/>
        <item x="159"/>
        <item x="391"/>
        <item x="413"/>
        <item x="211"/>
        <item x="140"/>
        <item x="24"/>
        <item x="403"/>
        <item x="440"/>
        <item x="40"/>
        <item x="80"/>
        <item x="60"/>
        <item x="325"/>
        <item x="127"/>
        <item x="361"/>
        <item x="153"/>
        <item x="371"/>
        <item x="378"/>
        <item x="52"/>
        <item x="160"/>
        <item x="500"/>
        <item x="42"/>
        <item x="151"/>
        <item x="166"/>
        <item x="19"/>
        <item x="443"/>
        <item x="270"/>
        <item x="434"/>
        <item x="359"/>
        <item x="488"/>
        <item x="382"/>
        <item x="20"/>
        <item x="119"/>
        <item x="194"/>
        <item x="150"/>
        <item x="244"/>
        <item x="169"/>
        <item x="398"/>
        <item x="252"/>
        <item x="111"/>
        <item x="88"/>
        <item x="497"/>
        <item x="77"/>
        <item x="375"/>
        <item x="158"/>
        <item x="487"/>
        <item x="184"/>
        <item x="99"/>
        <item x="316"/>
        <item x="383"/>
        <item x="199"/>
        <item x="249"/>
        <item x="402"/>
        <item x="302"/>
        <item x="146"/>
        <item x="499"/>
        <item x="306"/>
        <item x="386"/>
        <item x="477"/>
        <item x="460"/>
        <item x="212"/>
        <item x="353"/>
        <item x="144"/>
        <item x="16"/>
        <item x="256"/>
        <item x="64"/>
        <item x="63"/>
        <item x="462"/>
        <item x="67"/>
        <item x="438"/>
        <item x="182"/>
        <item x="261"/>
        <item x="421"/>
        <item x="455"/>
        <item x="245"/>
        <item x="463"/>
        <item x="401"/>
        <item x="278"/>
        <item x="468"/>
        <item x="180"/>
        <item x="379"/>
        <item x="410"/>
        <item x="225"/>
        <item x="98"/>
        <item x="276"/>
        <item x="233"/>
        <item x="318"/>
        <item x="307"/>
        <item x="313"/>
        <item x="345"/>
        <item x="164"/>
        <item x="55"/>
        <item x="34"/>
        <item x="25"/>
        <item x="478"/>
        <item x="232"/>
        <item x="357"/>
        <item x="305"/>
        <item x="362"/>
        <item x="388"/>
        <item x="496"/>
        <item x="198"/>
        <item x="327"/>
        <item x="329"/>
        <item x="492"/>
        <item x="234"/>
        <item x="121"/>
        <item x="264"/>
        <item x="237"/>
        <item x="340"/>
        <item x="11"/>
        <item x="409"/>
        <item x="5"/>
        <item x="449"/>
        <item x="489"/>
        <item x="494"/>
        <item x="139"/>
        <item x="324"/>
        <item x="218"/>
        <item x="94"/>
        <item x="197"/>
        <item x="381"/>
        <item x="417"/>
        <item x="308"/>
        <item x="424"/>
        <item x="450"/>
        <item x="216"/>
        <item x="171"/>
        <item x="229"/>
        <item x="38"/>
        <item x="260"/>
        <item x="452"/>
        <item x="134"/>
        <item x="428"/>
        <item x="274"/>
        <item x="317"/>
        <item x="427"/>
        <item x="412"/>
        <item x="299"/>
        <item x="56"/>
        <item x="43"/>
        <item x="298"/>
        <item x="205"/>
        <item x="346"/>
        <item t="default"/>
      </items>
    </pivotField>
    <pivotField axis="axisRow" showAll="0">
      <items count="53">
        <item x="4"/>
        <item x="11"/>
        <item x="1"/>
        <item x="3"/>
        <item x="14"/>
        <item x="25"/>
        <item x="23"/>
        <item x="6"/>
        <item x="29"/>
        <item x="13"/>
        <item x="2"/>
        <item x="32"/>
        <item x="9"/>
        <item x="34"/>
        <item x="20"/>
        <item x="31"/>
        <item x="26"/>
        <item x="19"/>
        <item x="16"/>
        <item x="18"/>
        <item x="17"/>
        <item x="8"/>
        <item x="33"/>
        <item x="30"/>
        <item x="10"/>
        <item x="22"/>
        <item x="0"/>
        <item x="27"/>
        <item x="43"/>
        <item x="48"/>
        <item x="42"/>
        <item x="41"/>
        <item x="49"/>
        <item x="28"/>
        <item x="15"/>
        <item x="24"/>
        <item x="40"/>
        <item x="5"/>
        <item x="45"/>
        <item x="35"/>
        <item x="36"/>
        <item x="38"/>
        <item x="44"/>
        <item x="21"/>
        <item x="39"/>
        <item x="12"/>
        <item x="7"/>
        <item x="51"/>
        <item x="37"/>
        <item x="50"/>
        <item x="46"/>
        <item x="4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Count of Outcome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AA56"/>
  <sheetViews>
    <sheetView topLeftCell="I1" workbookViewId="0">
      <selection activeCell="Z13" sqref="Z13"/>
    </sheetView>
  </sheetViews>
  <sheetFormatPr defaultRowHeight="15" x14ac:dyDescent="0.25"/>
  <cols>
    <col min="1" max="1" width="13.140625" bestFit="1" customWidth="1"/>
    <col min="2" max="2" width="17.42578125" bestFit="1" customWidth="1"/>
    <col min="4" max="5" width="9.140625" style="1"/>
    <col min="7" max="7" width="9.140625" style="1"/>
    <col min="8" max="8" width="12.140625" style="1" bestFit="1" customWidth="1"/>
    <col min="10" max="10" width="14.42578125" style="1" bestFit="1" customWidth="1"/>
    <col min="11" max="11" width="12.5703125" style="1" bestFit="1" customWidth="1"/>
    <col min="13" max="13" width="13.85546875" bestFit="1" customWidth="1"/>
    <col min="14" max="14" width="12.140625" bestFit="1" customWidth="1"/>
    <col min="21" max="21" width="3.140625" customWidth="1"/>
  </cols>
  <sheetData>
    <row r="3" spans="1:27" x14ac:dyDescent="0.25">
      <c r="A3" s="2" t="s">
        <v>22</v>
      </c>
      <c r="B3" t="s">
        <v>24</v>
      </c>
      <c r="D3" s="1" t="s">
        <v>28</v>
      </c>
      <c r="G3" s="1" t="s">
        <v>1</v>
      </c>
      <c r="J3" s="1" t="s">
        <v>33</v>
      </c>
      <c r="M3" t="s">
        <v>37</v>
      </c>
      <c r="P3" t="s">
        <v>4</v>
      </c>
      <c r="S3" t="s">
        <v>5</v>
      </c>
      <c r="V3" t="s">
        <v>53</v>
      </c>
      <c r="Z3" t="s">
        <v>7</v>
      </c>
    </row>
    <row r="4" spans="1:27" x14ac:dyDescent="0.25">
      <c r="A4" s="3">
        <v>21</v>
      </c>
      <c r="B4" s="4">
        <v>166</v>
      </c>
      <c r="D4" s="1">
        <v>-1000000</v>
      </c>
      <c r="E4" s="1">
        <v>0</v>
      </c>
      <c r="G4" s="1">
        <v>-100000</v>
      </c>
      <c r="H4" s="1" t="s">
        <v>41</v>
      </c>
      <c r="J4" s="1">
        <v>-10000</v>
      </c>
      <c r="K4" s="1" t="s">
        <v>41</v>
      </c>
      <c r="M4" s="1">
        <v>-10000</v>
      </c>
      <c r="N4" t="s">
        <v>41</v>
      </c>
      <c r="P4">
        <v>-100000</v>
      </c>
      <c r="Q4" t="s">
        <v>41</v>
      </c>
      <c r="S4">
        <v>-100000</v>
      </c>
      <c r="T4" t="s">
        <v>41</v>
      </c>
      <c r="V4">
        <v>-100000</v>
      </c>
      <c r="W4" t="s">
        <v>54</v>
      </c>
      <c r="Z4">
        <v>-100000</v>
      </c>
      <c r="AA4" t="s">
        <v>58</v>
      </c>
    </row>
    <row r="5" spans="1:27" x14ac:dyDescent="0.25">
      <c r="A5" s="3">
        <v>22</v>
      </c>
      <c r="B5" s="4">
        <v>192</v>
      </c>
      <c r="D5" s="1">
        <v>1</v>
      </c>
      <c r="E5" s="1">
        <v>1</v>
      </c>
      <c r="G5" s="1">
        <v>1</v>
      </c>
      <c r="H5" s="7" t="s">
        <v>42</v>
      </c>
      <c r="J5" s="1">
        <v>1</v>
      </c>
      <c r="K5" s="7" t="s">
        <v>43</v>
      </c>
      <c r="M5">
        <v>1</v>
      </c>
      <c r="N5" s="5" t="s">
        <v>44</v>
      </c>
      <c r="P5">
        <v>1</v>
      </c>
      <c r="Q5" s="8" t="s">
        <v>42</v>
      </c>
      <c r="S5">
        <v>1</v>
      </c>
      <c r="T5" s="9" t="s">
        <v>49</v>
      </c>
      <c r="V5">
        <v>0.25</v>
      </c>
      <c r="W5" t="s">
        <v>55</v>
      </c>
      <c r="Z5">
        <v>26</v>
      </c>
      <c r="AA5" t="s">
        <v>59</v>
      </c>
    </row>
    <row r="6" spans="1:27" x14ac:dyDescent="0.25">
      <c r="A6" s="3">
        <v>23</v>
      </c>
      <c r="B6" s="4">
        <v>103</v>
      </c>
      <c r="D6" s="1">
        <v>2</v>
      </c>
      <c r="E6" s="1">
        <v>2</v>
      </c>
      <c r="G6" s="1">
        <v>100</v>
      </c>
      <c r="H6" s="1" t="s">
        <v>29</v>
      </c>
      <c r="J6" s="1">
        <v>60</v>
      </c>
      <c r="K6" s="1" t="s">
        <v>34</v>
      </c>
      <c r="M6" s="1">
        <v>10</v>
      </c>
      <c r="N6" s="5" t="s">
        <v>40</v>
      </c>
      <c r="P6">
        <v>100</v>
      </c>
      <c r="Q6" t="s">
        <v>45</v>
      </c>
      <c r="S6">
        <v>26</v>
      </c>
      <c r="T6" t="s">
        <v>50</v>
      </c>
      <c r="V6">
        <v>0.4</v>
      </c>
      <c r="W6" t="s">
        <v>56</v>
      </c>
      <c r="Z6">
        <v>36</v>
      </c>
      <c r="AA6" t="s">
        <v>60</v>
      </c>
    </row>
    <row r="7" spans="1:27" x14ac:dyDescent="0.25">
      <c r="A7" s="3">
        <v>24</v>
      </c>
      <c r="B7" s="4">
        <v>122</v>
      </c>
      <c r="D7" s="1">
        <v>3</v>
      </c>
      <c r="E7" s="5" t="s">
        <v>25</v>
      </c>
      <c r="G7" s="1">
        <v>126</v>
      </c>
      <c r="H7" s="1" t="s">
        <v>30</v>
      </c>
      <c r="J7" s="1">
        <v>70</v>
      </c>
      <c r="K7" s="1" t="s">
        <v>35</v>
      </c>
      <c r="M7" s="1">
        <v>30</v>
      </c>
      <c r="N7" s="1" t="s">
        <v>39</v>
      </c>
      <c r="P7">
        <v>200</v>
      </c>
      <c r="Q7" t="s">
        <v>46</v>
      </c>
      <c r="S7">
        <v>31</v>
      </c>
      <c r="T7" t="s">
        <v>51</v>
      </c>
      <c r="V7">
        <v>0.7</v>
      </c>
      <c r="W7" t="s">
        <v>57</v>
      </c>
      <c r="Z7">
        <v>46</v>
      </c>
      <c r="AA7" t="s">
        <v>61</v>
      </c>
    </row>
    <row r="8" spans="1:27" x14ac:dyDescent="0.25">
      <c r="A8" s="3">
        <v>25</v>
      </c>
      <c r="B8" s="4">
        <v>134</v>
      </c>
      <c r="D8" s="1">
        <v>5</v>
      </c>
      <c r="E8" s="6" t="s">
        <v>26</v>
      </c>
      <c r="G8" s="1">
        <v>151</v>
      </c>
      <c r="H8" s="1" t="s">
        <v>31</v>
      </c>
      <c r="J8" s="1">
        <v>80</v>
      </c>
      <c r="K8" s="1" t="s">
        <v>36</v>
      </c>
      <c r="M8" s="1">
        <v>40</v>
      </c>
      <c r="N8" s="1" t="s">
        <v>38</v>
      </c>
      <c r="P8">
        <v>300</v>
      </c>
      <c r="Q8" t="s">
        <v>48</v>
      </c>
      <c r="S8">
        <v>36</v>
      </c>
      <c r="T8" t="s">
        <v>52</v>
      </c>
    </row>
    <row r="9" spans="1:27" x14ac:dyDescent="0.25">
      <c r="A9" s="3">
        <v>26</v>
      </c>
      <c r="B9" s="4">
        <v>84</v>
      </c>
      <c r="D9" s="1">
        <v>8</v>
      </c>
      <c r="E9" s="1" t="s">
        <v>27</v>
      </c>
      <c r="G9" s="1">
        <v>176</v>
      </c>
      <c r="H9" s="1" t="s">
        <v>32</v>
      </c>
      <c r="P9">
        <v>500</v>
      </c>
      <c r="Q9" t="s">
        <v>47</v>
      </c>
    </row>
    <row r="10" spans="1:27" x14ac:dyDescent="0.25">
      <c r="A10" s="3">
        <v>27</v>
      </c>
      <c r="B10" s="4">
        <v>81</v>
      </c>
    </row>
    <row r="11" spans="1:27" x14ac:dyDescent="0.25">
      <c r="A11" s="3">
        <v>28</v>
      </c>
      <c r="B11" s="4">
        <v>98</v>
      </c>
    </row>
    <row r="12" spans="1:27" x14ac:dyDescent="0.25">
      <c r="A12" s="3">
        <v>29</v>
      </c>
      <c r="B12" s="4">
        <v>70</v>
      </c>
    </row>
    <row r="13" spans="1:27" x14ac:dyDescent="0.25">
      <c r="A13" s="3">
        <v>30</v>
      </c>
      <c r="B13" s="4">
        <v>56</v>
      </c>
    </row>
    <row r="14" spans="1:27" x14ac:dyDescent="0.25">
      <c r="A14" s="3">
        <v>31</v>
      </c>
      <c r="B14" s="4">
        <v>58</v>
      </c>
    </row>
    <row r="15" spans="1:27" x14ac:dyDescent="0.25">
      <c r="A15" s="3">
        <v>32</v>
      </c>
      <c r="B15" s="4">
        <v>31</v>
      </c>
    </row>
    <row r="16" spans="1:27" x14ac:dyDescent="0.25">
      <c r="A16" s="3">
        <v>33</v>
      </c>
      <c r="B16" s="4">
        <v>43</v>
      </c>
    </row>
    <row r="17" spans="1:2" x14ac:dyDescent="0.25">
      <c r="A17" s="3">
        <v>34</v>
      </c>
      <c r="B17" s="4">
        <v>34</v>
      </c>
    </row>
    <row r="18" spans="1:2" x14ac:dyDescent="0.25">
      <c r="A18" s="3">
        <v>35</v>
      </c>
      <c r="B18" s="4">
        <v>27</v>
      </c>
    </row>
    <row r="19" spans="1:2" x14ac:dyDescent="0.25">
      <c r="A19" s="3">
        <v>36</v>
      </c>
      <c r="B19" s="4">
        <v>46</v>
      </c>
    </row>
    <row r="20" spans="1:2" x14ac:dyDescent="0.25">
      <c r="A20" s="3">
        <v>37</v>
      </c>
      <c r="B20" s="4">
        <v>48</v>
      </c>
    </row>
    <row r="21" spans="1:2" x14ac:dyDescent="0.25">
      <c r="A21" s="3">
        <v>38</v>
      </c>
      <c r="B21" s="4">
        <v>45</v>
      </c>
    </row>
    <row r="22" spans="1:2" x14ac:dyDescent="0.25">
      <c r="A22" s="3">
        <v>39</v>
      </c>
      <c r="B22" s="4">
        <v>36</v>
      </c>
    </row>
    <row r="23" spans="1:2" x14ac:dyDescent="0.25">
      <c r="A23" s="3">
        <v>40</v>
      </c>
      <c r="B23" s="4">
        <v>35</v>
      </c>
    </row>
    <row r="24" spans="1:2" x14ac:dyDescent="0.25">
      <c r="A24" s="3">
        <v>41</v>
      </c>
      <c r="B24" s="4">
        <v>51</v>
      </c>
    </row>
    <row r="25" spans="1:2" x14ac:dyDescent="0.25">
      <c r="A25" s="3">
        <v>42</v>
      </c>
      <c r="B25" s="4">
        <v>48</v>
      </c>
    </row>
    <row r="26" spans="1:2" x14ac:dyDescent="0.25">
      <c r="A26" s="3">
        <v>43</v>
      </c>
      <c r="B26" s="4">
        <v>34</v>
      </c>
    </row>
    <row r="27" spans="1:2" x14ac:dyDescent="0.25">
      <c r="A27" s="3">
        <v>44</v>
      </c>
      <c r="B27" s="4">
        <v>20</v>
      </c>
    </row>
    <row r="28" spans="1:2" x14ac:dyDescent="0.25">
      <c r="A28" s="3">
        <v>45</v>
      </c>
      <c r="B28" s="4">
        <v>42</v>
      </c>
    </row>
    <row r="29" spans="1:2" x14ac:dyDescent="0.25">
      <c r="A29" s="3">
        <v>46</v>
      </c>
      <c r="B29" s="4">
        <v>35</v>
      </c>
    </row>
    <row r="30" spans="1:2" x14ac:dyDescent="0.25">
      <c r="A30" s="3">
        <v>47</v>
      </c>
      <c r="B30" s="4">
        <v>17</v>
      </c>
    </row>
    <row r="31" spans="1:2" x14ac:dyDescent="0.25">
      <c r="A31" s="3">
        <v>48</v>
      </c>
      <c r="B31" s="4">
        <v>14</v>
      </c>
    </row>
    <row r="32" spans="1:2" x14ac:dyDescent="0.25">
      <c r="A32" s="3">
        <v>49</v>
      </c>
      <c r="B32" s="4">
        <v>14</v>
      </c>
    </row>
    <row r="33" spans="1:2" x14ac:dyDescent="0.25">
      <c r="A33" s="3">
        <v>50</v>
      </c>
      <c r="B33" s="4">
        <v>21</v>
      </c>
    </row>
    <row r="34" spans="1:2" x14ac:dyDescent="0.25">
      <c r="A34" s="3">
        <v>51</v>
      </c>
      <c r="B34" s="4">
        <v>13</v>
      </c>
    </row>
    <row r="35" spans="1:2" x14ac:dyDescent="0.25">
      <c r="A35" s="3">
        <v>52</v>
      </c>
      <c r="B35" s="4">
        <v>19</v>
      </c>
    </row>
    <row r="36" spans="1:2" x14ac:dyDescent="0.25">
      <c r="A36" s="3">
        <v>53</v>
      </c>
      <c r="B36" s="4">
        <v>10</v>
      </c>
    </row>
    <row r="37" spans="1:2" x14ac:dyDescent="0.25">
      <c r="A37" s="3">
        <v>54</v>
      </c>
      <c r="B37" s="4">
        <v>12</v>
      </c>
    </row>
    <row r="38" spans="1:2" x14ac:dyDescent="0.25">
      <c r="A38" s="3">
        <v>55</v>
      </c>
      <c r="B38" s="4">
        <v>14</v>
      </c>
    </row>
    <row r="39" spans="1:2" x14ac:dyDescent="0.25">
      <c r="A39" s="3">
        <v>56</v>
      </c>
      <c r="B39" s="4">
        <v>7</v>
      </c>
    </row>
    <row r="40" spans="1:2" x14ac:dyDescent="0.25">
      <c r="A40" s="3">
        <v>57</v>
      </c>
      <c r="B40" s="4">
        <v>7</v>
      </c>
    </row>
    <row r="41" spans="1:2" x14ac:dyDescent="0.25">
      <c r="A41" s="3">
        <v>58</v>
      </c>
      <c r="B41" s="4">
        <v>21</v>
      </c>
    </row>
    <row r="42" spans="1:2" x14ac:dyDescent="0.25">
      <c r="A42" s="3">
        <v>59</v>
      </c>
      <c r="B42" s="4">
        <v>6</v>
      </c>
    </row>
    <row r="43" spans="1:2" x14ac:dyDescent="0.25">
      <c r="A43" s="3">
        <v>60</v>
      </c>
      <c r="B43" s="4">
        <v>7</v>
      </c>
    </row>
    <row r="44" spans="1:2" x14ac:dyDescent="0.25">
      <c r="A44" s="3">
        <v>61</v>
      </c>
      <c r="B44" s="4">
        <v>5</v>
      </c>
    </row>
    <row r="45" spans="1:2" x14ac:dyDescent="0.25">
      <c r="A45" s="3">
        <v>62</v>
      </c>
      <c r="B45" s="4">
        <v>10</v>
      </c>
    </row>
    <row r="46" spans="1:2" x14ac:dyDescent="0.25">
      <c r="A46" s="3">
        <v>63</v>
      </c>
      <c r="B46" s="4">
        <v>13</v>
      </c>
    </row>
    <row r="47" spans="1:2" x14ac:dyDescent="0.25">
      <c r="A47" s="3">
        <v>64</v>
      </c>
      <c r="B47" s="4">
        <v>3</v>
      </c>
    </row>
    <row r="48" spans="1:2" x14ac:dyDescent="0.25">
      <c r="A48" s="3">
        <v>65</v>
      </c>
      <c r="B48" s="4">
        <v>8</v>
      </c>
    </row>
    <row r="49" spans="1:2" x14ac:dyDescent="0.25">
      <c r="A49" s="3">
        <v>66</v>
      </c>
      <c r="B49" s="4">
        <v>12</v>
      </c>
    </row>
    <row r="50" spans="1:2" x14ac:dyDescent="0.25">
      <c r="A50" s="3">
        <v>67</v>
      </c>
      <c r="B50" s="4">
        <v>10</v>
      </c>
    </row>
    <row r="51" spans="1:2" x14ac:dyDescent="0.25">
      <c r="A51" s="3">
        <v>68</v>
      </c>
      <c r="B51" s="4">
        <v>3</v>
      </c>
    </row>
    <row r="52" spans="1:2" x14ac:dyDescent="0.25">
      <c r="A52" s="3">
        <v>69</v>
      </c>
      <c r="B52" s="4">
        <v>6</v>
      </c>
    </row>
    <row r="53" spans="1:2" x14ac:dyDescent="0.25">
      <c r="A53" s="3">
        <v>70</v>
      </c>
      <c r="B53" s="4">
        <v>3</v>
      </c>
    </row>
    <row r="54" spans="1:2" x14ac:dyDescent="0.25">
      <c r="A54" s="3">
        <v>72</v>
      </c>
      <c r="B54" s="4">
        <v>3</v>
      </c>
    </row>
    <row r="55" spans="1:2" x14ac:dyDescent="0.25">
      <c r="A55" s="3">
        <v>81</v>
      </c>
      <c r="B55" s="4">
        <v>3</v>
      </c>
    </row>
    <row r="56" spans="1:2" x14ac:dyDescent="0.25">
      <c r="A56" s="3" t="s">
        <v>23</v>
      </c>
      <c r="B56" s="4">
        <v>2000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2001"/>
  <sheetViews>
    <sheetView tabSelected="1" topLeftCell="F1" workbookViewId="0">
      <selection activeCell="L12" sqref="L12"/>
    </sheetView>
  </sheetViews>
  <sheetFormatPr defaultRowHeight="15" x14ac:dyDescent="0.25"/>
  <cols>
    <col min="1" max="1" width="9.140625" style="1"/>
    <col min="2" max="2" width="11.7109375" style="1" bestFit="1" customWidth="1"/>
    <col min="3" max="3" width="16.140625" style="1" customWidth="1"/>
    <col min="4" max="4" width="8" style="1" customWidth="1"/>
    <col min="5" max="5" width="14.42578125" customWidth="1"/>
    <col min="6" max="6" width="14" style="1" bestFit="1" customWidth="1"/>
    <col min="7" max="7" width="20.42578125" customWidth="1"/>
    <col min="8" max="8" width="13.42578125" style="1" customWidth="1"/>
    <col min="9" max="9" width="19.85546875" customWidth="1"/>
    <col min="10" max="10" width="8" style="1" customWidth="1"/>
    <col min="11" max="11" width="17.42578125" customWidth="1"/>
    <col min="12" max="12" width="8" style="1" customWidth="1"/>
    <col min="13" max="13" width="14.85546875" customWidth="1"/>
    <col min="14" max="14" width="8" style="1" customWidth="1"/>
    <col min="15" max="15" width="32" customWidth="1"/>
    <col min="16" max="16" width="8" style="1" customWidth="1"/>
    <col min="17" max="17" width="10.28515625" customWidth="1"/>
    <col min="18" max="18" width="13.140625" style="1" customWidth="1"/>
    <col min="19" max="19" width="16.42578125" customWidth="1"/>
    <col min="20" max="20" width="17.140625" style="1" customWidth="1"/>
    <col min="21" max="21" width="18.140625" customWidth="1"/>
    <col min="22" max="22" width="20" style="1" bestFit="1" customWidth="1"/>
  </cols>
  <sheetData>
    <row r="1" spans="1:22" x14ac:dyDescent="0.25">
      <c r="A1" s="1" t="s">
        <v>11</v>
      </c>
      <c r="B1" s="1" t="s">
        <v>0</v>
      </c>
      <c r="C1" s="1" t="s">
        <v>12</v>
      </c>
      <c r="D1" s="1" t="s">
        <v>1</v>
      </c>
      <c r="E1" s="1" t="s">
        <v>13</v>
      </c>
      <c r="F1" s="1" t="s">
        <v>2</v>
      </c>
      <c r="G1" s="1" t="s">
        <v>14</v>
      </c>
      <c r="H1" s="1" t="s">
        <v>3</v>
      </c>
      <c r="I1" s="1" t="s">
        <v>15</v>
      </c>
      <c r="J1" s="1" t="s">
        <v>4</v>
      </c>
      <c r="K1" s="1" t="s">
        <v>16</v>
      </c>
      <c r="L1" s="1" t="s">
        <v>5</v>
      </c>
      <c r="M1" s="1" t="s">
        <v>17</v>
      </c>
      <c r="N1" s="1" t="s">
        <v>6</v>
      </c>
      <c r="O1" s="1" t="s">
        <v>18</v>
      </c>
      <c r="P1" s="1" t="s">
        <v>7</v>
      </c>
      <c r="Q1" s="1" t="s">
        <v>19</v>
      </c>
      <c r="R1" s="1" t="s">
        <v>8</v>
      </c>
      <c r="S1" s="1" t="s">
        <v>20</v>
      </c>
      <c r="T1" s="1" t="s">
        <v>9</v>
      </c>
      <c r="U1" s="1" t="s">
        <v>21</v>
      </c>
      <c r="V1" s="1" t="s">
        <v>10</v>
      </c>
    </row>
    <row r="2" spans="1:22" x14ac:dyDescent="0.25">
      <c r="A2" s="1">
        <v>0</v>
      </c>
      <c r="B2" s="1">
        <v>2</v>
      </c>
      <c r="C2" s="1">
        <f>LOOKUP(B2,Sheet2!$D$4:$E$9)</f>
        <v>2</v>
      </c>
      <c r="D2" s="1">
        <v>138</v>
      </c>
      <c r="E2" t="str">
        <f>LOOKUP(D2,Sheet2!$G$4:$H$9)</f>
        <v>126-150</v>
      </c>
      <c r="F2" s="1">
        <v>62</v>
      </c>
      <c r="G2" t="str">
        <f>LOOKUP(F2,Sheet2!$J$4:$K$8)</f>
        <v>60-69</v>
      </c>
      <c r="H2" s="1">
        <v>35</v>
      </c>
      <c r="I2" t="str">
        <f>LOOKUP(H2,Sheet2!$M$4:$N$8)</f>
        <v>30-39</v>
      </c>
      <c r="J2" s="1">
        <v>0</v>
      </c>
      <c r="K2" t="str">
        <f>LOOKUP(J2,Sheet2!$P$4:$Q$9)</f>
        <v>Unknown</v>
      </c>
      <c r="L2" s="1">
        <v>33.6</v>
      </c>
      <c r="M2" t="str">
        <f>LOOKUP(L2,Sheet2!$S$4:$T$8)</f>
        <v>31-35</v>
      </c>
      <c r="N2" s="1">
        <v>0.127</v>
      </c>
      <c r="O2" t="str">
        <f>LOOKUP(N2,Sheet2!$V$4:$W$7)</f>
        <v>0.0 - 0.249</v>
      </c>
      <c r="P2" s="1">
        <v>47</v>
      </c>
      <c r="Q2" t="str">
        <f>LOOKUP(P2,Sheet2!$Z$4:$AA$7)</f>
        <v>46+</v>
      </c>
      <c r="R2" s="1">
        <v>1</v>
      </c>
      <c r="S2" t="str">
        <f>IF(R2=1,"Positive","Negative")</f>
        <v>Positive</v>
      </c>
      <c r="T2" s="1">
        <f>IFERROR(VLOOKUP(A2,[1]diabetes_Recognition!$A:$B,2,FALSE),"Not Sampled")</f>
        <v>0</v>
      </c>
      <c r="U2" t="str">
        <f>IF(T2=1,"Positive",(IF(T2=0,"Negative","Not Sampled")))</f>
        <v>Negative</v>
      </c>
      <c r="V2" s="1" t="str">
        <f>IF(U2="Not Sampled","Not Sampled",IF(S2=U2,"Accurate Prediction","Inaccurate Prediction"))</f>
        <v>Inaccurate Prediction</v>
      </c>
    </row>
    <row r="3" spans="1:22" x14ac:dyDescent="0.25">
      <c r="A3" s="1">
        <v>1</v>
      </c>
      <c r="B3" s="1">
        <v>0</v>
      </c>
      <c r="C3" s="1">
        <f>LOOKUP(B3,Sheet2!$D$4:$E$9)</f>
        <v>0</v>
      </c>
      <c r="D3" s="1">
        <v>84</v>
      </c>
      <c r="E3" t="str">
        <f>LOOKUP(D3,Sheet2!$G$4:$H$9)</f>
        <v>1-99</v>
      </c>
      <c r="F3" s="1">
        <v>82</v>
      </c>
      <c r="G3" t="str">
        <f>LOOKUP(F3,Sheet2!$J$4:$K$8)</f>
        <v>80+</v>
      </c>
      <c r="H3" s="1">
        <v>31</v>
      </c>
      <c r="I3" t="str">
        <f>LOOKUP(H3,Sheet2!$M$4:$N$8)</f>
        <v>30-39</v>
      </c>
      <c r="J3" s="1">
        <v>125</v>
      </c>
      <c r="K3" t="str">
        <f>LOOKUP(J3,Sheet2!$P$4:$Q$9)</f>
        <v>100-199</v>
      </c>
      <c r="L3" s="1">
        <v>38.200000000000003</v>
      </c>
      <c r="M3" t="str">
        <f>LOOKUP(L3,Sheet2!$S$4:$T$8)</f>
        <v>36+</v>
      </c>
      <c r="N3" s="1">
        <v>0.23300000000000001</v>
      </c>
      <c r="O3" t="str">
        <f>LOOKUP(N3,Sheet2!$V$4:$W$7)</f>
        <v>0.0 - 0.249</v>
      </c>
      <c r="P3" s="1">
        <v>23</v>
      </c>
      <c r="Q3" t="str">
        <f>LOOKUP(P3,Sheet2!$Z$4:$AA$7)</f>
        <v>&lt;=25</v>
      </c>
      <c r="R3" s="1">
        <v>0</v>
      </c>
      <c r="S3" t="str">
        <f>IF(R3=1,"Positive","Negative")</f>
        <v>Negative</v>
      </c>
      <c r="T3" s="1" t="str">
        <f>IFERROR(VLOOKUP(A3,[1]diabetes_Recognition!$A:$B,2,FALSE),"Not Sampled")</f>
        <v>Not Sampled</v>
      </c>
      <c r="U3" t="str">
        <f>IF(T3=1,"Positive",(IF(T3=0,"Negative","Not Sampled")))</f>
        <v>Not Sampled</v>
      </c>
      <c r="V3" s="1" t="str">
        <f>IF(U3="Not Sampled","Not Sampled",IF(S3=U3,"Accurate Prediction","Inaccurate Prediction"))</f>
        <v>Not Sampled</v>
      </c>
    </row>
    <row r="4" spans="1:22" x14ac:dyDescent="0.25">
      <c r="A4" s="1">
        <v>2</v>
      </c>
      <c r="B4" s="1">
        <v>0</v>
      </c>
      <c r="C4" s="1">
        <f>LOOKUP(B4,Sheet2!$D$4:$E$9)</f>
        <v>0</v>
      </c>
      <c r="D4" s="1">
        <v>145</v>
      </c>
      <c r="E4" t="str">
        <f>LOOKUP(D4,Sheet2!$G$4:$H$9)</f>
        <v>126-150</v>
      </c>
      <c r="F4" s="1">
        <v>0</v>
      </c>
      <c r="G4" t="str">
        <f>LOOKUP(F4,Sheet2!$J$4:$K$8)</f>
        <v>Unknown</v>
      </c>
      <c r="H4" s="1">
        <v>0</v>
      </c>
      <c r="I4" t="str">
        <f>LOOKUP(H4,Sheet2!$M$4:$N$8)</f>
        <v>Unknown</v>
      </c>
      <c r="J4" s="1">
        <v>0</v>
      </c>
      <c r="K4" t="str">
        <f>LOOKUP(J4,Sheet2!$P$4:$Q$9)</f>
        <v>Unknown</v>
      </c>
      <c r="L4" s="1">
        <v>44.2</v>
      </c>
      <c r="M4" t="str">
        <f>LOOKUP(L4,Sheet2!$S$4:$T$8)</f>
        <v>36+</v>
      </c>
      <c r="N4" s="1">
        <v>0.63</v>
      </c>
      <c r="O4" t="str">
        <f>LOOKUP(N4,Sheet2!$V$4:$W$7)</f>
        <v>0.4 - 0.69</v>
      </c>
      <c r="P4" s="1">
        <v>31</v>
      </c>
      <c r="Q4" t="str">
        <f>LOOKUP(P4,Sheet2!$Z$4:$AA$7)</f>
        <v>26-35</v>
      </c>
      <c r="R4" s="1">
        <v>1</v>
      </c>
      <c r="S4" t="str">
        <f>IF(R4=1,"Positive","Negative")</f>
        <v>Positive</v>
      </c>
      <c r="T4" s="1" t="str">
        <f>IFERROR(VLOOKUP(A4,[1]diabetes_Recognition!$A:$B,2,FALSE),"Not Sampled")</f>
        <v>Not Sampled</v>
      </c>
      <c r="U4" t="str">
        <f>IF(T4=1,"Positive",(IF(T4=0,"Negative","Not Sampled")))</f>
        <v>Not Sampled</v>
      </c>
      <c r="V4" s="1" t="str">
        <f>IF(U4="Not Sampled","Not Sampled",IF(S4=U4,"Accurate Prediction","Inaccurate Prediction"))</f>
        <v>Not Sampled</v>
      </c>
    </row>
    <row r="5" spans="1:22" x14ac:dyDescent="0.25">
      <c r="A5" s="1">
        <v>3</v>
      </c>
      <c r="B5" s="1">
        <v>0</v>
      </c>
      <c r="C5" s="1">
        <f>LOOKUP(B5,Sheet2!$D$4:$E$9)</f>
        <v>0</v>
      </c>
      <c r="D5" s="1">
        <v>135</v>
      </c>
      <c r="E5" t="str">
        <f>LOOKUP(D5,Sheet2!$G$4:$H$9)</f>
        <v>126-150</v>
      </c>
      <c r="F5" s="1">
        <v>68</v>
      </c>
      <c r="G5" t="str">
        <f>LOOKUP(F5,Sheet2!$J$4:$K$8)</f>
        <v>60-69</v>
      </c>
      <c r="H5" s="1">
        <v>42</v>
      </c>
      <c r="I5" t="str">
        <f>LOOKUP(H5,Sheet2!$M$4:$N$8)</f>
        <v>40+</v>
      </c>
      <c r="J5" s="1">
        <v>250</v>
      </c>
      <c r="K5" t="str">
        <f>LOOKUP(J5,Sheet2!$P$4:$Q$9)</f>
        <v>200-399</v>
      </c>
      <c r="L5" s="1">
        <v>42.3</v>
      </c>
      <c r="M5" t="str">
        <f>LOOKUP(L5,Sheet2!$S$4:$T$8)</f>
        <v>36+</v>
      </c>
      <c r="N5" s="1">
        <v>0.36499999999999999</v>
      </c>
      <c r="O5" t="str">
        <f>LOOKUP(N5,Sheet2!$V$4:$W$7)</f>
        <v>0.25 - 0.39</v>
      </c>
      <c r="P5" s="1">
        <v>24</v>
      </c>
      <c r="Q5" t="str">
        <f>LOOKUP(P5,Sheet2!$Z$4:$AA$7)</f>
        <v>&lt;=25</v>
      </c>
      <c r="R5" s="1">
        <v>1</v>
      </c>
      <c r="S5" t="str">
        <f>IF(R5=1,"Positive","Negative")</f>
        <v>Positive</v>
      </c>
      <c r="T5" s="1">
        <f>IFERROR(VLOOKUP(A5,[1]diabetes_Recognition!$A:$B,2,FALSE),"Not Sampled")</f>
        <v>0</v>
      </c>
      <c r="U5" t="str">
        <f>IF(T5=1,"Positive",(IF(T5=0,"Negative","Not Sampled")))</f>
        <v>Negative</v>
      </c>
      <c r="V5" s="1" t="str">
        <f>IF(U5="Not Sampled","Not Sampled",IF(S5=U5,"Accurate Prediction","Inaccurate Prediction"))</f>
        <v>Inaccurate Prediction</v>
      </c>
    </row>
    <row r="6" spans="1:22" x14ac:dyDescent="0.25">
      <c r="A6" s="1">
        <v>4</v>
      </c>
      <c r="B6" s="1">
        <v>1</v>
      </c>
      <c r="C6" s="1">
        <f>LOOKUP(B6,Sheet2!$D$4:$E$9)</f>
        <v>1</v>
      </c>
      <c r="D6" s="1">
        <v>139</v>
      </c>
      <c r="E6" t="str">
        <f>LOOKUP(D6,Sheet2!$G$4:$H$9)</f>
        <v>126-150</v>
      </c>
      <c r="F6" s="1">
        <v>62</v>
      </c>
      <c r="G6" t="str">
        <f>LOOKUP(F6,Sheet2!$J$4:$K$8)</f>
        <v>60-69</v>
      </c>
      <c r="H6" s="1">
        <v>41</v>
      </c>
      <c r="I6" t="str">
        <f>LOOKUP(H6,Sheet2!$M$4:$N$8)</f>
        <v>40+</v>
      </c>
      <c r="J6" s="1">
        <v>480</v>
      </c>
      <c r="K6" t="str">
        <f>LOOKUP(J6,Sheet2!$P$4:$Q$9)</f>
        <v>300-499</v>
      </c>
      <c r="L6" s="1">
        <v>40.700000000000003</v>
      </c>
      <c r="M6" t="str">
        <f>LOOKUP(L6,Sheet2!$S$4:$T$8)</f>
        <v>36+</v>
      </c>
      <c r="N6" s="1">
        <v>0.53600000000000003</v>
      </c>
      <c r="O6" t="str">
        <f>LOOKUP(N6,Sheet2!$V$4:$W$7)</f>
        <v>0.4 - 0.69</v>
      </c>
      <c r="P6" s="1">
        <v>21</v>
      </c>
      <c r="Q6" t="str">
        <f>LOOKUP(P6,Sheet2!$Z$4:$AA$7)</f>
        <v>&lt;=25</v>
      </c>
      <c r="R6" s="1">
        <v>0</v>
      </c>
      <c r="S6" t="str">
        <f>IF(R6=1,"Positive","Negative")</f>
        <v>Negative</v>
      </c>
      <c r="T6" s="1" t="str">
        <f>IFERROR(VLOOKUP(A6,[1]diabetes_Recognition!$A:$B,2,FALSE),"Not Sampled")</f>
        <v>Not Sampled</v>
      </c>
      <c r="U6" t="str">
        <f>IF(T6=1,"Positive",(IF(T6=0,"Negative","Not Sampled")))</f>
        <v>Not Sampled</v>
      </c>
      <c r="V6" s="1" t="str">
        <f>IF(U6="Not Sampled","Not Sampled",IF(S6=U6,"Accurate Prediction","Inaccurate Prediction"))</f>
        <v>Not Sampled</v>
      </c>
    </row>
    <row r="7" spans="1:22" x14ac:dyDescent="0.25">
      <c r="A7" s="1">
        <v>5</v>
      </c>
      <c r="B7" s="1">
        <v>0</v>
      </c>
      <c r="C7" s="1">
        <f>LOOKUP(B7,Sheet2!$D$4:$E$9)</f>
        <v>0</v>
      </c>
      <c r="D7" s="1">
        <v>173</v>
      </c>
      <c r="E7" t="str">
        <f>LOOKUP(D7,Sheet2!$G$4:$H$9)</f>
        <v>151-175</v>
      </c>
      <c r="F7" s="1">
        <v>78</v>
      </c>
      <c r="G7" t="str">
        <f>LOOKUP(F7,Sheet2!$J$4:$K$8)</f>
        <v>70-79</v>
      </c>
      <c r="H7" s="1">
        <v>32</v>
      </c>
      <c r="I7" t="str">
        <f>LOOKUP(H7,Sheet2!$M$4:$N$8)</f>
        <v>30-39</v>
      </c>
      <c r="J7" s="1">
        <v>265</v>
      </c>
      <c r="K7" t="str">
        <f>LOOKUP(J7,Sheet2!$P$4:$Q$9)</f>
        <v>200-399</v>
      </c>
      <c r="L7" s="1">
        <v>46.5</v>
      </c>
      <c r="M7" t="str">
        <f>LOOKUP(L7,Sheet2!$S$4:$T$8)</f>
        <v>36+</v>
      </c>
      <c r="N7" s="1">
        <v>1.159</v>
      </c>
      <c r="O7" t="str">
        <f>LOOKUP(N7,Sheet2!$V$4:$W$7)</f>
        <v>0.7+</v>
      </c>
      <c r="P7" s="1">
        <v>58</v>
      </c>
      <c r="Q7" t="str">
        <f>LOOKUP(P7,Sheet2!$Z$4:$AA$7)</f>
        <v>46+</v>
      </c>
      <c r="R7" s="1">
        <v>0</v>
      </c>
      <c r="S7" t="str">
        <f>IF(R7=1,"Positive","Negative")</f>
        <v>Negative</v>
      </c>
      <c r="T7" s="1" t="str">
        <f>IFERROR(VLOOKUP(A7,[1]diabetes_Recognition!$A:$B,2,FALSE),"Not Sampled")</f>
        <v>Not Sampled</v>
      </c>
      <c r="U7" t="str">
        <f>IF(T7=1,"Positive",(IF(T7=0,"Negative","Not Sampled")))</f>
        <v>Not Sampled</v>
      </c>
      <c r="V7" s="1" t="str">
        <f>IF(U7="Not Sampled","Not Sampled",IF(S7=U7,"Accurate Prediction","Inaccurate Prediction"))</f>
        <v>Not Sampled</v>
      </c>
    </row>
    <row r="8" spans="1:22" x14ac:dyDescent="0.25">
      <c r="A8" s="1">
        <v>6</v>
      </c>
      <c r="B8" s="1">
        <v>4</v>
      </c>
      <c r="C8" s="1" t="str">
        <f>LOOKUP(B8,Sheet2!$D$4:$E$9)</f>
        <v>3-4</v>
      </c>
      <c r="D8" s="1">
        <v>99</v>
      </c>
      <c r="E8" t="str">
        <f>LOOKUP(D8,Sheet2!$G$4:$H$9)</f>
        <v>1-99</v>
      </c>
      <c r="F8" s="1">
        <v>72</v>
      </c>
      <c r="G8" t="str">
        <f>LOOKUP(F8,Sheet2!$J$4:$K$8)</f>
        <v>70-79</v>
      </c>
      <c r="H8" s="1">
        <v>17</v>
      </c>
      <c r="I8" t="str">
        <f>LOOKUP(H8,Sheet2!$M$4:$N$8)</f>
        <v>10-30</v>
      </c>
      <c r="J8" s="1">
        <v>0</v>
      </c>
      <c r="K8" t="str">
        <f>LOOKUP(J8,Sheet2!$P$4:$Q$9)</f>
        <v>Unknown</v>
      </c>
      <c r="L8" s="1">
        <v>25.6</v>
      </c>
      <c r="M8" t="str">
        <f>LOOKUP(L8,Sheet2!$S$4:$T$8)</f>
        <v>1-25</v>
      </c>
      <c r="N8" s="1">
        <v>0.29399999999999998</v>
      </c>
      <c r="O8" t="str">
        <f>LOOKUP(N8,Sheet2!$V$4:$W$7)</f>
        <v>0.25 - 0.39</v>
      </c>
      <c r="P8" s="1">
        <v>28</v>
      </c>
      <c r="Q8" t="str">
        <f>LOOKUP(P8,Sheet2!$Z$4:$AA$7)</f>
        <v>26-35</v>
      </c>
      <c r="R8" s="1">
        <v>0</v>
      </c>
      <c r="S8" t="str">
        <f>IF(R8=1,"Positive","Negative")</f>
        <v>Negative</v>
      </c>
      <c r="T8" s="1" t="str">
        <f>IFERROR(VLOOKUP(A8,[1]diabetes_Recognition!$A:$B,2,FALSE),"Not Sampled")</f>
        <v>Not Sampled</v>
      </c>
      <c r="U8" t="str">
        <f>IF(T8=1,"Positive",(IF(T8=0,"Negative","Not Sampled")))</f>
        <v>Not Sampled</v>
      </c>
      <c r="V8" s="1" t="str">
        <f>IF(U8="Not Sampled","Not Sampled",IF(S8=U8,"Accurate Prediction","Inaccurate Prediction"))</f>
        <v>Not Sampled</v>
      </c>
    </row>
    <row r="9" spans="1:22" x14ac:dyDescent="0.25">
      <c r="A9" s="1">
        <v>7</v>
      </c>
      <c r="B9" s="1">
        <v>8</v>
      </c>
      <c r="C9" s="1" t="str">
        <f>LOOKUP(B9,Sheet2!$D$4:$E$9)</f>
        <v>8+</v>
      </c>
      <c r="D9" s="1">
        <v>194</v>
      </c>
      <c r="E9" t="str">
        <f>LOOKUP(D9,Sheet2!$G$4:$H$9)</f>
        <v>176-200</v>
      </c>
      <c r="F9" s="1">
        <v>80</v>
      </c>
      <c r="G9" t="str">
        <f>LOOKUP(F9,Sheet2!$J$4:$K$8)</f>
        <v>80+</v>
      </c>
      <c r="H9" s="1">
        <v>0</v>
      </c>
      <c r="I9" t="str">
        <f>LOOKUP(H9,Sheet2!$M$4:$N$8)</f>
        <v>Unknown</v>
      </c>
      <c r="J9" s="1">
        <v>0</v>
      </c>
      <c r="K9" t="str">
        <f>LOOKUP(J9,Sheet2!$P$4:$Q$9)</f>
        <v>Unknown</v>
      </c>
      <c r="L9" s="1">
        <v>26.1</v>
      </c>
      <c r="M9" t="str">
        <f>LOOKUP(L9,Sheet2!$S$4:$T$8)</f>
        <v>26-30</v>
      </c>
      <c r="N9" s="1">
        <v>0.55100000000000005</v>
      </c>
      <c r="O9" t="str">
        <f>LOOKUP(N9,Sheet2!$V$4:$W$7)</f>
        <v>0.4 - 0.69</v>
      </c>
      <c r="P9" s="1">
        <v>67</v>
      </c>
      <c r="Q9" t="str">
        <f>LOOKUP(P9,Sheet2!$Z$4:$AA$7)</f>
        <v>46+</v>
      </c>
      <c r="R9" s="1">
        <v>0</v>
      </c>
      <c r="S9" t="str">
        <f>IF(R9=1,"Positive","Negative")</f>
        <v>Negative</v>
      </c>
      <c r="T9" s="1" t="str">
        <f>IFERROR(VLOOKUP(A9,[1]diabetes_Recognition!$A:$B,2,FALSE),"Not Sampled")</f>
        <v>Not Sampled</v>
      </c>
      <c r="U9" t="str">
        <f>IF(T9=1,"Positive",(IF(T9=0,"Negative","Not Sampled")))</f>
        <v>Not Sampled</v>
      </c>
      <c r="V9" s="1" t="str">
        <f>IF(U9="Not Sampled","Not Sampled",IF(S9=U9,"Accurate Prediction","Inaccurate Prediction"))</f>
        <v>Not Sampled</v>
      </c>
    </row>
    <row r="10" spans="1:22" x14ac:dyDescent="0.25">
      <c r="A10" s="1">
        <v>8</v>
      </c>
      <c r="B10" s="1">
        <v>2</v>
      </c>
      <c r="C10" s="1">
        <f>LOOKUP(B10,Sheet2!$D$4:$E$9)</f>
        <v>2</v>
      </c>
      <c r="D10" s="1">
        <v>83</v>
      </c>
      <c r="E10" t="str">
        <f>LOOKUP(D10,Sheet2!$G$4:$H$9)</f>
        <v>1-99</v>
      </c>
      <c r="F10" s="1">
        <v>65</v>
      </c>
      <c r="G10" t="str">
        <f>LOOKUP(F10,Sheet2!$J$4:$K$8)</f>
        <v>60-69</v>
      </c>
      <c r="H10" s="1">
        <v>28</v>
      </c>
      <c r="I10" t="str">
        <f>LOOKUP(H10,Sheet2!$M$4:$N$8)</f>
        <v>10-30</v>
      </c>
      <c r="J10" s="1">
        <v>66</v>
      </c>
      <c r="K10" t="str">
        <f>LOOKUP(J10,Sheet2!$P$4:$Q$9)</f>
        <v>1-99</v>
      </c>
      <c r="L10" s="1">
        <v>36.799999999999997</v>
      </c>
      <c r="M10" t="str">
        <f>LOOKUP(L10,Sheet2!$S$4:$T$8)</f>
        <v>36+</v>
      </c>
      <c r="N10" s="1">
        <v>0.629</v>
      </c>
      <c r="O10" t="str">
        <f>LOOKUP(N10,Sheet2!$V$4:$W$7)</f>
        <v>0.4 - 0.69</v>
      </c>
      <c r="P10" s="1">
        <v>24</v>
      </c>
      <c r="Q10" t="str">
        <f>LOOKUP(P10,Sheet2!$Z$4:$AA$7)</f>
        <v>&lt;=25</v>
      </c>
      <c r="R10" s="1">
        <v>0</v>
      </c>
      <c r="S10" t="str">
        <f>IF(R10=1,"Positive","Negative")</f>
        <v>Negative</v>
      </c>
      <c r="T10" s="1">
        <f>IFERROR(VLOOKUP(A10,[1]diabetes_Recognition!$A:$B,2,FALSE),"Not Sampled")</f>
        <v>0</v>
      </c>
      <c r="U10" t="str">
        <f>IF(T10=1,"Positive",(IF(T10=0,"Negative","Not Sampled")))</f>
        <v>Negative</v>
      </c>
      <c r="V10" s="1" t="str">
        <f>IF(U10="Not Sampled","Not Sampled",IF(S10=U10,"Accurate Prediction","Inaccurate Prediction"))</f>
        <v>Accurate Prediction</v>
      </c>
    </row>
    <row r="11" spans="1:22" x14ac:dyDescent="0.25">
      <c r="A11" s="1">
        <v>9</v>
      </c>
      <c r="B11" s="1">
        <v>2</v>
      </c>
      <c r="C11" s="1">
        <f>LOOKUP(B11,Sheet2!$D$4:$E$9)</f>
        <v>2</v>
      </c>
      <c r="D11" s="1">
        <v>89</v>
      </c>
      <c r="E11" t="str">
        <f>LOOKUP(D11,Sheet2!$G$4:$H$9)</f>
        <v>1-99</v>
      </c>
      <c r="F11" s="1">
        <v>90</v>
      </c>
      <c r="G11" t="str">
        <f>LOOKUP(F11,Sheet2!$J$4:$K$8)</f>
        <v>80+</v>
      </c>
      <c r="H11" s="1">
        <v>30</v>
      </c>
      <c r="I11" t="str">
        <f>LOOKUP(H11,Sheet2!$M$4:$N$8)</f>
        <v>30-39</v>
      </c>
      <c r="J11" s="1">
        <v>0</v>
      </c>
      <c r="K11" t="str">
        <f>LOOKUP(J11,Sheet2!$P$4:$Q$9)</f>
        <v>Unknown</v>
      </c>
      <c r="L11" s="1">
        <v>33.5</v>
      </c>
      <c r="M11" t="str">
        <f>LOOKUP(L11,Sheet2!$S$4:$T$8)</f>
        <v>31-35</v>
      </c>
      <c r="N11" s="1">
        <v>0.29199999999999998</v>
      </c>
      <c r="O11" t="str">
        <f>LOOKUP(N11,Sheet2!$V$4:$W$7)</f>
        <v>0.25 - 0.39</v>
      </c>
      <c r="P11" s="1">
        <v>42</v>
      </c>
      <c r="Q11" t="str">
        <f>LOOKUP(P11,Sheet2!$Z$4:$AA$7)</f>
        <v>36-45</v>
      </c>
      <c r="R11" s="1">
        <v>0</v>
      </c>
      <c r="S11" t="str">
        <f>IF(R11=1,"Positive","Negative")</f>
        <v>Negative</v>
      </c>
      <c r="T11" s="1" t="str">
        <f>IFERROR(VLOOKUP(A11,[1]diabetes_Recognition!$A:$B,2,FALSE),"Not Sampled")</f>
        <v>Not Sampled</v>
      </c>
      <c r="U11" t="str">
        <f>IF(T11=1,"Positive",(IF(T11=0,"Negative","Not Sampled")))</f>
        <v>Not Sampled</v>
      </c>
      <c r="V11" s="1" t="str">
        <f>IF(U11="Not Sampled","Not Sampled",IF(S11=U11,"Accurate Prediction","Inaccurate Prediction"))</f>
        <v>Not Sampled</v>
      </c>
    </row>
    <row r="12" spans="1:22" x14ac:dyDescent="0.25">
      <c r="A12" s="1">
        <v>10</v>
      </c>
      <c r="B12" s="1">
        <v>4</v>
      </c>
      <c r="C12" s="1" t="str">
        <f>LOOKUP(B12,Sheet2!$D$4:$E$9)</f>
        <v>3-4</v>
      </c>
      <c r="D12" s="1">
        <v>99</v>
      </c>
      <c r="E12" t="str">
        <f>LOOKUP(D12,Sheet2!$G$4:$H$9)</f>
        <v>1-99</v>
      </c>
      <c r="F12" s="1">
        <v>68</v>
      </c>
      <c r="G12" t="str">
        <f>LOOKUP(F12,Sheet2!$J$4:$K$8)</f>
        <v>60-69</v>
      </c>
      <c r="H12" s="1">
        <v>38</v>
      </c>
      <c r="I12" t="str">
        <f>LOOKUP(H12,Sheet2!$M$4:$N$8)</f>
        <v>30-39</v>
      </c>
      <c r="J12" s="1">
        <v>0</v>
      </c>
      <c r="K12" t="str">
        <f>LOOKUP(J12,Sheet2!$P$4:$Q$9)</f>
        <v>Unknown</v>
      </c>
      <c r="L12" s="1">
        <v>32.799999999999997</v>
      </c>
      <c r="M12" t="str">
        <f>LOOKUP(L12,Sheet2!$S$4:$T$8)</f>
        <v>31-35</v>
      </c>
      <c r="N12" s="1">
        <v>0.14499999999999999</v>
      </c>
      <c r="O12" t="str">
        <f>LOOKUP(N12,Sheet2!$V$4:$W$7)</f>
        <v>0.0 - 0.249</v>
      </c>
      <c r="P12" s="1">
        <v>33</v>
      </c>
      <c r="Q12" t="str">
        <f>LOOKUP(P12,Sheet2!$Z$4:$AA$7)</f>
        <v>26-35</v>
      </c>
      <c r="R12" s="1">
        <v>0</v>
      </c>
      <c r="S12" t="str">
        <f>IF(R12=1,"Positive","Negative")</f>
        <v>Negative</v>
      </c>
      <c r="T12" s="1" t="str">
        <f>IFERROR(VLOOKUP(A12,[1]diabetes_Recognition!$A:$B,2,FALSE),"Not Sampled")</f>
        <v>Not Sampled</v>
      </c>
      <c r="U12" t="str">
        <f>IF(T12=1,"Positive",(IF(T12=0,"Negative","Not Sampled")))</f>
        <v>Not Sampled</v>
      </c>
      <c r="V12" s="1" t="str">
        <f>IF(U12="Not Sampled","Not Sampled",IF(S12=U12,"Accurate Prediction","Inaccurate Prediction"))</f>
        <v>Not Sampled</v>
      </c>
    </row>
    <row r="13" spans="1:22" x14ac:dyDescent="0.25">
      <c r="A13" s="1">
        <v>11</v>
      </c>
      <c r="B13" s="1">
        <v>4</v>
      </c>
      <c r="C13" s="1" t="str">
        <f>LOOKUP(B13,Sheet2!$D$4:$E$9)</f>
        <v>3-4</v>
      </c>
      <c r="D13" s="1">
        <v>125</v>
      </c>
      <c r="E13" t="str">
        <f>LOOKUP(D13,Sheet2!$G$4:$H$9)</f>
        <v>100-125</v>
      </c>
      <c r="F13" s="1">
        <v>70</v>
      </c>
      <c r="G13" t="str">
        <f>LOOKUP(F13,Sheet2!$J$4:$K$8)</f>
        <v>70-79</v>
      </c>
      <c r="H13" s="1">
        <v>18</v>
      </c>
      <c r="I13" t="str">
        <f>LOOKUP(H13,Sheet2!$M$4:$N$8)</f>
        <v>10-30</v>
      </c>
      <c r="J13" s="1">
        <v>122</v>
      </c>
      <c r="K13" t="str">
        <f>LOOKUP(J13,Sheet2!$P$4:$Q$9)</f>
        <v>100-199</v>
      </c>
      <c r="L13" s="1">
        <v>28.9</v>
      </c>
      <c r="M13" t="str">
        <f>LOOKUP(L13,Sheet2!$S$4:$T$8)</f>
        <v>26-30</v>
      </c>
      <c r="N13" s="1">
        <v>1.1439999999999999</v>
      </c>
      <c r="O13" t="str">
        <f>LOOKUP(N13,Sheet2!$V$4:$W$7)</f>
        <v>0.7+</v>
      </c>
      <c r="P13" s="1">
        <v>45</v>
      </c>
      <c r="Q13" t="str">
        <f>LOOKUP(P13,Sheet2!$Z$4:$AA$7)</f>
        <v>36-45</v>
      </c>
      <c r="R13" s="1">
        <v>1</v>
      </c>
      <c r="S13" t="str">
        <f>IF(R13=1,"Positive","Negative")</f>
        <v>Positive</v>
      </c>
      <c r="T13" s="1">
        <f>IFERROR(VLOOKUP(A13,[1]diabetes_Recognition!$A:$B,2,FALSE),"Not Sampled")</f>
        <v>0</v>
      </c>
      <c r="U13" t="str">
        <f>IF(T13=1,"Positive",(IF(T13=0,"Negative","Not Sampled")))</f>
        <v>Negative</v>
      </c>
      <c r="V13" s="1" t="str">
        <f>IF(U13="Not Sampled","Not Sampled",IF(S13=U13,"Accurate Prediction","Inaccurate Prediction"))</f>
        <v>Inaccurate Prediction</v>
      </c>
    </row>
    <row r="14" spans="1:22" x14ac:dyDescent="0.25">
      <c r="A14" s="1">
        <v>12</v>
      </c>
      <c r="B14" s="1">
        <v>3</v>
      </c>
      <c r="C14" s="1" t="str">
        <f>LOOKUP(B14,Sheet2!$D$4:$E$9)</f>
        <v>3-4</v>
      </c>
      <c r="D14" s="1">
        <v>80</v>
      </c>
      <c r="E14" t="str">
        <f>LOOKUP(D14,Sheet2!$G$4:$H$9)</f>
        <v>1-99</v>
      </c>
      <c r="F14" s="1">
        <v>0</v>
      </c>
      <c r="G14" t="str">
        <f>LOOKUP(F14,Sheet2!$J$4:$K$8)</f>
        <v>Unknown</v>
      </c>
      <c r="H14" s="1">
        <v>0</v>
      </c>
      <c r="I14" t="str">
        <f>LOOKUP(H14,Sheet2!$M$4:$N$8)</f>
        <v>Unknown</v>
      </c>
      <c r="J14" s="1">
        <v>0</v>
      </c>
      <c r="K14" t="str">
        <f>LOOKUP(J14,Sheet2!$P$4:$Q$9)</f>
        <v>Unknown</v>
      </c>
      <c r="L14" s="1">
        <v>0</v>
      </c>
      <c r="M14" t="str">
        <f>LOOKUP(L14,Sheet2!$S$4:$T$8)</f>
        <v>Unknown</v>
      </c>
      <c r="N14" s="1">
        <v>0.17399999999999999</v>
      </c>
      <c r="O14" t="str">
        <f>LOOKUP(N14,Sheet2!$V$4:$W$7)</f>
        <v>0.0 - 0.249</v>
      </c>
      <c r="P14" s="1">
        <v>22</v>
      </c>
      <c r="Q14" t="str">
        <f>LOOKUP(P14,Sheet2!$Z$4:$AA$7)</f>
        <v>&lt;=25</v>
      </c>
      <c r="R14" s="1">
        <v>0</v>
      </c>
      <c r="S14" t="str">
        <f>IF(R14=1,"Positive","Negative")</f>
        <v>Negative</v>
      </c>
      <c r="T14" s="1" t="str">
        <f>IFERROR(VLOOKUP(A14,[1]diabetes_Recognition!$A:$B,2,FALSE),"Not Sampled")</f>
        <v>Not Sampled</v>
      </c>
      <c r="U14" t="str">
        <f>IF(T14=1,"Positive",(IF(T14=0,"Negative","Not Sampled")))</f>
        <v>Not Sampled</v>
      </c>
      <c r="V14" s="1" t="str">
        <f>IF(U14="Not Sampled","Not Sampled",IF(S14=U14,"Accurate Prediction","Inaccurate Prediction"))</f>
        <v>Not Sampled</v>
      </c>
    </row>
    <row r="15" spans="1:22" x14ac:dyDescent="0.25">
      <c r="A15" s="1">
        <v>13</v>
      </c>
      <c r="B15" s="1">
        <v>6</v>
      </c>
      <c r="C15" s="1" t="str">
        <f>LOOKUP(B15,Sheet2!$D$4:$E$9)</f>
        <v>5-7</v>
      </c>
      <c r="D15" s="1">
        <v>166</v>
      </c>
      <c r="E15" t="str">
        <f>LOOKUP(D15,Sheet2!$G$4:$H$9)</f>
        <v>151-175</v>
      </c>
      <c r="F15" s="1">
        <v>74</v>
      </c>
      <c r="G15" t="str">
        <f>LOOKUP(F15,Sheet2!$J$4:$K$8)</f>
        <v>70-79</v>
      </c>
      <c r="H15" s="1">
        <v>0</v>
      </c>
      <c r="I15" t="str">
        <f>LOOKUP(H15,Sheet2!$M$4:$N$8)</f>
        <v>Unknown</v>
      </c>
      <c r="J15" s="1">
        <v>0</v>
      </c>
      <c r="K15" t="str">
        <f>LOOKUP(J15,Sheet2!$P$4:$Q$9)</f>
        <v>Unknown</v>
      </c>
      <c r="L15" s="1">
        <v>26.6</v>
      </c>
      <c r="M15" t="str">
        <f>LOOKUP(L15,Sheet2!$S$4:$T$8)</f>
        <v>26-30</v>
      </c>
      <c r="N15" s="1">
        <v>0.30399999999999999</v>
      </c>
      <c r="O15" t="str">
        <f>LOOKUP(N15,Sheet2!$V$4:$W$7)</f>
        <v>0.25 - 0.39</v>
      </c>
      <c r="P15" s="1">
        <v>66</v>
      </c>
      <c r="Q15" t="str">
        <f>LOOKUP(P15,Sheet2!$Z$4:$AA$7)</f>
        <v>46+</v>
      </c>
      <c r="R15" s="1">
        <v>0</v>
      </c>
      <c r="S15" t="str">
        <f>IF(R15=1,"Positive","Negative")</f>
        <v>Negative</v>
      </c>
      <c r="T15" s="1" t="str">
        <f>IFERROR(VLOOKUP(A15,[1]diabetes_Recognition!$A:$B,2,FALSE),"Not Sampled")</f>
        <v>Not Sampled</v>
      </c>
      <c r="U15" t="str">
        <f>IF(T15=1,"Positive",(IF(T15=0,"Negative","Not Sampled")))</f>
        <v>Not Sampled</v>
      </c>
      <c r="V15" s="1" t="str">
        <f>IF(U15="Not Sampled","Not Sampled",IF(S15=U15,"Accurate Prediction","Inaccurate Prediction"))</f>
        <v>Not Sampled</v>
      </c>
    </row>
    <row r="16" spans="1:22" x14ac:dyDescent="0.25">
      <c r="A16" s="1">
        <v>14</v>
      </c>
      <c r="B16" s="1">
        <v>5</v>
      </c>
      <c r="C16" s="1" t="str">
        <f>LOOKUP(B16,Sheet2!$D$4:$E$9)</f>
        <v>5-7</v>
      </c>
      <c r="D16" s="1">
        <v>110</v>
      </c>
      <c r="E16" t="str">
        <f>LOOKUP(D16,Sheet2!$G$4:$H$9)</f>
        <v>100-125</v>
      </c>
      <c r="F16" s="1">
        <v>68</v>
      </c>
      <c r="G16" t="str">
        <f>LOOKUP(F16,Sheet2!$J$4:$K$8)</f>
        <v>60-69</v>
      </c>
      <c r="H16" s="1">
        <v>0</v>
      </c>
      <c r="I16" t="str">
        <f>LOOKUP(H16,Sheet2!$M$4:$N$8)</f>
        <v>Unknown</v>
      </c>
      <c r="J16" s="1">
        <v>0</v>
      </c>
      <c r="K16" t="str">
        <f>LOOKUP(J16,Sheet2!$P$4:$Q$9)</f>
        <v>Unknown</v>
      </c>
      <c r="L16" s="1">
        <v>26</v>
      </c>
      <c r="M16" t="str">
        <f>LOOKUP(L16,Sheet2!$S$4:$T$8)</f>
        <v>26-30</v>
      </c>
      <c r="N16" s="1">
        <v>0.29199999999999998</v>
      </c>
      <c r="O16" t="str">
        <f>LOOKUP(N16,Sheet2!$V$4:$W$7)</f>
        <v>0.25 - 0.39</v>
      </c>
      <c r="P16" s="1">
        <v>30</v>
      </c>
      <c r="Q16" t="str">
        <f>LOOKUP(P16,Sheet2!$Z$4:$AA$7)</f>
        <v>26-35</v>
      </c>
      <c r="R16" s="1">
        <v>0</v>
      </c>
      <c r="S16" t="str">
        <f>IF(R16=1,"Positive","Negative")</f>
        <v>Negative</v>
      </c>
      <c r="T16" s="1" t="str">
        <f>IFERROR(VLOOKUP(A16,[1]diabetes_Recognition!$A:$B,2,FALSE),"Not Sampled")</f>
        <v>Not Sampled</v>
      </c>
      <c r="U16" t="str">
        <f>IF(T16=1,"Positive",(IF(T16=0,"Negative","Not Sampled")))</f>
        <v>Not Sampled</v>
      </c>
      <c r="V16" s="1" t="str">
        <f>IF(U16="Not Sampled","Not Sampled",IF(S16=U16,"Accurate Prediction","Inaccurate Prediction"))</f>
        <v>Not Sampled</v>
      </c>
    </row>
    <row r="17" spans="1:22" x14ac:dyDescent="0.25">
      <c r="A17" s="1">
        <v>15</v>
      </c>
      <c r="B17" s="1">
        <v>2</v>
      </c>
      <c r="C17" s="1">
        <f>LOOKUP(B17,Sheet2!$D$4:$E$9)</f>
        <v>2</v>
      </c>
      <c r="D17" s="1">
        <v>81</v>
      </c>
      <c r="E17" t="str">
        <f>LOOKUP(D17,Sheet2!$G$4:$H$9)</f>
        <v>1-99</v>
      </c>
      <c r="F17" s="1">
        <v>72</v>
      </c>
      <c r="G17" t="str">
        <f>LOOKUP(F17,Sheet2!$J$4:$K$8)</f>
        <v>70-79</v>
      </c>
      <c r="H17" s="1">
        <v>15</v>
      </c>
      <c r="I17" t="str">
        <f>LOOKUP(H17,Sheet2!$M$4:$N$8)</f>
        <v>10-30</v>
      </c>
      <c r="J17" s="1">
        <v>76</v>
      </c>
      <c r="K17" t="str">
        <f>LOOKUP(J17,Sheet2!$P$4:$Q$9)</f>
        <v>1-99</v>
      </c>
      <c r="L17" s="1">
        <v>30.1</v>
      </c>
      <c r="M17" t="str">
        <f>LOOKUP(L17,Sheet2!$S$4:$T$8)</f>
        <v>26-30</v>
      </c>
      <c r="N17" s="1">
        <v>0.54700000000000004</v>
      </c>
      <c r="O17" t="str">
        <f>LOOKUP(N17,Sheet2!$V$4:$W$7)</f>
        <v>0.4 - 0.69</v>
      </c>
      <c r="P17" s="1">
        <v>25</v>
      </c>
      <c r="Q17" t="str">
        <f>LOOKUP(P17,Sheet2!$Z$4:$AA$7)</f>
        <v>&lt;=25</v>
      </c>
      <c r="R17" s="1">
        <v>0</v>
      </c>
      <c r="S17" t="str">
        <f>IF(R17=1,"Positive","Negative")</f>
        <v>Negative</v>
      </c>
      <c r="T17" s="1" t="str">
        <f>IFERROR(VLOOKUP(A17,[1]diabetes_Recognition!$A:$B,2,FALSE),"Not Sampled")</f>
        <v>Not Sampled</v>
      </c>
      <c r="U17" t="str">
        <f>IF(T17=1,"Positive",(IF(T17=0,"Negative","Not Sampled")))</f>
        <v>Not Sampled</v>
      </c>
      <c r="V17" s="1" t="str">
        <f>IF(U17="Not Sampled","Not Sampled",IF(S17=U17,"Accurate Prediction","Inaccurate Prediction"))</f>
        <v>Not Sampled</v>
      </c>
    </row>
    <row r="18" spans="1:22" x14ac:dyDescent="0.25">
      <c r="A18" s="1">
        <v>16</v>
      </c>
      <c r="B18" s="1">
        <v>7</v>
      </c>
      <c r="C18" s="1" t="str">
        <f>LOOKUP(B18,Sheet2!$D$4:$E$9)</f>
        <v>5-7</v>
      </c>
      <c r="D18" s="1">
        <v>195</v>
      </c>
      <c r="E18" t="str">
        <f>LOOKUP(D18,Sheet2!$G$4:$H$9)</f>
        <v>176-200</v>
      </c>
      <c r="F18" s="1">
        <v>70</v>
      </c>
      <c r="G18" t="str">
        <f>LOOKUP(F18,Sheet2!$J$4:$K$8)</f>
        <v>70-79</v>
      </c>
      <c r="H18" s="1">
        <v>33</v>
      </c>
      <c r="I18" t="str">
        <f>LOOKUP(H18,Sheet2!$M$4:$N$8)</f>
        <v>30-39</v>
      </c>
      <c r="J18" s="1">
        <v>145</v>
      </c>
      <c r="K18" t="str">
        <f>LOOKUP(J18,Sheet2!$P$4:$Q$9)</f>
        <v>100-199</v>
      </c>
      <c r="L18" s="1">
        <v>25.1</v>
      </c>
      <c r="M18" t="str">
        <f>LOOKUP(L18,Sheet2!$S$4:$T$8)</f>
        <v>1-25</v>
      </c>
      <c r="N18" s="1">
        <v>0.16300000000000001</v>
      </c>
      <c r="O18" t="str">
        <f>LOOKUP(N18,Sheet2!$V$4:$W$7)</f>
        <v>0.0 - 0.249</v>
      </c>
      <c r="P18" s="1">
        <v>55</v>
      </c>
      <c r="Q18" t="str">
        <f>LOOKUP(P18,Sheet2!$Z$4:$AA$7)</f>
        <v>46+</v>
      </c>
      <c r="R18" s="1">
        <v>1</v>
      </c>
      <c r="S18" t="str">
        <f>IF(R18=1,"Positive","Negative")</f>
        <v>Positive</v>
      </c>
      <c r="T18" s="1" t="str">
        <f>IFERROR(VLOOKUP(A18,[1]diabetes_Recognition!$A:$B,2,FALSE),"Not Sampled")</f>
        <v>Not Sampled</v>
      </c>
      <c r="U18" t="str">
        <f>IF(T18=1,"Positive",(IF(T18=0,"Negative","Not Sampled")))</f>
        <v>Not Sampled</v>
      </c>
      <c r="V18" s="1" t="str">
        <f>IF(U18="Not Sampled","Not Sampled",IF(S18=U18,"Accurate Prediction","Inaccurate Prediction"))</f>
        <v>Not Sampled</v>
      </c>
    </row>
    <row r="19" spans="1:22" x14ac:dyDescent="0.25">
      <c r="A19" s="1">
        <v>17</v>
      </c>
      <c r="B19" s="1">
        <v>6</v>
      </c>
      <c r="C19" s="1" t="str">
        <f>LOOKUP(B19,Sheet2!$D$4:$E$9)</f>
        <v>5-7</v>
      </c>
      <c r="D19" s="1">
        <v>154</v>
      </c>
      <c r="E19" t="str">
        <f>LOOKUP(D19,Sheet2!$G$4:$H$9)</f>
        <v>151-175</v>
      </c>
      <c r="F19" s="1">
        <v>74</v>
      </c>
      <c r="G19" t="str">
        <f>LOOKUP(F19,Sheet2!$J$4:$K$8)</f>
        <v>70-79</v>
      </c>
      <c r="H19" s="1">
        <v>32</v>
      </c>
      <c r="I19" t="str">
        <f>LOOKUP(H19,Sheet2!$M$4:$N$8)</f>
        <v>30-39</v>
      </c>
      <c r="J19" s="1">
        <v>193</v>
      </c>
      <c r="K19" t="str">
        <f>LOOKUP(J19,Sheet2!$P$4:$Q$9)</f>
        <v>100-199</v>
      </c>
      <c r="L19" s="1">
        <v>29.3</v>
      </c>
      <c r="M19" t="str">
        <f>LOOKUP(L19,Sheet2!$S$4:$T$8)</f>
        <v>26-30</v>
      </c>
      <c r="N19" s="1">
        <v>0.83899999999999997</v>
      </c>
      <c r="O19" t="str">
        <f>LOOKUP(N19,Sheet2!$V$4:$W$7)</f>
        <v>0.7+</v>
      </c>
      <c r="P19" s="1">
        <v>39</v>
      </c>
      <c r="Q19" t="str">
        <f>LOOKUP(P19,Sheet2!$Z$4:$AA$7)</f>
        <v>36-45</v>
      </c>
      <c r="R19" s="1">
        <v>0</v>
      </c>
      <c r="S19" t="str">
        <f>IF(R19=1,"Positive","Negative")</f>
        <v>Negative</v>
      </c>
      <c r="T19" s="1">
        <f>IFERROR(VLOOKUP(A19,[1]diabetes_Recognition!$A:$B,2,FALSE),"Not Sampled")</f>
        <v>1</v>
      </c>
      <c r="U19" t="str">
        <f>IF(T19=1,"Positive",(IF(T19=0,"Negative","Not Sampled")))</f>
        <v>Positive</v>
      </c>
      <c r="V19" s="1" t="str">
        <f>IF(U19="Not Sampled","Not Sampled",IF(S19=U19,"Accurate Prediction","Inaccurate Prediction"))</f>
        <v>Inaccurate Prediction</v>
      </c>
    </row>
    <row r="20" spans="1:22" x14ac:dyDescent="0.25">
      <c r="A20" s="1">
        <v>18</v>
      </c>
      <c r="B20" s="1">
        <v>2</v>
      </c>
      <c r="C20" s="1">
        <f>LOOKUP(B20,Sheet2!$D$4:$E$9)</f>
        <v>2</v>
      </c>
      <c r="D20" s="1">
        <v>117</v>
      </c>
      <c r="E20" t="str">
        <f>LOOKUP(D20,Sheet2!$G$4:$H$9)</f>
        <v>100-125</v>
      </c>
      <c r="F20" s="1">
        <v>90</v>
      </c>
      <c r="G20" t="str">
        <f>LOOKUP(F20,Sheet2!$J$4:$K$8)</f>
        <v>80+</v>
      </c>
      <c r="H20" s="1">
        <v>19</v>
      </c>
      <c r="I20" t="str">
        <f>LOOKUP(H20,Sheet2!$M$4:$N$8)</f>
        <v>10-30</v>
      </c>
      <c r="J20" s="1">
        <v>71</v>
      </c>
      <c r="K20" t="str">
        <f>LOOKUP(J20,Sheet2!$P$4:$Q$9)</f>
        <v>1-99</v>
      </c>
      <c r="L20" s="1">
        <v>25.2</v>
      </c>
      <c r="M20" t="str">
        <f>LOOKUP(L20,Sheet2!$S$4:$T$8)</f>
        <v>1-25</v>
      </c>
      <c r="N20" s="1">
        <v>0.313</v>
      </c>
      <c r="O20" t="str">
        <f>LOOKUP(N20,Sheet2!$V$4:$W$7)</f>
        <v>0.25 - 0.39</v>
      </c>
      <c r="P20" s="1">
        <v>21</v>
      </c>
      <c r="Q20" t="str">
        <f>LOOKUP(P20,Sheet2!$Z$4:$AA$7)</f>
        <v>&lt;=25</v>
      </c>
      <c r="R20" s="1">
        <v>0</v>
      </c>
      <c r="S20" t="str">
        <f>IF(R20=1,"Positive","Negative")</f>
        <v>Negative</v>
      </c>
      <c r="T20" s="1" t="str">
        <f>IFERROR(VLOOKUP(A20,[1]diabetes_Recognition!$A:$B,2,FALSE),"Not Sampled")</f>
        <v>Not Sampled</v>
      </c>
      <c r="U20" t="str">
        <f>IF(T20=1,"Positive",(IF(T20=0,"Negative","Not Sampled")))</f>
        <v>Not Sampled</v>
      </c>
      <c r="V20" s="1" t="str">
        <f>IF(U20="Not Sampled","Not Sampled",IF(S20=U20,"Accurate Prediction","Inaccurate Prediction"))</f>
        <v>Not Sampled</v>
      </c>
    </row>
    <row r="21" spans="1:22" x14ac:dyDescent="0.25">
      <c r="A21" s="1">
        <v>19</v>
      </c>
      <c r="B21" s="1">
        <v>3</v>
      </c>
      <c r="C21" s="1" t="str">
        <f>LOOKUP(B21,Sheet2!$D$4:$E$9)</f>
        <v>3-4</v>
      </c>
      <c r="D21" s="1">
        <v>84</v>
      </c>
      <c r="E21" t="str">
        <f>LOOKUP(D21,Sheet2!$G$4:$H$9)</f>
        <v>1-99</v>
      </c>
      <c r="F21" s="1">
        <v>72</v>
      </c>
      <c r="G21" t="str">
        <f>LOOKUP(F21,Sheet2!$J$4:$K$8)</f>
        <v>70-79</v>
      </c>
      <c r="H21" s="1">
        <v>32</v>
      </c>
      <c r="I21" t="str">
        <f>LOOKUP(H21,Sheet2!$M$4:$N$8)</f>
        <v>30-39</v>
      </c>
      <c r="J21" s="1">
        <v>0</v>
      </c>
      <c r="K21" t="str">
        <f>LOOKUP(J21,Sheet2!$P$4:$Q$9)</f>
        <v>Unknown</v>
      </c>
      <c r="L21" s="1">
        <v>37.200000000000003</v>
      </c>
      <c r="M21" t="str">
        <f>LOOKUP(L21,Sheet2!$S$4:$T$8)</f>
        <v>36+</v>
      </c>
      <c r="N21" s="1">
        <v>0.26700000000000002</v>
      </c>
      <c r="O21" t="str">
        <f>LOOKUP(N21,Sheet2!$V$4:$W$7)</f>
        <v>0.25 - 0.39</v>
      </c>
      <c r="P21" s="1">
        <v>28</v>
      </c>
      <c r="Q21" t="str">
        <f>LOOKUP(P21,Sheet2!$Z$4:$AA$7)</f>
        <v>26-35</v>
      </c>
      <c r="R21" s="1">
        <v>0</v>
      </c>
      <c r="S21" t="str">
        <f>IF(R21=1,"Positive","Negative")</f>
        <v>Negative</v>
      </c>
      <c r="T21" s="1" t="str">
        <f>IFERROR(VLOOKUP(A21,[1]diabetes_Recognition!$A:$B,2,FALSE),"Not Sampled")</f>
        <v>Not Sampled</v>
      </c>
      <c r="U21" t="str">
        <f>IF(T21=1,"Positive",(IF(T21=0,"Negative","Not Sampled")))</f>
        <v>Not Sampled</v>
      </c>
      <c r="V21" s="1" t="str">
        <f>IF(U21="Not Sampled","Not Sampled",IF(S21=U21,"Accurate Prediction","Inaccurate Prediction"))</f>
        <v>Not Sampled</v>
      </c>
    </row>
    <row r="22" spans="1:22" x14ac:dyDescent="0.25">
      <c r="A22" s="1">
        <v>20</v>
      </c>
      <c r="B22" s="1">
        <v>6</v>
      </c>
      <c r="C22" s="1" t="str">
        <f>LOOKUP(B22,Sheet2!$D$4:$E$9)</f>
        <v>5-7</v>
      </c>
      <c r="D22" s="1">
        <v>0</v>
      </c>
      <c r="E22" t="str">
        <f>LOOKUP(D22,Sheet2!$G$4:$H$9)</f>
        <v>Unknown</v>
      </c>
      <c r="F22" s="1">
        <v>68</v>
      </c>
      <c r="G22" t="str">
        <f>LOOKUP(F22,Sheet2!$J$4:$K$8)</f>
        <v>60-69</v>
      </c>
      <c r="H22" s="1">
        <v>41</v>
      </c>
      <c r="I22" t="str">
        <f>LOOKUP(H22,Sheet2!$M$4:$N$8)</f>
        <v>40+</v>
      </c>
      <c r="J22" s="1">
        <v>0</v>
      </c>
      <c r="K22" t="str">
        <f>LOOKUP(J22,Sheet2!$P$4:$Q$9)</f>
        <v>Unknown</v>
      </c>
      <c r="L22" s="1">
        <v>39</v>
      </c>
      <c r="M22" t="str">
        <f>LOOKUP(L22,Sheet2!$S$4:$T$8)</f>
        <v>36+</v>
      </c>
      <c r="N22" s="1">
        <v>0.72699999999999998</v>
      </c>
      <c r="O22" t="str">
        <f>LOOKUP(N22,Sheet2!$V$4:$W$7)</f>
        <v>0.7+</v>
      </c>
      <c r="P22" s="1">
        <v>41</v>
      </c>
      <c r="Q22" t="str">
        <f>LOOKUP(P22,Sheet2!$Z$4:$AA$7)</f>
        <v>36-45</v>
      </c>
      <c r="R22" s="1">
        <v>1</v>
      </c>
      <c r="S22" t="str">
        <f>IF(R22=1,"Positive","Negative")</f>
        <v>Positive</v>
      </c>
      <c r="T22" s="1" t="str">
        <f>IFERROR(VLOOKUP(A22,[1]diabetes_Recognition!$A:$B,2,FALSE),"Not Sampled")</f>
        <v>Not Sampled</v>
      </c>
      <c r="U22" t="str">
        <f>IF(T22=1,"Positive",(IF(T22=0,"Negative","Not Sampled")))</f>
        <v>Not Sampled</v>
      </c>
      <c r="V22" s="1" t="str">
        <f>IF(U22="Not Sampled","Not Sampled",IF(S22=U22,"Accurate Prediction","Inaccurate Prediction"))</f>
        <v>Not Sampled</v>
      </c>
    </row>
    <row r="23" spans="1:22" x14ac:dyDescent="0.25">
      <c r="A23" s="1">
        <v>21</v>
      </c>
      <c r="B23" s="1">
        <v>7</v>
      </c>
      <c r="C23" s="1" t="str">
        <f>LOOKUP(B23,Sheet2!$D$4:$E$9)</f>
        <v>5-7</v>
      </c>
      <c r="D23" s="1">
        <v>94</v>
      </c>
      <c r="E23" t="str">
        <f>LOOKUP(D23,Sheet2!$G$4:$H$9)</f>
        <v>1-99</v>
      </c>
      <c r="F23" s="1">
        <v>64</v>
      </c>
      <c r="G23" t="str">
        <f>LOOKUP(F23,Sheet2!$J$4:$K$8)</f>
        <v>60-69</v>
      </c>
      <c r="H23" s="1">
        <v>25</v>
      </c>
      <c r="I23" t="str">
        <f>LOOKUP(H23,Sheet2!$M$4:$N$8)</f>
        <v>10-30</v>
      </c>
      <c r="J23" s="1">
        <v>79</v>
      </c>
      <c r="K23" t="str">
        <f>LOOKUP(J23,Sheet2!$P$4:$Q$9)</f>
        <v>1-99</v>
      </c>
      <c r="L23" s="1">
        <v>33.299999999999997</v>
      </c>
      <c r="M23" t="str">
        <f>LOOKUP(L23,Sheet2!$S$4:$T$8)</f>
        <v>31-35</v>
      </c>
      <c r="N23" s="1">
        <v>0.73799999999999999</v>
      </c>
      <c r="O23" t="str">
        <f>LOOKUP(N23,Sheet2!$V$4:$W$7)</f>
        <v>0.7+</v>
      </c>
      <c r="P23" s="1">
        <v>41</v>
      </c>
      <c r="Q23" t="str">
        <f>LOOKUP(P23,Sheet2!$Z$4:$AA$7)</f>
        <v>36-45</v>
      </c>
      <c r="R23" s="1">
        <v>0</v>
      </c>
      <c r="S23" t="str">
        <f>IF(R23=1,"Positive","Negative")</f>
        <v>Negative</v>
      </c>
      <c r="T23" s="1" t="str">
        <f>IFERROR(VLOOKUP(A23,[1]diabetes_Recognition!$A:$B,2,FALSE),"Not Sampled")</f>
        <v>Not Sampled</v>
      </c>
      <c r="U23" t="str">
        <f>IF(T23=1,"Positive",(IF(T23=0,"Negative","Not Sampled")))</f>
        <v>Not Sampled</v>
      </c>
      <c r="V23" s="1" t="str">
        <f>IF(U23="Not Sampled","Not Sampled",IF(S23=U23,"Accurate Prediction","Inaccurate Prediction"))</f>
        <v>Not Sampled</v>
      </c>
    </row>
    <row r="24" spans="1:22" x14ac:dyDescent="0.25">
      <c r="A24" s="1">
        <v>22</v>
      </c>
      <c r="B24" s="1">
        <v>3</v>
      </c>
      <c r="C24" s="1" t="str">
        <f>LOOKUP(B24,Sheet2!$D$4:$E$9)</f>
        <v>3-4</v>
      </c>
      <c r="D24" s="1">
        <v>96</v>
      </c>
      <c r="E24" t="str">
        <f>LOOKUP(D24,Sheet2!$G$4:$H$9)</f>
        <v>1-99</v>
      </c>
      <c r="F24" s="1">
        <v>78</v>
      </c>
      <c r="G24" t="str">
        <f>LOOKUP(F24,Sheet2!$J$4:$K$8)</f>
        <v>70-79</v>
      </c>
      <c r="H24" s="1">
        <v>39</v>
      </c>
      <c r="I24" t="str">
        <f>LOOKUP(H24,Sheet2!$M$4:$N$8)</f>
        <v>30-39</v>
      </c>
      <c r="J24" s="1">
        <v>0</v>
      </c>
      <c r="K24" t="str">
        <f>LOOKUP(J24,Sheet2!$P$4:$Q$9)</f>
        <v>Unknown</v>
      </c>
      <c r="L24" s="1">
        <v>37.299999999999997</v>
      </c>
      <c r="M24" t="str">
        <f>LOOKUP(L24,Sheet2!$S$4:$T$8)</f>
        <v>36+</v>
      </c>
      <c r="N24" s="1">
        <v>0.23799999999999999</v>
      </c>
      <c r="O24" t="str">
        <f>LOOKUP(N24,Sheet2!$V$4:$W$7)</f>
        <v>0.0 - 0.249</v>
      </c>
      <c r="P24" s="1">
        <v>40</v>
      </c>
      <c r="Q24" t="str">
        <f>LOOKUP(P24,Sheet2!$Z$4:$AA$7)</f>
        <v>36-45</v>
      </c>
      <c r="R24" s="1">
        <v>0</v>
      </c>
      <c r="S24" t="str">
        <f>IF(R24=1,"Positive","Negative")</f>
        <v>Negative</v>
      </c>
      <c r="T24" s="1" t="str">
        <f>IFERROR(VLOOKUP(A24,[1]diabetes_Recognition!$A:$B,2,FALSE),"Not Sampled")</f>
        <v>Not Sampled</v>
      </c>
      <c r="U24" t="str">
        <f>IF(T24=1,"Positive",(IF(T24=0,"Negative","Not Sampled")))</f>
        <v>Not Sampled</v>
      </c>
      <c r="V24" s="1" t="str">
        <f>IF(U24="Not Sampled","Not Sampled",IF(S24=U24,"Accurate Prediction","Inaccurate Prediction"))</f>
        <v>Not Sampled</v>
      </c>
    </row>
    <row r="25" spans="1:22" x14ac:dyDescent="0.25">
      <c r="A25" s="1">
        <v>23</v>
      </c>
      <c r="B25" s="1">
        <v>10</v>
      </c>
      <c r="C25" s="1" t="str">
        <f>LOOKUP(B25,Sheet2!$D$4:$E$9)</f>
        <v>8+</v>
      </c>
      <c r="D25" s="1">
        <v>75</v>
      </c>
      <c r="E25" t="str">
        <f>LOOKUP(D25,Sheet2!$G$4:$H$9)</f>
        <v>1-99</v>
      </c>
      <c r="F25" s="1">
        <v>82</v>
      </c>
      <c r="G25" t="str">
        <f>LOOKUP(F25,Sheet2!$J$4:$K$8)</f>
        <v>80+</v>
      </c>
      <c r="H25" s="1">
        <v>0</v>
      </c>
      <c r="I25" t="str">
        <f>LOOKUP(H25,Sheet2!$M$4:$N$8)</f>
        <v>Unknown</v>
      </c>
      <c r="J25" s="1">
        <v>0</v>
      </c>
      <c r="K25" t="str">
        <f>LOOKUP(J25,Sheet2!$P$4:$Q$9)</f>
        <v>Unknown</v>
      </c>
      <c r="L25" s="1">
        <v>33.299999999999997</v>
      </c>
      <c r="M25" t="str">
        <f>LOOKUP(L25,Sheet2!$S$4:$T$8)</f>
        <v>31-35</v>
      </c>
      <c r="N25" s="1">
        <v>0.26300000000000001</v>
      </c>
      <c r="O25" t="str">
        <f>LOOKUP(N25,Sheet2!$V$4:$W$7)</f>
        <v>0.25 - 0.39</v>
      </c>
      <c r="P25" s="1">
        <v>38</v>
      </c>
      <c r="Q25" t="str">
        <f>LOOKUP(P25,Sheet2!$Z$4:$AA$7)</f>
        <v>36-45</v>
      </c>
      <c r="R25" s="1">
        <v>0</v>
      </c>
      <c r="S25" t="str">
        <f>IF(R25=1,"Positive","Negative")</f>
        <v>Negative</v>
      </c>
      <c r="T25" s="1" t="str">
        <f>IFERROR(VLOOKUP(A25,[1]diabetes_Recognition!$A:$B,2,FALSE),"Not Sampled")</f>
        <v>Not Sampled</v>
      </c>
      <c r="U25" t="str">
        <f>IF(T25=1,"Positive",(IF(T25=0,"Negative","Not Sampled")))</f>
        <v>Not Sampled</v>
      </c>
      <c r="V25" s="1" t="str">
        <f>IF(U25="Not Sampled","Not Sampled",IF(S25=U25,"Accurate Prediction","Inaccurate Prediction"))</f>
        <v>Not Sampled</v>
      </c>
    </row>
    <row r="26" spans="1:22" x14ac:dyDescent="0.25">
      <c r="A26" s="1">
        <v>24</v>
      </c>
      <c r="B26" s="1">
        <v>0</v>
      </c>
      <c r="C26" s="1">
        <f>LOOKUP(B26,Sheet2!$D$4:$E$9)</f>
        <v>0</v>
      </c>
      <c r="D26" s="1">
        <v>180</v>
      </c>
      <c r="E26" t="str">
        <f>LOOKUP(D26,Sheet2!$G$4:$H$9)</f>
        <v>176-200</v>
      </c>
      <c r="F26" s="1">
        <v>90</v>
      </c>
      <c r="G26" t="str">
        <f>LOOKUP(F26,Sheet2!$J$4:$K$8)</f>
        <v>80+</v>
      </c>
      <c r="H26" s="1">
        <v>26</v>
      </c>
      <c r="I26" t="str">
        <f>LOOKUP(H26,Sheet2!$M$4:$N$8)</f>
        <v>10-30</v>
      </c>
      <c r="J26" s="1">
        <v>90</v>
      </c>
      <c r="K26" t="str">
        <f>LOOKUP(J26,Sheet2!$P$4:$Q$9)</f>
        <v>1-99</v>
      </c>
      <c r="L26" s="1">
        <v>36.5</v>
      </c>
      <c r="M26" t="str">
        <f>LOOKUP(L26,Sheet2!$S$4:$T$8)</f>
        <v>36+</v>
      </c>
      <c r="N26" s="1">
        <v>0.314</v>
      </c>
      <c r="O26" t="str">
        <f>LOOKUP(N26,Sheet2!$V$4:$W$7)</f>
        <v>0.25 - 0.39</v>
      </c>
      <c r="P26" s="1">
        <v>35</v>
      </c>
      <c r="Q26" t="str">
        <f>LOOKUP(P26,Sheet2!$Z$4:$AA$7)</f>
        <v>26-35</v>
      </c>
      <c r="R26" s="1">
        <v>1</v>
      </c>
      <c r="S26" t="str">
        <f>IF(R26=1,"Positive","Negative")</f>
        <v>Positive</v>
      </c>
      <c r="T26" s="1" t="str">
        <f>IFERROR(VLOOKUP(A26,[1]diabetes_Recognition!$A:$B,2,FALSE),"Not Sampled")</f>
        <v>Not Sampled</v>
      </c>
      <c r="U26" t="str">
        <f>IF(T26=1,"Positive",(IF(T26=0,"Negative","Not Sampled")))</f>
        <v>Not Sampled</v>
      </c>
      <c r="V26" s="1" t="str">
        <f>IF(U26="Not Sampled","Not Sampled",IF(S26=U26,"Accurate Prediction","Inaccurate Prediction"))</f>
        <v>Not Sampled</v>
      </c>
    </row>
    <row r="27" spans="1:22" x14ac:dyDescent="0.25">
      <c r="A27" s="1">
        <v>25</v>
      </c>
      <c r="B27" s="1">
        <v>1</v>
      </c>
      <c r="C27" s="1">
        <f>LOOKUP(B27,Sheet2!$D$4:$E$9)</f>
        <v>1</v>
      </c>
      <c r="D27" s="1">
        <v>130</v>
      </c>
      <c r="E27" t="str">
        <f>LOOKUP(D27,Sheet2!$G$4:$H$9)</f>
        <v>126-150</v>
      </c>
      <c r="F27" s="1">
        <v>60</v>
      </c>
      <c r="G27" t="str">
        <f>LOOKUP(F27,Sheet2!$J$4:$K$8)</f>
        <v>60-69</v>
      </c>
      <c r="H27" s="1">
        <v>23</v>
      </c>
      <c r="I27" t="str">
        <f>LOOKUP(H27,Sheet2!$M$4:$N$8)</f>
        <v>10-30</v>
      </c>
      <c r="J27" s="1">
        <v>170</v>
      </c>
      <c r="K27" t="str">
        <f>LOOKUP(J27,Sheet2!$P$4:$Q$9)</f>
        <v>100-199</v>
      </c>
      <c r="L27" s="1">
        <v>28.6</v>
      </c>
      <c r="M27" t="str">
        <f>LOOKUP(L27,Sheet2!$S$4:$T$8)</f>
        <v>26-30</v>
      </c>
      <c r="N27" s="1">
        <v>0.69199999999999995</v>
      </c>
      <c r="O27" t="str">
        <f>LOOKUP(N27,Sheet2!$V$4:$W$7)</f>
        <v>0.4 - 0.69</v>
      </c>
      <c r="P27" s="1">
        <v>21</v>
      </c>
      <c r="Q27" t="str">
        <f>LOOKUP(P27,Sheet2!$Z$4:$AA$7)</f>
        <v>&lt;=25</v>
      </c>
      <c r="R27" s="1">
        <v>0</v>
      </c>
      <c r="S27" t="str">
        <f>IF(R27=1,"Positive","Negative")</f>
        <v>Negative</v>
      </c>
      <c r="T27" s="1" t="str">
        <f>IFERROR(VLOOKUP(A27,[1]diabetes_Recognition!$A:$B,2,FALSE),"Not Sampled")</f>
        <v>Not Sampled</v>
      </c>
      <c r="U27" t="str">
        <f>IF(T27=1,"Positive",(IF(T27=0,"Negative","Not Sampled")))</f>
        <v>Not Sampled</v>
      </c>
      <c r="V27" s="1" t="str">
        <f>IF(U27="Not Sampled","Not Sampled",IF(S27=U27,"Accurate Prediction","Inaccurate Prediction"))</f>
        <v>Not Sampled</v>
      </c>
    </row>
    <row r="28" spans="1:22" x14ac:dyDescent="0.25">
      <c r="A28" s="1">
        <v>26</v>
      </c>
      <c r="B28" s="1">
        <v>2</v>
      </c>
      <c r="C28" s="1">
        <f>LOOKUP(B28,Sheet2!$D$4:$E$9)</f>
        <v>2</v>
      </c>
      <c r="D28" s="1">
        <v>84</v>
      </c>
      <c r="E28" t="str">
        <f>LOOKUP(D28,Sheet2!$G$4:$H$9)</f>
        <v>1-99</v>
      </c>
      <c r="F28" s="1">
        <v>50</v>
      </c>
      <c r="G28" t="str">
        <f>LOOKUP(F28,Sheet2!$J$4:$K$8)</f>
        <v>1-59</v>
      </c>
      <c r="H28" s="1">
        <v>23</v>
      </c>
      <c r="I28" t="str">
        <f>LOOKUP(H28,Sheet2!$M$4:$N$8)</f>
        <v>10-30</v>
      </c>
      <c r="J28" s="1">
        <v>76</v>
      </c>
      <c r="K28" t="str">
        <f>LOOKUP(J28,Sheet2!$P$4:$Q$9)</f>
        <v>1-99</v>
      </c>
      <c r="L28" s="1">
        <v>30.4</v>
      </c>
      <c r="M28" t="str">
        <f>LOOKUP(L28,Sheet2!$S$4:$T$8)</f>
        <v>26-30</v>
      </c>
      <c r="N28" s="1">
        <v>0.96799999999999997</v>
      </c>
      <c r="O28" t="str">
        <f>LOOKUP(N28,Sheet2!$V$4:$W$7)</f>
        <v>0.7+</v>
      </c>
      <c r="P28" s="1">
        <v>21</v>
      </c>
      <c r="Q28" t="str">
        <f>LOOKUP(P28,Sheet2!$Z$4:$AA$7)</f>
        <v>&lt;=25</v>
      </c>
      <c r="R28" s="1">
        <v>0</v>
      </c>
      <c r="S28" t="str">
        <f>IF(R28=1,"Positive","Negative")</f>
        <v>Negative</v>
      </c>
      <c r="T28" s="1" t="str">
        <f>IFERROR(VLOOKUP(A28,[1]diabetes_Recognition!$A:$B,2,FALSE),"Not Sampled")</f>
        <v>Not Sampled</v>
      </c>
      <c r="U28" t="str">
        <f>IF(T28=1,"Positive",(IF(T28=0,"Negative","Not Sampled")))</f>
        <v>Not Sampled</v>
      </c>
      <c r="V28" s="1" t="str">
        <f>IF(U28="Not Sampled","Not Sampled",IF(S28=U28,"Accurate Prediction","Inaccurate Prediction"))</f>
        <v>Not Sampled</v>
      </c>
    </row>
    <row r="29" spans="1:22" x14ac:dyDescent="0.25">
      <c r="A29" s="1">
        <v>27</v>
      </c>
      <c r="B29" s="1">
        <v>8</v>
      </c>
      <c r="C29" s="1" t="str">
        <f>LOOKUP(B29,Sheet2!$D$4:$E$9)</f>
        <v>8+</v>
      </c>
      <c r="D29" s="1">
        <v>120</v>
      </c>
      <c r="E29" t="str">
        <f>LOOKUP(D29,Sheet2!$G$4:$H$9)</f>
        <v>100-125</v>
      </c>
      <c r="F29" s="1">
        <v>78</v>
      </c>
      <c r="G29" t="str">
        <f>LOOKUP(F29,Sheet2!$J$4:$K$8)</f>
        <v>70-79</v>
      </c>
      <c r="H29" s="1">
        <v>0</v>
      </c>
      <c r="I29" t="str">
        <f>LOOKUP(H29,Sheet2!$M$4:$N$8)</f>
        <v>Unknown</v>
      </c>
      <c r="J29" s="1">
        <v>0</v>
      </c>
      <c r="K29" t="str">
        <f>LOOKUP(J29,Sheet2!$P$4:$Q$9)</f>
        <v>Unknown</v>
      </c>
      <c r="L29" s="1">
        <v>25</v>
      </c>
      <c r="M29" t="str">
        <f>LOOKUP(L29,Sheet2!$S$4:$T$8)</f>
        <v>1-25</v>
      </c>
      <c r="N29" s="1">
        <v>0.40899999999999997</v>
      </c>
      <c r="O29" t="str">
        <f>LOOKUP(N29,Sheet2!$V$4:$W$7)</f>
        <v>0.4 - 0.69</v>
      </c>
      <c r="P29" s="1">
        <v>64</v>
      </c>
      <c r="Q29" t="str">
        <f>LOOKUP(P29,Sheet2!$Z$4:$AA$7)</f>
        <v>46+</v>
      </c>
      <c r="R29" s="1">
        <v>0</v>
      </c>
      <c r="S29" t="str">
        <f>IF(R29=1,"Positive","Negative")</f>
        <v>Negative</v>
      </c>
      <c r="T29" s="1" t="str">
        <f>IFERROR(VLOOKUP(A29,[1]diabetes_Recognition!$A:$B,2,FALSE),"Not Sampled")</f>
        <v>Not Sampled</v>
      </c>
      <c r="U29" t="str">
        <f>IF(T29=1,"Positive",(IF(T29=0,"Negative","Not Sampled")))</f>
        <v>Not Sampled</v>
      </c>
      <c r="V29" s="1" t="str">
        <f>IF(U29="Not Sampled","Not Sampled",IF(S29=U29,"Accurate Prediction","Inaccurate Prediction"))</f>
        <v>Not Sampled</v>
      </c>
    </row>
    <row r="30" spans="1:22" x14ac:dyDescent="0.25">
      <c r="A30" s="1">
        <v>28</v>
      </c>
      <c r="B30" s="1">
        <v>12</v>
      </c>
      <c r="C30" s="1" t="str">
        <f>LOOKUP(B30,Sheet2!$D$4:$E$9)</f>
        <v>8+</v>
      </c>
      <c r="D30" s="1">
        <v>84</v>
      </c>
      <c r="E30" t="str">
        <f>LOOKUP(D30,Sheet2!$G$4:$H$9)</f>
        <v>1-99</v>
      </c>
      <c r="F30" s="1">
        <v>72</v>
      </c>
      <c r="G30" t="str">
        <f>LOOKUP(F30,Sheet2!$J$4:$K$8)</f>
        <v>70-79</v>
      </c>
      <c r="H30" s="1">
        <v>31</v>
      </c>
      <c r="I30" t="str">
        <f>LOOKUP(H30,Sheet2!$M$4:$N$8)</f>
        <v>30-39</v>
      </c>
      <c r="J30" s="1">
        <v>0</v>
      </c>
      <c r="K30" t="str">
        <f>LOOKUP(J30,Sheet2!$P$4:$Q$9)</f>
        <v>Unknown</v>
      </c>
      <c r="L30" s="1">
        <v>29.7</v>
      </c>
      <c r="M30" t="str">
        <f>LOOKUP(L30,Sheet2!$S$4:$T$8)</f>
        <v>26-30</v>
      </c>
      <c r="N30" s="1">
        <v>0.29699999999999999</v>
      </c>
      <c r="O30" t="str">
        <f>LOOKUP(N30,Sheet2!$V$4:$W$7)</f>
        <v>0.25 - 0.39</v>
      </c>
      <c r="P30" s="1">
        <v>46</v>
      </c>
      <c r="Q30" t="str">
        <f>LOOKUP(P30,Sheet2!$Z$4:$AA$7)</f>
        <v>46+</v>
      </c>
      <c r="R30" s="1">
        <v>1</v>
      </c>
      <c r="S30" t="str">
        <f>IF(R30=1,"Positive","Negative")</f>
        <v>Positive</v>
      </c>
      <c r="T30" s="1" t="str">
        <f>IFERROR(VLOOKUP(A30,[1]diabetes_Recognition!$A:$B,2,FALSE),"Not Sampled")</f>
        <v>Not Sampled</v>
      </c>
      <c r="U30" t="str">
        <f>IF(T30=1,"Positive",(IF(T30=0,"Negative","Not Sampled")))</f>
        <v>Not Sampled</v>
      </c>
      <c r="V30" s="1" t="str">
        <f>IF(U30="Not Sampled","Not Sampled",IF(S30=U30,"Accurate Prediction","Inaccurate Prediction"))</f>
        <v>Not Sampled</v>
      </c>
    </row>
    <row r="31" spans="1:22" x14ac:dyDescent="0.25">
      <c r="A31" s="1">
        <v>29</v>
      </c>
      <c r="B31" s="1">
        <v>0</v>
      </c>
      <c r="C31" s="1">
        <f>LOOKUP(B31,Sheet2!$D$4:$E$9)</f>
        <v>0</v>
      </c>
      <c r="D31" s="1">
        <v>139</v>
      </c>
      <c r="E31" t="str">
        <f>LOOKUP(D31,Sheet2!$G$4:$H$9)</f>
        <v>126-150</v>
      </c>
      <c r="F31" s="1">
        <v>62</v>
      </c>
      <c r="G31" t="str">
        <f>LOOKUP(F31,Sheet2!$J$4:$K$8)</f>
        <v>60-69</v>
      </c>
      <c r="H31" s="1">
        <v>17</v>
      </c>
      <c r="I31" t="str">
        <f>LOOKUP(H31,Sheet2!$M$4:$N$8)</f>
        <v>10-30</v>
      </c>
      <c r="J31" s="1">
        <v>210</v>
      </c>
      <c r="K31" t="str">
        <f>LOOKUP(J31,Sheet2!$P$4:$Q$9)</f>
        <v>200-399</v>
      </c>
      <c r="L31" s="1">
        <v>22.1</v>
      </c>
      <c r="M31" t="str">
        <f>LOOKUP(L31,Sheet2!$S$4:$T$8)</f>
        <v>1-25</v>
      </c>
      <c r="N31" s="1">
        <v>0.20699999999999999</v>
      </c>
      <c r="O31" t="str">
        <f>LOOKUP(N31,Sheet2!$V$4:$W$7)</f>
        <v>0.0 - 0.249</v>
      </c>
      <c r="P31" s="1">
        <v>21</v>
      </c>
      <c r="Q31" t="str">
        <f>LOOKUP(P31,Sheet2!$Z$4:$AA$7)</f>
        <v>&lt;=25</v>
      </c>
      <c r="R31" s="1">
        <v>0</v>
      </c>
      <c r="S31" t="str">
        <f>IF(R31=1,"Positive","Negative")</f>
        <v>Negative</v>
      </c>
      <c r="T31" s="1" t="str">
        <f>IFERROR(VLOOKUP(A31,[1]diabetes_Recognition!$A:$B,2,FALSE),"Not Sampled")</f>
        <v>Not Sampled</v>
      </c>
      <c r="U31" t="str">
        <f>IF(T31=1,"Positive",(IF(T31=0,"Negative","Not Sampled")))</f>
        <v>Not Sampled</v>
      </c>
      <c r="V31" s="1" t="str">
        <f>IF(U31="Not Sampled","Not Sampled",IF(S31=U31,"Accurate Prediction","Inaccurate Prediction"))</f>
        <v>Not Sampled</v>
      </c>
    </row>
    <row r="32" spans="1:22" x14ac:dyDescent="0.25">
      <c r="A32" s="1">
        <v>30</v>
      </c>
      <c r="B32" s="1">
        <v>9</v>
      </c>
      <c r="C32" s="1" t="str">
        <f>LOOKUP(B32,Sheet2!$D$4:$E$9)</f>
        <v>8+</v>
      </c>
      <c r="D32" s="1">
        <v>91</v>
      </c>
      <c r="E32" t="str">
        <f>LOOKUP(D32,Sheet2!$G$4:$H$9)</f>
        <v>1-99</v>
      </c>
      <c r="F32" s="1">
        <v>68</v>
      </c>
      <c r="G32" t="str">
        <f>LOOKUP(F32,Sheet2!$J$4:$K$8)</f>
        <v>60-69</v>
      </c>
      <c r="H32" s="1">
        <v>0</v>
      </c>
      <c r="I32" t="str">
        <f>LOOKUP(H32,Sheet2!$M$4:$N$8)</f>
        <v>Unknown</v>
      </c>
      <c r="J32" s="1">
        <v>0</v>
      </c>
      <c r="K32" t="str">
        <f>LOOKUP(J32,Sheet2!$P$4:$Q$9)</f>
        <v>Unknown</v>
      </c>
      <c r="L32" s="1">
        <v>24.2</v>
      </c>
      <c r="M32" t="str">
        <f>LOOKUP(L32,Sheet2!$S$4:$T$8)</f>
        <v>1-25</v>
      </c>
      <c r="N32" s="1">
        <v>0.2</v>
      </c>
      <c r="O32" t="str">
        <f>LOOKUP(N32,Sheet2!$V$4:$W$7)</f>
        <v>0.0 - 0.249</v>
      </c>
      <c r="P32" s="1">
        <v>58</v>
      </c>
      <c r="Q32" t="str">
        <f>LOOKUP(P32,Sheet2!$Z$4:$AA$7)</f>
        <v>46+</v>
      </c>
      <c r="R32" s="1">
        <v>0</v>
      </c>
      <c r="S32" t="str">
        <f>IF(R32=1,"Positive","Negative")</f>
        <v>Negative</v>
      </c>
      <c r="T32" s="1">
        <f>IFERROR(VLOOKUP(A32,[1]diabetes_Recognition!$A:$B,2,FALSE),"Not Sampled")</f>
        <v>0</v>
      </c>
      <c r="U32" t="str">
        <f>IF(T32=1,"Positive",(IF(T32=0,"Negative","Not Sampled")))</f>
        <v>Negative</v>
      </c>
      <c r="V32" s="1" t="str">
        <f>IF(U32="Not Sampled","Not Sampled",IF(S32=U32,"Accurate Prediction","Inaccurate Prediction"))</f>
        <v>Accurate Prediction</v>
      </c>
    </row>
    <row r="33" spans="1:22" x14ac:dyDescent="0.25">
      <c r="A33" s="1">
        <v>31</v>
      </c>
      <c r="B33" s="1">
        <v>2</v>
      </c>
      <c r="C33" s="1">
        <f>LOOKUP(B33,Sheet2!$D$4:$E$9)</f>
        <v>2</v>
      </c>
      <c r="D33" s="1">
        <v>91</v>
      </c>
      <c r="E33" t="str">
        <f>LOOKUP(D33,Sheet2!$G$4:$H$9)</f>
        <v>1-99</v>
      </c>
      <c r="F33" s="1">
        <v>62</v>
      </c>
      <c r="G33" t="str">
        <f>LOOKUP(F33,Sheet2!$J$4:$K$8)</f>
        <v>60-69</v>
      </c>
      <c r="H33" s="1">
        <v>0</v>
      </c>
      <c r="I33" t="str">
        <f>LOOKUP(H33,Sheet2!$M$4:$N$8)</f>
        <v>Unknown</v>
      </c>
      <c r="J33" s="1">
        <v>0</v>
      </c>
      <c r="K33" t="str">
        <f>LOOKUP(J33,Sheet2!$P$4:$Q$9)</f>
        <v>Unknown</v>
      </c>
      <c r="L33" s="1">
        <v>27.3</v>
      </c>
      <c r="M33" t="str">
        <f>LOOKUP(L33,Sheet2!$S$4:$T$8)</f>
        <v>26-30</v>
      </c>
      <c r="N33" s="1">
        <v>0.52500000000000002</v>
      </c>
      <c r="O33" t="str">
        <f>LOOKUP(N33,Sheet2!$V$4:$W$7)</f>
        <v>0.4 - 0.69</v>
      </c>
      <c r="P33" s="1">
        <v>22</v>
      </c>
      <c r="Q33" t="str">
        <f>LOOKUP(P33,Sheet2!$Z$4:$AA$7)</f>
        <v>&lt;=25</v>
      </c>
      <c r="R33" s="1">
        <v>0</v>
      </c>
      <c r="S33" t="str">
        <f>IF(R33=1,"Positive","Negative")</f>
        <v>Negative</v>
      </c>
      <c r="T33" s="1" t="str">
        <f>IFERROR(VLOOKUP(A33,[1]diabetes_Recognition!$A:$B,2,FALSE),"Not Sampled")</f>
        <v>Not Sampled</v>
      </c>
      <c r="U33" t="str">
        <f>IF(T33=1,"Positive",(IF(T33=0,"Negative","Not Sampled")))</f>
        <v>Not Sampled</v>
      </c>
      <c r="V33" s="1" t="str">
        <f>IF(U33="Not Sampled","Not Sampled",IF(S33=U33,"Accurate Prediction","Inaccurate Prediction"))</f>
        <v>Not Sampled</v>
      </c>
    </row>
    <row r="34" spans="1:22" x14ac:dyDescent="0.25">
      <c r="A34" s="1">
        <v>32</v>
      </c>
      <c r="B34" s="1">
        <v>3</v>
      </c>
      <c r="C34" s="1" t="str">
        <f>LOOKUP(B34,Sheet2!$D$4:$E$9)</f>
        <v>3-4</v>
      </c>
      <c r="D34" s="1">
        <v>99</v>
      </c>
      <c r="E34" t="str">
        <f>LOOKUP(D34,Sheet2!$G$4:$H$9)</f>
        <v>1-99</v>
      </c>
      <c r="F34" s="1">
        <v>54</v>
      </c>
      <c r="G34" t="str">
        <f>LOOKUP(F34,Sheet2!$J$4:$K$8)</f>
        <v>1-59</v>
      </c>
      <c r="H34" s="1">
        <v>19</v>
      </c>
      <c r="I34" t="str">
        <f>LOOKUP(H34,Sheet2!$M$4:$N$8)</f>
        <v>10-30</v>
      </c>
      <c r="J34" s="1">
        <v>86</v>
      </c>
      <c r="K34" t="str">
        <f>LOOKUP(J34,Sheet2!$P$4:$Q$9)</f>
        <v>1-99</v>
      </c>
      <c r="L34" s="1">
        <v>25.6</v>
      </c>
      <c r="M34" t="str">
        <f>LOOKUP(L34,Sheet2!$S$4:$T$8)</f>
        <v>1-25</v>
      </c>
      <c r="N34" s="1">
        <v>0.154</v>
      </c>
      <c r="O34" t="str">
        <f>LOOKUP(N34,Sheet2!$V$4:$W$7)</f>
        <v>0.0 - 0.249</v>
      </c>
      <c r="P34" s="1">
        <v>24</v>
      </c>
      <c r="Q34" t="str">
        <f>LOOKUP(P34,Sheet2!$Z$4:$AA$7)</f>
        <v>&lt;=25</v>
      </c>
      <c r="R34" s="1">
        <v>0</v>
      </c>
      <c r="S34" t="str">
        <f>IF(R34=1,"Positive","Negative")</f>
        <v>Negative</v>
      </c>
      <c r="T34" s="1" t="str">
        <f>IFERROR(VLOOKUP(A34,[1]diabetes_Recognition!$A:$B,2,FALSE),"Not Sampled")</f>
        <v>Not Sampled</v>
      </c>
      <c r="U34" t="str">
        <f>IF(T34=1,"Positive",(IF(T34=0,"Negative","Not Sampled")))</f>
        <v>Not Sampled</v>
      </c>
      <c r="V34" s="1" t="str">
        <f>IF(U34="Not Sampled","Not Sampled",IF(S34=U34,"Accurate Prediction","Inaccurate Prediction"))</f>
        <v>Not Sampled</v>
      </c>
    </row>
    <row r="35" spans="1:22" x14ac:dyDescent="0.25">
      <c r="A35" s="1">
        <v>33</v>
      </c>
      <c r="B35" s="1">
        <v>3</v>
      </c>
      <c r="C35" s="1" t="str">
        <f>LOOKUP(B35,Sheet2!$D$4:$E$9)</f>
        <v>3-4</v>
      </c>
      <c r="D35" s="1">
        <v>163</v>
      </c>
      <c r="E35" t="str">
        <f>LOOKUP(D35,Sheet2!$G$4:$H$9)</f>
        <v>151-175</v>
      </c>
      <c r="F35" s="1">
        <v>70</v>
      </c>
      <c r="G35" t="str">
        <f>LOOKUP(F35,Sheet2!$J$4:$K$8)</f>
        <v>70-79</v>
      </c>
      <c r="H35" s="1">
        <v>18</v>
      </c>
      <c r="I35" t="str">
        <f>LOOKUP(H35,Sheet2!$M$4:$N$8)</f>
        <v>10-30</v>
      </c>
      <c r="J35" s="1">
        <v>105</v>
      </c>
      <c r="K35" t="str">
        <f>LOOKUP(J35,Sheet2!$P$4:$Q$9)</f>
        <v>100-199</v>
      </c>
      <c r="L35" s="1">
        <v>31.6</v>
      </c>
      <c r="M35" t="str">
        <f>LOOKUP(L35,Sheet2!$S$4:$T$8)</f>
        <v>31-35</v>
      </c>
      <c r="N35" s="1">
        <v>0.26800000000000002</v>
      </c>
      <c r="O35" t="str">
        <f>LOOKUP(N35,Sheet2!$V$4:$W$7)</f>
        <v>0.25 - 0.39</v>
      </c>
      <c r="P35" s="1">
        <v>28</v>
      </c>
      <c r="Q35" t="str">
        <f>LOOKUP(P35,Sheet2!$Z$4:$AA$7)</f>
        <v>26-35</v>
      </c>
      <c r="R35" s="1">
        <v>1</v>
      </c>
      <c r="S35" t="str">
        <f>IF(R35=1,"Positive","Negative")</f>
        <v>Positive</v>
      </c>
      <c r="T35" s="1" t="str">
        <f>IFERROR(VLOOKUP(A35,[1]diabetes_Recognition!$A:$B,2,FALSE),"Not Sampled")</f>
        <v>Not Sampled</v>
      </c>
      <c r="U35" t="str">
        <f>IF(T35=1,"Positive",(IF(T35=0,"Negative","Not Sampled")))</f>
        <v>Not Sampled</v>
      </c>
      <c r="V35" s="1" t="str">
        <f>IF(U35="Not Sampled","Not Sampled",IF(S35=U35,"Accurate Prediction","Inaccurate Prediction"))</f>
        <v>Not Sampled</v>
      </c>
    </row>
    <row r="36" spans="1:22" x14ac:dyDescent="0.25">
      <c r="A36" s="1">
        <v>34</v>
      </c>
      <c r="B36" s="1">
        <v>10</v>
      </c>
      <c r="C36" s="1" t="str">
        <f>LOOKUP(B36,Sheet2!$D$4:$E$9)</f>
        <v>8+</v>
      </c>
      <c r="D36" s="1">
        <v>122</v>
      </c>
      <c r="E36" t="str">
        <f>LOOKUP(D36,Sheet2!$G$4:$H$9)</f>
        <v>100-125</v>
      </c>
      <c r="F36" s="1">
        <v>78</v>
      </c>
      <c r="G36" t="str">
        <f>LOOKUP(F36,Sheet2!$J$4:$K$8)</f>
        <v>70-79</v>
      </c>
      <c r="H36" s="1">
        <v>31</v>
      </c>
      <c r="I36" t="str">
        <f>LOOKUP(H36,Sheet2!$M$4:$N$8)</f>
        <v>30-39</v>
      </c>
      <c r="J36" s="1">
        <v>0</v>
      </c>
      <c r="K36" t="str">
        <f>LOOKUP(J36,Sheet2!$P$4:$Q$9)</f>
        <v>Unknown</v>
      </c>
      <c r="L36" s="1">
        <v>27.6</v>
      </c>
      <c r="M36" t="str">
        <f>LOOKUP(L36,Sheet2!$S$4:$T$8)</f>
        <v>26-30</v>
      </c>
      <c r="N36" s="1">
        <v>0.51200000000000001</v>
      </c>
      <c r="O36" t="str">
        <f>LOOKUP(N36,Sheet2!$V$4:$W$7)</f>
        <v>0.4 - 0.69</v>
      </c>
      <c r="P36" s="1">
        <v>45</v>
      </c>
      <c r="Q36" t="str">
        <f>LOOKUP(P36,Sheet2!$Z$4:$AA$7)</f>
        <v>36-45</v>
      </c>
      <c r="R36" s="1">
        <v>0</v>
      </c>
      <c r="S36" t="str">
        <f>IF(R36=1,"Positive","Negative")</f>
        <v>Negative</v>
      </c>
      <c r="T36" s="1" t="str">
        <f>IFERROR(VLOOKUP(A36,[1]diabetes_Recognition!$A:$B,2,FALSE),"Not Sampled")</f>
        <v>Not Sampled</v>
      </c>
      <c r="U36" t="str">
        <f>IF(T36=1,"Positive",(IF(T36=0,"Negative","Not Sampled")))</f>
        <v>Not Sampled</v>
      </c>
      <c r="V36" s="1" t="str">
        <f>IF(U36="Not Sampled","Not Sampled",IF(S36=U36,"Accurate Prediction","Inaccurate Prediction"))</f>
        <v>Not Sampled</v>
      </c>
    </row>
    <row r="37" spans="1:22" x14ac:dyDescent="0.25">
      <c r="A37" s="1">
        <v>35</v>
      </c>
      <c r="B37" s="1">
        <v>4</v>
      </c>
      <c r="C37" s="1" t="str">
        <f>LOOKUP(B37,Sheet2!$D$4:$E$9)</f>
        <v>3-4</v>
      </c>
      <c r="D37" s="1">
        <v>103</v>
      </c>
      <c r="E37" t="str">
        <f>LOOKUP(D37,Sheet2!$G$4:$H$9)</f>
        <v>100-125</v>
      </c>
      <c r="F37" s="1">
        <v>60</v>
      </c>
      <c r="G37" t="str">
        <f>LOOKUP(F37,Sheet2!$J$4:$K$8)</f>
        <v>60-69</v>
      </c>
      <c r="H37" s="1">
        <v>33</v>
      </c>
      <c r="I37" t="str">
        <f>LOOKUP(H37,Sheet2!$M$4:$N$8)</f>
        <v>30-39</v>
      </c>
      <c r="J37" s="1">
        <v>192</v>
      </c>
      <c r="K37" t="str">
        <f>LOOKUP(J37,Sheet2!$P$4:$Q$9)</f>
        <v>100-199</v>
      </c>
      <c r="L37" s="1">
        <v>24</v>
      </c>
      <c r="M37" t="str">
        <f>LOOKUP(L37,Sheet2!$S$4:$T$8)</f>
        <v>1-25</v>
      </c>
      <c r="N37" s="1">
        <v>0.96599999999999997</v>
      </c>
      <c r="O37" t="str">
        <f>LOOKUP(N37,Sheet2!$V$4:$W$7)</f>
        <v>0.7+</v>
      </c>
      <c r="P37" s="1">
        <v>33</v>
      </c>
      <c r="Q37" t="str">
        <f>LOOKUP(P37,Sheet2!$Z$4:$AA$7)</f>
        <v>26-35</v>
      </c>
      <c r="R37" s="1">
        <v>0</v>
      </c>
      <c r="S37" t="str">
        <f>IF(R37=1,"Positive","Negative")</f>
        <v>Negative</v>
      </c>
      <c r="T37" s="1" t="str">
        <f>IFERROR(VLOOKUP(A37,[1]diabetes_Recognition!$A:$B,2,FALSE),"Not Sampled")</f>
        <v>Not Sampled</v>
      </c>
      <c r="U37" t="str">
        <f>IF(T37=1,"Positive",(IF(T37=0,"Negative","Not Sampled")))</f>
        <v>Not Sampled</v>
      </c>
      <c r="V37" s="1" t="str">
        <f>IF(U37="Not Sampled","Not Sampled",IF(S37=U37,"Accurate Prediction","Inaccurate Prediction"))</f>
        <v>Not Sampled</v>
      </c>
    </row>
    <row r="38" spans="1:22" x14ac:dyDescent="0.25">
      <c r="A38" s="1">
        <v>36</v>
      </c>
      <c r="B38" s="1">
        <v>11</v>
      </c>
      <c r="C38" s="1" t="str">
        <f>LOOKUP(B38,Sheet2!$D$4:$E$9)</f>
        <v>8+</v>
      </c>
      <c r="D38" s="1">
        <v>138</v>
      </c>
      <c r="E38" t="str">
        <f>LOOKUP(D38,Sheet2!$G$4:$H$9)</f>
        <v>126-150</v>
      </c>
      <c r="F38" s="1">
        <v>76</v>
      </c>
      <c r="G38" t="str">
        <f>LOOKUP(F38,Sheet2!$J$4:$K$8)</f>
        <v>70-79</v>
      </c>
      <c r="H38" s="1">
        <v>0</v>
      </c>
      <c r="I38" t="str">
        <f>LOOKUP(H38,Sheet2!$M$4:$N$8)</f>
        <v>Unknown</v>
      </c>
      <c r="J38" s="1">
        <v>0</v>
      </c>
      <c r="K38" t="str">
        <f>LOOKUP(J38,Sheet2!$P$4:$Q$9)</f>
        <v>Unknown</v>
      </c>
      <c r="L38" s="1">
        <v>33.200000000000003</v>
      </c>
      <c r="M38" t="str">
        <f>LOOKUP(L38,Sheet2!$S$4:$T$8)</f>
        <v>31-35</v>
      </c>
      <c r="N38" s="1">
        <v>0.42</v>
      </c>
      <c r="O38" t="str">
        <f>LOOKUP(N38,Sheet2!$V$4:$W$7)</f>
        <v>0.4 - 0.69</v>
      </c>
      <c r="P38" s="1">
        <v>35</v>
      </c>
      <c r="Q38" t="str">
        <f>LOOKUP(P38,Sheet2!$Z$4:$AA$7)</f>
        <v>26-35</v>
      </c>
      <c r="R38" s="1">
        <v>0</v>
      </c>
      <c r="S38" t="str">
        <f>IF(R38=1,"Positive","Negative")</f>
        <v>Negative</v>
      </c>
      <c r="T38" s="1" t="str">
        <f>IFERROR(VLOOKUP(A38,[1]diabetes_Recognition!$A:$B,2,FALSE),"Not Sampled")</f>
        <v>Not Sampled</v>
      </c>
      <c r="U38" t="str">
        <f>IF(T38=1,"Positive",(IF(T38=0,"Negative","Not Sampled")))</f>
        <v>Not Sampled</v>
      </c>
      <c r="V38" s="1" t="str">
        <f>IF(U38="Not Sampled","Not Sampled",IF(S38=U38,"Accurate Prediction","Inaccurate Prediction"))</f>
        <v>Not Sampled</v>
      </c>
    </row>
    <row r="39" spans="1:22" x14ac:dyDescent="0.25">
      <c r="A39" s="1">
        <v>37</v>
      </c>
      <c r="B39" s="1">
        <v>9</v>
      </c>
      <c r="C39" s="1" t="str">
        <f>LOOKUP(B39,Sheet2!$D$4:$E$9)</f>
        <v>8+</v>
      </c>
      <c r="D39" s="1">
        <v>102</v>
      </c>
      <c r="E39" t="str">
        <f>LOOKUP(D39,Sheet2!$G$4:$H$9)</f>
        <v>100-125</v>
      </c>
      <c r="F39" s="1">
        <v>76</v>
      </c>
      <c r="G39" t="str">
        <f>LOOKUP(F39,Sheet2!$J$4:$K$8)</f>
        <v>70-79</v>
      </c>
      <c r="H39" s="1">
        <v>37</v>
      </c>
      <c r="I39" t="str">
        <f>LOOKUP(H39,Sheet2!$M$4:$N$8)</f>
        <v>30-39</v>
      </c>
      <c r="J39" s="1">
        <v>0</v>
      </c>
      <c r="K39" t="str">
        <f>LOOKUP(J39,Sheet2!$P$4:$Q$9)</f>
        <v>Unknown</v>
      </c>
      <c r="L39" s="1">
        <v>32.9</v>
      </c>
      <c r="M39" t="str">
        <f>LOOKUP(L39,Sheet2!$S$4:$T$8)</f>
        <v>31-35</v>
      </c>
      <c r="N39" s="1">
        <v>0.66500000000000004</v>
      </c>
      <c r="O39" t="str">
        <f>LOOKUP(N39,Sheet2!$V$4:$W$7)</f>
        <v>0.4 - 0.69</v>
      </c>
      <c r="P39" s="1">
        <v>46</v>
      </c>
      <c r="Q39" t="str">
        <f>LOOKUP(P39,Sheet2!$Z$4:$AA$7)</f>
        <v>46+</v>
      </c>
      <c r="R39" s="1">
        <v>1</v>
      </c>
      <c r="S39" t="str">
        <f>IF(R39=1,"Positive","Negative")</f>
        <v>Positive</v>
      </c>
      <c r="T39" s="1">
        <f>IFERROR(VLOOKUP(A39,[1]diabetes_Recognition!$A:$B,2,FALSE),"Not Sampled")</f>
        <v>0</v>
      </c>
      <c r="U39" t="str">
        <f>IF(T39=1,"Positive",(IF(T39=0,"Negative","Not Sampled")))</f>
        <v>Negative</v>
      </c>
      <c r="V39" s="1" t="str">
        <f>IF(U39="Not Sampled","Not Sampled",IF(S39=U39,"Accurate Prediction","Inaccurate Prediction"))</f>
        <v>Inaccurate Prediction</v>
      </c>
    </row>
    <row r="40" spans="1:22" x14ac:dyDescent="0.25">
      <c r="A40" s="1">
        <v>38</v>
      </c>
      <c r="B40" s="1">
        <v>2</v>
      </c>
      <c r="C40" s="1">
        <f>LOOKUP(B40,Sheet2!$D$4:$E$9)</f>
        <v>2</v>
      </c>
      <c r="D40" s="1">
        <v>90</v>
      </c>
      <c r="E40" t="str">
        <f>LOOKUP(D40,Sheet2!$G$4:$H$9)</f>
        <v>1-99</v>
      </c>
      <c r="F40" s="1">
        <v>68</v>
      </c>
      <c r="G40" t="str">
        <f>LOOKUP(F40,Sheet2!$J$4:$K$8)</f>
        <v>60-69</v>
      </c>
      <c r="H40" s="1">
        <v>42</v>
      </c>
      <c r="I40" t="str">
        <f>LOOKUP(H40,Sheet2!$M$4:$N$8)</f>
        <v>40+</v>
      </c>
      <c r="J40" s="1">
        <v>0</v>
      </c>
      <c r="K40" t="str">
        <f>LOOKUP(J40,Sheet2!$P$4:$Q$9)</f>
        <v>Unknown</v>
      </c>
      <c r="L40" s="1">
        <v>38.200000000000003</v>
      </c>
      <c r="M40" t="str">
        <f>LOOKUP(L40,Sheet2!$S$4:$T$8)</f>
        <v>36+</v>
      </c>
      <c r="N40" s="1">
        <v>0.503</v>
      </c>
      <c r="O40" t="str">
        <f>LOOKUP(N40,Sheet2!$V$4:$W$7)</f>
        <v>0.4 - 0.69</v>
      </c>
      <c r="P40" s="1">
        <v>27</v>
      </c>
      <c r="Q40" t="str">
        <f>LOOKUP(P40,Sheet2!$Z$4:$AA$7)</f>
        <v>26-35</v>
      </c>
      <c r="R40" s="1">
        <v>1</v>
      </c>
      <c r="S40" t="str">
        <f>IF(R40=1,"Positive","Negative")</f>
        <v>Positive</v>
      </c>
      <c r="T40" s="1" t="str">
        <f>IFERROR(VLOOKUP(A40,[1]diabetes_Recognition!$A:$B,2,FALSE),"Not Sampled")</f>
        <v>Not Sampled</v>
      </c>
      <c r="U40" t="str">
        <f>IF(T40=1,"Positive",(IF(T40=0,"Negative","Not Sampled")))</f>
        <v>Not Sampled</v>
      </c>
      <c r="V40" s="1" t="str">
        <f>IF(U40="Not Sampled","Not Sampled",IF(S40=U40,"Accurate Prediction","Inaccurate Prediction"))</f>
        <v>Not Sampled</v>
      </c>
    </row>
    <row r="41" spans="1:22" x14ac:dyDescent="0.25">
      <c r="A41" s="1">
        <v>39</v>
      </c>
      <c r="B41" s="1">
        <v>4</v>
      </c>
      <c r="C41" s="1" t="str">
        <f>LOOKUP(B41,Sheet2!$D$4:$E$9)</f>
        <v>3-4</v>
      </c>
      <c r="D41" s="1">
        <v>111</v>
      </c>
      <c r="E41" t="str">
        <f>LOOKUP(D41,Sheet2!$G$4:$H$9)</f>
        <v>100-125</v>
      </c>
      <c r="F41" s="1">
        <v>72</v>
      </c>
      <c r="G41" t="str">
        <f>LOOKUP(F41,Sheet2!$J$4:$K$8)</f>
        <v>70-79</v>
      </c>
      <c r="H41" s="1">
        <v>47</v>
      </c>
      <c r="I41" t="str">
        <f>LOOKUP(H41,Sheet2!$M$4:$N$8)</f>
        <v>40+</v>
      </c>
      <c r="J41" s="1">
        <v>207</v>
      </c>
      <c r="K41" t="str">
        <f>LOOKUP(J41,Sheet2!$P$4:$Q$9)</f>
        <v>200-399</v>
      </c>
      <c r="L41" s="1">
        <v>37.1</v>
      </c>
      <c r="M41" t="str">
        <f>LOOKUP(L41,Sheet2!$S$4:$T$8)</f>
        <v>36+</v>
      </c>
      <c r="N41" s="1">
        <v>1.39</v>
      </c>
      <c r="O41" t="str">
        <f>LOOKUP(N41,Sheet2!$V$4:$W$7)</f>
        <v>0.7+</v>
      </c>
      <c r="P41" s="1">
        <v>56</v>
      </c>
      <c r="Q41" t="str">
        <f>LOOKUP(P41,Sheet2!$Z$4:$AA$7)</f>
        <v>46+</v>
      </c>
      <c r="R41" s="1">
        <v>1</v>
      </c>
      <c r="S41" t="str">
        <f>IF(R41=1,"Positive","Negative")</f>
        <v>Positive</v>
      </c>
      <c r="T41" s="1">
        <f>IFERROR(VLOOKUP(A41,[1]diabetes_Recognition!$A:$B,2,FALSE),"Not Sampled")</f>
        <v>1</v>
      </c>
      <c r="U41" t="str">
        <f>IF(T41=1,"Positive",(IF(T41=0,"Negative","Not Sampled")))</f>
        <v>Positive</v>
      </c>
      <c r="V41" s="1" t="str">
        <f>IF(U41="Not Sampled","Not Sampled",IF(S41=U41,"Accurate Prediction","Inaccurate Prediction"))</f>
        <v>Accurate Prediction</v>
      </c>
    </row>
    <row r="42" spans="1:22" x14ac:dyDescent="0.25">
      <c r="A42" s="1">
        <v>40</v>
      </c>
      <c r="B42" s="1">
        <v>3</v>
      </c>
      <c r="C42" s="1" t="str">
        <f>LOOKUP(B42,Sheet2!$D$4:$E$9)</f>
        <v>3-4</v>
      </c>
      <c r="D42" s="1">
        <v>180</v>
      </c>
      <c r="E42" t="str">
        <f>LOOKUP(D42,Sheet2!$G$4:$H$9)</f>
        <v>176-200</v>
      </c>
      <c r="F42" s="1">
        <v>64</v>
      </c>
      <c r="G42" t="str">
        <f>LOOKUP(F42,Sheet2!$J$4:$K$8)</f>
        <v>60-69</v>
      </c>
      <c r="H42" s="1">
        <v>25</v>
      </c>
      <c r="I42" t="str">
        <f>LOOKUP(H42,Sheet2!$M$4:$N$8)</f>
        <v>10-30</v>
      </c>
      <c r="J42" s="1">
        <v>70</v>
      </c>
      <c r="K42" t="str">
        <f>LOOKUP(J42,Sheet2!$P$4:$Q$9)</f>
        <v>1-99</v>
      </c>
      <c r="L42" s="1">
        <v>34</v>
      </c>
      <c r="M42" t="str">
        <f>LOOKUP(L42,Sheet2!$S$4:$T$8)</f>
        <v>31-35</v>
      </c>
      <c r="N42" s="1">
        <v>0.27100000000000002</v>
      </c>
      <c r="O42" t="str">
        <f>LOOKUP(N42,Sheet2!$V$4:$W$7)</f>
        <v>0.25 - 0.39</v>
      </c>
      <c r="P42" s="1">
        <v>26</v>
      </c>
      <c r="Q42" t="str">
        <f>LOOKUP(P42,Sheet2!$Z$4:$AA$7)</f>
        <v>26-35</v>
      </c>
      <c r="R42" s="1">
        <v>0</v>
      </c>
      <c r="S42" t="str">
        <f>IF(R42=1,"Positive","Negative")</f>
        <v>Negative</v>
      </c>
      <c r="T42" s="1">
        <f>IFERROR(VLOOKUP(A42,[1]diabetes_Recognition!$A:$B,2,FALSE),"Not Sampled")</f>
        <v>1</v>
      </c>
      <c r="U42" t="str">
        <f>IF(T42=1,"Positive",(IF(T42=0,"Negative","Not Sampled")))</f>
        <v>Positive</v>
      </c>
      <c r="V42" s="1" t="str">
        <f>IF(U42="Not Sampled","Not Sampled",IF(S42=U42,"Accurate Prediction","Inaccurate Prediction"))</f>
        <v>Inaccurate Prediction</v>
      </c>
    </row>
    <row r="43" spans="1:22" x14ac:dyDescent="0.25">
      <c r="A43" s="1">
        <v>41</v>
      </c>
      <c r="B43" s="1">
        <v>7</v>
      </c>
      <c r="C43" s="1" t="str">
        <f>LOOKUP(B43,Sheet2!$D$4:$E$9)</f>
        <v>5-7</v>
      </c>
      <c r="D43" s="1">
        <v>133</v>
      </c>
      <c r="E43" t="str">
        <f>LOOKUP(D43,Sheet2!$G$4:$H$9)</f>
        <v>126-150</v>
      </c>
      <c r="F43" s="1">
        <v>84</v>
      </c>
      <c r="G43" t="str">
        <f>LOOKUP(F43,Sheet2!$J$4:$K$8)</f>
        <v>80+</v>
      </c>
      <c r="H43" s="1">
        <v>0</v>
      </c>
      <c r="I43" t="str">
        <f>LOOKUP(H43,Sheet2!$M$4:$N$8)</f>
        <v>Unknown</v>
      </c>
      <c r="J43" s="1">
        <v>0</v>
      </c>
      <c r="K43" t="str">
        <f>LOOKUP(J43,Sheet2!$P$4:$Q$9)</f>
        <v>Unknown</v>
      </c>
      <c r="L43" s="1">
        <v>40.200000000000003</v>
      </c>
      <c r="M43" t="str">
        <f>LOOKUP(L43,Sheet2!$S$4:$T$8)</f>
        <v>36+</v>
      </c>
      <c r="N43" s="1">
        <v>0.69599999999999995</v>
      </c>
      <c r="O43" t="str">
        <f>LOOKUP(N43,Sheet2!$V$4:$W$7)</f>
        <v>0.4 - 0.69</v>
      </c>
      <c r="P43" s="1">
        <v>37</v>
      </c>
      <c r="Q43" t="str">
        <f>LOOKUP(P43,Sheet2!$Z$4:$AA$7)</f>
        <v>36-45</v>
      </c>
      <c r="R43" s="1">
        <v>0</v>
      </c>
      <c r="S43" t="str">
        <f>IF(R43=1,"Positive","Negative")</f>
        <v>Negative</v>
      </c>
      <c r="T43" s="1" t="str">
        <f>IFERROR(VLOOKUP(A43,[1]diabetes_Recognition!$A:$B,2,FALSE),"Not Sampled")</f>
        <v>Not Sampled</v>
      </c>
      <c r="U43" t="str">
        <f>IF(T43=1,"Positive",(IF(T43=0,"Negative","Not Sampled")))</f>
        <v>Not Sampled</v>
      </c>
      <c r="V43" s="1" t="str">
        <f>IF(U43="Not Sampled","Not Sampled",IF(S43=U43,"Accurate Prediction","Inaccurate Prediction"))</f>
        <v>Not Sampled</v>
      </c>
    </row>
    <row r="44" spans="1:22" x14ac:dyDescent="0.25">
      <c r="A44" s="1">
        <v>42</v>
      </c>
      <c r="B44" s="1">
        <v>7</v>
      </c>
      <c r="C44" s="1" t="str">
        <f>LOOKUP(B44,Sheet2!$D$4:$E$9)</f>
        <v>5-7</v>
      </c>
      <c r="D44" s="1">
        <v>106</v>
      </c>
      <c r="E44" t="str">
        <f>LOOKUP(D44,Sheet2!$G$4:$H$9)</f>
        <v>100-125</v>
      </c>
      <c r="F44" s="1">
        <v>92</v>
      </c>
      <c r="G44" t="str">
        <f>LOOKUP(F44,Sheet2!$J$4:$K$8)</f>
        <v>80+</v>
      </c>
      <c r="H44" s="1">
        <v>18</v>
      </c>
      <c r="I44" t="str">
        <f>LOOKUP(H44,Sheet2!$M$4:$N$8)</f>
        <v>10-30</v>
      </c>
      <c r="J44" s="1">
        <v>0</v>
      </c>
      <c r="K44" t="str">
        <f>LOOKUP(J44,Sheet2!$P$4:$Q$9)</f>
        <v>Unknown</v>
      </c>
      <c r="L44" s="1">
        <v>22.7</v>
      </c>
      <c r="M44" t="str">
        <f>LOOKUP(L44,Sheet2!$S$4:$T$8)</f>
        <v>1-25</v>
      </c>
      <c r="N44" s="1">
        <v>0.23499999999999999</v>
      </c>
      <c r="O44" t="str">
        <f>LOOKUP(N44,Sheet2!$V$4:$W$7)</f>
        <v>0.0 - 0.249</v>
      </c>
      <c r="P44" s="1">
        <v>48</v>
      </c>
      <c r="Q44" t="str">
        <f>LOOKUP(P44,Sheet2!$Z$4:$AA$7)</f>
        <v>46+</v>
      </c>
      <c r="R44" s="1">
        <v>0</v>
      </c>
      <c r="S44" t="str">
        <f>IF(R44=1,"Positive","Negative")</f>
        <v>Negative</v>
      </c>
      <c r="T44" s="1" t="str">
        <f>IFERROR(VLOOKUP(A44,[1]diabetes_Recognition!$A:$B,2,FALSE),"Not Sampled")</f>
        <v>Not Sampled</v>
      </c>
      <c r="U44" t="str">
        <f>IF(T44=1,"Positive",(IF(T44=0,"Negative","Not Sampled")))</f>
        <v>Not Sampled</v>
      </c>
      <c r="V44" s="1" t="str">
        <f>IF(U44="Not Sampled","Not Sampled",IF(S44=U44,"Accurate Prediction","Inaccurate Prediction"))</f>
        <v>Not Sampled</v>
      </c>
    </row>
    <row r="45" spans="1:22" x14ac:dyDescent="0.25">
      <c r="A45" s="1">
        <v>43</v>
      </c>
      <c r="B45" s="1">
        <v>9</v>
      </c>
      <c r="C45" s="1" t="str">
        <f>LOOKUP(B45,Sheet2!$D$4:$E$9)</f>
        <v>8+</v>
      </c>
      <c r="D45" s="1">
        <v>171</v>
      </c>
      <c r="E45" t="str">
        <f>LOOKUP(D45,Sheet2!$G$4:$H$9)</f>
        <v>151-175</v>
      </c>
      <c r="F45" s="1">
        <v>110</v>
      </c>
      <c r="G45" t="str">
        <f>LOOKUP(F45,Sheet2!$J$4:$K$8)</f>
        <v>80+</v>
      </c>
      <c r="H45" s="1">
        <v>24</v>
      </c>
      <c r="I45" t="str">
        <f>LOOKUP(H45,Sheet2!$M$4:$N$8)</f>
        <v>10-30</v>
      </c>
      <c r="J45" s="1">
        <v>240</v>
      </c>
      <c r="K45" t="str">
        <f>LOOKUP(J45,Sheet2!$P$4:$Q$9)</f>
        <v>200-399</v>
      </c>
      <c r="L45" s="1">
        <v>45.4</v>
      </c>
      <c r="M45" t="str">
        <f>LOOKUP(L45,Sheet2!$S$4:$T$8)</f>
        <v>36+</v>
      </c>
      <c r="N45" s="1">
        <v>0.72099999999999997</v>
      </c>
      <c r="O45" t="str">
        <f>LOOKUP(N45,Sheet2!$V$4:$W$7)</f>
        <v>0.7+</v>
      </c>
      <c r="P45" s="1">
        <v>54</v>
      </c>
      <c r="Q45" t="str">
        <f>LOOKUP(P45,Sheet2!$Z$4:$AA$7)</f>
        <v>46+</v>
      </c>
      <c r="R45" s="1">
        <v>1</v>
      </c>
      <c r="S45" t="str">
        <f>IF(R45=1,"Positive","Negative")</f>
        <v>Positive</v>
      </c>
      <c r="T45" s="1" t="str">
        <f>IFERROR(VLOOKUP(A45,[1]diabetes_Recognition!$A:$B,2,FALSE),"Not Sampled")</f>
        <v>Not Sampled</v>
      </c>
      <c r="U45" t="str">
        <f>IF(T45=1,"Positive",(IF(T45=0,"Negative","Not Sampled")))</f>
        <v>Not Sampled</v>
      </c>
      <c r="V45" s="1" t="str">
        <f>IF(U45="Not Sampled","Not Sampled",IF(S45=U45,"Accurate Prediction","Inaccurate Prediction"))</f>
        <v>Not Sampled</v>
      </c>
    </row>
    <row r="46" spans="1:22" x14ac:dyDescent="0.25">
      <c r="A46" s="1">
        <v>44</v>
      </c>
      <c r="B46" s="1">
        <v>7</v>
      </c>
      <c r="C46" s="1" t="str">
        <f>LOOKUP(B46,Sheet2!$D$4:$E$9)</f>
        <v>5-7</v>
      </c>
      <c r="D46" s="1">
        <v>159</v>
      </c>
      <c r="E46" t="str">
        <f>LOOKUP(D46,Sheet2!$G$4:$H$9)</f>
        <v>151-175</v>
      </c>
      <c r="F46" s="1">
        <v>64</v>
      </c>
      <c r="G46" t="str">
        <f>LOOKUP(F46,Sheet2!$J$4:$K$8)</f>
        <v>60-69</v>
      </c>
      <c r="H46" s="1">
        <v>0</v>
      </c>
      <c r="I46" t="str">
        <f>LOOKUP(H46,Sheet2!$M$4:$N$8)</f>
        <v>Unknown</v>
      </c>
      <c r="J46" s="1">
        <v>0</v>
      </c>
      <c r="K46" t="str">
        <f>LOOKUP(J46,Sheet2!$P$4:$Q$9)</f>
        <v>Unknown</v>
      </c>
      <c r="L46" s="1">
        <v>27.4</v>
      </c>
      <c r="M46" t="str">
        <f>LOOKUP(L46,Sheet2!$S$4:$T$8)</f>
        <v>26-30</v>
      </c>
      <c r="N46" s="1">
        <v>0.29399999999999998</v>
      </c>
      <c r="O46" t="str">
        <f>LOOKUP(N46,Sheet2!$V$4:$W$7)</f>
        <v>0.25 - 0.39</v>
      </c>
      <c r="P46" s="1">
        <v>40</v>
      </c>
      <c r="Q46" t="str">
        <f>LOOKUP(P46,Sheet2!$Z$4:$AA$7)</f>
        <v>36-45</v>
      </c>
      <c r="R46" s="1">
        <v>0</v>
      </c>
      <c r="S46" t="str">
        <f>IF(R46=1,"Positive","Negative")</f>
        <v>Negative</v>
      </c>
      <c r="T46" s="1" t="str">
        <f>IFERROR(VLOOKUP(A46,[1]diabetes_Recognition!$A:$B,2,FALSE),"Not Sampled")</f>
        <v>Not Sampled</v>
      </c>
      <c r="U46" t="str">
        <f>IF(T46=1,"Positive",(IF(T46=0,"Negative","Not Sampled")))</f>
        <v>Not Sampled</v>
      </c>
      <c r="V46" s="1" t="str">
        <f>IF(U46="Not Sampled","Not Sampled",IF(S46=U46,"Accurate Prediction","Inaccurate Prediction"))</f>
        <v>Not Sampled</v>
      </c>
    </row>
    <row r="47" spans="1:22" x14ac:dyDescent="0.25">
      <c r="A47" s="1">
        <v>45</v>
      </c>
      <c r="B47" s="1">
        <v>0</v>
      </c>
      <c r="C47" s="1">
        <f>LOOKUP(B47,Sheet2!$D$4:$E$9)</f>
        <v>0</v>
      </c>
      <c r="D47" s="1">
        <v>180</v>
      </c>
      <c r="E47" t="str">
        <f>LOOKUP(D47,Sheet2!$G$4:$H$9)</f>
        <v>176-200</v>
      </c>
      <c r="F47" s="1">
        <v>66</v>
      </c>
      <c r="G47" t="str">
        <f>LOOKUP(F47,Sheet2!$J$4:$K$8)</f>
        <v>60-69</v>
      </c>
      <c r="H47" s="1">
        <v>39</v>
      </c>
      <c r="I47" t="str">
        <f>LOOKUP(H47,Sheet2!$M$4:$N$8)</f>
        <v>30-39</v>
      </c>
      <c r="J47" s="1">
        <v>0</v>
      </c>
      <c r="K47" t="str">
        <f>LOOKUP(J47,Sheet2!$P$4:$Q$9)</f>
        <v>Unknown</v>
      </c>
      <c r="L47" s="1">
        <v>42</v>
      </c>
      <c r="M47" t="str">
        <f>LOOKUP(L47,Sheet2!$S$4:$T$8)</f>
        <v>36+</v>
      </c>
      <c r="N47" s="1">
        <v>1.893</v>
      </c>
      <c r="O47" t="str">
        <f>LOOKUP(N47,Sheet2!$V$4:$W$7)</f>
        <v>0.7+</v>
      </c>
      <c r="P47" s="1">
        <v>25</v>
      </c>
      <c r="Q47" t="str">
        <f>LOOKUP(P47,Sheet2!$Z$4:$AA$7)</f>
        <v>&lt;=25</v>
      </c>
      <c r="R47" s="1">
        <v>1</v>
      </c>
      <c r="S47" t="str">
        <f>IF(R47=1,"Positive","Negative")</f>
        <v>Positive</v>
      </c>
      <c r="T47" s="1" t="str">
        <f>IFERROR(VLOOKUP(A47,[1]diabetes_Recognition!$A:$B,2,FALSE),"Not Sampled")</f>
        <v>Not Sampled</v>
      </c>
      <c r="U47" t="str">
        <f>IF(T47=1,"Positive",(IF(T47=0,"Negative","Not Sampled")))</f>
        <v>Not Sampled</v>
      </c>
      <c r="V47" s="1" t="str">
        <f>IF(U47="Not Sampled","Not Sampled",IF(S47=U47,"Accurate Prediction","Inaccurate Prediction"))</f>
        <v>Not Sampled</v>
      </c>
    </row>
    <row r="48" spans="1:22" x14ac:dyDescent="0.25">
      <c r="A48" s="1">
        <v>46</v>
      </c>
      <c r="B48" s="1">
        <v>1</v>
      </c>
      <c r="C48" s="1">
        <f>LOOKUP(B48,Sheet2!$D$4:$E$9)</f>
        <v>1</v>
      </c>
      <c r="D48" s="1">
        <v>146</v>
      </c>
      <c r="E48" t="str">
        <f>LOOKUP(D48,Sheet2!$G$4:$H$9)</f>
        <v>126-150</v>
      </c>
      <c r="F48" s="1">
        <v>56</v>
      </c>
      <c r="G48" t="str">
        <f>LOOKUP(F48,Sheet2!$J$4:$K$8)</f>
        <v>1-59</v>
      </c>
      <c r="H48" s="1">
        <v>0</v>
      </c>
      <c r="I48" t="str">
        <f>LOOKUP(H48,Sheet2!$M$4:$N$8)</f>
        <v>Unknown</v>
      </c>
      <c r="J48" s="1">
        <v>0</v>
      </c>
      <c r="K48" t="str">
        <f>LOOKUP(J48,Sheet2!$P$4:$Q$9)</f>
        <v>Unknown</v>
      </c>
      <c r="L48" s="1">
        <v>29.7</v>
      </c>
      <c r="M48" t="str">
        <f>LOOKUP(L48,Sheet2!$S$4:$T$8)</f>
        <v>26-30</v>
      </c>
      <c r="N48" s="1">
        <v>0.56399999999999995</v>
      </c>
      <c r="O48" t="str">
        <f>LOOKUP(N48,Sheet2!$V$4:$W$7)</f>
        <v>0.4 - 0.69</v>
      </c>
      <c r="P48" s="1">
        <v>29</v>
      </c>
      <c r="Q48" t="str">
        <f>LOOKUP(P48,Sheet2!$Z$4:$AA$7)</f>
        <v>26-35</v>
      </c>
      <c r="R48" s="1">
        <v>0</v>
      </c>
      <c r="S48" t="str">
        <f>IF(R48=1,"Positive","Negative")</f>
        <v>Negative</v>
      </c>
      <c r="T48" s="1" t="str">
        <f>IFERROR(VLOOKUP(A48,[1]diabetes_Recognition!$A:$B,2,FALSE),"Not Sampled")</f>
        <v>Not Sampled</v>
      </c>
      <c r="U48" t="str">
        <f>IF(T48=1,"Positive",(IF(T48=0,"Negative","Not Sampled")))</f>
        <v>Not Sampled</v>
      </c>
      <c r="V48" s="1" t="str">
        <f>IF(U48="Not Sampled","Not Sampled",IF(S48=U48,"Accurate Prediction","Inaccurate Prediction"))</f>
        <v>Not Sampled</v>
      </c>
    </row>
    <row r="49" spans="1:22" x14ac:dyDescent="0.25">
      <c r="A49" s="1">
        <v>47</v>
      </c>
      <c r="B49" s="1">
        <v>2</v>
      </c>
      <c r="C49" s="1">
        <f>LOOKUP(B49,Sheet2!$D$4:$E$9)</f>
        <v>2</v>
      </c>
      <c r="D49" s="1">
        <v>71</v>
      </c>
      <c r="E49" t="str">
        <f>LOOKUP(D49,Sheet2!$G$4:$H$9)</f>
        <v>1-99</v>
      </c>
      <c r="F49" s="1">
        <v>70</v>
      </c>
      <c r="G49" t="str">
        <f>LOOKUP(F49,Sheet2!$J$4:$K$8)</f>
        <v>70-79</v>
      </c>
      <c r="H49" s="1">
        <v>27</v>
      </c>
      <c r="I49" t="str">
        <f>LOOKUP(H49,Sheet2!$M$4:$N$8)</f>
        <v>10-30</v>
      </c>
      <c r="J49" s="1">
        <v>0</v>
      </c>
      <c r="K49" t="str">
        <f>LOOKUP(J49,Sheet2!$P$4:$Q$9)</f>
        <v>Unknown</v>
      </c>
      <c r="L49" s="1">
        <v>28</v>
      </c>
      <c r="M49" t="str">
        <f>LOOKUP(L49,Sheet2!$S$4:$T$8)</f>
        <v>26-30</v>
      </c>
      <c r="N49" s="1">
        <v>0.58599999999999997</v>
      </c>
      <c r="O49" t="str">
        <f>LOOKUP(N49,Sheet2!$V$4:$W$7)</f>
        <v>0.4 - 0.69</v>
      </c>
      <c r="P49" s="1">
        <v>22</v>
      </c>
      <c r="Q49" t="str">
        <f>LOOKUP(P49,Sheet2!$Z$4:$AA$7)</f>
        <v>&lt;=25</v>
      </c>
      <c r="R49" s="1">
        <v>0</v>
      </c>
      <c r="S49" t="str">
        <f>IF(R49=1,"Positive","Negative")</f>
        <v>Negative</v>
      </c>
      <c r="T49" s="1">
        <f>IFERROR(VLOOKUP(A49,[1]diabetes_Recognition!$A:$B,2,FALSE),"Not Sampled")</f>
        <v>0</v>
      </c>
      <c r="U49" t="str">
        <f>IF(T49=1,"Positive",(IF(T49=0,"Negative","Not Sampled")))</f>
        <v>Negative</v>
      </c>
      <c r="V49" s="1" t="str">
        <f>IF(U49="Not Sampled","Not Sampled",IF(S49=U49,"Accurate Prediction","Inaccurate Prediction"))</f>
        <v>Accurate Prediction</v>
      </c>
    </row>
    <row r="50" spans="1:22" x14ac:dyDescent="0.25">
      <c r="A50" s="1">
        <v>48</v>
      </c>
      <c r="B50" s="1">
        <v>7</v>
      </c>
      <c r="C50" s="1" t="str">
        <f>LOOKUP(B50,Sheet2!$D$4:$E$9)</f>
        <v>5-7</v>
      </c>
      <c r="D50" s="1">
        <v>103</v>
      </c>
      <c r="E50" t="str">
        <f>LOOKUP(D50,Sheet2!$G$4:$H$9)</f>
        <v>100-125</v>
      </c>
      <c r="F50" s="1">
        <v>66</v>
      </c>
      <c r="G50" t="str">
        <f>LOOKUP(F50,Sheet2!$J$4:$K$8)</f>
        <v>60-69</v>
      </c>
      <c r="H50" s="1">
        <v>32</v>
      </c>
      <c r="I50" t="str">
        <f>LOOKUP(H50,Sheet2!$M$4:$N$8)</f>
        <v>30-39</v>
      </c>
      <c r="J50" s="1">
        <v>0</v>
      </c>
      <c r="K50" t="str">
        <f>LOOKUP(J50,Sheet2!$P$4:$Q$9)</f>
        <v>Unknown</v>
      </c>
      <c r="L50" s="1">
        <v>39.1</v>
      </c>
      <c r="M50" t="str">
        <f>LOOKUP(L50,Sheet2!$S$4:$T$8)</f>
        <v>36+</v>
      </c>
      <c r="N50" s="1">
        <v>0.34399999999999997</v>
      </c>
      <c r="O50" t="str">
        <f>LOOKUP(N50,Sheet2!$V$4:$W$7)</f>
        <v>0.25 - 0.39</v>
      </c>
      <c r="P50" s="1">
        <v>31</v>
      </c>
      <c r="Q50" t="str">
        <f>LOOKUP(P50,Sheet2!$Z$4:$AA$7)</f>
        <v>26-35</v>
      </c>
      <c r="R50" s="1">
        <v>1</v>
      </c>
      <c r="S50" t="str">
        <f>IF(R50=1,"Positive","Negative")</f>
        <v>Positive</v>
      </c>
      <c r="T50" s="1">
        <f>IFERROR(VLOOKUP(A50,[1]diabetes_Recognition!$A:$B,2,FALSE),"Not Sampled")</f>
        <v>0</v>
      </c>
      <c r="U50" t="str">
        <f>IF(T50=1,"Positive",(IF(T50=0,"Negative","Not Sampled")))</f>
        <v>Negative</v>
      </c>
      <c r="V50" s="1" t="str">
        <f>IF(U50="Not Sampled","Not Sampled",IF(S50=U50,"Accurate Prediction","Inaccurate Prediction"))</f>
        <v>Inaccurate Prediction</v>
      </c>
    </row>
    <row r="51" spans="1:22" x14ac:dyDescent="0.25">
      <c r="A51" s="1">
        <v>49</v>
      </c>
      <c r="B51" s="1">
        <v>7</v>
      </c>
      <c r="C51" s="1" t="str">
        <f>LOOKUP(B51,Sheet2!$D$4:$E$9)</f>
        <v>5-7</v>
      </c>
      <c r="D51" s="1">
        <v>105</v>
      </c>
      <c r="E51" t="str">
        <f>LOOKUP(D51,Sheet2!$G$4:$H$9)</f>
        <v>100-125</v>
      </c>
      <c r="F51" s="1">
        <v>0</v>
      </c>
      <c r="G51" t="str">
        <f>LOOKUP(F51,Sheet2!$J$4:$K$8)</f>
        <v>Unknown</v>
      </c>
      <c r="H51" s="1">
        <v>0</v>
      </c>
      <c r="I51" t="str">
        <f>LOOKUP(H51,Sheet2!$M$4:$N$8)</f>
        <v>Unknown</v>
      </c>
      <c r="J51" s="1">
        <v>0</v>
      </c>
      <c r="K51" t="str">
        <f>LOOKUP(J51,Sheet2!$P$4:$Q$9)</f>
        <v>Unknown</v>
      </c>
      <c r="L51" s="1">
        <v>0</v>
      </c>
      <c r="M51" t="str">
        <f>LOOKUP(L51,Sheet2!$S$4:$T$8)</f>
        <v>Unknown</v>
      </c>
      <c r="N51" s="1">
        <v>0.30499999999999999</v>
      </c>
      <c r="O51" t="str">
        <f>LOOKUP(N51,Sheet2!$V$4:$W$7)</f>
        <v>0.25 - 0.39</v>
      </c>
      <c r="P51" s="1">
        <v>24</v>
      </c>
      <c r="Q51" t="str">
        <f>LOOKUP(P51,Sheet2!$Z$4:$AA$7)</f>
        <v>&lt;=25</v>
      </c>
      <c r="R51" s="1">
        <v>0</v>
      </c>
      <c r="S51" t="str">
        <f>IF(R51=1,"Positive","Negative")</f>
        <v>Negative</v>
      </c>
      <c r="T51" s="1">
        <f>IFERROR(VLOOKUP(A51,[1]diabetes_Recognition!$A:$B,2,FALSE),"Not Sampled")</f>
        <v>0</v>
      </c>
      <c r="U51" t="str">
        <f>IF(T51=1,"Positive",(IF(T51=0,"Negative","Not Sampled")))</f>
        <v>Negative</v>
      </c>
      <c r="V51" s="1" t="str">
        <f>IF(U51="Not Sampled","Not Sampled",IF(S51=U51,"Accurate Prediction","Inaccurate Prediction"))</f>
        <v>Accurate Prediction</v>
      </c>
    </row>
    <row r="52" spans="1:22" x14ac:dyDescent="0.25">
      <c r="A52" s="1">
        <v>50</v>
      </c>
      <c r="B52" s="1">
        <v>1</v>
      </c>
      <c r="C52" s="1">
        <f>LOOKUP(B52,Sheet2!$D$4:$E$9)</f>
        <v>1</v>
      </c>
      <c r="D52" s="1">
        <v>103</v>
      </c>
      <c r="E52" t="str">
        <f>LOOKUP(D52,Sheet2!$G$4:$H$9)</f>
        <v>100-125</v>
      </c>
      <c r="F52" s="1">
        <v>80</v>
      </c>
      <c r="G52" t="str">
        <f>LOOKUP(F52,Sheet2!$J$4:$K$8)</f>
        <v>80+</v>
      </c>
      <c r="H52" s="1">
        <v>11</v>
      </c>
      <c r="I52" t="str">
        <f>LOOKUP(H52,Sheet2!$M$4:$N$8)</f>
        <v>10-30</v>
      </c>
      <c r="J52" s="1">
        <v>82</v>
      </c>
      <c r="K52" t="str">
        <f>LOOKUP(J52,Sheet2!$P$4:$Q$9)</f>
        <v>1-99</v>
      </c>
      <c r="L52" s="1">
        <v>19.399999999999999</v>
      </c>
      <c r="M52" t="str">
        <f>LOOKUP(L52,Sheet2!$S$4:$T$8)</f>
        <v>1-25</v>
      </c>
      <c r="N52" s="1">
        <v>0.49099999999999999</v>
      </c>
      <c r="O52" t="str">
        <f>LOOKUP(N52,Sheet2!$V$4:$W$7)</f>
        <v>0.4 - 0.69</v>
      </c>
      <c r="P52" s="1">
        <v>22</v>
      </c>
      <c r="Q52" t="str">
        <f>LOOKUP(P52,Sheet2!$Z$4:$AA$7)</f>
        <v>&lt;=25</v>
      </c>
      <c r="R52" s="1">
        <v>0</v>
      </c>
      <c r="S52" t="str">
        <f>IF(R52=1,"Positive","Negative")</f>
        <v>Negative</v>
      </c>
      <c r="T52" s="1" t="str">
        <f>IFERROR(VLOOKUP(A52,[1]diabetes_Recognition!$A:$B,2,FALSE),"Not Sampled")</f>
        <v>Not Sampled</v>
      </c>
      <c r="U52" t="str">
        <f>IF(T52=1,"Positive",(IF(T52=0,"Negative","Not Sampled")))</f>
        <v>Not Sampled</v>
      </c>
      <c r="V52" s="1" t="str">
        <f>IF(U52="Not Sampled","Not Sampled",IF(S52=U52,"Accurate Prediction","Inaccurate Prediction"))</f>
        <v>Not Sampled</v>
      </c>
    </row>
    <row r="53" spans="1:22" x14ac:dyDescent="0.25">
      <c r="A53" s="1">
        <v>51</v>
      </c>
      <c r="B53" s="1">
        <v>1</v>
      </c>
      <c r="C53" s="1">
        <f>LOOKUP(B53,Sheet2!$D$4:$E$9)</f>
        <v>1</v>
      </c>
      <c r="D53" s="1">
        <v>101</v>
      </c>
      <c r="E53" t="str">
        <f>LOOKUP(D53,Sheet2!$G$4:$H$9)</f>
        <v>100-125</v>
      </c>
      <c r="F53" s="1">
        <v>50</v>
      </c>
      <c r="G53" t="str">
        <f>LOOKUP(F53,Sheet2!$J$4:$K$8)</f>
        <v>1-59</v>
      </c>
      <c r="H53" s="1">
        <v>15</v>
      </c>
      <c r="I53" t="str">
        <f>LOOKUP(H53,Sheet2!$M$4:$N$8)</f>
        <v>10-30</v>
      </c>
      <c r="J53" s="1">
        <v>36</v>
      </c>
      <c r="K53" t="str">
        <f>LOOKUP(J53,Sheet2!$P$4:$Q$9)</f>
        <v>1-99</v>
      </c>
      <c r="L53" s="1">
        <v>24.2</v>
      </c>
      <c r="M53" t="str">
        <f>LOOKUP(L53,Sheet2!$S$4:$T$8)</f>
        <v>1-25</v>
      </c>
      <c r="N53" s="1">
        <v>0.52600000000000002</v>
      </c>
      <c r="O53" t="str">
        <f>LOOKUP(N53,Sheet2!$V$4:$W$7)</f>
        <v>0.4 - 0.69</v>
      </c>
      <c r="P53" s="1">
        <v>26</v>
      </c>
      <c r="Q53" t="str">
        <f>LOOKUP(P53,Sheet2!$Z$4:$AA$7)</f>
        <v>26-35</v>
      </c>
      <c r="R53" s="1">
        <v>0</v>
      </c>
      <c r="S53" t="str">
        <f>IF(R53=1,"Positive","Negative")</f>
        <v>Negative</v>
      </c>
      <c r="T53" s="1" t="str">
        <f>IFERROR(VLOOKUP(A53,[1]diabetes_Recognition!$A:$B,2,FALSE),"Not Sampled")</f>
        <v>Not Sampled</v>
      </c>
      <c r="U53" t="str">
        <f>IF(T53=1,"Positive",(IF(T53=0,"Negative","Not Sampled")))</f>
        <v>Not Sampled</v>
      </c>
      <c r="V53" s="1" t="str">
        <f>IF(U53="Not Sampled","Not Sampled",IF(S53=U53,"Accurate Prediction","Inaccurate Prediction"))</f>
        <v>Not Sampled</v>
      </c>
    </row>
    <row r="54" spans="1:22" x14ac:dyDescent="0.25">
      <c r="A54" s="1">
        <v>52</v>
      </c>
      <c r="B54" s="1">
        <v>5</v>
      </c>
      <c r="C54" s="1" t="str">
        <f>LOOKUP(B54,Sheet2!$D$4:$E$9)</f>
        <v>5-7</v>
      </c>
      <c r="D54" s="1">
        <v>88</v>
      </c>
      <c r="E54" t="str">
        <f>LOOKUP(D54,Sheet2!$G$4:$H$9)</f>
        <v>1-99</v>
      </c>
      <c r="F54" s="1">
        <v>66</v>
      </c>
      <c r="G54" t="str">
        <f>LOOKUP(F54,Sheet2!$J$4:$K$8)</f>
        <v>60-69</v>
      </c>
      <c r="H54" s="1">
        <v>21</v>
      </c>
      <c r="I54" t="str">
        <f>LOOKUP(H54,Sheet2!$M$4:$N$8)</f>
        <v>10-30</v>
      </c>
      <c r="J54" s="1">
        <v>23</v>
      </c>
      <c r="K54" t="str">
        <f>LOOKUP(J54,Sheet2!$P$4:$Q$9)</f>
        <v>1-99</v>
      </c>
      <c r="L54" s="1">
        <v>24.4</v>
      </c>
      <c r="M54" t="str">
        <f>LOOKUP(L54,Sheet2!$S$4:$T$8)</f>
        <v>1-25</v>
      </c>
      <c r="N54" s="1">
        <v>0.34200000000000003</v>
      </c>
      <c r="O54" t="str">
        <f>LOOKUP(N54,Sheet2!$V$4:$W$7)</f>
        <v>0.25 - 0.39</v>
      </c>
      <c r="P54" s="1">
        <v>30</v>
      </c>
      <c r="Q54" t="str">
        <f>LOOKUP(P54,Sheet2!$Z$4:$AA$7)</f>
        <v>26-35</v>
      </c>
      <c r="R54" s="1">
        <v>0</v>
      </c>
      <c r="S54" t="str">
        <f>IF(R54=1,"Positive","Negative")</f>
        <v>Negative</v>
      </c>
      <c r="T54" s="1" t="str">
        <f>IFERROR(VLOOKUP(A54,[1]diabetes_Recognition!$A:$B,2,FALSE),"Not Sampled")</f>
        <v>Not Sampled</v>
      </c>
      <c r="U54" t="str">
        <f>IF(T54=1,"Positive",(IF(T54=0,"Negative","Not Sampled")))</f>
        <v>Not Sampled</v>
      </c>
      <c r="V54" s="1" t="str">
        <f>IF(U54="Not Sampled","Not Sampled",IF(S54=U54,"Accurate Prediction","Inaccurate Prediction"))</f>
        <v>Not Sampled</v>
      </c>
    </row>
    <row r="55" spans="1:22" x14ac:dyDescent="0.25">
      <c r="A55" s="1">
        <v>53</v>
      </c>
      <c r="B55" s="1">
        <v>8</v>
      </c>
      <c r="C55" s="1" t="str">
        <f>LOOKUP(B55,Sheet2!$D$4:$E$9)</f>
        <v>8+</v>
      </c>
      <c r="D55" s="1">
        <v>176</v>
      </c>
      <c r="E55" t="str">
        <f>LOOKUP(D55,Sheet2!$G$4:$H$9)</f>
        <v>176-200</v>
      </c>
      <c r="F55" s="1">
        <v>90</v>
      </c>
      <c r="G55" t="str">
        <f>LOOKUP(F55,Sheet2!$J$4:$K$8)</f>
        <v>80+</v>
      </c>
      <c r="H55" s="1">
        <v>34</v>
      </c>
      <c r="I55" t="str">
        <f>LOOKUP(H55,Sheet2!$M$4:$N$8)</f>
        <v>30-39</v>
      </c>
      <c r="J55" s="1">
        <v>300</v>
      </c>
      <c r="K55" t="str">
        <f>LOOKUP(J55,Sheet2!$P$4:$Q$9)</f>
        <v>300-499</v>
      </c>
      <c r="L55" s="1">
        <v>33.700000000000003</v>
      </c>
      <c r="M55" t="str">
        <f>LOOKUP(L55,Sheet2!$S$4:$T$8)</f>
        <v>31-35</v>
      </c>
      <c r="N55" s="1">
        <v>0.46700000000000003</v>
      </c>
      <c r="O55" t="str">
        <f>LOOKUP(N55,Sheet2!$V$4:$W$7)</f>
        <v>0.4 - 0.69</v>
      </c>
      <c r="P55" s="1">
        <v>58</v>
      </c>
      <c r="Q55" t="str">
        <f>LOOKUP(P55,Sheet2!$Z$4:$AA$7)</f>
        <v>46+</v>
      </c>
      <c r="R55" s="1">
        <v>1</v>
      </c>
      <c r="S55" t="str">
        <f>IF(R55=1,"Positive","Negative")</f>
        <v>Positive</v>
      </c>
      <c r="T55" s="1">
        <f>IFERROR(VLOOKUP(A55,[1]diabetes_Recognition!$A:$B,2,FALSE),"Not Sampled")</f>
        <v>1</v>
      </c>
      <c r="U55" t="str">
        <f>IF(T55=1,"Positive",(IF(T55=0,"Negative","Not Sampled")))</f>
        <v>Positive</v>
      </c>
      <c r="V55" s="1" t="str">
        <f>IF(U55="Not Sampled","Not Sampled",IF(S55=U55,"Accurate Prediction","Inaccurate Prediction"))</f>
        <v>Accurate Prediction</v>
      </c>
    </row>
    <row r="56" spans="1:22" x14ac:dyDescent="0.25">
      <c r="A56" s="1">
        <v>54</v>
      </c>
      <c r="B56" s="1">
        <v>7</v>
      </c>
      <c r="C56" s="1" t="str">
        <f>LOOKUP(B56,Sheet2!$D$4:$E$9)</f>
        <v>5-7</v>
      </c>
      <c r="D56" s="1">
        <v>150</v>
      </c>
      <c r="E56" t="str">
        <f>LOOKUP(D56,Sheet2!$G$4:$H$9)</f>
        <v>126-150</v>
      </c>
      <c r="F56" s="1">
        <v>66</v>
      </c>
      <c r="G56" t="str">
        <f>LOOKUP(F56,Sheet2!$J$4:$K$8)</f>
        <v>60-69</v>
      </c>
      <c r="H56" s="1">
        <v>42</v>
      </c>
      <c r="I56" t="str">
        <f>LOOKUP(H56,Sheet2!$M$4:$N$8)</f>
        <v>40+</v>
      </c>
      <c r="J56" s="1">
        <v>342</v>
      </c>
      <c r="K56" t="str">
        <f>LOOKUP(J56,Sheet2!$P$4:$Q$9)</f>
        <v>300-499</v>
      </c>
      <c r="L56" s="1">
        <v>34.700000000000003</v>
      </c>
      <c r="M56" t="str">
        <f>LOOKUP(L56,Sheet2!$S$4:$T$8)</f>
        <v>31-35</v>
      </c>
      <c r="N56" s="1">
        <v>0.71799999999999997</v>
      </c>
      <c r="O56" t="str">
        <f>LOOKUP(N56,Sheet2!$V$4:$W$7)</f>
        <v>0.7+</v>
      </c>
      <c r="P56" s="1">
        <v>42</v>
      </c>
      <c r="Q56" t="str">
        <f>LOOKUP(P56,Sheet2!$Z$4:$AA$7)</f>
        <v>36-45</v>
      </c>
      <c r="R56" s="1">
        <v>0</v>
      </c>
      <c r="S56" t="str">
        <f>IF(R56=1,"Positive","Negative")</f>
        <v>Negative</v>
      </c>
      <c r="T56" s="1" t="str">
        <f>IFERROR(VLOOKUP(A56,[1]diabetes_Recognition!$A:$B,2,FALSE),"Not Sampled")</f>
        <v>Not Sampled</v>
      </c>
      <c r="U56" t="str">
        <f>IF(T56=1,"Positive",(IF(T56=0,"Negative","Not Sampled")))</f>
        <v>Not Sampled</v>
      </c>
      <c r="V56" s="1" t="str">
        <f>IF(U56="Not Sampled","Not Sampled",IF(S56=U56,"Accurate Prediction","Inaccurate Prediction"))</f>
        <v>Not Sampled</v>
      </c>
    </row>
    <row r="57" spans="1:22" x14ac:dyDescent="0.25">
      <c r="A57" s="1">
        <v>55</v>
      </c>
      <c r="B57" s="1">
        <v>1</v>
      </c>
      <c r="C57" s="1">
        <f>LOOKUP(B57,Sheet2!$D$4:$E$9)</f>
        <v>1</v>
      </c>
      <c r="D57" s="1">
        <v>73</v>
      </c>
      <c r="E57" t="str">
        <f>LOOKUP(D57,Sheet2!$G$4:$H$9)</f>
        <v>1-99</v>
      </c>
      <c r="F57" s="1">
        <v>50</v>
      </c>
      <c r="G57" t="str">
        <f>LOOKUP(F57,Sheet2!$J$4:$K$8)</f>
        <v>1-59</v>
      </c>
      <c r="H57" s="1">
        <v>10</v>
      </c>
      <c r="I57" t="str">
        <f>LOOKUP(H57,Sheet2!$M$4:$N$8)</f>
        <v>10-30</v>
      </c>
      <c r="J57" s="1">
        <v>0</v>
      </c>
      <c r="K57" t="str">
        <f>LOOKUP(J57,Sheet2!$P$4:$Q$9)</f>
        <v>Unknown</v>
      </c>
      <c r="L57" s="1">
        <v>23</v>
      </c>
      <c r="M57" t="str">
        <f>LOOKUP(L57,Sheet2!$S$4:$T$8)</f>
        <v>1-25</v>
      </c>
      <c r="N57" s="1">
        <v>0.248</v>
      </c>
      <c r="O57" t="str">
        <f>LOOKUP(N57,Sheet2!$V$4:$W$7)</f>
        <v>0.0 - 0.249</v>
      </c>
      <c r="P57" s="1">
        <v>21</v>
      </c>
      <c r="Q57" t="str">
        <f>LOOKUP(P57,Sheet2!$Z$4:$AA$7)</f>
        <v>&lt;=25</v>
      </c>
      <c r="R57" s="1">
        <v>0</v>
      </c>
      <c r="S57" t="str">
        <f>IF(R57=1,"Positive","Negative")</f>
        <v>Negative</v>
      </c>
      <c r="T57" s="1" t="str">
        <f>IFERROR(VLOOKUP(A57,[1]diabetes_Recognition!$A:$B,2,FALSE),"Not Sampled")</f>
        <v>Not Sampled</v>
      </c>
      <c r="U57" t="str">
        <f>IF(T57=1,"Positive",(IF(T57=0,"Negative","Not Sampled")))</f>
        <v>Not Sampled</v>
      </c>
      <c r="V57" s="1" t="str">
        <f>IF(U57="Not Sampled","Not Sampled",IF(S57=U57,"Accurate Prediction","Inaccurate Prediction"))</f>
        <v>Not Sampled</v>
      </c>
    </row>
    <row r="58" spans="1:22" x14ac:dyDescent="0.25">
      <c r="A58" s="1">
        <v>56</v>
      </c>
      <c r="B58" s="1">
        <v>7</v>
      </c>
      <c r="C58" s="1" t="str">
        <f>LOOKUP(B58,Sheet2!$D$4:$E$9)</f>
        <v>5-7</v>
      </c>
      <c r="D58" s="1">
        <v>187</v>
      </c>
      <c r="E58" t="str">
        <f>LOOKUP(D58,Sheet2!$G$4:$H$9)</f>
        <v>176-200</v>
      </c>
      <c r="F58" s="1">
        <v>68</v>
      </c>
      <c r="G58" t="str">
        <f>LOOKUP(F58,Sheet2!$J$4:$K$8)</f>
        <v>60-69</v>
      </c>
      <c r="H58" s="1">
        <v>39</v>
      </c>
      <c r="I58" t="str">
        <f>LOOKUP(H58,Sheet2!$M$4:$N$8)</f>
        <v>30-39</v>
      </c>
      <c r="J58" s="1">
        <v>304</v>
      </c>
      <c r="K58" t="str">
        <f>LOOKUP(J58,Sheet2!$P$4:$Q$9)</f>
        <v>300-499</v>
      </c>
      <c r="L58" s="1">
        <v>37.700000000000003</v>
      </c>
      <c r="M58" t="str">
        <f>LOOKUP(L58,Sheet2!$S$4:$T$8)</f>
        <v>36+</v>
      </c>
      <c r="N58" s="1">
        <v>0.254</v>
      </c>
      <c r="O58" t="str">
        <f>LOOKUP(N58,Sheet2!$V$4:$W$7)</f>
        <v>0.25 - 0.39</v>
      </c>
      <c r="P58" s="1">
        <v>41</v>
      </c>
      <c r="Q58" t="str">
        <f>LOOKUP(P58,Sheet2!$Z$4:$AA$7)</f>
        <v>36-45</v>
      </c>
      <c r="R58" s="1">
        <v>1</v>
      </c>
      <c r="S58" t="str">
        <f>IF(R58=1,"Positive","Negative")</f>
        <v>Positive</v>
      </c>
      <c r="T58" s="1">
        <f>IFERROR(VLOOKUP(A58,[1]diabetes_Recognition!$A:$B,2,FALSE),"Not Sampled")</f>
        <v>1</v>
      </c>
      <c r="U58" t="str">
        <f>IF(T58=1,"Positive",(IF(T58=0,"Negative","Not Sampled")))</f>
        <v>Positive</v>
      </c>
      <c r="V58" s="1" t="str">
        <f>IF(U58="Not Sampled","Not Sampled",IF(S58=U58,"Accurate Prediction","Inaccurate Prediction"))</f>
        <v>Accurate Prediction</v>
      </c>
    </row>
    <row r="59" spans="1:22" x14ac:dyDescent="0.25">
      <c r="A59" s="1">
        <v>57</v>
      </c>
      <c r="B59" s="1">
        <v>0</v>
      </c>
      <c r="C59" s="1">
        <f>LOOKUP(B59,Sheet2!$D$4:$E$9)</f>
        <v>0</v>
      </c>
      <c r="D59" s="1">
        <v>100</v>
      </c>
      <c r="E59" t="str">
        <f>LOOKUP(D59,Sheet2!$G$4:$H$9)</f>
        <v>100-125</v>
      </c>
      <c r="F59" s="1">
        <v>88</v>
      </c>
      <c r="G59" t="str">
        <f>LOOKUP(F59,Sheet2!$J$4:$K$8)</f>
        <v>80+</v>
      </c>
      <c r="H59" s="1">
        <v>60</v>
      </c>
      <c r="I59" t="str">
        <f>LOOKUP(H59,Sheet2!$M$4:$N$8)</f>
        <v>40+</v>
      </c>
      <c r="J59" s="1">
        <v>110</v>
      </c>
      <c r="K59" t="str">
        <f>LOOKUP(J59,Sheet2!$P$4:$Q$9)</f>
        <v>100-199</v>
      </c>
      <c r="L59" s="1">
        <v>46.8</v>
      </c>
      <c r="M59" t="str">
        <f>LOOKUP(L59,Sheet2!$S$4:$T$8)</f>
        <v>36+</v>
      </c>
      <c r="N59" s="1">
        <v>0.96199999999999997</v>
      </c>
      <c r="O59" t="str">
        <f>LOOKUP(N59,Sheet2!$V$4:$W$7)</f>
        <v>0.7+</v>
      </c>
      <c r="P59" s="1">
        <v>31</v>
      </c>
      <c r="Q59" t="str">
        <f>LOOKUP(P59,Sheet2!$Z$4:$AA$7)</f>
        <v>26-35</v>
      </c>
      <c r="R59" s="1">
        <v>0</v>
      </c>
      <c r="S59" t="str">
        <f>IF(R59=1,"Positive","Negative")</f>
        <v>Negative</v>
      </c>
      <c r="T59" s="1" t="str">
        <f>IFERROR(VLOOKUP(A59,[1]diabetes_Recognition!$A:$B,2,FALSE),"Not Sampled")</f>
        <v>Not Sampled</v>
      </c>
      <c r="U59" t="str">
        <f>IF(T59=1,"Positive",(IF(T59=0,"Negative","Not Sampled")))</f>
        <v>Not Sampled</v>
      </c>
      <c r="V59" s="1" t="str">
        <f>IF(U59="Not Sampled","Not Sampled",IF(S59=U59,"Accurate Prediction","Inaccurate Prediction"))</f>
        <v>Not Sampled</v>
      </c>
    </row>
    <row r="60" spans="1:22" x14ac:dyDescent="0.25">
      <c r="A60" s="1">
        <v>58</v>
      </c>
      <c r="B60" s="1">
        <v>0</v>
      </c>
      <c r="C60" s="1">
        <f>LOOKUP(B60,Sheet2!$D$4:$E$9)</f>
        <v>0</v>
      </c>
      <c r="D60" s="1">
        <v>146</v>
      </c>
      <c r="E60" t="str">
        <f>LOOKUP(D60,Sheet2!$G$4:$H$9)</f>
        <v>126-150</v>
      </c>
      <c r="F60" s="1">
        <v>82</v>
      </c>
      <c r="G60" t="str">
        <f>LOOKUP(F60,Sheet2!$J$4:$K$8)</f>
        <v>80+</v>
      </c>
      <c r="H60" s="1">
        <v>0</v>
      </c>
      <c r="I60" t="str">
        <f>LOOKUP(H60,Sheet2!$M$4:$N$8)</f>
        <v>Unknown</v>
      </c>
      <c r="J60" s="1">
        <v>0</v>
      </c>
      <c r="K60" t="str">
        <f>LOOKUP(J60,Sheet2!$P$4:$Q$9)</f>
        <v>Unknown</v>
      </c>
      <c r="L60" s="1">
        <v>40.5</v>
      </c>
      <c r="M60" t="str">
        <f>LOOKUP(L60,Sheet2!$S$4:$T$8)</f>
        <v>36+</v>
      </c>
      <c r="N60" s="1">
        <v>1.7809999999999999</v>
      </c>
      <c r="O60" t="str">
        <f>LOOKUP(N60,Sheet2!$V$4:$W$7)</f>
        <v>0.7+</v>
      </c>
      <c r="P60" s="1">
        <v>44</v>
      </c>
      <c r="Q60" t="str">
        <f>LOOKUP(P60,Sheet2!$Z$4:$AA$7)</f>
        <v>36-45</v>
      </c>
      <c r="R60" s="1">
        <v>0</v>
      </c>
      <c r="S60" t="str">
        <f>IF(R60=1,"Positive","Negative")</f>
        <v>Negative</v>
      </c>
      <c r="T60" s="1">
        <f>IFERROR(VLOOKUP(A60,[1]diabetes_Recognition!$A:$B,2,FALSE),"Not Sampled")</f>
        <v>1</v>
      </c>
      <c r="U60" t="str">
        <f>IF(T60=1,"Positive",(IF(T60=0,"Negative","Not Sampled")))</f>
        <v>Positive</v>
      </c>
      <c r="V60" s="1" t="str">
        <f>IF(U60="Not Sampled","Not Sampled",IF(S60=U60,"Accurate Prediction","Inaccurate Prediction"))</f>
        <v>Inaccurate Prediction</v>
      </c>
    </row>
    <row r="61" spans="1:22" x14ac:dyDescent="0.25">
      <c r="A61" s="1">
        <v>59</v>
      </c>
      <c r="B61" s="1">
        <v>0</v>
      </c>
      <c r="C61" s="1">
        <f>LOOKUP(B61,Sheet2!$D$4:$E$9)</f>
        <v>0</v>
      </c>
      <c r="D61" s="1">
        <v>105</v>
      </c>
      <c r="E61" t="str">
        <f>LOOKUP(D61,Sheet2!$G$4:$H$9)</f>
        <v>100-125</v>
      </c>
      <c r="F61" s="1">
        <v>64</v>
      </c>
      <c r="G61" t="str">
        <f>LOOKUP(F61,Sheet2!$J$4:$K$8)</f>
        <v>60-69</v>
      </c>
      <c r="H61" s="1">
        <v>41</v>
      </c>
      <c r="I61" t="str">
        <f>LOOKUP(H61,Sheet2!$M$4:$N$8)</f>
        <v>40+</v>
      </c>
      <c r="J61" s="1">
        <v>142</v>
      </c>
      <c r="K61" t="str">
        <f>LOOKUP(J61,Sheet2!$P$4:$Q$9)</f>
        <v>100-199</v>
      </c>
      <c r="L61" s="1">
        <v>41.5</v>
      </c>
      <c r="M61" t="str">
        <f>LOOKUP(L61,Sheet2!$S$4:$T$8)</f>
        <v>36+</v>
      </c>
      <c r="N61" s="1">
        <v>0.17299999999999999</v>
      </c>
      <c r="O61" t="str">
        <f>LOOKUP(N61,Sheet2!$V$4:$W$7)</f>
        <v>0.0 - 0.249</v>
      </c>
      <c r="P61" s="1">
        <v>22</v>
      </c>
      <c r="Q61" t="str">
        <f>LOOKUP(P61,Sheet2!$Z$4:$AA$7)</f>
        <v>&lt;=25</v>
      </c>
      <c r="R61" s="1">
        <v>0</v>
      </c>
      <c r="S61" t="str">
        <f>IF(R61=1,"Positive","Negative")</f>
        <v>Negative</v>
      </c>
      <c r="T61" s="1" t="str">
        <f>IFERROR(VLOOKUP(A61,[1]diabetes_Recognition!$A:$B,2,FALSE),"Not Sampled")</f>
        <v>Not Sampled</v>
      </c>
      <c r="U61" t="str">
        <f>IF(T61=1,"Positive",(IF(T61=0,"Negative","Not Sampled")))</f>
        <v>Not Sampled</v>
      </c>
      <c r="V61" s="1" t="str">
        <f>IF(U61="Not Sampled","Not Sampled",IF(S61=U61,"Accurate Prediction","Inaccurate Prediction"))</f>
        <v>Not Sampled</v>
      </c>
    </row>
    <row r="62" spans="1:22" x14ac:dyDescent="0.25">
      <c r="A62" s="1">
        <v>60</v>
      </c>
      <c r="B62" s="1">
        <v>2</v>
      </c>
      <c r="C62" s="1">
        <f>LOOKUP(B62,Sheet2!$D$4:$E$9)</f>
        <v>2</v>
      </c>
      <c r="D62" s="1">
        <v>84</v>
      </c>
      <c r="E62" t="str">
        <f>LOOKUP(D62,Sheet2!$G$4:$H$9)</f>
        <v>1-99</v>
      </c>
      <c r="F62" s="1">
        <v>0</v>
      </c>
      <c r="G62" t="str">
        <f>LOOKUP(F62,Sheet2!$J$4:$K$8)</f>
        <v>Unknown</v>
      </c>
      <c r="H62" s="1">
        <v>0</v>
      </c>
      <c r="I62" t="str">
        <f>LOOKUP(H62,Sheet2!$M$4:$N$8)</f>
        <v>Unknown</v>
      </c>
      <c r="J62" s="1">
        <v>0</v>
      </c>
      <c r="K62" t="str">
        <f>LOOKUP(J62,Sheet2!$P$4:$Q$9)</f>
        <v>Unknown</v>
      </c>
      <c r="L62" s="1">
        <v>0</v>
      </c>
      <c r="M62" t="str">
        <f>LOOKUP(L62,Sheet2!$S$4:$T$8)</f>
        <v>Unknown</v>
      </c>
      <c r="N62" s="1">
        <v>0.30399999999999999</v>
      </c>
      <c r="O62" t="str">
        <f>LOOKUP(N62,Sheet2!$V$4:$W$7)</f>
        <v>0.25 - 0.39</v>
      </c>
      <c r="P62" s="1">
        <v>21</v>
      </c>
      <c r="Q62" t="str">
        <f>LOOKUP(P62,Sheet2!$Z$4:$AA$7)</f>
        <v>&lt;=25</v>
      </c>
      <c r="R62" s="1">
        <v>0</v>
      </c>
      <c r="S62" t="str">
        <f>IF(R62=1,"Positive","Negative")</f>
        <v>Negative</v>
      </c>
      <c r="T62" s="1">
        <f>IFERROR(VLOOKUP(A62,[1]diabetes_Recognition!$A:$B,2,FALSE),"Not Sampled")</f>
        <v>0</v>
      </c>
      <c r="U62" t="str">
        <f>IF(T62=1,"Positive",(IF(T62=0,"Negative","Not Sampled")))</f>
        <v>Negative</v>
      </c>
      <c r="V62" s="1" t="str">
        <f>IF(U62="Not Sampled","Not Sampled",IF(S62=U62,"Accurate Prediction","Inaccurate Prediction"))</f>
        <v>Accurate Prediction</v>
      </c>
    </row>
    <row r="63" spans="1:22" x14ac:dyDescent="0.25">
      <c r="A63" s="1">
        <v>61</v>
      </c>
      <c r="B63" s="1">
        <v>8</v>
      </c>
      <c r="C63" s="1" t="str">
        <f>LOOKUP(B63,Sheet2!$D$4:$E$9)</f>
        <v>8+</v>
      </c>
      <c r="D63" s="1">
        <v>133</v>
      </c>
      <c r="E63" t="str">
        <f>LOOKUP(D63,Sheet2!$G$4:$H$9)</f>
        <v>126-150</v>
      </c>
      <c r="F63" s="1">
        <v>72</v>
      </c>
      <c r="G63" t="str">
        <f>LOOKUP(F63,Sheet2!$J$4:$K$8)</f>
        <v>70-79</v>
      </c>
      <c r="H63" s="1">
        <v>0</v>
      </c>
      <c r="I63" t="str">
        <f>LOOKUP(H63,Sheet2!$M$4:$N$8)</f>
        <v>Unknown</v>
      </c>
      <c r="J63" s="1">
        <v>0</v>
      </c>
      <c r="K63" t="str">
        <f>LOOKUP(J63,Sheet2!$P$4:$Q$9)</f>
        <v>Unknown</v>
      </c>
      <c r="L63" s="1">
        <v>32.9</v>
      </c>
      <c r="M63" t="str">
        <f>LOOKUP(L63,Sheet2!$S$4:$T$8)</f>
        <v>31-35</v>
      </c>
      <c r="N63" s="1">
        <v>0.27</v>
      </c>
      <c r="O63" t="str">
        <f>LOOKUP(N63,Sheet2!$V$4:$W$7)</f>
        <v>0.25 - 0.39</v>
      </c>
      <c r="P63" s="1">
        <v>39</v>
      </c>
      <c r="Q63" t="str">
        <f>LOOKUP(P63,Sheet2!$Z$4:$AA$7)</f>
        <v>36-45</v>
      </c>
      <c r="R63" s="1">
        <v>1</v>
      </c>
      <c r="S63" t="str">
        <f>IF(R63=1,"Positive","Negative")</f>
        <v>Positive</v>
      </c>
      <c r="T63" s="1" t="str">
        <f>IFERROR(VLOOKUP(A63,[1]diabetes_Recognition!$A:$B,2,FALSE),"Not Sampled")</f>
        <v>Not Sampled</v>
      </c>
      <c r="U63" t="str">
        <f>IF(T63=1,"Positive",(IF(T63=0,"Negative","Not Sampled")))</f>
        <v>Not Sampled</v>
      </c>
      <c r="V63" s="1" t="str">
        <f>IF(U63="Not Sampled","Not Sampled",IF(S63=U63,"Accurate Prediction","Inaccurate Prediction"))</f>
        <v>Not Sampled</v>
      </c>
    </row>
    <row r="64" spans="1:22" x14ac:dyDescent="0.25">
      <c r="A64" s="1">
        <v>62</v>
      </c>
      <c r="B64" s="1">
        <v>5</v>
      </c>
      <c r="C64" s="1" t="str">
        <f>LOOKUP(B64,Sheet2!$D$4:$E$9)</f>
        <v>5-7</v>
      </c>
      <c r="D64" s="1">
        <v>44</v>
      </c>
      <c r="E64" t="str">
        <f>LOOKUP(D64,Sheet2!$G$4:$H$9)</f>
        <v>1-99</v>
      </c>
      <c r="F64" s="1">
        <v>62</v>
      </c>
      <c r="G64" t="str">
        <f>LOOKUP(F64,Sheet2!$J$4:$K$8)</f>
        <v>60-69</v>
      </c>
      <c r="H64" s="1">
        <v>0</v>
      </c>
      <c r="I64" t="str">
        <f>LOOKUP(H64,Sheet2!$M$4:$N$8)</f>
        <v>Unknown</v>
      </c>
      <c r="J64" s="1">
        <v>0</v>
      </c>
      <c r="K64" t="str">
        <f>LOOKUP(J64,Sheet2!$P$4:$Q$9)</f>
        <v>Unknown</v>
      </c>
      <c r="L64" s="1">
        <v>25</v>
      </c>
      <c r="M64" t="str">
        <f>LOOKUP(L64,Sheet2!$S$4:$T$8)</f>
        <v>1-25</v>
      </c>
      <c r="N64" s="1">
        <v>0.58699999999999997</v>
      </c>
      <c r="O64" t="str">
        <f>LOOKUP(N64,Sheet2!$V$4:$W$7)</f>
        <v>0.4 - 0.69</v>
      </c>
      <c r="P64" s="1">
        <v>36</v>
      </c>
      <c r="Q64" t="str">
        <f>LOOKUP(P64,Sheet2!$Z$4:$AA$7)</f>
        <v>36-45</v>
      </c>
      <c r="R64" s="1">
        <v>0</v>
      </c>
      <c r="S64" t="str">
        <f>IF(R64=1,"Positive","Negative")</f>
        <v>Negative</v>
      </c>
      <c r="T64" s="1" t="str">
        <f>IFERROR(VLOOKUP(A64,[1]diabetes_Recognition!$A:$B,2,FALSE),"Not Sampled")</f>
        <v>Not Sampled</v>
      </c>
      <c r="U64" t="str">
        <f>IF(T64=1,"Positive",(IF(T64=0,"Negative","Not Sampled")))</f>
        <v>Not Sampled</v>
      </c>
      <c r="V64" s="1" t="str">
        <f>IF(U64="Not Sampled","Not Sampled",IF(S64=U64,"Accurate Prediction","Inaccurate Prediction"))</f>
        <v>Not Sampled</v>
      </c>
    </row>
    <row r="65" spans="1:22" x14ac:dyDescent="0.25">
      <c r="A65" s="1">
        <v>63</v>
      </c>
      <c r="B65" s="1">
        <v>2</v>
      </c>
      <c r="C65" s="1">
        <f>LOOKUP(B65,Sheet2!$D$4:$E$9)</f>
        <v>2</v>
      </c>
      <c r="D65" s="1">
        <v>141</v>
      </c>
      <c r="E65" t="str">
        <f>LOOKUP(D65,Sheet2!$G$4:$H$9)</f>
        <v>126-150</v>
      </c>
      <c r="F65" s="1">
        <v>58</v>
      </c>
      <c r="G65" t="str">
        <f>LOOKUP(F65,Sheet2!$J$4:$K$8)</f>
        <v>1-59</v>
      </c>
      <c r="H65" s="1">
        <v>34</v>
      </c>
      <c r="I65" t="str">
        <f>LOOKUP(H65,Sheet2!$M$4:$N$8)</f>
        <v>30-39</v>
      </c>
      <c r="J65" s="1">
        <v>128</v>
      </c>
      <c r="K65" t="str">
        <f>LOOKUP(J65,Sheet2!$P$4:$Q$9)</f>
        <v>100-199</v>
      </c>
      <c r="L65" s="1">
        <v>25.4</v>
      </c>
      <c r="M65" t="str">
        <f>LOOKUP(L65,Sheet2!$S$4:$T$8)</f>
        <v>1-25</v>
      </c>
      <c r="N65" s="1">
        <v>0.69899999999999995</v>
      </c>
      <c r="O65" t="str">
        <f>LOOKUP(N65,Sheet2!$V$4:$W$7)</f>
        <v>0.4 - 0.69</v>
      </c>
      <c r="P65" s="1">
        <v>24</v>
      </c>
      <c r="Q65" t="str">
        <f>LOOKUP(P65,Sheet2!$Z$4:$AA$7)</f>
        <v>&lt;=25</v>
      </c>
      <c r="R65" s="1">
        <v>0</v>
      </c>
      <c r="S65" t="str">
        <f>IF(R65=1,"Positive","Negative")</f>
        <v>Negative</v>
      </c>
      <c r="T65" s="1" t="str">
        <f>IFERROR(VLOOKUP(A65,[1]diabetes_Recognition!$A:$B,2,FALSE),"Not Sampled")</f>
        <v>Not Sampled</v>
      </c>
      <c r="U65" t="str">
        <f>IF(T65=1,"Positive",(IF(T65=0,"Negative","Not Sampled")))</f>
        <v>Not Sampled</v>
      </c>
      <c r="V65" s="1" t="str">
        <f>IF(U65="Not Sampled","Not Sampled",IF(S65=U65,"Accurate Prediction","Inaccurate Prediction"))</f>
        <v>Not Sampled</v>
      </c>
    </row>
    <row r="66" spans="1:22" x14ac:dyDescent="0.25">
      <c r="A66" s="1">
        <v>64</v>
      </c>
      <c r="B66" s="1">
        <v>7</v>
      </c>
      <c r="C66" s="1" t="str">
        <f>LOOKUP(B66,Sheet2!$D$4:$E$9)</f>
        <v>5-7</v>
      </c>
      <c r="D66" s="1">
        <v>114</v>
      </c>
      <c r="E66" t="str">
        <f>LOOKUP(D66,Sheet2!$G$4:$H$9)</f>
        <v>100-125</v>
      </c>
      <c r="F66" s="1">
        <v>66</v>
      </c>
      <c r="G66" t="str">
        <f>LOOKUP(F66,Sheet2!$J$4:$K$8)</f>
        <v>60-69</v>
      </c>
      <c r="H66" s="1">
        <v>0</v>
      </c>
      <c r="I66" t="str">
        <f>LOOKUP(H66,Sheet2!$M$4:$N$8)</f>
        <v>Unknown</v>
      </c>
      <c r="J66" s="1">
        <v>0</v>
      </c>
      <c r="K66" t="str">
        <f>LOOKUP(J66,Sheet2!$P$4:$Q$9)</f>
        <v>Unknown</v>
      </c>
      <c r="L66" s="1">
        <v>32.799999999999997</v>
      </c>
      <c r="M66" t="str">
        <f>LOOKUP(L66,Sheet2!$S$4:$T$8)</f>
        <v>31-35</v>
      </c>
      <c r="N66" s="1">
        <v>0.25800000000000001</v>
      </c>
      <c r="O66" t="str">
        <f>LOOKUP(N66,Sheet2!$V$4:$W$7)</f>
        <v>0.25 - 0.39</v>
      </c>
      <c r="P66" s="1">
        <v>42</v>
      </c>
      <c r="Q66" t="str">
        <f>LOOKUP(P66,Sheet2!$Z$4:$AA$7)</f>
        <v>36-45</v>
      </c>
      <c r="R66" s="1">
        <v>1</v>
      </c>
      <c r="S66" t="str">
        <f>IF(R66=1,"Positive","Negative")</f>
        <v>Positive</v>
      </c>
      <c r="T66" s="1" t="str">
        <f>IFERROR(VLOOKUP(A66,[1]diabetes_Recognition!$A:$B,2,FALSE),"Not Sampled")</f>
        <v>Not Sampled</v>
      </c>
      <c r="U66" t="str">
        <f>IF(T66=1,"Positive",(IF(T66=0,"Negative","Not Sampled")))</f>
        <v>Not Sampled</v>
      </c>
      <c r="V66" s="1" t="str">
        <f>IF(U66="Not Sampled","Not Sampled",IF(S66=U66,"Accurate Prediction","Inaccurate Prediction"))</f>
        <v>Not Sampled</v>
      </c>
    </row>
    <row r="67" spans="1:22" x14ac:dyDescent="0.25">
      <c r="A67" s="1">
        <v>65</v>
      </c>
      <c r="B67" s="1">
        <v>5</v>
      </c>
      <c r="C67" s="1" t="str">
        <f>LOOKUP(B67,Sheet2!$D$4:$E$9)</f>
        <v>5-7</v>
      </c>
      <c r="D67" s="1">
        <v>99</v>
      </c>
      <c r="E67" t="str">
        <f>LOOKUP(D67,Sheet2!$G$4:$H$9)</f>
        <v>1-99</v>
      </c>
      <c r="F67" s="1">
        <v>74</v>
      </c>
      <c r="G67" t="str">
        <f>LOOKUP(F67,Sheet2!$J$4:$K$8)</f>
        <v>70-79</v>
      </c>
      <c r="H67" s="1">
        <v>27</v>
      </c>
      <c r="I67" t="str">
        <f>LOOKUP(H67,Sheet2!$M$4:$N$8)</f>
        <v>10-30</v>
      </c>
      <c r="J67" s="1">
        <v>0</v>
      </c>
      <c r="K67" t="str">
        <f>LOOKUP(J67,Sheet2!$P$4:$Q$9)</f>
        <v>Unknown</v>
      </c>
      <c r="L67" s="1">
        <v>29</v>
      </c>
      <c r="M67" t="str">
        <f>LOOKUP(L67,Sheet2!$S$4:$T$8)</f>
        <v>26-30</v>
      </c>
      <c r="N67" s="1">
        <v>0.20300000000000001</v>
      </c>
      <c r="O67" t="str">
        <f>LOOKUP(N67,Sheet2!$V$4:$W$7)</f>
        <v>0.0 - 0.249</v>
      </c>
      <c r="P67" s="1">
        <v>32</v>
      </c>
      <c r="Q67" t="str">
        <f>LOOKUP(P67,Sheet2!$Z$4:$AA$7)</f>
        <v>26-35</v>
      </c>
      <c r="R67" s="1">
        <v>0</v>
      </c>
      <c r="S67" t="str">
        <f>IF(R67=1,"Positive","Negative")</f>
        <v>Negative</v>
      </c>
      <c r="T67" s="1">
        <f>IFERROR(VLOOKUP(A67,[1]diabetes_Recognition!$A:$B,2,FALSE),"Not Sampled")</f>
        <v>0</v>
      </c>
      <c r="U67" t="str">
        <f>IF(T67=1,"Positive",(IF(T67=0,"Negative","Not Sampled")))</f>
        <v>Negative</v>
      </c>
      <c r="V67" s="1" t="str">
        <f>IF(U67="Not Sampled","Not Sampled",IF(S67=U67,"Accurate Prediction","Inaccurate Prediction"))</f>
        <v>Accurate Prediction</v>
      </c>
    </row>
    <row r="68" spans="1:22" x14ac:dyDescent="0.25">
      <c r="A68" s="1">
        <v>66</v>
      </c>
      <c r="B68" s="1">
        <v>0</v>
      </c>
      <c r="C68" s="1">
        <f>LOOKUP(B68,Sheet2!$D$4:$E$9)</f>
        <v>0</v>
      </c>
      <c r="D68" s="1">
        <v>109</v>
      </c>
      <c r="E68" t="str">
        <f>LOOKUP(D68,Sheet2!$G$4:$H$9)</f>
        <v>100-125</v>
      </c>
      <c r="F68" s="1">
        <v>88</v>
      </c>
      <c r="G68" t="str">
        <f>LOOKUP(F68,Sheet2!$J$4:$K$8)</f>
        <v>80+</v>
      </c>
      <c r="H68" s="1">
        <v>30</v>
      </c>
      <c r="I68" t="str">
        <f>LOOKUP(H68,Sheet2!$M$4:$N$8)</f>
        <v>30-39</v>
      </c>
      <c r="J68" s="1">
        <v>0</v>
      </c>
      <c r="K68" t="str">
        <f>LOOKUP(J68,Sheet2!$P$4:$Q$9)</f>
        <v>Unknown</v>
      </c>
      <c r="L68" s="1">
        <v>32.5</v>
      </c>
      <c r="M68" t="str">
        <f>LOOKUP(L68,Sheet2!$S$4:$T$8)</f>
        <v>31-35</v>
      </c>
      <c r="N68" s="1">
        <v>0.85499999999999998</v>
      </c>
      <c r="O68" t="str">
        <f>LOOKUP(N68,Sheet2!$V$4:$W$7)</f>
        <v>0.7+</v>
      </c>
      <c r="P68" s="1">
        <v>38</v>
      </c>
      <c r="Q68" t="str">
        <f>LOOKUP(P68,Sheet2!$Z$4:$AA$7)</f>
        <v>36-45</v>
      </c>
      <c r="R68" s="1">
        <v>1</v>
      </c>
      <c r="S68" t="str">
        <f>IF(R68=1,"Positive","Negative")</f>
        <v>Positive</v>
      </c>
      <c r="T68" s="1" t="str">
        <f>IFERROR(VLOOKUP(A68,[1]diabetes_Recognition!$A:$B,2,FALSE),"Not Sampled")</f>
        <v>Not Sampled</v>
      </c>
      <c r="U68" t="str">
        <f>IF(T68=1,"Positive",(IF(T68=0,"Negative","Not Sampled")))</f>
        <v>Not Sampled</v>
      </c>
      <c r="V68" s="1" t="str">
        <f>IF(U68="Not Sampled","Not Sampled",IF(S68=U68,"Accurate Prediction","Inaccurate Prediction"))</f>
        <v>Not Sampled</v>
      </c>
    </row>
    <row r="69" spans="1:22" x14ac:dyDescent="0.25">
      <c r="A69" s="1">
        <v>67</v>
      </c>
      <c r="B69" s="1">
        <v>2</v>
      </c>
      <c r="C69" s="1">
        <f>LOOKUP(B69,Sheet2!$D$4:$E$9)</f>
        <v>2</v>
      </c>
      <c r="D69" s="1">
        <v>109</v>
      </c>
      <c r="E69" t="str">
        <f>LOOKUP(D69,Sheet2!$G$4:$H$9)</f>
        <v>100-125</v>
      </c>
      <c r="F69" s="1">
        <v>92</v>
      </c>
      <c r="G69" t="str">
        <f>LOOKUP(F69,Sheet2!$J$4:$K$8)</f>
        <v>80+</v>
      </c>
      <c r="H69" s="1">
        <v>0</v>
      </c>
      <c r="I69" t="str">
        <f>LOOKUP(H69,Sheet2!$M$4:$N$8)</f>
        <v>Unknown</v>
      </c>
      <c r="J69" s="1">
        <v>0</v>
      </c>
      <c r="K69" t="str">
        <f>LOOKUP(J69,Sheet2!$P$4:$Q$9)</f>
        <v>Unknown</v>
      </c>
      <c r="L69" s="1">
        <v>42.7</v>
      </c>
      <c r="M69" t="str">
        <f>LOOKUP(L69,Sheet2!$S$4:$T$8)</f>
        <v>36+</v>
      </c>
      <c r="N69" s="1">
        <v>0.84499999999999997</v>
      </c>
      <c r="O69" t="str">
        <f>LOOKUP(N69,Sheet2!$V$4:$W$7)</f>
        <v>0.7+</v>
      </c>
      <c r="P69" s="1">
        <v>54</v>
      </c>
      <c r="Q69" t="str">
        <f>LOOKUP(P69,Sheet2!$Z$4:$AA$7)</f>
        <v>46+</v>
      </c>
      <c r="R69" s="1">
        <v>0</v>
      </c>
      <c r="S69" t="str">
        <f>IF(R69=1,"Positive","Negative")</f>
        <v>Negative</v>
      </c>
      <c r="T69" s="1" t="str">
        <f>IFERROR(VLOOKUP(A69,[1]diabetes_Recognition!$A:$B,2,FALSE),"Not Sampled")</f>
        <v>Not Sampled</v>
      </c>
      <c r="U69" t="str">
        <f>IF(T69=1,"Positive",(IF(T69=0,"Negative","Not Sampled")))</f>
        <v>Not Sampled</v>
      </c>
      <c r="V69" s="1" t="str">
        <f>IF(U69="Not Sampled","Not Sampled",IF(S69=U69,"Accurate Prediction","Inaccurate Prediction"))</f>
        <v>Not Sampled</v>
      </c>
    </row>
    <row r="70" spans="1:22" x14ac:dyDescent="0.25">
      <c r="A70" s="1">
        <v>68</v>
      </c>
      <c r="B70" s="1">
        <v>1</v>
      </c>
      <c r="C70" s="1">
        <f>LOOKUP(B70,Sheet2!$D$4:$E$9)</f>
        <v>1</v>
      </c>
      <c r="D70" s="1">
        <v>95</v>
      </c>
      <c r="E70" t="str">
        <f>LOOKUP(D70,Sheet2!$G$4:$H$9)</f>
        <v>1-99</v>
      </c>
      <c r="F70" s="1">
        <v>66</v>
      </c>
      <c r="G70" t="str">
        <f>LOOKUP(F70,Sheet2!$J$4:$K$8)</f>
        <v>60-69</v>
      </c>
      <c r="H70" s="1">
        <v>13</v>
      </c>
      <c r="I70" t="str">
        <f>LOOKUP(H70,Sheet2!$M$4:$N$8)</f>
        <v>10-30</v>
      </c>
      <c r="J70" s="1">
        <v>38</v>
      </c>
      <c r="K70" t="str">
        <f>LOOKUP(J70,Sheet2!$P$4:$Q$9)</f>
        <v>1-99</v>
      </c>
      <c r="L70" s="1">
        <v>19.600000000000001</v>
      </c>
      <c r="M70" t="str">
        <f>LOOKUP(L70,Sheet2!$S$4:$T$8)</f>
        <v>1-25</v>
      </c>
      <c r="N70" s="1">
        <v>0.33400000000000002</v>
      </c>
      <c r="O70" t="str">
        <f>LOOKUP(N70,Sheet2!$V$4:$W$7)</f>
        <v>0.25 - 0.39</v>
      </c>
      <c r="P70" s="1">
        <v>25</v>
      </c>
      <c r="Q70" t="str">
        <f>LOOKUP(P70,Sheet2!$Z$4:$AA$7)</f>
        <v>&lt;=25</v>
      </c>
      <c r="R70" s="1">
        <v>0</v>
      </c>
      <c r="S70" t="str">
        <f>IF(R70=1,"Positive","Negative")</f>
        <v>Negative</v>
      </c>
      <c r="T70" s="1" t="str">
        <f>IFERROR(VLOOKUP(A70,[1]diabetes_Recognition!$A:$B,2,FALSE),"Not Sampled")</f>
        <v>Not Sampled</v>
      </c>
      <c r="U70" t="str">
        <f>IF(T70=1,"Positive",(IF(T70=0,"Negative","Not Sampled")))</f>
        <v>Not Sampled</v>
      </c>
      <c r="V70" s="1" t="str">
        <f>IF(U70="Not Sampled","Not Sampled",IF(S70=U70,"Accurate Prediction","Inaccurate Prediction"))</f>
        <v>Not Sampled</v>
      </c>
    </row>
    <row r="71" spans="1:22" x14ac:dyDescent="0.25">
      <c r="A71" s="1">
        <v>69</v>
      </c>
      <c r="B71" s="1">
        <v>4</v>
      </c>
      <c r="C71" s="1" t="str">
        <f>LOOKUP(B71,Sheet2!$D$4:$E$9)</f>
        <v>3-4</v>
      </c>
      <c r="D71" s="1">
        <v>146</v>
      </c>
      <c r="E71" t="str">
        <f>LOOKUP(D71,Sheet2!$G$4:$H$9)</f>
        <v>126-150</v>
      </c>
      <c r="F71" s="1">
        <v>85</v>
      </c>
      <c r="G71" t="str">
        <f>LOOKUP(F71,Sheet2!$J$4:$K$8)</f>
        <v>80+</v>
      </c>
      <c r="H71" s="1">
        <v>27</v>
      </c>
      <c r="I71" t="str">
        <f>LOOKUP(H71,Sheet2!$M$4:$N$8)</f>
        <v>10-30</v>
      </c>
      <c r="J71" s="1">
        <v>100</v>
      </c>
      <c r="K71" t="str">
        <f>LOOKUP(J71,Sheet2!$P$4:$Q$9)</f>
        <v>100-199</v>
      </c>
      <c r="L71" s="1">
        <v>28.9</v>
      </c>
      <c r="M71" t="str">
        <f>LOOKUP(L71,Sheet2!$S$4:$T$8)</f>
        <v>26-30</v>
      </c>
      <c r="N71" s="1">
        <v>0.189</v>
      </c>
      <c r="O71" t="str">
        <f>LOOKUP(N71,Sheet2!$V$4:$W$7)</f>
        <v>0.0 - 0.249</v>
      </c>
      <c r="P71" s="1">
        <v>27</v>
      </c>
      <c r="Q71" t="str">
        <f>LOOKUP(P71,Sheet2!$Z$4:$AA$7)</f>
        <v>26-35</v>
      </c>
      <c r="R71" s="1">
        <v>0</v>
      </c>
      <c r="S71" t="str">
        <f>IF(R71=1,"Positive","Negative")</f>
        <v>Negative</v>
      </c>
      <c r="T71" s="1" t="str">
        <f>IFERROR(VLOOKUP(A71,[1]diabetes_Recognition!$A:$B,2,FALSE),"Not Sampled")</f>
        <v>Not Sampled</v>
      </c>
      <c r="U71" t="str">
        <f>IF(T71=1,"Positive",(IF(T71=0,"Negative","Not Sampled")))</f>
        <v>Not Sampled</v>
      </c>
      <c r="V71" s="1" t="str">
        <f>IF(U71="Not Sampled","Not Sampled",IF(S71=U71,"Accurate Prediction","Inaccurate Prediction"))</f>
        <v>Not Sampled</v>
      </c>
    </row>
    <row r="72" spans="1:22" x14ac:dyDescent="0.25">
      <c r="A72" s="1">
        <v>70</v>
      </c>
      <c r="B72" s="1">
        <v>2</v>
      </c>
      <c r="C72" s="1">
        <f>LOOKUP(B72,Sheet2!$D$4:$E$9)</f>
        <v>2</v>
      </c>
      <c r="D72" s="1">
        <v>100</v>
      </c>
      <c r="E72" t="str">
        <f>LOOKUP(D72,Sheet2!$G$4:$H$9)</f>
        <v>100-125</v>
      </c>
      <c r="F72" s="1">
        <v>66</v>
      </c>
      <c r="G72" t="str">
        <f>LOOKUP(F72,Sheet2!$J$4:$K$8)</f>
        <v>60-69</v>
      </c>
      <c r="H72" s="1">
        <v>20</v>
      </c>
      <c r="I72" t="str">
        <f>LOOKUP(H72,Sheet2!$M$4:$N$8)</f>
        <v>10-30</v>
      </c>
      <c r="J72" s="1">
        <v>90</v>
      </c>
      <c r="K72" t="str">
        <f>LOOKUP(J72,Sheet2!$P$4:$Q$9)</f>
        <v>1-99</v>
      </c>
      <c r="L72" s="1">
        <v>32.9</v>
      </c>
      <c r="M72" t="str">
        <f>LOOKUP(L72,Sheet2!$S$4:$T$8)</f>
        <v>31-35</v>
      </c>
      <c r="N72" s="1">
        <v>0.86699999999999999</v>
      </c>
      <c r="O72" t="str">
        <f>LOOKUP(N72,Sheet2!$V$4:$W$7)</f>
        <v>0.7+</v>
      </c>
      <c r="P72" s="1">
        <v>28</v>
      </c>
      <c r="Q72" t="str">
        <f>LOOKUP(P72,Sheet2!$Z$4:$AA$7)</f>
        <v>26-35</v>
      </c>
      <c r="R72" s="1">
        <v>1</v>
      </c>
      <c r="S72" t="str">
        <f>IF(R72=1,"Positive","Negative")</f>
        <v>Positive</v>
      </c>
      <c r="T72" s="1" t="str">
        <f>IFERROR(VLOOKUP(A72,[1]diabetes_Recognition!$A:$B,2,FALSE),"Not Sampled")</f>
        <v>Not Sampled</v>
      </c>
      <c r="U72" t="str">
        <f>IF(T72=1,"Positive",(IF(T72=0,"Negative","Not Sampled")))</f>
        <v>Not Sampled</v>
      </c>
      <c r="V72" s="1" t="str">
        <f>IF(U72="Not Sampled","Not Sampled",IF(S72=U72,"Accurate Prediction","Inaccurate Prediction"))</f>
        <v>Not Sampled</v>
      </c>
    </row>
    <row r="73" spans="1:22" x14ac:dyDescent="0.25">
      <c r="A73" s="1">
        <v>71</v>
      </c>
      <c r="B73" s="1">
        <v>5</v>
      </c>
      <c r="C73" s="1" t="str">
        <f>LOOKUP(B73,Sheet2!$D$4:$E$9)</f>
        <v>5-7</v>
      </c>
      <c r="D73" s="1">
        <v>139</v>
      </c>
      <c r="E73" t="str">
        <f>LOOKUP(D73,Sheet2!$G$4:$H$9)</f>
        <v>126-150</v>
      </c>
      <c r="F73" s="1">
        <v>64</v>
      </c>
      <c r="G73" t="str">
        <f>LOOKUP(F73,Sheet2!$J$4:$K$8)</f>
        <v>60-69</v>
      </c>
      <c r="H73" s="1">
        <v>35</v>
      </c>
      <c r="I73" t="str">
        <f>LOOKUP(H73,Sheet2!$M$4:$N$8)</f>
        <v>30-39</v>
      </c>
      <c r="J73" s="1">
        <v>140</v>
      </c>
      <c r="K73" t="str">
        <f>LOOKUP(J73,Sheet2!$P$4:$Q$9)</f>
        <v>100-199</v>
      </c>
      <c r="L73" s="1">
        <v>28.6</v>
      </c>
      <c r="M73" t="str">
        <f>LOOKUP(L73,Sheet2!$S$4:$T$8)</f>
        <v>26-30</v>
      </c>
      <c r="N73" s="1">
        <v>0.41099999999999998</v>
      </c>
      <c r="O73" t="str">
        <f>LOOKUP(N73,Sheet2!$V$4:$W$7)</f>
        <v>0.4 - 0.69</v>
      </c>
      <c r="P73" s="1">
        <v>26</v>
      </c>
      <c r="Q73" t="str">
        <f>LOOKUP(P73,Sheet2!$Z$4:$AA$7)</f>
        <v>26-35</v>
      </c>
      <c r="R73" s="1">
        <v>0</v>
      </c>
      <c r="S73" t="str">
        <f>IF(R73=1,"Positive","Negative")</f>
        <v>Negative</v>
      </c>
      <c r="T73" s="1" t="str">
        <f>IFERROR(VLOOKUP(A73,[1]diabetes_Recognition!$A:$B,2,FALSE),"Not Sampled")</f>
        <v>Not Sampled</v>
      </c>
      <c r="U73" t="str">
        <f>IF(T73=1,"Positive",(IF(T73=0,"Negative","Not Sampled")))</f>
        <v>Not Sampled</v>
      </c>
      <c r="V73" s="1" t="str">
        <f>IF(U73="Not Sampled","Not Sampled",IF(S73=U73,"Accurate Prediction","Inaccurate Prediction"))</f>
        <v>Not Sampled</v>
      </c>
    </row>
    <row r="74" spans="1:22" x14ac:dyDescent="0.25">
      <c r="A74" s="1">
        <v>72</v>
      </c>
      <c r="B74" s="1">
        <v>13</v>
      </c>
      <c r="C74" s="1" t="str">
        <f>LOOKUP(B74,Sheet2!$D$4:$E$9)</f>
        <v>8+</v>
      </c>
      <c r="D74" s="1">
        <v>126</v>
      </c>
      <c r="E74" t="str">
        <f>LOOKUP(D74,Sheet2!$G$4:$H$9)</f>
        <v>126-150</v>
      </c>
      <c r="F74" s="1">
        <v>90</v>
      </c>
      <c r="G74" t="str">
        <f>LOOKUP(F74,Sheet2!$J$4:$K$8)</f>
        <v>80+</v>
      </c>
      <c r="H74" s="1">
        <v>0</v>
      </c>
      <c r="I74" t="str">
        <f>LOOKUP(H74,Sheet2!$M$4:$N$8)</f>
        <v>Unknown</v>
      </c>
      <c r="J74" s="1">
        <v>0</v>
      </c>
      <c r="K74" t="str">
        <f>LOOKUP(J74,Sheet2!$P$4:$Q$9)</f>
        <v>Unknown</v>
      </c>
      <c r="L74" s="1">
        <v>43.4</v>
      </c>
      <c r="M74" t="str">
        <f>LOOKUP(L74,Sheet2!$S$4:$T$8)</f>
        <v>36+</v>
      </c>
      <c r="N74" s="1">
        <v>0.58299999999999996</v>
      </c>
      <c r="O74" t="str">
        <f>LOOKUP(N74,Sheet2!$V$4:$W$7)</f>
        <v>0.4 - 0.69</v>
      </c>
      <c r="P74" s="1">
        <v>42</v>
      </c>
      <c r="Q74" t="str">
        <f>LOOKUP(P74,Sheet2!$Z$4:$AA$7)</f>
        <v>36-45</v>
      </c>
      <c r="R74" s="1">
        <v>1</v>
      </c>
      <c r="S74" t="str">
        <f>IF(R74=1,"Positive","Negative")</f>
        <v>Positive</v>
      </c>
      <c r="T74" s="1" t="str">
        <f>IFERROR(VLOOKUP(A74,[1]diabetes_Recognition!$A:$B,2,FALSE),"Not Sampled")</f>
        <v>Not Sampled</v>
      </c>
      <c r="U74" t="str">
        <f>IF(T74=1,"Positive",(IF(T74=0,"Negative","Not Sampled")))</f>
        <v>Not Sampled</v>
      </c>
      <c r="V74" s="1" t="str">
        <f>IF(U74="Not Sampled","Not Sampled",IF(S74=U74,"Accurate Prediction","Inaccurate Prediction"))</f>
        <v>Not Sampled</v>
      </c>
    </row>
    <row r="75" spans="1:22" x14ac:dyDescent="0.25">
      <c r="A75" s="1">
        <v>73</v>
      </c>
      <c r="B75" s="1">
        <v>4</v>
      </c>
      <c r="C75" s="1" t="str">
        <f>LOOKUP(B75,Sheet2!$D$4:$E$9)</f>
        <v>3-4</v>
      </c>
      <c r="D75" s="1">
        <v>129</v>
      </c>
      <c r="E75" t="str">
        <f>LOOKUP(D75,Sheet2!$G$4:$H$9)</f>
        <v>126-150</v>
      </c>
      <c r="F75" s="1">
        <v>86</v>
      </c>
      <c r="G75" t="str">
        <f>LOOKUP(F75,Sheet2!$J$4:$K$8)</f>
        <v>80+</v>
      </c>
      <c r="H75" s="1">
        <v>20</v>
      </c>
      <c r="I75" t="str">
        <f>LOOKUP(H75,Sheet2!$M$4:$N$8)</f>
        <v>10-30</v>
      </c>
      <c r="J75" s="1">
        <v>270</v>
      </c>
      <c r="K75" t="str">
        <f>LOOKUP(J75,Sheet2!$P$4:$Q$9)</f>
        <v>200-399</v>
      </c>
      <c r="L75" s="1">
        <v>35.1</v>
      </c>
      <c r="M75" t="str">
        <f>LOOKUP(L75,Sheet2!$S$4:$T$8)</f>
        <v>31-35</v>
      </c>
      <c r="N75" s="1">
        <v>0.23100000000000001</v>
      </c>
      <c r="O75" t="str">
        <f>LOOKUP(N75,Sheet2!$V$4:$W$7)</f>
        <v>0.0 - 0.249</v>
      </c>
      <c r="P75" s="1">
        <v>23</v>
      </c>
      <c r="Q75" t="str">
        <f>LOOKUP(P75,Sheet2!$Z$4:$AA$7)</f>
        <v>&lt;=25</v>
      </c>
      <c r="R75" s="1">
        <v>0</v>
      </c>
      <c r="S75" t="str">
        <f>IF(R75=1,"Positive","Negative")</f>
        <v>Negative</v>
      </c>
      <c r="T75" s="1" t="str">
        <f>IFERROR(VLOOKUP(A75,[1]diabetes_Recognition!$A:$B,2,FALSE),"Not Sampled")</f>
        <v>Not Sampled</v>
      </c>
      <c r="U75" t="str">
        <f>IF(T75=1,"Positive",(IF(T75=0,"Negative","Not Sampled")))</f>
        <v>Not Sampled</v>
      </c>
      <c r="V75" s="1" t="str">
        <f>IF(U75="Not Sampled","Not Sampled",IF(S75=U75,"Accurate Prediction","Inaccurate Prediction"))</f>
        <v>Not Sampled</v>
      </c>
    </row>
    <row r="76" spans="1:22" x14ac:dyDescent="0.25">
      <c r="A76" s="1">
        <v>74</v>
      </c>
      <c r="B76" s="1">
        <v>1</v>
      </c>
      <c r="C76" s="1">
        <f>LOOKUP(B76,Sheet2!$D$4:$E$9)</f>
        <v>1</v>
      </c>
      <c r="D76" s="1">
        <v>79</v>
      </c>
      <c r="E76" t="str">
        <f>LOOKUP(D76,Sheet2!$G$4:$H$9)</f>
        <v>1-99</v>
      </c>
      <c r="F76" s="1">
        <v>75</v>
      </c>
      <c r="G76" t="str">
        <f>LOOKUP(F76,Sheet2!$J$4:$K$8)</f>
        <v>70-79</v>
      </c>
      <c r="H76" s="1">
        <v>30</v>
      </c>
      <c r="I76" t="str">
        <f>LOOKUP(H76,Sheet2!$M$4:$N$8)</f>
        <v>30-39</v>
      </c>
      <c r="J76" s="1">
        <v>0</v>
      </c>
      <c r="K76" t="str">
        <f>LOOKUP(J76,Sheet2!$P$4:$Q$9)</f>
        <v>Unknown</v>
      </c>
      <c r="L76" s="1">
        <v>32</v>
      </c>
      <c r="M76" t="str">
        <f>LOOKUP(L76,Sheet2!$S$4:$T$8)</f>
        <v>31-35</v>
      </c>
      <c r="N76" s="1">
        <v>0.39600000000000002</v>
      </c>
      <c r="O76" t="str">
        <f>LOOKUP(N76,Sheet2!$V$4:$W$7)</f>
        <v>0.25 - 0.39</v>
      </c>
      <c r="P76" s="1">
        <v>22</v>
      </c>
      <c r="Q76" t="str">
        <f>LOOKUP(P76,Sheet2!$Z$4:$AA$7)</f>
        <v>&lt;=25</v>
      </c>
      <c r="R76" s="1">
        <v>0</v>
      </c>
      <c r="S76" t="str">
        <f>IF(R76=1,"Positive","Negative")</f>
        <v>Negative</v>
      </c>
      <c r="T76" s="1" t="str">
        <f>IFERROR(VLOOKUP(A76,[1]diabetes_Recognition!$A:$B,2,FALSE),"Not Sampled")</f>
        <v>Not Sampled</v>
      </c>
      <c r="U76" t="str">
        <f>IF(T76=1,"Positive",(IF(T76=0,"Negative","Not Sampled")))</f>
        <v>Not Sampled</v>
      </c>
      <c r="V76" s="1" t="str">
        <f>IF(U76="Not Sampled","Not Sampled",IF(S76=U76,"Accurate Prediction","Inaccurate Prediction"))</f>
        <v>Not Sampled</v>
      </c>
    </row>
    <row r="77" spans="1:22" x14ac:dyDescent="0.25">
      <c r="A77" s="1">
        <v>75</v>
      </c>
      <c r="B77" s="1">
        <v>1</v>
      </c>
      <c r="C77" s="1">
        <f>LOOKUP(B77,Sheet2!$D$4:$E$9)</f>
        <v>1</v>
      </c>
      <c r="D77" s="1">
        <v>0</v>
      </c>
      <c r="E77" t="str">
        <f>LOOKUP(D77,Sheet2!$G$4:$H$9)</f>
        <v>Unknown</v>
      </c>
      <c r="F77" s="1">
        <v>48</v>
      </c>
      <c r="G77" t="str">
        <f>LOOKUP(F77,Sheet2!$J$4:$K$8)</f>
        <v>1-59</v>
      </c>
      <c r="H77" s="1">
        <v>20</v>
      </c>
      <c r="I77" t="str">
        <f>LOOKUP(H77,Sheet2!$M$4:$N$8)</f>
        <v>10-30</v>
      </c>
      <c r="J77" s="1">
        <v>0</v>
      </c>
      <c r="K77" t="str">
        <f>LOOKUP(J77,Sheet2!$P$4:$Q$9)</f>
        <v>Unknown</v>
      </c>
      <c r="L77" s="1">
        <v>24.7</v>
      </c>
      <c r="M77" t="str">
        <f>LOOKUP(L77,Sheet2!$S$4:$T$8)</f>
        <v>1-25</v>
      </c>
      <c r="N77" s="1">
        <v>0.14000000000000001</v>
      </c>
      <c r="O77" t="str">
        <f>LOOKUP(N77,Sheet2!$V$4:$W$7)</f>
        <v>0.0 - 0.249</v>
      </c>
      <c r="P77" s="1">
        <v>22</v>
      </c>
      <c r="Q77" t="str">
        <f>LOOKUP(P77,Sheet2!$Z$4:$AA$7)</f>
        <v>&lt;=25</v>
      </c>
      <c r="R77" s="1">
        <v>0</v>
      </c>
      <c r="S77" t="str">
        <f>IF(R77=1,"Positive","Negative")</f>
        <v>Negative</v>
      </c>
      <c r="T77" s="1">
        <f>IFERROR(VLOOKUP(A77,[1]diabetes_Recognition!$A:$B,2,FALSE),"Not Sampled")</f>
        <v>0</v>
      </c>
      <c r="U77" t="str">
        <f>IF(T77=1,"Positive",(IF(T77=0,"Negative","Not Sampled")))</f>
        <v>Negative</v>
      </c>
      <c r="V77" s="1" t="str">
        <f>IF(U77="Not Sampled","Not Sampled",IF(S77=U77,"Accurate Prediction","Inaccurate Prediction"))</f>
        <v>Accurate Prediction</v>
      </c>
    </row>
    <row r="78" spans="1:22" x14ac:dyDescent="0.25">
      <c r="A78" s="1">
        <v>76</v>
      </c>
      <c r="B78" s="1">
        <v>7</v>
      </c>
      <c r="C78" s="1" t="str">
        <f>LOOKUP(B78,Sheet2!$D$4:$E$9)</f>
        <v>5-7</v>
      </c>
      <c r="D78" s="1">
        <v>62</v>
      </c>
      <c r="E78" t="str">
        <f>LOOKUP(D78,Sheet2!$G$4:$H$9)</f>
        <v>1-99</v>
      </c>
      <c r="F78" s="1">
        <v>78</v>
      </c>
      <c r="G78" t="str">
        <f>LOOKUP(F78,Sheet2!$J$4:$K$8)</f>
        <v>70-79</v>
      </c>
      <c r="H78" s="1">
        <v>0</v>
      </c>
      <c r="I78" t="str">
        <f>LOOKUP(H78,Sheet2!$M$4:$N$8)</f>
        <v>Unknown</v>
      </c>
      <c r="J78" s="1">
        <v>0</v>
      </c>
      <c r="K78" t="str">
        <f>LOOKUP(J78,Sheet2!$P$4:$Q$9)</f>
        <v>Unknown</v>
      </c>
      <c r="L78" s="1">
        <v>32.6</v>
      </c>
      <c r="M78" t="str">
        <f>LOOKUP(L78,Sheet2!$S$4:$T$8)</f>
        <v>31-35</v>
      </c>
      <c r="N78" s="1">
        <v>0.39100000000000001</v>
      </c>
      <c r="O78" t="str">
        <f>LOOKUP(N78,Sheet2!$V$4:$W$7)</f>
        <v>0.25 - 0.39</v>
      </c>
      <c r="P78" s="1">
        <v>41</v>
      </c>
      <c r="Q78" t="str">
        <f>LOOKUP(P78,Sheet2!$Z$4:$AA$7)</f>
        <v>36-45</v>
      </c>
      <c r="R78" s="1">
        <v>0</v>
      </c>
      <c r="S78" t="str">
        <f>IF(R78=1,"Positive","Negative")</f>
        <v>Negative</v>
      </c>
      <c r="T78" s="1" t="str">
        <f>IFERROR(VLOOKUP(A78,[1]diabetes_Recognition!$A:$B,2,FALSE),"Not Sampled")</f>
        <v>Not Sampled</v>
      </c>
      <c r="U78" t="str">
        <f>IF(T78=1,"Positive",(IF(T78=0,"Negative","Not Sampled")))</f>
        <v>Not Sampled</v>
      </c>
      <c r="V78" s="1" t="str">
        <f>IF(U78="Not Sampled","Not Sampled",IF(S78=U78,"Accurate Prediction","Inaccurate Prediction"))</f>
        <v>Not Sampled</v>
      </c>
    </row>
    <row r="79" spans="1:22" x14ac:dyDescent="0.25">
      <c r="A79" s="1">
        <v>77</v>
      </c>
      <c r="B79" s="1">
        <v>5</v>
      </c>
      <c r="C79" s="1" t="str">
        <f>LOOKUP(B79,Sheet2!$D$4:$E$9)</f>
        <v>5-7</v>
      </c>
      <c r="D79" s="1">
        <v>95</v>
      </c>
      <c r="E79" t="str">
        <f>LOOKUP(D79,Sheet2!$G$4:$H$9)</f>
        <v>1-99</v>
      </c>
      <c r="F79" s="1">
        <v>72</v>
      </c>
      <c r="G79" t="str">
        <f>LOOKUP(F79,Sheet2!$J$4:$K$8)</f>
        <v>70-79</v>
      </c>
      <c r="H79" s="1">
        <v>33</v>
      </c>
      <c r="I79" t="str">
        <f>LOOKUP(H79,Sheet2!$M$4:$N$8)</f>
        <v>30-39</v>
      </c>
      <c r="J79" s="1">
        <v>0</v>
      </c>
      <c r="K79" t="str">
        <f>LOOKUP(J79,Sheet2!$P$4:$Q$9)</f>
        <v>Unknown</v>
      </c>
      <c r="L79" s="1">
        <v>37.700000000000003</v>
      </c>
      <c r="M79" t="str">
        <f>LOOKUP(L79,Sheet2!$S$4:$T$8)</f>
        <v>36+</v>
      </c>
      <c r="N79" s="1">
        <v>0.37</v>
      </c>
      <c r="O79" t="str">
        <f>LOOKUP(N79,Sheet2!$V$4:$W$7)</f>
        <v>0.25 - 0.39</v>
      </c>
      <c r="P79" s="1">
        <v>27</v>
      </c>
      <c r="Q79" t="str">
        <f>LOOKUP(P79,Sheet2!$Z$4:$AA$7)</f>
        <v>26-35</v>
      </c>
      <c r="R79" s="1">
        <v>0</v>
      </c>
      <c r="S79" t="str">
        <f>IF(R79=1,"Positive","Negative")</f>
        <v>Negative</v>
      </c>
      <c r="T79" s="1" t="str">
        <f>IFERROR(VLOOKUP(A79,[1]diabetes_Recognition!$A:$B,2,FALSE),"Not Sampled")</f>
        <v>Not Sampled</v>
      </c>
      <c r="U79" t="str">
        <f>IF(T79=1,"Positive",(IF(T79=0,"Negative","Not Sampled")))</f>
        <v>Not Sampled</v>
      </c>
      <c r="V79" s="1" t="str">
        <f>IF(U79="Not Sampled","Not Sampled",IF(S79=U79,"Accurate Prediction","Inaccurate Prediction"))</f>
        <v>Not Sampled</v>
      </c>
    </row>
    <row r="80" spans="1:22" x14ac:dyDescent="0.25">
      <c r="A80" s="1">
        <v>78</v>
      </c>
      <c r="B80" s="1">
        <v>0</v>
      </c>
      <c r="C80" s="1">
        <f>LOOKUP(B80,Sheet2!$D$4:$E$9)</f>
        <v>0</v>
      </c>
      <c r="D80" s="1">
        <v>131</v>
      </c>
      <c r="E80" t="str">
        <f>LOOKUP(D80,Sheet2!$G$4:$H$9)</f>
        <v>126-150</v>
      </c>
      <c r="F80" s="1">
        <v>0</v>
      </c>
      <c r="G80" t="str">
        <f>LOOKUP(F80,Sheet2!$J$4:$K$8)</f>
        <v>Unknown</v>
      </c>
      <c r="H80" s="1">
        <v>0</v>
      </c>
      <c r="I80" t="str">
        <f>LOOKUP(H80,Sheet2!$M$4:$N$8)</f>
        <v>Unknown</v>
      </c>
      <c r="J80" s="1">
        <v>0</v>
      </c>
      <c r="K80" t="str">
        <f>LOOKUP(J80,Sheet2!$P$4:$Q$9)</f>
        <v>Unknown</v>
      </c>
      <c r="L80" s="1">
        <v>43.2</v>
      </c>
      <c r="M80" t="str">
        <f>LOOKUP(L80,Sheet2!$S$4:$T$8)</f>
        <v>36+</v>
      </c>
      <c r="N80" s="1">
        <v>0.27</v>
      </c>
      <c r="O80" t="str">
        <f>LOOKUP(N80,Sheet2!$V$4:$W$7)</f>
        <v>0.25 - 0.39</v>
      </c>
      <c r="P80" s="1">
        <v>26</v>
      </c>
      <c r="Q80" t="str">
        <f>LOOKUP(P80,Sheet2!$Z$4:$AA$7)</f>
        <v>26-35</v>
      </c>
      <c r="R80" s="1">
        <v>1</v>
      </c>
      <c r="S80" t="str">
        <f>IF(R80=1,"Positive","Negative")</f>
        <v>Positive</v>
      </c>
      <c r="T80" s="1" t="str">
        <f>IFERROR(VLOOKUP(A80,[1]diabetes_Recognition!$A:$B,2,FALSE),"Not Sampled")</f>
        <v>Not Sampled</v>
      </c>
      <c r="U80" t="str">
        <f>IF(T80=1,"Positive",(IF(T80=0,"Negative","Not Sampled")))</f>
        <v>Not Sampled</v>
      </c>
      <c r="V80" s="1" t="str">
        <f>IF(U80="Not Sampled","Not Sampled",IF(S80=U80,"Accurate Prediction","Inaccurate Prediction"))</f>
        <v>Not Sampled</v>
      </c>
    </row>
    <row r="81" spans="1:22" x14ac:dyDescent="0.25">
      <c r="A81" s="1">
        <v>79</v>
      </c>
      <c r="B81" s="1">
        <v>2</v>
      </c>
      <c r="C81" s="1">
        <f>LOOKUP(B81,Sheet2!$D$4:$E$9)</f>
        <v>2</v>
      </c>
      <c r="D81" s="1">
        <v>112</v>
      </c>
      <c r="E81" t="str">
        <f>LOOKUP(D81,Sheet2!$G$4:$H$9)</f>
        <v>100-125</v>
      </c>
      <c r="F81" s="1">
        <v>66</v>
      </c>
      <c r="G81" t="str">
        <f>LOOKUP(F81,Sheet2!$J$4:$K$8)</f>
        <v>60-69</v>
      </c>
      <c r="H81" s="1">
        <v>22</v>
      </c>
      <c r="I81" t="str">
        <f>LOOKUP(H81,Sheet2!$M$4:$N$8)</f>
        <v>10-30</v>
      </c>
      <c r="J81" s="1">
        <v>0</v>
      </c>
      <c r="K81" t="str">
        <f>LOOKUP(J81,Sheet2!$P$4:$Q$9)</f>
        <v>Unknown</v>
      </c>
      <c r="L81" s="1">
        <v>25</v>
      </c>
      <c r="M81" t="str">
        <f>LOOKUP(L81,Sheet2!$S$4:$T$8)</f>
        <v>1-25</v>
      </c>
      <c r="N81" s="1">
        <v>0.307</v>
      </c>
      <c r="O81" t="str">
        <f>LOOKUP(N81,Sheet2!$V$4:$W$7)</f>
        <v>0.25 - 0.39</v>
      </c>
      <c r="P81" s="1">
        <v>24</v>
      </c>
      <c r="Q81" t="str">
        <f>LOOKUP(P81,Sheet2!$Z$4:$AA$7)</f>
        <v>&lt;=25</v>
      </c>
      <c r="R81" s="1">
        <v>0</v>
      </c>
      <c r="S81" t="str">
        <f>IF(R81=1,"Positive","Negative")</f>
        <v>Negative</v>
      </c>
      <c r="T81" s="1" t="str">
        <f>IFERROR(VLOOKUP(A81,[1]diabetes_Recognition!$A:$B,2,FALSE),"Not Sampled")</f>
        <v>Not Sampled</v>
      </c>
      <c r="U81" t="str">
        <f>IF(T81=1,"Positive",(IF(T81=0,"Negative","Not Sampled")))</f>
        <v>Not Sampled</v>
      </c>
      <c r="V81" s="1" t="str">
        <f>IF(U81="Not Sampled","Not Sampled",IF(S81=U81,"Accurate Prediction","Inaccurate Prediction"))</f>
        <v>Not Sampled</v>
      </c>
    </row>
    <row r="82" spans="1:22" x14ac:dyDescent="0.25">
      <c r="A82" s="1">
        <v>80</v>
      </c>
      <c r="B82" s="1">
        <v>3</v>
      </c>
      <c r="C82" s="1" t="str">
        <f>LOOKUP(B82,Sheet2!$D$4:$E$9)</f>
        <v>3-4</v>
      </c>
      <c r="D82" s="1">
        <v>113</v>
      </c>
      <c r="E82" t="str">
        <f>LOOKUP(D82,Sheet2!$G$4:$H$9)</f>
        <v>100-125</v>
      </c>
      <c r="F82" s="1">
        <v>44</v>
      </c>
      <c r="G82" t="str">
        <f>LOOKUP(F82,Sheet2!$J$4:$K$8)</f>
        <v>1-59</v>
      </c>
      <c r="H82" s="1">
        <v>13</v>
      </c>
      <c r="I82" t="str">
        <f>LOOKUP(H82,Sheet2!$M$4:$N$8)</f>
        <v>10-30</v>
      </c>
      <c r="J82" s="1">
        <v>0</v>
      </c>
      <c r="K82" t="str">
        <f>LOOKUP(J82,Sheet2!$P$4:$Q$9)</f>
        <v>Unknown</v>
      </c>
      <c r="L82" s="1">
        <v>22.4</v>
      </c>
      <c r="M82" t="str">
        <f>LOOKUP(L82,Sheet2!$S$4:$T$8)</f>
        <v>1-25</v>
      </c>
      <c r="N82" s="1">
        <v>0.14000000000000001</v>
      </c>
      <c r="O82" t="str">
        <f>LOOKUP(N82,Sheet2!$V$4:$W$7)</f>
        <v>0.0 - 0.249</v>
      </c>
      <c r="P82" s="1">
        <v>22</v>
      </c>
      <c r="Q82" t="str">
        <f>LOOKUP(P82,Sheet2!$Z$4:$AA$7)</f>
        <v>&lt;=25</v>
      </c>
      <c r="R82" s="1">
        <v>0</v>
      </c>
      <c r="S82" t="str">
        <f>IF(R82=1,"Positive","Negative")</f>
        <v>Negative</v>
      </c>
      <c r="T82" s="1">
        <f>IFERROR(VLOOKUP(A82,[1]diabetes_Recognition!$A:$B,2,FALSE),"Not Sampled")</f>
        <v>0</v>
      </c>
      <c r="U82" t="str">
        <f>IF(T82=1,"Positive",(IF(T82=0,"Negative","Not Sampled")))</f>
        <v>Negative</v>
      </c>
      <c r="V82" s="1" t="str">
        <f>IF(U82="Not Sampled","Not Sampled",IF(S82=U82,"Accurate Prediction","Inaccurate Prediction"))</f>
        <v>Accurate Prediction</v>
      </c>
    </row>
    <row r="83" spans="1:22" x14ac:dyDescent="0.25">
      <c r="A83" s="1">
        <v>81</v>
      </c>
      <c r="B83" s="1">
        <v>2</v>
      </c>
      <c r="C83" s="1">
        <f>LOOKUP(B83,Sheet2!$D$4:$E$9)</f>
        <v>2</v>
      </c>
      <c r="D83" s="1">
        <v>74</v>
      </c>
      <c r="E83" t="str">
        <f>LOOKUP(D83,Sheet2!$G$4:$H$9)</f>
        <v>1-99</v>
      </c>
      <c r="F83" s="1">
        <v>0</v>
      </c>
      <c r="G83" t="str">
        <f>LOOKUP(F83,Sheet2!$J$4:$K$8)</f>
        <v>Unknown</v>
      </c>
      <c r="H83" s="1">
        <v>0</v>
      </c>
      <c r="I83" t="str">
        <f>LOOKUP(H83,Sheet2!$M$4:$N$8)</f>
        <v>Unknown</v>
      </c>
      <c r="J83" s="1">
        <v>0</v>
      </c>
      <c r="K83" t="str">
        <f>LOOKUP(J83,Sheet2!$P$4:$Q$9)</f>
        <v>Unknown</v>
      </c>
      <c r="L83" s="1">
        <v>0</v>
      </c>
      <c r="M83" t="str">
        <f>LOOKUP(L83,Sheet2!$S$4:$T$8)</f>
        <v>Unknown</v>
      </c>
      <c r="N83" s="1">
        <v>0.10199999999999999</v>
      </c>
      <c r="O83" t="str">
        <f>LOOKUP(N83,Sheet2!$V$4:$W$7)</f>
        <v>0.0 - 0.249</v>
      </c>
      <c r="P83" s="1">
        <v>22</v>
      </c>
      <c r="Q83" t="str">
        <f>LOOKUP(P83,Sheet2!$Z$4:$AA$7)</f>
        <v>&lt;=25</v>
      </c>
      <c r="R83" s="1">
        <v>0</v>
      </c>
      <c r="S83" t="str">
        <f>IF(R83=1,"Positive","Negative")</f>
        <v>Negative</v>
      </c>
      <c r="T83" s="1" t="str">
        <f>IFERROR(VLOOKUP(A83,[1]diabetes_Recognition!$A:$B,2,FALSE),"Not Sampled")</f>
        <v>Not Sampled</v>
      </c>
      <c r="U83" t="str">
        <f>IF(T83=1,"Positive",(IF(T83=0,"Negative","Not Sampled")))</f>
        <v>Not Sampled</v>
      </c>
      <c r="V83" s="1" t="str">
        <f>IF(U83="Not Sampled","Not Sampled",IF(S83=U83,"Accurate Prediction","Inaccurate Prediction"))</f>
        <v>Not Sampled</v>
      </c>
    </row>
    <row r="84" spans="1:22" x14ac:dyDescent="0.25">
      <c r="A84" s="1">
        <v>82</v>
      </c>
      <c r="B84" s="1">
        <v>7</v>
      </c>
      <c r="C84" s="1" t="str">
        <f>LOOKUP(B84,Sheet2!$D$4:$E$9)</f>
        <v>5-7</v>
      </c>
      <c r="D84" s="1">
        <v>83</v>
      </c>
      <c r="E84" t="str">
        <f>LOOKUP(D84,Sheet2!$G$4:$H$9)</f>
        <v>1-99</v>
      </c>
      <c r="F84" s="1">
        <v>78</v>
      </c>
      <c r="G84" t="str">
        <f>LOOKUP(F84,Sheet2!$J$4:$K$8)</f>
        <v>70-79</v>
      </c>
      <c r="H84" s="1">
        <v>26</v>
      </c>
      <c r="I84" t="str">
        <f>LOOKUP(H84,Sheet2!$M$4:$N$8)</f>
        <v>10-30</v>
      </c>
      <c r="J84" s="1">
        <v>71</v>
      </c>
      <c r="K84" t="str">
        <f>LOOKUP(J84,Sheet2!$P$4:$Q$9)</f>
        <v>1-99</v>
      </c>
      <c r="L84" s="1">
        <v>29.3</v>
      </c>
      <c r="M84" t="str">
        <f>LOOKUP(L84,Sheet2!$S$4:$T$8)</f>
        <v>26-30</v>
      </c>
      <c r="N84" s="1">
        <v>0.76700000000000002</v>
      </c>
      <c r="O84" t="str">
        <f>LOOKUP(N84,Sheet2!$V$4:$W$7)</f>
        <v>0.7+</v>
      </c>
      <c r="P84" s="1">
        <v>36</v>
      </c>
      <c r="Q84" t="str">
        <f>LOOKUP(P84,Sheet2!$Z$4:$AA$7)</f>
        <v>36-45</v>
      </c>
      <c r="R84" s="1">
        <v>0</v>
      </c>
      <c r="S84" t="str">
        <f>IF(R84=1,"Positive","Negative")</f>
        <v>Negative</v>
      </c>
      <c r="T84" s="1">
        <f>IFERROR(VLOOKUP(A84,[1]diabetes_Recognition!$A:$B,2,FALSE),"Not Sampled")</f>
        <v>0</v>
      </c>
      <c r="U84" t="str">
        <f>IF(T84=1,"Positive",(IF(T84=0,"Negative","Not Sampled")))</f>
        <v>Negative</v>
      </c>
      <c r="V84" s="1" t="str">
        <f>IF(U84="Not Sampled","Not Sampled",IF(S84=U84,"Accurate Prediction","Inaccurate Prediction"))</f>
        <v>Accurate Prediction</v>
      </c>
    </row>
    <row r="85" spans="1:22" x14ac:dyDescent="0.25">
      <c r="A85" s="1">
        <v>83</v>
      </c>
      <c r="B85" s="1">
        <v>0</v>
      </c>
      <c r="C85" s="1">
        <f>LOOKUP(B85,Sheet2!$D$4:$E$9)</f>
        <v>0</v>
      </c>
      <c r="D85" s="1">
        <v>101</v>
      </c>
      <c r="E85" t="str">
        <f>LOOKUP(D85,Sheet2!$G$4:$H$9)</f>
        <v>100-125</v>
      </c>
      <c r="F85" s="1">
        <v>65</v>
      </c>
      <c r="G85" t="str">
        <f>LOOKUP(F85,Sheet2!$J$4:$K$8)</f>
        <v>60-69</v>
      </c>
      <c r="H85" s="1">
        <v>28</v>
      </c>
      <c r="I85" t="str">
        <f>LOOKUP(H85,Sheet2!$M$4:$N$8)</f>
        <v>10-30</v>
      </c>
      <c r="J85" s="1">
        <v>0</v>
      </c>
      <c r="K85" t="str">
        <f>LOOKUP(J85,Sheet2!$P$4:$Q$9)</f>
        <v>Unknown</v>
      </c>
      <c r="L85" s="1">
        <v>24.6</v>
      </c>
      <c r="M85" t="str">
        <f>LOOKUP(L85,Sheet2!$S$4:$T$8)</f>
        <v>1-25</v>
      </c>
      <c r="N85" s="1">
        <v>0.23699999999999999</v>
      </c>
      <c r="O85" t="str">
        <f>LOOKUP(N85,Sheet2!$V$4:$W$7)</f>
        <v>0.0 - 0.249</v>
      </c>
      <c r="P85" s="1">
        <v>22</v>
      </c>
      <c r="Q85" t="str">
        <f>LOOKUP(P85,Sheet2!$Z$4:$AA$7)</f>
        <v>&lt;=25</v>
      </c>
      <c r="R85" s="1">
        <v>0</v>
      </c>
      <c r="S85" t="str">
        <f>IF(R85=1,"Positive","Negative")</f>
        <v>Negative</v>
      </c>
      <c r="T85" s="1" t="str">
        <f>IFERROR(VLOOKUP(A85,[1]diabetes_Recognition!$A:$B,2,FALSE),"Not Sampled")</f>
        <v>Not Sampled</v>
      </c>
      <c r="U85" t="str">
        <f>IF(T85=1,"Positive",(IF(T85=0,"Negative","Not Sampled")))</f>
        <v>Not Sampled</v>
      </c>
      <c r="V85" s="1" t="str">
        <f>IF(U85="Not Sampled","Not Sampled",IF(S85=U85,"Accurate Prediction","Inaccurate Prediction"))</f>
        <v>Not Sampled</v>
      </c>
    </row>
    <row r="86" spans="1:22" x14ac:dyDescent="0.25">
      <c r="A86" s="1">
        <v>84</v>
      </c>
      <c r="B86" s="1">
        <v>5</v>
      </c>
      <c r="C86" s="1" t="str">
        <f>LOOKUP(B86,Sheet2!$D$4:$E$9)</f>
        <v>5-7</v>
      </c>
      <c r="D86" s="1">
        <v>137</v>
      </c>
      <c r="E86" t="str">
        <f>LOOKUP(D86,Sheet2!$G$4:$H$9)</f>
        <v>126-150</v>
      </c>
      <c r="F86" s="1">
        <v>108</v>
      </c>
      <c r="G86" t="str">
        <f>LOOKUP(F86,Sheet2!$J$4:$K$8)</f>
        <v>80+</v>
      </c>
      <c r="H86" s="1">
        <v>0</v>
      </c>
      <c r="I86" t="str">
        <f>LOOKUP(H86,Sheet2!$M$4:$N$8)</f>
        <v>Unknown</v>
      </c>
      <c r="J86" s="1">
        <v>0</v>
      </c>
      <c r="K86" t="str">
        <f>LOOKUP(J86,Sheet2!$P$4:$Q$9)</f>
        <v>Unknown</v>
      </c>
      <c r="L86" s="1">
        <v>48.8</v>
      </c>
      <c r="M86" t="str">
        <f>LOOKUP(L86,Sheet2!$S$4:$T$8)</f>
        <v>36+</v>
      </c>
      <c r="N86" s="1">
        <v>0.22700000000000001</v>
      </c>
      <c r="O86" t="str">
        <f>LOOKUP(N86,Sheet2!$V$4:$W$7)</f>
        <v>0.0 - 0.249</v>
      </c>
      <c r="P86" s="1">
        <v>37</v>
      </c>
      <c r="Q86" t="str">
        <f>LOOKUP(P86,Sheet2!$Z$4:$AA$7)</f>
        <v>36-45</v>
      </c>
      <c r="R86" s="1">
        <v>1</v>
      </c>
      <c r="S86" t="str">
        <f>IF(R86=1,"Positive","Negative")</f>
        <v>Positive</v>
      </c>
      <c r="T86" s="1" t="str">
        <f>IFERROR(VLOOKUP(A86,[1]diabetes_Recognition!$A:$B,2,FALSE),"Not Sampled")</f>
        <v>Not Sampled</v>
      </c>
      <c r="U86" t="str">
        <f>IF(T86=1,"Positive",(IF(T86=0,"Negative","Not Sampled")))</f>
        <v>Not Sampled</v>
      </c>
      <c r="V86" s="1" t="str">
        <f>IF(U86="Not Sampled","Not Sampled",IF(S86=U86,"Accurate Prediction","Inaccurate Prediction"))</f>
        <v>Not Sampled</v>
      </c>
    </row>
    <row r="87" spans="1:22" x14ac:dyDescent="0.25">
      <c r="A87" s="1">
        <v>85</v>
      </c>
      <c r="B87" s="1">
        <v>2</v>
      </c>
      <c r="C87" s="1">
        <f>LOOKUP(B87,Sheet2!$D$4:$E$9)</f>
        <v>2</v>
      </c>
      <c r="D87" s="1">
        <v>110</v>
      </c>
      <c r="E87" t="str">
        <f>LOOKUP(D87,Sheet2!$G$4:$H$9)</f>
        <v>100-125</v>
      </c>
      <c r="F87" s="1">
        <v>74</v>
      </c>
      <c r="G87" t="str">
        <f>LOOKUP(F87,Sheet2!$J$4:$K$8)</f>
        <v>70-79</v>
      </c>
      <c r="H87" s="1">
        <v>29</v>
      </c>
      <c r="I87" t="str">
        <f>LOOKUP(H87,Sheet2!$M$4:$N$8)</f>
        <v>10-30</v>
      </c>
      <c r="J87" s="1">
        <v>125</v>
      </c>
      <c r="K87" t="str">
        <f>LOOKUP(J87,Sheet2!$P$4:$Q$9)</f>
        <v>100-199</v>
      </c>
      <c r="L87" s="1">
        <v>32.4</v>
      </c>
      <c r="M87" t="str">
        <f>LOOKUP(L87,Sheet2!$S$4:$T$8)</f>
        <v>31-35</v>
      </c>
      <c r="N87" s="1">
        <v>0.69799999999999995</v>
      </c>
      <c r="O87" t="str">
        <f>LOOKUP(N87,Sheet2!$V$4:$W$7)</f>
        <v>0.4 - 0.69</v>
      </c>
      <c r="P87" s="1">
        <v>27</v>
      </c>
      <c r="Q87" t="str">
        <f>LOOKUP(P87,Sheet2!$Z$4:$AA$7)</f>
        <v>26-35</v>
      </c>
      <c r="R87" s="1">
        <v>0</v>
      </c>
      <c r="S87" t="str">
        <f>IF(R87=1,"Positive","Negative")</f>
        <v>Negative</v>
      </c>
      <c r="T87" s="1" t="str">
        <f>IFERROR(VLOOKUP(A87,[1]diabetes_Recognition!$A:$B,2,FALSE),"Not Sampled")</f>
        <v>Not Sampled</v>
      </c>
      <c r="U87" t="str">
        <f>IF(T87=1,"Positive",(IF(T87=0,"Negative","Not Sampled")))</f>
        <v>Not Sampled</v>
      </c>
      <c r="V87" s="1" t="str">
        <f>IF(U87="Not Sampled","Not Sampled",IF(S87=U87,"Accurate Prediction","Inaccurate Prediction"))</f>
        <v>Not Sampled</v>
      </c>
    </row>
    <row r="88" spans="1:22" x14ac:dyDescent="0.25">
      <c r="A88" s="1">
        <v>86</v>
      </c>
      <c r="B88" s="1">
        <v>13</v>
      </c>
      <c r="C88" s="1" t="str">
        <f>LOOKUP(B88,Sheet2!$D$4:$E$9)</f>
        <v>8+</v>
      </c>
      <c r="D88" s="1">
        <v>106</v>
      </c>
      <c r="E88" t="str">
        <f>LOOKUP(D88,Sheet2!$G$4:$H$9)</f>
        <v>100-125</v>
      </c>
      <c r="F88" s="1">
        <v>72</v>
      </c>
      <c r="G88" t="str">
        <f>LOOKUP(F88,Sheet2!$J$4:$K$8)</f>
        <v>70-79</v>
      </c>
      <c r="H88" s="1">
        <v>54</v>
      </c>
      <c r="I88" t="str">
        <f>LOOKUP(H88,Sheet2!$M$4:$N$8)</f>
        <v>40+</v>
      </c>
      <c r="J88" s="1">
        <v>0</v>
      </c>
      <c r="K88" t="str">
        <f>LOOKUP(J88,Sheet2!$P$4:$Q$9)</f>
        <v>Unknown</v>
      </c>
      <c r="L88" s="1">
        <v>36.6</v>
      </c>
      <c r="M88" t="str">
        <f>LOOKUP(L88,Sheet2!$S$4:$T$8)</f>
        <v>36+</v>
      </c>
      <c r="N88" s="1">
        <v>0.17799999999999999</v>
      </c>
      <c r="O88" t="str">
        <f>LOOKUP(N88,Sheet2!$V$4:$W$7)</f>
        <v>0.0 - 0.249</v>
      </c>
      <c r="P88" s="1">
        <v>45</v>
      </c>
      <c r="Q88" t="str">
        <f>LOOKUP(P88,Sheet2!$Z$4:$AA$7)</f>
        <v>36-45</v>
      </c>
      <c r="R88" s="1">
        <v>0</v>
      </c>
      <c r="S88" t="str">
        <f>IF(R88=1,"Positive","Negative")</f>
        <v>Negative</v>
      </c>
      <c r="T88" s="1" t="str">
        <f>IFERROR(VLOOKUP(A88,[1]diabetes_Recognition!$A:$B,2,FALSE),"Not Sampled")</f>
        <v>Not Sampled</v>
      </c>
      <c r="U88" t="str">
        <f>IF(T88=1,"Positive",(IF(T88=0,"Negative","Not Sampled")))</f>
        <v>Not Sampled</v>
      </c>
      <c r="V88" s="1" t="str">
        <f>IF(U88="Not Sampled","Not Sampled",IF(S88=U88,"Accurate Prediction","Inaccurate Prediction"))</f>
        <v>Not Sampled</v>
      </c>
    </row>
    <row r="89" spans="1:22" x14ac:dyDescent="0.25">
      <c r="A89" s="1">
        <v>87</v>
      </c>
      <c r="B89" s="1">
        <v>2</v>
      </c>
      <c r="C89" s="1">
        <f>LOOKUP(B89,Sheet2!$D$4:$E$9)</f>
        <v>2</v>
      </c>
      <c r="D89" s="1">
        <v>100</v>
      </c>
      <c r="E89" t="str">
        <f>LOOKUP(D89,Sheet2!$G$4:$H$9)</f>
        <v>100-125</v>
      </c>
      <c r="F89" s="1">
        <v>68</v>
      </c>
      <c r="G89" t="str">
        <f>LOOKUP(F89,Sheet2!$J$4:$K$8)</f>
        <v>60-69</v>
      </c>
      <c r="H89" s="1">
        <v>25</v>
      </c>
      <c r="I89" t="str">
        <f>LOOKUP(H89,Sheet2!$M$4:$N$8)</f>
        <v>10-30</v>
      </c>
      <c r="J89" s="1">
        <v>71</v>
      </c>
      <c r="K89" t="str">
        <f>LOOKUP(J89,Sheet2!$P$4:$Q$9)</f>
        <v>1-99</v>
      </c>
      <c r="L89" s="1">
        <v>38.5</v>
      </c>
      <c r="M89" t="str">
        <f>LOOKUP(L89,Sheet2!$S$4:$T$8)</f>
        <v>36+</v>
      </c>
      <c r="N89" s="1">
        <v>0.32400000000000001</v>
      </c>
      <c r="O89" t="str">
        <f>LOOKUP(N89,Sheet2!$V$4:$W$7)</f>
        <v>0.25 - 0.39</v>
      </c>
      <c r="P89" s="1">
        <v>26</v>
      </c>
      <c r="Q89" t="str">
        <f>LOOKUP(P89,Sheet2!$Z$4:$AA$7)</f>
        <v>26-35</v>
      </c>
      <c r="R89" s="1">
        <v>0</v>
      </c>
      <c r="S89" t="str">
        <f>IF(R89=1,"Positive","Negative")</f>
        <v>Negative</v>
      </c>
      <c r="T89" s="1">
        <f>IFERROR(VLOOKUP(A89,[1]diabetes_Recognition!$A:$B,2,FALSE),"Not Sampled")</f>
        <v>0</v>
      </c>
      <c r="U89" t="str">
        <f>IF(T89=1,"Positive",(IF(T89=0,"Negative","Not Sampled")))</f>
        <v>Negative</v>
      </c>
      <c r="V89" s="1" t="str">
        <f>IF(U89="Not Sampled","Not Sampled",IF(S89=U89,"Accurate Prediction","Inaccurate Prediction"))</f>
        <v>Accurate Prediction</v>
      </c>
    </row>
    <row r="90" spans="1:22" x14ac:dyDescent="0.25">
      <c r="A90" s="1">
        <v>88</v>
      </c>
      <c r="B90" s="1">
        <v>15</v>
      </c>
      <c r="C90" s="1" t="str">
        <f>LOOKUP(B90,Sheet2!$D$4:$E$9)</f>
        <v>8+</v>
      </c>
      <c r="D90" s="1">
        <v>136</v>
      </c>
      <c r="E90" t="str">
        <f>LOOKUP(D90,Sheet2!$G$4:$H$9)</f>
        <v>126-150</v>
      </c>
      <c r="F90" s="1">
        <v>70</v>
      </c>
      <c r="G90" t="str">
        <f>LOOKUP(F90,Sheet2!$J$4:$K$8)</f>
        <v>70-79</v>
      </c>
      <c r="H90" s="1">
        <v>32</v>
      </c>
      <c r="I90" t="str">
        <f>LOOKUP(H90,Sheet2!$M$4:$N$8)</f>
        <v>30-39</v>
      </c>
      <c r="J90" s="1">
        <v>110</v>
      </c>
      <c r="K90" t="str">
        <f>LOOKUP(J90,Sheet2!$P$4:$Q$9)</f>
        <v>100-199</v>
      </c>
      <c r="L90" s="1">
        <v>37.1</v>
      </c>
      <c r="M90" t="str">
        <f>LOOKUP(L90,Sheet2!$S$4:$T$8)</f>
        <v>36+</v>
      </c>
      <c r="N90" s="1">
        <v>0.153</v>
      </c>
      <c r="O90" t="str">
        <f>LOOKUP(N90,Sheet2!$V$4:$W$7)</f>
        <v>0.0 - 0.249</v>
      </c>
      <c r="P90" s="1">
        <v>43</v>
      </c>
      <c r="Q90" t="str">
        <f>LOOKUP(P90,Sheet2!$Z$4:$AA$7)</f>
        <v>36-45</v>
      </c>
      <c r="R90" s="1">
        <v>1</v>
      </c>
      <c r="S90" t="str">
        <f>IF(R90=1,"Positive","Negative")</f>
        <v>Positive</v>
      </c>
      <c r="T90" s="1" t="str">
        <f>IFERROR(VLOOKUP(A90,[1]diabetes_Recognition!$A:$B,2,FALSE),"Not Sampled")</f>
        <v>Not Sampled</v>
      </c>
      <c r="U90" t="str">
        <f>IF(T90=1,"Positive",(IF(T90=0,"Negative","Not Sampled")))</f>
        <v>Not Sampled</v>
      </c>
      <c r="V90" s="1" t="str">
        <f>IF(U90="Not Sampled","Not Sampled",IF(S90=U90,"Accurate Prediction","Inaccurate Prediction"))</f>
        <v>Not Sampled</v>
      </c>
    </row>
    <row r="91" spans="1:22" x14ac:dyDescent="0.25">
      <c r="A91" s="1">
        <v>89</v>
      </c>
      <c r="B91" s="1">
        <v>1</v>
      </c>
      <c r="C91" s="1">
        <f>LOOKUP(B91,Sheet2!$D$4:$E$9)</f>
        <v>1</v>
      </c>
      <c r="D91" s="1">
        <v>107</v>
      </c>
      <c r="E91" t="str">
        <f>LOOKUP(D91,Sheet2!$G$4:$H$9)</f>
        <v>100-125</v>
      </c>
      <c r="F91" s="1">
        <v>68</v>
      </c>
      <c r="G91" t="str">
        <f>LOOKUP(F91,Sheet2!$J$4:$K$8)</f>
        <v>60-69</v>
      </c>
      <c r="H91" s="1">
        <v>19</v>
      </c>
      <c r="I91" t="str">
        <f>LOOKUP(H91,Sheet2!$M$4:$N$8)</f>
        <v>10-30</v>
      </c>
      <c r="J91" s="1">
        <v>0</v>
      </c>
      <c r="K91" t="str">
        <f>LOOKUP(J91,Sheet2!$P$4:$Q$9)</f>
        <v>Unknown</v>
      </c>
      <c r="L91" s="1">
        <v>26.5</v>
      </c>
      <c r="M91" t="str">
        <f>LOOKUP(L91,Sheet2!$S$4:$T$8)</f>
        <v>26-30</v>
      </c>
      <c r="N91" s="1">
        <v>0.16500000000000001</v>
      </c>
      <c r="O91" t="str">
        <f>LOOKUP(N91,Sheet2!$V$4:$W$7)</f>
        <v>0.0 - 0.249</v>
      </c>
      <c r="P91" s="1">
        <v>24</v>
      </c>
      <c r="Q91" t="str">
        <f>LOOKUP(P91,Sheet2!$Z$4:$AA$7)</f>
        <v>&lt;=25</v>
      </c>
      <c r="R91" s="1">
        <v>0</v>
      </c>
      <c r="S91" t="str">
        <f>IF(R91=1,"Positive","Negative")</f>
        <v>Negative</v>
      </c>
      <c r="T91" s="1" t="str">
        <f>IFERROR(VLOOKUP(A91,[1]diabetes_Recognition!$A:$B,2,FALSE),"Not Sampled")</f>
        <v>Not Sampled</v>
      </c>
      <c r="U91" t="str">
        <f>IF(T91=1,"Positive",(IF(T91=0,"Negative","Not Sampled")))</f>
        <v>Not Sampled</v>
      </c>
      <c r="V91" s="1" t="str">
        <f>IF(U91="Not Sampled","Not Sampled",IF(S91=U91,"Accurate Prediction","Inaccurate Prediction"))</f>
        <v>Not Sampled</v>
      </c>
    </row>
    <row r="92" spans="1:22" x14ac:dyDescent="0.25">
      <c r="A92" s="1">
        <v>90</v>
      </c>
      <c r="B92" s="1">
        <v>1</v>
      </c>
      <c r="C92" s="1">
        <f>LOOKUP(B92,Sheet2!$D$4:$E$9)</f>
        <v>1</v>
      </c>
      <c r="D92" s="1">
        <v>80</v>
      </c>
      <c r="E92" t="str">
        <f>LOOKUP(D92,Sheet2!$G$4:$H$9)</f>
        <v>1-99</v>
      </c>
      <c r="F92" s="1">
        <v>55</v>
      </c>
      <c r="G92" t="str">
        <f>LOOKUP(F92,Sheet2!$J$4:$K$8)</f>
        <v>1-59</v>
      </c>
      <c r="H92" s="1">
        <v>0</v>
      </c>
      <c r="I92" t="str">
        <f>LOOKUP(H92,Sheet2!$M$4:$N$8)</f>
        <v>Unknown</v>
      </c>
      <c r="J92" s="1">
        <v>0</v>
      </c>
      <c r="K92" t="str">
        <f>LOOKUP(J92,Sheet2!$P$4:$Q$9)</f>
        <v>Unknown</v>
      </c>
      <c r="L92" s="1">
        <v>19.100000000000001</v>
      </c>
      <c r="M92" t="str">
        <f>LOOKUP(L92,Sheet2!$S$4:$T$8)</f>
        <v>1-25</v>
      </c>
      <c r="N92" s="1">
        <v>0.25800000000000001</v>
      </c>
      <c r="O92" t="str">
        <f>LOOKUP(N92,Sheet2!$V$4:$W$7)</f>
        <v>0.25 - 0.39</v>
      </c>
      <c r="P92" s="1">
        <v>21</v>
      </c>
      <c r="Q92" t="str">
        <f>LOOKUP(P92,Sheet2!$Z$4:$AA$7)</f>
        <v>&lt;=25</v>
      </c>
      <c r="R92" s="1">
        <v>0</v>
      </c>
      <c r="S92" t="str">
        <f>IF(R92=1,"Positive","Negative")</f>
        <v>Negative</v>
      </c>
      <c r="T92" s="1" t="str">
        <f>IFERROR(VLOOKUP(A92,[1]diabetes_Recognition!$A:$B,2,FALSE),"Not Sampled")</f>
        <v>Not Sampled</v>
      </c>
      <c r="U92" t="str">
        <f>IF(T92=1,"Positive",(IF(T92=0,"Negative","Not Sampled")))</f>
        <v>Not Sampled</v>
      </c>
      <c r="V92" s="1" t="str">
        <f>IF(U92="Not Sampled","Not Sampled",IF(S92=U92,"Accurate Prediction","Inaccurate Prediction"))</f>
        <v>Not Sampled</v>
      </c>
    </row>
    <row r="93" spans="1:22" x14ac:dyDescent="0.25">
      <c r="A93" s="1">
        <v>91</v>
      </c>
      <c r="B93" s="1">
        <v>4</v>
      </c>
      <c r="C93" s="1" t="str">
        <f>LOOKUP(B93,Sheet2!$D$4:$E$9)</f>
        <v>3-4</v>
      </c>
      <c r="D93" s="1">
        <v>123</v>
      </c>
      <c r="E93" t="str">
        <f>LOOKUP(D93,Sheet2!$G$4:$H$9)</f>
        <v>100-125</v>
      </c>
      <c r="F93" s="1">
        <v>80</v>
      </c>
      <c r="G93" t="str">
        <f>LOOKUP(F93,Sheet2!$J$4:$K$8)</f>
        <v>80+</v>
      </c>
      <c r="H93" s="1">
        <v>15</v>
      </c>
      <c r="I93" t="str">
        <f>LOOKUP(H93,Sheet2!$M$4:$N$8)</f>
        <v>10-30</v>
      </c>
      <c r="J93" s="1">
        <v>176</v>
      </c>
      <c r="K93" t="str">
        <f>LOOKUP(J93,Sheet2!$P$4:$Q$9)</f>
        <v>100-199</v>
      </c>
      <c r="L93" s="1">
        <v>32</v>
      </c>
      <c r="M93" t="str">
        <f>LOOKUP(L93,Sheet2!$S$4:$T$8)</f>
        <v>31-35</v>
      </c>
      <c r="N93" s="1">
        <v>0.443</v>
      </c>
      <c r="O93" t="str">
        <f>LOOKUP(N93,Sheet2!$V$4:$W$7)</f>
        <v>0.4 - 0.69</v>
      </c>
      <c r="P93" s="1">
        <v>34</v>
      </c>
      <c r="Q93" t="str">
        <f>LOOKUP(P93,Sheet2!$Z$4:$AA$7)</f>
        <v>26-35</v>
      </c>
      <c r="R93" s="1">
        <v>0</v>
      </c>
      <c r="S93" t="str">
        <f>IF(R93=1,"Positive","Negative")</f>
        <v>Negative</v>
      </c>
      <c r="T93" s="1">
        <f>IFERROR(VLOOKUP(A93,[1]diabetes_Recognition!$A:$B,2,FALSE),"Not Sampled")</f>
        <v>0</v>
      </c>
      <c r="U93" t="str">
        <f>IF(T93=1,"Positive",(IF(T93=0,"Negative","Not Sampled")))</f>
        <v>Negative</v>
      </c>
      <c r="V93" s="1" t="str">
        <f>IF(U93="Not Sampled","Not Sampled",IF(S93=U93,"Accurate Prediction","Inaccurate Prediction"))</f>
        <v>Accurate Prediction</v>
      </c>
    </row>
    <row r="94" spans="1:22" x14ac:dyDescent="0.25">
      <c r="A94" s="1">
        <v>92</v>
      </c>
      <c r="B94" s="1">
        <v>7</v>
      </c>
      <c r="C94" s="1" t="str">
        <f>LOOKUP(B94,Sheet2!$D$4:$E$9)</f>
        <v>5-7</v>
      </c>
      <c r="D94" s="1">
        <v>81</v>
      </c>
      <c r="E94" t="str">
        <f>LOOKUP(D94,Sheet2!$G$4:$H$9)</f>
        <v>1-99</v>
      </c>
      <c r="F94" s="1">
        <v>78</v>
      </c>
      <c r="G94" t="str">
        <f>LOOKUP(F94,Sheet2!$J$4:$K$8)</f>
        <v>70-79</v>
      </c>
      <c r="H94" s="1">
        <v>40</v>
      </c>
      <c r="I94" t="str">
        <f>LOOKUP(H94,Sheet2!$M$4:$N$8)</f>
        <v>40+</v>
      </c>
      <c r="J94" s="1">
        <v>48</v>
      </c>
      <c r="K94" t="str">
        <f>LOOKUP(J94,Sheet2!$P$4:$Q$9)</f>
        <v>1-99</v>
      </c>
      <c r="L94" s="1">
        <v>46.7</v>
      </c>
      <c r="M94" t="str">
        <f>LOOKUP(L94,Sheet2!$S$4:$T$8)</f>
        <v>36+</v>
      </c>
      <c r="N94" s="1">
        <v>0.26100000000000001</v>
      </c>
      <c r="O94" t="str">
        <f>LOOKUP(N94,Sheet2!$V$4:$W$7)</f>
        <v>0.25 - 0.39</v>
      </c>
      <c r="P94" s="1">
        <v>42</v>
      </c>
      <c r="Q94" t="str">
        <f>LOOKUP(P94,Sheet2!$Z$4:$AA$7)</f>
        <v>36-45</v>
      </c>
      <c r="R94" s="1">
        <v>0</v>
      </c>
      <c r="S94" t="str">
        <f>IF(R94=1,"Positive","Negative")</f>
        <v>Negative</v>
      </c>
      <c r="T94" s="1" t="str">
        <f>IFERROR(VLOOKUP(A94,[1]diabetes_Recognition!$A:$B,2,FALSE),"Not Sampled")</f>
        <v>Not Sampled</v>
      </c>
      <c r="U94" t="str">
        <f>IF(T94=1,"Positive",(IF(T94=0,"Negative","Not Sampled")))</f>
        <v>Not Sampled</v>
      </c>
      <c r="V94" s="1" t="str">
        <f>IF(U94="Not Sampled","Not Sampled",IF(S94=U94,"Accurate Prediction","Inaccurate Prediction"))</f>
        <v>Not Sampled</v>
      </c>
    </row>
    <row r="95" spans="1:22" x14ac:dyDescent="0.25">
      <c r="A95" s="1">
        <v>93</v>
      </c>
      <c r="B95" s="1">
        <v>4</v>
      </c>
      <c r="C95" s="1" t="str">
        <f>LOOKUP(B95,Sheet2!$D$4:$E$9)</f>
        <v>3-4</v>
      </c>
      <c r="D95" s="1">
        <v>134</v>
      </c>
      <c r="E95" t="str">
        <f>LOOKUP(D95,Sheet2!$G$4:$H$9)</f>
        <v>126-150</v>
      </c>
      <c r="F95" s="1">
        <v>72</v>
      </c>
      <c r="G95" t="str">
        <f>LOOKUP(F95,Sheet2!$J$4:$K$8)</f>
        <v>70-79</v>
      </c>
      <c r="H95" s="1">
        <v>0</v>
      </c>
      <c r="I95" t="str">
        <f>LOOKUP(H95,Sheet2!$M$4:$N$8)</f>
        <v>Unknown</v>
      </c>
      <c r="J95" s="1">
        <v>0</v>
      </c>
      <c r="K95" t="str">
        <f>LOOKUP(J95,Sheet2!$P$4:$Q$9)</f>
        <v>Unknown</v>
      </c>
      <c r="L95" s="1">
        <v>23.8</v>
      </c>
      <c r="M95" t="str">
        <f>LOOKUP(L95,Sheet2!$S$4:$T$8)</f>
        <v>1-25</v>
      </c>
      <c r="N95" s="1">
        <v>0.27700000000000002</v>
      </c>
      <c r="O95" t="str">
        <f>LOOKUP(N95,Sheet2!$V$4:$W$7)</f>
        <v>0.25 - 0.39</v>
      </c>
      <c r="P95" s="1">
        <v>60</v>
      </c>
      <c r="Q95" t="str">
        <f>LOOKUP(P95,Sheet2!$Z$4:$AA$7)</f>
        <v>46+</v>
      </c>
      <c r="R95" s="1">
        <v>1</v>
      </c>
      <c r="S95" t="str">
        <f>IF(R95=1,"Positive","Negative")</f>
        <v>Positive</v>
      </c>
      <c r="T95" s="1" t="str">
        <f>IFERROR(VLOOKUP(A95,[1]diabetes_Recognition!$A:$B,2,FALSE),"Not Sampled")</f>
        <v>Not Sampled</v>
      </c>
      <c r="U95" t="str">
        <f>IF(T95=1,"Positive",(IF(T95=0,"Negative","Not Sampled")))</f>
        <v>Not Sampled</v>
      </c>
      <c r="V95" s="1" t="str">
        <f>IF(U95="Not Sampled","Not Sampled",IF(S95=U95,"Accurate Prediction","Inaccurate Prediction"))</f>
        <v>Not Sampled</v>
      </c>
    </row>
    <row r="96" spans="1:22" x14ac:dyDescent="0.25">
      <c r="A96" s="1">
        <v>94</v>
      </c>
      <c r="B96" s="1">
        <v>2</v>
      </c>
      <c r="C96" s="1">
        <f>LOOKUP(B96,Sheet2!$D$4:$E$9)</f>
        <v>2</v>
      </c>
      <c r="D96" s="1">
        <v>142</v>
      </c>
      <c r="E96" t="str">
        <f>LOOKUP(D96,Sheet2!$G$4:$H$9)</f>
        <v>126-150</v>
      </c>
      <c r="F96" s="1">
        <v>82</v>
      </c>
      <c r="G96" t="str">
        <f>LOOKUP(F96,Sheet2!$J$4:$K$8)</f>
        <v>80+</v>
      </c>
      <c r="H96" s="1">
        <v>18</v>
      </c>
      <c r="I96" t="str">
        <f>LOOKUP(H96,Sheet2!$M$4:$N$8)</f>
        <v>10-30</v>
      </c>
      <c r="J96" s="1">
        <v>64</v>
      </c>
      <c r="K96" t="str">
        <f>LOOKUP(J96,Sheet2!$P$4:$Q$9)</f>
        <v>1-99</v>
      </c>
      <c r="L96" s="1">
        <v>24.7</v>
      </c>
      <c r="M96" t="str">
        <f>LOOKUP(L96,Sheet2!$S$4:$T$8)</f>
        <v>1-25</v>
      </c>
      <c r="N96" s="1">
        <v>0.76100000000000001</v>
      </c>
      <c r="O96" t="str">
        <f>LOOKUP(N96,Sheet2!$V$4:$W$7)</f>
        <v>0.7+</v>
      </c>
      <c r="P96" s="1">
        <v>21</v>
      </c>
      <c r="Q96" t="str">
        <f>LOOKUP(P96,Sheet2!$Z$4:$AA$7)</f>
        <v>&lt;=25</v>
      </c>
      <c r="R96" s="1">
        <v>0</v>
      </c>
      <c r="S96" t="str">
        <f>IF(R96=1,"Positive","Negative")</f>
        <v>Negative</v>
      </c>
      <c r="T96" s="1" t="str">
        <f>IFERROR(VLOOKUP(A96,[1]diabetes_Recognition!$A:$B,2,FALSE),"Not Sampled")</f>
        <v>Not Sampled</v>
      </c>
      <c r="U96" t="str">
        <f>IF(T96=1,"Positive",(IF(T96=0,"Negative","Not Sampled")))</f>
        <v>Not Sampled</v>
      </c>
      <c r="V96" s="1" t="str">
        <f>IF(U96="Not Sampled","Not Sampled",IF(S96=U96,"Accurate Prediction","Inaccurate Prediction"))</f>
        <v>Not Sampled</v>
      </c>
    </row>
    <row r="97" spans="1:22" x14ac:dyDescent="0.25">
      <c r="A97" s="1">
        <v>95</v>
      </c>
      <c r="B97" s="1">
        <v>6</v>
      </c>
      <c r="C97" s="1" t="str">
        <f>LOOKUP(B97,Sheet2!$D$4:$E$9)</f>
        <v>5-7</v>
      </c>
      <c r="D97" s="1">
        <v>144</v>
      </c>
      <c r="E97" t="str">
        <f>LOOKUP(D97,Sheet2!$G$4:$H$9)</f>
        <v>126-150</v>
      </c>
      <c r="F97" s="1">
        <v>72</v>
      </c>
      <c r="G97" t="str">
        <f>LOOKUP(F97,Sheet2!$J$4:$K$8)</f>
        <v>70-79</v>
      </c>
      <c r="H97" s="1">
        <v>27</v>
      </c>
      <c r="I97" t="str">
        <f>LOOKUP(H97,Sheet2!$M$4:$N$8)</f>
        <v>10-30</v>
      </c>
      <c r="J97" s="1">
        <v>228</v>
      </c>
      <c r="K97" t="str">
        <f>LOOKUP(J97,Sheet2!$P$4:$Q$9)</f>
        <v>200-399</v>
      </c>
      <c r="L97" s="1">
        <v>33.9</v>
      </c>
      <c r="M97" t="str">
        <f>LOOKUP(L97,Sheet2!$S$4:$T$8)</f>
        <v>31-35</v>
      </c>
      <c r="N97" s="1">
        <v>0.255</v>
      </c>
      <c r="O97" t="str">
        <f>LOOKUP(N97,Sheet2!$V$4:$W$7)</f>
        <v>0.25 - 0.39</v>
      </c>
      <c r="P97" s="1">
        <v>40</v>
      </c>
      <c r="Q97" t="str">
        <f>LOOKUP(P97,Sheet2!$Z$4:$AA$7)</f>
        <v>36-45</v>
      </c>
      <c r="R97" s="1">
        <v>0</v>
      </c>
      <c r="S97" t="str">
        <f>IF(R97=1,"Positive","Negative")</f>
        <v>Negative</v>
      </c>
      <c r="T97" s="1" t="str">
        <f>IFERROR(VLOOKUP(A97,[1]diabetes_Recognition!$A:$B,2,FALSE),"Not Sampled")</f>
        <v>Not Sampled</v>
      </c>
      <c r="U97" t="str">
        <f>IF(T97=1,"Positive",(IF(T97=0,"Negative","Not Sampled")))</f>
        <v>Not Sampled</v>
      </c>
      <c r="V97" s="1" t="str">
        <f>IF(U97="Not Sampled","Not Sampled",IF(S97=U97,"Accurate Prediction","Inaccurate Prediction"))</f>
        <v>Not Sampled</v>
      </c>
    </row>
    <row r="98" spans="1:22" x14ac:dyDescent="0.25">
      <c r="A98" s="1">
        <v>96</v>
      </c>
      <c r="B98" s="1">
        <v>2</v>
      </c>
      <c r="C98" s="1">
        <f>LOOKUP(B98,Sheet2!$D$4:$E$9)</f>
        <v>2</v>
      </c>
      <c r="D98" s="1">
        <v>92</v>
      </c>
      <c r="E98" t="str">
        <f>LOOKUP(D98,Sheet2!$G$4:$H$9)</f>
        <v>1-99</v>
      </c>
      <c r="F98" s="1">
        <v>62</v>
      </c>
      <c r="G98" t="str">
        <f>LOOKUP(F98,Sheet2!$J$4:$K$8)</f>
        <v>60-69</v>
      </c>
      <c r="H98" s="1">
        <v>28</v>
      </c>
      <c r="I98" t="str">
        <f>LOOKUP(H98,Sheet2!$M$4:$N$8)</f>
        <v>10-30</v>
      </c>
      <c r="J98" s="1">
        <v>0</v>
      </c>
      <c r="K98" t="str">
        <f>LOOKUP(J98,Sheet2!$P$4:$Q$9)</f>
        <v>Unknown</v>
      </c>
      <c r="L98" s="1">
        <v>31.6</v>
      </c>
      <c r="M98" t="str">
        <f>LOOKUP(L98,Sheet2!$S$4:$T$8)</f>
        <v>31-35</v>
      </c>
      <c r="N98" s="1">
        <v>0.13</v>
      </c>
      <c r="O98" t="str">
        <f>LOOKUP(N98,Sheet2!$V$4:$W$7)</f>
        <v>0.0 - 0.249</v>
      </c>
      <c r="P98" s="1">
        <v>24</v>
      </c>
      <c r="Q98" t="str">
        <f>LOOKUP(P98,Sheet2!$Z$4:$AA$7)</f>
        <v>&lt;=25</v>
      </c>
      <c r="R98" s="1">
        <v>0</v>
      </c>
      <c r="S98" t="str">
        <f>IF(R98=1,"Positive","Negative")</f>
        <v>Negative</v>
      </c>
      <c r="T98" s="1" t="str">
        <f>IFERROR(VLOOKUP(A98,[1]diabetes_Recognition!$A:$B,2,FALSE),"Not Sampled")</f>
        <v>Not Sampled</v>
      </c>
      <c r="U98" t="str">
        <f>IF(T98=1,"Positive",(IF(T98=0,"Negative","Not Sampled")))</f>
        <v>Not Sampled</v>
      </c>
      <c r="V98" s="1" t="str">
        <f>IF(U98="Not Sampled","Not Sampled",IF(S98=U98,"Accurate Prediction","Inaccurate Prediction"))</f>
        <v>Not Sampled</v>
      </c>
    </row>
    <row r="99" spans="1:22" x14ac:dyDescent="0.25">
      <c r="A99" s="1">
        <v>97</v>
      </c>
      <c r="B99" s="1">
        <v>1</v>
      </c>
      <c r="C99" s="1">
        <f>LOOKUP(B99,Sheet2!$D$4:$E$9)</f>
        <v>1</v>
      </c>
      <c r="D99" s="1">
        <v>71</v>
      </c>
      <c r="E99" t="str">
        <f>LOOKUP(D99,Sheet2!$G$4:$H$9)</f>
        <v>1-99</v>
      </c>
      <c r="F99" s="1">
        <v>48</v>
      </c>
      <c r="G99" t="str">
        <f>LOOKUP(F99,Sheet2!$J$4:$K$8)</f>
        <v>1-59</v>
      </c>
      <c r="H99" s="1">
        <v>18</v>
      </c>
      <c r="I99" t="str">
        <f>LOOKUP(H99,Sheet2!$M$4:$N$8)</f>
        <v>10-30</v>
      </c>
      <c r="J99" s="1">
        <v>76</v>
      </c>
      <c r="K99" t="str">
        <f>LOOKUP(J99,Sheet2!$P$4:$Q$9)</f>
        <v>1-99</v>
      </c>
      <c r="L99" s="1">
        <v>20.399999999999999</v>
      </c>
      <c r="M99" t="str">
        <f>LOOKUP(L99,Sheet2!$S$4:$T$8)</f>
        <v>1-25</v>
      </c>
      <c r="N99" s="1">
        <v>0.32300000000000001</v>
      </c>
      <c r="O99" t="str">
        <f>LOOKUP(N99,Sheet2!$V$4:$W$7)</f>
        <v>0.25 - 0.39</v>
      </c>
      <c r="P99" s="1">
        <v>22</v>
      </c>
      <c r="Q99" t="str">
        <f>LOOKUP(P99,Sheet2!$Z$4:$AA$7)</f>
        <v>&lt;=25</v>
      </c>
      <c r="R99" s="1">
        <v>0</v>
      </c>
      <c r="S99" t="str">
        <f>IF(R99=1,"Positive","Negative")</f>
        <v>Negative</v>
      </c>
      <c r="T99" s="1" t="str">
        <f>IFERROR(VLOOKUP(A99,[1]diabetes_Recognition!$A:$B,2,FALSE),"Not Sampled")</f>
        <v>Not Sampled</v>
      </c>
      <c r="U99" t="str">
        <f>IF(T99=1,"Positive",(IF(T99=0,"Negative","Not Sampled")))</f>
        <v>Not Sampled</v>
      </c>
      <c r="V99" s="1" t="str">
        <f>IF(U99="Not Sampled","Not Sampled",IF(S99=U99,"Accurate Prediction","Inaccurate Prediction"))</f>
        <v>Not Sampled</v>
      </c>
    </row>
    <row r="100" spans="1:22" x14ac:dyDescent="0.25">
      <c r="A100" s="1">
        <v>98</v>
      </c>
      <c r="B100" s="1">
        <v>6</v>
      </c>
      <c r="C100" s="1" t="str">
        <f>LOOKUP(B100,Sheet2!$D$4:$E$9)</f>
        <v>5-7</v>
      </c>
      <c r="D100" s="1">
        <v>93</v>
      </c>
      <c r="E100" t="str">
        <f>LOOKUP(D100,Sheet2!$G$4:$H$9)</f>
        <v>1-99</v>
      </c>
      <c r="F100" s="1">
        <v>50</v>
      </c>
      <c r="G100" t="str">
        <f>LOOKUP(F100,Sheet2!$J$4:$K$8)</f>
        <v>1-59</v>
      </c>
      <c r="H100" s="1">
        <v>30</v>
      </c>
      <c r="I100" t="str">
        <f>LOOKUP(H100,Sheet2!$M$4:$N$8)</f>
        <v>30-39</v>
      </c>
      <c r="J100" s="1">
        <v>64</v>
      </c>
      <c r="K100" t="str">
        <f>LOOKUP(J100,Sheet2!$P$4:$Q$9)</f>
        <v>1-99</v>
      </c>
      <c r="L100" s="1">
        <v>28.7</v>
      </c>
      <c r="M100" t="str">
        <f>LOOKUP(L100,Sheet2!$S$4:$T$8)</f>
        <v>26-30</v>
      </c>
      <c r="N100" s="1">
        <v>0.35599999999999998</v>
      </c>
      <c r="O100" t="str">
        <f>LOOKUP(N100,Sheet2!$V$4:$W$7)</f>
        <v>0.25 - 0.39</v>
      </c>
      <c r="P100" s="1">
        <v>23</v>
      </c>
      <c r="Q100" t="str">
        <f>LOOKUP(P100,Sheet2!$Z$4:$AA$7)</f>
        <v>&lt;=25</v>
      </c>
      <c r="R100" s="1">
        <v>0</v>
      </c>
      <c r="S100" t="str">
        <f>IF(R100=1,"Positive","Negative")</f>
        <v>Negative</v>
      </c>
      <c r="T100" s="1">
        <f>IFERROR(VLOOKUP(A100,[1]diabetes_Recognition!$A:$B,2,FALSE),"Not Sampled")</f>
        <v>0</v>
      </c>
      <c r="U100" t="str">
        <f>IF(T100=1,"Positive",(IF(T100=0,"Negative","Not Sampled")))</f>
        <v>Negative</v>
      </c>
      <c r="V100" s="1" t="str">
        <f>IF(U100="Not Sampled","Not Sampled",IF(S100=U100,"Accurate Prediction","Inaccurate Prediction"))</f>
        <v>Accurate Prediction</v>
      </c>
    </row>
    <row r="101" spans="1:22" x14ac:dyDescent="0.25">
      <c r="A101" s="1">
        <v>99</v>
      </c>
      <c r="B101" s="1">
        <v>1</v>
      </c>
      <c r="C101" s="1">
        <f>LOOKUP(B101,Sheet2!$D$4:$E$9)</f>
        <v>1</v>
      </c>
      <c r="D101" s="1">
        <v>122</v>
      </c>
      <c r="E101" t="str">
        <f>LOOKUP(D101,Sheet2!$G$4:$H$9)</f>
        <v>100-125</v>
      </c>
      <c r="F101" s="1">
        <v>90</v>
      </c>
      <c r="G101" t="str">
        <f>LOOKUP(F101,Sheet2!$J$4:$K$8)</f>
        <v>80+</v>
      </c>
      <c r="H101" s="1">
        <v>51</v>
      </c>
      <c r="I101" t="str">
        <f>LOOKUP(H101,Sheet2!$M$4:$N$8)</f>
        <v>40+</v>
      </c>
      <c r="J101" s="1">
        <v>220</v>
      </c>
      <c r="K101" t="str">
        <f>LOOKUP(J101,Sheet2!$P$4:$Q$9)</f>
        <v>200-399</v>
      </c>
      <c r="L101" s="1">
        <v>49.7</v>
      </c>
      <c r="M101" t="str">
        <f>LOOKUP(L101,Sheet2!$S$4:$T$8)</f>
        <v>36+</v>
      </c>
      <c r="N101" s="1">
        <v>0.32500000000000001</v>
      </c>
      <c r="O101" t="str">
        <f>LOOKUP(N101,Sheet2!$V$4:$W$7)</f>
        <v>0.25 - 0.39</v>
      </c>
      <c r="P101" s="1">
        <v>31</v>
      </c>
      <c r="Q101" t="str">
        <f>LOOKUP(P101,Sheet2!$Z$4:$AA$7)</f>
        <v>26-35</v>
      </c>
      <c r="R101" s="1">
        <v>1</v>
      </c>
      <c r="S101" t="str">
        <f>IF(R101=1,"Positive","Negative")</f>
        <v>Positive</v>
      </c>
      <c r="T101" s="1" t="str">
        <f>IFERROR(VLOOKUP(A101,[1]diabetes_Recognition!$A:$B,2,FALSE),"Not Sampled")</f>
        <v>Not Sampled</v>
      </c>
      <c r="U101" t="str">
        <f>IF(T101=1,"Positive",(IF(T101=0,"Negative","Not Sampled")))</f>
        <v>Not Sampled</v>
      </c>
      <c r="V101" s="1" t="str">
        <f>IF(U101="Not Sampled","Not Sampled",IF(S101=U101,"Accurate Prediction","Inaccurate Prediction"))</f>
        <v>Not Sampled</v>
      </c>
    </row>
    <row r="102" spans="1:22" x14ac:dyDescent="0.25">
      <c r="A102" s="1">
        <v>100</v>
      </c>
      <c r="B102" s="1">
        <v>1</v>
      </c>
      <c r="C102" s="1">
        <f>LOOKUP(B102,Sheet2!$D$4:$E$9)</f>
        <v>1</v>
      </c>
      <c r="D102" s="1">
        <v>163</v>
      </c>
      <c r="E102" t="str">
        <f>LOOKUP(D102,Sheet2!$G$4:$H$9)</f>
        <v>151-175</v>
      </c>
      <c r="F102" s="1">
        <v>72</v>
      </c>
      <c r="G102" t="str">
        <f>LOOKUP(F102,Sheet2!$J$4:$K$8)</f>
        <v>70-79</v>
      </c>
      <c r="H102" s="1">
        <v>0</v>
      </c>
      <c r="I102" t="str">
        <f>LOOKUP(H102,Sheet2!$M$4:$N$8)</f>
        <v>Unknown</v>
      </c>
      <c r="J102" s="1">
        <v>0</v>
      </c>
      <c r="K102" t="str">
        <f>LOOKUP(J102,Sheet2!$P$4:$Q$9)</f>
        <v>Unknown</v>
      </c>
      <c r="L102" s="1">
        <v>39</v>
      </c>
      <c r="M102" t="str">
        <f>LOOKUP(L102,Sheet2!$S$4:$T$8)</f>
        <v>36+</v>
      </c>
      <c r="N102" s="1">
        <v>1.222</v>
      </c>
      <c r="O102" t="str">
        <f>LOOKUP(N102,Sheet2!$V$4:$W$7)</f>
        <v>0.7+</v>
      </c>
      <c r="P102" s="1">
        <v>33</v>
      </c>
      <c r="Q102" t="str">
        <f>LOOKUP(P102,Sheet2!$Z$4:$AA$7)</f>
        <v>26-35</v>
      </c>
      <c r="R102" s="1">
        <v>1</v>
      </c>
      <c r="S102" t="str">
        <f>IF(R102=1,"Positive","Negative")</f>
        <v>Positive</v>
      </c>
      <c r="T102" s="1" t="str">
        <f>IFERROR(VLOOKUP(A102,[1]diabetes_Recognition!$A:$B,2,FALSE),"Not Sampled")</f>
        <v>Not Sampled</v>
      </c>
      <c r="U102" t="str">
        <f>IF(T102=1,"Positive",(IF(T102=0,"Negative","Not Sampled")))</f>
        <v>Not Sampled</v>
      </c>
      <c r="V102" s="1" t="str">
        <f>IF(U102="Not Sampled","Not Sampled",IF(S102=U102,"Accurate Prediction","Inaccurate Prediction"))</f>
        <v>Not Sampled</v>
      </c>
    </row>
    <row r="103" spans="1:22" x14ac:dyDescent="0.25">
      <c r="A103" s="1">
        <v>101</v>
      </c>
      <c r="B103" s="1">
        <v>1</v>
      </c>
      <c r="C103" s="1">
        <f>LOOKUP(B103,Sheet2!$D$4:$E$9)</f>
        <v>1</v>
      </c>
      <c r="D103" s="1">
        <v>151</v>
      </c>
      <c r="E103" t="str">
        <f>LOOKUP(D103,Sheet2!$G$4:$H$9)</f>
        <v>151-175</v>
      </c>
      <c r="F103" s="1">
        <v>60</v>
      </c>
      <c r="G103" t="str">
        <f>LOOKUP(F103,Sheet2!$J$4:$K$8)</f>
        <v>60-69</v>
      </c>
      <c r="H103" s="1">
        <v>0</v>
      </c>
      <c r="I103" t="str">
        <f>LOOKUP(H103,Sheet2!$M$4:$N$8)</f>
        <v>Unknown</v>
      </c>
      <c r="J103" s="1">
        <v>0</v>
      </c>
      <c r="K103" t="str">
        <f>LOOKUP(J103,Sheet2!$P$4:$Q$9)</f>
        <v>Unknown</v>
      </c>
      <c r="L103" s="1">
        <v>26.1</v>
      </c>
      <c r="M103" t="str">
        <f>LOOKUP(L103,Sheet2!$S$4:$T$8)</f>
        <v>26-30</v>
      </c>
      <c r="N103" s="1">
        <v>0.17899999999999999</v>
      </c>
      <c r="O103" t="str">
        <f>LOOKUP(N103,Sheet2!$V$4:$W$7)</f>
        <v>0.0 - 0.249</v>
      </c>
      <c r="P103" s="1">
        <v>22</v>
      </c>
      <c r="Q103" t="str">
        <f>LOOKUP(P103,Sheet2!$Z$4:$AA$7)</f>
        <v>&lt;=25</v>
      </c>
      <c r="R103" s="1">
        <v>0</v>
      </c>
      <c r="S103" t="str">
        <f>IF(R103=1,"Positive","Negative")</f>
        <v>Negative</v>
      </c>
      <c r="T103" s="1">
        <f>IFERROR(VLOOKUP(A103,[1]diabetes_Recognition!$A:$B,2,FALSE),"Not Sampled")</f>
        <v>0</v>
      </c>
      <c r="U103" t="str">
        <f>IF(T103=1,"Positive",(IF(T103=0,"Negative","Not Sampled")))</f>
        <v>Negative</v>
      </c>
      <c r="V103" s="1" t="str">
        <f>IF(U103="Not Sampled","Not Sampled",IF(S103=U103,"Accurate Prediction","Inaccurate Prediction"))</f>
        <v>Accurate Prediction</v>
      </c>
    </row>
    <row r="104" spans="1:22" x14ac:dyDescent="0.25">
      <c r="A104" s="1">
        <v>102</v>
      </c>
      <c r="B104" s="1">
        <v>0</v>
      </c>
      <c r="C104" s="1">
        <f>LOOKUP(B104,Sheet2!$D$4:$E$9)</f>
        <v>0</v>
      </c>
      <c r="D104" s="1">
        <v>125</v>
      </c>
      <c r="E104" t="str">
        <f>LOOKUP(D104,Sheet2!$G$4:$H$9)</f>
        <v>100-125</v>
      </c>
      <c r="F104" s="1">
        <v>96</v>
      </c>
      <c r="G104" t="str">
        <f>LOOKUP(F104,Sheet2!$J$4:$K$8)</f>
        <v>80+</v>
      </c>
      <c r="H104" s="1">
        <v>0</v>
      </c>
      <c r="I104" t="str">
        <f>LOOKUP(H104,Sheet2!$M$4:$N$8)</f>
        <v>Unknown</v>
      </c>
      <c r="J104" s="1">
        <v>0</v>
      </c>
      <c r="K104" t="str">
        <f>LOOKUP(J104,Sheet2!$P$4:$Q$9)</f>
        <v>Unknown</v>
      </c>
      <c r="L104" s="1">
        <v>22.5</v>
      </c>
      <c r="M104" t="str">
        <f>LOOKUP(L104,Sheet2!$S$4:$T$8)</f>
        <v>1-25</v>
      </c>
      <c r="N104" s="1">
        <v>0.26200000000000001</v>
      </c>
      <c r="O104" t="str">
        <f>LOOKUP(N104,Sheet2!$V$4:$W$7)</f>
        <v>0.25 - 0.39</v>
      </c>
      <c r="P104" s="1">
        <v>21</v>
      </c>
      <c r="Q104" t="str">
        <f>LOOKUP(P104,Sheet2!$Z$4:$AA$7)</f>
        <v>&lt;=25</v>
      </c>
      <c r="R104" s="1">
        <v>0</v>
      </c>
      <c r="S104" t="str">
        <f>IF(R104=1,"Positive","Negative")</f>
        <v>Negative</v>
      </c>
      <c r="T104" s="1">
        <f>IFERROR(VLOOKUP(A104,[1]diabetes_Recognition!$A:$B,2,FALSE),"Not Sampled")</f>
        <v>0</v>
      </c>
      <c r="U104" t="str">
        <f>IF(T104=1,"Positive",(IF(T104=0,"Negative","Not Sampled")))</f>
        <v>Negative</v>
      </c>
      <c r="V104" s="1" t="str">
        <f>IF(U104="Not Sampled","Not Sampled",IF(S104=U104,"Accurate Prediction","Inaccurate Prediction"))</f>
        <v>Accurate Prediction</v>
      </c>
    </row>
    <row r="105" spans="1:22" x14ac:dyDescent="0.25">
      <c r="A105" s="1">
        <v>103</v>
      </c>
      <c r="B105" s="1">
        <v>1</v>
      </c>
      <c r="C105" s="1">
        <f>LOOKUP(B105,Sheet2!$D$4:$E$9)</f>
        <v>1</v>
      </c>
      <c r="D105" s="1">
        <v>81</v>
      </c>
      <c r="E105" t="str">
        <f>LOOKUP(D105,Sheet2!$G$4:$H$9)</f>
        <v>1-99</v>
      </c>
      <c r="F105" s="1">
        <v>72</v>
      </c>
      <c r="G105" t="str">
        <f>LOOKUP(F105,Sheet2!$J$4:$K$8)</f>
        <v>70-79</v>
      </c>
      <c r="H105" s="1">
        <v>18</v>
      </c>
      <c r="I105" t="str">
        <f>LOOKUP(H105,Sheet2!$M$4:$N$8)</f>
        <v>10-30</v>
      </c>
      <c r="J105" s="1">
        <v>40</v>
      </c>
      <c r="K105" t="str">
        <f>LOOKUP(J105,Sheet2!$P$4:$Q$9)</f>
        <v>1-99</v>
      </c>
      <c r="L105" s="1">
        <v>26.6</v>
      </c>
      <c r="M105" t="str">
        <f>LOOKUP(L105,Sheet2!$S$4:$T$8)</f>
        <v>26-30</v>
      </c>
      <c r="N105" s="1">
        <v>0.28299999999999997</v>
      </c>
      <c r="O105" t="str">
        <f>LOOKUP(N105,Sheet2!$V$4:$W$7)</f>
        <v>0.25 - 0.39</v>
      </c>
      <c r="P105" s="1">
        <v>24</v>
      </c>
      <c r="Q105" t="str">
        <f>LOOKUP(P105,Sheet2!$Z$4:$AA$7)</f>
        <v>&lt;=25</v>
      </c>
      <c r="R105" s="1">
        <v>0</v>
      </c>
      <c r="S105" t="str">
        <f>IF(R105=1,"Positive","Negative")</f>
        <v>Negative</v>
      </c>
      <c r="T105" s="1" t="str">
        <f>IFERROR(VLOOKUP(A105,[1]diabetes_Recognition!$A:$B,2,FALSE),"Not Sampled")</f>
        <v>Not Sampled</v>
      </c>
      <c r="U105" t="str">
        <f>IF(T105=1,"Positive",(IF(T105=0,"Negative","Not Sampled")))</f>
        <v>Not Sampled</v>
      </c>
      <c r="V105" s="1" t="str">
        <f>IF(U105="Not Sampled","Not Sampled",IF(S105=U105,"Accurate Prediction","Inaccurate Prediction"))</f>
        <v>Not Sampled</v>
      </c>
    </row>
    <row r="106" spans="1:22" x14ac:dyDescent="0.25">
      <c r="A106" s="1">
        <v>104</v>
      </c>
      <c r="B106" s="1">
        <v>2</v>
      </c>
      <c r="C106" s="1">
        <f>LOOKUP(B106,Sheet2!$D$4:$E$9)</f>
        <v>2</v>
      </c>
      <c r="D106" s="1">
        <v>85</v>
      </c>
      <c r="E106" t="str">
        <f>LOOKUP(D106,Sheet2!$G$4:$H$9)</f>
        <v>1-99</v>
      </c>
      <c r="F106" s="1">
        <v>65</v>
      </c>
      <c r="G106" t="str">
        <f>LOOKUP(F106,Sheet2!$J$4:$K$8)</f>
        <v>60-69</v>
      </c>
      <c r="H106" s="1">
        <v>0</v>
      </c>
      <c r="I106" t="str">
        <f>LOOKUP(H106,Sheet2!$M$4:$N$8)</f>
        <v>Unknown</v>
      </c>
      <c r="J106" s="1">
        <v>0</v>
      </c>
      <c r="K106" t="str">
        <f>LOOKUP(J106,Sheet2!$P$4:$Q$9)</f>
        <v>Unknown</v>
      </c>
      <c r="L106" s="1">
        <v>39.6</v>
      </c>
      <c r="M106" t="str">
        <f>LOOKUP(L106,Sheet2!$S$4:$T$8)</f>
        <v>36+</v>
      </c>
      <c r="N106" s="1">
        <v>0.93</v>
      </c>
      <c r="O106" t="str">
        <f>LOOKUP(N106,Sheet2!$V$4:$W$7)</f>
        <v>0.7+</v>
      </c>
      <c r="P106" s="1">
        <v>27</v>
      </c>
      <c r="Q106" t="str">
        <f>LOOKUP(P106,Sheet2!$Z$4:$AA$7)</f>
        <v>26-35</v>
      </c>
      <c r="R106" s="1">
        <v>0</v>
      </c>
      <c r="S106" t="str">
        <f>IF(R106=1,"Positive","Negative")</f>
        <v>Negative</v>
      </c>
      <c r="T106" s="1">
        <f>IFERROR(VLOOKUP(A106,[1]diabetes_Recognition!$A:$B,2,FALSE),"Not Sampled")</f>
        <v>0</v>
      </c>
      <c r="U106" t="str">
        <f>IF(T106=1,"Positive",(IF(T106=0,"Negative","Not Sampled")))</f>
        <v>Negative</v>
      </c>
      <c r="V106" s="1" t="str">
        <f>IF(U106="Not Sampled","Not Sampled",IF(S106=U106,"Accurate Prediction","Inaccurate Prediction"))</f>
        <v>Accurate Prediction</v>
      </c>
    </row>
    <row r="107" spans="1:22" x14ac:dyDescent="0.25">
      <c r="A107" s="1">
        <v>105</v>
      </c>
      <c r="B107" s="1">
        <v>1</v>
      </c>
      <c r="C107" s="1">
        <f>LOOKUP(B107,Sheet2!$D$4:$E$9)</f>
        <v>1</v>
      </c>
      <c r="D107" s="1">
        <v>126</v>
      </c>
      <c r="E107" t="str">
        <f>LOOKUP(D107,Sheet2!$G$4:$H$9)</f>
        <v>126-150</v>
      </c>
      <c r="F107" s="1">
        <v>56</v>
      </c>
      <c r="G107" t="str">
        <f>LOOKUP(F107,Sheet2!$J$4:$K$8)</f>
        <v>1-59</v>
      </c>
      <c r="H107" s="1">
        <v>29</v>
      </c>
      <c r="I107" t="str">
        <f>LOOKUP(H107,Sheet2!$M$4:$N$8)</f>
        <v>10-30</v>
      </c>
      <c r="J107" s="1">
        <v>152</v>
      </c>
      <c r="K107" t="str">
        <f>LOOKUP(J107,Sheet2!$P$4:$Q$9)</f>
        <v>100-199</v>
      </c>
      <c r="L107" s="1">
        <v>28.7</v>
      </c>
      <c r="M107" t="str">
        <f>LOOKUP(L107,Sheet2!$S$4:$T$8)</f>
        <v>26-30</v>
      </c>
      <c r="N107" s="1">
        <v>0.80100000000000005</v>
      </c>
      <c r="O107" t="str">
        <f>LOOKUP(N107,Sheet2!$V$4:$W$7)</f>
        <v>0.7+</v>
      </c>
      <c r="P107" s="1">
        <v>21</v>
      </c>
      <c r="Q107" t="str">
        <f>LOOKUP(P107,Sheet2!$Z$4:$AA$7)</f>
        <v>&lt;=25</v>
      </c>
      <c r="R107" s="1">
        <v>0</v>
      </c>
      <c r="S107" t="str">
        <f>IF(R107=1,"Positive","Negative")</f>
        <v>Negative</v>
      </c>
      <c r="T107" s="1" t="str">
        <f>IFERROR(VLOOKUP(A107,[1]diabetes_Recognition!$A:$B,2,FALSE),"Not Sampled")</f>
        <v>Not Sampled</v>
      </c>
      <c r="U107" t="str">
        <f>IF(T107=1,"Positive",(IF(T107=0,"Negative","Not Sampled")))</f>
        <v>Not Sampled</v>
      </c>
      <c r="V107" s="1" t="str">
        <f>IF(U107="Not Sampled","Not Sampled",IF(S107=U107,"Accurate Prediction","Inaccurate Prediction"))</f>
        <v>Not Sampled</v>
      </c>
    </row>
    <row r="108" spans="1:22" x14ac:dyDescent="0.25">
      <c r="A108" s="1">
        <v>106</v>
      </c>
      <c r="B108" s="1">
        <v>1</v>
      </c>
      <c r="C108" s="1">
        <f>LOOKUP(B108,Sheet2!$D$4:$E$9)</f>
        <v>1</v>
      </c>
      <c r="D108" s="1">
        <v>96</v>
      </c>
      <c r="E108" t="str">
        <f>LOOKUP(D108,Sheet2!$G$4:$H$9)</f>
        <v>1-99</v>
      </c>
      <c r="F108" s="1">
        <v>122</v>
      </c>
      <c r="G108" t="str">
        <f>LOOKUP(F108,Sheet2!$J$4:$K$8)</f>
        <v>80+</v>
      </c>
      <c r="H108" s="1">
        <v>0</v>
      </c>
      <c r="I108" t="str">
        <f>LOOKUP(H108,Sheet2!$M$4:$N$8)</f>
        <v>Unknown</v>
      </c>
      <c r="J108" s="1">
        <v>0</v>
      </c>
      <c r="K108" t="str">
        <f>LOOKUP(J108,Sheet2!$P$4:$Q$9)</f>
        <v>Unknown</v>
      </c>
      <c r="L108" s="1">
        <v>22.4</v>
      </c>
      <c r="M108" t="str">
        <f>LOOKUP(L108,Sheet2!$S$4:$T$8)</f>
        <v>1-25</v>
      </c>
      <c r="N108" s="1">
        <v>0.20699999999999999</v>
      </c>
      <c r="O108" t="str">
        <f>LOOKUP(N108,Sheet2!$V$4:$W$7)</f>
        <v>0.0 - 0.249</v>
      </c>
      <c r="P108" s="1">
        <v>27</v>
      </c>
      <c r="Q108" t="str">
        <f>LOOKUP(P108,Sheet2!$Z$4:$AA$7)</f>
        <v>26-35</v>
      </c>
      <c r="R108" s="1">
        <v>0</v>
      </c>
      <c r="S108" t="str">
        <f>IF(R108=1,"Positive","Negative")</f>
        <v>Negative</v>
      </c>
      <c r="T108" s="1" t="str">
        <f>IFERROR(VLOOKUP(A108,[1]diabetes_Recognition!$A:$B,2,FALSE),"Not Sampled")</f>
        <v>Not Sampled</v>
      </c>
      <c r="U108" t="str">
        <f>IF(T108=1,"Positive",(IF(T108=0,"Negative","Not Sampled")))</f>
        <v>Not Sampled</v>
      </c>
      <c r="V108" s="1" t="str">
        <f>IF(U108="Not Sampled","Not Sampled",IF(S108=U108,"Accurate Prediction","Inaccurate Prediction"))</f>
        <v>Not Sampled</v>
      </c>
    </row>
    <row r="109" spans="1:22" x14ac:dyDescent="0.25">
      <c r="A109" s="1">
        <v>107</v>
      </c>
      <c r="B109" s="1">
        <v>4</v>
      </c>
      <c r="C109" s="1" t="str">
        <f>LOOKUP(B109,Sheet2!$D$4:$E$9)</f>
        <v>3-4</v>
      </c>
      <c r="D109" s="1">
        <v>144</v>
      </c>
      <c r="E109" t="str">
        <f>LOOKUP(D109,Sheet2!$G$4:$H$9)</f>
        <v>126-150</v>
      </c>
      <c r="F109" s="1">
        <v>58</v>
      </c>
      <c r="G109" t="str">
        <f>LOOKUP(F109,Sheet2!$J$4:$K$8)</f>
        <v>1-59</v>
      </c>
      <c r="H109" s="1">
        <v>28</v>
      </c>
      <c r="I109" t="str">
        <f>LOOKUP(H109,Sheet2!$M$4:$N$8)</f>
        <v>10-30</v>
      </c>
      <c r="J109" s="1">
        <v>140</v>
      </c>
      <c r="K109" t="str">
        <f>LOOKUP(J109,Sheet2!$P$4:$Q$9)</f>
        <v>100-199</v>
      </c>
      <c r="L109" s="1">
        <v>29.5</v>
      </c>
      <c r="M109" t="str">
        <f>LOOKUP(L109,Sheet2!$S$4:$T$8)</f>
        <v>26-30</v>
      </c>
      <c r="N109" s="1">
        <v>0.28699999999999998</v>
      </c>
      <c r="O109" t="str">
        <f>LOOKUP(N109,Sheet2!$V$4:$W$7)</f>
        <v>0.25 - 0.39</v>
      </c>
      <c r="P109" s="1">
        <v>37</v>
      </c>
      <c r="Q109" t="str">
        <f>LOOKUP(P109,Sheet2!$Z$4:$AA$7)</f>
        <v>36-45</v>
      </c>
      <c r="R109" s="1">
        <v>0</v>
      </c>
      <c r="S109" t="str">
        <f>IF(R109=1,"Positive","Negative")</f>
        <v>Negative</v>
      </c>
      <c r="T109" s="1">
        <f>IFERROR(VLOOKUP(A109,[1]diabetes_Recognition!$A:$B,2,FALSE),"Not Sampled")</f>
        <v>0</v>
      </c>
      <c r="U109" t="str">
        <f>IF(T109=1,"Positive",(IF(T109=0,"Negative","Not Sampled")))</f>
        <v>Negative</v>
      </c>
      <c r="V109" s="1" t="str">
        <f>IF(U109="Not Sampled","Not Sampled",IF(S109=U109,"Accurate Prediction","Inaccurate Prediction"))</f>
        <v>Accurate Prediction</v>
      </c>
    </row>
    <row r="110" spans="1:22" x14ac:dyDescent="0.25">
      <c r="A110" s="1">
        <v>108</v>
      </c>
      <c r="B110" s="1">
        <v>3</v>
      </c>
      <c r="C110" s="1" t="str">
        <f>LOOKUP(B110,Sheet2!$D$4:$E$9)</f>
        <v>3-4</v>
      </c>
      <c r="D110" s="1">
        <v>83</v>
      </c>
      <c r="E110" t="str">
        <f>LOOKUP(D110,Sheet2!$G$4:$H$9)</f>
        <v>1-99</v>
      </c>
      <c r="F110" s="1">
        <v>58</v>
      </c>
      <c r="G110" t="str">
        <f>LOOKUP(F110,Sheet2!$J$4:$K$8)</f>
        <v>1-59</v>
      </c>
      <c r="H110" s="1">
        <v>31</v>
      </c>
      <c r="I110" t="str">
        <f>LOOKUP(H110,Sheet2!$M$4:$N$8)</f>
        <v>30-39</v>
      </c>
      <c r="J110" s="1">
        <v>18</v>
      </c>
      <c r="K110" t="str">
        <f>LOOKUP(J110,Sheet2!$P$4:$Q$9)</f>
        <v>1-99</v>
      </c>
      <c r="L110" s="1">
        <v>34.299999999999997</v>
      </c>
      <c r="M110" t="str">
        <f>LOOKUP(L110,Sheet2!$S$4:$T$8)</f>
        <v>31-35</v>
      </c>
      <c r="N110" s="1">
        <v>0.33600000000000002</v>
      </c>
      <c r="O110" t="str">
        <f>LOOKUP(N110,Sheet2!$V$4:$W$7)</f>
        <v>0.25 - 0.39</v>
      </c>
      <c r="P110" s="1">
        <v>25</v>
      </c>
      <c r="Q110" t="str">
        <f>LOOKUP(P110,Sheet2!$Z$4:$AA$7)</f>
        <v>&lt;=25</v>
      </c>
      <c r="R110" s="1">
        <v>0</v>
      </c>
      <c r="S110" t="str">
        <f>IF(R110=1,"Positive","Negative")</f>
        <v>Negative</v>
      </c>
      <c r="T110" s="1">
        <f>IFERROR(VLOOKUP(A110,[1]diabetes_Recognition!$A:$B,2,FALSE),"Not Sampled")</f>
        <v>0</v>
      </c>
      <c r="U110" t="str">
        <f>IF(T110=1,"Positive",(IF(T110=0,"Negative","Not Sampled")))</f>
        <v>Negative</v>
      </c>
      <c r="V110" s="1" t="str">
        <f>IF(U110="Not Sampled","Not Sampled",IF(S110=U110,"Accurate Prediction","Inaccurate Prediction"))</f>
        <v>Accurate Prediction</v>
      </c>
    </row>
    <row r="111" spans="1:22" x14ac:dyDescent="0.25">
      <c r="A111" s="1">
        <v>109</v>
      </c>
      <c r="B111" s="1">
        <v>0</v>
      </c>
      <c r="C111" s="1">
        <f>LOOKUP(B111,Sheet2!$D$4:$E$9)</f>
        <v>0</v>
      </c>
      <c r="D111" s="1">
        <v>95</v>
      </c>
      <c r="E111" t="str">
        <f>LOOKUP(D111,Sheet2!$G$4:$H$9)</f>
        <v>1-99</v>
      </c>
      <c r="F111" s="1">
        <v>85</v>
      </c>
      <c r="G111" t="str">
        <f>LOOKUP(F111,Sheet2!$J$4:$K$8)</f>
        <v>80+</v>
      </c>
      <c r="H111" s="1">
        <v>25</v>
      </c>
      <c r="I111" t="str">
        <f>LOOKUP(H111,Sheet2!$M$4:$N$8)</f>
        <v>10-30</v>
      </c>
      <c r="J111" s="1">
        <v>36</v>
      </c>
      <c r="K111" t="str">
        <f>LOOKUP(J111,Sheet2!$P$4:$Q$9)</f>
        <v>1-99</v>
      </c>
      <c r="L111" s="1">
        <v>37.4</v>
      </c>
      <c r="M111" t="str">
        <f>LOOKUP(L111,Sheet2!$S$4:$T$8)</f>
        <v>36+</v>
      </c>
      <c r="N111" s="1">
        <v>0.247</v>
      </c>
      <c r="O111" t="str">
        <f>LOOKUP(N111,Sheet2!$V$4:$W$7)</f>
        <v>0.0 - 0.249</v>
      </c>
      <c r="P111" s="1">
        <v>24</v>
      </c>
      <c r="Q111" t="str">
        <f>LOOKUP(P111,Sheet2!$Z$4:$AA$7)</f>
        <v>&lt;=25</v>
      </c>
      <c r="R111" s="1">
        <v>1</v>
      </c>
      <c r="S111" t="str">
        <f>IF(R111=1,"Positive","Negative")</f>
        <v>Positive</v>
      </c>
      <c r="T111" s="1" t="str">
        <f>IFERROR(VLOOKUP(A111,[1]diabetes_Recognition!$A:$B,2,FALSE),"Not Sampled")</f>
        <v>Not Sampled</v>
      </c>
      <c r="U111" t="str">
        <f>IF(T111=1,"Positive",(IF(T111=0,"Negative","Not Sampled")))</f>
        <v>Not Sampled</v>
      </c>
      <c r="V111" s="1" t="str">
        <f>IF(U111="Not Sampled","Not Sampled",IF(S111=U111,"Accurate Prediction","Inaccurate Prediction"))</f>
        <v>Not Sampled</v>
      </c>
    </row>
    <row r="112" spans="1:22" x14ac:dyDescent="0.25">
      <c r="A112" s="1">
        <v>110</v>
      </c>
      <c r="B112" s="1">
        <v>3</v>
      </c>
      <c r="C112" s="1" t="str">
        <f>LOOKUP(B112,Sheet2!$D$4:$E$9)</f>
        <v>3-4</v>
      </c>
      <c r="D112" s="1">
        <v>171</v>
      </c>
      <c r="E112" t="str">
        <f>LOOKUP(D112,Sheet2!$G$4:$H$9)</f>
        <v>151-175</v>
      </c>
      <c r="F112" s="1">
        <v>72</v>
      </c>
      <c r="G112" t="str">
        <f>LOOKUP(F112,Sheet2!$J$4:$K$8)</f>
        <v>70-79</v>
      </c>
      <c r="H112" s="1">
        <v>33</v>
      </c>
      <c r="I112" t="str">
        <f>LOOKUP(H112,Sheet2!$M$4:$N$8)</f>
        <v>30-39</v>
      </c>
      <c r="J112" s="1">
        <v>135</v>
      </c>
      <c r="K112" t="str">
        <f>LOOKUP(J112,Sheet2!$P$4:$Q$9)</f>
        <v>100-199</v>
      </c>
      <c r="L112" s="1">
        <v>33.299999999999997</v>
      </c>
      <c r="M112" t="str">
        <f>LOOKUP(L112,Sheet2!$S$4:$T$8)</f>
        <v>31-35</v>
      </c>
      <c r="N112" s="1">
        <v>0.19900000000000001</v>
      </c>
      <c r="O112" t="str">
        <f>LOOKUP(N112,Sheet2!$V$4:$W$7)</f>
        <v>0.0 - 0.249</v>
      </c>
      <c r="P112" s="1">
        <v>24</v>
      </c>
      <c r="Q112" t="str">
        <f>LOOKUP(P112,Sheet2!$Z$4:$AA$7)</f>
        <v>&lt;=25</v>
      </c>
      <c r="R112" s="1">
        <v>1</v>
      </c>
      <c r="S112" t="str">
        <f>IF(R112=1,"Positive","Negative")</f>
        <v>Positive</v>
      </c>
      <c r="T112" s="1" t="str">
        <f>IFERROR(VLOOKUP(A112,[1]diabetes_Recognition!$A:$B,2,FALSE),"Not Sampled")</f>
        <v>Not Sampled</v>
      </c>
      <c r="U112" t="str">
        <f>IF(T112=1,"Positive",(IF(T112=0,"Negative","Not Sampled")))</f>
        <v>Not Sampled</v>
      </c>
      <c r="V112" s="1" t="str">
        <f>IF(U112="Not Sampled","Not Sampled",IF(S112=U112,"Accurate Prediction","Inaccurate Prediction"))</f>
        <v>Not Sampled</v>
      </c>
    </row>
    <row r="113" spans="1:22" x14ac:dyDescent="0.25">
      <c r="A113" s="1">
        <v>111</v>
      </c>
      <c r="B113" s="1">
        <v>8</v>
      </c>
      <c r="C113" s="1" t="str">
        <f>LOOKUP(B113,Sheet2!$D$4:$E$9)</f>
        <v>8+</v>
      </c>
      <c r="D113" s="1">
        <v>155</v>
      </c>
      <c r="E113" t="str">
        <f>LOOKUP(D113,Sheet2!$G$4:$H$9)</f>
        <v>151-175</v>
      </c>
      <c r="F113" s="1">
        <v>62</v>
      </c>
      <c r="G113" t="str">
        <f>LOOKUP(F113,Sheet2!$J$4:$K$8)</f>
        <v>60-69</v>
      </c>
      <c r="H113" s="1">
        <v>26</v>
      </c>
      <c r="I113" t="str">
        <f>LOOKUP(H113,Sheet2!$M$4:$N$8)</f>
        <v>10-30</v>
      </c>
      <c r="J113" s="1">
        <v>495</v>
      </c>
      <c r="K113" t="str">
        <f>LOOKUP(J113,Sheet2!$P$4:$Q$9)</f>
        <v>300-499</v>
      </c>
      <c r="L113" s="1">
        <v>34</v>
      </c>
      <c r="M113" t="str">
        <f>LOOKUP(L113,Sheet2!$S$4:$T$8)</f>
        <v>31-35</v>
      </c>
      <c r="N113" s="1">
        <v>0.54300000000000004</v>
      </c>
      <c r="O113" t="str">
        <f>LOOKUP(N113,Sheet2!$V$4:$W$7)</f>
        <v>0.4 - 0.69</v>
      </c>
      <c r="P113" s="1">
        <v>46</v>
      </c>
      <c r="Q113" t="str">
        <f>LOOKUP(P113,Sheet2!$Z$4:$AA$7)</f>
        <v>46+</v>
      </c>
      <c r="R113" s="1">
        <v>1</v>
      </c>
      <c r="S113" t="str">
        <f>IF(R113=1,"Positive","Negative")</f>
        <v>Positive</v>
      </c>
      <c r="T113" s="1">
        <f>IFERROR(VLOOKUP(A113,[1]diabetes_Recognition!$A:$B,2,FALSE),"Not Sampled")</f>
        <v>1</v>
      </c>
      <c r="U113" t="str">
        <f>IF(T113=1,"Positive",(IF(T113=0,"Negative","Not Sampled")))</f>
        <v>Positive</v>
      </c>
      <c r="V113" s="1" t="str">
        <f>IF(U113="Not Sampled","Not Sampled",IF(S113=U113,"Accurate Prediction","Inaccurate Prediction"))</f>
        <v>Accurate Prediction</v>
      </c>
    </row>
    <row r="114" spans="1:22" x14ac:dyDescent="0.25">
      <c r="A114" s="1">
        <v>112</v>
      </c>
      <c r="B114" s="1">
        <v>1</v>
      </c>
      <c r="C114" s="1">
        <f>LOOKUP(B114,Sheet2!$D$4:$E$9)</f>
        <v>1</v>
      </c>
      <c r="D114" s="1">
        <v>89</v>
      </c>
      <c r="E114" t="str">
        <f>LOOKUP(D114,Sheet2!$G$4:$H$9)</f>
        <v>1-99</v>
      </c>
      <c r="F114" s="1">
        <v>76</v>
      </c>
      <c r="G114" t="str">
        <f>LOOKUP(F114,Sheet2!$J$4:$K$8)</f>
        <v>70-79</v>
      </c>
      <c r="H114" s="1">
        <v>34</v>
      </c>
      <c r="I114" t="str">
        <f>LOOKUP(H114,Sheet2!$M$4:$N$8)</f>
        <v>30-39</v>
      </c>
      <c r="J114" s="1">
        <v>37</v>
      </c>
      <c r="K114" t="str">
        <f>LOOKUP(J114,Sheet2!$P$4:$Q$9)</f>
        <v>1-99</v>
      </c>
      <c r="L114" s="1">
        <v>31.2</v>
      </c>
      <c r="M114" t="str">
        <f>LOOKUP(L114,Sheet2!$S$4:$T$8)</f>
        <v>31-35</v>
      </c>
      <c r="N114" s="1">
        <v>0.192</v>
      </c>
      <c r="O114" t="str">
        <f>LOOKUP(N114,Sheet2!$V$4:$W$7)</f>
        <v>0.0 - 0.249</v>
      </c>
      <c r="P114" s="1">
        <v>23</v>
      </c>
      <c r="Q114" t="str">
        <f>LOOKUP(P114,Sheet2!$Z$4:$AA$7)</f>
        <v>&lt;=25</v>
      </c>
      <c r="R114" s="1">
        <v>0</v>
      </c>
      <c r="S114" t="str">
        <f>IF(R114=1,"Positive","Negative")</f>
        <v>Negative</v>
      </c>
      <c r="T114" s="1" t="str">
        <f>IFERROR(VLOOKUP(A114,[1]diabetes_Recognition!$A:$B,2,FALSE),"Not Sampled")</f>
        <v>Not Sampled</v>
      </c>
      <c r="U114" t="str">
        <f>IF(T114=1,"Positive",(IF(T114=0,"Negative","Not Sampled")))</f>
        <v>Not Sampled</v>
      </c>
      <c r="V114" s="1" t="str">
        <f>IF(U114="Not Sampled","Not Sampled",IF(S114=U114,"Accurate Prediction","Inaccurate Prediction"))</f>
        <v>Not Sampled</v>
      </c>
    </row>
    <row r="115" spans="1:22" x14ac:dyDescent="0.25">
      <c r="A115" s="1">
        <v>113</v>
      </c>
      <c r="B115" s="1">
        <v>4</v>
      </c>
      <c r="C115" s="1" t="str">
        <f>LOOKUP(B115,Sheet2!$D$4:$E$9)</f>
        <v>3-4</v>
      </c>
      <c r="D115" s="1">
        <v>76</v>
      </c>
      <c r="E115" t="str">
        <f>LOOKUP(D115,Sheet2!$G$4:$H$9)</f>
        <v>1-99</v>
      </c>
      <c r="F115" s="1">
        <v>62</v>
      </c>
      <c r="G115" t="str">
        <f>LOOKUP(F115,Sheet2!$J$4:$K$8)</f>
        <v>60-69</v>
      </c>
      <c r="H115" s="1">
        <v>0</v>
      </c>
      <c r="I115" t="str">
        <f>LOOKUP(H115,Sheet2!$M$4:$N$8)</f>
        <v>Unknown</v>
      </c>
      <c r="J115" s="1">
        <v>0</v>
      </c>
      <c r="K115" t="str">
        <f>LOOKUP(J115,Sheet2!$P$4:$Q$9)</f>
        <v>Unknown</v>
      </c>
      <c r="L115" s="1">
        <v>34</v>
      </c>
      <c r="M115" t="str">
        <f>LOOKUP(L115,Sheet2!$S$4:$T$8)</f>
        <v>31-35</v>
      </c>
      <c r="N115" s="1">
        <v>0.39100000000000001</v>
      </c>
      <c r="O115" t="str">
        <f>LOOKUP(N115,Sheet2!$V$4:$W$7)</f>
        <v>0.25 - 0.39</v>
      </c>
      <c r="P115" s="1">
        <v>25</v>
      </c>
      <c r="Q115" t="str">
        <f>LOOKUP(P115,Sheet2!$Z$4:$AA$7)</f>
        <v>&lt;=25</v>
      </c>
      <c r="R115" s="1">
        <v>0</v>
      </c>
      <c r="S115" t="str">
        <f>IF(R115=1,"Positive","Negative")</f>
        <v>Negative</v>
      </c>
      <c r="T115" s="1" t="str">
        <f>IFERROR(VLOOKUP(A115,[1]diabetes_Recognition!$A:$B,2,FALSE),"Not Sampled")</f>
        <v>Not Sampled</v>
      </c>
      <c r="U115" t="str">
        <f>IF(T115=1,"Positive",(IF(T115=0,"Negative","Not Sampled")))</f>
        <v>Not Sampled</v>
      </c>
      <c r="V115" s="1" t="str">
        <f>IF(U115="Not Sampled","Not Sampled",IF(S115=U115,"Accurate Prediction","Inaccurate Prediction"))</f>
        <v>Not Sampled</v>
      </c>
    </row>
    <row r="116" spans="1:22" x14ac:dyDescent="0.25">
      <c r="A116" s="1">
        <v>114</v>
      </c>
      <c r="B116" s="1">
        <v>7</v>
      </c>
      <c r="C116" s="1" t="str">
        <f>LOOKUP(B116,Sheet2!$D$4:$E$9)</f>
        <v>5-7</v>
      </c>
      <c r="D116" s="1">
        <v>160</v>
      </c>
      <c r="E116" t="str">
        <f>LOOKUP(D116,Sheet2!$G$4:$H$9)</f>
        <v>151-175</v>
      </c>
      <c r="F116" s="1">
        <v>54</v>
      </c>
      <c r="G116" t="str">
        <f>LOOKUP(F116,Sheet2!$J$4:$K$8)</f>
        <v>1-59</v>
      </c>
      <c r="H116" s="1">
        <v>32</v>
      </c>
      <c r="I116" t="str">
        <f>LOOKUP(H116,Sheet2!$M$4:$N$8)</f>
        <v>30-39</v>
      </c>
      <c r="J116" s="1">
        <v>175</v>
      </c>
      <c r="K116" t="str">
        <f>LOOKUP(J116,Sheet2!$P$4:$Q$9)</f>
        <v>100-199</v>
      </c>
      <c r="L116" s="1">
        <v>30.5</v>
      </c>
      <c r="M116" t="str">
        <f>LOOKUP(L116,Sheet2!$S$4:$T$8)</f>
        <v>26-30</v>
      </c>
      <c r="N116" s="1">
        <v>0.58799999999999997</v>
      </c>
      <c r="O116" t="str">
        <f>LOOKUP(N116,Sheet2!$V$4:$W$7)</f>
        <v>0.4 - 0.69</v>
      </c>
      <c r="P116" s="1">
        <v>39</v>
      </c>
      <c r="Q116" t="str">
        <f>LOOKUP(P116,Sheet2!$Z$4:$AA$7)</f>
        <v>36-45</v>
      </c>
      <c r="R116" s="1">
        <v>1</v>
      </c>
      <c r="S116" t="str">
        <f>IF(R116=1,"Positive","Negative")</f>
        <v>Positive</v>
      </c>
      <c r="T116" s="1" t="str">
        <f>IFERROR(VLOOKUP(A116,[1]diabetes_Recognition!$A:$B,2,FALSE),"Not Sampled")</f>
        <v>Not Sampled</v>
      </c>
      <c r="U116" t="str">
        <f>IF(T116=1,"Positive",(IF(T116=0,"Negative","Not Sampled")))</f>
        <v>Not Sampled</v>
      </c>
      <c r="V116" s="1" t="str">
        <f>IF(U116="Not Sampled","Not Sampled",IF(S116=U116,"Accurate Prediction","Inaccurate Prediction"))</f>
        <v>Not Sampled</v>
      </c>
    </row>
    <row r="117" spans="1:22" x14ac:dyDescent="0.25">
      <c r="A117" s="1">
        <v>115</v>
      </c>
      <c r="B117" s="1">
        <v>4</v>
      </c>
      <c r="C117" s="1" t="str">
        <f>LOOKUP(B117,Sheet2!$D$4:$E$9)</f>
        <v>3-4</v>
      </c>
      <c r="D117" s="1">
        <v>146</v>
      </c>
      <c r="E117" t="str">
        <f>LOOKUP(D117,Sheet2!$G$4:$H$9)</f>
        <v>126-150</v>
      </c>
      <c r="F117" s="1">
        <v>92</v>
      </c>
      <c r="G117" t="str">
        <f>LOOKUP(F117,Sheet2!$J$4:$K$8)</f>
        <v>80+</v>
      </c>
      <c r="H117" s="1">
        <v>0</v>
      </c>
      <c r="I117" t="str">
        <f>LOOKUP(H117,Sheet2!$M$4:$N$8)</f>
        <v>Unknown</v>
      </c>
      <c r="J117" s="1">
        <v>0</v>
      </c>
      <c r="K117" t="str">
        <f>LOOKUP(J117,Sheet2!$P$4:$Q$9)</f>
        <v>Unknown</v>
      </c>
      <c r="L117" s="1">
        <v>31.2</v>
      </c>
      <c r="M117" t="str">
        <f>LOOKUP(L117,Sheet2!$S$4:$T$8)</f>
        <v>31-35</v>
      </c>
      <c r="N117" s="1">
        <v>0.53900000000000003</v>
      </c>
      <c r="O117" t="str">
        <f>LOOKUP(N117,Sheet2!$V$4:$W$7)</f>
        <v>0.4 - 0.69</v>
      </c>
      <c r="P117" s="1">
        <v>61</v>
      </c>
      <c r="Q117" t="str">
        <f>LOOKUP(P117,Sheet2!$Z$4:$AA$7)</f>
        <v>46+</v>
      </c>
      <c r="R117" s="1">
        <v>1</v>
      </c>
      <c r="S117" t="str">
        <f>IF(R117=1,"Positive","Negative")</f>
        <v>Positive</v>
      </c>
      <c r="T117" s="1">
        <f>IFERROR(VLOOKUP(A117,[1]diabetes_Recognition!$A:$B,2,FALSE),"Not Sampled")</f>
        <v>1</v>
      </c>
      <c r="U117" t="str">
        <f>IF(T117=1,"Positive",(IF(T117=0,"Negative","Not Sampled")))</f>
        <v>Positive</v>
      </c>
      <c r="V117" s="1" t="str">
        <f>IF(U117="Not Sampled","Not Sampled",IF(S117=U117,"Accurate Prediction","Inaccurate Prediction"))</f>
        <v>Accurate Prediction</v>
      </c>
    </row>
    <row r="118" spans="1:22" x14ac:dyDescent="0.25">
      <c r="A118" s="1">
        <v>116</v>
      </c>
      <c r="B118" s="1">
        <v>5</v>
      </c>
      <c r="C118" s="1" t="str">
        <f>LOOKUP(B118,Sheet2!$D$4:$E$9)</f>
        <v>5-7</v>
      </c>
      <c r="D118" s="1">
        <v>124</v>
      </c>
      <c r="E118" t="str">
        <f>LOOKUP(D118,Sheet2!$G$4:$H$9)</f>
        <v>100-125</v>
      </c>
      <c r="F118" s="1">
        <v>74</v>
      </c>
      <c r="G118" t="str">
        <f>LOOKUP(F118,Sheet2!$J$4:$K$8)</f>
        <v>70-79</v>
      </c>
      <c r="H118" s="1">
        <v>0</v>
      </c>
      <c r="I118" t="str">
        <f>LOOKUP(H118,Sheet2!$M$4:$N$8)</f>
        <v>Unknown</v>
      </c>
      <c r="J118" s="1">
        <v>0</v>
      </c>
      <c r="K118" t="str">
        <f>LOOKUP(J118,Sheet2!$P$4:$Q$9)</f>
        <v>Unknown</v>
      </c>
      <c r="L118" s="1">
        <v>34</v>
      </c>
      <c r="M118" t="str">
        <f>LOOKUP(L118,Sheet2!$S$4:$T$8)</f>
        <v>31-35</v>
      </c>
      <c r="N118" s="1">
        <v>0.22</v>
      </c>
      <c r="O118" t="str">
        <f>LOOKUP(N118,Sheet2!$V$4:$W$7)</f>
        <v>0.0 - 0.249</v>
      </c>
      <c r="P118" s="1">
        <v>38</v>
      </c>
      <c r="Q118" t="str">
        <f>LOOKUP(P118,Sheet2!$Z$4:$AA$7)</f>
        <v>36-45</v>
      </c>
      <c r="R118" s="1">
        <v>1</v>
      </c>
      <c r="S118" t="str">
        <f>IF(R118=1,"Positive","Negative")</f>
        <v>Positive</v>
      </c>
      <c r="T118" s="1" t="str">
        <f>IFERROR(VLOOKUP(A118,[1]diabetes_Recognition!$A:$B,2,FALSE),"Not Sampled")</f>
        <v>Not Sampled</v>
      </c>
      <c r="U118" t="str">
        <f>IF(T118=1,"Positive",(IF(T118=0,"Negative","Not Sampled")))</f>
        <v>Not Sampled</v>
      </c>
      <c r="V118" s="1" t="str">
        <f>IF(U118="Not Sampled","Not Sampled",IF(S118=U118,"Accurate Prediction","Inaccurate Prediction"))</f>
        <v>Not Sampled</v>
      </c>
    </row>
    <row r="119" spans="1:22" x14ac:dyDescent="0.25">
      <c r="A119" s="1">
        <v>117</v>
      </c>
      <c r="B119" s="1">
        <v>5</v>
      </c>
      <c r="C119" s="1" t="str">
        <f>LOOKUP(B119,Sheet2!$D$4:$E$9)</f>
        <v>5-7</v>
      </c>
      <c r="D119" s="1">
        <v>78</v>
      </c>
      <c r="E119" t="str">
        <f>LOOKUP(D119,Sheet2!$G$4:$H$9)</f>
        <v>1-99</v>
      </c>
      <c r="F119" s="1">
        <v>48</v>
      </c>
      <c r="G119" t="str">
        <f>LOOKUP(F119,Sheet2!$J$4:$K$8)</f>
        <v>1-59</v>
      </c>
      <c r="H119" s="1">
        <v>0</v>
      </c>
      <c r="I119" t="str">
        <f>LOOKUP(H119,Sheet2!$M$4:$N$8)</f>
        <v>Unknown</v>
      </c>
      <c r="J119" s="1">
        <v>0</v>
      </c>
      <c r="K119" t="str">
        <f>LOOKUP(J119,Sheet2!$P$4:$Q$9)</f>
        <v>Unknown</v>
      </c>
      <c r="L119" s="1">
        <v>33.700000000000003</v>
      </c>
      <c r="M119" t="str">
        <f>LOOKUP(L119,Sheet2!$S$4:$T$8)</f>
        <v>31-35</v>
      </c>
      <c r="N119" s="1">
        <v>0.65400000000000003</v>
      </c>
      <c r="O119" t="str">
        <f>LOOKUP(N119,Sheet2!$V$4:$W$7)</f>
        <v>0.4 - 0.69</v>
      </c>
      <c r="P119" s="1">
        <v>25</v>
      </c>
      <c r="Q119" t="str">
        <f>LOOKUP(P119,Sheet2!$Z$4:$AA$7)</f>
        <v>&lt;=25</v>
      </c>
      <c r="R119" s="1">
        <v>0</v>
      </c>
      <c r="S119" t="str">
        <f>IF(R119=1,"Positive","Negative")</f>
        <v>Negative</v>
      </c>
      <c r="T119" s="1" t="str">
        <f>IFERROR(VLOOKUP(A119,[1]diabetes_Recognition!$A:$B,2,FALSE),"Not Sampled")</f>
        <v>Not Sampled</v>
      </c>
      <c r="U119" t="str">
        <f>IF(T119=1,"Positive",(IF(T119=0,"Negative","Not Sampled")))</f>
        <v>Not Sampled</v>
      </c>
      <c r="V119" s="1" t="str">
        <f>IF(U119="Not Sampled","Not Sampled",IF(S119=U119,"Accurate Prediction","Inaccurate Prediction"))</f>
        <v>Not Sampled</v>
      </c>
    </row>
    <row r="120" spans="1:22" x14ac:dyDescent="0.25">
      <c r="A120" s="1">
        <v>118</v>
      </c>
      <c r="B120" s="1">
        <v>4</v>
      </c>
      <c r="C120" s="1" t="str">
        <f>LOOKUP(B120,Sheet2!$D$4:$E$9)</f>
        <v>3-4</v>
      </c>
      <c r="D120" s="1">
        <v>97</v>
      </c>
      <c r="E120" t="str">
        <f>LOOKUP(D120,Sheet2!$G$4:$H$9)</f>
        <v>1-99</v>
      </c>
      <c r="F120" s="1">
        <v>60</v>
      </c>
      <c r="G120" t="str">
        <f>LOOKUP(F120,Sheet2!$J$4:$K$8)</f>
        <v>60-69</v>
      </c>
      <c r="H120" s="1">
        <v>23</v>
      </c>
      <c r="I120" t="str">
        <f>LOOKUP(H120,Sheet2!$M$4:$N$8)</f>
        <v>10-30</v>
      </c>
      <c r="J120" s="1">
        <v>0</v>
      </c>
      <c r="K120" t="str">
        <f>LOOKUP(J120,Sheet2!$P$4:$Q$9)</f>
        <v>Unknown</v>
      </c>
      <c r="L120" s="1">
        <v>28.2</v>
      </c>
      <c r="M120" t="str">
        <f>LOOKUP(L120,Sheet2!$S$4:$T$8)</f>
        <v>26-30</v>
      </c>
      <c r="N120" s="1">
        <v>0.443</v>
      </c>
      <c r="O120" t="str">
        <f>LOOKUP(N120,Sheet2!$V$4:$W$7)</f>
        <v>0.4 - 0.69</v>
      </c>
      <c r="P120" s="1">
        <v>22</v>
      </c>
      <c r="Q120" t="str">
        <f>LOOKUP(P120,Sheet2!$Z$4:$AA$7)</f>
        <v>&lt;=25</v>
      </c>
      <c r="R120" s="1">
        <v>0</v>
      </c>
      <c r="S120" t="str">
        <f>IF(R120=1,"Positive","Negative")</f>
        <v>Negative</v>
      </c>
      <c r="T120" s="1" t="str">
        <f>IFERROR(VLOOKUP(A120,[1]diabetes_Recognition!$A:$B,2,FALSE),"Not Sampled")</f>
        <v>Not Sampled</v>
      </c>
      <c r="U120" t="str">
        <f>IF(T120=1,"Positive",(IF(T120=0,"Negative","Not Sampled")))</f>
        <v>Not Sampled</v>
      </c>
      <c r="V120" s="1" t="str">
        <f>IF(U120="Not Sampled","Not Sampled",IF(S120=U120,"Accurate Prediction","Inaccurate Prediction"))</f>
        <v>Not Sampled</v>
      </c>
    </row>
    <row r="121" spans="1:22" x14ac:dyDescent="0.25">
      <c r="A121" s="1">
        <v>119</v>
      </c>
      <c r="B121" s="1">
        <v>4</v>
      </c>
      <c r="C121" s="1" t="str">
        <f>LOOKUP(B121,Sheet2!$D$4:$E$9)</f>
        <v>3-4</v>
      </c>
      <c r="D121" s="1">
        <v>99</v>
      </c>
      <c r="E121" t="str">
        <f>LOOKUP(D121,Sheet2!$G$4:$H$9)</f>
        <v>1-99</v>
      </c>
      <c r="F121" s="1">
        <v>76</v>
      </c>
      <c r="G121" t="str">
        <f>LOOKUP(F121,Sheet2!$J$4:$K$8)</f>
        <v>70-79</v>
      </c>
      <c r="H121" s="1">
        <v>15</v>
      </c>
      <c r="I121" t="str">
        <f>LOOKUP(H121,Sheet2!$M$4:$N$8)</f>
        <v>10-30</v>
      </c>
      <c r="J121" s="1">
        <v>51</v>
      </c>
      <c r="K121" t="str">
        <f>LOOKUP(J121,Sheet2!$P$4:$Q$9)</f>
        <v>1-99</v>
      </c>
      <c r="L121" s="1">
        <v>23.2</v>
      </c>
      <c r="M121" t="str">
        <f>LOOKUP(L121,Sheet2!$S$4:$T$8)</f>
        <v>1-25</v>
      </c>
      <c r="N121" s="1">
        <v>0.223</v>
      </c>
      <c r="O121" t="str">
        <f>LOOKUP(N121,Sheet2!$V$4:$W$7)</f>
        <v>0.0 - 0.249</v>
      </c>
      <c r="P121" s="1">
        <v>21</v>
      </c>
      <c r="Q121" t="str">
        <f>LOOKUP(P121,Sheet2!$Z$4:$AA$7)</f>
        <v>&lt;=25</v>
      </c>
      <c r="R121" s="1">
        <v>0</v>
      </c>
      <c r="S121" t="str">
        <f>IF(R121=1,"Positive","Negative")</f>
        <v>Negative</v>
      </c>
      <c r="T121" s="1">
        <f>IFERROR(VLOOKUP(A121,[1]diabetes_Recognition!$A:$B,2,FALSE),"Not Sampled")</f>
        <v>0</v>
      </c>
      <c r="U121" t="str">
        <f>IF(T121=1,"Positive",(IF(T121=0,"Negative","Not Sampled")))</f>
        <v>Negative</v>
      </c>
      <c r="V121" s="1" t="str">
        <f>IF(U121="Not Sampled","Not Sampled",IF(S121=U121,"Accurate Prediction","Inaccurate Prediction"))</f>
        <v>Accurate Prediction</v>
      </c>
    </row>
    <row r="122" spans="1:22" x14ac:dyDescent="0.25">
      <c r="A122" s="1">
        <v>120</v>
      </c>
      <c r="B122" s="1">
        <v>0</v>
      </c>
      <c r="C122" s="1">
        <f>LOOKUP(B122,Sheet2!$D$4:$E$9)</f>
        <v>0</v>
      </c>
      <c r="D122" s="1">
        <v>162</v>
      </c>
      <c r="E122" t="str">
        <f>LOOKUP(D122,Sheet2!$G$4:$H$9)</f>
        <v>151-175</v>
      </c>
      <c r="F122" s="1">
        <v>76</v>
      </c>
      <c r="G122" t="str">
        <f>LOOKUP(F122,Sheet2!$J$4:$K$8)</f>
        <v>70-79</v>
      </c>
      <c r="H122" s="1">
        <v>56</v>
      </c>
      <c r="I122" t="str">
        <f>LOOKUP(H122,Sheet2!$M$4:$N$8)</f>
        <v>40+</v>
      </c>
      <c r="J122" s="1">
        <v>100</v>
      </c>
      <c r="K122" t="str">
        <f>LOOKUP(J122,Sheet2!$P$4:$Q$9)</f>
        <v>100-199</v>
      </c>
      <c r="L122" s="1">
        <v>53.2</v>
      </c>
      <c r="M122" t="str">
        <f>LOOKUP(L122,Sheet2!$S$4:$T$8)</f>
        <v>36+</v>
      </c>
      <c r="N122" s="1">
        <v>0.75900000000000001</v>
      </c>
      <c r="O122" t="str">
        <f>LOOKUP(N122,Sheet2!$V$4:$W$7)</f>
        <v>0.7+</v>
      </c>
      <c r="P122" s="1">
        <v>25</v>
      </c>
      <c r="Q122" t="str">
        <f>LOOKUP(P122,Sheet2!$Z$4:$AA$7)</f>
        <v>&lt;=25</v>
      </c>
      <c r="R122" s="1">
        <v>1</v>
      </c>
      <c r="S122" t="str">
        <f>IF(R122=1,"Positive","Negative")</f>
        <v>Positive</v>
      </c>
      <c r="T122" s="1">
        <f>IFERROR(VLOOKUP(A122,[1]diabetes_Recognition!$A:$B,2,FALSE),"Not Sampled")</f>
        <v>1</v>
      </c>
      <c r="U122" t="str">
        <f>IF(T122=1,"Positive",(IF(T122=0,"Negative","Not Sampled")))</f>
        <v>Positive</v>
      </c>
      <c r="V122" s="1" t="str">
        <f>IF(U122="Not Sampled","Not Sampled",IF(S122=U122,"Accurate Prediction","Inaccurate Prediction"))</f>
        <v>Accurate Prediction</v>
      </c>
    </row>
    <row r="123" spans="1:22" x14ac:dyDescent="0.25">
      <c r="A123" s="1">
        <v>121</v>
      </c>
      <c r="B123" s="1">
        <v>6</v>
      </c>
      <c r="C123" s="1" t="str">
        <f>LOOKUP(B123,Sheet2!$D$4:$E$9)</f>
        <v>5-7</v>
      </c>
      <c r="D123" s="1">
        <v>111</v>
      </c>
      <c r="E123" t="str">
        <f>LOOKUP(D123,Sheet2!$G$4:$H$9)</f>
        <v>100-125</v>
      </c>
      <c r="F123" s="1">
        <v>64</v>
      </c>
      <c r="G123" t="str">
        <f>LOOKUP(F123,Sheet2!$J$4:$K$8)</f>
        <v>60-69</v>
      </c>
      <c r="H123" s="1">
        <v>39</v>
      </c>
      <c r="I123" t="str">
        <f>LOOKUP(H123,Sheet2!$M$4:$N$8)</f>
        <v>30-39</v>
      </c>
      <c r="J123" s="1">
        <v>0</v>
      </c>
      <c r="K123" t="str">
        <f>LOOKUP(J123,Sheet2!$P$4:$Q$9)</f>
        <v>Unknown</v>
      </c>
      <c r="L123" s="1">
        <v>34.200000000000003</v>
      </c>
      <c r="M123" t="str">
        <f>LOOKUP(L123,Sheet2!$S$4:$T$8)</f>
        <v>31-35</v>
      </c>
      <c r="N123" s="1">
        <v>0.26</v>
      </c>
      <c r="O123" t="str">
        <f>LOOKUP(N123,Sheet2!$V$4:$W$7)</f>
        <v>0.25 - 0.39</v>
      </c>
      <c r="P123" s="1">
        <v>24</v>
      </c>
      <c r="Q123" t="str">
        <f>LOOKUP(P123,Sheet2!$Z$4:$AA$7)</f>
        <v>&lt;=25</v>
      </c>
      <c r="R123" s="1">
        <v>0</v>
      </c>
      <c r="S123" t="str">
        <f>IF(R123=1,"Positive","Negative")</f>
        <v>Negative</v>
      </c>
      <c r="T123" s="1" t="str">
        <f>IFERROR(VLOOKUP(A123,[1]diabetes_Recognition!$A:$B,2,FALSE),"Not Sampled")</f>
        <v>Not Sampled</v>
      </c>
      <c r="U123" t="str">
        <f>IF(T123=1,"Positive",(IF(T123=0,"Negative","Not Sampled")))</f>
        <v>Not Sampled</v>
      </c>
      <c r="V123" s="1" t="str">
        <f>IF(U123="Not Sampled","Not Sampled",IF(S123=U123,"Accurate Prediction","Inaccurate Prediction"))</f>
        <v>Not Sampled</v>
      </c>
    </row>
    <row r="124" spans="1:22" x14ac:dyDescent="0.25">
      <c r="A124" s="1">
        <v>122</v>
      </c>
      <c r="B124" s="1">
        <v>2</v>
      </c>
      <c r="C124" s="1">
        <f>LOOKUP(B124,Sheet2!$D$4:$E$9)</f>
        <v>2</v>
      </c>
      <c r="D124" s="1">
        <v>107</v>
      </c>
      <c r="E124" t="str">
        <f>LOOKUP(D124,Sheet2!$G$4:$H$9)</f>
        <v>100-125</v>
      </c>
      <c r="F124" s="1">
        <v>74</v>
      </c>
      <c r="G124" t="str">
        <f>LOOKUP(F124,Sheet2!$J$4:$K$8)</f>
        <v>70-79</v>
      </c>
      <c r="H124" s="1">
        <v>30</v>
      </c>
      <c r="I124" t="str">
        <f>LOOKUP(H124,Sheet2!$M$4:$N$8)</f>
        <v>30-39</v>
      </c>
      <c r="J124" s="1">
        <v>100</v>
      </c>
      <c r="K124" t="str">
        <f>LOOKUP(J124,Sheet2!$P$4:$Q$9)</f>
        <v>100-199</v>
      </c>
      <c r="L124" s="1">
        <v>33.6</v>
      </c>
      <c r="M124" t="str">
        <f>LOOKUP(L124,Sheet2!$S$4:$T$8)</f>
        <v>31-35</v>
      </c>
      <c r="N124" s="1">
        <v>0.40400000000000003</v>
      </c>
      <c r="O124" t="str">
        <f>LOOKUP(N124,Sheet2!$V$4:$W$7)</f>
        <v>0.4 - 0.69</v>
      </c>
      <c r="P124" s="1">
        <v>23</v>
      </c>
      <c r="Q124" t="str">
        <f>LOOKUP(P124,Sheet2!$Z$4:$AA$7)</f>
        <v>&lt;=25</v>
      </c>
      <c r="R124" s="1">
        <v>0</v>
      </c>
      <c r="S124" t="str">
        <f>IF(R124=1,"Positive","Negative")</f>
        <v>Negative</v>
      </c>
      <c r="T124" s="1" t="str">
        <f>IFERROR(VLOOKUP(A124,[1]diabetes_Recognition!$A:$B,2,FALSE),"Not Sampled")</f>
        <v>Not Sampled</v>
      </c>
      <c r="U124" t="str">
        <f>IF(T124=1,"Positive",(IF(T124=0,"Negative","Not Sampled")))</f>
        <v>Not Sampled</v>
      </c>
      <c r="V124" s="1" t="str">
        <f>IF(U124="Not Sampled","Not Sampled",IF(S124=U124,"Accurate Prediction","Inaccurate Prediction"))</f>
        <v>Not Sampled</v>
      </c>
    </row>
    <row r="125" spans="1:22" x14ac:dyDescent="0.25">
      <c r="A125" s="1">
        <v>123</v>
      </c>
      <c r="B125" s="1">
        <v>5</v>
      </c>
      <c r="C125" s="1" t="str">
        <f>LOOKUP(B125,Sheet2!$D$4:$E$9)</f>
        <v>5-7</v>
      </c>
      <c r="D125" s="1">
        <v>132</v>
      </c>
      <c r="E125" t="str">
        <f>LOOKUP(D125,Sheet2!$G$4:$H$9)</f>
        <v>126-150</v>
      </c>
      <c r="F125" s="1">
        <v>80</v>
      </c>
      <c r="G125" t="str">
        <f>LOOKUP(F125,Sheet2!$J$4:$K$8)</f>
        <v>80+</v>
      </c>
      <c r="H125" s="1">
        <v>0</v>
      </c>
      <c r="I125" t="str">
        <f>LOOKUP(H125,Sheet2!$M$4:$N$8)</f>
        <v>Unknown</v>
      </c>
      <c r="J125" s="1">
        <v>0</v>
      </c>
      <c r="K125" t="str">
        <f>LOOKUP(J125,Sheet2!$P$4:$Q$9)</f>
        <v>Unknown</v>
      </c>
      <c r="L125" s="1">
        <v>26.8</v>
      </c>
      <c r="M125" t="str">
        <f>LOOKUP(L125,Sheet2!$S$4:$T$8)</f>
        <v>26-30</v>
      </c>
      <c r="N125" s="1">
        <v>0.186</v>
      </c>
      <c r="O125" t="str">
        <f>LOOKUP(N125,Sheet2!$V$4:$W$7)</f>
        <v>0.0 - 0.249</v>
      </c>
      <c r="P125" s="1">
        <v>69</v>
      </c>
      <c r="Q125" t="str">
        <f>LOOKUP(P125,Sheet2!$Z$4:$AA$7)</f>
        <v>46+</v>
      </c>
      <c r="R125" s="1">
        <v>0</v>
      </c>
      <c r="S125" t="str">
        <f>IF(R125=1,"Positive","Negative")</f>
        <v>Negative</v>
      </c>
      <c r="T125" s="1" t="str">
        <f>IFERROR(VLOOKUP(A125,[1]diabetes_Recognition!$A:$B,2,FALSE),"Not Sampled")</f>
        <v>Not Sampled</v>
      </c>
      <c r="U125" t="str">
        <f>IF(T125=1,"Positive",(IF(T125=0,"Negative","Not Sampled")))</f>
        <v>Not Sampled</v>
      </c>
      <c r="V125" s="1" t="str">
        <f>IF(U125="Not Sampled","Not Sampled",IF(S125=U125,"Accurate Prediction","Inaccurate Prediction"))</f>
        <v>Not Sampled</v>
      </c>
    </row>
    <row r="126" spans="1:22" x14ac:dyDescent="0.25">
      <c r="A126" s="1">
        <v>124</v>
      </c>
      <c r="B126" s="1">
        <v>0</v>
      </c>
      <c r="C126" s="1">
        <f>LOOKUP(B126,Sheet2!$D$4:$E$9)</f>
        <v>0</v>
      </c>
      <c r="D126" s="1">
        <v>113</v>
      </c>
      <c r="E126" t="str">
        <f>LOOKUP(D126,Sheet2!$G$4:$H$9)</f>
        <v>100-125</v>
      </c>
      <c r="F126" s="1">
        <v>76</v>
      </c>
      <c r="G126" t="str">
        <f>LOOKUP(F126,Sheet2!$J$4:$K$8)</f>
        <v>70-79</v>
      </c>
      <c r="H126" s="1">
        <v>0</v>
      </c>
      <c r="I126" t="str">
        <f>LOOKUP(H126,Sheet2!$M$4:$N$8)</f>
        <v>Unknown</v>
      </c>
      <c r="J126" s="1">
        <v>0</v>
      </c>
      <c r="K126" t="str">
        <f>LOOKUP(J126,Sheet2!$P$4:$Q$9)</f>
        <v>Unknown</v>
      </c>
      <c r="L126" s="1">
        <v>33.299999999999997</v>
      </c>
      <c r="M126" t="str">
        <f>LOOKUP(L126,Sheet2!$S$4:$T$8)</f>
        <v>31-35</v>
      </c>
      <c r="N126" s="1">
        <v>0.27800000000000002</v>
      </c>
      <c r="O126" t="str">
        <f>LOOKUP(N126,Sheet2!$V$4:$W$7)</f>
        <v>0.25 - 0.39</v>
      </c>
      <c r="P126" s="1">
        <v>23</v>
      </c>
      <c r="Q126" t="str">
        <f>LOOKUP(P126,Sheet2!$Z$4:$AA$7)</f>
        <v>&lt;=25</v>
      </c>
      <c r="R126" s="1">
        <v>1</v>
      </c>
      <c r="S126" t="str">
        <f>IF(R126=1,"Positive","Negative")</f>
        <v>Positive</v>
      </c>
      <c r="T126" s="1" t="str">
        <f>IFERROR(VLOOKUP(A126,[1]diabetes_Recognition!$A:$B,2,FALSE),"Not Sampled")</f>
        <v>Not Sampled</v>
      </c>
      <c r="U126" t="str">
        <f>IF(T126=1,"Positive",(IF(T126=0,"Negative","Not Sampled")))</f>
        <v>Not Sampled</v>
      </c>
      <c r="V126" s="1" t="str">
        <f>IF(U126="Not Sampled","Not Sampled",IF(S126=U126,"Accurate Prediction","Inaccurate Prediction"))</f>
        <v>Not Sampled</v>
      </c>
    </row>
    <row r="127" spans="1:22" x14ac:dyDescent="0.25">
      <c r="A127" s="1">
        <v>125</v>
      </c>
      <c r="B127" s="1">
        <v>1</v>
      </c>
      <c r="C127" s="1">
        <f>LOOKUP(B127,Sheet2!$D$4:$E$9)</f>
        <v>1</v>
      </c>
      <c r="D127" s="1">
        <v>88</v>
      </c>
      <c r="E127" t="str">
        <f>LOOKUP(D127,Sheet2!$G$4:$H$9)</f>
        <v>1-99</v>
      </c>
      <c r="F127" s="1">
        <v>30</v>
      </c>
      <c r="G127" t="str">
        <f>LOOKUP(F127,Sheet2!$J$4:$K$8)</f>
        <v>1-59</v>
      </c>
      <c r="H127" s="1">
        <v>42</v>
      </c>
      <c r="I127" t="str">
        <f>LOOKUP(H127,Sheet2!$M$4:$N$8)</f>
        <v>40+</v>
      </c>
      <c r="J127" s="1">
        <v>99</v>
      </c>
      <c r="K127" t="str">
        <f>LOOKUP(J127,Sheet2!$P$4:$Q$9)</f>
        <v>1-99</v>
      </c>
      <c r="L127" s="1">
        <v>55</v>
      </c>
      <c r="M127" t="str">
        <f>LOOKUP(L127,Sheet2!$S$4:$T$8)</f>
        <v>36+</v>
      </c>
      <c r="N127" s="1">
        <v>0.496</v>
      </c>
      <c r="O127" t="str">
        <f>LOOKUP(N127,Sheet2!$V$4:$W$7)</f>
        <v>0.4 - 0.69</v>
      </c>
      <c r="P127" s="1">
        <v>26</v>
      </c>
      <c r="Q127" t="str">
        <f>LOOKUP(P127,Sheet2!$Z$4:$AA$7)</f>
        <v>26-35</v>
      </c>
      <c r="R127" s="1">
        <v>1</v>
      </c>
      <c r="S127" t="str">
        <f>IF(R127=1,"Positive","Negative")</f>
        <v>Positive</v>
      </c>
      <c r="T127" s="1" t="str">
        <f>IFERROR(VLOOKUP(A127,[1]diabetes_Recognition!$A:$B,2,FALSE),"Not Sampled")</f>
        <v>Not Sampled</v>
      </c>
      <c r="U127" t="str">
        <f>IF(T127=1,"Positive",(IF(T127=0,"Negative","Not Sampled")))</f>
        <v>Not Sampled</v>
      </c>
      <c r="V127" s="1" t="str">
        <f>IF(U127="Not Sampled","Not Sampled",IF(S127=U127,"Accurate Prediction","Inaccurate Prediction"))</f>
        <v>Not Sampled</v>
      </c>
    </row>
    <row r="128" spans="1:22" x14ac:dyDescent="0.25">
      <c r="A128" s="1">
        <v>126</v>
      </c>
      <c r="B128" s="1">
        <v>3</v>
      </c>
      <c r="C128" s="1" t="str">
        <f>LOOKUP(B128,Sheet2!$D$4:$E$9)</f>
        <v>3-4</v>
      </c>
      <c r="D128" s="1">
        <v>120</v>
      </c>
      <c r="E128" t="str">
        <f>LOOKUP(D128,Sheet2!$G$4:$H$9)</f>
        <v>100-125</v>
      </c>
      <c r="F128" s="1">
        <v>70</v>
      </c>
      <c r="G128" t="str">
        <f>LOOKUP(F128,Sheet2!$J$4:$K$8)</f>
        <v>70-79</v>
      </c>
      <c r="H128" s="1">
        <v>30</v>
      </c>
      <c r="I128" t="str">
        <f>LOOKUP(H128,Sheet2!$M$4:$N$8)</f>
        <v>30-39</v>
      </c>
      <c r="J128" s="1">
        <v>135</v>
      </c>
      <c r="K128" t="str">
        <f>LOOKUP(J128,Sheet2!$P$4:$Q$9)</f>
        <v>100-199</v>
      </c>
      <c r="L128" s="1">
        <v>42.9</v>
      </c>
      <c r="M128" t="str">
        <f>LOOKUP(L128,Sheet2!$S$4:$T$8)</f>
        <v>36+</v>
      </c>
      <c r="N128" s="1">
        <v>0.45200000000000001</v>
      </c>
      <c r="O128" t="str">
        <f>LOOKUP(N128,Sheet2!$V$4:$W$7)</f>
        <v>0.4 - 0.69</v>
      </c>
      <c r="P128" s="1">
        <v>30</v>
      </c>
      <c r="Q128" t="str">
        <f>LOOKUP(P128,Sheet2!$Z$4:$AA$7)</f>
        <v>26-35</v>
      </c>
      <c r="R128" s="1">
        <v>0</v>
      </c>
      <c r="S128" t="str">
        <f>IF(R128=1,"Positive","Negative")</f>
        <v>Negative</v>
      </c>
      <c r="T128" s="1">
        <f>IFERROR(VLOOKUP(A128,[1]diabetes_Recognition!$A:$B,2,FALSE),"Not Sampled")</f>
        <v>0</v>
      </c>
      <c r="U128" t="str">
        <f>IF(T128=1,"Positive",(IF(T128=0,"Negative","Not Sampled")))</f>
        <v>Negative</v>
      </c>
      <c r="V128" s="1" t="str">
        <f>IF(U128="Not Sampled","Not Sampled",IF(S128=U128,"Accurate Prediction","Inaccurate Prediction"))</f>
        <v>Accurate Prediction</v>
      </c>
    </row>
    <row r="129" spans="1:22" x14ac:dyDescent="0.25">
      <c r="A129" s="1">
        <v>127</v>
      </c>
      <c r="B129" s="1">
        <v>1</v>
      </c>
      <c r="C129" s="1">
        <f>LOOKUP(B129,Sheet2!$D$4:$E$9)</f>
        <v>1</v>
      </c>
      <c r="D129" s="1">
        <v>118</v>
      </c>
      <c r="E129" t="str">
        <f>LOOKUP(D129,Sheet2!$G$4:$H$9)</f>
        <v>100-125</v>
      </c>
      <c r="F129" s="1">
        <v>58</v>
      </c>
      <c r="G129" t="str">
        <f>LOOKUP(F129,Sheet2!$J$4:$K$8)</f>
        <v>1-59</v>
      </c>
      <c r="H129" s="1">
        <v>36</v>
      </c>
      <c r="I129" t="str">
        <f>LOOKUP(H129,Sheet2!$M$4:$N$8)</f>
        <v>30-39</v>
      </c>
      <c r="J129" s="1">
        <v>94</v>
      </c>
      <c r="K129" t="str">
        <f>LOOKUP(J129,Sheet2!$P$4:$Q$9)</f>
        <v>1-99</v>
      </c>
      <c r="L129" s="1">
        <v>33.299999999999997</v>
      </c>
      <c r="M129" t="str">
        <f>LOOKUP(L129,Sheet2!$S$4:$T$8)</f>
        <v>31-35</v>
      </c>
      <c r="N129" s="1">
        <v>0.26100000000000001</v>
      </c>
      <c r="O129" t="str">
        <f>LOOKUP(N129,Sheet2!$V$4:$W$7)</f>
        <v>0.25 - 0.39</v>
      </c>
      <c r="P129" s="1">
        <v>23</v>
      </c>
      <c r="Q129" t="str">
        <f>LOOKUP(P129,Sheet2!$Z$4:$AA$7)</f>
        <v>&lt;=25</v>
      </c>
      <c r="R129" s="1">
        <v>0</v>
      </c>
      <c r="S129" t="str">
        <f>IF(R129=1,"Positive","Negative")</f>
        <v>Negative</v>
      </c>
      <c r="T129" s="1" t="str">
        <f>IFERROR(VLOOKUP(A129,[1]diabetes_Recognition!$A:$B,2,FALSE),"Not Sampled")</f>
        <v>Not Sampled</v>
      </c>
      <c r="U129" t="str">
        <f>IF(T129=1,"Positive",(IF(T129=0,"Negative","Not Sampled")))</f>
        <v>Not Sampled</v>
      </c>
      <c r="V129" s="1" t="str">
        <f>IF(U129="Not Sampled","Not Sampled",IF(S129=U129,"Accurate Prediction","Inaccurate Prediction"))</f>
        <v>Not Sampled</v>
      </c>
    </row>
    <row r="130" spans="1:22" x14ac:dyDescent="0.25">
      <c r="A130" s="1">
        <v>128</v>
      </c>
      <c r="B130" s="1">
        <v>1</v>
      </c>
      <c r="C130" s="1">
        <f>LOOKUP(B130,Sheet2!$D$4:$E$9)</f>
        <v>1</v>
      </c>
      <c r="D130" s="1">
        <v>117</v>
      </c>
      <c r="E130" t="str">
        <f>LOOKUP(D130,Sheet2!$G$4:$H$9)</f>
        <v>100-125</v>
      </c>
      <c r="F130" s="1">
        <v>88</v>
      </c>
      <c r="G130" t="str">
        <f>LOOKUP(F130,Sheet2!$J$4:$K$8)</f>
        <v>80+</v>
      </c>
      <c r="H130" s="1">
        <v>24</v>
      </c>
      <c r="I130" t="str">
        <f>LOOKUP(H130,Sheet2!$M$4:$N$8)</f>
        <v>10-30</v>
      </c>
      <c r="J130" s="1">
        <v>145</v>
      </c>
      <c r="K130" t="str">
        <f>LOOKUP(J130,Sheet2!$P$4:$Q$9)</f>
        <v>100-199</v>
      </c>
      <c r="L130" s="1">
        <v>34.5</v>
      </c>
      <c r="M130" t="str">
        <f>LOOKUP(L130,Sheet2!$S$4:$T$8)</f>
        <v>31-35</v>
      </c>
      <c r="N130" s="1">
        <v>0.40300000000000002</v>
      </c>
      <c r="O130" t="str">
        <f>LOOKUP(N130,Sheet2!$V$4:$W$7)</f>
        <v>0.4 - 0.69</v>
      </c>
      <c r="P130" s="1">
        <v>40</v>
      </c>
      <c r="Q130" t="str">
        <f>LOOKUP(P130,Sheet2!$Z$4:$AA$7)</f>
        <v>36-45</v>
      </c>
      <c r="R130" s="1">
        <v>1</v>
      </c>
      <c r="S130" t="str">
        <f>IF(R130=1,"Positive","Negative")</f>
        <v>Positive</v>
      </c>
      <c r="T130" s="1" t="str">
        <f>IFERROR(VLOOKUP(A130,[1]diabetes_Recognition!$A:$B,2,FALSE),"Not Sampled")</f>
        <v>Not Sampled</v>
      </c>
      <c r="U130" t="str">
        <f>IF(T130=1,"Positive",(IF(T130=0,"Negative","Not Sampled")))</f>
        <v>Not Sampled</v>
      </c>
      <c r="V130" s="1" t="str">
        <f>IF(U130="Not Sampled","Not Sampled",IF(S130=U130,"Accurate Prediction","Inaccurate Prediction"))</f>
        <v>Not Sampled</v>
      </c>
    </row>
    <row r="131" spans="1:22" x14ac:dyDescent="0.25">
      <c r="A131" s="1">
        <v>129</v>
      </c>
      <c r="B131" s="1">
        <v>0</v>
      </c>
      <c r="C131" s="1">
        <f>LOOKUP(B131,Sheet2!$D$4:$E$9)</f>
        <v>0</v>
      </c>
      <c r="D131" s="1">
        <v>105</v>
      </c>
      <c r="E131" t="str">
        <f>LOOKUP(D131,Sheet2!$G$4:$H$9)</f>
        <v>100-125</v>
      </c>
      <c r="F131" s="1">
        <v>84</v>
      </c>
      <c r="G131" t="str">
        <f>LOOKUP(F131,Sheet2!$J$4:$K$8)</f>
        <v>80+</v>
      </c>
      <c r="H131" s="1">
        <v>0</v>
      </c>
      <c r="I131" t="str">
        <f>LOOKUP(H131,Sheet2!$M$4:$N$8)</f>
        <v>Unknown</v>
      </c>
      <c r="J131" s="1">
        <v>0</v>
      </c>
      <c r="K131" t="str">
        <f>LOOKUP(J131,Sheet2!$P$4:$Q$9)</f>
        <v>Unknown</v>
      </c>
      <c r="L131" s="1">
        <v>27.9</v>
      </c>
      <c r="M131" t="str">
        <f>LOOKUP(L131,Sheet2!$S$4:$T$8)</f>
        <v>26-30</v>
      </c>
      <c r="N131" s="1">
        <v>0.74099999999999999</v>
      </c>
      <c r="O131" t="str">
        <f>LOOKUP(N131,Sheet2!$V$4:$W$7)</f>
        <v>0.7+</v>
      </c>
      <c r="P131" s="1">
        <v>62</v>
      </c>
      <c r="Q131" t="str">
        <f>LOOKUP(P131,Sheet2!$Z$4:$AA$7)</f>
        <v>46+</v>
      </c>
      <c r="R131" s="1">
        <v>1</v>
      </c>
      <c r="S131" t="str">
        <f>IF(R131=1,"Positive","Negative")</f>
        <v>Positive</v>
      </c>
      <c r="T131" s="1" t="str">
        <f>IFERROR(VLOOKUP(A131,[1]diabetes_Recognition!$A:$B,2,FALSE),"Not Sampled")</f>
        <v>Not Sampled</v>
      </c>
      <c r="U131" t="str">
        <f>IF(T131=1,"Positive",(IF(T131=0,"Negative","Not Sampled")))</f>
        <v>Not Sampled</v>
      </c>
      <c r="V131" s="1" t="str">
        <f>IF(U131="Not Sampled","Not Sampled",IF(S131=U131,"Accurate Prediction","Inaccurate Prediction"))</f>
        <v>Not Sampled</v>
      </c>
    </row>
    <row r="132" spans="1:22" x14ac:dyDescent="0.25">
      <c r="A132" s="1">
        <v>130</v>
      </c>
      <c r="B132" s="1">
        <v>4</v>
      </c>
      <c r="C132" s="1" t="str">
        <f>LOOKUP(B132,Sheet2!$D$4:$E$9)</f>
        <v>3-4</v>
      </c>
      <c r="D132" s="1">
        <v>173</v>
      </c>
      <c r="E132" t="str">
        <f>LOOKUP(D132,Sheet2!$G$4:$H$9)</f>
        <v>151-175</v>
      </c>
      <c r="F132" s="1">
        <v>70</v>
      </c>
      <c r="G132" t="str">
        <f>LOOKUP(F132,Sheet2!$J$4:$K$8)</f>
        <v>70-79</v>
      </c>
      <c r="H132" s="1">
        <v>14</v>
      </c>
      <c r="I132" t="str">
        <f>LOOKUP(H132,Sheet2!$M$4:$N$8)</f>
        <v>10-30</v>
      </c>
      <c r="J132" s="1">
        <v>168</v>
      </c>
      <c r="K132" t="str">
        <f>LOOKUP(J132,Sheet2!$P$4:$Q$9)</f>
        <v>100-199</v>
      </c>
      <c r="L132" s="1">
        <v>29.7</v>
      </c>
      <c r="M132" t="str">
        <f>LOOKUP(L132,Sheet2!$S$4:$T$8)</f>
        <v>26-30</v>
      </c>
      <c r="N132" s="1">
        <v>0.36099999999999999</v>
      </c>
      <c r="O132" t="str">
        <f>LOOKUP(N132,Sheet2!$V$4:$W$7)</f>
        <v>0.25 - 0.39</v>
      </c>
      <c r="P132" s="1">
        <v>33</v>
      </c>
      <c r="Q132" t="str">
        <f>LOOKUP(P132,Sheet2!$Z$4:$AA$7)</f>
        <v>26-35</v>
      </c>
      <c r="R132" s="1">
        <v>1</v>
      </c>
      <c r="S132" t="str">
        <f>IF(R132=1,"Positive","Negative")</f>
        <v>Positive</v>
      </c>
      <c r="T132" s="1" t="str">
        <f>IFERROR(VLOOKUP(A132,[1]diabetes_Recognition!$A:$B,2,FALSE),"Not Sampled")</f>
        <v>Not Sampled</v>
      </c>
      <c r="U132" t="str">
        <f>IF(T132=1,"Positive",(IF(T132=0,"Negative","Not Sampled")))</f>
        <v>Not Sampled</v>
      </c>
      <c r="V132" s="1" t="str">
        <f>IF(U132="Not Sampled","Not Sampled",IF(S132=U132,"Accurate Prediction","Inaccurate Prediction"))</f>
        <v>Not Sampled</v>
      </c>
    </row>
    <row r="133" spans="1:22" x14ac:dyDescent="0.25">
      <c r="A133" s="1">
        <v>131</v>
      </c>
      <c r="B133" s="1">
        <v>9</v>
      </c>
      <c r="C133" s="1" t="str">
        <f>LOOKUP(B133,Sheet2!$D$4:$E$9)</f>
        <v>8+</v>
      </c>
      <c r="D133" s="1">
        <v>122</v>
      </c>
      <c r="E133" t="str">
        <f>LOOKUP(D133,Sheet2!$G$4:$H$9)</f>
        <v>100-125</v>
      </c>
      <c r="F133" s="1">
        <v>56</v>
      </c>
      <c r="G133" t="str">
        <f>LOOKUP(F133,Sheet2!$J$4:$K$8)</f>
        <v>1-59</v>
      </c>
      <c r="H133" s="1">
        <v>0</v>
      </c>
      <c r="I133" t="str">
        <f>LOOKUP(H133,Sheet2!$M$4:$N$8)</f>
        <v>Unknown</v>
      </c>
      <c r="J133" s="1">
        <v>0</v>
      </c>
      <c r="K133" t="str">
        <f>LOOKUP(J133,Sheet2!$P$4:$Q$9)</f>
        <v>Unknown</v>
      </c>
      <c r="L133" s="1">
        <v>33.299999999999997</v>
      </c>
      <c r="M133" t="str">
        <f>LOOKUP(L133,Sheet2!$S$4:$T$8)</f>
        <v>31-35</v>
      </c>
      <c r="N133" s="1">
        <v>1.1140000000000001</v>
      </c>
      <c r="O133" t="str">
        <f>LOOKUP(N133,Sheet2!$V$4:$W$7)</f>
        <v>0.7+</v>
      </c>
      <c r="P133" s="1">
        <v>33</v>
      </c>
      <c r="Q133" t="str">
        <f>LOOKUP(P133,Sheet2!$Z$4:$AA$7)</f>
        <v>26-35</v>
      </c>
      <c r="R133" s="1">
        <v>1</v>
      </c>
      <c r="S133" t="str">
        <f>IF(R133=1,"Positive","Negative")</f>
        <v>Positive</v>
      </c>
      <c r="T133" s="1" t="str">
        <f>IFERROR(VLOOKUP(A133,[1]diabetes_Recognition!$A:$B,2,FALSE),"Not Sampled")</f>
        <v>Not Sampled</v>
      </c>
      <c r="U133" t="str">
        <f>IF(T133=1,"Positive",(IF(T133=0,"Negative","Not Sampled")))</f>
        <v>Not Sampled</v>
      </c>
      <c r="V133" s="1" t="str">
        <f>IF(U133="Not Sampled","Not Sampled",IF(S133=U133,"Accurate Prediction","Inaccurate Prediction"))</f>
        <v>Not Sampled</v>
      </c>
    </row>
    <row r="134" spans="1:22" x14ac:dyDescent="0.25">
      <c r="A134" s="1">
        <v>132</v>
      </c>
      <c r="B134" s="1">
        <v>3</v>
      </c>
      <c r="C134" s="1" t="str">
        <f>LOOKUP(B134,Sheet2!$D$4:$E$9)</f>
        <v>3-4</v>
      </c>
      <c r="D134" s="1">
        <v>170</v>
      </c>
      <c r="E134" t="str">
        <f>LOOKUP(D134,Sheet2!$G$4:$H$9)</f>
        <v>151-175</v>
      </c>
      <c r="F134" s="1">
        <v>64</v>
      </c>
      <c r="G134" t="str">
        <f>LOOKUP(F134,Sheet2!$J$4:$K$8)</f>
        <v>60-69</v>
      </c>
      <c r="H134" s="1">
        <v>37</v>
      </c>
      <c r="I134" t="str">
        <f>LOOKUP(H134,Sheet2!$M$4:$N$8)</f>
        <v>30-39</v>
      </c>
      <c r="J134" s="1">
        <v>225</v>
      </c>
      <c r="K134" t="str">
        <f>LOOKUP(J134,Sheet2!$P$4:$Q$9)</f>
        <v>200-399</v>
      </c>
      <c r="L134" s="1">
        <v>34.5</v>
      </c>
      <c r="M134" t="str">
        <f>LOOKUP(L134,Sheet2!$S$4:$T$8)</f>
        <v>31-35</v>
      </c>
      <c r="N134" s="1">
        <v>0.35599999999999998</v>
      </c>
      <c r="O134" t="str">
        <f>LOOKUP(N134,Sheet2!$V$4:$W$7)</f>
        <v>0.25 - 0.39</v>
      </c>
      <c r="P134" s="1">
        <v>30</v>
      </c>
      <c r="Q134" t="str">
        <f>LOOKUP(P134,Sheet2!$Z$4:$AA$7)</f>
        <v>26-35</v>
      </c>
      <c r="R134" s="1">
        <v>1</v>
      </c>
      <c r="S134" t="str">
        <f>IF(R134=1,"Positive","Negative")</f>
        <v>Positive</v>
      </c>
      <c r="T134" s="1" t="str">
        <f>IFERROR(VLOOKUP(A134,[1]diabetes_Recognition!$A:$B,2,FALSE),"Not Sampled")</f>
        <v>Not Sampled</v>
      </c>
      <c r="U134" t="str">
        <f>IF(T134=1,"Positive",(IF(T134=0,"Negative","Not Sampled")))</f>
        <v>Not Sampled</v>
      </c>
      <c r="V134" s="1" t="str">
        <f>IF(U134="Not Sampled","Not Sampled",IF(S134=U134,"Accurate Prediction","Inaccurate Prediction"))</f>
        <v>Not Sampled</v>
      </c>
    </row>
    <row r="135" spans="1:22" x14ac:dyDescent="0.25">
      <c r="A135" s="1">
        <v>133</v>
      </c>
      <c r="B135" s="1">
        <v>8</v>
      </c>
      <c r="C135" s="1" t="str">
        <f>LOOKUP(B135,Sheet2!$D$4:$E$9)</f>
        <v>8+</v>
      </c>
      <c r="D135" s="1">
        <v>84</v>
      </c>
      <c r="E135" t="str">
        <f>LOOKUP(D135,Sheet2!$G$4:$H$9)</f>
        <v>1-99</v>
      </c>
      <c r="F135" s="1">
        <v>74</v>
      </c>
      <c r="G135" t="str">
        <f>LOOKUP(F135,Sheet2!$J$4:$K$8)</f>
        <v>70-79</v>
      </c>
      <c r="H135" s="1">
        <v>31</v>
      </c>
      <c r="I135" t="str">
        <f>LOOKUP(H135,Sheet2!$M$4:$N$8)</f>
        <v>30-39</v>
      </c>
      <c r="J135" s="1">
        <v>0</v>
      </c>
      <c r="K135" t="str">
        <f>LOOKUP(J135,Sheet2!$P$4:$Q$9)</f>
        <v>Unknown</v>
      </c>
      <c r="L135" s="1">
        <v>38.299999999999997</v>
      </c>
      <c r="M135" t="str">
        <f>LOOKUP(L135,Sheet2!$S$4:$T$8)</f>
        <v>36+</v>
      </c>
      <c r="N135" s="1">
        <v>0.45700000000000002</v>
      </c>
      <c r="O135" t="str">
        <f>LOOKUP(N135,Sheet2!$V$4:$W$7)</f>
        <v>0.4 - 0.69</v>
      </c>
      <c r="P135" s="1">
        <v>39</v>
      </c>
      <c r="Q135" t="str">
        <f>LOOKUP(P135,Sheet2!$Z$4:$AA$7)</f>
        <v>36-45</v>
      </c>
      <c r="R135" s="1">
        <v>0</v>
      </c>
      <c r="S135" t="str">
        <f>IF(R135=1,"Positive","Negative")</f>
        <v>Negative</v>
      </c>
      <c r="T135" s="1">
        <f>IFERROR(VLOOKUP(A135,[1]diabetes_Recognition!$A:$B,2,FALSE),"Not Sampled")</f>
        <v>0</v>
      </c>
      <c r="U135" t="str">
        <f>IF(T135=1,"Positive",(IF(T135=0,"Negative","Not Sampled")))</f>
        <v>Negative</v>
      </c>
      <c r="V135" s="1" t="str">
        <f>IF(U135="Not Sampled","Not Sampled",IF(S135=U135,"Accurate Prediction","Inaccurate Prediction"))</f>
        <v>Accurate Prediction</v>
      </c>
    </row>
    <row r="136" spans="1:22" x14ac:dyDescent="0.25">
      <c r="A136" s="1">
        <v>134</v>
      </c>
      <c r="B136" s="1">
        <v>2</v>
      </c>
      <c r="C136" s="1">
        <f>LOOKUP(B136,Sheet2!$D$4:$E$9)</f>
        <v>2</v>
      </c>
      <c r="D136" s="1">
        <v>96</v>
      </c>
      <c r="E136" t="str">
        <f>LOOKUP(D136,Sheet2!$G$4:$H$9)</f>
        <v>1-99</v>
      </c>
      <c r="F136" s="1">
        <v>68</v>
      </c>
      <c r="G136" t="str">
        <f>LOOKUP(F136,Sheet2!$J$4:$K$8)</f>
        <v>60-69</v>
      </c>
      <c r="H136" s="1">
        <v>13</v>
      </c>
      <c r="I136" t="str">
        <f>LOOKUP(H136,Sheet2!$M$4:$N$8)</f>
        <v>10-30</v>
      </c>
      <c r="J136" s="1">
        <v>49</v>
      </c>
      <c r="K136" t="str">
        <f>LOOKUP(J136,Sheet2!$P$4:$Q$9)</f>
        <v>1-99</v>
      </c>
      <c r="L136" s="1">
        <v>21.1</v>
      </c>
      <c r="M136" t="str">
        <f>LOOKUP(L136,Sheet2!$S$4:$T$8)</f>
        <v>1-25</v>
      </c>
      <c r="N136" s="1">
        <v>0.64700000000000002</v>
      </c>
      <c r="O136" t="str">
        <f>LOOKUP(N136,Sheet2!$V$4:$W$7)</f>
        <v>0.4 - 0.69</v>
      </c>
      <c r="P136" s="1">
        <v>26</v>
      </c>
      <c r="Q136" t="str">
        <f>LOOKUP(P136,Sheet2!$Z$4:$AA$7)</f>
        <v>26-35</v>
      </c>
      <c r="R136" s="1">
        <v>0</v>
      </c>
      <c r="S136" t="str">
        <f>IF(R136=1,"Positive","Negative")</f>
        <v>Negative</v>
      </c>
      <c r="T136" s="1" t="str">
        <f>IFERROR(VLOOKUP(A136,[1]diabetes_Recognition!$A:$B,2,FALSE),"Not Sampled")</f>
        <v>Not Sampled</v>
      </c>
      <c r="U136" t="str">
        <f>IF(T136=1,"Positive",(IF(T136=0,"Negative","Not Sampled")))</f>
        <v>Not Sampled</v>
      </c>
      <c r="V136" s="1" t="str">
        <f>IF(U136="Not Sampled","Not Sampled",IF(S136=U136,"Accurate Prediction","Inaccurate Prediction"))</f>
        <v>Not Sampled</v>
      </c>
    </row>
    <row r="137" spans="1:22" x14ac:dyDescent="0.25">
      <c r="A137" s="1">
        <v>135</v>
      </c>
      <c r="B137" s="1">
        <v>2</v>
      </c>
      <c r="C137" s="1">
        <f>LOOKUP(B137,Sheet2!$D$4:$E$9)</f>
        <v>2</v>
      </c>
      <c r="D137" s="1">
        <v>125</v>
      </c>
      <c r="E137" t="str">
        <f>LOOKUP(D137,Sheet2!$G$4:$H$9)</f>
        <v>100-125</v>
      </c>
      <c r="F137" s="1">
        <v>60</v>
      </c>
      <c r="G137" t="str">
        <f>LOOKUP(F137,Sheet2!$J$4:$K$8)</f>
        <v>60-69</v>
      </c>
      <c r="H137" s="1">
        <v>20</v>
      </c>
      <c r="I137" t="str">
        <f>LOOKUP(H137,Sheet2!$M$4:$N$8)</f>
        <v>10-30</v>
      </c>
      <c r="J137" s="1">
        <v>140</v>
      </c>
      <c r="K137" t="str">
        <f>LOOKUP(J137,Sheet2!$P$4:$Q$9)</f>
        <v>100-199</v>
      </c>
      <c r="L137" s="1">
        <v>33.799999999999997</v>
      </c>
      <c r="M137" t="str">
        <f>LOOKUP(L137,Sheet2!$S$4:$T$8)</f>
        <v>31-35</v>
      </c>
      <c r="N137" s="1">
        <v>8.7999999999999995E-2</v>
      </c>
      <c r="O137" t="str">
        <f>LOOKUP(N137,Sheet2!$V$4:$W$7)</f>
        <v>0.0 - 0.249</v>
      </c>
      <c r="P137" s="1">
        <v>31</v>
      </c>
      <c r="Q137" t="str">
        <f>LOOKUP(P137,Sheet2!$Z$4:$AA$7)</f>
        <v>26-35</v>
      </c>
      <c r="R137" s="1">
        <v>0</v>
      </c>
      <c r="S137" t="str">
        <f>IF(R137=1,"Positive","Negative")</f>
        <v>Negative</v>
      </c>
      <c r="T137" s="1" t="str">
        <f>IFERROR(VLOOKUP(A137,[1]diabetes_Recognition!$A:$B,2,FALSE),"Not Sampled")</f>
        <v>Not Sampled</v>
      </c>
      <c r="U137" t="str">
        <f>IF(T137=1,"Positive",(IF(T137=0,"Negative","Not Sampled")))</f>
        <v>Not Sampled</v>
      </c>
      <c r="V137" s="1" t="str">
        <f>IF(U137="Not Sampled","Not Sampled",IF(S137=U137,"Accurate Prediction","Inaccurate Prediction"))</f>
        <v>Not Sampled</v>
      </c>
    </row>
    <row r="138" spans="1:22" x14ac:dyDescent="0.25">
      <c r="A138" s="1">
        <v>136</v>
      </c>
      <c r="B138" s="1">
        <v>0</v>
      </c>
      <c r="C138" s="1">
        <f>LOOKUP(B138,Sheet2!$D$4:$E$9)</f>
        <v>0</v>
      </c>
      <c r="D138" s="1">
        <v>100</v>
      </c>
      <c r="E138" t="str">
        <f>LOOKUP(D138,Sheet2!$G$4:$H$9)</f>
        <v>100-125</v>
      </c>
      <c r="F138" s="1">
        <v>70</v>
      </c>
      <c r="G138" t="str">
        <f>LOOKUP(F138,Sheet2!$J$4:$K$8)</f>
        <v>70-79</v>
      </c>
      <c r="H138" s="1">
        <v>26</v>
      </c>
      <c r="I138" t="str">
        <f>LOOKUP(H138,Sheet2!$M$4:$N$8)</f>
        <v>10-30</v>
      </c>
      <c r="J138" s="1">
        <v>50</v>
      </c>
      <c r="K138" t="str">
        <f>LOOKUP(J138,Sheet2!$P$4:$Q$9)</f>
        <v>1-99</v>
      </c>
      <c r="L138" s="1">
        <v>30.8</v>
      </c>
      <c r="M138" t="str">
        <f>LOOKUP(L138,Sheet2!$S$4:$T$8)</f>
        <v>26-30</v>
      </c>
      <c r="N138" s="1">
        <v>0.59699999999999998</v>
      </c>
      <c r="O138" t="str">
        <f>LOOKUP(N138,Sheet2!$V$4:$W$7)</f>
        <v>0.4 - 0.69</v>
      </c>
      <c r="P138" s="1">
        <v>21</v>
      </c>
      <c r="Q138" t="str">
        <f>LOOKUP(P138,Sheet2!$Z$4:$AA$7)</f>
        <v>&lt;=25</v>
      </c>
      <c r="R138" s="1">
        <v>0</v>
      </c>
      <c r="S138" t="str">
        <f>IF(R138=1,"Positive","Negative")</f>
        <v>Negative</v>
      </c>
      <c r="T138" s="1" t="str">
        <f>IFERROR(VLOOKUP(A138,[1]diabetes_Recognition!$A:$B,2,FALSE),"Not Sampled")</f>
        <v>Not Sampled</v>
      </c>
      <c r="U138" t="str">
        <f>IF(T138=1,"Positive",(IF(T138=0,"Negative","Not Sampled")))</f>
        <v>Not Sampled</v>
      </c>
      <c r="V138" s="1" t="str">
        <f>IF(U138="Not Sampled","Not Sampled",IF(S138=U138,"Accurate Prediction","Inaccurate Prediction"))</f>
        <v>Not Sampled</v>
      </c>
    </row>
    <row r="139" spans="1:22" x14ac:dyDescent="0.25">
      <c r="A139" s="1">
        <v>137</v>
      </c>
      <c r="B139" s="1">
        <v>0</v>
      </c>
      <c r="C139" s="1">
        <f>LOOKUP(B139,Sheet2!$D$4:$E$9)</f>
        <v>0</v>
      </c>
      <c r="D139" s="1">
        <v>93</v>
      </c>
      <c r="E139" t="str">
        <f>LOOKUP(D139,Sheet2!$G$4:$H$9)</f>
        <v>1-99</v>
      </c>
      <c r="F139" s="1">
        <v>60</v>
      </c>
      <c r="G139" t="str">
        <f>LOOKUP(F139,Sheet2!$J$4:$K$8)</f>
        <v>60-69</v>
      </c>
      <c r="H139" s="1">
        <v>25</v>
      </c>
      <c r="I139" t="str">
        <f>LOOKUP(H139,Sheet2!$M$4:$N$8)</f>
        <v>10-30</v>
      </c>
      <c r="J139" s="1">
        <v>92</v>
      </c>
      <c r="K139" t="str">
        <f>LOOKUP(J139,Sheet2!$P$4:$Q$9)</f>
        <v>1-99</v>
      </c>
      <c r="L139" s="1">
        <v>28.7</v>
      </c>
      <c r="M139" t="str">
        <f>LOOKUP(L139,Sheet2!$S$4:$T$8)</f>
        <v>26-30</v>
      </c>
      <c r="N139" s="1">
        <v>0.53200000000000003</v>
      </c>
      <c r="O139" t="str">
        <f>LOOKUP(N139,Sheet2!$V$4:$W$7)</f>
        <v>0.4 - 0.69</v>
      </c>
      <c r="P139" s="1">
        <v>22</v>
      </c>
      <c r="Q139" t="str">
        <f>LOOKUP(P139,Sheet2!$Z$4:$AA$7)</f>
        <v>&lt;=25</v>
      </c>
      <c r="R139" s="1">
        <v>0</v>
      </c>
      <c r="S139" t="str">
        <f>IF(R139=1,"Positive","Negative")</f>
        <v>Negative</v>
      </c>
      <c r="T139" s="1">
        <f>IFERROR(VLOOKUP(A139,[1]diabetes_Recognition!$A:$B,2,FALSE),"Not Sampled")</f>
        <v>0</v>
      </c>
      <c r="U139" t="str">
        <f>IF(T139=1,"Positive",(IF(T139=0,"Negative","Not Sampled")))</f>
        <v>Negative</v>
      </c>
      <c r="V139" s="1" t="str">
        <f>IF(U139="Not Sampled","Not Sampled",IF(S139=U139,"Accurate Prediction","Inaccurate Prediction"))</f>
        <v>Accurate Prediction</v>
      </c>
    </row>
    <row r="140" spans="1:22" x14ac:dyDescent="0.25">
      <c r="A140" s="1">
        <v>138</v>
      </c>
      <c r="B140" s="1">
        <v>0</v>
      </c>
      <c r="C140" s="1">
        <f>LOOKUP(B140,Sheet2!$D$4:$E$9)</f>
        <v>0</v>
      </c>
      <c r="D140" s="1">
        <v>129</v>
      </c>
      <c r="E140" t="str">
        <f>LOOKUP(D140,Sheet2!$G$4:$H$9)</f>
        <v>126-150</v>
      </c>
      <c r="F140" s="1">
        <v>80</v>
      </c>
      <c r="G140" t="str">
        <f>LOOKUP(F140,Sheet2!$J$4:$K$8)</f>
        <v>80+</v>
      </c>
      <c r="H140" s="1">
        <v>0</v>
      </c>
      <c r="I140" t="str">
        <f>LOOKUP(H140,Sheet2!$M$4:$N$8)</f>
        <v>Unknown</v>
      </c>
      <c r="J140" s="1">
        <v>0</v>
      </c>
      <c r="K140" t="str">
        <f>LOOKUP(J140,Sheet2!$P$4:$Q$9)</f>
        <v>Unknown</v>
      </c>
      <c r="L140" s="1">
        <v>31.2</v>
      </c>
      <c r="M140" t="str">
        <f>LOOKUP(L140,Sheet2!$S$4:$T$8)</f>
        <v>31-35</v>
      </c>
      <c r="N140" s="1">
        <v>0.70299999999999996</v>
      </c>
      <c r="O140" t="str">
        <f>LOOKUP(N140,Sheet2!$V$4:$W$7)</f>
        <v>0.7+</v>
      </c>
      <c r="P140" s="1">
        <v>29</v>
      </c>
      <c r="Q140" t="str">
        <f>LOOKUP(P140,Sheet2!$Z$4:$AA$7)</f>
        <v>26-35</v>
      </c>
      <c r="R140" s="1">
        <v>0</v>
      </c>
      <c r="S140" t="str">
        <f>IF(R140=1,"Positive","Negative")</f>
        <v>Negative</v>
      </c>
      <c r="T140" s="1" t="str">
        <f>IFERROR(VLOOKUP(A140,[1]diabetes_Recognition!$A:$B,2,FALSE),"Not Sampled")</f>
        <v>Not Sampled</v>
      </c>
      <c r="U140" t="str">
        <f>IF(T140=1,"Positive",(IF(T140=0,"Negative","Not Sampled")))</f>
        <v>Not Sampled</v>
      </c>
      <c r="V140" s="1" t="str">
        <f>IF(U140="Not Sampled","Not Sampled",IF(S140=U140,"Accurate Prediction","Inaccurate Prediction"))</f>
        <v>Not Sampled</v>
      </c>
    </row>
    <row r="141" spans="1:22" x14ac:dyDescent="0.25">
      <c r="A141" s="1">
        <v>139</v>
      </c>
      <c r="B141" s="1">
        <v>5</v>
      </c>
      <c r="C141" s="1" t="str">
        <f>LOOKUP(B141,Sheet2!$D$4:$E$9)</f>
        <v>5-7</v>
      </c>
      <c r="D141" s="1">
        <v>105</v>
      </c>
      <c r="E141" t="str">
        <f>LOOKUP(D141,Sheet2!$G$4:$H$9)</f>
        <v>100-125</v>
      </c>
      <c r="F141" s="1">
        <v>72</v>
      </c>
      <c r="G141" t="str">
        <f>LOOKUP(F141,Sheet2!$J$4:$K$8)</f>
        <v>70-79</v>
      </c>
      <c r="H141" s="1">
        <v>29</v>
      </c>
      <c r="I141" t="str">
        <f>LOOKUP(H141,Sheet2!$M$4:$N$8)</f>
        <v>10-30</v>
      </c>
      <c r="J141" s="1">
        <v>325</v>
      </c>
      <c r="K141" t="str">
        <f>LOOKUP(J141,Sheet2!$P$4:$Q$9)</f>
        <v>300-499</v>
      </c>
      <c r="L141" s="1">
        <v>36.9</v>
      </c>
      <c r="M141" t="str">
        <f>LOOKUP(L141,Sheet2!$S$4:$T$8)</f>
        <v>36+</v>
      </c>
      <c r="N141" s="1">
        <v>0.159</v>
      </c>
      <c r="O141" t="str">
        <f>LOOKUP(N141,Sheet2!$V$4:$W$7)</f>
        <v>0.0 - 0.249</v>
      </c>
      <c r="P141" s="1">
        <v>28</v>
      </c>
      <c r="Q141" t="str">
        <f>LOOKUP(P141,Sheet2!$Z$4:$AA$7)</f>
        <v>26-35</v>
      </c>
      <c r="R141" s="1">
        <v>0</v>
      </c>
      <c r="S141" t="str">
        <f>IF(R141=1,"Positive","Negative")</f>
        <v>Negative</v>
      </c>
      <c r="T141" s="1" t="str">
        <f>IFERROR(VLOOKUP(A141,[1]diabetes_Recognition!$A:$B,2,FALSE),"Not Sampled")</f>
        <v>Not Sampled</v>
      </c>
      <c r="U141" t="str">
        <f>IF(T141=1,"Positive",(IF(T141=0,"Negative","Not Sampled")))</f>
        <v>Not Sampled</v>
      </c>
      <c r="V141" s="1" t="str">
        <f>IF(U141="Not Sampled","Not Sampled",IF(S141=U141,"Accurate Prediction","Inaccurate Prediction"))</f>
        <v>Not Sampled</v>
      </c>
    </row>
    <row r="142" spans="1:22" x14ac:dyDescent="0.25">
      <c r="A142" s="1">
        <v>140</v>
      </c>
      <c r="B142" s="1">
        <v>3</v>
      </c>
      <c r="C142" s="1" t="str">
        <f>LOOKUP(B142,Sheet2!$D$4:$E$9)</f>
        <v>3-4</v>
      </c>
      <c r="D142" s="1">
        <v>128</v>
      </c>
      <c r="E142" t="str">
        <f>LOOKUP(D142,Sheet2!$G$4:$H$9)</f>
        <v>126-150</v>
      </c>
      <c r="F142" s="1">
        <v>78</v>
      </c>
      <c r="G142" t="str">
        <f>LOOKUP(F142,Sheet2!$J$4:$K$8)</f>
        <v>70-79</v>
      </c>
      <c r="H142" s="1">
        <v>0</v>
      </c>
      <c r="I142" t="str">
        <f>LOOKUP(H142,Sheet2!$M$4:$N$8)</f>
        <v>Unknown</v>
      </c>
      <c r="J142" s="1">
        <v>0</v>
      </c>
      <c r="K142" t="str">
        <f>LOOKUP(J142,Sheet2!$P$4:$Q$9)</f>
        <v>Unknown</v>
      </c>
      <c r="L142" s="1">
        <v>21.1</v>
      </c>
      <c r="M142" t="str">
        <f>LOOKUP(L142,Sheet2!$S$4:$T$8)</f>
        <v>1-25</v>
      </c>
      <c r="N142" s="1">
        <v>0.26800000000000002</v>
      </c>
      <c r="O142" t="str">
        <f>LOOKUP(N142,Sheet2!$V$4:$W$7)</f>
        <v>0.25 - 0.39</v>
      </c>
      <c r="P142" s="1">
        <v>55</v>
      </c>
      <c r="Q142" t="str">
        <f>LOOKUP(P142,Sheet2!$Z$4:$AA$7)</f>
        <v>46+</v>
      </c>
      <c r="R142" s="1">
        <v>0</v>
      </c>
      <c r="S142" t="str">
        <f>IF(R142=1,"Positive","Negative")</f>
        <v>Negative</v>
      </c>
      <c r="T142" s="1">
        <f>IFERROR(VLOOKUP(A142,[1]diabetes_Recognition!$A:$B,2,FALSE),"Not Sampled")</f>
        <v>0</v>
      </c>
      <c r="U142" t="str">
        <f>IF(T142=1,"Positive",(IF(T142=0,"Negative","Not Sampled")))</f>
        <v>Negative</v>
      </c>
      <c r="V142" s="1" t="str">
        <f>IF(U142="Not Sampled","Not Sampled",IF(S142=U142,"Accurate Prediction","Inaccurate Prediction"))</f>
        <v>Accurate Prediction</v>
      </c>
    </row>
    <row r="143" spans="1:22" x14ac:dyDescent="0.25">
      <c r="A143" s="1">
        <v>141</v>
      </c>
      <c r="B143" s="1">
        <v>5</v>
      </c>
      <c r="C143" s="1" t="str">
        <f>LOOKUP(B143,Sheet2!$D$4:$E$9)</f>
        <v>5-7</v>
      </c>
      <c r="D143" s="1">
        <v>106</v>
      </c>
      <c r="E143" t="str">
        <f>LOOKUP(D143,Sheet2!$G$4:$H$9)</f>
        <v>100-125</v>
      </c>
      <c r="F143" s="1">
        <v>82</v>
      </c>
      <c r="G143" t="str">
        <f>LOOKUP(F143,Sheet2!$J$4:$K$8)</f>
        <v>80+</v>
      </c>
      <c r="H143" s="1">
        <v>30</v>
      </c>
      <c r="I143" t="str">
        <f>LOOKUP(H143,Sheet2!$M$4:$N$8)</f>
        <v>30-39</v>
      </c>
      <c r="J143" s="1">
        <v>0</v>
      </c>
      <c r="K143" t="str">
        <f>LOOKUP(J143,Sheet2!$P$4:$Q$9)</f>
        <v>Unknown</v>
      </c>
      <c r="L143" s="1">
        <v>39.5</v>
      </c>
      <c r="M143" t="str">
        <f>LOOKUP(L143,Sheet2!$S$4:$T$8)</f>
        <v>36+</v>
      </c>
      <c r="N143" s="1">
        <v>0.28599999999999998</v>
      </c>
      <c r="O143" t="str">
        <f>LOOKUP(N143,Sheet2!$V$4:$W$7)</f>
        <v>0.25 - 0.39</v>
      </c>
      <c r="P143" s="1">
        <v>38</v>
      </c>
      <c r="Q143" t="str">
        <f>LOOKUP(P143,Sheet2!$Z$4:$AA$7)</f>
        <v>36-45</v>
      </c>
      <c r="R143" s="1">
        <v>0</v>
      </c>
      <c r="S143" t="str">
        <f>IF(R143=1,"Positive","Negative")</f>
        <v>Negative</v>
      </c>
      <c r="T143" s="1" t="str">
        <f>IFERROR(VLOOKUP(A143,[1]diabetes_Recognition!$A:$B,2,FALSE),"Not Sampled")</f>
        <v>Not Sampled</v>
      </c>
      <c r="U143" t="str">
        <f>IF(T143=1,"Positive",(IF(T143=0,"Negative","Not Sampled")))</f>
        <v>Not Sampled</v>
      </c>
      <c r="V143" s="1" t="str">
        <f>IF(U143="Not Sampled","Not Sampled",IF(S143=U143,"Accurate Prediction","Inaccurate Prediction"))</f>
        <v>Not Sampled</v>
      </c>
    </row>
    <row r="144" spans="1:22" x14ac:dyDescent="0.25">
      <c r="A144" s="1">
        <v>142</v>
      </c>
      <c r="B144" s="1">
        <v>2</v>
      </c>
      <c r="C144" s="1">
        <f>LOOKUP(B144,Sheet2!$D$4:$E$9)</f>
        <v>2</v>
      </c>
      <c r="D144" s="1">
        <v>108</v>
      </c>
      <c r="E144" t="str">
        <f>LOOKUP(D144,Sheet2!$G$4:$H$9)</f>
        <v>100-125</v>
      </c>
      <c r="F144" s="1">
        <v>52</v>
      </c>
      <c r="G144" t="str">
        <f>LOOKUP(F144,Sheet2!$J$4:$K$8)</f>
        <v>1-59</v>
      </c>
      <c r="H144" s="1">
        <v>26</v>
      </c>
      <c r="I144" t="str">
        <f>LOOKUP(H144,Sheet2!$M$4:$N$8)</f>
        <v>10-30</v>
      </c>
      <c r="J144" s="1">
        <v>63</v>
      </c>
      <c r="K144" t="str">
        <f>LOOKUP(J144,Sheet2!$P$4:$Q$9)</f>
        <v>1-99</v>
      </c>
      <c r="L144" s="1">
        <v>32.5</v>
      </c>
      <c r="M144" t="str">
        <f>LOOKUP(L144,Sheet2!$S$4:$T$8)</f>
        <v>31-35</v>
      </c>
      <c r="N144" s="1">
        <v>0.318</v>
      </c>
      <c r="O144" t="str">
        <f>LOOKUP(N144,Sheet2!$V$4:$W$7)</f>
        <v>0.25 - 0.39</v>
      </c>
      <c r="P144" s="1">
        <v>22</v>
      </c>
      <c r="Q144" t="str">
        <f>LOOKUP(P144,Sheet2!$Z$4:$AA$7)</f>
        <v>&lt;=25</v>
      </c>
      <c r="R144" s="1">
        <v>0</v>
      </c>
      <c r="S144" t="str">
        <f>IF(R144=1,"Positive","Negative")</f>
        <v>Negative</v>
      </c>
      <c r="T144" s="1" t="str">
        <f>IFERROR(VLOOKUP(A144,[1]diabetes_Recognition!$A:$B,2,FALSE),"Not Sampled")</f>
        <v>Not Sampled</v>
      </c>
      <c r="U144" t="str">
        <f>IF(T144=1,"Positive",(IF(T144=0,"Negative","Not Sampled")))</f>
        <v>Not Sampled</v>
      </c>
      <c r="V144" s="1" t="str">
        <f>IF(U144="Not Sampled","Not Sampled",IF(S144=U144,"Accurate Prediction","Inaccurate Prediction"))</f>
        <v>Not Sampled</v>
      </c>
    </row>
    <row r="145" spans="1:22" x14ac:dyDescent="0.25">
      <c r="A145" s="1">
        <v>143</v>
      </c>
      <c r="B145" s="1">
        <v>10</v>
      </c>
      <c r="C145" s="1" t="str">
        <f>LOOKUP(B145,Sheet2!$D$4:$E$9)</f>
        <v>8+</v>
      </c>
      <c r="D145" s="1">
        <v>108</v>
      </c>
      <c r="E145" t="str">
        <f>LOOKUP(D145,Sheet2!$G$4:$H$9)</f>
        <v>100-125</v>
      </c>
      <c r="F145" s="1">
        <v>66</v>
      </c>
      <c r="G145" t="str">
        <f>LOOKUP(F145,Sheet2!$J$4:$K$8)</f>
        <v>60-69</v>
      </c>
      <c r="H145" s="1">
        <v>0</v>
      </c>
      <c r="I145" t="str">
        <f>LOOKUP(H145,Sheet2!$M$4:$N$8)</f>
        <v>Unknown</v>
      </c>
      <c r="J145" s="1">
        <v>0</v>
      </c>
      <c r="K145" t="str">
        <f>LOOKUP(J145,Sheet2!$P$4:$Q$9)</f>
        <v>Unknown</v>
      </c>
      <c r="L145" s="1">
        <v>32.4</v>
      </c>
      <c r="M145" t="str">
        <f>LOOKUP(L145,Sheet2!$S$4:$T$8)</f>
        <v>31-35</v>
      </c>
      <c r="N145" s="1">
        <v>0.27200000000000002</v>
      </c>
      <c r="O145" t="str">
        <f>LOOKUP(N145,Sheet2!$V$4:$W$7)</f>
        <v>0.25 - 0.39</v>
      </c>
      <c r="P145" s="1">
        <v>42</v>
      </c>
      <c r="Q145" t="str">
        <f>LOOKUP(P145,Sheet2!$Z$4:$AA$7)</f>
        <v>36-45</v>
      </c>
      <c r="R145" s="1">
        <v>1</v>
      </c>
      <c r="S145" t="str">
        <f>IF(R145=1,"Positive","Negative")</f>
        <v>Positive</v>
      </c>
      <c r="T145" s="1" t="str">
        <f>IFERROR(VLOOKUP(A145,[1]diabetes_Recognition!$A:$B,2,FALSE),"Not Sampled")</f>
        <v>Not Sampled</v>
      </c>
      <c r="U145" t="str">
        <f>IF(T145=1,"Positive",(IF(T145=0,"Negative","Not Sampled")))</f>
        <v>Not Sampled</v>
      </c>
      <c r="V145" s="1" t="str">
        <f>IF(U145="Not Sampled","Not Sampled",IF(S145=U145,"Accurate Prediction","Inaccurate Prediction"))</f>
        <v>Not Sampled</v>
      </c>
    </row>
    <row r="146" spans="1:22" x14ac:dyDescent="0.25">
      <c r="A146" s="1">
        <v>144</v>
      </c>
      <c r="B146" s="1">
        <v>4</v>
      </c>
      <c r="C146" s="1" t="str">
        <f>LOOKUP(B146,Sheet2!$D$4:$E$9)</f>
        <v>3-4</v>
      </c>
      <c r="D146" s="1">
        <v>154</v>
      </c>
      <c r="E146" t="str">
        <f>LOOKUP(D146,Sheet2!$G$4:$H$9)</f>
        <v>151-175</v>
      </c>
      <c r="F146" s="1">
        <v>62</v>
      </c>
      <c r="G146" t="str">
        <f>LOOKUP(F146,Sheet2!$J$4:$K$8)</f>
        <v>60-69</v>
      </c>
      <c r="H146" s="1">
        <v>31</v>
      </c>
      <c r="I146" t="str">
        <f>LOOKUP(H146,Sheet2!$M$4:$N$8)</f>
        <v>30-39</v>
      </c>
      <c r="J146" s="1">
        <v>284</v>
      </c>
      <c r="K146" t="str">
        <f>LOOKUP(J146,Sheet2!$P$4:$Q$9)</f>
        <v>200-399</v>
      </c>
      <c r="L146" s="1">
        <v>32.799999999999997</v>
      </c>
      <c r="M146" t="str">
        <f>LOOKUP(L146,Sheet2!$S$4:$T$8)</f>
        <v>31-35</v>
      </c>
      <c r="N146" s="1">
        <v>0.23699999999999999</v>
      </c>
      <c r="O146" t="str">
        <f>LOOKUP(N146,Sheet2!$V$4:$W$7)</f>
        <v>0.0 - 0.249</v>
      </c>
      <c r="P146" s="1">
        <v>23</v>
      </c>
      <c r="Q146" t="str">
        <f>LOOKUP(P146,Sheet2!$Z$4:$AA$7)</f>
        <v>&lt;=25</v>
      </c>
      <c r="R146" s="1">
        <v>0</v>
      </c>
      <c r="S146" t="str">
        <f>IF(R146=1,"Positive","Negative")</f>
        <v>Negative</v>
      </c>
      <c r="T146" s="1" t="str">
        <f>IFERROR(VLOOKUP(A146,[1]diabetes_Recognition!$A:$B,2,FALSE),"Not Sampled")</f>
        <v>Not Sampled</v>
      </c>
      <c r="U146" t="str">
        <f>IF(T146=1,"Positive",(IF(T146=0,"Negative","Not Sampled")))</f>
        <v>Not Sampled</v>
      </c>
      <c r="V146" s="1" t="str">
        <f>IF(U146="Not Sampled","Not Sampled",IF(S146=U146,"Accurate Prediction","Inaccurate Prediction"))</f>
        <v>Not Sampled</v>
      </c>
    </row>
    <row r="147" spans="1:22" x14ac:dyDescent="0.25">
      <c r="A147" s="1">
        <v>145</v>
      </c>
      <c r="B147" s="1">
        <v>0</v>
      </c>
      <c r="C147" s="1">
        <f>LOOKUP(B147,Sheet2!$D$4:$E$9)</f>
        <v>0</v>
      </c>
      <c r="D147" s="1">
        <v>102</v>
      </c>
      <c r="E147" t="str">
        <f>LOOKUP(D147,Sheet2!$G$4:$H$9)</f>
        <v>100-125</v>
      </c>
      <c r="F147" s="1">
        <v>75</v>
      </c>
      <c r="G147" t="str">
        <f>LOOKUP(F147,Sheet2!$J$4:$K$8)</f>
        <v>70-79</v>
      </c>
      <c r="H147" s="1">
        <v>23</v>
      </c>
      <c r="I147" t="str">
        <f>LOOKUP(H147,Sheet2!$M$4:$N$8)</f>
        <v>10-30</v>
      </c>
      <c r="J147" s="1">
        <v>0</v>
      </c>
      <c r="K147" t="str">
        <f>LOOKUP(J147,Sheet2!$P$4:$Q$9)</f>
        <v>Unknown</v>
      </c>
      <c r="L147" s="1">
        <v>0</v>
      </c>
      <c r="M147" t="str">
        <f>LOOKUP(L147,Sheet2!$S$4:$T$8)</f>
        <v>Unknown</v>
      </c>
      <c r="N147" s="1">
        <v>0.57199999999999995</v>
      </c>
      <c r="O147" t="str">
        <f>LOOKUP(N147,Sheet2!$V$4:$W$7)</f>
        <v>0.4 - 0.69</v>
      </c>
      <c r="P147" s="1">
        <v>21</v>
      </c>
      <c r="Q147" t="str">
        <f>LOOKUP(P147,Sheet2!$Z$4:$AA$7)</f>
        <v>&lt;=25</v>
      </c>
      <c r="R147" s="1">
        <v>0</v>
      </c>
      <c r="S147" t="str">
        <f>IF(R147=1,"Positive","Negative")</f>
        <v>Negative</v>
      </c>
      <c r="T147" s="1" t="str">
        <f>IFERROR(VLOOKUP(A147,[1]diabetes_Recognition!$A:$B,2,FALSE),"Not Sampled")</f>
        <v>Not Sampled</v>
      </c>
      <c r="U147" t="str">
        <f>IF(T147=1,"Positive",(IF(T147=0,"Negative","Not Sampled")))</f>
        <v>Not Sampled</v>
      </c>
      <c r="V147" s="1" t="str">
        <f>IF(U147="Not Sampled","Not Sampled",IF(S147=U147,"Accurate Prediction","Inaccurate Prediction"))</f>
        <v>Not Sampled</v>
      </c>
    </row>
    <row r="148" spans="1:22" x14ac:dyDescent="0.25">
      <c r="A148" s="1">
        <v>146</v>
      </c>
      <c r="B148" s="1">
        <v>9</v>
      </c>
      <c r="C148" s="1" t="str">
        <f>LOOKUP(B148,Sheet2!$D$4:$E$9)</f>
        <v>8+</v>
      </c>
      <c r="D148" s="1">
        <v>57</v>
      </c>
      <c r="E148" t="str">
        <f>LOOKUP(D148,Sheet2!$G$4:$H$9)</f>
        <v>1-99</v>
      </c>
      <c r="F148" s="1">
        <v>80</v>
      </c>
      <c r="G148" t="str">
        <f>LOOKUP(F148,Sheet2!$J$4:$K$8)</f>
        <v>80+</v>
      </c>
      <c r="H148" s="1">
        <v>37</v>
      </c>
      <c r="I148" t="str">
        <f>LOOKUP(H148,Sheet2!$M$4:$N$8)</f>
        <v>30-39</v>
      </c>
      <c r="J148" s="1">
        <v>0</v>
      </c>
      <c r="K148" t="str">
        <f>LOOKUP(J148,Sheet2!$P$4:$Q$9)</f>
        <v>Unknown</v>
      </c>
      <c r="L148" s="1">
        <v>32.799999999999997</v>
      </c>
      <c r="M148" t="str">
        <f>LOOKUP(L148,Sheet2!$S$4:$T$8)</f>
        <v>31-35</v>
      </c>
      <c r="N148" s="1">
        <v>9.6000000000000002E-2</v>
      </c>
      <c r="O148" t="str">
        <f>LOOKUP(N148,Sheet2!$V$4:$W$7)</f>
        <v>0.0 - 0.249</v>
      </c>
      <c r="P148" s="1">
        <v>41</v>
      </c>
      <c r="Q148" t="str">
        <f>LOOKUP(P148,Sheet2!$Z$4:$AA$7)</f>
        <v>36-45</v>
      </c>
      <c r="R148" s="1">
        <v>0</v>
      </c>
      <c r="S148" t="str">
        <f>IF(R148=1,"Positive","Negative")</f>
        <v>Negative</v>
      </c>
      <c r="T148" s="1">
        <f>IFERROR(VLOOKUP(A148,[1]diabetes_Recognition!$A:$B,2,FALSE),"Not Sampled")</f>
        <v>0</v>
      </c>
      <c r="U148" t="str">
        <f>IF(T148=1,"Positive",(IF(T148=0,"Negative","Not Sampled")))</f>
        <v>Negative</v>
      </c>
      <c r="V148" s="1" t="str">
        <f>IF(U148="Not Sampled","Not Sampled",IF(S148=U148,"Accurate Prediction","Inaccurate Prediction"))</f>
        <v>Accurate Prediction</v>
      </c>
    </row>
    <row r="149" spans="1:22" x14ac:dyDescent="0.25">
      <c r="A149" s="1">
        <v>147</v>
      </c>
      <c r="B149" s="1">
        <v>2</v>
      </c>
      <c r="C149" s="1">
        <f>LOOKUP(B149,Sheet2!$D$4:$E$9)</f>
        <v>2</v>
      </c>
      <c r="D149" s="1">
        <v>106</v>
      </c>
      <c r="E149" t="str">
        <f>LOOKUP(D149,Sheet2!$G$4:$H$9)</f>
        <v>100-125</v>
      </c>
      <c r="F149" s="1">
        <v>64</v>
      </c>
      <c r="G149" t="str">
        <f>LOOKUP(F149,Sheet2!$J$4:$K$8)</f>
        <v>60-69</v>
      </c>
      <c r="H149" s="1">
        <v>35</v>
      </c>
      <c r="I149" t="str">
        <f>LOOKUP(H149,Sheet2!$M$4:$N$8)</f>
        <v>30-39</v>
      </c>
      <c r="J149" s="1">
        <v>119</v>
      </c>
      <c r="K149" t="str">
        <f>LOOKUP(J149,Sheet2!$P$4:$Q$9)</f>
        <v>100-199</v>
      </c>
      <c r="L149" s="1">
        <v>30.5</v>
      </c>
      <c r="M149" t="str">
        <f>LOOKUP(L149,Sheet2!$S$4:$T$8)</f>
        <v>26-30</v>
      </c>
      <c r="N149" s="1">
        <v>1.4</v>
      </c>
      <c r="O149" t="str">
        <f>LOOKUP(N149,Sheet2!$V$4:$W$7)</f>
        <v>0.7+</v>
      </c>
      <c r="P149" s="1">
        <v>34</v>
      </c>
      <c r="Q149" t="str">
        <f>LOOKUP(P149,Sheet2!$Z$4:$AA$7)</f>
        <v>26-35</v>
      </c>
      <c r="R149" s="1">
        <v>0</v>
      </c>
      <c r="S149" t="str">
        <f>IF(R149=1,"Positive","Negative")</f>
        <v>Negative</v>
      </c>
      <c r="T149" s="1" t="str">
        <f>IFERROR(VLOOKUP(A149,[1]diabetes_Recognition!$A:$B,2,FALSE),"Not Sampled")</f>
        <v>Not Sampled</v>
      </c>
      <c r="U149" t="str">
        <f>IF(T149=1,"Positive",(IF(T149=0,"Negative","Not Sampled")))</f>
        <v>Not Sampled</v>
      </c>
      <c r="V149" s="1" t="str">
        <f>IF(U149="Not Sampled","Not Sampled",IF(S149=U149,"Accurate Prediction","Inaccurate Prediction"))</f>
        <v>Not Sampled</v>
      </c>
    </row>
    <row r="150" spans="1:22" x14ac:dyDescent="0.25">
      <c r="A150" s="1">
        <v>148</v>
      </c>
      <c r="B150" s="1">
        <v>5</v>
      </c>
      <c r="C150" s="1" t="str">
        <f>LOOKUP(B150,Sheet2!$D$4:$E$9)</f>
        <v>5-7</v>
      </c>
      <c r="D150" s="1">
        <v>147</v>
      </c>
      <c r="E150" t="str">
        <f>LOOKUP(D150,Sheet2!$G$4:$H$9)</f>
        <v>126-150</v>
      </c>
      <c r="F150" s="1">
        <v>78</v>
      </c>
      <c r="G150" t="str">
        <f>LOOKUP(F150,Sheet2!$J$4:$K$8)</f>
        <v>70-79</v>
      </c>
      <c r="H150" s="1">
        <v>0</v>
      </c>
      <c r="I150" t="str">
        <f>LOOKUP(H150,Sheet2!$M$4:$N$8)</f>
        <v>Unknown</v>
      </c>
      <c r="J150" s="1">
        <v>0</v>
      </c>
      <c r="K150" t="str">
        <f>LOOKUP(J150,Sheet2!$P$4:$Q$9)</f>
        <v>Unknown</v>
      </c>
      <c r="L150" s="1">
        <v>33.700000000000003</v>
      </c>
      <c r="M150" t="str">
        <f>LOOKUP(L150,Sheet2!$S$4:$T$8)</f>
        <v>31-35</v>
      </c>
      <c r="N150" s="1">
        <v>0.218</v>
      </c>
      <c r="O150" t="str">
        <f>LOOKUP(N150,Sheet2!$V$4:$W$7)</f>
        <v>0.0 - 0.249</v>
      </c>
      <c r="P150" s="1">
        <v>65</v>
      </c>
      <c r="Q150" t="str">
        <f>LOOKUP(P150,Sheet2!$Z$4:$AA$7)</f>
        <v>46+</v>
      </c>
      <c r="R150" s="1">
        <v>0</v>
      </c>
      <c r="S150" t="str">
        <f>IF(R150=1,"Positive","Negative")</f>
        <v>Negative</v>
      </c>
      <c r="T150" s="1" t="str">
        <f>IFERROR(VLOOKUP(A150,[1]diabetes_Recognition!$A:$B,2,FALSE),"Not Sampled")</f>
        <v>Not Sampled</v>
      </c>
      <c r="U150" t="str">
        <f>IF(T150=1,"Positive",(IF(T150=0,"Negative","Not Sampled")))</f>
        <v>Not Sampled</v>
      </c>
      <c r="V150" s="1" t="str">
        <f>IF(U150="Not Sampled","Not Sampled",IF(S150=U150,"Accurate Prediction","Inaccurate Prediction"))</f>
        <v>Not Sampled</v>
      </c>
    </row>
    <row r="151" spans="1:22" x14ac:dyDescent="0.25">
      <c r="A151" s="1">
        <v>149</v>
      </c>
      <c r="B151" s="1">
        <v>2</v>
      </c>
      <c r="C151" s="1">
        <f>LOOKUP(B151,Sheet2!$D$4:$E$9)</f>
        <v>2</v>
      </c>
      <c r="D151" s="1">
        <v>90</v>
      </c>
      <c r="E151" t="str">
        <f>LOOKUP(D151,Sheet2!$G$4:$H$9)</f>
        <v>1-99</v>
      </c>
      <c r="F151" s="1">
        <v>70</v>
      </c>
      <c r="G151" t="str">
        <f>LOOKUP(F151,Sheet2!$J$4:$K$8)</f>
        <v>70-79</v>
      </c>
      <c r="H151" s="1">
        <v>17</v>
      </c>
      <c r="I151" t="str">
        <f>LOOKUP(H151,Sheet2!$M$4:$N$8)</f>
        <v>10-30</v>
      </c>
      <c r="J151" s="1">
        <v>0</v>
      </c>
      <c r="K151" t="str">
        <f>LOOKUP(J151,Sheet2!$P$4:$Q$9)</f>
        <v>Unknown</v>
      </c>
      <c r="L151" s="1">
        <v>27.3</v>
      </c>
      <c r="M151" t="str">
        <f>LOOKUP(L151,Sheet2!$S$4:$T$8)</f>
        <v>26-30</v>
      </c>
      <c r="N151" s="1">
        <v>8.5000000000000006E-2</v>
      </c>
      <c r="O151" t="str">
        <f>LOOKUP(N151,Sheet2!$V$4:$W$7)</f>
        <v>0.0 - 0.249</v>
      </c>
      <c r="P151" s="1">
        <v>22</v>
      </c>
      <c r="Q151" t="str">
        <f>LOOKUP(P151,Sheet2!$Z$4:$AA$7)</f>
        <v>&lt;=25</v>
      </c>
      <c r="R151" s="1">
        <v>0</v>
      </c>
      <c r="S151" t="str">
        <f>IF(R151=1,"Positive","Negative")</f>
        <v>Negative</v>
      </c>
      <c r="T151" s="1" t="str">
        <f>IFERROR(VLOOKUP(A151,[1]diabetes_Recognition!$A:$B,2,FALSE),"Not Sampled")</f>
        <v>Not Sampled</v>
      </c>
      <c r="U151" t="str">
        <f>IF(T151=1,"Positive",(IF(T151=0,"Negative","Not Sampled")))</f>
        <v>Not Sampled</v>
      </c>
      <c r="V151" s="1" t="str">
        <f>IF(U151="Not Sampled","Not Sampled",IF(S151=U151,"Accurate Prediction","Inaccurate Prediction"))</f>
        <v>Not Sampled</v>
      </c>
    </row>
    <row r="152" spans="1:22" x14ac:dyDescent="0.25">
      <c r="A152" s="1">
        <v>150</v>
      </c>
      <c r="B152" s="1">
        <v>1</v>
      </c>
      <c r="C152" s="1">
        <f>LOOKUP(B152,Sheet2!$D$4:$E$9)</f>
        <v>1</v>
      </c>
      <c r="D152" s="1">
        <v>136</v>
      </c>
      <c r="E152" t="str">
        <f>LOOKUP(D152,Sheet2!$G$4:$H$9)</f>
        <v>126-150</v>
      </c>
      <c r="F152" s="1">
        <v>74</v>
      </c>
      <c r="G152" t="str">
        <f>LOOKUP(F152,Sheet2!$J$4:$K$8)</f>
        <v>70-79</v>
      </c>
      <c r="H152" s="1">
        <v>50</v>
      </c>
      <c r="I152" t="str">
        <f>LOOKUP(H152,Sheet2!$M$4:$N$8)</f>
        <v>40+</v>
      </c>
      <c r="J152" s="1">
        <v>204</v>
      </c>
      <c r="K152" t="str">
        <f>LOOKUP(J152,Sheet2!$P$4:$Q$9)</f>
        <v>200-399</v>
      </c>
      <c r="L152" s="1">
        <v>37.4</v>
      </c>
      <c r="M152" t="str">
        <f>LOOKUP(L152,Sheet2!$S$4:$T$8)</f>
        <v>36+</v>
      </c>
      <c r="N152" s="1">
        <v>0.39900000000000002</v>
      </c>
      <c r="O152" t="str">
        <f>LOOKUP(N152,Sheet2!$V$4:$W$7)</f>
        <v>0.25 - 0.39</v>
      </c>
      <c r="P152" s="1">
        <v>24</v>
      </c>
      <c r="Q152" t="str">
        <f>LOOKUP(P152,Sheet2!$Z$4:$AA$7)</f>
        <v>&lt;=25</v>
      </c>
      <c r="R152" s="1">
        <v>0</v>
      </c>
      <c r="S152" t="str">
        <f>IF(R152=1,"Positive","Negative")</f>
        <v>Negative</v>
      </c>
      <c r="T152" s="1" t="str">
        <f>IFERROR(VLOOKUP(A152,[1]diabetes_Recognition!$A:$B,2,FALSE),"Not Sampled")</f>
        <v>Not Sampled</v>
      </c>
      <c r="U152" t="str">
        <f>IF(T152=1,"Positive",(IF(T152=0,"Negative","Not Sampled")))</f>
        <v>Not Sampled</v>
      </c>
      <c r="V152" s="1" t="str">
        <f>IF(U152="Not Sampled","Not Sampled",IF(S152=U152,"Accurate Prediction","Inaccurate Prediction"))</f>
        <v>Not Sampled</v>
      </c>
    </row>
    <row r="153" spans="1:22" x14ac:dyDescent="0.25">
      <c r="A153" s="1">
        <v>151</v>
      </c>
      <c r="B153" s="1">
        <v>4</v>
      </c>
      <c r="C153" s="1" t="str">
        <f>LOOKUP(B153,Sheet2!$D$4:$E$9)</f>
        <v>3-4</v>
      </c>
      <c r="D153" s="1">
        <v>114</v>
      </c>
      <c r="E153" t="str">
        <f>LOOKUP(D153,Sheet2!$G$4:$H$9)</f>
        <v>100-125</v>
      </c>
      <c r="F153" s="1">
        <v>65</v>
      </c>
      <c r="G153" t="str">
        <f>LOOKUP(F153,Sheet2!$J$4:$K$8)</f>
        <v>60-69</v>
      </c>
      <c r="H153" s="1">
        <v>0</v>
      </c>
      <c r="I153" t="str">
        <f>LOOKUP(H153,Sheet2!$M$4:$N$8)</f>
        <v>Unknown</v>
      </c>
      <c r="J153" s="1">
        <v>0</v>
      </c>
      <c r="K153" t="str">
        <f>LOOKUP(J153,Sheet2!$P$4:$Q$9)</f>
        <v>Unknown</v>
      </c>
      <c r="L153" s="1">
        <v>21.9</v>
      </c>
      <c r="M153" t="str">
        <f>LOOKUP(L153,Sheet2!$S$4:$T$8)</f>
        <v>1-25</v>
      </c>
      <c r="N153" s="1">
        <v>0.432</v>
      </c>
      <c r="O153" t="str">
        <f>LOOKUP(N153,Sheet2!$V$4:$W$7)</f>
        <v>0.4 - 0.69</v>
      </c>
      <c r="P153" s="1">
        <v>37</v>
      </c>
      <c r="Q153" t="str">
        <f>LOOKUP(P153,Sheet2!$Z$4:$AA$7)</f>
        <v>36-45</v>
      </c>
      <c r="R153" s="1">
        <v>0</v>
      </c>
      <c r="S153" t="str">
        <f>IF(R153=1,"Positive","Negative")</f>
        <v>Negative</v>
      </c>
      <c r="T153" s="1" t="str">
        <f>IFERROR(VLOOKUP(A153,[1]diabetes_Recognition!$A:$B,2,FALSE),"Not Sampled")</f>
        <v>Not Sampled</v>
      </c>
      <c r="U153" t="str">
        <f>IF(T153=1,"Positive",(IF(T153=0,"Negative","Not Sampled")))</f>
        <v>Not Sampled</v>
      </c>
      <c r="V153" s="1" t="str">
        <f>IF(U153="Not Sampled","Not Sampled",IF(S153=U153,"Accurate Prediction","Inaccurate Prediction"))</f>
        <v>Not Sampled</v>
      </c>
    </row>
    <row r="154" spans="1:22" x14ac:dyDescent="0.25">
      <c r="A154" s="1">
        <v>152</v>
      </c>
      <c r="B154" s="1">
        <v>9</v>
      </c>
      <c r="C154" s="1" t="str">
        <f>LOOKUP(B154,Sheet2!$D$4:$E$9)</f>
        <v>8+</v>
      </c>
      <c r="D154" s="1">
        <v>156</v>
      </c>
      <c r="E154" t="str">
        <f>LOOKUP(D154,Sheet2!$G$4:$H$9)</f>
        <v>151-175</v>
      </c>
      <c r="F154" s="1">
        <v>86</v>
      </c>
      <c r="G154" t="str">
        <f>LOOKUP(F154,Sheet2!$J$4:$K$8)</f>
        <v>80+</v>
      </c>
      <c r="H154" s="1">
        <v>28</v>
      </c>
      <c r="I154" t="str">
        <f>LOOKUP(H154,Sheet2!$M$4:$N$8)</f>
        <v>10-30</v>
      </c>
      <c r="J154" s="1">
        <v>155</v>
      </c>
      <c r="K154" t="str">
        <f>LOOKUP(J154,Sheet2!$P$4:$Q$9)</f>
        <v>100-199</v>
      </c>
      <c r="L154" s="1">
        <v>34.299999999999997</v>
      </c>
      <c r="M154" t="str">
        <f>LOOKUP(L154,Sheet2!$S$4:$T$8)</f>
        <v>31-35</v>
      </c>
      <c r="N154" s="1">
        <v>1.1890000000000001</v>
      </c>
      <c r="O154" t="str">
        <f>LOOKUP(N154,Sheet2!$V$4:$W$7)</f>
        <v>0.7+</v>
      </c>
      <c r="P154" s="1">
        <v>42</v>
      </c>
      <c r="Q154" t="str">
        <f>LOOKUP(P154,Sheet2!$Z$4:$AA$7)</f>
        <v>36-45</v>
      </c>
      <c r="R154" s="1">
        <v>1</v>
      </c>
      <c r="S154" t="str">
        <f>IF(R154=1,"Positive","Negative")</f>
        <v>Positive</v>
      </c>
      <c r="T154" s="1" t="str">
        <f>IFERROR(VLOOKUP(A154,[1]diabetes_Recognition!$A:$B,2,FALSE),"Not Sampled")</f>
        <v>Not Sampled</v>
      </c>
      <c r="U154" t="str">
        <f>IF(T154=1,"Positive",(IF(T154=0,"Negative","Not Sampled")))</f>
        <v>Not Sampled</v>
      </c>
      <c r="V154" s="1" t="str">
        <f>IF(U154="Not Sampled","Not Sampled",IF(S154=U154,"Accurate Prediction","Inaccurate Prediction"))</f>
        <v>Not Sampled</v>
      </c>
    </row>
    <row r="155" spans="1:22" x14ac:dyDescent="0.25">
      <c r="A155" s="1">
        <v>153</v>
      </c>
      <c r="B155" s="1">
        <v>1</v>
      </c>
      <c r="C155" s="1">
        <f>LOOKUP(B155,Sheet2!$D$4:$E$9)</f>
        <v>1</v>
      </c>
      <c r="D155" s="1">
        <v>153</v>
      </c>
      <c r="E155" t="str">
        <f>LOOKUP(D155,Sheet2!$G$4:$H$9)</f>
        <v>151-175</v>
      </c>
      <c r="F155" s="1">
        <v>82</v>
      </c>
      <c r="G155" t="str">
        <f>LOOKUP(F155,Sheet2!$J$4:$K$8)</f>
        <v>80+</v>
      </c>
      <c r="H155" s="1">
        <v>42</v>
      </c>
      <c r="I155" t="str">
        <f>LOOKUP(H155,Sheet2!$M$4:$N$8)</f>
        <v>40+</v>
      </c>
      <c r="J155" s="1">
        <v>485</v>
      </c>
      <c r="K155" t="str">
        <f>LOOKUP(J155,Sheet2!$P$4:$Q$9)</f>
        <v>300-499</v>
      </c>
      <c r="L155" s="1">
        <v>40.6</v>
      </c>
      <c r="M155" t="str">
        <f>LOOKUP(L155,Sheet2!$S$4:$T$8)</f>
        <v>36+</v>
      </c>
      <c r="N155" s="1">
        <v>0.68700000000000006</v>
      </c>
      <c r="O155" t="str">
        <f>LOOKUP(N155,Sheet2!$V$4:$W$7)</f>
        <v>0.4 - 0.69</v>
      </c>
      <c r="P155" s="1">
        <v>23</v>
      </c>
      <c r="Q155" t="str">
        <f>LOOKUP(P155,Sheet2!$Z$4:$AA$7)</f>
        <v>&lt;=25</v>
      </c>
      <c r="R155" s="1">
        <v>0</v>
      </c>
      <c r="S155" t="str">
        <f>IF(R155=1,"Positive","Negative")</f>
        <v>Negative</v>
      </c>
      <c r="T155" s="1" t="str">
        <f>IFERROR(VLOOKUP(A155,[1]diabetes_Recognition!$A:$B,2,FALSE),"Not Sampled")</f>
        <v>Not Sampled</v>
      </c>
      <c r="U155" t="str">
        <f>IF(T155=1,"Positive",(IF(T155=0,"Negative","Not Sampled")))</f>
        <v>Not Sampled</v>
      </c>
      <c r="V155" s="1" t="str">
        <f>IF(U155="Not Sampled","Not Sampled",IF(S155=U155,"Accurate Prediction","Inaccurate Prediction"))</f>
        <v>Not Sampled</v>
      </c>
    </row>
    <row r="156" spans="1:22" x14ac:dyDescent="0.25">
      <c r="A156" s="1">
        <v>154</v>
      </c>
      <c r="B156" s="1">
        <v>8</v>
      </c>
      <c r="C156" s="1" t="str">
        <f>LOOKUP(B156,Sheet2!$D$4:$E$9)</f>
        <v>8+</v>
      </c>
      <c r="D156" s="1">
        <v>188</v>
      </c>
      <c r="E156" t="str">
        <f>LOOKUP(D156,Sheet2!$G$4:$H$9)</f>
        <v>176-200</v>
      </c>
      <c r="F156" s="1">
        <v>78</v>
      </c>
      <c r="G156" t="str">
        <f>LOOKUP(F156,Sheet2!$J$4:$K$8)</f>
        <v>70-79</v>
      </c>
      <c r="H156" s="1">
        <v>0</v>
      </c>
      <c r="I156" t="str">
        <f>LOOKUP(H156,Sheet2!$M$4:$N$8)</f>
        <v>Unknown</v>
      </c>
      <c r="J156" s="1">
        <v>0</v>
      </c>
      <c r="K156" t="str">
        <f>LOOKUP(J156,Sheet2!$P$4:$Q$9)</f>
        <v>Unknown</v>
      </c>
      <c r="L156" s="1">
        <v>47.9</v>
      </c>
      <c r="M156" t="str">
        <f>LOOKUP(L156,Sheet2!$S$4:$T$8)</f>
        <v>36+</v>
      </c>
      <c r="N156" s="1">
        <v>0.13700000000000001</v>
      </c>
      <c r="O156" t="str">
        <f>LOOKUP(N156,Sheet2!$V$4:$W$7)</f>
        <v>0.0 - 0.249</v>
      </c>
      <c r="P156" s="1">
        <v>43</v>
      </c>
      <c r="Q156" t="str">
        <f>LOOKUP(P156,Sheet2!$Z$4:$AA$7)</f>
        <v>36-45</v>
      </c>
      <c r="R156" s="1">
        <v>1</v>
      </c>
      <c r="S156" t="str">
        <f>IF(R156=1,"Positive","Negative")</f>
        <v>Positive</v>
      </c>
      <c r="T156" s="1" t="str">
        <f>IFERROR(VLOOKUP(A156,[1]diabetes_Recognition!$A:$B,2,FALSE),"Not Sampled")</f>
        <v>Not Sampled</v>
      </c>
      <c r="U156" t="str">
        <f>IF(T156=1,"Positive",(IF(T156=0,"Negative","Not Sampled")))</f>
        <v>Not Sampled</v>
      </c>
      <c r="V156" s="1" t="str">
        <f>IF(U156="Not Sampled","Not Sampled",IF(S156=U156,"Accurate Prediction","Inaccurate Prediction"))</f>
        <v>Not Sampled</v>
      </c>
    </row>
    <row r="157" spans="1:22" x14ac:dyDescent="0.25">
      <c r="A157" s="1">
        <v>155</v>
      </c>
      <c r="B157" s="1">
        <v>7</v>
      </c>
      <c r="C157" s="1" t="str">
        <f>LOOKUP(B157,Sheet2!$D$4:$E$9)</f>
        <v>5-7</v>
      </c>
      <c r="D157" s="1">
        <v>152</v>
      </c>
      <c r="E157" t="str">
        <f>LOOKUP(D157,Sheet2!$G$4:$H$9)</f>
        <v>151-175</v>
      </c>
      <c r="F157" s="1">
        <v>88</v>
      </c>
      <c r="G157" t="str">
        <f>LOOKUP(F157,Sheet2!$J$4:$K$8)</f>
        <v>80+</v>
      </c>
      <c r="H157" s="1">
        <v>44</v>
      </c>
      <c r="I157" t="str">
        <f>LOOKUP(H157,Sheet2!$M$4:$N$8)</f>
        <v>40+</v>
      </c>
      <c r="J157" s="1">
        <v>0</v>
      </c>
      <c r="K157" t="str">
        <f>LOOKUP(J157,Sheet2!$P$4:$Q$9)</f>
        <v>Unknown</v>
      </c>
      <c r="L157" s="1">
        <v>50</v>
      </c>
      <c r="M157" t="str">
        <f>LOOKUP(L157,Sheet2!$S$4:$T$8)</f>
        <v>36+</v>
      </c>
      <c r="N157" s="1">
        <v>0.33700000000000002</v>
      </c>
      <c r="O157" t="str">
        <f>LOOKUP(N157,Sheet2!$V$4:$W$7)</f>
        <v>0.25 - 0.39</v>
      </c>
      <c r="P157" s="1">
        <v>36</v>
      </c>
      <c r="Q157" t="str">
        <f>LOOKUP(P157,Sheet2!$Z$4:$AA$7)</f>
        <v>36-45</v>
      </c>
      <c r="R157" s="1">
        <v>1</v>
      </c>
      <c r="S157" t="str">
        <f>IF(R157=1,"Positive","Negative")</f>
        <v>Positive</v>
      </c>
      <c r="T157" s="1" t="str">
        <f>IFERROR(VLOOKUP(A157,[1]diabetes_Recognition!$A:$B,2,FALSE),"Not Sampled")</f>
        <v>Not Sampled</v>
      </c>
      <c r="U157" t="str">
        <f>IF(T157=1,"Positive",(IF(T157=0,"Negative","Not Sampled")))</f>
        <v>Not Sampled</v>
      </c>
      <c r="V157" s="1" t="str">
        <f>IF(U157="Not Sampled","Not Sampled",IF(S157=U157,"Accurate Prediction","Inaccurate Prediction"))</f>
        <v>Not Sampled</v>
      </c>
    </row>
    <row r="158" spans="1:22" x14ac:dyDescent="0.25">
      <c r="A158" s="1">
        <v>156</v>
      </c>
      <c r="B158" s="1">
        <v>2</v>
      </c>
      <c r="C158" s="1">
        <f>LOOKUP(B158,Sheet2!$D$4:$E$9)</f>
        <v>2</v>
      </c>
      <c r="D158" s="1">
        <v>99</v>
      </c>
      <c r="E158" t="str">
        <f>LOOKUP(D158,Sheet2!$G$4:$H$9)</f>
        <v>1-99</v>
      </c>
      <c r="F158" s="1">
        <v>52</v>
      </c>
      <c r="G158" t="str">
        <f>LOOKUP(F158,Sheet2!$J$4:$K$8)</f>
        <v>1-59</v>
      </c>
      <c r="H158" s="1">
        <v>15</v>
      </c>
      <c r="I158" t="str">
        <f>LOOKUP(H158,Sheet2!$M$4:$N$8)</f>
        <v>10-30</v>
      </c>
      <c r="J158" s="1">
        <v>94</v>
      </c>
      <c r="K158" t="str">
        <f>LOOKUP(J158,Sheet2!$P$4:$Q$9)</f>
        <v>1-99</v>
      </c>
      <c r="L158" s="1">
        <v>24.6</v>
      </c>
      <c r="M158" t="str">
        <f>LOOKUP(L158,Sheet2!$S$4:$T$8)</f>
        <v>1-25</v>
      </c>
      <c r="N158" s="1">
        <v>0.63700000000000001</v>
      </c>
      <c r="O158" t="str">
        <f>LOOKUP(N158,Sheet2!$V$4:$W$7)</f>
        <v>0.4 - 0.69</v>
      </c>
      <c r="P158" s="1">
        <v>21</v>
      </c>
      <c r="Q158" t="str">
        <f>LOOKUP(P158,Sheet2!$Z$4:$AA$7)</f>
        <v>&lt;=25</v>
      </c>
      <c r="R158" s="1">
        <v>0</v>
      </c>
      <c r="S158" t="str">
        <f>IF(R158=1,"Positive","Negative")</f>
        <v>Negative</v>
      </c>
      <c r="T158" s="1" t="str">
        <f>IFERROR(VLOOKUP(A158,[1]diabetes_Recognition!$A:$B,2,FALSE),"Not Sampled")</f>
        <v>Not Sampled</v>
      </c>
      <c r="U158" t="str">
        <f>IF(T158=1,"Positive",(IF(T158=0,"Negative","Not Sampled")))</f>
        <v>Not Sampled</v>
      </c>
      <c r="V158" s="1" t="str">
        <f>IF(U158="Not Sampled","Not Sampled",IF(S158=U158,"Accurate Prediction","Inaccurate Prediction"))</f>
        <v>Not Sampled</v>
      </c>
    </row>
    <row r="159" spans="1:22" x14ac:dyDescent="0.25">
      <c r="A159" s="1">
        <v>157</v>
      </c>
      <c r="B159" s="1">
        <v>1</v>
      </c>
      <c r="C159" s="1">
        <f>LOOKUP(B159,Sheet2!$D$4:$E$9)</f>
        <v>1</v>
      </c>
      <c r="D159" s="1">
        <v>109</v>
      </c>
      <c r="E159" t="str">
        <f>LOOKUP(D159,Sheet2!$G$4:$H$9)</f>
        <v>100-125</v>
      </c>
      <c r="F159" s="1">
        <v>56</v>
      </c>
      <c r="G159" t="str">
        <f>LOOKUP(F159,Sheet2!$J$4:$K$8)</f>
        <v>1-59</v>
      </c>
      <c r="H159" s="1">
        <v>21</v>
      </c>
      <c r="I159" t="str">
        <f>LOOKUP(H159,Sheet2!$M$4:$N$8)</f>
        <v>10-30</v>
      </c>
      <c r="J159" s="1">
        <v>135</v>
      </c>
      <c r="K159" t="str">
        <f>LOOKUP(J159,Sheet2!$P$4:$Q$9)</f>
        <v>100-199</v>
      </c>
      <c r="L159" s="1">
        <v>25.2</v>
      </c>
      <c r="M159" t="str">
        <f>LOOKUP(L159,Sheet2!$S$4:$T$8)</f>
        <v>1-25</v>
      </c>
      <c r="N159" s="1">
        <v>0.83299999999999996</v>
      </c>
      <c r="O159" t="str">
        <f>LOOKUP(N159,Sheet2!$V$4:$W$7)</f>
        <v>0.7+</v>
      </c>
      <c r="P159" s="1">
        <v>23</v>
      </c>
      <c r="Q159" t="str">
        <f>LOOKUP(P159,Sheet2!$Z$4:$AA$7)</f>
        <v>&lt;=25</v>
      </c>
      <c r="R159" s="1">
        <v>0</v>
      </c>
      <c r="S159" t="str">
        <f>IF(R159=1,"Positive","Negative")</f>
        <v>Negative</v>
      </c>
      <c r="T159" s="1" t="str">
        <f>IFERROR(VLOOKUP(A159,[1]diabetes_Recognition!$A:$B,2,FALSE),"Not Sampled")</f>
        <v>Not Sampled</v>
      </c>
      <c r="U159" t="str">
        <f>IF(T159=1,"Positive",(IF(T159=0,"Negative","Not Sampled")))</f>
        <v>Not Sampled</v>
      </c>
      <c r="V159" s="1" t="str">
        <f>IF(U159="Not Sampled","Not Sampled",IF(S159=U159,"Accurate Prediction","Inaccurate Prediction"))</f>
        <v>Not Sampled</v>
      </c>
    </row>
    <row r="160" spans="1:22" x14ac:dyDescent="0.25">
      <c r="A160" s="1">
        <v>158</v>
      </c>
      <c r="B160" s="1">
        <v>2</v>
      </c>
      <c r="C160" s="1">
        <f>LOOKUP(B160,Sheet2!$D$4:$E$9)</f>
        <v>2</v>
      </c>
      <c r="D160" s="1">
        <v>88</v>
      </c>
      <c r="E160" t="str">
        <f>LOOKUP(D160,Sheet2!$G$4:$H$9)</f>
        <v>1-99</v>
      </c>
      <c r="F160" s="1">
        <v>74</v>
      </c>
      <c r="G160" t="str">
        <f>LOOKUP(F160,Sheet2!$J$4:$K$8)</f>
        <v>70-79</v>
      </c>
      <c r="H160" s="1">
        <v>19</v>
      </c>
      <c r="I160" t="str">
        <f>LOOKUP(H160,Sheet2!$M$4:$N$8)</f>
        <v>10-30</v>
      </c>
      <c r="J160" s="1">
        <v>53</v>
      </c>
      <c r="K160" t="str">
        <f>LOOKUP(J160,Sheet2!$P$4:$Q$9)</f>
        <v>1-99</v>
      </c>
      <c r="L160" s="1">
        <v>29</v>
      </c>
      <c r="M160" t="str">
        <f>LOOKUP(L160,Sheet2!$S$4:$T$8)</f>
        <v>26-30</v>
      </c>
      <c r="N160" s="1">
        <v>0.22900000000000001</v>
      </c>
      <c r="O160" t="str">
        <f>LOOKUP(N160,Sheet2!$V$4:$W$7)</f>
        <v>0.0 - 0.249</v>
      </c>
      <c r="P160" s="1">
        <v>22</v>
      </c>
      <c r="Q160" t="str">
        <f>LOOKUP(P160,Sheet2!$Z$4:$AA$7)</f>
        <v>&lt;=25</v>
      </c>
      <c r="R160" s="1">
        <v>0</v>
      </c>
      <c r="S160" t="str">
        <f>IF(R160=1,"Positive","Negative")</f>
        <v>Negative</v>
      </c>
      <c r="T160" s="1">
        <f>IFERROR(VLOOKUP(A160,[1]diabetes_Recognition!$A:$B,2,FALSE),"Not Sampled")</f>
        <v>0</v>
      </c>
      <c r="U160" t="str">
        <f>IF(T160=1,"Positive",(IF(T160=0,"Negative","Not Sampled")))</f>
        <v>Negative</v>
      </c>
      <c r="V160" s="1" t="str">
        <f>IF(U160="Not Sampled","Not Sampled",IF(S160=U160,"Accurate Prediction","Inaccurate Prediction"))</f>
        <v>Accurate Prediction</v>
      </c>
    </row>
    <row r="161" spans="1:22" x14ac:dyDescent="0.25">
      <c r="A161" s="1">
        <v>159</v>
      </c>
      <c r="B161" s="1">
        <v>17</v>
      </c>
      <c r="C161" s="1" t="str">
        <f>LOOKUP(B161,Sheet2!$D$4:$E$9)</f>
        <v>8+</v>
      </c>
      <c r="D161" s="1">
        <v>163</v>
      </c>
      <c r="E161" t="str">
        <f>LOOKUP(D161,Sheet2!$G$4:$H$9)</f>
        <v>151-175</v>
      </c>
      <c r="F161" s="1">
        <v>72</v>
      </c>
      <c r="G161" t="str">
        <f>LOOKUP(F161,Sheet2!$J$4:$K$8)</f>
        <v>70-79</v>
      </c>
      <c r="H161" s="1">
        <v>41</v>
      </c>
      <c r="I161" t="str">
        <f>LOOKUP(H161,Sheet2!$M$4:$N$8)</f>
        <v>40+</v>
      </c>
      <c r="J161" s="1">
        <v>114</v>
      </c>
      <c r="K161" t="str">
        <f>LOOKUP(J161,Sheet2!$P$4:$Q$9)</f>
        <v>100-199</v>
      </c>
      <c r="L161" s="1">
        <v>40.9</v>
      </c>
      <c r="M161" t="str">
        <f>LOOKUP(L161,Sheet2!$S$4:$T$8)</f>
        <v>36+</v>
      </c>
      <c r="N161" s="1">
        <v>0.81699999999999995</v>
      </c>
      <c r="O161" t="str">
        <f>LOOKUP(N161,Sheet2!$V$4:$W$7)</f>
        <v>0.7+</v>
      </c>
      <c r="P161" s="1">
        <v>47</v>
      </c>
      <c r="Q161" t="str">
        <f>LOOKUP(P161,Sheet2!$Z$4:$AA$7)</f>
        <v>46+</v>
      </c>
      <c r="R161" s="1">
        <v>1</v>
      </c>
      <c r="S161" t="str">
        <f>IF(R161=1,"Positive","Negative")</f>
        <v>Positive</v>
      </c>
      <c r="T161" s="1" t="str">
        <f>IFERROR(VLOOKUP(A161,[1]diabetes_Recognition!$A:$B,2,FALSE),"Not Sampled")</f>
        <v>Not Sampled</v>
      </c>
      <c r="U161" t="str">
        <f>IF(T161=1,"Positive",(IF(T161=0,"Negative","Not Sampled")))</f>
        <v>Not Sampled</v>
      </c>
      <c r="V161" s="1" t="str">
        <f>IF(U161="Not Sampled","Not Sampled",IF(S161=U161,"Accurate Prediction","Inaccurate Prediction"))</f>
        <v>Not Sampled</v>
      </c>
    </row>
    <row r="162" spans="1:22" x14ac:dyDescent="0.25">
      <c r="A162" s="1">
        <v>160</v>
      </c>
      <c r="B162" s="1">
        <v>4</v>
      </c>
      <c r="C162" s="1" t="str">
        <f>LOOKUP(B162,Sheet2!$D$4:$E$9)</f>
        <v>3-4</v>
      </c>
      <c r="D162" s="1">
        <v>151</v>
      </c>
      <c r="E162" t="str">
        <f>LOOKUP(D162,Sheet2!$G$4:$H$9)</f>
        <v>151-175</v>
      </c>
      <c r="F162" s="1">
        <v>90</v>
      </c>
      <c r="G162" t="str">
        <f>LOOKUP(F162,Sheet2!$J$4:$K$8)</f>
        <v>80+</v>
      </c>
      <c r="H162" s="1">
        <v>38</v>
      </c>
      <c r="I162" t="str">
        <f>LOOKUP(H162,Sheet2!$M$4:$N$8)</f>
        <v>30-39</v>
      </c>
      <c r="J162" s="1">
        <v>0</v>
      </c>
      <c r="K162" t="str">
        <f>LOOKUP(J162,Sheet2!$P$4:$Q$9)</f>
        <v>Unknown</v>
      </c>
      <c r="L162" s="1">
        <v>29.7</v>
      </c>
      <c r="M162" t="str">
        <f>LOOKUP(L162,Sheet2!$S$4:$T$8)</f>
        <v>26-30</v>
      </c>
      <c r="N162" s="1">
        <v>0.29399999999999998</v>
      </c>
      <c r="O162" t="str">
        <f>LOOKUP(N162,Sheet2!$V$4:$W$7)</f>
        <v>0.25 - 0.39</v>
      </c>
      <c r="P162" s="1">
        <v>36</v>
      </c>
      <c r="Q162" t="str">
        <f>LOOKUP(P162,Sheet2!$Z$4:$AA$7)</f>
        <v>36-45</v>
      </c>
      <c r="R162" s="1">
        <v>0</v>
      </c>
      <c r="S162" t="str">
        <f>IF(R162=1,"Positive","Negative")</f>
        <v>Negative</v>
      </c>
      <c r="T162" s="1" t="str">
        <f>IFERROR(VLOOKUP(A162,[1]diabetes_Recognition!$A:$B,2,FALSE),"Not Sampled")</f>
        <v>Not Sampled</v>
      </c>
      <c r="U162" t="str">
        <f>IF(T162=1,"Positive",(IF(T162=0,"Negative","Not Sampled")))</f>
        <v>Not Sampled</v>
      </c>
      <c r="V162" s="1" t="str">
        <f>IF(U162="Not Sampled","Not Sampled",IF(S162=U162,"Accurate Prediction","Inaccurate Prediction"))</f>
        <v>Not Sampled</v>
      </c>
    </row>
    <row r="163" spans="1:22" x14ac:dyDescent="0.25">
      <c r="A163" s="1">
        <v>161</v>
      </c>
      <c r="B163" s="1">
        <v>7</v>
      </c>
      <c r="C163" s="1" t="str">
        <f>LOOKUP(B163,Sheet2!$D$4:$E$9)</f>
        <v>5-7</v>
      </c>
      <c r="D163" s="1">
        <v>102</v>
      </c>
      <c r="E163" t="str">
        <f>LOOKUP(D163,Sheet2!$G$4:$H$9)</f>
        <v>100-125</v>
      </c>
      <c r="F163" s="1">
        <v>74</v>
      </c>
      <c r="G163" t="str">
        <f>LOOKUP(F163,Sheet2!$J$4:$K$8)</f>
        <v>70-79</v>
      </c>
      <c r="H163" s="1">
        <v>40</v>
      </c>
      <c r="I163" t="str">
        <f>LOOKUP(H163,Sheet2!$M$4:$N$8)</f>
        <v>40+</v>
      </c>
      <c r="J163" s="1">
        <v>105</v>
      </c>
      <c r="K163" t="str">
        <f>LOOKUP(J163,Sheet2!$P$4:$Q$9)</f>
        <v>100-199</v>
      </c>
      <c r="L163" s="1">
        <v>37.200000000000003</v>
      </c>
      <c r="M163" t="str">
        <f>LOOKUP(L163,Sheet2!$S$4:$T$8)</f>
        <v>36+</v>
      </c>
      <c r="N163" s="1">
        <v>0.20399999999999999</v>
      </c>
      <c r="O163" t="str">
        <f>LOOKUP(N163,Sheet2!$V$4:$W$7)</f>
        <v>0.0 - 0.249</v>
      </c>
      <c r="P163" s="1">
        <v>45</v>
      </c>
      <c r="Q163" t="str">
        <f>LOOKUP(P163,Sheet2!$Z$4:$AA$7)</f>
        <v>36-45</v>
      </c>
      <c r="R163" s="1">
        <v>0</v>
      </c>
      <c r="S163" t="str">
        <f>IF(R163=1,"Positive","Negative")</f>
        <v>Negative</v>
      </c>
      <c r="T163" s="1">
        <f>IFERROR(VLOOKUP(A163,[1]diabetes_Recognition!$A:$B,2,FALSE),"Not Sampled")</f>
        <v>0</v>
      </c>
      <c r="U163" t="str">
        <f>IF(T163=1,"Positive",(IF(T163=0,"Negative","Not Sampled")))</f>
        <v>Negative</v>
      </c>
      <c r="V163" s="1" t="str">
        <f>IF(U163="Not Sampled","Not Sampled",IF(S163=U163,"Accurate Prediction","Inaccurate Prediction"))</f>
        <v>Accurate Prediction</v>
      </c>
    </row>
    <row r="164" spans="1:22" x14ac:dyDescent="0.25">
      <c r="A164" s="1">
        <v>162</v>
      </c>
      <c r="B164" s="1">
        <v>0</v>
      </c>
      <c r="C164" s="1">
        <f>LOOKUP(B164,Sheet2!$D$4:$E$9)</f>
        <v>0</v>
      </c>
      <c r="D164" s="1">
        <v>114</v>
      </c>
      <c r="E164" t="str">
        <f>LOOKUP(D164,Sheet2!$G$4:$H$9)</f>
        <v>100-125</v>
      </c>
      <c r="F164" s="1">
        <v>80</v>
      </c>
      <c r="G164" t="str">
        <f>LOOKUP(F164,Sheet2!$J$4:$K$8)</f>
        <v>80+</v>
      </c>
      <c r="H164" s="1">
        <v>34</v>
      </c>
      <c r="I164" t="str">
        <f>LOOKUP(H164,Sheet2!$M$4:$N$8)</f>
        <v>30-39</v>
      </c>
      <c r="J164" s="1">
        <v>285</v>
      </c>
      <c r="K164" t="str">
        <f>LOOKUP(J164,Sheet2!$P$4:$Q$9)</f>
        <v>200-399</v>
      </c>
      <c r="L164" s="1">
        <v>44.2</v>
      </c>
      <c r="M164" t="str">
        <f>LOOKUP(L164,Sheet2!$S$4:$T$8)</f>
        <v>36+</v>
      </c>
      <c r="N164" s="1">
        <v>0.16700000000000001</v>
      </c>
      <c r="O164" t="str">
        <f>LOOKUP(N164,Sheet2!$V$4:$W$7)</f>
        <v>0.0 - 0.249</v>
      </c>
      <c r="P164" s="1">
        <v>27</v>
      </c>
      <c r="Q164" t="str">
        <f>LOOKUP(P164,Sheet2!$Z$4:$AA$7)</f>
        <v>26-35</v>
      </c>
      <c r="R164" s="1">
        <v>0</v>
      </c>
      <c r="S164" t="str">
        <f>IF(R164=1,"Positive","Negative")</f>
        <v>Negative</v>
      </c>
      <c r="T164" s="1" t="str">
        <f>IFERROR(VLOOKUP(A164,[1]diabetes_Recognition!$A:$B,2,FALSE),"Not Sampled")</f>
        <v>Not Sampled</v>
      </c>
      <c r="U164" t="str">
        <f>IF(T164=1,"Positive",(IF(T164=0,"Negative","Not Sampled")))</f>
        <v>Not Sampled</v>
      </c>
      <c r="V164" s="1" t="str">
        <f>IF(U164="Not Sampled","Not Sampled",IF(S164=U164,"Accurate Prediction","Inaccurate Prediction"))</f>
        <v>Not Sampled</v>
      </c>
    </row>
    <row r="165" spans="1:22" x14ac:dyDescent="0.25">
      <c r="A165" s="1">
        <v>163</v>
      </c>
      <c r="B165" s="1">
        <v>2</v>
      </c>
      <c r="C165" s="1">
        <f>LOOKUP(B165,Sheet2!$D$4:$E$9)</f>
        <v>2</v>
      </c>
      <c r="D165" s="1">
        <v>100</v>
      </c>
      <c r="E165" t="str">
        <f>LOOKUP(D165,Sheet2!$G$4:$H$9)</f>
        <v>100-125</v>
      </c>
      <c r="F165" s="1">
        <v>64</v>
      </c>
      <c r="G165" t="str">
        <f>LOOKUP(F165,Sheet2!$J$4:$K$8)</f>
        <v>60-69</v>
      </c>
      <c r="H165" s="1">
        <v>23</v>
      </c>
      <c r="I165" t="str">
        <f>LOOKUP(H165,Sheet2!$M$4:$N$8)</f>
        <v>10-30</v>
      </c>
      <c r="J165" s="1">
        <v>0</v>
      </c>
      <c r="K165" t="str">
        <f>LOOKUP(J165,Sheet2!$P$4:$Q$9)</f>
        <v>Unknown</v>
      </c>
      <c r="L165" s="1">
        <v>29.7</v>
      </c>
      <c r="M165" t="str">
        <f>LOOKUP(L165,Sheet2!$S$4:$T$8)</f>
        <v>26-30</v>
      </c>
      <c r="N165" s="1">
        <v>0.36799999999999999</v>
      </c>
      <c r="O165" t="str">
        <f>LOOKUP(N165,Sheet2!$V$4:$W$7)</f>
        <v>0.25 - 0.39</v>
      </c>
      <c r="P165" s="1">
        <v>21</v>
      </c>
      <c r="Q165" t="str">
        <f>LOOKUP(P165,Sheet2!$Z$4:$AA$7)</f>
        <v>&lt;=25</v>
      </c>
      <c r="R165" s="1">
        <v>0</v>
      </c>
      <c r="S165" t="str">
        <f>IF(R165=1,"Positive","Negative")</f>
        <v>Negative</v>
      </c>
      <c r="T165" s="1" t="str">
        <f>IFERROR(VLOOKUP(A165,[1]diabetes_Recognition!$A:$B,2,FALSE),"Not Sampled")</f>
        <v>Not Sampled</v>
      </c>
      <c r="U165" t="str">
        <f>IF(T165=1,"Positive",(IF(T165=0,"Negative","Not Sampled")))</f>
        <v>Not Sampled</v>
      </c>
      <c r="V165" s="1" t="str">
        <f>IF(U165="Not Sampled","Not Sampled",IF(S165=U165,"Accurate Prediction","Inaccurate Prediction"))</f>
        <v>Not Sampled</v>
      </c>
    </row>
    <row r="166" spans="1:22" x14ac:dyDescent="0.25">
      <c r="A166" s="1">
        <v>164</v>
      </c>
      <c r="B166" s="1">
        <v>0</v>
      </c>
      <c r="C166" s="1">
        <f>LOOKUP(B166,Sheet2!$D$4:$E$9)</f>
        <v>0</v>
      </c>
      <c r="D166" s="1">
        <v>131</v>
      </c>
      <c r="E166" t="str">
        <f>LOOKUP(D166,Sheet2!$G$4:$H$9)</f>
        <v>126-150</v>
      </c>
      <c r="F166" s="1">
        <v>88</v>
      </c>
      <c r="G166" t="str">
        <f>LOOKUP(F166,Sheet2!$J$4:$K$8)</f>
        <v>80+</v>
      </c>
      <c r="H166" s="1">
        <v>0</v>
      </c>
      <c r="I166" t="str">
        <f>LOOKUP(H166,Sheet2!$M$4:$N$8)</f>
        <v>Unknown</v>
      </c>
      <c r="J166" s="1">
        <v>0</v>
      </c>
      <c r="K166" t="str">
        <f>LOOKUP(J166,Sheet2!$P$4:$Q$9)</f>
        <v>Unknown</v>
      </c>
      <c r="L166" s="1">
        <v>31.6</v>
      </c>
      <c r="M166" t="str">
        <f>LOOKUP(L166,Sheet2!$S$4:$T$8)</f>
        <v>31-35</v>
      </c>
      <c r="N166" s="1">
        <v>0.74299999999999999</v>
      </c>
      <c r="O166" t="str">
        <f>LOOKUP(N166,Sheet2!$V$4:$W$7)</f>
        <v>0.7+</v>
      </c>
      <c r="P166" s="1">
        <v>32</v>
      </c>
      <c r="Q166" t="str">
        <f>LOOKUP(P166,Sheet2!$Z$4:$AA$7)</f>
        <v>26-35</v>
      </c>
      <c r="R166" s="1">
        <v>1</v>
      </c>
      <c r="S166" t="str">
        <f>IF(R166=1,"Positive","Negative")</f>
        <v>Positive</v>
      </c>
      <c r="T166" s="1" t="str">
        <f>IFERROR(VLOOKUP(A166,[1]diabetes_Recognition!$A:$B,2,FALSE),"Not Sampled")</f>
        <v>Not Sampled</v>
      </c>
      <c r="U166" t="str">
        <f>IF(T166=1,"Positive",(IF(T166=0,"Negative","Not Sampled")))</f>
        <v>Not Sampled</v>
      </c>
      <c r="V166" s="1" t="str">
        <f>IF(U166="Not Sampled","Not Sampled",IF(S166=U166,"Accurate Prediction","Inaccurate Prediction"))</f>
        <v>Not Sampled</v>
      </c>
    </row>
    <row r="167" spans="1:22" x14ac:dyDescent="0.25">
      <c r="A167" s="1">
        <v>165</v>
      </c>
      <c r="B167" s="1">
        <v>6</v>
      </c>
      <c r="C167" s="1" t="str">
        <f>LOOKUP(B167,Sheet2!$D$4:$E$9)</f>
        <v>5-7</v>
      </c>
      <c r="D167" s="1">
        <v>104</v>
      </c>
      <c r="E167" t="str">
        <f>LOOKUP(D167,Sheet2!$G$4:$H$9)</f>
        <v>100-125</v>
      </c>
      <c r="F167" s="1">
        <v>74</v>
      </c>
      <c r="G167" t="str">
        <f>LOOKUP(F167,Sheet2!$J$4:$K$8)</f>
        <v>70-79</v>
      </c>
      <c r="H167" s="1">
        <v>18</v>
      </c>
      <c r="I167" t="str">
        <f>LOOKUP(H167,Sheet2!$M$4:$N$8)</f>
        <v>10-30</v>
      </c>
      <c r="J167" s="1">
        <v>156</v>
      </c>
      <c r="K167" t="str">
        <f>LOOKUP(J167,Sheet2!$P$4:$Q$9)</f>
        <v>100-199</v>
      </c>
      <c r="L167" s="1">
        <v>29.9</v>
      </c>
      <c r="M167" t="str">
        <f>LOOKUP(L167,Sheet2!$S$4:$T$8)</f>
        <v>26-30</v>
      </c>
      <c r="N167" s="1">
        <v>0.72199999999999998</v>
      </c>
      <c r="O167" t="str">
        <f>LOOKUP(N167,Sheet2!$V$4:$W$7)</f>
        <v>0.7+</v>
      </c>
      <c r="P167" s="1">
        <v>41</v>
      </c>
      <c r="Q167" t="str">
        <f>LOOKUP(P167,Sheet2!$Z$4:$AA$7)</f>
        <v>36-45</v>
      </c>
      <c r="R167" s="1">
        <v>1</v>
      </c>
      <c r="S167" t="str">
        <f>IF(R167=1,"Positive","Negative")</f>
        <v>Positive</v>
      </c>
      <c r="T167" s="1">
        <f>IFERROR(VLOOKUP(A167,[1]diabetes_Recognition!$A:$B,2,FALSE),"Not Sampled")</f>
        <v>0</v>
      </c>
      <c r="U167" t="str">
        <f>IF(T167=1,"Positive",(IF(T167=0,"Negative","Not Sampled")))</f>
        <v>Negative</v>
      </c>
      <c r="V167" s="1" t="str">
        <f>IF(U167="Not Sampled","Not Sampled",IF(S167=U167,"Accurate Prediction","Inaccurate Prediction"))</f>
        <v>Inaccurate Prediction</v>
      </c>
    </row>
    <row r="168" spans="1:22" x14ac:dyDescent="0.25">
      <c r="A168" s="1">
        <v>166</v>
      </c>
      <c r="B168" s="1">
        <v>3</v>
      </c>
      <c r="C168" s="1" t="str">
        <f>LOOKUP(B168,Sheet2!$D$4:$E$9)</f>
        <v>3-4</v>
      </c>
      <c r="D168" s="1">
        <v>148</v>
      </c>
      <c r="E168" t="str">
        <f>LOOKUP(D168,Sheet2!$G$4:$H$9)</f>
        <v>126-150</v>
      </c>
      <c r="F168" s="1">
        <v>66</v>
      </c>
      <c r="G168" t="str">
        <f>LOOKUP(F168,Sheet2!$J$4:$K$8)</f>
        <v>60-69</v>
      </c>
      <c r="H168" s="1">
        <v>25</v>
      </c>
      <c r="I168" t="str">
        <f>LOOKUP(H168,Sheet2!$M$4:$N$8)</f>
        <v>10-30</v>
      </c>
      <c r="J168" s="1">
        <v>0</v>
      </c>
      <c r="K168" t="str">
        <f>LOOKUP(J168,Sheet2!$P$4:$Q$9)</f>
        <v>Unknown</v>
      </c>
      <c r="L168" s="1">
        <v>32.5</v>
      </c>
      <c r="M168" t="str">
        <f>LOOKUP(L168,Sheet2!$S$4:$T$8)</f>
        <v>31-35</v>
      </c>
      <c r="N168" s="1">
        <v>0.25600000000000001</v>
      </c>
      <c r="O168" t="str">
        <f>LOOKUP(N168,Sheet2!$V$4:$W$7)</f>
        <v>0.25 - 0.39</v>
      </c>
      <c r="P168" s="1">
        <v>22</v>
      </c>
      <c r="Q168" t="str">
        <f>LOOKUP(P168,Sheet2!$Z$4:$AA$7)</f>
        <v>&lt;=25</v>
      </c>
      <c r="R168" s="1">
        <v>0</v>
      </c>
      <c r="S168" t="str">
        <f>IF(R168=1,"Positive","Negative")</f>
        <v>Negative</v>
      </c>
      <c r="T168" s="1" t="str">
        <f>IFERROR(VLOOKUP(A168,[1]diabetes_Recognition!$A:$B,2,FALSE),"Not Sampled")</f>
        <v>Not Sampled</v>
      </c>
      <c r="U168" t="str">
        <f>IF(T168=1,"Positive",(IF(T168=0,"Negative","Not Sampled")))</f>
        <v>Not Sampled</v>
      </c>
      <c r="V168" s="1" t="str">
        <f>IF(U168="Not Sampled","Not Sampled",IF(S168=U168,"Accurate Prediction","Inaccurate Prediction"))</f>
        <v>Not Sampled</v>
      </c>
    </row>
    <row r="169" spans="1:22" x14ac:dyDescent="0.25">
      <c r="A169" s="1">
        <v>167</v>
      </c>
      <c r="B169" s="1">
        <v>4</v>
      </c>
      <c r="C169" s="1" t="str">
        <f>LOOKUP(B169,Sheet2!$D$4:$E$9)</f>
        <v>3-4</v>
      </c>
      <c r="D169" s="1">
        <v>120</v>
      </c>
      <c r="E169" t="str">
        <f>LOOKUP(D169,Sheet2!$G$4:$H$9)</f>
        <v>100-125</v>
      </c>
      <c r="F169" s="1">
        <v>68</v>
      </c>
      <c r="G169" t="str">
        <f>LOOKUP(F169,Sheet2!$J$4:$K$8)</f>
        <v>60-69</v>
      </c>
      <c r="H169" s="1">
        <v>0</v>
      </c>
      <c r="I169" t="str">
        <f>LOOKUP(H169,Sheet2!$M$4:$N$8)</f>
        <v>Unknown</v>
      </c>
      <c r="J169" s="1">
        <v>0</v>
      </c>
      <c r="K169" t="str">
        <f>LOOKUP(J169,Sheet2!$P$4:$Q$9)</f>
        <v>Unknown</v>
      </c>
      <c r="L169" s="1">
        <v>29.6</v>
      </c>
      <c r="M169" t="str">
        <f>LOOKUP(L169,Sheet2!$S$4:$T$8)</f>
        <v>26-30</v>
      </c>
      <c r="N169" s="1">
        <v>0.70899999999999996</v>
      </c>
      <c r="O169" t="str">
        <f>LOOKUP(N169,Sheet2!$V$4:$W$7)</f>
        <v>0.7+</v>
      </c>
      <c r="P169" s="1">
        <v>34</v>
      </c>
      <c r="Q169" t="str">
        <f>LOOKUP(P169,Sheet2!$Z$4:$AA$7)</f>
        <v>26-35</v>
      </c>
      <c r="R169" s="1">
        <v>0</v>
      </c>
      <c r="S169" t="str">
        <f>IF(R169=1,"Positive","Negative")</f>
        <v>Negative</v>
      </c>
      <c r="T169" s="1">
        <f>IFERROR(VLOOKUP(A169,[1]diabetes_Recognition!$A:$B,2,FALSE),"Not Sampled")</f>
        <v>0</v>
      </c>
      <c r="U169" t="str">
        <f>IF(T169=1,"Positive",(IF(T169=0,"Negative","Not Sampled")))</f>
        <v>Negative</v>
      </c>
      <c r="V169" s="1" t="str">
        <f>IF(U169="Not Sampled","Not Sampled",IF(S169=U169,"Accurate Prediction","Inaccurate Prediction"))</f>
        <v>Accurate Prediction</v>
      </c>
    </row>
    <row r="170" spans="1:22" x14ac:dyDescent="0.25">
      <c r="A170" s="1">
        <v>168</v>
      </c>
      <c r="B170" s="1">
        <v>4</v>
      </c>
      <c r="C170" s="1" t="str">
        <f>LOOKUP(B170,Sheet2!$D$4:$E$9)</f>
        <v>3-4</v>
      </c>
      <c r="D170" s="1">
        <v>110</v>
      </c>
      <c r="E170" t="str">
        <f>LOOKUP(D170,Sheet2!$G$4:$H$9)</f>
        <v>100-125</v>
      </c>
      <c r="F170" s="1">
        <v>66</v>
      </c>
      <c r="G170" t="str">
        <f>LOOKUP(F170,Sheet2!$J$4:$K$8)</f>
        <v>60-69</v>
      </c>
      <c r="H170" s="1">
        <v>0</v>
      </c>
      <c r="I170" t="str">
        <f>LOOKUP(H170,Sheet2!$M$4:$N$8)</f>
        <v>Unknown</v>
      </c>
      <c r="J170" s="1">
        <v>0</v>
      </c>
      <c r="K170" t="str">
        <f>LOOKUP(J170,Sheet2!$P$4:$Q$9)</f>
        <v>Unknown</v>
      </c>
      <c r="L170" s="1">
        <v>31.9</v>
      </c>
      <c r="M170" t="str">
        <f>LOOKUP(L170,Sheet2!$S$4:$T$8)</f>
        <v>31-35</v>
      </c>
      <c r="N170" s="1">
        <v>0.47099999999999997</v>
      </c>
      <c r="O170" t="str">
        <f>LOOKUP(N170,Sheet2!$V$4:$W$7)</f>
        <v>0.4 - 0.69</v>
      </c>
      <c r="P170" s="1">
        <v>29</v>
      </c>
      <c r="Q170" t="str">
        <f>LOOKUP(P170,Sheet2!$Z$4:$AA$7)</f>
        <v>26-35</v>
      </c>
      <c r="R170" s="1">
        <v>0</v>
      </c>
      <c r="S170" t="str">
        <f>IF(R170=1,"Positive","Negative")</f>
        <v>Negative</v>
      </c>
      <c r="T170" s="1" t="str">
        <f>IFERROR(VLOOKUP(A170,[1]diabetes_Recognition!$A:$B,2,FALSE),"Not Sampled")</f>
        <v>Not Sampled</v>
      </c>
      <c r="U170" t="str">
        <f>IF(T170=1,"Positive",(IF(T170=0,"Negative","Not Sampled")))</f>
        <v>Not Sampled</v>
      </c>
      <c r="V170" s="1" t="str">
        <f>IF(U170="Not Sampled","Not Sampled",IF(S170=U170,"Accurate Prediction","Inaccurate Prediction"))</f>
        <v>Not Sampled</v>
      </c>
    </row>
    <row r="171" spans="1:22" x14ac:dyDescent="0.25">
      <c r="A171" s="1">
        <v>169</v>
      </c>
      <c r="B171" s="1">
        <v>3</v>
      </c>
      <c r="C171" s="1" t="str">
        <f>LOOKUP(B171,Sheet2!$D$4:$E$9)</f>
        <v>3-4</v>
      </c>
      <c r="D171" s="1">
        <v>111</v>
      </c>
      <c r="E171" t="str">
        <f>LOOKUP(D171,Sheet2!$G$4:$H$9)</f>
        <v>100-125</v>
      </c>
      <c r="F171" s="1">
        <v>90</v>
      </c>
      <c r="G171" t="str">
        <f>LOOKUP(F171,Sheet2!$J$4:$K$8)</f>
        <v>80+</v>
      </c>
      <c r="H171" s="1">
        <v>12</v>
      </c>
      <c r="I171" t="str">
        <f>LOOKUP(H171,Sheet2!$M$4:$N$8)</f>
        <v>10-30</v>
      </c>
      <c r="J171" s="1">
        <v>78</v>
      </c>
      <c r="K171" t="str">
        <f>LOOKUP(J171,Sheet2!$P$4:$Q$9)</f>
        <v>1-99</v>
      </c>
      <c r="L171" s="1">
        <v>28.4</v>
      </c>
      <c r="M171" t="str">
        <f>LOOKUP(L171,Sheet2!$S$4:$T$8)</f>
        <v>26-30</v>
      </c>
      <c r="N171" s="1">
        <v>0.495</v>
      </c>
      <c r="O171" t="str">
        <f>LOOKUP(N171,Sheet2!$V$4:$W$7)</f>
        <v>0.4 - 0.69</v>
      </c>
      <c r="P171" s="1">
        <v>29</v>
      </c>
      <c r="Q171" t="str">
        <f>LOOKUP(P171,Sheet2!$Z$4:$AA$7)</f>
        <v>26-35</v>
      </c>
      <c r="R171" s="1">
        <v>0</v>
      </c>
      <c r="S171" t="str">
        <f>IF(R171=1,"Positive","Negative")</f>
        <v>Negative</v>
      </c>
      <c r="T171" s="1">
        <f>IFERROR(VLOOKUP(A171,[1]diabetes_Recognition!$A:$B,2,FALSE),"Not Sampled")</f>
        <v>0</v>
      </c>
      <c r="U171" t="str">
        <f>IF(T171=1,"Positive",(IF(T171=0,"Negative","Not Sampled")))</f>
        <v>Negative</v>
      </c>
      <c r="V171" s="1" t="str">
        <f>IF(U171="Not Sampled","Not Sampled",IF(S171=U171,"Accurate Prediction","Inaccurate Prediction"))</f>
        <v>Accurate Prediction</v>
      </c>
    </row>
    <row r="172" spans="1:22" x14ac:dyDescent="0.25">
      <c r="A172" s="1">
        <v>170</v>
      </c>
      <c r="B172" s="1">
        <v>6</v>
      </c>
      <c r="C172" s="1" t="str">
        <f>LOOKUP(B172,Sheet2!$D$4:$E$9)</f>
        <v>5-7</v>
      </c>
      <c r="D172" s="1">
        <v>102</v>
      </c>
      <c r="E172" t="str">
        <f>LOOKUP(D172,Sheet2!$G$4:$H$9)</f>
        <v>100-125</v>
      </c>
      <c r="F172" s="1">
        <v>82</v>
      </c>
      <c r="G172" t="str">
        <f>LOOKUP(F172,Sheet2!$J$4:$K$8)</f>
        <v>80+</v>
      </c>
      <c r="H172" s="1">
        <v>0</v>
      </c>
      <c r="I172" t="str">
        <f>LOOKUP(H172,Sheet2!$M$4:$N$8)</f>
        <v>Unknown</v>
      </c>
      <c r="J172" s="1">
        <v>0</v>
      </c>
      <c r="K172" t="str">
        <f>LOOKUP(J172,Sheet2!$P$4:$Q$9)</f>
        <v>Unknown</v>
      </c>
      <c r="L172" s="1">
        <v>30.8</v>
      </c>
      <c r="M172" t="str">
        <f>LOOKUP(L172,Sheet2!$S$4:$T$8)</f>
        <v>26-30</v>
      </c>
      <c r="N172" s="1">
        <v>0.18</v>
      </c>
      <c r="O172" t="str">
        <f>LOOKUP(N172,Sheet2!$V$4:$W$7)</f>
        <v>0.0 - 0.249</v>
      </c>
      <c r="P172" s="1">
        <v>36</v>
      </c>
      <c r="Q172" t="str">
        <f>LOOKUP(P172,Sheet2!$Z$4:$AA$7)</f>
        <v>36-45</v>
      </c>
      <c r="R172" s="1">
        <v>1</v>
      </c>
      <c r="S172" t="str">
        <f>IF(R172=1,"Positive","Negative")</f>
        <v>Positive</v>
      </c>
      <c r="T172" s="1" t="str">
        <f>IFERROR(VLOOKUP(A172,[1]diabetes_Recognition!$A:$B,2,FALSE),"Not Sampled")</f>
        <v>Not Sampled</v>
      </c>
      <c r="U172" t="str">
        <f>IF(T172=1,"Positive",(IF(T172=0,"Negative","Not Sampled")))</f>
        <v>Not Sampled</v>
      </c>
      <c r="V172" s="1" t="str">
        <f>IF(U172="Not Sampled","Not Sampled",IF(S172=U172,"Accurate Prediction","Inaccurate Prediction"))</f>
        <v>Not Sampled</v>
      </c>
    </row>
    <row r="173" spans="1:22" x14ac:dyDescent="0.25">
      <c r="A173" s="1">
        <v>171</v>
      </c>
      <c r="B173" s="1">
        <v>6</v>
      </c>
      <c r="C173" s="1" t="str">
        <f>LOOKUP(B173,Sheet2!$D$4:$E$9)</f>
        <v>5-7</v>
      </c>
      <c r="D173" s="1">
        <v>134</v>
      </c>
      <c r="E173" t="str">
        <f>LOOKUP(D173,Sheet2!$G$4:$H$9)</f>
        <v>126-150</v>
      </c>
      <c r="F173" s="1">
        <v>70</v>
      </c>
      <c r="G173" t="str">
        <f>LOOKUP(F173,Sheet2!$J$4:$K$8)</f>
        <v>70-79</v>
      </c>
      <c r="H173" s="1">
        <v>23</v>
      </c>
      <c r="I173" t="str">
        <f>LOOKUP(H173,Sheet2!$M$4:$N$8)</f>
        <v>10-30</v>
      </c>
      <c r="J173" s="1">
        <v>130</v>
      </c>
      <c r="K173" t="str">
        <f>LOOKUP(J173,Sheet2!$P$4:$Q$9)</f>
        <v>100-199</v>
      </c>
      <c r="L173" s="1">
        <v>35.4</v>
      </c>
      <c r="M173" t="str">
        <f>LOOKUP(L173,Sheet2!$S$4:$T$8)</f>
        <v>31-35</v>
      </c>
      <c r="N173" s="1">
        <v>0.54200000000000004</v>
      </c>
      <c r="O173" t="str">
        <f>LOOKUP(N173,Sheet2!$V$4:$W$7)</f>
        <v>0.4 - 0.69</v>
      </c>
      <c r="P173" s="1">
        <v>29</v>
      </c>
      <c r="Q173" t="str">
        <f>LOOKUP(P173,Sheet2!$Z$4:$AA$7)</f>
        <v>26-35</v>
      </c>
      <c r="R173" s="1">
        <v>1</v>
      </c>
      <c r="S173" t="str">
        <f>IF(R173=1,"Positive","Negative")</f>
        <v>Positive</v>
      </c>
      <c r="T173" s="1" t="str">
        <f>IFERROR(VLOOKUP(A173,[1]diabetes_Recognition!$A:$B,2,FALSE),"Not Sampled")</f>
        <v>Not Sampled</v>
      </c>
      <c r="U173" t="str">
        <f>IF(T173=1,"Positive",(IF(T173=0,"Negative","Not Sampled")))</f>
        <v>Not Sampled</v>
      </c>
      <c r="V173" s="1" t="str">
        <f>IF(U173="Not Sampled","Not Sampled",IF(S173=U173,"Accurate Prediction","Inaccurate Prediction"))</f>
        <v>Not Sampled</v>
      </c>
    </row>
    <row r="174" spans="1:22" x14ac:dyDescent="0.25">
      <c r="A174" s="1">
        <v>172</v>
      </c>
      <c r="B174" s="1">
        <v>2</v>
      </c>
      <c r="C174" s="1">
        <f>LOOKUP(B174,Sheet2!$D$4:$E$9)</f>
        <v>2</v>
      </c>
      <c r="D174" s="1">
        <v>87</v>
      </c>
      <c r="E174" t="str">
        <f>LOOKUP(D174,Sheet2!$G$4:$H$9)</f>
        <v>1-99</v>
      </c>
      <c r="F174" s="1">
        <v>0</v>
      </c>
      <c r="G174" t="str">
        <f>LOOKUP(F174,Sheet2!$J$4:$K$8)</f>
        <v>Unknown</v>
      </c>
      <c r="H174" s="1">
        <v>23</v>
      </c>
      <c r="I174" t="str">
        <f>LOOKUP(H174,Sheet2!$M$4:$N$8)</f>
        <v>10-30</v>
      </c>
      <c r="J174" s="1">
        <v>0</v>
      </c>
      <c r="K174" t="str">
        <f>LOOKUP(J174,Sheet2!$P$4:$Q$9)</f>
        <v>Unknown</v>
      </c>
      <c r="L174" s="1">
        <v>28.9</v>
      </c>
      <c r="M174" t="str">
        <f>LOOKUP(L174,Sheet2!$S$4:$T$8)</f>
        <v>26-30</v>
      </c>
      <c r="N174" s="1">
        <v>0.77300000000000002</v>
      </c>
      <c r="O174" t="str">
        <f>LOOKUP(N174,Sheet2!$V$4:$W$7)</f>
        <v>0.7+</v>
      </c>
      <c r="P174" s="1">
        <v>25</v>
      </c>
      <c r="Q174" t="str">
        <f>LOOKUP(P174,Sheet2!$Z$4:$AA$7)</f>
        <v>&lt;=25</v>
      </c>
      <c r="R174" s="1">
        <v>0</v>
      </c>
      <c r="S174" t="str">
        <f>IF(R174=1,"Positive","Negative")</f>
        <v>Negative</v>
      </c>
      <c r="T174" s="1" t="str">
        <f>IFERROR(VLOOKUP(A174,[1]diabetes_Recognition!$A:$B,2,FALSE),"Not Sampled")</f>
        <v>Not Sampled</v>
      </c>
      <c r="U174" t="str">
        <f>IF(T174=1,"Positive",(IF(T174=0,"Negative","Not Sampled")))</f>
        <v>Not Sampled</v>
      </c>
      <c r="V174" s="1" t="str">
        <f>IF(U174="Not Sampled","Not Sampled",IF(S174=U174,"Accurate Prediction","Inaccurate Prediction"))</f>
        <v>Not Sampled</v>
      </c>
    </row>
    <row r="175" spans="1:22" x14ac:dyDescent="0.25">
      <c r="A175" s="1">
        <v>173</v>
      </c>
      <c r="B175" s="1">
        <v>1</v>
      </c>
      <c r="C175" s="1">
        <f>LOOKUP(B175,Sheet2!$D$4:$E$9)</f>
        <v>1</v>
      </c>
      <c r="D175" s="1">
        <v>79</v>
      </c>
      <c r="E175" t="str">
        <f>LOOKUP(D175,Sheet2!$G$4:$H$9)</f>
        <v>1-99</v>
      </c>
      <c r="F175" s="1">
        <v>60</v>
      </c>
      <c r="G175" t="str">
        <f>LOOKUP(F175,Sheet2!$J$4:$K$8)</f>
        <v>60-69</v>
      </c>
      <c r="H175" s="1">
        <v>42</v>
      </c>
      <c r="I175" t="str">
        <f>LOOKUP(H175,Sheet2!$M$4:$N$8)</f>
        <v>40+</v>
      </c>
      <c r="J175" s="1">
        <v>48</v>
      </c>
      <c r="K175" t="str">
        <f>LOOKUP(J175,Sheet2!$P$4:$Q$9)</f>
        <v>1-99</v>
      </c>
      <c r="L175" s="1">
        <v>43.5</v>
      </c>
      <c r="M175" t="str">
        <f>LOOKUP(L175,Sheet2!$S$4:$T$8)</f>
        <v>36+</v>
      </c>
      <c r="N175" s="1">
        <v>0.67800000000000005</v>
      </c>
      <c r="O175" t="str">
        <f>LOOKUP(N175,Sheet2!$V$4:$W$7)</f>
        <v>0.4 - 0.69</v>
      </c>
      <c r="P175" s="1">
        <v>23</v>
      </c>
      <c r="Q175" t="str">
        <f>LOOKUP(P175,Sheet2!$Z$4:$AA$7)</f>
        <v>&lt;=25</v>
      </c>
      <c r="R175" s="1">
        <v>0</v>
      </c>
      <c r="S175" t="str">
        <f>IF(R175=1,"Positive","Negative")</f>
        <v>Negative</v>
      </c>
      <c r="T175" s="1" t="str">
        <f>IFERROR(VLOOKUP(A175,[1]diabetes_Recognition!$A:$B,2,FALSE),"Not Sampled")</f>
        <v>Not Sampled</v>
      </c>
      <c r="U175" t="str">
        <f>IF(T175=1,"Positive",(IF(T175=0,"Negative","Not Sampled")))</f>
        <v>Not Sampled</v>
      </c>
      <c r="V175" s="1" t="str">
        <f>IF(U175="Not Sampled","Not Sampled",IF(S175=U175,"Accurate Prediction","Inaccurate Prediction"))</f>
        <v>Not Sampled</v>
      </c>
    </row>
    <row r="176" spans="1:22" x14ac:dyDescent="0.25">
      <c r="A176" s="1">
        <v>174</v>
      </c>
      <c r="B176" s="1">
        <v>2</v>
      </c>
      <c r="C176" s="1">
        <f>LOOKUP(B176,Sheet2!$D$4:$E$9)</f>
        <v>2</v>
      </c>
      <c r="D176" s="1">
        <v>75</v>
      </c>
      <c r="E176" t="str">
        <f>LOOKUP(D176,Sheet2!$G$4:$H$9)</f>
        <v>1-99</v>
      </c>
      <c r="F176" s="1">
        <v>64</v>
      </c>
      <c r="G176" t="str">
        <f>LOOKUP(F176,Sheet2!$J$4:$K$8)</f>
        <v>60-69</v>
      </c>
      <c r="H176" s="1">
        <v>24</v>
      </c>
      <c r="I176" t="str">
        <f>LOOKUP(H176,Sheet2!$M$4:$N$8)</f>
        <v>10-30</v>
      </c>
      <c r="J176" s="1">
        <v>55</v>
      </c>
      <c r="K176" t="str">
        <f>LOOKUP(J176,Sheet2!$P$4:$Q$9)</f>
        <v>1-99</v>
      </c>
      <c r="L176" s="1">
        <v>29.7</v>
      </c>
      <c r="M176" t="str">
        <f>LOOKUP(L176,Sheet2!$S$4:$T$8)</f>
        <v>26-30</v>
      </c>
      <c r="N176" s="1">
        <v>0.37</v>
      </c>
      <c r="O176" t="str">
        <f>LOOKUP(N176,Sheet2!$V$4:$W$7)</f>
        <v>0.25 - 0.39</v>
      </c>
      <c r="P176" s="1">
        <v>33</v>
      </c>
      <c r="Q176" t="str">
        <f>LOOKUP(P176,Sheet2!$Z$4:$AA$7)</f>
        <v>26-35</v>
      </c>
      <c r="R176" s="1">
        <v>0</v>
      </c>
      <c r="S176" t="str">
        <f>IF(R176=1,"Positive","Negative")</f>
        <v>Negative</v>
      </c>
      <c r="T176" s="1" t="str">
        <f>IFERROR(VLOOKUP(A176,[1]diabetes_Recognition!$A:$B,2,FALSE),"Not Sampled")</f>
        <v>Not Sampled</v>
      </c>
      <c r="U176" t="str">
        <f>IF(T176=1,"Positive",(IF(T176=0,"Negative","Not Sampled")))</f>
        <v>Not Sampled</v>
      </c>
      <c r="V176" s="1" t="str">
        <f>IF(U176="Not Sampled","Not Sampled",IF(S176=U176,"Accurate Prediction","Inaccurate Prediction"))</f>
        <v>Not Sampled</v>
      </c>
    </row>
    <row r="177" spans="1:22" x14ac:dyDescent="0.25">
      <c r="A177" s="1">
        <v>175</v>
      </c>
      <c r="B177" s="1">
        <v>8</v>
      </c>
      <c r="C177" s="1" t="str">
        <f>LOOKUP(B177,Sheet2!$D$4:$E$9)</f>
        <v>8+</v>
      </c>
      <c r="D177" s="1">
        <v>179</v>
      </c>
      <c r="E177" t="str">
        <f>LOOKUP(D177,Sheet2!$G$4:$H$9)</f>
        <v>176-200</v>
      </c>
      <c r="F177" s="1">
        <v>72</v>
      </c>
      <c r="G177" t="str">
        <f>LOOKUP(F177,Sheet2!$J$4:$K$8)</f>
        <v>70-79</v>
      </c>
      <c r="H177" s="1">
        <v>42</v>
      </c>
      <c r="I177" t="str">
        <f>LOOKUP(H177,Sheet2!$M$4:$N$8)</f>
        <v>40+</v>
      </c>
      <c r="J177" s="1">
        <v>130</v>
      </c>
      <c r="K177" t="str">
        <f>LOOKUP(J177,Sheet2!$P$4:$Q$9)</f>
        <v>100-199</v>
      </c>
      <c r="L177" s="1">
        <v>32.700000000000003</v>
      </c>
      <c r="M177" t="str">
        <f>LOOKUP(L177,Sheet2!$S$4:$T$8)</f>
        <v>31-35</v>
      </c>
      <c r="N177" s="1">
        <v>0.71899999999999997</v>
      </c>
      <c r="O177" t="str">
        <f>LOOKUP(N177,Sheet2!$V$4:$W$7)</f>
        <v>0.7+</v>
      </c>
      <c r="P177" s="1">
        <v>36</v>
      </c>
      <c r="Q177" t="str">
        <f>LOOKUP(P177,Sheet2!$Z$4:$AA$7)</f>
        <v>36-45</v>
      </c>
      <c r="R177" s="1">
        <v>1</v>
      </c>
      <c r="S177" t="str">
        <f>IF(R177=1,"Positive","Negative")</f>
        <v>Positive</v>
      </c>
      <c r="T177" s="1" t="str">
        <f>IFERROR(VLOOKUP(A177,[1]diabetes_Recognition!$A:$B,2,FALSE),"Not Sampled")</f>
        <v>Not Sampled</v>
      </c>
      <c r="U177" t="str">
        <f>IF(T177=1,"Positive",(IF(T177=0,"Negative","Not Sampled")))</f>
        <v>Not Sampled</v>
      </c>
      <c r="V177" s="1" t="str">
        <f>IF(U177="Not Sampled","Not Sampled",IF(S177=U177,"Accurate Prediction","Inaccurate Prediction"))</f>
        <v>Not Sampled</v>
      </c>
    </row>
    <row r="178" spans="1:22" x14ac:dyDescent="0.25">
      <c r="A178" s="1">
        <v>176</v>
      </c>
      <c r="B178" s="1">
        <v>6</v>
      </c>
      <c r="C178" s="1" t="str">
        <f>LOOKUP(B178,Sheet2!$D$4:$E$9)</f>
        <v>5-7</v>
      </c>
      <c r="D178" s="1">
        <v>85</v>
      </c>
      <c r="E178" t="str">
        <f>LOOKUP(D178,Sheet2!$G$4:$H$9)</f>
        <v>1-99</v>
      </c>
      <c r="F178" s="1">
        <v>78</v>
      </c>
      <c r="G178" t="str">
        <f>LOOKUP(F178,Sheet2!$J$4:$K$8)</f>
        <v>70-79</v>
      </c>
      <c r="H178" s="1">
        <v>0</v>
      </c>
      <c r="I178" t="str">
        <f>LOOKUP(H178,Sheet2!$M$4:$N$8)</f>
        <v>Unknown</v>
      </c>
      <c r="J178" s="1">
        <v>0</v>
      </c>
      <c r="K178" t="str">
        <f>LOOKUP(J178,Sheet2!$P$4:$Q$9)</f>
        <v>Unknown</v>
      </c>
      <c r="L178" s="1">
        <v>31.2</v>
      </c>
      <c r="M178" t="str">
        <f>LOOKUP(L178,Sheet2!$S$4:$T$8)</f>
        <v>31-35</v>
      </c>
      <c r="N178" s="1">
        <v>0.38200000000000001</v>
      </c>
      <c r="O178" t="str">
        <f>LOOKUP(N178,Sheet2!$V$4:$W$7)</f>
        <v>0.25 - 0.39</v>
      </c>
      <c r="P178" s="1">
        <v>42</v>
      </c>
      <c r="Q178" t="str">
        <f>LOOKUP(P178,Sheet2!$Z$4:$AA$7)</f>
        <v>36-45</v>
      </c>
      <c r="R178" s="1">
        <v>0</v>
      </c>
      <c r="S178" t="str">
        <f>IF(R178=1,"Positive","Negative")</f>
        <v>Negative</v>
      </c>
      <c r="T178" s="1" t="str">
        <f>IFERROR(VLOOKUP(A178,[1]diabetes_Recognition!$A:$B,2,FALSE),"Not Sampled")</f>
        <v>Not Sampled</v>
      </c>
      <c r="U178" t="str">
        <f>IF(T178=1,"Positive",(IF(T178=0,"Negative","Not Sampled")))</f>
        <v>Not Sampled</v>
      </c>
      <c r="V178" s="1" t="str">
        <f>IF(U178="Not Sampled","Not Sampled",IF(S178=U178,"Accurate Prediction","Inaccurate Prediction"))</f>
        <v>Not Sampled</v>
      </c>
    </row>
    <row r="179" spans="1:22" x14ac:dyDescent="0.25">
      <c r="A179" s="1">
        <v>177</v>
      </c>
      <c r="B179" s="1">
        <v>0</v>
      </c>
      <c r="C179" s="1">
        <f>LOOKUP(B179,Sheet2!$D$4:$E$9)</f>
        <v>0</v>
      </c>
      <c r="D179" s="1">
        <v>129</v>
      </c>
      <c r="E179" t="str">
        <f>LOOKUP(D179,Sheet2!$G$4:$H$9)</f>
        <v>126-150</v>
      </c>
      <c r="F179" s="1">
        <v>110</v>
      </c>
      <c r="G179" t="str">
        <f>LOOKUP(F179,Sheet2!$J$4:$K$8)</f>
        <v>80+</v>
      </c>
      <c r="H179" s="1">
        <v>46</v>
      </c>
      <c r="I179" t="str">
        <f>LOOKUP(H179,Sheet2!$M$4:$N$8)</f>
        <v>40+</v>
      </c>
      <c r="J179" s="1">
        <v>130</v>
      </c>
      <c r="K179" t="str">
        <f>LOOKUP(J179,Sheet2!$P$4:$Q$9)</f>
        <v>100-199</v>
      </c>
      <c r="L179" s="1">
        <v>67.099999999999994</v>
      </c>
      <c r="M179" t="str">
        <f>LOOKUP(L179,Sheet2!$S$4:$T$8)</f>
        <v>36+</v>
      </c>
      <c r="N179" s="1">
        <v>0.31900000000000001</v>
      </c>
      <c r="O179" t="str">
        <f>LOOKUP(N179,Sheet2!$V$4:$W$7)</f>
        <v>0.25 - 0.39</v>
      </c>
      <c r="P179" s="1">
        <v>26</v>
      </c>
      <c r="Q179" t="str">
        <f>LOOKUP(P179,Sheet2!$Z$4:$AA$7)</f>
        <v>26-35</v>
      </c>
      <c r="R179" s="1">
        <v>1</v>
      </c>
      <c r="S179" t="str">
        <f>IF(R179=1,"Positive","Negative")</f>
        <v>Positive</v>
      </c>
      <c r="T179" s="1">
        <f>IFERROR(VLOOKUP(A179,[1]diabetes_Recognition!$A:$B,2,FALSE),"Not Sampled")</f>
        <v>1</v>
      </c>
      <c r="U179" t="str">
        <f>IF(T179=1,"Positive",(IF(T179=0,"Negative","Not Sampled")))</f>
        <v>Positive</v>
      </c>
      <c r="V179" s="1" t="str">
        <f>IF(U179="Not Sampled","Not Sampled",IF(S179=U179,"Accurate Prediction","Inaccurate Prediction"))</f>
        <v>Accurate Prediction</v>
      </c>
    </row>
    <row r="180" spans="1:22" x14ac:dyDescent="0.25">
      <c r="A180" s="1">
        <v>178</v>
      </c>
      <c r="B180" s="1">
        <v>5</v>
      </c>
      <c r="C180" s="1" t="str">
        <f>LOOKUP(B180,Sheet2!$D$4:$E$9)</f>
        <v>5-7</v>
      </c>
      <c r="D180" s="1">
        <v>143</v>
      </c>
      <c r="E180" t="str">
        <f>LOOKUP(D180,Sheet2!$G$4:$H$9)</f>
        <v>126-150</v>
      </c>
      <c r="F180" s="1">
        <v>78</v>
      </c>
      <c r="G180" t="str">
        <f>LOOKUP(F180,Sheet2!$J$4:$K$8)</f>
        <v>70-79</v>
      </c>
      <c r="H180" s="1">
        <v>0</v>
      </c>
      <c r="I180" t="str">
        <f>LOOKUP(H180,Sheet2!$M$4:$N$8)</f>
        <v>Unknown</v>
      </c>
      <c r="J180" s="1">
        <v>0</v>
      </c>
      <c r="K180" t="str">
        <f>LOOKUP(J180,Sheet2!$P$4:$Q$9)</f>
        <v>Unknown</v>
      </c>
      <c r="L180" s="1">
        <v>45</v>
      </c>
      <c r="M180" t="str">
        <f>LOOKUP(L180,Sheet2!$S$4:$T$8)</f>
        <v>36+</v>
      </c>
      <c r="N180" s="1">
        <v>0.19</v>
      </c>
      <c r="O180" t="str">
        <f>LOOKUP(N180,Sheet2!$V$4:$W$7)</f>
        <v>0.0 - 0.249</v>
      </c>
      <c r="P180" s="1">
        <v>47</v>
      </c>
      <c r="Q180" t="str">
        <f>LOOKUP(P180,Sheet2!$Z$4:$AA$7)</f>
        <v>46+</v>
      </c>
      <c r="R180" s="1">
        <v>0</v>
      </c>
      <c r="S180" t="str">
        <f>IF(R180=1,"Positive","Negative")</f>
        <v>Negative</v>
      </c>
      <c r="T180" s="1" t="str">
        <f>IFERROR(VLOOKUP(A180,[1]diabetes_Recognition!$A:$B,2,FALSE),"Not Sampled")</f>
        <v>Not Sampled</v>
      </c>
      <c r="U180" t="str">
        <f>IF(T180=1,"Positive",(IF(T180=0,"Negative","Not Sampled")))</f>
        <v>Not Sampled</v>
      </c>
      <c r="V180" s="1" t="str">
        <f>IF(U180="Not Sampled","Not Sampled",IF(S180=U180,"Accurate Prediction","Inaccurate Prediction"))</f>
        <v>Not Sampled</v>
      </c>
    </row>
    <row r="181" spans="1:22" x14ac:dyDescent="0.25">
      <c r="A181" s="1">
        <v>179</v>
      </c>
      <c r="B181" s="1">
        <v>5</v>
      </c>
      <c r="C181" s="1" t="str">
        <f>LOOKUP(B181,Sheet2!$D$4:$E$9)</f>
        <v>5-7</v>
      </c>
      <c r="D181" s="1">
        <v>130</v>
      </c>
      <c r="E181" t="str">
        <f>LOOKUP(D181,Sheet2!$G$4:$H$9)</f>
        <v>126-150</v>
      </c>
      <c r="F181" s="1">
        <v>82</v>
      </c>
      <c r="G181" t="str">
        <f>LOOKUP(F181,Sheet2!$J$4:$K$8)</f>
        <v>80+</v>
      </c>
      <c r="H181" s="1">
        <v>0</v>
      </c>
      <c r="I181" t="str">
        <f>LOOKUP(H181,Sheet2!$M$4:$N$8)</f>
        <v>Unknown</v>
      </c>
      <c r="J181" s="1">
        <v>0</v>
      </c>
      <c r="K181" t="str">
        <f>LOOKUP(J181,Sheet2!$P$4:$Q$9)</f>
        <v>Unknown</v>
      </c>
      <c r="L181" s="1">
        <v>39.1</v>
      </c>
      <c r="M181" t="str">
        <f>LOOKUP(L181,Sheet2!$S$4:$T$8)</f>
        <v>36+</v>
      </c>
      <c r="N181" s="1">
        <v>0.95599999999999996</v>
      </c>
      <c r="O181" t="str">
        <f>LOOKUP(N181,Sheet2!$V$4:$W$7)</f>
        <v>0.7+</v>
      </c>
      <c r="P181" s="1">
        <v>37</v>
      </c>
      <c r="Q181" t="str">
        <f>LOOKUP(P181,Sheet2!$Z$4:$AA$7)</f>
        <v>36-45</v>
      </c>
      <c r="R181" s="1">
        <v>1</v>
      </c>
      <c r="S181" t="str">
        <f>IF(R181=1,"Positive","Negative")</f>
        <v>Positive</v>
      </c>
      <c r="T181" s="1" t="str">
        <f>IFERROR(VLOOKUP(A181,[1]diabetes_Recognition!$A:$B,2,FALSE),"Not Sampled")</f>
        <v>Not Sampled</v>
      </c>
      <c r="U181" t="str">
        <f>IF(T181=1,"Positive",(IF(T181=0,"Negative","Not Sampled")))</f>
        <v>Not Sampled</v>
      </c>
      <c r="V181" s="1" t="str">
        <f>IF(U181="Not Sampled","Not Sampled",IF(S181=U181,"Accurate Prediction","Inaccurate Prediction"))</f>
        <v>Not Sampled</v>
      </c>
    </row>
    <row r="182" spans="1:22" x14ac:dyDescent="0.25">
      <c r="A182" s="1">
        <v>180</v>
      </c>
      <c r="B182" s="1">
        <v>6</v>
      </c>
      <c r="C182" s="1" t="str">
        <f>LOOKUP(B182,Sheet2!$D$4:$E$9)</f>
        <v>5-7</v>
      </c>
      <c r="D182" s="1">
        <v>87</v>
      </c>
      <c r="E182" t="str">
        <f>LOOKUP(D182,Sheet2!$G$4:$H$9)</f>
        <v>1-99</v>
      </c>
      <c r="F182" s="1">
        <v>80</v>
      </c>
      <c r="G182" t="str">
        <f>LOOKUP(F182,Sheet2!$J$4:$K$8)</f>
        <v>80+</v>
      </c>
      <c r="H182" s="1">
        <v>0</v>
      </c>
      <c r="I182" t="str">
        <f>LOOKUP(H182,Sheet2!$M$4:$N$8)</f>
        <v>Unknown</v>
      </c>
      <c r="J182" s="1">
        <v>0</v>
      </c>
      <c r="K182" t="str">
        <f>LOOKUP(J182,Sheet2!$P$4:$Q$9)</f>
        <v>Unknown</v>
      </c>
      <c r="L182" s="1">
        <v>23.2</v>
      </c>
      <c r="M182" t="str">
        <f>LOOKUP(L182,Sheet2!$S$4:$T$8)</f>
        <v>1-25</v>
      </c>
      <c r="N182" s="1">
        <v>8.4000000000000005E-2</v>
      </c>
      <c r="O182" t="str">
        <f>LOOKUP(N182,Sheet2!$V$4:$W$7)</f>
        <v>0.0 - 0.249</v>
      </c>
      <c r="P182" s="1">
        <v>32</v>
      </c>
      <c r="Q182" t="str">
        <f>LOOKUP(P182,Sheet2!$Z$4:$AA$7)</f>
        <v>26-35</v>
      </c>
      <c r="R182" s="1">
        <v>0</v>
      </c>
      <c r="S182" t="str">
        <f>IF(R182=1,"Positive","Negative")</f>
        <v>Negative</v>
      </c>
      <c r="T182" s="1" t="str">
        <f>IFERROR(VLOOKUP(A182,[1]diabetes_Recognition!$A:$B,2,FALSE),"Not Sampled")</f>
        <v>Not Sampled</v>
      </c>
      <c r="U182" t="str">
        <f>IF(T182=1,"Positive",(IF(T182=0,"Negative","Not Sampled")))</f>
        <v>Not Sampled</v>
      </c>
      <c r="V182" s="1" t="str">
        <f>IF(U182="Not Sampled","Not Sampled",IF(S182=U182,"Accurate Prediction","Inaccurate Prediction"))</f>
        <v>Not Sampled</v>
      </c>
    </row>
    <row r="183" spans="1:22" x14ac:dyDescent="0.25">
      <c r="A183" s="1">
        <v>181</v>
      </c>
      <c r="B183" s="1">
        <v>0</v>
      </c>
      <c r="C183" s="1">
        <f>LOOKUP(B183,Sheet2!$D$4:$E$9)</f>
        <v>0</v>
      </c>
      <c r="D183" s="1">
        <v>119</v>
      </c>
      <c r="E183" t="str">
        <f>LOOKUP(D183,Sheet2!$G$4:$H$9)</f>
        <v>100-125</v>
      </c>
      <c r="F183" s="1">
        <v>64</v>
      </c>
      <c r="G183" t="str">
        <f>LOOKUP(F183,Sheet2!$J$4:$K$8)</f>
        <v>60-69</v>
      </c>
      <c r="H183" s="1">
        <v>18</v>
      </c>
      <c r="I183" t="str">
        <f>LOOKUP(H183,Sheet2!$M$4:$N$8)</f>
        <v>10-30</v>
      </c>
      <c r="J183" s="1">
        <v>92</v>
      </c>
      <c r="K183" t="str">
        <f>LOOKUP(J183,Sheet2!$P$4:$Q$9)</f>
        <v>1-99</v>
      </c>
      <c r="L183" s="1">
        <v>34.9</v>
      </c>
      <c r="M183" t="str">
        <f>LOOKUP(L183,Sheet2!$S$4:$T$8)</f>
        <v>31-35</v>
      </c>
      <c r="N183" s="1">
        <v>0.72499999999999998</v>
      </c>
      <c r="O183" t="str">
        <f>LOOKUP(N183,Sheet2!$V$4:$W$7)</f>
        <v>0.7+</v>
      </c>
      <c r="P183" s="1">
        <v>23</v>
      </c>
      <c r="Q183" t="str">
        <f>LOOKUP(P183,Sheet2!$Z$4:$AA$7)</f>
        <v>&lt;=25</v>
      </c>
      <c r="R183" s="1">
        <v>0</v>
      </c>
      <c r="S183" t="str">
        <f>IF(R183=1,"Positive","Negative")</f>
        <v>Negative</v>
      </c>
      <c r="T183" s="1">
        <f>IFERROR(VLOOKUP(A183,[1]diabetes_Recognition!$A:$B,2,FALSE),"Not Sampled")</f>
        <v>0</v>
      </c>
      <c r="U183" t="str">
        <f>IF(T183=1,"Positive",(IF(T183=0,"Negative","Not Sampled")))</f>
        <v>Negative</v>
      </c>
      <c r="V183" s="1" t="str">
        <f>IF(U183="Not Sampled","Not Sampled",IF(S183=U183,"Accurate Prediction","Inaccurate Prediction"))</f>
        <v>Accurate Prediction</v>
      </c>
    </row>
    <row r="184" spans="1:22" x14ac:dyDescent="0.25">
      <c r="A184" s="1">
        <v>182</v>
      </c>
      <c r="B184" s="1">
        <v>1</v>
      </c>
      <c r="C184" s="1">
        <f>LOOKUP(B184,Sheet2!$D$4:$E$9)</f>
        <v>1</v>
      </c>
      <c r="D184" s="1">
        <v>0</v>
      </c>
      <c r="E184" t="str">
        <f>LOOKUP(D184,Sheet2!$G$4:$H$9)</f>
        <v>Unknown</v>
      </c>
      <c r="F184" s="1">
        <v>74</v>
      </c>
      <c r="G184" t="str">
        <f>LOOKUP(F184,Sheet2!$J$4:$K$8)</f>
        <v>70-79</v>
      </c>
      <c r="H184" s="1">
        <v>20</v>
      </c>
      <c r="I184" t="str">
        <f>LOOKUP(H184,Sheet2!$M$4:$N$8)</f>
        <v>10-30</v>
      </c>
      <c r="J184" s="1">
        <v>23</v>
      </c>
      <c r="K184" t="str">
        <f>LOOKUP(J184,Sheet2!$P$4:$Q$9)</f>
        <v>1-99</v>
      </c>
      <c r="L184" s="1">
        <v>27.7</v>
      </c>
      <c r="M184" t="str">
        <f>LOOKUP(L184,Sheet2!$S$4:$T$8)</f>
        <v>26-30</v>
      </c>
      <c r="N184" s="1">
        <v>0.29899999999999999</v>
      </c>
      <c r="O184" t="str">
        <f>LOOKUP(N184,Sheet2!$V$4:$W$7)</f>
        <v>0.25 - 0.39</v>
      </c>
      <c r="P184" s="1">
        <v>21</v>
      </c>
      <c r="Q184" t="str">
        <f>LOOKUP(P184,Sheet2!$Z$4:$AA$7)</f>
        <v>&lt;=25</v>
      </c>
      <c r="R184" s="1">
        <v>0</v>
      </c>
      <c r="S184" t="str">
        <f>IF(R184=1,"Positive","Negative")</f>
        <v>Negative</v>
      </c>
      <c r="T184" s="1" t="str">
        <f>IFERROR(VLOOKUP(A184,[1]diabetes_Recognition!$A:$B,2,FALSE),"Not Sampled")</f>
        <v>Not Sampled</v>
      </c>
      <c r="U184" t="str">
        <f>IF(T184=1,"Positive",(IF(T184=0,"Negative","Not Sampled")))</f>
        <v>Not Sampled</v>
      </c>
      <c r="V184" s="1" t="str">
        <f>IF(U184="Not Sampled","Not Sampled",IF(S184=U184,"Accurate Prediction","Inaccurate Prediction"))</f>
        <v>Not Sampled</v>
      </c>
    </row>
    <row r="185" spans="1:22" x14ac:dyDescent="0.25">
      <c r="A185" s="1">
        <v>183</v>
      </c>
      <c r="B185" s="1">
        <v>5</v>
      </c>
      <c r="C185" s="1" t="str">
        <f>LOOKUP(B185,Sheet2!$D$4:$E$9)</f>
        <v>5-7</v>
      </c>
      <c r="D185" s="1">
        <v>73</v>
      </c>
      <c r="E185" t="str">
        <f>LOOKUP(D185,Sheet2!$G$4:$H$9)</f>
        <v>1-99</v>
      </c>
      <c r="F185" s="1">
        <v>60</v>
      </c>
      <c r="G185" t="str">
        <f>LOOKUP(F185,Sheet2!$J$4:$K$8)</f>
        <v>60-69</v>
      </c>
      <c r="H185" s="1">
        <v>0</v>
      </c>
      <c r="I185" t="str">
        <f>LOOKUP(H185,Sheet2!$M$4:$N$8)</f>
        <v>Unknown</v>
      </c>
      <c r="J185" s="1">
        <v>0</v>
      </c>
      <c r="K185" t="str">
        <f>LOOKUP(J185,Sheet2!$P$4:$Q$9)</f>
        <v>Unknown</v>
      </c>
      <c r="L185" s="1">
        <v>26.8</v>
      </c>
      <c r="M185" t="str">
        <f>LOOKUP(L185,Sheet2!$S$4:$T$8)</f>
        <v>26-30</v>
      </c>
      <c r="N185" s="1">
        <v>0.26800000000000002</v>
      </c>
      <c r="O185" t="str">
        <f>LOOKUP(N185,Sheet2!$V$4:$W$7)</f>
        <v>0.25 - 0.39</v>
      </c>
      <c r="P185" s="1">
        <v>27</v>
      </c>
      <c r="Q185" t="str">
        <f>LOOKUP(P185,Sheet2!$Z$4:$AA$7)</f>
        <v>26-35</v>
      </c>
      <c r="R185" s="1">
        <v>0</v>
      </c>
      <c r="S185" t="str">
        <f>IF(R185=1,"Positive","Negative")</f>
        <v>Negative</v>
      </c>
      <c r="T185" s="1" t="str">
        <f>IFERROR(VLOOKUP(A185,[1]diabetes_Recognition!$A:$B,2,FALSE),"Not Sampled")</f>
        <v>Not Sampled</v>
      </c>
      <c r="U185" t="str">
        <f>IF(T185=1,"Positive",(IF(T185=0,"Negative","Not Sampled")))</f>
        <v>Not Sampled</v>
      </c>
      <c r="V185" s="1" t="str">
        <f>IF(U185="Not Sampled","Not Sampled",IF(S185=U185,"Accurate Prediction","Inaccurate Prediction"))</f>
        <v>Not Sampled</v>
      </c>
    </row>
    <row r="186" spans="1:22" x14ac:dyDescent="0.25">
      <c r="A186" s="1">
        <v>184</v>
      </c>
      <c r="B186" s="1">
        <v>4</v>
      </c>
      <c r="C186" s="1" t="str">
        <f>LOOKUP(B186,Sheet2!$D$4:$E$9)</f>
        <v>3-4</v>
      </c>
      <c r="D186" s="1">
        <v>141</v>
      </c>
      <c r="E186" t="str">
        <f>LOOKUP(D186,Sheet2!$G$4:$H$9)</f>
        <v>126-150</v>
      </c>
      <c r="F186" s="1">
        <v>74</v>
      </c>
      <c r="G186" t="str">
        <f>LOOKUP(F186,Sheet2!$J$4:$K$8)</f>
        <v>70-79</v>
      </c>
      <c r="H186" s="1">
        <v>0</v>
      </c>
      <c r="I186" t="str">
        <f>LOOKUP(H186,Sheet2!$M$4:$N$8)</f>
        <v>Unknown</v>
      </c>
      <c r="J186" s="1">
        <v>0</v>
      </c>
      <c r="K186" t="str">
        <f>LOOKUP(J186,Sheet2!$P$4:$Q$9)</f>
        <v>Unknown</v>
      </c>
      <c r="L186" s="1">
        <v>27.6</v>
      </c>
      <c r="M186" t="str">
        <f>LOOKUP(L186,Sheet2!$S$4:$T$8)</f>
        <v>26-30</v>
      </c>
      <c r="N186" s="1">
        <v>0.24399999999999999</v>
      </c>
      <c r="O186" t="str">
        <f>LOOKUP(N186,Sheet2!$V$4:$W$7)</f>
        <v>0.0 - 0.249</v>
      </c>
      <c r="P186" s="1">
        <v>40</v>
      </c>
      <c r="Q186" t="str">
        <f>LOOKUP(P186,Sheet2!$Z$4:$AA$7)</f>
        <v>36-45</v>
      </c>
      <c r="R186" s="1">
        <v>0</v>
      </c>
      <c r="S186" t="str">
        <f>IF(R186=1,"Positive","Negative")</f>
        <v>Negative</v>
      </c>
      <c r="T186" s="1" t="str">
        <f>IFERROR(VLOOKUP(A186,[1]diabetes_Recognition!$A:$B,2,FALSE),"Not Sampled")</f>
        <v>Not Sampled</v>
      </c>
      <c r="U186" t="str">
        <f>IF(T186=1,"Positive",(IF(T186=0,"Negative","Not Sampled")))</f>
        <v>Not Sampled</v>
      </c>
      <c r="V186" s="1" t="str">
        <f>IF(U186="Not Sampled","Not Sampled",IF(S186=U186,"Accurate Prediction","Inaccurate Prediction"))</f>
        <v>Not Sampled</v>
      </c>
    </row>
    <row r="187" spans="1:22" x14ac:dyDescent="0.25">
      <c r="A187" s="1">
        <v>185</v>
      </c>
      <c r="B187" s="1">
        <v>7</v>
      </c>
      <c r="C187" s="1" t="str">
        <f>LOOKUP(B187,Sheet2!$D$4:$E$9)</f>
        <v>5-7</v>
      </c>
      <c r="D187" s="1">
        <v>194</v>
      </c>
      <c r="E187" t="str">
        <f>LOOKUP(D187,Sheet2!$G$4:$H$9)</f>
        <v>176-200</v>
      </c>
      <c r="F187" s="1">
        <v>68</v>
      </c>
      <c r="G187" t="str">
        <f>LOOKUP(F187,Sheet2!$J$4:$K$8)</f>
        <v>60-69</v>
      </c>
      <c r="H187" s="1">
        <v>28</v>
      </c>
      <c r="I187" t="str">
        <f>LOOKUP(H187,Sheet2!$M$4:$N$8)</f>
        <v>10-30</v>
      </c>
      <c r="J187" s="1">
        <v>0</v>
      </c>
      <c r="K187" t="str">
        <f>LOOKUP(J187,Sheet2!$P$4:$Q$9)</f>
        <v>Unknown</v>
      </c>
      <c r="L187" s="1">
        <v>35.9</v>
      </c>
      <c r="M187" t="str">
        <f>LOOKUP(L187,Sheet2!$S$4:$T$8)</f>
        <v>31-35</v>
      </c>
      <c r="N187" s="1">
        <v>0.745</v>
      </c>
      <c r="O187" t="str">
        <f>LOOKUP(N187,Sheet2!$V$4:$W$7)</f>
        <v>0.7+</v>
      </c>
      <c r="P187" s="1">
        <v>41</v>
      </c>
      <c r="Q187" t="str">
        <f>LOOKUP(P187,Sheet2!$Z$4:$AA$7)</f>
        <v>36-45</v>
      </c>
      <c r="R187" s="1">
        <v>1</v>
      </c>
      <c r="S187" t="str">
        <f>IF(R187=1,"Positive","Negative")</f>
        <v>Positive</v>
      </c>
      <c r="T187" s="1" t="str">
        <f>IFERROR(VLOOKUP(A187,[1]diabetes_Recognition!$A:$B,2,FALSE),"Not Sampled")</f>
        <v>Not Sampled</v>
      </c>
      <c r="U187" t="str">
        <f>IF(T187=1,"Positive",(IF(T187=0,"Negative","Not Sampled")))</f>
        <v>Not Sampled</v>
      </c>
      <c r="V187" s="1" t="str">
        <f>IF(U187="Not Sampled","Not Sampled",IF(S187=U187,"Accurate Prediction","Inaccurate Prediction"))</f>
        <v>Not Sampled</v>
      </c>
    </row>
    <row r="188" spans="1:22" x14ac:dyDescent="0.25">
      <c r="A188" s="1">
        <v>186</v>
      </c>
      <c r="B188" s="1">
        <v>8</v>
      </c>
      <c r="C188" s="1" t="str">
        <f>LOOKUP(B188,Sheet2!$D$4:$E$9)</f>
        <v>8+</v>
      </c>
      <c r="D188" s="1">
        <v>181</v>
      </c>
      <c r="E188" t="str">
        <f>LOOKUP(D188,Sheet2!$G$4:$H$9)</f>
        <v>176-200</v>
      </c>
      <c r="F188" s="1">
        <v>68</v>
      </c>
      <c r="G188" t="str">
        <f>LOOKUP(F188,Sheet2!$J$4:$K$8)</f>
        <v>60-69</v>
      </c>
      <c r="H188" s="1">
        <v>36</v>
      </c>
      <c r="I188" t="str">
        <f>LOOKUP(H188,Sheet2!$M$4:$N$8)</f>
        <v>30-39</v>
      </c>
      <c r="J188" s="1">
        <v>495</v>
      </c>
      <c r="K188" t="str">
        <f>LOOKUP(J188,Sheet2!$P$4:$Q$9)</f>
        <v>300-499</v>
      </c>
      <c r="L188" s="1">
        <v>30.1</v>
      </c>
      <c r="M188" t="str">
        <f>LOOKUP(L188,Sheet2!$S$4:$T$8)</f>
        <v>26-30</v>
      </c>
      <c r="N188" s="1">
        <v>0.61499999999999999</v>
      </c>
      <c r="O188" t="str">
        <f>LOOKUP(N188,Sheet2!$V$4:$W$7)</f>
        <v>0.4 - 0.69</v>
      </c>
      <c r="P188" s="1">
        <v>60</v>
      </c>
      <c r="Q188" t="str">
        <f>LOOKUP(P188,Sheet2!$Z$4:$AA$7)</f>
        <v>46+</v>
      </c>
      <c r="R188" s="1">
        <v>1</v>
      </c>
      <c r="S188" t="str">
        <f>IF(R188=1,"Positive","Negative")</f>
        <v>Positive</v>
      </c>
      <c r="T188" s="1">
        <f>IFERROR(VLOOKUP(A188,[1]diabetes_Recognition!$A:$B,2,FALSE),"Not Sampled")</f>
        <v>1</v>
      </c>
      <c r="U188" t="str">
        <f>IF(T188=1,"Positive",(IF(T188=0,"Negative","Not Sampled")))</f>
        <v>Positive</v>
      </c>
      <c r="V188" s="1" t="str">
        <f>IF(U188="Not Sampled","Not Sampled",IF(S188=U188,"Accurate Prediction","Inaccurate Prediction"))</f>
        <v>Accurate Prediction</v>
      </c>
    </row>
    <row r="189" spans="1:22" x14ac:dyDescent="0.25">
      <c r="A189" s="1">
        <v>187</v>
      </c>
      <c r="B189" s="1">
        <v>1</v>
      </c>
      <c r="C189" s="1">
        <f>LOOKUP(B189,Sheet2!$D$4:$E$9)</f>
        <v>1</v>
      </c>
      <c r="D189" s="1">
        <v>128</v>
      </c>
      <c r="E189" t="str">
        <f>LOOKUP(D189,Sheet2!$G$4:$H$9)</f>
        <v>126-150</v>
      </c>
      <c r="F189" s="1">
        <v>98</v>
      </c>
      <c r="G189" t="str">
        <f>LOOKUP(F189,Sheet2!$J$4:$K$8)</f>
        <v>80+</v>
      </c>
      <c r="H189" s="1">
        <v>41</v>
      </c>
      <c r="I189" t="str">
        <f>LOOKUP(H189,Sheet2!$M$4:$N$8)</f>
        <v>40+</v>
      </c>
      <c r="J189" s="1">
        <v>58</v>
      </c>
      <c r="K189" t="str">
        <f>LOOKUP(J189,Sheet2!$P$4:$Q$9)</f>
        <v>1-99</v>
      </c>
      <c r="L189" s="1">
        <v>32</v>
      </c>
      <c r="M189" t="str">
        <f>LOOKUP(L189,Sheet2!$S$4:$T$8)</f>
        <v>31-35</v>
      </c>
      <c r="N189" s="1">
        <v>1.321</v>
      </c>
      <c r="O189" t="str">
        <f>LOOKUP(N189,Sheet2!$V$4:$W$7)</f>
        <v>0.7+</v>
      </c>
      <c r="P189" s="1">
        <v>33</v>
      </c>
      <c r="Q189" t="str">
        <f>LOOKUP(P189,Sheet2!$Z$4:$AA$7)</f>
        <v>26-35</v>
      </c>
      <c r="R189" s="1">
        <v>1</v>
      </c>
      <c r="S189" t="str">
        <f>IF(R189=1,"Positive","Negative")</f>
        <v>Positive</v>
      </c>
      <c r="T189" s="1" t="str">
        <f>IFERROR(VLOOKUP(A189,[1]diabetes_Recognition!$A:$B,2,FALSE),"Not Sampled")</f>
        <v>Not Sampled</v>
      </c>
      <c r="U189" t="str">
        <f>IF(T189=1,"Positive",(IF(T189=0,"Negative","Not Sampled")))</f>
        <v>Not Sampled</v>
      </c>
      <c r="V189" s="1" t="str">
        <f>IF(U189="Not Sampled","Not Sampled",IF(S189=U189,"Accurate Prediction","Inaccurate Prediction"))</f>
        <v>Not Sampled</v>
      </c>
    </row>
    <row r="190" spans="1:22" x14ac:dyDescent="0.25">
      <c r="A190" s="1">
        <v>188</v>
      </c>
      <c r="B190" s="1">
        <v>8</v>
      </c>
      <c r="C190" s="1" t="str">
        <f>LOOKUP(B190,Sheet2!$D$4:$E$9)</f>
        <v>8+</v>
      </c>
      <c r="D190" s="1">
        <v>109</v>
      </c>
      <c r="E190" t="str">
        <f>LOOKUP(D190,Sheet2!$G$4:$H$9)</f>
        <v>100-125</v>
      </c>
      <c r="F190" s="1">
        <v>76</v>
      </c>
      <c r="G190" t="str">
        <f>LOOKUP(F190,Sheet2!$J$4:$K$8)</f>
        <v>70-79</v>
      </c>
      <c r="H190" s="1">
        <v>39</v>
      </c>
      <c r="I190" t="str">
        <f>LOOKUP(H190,Sheet2!$M$4:$N$8)</f>
        <v>30-39</v>
      </c>
      <c r="J190" s="1">
        <v>114</v>
      </c>
      <c r="K190" t="str">
        <f>LOOKUP(J190,Sheet2!$P$4:$Q$9)</f>
        <v>100-199</v>
      </c>
      <c r="L190" s="1">
        <v>27.9</v>
      </c>
      <c r="M190" t="str">
        <f>LOOKUP(L190,Sheet2!$S$4:$T$8)</f>
        <v>26-30</v>
      </c>
      <c r="N190" s="1">
        <v>0.64</v>
      </c>
      <c r="O190" t="str">
        <f>LOOKUP(N190,Sheet2!$V$4:$W$7)</f>
        <v>0.4 - 0.69</v>
      </c>
      <c r="P190" s="1">
        <v>31</v>
      </c>
      <c r="Q190" t="str">
        <f>LOOKUP(P190,Sheet2!$Z$4:$AA$7)</f>
        <v>26-35</v>
      </c>
      <c r="R190" s="1">
        <v>1</v>
      </c>
      <c r="S190" t="str">
        <f>IF(R190=1,"Positive","Negative")</f>
        <v>Positive</v>
      </c>
      <c r="T190" s="1" t="str">
        <f>IFERROR(VLOOKUP(A190,[1]diabetes_Recognition!$A:$B,2,FALSE),"Not Sampled")</f>
        <v>Not Sampled</v>
      </c>
      <c r="U190" t="str">
        <f>IF(T190=1,"Positive",(IF(T190=0,"Negative","Not Sampled")))</f>
        <v>Not Sampled</v>
      </c>
      <c r="V190" s="1" t="str">
        <f>IF(U190="Not Sampled","Not Sampled",IF(S190=U190,"Accurate Prediction","Inaccurate Prediction"))</f>
        <v>Not Sampled</v>
      </c>
    </row>
    <row r="191" spans="1:22" x14ac:dyDescent="0.25">
      <c r="A191" s="1">
        <v>189</v>
      </c>
      <c r="B191" s="1">
        <v>5</v>
      </c>
      <c r="C191" s="1" t="str">
        <f>LOOKUP(B191,Sheet2!$D$4:$E$9)</f>
        <v>5-7</v>
      </c>
      <c r="D191" s="1">
        <v>139</v>
      </c>
      <c r="E191" t="str">
        <f>LOOKUP(D191,Sheet2!$G$4:$H$9)</f>
        <v>126-150</v>
      </c>
      <c r="F191" s="1">
        <v>80</v>
      </c>
      <c r="G191" t="str">
        <f>LOOKUP(F191,Sheet2!$J$4:$K$8)</f>
        <v>80+</v>
      </c>
      <c r="H191" s="1">
        <v>35</v>
      </c>
      <c r="I191" t="str">
        <f>LOOKUP(H191,Sheet2!$M$4:$N$8)</f>
        <v>30-39</v>
      </c>
      <c r="J191" s="1">
        <v>160</v>
      </c>
      <c r="K191" t="str">
        <f>LOOKUP(J191,Sheet2!$P$4:$Q$9)</f>
        <v>100-199</v>
      </c>
      <c r="L191" s="1">
        <v>31.6</v>
      </c>
      <c r="M191" t="str">
        <f>LOOKUP(L191,Sheet2!$S$4:$T$8)</f>
        <v>31-35</v>
      </c>
      <c r="N191" s="1">
        <v>0.36099999999999999</v>
      </c>
      <c r="O191" t="str">
        <f>LOOKUP(N191,Sheet2!$V$4:$W$7)</f>
        <v>0.25 - 0.39</v>
      </c>
      <c r="P191" s="1">
        <v>25</v>
      </c>
      <c r="Q191" t="str">
        <f>LOOKUP(P191,Sheet2!$Z$4:$AA$7)</f>
        <v>&lt;=25</v>
      </c>
      <c r="R191" s="1">
        <v>1</v>
      </c>
      <c r="S191" t="str">
        <f>IF(R191=1,"Positive","Negative")</f>
        <v>Positive</v>
      </c>
      <c r="T191" s="1" t="str">
        <f>IFERROR(VLOOKUP(A191,[1]diabetes_Recognition!$A:$B,2,FALSE),"Not Sampled")</f>
        <v>Not Sampled</v>
      </c>
      <c r="U191" t="str">
        <f>IF(T191=1,"Positive",(IF(T191=0,"Negative","Not Sampled")))</f>
        <v>Not Sampled</v>
      </c>
      <c r="V191" s="1" t="str">
        <f>IF(U191="Not Sampled","Not Sampled",IF(S191=U191,"Accurate Prediction","Inaccurate Prediction"))</f>
        <v>Not Sampled</v>
      </c>
    </row>
    <row r="192" spans="1:22" x14ac:dyDescent="0.25">
      <c r="A192" s="1">
        <v>190</v>
      </c>
      <c r="B192" s="1">
        <v>3</v>
      </c>
      <c r="C192" s="1" t="str">
        <f>LOOKUP(B192,Sheet2!$D$4:$E$9)</f>
        <v>3-4</v>
      </c>
      <c r="D192" s="1">
        <v>111</v>
      </c>
      <c r="E192" t="str">
        <f>LOOKUP(D192,Sheet2!$G$4:$H$9)</f>
        <v>100-125</v>
      </c>
      <c r="F192" s="1">
        <v>62</v>
      </c>
      <c r="G192" t="str">
        <f>LOOKUP(F192,Sheet2!$J$4:$K$8)</f>
        <v>60-69</v>
      </c>
      <c r="H192" s="1">
        <v>0</v>
      </c>
      <c r="I192" t="str">
        <f>LOOKUP(H192,Sheet2!$M$4:$N$8)</f>
        <v>Unknown</v>
      </c>
      <c r="J192" s="1">
        <v>0</v>
      </c>
      <c r="K192" t="str">
        <f>LOOKUP(J192,Sheet2!$P$4:$Q$9)</f>
        <v>Unknown</v>
      </c>
      <c r="L192" s="1">
        <v>22.6</v>
      </c>
      <c r="M192" t="str">
        <f>LOOKUP(L192,Sheet2!$S$4:$T$8)</f>
        <v>1-25</v>
      </c>
      <c r="N192" s="1">
        <v>0.14199999999999999</v>
      </c>
      <c r="O192" t="str">
        <f>LOOKUP(N192,Sheet2!$V$4:$W$7)</f>
        <v>0.0 - 0.249</v>
      </c>
      <c r="P192" s="1">
        <v>21</v>
      </c>
      <c r="Q192" t="str">
        <f>LOOKUP(P192,Sheet2!$Z$4:$AA$7)</f>
        <v>&lt;=25</v>
      </c>
      <c r="R192" s="1">
        <v>0</v>
      </c>
      <c r="S192" t="str">
        <f>IF(R192=1,"Positive","Negative")</f>
        <v>Negative</v>
      </c>
      <c r="T192" s="1">
        <f>IFERROR(VLOOKUP(A192,[1]diabetes_Recognition!$A:$B,2,FALSE),"Not Sampled")</f>
        <v>0</v>
      </c>
      <c r="U192" t="str">
        <f>IF(T192=1,"Positive",(IF(T192=0,"Negative","Not Sampled")))</f>
        <v>Negative</v>
      </c>
      <c r="V192" s="1" t="str">
        <f>IF(U192="Not Sampled","Not Sampled",IF(S192=U192,"Accurate Prediction","Inaccurate Prediction"))</f>
        <v>Accurate Prediction</v>
      </c>
    </row>
    <row r="193" spans="1:22" x14ac:dyDescent="0.25">
      <c r="A193" s="1">
        <v>191</v>
      </c>
      <c r="B193" s="1">
        <v>9</v>
      </c>
      <c r="C193" s="1" t="str">
        <f>LOOKUP(B193,Sheet2!$D$4:$E$9)</f>
        <v>8+</v>
      </c>
      <c r="D193" s="1">
        <v>123</v>
      </c>
      <c r="E193" t="str">
        <f>LOOKUP(D193,Sheet2!$G$4:$H$9)</f>
        <v>100-125</v>
      </c>
      <c r="F193" s="1">
        <v>70</v>
      </c>
      <c r="G193" t="str">
        <f>LOOKUP(F193,Sheet2!$J$4:$K$8)</f>
        <v>70-79</v>
      </c>
      <c r="H193" s="1">
        <v>44</v>
      </c>
      <c r="I193" t="str">
        <f>LOOKUP(H193,Sheet2!$M$4:$N$8)</f>
        <v>40+</v>
      </c>
      <c r="J193" s="1">
        <v>94</v>
      </c>
      <c r="K193" t="str">
        <f>LOOKUP(J193,Sheet2!$P$4:$Q$9)</f>
        <v>1-99</v>
      </c>
      <c r="L193" s="1">
        <v>33.1</v>
      </c>
      <c r="M193" t="str">
        <f>LOOKUP(L193,Sheet2!$S$4:$T$8)</f>
        <v>31-35</v>
      </c>
      <c r="N193" s="1">
        <v>0.374</v>
      </c>
      <c r="O193" t="str">
        <f>LOOKUP(N193,Sheet2!$V$4:$W$7)</f>
        <v>0.25 - 0.39</v>
      </c>
      <c r="P193" s="1">
        <v>40</v>
      </c>
      <c r="Q193" t="str">
        <f>LOOKUP(P193,Sheet2!$Z$4:$AA$7)</f>
        <v>36-45</v>
      </c>
      <c r="R193" s="1">
        <v>0</v>
      </c>
      <c r="S193" t="str">
        <f>IF(R193=1,"Positive","Negative")</f>
        <v>Negative</v>
      </c>
      <c r="T193" s="1" t="str">
        <f>IFERROR(VLOOKUP(A193,[1]diabetes_Recognition!$A:$B,2,FALSE),"Not Sampled")</f>
        <v>Not Sampled</v>
      </c>
      <c r="U193" t="str">
        <f>IF(T193=1,"Positive",(IF(T193=0,"Negative","Not Sampled")))</f>
        <v>Not Sampled</v>
      </c>
      <c r="V193" s="1" t="str">
        <f>IF(U193="Not Sampled","Not Sampled",IF(S193=U193,"Accurate Prediction","Inaccurate Prediction"))</f>
        <v>Not Sampled</v>
      </c>
    </row>
    <row r="194" spans="1:22" x14ac:dyDescent="0.25">
      <c r="A194" s="1">
        <v>192</v>
      </c>
      <c r="B194" s="1">
        <v>7</v>
      </c>
      <c r="C194" s="1" t="str">
        <f>LOOKUP(B194,Sheet2!$D$4:$E$9)</f>
        <v>5-7</v>
      </c>
      <c r="D194" s="1">
        <v>159</v>
      </c>
      <c r="E194" t="str">
        <f>LOOKUP(D194,Sheet2!$G$4:$H$9)</f>
        <v>151-175</v>
      </c>
      <c r="F194" s="1">
        <v>66</v>
      </c>
      <c r="G194" t="str">
        <f>LOOKUP(F194,Sheet2!$J$4:$K$8)</f>
        <v>60-69</v>
      </c>
      <c r="H194" s="1">
        <v>0</v>
      </c>
      <c r="I194" t="str">
        <f>LOOKUP(H194,Sheet2!$M$4:$N$8)</f>
        <v>Unknown</v>
      </c>
      <c r="J194" s="1">
        <v>0</v>
      </c>
      <c r="K194" t="str">
        <f>LOOKUP(J194,Sheet2!$P$4:$Q$9)</f>
        <v>Unknown</v>
      </c>
      <c r="L194" s="1">
        <v>30.4</v>
      </c>
      <c r="M194" t="str">
        <f>LOOKUP(L194,Sheet2!$S$4:$T$8)</f>
        <v>26-30</v>
      </c>
      <c r="N194" s="1">
        <v>0.38300000000000001</v>
      </c>
      <c r="O194" t="str">
        <f>LOOKUP(N194,Sheet2!$V$4:$W$7)</f>
        <v>0.25 - 0.39</v>
      </c>
      <c r="P194" s="1">
        <v>36</v>
      </c>
      <c r="Q194" t="str">
        <f>LOOKUP(P194,Sheet2!$Z$4:$AA$7)</f>
        <v>36-45</v>
      </c>
      <c r="R194" s="1">
        <v>1</v>
      </c>
      <c r="S194" t="str">
        <f>IF(R194=1,"Positive","Negative")</f>
        <v>Positive</v>
      </c>
      <c r="T194" s="1">
        <f>IFERROR(VLOOKUP(A194,[1]diabetes_Recognition!$A:$B,2,FALSE),"Not Sampled")</f>
        <v>1</v>
      </c>
      <c r="U194" t="str">
        <f>IF(T194=1,"Positive",(IF(T194=0,"Negative","Not Sampled")))</f>
        <v>Positive</v>
      </c>
      <c r="V194" s="1" t="str">
        <f>IF(U194="Not Sampled","Not Sampled",IF(S194=U194,"Accurate Prediction","Inaccurate Prediction"))</f>
        <v>Accurate Prediction</v>
      </c>
    </row>
    <row r="195" spans="1:22" x14ac:dyDescent="0.25">
      <c r="A195" s="1">
        <v>193</v>
      </c>
      <c r="B195" s="1">
        <v>11</v>
      </c>
      <c r="C195" s="1" t="str">
        <f>LOOKUP(B195,Sheet2!$D$4:$E$9)</f>
        <v>8+</v>
      </c>
      <c r="D195" s="1">
        <v>135</v>
      </c>
      <c r="E195" t="str">
        <f>LOOKUP(D195,Sheet2!$G$4:$H$9)</f>
        <v>126-150</v>
      </c>
      <c r="F195" s="1">
        <v>0</v>
      </c>
      <c r="G195" t="str">
        <f>LOOKUP(F195,Sheet2!$J$4:$K$8)</f>
        <v>Unknown</v>
      </c>
      <c r="H195" s="1">
        <v>0</v>
      </c>
      <c r="I195" t="str">
        <f>LOOKUP(H195,Sheet2!$M$4:$N$8)</f>
        <v>Unknown</v>
      </c>
      <c r="J195" s="1">
        <v>0</v>
      </c>
      <c r="K195" t="str">
        <f>LOOKUP(J195,Sheet2!$P$4:$Q$9)</f>
        <v>Unknown</v>
      </c>
      <c r="L195" s="1">
        <v>52.3</v>
      </c>
      <c r="M195" t="str">
        <f>LOOKUP(L195,Sheet2!$S$4:$T$8)</f>
        <v>36+</v>
      </c>
      <c r="N195" s="1">
        <v>0.57799999999999996</v>
      </c>
      <c r="O195" t="str">
        <f>LOOKUP(N195,Sheet2!$V$4:$W$7)</f>
        <v>0.4 - 0.69</v>
      </c>
      <c r="P195" s="1">
        <v>40</v>
      </c>
      <c r="Q195" t="str">
        <f>LOOKUP(P195,Sheet2!$Z$4:$AA$7)</f>
        <v>36-45</v>
      </c>
      <c r="R195" s="1">
        <v>1</v>
      </c>
      <c r="S195" t="str">
        <f>IF(R195=1,"Positive","Negative")</f>
        <v>Positive</v>
      </c>
      <c r="T195" s="1" t="str">
        <f>IFERROR(VLOOKUP(A195,[1]diabetes_Recognition!$A:$B,2,FALSE),"Not Sampled")</f>
        <v>Not Sampled</v>
      </c>
      <c r="U195" t="str">
        <f>IF(T195=1,"Positive",(IF(T195=0,"Negative","Not Sampled")))</f>
        <v>Not Sampled</v>
      </c>
      <c r="V195" s="1" t="str">
        <f>IF(U195="Not Sampled","Not Sampled",IF(S195=U195,"Accurate Prediction","Inaccurate Prediction"))</f>
        <v>Not Sampled</v>
      </c>
    </row>
    <row r="196" spans="1:22" x14ac:dyDescent="0.25">
      <c r="A196" s="1">
        <v>194</v>
      </c>
      <c r="B196" s="1">
        <v>8</v>
      </c>
      <c r="C196" s="1" t="str">
        <f>LOOKUP(B196,Sheet2!$D$4:$E$9)</f>
        <v>8+</v>
      </c>
      <c r="D196" s="1">
        <v>85</v>
      </c>
      <c r="E196" t="str">
        <f>LOOKUP(D196,Sheet2!$G$4:$H$9)</f>
        <v>1-99</v>
      </c>
      <c r="F196" s="1">
        <v>55</v>
      </c>
      <c r="G196" t="str">
        <f>LOOKUP(F196,Sheet2!$J$4:$K$8)</f>
        <v>1-59</v>
      </c>
      <c r="H196" s="1">
        <v>20</v>
      </c>
      <c r="I196" t="str">
        <f>LOOKUP(H196,Sheet2!$M$4:$N$8)</f>
        <v>10-30</v>
      </c>
      <c r="J196" s="1">
        <v>0</v>
      </c>
      <c r="K196" t="str">
        <f>LOOKUP(J196,Sheet2!$P$4:$Q$9)</f>
        <v>Unknown</v>
      </c>
      <c r="L196" s="1">
        <v>24.4</v>
      </c>
      <c r="M196" t="str">
        <f>LOOKUP(L196,Sheet2!$S$4:$T$8)</f>
        <v>1-25</v>
      </c>
      <c r="N196" s="1">
        <v>0.13600000000000001</v>
      </c>
      <c r="O196" t="str">
        <f>LOOKUP(N196,Sheet2!$V$4:$W$7)</f>
        <v>0.0 - 0.249</v>
      </c>
      <c r="P196" s="1">
        <v>42</v>
      </c>
      <c r="Q196" t="str">
        <f>LOOKUP(P196,Sheet2!$Z$4:$AA$7)</f>
        <v>36-45</v>
      </c>
      <c r="R196" s="1">
        <v>0</v>
      </c>
      <c r="S196" t="str">
        <f>IF(R196=1,"Positive","Negative")</f>
        <v>Negative</v>
      </c>
      <c r="T196" s="1">
        <f>IFERROR(VLOOKUP(A196,[1]diabetes_Recognition!$A:$B,2,FALSE),"Not Sampled")</f>
        <v>0</v>
      </c>
      <c r="U196" t="str">
        <f>IF(T196=1,"Positive",(IF(T196=0,"Negative","Not Sampled")))</f>
        <v>Negative</v>
      </c>
      <c r="V196" s="1" t="str">
        <f>IF(U196="Not Sampled","Not Sampled",IF(S196=U196,"Accurate Prediction","Inaccurate Prediction"))</f>
        <v>Accurate Prediction</v>
      </c>
    </row>
    <row r="197" spans="1:22" x14ac:dyDescent="0.25">
      <c r="A197" s="1">
        <v>195</v>
      </c>
      <c r="B197" s="1">
        <v>5</v>
      </c>
      <c r="C197" s="1" t="str">
        <f>LOOKUP(B197,Sheet2!$D$4:$E$9)</f>
        <v>5-7</v>
      </c>
      <c r="D197" s="1">
        <v>158</v>
      </c>
      <c r="E197" t="str">
        <f>LOOKUP(D197,Sheet2!$G$4:$H$9)</f>
        <v>151-175</v>
      </c>
      <c r="F197" s="1">
        <v>84</v>
      </c>
      <c r="G197" t="str">
        <f>LOOKUP(F197,Sheet2!$J$4:$K$8)</f>
        <v>80+</v>
      </c>
      <c r="H197" s="1">
        <v>41</v>
      </c>
      <c r="I197" t="str">
        <f>LOOKUP(H197,Sheet2!$M$4:$N$8)</f>
        <v>40+</v>
      </c>
      <c r="J197" s="1">
        <v>210</v>
      </c>
      <c r="K197" t="str">
        <f>LOOKUP(J197,Sheet2!$P$4:$Q$9)</f>
        <v>200-399</v>
      </c>
      <c r="L197" s="1">
        <v>39.4</v>
      </c>
      <c r="M197" t="str">
        <f>LOOKUP(L197,Sheet2!$S$4:$T$8)</f>
        <v>36+</v>
      </c>
      <c r="N197" s="1">
        <v>0.39500000000000002</v>
      </c>
      <c r="O197" t="str">
        <f>LOOKUP(N197,Sheet2!$V$4:$W$7)</f>
        <v>0.25 - 0.39</v>
      </c>
      <c r="P197" s="1">
        <v>29</v>
      </c>
      <c r="Q197" t="str">
        <f>LOOKUP(P197,Sheet2!$Z$4:$AA$7)</f>
        <v>26-35</v>
      </c>
      <c r="R197" s="1">
        <v>1</v>
      </c>
      <c r="S197" t="str">
        <f>IF(R197=1,"Positive","Negative")</f>
        <v>Positive</v>
      </c>
      <c r="T197" s="1" t="str">
        <f>IFERROR(VLOOKUP(A197,[1]diabetes_Recognition!$A:$B,2,FALSE),"Not Sampled")</f>
        <v>Not Sampled</v>
      </c>
      <c r="U197" t="str">
        <f>IF(T197=1,"Positive",(IF(T197=0,"Negative","Not Sampled")))</f>
        <v>Not Sampled</v>
      </c>
      <c r="V197" s="1" t="str">
        <f>IF(U197="Not Sampled","Not Sampled",IF(S197=U197,"Accurate Prediction","Inaccurate Prediction"))</f>
        <v>Not Sampled</v>
      </c>
    </row>
    <row r="198" spans="1:22" x14ac:dyDescent="0.25">
      <c r="A198" s="1">
        <v>196</v>
      </c>
      <c r="B198" s="1">
        <v>1</v>
      </c>
      <c r="C198" s="1">
        <f>LOOKUP(B198,Sheet2!$D$4:$E$9)</f>
        <v>1</v>
      </c>
      <c r="D198" s="1">
        <v>105</v>
      </c>
      <c r="E198" t="str">
        <f>LOOKUP(D198,Sheet2!$G$4:$H$9)</f>
        <v>100-125</v>
      </c>
      <c r="F198" s="1">
        <v>58</v>
      </c>
      <c r="G198" t="str">
        <f>LOOKUP(F198,Sheet2!$J$4:$K$8)</f>
        <v>1-59</v>
      </c>
      <c r="H198" s="1">
        <v>0</v>
      </c>
      <c r="I198" t="str">
        <f>LOOKUP(H198,Sheet2!$M$4:$N$8)</f>
        <v>Unknown</v>
      </c>
      <c r="J198" s="1">
        <v>0</v>
      </c>
      <c r="K198" t="str">
        <f>LOOKUP(J198,Sheet2!$P$4:$Q$9)</f>
        <v>Unknown</v>
      </c>
      <c r="L198" s="1">
        <v>24.3</v>
      </c>
      <c r="M198" t="str">
        <f>LOOKUP(L198,Sheet2!$S$4:$T$8)</f>
        <v>1-25</v>
      </c>
      <c r="N198" s="1">
        <v>0.187</v>
      </c>
      <c r="O198" t="str">
        <f>LOOKUP(N198,Sheet2!$V$4:$W$7)</f>
        <v>0.0 - 0.249</v>
      </c>
      <c r="P198" s="1">
        <v>21</v>
      </c>
      <c r="Q198" t="str">
        <f>LOOKUP(P198,Sheet2!$Z$4:$AA$7)</f>
        <v>&lt;=25</v>
      </c>
      <c r="R198" s="1">
        <v>0</v>
      </c>
      <c r="S198" t="str">
        <f>IF(R198=1,"Positive","Negative")</f>
        <v>Negative</v>
      </c>
      <c r="T198" s="1" t="str">
        <f>IFERROR(VLOOKUP(A198,[1]diabetes_Recognition!$A:$B,2,FALSE),"Not Sampled")</f>
        <v>Not Sampled</v>
      </c>
      <c r="U198" t="str">
        <f>IF(T198=1,"Positive",(IF(T198=0,"Negative","Not Sampled")))</f>
        <v>Not Sampled</v>
      </c>
      <c r="V198" s="1" t="str">
        <f>IF(U198="Not Sampled","Not Sampled",IF(S198=U198,"Accurate Prediction","Inaccurate Prediction"))</f>
        <v>Not Sampled</v>
      </c>
    </row>
    <row r="199" spans="1:22" x14ac:dyDescent="0.25">
      <c r="A199" s="1">
        <v>197</v>
      </c>
      <c r="B199" s="1">
        <v>3</v>
      </c>
      <c r="C199" s="1" t="str">
        <f>LOOKUP(B199,Sheet2!$D$4:$E$9)</f>
        <v>3-4</v>
      </c>
      <c r="D199" s="1">
        <v>107</v>
      </c>
      <c r="E199" t="str">
        <f>LOOKUP(D199,Sheet2!$G$4:$H$9)</f>
        <v>100-125</v>
      </c>
      <c r="F199" s="1">
        <v>62</v>
      </c>
      <c r="G199" t="str">
        <f>LOOKUP(F199,Sheet2!$J$4:$K$8)</f>
        <v>60-69</v>
      </c>
      <c r="H199" s="1">
        <v>13</v>
      </c>
      <c r="I199" t="str">
        <f>LOOKUP(H199,Sheet2!$M$4:$N$8)</f>
        <v>10-30</v>
      </c>
      <c r="J199" s="1">
        <v>48</v>
      </c>
      <c r="K199" t="str">
        <f>LOOKUP(J199,Sheet2!$P$4:$Q$9)</f>
        <v>1-99</v>
      </c>
      <c r="L199" s="1">
        <v>22.9</v>
      </c>
      <c r="M199" t="str">
        <f>LOOKUP(L199,Sheet2!$S$4:$T$8)</f>
        <v>1-25</v>
      </c>
      <c r="N199" s="1">
        <v>0.67800000000000005</v>
      </c>
      <c r="O199" t="str">
        <f>LOOKUP(N199,Sheet2!$V$4:$W$7)</f>
        <v>0.4 - 0.69</v>
      </c>
      <c r="P199" s="1">
        <v>23</v>
      </c>
      <c r="Q199" t="str">
        <f>LOOKUP(P199,Sheet2!$Z$4:$AA$7)</f>
        <v>&lt;=25</v>
      </c>
      <c r="R199" s="1">
        <v>1</v>
      </c>
      <c r="S199" t="str">
        <f>IF(R199=1,"Positive","Negative")</f>
        <v>Positive</v>
      </c>
      <c r="T199" s="1" t="str">
        <f>IFERROR(VLOOKUP(A199,[1]diabetes_Recognition!$A:$B,2,FALSE),"Not Sampled")</f>
        <v>Not Sampled</v>
      </c>
      <c r="U199" t="str">
        <f>IF(T199=1,"Positive",(IF(T199=0,"Negative","Not Sampled")))</f>
        <v>Not Sampled</v>
      </c>
      <c r="V199" s="1" t="str">
        <f>IF(U199="Not Sampled","Not Sampled",IF(S199=U199,"Accurate Prediction","Inaccurate Prediction"))</f>
        <v>Not Sampled</v>
      </c>
    </row>
    <row r="200" spans="1:22" x14ac:dyDescent="0.25">
      <c r="A200" s="1">
        <v>198</v>
      </c>
      <c r="B200" s="1">
        <v>4</v>
      </c>
      <c r="C200" s="1" t="str">
        <f>LOOKUP(B200,Sheet2!$D$4:$E$9)</f>
        <v>3-4</v>
      </c>
      <c r="D200" s="1">
        <v>109</v>
      </c>
      <c r="E200" t="str">
        <f>LOOKUP(D200,Sheet2!$G$4:$H$9)</f>
        <v>100-125</v>
      </c>
      <c r="F200" s="1">
        <v>64</v>
      </c>
      <c r="G200" t="str">
        <f>LOOKUP(F200,Sheet2!$J$4:$K$8)</f>
        <v>60-69</v>
      </c>
      <c r="H200" s="1">
        <v>44</v>
      </c>
      <c r="I200" t="str">
        <f>LOOKUP(H200,Sheet2!$M$4:$N$8)</f>
        <v>40+</v>
      </c>
      <c r="J200" s="1">
        <v>99</v>
      </c>
      <c r="K200" t="str">
        <f>LOOKUP(J200,Sheet2!$P$4:$Q$9)</f>
        <v>1-99</v>
      </c>
      <c r="L200" s="1">
        <v>34.799999999999997</v>
      </c>
      <c r="M200" t="str">
        <f>LOOKUP(L200,Sheet2!$S$4:$T$8)</f>
        <v>31-35</v>
      </c>
      <c r="N200" s="1">
        <v>0.90500000000000003</v>
      </c>
      <c r="O200" t="str">
        <f>LOOKUP(N200,Sheet2!$V$4:$W$7)</f>
        <v>0.7+</v>
      </c>
      <c r="P200" s="1">
        <v>26</v>
      </c>
      <c r="Q200" t="str">
        <f>LOOKUP(P200,Sheet2!$Z$4:$AA$7)</f>
        <v>26-35</v>
      </c>
      <c r="R200" s="1">
        <v>1</v>
      </c>
      <c r="S200" t="str">
        <f>IF(R200=1,"Positive","Negative")</f>
        <v>Positive</v>
      </c>
      <c r="T200" s="1" t="str">
        <f>IFERROR(VLOOKUP(A200,[1]diabetes_Recognition!$A:$B,2,FALSE),"Not Sampled")</f>
        <v>Not Sampled</v>
      </c>
      <c r="U200" t="str">
        <f>IF(T200=1,"Positive",(IF(T200=0,"Negative","Not Sampled")))</f>
        <v>Not Sampled</v>
      </c>
      <c r="V200" s="1" t="str">
        <f>IF(U200="Not Sampled","Not Sampled",IF(S200=U200,"Accurate Prediction","Inaccurate Prediction"))</f>
        <v>Not Sampled</v>
      </c>
    </row>
    <row r="201" spans="1:22" x14ac:dyDescent="0.25">
      <c r="A201" s="1">
        <v>199</v>
      </c>
      <c r="B201" s="1">
        <v>4</v>
      </c>
      <c r="C201" s="1" t="str">
        <f>LOOKUP(B201,Sheet2!$D$4:$E$9)</f>
        <v>3-4</v>
      </c>
      <c r="D201" s="1">
        <v>148</v>
      </c>
      <c r="E201" t="str">
        <f>LOOKUP(D201,Sheet2!$G$4:$H$9)</f>
        <v>126-150</v>
      </c>
      <c r="F201" s="1">
        <v>60</v>
      </c>
      <c r="G201" t="str">
        <f>LOOKUP(F201,Sheet2!$J$4:$K$8)</f>
        <v>60-69</v>
      </c>
      <c r="H201" s="1">
        <v>27</v>
      </c>
      <c r="I201" t="str">
        <f>LOOKUP(H201,Sheet2!$M$4:$N$8)</f>
        <v>10-30</v>
      </c>
      <c r="J201" s="1">
        <v>318</v>
      </c>
      <c r="K201" t="str">
        <f>LOOKUP(J201,Sheet2!$P$4:$Q$9)</f>
        <v>300-499</v>
      </c>
      <c r="L201" s="1">
        <v>30.9</v>
      </c>
      <c r="M201" t="str">
        <f>LOOKUP(L201,Sheet2!$S$4:$T$8)</f>
        <v>26-30</v>
      </c>
      <c r="N201" s="1">
        <v>0.15</v>
      </c>
      <c r="O201" t="str">
        <f>LOOKUP(N201,Sheet2!$V$4:$W$7)</f>
        <v>0.0 - 0.249</v>
      </c>
      <c r="P201" s="1">
        <v>29</v>
      </c>
      <c r="Q201" t="str">
        <f>LOOKUP(P201,Sheet2!$Z$4:$AA$7)</f>
        <v>26-35</v>
      </c>
      <c r="R201" s="1">
        <v>1</v>
      </c>
      <c r="S201" t="str">
        <f>IF(R201=1,"Positive","Negative")</f>
        <v>Positive</v>
      </c>
      <c r="T201" s="1" t="str">
        <f>IFERROR(VLOOKUP(A201,[1]diabetes_Recognition!$A:$B,2,FALSE),"Not Sampled")</f>
        <v>Not Sampled</v>
      </c>
      <c r="U201" t="str">
        <f>IF(T201=1,"Positive",(IF(T201=0,"Negative","Not Sampled")))</f>
        <v>Not Sampled</v>
      </c>
      <c r="V201" s="1" t="str">
        <f>IF(U201="Not Sampled","Not Sampled",IF(S201=U201,"Accurate Prediction","Inaccurate Prediction"))</f>
        <v>Not Sampled</v>
      </c>
    </row>
    <row r="202" spans="1:22" x14ac:dyDescent="0.25">
      <c r="A202" s="1">
        <v>200</v>
      </c>
      <c r="B202" s="1">
        <v>0</v>
      </c>
      <c r="C202" s="1">
        <f>LOOKUP(B202,Sheet2!$D$4:$E$9)</f>
        <v>0</v>
      </c>
      <c r="D202" s="1">
        <v>113</v>
      </c>
      <c r="E202" t="str">
        <f>LOOKUP(D202,Sheet2!$G$4:$H$9)</f>
        <v>100-125</v>
      </c>
      <c r="F202" s="1">
        <v>80</v>
      </c>
      <c r="G202" t="str">
        <f>LOOKUP(F202,Sheet2!$J$4:$K$8)</f>
        <v>80+</v>
      </c>
      <c r="H202" s="1">
        <v>16</v>
      </c>
      <c r="I202" t="str">
        <f>LOOKUP(H202,Sheet2!$M$4:$N$8)</f>
        <v>10-30</v>
      </c>
      <c r="J202" s="1">
        <v>0</v>
      </c>
      <c r="K202" t="str">
        <f>LOOKUP(J202,Sheet2!$P$4:$Q$9)</f>
        <v>Unknown</v>
      </c>
      <c r="L202" s="1">
        <v>31</v>
      </c>
      <c r="M202" t="str">
        <f>LOOKUP(L202,Sheet2!$S$4:$T$8)</f>
        <v>31-35</v>
      </c>
      <c r="N202" s="1">
        <v>0.874</v>
      </c>
      <c r="O202" t="str">
        <f>LOOKUP(N202,Sheet2!$V$4:$W$7)</f>
        <v>0.7+</v>
      </c>
      <c r="P202" s="1">
        <v>21</v>
      </c>
      <c r="Q202" t="str">
        <f>LOOKUP(P202,Sheet2!$Z$4:$AA$7)</f>
        <v>&lt;=25</v>
      </c>
      <c r="R202" s="1">
        <v>0</v>
      </c>
      <c r="S202" t="str">
        <f>IF(R202=1,"Positive","Negative")</f>
        <v>Negative</v>
      </c>
      <c r="T202" s="1" t="str">
        <f>IFERROR(VLOOKUP(A202,[1]diabetes_Recognition!$A:$B,2,FALSE),"Not Sampled")</f>
        <v>Not Sampled</v>
      </c>
      <c r="U202" t="str">
        <f>IF(T202=1,"Positive",(IF(T202=0,"Negative","Not Sampled")))</f>
        <v>Not Sampled</v>
      </c>
      <c r="V202" s="1" t="str">
        <f>IF(U202="Not Sampled","Not Sampled",IF(S202=U202,"Accurate Prediction","Inaccurate Prediction"))</f>
        <v>Not Sampled</v>
      </c>
    </row>
    <row r="203" spans="1:22" x14ac:dyDescent="0.25">
      <c r="A203" s="1">
        <v>201</v>
      </c>
      <c r="B203" s="1">
        <v>1</v>
      </c>
      <c r="C203" s="1">
        <f>LOOKUP(B203,Sheet2!$D$4:$E$9)</f>
        <v>1</v>
      </c>
      <c r="D203" s="1">
        <v>138</v>
      </c>
      <c r="E203" t="str">
        <f>LOOKUP(D203,Sheet2!$G$4:$H$9)</f>
        <v>126-150</v>
      </c>
      <c r="F203" s="1">
        <v>82</v>
      </c>
      <c r="G203" t="str">
        <f>LOOKUP(F203,Sheet2!$J$4:$K$8)</f>
        <v>80+</v>
      </c>
      <c r="H203" s="1">
        <v>0</v>
      </c>
      <c r="I203" t="str">
        <f>LOOKUP(H203,Sheet2!$M$4:$N$8)</f>
        <v>Unknown</v>
      </c>
      <c r="J203" s="1">
        <v>0</v>
      </c>
      <c r="K203" t="str">
        <f>LOOKUP(J203,Sheet2!$P$4:$Q$9)</f>
        <v>Unknown</v>
      </c>
      <c r="L203" s="1">
        <v>40.1</v>
      </c>
      <c r="M203" t="str">
        <f>LOOKUP(L203,Sheet2!$S$4:$T$8)</f>
        <v>36+</v>
      </c>
      <c r="N203" s="1">
        <v>0.23599999999999999</v>
      </c>
      <c r="O203" t="str">
        <f>LOOKUP(N203,Sheet2!$V$4:$W$7)</f>
        <v>0.0 - 0.249</v>
      </c>
      <c r="P203" s="1">
        <v>28</v>
      </c>
      <c r="Q203" t="str">
        <f>LOOKUP(P203,Sheet2!$Z$4:$AA$7)</f>
        <v>26-35</v>
      </c>
      <c r="R203" s="1">
        <v>0</v>
      </c>
      <c r="S203" t="str">
        <f>IF(R203=1,"Positive","Negative")</f>
        <v>Negative</v>
      </c>
      <c r="T203" s="1">
        <f>IFERROR(VLOOKUP(A203,[1]diabetes_Recognition!$A:$B,2,FALSE),"Not Sampled")</f>
        <v>0</v>
      </c>
      <c r="U203" t="str">
        <f>IF(T203=1,"Positive",(IF(T203=0,"Negative","Not Sampled")))</f>
        <v>Negative</v>
      </c>
      <c r="V203" s="1" t="str">
        <f>IF(U203="Not Sampled","Not Sampled",IF(S203=U203,"Accurate Prediction","Inaccurate Prediction"))</f>
        <v>Accurate Prediction</v>
      </c>
    </row>
    <row r="204" spans="1:22" x14ac:dyDescent="0.25">
      <c r="A204" s="1">
        <v>202</v>
      </c>
      <c r="B204" s="1">
        <v>0</v>
      </c>
      <c r="C204" s="1">
        <f>LOOKUP(B204,Sheet2!$D$4:$E$9)</f>
        <v>0</v>
      </c>
      <c r="D204" s="1">
        <v>108</v>
      </c>
      <c r="E204" t="str">
        <f>LOOKUP(D204,Sheet2!$G$4:$H$9)</f>
        <v>100-125</v>
      </c>
      <c r="F204" s="1">
        <v>68</v>
      </c>
      <c r="G204" t="str">
        <f>LOOKUP(F204,Sheet2!$J$4:$K$8)</f>
        <v>60-69</v>
      </c>
      <c r="H204" s="1">
        <v>20</v>
      </c>
      <c r="I204" t="str">
        <f>LOOKUP(H204,Sheet2!$M$4:$N$8)</f>
        <v>10-30</v>
      </c>
      <c r="J204" s="1">
        <v>0</v>
      </c>
      <c r="K204" t="str">
        <f>LOOKUP(J204,Sheet2!$P$4:$Q$9)</f>
        <v>Unknown</v>
      </c>
      <c r="L204" s="1">
        <v>27.3</v>
      </c>
      <c r="M204" t="str">
        <f>LOOKUP(L204,Sheet2!$S$4:$T$8)</f>
        <v>26-30</v>
      </c>
      <c r="N204" s="1">
        <v>0.78700000000000003</v>
      </c>
      <c r="O204" t="str">
        <f>LOOKUP(N204,Sheet2!$V$4:$W$7)</f>
        <v>0.7+</v>
      </c>
      <c r="P204" s="1">
        <v>32</v>
      </c>
      <c r="Q204" t="str">
        <f>LOOKUP(P204,Sheet2!$Z$4:$AA$7)</f>
        <v>26-35</v>
      </c>
      <c r="R204" s="1">
        <v>0</v>
      </c>
      <c r="S204" t="str">
        <f>IF(R204=1,"Positive","Negative")</f>
        <v>Negative</v>
      </c>
      <c r="T204" s="1">
        <f>IFERROR(VLOOKUP(A204,[1]diabetes_Recognition!$A:$B,2,FALSE),"Not Sampled")</f>
        <v>0</v>
      </c>
      <c r="U204" t="str">
        <f>IF(T204=1,"Positive",(IF(T204=0,"Negative","Not Sampled")))</f>
        <v>Negative</v>
      </c>
      <c r="V204" s="1" t="str">
        <f>IF(U204="Not Sampled","Not Sampled",IF(S204=U204,"Accurate Prediction","Inaccurate Prediction"))</f>
        <v>Accurate Prediction</v>
      </c>
    </row>
    <row r="205" spans="1:22" x14ac:dyDescent="0.25">
      <c r="A205" s="1">
        <v>203</v>
      </c>
      <c r="B205" s="1">
        <v>2</v>
      </c>
      <c r="C205" s="1">
        <f>LOOKUP(B205,Sheet2!$D$4:$E$9)</f>
        <v>2</v>
      </c>
      <c r="D205" s="1">
        <v>99</v>
      </c>
      <c r="E205" t="str">
        <f>LOOKUP(D205,Sheet2!$G$4:$H$9)</f>
        <v>1-99</v>
      </c>
      <c r="F205" s="1">
        <v>70</v>
      </c>
      <c r="G205" t="str">
        <f>LOOKUP(F205,Sheet2!$J$4:$K$8)</f>
        <v>70-79</v>
      </c>
      <c r="H205" s="1">
        <v>16</v>
      </c>
      <c r="I205" t="str">
        <f>LOOKUP(H205,Sheet2!$M$4:$N$8)</f>
        <v>10-30</v>
      </c>
      <c r="J205" s="1">
        <v>44</v>
      </c>
      <c r="K205" t="str">
        <f>LOOKUP(J205,Sheet2!$P$4:$Q$9)</f>
        <v>1-99</v>
      </c>
      <c r="L205" s="1">
        <v>20.399999999999999</v>
      </c>
      <c r="M205" t="str">
        <f>LOOKUP(L205,Sheet2!$S$4:$T$8)</f>
        <v>1-25</v>
      </c>
      <c r="N205" s="1">
        <v>0.23499999999999999</v>
      </c>
      <c r="O205" t="str">
        <f>LOOKUP(N205,Sheet2!$V$4:$W$7)</f>
        <v>0.0 - 0.249</v>
      </c>
      <c r="P205" s="1">
        <v>27</v>
      </c>
      <c r="Q205" t="str">
        <f>LOOKUP(P205,Sheet2!$Z$4:$AA$7)</f>
        <v>26-35</v>
      </c>
      <c r="R205" s="1">
        <v>0</v>
      </c>
      <c r="S205" t="str">
        <f>IF(R205=1,"Positive","Negative")</f>
        <v>Negative</v>
      </c>
      <c r="T205" s="1" t="str">
        <f>IFERROR(VLOOKUP(A205,[1]diabetes_Recognition!$A:$B,2,FALSE),"Not Sampled")</f>
        <v>Not Sampled</v>
      </c>
      <c r="U205" t="str">
        <f>IF(T205=1,"Positive",(IF(T205=0,"Negative","Not Sampled")))</f>
        <v>Not Sampled</v>
      </c>
      <c r="V205" s="1" t="str">
        <f>IF(U205="Not Sampled","Not Sampled",IF(S205=U205,"Accurate Prediction","Inaccurate Prediction"))</f>
        <v>Not Sampled</v>
      </c>
    </row>
    <row r="206" spans="1:22" x14ac:dyDescent="0.25">
      <c r="A206" s="1">
        <v>204</v>
      </c>
      <c r="B206" s="1">
        <v>6</v>
      </c>
      <c r="C206" s="1" t="str">
        <f>LOOKUP(B206,Sheet2!$D$4:$E$9)</f>
        <v>5-7</v>
      </c>
      <c r="D206" s="1">
        <v>103</v>
      </c>
      <c r="E206" t="str">
        <f>LOOKUP(D206,Sheet2!$G$4:$H$9)</f>
        <v>100-125</v>
      </c>
      <c r="F206" s="1">
        <v>72</v>
      </c>
      <c r="G206" t="str">
        <f>LOOKUP(F206,Sheet2!$J$4:$K$8)</f>
        <v>70-79</v>
      </c>
      <c r="H206" s="1">
        <v>32</v>
      </c>
      <c r="I206" t="str">
        <f>LOOKUP(H206,Sheet2!$M$4:$N$8)</f>
        <v>30-39</v>
      </c>
      <c r="J206" s="1">
        <v>190</v>
      </c>
      <c r="K206" t="str">
        <f>LOOKUP(J206,Sheet2!$P$4:$Q$9)</f>
        <v>100-199</v>
      </c>
      <c r="L206" s="1">
        <v>37.700000000000003</v>
      </c>
      <c r="M206" t="str">
        <f>LOOKUP(L206,Sheet2!$S$4:$T$8)</f>
        <v>36+</v>
      </c>
      <c r="N206" s="1">
        <v>0.32400000000000001</v>
      </c>
      <c r="O206" t="str">
        <f>LOOKUP(N206,Sheet2!$V$4:$W$7)</f>
        <v>0.25 - 0.39</v>
      </c>
      <c r="P206" s="1">
        <v>55</v>
      </c>
      <c r="Q206" t="str">
        <f>LOOKUP(P206,Sheet2!$Z$4:$AA$7)</f>
        <v>46+</v>
      </c>
      <c r="R206" s="1">
        <v>0</v>
      </c>
      <c r="S206" t="str">
        <f>IF(R206=1,"Positive","Negative")</f>
        <v>Negative</v>
      </c>
      <c r="T206" s="1" t="str">
        <f>IFERROR(VLOOKUP(A206,[1]diabetes_Recognition!$A:$B,2,FALSE),"Not Sampled")</f>
        <v>Not Sampled</v>
      </c>
      <c r="U206" t="str">
        <f>IF(T206=1,"Positive",(IF(T206=0,"Negative","Not Sampled")))</f>
        <v>Not Sampled</v>
      </c>
      <c r="V206" s="1" t="str">
        <f>IF(U206="Not Sampled","Not Sampled",IF(S206=U206,"Accurate Prediction","Inaccurate Prediction"))</f>
        <v>Not Sampled</v>
      </c>
    </row>
    <row r="207" spans="1:22" x14ac:dyDescent="0.25">
      <c r="A207" s="1">
        <v>205</v>
      </c>
      <c r="B207" s="1">
        <v>5</v>
      </c>
      <c r="C207" s="1" t="str">
        <f>LOOKUP(B207,Sheet2!$D$4:$E$9)</f>
        <v>5-7</v>
      </c>
      <c r="D207" s="1">
        <v>111</v>
      </c>
      <c r="E207" t="str">
        <f>LOOKUP(D207,Sheet2!$G$4:$H$9)</f>
        <v>100-125</v>
      </c>
      <c r="F207" s="1">
        <v>72</v>
      </c>
      <c r="G207" t="str">
        <f>LOOKUP(F207,Sheet2!$J$4:$K$8)</f>
        <v>70-79</v>
      </c>
      <c r="H207" s="1">
        <v>28</v>
      </c>
      <c r="I207" t="str">
        <f>LOOKUP(H207,Sheet2!$M$4:$N$8)</f>
        <v>10-30</v>
      </c>
      <c r="J207" s="1">
        <v>0</v>
      </c>
      <c r="K207" t="str">
        <f>LOOKUP(J207,Sheet2!$P$4:$Q$9)</f>
        <v>Unknown</v>
      </c>
      <c r="L207" s="1">
        <v>23.9</v>
      </c>
      <c r="M207" t="str">
        <f>LOOKUP(L207,Sheet2!$S$4:$T$8)</f>
        <v>1-25</v>
      </c>
      <c r="N207" s="1">
        <v>0.40699999999999997</v>
      </c>
      <c r="O207" t="str">
        <f>LOOKUP(N207,Sheet2!$V$4:$W$7)</f>
        <v>0.4 - 0.69</v>
      </c>
      <c r="P207" s="1">
        <v>27</v>
      </c>
      <c r="Q207" t="str">
        <f>LOOKUP(P207,Sheet2!$Z$4:$AA$7)</f>
        <v>26-35</v>
      </c>
      <c r="R207" s="1">
        <v>0</v>
      </c>
      <c r="S207" t="str">
        <f>IF(R207=1,"Positive","Negative")</f>
        <v>Negative</v>
      </c>
      <c r="T207" s="1" t="str">
        <f>IFERROR(VLOOKUP(A207,[1]diabetes_Recognition!$A:$B,2,FALSE),"Not Sampled")</f>
        <v>Not Sampled</v>
      </c>
      <c r="U207" t="str">
        <f>IF(T207=1,"Positive",(IF(T207=0,"Negative","Not Sampled")))</f>
        <v>Not Sampled</v>
      </c>
      <c r="V207" s="1" t="str">
        <f>IF(U207="Not Sampled","Not Sampled",IF(S207=U207,"Accurate Prediction","Inaccurate Prediction"))</f>
        <v>Not Sampled</v>
      </c>
    </row>
    <row r="208" spans="1:22" x14ac:dyDescent="0.25">
      <c r="A208" s="1">
        <v>206</v>
      </c>
      <c r="B208" s="1">
        <v>8</v>
      </c>
      <c r="C208" s="1" t="str">
        <f>LOOKUP(B208,Sheet2!$D$4:$E$9)</f>
        <v>8+</v>
      </c>
      <c r="D208" s="1">
        <v>196</v>
      </c>
      <c r="E208" t="str">
        <f>LOOKUP(D208,Sheet2!$G$4:$H$9)</f>
        <v>176-200</v>
      </c>
      <c r="F208" s="1">
        <v>76</v>
      </c>
      <c r="G208" t="str">
        <f>LOOKUP(F208,Sheet2!$J$4:$K$8)</f>
        <v>70-79</v>
      </c>
      <c r="H208" s="1">
        <v>29</v>
      </c>
      <c r="I208" t="str">
        <f>LOOKUP(H208,Sheet2!$M$4:$N$8)</f>
        <v>10-30</v>
      </c>
      <c r="J208" s="1">
        <v>280</v>
      </c>
      <c r="K208" t="str">
        <f>LOOKUP(J208,Sheet2!$P$4:$Q$9)</f>
        <v>200-399</v>
      </c>
      <c r="L208" s="1">
        <v>37.5</v>
      </c>
      <c r="M208" t="str">
        <f>LOOKUP(L208,Sheet2!$S$4:$T$8)</f>
        <v>36+</v>
      </c>
      <c r="N208" s="1">
        <v>0.60499999999999998</v>
      </c>
      <c r="O208" t="str">
        <f>LOOKUP(N208,Sheet2!$V$4:$W$7)</f>
        <v>0.4 - 0.69</v>
      </c>
      <c r="P208" s="1">
        <v>57</v>
      </c>
      <c r="Q208" t="str">
        <f>LOOKUP(P208,Sheet2!$Z$4:$AA$7)</f>
        <v>46+</v>
      </c>
      <c r="R208" s="1">
        <v>1</v>
      </c>
      <c r="S208" t="str">
        <f>IF(R208=1,"Positive","Negative")</f>
        <v>Positive</v>
      </c>
      <c r="T208" s="1" t="str">
        <f>IFERROR(VLOOKUP(A208,[1]diabetes_Recognition!$A:$B,2,FALSE),"Not Sampled")</f>
        <v>Not Sampled</v>
      </c>
      <c r="U208" t="str">
        <f>IF(T208=1,"Positive",(IF(T208=0,"Negative","Not Sampled")))</f>
        <v>Not Sampled</v>
      </c>
      <c r="V208" s="1" t="str">
        <f>IF(U208="Not Sampled","Not Sampled",IF(S208=U208,"Accurate Prediction","Inaccurate Prediction"))</f>
        <v>Not Sampled</v>
      </c>
    </row>
    <row r="209" spans="1:22" x14ac:dyDescent="0.25">
      <c r="A209" s="1">
        <v>207</v>
      </c>
      <c r="B209" s="1">
        <v>5</v>
      </c>
      <c r="C209" s="1" t="str">
        <f>LOOKUP(B209,Sheet2!$D$4:$E$9)</f>
        <v>5-7</v>
      </c>
      <c r="D209" s="1">
        <v>162</v>
      </c>
      <c r="E209" t="str">
        <f>LOOKUP(D209,Sheet2!$G$4:$H$9)</f>
        <v>151-175</v>
      </c>
      <c r="F209" s="1">
        <v>104</v>
      </c>
      <c r="G209" t="str">
        <f>LOOKUP(F209,Sheet2!$J$4:$K$8)</f>
        <v>80+</v>
      </c>
      <c r="H209" s="1">
        <v>0</v>
      </c>
      <c r="I209" t="str">
        <f>LOOKUP(H209,Sheet2!$M$4:$N$8)</f>
        <v>Unknown</v>
      </c>
      <c r="J209" s="1">
        <v>0</v>
      </c>
      <c r="K209" t="str">
        <f>LOOKUP(J209,Sheet2!$P$4:$Q$9)</f>
        <v>Unknown</v>
      </c>
      <c r="L209" s="1">
        <v>37.700000000000003</v>
      </c>
      <c r="M209" t="str">
        <f>LOOKUP(L209,Sheet2!$S$4:$T$8)</f>
        <v>36+</v>
      </c>
      <c r="N209" s="1">
        <v>0.151</v>
      </c>
      <c r="O209" t="str">
        <f>LOOKUP(N209,Sheet2!$V$4:$W$7)</f>
        <v>0.0 - 0.249</v>
      </c>
      <c r="P209" s="1">
        <v>52</v>
      </c>
      <c r="Q209" t="str">
        <f>LOOKUP(P209,Sheet2!$Z$4:$AA$7)</f>
        <v>46+</v>
      </c>
      <c r="R209" s="1">
        <v>1</v>
      </c>
      <c r="S209" t="str">
        <f>IF(R209=1,"Positive","Negative")</f>
        <v>Positive</v>
      </c>
      <c r="T209" s="1" t="str">
        <f>IFERROR(VLOOKUP(A209,[1]diabetes_Recognition!$A:$B,2,FALSE),"Not Sampled")</f>
        <v>Not Sampled</v>
      </c>
      <c r="U209" t="str">
        <f>IF(T209=1,"Positive",(IF(T209=0,"Negative","Not Sampled")))</f>
        <v>Not Sampled</v>
      </c>
      <c r="V209" s="1" t="str">
        <f>IF(U209="Not Sampled","Not Sampled",IF(S209=U209,"Accurate Prediction","Inaccurate Prediction"))</f>
        <v>Not Sampled</v>
      </c>
    </row>
    <row r="210" spans="1:22" x14ac:dyDescent="0.25">
      <c r="A210" s="1">
        <v>208</v>
      </c>
      <c r="B210" s="1">
        <v>1</v>
      </c>
      <c r="C210" s="1">
        <f>LOOKUP(B210,Sheet2!$D$4:$E$9)</f>
        <v>1</v>
      </c>
      <c r="D210" s="1">
        <v>96</v>
      </c>
      <c r="E210" t="str">
        <f>LOOKUP(D210,Sheet2!$G$4:$H$9)</f>
        <v>1-99</v>
      </c>
      <c r="F210" s="1">
        <v>64</v>
      </c>
      <c r="G210" t="str">
        <f>LOOKUP(F210,Sheet2!$J$4:$K$8)</f>
        <v>60-69</v>
      </c>
      <c r="H210" s="1">
        <v>27</v>
      </c>
      <c r="I210" t="str">
        <f>LOOKUP(H210,Sheet2!$M$4:$N$8)</f>
        <v>10-30</v>
      </c>
      <c r="J210" s="1">
        <v>87</v>
      </c>
      <c r="K210" t="str">
        <f>LOOKUP(J210,Sheet2!$P$4:$Q$9)</f>
        <v>1-99</v>
      </c>
      <c r="L210" s="1">
        <v>33.200000000000003</v>
      </c>
      <c r="M210" t="str">
        <f>LOOKUP(L210,Sheet2!$S$4:$T$8)</f>
        <v>31-35</v>
      </c>
      <c r="N210" s="1">
        <v>0.28899999999999998</v>
      </c>
      <c r="O210" t="str">
        <f>LOOKUP(N210,Sheet2!$V$4:$W$7)</f>
        <v>0.25 - 0.39</v>
      </c>
      <c r="P210" s="1">
        <v>21</v>
      </c>
      <c r="Q210" t="str">
        <f>LOOKUP(P210,Sheet2!$Z$4:$AA$7)</f>
        <v>&lt;=25</v>
      </c>
      <c r="R210" s="1">
        <v>0</v>
      </c>
      <c r="S210" t="str">
        <f>IF(R210=1,"Positive","Negative")</f>
        <v>Negative</v>
      </c>
      <c r="T210" s="1" t="str">
        <f>IFERROR(VLOOKUP(A210,[1]diabetes_Recognition!$A:$B,2,FALSE),"Not Sampled")</f>
        <v>Not Sampled</v>
      </c>
      <c r="U210" t="str">
        <f>IF(T210=1,"Positive",(IF(T210=0,"Negative","Not Sampled")))</f>
        <v>Not Sampled</v>
      </c>
      <c r="V210" s="1" t="str">
        <f>IF(U210="Not Sampled","Not Sampled",IF(S210=U210,"Accurate Prediction","Inaccurate Prediction"))</f>
        <v>Not Sampled</v>
      </c>
    </row>
    <row r="211" spans="1:22" x14ac:dyDescent="0.25">
      <c r="A211" s="1">
        <v>209</v>
      </c>
      <c r="B211" s="1">
        <v>7</v>
      </c>
      <c r="C211" s="1" t="str">
        <f>LOOKUP(B211,Sheet2!$D$4:$E$9)</f>
        <v>5-7</v>
      </c>
      <c r="D211" s="1">
        <v>184</v>
      </c>
      <c r="E211" t="str">
        <f>LOOKUP(D211,Sheet2!$G$4:$H$9)</f>
        <v>176-200</v>
      </c>
      <c r="F211" s="1">
        <v>84</v>
      </c>
      <c r="G211" t="str">
        <f>LOOKUP(F211,Sheet2!$J$4:$K$8)</f>
        <v>80+</v>
      </c>
      <c r="H211" s="1">
        <v>33</v>
      </c>
      <c r="I211" t="str">
        <f>LOOKUP(H211,Sheet2!$M$4:$N$8)</f>
        <v>30-39</v>
      </c>
      <c r="J211" s="1">
        <v>0</v>
      </c>
      <c r="K211" t="str">
        <f>LOOKUP(J211,Sheet2!$P$4:$Q$9)</f>
        <v>Unknown</v>
      </c>
      <c r="L211" s="1">
        <v>35.5</v>
      </c>
      <c r="M211" t="str">
        <f>LOOKUP(L211,Sheet2!$S$4:$T$8)</f>
        <v>31-35</v>
      </c>
      <c r="N211" s="1">
        <v>0.35499999999999998</v>
      </c>
      <c r="O211" t="str">
        <f>LOOKUP(N211,Sheet2!$V$4:$W$7)</f>
        <v>0.25 - 0.39</v>
      </c>
      <c r="P211" s="1">
        <v>41</v>
      </c>
      <c r="Q211" t="str">
        <f>LOOKUP(P211,Sheet2!$Z$4:$AA$7)</f>
        <v>36-45</v>
      </c>
      <c r="R211" s="1">
        <v>1</v>
      </c>
      <c r="S211" t="str">
        <f>IF(R211=1,"Positive","Negative")</f>
        <v>Positive</v>
      </c>
      <c r="T211" s="1" t="str">
        <f>IFERROR(VLOOKUP(A211,[1]diabetes_Recognition!$A:$B,2,FALSE),"Not Sampled")</f>
        <v>Not Sampled</v>
      </c>
      <c r="U211" t="str">
        <f>IF(T211=1,"Positive",(IF(T211=0,"Negative","Not Sampled")))</f>
        <v>Not Sampled</v>
      </c>
      <c r="V211" s="1" t="str">
        <f>IF(U211="Not Sampled","Not Sampled",IF(S211=U211,"Accurate Prediction","Inaccurate Prediction"))</f>
        <v>Not Sampled</v>
      </c>
    </row>
    <row r="212" spans="1:22" x14ac:dyDescent="0.25">
      <c r="A212" s="1">
        <v>210</v>
      </c>
      <c r="B212" s="1">
        <v>2</v>
      </c>
      <c r="C212" s="1">
        <f>LOOKUP(B212,Sheet2!$D$4:$E$9)</f>
        <v>2</v>
      </c>
      <c r="D212" s="1">
        <v>81</v>
      </c>
      <c r="E212" t="str">
        <f>LOOKUP(D212,Sheet2!$G$4:$H$9)</f>
        <v>1-99</v>
      </c>
      <c r="F212" s="1">
        <v>60</v>
      </c>
      <c r="G212" t="str">
        <f>LOOKUP(F212,Sheet2!$J$4:$K$8)</f>
        <v>60-69</v>
      </c>
      <c r="H212" s="1">
        <v>22</v>
      </c>
      <c r="I212" t="str">
        <f>LOOKUP(H212,Sheet2!$M$4:$N$8)</f>
        <v>10-30</v>
      </c>
      <c r="J212" s="1">
        <v>0</v>
      </c>
      <c r="K212" t="str">
        <f>LOOKUP(J212,Sheet2!$P$4:$Q$9)</f>
        <v>Unknown</v>
      </c>
      <c r="L212" s="1">
        <v>27.7</v>
      </c>
      <c r="M212" t="str">
        <f>LOOKUP(L212,Sheet2!$S$4:$T$8)</f>
        <v>26-30</v>
      </c>
      <c r="N212" s="1">
        <v>0.28999999999999998</v>
      </c>
      <c r="O212" t="str">
        <f>LOOKUP(N212,Sheet2!$V$4:$W$7)</f>
        <v>0.25 - 0.39</v>
      </c>
      <c r="P212" s="1">
        <v>25</v>
      </c>
      <c r="Q212" t="str">
        <f>LOOKUP(P212,Sheet2!$Z$4:$AA$7)</f>
        <v>&lt;=25</v>
      </c>
      <c r="R212" s="1">
        <v>0</v>
      </c>
      <c r="S212" t="str">
        <f>IF(R212=1,"Positive","Negative")</f>
        <v>Negative</v>
      </c>
      <c r="T212" s="1" t="str">
        <f>IFERROR(VLOOKUP(A212,[1]diabetes_Recognition!$A:$B,2,FALSE),"Not Sampled")</f>
        <v>Not Sampled</v>
      </c>
      <c r="U212" t="str">
        <f>IF(T212=1,"Positive",(IF(T212=0,"Negative","Not Sampled")))</f>
        <v>Not Sampled</v>
      </c>
      <c r="V212" s="1" t="str">
        <f>IF(U212="Not Sampled","Not Sampled",IF(S212=U212,"Accurate Prediction","Inaccurate Prediction"))</f>
        <v>Not Sampled</v>
      </c>
    </row>
    <row r="213" spans="1:22" x14ac:dyDescent="0.25">
      <c r="A213" s="1">
        <v>211</v>
      </c>
      <c r="B213" s="1">
        <v>0</v>
      </c>
      <c r="C213" s="1">
        <f>LOOKUP(B213,Sheet2!$D$4:$E$9)</f>
        <v>0</v>
      </c>
      <c r="D213" s="1">
        <v>147</v>
      </c>
      <c r="E213" t="str">
        <f>LOOKUP(D213,Sheet2!$G$4:$H$9)</f>
        <v>126-150</v>
      </c>
      <c r="F213" s="1">
        <v>85</v>
      </c>
      <c r="G213" t="str">
        <f>LOOKUP(F213,Sheet2!$J$4:$K$8)</f>
        <v>80+</v>
      </c>
      <c r="H213" s="1">
        <v>54</v>
      </c>
      <c r="I213" t="str">
        <f>LOOKUP(H213,Sheet2!$M$4:$N$8)</f>
        <v>40+</v>
      </c>
      <c r="J213" s="1">
        <v>0</v>
      </c>
      <c r="K213" t="str">
        <f>LOOKUP(J213,Sheet2!$P$4:$Q$9)</f>
        <v>Unknown</v>
      </c>
      <c r="L213" s="1">
        <v>42.8</v>
      </c>
      <c r="M213" t="str">
        <f>LOOKUP(L213,Sheet2!$S$4:$T$8)</f>
        <v>36+</v>
      </c>
      <c r="N213" s="1">
        <v>0.375</v>
      </c>
      <c r="O213" t="str">
        <f>LOOKUP(N213,Sheet2!$V$4:$W$7)</f>
        <v>0.25 - 0.39</v>
      </c>
      <c r="P213" s="1">
        <v>24</v>
      </c>
      <c r="Q213" t="str">
        <f>LOOKUP(P213,Sheet2!$Z$4:$AA$7)</f>
        <v>&lt;=25</v>
      </c>
      <c r="R213" s="1">
        <v>0</v>
      </c>
      <c r="S213" t="str">
        <f>IF(R213=1,"Positive","Negative")</f>
        <v>Negative</v>
      </c>
      <c r="T213" s="1" t="str">
        <f>IFERROR(VLOOKUP(A213,[1]diabetes_Recognition!$A:$B,2,FALSE),"Not Sampled")</f>
        <v>Not Sampled</v>
      </c>
      <c r="U213" t="str">
        <f>IF(T213=1,"Positive",(IF(T213=0,"Negative","Not Sampled")))</f>
        <v>Not Sampled</v>
      </c>
      <c r="V213" s="1" t="str">
        <f>IF(U213="Not Sampled","Not Sampled",IF(S213=U213,"Accurate Prediction","Inaccurate Prediction"))</f>
        <v>Not Sampled</v>
      </c>
    </row>
    <row r="214" spans="1:22" x14ac:dyDescent="0.25">
      <c r="A214" s="1">
        <v>212</v>
      </c>
      <c r="B214" s="1">
        <v>7</v>
      </c>
      <c r="C214" s="1" t="str">
        <f>LOOKUP(B214,Sheet2!$D$4:$E$9)</f>
        <v>5-7</v>
      </c>
      <c r="D214" s="1">
        <v>179</v>
      </c>
      <c r="E214" t="str">
        <f>LOOKUP(D214,Sheet2!$G$4:$H$9)</f>
        <v>176-200</v>
      </c>
      <c r="F214" s="1">
        <v>95</v>
      </c>
      <c r="G214" t="str">
        <f>LOOKUP(F214,Sheet2!$J$4:$K$8)</f>
        <v>80+</v>
      </c>
      <c r="H214" s="1">
        <v>31</v>
      </c>
      <c r="I214" t="str">
        <f>LOOKUP(H214,Sheet2!$M$4:$N$8)</f>
        <v>30-39</v>
      </c>
      <c r="J214" s="1">
        <v>0</v>
      </c>
      <c r="K214" t="str">
        <f>LOOKUP(J214,Sheet2!$P$4:$Q$9)</f>
        <v>Unknown</v>
      </c>
      <c r="L214" s="1">
        <v>34.200000000000003</v>
      </c>
      <c r="M214" t="str">
        <f>LOOKUP(L214,Sheet2!$S$4:$T$8)</f>
        <v>31-35</v>
      </c>
      <c r="N214" s="1">
        <v>0.16400000000000001</v>
      </c>
      <c r="O214" t="str">
        <f>LOOKUP(N214,Sheet2!$V$4:$W$7)</f>
        <v>0.0 - 0.249</v>
      </c>
      <c r="P214" s="1">
        <v>60</v>
      </c>
      <c r="Q214" t="str">
        <f>LOOKUP(P214,Sheet2!$Z$4:$AA$7)</f>
        <v>46+</v>
      </c>
      <c r="R214" s="1">
        <v>0</v>
      </c>
      <c r="S214" t="str">
        <f>IF(R214=1,"Positive","Negative")</f>
        <v>Negative</v>
      </c>
      <c r="T214" s="1" t="str">
        <f>IFERROR(VLOOKUP(A214,[1]diabetes_Recognition!$A:$B,2,FALSE),"Not Sampled")</f>
        <v>Not Sampled</v>
      </c>
      <c r="U214" t="str">
        <f>IF(T214=1,"Positive",(IF(T214=0,"Negative","Not Sampled")))</f>
        <v>Not Sampled</v>
      </c>
      <c r="V214" s="1" t="str">
        <f>IF(U214="Not Sampled","Not Sampled",IF(S214=U214,"Accurate Prediction","Inaccurate Prediction"))</f>
        <v>Not Sampled</v>
      </c>
    </row>
    <row r="215" spans="1:22" x14ac:dyDescent="0.25">
      <c r="A215" s="1">
        <v>213</v>
      </c>
      <c r="B215" s="1">
        <v>0</v>
      </c>
      <c r="C215" s="1">
        <f>LOOKUP(B215,Sheet2!$D$4:$E$9)</f>
        <v>0</v>
      </c>
      <c r="D215" s="1">
        <v>140</v>
      </c>
      <c r="E215" t="str">
        <f>LOOKUP(D215,Sheet2!$G$4:$H$9)</f>
        <v>126-150</v>
      </c>
      <c r="F215" s="1">
        <v>65</v>
      </c>
      <c r="G215" t="str">
        <f>LOOKUP(F215,Sheet2!$J$4:$K$8)</f>
        <v>60-69</v>
      </c>
      <c r="H215" s="1">
        <v>26</v>
      </c>
      <c r="I215" t="str">
        <f>LOOKUP(H215,Sheet2!$M$4:$N$8)</f>
        <v>10-30</v>
      </c>
      <c r="J215" s="1">
        <v>130</v>
      </c>
      <c r="K215" t="str">
        <f>LOOKUP(J215,Sheet2!$P$4:$Q$9)</f>
        <v>100-199</v>
      </c>
      <c r="L215" s="1">
        <v>42.6</v>
      </c>
      <c r="M215" t="str">
        <f>LOOKUP(L215,Sheet2!$S$4:$T$8)</f>
        <v>36+</v>
      </c>
      <c r="N215" s="1">
        <v>0.43099999999999999</v>
      </c>
      <c r="O215" t="str">
        <f>LOOKUP(N215,Sheet2!$V$4:$W$7)</f>
        <v>0.4 - 0.69</v>
      </c>
      <c r="P215" s="1">
        <v>24</v>
      </c>
      <c r="Q215" t="str">
        <f>LOOKUP(P215,Sheet2!$Z$4:$AA$7)</f>
        <v>&lt;=25</v>
      </c>
      <c r="R215" s="1">
        <v>1</v>
      </c>
      <c r="S215" t="str">
        <f>IF(R215=1,"Positive","Negative")</f>
        <v>Positive</v>
      </c>
      <c r="T215" s="1" t="str">
        <f>IFERROR(VLOOKUP(A215,[1]diabetes_Recognition!$A:$B,2,FALSE),"Not Sampled")</f>
        <v>Not Sampled</v>
      </c>
      <c r="U215" t="str">
        <f>IF(T215=1,"Positive",(IF(T215=0,"Negative","Not Sampled")))</f>
        <v>Not Sampled</v>
      </c>
      <c r="V215" s="1" t="str">
        <f>IF(U215="Not Sampled","Not Sampled",IF(S215=U215,"Accurate Prediction","Inaccurate Prediction"))</f>
        <v>Not Sampled</v>
      </c>
    </row>
    <row r="216" spans="1:22" x14ac:dyDescent="0.25">
      <c r="A216" s="1">
        <v>214</v>
      </c>
      <c r="B216" s="1">
        <v>9</v>
      </c>
      <c r="C216" s="1" t="str">
        <f>LOOKUP(B216,Sheet2!$D$4:$E$9)</f>
        <v>8+</v>
      </c>
      <c r="D216" s="1">
        <v>112</v>
      </c>
      <c r="E216" t="str">
        <f>LOOKUP(D216,Sheet2!$G$4:$H$9)</f>
        <v>100-125</v>
      </c>
      <c r="F216" s="1">
        <v>82</v>
      </c>
      <c r="G216" t="str">
        <f>LOOKUP(F216,Sheet2!$J$4:$K$8)</f>
        <v>80+</v>
      </c>
      <c r="H216" s="1">
        <v>32</v>
      </c>
      <c r="I216" t="str">
        <f>LOOKUP(H216,Sheet2!$M$4:$N$8)</f>
        <v>30-39</v>
      </c>
      <c r="J216" s="1">
        <v>175</v>
      </c>
      <c r="K216" t="str">
        <f>LOOKUP(J216,Sheet2!$P$4:$Q$9)</f>
        <v>100-199</v>
      </c>
      <c r="L216" s="1">
        <v>34.200000000000003</v>
      </c>
      <c r="M216" t="str">
        <f>LOOKUP(L216,Sheet2!$S$4:$T$8)</f>
        <v>31-35</v>
      </c>
      <c r="N216" s="1">
        <v>0.26</v>
      </c>
      <c r="O216" t="str">
        <f>LOOKUP(N216,Sheet2!$V$4:$W$7)</f>
        <v>0.25 - 0.39</v>
      </c>
      <c r="P216" s="1">
        <v>36</v>
      </c>
      <c r="Q216" t="str">
        <f>LOOKUP(P216,Sheet2!$Z$4:$AA$7)</f>
        <v>36-45</v>
      </c>
      <c r="R216" s="1">
        <v>1</v>
      </c>
      <c r="S216" t="str">
        <f>IF(R216=1,"Positive","Negative")</f>
        <v>Positive</v>
      </c>
      <c r="T216" s="1" t="str">
        <f>IFERROR(VLOOKUP(A216,[1]diabetes_Recognition!$A:$B,2,FALSE),"Not Sampled")</f>
        <v>Not Sampled</v>
      </c>
      <c r="U216" t="str">
        <f>IF(T216=1,"Positive",(IF(T216=0,"Negative","Not Sampled")))</f>
        <v>Not Sampled</v>
      </c>
      <c r="V216" s="1" t="str">
        <f>IF(U216="Not Sampled","Not Sampled",IF(S216=U216,"Accurate Prediction","Inaccurate Prediction"))</f>
        <v>Not Sampled</v>
      </c>
    </row>
    <row r="217" spans="1:22" x14ac:dyDescent="0.25">
      <c r="A217" s="1">
        <v>215</v>
      </c>
      <c r="B217" s="1">
        <v>12</v>
      </c>
      <c r="C217" s="1" t="str">
        <f>LOOKUP(B217,Sheet2!$D$4:$E$9)</f>
        <v>8+</v>
      </c>
      <c r="D217" s="1">
        <v>151</v>
      </c>
      <c r="E217" t="str">
        <f>LOOKUP(D217,Sheet2!$G$4:$H$9)</f>
        <v>151-175</v>
      </c>
      <c r="F217" s="1">
        <v>70</v>
      </c>
      <c r="G217" t="str">
        <f>LOOKUP(F217,Sheet2!$J$4:$K$8)</f>
        <v>70-79</v>
      </c>
      <c r="H217" s="1">
        <v>40</v>
      </c>
      <c r="I217" t="str">
        <f>LOOKUP(H217,Sheet2!$M$4:$N$8)</f>
        <v>40+</v>
      </c>
      <c r="J217" s="1">
        <v>271</v>
      </c>
      <c r="K217" t="str">
        <f>LOOKUP(J217,Sheet2!$P$4:$Q$9)</f>
        <v>200-399</v>
      </c>
      <c r="L217" s="1">
        <v>41.8</v>
      </c>
      <c r="M217" t="str">
        <f>LOOKUP(L217,Sheet2!$S$4:$T$8)</f>
        <v>36+</v>
      </c>
      <c r="N217" s="1">
        <v>0.74199999999999999</v>
      </c>
      <c r="O217" t="str">
        <f>LOOKUP(N217,Sheet2!$V$4:$W$7)</f>
        <v>0.7+</v>
      </c>
      <c r="P217" s="1">
        <v>38</v>
      </c>
      <c r="Q217" t="str">
        <f>LOOKUP(P217,Sheet2!$Z$4:$AA$7)</f>
        <v>36-45</v>
      </c>
      <c r="R217" s="1">
        <v>1</v>
      </c>
      <c r="S217" t="str">
        <f>IF(R217=1,"Positive","Negative")</f>
        <v>Positive</v>
      </c>
      <c r="T217" s="1" t="str">
        <f>IFERROR(VLOOKUP(A217,[1]diabetes_Recognition!$A:$B,2,FALSE),"Not Sampled")</f>
        <v>Not Sampled</v>
      </c>
      <c r="U217" t="str">
        <f>IF(T217=1,"Positive",(IF(T217=0,"Negative","Not Sampled")))</f>
        <v>Not Sampled</v>
      </c>
      <c r="V217" s="1" t="str">
        <f>IF(U217="Not Sampled","Not Sampled",IF(S217=U217,"Accurate Prediction","Inaccurate Prediction"))</f>
        <v>Not Sampled</v>
      </c>
    </row>
    <row r="218" spans="1:22" x14ac:dyDescent="0.25">
      <c r="A218" s="1">
        <v>216</v>
      </c>
      <c r="B218" s="1">
        <v>5</v>
      </c>
      <c r="C218" s="1" t="str">
        <f>LOOKUP(B218,Sheet2!$D$4:$E$9)</f>
        <v>5-7</v>
      </c>
      <c r="D218" s="1">
        <v>109</v>
      </c>
      <c r="E218" t="str">
        <f>LOOKUP(D218,Sheet2!$G$4:$H$9)</f>
        <v>100-125</v>
      </c>
      <c r="F218" s="1">
        <v>62</v>
      </c>
      <c r="G218" t="str">
        <f>LOOKUP(F218,Sheet2!$J$4:$K$8)</f>
        <v>60-69</v>
      </c>
      <c r="H218" s="1">
        <v>41</v>
      </c>
      <c r="I218" t="str">
        <f>LOOKUP(H218,Sheet2!$M$4:$N$8)</f>
        <v>40+</v>
      </c>
      <c r="J218" s="1">
        <v>129</v>
      </c>
      <c r="K218" t="str">
        <f>LOOKUP(J218,Sheet2!$P$4:$Q$9)</f>
        <v>100-199</v>
      </c>
      <c r="L218" s="1">
        <v>35.799999999999997</v>
      </c>
      <c r="M218" t="str">
        <f>LOOKUP(L218,Sheet2!$S$4:$T$8)</f>
        <v>31-35</v>
      </c>
      <c r="N218" s="1">
        <v>0.51400000000000001</v>
      </c>
      <c r="O218" t="str">
        <f>LOOKUP(N218,Sheet2!$V$4:$W$7)</f>
        <v>0.4 - 0.69</v>
      </c>
      <c r="P218" s="1">
        <v>25</v>
      </c>
      <c r="Q218" t="str">
        <f>LOOKUP(P218,Sheet2!$Z$4:$AA$7)</f>
        <v>&lt;=25</v>
      </c>
      <c r="R218" s="1">
        <v>1</v>
      </c>
      <c r="S218" t="str">
        <f>IF(R218=1,"Positive","Negative")</f>
        <v>Positive</v>
      </c>
      <c r="T218" s="1" t="str">
        <f>IFERROR(VLOOKUP(A218,[1]diabetes_Recognition!$A:$B,2,FALSE),"Not Sampled")</f>
        <v>Not Sampled</v>
      </c>
      <c r="U218" t="str">
        <f>IF(T218=1,"Positive",(IF(T218=0,"Negative","Not Sampled")))</f>
        <v>Not Sampled</v>
      </c>
      <c r="V218" s="1" t="str">
        <f>IF(U218="Not Sampled","Not Sampled",IF(S218=U218,"Accurate Prediction","Inaccurate Prediction"))</f>
        <v>Not Sampled</v>
      </c>
    </row>
    <row r="219" spans="1:22" x14ac:dyDescent="0.25">
      <c r="A219" s="1">
        <v>217</v>
      </c>
      <c r="B219" s="1">
        <v>6</v>
      </c>
      <c r="C219" s="1" t="str">
        <f>LOOKUP(B219,Sheet2!$D$4:$E$9)</f>
        <v>5-7</v>
      </c>
      <c r="D219" s="1">
        <v>125</v>
      </c>
      <c r="E219" t="str">
        <f>LOOKUP(D219,Sheet2!$G$4:$H$9)</f>
        <v>100-125</v>
      </c>
      <c r="F219" s="1">
        <v>68</v>
      </c>
      <c r="G219" t="str">
        <f>LOOKUP(F219,Sheet2!$J$4:$K$8)</f>
        <v>60-69</v>
      </c>
      <c r="H219" s="1">
        <v>30</v>
      </c>
      <c r="I219" t="str">
        <f>LOOKUP(H219,Sheet2!$M$4:$N$8)</f>
        <v>30-39</v>
      </c>
      <c r="J219" s="1">
        <v>120</v>
      </c>
      <c r="K219" t="str">
        <f>LOOKUP(J219,Sheet2!$P$4:$Q$9)</f>
        <v>100-199</v>
      </c>
      <c r="L219" s="1">
        <v>30</v>
      </c>
      <c r="M219" t="str">
        <f>LOOKUP(L219,Sheet2!$S$4:$T$8)</f>
        <v>26-30</v>
      </c>
      <c r="N219" s="1">
        <v>0.46400000000000002</v>
      </c>
      <c r="O219" t="str">
        <f>LOOKUP(N219,Sheet2!$V$4:$W$7)</f>
        <v>0.4 - 0.69</v>
      </c>
      <c r="P219" s="1">
        <v>32</v>
      </c>
      <c r="Q219" t="str">
        <f>LOOKUP(P219,Sheet2!$Z$4:$AA$7)</f>
        <v>26-35</v>
      </c>
      <c r="R219" s="1">
        <v>0</v>
      </c>
      <c r="S219" t="str">
        <f>IF(R219=1,"Positive","Negative")</f>
        <v>Negative</v>
      </c>
      <c r="T219" s="1" t="str">
        <f>IFERROR(VLOOKUP(A219,[1]diabetes_Recognition!$A:$B,2,FALSE),"Not Sampled")</f>
        <v>Not Sampled</v>
      </c>
      <c r="U219" t="str">
        <f>IF(T219=1,"Positive",(IF(T219=0,"Negative","Not Sampled")))</f>
        <v>Not Sampled</v>
      </c>
      <c r="V219" s="1" t="str">
        <f>IF(U219="Not Sampled","Not Sampled",IF(S219=U219,"Accurate Prediction","Inaccurate Prediction"))</f>
        <v>Not Sampled</v>
      </c>
    </row>
    <row r="220" spans="1:22" x14ac:dyDescent="0.25">
      <c r="A220" s="1">
        <v>218</v>
      </c>
      <c r="B220" s="1">
        <v>5</v>
      </c>
      <c r="C220" s="1" t="str">
        <f>LOOKUP(B220,Sheet2!$D$4:$E$9)</f>
        <v>5-7</v>
      </c>
      <c r="D220" s="1">
        <v>85</v>
      </c>
      <c r="E220" t="str">
        <f>LOOKUP(D220,Sheet2!$G$4:$H$9)</f>
        <v>1-99</v>
      </c>
      <c r="F220" s="1">
        <v>74</v>
      </c>
      <c r="G220" t="str">
        <f>LOOKUP(F220,Sheet2!$J$4:$K$8)</f>
        <v>70-79</v>
      </c>
      <c r="H220" s="1">
        <v>22</v>
      </c>
      <c r="I220" t="str">
        <f>LOOKUP(H220,Sheet2!$M$4:$N$8)</f>
        <v>10-30</v>
      </c>
      <c r="J220" s="1">
        <v>0</v>
      </c>
      <c r="K220" t="str">
        <f>LOOKUP(J220,Sheet2!$P$4:$Q$9)</f>
        <v>Unknown</v>
      </c>
      <c r="L220" s="1">
        <v>29</v>
      </c>
      <c r="M220" t="str">
        <f>LOOKUP(L220,Sheet2!$S$4:$T$8)</f>
        <v>26-30</v>
      </c>
      <c r="N220" s="1">
        <v>1.224</v>
      </c>
      <c r="O220" t="str">
        <f>LOOKUP(N220,Sheet2!$V$4:$W$7)</f>
        <v>0.7+</v>
      </c>
      <c r="P220" s="1">
        <v>32</v>
      </c>
      <c r="Q220" t="str">
        <f>LOOKUP(P220,Sheet2!$Z$4:$AA$7)</f>
        <v>26-35</v>
      </c>
      <c r="R220" s="1">
        <v>1</v>
      </c>
      <c r="S220" t="str">
        <f>IF(R220=1,"Positive","Negative")</f>
        <v>Positive</v>
      </c>
      <c r="T220" s="1" t="str">
        <f>IFERROR(VLOOKUP(A220,[1]diabetes_Recognition!$A:$B,2,FALSE),"Not Sampled")</f>
        <v>Not Sampled</v>
      </c>
      <c r="U220" t="str">
        <f>IF(T220=1,"Positive",(IF(T220=0,"Negative","Not Sampled")))</f>
        <v>Not Sampled</v>
      </c>
      <c r="V220" s="1" t="str">
        <f>IF(U220="Not Sampled","Not Sampled",IF(S220=U220,"Accurate Prediction","Inaccurate Prediction"))</f>
        <v>Not Sampled</v>
      </c>
    </row>
    <row r="221" spans="1:22" x14ac:dyDescent="0.25">
      <c r="A221" s="1">
        <v>219</v>
      </c>
      <c r="B221" s="1">
        <v>5</v>
      </c>
      <c r="C221" s="1" t="str">
        <f>LOOKUP(B221,Sheet2!$D$4:$E$9)</f>
        <v>5-7</v>
      </c>
      <c r="D221" s="1">
        <v>112</v>
      </c>
      <c r="E221" t="str">
        <f>LOOKUP(D221,Sheet2!$G$4:$H$9)</f>
        <v>100-125</v>
      </c>
      <c r="F221" s="1">
        <v>66</v>
      </c>
      <c r="G221" t="str">
        <f>LOOKUP(F221,Sheet2!$J$4:$K$8)</f>
        <v>60-69</v>
      </c>
      <c r="H221" s="1">
        <v>0</v>
      </c>
      <c r="I221" t="str">
        <f>LOOKUP(H221,Sheet2!$M$4:$N$8)</f>
        <v>Unknown</v>
      </c>
      <c r="J221" s="1">
        <v>0</v>
      </c>
      <c r="K221" t="str">
        <f>LOOKUP(J221,Sheet2!$P$4:$Q$9)</f>
        <v>Unknown</v>
      </c>
      <c r="L221" s="1">
        <v>37.799999999999997</v>
      </c>
      <c r="M221" t="str">
        <f>LOOKUP(L221,Sheet2!$S$4:$T$8)</f>
        <v>36+</v>
      </c>
      <c r="N221" s="1">
        <v>0.26100000000000001</v>
      </c>
      <c r="O221" t="str">
        <f>LOOKUP(N221,Sheet2!$V$4:$W$7)</f>
        <v>0.25 - 0.39</v>
      </c>
      <c r="P221" s="1">
        <v>41</v>
      </c>
      <c r="Q221" t="str">
        <f>LOOKUP(P221,Sheet2!$Z$4:$AA$7)</f>
        <v>36-45</v>
      </c>
      <c r="R221" s="1">
        <v>1</v>
      </c>
      <c r="S221" t="str">
        <f>IF(R221=1,"Positive","Negative")</f>
        <v>Positive</v>
      </c>
      <c r="T221" s="1" t="str">
        <f>IFERROR(VLOOKUP(A221,[1]diabetes_Recognition!$A:$B,2,FALSE),"Not Sampled")</f>
        <v>Not Sampled</v>
      </c>
      <c r="U221" t="str">
        <f>IF(T221=1,"Positive",(IF(T221=0,"Negative","Not Sampled")))</f>
        <v>Not Sampled</v>
      </c>
      <c r="V221" s="1" t="str">
        <f>IF(U221="Not Sampled","Not Sampled",IF(S221=U221,"Accurate Prediction","Inaccurate Prediction"))</f>
        <v>Not Sampled</v>
      </c>
    </row>
    <row r="222" spans="1:22" x14ac:dyDescent="0.25">
      <c r="A222" s="1">
        <v>220</v>
      </c>
      <c r="B222" s="1">
        <v>0</v>
      </c>
      <c r="C222" s="1">
        <f>LOOKUP(B222,Sheet2!$D$4:$E$9)</f>
        <v>0</v>
      </c>
      <c r="D222" s="1">
        <v>177</v>
      </c>
      <c r="E222" t="str">
        <f>LOOKUP(D222,Sheet2!$G$4:$H$9)</f>
        <v>176-200</v>
      </c>
      <c r="F222" s="1">
        <v>60</v>
      </c>
      <c r="G222" t="str">
        <f>LOOKUP(F222,Sheet2!$J$4:$K$8)</f>
        <v>60-69</v>
      </c>
      <c r="H222" s="1">
        <v>29</v>
      </c>
      <c r="I222" t="str">
        <f>LOOKUP(H222,Sheet2!$M$4:$N$8)</f>
        <v>10-30</v>
      </c>
      <c r="J222" s="1">
        <v>478</v>
      </c>
      <c r="K222" t="str">
        <f>LOOKUP(J222,Sheet2!$P$4:$Q$9)</f>
        <v>300-499</v>
      </c>
      <c r="L222" s="1">
        <v>34.6</v>
      </c>
      <c r="M222" t="str">
        <f>LOOKUP(L222,Sheet2!$S$4:$T$8)</f>
        <v>31-35</v>
      </c>
      <c r="N222" s="1">
        <v>1.0720000000000001</v>
      </c>
      <c r="O222" t="str">
        <f>LOOKUP(N222,Sheet2!$V$4:$W$7)</f>
        <v>0.7+</v>
      </c>
      <c r="P222" s="1">
        <v>21</v>
      </c>
      <c r="Q222" t="str">
        <f>LOOKUP(P222,Sheet2!$Z$4:$AA$7)</f>
        <v>&lt;=25</v>
      </c>
      <c r="R222" s="1">
        <v>1</v>
      </c>
      <c r="S222" t="str">
        <f>IF(R222=1,"Positive","Negative")</f>
        <v>Positive</v>
      </c>
      <c r="T222" s="1" t="str">
        <f>IFERROR(VLOOKUP(A222,[1]diabetes_Recognition!$A:$B,2,FALSE),"Not Sampled")</f>
        <v>Not Sampled</v>
      </c>
      <c r="U222" t="str">
        <f>IF(T222=1,"Positive",(IF(T222=0,"Negative","Not Sampled")))</f>
        <v>Not Sampled</v>
      </c>
      <c r="V222" s="1" t="str">
        <f>IF(U222="Not Sampled","Not Sampled",IF(S222=U222,"Accurate Prediction","Inaccurate Prediction"))</f>
        <v>Not Sampled</v>
      </c>
    </row>
    <row r="223" spans="1:22" x14ac:dyDescent="0.25">
      <c r="A223" s="1">
        <v>221</v>
      </c>
      <c r="B223" s="1">
        <v>2</v>
      </c>
      <c r="C223" s="1">
        <f>LOOKUP(B223,Sheet2!$D$4:$E$9)</f>
        <v>2</v>
      </c>
      <c r="D223" s="1">
        <v>158</v>
      </c>
      <c r="E223" t="str">
        <f>LOOKUP(D223,Sheet2!$G$4:$H$9)</f>
        <v>151-175</v>
      </c>
      <c r="F223" s="1">
        <v>90</v>
      </c>
      <c r="G223" t="str">
        <f>LOOKUP(F223,Sheet2!$J$4:$K$8)</f>
        <v>80+</v>
      </c>
      <c r="H223" s="1">
        <v>0</v>
      </c>
      <c r="I223" t="str">
        <f>LOOKUP(H223,Sheet2!$M$4:$N$8)</f>
        <v>Unknown</v>
      </c>
      <c r="J223" s="1">
        <v>0</v>
      </c>
      <c r="K223" t="str">
        <f>LOOKUP(J223,Sheet2!$P$4:$Q$9)</f>
        <v>Unknown</v>
      </c>
      <c r="L223" s="1">
        <v>31.6</v>
      </c>
      <c r="M223" t="str">
        <f>LOOKUP(L223,Sheet2!$S$4:$T$8)</f>
        <v>31-35</v>
      </c>
      <c r="N223" s="1">
        <v>0.80500000000000005</v>
      </c>
      <c r="O223" t="str">
        <f>LOOKUP(N223,Sheet2!$V$4:$W$7)</f>
        <v>0.7+</v>
      </c>
      <c r="P223" s="1">
        <v>66</v>
      </c>
      <c r="Q223" t="str">
        <f>LOOKUP(P223,Sheet2!$Z$4:$AA$7)</f>
        <v>46+</v>
      </c>
      <c r="R223" s="1">
        <v>1</v>
      </c>
      <c r="S223" t="str">
        <f>IF(R223=1,"Positive","Negative")</f>
        <v>Positive</v>
      </c>
      <c r="T223" s="1" t="str">
        <f>IFERROR(VLOOKUP(A223,[1]diabetes_Recognition!$A:$B,2,FALSE),"Not Sampled")</f>
        <v>Not Sampled</v>
      </c>
      <c r="U223" t="str">
        <f>IF(T223=1,"Positive",(IF(T223=0,"Negative","Not Sampled")))</f>
        <v>Not Sampled</v>
      </c>
      <c r="V223" s="1" t="str">
        <f>IF(U223="Not Sampled","Not Sampled",IF(S223=U223,"Accurate Prediction","Inaccurate Prediction"))</f>
        <v>Not Sampled</v>
      </c>
    </row>
    <row r="224" spans="1:22" x14ac:dyDescent="0.25">
      <c r="A224" s="1">
        <v>222</v>
      </c>
      <c r="B224" s="1">
        <v>7</v>
      </c>
      <c r="C224" s="1" t="str">
        <f>LOOKUP(B224,Sheet2!$D$4:$E$9)</f>
        <v>5-7</v>
      </c>
      <c r="D224" s="1">
        <v>119</v>
      </c>
      <c r="E224" t="str">
        <f>LOOKUP(D224,Sheet2!$G$4:$H$9)</f>
        <v>100-125</v>
      </c>
      <c r="F224" s="1">
        <v>0</v>
      </c>
      <c r="G224" t="str">
        <f>LOOKUP(F224,Sheet2!$J$4:$K$8)</f>
        <v>Unknown</v>
      </c>
      <c r="H224" s="1">
        <v>0</v>
      </c>
      <c r="I224" t="str">
        <f>LOOKUP(H224,Sheet2!$M$4:$N$8)</f>
        <v>Unknown</v>
      </c>
      <c r="J224" s="1">
        <v>0</v>
      </c>
      <c r="K224" t="str">
        <f>LOOKUP(J224,Sheet2!$P$4:$Q$9)</f>
        <v>Unknown</v>
      </c>
      <c r="L224" s="1">
        <v>25.2</v>
      </c>
      <c r="M224" t="str">
        <f>LOOKUP(L224,Sheet2!$S$4:$T$8)</f>
        <v>1-25</v>
      </c>
      <c r="N224" s="1">
        <v>0.20899999999999999</v>
      </c>
      <c r="O224" t="str">
        <f>LOOKUP(N224,Sheet2!$V$4:$W$7)</f>
        <v>0.0 - 0.249</v>
      </c>
      <c r="P224" s="1">
        <v>37</v>
      </c>
      <c r="Q224" t="str">
        <f>LOOKUP(P224,Sheet2!$Z$4:$AA$7)</f>
        <v>36-45</v>
      </c>
      <c r="R224" s="1">
        <v>0</v>
      </c>
      <c r="S224" t="str">
        <f>IF(R224=1,"Positive","Negative")</f>
        <v>Negative</v>
      </c>
      <c r="T224" s="1" t="str">
        <f>IFERROR(VLOOKUP(A224,[1]diabetes_Recognition!$A:$B,2,FALSE),"Not Sampled")</f>
        <v>Not Sampled</v>
      </c>
      <c r="U224" t="str">
        <f>IF(T224=1,"Positive",(IF(T224=0,"Negative","Not Sampled")))</f>
        <v>Not Sampled</v>
      </c>
      <c r="V224" s="1" t="str">
        <f>IF(U224="Not Sampled","Not Sampled",IF(S224=U224,"Accurate Prediction","Inaccurate Prediction"))</f>
        <v>Not Sampled</v>
      </c>
    </row>
    <row r="225" spans="1:22" x14ac:dyDescent="0.25">
      <c r="A225" s="1">
        <v>223</v>
      </c>
      <c r="B225" s="1">
        <v>7</v>
      </c>
      <c r="C225" s="1" t="str">
        <f>LOOKUP(B225,Sheet2!$D$4:$E$9)</f>
        <v>5-7</v>
      </c>
      <c r="D225" s="1">
        <v>142</v>
      </c>
      <c r="E225" t="str">
        <f>LOOKUP(D225,Sheet2!$G$4:$H$9)</f>
        <v>126-150</v>
      </c>
      <c r="F225" s="1">
        <v>60</v>
      </c>
      <c r="G225" t="str">
        <f>LOOKUP(F225,Sheet2!$J$4:$K$8)</f>
        <v>60-69</v>
      </c>
      <c r="H225" s="1">
        <v>33</v>
      </c>
      <c r="I225" t="str">
        <f>LOOKUP(H225,Sheet2!$M$4:$N$8)</f>
        <v>30-39</v>
      </c>
      <c r="J225" s="1">
        <v>190</v>
      </c>
      <c r="K225" t="str">
        <f>LOOKUP(J225,Sheet2!$P$4:$Q$9)</f>
        <v>100-199</v>
      </c>
      <c r="L225" s="1">
        <v>28.8</v>
      </c>
      <c r="M225" t="str">
        <f>LOOKUP(L225,Sheet2!$S$4:$T$8)</f>
        <v>26-30</v>
      </c>
      <c r="N225" s="1">
        <v>0.68700000000000006</v>
      </c>
      <c r="O225" t="str">
        <f>LOOKUP(N225,Sheet2!$V$4:$W$7)</f>
        <v>0.4 - 0.69</v>
      </c>
      <c r="P225" s="1">
        <v>61</v>
      </c>
      <c r="Q225" t="str">
        <f>LOOKUP(P225,Sheet2!$Z$4:$AA$7)</f>
        <v>46+</v>
      </c>
      <c r="R225" s="1">
        <v>0</v>
      </c>
      <c r="S225" t="str">
        <f>IF(R225=1,"Positive","Negative")</f>
        <v>Negative</v>
      </c>
      <c r="T225" s="1">
        <f>IFERROR(VLOOKUP(A225,[1]diabetes_Recognition!$A:$B,2,FALSE),"Not Sampled")</f>
        <v>1</v>
      </c>
      <c r="U225" t="str">
        <f>IF(T225=1,"Positive",(IF(T225=0,"Negative","Not Sampled")))</f>
        <v>Positive</v>
      </c>
      <c r="V225" s="1" t="str">
        <f>IF(U225="Not Sampled","Not Sampled",IF(S225=U225,"Accurate Prediction","Inaccurate Prediction"))</f>
        <v>Inaccurate Prediction</v>
      </c>
    </row>
    <row r="226" spans="1:22" x14ac:dyDescent="0.25">
      <c r="A226" s="1">
        <v>224</v>
      </c>
      <c r="B226" s="1">
        <v>1</v>
      </c>
      <c r="C226" s="1">
        <f>LOOKUP(B226,Sheet2!$D$4:$E$9)</f>
        <v>1</v>
      </c>
      <c r="D226" s="1">
        <v>100</v>
      </c>
      <c r="E226" t="str">
        <f>LOOKUP(D226,Sheet2!$G$4:$H$9)</f>
        <v>100-125</v>
      </c>
      <c r="F226" s="1">
        <v>66</v>
      </c>
      <c r="G226" t="str">
        <f>LOOKUP(F226,Sheet2!$J$4:$K$8)</f>
        <v>60-69</v>
      </c>
      <c r="H226" s="1">
        <v>15</v>
      </c>
      <c r="I226" t="str">
        <f>LOOKUP(H226,Sheet2!$M$4:$N$8)</f>
        <v>10-30</v>
      </c>
      <c r="J226" s="1">
        <v>56</v>
      </c>
      <c r="K226" t="str">
        <f>LOOKUP(J226,Sheet2!$P$4:$Q$9)</f>
        <v>1-99</v>
      </c>
      <c r="L226" s="1">
        <v>23.6</v>
      </c>
      <c r="M226" t="str">
        <f>LOOKUP(L226,Sheet2!$S$4:$T$8)</f>
        <v>1-25</v>
      </c>
      <c r="N226" s="1">
        <v>0.66600000000000004</v>
      </c>
      <c r="O226" t="str">
        <f>LOOKUP(N226,Sheet2!$V$4:$W$7)</f>
        <v>0.4 - 0.69</v>
      </c>
      <c r="P226" s="1">
        <v>26</v>
      </c>
      <c r="Q226" t="str">
        <f>LOOKUP(P226,Sheet2!$Z$4:$AA$7)</f>
        <v>26-35</v>
      </c>
      <c r="R226" s="1">
        <v>0</v>
      </c>
      <c r="S226" t="str">
        <f>IF(R226=1,"Positive","Negative")</f>
        <v>Negative</v>
      </c>
      <c r="T226" s="1" t="str">
        <f>IFERROR(VLOOKUP(A226,[1]diabetes_Recognition!$A:$B,2,FALSE),"Not Sampled")</f>
        <v>Not Sampled</v>
      </c>
      <c r="U226" t="str">
        <f>IF(T226=1,"Positive",(IF(T226=0,"Negative","Not Sampled")))</f>
        <v>Not Sampled</v>
      </c>
      <c r="V226" s="1" t="str">
        <f>IF(U226="Not Sampled","Not Sampled",IF(S226=U226,"Accurate Prediction","Inaccurate Prediction"))</f>
        <v>Not Sampled</v>
      </c>
    </row>
    <row r="227" spans="1:22" x14ac:dyDescent="0.25">
      <c r="A227" s="1">
        <v>225</v>
      </c>
      <c r="B227" s="1">
        <v>1</v>
      </c>
      <c r="C227" s="1">
        <f>LOOKUP(B227,Sheet2!$D$4:$E$9)</f>
        <v>1</v>
      </c>
      <c r="D227" s="1">
        <v>87</v>
      </c>
      <c r="E227" t="str">
        <f>LOOKUP(D227,Sheet2!$G$4:$H$9)</f>
        <v>1-99</v>
      </c>
      <c r="F227" s="1">
        <v>78</v>
      </c>
      <c r="G227" t="str">
        <f>LOOKUP(F227,Sheet2!$J$4:$K$8)</f>
        <v>70-79</v>
      </c>
      <c r="H227" s="1">
        <v>27</v>
      </c>
      <c r="I227" t="str">
        <f>LOOKUP(H227,Sheet2!$M$4:$N$8)</f>
        <v>10-30</v>
      </c>
      <c r="J227" s="1">
        <v>32</v>
      </c>
      <c r="K227" t="str">
        <f>LOOKUP(J227,Sheet2!$P$4:$Q$9)</f>
        <v>1-99</v>
      </c>
      <c r="L227" s="1">
        <v>34.6</v>
      </c>
      <c r="M227" t="str">
        <f>LOOKUP(L227,Sheet2!$S$4:$T$8)</f>
        <v>31-35</v>
      </c>
      <c r="N227" s="1">
        <v>0.10100000000000001</v>
      </c>
      <c r="O227" t="str">
        <f>LOOKUP(N227,Sheet2!$V$4:$W$7)</f>
        <v>0.0 - 0.249</v>
      </c>
      <c r="P227" s="1">
        <v>22</v>
      </c>
      <c r="Q227" t="str">
        <f>LOOKUP(P227,Sheet2!$Z$4:$AA$7)</f>
        <v>&lt;=25</v>
      </c>
      <c r="R227" s="1">
        <v>0</v>
      </c>
      <c r="S227" t="str">
        <f>IF(R227=1,"Positive","Negative")</f>
        <v>Negative</v>
      </c>
      <c r="T227" s="1" t="str">
        <f>IFERROR(VLOOKUP(A227,[1]diabetes_Recognition!$A:$B,2,FALSE),"Not Sampled")</f>
        <v>Not Sampled</v>
      </c>
      <c r="U227" t="str">
        <f>IF(T227=1,"Positive",(IF(T227=0,"Negative","Not Sampled")))</f>
        <v>Not Sampled</v>
      </c>
      <c r="V227" s="1" t="str">
        <f>IF(U227="Not Sampled","Not Sampled",IF(S227=U227,"Accurate Prediction","Inaccurate Prediction"))</f>
        <v>Not Sampled</v>
      </c>
    </row>
    <row r="228" spans="1:22" x14ac:dyDescent="0.25">
      <c r="A228" s="1">
        <v>226</v>
      </c>
      <c r="B228" s="1">
        <v>0</v>
      </c>
      <c r="C228" s="1">
        <f>LOOKUP(B228,Sheet2!$D$4:$E$9)</f>
        <v>0</v>
      </c>
      <c r="D228" s="1">
        <v>101</v>
      </c>
      <c r="E228" t="str">
        <f>LOOKUP(D228,Sheet2!$G$4:$H$9)</f>
        <v>100-125</v>
      </c>
      <c r="F228" s="1">
        <v>76</v>
      </c>
      <c r="G228" t="str">
        <f>LOOKUP(F228,Sheet2!$J$4:$K$8)</f>
        <v>70-79</v>
      </c>
      <c r="H228" s="1">
        <v>0</v>
      </c>
      <c r="I228" t="str">
        <f>LOOKUP(H228,Sheet2!$M$4:$N$8)</f>
        <v>Unknown</v>
      </c>
      <c r="J228" s="1">
        <v>0</v>
      </c>
      <c r="K228" t="str">
        <f>LOOKUP(J228,Sheet2!$P$4:$Q$9)</f>
        <v>Unknown</v>
      </c>
      <c r="L228" s="1">
        <v>35.700000000000003</v>
      </c>
      <c r="M228" t="str">
        <f>LOOKUP(L228,Sheet2!$S$4:$T$8)</f>
        <v>31-35</v>
      </c>
      <c r="N228" s="1">
        <v>0.19800000000000001</v>
      </c>
      <c r="O228" t="str">
        <f>LOOKUP(N228,Sheet2!$V$4:$W$7)</f>
        <v>0.0 - 0.249</v>
      </c>
      <c r="P228" s="1">
        <v>26</v>
      </c>
      <c r="Q228" t="str">
        <f>LOOKUP(P228,Sheet2!$Z$4:$AA$7)</f>
        <v>26-35</v>
      </c>
      <c r="R228" s="1">
        <v>0</v>
      </c>
      <c r="S228" t="str">
        <f>IF(R228=1,"Positive","Negative")</f>
        <v>Negative</v>
      </c>
      <c r="T228" s="1" t="str">
        <f>IFERROR(VLOOKUP(A228,[1]diabetes_Recognition!$A:$B,2,FALSE),"Not Sampled")</f>
        <v>Not Sampled</v>
      </c>
      <c r="U228" t="str">
        <f>IF(T228=1,"Positive",(IF(T228=0,"Negative","Not Sampled")))</f>
        <v>Not Sampled</v>
      </c>
      <c r="V228" s="1" t="str">
        <f>IF(U228="Not Sampled","Not Sampled",IF(S228=U228,"Accurate Prediction","Inaccurate Prediction"))</f>
        <v>Not Sampled</v>
      </c>
    </row>
    <row r="229" spans="1:22" x14ac:dyDescent="0.25">
      <c r="A229" s="1">
        <v>227</v>
      </c>
      <c r="B229" s="1">
        <v>3</v>
      </c>
      <c r="C229" s="1" t="str">
        <f>LOOKUP(B229,Sheet2!$D$4:$E$9)</f>
        <v>3-4</v>
      </c>
      <c r="D229" s="1">
        <v>162</v>
      </c>
      <c r="E229" t="str">
        <f>LOOKUP(D229,Sheet2!$G$4:$H$9)</f>
        <v>151-175</v>
      </c>
      <c r="F229" s="1">
        <v>52</v>
      </c>
      <c r="G229" t="str">
        <f>LOOKUP(F229,Sheet2!$J$4:$K$8)</f>
        <v>1-59</v>
      </c>
      <c r="H229" s="1">
        <v>38</v>
      </c>
      <c r="I229" t="str">
        <f>LOOKUP(H229,Sheet2!$M$4:$N$8)</f>
        <v>30-39</v>
      </c>
      <c r="J229" s="1">
        <v>0</v>
      </c>
      <c r="K229" t="str">
        <f>LOOKUP(J229,Sheet2!$P$4:$Q$9)</f>
        <v>Unknown</v>
      </c>
      <c r="L229" s="1">
        <v>37.200000000000003</v>
      </c>
      <c r="M229" t="str">
        <f>LOOKUP(L229,Sheet2!$S$4:$T$8)</f>
        <v>36+</v>
      </c>
      <c r="N229" s="1">
        <v>0.65200000000000002</v>
      </c>
      <c r="O229" t="str">
        <f>LOOKUP(N229,Sheet2!$V$4:$W$7)</f>
        <v>0.4 - 0.69</v>
      </c>
      <c r="P229" s="1">
        <v>24</v>
      </c>
      <c r="Q229" t="str">
        <f>LOOKUP(P229,Sheet2!$Z$4:$AA$7)</f>
        <v>&lt;=25</v>
      </c>
      <c r="R229" s="1">
        <v>1</v>
      </c>
      <c r="S229" t="str">
        <f>IF(R229=1,"Positive","Negative")</f>
        <v>Positive</v>
      </c>
      <c r="T229" s="1">
        <f>IFERROR(VLOOKUP(A229,[1]diabetes_Recognition!$A:$B,2,FALSE),"Not Sampled")</f>
        <v>1</v>
      </c>
      <c r="U229" t="str">
        <f>IF(T229=1,"Positive",(IF(T229=0,"Negative","Not Sampled")))</f>
        <v>Positive</v>
      </c>
      <c r="V229" s="1" t="str">
        <f>IF(U229="Not Sampled","Not Sampled",IF(S229=U229,"Accurate Prediction","Inaccurate Prediction"))</f>
        <v>Accurate Prediction</v>
      </c>
    </row>
    <row r="230" spans="1:22" x14ac:dyDescent="0.25">
      <c r="A230" s="1">
        <v>228</v>
      </c>
      <c r="B230" s="1">
        <v>4</v>
      </c>
      <c r="C230" s="1" t="str">
        <f>LOOKUP(B230,Sheet2!$D$4:$E$9)</f>
        <v>3-4</v>
      </c>
      <c r="D230" s="1">
        <v>197</v>
      </c>
      <c r="E230" t="str">
        <f>LOOKUP(D230,Sheet2!$G$4:$H$9)</f>
        <v>176-200</v>
      </c>
      <c r="F230" s="1">
        <v>70</v>
      </c>
      <c r="G230" t="str">
        <f>LOOKUP(F230,Sheet2!$J$4:$K$8)</f>
        <v>70-79</v>
      </c>
      <c r="H230" s="1">
        <v>39</v>
      </c>
      <c r="I230" t="str">
        <f>LOOKUP(H230,Sheet2!$M$4:$N$8)</f>
        <v>30-39</v>
      </c>
      <c r="J230" s="1">
        <v>744</v>
      </c>
      <c r="K230" t="str">
        <f>LOOKUP(J230,Sheet2!$P$4:$Q$9)</f>
        <v>500+</v>
      </c>
      <c r="L230" s="1">
        <v>36.700000000000003</v>
      </c>
      <c r="M230" t="str">
        <f>LOOKUP(L230,Sheet2!$S$4:$T$8)</f>
        <v>36+</v>
      </c>
      <c r="N230" s="1">
        <v>2.3290000000000002</v>
      </c>
      <c r="O230" t="str">
        <f>LOOKUP(N230,Sheet2!$V$4:$W$7)</f>
        <v>0.7+</v>
      </c>
      <c r="P230" s="1">
        <v>31</v>
      </c>
      <c r="Q230" t="str">
        <f>LOOKUP(P230,Sheet2!$Z$4:$AA$7)</f>
        <v>26-35</v>
      </c>
      <c r="R230" s="1">
        <v>0</v>
      </c>
      <c r="S230" t="str">
        <f>IF(R230=1,"Positive","Negative")</f>
        <v>Negative</v>
      </c>
      <c r="T230" s="1">
        <f>IFERROR(VLOOKUP(A230,[1]diabetes_Recognition!$A:$B,2,FALSE),"Not Sampled")</f>
        <v>1</v>
      </c>
      <c r="U230" t="str">
        <f>IF(T230=1,"Positive",(IF(T230=0,"Negative","Not Sampled")))</f>
        <v>Positive</v>
      </c>
      <c r="V230" s="1" t="str">
        <f>IF(U230="Not Sampled","Not Sampled",IF(S230=U230,"Accurate Prediction","Inaccurate Prediction"))</f>
        <v>Inaccurate Prediction</v>
      </c>
    </row>
    <row r="231" spans="1:22" x14ac:dyDescent="0.25">
      <c r="A231" s="1">
        <v>229</v>
      </c>
      <c r="B231" s="1">
        <v>0</v>
      </c>
      <c r="C231" s="1">
        <f>LOOKUP(B231,Sheet2!$D$4:$E$9)</f>
        <v>0</v>
      </c>
      <c r="D231" s="1">
        <v>117</v>
      </c>
      <c r="E231" t="str">
        <f>LOOKUP(D231,Sheet2!$G$4:$H$9)</f>
        <v>100-125</v>
      </c>
      <c r="F231" s="1">
        <v>80</v>
      </c>
      <c r="G231" t="str">
        <f>LOOKUP(F231,Sheet2!$J$4:$K$8)</f>
        <v>80+</v>
      </c>
      <c r="H231" s="1">
        <v>31</v>
      </c>
      <c r="I231" t="str">
        <f>LOOKUP(H231,Sheet2!$M$4:$N$8)</f>
        <v>30-39</v>
      </c>
      <c r="J231" s="1">
        <v>53</v>
      </c>
      <c r="K231" t="str">
        <f>LOOKUP(J231,Sheet2!$P$4:$Q$9)</f>
        <v>1-99</v>
      </c>
      <c r="L231" s="1">
        <v>45.2</v>
      </c>
      <c r="M231" t="str">
        <f>LOOKUP(L231,Sheet2!$S$4:$T$8)</f>
        <v>36+</v>
      </c>
      <c r="N231" s="1">
        <v>8.8999999999999996E-2</v>
      </c>
      <c r="O231" t="str">
        <f>LOOKUP(N231,Sheet2!$V$4:$W$7)</f>
        <v>0.0 - 0.249</v>
      </c>
      <c r="P231" s="1">
        <v>24</v>
      </c>
      <c r="Q231" t="str">
        <f>LOOKUP(P231,Sheet2!$Z$4:$AA$7)</f>
        <v>&lt;=25</v>
      </c>
      <c r="R231" s="1">
        <v>0</v>
      </c>
      <c r="S231" t="str">
        <f>IF(R231=1,"Positive","Negative")</f>
        <v>Negative</v>
      </c>
      <c r="T231" s="1" t="str">
        <f>IFERROR(VLOOKUP(A231,[1]diabetes_Recognition!$A:$B,2,FALSE),"Not Sampled")</f>
        <v>Not Sampled</v>
      </c>
      <c r="U231" t="str">
        <f>IF(T231=1,"Positive",(IF(T231=0,"Negative","Not Sampled")))</f>
        <v>Not Sampled</v>
      </c>
      <c r="V231" s="1" t="str">
        <f>IF(U231="Not Sampled","Not Sampled",IF(S231=U231,"Accurate Prediction","Inaccurate Prediction"))</f>
        <v>Not Sampled</v>
      </c>
    </row>
    <row r="232" spans="1:22" x14ac:dyDescent="0.25">
      <c r="A232" s="1">
        <v>230</v>
      </c>
      <c r="B232" s="1">
        <v>4</v>
      </c>
      <c r="C232" s="1" t="str">
        <f>LOOKUP(B232,Sheet2!$D$4:$E$9)</f>
        <v>3-4</v>
      </c>
      <c r="D232" s="1">
        <v>142</v>
      </c>
      <c r="E232" t="str">
        <f>LOOKUP(D232,Sheet2!$G$4:$H$9)</f>
        <v>126-150</v>
      </c>
      <c r="F232" s="1">
        <v>86</v>
      </c>
      <c r="G232" t="str">
        <f>LOOKUP(F232,Sheet2!$J$4:$K$8)</f>
        <v>80+</v>
      </c>
      <c r="H232" s="1">
        <v>0</v>
      </c>
      <c r="I232" t="str">
        <f>LOOKUP(H232,Sheet2!$M$4:$N$8)</f>
        <v>Unknown</v>
      </c>
      <c r="J232" s="1">
        <v>0</v>
      </c>
      <c r="K232" t="str">
        <f>LOOKUP(J232,Sheet2!$P$4:$Q$9)</f>
        <v>Unknown</v>
      </c>
      <c r="L232" s="1">
        <v>44</v>
      </c>
      <c r="M232" t="str">
        <f>LOOKUP(L232,Sheet2!$S$4:$T$8)</f>
        <v>36+</v>
      </c>
      <c r="N232" s="1">
        <v>0.64500000000000002</v>
      </c>
      <c r="O232" t="str">
        <f>LOOKUP(N232,Sheet2!$V$4:$W$7)</f>
        <v>0.4 - 0.69</v>
      </c>
      <c r="P232" s="1">
        <v>22</v>
      </c>
      <c r="Q232" t="str">
        <f>LOOKUP(P232,Sheet2!$Z$4:$AA$7)</f>
        <v>&lt;=25</v>
      </c>
      <c r="R232" s="1">
        <v>1</v>
      </c>
      <c r="S232" t="str">
        <f>IF(R232=1,"Positive","Negative")</f>
        <v>Positive</v>
      </c>
      <c r="T232" s="1" t="str">
        <f>IFERROR(VLOOKUP(A232,[1]diabetes_Recognition!$A:$B,2,FALSE),"Not Sampled")</f>
        <v>Not Sampled</v>
      </c>
      <c r="U232" t="str">
        <f>IF(T232=1,"Positive",(IF(T232=0,"Negative","Not Sampled")))</f>
        <v>Not Sampled</v>
      </c>
      <c r="V232" s="1" t="str">
        <f>IF(U232="Not Sampled","Not Sampled",IF(S232=U232,"Accurate Prediction","Inaccurate Prediction"))</f>
        <v>Not Sampled</v>
      </c>
    </row>
    <row r="233" spans="1:22" x14ac:dyDescent="0.25">
      <c r="A233" s="1">
        <v>231</v>
      </c>
      <c r="B233" s="1">
        <v>6</v>
      </c>
      <c r="C233" s="1" t="str">
        <f>LOOKUP(B233,Sheet2!$D$4:$E$9)</f>
        <v>5-7</v>
      </c>
      <c r="D233" s="1">
        <v>134</v>
      </c>
      <c r="E233" t="str">
        <f>LOOKUP(D233,Sheet2!$G$4:$H$9)</f>
        <v>126-150</v>
      </c>
      <c r="F233" s="1">
        <v>80</v>
      </c>
      <c r="G233" t="str">
        <f>LOOKUP(F233,Sheet2!$J$4:$K$8)</f>
        <v>80+</v>
      </c>
      <c r="H233" s="1">
        <v>37</v>
      </c>
      <c r="I233" t="str">
        <f>LOOKUP(H233,Sheet2!$M$4:$N$8)</f>
        <v>30-39</v>
      </c>
      <c r="J233" s="1">
        <v>370</v>
      </c>
      <c r="K233" t="str">
        <f>LOOKUP(J233,Sheet2!$P$4:$Q$9)</f>
        <v>300-499</v>
      </c>
      <c r="L233" s="1">
        <v>46.2</v>
      </c>
      <c r="M233" t="str">
        <f>LOOKUP(L233,Sheet2!$S$4:$T$8)</f>
        <v>36+</v>
      </c>
      <c r="N233" s="1">
        <v>0.23799999999999999</v>
      </c>
      <c r="O233" t="str">
        <f>LOOKUP(N233,Sheet2!$V$4:$W$7)</f>
        <v>0.0 - 0.249</v>
      </c>
      <c r="P233" s="1">
        <v>46</v>
      </c>
      <c r="Q233" t="str">
        <f>LOOKUP(P233,Sheet2!$Z$4:$AA$7)</f>
        <v>46+</v>
      </c>
      <c r="R233" s="1">
        <v>1</v>
      </c>
      <c r="S233" t="str">
        <f>IF(R233=1,"Positive","Negative")</f>
        <v>Positive</v>
      </c>
      <c r="T233" s="1">
        <f>IFERROR(VLOOKUP(A233,[1]diabetes_Recognition!$A:$B,2,FALSE),"Not Sampled")</f>
        <v>1</v>
      </c>
      <c r="U233" t="str">
        <f>IF(T233=1,"Positive",(IF(T233=0,"Negative","Not Sampled")))</f>
        <v>Positive</v>
      </c>
      <c r="V233" s="1" t="str">
        <f>IF(U233="Not Sampled","Not Sampled",IF(S233=U233,"Accurate Prediction","Inaccurate Prediction"))</f>
        <v>Accurate Prediction</v>
      </c>
    </row>
    <row r="234" spans="1:22" x14ac:dyDescent="0.25">
      <c r="A234" s="1">
        <v>232</v>
      </c>
      <c r="B234" s="1">
        <v>1</v>
      </c>
      <c r="C234" s="1">
        <f>LOOKUP(B234,Sheet2!$D$4:$E$9)</f>
        <v>1</v>
      </c>
      <c r="D234" s="1">
        <v>79</v>
      </c>
      <c r="E234" t="str">
        <f>LOOKUP(D234,Sheet2!$G$4:$H$9)</f>
        <v>1-99</v>
      </c>
      <c r="F234" s="1">
        <v>80</v>
      </c>
      <c r="G234" t="str">
        <f>LOOKUP(F234,Sheet2!$J$4:$K$8)</f>
        <v>80+</v>
      </c>
      <c r="H234" s="1">
        <v>25</v>
      </c>
      <c r="I234" t="str">
        <f>LOOKUP(H234,Sheet2!$M$4:$N$8)</f>
        <v>10-30</v>
      </c>
      <c r="J234" s="1">
        <v>37</v>
      </c>
      <c r="K234" t="str">
        <f>LOOKUP(J234,Sheet2!$P$4:$Q$9)</f>
        <v>1-99</v>
      </c>
      <c r="L234" s="1">
        <v>25.4</v>
      </c>
      <c r="M234" t="str">
        <f>LOOKUP(L234,Sheet2!$S$4:$T$8)</f>
        <v>1-25</v>
      </c>
      <c r="N234" s="1">
        <v>0.58299999999999996</v>
      </c>
      <c r="O234" t="str">
        <f>LOOKUP(N234,Sheet2!$V$4:$W$7)</f>
        <v>0.4 - 0.69</v>
      </c>
      <c r="P234" s="1">
        <v>22</v>
      </c>
      <c r="Q234" t="str">
        <f>LOOKUP(P234,Sheet2!$Z$4:$AA$7)</f>
        <v>&lt;=25</v>
      </c>
      <c r="R234" s="1">
        <v>0</v>
      </c>
      <c r="S234" t="str">
        <f>IF(R234=1,"Positive","Negative")</f>
        <v>Negative</v>
      </c>
      <c r="T234" s="1" t="str">
        <f>IFERROR(VLOOKUP(A234,[1]diabetes_Recognition!$A:$B,2,FALSE),"Not Sampled")</f>
        <v>Not Sampled</v>
      </c>
      <c r="U234" t="str">
        <f>IF(T234=1,"Positive",(IF(T234=0,"Negative","Not Sampled")))</f>
        <v>Not Sampled</v>
      </c>
      <c r="V234" s="1" t="str">
        <f>IF(U234="Not Sampled","Not Sampled",IF(S234=U234,"Accurate Prediction","Inaccurate Prediction"))</f>
        <v>Not Sampled</v>
      </c>
    </row>
    <row r="235" spans="1:22" x14ac:dyDescent="0.25">
      <c r="A235" s="1">
        <v>233</v>
      </c>
      <c r="B235" s="1">
        <v>4</v>
      </c>
      <c r="C235" s="1" t="str">
        <f>LOOKUP(B235,Sheet2!$D$4:$E$9)</f>
        <v>3-4</v>
      </c>
      <c r="D235" s="1">
        <v>122</v>
      </c>
      <c r="E235" t="str">
        <f>LOOKUP(D235,Sheet2!$G$4:$H$9)</f>
        <v>100-125</v>
      </c>
      <c r="F235" s="1">
        <v>68</v>
      </c>
      <c r="G235" t="str">
        <f>LOOKUP(F235,Sheet2!$J$4:$K$8)</f>
        <v>60-69</v>
      </c>
      <c r="H235" s="1">
        <v>0</v>
      </c>
      <c r="I235" t="str">
        <f>LOOKUP(H235,Sheet2!$M$4:$N$8)</f>
        <v>Unknown</v>
      </c>
      <c r="J235" s="1">
        <v>0</v>
      </c>
      <c r="K235" t="str">
        <f>LOOKUP(J235,Sheet2!$P$4:$Q$9)</f>
        <v>Unknown</v>
      </c>
      <c r="L235" s="1">
        <v>35</v>
      </c>
      <c r="M235" t="str">
        <f>LOOKUP(L235,Sheet2!$S$4:$T$8)</f>
        <v>31-35</v>
      </c>
      <c r="N235" s="1">
        <v>0.39400000000000002</v>
      </c>
      <c r="O235" t="str">
        <f>LOOKUP(N235,Sheet2!$V$4:$W$7)</f>
        <v>0.25 - 0.39</v>
      </c>
      <c r="P235" s="1">
        <v>29</v>
      </c>
      <c r="Q235" t="str">
        <f>LOOKUP(P235,Sheet2!$Z$4:$AA$7)</f>
        <v>26-35</v>
      </c>
      <c r="R235" s="1">
        <v>0</v>
      </c>
      <c r="S235" t="str">
        <f>IF(R235=1,"Positive","Negative")</f>
        <v>Negative</v>
      </c>
      <c r="T235" s="1">
        <f>IFERROR(VLOOKUP(A235,[1]diabetes_Recognition!$A:$B,2,FALSE),"Not Sampled")</f>
        <v>0</v>
      </c>
      <c r="U235" t="str">
        <f>IF(T235=1,"Positive",(IF(T235=0,"Negative","Not Sampled")))</f>
        <v>Negative</v>
      </c>
      <c r="V235" s="1" t="str">
        <f>IF(U235="Not Sampled","Not Sampled",IF(S235=U235,"Accurate Prediction","Inaccurate Prediction"))</f>
        <v>Accurate Prediction</v>
      </c>
    </row>
    <row r="236" spans="1:22" x14ac:dyDescent="0.25">
      <c r="A236" s="1">
        <v>234</v>
      </c>
      <c r="B236" s="1">
        <v>3</v>
      </c>
      <c r="C236" s="1" t="str">
        <f>LOOKUP(B236,Sheet2!$D$4:$E$9)</f>
        <v>3-4</v>
      </c>
      <c r="D236" s="1">
        <v>74</v>
      </c>
      <c r="E236" t="str">
        <f>LOOKUP(D236,Sheet2!$G$4:$H$9)</f>
        <v>1-99</v>
      </c>
      <c r="F236" s="1">
        <v>68</v>
      </c>
      <c r="G236" t="str">
        <f>LOOKUP(F236,Sheet2!$J$4:$K$8)</f>
        <v>60-69</v>
      </c>
      <c r="H236" s="1">
        <v>28</v>
      </c>
      <c r="I236" t="str">
        <f>LOOKUP(H236,Sheet2!$M$4:$N$8)</f>
        <v>10-30</v>
      </c>
      <c r="J236" s="1">
        <v>45</v>
      </c>
      <c r="K236" t="str">
        <f>LOOKUP(J236,Sheet2!$P$4:$Q$9)</f>
        <v>1-99</v>
      </c>
      <c r="L236" s="1">
        <v>29.7</v>
      </c>
      <c r="M236" t="str">
        <f>LOOKUP(L236,Sheet2!$S$4:$T$8)</f>
        <v>26-30</v>
      </c>
      <c r="N236" s="1">
        <v>0.29299999999999998</v>
      </c>
      <c r="O236" t="str">
        <f>LOOKUP(N236,Sheet2!$V$4:$W$7)</f>
        <v>0.25 - 0.39</v>
      </c>
      <c r="P236" s="1">
        <v>23</v>
      </c>
      <c r="Q236" t="str">
        <f>LOOKUP(P236,Sheet2!$Z$4:$AA$7)</f>
        <v>&lt;=25</v>
      </c>
      <c r="R236" s="1">
        <v>0</v>
      </c>
      <c r="S236" t="str">
        <f>IF(R236=1,"Positive","Negative")</f>
        <v>Negative</v>
      </c>
      <c r="T236" s="1" t="str">
        <f>IFERROR(VLOOKUP(A236,[1]diabetes_Recognition!$A:$B,2,FALSE),"Not Sampled")</f>
        <v>Not Sampled</v>
      </c>
      <c r="U236" t="str">
        <f>IF(T236=1,"Positive",(IF(T236=0,"Negative","Not Sampled")))</f>
        <v>Not Sampled</v>
      </c>
      <c r="V236" s="1" t="str">
        <f>IF(U236="Not Sampled","Not Sampled",IF(S236=U236,"Accurate Prediction","Inaccurate Prediction"))</f>
        <v>Not Sampled</v>
      </c>
    </row>
    <row r="237" spans="1:22" x14ac:dyDescent="0.25">
      <c r="A237" s="1">
        <v>235</v>
      </c>
      <c r="B237" s="1">
        <v>4</v>
      </c>
      <c r="C237" s="1" t="str">
        <f>LOOKUP(B237,Sheet2!$D$4:$E$9)</f>
        <v>3-4</v>
      </c>
      <c r="D237" s="1">
        <v>171</v>
      </c>
      <c r="E237" t="str">
        <f>LOOKUP(D237,Sheet2!$G$4:$H$9)</f>
        <v>151-175</v>
      </c>
      <c r="F237" s="1">
        <v>72</v>
      </c>
      <c r="G237" t="str">
        <f>LOOKUP(F237,Sheet2!$J$4:$K$8)</f>
        <v>70-79</v>
      </c>
      <c r="H237" s="1">
        <v>0</v>
      </c>
      <c r="I237" t="str">
        <f>LOOKUP(H237,Sheet2!$M$4:$N$8)</f>
        <v>Unknown</v>
      </c>
      <c r="J237" s="1">
        <v>0</v>
      </c>
      <c r="K237" t="str">
        <f>LOOKUP(J237,Sheet2!$P$4:$Q$9)</f>
        <v>Unknown</v>
      </c>
      <c r="L237" s="1">
        <v>43.6</v>
      </c>
      <c r="M237" t="str">
        <f>LOOKUP(L237,Sheet2!$S$4:$T$8)</f>
        <v>36+</v>
      </c>
      <c r="N237" s="1">
        <v>0.47899999999999998</v>
      </c>
      <c r="O237" t="str">
        <f>LOOKUP(N237,Sheet2!$V$4:$W$7)</f>
        <v>0.4 - 0.69</v>
      </c>
      <c r="P237" s="1">
        <v>26</v>
      </c>
      <c r="Q237" t="str">
        <f>LOOKUP(P237,Sheet2!$Z$4:$AA$7)</f>
        <v>26-35</v>
      </c>
      <c r="R237" s="1">
        <v>1</v>
      </c>
      <c r="S237" t="str">
        <f>IF(R237=1,"Positive","Negative")</f>
        <v>Positive</v>
      </c>
      <c r="T237" s="1" t="str">
        <f>IFERROR(VLOOKUP(A237,[1]diabetes_Recognition!$A:$B,2,FALSE),"Not Sampled")</f>
        <v>Not Sampled</v>
      </c>
      <c r="U237" t="str">
        <f>IF(T237=1,"Positive",(IF(T237=0,"Negative","Not Sampled")))</f>
        <v>Not Sampled</v>
      </c>
      <c r="V237" s="1" t="str">
        <f>IF(U237="Not Sampled","Not Sampled",IF(S237=U237,"Accurate Prediction","Inaccurate Prediction"))</f>
        <v>Not Sampled</v>
      </c>
    </row>
    <row r="238" spans="1:22" x14ac:dyDescent="0.25">
      <c r="A238" s="1">
        <v>236</v>
      </c>
      <c r="B238" s="1">
        <v>7</v>
      </c>
      <c r="C238" s="1" t="str">
        <f>LOOKUP(B238,Sheet2!$D$4:$E$9)</f>
        <v>5-7</v>
      </c>
      <c r="D238" s="1">
        <v>181</v>
      </c>
      <c r="E238" t="str">
        <f>LOOKUP(D238,Sheet2!$G$4:$H$9)</f>
        <v>176-200</v>
      </c>
      <c r="F238" s="1">
        <v>84</v>
      </c>
      <c r="G238" t="str">
        <f>LOOKUP(F238,Sheet2!$J$4:$K$8)</f>
        <v>80+</v>
      </c>
      <c r="H238" s="1">
        <v>21</v>
      </c>
      <c r="I238" t="str">
        <f>LOOKUP(H238,Sheet2!$M$4:$N$8)</f>
        <v>10-30</v>
      </c>
      <c r="J238" s="1">
        <v>192</v>
      </c>
      <c r="K238" t="str">
        <f>LOOKUP(J238,Sheet2!$P$4:$Q$9)</f>
        <v>100-199</v>
      </c>
      <c r="L238" s="1">
        <v>35.9</v>
      </c>
      <c r="M238" t="str">
        <f>LOOKUP(L238,Sheet2!$S$4:$T$8)</f>
        <v>31-35</v>
      </c>
      <c r="N238" s="1">
        <v>0.58599999999999997</v>
      </c>
      <c r="O238" t="str">
        <f>LOOKUP(N238,Sheet2!$V$4:$W$7)</f>
        <v>0.4 - 0.69</v>
      </c>
      <c r="P238" s="1">
        <v>51</v>
      </c>
      <c r="Q238" t="str">
        <f>LOOKUP(P238,Sheet2!$Z$4:$AA$7)</f>
        <v>46+</v>
      </c>
      <c r="R238" s="1">
        <v>1</v>
      </c>
      <c r="S238" t="str">
        <f>IF(R238=1,"Positive","Negative")</f>
        <v>Positive</v>
      </c>
      <c r="T238" s="1">
        <f>IFERROR(VLOOKUP(A238,[1]diabetes_Recognition!$A:$B,2,FALSE),"Not Sampled")</f>
        <v>1</v>
      </c>
      <c r="U238" t="str">
        <f>IF(T238=1,"Positive",(IF(T238=0,"Negative","Not Sampled")))</f>
        <v>Positive</v>
      </c>
      <c r="V238" s="1" t="str">
        <f>IF(U238="Not Sampled","Not Sampled",IF(S238=U238,"Accurate Prediction","Inaccurate Prediction"))</f>
        <v>Accurate Prediction</v>
      </c>
    </row>
    <row r="239" spans="1:22" x14ac:dyDescent="0.25">
      <c r="A239" s="1">
        <v>237</v>
      </c>
      <c r="B239" s="1">
        <v>0</v>
      </c>
      <c r="C239" s="1">
        <f>LOOKUP(B239,Sheet2!$D$4:$E$9)</f>
        <v>0</v>
      </c>
      <c r="D239" s="1">
        <v>179</v>
      </c>
      <c r="E239" t="str">
        <f>LOOKUP(D239,Sheet2!$G$4:$H$9)</f>
        <v>176-200</v>
      </c>
      <c r="F239" s="1">
        <v>90</v>
      </c>
      <c r="G239" t="str">
        <f>LOOKUP(F239,Sheet2!$J$4:$K$8)</f>
        <v>80+</v>
      </c>
      <c r="H239" s="1">
        <v>27</v>
      </c>
      <c r="I239" t="str">
        <f>LOOKUP(H239,Sheet2!$M$4:$N$8)</f>
        <v>10-30</v>
      </c>
      <c r="J239" s="1">
        <v>0</v>
      </c>
      <c r="K239" t="str">
        <f>LOOKUP(J239,Sheet2!$P$4:$Q$9)</f>
        <v>Unknown</v>
      </c>
      <c r="L239" s="1">
        <v>44.1</v>
      </c>
      <c r="M239" t="str">
        <f>LOOKUP(L239,Sheet2!$S$4:$T$8)</f>
        <v>36+</v>
      </c>
      <c r="N239" s="1">
        <v>0.68600000000000005</v>
      </c>
      <c r="O239" t="str">
        <f>LOOKUP(N239,Sheet2!$V$4:$W$7)</f>
        <v>0.4 - 0.69</v>
      </c>
      <c r="P239" s="1">
        <v>23</v>
      </c>
      <c r="Q239" t="str">
        <f>LOOKUP(P239,Sheet2!$Z$4:$AA$7)</f>
        <v>&lt;=25</v>
      </c>
      <c r="R239" s="1">
        <v>1</v>
      </c>
      <c r="S239" t="str">
        <f>IF(R239=1,"Positive","Negative")</f>
        <v>Positive</v>
      </c>
      <c r="T239" s="1" t="str">
        <f>IFERROR(VLOOKUP(A239,[1]diabetes_Recognition!$A:$B,2,FALSE),"Not Sampled")</f>
        <v>Not Sampled</v>
      </c>
      <c r="U239" t="str">
        <f>IF(T239=1,"Positive",(IF(T239=0,"Negative","Not Sampled")))</f>
        <v>Not Sampled</v>
      </c>
      <c r="V239" s="1" t="str">
        <f>IF(U239="Not Sampled","Not Sampled",IF(S239=U239,"Accurate Prediction","Inaccurate Prediction"))</f>
        <v>Not Sampled</v>
      </c>
    </row>
    <row r="240" spans="1:22" x14ac:dyDescent="0.25">
      <c r="A240" s="1">
        <v>238</v>
      </c>
      <c r="B240" s="1">
        <v>9</v>
      </c>
      <c r="C240" s="1" t="str">
        <f>LOOKUP(B240,Sheet2!$D$4:$E$9)</f>
        <v>8+</v>
      </c>
      <c r="D240" s="1">
        <v>164</v>
      </c>
      <c r="E240" t="str">
        <f>LOOKUP(D240,Sheet2!$G$4:$H$9)</f>
        <v>151-175</v>
      </c>
      <c r="F240" s="1">
        <v>84</v>
      </c>
      <c r="G240" t="str">
        <f>LOOKUP(F240,Sheet2!$J$4:$K$8)</f>
        <v>80+</v>
      </c>
      <c r="H240" s="1">
        <v>21</v>
      </c>
      <c r="I240" t="str">
        <f>LOOKUP(H240,Sheet2!$M$4:$N$8)</f>
        <v>10-30</v>
      </c>
      <c r="J240" s="1">
        <v>0</v>
      </c>
      <c r="K240" t="str">
        <f>LOOKUP(J240,Sheet2!$P$4:$Q$9)</f>
        <v>Unknown</v>
      </c>
      <c r="L240" s="1">
        <v>30.8</v>
      </c>
      <c r="M240" t="str">
        <f>LOOKUP(L240,Sheet2!$S$4:$T$8)</f>
        <v>26-30</v>
      </c>
      <c r="N240" s="1">
        <v>0.83099999999999996</v>
      </c>
      <c r="O240" t="str">
        <f>LOOKUP(N240,Sheet2!$V$4:$W$7)</f>
        <v>0.7+</v>
      </c>
      <c r="P240" s="1">
        <v>32</v>
      </c>
      <c r="Q240" t="str">
        <f>LOOKUP(P240,Sheet2!$Z$4:$AA$7)</f>
        <v>26-35</v>
      </c>
      <c r="R240" s="1">
        <v>1</v>
      </c>
      <c r="S240" t="str">
        <f>IF(R240=1,"Positive","Negative")</f>
        <v>Positive</v>
      </c>
      <c r="T240" s="1" t="str">
        <f>IFERROR(VLOOKUP(A240,[1]diabetes_Recognition!$A:$B,2,FALSE),"Not Sampled")</f>
        <v>Not Sampled</v>
      </c>
      <c r="U240" t="str">
        <f>IF(T240=1,"Positive",(IF(T240=0,"Negative","Not Sampled")))</f>
        <v>Not Sampled</v>
      </c>
      <c r="V240" s="1" t="str">
        <f>IF(U240="Not Sampled","Not Sampled",IF(S240=U240,"Accurate Prediction","Inaccurate Prediction"))</f>
        <v>Not Sampled</v>
      </c>
    </row>
    <row r="241" spans="1:22" x14ac:dyDescent="0.25">
      <c r="A241" s="1">
        <v>239</v>
      </c>
      <c r="B241" s="1">
        <v>0</v>
      </c>
      <c r="C241" s="1">
        <f>LOOKUP(B241,Sheet2!$D$4:$E$9)</f>
        <v>0</v>
      </c>
      <c r="D241" s="1">
        <v>104</v>
      </c>
      <c r="E241" t="str">
        <f>LOOKUP(D241,Sheet2!$G$4:$H$9)</f>
        <v>100-125</v>
      </c>
      <c r="F241" s="1">
        <v>76</v>
      </c>
      <c r="G241" t="str">
        <f>LOOKUP(F241,Sheet2!$J$4:$K$8)</f>
        <v>70-79</v>
      </c>
      <c r="H241" s="1">
        <v>0</v>
      </c>
      <c r="I241" t="str">
        <f>LOOKUP(H241,Sheet2!$M$4:$N$8)</f>
        <v>Unknown</v>
      </c>
      <c r="J241" s="1">
        <v>0</v>
      </c>
      <c r="K241" t="str">
        <f>LOOKUP(J241,Sheet2!$P$4:$Q$9)</f>
        <v>Unknown</v>
      </c>
      <c r="L241" s="1">
        <v>18.399999999999999</v>
      </c>
      <c r="M241" t="str">
        <f>LOOKUP(L241,Sheet2!$S$4:$T$8)</f>
        <v>1-25</v>
      </c>
      <c r="N241" s="1">
        <v>0.58199999999999996</v>
      </c>
      <c r="O241" t="str">
        <f>LOOKUP(N241,Sheet2!$V$4:$W$7)</f>
        <v>0.4 - 0.69</v>
      </c>
      <c r="P241" s="1">
        <v>27</v>
      </c>
      <c r="Q241" t="str">
        <f>LOOKUP(P241,Sheet2!$Z$4:$AA$7)</f>
        <v>26-35</v>
      </c>
      <c r="R241" s="1">
        <v>0</v>
      </c>
      <c r="S241" t="str">
        <f>IF(R241=1,"Positive","Negative")</f>
        <v>Negative</v>
      </c>
      <c r="T241" s="1" t="str">
        <f>IFERROR(VLOOKUP(A241,[1]diabetes_Recognition!$A:$B,2,FALSE),"Not Sampled")</f>
        <v>Not Sampled</v>
      </c>
      <c r="U241" t="str">
        <f>IF(T241=1,"Positive",(IF(T241=0,"Negative","Not Sampled")))</f>
        <v>Not Sampled</v>
      </c>
      <c r="V241" s="1" t="str">
        <f>IF(U241="Not Sampled","Not Sampled",IF(S241=U241,"Accurate Prediction","Inaccurate Prediction"))</f>
        <v>Not Sampled</v>
      </c>
    </row>
    <row r="242" spans="1:22" x14ac:dyDescent="0.25">
      <c r="A242" s="1">
        <v>240</v>
      </c>
      <c r="B242" s="1">
        <v>1</v>
      </c>
      <c r="C242" s="1">
        <f>LOOKUP(B242,Sheet2!$D$4:$E$9)</f>
        <v>1</v>
      </c>
      <c r="D242" s="1">
        <v>91</v>
      </c>
      <c r="E242" t="str">
        <f>LOOKUP(D242,Sheet2!$G$4:$H$9)</f>
        <v>1-99</v>
      </c>
      <c r="F242" s="1">
        <v>64</v>
      </c>
      <c r="G242" t="str">
        <f>LOOKUP(F242,Sheet2!$J$4:$K$8)</f>
        <v>60-69</v>
      </c>
      <c r="H242" s="1">
        <v>24</v>
      </c>
      <c r="I242" t="str">
        <f>LOOKUP(H242,Sheet2!$M$4:$N$8)</f>
        <v>10-30</v>
      </c>
      <c r="J242" s="1">
        <v>0</v>
      </c>
      <c r="K242" t="str">
        <f>LOOKUP(J242,Sheet2!$P$4:$Q$9)</f>
        <v>Unknown</v>
      </c>
      <c r="L242" s="1">
        <v>29.2</v>
      </c>
      <c r="M242" t="str">
        <f>LOOKUP(L242,Sheet2!$S$4:$T$8)</f>
        <v>26-30</v>
      </c>
      <c r="N242" s="1">
        <v>0.192</v>
      </c>
      <c r="O242" t="str">
        <f>LOOKUP(N242,Sheet2!$V$4:$W$7)</f>
        <v>0.0 - 0.249</v>
      </c>
      <c r="P242" s="1">
        <v>21</v>
      </c>
      <c r="Q242" t="str">
        <f>LOOKUP(P242,Sheet2!$Z$4:$AA$7)</f>
        <v>&lt;=25</v>
      </c>
      <c r="R242" s="1">
        <v>0</v>
      </c>
      <c r="S242" t="str">
        <f>IF(R242=1,"Positive","Negative")</f>
        <v>Negative</v>
      </c>
      <c r="T242" s="1" t="str">
        <f>IFERROR(VLOOKUP(A242,[1]diabetes_Recognition!$A:$B,2,FALSE),"Not Sampled")</f>
        <v>Not Sampled</v>
      </c>
      <c r="U242" t="str">
        <f>IF(T242=1,"Positive",(IF(T242=0,"Negative","Not Sampled")))</f>
        <v>Not Sampled</v>
      </c>
      <c r="V242" s="1" t="str">
        <f>IF(U242="Not Sampled","Not Sampled",IF(S242=U242,"Accurate Prediction","Inaccurate Prediction"))</f>
        <v>Not Sampled</v>
      </c>
    </row>
    <row r="243" spans="1:22" x14ac:dyDescent="0.25">
      <c r="A243" s="1">
        <v>241</v>
      </c>
      <c r="B243" s="1">
        <v>4</v>
      </c>
      <c r="C243" s="1" t="str">
        <f>LOOKUP(B243,Sheet2!$D$4:$E$9)</f>
        <v>3-4</v>
      </c>
      <c r="D243" s="1">
        <v>91</v>
      </c>
      <c r="E243" t="str">
        <f>LOOKUP(D243,Sheet2!$G$4:$H$9)</f>
        <v>1-99</v>
      </c>
      <c r="F243" s="1">
        <v>70</v>
      </c>
      <c r="G243" t="str">
        <f>LOOKUP(F243,Sheet2!$J$4:$K$8)</f>
        <v>70-79</v>
      </c>
      <c r="H243" s="1">
        <v>32</v>
      </c>
      <c r="I243" t="str">
        <f>LOOKUP(H243,Sheet2!$M$4:$N$8)</f>
        <v>30-39</v>
      </c>
      <c r="J243" s="1">
        <v>88</v>
      </c>
      <c r="K243" t="str">
        <f>LOOKUP(J243,Sheet2!$P$4:$Q$9)</f>
        <v>1-99</v>
      </c>
      <c r="L243" s="1">
        <v>33.1</v>
      </c>
      <c r="M243" t="str">
        <f>LOOKUP(L243,Sheet2!$S$4:$T$8)</f>
        <v>31-35</v>
      </c>
      <c r="N243" s="1">
        <v>0.44600000000000001</v>
      </c>
      <c r="O243" t="str">
        <f>LOOKUP(N243,Sheet2!$V$4:$W$7)</f>
        <v>0.4 - 0.69</v>
      </c>
      <c r="P243" s="1">
        <v>22</v>
      </c>
      <c r="Q243" t="str">
        <f>LOOKUP(P243,Sheet2!$Z$4:$AA$7)</f>
        <v>&lt;=25</v>
      </c>
      <c r="R243" s="1">
        <v>0</v>
      </c>
      <c r="S243" t="str">
        <f>IF(R243=1,"Positive","Negative")</f>
        <v>Negative</v>
      </c>
      <c r="T243" s="1">
        <f>IFERROR(VLOOKUP(A243,[1]diabetes_Recognition!$A:$B,2,FALSE),"Not Sampled")</f>
        <v>0</v>
      </c>
      <c r="U243" t="str">
        <f>IF(T243=1,"Positive",(IF(T243=0,"Negative","Not Sampled")))</f>
        <v>Negative</v>
      </c>
      <c r="V243" s="1" t="str">
        <f>IF(U243="Not Sampled","Not Sampled",IF(S243=U243,"Accurate Prediction","Inaccurate Prediction"))</f>
        <v>Accurate Prediction</v>
      </c>
    </row>
    <row r="244" spans="1:22" x14ac:dyDescent="0.25">
      <c r="A244" s="1">
        <v>242</v>
      </c>
      <c r="B244" s="1">
        <v>3</v>
      </c>
      <c r="C244" s="1" t="str">
        <f>LOOKUP(B244,Sheet2!$D$4:$E$9)</f>
        <v>3-4</v>
      </c>
      <c r="D244" s="1">
        <v>139</v>
      </c>
      <c r="E244" t="str">
        <f>LOOKUP(D244,Sheet2!$G$4:$H$9)</f>
        <v>126-150</v>
      </c>
      <c r="F244" s="1">
        <v>54</v>
      </c>
      <c r="G244" t="str">
        <f>LOOKUP(F244,Sheet2!$J$4:$K$8)</f>
        <v>1-59</v>
      </c>
      <c r="H244" s="1">
        <v>0</v>
      </c>
      <c r="I244" t="str">
        <f>LOOKUP(H244,Sheet2!$M$4:$N$8)</f>
        <v>Unknown</v>
      </c>
      <c r="J244" s="1">
        <v>0</v>
      </c>
      <c r="K244" t="str">
        <f>LOOKUP(J244,Sheet2!$P$4:$Q$9)</f>
        <v>Unknown</v>
      </c>
      <c r="L244" s="1">
        <v>25.6</v>
      </c>
      <c r="M244" t="str">
        <f>LOOKUP(L244,Sheet2!$S$4:$T$8)</f>
        <v>1-25</v>
      </c>
      <c r="N244" s="1">
        <v>0.40200000000000002</v>
      </c>
      <c r="O244" t="str">
        <f>LOOKUP(N244,Sheet2!$V$4:$W$7)</f>
        <v>0.4 - 0.69</v>
      </c>
      <c r="P244" s="1">
        <v>22</v>
      </c>
      <c r="Q244" t="str">
        <f>LOOKUP(P244,Sheet2!$Z$4:$AA$7)</f>
        <v>&lt;=25</v>
      </c>
      <c r="R244" s="1">
        <v>1</v>
      </c>
      <c r="S244" t="str">
        <f>IF(R244=1,"Positive","Negative")</f>
        <v>Positive</v>
      </c>
      <c r="T244" s="1" t="str">
        <f>IFERROR(VLOOKUP(A244,[1]diabetes_Recognition!$A:$B,2,FALSE),"Not Sampled")</f>
        <v>Not Sampled</v>
      </c>
      <c r="U244" t="str">
        <f>IF(T244=1,"Positive",(IF(T244=0,"Negative","Not Sampled")))</f>
        <v>Not Sampled</v>
      </c>
      <c r="V244" s="1" t="str">
        <f>IF(U244="Not Sampled","Not Sampled",IF(S244=U244,"Accurate Prediction","Inaccurate Prediction"))</f>
        <v>Not Sampled</v>
      </c>
    </row>
    <row r="245" spans="1:22" x14ac:dyDescent="0.25">
      <c r="A245" s="1">
        <v>243</v>
      </c>
      <c r="B245" s="1">
        <v>6</v>
      </c>
      <c r="C245" s="1" t="str">
        <f>LOOKUP(B245,Sheet2!$D$4:$E$9)</f>
        <v>5-7</v>
      </c>
      <c r="D245" s="1">
        <v>119</v>
      </c>
      <c r="E245" t="str">
        <f>LOOKUP(D245,Sheet2!$G$4:$H$9)</f>
        <v>100-125</v>
      </c>
      <c r="F245" s="1">
        <v>50</v>
      </c>
      <c r="G245" t="str">
        <f>LOOKUP(F245,Sheet2!$J$4:$K$8)</f>
        <v>1-59</v>
      </c>
      <c r="H245" s="1">
        <v>22</v>
      </c>
      <c r="I245" t="str">
        <f>LOOKUP(H245,Sheet2!$M$4:$N$8)</f>
        <v>10-30</v>
      </c>
      <c r="J245" s="1">
        <v>176</v>
      </c>
      <c r="K245" t="str">
        <f>LOOKUP(J245,Sheet2!$P$4:$Q$9)</f>
        <v>100-199</v>
      </c>
      <c r="L245" s="1">
        <v>27.1</v>
      </c>
      <c r="M245" t="str">
        <f>LOOKUP(L245,Sheet2!$S$4:$T$8)</f>
        <v>26-30</v>
      </c>
      <c r="N245" s="1">
        <v>1.3180000000000001</v>
      </c>
      <c r="O245" t="str">
        <f>LOOKUP(N245,Sheet2!$V$4:$W$7)</f>
        <v>0.7+</v>
      </c>
      <c r="P245" s="1">
        <v>33</v>
      </c>
      <c r="Q245" t="str">
        <f>LOOKUP(P245,Sheet2!$Z$4:$AA$7)</f>
        <v>26-35</v>
      </c>
      <c r="R245" s="1">
        <v>1</v>
      </c>
      <c r="S245" t="str">
        <f>IF(R245=1,"Positive","Negative")</f>
        <v>Positive</v>
      </c>
      <c r="T245" s="1" t="str">
        <f>IFERROR(VLOOKUP(A245,[1]diabetes_Recognition!$A:$B,2,FALSE),"Not Sampled")</f>
        <v>Not Sampled</v>
      </c>
      <c r="U245" t="str">
        <f>IF(T245=1,"Positive",(IF(T245=0,"Negative","Not Sampled")))</f>
        <v>Not Sampled</v>
      </c>
      <c r="V245" s="1" t="str">
        <f>IF(U245="Not Sampled","Not Sampled",IF(S245=U245,"Accurate Prediction","Inaccurate Prediction"))</f>
        <v>Not Sampled</v>
      </c>
    </row>
    <row r="246" spans="1:22" x14ac:dyDescent="0.25">
      <c r="A246" s="1">
        <v>244</v>
      </c>
      <c r="B246" s="1">
        <v>2</v>
      </c>
      <c r="C246" s="1">
        <f>LOOKUP(B246,Sheet2!$D$4:$E$9)</f>
        <v>2</v>
      </c>
      <c r="D246" s="1">
        <v>146</v>
      </c>
      <c r="E246" t="str">
        <f>LOOKUP(D246,Sheet2!$G$4:$H$9)</f>
        <v>126-150</v>
      </c>
      <c r="F246" s="1">
        <v>76</v>
      </c>
      <c r="G246" t="str">
        <f>LOOKUP(F246,Sheet2!$J$4:$K$8)</f>
        <v>70-79</v>
      </c>
      <c r="H246" s="1">
        <v>35</v>
      </c>
      <c r="I246" t="str">
        <f>LOOKUP(H246,Sheet2!$M$4:$N$8)</f>
        <v>30-39</v>
      </c>
      <c r="J246" s="1">
        <v>194</v>
      </c>
      <c r="K246" t="str">
        <f>LOOKUP(J246,Sheet2!$P$4:$Q$9)</f>
        <v>100-199</v>
      </c>
      <c r="L246" s="1">
        <v>38.200000000000003</v>
      </c>
      <c r="M246" t="str">
        <f>LOOKUP(L246,Sheet2!$S$4:$T$8)</f>
        <v>36+</v>
      </c>
      <c r="N246" s="1">
        <v>0.32900000000000001</v>
      </c>
      <c r="O246" t="str">
        <f>LOOKUP(N246,Sheet2!$V$4:$W$7)</f>
        <v>0.25 - 0.39</v>
      </c>
      <c r="P246" s="1">
        <v>29</v>
      </c>
      <c r="Q246" t="str">
        <f>LOOKUP(P246,Sheet2!$Z$4:$AA$7)</f>
        <v>26-35</v>
      </c>
      <c r="R246" s="1">
        <v>0</v>
      </c>
      <c r="S246" t="str">
        <f>IF(R246=1,"Positive","Negative")</f>
        <v>Negative</v>
      </c>
      <c r="T246" s="1" t="str">
        <f>IFERROR(VLOOKUP(A246,[1]diabetes_Recognition!$A:$B,2,FALSE),"Not Sampled")</f>
        <v>Not Sampled</v>
      </c>
      <c r="U246" t="str">
        <f>IF(T246=1,"Positive",(IF(T246=0,"Negative","Not Sampled")))</f>
        <v>Not Sampled</v>
      </c>
      <c r="V246" s="1" t="str">
        <f>IF(U246="Not Sampled","Not Sampled",IF(S246=U246,"Accurate Prediction","Inaccurate Prediction"))</f>
        <v>Not Sampled</v>
      </c>
    </row>
    <row r="247" spans="1:22" x14ac:dyDescent="0.25">
      <c r="A247" s="1">
        <v>245</v>
      </c>
      <c r="B247" s="1">
        <v>9</v>
      </c>
      <c r="C247" s="1" t="str">
        <f>LOOKUP(B247,Sheet2!$D$4:$E$9)</f>
        <v>8+</v>
      </c>
      <c r="D247" s="1">
        <v>184</v>
      </c>
      <c r="E247" t="str">
        <f>LOOKUP(D247,Sheet2!$G$4:$H$9)</f>
        <v>176-200</v>
      </c>
      <c r="F247" s="1">
        <v>85</v>
      </c>
      <c r="G247" t="str">
        <f>LOOKUP(F247,Sheet2!$J$4:$K$8)</f>
        <v>80+</v>
      </c>
      <c r="H247" s="1">
        <v>15</v>
      </c>
      <c r="I247" t="str">
        <f>LOOKUP(H247,Sheet2!$M$4:$N$8)</f>
        <v>10-30</v>
      </c>
      <c r="J247" s="1">
        <v>0</v>
      </c>
      <c r="K247" t="str">
        <f>LOOKUP(J247,Sheet2!$P$4:$Q$9)</f>
        <v>Unknown</v>
      </c>
      <c r="L247" s="1">
        <v>30</v>
      </c>
      <c r="M247" t="str">
        <f>LOOKUP(L247,Sheet2!$S$4:$T$8)</f>
        <v>26-30</v>
      </c>
      <c r="N247" s="1">
        <v>1.2130000000000001</v>
      </c>
      <c r="O247" t="str">
        <f>LOOKUP(N247,Sheet2!$V$4:$W$7)</f>
        <v>0.7+</v>
      </c>
      <c r="P247" s="1">
        <v>49</v>
      </c>
      <c r="Q247" t="str">
        <f>LOOKUP(P247,Sheet2!$Z$4:$AA$7)</f>
        <v>46+</v>
      </c>
      <c r="R247" s="1">
        <v>1</v>
      </c>
      <c r="S247" t="str">
        <f>IF(R247=1,"Positive","Negative")</f>
        <v>Positive</v>
      </c>
      <c r="T247" s="1" t="str">
        <f>IFERROR(VLOOKUP(A247,[1]diabetes_Recognition!$A:$B,2,FALSE),"Not Sampled")</f>
        <v>Not Sampled</v>
      </c>
      <c r="U247" t="str">
        <f>IF(T247=1,"Positive",(IF(T247=0,"Negative","Not Sampled")))</f>
        <v>Not Sampled</v>
      </c>
      <c r="V247" s="1" t="str">
        <f>IF(U247="Not Sampled","Not Sampled",IF(S247=U247,"Accurate Prediction","Inaccurate Prediction"))</f>
        <v>Not Sampled</v>
      </c>
    </row>
    <row r="248" spans="1:22" x14ac:dyDescent="0.25">
      <c r="A248" s="1">
        <v>246</v>
      </c>
      <c r="B248" s="1">
        <v>10</v>
      </c>
      <c r="C248" s="1" t="str">
        <f>LOOKUP(B248,Sheet2!$D$4:$E$9)</f>
        <v>8+</v>
      </c>
      <c r="D248" s="1">
        <v>122</v>
      </c>
      <c r="E248" t="str">
        <f>LOOKUP(D248,Sheet2!$G$4:$H$9)</f>
        <v>100-125</v>
      </c>
      <c r="F248" s="1">
        <v>68</v>
      </c>
      <c r="G248" t="str">
        <f>LOOKUP(F248,Sheet2!$J$4:$K$8)</f>
        <v>60-69</v>
      </c>
      <c r="H248" s="1">
        <v>0</v>
      </c>
      <c r="I248" t="str">
        <f>LOOKUP(H248,Sheet2!$M$4:$N$8)</f>
        <v>Unknown</v>
      </c>
      <c r="J248" s="1">
        <v>0</v>
      </c>
      <c r="K248" t="str">
        <f>LOOKUP(J248,Sheet2!$P$4:$Q$9)</f>
        <v>Unknown</v>
      </c>
      <c r="L248" s="1">
        <v>31.2</v>
      </c>
      <c r="M248" t="str">
        <f>LOOKUP(L248,Sheet2!$S$4:$T$8)</f>
        <v>31-35</v>
      </c>
      <c r="N248" s="1">
        <v>0.25800000000000001</v>
      </c>
      <c r="O248" t="str">
        <f>LOOKUP(N248,Sheet2!$V$4:$W$7)</f>
        <v>0.25 - 0.39</v>
      </c>
      <c r="P248" s="1">
        <v>41</v>
      </c>
      <c r="Q248" t="str">
        <f>LOOKUP(P248,Sheet2!$Z$4:$AA$7)</f>
        <v>36-45</v>
      </c>
      <c r="R248" s="1">
        <v>0</v>
      </c>
      <c r="S248" t="str">
        <f>IF(R248=1,"Positive","Negative")</f>
        <v>Negative</v>
      </c>
      <c r="T248" s="1" t="str">
        <f>IFERROR(VLOOKUP(A248,[1]diabetes_Recognition!$A:$B,2,FALSE),"Not Sampled")</f>
        <v>Not Sampled</v>
      </c>
      <c r="U248" t="str">
        <f>IF(T248=1,"Positive",(IF(T248=0,"Negative","Not Sampled")))</f>
        <v>Not Sampled</v>
      </c>
      <c r="V248" s="1" t="str">
        <f>IF(U248="Not Sampled","Not Sampled",IF(S248=U248,"Accurate Prediction","Inaccurate Prediction"))</f>
        <v>Not Sampled</v>
      </c>
    </row>
    <row r="249" spans="1:22" x14ac:dyDescent="0.25">
      <c r="A249" s="1">
        <v>247</v>
      </c>
      <c r="B249" s="1">
        <v>0</v>
      </c>
      <c r="C249" s="1">
        <f>LOOKUP(B249,Sheet2!$D$4:$E$9)</f>
        <v>0</v>
      </c>
      <c r="D249" s="1">
        <v>165</v>
      </c>
      <c r="E249" t="str">
        <f>LOOKUP(D249,Sheet2!$G$4:$H$9)</f>
        <v>151-175</v>
      </c>
      <c r="F249" s="1">
        <v>90</v>
      </c>
      <c r="G249" t="str">
        <f>LOOKUP(F249,Sheet2!$J$4:$K$8)</f>
        <v>80+</v>
      </c>
      <c r="H249" s="1">
        <v>33</v>
      </c>
      <c r="I249" t="str">
        <f>LOOKUP(H249,Sheet2!$M$4:$N$8)</f>
        <v>30-39</v>
      </c>
      <c r="J249" s="1">
        <v>680</v>
      </c>
      <c r="K249" t="str">
        <f>LOOKUP(J249,Sheet2!$P$4:$Q$9)</f>
        <v>500+</v>
      </c>
      <c r="L249" s="1">
        <v>52.3</v>
      </c>
      <c r="M249" t="str">
        <f>LOOKUP(L249,Sheet2!$S$4:$T$8)</f>
        <v>36+</v>
      </c>
      <c r="N249" s="1">
        <v>0.42699999999999999</v>
      </c>
      <c r="O249" t="str">
        <f>LOOKUP(N249,Sheet2!$V$4:$W$7)</f>
        <v>0.4 - 0.69</v>
      </c>
      <c r="P249" s="1">
        <v>23</v>
      </c>
      <c r="Q249" t="str">
        <f>LOOKUP(P249,Sheet2!$Z$4:$AA$7)</f>
        <v>&lt;=25</v>
      </c>
      <c r="R249" s="1">
        <v>0</v>
      </c>
      <c r="S249" t="str">
        <f>IF(R249=1,"Positive","Negative")</f>
        <v>Negative</v>
      </c>
      <c r="T249" s="1" t="str">
        <f>IFERROR(VLOOKUP(A249,[1]diabetes_Recognition!$A:$B,2,FALSE),"Not Sampled")</f>
        <v>Not Sampled</v>
      </c>
      <c r="U249" t="str">
        <f>IF(T249=1,"Positive",(IF(T249=0,"Negative","Not Sampled")))</f>
        <v>Not Sampled</v>
      </c>
      <c r="V249" s="1" t="str">
        <f>IF(U249="Not Sampled","Not Sampled",IF(S249=U249,"Accurate Prediction","Inaccurate Prediction"))</f>
        <v>Not Sampled</v>
      </c>
    </row>
    <row r="250" spans="1:22" x14ac:dyDescent="0.25">
      <c r="A250" s="1">
        <v>248</v>
      </c>
      <c r="B250" s="1">
        <v>9</v>
      </c>
      <c r="C250" s="1" t="str">
        <f>LOOKUP(B250,Sheet2!$D$4:$E$9)</f>
        <v>8+</v>
      </c>
      <c r="D250" s="1">
        <v>124</v>
      </c>
      <c r="E250" t="str">
        <f>LOOKUP(D250,Sheet2!$G$4:$H$9)</f>
        <v>100-125</v>
      </c>
      <c r="F250" s="1">
        <v>70</v>
      </c>
      <c r="G250" t="str">
        <f>LOOKUP(F250,Sheet2!$J$4:$K$8)</f>
        <v>70-79</v>
      </c>
      <c r="H250" s="1">
        <v>33</v>
      </c>
      <c r="I250" t="str">
        <f>LOOKUP(H250,Sheet2!$M$4:$N$8)</f>
        <v>30-39</v>
      </c>
      <c r="J250" s="1">
        <v>402</v>
      </c>
      <c r="K250" t="str">
        <f>LOOKUP(J250,Sheet2!$P$4:$Q$9)</f>
        <v>300-499</v>
      </c>
      <c r="L250" s="1">
        <v>35.4</v>
      </c>
      <c r="M250" t="str">
        <f>LOOKUP(L250,Sheet2!$S$4:$T$8)</f>
        <v>31-35</v>
      </c>
      <c r="N250" s="1">
        <v>0.28199999999999997</v>
      </c>
      <c r="O250" t="str">
        <f>LOOKUP(N250,Sheet2!$V$4:$W$7)</f>
        <v>0.25 - 0.39</v>
      </c>
      <c r="P250" s="1">
        <v>34</v>
      </c>
      <c r="Q250" t="str">
        <f>LOOKUP(P250,Sheet2!$Z$4:$AA$7)</f>
        <v>26-35</v>
      </c>
      <c r="R250" s="1">
        <v>0</v>
      </c>
      <c r="S250" t="str">
        <f>IF(R250=1,"Positive","Negative")</f>
        <v>Negative</v>
      </c>
      <c r="T250" s="1">
        <f>IFERROR(VLOOKUP(A250,[1]diabetes_Recognition!$A:$B,2,FALSE),"Not Sampled")</f>
        <v>0</v>
      </c>
      <c r="U250" t="str">
        <f>IF(T250=1,"Positive",(IF(T250=0,"Negative","Not Sampled")))</f>
        <v>Negative</v>
      </c>
      <c r="V250" s="1" t="str">
        <f>IF(U250="Not Sampled","Not Sampled",IF(S250=U250,"Accurate Prediction","Inaccurate Prediction"))</f>
        <v>Accurate Prediction</v>
      </c>
    </row>
    <row r="251" spans="1:22" x14ac:dyDescent="0.25">
      <c r="A251" s="1">
        <v>249</v>
      </c>
      <c r="B251" s="1">
        <v>1</v>
      </c>
      <c r="C251" s="1">
        <f>LOOKUP(B251,Sheet2!$D$4:$E$9)</f>
        <v>1</v>
      </c>
      <c r="D251" s="1">
        <v>111</v>
      </c>
      <c r="E251" t="str">
        <f>LOOKUP(D251,Sheet2!$G$4:$H$9)</f>
        <v>100-125</v>
      </c>
      <c r="F251" s="1">
        <v>86</v>
      </c>
      <c r="G251" t="str">
        <f>LOOKUP(F251,Sheet2!$J$4:$K$8)</f>
        <v>80+</v>
      </c>
      <c r="H251" s="1">
        <v>19</v>
      </c>
      <c r="I251" t="str">
        <f>LOOKUP(H251,Sheet2!$M$4:$N$8)</f>
        <v>10-30</v>
      </c>
      <c r="J251" s="1">
        <v>0</v>
      </c>
      <c r="K251" t="str">
        <f>LOOKUP(J251,Sheet2!$P$4:$Q$9)</f>
        <v>Unknown</v>
      </c>
      <c r="L251" s="1">
        <v>30.1</v>
      </c>
      <c r="M251" t="str">
        <f>LOOKUP(L251,Sheet2!$S$4:$T$8)</f>
        <v>26-30</v>
      </c>
      <c r="N251" s="1">
        <v>0.14299999999999999</v>
      </c>
      <c r="O251" t="str">
        <f>LOOKUP(N251,Sheet2!$V$4:$W$7)</f>
        <v>0.0 - 0.249</v>
      </c>
      <c r="P251" s="1">
        <v>23</v>
      </c>
      <c r="Q251" t="str">
        <f>LOOKUP(P251,Sheet2!$Z$4:$AA$7)</f>
        <v>&lt;=25</v>
      </c>
      <c r="R251" s="1">
        <v>0</v>
      </c>
      <c r="S251" t="str">
        <f>IF(R251=1,"Positive","Negative")</f>
        <v>Negative</v>
      </c>
      <c r="T251" s="1" t="str">
        <f>IFERROR(VLOOKUP(A251,[1]diabetes_Recognition!$A:$B,2,FALSE),"Not Sampled")</f>
        <v>Not Sampled</v>
      </c>
      <c r="U251" t="str">
        <f>IF(T251=1,"Positive",(IF(T251=0,"Negative","Not Sampled")))</f>
        <v>Not Sampled</v>
      </c>
      <c r="V251" s="1" t="str">
        <f>IF(U251="Not Sampled","Not Sampled",IF(S251=U251,"Accurate Prediction","Inaccurate Prediction"))</f>
        <v>Not Sampled</v>
      </c>
    </row>
    <row r="252" spans="1:22" x14ac:dyDescent="0.25">
      <c r="A252" s="1">
        <v>250</v>
      </c>
      <c r="B252" s="1">
        <v>9</v>
      </c>
      <c r="C252" s="1" t="str">
        <f>LOOKUP(B252,Sheet2!$D$4:$E$9)</f>
        <v>8+</v>
      </c>
      <c r="D252" s="1">
        <v>106</v>
      </c>
      <c r="E252" t="str">
        <f>LOOKUP(D252,Sheet2!$G$4:$H$9)</f>
        <v>100-125</v>
      </c>
      <c r="F252" s="1">
        <v>52</v>
      </c>
      <c r="G252" t="str">
        <f>LOOKUP(F252,Sheet2!$J$4:$K$8)</f>
        <v>1-59</v>
      </c>
      <c r="H252" s="1">
        <v>0</v>
      </c>
      <c r="I252" t="str">
        <f>LOOKUP(H252,Sheet2!$M$4:$N$8)</f>
        <v>Unknown</v>
      </c>
      <c r="J252" s="1">
        <v>0</v>
      </c>
      <c r="K252" t="str">
        <f>LOOKUP(J252,Sheet2!$P$4:$Q$9)</f>
        <v>Unknown</v>
      </c>
      <c r="L252" s="1">
        <v>31.2</v>
      </c>
      <c r="M252" t="str">
        <f>LOOKUP(L252,Sheet2!$S$4:$T$8)</f>
        <v>31-35</v>
      </c>
      <c r="N252" s="1">
        <v>0.38</v>
      </c>
      <c r="O252" t="str">
        <f>LOOKUP(N252,Sheet2!$V$4:$W$7)</f>
        <v>0.25 - 0.39</v>
      </c>
      <c r="P252" s="1">
        <v>42</v>
      </c>
      <c r="Q252" t="str">
        <f>LOOKUP(P252,Sheet2!$Z$4:$AA$7)</f>
        <v>36-45</v>
      </c>
      <c r="R252" s="1">
        <v>0</v>
      </c>
      <c r="S252" t="str">
        <f>IF(R252=1,"Positive","Negative")</f>
        <v>Negative</v>
      </c>
      <c r="T252" s="1" t="str">
        <f>IFERROR(VLOOKUP(A252,[1]diabetes_Recognition!$A:$B,2,FALSE),"Not Sampled")</f>
        <v>Not Sampled</v>
      </c>
      <c r="U252" t="str">
        <f>IF(T252=1,"Positive",(IF(T252=0,"Negative","Not Sampled")))</f>
        <v>Not Sampled</v>
      </c>
      <c r="V252" s="1" t="str">
        <f>IF(U252="Not Sampled","Not Sampled",IF(S252=U252,"Accurate Prediction","Inaccurate Prediction"))</f>
        <v>Not Sampled</v>
      </c>
    </row>
    <row r="253" spans="1:22" x14ac:dyDescent="0.25">
      <c r="A253" s="1">
        <v>251</v>
      </c>
      <c r="B253" s="1">
        <v>2</v>
      </c>
      <c r="C253" s="1">
        <f>LOOKUP(B253,Sheet2!$D$4:$E$9)</f>
        <v>2</v>
      </c>
      <c r="D253" s="1">
        <v>129</v>
      </c>
      <c r="E253" t="str">
        <f>LOOKUP(D253,Sheet2!$G$4:$H$9)</f>
        <v>126-150</v>
      </c>
      <c r="F253" s="1">
        <v>84</v>
      </c>
      <c r="G253" t="str">
        <f>LOOKUP(F253,Sheet2!$J$4:$K$8)</f>
        <v>80+</v>
      </c>
      <c r="H253" s="1">
        <v>0</v>
      </c>
      <c r="I253" t="str">
        <f>LOOKUP(H253,Sheet2!$M$4:$N$8)</f>
        <v>Unknown</v>
      </c>
      <c r="J253" s="1">
        <v>0</v>
      </c>
      <c r="K253" t="str">
        <f>LOOKUP(J253,Sheet2!$P$4:$Q$9)</f>
        <v>Unknown</v>
      </c>
      <c r="L253" s="1">
        <v>28</v>
      </c>
      <c r="M253" t="str">
        <f>LOOKUP(L253,Sheet2!$S$4:$T$8)</f>
        <v>26-30</v>
      </c>
      <c r="N253" s="1">
        <v>0.28399999999999997</v>
      </c>
      <c r="O253" t="str">
        <f>LOOKUP(N253,Sheet2!$V$4:$W$7)</f>
        <v>0.25 - 0.39</v>
      </c>
      <c r="P253" s="1">
        <v>27</v>
      </c>
      <c r="Q253" t="str">
        <f>LOOKUP(P253,Sheet2!$Z$4:$AA$7)</f>
        <v>26-35</v>
      </c>
      <c r="R253" s="1">
        <v>0</v>
      </c>
      <c r="S253" t="str">
        <f>IF(R253=1,"Positive","Negative")</f>
        <v>Negative</v>
      </c>
      <c r="T253" s="1" t="str">
        <f>IFERROR(VLOOKUP(A253,[1]diabetes_Recognition!$A:$B,2,FALSE),"Not Sampled")</f>
        <v>Not Sampled</v>
      </c>
      <c r="U253" t="str">
        <f>IF(T253=1,"Positive",(IF(T253=0,"Negative","Not Sampled")))</f>
        <v>Not Sampled</v>
      </c>
      <c r="V253" s="1" t="str">
        <f>IF(U253="Not Sampled","Not Sampled",IF(S253=U253,"Accurate Prediction","Inaccurate Prediction"))</f>
        <v>Not Sampled</v>
      </c>
    </row>
    <row r="254" spans="1:22" x14ac:dyDescent="0.25">
      <c r="A254" s="1">
        <v>252</v>
      </c>
      <c r="B254" s="1">
        <v>2</v>
      </c>
      <c r="C254" s="1">
        <f>LOOKUP(B254,Sheet2!$D$4:$E$9)</f>
        <v>2</v>
      </c>
      <c r="D254" s="1">
        <v>90</v>
      </c>
      <c r="E254" t="str">
        <f>LOOKUP(D254,Sheet2!$G$4:$H$9)</f>
        <v>1-99</v>
      </c>
      <c r="F254" s="1">
        <v>80</v>
      </c>
      <c r="G254" t="str">
        <f>LOOKUP(F254,Sheet2!$J$4:$K$8)</f>
        <v>80+</v>
      </c>
      <c r="H254" s="1">
        <v>14</v>
      </c>
      <c r="I254" t="str">
        <f>LOOKUP(H254,Sheet2!$M$4:$N$8)</f>
        <v>10-30</v>
      </c>
      <c r="J254" s="1">
        <v>55</v>
      </c>
      <c r="K254" t="str">
        <f>LOOKUP(J254,Sheet2!$P$4:$Q$9)</f>
        <v>1-99</v>
      </c>
      <c r="L254" s="1">
        <v>24.4</v>
      </c>
      <c r="M254" t="str">
        <f>LOOKUP(L254,Sheet2!$S$4:$T$8)</f>
        <v>1-25</v>
      </c>
      <c r="N254" s="1">
        <v>0.249</v>
      </c>
      <c r="O254" t="str">
        <f>LOOKUP(N254,Sheet2!$V$4:$W$7)</f>
        <v>0.0 - 0.249</v>
      </c>
      <c r="P254" s="1">
        <v>24</v>
      </c>
      <c r="Q254" t="str">
        <f>LOOKUP(P254,Sheet2!$Z$4:$AA$7)</f>
        <v>&lt;=25</v>
      </c>
      <c r="R254" s="1">
        <v>0</v>
      </c>
      <c r="S254" t="str">
        <f>IF(R254=1,"Positive","Negative")</f>
        <v>Negative</v>
      </c>
      <c r="T254" s="1" t="str">
        <f>IFERROR(VLOOKUP(A254,[1]diabetes_Recognition!$A:$B,2,FALSE),"Not Sampled")</f>
        <v>Not Sampled</v>
      </c>
      <c r="U254" t="str">
        <f>IF(T254=1,"Positive",(IF(T254=0,"Negative","Not Sampled")))</f>
        <v>Not Sampled</v>
      </c>
      <c r="V254" s="1" t="str">
        <f>IF(U254="Not Sampled","Not Sampled",IF(S254=U254,"Accurate Prediction","Inaccurate Prediction"))</f>
        <v>Not Sampled</v>
      </c>
    </row>
    <row r="255" spans="1:22" x14ac:dyDescent="0.25">
      <c r="A255" s="1">
        <v>253</v>
      </c>
      <c r="B255" s="1">
        <v>0</v>
      </c>
      <c r="C255" s="1">
        <f>LOOKUP(B255,Sheet2!$D$4:$E$9)</f>
        <v>0</v>
      </c>
      <c r="D255" s="1">
        <v>86</v>
      </c>
      <c r="E255" t="str">
        <f>LOOKUP(D255,Sheet2!$G$4:$H$9)</f>
        <v>1-99</v>
      </c>
      <c r="F255" s="1">
        <v>68</v>
      </c>
      <c r="G255" t="str">
        <f>LOOKUP(F255,Sheet2!$J$4:$K$8)</f>
        <v>60-69</v>
      </c>
      <c r="H255" s="1">
        <v>32</v>
      </c>
      <c r="I255" t="str">
        <f>LOOKUP(H255,Sheet2!$M$4:$N$8)</f>
        <v>30-39</v>
      </c>
      <c r="J255" s="1">
        <v>0</v>
      </c>
      <c r="K255" t="str">
        <f>LOOKUP(J255,Sheet2!$P$4:$Q$9)</f>
        <v>Unknown</v>
      </c>
      <c r="L255" s="1">
        <v>35.799999999999997</v>
      </c>
      <c r="M255" t="str">
        <f>LOOKUP(L255,Sheet2!$S$4:$T$8)</f>
        <v>31-35</v>
      </c>
      <c r="N255" s="1">
        <v>0.23799999999999999</v>
      </c>
      <c r="O255" t="str">
        <f>LOOKUP(N255,Sheet2!$V$4:$W$7)</f>
        <v>0.0 - 0.249</v>
      </c>
      <c r="P255" s="1">
        <v>25</v>
      </c>
      <c r="Q255" t="str">
        <f>LOOKUP(P255,Sheet2!$Z$4:$AA$7)</f>
        <v>&lt;=25</v>
      </c>
      <c r="R255" s="1">
        <v>0</v>
      </c>
      <c r="S255" t="str">
        <f>IF(R255=1,"Positive","Negative")</f>
        <v>Negative</v>
      </c>
      <c r="T255" s="1" t="str">
        <f>IFERROR(VLOOKUP(A255,[1]diabetes_Recognition!$A:$B,2,FALSE),"Not Sampled")</f>
        <v>Not Sampled</v>
      </c>
      <c r="U255" t="str">
        <f>IF(T255=1,"Positive",(IF(T255=0,"Negative","Not Sampled")))</f>
        <v>Not Sampled</v>
      </c>
      <c r="V255" s="1" t="str">
        <f>IF(U255="Not Sampled","Not Sampled",IF(S255=U255,"Accurate Prediction","Inaccurate Prediction"))</f>
        <v>Not Sampled</v>
      </c>
    </row>
    <row r="256" spans="1:22" x14ac:dyDescent="0.25">
      <c r="A256" s="1">
        <v>254</v>
      </c>
      <c r="B256" s="1">
        <v>12</v>
      </c>
      <c r="C256" s="1" t="str">
        <f>LOOKUP(B256,Sheet2!$D$4:$E$9)</f>
        <v>8+</v>
      </c>
      <c r="D256" s="1">
        <v>92</v>
      </c>
      <c r="E256" t="str">
        <f>LOOKUP(D256,Sheet2!$G$4:$H$9)</f>
        <v>1-99</v>
      </c>
      <c r="F256" s="1">
        <v>62</v>
      </c>
      <c r="G256" t="str">
        <f>LOOKUP(F256,Sheet2!$J$4:$K$8)</f>
        <v>60-69</v>
      </c>
      <c r="H256" s="1">
        <v>7</v>
      </c>
      <c r="I256" t="str">
        <f>LOOKUP(H256,Sheet2!$M$4:$N$8)</f>
        <v>1-10</v>
      </c>
      <c r="J256" s="1">
        <v>258</v>
      </c>
      <c r="K256" t="str">
        <f>LOOKUP(J256,Sheet2!$P$4:$Q$9)</f>
        <v>200-399</v>
      </c>
      <c r="L256" s="1">
        <v>27.6</v>
      </c>
      <c r="M256" t="str">
        <f>LOOKUP(L256,Sheet2!$S$4:$T$8)</f>
        <v>26-30</v>
      </c>
      <c r="N256" s="1">
        <v>0.92600000000000005</v>
      </c>
      <c r="O256" t="str">
        <f>LOOKUP(N256,Sheet2!$V$4:$W$7)</f>
        <v>0.7+</v>
      </c>
      <c r="P256" s="1">
        <v>44</v>
      </c>
      <c r="Q256" t="str">
        <f>LOOKUP(P256,Sheet2!$Z$4:$AA$7)</f>
        <v>36-45</v>
      </c>
      <c r="R256" s="1">
        <v>1</v>
      </c>
      <c r="S256" t="str">
        <f>IF(R256=1,"Positive","Negative")</f>
        <v>Positive</v>
      </c>
      <c r="T256" s="1" t="str">
        <f>IFERROR(VLOOKUP(A256,[1]diabetes_Recognition!$A:$B,2,FALSE),"Not Sampled")</f>
        <v>Not Sampled</v>
      </c>
      <c r="U256" t="str">
        <f>IF(T256=1,"Positive",(IF(T256=0,"Negative","Not Sampled")))</f>
        <v>Not Sampled</v>
      </c>
      <c r="V256" s="1" t="str">
        <f>IF(U256="Not Sampled","Not Sampled",IF(S256=U256,"Accurate Prediction","Inaccurate Prediction"))</f>
        <v>Not Sampled</v>
      </c>
    </row>
    <row r="257" spans="1:22" x14ac:dyDescent="0.25">
      <c r="A257" s="1">
        <v>255</v>
      </c>
      <c r="B257" s="1">
        <v>1</v>
      </c>
      <c r="C257" s="1">
        <f>LOOKUP(B257,Sheet2!$D$4:$E$9)</f>
        <v>1</v>
      </c>
      <c r="D257" s="1">
        <v>113</v>
      </c>
      <c r="E257" t="str">
        <f>LOOKUP(D257,Sheet2!$G$4:$H$9)</f>
        <v>100-125</v>
      </c>
      <c r="F257" s="1">
        <v>64</v>
      </c>
      <c r="G257" t="str">
        <f>LOOKUP(F257,Sheet2!$J$4:$K$8)</f>
        <v>60-69</v>
      </c>
      <c r="H257" s="1">
        <v>35</v>
      </c>
      <c r="I257" t="str">
        <f>LOOKUP(H257,Sheet2!$M$4:$N$8)</f>
        <v>30-39</v>
      </c>
      <c r="J257" s="1">
        <v>0</v>
      </c>
      <c r="K257" t="str">
        <f>LOOKUP(J257,Sheet2!$P$4:$Q$9)</f>
        <v>Unknown</v>
      </c>
      <c r="L257" s="1">
        <v>33.6</v>
      </c>
      <c r="M257" t="str">
        <f>LOOKUP(L257,Sheet2!$S$4:$T$8)</f>
        <v>31-35</v>
      </c>
      <c r="N257" s="1">
        <v>0.54300000000000004</v>
      </c>
      <c r="O257" t="str">
        <f>LOOKUP(N257,Sheet2!$V$4:$W$7)</f>
        <v>0.4 - 0.69</v>
      </c>
      <c r="P257" s="1">
        <v>21</v>
      </c>
      <c r="Q257" t="str">
        <f>LOOKUP(P257,Sheet2!$Z$4:$AA$7)</f>
        <v>&lt;=25</v>
      </c>
      <c r="R257" s="1">
        <v>1</v>
      </c>
      <c r="S257" t="str">
        <f>IF(R257=1,"Positive","Negative")</f>
        <v>Positive</v>
      </c>
      <c r="T257" s="1">
        <f>IFERROR(VLOOKUP(A257,[1]diabetes_Recognition!$A:$B,2,FALSE),"Not Sampled")</f>
        <v>0</v>
      </c>
      <c r="U257" t="str">
        <f>IF(T257=1,"Positive",(IF(T257=0,"Negative","Not Sampled")))</f>
        <v>Negative</v>
      </c>
      <c r="V257" s="1" t="str">
        <f>IF(U257="Not Sampled","Not Sampled",IF(S257=U257,"Accurate Prediction","Inaccurate Prediction"))</f>
        <v>Inaccurate Prediction</v>
      </c>
    </row>
    <row r="258" spans="1:22" x14ac:dyDescent="0.25">
      <c r="A258" s="1">
        <v>256</v>
      </c>
      <c r="B258" s="1">
        <v>3</v>
      </c>
      <c r="C258" s="1" t="str">
        <f>LOOKUP(B258,Sheet2!$D$4:$E$9)</f>
        <v>3-4</v>
      </c>
      <c r="D258" s="1">
        <v>111</v>
      </c>
      <c r="E258" t="str">
        <f>LOOKUP(D258,Sheet2!$G$4:$H$9)</f>
        <v>100-125</v>
      </c>
      <c r="F258" s="1">
        <v>56</v>
      </c>
      <c r="G258" t="str">
        <f>LOOKUP(F258,Sheet2!$J$4:$K$8)</f>
        <v>1-59</v>
      </c>
      <c r="H258" s="1">
        <v>39</v>
      </c>
      <c r="I258" t="str">
        <f>LOOKUP(H258,Sheet2!$M$4:$N$8)</f>
        <v>30-39</v>
      </c>
      <c r="J258" s="1">
        <v>0</v>
      </c>
      <c r="K258" t="str">
        <f>LOOKUP(J258,Sheet2!$P$4:$Q$9)</f>
        <v>Unknown</v>
      </c>
      <c r="L258" s="1">
        <v>30.1</v>
      </c>
      <c r="M258" t="str">
        <f>LOOKUP(L258,Sheet2!$S$4:$T$8)</f>
        <v>26-30</v>
      </c>
      <c r="N258" s="1">
        <v>0.55700000000000005</v>
      </c>
      <c r="O258" t="str">
        <f>LOOKUP(N258,Sheet2!$V$4:$W$7)</f>
        <v>0.4 - 0.69</v>
      </c>
      <c r="P258" s="1">
        <v>30</v>
      </c>
      <c r="Q258" t="str">
        <f>LOOKUP(P258,Sheet2!$Z$4:$AA$7)</f>
        <v>26-35</v>
      </c>
      <c r="R258" s="1">
        <v>0</v>
      </c>
      <c r="S258" t="str">
        <f>IF(R258=1,"Positive","Negative")</f>
        <v>Negative</v>
      </c>
      <c r="T258" s="1" t="str">
        <f>IFERROR(VLOOKUP(A258,[1]diabetes_Recognition!$A:$B,2,FALSE),"Not Sampled")</f>
        <v>Not Sampled</v>
      </c>
      <c r="U258" t="str">
        <f>IF(T258=1,"Positive",(IF(T258=0,"Negative","Not Sampled")))</f>
        <v>Not Sampled</v>
      </c>
      <c r="V258" s="1" t="str">
        <f>IF(U258="Not Sampled","Not Sampled",IF(S258=U258,"Accurate Prediction","Inaccurate Prediction"))</f>
        <v>Not Sampled</v>
      </c>
    </row>
    <row r="259" spans="1:22" x14ac:dyDescent="0.25">
      <c r="A259" s="1">
        <v>257</v>
      </c>
      <c r="B259" s="1">
        <v>2</v>
      </c>
      <c r="C259" s="1">
        <f>LOOKUP(B259,Sheet2!$D$4:$E$9)</f>
        <v>2</v>
      </c>
      <c r="D259" s="1">
        <v>114</v>
      </c>
      <c r="E259" t="str">
        <f>LOOKUP(D259,Sheet2!$G$4:$H$9)</f>
        <v>100-125</v>
      </c>
      <c r="F259" s="1">
        <v>68</v>
      </c>
      <c r="G259" t="str">
        <f>LOOKUP(F259,Sheet2!$J$4:$K$8)</f>
        <v>60-69</v>
      </c>
      <c r="H259" s="1">
        <v>22</v>
      </c>
      <c r="I259" t="str">
        <f>LOOKUP(H259,Sheet2!$M$4:$N$8)</f>
        <v>10-30</v>
      </c>
      <c r="J259" s="1">
        <v>0</v>
      </c>
      <c r="K259" t="str">
        <f>LOOKUP(J259,Sheet2!$P$4:$Q$9)</f>
        <v>Unknown</v>
      </c>
      <c r="L259" s="1">
        <v>28.7</v>
      </c>
      <c r="M259" t="str">
        <f>LOOKUP(L259,Sheet2!$S$4:$T$8)</f>
        <v>26-30</v>
      </c>
      <c r="N259" s="1">
        <v>9.1999999999999998E-2</v>
      </c>
      <c r="O259" t="str">
        <f>LOOKUP(N259,Sheet2!$V$4:$W$7)</f>
        <v>0.0 - 0.249</v>
      </c>
      <c r="P259" s="1">
        <v>25</v>
      </c>
      <c r="Q259" t="str">
        <f>LOOKUP(P259,Sheet2!$Z$4:$AA$7)</f>
        <v>&lt;=25</v>
      </c>
      <c r="R259" s="1">
        <v>0</v>
      </c>
      <c r="S259" t="str">
        <f>IF(R259=1,"Positive","Negative")</f>
        <v>Negative</v>
      </c>
      <c r="T259" s="1" t="str">
        <f>IFERROR(VLOOKUP(A259,[1]diabetes_Recognition!$A:$B,2,FALSE),"Not Sampled")</f>
        <v>Not Sampled</v>
      </c>
      <c r="U259" t="str">
        <f>IF(T259=1,"Positive",(IF(T259=0,"Negative","Not Sampled")))</f>
        <v>Not Sampled</v>
      </c>
      <c r="V259" s="1" t="str">
        <f>IF(U259="Not Sampled","Not Sampled",IF(S259=U259,"Accurate Prediction","Inaccurate Prediction"))</f>
        <v>Not Sampled</v>
      </c>
    </row>
    <row r="260" spans="1:22" x14ac:dyDescent="0.25">
      <c r="A260" s="1">
        <v>258</v>
      </c>
      <c r="B260" s="1">
        <v>1</v>
      </c>
      <c r="C260" s="1">
        <f>LOOKUP(B260,Sheet2!$D$4:$E$9)</f>
        <v>1</v>
      </c>
      <c r="D260" s="1">
        <v>193</v>
      </c>
      <c r="E260" t="str">
        <f>LOOKUP(D260,Sheet2!$G$4:$H$9)</f>
        <v>176-200</v>
      </c>
      <c r="F260" s="1">
        <v>50</v>
      </c>
      <c r="G260" t="str">
        <f>LOOKUP(F260,Sheet2!$J$4:$K$8)</f>
        <v>1-59</v>
      </c>
      <c r="H260" s="1">
        <v>16</v>
      </c>
      <c r="I260" t="str">
        <f>LOOKUP(H260,Sheet2!$M$4:$N$8)</f>
        <v>10-30</v>
      </c>
      <c r="J260" s="1">
        <v>375</v>
      </c>
      <c r="K260" t="str">
        <f>LOOKUP(J260,Sheet2!$P$4:$Q$9)</f>
        <v>300-499</v>
      </c>
      <c r="L260" s="1">
        <v>25.9</v>
      </c>
      <c r="M260" t="str">
        <f>LOOKUP(L260,Sheet2!$S$4:$T$8)</f>
        <v>1-25</v>
      </c>
      <c r="N260" s="1">
        <v>0.65500000000000003</v>
      </c>
      <c r="O260" t="str">
        <f>LOOKUP(N260,Sheet2!$V$4:$W$7)</f>
        <v>0.4 - 0.69</v>
      </c>
      <c r="P260" s="1">
        <v>24</v>
      </c>
      <c r="Q260" t="str">
        <f>LOOKUP(P260,Sheet2!$Z$4:$AA$7)</f>
        <v>&lt;=25</v>
      </c>
      <c r="R260" s="1">
        <v>0</v>
      </c>
      <c r="S260" t="str">
        <f>IF(R260=1,"Positive","Negative")</f>
        <v>Negative</v>
      </c>
      <c r="T260" s="1">
        <f>IFERROR(VLOOKUP(A260,[1]diabetes_Recognition!$A:$B,2,FALSE),"Not Sampled")</f>
        <v>1</v>
      </c>
      <c r="U260" t="str">
        <f>IF(T260=1,"Positive",(IF(T260=0,"Negative","Not Sampled")))</f>
        <v>Positive</v>
      </c>
      <c r="V260" s="1" t="str">
        <f>IF(U260="Not Sampled","Not Sampled",IF(S260=U260,"Accurate Prediction","Inaccurate Prediction"))</f>
        <v>Inaccurate Prediction</v>
      </c>
    </row>
    <row r="261" spans="1:22" x14ac:dyDescent="0.25">
      <c r="A261" s="1">
        <v>259</v>
      </c>
      <c r="B261" s="1">
        <v>11</v>
      </c>
      <c r="C261" s="1" t="str">
        <f>LOOKUP(B261,Sheet2!$D$4:$E$9)</f>
        <v>8+</v>
      </c>
      <c r="D261" s="1">
        <v>155</v>
      </c>
      <c r="E261" t="str">
        <f>LOOKUP(D261,Sheet2!$G$4:$H$9)</f>
        <v>151-175</v>
      </c>
      <c r="F261" s="1">
        <v>76</v>
      </c>
      <c r="G261" t="str">
        <f>LOOKUP(F261,Sheet2!$J$4:$K$8)</f>
        <v>70-79</v>
      </c>
      <c r="H261" s="1">
        <v>28</v>
      </c>
      <c r="I261" t="str">
        <f>LOOKUP(H261,Sheet2!$M$4:$N$8)</f>
        <v>10-30</v>
      </c>
      <c r="J261" s="1">
        <v>150</v>
      </c>
      <c r="K261" t="str">
        <f>LOOKUP(J261,Sheet2!$P$4:$Q$9)</f>
        <v>100-199</v>
      </c>
      <c r="L261" s="1">
        <v>33.299999999999997</v>
      </c>
      <c r="M261" t="str">
        <f>LOOKUP(L261,Sheet2!$S$4:$T$8)</f>
        <v>31-35</v>
      </c>
      <c r="N261" s="1">
        <v>1.353</v>
      </c>
      <c r="O261" t="str">
        <f>LOOKUP(N261,Sheet2!$V$4:$W$7)</f>
        <v>0.7+</v>
      </c>
      <c r="P261" s="1">
        <v>51</v>
      </c>
      <c r="Q261" t="str">
        <f>LOOKUP(P261,Sheet2!$Z$4:$AA$7)</f>
        <v>46+</v>
      </c>
      <c r="R261" s="1">
        <v>1</v>
      </c>
      <c r="S261" t="str">
        <f>IF(R261=1,"Positive","Negative")</f>
        <v>Positive</v>
      </c>
      <c r="T261" s="1">
        <f>IFERROR(VLOOKUP(A261,[1]diabetes_Recognition!$A:$B,2,FALSE),"Not Sampled")</f>
        <v>1</v>
      </c>
      <c r="U261" t="str">
        <f>IF(T261=1,"Positive",(IF(T261=0,"Negative","Not Sampled")))</f>
        <v>Positive</v>
      </c>
      <c r="V261" s="1" t="str">
        <f>IF(U261="Not Sampled","Not Sampled",IF(S261=U261,"Accurate Prediction","Inaccurate Prediction"))</f>
        <v>Accurate Prediction</v>
      </c>
    </row>
    <row r="262" spans="1:22" x14ac:dyDescent="0.25">
      <c r="A262" s="1">
        <v>260</v>
      </c>
      <c r="B262" s="1">
        <v>3</v>
      </c>
      <c r="C262" s="1" t="str">
        <f>LOOKUP(B262,Sheet2!$D$4:$E$9)</f>
        <v>3-4</v>
      </c>
      <c r="D262" s="1">
        <v>191</v>
      </c>
      <c r="E262" t="str">
        <f>LOOKUP(D262,Sheet2!$G$4:$H$9)</f>
        <v>176-200</v>
      </c>
      <c r="F262" s="1">
        <v>68</v>
      </c>
      <c r="G262" t="str">
        <f>LOOKUP(F262,Sheet2!$J$4:$K$8)</f>
        <v>60-69</v>
      </c>
      <c r="H262" s="1">
        <v>15</v>
      </c>
      <c r="I262" t="str">
        <f>LOOKUP(H262,Sheet2!$M$4:$N$8)</f>
        <v>10-30</v>
      </c>
      <c r="J262" s="1">
        <v>130</v>
      </c>
      <c r="K262" t="str">
        <f>LOOKUP(J262,Sheet2!$P$4:$Q$9)</f>
        <v>100-199</v>
      </c>
      <c r="L262" s="1">
        <v>30.9</v>
      </c>
      <c r="M262" t="str">
        <f>LOOKUP(L262,Sheet2!$S$4:$T$8)</f>
        <v>26-30</v>
      </c>
      <c r="N262" s="1">
        <v>0.29899999999999999</v>
      </c>
      <c r="O262" t="str">
        <f>LOOKUP(N262,Sheet2!$V$4:$W$7)</f>
        <v>0.25 - 0.39</v>
      </c>
      <c r="P262" s="1">
        <v>34</v>
      </c>
      <c r="Q262" t="str">
        <f>LOOKUP(P262,Sheet2!$Z$4:$AA$7)</f>
        <v>26-35</v>
      </c>
      <c r="R262" s="1">
        <v>0</v>
      </c>
      <c r="S262" t="str">
        <f>IF(R262=1,"Positive","Negative")</f>
        <v>Negative</v>
      </c>
      <c r="T262" s="1">
        <f>IFERROR(VLOOKUP(A262,[1]diabetes_Recognition!$A:$B,2,FALSE),"Not Sampled")</f>
        <v>1</v>
      </c>
      <c r="U262" t="str">
        <f>IF(T262=1,"Positive",(IF(T262=0,"Negative","Not Sampled")))</f>
        <v>Positive</v>
      </c>
      <c r="V262" s="1" t="str">
        <f>IF(U262="Not Sampled","Not Sampled",IF(S262=U262,"Accurate Prediction","Inaccurate Prediction"))</f>
        <v>Inaccurate Prediction</v>
      </c>
    </row>
    <row r="263" spans="1:22" x14ac:dyDescent="0.25">
      <c r="A263" s="1">
        <v>261</v>
      </c>
      <c r="B263" s="1">
        <v>3</v>
      </c>
      <c r="C263" s="1" t="str">
        <f>LOOKUP(B263,Sheet2!$D$4:$E$9)</f>
        <v>3-4</v>
      </c>
      <c r="D263" s="1">
        <v>141</v>
      </c>
      <c r="E263" t="str">
        <f>LOOKUP(D263,Sheet2!$G$4:$H$9)</f>
        <v>126-150</v>
      </c>
      <c r="F263" s="1">
        <v>0</v>
      </c>
      <c r="G263" t="str">
        <f>LOOKUP(F263,Sheet2!$J$4:$K$8)</f>
        <v>Unknown</v>
      </c>
      <c r="H263" s="1">
        <v>0</v>
      </c>
      <c r="I263" t="str">
        <f>LOOKUP(H263,Sheet2!$M$4:$N$8)</f>
        <v>Unknown</v>
      </c>
      <c r="J263" s="1">
        <v>0</v>
      </c>
      <c r="K263" t="str">
        <f>LOOKUP(J263,Sheet2!$P$4:$Q$9)</f>
        <v>Unknown</v>
      </c>
      <c r="L263" s="1">
        <v>30</v>
      </c>
      <c r="M263" t="str">
        <f>LOOKUP(L263,Sheet2!$S$4:$T$8)</f>
        <v>26-30</v>
      </c>
      <c r="N263" s="1">
        <v>0.76100000000000001</v>
      </c>
      <c r="O263" t="str">
        <f>LOOKUP(N263,Sheet2!$V$4:$W$7)</f>
        <v>0.7+</v>
      </c>
      <c r="P263" s="1">
        <v>27</v>
      </c>
      <c r="Q263" t="str">
        <f>LOOKUP(P263,Sheet2!$Z$4:$AA$7)</f>
        <v>26-35</v>
      </c>
      <c r="R263" s="1">
        <v>1</v>
      </c>
      <c r="S263" t="str">
        <f>IF(R263=1,"Positive","Negative")</f>
        <v>Positive</v>
      </c>
      <c r="T263" s="1" t="str">
        <f>IFERROR(VLOOKUP(A263,[1]diabetes_Recognition!$A:$B,2,FALSE),"Not Sampled")</f>
        <v>Not Sampled</v>
      </c>
      <c r="U263" t="str">
        <f>IF(T263=1,"Positive",(IF(T263=0,"Negative","Not Sampled")))</f>
        <v>Not Sampled</v>
      </c>
      <c r="V263" s="1" t="str">
        <f>IF(U263="Not Sampled","Not Sampled",IF(S263=U263,"Accurate Prediction","Inaccurate Prediction"))</f>
        <v>Not Sampled</v>
      </c>
    </row>
    <row r="264" spans="1:22" x14ac:dyDescent="0.25">
      <c r="A264" s="1">
        <v>262</v>
      </c>
      <c r="B264" s="1">
        <v>4</v>
      </c>
      <c r="C264" s="1" t="str">
        <f>LOOKUP(B264,Sheet2!$D$4:$E$9)</f>
        <v>3-4</v>
      </c>
      <c r="D264" s="1">
        <v>95</v>
      </c>
      <c r="E264" t="str">
        <f>LOOKUP(D264,Sheet2!$G$4:$H$9)</f>
        <v>1-99</v>
      </c>
      <c r="F264" s="1">
        <v>70</v>
      </c>
      <c r="G264" t="str">
        <f>LOOKUP(F264,Sheet2!$J$4:$K$8)</f>
        <v>70-79</v>
      </c>
      <c r="H264" s="1">
        <v>32</v>
      </c>
      <c r="I264" t="str">
        <f>LOOKUP(H264,Sheet2!$M$4:$N$8)</f>
        <v>30-39</v>
      </c>
      <c r="J264" s="1">
        <v>0</v>
      </c>
      <c r="K264" t="str">
        <f>LOOKUP(J264,Sheet2!$P$4:$Q$9)</f>
        <v>Unknown</v>
      </c>
      <c r="L264" s="1">
        <v>32.1</v>
      </c>
      <c r="M264" t="str">
        <f>LOOKUP(L264,Sheet2!$S$4:$T$8)</f>
        <v>31-35</v>
      </c>
      <c r="N264" s="1">
        <v>0.61199999999999999</v>
      </c>
      <c r="O264" t="str">
        <f>LOOKUP(N264,Sheet2!$V$4:$W$7)</f>
        <v>0.4 - 0.69</v>
      </c>
      <c r="P264" s="1">
        <v>24</v>
      </c>
      <c r="Q264" t="str">
        <f>LOOKUP(P264,Sheet2!$Z$4:$AA$7)</f>
        <v>&lt;=25</v>
      </c>
      <c r="R264" s="1">
        <v>0</v>
      </c>
      <c r="S264" t="str">
        <f>IF(R264=1,"Positive","Negative")</f>
        <v>Negative</v>
      </c>
      <c r="T264" s="1" t="str">
        <f>IFERROR(VLOOKUP(A264,[1]diabetes_Recognition!$A:$B,2,FALSE),"Not Sampled")</f>
        <v>Not Sampled</v>
      </c>
      <c r="U264" t="str">
        <f>IF(T264=1,"Positive",(IF(T264=0,"Negative","Not Sampled")))</f>
        <v>Not Sampled</v>
      </c>
      <c r="V264" s="1" t="str">
        <f>IF(U264="Not Sampled","Not Sampled",IF(S264=U264,"Accurate Prediction","Inaccurate Prediction"))</f>
        <v>Not Sampled</v>
      </c>
    </row>
    <row r="265" spans="1:22" x14ac:dyDescent="0.25">
      <c r="A265" s="1">
        <v>263</v>
      </c>
      <c r="B265" s="1">
        <v>3</v>
      </c>
      <c r="C265" s="1" t="str">
        <f>LOOKUP(B265,Sheet2!$D$4:$E$9)</f>
        <v>3-4</v>
      </c>
      <c r="D265" s="1">
        <v>142</v>
      </c>
      <c r="E265" t="str">
        <f>LOOKUP(D265,Sheet2!$G$4:$H$9)</f>
        <v>126-150</v>
      </c>
      <c r="F265" s="1">
        <v>80</v>
      </c>
      <c r="G265" t="str">
        <f>LOOKUP(F265,Sheet2!$J$4:$K$8)</f>
        <v>80+</v>
      </c>
      <c r="H265" s="1">
        <v>15</v>
      </c>
      <c r="I265" t="str">
        <f>LOOKUP(H265,Sheet2!$M$4:$N$8)</f>
        <v>10-30</v>
      </c>
      <c r="J265" s="1">
        <v>0</v>
      </c>
      <c r="K265" t="str">
        <f>LOOKUP(J265,Sheet2!$P$4:$Q$9)</f>
        <v>Unknown</v>
      </c>
      <c r="L265" s="1">
        <v>32.4</v>
      </c>
      <c r="M265" t="str">
        <f>LOOKUP(L265,Sheet2!$S$4:$T$8)</f>
        <v>31-35</v>
      </c>
      <c r="N265" s="1">
        <v>0.2</v>
      </c>
      <c r="O265" t="str">
        <f>LOOKUP(N265,Sheet2!$V$4:$W$7)</f>
        <v>0.0 - 0.249</v>
      </c>
      <c r="P265" s="1">
        <v>63</v>
      </c>
      <c r="Q265" t="str">
        <f>LOOKUP(P265,Sheet2!$Z$4:$AA$7)</f>
        <v>46+</v>
      </c>
      <c r="R265" s="1">
        <v>0</v>
      </c>
      <c r="S265" t="str">
        <f>IF(R265=1,"Positive","Negative")</f>
        <v>Negative</v>
      </c>
      <c r="T265" s="1" t="str">
        <f>IFERROR(VLOOKUP(A265,[1]diabetes_Recognition!$A:$B,2,FALSE),"Not Sampled")</f>
        <v>Not Sampled</v>
      </c>
      <c r="U265" t="str">
        <f>IF(T265=1,"Positive",(IF(T265=0,"Negative","Not Sampled")))</f>
        <v>Not Sampled</v>
      </c>
      <c r="V265" s="1" t="str">
        <f>IF(U265="Not Sampled","Not Sampled",IF(S265=U265,"Accurate Prediction","Inaccurate Prediction"))</f>
        <v>Not Sampled</v>
      </c>
    </row>
    <row r="266" spans="1:22" x14ac:dyDescent="0.25">
      <c r="A266" s="1">
        <v>264</v>
      </c>
      <c r="B266" s="1">
        <v>4</v>
      </c>
      <c r="C266" s="1" t="str">
        <f>LOOKUP(B266,Sheet2!$D$4:$E$9)</f>
        <v>3-4</v>
      </c>
      <c r="D266" s="1">
        <v>123</v>
      </c>
      <c r="E266" t="str">
        <f>LOOKUP(D266,Sheet2!$G$4:$H$9)</f>
        <v>100-125</v>
      </c>
      <c r="F266" s="1">
        <v>62</v>
      </c>
      <c r="G266" t="str">
        <f>LOOKUP(F266,Sheet2!$J$4:$K$8)</f>
        <v>60-69</v>
      </c>
      <c r="H266" s="1">
        <v>0</v>
      </c>
      <c r="I266" t="str">
        <f>LOOKUP(H266,Sheet2!$M$4:$N$8)</f>
        <v>Unknown</v>
      </c>
      <c r="J266" s="1">
        <v>0</v>
      </c>
      <c r="K266" t="str">
        <f>LOOKUP(J266,Sheet2!$P$4:$Q$9)</f>
        <v>Unknown</v>
      </c>
      <c r="L266" s="1">
        <v>32</v>
      </c>
      <c r="M266" t="str">
        <f>LOOKUP(L266,Sheet2!$S$4:$T$8)</f>
        <v>31-35</v>
      </c>
      <c r="N266" s="1">
        <v>0.22600000000000001</v>
      </c>
      <c r="O266" t="str">
        <f>LOOKUP(N266,Sheet2!$V$4:$W$7)</f>
        <v>0.0 - 0.249</v>
      </c>
      <c r="P266" s="1">
        <v>35</v>
      </c>
      <c r="Q266" t="str">
        <f>LOOKUP(P266,Sheet2!$Z$4:$AA$7)</f>
        <v>26-35</v>
      </c>
      <c r="R266" s="1">
        <v>1</v>
      </c>
      <c r="S266" t="str">
        <f>IF(R266=1,"Positive","Negative")</f>
        <v>Positive</v>
      </c>
      <c r="T266" s="1">
        <f>IFERROR(VLOOKUP(A266,[1]diabetes_Recognition!$A:$B,2,FALSE),"Not Sampled")</f>
        <v>0</v>
      </c>
      <c r="U266" t="str">
        <f>IF(T266=1,"Positive",(IF(T266=0,"Negative","Not Sampled")))</f>
        <v>Negative</v>
      </c>
      <c r="V266" s="1" t="str">
        <f>IF(U266="Not Sampled","Not Sampled",IF(S266=U266,"Accurate Prediction","Inaccurate Prediction"))</f>
        <v>Inaccurate Prediction</v>
      </c>
    </row>
    <row r="267" spans="1:22" x14ac:dyDescent="0.25">
      <c r="A267" s="1">
        <v>265</v>
      </c>
      <c r="B267" s="1">
        <v>5</v>
      </c>
      <c r="C267" s="1" t="str">
        <f>LOOKUP(B267,Sheet2!$D$4:$E$9)</f>
        <v>5-7</v>
      </c>
      <c r="D267" s="1">
        <v>96</v>
      </c>
      <c r="E267" t="str">
        <f>LOOKUP(D267,Sheet2!$G$4:$H$9)</f>
        <v>1-99</v>
      </c>
      <c r="F267" s="1">
        <v>74</v>
      </c>
      <c r="G267" t="str">
        <f>LOOKUP(F267,Sheet2!$J$4:$K$8)</f>
        <v>70-79</v>
      </c>
      <c r="H267" s="1">
        <v>18</v>
      </c>
      <c r="I267" t="str">
        <f>LOOKUP(H267,Sheet2!$M$4:$N$8)</f>
        <v>10-30</v>
      </c>
      <c r="J267" s="1">
        <v>67</v>
      </c>
      <c r="K267" t="str">
        <f>LOOKUP(J267,Sheet2!$P$4:$Q$9)</f>
        <v>1-99</v>
      </c>
      <c r="L267" s="1">
        <v>33.6</v>
      </c>
      <c r="M267" t="str">
        <f>LOOKUP(L267,Sheet2!$S$4:$T$8)</f>
        <v>31-35</v>
      </c>
      <c r="N267" s="1">
        <v>0.997</v>
      </c>
      <c r="O267" t="str">
        <f>LOOKUP(N267,Sheet2!$V$4:$W$7)</f>
        <v>0.7+</v>
      </c>
      <c r="P267" s="1">
        <v>43</v>
      </c>
      <c r="Q267" t="str">
        <f>LOOKUP(P267,Sheet2!$Z$4:$AA$7)</f>
        <v>36-45</v>
      </c>
      <c r="R267" s="1">
        <v>0</v>
      </c>
      <c r="S267" t="str">
        <f>IF(R267=1,"Positive","Negative")</f>
        <v>Negative</v>
      </c>
      <c r="T267" s="1" t="str">
        <f>IFERROR(VLOOKUP(A267,[1]diabetes_Recognition!$A:$B,2,FALSE),"Not Sampled")</f>
        <v>Not Sampled</v>
      </c>
      <c r="U267" t="str">
        <f>IF(T267=1,"Positive",(IF(T267=0,"Negative","Not Sampled")))</f>
        <v>Not Sampled</v>
      </c>
      <c r="V267" s="1" t="str">
        <f>IF(U267="Not Sampled","Not Sampled",IF(S267=U267,"Accurate Prediction","Inaccurate Prediction"))</f>
        <v>Not Sampled</v>
      </c>
    </row>
    <row r="268" spans="1:22" x14ac:dyDescent="0.25">
      <c r="A268" s="1">
        <v>266</v>
      </c>
      <c r="B268" s="1">
        <v>0</v>
      </c>
      <c r="C268" s="1">
        <f>LOOKUP(B268,Sheet2!$D$4:$E$9)</f>
        <v>0</v>
      </c>
      <c r="D268" s="1">
        <v>138</v>
      </c>
      <c r="E268" t="str">
        <f>LOOKUP(D268,Sheet2!$G$4:$H$9)</f>
        <v>126-150</v>
      </c>
      <c r="F268" s="1">
        <v>0</v>
      </c>
      <c r="G268" t="str">
        <f>LOOKUP(F268,Sheet2!$J$4:$K$8)</f>
        <v>Unknown</v>
      </c>
      <c r="H268" s="1">
        <v>0</v>
      </c>
      <c r="I268" t="str">
        <f>LOOKUP(H268,Sheet2!$M$4:$N$8)</f>
        <v>Unknown</v>
      </c>
      <c r="J268" s="1">
        <v>0</v>
      </c>
      <c r="K268" t="str">
        <f>LOOKUP(J268,Sheet2!$P$4:$Q$9)</f>
        <v>Unknown</v>
      </c>
      <c r="L268" s="1">
        <v>36.299999999999997</v>
      </c>
      <c r="M268" t="str">
        <f>LOOKUP(L268,Sheet2!$S$4:$T$8)</f>
        <v>36+</v>
      </c>
      <c r="N268" s="1">
        <v>0.93300000000000005</v>
      </c>
      <c r="O268" t="str">
        <f>LOOKUP(N268,Sheet2!$V$4:$W$7)</f>
        <v>0.7+</v>
      </c>
      <c r="P268" s="1">
        <v>25</v>
      </c>
      <c r="Q268" t="str">
        <f>LOOKUP(P268,Sheet2!$Z$4:$AA$7)</f>
        <v>&lt;=25</v>
      </c>
      <c r="R268" s="1">
        <v>1</v>
      </c>
      <c r="S268" t="str">
        <f>IF(R268=1,"Positive","Negative")</f>
        <v>Positive</v>
      </c>
      <c r="T268" s="1" t="str">
        <f>IFERROR(VLOOKUP(A268,[1]diabetes_Recognition!$A:$B,2,FALSE),"Not Sampled")</f>
        <v>Not Sampled</v>
      </c>
      <c r="U268" t="str">
        <f>IF(T268=1,"Positive",(IF(T268=0,"Negative","Not Sampled")))</f>
        <v>Not Sampled</v>
      </c>
      <c r="V268" s="1" t="str">
        <f>IF(U268="Not Sampled","Not Sampled",IF(S268=U268,"Accurate Prediction","Inaccurate Prediction"))</f>
        <v>Not Sampled</v>
      </c>
    </row>
    <row r="269" spans="1:22" x14ac:dyDescent="0.25">
      <c r="A269" s="1">
        <v>267</v>
      </c>
      <c r="B269" s="1">
        <v>2</v>
      </c>
      <c r="C269" s="1">
        <f>LOOKUP(B269,Sheet2!$D$4:$E$9)</f>
        <v>2</v>
      </c>
      <c r="D269" s="1">
        <v>128</v>
      </c>
      <c r="E269" t="str">
        <f>LOOKUP(D269,Sheet2!$G$4:$H$9)</f>
        <v>126-150</v>
      </c>
      <c r="F269" s="1">
        <v>64</v>
      </c>
      <c r="G269" t="str">
        <f>LOOKUP(F269,Sheet2!$J$4:$K$8)</f>
        <v>60-69</v>
      </c>
      <c r="H269" s="1">
        <v>42</v>
      </c>
      <c r="I269" t="str">
        <f>LOOKUP(H269,Sheet2!$M$4:$N$8)</f>
        <v>40+</v>
      </c>
      <c r="J269" s="1">
        <v>0</v>
      </c>
      <c r="K269" t="str">
        <f>LOOKUP(J269,Sheet2!$P$4:$Q$9)</f>
        <v>Unknown</v>
      </c>
      <c r="L269" s="1">
        <v>40</v>
      </c>
      <c r="M269" t="str">
        <f>LOOKUP(L269,Sheet2!$S$4:$T$8)</f>
        <v>36+</v>
      </c>
      <c r="N269" s="1">
        <v>1.101</v>
      </c>
      <c r="O269" t="str">
        <f>LOOKUP(N269,Sheet2!$V$4:$W$7)</f>
        <v>0.7+</v>
      </c>
      <c r="P269" s="1">
        <v>24</v>
      </c>
      <c r="Q269" t="str">
        <f>LOOKUP(P269,Sheet2!$Z$4:$AA$7)</f>
        <v>&lt;=25</v>
      </c>
      <c r="R269" s="1">
        <v>0</v>
      </c>
      <c r="S269" t="str">
        <f>IF(R269=1,"Positive","Negative")</f>
        <v>Negative</v>
      </c>
      <c r="T269" s="1">
        <f>IFERROR(VLOOKUP(A269,[1]diabetes_Recognition!$A:$B,2,FALSE),"Not Sampled")</f>
        <v>1</v>
      </c>
      <c r="U269" t="str">
        <f>IF(T269=1,"Positive",(IF(T269=0,"Negative","Not Sampled")))</f>
        <v>Positive</v>
      </c>
      <c r="V269" s="1" t="str">
        <f>IF(U269="Not Sampled","Not Sampled",IF(S269=U269,"Accurate Prediction","Inaccurate Prediction"))</f>
        <v>Inaccurate Prediction</v>
      </c>
    </row>
    <row r="270" spans="1:22" x14ac:dyDescent="0.25">
      <c r="A270" s="1">
        <v>268</v>
      </c>
      <c r="B270" s="1">
        <v>0</v>
      </c>
      <c r="C270" s="1">
        <f>LOOKUP(B270,Sheet2!$D$4:$E$9)</f>
        <v>0</v>
      </c>
      <c r="D270" s="1">
        <v>102</v>
      </c>
      <c r="E270" t="str">
        <f>LOOKUP(D270,Sheet2!$G$4:$H$9)</f>
        <v>100-125</v>
      </c>
      <c r="F270" s="1">
        <v>52</v>
      </c>
      <c r="G270" t="str">
        <f>LOOKUP(F270,Sheet2!$J$4:$K$8)</f>
        <v>1-59</v>
      </c>
      <c r="H270" s="1">
        <v>0</v>
      </c>
      <c r="I270" t="str">
        <f>LOOKUP(H270,Sheet2!$M$4:$N$8)</f>
        <v>Unknown</v>
      </c>
      <c r="J270" s="1">
        <v>0</v>
      </c>
      <c r="K270" t="str">
        <f>LOOKUP(J270,Sheet2!$P$4:$Q$9)</f>
        <v>Unknown</v>
      </c>
      <c r="L270" s="1">
        <v>25.1</v>
      </c>
      <c r="M270" t="str">
        <f>LOOKUP(L270,Sheet2!$S$4:$T$8)</f>
        <v>1-25</v>
      </c>
      <c r="N270" s="1">
        <v>7.8E-2</v>
      </c>
      <c r="O270" t="str">
        <f>LOOKUP(N270,Sheet2!$V$4:$W$7)</f>
        <v>0.0 - 0.249</v>
      </c>
      <c r="P270" s="1">
        <v>21</v>
      </c>
      <c r="Q270" t="str">
        <f>LOOKUP(P270,Sheet2!$Z$4:$AA$7)</f>
        <v>&lt;=25</v>
      </c>
      <c r="R270" s="1">
        <v>0</v>
      </c>
      <c r="S270" t="str">
        <f>IF(R270=1,"Positive","Negative")</f>
        <v>Negative</v>
      </c>
      <c r="T270" s="1">
        <f>IFERROR(VLOOKUP(A270,[1]diabetes_Recognition!$A:$B,2,FALSE),"Not Sampled")</f>
        <v>0</v>
      </c>
      <c r="U270" t="str">
        <f>IF(T270=1,"Positive",(IF(T270=0,"Negative","Not Sampled")))</f>
        <v>Negative</v>
      </c>
      <c r="V270" s="1" t="str">
        <f>IF(U270="Not Sampled","Not Sampled",IF(S270=U270,"Accurate Prediction","Inaccurate Prediction"))</f>
        <v>Accurate Prediction</v>
      </c>
    </row>
    <row r="271" spans="1:22" x14ac:dyDescent="0.25">
      <c r="A271" s="1">
        <v>269</v>
      </c>
      <c r="B271" s="1">
        <v>2</v>
      </c>
      <c r="C271" s="1">
        <f>LOOKUP(B271,Sheet2!$D$4:$E$9)</f>
        <v>2</v>
      </c>
      <c r="D271" s="1">
        <v>146</v>
      </c>
      <c r="E271" t="str">
        <f>LOOKUP(D271,Sheet2!$G$4:$H$9)</f>
        <v>126-150</v>
      </c>
      <c r="F271" s="1">
        <v>0</v>
      </c>
      <c r="G271" t="str">
        <f>LOOKUP(F271,Sheet2!$J$4:$K$8)</f>
        <v>Unknown</v>
      </c>
      <c r="H271" s="1">
        <v>0</v>
      </c>
      <c r="I271" t="str">
        <f>LOOKUP(H271,Sheet2!$M$4:$N$8)</f>
        <v>Unknown</v>
      </c>
      <c r="J271" s="1">
        <v>0</v>
      </c>
      <c r="K271" t="str">
        <f>LOOKUP(J271,Sheet2!$P$4:$Q$9)</f>
        <v>Unknown</v>
      </c>
      <c r="L271" s="1">
        <v>27.5</v>
      </c>
      <c r="M271" t="str">
        <f>LOOKUP(L271,Sheet2!$S$4:$T$8)</f>
        <v>26-30</v>
      </c>
      <c r="N271" s="1">
        <v>0.24</v>
      </c>
      <c r="O271" t="str">
        <f>LOOKUP(N271,Sheet2!$V$4:$W$7)</f>
        <v>0.0 - 0.249</v>
      </c>
      <c r="P271" s="1">
        <v>28</v>
      </c>
      <c r="Q271" t="str">
        <f>LOOKUP(P271,Sheet2!$Z$4:$AA$7)</f>
        <v>26-35</v>
      </c>
      <c r="R271" s="1">
        <v>1</v>
      </c>
      <c r="S271" t="str">
        <f>IF(R271=1,"Positive","Negative")</f>
        <v>Positive</v>
      </c>
      <c r="T271" s="1" t="str">
        <f>IFERROR(VLOOKUP(A271,[1]diabetes_Recognition!$A:$B,2,FALSE),"Not Sampled")</f>
        <v>Not Sampled</v>
      </c>
      <c r="U271" t="str">
        <f>IF(T271=1,"Positive",(IF(T271=0,"Negative","Not Sampled")))</f>
        <v>Not Sampled</v>
      </c>
      <c r="V271" s="1" t="str">
        <f>IF(U271="Not Sampled","Not Sampled",IF(S271=U271,"Accurate Prediction","Inaccurate Prediction"))</f>
        <v>Not Sampled</v>
      </c>
    </row>
    <row r="272" spans="1:22" x14ac:dyDescent="0.25">
      <c r="A272" s="1">
        <v>270</v>
      </c>
      <c r="B272" s="1">
        <v>10</v>
      </c>
      <c r="C272" s="1" t="str">
        <f>LOOKUP(B272,Sheet2!$D$4:$E$9)</f>
        <v>8+</v>
      </c>
      <c r="D272" s="1">
        <v>101</v>
      </c>
      <c r="E272" t="str">
        <f>LOOKUP(D272,Sheet2!$G$4:$H$9)</f>
        <v>100-125</v>
      </c>
      <c r="F272" s="1">
        <v>86</v>
      </c>
      <c r="G272" t="str">
        <f>LOOKUP(F272,Sheet2!$J$4:$K$8)</f>
        <v>80+</v>
      </c>
      <c r="H272" s="1">
        <v>37</v>
      </c>
      <c r="I272" t="str">
        <f>LOOKUP(H272,Sheet2!$M$4:$N$8)</f>
        <v>30-39</v>
      </c>
      <c r="J272" s="1">
        <v>0</v>
      </c>
      <c r="K272" t="str">
        <f>LOOKUP(J272,Sheet2!$P$4:$Q$9)</f>
        <v>Unknown</v>
      </c>
      <c r="L272" s="1">
        <v>45.6</v>
      </c>
      <c r="M272" t="str">
        <f>LOOKUP(L272,Sheet2!$S$4:$T$8)</f>
        <v>36+</v>
      </c>
      <c r="N272" s="1">
        <v>1.1359999999999999</v>
      </c>
      <c r="O272" t="str">
        <f>LOOKUP(N272,Sheet2!$V$4:$W$7)</f>
        <v>0.7+</v>
      </c>
      <c r="P272" s="1">
        <v>38</v>
      </c>
      <c r="Q272" t="str">
        <f>LOOKUP(P272,Sheet2!$Z$4:$AA$7)</f>
        <v>36-45</v>
      </c>
      <c r="R272" s="1">
        <v>1</v>
      </c>
      <c r="S272" t="str">
        <f>IF(R272=1,"Positive","Negative")</f>
        <v>Positive</v>
      </c>
      <c r="T272" s="1">
        <f>IFERROR(VLOOKUP(A272,[1]diabetes_Recognition!$A:$B,2,FALSE),"Not Sampled")</f>
        <v>1</v>
      </c>
      <c r="U272" t="str">
        <f>IF(T272=1,"Positive",(IF(T272=0,"Negative","Not Sampled")))</f>
        <v>Positive</v>
      </c>
      <c r="V272" s="1" t="str">
        <f>IF(U272="Not Sampled","Not Sampled",IF(S272=U272,"Accurate Prediction","Inaccurate Prediction"))</f>
        <v>Accurate Prediction</v>
      </c>
    </row>
    <row r="273" spans="1:22" x14ac:dyDescent="0.25">
      <c r="A273" s="1">
        <v>271</v>
      </c>
      <c r="B273" s="1">
        <v>2</v>
      </c>
      <c r="C273" s="1">
        <f>LOOKUP(B273,Sheet2!$D$4:$E$9)</f>
        <v>2</v>
      </c>
      <c r="D273" s="1">
        <v>108</v>
      </c>
      <c r="E273" t="str">
        <f>LOOKUP(D273,Sheet2!$G$4:$H$9)</f>
        <v>100-125</v>
      </c>
      <c r="F273" s="1">
        <v>62</v>
      </c>
      <c r="G273" t="str">
        <f>LOOKUP(F273,Sheet2!$J$4:$K$8)</f>
        <v>60-69</v>
      </c>
      <c r="H273" s="1">
        <v>32</v>
      </c>
      <c r="I273" t="str">
        <f>LOOKUP(H273,Sheet2!$M$4:$N$8)</f>
        <v>30-39</v>
      </c>
      <c r="J273" s="1">
        <v>56</v>
      </c>
      <c r="K273" t="str">
        <f>LOOKUP(J273,Sheet2!$P$4:$Q$9)</f>
        <v>1-99</v>
      </c>
      <c r="L273" s="1">
        <v>25.2</v>
      </c>
      <c r="M273" t="str">
        <f>LOOKUP(L273,Sheet2!$S$4:$T$8)</f>
        <v>1-25</v>
      </c>
      <c r="N273" s="1">
        <v>0.128</v>
      </c>
      <c r="O273" t="str">
        <f>LOOKUP(N273,Sheet2!$V$4:$W$7)</f>
        <v>0.0 - 0.249</v>
      </c>
      <c r="P273" s="1">
        <v>21</v>
      </c>
      <c r="Q273" t="str">
        <f>LOOKUP(P273,Sheet2!$Z$4:$AA$7)</f>
        <v>&lt;=25</v>
      </c>
      <c r="R273" s="1">
        <v>0</v>
      </c>
      <c r="S273" t="str">
        <f>IF(R273=1,"Positive","Negative")</f>
        <v>Negative</v>
      </c>
      <c r="T273" s="1" t="str">
        <f>IFERROR(VLOOKUP(A273,[1]diabetes_Recognition!$A:$B,2,FALSE),"Not Sampled")</f>
        <v>Not Sampled</v>
      </c>
      <c r="U273" t="str">
        <f>IF(T273=1,"Positive",(IF(T273=0,"Negative","Not Sampled")))</f>
        <v>Not Sampled</v>
      </c>
      <c r="V273" s="1" t="str">
        <f>IF(U273="Not Sampled","Not Sampled",IF(S273=U273,"Accurate Prediction","Inaccurate Prediction"))</f>
        <v>Not Sampled</v>
      </c>
    </row>
    <row r="274" spans="1:22" x14ac:dyDescent="0.25">
      <c r="A274" s="1">
        <v>272</v>
      </c>
      <c r="B274" s="1">
        <v>3</v>
      </c>
      <c r="C274" s="1" t="str">
        <f>LOOKUP(B274,Sheet2!$D$4:$E$9)</f>
        <v>3-4</v>
      </c>
      <c r="D274" s="1">
        <v>122</v>
      </c>
      <c r="E274" t="str">
        <f>LOOKUP(D274,Sheet2!$G$4:$H$9)</f>
        <v>100-125</v>
      </c>
      <c r="F274" s="1">
        <v>78</v>
      </c>
      <c r="G274" t="str">
        <f>LOOKUP(F274,Sheet2!$J$4:$K$8)</f>
        <v>70-79</v>
      </c>
      <c r="H274" s="1">
        <v>0</v>
      </c>
      <c r="I274" t="str">
        <f>LOOKUP(H274,Sheet2!$M$4:$N$8)</f>
        <v>Unknown</v>
      </c>
      <c r="J274" s="1">
        <v>0</v>
      </c>
      <c r="K274" t="str">
        <f>LOOKUP(J274,Sheet2!$P$4:$Q$9)</f>
        <v>Unknown</v>
      </c>
      <c r="L274" s="1">
        <v>23</v>
      </c>
      <c r="M274" t="str">
        <f>LOOKUP(L274,Sheet2!$S$4:$T$8)</f>
        <v>1-25</v>
      </c>
      <c r="N274" s="1">
        <v>0.254</v>
      </c>
      <c r="O274" t="str">
        <f>LOOKUP(N274,Sheet2!$V$4:$W$7)</f>
        <v>0.25 - 0.39</v>
      </c>
      <c r="P274" s="1">
        <v>40</v>
      </c>
      <c r="Q274" t="str">
        <f>LOOKUP(P274,Sheet2!$Z$4:$AA$7)</f>
        <v>36-45</v>
      </c>
      <c r="R274" s="1">
        <v>0</v>
      </c>
      <c r="S274" t="str">
        <f>IF(R274=1,"Positive","Negative")</f>
        <v>Negative</v>
      </c>
      <c r="T274" s="1" t="str">
        <f>IFERROR(VLOOKUP(A274,[1]diabetes_Recognition!$A:$B,2,FALSE),"Not Sampled")</f>
        <v>Not Sampled</v>
      </c>
      <c r="U274" t="str">
        <f>IF(T274=1,"Positive",(IF(T274=0,"Negative","Not Sampled")))</f>
        <v>Not Sampled</v>
      </c>
      <c r="V274" s="1" t="str">
        <f>IF(U274="Not Sampled","Not Sampled",IF(S274=U274,"Accurate Prediction","Inaccurate Prediction"))</f>
        <v>Not Sampled</v>
      </c>
    </row>
    <row r="275" spans="1:22" x14ac:dyDescent="0.25">
      <c r="A275" s="1">
        <v>273</v>
      </c>
      <c r="B275" s="1">
        <v>1</v>
      </c>
      <c r="C275" s="1">
        <f>LOOKUP(B275,Sheet2!$D$4:$E$9)</f>
        <v>1</v>
      </c>
      <c r="D275" s="1">
        <v>71</v>
      </c>
      <c r="E275" t="str">
        <f>LOOKUP(D275,Sheet2!$G$4:$H$9)</f>
        <v>1-99</v>
      </c>
      <c r="F275" s="1">
        <v>78</v>
      </c>
      <c r="G275" t="str">
        <f>LOOKUP(F275,Sheet2!$J$4:$K$8)</f>
        <v>70-79</v>
      </c>
      <c r="H275" s="1">
        <v>50</v>
      </c>
      <c r="I275" t="str">
        <f>LOOKUP(H275,Sheet2!$M$4:$N$8)</f>
        <v>40+</v>
      </c>
      <c r="J275" s="1">
        <v>45</v>
      </c>
      <c r="K275" t="str">
        <f>LOOKUP(J275,Sheet2!$P$4:$Q$9)</f>
        <v>1-99</v>
      </c>
      <c r="L275" s="1">
        <v>33.200000000000003</v>
      </c>
      <c r="M275" t="str">
        <f>LOOKUP(L275,Sheet2!$S$4:$T$8)</f>
        <v>31-35</v>
      </c>
      <c r="N275" s="1">
        <v>0.42199999999999999</v>
      </c>
      <c r="O275" t="str">
        <f>LOOKUP(N275,Sheet2!$V$4:$W$7)</f>
        <v>0.4 - 0.69</v>
      </c>
      <c r="P275" s="1">
        <v>21</v>
      </c>
      <c r="Q275" t="str">
        <f>LOOKUP(P275,Sheet2!$Z$4:$AA$7)</f>
        <v>&lt;=25</v>
      </c>
      <c r="R275" s="1">
        <v>0</v>
      </c>
      <c r="S275" t="str">
        <f>IF(R275=1,"Positive","Negative")</f>
        <v>Negative</v>
      </c>
      <c r="T275" s="1" t="str">
        <f>IFERROR(VLOOKUP(A275,[1]diabetes_Recognition!$A:$B,2,FALSE),"Not Sampled")</f>
        <v>Not Sampled</v>
      </c>
      <c r="U275" t="str">
        <f>IF(T275=1,"Positive",(IF(T275=0,"Negative","Not Sampled")))</f>
        <v>Not Sampled</v>
      </c>
      <c r="V275" s="1" t="str">
        <f>IF(U275="Not Sampled","Not Sampled",IF(S275=U275,"Accurate Prediction","Inaccurate Prediction"))</f>
        <v>Not Sampled</v>
      </c>
    </row>
    <row r="276" spans="1:22" x14ac:dyDescent="0.25">
      <c r="A276" s="1">
        <v>274</v>
      </c>
      <c r="B276" s="1">
        <v>13</v>
      </c>
      <c r="C276" s="1" t="str">
        <f>LOOKUP(B276,Sheet2!$D$4:$E$9)</f>
        <v>8+</v>
      </c>
      <c r="D276" s="1">
        <v>106</v>
      </c>
      <c r="E276" t="str">
        <f>LOOKUP(D276,Sheet2!$G$4:$H$9)</f>
        <v>100-125</v>
      </c>
      <c r="F276" s="1">
        <v>70</v>
      </c>
      <c r="G276" t="str">
        <f>LOOKUP(F276,Sheet2!$J$4:$K$8)</f>
        <v>70-79</v>
      </c>
      <c r="H276" s="1">
        <v>0</v>
      </c>
      <c r="I276" t="str">
        <f>LOOKUP(H276,Sheet2!$M$4:$N$8)</f>
        <v>Unknown</v>
      </c>
      <c r="J276" s="1">
        <v>0</v>
      </c>
      <c r="K276" t="str">
        <f>LOOKUP(J276,Sheet2!$P$4:$Q$9)</f>
        <v>Unknown</v>
      </c>
      <c r="L276" s="1">
        <v>34.200000000000003</v>
      </c>
      <c r="M276" t="str">
        <f>LOOKUP(L276,Sheet2!$S$4:$T$8)</f>
        <v>31-35</v>
      </c>
      <c r="N276" s="1">
        <v>0.251</v>
      </c>
      <c r="O276" t="str">
        <f>LOOKUP(N276,Sheet2!$V$4:$W$7)</f>
        <v>0.25 - 0.39</v>
      </c>
      <c r="P276" s="1">
        <v>52</v>
      </c>
      <c r="Q276" t="str">
        <f>LOOKUP(P276,Sheet2!$Z$4:$AA$7)</f>
        <v>46+</v>
      </c>
      <c r="R276" s="1">
        <v>0</v>
      </c>
      <c r="S276" t="str">
        <f>IF(R276=1,"Positive","Negative")</f>
        <v>Negative</v>
      </c>
      <c r="T276" s="1" t="str">
        <f>IFERROR(VLOOKUP(A276,[1]diabetes_Recognition!$A:$B,2,FALSE),"Not Sampled")</f>
        <v>Not Sampled</v>
      </c>
      <c r="U276" t="str">
        <f>IF(T276=1,"Positive",(IF(T276=0,"Negative","Not Sampled")))</f>
        <v>Not Sampled</v>
      </c>
      <c r="V276" s="1" t="str">
        <f>IF(U276="Not Sampled","Not Sampled",IF(S276=U276,"Accurate Prediction","Inaccurate Prediction"))</f>
        <v>Not Sampled</v>
      </c>
    </row>
    <row r="277" spans="1:22" x14ac:dyDescent="0.25">
      <c r="A277" s="1">
        <v>275</v>
      </c>
      <c r="B277" s="1">
        <v>2</v>
      </c>
      <c r="C277" s="1">
        <f>LOOKUP(B277,Sheet2!$D$4:$E$9)</f>
        <v>2</v>
      </c>
      <c r="D277" s="1">
        <v>100</v>
      </c>
      <c r="E277" t="str">
        <f>LOOKUP(D277,Sheet2!$G$4:$H$9)</f>
        <v>100-125</v>
      </c>
      <c r="F277" s="1">
        <v>70</v>
      </c>
      <c r="G277" t="str">
        <f>LOOKUP(F277,Sheet2!$J$4:$K$8)</f>
        <v>70-79</v>
      </c>
      <c r="H277" s="1">
        <v>52</v>
      </c>
      <c r="I277" t="str">
        <f>LOOKUP(H277,Sheet2!$M$4:$N$8)</f>
        <v>40+</v>
      </c>
      <c r="J277" s="1">
        <v>57</v>
      </c>
      <c r="K277" t="str">
        <f>LOOKUP(J277,Sheet2!$P$4:$Q$9)</f>
        <v>1-99</v>
      </c>
      <c r="L277" s="1">
        <v>40.5</v>
      </c>
      <c r="M277" t="str">
        <f>LOOKUP(L277,Sheet2!$S$4:$T$8)</f>
        <v>36+</v>
      </c>
      <c r="N277" s="1">
        <v>0.67700000000000005</v>
      </c>
      <c r="O277" t="str">
        <f>LOOKUP(N277,Sheet2!$V$4:$W$7)</f>
        <v>0.4 - 0.69</v>
      </c>
      <c r="P277" s="1">
        <v>25</v>
      </c>
      <c r="Q277" t="str">
        <f>LOOKUP(P277,Sheet2!$Z$4:$AA$7)</f>
        <v>&lt;=25</v>
      </c>
      <c r="R277" s="1">
        <v>0</v>
      </c>
      <c r="S277" t="str">
        <f>IF(R277=1,"Positive","Negative")</f>
        <v>Negative</v>
      </c>
      <c r="T277" s="1">
        <f>IFERROR(VLOOKUP(A277,[1]diabetes_Recognition!$A:$B,2,FALSE),"Not Sampled")</f>
        <v>0</v>
      </c>
      <c r="U277" t="str">
        <f>IF(T277=1,"Positive",(IF(T277=0,"Negative","Not Sampled")))</f>
        <v>Negative</v>
      </c>
      <c r="V277" s="1" t="str">
        <f>IF(U277="Not Sampled","Not Sampled",IF(S277=U277,"Accurate Prediction","Inaccurate Prediction"))</f>
        <v>Accurate Prediction</v>
      </c>
    </row>
    <row r="278" spans="1:22" x14ac:dyDescent="0.25">
      <c r="A278" s="1">
        <v>276</v>
      </c>
      <c r="B278" s="1">
        <v>7</v>
      </c>
      <c r="C278" s="1" t="str">
        <f>LOOKUP(B278,Sheet2!$D$4:$E$9)</f>
        <v>5-7</v>
      </c>
      <c r="D278" s="1">
        <v>106</v>
      </c>
      <c r="E278" t="str">
        <f>LOOKUP(D278,Sheet2!$G$4:$H$9)</f>
        <v>100-125</v>
      </c>
      <c r="F278" s="1">
        <v>60</v>
      </c>
      <c r="G278" t="str">
        <f>LOOKUP(F278,Sheet2!$J$4:$K$8)</f>
        <v>60-69</v>
      </c>
      <c r="H278" s="1">
        <v>24</v>
      </c>
      <c r="I278" t="str">
        <f>LOOKUP(H278,Sheet2!$M$4:$N$8)</f>
        <v>10-30</v>
      </c>
      <c r="J278" s="1">
        <v>0</v>
      </c>
      <c r="K278" t="str">
        <f>LOOKUP(J278,Sheet2!$P$4:$Q$9)</f>
        <v>Unknown</v>
      </c>
      <c r="L278" s="1">
        <v>26.5</v>
      </c>
      <c r="M278" t="str">
        <f>LOOKUP(L278,Sheet2!$S$4:$T$8)</f>
        <v>26-30</v>
      </c>
      <c r="N278" s="1">
        <v>0.29599999999999999</v>
      </c>
      <c r="O278" t="str">
        <f>LOOKUP(N278,Sheet2!$V$4:$W$7)</f>
        <v>0.25 - 0.39</v>
      </c>
      <c r="P278" s="1">
        <v>29</v>
      </c>
      <c r="Q278" t="str">
        <f>LOOKUP(P278,Sheet2!$Z$4:$AA$7)</f>
        <v>26-35</v>
      </c>
      <c r="R278" s="1">
        <v>1</v>
      </c>
      <c r="S278" t="str">
        <f>IF(R278=1,"Positive","Negative")</f>
        <v>Positive</v>
      </c>
      <c r="T278" s="1" t="str">
        <f>IFERROR(VLOOKUP(A278,[1]diabetes_Recognition!$A:$B,2,FALSE),"Not Sampled")</f>
        <v>Not Sampled</v>
      </c>
      <c r="U278" t="str">
        <f>IF(T278=1,"Positive",(IF(T278=0,"Negative","Not Sampled")))</f>
        <v>Not Sampled</v>
      </c>
      <c r="V278" s="1" t="str">
        <f>IF(U278="Not Sampled","Not Sampled",IF(S278=U278,"Accurate Prediction","Inaccurate Prediction"))</f>
        <v>Not Sampled</v>
      </c>
    </row>
    <row r="279" spans="1:22" x14ac:dyDescent="0.25">
      <c r="A279" s="1">
        <v>277</v>
      </c>
      <c r="B279" s="1">
        <v>0</v>
      </c>
      <c r="C279" s="1">
        <f>LOOKUP(B279,Sheet2!$D$4:$E$9)</f>
        <v>0</v>
      </c>
      <c r="D279" s="1">
        <v>104</v>
      </c>
      <c r="E279" t="str">
        <f>LOOKUP(D279,Sheet2!$G$4:$H$9)</f>
        <v>100-125</v>
      </c>
      <c r="F279" s="1">
        <v>64</v>
      </c>
      <c r="G279" t="str">
        <f>LOOKUP(F279,Sheet2!$J$4:$K$8)</f>
        <v>60-69</v>
      </c>
      <c r="H279" s="1">
        <v>23</v>
      </c>
      <c r="I279" t="str">
        <f>LOOKUP(H279,Sheet2!$M$4:$N$8)</f>
        <v>10-30</v>
      </c>
      <c r="J279" s="1">
        <v>116</v>
      </c>
      <c r="K279" t="str">
        <f>LOOKUP(J279,Sheet2!$P$4:$Q$9)</f>
        <v>100-199</v>
      </c>
      <c r="L279" s="1">
        <v>27.8</v>
      </c>
      <c r="M279" t="str">
        <f>LOOKUP(L279,Sheet2!$S$4:$T$8)</f>
        <v>26-30</v>
      </c>
      <c r="N279" s="1">
        <v>0.45400000000000001</v>
      </c>
      <c r="O279" t="str">
        <f>LOOKUP(N279,Sheet2!$V$4:$W$7)</f>
        <v>0.4 - 0.69</v>
      </c>
      <c r="P279" s="1">
        <v>23</v>
      </c>
      <c r="Q279" t="str">
        <f>LOOKUP(P279,Sheet2!$Z$4:$AA$7)</f>
        <v>&lt;=25</v>
      </c>
      <c r="R279" s="1">
        <v>0</v>
      </c>
      <c r="S279" t="str">
        <f>IF(R279=1,"Positive","Negative")</f>
        <v>Negative</v>
      </c>
      <c r="T279" s="1" t="str">
        <f>IFERROR(VLOOKUP(A279,[1]diabetes_Recognition!$A:$B,2,FALSE),"Not Sampled")</f>
        <v>Not Sampled</v>
      </c>
      <c r="U279" t="str">
        <f>IF(T279=1,"Positive",(IF(T279=0,"Negative","Not Sampled")))</f>
        <v>Not Sampled</v>
      </c>
      <c r="V279" s="1" t="str">
        <f>IF(U279="Not Sampled","Not Sampled",IF(S279=U279,"Accurate Prediction","Inaccurate Prediction"))</f>
        <v>Not Sampled</v>
      </c>
    </row>
    <row r="280" spans="1:22" x14ac:dyDescent="0.25">
      <c r="A280" s="1">
        <v>278</v>
      </c>
      <c r="B280" s="1">
        <v>5</v>
      </c>
      <c r="C280" s="1" t="str">
        <f>LOOKUP(B280,Sheet2!$D$4:$E$9)</f>
        <v>5-7</v>
      </c>
      <c r="D280" s="1">
        <v>114</v>
      </c>
      <c r="E280" t="str">
        <f>LOOKUP(D280,Sheet2!$G$4:$H$9)</f>
        <v>100-125</v>
      </c>
      <c r="F280" s="1">
        <v>74</v>
      </c>
      <c r="G280" t="str">
        <f>LOOKUP(F280,Sheet2!$J$4:$K$8)</f>
        <v>70-79</v>
      </c>
      <c r="H280" s="1">
        <v>0</v>
      </c>
      <c r="I280" t="str">
        <f>LOOKUP(H280,Sheet2!$M$4:$N$8)</f>
        <v>Unknown</v>
      </c>
      <c r="J280" s="1">
        <v>0</v>
      </c>
      <c r="K280" t="str">
        <f>LOOKUP(J280,Sheet2!$P$4:$Q$9)</f>
        <v>Unknown</v>
      </c>
      <c r="L280" s="1">
        <v>24.9</v>
      </c>
      <c r="M280" t="str">
        <f>LOOKUP(L280,Sheet2!$S$4:$T$8)</f>
        <v>1-25</v>
      </c>
      <c r="N280" s="1">
        <v>0.74399999999999999</v>
      </c>
      <c r="O280" t="str">
        <f>LOOKUP(N280,Sheet2!$V$4:$W$7)</f>
        <v>0.7+</v>
      </c>
      <c r="P280" s="1">
        <v>57</v>
      </c>
      <c r="Q280" t="str">
        <f>LOOKUP(P280,Sheet2!$Z$4:$AA$7)</f>
        <v>46+</v>
      </c>
      <c r="R280" s="1">
        <v>0</v>
      </c>
      <c r="S280" t="str">
        <f>IF(R280=1,"Positive","Negative")</f>
        <v>Negative</v>
      </c>
      <c r="T280" s="1" t="str">
        <f>IFERROR(VLOOKUP(A280,[1]diabetes_Recognition!$A:$B,2,FALSE),"Not Sampled")</f>
        <v>Not Sampled</v>
      </c>
      <c r="U280" t="str">
        <f>IF(T280=1,"Positive",(IF(T280=0,"Negative","Not Sampled")))</f>
        <v>Not Sampled</v>
      </c>
      <c r="V280" s="1" t="str">
        <f>IF(U280="Not Sampled","Not Sampled",IF(S280=U280,"Accurate Prediction","Inaccurate Prediction"))</f>
        <v>Not Sampled</v>
      </c>
    </row>
    <row r="281" spans="1:22" x14ac:dyDescent="0.25">
      <c r="A281" s="1">
        <v>279</v>
      </c>
      <c r="B281" s="1">
        <v>2</v>
      </c>
      <c r="C281" s="1">
        <f>LOOKUP(B281,Sheet2!$D$4:$E$9)</f>
        <v>2</v>
      </c>
      <c r="D281" s="1">
        <v>108</v>
      </c>
      <c r="E281" t="str">
        <f>LOOKUP(D281,Sheet2!$G$4:$H$9)</f>
        <v>100-125</v>
      </c>
      <c r="F281" s="1">
        <v>62</v>
      </c>
      <c r="G281" t="str">
        <f>LOOKUP(F281,Sheet2!$J$4:$K$8)</f>
        <v>60-69</v>
      </c>
      <c r="H281" s="1">
        <v>10</v>
      </c>
      <c r="I281" t="str">
        <f>LOOKUP(H281,Sheet2!$M$4:$N$8)</f>
        <v>10-30</v>
      </c>
      <c r="J281" s="1">
        <v>278</v>
      </c>
      <c r="K281" t="str">
        <f>LOOKUP(J281,Sheet2!$P$4:$Q$9)</f>
        <v>200-399</v>
      </c>
      <c r="L281" s="1">
        <v>25.3</v>
      </c>
      <c r="M281" t="str">
        <f>LOOKUP(L281,Sheet2!$S$4:$T$8)</f>
        <v>1-25</v>
      </c>
      <c r="N281" s="1">
        <v>0.88100000000000001</v>
      </c>
      <c r="O281" t="str">
        <f>LOOKUP(N281,Sheet2!$V$4:$W$7)</f>
        <v>0.7+</v>
      </c>
      <c r="P281" s="1">
        <v>22</v>
      </c>
      <c r="Q281" t="str">
        <f>LOOKUP(P281,Sheet2!$Z$4:$AA$7)</f>
        <v>&lt;=25</v>
      </c>
      <c r="R281" s="1">
        <v>0</v>
      </c>
      <c r="S281" t="str">
        <f>IF(R281=1,"Positive","Negative")</f>
        <v>Negative</v>
      </c>
      <c r="T281" s="1" t="str">
        <f>IFERROR(VLOOKUP(A281,[1]diabetes_Recognition!$A:$B,2,FALSE),"Not Sampled")</f>
        <v>Not Sampled</v>
      </c>
      <c r="U281" t="str">
        <f>IF(T281=1,"Positive",(IF(T281=0,"Negative","Not Sampled")))</f>
        <v>Not Sampled</v>
      </c>
      <c r="V281" s="1" t="str">
        <f>IF(U281="Not Sampled","Not Sampled",IF(S281=U281,"Accurate Prediction","Inaccurate Prediction"))</f>
        <v>Not Sampled</v>
      </c>
    </row>
    <row r="282" spans="1:22" x14ac:dyDescent="0.25">
      <c r="A282" s="1">
        <v>280</v>
      </c>
      <c r="B282" s="1">
        <v>0</v>
      </c>
      <c r="C282" s="1">
        <f>LOOKUP(B282,Sheet2!$D$4:$E$9)</f>
        <v>0</v>
      </c>
      <c r="D282" s="1">
        <v>146</v>
      </c>
      <c r="E282" t="str">
        <f>LOOKUP(D282,Sheet2!$G$4:$H$9)</f>
        <v>126-150</v>
      </c>
      <c r="F282" s="1">
        <v>70</v>
      </c>
      <c r="G282" t="str">
        <f>LOOKUP(F282,Sheet2!$J$4:$K$8)</f>
        <v>70-79</v>
      </c>
      <c r="H282" s="1">
        <v>0</v>
      </c>
      <c r="I282" t="str">
        <f>LOOKUP(H282,Sheet2!$M$4:$N$8)</f>
        <v>Unknown</v>
      </c>
      <c r="J282" s="1">
        <v>0</v>
      </c>
      <c r="K282" t="str">
        <f>LOOKUP(J282,Sheet2!$P$4:$Q$9)</f>
        <v>Unknown</v>
      </c>
      <c r="L282" s="1">
        <v>37.9</v>
      </c>
      <c r="M282" t="str">
        <f>LOOKUP(L282,Sheet2!$S$4:$T$8)</f>
        <v>36+</v>
      </c>
      <c r="N282" s="1">
        <v>0.33400000000000002</v>
      </c>
      <c r="O282" t="str">
        <f>LOOKUP(N282,Sheet2!$V$4:$W$7)</f>
        <v>0.25 - 0.39</v>
      </c>
      <c r="P282" s="1">
        <v>28</v>
      </c>
      <c r="Q282" t="str">
        <f>LOOKUP(P282,Sheet2!$Z$4:$AA$7)</f>
        <v>26-35</v>
      </c>
      <c r="R282" s="1">
        <v>1</v>
      </c>
      <c r="S282" t="str">
        <f>IF(R282=1,"Positive","Negative")</f>
        <v>Positive</v>
      </c>
      <c r="T282" s="1" t="str">
        <f>IFERROR(VLOOKUP(A282,[1]diabetes_Recognition!$A:$B,2,FALSE),"Not Sampled")</f>
        <v>Not Sampled</v>
      </c>
      <c r="U282" t="str">
        <f>IF(T282=1,"Positive",(IF(T282=0,"Negative","Not Sampled")))</f>
        <v>Not Sampled</v>
      </c>
      <c r="V282" s="1" t="str">
        <f>IF(U282="Not Sampled","Not Sampled",IF(S282=U282,"Accurate Prediction","Inaccurate Prediction"))</f>
        <v>Not Sampled</v>
      </c>
    </row>
    <row r="283" spans="1:22" x14ac:dyDescent="0.25">
      <c r="A283" s="1">
        <v>281</v>
      </c>
      <c r="B283" s="1">
        <v>10</v>
      </c>
      <c r="C283" s="1" t="str">
        <f>LOOKUP(B283,Sheet2!$D$4:$E$9)</f>
        <v>8+</v>
      </c>
      <c r="D283" s="1">
        <v>129</v>
      </c>
      <c r="E283" t="str">
        <f>LOOKUP(D283,Sheet2!$G$4:$H$9)</f>
        <v>126-150</v>
      </c>
      <c r="F283" s="1">
        <v>76</v>
      </c>
      <c r="G283" t="str">
        <f>LOOKUP(F283,Sheet2!$J$4:$K$8)</f>
        <v>70-79</v>
      </c>
      <c r="H283" s="1">
        <v>28</v>
      </c>
      <c r="I283" t="str">
        <f>LOOKUP(H283,Sheet2!$M$4:$N$8)</f>
        <v>10-30</v>
      </c>
      <c r="J283" s="1">
        <v>122</v>
      </c>
      <c r="K283" t="str">
        <f>LOOKUP(J283,Sheet2!$P$4:$Q$9)</f>
        <v>100-199</v>
      </c>
      <c r="L283" s="1">
        <v>35.9</v>
      </c>
      <c r="M283" t="str">
        <f>LOOKUP(L283,Sheet2!$S$4:$T$8)</f>
        <v>31-35</v>
      </c>
      <c r="N283" s="1">
        <v>0.28000000000000003</v>
      </c>
      <c r="O283" t="str">
        <f>LOOKUP(N283,Sheet2!$V$4:$W$7)</f>
        <v>0.25 - 0.39</v>
      </c>
      <c r="P283" s="1">
        <v>39</v>
      </c>
      <c r="Q283" t="str">
        <f>LOOKUP(P283,Sheet2!$Z$4:$AA$7)</f>
        <v>36-45</v>
      </c>
      <c r="R283" s="1">
        <v>0</v>
      </c>
      <c r="S283" t="str">
        <f>IF(R283=1,"Positive","Negative")</f>
        <v>Negative</v>
      </c>
      <c r="T283" s="1">
        <f>IFERROR(VLOOKUP(A283,[1]diabetes_Recognition!$A:$B,2,FALSE),"Not Sampled")</f>
        <v>1</v>
      </c>
      <c r="U283" t="str">
        <f>IF(T283=1,"Positive",(IF(T283=0,"Negative","Not Sampled")))</f>
        <v>Positive</v>
      </c>
      <c r="V283" s="1" t="str">
        <f>IF(U283="Not Sampled","Not Sampled",IF(S283=U283,"Accurate Prediction","Inaccurate Prediction"))</f>
        <v>Inaccurate Prediction</v>
      </c>
    </row>
    <row r="284" spans="1:22" x14ac:dyDescent="0.25">
      <c r="A284" s="1">
        <v>282</v>
      </c>
      <c r="B284" s="1">
        <v>7</v>
      </c>
      <c r="C284" s="1" t="str">
        <f>LOOKUP(B284,Sheet2!$D$4:$E$9)</f>
        <v>5-7</v>
      </c>
      <c r="D284" s="1">
        <v>133</v>
      </c>
      <c r="E284" t="str">
        <f>LOOKUP(D284,Sheet2!$G$4:$H$9)</f>
        <v>126-150</v>
      </c>
      <c r="F284" s="1">
        <v>88</v>
      </c>
      <c r="G284" t="str">
        <f>LOOKUP(F284,Sheet2!$J$4:$K$8)</f>
        <v>80+</v>
      </c>
      <c r="H284" s="1">
        <v>15</v>
      </c>
      <c r="I284" t="str">
        <f>LOOKUP(H284,Sheet2!$M$4:$N$8)</f>
        <v>10-30</v>
      </c>
      <c r="J284" s="1">
        <v>155</v>
      </c>
      <c r="K284" t="str">
        <f>LOOKUP(J284,Sheet2!$P$4:$Q$9)</f>
        <v>100-199</v>
      </c>
      <c r="L284" s="1">
        <v>32.4</v>
      </c>
      <c r="M284" t="str">
        <f>LOOKUP(L284,Sheet2!$S$4:$T$8)</f>
        <v>31-35</v>
      </c>
      <c r="N284" s="1">
        <v>0.26200000000000001</v>
      </c>
      <c r="O284" t="str">
        <f>LOOKUP(N284,Sheet2!$V$4:$W$7)</f>
        <v>0.25 - 0.39</v>
      </c>
      <c r="P284" s="1">
        <v>37</v>
      </c>
      <c r="Q284" t="str">
        <f>LOOKUP(P284,Sheet2!$Z$4:$AA$7)</f>
        <v>36-45</v>
      </c>
      <c r="R284" s="1">
        <v>0</v>
      </c>
      <c r="S284" t="str">
        <f>IF(R284=1,"Positive","Negative")</f>
        <v>Negative</v>
      </c>
      <c r="T284" s="1">
        <f>IFERROR(VLOOKUP(A284,[1]diabetes_Recognition!$A:$B,2,FALSE),"Not Sampled")</f>
        <v>0</v>
      </c>
      <c r="U284" t="str">
        <f>IF(T284=1,"Positive",(IF(T284=0,"Negative","Not Sampled")))</f>
        <v>Negative</v>
      </c>
      <c r="V284" s="1" t="str">
        <f>IF(U284="Not Sampled","Not Sampled",IF(S284=U284,"Accurate Prediction","Inaccurate Prediction"))</f>
        <v>Accurate Prediction</v>
      </c>
    </row>
    <row r="285" spans="1:22" x14ac:dyDescent="0.25">
      <c r="A285" s="1">
        <v>283</v>
      </c>
      <c r="B285" s="1">
        <v>7</v>
      </c>
      <c r="C285" s="1" t="str">
        <f>LOOKUP(B285,Sheet2!$D$4:$E$9)</f>
        <v>5-7</v>
      </c>
      <c r="D285" s="1">
        <v>161</v>
      </c>
      <c r="E285" t="str">
        <f>LOOKUP(D285,Sheet2!$G$4:$H$9)</f>
        <v>151-175</v>
      </c>
      <c r="F285" s="1">
        <v>86</v>
      </c>
      <c r="G285" t="str">
        <f>LOOKUP(F285,Sheet2!$J$4:$K$8)</f>
        <v>80+</v>
      </c>
      <c r="H285" s="1">
        <v>0</v>
      </c>
      <c r="I285" t="str">
        <f>LOOKUP(H285,Sheet2!$M$4:$N$8)</f>
        <v>Unknown</v>
      </c>
      <c r="J285" s="1">
        <v>0</v>
      </c>
      <c r="K285" t="str">
        <f>LOOKUP(J285,Sheet2!$P$4:$Q$9)</f>
        <v>Unknown</v>
      </c>
      <c r="L285" s="1">
        <v>30.4</v>
      </c>
      <c r="M285" t="str">
        <f>LOOKUP(L285,Sheet2!$S$4:$T$8)</f>
        <v>26-30</v>
      </c>
      <c r="N285" s="1">
        <v>0.16500000000000001</v>
      </c>
      <c r="O285" t="str">
        <f>LOOKUP(N285,Sheet2!$V$4:$W$7)</f>
        <v>0.0 - 0.249</v>
      </c>
      <c r="P285" s="1">
        <v>47</v>
      </c>
      <c r="Q285" t="str">
        <f>LOOKUP(P285,Sheet2!$Z$4:$AA$7)</f>
        <v>46+</v>
      </c>
      <c r="R285" s="1">
        <v>1</v>
      </c>
      <c r="S285" t="str">
        <f>IF(R285=1,"Positive","Negative")</f>
        <v>Positive</v>
      </c>
      <c r="T285" s="1">
        <f>IFERROR(VLOOKUP(A285,[1]diabetes_Recognition!$A:$B,2,FALSE),"Not Sampled")</f>
        <v>1</v>
      </c>
      <c r="U285" t="str">
        <f>IF(T285=1,"Positive",(IF(T285=0,"Negative","Not Sampled")))</f>
        <v>Positive</v>
      </c>
      <c r="V285" s="1" t="str">
        <f>IF(U285="Not Sampled","Not Sampled",IF(S285=U285,"Accurate Prediction","Inaccurate Prediction"))</f>
        <v>Accurate Prediction</v>
      </c>
    </row>
    <row r="286" spans="1:22" x14ac:dyDescent="0.25">
      <c r="A286" s="1">
        <v>284</v>
      </c>
      <c r="B286" s="1">
        <v>2</v>
      </c>
      <c r="C286" s="1">
        <f>LOOKUP(B286,Sheet2!$D$4:$E$9)</f>
        <v>2</v>
      </c>
      <c r="D286" s="1">
        <v>108</v>
      </c>
      <c r="E286" t="str">
        <f>LOOKUP(D286,Sheet2!$G$4:$H$9)</f>
        <v>100-125</v>
      </c>
      <c r="F286" s="1">
        <v>80</v>
      </c>
      <c r="G286" t="str">
        <f>LOOKUP(F286,Sheet2!$J$4:$K$8)</f>
        <v>80+</v>
      </c>
      <c r="H286" s="1">
        <v>0</v>
      </c>
      <c r="I286" t="str">
        <f>LOOKUP(H286,Sheet2!$M$4:$N$8)</f>
        <v>Unknown</v>
      </c>
      <c r="J286" s="1">
        <v>0</v>
      </c>
      <c r="K286" t="str">
        <f>LOOKUP(J286,Sheet2!$P$4:$Q$9)</f>
        <v>Unknown</v>
      </c>
      <c r="L286" s="1">
        <v>27</v>
      </c>
      <c r="M286" t="str">
        <f>LOOKUP(L286,Sheet2!$S$4:$T$8)</f>
        <v>26-30</v>
      </c>
      <c r="N286" s="1">
        <v>0.25900000000000001</v>
      </c>
      <c r="O286" t="str">
        <f>LOOKUP(N286,Sheet2!$V$4:$W$7)</f>
        <v>0.25 - 0.39</v>
      </c>
      <c r="P286" s="1">
        <v>52</v>
      </c>
      <c r="Q286" t="str">
        <f>LOOKUP(P286,Sheet2!$Z$4:$AA$7)</f>
        <v>46+</v>
      </c>
      <c r="R286" s="1">
        <v>1</v>
      </c>
      <c r="S286" t="str">
        <f>IF(R286=1,"Positive","Negative")</f>
        <v>Positive</v>
      </c>
      <c r="T286" s="1" t="str">
        <f>IFERROR(VLOOKUP(A286,[1]diabetes_Recognition!$A:$B,2,FALSE),"Not Sampled")</f>
        <v>Not Sampled</v>
      </c>
      <c r="U286" t="str">
        <f>IF(T286=1,"Positive",(IF(T286=0,"Negative","Not Sampled")))</f>
        <v>Not Sampled</v>
      </c>
      <c r="V286" s="1" t="str">
        <f>IF(U286="Not Sampled","Not Sampled",IF(S286=U286,"Accurate Prediction","Inaccurate Prediction"))</f>
        <v>Not Sampled</v>
      </c>
    </row>
    <row r="287" spans="1:22" x14ac:dyDescent="0.25">
      <c r="A287" s="1">
        <v>285</v>
      </c>
      <c r="B287" s="1">
        <v>7</v>
      </c>
      <c r="C287" s="1" t="str">
        <f>LOOKUP(B287,Sheet2!$D$4:$E$9)</f>
        <v>5-7</v>
      </c>
      <c r="D287" s="1">
        <v>136</v>
      </c>
      <c r="E287" t="str">
        <f>LOOKUP(D287,Sheet2!$G$4:$H$9)</f>
        <v>126-150</v>
      </c>
      <c r="F287" s="1">
        <v>74</v>
      </c>
      <c r="G287" t="str">
        <f>LOOKUP(F287,Sheet2!$J$4:$K$8)</f>
        <v>70-79</v>
      </c>
      <c r="H287" s="1">
        <v>26</v>
      </c>
      <c r="I287" t="str">
        <f>LOOKUP(H287,Sheet2!$M$4:$N$8)</f>
        <v>10-30</v>
      </c>
      <c r="J287" s="1">
        <v>135</v>
      </c>
      <c r="K287" t="str">
        <f>LOOKUP(J287,Sheet2!$P$4:$Q$9)</f>
        <v>100-199</v>
      </c>
      <c r="L287" s="1">
        <v>26</v>
      </c>
      <c r="M287" t="str">
        <f>LOOKUP(L287,Sheet2!$S$4:$T$8)</f>
        <v>26-30</v>
      </c>
      <c r="N287" s="1">
        <v>0.64700000000000002</v>
      </c>
      <c r="O287" t="str">
        <f>LOOKUP(N287,Sheet2!$V$4:$W$7)</f>
        <v>0.4 - 0.69</v>
      </c>
      <c r="P287" s="1">
        <v>51</v>
      </c>
      <c r="Q287" t="str">
        <f>LOOKUP(P287,Sheet2!$Z$4:$AA$7)</f>
        <v>46+</v>
      </c>
      <c r="R287" s="1">
        <v>0</v>
      </c>
      <c r="S287" t="str">
        <f>IF(R287=1,"Positive","Negative")</f>
        <v>Negative</v>
      </c>
      <c r="T287" s="1">
        <f>IFERROR(VLOOKUP(A287,[1]diabetes_Recognition!$A:$B,2,FALSE),"Not Sampled")</f>
        <v>0</v>
      </c>
      <c r="U287" t="str">
        <f>IF(T287=1,"Positive",(IF(T287=0,"Negative","Not Sampled")))</f>
        <v>Negative</v>
      </c>
      <c r="V287" s="1" t="str">
        <f>IF(U287="Not Sampled","Not Sampled",IF(S287=U287,"Accurate Prediction","Inaccurate Prediction"))</f>
        <v>Accurate Prediction</v>
      </c>
    </row>
    <row r="288" spans="1:22" x14ac:dyDescent="0.25">
      <c r="A288" s="1">
        <v>286</v>
      </c>
      <c r="B288" s="1">
        <v>5</v>
      </c>
      <c r="C288" s="1" t="str">
        <f>LOOKUP(B288,Sheet2!$D$4:$E$9)</f>
        <v>5-7</v>
      </c>
      <c r="D288" s="1">
        <v>155</v>
      </c>
      <c r="E288" t="str">
        <f>LOOKUP(D288,Sheet2!$G$4:$H$9)</f>
        <v>151-175</v>
      </c>
      <c r="F288" s="1">
        <v>84</v>
      </c>
      <c r="G288" t="str">
        <f>LOOKUP(F288,Sheet2!$J$4:$K$8)</f>
        <v>80+</v>
      </c>
      <c r="H288" s="1">
        <v>44</v>
      </c>
      <c r="I288" t="str">
        <f>LOOKUP(H288,Sheet2!$M$4:$N$8)</f>
        <v>40+</v>
      </c>
      <c r="J288" s="1">
        <v>545</v>
      </c>
      <c r="K288" t="str">
        <f>LOOKUP(J288,Sheet2!$P$4:$Q$9)</f>
        <v>500+</v>
      </c>
      <c r="L288" s="1">
        <v>38.700000000000003</v>
      </c>
      <c r="M288" t="str">
        <f>LOOKUP(L288,Sheet2!$S$4:$T$8)</f>
        <v>36+</v>
      </c>
      <c r="N288" s="1">
        <v>0.61899999999999999</v>
      </c>
      <c r="O288" t="str">
        <f>LOOKUP(N288,Sheet2!$V$4:$W$7)</f>
        <v>0.4 - 0.69</v>
      </c>
      <c r="P288" s="1">
        <v>34</v>
      </c>
      <c r="Q288" t="str">
        <f>LOOKUP(P288,Sheet2!$Z$4:$AA$7)</f>
        <v>26-35</v>
      </c>
      <c r="R288" s="1">
        <v>0</v>
      </c>
      <c r="S288" t="str">
        <f>IF(R288=1,"Positive","Negative")</f>
        <v>Negative</v>
      </c>
      <c r="T288" s="1" t="str">
        <f>IFERROR(VLOOKUP(A288,[1]diabetes_Recognition!$A:$B,2,FALSE),"Not Sampled")</f>
        <v>Not Sampled</v>
      </c>
      <c r="U288" t="str">
        <f>IF(T288=1,"Positive",(IF(T288=0,"Negative","Not Sampled")))</f>
        <v>Not Sampled</v>
      </c>
      <c r="V288" s="1" t="str">
        <f>IF(U288="Not Sampled","Not Sampled",IF(S288=U288,"Accurate Prediction","Inaccurate Prediction"))</f>
        <v>Not Sampled</v>
      </c>
    </row>
    <row r="289" spans="1:22" x14ac:dyDescent="0.25">
      <c r="A289" s="1">
        <v>287</v>
      </c>
      <c r="B289" s="1">
        <v>1</v>
      </c>
      <c r="C289" s="1">
        <f>LOOKUP(B289,Sheet2!$D$4:$E$9)</f>
        <v>1</v>
      </c>
      <c r="D289" s="1">
        <v>119</v>
      </c>
      <c r="E289" t="str">
        <f>LOOKUP(D289,Sheet2!$G$4:$H$9)</f>
        <v>100-125</v>
      </c>
      <c r="F289" s="1">
        <v>86</v>
      </c>
      <c r="G289" t="str">
        <f>LOOKUP(F289,Sheet2!$J$4:$K$8)</f>
        <v>80+</v>
      </c>
      <c r="H289" s="1">
        <v>39</v>
      </c>
      <c r="I289" t="str">
        <f>LOOKUP(H289,Sheet2!$M$4:$N$8)</f>
        <v>30-39</v>
      </c>
      <c r="J289" s="1">
        <v>220</v>
      </c>
      <c r="K289" t="str">
        <f>LOOKUP(J289,Sheet2!$P$4:$Q$9)</f>
        <v>200-399</v>
      </c>
      <c r="L289" s="1">
        <v>45.6</v>
      </c>
      <c r="M289" t="str">
        <f>LOOKUP(L289,Sheet2!$S$4:$T$8)</f>
        <v>36+</v>
      </c>
      <c r="N289" s="1">
        <v>0.80800000000000005</v>
      </c>
      <c r="O289" t="str">
        <f>LOOKUP(N289,Sheet2!$V$4:$W$7)</f>
        <v>0.7+</v>
      </c>
      <c r="P289" s="1">
        <v>29</v>
      </c>
      <c r="Q289" t="str">
        <f>LOOKUP(P289,Sheet2!$Z$4:$AA$7)</f>
        <v>26-35</v>
      </c>
      <c r="R289" s="1">
        <v>1</v>
      </c>
      <c r="S289" t="str">
        <f>IF(R289=1,"Positive","Negative")</f>
        <v>Positive</v>
      </c>
      <c r="T289" s="1" t="str">
        <f>IFERROR(VLOOKUP(A289,[1]diabetes_Recognition!$A:$B,2,FALSE),"Not Sampled")</f>
        <v>Not Sampled</v>
      </c>
      <c r="U289" t="str">
        <f>IF(T289=1,"Positive",(IF(T289=0,"Negative","Not Sampled")))</f>
        <v>Not Sampled</v>
      </c>
      <c r="V289" s="1" t="str">
        <f>IF(U289="Not Sampled","Not Sampled",IF(S289=U289,"Accurate Prediction","Inaccurate Prediction"))</f>
        <v>Not Sampled</v>
      </c>
    </row>
    <row r="290" spans="1:22" x14ac:dyDescent="0.25">
      <c r="A290" s="1">
        <v>288</v>
      </c>
      <c r="B290" s="1">
        <v>4</v>
      </c>
      <c r="C290" s="1" t="str">
        <f>LOOKUP(B290,Sheet2!$D$4:$E$9)</f>
        <v>3-4</v>
      </c>
      <c r="D290" s="1">
        <v>96</v>
      </c>
      <c r="E290" t="str">
        <f>LOOKUP(D290,Sheet2!$G$4:$H$9)</f>
        <v>1-99</v>
      </c>
      <c r="F290" s="1">
        <v>56</v>
      </c>
      <c r="G290" t="str">
        <f>LOOKUP(F290,Sheet2!$J$4:$K$8)</f>
        <v>1-59</v>
      </c>
      <c r="H290" s="1">
        <v>17</v>
      </c>
      <c r="I290" t="str">
        <f>LOOKUP(H290,Sheet2!$M$4:$N$8)</f>
        <v>10-30</v>
      </c>
      <c r="J290" s="1">
        <v>49</v>
      </c>
      <c r="K290" t="str">
        <f>LOOKUP(J290,Sheet2!$P$4:$Q$9)</f>
        <v>1-99</v>
      </c>
      <c r="L290" s="1">
        <v>20.8</v>
      </c>
      <c r="M290" t="str">
        <f>LOOKUP(L290,Sheet2!$S$4:$T$8)</f>
        <v>1-25</v>
      </c>
      <c r="N290" s="1">
        <v>0.34</v>
      </c>
      <c r="O290" t="str">
        <f>LOOKUP(N290,Sheet2!$V$4:$W$7)</f>
        <v>0.25 - 0.39</v>
      </c>
      <c r="P290" s="1">
        <v>26</v>
      </c>
      <c r="Q290" t="str">
        <f>LOOKUP(P290,Sheet2!$Z$4:$AA$7)</f>
        <v>26-35</v>
      </c>
      <c r="R290" s="1">
        <v>0</v>
      </c>
      <c r="S290" t="str">
        <f>IF(R290=1,"Positive","Negative")</f>
        <v>Negative</v>
      </c>
      <c r="T290" s="1" t="str">
        <f>IFERROR(VLOOKUP(A290,[1]diabetes_Recognition!$A:$B,2,FALSE),"Not Sampled")</f>
        <v>Not Sampled</v>
      </c>
      <c r="U290" t="str">
        <f>IF(T290=1,"Positive",(IF(T290=0,"Negative","Not Sampled")))</f>
        <v>Not Sampled</v>
      </c>
      <c r="V290" s="1" t="str">
        <f>IF(U290="Not Sampled","Not Sampled",IF(S290=U290,"Accurate Prediction","Inaccurate Prediction"))</f>
        <v>Not Sampled</v>
      </c>
    </row>
    <row r="291" spans="1:22" x14ac:dyDescent="0.25">
      <c r="A291" s="1">
        <v>289</v>
      </c>
      <c r="B291" s="1">
        <v>5</v>
      </c>
      <c r="C291" s="1" t="str">
        <f>LOOKUP(B291,Sheet2!$D$4:$E$9)</f>
        <v>5-7</v>
      </c>
      <c r="D291" s="1">
        <v>108</v>
      </c>
      <c r="E291" t="str">
        <f>LOOKUP(D291,Sheet2!$G$4:$H$9)</f>
        <v>100-125</v>
      </c>
      <c r="F291" s="1">
        <v>72</v>
      </c>
      <c r="G291" t="str">
        <f>LOOKUP(F291,Sheet2!$J$4:$K$8)</f>
        <v>70-79</v>
      </c>
      <c r="H291" s="1">
        <v>43</v>
      </c>
      <c r="I291" t="str">
        <f>LOOKUP(H291,Sheet2!$M$4:$N$8)</f>
        <v>40+</v>
      </c>
      <c r="J291" s="1">
        <v>75</v>
      </c>
      <c r="K291" t="str">
        <f>LOOKUP(J291,Sheet2!$P$4:$Q$9)</f>
        <v>1-99</v>
      </c>
      <c r="L291" s="1">
        <v>36.1</v>
      </c>
      <c r="M291" t="str">
        <f>LOOKUP(L291,Sheet2!$S$4:$T$8)</f>
        <v>36+</v>
      </c>
      <c r="N291" s="1">
        <v>0.26300000000000001</v>
      </c>
      <c r="O291" t="str">
        <f>LOOKUP(N291,Sheet2!$V$4:$W$7)</f>
        <v>0.25 - 0.39</v>
      </c>
      <c r="P291" s="1">
        <v>33</v>
      </c>
      <c r="Q291" t="str">
        <f>LOOKUP(P291,Sheet2!$Z$4:$AA$7)</f>
        <v>26-35</v>
      </c>
      <c r="R291" s="1">
        <v>0</v>
      </c>
      <c r="S291" t="str">
        <f>IF(R291=1,"Positive","Negative")</f>
        <v>Negative</v>
      </c>
      <c r="T291" s="1" t="str">
        <f>IFERROR(VLOOKUP(A291,[1]diabetes_Recognition!$A:$B,2,FALSE),"Not Sampled")</f>
        <v>Not Sampled</v>
      </c>
      <c r="U291" t="str">
        <f>IF(T291=1,"Positive",(IF(T291=0,"Negative","Not Sampled")))</f>
        <v>Not Sampled</v>
      </c>
      <c r="V291" s="1" t="str">
        <f>IF(U291="Not Sampled","Not Sampled",IF(S291=U291,"Accurate Prediction","Inaccurate Prediction"))</f>
        <v>Not Sampled</v>
      </c>
    </row>
    <row r="292" spans="1:22" x14ac:dyDescent="0.25">
      <c r="A292" s="1">
        <v>290</v>
      </c>
      <c r="B292" s="1">
        <v>0</v>
      </c>
      <c r="C292" s="1">
        <f>LOOKUP(B292,Sheet2!$D$4:$E$9)</f>
        <v>0</v>
      </c>
      <c r="D292" s="1">
        <v>78</v>
      </c>
      <c r="E292" t="str">
        <f>LOOKUP(D292,Sheet2!$G$4:$H$9)</f>
        <v>1-99</v>
      </c>
      <c r="F292" s="1">
        <v>88</v>
      </c>
      <c r="G292" t="str">
        <f>LOOKUP(F292,Sheet2!$J$4:$K$8)</f>
        <v>80+</v>
      </c>
      <c r="H292" s="1">
        <v>29</v>
      </c>
      <c r="I292" t="str">
        <f>LOOKUP(H292,Sheet2!$M$4:$N$8)</f>
        <v>10-30</v>
      </c>
      <c r="J292" s="1">
        <v>40</v>
      </c>
      <c r="K292" t="str">
        <f>LOOKUP(J292,Sheet2!$P$4:$Q$9)</f>
        <v>1-99</v>
      </c>
      <c r="L292" s="1">
        <v>36.9</v>
      </c>
      <c r="M292" t="str">
        <f>LOOKUP(L292,Sheet2!$S$4:$T$8)</f>
        <v>36+</v>
      </c>
      <c r="N292" s="1">
        <v>0.434</v>
      </c>
      <c r="O292" t="str">
        <f>LOOKUP(N292,Sheet2!$V$4:$W$7)</f>
        <v>0.4 - 0.69</v>
      </c>
      <c r="P292" s="1">
        <v>21</v>
      </c>
      <c r="Q292" t="str">
        <f>LOOKUP(P292,Sheet2!$Z$4:$AA$7)</f>
        <v>&lt;=25</v>
      </c>
      <c r="R292" s="1">
        <v>0</v>
      </c>
      <c r="S292" t="str">
        <f>IF(R292=1,"Positive","Negative")</f>
        <v>Negative</v>
      </c>
      <c r="T292" s="1" t="str">
        <f>IFERROR(VLOOKUP(A292,[1]diabetes_Recognition!$A:$B,2,FALSE),"Not Sampled")</f>
        <v>Not Sampled</v>
      </c>
      <c r="U292" t="str">
        <f>IF(T292=1,"Positive",(IF(T292=0,"Negative","Not Sampled")))</f>
        <v>Not Sampled</v>
      </c>
      <c r="V292" s="1" t="str">
        <f>IF(U292="Not Sampled","Not Sampled",IF(S292=U292,"Accurate Prediction","Inaccurate Prediction"))</f>
        <v>Not Sampled</v>
      </c>
    </row>
    <row r="293" spans="1:22" x14ac:dyDescent="0.25">
      <c r="A293" s="1">
        <v>291</v>
      </c>
      <c r="B293" s="1">
        <v>0</v>
      </c>
      <c r="C293" s="1">
        <f>LOOKUP(B293,Sheet2!$D$4:$E$9)</f>
        <v>0</v>
      </c>
      <c r="D293" s="1">
        <v>107</v>
      </c>
      <c r="E293" t="str">
        <f>LOOKUP(D293,Sheet2!$G$4:$H$9)</f>
        <v>100-125</v>
      </c>
      <c r="F293" s="1">
        <v>62</v>
      </c>
      <c r="G293" t="str">
        <f>LOOKUP(F293,Sheet2!$J$4:$K$8)</f>
        <v>60-69</v>
      </c>
      <c r="H293" s="1">
        <v>30</v>
      </c>
      <c r="I293" t="str">
        <f>LOOKUP(H293,Sheet2!$M$4:$N$8)</f>
        <v>30-39</v>
      </c>
      <c r="J293" s="1">
        <v>74</v>
      </c>
      <c r="K293" t="str">
        <f>LOOKUP(J293,Sheet2!$P$4:$Q$9)</f>
        <v>1-99</v>
      </c>
      <c r="L293" s="1">
        <v>36.6</v>
      </c>
      <c r="M293" t="str">
        <f>LOOKUP(L293,Sheet2!$S$4:$T$8)</f>
        <v>36+</v>
      </c>
      <c r="N293" s="1">
        <v>0.75700000000000001</v>
      </c>
      <c r="O293" t="str">
        <f>LOOKUP(N293,Sheet2!$V$4:$W$7)</f>
        <v>0.7+</v>
      </c>
      <c r="P293" s="1">
        <v>25</v>
      </c>
      <c r="Q293" t="str">
        <f>LOOKUP(P293,Sheet2!$Z$4:$AA$7)</f>
        <v>&lt;=25</v>
      </c>
      <c r="R293" s="1">
        <v>1</v>
      </c>
      <c r="S293" t="str">
        <f>IF(R293=1,"Positive","Negative")</f>
        <v>Positive</v>
      </c>
      <c r="T293" s="1" t="str">
        <f>IFERROR(VLOOKUP(A293,[1]diabetes_Recognition!$A:$B,2,FALSE),"Not Sampled")</f>
        <v>Not Sampled</v>
      </c>
      <c r="U293" t="str">
        <f>IF(T293=1,"Positive",(IF(T293=0,"Negative","Not Sampled")))</f>
        <v>Not Sampled</v>
      </c>
      <c r="V293" s="1" t="str">
        <f>IF(U293="Not Sampled","Not Sampled",IF(S293=U293,"Accurate Prediction","Inaccurate Prediction"))</f>
        <v>Not Sampled</v>
      </c>
    </row>
    <row r="294" spans="1:22" x14ac:dyDescent="0.25">
      <c r="A294" s="1">
        <v>292</v>
      </c>
      <c r="B294" s="1">
        <v>2</v>
      </c>
      <c r="C294" s="1">
        <f>LOOKUP(B294,Sheet2!$D$4:$E$9)</f>
        <v>2</v>
      </c>
      <c r="D294" s="1">
        <v>128</v>
      </c>
      <c r="E294" t="str">
        <f>LOOKUP(D294,Sheet2!$G$4:$H$9)</f>
        <v>126-150</v>
      </c>
      <c r="F294" s="1">
        <v>78</v>
      </c>
      <c r="G294" t="str">
        <f>LOOKUP(F294,Sheet2!$J$4:$K$8)</f>
        <v>70-79</v>
      </c>
      <c r="H294" s="1">
        <v>37</v>
      </c>
      <c r="I294" t="str">
        <f>LOOKUP(H294,Sheet2!$M$4:$N$8)</f>
        <v>30-39</v>
      </c>
      <c r="J294" s="1">
        <v>182</v>
      </c>
      <c r="K294" t="str">
        <f>LOOKUP(J294,Sheet2!$P$4:$Q$9)</f>
        <v>100-199</v>
      </c>
      <c r="L294" s="1">
        <v>43.3</v>
      </c>
      <c r="M294" t="str">
        <f>LOOKUP(L294,Sheet2!$S$4:$T$8)</f>
        <v>36+</v>
      </c>
      <c r="N294" s="1">
        <v>1.224</v>
      </c>
      <c r="O294" t="str">
        <f>LOOKUP(N294,Sheet2!$V$4:$W$7)</f>
        <v>0.7+</v>
      </c>
      <c r="P294" s="1">
        <v>31</v>
      </c>
      <c r="Q294" t="str">
        <f>LOOKUP(P294,Sheet2!$Z$4:$AA$7)</f>
        <v>26-35</v>
      </c>
      <c r="R294" s="1">
        <v>1</v>
      </c>
      <c r="S294" t="str">
        <f>IF(R294=1,"Positive","Negative")</f>
        <v>Positive</v>
      </c>
      <c r="T294" s="1">
        <f>IFERROR(VLOOKUP(A294,[1]diabetes_Recognition!$A:$B,2,FALSE),"Not Sampled")</f>
        <v>1</v>
      </c>
      <c r="U294" t="str">
        <f>IF(T294=1,"Positive",(IF(T294=0,"Negative","Not Sampled")))</f>
        <v>Positive</v>
      </c>
      <c r="V294" s="1" t="str">
        <f>IF(U294="Not Sampled","Not Sampled",IF(S294=U294,"Accurate Prediction","Inaccurate Prediction"))</f>
        <v>Accurate Prediction</v>
      </c>
    </row>
    <row r="295" spans="1:22" x14ac:dyDescent="0.25">
      <c r="A295" s="1">
        <v>293</v>
      </c>
      <c r="B295" s="1">
        <v>1</v>
      </c>
      <c r="C295" s="1">
        <f>LOOKUP(B295,Sheet2!$D$4:$E$9)</f>
        <v>1</v>
      </c>
      <c r="D295" s="1">
        <v>128</v>
      </c>
      <c r="E295" t="str">
        <f>LOOKUP(D295,Sheet2!$G$4:$H$9)</f>
        <v>126-150</v>
      </c>
      <c r="F295" s="1">
        <v>48</v>
      </c>
      <c r="G295" t="str">
        <f>LOOKUP(F295,Sheet2!$J$4:$K$8)</f>
        <v>1-59</v>
      </c>
      <c r="H295" s="1">
        <v>45</v>
      </c>
      <c r="I295" t="str">
        <f>LOOKUP(H295,Sheet2!$M$4:$N$8)</f>
        <v>40+</v>
      </c>
      <c r="J295" s="1">
        <v>194</v>
      </c>
      <c r="K295" t="str">
        <f>LOOKUP(J295,Sheet2!$P$4:$Q$9)</f>
        <v>100-199</v>
      </c>
      <c r="L295" s="1">
        <v>40.5</v>
      </c>
      <c r="M295" t="str">
        <f>LOOKUP(L295,Sheet2!$S$4:$T$8)</f>
        <v>36+</v>
      </c>
      <c r="N295" s="1">
        <v>0.61299999999999999</v>
      </c>
      <c r="O295" t="str">
        <f>LOOKUP(N295,Sheet2!$V$4:$W$7)</f>
        <v>0.4 - 0.69</v>
      </c>
      <c r="P295" s="1">
        <v>24</v>
      </c>
      <c r="Q295" t="str">
        <f>LOOKUP(P295,Sheet2!$Z$4:$AA$7)</f>
        <v>&lt;=25</v>
      </c>
      <c r="R295" s="1">
        <v>1</v>
      </c>
      <c r="S295" t="str">
        <f>IF(R295=1,"Positive","Negative")</f>
        <v>Positive</v>
      </c>
      <c r="T295" s="1">
        <f>IFERROR(VLOOKUP(A295,[1]diabetes_Recognition!$A:$B,2,FALSE),"Not Sampled")</f>
        <v>0</v>
      </c>
      <c r="U295" t="str">
        <f>IF(T295=1,"Positive",(IF(T295=0,"Negative","Not Sampled")))</f>
        <v>Negative</v>
      </c>
      <c r="V295" s="1" t="str">
        <f>IF(U295="Not Sampled","Not Sampled",IF(S295=U295,"Accurate Prediction","Inaccurate Prediction"))</f>
        <v>Inaccurate Prediction</v>
      </c>
    </row>
    <row r="296" spans="1:22" x14ac:dyDescent="0.25">
      <c r="A296" s="1">
        <v>294</v>
      </c>
      <c r="B296" s="1">
        <v>0</v>
      </c>
      <c r="C296" s="1">
        <f>LOOKUP(B296,Sheet2!$D$4:$E$9)</f>
        <v>0</v>
      </c>
      <c r="D296" s="1">
        <v>161</v>
      </c>
      <c r="E296" t="str">
        <f>LOOKUP(D296,Sheet2!$G$4:$H$9)</f>
        <v>151-175</v>
      </c>
      <c r="F296" s="1">
        <v>50</v>
      </c>
      <c r="G296" t="str">
        <f>LOOKUP(F296,Sheet2!$J$4:$K$8)</f>
        <v>1-59</v>
      </c>
      <c r="H296" s="1">
        <v>0</v>
      </c>
      <c r="I296" t="str">
        <f>LOOKUP(H296,Sheet2!$M$4:$N$8)</f>
        <v>Unknown</v>
      </c>
      <c r="J296" s="1">
        <v>0</v>
      </c>
      <c r="K296" t="str">
        <f>LOOKUP(J296,Sheet2!$P$4:$Q$9)</f>
        <v>Unknown</v>
      </c>
      <c r="L296" s="1">
        <v>21.9</v>
      </c>
      <c r="M296" t="str">
        <f>LOOKUP(L296,Sheet2!$S$4:$T$8)</f>
        <v>1-25</v>
      </c>
      <c r="N296" s="1">
        <v>0.254</v>
      </c>
      <c r="O296" t="str">
        <f>LOOKUP(N296,Sheet2!$V$4:$W$7)</f>
        <v>0.25 - 0.39</v>
      </c>
      <c r="P296" s="1">
        <v>65</v>
      </c>
      <c r="Q296" t="str">
        <f>LOOKUP(P296,Sheet2!$Z$4:$AA$7)</f>
        <v>46+</v>
      </c>
      <c r="R296" s="1">
        <v>0</v>
      </c>
      <c r="S296" t="str">
        <f>IF(R296=1,"Positive","Negative")</f>
        <v>Negative</v>
      </c>
      <c r="T296" s="1" t="str">
        <f>IFERROR(VLOOKUP(A296,[1]diabetes_Recognition!$A:$B,2,FALSE),"Not Sampled")</f>
        <v>Not Sampled</v>
      </c>
      <c r="U296" t="str">
        <f>IF(T296=1,"Positive",(IF(T296=0,"Negative","Not Sampled")))</f>
        <v>Not Sampled</v>
      </c>
      <c r="V296" s="1" t="str">
        <f>IF(U296="Not Sampled","Not Sampled",IF(S296=U296,"Accurate Prediction","Inaccurate Prediction"))</f>
        <v>Not Sampled</v>
      </c>
    </row>
    <row r="297" spans="1:22" x14ac:dyDescent="0.25">
      <c r="A297" s="1">
        <v>295</v>
      </c>
      <c r="B297" s="1">
        <v>6</v>
      </c>
      <c r="C297" s="1" t="str">
        <f>LOOKUP(B297,Sheet2!$D$4:$E$9)</f>
        <v>5-7</v>
      </c>
      <c r="D297" s="1">
        <v>151</v>
      </c>
      <c r="E297" t="str">
        <f>LOOKUP(D297,Sheet2!$G$4:$H$9)</f>
        <v>151-175</v>
      </c>
      <c r="F297" s="1">
        <v>62</v>
      </c>
      <c r="G297" t="str">
        <f>LOOKUP(F297,Sheet2!$J$4:$K$8)</f>
        <v>60-69</v>
      </c>
      <c r="H297" s="1">
        <v>31</v>
      </c>
      <c r="I297" t="str">
        <f>LOOKUP(H297,Sheet2!$M$4:$N$8)</f>
        <v>30-39</v>
      </c>
      <c r="J297" s="1">
        <v>120</v>
      </c>
      <c r="K297" t="str">
        <f>LOOKUP(J297,Sheet2!$P$4:$Q$9)</f>
        <v>100-199</v>
      </c>
      <c r="L297" s="1">
        <v>35.5</v>
      </c>
      <c r="M297" t="str">
        <f>LOOKUP(L297,Sheet2!$S$4:$T$8)</f>
        <v>31-35</v>
      </c>
      <c r="N297" s="1">
        <v>0.69199999999999995</v>
      </c>
      <c r="O297" t="str">
        <f>LOOKUP(N297,Sheet2!$V$4:$W$7)</f>
        <v>0.4 - 0.69</v>
      </c>
      <c r="P297" s="1">
        <v>28</v>
      </c>
      <c r="Q297" t="str">
        <f>LOOKUP(P297,Sheet2!$Z$4:$AA$7)</f>
        <v>26-35</v>
      </c>
      <c r="R297" s="1">
        <v>0</v>
      </c>
      <c r="S297" t="str">
        <f>IF(R297=1,"Positive","Negative")</f>
        <v>Negative</v>
      </c>
      <c r="T297" s="1" t="str">
        <f>IFERROR(VLOOKUP(A297,[1]diabetes_Recognition!$A:$B,2,FALSE),"Not Sampled")</f>
        <v>Not Sampled</v>
      </c>
      <c r="U297" t="str">
        <f>IF(T297=1,"Positive",(IF(T297=0,"Negative","Not Sampled")))</f>
        <v>Not Sampled</v>
      </c>
      <c r="V297" s="1" t="str">
        <f>IF(U297="Not Sampled","Not Sampled",IF(S297=U297,"Accurate Prediction","Inaccurate Prediction"))</f>
        <v>Not Sampled</v>
      </c>
    </row>
    <row r="298" spans="1:22" x14ac:dyDescent="0.25">
      <c r="A298" s="1">
        <v>296</v>
      </c>
      <c r="B298" s="1">
        <v>2</v>
      </c>
      <c r="C298" s="1">
        <f>LOOKUP(B298,Sheet2!$D$4:$E$9)</f>
        <v>2</v>
      </c>
      <c r="D298" s="1">
        <v>146</v>
      </c>
      <c r="E298" t="str">
        <f>LOOKUP(D298,Sheet2!$G$4:$H$9)</f>
        <v>126-150</v>
      </c>
      <c r="F298" s="1">
        <v>70</v>
      </c>
      <c r="G298" t="str">
        <f>LOOKUP(F298,Sheet2!$J$4:$K$8)</f>
        <v>70-79</v>
      </c>
      <c r="H298" s="1">
        <v>38</v>
      </c>
      <c r="I298" t="str">
        <f>LOOKUP(H298,Sheet2!$M$4:$N$8)</f>
        <v>30-39</v>
      </c>
      <c r="J298" s="1">
        <v>360</v>
      </c>
      <c r="K298" t="str">
        <f>LOOKUP(J298,Sheet2!$P$4:$Q$9)</f>
        <v>300-499</v>
      </c>
      <c r="L298" s="1">
        <v>28</v>
      </c>
      <c r="M298" t="str">
        <f>LOOKUP(L298,Sheet2!$S$4:$T$8)</f>
        <v>26-30</v>
      </c>
      <c r="N298" s="1">
        <v>0.33700000000000002</v>
      </c>
      <c r="O298" t="str">
        <f>LOOKUP(N298,Sheet2!$V$4:$W$7)</f>
        <v>0.25 - 0.39</v>
      </c>
      <c r="P298" s="1">
        <v>29</v>
      </c>
      <c r="Q298" t="str">
        <f>LOOKUP(P298,Sheet2!$Z$4:$AA$7)</f>
        <v>26-35</v>
      </c>
      <c r="R298" s="1">
        <v>1</v>
      </c>
      <c r="S298" t="str">
        <f>IF(R298=1,"Positive","Negative")</f>
        <v>Positive</v>
      </c>
      <c r="T298" s="1" t="str">
        <f>IFERROR(VLOOKUP(A298,[1]diabetes_Recognition!$A:$B,2,FALSE),"Not Sampled")</f>
        <v>Not Sampled</v>
      </c>
      <c r="U298" t="str">
        <f>IF(T298=1,"Positive",(IF(T298=0,"Negative","Not Sampled")))</f>
        <v>Not Sampled</v>
      </c>
      <c r="V298" s="1" t="str">
        <f>IF(U298="Not Sampled","Not Sampled",IF(S298=U298,"Accurate Prediction","Inaccurate Prediction"))</f>
        <v>Not Sampled</v>
      </c>
    </row>
    <row r="299" spans="1:22" x14ac:dyDescent="0.25">
      <c r="A299" s="1">
        <v>297</v>
      </c>
      <c r="B299" s="1">
        <v>0</v>
      </c>
      <c r="C299" s="1">
        <f>LOOKUP(B299,Sheet2!$D$4:$E$9)</f>
        <v>0</v>
      </c>
      <c r="D299" s="1">
        <v>126</v>
      </c>
      <c r="E299" t="str">
        <f>LOOKUP(D299,Sheet2!$G$4:$H$9)</f>
        <v>126-150</v>
      </c>
      <c r="F299" s="1">
        <v>84</v>
      </c>
      <c r="G299" t="str">
        <f>LOOKUP(F299,Sheet2!$J$4:$K$8)</f>
        <v>80+</v>
      </c>
      <c r="H299" s="1">
        <v>29</v>
      </c>
      <c r="I299" t="str">
        <f>LOOKUP(H299,Sheet2!$M$4:$N$8)</f>
        <v>10-30</v>
      </c>
      <c r="J299" s="1">
        <v>215</v>
      </c>
      <c r="K299" t="str">
        <f>LOOKUP(J299,Sheet2!$P$4:$Q$9)</f>
        <v>200-399</v>
      </c>
      <c r="L299" s="1">
        <v>30.7</v>
      </c>
      <c r="M299" t="str">
        <f>LOOKUP(L299,Sheet2!$S$4:$T$8)</f>
        <v>26-30</v>
      </c>
      <c r="N299" s="1">
        <v>0.52</v>
      </c>
      <c r="O299" t="str">
        <f>LOOKUP(N299,Sheet2!$V$4:$W$7)</f>
        <v>0.4 - 0.69</v>
      </c>
      <c r="P299" s="1">
        <v>24</v>
      </c>
      <c r="Q299" t="str">
        <f>LOOKUP(P299,Sheet2!$Z$4:$AA$7)</f>
        <v>&lt;=25</v>
      </c>
      <c r="R299" s="1">
        <v>0</v>
      </c>
      <c r="S299" t="str">
        <f>IF(R299=1,"Positive","Negative")</f>
        <v>Negative</v>
      </c>
      <c r="T299" s="1">
        <f>IFERROR(VLOOKUP(A299,[1]diabetes_Recognition!$A:$B,2,FALSE),"Not Sampled")</f>
        <v>0</v>
      </c>
      <c r="U299" t="str">
        <f>IF(T299=1,"Positive",(IF(T299=0,"Negative","Not Sampled")))</f>
        <v>Negative</v>
      </c>
      <c r="V299" s="1" t="str">
        <f>IF(U299="Not Sampled","Not Sampled",IF(S299=U299,"Accurate Prediction","Inaccurate Prediction"))</f>
        <v>Accurate Prediction</v>
      </c>
    </row>
    <row r="300" spans="1:22" x14ac:dyDescent="0.25">
      <c r="A300" s="1">
        <v>298</v>
      </c>
      <c r="B300" s="1">
        <v>14</v>
      </c>
      <c r="C300" s="1" t="str">
        <f>LOOKUP(B300,Sheet2!$D$4:$E$9)</f>
        <v>8+</v>
      </c>
      <c r="D300" s="1">
        <v>100</v>
      </c>
      <c r="E300" t="str">
        <f>LOOKUP(D300,Sheet2!$G$4:$H$9)</f>
        <v>100-125</v>
      </c>
      <c r="F300" s="1">
        <v>78</v>
      </c>
      <c r="G300" t="str">
        <f>LOOKUP(F300,Sheet2!$J$4:$K$8)</f>
        <v>70-79</v>
      </c>
      <c r="H300" s="1">
        <v>25</v>
      </c>
      <c r="I300" t="str">
        <f>LOOKUP(H300,Sheet2!$M$4:$N$8)</f>
        <v>10-30</v>
      </c>
      <c r="J300" s="1">
        <v>184</v>
      </c>
      <c r="K300" t="str">
        <f>LOOKUP(J300,Sheet2!$P$4:$Q$9)</f>
        <v>100-199</v>
      </c>
      <c r="L300" s="1">
        <v>36.6</v>
      </c>
      <c r="M300" t="str">
        <f>LOOKUP(L300,Sheet2!$S$4:$T$8)</f>
        <v>36+</v>
      </c>
      <c r="N300" s="1">
        <v>0.41199999999999998</v>
      </c>
      <c r="O300" t="str">
        <f>LOOKUP(N300,Sheet2!$V$4:$W$7)</f>
        <v>0.4 - 0.69</v>
      </c>
      <c r="P300" s="1">
        <v>46</v>
      </c>
      <c r="Q300" t="str">
        <f>LOOKUP(P300,Sheet2!$Z$4:$AA$7)</f>
        <v>46+</v>
      </c>
      <c r="R300" s="1">
        <v>1</v>
      </c>
      <c r="S300" t="str">
        <f>IF(R300=1,"Positive","Negative")</f>
        <v>Positive</v>
      </c>
      <c r="T300" s="1" t="str">
        <f>IFERROR(VLOOKUP(A300,[1]diabetes_Recognition!$A:$B,2,FALSE),"Not Sampled")</f>
        <v>Not Sampled</v>
      </c>
      <c r="U300" t="str">
        <f>IF(T300=1,"Positive",(IF(T300=0,"Negative","Not Sampled")))</f>
        <v>Not Sampled</v>
      </c>
      <c r="V300" s="1" t="str">
        <f>IF(U300="Not Sampled","Not Sampled",IF(S300=U300,"Accurate Prediction","Inaccurate Prediction"))</f>
        <v>Not Sampled</v>
      </c>
    </row>
    <row r="301" spans="1:22" x14ac:dyDescent="0.25">
      <c r="A301" s="1">
        <v>299</v>
      </c>
      <c r="B301" s="1">
        <v>8</v>
      </c>
      <c r="C301" s="1" t="str">
        <f>LOOKUP(B301,Sheet2!$D$4:$E$9)</f>
        <v>8+</v>
      </c>
      <c r="D301" s="1">
        <v>112</v>
      </c>
      <c r="E301" t="str">
        <f>LOOKUP(D301,Sheet2!$G$4:$H$9)</f>
        <v>100-125</v>
      </c>
      <c r="F301" s="1">
        <v>72</v>
      </c>
      <c r="G301" t="str">
        <f>LOOKUP(F301,Sheet2!$J$4:$K$8)</f>
        <v>70-79</v>
      </c>
      <c r="H301" s="1">
        <v>0</v>
      </c>
      <c r="I301" t="str">
        <f>LOOKUP(H301,Sheet2!$M$4:$N$8)</f>
        <v>Unknown</v>
      </c>
      <c r="J301" s="1">
        <v>0</v>
      </c>
      <c r="K301" t="str">
        <f>LOOKUP(J301,Sheet2!$P$4:$Q$9)</f>
        <v>Unknown</v>
      </c>
      <c r="L301" s="1">
        <v>23.6</v>
      </c>
      <c r="M301" t="str">
        <f>LOOKUP(L301,Sheet2!$S$4:$T$8)</f>
        <v>1-25</v>
      </c>
      <c r="N301" s="1">
        <v>0.84</v>
      </c>
      <c r="O301" t="str">
        <f>LOOKUP(N301,Sheet2!$V$4:$W$7)</f>
        <v>0.7+</v>
      </c>
      <c r="P301" s="1">
        <v>58</v>
      </c>
      <c r="Q301" t="str">
        <f>LOOKUP(P301,Sheet2!$Z$4:$AA$7)</f>
        <v>46+</v>
      </c>
      <c r="R301" s="1">
        <v>0</v>
      </c>
      <c r="S301" t="str">
        <f>IF(R301=1,"Positive","Negative")</f>
        <v>Negative</v>
      </c>
      <c r="T301" s="1">
        <f>IFERROR(VLOOKUP(A301,[1]diabetes_Recognition!$A:$B,2,FALSE),"Not Sampled")</f>
        <v>0</v>
      </c>
      <c r="U301" t="str">
        <f>IF(T301=1,"Positive",(IF(T301=0,"Negative","Not Sampled")))</f>
        <v>Negative</v>
      </c>
      <c r="V301" s="1" t="str">
        <f>IF(U301="Not Sampled","Not Sampled",IF(S301=U301,"Accurate Prediction","Inaccurate Prediction"))</f>
        <v>Accurate Prediction</v>
      </c>
    </row>
    <row r="302" spans="1:22" x14ac:dyDescent="0.25">
      <c r="A302" s="1">
        <v>300</v>
      </c>
      <c r="B302" s="1">
        <v>0</v>
      </c>
      <c r="C302" s="1">
        <f>LOOKUP(B302,Sheet2!$D$4:$E$9)</f>
        <v>0</v>
      </c>
      <c r="D302" s="1">
        <v>167</v>
      </c>
      <c r="E302" t="str">
        <f>LOOKUP(D302,Sheet2!$G$4:$H$9)</f>
        <v>151-175</v>
      </c>
      <c r="F302" s="1">
        <v>0</v>
      </c>
      <c r="G302" t="str">
        <f>LOOKUP(F302,Sheet2!$J$4:$K$8)</f>
        <v>Unknown</v>
      </c>
      <c r="H302" s="1">
        <v>0</v>
      </c>
      <c r="I302" t="str">
        <f>LOOKUP(H302,Sheet2!$M$4:$N$8)</f>
        <v>Unknown</v>
      </c>
      <c r="J302" s="1">
        <v>0</v>
      </c>
      <c r="K302" t="str">
        <f>LOOKUP(J302,Sheet2!$P$4:$Q$9)</f>
        <v>Unknown</v>
      </c>
      <c r="L302" s="1">
        <v>32.299999999999997</v>
      </c>
      <c r="M302" t="str">
        <f>LOOKUP(L302,Sheet2!$S$4:$T$8)</f>
        <v>31-35</v>
      </c>
      <c r="N302" s="1">
        <v>0.83899999999999997</v>
      </c>
      <c r="O302" t="str">
        <f>LOOKUP(N302,Sheet2!$V$4:$W$7)</f>
        <v>0.7+</v>
      </c>
      <c r="P302" s="1">
        <v>30</v>
      </c>
      <c r="Q302" t="str">
        <f>LOOKUP(P302,Sheet2!$Z$4:$AA$7)</f>
        <v>26-35</v>
      </c>
      <c r="R302" s="1">
        <v>1</v>
      </c>
      <c r="S302" t="str">
        <f>IF(R302=1,"Positive","Negative")</f>
        <v>Positive</v>
      </c>
      <c r="T302" s="1" t="str">
        <f>IFERROR(VLOOKUP(A302,[1]diabetes_Recognition!$A:$B,2,FALSE),"Not Sampled")</f>
        <v>Not Sampled</v>
      </c>
      <c r="U302" t="str">
        <f>IF(T302=1,"Positive",(IF(T302=0,"Negative","Not Sampled")))</f>
        <v>Not Sampled</v>
      </c>
      <c r="V302" s="1" t="str">
        <f>IF(U302="Not Sampled","Not Sampled",IF(S302=U302,"Accurate Prediction","Inaccurate Prediction"))</f>
        <v>Not Sampled</v>
      </c>
    </row>
    <row r="303" spans="1:22" x14ac:dyDescent="0.25">
      <c r="A303" s="1">
        <v>301</v>
      </c>
      <c r="B303" s="1">
        <v>2</v>
      </c>
      <c r="C303" s="1">
        <f>LOOKUP(B303,Sheet2!$D$4:$E$9)</f>
        <v>2</v>
      </c>
      <c r="D303" s="1">
        <v>144</v>
      </c>
      <c r="E303" t="str">
        <f>LOOKUP(D303,Sheet2!$G$4:$H$9)</f>
        <v>126-150</v>
      </c>
      <c r="F303" s="1">
        <v>58</v>
      </c>
      <c r="G303" t="str">
        <f>LOOKUP(F303,Sheet2!$J$4:$K$8)</f>
        <v>1-59</v>
      </c>
      <c r="H303" s="1">
        <v>33</v>
      </c>
      <c r="I303" t="str">
        <f>LOOKUP(H303,Sheet2!$M$4:$N$8)</f>
        <v>30-39</v>
      </c>
      <c r="J303" s="1">
        <v>135</v>
      </c>
      <c r="K303" t="str">
        <f>LOOKUP(J303,Sheet2!$P$4:$Q$9)</f>
        <v>100-199</v>
      </c>
      <c r="L303" s="1">
        <v>31.6</v>
      </c>
      <c r="M303" t="str">
        <f>LOOKUP(L303,Sheet2!$S$4:$T$8)</f>
        <v>31-35</v>
      </c>
      <c r="N303" s="1">
        <v>0.42199999999999999</v>
      </c>
      <c r="O303" t="str">
        <f>LOOKUP(N303,Sheet2!$V$4:$W$7)</f>
        <v>0.4 - 0.69</v>
      </c>
      <c r="P303" s="1">
        <v>25</v>
      </c>
      <c r="Q303" t="str">
        <f>LOOKUP(P303,Sheet2!$Z$4:$AA$7)</f>
        <v>&lt;=25</v>
      </c>
      <c r="R303" s="1">
        <v>1</v>
      </c>
      <c r="S303" t="str">
        <f>IF(R303=1,"Positive","Negative")</f>
        <v>Positive</v>
      </c>
      <c r="T303" s="1">
        <f>IFERROR(VLOOKUP(A303,[1]diabetes_Recognition!$A:$B,2,FALSE),"Not Sampled")</f>
        <v>0</v>
      </c>
      <c r="U303" t="str">
        <f>IF(T303=1,"Positive",(IF(T303=0,"Negative","Not Sampled")))</f>
        <v>Negative</v>
      </c>
      <c r="V303" s="1" t="str">
        <f>IF(U303="Not Sampled","Not Sampled",IF(S303=U303,"Accurate Prediction","Inaccurate Prediction"))</f>
        <v>Inaccurate Prediction</v>
      </c>
    </row>
    <row r="304" spans="1:22" x14ac:dyDescent="0.25">
      <c r="A304" s="1">
        <v>302</v>
      </c>
      <c r="B304" s="1">
        <v>5</v>
      </c>
      <c r="C304" s="1" t="str">
        <f>LOOKUP(B304,Sheet2!$D$4:$E$9)</f>
        <v>5-7</v>
      </c>
      <c r="D304" s="1">
        <v>77</v>
      </c>
      <c r="E304" t="str">
        <f>LOOKUP(D304,Sheet2!$G$4:$H$9)</f>
        <v>1-99</v>
      </c>
      <c r="F304" s="1">
        <v>82</v>
      </c>
      <c r="G304" t="str">
        <f>LOOKUP(F304,Sheet2!$J$4:$K$8)</f>
        <v>80+</v>
      </c>
      <c r="H304" s="1">
        <v>41</v>
      </c>
      <c r="I304" t="str">
        <f>LOOKUP(H304,Sheet2!$M$4:$N$8)</f>
        <v>40+</v>
      </c>
      <c r="J304" s="1">
        <v>42</v>
      </c>
      <c r="K304" t="str">
        <f>LOOKUP(J304,Sheet2!$P$4:$Q$9)</f>
        <v>1-99</v>
      </c>
      <c r="L304" s="1">
        <v>35.799999999999997</v>
      </c>
      <c r="M304" t="str">
        <f>LOOKUP(L304,Sheet2!$S$4:$T$8)</f>
        <v>31-35</v>
      </c>
      <c r="N304" s="1">
        <v>0.156</v>
      </c>
      <c r="O304" t="str">
        <f>LOOKUP(N304,Sheet2!$V$4:$W$7)</f>
        <v>0.0 - 0.249</v>
      </c>
      <c r="P304" s="1">
        <v>35</v>
      </c>
      <c r="Q304" t="str">
        <f>LOOKUP(P304,Sheet2!$Z$4:$AA$7)</f>
        <v>26-35</v>
      </c>
      <c r="R304" s="1">
        <v>0</v>
      </c>
      <c r="S304" t="str">
        <f>IF(R304=1,"Positive","Negative")</f>
        <v>Negative</v>
      </c>
      <c r="T304" s="1">
        <f>IFERROR(VLOOKUP(A304,[1]diabetes_Recognition!$A:$B,2,FALSE),"Not Sampled")</f>
        <v>0</v>
      </c>
      <c r="U304" t="str">
        <f>IF(T304=1,"Positive",(IF(T304=0,"Negative","Not Sampled")))</f>
        <v>Negative</v>
      </c>
      <c r="V304" s="1" t="str">
        <f>IF(U304="Not Sampled","Not Sampled",IF(S304=U304,"Accurate Prediction","Inaccurate Prediction"))</f>
        <v>Accurate Prediction</v>
      </c>
    </row>
    <row r="305" spans="1:22" x14ac:dyDescent="0.25">
      <c r="A305" s="1">
        <v>303</v>
      </c>
      <c r="B305" s="1">
        <v>5</v>
      </c>
      <c r="C305" s="1" t="str">
        <f>LOOKUP(B305,Sheet2!$D$4:$E$9)</f>
        <v>5-7</v>
      </c>
      <c r="D305" s="1">
        <v>115</v>
      </c>
      <c r="E305" t="str">
        <f>LOOKUP(D305,Sheet2!$G$4:$H$9)</f>
        <v>100-125</v>
      </c>
      <c r="F305" s="1">
        <v>98</v>
      </c>
      <c r="G305" t="str">
        <f>LOOKUP(F305,Sheet2!$J$4:$K$8)</f>
        <v>80+</v>
      </c>
      <c r="H305" s="1">
        <v>0</v>
      </c>
      <c r="I305" t="str">
        <f>LOOKUP(H305,Sheet2!$M$4:$N$8)</f>
        <v>Unknown</v>
      </c>
      <c r="J305" s="1">
        <v>0</v>
      </c>
      <c r="K305" t="str">
        <f>LOOKUP(J305,Sheet2!$P$4:$Q$9)</f>
        <v>Unknown</v>
      </c>
      <c r="L305" s="1">
        <v>52.9</v>
      </c>
      <c r="M305" t="str">
        <f>LOOKUP(L305,Sheet2!$S$4:$T$8)</f>
        <v>36+</v>
      </c>
      <c r="N305" s="1">
        <v>0.20899999999999999</v>
      </c>
      <c r="O305" t="str">
        <f>LOOKUP(N305,Sheet2!$V$4:$W$7)</f>
        <v>0.0 - 0.249</v>
      </c>
      <c r="P305" s="1">
        <v>28</v>
      </c>
      <c r="Q305" t="str">
        <f>LOOKUP(P305,Sheet2!$Z$4:$AA$7)</f>
        <v>26-35</v>
      </c>
      <c r="R305" s="1">
        <v>1</v>
      </c>
      <c r="S305" t="str">
        <f>IF(R305=1,"Positive","Negative")</f>
        <v>Positive</v>
      </c>
      <c r="T305" s="1">
        <f>IFERROR(VLOOKUP(A305,[1]diabetes_Recognition!$A:$B,2,FALSE),"Not Sampled")</f>
        <v>1</v>
      </c>
      <c r="U305" t="str">
        <f>IF(T305=1,"Positive",(IF(T305=0,"Negative","Not Sampled")))</f>
        <v>Positive</v>
      </c>
      <c r="V305" s="1" t="str">
        <f>IF(U305="Not Sampled","Not Sampled",IF(S305=U305,"Accurate Prediction","Inaccurate Prediction"))</f>
        <v>Accurate Prediction</v>
      </c>
    </row>
    <row r="306" spans="1:22" x14ac:dyDescent="0.25">
      <c r="A306" s="1">
        <v>304</v>
      </c>
      <c r="B306" s="1">
        <v>3</v>
      </c>
      <c r="C306" s="1" t="str">
        <f>LOOKUP(B306,Sheet2!$D$4:$E$9)</f>
        <v>3-4</v>
      </c>
      <c r="D306" s="1">
        <v>150</v>
      </c>
      <c r="E306" t="str">
        <f>LOOKUP(D306,Sheet2!$G$4:$H$9)</f>
        <v>126-150</v>
      </c>
      <c r="F306" s="1">
        <v>76</v>
      </c>
      <c r="G306" t="str">
        <f>LOOKUP(F306,Sheet2!$J$4:$K$8)</f>
        <v>70-79</v>
      </c>
      <c r="H306" s="1">
        <v>0</v>
      </c>
      <c r="I306" t="str">
        <f>LOOKUP(H306,Sheet2!$M$4:$N$8)</f>
        <v>Unknown</v>
      </c>
      <c r="J306" s="1">
        <v>0</v>
      </c>
      <c r="K306" t="str">
        <f>LOOKUP(J306,Sheet2!$P$4:$Q$9)</f>
        <v>Unknown</v>
      </c>
      <c r="L306" s="1">
        <v>21</v>
      </c>
      <c r="M306" t="str">
        <f>LOOKUP(L306,Sheet2!$S$4:$T$8)</f>
        <v>1-25</v>
      </c>
      <c r="N306" s="1">
        <v>0.20699999999999999</v>
      </c>
      <c r="O306" t="str">
        <f>LOOKUP(N306,Sheet2!$V$4:$W$7)</f>
        <v>0.0 - 0.249</v>
      </c>
      <c r="P306" s="1">
        <v>37</v>
      </c>
      <c r="Q306" t="str">
        <f>LOOKUP(P306,Sheet2!$Z$4:$AA$7)</f>
        <v>36-45</v>
      </c>
      <c r="R306" s="1">
        <v>0</v>
      </c>
      <c r="S306" t="str">
        <f>IF(R306=1,"Positive","Negative")</f>
        <v>Negative</v>
      </c>
      <c r="T306" s="1">
        <f>IFERROR(VLOOKUP(A306,[1]diabetes_Recognition!$A:$B,2,FALSE),"Not Sampled")</f>
        <v>0</v>
      </c>
      <c r="U306" t="str">
        <f>IF(T306=1,"Positive",(IF(T306=0,"Negative","Not Sampled")))</f>
        <v>Negative</v>
      </c>
      <c r="V306" s="1" t="str">
        <f>IF(U306="Not Sampled","Not Sampled",IF(S306=U306,"Accurate Prediction","Inaccurate Prediction"))</f>
        <v>Accurate Prediction</v>
      </c>
    </row>
    <row r="307" spans="1:22" x14ac:dyDescent="0.25">
      <c r="A307" s="1">
        <v>305</v>
      </c>
      <c r="B307" s="1">
        <v>2</v>
      </c>
      <c r="C307" s="1">
        <f>LOOKUP(B307,Sheet2!$D$4:$E$9)</f>
        <v>2</v>
      </c>
      <c r="D307" s="1">
        <v>120</v>
      </c>
      <c r="E307" t="str">
        <f>LOOKUP(D307,Sheet2!$G$4:$H$9)</f>
        <v>100-125</v>
      </c>
      <c r="F307" s="1">
        <v>76</v>
      </c>
      <c r="G307" t="str">
        <f>LOOKUP(F307,Sheet2!$J$4:$K$8)</f>
        <v>70-79</v>
      </c>
      <c r="H307" s="1">
        <v>37</v>
      </c>
      <c r="I307" t="str">
        <f>LOOKUP(H307,Sheet2!$M$4:$N$8)</f>
        <v>30-39</v>
      </c>
      <c r="J307" s="1">
        <v>105</v>
      </c>
      <c r="K307" t="str">
        <f>LOOKUP(J307,Sheet2!$P$4:$Q$9)</f>
        <v>100-199</v>
      </c>
      <c r="L307" s="1">
        <v>39.700000000000003</v>
      </c>
      <c r="M307" t="str">
        <f>LOOKUP(L307,Sheet2!$S$4:$T$8)</f>
        <v>36+</v>
      </c>
      <c r="N307" s="1">
        <v>0.215</v>
      </c>
      <c r="O307" t="str">
        <f>LOOKUP(N307,Sheet2!$V$4:$W$7)</f>
        <v>0.0 - 0.249</v>
      </c>
      <c r="P307" s="1">
        <v>29</v>
      </c>
      <c r="Q307" t="str">
        <f>LOOKUP(P307,Sheet2!$Z$4:$AA$7)</f>
        <v>26-35</v>
      </c>
      <c r="R307" s="1">
        <v>0</v>
      </c>
      <c r="S307" t="str">
        <f>IF(R307=1,"Positive","Negative")</f>
        <v>Negative</v>
      </c>
      <c r="T307" s="1">
        <f>IFERROR(VLOOKUP(A307,[1]diabetes_Recognition!$A:$B,2,FALSE),"Not Sampled")</f>
        <v>0</v>
      </c>
      <c r="U307" t="str">
        <f>IF(T307=1,"Positive",(IF(T307=0,"Negative","Not Sampled")))</f>
        <v>Negative</v>
      </c>
      <c r="V307" s="1" t="str">
        <f>IF(U307="Not Sampled","Not Sampled",IF(S307=U307,"Accurate Prediction","Inaccurate Prediction"))</f>
        <v>Accurate Prediction</v>
      </c>
    </row>
    <row r="308" spans="1:22" x14ac:dyDescent="0.25">
      <c r="A308" s="1">
        <v>306</v>
      </c>
      <c r="B308" s="1">
        <v>10</v>
      </c>
      <c r="C308" s="1" t="str">
        <f>LOOKUP(B308,Sheet2!$D$4:$E$9)</f>
        <v>8+</v>
      </c>
      <c r="D308" s="1">
        <v>161</v>
      </c>
      <c r="E308" t="str">
        <f>LOOKUP(D308,Sheet2!$G$4:$H$9)</f>
        <v>151-175</v>
      </c>
      <c r="F308" s="1">
        <v>68</v>
      </c>
      <c r="G308" t="str">
        <f>LOOKUP(F308,Sheet2!$J$4:$K$8)</f>
        <v>60-69</v>
      </c>
      <c r="H308" s="1">
        <v>23</v>
      </c>
      <c r="I308" t="str">
        <f>LOOKUP(H308,Sheet2!$M$4:$N$8)</f>
        <v>10-30</v>
      </c>
      <c r="J308" s="1">
        <v>132</v>
      </c>
      <c r="K308" t="str">
        <f>LOOKUP(J308,Sheet2!$P$4:$Q$9)</f>
        <v>100-199</v>
      </c>
      <c r="L308" s="1">
        <v>25.5</v>
      </c>
      <c r="M308" t="str">
        <f>LOOKUP(L308,Sheet2!$S$4:$T$8)</f>
        <v>1-25</v>
      </c>
      <c r="N308" s="1">
        <v>0.32600000000000001</v>
      </c>
      <c r="O308" t="str">
        <f>LOOKUP(N308,Sheet2!$V$4:$W$7)</f>
        <v>0.25 - 0.39</v>
      </c>
      <c r="P308" s="1">
        <v>47</v>
      </c>
      <c r="Q308" t="str">
        <f>LOOKUP(P308,Sheet2!$Z$4:$AA$7)</f>
        <v>46+</v>
      </c>
      <c r="R308" s="1">
        <v>1</v>
      </c>
      <c r="S308" t="str">
        <f>IF(R308=1,"Positive","Negative")</f>
        <v>Positive</v>
      </c>
      <c r="T308" s="1">
        <f>IFERROR(VLOOKUP(A308,[1]diabetes_Recognition!$A:$B,2,FALSE),"Not Sampled")</f>
        <v>1</v>
      </c>
      <c r="U308" t="str">
        <f>IF(T308=1,"Positive",(IF(T308=0,"Negative","Not Sampled")))</f>
        <v>Positive</v>
      </c>
      <c r="V308" s="1" t="str">
        <f>IF(U308="Not Sampled","Not Sampled",IF(S308=U308,"Accurate Prediction","Inaccurate Prediction"))</f>
        <v>Accurate Prediction</v>
      </c>
    </row>
    <row r="309" spans="1:22" x14ac:dyDescent="0.25">
      <c r="A309" s="1">
        <v>307</v>
      </c>
      <c r="B309" s="1">
        <v>0</v>
      </c>
      <c r="C309" s="1">
        <f>LOOKUP(B309,Sheet2!$D$4:$E$9)</f>
        <v>0</v>
      </c>
      <c r="D309" s="1">
        <v>137</v>
      </c>
      <c r="E309" t="str">
        <f>LOOKUP(D309,Sheet2!$G$4:$H$9)</f>
        <v>126-150</v>
      </c>
      <c r="F309" s="1">
        <v>68</v>
      </c>
      <c r="G309" t="str">
        <f>LOOKUP(F309,Sheet2!$J$4:$K$8)</f>
        <v>60-69</v>
      </c>
      <c r="H309" s="1">
        <v>14</v>
      </c>
      <c r="I309" t="str">
        <f>LOOKUP(H309,Sheet2!$M$4:$N$8)</f>
        <v>10-30</v>
      </c>
      <c r="J309" s="1">
        <v>148</v>
      </c>
      <c r="K309" t="str">
        <f>LOOKUP(J309,Sheet2!$P$4:$Q$9)</f>
        <v>100-199</v>
      </c>
      <c r="L309" s="1">
        <v>24.8</v>
      </c>
      <c r="M309" t="str">
        <f>LOOKUP(L309,Sheet2!$S$4:$T$8)</f>
        <v>1-25</v>
      </c>
      <c r="N309" s="1">
        <v>0.14299999999999999</v>
      </c>
      <c r="O309" t="str">
        <f>LOOKUP(N309,Sheet2!$V$4:$W$7)</f>
        <v>0.0 - 0.249</v>
      </c>
      <c r="P309" s="1">
        <v>21</v>
      </c>
      <c r="Q309" t="str">
        <f>LOOKUP(P309,Sheet2!$Z$4:$AA$7)</f>
        <v>&lt;=25</v>
      </c>
      <c r="R309" s="1">
        <v>0</v>
      </c>
      <c r="S309" t="str">
        <f>IF(R309=1,"Positive","Negative")</f>
        <v>Negative</v>
      </c>
      <c r="T309" s="1" t="str">
        <f>IFERROR(VLOOKUP(A309,[1]diabetes_Recognition!$A:$B,2,FALSE),"Not Sampled")</f>
        <v>Not Sampled</v>
      </c>
      <c r="U309" t="str">
        <f>IF(T309=1,"Positive",(IF(T309=0,"Negative","Not Sampled")))</f>
        <v>Not Sampled</v>
      </c>
      <c r="V309" s="1" t="str">
        <f>IF(U309="Not Sampled","Not Sampled",IF(S309=U309,"Accurate Prediction","Inaccurate Prediction"))</f>
        <v>Not Sampled</v>
      </c>
    </row>
    <row r="310" spans="1:22" x14ac:dyDescent="0.25">
      <c r="A310" s="1">
        <v>308</v>
      </c>
      <c r="B310" s="1">
        <v>0</v>
      </c>
      <c r="C310" s="1">
        <f>LOOKUP(B310,Sheet2!$D$4:$E$9)</f>
        <v>0</v>
      </c>
      <c r="D310" s="1">
        <v>128</v>
      </c>
      <c r="E310" t="str">
        <f>LOOKUP(D310,Sheet2!$G$4:$H$9)</f>
        <v>126-150</v>
      </c>
      <c r="F310" s="1">
        <v>68</v>
      </c>
      <c r="G310" t="str">
        <f>LOOKUP(F310,Sheet2!$J$4:$K$8)</f>
        <v>60-69</v>
      </c>
      <c r="H310" s="1">
        <v>19</v>
      </c>
      <c r="I310" t="str">
        <f>LOOKUP(H310,Sheet2!$M$4:$N$8)</f>
        <v>10-30</v>
      </c>
      <c r="J310" s="1">
        <v>180</v>
      </c>
      <c r="K310" t="str">
        <f>LOOKUP(J310,Sheet2!$P$4:$Q$9)</f>
        <v>100-199</v>
      </c>
      <c r="L310" s="1">
        <v>30.5</v>
      </c>
      <c r="M310" t="str">
        <f>LOOKUP(L310,Sheet2!$S$4:$T$8)</f>
        <v>26-30</v>
      </c>
      <c r="N310" s="1">
        <v>1.391</v>
      </c>
      <c r="O310" t="str">
        <f>LOOKUP(N310,Sheet2!$V$4:$W$7)</f>
        <v>0.7+</v>
      </c>
      <c r="P310" s="1">
        <v>25</v>
      </c>
      <c r="Q310" t="str">
        <f>LOOKUP(P310,Sheet2!$Z$4:$AA$7)</f>
        <v>&lt;=25</v>
      </c>
      <c r="R310" s="1">
        <v>1</v>
      </c>
      <c r="S310" t="str">
        <f>IF(R310=1,"Positive","Negative")</f>
        <v>Positive</v>
      </c>
      <c r="T310" s="1" t="str">
        <f>IFERROR(VLOOKUP(A310,[1]diabetes_Recognition!$A:$B,2,FALSE),"Not Sampled")</f>
        <v>Not Sampled</v>
      </c>
      <c r="U310" t="str">
        <f>IF(T310=1,"Positive",(IF(T310=0,"Negative","Not Sampled")))</f>
        <v>Not Sampled</v>
      </c>
      <c r="V310" s="1" t="str">
        <f>IF(U310="Not Sampled","Not Sampled",IF(S310=U310,"Accurate Prediction","Inaccurate Prediction"))</f>
        <v>Not Sampled</v>
      </c>
    </row>
    <row r="311" spans="1:22" x14ac:dyDescent="0.25">
      <c r="A311" s="1">
        <v>309</v>
      </c>
      <c r="B311" s="1">
        <v>2</v>
      </c>
      <c r="C311" s="1">
        <f>LOOKUP(B311,Sheet2!$D$4:$E$9)</f>
        <v>2</v>
      </c>
      <c r="D311" s="1">
        <v>124</v>
      </c>
      <c r="E311" t="str">
        <f>LOOKUP(D311,Sheet2!$G$4:$H$9)</f>
        <v>100-125</v>
      </c>
      <c r="F311" s="1">
        <v>68</v>
      </c>
      <c r="G311" t="str">
        <f>LOOKUP(F311,Sheet2!$J$4:$K$8)</f>
        <v>60-69</v>
      </c>
      <c r="H311" s="1">
        <v>28</v>
      </c>
      <c r="I311" t="str">
        <f>LOOKUP(H311,Sheet2!$M$4:$N$8)</f>
        <v>10-30</v>
      </c>
      <c r="J311" s="1">
        <v>205</v>
      </c>
      <c r="K311" t="str">
        <f>LOOKUP(J311,Sheet2!$P$4:$Q$9)</f>
        <v>200-399</v>
      </c>
      <c r="L311" s="1">
        <v>32.9</v>
      </c>
      <c r="M311" t="str">
        <f>LOOKUP(L311,Sheet2!$S$4:$T$8)</f>
        <v>31-35</v>
      </c>
      <c r="N311" s="1">
        <v>0.875</v>
      </c>
      <c r="O311" t="str">
        <f>LOOKUP(N311,Sheet2!$V$4:$W$7)</f>
        <v>0.7+</v>
      </c>
      <c r="P311" s="1">
        <v>30</v>
      </c>
      <c r="Q311" t="str">
        <f>LOOKUP(P311,Sheet2!$Z$4:$AA$7)</f>
        <v>26-35</v>
      </c>
      <c r="R311" s="1">
        <v>1</v>
      </c>
      <c r="S311" t="str">
        <f>IF(R311=1,"Positive","Negative")</f>
        <v>Positive</v>
      </c>
      <c r="T311" s="1">
        <f>IFERROR(VLOOKUP(A311,[1]diabetes_Recognition!$A:$B,2,FALSE),"Not Sampled")</f>
        <v>0</v>
      </c>
      <c r="U311" t="str">
        <f>IF(T311=1,"Positive",(IF(T311=0,"Negative","Not Sampled")))</f>
        <v>Negative</v>
      </c>
      <c r="V311" s="1" t="str">
        <f>IF(U311="Not Sampled","Not Sampled",IF(S311=U311,"Accurate Prediction","Inaccurate Prediction"))</f>
        <v>Inaccurate Prediction</v>
      </c>
    </row>
    <row r="312" spans="1:22" x14ac:dyDescent="0.25">
      <c r="A312" s="1">
        <v>310</v>
      </c>
      <c r="B312" s="1">
        <v>6</v>
      </c>
      <c r="C312" s="1" t="str">
        <f>LOOKUP(B312,Sheet2!$D$4:$E$9)</f>
        <v>5-7</v>
      </c>
      <c r="D312" s="1">
        <v>80</v>
      </c>
      <c r="E312" t="str">
        <f>LOOKUP(D312,Sheet2!$G$4:$H$9)</f>
        <v>1-99</v>
      </c>
      <c r="F312" s="1">
        <v>66</v>
      </c>
      <c r="G312" t="str">
        <f>LOOKUP(F312,Sheet2!$J$4:$K$8)</f>
        <v>60-69</v>
      </c>
      <c r="H312" s="1">
        <v>30</v>
      </c>
      <c r="I312" t="str">
        <f>LOOKUP(H312,Sheet2!$M$4:$N$8)</f>
        <v>30-39</v>
      </c>
      <c r="J312" s="1">
        <v>0</v>
      </c>
      <c r="K312" t="str">
        <f>LOOKUP(J312,Sheet2!$P$4:$Q$9)</f>
        <v>Unknown</v>
      </c>
      <c r="L312" s="1">
        <v>26.2</v>
      </c>
      <c r="M312" t="str">
        <f>LOOKUP(L312,Sheet2!$S$4:$T$8)</f>
        <v>26-30</v>
      </c>
      <c r="N312" s="1">
        <v>0.313</v>
      </c>
      <c r="O312" t="str">
        <f>LOOKUP(N312,Sheet2!$V$4:$W$7)</f>
        <v>0.25 - 0.39</v>
      </c>
      <c r="P312" s="1">
        <v>41</v>
      </c>
      <c r="Q312" t="str">
        <f>LOOKUP(P312,Sheet2!$Z$4:$AA$7)</f>
        <v>36-45</v>
      </c>
      <c r="R312" s="1">
        <v>0</v>
      </c>
      <c r="S312" t="str">
        <f>IF(R312=1,"Positive","Negative")</f>
        <v>Negative</v>
      </c>
      <c r="T312" s="1" t="str">
        <f>IFERROR(VLOOKUP(A312,[1]diabetes_Recognition!$A:$B,2,FALSE),"Not Sampled")</f>
        <v>Not Sampled</v>
      </c>
      <c r="U312" t="str">
        <f>IF(T312=1,"Positive",(IF(T312=0,"Negative","Not Sampled")))</f>
        <v>Not Sampled</v>
      </c>
      <c r="V312" s="1" t="str">
        <f>IF(U312="Not Sampled","Not Sampled",IF(S312=U312,"Accurate Prediction","Inaccurate Prediction"))</f>
        <v>Not Sampled</v>
      </c>
    </row>
    <row r="313" spans="1:22" x14ac:dyDescent="0.25">
      <c r="A313" s="1">
        <v>311</v>
      </c>
      <c r="B313" s="1">
        <v>0</v>
      </c>
      <c r="C313" s="1">
        <f>LOOKUP(B313,Sheet2!$D$4:$E$9)</f>
        <v>0</v>
      </c>
      <c r="D313" s="1">
        <v>106</v>
      </c>
      <c r="E313" t="str">
        <f>LOOKUP(D313,Sheet2!$G$4:$H$9)</f>
        <v>100-125</v>
      </c>
      <c r="F313" s="1">
        <v>70</v>
      </c>
      <c r="G313" t="str">
        <f>LOOKUP(F313,Sheet2!$J$4:$K$8)</f>
        <v>70-79</v>
      </c>
      <c r="H313" s="1">
        <v>37</v>
      </c>
      <c r="I313" t="str">
        <f>LOOKUP(H313,Sheet2!$M$4:$N$8)</f>
        <v>30-39</v>
      </c>
      <c r="J313" s="1">
        <v>148</v>
      </c>
      <c r="K313" t="str">
        <f>LOOKUP(J313,Sheet2!$P$4:$Q$9)</f>
        <v>100-199</v>
      </c>
      <c r="L313" s="1">
        <v>39.4</v>
      </c>
      <c r="M313" t="str">
        <f>LOOKUP(L313,Sheet2!$S$4:$T$8)</f>
        <v>36+</v>
      </c>
      <c r="N313" s="1">
        <v>0.60499999999999998</v>
      </c>
      <c r="O313" t="str">
        <f>LOOKUP(N313,Sheet2!$V$4:$W$7)</f>
        <v>0.4 - 0.69</v>
      </c>
      <c r="P313" s="1">
        <v>22</v>
      </c>
      <c r="Q313" t="str">
        <f>LOOKUP(P313,Sheet2!$Z$4:$AA$7)</f>
        <v>&lt;=25</v>
      </c>
      <c r="R313" s="1">
        <v>0</v>
      </c>
      <c r="S313" t="str">
        <f>IF(R313=1,"Positive","Negative")</f>
        <v>Negative</v>
      </c>
      <c r="T313" s="1" t="str">
        <f>IFERROR(VLOOKUP(A313,[1]diabetes_Recognition!$A:$B,2,FALSE),"Not Sampled")</f>
        <v>Not Sampled</v>
      </c>
      <c r="U313" t="str">
        <f>IF(T313=1,"Positive",(IF(T313=0,"Negative","Not Sampled")))</f>
        <v>Not Sampled</v>
      </c>
      <c r="V313" s="1" t="str">
        <f>IF(U313="Not Sampled","Not Sampled",IF(S313=U313,"Accurate Prediction","Inaccurate Prediction"))</f>
        <v>Not Sampled</v>
      </c>
    </row>
    <row r="314" spans="1:22" x14ac:dyDescent="0.25">
      <c r="A314" s="1">
        <v>312</v>
      </c>
      <c r="B314" s="1">
        <v>2</v>
      </c>
      <c r="C314" s="1">
        <f>LOOKUP(B314,Sheet2!$D$4:$E$9)</f>
        <v>2</v>
      </c>
      <c r="D314" s="1">
        <v>155</v>
      </c>
      <c r="E314" t="str">
        <f>LOOKUP(D314,Sheet2!$G$4:$H$9)</f>
        <v>151-175</v>
      </c>
      <c r="F314" s="1">
        <v>74</v>
      </c>
      <c r="G314" t="str">
        <f>LOOKUP(F314,Sheet2!$J$4:$K$8)</f>
        <v>70-79</v>
      </c>
      <c r="H314" s="1">
        <v>17</v>
      </c>
      <c r="I314" t="str">
        <f>LOOKUP(H314,Sheet2!$M$4:$N$8)</f>
        <v>10-30</v>
      </c>
      <c r="J314" s="1">
        <v>96</v>
      </c>
      <c r="K314" t="str">
        <f>LOOKUP(J314,Sheet2!$P$4:$Q$9)</f>
        <v>1-99</v>
      </c>
      <c r="L314" s="1">
        <v>26.6</v>
      </c>
      <c r="M314" t="str">
        <f>LOOKUP(L314,Sheet2!$S$4:$T$8)</f>
        <v>26-30</v>
      </c>
      <c r="N314" s="1">
        <v>0.433</v>
      </c>
      <c r="O314" t="str">
        <f>LOOKUP(N314,Sheet2!$V$4:$W$7)</f>
        <v>0.4 - 0.69</v>
      </c>
      <c r="P314" s="1">
        <v>27</v>
      </c>
      <c r="Q314" t="str">
        <f>LOOKUP(P314,Sheet2!$Z$4:$AA$7)</f>
        <v>26-35</v>
      </c>
      <c r="R314" s="1">
        <v>1</v>
      </c>
      <c r="S314" t="str">
        <f>IF(R314=1,"Positive","Negative")</f>
        <v>Positive</v>
      </c>
      <c r="T314" s="1" t="str">
        <f>IFERROR(VLOOKUP(A314,[1]diabetes_Recognition!$A:$B,2,FALSE),"Not Sampled")</f>
        <v>Not Sampled</v>
      </c>
      <c r="U314" t="str">
        <f>IF(T314=1,"Positive",(IF(T314=0,"Negative","Not Sampled")))</f>
        <v>Not Sampled</v>
      </c>
      <c r="V314" s="1" t="str">
        <f>IF(U314="Not Sampled","Not Sampled",IF(S314=U314,"Accurate Prediction","Inaccurate Prediction"))</f>
        <v>Not Sampled</v>
      </c>
    </row>
    <row r="315" spans="1:22" x14ac:dyDescent="0.25">
      <c r="A315" s="1">
        <v>313</v>
      </c>
      <c r="B315" s="1">
        <v>3</v>
      </c>
      <c r="C315" s="1" t="str">
        <f>LOOKUP(B315,Sheet2!$D$4:$E$9)</f>
        <v>3-4</v>
      </c>
      <c r="D315" s="1">
        <v>113</v>
      </c>
      <c r="E315" t="str">
        <f>LOOKUP(D315,Sheet2!$G$4:$H$9)</f>
        <v>100-125</v>
      </c>
      <c r="F315" s="1">
        <v>50</v>
      </c>
      <c r="G315" t="str">
        <f>LOOKUP(F315,Sheet2!$J$4:$K$8)</f>
        <v>1-59</v>
      </c>
      <c r="H315" s="1">
        <v>10</v>
      </c>
      <c r="I315" t="str">
        <f>LOOKUP(H315,Sheet2!$M$4:$N$8)</f>
        <v>10-30</v>
      </c>
      <c r="J315" s="1">
        <v>85</v>
      </c>
      <c r="K315" t="str">
        <f>LOOKUP(J315,Sheet2!$P$4:$Q$9)</f>
        <v>1-99</v>
      </c>
      <c r="L315" s="1">
        <v>29.5</v>
      </c>
      <c r="M315" t="str">
        <f>LOOKUP(L315,Sheet2!$S$4:$T$8)</f>
        <v>26-30</v>
      </c>
      <c r="N315" s="1">
        <v>0.626</v>
      </c>
      <c r="O315" t="str">
        <f>LOOKUP(N315,Sheet2!$V$4:$W$7)</f>
        <v>0.4 - 0.69</v>
      </c>
      <c r="P315" s="1">
        <v>25</v>
      </c>
      <c r="Q315" t="str">
        <f>LOOKUP(P315,Sheet2!$Z$4:$AA$7)</f>
        <v>&lt;=25</v>
      </c>
      <c r="R315" s="1">
        <v>0</v>
      </c>
      <c r="S315" t="str">
        <f>IF(R315=1,"Positive","Negative")</f>
        <v>Negative</v>
      </c>
      <c r="T315" s="1" t="str">
        <f>IFERROR(VLOOKUP(A315,[1]diabetes_Recognition!$A:$B,2,FALSE),"Not Sampled")</f>
        <v>Not Sampled</v>
      </c>
      <c r="U315" t="str">
        <f>IF(T315=1,"Positive",(IF(T315=0,"Negative","Not Sampled")))</f>
        <v>Not Sampled</v>
      </c>
      <c r="V315" s="1" t="str">
        <f>IF(U315="Not Sampled","Not Sampled",IF(S315=U315,"Accurate Prediction","Inaccurate Prediction"))</f>
        <v>Not Sampled</v>
      </c>
    </row>
    <row r="316" spans="1:22" x14ac:dyDescent="0.25">
      <c r="A316" s="1">
        <v>314</v>
      </c>
      <c r="B316" s="1">
        <v>7</v>
      </c>
      <c r="C316" s="1" t="str">
        <f>LOOKUP(B316,Sheet2!$D$4:$E$9)</f>
        <v>5-7</v>
      </c>
      <c r="D316" s="1">
        <v>109</v>
      </c>
      <c r="E316" t="str">
        <f>LOOKUP(D316,Sheet2!$G$4:$H$9)</f>
        <v>100-125</v>
      </c>
      <c r="F316" s="1">
        <v>80</v>
      </c>
      <c r="G316" t="str">
        <f>LOOKUP(F316,Sheet2!$J$4:$K$8)</f>
        <v>80+</v>
      </c>
      <c r="H316" s="1">
        <v>31</v>
      </c>
      <c r="I316" t="str">
        <f>LOOKUP(H316,Sheet2!$M$4:$N$8)</f>
        <v>30-39</v>
      </c>
      <c r="J316" s="1">
        <v>0</v>
      </c>
      <c r="K316" t="str">
        <f>LOOKUP(J316,Sheet2!$P$4:$Q$9)</f>
        <v>Unknown</v>
      </c>
      <c r="L316" s="1">
        <v>35.9</v>
      </c>
      <c r="M316" t="str">
        <f>LOOKUP(L316,Sheet2!$S$4:$T$8)</f>
        <v>31-35</v>
      </c>
      <c r="N316" s="1">
        <v>1.127</v>
      </c>
      <c r="O316" t="str">
        <f>LOOKUP(N316,Sheet2!$V$4:$W$7)</f>
        <v>0.7+</v>
      </c>
      <c r="P316" s="1">
        <v>43</v>
      </c>
      <c r="Q316" t="str">
        <f>LOOKUP(P316,Sheet2!$Z$4:$AA$7)</f>
        <v>36-45</v>
      </c>
      <c r="R316" s="1">
        <v>1</v>
      </c>
      <c r="S316" t="str">
        <f>IF(R316=1,"Positive","Negative")</f>
        <v>Positive</v>
      </c>
      <c r="T316" s="1" t="str">
        <f>IFERROR(VLOOKUP(A316,[1]diabetes_Recognition!$A:$B,2,FALSE),"Not Sampled")</f>
        <v>Not Sampled</v>
      </c>
      <c r="U316" t="str">
        <f>IF(T316=1,"Positive",(IF(T316=0,"Negative","Not Sampled")))</f>
        <v>Not Sampled</v>
      </c>
      <c r="V316" s="1" t="str">
        <f>IF(U316="Not Sampled","Not Sampled",IF(S316=U316,"Accurate Prediction","Inaccurate Prediction"))</f>
        <v>Not Sampled</v>
      </c>
    </row>
    <row r="317" spans="1:22" x14ac:dyDescent="0.25">
      <c r="A317" s="1">
        <v>315</v>
      </c>
      <c r="B317" s="1">
        <v>2</v>
      </c>
      <c r="C317" s="1">
        <f>LOOKUP(B317,Sheet2!$D$4:$E$9)</f>
        <v>2</v>
      </c>
      <c r="D317" s="1">
        <v>112</v>
      </c>
      <c r="E317" t="str">
        <f>LOOKUP(D317,Sheet2!$G$4:$H$9)</f>
        <v>100-125</v>
      </c>
      <c r="F317" s="1">
        <v>68</v>
      </c>
      <c r="G317" t="str">
        <f>LOOKUP(F317,Sheet2!$J$4:$K$8)</f>
        <v>60-69</v>
      </c>
      <c r="H317" s="1">
        <v>22</v>
      </c>
      <c r="I317" t="str">
        <f>LOOKUP(H317,Sheet2!$M$4:$N$8)</f>
        <v>10-30</v>
      </c>
      <c r="J317" s="1">
        <v>94</v>
      </c>
      <c r="K317" t="str">
        <f>LOOKUP(J317,Sheet2!$P$4:$Q$9)</f>
        <v>1-99</v>
      </c>
      <c r="L317" s="1">
        <v>34.1</v>
      </c>
      <c r="M317" t="str">
        <f>LOOKUP(L317,Sheet2!$S$4:$T$8)</f>
        <v>31-35</v>
      </c>
      <c r="N317" s="1">
        <v>0.315</v>
      </c>
      <c r="O317" t="str">
        <f>LOOKUP(N317,Sheet2!$V$4:$W$7)</f>
        <v>0.25 - 0.39</v>
      </c>
      <c r="P317" s="1">
        <v>26</v>
      </c>
      <c r="Q317" t="str">
        <f>LOOKUP(P317,Sheet2!$Z$4:$AA$7)</f>
        <v>26-35</v>
      </c>
      <c r="R317" s="1">
        <v>0</v>
      </c>
      <c r="S317" t="str">
        <f>IF(R317=1,"Positive","Negative")</f>
        <v>Negative</v>
      </c>
      <c r="T317" s="1" t="str">
        <f>IFERROR(VLOOKUP(A317,[1]diabetes_Recognition!$A:$B,2,FALSE),"Not Sampled")</f>
        <v>Not Sampled</v>
      </c>
      <c r="U317" t="str">
        <f>IF(T317=1,"Positive",(IF(T317=0,"Negative","Not Sampled")))</f>
        <v>Not Sampled</v>
      </c>
      <c r="V317" s="1" t="str">
        <f>IF(U317="Not Sampled","Not Sampled",IF(S317=U317,"Accurate Prediction","Inaccurate Prediction"))</f>
        <v>Not Sampled</v>
      </c>
    </row>
    <row r="318" spans="1:22" x14ac:dyDescent="0.25">
      <c r="A318" s="1">
        <v>316</v>
      </c>
      <c r="B318" s="1">
        <v>3</v>
      </c>
      <c r="C318" s="1" t="str">
        <f>LOOKUP(B318,Sheet2!$D$4:$E$9)</f>
        <v>3-4</v>
      </c>
      <c r="D318" s="1">
        <v>99</v>
      </c>
      <c r="E318" t="str">
        <f>LOOKUP(D318,Sheet2!$G$4:$H$9)</f>
        <v>1-99</v>
      </c>
      <c r="F318" s="1">
        <v>80</v>
      </c>
      <c r="G318" t="str">
        <f>LOOKUP(F318,Sheet2!$J$4:$K$8)</f>
        <v>80+</v>
      </c>
      <c r="H318" s="1">
        <v>11</v>
      </c>
      <c r="I318" t="str">
        <f>LOOKUP(H318,Sheet2!$M$4:$N$8)</f>
        <v>10-30</v>
      </c>
      <c r="J318" s="1">
        <v>64</v>
      </c>
      <c r="K318" t="str">
        <f>LOOKUP(J318,Sheet2!$P$4:$Q$9)</f>
        <v>1-99</v>
      </c>
      <c r="L318" s="1">
        <v>19.3</v>
      </c>
      <c r="M318" t="str">
        <f>LOOKUP(L318,Sheet2!$S$4:$T$8)</f>
        <v>1-25</v>
      </c>
      <c r="N318" s="1">
        <v>0.28399999999999997</v>
      </c>
      <c r="O318" t="str">
        <f>LOOKUP(N318,Sheet2!$V$4:$W$7)</f>
        <v>0.25 - 0.39</v>
      </c>
      <c r="P318" s="1">
        <v>30</v>
      </c>
      <c r="Q318" t="str">
        <f>LOOKUP(P318,Sheet2!$Z$4:$AA$7)</f>
        <v>26-35</v>
      </c>
      <c r="R318" s="1">
        <v>0</v>
      </c>
      <c r="S318" t="str">
        <f>IF(R318=1,"Positive","Negative")</f>
        <v>Negative</v>
      </c>
      <c r="T318" s="1" t="str">
        <f>IFERROR(VLOOKUP(A318,[1]diabetes_Recognition!$A:$B,2,FALSE),"Not Sampled")</f>
        <v>Not Sampled</v>
      </c>
      <c r="U318" t="str">
        <f>IF(T318=1,"Positive",(IF(T318=0,"Negative","Not Sampled")))</f>
        <v>Not Sampled</v>
      </c>
      <c r="V318" s="1" t="str">
        <f>IF(U318="Not Sampled","Not Sampled",IF(S318=U318,"Accurate Prediction","Inaccurate Prediction"))</f>
        <v>Not Sampled</v>
      </c>
    </row>
    <row r="319" spans="1:22" x14ac:dyDescent="0.25">
      <c r="A319" s="1">
        <v>317</v>
      </c>
      <c r="B319" s="1">
        <v>3</v>
      </c>
      <c r="C319" s="1" t="str">
        <f>LOOKUP(B319,Sheet2!$D$4:$E$9)</f>
        <v>3-4</v>
      </c>
      <c r="D319" s="1">
        <v>182</v>
      </c>
      <c r="E319" t="str">
        <f>LOOKUP(D319,Sheet2!$G$4:$H$9)</f>
        <v>176-200</v>
      </c>
      <c r="F319" s="1">
        <v>74</v>
      </c>
      <c r="G319" t="str">
        <f>LOOKUP(F319,Sheet2!$J$4:$K$8)</f>
        <v>70-79</v>
      </c>
      <c r="H319" s="1">
        <v>0</v>
      </c>
      <c r="I319" t="str">
        <f>LOOKUP(H319,Sheet2!$M$4:$N$8)</f>
        <v>Unknown</v>
      </c>
      <c r="J319" s="1">
        <v>0</v>
      </c>
      <c r="K319" t="str">
        <f>LOOKUP(J319,Sheet2!$P$4:$Q$9)</f>
        <v>Unknown</v>
      </c>
      <c r="L319" s="1">
        <v>30.5</v>
      </c>
      <c r="M319" t="str">
        <f>LOOKUP(L319,Sheet2!$S$4:$T$8)</f>
        <v>26-30</v>
      </c>
      <c r="N319" s="1">
        <v>0.34499999999999997</v>
      </c>
      <c r="O319" t="str">
        <f>LOOKUP(N319,Sheet2!$V$4:$W$7)</f>
        <v>0.25 - 0.39</v>
      </c>
      <c r="P319" s="1">
        <v>29</v>
      </c>
      <c r="Q319" t="str">
        <f>LOOKUP(P319,Sheet2!$Z$4:$AA$7)</f>
        <v>26-35</v>
      </c>
      <c r="R319" s="1">
        <v>1</v>
      </c>
      <c r="S319" t="str">
        <f>IF(R319=1,"Positive","Negative")</f>
        <v>Positive</v>
      </c>
      <c r="T319" s="1" t="str">
        <f>IFERROR(VLOOKUP(A319,[1]diabetes_Recognition!$A:$B,2,FALSE),"Not Sampled")</f>
        <v>Not Sampled</v>
      </c>
      <c r="U319" t="str">
        <f>IF(T319=1,"Positive",(IF(T319=0,"Negative","Not Sampled")))</f>
        <v>Not Sampled</v>
      </c>
      <c r="V319" s="1" t="str">
        <f>IF(U319="Not Sampled","Not Sampled",IF(S319=U319,"Accurate Prediction","Inaccurate Prediction"))</f>
        <v>Not Sampled</v>
      </c>
    </row>
    <row r="320" spans="1:22" x14ac:dyDescent="0.25">
      <c r="A320" s="1">
        <v>318</v>
      </c>
      <c r="B320" s="1">
        <v>3</v>
      </c>
      <c r="C320" s="1" t="str">
        <f>LOOKUP(B320,Sheet2!$D$4:$E$9)</f>
        <v>3-4</v>
      </c>
      <c r="D320" s="1">
        <v>115</v>
      </c>
      <c r="E320" t="str">
        <f>LOOKUP(D320,Sheet2!$G$4:$H$9)</f>
        <v>100-125</v>
      </c>
      <c r="F320" s="1">
        <v>66</v>
      </c>
      <c r="G320" t="str">
        <f>LOOKUP(F320,Sheet2!$J$4:$K$8)</f>
        <v>60-69</v>
      </c>
      <c r="H320" s="1">
        <v>39</v>
      </c>
      <c r="I320" t="str">
        <f>LOOKUP(H320,Sheet2!$M$4:$N$8)</f>
        <v>30-39</v>
      </c>
      <c r="J320" s="1">
        <v>140</v>
      </c>
      <c r="K320" t="str">
        <f>LOOKUP(J320,Sheet2!$P$4:$Q$9)</f>
        <v>100-199</v>
      </c>
      <c r="L320" s="1">
        <v>38.1</v>
      </c>
      <c r="M320" t="str">
        <f>LOOKUP(L320,Sheet2!$S$4:$T$8)</f>
        <v>36+</v>
      </c>
      <c r="N320" s="1">
        <v>0.15</v>
      </c>
      <c r="O320" t="str">
        <f>LOOKUP(N320,Sheet2!$V$4:$W$7)</f>
        <v>0.0 - 0.249</v>
      </c>
      <c r="P320" s="1">
        <v>28</v>
      </c>
      <c r="Q320" t="str">
        <f>LOOKUP(P320,Sheet2!$Z$4:$AA$7)</f>
        <v>26-35</v>
      </c>
      <c r="R320" s="1">
        <v>0</v>
      </c>
      <c r="S320" t="str">
        <f>IF(R320=1,"Positive","Negative")</f>
        <v>Negative</v>
      </c>
      <c r="T320" s="1" t="str">
        <f>IFERROR(VLOOKUP(A320,[1]diabetes_Recognition!$A:$B,2,FALSE),"Not Sampled")</f>
        <v>Not Sampled</v>
      </c>
      <c r="U320" t="str">
        <f>IF(T320=1,"Positive",(IF(T320=0,"Negative","Not Sampled")))</f>
        <v>Not Sampled</v>
      </c>
      <c r="V320" s="1" t="str">
        <f>IF(U320="Not Sampled","Not Sampled",IF(S320=U320,"Accurate Prediction","Inaccurate Prediction"))</f>
        <v>Not Sampled</v>
      </c>
    </row>
    <row r="321" spans="1:22" x14ac:dyDescent="0.25">
      <c r="A321" s="1">
        <v>319</v>
      </c>
      <c r="B321" s="1">
        <v>6</v>
      </c>
      <c r="C321" s="1" t="str">
        <f>LOOKUP(B321,Sheet2!$D$4:$E$9)</f>
        <v>5-7</v>
      </c>
      <c r="D321" s="1">
        <v>194</v>
      </c>
      <c r="E321" t="str">
        <f>LOOKUP(D321,Sheet2!$G$4:$H$9)</f>
        <v>176-200</v>
      </c>
      <c r="F321" s="1">
        <v>78</v>
      </c>
      <c r="G321" t="str">
        <f>LOOKUP(F321,Sheet2!$J$4:$K$8)</f>
        <v>70-79</v>
      </c>
      <c r="H321" s="1">
        <v>0</v>
      </c>
      <c r="I321" t="str">
        <f>LOOKUP(H321,Sheet2!$M$4:$N$8)</f>
        <v>Unknown</v>
      </c>
      <c r="J321" s="1">
        <v>0</v>
      </c>
      <c r="K321" t="str">
        <f>LOOKUP(J321,Sheet2!$P$4:$Q$9)</f>
        <v>Unknown</v>
      </c>
      <c r="L321" s="1">
        <v>23.5</v>
      </c>
      <c r="M321" t="str">
        <f>LOOKUP(L321,Sheet2!$S$4:$T$8)</f>
        <v>1-25</v>
      </c>
      <c r="N321" s="1">
        <v>0.129</v>
      </c>
      <c r="O321" t="str">
        <f>LOOKUP(N321,Sheet2!$V$4:$W$7)</f>
        <v>0.0 - 0.249</v>
      </c>
      <c r="P321" s="1">
        <v>59</v>
      </c>
      <c r="Q321" t="str">
        <f>LOOKUP(P321,Sheet2!$Z$4:$AA$7)</f>
        <v>46+</v>
      </c>
      <c r="R321" s="1">
        <v>1</v>
      </c>
      <c r="S321" t="str">
        <f>IF(R321=1,"Positive","Negative")</f>
        <v>Positive</v>
      </c>
      <c r="T321" s="1" t="str">
        <f>IFERROR(VLOOKUP(A321,[1]diabetes_Recognition!$A:$B,2,FALSE),"Not Sampled")</f>
        <v>Not Sampled</v>
      </c>
      <c r="U321" t="str">
        <f>IF(T321=1,"Positive",(IF(T321=0,"Negative","Not Sampled")))</f>
        <v>Not Sampled</v>
      </c>
      <c r="V321" s="1" t="str">
        <f>IF(U321="Not Sampled","Not Sampled",IF(S321=U321,"Accurate Prediction","Inaccurate Prediction"))</f>
        <v>Not Sampled</v>
      </c>
    </row>
    <row r="322" spans="1:22" x14ac:dyDescent="0.25">
      <c r="A322" s="1">
        <v>320</v>
      </c>
      <c r="B322" s="1">
        <v>4</v>
      </c>
      <c r="C322" s="1" t="str">
        <f>LOOKUP(B322,Sheet2!$D$4:$E$9)</f>
        <v>3-4</v>
      </c>
      <c r="D322" s="1">
        <v>129</v>
      </c>
      <c r="E322" t="str">
        <f>LOOKUP(D322,Sheet2!$G$4:$H$9)</f>
        <v>126-150</v>
      </c>
      <c r="F322" s="1">
        <v>60</v>
      </c>
      <c r="G322" t="str">
        <f>LOOKUP(F322,Sheet2!$J$4:$K$8)</f>
        <v>60-69</v>
      </c>
      <c r="H322" s="1">
        <v>12</v>
      </c>
      <c r="I322" t="str">
        <f>LOOKUP(H322,Sheet2!$M$4:$N$8)</f>
        <v>10-30</v>
      </c>
      <c r="J322" s="1">
        <v>231</v>
      </c>
      <c r="K322" t="str">
        <f>LOOKUP(J322,Sheet2!$P$4:$Q$9)</f>
        <v>200-399</v>
      </c>
      <c r="L322" s="1">
        <v>27.5</v>
      </c>
      <c r="M322" t="str">
        <f>LOOKUP(L322,Sheet2!$S$4:$T$8)</f>
        <v>26-30</v>
      </c>
      <c r="N322" s="1">
        <v>0.52700000000000002</v>
      </c>
      <c r="O322" t="str">
        <f>LOOKUP(N322,Sheet2!$V$4:$W$7)</f>
        <v>0.4 - 0.69</v>
      </c>
      <c r="P322" s="1">
        <v>31</v>
      </c>
      <c r="Q322" t="str">
        <f>LOOKUP(P322,Sheet2!$Z$4:$AA$7)</f>
        <v>26-35</v>
      </c>
      <c r="R322" s="1">
        <v>0</v>
      </c>
      <c r="S322" t="str">
        <f>IF(R322=1,"Positive","Negative")</f>
        <v>Negative</v>
      </c>
      <c r="T322" s="1" t="str">
        <f>IFERROR(VLOOKUP(A322,[1]diabetes_Recognition!$A:$B,2,FALSE),"Not Sampled")</f>
        <v>Not Sampled</v>
      </c>
      <c r="U322" t="str">
        <f>IF(T322=1,"Positive",(IF(T322=0,"Negative","Not Sampled")))</f>
        <v>Not Sampled</v>
      </c>
      <c r="V322" s="1" t="str">
        <f>IF(U322="Not Sampled","Not Sampled",IF(S322=U322,"Accurate Prediction","Inaccurate Prediction"))</f>
        <v>Not Sampled</v>
      </c>
    </row>
    <row r="323" spans="1:22" x14ac:dyDescent="0.25">
      <c r="A323" s="1">
        <v>321</v>
      </c>
      <c r="B323" s="1">
        <v>3</v>
      </c>
      <c r="C323" s="1" t="str">
        <f>LOOKUP(B323,Sheet2!$D$4:$E$9)</f>
        <v>3-4</v>
      </c>
      <c r="D323" s="1">
        <v>112</v>
      </c>
      <c r="E323" t="str">
        <f>LOOKUP(D323,Sheet2!$G$4:$H$9)</f>
        <v>100-125</v>
      </c>
      <c r="F323" s="1">
        <v>74</v>
      </c>
      <c r="G323" t="str">
        <f>LOOKUP(F323,Sheet2!$J$4:$K$8)</f>
        <v>70-79</v>
      </c>
      <c r="H323" s="1">
        <v>30</v>
      </c>
      <c r="I323" t="str">
        <f>LOOKUP(H323,Sheet2!$M$4:$N$8)</f>
        <v>30-39</v>
      </c>
      <c r="J323" s="1">
        <v>0</v>
      </c>
      <c r="K323" t="str">
        <f>LOOKUP(J323,Sheet2!$P$4:$Q$9)</f>
        <v>Unknown</v>
      </c>
      <c r="L323" s="1">
        <v>31.6</v>
      </c>
      <c r="M323" t="str">
        <f>LOOKUP(L323,Sheet2!$S$4:$T$8)</f>
        <v>31-35</v>
      </c>
      <c r="N323" s="1">
        <v>0.19700000000000001</v>
      </c>
      <c r="O323" t="str">
        <f>LOOKUP(N323,Sheet2!$V$4:$W$7)</f>
        <v>0.0 - 0.249</v>
      </c>
      <c r="P323" s="1">
        <v>25</v>
      </c>
      <c r="Q323" t="str">
        <f>LOOKUP(P323,Sheet2!$Z$4:$AA$7)</f>
        <v>&lt;=25</v>
      </c>
      <c r="R323" s="1">
        <v>1</v>
      </c>
      <c r="S323" t="str">
        <f>IF(R323=1,"Positive","Negative")</f>
        <v>Positive</v>
      </c>
      <c r="T323" s="1">
        <f>IFERROR(VLOOKUP(A323,[1]diabetes_Recognition!$A:$B,2,FALSE),"Not Sampled")</f>
        <v>0</v>
      </c>
      <c r="U323" t="str">
        <f>IF(T323=1,"Positive",(IF(T323=0,"Negative","Not Sampled")))</f>
        <v>Negative</v>
      </c>
      <c r="V323" s="1" t="str">
        <f>IF(U323="Not Sampled","Not Sampled",IF(S323=U323,"Accurate Prediction","Inaccurate Prediction"))</f>
        <v>Inaccurate Prediction</v>
      </c>
    </row>
    <row r="324" spans="1:22" x14ac:dyDescent="0.25">
      <c r="A324" s="1">
        <v>322</v>
      </c>
      <c r="B324" s="1">
        <v>0</v>
      </c>
      <c r="C324" s="1">
        <f>LOOKUP(B324,Sheet2!$D$4:$E$9)</f>
        <v>0</v>
      </c>
      <c r="D324" s="1">
        <v>124</v>
      </c>
      <c r="E324" t="str">
        <f>LOOKUP(D324,Sheet2!$G$4:$H$9)</f>
        <v>100-125</v>
      </c>
      <c r="F324" s="1">
        <v>70</v>
      </c>
      <c r="G324" t="str">
        <f>LOOKUP(F324,Sheet2!$J$4:$K$8)</f>
        <v>70-79</v>
      </c>
      <c r="H324" s="1">
        <v>20</v>
      </c>
      <c r="I324" t="str">
        <f>LOOKUP(H324,Sheet2!$M$4:$N$8)</f>
        <v>10-30</v>
      </c>
      <c r="J324" s="1">
        <v>0</v>
      </c>
      <c r="K324" t="str">
        <f>LOOKUP(J324,Sheet2!$P$4:$Q$9)</f>
        <v>Unknown</v>
      </c>
      <c r="L324" s="1">
        <v>27.4</v>
      </c>
      <c r="M324" t="str">
        <f>LOOKUP(L324,Sheet2!$S$4:$T$8)</f>
        <v>26-30</v>
      </c>
      <c r="N324" s="1">
        <v>0.254</v>
      </c>
      <c r="O324" t="str">
        <f>LOOKUP(N324,Sheet2!$V$4:$W$7)</f>
        <v>0.25 - 0.39</v>
      </c>
      <c r="P324" s="1">
        <v>36</v>
      </c>
      <c r="Q324" t="str">
        <f>LOOKUP(P324,Sheet2!$Z$4:$AA$7)</f>
        <v>36-45</v>
      </c>
      <c r="R324" s="1">
        <v>1</v>
      </c>
      <c r="S324" t="str">
        <f>IF(R324=1,"Positive","Negative")</f>
        <v>Positive</v>
      </c>
      <c r="T324" s="1" t="str">
        <f>IFERROR(VLOOKUP(A324,[1]diabetes_Recognition!$A:$B,2,FALSE),"Not Sampled")</f>
        <v>Not Sampled</v>
      </c>
      <c r="U324" t="str">
        <f>IF(T324=1,"Positive",(IF(T324=0,"Negative","Not Sampled")))</f>
        <v>Not Sampled</v>
      </c>
      <c r="V324" s="1" t="str">
        <f>IF(U324="Not Sampled","Not Sampled",IF(S324=U324,"Accurate Prediction","Inaccurate Prediction"))</f>
        <v>Not Sampled</v>
      </c>
    </row>
    <row r="325" spans="1:22" x14ac:dyDescent="0.25">
      <c r="A325" s="1">
        <v>323</v>
      </c>
      <c r="B325" s="1">
        <v>13</v>
      </c>
      <c r="C325" s="1" t="str">
        <f>LOOKUP(B325,Sheet2!$D$4:$E$9)</f>
        <v>8+</v>
      </c>
      <c r="D325" s="1">
        <v>152</v>
      </c>
      <c r="E325" t="str">
        <f>LOOKUP(D325,Sheet2!$G$4:$H$9)</f>
        <v>151-175</v>
      </c>
      <c r="F325" s="1">
        <v>90</v>
      </c>
      <c r="G325" t="str">
        <f>LOOKUP(F325,Sheet2!$J$4:$K$8)</f>
        <v>80+</v>
      </c>
      <c r="H325" s="1">
        <v>33</v>
      </c>
      <c r="I325" t="str">
        <f>LOOKUP(H325,Sheet2!$M$4:$N$8)</f>
        <v>30-39</v>
      </c>
      <c r="J325" s="1">
        <v>29</v>
      </c>
      <c r="K325" t="str">
        <f>LOOKUP(J325,Sheet2!$P$4:$Q$9)</f>
        <v>1-99</v>
      </c>
      <c r="L325" s="1">
        <v>26.8</v>
      </c>
      <c r="M325" t="str">
        <f>LOOKUP(L325,Sheet2!$S$4:$T$8)</f>
        <v>26-30</v>
      </c>
      <c r="N325" s="1">
        <v>0.73099999999999998</v>
      </c>
      <c r="O325" t="str">
        <f>LOOKUP(N325,Sheet2!$V$4:$W$7)</f>
        <v>0.7+</v>
      </c>
      <c r="P325" s="1">
        <v>43</v>
      </c>
      <c r="Q325" t="str">
        <f>LOOKUP(P325,Sheet2!$Z$4:$AA$7)</f>
        <v>36-45</v>
      </c>
      <c r="R325" s="1">
        <v>1</v>
      </c>
      <c r="S325" t="str">
        <f>IF(R325=1,"Positive","Negative")</f>
        <v>Positive</v>
      </c>
      <c r="T325" s="1" t="str">
        <f>IFERROR(VLOOKUP(A325,[1]diabetes_Recognition!$A:$B,2,FALSE),"Not Sampled")</f>
        <v>Not Sampled</v>
      </c>
      <c r="U325" t="str">
        <f>IF(T325=1,"Positive",(IF(T325=0,"Negative","Not Sampled")))</f>
        <v>Not Sampled</v>
      </c>
      <c r="V325" s="1" t="str">
        <f>IF(U325="Not Sampled","Not Sampled",IF(S325=U325,"Accurate Prediction","Inaccurate Prediction"))</f>
        <v>Not Sampled</v>
      </c>
    </row>
    <row r="326" spans="1:22" x14ac:dyDescent="0.25">
      <c r="A326" s="1">
        <v>324</v>
      </c>
      <c r="B326" s="1">
        <v>2</v>
      </c>
      <c r="C326" s="1">
        <f>LOOKUP(B326,Sheet2!$D$4:$E$9)</f>
        <v>2</v>
      </c>
      <c r="D326" s="1">
        <v>112</v>
      </c>
      <c r="E326" t="str">
        <f>LOOKUP(D326,Sheet2!$G$4:$H$9)</f>
        <v>100-125</v>
      </c>
      <c r="F326" s="1">
        <v>75</v>
      </c>
      <c r="G326" t="str">
        <f>LOOKUP(F326,Sheet2!$J$4:$K$8)</f>
        <v>70-79</v>
      </c>
      <c r="H326" s="1">
        <v>32</v>
      </c>
      <c r="I326" t="str">
        <f>LOOKUP(H326,Sheet2!$M$4:$N$8)</f>
        <v>30-39</v>
      </c>
      <c r="J326" s="1">
        <v>0</v>
      </c>
      <c r="K326" t="str">
        <f>LOOKUP(J326,Sheet2!$P$4:$Q$9)</f>
        <v>Unknown</v>
      </c>
      <c r="L326" s="1">
        <v>35.700000000000003</v>
      </c>
      <c r="M326" t="str">
        <f>LOOKUP(L326,Sheet2!$S$4:$T$8)</f>
        <v>31-35</v>
      </c>
      <c r="N326" s="1">
        <v>0.14799999999999999</v>
      </c>
      <c r="O326" t="str">
        <f>LOOKUP(N326,Sheet2!$V$4:$W$7)</f>
        <v>0.0 - 0.249</v>
      </c>
      <c r="P326" s="1">
        <v>21</v>
      </c>
      <c r="Q326" t="str">
        <f>LOOKUP(P326,Sheet2!$Z$4:$AA$7)</f>
        <v>&lt;=25</v>
      </c>
      <c r="R326" s="1">
        <v>0</v>
      </c>
      <c r="S326" t="str">
        <f>IF(R326=1,"Positive","Negative")</f>
        <v>Negative</v>
      </c>
      <c r="T326" s="1" t="str">
        <f>IFERROR(VLOOKUP(A326,[1]diabetes_Recognition!$A:$B,2,FALSE),"Not Sampled")</f>
        <v>Not Sampled</v>
      </c>
      <c r="U326" t="str">
        <f>IF(T326=1,"Positive",(IF(T326=0,"Negative","Not Sampled")))</f>
        <v>Not Sampled</v>
      </c>
      <c r="V326" s="1" t="str">
        <f>IF(U326="Not Sampled","Not Sampled",IF(S326=U326,"Accurate Prediction","Inaccurate Prediction"))</f>
        <v>Not Sampled</v>
      </c>
    </row>
    <row r="327" spans="1:22" x14ac:dyDescent="0.25">
      <c r="A327" s="1">
        <v>325</v>
      </c>
      <c r="B327" s="1">
        <v>1</v>
      </c>
      <c r="C327" s="1">
        <f>LOOKUP(B327,Sheet2!$D$4:$E$9)</f>
        <v>1</v>
      </c>
      <c r="D327" s="1">
        <v>157</v>
      </c>
      <c r="E327" t="str">
        <f>LOOKUP(D327,Sheet2!$G$4:$H$9)</f>
        <v>151-175</v>
      </c>
      <c r="F327" s="1">
        <v>72</v>
      </c>
      <c r="G327" t="str">
        <f>LOOKUP(F327,Sheet2!$J$4:$K$8)</f>
        <v>70-79</v>
      </c>
      <c r="H327" s="1">
        <v>21</v>
      </c>
      <c r="I327" t="str">
        <f>LOOKUP(H327,Sheet2!$M$4:$N$8)</f>
        <v>10-30</v>
      </c>
      <c r="J327" s="1">
        <v>168</v>
      </c>
      <c r="K327" t="str">
        <f>LOOKUP(J327,Sheet2!$P$4:$Q$9)</f>
        <v>100-199</v>
      </c>
      <c r="L327" s="1">
        <v>25.6</v>
      </c>
      <c r="M327" t="str">
        <f>LOOKUP(L327,Sheet2!$S$4:$T$8)</f>
        <v>1-25</v>
      </c>
      <c r="N327" s="1">
        <v>0.123</v>
      </c>
      <c r="O327" t="str">
        <f>LOOKUP(N327,Sheet2!$V$4:$W$7)</f>
        <v>0.0 - 0.249</v>
      </c>
      <c r="P327" s="1">
        <v>24</v>
      </c>
      <c r="Q327" t="str">
        <f>LOOKUP(P327,Sheet2!$Z$4:$AA$7)</f>
        <v>&lt;=25</v>
      </c>
      <c r="R327" s="1">
        <v>0</v>
      </c>
      <c r="S327" t="str">
        <f>IF(R327=1,"Positive","Negative")</f>
        <v>Negative</v>
      </c>
      <c r="T327" s="1">
        <f>IFERROR(VLOOKUP(A327,[1]diabetes_Recognition!$A:$B,2,FALSE),"Not Sampled")</f>
        <v>0</v>
      </c>
      <c r="U327" t="str">
        <f>IF(T327=1,"Positive",(IF(T327=0,"Negative","Not Sampled")))</f>
        <v>Negative</v>
      </c>
      <c r="V327" s="1" t="str">
        <f>IF(U327="Not Sampled","Not Sampled",IF(S327=U327,"Accurate Prediction","Inaccurate Prediction"))</f>
        <v>Accurate Prediction</v>
      </c>
    </row>
    <row r="328" spans="1:22" x14ac:dyDescent="0.25">
      <c r="A328" s="1">
        <v>326</v>
      </c>
      <c r="B328" s="1">
        <v>1</v>
      </c>
      <c r="C328" s="1">
        <f>LOOKUP(B328,Sheet2!$D$4:$E$9)</f>
        <v>1</v>
      </c>
      <c r="D328" s="1">
        <v>122</v>
      </c>
      <c r="E328" t="str">
        <f>LOOKUP(D328,Sheet2!$G$4:$H$9)</f>
        <v>100-125</v>
      </c>
      <c r="F328" s="1">
        <v>64</v>
      </c>
      <c r="G328" t="str">
        <f>LOOKUP(F328,Sheet2!$J$4:$K$8)</f>
        <v>60-69</v>
      </c>
      <c r="H328" s="1">
        <v>32</v>
      </c>
      <c r="I328" t="str">
        <f>LOOKUP(H328,Sheet2!$M$4:$N$8)</f>
        <v>30-39</v>
      </c>
      <c r="J328" s="1">
        <v>156</v>
      </c>
      <c r="K328" t="str">
        <f>LOOKUP(J328,Sheet2!$P$4:$Q$9)</f>
        <v>100-199</v>
      </c>
      <c r="L328" s="1">
        <v>35.1</v>
      </c>
      <c r="M328" t="str">
        <f>LOOKUP(L328,Sheet2!$S$4:$T$8)</f>
        <v>31-35</v>
      </c>
      <c r="N328" s="1">
        <v>0.69199999999999995</v>
      </c>
      <c r="O328" t="str">
        <f>LOOKUP(N328,Sheet2!$V$4:$W$7)</f>
        <v>0.4 - 0.69</v>
      </c>
      <c r="P328" s="1">
        <v>30</v>
      </c>
      <c r="Q328" t="str">
        <f>LOOKUP(P328,Sheet2!$Z$4:$AA$7)</f>
        <v>26-35</v>
      </c>
      <c r="R328" s="1">
        <v>1</v>
      </c>
      <c r="S328" t="str">
        <f>IF(R328=1,"Positive","Negative")</f>
        <v>Positive</v>
      </c>
      <c r="T328" s="1" t="str">
        <f>IFERROR(VLOOKUP(A328,[1]diabetes_Recognition!$A:$B,2,FALSE),"Not Sampled")</f>
        <v>Not Sampled</v>
      </c>
      <c r="U328" t="str">
        <f>IF(T328=1,"Positive",(IF(T328=0,"Negative","Not Sampled")))</f>
        <v>Not Sampled</v>
      </c>
      <c r="V328" s="1" t="str">
        <f>IF(U328="Not Sampled","Not Sampled",IF(S328=U328,"Accurate Prediction","Inaccurate Prediction"))</f>
        <v>Not Sampled</v>
      </c>
    </row>
    <row r="329" spans="1:22" x14ac:dyDescent="0.25">
      <c r="A329" s="1">
        <v>327</v>
      </c>
      <c r="B329" s="1">
        <v>10</v>
      </c>
      <c r="C329" s="1" t="str">
        <f>LOOKUP(B329,Sheet2!$D$4:$E$9)</f>
        <v>8+</v>
      </c>
      <c r="D329" s="1">
        <v>179</v>
      </c>
      <c r="E329" t="str">
        <f>LOOKUP(D329,Sheet2!$G$4:$H$9)</f>
        <v>176-200</v>
      </c>
      <c r="F329" s="1">
        <v>70</v>
      </c>
      <c r="G329" t="str">
        <f>LOOKUP(F329,Sheet2!$J$4:$K$8)</f>
        <v>70-79</v>
      </c>
      <c r="H329" s="1">
        <v>0</v>
      </c>
      <c r="I329" t="str">
        <f>LOOKUP(H329,Sheet2!$M$4:$N$8)</f>
        <v>Unknown</v>
      </c>
      <c r="J329" s="1">
        <v>0</v>
      </c>
      <c r="K329" t="str">
        <f>LOOKUP(J329,Sheet2!$P$4:$Q$9)</f>
        <v>Unknown</v>
      </c>
      <c r="L329" s="1">
        <v>35.1</v>
      </c>
      <c r="M329" t="str">
        <f>LOOKUP(L329,Sheet2!$S$4:$T$8)</f>
        <v>31-35</v>
      </c>
      <c r="N329" s="1">
        <v>0.2</v>
      </c>
      <c r="O329" t="str">
        <f>LOOKUP(N329,Sheet2!$V$4:$W$7)</f>
        <v>0.0 - 0.249</v>
      </c>
      <c r="P329" s="1">
        <v>37</v>
      </c>
      <c r="Q329" t="str">
        <f>LOOKUP(P329,Sheet2!$Z$4:$AA$7)</f>
        <v>36-45</v>
      </c>
      <c r="R329" s="1">
        <v>0</v>
      </c>
      <c r="S329" t="str">
        <f>IF(R329=1,"Positive","Negative")</f>
        <v>Negative</v>
      </c>
      <c r="T329" s="1" t="str">
        <f>IFERROR(VLOOKUP(A329,[1]diabetes_Recognition!$A:$B,2,FALSE),"Not Sampled")</f>
        <v>Not Sampled</v>
      </c>
      <c r="U329" t="str">
        <f>IF(T329=1,"Positive",(IF(T329=0,"Negative","Not Sampled")))</f>
        <v>Not Sampled</v>
      </c>
      <c r="V329" s="1" t="str">
        <f>IF(U329="Not Sampled","Not Sampled",IF(S329=U329,"Accurate Prediction","Inaccurate Prediction"))</f>
        <v>Not Sampled</v>
      </c>
    </row>
    <row r="330" spans="1:22" x14ac:dyDescent="0.25">
      <c r="A330" s="1">
        <v>328</v>
      </c>
      <c r="B330" s="1">
        <v>2</v>
      </c>
      <c r="C330" s="1">
        <f>LOOKUP(B330,Sheet2!$D$4:$E$9)</f>
        <v>2</v>
      </c>
      <c r="D330" s="1">
        <v>102</v>
      </c>
      <c r="E330" t="str">
        <f>LOOKUP(D330,Sheet2!$G$4:$H$9)</f>
        <v>100-125</v>
      </c>
      <c r="F330" s="1">
        <v>86</v>
      </c>
      <c r="G330" t="str">
        <f>LOOKUP(F330,Sheet2!$J$4:$K$8)</f>
        <v>80+</v>
      </c>
      <c r="H330" s="1">
        <v>36</v>
      </c>
      <c r="I330" t="str">
        <f>LOOKUP(H330,Sheet2!$M$4:$N$8)</f>
        <v>30-39</v>
      </c>
      <c r="J330" s="1">
        <v>120</v>
      </c>
      <c r="K330" t="str">
        <f>LOOKUP(J330,Sheet2!$P$4:$Q$9)</f>
        <v>100-199</v>
      </c>
      <c r="L330" s="1">
        <v>45.5</v>
      </c>
      <c r="M330" t="str">
        <f>LOOKUP(L330,Sheet2!$S$4:$T$8)</f>
        <v>36+</v>
      </c>
      <c r="N330" s="1">
        <v>0.127</v>
      </c>
      <c r="O330" t="str">
        <f>LOOKUP(N330,Sheet2!$V$4:$W$7)</f>
        <v>0.0 - 0.249</v>
      </c>
      <c r="P330" s="1">
        <v>23</v>
      </c>
      <c r="Q330" t="str">
        <f>LOOKUP(P330,Sheet2!$Z$4:$AA$7)</f>
        <v>&lt;=25</v>
      </c>
      <c r="R330" s="1">
        <v>1</v>
      </c>
      <c r="S330" t="str">
        <f>IF(R330=1,"Positive","Negative")</f>
        <v>Positive</v>
      </c>
      <c r="T330" s="1" t="str">
        <f>IFERROR(VLOOKUP(A330,[1]diabetes_Recognition!$A:$B,2,FALSE),"Not Sampled")</f>
        <v>Not Sampled</v>
      </c>
      <c r="U330" t="str">
        <f>IF(T330=1,"Positive",(IF(T330=0,"Negative","Not Sampled")))</f>
        <v>Not Sampled</v>
      </c>
      <c r="V330" s="1" t="str">
        <f>IF(U330="Not Sampled","Not Sampled",IF(S330=U330,"Accurate Prediction","Inaccurate Prediction"))</f>
        <v>Not Sampled</v>
      </c>
    </row>
    <row r="331" spans="1:22" x14ac:dyDescent="0.25">
      <c r="A331" s="1">
        <v>329</v>
      </c>
      <c r="B331" s="1">
        <v>6</v>
      </c>
      <c r="C331" s="1" t="str">
        <f>LOOKUP(B331,Sheet2!$D$4:$E$9)</f>
        <v>5-7</v>
      </c>
      <c r="D331" s="1">
        <v>105</v>
      </c>
      <c r="E331" t="str">
        <f>LOOKUP(D331,Sheet2!$G$4:$H$9)</f>
        <v>100-125</v>
      </c>
      <c r="F331" s="1">
        <v>70</v>
      </c>
      <c r="G331" t="str">
        <f>LOOKUP(F331,Sheet2!$J$4:$K$8)</f>
        <v>70-79</v>
      </c>
      <c r="H331" s="1">
        <v>32</v>
      </c>
      <c r="I331" t="str">
        <f>LOOKUP(H331,Sheet2!$M$4:$N$8)</f>
        <v>30-39</v>
      </c>
      <c r="J331" s="1">
        <v>68</v>
      </c>
      <c r="K331" t="str">
        <f>LOOKUP(J331,Sheet2!$P$4:$Q$9)</f>
        <v>1-99</v>
      </c>
      <c r="L331" s="1">
        <v>30.8</v>
      </c>
      <c r="M331" t="str">
        <f>LOOKUP(L331,Sheet2!$S$4:$T$8)</f>
        <v>26-30</v>
      </c>
      <c r="N331" s="1">
        <v>0.122</v>
      </c>
      <c r="O331" t="str">
        <f>LOOKUP(N331,Sheet2!$V$4:$W$7)</f>
        <v>0.0 - 0.249</v>
      </c>
      <c r="P331" s="1">
        <v>37</v>
      </c>
      <c r="Q331" t="str">
        <f>LOOKUP(P331,Sheet2!$Z$4:$AA$7)</f>
        <v>36-45</v>
      </c>
      <c r="R331" s="1">
        <v>0</v>
      </c>
      <c r="S331" t="str">
        <f>IF(R331=1,"Positive","Negative")</f>
        <v>Negative</v>
      </c>
      <c r="T331" s="1" t="str">
        <f>IFERROR(VLOOKUP(A331,[1]diabetes_Recognition!$A:$B,2,FALSE),"Not Sampled")</f>
        <v>Not Sampled</v>
      </c>
      <c r="U331" t="str">
        <f>IF(T331=1,"Positive",(IF(T331=0,"Negative","Not Sampled")))</f>
        <v>Not Sampled</v>
      </c>
      <c r="V331" s="1" t="str">
        <f>IF(U331="Not Sampled","Not Sampled",IF(S331=U331,"Accurate Prediction","Inaccurate Prediction"))</f>
        <v>Not Sampled</v>
      </c>
    </row>
    <row r="332" spans="1:22" x14ac:dyDescent="0.25">
      <c r="A332" s="1">
        <v>330</v>
      </c>
      <c r="B332" s="1">
        <v>8</v>
      </c>
      <c r="C332" s="1" t="str">
        <f>LOOKUP(B332,Sheet2!$D$4:$E$9)</f>
        <v>8+</v>
      </c>
      <c r="D332" s="1">
        <v>118</v>
      </c>
      <c r="E332" t="str">
        <f>LOOKUP(D332,Sheet2!$G$4:$H$9)</f>
        <v>100-125</v>
      </c>
      <c r="F332" s="1">
        <v>72</v>
      </c>
      <c r="G332" t="str">
        <f>LOOKUP(F332,Sheet2!$J$4:$K$8)</f>
        <v>70-79</v>
      </c>
      <c r="H332" s="1">
        <v>19</v>
      </c>
      <c r="I332" t="str">
        <f>LOOKUP(H332,Sheet2!$M$4:$N$8)</f>
        <v>10-30</v>
      </c>
      <c r="J332" s="1">
        <v>0</v>
      </c>
      <c r="K332" t="str">
        <f>LOOKUP(J332,Sheet2!$P$4:$Q$9)</f>
        <v>Unknown</v>
      </c>
      <c r="L332" s="1">
        <v>23.1</v>
      </c>
      <c r="M332" t="str">
        <f>LOOKUP(L332,Sheet2!$S$4:$T$8)</f>
        <v>1-25</v>
      </c>
      <c r="N332" s="1">
        <v>1.476</v>
      </c>
      <c r="O332" t="str">
        <f>LOOKUP(N332,Sheet2!$V$4:$W$7)</f>
        <v>0.7+</v>
      </c>
      <c r="P332" s="1">
        <v>46</v>
      </c>
      <c r="Q332" t="str">
        <f>LOOKUP(P332,Sheet2!$Z$4:$AA$7)</f>
        <v>46+</v>
      </c>
      <c r="R332" s="1">
        <v>0</v>
      </c>
      <c r="S332" t="str">
        <f>IF(R332=1,"Positive","Negative")</f>
        <v>Negative</v>
      </c>
      <c r="T332" s="1">
        <f>IFERROR(VLOOKUP(A332,[1]diabetes_Recognition!$A:$B,2,FALSE),"Not Sampled")</f>
        <v>1</v>
      </c>
      <c r="U332" t="str">
        <f>IF(T332=1,"Positive",(IF(T332=0,"Negative","Not Sampled")))</f>
        <v>Positive</v>
      </c>
      <c r="V332" s="1" t="str">
        <f>IF(U332="Not Sampled","Not Sampled",IF(S332=U332,"Accurate Prediction","Inaccurate Prediction"))</f>
        <v>Inaccurate Prediction</v>
      </c>
    </row>
    <row r="333" spans="1:22" x14ac:dyDescent="0.25">
      <c r="A333" s="1">
        <v>331</v>
      </c>
      <c r="B333" s="1">
        <v>2</v>
      </c>
      <c r="C333" s="1">
        <f>LOOKUP(B333,Sheet2!$D$4:$E$9)</f>
        <v>2</v>
      </c>
      <c r="D333" s="1">
        <v>87</v>
      </c>
      <c r="E333" t="str">
        <f>LOOKUP(D333,Sheet2!$G$4:$H$9)</f>
        <v>1-99</v>
      </c>
      <c r="F333" s="1">
        <v>58</v>
      </c>
      <c r="G333" t="str">
        <f>LOOKUP(F333,Sheet2!$J$4:$K$8)</f>
        <v>1-59</v>
      </c>
      <c r="H333" s="1">
        <v>16</v>
      </c>
      <c r="I333" t="str">
        <f>LOOKUP(H333,Sheet2!$M$4:$N$8)</f>
        <v>10-30</v>
      </c>
      <c r="J333" s="1">
        <v>52</v>
      </c>
      <c r="K333" t="str">
        <f>LOOKUP(J333,Sheet2!$P$4:$Q$9)</f>
        <v>1-99</v>
      </c>
      <c r="L333" s="1">
        <v>32.700000000000003</v>
      </c>
      <c r="M333" t="str">
        <f>LOOKUP(L333,Sheet2!$S$4:$T$8)</f>
        <v>31-35</v>
      </c>
      <c r="N333" s="1">
        <v>0.16600000000000001</v>
      </c>
      <c r="O333" t="str">
        <f>LOOKUP(N333,Sheet2!$V$4:$W$7)</f>
        <v>0.0 - 0.249</v>
      </c>
      <c r="P333" s="1">
        <v>25</v>
      </c>
      <c r="Q333" t="str">
        <f>LOOKUP(P333,Sheet2!$Z$4:$AA$7)</f>
        <v>&lt;=25</v>
      </c>
      <c r="R333" s="1">
        <v>0</v>
      </c>
      <c r="S333" t="str">
        <f>IF(R333=1,"Positive","Negative")</f>
        <v>Negative</v>
      </c>
      <c r="T333" s="1">
        <f>IFERROR(VLOOKUP(A333,[1]diabetes_Recognition!$A:$B,2,FALSE),"Not Sampled")</f>
        <v>0</v>
      </c>
      <c r="U333" t="str">
        <f>IF(T333=1,"Positive",(IF(T333=0,"Negative","Not Sampled")))</f>
        <v>Negative</v>
      </c>
      <c r="V333" s="1" t="str">
        <f>IF(U333="Not Sampled","Not Sampled",IF(S333=U333,"Accurate Prediction","Inaccurate Prediction"))</f>
        <v>Accurate Prediction</v>
      </c>
    </row>
    <row r="334" spans="1:22" x14ac:dyDescent="0.25">
      <c r="A334" s="1">
        <v>332</v>
      </c>
      <c r="B334" s="1">
        <v>1</v>
      </c>
      <c r="C334" s="1">
        <f>LOOKUP(B334,Sheet2!$D$4:$E$9)</f>
        <v>1</v>
      </c>
      <c r="D334" s="1">
        <v>180</v>
      </c>
      <c r="E334" t="str">
        <f>LOOKUP(D334,Sheet2!$G$4:$H$9)</f>
        <v>176-200</v>
      </c>
      <c r="F334" s="1">
        <v>0</v>
      </c>
      <c r="G334" t="str">
        <f>LOOKUP(F334,Sheet2!$J$4:$K$8)</f>
        <v>Unknown</v>
      </c>
      <c r="H334" s="1">
        <v>0</v>
      </c>
      <c r="I334" t="str">
        <f>LOOKUP(H334,Sheet2!$M$4:$N$8)</f>
        <v>Unknown</v>
      </c>
      <c r="J334" s="1">
        <v>0</v>
      </c>
      <c r="K334" t="str">
        <f>LOOKUP(J334,Sheet2!$P$4:$Q$9)</f>
        <v>Unknown</v>
      </c>
      <c r="L334" s="1">
        <v>43.3</v>
      </c>
      <c r="M334" t="str">
        <f>LOOKUP(L334,Sheet2!$S$4:$T$8)</f>
        <v>36+</v>
      </c>
      <c r="N334" s="1">
        <v>0.28199999999999997</v>
      </c>
      <c r="O334" t="str">
        <f>LOOKUP(N334,Sheet2!$V$4:$W$7)</f>
        <v>0.25 - 0.39</v>
      </c>
      <c r="P334" s="1">
        <v>41</v>
      </c>
      <c r="Q334" t="str">
        <f>LOOKUP(P334,Sheet2!$Z$4:$AA$7)</f>
        <v>36-45</v>
      </c>
      <c r="R334" s="1">
        <v>1</v>
      </c>
      <c r="S334" t="str">
        <f>IF(R334=1,"Positive","Negative")</f>
        <v>Positive</v>
      </c>
      <c r="T334" s="1" t="str">
        <f>IFERROR(VLOOKUP(A334,[1]diabetes_Recognition!$A:$B,2,FALSE),"Not Sampled")</f>
        <v>Not Sampled</v>
      </c>
      <c r="U334" t="str">
        <f>IF(T334=1,"Positive",(IF(T334=0,"Negative","Not Sampled")))</f>
        <v>Not Sampled</v>
      </c>
      <c r="V334" s="1" t="str">
        <f>IF(U334="Not Sampled","Not Sampled",IF(S334=U334,"Accurate Prediction","Inaccurate Prediction"))</f>
        <v>Not Sampled</v>
      </c>
    </row>
    <row r="335" spans="1:22" x14ac:dyDescent="0.25">
      <c r="A335" s="1">
        <v>333</v>
      </c>
      <c r="B335" s="1">
        <v>12</v>
      </c>
      <c r="C335" s="1" t="str">
        <f>LOOKUP(B335,Sheet2!$D$4:$E$9)</f>
        <v>8+</v>
      </c>
      <c r="D335" s="1">
        <v>106</v>
      </c>
      <c r="E335" t="str">
        <f>LOOKUP(D335,Sheet2!$G$4:$H$9)</f>
        <v>100-125</v>
      </c>
      <c r="F335" s="1">
        <v>80</v>
      </c>
      <c r="G335" t="str">
        <f>LOOKUP(F335,Sheet2!$J$4:$K$8)</f>
        <v>80+</v>
      </c>
      <c r="H335" s="1">
        <v>0</v>
      </c>
      <c r="I335" t="str">
        <f>LOOKUP(H335,Sheet2!$M$4:$N$8)</f>
        <v>Unknown</v>
      </c>
      <c r="J335" s="1">
        <v>0</v>
      </c>
      <c r="K335" t="str">
        <f>LOOKUP(J335,Sheet2!$P$4:$Q$9)</f>
        <v>Unknown</v>
      </c>
      <c r="L335" s="1">
        <v>23.6</v>
      </c>
      <c r="M335" t="str">
        <f>LOOKUP(L335,Sheet2!$S$4:$T$8)</f>
        <v>1-25</v>
      </c>
      <c r="N335" s="1">
        <v>0.13700000000000001</v>
      </c>
      <c r="O335" t="str">
        <f>LOOKUP(N335,Sheet2!$V$4:$W$7)</f>
        <v>0.0 - 0.249</v>
      </c>
      <c r="P335" s="1">
        <v>44</v>
      </c>
      <c r="Q335" t="str">
        <f>LOOKUP(P335,Sheet2!$Z$4:$AA$7)</f>
        <v>36-45</v>
      </c>
      <c r="R335" s="1">
        <v>0</v>
      </c>
      <c r="S335" t="str">
        <f>IF(R335=1,"Positive","Negative")</f>
        <v>Negative</v>
      </c>
      <c r="T335" s="1" t="str">
        <f>IFERROR(VLOOKUP(A335,[1]diabetes_Recognition!$A:$B,2,FALSE),"Not Sampled")</f>
        <v>Not Sampled</v>
      </c>
      <c r="U335" t="str">
        <f>IF(T335=1,"Positive",(IF(T335=0,"Negative","Not Sampled")))</f>
        <v>Not Sampled</v>
      </c>
      <c r="V335" s="1" t="str">
        <f>IF(U335="Not Sampled","Not Sampled",IF(S335=U335,"Accurate Prediction","Inaccurate Prediction"))</f>
        <v>Not Sampled</v>
      </c>
    </row>
    <row r="336" spans="1:22" x14ac:dyDescent="0.25">
      <c r="A336" s="1">
        <v>334</v>
      </c>
      <c r="B336" s="1">
        <v>1</v>
      </c>
      <c r="C336" s="1">
        <f>LOOKUP(B336,Sheet2!$D$4:$E$9)</f>
        <v>1</v>
      </c>
      <c r="D336" s="1">
        <v>95</v>
      </c>
      <c r="E336" t="str">
        <f>LOOKUP(D336,Sheet2!$G$4:$H$9)</f>
        <v>1-99</v>
      </c>
      <c r="F336" s="1">
        <v>60</v>
      </c>
      <c r="G336" t="str">
        <f>LOOKUP(F336,Sheet2!$J$4:$K$8)</f>
        <v>60-69</v>
      </c>
      <c r="H336" s="1">
        <v>18</v>
      </c>
      <c r="I336" t="str">
        <f>LOOKUP(H336,Sheet2!$M$4:$N$8)</f>
        <v>10-30</v>
      </c>
      <c r="J336" s="1">
        <v>58</v>
      </c>
      <c r="K336" t="str">
        <f>LOOKUP(J336,Sheet2!$P$4:$Q$9)</f>
        <v>1-99</v>
      </c>
      <c r="L336" s="1">
        <v>23.9</v>
      </c>
      <c r="M336" t="str">
        <f>LOOKUP(L336,Sheet2!$S$4:$T$8)</f>
        <v>1-25</v>
      </c>
      <c r="N336" s="1">
        <v>0.26</v>
      </c>
      <c r="O336" t="str">
        <f>LOOKUP(N336,Sheet2!$V$4:$W$7)</f>
        <v>0.25 - 0.39</v>
      </c>
      <c r="P336" s="1">
        <v>22</v>
      </c>
      <c r="Q336" t="str">
        <f>LOOKUP(P336,Sheet2!$Z$4:$AA$7)</f>
        <v>&lt;=25</v>
      </c>
      <c r="R336" s="1">
        <v>0</v>
      </c>
      <c r="S336" t="str">
        <f>IF(R336=1,"Positive","Negative")</f>
        <v>Negative</v>
      </c>
      <c r="T336" s="1" t="str">
        <f>IFERROR(VLOOKUP(A336,[1]diabetes_Recognition!$A:$B,2,FALSE),"Not Sampled")</f>
        <v>Not Sampled</v>
      </c>
      <c r="U336" t="str">
        <f>IF(T336=1,"Positive",(IF(T336=0,"Negative","Not Sampled")))</f>
        <v>Not Sampled</v>
      </c>
      <c r="V336" s="1" t="str">
        <f>IF(U336="Not Sampled","Not Sampled",IF(S336=U336,"Accurate Prediction","Inaccurate Prediction"))</f>
        <v>Not Sampled</v>
      </c>
    </row>
    <row r="337" spans="1:22" x14ac:dyDescent="0.25">
      <c r="A337" s="1">
        <v>335</v>
      </c>
      <c r="B337" s="1">
        <v>0</v>
      </c>
      <c r="C337" s="1">
        <f>LOOKUP(B337,Sheet2!$D$4:$E$9)</f>
        <v>0</v>
      </c>
      <c r="D337" s="1">
        <v>165</v>
      </c>
      <c r="E337" t="str">
        <f>LOOKUP(D337,Sheet2!$G$4:$H$9)</f>
        <v>151-175</v>
      </c>
      <c r="F337" s="1">
        <v>76</v>
      </c>
      <c r="G337" t="str">
        <f>LOOKUP(F337,Sheet2!$J$4:$K$8)</f>
        <v>70-79</v>
      </c>
      <c r="H337" s="1">
        <v>43</v>
      </c>
      <c r="I337" t="str">
        <f>LOOKUP(H337,Sheet2!$M$4:$N$8)</f>
        <v>40+</v>
      </c>
      <c r="J337" s="1">
        <v>255</v>
      </c>
      <c r="K337" t="str">
        <f>LOOKUP(J337,Sheet2!$P$4:$Q$9)</f>
        <v>200-399</v>
      </c>
      <c r="L337" s="1">
        <v>47.9</v>
      </c>
      <c r="M337" t="str">
        <f>LOOKUP(L337,Sheet2!$S$4:$T$8)</f>
        <v>36+</v>
      </c>
      <c r="N337" s="1">
        <v>0.25900000000000001</v>
      </c>
      <c r="O337" t="str">
        <f>LOOKUP(N337,Sheet2!$V$4:$W$7)</f>
        <v>0.25 - 0.39</v>
      </c>
      <c r="P337" s="1">
        <v>26</v>
      </c>
      <c r="Q337" t="str">
        <f>LOOKUP(P337,Sheet2!$Z$4:$AA$7)</f>
        <v>26-35</v>
      </c>
      <c r="R337" s="1">
        <v>0</v>
      </c>
      <c r="S337" t="str">
        <f>IF(R337=1,"Positive","Negative")</f>
        <v>Negative</v>
      </c>
      <c r="T337" s="1">
        <f>IFERROR(VLOOKUP(A337,[1]diabetes_Recognition!$A:$B,2,FALSE),"Not Sampled")</f>
        <v>1</v>
      </c>
      <c r="U337" t="str">
        <f>IF(T337=1,"Positive",(IF(T337=0,"Negative","Not Sampled")))</f>
        <v>Positive</v>
      </c>
      <c r="V337" s="1" t="str">
        <f>IF(U337="Not Sampled","Not Sampled",IF(S337=U337,"Accurate Prediction","Inaccurate Prediction"))</f>
        <v>Inaccurate Prediction</v>
      </c>
    </row>
    <row r="338" spans="1:22" x14ac:dyDescent="0.25">
      <c r="A338" s="1">
        <v>336</v>
      </c>
      <c r="B338" s="1">
        <v>0</v>
      </c>
      <c r="C338" s="1">
        <f>LOOKUP(B338,Sheet2!$D$4:$E$9)</f>
        <v>0</v>
      </c>
      <c r="D338" s="1">
        <v>117</v>
      </c>
      <c r="E338" t="str">
        <f>LOOKUP(D338,Sheet2!$G$4:$H$9)</f>
        <v>100-125</v>
      </c>
      <c r="F338" s="1">
        <v>0</v>
      </c>
      <c r="G338" t="str">
        <f>LOOKUP(F338,Sheet2!$J$4:$K$8)</f>
        <v>Unknown</v>
      </c>
      <c r="H338" s="1">
        <v>0</v>
      </c>
      <c r="I338" t="str">
        <f>LOOKUP(H338,Sheet2!$M$4:$N$8)</f>
        <v>Unknown</v>
      </c>
      <c r="J338" s="1">
        <v>0</v>
      </c>
      <c r="K338" t="str">
        <f>LOOKUP(J338,Sheet2!$P$4:$Q$9)</f>
        <v>Unknown</v>
      </c>
      <c r="L338" s="1">
        <v>33.799999999999997</v>
      </c>
      <c r="M338" t="str">
        <f>LOOKUP(L338,Sheet2!$S$4:$T$8)</f>
        <v>31-35</v>
      </c>
      <c r="N338" s="1">
        <v>0.93200000000000005</v>
      </c>
      <c r="O338" t="str">
        <f>LOOKUP(N338,Sheet2!$V$4:$W$7)</f>
        <v>0.7+</v>
      </c>
      <c r="P338" s="1">
        <v>44</v>
      </c>
      <c r="Q338" t="str">
        <f>LOOKUP(P338,Sheet2!$Z$4:$AA$7)</f>
        <v>36-45</v>
      </c>
      <c r="R338" s="1">
        <v>0</v>
      </c>
      <c r="S338" t="str">
        <f>IF(R338=1,"Positive","Negative")</f>
        <v>Negative</v>
      </c>
      <c r="T338" s="1">
        <f>IFERROR(VLOOKUP(A338,[1]diabetes_Recognition!$A:$B,2,FALSE),"Not Sampled")</f>
        <v>0</v>
      </c>
      <c r="U338" t="str">
        <f>IF(T338=1,"Positive",(IF(T338=0,"Negative","Not Sampled")))</f>
        <v>Negative</v>
      </c>
      <c r="V338" s="1" t="str">
        <f>IF(U338="Not Sampled","Not Sampled",IF(S338=U338,"Accurate Prediction","Inaccurate Prediction"))</f>
        <v>Accurate Prediction</v>
      </c>
    </row>
    <row r="339" spans="1:22" x14ac:dyDescent="0.25">
      <c r="A339" s="1">
        <v>337</v>
      </c>
      <c r="B339" s="1">
        <v>5</v>
      </c>
      <c r="C339" s="1" t="str">
        <f>LOOKUP(B339,Sheet2!$D$4:$E$9)</f>
        <v>5-7</v>
      </c>
      <c r="D339" s="1">
        <v>115</v>
      </c>
      <c r="E339" t="str">
        <f>LOOKUP(D339,Sheet2!$G$4:$H$9)</f>
        <v>100-125</v>
      </c>
      <c r="F339" s="1">
        <v>76</v>
      </c>
      <c r="G339" t="str">
        <f>LOOKUP(F339,Sheet2!$J$4:$K$8)</f>
        <v>70-79</v>
      </c>
      <c r="H339" s="1">
        <v>0</v>
      </c>
      <c r="I339" t="str">
        <f>LOOKUP(H339,Sheet2!$M$4:$N$8)</f>
        <v>Unknown</v>
      </c>
      <c r="J339" s="1">
        <v>0</v>
      </c>
      <c r="K339" t="str">
        <f>LOOKUP(J339,Sheet2!$P$4:$Q$9)</f>
        <v>Unknown</v>
      </c>
      <c r="L339" s="1">
        <v>31.2</v>
      </c>
      <c r="M339" t="str">
        <f>LOOKUP(L339,Sheet2!$S$4:$T$8)</f>
        <v>31-35</v>
      </c>
      <c r="N339" s="1">
        <v>0.34300000000000003</v>
      </c>
      <c r="O339" t="str">
        <f>LOOKUP(N339,Sheet2!$V$4:$W$7)</f>
        <v>0.25 - 0.39</v>
      </c>
      <c r="P339" s="1">
        <v>44</v>
      </c>
      <c r="Q339" t="str">
        <f>LOOKUP(P339,Sheet2!$Z$4:$AA$7)</f>
        <v>36-45</v>
      </c>
      <c r="R339" s="1">
        <v>1</v>
      </c>
      <c r="S339" t="str">
        <f>IF(R339=1,"Positive","Negative")</f>
        <v>Positive</v>
      </c>
      <c r="T339" s="1" t="str">
        <f>IFERROR(VLOOKUP(A339,[1]diabetes_Recognition!$A:$B,2,FALSE),"Not Sampled")</f>
        <v>Not Sampled</v>
      </c>
      <c r="U339" t="str">
        <f>IF(T339=1,"Positive",(IF(T339=0,"Negative","Not Sampled")))</f>
        <v>Not Sampled</v>
      </c>
      <c r="V339" s="1" t="str">
        <f>IF(U339="Not Sampled","Not Sampled",IF(S339=U339,"Accurate Prediction","Inaccurate Prediction"))</f>
        <v>Not Sampled</v>
      </c>
    </row>
    <row r="340" spans="1:22" x14ac:dyDescent="0.25">
      <c r="A340" s="1">
        <v>338</v>
      </c>
      <c r="B340" s="1">
        <v>9</v>
      </c>
      <c r="C340" s="1" t="str">
        <f>LOOKUP(B340,Sheet2!$D$4:$E$9)</f>
        <v>8+</v>
      </c>
      <c r="D340" s="1">
        <v>152</v>
      </c>
      <c r="E340" t="str">
        <f>LOOKUP(D340,Sheet2!$G$4:$H$9)</f>
        <v>151-175</v>
      </c>
      <c r="F340" s="1">
        <v>78</v>
      </c>
      <c r="G340" t="str">
        <f>LOOKUP(F340,Sheet2!$J$4:$K$8)</f>
        <v>70-79</v>
      </c>
      <c r="H340" s="1">
        <v>34</v>
      </c>
      <c r="I340" t="str">
        <f>LOOKUP(H340,Sheet2!$M$4:$N$8)</f>
        <v>30-39</v>
      </c>
      <c r="J340" s="1">
        <v>171</v>
      </c>
      <c r="K340" t="str">
        <f>LOOKUP(J340,Sheet2!$P$4:$Q$9)</f>
        <v>100-199</v>
      </c>
      <c r="L340" s="1">
        <v>34.200000000000003</v>
      </c>
      <c r="M340" t="str">
        <f>LOOKUP(L340,Sheet2!$S$4:$T$8)</f>
        <v>31-35</v>
      </c>
      <c r="N340" s="1">
        <v>0.89300000000000002</v>
      </c>
      <c r="O340" t="str">
        <f>LOOKUP(N340,Sheet2!$V$4:$W$7)</f>
        <v>0.7+</v>
      </c>
      <c r="P340" s="1">
        <v>33</v>
      </c>
      <c r="Q340" t="str">
        <f>LOOKUP(P340,Sheet2!$Z$4:$AA$7)</f>
        <v>26-35</v>
      </c>
      <c r="R340" s="1">
        <v>1</v>
      </c>
      <c r="S340" t="str">
        <f>IF(R340=1,"Positive","Negative")</f>
        <v>Positive</v>
      </c>
      <c r="T340" s="1" t="str">
        <f>IFERROR(VLOOKUP(A340,[1]diabetes_Recognition!$A:$B,2,FALSE),"Not Sampled")</f>
        <v>Not Sampled</v>
      </c>
      <c r="U340" t="str">
        <f>IF(T340=1,"Positive",(IF(T340=0,"Negative","Not Sampled")))</f>
        <v>Not Sampled</v>
      </c>
      <c r="V340" s="1" t="str">
        <f>IF(U340="Not Sampled","Not Sampled",IF(S340=U340,"Accurate Prediction","Inaccurate Prediction"))</f>
        <v>Not Sampled</v>
      </c>
    </row>
    <row r="341" spans="1:22" x14ac:dyDescent="0.25">
      <c r="A341" s="1">
        <v>339</v>
      </c>
      <c r="B341" s="1">
        <v>7</v>
      </c>
      <c r="C341" s="1" t="str">
        <f>LOOKUP(B341,Sheet2!$D$4:$E$9)</f>
        <v>5-7</v>
      </c>
      <c r="D341" s="1">
        <v>178</v>
      </c>
      <c r="E341" t="str">
        <f>LOOKUP(D341,Sheet2!$G$4:$H$9)</f>
        <v>176-200</v>
      </c>
      <c r="F341" s="1">
        <v>84</v>
      </c>
      <c r="G341" t="str">
        <f>LOOKUP(F341,Sheet2!$J$4:$K$8)</f>
        <v>80+</v>
      </c>
      <c r="H341" s="1">
        <v>0</v>
      </c>
      <c r="I341" t="str">
        <f>LOOKUP(H341,Sheet2!$M$4:$N$8)</f>
        <v>Unknown</v>
      </c>
      <c r="J341" s="1">
        <v>0</v>
      </c>
      <c r="K341" t="str">
        <f>LOOKUP(J341,Sheet2!$P$4:$Q$9)</f>
        <v>Unknown</v>
      </c>
      <c r="L341" s="1">
        <v>39.9</v>
      </c>
      <c r="M341" t="str">
        <f>LOOKUP(L341,Sheet2!$S$4:$T$8)</f>
        <v>36+</v>
      </c>
      <c r="N341" s="1">
        <v>0.33100000000000002</v>
      </c>
      <c r="O341" t="str">
        <f>LOOKUP(N341,Sheet2!$V$4:$W$7)</f>
        <v>0.25 - 0.39</v>
      </c>
      <c r="P341" s="1">
        <v>41</v>
      </c>
      <c r="Q341" t="str">
        <f>LOOKUP(P341,Sheet2!$Z$4:$AA$7)</f>
        <v>36-45</v>
      </c>
      <c r="R341" s="1">
        <v>1</v>
      </c>
      <c r="S341" t="str">
        <f>IF(R341=1,"Positive","Negative")</f>
        <v>Positive</v>
      </c>
      <c r="T341" s="1" t="str">
        <f>IFERROR(VLOOKUP(A341,[1]diabetes_Recognition!$A:$B,2,FALSE),"Not Sampled")</f>
        <v>Not Sampled</v>
      </c>
      <c r="U341" t="str">
        <f>IF(T341=1,"Positive",(IF(T341=0,"Negative","Not Sampled")))</f>
        <v>Not Sampled</v>
      </c>
      <c r="V341" s="1" t="str">
        <f>IF(U341="Not Sampled","Not Sampled",IF(S341=U341,"Accurate Prediction","Inaccurate Prediction"))</f>
        <v>Not Sampled</v>
      </c>
    </row>
    <row r="342" spans="1:22" x14ac:dyDescent="0.25">
      <c r="A342" s="1">
        <v>340</v>
      </c>
      <c r="B342" s="1">
        <v>1</v>
      </c>
      <c r="C342" s="1">
        <f>LOOKUP(B342,Sheet2!$D$4:$E$9)</f>
        <v>1</v>
      </c>
      <c r="D342" s="1">
        <v>130</v>
      </c>
      <c r="E342" t="str">
        <f>LOOKUP(D342,Sheet2!$G$4:$H$9)</f>
        <v>126-150</v>
      </c>
      <c r="F342" s="1">
        <v>70</v>
      </c>
      <c r="G342" t="str">
        <f>LOOKUP(F342,Sheet2!$J$4:$K$8)</f>
        <v>70-79</v>
      </c>
      <c r="H342" s="1">
        <v>13</v>
      </c>
      <c r="I342" t="str">
        <f>LOOKUP(H342,Sheet2!$M$4:$N$8)</f>
        <v>10-30</v>
      </c>
      <c r="J342" s="1">
        <v>105</v>
      </c>
      <c r="K342" t="str">
        <f>LOOKUP(J342,Sheet2!$P$4:$Q$9)</f>
        <v>100-199</v>
      </c>
      <c r="L342" s="1">
        <v>25.9</v>
      </c>
      <c r="M342" t="str">
        <f>LOOKUP(L342,Sheet2!$S$4:$T$8)</f>
        <v>1-25</v>
      </c>
      <c r="N342" s="1">
        <v>0.47199999999999998</v>
      </c>
      <c r="O342" t="str">
        <f>LOOKUP(N342,Sheet2!$V$4:$W$7)</f>
        <v>0.4 - 0.69</v>
      </c>
      <c r="P342" s="1">
        <v>22</v>
      </c>
      <c r="Q342" t="str">
        <f>LOOKUP(P342,Sheet2!$Z$4:$AA$7)</f>
        <v>&lt;=25</v>
      </c>
      <c r="R342" s="1">
        <v>0</v>
      </c>
      <c r="S342" t="str">
        <f>IF(R342=1,"Positive","Negative")</f>
        <v>Negative</v>
      </c>
      <c r="T342" s="1" t="str">
        <f>IFERROR(VLOOKUP(A342,[1]diabetes_Recognition!$A:$B,2,FALSE),"Not Sampled")</f>
        <v>Not Sampled</v>
      </c>
      <c r="U342" t="str">
        <f>IF(T342=1,"Positive",(IF(T342=0,"Negative","Not Sampled")))</f>
        <v>Not Sampled</v>
      </c>
      <c r="V342" s="1" t="str">
        <f>IF(U342="Not Sampled","Not Sampled",IF(S342=U342,"Accurate Prediction","Inaccurate Prediction"))</f>
        <v>Not Sampled</v>
      </c>
    </row>
    <row r="343" spans="1:22" x14ac:dyDescent="0.25">
      <c r="A343" s="1">
        <v>341</v>
      </c>
      <c r="B343" s="1">
        <v>1</v>
      </c>
      <c r="C343" s="1">
        <f>LOOKUP(B343,Sheet2!$D$4:$E$9)</f>
        <v>1</v>
      </c>
      <c r="D343" s="1">
        <v>95</v>
      </c>
      <c r="E343" t="str">
        <f>LOOKUP(D343,Sheet2!$G$4:$H$9)</f>
        <v>1-99</v>
      </c>
      <c r="F343" s="1">
        <v>74</v>
      </c>
      <c r="G343" t="str">
        <f>LOOKUP(F343,Sheet2!$J$4:$K$8)</f>
        <v>70-79</v>
      </c>
      <c r="H343" s="1">
        <v>21</v>
      </c>
      <c r="I343" t="str">
        <f>LOOKUP(H343,Sheet2!$M$4:$N$8)</f>
        <v>10-30</v>
      </c>
      <c r="J343" s="1">
        <v>73</v>
      </c>
      <c r="K343" t="str">
        <f>LOOKUP(J343,Sheet2!$P$4:$Q$9)</f>
        <v>1-99</v>
      </c>
      <c r="L343" s="1">
        <v>25.9</v>
      </c>
      <c r="M343" t="str">
        <f>LOOKUP(L343,Sheet2!$S$4:$T$8)</f>
        <v>1-25</v>
      </c>
      <c r="N343" s="1">
        <v>0.67300000000000004</v>
      </c>
      <c r="O343" t="str">
        <f>LOOKUP(N343,Sheet2!$V$4:$W$7)</f>
        <v>0.4 - 0.69</v>
      </c>
      <c r="P343" s="1">
        <v>36</v>
      </c>
      <c r="Q343" t="str">
        <f>LOOKUP(P343,Sheet2!$Z$4:$AA$7)</f>
        <v>36-45</v>
      </c>
      <c r="R343" s="1">
        <v>0</v>
      </c>
      <c r="S343" t="str">
        <f>IF(R343=1,"Positive","Negative")</f>
        <v>Negative</v>
      </c>
      <c r="T343" s="1">
        <f>IFERROR(VLOOKUP(A343,[1]diabetes_Recognition!$A:$B,2,FALSE),"Not Sampled")</f>
        <v>0</v>
      </c>
      <c r="U343" t="str">
        <f>IF(T343=1,"Positive",(IF(T343=0,"Negative","Not Sampled")))</f>
        <v>Negative</v>
      </c>
      <c r="V343" s="1" t="str">
        <f>IF(U343="Not Sampled","Not Sampled",IF(S343=U343,"Accurate Prediction","Inaccurate Prediction"))</f>
        <v>Accurate Prediction</v>
      </c>
    </row>
    <row r="344" spans="1:22" x14ac:dyDescent="0.25">
      <c r="A344" s="1">
        <v>342</v>
      </c>
      <c r="B344" s="1">
        <v>1</v>
      </c>
      <c r="C344" s="1">
        <f>LOOKUP(B344,Sheet2!$D$4:$E$9)</f>
        <v>1</v>
      </c>
      <c r="D344" s="1">
        <v>0</v>
      </c>
      <c r="E344" t="str">
        <f>LOOKUP(D344,Sheet2!$G$4:$H$9)</f>
        <v>Unknown</v>
      </c>
      <c r="F344" s="1">
        <v>68</v>
      </c>
      <c r="G344" t="str">
        <f>LOOKUP(F344,Sheet2!$J$4:$K$8)</f>
        <v>60-69</v>
      </c>
      <c r="H344" s="1">
        <v>35</v>
      </c>
      <c r="I344" t="str">
        <f>LOOKUP(H344,Sheet2!$M$4:$N$8)</f>
        <v>30-39</v>
      </c>
      <c r="J344" s="1">
        <v>0</v>
      </c>
      <c r="K344" t="str">
        <f>LOOKUP(J344,Sheet2!$P$4:$Q$9)</f>
        <v>Unknown</v>
      </c>
      <c r="L344" s="1">
        <v>32</v>
      </c>
      <c r="M344" t="str">
        <f>LOOKUP(L344,Sheet2!$S$4:$T$8)</f>
        <v>31-35</v>
      </c>
      <c r="N344" s="1">
        <v>0.38900000000000001</v>
      </c>
      <c r="O344" t="str">
        <f>LOOKUP(N344,Sheet2!$V$4:$W$7)</f>
        <v>0.25 - 0.39</v>
      </c>
      <c r="P344" s="1">
        <v>22</v>
      </c>
      <c r="Q344" t="str">
        <f>LOOKUP(P344,Sheet2!$Z$4:$AA$7)</f>
        <v>&lt;=25</v>
      </c>
      <c r="R344" s="1">
        <v>0</v>
      </c>
      <c r="S344" t="str">
        <f>IF(R344=1,"Positive","Negative")</f>
        <v>Negative</v>
      </c>
      <c r="T344" s="1" t="str">
        <f>IFERROR(VLOOKUP(A344,[1]diabetes_Recognition!$A:$B,2,FALSE),"Not Sampled")</f>
        <v>Not Sampled</v>
      </c>
      <c r="U344" t="str">
        <f>IF(T344=1,"Positive",(IF(T344=0,"Negative","Not Sampled")))</f>
        <v>Not Sampled</v>
      </c>
      <c r="V344" s="1" t="str">
        <f>IF(U344="Not Sampled","Not Sampled",IF(S344=U344,"Accurate Prediction","Inaccurate Prediction"))</f>
        <v>Not Sampled</v>
      </c>
    </row>
    <row r="345" spans="1:22" x14ac:dyDescent="0.25">
      <c r="A345" s="1">
        <v>343</v>
      </c>
      <c r="B345" s="1">
        <v>5</v>
      </c>
      <c r="C345" s="1" t="str">
        <f>LOOKUP(B345,Sheet2!$D$4:$E$9)</f>
        <v>5-7</v>
      </c>
      <c r="D345" s="1">
        <v>122</v>
      </c>
      <c r="E345" t="str">
        <f>LOOKUP(D345,Sheet2!$G$4:$H$9)</f>
        <v>100-125</v>
      </c>
      <c r="F345" s="1">
        <v>86</v>
      </c>
      <c r="G345" t="str">
        <f>LOOKUP(F345,Sheet2!$J$4:$K$8)</f>
        <v>80+</v>
      </c>
      <c r="H345" s="1">
        <v>0</v>
      </c>
      <c r="I345" t="str">
        <f>LOOKUP(H345,Sheet2!$M$4:$N$8)</f>
        <v>Unknown</v>
      </c>
      <c r="J345" s="1">
        <v>0</v>
      </c>
      <c r="K345" t="str">
        <f>LOOKUP(J345,Sheet2!$P$4:$Q$9)</f>
        <v>Unknown</v>
      </c>
      <c r="L345" s="1">
        <v>34.700000000000003</v>
      </c>
      <c r="M345" t="str">
        <f>LOOKUP(L345,Sheet2!$S$4:$T$8)</f>
        <v>31-35</v>
      </c>
      <c r="N345" s="1">
        <v>0.28999999999999998</v>
      </c>
      <c r="O345" t="str">
        <f>LOOKUP(N345,Sheet2!$V$4:$W$7)</f>
        <v>0.25 - 0.39</v>
      </c>
      <c r="P345" s="1">
        <v>33</v>
      </c>
      <c r="Q345" t="str">
        <f>LOOKUP(P345,Sheet2!$Z$4:$AA$7)</f>
        <v>26-35</v>
      </c>
      <c r="R345" s="1">
        <v>0</v>
      </c>
      <c r="S345" t="str">
        <f>IF(R345=1,"Positive","Negative")</f>
        <v>Negative</v>
      </c>
      <c r="T345" s="1" t="str">
        <f>IFERROR(VLOOKUP(A345,[1]diabetes_Recognition!$A:$B,2,FALSE),"Not Sampled")</f>
        <v>Not Sampled</v>
      </c>
      <c r="U345" t="str">
        <f>IF(T345=1,"Positive",(IF(T345=0,"Negative","Not Sampled")))</f>
        <v>Not Sampled</v>
      </c>
      <c r="V345" s="1" t="str">
        <f>IF(U345="Not Sampled","Not Sampled",IF(S345=U345,"Accurate Prediction","Inaccurate Prediction"))</f>
        <v>Not Sampled</v>
      </c>
    </row>
    <row r="346" spans="1:22" x14ac:dyDescent="0.25">
      <c r="A346" s="1">
        <v>344</v>
      </c>
      <c r="B346" s="1">
        <v>8</v>
      </c>
      <c r="C346" s="1" t="str">
        <f>LOOKUP(B346,Sheet2!$D$4:$E$9)</f>
        <v>8+</v>
      </c>
      <c r="D346" s="1">
        <v>95</v>
      </c>
      <c r="E346" t="str">
        <f>LOOKUP(D346,Sheet2!$G$4:$H$9)</f>
        <v>1-99</v>
      </c>
      <c r="F346" s="1">
        <v>72</v>
      </c>
      <c r="G346" t="str">
        <f>LOOKUP(F346,Sheet2!$J$4:$K$8)</f>
        <v>70-79</v>
      </c>
      <c r="H346" s="1">
        <v>0</v>
      </c>
      <c r="I346" t="str">
        <f>LOOKUP(H346,Sheet2!$M$4:$N$8)</f>
        <v>Unknown</v>
      </c>
      <c r="J346" s="1">
        <v>0</v>
      </c>
      <c r="K346" t="str">
        <f>LOOKUP(J346,Sheet2!$P$4:$Q$9)</f>
        <v>Unknown</v>
      </c>
      <c r="L346" s="1">
        <v>36.799999999999997</v>
      </c>
      <c r="M346" t="str">
        <f>LOOKUP(L346,Sheet2!$S$4:$T$8)</f>
        <v>36+</v>
      </c>
      <c r="N346" s="1">
        <v>0.48499999999999999</v>
      </c>
      <c r="O346" t="str">
        <f>LOOKUP(N346,Sheet2!$V$4:$W$7)</f>
        <v>0.4 - 0.69</v>
      </c>
      <c r="P346" s="1">
        <v>57</v>
      </c>
      <c r="Q346" t="str">
        <f>LOOKUP(P346,Sheet2!$Z$4:$AA$7)</f>
        <v>46+</v>
      </c>
      <c r="R346" s="1">
        <v>0</v>
      </c>
      <c r="S346" t="str">
        <f>IF(R346=1,"Positive","Negative")</f>
        <v>Negative</v>
      </c>
      <c r="T346" s="1" t="str">
        <f>IFERROR(VLOOKUP(A346,[1]diabetes_Recognition!$A:$B,2,FALSE),"Not Sampled")</f>
        <v>Not Sampled</v>
      </c>
      <c r="U346" t="str">
        <f>IF(T346=1,"Positive",(IF(T346=0,"Negative","Not Sampled")))</f>
        <v>Not Sampled</v>
      </c>
      <c r="V346" s="1" t="str">
        <f>IF(U346="Not Sampled","Not Sampled",IF(S346=U346,"Accurate Prediction","Inaccurate Prediction"))</f>
        <v>Not Sampled</v>
      </c>
    </row>
    <row r="347" spans="1:22" x14ac:dyDescent="0.25">
      <c r="A347" s="1">
        <v>345</v>
      </c>
      <c r="B347" s="1">
        <v>8</v>
      </c>
      <c r="C347" s="1" t="str">
        <f>LOOKUP(B347,Sheet2!$D$4:$E$9)</f>
        <v>8+</v>
      </c>
      <c r="D347" s="1">
        <v>126</v>
      </c>
      <c r="E347" t="str">
        <f>LOOKUP(D347,Sheet2!$G$4:$H$9)</f>
        <v>126-150</v>
      </c>
      <c r="F347" s="1">
        <v>88</v>
      </c>
      <c r="G347" t="str">
        <f>LOOKUP(F347,Sheet2!$J$4:$K$8)</f>
        <v>80+</v>
      </c>
      <c r="H347" s="1">
        <v>36</v>
      </c>
      <c r="I347" t="str">
        <f>LOOKUP(H347,Sheet2!$M$4:$N$8)</f>
        <v>30-39</v>
      </c>
      <c r="J347" s="1">
        <v>108</v>
      </c>
      <c r="K347" t="str">
        <f>LOOKUP(J347,Sheet2!$P$4:$Q$9)</f>
        <v>100-199</v>
      </c>
      <c r="L347" s="1">
        <v>38.5</v>
      </c>
      <c r="M347" t="str">
        <f>LOOKUP(L347,Sheet2!$S$4:$T$8)</f>
        <v>36+</v>
      </c>
      <c r="N347" s="1">
        <v>0.34899999999999998</v>
      </c>
      <c r="O347" t="str">
        <f>LOOKUP(N347,Sheet2!$V$4:$W$7)</f>
        <v>0.25 - 0.39</v>
      </c>
      <c r="P347" s="1">
        <v>49</v>
      </c>
      <c r="Q347" t="str">
        <f>LOOKUP(P347,Sheet2!$Z$4:$AA$7)</f>
        <v>46+</v>
      </c>
      <c r="R347" s="1">
        <v>0</v>
      </c>
      <c r="S347" t="str">
        <f>IF(R347=1,"Positive","Negative")</f>
        <v>Negative</v>
      </c>
      <c r="T347" s="1" t="str">
        <f>IFERROR(VLOOKUP(A347,[1]diabetes_Recognition!$A:$B,2,FALSE),"Not Sampled")</f>
        <v>Not Sampled</v>
      </c>
      <c r="U347" t="str">
        <f>IF(T347=1,"Positive",(IF(T347=0,"Negative","Not Sampled")))</f>
        <v>Not Sampled</v>
      </c>
      <c r="V347" s="1" t="str">
        <f>IF(U347="Not Sampled","Not Sampled",IF(S347=U347,"Accurate Prediction","Inaccurate Prediction"))</f>
        <v>Not Sampled</v>
      </c>
    </row>
    <row r="348" spans="1:22" x14ac:dyDescent="0.25">
      <c r="A348" s="1">
        <v>346</v>
      </c>
      <c r="B348" s="1">
        <v>1</v>
      </c>
      <c r="C348" s="1">
        <f>LOOKUP(B348,Sheet2!$D$4:$E$9)</f>
        <v>1</v>
      </c>
      <c r="D348" s="1">
        <v>139</v>
      </c>
      <c r="E348" t="str">
        <f>LOOKUP(D348,Sheet2!$G$4:$H$9)</f>
        <v>126-150</v>
      </c>
      <c r="F348" s="1">
        <v>46</v>
      </c>
      <c r="G348" t="str">
        <f>LOOKUP(F348,Sheet2!$J$4:$K$8)</f>
        <v>1-59</v>
      </c>
      <c r="H348" s="1">
        <v>19</v>
      </c>
      <c r="I348" t="str">
        <f>LOOKUP(H348,Sheet2!$M$4:$N$8)</f>
        <v>10-30</v>
      </c>
      <c r="J348" s="1">
        <v>83</v>
      </c>
      <c r="K348" t="str">
        <f>LOOKUP(J348,Sheet2!$P$4:$Q$9)</f>
        <v>1-99</v>
      </c>
      <c r="L348" s="1">
        <v>28.7</v>
      </c>
      <c r="M348" t="str">
        <f>LOOKUP(L348,Sheet2!$S$4:$T$8)</f>
        <v>26-30</v>
      </c>
      <c r="N348" s="1">
        <v>0.65400000000000003</v>
      </c>
      <c r="O348" t="str">
        <f>LOOKUP(N348,Sheet2!$V$4:$W$7)</f>
        <v>0.4 - 0.69</v>
      </c>
      <c r="P348" s="1">
        <v>22</v>
      </c>
      <c r="Q348" t="str">
        <f>LOOKUP(P348,Sheet2!$Z$4:$AA$7)</f>
        <v>&lt;=25</v>
      </c>
      <c r="R348" s="1">
        <v>0</v>
      </c>
      <c r="S348" t="str">
        <f>IF(R348=1,"Positive","Negative")</f>
        <v>Negative</v>
      </c>
      <c r="T348" s="1" t="str">
        <f>IFERROR(VLOOKUP(A348,[1]diabetes_Recognition!$A:$B,2,FALSE),"Not Sampled")</f>
        <v>Not Sampled</v>
      </c>
      <c r="U348" t="str">
        <f>IF(T348=1,"Positive",(IF(T348=0,"Negative","Not Sampled")))</f>
        <v>Not Sampled</v>
      </c>
      <c r="V348" s="1" t="str">
        <f>IF(U348="Not Sampled","Not Sampled",IF(S348=U348,"Accurate Prediction","Inaccurate Prediction"))</f>
        <v>Not Sampled</v>
      </c>
    </row>
    <row r="349" spans="1:22" x14ac:dyDescent="0.25">
      <c r="A349" s="1">
        <v>347</v>
      </c>
      <c r="B349" s="1">
        <v>3</v>
      </c>
      <c r="C349" s="1" t="str">
        <f>LOOKUP(B349,Sheet2!$D$4:$E$9)</f>
        <v>3-4</v>
      </c>
      <c r="D349" s="1">
        <v>116</v>
      </c>
      <c r="E349" t="str">
        <f>LOOKUP(D349,Sheet2!$G$4:$H$9)</f>
        <v>100-125</v>
      </c>
      <c r="F349" s="1">
        <v>0</v>
      </c>
      <c r="G349" t="str">
        <f>LOOKUP(F349,Sheet2!$J$4:$K$8)</f>
        <v>Unknown</v>
      </c>
      <c r="H349" s="1">
        <v>0</v>
      </c>
      <c r="I349" t="str">
        <f>LOOKUP(H349,Sheet2!$M$4:$N$8)</f>
        <v>Unknown</v>
      </c>
      <c r="J349" s="1">
        <v>0</v>
      </c>
      <c r="K349" t="str">
        <f>LOOKUP(J349,Sheet2!$P$4:$Q$9)</f>
        <v>Unknown</v>
      </c>
      <c r="L349" s="1">
        <v>23.5</v>
      </c>
      <c r="M349" t="str">
        <f>LOOKUP(L349,Sheet2!$S$4:$T$8)</f>
        <v>1-25</v>
      </c>
      <c r="N349" s="1">
        <v>0.187</v>
      </c>
      <c r="O349" t="str">
        <f>LOOKUP(N349,Sheet2!$V$4:$W$7)</f>
        <v>0.0 - 0.249</v>
      </c>
      <c r="P349" s="1">
        <v>23</v>
      </c>
      <c r="Q349" t="str">
        <f>LOOKUP(P349,Sheet2!$Z$4:$AA$7)</f>
        <v>&lt;=25</v>
      </c>
      <c r="R349" s="1">
        <v>0</v>
      </c>
      <c r="S349" t="str">
        <f>IF(R349=1,"Positive","Negative")</f>
        <v>Negative</v>
      </c>
      <c r="T349" s="1" t="str">
        <f>IFERROR(VLOOKUP(A349,[1]diabetes_Recognition!$A:$B,2,FALSE),"Not Sampled")</f>
        <v>Not Sampled</v>
      </c>
      <c r="U349" t="str">
        <f>IF(T349=1,"Positive",(IF(T349=0,"Negative","Not Sampled")))</f>
        <v>Not Sampled</v>
      </c>
      <c r="V349" s="1" t="str">
        <f>IF(U349="Not Sampled","Not Sampled",IF(S349=U349,"Accurate Prediction","Inaccurate Prediction"))</f>
        <v>Not Sampled</v>
      </c>
    </row>
    <row r="350" spans="1:22" x14ac:dyDescent="0.25">
      <c r="A350" s="1">
        <v>348</v>
      </c>
      <c r="B350" s="1">
        <v>3</v>
      </c>
      <c r="C350" s="1" t="str">
        <f>LOOKUP(B350,Sheet2!$D$4:$E$9)</f>
        <v>3-4</v>
      </c>
      <c r="D350" s="1">
        <v>99</v>
      </c>
      <c r="E350" t="str">
        <f>LOOKUP(D350,Sheet2!$G$4:$H$9)</f>
        <v>1-99</v>
      </c>
      <c r="F350" s="1">
        <v>62</v>
      </c>
      <c r="G350" t="str">
        <f>LOOKUP(F350,Sheet2!$J$4:$K$8)</f>
        <v>60-69</v>
      </c>
      <c r="H350" s="1">
        <v>19</v>
      </c>
      <c r="I350" t="str">
        <f>LOOKUP(H350,Sheet2!$M$4:$N$8)</f>
        <v>10-30</v>
      </c>
      <c r="J350" s="1">
        <v>74</v>
      </c>
      <c r="K350" t="str">
        <f>LOOKUP(J350,Sheet2!$P$4:$Q$9)</f>
        <v>1-99</v>
      </c>
      <c r="L350" s="1">
        <v>21.8</v>
      </c>
      <c r="M350" t="str">
        <f>LOOKUP(L350,Sheet2!$S$4:$T$8)</f>
        <v>1-25</v>
      </c>
      <c r="N350" s="1">
        <v>0.27900000000000003</v>
      </c>
      <c r="O350" t="str">
        <f>LOOKUP(N350,Sheet2!$V$4:$W$7)</f>
        <v>0.25 - 0.39</v>
      </c>
      <c r="P350" s="1">
        <v>26</v>
      </c>
      <c r="Q350" t="str">
        <f>LOOKUP(P350,Sheet2!$Z$4:$AA$7)</f>
        <v>26-35</v>
      </c>
      <c r="R350" s="1">
        <v>0</v>
      </c>
      <c r="S350" t="str">
        <f>IF(R350=1,"Positive","Negative")</f>
        <v>Negative</v>
      </c>
      <c r="T350" s="1">
        <f>IFERROR(VLOOKUP(A350,[1]diabetes_Recognition!$A:$B,2,FALSE),"Not Sampled")</f>
        <v>0</v>
      </c>
      <c r="U350" t="str">
        <f>IF(T350=1,"Positive",(IF(T350=0,"Negative","Not Sampled")))</f>
        <v>Negative</v>
      </c>
      <c r="V350" s="1" t="str">
        <f>IF(U350="Not Sampled","Not Sampled",IF(S350=U350,"Accurate Prediction","Inaccurate Prediction"))</f>
        <v>Accurate Prediction</v>
      </c>
    </row>
    <row r="351" spans="1:22" x14ac:dyDescent="0.25">
      <c r="A351" s="1">
        <v>349</v>
      </c>
      <c r="B351" s="1">
        <v>5</v>
      </c>
      <c r="C351" s="1" t="str">
        <f>LOOKUP(B351,Sheet2!$D$4:$E$9)</f>
        <v>5-7</v>
      </c>
      <c r="D351" s="1">
        <v>0</v>
      </c>
      <c r="E351" t="str">
        <f>LOOKUP(D351,Sheet2!$G$4:$H$9)</f>
        <v>Unknown</v>
      </c>
      <c r="F351" s="1">
        <v>80</v>
      </c>
      <c r="G351" t="str">
        <f>LOOKUP(F351,Sheet2!$J$4:$K$8)</f>
        <v>80+</v>
      </c>
      <c r="H351" s="1">
        <v>32</v>
      </c>
      <c r="I351" t="str">
        <f>LOOKUP(H351,Sheet2!$M$4:$N$8)</f>
        <v>30-39</v>
      </c>
      <c r="J351" s="1">
        <v>0</v>
      </c>
      <c r="K351" t="str">
        <f>LOOKUP(J351,Sheet2!$P$4:$Q$9)</f>
        <v>Unknown</v>
      </c>
      <c r="L351" s="1">
        <v>41</v>
      </c>
      <c r="M351" t="str">
        <f>LOOKUP(L351,Sheet2!$S$4:$T$8)</f>
        <v>36+</v>
      </c>
      <c r="N351" s="1">
        <v>0.34599999999999997</v>
      </c>
      <c r="O351" t="str">
        <f>LOOKUP(N351,Sheet2!$V$4:$W$7)</f>
        <v>0.25 - 0.39</v>
      </c>
      <c r="P351" s="1">
        <v>37</v>
      </c>
      <c r="Q351" t="str">
        <f>LOOKUP(P351,Sheet2!$Z$4:$AA$7)</f>
        <v>36-45</v>
      </c>
      <c r="R351" s="1">
        <v>1</v>
      </c>
      <c r="S351" t="str">
        <f>IF(R351=1,"Positive","Negative")</f>
        <v>Positive</v>
      </c>
      <c r="T351" s="1" t="str">
        <f>IFERROR(VLOOKUP(A351,[1]diabetes_Recognition!$A:$B,2,FALSE),"Not Sampled")</f>
        <v>Not Sampled</v>
      </c>
      <c r="U351" t="str">
        <f>IF(T351=1,"Positive",(IF(T351=0,"Negative","Not Sampled")))</f>
        <v>Not Sampled</v>
      </c>
      <c r="V351" s="1" t="str">
        <f>IF(U351="Not Sampled","Not Sampled",IF(S351=U351,"Accurate Prediction","Inaccurate Prediction"))</f>
        <v>Not Sampled</v>
      </c>
    </row>
    <row r="352" spans="1:22" x14ac:dyDescent="0.25">
      <c r="A352" s="1">
        <v>350</v>
      </c>
      <c r="B352" s="1">
        <v>4</v>
      </c>
      <c r="C352" s="1" t="str">
        <f>LOOKUP(B352,Sheet2!$D$4:$E$9)</f>
        <v>3-4</v>
      </c>
      <c r="D352" s="1">
        <v>92</v>
      </c>
      <c r="E352" t="str">
        <f>LOOKUP(D352,Sheet2!$G$4:$H$9)</f>
        <v>1-99</v>
      </c>
      <c r="F352" s="1">
        <v>80</v>
      </c>
      <c r="G352" t="str">
        <f>LOOKUP(F352,Sheet2!$J$4:$K$8)</f>
        <v>80+</v>
      </c>
      <c r="H352" s="1">
        <v>0</v>
      </c>
      <c r="I352" t="str">
        <f>LOOKUP(H352,Sheet2!$M$4:$N$8)</f>
        <v>Unknown</v>
      </c>
      <c r="J352" s="1">
        <v>0</v>
      </c>
      <c r="K352" t="str">
        <f>LOOKUP(J352,Sheet2!$P$4:$Q$9)</f>
        <v>Unknown</v>
      </c>
      <c r="L352" s="1">
        <v>42.2</v>
      </c>
      <c r="M352" t="str">
        <f>LOOKUP(L352,Sheet2!$S$4:$T$8)</f>
        <v>36+</v>
      </c>
      <c r="N352" s="1">
        <v>0.23699999999999999</v>
      </c>
      <c r="O352" t="str">
        <f>LOOKUP(N352,Sheet2!$V$4:$W$7)</f>
        <v>0.0 - 0.249</v>
      </c>
      <c r="P352" s="1">
        <v>29</v>
      </c>
      <c r="Q352" t="str">
        <f>LOOKUP(P352,Sheet2!$Z$4:$AA$7)</f>
        <v>26-35</v>
      </c>
      <c r="R352" s="1">
        <v>0</v>
      </c>
      <c r="S352" t="str">
        <f>IF(R352=1,"Positive","Negative")</f>
        <v>Negative</v>
      </c>
      <c r="T352" s="1" t="str">
        <f>IFERROR(VLOOKUP(A352,[1]diabetes_Recognition!$A:$B,2,FALSE),"Not Sampled")</f>
        <v>Not Sampled</v>
      </c>
      <c r="U352" t="str">
        <f>IF(T352=1,"Positive",(IF(T352=0,"Negative","Not Sampled")))</f>
        <v>Not Sampled</v>
      </c>
      <c r="V352" s="1" t="str">
        <f>IF(U352="Not Sampled","Not Sampled",IF(S352=U352,"Accurate Prediction","Inaccurate Prediction"))</f>
        <v>Not Sampled</v>
      </c>
    </row>
    <row r="353" spans="1:22" x14ac:dyDescent="0.25">
      <c r="A353" s="1">
        <v>351</v>
      </c>
      <c r="B353" s="1">
        <v>4</v>
      </c>
      <c r="C353" s="1" t="str">
        <f>LOOKUP(B353,Sheet2!$D$4:$E$9)</f>
        <v>3-4</v>
      </c>
      <c r="D353" s="1">
        <v>137</v>
      </c>
      <c r="E353" t="str">
        <f>LOOKUP(D353,Sheet2!$G$4:$H$9)</f>
        <v>126-150</v>
      </c>
      <c r="F353" s="1">
        <v>84</v>
      </c>
      <c r="G353" t="str">
        <f>LOOKUP(F353,Sheet2!$J$4:$K$8)</f>
        <v>80+</v>
      </c>
      <c r="H353" s="1">
        <v>0</v>
      </c>
      <c r="I353" t="str">
        <f>LOOKUP(H353,Sheet2!$M$4:$N$8)</f>
        <v>Unknown</v>
      </c>
      <c r="J353" s="1">
        <v>0</v>
      </c>
      <c r="K353" t="str">
        <f>LOOKUP(J353,Sheet2!$P$4:$Q$9)</f>
        <v>Unknown</v>
      </c>
      <c r="L353" s="1">
        <v>31.2</v>
      </c>
      <c r="M353" t="str">
        <f>LOOKUP(L353,Sheet2!$S$4:$T$8)</f>
        <v>31-35</v>
      </c>
      <c r="N353" s="1">
        <v>0.252</v>
      </c>
      <c r="O353" t="str">
        <f>LOOKUP(N353,Sheet2!$V$4:$W$7)</f>
        <v>0.25 - 0.39</v>
      </c>
      <c r="P353" s="1">
        <v>30</v>
      </c>
      <c r="Q353" t="str">
        <f>LOOKUP(P353,Sheet2!$Z$4:$AA$7)</f>
        <v>26-35</v>
      </c>
      <c r="R353" s="1">
        <v>0</v>
      </c>
      <c r="S353" t="str">
        <f>IF(R353=1,"Positive","Negative")</f>
        <v>Negative</v>
      </c>
      <c r="T353" s="1">
        <f>IFERROR(VLOOKUP(A353,[1]diabetes_Recognition!$A:$B,2,FALSE),"Not Sampled")</f>
        <v>0</v>
      </c>
      <c r="U353" t="str">
        <f>IF(T353=1,"Positive",(IF(T353=0,"Negative","Not Sampled")))</f>
        <v>Negative</v>
      </c>
      <c r="V353" s="1" t="str">
        <f>IF(U353="Not Sampled","Not Sampled",IF(S353=U353,"Accurate Prediction","Inaccurate Prediction"))</f>
        <v>Accurate Prediction</v>
      </c>
    </row>
    <row r="354" spans="1:22" x14ac:dyDescent="0.25">
      <c r="A354" s="1">
        <v>352</v>
      </c>
      <c r="B354" s="1">
        <v>3</v>
      </c>
      <c r="C354" s="1" t="str">
        <f>LOOKUP(B354,Sheet2!$D$4:$E$9)</f>
        <v>3-4</v>
      </c>
      <c r="D354" s="1">
        <v>61</v>
      </c>
      <c r="E354" t="str">
        <f>LOOKUP(D354,Sheet2!$G$4:$H$9)</f>
        <v>1-99</v>
      </c>
      <c r="F354" s="1">
        <v>82</v>
      </c>
      <c r="G354" t="str">
        <f>LOOKUP(F354,Sheet2!$J$4:$K$8)</f>
        <v>80+</v>
      </c>
      <c r="H354" s="1">
        <v>28</v>
      </c>
      <c r="I354" t="str">
        <f>LOOKUP(H354,Sheet2!$M$4:$N$8)</f>
        <v>10-30</v>
      </c>
      <c r="J354" s="1">
        <v>0</v>
      </c>
      <c r="K354" t="str">
        <f>LOOKUP(J354,Sheet2!$P$4:$Q$9)</f>
        <v>Unknown</v>
      </c>
      <c r="L354" s="1">
        <v>34.4</v>
      </c>
      <c r="M354" t="str">
        <f>LOOKUP(L354,Sheet2!$S$4:$T$8)</f>
        <v>31-35</v>
      </c>
      <c r="N354" s="1">
        <v>0.24299999999999999</v>
      </c>
      <c r="O354" t="str">
        <f>LOOKUP(N354,Sheet2!$V$4:$W$7)</f>
        <v>0.0 - 0.249</v>
      </c>
      <c r="P354" s="1">
        <v>46</v>
      </c>
      <c r="Q354" t="str">
        <f>LOOKUP(P354,Sheet2!$Z$4:$AA$7)</f>
        <v>46+</v>
      </c>
      <c r="R354" s="1">
        <v>0</v>
      </c>
      <c r="S354" t="str">
        <f>IF(R354=1,"Positive","Negative")</f>
        <v>Negative</v>
      </c>
      <c r="T354" s="1" t="str">
        <f>IFERROR(VLOOKUP(A354,[1]diabetes_Recognition!$A:$B,2,FALSE),"Not Sampled")</f>
        <v>Not Sampled</v>
      </c>
      <c r="U354" t="str">
        <f>IF(T354=1,"Positive",(IF(T354=0,"Negative","Not Sampled")))</f>
        <v>Not Sampled</v>
      </c>
      <c r="V354" s="1" t="str">
        <f>IF(U354="Not Sampled","Not Sampled",IF(S354=U354,"Accurate Prediction","Inaccurate Prediction"))</f>
        <v>Not Sampled</v>
      </c>
    </row>
    <row r="355" spans="1:22" x14ac:dyDescent="0.25">
      <c r="A355" s="1">
        <v>353</v>
      </c>
      <c r="B355" s="1">
        <v>1</v>
      </c>
      <c r="C355" s="1">
        <f>LOOKUP(B355,Sheet2!$D$4:$E$9)</f>
        <v>1</v>
      </c>
      <c r="D355" s="1">
        <v>90</v>
      </c>
      <c r="E355" t="str">
        <f>LOOKUP(D355,Sheet2!$G$4:$H$9)</f>
        <v>1-99</v>
      </c>
      <c r="F355" s="1">
        <v>62</v>
      </c>
      <c r="G355" t="str">
        <f>LOOKUP(F355,Sheet2!$J$4:$K$8)</f>
        <v>60-69</v>
      </c>
      <c r="H355" s="1">
        <v>12</v>
      </c>
      <c r="I355" t="str">
        <f>LOOKUP(H355,Sheet2!$M$4:$N$8)</f>
        <v>10-30</v>
      </c>
      <c r="J355" s="1">
        <v>43</v>
      </c>
      <c r="K355" t="str">
        <f>LOOKUP(J355,Sheet2!$P$4:$Q$9)</f>
        <v>1-99</v>
      </c>
      <c r="L355" s="1">
        <v>27.2</v>
      </c>
      <c r="M355" t="str">
        <f>LOOKUP(L355,Sheet2!$S$4:$T$8)</f>
        <v>26-30</v>
      </c>
      <c r="N355" s="1">
        <v>0.57999999999999996</v>
      </c>
      <c r="O355" t="str">
        <f>LOOKUP(N355,Sheet2!$V$4:$W$7)</f>
        <v>0.4 - 0.69</v>
      </c>
      <c r="P355" s="1">
        <v>24</v>
      </c>
      <c r="Q355" t="str">
        <f>LOOKUP(P355,Sheet2!$Z$4:$AA$7)</f>
        <v>&lt;=25</v>
      </c>
      <c r="R355" s="1">
        <v>0</v>
      </c>
      <c r="S355" t="str">
        <f>IF(R355=1,"Positive","Negative")</f>
        <v>Negative</v>
      </c>
      <c r="T355" s="1">
        <f>IFERROR(VLOOKUP(A355,[1]diabetes_Recognition!$A:$B,2,FALSE),"Not Sampled")</f>
        <v>0</v>
      </c>
      <c r="U355" t="str">
        <f>IF(T355=1,"Positive",(IF(T355=0,"Negative","Not Sampled")))</f>
        <v>Negative</v>
      </c>
      <c r="V355" s="1" t="str">
        <f>IF(U355="Not Sampled","Not Sampled",IF(S355=U355,"Accurate Prediction","Inaccurate Prediction"))</f>
        <v>Accurate Prediction</v>
      </c>
    </row>
    <row r="356" spans="1:22" x14ac:dyDescent="0.25">
      <c r="A356" s="1">
        <v>354</v>
      </c>
      <c r="B356" s="1">
        <v>3</v>
      </c>
      <c r="C356" s="1" t="str">
        <f>LOOKUP(B356,Sheet2!$D$4:$E$9)</f>
        <v>3-4</v>
      </c>
      <c r="D356" s="1">
        <v>90</v>
      </c>
      <c r="E356" t="str">
        <f>LOOKUP(D356,Sheet2!$G$4:$H$9)</f>
        <v>1-99</v>
      </c>
      <c r="F356" s="1">
        <v>78</v>
      </c>
      <c r="G356" t="str">
        <f>LOOKUP(F356,Sheet2!$J$4:$K$8)</f>
        <v>70-79</v>
      </c>
      <c r="H356" s="1">
        <v>0</v>
      </c>
      <c r="I356" t="str">
        <f>LOOKUP(H356,Sheet2!$M$4:$N$8)</f>
        <v>Unknown</v>
      </c>
      <c r="J356" s="1">
        <v>0</v>
      </c>
      <c r="K356" t="str">
        <f>LOOKUP(J356,Sheet2!$P$4:$Q$9)</f>
        <v>Unknown</v>
      </c>
      <c r="L356" s="1">
        <v>42.7</v>
      </c>
      <c r="M356" t="str">
        <f>LOOKUP(L356,Sheet2!$S$4:$T$8)</f>
        <v>36+</v>
      </c>
      <c r="N356" s="1">
        <v>0.55900000000000005</v>
      </c>
      <c r="O356" t="str">
        <f>LOOKUP(N356,Sheet2!$V$4:$W$7)</f>
        <v>0.4 - 0.69</v>
      </c>
      <c r="P356" s="1">
        <v>21</v>
      </c>
      <c r="Q356" t="str">
        <f>LOOKUP(P356,Sheet2!$Z$4:$AA$7)</f>
        <v>&lt;=25</v>
      </c>
      <c r="R356" s="1">
        <v>0</v>
      </c>
      <c r="S356" t="str">
        <f>IF(R356=1,"Positive","Negative")</f>
        <v>Negative</v>
      </c>
      <c r="T356" s="1" t="str">
        <f>IFERROR(VLOOKUP(A356,[1]diabetes_Recognition!$A:$B,2,FALSE),"Not Sampled")</f>
        <v>Not Sampled</v>
      </c>
      <c r="U356" t="str">
        <f>IF(T356=1,"Positive",(IF(T356=0,"Negative","Not Sampled")))</f>
        <v>Not Sampled</v>
      </c>
      <c r="V356" s="1" t="str">
        <f>IF(U356="Not Sampled","Not Sampled",IF(S356=U356,"Accurate Prediction","Inaccurate Prediction"))</f>
        <v>Not Sampled</v>
      </c>
    </row>
    <row r="357" spans="1:22" x14ac:dyDescent="0.25">
      <c r="A357" s="1">
        <v>355</v>
      </c>
      <c r="B357" s="1">
        <v>9</v>
      </c>
      <c r="C357" s="1" t="str">
        <f>LOOKUP(B357,Sheet2!$D$4:$E$9)</f>
        <v>8+</v>
      </c>
      <c r="D357" s="1">
        <v>165</v>
      </c>
      <c r="E357" t="str">
        <f>LOOKUP(D357,Sheet2!$G$4:$H$9)</f>
        <v>151-175</v>
      </c>
      <c r="F357" s="1">
        <v>88</v>
      </c>
      <c r="G357" t="str">
        <f>LOOKUP(F357,Sheet2!$J$4:$K$8)</f>
        <v>80+</v>
      </c>
      <c r="H357" s="1">
        <v>0</v>
      </c>
      <c r="I357" t="str">
        <f>LOOKUP(H357,Sheet2!$M$4:$N$8)</f>
        <v>Unknown</v>
      </c>
      <c r="J357" s="1">
        <v>0</v>
      </c>
      <c r="K357" t="str">
        <f>LOOKUP(J357,Sheet2!$P$4:$Q$9)</f>
        <v>Unknown</v>
      </c>
      <c r="L357" s="1">
        <v>30.4</v>
      </c>
      <c r="M357" t="str">
        <f>LOOKUP(L357,Sheet2!$S$4:$T$8)</f>
        <v>26-30</v>
      </c>
      <c r="N357" s="1">
        <v>0.30199999999999999</v>
      </c>
      <c r="O357" t="str">
        <f>LOOKUP(N357,Sheet2!$V$4:$W$7)</f>
        <v>0.25 - 0.39</v>
      </c>
      <c r="P357" s="1">
        <v>49</v>
      </c>
      <c r="Q357" t="str">
        <f>LOOKUP(P357,Sheet2!$Z$4:$AA$7)</f>
        <v>46+</v>
      </c>
      <c r="R357" s="1">
        <v>1</v>
      </c>
      <c r="S357" t="str">
        <f>IF(R357=1,"Positive","Negative")</f>
        <v>Positive</v>
      </c>
      <c r="T357" s="1" t="str">
        <f>IFERROR(VLOOKUP(A357,[1]diabetes_Recognition!$A:$B,2,FALSE),"Not Sampled")</f>
        <v>Not Sampled</v>
      </c>
      <c r="U357" t="str">
        <f>IF(T357=1,"Positive",(IF(T357=0,"Negative","Not Sampled")))</f>
        <v>Not Sampled</v>
      </c>
      <c r="V357" s="1" t="str">
        <f>IF(U357="Not Sampled","Not Sampled",IF(S357=U357,"Accurate Prediction","Inaccurate Prediction"))</f>
        <v>Not Sampled</v>
      </c>
    </row>
    <row r="358" spans="1:22" x14ac:dyDescent="0.25">
      <c r="A358" s="1">
        <v>356</v>
      </c>
      <c r="B358" s="1">
        <v>1</v>
      </c>
      <c r="C358" s="1">
        <f>LOOKUP(B358,Sheet2!$D$4:$E$9)</f>
        <v>1</v>
      </c>
      <c r="D358" s="1">
        <v>125</v>
      </c>
      <c r="E358" t="str">
        <f>LOOKUP(D358,Sheet2!$G$4:$H$9)</f>
        <v>100-125</v>
      </c>
      <c r="F358" s="1">
        <v>50</v>
      </c>
      <c r="G358" t="str">
        <f>LOOKUP(F358,Sheet2!$J$4:$K$8)</f>
        <v>1-59</v>
      </c>
      <c r="H358" s="1">
        <v>40</v>
      </c>
      <c r="I358" t="str">
        <f>LOOKUP(H358,Sheet2!$M$4:$N$8)</f>
        <v>40+</v>
      </c>
      <c r="J358" s="1">
        <v>167</v>
      </c>
      <c r="K358" t="str">
        <f>LOOKUP(J358,Sheet2!$P$4:$Q$9)</f>
        <v>100-199</v>
      </c>
      <c r="L358" s="1">
        <v>33.299999999999997</v>
      </c>
      <c r="M358" t="str">
        <f>LOOKUP(L358,Sheet2!$S$4:$T$8)</f>
        <v>31-35</v>
      </c>
      <c r="N358" s="1">
        <v>0.96199999999999997</v>
      </c>
      <c r="O358" t="str">
        <f>LOOKUP(N358,Sheet2!$V$4:$W$7)</f>
        <v>0.7+</v>
      </c>
      <c r="P358" s="1">
        <v>28</v>
      </c>
      <c r="Q358" t="str">
        <f>LOOKUP(P358,Sheet2!$Z$4:$AA$7)</f>
        <v>26-35</v>
      </c>
      <c r="R358" s="1">
        <v>1</v>
      </c>
      <c r="S358" t="str">
        <f>IF(R358=1,"Positive","Negative")</f>
        <v>Positive</v>
      </c>
      <c r="T358" s="1" t="str">
        <f>IFERROR(VLOOKUP(A358,[1]diabetes_Recognition!$A:$B,2,FALSE),"Not Sampled")</f>
        <v>Not Sampled</v>
      </c>
      <c r="U358" t="str">
        <f>IF(T358=1,"Positive",(IF(T358=0,"Negative","Not Sampled")))</f>
        <v>Not Sampled</v>
      </c>
      <c r="V358" s="1" t="str">
        <f>IF(U358="Not Sampled","Not Sampled",IF(S358=U358,"Accurate Prediction","Inaccurate Prediction"))</f>
        <v>Not Sampled</v>
      </c>
    </row>
    <row r="359" spans="1:22" x14ac:dyDescent="0.25">
      <c r="A359" s="1">
        <v>357</v>
      </c>
      <c r="B359" s="1">
        <v>13</v>
      </c>
      <c r="C359" s="1" t="str">
        <f>LOOKUP(B359,Sheet2!$D$4:$E$9)</f>
        <v>8+</v>
      </c>
      <c r="D359" s="1">
        <v>129</v>
      </c>
      <c r="E359" t="str">
        <f>LOOKUP(D359,Sheet2!$G$4:$H$9)</f>
        <v>126-150</v>
      </c>
      <c r="F359" s="1">
        <v>0</v>
      </c>
      <c r="G359" t="str">
        <f>LOOKUP(F359,Sheet2!$J$4:$K$8)</f>
        <v>Unknown</v>
      </c>
      <c r="H359" s="1">
        <v>30</v>
      </c>
      <c r="I359" t="str">
        <f>LOOKUP(H359,Sheet2!$M$4:$N$8)</f>
        <v>30-39</v>
      </c>
      <c r="J359" s="1">
        <v>0</v>
      </c>
      <c r="K359" t="str">
        <f>LOOKUP(J359,Sheet2!$P$4:$Q$9)</f>
        <v>Unknown</v>
      </c>
      <c r="L359" s="1">
        <v>39.9</v>
      </c>
      <c r="M359" t="str">
        <f>LOOKUP(L359,Sheet2!$S$4:$T$8)</f>
        <v>36+</v>
      </c>
      <c r="N359" s="1">
        <v>0.56899999999999995</v>
      </c>
      <c r="O359" t="str">
        <f>LOOKUP(N359,Sheet2!$V$4:$W$7)</f>
        <v>0.4 - 0.69</v>
      </c>
      <c r="P359" s="1">
        <v>44</v>
      </c>
      <c r="Q359" t="str">
        <f>LOOKUP(P359,Sheet2!$Z$4:$AA$7)</f>
        <v>36-45</v>
      </c>
      <c r="R359" s="1">
        <v>1</v>
      </c>
      <c r="S359" t="str">
        <f>IF(R359=1,"Positive","Negative")</f>
        <v>Positive</v>
      </c>
      <c r="T359" s="1" t="str">
        <f>IFERROR(VLOOKUP(A359,[1]diabetes_Recognition!$A:$B,2,FALSE),"Not Sampled")</f>
        <v>Not Sampled</v>
      </c>
      <c r="U359" t="str">
        <f>IF(T359=1,"Positive",(IF(T359=0,"Negative","Not Sampled")))</f>
        <v>Not Sampled</v>
      </c>
      <c r="V359" s="1" t="str">
        <f>IF(U359="Not Sampled","Not Sampled",IF(S359=U359,"Accurate Prediction","Inaccurate Prediction"))</f>
        <v>Not Sampled</v>
      </c>
    </row>
    <row r="360" spans="1:22" x14ac:dyDescent="0.25">
      <c r="A360" s="1">
        <v>358</v>
      </c>
      <c r="B360" s="1">
        <v>12</v>
      </c>
      <c r="C360" s="1" t="str">
        <f>LOOKUP(B360,Sheet2!$D$4:$E$9)</f>
        <v>8+</v>
      </c>
      <c r="D360" s="1">
        <v>88</v>
      </c>
      <c r="E360" t="str">
        <f>LOOKUP(D360,Sheet2!$G$4:$H$9)</f>
        <v>1-99</v>
      </c>
      <c r="F360" s="1">
        <v>74</v>
      </c>
      <c r="G360" t="str">
        <f>LOOKUP(F360,Sheet2!$J$4:$K$8)</f>
        <v>70-79</v>
      </c>
      <c r="H360" s="1">
        <v>40</v>
      </c>
      <c r="I360" t="str">
        <f>LOOKUP(H360,Sheet2!$M$4:$N$8)</f>
        <v>40+</v>
      </c>
      <c r="J360" s="1">
        <v>54</v>
      </c>
      <c r="K360" t="str">
        <f>LOOKUP(J360,Sheet2!$P$4:$Q$9)</f>
        <v>1-99</v>
      </c>
      <c r="L360" s="1">
        <v>35.299999999999997</v>
      </c>
      <c r="M360" t="str">
        <f>LOOKUP(L360,Sheet2!$S$4:$T$8)</f>
        <v>31-35</v>
      </c>
      <c r="N360" s="1">
        <v>0.378</v>
      </c>
      <c r="O360" t="str">
        <f>LOOKUP(N360,Sheet2!$V$4:$W$7)</f>
        <v>0.25 - 0.39</v>
      </c>
      <c r="P360" s="1">
        <v>48</v>
      </c>
      <c r="Q360" t="str">
        <f>LOOKUP(P360,Sheet2!$Z$4:$AA$7)</f>
        <v>46+</v>
      </c>
      <c r="R360" s="1">
        <v>0</v>
      </c>
      <c r="S360" t="str">
        <f>IF(R360=1,"Positive","Negative")</f>
        <v>Negative</v>
      </c>
      <c r="T360" s="1" t="str">
        <f>IFERROR(VLOOKUP(A360,[1]diabetes_Recognition!$A:$B,2,FALSE),"Not Sampled")</f>
        <v>Not Sampled</v>
      </c>
      <c r="U360" t="str">
        <f>IF(T360=1,"Positive",(IF(T360=0,"Negative","Not Sampled")))</f>
        <v>Not Sampled</v>
      </c>
      <c r="V360" s="1" t="str">
        <f>IF(U360="Not Sampled","Not Sampled",IF(S360=U360,"Accurate Prediction","Inaccurate Prediction"))</f>
        <v>Not Sampled</v>
      </c>
    </row>
    <row r="361" spans="1:22" x14ac:dyDescent="0.25">
      <c r="A361" s="1">
        <v>359</v>
      </c>
      <c r="B361" s="1">
        <v>1</v>
      </c>
      <c r="C361" s="1">
        <f>LOOKUP(B361,Sheet2!$D$4:$E$9)</f>
        <v>1</v>
      </c>
      <c r="D361" s="1">
        <v>196</v>
      </c>
      <c r="E361" t="str">
        <f>LOOKUP(D361,Sheet2!$G$4:$H$9)</f>
        <v>176-200</v>
      </c>
      <c r="F361" s="1">
        <v>76</v>
      </c>
      <c r="G361" t="str">
        <f>LOOKUP(F361,Sheet2!$J$4:$K$8)</f>
        <v>70-79</v>
      </c>
      <c r="H361" s="1">
        <v>36</v>
      </c>
      <c r="I361" t="str">
        <f>LOOKUP(H361,Sheet2!$M$4:$N$8)</f>
        <v>30-39</v>
      </c>
      <c r="J361" s="1">
        <v>249</v>
      </c>
      <c r="K361" t="str">
        <f>LOOKUP(J361,Sheet2!$P$4:$Q$9)</f>
        <v>200-399</v>
      </c>
      <c r="L361" s="1">
        <v>36.5</v>
      </c>
      <c r="M361" t="str">
        <f>LOOKUP(L361,Sheet2!$S$4:$T$8)</f>
        <v>36+</v>
      </c>
      <c r="N361" s="1">
        <v>0.875</v>
      </c>
      <c r="O361" t="str">
        <f>LOOKUP(N361,Sheet2!$V$4:$W$7)</f>
        <v>0.7+</v>
      </c>
      <c r="P361" s="1">
        <v>29</v>
      </c>
      <c r="Q361" t="str">
        <f>LOOKUP(P361,Sheet2!$Z$4:$AA$7)</f>
        <v>26-35</v>
      </c>
      <c r="R361" s="1">
        <v>1</v>
      </c>
      <c r="S361" t="str">
        <f>IF(R361=1,"Positive","Negative")</f>
        <v>Positive</v>
      </c>
      <c r="T361" s="1" t="str">
        <f>IFERROR(VLOOKUP(A361,[1]diabetes_Recognition!$A:$B,2,FALSE),"Not Sampled")</f>
        <v>Not Sampled</v>
      </c>
      <c r="U361" t="str">
        <f>IF(T361=1,"Positive",(IF(T361=0,"Negative","Not Sampled")))</f>
        <v>Not Sampled</v>
      </c>
      <c r="V361" s="1" t="str">
        <f>IF(U361="Not Sampled","Not Sampled",IF(S361=U361,"Accurate Prediction","Inaccurate Prediction"))</f>
        <v>Not Sampled</v>
      </c>
    </row>
    <row r="362" spans="1:22" x14ac:dyDescent="0.25">
      <c r="A362" s="1">
        <v>360</v>
      </c>
      <c r="B362" s="1">
        <v>5</v>
      </c>
      <c r="C362" s="1" t="str">
        <f>LOOKUP(B362,Sheet2!$D$4:$E$9)</f>
        <v>5-7</v>
      </c>
      <c r="D362" s="1">
        <v>189</v>
      </c>
      <c r="E362" t="str">
        <f>LOOKUP(D362,Sheet2!$G$4:$H$9)</f>
        <v>176-200</v>
      </c>
      <c r="F362" s="1">
        <v>64</v>
      </c>
      <c r="G362" t="str">
        <f>LOOKUP(F362,Sheet2!$J$4:$K$8)</f>
        <v>60-69</v>
      </c>
      <c r="H362" s="1">
        <v>33</v>
      </c>
      <c r="I362" t="str">
        <f>LOOKUP(H362,Sheet2!$M$4:$N$8)</f>
        <v>30-39</v>
      </c>
      <c r="J362" s="1">
        <v>325</v>
      </c>
      <c r="K362" t="str">
        <f>LOOKUP(J362,Sheet2!$P$4:$Q$9)</f>
        <v>300-499</v>
      </c>
      <c r="L362" s="1">
        <v>31.2</v>
      </c>
      <c r="M362" t="str">
        <f>LOOKUP(L362,Sheet2!$S$4:$T$8)</f>
        <v>31-35</v>
      </c>
      <c r="N362" s="1">
        <v>0.58299999999999996</v>
      </c>
      <c r="O362" t="str">
        <f>LOOKUP(N362,Sheet2!$V$4:$W$7)</f>
        <v>0.4 - 0.69</v>
      </c>
      <c r="P362" s="1">
        <v>29</v>
      </c>
      <c r="Q362" t="str">
        <f>LOOKUP(P362,Sheet2!$Z$4:$AA$7)</f>
        <v>26-35</v>
      </c>
      <c r="R362" s="1">
        <v>1</v>
      </c>
      <c r="S362" t="str">
        <f>IF(R362=1,"Positive","Negative")</f>
        <v>Positive</v>
      </c>
      <c r="T362" s="1" t="str">
        <f>IFERROR(VLOOKUP(A362,[1]diabetes_Recognition!$A:$B,2,FALSE),"Not Sampled")</f>
        <v>Not Sampled</v>
      </c>
      <c r="U362" t="str">
        <f>IF(T362=1,"Positive",(IF(T362=0,"Negative","Not Sampled")))</f>
        <v>Not Sampled</v>
      </c>
      <c r="V362" s="1" t="str">
        <f>IF(U362="Not Sampled","Not Sampled",IF(S362=U362,"Accurate Prediction","Inaccurate Prediction"))</f>
        <v>Not Sampled</v>
      </c>
    </row>
    <row r="363" spans="1:22" x14ac:dyDescent="0.25">
      <c r="A363" s="1">
        <v>361</v>
      </c>
      <c r="B363" s="1">
        <v>5</v>
      </c>
      <c r="C363" s="1" t="str">
        <f>LOOKUP(B363,Sheet2!$D$4:$E$9)</f>
        <v>5-7</v>
      </c>
      <c r="D363" s="1">
        <v>158</v>
      </c>
      <c r="E363" t="str">
        <f>LOOKUP(D363,Sheet2!$G$4:$H$9)</f>
        <v>151-175</v>
      </c>
      <c r="F363" s="1">
        <v>70</v>
      </c>
      <c r="G363" t="str">
        <f>LOOKUP(F363,Sheet2!$J$4:$K$8)</f>
        <v>70-79</v>
      </c>
      <c r="H363" s="1">
        <v>0</v>
      </c>
      <c r="I363" t="str">
        <f>LOOKUP(H363,Sheet2!$M$4:$N$8)</f>
        <v>Unknown</v>
      </c>
      <c r="J363" s="1">
        <v>0</v>
      </c>
      <c r="K363" t="str">
        <f>LOOKUP(J363,Sheet2!$P$4:$Q$9)</f>
        <v>Unknown</v>
      </c>
      <c r="L363" s="1">
        <v>29.8</v>
      </c>
      <c r="M363" t="str">
        <f>LOOKUP(L363,Sheet2!$S$4:$T$8)</f>
        <v>26-30</v>
      </c>
      <c r="N363" s="1">
        <v>0.20699999999999999</v>
      </c>
      <c r="O363" t="str">
        <f>LOOKUP(N363,Sheet2!$V$4:$W$7)</f>
        <v>0.0 - 0.249</v>
      </c>
      <c r="P363" s="1">
        <v>63</v>
      </c>
      <c r="Q363" t="str">
        <f>LOOKUP(P363,Sheet2!$Z$4:$AA$7)</f>
        <v>46+</v>
      </c>
      <c r="R363" s="1">
        <v>0</v>
      </c>
      <c r="S363" t="str">
        <f>IF(R363=1,"Positive","Negative")</f>
        <v>Negative</v>
      </c>
      <c r="T363" s="1">
        <f>IFERROR(VLOOKUP(A363,[1]diabetes_Recognition!$A:$B,2,FALSE),"Not Sampled")</f>
        <v>1</v>
      </c>
      <c r="U363" t="str">
        <f>IF(T363=1,"Positive",(IF(T363=0,"Negative","Not Sampled")))</f>
        <v>Positive</v>
      </c>
      <c r="V363" s="1" t="str">
        <f>IF(U363="Not Sampled","Not Sampled",IF(S363=U363,"Accurate Prediction","Inaccurate Prediction"))</f>
        <v>Inaccurate Prediction</v>
      </c>
    </row>
    <row r="364" spans="1:22" x14ac:dyDescent="0.25">
      <c r="A364" s="1">
        <v>362</v>
      </c>
      <c r="B364" s="1">
        <v>5</v>
      </c>
      <c r="C364" s="1" t="str">
        <f>LOOKUP(B364,Sheet2!$D$4:$E$9)</f>
        <v>5-7</v>
      </c>
      <c r="D364" s="1">
        <v>103</v>
      </c>
      <c r="E364" t="str">
        <f>LOOKUP(D364,Sheet2!$G$4:$H$9)</f>
        <v>100-125</v>
      </c>
      <c r="F364" s="1">
        <v>108</v>
      </c>
      <c r="G364" t="str">
        <f>LOOKUP(F364,Sheet2!$J$4:$K$8)</f>
        <v>80+</v>
      </c>
      <c r="H364" s="1">
        <v>37</v>
      </c>
      <c r="I364" t="str">
        <f>LOOKUP(H364,Sheet2!$M$4:$N$8)</f>
        <v>30-39</v>
      </c>
      <c r="J364" s="1">
        <v>0</v>
      </c>
      <c r="K364" t="str">
        <f>LOOKUP(J364,Sheet2!$P$4:$Q$9)</f>
        <v>Unknown</v>
      </c>
      <c r="L364" s="1">
        <v>39.200000000000003</v>
      </c>
      <c r="M364" t="str">
        <f>LOOKUP(L364,Sheet2!$S$4:$T$8)</f>
        <v>36+</v>
      </c>
      <c r="N364" s="1">
        <v>0.30499999999999999</v>
      </c>
      <c r="O364" t="str">
        <f>LOOKUP(N364,Sheet2!$V$4:$W$7)</f>
        <v>0.25 - 0.39</v>
      </c>
      <c r="P364" s="1">
        <v>65</v>
      </c>
      <c r="Q364" t="str">
        <f>LOOKUP(P364,Sheet2!$Z$4:$AA$7)</f>
        <v>46+</v>
      </c>
      <c r="R364" s="1">
        <v>0</v>
      </c>
      <c r="S364" t="str">
        <f>IF(R364=1,"Positive","Negative")</f>
        <v>Negative</v>
      </c>
      <c r="T364" s="1" t="str">
        <f>IFERROR(VLOOKUP(A364,[1]diabetes_Recognition!$A:$B,2,FALSE),"Not Sampled")</f>
        <v>Not Sampled</v>
      </c>
      <c r="U364" t="str">
        <f>IF(T364=1,"Positive",(IF(T364=0,"Negative","Not Sampled")))</f>
        <v>Not Sampled</v>
      </c>
      <c r="V364" s="1" t="str">
        <f>IF(U364="Not Sampled","Not Sampled",IF(S364=U364,"Accurate Prediction","Inaccurate Prediction"))</f>
        <v>Not Sampled</v>
      </c>
    </row>
    <row r="365" spans="1:22" x14ac:dyDescent="0.25">
      <c r="A365" s="1">
        <v>363</v>
      </c>
      <c r="B365" s="1">
        <v>4</v>
      </c>
      <c r="C365" s="1" t="str">
        <f>LOOKUP(B365,Sheet2!$D$4:$E$9)</f>
        <v>3-4</v>
      </c>
      <c r="D365" s="1">
        <v>146</v>
      </c>
      <c r="E365" t="str">
        <f>LOOKUP(D365,Sheet2!$G$4:$H$9)</f>
        <v>126-150</v>
      </c>
      <c r="F365" s="1">
        <v>78</v>
      </c>
      <c r="G365" t="str">
        <f>LOOKUP(F365,Sheet2!$J$4:$K$8)</f>
        <v>70-79</v>
      </c>
      <c r="H365" s="1">
        <v>0</v>
      </c>
      <c r="I365" t="str">
        <f>LOOKUP(H365,Sheet2!$M$4:$N$8)</f>
        <v>Unknown</v>
      </c>
      <c r="J365" s="1">
        <v>0</v>
      </c>
      <c r="K365" t="str">
        <f>LOOKUP(J365,Sheet2!$P$4:$Q$9)</f>
        <v>Unknown</v>
      </c>
      <c r="L365" s="1">
        <v>38.5</v>
      </c>
      <c r="M365" t="str">
        <f>LOOKUP(L365,Sheet2!$S$4:$T$8)</f>
        <v>36+</v>
      </c>
      <c r="N365" s="1">
        <v>0.52</v>
      </c>
      <c r="O365" t="str">
        <f>LOOKUP(N365,Sheet2!$V$4:$W$7)</f>
        <v>0.4 - 0.69</v>
      </c>
      <c r="P365" s="1">
        <v>67</v>
      </c>
      <c r="Q365" t="str">
        <f>LOOKUP(P365,Sheet2!$Z$4:$AA$7)</f>
        <v>46+</v>
      </c>
      <c r="R365" s="1">
        <v>1</v>
      </c>
      <c r="S365" t="str">
        <f>IF(R365=1,"Positive","Negative")</f>
        <v>Positive</v>
      </c>
      <c r="T365" s="1" t="str">
        <f>IFERROR(VLOOKUP(A365,[1]diabetes_Recognition!$A:$B,2,FALSE),"Not Sampled")</f>
        <v>Not Sampled</v>
      </c>
      <c r="U365" t="str">
        <f>IF(T365=1,"Positive",(IF(T365=0,"Negative","Not Sampled")))</f>
        <v>Not Sampled</v>
      </c>
      <c r="V365" s="1" t="str">
        <f>IF(U365="Not Sampled","Not Sampled",IF(S365=U365,"Accurate Prediction","Inaccurate Prediction"))</f>
        <v>Not Sampled</v>
      </c>
    </row>
    <row r="366" spans="1:22" x14ac:dyDescent="0.25">
      <c r="A366" s="1">
        <v>364</v>
      </c>
      <c r="B366" s="1">
        <v>4</v>
      </c>
      <c r="C366" s="1" t="str">
        <f>LOOKUP(B366,Sheet2!$D$4:$E$9)</f>
        <v>3-4</v>
      </c>
      <c r="D366" s="1">
        <v>147</v>
      </c>
      <c r="E366" t="str">
        <f>LOOKUP(D366,Sheet2!$G$4:$H$9)</f>
        <v>126-150</v>
      </c>
      <c r="F366" s="1">
        <v>74</v>
      </c>
      <c r="G366" t="str">
        <f>LOOKUP(F366,Sheet2!$J$4:$K$8)</f>
        <v>70-79</v>
      </c>
      <c r="H366" s="1">
        <v>25</v>
      </c>
      <c r="I366" t="str">
        <f>LOOKUP(H366,Sheet2!$M$4:$N$8)</f>
        <v>10-30</v>
      </c>
      <c r="J366" s="1">
        <v>293</v>
      </c>
      <c r="K366" t="str">
        <f>LOOKUP(J366,Sheet2!$P$4:$Q$9)</f>
        <v>200-399</v>
      </c>
      <c r="L366" s="1">
        <v>34.9</v>
      </c>
      <c r="M366" t="str">
        <f>LOOKUP(L366,Sheet2!$S$4:$T$8)</f>
        <v>31-35</v>
      </c>
      <c r="N366" s="1">
        <v>0.38500000000000001</v>
      </c>
      <c r="O366" t="str">
        <f>LOOKUP(N366,Sheet2!$V$4:$W$7)</f>
        <v>0.25 - 0.39</v>
      </c>
      <c r="P366" s="1">
        <v>30</v>
      </c>
      <c r="Q366" t="str">
        <f>LOOKUP(P366,Sheet2!$Z$4:$AA$7)</f>
        <v>26-35</v>
      </c>
      <c r="R366" s="1">
        <v>0</v>
      </c>
      <c r="S366" t="str">
        <f>IF(R366=1,"Positive","Negative")</f>
        <v>Negative</v>
      </c>
      <c r="T366" s="1" t="str">
        <f>IFERROR(VLOOKUP(A366,[1]diabetes_Recognition!$A:$B,2,FALSE),"Not Sampled")</f>
        <v>Not Sampled</v>
      </c>
      <c r="U366" t="str">
        <f>IF(T366=1,"Positive",(IF(T366=0,"Negative","Not Sampled")))</f>
        <v>Not Sampled</v>
      </c>
      <c r="V366" s="1" t="str">
        <f>IF(U366="Not Sampled","Not Sampled",IF(S366=U366,"Accurate Prediction","Inaccurate Prediction"))</f>
        <v>Not Sampled</v>
      </c>
    </row>
    <row r="367" spans="1:22" x14ac:dyDescent="0.25">
      <c r="A367" s="1">
        <v>365</v>
      </c>
      <c r="B367" s="1">
        <v>5</v>
      </c>
      <c r="C367" s="1" t="str">
        <f>LOOKUP(B367,Sheet2!$D$4:$E$9)</f>
        <v>5-7</v>
      </c>
      <c r="D367" s="1">
        <v>99</v>
      </c>
      <c r="E367" t="str">
        <f>LOOKUP(D367,Sheet2!$G$4:$H$9)</f>
        <v>1-99</v>
      </c>
      <c r="F367" s="1">
        <v>54</v>
      </c>
      <c r="G367" t="str">
        <f>LOOKUP(F367,Sheet2!$J$4:$K$8)</f>
        <v>1-59</v>
      </c>
      <c r="H367" s="1">
        <v>28</v>
      </c>
      <c r="I367" t="str">
        <f>LOOKUP(H367,Sheet2!$M$4:$N$8)</f>
        <v>10-30</v>
      </c>
      <c r="J367" s="1">
        <v>83</v>
      </c>
      <c r="K367" t="str">
        <f>LOOKUP(J367,Sheet2!$P$4:$Q$9)</f>
        <v>1-99</v>
      </c>
      <c r="L367" s="1">
        <v>34</v>
      </c>
      <c r="M367" t="str">
        <f>LOOKUP(L367,Sheet2!$S$4:$T$8)</f>
        <v>31-35</v>
      </c>
      <c r="N367" s="1">
        <v>0.499</v>
      </c>
      <c r="O367" t="str">
        <f>LOOKUP(N367,Sheet2!$V$4:$W$7)</f>
        <v>0.4 - 0.69</v>
      </c>
      <c r="P367" s="1">
        <v>30</v>
      </c>
      <c r="Q367" t="str">
        <f>LOOKUP(P367,Sheet2!$Z$4:$AA$7)</f>
        <v>26-35</v>
      </c>
      <c r="R367" s="1">
        <v>0</v>
      </c>
      <c r="S367" t="str">
        <f>IF(R367=1,"Positive","Negative")</f>
        <v>Negative</v>
      </c>
      <c r="T367" s="1" t="str">
        <f>IFERROR(VLOOKUP(A367,[1]diabetes_Recognition!$A:$B,2,FALSE),"Not Sampled")</f>
        <v>Not Sampled</v>
      </c>
      <c r="U367" t="str">
        <f>IF(T367=1,"Positive",(IF(T367=0,"Negative","Not Sampled")))</f>
        <v>Not Sampled</v>
      </c>
      <c r="V367" s="1" t="str">
        <f>IF(U367="Not Sampled","Not Sampled",IF(S367=U367,"Accurate Prediction","Inaccurate Prediction"))</f>
        <v>Not Sampled</v>
      </c>
    </row>
    <row r="368" spans="1:22" x14ac:dyDescent="0.25">
      <c r="A368" s="1">
        <v>366</v>
      </c>
      <c r="B368" s="1">
        <v>6</v>
      </c>
      <c r="C368" s="1" t="str">
        <f>LOOKUP(B368,Sheet2!$D$4:$E$9)</f>
        <v>5-7</v>
      </c>
      <c r="D368" s="1">
        <v>124</v>
      </c>
      <c r="E368" t="str">
        <f>LOOKUP(D368,Sheet2!$G$4:$H$9)</f>
        <v>100-125</v>
      </c>
      <c r="F368" s="1">
        <v>72</v>
      </c>
      <c r="G368" t="str">
        <f>LOOKUP(F368,Sheet2!$J$4:$K$8)</f>
        <v>70-79</v>
      </c>
      <c r="H368" s="1">
        <v>0</v>
      </c>
      <c r="I368" t="str">
        <f>LOOKUP(H368,Sheet2!$M$4:$N$8)</f>
        <v>Unknown</v>
      </c>
      <c r="J368" s="1">
        <v>0</v>
      </c>
      <c r="K368" t="str">
        <f>LOOKUP(J368,Sheet2!$P$4:$Q$9)</f>
        <v>Unknown</v>
      </c>
      <c r="L368" s="1">
        <v>27.6</v>
      </c>
      <c r="M368" t="str">
        <f>LOOKUP(L368,Sheet2!$S$4:$T$8)</f>
        <v>26-30</v>
      </c>
      <c r="N368" s="1">
        <v>0.36799999999999999</v>
      </c>
      <c r="O368" t="str">
        <f>LOOKUP(N368,Sheet2!$V$4:$W$7)</f>
        <v>0.25 - 0.39</v>
      </c>
      <c r="P368" s="1">
        <v>29</v>
      </c>
      <c r="Q368" t="str">
        <f>LOOKUP(P368,Sheet2!$Z$4:$AA$7)</f>
        <v>26-35</v>
      </c>
      <c r="R368" s="1">
        <v>1</v>
      </c>
      <c r="S368" t="str">
        <f>IF(R368=1,"Positive","Negative")</f>
        <v>Positive</v>
      </c>
      <c r="T368" s="1">
        <f>IFERROR(VLOOKUP(A368,[1]diabetes_Recognition!$A:$B,2,FALSE),"Not Sampled")</f>
        <v>0</v>
      </c>
      <c r="U368" t="str">
        <f>IF(T368=1,"Positive",(IF(T368=0,"Negative","Not Sampled")))</f>
        <v>Negative</v>
      </c>
      <c r="V368" s="1" t="str">
        <f>IF(U368="Not Sampled","Not Sampled",IF(S368=U368,"Accurate Prediction","Inaccurate Prediction"))</f>
        <v>Inaccurate Prediction</v>
      </c>
    </row>
    <row r="369" spans="1:22" x14ac:dyDescent="0.25">
      <c r="A369" s="1">
        <v>367</v>
      </c>
      <c r="B369" s="1">
        <v>0</v>
      </c>
      <c r="C369" s="1">
        <f>LOOKUP(B369,Sheet2!$D$4:$E$9)</f>
        <v>0</v>
      </c>
      <c r="D369" s="1">
        <v>101</v>
      </c>
      <c r="E369" t="str">
        <f>LOOKUP(D369,Sheet2!$G$4:$H$9)</f>
        <v>100-125</v>
      </c>
      <c r="F369" s="1">
        <v>64</v>
      </c>
      <c r="G369" t="str">
        <f>LOOKUP(F369,Sheet2!$J$4:$K$8)</f>
        <v>60-69</v>
      </c>
      <c r="H369" s="1">
        <v>17</v>
      </c>
      <c r="I369" t="str">
        <f>LOOKUP(H369,Sheet2!$M$4:$N$8)</f>
        <v>10-30</v>
      </c>
      <c r="J369" s="1">
        <v>0</v>
      </c>
      <c r="K369" t="str">
        <f>LOOKUP(J369,Sheet2!$P$4:$Q$9)</f>
        <v>Unknown</v>
      </c>
      <c r="L369" s="1">
        <v>21</v>
      </c>
      <c r="M369" t="str">
        <f>LOOKUP(L369,Sheet2!$S$4:$T$8)</f>
        <v>1-25</v>
      </c>
      <c r="N369" s="1">
        <v>0.252</v>
      </c>
      <c r="O369" t="str">
        <f>LOOKUP(N369,Sheet2!$V$4:$W$7)</f>
        <v>0.25 - 0.39</v>
      </c>
      <c r="P369" s="1">
        <v>21</v>
      </c>
      <c r="Q369" t="str">
        <f>LOOKUP(P369,Sheet2!$Z$4:$AA$7)</f>
        <v>&lt;=25</v>
      </c>
      <c r="R369" s="1">
        <v>0</v>
      </c>
      <c r="S369" t="str">
        <f>IF(R369=1,"Positive","Negative")</f>
        <v>Negative</v>
      </c>
      <c r="T369" s="1">
        <f>IFERROR(VLOOKUP(A369,[1]diabetes_Recognition!$A:$B,2,FALSE),"Not Sampled")</f>
        <v>0</v>
      </c>
      <c r="U369" t="str">
        <f>IF(T369=1,"Positive",(IF(T369=0,"Negative","Not Sampled")))</f>
        <v>Negative</v>
      </c>
      <c r="V369" s="1" t="str">
        <f>IF(U369="Not Sampled","Not Sampled",IF(S369=U369,"Accurate Prediction","Inaccurate Prediction"))</f>
        <v>Accurate Prediction</v>
      </c>
    </row>
    <row r="370" spans="1:22" x14ac:dyDescent="0.25">
      <c r="A370" s="1">
        <v>368</v>
      </c>
      <c r="B370" s="1">
        <v>3</v>
      </c>
      <c r="C370" s="1" t="str">
        <f>LOOKUP(B370,Sheet2!$D$4:$E$9)</f>
        <v>3-4</v>
      </c>
      <c r="D370" s="1">
        <v>81</v>
      </c>
      <c r="E370" t="str">
        <f>LOOKUP(D370,Sheet2!$G$4:$H$9)</f>
        <v>1-99</v>
      </c>
      <c r="F370" s="1">
        <v>86</v>
      </c>
      <c r="G370" t="str">
        <f>LOOKUP(F370,Sheet2!$J$4:$K$8)</f>
        <v>80+</v>
      </c>
      <c r="H370" s="1">
        <v>16</v>
      </c>
      <c r="I370" t="str">
        <f>LOOKUP(H370,Sheet2!$M$4:$N$8)</f>
        <v>10-30</v>
      </c>
      <c r="J370" s="1">
        <v>66</v>
      </c>
      <c r="K370" t="str">
        <f>LOOKUP(J370,Sheet2!$P$4:$Q$9)</f>
        <v>1-99</v>
      </c>
      <c r="L370" s="1">
        <v>27.5</v>
      </c>
      <c r="M370" t="str">
        <f>LOOKUP(L370,Sheet2!$S$4:$T$8)</f>
        <v>26-30</v>
      </c>
      <c r="N370" s="1">
        <v>0.30599999999999999</v>
      </c>
      <c r="O370" t="str">
        <f>LOOKUP(N370,Sheet2!$V$4:$W$7)</f>
        <v>0.25 - 0.39</v>
      </c>
      <c r="P370" s="1">
        <v>22</v>
      </c>
      <c r="Q370" t="str">
        <f>LOOKUP(P370,Sheet2!$Z$4:$AA$7)</f>
        <v>&lt;=25</v>
      </c>
      <c r="R370" s="1">
        <v>0</v>
      </c>
      <c r="S370" t="str">
        <f>IF(R370=1,"Positive","Negative")</f>
        <v>Negative</v>
      </c>
      <c r="T370" s="1">
        <f>IFERROR(VLOOKUP(A370,[1]diabetes_Recognition!$A:$B,2,FALSE),"Not Sampled")</f>
        <v>0</v>
      </c>
      <c r="U370" t="str">
        <f>IF(T370=1,"Positive",(IF(T370=0,"Negative","Not Sampled")))</f>
        <v>Negative</v>
      </c>
      <c r="V370" s="1" t="str">
        <f>IF(U370="Not Sampled","Not Sampled",IF(S370=U370,"Accurate Prediction","Inaccurate Prediction"))</f>
        <v>Accurate Prediction</v>
      </c>
    </row>
    <row r="371" spans="1:22" x14ac:dyDescent="0.25">
      <c r="A371" s="1">
        <v>369</v>
      </c>
      <c r="B371" s="1">
        <v>1</v>
      </c>
      <c r="C371" s="1">
        <f>LOOKUP(B371,Sheet2!$D$4:$E$9)</f>
        <v>1</v>
      </c>
      <c r="D371" s="1">
        <v>133</v>
      </c>
      <c r="E371" t="str">
        <f>LOOKUP(D371,Sheet2!$G$4:$H$9)</f>
        <v>126-150</v>
      </c>
      <c r="F371" s="1">
        <v>102</v>
      </c>
      <c r="G371" t="str">
        <f>LOOKUP(F371,Sheet2!$J$4:$K$8)</f>
        <v>80+</v>
      </c>
      <c r="H371" s="1">
        <v>28</v>
      </c>
      <c r="I371" t="str">
        <f>LOOKUP(H371,Sheet2!$M$4:$N$8)</f>
        <v>10-30</v>
      </c>
      <c r="J371" s="1">
        <v>140</v>
      </c>
      <c r="K371" t="str">
        <f>LOOKUP(J371,Sheet2!$P$4:$Q$9)</f>
        <v>100-199</v>
      </c>
      <c r="L371" s="1">
        <v>32.799999999999997</v>
      </c>
      <c r="M371" t="str">
        <f>LOOKUP(L371,Sheet2!$S$4:$T$8)</f>
        <v>31-35</v>
      </c>
      <c r="N371" s="1">
        <v>0.23400000000000001</v>
      </c>
      <c r="O371" t="str">
        <f>LOOKUP(N371,Sheet2!$V$4:$W$7)</f>
        <v>0.0 - 0.249</v>
      </c>
      <c r="P371" s="1">
        <v>45</v>
      </c>
      <c r="Q371" t="str">
        <f>LOOKUP(P371,Sheet2!$Z$4:$AA$7)</f>
        <v>36-45</v>
      </c>
      <c r="R371" s="1">
        <v>1</v>
      </c>
      <c r="S371" t="str">
        <f>IF(R371=1,"Positive","Negative")</f>
        <v>Positive</v>
      </c>
      <c r="T371" s="1" t="str">
        <f>IFERROR(VLOOKUP(A371,[1]diabetes_Recognition!$A:$B,2,FALSE),"Not Sampled")</f>
        <v>Not Sampled</v>
      </c>
      <c r="U371" t="str">
        <f>IF(T371=1,"Positive",(IF(T371=0,"Negative","Not Sampled")))</f>
        <v>Not Sampled</v>
      </c>
      <c r="V371" s="1" t="str">
        <f>IF(U371="Not Sampled","Not Sampled",IF(S371=U371,"Accurate Prediction","Inaccurate Prediction"))</f>
        <v>Not Sampled</v>
      </c>
    </row>
    <row r="372" spans="1:22" x14ac:dyDescent="0.25">
      <c r="A372" s="1">
        <v>370</v>
      </c>
      <c r="B372" s="1">
        <v>3</v>
      </c>
      <c r="C372" s="1" t="str">
        <f>LOOKUP(B372,Sheet2!$D$4:$E$9)</f>
        <v>3-4</v>
      </c>
      <c r="D372" s="1">
        <v>173</v>
      </c>
      <c r="E372" t="str">
        <f>LOOKUP(D372,Sheet2!$G$4:$H$9)</f>
        <v>151-175</v>
      </c>
      <c r="F372" s="1">
        <v>82</v>
      </c>
      <c r="G372" t="str">
        <f>LOOKUP(F372,Sheet2!$J$4:$K$8)</f>
        <v>80+</v>
      </c>
      <c r="H372" s="1">
        <v>48</v>
      </c>
      <c r="I372" t="str">
        <f>LOOKUP(H372,Sheet2!$M$4:$N$8)</f>
        <v>40+</v>
      </c>
      <c r="J372" s="1">
        <v>465</v>
      </c>
      <c r="K372" t="str">
        <f>LOOKUP(J372,Sheet2!$P$4:$Q$9)</f>
        <v>300-499</v>
      </c>
      <c r="L372" s="1">
        <v>38.4</v>
      </c>
      <c r="M372" t="str">
        <f>LOOKUP(L372,Sheet2!$S$4:$T$8)</f>
        <v>36+</v>
      </c>
      <c r="N372" s="1">
        <v>2.137</v>
      </c>
      <c r="O372" t="str">
        <f>LOOKUP(N372,Sheet2!$V$4:$W$7)</f>
        <v>0.7+</v>
      </c>
      <c r="P372" s="1">
        <v>25</v>
      </c>
      <c r="Q372" t="str">
        <f>LOOKUP(P372,Sheet2!$Z$4:$AA$7)</f>
        <v>&lt;=25</v>
      </c>
      <c r="R372" s="1">
        <v>1</v>
      </c>
      <c r="S372" t="str">
        <f>IF(R372=1,"Positive","Negative")</f>
        <v>Positive</v>
      </c>
      <c r="T372" s="1" t="str">
        <f>IFERROR(VLOOKUP(A372,[1]diabetes_Recognition!$A:$B,2,FALSE),"Not Sampled")</f>
        <v>Not Sampled</v>
      </c>
      <c r="U372" t="str">
        <f>IF(T372=1,"Positive",(IF(T372=0,"Negative","Not Sampled")))</f>
        <v>Not Sampled</v>
      </c>
      <c r="V372" s="1" t="str">
        <f>IF(U372="Not Sampled","Not Sampled",IF(S372=U372,"Accurate Prediction","Inaccurate Prediction"))</f>
        <v>Not Sampled</v>
      </c>
    </row>
    <row r="373" spans="1:22" x14ac:dyDescent="0.25">
      <c r="A373" s="1">
        <v>371</v>
      </c>
      <c r="B373" s="1">
        <v>0</v>
      </c>
      <c r="C373" s="1">
        <f>LOOKUP(B373,Sheet2!$D$4:$E$9)</f>
        <v>0</v>
      </c>
      <c r="D373" s="1">
        <v>118</v>
      </c>
      <c r="E373" t="str">
        <f>LOOKUP(D373,Sheet2!$G$4:$H$9)</f>
        <v>100-125</v>
      </c>
      <c r="F373" s="1">
        <v>64</v>
      </c>
      <c r="G373" t="str">
        <f>LOOKUP(F373,Sheet2!$J$4:$K$8)</f>
        <v>60-69</v>
      </c>
      <c r="H373" s="1">
        <v>23</v>
      </c>
      <c r="I373" t="str">
        <f>LOOKUP(H373,Sheet2!$M$4:$N$8)</f>
        <v>10-30</v>
      </c>
      <c r="J373" s="1">
        <v>89</v>
      </c>
      <c r="K373" t="str">
        <f>LOOKUP(J373,Sheet2!$P$4:$Q$9)</f>
        <v>1-99</v>
      </c>
      <c r="L373" s="1">
        <v>0</v>
      </c>
      <c r="M373" t="str">
        <f>LOOKUP(L373,Sheet2!$S$4:$T$8)</f>
        <v>Unknown</v>
      </c>
      <c r="N373" s="1">
        <v>1.7310000000000001</v>
      </c>
      <c r="O373" t="str">
        <f>LOOKUP(N373,Sheet2!$V$4:$W$7)</f>
        <v>0.7+</v>
      </c>
      <c r="P373" s="1">
        <v>21</v>
      </c>
      <c r="Q373" t="str">
        <f>LOOKUP(P373,Sheet2!$Z$4:$AA$7)</f>
        <v>&lt;=25</v>
      </c>
      <c r="R373" s="1">
        <v>0</v>
      </c>
      <c r="S373" t="str">
        <f>IF(R373=1,"Positive","Negative")</f>
        <v>Negative</v>
      </c>
      <c r="T373" s="1" t="str">
        <f>IFERROR(VLOOKUP(A373,[1]diabetes_Recognition!$A:$B,2,FALSE),"Not Sampled")</f>
        <v>Not Sampled</v>
      </c>
      <c r="U373" t="str">
        <f>IF(T373=1,"Positive",(IF(T373=0,"Negative","Not Sampled")))</f>
        <v>Not Sampled</v>
      </c>
      <c r="V373" s="1" t="str">
        <f>IF(U373="Not Sampled","Not Sampled",IF(S373=U373,"Accurate Prediction","Inaccurate Prediction"))</f>
        <v>Not Sampled</v>
      </c>
    </row>
    <row r="374" spans="1:22" x14ac:dyDescent="0.25">
      <c r="A374" s="1">
        <v>372</v>
      </c>
      <c r="B374" s="1">
        <v>0</v>
      </c>
      <c r="C374" s="1">
        <f>LOOKUP(B374,Sheet2!$D$4:$E$9)</f>
        <v>0</v>
      </c>
      <c r="D374" s="1">
        <v>84</v>
      </c>
      <c r="E374" t="str">
        <f>LOOKUP(D374,Sheet2!$G$4:$H$9)</f>
        <v>1-99</v>
      </c>
      <c r="F374" s="1">
        <v>64</v>
      </c>
      <c r="G374" t="str">
        <f>LOOKUP(F374,Sheet2!$J$4:$K$8)</f>
        <v>60-69</v>
      </c>
      <c r="H374" s="1">
        <v>22</v>
      </c>
      <c r="I374" t="str">
        <f>LOOKUP(H374,Sheet2!$M$4:$N$8)</f>
        <v>10-30</v>
      </c>
      <c r="J374" s="1">
        <v>66</v>
      </c>
      <c r="K374" t="str">
        <f>LOOKUP(J374,Sheet2!$P$4:$Q$9)</f>
        <v>1-99</v>
      </c>
      <c r="L374" s="1">
        <v>35.799999999999997</v>
      </c>
      <c r="M374" t="str">
        <f>LOOKUP(L374,Sheet2!$S$4:$T$8)</f>
        <v>31-35</v>
      </c>
      <c r="N374" s="1">
        <v>0.54500000000000004</v>
      </c>
      <c r="O374" t="str">
        <f>LOOKUP(N374,Sheet2!$V$4:$W$7)</f>
        <v>0.4 - 0.69</v>
      </c>
      <c r="P374" s="1">
        <v>21</v>
      </c>
      <c r="Q374" t="str">
        <f>LOOKUP(P374,Sheet2!$Z$4:$AA$7)</f>
        <v>&lt;=25</v>
      </c>
      <c r="R374" s="1">
        <v>0</v>
      </c>
      <c r="S374" t="str">
        <f>IF(R374=1,"Positive","Negative")</f>
        <v>Negative</v>
      </c>
      <c r="T374" s="1">
        <f>IFERROR(VLOOKUP(A374,[1]diabetes_Recognition!$A:$B,2,FALSE),"Not Sampled")</f>
        <v>0</v>
      </c>
      <c r="U374" t="str">
        <f>IF(T374=1,"Positive",(IF(T374=0,"Negative","Not Sampled")))</f>
        <v>Negative</v>
      </c>
      <c r="V374" s="1" t="str">
        <f>IF(U374="Not Sampled","Not Sampled",IF(S374=U374,"Accurate Prediction","Inaccurate Prediction"))</f>
        <v>Accurate Prediction</v>
      </c>
    </row>
    <row r="375" spans="1:22" x14ac:dyDescent="0.25">
      <c r="A375" s="1">
        <v>373</v>
      </c>
      <c r="B375" s="1">
        <v>2</v>
      </c>
      <c r="C375" s="1">
        <f>LOOKUP(B375,Sheet2!$D$4:$E$9)</f>
        <v>2</v>
      </c>
      <c r="D375" s="1">
        <v>105</v>
      </c>
      <c r="E375" t="str">
        <f>LOOKUP(D375,Sheet2!$G$4:$H$9)</f>
        <v>100-125</v>
      </c>
      <c r="F375" s="1">
        <v>58</v>
      </c>
      <c r="G375" t="str">
        <f>LOOKUP(F375,Sheet2!$J$4:$K$8)</f>
        <v>1-59</v>
      </c>
      <c r="H375" s="1">
        <v>40</v>
      </c>
      <c r="I375" t="str">
        <f>LOOKUP(H375,Sheet2!$M$4:$N$8)</f>
        <v>40+</v>
      </c>
      <c r="J375" s="1">
        <v>94</v>
      </c>
      <c r="K375" t="str">
        <f>LOOKUP(J375,Sheet2!$P$4:$Q$9)</f>
        <v>1-99</v>
      </c>
      <c r="L375" s="1">
        <v>34.9</v>
      </c>
      <c r="M375" t="str">
        <f>LOOKUP(L375,Sheet2!$S$4:$T$8)</f>
        <v>31-35</v>
      </c>
      <c r="N375" s="1">
        <v>0.22500000000000001</v>
      </c>
      <c r="O375" t="str">
        <f>LOOKUP(N375,Sheet2!$V$4:$W$7)</f>
        <v>0.0 - 0.249</v>
      </c>
      <c r="P375" s="1">
        <v>25</v>
      </c>
      <c r="Q375" t="str">
        <f>LOOKUP(P375,Sheet2!$Z$4:$AA$7)</f>
        <v>&lt;=25</v>
      </c>
      <c r="R375" s="1">
        <v>0</v>
      </c>
      <c r="S375" t="str">
        <f>IF(R375=1,"Positive","Negative")</f>
        <v>Negative</v>
      </c>
      <c r="T375" s="1" t="str">
        <f>IFERROR(VLOOKUP(A375,[1]diabetes_Recognition!$A:$B,2,FALSE),"Not Sampled")</f>
        <v>Not Sampled</v>
      </c>
      <c r="U375" t="str">
        <f>IF(T375=1,"Positive",(IF(T375=0,"Negative","Not Sampled")))</f>
        <v>Not Sampled</v>
      </c>
      <c r="V375" s="1" t="str">
        <f>IF(U375="Not Sampled","Not Sampled",IF(S375=U375,"Accurate Prediction","Inaccurate Prediction"))</f>
        <v>Not Sampled</v>
      </c>
    </row>
    <row r="376" spans="1:22" x14ac:dyDescent="0.25">
      <c r="A376" s="1">
        <v>374</v>
      </c>
      <c r="B376" s="1">
        <v>2</v>
      </c>
      <c r="C376" s="1">
        <f>LOOKUP(B376,Sheet2!$D$4:$E$9)</f>
        <v>2</v>
      </c>
      <c r="D376" s="1">
        <v>122</v>
      </c>
      <c r="E376" t="str">
        <f>LOOKUP(D376,Sheet2!$G$4:$H$9)</f>
        <v>100-125</v>
      </c>
      <c r="F376" s="1">
        <v>52</v>
      </c>
      <c r="G376" t="str">
        <f>LOOKUP(F376,Sheet2!$J$4:$K$8)</f>
        <v>1-59</v>
      </c>
      <c r="H376" s="1">
        <v>43</v>
      </c>
      <c r="I376" t="str">
        <f>LOOKUP(H376,Sheet2!$M$4:$N$8)</f>
        <v>40+</v>
      </c>
      <c r="J376" s="1">
        <v>158</v>
      </c>
      <c r="K376" t="str">
        <f>LOOKUP(J376,Sheet2!$P$4:$Q$9)</f>
        <v>100-199</v>
      </c>
      <c r="L376" s="1">
        <v>36.200000000000003</v>
      </c>
      <c r="M376" t="str">
        <f>LOOKUP(L376,Sheet2!$S$4:$T$8)</f>
        <v>36+</v>
      </c>
      <c r="N376" s="1">
        <v>0.81599999999999995</v>
      </c>
      <c r="O376" t="str">
        <f>LOOKUP(N376,Sheet2!$V$4:$W$7)</f>
        <v>0.7+</v>
      </c>
      <c r="P376" s="1">
        <v>28</v>
      </c>
      <c r="Q376" t="str">
        <f>LOOKUP(P376,Sheet2!$Z$4:$AA$7)</f>
        <v>26-35</v>
      </c>
      <c r="R376" s="1">
        <v>0</v>
      </c>
      <c r="S376" t="str">
        <f>IF(R376=1,"Positive","Negative")</f>
        <v>Negative</v>
      </c>
      <c r="T376" s="1" t="str">
        <f>IFERROR(VLOOKUP(A376,[1]diabetes_Recognition!$A:$B,2,FALSE),"Not Sampled")</f>
        <v>Not Sampled</v>
      </c>
      <c r="U376" t="str">
        <f>IF(T376=1,"Positive",(IF(T376=0,"Negative","Not Sampled")))</f>
        <v>Not Sampled</v>
      </c>
      <c r="V376" s="1" t="str">
        <f>IF(U376="Not Sampled","Not Sampled",IF(S376=U376,"Accurate Prediction","Inaccurate Prediction"))</f>
        <v>Not Sampled</v>
      </c>
    </row>
    <row r="377" spans="1:22" x14ac:dyDescent="0.25">
      <c r="A377" s="1">
        <v>375</v>
      </c>
      <c r="B377" s="1">
        <v>12</v>
      </c>
      <c r="C377" s="1" t="str">
        <f>LOOKUP(B377,Sheet2!$D$4:$E$9)</f>
        <v>8+</v>
      </c>
      <c r="D377" s="1">
        <v>140</v>
      </c>
      <c r="E377" t="str">
        <f>LOOKUP(D377,Sheet2!$G$4:$H$9)</f>
        <v>126-150</v>
      </c>
      <c r="F377" s="1">
        <v>82</v>
      </c>
      <c r="G377" t="str">
        <f>LOOKUP(F377,Sheet2!$J$4:$K$8)</f>
        <v>80+</v>
      </c>
      <c r="H377" s="1">
        <v>43</v>
      </c>
      <c r="I377" t="str">
        <f>LOOKUP(H377,Sheet2!$M$4:$N$8)</f>
        <v>40+</v>
      </c>
      <c r="J377" s="1">
        <v>325</v>
      </c>
      <c r="K377" t="str">
        <f>LOOKUP(J377,Sheet2!$P$4:$Q$9)</f>
        <v>300-499</v>
      </c>
      <c r="L377" s="1">
        <v>39.200000000000003</v>
      </c>
      <c r="M377" t="str">
        <f>LOOKUP(L377,Sheet2!$S$4:$T$8)</f>
        <v>36+</v>
      </c>
      <c r="N377" s="1">
        <v>0.52800000000000002</v>
      </c>
      <c r="O377" t="str">
        <f>LOOKUP(N377,Sheet2!$V$4:$W$7)</f>
        <v>0.4 - 0.69</v>
      </c>
      <c r="P377" s="1">
        <v>58</v>
      </c>
      <c r="Q377" t="str">
        <f>LOOKUP(P377,Sheet2!$Z$4:$AA$7)</f>
        <v>46+</v>
      </c>
      <c r="R377" s="1">
        <v>1</v>
      </c>
      <c r="S377" t="str">
        <f>IF(R377=1,"Positive","Negative")</f>
        <v>Positive</v>
      </c>
      <c r="T377" s="1">
        <f>IFERROR(VLOOKUP(A377,[1]diabetes_Recognition!$A:$B,2,FALSE),"Not Sampled")</f>
        <v>1</v>
      </c>
      <c r="U377" t="str">
        <f>IF(T377=1,"Positive",(IF(T377=0,"Negative","Not Sampled")))</f>
        <v>Positive</v>
      </c>
      <c r="V377" s="1" t="str">
        <f>IF(U377="Not Sampled","Not Sampled",IF(S377=U377,"Accurate Prediction","Inaccurate Prediction"))</f>
        <v>Accurate Prediction</v>
      </c>
    </row>
    <row r="378" spans="1:22" x14ac:dyDescent="0.25">
      <c r="A378" s="1">
        <v>376</v>
      </c>
      <c r="B378" s="1">
        <v>0</v>
      </c>
      <c r="C378" s="1">
        <f>LOOKUP(B378,Sheet2!$D$4:$E$9)</f>
        <v>0</v>
      </c>
      <c r="D378" s="1">
        <v>98</v>
      </c>
      <c r="E378" t="str">
        <f>LOOKUP(D378,Sheet2!$G$4:$H$9)</f>
        <v>1-99</v>
      </c>
      <c r="F378" s="1">
        <v>82</v>
      </c>
      <c r="G378" t="str">
        <f>LOOKUP(F378,Sheet2!$J$4:$K$8)</f>
        <v>80+</v>
      </c>
      <c r="H378" s="1">
        <v>15</v>
      </c>
      <c r="I378" t="str">
        <f>LOOKUP(H378,Sheet2!$M$4:$N$8)</f>
        <v>10-30</v>
      </c>
      <c r="J378" s="1">
        <v>84</v>
      </c>
      <c r="K378" t="str">
        <f>LOOKUP(J378,Sheet2!$P$4:$Q$9)</f>
        <v>1-99</v>
      </c>
      <c r="L378" s="1">
        <v>25.2</v>
      </c>
      <c r="M378" t="str">
        <f>LOOKUP(L378,Sheet2!$S$4:$T$8)</f>
        <v>1-25</v>
      </c>
      <c r="N378" s="1">
        <v>0.29899999999999999</v>
      </c>
      <c r="O378" t="str">
        <f>LOOKUP(N378,Sheet2!$V$4:$W$7)</f>
        <v>0.25 - 0.39</v>
      </c>
      <c r="P378" s="1">
        <v>22</v>
      </c>
      <c r="Q378" t="str">
        <f>LOOKUP(P378,Sheet2!$Z$4:$AA$7)</f>
        <v>&lt;=25</v>
      </c>
      <c r="R378" s="1">
        <v>0</v>
      </c>
      <c r="S378" t="str">
        <f>IF(R378=1,"Positive","Negative")</f>
        <v>Negative</v>
      </c>
      <c r="T378" s="1" t="str">
        <f>IFERROR(VLOOKUP(A378,[1]diabetes_Recognition!$A:$B,2,FALSE),"Not Sampled")</f>
        <v>Not Sampled</v>
      </c>
      <c r="U378" t="str">
        <f>IF(T378=1,"Positive",(IF(T378=0,"Negative","Not Sampled")))</f>
        <v>Not Sampled</v>
      </c>
      <c r="V378" s="1" t="str">
        <f>IF(U378="Not Sampled","Not Sampled",IF(S378=U378,"Accurate Prediction","Inaccurate Prediction"))</f>
        <v>Not Sampled</v>
      </c>
    </row>
    <row r="379" spans="1:22" x14ac:dyDescent="0.25">
      <c r="A379" s="1">
        <v>377</v>
      </c>
      <c r="B379" s="1">
        <v>1</v>
      </c>
      <c r="C379" s="1">
        <f>LOOKUP(B379,Sheet2!$D$4:$E$9)</f>
        <v>1</v>
      </c>
      <c r="D379" s="1">
        <v>87</v>
      </c>
      <c r="E379" t="str">
        <f>LOOKUP(D379,Sheet2!$G$4:$H$9)</f>
        <v>1-99</v>
      </c>
      <c r="F379" s="1">
        <v>60</v>
      </c>
      <c r="G379" t="str">
        <f>LOOKUP(F379,Sheet2!$J$4:$K$8)</f>
        <v>60-69</v>
      </c>
      <c r="H379" s="1">
        <v>37</v>
      </c>
      <c r="I379" t="str">
        <f>LOOKUP(H379,Sheet2!$M$4:$N$8)</f>
        <v>30-39</v>
      </c>
      <c r="J379" s="1">
        <v>75</v>
      </c>
      <c r="K379" t="str">
        <f>LOOKUP(J379,Sheet2!$P$4:$Q$9)</f>
        <v>1-99</v>
      </c>
      <c r="L379" s="1">
        <v>37.200000000000003</v>
      </c>
      <c r="M379" t="str">
        <f>LOOKUP(L379,Sheet2!$S$4:$T$8)</f>
        <v>36+</v>
      </c>
      <c r="N379" s="1">
        <v>0.50900000000000001</v>
      </c>
      <c r="O379" t="str">
        <f>LOOKUP(N379,Sheet2!$V$4:$W$7)</f>
        <v>0.4 - 0.69</v>
      </c>
      <c r="P379" s="1">
        <v>22</v>
      </c>
      <c r="Q379" t="str">
        <f>LOOKUP(P379,Sheet2!$Z$4:$AA$7)</f>
        <v>&lt;=25</v>
      </c>
      <c r="R379" s="1">
        <v>0</v>
      </c>
      <c r="S379" t="str">
        <f>IF(R379=1,"Positive","Negative")</f>
        <v>Negative</v>
      </c>
      <c r="T379" s="1" t="str">
        <f>IFERROR(VLOOKUP(A379,[1]diabetes_Recognition!$A:$B,2,FALSE),"Not Sampled")</f>
        <v>Not Sampled</v>
      </c>
      <c r="U379" t="str">
        <f>IF(T379=1,"Positive",(IF(T379=0,"Negative","Not Sampled")))</f>
        <v>Not Sampled</v>
      </c>
      <c r="V379" s="1" t="str">
        <f>IF(U379="Not Sampled","Not Sampled",IF(S379=U379,"Accurate Prediction","Inaccurate Prediction"))</f>
        <v>Not Sampled</v>
      </c>
    </row>
    <row r="380" spans="1:22" x14ac:dyDescent="0.25">
      <c r="A380" s="1">
        <v>378</v>
      </c>
      <c r="B380" s="1">
        <v>4</v>
      </c>
      <c r="C380" s="1" t="str">
        <f>LOOKUP(B380,Sheet2!$D$4:$E$9)</f>
        <v>3-4</v>
      </c>
      <c r="D380" s="1">
        <v>156</v>
      </c>
      <c r="E380" t="str">
        <f>LOOKUP(D380,Sheet2!$G$4:$H$9)</f>
        <v>151-175</v>
      </c>
      <c r="F380" s="1">
        <v>75</v>
      </c>
      <c r="G380" t="str">
        <f>LOOKUP(F380,Sheet2!$J$4:$K$8)</f>
        <v>70-79</v>
      </c>
      <c r="H380" s="1">
        <v>0</v>
      </c>
      <c r="I380" t="str">
        <f>LOOKUP(H380,Sheet2!$M$4:$N$8)</f>
        <v>Unknown</v>
      </c>
      <c r="J380" s="1">
        <v>0</v>
      </c>
      <c r="K380" t="str">
        <f>LOOKUP(J380,Sheet2!$P$4:$Q$9)</f>
        <v>Unknown</v>
      </c>
      <c r="L380" s="1">
        <v>48.3</v>
      </c>
      <c r="M380" t="str">
        <f>LOOKUP(L380,Sheet2!$S$4:$T$8)</f>
        <v>36+</v>
      </c>
      <c r="N380" s="1">
        <v>0.23799999999999999</v>
      </c>
      <c r="O380" t="str">
        <f>LOOKUP(N380,Sheet2!$V$4:$W$7)</f>
        <v>0.0 - 0.249</v>
      </c>
      <c r="P380" s="1">
        <v>32</v>
      </c>
      <c r="Q380" t="str">
        <f>LOOKUP(P380,Sheet2!$Z$4:$AA$7)</f>
        <v>26-35</v>
      </c>
      <c r="R380" s="1">
        <v>1</v>
      </c>
      <c r="S380" t="str">
        <f>IF(R380=1,"Positive","Negative")</f>
        <v>Positive</v>
      </c>
      <c r="T380" s="1" t="str">
        <f>IFERROR(VLOOKUP(A380,[1]diabetes_Recognition!$A:$B,2,FALSE),"Not Sampled")</f>
        <v>Not Sampled</v>
      </c>
      <c r="U380" t="str">
        <f>IF(T380=1,"Positive",(IF(T380=0,"Negative","Not Sampled")))</f>
        <v>Not Sampled</v>
      </c>
      <c r="V380" s="1" t="str">
        <f>IF(U380="Not Sampled","Not Sampled",IF(S380=U380,"Accurate Prediction","Inaccurate Prediction"))</f>
        <v>Not Sampled</v>
      </c>
    </row>
    <row r="381" spans="1:22" x14ac:dyDescent="0.25">
      <c r="A381" s="1">
        <v>379</v>
      </c>
      <c r="B381" s="1">
        <v>0</v>
      </c>
      <c r="C381" s="1">
        <f>LOOKUP(B381,Sheet2!$D$4:$E$9)</f>
        <v>0</v>
      </c>
      <c r="D381" s="1">
        <v>93</v>
      </c>
      <c r="E381" t="str">
        <f>LOOKUP(D381,Sheet2!$G$4:$H$9)</f>
        <v>1-99</v>
      </c>
      <c r="F381" s="1">
        <v>100</v>
      </c>
      <c r="G381" t="str">
        <f>LOOKUP(F381,Sheet2!$J$4:$K$8)</f>
        <v>80+</v>
      </c>
      <c r="H381" s="1">
        <v>39</v>
      </c>
      <c r="I381" t="str">
        <f>LOOKUP(H381,Sheet2!$M$4:$N$8)</f>
        <v>30-39</v>
      </c>
      <c r="J381" s="1">
        <v>72</v>
      </c>
      <c r="K381" t="str">
        <f>LOOKUP(J381,Sheet2!$P$4:$Q$9)</f>
        <v>1-99</v>
      </c>
      <c r="L381" s="1">
        <v>43.4</v>
      </c>
      <c r="M381" t="str">
        <f>LOOKUP(L381,Sheet2!$S$4:$T$8)</f>
        <v>36+</v>
      </c>
      <c r="N381" s="1">
        <v>1.0209999999999999</v>
      </c>
      <c r="O381" t="str">
        <f>LOOKUP(N381,Sheet2!$V$4:$W$7)</f>
        <v>0.7+</v>
      </c>
      <c r="P381" s="1">
        <v>35</v>
      </c>
      <c r="Q381" t="str">
        <f>LOOKUP(P381,Sheet2!$Z$4:$AA$7)</f>
        <v>26-35</v>
      </c>
      <c r="R381" s="1">
        <v>0</v>
      </c>
      <c r="S381" t="str">
        <f>IF(R381=1,"Positive","Negative")</f>
        <v>Negative</v>
      </c>
      <c r="T381" s="1" t="str">
        <f>IFERROR(VLOOKUP(A381,[1]diabetes_Recognition!$A:$B,2,FALSE),"Not Sampled")</f>
        <v>Not Sampled</v>
      </c>
      <c r="U381" t="str">
        <f>IF(T381=1,"Positive",(IF(T381=0,"Negative","Not Sampled")))</f>
        <v>Not Sampled</v>
      </c>
      <c r="V381" s="1" t="str">
        <f>IF(U381="Not Sampled","Not Sampled",IF(S381=U381,"Accurate Prediction","Inaccurate Prediction"))</f>
        <v>Not Sampled</v>
      </c>
    </row>
    <row r="382" spans="1:22" x14ac:dyDescent="0.25">
      <c r="A382" s="1">
        <v>380</v>
      </c>
      <c r="B382" s="1">
        <v>1</v>
      </c>
      <c r="C382" s="1">
        <f>LOOKUP(B382,Sheet2!$D$4:$E$9)</f>
        <v>1</v>
      </c>
      <c r="D382" s="1">
        <v>107</v>
      </c>
      <c r="E382" t="str">
        <f>LOOKUP(D382,Sheet2!$G$4:$H$9)</f>
        <v>100-125</v>
      </c>
      <c r="F382" s="1">
        <v>72</v>
      </c>
      <c r="G382" t="str">
        <f>LOOKUP(F382,Sheet2!$J$4:$K$8)</f>
        <v>70-79</v>
      </c>
      <c r="H382" s="1">
        <v>30</v>
      </c>
      <c r="I382" t="str">
        <f>LOOKUP(H382,Sheet2!$M$4:$N$8)</f>
        <v>30-39</v>
      </c>
      <c r="J382" s="1">
        <v>82</v>
      </c>
      <c r="K382" t="str">
        <f>LOOKUP(J382,Sheet2!$P$4:$Q$9)</f>
        <v>1-99</v>
      </c>
      <c r="L382" s="1">
        <v>30.8</v>
      </c>
      <c r="M382" t="str">
        <f>LOOKUP(L382,Sheet2!$S$4:$T$8)</f>
        <v>26-30</v>
      </c>
      <c r="N382" s="1">
        <v>0.82099999999999995</v>
      </c>
      <c r="O382" t="str">
        <f>LOOKUP(N382,Sheet2!$V$4:$W$7)</f>
        <v>0.7+</v>
      </c>
      <c r="P382" s="1">
        <v>24</v>
      </c>
      <c r="Q382" t="str">
        <f>LOOKUP(P382,Sheet2!$Z$4:$AA$7)</f>
        <v>&lt;=25</v>
      </c>
      <c r="R382" s="1">
        <v>0</v>
      </c>
      <c r="S382" t="str">
        <f>IF(R382=1,"Positive","Negative")</f>
        <v>Negative</v>
      </c>
      <c r="T382" s="1" t="str">
        <f>IFERROR(VLOOKUP(A382,[1]diabetes_Recognition!$A:$B,2,FALSE),"Not Sampled")</f>
        <v>Not Sampled</v>
      </c>
      <c r="U382" t="str">
        <f>IF(T382=1,"Positive",(IF(T382=0,"Negative","Not Sampled")))</f>
        <v>Not Sampled</v>
      </c>
      <c r="V382" s="1" t="str">
        <f>IF(U382="Not Sampled","Not Sampled",IF(S382=U382,"Accurate Prediction","Inaccurate Prediction"))</f>
        <v>Not Sampled</v>
      </c>
    </row>
    <row r="383" spans="1:22" x14ac:dyDescent="0.25">
      <c r="A383" s="1">
        <v>381</v>
      </c>
      <c r="B383" s="1">
        <v>0</v>
      </c>
      <c r="C383" s="1">
        <f>LOOKUP(B383,Sheet2!$D$4:$E$9)</f>
        <v>0</v>
      </c>
      <c r="D383" s="1">
        <v>105</v>
      </c>
      <c r="E383" t="str">
        <f>LOOKUP(D383,Sheet2!$G$4:$H$9)</f>
        <v>100-125</v>
      </c>
      <c r="F383" s="1">
        <v>68</v>
      </c>
      <c r="G383" t="str">
        <f>LOOKUP(F383,Sheet2!$J$4:$K$8)</f>
        <v>60-69</v>
      </c>
      <c r="H383" s="1">
        <v>22</v>
      </c>
      <c r="I383" t="str">
        <f>LOOKUP(H383,Sheet2!$M$4:$N$8)</f>
        <v>10-30</v>
      </c>
      <c r="J383" s="1">
        <v>0</v>
      </c>
      <c r="K383" t="str">
        <f>LOOKUP(J383,Sheet2!$P$4:$Q$9)</f>
        <v>Unknown</v>
      </c>
      <c r="L383" s="1">
        <v>20</v>
      </c>
      <c r="M383" t="str">
        <f>LOOKUP(L383,Sheet2!$S$4:$T$8)</f>
        <v>1-25</v>
      </c>
      <c r="N383" s="1">
        <v>0.23599999999999999</v>
      </c>
      <c r="O383" t="str">
        <f>LOOKUP(N383,Sheet2!$V$4:$W$7)</f>
        <v>0.0 - 0.249</v>
      </c>
      <c r="P383" s="1">
        <v>22</v>
      </c>
      <c r="Q383" t="str">
        <f>LOOKUP(P383,Sheet2!$Z$4:$AA$7)</f>
        <v>&lt;=25</v>
      </c>
      <c r="R383" s="1">
        <v>0</v>
      </c>
      <c r="S383" t="str">
        <f>IF(R383=1,"Positive","Negative")</f>
        <v>Negative</v>
      </c>
      <c r="T383" s="1" t="str">
        <f>IFERROR(VLOOKUP(A383,[1]diabetes_Recognition!$A:$B,2,FALSE),"Not Sampled")</f>
        <v>Not Sampled</v>
      </c>
      <c r="U383" t="str">
        <f>IF(T383=1,"Positive",(IF(T383=0,"Negative","Not Sampled")))</f>
        <v>Not Sampled</v>
      </c>
      <c r="V383" s="1" t="str">
        <f>IF(U383="Not Sampled","Not Sampled",IF(S383=U383,"Accurate Prediction","Inaccurate Prediction"))</f>
        <v>Not Sampled</v>
      </c>
    </row>
    <row r="384" spans="1:22" x14ac:dyDescent="0.25">
      <c r="A384" s="1">
        <v>382</v>
      </c>
      <c r="B384" s="1">
        <v>1</v>
      </c>
      <c r="C384" s="1">
        <f>LOOKUP(B384,Sheet2!$D$4:$E$9)</f>
        <v>1</v>
      </c>
      <c r="D384" s="1">
        <v>109</v>
      </c>
      <c r="E384" t="str">
        <f>LOOKUP(D384,Sheet2!$G$4:$H$9)</f>
        <v>100-125</v>
      </c>
      <c r="F384" s="1">
        <v>60</v>
      </c>
      <c r="G384" t="str">
        <f>LOOKUP(F384,Sheet2!$J$4:$K$8)</f>
        <v>60-69</v>
      </c>
      <c r="H384" s="1">
        <v>8</v>
      </c>
      <c r="I384" t="str">
        <f>LOOKUP(H384,Sheet2!$M$4:$N$8)</f>
        <v>1-10</v>
      </c>
      <c r="J384" s="1">
        <v>182</v>
      </c>
      <c r="K384" t="str">
        <f>LOOKUP(J384,Sheet2!$P$4:$Q$9)</f>
        <v>100-199</v>
      </c>
      <c r="L384" s="1">
        <v>25.4</v>
      </c>
      <c r="M384" t="str">
        <f>LOOKUP(L384,Sheet2!$S$4:$T$8)</f>
        <v>1-25</v>
      </c>
      <c r="N384" s="1">
        <v>0.94699999999999995</v>
      </c>
      <c r="O384" t="str">
        <f>LOOKUP(N384,Sheet2!$V$4:$W$7)</f>
        <v>0.7+</v>
      </c>
      <c r="P384" s="1">
        <v>21</v>
      </c>
      <c r="Q384" t="str">
        <f>LOOKUP(P384,Sheet2!$Z$4:$AA$7)</f>
        <v>&lt;=25</v>
      </c>
      <c r="R384" s="1">
        <v>0</v>
      </c>
      <c r="S384" t="str">
        <f>IF(R384=1,"Positive","Negative")</f>
        <v>Negative</v>
      </c>
      <c r="T384" s="1">
        <f>IFERROR(VLOOKUP(A384,[1]diabetes_Recognition!$A:$B,2,FALSE),"Not Sampled")</f>
        <v>0</v>
      </c>
      <c r="U384" t="str">
        <f>IF(T384=1,"Positive",(IF(T384=0,"Negative","Not Sampled")))</f>
        <v>Negative</v>
      </c>
      <c r="V384" s="1" t="str">
        <f>IF(U384="Not Sampled","Not Sampled",IF(S384=U384,"Accurate Prediction","Inaccurate Prediction"))</f>
        <v>Accurate Prediction</v>
      </c>
    </row>
    <row r="385" spans="1:22" x14ac:dyDescent="0.25">
      <c r="A385" s="1">
        <v>383</v>
      </c>
      <c r="B385" s="1">
        <v>1</v>
      </c>
      <c r="C385" s="1">
        <f>LOOKUP(B385,Sheet2!$D$4:$E$9)</f>
        <v>1</v>
      </c>
      <c r="D385" s="1">
        <v>90</v>
      </c>
      <c r="E385" t="str">
        <f>LOOKUP(D385,Sheet2!$G$4:$H$9)</f>
        <v>1-99</v>
      </c>
      <c r="F385" s="1">
        <v>62</v>
      </c>
      <c r="G385" t="str">
        <f>LOOKUP(F385,Sheet2!$J$4:$K$8)</f>
        <v>60-69</v>
      </c>
      <c r="H385" s="1">
        <v>18</v>
      </c>
      <c r="I385" t="str">
        <f>LOOKUP(H385,Sheet2!$M$4:$N$8)</f>
        <v>10-30</v>
      </c>
      <c r="J385" s="1">
        <v>59</v>
      </c>
      <c r="K385" t="str">
        <f>LOOKUP(J385,Sheet2!$P$4:$Q$9)</f>
        <v>1-99</v>
      </c>
      <c r="L385" s="1">
        <v>25.1</v>
      </c>
      <c r="M385" t="str">
        <f>LOOKUP(L385,Sheet2!$S$4:$T$8)</f>
        <v>1-25</v>
      </c>
      <c r="N385" s="1">
        <v>1.268</v>
      </c>
      <c r="O385" t="str">
        <f>LOOKUP(N385,Sheet2!$V$4:$W$7)</f>
        <v>0.7+</v>
      </c>
      <c r="P385" s="1">
        <v>25</v>
      </c>
      <c r="Q385" t="str">
        <f>LOOKUP(P385,Sheet2!$Z$4:$AA$7)</f>
        <v>&lt;=25</v>
      </c>
      <c r="R385" s="1">
        <v>0</v>
      </c>
      <c r="S385" t="str">
        <f>IF(R385=1,"Positive","Negative")</f>
        <v>Negative</v>
      </c>
      <c r="T385" s="1" t="str">
        <f>IFERROR(VLOOKUP(A385,[1]diabetes_Recognition!$A:$B,2,FALSE),"Not Sampled")</f>
        <v>Not Sampled</v>
      </c>
      <c r="U385" t="str">
        <f>IF(T385=1,"Positive",(IF(T385=0,"Negative","Not Sampled")))</f>
        <v>Not Sampled</v>
      </c>
      <c r="V385" s="1" t="str">
        <f>IF(U385="Not Sampled","Not Sampled",IF(S385=U385,"Accurate Prediction","Inaccurate Prediction"))</f>
        <v>Not Sampled</v>
      </c>
    </row>
    <row r="386" spans="1:22" x14ac:dyDescent="0.25">
      <c r="A386" s="1">
        <v>384</v>
      </c>
      <c r="B386" s="1">
        <v>1</v>
      </c>
      <c r="C386" s="1">
        <f>LOOKUP(B386,Sheet2!$D$4:$E$9)</f>
        <v>1</v>
      </c>
      <c r="D386" s="1">
        <v>125</v>
      </c>
      <c r="E386" t="str">
        <f>LOOKUP(D386,Sheet2!$G$4:$H$9)</f>
        <v>100-125</v>
      </c>
      <c r="F386" s="1">
        <v>70</v>
      </c>
      <c r="G386" t="str">
        <f>LOOKUP(F386,Sheet2!$J$4:$K$8)</f>
        <v>70-79</v>
      </c>
      <c r="H386" s="1">
        <v>24</v>
      </c>
      <c r="I386" t="str">
        <f>LOOKUP(H386,Sheet2!$M$4:$N$8)</f>
        <v>10-30</v>
      </c>
      <c r="J386" s="1">
        <v>110</v>
      </c>
      <c r="K386" t="str">
        <f>LOOKUP(J386,Sheet2!$P$4:$Q$9)</f>
        <v>100-199</v>
      </c>
      <c r="L386" s="1">
        <v>24.3</v>
      </c>
      <c r="M386" t="str">
        <f>LOOKUP(L386,Sheet2!$S$4:$T$8)</f>
        <v>1-25</v>
      </c>
      <c r="N386" s="1">
        <v>0.221</v>
      </c>
      <c r="O386" t="str">
        <f>LOOKUP(N386,Sheet2!$V$4:$W$7)</f>
        <v>0.0 - 0.249</v>
      </c>
      <c r="P386" s="1">
        <v>25</v>
      </c>
      <c r="Q386" t="str">
        <f>LOOKUP(P386,Sheet2!$Z$4:$AA$7)</f>
        <v>&lt;=25</v>
      </c>
      <c r="R386" s="1">
        <v>0</v>
      </c>
      <c r="S386" t="str">
        <f>IF(R386=1,"Positive","Negative")</f>
        <v>Negative</v>
      </c>
      <c r="T386" s="1" t="str">
        <f>IFERROR(VLOOKUP(A386,[1]diabetes_Recognition!$A:$B,2,FALSE),"Not Sampled")</f>
        <v>Not Sampled</v>
      </c>
      <c r="U386" t="str">
        <f>IF(T386=1,"Positive",(IF(T386=0,"Negative","Not Sampled")))</f>
        <v>Not Sampled</v>
      </c>
      <c r="V386" s="1" t="str">
        <f>IF(U386="Not Sampled","Not Sampled",IF(S386=U386,"Accurate Prediction","Inaccurate Prediction"))</f>
        <v>Not Sampled</v>
      </c>
    </row>
    <row r="387" spans="1:22" x14ac:dyDescent="0.25">
      <c r="A387" s="1">
        <v>385</v>
      </c>
      <c r="B387" s="1">
        <v>1</v>
      </c>
      <c r="C387" s="1">
        <f>LOOKUP(B387,Sheet2!$D$4:$E$9)</f>
        <v>1</v>
      </c>
      <c r="D387" s="1">
        <v>119</v>
      </c>
      <c r="E387" t="str">
        <f>LOOKUP(D387,Sheet2!$G$4:$H$9)</f>
        <v>100-125</v>
      </c>
      <c r="F387" s="1">
        <v>54</v>
      </c>
      <c r="G387" t="str">
        <f>LOOKUP(F387,Sheet2!$J$4:$K$8)</f>
        <v>1-59</v>
      </c>
      <c r="H387" s="1">
        <v>13</v>
      </c>
      <c r="I387" t="str">
        <f>LOOKUP(H387,Sheet2!$M$4:$N$8)</f>
        <v>10-30</v>
      </c>
      <c r="J387" s="1">
        <v>50</v>
      </c>
      <c r="K387" t="str">
        <f>LOOKUP(J387,Sheet2!$P$4:$Q$9)</f>
        <v>1-99</v>
      </c>
      <c r="L387" s="1">
        <v>22.3</v>
      </c>
      <c r="M387" t="str">
        <f>LOOKUP(L387,Sheet2!$S$4:$T$8)</f>
        <v>1-25</v>
      </c>
      <c r="N387" s="1">
        <v>0.20499999999999999</v>
      </c>
      <c r="O387" t="str">
        <f>LOOKUP(N387,Sheet2!$V$4:$W$7)</f>
        <v>0.0 - 0.249</v>
      </c>
      <c r="P387" s="1">
        <v>24</v>
      </c>
      <c r="Q387" t="str">
        <f>LOOKUP(P387,Sheet2!$Z$4:$AA$7)</f>
        <v>&lt;=25</v>
      </c>
      <c r="R387" s="1">
        <v>0</v>
      </c>
      <c r="S387" t="str">
        <f>IF(R387=1,"Positive","Negative")</f>
        <v>Negative</v>
      </c>
      <c r="T387" s="1">
        <f>IFERROR(VLOOKUP(A387,[1]diabetes_Recognition!$A:$B,2,FALSE),"Not Sampled")</f>
        <v>0</v>
      </c>
      <c r="U387" t="str">
        <f>IF(T387=1,"Positive",(IF(T387=0,"Negative","Not Sampled")))</f>
        <v>Negative</v>
      </c>
      <c r="V387" s="1" t="str">
        <f>IF(U387="Not Sampled","Not Sampled",IF(S387=U387,"Accurate Prediction","Inaccurate Prediction"))</f>
        <v>Accurate Prediction</v>
      </c>
    </row>
    <row r="388" spans="1:22" x14ac:dyDescent="0.25">
      <c r="A388" s="1">
        <v>386</v>
      </c>
      <c r="B388" s="1">
        <v>5</v>
      </c>
      <c r="C388" s="1" t="str">
        <f>LOOKUP(B388,Sheet2!$D$4:$E$9)</f>
        <v>5-7</v>
      </c>
      <c r="D388" s="1">
        <v>116</v>
      </c>
      <c r="E388" t="str">
        <f>LOOKUP(D388,Sheet2!$G$4:$H$9)</f>
        <v>100-125</v>
      </c>
      <c r="F388" s="1">
        <v>74</v>
      </c>
      <c r="G388" t="str">
        <f>LOOKUP(F388,Sheet2!$J$4:$K$8)</f>
        <v>70-79</v>
      </c>
      <c r="H388" s="1">
        <v>29</v>
      </c>
      <c r="I388" t="str">
        <f>LOOKUP(H388,Sheet2!$M$4:$N$8)</f>
        <v>10-30</v>
      </c>
      <c r="J388" s="1">
        <v>0</v>
      </c>
      <c r="K388" t="str">
        <f>LOOKUP(J388,Sheet2!$P$4:$Q$9)</f>
        <v>Unknown</v>
      </c>
      <c r="L388" s="1">
        <v>32.299999999999997</v>
      </c>
      <c r="M388" t="str">
        <f>LOOKUP(L388,Sheet2!$S$4:$T$8)</f>
        <v>31-35</v>
      </c>
      <c r="N388" s="1">
        <v>0.66</v>
      </c>
      <c r="O388" t="str">
        <f>LOOKUP(N388,Sheet2!$V$4:$W$7)</f>
        <v>0.4 - 0.69</v>
      </c>
      <c r="P388" s="1">
        <v>35</v>
      </c>
      <c r="Q388" t="str">
        <f>LOOKUP(P388,Sheet2!$Z$4:$AA$7)</f>
        <v>26-35</v>
      </c>
      <c r="R388" s="1">
        <v>1</v>
      </c>
      <c r="S388" t="str">
        <f>IF(R388=1,"Positive","Negative")</f>
        <v>Positive</v>
      </c>
      <c r="T388" s="1">
        <f>IFERROR(VLOOKUP(A388,[1]diabetes_Recognition!$A:$B,2,FALSE),"Not Sampled")</f>
        <v>0</v>
      </c>
      <c r="U388" t="str">
        <f>IF(T388=1,"Positive",(IF(T388=0,"Negative","Not Sampled")))</f>
        <v>Negative</v>
      </c>
      <c r="V388" s="1" t="str">
        <f>IF(U388="Not Sampled","Not Sampled",IF(S388=U388,"Accurate Prediction","Inaccurate Prediction"))</f>
        <v>Inaccurate Prediction</v>
      </c>
    </row>
    <row r="389" spans="1:22" x14ac:dyDescent="0.25">
      <c r="A389" s="1">
        <v>387</v>
      </c>
      <c r="B389" s="1">
        <v>8</v>
      </c>
      <c r="C389" s="1" t="str">
        <f>LOOKUP(B389,Sheet2!$D$4:$E$9)</f>
        <v>8+</v>
      </c>
      <c r="D389" s="1">
        <v>105</v>
      </c>
      <c r="E389" t="str">
        <f>LOOKUP(D389,Sheet2!$G$4:$H$9)</f>
        <v>100-125</v>
      </c>
      <c r="F389" s="1">
        <v>100</v>
      </c>
      <c r="G389" t="str">
        <f>LOOKUP(F389,Sheet2!$J$4:$K$8)</f>
        <v>80+</v>
      </c>
      <c r="H389" s="1">
        <v>36</v>
      </c>
      <c r="I389" t="str">
        <f>LOOKUP(H389,Sheet2!$M$4:$N$8)</f>
        <v>30-39</v>
      </c>
      <c r="J389" s="1">
        <v>0</v>
      </c>
      <c r="K389" t="str">
        <f>LOOKUP(J389,Sheet2!$P$4:$Q$9)</f>
        <v>Unknown</v>
      </c>
      <c r="L389" s="1">
        <v>43.3</v>
      </c>
      <c r="M389" t="str">
        <f>LOOKUP(L389,Sheet2!$S$4:$T$8)</f>
        <v>36+</v>
      </c>
      <c r="N389" s="1">
        <v>0.23899999999999999</v>
      </c>
      <c r="O389" t="str">
        <f>LOOKUP(N389,Sheet2!$V$4:$W$7)</f>
        <v>0.0 - 0.249</v>
      </c>
      <c r="P389" s="1">
        <v>45</v>
      </c>
      <c r="Q389" t="str">
        <f>LOOKUP(P389,Sheet2!$Z$4:$AA$7)</f>
        <v>36-45</v>
      </c>
      <c r="R389" s="1">
        <v>1</v>
      </c>
      <c r="S389" t="str">
        <f>IF(R389=1,"Positive","Negative")</f>
        <v>Positive</v>
      </c>
      <c r="T389" s="1" t="str">
        <f>IFERROR(VLOOKUP(A389,[1]diabetes_Recognition!$A:$B,2,FALSE),"Not Sampled")</f>
        <v>Not Sampled</v>
      </c>
      <c r="U389" t="str">
        <f>IF(T389=1,"Positive",(IF(T389=0,"Negative","Not Sampled")))</f>
        <v>Not Sampled</v>
      </c>
      <c r="V389" s="1" t="str">
        <f>IF(U389="Not Sampled","Not Sampled",IF(S389=U389,"Accurate Prediction","Inaccurate Prediction"))</f>
        <v>Not Sampled</v>
      </c>
    </row>
    <row r="390" spans="1:22" x14ac:dyDescent="0.25">
      <c r="A390" s="1">
        <v>388</v>
      </c>
      <c r="B390" s="1">
        <v>5</v>
      </c>
      <c r="C390" s="1" t="str">
        <f>LOOKUP(B390,Sheet2!$D$4:$E$9)</f>
        <v>5-7</v>
      </c>
      <c r="D390" s="1">
        <v>144</v>
      </c>
      <c r="E390" t="str">
        <f>LOOKUP(D390,Sheet2!$G$4:$H$9)</f>
        <v>126-150</v>
      </c>
      <c r="F390" s="1">
        <v>82</v>
      </c>
      <c r="G390" t="str">
        <f>LOOKUP(F390,Sheet2!$J$4:$K$8)</f>
        <v>80+</v>
      </c>
      <c r="H390" s="1">
        <v>26</v>
      </c>
      <c r="I390" t="str">
        <f>LOOKUP(H390,Sheet2!$M$4:$N$8)</f>
        <v>10-30</v>
      </c>
      <c r="J390" s="1">
        <v>285</v>
      </c>
      <c r="K390" t="str">
        <f>LOOKUP(J390,Sheet2!$P$4:$Q$9)</f>
        <v>200-399</v>
      </c>
      <c r="L390" s="1">
        <v>32</v>
      </c>
      <c r="M390" t="str">
        <f>LOOKUP(L390,Sheet2!$S$4:$T$8)</f>
        <v>31-35</v>
      </c>
      <c r="N390" s="1">
        <v>0.45200000000000001</v>
      </c>
      <c r="O390" t="str">
        <f>LOOKUP(N390,Sheet2!$V$4:$W$7)</f>
        <v>0.4 - 0.69</v>
      </c>
      <c r="P390" s="1">
        <v>58</v>
      </c>
      <c r="Q390" t="str">
        <f>LOOKUP(P390,Sheet2!$Z$4:$AA$7)</f>
        <v>46+</v>
      </c>
      <c r="R390" s="1">
        <v>1</v>
      </c>
      <c r="S390" t="str">
        <f>IF(R390=1,"Positive","Negative")</f>
        <v>Positive</v>
      </c>
      <c r="T390" s="1" t="str">
        <f>IFERROR(VLOOKUP(A390,[1]diabetes_Recognition!$A:$B,2,FALSE),"Not Sampled")</f>
        <v>Not Sampled</v>
      </c>
      <c r="U390" t="str">
        <f>IF(T390=1,"Positive",(IF(T390=0,"Negative","Not Sampled")))</f>
        <v>Not Sampled</v>
      </c>
      <c r="V390" s="1" t="str">
        <f>IF(U390="Not Sampled","Not Sampled",IF(S390=U390,"Accurate Prediction","Inaccurate Prediction"))</f>
        <v>Not Sampled</v>
      </c>
    </row>
    <row r="391" spans="1:22" x14ac:dyDescent="0.25">
      <c r="A391" s="1">
        <v>389</v>
      </c>
      <c r="B391" s="1">
        <v>3</v>
      </c>
      <c r="C391" s="1" t="str">
        <f>LOOKUP(B391,Sheet2!$D$4:$E$9)</f>
        <v>3-4</v>
      </c>
      <c r="D391" s="1">
        <v>100</v>
      </c>
      <c r="E391" t="str">
        <f>LOOKUP(D391,Sheet2!$G$4:$H$9)</f>
        <v>100-125</v>
      </c>
      <c r="F391" s="1">
        <v>68</v>
      </c>
      <c r="G391" t="str">
        <f>LOOKUP(F391,Sheet2!$J$4:$K$8)</f>
        <v>60-69</v>
      </c>
      <c r="H391" s="1">
        <v>23</v>
      </c>
      <c r="I391" t="str">
        <f>LOOKUP(H391,Sheet2!$M$4:$N$8)</f>
        <v>10-30</v>
      </c>
      <c r="J391" s="1">
        <v>81</v>
      </c>
      <c r="K391" t="str">
        <f>LOOKUP(J391,Sheet2!$P$4:$Q$9)</f>
        <v>1-99</v>
      </c>
      <c r="L391" s="1">
        <v>31.6</v>
      </c>
      <c r="M391" t="str">
        <f>LOOKUP(L391,Sheet2!$S$4:$T$8)</f>
        <v>31-35</v>
      </c>
      <c r="N391" s="1">
        <v>0.94899999999999995</v>
      </c>
      <c r="O391" t="str">
        <f>LOOKUP(N391,Sheet2!$V$4:$W$7)</f>
        <v>0.7+</v>
      </c>
      <c r="P391" s="1">
        <v>28</v>
      </c>
      <c r="Q391" t="str">
        <f>LOOKUP(P391,Sheet2!$Z$4:$AA$7)</f>
        <v>26-35</v>
      </c>
      <c r="R391" s="1">
        <v>0</v>
      </c>
      <c r="S391" t="str">
        <f>IF(R391=1,"Positive","Negative")</f>
        <v>Negative</v>
      </c>
      <c r="T391" s="1">
        <f>IFERROR(VLOOKUP(A391,[1]diabetes_Recognition!$A:$B,2,FALSE),"Not Sampled")</f>
        <v>0</v>
      </c>
      <c r="U391" t="str">
        <f>IF(T391=1,"Positive",(IF(T391=0,"Negative","Not Sampled")))</f>
        <v>Negative</v>
      </c>
      <c r="V391" s="1" t="str">
        <f>IF(U391="Not Sampled","Not Sampled",IF(S391=U391,"Accurate Prediction","Inaccurate Prediction"))</f>
        <v>Accurate Prediction</v>
      </c>
    </row>
    <row r="392" spans="1:22" x14ac:dyDescent="0.25">
      <c r="A392" s="1">
        <v>390</v>
      </c>
      <c r="B392" s="1">
        <v>1</v>
      </c>
      <c r="C392" s="1">
        <f>LOOKUP(B392,Sheet2!$D$4:$E$9)</f>
        <v>1</v>
      </c>
      <c r="D392" s="1">
        <v>100</v>
      </c>
      <c r="E392" t="str">
        <f>LOOKUP(D392,Sheet2!$G$4:$H$9)</f>
        <v>100-125</v>
      </c>
      <c r="F392" s="1">
        <v>66</v>
      </c>
      <c r="G392" t="str">
        <f>LOOKUP(F392,Sheet2!$J$4:$K$8)</f>
        <v>60-69</v>
      </c>
      <c r="H392" s="1">
        <v>29</v>
      </c>
      <c r="I392" t="str">
        <f>LOOKUP(H392,Sheet2!$M$4:$N$8)</f>
        <v>10-30</v>
      </c>
      <c r="J392" s="1">
        <v>196</v>
      </c>
      <c r="K392" t="str">
        <f>LOOKUP(J392,Sheet2!$P$4:$Q$9)</f>
        <v>100-199</v>
      </c>
      <c r="L392" s="1">
        <v>32</v>
      </c>
      <c r="M392" t="str">
        <f>LOOKUP(L392,Sheet2!$S$4:$T$8)</f>
        <v>31-35</v>
      </c>
      <c r="N392" s="1">
        <v>0.44400000000000001</v>
      </c>
      <c r="O392" t="str">
        <f>LOOKUP(N392,Sheet2!$V$4:$W$7)</f>
        <v>0.4 - 0.69</v>
      </c>
      <c r="P392" s="1">
        <v>42</v>
      </c>
      <c r="Q392" t="str">
        <f>LOOKUP(P392,Sheet2!$Z$4:$AA$7)</f>
        <v>36-45</v>
      </c>
      <c r="R392" s="1">
        <v>0</v>
      </c>
      <c r="S392" t="str">
        <f>IF(R392=1,"Positive","Negative")</f>
        <v>Negative</v>
      </c>
      <c r="T392" s="1" t="str">
        <f>IFERROR(VLOOKUP(A392,[1]diabetes_Recognition!$A:$B,2,FALSE),"Not Sampled")</f>
        <v>Not Sampled</v>
      </c>
      <c r="U392" t="str">
        <f>IF(T392=1,"Positive",(IF(T392=0,"Negative","Not Sampled")))</f>
        <v>Not Sampled</v>
      </c>
      <c r="V392" s="1" t="str">
        <f>IF(U392="Not Sampled","Not Sampled",IF(S392=U392,"Accurate Prediction","Inaccurate Prediction"))</f>
        <v>Not Sampled</v>
      </c>
    </row>
    <row r="393" spans="1:22" x14ac:dyDescent="0.25">
      <c r="A393" s="1">
        <v>391</v>
      </c>
      <c r="B393" s="1">
        <v>5</v>
      </c>
      <c r="C393" s="1" t="str">
        <f>LOOKUP(B393,Sheet2!$D$4:$E$9)</f>
        <v>5-7</v>
      </c>
      <c r="D393" s="1">
        <v>166</v>
      </c>
      <c r="E393" t="str">
        <f>LOOKUP(D393,Sheet2!$G$4:$H$9)</f>
        <v>151-175</v>
      </c>
      <c r="F393" s="1">
        <v>76</v>
      </c>
      <c r="G393" t="str">
        <f>LOOKUP(F393,Sheet2!$J$4:$K$8)</f>
        <v>70-79</v>
      </c>
      <c r="H393" s="1">
        <v>0</v>
      </c>
      <c r="I393" t="str">
        <f>LOOKUP(H393,Sheet2!$M$4:$N$8)</f>
        <v>Unknown</v>
      </c>
      <c r="J393" s="1">
        <v>0</v>
      </c>
      <c r="K393" t="str">
        <f>LOOKUP(J393,Sheet2!$P$4:$Q$9)</f>
        <v>Unknown</v>
      </c>
      <c r="L393" s="1">
        <v>45.7</v>
      </c>
      <c r="M393" t="str">
        <f>LOOKUP(L393,Sheet2!$S$4:$T$8)</f>
        <v>36+</v>
      </c>
      <c r="N393" s="1">
        <v>0.34</v>
      </c>
      <c r="O393" t="str">
        <f>LOOKUP(N393,Sheet2!$V$4:$W$7)</f>
        <v>0.25 - 0.39</v>
      </c>
      <c r="P393" s="1">
        <v>27</v>
      </c>
      <c r="Q393" t="str">
        <f>LOOKUP(P393,Sheet2!$Z$4:$AA$7)</f>
        <v>26-35</v>
      </c>
      <c r="R393" s="1">
        <v>1</v>
      </c>
      <c r="S393" t="str">
        <f>IF(R393=1,"Positive","Negative")</f>
        <v>Positive</v>
      </c>
      <c r="T393" s="1" t="str">
        <f>IFERROR(VLOOKUP(A393,[1]diabetes_Recognition!$A:$B,2,FALSE),"Not Sampled")</f>
        <v>Not Sampled</v>
      </c>
      <c r="U393" t="str">
        <f>IF(T393=1,"Positive",(IF(T393=0,"Negative","Not Sampled")))</f>
        <v>Not Sampled</v>
      </c>
      <c r="V393" s="1" t="str">
        <f>IF(U393="Not Sampled","Not Sampled",IF(S393=U393,"Accurate Prediction","Inaccurate Prediction"))</f>
        <v>Not Sampled</v>
      </c>
    </row>
    <row r="394" spans="1:22" x14ac:dyDescent="0.25">
      <c r="A394" s="1">
        <v>392</v>
      </c>
      <c r="B394" s="1">
        <v>1</v>
      </c>
      <c r="C394" s="1">
        <f>LOOKUP(B394,Sheet2!$D$4:$E$9)</f>
        <v>1</v>
      </c>
      <c r="D394" s="1">
        <v>131</v>
      </c>
      <c r="E394" t="str">
        <f>LOOKUP(D394,Sheet2!$G$4:$H$9)</f>
        <v>126-150</v>
      </c>
      <c r="F394" s="1">
        <v>64</v>
      </c>
      <c r="G394" t="str">
        <f>LOOKUP(F394,Sheet2!$J$4:$K$8)</f>
        <v>60-69</v>
      </c>
      <c r="H394" s="1">
        <v>14</v>
      </c>
      <c r="I394" t="str">
        <f>LOOKUP(H394,Sheet2!$M$4:$N$8)</f>
        <v>10-30</v>
      </c>
      <c r="J394" s="1">
        <v>415</v>
      </c>
      <c r="K394" t="str">
        <f>LOOKUP(J394,Sheet2!$P$4:$Q$9)</f>
        <v>300-499</v>
      </c>
      <c r="L394" s="1">
        <v>23.7</v>
      </c>
      <c r="M394" t="str">
        <f>LOOKUP(L394,Sheet2!$S$4:$T$8)</f>
        <v>1-25</v>
      </c>
      <c r="N394" s="1">
        <v>0.38900000000000001</v>
      </c>
      <c r="O394" t="str">
        <f>LOOKUP(N394,Sheet2!$V$4:$W$7)</f>
        <v>0.25 - 0.39</v>
      </c>
      <c r="P394" s="1">
        <v>21</v>
      </c>
      <c r="Q394" t="str">
        <f>LOOKUP(P394,Sheet2!$Z$4:$AA$7)</f>
        <v>&lt;=25</v>
      </c>
      <c r="R394" s="1">
        <v>0</v>
      </c>
      <c r="S394" t="str">
        <f>IF(R394=1,"Positive","Negative")</f>
        <v>Negative</v>
      </c>
      <c r="T394" s="1" t="str">
        <f>IFERROR(VLOOKUP(A394,[1]diabetes_Recognition!$A:$B,2,FALSE),"Not Sampled")</f>
        <v>Not Sampled</v>
      </c>
      <c r="U394" t="str">
        <f>IF(T394=1,"Positive",(IF(T394=0,"Negative","Not Sampled")))</f>
        <v>Not Sampled</v>
      </c>
      <c r="V394" s="1" t="str">
        <f>IF(U394="Not Sampled","Not Sampled",IF(S394=U394,"Accurate Prediction","Inaccurate Prediction"))</f>
        <v>Not Sampled</v>
      </c>
    </row>
    <row r="395" spans="1:22" x14ac:dyDescent="0.25">
      <c r="A395" s="1">
        <v>393</v>
      </c>
      <c r="B395" s="1">
        <v>4</v>
      </c>
      <c r="C395" s="1" t="str">
        <f>LOOKUP(B395,Sheet2!$D$4:$E$9)</f>
        <v>3-4</v>
      </c>
      <c r="D395" s="1">
        <v>116</v>
      </c>
      <c r="E395" t="str">
        <f>LOOKUP(D395,Sheet2!$G$4:$H$9)</f>
        <v>100-125</v>
      </c>
      <c r="F395" s="1">
        <v>72</v>
      </c>
      <c r="G395" t="str">
        <f>LOOKUP(F395,Sheet2!$J$4:$K$8)</f>
        <v>70-79</v>
      </c>
      <c r="H395" s="1">
        <v>12</v>
      </c>
      <c r="I395" t="str">
        <f>LOOKUP(H395,Sheet2!$M$4:$N$8)</f>
        <v>10-30</v>
      </c>
      <c r="J395" s="1">
        <v>87</v>
      </c>
      <c r="K395" t="str">
        <f>LOOKUP(J395,Sheet2!$P$4:$Q$9)</f>
        <v>1-99</v>
      </c>
      <c r="L395" s="1">
        <v>22.1</v>
      </c>
      <c r="M395" t="str">
        <f>LOOKUP(L395,Sheet2!$S$4:$T$8)</f>
        <v>1-25</v>
      </c>
      <c r="N395" s="1">
        <v>0.46300000000000002</v>
      </c>
      <c r="O395" t="str">
        <f>LOOKUP(N395,Sheet2!$V$4:$W$7)</f>
        <v>0.4 - 0.69</v>
      </c>
      <c r="P395" s="1">
        <v>37</v>
      </c>
      <c r="Q395" t="str">
        <f>LOOKUP(P395,Sheet2!$Z$4:$AA$7)</f>
        <v>36-45</v>
      </c>
      <c r="R395" s="1">
        <v>0</v>
      </c>
      <c r="S395" t="str">
        <f>IF(R395=1,"Positive","Negative")</f>
        <v>Negative</v>
      </c>
      <c r="T395" s="1" t="str">
        <f>IFERROR(VLOOKUP(A395,[1]diabetes_Recognition!$A:$B,2,FALSE),"Not Sampled")</f>
        <v>Not Sampled</v>
      </c>
      <c r="U395" t="str">
        <f>IF(T395=1,"Positive",(IF(T395=0,"Negative","Not Sampled")))</f>
        <v>Not Sampled</v>
      </c>
      <c r="V395" s="1" t="str">
        <f>IF(U395="Not Sampled","Not Sampled",IF(S395=U395,"Accurate Prediction","Inaccurate Prediction"))</f>
        <v>Not Sampled</v>
      </c>
    </row>
    <row r="396" spans="1:22" x14ac:dyDescent="0.25">
      <c r="A396" s="1">
        <v>394</v>
      </c>
      <c r="B396" s="1">
        <v>4</v>
      </c>
      <c r="C396" s="1" t="str">
        <f>LOOKUP(B396,Sheet2!$D$4:$E$9)</f>
        <v>3-4</v>
      </c>
      <c r="D396" s="1">
        <v>158</v>
      </c>
      <c r="E396" t="str">
        <f>LOOKUP(D396,Sheet2!$G$4:$H$9)</f>
        <v>151-175</v>
      </c>
      <c r="F396" s="1">
        <v>78</v>
      </c>
      <c r="G396" t="str">
        <f>LOOKUP(F396,Sheet2!$J$4:$K$8)</f>
        <v>70-79</v>
      </c>
      <c r="H396" s="1">
        <v>0</v>
      </c>
      <c r="I396" t="str">
        <f>LOOKUP(H396,Sheet2!$M$4:$N$8)</f>
        <v>Unknown</v>
      </c>
      <c r="J396" s="1">
        <v>0</v>
      </c>
      <c r="K396" t="str">
        <f>LOOKUP(J396,Sheet2!$P$4:$Q$9)</f>
        <v>Unknown</v>
      </c>
      <c r="L396" s="1">
        <v>32.9</v>
      </c>
      <c r="M396" t="str">
        <f>LOOKUP(L396,Sheet2!$S$4:$T$8)</f>
        <v>31-35</v>
      </c>
      <c r="N396" s="1">
        <v>0.80300000000000005</v>
      </c>
      <c r="O396" t="str">
        <f>LOOKUP(N396,Sheet2!$V$4:$W$7)</f>
        <v>0.7+</v>
      </c>
      <c r="P396" s="1">
        <v>31</v>
      </c>
      <c r="Q396" t="str">
        <f>LOOKUP(P396,Sheet2!$Z$4:$AA$7)</f>
        <v>26-35</v>
      </c>
      <c r="R396" s="1">
        <v>1</v>
      </c>
      <c r="S396" t="str">
        <f>IF(R396=1,"Positive","Negative")</f>
        <v>Positive</v>
      </c>
      <c r="T396" s="1" t="str">
        <f>IFERROR(VLOOKUP(A396,[1]diabetes_Recognition!$A:$B,2,FALSE),"Not Sampled")</f>
        <v>Not Sampled</v>
      </c>
      <c r="U396" t="str">
        <f>IF(T396=1,"Positive",(IF(T396=0,"Negative","Not Sampled")))</f>
        <v>Not Sampled</v>
      </c>
      <c r="V396" s="1" t="str">
        <f>IF(U396="Not Sampled","Not Sampled",IF(S396=U396,"Accurate Prediction","Inaccurate Prediction"))</f>
        <v>Not Sampled</v>
      </c>
    </row>
    <row r="397" spans="1:22" x14ac:dyDescent="0.25">
      <c r="A397" s="1">
        <v>395</v>
      </c>
      <c r="B397" s="1">
        <v>2</v>
      </c>
      <c r="C397" s="1">
        <f>LOOKUP(B397,Sheet2!$D$4:$E$9)</f>
        <v>2</v>
      </c>
      <c r="D397" s="1">
        <v>127</v>
      </c>
      <c r="E397" t="str">
        <f>LOOKUP(D397,Sheet2!$G$4:$H$9)</f>
        <v>126-150</v>
      </c>
      <c r="F397" s="1">
        <v>58</v>
      </c>
      <c r="G397" t="str">
        <f>LOOKUP(F397,Sheet2!$J$4:$K$8)</f>
        <v>1-59</v>
      </c>
      <c r="H397" s="1">
        <v>24</v>
      </c>
      <c r="I397" t="str">
        <f>LOOKUP(H397,Sheet2!$M$4:$N$8)</f>
        <v>10-30</v>
      </c>
      <c r="J397" s="1">
        <v>275</v>
      </c>
      <c r="K397" t="str">
        <f>LOOKUP(J397,Sheet2!$P$4:$Q$9)</f>
        <v>200-399</v>
      </c>
      <c r="L397" s="1">
        <v>27.7</v>
      </c>
      <c r="M397" t="str">
        <f>LOOKUP(L397,Sheet2!$S$4:$T$8)</f>
        <v>26-30</v>
      </c>
      <c r="N397" s="1">
        <v>1.6</v>
      </c>
      <c r="O397" t="str">
        <f>LOOKUP(N397,Sheet2!$V$4:$W$7)</f>
        <v>0.7+</v>
      </c>
      <c r="P397" s="1">
        <v>25</v>
      </c>
      <c r="Q397" t="str">
        <f>LOOKUP(P397,Sheet2!$Z$4:$AA$7)</f>
        <v>&lt;=25</v>
      </c>
      <c r="R397" s="1">
        <v>0</v>
      </c>
      <c r="S397" t="str">
        <f>IF(R397=1,"Positive","Negative")</f>
        <v>Negative</v>
      </c>
      <c r="T397" s="1" t="str">
        <f>IFERROR(VLOOKUP(A397,[1]diabetes_Recognition!$A:$B,2,FALSE),"Not Sampled")</f>
        <v>Not Sampled</v>
      </c>
      <c r="U397" t="str">
        <f>IF(T397=1,"Positive",(IF(T397=0,"Negative","Not Sampled")))</f>
        <v>Not Sampled</v>
      </c>
      <c r="V397" s="1" t="str">
        <f>IF(U397="Not Sampled","Not Sampled",IF(S397=U397,"Accurate Prediction","Inaccurate Prediction"))</f>
        <v>Not Sampled</v>
      </c>
    </row>
    <row r="398" spans="1:22" x14ac:dyDescent="0.25">
      <c r="A398" s="1">
        <v>396</v>
      </c>
      <c r="B398" s="1">
        <v>3</v>
      </c>
      <c r="C398" s="1" t="str">
        <f>LOOKUP(B398,Sheet2!$D$4:$E$9)</f>
        <v>3-4</v>
      </c>
      <c r="D398" s="1">
        <v>96</v>
      </c>
      <c r="E398" t="str">
        <f>LOOKUP(D398,Sheet2!$G$4:$H$9)</f>
        <v>1-99</v>
      </c>
      <c r="F398" s="1">
        <v>56</v>
      </c>
      <c r="G398" t="str">
        <f>LOOKUP(F398,Sheet2!$J$4:$K$8)</f>
        <v>1-59</v>
      </c>
      <c r="H398" s="1">
        <v>34</v>
      </c>
      <c r="I398" t="str">
        <f>LOOKUP(H398,Sheet2!$M$4:$N$8)</f>
        <v>30-39</v>
      </c>
      <c r="J398" s="1">
        <v>115</v>
      </c>
      <c r="K398" t="str">
        <f>LOOKUP(J398,Sheet2!$P$4:$Q$9)</f>
        <v>100-199</v>
      </c>
      <c r="L398" s="1">
        <v>24.7</v>
      </c>
      <c r="M398" t="str">
        <f>LOOKUP(L398,Sheet2!$S$4:$T$8)</f>
        <v>1-25</v>
      </c>
      <c r="N398" s="1">
        <v>0.94399999999999995</v>
      </c>
      <c r="O398" t="str">
        <f>LOOKUP(N398,Sheet2!$V$4:$W$7)</f>
        <v>0.7+</v>
      </c>
      <c r="P398" s="1">
        <v>39</v>
      </c>
      <c r="Q398" t="str">
        <f>LOOKUP(P398,Sheet2!$Z$4:$AA$7)</f>
        <v>36-45</v>
      </c>
      <c r="R398" s="1">
        <v>0</v>
      </c>
      <c r="S398" t="str">
        <f>IF(R398=1,"Positive","Negative")</f>
        <v>Negative</v>
      </c>
      <c r="T398" s="1">
        <f>IFERROR(VLOOKUP(A398,[1]diabetes_Recognition!$A:$B,2,FALSE),"Not Sampled")</f>
        <v>0</v>
      </c>
      <c r="U398" t="str">
        <f>IF(T398=1,"Positive",(IF(T398=0,"Negative","Not Sampled")))</f>
        <v>Negative</v>
      </c>
      <c r="V398" s="1" t="str">
        <f>IF(U398="Not Sampled","Not Sampled",IF(S398=U398,"Accurate Prediction","Inaccurate Prediction"))</f>
        <v>Accurate Prediction</v>
      </c>
    </row>
    <row r="399" spans="1:22" x14ac:dyDescent="0.25">
      <c r="A399" s="1">
        <v>397</v>
      </c>
      <c r="B399" s="1">
        <v>0</v>
      </c>
      <c r="C399" s="1">
        <f>LOOKUP(B399,Sheet2!$D$4:$E$9)</f>
        <v>0</v>
      </c>
      <c r="D399" s="1">
        <v>131</v>
      </c>
      <c r="E399" t="str">
        <f>LOOKUP(D399,Sheet2!$G$4:$H$9)</f>
        <v>126-150</v>
      </c>
      <c r="F399" s="1">
        <v>66</v>
      </c>
      <c r="G399" t="str">
        <f>LOOKUP(F399,Sheet2!$J$4:$K$8)</f>
        <v>60-69</v>
      </c>
      <c r="H399" s="1">
        <v>40</v>
      </c>
      <c r="I399" t="str">
        <f>LOOKUP(H399,Sheet2!$M$4:$N$8)</f>
        <v>40+</v>
      </c>
      <c r="J399" s="1">
        <v>0</v>
      </c>
      <c r="K399" t="str">
        <f>LOOKUP(J399,Sheet2!$P$4:$Q$9)</f>
        <v>Unknown</v>
      </c>
      <c r="L399" s="1">
        <v>34.299999999999997</v>
      </c>
      <c r="M399" t="str">
        <f>LOOKUP(L399,Sheet2!$S$4:$T$8)</f>
        <v>31-35</v>
      </c>
      <c r="N399" s="1">
        <v>0.19600000000000001</v>
      </c>
      <c r="O399" t="str">
        <f>LOOKUP(N399,Sheet2!$V$4:$W$7)</f>
        <v>0.0 - 0.249</v>
      </c>
      <c r="P399" s="1">
        <v>22</v>
      </c>
      <c r="Q399" t="str">
        <f>LOOKUP(P399,Sheet2!$Z$4:$AA$7)</f>
        <v>&lt;=25</v>
      </c>
      <c r="R399" s="1">
        <v>1</v>
      </c>
      <c r="S399" t="str">
        <f>IF(R399=1,"Positive","Negative")</f>
        <v>Positive</v>
      </c>
      <c r="T399" s="1" t="str">
        <f>IFERROR(VLOOKUP(A399,[1]diabetes_Recognition!$A:$B,2,FALSE),"Not Sampled")</f>
        <v>Not Sampled</v>
      </c>
      <c r="U399" t="str">
        <f>IF(T399=1,"Positive",(IF(T399=0,"Negative","Not Sampled")))</f>
        <v>Not Sampled</v>
      </c>
      <c r="V399" s="1" t="str">
        <f>IF(U399="Not Sampled","Not Sampled",IF(S399=U399,"Accurate Prediction","Inaccurate Prediction"))</f>
        <v>Not Sampled</v>
      </c>
    </row>
    <row r="400" spans="1:22" x14ac:dyDescent="0.25">
      <c r="A400" s="1">
        <v>398</v>
      </c>
      <c r="B400" s="1">
        <v>3</v>
      </c>
      <c r="C400" s="1" t="str">
        <f>LOOKUP(B400,Sheet2!$D$4:$E$9)</f>
        <v>3-4</v>
      </c>
      <c r="D400" s="1">
        <v>82</v>
      </c>
      <c r="E400" t="str">
        <f>LOOKUP(D400,Sheet2!$G$4:$H$9)</f>
        <v>1-99</v>
      </c>
      <c r="F400" s="1">
        <v>70</v>
      </c>
      <c r="G400" t="str">
        <f>LOOKUP(F400,Sheet2!$J$4:$K$8)</f>
        <v>70-79</v>
      </c>
      <c r="H400" s="1">
        <v>0</v>
      </c>
      <c r="I400" t="str">
        <f>LOOKUP(H400,Sheet2!$M$4:$N$8)</f>
        <v>Unknown</v>
      </c>
      <c r="J400" s="1">
        <v>0</v>
      </c>
      <c r="K400" t="str">
        <f>LOOKUP(J400,Sheet2!$P$4:$Q$9)</f>
        <v>Unknown</v>
      </c>
      <c r="L400" s="1">
        <v>21.1</v>
      </c>
      <c r="M400" t="str">
        <f>LOOKUP(L400,Sheet2!$S$4:$T$8)</f>
        <v>1-25</v>
      </c>
      <c r="N400" s="1">
        <v>0.38900000000000001</v>
      </c>
      <c r="O400" t="str">
        <f>LOOKUP(N400,Sheet2!$V$4:$W$7)</f>
        <v>0.25 - 0.39</v>
      </c>
      <c r="P400" s="1">
        <v>25</v>
      </c>
      <c r="Q400" t="str">
        <f>LOOKUP(P400,Sheet2!$Z$4:$AA$7)</f>
        <v>&lt;=25</v>
      </c>
      <c r="R400" s="1">
        <v>0</v>
      </c>
      <c r="S400" t="str">
        <f>IF(R400=1,"Positive","Negative")</f>
        <v>Negative</v>
      </c>
      <c r="T400" s="1" t="str">
        <f>IFERROR(VLOOKUP(A400,[1]diabetes_Recognition!$A:$B,2,FALSE),"Not Sampled")</f>
        <v>Not Sampled</v>
      </c>
      <c r="U400" t="str">
        <f>IF(T400=1,"Positive",(IF(T400=0,"Negative","Not Sampled")))</f>
        <v>Not Sampled</v>
      </c>
      <c r="V400" s="1" t="str">
        <f>IF(U400="Not Sampled","Not Sampled",IF(S400=U400,"Accurate Prediction","Inaccurate Prediction"))</f>
        <v>Not Sampled</v>
      </c>
    </row>
    <row r="401" spans="1:22" x14ac:dyDescent="0.25">
      <c r="A401" s="1">
        <v>399</v>
      </c>
      <c r="B401" s="1">
        <v>3</v>
      </c>
      <c r="C401" s="1" t="str">
        <f>LOOKUP(B401,Sheet2!$D$4:$E$9)</f>
        <v>3-4</v>
      </c>
      <c r="D401" s="1">
        <v>193</v>
      </c>
      <c r="E401" t="str">
        <f>LOOKUP(D401,Sheet2!$G$4:$H$9)</f>
        <v>176-200</v>
      </c>
      <c r="F401" s="1">
        <v>70</v>
      </c>
      <c r="G401" t="str">
        <f>LOOKUP(F401,Sheet2!$J$4:$K$8)</f>
        <v>70-79</v>
      </c>
      <c r="H401" s="1">
        <v>31</v>
      </c>
      <c r="I401" t="str">
        <f>LOOKUP(H401,Sheet2!$M$4:$N$8)</f>
        <v>30-39</v>
      </c>
      <c r="J401" s="1">
        <v>0</v>
      </c>
      <c r="K401" t="str">
        <f>LOOKUP(J401,Sheet2!$P$4:$Q$9)</f>
        <v>Unknown</v>
      </c>
      <c r="L401" s="1">
        <v>34.9</v>
      </c>
      <c r="M401" t="str">
        <f>LOOKUP(L401,Sheet2!$S$4:$T$8)</f>
        <v>31-35</v>
      </c>
      <c r="N401" s="1">
        <v>0.24099999999999999</v>
      </c>
      <c r="O401" t="str">
        <f>LOOKUP(N401,Sheet2!$V$4:$W$7)</f>
        <v>0.0 - 0.249</v>
      </c>
      <c r="P401" s="1">
        <v>25</v>
      </c>
      <c r="Q401" t="str">
        <f>LOOKUP(P401,Sheet2!$Z$4:$AA$7)</f>
        <v>&lt;=25</v>
      </c>
      <c r="R401" s="1">
        <v>1</v>
      </c>
      <c r="S401" t="str">
        <f>IF(R401=1,"Positive","Negative")</f>
        <v>Positive</v>
      </c>
      <c r="T401" s="1" t="str">
        <f>IFERROR(VLOOKUP(A401,[1]diabetes_Recognition!$A:$B,2,FALSE),"Not Sampled")</f>
        <v>Not Sampled</v>
      </c>
      <c r="U401" t="str">
        <f>IF(T401=1,"Positive",(IF(T401=0,"Negative","Not Sampled")))</f>
        <v>Not Sampled</v>
      </c>
      <c r="V401" s="1" t="str">
        <f>IF(U401="Not Sampled","Not Sampled",IF(S401=U401,"Accurate Prediction","Inaccurate Prediction"))</f>
        <v>Not Sampled</v>
      </c>
    </row>
    <row r="402" spans="1:22" x14ac:dyDescent="0.25">
      <c r="A402" s="1">
        <v>400</v>
      </c>
      <c r="B402" s="1">
        <v>4</v>
      </c>
      <c r="C402" s="1" t="str">
        <f>LOOKUP(B402,Sheet2!$D$4:$E$9)</f>
        <v>3-4</v>
      </c>
      <c r="D402" s="1">
        <v>95</v>
      </c>
      <c r="E402" t="str">
        <f>LOOKUP(D402,Sheet2!$G$4:$H$9)</f>
        <v>1-99</v>
      </c>
      <c r="F402" s="1">
        <v>64</v>
      </c>
      <c r="G402" t="str">
        <f>LOOKUP(F402,Sheet2!$J$4:$K$8)</f>
        <v>60-69</v>
      </c>
      <c r="H402" s="1">
        <v>0</v>
      </c>
      <c r="I402" t="str">
        <f>LOOKUP(H402,Sheet2!$M$4:$N$8)</f>
        <v>Unknown</v>
      </c>
      <c r="J402" s="1">
        <v>0</v>
      </c>
      <c r="K402" t="str">
        <f>LOOKUP(J402,Sheet2!$P$4:$Q$9)</f>
        <v>Unknown</v>
      </c>
      <c r="L402" s="1">
        <v>32</v>
      </c>
      <c r="M402" t="str">
        <f>LOOKUP(L402,Sheet2!$S$4:$T$8)</f>
        <v>31-35</v>
      </c>
      <c r="N402" s="1">
        <v>0.161</v>
      </c>
      <c r="O402" t="str">
        <f>LOOKUP(N402,Sheet2!$V$4:$W$7)</f>
        <v>0.0 - 0.249</v>
      </c>
      <c r="P402" s="1">
        <v>31</v>
      </c>
      <c r="Q402" t="str">
        <f>LOOKUP(P402,Sheet2!$Z$4:$AA$7)</f>
        <v>26-35</v>
      </c>
      <c r="R402" s="1">
        <v>1</v>
      </c>
      <c r="S402" t="str">
        <f>IF(R402=1,"Positive","Negative")</f>
        <v>Positive</v>
      </c>
      <c r="T402" s="1">
        <f>IFERROR(VLOOKUP(A402,[1]diabetes_Recognition!$A:$B,2,FALSE),"Not Sampled")</f>
        <v>0</v>
      </c>
      <c r="U402" t="str">
        <f>IF(T402=1,"Positive",(IF(T402=0,"Negative","Not Sampled")))</f>
        <v>Negative</v>
      </c>
      <c r="V402" s="1" t="str">
        <f>IF(U402="Not Sampled","Not Sampled",IF(S402=U402,"Accurate Prediction","Inaccurate Prediction"))</f>
        <v>Inaccurate Prediction</v>
      </c>
    </row>
    <row r="403" spans="1:22" x14ac:dyDescent="0.25">
      <c r="A403" s="1">
        <v>401</v>
      </c>
      <c r="B403" s="1">
        <v>6</v>
      </c>
      <c r="C403" s="1" t="str">
        <f>LOOKUP(B403,Sheet2!$D$4:$E$9)</f>
        <v>5-7</v>
      </c>
      <c r="D403" s="1">
        <v>137</v>
      </c>
      <c r="E403" t="str">
        <f>LOOKUP(D403,Sheet2!$G$4:$H$9)</f>
        <v>126-150</v>
      </c>
      <c r="F403" s="1">
        <v>61</v>
      </c>
      <c r="G403" t="str">
        <f>LOOKUP(F403,Sheet2!$J$4:$K$8)</f>
        <v>60-69</v>
      </c>
      <c r="H403" s="1">
        <v>0</v>
      </c>
      <c r="I403" t="str">
        <f>LOOKUP(H403,Sheet2!$M$4:$N$8)</f>
        <v>Unknown</v>
      </c>
      <c r="J403" s="1">
        <v>0</v>
      </c>
      <c r="K403" t="str">
        <f>LOOKUP(J403,Sheet2!$P$4:$Q$9)</f>
        <v>Unknown</v>
      </c>
      <c r="L403" s="1">
        <v>24.2</v>
      </c>
      <c r="M403" t="str">
        <f>LOOKUP(L403,Sheet2!$S$4:$T$8)</f>
        <v>1-25</v>
      </c>
      <c r="N403" s="1">
        <v>0.151</v>
      </c>
      <c r="O403" t="str">
        <f>LOOKUP(N403,Sheet2!$V$4:$W$7)</f>
        <v>0.0 - 0.249</v>
      </c>
      <c r="P403" s="1">
        <v>55</v>
      </c>
      <c r="Q403" t="str">
        <f>LOOKUP(P403,Sheet2!$Z$4:$AA$7)</f>
        <v>46+</v>
      </c>
      <c r="R403" s="1">
        <v>0</v>
      </c>
      <c r="S403" t="str">
        <f>IF(R403=1,"Positive","Negative")</f>
        <v>Negative</v>
      </c>
      <c r="T403" s="1" t="str">
        <f>IFERROR(VLOOKUP(A403,[1]diabetes_Recognition!$A:$B,2,FALSE),"Not Sampled")</f>
        <v>Not Sampled</v>
      </c>
      <c r="U403" t="str">
        <f>IF(T403=1,"Positive",(IF(T403=0,"Negative","Not Sampled")))</f>
        <v>Not Sampled</v>
      </c>
      <c r="V403" s="1" t="str">
        <f>IF(U403="Not Sampled","Not Sampled",IF(S403=U403,"Accurate Prediction","Inaccurate Prediction"))</f>
        <v>Not Sampled</v>
      </c>
    </row>
    <row r="404" spans="1:22" x14ac:dyDescent="0.25">
      <c r="A404" s="1">
        <v>402</v>
      </c>
      <c r="B404" s="1">
        <v>5</v>
      </c>
      <c r="C404" s="1" t="str">
        <f>LOOKUP(B404,Sheet2!$D$4:$E$9)</f>
        <v>5-7</v>
      </c>
      <c r="D404" s="1">
        <v>136</v>
      </c>
      <c r="E404" t="str">
        <f>LOOKUP(D404,Sheet2!$G$4:$H$9)</f>
        <v>126-150</v>
      </c>
      <c r="F404" s="1">
        <v>84</v>
      </c>
      <c r="G404" t="str">
        <f>LOOKUP(F404,Sheet2!$J$4:$K$8)</f>
        <v>80+</v>
      </c>
      <c r="H404" s="1">
        <v>41</v>
      </c>
      <c r="I404" t="str">
        <f>LOOKUP(H404,Sheet2!$M$4:$N$8)</f>
        <v>40+</v>
      </c>
      <c r="J404" s="1">
        <v>88</v>
      </c>
      <c r="K404" t="str">
        <f>LOOKUP(J404,Sheet2!$P$4:$Q$9)</f>
        <v>1-99</v>
      </c>
      <c r="L404" s="1">
        <v>35</v>
      </c>
      <c r="M404" t="str">
        <f>LOOKUP(L404,Sheet2!$S$4:$T$8)</f>
        <v>31-35</v>
      </c>
      <c r="N404" s="1">
        <v>0.28599999999999998</v>
      </c>
      <c r="O404" t="str">
        <f>LOOKUP(N404,Sheet2!$V$4:$W$7)</f>
        <v>0.25 - 0.39</v>
      </c>
      <c r="P404" s="1">
        <v>35</v>
      </c>
      <c r="Q404" t="str">
        <f>LOOKUP(P404,Sheet2!$Z$4:$AA$7)</f>
        <v>26-35</v>
      </c>
      <c r="R404" s="1">
        <v>1</v>
      </c>
      <c r="S404" t="str">
        <f>IF(R404=1,"Positive","Negative")</f>
        <v>Positive</v>
      </c>
      <c r="T404" s="1" t="str">
        <f>IFERROR(VLOOKUP(A404,[1]diabetes_Recognition!$A:$B,2,FALSE),"Not Sampled")</f>
        <v>Not Sampled</v>
      </c>
      <c r="U404" t="str">
        <f>IF(T404=1,"Positive",(IF(T404=0,"Negative","Not Sampled")))</f>
        <v>Not Sampled</v>
      </c>
      <c r="V404" s="1" t="str">
        <f>IF(U404="Not Sampled","Not Sampled",IF(S404=U404,"Accurate Prediction","Inaccurate Prediction"))</f>
        <v>Not Sampled</v>
      </c>
    </row>
    <row r="405" spans="1:22" x14ac:dyDescent="0.25">
      <c r="A405" s="1">
        <v>403</v>
      </c>
      <c r="B405" s="1">
        <v>9</v>
      </c>
      <c r="C405" s="1" t="str">
        <f>LOOKUP(B405,Sheet2!$D$4:$E$9)</f>
        <v>8+</v>
      </c>
      <c r="D405" s="1">
        <v>72</v>
      </c>
      <c r="E405" t="str">
        <f>LOOKUP(D405,Sheet2!$G$4:$H$9)</f>
        <v>1-99</v>
      </c>
      <c r="F405" s="1">
        <v>78</v>
      </c>
      <c r="G405" t="str">
        <f>LOOKUP(F405,Sheet2!$J$4:$K$8)</f>
        <v>70-79</v>
      </c>
      <c r="H405" s="1">
        <v>25</v>
      </c>
      <c r="I405" t="str">
        <f>LOOKUP(H405,Sheet2!$M$4:$N$8)</f>
        <v>10-30</v>
      </c>
      <c r="J405" s="1">
        <v>0</v>
      </c>
      <c r="K405" t="str">
        <f>LOOKUP(J405,Sheet2!$P$4:$Q$9)</f>
        <v>Unknown</v>
      </c>
      <c r="L405" s="1">
        <v>31.6</v>
      </c>
      <c r="M405" t="str">
        <f>LOOKUP(L405,Sheet2!$S$4:$T$8)</f>
        <v>31-35</v>
      </c>
      <c r="N405" s="1">
        <v>0.28000000000000003</v>
      </c>
      <c r="O405" t="str">
        <f>LOOKUP(N405,Sheet2!$V$4:$W$7)</f>
        <v>0.25 - 0.39</v>
      </c>
      <c r="P405" s="1">
        <v>38</v>
      </c>
      <c r="Q405" t="str">
        <f>LOOKUP(P405,Sheet2!$Z$4:$AA$7)</f>
        <v>36-45</v>
      </c>
      <c r="R405" s="1">
        <v>0</v>
      </c>
      <c r="S405" t="str">
        <f>IF(R405=1,"Positive","Negative")</f>
        <v>Negative</v>
      </c>
      <c r="T405" s="1">
        <f>IFERROR(VLOOKUP(A405,[1]diabetes_Recognition!$A:$B,2,FALSE),"Not Sampled")</f>
        <v>0</v>
      </c>
      <c r="U405" t="str">
        <f>IF(T405=1,"Positive",(IF(T405=0,"Negative","Not Sampled")))</f>
        <v>Negative</v>
      </c>
      <c r="V405" s="1" t="str">
        <f>IF(U405="Not Sampled","Not Sampled",IF(S405=U405,"Accurate Prediction","Inaccurate Prediction"))</f>
        <v>Accurate Prediction</v>
      </c>
    </row>
    <row r="406" spans="1:22" x14ac:dyDescent="0.25">
      <c r="A406" s="1">
        <v>404</v>
      </c>
      <c r="B406" s="1">
        <v>5</v>
      </c>
      <c r="C406" s="1" t="str">
        <f>LOOKUP(B406,Sheet2!$D$4:$E$9)</f>
        <v>5-7</v>
      </c>
      <c r="D406" s="1">
        <v>168</v>
      </c>
      <c r="E406" t="str">
        <f>LOOKUP(D406,Sheet2!$G$4:$H$9)</f>
        <v>151-175</v>
      </c>
      <c r="F406" s="1">
        <v>64</v>
      </c>
      <c r="G406" t="str">
        <f>LOOKUP(F406,Sheet2!$J$4:$K$8)</f>
        <v>60-69</v>
      </c>
      <c r="H406" s="1">
        <v>0</v>
      </c>
      <c r="I406" t="str">
        <f>LOOKUP(H406,Sheet2!$M$4:$N$8)</f>
        <v>Unknown</v>
      </c>
      <c r="J406" s="1">
        <v>0</v>
      </c>
      <c r="K406" t="str">
        <f>LOOKUP(J406,Sheet2!$P$4:$Q$9)</f>
        <v>Unknown</v>
      </c>
      <c r="L406" s="1">
        <v>32.9</v>
      </c>
      <c r="M406" t="str">
        <f>LOOKUP(L406,Sheet2!$S$4:$T$8)</f>
        <v>31-35</v>
      </c>
      <c r="N406" s="1">
        <v>0.13500000000000001</v>
      </c>
      <c r="O406" t="str">
        <f>LOOKUP(N406,Sheet2!$V$4:$W$7)</f>
        <v>0.0 - 0.249</v>
      </c>
      <c r="P406" s="1">
        <v>41</v>
      </c>
      <c r="Q406" t="str">
        <f>LOOKUP(P406,Sheet2!$Z$4:$AA$7)</f>
        <v>36-45</v>
      </c>
      <c r="R406" s="1">
        <v>1</v>
      </c>
      <c r="S406" t="str">
        <f>IF(R406=1,"Positive","Negative")</f>
        <v>Positive</v>
      </c>
      <c r="T406" s="1" t="str">
        <f>IFERROR(VLOOKUP(A406,[1]diabetes_Recognition!$A:$B,2,FALSE),"Not Sampled")</f>
        <v>Not Sampled</v>
      </c>
      <c r="U406" t="str">
        <f>IF(T406=1,"Positive",(IF(T406=0,"Negative","Not Sampled")))</f>
        <v>Not Sampled</v>
      </c>
      <c r="V406" s="1" t="str">
        <f>IF(U406="Not Sampled","Not Sampled",IF(S406=U406,"Accurate Prediction","Inaccurate Prediction"))</f>
        <v>Not Sampled</v>
      </c>
    </row>
    <row r="407" spans="1:22" x14ac:dyDescent="0.25">
      <c r="A407" s="1">
        <v>405</v>
      </c>
      <c r="B407" s="1">
        <v>2</v>
      </c>
      <c r="C407" s="1">
        <f>LOOKUP(B407,Sheet2!$D$4:$E$9)</f>
        <v>2</v>
      </c>
      <c r="D407" s="1">
        <v>123</v>
      </c>
      <c r="E407" t="str">
        <f>LOOKUP(D407,Sheet2!$G$4:$H$9)</f>
        <v>100-125</v>
      </c>
      <c r="F407" s="1">
        <v>48</v>
      </c>
      <c r="G407" t="str">
        <f>LOOKUP(F407,Sheet2!$J$4:$K$8)</f>
        <v>1-59</v>
      </c>
      <c r="H407" s="1">
        <v>32</v>
      </c>
      <c r="I407" t="str">
        <f>LOOKUP(H407,Sheet2!$M$4:$N$8)</f>
        <v>30-39</v>
      </c>
      <c r="J407" s="1">
        <v>165</v>
      </c>
      <c r="K407" t="str">
        <f>LOOKUP(J407,Sheet2!$P$4:$Q$9)</f>
        <v>100-199</v>
      </c>
      <c r="L407" s="1">
        <v>42.1</v>
      </c>
      <c r="M407" t="str">
        <f>LOOKUP(L407,Sheet2!$S$4:$T$8)</f>
        <v>36+</v>
      </c>
      <c r="N407" s="1">
        <v>0.52</v>
      </c>
      <c r="O407" t="str">
        <f>LOOKUP(N407,Sheet2!$V$4:$W$7)</f>
        <v>0.4 - 0.69</v>
      </c>
      <c r="P407" s="1">
        <v>26</v>
      </c>
      <c r="Q407" t="str">
        <f>LOOKUP(P407,Sheet2!$Z$4:$AA$7)</f>
        <v>26-35</v>
      </c>
      <c r="R407" s="1">
        <v>0</v>
      </c>
      <c r="S407" t="str">
        <f>IF(R407=1,"Positive","Negative")</f>
        <v>Negative</v>
      </c>
      <c r="T407" s="1" t="str">
        <f>IFERROR(VLOOKUP(A407,[1]diabetes_Recognition!$A:$B,2,FALSE),"Not Sampled")</f>
        <v>Not Sampled</v>
      </c>
      <c r="U407" t="str">
        <f>IF(T407=1,"Positive",(IF(T407=0,"Negative","Not Sampled")))</f>
        <v>Not Sampled</v>
      </c>
      <c r="V407" s="1" t="str">
        <f>IF(U407="Not Sampled","Not Sampled",IF(S407=U407,"Accurate Prediction","Inaccurate Prediction"))</f>
        <v>Not Sampled</v>
      </c>
    </row>
    <row r="408" spans="1:22" x14ac:dyDescent="0.25">
      <c r="A408" s="1">
        <v>406</v>
      </c>
      <c r="B408" s="1">
        <v>4</v>
      </c>
      <c r="C408" s="1" t="str">
        <f>LOOKUP(B408,Sheet2!$D$4:$E$9)</f>
        <v>3-4</v>
      </c>
      <c r="D408" s="1">
        <v>115</v>
      </c>
      <c r="E408" t="str">
        <f>LOOKUP(D408,Sheet2!$G$4:$H$9)</f>
        <v>100-125</v>
      </c>
      <c r="F408" s="1">
        <v>72</v>
      </c>
      <c r="G408" t="str">
        <f>LOOKUP(F408,Sheet2!$J$4:$K$8)</f>
        <v>70-79</v>
      </c>
      <c r="H408" s="1">
        <v>0</v>
      </c>
      <c r="I408" t="str">
        <f>LOOKUP(H408,Sheet2!$M$4:$N$8)</f>
        <v>Unknown</v>
      </c>
      <c r="J408" s="1">
        <v>0</v>
      </c>
      <c r="K408" t="str">
        <f>LOOKUP(J408,Sheet2!$P$4:$Q$9)</f>
        <v>Unknown</v>
      </c>
      <c r="L408" s="1">
        <v>28.9</v>
      </c>
      <c r="M408" t="str">
        <f>LOOKUP(L408,Sheet2!$S$4:$T$8)</f>
        <v>26-30</v>
      </c>
      <c r="N408" s="1">
        <v>0.376</v>
      </c>
      <c r="O408" t="str">
        <f>LOOKUP(N408,Sheet2!$V$4:$W$7)</f>
        <v>0.25 - 0.39</v>
      </c>
      <c r="P408" s="1">
        <v>46</v>
      </c>
      <c r="Q408" t="str">
        <f>LOOKUP(P408,Sheet2!$Z$4:$AA$7)</f>
        <v>46+</v>
      </c>
      <c r="R408" s="1">
        <v>1</v>
      </c>
      <c r="S408" t="str">
        <f>IF(R408=1,"Positive","Negative")</f>
        <v>Positive</v>
      </c>
      <c r="T408" s="1">
        <f>IFERROR(VLOOKUP(A408,[1]diabetes_Recognition!$A:$B,2,FALSE),"Not Sampled")</f>
        <v>0</v>
      </c>
      <c r="U408" t="str">
        <f>IF(T408=1,"Positive",(IF(T408=0,"Negative","Not Sampled")))</f>
        <v>Negative</v>
      </c>
      <c r="V408" s="1" t="str">
        <f>IF(U408="Not Sampled","Not Sampled",IF(S408=U408,"Accurate Prediction","Inaccurate Prediction"))</f>
        <v>Inaccurate Prediction</v>
      </c>
    </row>
    <row r="409" spans="1:22" x14ac:dyDescent="0.25">
      <c r="A409" s="1">
        <v>407</v>
      </c>
      <c r="B409" s="1">
        <v>0</v>
      </c>
      <c r="C409" s="1">
        <f>LOOKUP(B409,Sheet2!$D$4:$E$9)</f>
        <v>0</v>
      </c>
      <c r="D409" s="1">
        <v>101</v>
      </c>
      <c r="E409" t="str">
        <f>LOOKUP(D409,Sheet2!$G$4:$H$9)</f>
        <v>100-125</v>
      </c>
      <c r="F409" s="1">
        <v>62</v>
      </c>
      <c r="G409" t="str">
        <f>LOOKUP(F409,Sheet2!$J$4:$K$8)</f>
        <v>60-69</v>
      </c>
      <c r="H409" s="1">
        <v>0</v>
      </c>
      <c r="I409" t="str">
        <f>LOOKUP(H409,Sheet2!$M$4:$N$8)</f>
        <v>Unknown</v>
      </c>
      <c r="J409" s="1">
        <v>0</v>
      </c>
      <c r="K409" t="str">
        <f>LOOKUP(J409,Sheet2!$P$4:$Q$9)</f>
        <v>Unknown</v>
      </c>
      <c r="L409" s="1">
        <v>21.9</v>
      </c>
      <c r="M409" t="str">
        <f>LOOKUP(L409,Sheet2!$S$4:$T$8)</f>
        <v>1-25</v>
      </c>
      <c r="N409" s="1">
        <v>0.33600000000000002</v>
      </c>
      <c r="O409" t="str">
        <f>LOOKUP(N409,Sheet2!$V$4:$W$7)</f>
        <v>0.25 - 0.39</v>
      </c>
      <c r="P409" s="1">
        <v>25</v>
      </c>
      <c r="Q409" t="str">
        <f>LOOKUP(P409,Sheet2!$Z$4:$AA$7)</f>
        <v>&lt;=25</v>
      </c>
      <c r="R409" s="1">
        <v>0</v>
      </c>
      <c r="S409" t="str">
        <f>IF(R409=1,"Positive","Negative")</f>
        <v>Negative</v>
      </c>
      <c r="T409" s="1" t="str">
        <f>IFERROR(VLOOKUP(A409,[1]diabetes_Recognition!$A:$B,2,FALSE),"Not Sampled")</f>
        <v>Not Sampled</v>
      </c>
      <c r="U409" t="str">
        <f>IF(T409=1,"Positive",(IF(T409=0,"Negative","Not Sampled")))</f>
        <v>Not Sampled</v>
      </c>
      <c r="V409" s="1" t="str">
        <f>IF(U409="Not Sampled","Not Sampled",IF(S409=U409,"Accurate Prediction","Inaccurate Prediction"))</f>
        <v>Not Sampled</v>
      </c>
    </row>
    <row r="410" spans="1:22" x14ac:dyDescent="0.25">
      <c r="A410" s="1">
        <v>408</v>
      </c>
      <c r="B410" s="1">
        <v>8</v>
      </c>
      <c r="C410" s="1" t="str">
        <f>LOOKUP(B410,Sheet2!$D$4:$E$9)</f>
        <v>8+</v>
      </c>
      <c r="D410" s="1">
        <v>197</v>
      </c>
      <c r="E410" t="str">
        <f>LOOKUP(D410,Sheet2!$G$4:$H$9)</f>
        <v>176-200</v>
      </c>
      <c r="F410" s="1">
        <v>74</v>
      </c>
      <c r="G410" t="str">
        <f>LOOKUP(F410,Sheet2!$J$4:$K$8)</f>
        <v>70-79</v>
      </c>
      <c r="H410" s="1">
        <v>0</v>
      </c>
      <c r="I410" t="str">
        <f>LOOKUP(H410,Sheet2!$M$4:$N$8)</f>
        <v>Unknown</v>
      </c>
      <c r="J410" s="1">
        <v>0</v>
      </c>
      <c r="K410" t="str">
        <f>LOOKUP(J410,Sheet2!$P$4:$Q$9)</f>
        <v>Unknown</v>
      </c>
      <c r="L410" s="1">
        <v>25.9</v>
      </c>
      <c r="M410" t="str">
        <f>LOOKUP(L410,Sheet2!$S$4:$T$8)</f>
        <v>1-25</v>
      </c>
      <c r="N410" s="1">
        <v>1.1910000000000001</v>
      </c>
      <c r="O410" t="str">
        <f>LOOKUP(N410,Sheet2!$V$4:$W$7)</f>
        <v>0.7+</v>
      </c>
      <c r="P410" s="1">
        <v>39</v>
      </c>
      <c r="Q410" t="str">
        <f>LOOKUP(P410,Sheet2!$Z$4:$AA$7)</f>
        <v>36-45</v>
      </c>
      <c r="R410" s="1">
        <v>1</v>
      </c>
      <c r="S410" t="str">
        <f>IF(R410=1,"Positive","Negative")</f>
        <v>Positive</v>
      </c>
      <c r="T410" s="1" t="str">
        <f>IFERROR(VLOOKUP(A410,[1]diabetes_Recognition!$A:$B,2,FALSE),"Not Sampled")</f>
        <v>Not Sampled</v>
      </c>
      <c r="U410" t="str">
        <f>IF(T410=1,"Positive",(IF(T410=0,"Negative","Not Sampled")))</f>
        <v>Not Sampled</v>
      </c>
      <c r="V410" s="1" t="str">
        <f>IF(U410="Not Sampled","Not Sampled",IF(S410=U410,"Accurate Prediction","Inaccurate Prediction"))</f>
        <v>Not Sampled</v>
      </c>
    </row>
    <row r="411" spans="1:22" x14ac:dyDescent="0.25">
      <c r="A411" s="1">
        <v>409</v>
      </c>
      <c r="B411" s="1">
        <v>1</v>
      </c>
      <c r="C411" s="1">
        <f>LOOKUP(B411,Sheet2!$D$4:$E$9)</f>
        <v>1</v>
      </c>
      <c r="D411" s="1">
        <v>172</v>
      </c>
      <c r="E411" t="str">
        <f>LOOKUP(D411,Sheet2!$G$4:$H$9)</f>
        <v>151-175</v>
      </c>
      <c r="F411" s="1">
        <v>68</v>
      </c>
      <c r="G411" t="str">
        <f>LOOKUP(F411,Sheet2!$J$4:$K$8)</f>
        <v>60-69</v>
      </c>
      <c r="H411" s="1">
        <v>49</v>
      </c>
      <c r="I411" t="str">
        <f>LOOKUP(H411,Sheet2!$M$4:$N$8)</f>
        <v>40+</v>
      </c>
      <c r="J411" s="1">
        <v>579</v>
      </c>
      <c r="K411" t="str">
        <f>LOOKUP(J411,Sheet2!$P$4:$Q$9)</f>
        <v>500+</v>
      </c>
      <c r="L411" s="1">
        <v>42.4</v>
      </c>
      <c r="M411" t="str">
        <f>LOOKUP(L411,Sheet2!$S$4:$T$8)</f>
        <v>36+</v>
      </c>
      <c r="N411" s="1">
        <v>0.70199999999999996</v>
      </c>
      <c r="O411" t="str">
        <f>LOOKUP(N411,Sheet2!$V$4:$W$7)</f>
        <v>0.7+</v>
      </c>
      <c r="P411" s="1">
        <v>28</v>
      </c>
      <c r="Q411" t="str">
        <f>LOOKUP(P411,Sheet2!$Z$4:$AA$7)</f>
        <v>26-35</v>
      </c>
      <c r="R411" s="1">
        <v>1</v>
      </c>
      <c r="S411" t="str">
        <f>IF(R411=1,"Positive","Negative")</f>
        <v>Positive</v>
      </c>
      <c r="T411" s="1" t="str">
        <f>IFERROR(VLOOKUP(A411,[1]diabetes_Recognition!$A:$B,2,FALSE),"Not Sampled")</f>
        <v>Not Sampled</v>
      </c>
      <c r="U411" t="str">
        <f>IF(T411=1,"Positive",(IF(T411=0,"Negative","Not Sampled")))</f>
        <v>Not Sampled</v>
      </c>
      <c r="V411" s="1" t="str">
        <f>IF(U411="Not Sampled","Not Sampled",IF(S411=U411,"Accurate Prediction","Inaccurate Prediction"))</f>
        <v>Not Sampled</v>
      </c>
    </row>
    <row r="412" spans="1:22" x14ac:dyDescent="0.25">
      <c r="A412" s="1">
        <v>410</v>
      </c>
      <c r="B412" s="1">
        <v>6</v>
      </c>
      <c r="C412" s="1" t="str">
        <f>LOOKUP(B412,Sheet2!$D$4:$E$9)</f>
        <v>5-7</v>
      </c>
      <c r="D412" s="1">
        <v>102</v>
      </c>
      <c r="E412" t="str">
        <f>LOOKUP(D412,Sheet2!$G$4:$H$9)</f>
        <v>100-125</v>
      </c>
      <c r="F412" s="1">
        <v>90</v>
      </c>
      <c r="G412" t="str">
        <f>LOOKUP(F412,Sheet2!$J$4:$K$8)</f>
        <v>80+</v>
      </c>
      <c r="H412" s="1">
        <v>39</v>
      </c>
      <c r="I412" t="str">
        <f>LOOKUP(H412,Sheet2!$M$4:$N$8)</f>
        <v>30-39</v>
      </c>
      <c r="J412" s="1">
        <v>0</v>
      </c>
      <c r="K412" t="str">
        <f>LOOKUP(J412,Sheet2!$P$4:$Q$9)</f>
        <v>Unknown</v>
      </c>
      <c r="L412" s="1">
        <v>35.700000000000003</v>
      </c>
      <c r="M412" t="str">
        <f>LOOKUP(L412,Sheet2!$S$4:$T$8)</f>
        <v>31-35</v>
      </c>
      <c r="N412" s="1">
        <v>0.67400000000000004</v>
      </c>
      <c r="O412" t="str">
        <f>LOOKUP(N412,Sheet2!$V$4:$W$7)</f>
        <v>0.4 - 0.69</v>
      </c>
      <c r="P412" s="1">
        <v>28</v>
      </c>
      <c r="Q412" t="str">
        <f>LOOKUP(P412,Sheet2!$Z$4:$AA$7)</f>
        <v>26-35</v>
      </c>
      <c r="R412" s="1">
        <v>0</v>
      </c>
      <c r="S412" t="str">
        <f>IF(R412=1,"Positive","Negative")</f>
        <v>Negative</v>
      </c>
      <c r="T412" s="1" t="str">
        <f>IFERROR(VLOOKUP(A412,[1]diabetes_Recognition!$A:$B,2,FALSE),"Not Sampled")</f>
        <v>Not Sampled</v>
      </c>
      <c r="U412" t="str">
        <f>IF(T412=1,"Positive",(IF(T412=0,"Negative","Not Sampled")))</f>
        <v>Not Sampled</v>
      </c>
      <c r="V412" s="1" t="str">
        <f>IF(U412="Not Sampled","Not Sampled",IF(S412=U412,"Accurate Prediction","Inaccurate Prediction"))</f>
        <v>Not Sampled</v>
      </c>
    </row>
    <row r="413" spans="1:22" x14ac:dyDescent="0.25">
      <c r="A413" s="1">
        <v>411</v>
      </c>
      <c r="B413" s="1">
        <v>1</v>
      </c>
      <c r="C413" s="1">
        <f>LOOKUP(B413,Sheet2!$D$4:$E$9)</f>
        <v>1</v>
      </c>
      <c r="D413" s="1">
        <v>112</v>
      </c>
      <c r="E413" t="str">
        <f>LOOKUP(D413,Sheet2!$G$4:$H$9)</f>
        <v>100-125</v>
      </c>
      <c r="F413" s="1">
        <v>72</v>
      </c>
      <c r="G413" t="str">
        <f>LOOKUP(F413,Sheet2!$J$4:$K$8)</f>
        <v>70-79</v>
      </c>
      <c r="H413" s="1">
        <v>30</v>
      </c>
      <c r="I413" t="str">
        <f>LOOKUP(H413,Sheet2!$M$4:$N$8)</f>
        <v>30-39</v>
      </c>
      <c r="J413" s="1">
        <v>176</v>
      </c>
      <c r="K413" t="str">
        <f>LOOKUP(J413,Sheet2!$P$4:$Q$9)</f>
        <v>100-199</v>
      </c>
      <c r="L413" s="1">
        <v>34.4</v>
      </c>
      <c r="M413" t="str">
        <f>LOOKUP(L413,Sheet2!$S$4:$T$8)</f>
        <v>31-35</v>
      </c>
      <c r="N413" s="1">
        <v>0.52800000000000002</v>
      </c>
      <c r="O413" t="str">
        <f>LOOKUP(N413,Sheet2!$V$4:$W$7)</f>
        <v>0.4 - 0.69</v>
      </c>
      <c r="P413" s="1">
        <v>25</v>
      </c>
      <c r="Q413" t="str">
        <f>LOOKUP(P413,Sheet2!$Z$4:$AA$7)</f>
        <v>&lt;=25</v>
      </c>
      <c r="R413" s="1">
        <v>0</v>
      </c>
      <c r="S413" t="str">
        <f>IF(R413=1,"Positive","Negative")</f>
        <v>Negative</v>
      </c>
      <c r="T413" s="1" t="str">
        <f>IFERROR(VLOOKUP(A413,[1]diabetes_Recognition!$A:$B,2,FALSE),"Not Sampled")</f>
        <v>Not Sampled</v>
      </c>
      <c r="U413" t="str">
        <f>IF(T413=1,"Positive",(IF(T413=0,"Negative","Not Sampled")))</f>
        <v>Not Sampled</v>
      </c>
      <c r="V413" s="1" t="str">
        <f>IF(U413="Not Sampled","Not Sampled",IF(S413=U413,"Accurate Prediction","Inaccurate Prediction"))</f>
        <v>Not Sampled</v>
      </c>
    </row>
    <row r="414" spans="1:22" x14ac:dyDescent="0.25">
      <c r="A414" s="1">
        <v>412</v>
      </c>
      <c r="B414" s="1">
        <v>1</v>
      </c>
      <c r="C414" s="1">
        <f>LOOKUP(B414,Sheet2!$D$4:$E$9)</f>
        <v>1</v>
      </c>
      <c r="D414" s="1">
        <v>143</v>
      </c>
      <c r="E414" t="str">
        <f>LOOKUP(D414,Sheet2!$G$4:$H$9)</f>
        <v>126-150</v>
      </c>
      <c r="F414" s="1">
        <v>84</v>
      </c>
      <c r="G414" t="str">
        <f>LOOKUP(F414,Sheet2!$J$4:$K$8)</f>
        <v>80+</v>
      </c>
      <c r="H414" s="1">
        <v>23</v>
      </c>
      <c r="I414" t="str">
        <f>LOOKUP(H414,Sheet2!$M$4:$N$8)</f>
        <v>10-30</v>
      </c>
      <c r="J414" s="1">
        <v>310</v>
      </c>
      <c r="K414" t="str">
        <f>LOOKUP(J414,Sheet2!$P$4:$Q$9)</f>
        <v>300-499</v>
      </c>
      <c r="L414" s="1">
        <v>42.4</v>
      </c>
      <c r="M414" t="str">
        <f>LOOKUP(L414,Sheet2!$S$4:$T$8)</f>
        <v>36+</v>
      </c>
      <c r="N414" s="1">
        <v>1.0760000000000001</v>
      </c>
      <c r="O414" t="str">
        <f>LOOKUP(N414,Sheet2!$V$4:$W$7)</f>
        <v>0.7+</v>
      </c>
      <c r="P414" s="1">
        <v>22</v>
      </c>
      <c r="Q414" t="str">
        <f>LOOKUP(P414,Sheet2!$Z$4:$AA$7)</f>
        <v>&lt;=25</v>
      </c>
      <c r="R414" s="1">
        <v>0</v>
      </c>
      <c r="S414" t="str">
        <f>IF(R414=1,"Positive","Negative")</f>
        <v>Negative</v>
      </c>
      <c r="T414" s="1" t="str">
        <f>IFERROR(VLOOKUP(A414,[1]diabetes_Recognition!$A:$B,2,FALSE),"Not Sampled")</f>
        <v>Not Sampled</v>
      </c>
      <c r="U414" t="str">
        <f>IF(T414=1,"Positive",(IF(T414=0,"Negative","Not Sampled")))</f>
        <v>Not Sampled</v>
      </c>
      <c r="V414" s="1" t="str">
        <f>IF(U414="Not Sampled","Not Sampled",IF(S414=U414,"Accurate Prediction","Inaccurate Prediction"))</f>
        <v>Not Sampled</v>
      </c>
    </row>
    <row r="415" spans="1:22" x14ac:dyDescent="0.25">
      <c r="A415" s="1">
        <v>413</v>
      </c>
      <c r="B415" s="1">
        <v>1</v>
      </c>
      <c r="C415" s="1">
        <f>LOOKUP(B415,Sheet2!$D$4:$E$9)</f>
        <v>1</v>
      </c>
      <c r="D415" s="1">
        <v>143</v>
      </c>
      <c r="E415" t="str">
        <f>LOOKUP(D415,Sheet2!$G$4:$H$9)</f>
        <v>126-150</v>
      </c>
      <c r="F415" s="1">
        <v>74</v>
      </c>
      <c r="G415" t="str">
        <f>LOOKUP(F415,Sheet2!$J$4:$K$8)</f>
        <v>70-79</v>
      </c>
      <c r="H415" s="1">
        <v>22</v>
      </c>
      <c r="I415" t="str">
        <f>LOOKUP(H415,Sheet2!$M$4:$N$8)</f>
        <v>10-30</v>
      </c>
      <c r="J415" s="1">
        <v>61</v>
      </c>
      <c r="K415" t="str">
        <f>LOOKUP(J415,Sheet2!$P$4:$Q$9)</f>
        <v>1-99</v>
      </c>
      <c r="L415" s="1">
        <v>26.2</v>
      </c>
      <c r="M415" t="str">
        <f>LOOKUP(L415,Sheet2!$S$4:$T$8)</f>
        <v>26-30</v>
      </c>
      <c r="N415" s="1">
        <v>0.25600000000000001</v>
      </c>
      <c r="O415" t="str">
        <f>LOOKUP(N415,Sheet2!$V$4:$W$7)</f>
        <v>0.25 - 0.39</v>
      </c>
      <c r="P415" s="1">
        <v>21</v>
      </c>
      <c r="Q415" t="str">
        <f>LOOKUP(P415,Sheet2!$Z$4:$AA$7)</f>
        <v>&lt;=25</v>
      </c>
      <c r="R415" s="1">
        <v>0</v>
      </c>
      <c r="S415" t="str">
        <f>IF(R415=1,"Positive","Negative")</f>
        <v>Negative</v>
      </c>
      <c r="T415" s="1" t="str">
        <f>IFERROR(VLOOKUP(A415,[1]diabetes_Recognition!$A:$B,2,FALSE),"Not Sampled")</f>
        <v>Not Sampled</v>
      </c>
      <c r="U415" t="str">
        <f>IF(T415=1,"Positive",(IF(T415=0,"Negative","Not Sampled")))</f>
        <v>Not Sampled</v>
      </c>
      <c r="V415" s="1" t="str">
        <f>IF(U415="Not Sampled","Not Sampled",IF(S415=U415,"Accurate Prediction","Inaccurate Prediction"))</f>
        <v>Not Sampled</v>
      </c>
    </row>
    <row r="416" spans="1:22" x14ac:dyDescent="0.25">
      <c r="A416" s="1">
        <v>414</v>
      </c>
      <c r="B416" s="1">
        <v>0</v>
      </c>
      <c r="C416" s="1">
        <f>LOOKUP(B416,Sheet2!$D$4:$E$9)</f>
        <v>0</v>
      </c>
      <c r="D416" s="1">
        <v>138</v>
      </c>
      <c r="E416" t="str">
        <f>LOOKUP(D416,Sheet2!$G$4:$H$9)</f>
        <v>126-150</v>
      </c>
      <c r="F416" s="1">
        <v>60</v>
      </c>
      <c r="G416" t="str">
        <f>LOOKUP(F416,Sheet2!$J$4:$K$8)</f>
        <v>60-69</v>
      </c>
      <c r="H416" s="1">
        <v>35</v>
      </c>
      <c r="I416" t="str">
        <f>LOOKUP(H416,Sheet2!$M$4:$N$8)</f>
        <v>30-39</v>
      </c>
      <c r="J416" s="1">
        <v>167</v>
      </c>
      <c r="K416" t="str">
        <f>LOOKUP(J416,Sheet2!$P$4:$Q$9)</f>
        <v>100-199</v>
      </c>
      <c r="L416" s="1">
        <v>34.6</v>
      </c>
      <c r="M416" t="str">
        <f>LOOKUP(L416,Sheet2!$S$4:$T$8)</f>
        <v>31-35</v>
      </c>
      <c r="N416" s="1">
        <v>0.53400000000000003</v>
      </c>
      <c r="O416" t="str">
        <f>LOOKUP(N416,Sheet2!$V$4:$W$7)</f>
        <v>0.4 - 0.69</v>
      </c>
      <c r="P416" s="1">
        <v>21</v>
      </c>
      <c r="Q416" t="str">
        <f>LOOKUP(P416,Sheet2!$Z$4:$AA$7)</f>
        <v>&lt;=25</v>
      </c>
      <c r="R416" s="1">
        <v>1</v>
      </c>
      <c r="S416" t="str">
        <f>IF(R416=1,"Positive","Negative")</f>
        <v>Positive</v>
      </c>
      <c r="T416" s="1">
        <f>IFERROR(VLOOKUP(A416,[1]diabetes_Recognition!$A:$B,2,FALSE),"Not Sampled")</f>
        <v>0</v>
      </c>
      <c r="U416" t="str">
        <f>IF(T416=1,"Positive",(IF(T416=0,"Negative","Not Sampled")))</f>
        <v>Negative</v>
      </c>
      <c r="V416" s="1" t="str">
        <f>IF(U416="Not Sampled","Not Sampled",IF(S416=U416,"Accurate Prediction","Inaccurate Prediction"))</f>
        <v>Inaccurate Prediction</v>
      </c>
    </row>
    <row r="417" spans="1:22" x14ac:dyDescent="0.25">
      <c r="A417" s="1">
        <v>415</v>
      </c>
      <c r="B417" s="1">
        <v>3</v>
      </c>
      <c r="C417" s="1" t="str">
        <f>LOOKUP(B417,Sheet2!$D$4:$E$9)</f>
        <v>3-4</v>
      </c>
      <c r="D417" s="1">
        <v>173</v>
      </c>
      <c r="E417" t="str">
        <f>LOOKUP(D417,Sheet2!$G$4:$H$9)</f>
        <v>151-175</v>
      </c>
      <c r="F417" s="1">
        <v>84</v>
      </c>
      <c r="G417" t="str">
        <f>LOOKUP(F417,Sheet2!$J$4:$K$8)</f>
        <v>80+</v>
      </c>
      <c r="H417" s="1">
        <v>33</v>
      </c>
      <c r="I417" t="str">
        <f>LOOKUP(H417,Sheet2!$M$4:$N$8)</f>
        <v>30-39</v>
      </c>
      <c r="J417" s="1">
        <v>474</v>
      </c>
      <c r="K417" t="str">
        <f>LOOKUP(J417,Sheet2!$P$4:$Q$9)</f>
        <v>300-499</v>
      </c>
      <c r="L417" s="1">
        <v>35.700000000000003</v>
      </c>
      <c r="M417" t="str">
        <f>LOOKUP(L417,Sheet2!$S$4:$T$8)</f>
        <v>31-35</v>
      </c>
      <c r="N417" s="1">
        <v>0.25800000000000001</v>
      </c>
      <c r="O417" t="str">
        <f>LOOKUP(N417,Sheet2!$V$4:$W$7)</f>
        <v>0.25 - 0.39</v>
      </c>
      <c r="P417" s="1">
        <v>22</v>
      </c>
      <c r="Q417" t="str">
        <f>LOOKUP(P417,Sheet2!$Z$4:$AA$7)</f>
        <v>&lt;=25</v>
      </c>
      <c r="R417" s="1">
        <v>1</v>
      </c>
      <c r="S417" t="str">
        <f>IF(R417=1,"Positive","Negative")</f>
        <v>Positive</v>
      </c>
      <c r="T417" s="1">
        <f>IFERROR(VLOOKUP(A417,[1]diabetes_Recognition!$A:$B,2,FALSE),"Not Sampled")</f>
        <v>1</v>
      </c>
      <c r="U417" t="str">
        <f>IF(T417=1,"Positive",(IF(T417=0,"Negative","Not Sampled")))</f>
        <v>Positive</v>
      </c>
      <c r="V417" s="1" t="str">
        <f>IF(U417="Not Sampled","Not Sampled",IF(S417=U417,"Accurate Prediction","Inaccurate Prediction"))</f>
        <v>Accurate Prediction</v>
      </c>
    </row>
    <row r="418" spans="1:22" x14ac:dyDescent="0.25">
      <c r="A418" s="1">
        <v>416</v>
      </c>
      <c r="B418" s="1">
        <v>1</v>
      </c>
      <c r="C418" s="1">
        <f>LOOKUP(B418,Sheet2!$D$4:$E$9)</f>
        <v>1</v>
      </c>
      <c r="D418" s="1">
        <v>97</v>
      </c>
      <c r="E418" t="str">
        <f>LOOKUP(D418,Sheet2!$G$4:$H$9)</f>
        <v>1-99</v>
      </c>
      <c r="F418" s="1">
        <v>68</v>
      </c>
      <c r="G418" t="str">
        <f>LOOKUP(F418,Sheet2!$J$4:$K$8)</f>
        <v>60-69</v>
      </c>
      <c r="H418" s="1">
        <v>21</v>
      </c>
      <c r="I418" t="str">
        <f>LOOKUP(H418,Sheet2!$M$4:$N$8)</f>
        <v>10-30</v>
      </c>
      <c r="J418" s="1">
        <v>0</v>
      </c>
      <c r="K418" t="str">
        <f>LOOKUP(J418,Sheet2!$P$4:$Q$9)</f>
        <v>Unknown</v>
      </c>
      <c r="L418" s="1">
        <v>27.2</v>
      </c>
      <c r="M418" t="str">
        <f>LOOKUP(L418,Sheet2!$S$4:$T$8)</f>
        <v>26-30</v>
      </c>
      <c r="N418" s="1">
        <v>1.095</v>
      </c>
      <c r="O418" t="str">
        <f>LOOKUP(N418,Sheet2!$V$4:$W$7)</f>
        <v>0.7+</v>
      </c>
      <c r="P418" s="1">
        <v>22</v>
      </c>
      <c r="Q418" t="str">
        <f>LOOKUP(P418,Sheet2!$Z$4:$AA$7)</f>
        <v>&lt;=25</v>
      </c>
      <c r="R418" s="1">
        <v>0</v>
      </c>
      <c r="S418" t="str">
        <f>IF(R418=1,"Positive","Negative")</f>
        <v>Negative</v>
      </c>
      <c r="T418" s="1" t="str">
        <f>IFERROR(VLOOKUP(A418,[1]diabetes_Recognition!$A:$B,2,FALSE),"Not Sampled")</f>
        <v>Not Sampled</v>
      </c>
      <c r="U418" t="str">
        <f>IF(T418=1,"Positive",(IF(T418=0,"Negative","Not Sampled")))</f>
        <v>Not Sampled</v>
      </c>
      <c r="V418" s="1" t="str">
        <f>IF(U418="Not Sampled","Not Sampled",IF(S418=U418,"Accurate Prediction","Inaccurate Prediction"))</f>
        <v>Not Sampled</v>
      </c>
    </row>
    <row r="419" spans="1:22" x14ac:dyDescent="0.25">
      <c r="A419" s="1">
        <v>417</v>
      </c>
      <c r="B419" s="1">
        <v>4</v>
      </c>
      <c r="C419" s="1" t="str">
        <f>LOOKUP(B419,Sheet2!$D$4:$E$9)</f>
        <v>3-4</v>
      </c>
      <c r="D419" s="1">
        <v>144</v>
      </c>
      <c r="E419" t="str">
        <f>LOOKUP(D419,Sheet2!$G$4:$H$9)</f>
        <v>126-150</v>
      </c>
      <c r="F419" s="1">
        <v>82</v>
      </c>
      <c r="G419" t="str">
        <f>LOOKUP(F419,Sheet2!$J$4:$K$8)</f>
        <v>80+</v>
      </c>
      <c r="H419" s="1">
        <v>32</v>
      </c>
      <c r="I419" t="str">
        <f>LOOKUP(H419,Sheet2!$M$4:$N$8)</f>
        <v>30-39</v>
      </c>
      <c r="J419" s="1">
        <v>0</v>
      </c>
      <c r="K419" t="str">
        <f>LOOKUP(J419,Sheet2!$P$4:$Q$9)</f>
        <v>Unknown</v>
      </c>
      <c r="L419" s="1">
        <v>38.5</v>
      </c>
      <c r="M419" t="str">
        <f>LOOKUP(L419,Sheet2!$S$4:$T$8)</f>
        <v>36+</v>
      </c>
      <c r="N419" s="1">
        <v>0.55400000000000005</v>
      </c>
      <c r="O419" t="str">
        <f>LOOKUP(N419,Sheet2!$V$4:$W$7)</f>
        <v>0.4 - 0.69</v>
      </c>
      <c r="P419" s="1">
        <v>37</v>
      </c>
      <c r="Q419" t="str">
        <f>LOOKUP(P419,Sheet2!$Z$4:$AA$7)</f>
        <v>36-45</v>
      </c>
      <c r="R419" s="1">
        <v>1</v>
      </c>
      <c r="S419" t="str">
        <f>IF(R419=1,"Positive","Negative")</f>
        <v>Positive</v>
      </c>
      <c r="T419" s="1" t="str">
        <f>IFERROR(VLOOKUP(A419,[1]diabetes_Recognition!$A:$B,2,FALSE),"Not Sampled")</f>
        <v>Not Sampled</v>
      </c>
      <c r="U419" t="str">
        <f>IF(T419=1,"Positive",(IF(T419=0,"Negative","Not Sampled")))</f>
        <v>Not Sampled</v>
      </c>
      <c r="V419" s="1" t="str">
        <f>IF(U419="Not Sampled","Not Sampled",IF(S419=U419,"Accurate Prediction","Inaccurate Prediction"))</f>
        <v>Not Sampled</v>
      </c>
    </row>
    <row r="420" spans="1:22" x14ac:dyDescent="0.25">
      <c r="A420" s="1">
        <v>418</v>
      </c>
      <c r="B420" s="1">
        <v>1</v>
      </c>
      <c r="C420" s="1">
        <f>LOOKUP(B420,Sheet2!$D$4:$E$9)</f>
        <v>1</v>
      </c>
      <c r="D420" s="1">
        <v>83</v>
      </c>
      <c r="E420" t="str">
        <f>LOOKUP(D420,Sheet2!$G$4:$H$9)</f>
        <v>1-99</v>
      </c>
      <c r="F420" s="1">
        <v>68</v>
      </c>
      <c r="G420" t="str">
        <f>LOOKUP(F420,Sheet2!$J$4:$K$8)</f>
        <v>60-69</v>
      </c>
      <c r="H420" s="1">
        <v>0</v>
      </c>
      <c r="I420" t="str">
        <f>LOOKUP(H420,Sheet2!$M$4:$N$8)</f>
        <v>Unknown</v>
      </c>
      <c r="J420" s="1">
        <v>0</v>
      </c>
      <c r="K420" t="str">
        <f>LOOKUP(J420,Sheet2!$P$4:$Q$9)</f>
        <v>Unknown</v>
      </c>
      <c r="L420" s="1">
        <v>18.2</v>
      </c>
      <c r="M420" t="str">
        <f>LOOKUP(L420,Sheet2!$S$4:$T$8)</f>
        <v>1-25</v>
      </c>
      <c r="N420" s="1">
        <v>0.624</v>
      </c>
      <c r="O420" t="str">
        <f>LOOKUP(N420,Sheet2!$V$4:$W$7)</f>
        <v>0.4 - 0.69</v>
      </c>
      <c r="P420" s="1">
        <v>27</v>
      </c>
      <c r="Q420" t="str">
        <f>LOOKUP(P420,Sheet2!$Z$4:$AA$7)</f>
        <v>26-35</v>
      </c>
      <c r="R420" s="1">
        <v>0</v>
      </c>
      <c r="S420" t="str">
        <f>IF(R420=1,"Positive","Negative")</f>
        <v>Negative</v>
      </c>
      <c r="T420" s="1">
        <f>IFERROR(VLOOKUP(A420,[1]diabetes_Recognition!$A:$B,2,FALSE),"Not Sampled")</f>
        <v>0</v>
      </c>
      <c r="U420" t="str">
        <f>IF(T420=1,"Positive",(IF(T420=0,"Negative","Not Sampled")))</f>
        <v>Negative</v>
      </c>
      <c r="V420" s="1" t="str">
        <f>IF(U420="Not Sampled","Not Sampled",IF(S420=U420,"Accurate Prediction","Inaccurate Prediction"))</f>
        <v>Accurate Prediction</v>
      </c>
    </row>
    <row r="421" spans="1:22" x14ac:dyDescent="0.25">
      <c r="A421" s="1">
        <v>419</v>
      </c>
      <c r="B421" s="1">
        <v>3</v>
      </c>
      <c r="C421" s="1" t="str">
        <f>LOOKUP(B421,Sheet2!$D$4:$E$9)</f>
        <v>3-4</v>
      </c>
      <c r="D421" s="1">
        <v>129</v>
      </c>
      <c r="E421" t="str">
        <f>LOOKUP(D421,Sheet2!$G$4:$H$9)</f>
        <v>126-150</v>
      </c>
      <c r="F421" s="1">
        <v>64</v>
      </c>
      <c r="G421" t="str">
        <f>LOOKUP(F421,Sheet2!$J$4:$K$8)</f>
        <v>60-69</v>
      </c>
      <c r="H421" s="1">
        <v>29</v>
      </c>
      <c r="I421" t="str">
        <f>LOOKUP(H421,Sheet2!$M$4:$N$8)</f>
        <v>10-30</v>
      </c>
      <c r="J421" s="1">
        <v>115</v>
      </c>
      <c r="K421" t="str">
        <f>LOOKUP(J421,Sheet2!$P$4:$Q$9)</f>
        <v>100-199</v>
      </c>
      <c r="L421" s="1">
        <v>26.4</v>
      </c>
      <c r="M421" t="str">
        <f>LOOKUP(L421,Sheet2!$S$4:$T$8)</f>
        <v>26-30</v>
      </c>
      <c r="N421" s="1">
        <v>0.219</v>
      </c>
      <c r="O421" t="str">
        <f>LOOKUP(N421,Sheet2!$V$4:$W$7)</f>
        <v>0.0 - 0.249</v>
      </c>
      <c r="P421" s="1">
        <v>28</v>
      </c>
      <c r="Q421" t="str">
        <f>LOOKUP(P421,Sheet2!$Z$4:$AA$7)</f>
        <v>26-35</v>
      </c>
      <c r="R421" s="1">
        <v>1</v>
      </c>
      <c r="S421" t="str">
        <f>IF(R421=1,"Positive","Negative")</f>
        <v>Positive</v>
      </c>
      <c r="T421" s="1" t="str">
        <f>IFERROR(VLOOKUP(A421,[1]diabetes_Recognition!$A:$B,2,FALSE),"Not Sampled")</f>
        <v>Not Sampled</v>
      </c>
      <c r="U421" t="str">
        <f>IF(T421=1,"Positive",(IF(T421=0,"Negative","Not Sampled")))</f>
        <v>Not Sampled</v>
      </c>
      <c r="V421" s="1" t="str">
        <f>IF(U421="Not Sampled","Not Sampled",IF(S421=U421,"Accurate Prediction","Inaccurate Prediction"))</f>
        <v>Not Sampled</v>
      </c>
    </row>
    <row r="422" spans="1:22" x14ac:dyDescent="0.25">
      <c r="A422" s="1">
        <v>420</v>
      </c>
      <c r="B422" s="1">
        <v>1</v>
      </c>
      <c r="C422" s="1">
        <f>LOOKUP(B422,Sheet2!$D$4:$E$9)</f>
        <v>1</v>
      </c>
      <c r="D422" s="1">
        <v>119</v>
      </c>
      <c r="E422" t="str">
        <f>LOOKUP(D422,Sheet2!$G$4:$H$9)</f>
        <v>100-125</v>
      </c>
      <c r="F422" s="1">
        <v>88</v>
      </c>
      <c r="G422" t="str">
        <f>LOOKUP(F422,Sheet2!$J$4:$K$8)</f>
        <v>80+</v>
      </c>
      <c r="H422" s="1">
        <v>41</v>
      </c>
      <c r="I422" t="str">
        <f>LOOKUP(H422,Sheet2!$M$4:$N$8)</f>
        <v>40+</v>
      </c>
      <c r="J422" s="1">
        <v>170</v>
      </c>
      <c r="K422" t="str">
        <f>LOOKUP(J422,Sheet2!$P$4:$Q$9)</f>
        <v>100-199</v>
      </c>
      <c r="L422" s="1">
        <v>45.3</v>
      </c>
      <c r="M422" t="str">
        <f>LOOKUP(L422,Sheet2!$S$4:$T$8)</f>
        <v>36+</v>
      </c>
      <c r="N422" s="1">
        <v>0.50700000000000001</v>
      </c>
      <c r="O422" t="str">
        <f>LOOKUP(N422,Sheet2!$V$4:$W$7)</f>
        <v>0.4 - 0.69</v>
      </c>
      <c r="P422" s="1">
        <v>26</v>
      </c>
      <c r="Q422" t="str">
        <f>LOOKUP(P422,Sheet2!$Z$4:$AA$7)</f>
        <v>26-35</v>
      </c>
      <c r="R422" s="1">
        <v>0</v>
      </c>
      <c r="S422" t="str">
        <f>IF(R422=1,"Positive","Negative")</f>
        <v>Negative</v>
      </c>
      <c r="T422" s="1" t="str">
        <f>IFERROR(VLOOKUP(A422,[1]diabetes_Recognition!$A:$B,2,FALSE),"Not Sampled")</f>
        <v>Not Sampled</v>
      </c>
      <c r="U422" t="str">
        <f>IF(T422=1,"Positive",(IF(T422=0,"Negative","Not Sampled")))</f>
        <v>Not Sampled</v>
      </c>
      <c r="V422" s="1" t="str">
        <f>IF(U422="Not Sampled","Not Sampled",IF(S422=U422,"Accurate Prediction","Inaccurate Prediction"))</f>
        <v>Not Sampled</v>
      </c>
    </row>
    <row r="423" spans="1:22" x14ac:dyDescent="0.25">
      <c r="A423" s="1">
        <v>421</v>
      </c>
      <c r="B423" s="1">
        <v>2</v>
      </c>
      <c r="C423" s="1">
        <f>LOOKUP(B423,Sheet2!$D$4:$E$9)</f>
        <v>2</v>
      </c>
      <c r="D423" s="1">
        <v>94</v>
      </c>
      <c r="E423" t="str">
        <f>LOOKUP(D423,Sheet2!$G$4:$H$9)</f>
        <v>1-99</v>
      </c>
      <c r="F423" s="1">
        <v>68</v>
      </c>
      <c r="G423" t="str">
        <f>LOOKUP(F423,Sheet2!$J$4:$K$8)</f>
        <v>60-69</v>
      </c>
      <c r="H423" s="1">
        <v>18</v>
      </c>
      <c r="I423" t="str">
        <f>LOOKUP(H423,Sheet2!$M$4:$N$8)</f>
        <v>10-30</v>
      </c>
      <c r="J423" s="1">
        <v>76</v>
      </c>
      <c r="K423" t="str">
        <f>LOOKUP(J423,Sheet2!$P$4:$Q$9)</f>
        <v>1-99</v>
      </c>
      <c r="L423" s="1">
        <v>26</v>
      </c>
      <c r="M423" t="str">
        <f>LOOKUP(L423,Sheet2!$S$4:$T$8)</f>
        <v>26-30</v>
      </c>
      <c r="N423" s="1">
        <v>0.56100000000000005</v>
      </c>
      <c r="O423" t="str">
        <f>LOOKUP(N423,Sheet2!$V$4:$W$7)</f>
        <v>0.4 - 0.69</v>
      </c>
      <c r="P423" s="1">
        <v>21</v>
      </c>
      <c r="Q423" t="str">
        <f>LOOKUP(P423,Sheet2!$Z$4:$AA$7)</f>
        <v>&lt;=25</v>
      </c>
      <c r="R423" s="1">
        <v>0</v>
      </c>
      <c r="S423" t="str">
        <f>IF(R423=1,"Positive","Negative")</f>
        <v>Negative</v>
      </c>
      <c r="T423" s="1">
        <f>IFERROR(VLOOKUP(A423,[1]diabetes_Recognition!$A:$B,2,FALSE),"Not Sampled")</f>
        <v>0</v>
      </c>
      <c r="U423" t="str">
        <f>IF(T423=1,"Positive",(IF(T423=0,"Negative","Not Sampled")))</f>
        <v>Negative</v>
      </c>
      <c r="V423" s="1" t="str">
        <f>IF(U423="Not Sampled","Not Sampled",IF(S423=U423,"Accurate Prediction","Inaccurate Prediction"))</f>
        <v>Accurate Prediction</v>
      </c>
    </row>
    <row r="424" spans="1:22" x14ac:dyDescent="0.25">
      <c r="A424" s="1">
        <v>422</v>
      </c>
      <c r="B424" s="1">
        <v>0</v>
      </c>
      <c r="C424" s="1">
        <f>LOOKUP(B424,Sheet2!$D$4:$E$9)</f>
        <v>0</v>
      </c>
      <c r="D424" s="1">
        <v>102</v>
      </c>
      <c r="E424" t="str">
        <f>LOOKUP(D424,Sheet2!$G$4:$H$9)</f>
        <v>100-125</v>
      </c>
      <c r="F424" s="1">
        <v>64</v>
      </c>
      <c r="G424" t="str">
        <f>LOOKUP(F424,Sheet2!$J$4:$K$8)</f>
        <v>60-69</v>
      </c>
      <c r="H424" s="1">
        <v>46</v>
      </c>
      <c r="I424" t="str">
        <f>LOOKUP(H424,Sheet2!$M$4:$N$8)</f>
        <v>40+</v>
      </c>
      <c r="J424" s="1">
        <v>78</v>
      </c>
      <c r="K424" t="str">
        <f>LOOKUP(J424,Sheet2!$P$4:$Q$9)</f>
        <v>1-99</v>
      </c>
      <c r="L424" s="1">
        <v>40.6</v>
      </c>
      <c r="M424" t="str">
        <f>LOOKUP(L424,Sheet2!$S$4:$T$8)</f>
        <v>36+</v>
      </c>
      <c r="N424" s="1">
        <v>0.496</v>
      </c>
      <c r="O424" t="str">
        <f>LOOKUP(N424,Sheet2!$V$4:$W$7)</f>
        <v>0.4 - 0.69</v>
      </c>
      <c r="P424" s="1">
        <v>21</v>
      </c>
      <c r="Q424" t="str">
        <f>LOOKUP(P424,Sheet2!$Z$4:$AA$7)</f>
        <v>&lt;=25</v>
      </c>
      <c r="R424" s="1">
        <v>0</v>
      </c>
      <c r="S424" t="str">
        <f>IF(R424=1,"Positive","Negative")</f>
        <v>Negative</v>
      </c>
      <c r="T424" s="1" t="str">
        <f>IFERROR(VLOOKUP(A424,[1]diabetes_Recognition!$A:$B,2,FALSE),"Not Sampled")</f>
        <v>Not Sampled</v>
      </c>
      <c r="U424" t="str">
        <f>IF(T424=1,"Positive",(IF(T424=0,"Negative","Not Sampled")))</f>
        <v>Not Sampled</v>
      </c>
      <c r="V424" s="1" t="str">
        <f>IF(U424="Not Sampled","Not Sampled",IF(S424=U424,"Accurate Prediction","Inaccurate Prediction"))</f>
        <v>Not Sampled</v>
      </c>
    </row>
    <row r="425" spans="1:22" x14ac:dyDescent="0.25">
      <c r="A425" s="1">
        <v>423</v>
      </c>
      <c r="B425" s="1">
        <v>2</v>
      </c>
      <c r="C425" s="1">
        <f>LOOKUP(B425,Sheet2!$D$4:$E$9)</f>
        <v>2</v>
      </c>
      <c r="D425" s="1">
        <v>115</v>
      </c>
      <c r="E425" t="str">
        <f>LOOKUP(D425,Sheet2!$G$4:$H$9)</f>
        <v>100-125</v>
      </c>
      <c r="F425" s="1">
        <v>64</v>
      </c>
      <c r="G425" t="str">
        <f>LOOKUP(F425,Sheet2!$J$4:$K$8)</f>
        <v>60-69</v>
      </c>
      <c r="H425" s="1">
        <v>22</v>
      </c>
      <c r="I425" t="str">
        <f>LOOKUP(H425,Sheet2!$M$4:$N$8)</f>
        <v>10-30</v>
      </c>
      <c r="J425" s="1">
        <v>0</v>
      </c>
      <c r="K425" t="str">
        <f>LOOKUP(J425,Sheet2!$P$4:$Q$9)</f>
        <v>Unknown</v>
      </c>
      <c r="L425" s="1">
        <v>30.8</v>
      </c>
      <c r="M425" t="str">
        <f>LOOKUP(L425,Sheet2!$S$4:$T$8)</f>
        <v>26-30</v>
      </c>
      <c r="N425" s="1">
        <v>0.42099999999999999</v>
      </c>
      <c r="O425" t="str">
        <f>LOOKUP(N425,Sheet2!$V$4:$W$7)</f>
        <v>0.4 - 0.69</v>
      </c>
      <c r="P425" s="1">
        <v>21</v>
      </c>
      <c r="Q425" t="str">
        <f>LOOKUP(P425,Sheet2!$Z$4:$AA$7)</f>
        <v>&lt;=25</v>
      </c>
      <c r="R425" s="1">
        <v>0</v>
      </c>
      <c r="S425" t="str">
        <f>IF(R425=1,"Positive","Negative")</f>
        <v>Negative</v>
      </c>
      <c r="T425" s="1" t="str">
        <f>IFERROR(VLOOKUP(A425,[1]diabetes_Recognition!$A:$B,2,FALSE),"Not Sampled")</f>
        <v>Not Sampled</v>
      </c>
      <c r="U425" t="str">
        <f>IF(T425=1,"Positive",(IF(T425=0,"Negative","Not Sampled")))</f>
        <v>Not Sampled</v>
      </c>
      <c r="V425" s="1" t="str">
        <f>IF(U425="Not Sampled","Not Sampled",IF(S425=U425,"Accurate Prediction","Inaccurate Prediction"))</f>
        <v>Not Sampled</v>
      </c>
    </row>
    <row r="426" spans="1:22" x14ac:dyDescent="0.25">
      <c r="A426" s="1">
        <v>424</v>
      </c>
      <c r="B426" s="1">
        <v>8</v>
      </c>
      <c r="C426" s="1" t="str">
        <f>LOOKUP(B426,Sheet2!$D$4:$E$9)</f>
        <v>8+</v>
      </c>
      <c r="D426" s="1">
        <v>151</v>
      </c>
      <c r="E426" t="str">
        <f>LOOKUP(D426,Sheet2!$G$4:$H$9)</f>
        <v>151-175</v>
      </c>
      <c r="F426" s="1">
        <v>78</v>
      </c>
      <c r="G426" t="str">
        <f>LOOKUP(F426,Sheet2!$J$4:$K$8)</f>
        <v>70-79</v>
      </c>
      <c r="H426" s="1">
        <v>32</v>
      </c>
      <c r="I426" t="str">
        <f>LOOKUP(H426,Sheet2!$M$4:$N$8)</f>
        <v>30-39</v>
      </c>
      <c r="J426" s="1">
        <v>210</v>
      </c>
      <c r="K426" t="str">
        <f>LOOKUP(J426,Sheet2!$P$4:$Q$9)</f>
        <v>200-399</v>
      </c>
      <c r="L426" s="1">
        <v>42.9</v>
      </c>
      <c r="M426" t="str">
        <f>LOOKUP(L426,Sheet2!$S$4:$T$8)</f>
        <v>36+</v>
      </c>
      <c r="N426" s="1">
        <v>0.51600000000000001</v>
      </c>
      <c r="O426" t="str">
        <f>LOOKUP(N426,Sheet2!$V$4:$W$7)</f>
        <v>0.4 - 0.69</v>
      </c>
      <c r="P426" s="1">
        <v>36</v>
      </c>
      <c r="Q426" t="str">
        <f>LOOKUP(P426,Sheet2!$Z$4:$AA$7)</f>
        <v>36-45</v>
      </c>
      <c r="R426" s="1">
        <v>1</v>
      </c>
      <c r="S426" t="str">
        <f>IF(R426=1,"Positive","Negative")</f>
        <v>Positive</v>
      </c>
      <c r="T426" s="1">
        <f>IFERROR(VLOOKUP(A426,[1]diabetes_Recognition!$A:$B,2,FALSE),"Not Sampled")</f>
        <v>1</v>
      </c>
      <c r="U426" t="str">
        <f>IF(T426=1,"Positive",(IF(T426=0,"Negative","Not Sampled")))</f>
        <v>Positive</v>
      </c>
      <c r="V426" s="1" t="str">
        <f>IF(U426="Not Sampled","Not Sampled",IF(S426=U426,"Accurate Prediction","Inaccurate Prediction"))</f>
        <v>Accurate Prediction</v>
      </c>
    </row>
    <row r="427" spans="1:22" x14ac:dyDescent="0.25">
      <c r="A427" s="1">
        <v>425</v>
      </c>
      <c r="B427" s="1">
        <v>4</v>
      </c>
      <c r="C427" s="1" t="str">
        <f>LOOKUP(B427,Sheet2!$D$4:$E$9)</f>
        <v>3-4</v>
      </c>
      <c r="D427" s="1">
        <v>184</v>
      </c>
      <c r="E427" t="str">
        <f>LOOKUP(D427,Sheet2!$G$4:$H$9)</f>
        <v>176-200</v>
      </c>
      <c r="F427" s="1">
        <v>78</v>
      </c>
      <c r="G427" t="str">
        <f>LOOKUP(F427,Sheet2!$J$4:$K$8)</f>
        <v>70-79</v>
      </c>
      <c r="H427" s="1">
        <v>39</v>
      </c>
      <c r="I427" t="str">
        <f>LOOKUP(H427,Sheet2!$M$4:$N$8)</f>
        <v>30-39</v>
      </c>
      <c r="J427" s="1">
        <v>277</v>
      </c>
      <c r="K427" t="str">
        <f>LOOKUP(J427,Sheet2!$P$4:$Q$9)</f>
        <v>200-399</v>
      </c>
      <c r="L427" s="1">
        <v>37</v>
      </c>
      <c r="M427" t="str">
        <f>LOOKUP(L427,Sheet2!$S$4:$T$8)</f>
        <v>36+</v>
      </c>
      <c r="N427" s="1">
        <v>0.26400000000000001</v>
      </c>
      <c r="O427" t="str">
        <f>LOOKUP(N427,Sheet2!$V$4:$W$7)</f>
        <v>0.25 - 0.39</v>
      </c>
      <c r="P427" s="1">
        <v>31</v>
      </c>
      <c r="Q427" t="str">
        <f>LOOKUP(P427,Sheet2!$Z$4:$AA$7)</f>
        <v>26-35</v>
      </c>
      <c r="R427" s="1">
        <v>1</v>
      </c>
      <c r="S427" t="str">
        <f>IF(R427=1,"Positive","Negative")</f>
        <v>Positive</v>
      </c>
      <c r="T427" s="1" t="str">
        <f>IFERROR(VLOOKUP(A427,[1]diabetes_Recognition!$A:$B,2,FALSE),"Not Sampled")</f>
        <v>Not Sampled</v>
      </c>
      <c r="U427" t="str">
        <f>IF(T427=1,"Positive",(IF(T427=0,"Negative","Not Sampled")))</f>
        <v>Not Sampled</v>
      </c>
      <c r="V427" s="1" t="str">
        <f>IF(U427="Not Sampled","Not Sampled",IF(S427=U427,"Accurate Prediction","Inaccurate Prediction"))</f>
        <v>Not Sampled</v>
      </c>
    </row>
    <row r="428" spans="1:22" x14ac:dyDescent="0.25">
      <c r="A428" s="1">
        <v>426</v>
      </c>
      <c r="B428" s="1">
        <v>0</v>
      </c>
      <c r="C428" s="1">
        <f>LOOKUP(B428,Sheet2!$D$4:$E$9)</f>
        <v>0</v>
      </c>
      <c r="D428" s="1">
        <v>94</v>
      </c>
      <c r="E428" t="str">
        <f>LOOKUP(D428,Sheet2!$G$4:$H$9)</f>
        <v>1-99</v>
      </c>
      <c r="F428" s="1">
        <v>0</v>
      </c>
      <c r="G428" t="str">
        <f>LOOKUP(F428,Sheet2!$J$4:$K$8)</f>
        <v>Unknown</v>
      </c>
      <c r="H428" s="1">
        <v>0</v>
      </c>
      <c r="I428" t="str">
        <f>LOOKUP(H428,Sheet2!$M$4:$N$8)</f>
        <v>Unknown</v>
      </c>
      <c r="J428" s="1">
        <v>0</v>
      </c>
      <c r="K428" t="str">
        <f>LOOKUP(J428,Sheet2!$P$4:$Q$9)</f>
        <v>Unknown</v>
      </c>
      <c r="L428" s="1">
        <v>0</v>
      </c>
      <c r="M428" t="str">
        <f>LOOKUP(L428,Sheet2!$S$4:$T$8)</f>
        <v>Unknown</v>
      </c>
      <c r="N428" s="1">
        <v>0.25600000000000001</v>
      </c>
      <c r="O428" t="str">
        <f>LOOKUP(N428,Sheet2!$V$4:$W$7)</f>
        <v>0.25 - 0.39</v>
      </c>
      <c r="P428" s="1">
        <v>25</v>
      </c>
      <c r="Q428" t="str">
        <f>LOOKUP(P428,Sheet2!$Z$4:$AA$7)</f>
        <v>&lt;=25</v>
      </c>
      <c r="R428" s="1">
        <v>0</v>
      </c>
      <c r="S428" t="str">
        <f>IF(R428=1,"Positive","Negative")</f>
        <v>Negative</v>
      </c>
      <c r="T428" s="1" t="str">
        <f>IFERROR(VLOOKUP(A428,[1]diabetes_Recognition!$A:$B,2,FALSE),"Not Sampled")</f>
        <v>Not Sampled</v>
      </c>
      <c r="U428" t="str">
        <f>IF(T428=1,"Positive",(IF(T428=0,"Negative","Not Sampled")))</f>
        <v>Not Sampled</v>
      </c>
      <c r="V428" s="1" t="str">
        <f>IF(U428="Not Sampled","Not Sampled",IF(S428=U428,"Accurate Prediction","Inaccurate Prediction"))</f>
        <v>Not Sampled</v>
      </c>
    </row>
    <row r="429" spans="1:22" x14ac:dyDescent="0.25">
      <c r="A429" s="1">
        <v>427</v>
      </c>
      <c r="B429" s="1">
        <v>1</v>
      </c>
      <c r="C429" s="1">
        <f>LOOKUP(B429,Sheet2!$D$4:$E$9)</f>
        <v>1</v>
      </c>
      <c r="D429" s="1">
        <v>181</v>
      </c>
      <c r="E429" t="str">
        <f>LOOKUP(D429,Sheet2!$G$4:$H$9)</f>
        <v>176-200</v>
      </c>
      <c r="F429" s="1">
        <v>64</v>
      </c>
      <c r="G429" t="str">
        <f>LOOKUP(F429,Sheet2!$J$4:$K$8)</f>
        <v>60-69</v>
      </c>
      <c r="H429" s="1">
        <v>30</v>
      </c>
      <c r="I429" t="str">
        <f>LOOKUP(H429,Sheet2!$M$4:$N$8)</f>
        <v>30-39</v>
      </c>
      <c r="J429" s="1">
        <v>180</v>
      </c>
      <c r="K429" t="str">
        <f>LOOKUP(J429,Sheet2!$P$4:$Q$9)</f>
        <v>100-199</v>
      </c>
      <c r="L429" s="1">
        <v>34.1</v>
      </c>
      <c r="M429" t="str">
        <f>LOOKUP(L429,Sheet2!$S$4:$T$8)</f>
        <v>31-35</v>
      </c>
      <c r="N429" s="1">
        <v>0.32800000000000001</v>
      </c>
      <c r="O429" t="str">
        <f>LOOKUP(N429,Sheet2!$V$4:$W$7)</f>
        <v>0.25 - 0.39</v>
      </c>
      <c r="P429" s="1">
        <v>38</v>
      </c>
      <c r="Q429" t="str">
        <f>LOOKUP(P429,Sheet2!$Z$4:$AA$7)</f>
        <v>36-45</v>
      </c>
      <c r="R429" s="1">
        <v>1</v>
      </c>
      <c r="S429" t="str">
        <f>IF(R429=1,"Positive","Negative")</f>
        <v>Positive</v>
      </c>
      <c r="T429" s="1" t="str">
        <f>IFERROR(VLOOKUP(A429,[1]diabetes_Recognition!$A:$B,2,FALSE),"Not Sampled")</f>
        <v>Not Sampled</v>
      </c>
      <c r="U429" t="str">
        <f>IF(T429=1,"Positive",(IF(T429=0,"Negative","Not Sampled")))</f>
        <v>Not Sampled</v>
      </c>
      <c r="V429" s="1" t="str">
        <f>IF(U429="Not Sampled","Not Sampled",IF(S429=U429,"Accurate Prediction","Inaccurate Prediction"))</f>
        <v>Not Sampled</v>
      </c>
    </row>
    <row r="430" spans="1:22" x14ac:dyDescent="0.25">
      <c r="A430" s="1">
        <v>428</v>
      </c>
      <c r="B430" s="1">
        <v>0</v>
      </c>
      <c r="C430" s="1">
        <f>LOOKUP(B430,Sheet2!$D$4:$E$9)</f>
        <v>0</v>
      </c>
      <c r="D430" s="1">
        <v>135</v>
      </c>
      <c r="E430" t="str">
        <f>LOOKUP(D430,Sheet2!$G$4:$H$9)</f>
        <v>126-150</v>
      </c>
      <c r="F430" s="1">
        <v>94</v>
      </c>
      <c r="G430" t="str">
        <f>LOOKUP(F430,Sheet2!$J$4:$K$8)</f>
        <v>80+</v>
      </c>
      <c r="H430" s="1">
        <v>46</v>
      </c>
      <c r="I430" t="str">
        <f>LOOKUP(H430,Sheet2!$M$4:$N$8)</f>
        <v>40+</v>
      </c>
      <c r="J430" s="1">
        <v>145</v>
      </c>
      <c r="K430" t="str">
        <f>LOOKUP(J430,Sheet2!$P$4:$Q$9)</f>
        <v>100-199</v>
      </c>
      <c r="L430" s="1">
        <v>40.6</v>
      </c>
      <c r="M430" t="str">
        <f>LOOKUP(L430,Sheet2!$S$4:$T$8)</f>
        <v>36+</v>
      </c>
      <c r="N430" s="1">
        <v>0.28399999999999997</v>
      </c>
      <c r="O430" t="str">
        <f>LOOKUP(N430,Sheet2!$V$4:$W$7)</f>
        <v>0.25 - 0.39</v>
      </c>
      <c r="P430" s="1">
        <v>26</v>
      </c>
      <c r="Q430" t="str">
        <f>LOOKUP(P430,Sheet2!$Z$4:$AA$7)</f>
        <v>26-35</v>
      </c>
      <c r="R430" s="1">
        <v>0</v>
      </c>
      <c r="S430" t="str">
        <f>IF(R430=1,"Positive","Negative")</f>
        <v>Negative</v>
      </c>
      <c r="T430" s="1">
        <f>IFERROR(VLOOKUP(A430,[1]diabetes_Recognition!$A:$B,2,FALSE),"Not Sampled")</f>
        <v>0</v>
      </c>
      <c r="U430" t="str">
        <f>IF(T430=1,"Positive",(IF(T430=0,"Negative","Not Sampled")))</f>
        <v>Negative</v>
      </c>
      <c r="V430" s="1" t="str">
        <f>IF(U430="Not Sampled","Not Sampled",IF(S430=U430,"Accurate Prediction","Inaccurate Prediction"))</f>
        <v>Accurate Prediction</v>
      </c>
    </row>
    <row r="431" spans="1:22" x14ac:dyDescent="0.25">
      <c r="A431" s="1">
        <v>429</v>
      </c>
      <c r="B431" s="1">
        <v>1</v>
      </c>
      <c r="C431" s="1">
        <f>LOOKUP(B431,Sheet2!$D$4:$E$9)</f>
        <v>1</v>
      </c>
      <c r="D431" s="1">
        <v>95</v>
      </c>
      <c r="E431" t="str">
        <f>LOOKUP(D431,Sheet2!$G$4:$H$9)</f>
        <v>1-99</v>
      </c>
      <c r="F431" s="1">
        <v>82</v>
      </c>
      <c r="G431" t="str">
        <f>LOOKUP(F431,Sheet2!$J$4:$K$8)</f>
        <v>80+</v>
      </c>
      <c r="H431" s="1">
        <v>25</v>
      </c>
      <c r="I431" t="str">
        <f>LOOKUP(H431,Sheet2!$M$4:$N$8)</f>
        <v>10-30</v>
      </c>
      <c r="J431" s="1">
        <v>180</v>
      </c>
      <c r="K431" t="str">
        <f>LOOKUP(J431,Sheet2!$P$4:$Q$9)</f>
        <v>100-199</v>
      </c>
      <c r="L431" s="1">
        <v>35</v>
      </c>
      <c r="M431" t="str">
        <f>LOOKUP(L431,Sheet2!$S$4:$T$8)</f>
        <v>31-35</v>
      </c>
      <c r="N431" s="1">
        <v>0.23300000000000001</v>
      </c>
      <c r="O431" t="str">
        <f>LOOKUP(N431,Sheet2!$V$4:$W$7)</f>
        <v>0.0 - 0.249</v>
      </c>
      <c r="P431" s="1">
        <v>43</v>
      </c>
      <c r="Q431" t="str">
        <f>LOOKUP(P431,Sheet2!$Z$4:$AA$7)</f>
        <v>36-45</v>
      </c>
      <c r="R431" s="1">
        <v>1</v>
      </c>
      <c r="S431" t="str">
        <f>IF(R431=1,"Positive","Negative")</f>
        <v>Positive</v>
      </c>
      <c r="T431" s="1" t="str">
        <f>IFERROR(VLOOKUP(A431,[1]diabetes_Recognition!$A:$B,2,FALSE),"Not Sampled")</f>
        <v>Not Sampled</v>
      </c>
      <c r="U431" t="str">
        <f>IF(T431=1,"Positive",(IF(T431=0,"Negative","Not Sampled")))</f>
        <v>Not Sampled</v>
      </c>
      <c r="V431" s="1" t="str">
        <f>IF(U431="Not Sampled","Not Sampled",IF(S431=U431,"Accurate Prediction","Inaccurate Prediction"))</f>
        <v>Not Sampled</v>
      </c>
    </row>
    <row r="432" spans="1:22" x14ac:dyDescent="0.25">
      <c r="A432" s="1">
        <v>430</v>
      </c>
      <c r="B432" s="1">
        <v>2</v>
      </c>
      <c r="C432" s="1">
        <f>LOOKUP(B432,Sheet2!$D$4:$E$9)</f>
        <v>2</v>
      </c>
      <c r="D432" s="1">
        <v>99</v>
      </c>
      <c r="E432" t="str">
        <f>LOOKUP(D432,Sheet2!$G$4:$H$9)</f>
        <v>1-99</v>
      </c>
      <c r="F432" s="1">
        <v>0</v>
      </c>
      <c r="G432" t="str">
        <f>LOOKUP(F432,Sheet2!$J$4:$K$8)</f>
        <v>Unknown</v>
      </c>
      <c r="H432" s="1">
        <v>0</v>
      </c>
      <c r="I432" t="str">
        <f>LOOKUP(H432,Sheet2!$M$4:$N$8)</f>
        <v>Unknown</v>
      </c>
      <c r="J432" s="1">
        <v>0</v>
      </c>
      <c r="K432" t="str">
        <f>LOOKUP(J432,Sheet2!$P$4:$Q$9)</f>
        <v>Unknown</v>
      </c>
      <c r="L432" s="1">
        <v>22.2</v>
      </c>
      <c r="M432" t="str">
        <f>LOOKUP(L432,Sheet2!$S$4:$T$8)</f>
        <v>1-25</v>
      </c>
      <c r="N432" s="1">
        <v>0.108</v>
      </c>
      <c r="O432" t="str">
        <f>LOOKUP(N432,Sheet2!$V$4:$W$7)</f>
        <v>0.0 - 0.249</v>
      </c>
      <c r="P432" s="1">
        <v>23</v>
      </c>
      <c r="Q432" t="str">
        <f>LOOKUP(P432,Sheet2!$Z$4:$AA$7)</f>
        <v>&lt;=25</v>
      </c>
      <c r="R432" s="1">
        <v>0</v>
      </c>
      <c r="S432" t="str">
        <f>IF(R432=1,"Positive","Negative")</f>
        <v>Negative</v>
      </c>
      <c r="T432" s="1" t="str">
        <f>IFERROR(VLOOKUP(A432,[1]diabetes_Recognition!$A:$B,2,FALSE),"Not Sampled")</f>
        <v>Not Sampled</v>
      </c>
      <c r="U432" t="str">
        <f>IF(T432=1,"Positive",(IF(T432=0,"Negative","Not Sampled")))</f>
        <v>Not Sampled</v>
      </c>
      <c r="V432" s="1" t="str">
        <f>IF(U432="Not Sampled","Not Sampled",IF(S432=U432,"Accurate Prediction","Inaccurate Prediction"))</f>
        <v>Not Sampled</v>
      </c>
    </row>
    <row r="433" spans="1:22" x14ac:dyDescent="0.25">
      <c r="A433" s="1">
        <v>431</v>
      </c>
      <c r="B433" s="1">
        <v>3</v>
      </c>
      <c r="C433" s="1" t="str">
        <f>LOOKUP(B433,Sheet2!$D$4:$E$9)</f>
        <v>3-4</v>
      </c>
      <c r="D433" s="1">
        <v>89</v>
      </c>
      <c r="E433" t="str">
        <f>LOOKUP(D433,Sheet2!$G$4:$H$9)</f>
        <v>1-99</v>
      </c>
      <c r="F433" s="1">
        <v>74</v>
      </c>
      <c r="G433" t="str">
        <f>LOOKUP(F433,Sheet2!$J$4:$K$8)</f>
        <v>70-79</v>
      </c>
      <c r="H433" s="1">
        <v>16</v>
      </c>
      <c r="I433" t="str">
        <f>LOOKUP(H433,Sheet2!$M$4:$N$8)</f>
        <v>10-30</v>
      </c>
      <c r="J433" s="1">
        <v>85</v>
      </c>
      <c r="K433" t="str">
        <f>LOOKUP(J433,Sheet2!$P$4:$Q$9)</f>
        <v>1-99</v>
      </c>
      <c r="L433" s="1">
        <v>30.4</v>
      </c>
      <c r="M433" t="str">
        <f>LOOKUP(L433,Sheet2!$S$4:$T$8)</f>
        <v>26-30</v>
      </c>
      <c r="N433" s="1">
        <v>0.55100000000000005</v>
      </c>
      <c r="O433" t="str">
        <f>LOOKUP(N433,Sheet2!$V$4:$W$7)</f>
        <v>0.4 - 0.69</v>
      </c>
      <c r="P433" s="1">
        <v>38</v>
      </c>
      <c r="Q433" t="str">
        <f>LOOKUP(P433,Sheet2!$Z$4:$AA$7)</f>
        <v>36-45</v>
      </c>
      <c r="R433" s="1">
        <v>0</v>
      </c>
      <c r="S433" t="str">
        <f>IF(R433=1,"Positive","Negative")</f>
        <v>Negative</v>
      </c>
      <c r="T433" s="1" t="str">
        <f>IFERROR(VLOOKUP(A433,[1]diabetes_Recognition!$A:$B,2,FALSE),"Not Sampled")</f>
        <v>Not Sampled</v>
      </c>
      <c r="U433" t="str">
        <f>IF(T433=1,"Positive",(IF(T433=0,"Negative","Not Sampled")))</f>
        <v>Not Sampled</v>
      </c>
      <c r="V433" s="1" t="str">
        <f>IF(U433="Not Sampled","Not Sampled",IF(S433=U433,"Accurate Prediction","Inaccurate Prediction"))</f>
        <v>Not Sampled</v>
      </c>
    </row>
    <row r="434" spans="1:22" x14ac:dyDescent="0.25">
      <c r="A434" s="1">
        <v>432</v>
      </c>
      <c r="B434" s="1">
        <v>1</v>
      </c>
      <c r="C434" s="1">
        <f>LOOKUP(B434,Sheet2!$D$4:$E$9)</f>
        <v>1</v>
      </c>
      <c r="D434" s="1">
        <v>80</v>
      </c>
      <c r="E434" t="str">
        <f>LOOKUP(D434,Sheet2!$G$4:$H$9)</f>
        <v>1-99</v>
      </c>
      <c r="F434" s="1">
        <v>74</v>
      </c>
      <c r="G434" t="str">
        <f>LOOKUP(F434,Sheet2!$J$4:$K$8)</f>
        <v>70-79</v>
      </c>
      <c r="H434" s="1">
        <v>11</v>
      </c>
      <c r="I434" t="str">
        <f>LOOKUP(H434,Sheet2!$M$4:$N$8)</f>
        <v>10-30</v>
      </c>
      <c r="J434" s="1">
        <v>60</v>
      </c>
      <c r="K434" t="str">
        <f>LOOKUP(J434,Sheet2!$P$4:$Q$9)</f>
        <v>1-99</v>
      </c>
      <c r="L434" s="1">
        <v>30</v>
      </c>
      <c r="M434" t="str">
        <f>LOOKUP(L434,Sheet2!$S$4:$T$8)</f>
        <v>26-30</v>
      </c>
      <c r="N434" s="1">
        <v>0.52700000000000002</v>
      </c>
      <c r="O434" t="str">
        <f>LOOKUP(N434,Sheet2!$V$4:$W$7)</f>
        <v>0.4 - 0.69</v>
      </c>
      <c r="P434" s="1">
        <v>22</v>
      </c>
      <c r="Q434" t="str">
        <f>LOOKUP(P434,Sheet2!$Z$4:$AA$7)</f>
        <v>&lt;=25</v>
      </c>
      <c r="R434" s="1">
        <v>0</v>
      </c>
      <c r="S434" t="str">
        <f>IF(R434=1,"Positive","Negative")</f>
        <v>Negative</v>
      </c>
      <c r="T434" s="1">
        <f>IFERROR(VLOOKUP(A434,[1]diabetes_Recognition!$A:$B,2,FALSE),"Not Sampled")</f>
        <v>0</v>
      </c>
      <c r="U434" t="str">
        <f>IF(T434=1,"Positive",(IF(T434=0,"Negative","Not Sampled")))</f>
        <v>Negative</v>
      </c>
      <c r="V434" s="1" t="str">
        <f>IF(U434="Not Sampled","Not Sampled",IF(S434=U434,"Accurate Prediction","Inaccurate Prediction"))</f>
        <v>Accurate Prediction</v>
      </c>
    </row>
    <row r="435" spans="1:22" x14ac:dyDescent="0.25">
      <c r="A435" s="1">
        <v>433</v>
      </c>
      <c r="B435" s="1">
        <v>2</v>
      </c>
      <c r="C435" s="1">
        <f>LOOKUP(B435,Sheet2!$D$4:$E$9)</f>
        <v>2</v>
      </c>
      <c r="D435" s="1">
        <v>139</v>
      </c>
      <c r="E435" t="str">
        <f>LOOKUP(D435,Sheet2!$G$4:$H$9)</f>
        <v>126-150</v>
      </c>
      <c r="F435" s="1">
        <v>75</v>
      </c>
      <c r="G435" t="str">
        <f>LOOKUP(F435,Sheet2!$J$4:$K$8)</f>
        <v>70-79</v>
      </c>
      <c r="H435" s="1">
        <v>0</v>
      </c>
      <c r="I435" t="str">
        <f>LOOKUP(H435,Sheet2!$M$4:$N$8)</f>
        <v>Unknown</v>
      </c>
      <c r="J435" s="1">
        <v>0</v>
      </c>
      <c r="K435" t="str">
        <f>LOOKUP(J435,Sheet2!$P$4:$Q$9)</f>
        <v>Unknown</v>
      </c>
      <c r="L435" s="1">
        <v>25.6</v>
      </c>
      <c r="M435" t="str">
        <f>LOOKUP(L435,Sheet2!$S$4:$T$8)</f>
        <v>1-25</v>
      </c>
      <c r="N435" s="1">
        <v>0.16700000000000001</v>
      </c>
      <c r="O435" t="str">
        <f>LOOKUP(N435,Sheet2!$V$4:$W$7)</f>
        <v>0.0 - 0.249</v>
      </c>
      <c r="P435" s="1">
        <v>29</v>
      </c>
      <c r="Q435" t="str">
        <f>LOOKUP(P435,Sheet2!$Z$4:$AA$7)</f>
        <v>26-35</v>
      </c>
      <c r="R435" s="1">
        <v>0</v>
      </c>
      <c r="S435" t="str">
        <f>IF(R435=1,"Positive","Negative")</f>
        <v>Negative</v>
      </c>
      <c r="T435" s="1" t="str">
        <f>IFERROR(VLOOKUP(A435,[1]diabetes_Recognition!$A:$B,2,FALSE),"Not Sampled")</f>
        <v>Not Sampled</v>
      </c>
      <c r="U435" t="str">
        <f>IF(T435=1,"Positive",(IF(T435=0,"Negative","Not Sampled")))</f>
        <v>Not Sampled</v>
      </c>
      <c r="V435" s="1" t="str">
        <f>IF(U435="Not Sampled","Not Sampled",IF(S435=U435,"Accurate Prediction","Inaccurate Prediction"))</f>
        <v>Not Sampled</v>
      </c>
    </row>
    <row r="436" spans="1:22" x14ac:dyDescent="0.25">
      <c r="A436" s="1">
        <v>434</v>
      </c>
      <c r="B436" s="1">
        <v>1</v>
      </c>
      <c r="C436" s="1">
        <f>LOOKUP(B436,Sheet2!$D$4:$E$9)</f>
        <v>1</v>
      </c>
      <c r="D436" s="1">
        <v>90</v>
      </c>
      <c r="E436" t="str">
        <f>LOOKUP(D436,Sheet2!$G$4:$H$9)</f>
        <v>1-99</v>
      </c>
      <c r="F436" s="1">
        <v>68</v>
      </c>
      <c r="G436" t="str">
        <f>LOOKUP(F436,Sheet2!$J$4:$K$8)</f>
        <v>60-69</v>
      </c>
      <c r="H436" s="1">
        <v>8</v>
      </c>
      <c r="I436" t="str">
        <f>LOOKUP(H436,Sheet2!$M$4:$N$8)</f>
        <v>1-10</v>
      </c>
      <c r="J436" s="1">
        <v>0</v>
      </c>
      <c r="K436" t="str">
        <f>LOOKUP(J436,Sheet2!$P$4:$Q$9)</f>
        <v>Unknown</v>
      </c>
      <c r="L436" s="1">
        <v>24.5</v>
      </c>
      <c r="M436" t="str">
        <f>LOOKUP(L436,Sheet2!$S$4:$T$8)</f>
        <v>1-25</v>
      </c>
      <c r="N436" s="1">
        <v>1.1379999999999999</v>
      </c>
      <c r="O436" t="str">
        <f>LOOKUP(N436,Sheet2!$V$4:$W$7)</f>
        <v>0.7+</v>
      </c>
      <c r="P436" s="1">
        <v>36</v>
      </c>
      <c r="Q436" t="str">
        <f>LOOKUP(P436,Sheet2!$Z$4:$AA$7)</f>
        <v>36-45</v>
      </c>
      <c r="R436" s="1">
        <v>0</v>
      </c>
      <c r="S436" t="str">
        <f>IF(R436=1,"Positive","Negative")</f>
        <v>Negative</v>
      </c>
      <c r="T436" s="1">
        <f>IFERROR(VLOOKUP(A436,[1]diabetes_Recognition!$A:$B,2,FALSE),"Not Sampled")</f>
        <v>0</v>
      </c>
      <c r="U436" t="str">
        <f>IF(T436=1,"Positive",(IF(T436=0,"Negative","Not Sampled")))</f>
        <v>Negative</v>
      </c>
      <c r="V436" s="1" t="str">
        <f>IF(U436="Not Sampled","Not Sampled",IF(S436=U436,"Accurate Prediction","Inaccurate Prediction"))</f>
        <v>Accurate Prediction</v>
      </c>
    </row>
    <row r="437" spans="1:22" x14ac:dyDescent="0.25">
      <c r="A437" s="1">
        <v>435</v>
      </c>
      <c r="B437" s="1">
        <v>0</v>
      </c>
      <c r="C437" s="1">
        <f>LOOKUP(B437,Sheet2!$D$4:$E$9)</f>
        <v>0</v>
      </c>
      <c r="D437" s="1">
        <v>141</v>
      </c>
      <c r="E437" t="str">
        <f>LOOKUP(D437,Sheet2!$G$4:$H$9)</f>
        <v>126-150</v>
      </c>
      <c r="F437" s="1">
        <v>0</v>
      </c>
      <c r="G437" t="str">
        <f>LOOKUP(F437,Sheet2!$J$4:$K$8)</f>
        <v>Unknown</v>
      </c>
      <c r="H437" s="1">
        <v>0</v>
      </c>
      <c r="I437" t="str">
        <f>LOOKUP(H437,Sheet2!$M$4:$N$8)</f>
        <v>Unknown</v>
      </c>
      <c r="J437" s="1">
        <v>0</v>
      </c>
      <c r="K437" t="str">
        <f>LOOKUP(J437,Sheet2!$P$4:$Q$9)</f>
        <v>Unknown</v>
      </c>
      <c r="L437" s="1">
        <v>42.4</v>
      </c>
      <c r="M437" t="str">
        <f>LOOKUP(L437,Sheet2!$S$4:$T$8)</f>
        <v>36+</v>
      </c>
      <c r="N437" s="1">
        <v>0.20499999999999999</v>
      </c>
      <c r="O437" t="str">
        <f>LOOKUP(N437,Sheet2!$V$4:$W$7)</f>
        <v>0.0 - 0.249</v>
      </c>
      <c r="P437" s="1">
        <v>29</v>
      </c>
      <c r="Q437" t="str">
        <f>LOOKUP(P437,Sheet2!$Z$4:$AA$7)</f>
        <v>26-35</v>
      </c>
      <c r="R437" s="1">
        <v>1</v>
      </c>
      <c r="S437" t="str">
        <f>IF(R437=1,"Positive","Negative")</f>
        <v>Positive</v>
      </c>
      <c r="T437" s="1">
        <f>IFERROR(VLOOKUP(A437,[1]diabetes_Recognition!$A:$B,2,FALSE),"Not Sampled")</f>
        <v>1</v>
      </c>
      <c r="U437" t="str">
        <f>IF(T437=1,"Positive",(IF(T437=0,"Negative","Not Sampled")))</f>
        <v>Positive</v>
      </c>
      <c r="V437" s="1" t="str">
        <f>IF(U437="Not Sampled","Not Sampled",IF(S437=U437,"Accurate Prediction","Inaccurate Prediction"))</f>
        <v>Accurate Prediction</v>
      </c>
    </row>
    <row r="438" spans="1:22" x14ac:dyDescent="0.25">
      <c r="A438" s="1">
        <v>436</v>
      </c>
      <c r="B438" s="1">
        <v>12</v>
      </c>
      <c r="C438" s="1" t="str">
        <f>LOOKUP(B438,Sheet2!$D$4:$E$9)</f>
        <v>8+</v>
      </c>
      <c r="D438" s="1">
        <v>140</v>
      </c>
      <c r="E438" t="str">
        <f>LOOKUP(D438,Sheet2!$G$4:$H$9)</f>
        <v>126-150</v>
      </c>
      <c r="F438" s="1">
        <v>85</v>
      </c>
      <c r="G438" t="str">
        <f>LOOKUP(F438,Sheet2!$J$4:$K$8)</f>
        <v>80+</v>
      </c>
      <c r="H438" s="1">
        <v>33</v>
      </c>
      <c r="I438" t="str">
        <f>LOOKUP(H438,Sheet2!$M$4:$N$8)</f>
        <v>30-39</v>
      </c>
      <c r="J438" s="1">
        <v>0</v>
      </c>
      <c r="K438" t="str">
        <f>LOOKUP(J438,Sheet2!$P$4:$Q$9)</f>
        <v>Unknown</v>
      </c>
      <c r="L438" s="1">
        <v>37.4</v>
      </c>
      <c r="M438" t="str">
        <f>LOOKUP(L438,Sheet2!$S$4:$T$8)</f>
        <v>36+</v>
      </c>
      <c r="N438" s="1">
        <v>0.24399999999999999</v>
      </c>
      <c r="O438" t="str">
        <f>LOOKUP(N438,Sheet2!$V$4:$W$7)</f>
        <v>0.0 - 0.249</v>
      </c>
      <c r="P438" s="1">
        <v>41</v>
      </c>
      <c r="Q438" t="str">
        <f>LOOKUP(P438,Sheet2!$Z$4:$AA$7)</f>
        <v>36-45</v>
      </c>
      <c r="R438" s="1">
        <v>0</v>
      </c>
      <c r="S438" t="str">
        <f>IF(R438=1,"Positive","Negative")</f>
        <v>Negative</v>
      </c>
      <c r="T438" s="1" t="str">
        <f>IFERROR(VLOOKUP(A438,[1]diabetes_Recognition!$A:$B,2,FALSE),"Not Sampled")</f>
        <v>Not Sampled</v>
      </c>
      <c r="U438" t="str">
        <f>IF(T438=1,"Positive",(IF(T438=0,"Negative","Not Sampled")))</f>
        <v>Not Sampled</v>
      </c>
      <c r="V438" s="1" t="str">
        <f>IF(U438="Not Sampled","Not Sampled",IF(S438=U438,"Accurate Prediction","Inaccurate Prediction"))</f>
        <v>Not Sampled</v>
      </c>
    </row>
    <row r="439" spans="1:22" x14ac:dyDescent="0.25">
      <c r="A439" s="1">
        <v>437</v>
      </c>
      <c r="B439" s="1">
        <v>5</v>
      </c>
      <c r="C439" s="1" t="str">
        <f>LOOKUP(B439,Sheet2!$D$4:$E$9)</f>
        <v>5-7</v>
      </c>
      <c r="D439" s="1">
        <v>147</v>
      </c>
      <c r="E439" t="str">
        <f>LOOKUP(D439,Sheet2!$G$4:$H$9)</f>
        <v>126-150</v>
      </c>
      <c r="F439" s="1">
        <v>75</v>
      </c>
      <c r="G439" t="str">
        <f>LOOKUP(F439,Sheet2!$J$4:$K$8)</f>
        <v>70-79</v>
      </c>
      <c r="H439" s="1">
        <v>0</v>
      </c>
      <c r="I439" t="str">
        <f>LOOKUP(H439,Sheet2!$M$4:$N$8)</f>
        <v>Unknown</v>
      </c>
      <c r="J439" s="1">
        <v>0</v>
      </c>
      <c r="K439" t="str">
        <f>LOOKUP(J439,Sheet2!$P$4:$Q$9)</f>
        <v>Unknown</v>
      </c>
      <c r="L439" s="1">
        <v>29.9</v>
      </c>
      <c r="M439" t="str">
        <f>LOOKUP(L439,Sheet2!$S$4:$T$8)</f>
        <v>26-30</v>
      </c>
      <c r="N439" s="1">
        <v>0.434</v>
      </c>
      <c r="O439" t="str">
        <f>LOOKUP(N439,Sheet2!$V$4:$W$7)</f>
        <v>0.4 - 0.69</v>
      </c>
      <c r="P439" s="1">
        <v>28</v>
      </c>
      <c r="Q439" t="str">
        <f>LOOKUP(P439,Sheet2!$Z$4:$AA$7)</f>
        <v>26-35</v>
      </c>
      <c r="R439" s="1">
        <v>0</v>
      </c>
      <c r="S439" t="str">
        <f>IF(R439=1,"Positive","Negative")</f>
        <v>Negative</v>
      </c>
      <c r="T439" s="1" t="str">
        <f>IFERROR(VLOOKUP(A439,[1]diabetes_Recognition!$A:$B,2,FALSE),"Not Sampled")</f>
        <v>Not Sampled</v>
      </c>
      <c r="U439" t="str">
        <f>IF(T439=1,"Positive",(IF(T439=0,"Negative","Not Sampled")))</f>
        <v>Not Sampled</v>
      </c>
      <c r="V439" s="1" t="str">
        <f>IF(U439="Not Sampled","Not Sampled",IF(S439=U439,"Accurate Prediction","Inaccurate Prediction"))</f>
        <v>Not Sampled</v>
      </c>
    </row>
    <row r="440" spans="1:22" x14ac:dyDescent="0.25">
      <c r="A440" s="1">
        <v>438</v>
      </c>
      <c r="B440" s="1">
        <v>1</v>
      </c>
      <c r="C440" s="1">
        <f>LOOKUP(B440,Sheet2!$D$4:$E$9)</f>
        <v>1</v>
      </c>
      <c r="D440" s="1">
        <v>97</v>
      </c>
      <c r="E440" t="str">
        <f>LOOKUP(D440,Sheet2!$G$4:$H$9)</f>
        <v>1-99</v>
      </c>
      <c r="F440" s="1">
        <v>70</v>
      </c>
      <c r="G440" t="str">
        <f>LOOKUP(F440,Sheet2!$J$4:$K$8)</f>
        <v>70-79</v>
      </c>
      <c r="H440" s="1">
        <v>15</v>
      </c>
      <c r="I440" t="str">
        <f>LOOKUP(H440,Sheet2!$M$4:$N$8)</f>
        <v>10-30</v>
      </c>
      <c r="J440" s="1">
        <v>0</v>
      </c>
      <c r="K440" t="str">
        <f>LOOKUP(J440,Sheet2!$P$4:$Q$9)</f>
        <v>Unknown</v>
      </c>
      <c r="L440" s="1">
        <v>18.2</v>
      </c>
      <c r="M440" t="str">
        <f>LOOKUP(L440,Sheet2!$S$4:$T$8)</f>
        <v>1-25</v>
      </c>
      <c r="N440" s="1">
        <v>0.14699999999999999</v>
      </c>
      <c r="O440" t="str">
        <f>LOOKUP(N440,Sheet2!$V$4:$W$7)</f>
        <v>0.0 - 0.249</v>
      </c>
      <c r="P440" s="1">
        <v>21</v>
      </c>
      <c r="Q440" t="str">
        <f>LOOKUP(P440,Sheet2!$Z$4:$AA$7)</f>
        <v>&lt;=25</v>
      </c>
      <c r="R440" s="1">
        <v>0</v>
      </c>
      <c r="S440" t="str">
        <f>IF(R440=1,"Positive","Negative")</f>
        <v>Negative</v>
      </c>
      <c r="T440" s="1" t="str">
        <f>IFERROR(VLOOKUP(A440,[1]diabetes_Recognition!$A:$B,2,FALSE),"Not Sampled")</f>
        <v>Not Sampled</v>
      </c>
      <c r="U440" t="str">
        <f>IF(T440=1,"Positive",(IF(T440=0,"Negative","Not Sampled")))</f>
        <v>Not Sampled</v>
      </c>
      <c r="V440" s="1" t="str">
        <f>IF(U440="Not Sampled","Not Sampled",IF(S440=U440,"Accurate Prediction","Inaccurate Prediction"))</f>
        <v>Not Sampled</v>
      </c>
    </row>
    <row r="441" spans="1:22" x14ac:dyDescent="0.25">
      <c r="A441" s="1">
        <v>439</v>
      </c>
      <c r="B441" s="1">
        <v>6</v>
      </c>
      <c r="C441" s="1" t="str">
        <f>LOOKUP(B441,Sheet2!$D$4:$E$9)</f>
        <v>5-7</v>
      </c>
      <c r="D441" s="1">
        <v>107</v>
      </c>
      <c r="E441" t="str">
        <f>LOOKUP(D441,Sheet2!$G$4:$H$9)</f>
        <v>100-125</v>
      </c>
      <c r="F441" s="1">
        <v>88</v>
      </c>
      <c r="G441" t="str">
        <f>LOOKUP(F441,Sheet2!$J$4:$K$8)</f>
        <v>80+</v>
      </c>
      <c r="H441" s="1">
        <v>0</v>
      </c>
      <c r="I441" t="str">
        <f>LOOKUP(H441,Sheet2!$M$4:$N$8)</f>
        <v>Unknown</v>
      </c>
      <c r="J441" s="1">
        <v>0</v>
      </c>
      <c r="K441" t="str">
        <f>LOOKUP(J441,Sheet2!$P$4:$Q$9)</f>
        <v>Unknown</v>
      </c>
      <c r="L441" s="1">
        <v>36.799999999999997</v>
      </c>
      <c r="M441" t="str">
        <f>LOOKUP(L441,Sheet2!$S$4:$T$8)</f>
        <v>36+</v>
      </c>
      <c r="N441" s="1">
        <v>0.72699999999999998</v>
      </c>
      <c r="O441" t="str">
        <f>LOOKUP(N441,Sheet2!$V$4:$W$7)</f>
        <v>0.7+</v>
      </c>
      <c r="P441" s="1">
        <v>31</v>
      </c>
      <c r="Q441" t="str">
        <f>LOOKUP(P441,Sheet2!$Z$4:$AA$7)</f>
        <v>26-35</v>
      </c>
      <c r="R441" s="1">
        <v>0</v>
      </c>
      <c r="S441" t="str">
        <f>IF(R441=1,"Positive","Negative")</f>
        <v>Negative</v>
      </c>
      <c r="T441" s="1" t="str">
        <f>IFERROR(VLOOKUP(A441,[1]diabetes_Recognition!$A:$B,2,FALSE),"Not Sampled")</f>
        <v>Not Sampled</v>
      </c>
      <c r="U441" t="str">
        <f>IF(T441=1,"Positive",(IF(T441=0,"Negative","Not Sampled")))</f>
        <v>Not Sampled</v>
      </c>
      <c r="V441" s="1" t="str">
        <f>IF(U441="Not Sampled","Not Sampled",IF(S441=U441,"Accurate Prediction","Inaccurate Prediction"))</f>
        <v>Not Sampled</v>
      </c>
    </row>
    <row r="442" spans="1:22" x14ac:dyDescent="0.25">
      <c r="A442" s="1">
        <v>440</v>
      </c>
      <c r="B442" s="1">
        <v>0</v>
      </c>
      <c r="C442" s="1">
        <f>LOOKUP(B442,Sheet2!$D$4:$E$9)</f>
        <v>0</v>
      </c>
      <c r="D442" s="1">
        <v>189</v>
      </c>
      <c r="E442" t="str">
        <f>LOOKUP(D442,Sheet2!$G$4:$H$9)</f>
        <v>176-200</v>
      </c>
      <c r="F442" s="1">
        <v>104</v>
      </c>
      <c r="G442" t="str">
        <f>LOOKUP(F442,Sheet2!$J$4:$K$8)</f>
        <v>80+</v>
      </c>
      <c r="H442" s="1">
        <v>25</v>
      </c>
      <c r="I442" t="str">
        <f>LOOKUP(H442,Sheet2!$M$4:$N$8)</f>
        <v>10-30</v>
      </c>
      <c r="J442" s="1">
        <v>0</v>
      </c>
      <c r="K442" t="str">
        <f>LOOKUP(J442,Sheet2!$P$4:$Q$9)</f>
        <v>Unknown</v>
      </c>
      <c r="L442" s="1">
        <v>34.299999999999997</v>
      </c>
      <c r="M442" t="str">
        <f>LOOKUP(L442,Sheet2!$S$4:$T$8)</f>
        <v>31-35</v>
      </c>
      <c r="N442" s="1">
        <v>0.435</v>
      </c>
      <c r="O442" t="str">
        <f>LOOKUP(N442,Sheet2!$V$4:$W$7)</f>
        <v>0.4 - 0.69</v>
      </c>
      <c r="P442" s="1">
        <v>41</v>
      </c>
      <c r="Q442" t="str">
        <f>LOOKUP(P442,Sheet2!$Z$4:$AA$7)</f>
        <v>36-45</v>
      </c>
      <c r="R442" s="1">
        <v>1</v>
      </c>
      <c r="S442" t="str">
        <f>IF(R442=1,"Positive","Negative")</f>
        <v>Positive</v>
      </c>
      <c r="T442" s="1" t="str">
        <f>IFERROR(VLOOKUP(A442,[1]diabetes_Recognition!$A:$B,2,FALSE),"Not Sampled")</f>
        <v>Not Sampled</v>
      </c>
      <c r="U442" t="str">
        <f>IF(T442=1,"Positive",(IF(T442=0,"Negative","Not Sampled")))</f>
        <v>Not Sampled</v>
      </c>
      <c r="V442" s="1" t="str">
        <f>IF(U442="Not Sampled","Not Sampled",IF(S442=U442,"Accurate Prediction","Inaccurate Prediction"))</f>
        <v>Not Sampled</v>
      </c>
    </row>
    <row r="443" spans="1:22" x14ac:dyDescent="0.25">
      <c r="A443" s="1">
        <v>441</v>
      </c>
      <c r="B443" s="1">
        <v>2</v>
      </c>
      <c r="C443" s="1">
        <f>LOOKUP(B443,Sheet2!$D$4:$E$9)</f>
        <v>2</v>
      </c>
      <c r="D443" s="1">
        <v>83</v>
      </c>
      <c r="E443" t="str">
        <f>LOOKUP(D443,Sheet2!$G$4:$H$9)</f>
        <v>1-99</v>
      </c>
      <c r="F443" s="1">
        <v>66</v>
      </c>
      <c r="G443" t="str">
        <f>LOOKUP(F443,Sheet2!$J$4:$K$8)</f>
        <v>60-69</v>
      </c>
      <c r="H443" s="1">
        <v>23</v>
      </c>
      <c r="I443" t="str">
        <f>LOOKUP(H443,Sheet2!$M$4:$N$8)</f>
        <v>10-30</v>
      </c>
      <c r="J443" s="1">
        <v>50</v>
      </c>
      <c r="K443" t="str">
        <f>LOOKUP(J443,Sheet2!$P$4:$Q$9)</f>
        <v>1-99</v>
      </c>
      <c r="L443" s="1">
        <v>32.200000000000003</v>
      </c>
      <c r="M443" t="str">
        <f>LOOKUP(L443,Sheet2!$S$4:$T$8)</f>
        <v>31-35</v>
      </c>
      <c r="N443" s="1">
        <v>0.497</v>
      </c>
      <c r="O443" t="str">
        <f>LOOKUP(N443,Sheet2!$V$4:$W$7)</f>
        <v>0.4 - 0.69</v>
      </c>
      <c r="P443" s="1">
        <v>22</v>
      </c>
      <c r="Q443" t="str">
        <f>LOOKUP(P443,Sheet2!$Z$4:$AA$7)</f>
        <v>&lt;=25</v>
      </c>
      <c r="R443" s="1">
        <v>0</v>
      </c>
      <c r="S443" t="str">
        <f>IF(R443=1,"Positive","Negative")</f>
        <v>Negative</v>
      </c>
      <c r="T443" s="1" t="str">
        <f>IFERROR(VLOOKUP(A443,[1]diabetes_Recognition!$A:$B,2,FALSE),"Not Sampled")</f>
        <v>Not Sampled</v>
      </c>
      <c r="U443" t="str">
        <f>IF(T443=1,"Positive",(IF(T443=0,"Negative","Not Sampled")))</f>
        <v>Not Sampled</v>
      </c>
      <c r="V443" s="1" t="str">
        <f>IF(U443="Not Sampled","Not Sampled",IF(S443=U443,"Accurate Prediction","Inaccurate Prediction"))</f>
        <v>Not Sampled</v>
      </c>
    </row>
    <row r="444" spans="1:22" x14ac:dyDescent="0.25">
      <c r="A444" s="1">
        <v>442</v>
      </c>
      <c r="B444" s="1">
        <v>4</v>
      </c>
      <c r="C444" s="1" t="str">
        <f>LOOKUP(B444,Sheet2!$D$4:$E$9)</f>
        <v>3-4</v>
      </c>
      <c r="D444" s="1">
        <v>117</v>
      </c>
      <c r="E444" t="str">
        <f>LOOKUP(D444,Sheet2!$G$4:$H$9)</f>
        <v>100-125</v>
      </c>
      <c r="F444" s="1">
        <v>64</v>
      </c>
      <c r="G444" t="str">
        <f>LOOKUP(F444,Sheet2!$J$4:$K$8)</f>
        <v>60-69</v>
      </c>
      <c r="H444" s="1">
        <v>27</v>
      </c>
      <c r="I444" t="str">
        <f>LOOKUP(H444,Sheet2!$M$4:$N$8)</f>
        <v>10-30</v>
      </c>
      <c r="J444" s="1">
        <v>120</v>
      </c>
      <c r="K444" t="str">
        <f>LOOKUP(J444,Sheet2!$P$4:$Q$9)</f>
        <v>100-199</v>
      </c>
      <c r="L444" s="1">
        <v>33.200000000000003</v>
      </c>
      <c r="M444" t="str">
        <f>LOOKUP(L444,Sheet2!$S$4:$T$8)</f>
        <v>31-35</v>
      </c>
      <c r="N444" s="1">
        <v>0.23</v>
      </c>
      <c r="O444" t="str">
        <f>LOOKUP(N444,Sheet2!$V$4:$W$7)</f>
        <v>0.0 - 0.249</v>
      </c>
      <c r="P444" s="1">
        <v>24</v>
      </c>
      <c r="Q444" t="str">
        <f>LOOKUP(P444,Sheet2!$Z$4:$AA$7)</f>
        <v>&lt;=25</v>
      </c>
      <c r="R444" s="1">
        <v>0</v>
      </c>
      <c r="S444" t="str">
        <f>IF(R444=1,"Positive","Negative")</f>
        <v>Negative</v>
      </c>
      <c r="T444" s="1">
        <f>IFERROR(VLOOKUP(A444,[1]diabetes_Recognition!$A:$B,2,FALSE),"Not Sampled")</f>
        <v>0</v>
      </c>
      <c r="U444" t="str">
        <f>IF(T444=1,"Positive",(IF(T444=0,"Negative","Not Sampled")))</f>
        <v>Negative</v>
      </c>
      <c r="V444" s="1" t="str">
        <f>IF(U444="Not Sampled","Not Sampled",IF(S444=U444,"Accurate Prediction","Inaccurate Prediction"))</f>
        <v>Accurate Prediction</v>
      </c>
    </row>
    <row r="445" spans="1:22" x14ac:dyDescent="0.25">
      <c r="A445" s="1">
        <v>443</v>
      </c>
      <c r="B445" s="1">
        <v>8</v>
      </c>
      <c r="C445" s="1" t="str">
        <f>LOOKUP(B445,Sheet2!$D$4:$E$9)</f>
        <v>8+</v>
      </c>
      <c r="D445" s="1">
        <v>108</v>
      </c>
      <c r="E445" t="str">
        <f>LOOKUP(D445,Sheet2!$G$4:$H$9)</f>
        <v>100-125</v>
      </c>
      <c r="F445" s="1">
        <v>70</v>
      </c>
      <c r="G445" t="str">
        <f>LOOKUP(F445,Sheet2!$J$4:$K$8)</f>
        <v>70-79</v>
      </c>
      <c r="H445" s="1">
        <v>0</v>
      </c>
      <c r="I445" t="str">
        <f>LOOKUP(H445,Sheet2!$M$4:$N$8)</f>
        <v>Unknown</v>
      </c>
      <c r="J445" s="1">
        <v>0</v>
      </c>
      <c r="K445" t="str">
        <f>LOOKUP(J445,Sheet2!$P$4:$Q$9)</f>
        <v>Unknown</v>
      </c>
      <c r="L445" s="1">
        <v>30.5</v>
      </c>
      <c r="M445" t="str">
        <f>LOOKUP(L445,Sheet2!$S$4:$T$8)</f>
        <v>26-30</v>
      </c>
      <c r="N445" s="1">
        <v>0.95499999999999996</v>
      </c>
      <c r="O445" t="str">
        <f>LOOKUP(N445,Sheet2!$V$4:$W$7)</f>
        <v>0.7+</v>
      </c>
      <c r="P445" s="1">
        <v>33</v>
      </c>
      <c r="Q445" t="str">
        <f>LOOKUP(P445,Sheet2!$Z$4:$AA$7)</f>
        <v>26-35</v>
      </c>
      <c r="R445" s="1">
        <v>1</v>
      </c>
      <c r="S445" t="str">
        <f>IF(R445=1,"Positive","Negative")</f>
        <v>Positive</v>
      </c>
      <c r="T445" s="1" t="str">
        <f>IFERROR(VLOOKUP(A445,[1]diabetes_Recognition!$A:$B,2,FALSE),"Not Sampled")</f>
        <v>Not Sampled</v>
      </c>
      <c r="U445" t="str">
        <f>IF(T445=1,"Positive",(IF(T445=0,"Negative","Not Sampled")))</f>
        <v>Not Sampled</v>
      </c>
      <c r="V445" s="1" t="str">
        <f>IF(U445="Not Sampled","Not Sampled",IF(S445=U445,"Accurate Prediction","Inaccurate Prediction"))</f>
        <v>Not Sampled</v>
      </c>
    </row>
    <row r="446" spans="1:22" x14ac:dyDescent="0.25">
      <c r="A446" s="1">
        <v>444</v>
      </c>
      <c r="B446" s="1">
        <v>4</v>
      </c>
      <c r="C446" s="1" t="str">
        <f>LOOKUP(B446,Sheet2!$D$4:$E$9)</f>
        <v>3-4</v>
      </c>
      <c r="D446" s="1">
        <v>117</v>
      </c>
      <c r="E446" t="str">
        <f>LOOKUP(D446,Sheet2!$G$4:$H$9)</f>
        <v>100-125</v>
      </c>
      <c r="F446" s="1">
        <v>62</v>
      </c>
      <c r="G446" t="str">
        <f>LOOKUP(F446,Sheet2!$J$4:$K$8)</f>
        <v>60-69</v>
      </c>
      <c r="H446" s="1">
        <v>12</v>
      </c>
      <c r="I446" t="str">
        <f>LOOKUP(H446,Sheet2!$M$4:$N$8)</f>
        <v>10-30</v>
      </c>
      <c r="J446" s="1">
        <v>0</v>
      </c>
      <c r="K446" t="str">
        <f>LOOKUP(J446,Sheet2!$P$4:$Q$9)</f>
        <v>Unknown</v>
      </c>
      <c r="L446" s="1">
        <v>29.7</v>
      </c>
      <c r="M446" t="str">
        <f>LOOKUP(L446,Sheet2!$S$4:$T$8)</f>
        <v>26-30</v>
      </c>
      <c r="N446" s="1">
        <v>0.38</v>
      </c>
      <c r="O446" t="str">
        <f>LOOKUP(N446,Sheet2!$V$4:$W$7)</f>
        <v>0.25 - 0.39</v>
      </c>
      <c r="P446" s="1">
        <v>30</v>
      </c>
      <c r="Q446" t="str">
        <f>LOOKUP(P446,Sheet2!$Z$4:$AA$7)</f>
        <v>26-35</v>
      </c>
      <c r="R446" s="1">
        <v>1</v>
      </c>
      <c r="S446" t="str">
        <f>IF(R446=1,"Positive","Negative")</f>
        <v>Positive</v>
      </c>
      <c r="T446" s="1" t="str">
        <f>IFERROR(VLOOKUP(A446,[1]diabetes_Recognition!$A:$B,2,FALSE),"Not Sampled")</f>
        <v>Not Sampled</v>
      </c>
      <c r="U446" t="str">
        <f>IF(T446=1,"Positive",(IF(T446=0,"Negative","Not Sampled")))</f>
        <v>Not Sampled</v>
      </c>
      <c r="V446" s="1" t="str">
        <f>IF(U446="Not Sampled","Not Sampled",IF(S446=U446,"Accurate Prediction","Inaccurate Prediction"))</f>
        <v>Not Sampled</v>
      </c>
    </row>
    <row r="447" spans="1:22" x14ac:dyDescent="0.25">
      <c r="A447" s="1">
        <v>445</v>
      </c>
      <c r="B447" s="1">
        <v>0</v>
      </c>
      <c r="C447" s="1">
        <f>LOOKUP(B447,Sheet2!$D$4:$E$9)</f>
        <v>0</v>
      </c>
      <c r="D447" s="1">
        <v>180</v>
      </c>
      <c r="E447" t="str">
        <f>LOOKUP(D447,Sheet2!$G$4:$H$9)</f>
        <v>176-200</v>
      </c>
      <c r="F447" s="1">
        <v>78</v>
      </c>
      <c r="G447" t="str">
        <f>LOOKUP(F447,Sheet2!$J$4:$K$8)</f>
        <v>70-79</v>
      </c>
      <c r="H447" s="1">
        <v>63</v>
      </c>
      <c r="I447" t="str">
        <f>LOOKUP(H447,Sheet2!$M$4:$N$8)</f>
        <v>40+</v>
      </c>
      <c r="J447" s="1">
        <v>14</v>
      </c>
      <c r="K447" t="str">
        <f>LOOKUP(J447,Sheet2!$P$4:$Q$9)</f>
        <v>1-99</v>
      </c>
      <c r="L447" s="1">
        <v>59.4</v>
      </c>
      <c r="M447" t="str">
        <f>LOOKUP(L447,Sheet2!$S$4:$T$8)</f>
        <v>36+</v>
      </c>
      <c r="N447" s="1">
        <v>2.42</v>
      </c>
      <c r="O447" t="str">
        <f>LOOKUP(N447,Sheet2!$V$4:$W$7)</f>
        <v>0.7+</v>
      </c>
      <c r="P447" s="1">
        <v>25</v>
      </c>
      <c r="Q447" t="str">
        <f>LOOKUP(P447,Sheet2!$Z$4:$AA$7)</f>
        <v>&lt;=25</v>
      </c>
      <c r="R447" s="1">
        <v>1</v>
      </c>
      <c r="S447" t="str">
        <f>IF(R447=1,"Positive","Negative")</f>
        <v>Positive</v>
      </c>
      <c r="T447" s="1" t="str">
        <f>IFERROR(VLOOKUP(A447,[1]diabetes_Recognition!$A:$B,2,FALSE),"Not Sampled")</f>
        <v>Not Sampled</v>
      </c>
      <c r="U447" t="str">
        <f>IF(T447=1,"Positive",(IF(T447=0,"Negative","Not Sampled")))</f>
        <v>Not Sampled</v>
      </c>
      <c r="V447" s="1" t="str">
        <f>IF(U447="Not Sampled","Not Sampled",IF(S447=U447,"Accurate Prediction","Inaccurate Prediction"))</f>
        <v>Not Sampled</v>
      </c>
    </row>
    <row r="448" spans="1:22" x14ac:dyDescent="0.25">
      <c r="A448" s="1">
        <v>446</v>
      </c>
      <c r="B448" s="1">
        <v>1</v>
      </c>
      <c r="C448" s="1">
        <f>LOOKUP(B448,Sheet2!$D$4:$E$9)</f>
        <v>1</v>
      </c>
      <c r="D448" s="1">
        <v>100</v>
      </c>
      <c r="E448" t="str">
        <f>LOOKUP(D448,Sheet2!$G$4:$H$9)</f>
        <v>100-125</v>
      </c>
      <c r="F448" s="1">
        <v>72</v>
      </c>
      <c r="G448" t="str">
        <f>LOOKUP(F448,Sheet2!$J$4:$K$8)</f>
        <v>70-79</v>
      </c>
      <c r="H448" s="1">
        <v>12</v>
      </c>
      <c r="I448" t="str">
        <f>LOOKUP(H448,Sheet2!$M$4:$N$8)</f>
        <v>10-30</v>
      </c>
      <c r="J448" s="1">
        <v>70</v>
      </c>
      <c r="K448" t="str">
        <f>LOOKUP(J448,Sheet2!$P$4:$Q$9)</f>
        <v>1-99</v>
      </c>
      <c r="L448" s="1">
        <v>25.3</v>
      </c>
      <c r="M448" t="str">
        <f>LOOKUP(L448,Sheet2!$S$4:$T$8)</f>
        <v>1-25</v>
      </c>
      <c r="N448" s="1">
        <v>0.65800000000000003</v>
      </c>
      <c r="O448" t="str">
        <f>LOOKUP(N448,Sheet2!$V$4:$W$7)</f>
        <v>0.4 - 0.69</v>
      </c>
      <c r="P448" s="1">
        <v>28</v>
      </c>
      <c r="Q448" t="str">
        <f>LOOKUP(P448,Sheet2!$Z$4:$AA$7)</f>
        <v>26-35</v>
      </c>
      <c r="R448" s="1">
        <v>0</v>
      </c>
      <c r="S448" t="str">
        <f>IF(R448=1,"Positive","Negative")</f>
        <v>Negative</v>
      </c>
      <c r="T448" s="1">
        <f>IFERROR(VLOOKUP(A448,[1]diabetes_Recognition!$A:$B,2,FALSE),"Not Sampled")</f>
        <v>0</v>
      </c>
      <c r="U448" t="str">
        <f>IF(T448=1,"Positive",(IF(T448=0,"Negative","Not Sampled")))</f>
        <v>Negative</v>
      </c>
      <c r="V448" s="1" t="str">
        <f>IF(U448="Not Sampled","Not Sampled",IF(S448=U448,"Accurate Prediction","Inaccurate Prediction"))</f>
        <v>Accurate Prediction</v>
      </c>
    </row>
    <row r="449" spans="1:22" x14ac:dyDescent="0.25">
      <c r="A449" s="1">
        <v>447</v>
      </c>
      <c r="B449" s="1">
        <v>0</v>
      </c>
      <c r="C449" s="1">
        <f>LOOKUP(B449,Sheet2!$D$4:$E$9)</f>
        <v>0</v>
      </c>
      <c r="D449" s="1">
        <v>95</v>
      </c>
      <c r="E449" t="str">
        <f>LOOKUP(D449,Sheet2!$G$4:$H$9)</f>
        <v>1-99</v>
      </c>
      <c r="F449" s="1">
        <v>80</v>
      </c>
      <c r="G449" t="str">
        <f>LOOKUP(F449,Sheet2!$J$4:$K$8)</f>
        <v>80+</v>
      </c>
      <c r="H449" s="1">
        <v>45</v>
      </c>
      <c r="I449" t="str">
        <f>LOOKUP(H449,Sheet2!$M$4:$N$8)</f>
        <v>40+</v>
      </c>
      <c r="J449" s="1">
        <v>92</v>
      </c>
      <c r="K449" t="str">
        <f>LOOKUP(J449,Sheet2!$P$4:$Q$9)</f>
        <v>1-99</v>
      </c>
      <c r="L449" s="1">
        <v>36.5</v>
      </c>
      <c r="M449" t="str">
        <f>LOOKUP(L449,Sheet2!$S$4:$T$8)</f>
        <v>36+</v>
      </c>
      <c r="N449" s="1">
        <v>0.33</v>
      </c>
      <c r="O449" t="str">
        <f>LOOKUP(N449,Sheet2!$V$4:$W$7)</f>
        <v>0.25 - 0.39</v>
      </c>
      <c r="P449" s="1">
        <v>26</v>
      </c>
      <c r="Q449" t="str">
        <f>LOOKUP(P449,Sheet2!$Z$4:$AA$7)</f>
        <v>26-35</v>
      </c>
      <c r="R449" s="1">
        <v>0</v>
      </c>
      <c r="S449" t="str">
        <f>IF(R449=1,"Positive","Negative")</f>
        <v>Negative</v>
      </c>
      <c r="T449" s="1">
        <f>IFERROR(VLOOKUP(A449,[1]diabetes_Recognition!$A:$B,2,FALSE),"Not Sampled")</f>
        <v>0</v>
      </c>
      <c r="U449" t="str">
        <f>IF(T449=1,"Positive",(IF(T449=0,"Negative","Not Sampled")))</f>
        <v>Negative</v>
      </c>
      <c r="V449" s="1" t="str">
        <f>IF(U449="Not Sampled","Not Sampled",IF(S449=U449,"Accurate Prediction","Inaccurate Prediction"))</f>
        <v>Accurate Prediction</v>
      </c>
    </row>
    <row r="450" spans="1:22" x14ac:dyDescent="0.25">
      <c r="A450" s="1">
        <v>448</v>
      </c>
      <c r="B450" s="1">
        <v>0</v>
      </c>
      <c r="C450" s="1">
        <f>LOOKUP(B450,Sheet2!$D$4:$E$9)</f>
        <v>0</v>
      </c>
      <c r="D450" s="1">
        <v>104</v>
      </c>
      <c r="E450" t="str">
        <f>LOOKUP(D450,Sheet2!$G$4:$H$9)</f>
        <v>100-125</v>
      </c>
      <c r="F450" s="1">
        <v>64</v>
      </c>
      <c r="G450" t="str">
        <f>LOOKUP(F450,Sheet2!$J$4:$K$8)</f>
        <v>60-69</v>
      </c>
      <c r="H450" s="1">
        <v>37</v>
      </c>
      <c r="I450" t="str">
        <f>LOOKUP(H450,Sheet2!$M$4:$N$8)</f>
        <v>30-39</v>
      </c>
      <c r="J450" s="1">
        <v>64</v>
      </c>
      <c r="K450" t="str">
        <f>LOOKUP(J450,Sheet2!$P$4:$Q$9)</f>
        <v>1-99</v>
      </c>
      <c r="L450" s="1">
        <v>33.6</v>
      </c>
      <c r="M450" t="str">
        <f>LOOKUP(L450,Sheet2!$S$4:$T$8)</f>
        <v>31-35</v>
      </c>
      <c r="N450" s="1">
        <v>0.51</v>
      </c>
      <c r="O450" t="str">
        <f>LOOKUP(N450,Sheet2!$V$4:$W$7)</f>
        <v>0.4 - 0.69</v>
      </c>
      <c r="P450" s="1">
        <v>22</v>
      </c>
      <c r="Q450" t="str">
        <f>LOOKUP(P450,Sheet2!$Z$4:$AA$7)</f>
        <v>&lt;=25</v>
      </c>
      <c r="R450" s="1">
        <v>1</v>
      </c>
      <c r="S450" t="str">
        <f>IF(R450=1,"Positive","Negative")</f>
        <v>Positive</v>
      </c>
      <c r="T450" s="1" t="str">
        <f>IFERROR(VLOOKUP(A450,[1]diabetes_Recognition!$A:$B,2,FALSE),"Not Sampled")</f>
        <v>Not Sampled</v>
      </c>
      <c r="U450" t="str">
        <f>IF(T450=1,"Positive",(IF(T450=0,"Negative","Not Sampled")))</f>
        <v>Not Sampled</v>
      </c>
      <c r="V450" s="1" t="str">
        <f>IF(U450="Not Sampled","Not Sampled",IF(S450=U450,"Accurate Prediction","Inaccurate Prediction"))</f>
        <v>Not Sampled</v>
      </c>
    </row>
    <row r="451" spans="1:22" x14ac:dyDescent="0.25">
      <c r="A451" s="1">
        <v>449</v>
      </c>
      <c r="B451" s="1">
        <v>0</v>
      </c>
      <c r="C451" s="1">
        <f>LOOKUP(B451,Sheet2!$D$4:$E$9)</f>
        <v>0</v>
      </c>
      <c r="D451" s="1">
        <v>120</v>
      </c>
      <c r="E451" t="str">
        <f>LOOKUP(D451,Sheet2!$G$4:$H$9)</f>
        <v>100-125</v>
      </c>
      <c r="F451" s="1">
        <v>74</v>
      </c>
      <c r="G451" t="str">
        <f>LOOKUP(F451,Sheet2!$J$4:$K$8)</f>
        <v>70-79</v>
      </c>
      <c r="H451" s="1">
        <v>18</v>
      </c>
      <c r="I451" t="str">
        <f>LOOKUP(H451,Sheet2!$M$4:$N$8)</f>
        <v>10-30</v>
      </c>
      <c r="J451" s="1">
        <v>63</v>
      </c>
      <c r="K451" t="str">
        <f>LOOKUP(J451,Sheet2!$P$4:$Q$9)</f>
        <v>1-99</v>
      </c>
      <c r="L451" s="1">
        <v>30.5</v>
      </c>
      <c r="M451" t="str">
        <f>LOOKUP(L451,Sheet2!$S$4:$T$8)</f>
        <v>26-30</v>
      </c>
      <c r="N451" s="1">
        <v>0.28499999999999998</v>
      </c>
      <c r="O451" t="str">
        <f>LOOKUP(N451,Sheet2!$V$4:$W$7)</f>
        <v>0.25 - 0.39</v>
      </c>
      <c r="P451" s="1">
        <v>26</v>
      </c>
      <c r="Q451" t="str">
        <f>LOOKUP(P451,Sheet2!$Z$4:$AA$7)</f>
        <v>26-35</v>
      </c>
      <c r="R451" s="1">
        <v>0</v>
      </c>
      <c r="S451" t="str">
        <f>IF(R451=1,"Positive","Negative")</f>
        <v>Negative</v>
      </c>
      <c r="T451" s="1" t="str">
        <f>IFERROR(VLOOKUP(A451,[1]diabetes_Recognition!$A:$B,2,FALSE),"Not Sampled")</f>
        <v>Not Sampled</v>
      </c>
      <c r="U451" t="str">
        <f>IF(T451=1,"Positive",(IF(T451=0,"Negative","Not Sampled")))</f>
        <v>Not Sampled</v>
      </c>
      <c r="V451" s="1" t="str">
        <f>IF(U451="Not Sampled","Not Sampled",IF(S451=U451,"Accurate Prediction","Inaccurate Prediction"))</f>
        <v>Not Sampled</v>
      </c>
    </row>
    <row r="452" spans="1:22" x14ac:dyDescent="0.25">
      <c r="A452" s="1">
        <v>450</v>
      </c>
      <c r="B452" s="1">
        <v>1</v>
      </c>
      <c r="C452" s="1">
        <f>LOOKUP(B452,Sheet2!$D$4:$E$9)</f>
        <v>1</v>
      </c>
      <c r="D452" s="1">
        <v>82</v>
      </c>
      <c r="E452" t="str">
        <f>LOOKUP(D452,Sheet2!$G$4:$H$9)</f>
        <v>1-99</v>
      </c>
      <c r="F452" s="1">
        <v>64</v>
      </c>
      <c r="G452" t="str">
        <f>LOOKUP(F452,Sheet2!$J$4:$K$8)</f>
        <v>60-69</v>
      </c>
      <c r="H452" s="1">
        <v>13</v>
      </c>
      <c r="I452" t="str">
        <f>LOOKUP(H452,Sheet2!$M$4:$N$8)</f>
        <v>10-30</v>
      </c>
      <c r="J452" s="1">
        <v>95</v>
      </c>
      <c r="K452" t="str">
        <f>LOOKUP(J452,Sheet2!$P$4:$Q$9)</f>
        <v>1-99</v>
      </c>
      <c r="L452" s="1">
        <v>21.2</v>
      </c>
      <c r="M452" t="str">
        <f>LOOKUP(L452,Sheet2!$S$4:$T$8)</f>
        <v>1-25</v>
      </c>
      <c r="N452" s="1">
        <v>0.41499999999999998</v>
      </c>
      <c r="O452" t="str">
        <f>LOOKUP(N452,Sheet2!$V$4:$W$7)</f>
        <v>0.4 - 0.69</v>
      </c>
      <c r="P452" s="1">
        <v>23</v>
      </c>
      <c r="Q452" t="str">
        <f>LOOKUP(P452,Sheet2!$Z$4:$AA$7)</f>
        <v>&lt;=25</v>
      </c>
      <c r="R452" s="1">
        <v>0</v>
      </c>
      <c r="S452" t="str">
        <f>IF(R452=1,"Positive","Negative")</f>
        <v>Negative</v>
      </c>
      <c r="T452" s="1" t="str">
        <f>IFERROR(VLOOKUP(A452,[1]diabetes_Recognition!$A:$B,2,FALSE),"Not Sampled")</f>
        <v>Not Sampled</v>
      </c>
      <c r="U452" t="str">
        <f>IF(T452=1,"Positive",(IF(T452=0,"Negative","Not Sampled")))</f>
        <v>Not Sampled</v>
      </c>
      <c r="V452" s="1" t="str">
        <f>IF(U452="Not Sampled","Not Sampled",IF(S452=U452,"Accurate Prediction","Inaccurate Prediction"))</f>
        <v>Not Sampled</v>
      </c>
    </row>
    <row r="453" spans="1:22" x14ac:dyDescent="0.25">
      <c r="A453" s="1">
        <v>451</v>
      </c>
      <c r="B453" s="1">
        <v>2</v>
      </c>
      <c r="C453" s="1">
        <f>LOOKUP(B453,Sheet2!$D$4:$E$9)</f>
        <v>2</v>
      </c>
      <c r="D453" s="1">
        <v>134</v>
      </c>
      <c r="E453" t="str">
        <f>LOOKUP(D453,Sheet2!$G$4:$H$9)</f>
        <v>126-150</v>
      </c>
      <c r="F453" s="1">
        <v>70</v>
      </c>
      <c r="G453" t="str">
        <f>LOOKUP(F453,Sheet2!$J$4:$K$8)</f>
        <v>70-79</v>
      </c>
      <c r="H453" s="1">
        <v>0</v>
      </c>
      <c r="I453" t="str">
        <f>LOOKUP(H453,Sheet2!$M$4:$N$8)</f>
        <v>Unknown</v>
      </c>
      <c r="J453" s="1">
        <v>0</v>
      </c>
      <c r="K453" t="str">
        <f>LOOKUP(J453,Sheet2!$P$4:$Q$9)</f>
        <v>Unknown</v>
      </c>
      <c r="L453" s="1">
        <v>28.9</v>
      </c>
      <c r="M453" t="str">
        <f>LOOKUP(L453,Sheet2!$S$4:$T$8)</f>
        <v>26-30</v>
      </c>
      <c r="N453" s="1">
        <v>0.54200000000000004</v>
      </c>
      <c r="O453" t="str">
        <f>LOOKUP(N453,Sheet2!$V$4:$W$7)</f>
        <v>0.4 - 0.69</v>
      </c>
      <c r="P453" s="1">
        <v>23</v>
      </c>
      <c r="Q453" t="str">
        <f>LOOKUP(P453,Sheet2!$Z$4:$AA$7)</f>
        <v>&lt;=25</v>
      </c>
      <c r="R453" s="1">
        <v>1</v>
      </c>
      <c r="S453" t="str">
        <f>IF(R453=1,"Positive","Negative")</f>
        <v>Positive</v>
      </c>
      <c r="T453" s="1" t="str">
        <f>IFERROR(VLOOKUP(A453,[1]diabetes_Recognition!$A:$B,2,FALSE),"Not Sampled")</f>
        <v>Not Sampled</v>
      </c>
      <c r="U453" t="str">
        <f>IF(T453=1,"Positive",(IF(T453=0,"Negative","Not Sampled")))</f>
        <v>Not Sampled</v>
      </c>
      <c r="V453" s="1" t="str">
        <f>IF(U453="Not Sampled","Not Sampled",IF(S453=U453,"Accurate Prediction","Inaccurate Prediction"))</f>
        <v>Not Sampled</v>
      </c>
    </row>
    <row r="454" spans="1:22" x14ac:dyDescent="0.25">
      <c r="A454" s="1">
        <v>452</v>
      </c>
      <c r="B454" s="1">
        <v>0</v>
      </c>
      <c r="C454" s="1">
        <f>LOOKUP(B454,Sheet2!$D$4:$E$9)</f>
        <v>0</v>
      </c>
      <c r="D454" s="1">
        <v>91</v>
      </c>
      <c r="E454" t="str">
        <f>LOOKUP(D454,Sheet2!$G$4:$H$9)</f>
        <v>1-99</v>
      </c>
      <c r="F454" s="1">
        <v>68</v>
      </c>
      <c r="G454" t="str">
        <f>LOOKUP(F454,Sheet2!$J$4:$K$8)</f>
        <v>60-69</v>
      </c>
      <c r="H454" s="1">
        <v>32</v>
      </c>
      <c r="I454" t="str">
        <f>LOOKUP(H454,Sheet2!$M$4:$N$8)</f>
        <v>30-39</v>
      </c>
      <c r="J454" s="1">
        <v>210</v>
      </c>
      <c r="K454" t="str">
        <f>LOOKUP(J454,Sheet2!$P$4:$Q$9)</f>
        <v>200-399</v>
      </c>
      <c r="L454" s="1">
        <v>39.9</v>
      </c>
      <c r="M454" t="str">
        <f>LOOKUP(L454,Sheet2!$S$4:$T$8)</f>
        <v>36+</v>
      </c>
      <c r="N454" s="1">
        <v>0.38100000000000001</v>
      </c>
      <c r="O454" t="str">
        <f>LOOKUP(N454,Sheet2!$V$4:$W$7)</f>
        <v>0.25 - 0.39</v>
      </c>
      <c r="P454" s="1">
        <v>25</v>
      </c>
      <c r="Q454" t="str">
        <f>LOOKUP(P454,Sheet2!$Z$4:$AA$7)</f>
        <v>&lt;=25</v>
      </c>
      <c r="R454" s="1">
        <v>0</v>
      </c>
      <c r="S454" t="str">
        <f>IF(R454=1,"Positive","Negative")</f>
        <v>Negative</v>
      </c>
      <c r="T454" s="1" t="str">
        <f>IFERROR(VLOOKUP(A454,[1]diabetes_Recognition!$A:$B,2,FALSE),"Not Sampled")</f>
        <v>Not Sampled</v>
      </c>
      <c r="U454" t="str">
        <f>IF(T454=1,"Positive",(IF(T454=0,"Negative","Not Sampled")))</f>
        <v>Not Sampled</v>
      </c>
      <c r="V454" s="1" t="str">
        <f>IF(U454="Not Sampled","Not Sampled",IF(S454=U454,"Accurate Prediction","Inaccurate Prediction"))</f>
        <v>Not Sampled</v>
      </c>
    </row>
    <row r="455" spans="1:22" x14ac:dyDescent="0.25">
      <c r="A455" s="1">
        <v>453</v>
      </c>
      <c r="B455" s="1">
        <v>2</v>
      </c>
      <c r="C455" s="1">
        <f>LOOKUP(B455,Sheet2!$D$4:$E$9)</f>
        <v>2</v>
      </c>
      <c r="D455" s="1">
        <v>119</v>
      </c>
      <c r="E455" t="str">
        <f>LOOKUP(D455,Sheet2!$G$4:$H$9)</f>
        <v>100-125</v>
      </c>
      <c r="F455" s="1">
        <v>0</v>
      </c>
      <c r="G455" t="str">
        <f>LOOKUP(F455,Sheet2!$J$4:$K$8)</f>
        <v>Unknown</v>
      </c>
      <c r="H455" s="1">
        <v>0</v>
      </c>
      <c r="I455" t="str">
        <f>LOOKUP(H455,Sheet2!$M$4:$N$8)</f>
        <v>Unknown</v>
      </c>
      <c r="J455" s="1">
        <v>0</v>
      </c>
      <c r="K455" t="str">
        <f>LOOKUP(J455,Sheet2!$P$4:$Q$9)</f>
        <v>Unknown</v>
      </c>
      <c r="L455" s="1">
        <v>19.600000000000001</v>
      </c>
      <c r="M455" t="str">
        <f>LOOKUP(L455,Sheet2!$S$4:$T$8)</f>
        <v>1-25</v>
      </c>
      <c r="N455" s="1">
        <v>0.83199999999999996</v>
      </c>
      <c r="O455" t="str">
        <f>LOOKUP(N455,Sheet2!$V$4:$W$7)</f>
        <v>0.7+</v>
      </c>
      <c r="P455" s="1">
        <v>72</v>
      </c>
      <c r="Q455" t="str">
        <f>LOOKUP(P455,Sheet2!$Z$4:$AA$7)</f>
        <v>46+</v>
      </c>
      <c r="R455" s="1">
        <v>0</v>
      </c>
      <c r="S455" t="str">
        <f>IF(R455=1,"Positive","Negative")</f>
        <v>Negative</v>
      </c>
      <c r="T455" s="1">
        <f>IFERROR(VLOOKUP(A455,[1]diabetes_Recognition!$A:$B,2,FALSE),"Not Sampled")</f>
        <v>0</v>
      </c>
      <c r="U455" t="str">
        <f>IF(T455=1,"Positive",(IF(T455=0,"Negative","Not Sampled")))</f>
        <v>Negative</v>
      </c>
      <c r="V455" s="1" t="str">
        <f>IF(U455="Not Sampled","Not Sampled",IF(S455=U455,"Accurate Prediction","Inaccurate Prediction"))</f>
        <v>Accurate Prediction</v>
      </c>
    </row>
    <row r="456" spans="1:22" x14ac:dyDescent="0.25">
      <c r="A456" s="1">
        <v>454</v>
      </c>
      <c r="B456" s="1">
        <v>2</v>
      </c>
      <c r="C456" s="1">
        <f>LOOKUP(B456,Sheet2!$D$4:$E$9)</f>
        <v>2</v>
      </c>
      <c r="D456" s="1">
        <v>100</v>
      </c>
      <c r="E456" t="str">
        <f>LOOKUP(D456,Sheet2!$G$4:$H$9)</f>
        <v>100-125</v>
      </c>
      <c r="F456" s="1">
        <v>54</v>
      </c>
      <c r="G456" t="str">
        <f>LOOKUP(F456,Sheet2!$J$4:$K$8)</f>
        <v>1-59</v>
      </c>
      <c r="H456" s="1">
        <v>28</v>
      </c>
      <c r="I456" t="str">
        <f>LOOKUP(H456,Sheet2!$M$4:$N$8)</f>
        <v>10-30</v>
      </c>
      <c r="J456" s="1">
        <v>105</v>
      </c>
      <c r="K456" t="str">
        <f>LOOKUP(J456,Sheet2!$P$4:$Q$9)</f>
        <v>100-199</v>
      </c>
      <c r="L456" s="1">
        <v>37.799999999999997</v>
      </c>
      <c r="M456" t="str">
        <f>LOOKUP(L456,Sheet2!$S$4:$T$8)</f>
        <v>36+</v>
      </c>
      <c r="N456" s="1">
        <v>0.498</v>
      </c>
      <c r="O456" t="str">
        <f>LOOKUP(N456,Sheet2!$V$4:$W$7)</f>
        <v>0.4 - 0.69</v>
      </c>
      <c r="P456" s="1">
        <v>24</v>
      </c>
      <c r="Q456" t="str">
        <f>LOOKUP(P456,Sheet2!$Z$4:$AA$7)</f>
        <v>&lt;=25</v>
      </c>
      <c r="R456" s="1">
        <v>0</v>
      </c>
      <c r="S456" t="str">
        <f>IF(R456=1,"Positive","Negative")</f>
        <v>Negative</v>
      </c>
      <c r="T456" s="1" t="str">
        <f>IFERROR(VLOOKUP(A456,[1]diabetes_Recognition!$A:$B,2,FALSE),"Not Sampled")</f>
        <v>Not Sampled</v>
      </c>
      <c r="U456" t="str">
        <f>IF(T456=1,"Positive",(IF(T456=0,"Negative","Not Sampled")))</f>
        <v>Not Sampled</v>
      </c>
      <c r="V456" s="1" t="str">
        <f>IF(U456="Not Sampled","Not Sampled",IF(S456=U456,"Accurate Prediction","Inaccurate Prediction"))</f>
        <v>Not Sampled</v>
      </c>
    </row>
    <row r="457" spans="1:22" x14ac:dyDescent="0.25">
      <c r="A457" s="1">
        <v>455</v>
      </c>
      <c r="B457" s="1">
        <v>14</v>
      </c>
      <c r="C457" s="1" t="str">
        <f>LOOKUP(B457,Sheet2!$D$4:$E$9)</f>
        <v>8+</v>
      </c>
      <c r="D457" s="1">
        <v>175</v>
      </c>
      <c r="E457" t="str">
        <f>LOOKUP(D457,Sheet2!$G$4:$H$9)</f>
        <v>151-175</v>
      </c>
      <c r="F457" s="1">
        <v>62</v>
      </c>
      <c r="G457" t="str">
        <f>LOOKUP(F457,Sheet2!$J$4:$K$8)</f>
        <v>60-69</v>
      </c>
      <c r="H457" s="1">
        <v>30</v>
      </c>
      <c r="I457" t="str">
        <f>LOOKUP(H457,Sheet2!$M$4:$N$8)</f>
        <v>30-39</v>
      </c>
      <c r="J457" s="1">
        <v>0</v>
      </c>
      <c r="K457" t="str">
        <f>LOOKUP(J457,Sheet2!$P$4:$Q$9)</f>
        <v>Unknown</v>
      </c>
      <c r="L457" s="1">
        <v>33.6</v>
      </c>
      <c r="M457" t="str">
        <f>LOOKUP(L457,Sheet2!$S$4:$T$8)</f>
        <v>31-35</v>
      </c>
      <c r="N457" s="1">
        <v>0.21199999999999999</v>
      </c>
      <c r="O457" t="str">
        <f>LOOKUP(N457,Sheet2!$V$4:$W$7)</f>
        <v>0.0 - 0.249</v>
      </c>
      <c r="P457" s="1">
        <v>38</v>
      </c>
      <c r="Q457" t="str">
        <f>LOOKUP(P457,Sheet2!$Z$4:$AA$7)</f>
        <v>36-45</v>
      </c>
      <c r="R457" s="1">
        <v>1</v>
      </c>
      <c r="S457" t="str">
        <f>IF(R457=1,"Positive","Negative")</f>
        <v>Positive</v>
      </c>
      <c r="T457" s="1" t="str">
        <f>IFERROR(VLOOKUP(A457,[1]diabetes_Recognition!$A:$B,2,FALSE),"Not Sampled")</f>
        <v>Not Sampled</v>
      </c>
      <c r="U457" t="str">
        <f>IF(T457=1,"Positive",(IF(T457=0,"Negative","Not Sampled")))</f>
        <v>Not Sampled</v>
      </c>
      <c r="V457" s="1" t="str">
        <f>IF(U457="Not Sampled","Not Sampled",IF(S457=U457,"Accurate Prediction","Inaccurate Prediction"))</f>
        <v>Not Sampled</v>
      </c>
    </row>
    <row r="458" spans="1:22" x14ac:dyDescent="0.25">
      <c r="A458" s="1">
        <v>456</v>
      </c>
      <c r="B458" s="1">
        <v>1</v>
      </c>
      <c r="C458" s="1">
        <f>LOOKUP(B458,Sheet2!$D$4:$E$9)</f>
        <v>1</v>
      </c>
      <c r="D458" s="1">
        <v>135</v>
      </c>
      <c r="E458" t="str">
        <f>LOOKUP(D458,Sheet2!$G$4:$H$9)</f>
        <v>126-150</v>
      </c>
      <c r="F458" s="1">
        <v>54</v>
      </c>
      <c r="G458" t="str">
        <f>LOOKUP(F458,Sheet2!$J$4:$K$8)</f>
        <v>1-59</v>
      </c>
      <c r="H458" s="1">
        <v>0</v>
      </c>
      <c r="I458" t="str">
        <f>LOOKUP(H458,Sheet2!$M$4:$N$8)</f>
        <v>Unknown</v>
      </c>
      <c r="J458" s="1">
        <v>0</v>
      </c>
      <c r="K458" t="str">
        <f>LOOKUP(J458,Sheet2!$P$4:$Q$9)</f>
        <v>Unknown</v>
      </c>
      <c r="L458" s="1">
        <v>26.7</v>
      </c>
      <c r="M458" t="str">
        <f>LOOKUP(L458,Sheet2!$S$4:$T$8)</f>
        <v>26-30</v>
      </c>
      <c r="N458" s="1">
        <v>0.68700000000000006</v>
      </c>
      <c r="O458" t="str">
        <f>LOOKUP(N458,Sheet2!$V$4:$W$7)</f>
        <v>0.4 - 0.69</v>
      </c>
      <c r="P458" s="1">
        <v>62</v>
      </c>
      <c r="Q458" t="str">
        <f>LOOKUP(P458,Sheet2!$Z$4:$AA$7)</f>
        <v>46+</v>
      </c>
      <c r="R458" s="1">
        <v>0</v>
      </c>
      <c r="S458" t="str">
        <f>IF(R458=1,"Positive","Negative")</f>
        <v>Negative</v>
      </c>
      <c r="T458" s="1" t="str">
        <f>IFERROR(VLOOKUP(A458,[1]diabetes_Recognition!$A:$B,2,FALSE),"Not Sampled")</f>
        <v>Not Sampled</v>
      </c>
      <c r="U458" t="str">
        <f>IF(T458=1,"Positive",(IF(T458=0,"Negative","Not Sampled")))</f>
        <v>Not Sampled</v>
      </c>
      <c r="V458" s="1" t="str">
        <f>IF(U458="Not Sampled","Not Sampled",IF(S458=U458,"Accurate Prediction","Inaccurate Prediction"))</f>
        <v>Not Sampled</v>
      </c>
    </row>
    <row r="459" spans="1:22" x14ac:dyDescent="0.25">
      <c r="A459" s="1">
        <v>457</v>
      </c>
      <c r="B459" s="1">
        <v>5</v>
      </c>
      <c r="C459" s="1" t="str">
        <f>LOOKUP(B459,Sheet2!$D$4:$E$9)</f>
        <v>5-7</v>
      </c>
      <c r="D459" s="1">
        <v>86</v>
      </c>
      <c r="E459" t="str">
        <f>LOOKUP(D459,Sheet2!$G$4:$H$9)</f>
        <v>1-99</v>
      </c>
      <c r="F459" s="1">
        <v>68</v>
      </c>
      <c r="G459" t="str">
        <f>LOOKUP(F459,Sheet2!$J$4:$K$8)</f>
        <v>60-69</v>
      </c>
      <c r="H459" s="1">
        <v>28</v>
      </c>
      <c r="I459" t="str">
        <f>LOOKUP(H459,Sheet2!$M$4:$N$8)</f>
        <v>10-30</v>
      </c>
      <c r="J459" s="1">
        <v>71</v>
      </c>
      <c r="K459" t="str">
        <f>LOOKUP(J459,Sheet2!$P$4:$Q$9)</f>
        <v>1-99</v>
      </c>
      <c r="L459" s="1">
        <v>30.2</v>
      </c>
      <c r="M459" t="str">
        <f>LOOKUP(L459,Sheet2!$S$4:$T$8)</f>
        <v>26-30</v>
      </c>
      <c r="N459" s="1">
        <v>0.36399999999999999</v>
      </c>
      <c r="O459" t="str">
        <f>LOOKUP(N459,Sheet2!$V$4:$W$7)</f>
        <v>0.25 - 0.39</v>
      </c>
      <c r="P459" s="1">
        <v>24</v>
      </c>
      <c r="Q459" t="str">
        <f>LOOKUP(P459,Sheet2!$Z$4:$AA$7)</f>
        <v>&lt;=25</v>
      </c>
      <c r="R459" s="1">
        <v>0</v>
      </c>
      <c r="S459" t="str">
        <f>IF(R459=1,"Positive","Negative")</f>
        <v>Negative</v>
      </c>
      <c r="T459" s="1" t="str">
        <f>IFERROR(VLOOKUP(A459,[1]diabetes_Recognition!$A:$B,2,FALSE),"Not Sampled")</f>
        <v>Not Sampled</v>
      </c>
      <c r="U459" t="str">
        <f>IF(T459=1,"Positive",(IF(T459=0,"Negative","Not Sampled")))</f>
        <v>Not Sampled</v>
      </c>
      <c r="V459" s="1" t="str">
        <f>IF(U459="Not Sampled","Not Sampled",IF(S459=U459,"Accurate Prediction","Inaccurate Prediction"))</f>
        <v>Not Sampled</v>
      </c>
    </row>
    <row r="460" spans="1:22" x14ac:dyDescent="0.25">
      <c r="A460" s="1">
        <v>458</v>
      </c>
      <c r="B460" s="1">
        <v>10</v>
      </c>
      <c r="C460" s="1" t="str">
        <f>LOOKUP(B460,Sheet2!$D$4:$E$9)</f>
        <v>8+</v>
      </c>
      <c r="D460" s="1">
        <v>148</v>
      </c>
      <c r="E460" t="str">
        <f>LOOKUP(D460,Sheet2!$G$4:$H$9)</f>
        <v>126-150</v>
      </c>
      <c r="F460" s="1">
        <v>84</v>
      </c>
      <c r="G460" t="str">
        <f>LOOKUP(F460,Sheet2!$J$4:$K$8)</f>
        <v>80+</v>
      </c>
      <c r="H460" s="1">
        <v>48</v>
      </c>
      <c r="I460" t="str">
        <f>LOOKUP(H460,Sheet2!$M$4:$N$8)</f>
        <v>40+</v>
      </c>
      <c r="J460" s="1">
        <v>237</v>
      </c>
      <c r="K460" t="str">
        <f>LOOKUP(J460,Sheet2!$P$4:$Q$9)</f>
        <v>200-399</v>
      </c>
      <c r="L460" s="1">
        <v>37.6</v>
      </c>
      <c r="M460" t="str">
        <f>LOOKUP(L460,Sheet2!$S$4:$T$8)</f>
        <v>36+</v>
      </c>
      <c r="N460" s="1">
        <v>1.0009999999999999</v>
      </c>
      <c r="O460" t="str">
        <f>LOOKUP(N460,Sheet2!$V$4:$W$7)</f>
        <v>0.7+</v>
      </c>
      <c r="P460" s="1">
        <v>51</v>
      </c>
      <c r="Q460" t="str">
        <f>LOOKUP(P460,Sheet2!$Z$4:$AA$7)</f>
        <v>46+</v>
      </c>
      <c r="R460" s="1">
        <v>1</v>
      </c>
      <c r="S460" t="str">
        <f>IF(R460=1,"Positive","Negative")</f>
        <v>Positive</v>
      </c>
      <c r="T460" s="1" t="str">
        <f>IFERROR(VLOOKUP(A460,[1]diabetes_Recognition!$A:$B,2,FALSE),"Not Sampled")</f>
        <v>Not Sampled</v>
      </c>
      <c r="U460" t="str">
        <f>IF(T460=1,"Positive",(IF(T460=0,"Negative","Not Sampled")))</f>
        <v>Not Sampled</v>
      </c>
      <c r="V460" s="1" t="str">
        <f>IF(U460="Not Sampled","Not Sampled",IF(S460=U460,"Accurate Prediction","Inaccurate Prediction"))</f>
        <v>Not Sampled</v>
      </c>
    </row>
    <row r="461" spans="1:22" x14ac:dyDescent="0.25">
      <c r="A461" s="1">
        <v>459</v>
      </c>
      <c r="B461" s="1">
        <v>9</v>
      </c>
      <c r="C461" s="1" t="str">
        <f>LOOKUP(B461,Sheet2!$D$4:$E$9)</f>
        <v>8+</v>
      </c>
      <c r="D461" s="1">
        <v>134</v>
      </c>
      <c r="E461" t="str">
        <f>LOOKUP(D461,Sheet2!$G$4:$H$9)</f>
        <v>126-150</v>
      </c>
      <c r="F461" s="1">
        <v>74</v>
      </c>
      <c r="G461" t="str">
        <f>LOOKUP(F461,Sheet2!$J$4:$K$8)</f>
        <v>70-79</v>
      </c>
      <c r="H461" s="1">
        <v>33</v>
      </c>
      <c r="I461" t="str">
        <f>LOOKUP(H461,Sheet2!$M$4:$N$8)</f>
        <v>30-39</v>
      </c>
      <c r="J461" s="1">
        <v>60</v>
      </c>
      <c r="K461" t="str">
        <f>LOOKUP(J461,Sheet2!$P$4:$Q$9)</f>
        <v>1-99</v>
      </c>
      <c r="L461" s="1">
        <v>25.9</v>
      </c>
      <c r="M461" t="str">
        <f>LOOKUP(L461,Sheet2!$S$4:$T$8)</f>
        <v>1-25</v>
      </c>
      <c r="N461" s="1">
        <v>0.46</v>
      </c>
      <c r="O461" t="str">
        <f>LOOKUP(N461,Sheet2!$V$4:$W$7)</f>
        <v>0.4 - 0.69</v>
      </c>
      <c r="P461" s="1">
        <v>81</v>
      </c>
      <c r="Q461" t="str">
        <f>LOOKUP(P461,Sheet2!$Z$4:$AA$7)</f>
        <v>46+</v>
      </c>
      <c r="R461" s="1">
        <v>0</v>
      </c>
      <c r="S461" t="str">
        <f>IF(R461=1,"Positive","Negative")</f>
        <v>Negative</v>
      </c>
      <c r="T461" s="1" t="str">
        <f>IFERROR(VLOOKUP(A461,[1]diabetes_Recognition!$A:$B,2,FALSE),"Not Sampled")</f>
        <v>Not Sampled</v>
      </c>
      <c r="U461" t="str">
        <f>IF(T461=1,"Positive",(IF(T461=0,"Negative","Not Sampled")))</f>
        <v>Not Sampled</v>
      </c>
      <c r="V461" s="1" t="str">
        <f>IF(U461="Not Sampled","Not Sampled",IF(S461=U461,"Accurate Prediction","Inaccurate Prediction"))</f>
        <v>Not Sampled</v>
      </c>
    </row>
    <row r="462" spans="1:22" x14ac:dyDescent="0.25">
      <c r="A462" s="1">
        <v>460</v>
      </c>
      <c r="B462" s="1">
        <v>9</v>
      </c>
      <c r="C462" s="1" t="str">
        <f>LOOKUP(B462,Sheet2!$D$4:$E$9)</f>
        <v>8+</v>
      </c>
      <c r="D462" s="1">
        <v>120</v>
      </c>
      <c r="E462" t="str">
        <f>LOOKUP(D462,Sheet2!$G$4:$H$9)</f>
        <v>100-125</v>
      </c>
      <c r="F462" s="1">
        <v>72</v>
      </c>
      <c r="G462" t="str">
        <f>LOOKUP(F462,Sheet2!$J$4:$K$8)</f>
        <v>70-79</v>
      </c>
      <c r="H462" s="1">
        <v>22</v>
      </c>
      <c r="I462" t="str">
        <f>LOOKUP(H462,Sheet2!$M$4:$N$8)</f>
        <v>10-30</v>
      </c>
      <c r="J462" s="1">
        <v>56</v>
      </c>
      <c r="K462" t="str">
        <f>LOOKUP(J462,Sheet2!$P$4:$Q$9)</f>
        <v>1-99</v>
      </c>
      <c r="L462" s="1">
        <v>20.8</v>
      </c>
      <c r="M462" t="str">
        <f>LOOKUP(L462,Sheet2!$S$4:$T$8)</f>
        <v>1-25</v>
      </c>
      <c r="N462" s="1">
        <v>0.73299999999999998</v>
      </c>
      <c r="O462" t="str">
        <f>LOOKUP(N462,Sheet2!$V$4:$W$7)</f>
        <v>0.7+</v>
      </c>
      <c r="P462" s="1">
        <v>48</v>
      </c>
      <c r="Q462" t="str">
        <f>LOOKUP(P462,Sheet2!$Z$4:$AA$7)</f>
        <v>46+</v>
      </c>
      <c r="R462" s="1">
        <v>0</v>
      </c>
      <c r="S462" t="str">
        <f>IF(R462=1,"Positive","Negative")</f>
        <v>Negative</v>
      </c>
      <c r="T462" s="1" t="str">
        <f>IFERROR(VLOOKUP(A462,[1]diabetes_Recognition!$A:$B,2,FALSE),"Not Sampled")</f>
        <v>Not Sampled</v>
      </c>
      <c r="U462" t="str">
        <f>IF(T462=1,"Positive",(IF(T462=0,"Negative","Not Sampled")))</f>
        <v>Not Sampled</v>
      </c>
      <c r="V462" s="1" t="str">
        <f>IF(U462="Not Sampled","Not Sampled",IF(S462=U462,"Accurate Prediction","Inaccurate Prediction"))</f>
        <v>Not Sampled</v>
      </c>
    </row>
    <row r="463" spans="1:22" x14ac:dyDescent="0.25">
      <c r="A463" s="1">
        <v>461</v>
      </c>
      <c r="B463" s="1">
        <v>1</v>
      </c>
      <c r="C463" s="1">
        <f>LOOKUP(B463,Sheet2!$D$4:$E$9)</f>
        <v>1</v>
      </c>
      <c r="D463" s="1">
        <v>71</v>
      </c>
      <c r="E463" t="str">
        <f>LOOKUP(D463,Sheet2!$G$4:$H$9)</f>
        <v>1-99</v>
      </c>
      <c r="F463" s="1">
        <v>62</v>
      </c>
      <c r="G463" t="str">
        <f>LOOKUP(F463,Sheet2!$J$4:$K$8)</f>
        <v>60-69</v>
      </c>
      <c r="H463" s="1">
        <v>0</v>
      </c>
      <c r="I463" t="str">
        <f>LOOKUP(H463,Sheet2!$M$4:$N$8)</f>
        <v>Unknown</v>
      </c>
      <c r="J463" s="1">
        <v>0</v>
      </c>
      <c r="K463" t="str">
        <f>LOOKUP(J463,Sheet2!$P$4:$Q$9)</f>
        <v>Unknown</v>
      </c>
      <c r="L463" s="1">
        <v>21.8</v>
      </c>
      <c r="M463" t="str">
        <f>LOOKUP(L463,Sheet2!$S$4:$T$8)</f>
        <v>1-25</v>
      </c>
      <c r="N463" s="1">
        <v>0.41599999999999998</v>
      </c>
      <c r="O463" t="str">
        <f>LOOKUP(N463,Sheet2!$V$4:$W$7)</f>
        <v>0.4 - 0.69</v>
      </c>
      <c r="P463" s="1">
        <v>26</v>
      </c>
      <c r="Q463" t="str">
        <f>LOOKUP(P463,Sheet2!$Z$4:$AA$7)</f>
        <v>26-35</v>
      </c>
      <c r="R463" s="1">
        <v>0</v>
      </c>
      <c r="S463" t="str">
        <f>IF(R463=1,"Positive","Negative")</f>
        <v>Negative</v>
      </c>
      <c r="T463" s="1" t="str">
        <f>IFERROR(VLOOKUP(A463,[1]diabetes_Recognition!$A:$B,2,FALSE),"Not Sampled")</f>
        <v>Not Sampled</v>
      </c>
      <c r="U463" t="str">
        <f>IF(T463=1,"Positive",(IF(T463=0,"Negative","Not Sampled")))</f>
        <v>Not Sampled</v>
      </c>
      <c r="V463" s="1" t="str">
        <f>IF(U463="Not Sampled","Not Sampled",IF(S463=U463,"Accurate Prediction","Inaccurate Prediction"))</f>
        <v>Not Sampled</v>
      </c>
    </row>
    <row r="464" spans="1:22" x14ac:dyDescent="0.25">
      <c r="A464" s="1">
        <v>462</v>
      </c>
      <c r="B464" s="1">
        <v>8</v>
      </c>
      <c r="C464" s="1" t="str">
        <f>LOOKUP(B464,Sheet2!$D$4:$E$9)</f>
        <v>8+</v>
      </c>
      <c r="D464" s="1">
        <v>74</v>
      </c>
      <c r="E464" t="str">
        <f>LOOKUP(D464,Sheet2!$G$4:$H$9)</f>
        <v>1-99</v>
      </c>
      <c r="F464" s="1">
        <v>70</v>
      </c>
      <c r="G464" t="str">
        <f>LOOKUP(F464,Sheet2!$J$4:$K$8)</f>
        <v>70-79</v>
      </c>
      <c r="H464" s="1">
        <v>40</v>
      </c>
      <c r="I464" t="str">
        <f>LOOKUP(H464,Sheet2!$M$4:$N$8)</f>
        <v>40+</v>
      </c>
      <c r="J464" s="1">
        <v>49</v>
      </c>
      <c r="K464" t="str">
        <f>LOOKUP(J464,Sheet2!$P$4:$Q$9)</f>
        <v>1-99</v>
      </c>
      <c r="L464" s="1">
        <v>35.299999999999997</v>
      </c>
      <c r="M464" t="str">
        <f>LOOKUP(L464,Sheet2!$S$4:$T$8)</f>
        <v>31-35</v>
      </c>
      <c r="N464" s="1">
        <v>0.70499999999999996</v>
      </c>
      <c r="O464" t="str">
        <f>LOOKUP(N464,Sheet2!$V$4:$W$7)</f>
        <v>0.7+</v>
      </c>
      <c r="P464" s="1">
        <v>39</v>
      </c>
      <c r="Q464" t="str">
        <f>LOOKUP(P464,Sheet2!$Z$4:$AA$7)</f>
        <v>36-45</v>
      </c>
      <c r="R464" s="1">
        <v>0</v>
      </c>
      <c r="S464" t="str">
        <f>IF(R464=1,"Positive","Negative")</f>
        <v>Negative</v>
      </c>
      <c r="T464" s="1" t="str">
        <f>IFERROR(VLOOKUP(A464,[1]diabetes_Recognition!$A:$B,2,FALSE),"Not Sampled")</f>
        <v>Not Sampled</v>
      </c>
      <c r="U464" t="str">
        <f>IF(T464=1,"Positive",(IF(T464=0,"Negative","Not Sampled")))</f>
        <v>Not Sampled</v>
      </c>
      <c r="V464" s="1" t="str">
        <f>IF(U464="Not Sampled","Not Sampled",IF(S464=U464,"Accurate Prediction","Inaccurate Prediction"))</f>
        <v>Not Sampled</v>
      </c>
    </row>
    <row r="465" spans="1:22" x14ac:dyDescent="0.25">
      <c r="A465" s="1">
        <v>463</v>
      </c>
      <c r="B465" s="1">
        <v>5</v>
      </c>
      <c r="C465" s="1" t="str">
        <f>LOOKUP(B465,Sheet2!$D$4:$E$9)</f>
        <v>5-7</v>
      </c>
      <c r="D465" s="1">
        <v>88</v>
      </c>
      <c r="E465" t="str">
        <f>LOOKUP(D465,Sheet2!$G$4:$H$9)</f>
        <v>1-99</v>
      </c>
      <c r="F465" s="1">
        <v>78</v>
      </c>
      <c r="G465" t="str">
        <f>LOOKUP(F465,Sheet2!$J$4:$K$8)</f>
        <v>70-79</v>
      </c>
      <c r="H465" s="1">
        <v>30</v>
      </c>
      <c r="I465" t="str">
        <f>LOOKUP(H465,Sheet2!$M$4:$N$8)</f>
        <v>30-39</v>
      </c>
      <c r="J465" s="1">
        <v>0</v>
      </c>
      <c r="K465" t="str">
        <f>LOOKUP(J465,Sheet2!$P$4:$Q$9)</f>
        <v>Unknown</v>
      </c>
      <c r="L465" s="1">
        <v>27.6</v>
      </c>
      <c r="M465" t="str">
        <f>LOOKUP(L465,Sheet2!$S$4:$T$8)</f>
        <v>26-30</v>
      </c>
      <c r="N465" s="1">
        <v>0.25800000000000001</v>
      </c>
      <c r="O465" t="str">
        <f>LOOKUP(N465,Sheet2!$V$4:$W$7)</f>
        <v>0.25 - 0.39</v>
      </c>
      <c r="P465" s="1">
        <v>37</v>
      </c>
      <c r="Q465" t="str">
        <f>LOOKUP(P465,Sheet2!$Z$4:$AA$7)</f>
        <v>36-45</v>
      </c>
      <c r="R465" s="1">
        <v>0</v>
      </c>
      <c r="S465" t="str">
        <f>IF(R465=1,"Positive","Negative")</f>
        <v>Negative</v>
      </c>
      <c r="T465" s="1" t="str">
        <f>IFERROR(VLOOKUP(A465,[1]diabetes_Recognition!$A:$B,2,FALSE),"Not Sampled")</f>
        <v>Not Sampled</v>
      </c>
      <c r="U465" t="str">
        <f>IF(T465=1,"Positive",(IF(T465=0,"Negative","Not Sampled")))</f>
        <v>Not Sampled</v>
      </c>
      <c r="V465" s="1" t="str">
        <f>IF(U465="Not Sampled","Not Sampled",IF(S465=U465,"Accurate Prediction","Inaccurate Prediction"))</f>
        <v>Not Sampled</v>
      </c>
    </row>
    <row r="466" spans="1:22" x14ac:dyDescent="0.25">
      <c r="A466" s="1">
        <v>464</v>
      </c>
      <c r="B466" s="1">
        <v>10</v>
      </c>
      <c r="C466" s="1" t="str">
        <f>LOOKUP(B466,Sheet2!$D$4:$E$9)</f>
        <v>8+</v>
      </c>
      <c r="D466" s="1">
        <v>115</v>
      </c>
      <c r="E466" t="str">
        <f>LOOKUP(D466,Sheet2!$G$4:$H$9)</f>
        <v>100-125</v>
      </c>
      <c r="F466" s="1">
        <v>98</v>
      </c>
      <c r="G466" t="str">
        <f>LOOKUP(F466,Sheet2!$J$4:$K$8)</f>
        <v>80+</v>
      </c>
      <c r="H466" s="1">
        <v>0</v>
      </c>
      <c r="I466" t="str">
        <f>LOOKUP(H466,Sheet2!$M$4:$N$8)</f>
        <v>Unknown</v>
      </c>
      <c r="J466" s="1">
        <v>0</v>
      </c>
      <c r="K466" t="str">
        <f>LOOKUP(J466,Sheet2!$P$4:$Q$9)</f>
        <v>Unknown</v>
      </c>
      <c r="L466" s="1">
        <v>24</v>
      </c>
      <c r="M466" t="str">
        <f>LOOKUP(L466,Sheet2!$S$4:$T$8)</f>
        <v>1-25</v>
      </c>
      <c r="N466" s="1">
        <v>1.022</v>
      </c>
      <c r="O466" t="str">
        <f>LOOKUP(N466,Sheet2!$V$4:$W$7)</f>
        <v>0.7+</v>
      </c>
      <c r="P466" s="1">
        <v>34</v>
      </c>
      <c r="Q466" t="str">
        <f>LOOKUP(P466,Sheet2!$Z$4:$AA$7)</f>
        <v>26-35</v>
      </c>
      <c r="R466" s="1">
        <v>0</v>
      </c>
      <c r="S466" t="str">
        <f>IF(R466=1,"Positive","Negative")</f>
        <v>Negative</v>
      </c>
      <c r="T466" s="1">
        <f>IFERROR(VLOOKUP(A466,[1]diabetes_Recognition!$A:$B,2,FALSE),"Not Sampled")</f>
        <v>0</v>
      </c>
      <c r="U466" t="str">
        <f>IF(T466=1,"Positive",(IF(T466=0,"Negative","Not Sampled")))</f>
        <v>Negative</v>
      </c>
      <c r="V466" s="1" t="str">
        <f>IF(U466="Not Sampled","Not Sampled",IF(S466=U466,"Accurate Prediction","Inaccurate Prediction"))</f>
        <v>Accurate Prediction</v>
      </c>
    </row>
    <row r="467" spans="1:22" x14ac:dyDescent="0.25">
      <c r="A467" s="1">
        <v>465</v>
      </c>
      <c r="B467" s="1">
        <v>0</v>
      </c>
      <c r="C467" s="1">
        <f>LOOKUP(B467,Sheet2!$D$4:$E$9)</f>
        <v>0</v>
      </c>
      <c r="D467" s="1">
        <v>124</v>
      </c>
      <c r="E467" t="str">
        <f>LOOKUP(D467,Sheet2!$G$4:$H$9)</f>
        <v>100-125</v>
      </c>
      <c r="F467" s="1">
        <v>56</v>
      </c>
      <c r="G467" t="str">
        <f>LOOKUP(F467,Sheet2!$J$4:$K$8)</f>
        <v>1-59</v>
      </c>
      <c r="H467" s="1">
        <v>13</v>
      </c>
      <c r="I467" t="str">
        <f>LOOKUP(H467,Sheet2!$M$4:$N$8)</f>
        <v>10-30</v>
      </c>
      <c r="J467" s="1">
        <v>105</v>
      </c>
      <c r="K467" t="str">
        <f>LOOKUP(J467,Sheet2!$P$4:$Q$9)</f>
        <v>100-199</v>
      </c>
      <c r="L467" s="1">
        <v>21.8</v>
      </c>
      <c r="M467" t="str">
        <f>LOOKUP(L467,Sheet2!$S$4:$T$8)</f>
        <v>1-25</v>
      </c>
      <c r="N467" s="1">
        <v>0.45200000000000001</v>
      </c>
      <c r="O467" t="str">
        <f>LOOKUP(N467,Sheet2!$V$4:$W$7)</f>
        <v>0.4 - 0.69</v>
      </c>
      <c r="P467" s="1">
        <v>21</v>
      </c>
      <c r="Q467" t="str">
        <f>LOOKUP(P467,Sheet2!$Z$4:$AA$7)</f>
        <v>&lt;=25</v>
      </c>
      <c r="R467" s="1">
        <v>0</v>
      </c>
      <c r="S467" t="str">
        <f>IF(R467=1,"Positive","Negative")</f>
        <v>Negative</v>
      </c>
      <c r="T467" s="1" t="str">
        <f>IFERROR(VLOOKUP(A467,[1]diabetes_Recognition!$A:$B,2,FALSE),"Not Sampled")</f>
        <v>Not Sampled</v>
      </c>
      <c r="U467" t="str">
        <f>IF(T467=1,"Positive",(IF(T467=0,"Negative","Not Sampled")))</f>
        <v>Not Sampled</v>
      </c>
      <c r="V467" s="1" t="str">
        <f>IF(U467="Not Sampled","Not Sampled",IF(S467=U467,"Accurate Prediction","Inaccurate Prediction"))</f>
        <v>Not Sampled</v>
      </c>
    </row>
    <row r="468" spans="1:22" x14ac:dyDescent="0.25">
      <c r="A468" s="1">
        <v>466</v>
      </c>
      <c r="B468" s="1">
        <v>0</v>
      </c>
      <c r="C468" s="1">
        <f>LOOKUP(B468,Sheet2!$D$4:$E$9)</f>
        <v>0</v>
      </c>
      <c r="D468" s="1">
        <v>74</v>
      </c>
      <c r="E468" t="str">
        <f>LOOKUP(D468,Sheet2!$G$4:$H$9)</f>
        <v>1-99</v>
      </c>
      <c r="F468" s="1">
        <v>52</v>
      </c>
      <c r="G468" t="str">
        <f>LOOKUP(F468,Sheet2!$J$4:$K$8)</f>
        <v>1-59</v>
      </c>
      <c r="H468" s="1">
        <v>10</v>
      </c>
      <c r="I468" t="str">
        <f>LOOKUP(H468,Sheet2!$M$4:$N$8)</f>
        <v>10-30</v>
      </c>
      <c r="J468" s="1">
        <v>36</v>
      </c>
      <c r="K468" t="str">
        <f>LOOKUP(J468,Sheet2!$P$4:$Q$9)</f>
        <v>1-99</v>
      </c>
      <c r="L468" s="1">
        <v>27.8</v>
      </c>
      <c r="M468" t="str">
        <f>LOOKUP(L468,Sheet2!$S$4:$T$8)</f>
        <v>26-30</v>
      </c>
      <c r="N468" s="1">
        <v>0.26900000000000002</v>
      </c>
      <c r="O468" t="str">
        <f>LOOKUP(N468,Sheet2!$V$4:$W$7)</f>
        <v>0.25 - 0.39</v>
      </c>
      <c r="P468" s="1">
        <v>22</v>
      </c>
      <c r="Q468" t="str">
        <f>LOOKUP(P468,Sheet2!$Z$4:$AA$7)</f>
        <v>&lt;=25</v>
      </c>
      <c r="R468" s="1">
        <v>0</v>
      </c>
      <c r="S468" t="str">
        <f>IF(R468=1,"Positive","Negative")</f>
        <v>Negative</v>
      </c>
      <c r="T468" s="1" t="str">
        <f>IFERROR(VLOOKUP(A468,[1]diabetes_Recognition!$A:$B,2,FALSE),"Not Sampled")</f>
        <v>Not Sampled</v>
      </c>
      <c r="U468" t="str">
        <f>IF(T468=1,"Positive",(IF(T468=0,"Negative","Not Sampled")))</f>
        <v>Not Sampled</v>
      </c>
      <c r="V468" s="1" t="str">
        <f>IF(U468="Not Sampled","Not Sampled",IF(S468=U468,"Accurate Prediction","Inaccurate Prediction"))</f>
        <v>Not Sampled</v>
      </c>
    </row>
    <row r="469" spans="1:22" x14ac:dyDescent="0.25">
      <c r="A469" s="1">
        <v>467</v>
      </c>
      <c r="B469" s="1">
        <v>0</v>
      </c>
      <c r="C469" s="1">
        <f>LOOKUP(B469,Sheet2!$D$4:$E$9)</f>
        <v>0</v>
      </c>
      <c r="D469" s="1">
        <v>97</v>
      </c>
      <c r="E469" t="str">
        <f>LOOKUP(D469,Sheet2!$G$4:$H$9)</f>
        <v>1-99</v>
      </c>
      <c r="F469" s="1">
        <v>64</v>
      </c>
      <c r="G469" t="str">
        <f>LOOKUP(F469,Sheet2!$J$4:$K$8)</f>
        <v>60-69</v>
      </c>
      <c r="H469" s="1">
        <v>36</v>
      </c>
      <c r="I469" t="str">
        <f>LOOKUP(H469,Sheet2!$M$4:$N$8)</f>
        <v>30-39</v>
      </c>
      <c r="J469" s="1">
        <v>100</v>
      </c>
      <c r="K469" t="str">
        <f>LOOKUP(J469,Sheet2!$P$4:$Q$9)</f>
        <v>100-199</v>
      </c>
      <c r="L469" s="1">
        <v>36.799999999999997</v>
      </c>
      <c r="M469" t="str">
        <f>LOOKUP(L469,Sheet2!$S$4:$T$8)</f>
        <v>36+</v>
      </c>
      <c r="N469" s="1">
        <v>0.6</v>
      </c>
      <c r="O469" t="str">
        <f>LOOKUP(N469,Sheet2!$V$4:$W$7)</f>
        <v>0.4 - 0.69</v>
      </c>
      <c r="P469" s="1">
        <v>25</v>
      </c>
      <c r="Q469" t="str">
        <f>LOOKUP(P469,Sheet2!$Z$4:$AA$7)</f>
        <v>&lt;=25</v>
      </c>
      <c r="R469" s="1">
        <v>0</v>
      </c>
      <c r="S469" t="str">
        <f>IF(R469=1,"Positive","Negative")</f>
        <v>Negative</v>
      </c>
      <c r="T469" s="1" t="str">
        <f>IFERROR(VLOOKUP(A469,[1]diabetes_Recognition!$A:$B,2,FALSE),"Not Sampled")</f>
        <v>Not Sampled</v>
      </c>
      <c r="U469" t="str">
        <f>IF(T469=1,"Positive",(IF(T469=0,"Negative","Not Sampled")))</f>
        <v>Not Sampled</v>
      </c>
      <c r="V469" s="1" t="str">
        <f>IF(U469="Not Sampled","Not Sampled",IF(S469=U469,"Accurate Prediction","Inaccurate Prediction"))</f>
        <v>Not Sampled</v>
      </c>
    </row>
    <row r="470" spans="1:22" x14ac:dyDescent="0.25">
      <c r="A470" s="1">
        <v>468</v>
      </c>
      <c r="B470" s="1">
        <v>8</v>
      </c>
      <c r="C470" s="1" t="str">
        <f>LOOKUP(B470,Sheet2!$D$4:$E$9)</f>
        <v>8+</v>
      </c>
      <c r="D470" s="1">
        <v>120</v>
      </c>
      <c r="E470" t="str">
        <f>LOOKUP(D470,Sheet2!$G$4:$H$9)</f>
        <v>100-125</v>
      </c>
      <c r="F470" s="1">
        <v>0</v>
      </c>
      <c r="G470" t="str">
        <f>LOOKUP(F470,Sheet2!$J$4:$K$8)</f>
        <v>Unknown</v>
      </c>
      <c r="H470" s="1">
        <v>0</v>
      </c>
      <c r="I470" t="str">
        <f>LOOKUP(H470,Sheet2!$M$4:$N$8)</f>
        <v>Unknown</v>
      </c>
      <c r="J470" s="1">
        <v>0</v>
      </c>
      <c r="K470" t="str">
        <f>LOOKUP(J470,Sheet2!$P$4:$Q$9)</f>
        <v>Unknown</v>
      </c>
      <c r="L470" s="1">
        <v>30</v>
      </c>
      <c r="M470" t="str">
        <f>LOOKUP(L470,Sheet2!$S$4:$T$8)</f>
        <v>26-30</v>
      </c>
      <c r="N470" s="1">
        <v>0.183</v>
      </c>
      <c r="O470" t="str">
        <f>LOOKUP(N470,Sheet2!$V$4:$W$7)</f>
        <v>0.0 - 0.249</v>
      </c>
      <c r="P470" s="1">
        <v>38</v>
      </c>
      <c r="Q470" t="str">
        <f>LOOKUP(P470,Sheet2!$Z$4:$AA$7)</f>
        <v>36-45</v>
      </c>
      <c r="R470" s="1">
        <v>1</v>
      </c>
      <c r="S470" t="str">
        <f>IF(R470=1,"Positive","Negative")</f>
        <v>Positive</v>
      </c>
      <c r="T470" s="1" t="str">
        <f>IFERROR(VLOOKUP(A470,[1]diabetes_Recognition!$A:$B,2,FALSE),"Not Sampled")</f>
        <v>Not Sampled</v>
      </c>
      <c r="U470" t="str">
        <f>IF(T470=1,"Positive",(IF(T470=0,"Negative","Not Sampled")))</f>
        <v>Not Sampled</v>
      </c>
      <c r="V470" s="1" t="str">
        <f>IF(U470="Not Sampled","Not Sampled",IF(S470=U470,"Accurate Prediction","Inaccurate Prediction"))</f>
        <v>Not Sampled</v>
      </c>
    </row>
    <row r="471" spans="1:22" x14ac:dyDescent="0.25">
      <c r="A471" s="1">
        <v>469</v>
      </c>
      <c r="B471" s="1">
        <v>6</v>
      </c>
      <c r="C471" s="1" t="str">
        <f>LOOKUP(B471,Sheet2!$D$4:$E$9)</f>
        <v>5-7</v>
      </c>
      <c r="D471" s="1">
        <v>154</v>
      </c>
      <c r="E471" t="str">
        <f>LOOKUP(D471,Sheet2!$G$4:$H$9)</f>
        <v>151-175</v>
      </c>
      <c r="F471" s="1">
        <v>78</v>
      </c>
      <c r="G471" t="str">
        <f>LOOKUP(F471,Sheet2!$J$4:$K$8)</f>
        <v>70-79</v>
      </c>
      <c r="H471" s="1">
        <v>41</v>
      </c>
      <c r="I471" t="str">
        <f>LOOKUP(H471,Sheet2!$M$4:$N$8)</f>
        <v>40+</v>
      </c>
      <c r="J471" s="1">
        <v>140</v>
      </c>
      <c r="K471" t="str">
        <f>LOOKUP(J471,Sheet2!$P$4:$Q$9)</f>
        <v>100-199</v>
      </c>
      <c r="L471" s="1">
        <v>46.1</v>
      </c>
      <c r="M471" t="str">
        <f>LOOKUP(L471,Sheet2!$S$4:$T$8)</f>
        <v>36+</v>
      </c>
      <c r="N471" s="1">
        <v>0.57099999999999995</v>
      </c>
      <c r="O471" t="str">
        <f>LOOKUP(N471,Sheet2!$V$4:$W$7)</f>
        <v>0.4 - 0.69</v>
      </c>
      <c r="P471" s="1">
        <v>27</v>
      </c>
      <c r="Q471" t="str">
        <f>LOOKUP(P471,Sheet2!$Z$4:$AA$7)</f>
        <v>26-35</v>
      </c>
      <c r="R471" s="1">
        <v>0</v>
      </c>
      <c r="S471" t="str">
        <f>IF(R471=1,"Positive","Negative")</f>
        <v>Negative</v>
      </c>
      <c r="T471" s="1" t="str">
        <f>IFERROR(VLOOKUP(A471,[1]diabetes_Recognition!$A:$B,2,FALSE),"Not Sampled")</f>
        <v>Not Sampled</v>
      </c>
      <c r="U471" t="str">
        <f>IF(T471=1,"Positive",(IF(T471=0,"Negative","Not Sampled")))</f>
        <v>Not Sampled</v>
      </c>
      <c r="V471" s="1" t="str">
        <f>IF(U471="Not Sampled","Not Sampled",IF(S471=U471,"Accurate Prediction","Inaccurate Prediction"))</f>
        <v>Not Sampled</v>
      </c>
    </row>
    <row r="472" spans="1:22" x14ac:dyDescent="0.25">
      <c r="A472" s="1">
        <v>470</v>
      </c>
      <c r="B472" s="1">
        <v>1</v>
      </c>
      <c r="C472" s="1">
        <f>LOOKUP(B472,Sheet2!$D$4:$E$9)</f>
        <v>1</v>
      </c>
      <c r="D472" s="1">
        <v>144</v>
      </c>
      <c r="E472" t="str">
        <f>LOOKUP(D472,Sheet2!$G$4:$H$9)</f>
        <v>126-150</v>
      </c>
      <c r="F472" s="1">
        <v>82</v>
      </c>
      <c r="G472" t="str">
        <f>LOOKUP(F472,Sheet2!$J$4:$K$8)</f>
        <v>80+</v>
      </c>
      <c r="H472" s="1">
        <v>40</v>
      </c>
      <c r="I472" t="str">
        <f>LOOKUP(H472,Sheet2!$M$4:$N$8)</f>
        <v>40+</v>
      </c>
      <c r="J472" s="1">
        <v>0</v>
      </c>
      <c r="K472" t="str">
        <f>LOOKUP(J472,Sheet2!$P$4:$Q$9)</f>
        <v>Unknown</v>
      </c>
      <c r="L472" s="1">
        <v>41.3</v>
      </c>
      <c r="M472" t="str">
        <f>LOOKUP(L472,Sheet2!$S$4:$T$8)</f>
        <v>36+</v>
      </c>
      <c r="N472" s="1">
        <v>0.60699999999999998</v>
      </c>
      <c r="O472" t="str">
        <f>LOOKUP(N472,Sheet2!$V$4:$W$7)</f>
        <v>0.4 - 0.69</v>
      </c>
      <c r="P472" s="1">
        <v>28</v>
      </c>
      <c r="Q472" t="str">
        <f>LOOKUP(P472,Sheet2!$Z$4:$AA$7)</f>
        <v>26-35</v>
      </c>
      <c r="R472" s="1">
        <v>0</v>
      </c>
      <c r="S472" t="str">
        <f>IF(R472=1,"Positive","Negative")</f>
        <v>Negative</v>
      </c>
      <c r="T472" s="1" t="str">
        <f>IFERROR(VLOOKUP(A472,[1]diabetes_Recognition!$A:$B,2,FALSE),"Not Sampled")</f>
        <v>Not Sampled</v>
      </c>
      <c r="U472" t="str">
        <f>IF(T472=1,"Positive",(IF(T472=0,"Negative","Not Sampled")))</f>
        <v>Not Sampled</v>
      </c>
      <c r="V472" s="1" t="str">
        <f>IF(U472="Not Sampled","Not Sampled",IF(S472=U472,"Accurate Prediction","Inaccurate Prediction"))</f>
        <v>Not Sampled</v>
      </c>
    </row>
    <row r="473" spans="1:22" x14ac:dyDescent="0.25">
      <c r="A473" s="1">
        <v>471</v>
      </c>
      <c r="B473" s="1">
        <v>0</v>
      </c>
      <c r="C473" s="1">
        <f>LOOKUP(B473,Sheet2!$D$4:$E$9)</f>
        <v>0</v>
      </c>
      <c r="D473" s="1">
        <v>137</v>
      </c>
      <c r="E473" t="str">
        <f>LOOKUP(D473,Sheet2!$G$4:$H$9)</f>
        <v>126-150</v>
      </c>
      <c r="F473" s="1">
        <v>70</v>
      </c>
      <c r="G473" t="str">
        <f>LOOKUP(F473,Sheet2!$J$4:$K$8)</f>
        <v>70-79</v>
      </c>
      <c r="H473" s="1">
        <v>38</v>
      </c>
      <c r="I473" t="str">
        <f>LOOKUP(H473,Sheet2!$M$4:$N$8)</f>
        <v>30-39</v>
      </c>
      <c r="J473" s="1">
        <v>0</v>
      </c>
      <c r="K473" t="str">
        <f>LOOKUP(J473,Sheet2!$P$4:$Q$9)</f>
        <v>Unknown</v>
      </c>
      <c r="L473" s="1">
        <v>33.200000000000003</v>
      </c>
      <c r="M473" t="str">
        <f>LOOKUP(L473,Sheet2!$S$4:$T$8)</f>
        <v>31-35</v>
      </c>
      <c r="N473" s="1">
        <v>0.17</v>
      </c>
      <c r="O473" t="str">
        <f>LOOKUP(N473,Sheet2!$V$4:$W$7)</f>
        <v>0.0 - 0.249</v>
      </c>
      <c r="P473" s="1">
        <v>22</v>
      </c>
      <c r="Q473" t="str">
        <f>LOOKUP(P473,Sheet2!$Z$4:$AA$7)</f>
        <v>&lt;=25</v>
      </c>
      <c r="R473" s="1">
        <v>0</v>
      </c>
      <c r="S473" t="str">
        <f>IF(R473=1,"Positive","Negative")</f>
        <v>Negative</v>
      </c>
      <c r="T473" s="1" t="str">
        <f>IFERROR(VLOOKUP(A473,[1]diabetes_Recognition!$A:$B,2,FALSE),"Not Sampled")</f>
        <v>Not Sampled</v>
      </c>
      <c r="U473" t="str">
        <f>IF(T473=1,"Positive",(IF(T473=0,"Negative","Not Sampled")))</f>
        <v>Not Sampled</v>
      </c>
      <c r="V473" s="1" t="str">
        <f>IF(U473="Not Sampled","Not Sampled",IF(S473=U473,"Accurate Prediction","Inaccurate Prediction"))</f>
        <v>Not Sampled</v>
      </c>
    </row>
    <row r="474" spans="1:22" x14ac:dyDescent="0.25">
      <c r="A474" s="1">
        <v>472</v>
      </c>
      <c r="B474" s="1">
        <v>0</v>
      </c>
      <c r="C474" s="1">
        <f>LOOKUP(B474,Sheet2!$D$4:$E$9)</f>
        <v>0</v>
      </c>
      <c r="D474" s="1">
        <v>119</v>
      </c>
      <c r="E474" t="str">
        <f>LOOKUP(D474,Sheet2!$G$4:$H$9)</f>
        <v>100-125</v>
      </c>
      <c r="F474" s="1">
        <v>66</v>
      </c>
      <c r="G474" t="str">
        <f>LOOKUP(F474,Sheet2!$J$4:$K$8)</f>
        <v>60-69</v>
      </c>
      <c r="H474" s="1">
        <v>27</v>
      </c>
      <c r="I474" t="str">
        <f>LOOKUP(H474,Sheet2!$M$4:$N$8)</f>
        <v>10-30</v>
      </c>
      <c r="J474" s="1">
        <v>0</v>
      </c>
      <c r="K474" t="str">
        <f>LOOKUP(J474,Sheet2!$P$4:$Q$9)</f>
        <v>Unknown</v>
      </c>
      <c r="L474" s="1">
        <v>38.799999999999997</v>
      </c>
      <c r="M474" t="str">
        <f>LOOKUP(L474,Sheet2!$S$4:$T$8)</f>
        <v>36+</v>
      </c>
      <c r="N474" s="1">
        <v>0.25900000000000001</v>
      </c>
      <c r="O474" t="str">
        <f>LOOKUP(N474,Sheet2!$V$4:$W$7)</f>
        <v>0.25 - 0.39</v>
      </c>
      <c r="P474" s="1">
        <v>22</v>
      </c>
      <c r="Q474" t="str">
        <f>LOOKUP(P474,Sheet2!$Z$4:$AA$7)</f>
        <v>&lt;=25</v>
      </c>
      <c r="R474" s="1">
        <v>0</v>
      </c>
      <c r="S474" t="str">
        <f>IF(R474=1,"Positive","Negative")</f>
        <v>Negative</v>
      </c>
      <c r="T474" s="1" t="str">
        <f>IFERROR(VLOOKUP(A474,[1]diabetes_Recognition!$A:$B,2,FALSE),"Not Sampled")</f>
        <v>Not Sampled</v>
      </c>
      <c r="U474" t="str">
        <f>IF(T474=1,"Positive",(IF(T474=0,"Negative","Not Sampled")))</f>
        <v>Not Sampled</v>
      </c>
      <c r="V474" s="1" t="str">
        <f>IF(U474="Not Sampled","Not Sampled",IF(S474=U474,"Accurate Prediction","Inaccurate Prediction"))</f>
        <v>Not Sampled</v>
      </c>
    </row>
    <row r="475" spans="1:22" x14ac:dyDescent="0.25">
      <c r="A475" s="1">
        <v>473</v>
      </c>
      <c r="B475" s="1">
        <v>7</v>
      </c>
      <c r="C475" s="1" t="str">
        <f>LOOKUP(B475,Sheet2!$D$4:$E$9)</f>
        <v>5-7</v>
      </c>
      <c r="D475" s="1">
        <v>136</v>
      </c>
      <c r="E475" t="str">
        <f>LOOKUP(D475,Sheet2!$G$4:$H$9)</f>
        <v>126-150</v>
      </c>
      <c r="F475" s="1">
        <v>90</v>
      </c>
      <c r="G475" t="str">
        <f>LOOKUP(F475,Sheet2!$J$4:$K$8)</f>
        <v>80+</v>
      </c>
      <c r="H475" s="1">
        <v>0</v>
      </c>
      <c r="I475" t="str">
        <f>LOOKUP(H475,Sheet2!$M$4:$N$8)</f>
        <v>Unknown</v>
      </c>
      <c r="J475" s="1">
        <v>0</v>
      </c>
      <c r="K475" t="str">
        <f>LOOKUP(J475,Sheet2!$P$4:$Q$9)</f>
        <v>Unknown</v>
      </c>
      <c r="L475" s="1">
        <v>29.9</v>
      </c>
      <c r="M475" t="str">
        <f>LOOKUP(L475,Sheet2!$S$4:$T$8)</f>
        <v>26-30</v>
      </c>
      <c r="N475" s="1">
        <v>0.21</v>
      </c>
      <c r="O475" t="str">
        <f>LOOKUP(N475,Sheet2!$V$4:$W$7)</f>
        <v>0.0 - 0.249</v>
      </c>
      <c r="P475" s="1">
        <v>50</v>
      </c>
      <c r="Q475" t="str">
        <f>LOOKUP(P475,Sheet2!$Z$4:$AA$7)</f>
        <v>46+</v>
      </c>
      <c r="R475" s="1">
        <v>0</v>
      </c>
      <c r="S475" t="str">
        <f>IF(R475=1,"Positive","Negative")</f>
        <v>Negative</v>
      </c>
      <c r="T475" s="1" t="str">
        <f>IFERROR(VLOOKUP(A475,[1]diabetes_Recognition!$A:$B,2,FALSE),"Not Sampled")</f>
        <v>Not Sampled</v>
      </c>
      <c r="U475" t="str">
        <f>IF(T475=1,"Positive",(IF(T475=0,"Negative","Not Sampled")))</f>
        <v>Not Sampled</v>
      </c>
      <c r="V475" s="1" t="str">
        <f>IF(U475="Not Sampled","Not Sampled",IF(S475=U475,"Accurate Prediction","Inaccurate Prediction"))</f>
        <v>Not Sampled</v>
      </c>
    </row>
    <row r="476" spans="1:22" x14ac:dyDescent="0.25">
      <c r="A476" s="1">
        <v>474</v>
      </c>
      <c r="B476" s="1">
        <v>4</v>
      </c>
      <c r="C476" s="1" t="str">
        <f>LOOKUP(B476,Sheet2!$D$4:$E$9)</f>
        <v>3-4</v>
      </c>
      <c r="D476" s="1">
        <v>114</v>
      </c>
      <c r="E476" t="str">
        <f>LOOKUP(D476,Sheet2!$G$4:$H$9)</f>
        <v>100-125</v>
      </c>
      <c r="F476" s="1">
        <v>64</v>
      </c>
      <c r="G476" t="str">
        <f>LOOKUP(F476,Sheet2!$J$4:$K$8)</f>
        <v>60-69</v>
      </c>
      <c r="H476" s="1">
        <v>0</v>
      </c>
      <c r="I476" t="str">
        <f>LOOKUP(H476,Sheet2!$M$4:$N$8)</f>
        <v>Unknown</v>
      </c>
      <c r="J476" s="1">
        <v>0</v>
      </c>
      <c r="K476" t="str">
        <f>LOOKUP(J476,Sheet2!$P$4:$Q$9)</f>
        <v>Unknown</v>
      </c>
      <c r="L476" s="1">
        <v>28.9</v>
      </c>
      <c r="M476" t="str">
        <f>LOOKUP(L476,Sheet2!$S$4:$T$8)</f>
        <v>26-30</v>
      </c>
      <c r="N476" s="1">
        <v>0.126</v>
      </c>
      <c r="O476" t="str">
        <f>LOOKUP(N476,Sheet2!$V$4:$W$7)</f>
        <v>0.0 - 0.249</v>
      </c>
      <c r="P476" s="1">
        <v>24</v>
      </c>
      <c r="Q476" t="str">
        <f>LOOKUP(P476,Sheet2!$Z$4:$AA$7)</f>
        <v>&lt;=25</v>
      </c>
      <c r="R476" s="1">
        <v>0</v>
      </c>
      <c r="S476" t="str">
        <f>IF(R476=1,"Positive","Negative")</f>
        <v>Negative</v>
      </c>
      <c r="T476" s="1" t="str">
        <f>IFERROR(VLOOKUP(A476,[1]diabetes_Recognition!$A:$B,2,FALSE),"Not Sampled")</f>
        <v>Not Sampled</v>
      </c>
      <c r="U476" t="str">
        <f>IF(T476=1,"Positive",(IF(T476=0,"Negative","Not Sampled")))</f>
        <v>Not Sampled</v>
      </c>
      <c r="V476" s="1" t="str">
        <f>IF(U476="Not Sampled","Not Sampled",IF(S476=U476,"Accurate Prediction","Inaccurate Prediction"))</f>
        <v>Not Sampled</v>
      </c>
    </row>
    <row r="477" spans="1:22" x14ac:dyDescent="0.25">
      <c r="A477" s="1">
        <v>475</v>
      </c>
      <c r="B477" s="1">
        <v>0</v>
      </c>
      <c r="C477" s="1">
        <f>LOOKUP(B477,Sheet2!$D$4:$E$9)</f>
        <v>0</v>
      </c>
      <c r="D477" s="1">
        <v>137</v>
      </c>
      <c r="E477" t="str">
        <f>LOOKUP(D477,Sheet2!$G$4:$H$9)</f>
        <v>126-150</v>
      </c>
      <c r="F477" s="1">
        <v>84</v>
      </c>
      <c r="G477" t="str">
        <f>LOOKUP(F477,Sheet2!$J$4:$K$8)</f>
        <v>80+</v>
      </c>
      <c r="H477" s="1">
        <v>27</v>
      </c>
      <c r="I477" t="str">
        <f>LOOKUP(H477,Sheet2!$M$4:$N$8)</f>
        <v>10-30</v>
      </c>
      <c r="J477" s="1">
        <v>0</v>
      </c>
      <c r="K477" t="str">
        <f>LOOKUP(J477,Sheet2!$P$4:$Q$9)</f>
        <v>Unknown</v>
      </c>
      <c r="L477" s="1">
        <v>27.3</v>
      </c>
      <c r="M477" t="str">
        <f>LOOKUP(L477,Sheet2!$S$4:$T$8)</f>
        <v>26-30</v>
      </c>
      <c r="N477" s="1">
        <v>0.23100000000000001</v>
      </c>
      <c r="O477" t="str">
        <f>LOOKUP(N477,Sheet2!$V$4:$W$7)</f>
        <v>0.0 - 0.249</v>
      </c>
      <c r="P477" s="1">
        <v>59</v>
      </c>
      <c r="Q477" t="str">
        <f>LOOKUP(P477,Sheet2!$Z$4:$AA$7)</f>
        <v>46+</v>
      </c>
      <c r="R477" s="1">
        <v>0</v>
      </c>
      <c r="S477" t="str">
        <f>IF(R477=1,"Positive","Negative")</f>
        <v>Negative</v>
      </c>
      <c r="T477" s="1" t="str">
        <f>IFERROR(VLOOKUP(A477,[1]diabetes_Recognition!$A:$B,2,FALSE),"Not Sampled")</f>
        <v>Not Sampled</v>
      </c>
      <c r="U477" t="str">
        <f>IF(T477=1,"Positive",(IF(T477=0,"Negative","Not Sampled")))</f>
        <v>Not Sampled</v>
      </c>
      <c r="V477" s="1" t="str">
        <f>IF(U477="Not Sampled","Not Sampled",IF(S477=U477,"Accurate Prediction","Inaccurate Prediction"))</f>
        <v>Not Sampled</v>
      </c>
    </row>
    <row r="478" spans="1:22" x14ac:dyDescent="0.25">
      <c r="A478" s="1">
        <v>476</v>
      </c>
      <c r="B478" s="1">
        <v>2</v>
      </c>
      <c r="C478" s="1">
        <f>LOOKUP(B478,Sheet2!$D$4:$E$9)</f>
        <v>2</v>
      </c>
      <c r="D478" s="1">
        <v>105</v>
      </c>
      <c r="E478" t="str">
        <f>LOOKUP(D478,Sheet2!$G$4:$H$9)</f>
        <v>100-125</v>
      </c>
      <c r="F478" s="1">
        <v>80</v>
      </c>
      <c r="G478" t="str">
        <f>LOOKUP(F478,Sheet2!$J$4:$K$8)</f>
        <v>80+</v>
      </c>
      <c r="H478" s="1">
        <v>45</v>
      </c>
      <c r="I478" t="str">
        <f>LOOKUP(H478,Sheet2!$M$4:$N$8)</f>
        <v>40+</v>
      </c>
      <c r="J478" s="1">
        <v>191</v>
      </c>
      <c r="K478" t="str">
        <f>LOOKUP(J478,Sheet2!$P$4:$Q$9)</f>
        <v>100-199</v>
      </c>
      <c r="L478" s="1">
        <v>33.700000000000003</v>
      </c>
      <c r="M478" t="str">
        <f>LOOKUP(L478,Sheet2!$S$4:$T$8)</f>
        <v>31-35</v>
      </c>
      <c r="N478" s="1">
        <v>0.71099999999999997</v>
      </c>
      <c r="O478" t="str">
        <f>LOOKUP(N478,Sheet2!$V$4:$W$7)</f>
        <v>0.7+</v>
      </c>
      <c r="P478" s="1">
        <v>29</v>
      </c>
      <c r="Q478" t="str">
        <f>LOOKUP(P478,Sheet2!$Z$4:$AA$7)</f>
        <v>26-35</v>
      </c>
      <c r="R478" s="1">
        <v>1</v>
      </c>
      <c r="S478" t="str">
        <f>IF(R478=1,"Positive","Negative")</f>
        <v>Positive</v>
      </c>
      <c r="T478" s="1" t="str">
        <f>IFERROR(VLOOKUP(A478,[1]diabetes_Recognition!$A:$B,2,FALSE),"Not Sampled")</f>
        <v>Not Sampled</v>
      </c>
      <c r="U478" t="str">
        <f>IF(T478=1,"Positive",(IF(T478=0,"Negative","Not Sampled")))</f>
        <v>Not Sampled</v>
      </c>
      <c r="V478" s="1" t="str">
        <f>IF(U478="Not Sampled","Not Sampled",IF(S478=U478,"Accurate Prediction","Inaccurate Prediction"))</f>
        <v>Not Sampled</v>
      </c>
    </row>
    <row r="479" spans="1:22" x14ac:dyDescent="0.25">
      <c r="A479" s="1">
        <v>477</v>
      </c>
      <c r="B479" s="1">
        <v>7</v>
      </c>
      <c r="C479" s="1" t="str">
        <f>LOOKUP(B479,Sheet2!$D$4:$E$9)</f>
        <v>5-7</v>
      </c>
      <c r="D479" s="1">
        <v>114</v>
      </c>
      <c r="E479" t="str">
        <f>LOOKUP(D479,Sheet2!$G$4:$H$9)</f>
        <v>100-125</v>
      </c>
      <c r="F479" s="1">
        <v>76</v>
      </c>
      <c r="G479" t="str">
        <f>LOOKUP(F479,Sheet2!$J$4:$K$8)</f>
        <v>70-79</v>
      </c>
      <c r="H479" s="1">
        <v>17</v>
      </c>
      <c r="I479" t="str">
        <f>LOOKUP(H479,Sheet2!$M$4:$N$8)</f>
        <v>10-30</v>
      </c>
      <c r="J479" s="1">
        <v>110</v>
      </c>
      <c r="K479" t="str">
        <f>LOOKUP(J479,Sheet2!$P$4:$Q$9)</f>
        <v>100-199</v>
      </c>
      <c r="L479" s="1">
        <v>23.8</v>
      </c>
      <c r="M479" t="str">
        <f>LOOKUP(L479,Sheet2!$S$4:$T$8)</f>
        <v>1-25</v>
      </c>
      <c r="N479" s="1">
        <v>0.46600000000000003</v>
      </c>
      <c r="O479" t="str">
        <f>LOOKUP(N479,Sheet2!$V$4:$W$7)</f>
        <v>0.4 - 0.69</v>
      </c>
      <c r="P479" s="1">
        <v>31</v>
      </c>
      <c r="Q479" t="str">
        <f>LOOKUP(P479,Sheet2!$Z$4:$AA$7)</f>
        <v>26-35</v>
      </c>
      <c r="R479" s="1">
        <v>0</v>
      </c>
      <c r="S479" t="str">
        <f>IF(R479=1,"Positive","Negative")</f>
        <v>Negative</v>
      </c>
      <c r="T479" s="1" t="str">
        <f>IFERROR(VLOOKUP(A479,[1]diabetes_Recognition!$A:$B,2,FALSE),"Not Sampled")</f>
        <v>Not Sampled</v>
      </c>
      <c r="U479" t="str">
        <f>IF(T479=1,"Positive",(IF(T479=0,"Negative","Not Sampled")))</f>
        <v>Not Sampled</v>
      </c>
      <c r="V479" s="1" t="str">
        <f>IF(U479="Not Sampled","Not Sampled",IF(S479=U479,"Accurate Prediction","Inaccurate Prediction"))</f>
        <v>Not Sampled</v>
      </c>
    </row>
    <row r="480" spans="1:22" x14ac:dyDescent="0.25">
      <c r="A480" s="1">
        <v>478</v>
      </c>
      <c r="B480" s="1">
        <v>8</v>
      </c>
      <c r="C480" s="1" t="str">
        <f>LOOKUP(B480,Sheet2!$D$4:$E$9)</f>
        <v>8+</v>
      </c>
      <c r="D480" s="1">
        <v>126</v>
      </c>
      <c r="E480" t="str">
        <f>LOOKUP(D480,Sheet2!$G$4:$H$9)</f>
        <v>126-150</v>
      </c>
      <c r="F480" s="1">
        <v>74</v>
      </c>
      <c r="G480" t="str">
        <f>LOOKUP(F480,Sheet2!$J$4:$K$8)</f>
        <v>70-79</v>
      </c>
      <c r="H480" s="1">
        <v>38</v>
      </c>
      <c r="I480" t="str">
        <f>LOOKUP(H480,Sheet2!$M$4:$N$8)</f>
        <v>30-39</v>
      </c>
      <c r="J480" s="1">
        <v>75</v>
      </c>
      <c r="K480" t="str">
        <f>LOOKUP(J480,Sheet2!$P$4:$Q$9)</f>
        <v>1-99</v>
      </c>
      <c r="L480" s="1">
        <v>25.9</v>
      </c>
      <c r="M480" t="str">
        <f>LOOKUP(L480,Sheet2!$S$4:$T$8)</f>
        <v>1-25</v>
      </c>
      <c r="N480" s="1">
        <v>0.16200000000000001</v>
      </c>
      <c r="O480" t="str">
        <f>LOOKUP(N480,Sheet2!$V$4:$W$7)</f>
        <v>0.0 - 0.249</v>
      </c>
      <c r="P480" s="1">
        <v>39</v>
      </c>
      <c r="Q480" t="str">
        <f>LOOKUP(P480,Sheet2!$Z$4:$AA$7)</f>
        <v>36-45</v>
      </c>
      <c r="R480" s="1">
        <v>0</v>
      </c>
      <c r="S480" t="str">
        <f>IF(R480=1,"Positive","Negative")</f>
        <v>Negative</v>
      </c>
      <c r="T480" s="1">
        <f>IFERROR(VLOOKUP(A480,[1]diabetes_Recognition!$A:$B,2,FALSE),"Not Sampled")</f>
        <v>0</v>
      </c>
      <c r="U480" t="str">
        <f>IF(T480=1,"Positive",(IF(T480=0,"Negative","Not Sampled")))</f>
        <v>Negative</v>
      </c>
      <c r="V480" s="1" t="str">
        <f>IF(U480="Not Sampled","Not Sampled",IF(S480=U480,"Accurate Prediction","Inaccurate Prediction"))</f>
        <v>Accurate Prediction</v>
      </c>
    </row>
    <row r="481" spans="1:22" x14ac:dyDescent="0.25">
      <c r="A481" s="1">
        <v>479</v>
      </c>
      <c r="B481" s="1">
        <v>4</v>
      </c>
      <c r="C481" s="1" t="str">
        <f>LOOKUP(B481,Sheet2!$D$4:$E$9)</f>
        <v>3-4</v>
      </c>
      <c r="D481" s="1">
        <v>132</v>
      </c>
      <c r="E481" t="str">
        <f>LOOKUP(D481,Sheet2!$G$4:$H$9)</f>
        <v>126-150</v>
      </c>
      <c r="F481" s="1">
        <v>86</v>
      </c>
      <c r="G481" t="str">
        <f>LOOKUP(F481,Sheet2!$J$4:$K$8)</f>
        <v>80+</v>
      </c>
      <c r="H481" s="1">
        <v>31</v>
      </c>
      <c r="I481" t="str">
        <f>LOOKUP(H481,Sheet2!$M$4:$N$8)</f>
        <v>30-39</v>
      </c>
      <c r="J481" s="1">
        <v>0</v>
      </c>
      <c r="K481" t="str">
        <f>LOOKUP(J481,Sheet2!$P$4:$Q$9)</f>
        <v>Unknown</v>
      </c>
      <c r="L481" s="1">
        <v>28</v>
      </c>
      <c r="M481" t="str">
        <f>LOOKUP(L481,Sheet2!$S$4:$T$8)</f>
        <v>26-30</v>
      </c>
      <c r="N481" s="1">
        <v>0.41899999999999998</v>
      </c>
      <c r="O481" t="str">
        <f>LOOKUP(N481,Sheet2!$V$4:$W$7)</f>
        <v>0.4 - 0.69</v>
      </c>
      <c r="P481" s="1">
        <v>63</v>
      </c>
      <c r="Q481" t="str">
        <f>LOOKUP(P481,Sheet2!$Z$4:$AA$7)</f>
        <v>46+</v>
      </c>
      <c r="R481" s="1">
        <v>0</v>
      </c>
      <c r="S481" t="str">
        <f>IF(R481=1,"Positive","Negative")</f>
        <v>Negative</v>
      </c>
      <c r="T481" s="1" t="str">
        <f>IFERROR(VLOOKUP(A481,[1]diabetes_Recognition!$A:$B,2,FALSE),"Not Sampled")</f>
        <v>Not Sampled</v>
      </c>
      <c r="U481" t="str">
        <f>IF(T481=1,"Positive",(IF(T481=0,"Negative","Not Sampled")))</f>
        <v>Not Sampled</v>
      </c>
      <c r="V481" s="1" t="str">
        <f>IF(U481="Not Sampled","Not Sampled",IF(S481=U481,"Accurate Prediction","Inaccurate Prediction"))</f>
        <v>Not Sampled</v>
      </c>
    </row>
    <row r="482" spans="1:22" x14ac:dyDescent="0.25">
      <c r="A482" s="1">
        <v>480</v>
      </c>
      <c r="B482" s="1">
        <v>3</v>
      </c>
      <c r="C482" s="1" t="str">
        <f>LOOKUP(B482,Sheet2!$D$4:$E$9)</f>
        <v>3-4</v>
      </c>
      <c r="D482" s="1">
        <v>158</v>
      </c>
      <c r="E482" t="str">
        <f>LOOKUP(D482,Sheet2!$G$4:$H$9)</f>
        <v>151-175</v>
      </c>
      <c r="F482" s="1">
        <v>70</v>
      </c>
      <c r="G482" t="str">
        <f>LOOKUP(F482,Sheet2!$J$4:$K$8)</f>
        <v>70-79</v>
      </c>
      <c r="H482" s="1">
        <v>30</v>
      </c>
      <c r="I482" t="str">
        <f>LOOKUP(H482,Sheet2!$M$4:$N$8)</f>
        <v>30-39</v>
      </c>
      <c r="J482" s="1">
        <v>328</v>
      </c>
      <c r="K482" t="str">
        <f>LOOKUP(J482,Sheet2!$P$4:$Q$9)</f>
        <v>300-499</v>
      </c>
      <c r="L482" s="1">
        <v>35.5</v>
      </c>
      <c r="M482" t="str">
        <f>LOOKUP(L482,Sheet2!$S$4:$T$8)</f>
        <v>31-35</v>
      </c>
      <c r="N482" s="1">
        <v>0.34399999999999997</v>
      </c>
      <c r="O482" t="str">
        <f>LOOKUP(N482,Sheet2!$V$4:$W$7)</f>
        <v>0.25 - 0.39</v>
      </c>
      <c r="P482" s="1">
        <v>35</v>
      </c>
      <c r="Q482" t="str">
        <f>LOOKUP(P482,Sheet2!$Z$4:$AA$7)</f>
        <v>26-35</v>
      </c>
      <c r="R482" s="1">
        <v>1</v>
      </c>
      <c r="S482" t="str">
        <f>IF(R482=1,"Positive","Negative")</f>
        <v>Positive</v>
      </c>
      <c r="T482" s="1">
        <f>IFERROR(VLOOKUP(A482,[1]diabetes_Recognition!$A:$B,2,FALSE),"Not Sampled")</f>
        <v>1</v>
      </c>
      <c r="U482" t="str">
        <f>IF(T482=1,"Positive",(IF(T482=0,"Negative","Not Sampled")))</f>
        <v>Positive</v>
      </c>
      <c r="V482" s="1" t="str">
        <f>IF(U482="Not Sampled","Not Sampled",IF(S482=U482,"Accurate Prediction","Inaccurate Prediction"))</f>
        <v>Accurate Prediction</v>
      </c>
    </row>
    <row r="483" spans="1:22" x14ac:dyDescent="0.25">
      <c r="A483" s="1">
        <v>481</v>
      </c>
      <c r="B483" s="1">
        <v>0</v>
      </c>
      <c r="C483" s="1">
        <f>LOOKUP(B483,Sheet2!$D$4:$E$9)</f>
        <v>0</v>
      </c>
      <c r="D483" s="1">
        <v>123</v>
      </c>
      <c r="E483" t="str">
        <f>LOOKUP(D483,Sheet2!$G$4:$H$9)</f>
        <v>100-125</v>
      </c>
      <c r="F483" s="1">
        <v>88</v>
      </c>
      <c r="G483" t="str">
        <f>LOOKUP(F483,Sheet2!$J$4:$K$8)</f>
        <v>80+</v>
      </c>
      <c r="H483" s="1">
        <v>37</v>
      </c>
      <c r="I483" t="str">
        <f>LOOKUP(H483,Sheet2!$M$4:$N$8)</f>
        <v>30-39</v>
      </c>
      <c r="J483" s="1">
        <v>0</v>
      </c>
      <c r="K483" t="str">
        <f>LOOKUP(J483,Sheet2!$P$4:$Q$9)</f>
        <v>Unknown</v>
      </c>
      <c r="L483" s="1">
        <v>35.200000000000003</v>
      </c>
      <c r="M483" t="str">
        <f>LOOKUP(L483,Sheet2!$S$4:$T$8)</f>
        <v>31-35</v>
      </c>
      <c r="N483" s="1">
        <v>0.19700000000000001</v>
      </c>
      <c r="O483" t="str">
        <f>LOOKUP(N483,Sheet2!$V$4:$W$7)</f>
        <v>0.0 - 0.249</v>
      </c>
      <c r="P483" s="1">
        <v>29</v>
      </c>
      <c r="Q483" t="str">
        <f>LOOKUP(P483,Sheet2!$Z$4:$AA$7)</f>
        <v>26-35</v>
      </c>
      <c r="R483" s="1">
        <v>0</v>
      </c>
      <c r="S483" t="str">
        <f>IF(R483=1,"Positive","Negative")</f>
        <v>Negative</v>
      </c>
      <c r="T483" s="1" t="str">
        <f>IFERROR(VLOOKUP(A483,[1]diabetes_Recognition!$A:$B,2,FALSE),"Not Sampled")</f>
        <v>Not Sampled</v>
      </c>
      <c r="U483" t="str">
        <f>IF(T483=1,"Positive",(IF(T483=0,"Negative","Not Sampled")))</f>
        <v>Not Sampled</v>
      </c>
      <c r="V483" s="1" t="str">
        <f>IF(U483="Not Sampled","Not Sampled",IF(S483=U483,"Accurate Prediction","Inaccurate Prediction"))</f>
        <v>Not Sampled</v>
      </c>
    </row>
    <row r="484" spans="1:22" x14ac:dyDescent="0.25">
      <c r="A484" s="1">
        <v>482</v>
      </c>
      <c r="B484" s="1">
        <v>4</v>
      </c>
      <c r="C484" s="1" t="str">
        <f>LOOKUP(B484,Sheet2!$D$4:$E$9)</f>
        <v>3-4</v>
      </c>
      <c r="D484" s="1">
        <v>85</v>
      </c>
      <c r="E484" t="str">
        <f>LOOKUP(D484,Sheet2!$G$4:$H$9)</f>
        <v>1-99</v>
      </c>
      <c r="F484" s="1">
        <v>58</v>
      </c>
      <c r="G484" t="str">
        <f>LOOKUP(F484,Sheet2!$J$4:$K$8)</f>
        <v>1-59</v>
      </c>
      <c r="H484" s="1">
        <v>22</v>
      </c>
      <c r="I484" t="str">
        <f>LOOKUP(H484,Sheet2!$M$4:$N$8)</f>
        <v>10-30</v>
      </c>
      <c r="J484" s="1">
        <v>49</v>
      </c>
      <c r="K484" t="str">
        <f>LOOKUP(J484,Sheet2!$P$4:$Q$9)</f>
        <v>1-99</v>
      </c>
      <c r="L484" s="1">
        <v>27.8</v>
      </c>
      <c r="M484" t="str">
        <f>LOOKUP(L484,Sheet2!$S$4:$T$8)</f>
        <v>26-30</v>
      </c>
      <c r="N484" s="1">
        <v>0.30599999999999999</v>
      </c>
      <c r="O484" t="str">
        <f>LOOKUP(N484,Sheet2!$V$4:$W$7)</f>
        <v>0.25 - 0.39</v>
      </c>
      <c r="P484" s="1">
        <v>28</v>
      </c>
      <c r="Q484" t="str">
        <f>LOOKUP(P484,Sheet2!$Z$4:$AA$7)</f>
        <v>26-35</v>
      </c>
      <c r="R484" s="1">
        <v>0</v>
      </c>
      <c r="S484" t="str">
        <f>IF(R484=1,"Positive","Negative")</f>
        <v>Negative</v>
      </c>
      <c r="T484" s="1" t="str">
        <f>IFERROR(VLOOKUP(A484,[1]diabetes_Recognition!$A:$B,2,FALSE),"Not Sampled")</f>
        <v>Not Sampled</v>
      </c>
      <c r="U484" t="str">
        <f>IF(T484=1,"Positive",(IF(T484=0,"Negative","Not Sampled")))</f>
        <v>Not Sampled</v>
      </c>
      <c r="V484" s="1" t="str">
        <f>IF(U484="Not Sampled","Not Sampled",IF(S484=U484,"Accurate Prediction","Inaccurate Prediction"))</f>
        <v>Not Sampled</v>
      </c>
    </row>
    <row r="485" spans="1:22" x14ac:dyDescent="0.25">
      <c r="A485" s="1">
        <v>483</v>
      </c>
      <c r="B485" s="1">
        <v>0</v>
      </c>
      <c r="C485" s="1">
        <f>LOOKUP(B485,Sheet2!$D$4:$E$9)</f>
        <v>0</v>
      </c>
      <c r="D485" s="1">
        <v>84</v>
      </c>
      <c r="E485" t="str">
        <f>LOOKUP(D485,Sheet2!$G$4:$H$9)</f>
        <v>1-99</v>
      </c>
      <c r="F485" s="1">
        <v>82</v>
      </c>
      <c r="G485" t="str">
        <f>LOOKUP(F485,Sheet2!$J$4:$K$8)</f>
        <v>80+</v>
      </c>
      <c r="H485" s="1">
        <v>31</v>
      </c>
      <c r="I485" t="str">
        <f>LOOKUP(H485,Sheet2!$M$4:$N$8)</f>
        <v>30-39</v>
      </c>
      <c r="J485" s="1">
        <v>125</v>
      </c>
      <c r="K485" t="str">
        <f>LOOKUP(J485,Sheet2!$P$4:$Q$9)</f>
        <v>100-199</v>
      </c>
      <c r="L485" s="1">
        <v>38.200000000000003</v>
      </c>
      <c r="M485" t="str">
        <f>LOOKUP(L485,Sheet2!$S$4:$T$8)</f>
        <v>36+</v>
      </c>
      <c r="N485" s="1">
        <v>0.23300000000000001</v>
      </c>
      <c r="O485" t="str">
        <f>LOOKUP(N485,Sheet2!$V$4:$W$7)</f>
        <v>0.0 - 0.249</v>
      </c>
      <c r="P485" s="1">
        <v>23</v>
      </c>
      <c r="Q485" t="str">
        <f>LOOKUP(P485,Sheet2!$Z$4:$AA$7)</f>
        <v>&lt;=25</v>
      </c>
      <c r="R485" s="1">
        <v>0</v>
      </c>
      <c r="S485" t="str">
        <f>IF(R485=1,"Positive","Negative")</f>
        <v>Negative</v>
      </c>
      <c r="T485" s="1" t="str">
        <f>IFERROR(VLOOKUP(A485,[1]diabetes_Recognition!$A:$B,2,FALSE),"Not Sampled")</f>
        <v>Not Sampled</v>
      </c>
      <c r="U485" t="str">
        <f>IF(T485=1,"Positive",(IF(T485=0,"Negative","Not Sampled")))</f>
        <v>Not Sampled</v>
      </c>
      <c r="V485" s="1" t="str">
        <f>IF(U485="Not Sampled","Not Sampled",IF(S485=U485,"Accurate Prediction","Inaccurate Prediction"))</f>
        <v>Not Sampled</v>
      </c>
    </row>
    <row r="486" spans="1:22" x14ac:dyDescent="0.25">
      <c r="A486" s="1">
        <v>484</v>
      </c>
      <c r="B486" s="1">
        <v>0</v>
      </c>
      <c r="C486" s="1">
        <f>LOOKUP(B486,Sheet2!$D$4:$E$9)</f>
        <v>0</v>
      </c>
      <c r="D486" s="1">
        <v>145</v>
      </c>
      <c r="E486" t="str">
        <f>LOOKUP(D486,Sheet2!$G$4:$H$9)</f>
        <v>126-150</v>
      </c>
      <c r="F486" s="1">
        <v>0</v>
      </c>
      <c r="G486" t="str">
        <f>LOOKUP(F486,Sheet2!$J$4:$K$8)</f>
        <v>Unknown</v>
      </c>
      <c r="H486" s="1">
        <v>0</v>
      </c>
      <c r="I486" t="str">
        <f>LOOKUP(H486,Sheet2!$M$4:$N$8)</f>
        <v>Unknown</v>
      </c>
      <c r="J486" s="1">
        <v>0</v>
      </c>
      <c r="K486" t="str">
        <f>LOOKUP(J486,Sheet2!$P$4:$Q$9)</f>
        <v>Unknown</v>
      </c>
      <c r="L486" s="1">
        <v>44.2</v>
      </c>
      <c r="M486" t="str">
        <f>LOOKUP(L486,Sheet2!$S$4:$T$8)</f>
        <v>36+</v>
      </c>
      <c r="N486" s="1">
        <v>0.63</v>
      </c>
      <c r="O486" t="str">
        <f>LOOKUP(N486,Sheet2!$V$4:$W$7)</f>
        <v>0.4 - 0.69</v>
      </c>
      <c r="P486" s="1">
        <v>31</v>
      </c>
      <c r="Q486" t="str">
        <f>LOOKUP(P486,Sheet2!$Z$4:$AA$7)</f>
        <v>26-35</v>
      </c>
      <c r="R486" s="1">
        <v>1</v>
      </c>
      <c r="S486" t="str">
        <f>IF(R486=1,"Positive","Negative")</f>
        <v>Positive</v>
      </c>
      <c r="T486" s="1" t="str">
        <f>IFERROR(VLOOKUP(A486,[1]diabetes_Recognition!$A:$B,2,FALSE),"Not Sampled")</f>
        <v>Not Sampled</v>
      </c>
      <c r="U486" t="str">
        <f>IF(T486=1,"Positive",(IF(T486=0,"Negative","Not Sampled")))</f>
        <v>Not Sampled</v>
      </c>
      <c r="V486" s="1" t="str">
        <f>IF(U486="Not Sampled","Not Sampled",IF(S486=U486,"Accurate Prediction","Inaccurate Prediction"))</f>
        <v>Not Sampled</v>
      </c>
    </row>
    <row r="487" spans="1:22" x14ac:dyDescent="0.25">
      <c r="A487" s="1">
        <v>485</v>
      </c>
      <c r="B487" s="1">
        <v>0</v>
      </c>
      <c r="C487" s="1">
        <f>LOOKUP(B487,Sheet2!$D$4:$E$9)</f>
        <v>0</v>
      </c>
      <c r="D487" s="1">
        <v>135</v>
      </c>
      <c r="E487" t="str">
        <f>LOOKUP(D487,Sheet2!$G$4:$H$9)</f>
        <v>126-150</v>
      </c>
      <c r="F487" s="1">
        <v>68</v>
      </c>
      <c r="G487" t="str">
        <f>LOOKUP(F487,Sheet2!$J$4:$K$8)</f>
        <v>60-69</v>
      </c>
      <c r="H487" s="1">
        <v>42</v>
      </c>
      <c r="I487" t="str">
        <f>LOOKUP(H487,Sheet2!$M$4:$N$8)</f>
        <v>40+</v>
      </c>
      <c r="J487" s="1">
        <v>250</v>
      </c>
      <c r="K487" t="str">
        <f>LOOKUP(J487,Sheet2!$P$4:$Q$9)</f>
        <v>200-399</v>
      </c>
      <c r="L487" s="1">
        <v>42.3</v>
      </c>
      <c r="M487" t="str">
        <f>LOOKUP(L487,Sheet2!$S$4:$T$8)</f>
        <v>36+</v>
      </c>
      <c r="N487" s="1">
        <v>0.36499999999999999</v>
      </c>
      <c r="O487" t="str">
        <f>LOOKUP(N487,Sheet2!$V$4:$W$7)</f>
        <v>0.25 - 0.39</v>
      </c>
      <c r="P487" s="1">
        <v>24</v>
      </c>
      <c r="Q487" t="str">
        <f>LOOKUP(P487,Sheet2!$Z$4:$AA$7)</f>
        <v>&lt;=25</v>
      </c>
      <c r="R487" s="1">
        <v>1</v>
      </c>
      <c r="S487" t="str">
        <f>IF(R487=1,"Positive","Negative")</f>
        <v>Positive</v>
      </c>
      <c r="T487" s="1" t="str">
        <f>IFERROR(VLOOKUP(A487,[1]diabetes_Recognition!$A:$B,2,FALSE),"Not Sampled")</f>
        <v>Not Sampled</v>
      </c>
      <c r="U487" t="str">
        <f>IF(T487=1,"Positive",(IF(T487=0,"Negative","Not Sampled")))</f>
        <v>Not Sampled</v>
      </c>
      <c r="V487" s="1" t="str">
        <f>IF(U487="Not Sampled","Not Sampled",IF(S487=U487,"Accurate Prediction","Inaccurate Prediction"))</f>
        <v>Not Sampled</v>
      </c>
    </row>
    <row r="488" spans="1:22" x14ac:dyDescent="0.25">
      <c r="A488" s="1">
        <v>486</v>
      </c>
      <c r="B488" s="1">
        <v>1</v>
      </c>
      <c r="C488" s="1">
        <f>LOOKUP(B488,Sheet2!$D$4:$E$9)</f>
        <v>1</v>
      </c>
      <c r="D488" s="1">
        <v>139</v>
      </c>
      <c r="E488" t="str">
        <f>LOOKUP(D488,Sheet2!$G$4:$H$9)</f>
        <v>126-150</v>
      </c>
      <c r="F488" s="1">
        <v>62</v>
      </c>
      <c r="G488" t="str">
        <f>LOOKUP(F488,Sheet2!$J$4:$K$8)</f>
        <v>60-69</v>
      </c>
      <c r="H488" s="1">
        <v>41</v>
      </c>
      <c r="I488" t="str">
        <f>LOOKUP(H488,Sheet2!$M$4:$N$8)</f>
        <v>40+</v>
      </c>
      <c r="J488" s="1">
        <v>480</v>
      </c>
      <c r="K488" t="str">
        <f>LOOKUP(J488,Sheet2!$P$4:$Q$9)</f>
        <v>300-499</v>
      </c>
      <c r="L488" s="1">
        <v>40.700000000000003</v>
      </c>
      <c r="M488" t="str">
        <f>LOOKUP(L488,Sheet2!$S$4:$T$8)</f>
        <v>36+</v>
      </c>
      <c r="N488" s="1">
        <v>0.53600000000000003</v>
      </c>
      <c r="O488" t="str">
        <f>LOOKUP(N488,Sheet2!$V$4:$W$7)</f>
        <v>0.4 - 0.69</v>
      </c>
      <c r="P488" s="1">
        <v>21</v>
      </c>
      <c r="Q488" t="str">
        <f>LOOKUP(P488,Sheet2!$Z$4:$AA$7)</f>
        <v>&lt;=25</v>
      </c>
      <c r="R488" s="1">
        <v>0</v>
      </c>
      <c r="S488" t="str">
        <f>IF(R488=1,"Positive","Negative")</f>
        <v>Negative</v>
      </c>
      <c r="T488" s="1">
        <f>IFERROR(VLOOKUP(A488,[1]diabetes_Recognition!$A:$B,2,FALSE),"Not Sampled")</f>
        <v>0</v>
      </c>
      <c r="U488" t="str">
        <f>IF(T488=1,"Positive",(IF(T488=0,"Negative","Not Sampled")))</f>
        <v>Negative</v>
      </c>
      <c r="V488" s="1" t="str">
        <f>IF(U488="Not Sampled","Not Sampled",IF(S488=U488,"Accurate Prediction","Inaccurate Prediction"))</f>
        <v>Accurate Prediction</v>
      </c>
    </row>
    <row r="489" spans="1:22" x14ac:dyDescent="0.25">
      <c r="A489" s="1">
        <v>487</v>
      </c>
      <c r="B489" s="1">
        <v>0</v>
      </c>
      <c r="C489" s="1">
        <f>LOOKUP(B489,Sheet2!$D$4:$E$9)</f>
        <v>0</v>
      </c>
      <c r="D489" s="1">
        <v>173</v>
      </c>
      <c r="E489" t="str">
        <f>LOOKUP(D489,Sheet2!$G$4:$H$9)</f>
        <v>151-175</v>
      </c>
      <c r="F489" s="1">
        <v>78</v>
      </c>
      <c r="G489" t="str">
        <f>LOOKUP(F489,Sheet2!$J$4:$K$8)</f>
        <v>70-79</v>
      </c>
      <c r="H489" s="1">
        <v>32</v>
      </c>
      <c r="I489" t="str">
        <f>LOOKUP(H489,Sheet2!$M$4:$N$8)</f>
        <v>30-39</v>
      </c>
      <c r="J489" s="1">
        <v>265</v>
      </c>
      <c r="K489" t="str">
        <f>LOOKUP(J489,Sheet2!$P$4:$Q$9)</f>
        <v>200-399</v>
      </c>
      <c r="L489" s="1">
        <v>46.5</v>
      </c>
      <c r="M489" t="str">
        <f>LOOKUP(L489,Sheet2!$S$4:$T$8)</f>
        <v>36+</v>
      </c>
      <c r="N489" s="1">
        <v>1.159</v>
      </c>
      <c r="O489" t="str">
        <f>LOOKUP(N489,Sheet2!$V$4:$W$7)</f>
        <v>0.7+</v>
      </c>
      <c r="P489" s="1">
        <v>58</v>
      </c>
      <c r="Q489" t="str">
        <f>LOOKUP(P489,Sheet2!$Z$4:$AA$7)</f>
        <v>46+</v>
      </c>
      <c r="R489" s="1">
        <v>0</v>
      </c>
      <c r="S489" t="str">
        <f>IF(R489=1,"Positive","Negative")</f>
        <v>Negative</v>
      </c>
      <c r="T489" s="1" t="str">
        <f>IFERROR(VLOOKUP(A489,[1]diabetes_Recognition!$A:$B,2,FALSE),"Not Sampled")</f>
        <v>Not Sampled</v>
      </c>
      <c r="U489" t="str">
        <f>IF(T489=1,"Positive",(IF(T489=0,"Negative","Not Sampled")))</f>
        <v>Not Sampled</v>
      </c>
      <c r="V489" s="1" t="str">
        <f>IF(U489="Not Sampled","Not Sampled",IF(S489=U489,"Accurate Prediction","Inaccurate Prediction"))</f>
        <v>Not Sampled</v>
      </c>
    </row>
    <row r="490" spans="1:22" x14ac:dyDescent="0.25">
      <c r="A490" s="1">
        <v>488</v>
      </c>
      <c r="B490" s="1">
        <v>4</v>
      </c>
      <c r="C490" s="1" t="str">
        <f>LOOKUP(B490,Sheet2!$D$4:$E$9)</f>
        <v>3-4</v>
      </c>
      <c r="D490" s="1">
        <v>99</v>
      </c>
      <c r="E490" t="str">
        <f>LOOKUP(D490,Sheet2!$G$4:$H$9)</f>
        <v>1-99</v>
      </c>
      <c r="F490" s="1">
        <v>72</v>
      </c>
      <c r="G490" t="str">
        <f>LOOKUP(F490,Sheet2!$J$4:$K$8)</f>
        <v>70-79</v>
      </c>
      <c r="H490" s="1">
        <v>17</v>
      </c>
      <c r="I490" t="str">
        <f>LOOKUP(H490,Sheet2!$M$4:$N$8)</f>
        <v>10-30</v>
      </c>
      <c r="J490" s="1">
        <v>0</v>
      </c>
      <c r="K490" t="str">
        <f>LOOKUP(J490,Sheet2!$P$4:$Q$9)</f>
        <v>Unknown</v>
      </c>
      <c r="L490" s="1">
        <v>25.6</v>
      </c>
      <c r="M490" t="str">
        <f>LOOKUP(L490,Sheet2!$S$4:$T$8)</f>
        <v>1-25</v>
      </c>
      <c r="N490" s="1">
        <v>0.29399999999999998</v>
      </c>
      <c r="O490" t="str">
        <f>LOOKUP(N490,Sheet2!$V$4:$W$7)</f>
        <v>0.25 - 0.39</v>
      </c>
      <c r="P490" s="1">
        <v>28</v>
      </c>
      <c r="Q490" t="str">
        <f>LOOKUP(P490,Sheet2!$Z$4:$AA$7)</f>
        <v>26-35</v>
      </c>
      <c r="R490" s="1">
        <v>0</v>
      </c>
      <c r="S490" t="str">
        <f>IF(R490=1,"Positive","Negative")</f>
        <v>Negative</v>
      </c>
      <c r="T490" s="1" t="str">
        <f>IFERROR(VLOOKUP(A490,[1]diabetes_Recognition!$A:$B,2,FALSE),"Not Sampled")</f>
        <v>Not Sampled</v>
      </c>
      <c r="U490" t="str">
        <f>IF(T490=1,"Positive",(IF(T490=0,"Negative","Not Sampled")))</f>
        <v>Not Sampled</v>
      </c>
      <c r="V490" s="1" t="str">
        <f>IF(U490="Not Sampled","Not Sampled",IF(S490=U490,"Accurate Prediction","Inaccurate Prediction"))</f>
        <v>Not Sampled</v>
      </c>
    </row>
    <row r="491" spans="1:22" x14ac:dyDescent="0.25">
      <c r="A491" s="1">
        <v>489</v>
      </c>
      <c r="B491" s="1">
        <v>8</v>
      </c>
      <c r="C491" s="1" t="str">
        <f>LOOKUP(B491,Sheet2!$D$4:$E$9)</f>
        <v>8+</v>
      </c>
      <c r="D491" s="1">
        <v>194</v>
      </c>
      <c r="E491" t="str">
        <f>LOOKUP(D491,Sheet2!$G$4:$H$9)</f>
        <v>176-200</v>
      </c>
      <c r="F491" s="1">
        <v>80</v>
      </c>
      <c r="G491" t="str">
        <f>LOOKUP(F491,Sheet2!$J$4:$K$8)</f>
        <v>80+</v>
      </c>
      <c r="H491" s="1">
        <v>0</v>
      </c>
      <c r="I491" t="str">
        <f>LOOKUP(H491,Sheet2!$M$4:$N$8)</f>
        <v>Unknown</v>
      </c>
      <c r="J491" s="1">
        <v>0</v>
      </c>
      <c r="K491" t="str">
        <f>LOOKUP(J491,Sheet2!$P$4:$Q$9)</f>
        <v>Unknown</v>
      </c>
      <c r="L491" s="1">
        <v>26.1</v>
      </c>
      <c r="M491" t="str">
        <f>LOOKUP(L491,Sheet2!$S$4:$T$8)</f>
        <v>26-30</v>
      </c>
      <c r="N491" s="1">
        <v>0.55100000000000005</v>
      </c>
      <c r="O491" t="str">
        <f>LOOKUP(N491,Sheet2!$V$4:$W$7)</f>
        <v>0.4 - 0.69</v>
      </c>
      <c r="P491" s="1">
        <v>67</v>
      </c>
      <c r="Q491" t="str">
        <f>LOOKUP(P491,Sheet2!$Z$4:$AA$7)</f>
        <v>46+</v>
      </c>
      <c r="R491" s="1">
        <v>0</v>
      </c>
      <c r="S491" t="str">
        <f>IF(R491=1,"Positive","Negative")</f>
        <v>Negative</v>
      </c>
      <c r="T491" s="1" t="str">
        <f>IFERROR(VLOOKUP(A491,[1]diabetes_Recognition!$A:$B,2,FALSE),"Not Sampled")</f>
        <v>Not Sampled</v>
      </c>
      <c r="U491" t="str">
        <f>IF(T491=1,"Positive",(IF(T491=0,"Negative","Not Sampled")))</f>
        <v>Not Sampled</v>
      </c>
      <c r="V491" s="1" t="str">
        <f>IF(U491="Not Sampled","Not Sampled",IF(S491=U491,"Accurate Prediction","Inaccurate Prediction"))</f>
        <v>Not Sampled</v>
      </c>
    </row>
    <row r="492" spans="1:22" x14ac:dyDescent="0.25">
      <c r="A492" s="1">
        <v>490</v>
      </c>
      <c r="B492" s="1">
        <v>2</v>
      </c>
      <c r="C492" s="1">
        <f>LOOKUP(B492,Sheet2!$D$4:$E$9)</f>
        <v>2</v>
      </c>
      <c r="D492" s="1">
        <v>83</v>
      </c>
      <c r="E492" t="str">
        <f>LOOKUP(D492,Sheet2!$G$4:$H$9)</f>
        <v>1-99</v>
      </c>
      <c r="F492" s="1">
        <v>65</v>
      </c>
      <c r="G492" t="str">
        <f>LOOKUP(F492,Sheet2!$J$4:$K$8)</f>
        <v>60-69</v>
      </c>
      <c r="H492" s="1">
        <v>28</v>
      </c>
      <c r="I492" t="str">
        <f>LOOKUP(H492,Sheet2!$M$4:$N$8)</f>
        <v>10-30</v>
      </c>
      <c r="J492" s="1">
        <v>66</v>
      </c>
      <c r="K492" t="str">
        <f>LOOKUP(J492,Sheet2!$P$4:$Q$9)</f>
        <v>1-99</v>
      </c>
      <c r="L492" s="1">
        <v>36.799999999999997</v>
      </c>
      <c r="M492" t="str">
        <f>LOOKUP(L492,Sheet2!$S$4:$T$8)</f>
        <v>36+</v>
      </c>
      <c r="N492" s="1">
        <v>0.629</v>
      </c>
      <c r="O492" t="str">
        <f>LOOKUP(N492,Sheet2!$V$4:$W$7)</f>
        <v>0.4 - 0.69</v>
      </c>
      <c r="P492" s="1">
        <v>24</v>
      </c>
      <c r="Q492" t="str">
        <f>LOOKUP(P492,Sheet2!$Z$4:$AA$7)</f>
        <v>&lt;=25</v>
      </c>
      <c r="R492" s="1">
        <v>0</v>
      </c>
      <c r="S492" t="str">
        <f>IF(R492=1,"Positive","Negative")</f>
        <v>Negative</v>
      </c>
      <c r="T492" s="1" t="str">
        <f>IFERROR(VLOOKUP(A492,[1]diabetes_Recognition!$A:$B,2,FALSE),"Not Sampled")</f>
        <v>Not Sampled</v>
      </c>
      <c r="U492" t="str">
        <f>IF(T492=1,"Positive",(IF(T492=0,"Negative","Not Sampled")))</f>
        <v>Not Sampled</v>
      </c>
      <c r="V492" s="1" t="str">
        <f>IF(U492="Not Sampled","Not Sampled",IF(S492=U492,"Accurate Prediction","Inaccurate Prediction"))</f>
        <v>Not Sampled</v>
      </c>
    </row>
    <row r="493" spans="1:22" x14ac:dyDescent="0.25">
      <c r="A493" s="1">
        <v>491</v>
      </c>
      <c r="B493" s="1">
        <v>2</v>
      </c>
      <c r="C493" s="1">
        <f>LOOKUP(B493,Sheet2!$D$4:$E$9)</f>
        <v>2</v>
      </c>
      <c r="D493" s="1">
        <v>89</v>
      </c>
      <c r="E493" t="str">
        <f>LOOKUP(D493,Sheet2!$G$4:$H$9)</f>
        <v>1-99</v>
      </c>
      <c r="F493" s="1">
        <v>90</v>
      </c>
      <c r="G493" t="str">
        <f>LOOKUP(F493,Sheet2!$J$4:$K$8)</f>
        <v>80+</v>
      </c>
      <c r="H493" s="1">
        <v>30</v>
      </c>
      <c r="I493" t="str">
        <f>LOOKUP(H493,Sheet2!$M$4:$N$8)</f>
        <v>30-39</v>
      </c>
      <c r="J493" s="1">
        <v>0</v>
      </c>
      <c r="K493" t="str">
        <f>LOOKUP(J493,Sheet2!$P$4:$Q$9)</f>
        <v>Unknown</v>
      </c>
      <c r="L493" s="1">
        <v>33.5</v>
      </c>
      <c r="M493" t="str">
        <f>LOOKUP(L493,Sheet2!$S$4:$T$8)</f>
        <v>31-35</v>
      </c>
      <c r="N493" s="1">
        <v>0.29199999999999998</v>
      </c>
      <c r="O493" t="str">
        <f>LOOKUP(N493,Sheet2!$V$4:$W$7)</f>
        <v>0.25 - 0.39</v>
      </c>
      <c r="P493" s="1">
        <v>42</v>
      </c>
      <c r="Q493" t="str">
        <f>LOOKUP(P493,Sheet2!$Z$4:$AA$7)</f>
        <v>36-45</v>
      </c>
      <c r="R493" s="1">
        <v>0</v>
      </c>
      <c r="S493" t="str">
        <f>IF(R493=1,"Positive","Negative")</f>
        <v>Negative</v>
      </c>
      <c r="T493" s="1" t="str">
        <f>IFERROR(VLOOKUP(A493,[1]diabetes_Recognition!$A:$B,2,FALSE),"Not Sampled")</f>
        <v>Not Sampled</v>
      </c>
      <c r="U493" t="str">
        <f>IF(T493=1,"Positive",(IF(T493=0,"Negative","Not Sampled")))</f>
        <v>Not Sampled</v>
      </c>
      <c r="V493" s="1" t="str">
        <f>IF(U493="Not Sampled","Not Sampled",IF(S493=U493,"Accurate Prediction","Inaccurate Prediction"))</f>
        <v>Not Sampled</v>
      </c>
    </row>
    <row r="494" spans="1:22" x14ac:dyDescent="0.25">
      <c r="A494" s="1">
        <v>492</v>
      </c>
      <c r="B494" s="1">
        <v>4</v>
      </c>
      <c r="C494" s="1" t="str">
        <f>LOOKUP(B494,Sheet2!$D$4:$E$9)</f>
        <v>3-4</v>
      </c>
      <c r="D494" s="1">
        <v>99</v>
      </c>
      <c r="E494" t="str">
        <f>LOOKUP(D494,Sheet2!$G$4:$H$9)</f>
        <v>1-99</v>
      </c>
      <c r="F494" s="1">
        <v>68</v>
      </c>
      <c r="G494" t="str">
        <f>LOOKUP(F494,Sheet2!$J$4:$K$8)</f>
        <v>60-69</v>
      </c>
      <c r="H494" s="1">
        <v>38</v>
      </c>
      <c r="I494" t="str">
        <f>LOOKUP(H494,Sheet2!$M$4:$N$8)</f>
        <v>30-39</v>
      </c>
      <c r="J494" s="1">
        <v>0</v>
      </c>
      <c r="K494" t="str">
        <f>LOOKUP(J494,Sheet2!$P$4:$Q$9)</f>
        <v>Unknown</v>
      </c>
      <c r="L494" s="1">
        <v>32.799999999999997</v>
      </c>
      <c r="M494" t="str">
        <f>LOOKUP(L494,Sheet2!$S$4:$T$8)</f>
        <v>31-35</v>
      </c>
      <c r="N494" s="1">
        <v>0.14499999999999999</v>
      </c>
      <c r="O494" t="str">
        <f>LOOKUP(N494,Sheet2!$V$4:$W$7)</f>
        <v>0.0 - 0.249</v>
      </c>
      <c r="P494" s="1">
        <v>33</v>
      </c>
      <c r="Q494" t="str">
        <f>LOOKUP(P494,Sheet2!$Z$4:$AA$7)</f>
        <v>26-35</v>
      </c>
      <c r="R494" s="1">
        <v>0</v>
      </c>
      <c r="S494" t="str">
        <f>IF(R494=1,"Positive","Negative")</f>
        <v>Negative</v>
      </c>
      <c r="T494" s="1" t="str">
        <f>IFERROR(VLOOKUP(A494,[1]diabetes_Recognition!$A:$B,2,FALSE),"Not Sampled")</f>
        <v>Not Sampled</v>
      </c>
      <c r="U494" t="str">
        <f>IF(T494=1,"Positive",(IF(T494=0,"Negative","Not Sampled")))</f>
        <v>Not Sampled</v>
      </c>
      <c r="V494" s="1" t="str">
        <f>IF(U494="Not Sampled","Not Sampled",IF(S494=U494,"Accurate Prediction","Inaccurate Prediction"))</f>
        <v>Not Sampled</v>
      </c>
    </row>
    <row r="495" spans="1:22" x14ac:dyDescent="0.25">
      <c r="A495" s="1">
        <v>493</v>
      </c>
      <c r="B495" s="1">
        <v>4</v>
      </c>
      <c r="C495" s="1" t="str">
        <f>LOOKUP(B495,Sheet2!$D$4:$E$9)</f>
        <v>3-4</v>
      </c>
      <c r="D495" s="1">
        <v>125</v>
      </c>
      <c r="E495" t="str">
        <f>LOOKUP(D495,Sheet2!$G$4:$H$9)</f>
        <v>100-125</v>
      </c>
      <c r="F495" s="1">
        <v>70</v>
      </c>
      <c r="G495" t="str">
        <f>LOOKUP(F495,Sheet2!$J$4:$K$8)</f>
        <v>70-79</v>
      </c>
      <c r="H495" s="1">
        <v>18</v>
      </c>
      <c r="I495" t="str">
        <f>LOOKUP(H495,Sheet2!$M$4:$N$8)</f>
        <v>10-30</v>
      </c>
      <c r="J495" s="1">
        <v>122</v>
      </c>
      <c r="K495" t="str">
        <f>LOOKUP(J495,Sheet2!$P$4:$Q$9)</f>
        <v>100-199</v>
      </c>
      <c r="L495" s="1">
        <v>28.9</v>
      </c>
      <c r="M495" t="str">
        <f>LOOKUP(L495,Sheet2!$S$4:$T$8)</f>
        <v>26-30</v>
      </c>
      <c r="N495" s="1">
        <v>1.1439999999999999</v>
      </c>
      <c r="O495" t="str">
        <f>LOOKUP(N495,Sheet2!$V$4:$W$7)</f>
        <v>0.7+</v>
      </c>
      <c r="P495" s="1">
        <v>45</v>
      </c>
      <c r="Q495" t="str">
        <f>LOOKUP(P495,Sheet2!$Z$4:$AA$7)</f>
        <v>36-45</v>
      </c>
      <c r="R495" s="1">
        <v>1</v>
      </c>
      <c r="S495" t="str">
        <f>IF(R495=1,"Positive","Negative")</f>
        <v>Positive</v>
      </c>
      <c r="T495" s="1" t="str">
        <f>IFERROR(VLOOKUP(A495,[1]diabetes_Recognition!$A:$B,2,FALSE),"Not Sampled")</f>
        <v>Not Sampled</v>
      </c>
      <c r="U495" t="str">
        <f>IF(T495=1,"Positive",(IF(T495=0,"Negative","Not Sampled")))</f>
        <v>Not Sampled</v>
      </c>
      <c r="V495" s="1" t="str">
        <f>IF(U495="Not Sampled","Not Sampled",IF(S495=U495,"Accurate Prediction","Inaccurate Prediction"))</f>
        <v>Not Sampled</v>
      </c>
    </row>
    <row r="496" spans="1:22" x14ac:dyDescent="0.25">
      <c r="A496" s="1">
        <v>494</v>
      </c>
      <c r="B496" s="1">
        <v>3</v>
      </c>
      <c r="C496" s="1" t="str">
        <f>LOOKUP(B496,Sheet2!$D$4:$E$9)</f>
        <v>3-4</v>
      </c>
      <c r="D496" s="1">
        <v>80</v>
      </c>
      <c r="E496" t="str">
        <f>LOOKUP(D496,Sheet2!$G$4:$H$9)</f>
        <v>1-99</v>
      </c>
      <c r="F496" s="1">
        <v>0</v>
      </c>
      <c r="G496" t="str">
        <f>LOOKUP(F496,Sheet2!$J$4:$K$8)</f>
        <v>Unknown</v>
      </c>
      <c r="H496" s="1">
        <v>0</v>
      </c>
      <c r="I496" t="str">
        <f>LOOKUP(H496,Sheet2!$M$4:$N$8)</f>
        <v>Unknown</v>
      </c>
      <c r="J496" s="1">
        <v>0</v>
      </c>
      <c r="K496" t="str">
        <f>LOOKUP(J496,Sheet2!$P$4:$Q$9)</f>
        <v>Unknown</v>
      </c>
      <c r="L496" s="1">
        <v>0</v>
      </c>
      <c r="M496" t="str">
        <f>LOOKUP(L496,Sheet2!$S$4:$T$8)</f>
        <v>Unknown</v>
      </c>
      <c r="N496" s="1">
        <v>0.17399999999999999</v>
      </c>
      <c r="O496" t="str">
        <f>LOOKUP(N496,Sheet2!$V$4:$W$7)</f>
        <v>0.0 - 0.249</v>
      </c>
      <c r="P496" s="1">
        <v>22</v>
      </c>
      <c r="Q496" t="str">
        <f>LOOKUP(P496,Sheet2!$Z$4:$AA$7)</f>
        <v>&lt;=25</v>
      </c>
      <c r="R496" s="1">
        <v>0</v>
      </c>
      <c r="S496" t="str">
        <f>IF(R496=1,"Positive","Negative")</f>
        <v>Negative</v>
      </c>
      <c r="T496" s="1" t="str">
        <f>IFERROR(VLOOKUP(A496,[1]diabetes_Recognition!$A:$B,2,FALSE),"Not Sampled")</f>
        <v>Not Sampled</v>
      </c>
      <c r="U496" t="str">
        <f>IF(T496=1,"Positive",(IF(T496=0,"Negative","Not Sampled")))</f>
        <v>Not Sampled</v>
      </c>
      <c r="V496" s="1" t="str">
        <f>IF(U496="Not Sampled","Not Sampled",IF(S496=U496,"Accurate Prediction","Inaccurate Prediction"))</f>
        <v>Not Sampled</v>
      </c>
    </row>
    <row r="497" spans="1:22" x14ac:dyDescent="0.25">
      <c r="A497" s="1">
        <v>495</v>
      </c>
      <c r="B497" s="1">
        <v>6</v>
      </c>
      <c r="C497" s="1" t="str">
        <f>LOOKUP(B497,Sheet2!$D$4:$E$9)</f>
        <v>5-7</v>
      </c>
      <c r="D497" s="1">
        <v>166</v>
      </c>
      <c r="E497" t="str">
        <f>LOOKUP(D497,Sheet2!$G$4:$H$9)</f>
        <v>151-175</v>
      </c>
      <c r="F497" s="1">
        <v>74</v>
      </c>
      <c r="G497" t="str">
        <f>LOOKUP(F497,Sheet2!$J$4:$K$8)</f>
        <v>70-79</v>
      </c>
      <c r="H497" s="1">
        <v>0</v>
      </c>
      <c r="I497" t="str">
        <f>LOOKUP(H497,Sheet2!$M$4:$N$8)</f>
        <v>Unknown</v>
      </c>
      <c r="J497" s="1">
        <v>0</v>
      </c>
      <c r="K497" t="str">
        <f>LOOKUP(J497,Sheet2!$P$4:$Q$9)</f>
        <v>Unknown</v>
      </c>
      <c r="L497" s="1">
        <v>26.6</v>
      </c>
      <c r="M497" t="str">
        <f>LOOKUP(L497,Sheet2!$S$4:$T$8)</f>
        <v>26-30</v>
      </c>
      <c r="N497" s="1">
        <v>0.30399999999999999</v>
      </c>
      <c r="O497" t="str">
        <f>LOOKUP(N497,Sheet2!$V$4:$W$7)</f>
        <v>0.25 - 0.39</v>
      </c>
      <c r="P497" s="1">
        <v>66</v>
      </c>
      <c r="Q497" t="str">
        <f>LOOKUP(P497,Sheet2!$Z$4:$AA$7)</f>
        <v>46+</v>
      </c>
      <c r="R497" s="1">
        <v>0</v>
      </c>
      <c r="S497" t="str">
        <f>IF(R497=1,"Positive","Negative")</f>
        <v>Negative</v>
      </c>
      <c r="T497" s="1" t="str">
        <f>IFERROR(VLOOKUP(A497,[1]diabetes_Recognition!$A:$B,2,FALSE),"Not Sampled")</f>
        <v>Not Sampled</v>
      </c>
      <c r="U497" t="str">
        <f>IF(T497=1,"Positive",(IF(T497=0,"Negative","Not Sampled")))</f>
        <v>Not Sampled</v>
      </c>
      <c r="V497" s="1" t="str">
        <f>IF(U497="Not Sampled","Not Sampled",IF(S497=U497,"Accurate Prediction","Inaccurate Prediction"))</f>
        <v>Not Sampled</v>
      </c>
    </row>
    <row r="498" spans="1:22" x14ac:dyDescent="0.25">
      <c r="A498" s="1">
        <v>496</v>
      </c>
      <c r="B498" s="1">
        <v>5</v>
      </c>
      <c r="C498" s="1" t="str">
        <f>LOOKUP(B498,Sheet2!$D$4:$E$9)</f>
        <v>5-7</v>
      </c>
      <c r="D498" s="1">
        <v>110</v>
      </c>
      <c r="E498" t="str">
        <f>LOOKUP(D498,Sheet2!$G$4:$H$9)</f>
        <v>100-125</v>
      </c>
      <c r="F498" s="1">
        <v>68</v>
      </c>
      <c r="G498" t="str">
        <f>LOOKUP(F498,Sheet2!$J$4:$K$8)</f>
        <v>60-69</v>
      </c>
      <c r="H498" s="1">
        <v>0</v>
      </c>
      <c r="I498" t="str">
        <f>LOOKUP(H498,Sheet2!$M$4:$N$8)</f>
        <v>Unknown</v>
      </c>
      <c r="J498" s="1">
        <v>0</v>
      </c>
      <c r="K498" t="str">
        <f>LOOKUP(J498,Sheet2!$P$4:$Q$9)</f>
        <v>Unknown</v>
      </c>
      <c r="L498" s="1">
        <v>26</v>
      </c>
      <c r="M498" t="str">
        <f>LOOKUP(L498,Sheet2!$S$4:$T$8)</f>
        <v>26-30</v>
      </c>
      <c r="N498" s="1">
        <v>0.29199999999999998</v>
      </c>
      <c r="O498" t="str">
        <f>LOOKUP(N498,Sheet2!$V$4:$W$7)</f>
        <v>0.25 - 0.39</v>
      </c>
      <c r="P498" s="1">
        <v>30</v>
      </c>
      <c r="Q498" t="str">
        <f>LOOKUP(P498,Sheet2!$Z$4:$AA$7)</f>
        <v>26-35</v>
      </c>
      <c r="R498" s="1">
        <v>0</v>
      </c>
      <c r="S498" t="str">
        <f>IF(R498=1,"Positive","Negative")</f>
        <v>Negative</v>
      </c>
      <c r="T498" s="1" t="str">
        <f>IFERROR(VLOOKUP(A498,[1]diabetes_Recognition!$A:$B,2,FALSE),"Not Sampled")</f>
        <v>Not Sampled</v>
      </c>
      <c r="U498" t="str">
        <f>IF(T498=1,"Positive",(IF(T498=0,"Negative","Not Sampled")))</f>
        <v>Not Sampled</v>
      </c>
      <c r="V498" s="1" t="str">
        <f>IF(U498="Not Sampled","Not Sampled",IF(S498=U498,"Accurate Prediction","Inaccurate Prediction"))</f>
        <v>Not Sampled</v>
      </c>
    </row>
    <row r="499" spans="1:22" x14ac:dyDescent="0.25">
      <c r="A499" s="1">
        <v>497</v>
      </c>
      <c r="B499" s="1">
        <v>2</v>
      </c>
      <c r="C499" s="1">
        <f>LOOKUP(B499,Sheet2!$D$4:$E$9)</f>
        <v>2</v>
      </c>
      <c r="D499" s="1">
        <v>81</v>
      </c>
      <c r="E499" t="str">
        <f>LOOKUP(D499,Sheet2!$G$4:$H$9)</f>
        <v>1-99</v>
      </c>
      <c r="F499" s="1">
        <v>72</v>
      </c>
      <c r="G499" t="str">
        <f>LOOKUP(F499,Sheet2!$J$4:$K$8)</f>
        <v>70-79</v>
      </c>
      <c r="H499" s="1">
        <v>15</v>
      </c>
      <c r="I499" t="str">
        <f>LOOKUP(H499,Sheet2!$M$4:$N$8)</f>
        <v>10-30</v>
      </c>
      <c r="J499" s="1">
        <v>76</v>
      </c>
      <c r="K499" t="str">
        <f>LOOKUP(J499,Sheet2!$P$4:$Q$9)</f>
        <v>1-99</v>
      </c>
      <c r="L499" s="1">
        <v>30.1</v>
      </c>
      <c r="M499" t="str">
        <f>LOOKUP(L499,Sheet2!$S$4:$T$8)</f>
        <v>26-30</v>
      </c>
      <c r="N499" s="1">
        <v>0.54700000000000004</v>
      </c>
      <c r="O499" t="str">
        <f>LOOKUP(N499,Sheet2!$V$4:$W$7)</f>
        <v>0.4 - 0.69</v>
      </c>
      <c r="P499" s="1">
        <v>25</v>
      </c>
      <c r="Q499" t="str">
        <f>LOOKUP(P499,Sheet2!$Z$4:$AA$7)</f>
        <v>&lt;=25</v>
      </c>
      <c r="R499" s="1">
        <v>0</v>
      </c>
      <c r="S499" t="str">
        <f>IF(R499=1,"Positive","Negative")</f>
        <v>Negative</v>
      </c>
      <c r="T499" s="1" t="str">
        <f>IFERROR(VLOOKUP(A499,[1]diabetes_Recognition!$A:$B,2,FALSE),"Not Sampled")</f>
        <v>Not Sampled</v>
      </c>
      <c r="U499" t="str">
        <f>IF(T499=1,"Positive",(IF(T499=0,"Negative","Not Sampled")))</f>
        <v>Not Sampled</v>
      </c>
      <c r="V499" s="1" t="str">
        <f>IF(U499="Not Sampled","Not Sampled",IF(S499=U499,"Accurate Prediction","Inaccurate Prediction"))</f>
        <v>Not Sampled</v>
      </c>
    </row>
    <row r="500" spans="1:22" x14ac:dyDescent="0.25">
      <c r="A500" s="1">
        <v>498</v>
      </c>
      <c r="B500" s="1">
        <v>7</v>
      </c>
      <c r="C500" s="1" t="str">
        <f>LOOKUP(B500,Sheet2!$D$4:$E$9)</f>
        <v>5-7</v>
      </c>
      <c r="D500" s="1">
        <v>195</v>
      </c>
      <c r="E500" t="str">
        <f>LOOKUP(D500,Sheet2!$G$4:$H$9)</f>
        <v>176-200</v>
      </c>
      <c r="F500" s="1">
        <v>70</v>
      </c>
      <c r="G500" t="str">
        <f>LOOKUP(F500,Sheet2!$J$4:$K$8)</f>
        <v>70-79</v>
      </c>
      <c r="H500" s="1">
        <v>33</v>
      </c>
      <c r="I500" t="str">
        <f>LOOKUP(H500,Sheet2!$M$4:$N$8)</f>
        <v>30-39</v>
      </c>
      <c r="J500" s="1">
        <v>145</v>
      </c>
      <c r="K500" t="str">
        <f>LOOKUP(J500,Sheet2!$P$4:$Q$9)</f>
        <v>100-199</v>
      </c>
      <c r="L500" s="1">
        <v>25.1</v>
      </c>
      <c r="M500" t="str">
        <f>LOOKUP(L500,Sheet2!$S$4:$T$8)</f>
        <v>1-25</v>
      </c>
      <c r="N500" s="1">
        <v>0.16300000000000001</v>
      </c>
      <c r="O500" t="str">
        <f>LOOKUP(N500,Sheet2!$V$4:$W$7)</f>
        <v>0.0 - 0.249</v>
      </c>
      <c r="P500" s="1">
        <v>55</v>
      </c>
      <c r="Q500" t="str">
        <f>LOOKUP(P500,Sheet2!$Z$4:$AA$7)</f>
        <v>46+</v>
      </c>
      <c r="R500" s="1">
        <v>1</v>
      </c>
      <c r="S500" t="str">
        <f>IF(R500=1,"Positive","Negative")</f>
        <v>Positive</v>
      </c>
      <c r="T500" s="1" t="str">
        <f>IFERROR(VLOOKUP(A500,[1]diabetes_Recognition!$A:$B,2,FALSE),"Not Sampled")</f>
        <v>Not Sampled</v>
      </c>
      <c r="U500" t="str">
        <f>IF(T500=1,"Positive",(IF(T500=0,"Negative","Not Sampled")))</f>
        <v>Not Sampled</v>
      </c>
      <c r="V500" s="1" t="str">
        <f>IF(U500="Not Sampled","Not Sampled",IF(S500=U500,"Accurate Prediction","Inaccurate Prediction"))</f>
        <v>Not Sampled</v>
      </c>
    </row>
    <row r="501" spans="1:22" x14ac:dyDescent="0.25">
      <c r="A501" s="1">
        <v>499</v>
      </c>
      <c r="B501" s="1">
        <v>6</v>
      </c>
      <c r="C501" s="1" t="str">
        <f>LOOKUP(B501,Sheet2!$D$4:$E$9)</f>
        <v>5-7</v>
      </c>
      <c r="D501" s="1">
        <v>154</v>
      </c>
      <c r="E501" t="str">
        <f>LOOKUP(D501,Sheet2!$G$4:$H$9)</f>
        <v>151-175</v>
      </c>
      <c r="F501" s="1">
        <v>74</v>
      </c>
      <c r="G501" t="str">
        <f>LOOKUP(F501,Sheet2!$J$4:$K$8)</f>
        <v>70-79</v>
      </c>
      <c r="H501" s="1">
        <v>32</v>
      </c>
      <c r="I501" t="str">
        <f>LOOKUP(H501,Sheet2!$M$4:$N$8)</f>
        <v>30-39</v>
      </c>
      <c r="J501" s="1">
        <v>193</v>
      </c>
      <c r="K501" t="str">
        <f>LOOKUP(J501,Sheet2!$P$4:$Q$9)</f>
        <v>100-199</v>
      </c>
      <c r="L501" s="1">
        <v>29.3</v>
      </c>
      <c r="M501" t="str">
        <f>LOOKUP(L501,Sheet2!$S$4:$T$8)</f>
        <v>26-30</v>
      </c>
      <c r="N501" s="1">
        <v>0.83899999999999997</v>
      </c>
      <c r="O501" t="str">
        <f>LOOKUP(N501,Sheet2!$V$4:$W$7)</f>
        <v>0.7+</v>
      </c>
      <c r="P501" s="1">
        <v>39</v>
      </c>
      <c r="Q501" t="str">
        <f>LOOKUP(P501,Sheet2!$Z$4:$AA$7)</f>
        <v>36-45</v>
      </c>
      <c r="R501" s="1">
        <v>0</v>
      </c>
      <c r="S501" t="str">
        <f>IF(R501=1,"Positive","Negative")</f>
        <v>Negative</v>
      </c>
      <c r="T501" s="1" t="str">
        <f>IFERROR(VLOOKUP(A501,[1]diabetes_Recognition!$A:$B,2,FALSE),"Not Sampled")</f>
        <v>Not Sampled</v>
      </c>
      <c r="U501" t="str">
        <f>IF(T501=1,"Positive",(IF(T501=0,"Negative","Not Sampled")))</f>
        <v>Not Sampled</v>
      </c>
      <c r="V501" s="1" t="str">
        <f>IF(U501="Not Sampled","Not Sampled",IF(S501=U501,"Accurate Prediction","Inaccurate Prediction"))</f>
        <v>Not Sampled</v>
      </c>
    </row>
    <row r="502" spans="1:22" x14ac:dyDescent="0.25">
      <c r="A502" s="1">
        <v>500</v>
      </c>
      <c r="B502" s="1">
        <v>2</v>
      </c>
      <c r="C502" s="1">
        <f>LOOKUP(B502,Sheet2!$D$4:$E$9)</f>
        <v>2</v>
      </c>
      <c r="D502" s="1">
        <v>117</v>
      </c>
      <c r="E502" t="str">
        <f>LOOKUP(D502,Sheet2!$G$4:$H$9)</f>
        <v>100-125</v>
      </c>
      <c r="F502" s="1">
        <v>90</v>
      </c>
      <c r="G502" t="str">
        <f>LOOKUP(F502,Sheet2!$J$4:$K$8)</f>
        <v>80+</v>
      </c>
      <c r="H502" s="1">
        <v>19</v>
      </c>
      <c r="I502" t="str">
        <f>LOOKUP(H502,Sheet2!$M$4:$N$8)</f>
        <v>10-30</v>
      </c>
      <c r="J502" s="1">
        <v>71</v>
      </c>
      <c r="K502" t="str">
        <f>LOOKUP(J502,Sheet2!$P$4:$Q$9)</f>
        <v>1-99</v>
      </c>
      <c r="L502" s="1">
        <v>25.2</v>
      </c>
      <c r="M502" t="str">
        <f>LOOKUP(L502,Sheet2!$S$4:$T$8)</f>
        <v>1-25</v>
      </c>
      <c r="N502" s="1">
        <v>0.313</v>
      </c>
      <c r="O502" t="str">
        <f>LOOKUP(N502,Sheet2!$V$4:$W$7)</f>
        <v>0.25 - 0.39</v>
      </c>
      <c r="P502" s="1">
        <v>21</v>
      </c>
      <c r="Q502" t="str">
        <f>LOOKUP(P502,Sheet2!$Z$4:$AA$7)</f>
        <v>&lt;=25</v>
      </c>
      <c r="R502" s="1">
        <v>0</v>
      </c>
      <c r="S502" t="str">
        <f>IF(R502=1,"Positive","Negative")</f>
        <v>Negative</v>
      </c>
      <c r="T502" s="1" t="str">
        <f>IFERROR(VLOOKUP(A502,[1]diabetes_Recognition!$A:$B,2,FALSE),"Not Sampled")</f>
        <v>Not Sampled</v>
      </c>
      <c r="U502" t="str">
        <f>IF(T502=1,"Positive",(IF(T502=0,"Negative","Not Sampled")))</f>
        <v>Not Sampled</v>
      </c>
      <c r="V502" s="1" t="str">
        <f>IF(U502="Not Sampled","Not Sampled",IF(S502=U502,"Accurate Prediction","Inaccurate Prediction"))</f>
        <v>Not Sampled</v>
      </c>
    </row>
    <row r="503" spans="1:22" x14ac:dyDescent="0.25">
      <c r="A503" s="1">
        <v>501</v>
      </c>
      <c r="B503" s="1">
        <v>3</v>
      </c>
      <c r="C503" s="1" t="str">
        <f>LOOKUP(B503,Sheet2!$D$4:$E$9)</f>
        <v>3-4</v>
      </c>
      <c r="D503" s="1">
        <v>84</v>
      </c>
      <c r="E503" t="str">
        <f>LOOKUP(D503,Sheet2!$G$4:$H$9)</f>
        <v>1-99</v>
      </c>
      <c r="F503" s="1">
        <v>72</v>
      </c>
      <c r="G503" t="str">
        <f>LOOKUP(F503,Sheet2!$J$4:$K$8)</f>
        <v>70-79</v>
      </c>
      <c r="H503" s="1">
        <v>32</v>
      </c>
      <c r="I503" t="str">
        <f>LOOKUP(H503,Sheet2!$M$4:$N$8)</f>
        <v>30-39</v>
      </c>
      <c r="J503" s="1">
        <v>0</v>
      </c>
      <c r="K503" t="str">
        <f>LOOKUP(J503,Sheet2!$P$4:$Q$9)</f>
        <v>Unknown</v>
      </c>
      <c r="L503" s="1">
        <v>37.200000000000003</v>
      </c>
      <c r="M503" t="str">
        <f>LOOKUP(L503,Sheet2!$S$4:$T$8)</f>
        <v>36+</v>
      </c>
      <c r="N503" s="1">
        <v>0.26700000000000002</v>
      </c>
      <c r="O503" t="str">
        <f>LOOKUP(N503,Sheet2!$V$4:$W$7)</f>
        <v>0.25 - 0.39</v>
      </c>
      <c r="P503" s="1">
        <v>28</v>
      </c>
      <c r="Q503" t="str">
        <f>LOOKUP(P503,Sheet2!$Z$4:$AA$7)</f>
        <v>26-35</v>
      </c>
      <c r="R503" s="1">
        <v>0</v>
      </c>
      <c r="S503" t="str">
        <f>IF(R503=1,"Positive","Negative")</f>
        <v>Negative</v>
      </c>
      <c r="T503" s="1" t="str">
        <f>IFERROR(VLOOKUP(A503,[1]diabetes_Recognition!$A:$B,2,FALSE),"Not Sampled")</f>
        <v>Not Sampled</v>
      </c>
      <c r="U503" t="str">
        <f>IF(T503=1,"Positive",(IF(T503=0,"Negative","Not Sampled")))</f>
        <v>Not Sampled</v>
      </c>
      <c r="V503" s="1" t="str">
        <f>IF(U503="Not Sampled","Not Sampled",IF(S503=U503,"Accurate Prediction","Inaccurate Prediction"))</f>
        <v>Not Sampled</v>
      </c>
    </row>
    <row r="504" spans="1:22" x14ac:dyDescent="0.25">
      <c r="A504" s="1">
        <v>502</v>
      </c>
      <c r="B504" s="1">
        <v>6</v>
      </c>
      <c r="C504" s="1" t="str">
        <f>LOOKUP(B504,Sheet2!$D$4:$E$9)</f>
        <v>5-7</v>
      </c>
      <c r="D504" s="1">
        <v>0</v>
      </c>
      <c r="E504" t="str">
        <f>LOOKUP(D504,Sheet2!$G$4:$H$9)</f>
        <v>Unknown</v>
      </c>
      <c r="F504" s="1">
        <v>68</v>
      </c>
      <c r="G504" t="str">
        <f>LOOKUP(F504,Sheet2!$J$4:$K$8)</f>
        <v>60-69</v>
      </c>
      <c r="H504" s="1">
        <v>41</v>
      </c>
      <c r="I504" t="str">
        <f>LOOKUP(H504,Sheet2!$M$4:$N$8)</f>
        <v>40+</v>
      </c>
      <c r="J504" s="1">
        <v>0</v>
      </c>
      <c r="K504" t="str">
        <f>LOOKUP(J504,Sheet2!$P$4:$Q$9)</f>
        <v>Unknown</v>
      </c>
      <c r="L504" s="1">
        <v>39</v>
      </c>
      <c r="M504" t="str">
        <f>LOOKUP(L504,Sheet2!$S$4:$T$8)</f>
        <v>36+</v>
      </c>
      <c r="N504" s="1">
        <v>0.72699999999999998</v>
      </c>
      <c r="O504" t="str">
        <f>LOOKUP(N504,Sheet2!$V$4:$W$7)</f>
        <v>0.7+</v>
      </c>
      <c r="P504" s="1">
        <v>41</v>
      </c>
      <c r="Q504" t="str">
        <f>LOOKUP(P504,Sheet2!$Z$4:$AA$7)</f>
        <v>36-45</v>
      </c>
      <c r="R504" s="1">
        <v>1</v>
      </c>
      <c r="S504" t="str">
        <f>IF(R504=1,"Positive","Negative")</f>
        <v>Positive</v>
      </c>
      <c r="T504" s="1" t="str">
        <f>IFERROR(VLOOKUP(A504,[1]diabetes_Recognition!$A:$B,2,FALSE),"Not Sampled")</f>
        <v>Not Sampled</v>
      </c>
      <c r="U504" t="str">
        <f>IF(T504=1,"Positive",(IF(T504=0,"Negative","Not Sampled")))</f>
        <v>Not Sampled</v>
      </c>
      <c r="V504" s="1" t="str">
        <f>IF(U504="Not Sampled","Not Sampled",IF(S504=U504,"Accurate Prediction","Inaccurate Prediction"))</f>
        <v>Not Sampled</v>
      </c>
    </row>
    <row r="505" spans="1:22" x14ac:dyDescent="0.25">
      <c r="A505" s="1">
        <v>503</v>
      </c>
      <c r="B505" s="1">
        <v>7</v>
      </c>
      <c r="C505" s="1" t="str">
        <f>LOOKUP(B505,Sheet2!$D$4:$E$9)</f>
        <v>5-7</v>
      </c>
      <c r="D505" s="1">
        <v>94</v>
      </c>
      <c r="E505" t="str">
        <f>LOOKUP(D505,Sheet2!$G$4:$H$9)</f>
        <v>1-99</v>
      </c>
      <c r="F505" s="1">
        <v>64</v>
      </c>
      <c r="G505" t="str">
        <f>LOOKUP(F505,Sheet2!$J$4:$K$8)</f>
        <v>60-69</v>
      </c>
      <c r="H505" s="1">
        <v>25</v>
      </c>
      <c r="I505" t="str">
        <f>LOOKUP(H505,Sheet2!$M$4:$N$8)</f>
        <v>10-30</v>
      </c>
      <c r="J505" s="1">
        <v>79</v>
      </c>
      <c r="K505" t="str">
        <f>LOOKUP(J505,Sheet2!$P$4:$Q$9)</f>
        <v>1-99</v>
      </c>
      <c r="L505" s="1">
        <v>33.299999999999997</v>
      </c>
      <c r="M505" t="str">
        <f>LOOKUP(L505,Sheet2!$S$4:$T$8)</f>
        <v>31-35</v>
      </c>
      <c r="N505" s="1">
        <v>0.73799999999999999</v>
      </c>
      <c r="O505" t="str">
        <f>LOOKUP(N505,Sheet2!$V$4:$W$7)</f>
        <v>0.7+</v>
      </c>
      <c r="P505" s="1">
        <v>41</v>
      </c>
      <c r="Q505" t="str">
        <f>LOOKUP(P505,Sheet2!$Z$4:$AA$7)</f>
        <v>36-45</v>
      </c>
      <c r="R505" s="1">
        <v>0</v>
      </c>
      <c r="S505" t="str">
        <f>IF(R505=1,"Positive","Negative")</f>
        <v>Negative</v>
      </c>
      <c r="T505" s="1" t="str">
        <f>IFERROR(VLOOKUP(A505,[1]diabetes_Recognition!$A:$B,2,FALSE),"Not Sampled")</f>
        <v>Not Sampled</v>
      </c>
      <c r="U505" t="str">
        <f>IF(T505=1,"Positive",(IF(T505=0,"Negative","Not Sampled")))</f>
        <v>Not Sampled</v>
      </c>
      <c r="V505" s="1" t="str">
        <f>IF(U505="Not Sampled","Not Sampled",IF(S505=U505,"Accurate Prediction","Inaccurate Prediction"))</f>
        <v>Not Sampled</v>
      </c>
    </row>
    <row r="506" spans="1:22" x14ac:dyDescent="0.25">
      <c r="A506" s="1">
        <v>504</v>
      </c>
      <c r="B506" s="1">
        <v>3</v>
      </c>
      <c r="C506" s="1" t="str">
        <f>LOOKUP(B506,Sheet2!$D$4:$E$9)</f>
        <v>3-4</v>
      </c>
      <c r="D506" s="1">
        <v>96</v>
      </c>
      <c r="E506" t="str">
        <f>LOOKUP(D506,Sheet2!$G$4:$H$9)</f>
        <v>1-99</v>
      </c>
      <c r="F506" s="1">
        <v>78</v>
      </c>
      <c r="G506" t="str">
        <f>LOOKUP(F506,Sheet2!$J$4:$K$8)</f>
        <v>70-79</v>
      </c>
      <c r="H506" s="1">
        <v>39</v>
      </c>
      <c r="I506" t="str">
        <f>LOOKUP(H506,Sheet2!$M$4:$N$8)</f>
        <v>30-39</v>
      </c>
      <c r="J506" s="1">
        <v>0</v>
      </c>
      <c r="K506" t="str">
        <f>LOOKUP(J506,Sheet2!$P$4:$Q$9)</f>
        <v>Unknown</v>
      </c>
      <c r="L506" s="1">
        <v>37.299999999999997</v>
      </c>
      <c r="M506" t="str">
        <f>LOOKUP(L506,Sheet2!$S$4:$T$8)</f>
        <v>36+</v>
      </c>
      <c r="N506" s="1">
        <v>0.23799999999999999</v>
      </c>
      <c r="O506" t="str">
        <f>LOOKUP(N506,Sheet2!$V$4:$W$7)</f>
        <v>0.0 - 0.249</v>
      </c>
      <c r="P506" s="1">
        <v>40</v>
      </c>
      <c r="Q506" t="str">
        <f>LOOKUP(P506,Sheet2!$Z$4:$AA$7)</f>
        <v>36-45</v>
      </c>
      <c r="R506" s="1">
        <v>0</v>
      </c>
      <c r="S506" t="str">
        <f>IF(R506=1,"Positive","Negative")</f>
        <v>Negative</v>
      </c>
      <c r="T506" s="1" t="str">
        <f>IFERROR(VLOOKUP(A506,[1]diabetes_Recognition!$A:$B,2,FALSE),"Not Sampled")</f>
        <v>Not Sampled</v>
      </c>
      <c r="U506" t="str">
        <f>IF(T506=1,"Positive",(IF(T506=0,"Negative","Not Sampled")))</f>
        <v>Not Sampled</v>
      </c>
      <c r="V506" s="1" t="str">
        <f>IF(U506="Not Sampled","Not Sampled",IF(S506=U506,"Accurate Prediction","Inaccurate Prediction"))</f>
        <v>Not Sampled</v>
      </c>
    </row>
    <row r="507" spans="1:22" x14ac:dyDescent="0.25">
      <c r="A507" s="1">
        <v>505</v>
      </c>
      <c r="B507" s="1">
        <v>10</v>
      </c>
      <c r="C507" s="1" t="str">
        <f>LOOKUP(B507,Sheet2!$D$4:$E$9)</f>
        <v>8+</v>
      </c>
      <c r="D507" s="1">
        <v>75</v>
      </c>
      <c r="E507" t="str">
        <f>LOOKUP(D507,Sheet2!$G$4:$H$9)</f>
        <v>1-99</v>
      </c>
      <c r="F507" s="1">
        <v>82</v>
      </c>
      <c r="G507" t="str">
        <f>LOOKUP(F507,Sheet2!$J$4:$K$8)</f>
        <v>80+</v>
      </c>
      <c r="H507" s="1">
        <v>0</v>
      </c>
      <c r="I507" t="str">
        <f>LOOKUP(H507,Sheet2!$M$4:$N$8)</f>
        <v>Unknown</v>
      </c>
      <c r="J507" s="1">
        <v>0</v>
      </c>
      <c r="K507" t="str">
        <f>LOOKUP(J507,Sheet2!$P$4:$Q$9)</f>
        <v>Unknown</v>
      </c>
      <c r="L507" s="1">
        <v>33.299999999999997</v>
      </c>
      <c r="M507" t="str">
        <f>LOOKUP(L507,Sheet2!$S$4:$T$8)</f>
        <v>31-35</v>
      </c>
      <c r="N507" s="1">
        <v>0.26300000000000001</v>
      </c>
      <c r="O507" t="str">
        <f>LOOKUP(N507,Sheet2!$V$4:$W$7)</f>
        <v>0.25 - 0.39</v>
      </c>
      <c r="P507" s="1">
        <v>38</v>
      </c>
      <c r="Q507" t="str">
        <f>LOOKUP(P507,Sheet2!$Z$4:$AA$7)</f>
        <v>36-45</v>
      </c>
      <c r="R507" s="1">
        <v>0</v>
      </c>
      <c r="S507" t="str">
        <f>IF(R507=1,"Positive","Negative")</f>
        <v>Negative</v>
      </c>
      <c r="T507" s="1" t="str">
        <f>IFERROR(VLOOKUP(A507,[1]diabetes_Recognition!$A:$B,2,FALSE),"Not Sampled")</f>
        <v>Not Sampled</v>
      </c>
      <c r="U507" t="str">
        <f>IF(T507=1,"Positive",(IF(T507=0,"Negative","Not Sampled")))</f>
        <v>Not Sampled</v>
      </c>
      <c r="V507" s="1" t="str">
        <f>IF(U507="Not Sampled","Not Sampled",IF(S507=U507,"Accurate Prediction","Inaccurate Prediction"))</f>
        <v>Not Sampled</v>
      </c>
    </row>
    <row r="508" spans="1:22" x14ac:dyDescent="0.25">
      <c r="A508" s="1">
        <v>506</v>
      </c>
      <c r="B508" s="1">
        <v>0</v>
      </c>
      <c r="C508" s="1">
        <f>LOOKUP(B508,Sheet2!$D$4:$E$9)</f>
        <v>0</v>
      </c>
      <c r="D508" s="1">
        <v>180</v>
      </c>
      <c r="E508" t="str">
        <f>LOOKUP(D508,Sheet2!$G$4:$H$9)</f>
        <v>176-200</v>
      </c>
      <c r="F508" s="1">
        <v>90</v>
      </c>
      <c r="G508" t="str">
        <f>LOOKUP(F508,Sheet2!$J$4:$K$8)</f>
        <v>80+</v>
      </c>
      <c r="H508" s="1">
        <v>26</v>
      </c>
      <c r="I508" t="str">
        <f>LOOKUP(H508,Sheet2!$M$4:$N$8)</f>
        <v>10-30</v>
      </c>
      <c r="J508" s="1">
        <v>90</v>
      </c>
      <c r="K508" t="str">
        <f>LOOKUP(J508,Sheet2!$P$4:$Q$9)</f>
        <v>1-99</v>
      </c>
      <c r="L508" s="1">
        <v>36.5</v>
      </c>
      <c r="M508" t="str">
        <f>LOOKUP(L508,Sheet2!$S$4:$T$8)</f>
        <v>36+</v>
      </c>
      <c r="N508" s="1">
        <v>0.314</v>
      </c>
      <c r="O508" t="str">
        <f>LOOKUP(N508,Sheet2!$V$4:$W$7)</f>
        <v>0.25 - 0.39</v>
      </c>
      <c r="P508" s="1">
        <v>35</v>
      </c>
      <c r="Q508" t="str">
        <f>LOOKUP(P508,Sheet2!$Z$4:$AA$7)</f>
        <v>26-35</v>
      </c>
      <c r="R508" s="1">
        <v>1</v>
      </c>
      <c r="S508" t="str">
        <f>IF(R508=1,"Positive","Negative")</f>
        <v>Positive</v>
      </c>
      <c r="T508" s="1" t="str">
        <f>IFERROR(VLOOKUP(A508,[1]diabetes_Recognition!$A:$B,2,FALSE),"Not Sampled")</f>
        <v>Not Sampled</v>
      </c>
      <c r="U508" t="str">
        <f>IF(T508=1,"Positive",(IF(T508=0,"Negative","Not Sampled")))</f>
        <v>Not Sampled</v>
      </c>
      <c r="V508" s="1" t="str">
        <f>IF(U508="Not Sampled","Not Sampled",IF(S508=U508,"Accurate Prediction","Inaccurate Prediction"))</f>
        <v>Not Sampled</v>
      </c>
    </row>
    <row r="509" spans="1:22" x14ac:dyDescent="0.25">
      <c r="A509" s="1">
        <v>507</v>
      </c>
      <c r="B509" s="1">
        <v>1</v>
      </c>
      <c r="C509" s="1">
        <f>LOOKUP(B509,Sheet2!$D$4:$E$9)</f>
        <v>1</v>
      </c>
      <c r="D509" s="1">
        <v>130</v>
      </c>
      <c r="E509" t="str">
        <f>LOOKUP(D509,Sheet2!$G$4:$H$9)</f>
        <v>126-150</v>
      </c>
      <c r="F509" s="1">
        <v>60</v>
      </c>
      <c r="G509" t="str">
        <f>LOOKUP(F509,Sheet2!$J$4:$K$8)</f>
        <v>60-69</v>
      </c>
      <c r="H509" s="1">
        <v>23</v>
      </c>
      <c r="I509" t="str">
        <f>LOOKUP(H509,Sheet2!$M$4:$N$8)</f>
        <v>10-30</v>
      </c>
      <c r="J509" s="1">
        <v>170</v>
      </c>
      <c r="K509" t="str">
        <f>LOOKUP(J509,Sheet2!$P$4:$Q$9)</f>
        <v>100-199</v>
      </c>
      <c r="L509" s="1">
        <v>28.6</v>
      </c>
      <c r="M509" t="str">
        <f>LOOKUP(L509,Sheet2!$S$4:$T$8)</f>
        <v>26-30</v>
      </c>
      <c r="N509" s="1">
        <v>0.69199999999999995</v>
      </c>
      <c r="O509" t="str">
        <f>LOOKUP(N509,Sheet2!$V$4:$W$7)</f>
        <v>0.4 - 0.69</v>
      </c>
      <c r="P509" s="1">
        <v>21</v>
      </c>
      <c r="Q509" t="str">
        <f>LOOKUP(P509,Sheet2!$Z$4:$AA$7)</f>
        <v>&lt;=25</v>
      </c>
      <c r="R509" s="1">
        <v>0</v>
      </c>
      <c r="S509" t="str">
        <f>IF(R509=1,"Positive","Negative")</f>
        <v>Negative</v>
      </c>
      <c r="T509" s="1">
        <f>IFERROR(VLOOKUP(A509,[1]diabetes_Recognition!$A:$B,2,FALSE),"Not Sampled")</f>
        <v>0</v>
      </c>
      <c r="U509" t="str">
        <f>IF(T509=1,"Positive",(IF(T509=0,"Negative","Not Sampled")))</f>
        <v>Negative</v>
      </c>
      <c r="V509" s="1" t="str">
        <f>IF(U509="Not Sampled","Not Sampled",IF(S509=U509,"Accurate Prediction","Inaccurate Prediction"))</f>
        <v>Accurate Prediction</v>
      </c>
    </row>
    <row r="510" spans="1:22" x14ac:dyDescent="0.25">
      <c r="A510" s="1">
        <v>508</v>
      </c>
      <c r="B510" s="1">
        <v>2</v>
      </c>
      <c r="C510" s="1">
        <f>LOOKUP(B510,Sheet2!$D$4:$E$9)</f>
        <v>2</v>
      </c>
      <c r="D510" s="1">
        <v>84</v>
      </c>
      <c r="E510" t="str">
        <f>LOOKUP(D510,Sheet2!$G$4:$H$9)</f>
        <v>1-99</v>
      </c>
      <c r="F510" s="1">
        <v>50</v>
      </c>
      <c r="G510" t="str">
        <f>LOOKUP(F510,Sheet2!$J$4:$K$8)</f>
        <v>1-59</v>
      </c>
      <c r="H510" s="1">
        <v>23</v>
      </c>
      <c r="I510" t="str">
        <f>LOOKUP(H510,Sheet2!$M$4:$N$8)</f>
        <v>10-30</v>
      </c>
      <c r="J510" s="1">
        <v>76</v>
      </c>
      <c r="K510" t="str">
        <f>LOOKUP(J510,Sheet2!$P$4:$Q$9)</f>
        <v>1-99</v>
      </c>
      <c r="L510" s="1">
        <v>30.4</v>
      </c>
      <c r="M510" t="str">
        <f>LOOKUP(L510,Sheet2!$S$4:$T$8)</f>
        <v>26-30</v>
      </c>
      <c r="N510" s="1">
        <v>0.96799999999999997</v>
      </c>
      <c r="O510" t="str">
        <f>LOOKUP(N510,Sheet2!$V$4:$W$7)</f>
        <v>0.7+</v>
      </c>
      <c r="P510" s="1">
        <v>21</v>
      </c>
      <c r="Q510" t="str">
        <f>LOOKUP(P510,Sheet2!$Z$4:$AA$7)</f>
        <v>&lt;=25</v>
      </c>
      <c r="R510" s="1">
        <v>0</v>
      </c>
      <c r="S510" t="str">
        <f>IF(R510=1,"Positive","Negative")</f>
        <v>Negative</v>
      </c>
      <c r="T510" s="1" t="str">
        <f>IFERROR(VLOOKUP(A510,[1]diabetes_Recognition!$A:$B,2,FALSE),"Not Sampled")</f>
        <v>Not Sampled</v>
      </c>
      <c r="U510" t="str">
        <f>IF(T510=1,"Positive",(IF(T510=0,"Negative","Not Sampled")))</f>
        <v>Not Sampled</v>
      </c>
      <c r="V510" s="1" t="str">
        <f>IF(U510="Not Sampled","Not Sampled",IF(S510=U510,"Accurate Prediction","Inaccurate Prediction"))</f>
        <v>Not Sampled</v>
      </c>
    </row>
    <row r="511" spans="1:22" x14ac:dyDescent="0.25">
      <c r="A511" s="1">
        <v>509</v>
      </c>
      <c r="B511" s="1">
        <v>8</v>
      </c>
      <c r="C511" s="1" t="str">
        <f>LOOKUP(B511,Sheet2!$D$4:$E$9)</f>
        <v>8+</v>
      </c>
      <c r="D511" s="1">
        <v>120</v>
      </c>
      <c r="E511" t="str">
        <f>LOOKUP(D511,Sheet2!$G$4:$H$9)</f>
        <v>100-125</v>
      </c>
      <c r="F511" s="1">
        <v>78</v>
      </c>
      <c r="G511" t="str">
        <f>LOOKUP(F511,Sheet2!$J$4:$K$8)</f>
        <v>70-79</v>
      </c>
      <c r="H511" s="1">
        <v>0</v>
      </c>
      <c r="I511" t="str">
        <f>LOOKUP(H511,Sheet2!$M$4:$N$8)</f>
        <v>Unknown</v>
      </c>
      <c r="J511" s="1">
        <v>0</v>
      </c>
      <c r="K511" t="str">
        <f>LOOKUP(J511,Sheet2!$P$4:$Q$9)</f>
        <v>Unknown</v>
      </c>
      <c r="L511" s="1">
        <v>25</v>
      </c>
      <c r="M511" t="str">
        <f>LOOKUP(L511,Sheet2!$S$4:$T$8)</f>
        <v>1-25</v>
      </c>
      <c r="N511" s="1">
        <v>0.40899999999999997</v>
      </c>
      <c r="O511" t="str">
        <f>LOOKUP(N511,Sheet2!$V$4:$W$7)</f>
        <v>0.4 - 0.69</v>
      </c>
      <c r="P511" s="1">
        <v>64</v>
      </c>
      <c r="Q511" t="str">
        <f>LOOKUP(P511,Sheet2!$Z$4:$AA$7)</f>
        <v>46+</v>
      </c>
      <c r="R511" s="1">
        <v>0</v>
      </c>
      <c r="S511" t="str">
        <f>IF(R511=1,"Positive","Negative")</f>
        <v>Negative</v>
      </c>
      <c r="T511" s="1" t="str">
        <f>IFERROR(VLOOKUP(A511,[1]diabetes_Recognition!$A:$B,2,FALSE),"Not Sampled")</f>
        <v>Not Sampled</v>
      </c>
      <c r="U511" t="str">
        <f>IF(T511=1,"Positive",(IF(T511=0,"Negative","Not Sampled")))</f>
        <v>Not Sampled</v>
      </c>
      <c r="V511" s="1" t="str">
        <f>IF(U511="Not Sampled","Not Sampled",IF(S511=U511,"Accurate Prediction","Inaccurate Prediction"))</f>
        <v>Not Sampled</v>
      </c>
    </row>
    <row r="512" spans="1:22" x14ac:dyDescent="0.25">
      <c r="A512" s="1">
        <v>510</v>
      </c>
      <c r="B512" s="1">
        <v>12</v>
      </c>
      <c r="C512" s="1" t="str">
        <f>LOOKUP(B512,Sheet2!$D$4:$E$9)</f>
        <v>8+</v>
      </c>
      <c r="D512" s="1">
        <v>84</v>
      </c>
      <c r="E512" t="str">
        <f>LOOKUP(D512,Sheet2!$G$4:$H$9)</f>
        <v>1-99</v>
      </c>
      <c r="F512" s="1">
        <v>72</v>
      </c>
      <c r="G512" t="str">
        <f>LOOKUP(F512,Sheet2!$J$4:$K$8)</f>
        <v>70-79</v>
      </c>
      <c r="H512" s="1">
        <v>31</v>
      </c>
      <c r="I512" t="str">
        <f>LOOKUP(H512,Sheet2!$M$4:$N$8)</f>
        <v>30-39</v>
      </c>
      <c r="J512" s="1">
        <v>0</v>
      </c>
      <c r="K512" t="str">
        <f>LOOKUP(J512,Sheet2!$P$4:$Q$9)</f>
        <v>Unknown</v>
      </c>
      <c r="L512" s="1">
        <v>29.7</v>
      </c>
      <c r="M512" t="str">
        <f>LOOKUP(L512,Sheet2!$S$4:$T$8)</f>
        <v>26-30</v>
      </c>
      <c r="N512" s="1">
        <v>0.29699999999999999</v>
      </c>
      <c r="O512" t="str">
        <f>LOOKUP(N512,Sheet2!$V$4:$W$7)</f>
        <v>0.25 - 0.39</v>
      </c>
      <c r="P512" s="1">
        <v>46</v>
      </c>
      <c r="Q512" t="str">
        <f>LOOKUP(P512,Sheet2!$Z$4:$AA$7)</f>
        <v>46+</v>
      </c>
      <c r="R512" s="1">
        <v>1</v>
      </c>
      <c r="S512" t="str">
        <f>IF(R512=1,"Positive","Negative")</f>
        <v>Positive</v>
      </c>
      <c r="T512" s="1">
        <f>IFERROR(VLOOKUP(A512,[1]diabetes_Recognition!$A:$B,2,FALSE),"Not Sampled")</f>
        <v>0</v>
      </c>
      <c r="U512" t="str">
        <f>IF(T512=1,"Positive",(IF(T512=0,"Negative","Not Sampled")))</f>
        <v>Negative</v>
      </c>
      <c r="V512" s="1" t="str">
        <f>IF(U512="Not Sampled","Not Sampled",IF(S512=U512,"Accurate Prediction","Inaccurate Prediction"))</f>
        <v>Inaccurate Prediction</v>
      </c>
    </row>
    <row r="513" spans="1:22" x14ac:dyDescent="0.25">
      <c r="A513" s="1">
        <v>511</v>
      </c>
      <c r="B513" s="1">
        <v>0</v>
      </c>
      <c r="C513" s="1">
        <f>LOOKUP(B513,Sheet2!$D$4:$E$9)</f>
        <v>0</v>
      </c>
      <c r="D513" s="1">
        <v>139</v>
      </c>
      <c r="E513" t="str">
        <f>LOOKUP(D513,Sheet2!$G$4:$H$9)</f>
        <v>126-150</v>
      </c>
      <c r="F513" s="1">
        <v>62</v>
      </c>
      <c r="G513" t="str">
        <f>LOOKUP(F513,Sheet2!$J$4:$K$8)</f>
        <v>60-69</v>
      </c>
      <c r="H513" s="1">
        <v>17</v>
      </c>
      <c r="I513" t="str">
        <f>LOOKUP(H513,Sheet2!$M$4:$N$8)</f>
        <v>10-30</v>
      </c>
      <c r="J513" s="1">
        <v>210</v>
      </c>
      <c r="K513" t="str">
        <f>LOOKUP(J513,Sheet2!$P$4:$Q$9)</f>
        <v>200-399</v>
      </c>
      <c r="L513" s="1">
        <v>22.1</v>
      </c>
      <c r="M513" t="str">
        <f>LOOKUP(L513,Sheet2!$S$4:$T$8)</f>
        <v>1-25</v>
      </c>
      <c r="N513" s="1">
        <v>0.20699999999999999</v>
      </c>
      <c r="O513" t="str">
        <f>LOOKUP(N513,Sheet2!$V$4:$W$7)</f>
        <v>0.0 - 0.249</v>
      </c>
      <c r="P513" s="1">
        <v>21</v>
      </c>
      <c r="Q513" t="str">
        <f>LOOKUP(P513,Sheet2!$Z$4:$AA$7)</f>
        <v>&lt;=25</v>
      </c>
      <c r="R513" s="1">
        <v>0</v>
      </c>
      <c r="S513" t="str">
        <f>IF(R513=1,"Positive","Negative")</f>
        <v>Negative</v>
      </c>
      <c r="T513" s="1" t="str">
        <f>IFERROR(VLOOKUP(A513,[1]diabetes_Recognition!$A:$B,2,FALSE),"Not Sampled")</f>
        <v>Not Sampled</v>
      </c>
      <c r="U513" t="str">
        <f>IF(T513=1,"Positive",(IF(T513=0,"Negative","Not Sampled")))</f>
        <v>Not Sampled</v>
      </c>
      <c r="V513" s="1" t="str">
        <f>IF(U513="Not Sampled","Not Sampled",IF(S513=U513,"Accurate Prediction","Inaccurate Prediction"))</f>
        <v>Not Sampled</v>
      </c>
    </row>
    <row r="514" spans="1:22" x14ac:dyDescent="0.25">
      <c r="A514" s="1">
        <v>512</v>
      </c>
      <c r="B514" s="1">
        <v>9</v>
      </c>
      <c r="C514" s="1" t="str">
        <f>LOOKUP(B514,Sheet2!$D$4:$E$9)</f>
        <v>8+</v>
      </c>
      <c r="D514" s="1">
        <v>91</v>
      </c>
      <c r="E514" t="str">
        <f>LOOKUP(D514,Sheet2!$G$4:$H$9)</f>
        <v>1-99</v>
      </c>
      <c r="F514" s="1">
        <v>68</v>
      </c>
      <c r="G514" t="str">
        <f>LOOKUP(F514,Sheet2!$J$4:$K$8)</f>
        <v>60-69</v>
      </c>
      <c r="H514" s="1">
        <v>0</v>
      </c>
      <c r="I514" t="str">
        <f>LOOKUP(H514,Sheet2!$M$4:$N$8)</f>
        <v>Unknown</v>
      </c>
      <c r="J514" s="1">
        <v>0</v>
      </c>
      <c r="K514" t="str">
        <f>LOOKUP(J514,Sheet2!$P$4:$Q$9)</f>
        <v>Unknown</v>
      </c>
      <c r="L514" s="1">
        <v>24.2</v>
      </c>
      <c r="M514" t="str">
        <f>LOOKUP(L514,Sheet2!$S$4:$T$8)</f>
        <v>1-25</v>
      </c>
      <c r="N514" s="1">
        <v>0.2</v>
      </c>
      <c r="O514" t="str">
        <f>LOOKUP(N514,Sheet2!$V$4:$W$7)</f>
        <v>0.0 - 0.249</v>
      </c>
      <c r="P514" s="1">
        <v>58</v>
      </c>
      <c r="Q514" t="str">
        <f>LOOKUP(P514,Sheet2!$Z$4:$AA$7)</f>
        <v>46+</v>
      </c>
      <c r="R514" s="1">
        <v>0</v>
      </c>
      <c r="S514" t="str">
        <f>IF(R514=1,"Positive","Negative")</f>
        <v>Negative</v>
      </c>
      <c r="T514" s="1">
        <f>IFERROR(VLOOKUP(A514,[1]diabetes_Recognition!$A:$B,2,FALSE),"Not Sampled")</f>
        <v>0</v>
      </c>
      <c r="U514" t="str">
        <f>IF(T514=1,"Positive",(IF(T514=0,"Negative","Not Sampled")))</f>
        <v>Negative</v>
      </c>
      <c r="V514" s="1" t="str">
        <f>IF(U514="Not Sampled","Not Sampled",IF(S514=U514,"Accurate Prediction","Inaccurate Prediction"))</f>
        <v>Accurate Prediction</v>
      </c>
    </row>
    <row r="515" spans="1:22" x14ac:dyDescent="0.25">
      <c r="A515" s="1">
        <v>513</v>
      </c>
      <c r="B515" s="1">
        <v>2</v>
      </c>
      <c r="C515" s="1">
        <f>LOOKUP(B515,Sheet2!$D$4:$E$9)</f>
        <v>2</v>
      </c>
      <c r="D515" s="1">
        <v>91</v>
      </c>
      <c r="E515" t="str">
        <f>LOOKUP(D515,Sheet2!$G$4:$H$9)</f>
        <v>1-99</v>
      </c>
      <c r="F515" s="1">
        <v>62</v>
      </c>
      <c r="G515" t="str">
        <f>LOOKUP(F515,Sheet2!$J$4:$K$8)</f>
        <v>60-69</v>
      </c>
      <c r="H515" s="1">
        <v>0</v>
      </c>
      <c r="I515" t="str">
        <f>LOOKUP(H515,Sheet2!$M$4:$N$8)</f>
        <v>Unknown</v>
      </c>
      <c r="J515" s="1">
        <v>0</v>
      </c>
      <c r="K515" t="str">
        <f>LOOKUP(J515,Sheet2!$P$4:$Q$9)</f>
        <v>Unknown</v>
      </c>
      <c r="L515" s="1">
        <v>27.3</v>
      </c>
      <c r="M515" t="str">
        <f>LOOKUP(L515,Sheet2!$S$4:$T$8)</f>
        <v>26-30</v>
      </c>
      <c r="N515" s="1">
        <v>0.52500000000000002</v>
      </c>
      <c r="O515" t="str">
        <f>LOOKUP(N515,Sheet2!$V$4:$W$7)</f>
        <v>0.4 - 0.69</v>
      </c>
      <c r="P515" s="1">
        <v>22</v>
      </c>
      <c r="Q515" t="str">
        <f>LOOKUP(P515,Sheet2!$Z$4:$AA$7)</f>
        <v>&lt;=25</v>
      </c>
      <c r="R515" s="1">
        <v>0</v>
      </c>
      <c r="S515" t="str">
        <f>IF(R515=1,"Positive","Negative")</f>
        <v>Negative</v>
      </c>
      <c r="T515" s="1" t="str">
        <f>IFERROR(VLOOKUP(A515,[1]diabetes_Recognition!$A:$B,2,FALSE),"Not Sampled")</f>
        <v>Not Sampled</v>
      </c>
      <c r="U515" t="str">
        <f>IF(T515=1,"Positive",(IF(T515=0,"Negative","Not Sampled")))</f>
        <v>Not Sampled</v>
      </c>
      <c r="V515" s="1" t="str">
        <f>IF(U515="Not Sampled","Not Sampled",IF(S515=U515,"Accurate Prediction","Inaccurate Prediction"))</f>
        <v>Not Sampled</v>
      </c>
    </row>
    <row r="516" spans="1:22" x14ac:dyDescent="0.25">
      <c r="A516" s="1">
        <v>514</v>
      </c>
      <c r="B516" s="1">
        <v>3</v>
      </c>
      <c r="C516" s="1" t="str">
        <f>LOOKUP(B516,Sheet2!$D$4:$E$9)</f>
        <v>3-4</v>
      </c>
      <c r="D516" s="1">
        <v>99</v>
      </c>
      <c r="E516" t="str">
        <f>LOOKUP(D516,Sheet2!$G$4:$H$9)</f>
        <v>1-99</v>
      </c>
      <c r="F516" s="1">
        <v>54</v>
      </c>
      <c r="G516" t="str">
        <f>LOOKUP(F516,Sheet2!$J$4:$K$8)</f>
        <v>1-59</v>
      </c>
      <c r="H516" s="1">
        <v>19</v>
      </c>
      <c r="I516" t="str">
        <f>LOOKUP(H516,Sheet2!$M$4:$N$8)</f>
        <v>10-30</v>
      </c>
      <c r="J516" s="1">
        <v>86</v>
      </c>
      <c r="K516" t="str">
        <f>LOOKUP(J516,Sheet2!$P$4:$Q$9)</f>
        <v>1-99</v>
      </c>
      <c r="L516" s="1">
        <v>25.6</v>
      </c>
      <c r="M516" t="str">
        <f>LOOKUP(L516,Sheet2!$S$4:$T$8)</f>
        <v>1-25</v>
      </c>
      <c r="N516" s="1">
        <v>0.154</v>
      </c>
      <c r="O516" t="str">
        <f>LOOKUP(N516,Sheet2!$V$4:$W$7)</f>
        <v>0.0 - 0.249</v>
      </c>
      <c r="P516" s="1">
        <v>24</v>
      </c>
      <c r="Q516" t="str">
        <f>LOOKUP(P516,Sheet2!$Z$4:$AA$7)</f>
        <v>&lt;=25</v>
      </c>
      <c r="R516" s="1">
        <v>0</v>
      </c>
      <c r="S516" t="str">
        <f>IF(R516=1,"Positive","Negative")</f>
        <v>Negative</v>
      </c>
      <c r="T516" s="1" t="str">
        <f>IFERROR(VLOOKUP(A516,[1]diabetes_Recognition!$A:$B,2,FALSE),"Not Sampled")</f>
        <v>Not Sampled</v>
      </c>
      <c r="U516" t="str">
        <f>IF(T516=1,"Positive",(IF(T516=0,"Negative","Not Sampled")))</f>
        <v>Not Sampled</v>
      </c>
      <c r="V516" s="1" t="str">
        <f>IF(U516="Not Sampled","Not Sampled",IF(S516=U516,"Accurate Prediction","Inaccurate Prediction"))</f>
        <v>Not Sampled</v>
      </c>
    </row>
    <row r="517" spans="1:22" x14ac:dyDescent="0.25">
      <c r="A517" s="1">
        <v>515</v>
      </c>
      <c r="B517" s="1">
        <v>3</v>
      </c>
      <c r="C517" s="1" t="str">
        <f>LOOKUP(B517,Sheet2!$D$4:$E$9)</f>
        <v>3-4</v>
      </c>
      <c r="D517" s="1">
        <v>163</v>
      </c>
      <c r="E517" t="str">
        <f>LOOKUP(D517,Sheet2!$G$4:$H$9)</f>
        <v>151-175</v>
      </c>
      <c r="F517" s="1">
        <v>70</v>
      </c>
      <c r="G517" t="str">
        <f>LOOKUP(F517,Sheet2!$J$4:$K$8)</f>
        <v>70-79</v>
      </c>
      <c r="H517" s="1">
        <v>18</v>
      </c>
      <c r="I517" t="str">
        <f>LOOKUP(H517,Sheet2!$M$4:$N$8)</f>
        <v>10-30</v>
      </c>
      <c r="J517" s="1">
        <v>105</v>
      </c>
      <c r="K517" t="str">
        <f>LOOKUP(J517,Sheet2!$P$4:$Q$9)</f>
        <v>100-199</v>
      </c>
      <c r="L517" s="1">
        <v>31.6</v>
      </c>
      <c r="M517" t="str">
        <f>LOOKUP(L517,Sheet2!$S$4:$T$8)</f>
        <v>31-35</v>
      </c>
      <c r="N517" s="1">
        <v>0.26800000000000002</v>
      </c>
      <c r="O517" t="str">
        <f>LOOKUP(N517,Sheet2!$V$4:$W$7)</f>
        <v>0.25 - 0.39</v>
      </c>
      <c r="P517" s="1">
        <v>28</v>
      </c>
      <c r="Q517" t="str">
        <f>LOOKUP(P517,Sheet2!$Z$4:$AA$7)</f>
        <v>26-35</v>
      </c>
      <c r="R517" s="1">
        <v>1</v>
      </c>
      <c r="S517" t="str">
        <f>IF(R517=1,"Positive","Negative")</f>
        <v>Positive</v>
      </c>
      <c r="T517" s="1" t="str">
        <f>IFERROR(VLOOKUP(A517,[1]diabetes_Recognition!$A:$B,2,FALSE),"Not Sampled")</f>
        <v>Not Sampled</v>
      </c>
      <c r="U517" t="str">
        <f>IF(T517=1,"Positive",(IF(T517=0,"Negative","Not Sampled")))</f>
        <v>Not Sampled</v>
      </c>
      <c r="V517" s="1" t="str">
        <f>IF(U517="Not Sampled","Not Sampled",IF(S517=U517,"Accurate Prediction","Inaccurate Prediction"))</f>
        <v>Not Sampled</v>
      </c>
    </row>
    <row r="518" spans="1:22" x14ac:dyDescent="0.25">
      <c r="A518" s="1">
        <v>516</v>
      </c>
      <c r="B518" s="1">
        <v>9</v>
      </c>
      <c r="C518" s="1" t="str">
        <f>LOOKUP(B518,Sheet2!$D$4:$E$9)</f>
        <v>8+</v>
      </c>
      <c r="D518" s="1">
        <v>145</v>
      </c>
      <c r="E518" t="str">
        <f>LOOKUP(D518,Sheet2!$G$4:$H$9)</f>
        <v>126-150</v>
      </c>
      <c r="F518" s="1">
        <v>88</v>
      </c>
      <c r="G518" t="str">
        <f>LOOKUP(F518,Sheet2!$J$4:$K$8)</f>
        <v>80+</v>
      </c>
      <c r="H518" s="1">
        <v>34</v>
      </c>
      <c r="I518" t="str">
        <f>LOOKUP(H518,Sheet2!$M$4:$N$8)</f>
        <v>30-39</v>
      </c>
      <c r="J518" s="1">
        <v>165</v>
      </c>
      <c r="K518" t="str">
        <f>LOOKUP(J518,Sheet2!$P$4:$Q$9)</f>
        <v>100-199</v>
      </c>
      <c r="L518" s="1">
        <v>30.3</v>
      </c>
      <c r="M518" t="str">
        <f>LOOKUP(L518,Sheet2!$S$4:$T$8)</f>
        <v>26-30</v>
      </c>
      <c r="N518" s="1">
        <v>0.77100000000000002</v>
      </c>
      <c r="O518" t="str">
        <f>LOOKUP(N518,Sheet2!$V$4:$W$7)</f>
        <v>0.7+</v>
      </c>
      <c r="P518" s="1">
        <v>53</v>
      </c>
      <c r="Q518" t="str">
        <f>LOOKUP(P518,Sheet2!$Z$4:$AA$7)</f>
        <v>46+</v>
      </c>
      <c r="R518" s="1">
        <v>1</v>
      </c>
      <c r="S518" t="str">
        <f>IF(R518=1,"Positive","Negative")</f>
        <v>Positive</v>
      </c>
      <c r="T518" s="1" t="str">
        <f>IFERROR(VLOOKUP(A518,[1]diabetes_Recognition!$A:$B,2,FALSE),"Not Sampled")</f>
        <v>Not Sampled</v>
      </c>
      <c r="U518" t="str">
        <f>IF(T518=1,"Positive",(IF(T518=0,"Negative","Not Sampled")))</f>
        <v>Not Sampled</v>
      </c>
      <c r="V518" s="1" t="str">
        <f>IF(U518="Not Sampled","Not Sampled",IF(S518=U518,"Accurate Prediction","Inaccurate Prediction"))</f>
        <v>Not Sampled</v>
      </c>
    </row>
    <row r="519" spans="1:22" x14ac:dyDescent="0.25">
      <c r="A519" s="1">
        <v>517</v>
      </c>
      <c r="B519" s="1">
        <v>7</v>
      </c>
      <c r="C519" s="1" t="str">
        <f>LOOKUP(B519,Sheet2!$D$4:$E$9)</f>
        <v>5-7</v>
      </c>
      <c r="D519" s="1">
        <v>125</v>
      </c>
      <c r="E519" t="str">
        <f>LOOKUP(D519,Sheet2!$G$4:$H$9)</f>
        <v>100-125</v>
      </c>
      <c r="F519" s="1">
        <v>86</v>
      </c>
      <c r="G519" t="str">
        <f>LOOKUP(F519,Sheet2!$J$4:$K$8)</f>
        <v>80+</v>
      </c>
      <c r="H519" s="1">
        <v>0</v>
      </c>
      <c r="I519" t="str">
        <f>LOOKUP(H519,Sheet2!$M$4:$N$8)</f>
        <v>Unknown</v>
      </c>
      <c r="J519" s="1">
        <v>0</v>
      </c>
      <c r="K519" t="str">
        <f>LOOKUP(J519,Sheet2!$P$4:$Q$9)</f>
        <v>Unknown</v>
      </c>
      <c r="L519" s="1">
        <v>37.6</v>
      </c>
      <c r="M519" t="str">
        <f>LOOKUP(L519,Sheet2!$S$4:$T$8)</f>
        <v>36+</v>
      </c>
      <c r="N519" s="1">
        <v>0.30399999999999999</v>
      </c>
      <c r="O519" t="str">
        <f>LOOKUP(N519,Sheet2!$V$4:$W$7)</f>
        <v>0.25 - 0.39</v>
      </c>
      <c r="P519" s="1">
        <v>51</v>
      </c>
      <c r="Q519" t="str">
        <f>LOOKUP(P519,Sheet2!$Z$4:$AA$7)</f>
        <v>46+</v>
      </c>
      <c r="R519" s="1">
        <v>0</v>
      </c>
      <c r="S519" t="str">
        <f>IF(R519=1,"Positive","Negative")</f>
        <v>Negative</v>
      </c>
      <c r="T519" s="1" t="str">
        <f>IFERROR(VLOOKUP(A519,[1]diabetes_Recognition!$A:$B,2,FALSE),"Not Sampled")</f>
        <v>Not Sampled</v>
      </c>
      <c r="U519" t="str">
        <f>IF(T519=1,"Positive",(IF(T519=0,"Negative","Not Sampled")))</f>
        <v>Not Sampled</v>
      </c>
      <c r="V519" s="1" t="str">
        <f>IF(U519="Not Sampled","Not Sampled",IF(S519=U519,"Accurate Prediction","Inaccurate Prediction"))</f>
        <v>Not Sampled</v>
      </c>
    </row>
    <row r="520" spans="1:22" x14ac:dyDescent="0.25">
      <c r="A520" s="1">
        <v>518</v>
      </c>
      <c r="B520" s="1">
        <v>13</v>
      </c>
      <c r="C520" s="1" t="str">
        <f>LOOKUP(B520,Sheet2!$D$4:$E$9)</f>
        <v>8+</v>
      </c>
      <c r="D520" s="1">
        <v>76</v>
      </c>
      <c r="E520" t="str">
        <f>LOOKUP(D520,Sheet2!$G$4:$H$9)</f>
        <v>1-99</v>
      </c>
      <c r="F520" s="1">
        <v>60</v>
      </c>
      <c r="G520" t="str">
        <f>LOOKUP(F520,Sheet2!$J$4:$K$8)</f>
        <v>60-69</v>
      </c>
      <c r="H520" s="1">
        <v>0</v>
      </c>
      <c r="I520" t="str">
        <f>LOOKUP(H520,Sheet2!$M$4:$N$8)</f>
        <v>Unknown</v>
      </c>
      <c r="J520" s="1">
        <v>0</v>
      </c>
      <c r="K520" t="str">
        <f>LOOKUP(J520,Sheet2!$P$4:$Q$9)</f>
        <v>Unknown</v>
      </c>
      <c r="L520" s="1">
        <v>32.799999999999997</v>
      </c>
      <c r="M520" t="str">
        <f>LOOKUP(L520,Sheet2!$S$4:$T$8)</f>
        <v>31-35</v>
      </c>
      <c r="N520" s="1">
        <v>0.18</v>
      </c>
      <c r="O520" t="str">
        <f>LOOKUP(N520,Sheet2!$V$4:$W$7)</f>
        <v>0.0 - 0.249</v>
      </c>
      <c r="P520" s="1">
        <v>41</v>
      </c>
      <c r="Q520" t="str">
        <f>LOOKUP(P520,Sheet2!$Z$4:$AA$7)</f>
        <v>36-45</v>
      </c>
      <c r="R520" s="1">
        <v>0</v>
      </c>
      <c r="S520" t="str">
        <f>IF(R520=1,"Positive","Negative")</f>
        <v>Negative</v>
      </c>
      <c r="T520" s="1" t="str">
        <f>IFERROR(VLOOKUP(A520,[1]diabetes_Recognition!$A:$B,2,FALSE),"Not Sampled")</f>
        <v>Not Sampled</v>
      </c>
      <c r="U520" t="str">
        <f>IF(T520=1,"Positive",(IF(T520=0,"Negative","Not Sampled")))</f>
        <v>Not Sampled</v>
      </c>
      <c r="V520" s="1" t="str">
        <f>IF(U520="Not Sampled","Not Sampled",IF(S520=U520,"Accurate Prediction","Inaccurate Prediction"))</f>
        <v>Not Sampled</v>
      </c>
    </row>
    <row r="521" spans="1:22" x14ac:dyDescent="0.25">
      <c r="A521" s="1">
        <v>519</v>
      </c>
      <c r="B521" s="1">
        <v>6</v>
      </c>
      <c r="C521" s="1" t="str">
        <f>LOOKUP(B521,Sheet2!$D$4:$E$9)</f>
        <v>5-7</v>
      </c>
      <c r="D521" s="1">
        <v>129</v>
      </c>
      <c r="E521" t="str">
        <f>LOOKUP(D521,Sheet2!$G$4:$H$9)</f>
        <v>126-150</v>
      </c>
      <c r="F521" s="1">
        <v>90</v>
      </c>
      <c r="G521" t="str">
        <f>LOOKUP(F521,Sheet2!$J$4:$K$8)</f>
        <v>80+</v>
      </c>
      <c r="H521" s="1">
        <v>7</v>
      </c>
      <c r="I521" t="str">
        <f>LOOKUP(H521,Sheet2!$M$4:$N$8)</f>
        <v>1-10</v>
      </c>
      <c r="J521" s="1">
        <v>326</v>
      </c>
      <c r="K521" t="str">
        <f>LOOKUP(J521,Sheet2!$P$4:$Q$9)</f>
        <v>300-499</v>
      </c>
      <c r="L521" s="1">
        <v>19.600000000000001</v>
      </c>
      <c r="M521" t="str">
        <f>LOOKUP(L521,Sheet2!$S$4:$T$8)</f>
        <v>1-25</v>
      </c>
      <c r="N521" s="1">
        <v>0.58199999999999996</v>
      </c>
      <c r="O521" t="str">
        <f>LOOKUP(N521,Sheet2!$V$4:$W$7)</f>
        <v>0.4 - 0.69</v>
      </c>
      <c r="P521" s="1">
        <v>60</v>
      </c>
      <c r="Q521" t="str">
        <f>LOOKUP(P521,Sheet2!$Z$4:$AA$7)</f>
        <v>46+</v>
      </c>
      <c r="R521" s="1">
        <v>0</v>
      </c>
      <c r="S521" t="str">
        <f>IF(R521=1,"Positive","Negative")</f>
        <v>Negative</v>
      </c>
      <c r="T521" s="1" t="str">
        <f>IFERROR(VLOOKUP(A521,[1]diabetes_Recognition!$A:$B,2,FALSE),"Not Sampled")</f>
        <v>Not Sampled</v>
      </c>
      <c r="U521" t="str">
        <f>IF(T521=1,"Positive",(IF(T521=0,"Negative","Not Sampled")))</f>
        <v>Not Sampled</v>
      </c>
      <c r="V521" s="1" t="str">
        <f>IF(U521="Not Sampled","Not Sampled",IF(S521=U521,"Accurate Prediction","Inaccurate Prediction"))</f>
        <v>Not Sampled</v>
      </c>
    </row>
    <row r="522" spans="1:22" x14ac:dyDescent="0.25">
      <c r="A522" s="1">
        <v>520</v>
      </c>
      <c r="B522" s="1">
        <v>2</v>
      </c>
      <c r="C522" s="1">
        <f>LOOKUP(B522,Sheet2!$D$4:$E$9)</f>
        <v>2</v>
      </c>
      <c r="D522" s="1">
        <v>68</v>
      </c>
      <c r="E522" t="str">
        <f>LOOKUP(D522,Sheet2!$G$4:$H$9)</f>
        <v>1-99</v>
      </c>
      <c r="F522" s="1">
        <v>70</v>
      </c>
      <c r="G522" t="str">
        <f>LOOKUP(F522,Sheet2!$J$4:$K$8)</f>
        <v>70-79</v>
      </c>
      <c r="H522" s="1">
        <v>32</v>
      </c>
      <c r="I522" t="str">
        <f>LOOKUP(H522,Sheet2!$M$4:$N$8)</f>
        <v>30-39</v>
      </c>
      <c r="J522" s="1">
        <v>66</v>
      </c>
      <c r="K522" t="str">
        <f>LOOKUP(J522,Sheet2!$P$4:$Q$9)</f>
        <v>1-99</v>
      </c>
      <c r="L522" s="1">
        <v>25</v>
      </c>
      <c r="M522" t="str">
        <f>LOOKUP(L522,Sheet2!$S$4:$T$8)</f>
        <v>1-25</v>
      </c>
      <c r="N522" s="1">
        <v>0.187</v>
      </c>
      <c r="O522" t="str">
        <f>LOOKUP(N522,Sheet2!$V$4:$W$7)</f>
        <v>0.0 - 0.249</v>
      </c>
      <c r="P522" s="1">
        <v>25</v>
      </c>
      <c r="Q522" t="str">
        <f>LOOKUP(P522,Sheet2!$Z$4:$AA$7)</f>
        <v>&lt;=25</v>
      </c>
      <c r="R522" s="1">
        <v>0</v>
      </c>
      <c r="S522" t="str">
        <f>IF(R522=1,"Positive","Negative")</f>
        <v>Negative</v>
      </c>
      <c r="T522" s="1" t="str">
        <f>IFERROR(VLOOKUP(A522,[1]diabetes_Recognition!$A:$B,2,FALSE),"Not Sampled")</f>
        <v>Not Sampled</v>
      </c>
      <c r="U522" t="str">
        <f>IF(T522=1,"Positive",(IF(T522=0,"Negative","Not Sampled")))</f>
        <v>Not Sampled</v>
      </c>
      <c r="V522" s="1" t="str">
        <f>IF(U522="Not Sampled","Not Sampled",IF(S522=U522,"Accurate Prediction","Inaccurate Prediction"))</f>
        <v>Not Sampled</v>
      </c>
    </row>
    <row r="523" spans="1:22" x14ac:dyDescent="0.25">
      <c r="A523" s="1">
        <v>521</v>
      </c>
      <c r="B523" s="1">
        <v>3</v>
      </c>
      <c r="C523" s="1" t="str">
        <f>LOOKUP(B523,Sheet2!$D$4:$E$9)</f>
        <v>3-4</v>
      </c>
      <c r="D523" s="1">
        <v>124</v>
      </c>
      <c r="E523" t="str">
        <f>LOOKUP(D523,Sheet2!$G$4:$H$9)</f>
        <v>100-125</v>
      </c>
      <c r="F523" s="1">
        <v>80</v>
      </c>
      <c r="G523" t="str">
        <f>LOOKUP(F523,Sheet2!$J$4:$K$8)</f>
        <v>80+</v>
      </c>
      <c r="H523" s="1">
        <v>33</v>
      </c>
      <c r="I523" t="str">
        <f>LOOKUP(H523,Sheet2!$M$4:$N$8)</f>
        <v>30-39</v>
      </c>
      <c r="J523" s="1">
        <v>130</v>
      </c>
      <c r="K523" t="str">
        <f>LOOKUP(J523,Sheet2!$P$4:$Q$9)</f>
        <v>100-199</v>
      </c>
      <c r="L523" s="1">
        <v>33.200000000000003</v>
      </c>
      <c r="M523" t="str">
        <f>LOOKUP(L523,Sheet2!$S$4:$T$8)</f>
        <v>31-35</v>
      </c>
      <c r="N523" s="1">
        <v>0.30499999999999999</v>
      </c>
      <c r="O523" t="str">
        <f>LOOKUP(N523,Sheet2!$V$4:$W$7)</f>
        <v>0.25 - 0.39</v>
      </c>
      <c r="P523" s="1">
        <v>26</v>
      </c>
      <c r="Q523" t="str">
        <f>LOOKUP(P523,Sheet2!$Z$4:$AA$7)</f>
        <v>26-35</v>
      </c>
      <c r="R523" s="1">
        <v>0</v>
      </c>
      <c r="S523" t="str">
        <f>IF(R523=1,"Positive","Negative")</f>
        <v>Negative</v>
      </c>
      <c r="T523" s="1" t="str">
        <f>IFERROR(VLOOKUP(A523,[1]diabetes_Recognition!$A:$B,2,FALSE),"Not Sampled")</f>
        <v>Not Sampled</v>
      </c>
      <c r="U523" t="str">
        <f>IF(T523=1,"Positive",(IF(T523=0,"Negative","Not Sampled")))</f>
        <v>Not Sampled</v>
      </c>
      <c r="V523" s="1" t="str">
        <f>IF(U523="Not Sampled","Not Sampled",IF(S523=U523,"Accurate Prediction","Inaccurate Prediction"))</f>
        <v>Not Sampled</v>
      </c>
    </row>
    <row r="524" spans="1:22" x14ac:dyDescent="0.25">
      <c r="A524" s="1">
        <v>522</v>
      </c>
      <c r="B524" s="1">
        <v>6</v>
      </c>
      <c r="C524" s="1" t="str">
        <f>LOOKUP(B524,Sheet2!$D$4:$E$9)</f>
        <v>5-7</v>
      </c>
      <c r="D524" s="1">
        <v>114</v>
      </c>
      <c r="E524" t="str">
        <f>LOOKUP(D524,Sheet2!$G$4:$H$9)</f>
        <v>100-125</v>
      </c>
      <c r="F524" s="1">
        <v>0</v>
      </c>
      <c r="G524" t="str">
        <f>LOOKUP(F524,Sheet2!$J$4:$K$8)</f>
        <v>Unknown</v>
      </c>
      <c r="H524" s="1">
        <v>0</v>
      </c>
      <c r="I524" t="str">
        <f>LOOKUP(H524,Sheet2!$M$4:$N$8)</f>
        <v>Unknown</v>
      </c>
      <c r="J524" s="1">
        <v>0</v>
      </c>
      <c r="K524" t="str">
        <f>LOOKUP(J524,Sheet2!$P$4:$Q$9)</f>
        <v>Unknown</v>
      </c>
      <c r="L524" s="1">
        <v>0</v>
      </c>
      <c r="M524" t="str">
        <f>LOOKUP(L524,Sheet2!$S$4:$T$8)</f>
        <v>Unknown</v>
      </c>
      <c r="N524" s="1">
        <v>0.189</v>
      </c>
      <c r="O524" t="str">
        <f>LOOKUP(N524,Sheet2!$V$4:$W$7)</f>
        <v>0.0 - 0.249</v>
      </c>
      <c r="P524" s="1">
        <v>26</v>
      </c>
      <c r="Q524" t="str">
        <f>LOOKUP(P524,Sheet2!$Z$4:$AA$7)</f>
        <v>26-35</v>
      </c>
      <c r="R524" s="1">
        <v>0</v>
      </c>
      <c r="S524" t="str">
        <f>IF(R524=1,"Positive","Negative")</f>
        <v>Negative</v>
      </c>
      <c r="T524" s="1" t="str">
        <f>IFERROR(VLOOKUP(A524,[1]diabetes_Recognition!$A:$B,2,FALSE),"Not Sampled")</f>
        <v>Not Sampled</v>
      </c>
      <c r="U524" t="str">
        <f>IF(T524=1,"Positive",(IF(T524=0,"Negative","Not Sampled")))</f>
        <v>Not Sampled</v>
      </c>
      <c r="V524" s="1" t="str">
        <f>IF(U524="Not Sampled","Not Sampled",IF(S524=U524,"Accurate Prediction","Inaccurate Prediction"))</f>
        <v>Not Sampled</v>
      </c>
    </row>
    <row r="525" spans="1:22" x14ac:dyDescent="0.25">
      <c r="A525" s="1">
        <v>523</v>
      </c>
      <c r="B525" s="1">
        <v>9</v>
      </c>
      <c r="C525" s="1" t="str">
        <f>LOOKUP(B525,Sheet2!$D$4:$E$9)</f>
        <v>8+</v>
      </c>
      <c r="D525" s="1">
        <v>130</v>
      </c>
      <c r="E525" t="str">
        <f>LOOKUP(D525,Sheet2!$G$4:$H$9)</f>
        <v>126-150</v>
      </c>
      <c r="F525" s="1">
        <v>70</v>
      </c>
      <c r="G525" t="str">
        <f>LOOKUP(F525,Sheet2!$J$4:$K$8)</f>
        <v>70-79</v>
      </c>
      <c r="H525" s="1">
        <v>0</v>
      </c>
      <c r="I525" t="str">
        <f>LOOKUP(H525,Sheet2!$M$4:$N$8)</f>
        <v>Unknown</v>
      </c>
      <c r="J525" s="1">
        <v>0</v>
      </c>
      <c r="K525" t="str">
        <f>LOOKUP(J525,Sheet2!$P$4:$Q$9)</f>
        <v>Unknown</v>
      </c>
      <c r="L525" s="1">
        <v>34.200000000000003</v>
      </c>
      <c r="M525" t="str">
        <f>LOOKUP(L525,Sheet2!$S$4:$T$8)</f>
        <v>31-35</v>
      </c>
      <c r="N525" s="1">
        <v>0.65200000000000002</v>
      </c>
      <c r="O525" t="str">
        <f>LOOKUP(N525,Sheet2!$V$4:$W$7)</f>
        <v>0.4 - 0.69</v>
      </c>
      <c r="P525" s="1">
        <v>45</v>
      </c>
      <c r="Q525" t="str">
        <f>LOOKUP(P525,Sheet2!$Z$4:$AA$7)</f>
        <v>36-45</v>
      </c>
      <c r="R525" s="1">
        <v>1</v>
      </c>
      <c r="S525" t="str">
        <f>IF(R525=1,"Positive","Negative")</f>
        <v>Positive</v>
      </c>
      <c r="T525" s="1" t="str">
        <f>IFERROR(VLOOKUP(A525,[1]diabetes_Recognition!$A:$B,2,FALSE),"Not Sampled")</f>
        <v>Not Sampled</v>
      </c>
      <c r="U525" t="str">
        <f>IF(T525=1,"Positive",(IF(T525=0,"Negative","Not Sampled")))</f>
        <v>Not Sampled</v>
      </c>
      <c r="V525" s="1" t="str">
        <f>IF(U525="Not Sampled","Not Sampled",IF(S525=U525,"Accurate Prediction","Inaccurate Prediction"))</f>
        <v>Not Sampled</v>
      </c>
    </row>
    <row r="526" spans="1:22" x14ac:dyDescent="0.25">
      <c r="A526" s="1">
        <v>524</v>
      </c>
      <c r="B526" s="1">
        <v>3</v>
      </c>
      <c r="C526" s="1" t="str">
        <f>LOOKUP(B526,Sheet2!$D$4:$E$9)</f>
        <v>3-4</v>
      </c>
      <c r="D526" s="1">
        <v>125</v>
      </c>
      <c r="E526" t="str">
        <f>LOOKUP(D526,Sheet2!$G$4:$H$9)</f>
        <v>100-125</v>
      </c>
      <c r="F526" s="1">
        <v>58</v>
      </c>
      <c r="G526" t="str">
        <f>LOOKUP(F526,Sheet2!$J$4:$K$8)</f>
        <v>1-59</v>
      </c>
      <c r="H526" s="1">
        <v>0</v>
      </c>
      <c r="I526" t="str">
        <f>LOOKUP(H526,Sheet2!$M$4:$N$8)</f>
        <v>Unknown</v>
      </c>
      <c r="J526" s="1">
        <v>0</v>
      </c>
      <c r="K526" t="str">
        <f>LOOKUP(J526,Sheet2!$P$4:$Q$9)</f>
        <v>Unknown</v>
      </c>
      <c r="L526" s="1">
        <v>31.6</v>
      </c>
      <c r="M526" t="str">
        <f>LOOKUP(L526,Sheet2!$S$4:$T$8)</f>
        <v>31-35</v>
      </c>
      <c r="N526" s="1">
        <v>0.151</v>
      </c>
      <c r="O526" t="str">
        <f>LOOKUP(N526,Sheet2!$V$4:$W$7)</f>
        <v>0.0 - 0.249</v>
      </c>
      <c r="P526" s="1">
        <v>24</v>
      </c>
      <c r="Q526" t="str">
        <f>LOOKUP(P526,Sheet2!$Z$4:$AA$7)</f>
        <v>&lt;=25</v>
      </c>
      <c r="R526" s="1">
        <v>0</v>
      </c>
      <c r="S526" t="str">
        <f>IF(R526=1,"Positive","Negative")</f>
        <v>Negative</v>
      </c>
      <c r="T526" s="1" t="str">
        <f>IFERROR(VLOOKUP(A526,[1]diabetes_Recognition!$A:$B,2,FALSE),"Not Sampled")</f>
        <v>Not Sampled</v>
      </c>
      <c r="U526" t="str">
        <f>IF(T526=1,"Positive",(IF(T526=0,"Negative","Not Sampled")))</f>
        <v>Not Sampled</v>
      </c>
      <c r="V526" s="1" t="str">
        <f>IF(U526="Not Sampled","Not Sampled",IF(S526=U526,"Accurate Prediction","Inaccurate Prediction"))</f>
        <v>Not Sampled</v>
      </c>
    </row>
    <row r="527" spans="1:22" x14ac:dyDescent="0.25">
      <c r="A527" s="1">
        <v>525</v>
      </c>
      <c r="B527" s="1">
        <v>3</v>
      </c>
      <c r="C527" s="1" t="str">
        <f>LOOKUP(B527,Sheet2!$D$4:$E$9)</f>
        <v>3-4</v>
      </c>
      <c r="D527" s="1">
        <v>87</v>
      </c>
      <c r="E527" t="str">
        <f>LOOKUP(D527,Sheet2!$G$4:$H$9)</f>
        <v>1-99</v>
      </c>
      <c r="F527" s="1">
        <v>60</v>
      </c>
      <c r="G527" t="str">
        <f>LOOKUP(F527,Sheet2!$J$4:$K$8)</f>
        <v>60-69</v>
      </c>
      <c r="H527" s="1">
        <v>18</v>
      </c>
      <c r="I527" t="str">
        <f>LOOKUP(H527,Sheet2!$M$4:$N$8)</f>
        <v>10-30</v>
      </c>
      <c r="J527" s="1">
        <v>0</v>
      </c>
      <c r="K527" t="str">
        <f>LOOKUP(J527,Sheet2!$P$4:$Q$9)</f>
        <v>Unknown</v>
      </c>
      <c r="L527" s="1">
        <v>21.8</v>
      </c>
      <c r="M527" t="str">
        <f>LOOKUP(L527,Sheet2!$S$4:$T$8)</f>
        <v>1-25</v>
      </c>
      <c r="N527" s="1">
        <v>0.44400000000000001</v>
      </c>
      <c r="O527" t="str">
        <f>LOOKUP(N527,Sheet2!$V$4:$W$7)</f>
        <v>0.4 - 0.69</v>
      </c>
      <c r="P527" s="1">
        <v>21</v>
      </c>
      <c r="Q527" t="str">
        <f>LOOKUP(P527,Sheet2!$Z$4:$AA$7)</f>
        <v>&lt;=25</v>
      </c>
      <c r="R527" s="1">
        <v>0</v>
      </c>
      <c r="S527" t="str">
        <f>IF(R527=1,"Positive","Negative")</f>
        <v>Negative</v>
      </c>
      <c r="T527" s="1">
        <f>IFERROR(VLOOKUP(A527,[1]diabetes_Recognition!$A:$B,2,FALSE),"Not Sampled")</f>
        <v>0</v>
      </c>
      <c r="U527" t="str">
        <f>IF(T527=1,"Positive",(IF(T527=0,"Negative","Not Sampled")))</f>
        <v>Negative</v>
      </c>
      <c r="V527" s="1" t="str">
        <f>IF(U527="Not Sampled","Not Sampled",IF(S527=U527,"Accurate Prediction","Inaccurate Prediction"))</f>
        <v>Accurate Prediction</v>
      </c>
    </row>
    <row r="528" spans="1:22" x14ac:dyDescent="0.25">
      <c r="A528" s="1">
        <v>526</v>
      </c>
      <c r="B528" s="1">
        <v>1</v>
      </c>
      <c r="C528" s="1">
        <f>LOOKUP(B528,Sheet2!$D$4:$E$9)</f>
        <v>1</v>
      </c>
      <c r="D528" s="1">
        <v>97</v>
      </c>
      <c r="E528" t="str">
        <f>LOOKUP(D528,Sheet2!$G$4:$H$9)</f>
        <v>1-99</v>
      </c>
      <c r="F528" s="1">
        <v>64</v>
      </c>
      <c r="G528" t="str">
        <f>LOOKUP(F528,Sheet2!$J$4:$K$8)</f>
        <v>60-69</v>
      </c>
      <c r="H528" s="1">
        <v>19</v>
      </c>
      <c r="I528" t="str">
        <f>LOOKUP(H528,Sheet2!$M$4:$N$8)</f>
        <v>10-30</v>
      </c>
      <c r="J528" s="1">
        <v>82</v>
      </c>
      <c r="K528" t="str">
        <f>LOOKUP(J528,Sheet2!$P$4:$Q$9)</f>
        <v>1-99</v>
      </c>
      <c r="L528" s="1">
        <v>18.2</v>
      </c>
      <c r="M528" t="str">
        <f>LOOKUP(L528,Sheet2!$S$4:$T$8)</f>
        <v>1-25</v>
      </c>
      <c r="N528" s="1">
        <v>0.29899999999999999</v>
      </c>
      <c r="O528" t="str">
        <f>LOOKUP(N528,Sheet2!$V$4:$W$7)</f>
        <v>0.25 - 0.39</v>
      </c>
      <c r="P528" s="1">
        <v>21</v>
      </c>
      <c r="Q528" t="str">
        <f>LOOKUP(P528,Sheet2!$Z$4:$AA$7)</f>
        <v>&lt;=25</v>
      </c>
      <c r="R528" s="1">
        <v>0</v>
      </c>
      <c r="S528" t="str">
        <f>IF(R528=1,"Positive","Negative")</f>
        <v>Negative</v>
      </c>
      <c r="T528" s="1" t="str">
        <f>IFERROR(VLOOKUP(A528,[1]diabetes_Recognition!$A:$B,2,FALSE),"Not Sampled")</f>
        <v>Not Sampled</v>
      </c>
      <c r="U528" t="str">
        <f>IF(T528=1,"Positive",(IF(T528=0,"Negative","Not Sampled")))</f>
        <v>Not Sampled</v>
      </c>
      <c r="V528" s="1" t="str">
        <f>IF(U528="Not Sampled","Not Sampled",IF(S528=U528,"Accurate Prediction","Inaccurate Prediction"))</f>
        <v>Not Sampled</v>
      </c>
    </row>
    <row r="529" spans="1:22" x14ac:dyDescent="0.25">
      <c r="A529" s="1">
        <v>527</v>
      </c>
      <c r="B529" s="1">
        <v>3</v>
      </c>
      <c r="C529" s="1" t="str">
        <f>LOOKUP(B529,Sheet2!$D$4:$E$9)</f>
        <v>3-4</v>
      </c>
      <c r="D529" s="1">
        <v>116</v>
      </c>
      <c r="E529" t="str">
        <f>LOOKUP(D529,Sheet2!$G$4:$H$9)</f>
        <v>100-125</v>
      </c>
      <c r="F529" s="1">
        <v>74</v>
      </c>
      <c r="G529" t="str">
        <f>LOOKUP(F529,Sheet2!$J$4:$K$8)</f>
        <v>70-79</v>
      </c>
      <c r="H529" s="1">
        <v>15</v>
      </c>
      <c r="I529" t="str">
        <f>LOOKUP(H529,Sheet2!$M$4:$N$8)</f>
        <v>10-30</v>
      </c>
      <c r="J529" s="1">
        <v>105</v>
      </c>
      <c r="K529" t="str">
        <f>LOOKUP(J529,Sheet2!$P$4:$Q$9)</f>
        <v>100-199</v>
      </c>
      <c r="L529" s="1">
        <v>26.3</v>
      </c>
      <c r="M529" t="str">
        <f>LOOKUP(L529,Sheet2!$S$4:$T$8)</f>
        <v>26-30</v>
      </c>
      <c r="N529" s="1">
        <v>0.107</v>
      </c>
      <c r="O529" t="str">
        <f>LOOKUP(N529,Sheet2!$V$4:$W$7)</f>
        <v>0.0 - 0.249</v>
      </c>
      <c r="P529" s="1">
        <v>24</v>
      </c>
      <c r="Q529" t="str">
        <f>LOOKUP(P529,Sheet2!$Z$4:$AA$7)</f>
        <v>&lt;=25</v>
      </c>
      <c r="R529" s="1">
        <v>0</v>
      </c>
      <c r="S529" t="str">
        <f>IF(R529=1,"Positive","Negative")</f>
        <v>Negative</v>
      </c>
      <c r="T529" s="1">
        <f>IFERROR(VLOOKUP(A529,[1]diabetes_Recognition!$A:$B,2,FALSE),"Not Sampled")</f>
        <v>0</v>
      </c>
      <c r="U529" t="str">
        <f>IF(T529=1,"Positive",(IF(T529=0,"Negative","Not Sampled")))</f>
        <v>Negative</v>
      </c>
      <c r="V529" s="1" t="str">
        <f>IF(U529="Not Sampled","Not Sampled",IF(S529=U529,"Accurate Prediction","Inaccurate Prediction"))</f>
        <v>Accurate Prediction</v>
      </c>
    </row>
    <row r="530" spans="1:22" x14ac:dyDescent="0.25">
      <c r="A530" s="1">
        <v>528</v>
      </c>
      <c r="B530" s="1">
        <v>0</v>
      </c>
      <c r="C530" s="1">
        <f>LOOKUP(B530,Sheet2!$D$4:$E$9)</f>
        <v>0</v>
      </c>
      <c r="D530" s="1">
        <v>117</v>
      </c>
      <c r="E530" t="str">
        <f>LOOKUP(D530,Sheet2!$G$4:$H$9)</f>
        <v>100-125</v>
      </c>
      <c r="F530" s="1">
        <v>66</v>
      </c>
      <c r="G530" t="str">
        <f>LOOKUP(F530,Sheet2!$J$4:$K$8)</f>
        <v>60-69</v>
      </c>
      <c r="H530" s="1">
        <v>31</v>
      </c>
      <c r="I530" t="str">
        <f>LOOKUP(H530,Sheet2!$M$4:$N$8)</f>
        <v>30-39</v>
      </c>
      <c r="J530" s="1">
        <v>188</v>
      </c>
      <c r="K530" t="str">
        <f>LOOKUP(J530,Sheet2!$P$4:$Q$9)</f>
        <v>100-199</v>
      </c>
      <c r="L530" s="1">
        <v>30.8</v>
      </c>
      <c r="M530" t="str">
        <f>LOOKUP(L530,Sheet2!$S$4:$T$8)</f>
        <v>26-30</v>
      </c>
      <c r="N530" s="1">
        <v>0.49299999999999999</v>
      </c>
      <c r="O530" t="str">
        <f>LOOKUP(N530,Sheet2!$V$4:$W$7)</f>
        <v>0.4 - 0.69</v>
      </c>
      <c r="P530" s="1">
        <v>22</v>
      </c>
      <c r="Q530" t="str">
        <f>LOOKUP(P530,Sheet2!$Z$4:$AA$7)</f>
        <v>&lt;=25</v>
      </c>
      <c r="R530" s="1">
        <v>0</v>
      </c>
      <c r="S530" t="str">
        <f>IF(R530=1,"Positive","Negative")</f>
        <v>Negative</v>
      </c>
      <c r="T530" s="1" t="str">
        <f>IFERROR(VLOOKUP(A530,[1]diabetes_Recognition!$A:$B,2,FALSE),"Not Sampled")</f>
        <v>Not Sampled</v>
      </c>
      <c r="U530" t="str">
        <f>IF(T530=1,"Positive",(IF(T530=0,"Negative","Not Sampled")))</f>
        <v>Not Sampled</v>
      </c>
      <c r="V530" s="1" t="str">
        <f>IF(U530="Not Sampled","Not Sampled",IF(S530=U530,"Accurate Prediction","Inaccurate Prediction"))</f>
        <v>Not Sampled</v>
      </c>
    </row>
    <row r="531" spans="1:22" x14ac:dyDescent="0.25">
      <c r="A531" s="1">
        <v>529</v>
      </c>
      <c r="B531" s="1">
        <v>0</v>
      </c>
      <c r="C531" s="1">
        <f>LOOKUP(B531,Sheet2!$D$4:$E$9)</f>
        <v>0</v>
      </c>
      <c r="D531" s="1">
        <v>111</v>
      </c>
      <c r="E531" t="str">
        <f>LOOKUP(D531,Sheet2!$G$4:$H$9)</f>
        <v>100-125</v>
      </c>
      <c r="F531" s="1">
        <v>65</v>
      </c>
      <c r="G531" t="str">
        <f>LOOKUP(F531,Sheet2!$J$4:$K$8)</f>
        <v>60-69</v>
      </c>
      <c r="H531" s="1">
        <v>0</v>
      </c>
      <c r="I531" t="str">
        <f>LOOKUP(H531,Sheet2!$M$4:$N$8)</f>
        <v>Unknown</v>
      </c>
      <c r="J531" s="1">
        <v>0</v>
      </c>
      <c r="K531" t="str">
        <f>LOOKUP(J531,Sheet2!$P$4:$Q$9)</f>
        <v>Unknown</v>
      </c>
      <c r="L531" s="1">
        <v>24.6</v>
      </c>
      <c r="M531" t="str">
        <f>LOOKUP(L531,Sheet2!$S$4:$T$8)</f>
        <v>1-25</v>
      </c>
      <c r="N531" s="1">
        <v>0.66</v>
      </c>
      <c r="O531" t="str">
        <f>LOOKUP(N531,Sheet2!$V$4:$W$7)</f>
        <v>0.4 - 0.69</v>
      </c>
      <c r="P531" s="1">
        <v>31</v>
      </c>
      <c r="Q531" t="str">
        <f>LOOKUP(P531,Sheet2!$Z$4:$AA$7)</f>
        <v>26-35</v>
      </c>
      <c r="R531" s="1">
        <v>0</v>
      </c>
      <c r="S531" t="str">
        <f>IF(R531=1,"Positive","Negative")</f>
        <v>Negative</v>
      </c>
      <c r="T531" s="1" t="str">
        <f>IFERROR(VLOOKUP(A531,[1]diabetes_Recognition!$A:$B,2,FALSE),"Not Sampled")</f>
        <v>Not Sampled</v>
      </c>
      <c r="U531" t="str">
        <f>IF(T531=1,"Positive",(IF(T531=0,"Negative","Not Sampled")))</f>
        <v>Not Sampled</v>
      </c>
      <c r="V531" s="1" t="str">
        <f>IF(U531="Not Sampled","Not Sampled",IF(S531=U531,"Accurate Prediction","Inaccurate Prediction"))</f>
        <v>Not Sampled</v>
      </c>
    </row>
    <row r="532" spans="1:22" x14ac:dyDescent="0.25">
      <c r="A532" s="1">
        <v>530</v>
      </c>
      <c r="B532" s="1">
        <v>2</v>
      </c>
      <c r="C532" s="1">
        <f>LOOKUP(B532,Sheet2!$D$4:$E$9)</f>
        <v>2</v>
      </c>
      <c r="D532" s="1">
        <v>122</v>
      </c>
      <c r="E532" t="str">
        <f>LOOKUP(D532,Sheet2!$G$4:$H$9)</f>
        <v>100-125</v>
      </c>
      <c r="F532" s="1">
        <v>60</v>
      </c>
      <c r="G532" t="str">
        <f>LOOKUP(F532,Sheet2!$J$4:$K$8)</f>
        <v>60-69</v>
      </c>
      <c r="H532" s="1">
        <v>18</v>
      </c>
      <c r="I532" t="str">
        <f>LOOKUP(H532,Sheet2!$M$4:$N$8)</f>
        <v>10-30</v>
      </c>
      <c r="J532" s="1">
        <v>106</v>
      </c>
      <c r="K532" t="str">
        <f>LOOKUP(J532,Sheet2!$P$4:$Q$9)</f>
        <v>100-199</v>
      </c>
      <c r="L532" s="1">
        <v>29.8</v>
      </c>
      <c r="M532" t="str">
        <f>LOOKUP(L532,Sheet2!$S$4:$T$8)</f>
        <v>26-30</v>
      </c>
      <c r="N532" s="1">
        <v>0.71699999999999997</v>
      </c>
      <c r="O532" t="str">
        <f>LOOKUP(N532,Sheet2!$V$4:$W$7)</f>
        <v>0.7+</v>
      </c>
      <c r="P532" s="1">
        <v>22</v>
      </c>
      <c r="Q532" t="str">
        <f>LOOKUP(P532,Sheet2!$Z$4:$AA$7)</f>
        <v>&lt;=25</v>
      </c>
      <c r="R532" s="1">
        <v>0</v>
      </c>
      <c r="S532" t="str">
        <f>IF(R532=1,"Positive","Negative")</f>
        <v>Negative</v>
      </c>
      <c r="T532" s="1" t="str">
        <f>IFERROR(VLOOKUP(A532,[1]diabetes_Recognition!$A:$B,2,FALSE),"Not Sampled")</f>
        <v>Not Sampled</v>
      </c>
      <c r="U532" t="str">
        <f>IF(T532=1,"Positive",(IF(T532=0,"Negative","Not Sampled")))</f>
        <v>Not Sampled</v>
      </c>
      <c r="V532" s="1" t="str">
        <f>IF(U532="Not Sampled","Not Sampled",IF(S532=U532,"Accurate Prediction","Inaccurate Prediction"))</f>
        <v>Not Sampled</v>
      </c>
    </row>
    <row r="533" spans="1:22" x14ac:dyDescent="0.25">
      <c r="A533" s="1">
        <v>531</v>
      </c>
      <c r="B533" s="1">
        <v>0</v>
      </c>
      <c r="C533" s="1">
        <f>LOOKUP(B533,Sheet2!$D$4:$E$9)</f>
        <v>0</v>
      </c>
      <c r="D533" s="1">
        <v>107</v>
      </c>
      <c r="E533" t="str">
        <f>LOOKUP(D533,Sheet2!$G$4:$H$9)</f>
        <v>100-125</v>
      </c>
      <c r="F533" s="1">
        <v>76</v>
      </c>
      <c r="G533" t="str">
        <f>LOOKUP(F533,Sheet2!$J$4:$K$8)</f>
        <v>70-79</v>
      </c>
      <c r="H533" s="1">
        <v>0</v>
      </c>
      <c r="I533" t="str">
        <f>LOOKUP(H533,Sheet2!$M$4:$N$8)</f>
        <v>Unknown</v>
      </c>
      <c r="J533" s="1">
        <v>0</v>
      </c>
      <c r="K533" t="str">
        <f>LOOKUP(J533,Sheet2!$P$4:$Q$9)</f>
        <v>Unknown</v>
      </c>
      <c r="L533" s="1">
        <v>45.3</v>
      </c>
      <c r="M533" t="str">
        <f>LOOKUP(L533,Sheet2!$S$4:$T$8)</f>
        <v>36+</v>
      </c>
      <c r="N533" s="1">
        <v>0.68600000000000005</v>
      </c>
      <c r="O533" t="str">
        <f>LOOKUP(N533,Sheet2!$V$4:$W$7)</f>
        <v>0.4 - 0.69</v>
      </c>
      <c r="P533" s="1">
        <v>24</v>
      </c>
      <c r="Q533" t="str">
        <f>LOOKUP(P533,Sheet2!$Z$4:$AA$7)</f>
        <v>&lt;=25</v>
      </c>
      <c r="R533" s="1">
        <v>0</v>
      </c>
      <c r="S533" t="str">
        <f>IF(R533=1,"Positive","Negative")</f>
        <v>Negative</v>
      </c>
      <c r="T533" s="1" t="str">
        <f>IFERROR(VLOOKUP(A533,[1]diabetes_Recognition!$A:$B,2,FALSE),"Not Sampled")</f>
        <v>Not Sampled</v>
      </c>
      <c r="U533" t="str">
        <f>IF(T533=1,"Positive",(IF(T533=0,"Negative","Not Sampled")))</f>
        <v>Not Sampled</v>
      </c>
      <c r="V533" s="1" t="str">
        <f>IF(U533="Not Sampled","Not Sampled",IF(S533=U533,"Accurate Prediction","Inaccurate Prediction"))</f>
        <v>Not Sampled</v>
      </c>
    </row>
    <row r="534" spans="1:22" x14ac:dyDescent="0.25">
      <c r="A534" s="1">
        <v>532</v>
      </c>
      <c r="B534" s="1">
        <v>1</v>
      </c>
      <c r="C534" s="1">
        <f>LOOKUP(B534,Sheet2!$D$4:$E$9)</f>
        <v>1</v>
      </c>
      <c r="D534" s="1">
        <v>86</v>
      </c>
      <c r="E534" t="str">
        <f>LOOKUP(D534,Sheet2!$G$4:$H$9)</f>
        <v>1-99</v>
      </c>
      <c r="F534" s="1">
        <v>66</v>
      </c>
      <c r="G534" t="str">
        <f>LOOKUP(F534,Sheet2!$J$4:$K$8)</f>
        <v>60-69</v>
      </c>
      <c r="H534" s="1">
        <v>52</v>
      </c>
      <c r="I534" t="str">
        <f>LOOKUP(H534,Sheet2!$M$4:$N$8)</f>
        <v>40+</v>
      </c>
      <c r="J534" s="1">
        <v>65</v>
      </c>
      <c r="K534" t="str">
        <f>LOOKUP(J534,Sheet2!$P$4:$Q$9)</f>
        <v>1-99</v>
      </c>
      <c r="L534" s="1">
        <v>41.3</v>
      </c>
      <c r="M534" t="str">
        <f>LOOKUP(L534,Sheet2!$S$4:$T$8)</f>
        <v>36+</v>
      </c>
      <c r="N534" s="1">
        <v>0.91700000000000004</v>
      </c>
      <c r="O534" t="str">
        <f>LOOKUP(N534,Sheet2!$V$4:$W$7)</f>
        <v>0.7+</v>
      </c>
      <c r="P534" s="1">
        <v>29</v>
      </c>
      <c r="Q534" t="str">
        <f>LOOKUP(P534,Sheet2!$Z$4:$AA$7)</f>
        <v>26-35</v>
      </c>
      <c r="R534" s="1">
        <v>0</v>
      </c>
      <c r="S534" t="str">
        <f>IF(R534=1,"Positive","Negative")</f>
        <v>Negative</v>
      </c>
      <c r="T534" s="1" t="str">
        <f>IFERROR(VLOOKUP(A534,[1]diabetes_Recognition!$A:$B,2,FALSE),"Not Sampled")</f>
        <v>Not Sampled</v>
      </c>
      <c r="U534" t="str">
        <f>IF(T534=1,"Positive",(IF(T534=0,"Negative","Not Sampled")))</f>
        <v>Not Sampled</v>
      </c>
      <c r="V534" s="1" t="str">
        <f>IF(U534="Not Sampled","Not Sampled",IF(S534=U534,"Accurate Prediction","Inaccurate Prediction"))</f>
        <v>Not Sampled</v>
      </c>
    </row>
    <row r="535" spans="1:22" x14ac:dyDescent="0.25">
      <c r="A535" s="1">
        <v>533</v>
      </c>
      <c r="B535" s="1">
        <v>6</v>
      </c>
      <c r="C535" s="1" t="str">
        <f>LOOKUP(B535,Sheet2!$D$4:$E$9)</f>
        <v>5-7</v>
      </c>
      <c r="D535" s="1">
        <v>91</v>
      </c>
      <c r="E535" t="str">
        <f>LOOKUP(D535,Sheet2!$G$4:$H$9)</f>
        <v>1-99</v>
      </c>
      <c r="F535" s="1">
        <v>0</v>
      </c>
      <c r="G535" t="str">
        <f>LOOKUP(F535,Sheet2!$J$4:$K$8)</f>
        <v>Unknown</v>
      </c>
      <c r="H535" s="1">
        <v>0</v>
      </c>
      <c r="I535" t="str">
        <f>LOOKUP(H535,Sheet2!$M$4:$N$8)</f>
        <v>Unknown</v>
      </c>
      <c r="J535" s="1">
        <v>0</v>
      </c>
      <c r="K535" t="str">
        <f>LOOKUP(J535,Sheet2!$P$4:$Q$9)</f>
        <v>Unknown</v>
      </c>
      <c r="L535" s="1">
        <v>29.8</v>
      </c>
      <c r="M535" t="str">
        <f>LOOKUP(L535,Sheet2!$S$4:$T$8)</f>
        <v>26-30</v>
      </c>
      <c r="N535" s="1">
        <v>0.501</v>
      </c>
      <c r="O535" t="str">
        <f>LOOKUP(N535,Sheet2!$V$4:$W$7)</f>
        <v>0.4 - 0.69</v>
      </c>
      <c r="P535" s="1">
        <v>31</v>
      </c>
      <c r="Q535" t="str">
        <f>LOOKUP(P535,Sheet2!$Z$4:$AA$7)</f>
        <v>26-35</v>
      </c>
      <c r="R535" s="1">
        <v>0</v>
      </c>
      <c r="S535" t="str">
        <f>IF(R535=1,"Positive","Negative")</f>
        <v>Negative</v>
      </c>
      <c r="T535" s="1" t="str">
        <f>IFERROR(VLOOKUP(A535,[1]diabetes_Recognition!$A:$B,2,FALSE),"Not Sampled")</f>
        <v>Not Sampled</v>
      </c>
      <c r="U535" t="str">
        <f>IF(T535=1,"Positive",(IF(T535=0,"Negative","Not Sampled")))</f>
        <v>Not Sampled</v>
      </c>
      <c r="V535" s="1" t="str">
        <f>IF(U535="Not Sampled","Not Sampled",IF(S535=U535,"Accurate Prediction","Inaccurate Prediction"))</f>
        <v>Not Sampled</v>
      </c>
    </row>
    <row r="536" spans="1:22" x14ac:dyDescent="0.25">
      <c r="A536" s="1">
        <v>534</v>
      </c>
      <c r="B536" s="1">
        <v>1</v>
      </c>
      <c r="C536" s="1">
        <f>LOOKUP(B536,Sheet2!$D$4:$E$9)</f>
        <v>1</v>
      </c>
      <c r="D536" s="1">
        <v>77</v>
      </c>
      <c r="E536" t="str">
        <f>LOOKUP(D536,Sheet2!$G$4:$H$9)</f>
        <v>1-99</v>
      </c>
      <c r="F536" s="1">
        <v>56</v>
      </c>
      <c r="G536" t="str">
        <f>LOOKUP(F536,Sheet2!$J$4:$K$8)</f>
        <v>1-59</v>
      </c>
      <c r="H536" s="1">
        <v>30</v>
      </c>
      <c r="I536" t="str">
        <f>LOOKUP(H536,Sheet2!$M$4:$N$8)</f>
        <v>30-39</v>
      </c>
      <c r="J536" s="1">
        <v>56</v>
      </c>
      <c r="K536" t="str">
        <f>LOOKUP(J536,Sheet2!$P$4:$Q$9)</f>
        <v>1-99</v>
      </c>
      <c r="L536" s="1">
        <v>33.299999999999997</v>
      </c>
      <c r="M536" t="str">
        <f>LOOKUP(L536,Sheet2!$S$4:$T$8)</f>
        <v>31-35</v>
      </c>
      <c r="N536" s="1">
        <v>1.2509999999999999</v>
      </c>
      <c r="O536" t="str">
        <f>LOOKUP(N536,Sheet2!$V$4:$W$7)</f>
        <v>0.7+</v>
      </c>
      <c r="P536" s="1">
        <v>24</v>
      </c>
      <c r="Q536" t="str">
        <f>LOOKUP(P536,Sheet2!$Z$4:$AA$7)</f>
        <v>&lt;=25</v>
      </c>
      <c r="R536" s="1">
        <v>0</v>
      </c>
      <c r="S536" t="str">
        <f>IF(R536=1,"Positive","Negative")</f>
        <v>Negative</v>
      </c>
      <c r="T536" s="1">
        <f>IFERROR(VLOOKUP(A536,[1]diabetes_Recognition!$A:$B,2,FALSE),"Not Sampled")</f>
        <v>0</v>
      </c>
      <c r="U536" t="str">
        <f>IF(T536=1,"Positive",(IF(T536=0,"Negative","Not Sampled")))</f>
        <v>Negative</v>
      </c>
      <c r="V536" s="1" t="str">
        <f>IF(U536="Not Sampled","Not Sampled",IF(S536=U536,"Accurate Prediction","Inaccurate Prediction"))</f>
        <v>Accurate Prediction</v>
      </c>
    </row>
    <row r="537" spans="1:22" x14ac:dyDescent="0.25">
      <c r="A537" s="1">
        <v>535</v>
      </c>
      <c r="B537" s="1">
        <v>4</v>
      </c>
      <c r="C537" s="1" t="str">
        <f>LOOKUP(B537,Sheet2!$D$4:$E$9)</f>
        <v>3-4</v>
      </c>
      <c r="D537" s="1">
        <v>132</v>
      </c>
      <c r="E537" t="str">
        <f>LOOKUP(D537,Sheet2!$G$4:$H$9)</f>
        <v>126-150</v>
      </c>
      <c r="F537" s="1">
        <v>0</v>
      </c>
      <c r="G537" t="str">
        <f>LOOKUP(F537,Sheet2!$J$4:$K$8)</f>
        <v>Unknown</v>
      </c>
      <c r="H537" s="1">
        <v>0</v>
      </c>
      <c r="I537" t="str">
        <f>LOOKUP(H537,Sheet2!$M$4:$N$8)</f>
        <v>Unknown</v>
      </c>
      <c r="J537" s="1">
        <v>0</v>
      </c>
      <c r="K537" t="str">
        <f>LOOKUP(J537,Sheet2!$P$4:$Q$9)</f>
        <v>Unknown</v>
      </c>
      <c r="L537" s="1">
        <v>32.9</v>
      </c>
      <c r="M537" t="str">
        <f>LOOKUP(L537,Sheet2!$S$4:$T$8)</f>
        <v>31-35</v>
      </c>
      <c r="N537" s="1">
        <v>0.30199999999999999</v>
      </c>
      <c r="O537" t="str">
        <f>LOOKUP(N537,Sheet2!$V$4:$W$7)</f>
        <v>0.25 - 0.39</v>
      </c>
      <c r="P537" s="1">
        <v>23</v>
      </c>
      <c r="Q537" t="str">
        <f>LOOKUP(P537,Sheet2!$Z$4:$AA$7)</f>
        <v>&lt;=25</v>
      </c>
      <c r="R537" s="1">
        <v>1</v>
      </c>
      <c r="S537" t="str">
        <f>IF(R537=1,"Positive","Negative")</f>
        <v>Positive</v>
      </c>
      <c r="T537" s="1">
        <f>IFERROR(VLOOKUP(A537,[1]diabetes_Recognition!$A:$B,2,FALSE),"Not Sampled")</f>
        <v>1</v>
      </c>
      <c r="U537" t="str">
        <f>IF(T537=1,"Positive",(IF(T537=0,"Negative","Not Sampled")))</f>
        <v>Positive</v>
      </c>
      <c r="V537" s="1" t="str">
        <f>IF(U537="Not Sampled","Not Sampled",IF(S537=U537,"Accurate Prediction","Inaccurate Prediction"))</f>
        <v>Accurate Prediction</v>
      </c>
    </row>
    <row r="538" spans="1:22" x14ac:dyDescent="0.25">
      <c r="A538" s="1">
        <v>536</v>
      </c>
      <c r="B538" s="1">
        <v>0</v>
      </c>
      <c r="C538" s="1">
        <f>LOOKUP(B538,Sheet2!$D$4:$E$9)</f>
        <v>0</v>
      </c>
      <c r="D538" s="1">
        <v>105</v>
      </c>
      <c r="E538" t="str">
        <f>LOOKUP(D538,Sheet2!$G$4:$H$9)</f>
        <v>100-125</v>
      </c>
      <c r="F538" s="1">
        <v>90</v>
      </c>
      <c r="G538" t="str">
        <f>LOOKUP(F538,Sheet2!$J$4:$K$8)</f>
        <v>80+</v>
      </c>
      <c r="H538" s="1">
        <v>0</v>
      </c>
      <c r="I538" t="str">
        <f>LOOKUP(H538,Sheet2!$M$4:$N$8)</f>
        <v>Unknown</v>
      </c>
      <c r="J538" s="1">
        <v>0</v>
      </c>
      <c r="K538" t="str">
        <f>LOOKUP(J538,Sheet2!$P$4:$Q$9)</f>
        <v>Unknown</v>
      </c>
      <c r="L538" s="1">
        <v>29.6</v>
      </c>
      <c r="M538" t="str">
        <f>LOOKUP(L538,Sheet2!$S$4:$T$8)</f>
        <v>26-30</v>
      </c>
      <c r="N538" s="1">
        <v>0.19700000000000001</v>
      </c>
      <c r="O538" t="str">
        <f>LOOKUP(N538,Sheet2!$V$4:$W$7)</f>
        <v>0.0 - 0.249</v>
      </c>
      <c r="P538" s="1">
        <v>46</v>
      </c>
      <c r="Q538" t="str">
        <f>LOOKUP(P538,Sheet2!$Z$4:$AA$7)</f>
        <v>46+</v>
      </c>
      <c r="R538" s="1">
        <v>0</v>
      </c>
      <c r="S538" t="str">
        <f>IF(R538=1,"Positive","Negative")</f>
        <v>Negative</v>
      </c>
      <c r="T538" s="1">
        <f>IFERROR(VLOOKUP(A538,[1]diabetes_Recognition!$A:$B,2,FALSE),"Not Sampled")</f>
        <v>0</v>
      </c>
      <c r="U538" t="str">
        <f>IF(T538=1,"Positive",(IF(T538=0,"Negative","Not Sampled")))</f>
        <v>Negative</v>
      </c>
      <c r="V538" s="1" t="str">
        <f>IF(U538="Not Sampled","Not Sampled",IF(S538=U538,"Accurate Prediction","Inaccurate Prediction"))</f>
        <v>Accurate Prediction</v>
      </c>
    </row>
    <row r="539" spans="1:22" x14ac:dyDescent="0.25">
      <c r="A539" s="1">
        <v>537</v>
      </c>
      <c r="B539" s="1">
        <v>0</v>
      </c>
      <c r="C539" s="1">
        <f>LOOKUP(B539,Sheet2!$D$4:$E$9)</f>
        <v>0</v>
      </c>
      <c r="D539" s="1">
        <v>57</v>
      </c>
      <c r="E539" t="str">
        <f>LOOKUP(D539,Sheet2!$G$4:$H$9)</f>
        <v>1-99</v>
      </c>
      <c r="F539" s="1">
        <v>60</v>
      </c>
      <c r="G539" t="str">
        <f>LOOKUP(F539,Sheet2!$J$4:$K$8)</f>
        <v>60-69</v>
      </c>
      <c r="H539" s="1">
        <v>0</v>
      </c>
      <c r="I539" t="str">
        <f>LOOKUP(H539,Sheet2!$M$4:$N$8)</f>
        <v>Unknown</v>
      </c>
      <c r="J539" s="1">
        <v>0</v>
      </c>
      <c r="K539" t="str">
        <f>LOOKUP(J539,Sheet2!$P$4:$Q$9)</f>
        <v>Unknown</v>
      </c>
      <c r="L539" s="1">
        <v>21.7</v>
      </c>
      <c r="M539" t="str">
        <f>LOOKUP(L539,Sheet2!$S$4:$T$8)</f>
        <v>1-25</v>
      </c>
      <c r="N539" s="1">
        <v>0.73499999999999999</v>
      </c>
      <c r="O539" t="str">
        <f>LOOKUP(N539,Sheet2!$V$4:$W$7)</f>
        <v>0.7+</v>
      </c>
      <c r="P539" s="1">
        <v>67</v>
      </c>
      <c r="Q539" t="str">
        <f>LOOKUP(P539,Sheet2!$Z$4:$AA$7)</f>
        <v>46+</v>
      </c>
      <c r="R539" s="1">
        <v>0</v>
      </c>
      <c r="S539" t="str">
        <f>IF(R539=1,"Positive","Negative")</f>
        <v>Negative</v>
      </c>
      <c r="T539" s="1">
        <f>IFERROR(VLOOKUP(A539,[1]diabetes_Recognition!$A:$B,2,FALSE),"Not Sampled")</f>
        <v>0</v>
      </c>
      <c r="U539" t="str">
        <f>IF(T539=1,"Positive",(IF(T539=0,"Negative","Not Sampled")))</f>
        <v>Negative</v>
      </c>
      <c r="V539" s="1" t="str">
        <f>IF(U539="Not Sampled","Not Sampled",IF(S539=U539,"Accurate Prediction","Inaccurate Prediction"))</f>
        <v>Accurate Prediction</v>
      </c>
    </row>
    <row r="540" spans="1:22" x14ac:dyDescent="0.25">
      <c r="A540" s="1">
        <v>538</v>
      </c>
      <c r="B540" s="1">
        <v>0</v>
      </c>
      <c r="C540" s="1">
        <f>LOOKUP(B540,Sheet2!$D$4:$E$9)</f>
        <v>0</v>
      </c>
      <c r="D540" s="1">
        <v>127</v>
      </c>
      <c r="E540" t="str">
        <f>LOOKUP(D540,Sheet2!$G$4:$H$9)</f>
        <v>126-150</v>
      </c>
      <c r="F540" s="1">
        <v>80</v>
      </c>
      <c r="G540" t="str">
        <f>LOOKUP(F540,Sheet2!$J$4:$K$8)</f>
        <v>80+</v>
      </c>
      <c r="H540" s="1">
        <v>37</v>
      </c>
      <c r="I540" t="str">
        <f>LOOKUP(H540,Sheet2!$M$4:$N$8)</f>
        <v>30-39</v>
      </c>
      <c r="J540" s="1">
        <v>210</v>
      </c>
      <c r="K540" t="str">
        <f>LOOKUP(J540,Sheet2!$P$4:$Q$9)</f>
        <v>200-399</v>
      </c>
      <c r="L540" s="1">
        <v>36.299999999999997</v>
      </c>
      <c r="M540" t="str">
        <f>LOOKUP(L540,Sheet2!$S$4:$T$8)</f>
        <v>36+</v>
      </c>
      <c r="N540" s="1">
        <v>0.80400000000000005</v>
      </c>
      <c r="O540" t="str">
        <f>LOOKUP(N540,Sheet2!$V$4:$W$7)</f>
        <v>0.7+</v>
      </c>
      <c r="P540" s="1">
        <v>23</v>
      </c>
      <c r="Q540" t="str">
        <f>LOOKUP(P540,Sheet2!$Z$4:$AA$7)</f>
        <v>&lt;=25</v>
      </c>
      <c r="R540" s="1">
        <v>0</v>
      </c>
      <c r="S540" t="str">
        <f>IF(R540=1,"Positive","Negative")</f>
        <v>Negative</v>
      </c>
      <c r="T540" s="1" t="str">
        <f>IFERROR(VLOOKUP(A540,[1]diabetes_Recognition!$A:$B,2,FALSE),"Not Sampled")</f>
        <v>Not Sampled</v>
      </c>
      <c r="U540" t="str">
        <f>IF(T540=1,"Positive",(IF(T540=0,"Negative","Not Sampled")))</f>
        <v>Not Sampled</v>
      </c>
      <c r="V540" s="1" t="str">
        <f>IF(U540="Not Sampled","Not Sampled",IF(S540=U540,"Accurate Prediction","Inaccurate Prediction"))</f>
        <v>Not Sampled</v>
      </c>
    </row>
    <row r="541" spans="1:22" x14ac:dyDescent="0.25">
      <c r="A541" s="1">
        <v>539</v>
      </c>
      <c r="B541" s="1">
        <v>3</v>
      </c>
      <c r="C541" s="1" t="str">
        <f>LOOKUP(B541,Sheet2!$D$4:$E$9)</f>
        <v>3-4</v>
      </c>
      <c r="D541" s="1">
        <v>129</v>
      </c>
      <c r="E541" t="str">
        <f>LOOKUP(D541,Sheet2!$G$4:$H$9)</f>
        <v>126-150</v>
      </c>
      <c r="F541" s="1">
        <v>92</v>
      </c>
      <c r="G541" t="str">
        <f>LOOKUP(F541,Sheet2!$J$4:$K$8)</f>
        <v>80+</v>
      </c>
      <c r="H541" s="1">
        <v>49</v>
      </c>
      <c r="I541" t="str">
        <f>LOOKUP(H541,Sheet2!$M$4:$N$8)</f>
        <v>40+</v>
      </c>
      <c r="J541" s="1">
        <v>155</v>
      </c>
      <c r="K541" t="str">
        <f>LOOKUP(J541,Sheet2!$P$4:$Q$9)</f>
        <v>100-199</v>
      </c>
      <c r="L541" s="1">
        <v>36.4</v>
      </c>
      <c r="M541" t="str">
        <f>LOOKUP(L541,Sheet2!$S$4:$T$8)</f>
        <v>36+</v>
      </c>
      <c r="N541" s="1">
        <v>0.96799999999999997</v>
      </c>
      <c r="O541" t="str">
        <f>LOOKUP(N541,Sheet2!$V$4:$W$7)</f>
        <v>0.7+</v>
      </c>
      <c r="P541" s="1">
        <v>32</v>
      </c>
      <c r="Q541" t="str">
        <f>LOOKUP(P541,Sheet2!$Z$4:$AA$7)</f>
        <v>26-35</v>
      </c>
      <c r="R541" s="1">
        <v>1</v>
      </c>
      <c r="S541" t="str">
        <f>IF(R541=1,"Positive","Negative")</f>
        <v>Positive</v>
      </c>
      <c r="T541" s="1" t="str">
        <f>IFERROR(VLOOKUP(A541,[1]diabetes_Recognition!$A:$B,2,FALSE),"Not Sampled")</f>
        <v>Not Sampled</v>
      </c>
      <c r="U541" t="str">
        <f>IF(T541=1,"Positive",(IF(T541=0,"Negative","Not Sampled")))</f>
        <v>Not Sampled</v>
      </c>
      <c r="V541" s="1" t="str">
        <f>IF(U541="Not Sampled","Not Sampled",IF(S541=U541,"Accurate Prediction","Inaccurate Prediction"))</f>
        <v>Not Sampled</v>
      </c>
    </row>
    <row r="542" spans="1:22" x14ac:dyDescent="0.25">
      <c r="A542" s="1">
        <v>540</v>
      </c>
      <c r="B542" s="1">
        <v>8</v>
      </c>
      <c r="C542" s="1" t="str">
        <f>LOOKUP(B542,Sheet2!$D$4:$E$9)</f>
        <v>8+</v>
      </c>
      <c r="D542" s="1">
        <v>100</v>
      </c>
      <c r="E542" t="str">
        <f>LOOKUP(D542,Sheet2!$G$4:$H$9)</f>
        <v>100-125</v>
      </c>
      <c r="F542" s="1">
        <v>74</v>
      </c>
      <c r="G542" t="str">
        <f>LOOKUP(F542,Sheet2!$J$4:$K$8)</f>
        <v>70-79</v>
      </c>
      <c r="H542" s="1">
        <v>40</v>
      </c>
      <c r="I542" t="str">
        <f>LOOKUP(H542,Sheet2!$M$4:$N$8)</f>
        <v>40+</v>
      </c>
      <c r="J542" s="1">
        <v>215</v>
      </c>
      <c r="K542" t="str">
        <f>LOOKUP(J542,Sheet2!$P$4:$Q$9)</f>
        <v>200-399</v>
      </c>
      <c r="L542" s="1">
        <v>39.4</v>
      </c>
      <c r="M542" t="str">
        <f>LOOKUP(L542,Sheet2!$S$4:$T$8)</f>
        <v>36+</v>
      </c>
      <c r="N542" s="1">
        <v>0.66100000000000003</v>
      </c>
      <c r="O542" t="str">
        <f>LOOKUP(N542,Sheet2!$V$4:$W$7)</f>
        <v>0.4 - 0.69</v>
      </c>
      <c r="P542" s="1">
        <v>43</v>
      </c>
      <c r="Q542" t="str">
        <f>LOOKUP(P542,Sheet2!$Z$4:$AA$7)</f>
        <v>36-45</v>
      </c>
      <c r="R542" s="1">
        <v>1</v>
      </c>
      <c r="S542" t="str">
        <f>IF(R542=1,"Positive","Negative")</f>
        <v>Positive</v>
      </c>
      <c r="T542" s="1" t="str">
        <f>IFERROR(VLOOKUP(A542,[1]diabetes_Recognition!$A:$B,2,FALSE),"Not Sampled")</f>
        <v>Not Sampled</v>
      </c>
      <c r="U542" t="str">
        <f>IF(T542=1,"Positive",(IF(T542=0,"Negative","Not Sampled")))</f>
        <v>Not Sampled</v>
      </c>
      <c r="V542" s="1" t="str">
        <f>IF(U542="Not Sampled","Not Sampled",IF(S542=U542,"Accurate Prediction","Inaccurate Prediction"))</f>
        <v>Not Sampled</v>
      </c>
    </row>
    <row r="543" spans="1:22" x14ac:dyDescent="0.25">
      <c r="A543" s="1">
        <v>541</v>
      </c>
      <c r="B543" s="1">
        <v>3</v>
      </c>
      <c r="C543" s="1" t="str">
        <f>LOOKUP(B543,Sheet2!$D$4:$E$9)</f>
        <v>3-4</v>
      </c>
      <c r="D543" s="1">
        <v>128</v>
      </c>
      <c r="E543" t="str">
        <f>LOOKUP(D543,Sheet2!$G$4:$H$9)</f>
        <v>126-150</v>
      </c>
      <c r="F543" s="1">
        <v>72</v>
      </c>
      <c r="G543" t="str">
        <f>LOOKUP(F543,Sheet2!$J$4:$K$8)</f>
        <v>70-79</v>
      </c>
      <c r="H543" s="1">
        <v>25</v>
      </c>
      <c r="I543" t="str">
        <f>LOOKUP(H543,Sheet2!$M$4:$N$8)</f>
        <v>10-30</v>
      </c>
      <c r="J543" s="1">
        <v>190</v>
      </c>
      <c r="K543" t="str">
        <f>LOOKUP(J543,Sheet2!$P$4:$Q$9)</f>
        <v>100-199</v>
      </c>
      <c r="L543" s="1">
        <v>32.4</v>
      </c>
      <c r="M543" t="str">
        <f>LOOKUP(L543,Sheet2!$S$4:$T$8)</f>
        <v>31-35</v>
      </c>
      <c r="N543" s="1">
        <v>0.54900000000000004</v>
      </c>
      <c r="O543" t="str">
        <f>LOOKUP(N543,Sheet2!$V$4:$W$7)</f>
        <v>0.4 - 0.69</v>
      </c>
      <c r="P543" s="1">
        <v>27</v>
      </c>
      <c r="Q543" t="str">
        <f>LOOKUP(P543,Sheet2!$Z$4:$AA$7)</f>
        <v>26-35</v>
      </c>
      <c r="R543" s="1">
        <v>1</v>
      </c>
      <c r="S543" t="str">
        <f>IF(R543=1,"Positive","Negative")</f>
        <v>Positive</v>
      </c>
      <c r="T543" s="1">
        <f>IFERROR(VLOOKUP(A543,[1]diabetes_Recognition!$A:$B,2,FALSE),"Not Sampled")</f>
        <v>0</v>
      </c>
      <c r="U543" t="str">
        <f>IF(T543=1,"Positive",(IF(T543=0,"Negative","Not Sampled")))</f>
        <v>Negative</v>
      </c>
      <c r="V543" s="1" t="str">
        <f>IF(U543="Not Sampled","Not Sampled",IF(S543=U543,"Accurate Prediction","Inaccurate Prediction"))</f>
        <v>Inaccurate Prediction</v>
      </c>
    </row>
    <row r="544" spans="1:22" x14ac:dyDescent="0.25">
      <c r="A544" s="1">
        <v>542</v>
      </c>
      <c r="B544" s="1">
        <v>10</v>
      </c>
      <c r="C544" s="1" t="str">
        <f>LOOKUP(B544,Sheet2!$D$4:$E$9)</f>
        <v>8+</v>
      </c>
      <c r="D544" s="1">
        <v>90</v>
      </c>
      <c r="E544" t="str">
        <f>LOOKUP(D544,Sheet2!$G$4:$H$9)</f>
        <v>1-99</v>
      </c>
      <c r="F544" s="1">
        <v>85</v>
      </c>
      <c r="G544" t="str">
        <f>LOOKUP(F544,Sheet2!$J$4:$K$8)</f>
        <v>80+</v>
      </c>
      <c r="H544" s="1">
        <v>32</v>
      </c>
      <c r="I544" t="str">
        <f>LOOKUP(H544,Sheet2!$M$4:$N$8)</f>
        <v>30-39</v>
      </c>
      <c r="J544" s="1">
        <v>0</v>
      </c>
      <c r="K544" t="str">
        <f>LOOKUP(J544,Sheet2!$P$4:$Q$9)</f>
        <v>Unknown</v>
      </c>
      <c r="L544" s="1">
        <v>34.9</v>
      </c>
      <c r="M544" t="str">
        <f>LOOKUP(L544,Sheet2!$S$4:$T$8)</f>
        <v>31-35</v>
      </c>
      <c r="N544" s="1">
        <v>0.82499999999999996</v>
      </c>
      <c r="O544" t="str">
        <f>LOOKUP(N544,Sheet2!$V$4:$W$7)</f>
        <v>0.7+</v>
      </c>
      <c r="P544" s="1">
        <v>56</v>
      </c>
      <c r="Q544" t="str">
        <f>LOOKUP(P544,Sheet2!$Z$4:$AA$7)</f>
        <v>46+</v>
      </c>
      <c r="R544" s="1">
        <v>1</v>
      </c>
      <c r="S544" t="str">
        <f>IF(R544=1,"Positive","Negative")</f>
        <v>Positive</v>
      </c>
      <c r="T544" s="1" t="str">
        <f>IFERROR(VLOOKUP(A544,[1]diabetes_Recognition!$A:$B,2,FALSE),"Not Sampled")</f>
        <v>Not Sampled</v>
      </c>
      <c r="U544" t="str">
        <f>IF(T544=1,"Positive",(IF(T544=0,"Negative","Not Sampled")))</f>
        <v>Not Sampled</v>
      </c>
      <c r="V544" s="1" t="str">
        <f>IF(U544="Not Sampled","Not Sampled",IF(S544=U544,"Accurate Prediction","Inaccurate Prediction"))</f>
        <v>Not Sampled</v>
      </c>
    </row>
    <row r="545" spans="1:22" x14ac:dyDescent="0.25">
      <c r="A545" s="1">
        <v>543</v>
      </c>
      <c r="B545" s="1">
        <v>4</v>
      </c>
      <c r="C545" s="1" t="str">
        <f>LOOKUP(B545,Sheet2!$D$4:$E$9)</f>
        <v>3-4</v>
      </c>
      <c r="D545" s="1">
        <v>84</v>
      </c>
      <c r="E545" t="str">
        <f>LOOKUP(D545,Sheet2!$G$4:$H$9)</f>
        <v>1-99</v>
      </c>
      <c r="F545" s="1">
        <v>90</v>
      </c>
      <c r="G545" t="str">
        <f>LOOKUP(F545,Sheet2!$J$4:$K$8)</f>
        <v>80+</v>
      </c>
      <c r="H545" s="1">
        <v>23</v>
      </c>
      <c r="I545" t="str">
        <f>LOOKUP(H545,Sheet2!$M$4:$N$8)</f>
        <v>10-30</v>
      </c>
      <c r="J545" s="1">
        <v>56</v>
      </c>
      <c r="K545" t="str">
        <f>LOOKUP(J545,Sheet2!$P$4:$Q$9)</f>
        <v>1-99</v>
      </c>
      <c r="L545" s="1">
        <v>39.5</v>
      </c>
      <c r="M545" t="str">
        <f>LOOKUP(L545,Sheet2!$S$4:$T$8)</f>
        <v>36+</v>
      </c>
      <c r="N545" s="1">
        <v>0.159</v>
      </c>
      <c r="O545" t="str">
        <f>LOOKUP(N545,Sheet2!$V$4:$W$7)</f>
        <v>0.0 - 0.249</v>
      </c>
      <c r="P545" s="1">
        <v>25</v>
      </c>
      <c r="Q545" t="str">
        <f>LOOKUP(P545,Sheet2!$Z$4:$AA$7)</f>
        <v>&lt;=25</v>
      </c>
      <c r="R545" s="1">
        <v>0</v>
      </c>
      <c r="S545" t="str">
        <f>IF(R545=1,"Positive","Negative")</f>
        <v>Negative</v>
      </c>
      <c r="T545" s="1" t="str">
        <f>IFERROR(VLOOKUP(A545,[1]diabetes_Recognition!$A:$B,2,FALSE),"Not Sampled")</f>
        <v>Not Sampled</v>
      </c>
      <c r="U545" t="str">
        <f>IF(T545=1,"Positive",(IF(T545=0,"Negative","Not Sampled")))</f>
        <v>Not Sampled</v>
      </c>
      <c r="V545" s="1" t="str">
        <f>IF(U545="Not Sampled","Not Sampled",IF(S545=U545,"Accurate Prediction","Inaccurate Prediction"))</f>
        <v>Not Sampled</v>
      </c>
    </row>
    <row r="546" spans="1:22" x14ac:dyDescent="0.25">
      <c r="A546" s="1">
        <v>544</v>
      </c>
      <c r="B546" s="1">
        <v>1</v>
      </c>
      <c r="C546" s="1">
        <f>LOOKUP(B546,Sheet2!$D$4:$E$9)</f>
        <v>1</v>
      </c>
      <c r="D546" s="1">
        <v>88</v>
      </c>
      <c r="E546" t="str">
        <f>LOOKUP(D546,Sheet2!$G$4:$H$9)</f>
        <v>1-99</v>
      </c>
      <c r="F546" s="1">
        <v>78</v>
      </c>
      <c r="G546" t="str">
        <f>LOOKUP(F546,Sheet2!$J$4:$K$8)</f>
        <v>70-79</v>
      </c>
      <c r="H546" s="1">
        <v>29</v>
      </c>
      <c r="I546" t="str">
        <f>LOOKUP(H546,Sheet2!$M$4:$N$8)</f>
        <v>10-30</v>
      </c>
      <c r="J546" s="1">
        <v>76</v>
      </c>
      <c r="K546" t="str">
        <f>LOOKUP(J546,Sheet2!$P$4:$Q$9)</f>
        <v>1-99</v>
      </c>
      <c r="L546" s="1">
        <v>32</v>
      </c>
      <c r="M546" t="str">
        <f>LOOKUP(L546,Sheet2!$S$4:$T$8)</f>
        <v>31-35</v>
      </c>
      <c r="N546" s="1">
        <v>0.36499999999999999</v>
      </c>
      <c r="O546" t="str">
        <f>LOOKUP(N546,Sheet2!$V$4:$W$7)</f>
        <v>0.25 - 0.39</v>
      </c>
      <c r="P546" s="1">
        <v>29</v>
      </c>
      <c r="Q546" t="str">
        <f>LOOKUP(P546,Sheet2!$Z$4:$AA$7)</f>
        <v>26-35</v>
      </c>
      <c r="R546" s="1">
        <v>0</v>
      </c>
      <c r="S546" t="str">
        <f>IF(R546=1,"Positive","Negative")</f>
        <v>Negative</v>
      </c>
      <c r="T546" s="1" t="str">
        <f>IFERROR(VLOOKUP(A546,[1]diabetes_Recognition!$A:$B,2,FALSE),"Not Sampled")</f>
        <v>Not Sampled</v>
      </c>
      <c r="U546" t="str">
        <f>IF(T546=1,"Positive",(IF(T546=0,"Negative","Not Sampled")))</f>
        <v>Not Sampled</v>
      </c>
      <c r="V546" s="1" t="str">
        <f>IF(U546="Not Sampled","Not Sampled",IF(S546=U546,"Accurate Prediction","Inaccurate Prediction"))</f>
        <v>Not Sampled</v>
      </c>
    </row>
    <row r="547" spans="1:22" x14ac:dyDescent="0.25">
      <c r="A547" s="1">
        <v>545</v>
      </c>
      <c r="B547" s="1">
        <v>8</v>
      </c>
      <c r="C547" s="1" t="str">
        <f>LOOKUP(B547,Sheet2!$D$4:$E$9)</f>
        <v>8+</v>
      </c>
      <c r="D547" s="1">
        <v>186</v>
      </c>
      <c r="E547" t="str">
        <f>LOOKUP(D547,Sheet2!$G$4:$H$9)</f>
        <v>176-200</v>
      </c>
      <c r="F547" s="1">
        <v>90</v>
      </c>
      <c r="G547" t="str">
        <f>LOOKUP(F547,Sheet2!$J$4:$K$8)</f>
        <v>80+</v>
      </c>
      <c r="H547" s="1">
        <v>35</v>
      </c>
      <c r="I547" t="str">
        <f>LOOKUP(H547,Sheet2!$M$4:$N$8)</f>
        <v>30-39</v>
      </c>
      <c r="J547" s="1">
        <v>225</v>
      </c>
      <c r="K547" t="str">
        <f>LOOKUP(J547,Sheet2!$P$4:$Q$9)</f>
        <v>200-399</v>
      </c>
      <c r="L547" s="1">
        <v>34.5</v>
      </c>
      <c r="M547" t="str">
        <f>LOOKUP(L547,Sheet2!$S$4:$T$8)</f>
        <v>31-35</v>
      </c>
      <c r="N547" s="1">
        <v>0.42299999999999999</v>
      </c>
      <c r="O547" t="str">
        <f>LOOKUP(N547,Sheet2!$V$4:$W$7)</f>
        <v>0.4 - 0.69</v>
      </c>
      <c r="P547" s="1">
        <v>37</v>
      </c>
      <c r="Q547" t="str">
        <f>LOOKUP(P547,Sheet2!$Z$4:$AA$7)</f>
        <v>36-45</v>
      </c>
      <c r="R547" s="1">
        <v>1</v>
      </c>
      <c r="S547" t="str">
        <f>IF(R547=1,"Positive","Negative")</f>
        <v>Positive</v>
      </c>
      <c r="T547" s="1" t="str">
        <f>IFERROR(VLOOKUP(A547,[1]diabetes_Recognition!$A:$B,2,FALSE),"Not Sampled")</f>
        <v>Not Sampled</v>
      </c>
      <c r="U547" t="str">
        <f>IF(T547=1,"Positive",(IF(T547=0,"Negative","Not Sampled")))</f>
        <v>Not Sampled</v>
      </c>
      <c r="V547" s="1" t="str">
        <f>IF(U547="Not Sampled","Not Sampled",IF(S547=U547,"Accurate Prediction","Inaccurate Prediction"))</f>
        <v>Not Sampled</v>
      </c>
    </row>
    <row r="548" spans="1:22" x14ac:dyDescent="0.25">
      <c r="A548" s="1">
        <v>546</v>
      </c>
      <c r="B548" s="1">
        <v>5</v>
      </c>
      <c r="C548" s="1" t="str">
        <f>LOOKUP(B548,Sheet2!$D$4:$E$9)</f>
        <v>5-7</v>
      </c>
      <c r="D548" s="1">
        <v>187</v>
      </c>
      <c r="E548" t="str">
        <f>LOOKUP(D548,Sheet2!$G$4:$H$9)</f>
        <v>176-200</v>
      </c>
      <c r="F548" s="1">
        <v>76</v>
      </c>
      <c r="G548" t="str">
        <f>LOOKUP(F548,Sheet2!$J$4:$K$8)</f>
        <v>70-79</v>
      </c>
      <c r="H548" s="1">
        <v>27</v>
      </c>
      <c r="I548" t="str">
        <f>LOOKUP(H548,Sheet2!$M$4:$N$8)</f>
        <v>10-30</v>
      </c>
      <c r="J548" s="1">
        <v>207</v>
      </c>
      <c r="K548" t="str">
        <f>LOOKUP(J548,Sheet2!$P$4:$Q$9)</f>
        <v>200-399</v>
      </c>
      <c r="L548" s="1">
        <v>43.6</v>
      </c>
      <c r="M548" t="str">
        <f>LOOKUP(L548,Sheet2!$S$4:$T$8)</f>
        <v>36+</v>
      </c>
      <c r="N548" s="1">
        <v>1.034</v>
      </c>
      <c r="O548" t="str">
        <f>LOOKUP(N548,Sheet2!$V$4:$W$7)</f>
        <v>0.7+</v>
      </c>
      <c r="P548" s="1">
        <v>53</v>
      </c>
      <c r="Q548" t="str">
        <f>LOOKUP(P548,Sheet2!$Z$4:$AA$7)</f>
        <v>46+</v>
      </c>
      <c r="R548" s="1">
        <v>1</v>
      </c>
      <c r="S548" t="str">
        <f>IF(R548=1,"Positive","Negative")</f>
        <v>Positive</v>
      </c>
      <c r="T548" s="1">
        <f>IFERROR(VLOOKUP(A548,[1]diabetes_Recognition!$A:$B,2,FALSE),"Not Sampled")</f>
        <v>1</v>
      </c>
      <c r="U548" t="str">
        <f>IF(T548=1,"Positive",(IF(T548=0,"Negative","Not Sampled")))</f>
        <v>Positive</v>
      </c>
      <c r="V548" s="1" t="str">
        <f>IF(U548="Not Sampled","Not Sampled",IF(S548=U548,"Accurate Prediction","Inaccurate Prediction"))</f>
        <v>Accurate Prediction</v>
      </c>
    </row>
    <row r="549" spans="1:22" x14ac:dyDescent="0.25">
      <c r="A549" s="1">
        <v>547</v>
      </c>
      <c r="B549" s="1">
        <v>4</v>
      </c>
      <c r="C549" s="1" t="str">
        <f>LOOKUP(B549,Sheet2!$D$4:$E$9)</f>
        <v>3-4</v>
      </c>
      <c r="D549" s="1">
        <v>131</v>
      </c>
      <c r="E549" t="str">
        <f>LOOKUP(D549,Sheet2!$G$4:$H$9)</f>
        <v>126-150</v>
      </c>
      <c r="F549" s="1">
        <v>68</v>
      </c>
      <c r="G549" t="str">
        <f>LOOKUP(F549,Sheet2!$J$4:$K$8)</f>
        <v>60-69</v>
      </c>
      <c r="H549" s="1">
        <v>21</v>
      </c>
      <c r="I549" t="str">
        <f>LOOKUP(H549,Sheet2!$M$4:$N$8)</f>
        <v>10-30</v>
      </c>
      <c r="J549" s="1">
        <v>166</v>
      </c>
      <c r="K549" t="str">
        <f>LOOKUP(J549,Sheet2!$P$4:$Q$9)</f>
        <v>100-199</v>
      </c>
      <c r="L549" s="1">
        <v>33.1</v>
      </c>
      <c r="M549" t="str">
        <f>LOOKUP(L549,Sheet2!$S$4:$T$8)</f>
        <v>31-35</v>
      </c>
      <c r="N549" s="1">
        <v>0.16</v>
      </c>
      <c r="O549" t="str">
        <f>LOOKUP(N549,Sheet2!$V$4:$W$7)</f>
        <v>0.0 - 0.249</v>
      </c>
      <c r="P549" s="1">
        <v>28</v>
      </c>
      <c r="Q549" t="str">
        <f>LOOKUP(P549,Sheet2!$Z$4:$AA$7)</f>
        <v>26-35</v>
      </c>
      <c r="R549" s="1">
        <v>0</v>
      </c>
      <c r="S549" t="str">
        <f>IF(R549=1,"Positive","Negative")</f>
        <v>Negative</v>
      </c>
      <c r="T549" s="1">
        <f>IFERROR(VLOOKUP(A549,[1]diabetes_Recognition!$A:$B,2,FALSE),"Not Sampled")</f>
        <v>0</v>
      </c>
      <c r="U549" t="str">
        <f>IF(T549=1,"Positive",(IF(T549=0,"Negative","Not Sampled")))</f>
        <v>Negative</v>
      </c>
      <c r="V549" s="1" t="str">
        <f>IF(U549="Not Sampled","Not Sampled",IF(S549=U549,"Accurate Prediction","Inaccurate Prediction"))</f>
        <v>Accurate Prediction</v>
      </c>
    </row>
    <row r="550" spans="1:22" x14ac:dyDescent="0.25">
      <c r="A550" s="1">
        <v>548</v>
      </c>
      <c r="B550" s="1">
        <v>1</v>
      </c>
      <c r="C550" s="1">
        <f>LOOKUP(B550,Sheet2!$D$4:$E$9)</f>
        <v>1</v>
      </c>
      <c r="D550" s="1">
        <v>164</v>
      </c>
      <c r="E550" t="str">
        <f>LOOKUP(D550,Sheet2!$G$4:$H$9)</f>
        <v>151-175</v>
      </c>
      <c r="F550" s="1">
        <v>82</v>
      </c>
      <c r="G550" t="str">
        <f>LOOKUP(F550,Sheet2!$J$4:$K$8)</f>
        <v>80+</v>
      </c>
      <c r="H550" s="1">
        <v>43</v>
      </c>
      <c r="I550" t="str">
        <f>LOOKUP(H550,Sheet2!$M$4:$N$8)</f>
        <v>40+</v>
      </c>
      <c r="J550" s="1">
        <v>67</v>
      </c>
      <c r="K550" t="str">
        <f>LOOKUP(J550,Sheet2!$P$4:$Q$9)</f>
        <v>1-99</v>
      </c>
      <c r="L550" s="1">
        <v>32.799999999999997</v>
      </c>
      <c r="M550" t="str">
        <f>LOOKUP(L550,Sheet2!$S$4:$T$8)</f>
        <v>31-35</v>
      </c>
      <c r="N550" s="1">
        <v>0.34100000000000003</v>
      </c>
      <c r="O550" t="str">
        <f>LOOKUP(N550,Sheet2!$V$4:$W$7)</f>
        <v>0.25 - 0.39</v>
      </c>
      <c r="P550" s="1">
        <v>50</v>
      </c>
      <c r="Q550" t="str">
        <f>LOOKUP(P550,Sheet2!$Z$4:$AA$7)</f>
        <v>46+</v>
      </c>
      <c r="R550" s="1">
        <v>0</v>
      </c>
      <c r="S550" t="str">
        <f>IF(R550=1,"Positive","Negative")</f>
        <v>Negative</v>
      </c>
      <c r="T550" s="1" t="str">
        <f>IFERROR(VLOOKUP(A550,[1]diabetes_Recognition!$A:$B,2,FALSE),"Not Sampled")</f>
        <v>Not Sampled</v>
      </c>
      <c r="U550" t="str">
        <f>IF(T550=1,"Positive",(IF(T550=0,"Negative","Not Sampled")))</f>
        <v>Not Sampled</v>
      </c>
      <c r="V550" s="1" t="str">
        <f>IF(U550="Not Sampled","Not Sampled",IF(S550=U550,"Accurate Prediction","Inaccurate Prediction"))</f>
        <v>Not Sampled</v>
      </c>
    </row>
    <row r="551" spans="1:22" x14ac:dyDescent="0.25">
      <c r="A551" s="1">
        <v>549</v>
      </c>
      <c r="B551" s="1">
        <v>4</v>
      </c>
      <c r="C551" s="1" t="str">
        <f>LOOKUP(B551,Sheet2!$D$4:$E$9)</f>
        <v>3-4</v>
      </c>
      <c r="D551" s="1">
        <v>189</v>
      </c>
      <c r="E551" t="str">
        <f>LOOKUP(D551,Sheet2!$G$4:$H$9)</f>
        <v>176-200</v>
      </c>
      <c r="F551" s="1">
        <v>110</v>
      </c>
      <c r="G551" t="str">
        <f>LOOKUP(F551,Sheet2!$J$4:$K$8)</f>
        <v>80+</v>
      </c>
      <c r="H551" s="1">
        <v>31</v>
      </c>
      <c r="I551" t="str">
        <f>LOOKUP(H551,Sheet2!$M$4:$N$8)</f>
        <v>30-39</v>
      </c>
      <c r="J551" s="1">
        <v>0</v>
      </c>
      <c r="K551" t="str">
        <f>LOOKUP(J551,Sheet2!$P$4:$Q$9)</f>
        <v>Unknown</v>
      </c>
      <c r="L551" s="1">
        <v>28.5</v>
      </c>
      <c r="M551" t="str">
        <f>LOOKUP(L551,Sheet2!$S$4:$T$8)</f>
        <v>26-30</v>
      </c>
      <c r="N551" s="1">
        <v>0.68</v>
      </c>
      <c r="O551" t="str">
        <f>LOOKUP(N551,Sheet2!$V$4:$W$7)</f>
        <v>0.4 - 0.69</v>
      </c>
      <c r="P551" s="1">
        <v>37</v>
      </c>
      <c r="Q551" t="str">
        <f>LOOKUP(P551,Sheet2!$Z$4:$AA$7)</f>
        <v>36-45</v>
      </c>
      <c r="R551" s="1">
        <v>0</v>
      </c>
      <c r="S551" t="str">
        <f>IF(R551=1,"Positive","Negative")</f>
        <v>Negative</v>
      </c>
      <c r="T551" s="1" t="str">
        <f>IFERROR(VLOOKUP(A551,[1]diabetes_Recognition!$A:$B,2,FALSE),"Not Sampled")</f>
        <v>Not Sampled</v>
      </c>
      <c r="U551" t="str">
        <f>IF(T551=1,"Positive",(IF(T551=0,"Negative","Not Sampled")))</f>
        <v>Not Sampled</v>
      </c>
      <c r="V551" s="1" t="str">
        <f>IF(U551="Not Sampled","Not Sampled",IF(S551=U551,"Accurate Prediction","Inaccurate Prediction"))</f>
        <v>Not Sampled</v>
      </c>
    </row>
    <row r="552" spans="1:22" x14ac:dyDescent="0.25">
      <c r="A552" s="1">
        <v>550</v>
      </c>
      <c r="B552" s="1">
        <v>1</v>
      </c>
      <c r="C552" s="1">
        <f>LOOKUP(B552,Sheet2!$D$4:$E$9)</f>
        <v>1</v>
      </c>
      <c r="D552" s="1">
        <v>116</v>
      </c>
      <c r="E552" t="str">
        <f>LOOKUP(D552,Sheet2!$G$4:$H$9)</f>
        <v>100-125</v>
      </c>
      <c r="F552" s="1">
        <v>70</v>
      </c>
      <c r="G552" t="str">
        <f>LOOKUP(F552,Sheet2!$J$4:$K$8)</f>
        <v>70-79</v>
      </c>
      <c r="H552" s="1">
        <v>28</v>
      </c>
      <c r="I552" t="str">
        <f>LOOKUP(H552,Sheet2!$M$4:$N$8)</f>
        <v>10-30</v>
      </c>
      <c r="J552" s="1">
        <v>0</v>
      </c>
      <c r="K552" t="str">
        <f>LOOKUP(J552,Sheet2!$P$4:$Q$9)</f>
        <v>Unknown</v>
      </c>
      <c r="L552" s="1">
        <v>27.4</v>
      </c>
      <c r="M552" t="str">
        <f>LOOKUP(L552,Sheet2!$S$4:$T$8)</f>
        <v>26-30</v>
      </c>
      <c r="N552" s="1">
        <v>0.20399999999999999</v>
      </c>
      <c r="O552" t="str">
        <f>LOOKUP(N552,Sheet2!$V$4:$W$7)</f>
        <v>0.0 - 0.249</v>
      </c>
      <c r="P552" s="1">
        <v>21</v>
      </c>
      <c r="Q552" t="str">
        <f>LOOKUP(P552,Sheet2!$Z$4:$AA$7)</f>
        <v>&lt;=25</v>
      </c>
      <c r="R552" s="1">
        <v>0</v>
      </c>
      <c r="S552" t="str">
        <f>IF(R552=1,"Positive","Negative")</f>
        <v>Negative</v>
      </c>
      <c r="T552" s="1" t="str">
        <f>IFERROR(VLOOKUP(A552,[1]diabetes_Recognition!$A:$B,2,FALSE),"Not Sampled")</f>
        <v>Not Sampled</v>
      </c>
      <c r="U552" t="str">
        <f>IF(T552=1,"Positive",(IF(T552=0,"Negative","Not Sampled")))</f>
        <v>Not Sampled</v>
      </c>
      <c r="V552" s="1" t="str">
        <f>IF(U552="Not Sampled","Not Sampled",IF(S552=U552,"Accurate Prediction","Inaccurate Prediction"))</f>
        <v>Not Sampled</v>
      </c>
    </row>
    <row r="553" spans="1:22" x14ac:dyDescent="0.25">
      <c r="A553" s="1">
        <v>551</v>
      </c>
      <c r="B553" s="1">
        <v>3</v>
      </c>
      <c r="C553" s="1" t="str">
        <f>LOOKUP(B553,Sheet2!$D$4:$E$9)</f>
        <v>3-4</v>
      </c>
      <c r="D553" s="1">
        <v>84</v>
      </c>
      <c r="E553" t="str">
        <f>LOOKUP(D553,Sheet2!$G$4:$H$9)</f>
        <v>1-99</v>
      </c>
      <c r="F553" s="1">
        <v>68</v>
      </c>
      <c r="G553" t="str">
        <f>LOOKUP(F553,Sheet2!$J$4:$K$8)</f>
        <v>60-69</v>
      </c>
      <c r="H553" s="1">
        <v>30</v>
      </c>
      <c r="I553" t="str">
        <f>LOOKUP(H553,Sheet2!$M$4:$N$8)</f>
        <v>30-39</v>
      </c>
      <c r="J553" s="1">
        <v>106</v>
      </c>
      <c r="K553" t="str">
        <f>LOOKUP(J553,Sheet2!$P$4:$Q$9)</f>
        <v>100-199</v>
      </c>
      <c r="L553" s="1">
        <v>31.9</v>
      </c>
      <c r="M553" t="str">
        <f>LOOKUP(L553,Sheet2!$S$4:$T$8)</f>
        <v>31-35</v>
      </c>
      <c r="N553" s="1">
        <v>0.59099999999999997</v>
      </c>
      <c r="O553" t="str">
        <f>LOOKUP(N553,Sheet2!$V$4:$W$7)</f>
        <v>0.4 - 0.69</v>
      </c>
      <c r="P553" s="1">
        <v>25</v>
      </c>
      <c r="Q553" t="str">
        <f>LOOKUP(P553,Sheet2!$Z$4:$AA$7)</f>
        <v>&lt;=25</v>
      </c>
      <c r="R553" s="1">
        <v>0</v>
      </c>
      <c r="S553" t="str">
        <f>IF(R553=1,"Positive","Negative")</f>
        <v>Negative</v>
      </c>
      <c r="T553" s="1" t="str">
        <f>IFERROR(VLOOKUP(A553,[1]diabetes_Recognition!$A:$B,2,FALSE),"Not Sampled")</f>
        <v>Not Sampled</v>
      </c>
      <c r="U553" t="str">
        <f>IF(T553=1,"Positive",(IF(T553=0,"Negative","Not Sampled")))</f>
        <v>Not Sampled</v>
      </c>
      <c r="V553" s="1" t="str">
        <f>IF(U553="Not Sampled","Not Sampled",IF(S553=U553,"Accurate Prediction","Inaccurate Prediction"))</f>
        <v>Not Sampled</v>
      </c>
    </row>
    <row r="554" spans="1:22" x14ac:dyDescent="0.25">
      <c r="A554" s="1">
        <v>552</v>
      </c>
      <c r="B554" s="1">
        <v>6</v>
      </c>
      <c r="C554" s="1" t="str">
        <f>LOOKUP(B554,Sheet2!$D$4:$E$9)</f>
        <v>5-7</v>
      </c>
      <c r="D554" s="1">
        <v>114</v>
      </c>
      <c r="E554" t="str">
        <f>LOOKUP(D554,Sheet2!$G$4:$H$9)</f>
        <v>100-125</v>
      </c>
      <c r="F554" s="1">
        <v>88</v>
      </c>
      <c r="G554" t="str">
        <f>LOOKUP(F554,Sheet2!$J$4:$K$8)</f>
        <v>80+</v>
      </c>
      <c r="H554" s="1">
        <v>0</v>
      </c>
      <c r="I554" t="str">
        <f>LOOKUP(H554,Sheet2!$M$4:$N$8)</f>
        <v>Unknown</v>
      </c>
      <c r="J554" s="1">
        <v>0</v>
      </c>
      <c r="K554" t="str">
        <f>LOOKUP(J554,Sheet2!$P$4:$Q$9)</f>
        <v>Unknown</v>
      </c>
      <c r="L554" s="1">
        <v>27.8</v>
      </c>
      <c r="M554" t="str">
        <f>LOOKUP(L554,Sheet2!$S$4:$T$8)</f>
        <v>26-30</v>
      </c>
      <c r="N554" s="1">
        <v>0.247</v>
      </c>
      <c r="O554" t="str">
        <f>LOOKUP(N554,Sheet2!$V$4:$W$7)</f>
        <v>0.0 - 0.249</v>
      </c>
      <c r="P554" s="1">
        <v>66</v>
      </c>
      <c r="Q554" t="str">
        <f>LOOKUP(P554,Sheet2!$Z$4:$AA$7)</f>
        <v>46+</v>
      </c>
      <c r="R554" s="1">
        <v>0</v>
      </c>
      <c r="S554" t="str">
        <f>IF(R554=1,"Positive","Negative")</f>
        <v>Negative</v>
      </c>
      <c r="T554" s="1" t="str">
        <f>IFERROR(VLOOKUP(A554,[1]diabetes_Recognition!$A:$B,2,FALSE),"Not Sampled")</f>
        <v>Not Sampled</v>
      </c>
      <c r="U554" t="str">
        <f>IF(T554=1,"Positive",(IF(T554=0,"Negative","Not Sampled")))</f>
        <v>Not Sampled</v>
      </c>
      <c r="V554" s="1" t="str">
        <f>IF(U554="Not Sampled","Not Sampled",IF(S554=U554,"Accurate Prediction","Inaccurate Prediction"))</f>
        <v>Not Sampled</v>
      </c>
    </row>
    <row r="555" spans="1:22" x14ac:dyDescent="0.25">
      <c r="A555" s="1">
        <v>553</v>
      </c>
      <c r="B555" s="1">
        <v>1</v>
      </c>
      <c r="C555" s="1">
        <f>LOOKUP(B555,Sheet2!$D$4:$E$9)</f>
        <v>1</v>
      </c>
      <c r="D555" s="1">
        <v>88</v>
      </c>
      <c r="E555" t="str">
        <f>LOOKUP(D555,Sheet2!$G$4:$H$9)</f>
        <v>1-99</v>
      </c>
      <c r="F555" s="1">
        <v>62</v>
      </c>
      <c r="G555" t="str">
        <f>LOOKUP(F555,Sheet2!$J$4:$K$8)</f>
        <v>60-69</v>
      </c>
      <c r="H555" s="1">
        <v>24</v>
      </c>
      <c r="I555" t="str">
        <f>LOOKUP(H555,Sheet2!$M$4:$N$8)</f>
        <v>10-30</v>
      </c>
      <c r="J555" s="1">
        <v>44</v>
      </c>
      <c r="K555" t="str">
        <f>LOOKUP(J555,Sheet2!$P$4:$Q$9)</f>
        <v>1-99</v>
      </c>
      <c r="L555" s="1">
        <v>29.9</v>
      </c>
      <c r="M555" t="str">
        <f>LOOKUP(L555,Sheet2!$S$4:$T$8)</f>
        <v>26-30</v>
      </c>
      <c r="N555" s="1">
        <v>0.42199999999999999</v>
      </c>
      <c r="O555" t="str">
        <f>LOOKUP(N555,Sheet2!$V$4:$W$7)</f>
        <v>0.4 - 0.69</v>
      </c>
      <c r="P555" s="1">
        <v>23</v>
      </c>
      <c r="Q555" t="str">
        <f>LOOKUP(P555,Sheet2!$Z$4:$AA$7)</f>
        <v>&lt;=25</v>
      </c>
      <c r="R555" s="1">
        <v>0</v>
      </c>
      <c r="S555" t="str">
        <f>IF(R555=1,"Positive","Negative")</f>
        <v>Negative</v>
      </c>
      <c r="T555" s="1">
        <f>IFERROR(VLOOKUP(A555,[1]diabetes_Recognition!$A:$B,2,FALSE),"Not Sampled")</f>
        <v>0</v>
      </c>
      <c r="U555" t="str">
        <f>IF(T555=1,"Positive",(IF(T555=0,"Negative","Not Sampled")))</f>
        <v>Negative</v>
      </c>
      <c r="V555" s="1" t="str">
        <f>IF(U555="Not Sampled","Not Sampled",IF(S555=U555,"Accurate Prediction","Inaccurate Prediction"))</f>
        <v>Accurate Prediction</v>
      </c>
    </row>
    <row r="556" spans="1:22" x14ac:dyDescent="0.25">
      <c r="A556" s="1">
        <v>554</v>
      </c>
      <c r="B556" s="1">
        <v>1</v>
      </c>
      <c r="C556" s="1">
        <f>LOOKUP(B556,Sheet2!$D$4:$E$9)</f>
        <v>1</v>
      </c>
      <c r="D556" s="1">
        <v>84</v>
      </c>
      <c r="E556" t="str">
        <f>LOOKUP(D556,Sheet2!$G$4:$H$9)</f>
        <v>1-99</v>
      </c>
      <c r="F556" s="1">
        <v>64</v>
      </c>
      <c r="G556" t="str">
        <f>LOOKUP(F556,Sheet2!$J$4:$K$8)</f>
        <v>60-69</v>
      </c>
      <c r="H556" s="1">
        <v>23</v>
      </c>
      <c r="I556" t="str">
        <f>LOOKUP(H556,Sheet2!$M$4:$N$8)</f>
        <v>10-30</v>
      </c>
      <c r="J556" s="1">
        <v>115</v>
      </c>
      <c r="K556" t="str">
        <f>LOOKUP(J556,Sheet2!$P$4:$Q$9)</f>
        <v>100-199</v>
      </c>
      <c r="L556" s="1">
        <v>36.9</v>
      </c>
      <c r="M556" t="str">
        <f>LOOKUP(L556,Sheet2!$S$4:$T$8)</f>
        <v>36+</v>
      </c>
      <c r="N556" s="1">
        <v>0.47099999999999997</v>
      </c>
      <c r="O556" t="str">
        <f>LOOKUP(N556,Sheet2!$V$4:$W$7)</f>
        <v>0.4 - 0.69</v>
      </c>
      <c r="P556" s="1">
        <v>28</v>
      </c>
      <c r="Q556" t="str">
        <f>LOOKUP(P556,Sheet2!$Z$4:$AA$7)</f>
        <v>26-35</v>
      </c>
      <c r="R556" s="1">
        <v>0</v>
      </c>
      <c r="S556" t="str">
        <f>IF(R556=1,"Positive","Negative")</f>
        <v>Negative</v>
      </c>
      <c r="T556" s="1" t="str">
        <f>IFERROR(VLOOKUP(A556,[1]diabetes_Recognition!$A:$B,2,FALSE),"Not Sampled")</f>
        <v>Not Sampled</v>
      </c>
      <c r="U556" t="str">
        <f>IF(T556=1,"Positive",(IF(T556=0,"Negative","Not Sampled")))</f>
        <v>Not Sampled</v>
      </c>
      <c r="V556" s="1" t="str">
        <f>IF(U556="Not Sampled","Not Sampled",IF(S556=U556,"Accurate Prediction","Inaccurate Prediction"))</f>
        <v>Not Sampled</v>
      </c>
    </row>
    <row r="557" spans="1:22" x14ac:dyDescent="0.25">
      <c r="A557" s="1">
        <v>555</v>
      </c>
      <c r="B557" s="1">
        <v>7</v>
      </c>
      <c r="C557" s="1" t="str">
        <f>LOOKUP(B557,Sheet2!$D$4:$E$9)</f>
        <v>5-7</v>
      </c>
      <c r="D557" s="1">
        <v>124</v>
      </c>
      <c r="E557" t="str">
        <f>LOOKUP(D557,Sheet2!$G$4:$H$9)</f>
        <v>100-125</v>
      </c>
      <c r="F557" s="1">
        <v>70</v>
      </c>
      <c r="G557" t="str">
        <f>LOOKUP(F557,Sheet2!$J$4:$K$8)</f>
        <v>70-79</v>
      </c>
      <c r="H557" s="1">
        <v>33</v>
      </c>
      <c r="I557" t="str">
        <f>LOOKUP(H557,Sheet2!$M$4:$N$8)</f>
        <v>30-39</v>
      </c>
      <c r="J557" s="1">
        <v>215</v>
      </c>
      <c r="K557" t="str">
        <f>LOOKUP(J557,Sheet2!$P$4:$Q$9)</f>
        <v>200-399</v>
      </c>
      <c r="L557" s="1">
        <v>25.5</v>
      </c>
      <c r="M557" t="str">
        <f>LOOKUP(L557,Sheet2!$S$4:$T$8)</f>
        <v>1-25</v>
      </c>
      <c r="N557" s="1">
        <v>0.161</v>
      </c>
      <c r="O557" t="str">
        <f>LOOKUP(N557,Sheet2!$V$4:$W$7)</f>
        <v>0.0 - 0.249</v>
      </c>
      <c r="P557" s="1">
        <v>37</v>
      </c>
      <c r="Q557" t="str">
        <f>LOOKUP(P557,Sheet2!$Z$4:$AA$7)</f>
        <v>36-45</v>
      </c>
      <c r="R557" s="1">
        <v>0</v>
      </c>
      <c r="S557" t="str">
        <f>IF(R557=1,"Positive","Negative")</f>
        <v>Negative</v>
      </c>
      <c r="T557" s="1">
        <f>IFERROR(VLOOKUP(A557,[1]diabetes_Recognition!$A:$B,2,FALSE),"Not Sampled")</f>
        <v>0</v>
      </c>
      <c r="U557" t="str">
        <f>IF(T557=1,"Positive",(IF(T557=0,"Negative","Not Sampled")))</f>
        <v>Negative</v>
      </c>
      <c r="V557" s="1" t="str">
        <f>IF(U557="Not Sampled","Not Sampled",IF(S557=U557,"Accurate Prediction","Inaccurate Prediction"))</f>
        <v>Accurate Prediction</v>
      </c>
    </row>
    <row r="558" spans="1:22" x14ac:dyDescent="0.25">
      <c r="A558" s="1">
        <v>556</v>
      </c>
      <c r="B558" s="1">
        <v>1</v>
      </c>
      <c r="C558" s="1">
        <f>LOOKUP(B558,Sheet2!$D$4:$E$9)</f>
        <v>1</v>
      </c>
      <c r="D558" s="1">
        <v>97</v>
      </c>
      <c r="E558" t="str">
        <f>LOOKUP(D558,Sheet2!$G$4:$H$9)</f>
        <v>1-99</v>
      </c>
      <c r="F558" s="1">
        <v>70</v>
      </c>
      <c r="G558" t="str">
        <f>LOOKUP(F558,Sheet2!$J$4:$K$8)</f>
        <v>70-79</v>
      </c>
      <c r="H558" s="1">
        <v>40</v>
      </c>
      <c r="I558" t="str">
        <f>LOOKUP(H558,Sheet2!$M$4:$N$8)</f>
        <v>40+</v>
      </c>
      <c r="J558" s="1">
        <v>0</v>
      </c>
      <c r="K558" t="str">
        <f>LOOKUP(J558,Sheet2!$P$4:$Q$9)</f>
        <v>Unknown</v>
      </c>
      <c r="L558" s="1">
        <v>38.1</v>
      </c>
      <c r="M558" t="str">
        <f>LOOKUP(L558,Sheet2!$S$4:$T$8)</f>
        <v>36+</v>
      </c>
      <c r="N558" s="1">
        <v>0.218</v>
      </c>
      <c r="O558" t="str">
        <f>LOOKUP(N558,Sheet2!$V$4:$W$7)</f>
        <v>0.0 - 0.249</v>
      </c>
      <c r="P558" s="1">
        <v>30</v>
      </c>
      <c r="Q558" t="str">
        <f>LOOKUP(P558,Sheet2!$Z$4:$AA$7)</f>
        <v>26-35</v>
      </c>
      <c r="R558" s="1">
        <v>0</v>
      </c>
      <c r="S558" t="str">
        <f>IF(R558=1,"Positive","Negative")</f>
        <v>Negative</v>
      </c>
      <c r="T558" s="1">
        <f>IFERROR(VLOOKUP(A558,[1]diabetes_Recognition!$A:$B,2,FALSE),"Not Sampled")</f>
        <v>0</v>
      </c>
      <c r="U558" t="str">
        <f>IF(T558=1,"Positive",(IF(T558=0,"Negative","Not Sampled")))</f>
        <v>Negative</v>
      </c>
      <c r="V558" s="1" t="str">
        <f>IF(U558="Not Sampled","Not Sampled",IF(S558=U558,"Accurate Prediction","Inaccurate Prediction"))</f>
        <v>Accurate Prediction</v>
      </c>
    </row>
    <row r="559" spans="1:22" x14ac:dyDescent="0.25">
      <c r="A559" s="1">
        <v>557</v>
      </c>
      <c r="B559" s="1">
        <v>8</v>
      </c>
      <c r="C559" s="1" t="str">
        <f>LOOKUP(B559,Sheet2!$D$4:$E$9)</f>
        <v>8+</v>
      </c>
      <c r="D559" s="1">
        <v>110</v>
      </c>
      <c r="E559" t="str">
        <f>LOOKUP(D559,Sheet2!$G$4:$H$9)</f>
        <v>100-125</v>
      </c>
      <c r="F559" s="1">
        <v>76</v>
      </c>
      <c r="G559" t="str">
        <f>LOOKUP(F559,Sheet2!$J$4:$K$8)</f>
        <v>70-79</v>
      </c>
      <c r="H559" s="1">
        <v>0</v>
      </c>
      <c r="I559" t="str">
        <f>LOOKUP(H559,Sheet2!$M$4:$N$8)</f>
        <v>Unknown</v>
      </c>
      <c r="J559" s="1">
        <v>0</v>
      </c>
      <c r="K559" t="str">
        <f>LOOKUP(J559,Sheet2!$P$4:$Q$9)</f>
        <v>Unknown</v>
      </c>
      <c r="L559" s="1">
        <v>27.8</v>
      </c>
      <c r="M559" t="str">
        <f>LOOKUP(L559,Sheet2!$S$4:$T$8)</f>
        <v>26-30</v>
      </c>
      <c r="N559" s="1">
        <v>0.23699999999999999</v>
      </c>
      <c r="O559" t="str">
        <f>LOOKUP(N559,Sheet2!$V$4:$W$7)</f>
        <v>0.0 - 0.249</v>
      </c>
      <c r="P559" s="1">
        <v>58</v>
      </c>
      <c r="Q559" t="str">
        <f>LOOKUP(P559,Sheet2!$Z$4:$AA$7)</f>
        <v>46+</v>
      </c>
      <c r="R559" s="1">
        <v>0</v>
      </c>
      <c r="S559" t="str">
        <f>IF(R559=1,"Positive","Negative")</f>
        <v>Negative</v>
      </c>
      <c r="T559" s="1" t="str">
        <f>IFERROR(VLOOKUP(A559,[1]diabetes_Recognition!$A:$B,2,FALSE),"Not Sampled")</f>
        <v>Not Sampled</v>
      </c>
      <c r="U559" t="str">
        <f>IF(T559=1,"Positive",(IF(T559=0,"Negative","Not Sampled")))</f>
        <v>Not Sampled</v>
      </c>
      <c r="V559" s="1" t="str">
        <f>IF(U559="Not Sampled","Not Sampled",IF(S559=U559,"Accurate Prediction","Inaccurate Prediction"))</f>
        <v>Not Sampled</v>
      </c>
    </row>
    <row r="560" spans="1:22" x14ac:dyDescent="0.25">
      <c r="A560" s="1">
        <v>558</v>
      </c>
      <c r="B560" s="1">
        <v>11</v>
      </c>
      <c r="C560" s="1" t="str">
        <f>LOOKUP(B560,Sheet2!$D$4:$E$9)</f>
        <v>8+</v>
      </c>
      <c r="D560" s="1">
        <v>103</v>
      </c>
      <c r="E560" t="str">
        <f>LOOKUP(D560,Sheet2!$G$4:$H$9)</f>
        <v>100-125</v>
      </c>
      <c r="F560" s="1">
        <v>68</v>
      </c>
      <c r="G560" t="str">
        <f>LOOKUP(F560,Sheet2!$J$4:$K$8)</f>
        <v>60-69</v>
      </c>
      <c r="H560" s="1">
        <v>40</v>
      </c>
      <c r="I560" t="str">
        <f>LOOKUP(H560,Sheet2!$M$4:$N$8)</f>
        <v>40+</v>
      </c>
      <c r="J560" s="1">
        <v>0</v>
      </c>
      <c r="K560" t="str">
        <f>LOOKUP(J560,Sheet2!$P$4:$Q$9)</f>
        <v>Unknown</v>
      </c>
      <c r="L560" s="1">
        <v>46.2</v>
      </c>
      <c r="M560" t="str">
        <f>LOOKUP(L560,Sheet2!$S$4:$T$8)</f>
        <v>36+</v>
      </c>
      <c r="N560" s="1">
        <v>0.126</v>
      </c>
      <c r="O560" t="str">
        <f>LOOKUP(N560,Sheet2!$V$4:$W$7)</f>
        <v>0.0 - 0.249</v>
      </c>
      <c r="P560" s="1">
        <v>42</v>
      </c>
      <c r="Q560" t="str">
        <f>LOOKUP(P560,Sheet2!$Z$4:$AA$7)</f>
        <v>36-45</v>
      </c>
      <c r="R560" s="1">
        <v>0</v>
      </c>
      <c r="S560" t="str">
        <f>IF(R560=1,"Positive","Negative")</f>
        <v>Negative</v>
      </c>
      <c r="T560" s="1">
        <f>IFERROR(VLOOKUP(A560,[1]diabetes_Recognition!$A:$B,2,FALSE),"Not Sampled")</f>
        <v>1</v>
      </c>
      <c r="U560" t="str">
        <f>IF(T560=1,"Positive",(IF(T560=0,"Negative","Not Sampled")))</f>
        <v>Positive</v>
      </c>
      <c r="V560" s="1" t="str">
        <f>IF(U560="Not Sampled","Not Sampled",IF(S560=U560,"Accurate Prediction","Inaccurate Prediction"))</f>
        <v>Inaccurate Prediction</v>
      </c>
    </row>
    <row r="561" spans="1:22" x14ac:dyDescent="0.25">
      <c r="A561" s="1">
        <v>559</v>
      </c>
      <c r="B561" s="1">
        <v>11</v>
      </c>
      <c r="C561" s="1" t="str">
        <f>LOOKUP(B561,Sheet2!$D$4:$E$9)</f>
        <v>8+</v>
      </c>
      <c r="D561" s="1">
        <v>85</v>
      </c>
      <c r="E561" t="str">
        <f>LOOKUP(D561,Sheet2!$G$4:$H$9)</f>
        <v>1-99</v>
      </c>
      <c r="F561" s="1">
        <v>74</v>
      </c>
      <c r="G561" t="str">
        <f>LOOKUP(F561,Sheet2!$J$4:$K$8)</f>
        <v>70-79</v>
      </c>
      <c r="H561" s="1">
        <v>0</v>
      </c>
      <c r="I561" t="str">
        <f>LOOKUP(H561,Sheet2!$M$4:$N$8)</f>
        <v>Unknown</v>
      </c>
      <c r="J561" s="1">
        <v>0</v>
      </c>
      <c r="K561" t="str">
        <f>LOOKUP(J561,Sheet2!$P$4:$Q$9)</f>
        <v>Unknown</v>
      </c>
      <c r="L561" s="1">
        <v>30.1</v>
      </c>
      <c r="M561" t="str">
        <f>LOOKUP(L561,Sheet2!$S$4:$T$8)</f>
        <v>26-30</v>
      </c>
      <c r="N561" s="1">
        <v>0.3</v>
      </c>
      <c r="O561" t="str">
        <f>LOOKUP(N561,Sheet2!$V$4:$W$7)</f>
        <v>0.25 - 0.39</v>
      </c>
      <c r="P561" s="1">
        <v>35</v>
      </c>
      <c r="Q561" t="str">
        <f>LOOKUP(P561,Sheet2!$Z$4:$AA$7)</f>
        <v>26-35</v>
      </c>
      <c r="R561" s="1">
        <v>0</v>
      </c>
      <c r="S561" t="str">
        <f>IF(R561=1,"Positive","Negative")</f>
        <v>Negative</v>
      </c>
      <c r="T561" s="1" t="str">
        <f>IFERROR(VLOOKUP(A561,[1]diabetes_Recognition!$A:$B,2,FALSE),"Not Sampled")</f>
        <v>Not Sampled</v>
      </c>
      <c r="U561" t="str">
        <f>IF(T561=1,"Positive",(IF(T561=0,"Negative","Not Sampled")))</f>
        <v>Not Sampled</v>
      </c>
      <c r="V561" s="1" t="str">
        <f>IF(U561="Not Sampled","Not Sampled",IF(S561=U561,"Accurate Prediction","Inaccurate Prediction"))</f>
        <v>Not Sampled</v>
      </c>
    </row>
    <row r="562" spans="1:22" x14ac:dyDescent="0.25">
      <c r="A562" s="1">
        <v>560</v>
      </c>
      <c r="B562" s="1">
        <v>6</v>
      </c>
      <c r="C562" s="1" t="str">
        <f>LOOKUP(B562,Sheet2!$D$4:$E$9)</f>
        <v>5-7</v>
      </c>
      <c r="D562" s="1">
        <v>125</v>
      </c>
      <c r="E562" t="str">
        <f>LOOKUP(D562,Sheet2!$G$4:$H$9)</f>
        <v>100-125</v>
      </c>
      <c r="F562" s="1">
        <v>76</v>
      </c>
      <c r="G562" t="str">
        <f>LOOKUP(F562,Sheet2!$J$4:$K$8)</f>
        <v>70-79</v>
      </c>
      <c r="H562" s="1">
        <v>0</v>
      </c>
      <c r="I562" t="str">
        <f>LOOKUP(H562,Sheet2!$M$4:$N$8)</f>
        <v>Unknown</v>
      </c>
      <c r="J562" s="1">
        <v>0</v>
      </c>
      <c r="K562" t="str">
        <f>LOOKUP(J562,Sheet2!$P$4:$Q$9)</f>
        <v>Unknown</v>
      </c>
      <c r="L562" s="1">
        <v>33.799999999999997</v>
      </c>
      <c r="M562" t="str">
        <f>LOOKUP(L562,Sheet2!$S$4:$T$8)</f>
        <v>31-35</v>
      </c>
      <c r="N562" s="1">
        <v>0.121</v>
      </c>
      <c r="O562" t="str">
        <f>LOOKUP(N562,Sheet2!$V$4:$W$7)</f>
        <v>0.0 - 0.249</v>
      </c>
      <c r="P562" s="1">
        <v>54</v>
      </c>
      <c r="Q562" t="str">
        <f>LOOKUP(P562,Sheet2!$Z$4:$AA$7)</f>
        <v>46+</v>
      </c>
      <c r="R562" s="1">
        <v>1</v>
      </c>
      <c r="S562" t="str">
        <f>IF(R562=1,"Positive","Negative")</f>
        <v>Positive</v>
      </c>
      <c r="T562" s="1">
        <f>IFERROR(VLOOKUP(A562,[1]diabetes_Recognition!$A:$B,2,FALSE),"Not Sampled")</f>
        <v>0</v>
      </c>
      <c r="U562" t="str">
        <f>IF(T562=1,"Positive",(IF(T562=0,"Negative","Not Sampled")))</f>
        <v>Negative</v>
      </c>
      <c r="V562" s="1" t="str">
        <f>IF(U562="Not Sampled","Not Sampled",IF(S562=U562,"Accurate Prediction","Inaccurate Prediction"))</f>
        <v>Inaccurate Prediction</v>
      </c>
    </row>
    <row r="563" spans="1:22" x14ac:dyDescent="0.25">
      <c r="A563" s="1">
        <v>561</v>
      </c>
      <c r="B563" s="1">
        <v>0</v>
      </c>
      <c r="C563" s="1">
        <f>LOOKUP(B563,Sheet2!$D$4:$E$9)</f>
        <v>0</v>
      </c>
      <c r="D563" s="1">
        <v>198</v>
      </c>
      <c r="E563" t="str">
        <f>LOOKUP(D563,Sheet2!$G$4:$H$9)</f>
        <v>176-200</v>
      </c>
      <c r="F563" s="1">
        <v>66</v>
      </c>
      <c r="G563" t="str">
        <f>LOOKUP(F563,Sheet2!$J$4:$K$8)</f>
        <v>60-69</v>
      </c>
      <c r="H563" s="1">
        <v>32</v>
      </c>
      <c r="I563" t="str">
        <f>LOOKUP(H563,Sheet2!$M$4:$N$8)</f>
        <v>30-39</v>
      </c>
      <c r="J563" s="1">
        <v>274</v>
      </c>
      <c r="K563" t="str">
        <f>LOOKUP(J563,Sheet2!$P$4:$Q$9)</f>
        <v>200-399</v>
      </c>
      <c r="L563" s="1">
        <v>41.3</v>
      </c>
      <c r="M563" t="str">
        <f>LOOKUP(L563,Sheet2!$S$4:$T$8)</f>
        <v>36+</v>
      </c>
      <c r="N563" s="1">
        <v>0.502</v>
      </c>
      <c r="O563" t="str">
        <f>LOOKUP(N563,Sheet2!$V$4:$W$7)</f>
        <v>0.4 - 0.69</v>
      </c>
      <c r="P563" s="1">
        <v>28</v>
      </c>
      <c r="Q563" t="str">
        <f>LOOKUP(P563,Sheet2!$Z$4:$AA$7)</f>
        <v>26-35</v>
      </c>
      <c r="R563" s="1">
        <v>1</v>
      </c>
      <c r="S563" t="str">
        <f>IF(R563=1,"Positive","Negative")</f>
        <v>Positive</v>
      </c>
      <c r="T563" s="1" t="str">
        <f>IFERROR(VLOOKUP(A563,[1]diabetes_Recognition!$A:$B,2,FALSE),"Not Sampled")</f>
        <v>Not Sampled</v>
      </c>
      <c r="U563" t="str">
        <f>IF(T563=1,"Positive",(IF(T563=0,"Negative","Not Sampled")))</f>
        <v>Not Sampled</v>
      </c>
      <c r="V563" s="1" t="str">
        <f>IF(U563="Not Sampled","Not Sampled",IF(S563=U563,"Accurate Prediction","Inaccurate Prediction"))</f>
        <v>Not Sampled</v>
      </c>
    </row>
    <row r="564" spans="1:22" x14ac:dyDescent="0.25">
      <c r="A564" s="1">
        <v>562</v>
      </c>
      <c r="B564" s="1">
        <v>1</v>
      </c>
      <c r="C564" s="1">
        <f>LOOKUP(B564,Sheet2!$D$4:$E$9)</f>
        <v>1</v>
      </c>
      <c r="D564" s="1">
        <v>87</v>
      </c>
      <c r="E564" t="str">
        <f>LOOKUP(D564,Sheet2!$G$4:$H$9)</f>
        <v>1-99</v>
      </c>
      <c r="F564" s="1">
        <v>68</v>
      </c>
      <c r="G564" t="str">
        <f>LOOKUP(F564,Sheet2!$J$4:$K$8)</f>
        <v>60-69</v>
      </c>
      <c r="H564" s="1">
        <v>34</v>
      </c>
      <c r="I564" t="str">
        <f>LOOKUP(H564,Sheet2!$M$4:$N$8)</f>
        <v>30-39</v>
      </c>
      <c r="J564" s="1">
        <v>77</v>
      </c>
      <c r="K564" t="str">
        <f>LOOKUP(J564,Sheet2!$P$4:$Q$9)</f>
        <v>1-99</v>
      </c>
      <c r="L564" s="1">
        <v>37.6</v>
      </c>
      <c r="M564" t="str">
        <f>LOOKUP(L564,Sheet2!$S$4:$T$8)</f>
        <v>36+</v>
      </c>
      <c r="N564" s="1">
        <v>0.40100000000000002</v>
      </c>
      <c r="O564" t="str">
        <f>LOOKUP(N564,Sheet2!$V$4:$W$7)</f>
        <v>0.4 - 0.69</v>
      </c>
      <c r="P564" s="1">
        <v>24</v>
      </c>
      <c r="Q564" t="str">
        <f>LOOKUP(P564,Sheet2!$Z$4:$AA$7)</f>
        <v>&lt;=25</v>
      </c>
      <c r="R564" s="1">
        <v>0</v>
      </c>
      <c r="S564" t="str">
        <f>IF(R564=1,"Positive","Negative")</f>
        <v>Negative</v>
      </c>
      <c r="T564" s="1" t="str">
        <f>IFERROR(VLOOKUP(A564,[1]diabetes_Recognition!$A:$B,2,FALSE),"Not Sampled")</f>
        <v>Not Sampled</v>
      </c>
      <c r="U564" t="str">
        <f>IF(T564=1,"Positive",(IF(T564=0,"Negative","Not Sampled")))</f>
        <v>Not Sampled</v>
      </c>
      <c r="V564" s="1" t="str">
        <f>IF(U564="Not Sampled","Not Sampled",IF(S564=U564,"Accurate Prediction","Inaccurate Prediction"))</f>
        <v>Not Sampled</v>
      </c>
    </row>
    <row r="565" spans="1:22" x14ac:dyDescent="0.25">
      <c r="A565" s="1">
        <v>563</v>
      </c>
      <c r="B565" s="1">
        <v>6</v>
      </c>
      <c r="C565" s="1" t="str">
        <f>LOOKUP(B565,Sheet2!$D$4:$E$9)</f>
        <v>5-7</v>
      </c>
      <c r="D565" s="1">
        <v>99</v>
      </c>
      <c r="E565" t="str">
        <f>LOOKUP(D565,Sheet2!$G$4:$H$9)</f>
        <v>1-99</v>
      </c>
      <c r="F565" s="1">
        <v>60</v>
      </c>
      <c r="G565" t="str">
        <f>LOOKUP(F565,Sheet2!$J$4:$K$8)</f>
        <v>60-69</v>
      </c>
      <c r="H565" s="1">
        <v>19</v>
      </c>
      <c r="I565" t="str">
        <f>LOOKUP(H565,Sheet2!$M$4:$N$8)</f>
        <v>10-30</v>
      </c>
      <c r="J565" s="1">
        <v>54</v>
      </c>
      <c r="K565" t="str">
        <f>LOOKUP(J565,Sheet2!$P$4:$Q$9)</f>
        <v>1-99</v>
      </c>
      <c r="L565" s="1">
        <v>26.9</v>
      </c>
      <c r="M565" t="str">
        <f>LOOKUP(L565,Sheet2!$S$4:$T$8)</f>
        <v>26-30</v>
      </c>
      <c r="N565" s="1">
        <v>0.497</v>
      </c>
      <c r="O565" t="str">
        <f>LOOKUP(N565,Sheet2!$V$4:$W$7)</f>
        <v>0.4 - 0.69</v>
      </c>
      <c r="P565" s="1">
        <v>32</v>
      </c>
      <c r="Q565" t="str">
        <f>LOOKUP(P565,Sheet2!$Z$4:$AA$7)</f>
        <v>26-35</v>
      </c>
      <c r="R565" s="1">
        <v>0</v>
      </c>
      <c r="S565" t="str">
        <f>IF(R565=1,"Positive","Negative")</f>
        <v>Negative</v>
      </c>
      <c r="T565" s="1">
        <f>IFERROR(VLOOKUP(A565,[1]diabetes_Recognition!$A:$B,2,FALSE),"Not Sampled")</f>
        <v>0</v>
      </c>
      <c r="U565" t="str">
        <f>IF(T565=1,"Positive",(IF(T565=0,"Negative","Not Sampled")))</f>
        <v>Negative</v>
      </c>
      <c r="V565" s="1" t="str">
        <f>IF(U565="Not Sampled","Not Sampled",IF(S565=U565,"Accurate Prediction","Inaccurate Prediction"))</f>
        <v>Accurate Prediction</v>
      </c>
    </row>
    <row r="566" spans="1:22" x14ac:dyDescent="0.25">
      <c r="A566" s="1">
        <v>564</v>
      </c>
      <c r="B566" s="1">
        <v>0</v>
      </c>
      <c r="C566" s="1">
        <f>LOOKUP(B566,Sheet2!$D$4:$E$9)</f>
        <v>0</v>
      </c>
      <c r="D566" s="1">
        <v>91</v>
      </c>
      <c r="E566" t="str">
        <f>LOOKUP(D566,Sheet2!$G$4:$H$9)</f>
        <v>1-99</v>
      </c>
      <c r="F566" s="1">
        <v>80</v>
      </c>
      <c r="G566" t="str">
        <f>LOOKUP(F566,Sheet2!$J$4:$K$8)</f>
        <v>80+</v>
      </c>
      <c r="H566" s="1">
        <v>0</v>
      </c>
      <c r="I566" t="str">
        <f>LOOKUP(H566,Sheet2!$M$4:$N$8)</f>
        <v>Unknown</v>
      </c>
      <c r="J566" s="1">
        <v>0</v>
      </c>
      <c r="K566" t="str">
        <f>LOOKUP(J566,Sheet2!$P$4:$Q$9)</f>
        <v>Unknown</v>
      </c>
      <c r="L566" s="1">
        <v>32.4</v>
      </c>
      <c r="M566" t="str">
        <f>LOOKUP(L566,Sheet2!$S$4:$T$8)</f>
        <v>31-35</v>
      </c>
      <c r="N566" s="1">
        <v>0.60099999999999998</v>
      </c>
      <c r="O566" t="str">
        <f>LOOKUP(N566,Sheet2!$V$4:$W$7)</f>
        <v>0.4 - 0.69</v>
      </c>
      <c r="P566" s="1">
        <v>27</v>
      </c>
      <c r="Q566" t="str">
        <f>LOOKUP(P566,Sheet2!$Z$4:$AA$7)</f>
        <v>26-35</v>
      </c>
      <c r="R566" s="1">
        <v>0</v>
      </c>
      <c r="S566" t="str">
        <f>IF(R566=1,"Positive","Negative")</f>
        <v>Negative</v>
      </c>
      <c r="T566" s="1" t="str">
        <f>IFERROR(VLOOKUP(A566,[1]diabetes_Recognition!$A:$B,2,FALSE),"Not Sampled")</f>
        <v>Not Sampled</v>
      </c>
      <c r="U566" t="str">
        <f>IF(T566=1,"Positive",(IF(T566=0,"Negative","Not Sampled")))</f>
        <v>Not Sampled</v>
      </c>
      <c r="V566" s="1" t="str">
        <f>IF(U566="Not Sampled","Not Sampled",IF(S566=U566,"Accurate Prediction","Inaccurate Prediction"))</f>
        <v>Not Sampled</v>
      </c>
    </row>
    <row r="567" spans="1:22" x14ac:dyDescent="0.25">
      <c r="A567" s="1">
        <v>565</v>
      </c>
      <c r="B567" s="1">
        <v>2</v>
      </c>
      <c r="C567" s="1">
        <f>LOOKUP(B567,Sheet2!$D$4:$E$9)</f>
        <v>2</v>
      </c>
      <c r="D567" s="1">
        <v>95</v>
      </c>
      <c r="E567" t="str">
        <f>LOOKUP(D567,Sheet2!$G$4:$H$9)</f>
        <v>1-99</v>
      </c>
      <c r="F567" s="1">
        <v>54</v>
      </c>
      <c r="G567" t="str">
        <f>LOOKUP(F567,Sheet2!$J$4:$K$8)</f>
        <v>1-59</v>
      </c>
      <c r="H567" s="1">
        <v>14</v>
      </c>
      <c r="I567" t="str">
        <f>LOOKUP(H567,Sheet2!$M$4:$N$8)</f>
        <v>10-30</v>
      </c>
      <c r="J567" s="1">
        <v>88</v>
      </c>
      <c r="K567" t="str">
        <f>LOOKUP(J567,Sheet2!$P$4:$Q$9)</f>
        <v>1-99</v>
      </c>
      <c r="L567" s="1">
        <v>26.1</v>
      </c>
      <c r="M567" t="str">
        <f>LOOKUP(L567,Sheet2!$S$4:$T$8)</f>
        <v>26-30</v>
      </c>
      <c r="N567" s="1">
        <v>0.748</v>
      </c>
      <c r="O567" t="str">
        <f>LOOKUP(N567,Sheet2!$V$4:$W$7)</f>
        <v>0.7+</v>
      </c>
      <c r="P567" s="1">
        <v>22</v>
      </c>
      <c r="Q567" t="str">
        <f>LOOKUP(P567,Sheet2!$Z$4:$AA$7)</f>
        <v>&lt;=25</v>
      </c>
      <c r="R567" s="1">
        <v>0</v>
      </c>
      <c r="S567" t="str">
        <f>IF(R567=1,"Positive","Negative")</f>
        <v>Negative</v>
      </c>
      <c r="T567" s="1" t="str">
        <f>IFERROR(VLOOKUP(A567,[1]diabetes_Recognition!$A:$B,2,FALSE),"Not Sampled")</f>
        <v>Not Sampled</v>
      </c>
      <c r="U567" t="str">
        <f>IF(T567=1,"Positive",(IF(T567=0,"Negative","Not Sampled")))</f>
        <v>Not Sampled</v>
      </c>
      <c r="V567" s="1" t="str">
        <f>IF(U567="Not Sampled","Not Sampled",IF(S567=U567,"Accurate Prediction","Inaccurate Prediction"))</f>
        <v>Not Sampled</v>
      </c>
    </row>
    <row r="568" spans="1:22" x14ac:dyDescent="0.25">
      <c r="A568" s="1">
        <v>566</v>
      </c>
      <c r="B568" s="1">
        <v>1</v>
      </c>
      <c r="C568" s="1">
        <f>LOOKUP(B568,Sheet2!$D$4:$E$9)</f>
        <v>1</v>
      </c>
      <c r="D568" s="1">
        <v>99</v>
      </c>
      <c r="E568" t="str">
        <f>LOOKUP(D568,Sheet2!$G$4:$H$9)</f>
        <v>1-99</v>
      </c>
      <c r="F568" s="1">
        <v>72</v>
      </c>
      <c r="G568" t="str">
        <f>LOOKUP(F568,Sheet2!$J$4:$K$8)</f>
        <v>70-79</v>
      </c>
      <c r="H568" s="1">
        <v>30</v>
      </c>
      <c r="I568" t="str">
        <f>LOOKUP(H568,Sheet2!$M$4:$N$8)</f>
        <v>30-39</v>
      </c>
      <c r="J568" s="1">
        <v>18</v>
      </c>
      <c r="K568" t="str">
        <f>LOOKUP(J568,Sheet2!$P$4:$Q$9)</f>
        <v>1-99</v>
      </c>
      <c r="L568" s="1">
        <v>38.6</v>
      </c>
      <c r="M568" t="str">
        <f>LOOKUP(L568,Sheet2!$S$4:$T$8)</f>
        <v>36+</v>
      </c>
      <c r="N568" s="1">
        <v>0.41199999999999998</v>
      </c>
      <c r="O568" t="str">
        <f>LOOKUP(N568,Sheet2!$V$4:$W$7)</f>
        <v>0.4 - 0.69</v>
      </c>
      <c r="P568" s="1">
        <v>21</v>
      </c>
      <c r="Q568" t="str">
        <f>LOOKUP(P568,Sheet2!$Z$4:$AA$7)</f>
        <v>&lt;=25</v>
      </c>
      <c r="R568" s="1">
        <v>0</v>
      </c>
      <c r="S568" t="str">
        <f>IF(R568=1,"Positive","Negative")</f>
        <v>Negative</v>
      </c>
      <c r="T568" s="1" t="str">
        <f>IFERROR(VLOOKUP(A568,[1]diabetes_Recognition!$A:$B,2,FALSE),"Not Sampled")</f>
        <v>Not Sampled</v>
      </c>
      <c r="U568" t="str">
        <f>IF(T568=1,"Positive",(IF(T568=0,"Negative","Not Sampled")))</f>
        <v>Not Sampled</v>
      </c>
      <c r="V568" s="1" t="str">
        <f>IF(U568="Not Sampled","Not Sampled",IF(S568=U568,"Accurate Prediction","Inaccurate Prediction"))</f>
        <v>Not Sampled</v>
      </c>
    </row>
    <row r="569" spans="1:22" x14ac:dyDescent="0.25">
      <c r="A569" s="1">
        <v>567</v>
      </c>
      <c r="B569" s="1">
        <v>6</v>
      </c>
      <c r="C569" s="1" t="str">
        <f>LOOKUP(B569,Sheet2!$D$4:$E$9)</f>
        <v>5-7</v>
      </c>
      <c r="D569" s="1">
        <v>92</v>
      </c>
      <c r="E569" t="str">
        <f>LOOKUP(D569,Sheet2!$G$4:$H$9)</f>
        <v>1-99</v>
      </c>
      <c r="F569" s="1">
        <v>62</v>
      </c>
      <c r="G569" t="str">
        <f>LOOKUP(F569,Sheet2!$J$4:$K$8)</f>
        <v>60-69</v>
      </c>
      <c r="H569" s="1">
        <v>32</v>
      </c>
      <c r="I569" t="str">
        <f>LOOKUP(H569,Sheet2!$M$4:$N$8)</f>
        <v>30-39</v>
      </c>
      <c r="J569" s="1">
        <v>126</v>
      </c>
      <c r="K569" t="str">
        <f>LOOKUP(J569,Sheet2!$P$4:$Q$9)</f>
        <v>100-199</v>
      </c>
      <c r="L569" s="1">
        <v>32</v>
      </c>
      <c r="M569" t="str">
        <f>LOOKUP(L569,Sheet2!$S$4:$T$8)</f>
        <v>31-35</v>
      </c>
      <c r="N569" s="1">
        <v>8.5000000000000006E-2</v>
      </c>
      <c r="O569" t="str">
        <f>LOOKUP(N569,Sheet2!$V$4:$W$7)</f>
        <v>0.0 - 0.249</v>
      </c>
      <c r="P569" s="1">
        <v>46</v>
      </c>
      <c r="Q569" t="str">
        <f>LOOKUP(P569,Sheet2!$Z$4:$AA$7)</f>
        <v>46+</v>
      </c>
      <c r="R569" s="1">
        <v>0</v>
      </c>
      <c r="S569" t="str">
        <f>IF(R569=1,"Positive","Negative")</f>
        <v>Negative</v>
      </c>
      <c r="T569" s="1" t="str">
        <f>IFERROR(VLOOKUP(A569,[1]diabetes_Recognition!$A:$B,2,FALSE),"Not Sampled")</f>
        <v>Not Sampled</v>
      </c>
      <c r="U569" t="str">
        <f>IF(T569=1,"Positive",(IF(T569=0,"Negative","Not Sampled")))</f>
        <v>Not Sampled</v>
      </c>
      <c r="V569" s="1" t="str">
        <f>IF(U569="Not Sampled","Not Sampled",IF(S569=U569,"Accurate Prediction","Inaccurate Prediction"))</f>
        <v>Not Sampled</v>
      </c>
    </row>
    <row r="570" spans="1:22" x14ac:dyDescent="0.25">
      <c r="A570" s="1">
        <v>568</v>
      </c>
      <c r="B570" s="1">
        <v>4</v>
      </c>
      <c r="C570" s="1" t="str">
        <f>LOOKUP(B570,Sheet2!$D$4:$E$9)</f>
        <v>3-4</v>
      </c>
      <c r="D570" s="1">
        <v>154</v>
      </c>
      <c r="E570" t="str">
        <f>LOOKUP(D570,Sheet2!$G$4:$H$9)</f>
        <v>151-175</v>
      </c>
      <c r="F570" s="1">
        <v>72</v>
      </c>
      <c r="G570" t="str">
        <f>LOOKUP(F570,Sheet2!$J$4:$K$8)</f>
        <v>70-79</v>
      </c>
      <c r="H570" s="1">
        <v>29</v>
      </c>
      <c r="I570" t="str">
        <f>LOOKUP(H570,Sheet2!$M$4:$N$8)</f>
        <v>10-30</v>
      </c>
      <c r="J570" s="1">
        <v>126</v>
      </c>
      <c r="K570" t="str">
        <f>LOOKUP(J570,Sheet2!$P$4:$Q$9)</f>
        <v>100-199</v>
      </c>
      <c r="L570" s="1">
        <v>31.3</v>
      </c>
      <c r="M570" t="str">
        <f>LOOKUP(L570,Sheet2!$S$4:$T$8)</f>
        <v>31-35</v>
      </c>
      <c r="N570" s="1">
        <v>0.33800000000000002</v>
      </c>
      <c r="O570" t="str">
        <f>LOOKUP(N570,Sheet2!$V$4:$W$7)</f>
        <v>0.25 - 0.39</v>
      </c>
      <c r="P570" s="1">
        <v>37</v>
      </c>
      <c r="Q570" t="str">
        <f>LOOKUP(P570,Sheet2!$Z$4:$AA$7)</f>
        <v>36-45</v>
      </c>
      <c r="R570" s="1">
        <v>0</v>
      </c>
      <c r="S570" t="str">
        <f>IF(R570=1,"Positive","Negative")</f>
        <v>Negative</v>
      </c>
      <c r="T570" s="1" t="str">
        <f>IFERROR(VLOOKUP(A570,[1]diabetes_Recognition!$A:$B,2,FALSE),"Not Sampled")</f>
        <v>Not Sampled</v>
      </c>
      <c r="U570" t="str">
        <f>IF(T570=1,"Positive",(IF(T570=0,"Negative","Not Sampled")))</f>
        <v>Not Sampled</v>
      </c>
      <c r="V570" s="1" t="str">
        <f>IF(U570="Not Sampled","Not Sampled",IF(S570=U570,"Accurate Prediction","Inaccurate Prediction"))</f>
        <v>Not Sampled</v>
      </c>
    </row>
    <row r="571" spans="1:22" x14ac:dyDescent="0.25">
      <c r="A571" s="1">
        <v>569</v>
      </c>
      <c r="B571" s="1">
        <v>0</v>
      </c>
      <c r="C571" s="1">
        <f>LOOKUP(B571,Sheet2!$D$4:$E$9)</f>
        <v>0</v>
      </c>
      <c r="D571" s="1">
        <v>121</v>
      </c>
      <c r="E571" t="str">
        <f>LOOKUP(D571,Sheet2!$G$4:$H$9)</f>
        <v>100-125</v>
      </c>
      <c r="F571" s="1">
        <v>66</v>
      </c>
      <c r="G571" t="str">
        <f>LOOKUP(F571,Sheet2!$J$4:$K$8)</f>
        <v>60-69</v>
      </c>
      <c r="H571" s="1">
        <v>30</v>
      </c>
      <c r="I571" t="str">
        <f>LOOKUP(H571,Sheet2!$M$4:$N$8)</f>
        <v>30-39</v>
      </c>
      <c r="J571" s="1">
        <v>165</v>
      </c>
      <c r="K571" t="str">
        <f>LOOKUP(J571,Sheet2!$P$4:$Q$9)</f>
        <v>100-199</v>
      </c>
      <c r="L571" s="1">
        <v>34.299999999999997</v>
      </c>
      <c r="M571" t="str">
        <f>LOOKUP(L571,Sheet2!$S$4:$T$8)</f>
        <v>31-35</v>
      </c>
      <c r="N571" s="1">
        <v>0.20300000000000001</v>
      </c>
      <c r="O571" t="str">
        <f>LOOKUP(N571,Sheet2!$V$4:$W$7)</f>
        <v>0.0 - 0.249</v>
      </c>
      <c r="P571" s="1">
        <v>33</v>
      </c>
      <c r="Q571" t="str">
        <f>LOOKUP(P571,Sheet2!$Z$4:$AA$7)</f>
        <v>26-35</v>
      </c>
      <c r="R571" s="1">
        <v>1</v>
      </c>
      <c r="S571" t="str">
        <f>IF(R571=1,"Positive","Negative")</f>
        <v>Positive</v>
      </c>
      <c r="T571" s="1" t="str">
        <f>IFERROR(VLOOKUP(A571,[1]diabetes_Recognition!$A:$B,2,FALSE),"Not Sampled")</f>
        <v>Not Sampled</v>
      </c>
      <c r="U571" t="str">
        <f>IF(T571=1,"Positive",(IF(T571=0,"Negative","Not Sampled")))</f>
        <v>Not Sampled</v>
      </c>
      <c r="V571" s="1" t="str">
        <f>IF(U571="Not Sampled","Not Sampled",IF(S571=U571,"Accurate Prediction","Inaccurate Prediction"))</f>
        <v>Not Sampled</v>
      </c>
    </row>
    <row r="572" spans="1:22" x14ac:dyDescent="0.25">
      <c r="A572" s="1">
        <v>570</v>
      </c>
      <c r="B572" s="1">
        <v>3</v>
      </c>
      <c r="C572" s="1" t="str">
        <f>LOOKUP(B572,Sheet2!$D$4:$E$9)</f>
        <v>3-4</v>
      </c>
      <c r="D572" s="1">
        <v>78</v>
      </c>
      <c r="E572" t="str">
        <f>LOOKUP(D572,Sheet2!$G$4:$H$9)</f>
        <v>1-99</v>
      </c>
      <c r="F572" s="1">
        <v>70</v>
      </c>
      <c r="G572" t="str">
        <f>LOOKUP(F572,Sheet2!$J$4:$K$8)</f>
        <v>70-79</v>
      </c>
      <c r="H572" s="1">
        <v>0</v>
      </c>
      <c r="I572" t="str">
        <f>LOOKUP(H572,Sheet2!$M$4:$N$8)</f>
        <v>Unknown</v>
      </c>
      <c r="J572" s="1">
        <v>0</v>
      </c>
      <c r="K572" t="str">
        <f>LOOKUP(J572,Sheet2!$P$4:$Q$9)</f>
        <v>Unknown</v>
      </c>
      <c r="L572" s="1">
        <v>32.5</v>
      </c>
      <c r="M572" t="str">
        <f>LOOKUP(L572,Sheet2!$S$4:$T$8)</f>
        <v>31-35</v>
      </c>
      <c r="N572" s="1">
        <v>0.27</v>
      </c>
      <c r="O572" t="str">
        <f>LOOKUP(N572,Sheet2!$V$4:$W$7)</f>
        <v>0.25 - 0.39</v>
      </c>
      <c r="P572" s="1">
        <v>39</v>
      </c>
      <c r="Q572" t="str">
        <f>LOOKUP(P572,Sheet2!$Z$4:$AA$7)</f>
        <v>36-45</v>
      </c>
      <c r="R572" s="1">
        <v>0</v>
      </c>
      <c r="S572" t="str">
        <f>IF(R572=1,"Positive","Negative")</f>
        <v>Negative</v>
      </c>
      <c r="T572" s="1" t="str">
        <f>IFERROR(VLOOKUP(A572,[1]diabetes_Recognition!$A:$B,2,FALSE),"Not Sampled")</f>
        <v>Not Sampled</v>
      </c>
      <c r="U572" t="str">
        <f>IF(T572=1,"Positive",(IF(T572=0,"Negative","Not Sampled")))</f>
        <v>Not Sampled</v>
      </c>
      <c r="V572" s="1" t="str">
        <f>IF(U572="Not Sampled","Not Sampled",IF(S572=U572,"Accurate Prediction","Inaccurate Prediction"))</f>
        <v>Not Sampled</v>
      </c>
    </row>
    <row r="573" spans="1:22" x14ac:dyDescent="0.25">
      <c r="A573" s="1">
        <v>571</v>
      </c>
      <c r="B573" s="1">
        <v>2</v>
      </c>
      <c r="C573" s="1">
        <f>LOOKUP(B573,Sheet2!$D$4:$E$9)</f>
        <v>2</v>
      </c>
      <c r="D573" s="1">
        <v>130</v>
      </c>
      <c r="E573" t="str">
        <f>LOOKUP(D573,Sheet2!$G$4:$H$9)</f>
        <v>126-150</v>
      </c>
      <c r="F573" s="1">
        <v>96</v>
      </c>
      <c r="G573" t="str">
        <f>LOOKUP(F573,Sheet2!$J$4:$K$8)</f>
        <v>80+</v>
      </c>
      <c r="H573" s="1">
        <v>0</v>
      </c>
      <c r="I573" t="str">
        <f>LOOKUP(H573,Sheet2!$M$4:$N$8)</f>
        <v>Unknown</v>
      </c>
      <c r="J573" s="1">
        <v>0</v>
      </c>
      <c r="K573" t="str">
        <f>LOOKUP(J573,Sheet2!$P$4:$Q$9)</f>
        <v>Unknown</v>
      </c>
      <c r="L573" s="1">
        <v>22.6</v>
      </c>
      <c r="M573" t="str">
        <f>LOOKUP(L573,Sheet2!$S$4:$T$8)</f>
        <v>1-25</v>
      </c>
      <c r="N573" s="1">
        <v>0.26800000000000002</v>
      </c>
      <c r="O573" t="str">
        <f>LOOKUP(N573,Sheet2!$V$4:$W$7)</f>
        <v>0.25 - 0.39</v>
      </c>
      <c r="P573" s="1">
        <v>21</v>
      </c>
      <c r="Q573" t="str">
        <f>LOOKUP(P573,Sheet2!$Z$4:$AA$7)</f>
        <v>&lt;=25</v>
      </c>
      <c r="R573" s="1">
        <v>0</v>
      </c>
      <c r="S573" t="str">
        <f>IF(R573=1,"Positive","Negative")</f>
        <v>Negative</v>
      </c>
      <c r="T573" s="1" t="str">
        <f>IFERROR(VLOOKUP(A573,[1]diabetes_Recognition!$A:$B,2,FALSE),"Not Sampled")</f>
        <v>Not Sampled</v>
      </c>
      <c r="U573" t="str">
        <f>IF(T573=1,"Positive",(IF(T573=0,"Negative","Not Sampled")))</f>
        <v>Not Sampled</v>
      </c>
      <c r="V573" s="1" t="str">
        <f>IF(U573="Not Sampled","Not Sampled",IF(S573=U573,"Accurate Prediction","Inaccurate Prediction"))</f>
        <v>Not Sampled</v>
      </c>
    </row>
    <row r="574" spans="1:22" x14ac:dyDescent="0.25">
      <c r="A574" s="1">
        <v>572</v>
      </c>
      <c r="B574" s="1">
        <v>3</v>
      </c>
      <c r="C574" s="1" t="str">
        <f>LOOKUP(B574,Sheet2!$D$4:$E$9)</f>
        <v>3-4</v>
      </c>
      <c r="D574" s="1">
        <v>111</v>
      </c>
      <c r="E574" t="str">
        <f>LOOKUP(D574,Sheet2!$G$4:$H$9)</f>
        <v>100-125</v>
      </c>
      <c r="F574" s="1">
        <v>58</v>
      </c>
      <c r="G574" t="str">
        <f>LOOKUP(F574,Sheet2!$J$4:$K$8)</f>
        <v>1-59</v>
      </c>
      <c r="H574" s="1">
        <v>31</v>
      </c>
      <c r="I574" t="str">
        <f>LOOKUP(H574,Sheet2!$M$4:$N$8)</f>
        <v>30-39</v>
      </c>
      <c r="J574" s="1">
        <v>44</v>
      </c>
      <c r="K574" t="str">
        <f>LOOKUP(J574,Sheet2!$P$4:$Q$9)</f>
        <v>1-99</v>
      </c>
      <c r="L574" s="1">
        <v>29.5</v>
      </c>
      <c r="M574" t="str">
        <f>LOOKUP(L574,Sheet2!$S$4:$T$8)</f>
        <v>26-30</v>
      </c>
      <c r="N574" s="1">
        <v>0.43</v>
      </c>
      <c r="O574" t="str">
        <f>LOOKUP(N574,Sheet2!$V$4:$W$7)</f>
        <v>0.4 - 0.69</v>
      </c>
      <c r="P574" s="1">
        <v>22</v>
      </c>
      <c r="Q574" t="str">
        <f>LOOKUP(P574,Sheet2!$Z$4:$AA$7)</f>
        <v>&lt;=25</v>
      </c>
      <c r="R574" s="1">
        <v>0</v>
      </c>
      <c r="S574" t="str">
        <f>IF(R574=1,"Positive","Negative")</f>
        <v>Negative</v>
      </c>
      <c r="T574" s="1">
        <f>IFERROR(VLOOKUP(A574,[1]diabetes_Recognition!$A:$B,2,FALSE),"Not Sampled")</f>
        <v>0</v>
      </c>
      <c r="U574" t="str">
        <f>IF(T574=1,"Positive",(IF(T574=0,"Negative","Not Sampled")))</f>
        <v>Negative</v>
      </c>
      <c r="V574" s="1" t="str">
        <f>IF(U574="Not Sampled","Not Sampled",IF(S574=U574,"Accurate Prediction","Inaccurate Prediction"))</f>
        <v>Accurate Prediction</v>
      </c>
    </row>
    <row r="575" spans="1:22" x14ac:dyDescent="0.25">
      <c r="A575" s="1">
        <v>573</v>
      </c>
      <c r="B575" s="1">
        <v>2</v>
      </c>
      <c r="C575" s="1">
        <f>LOOKUP(B575,Sheet2!$D$4:$E$9)</f>
        <v>2</v>
      </c>
      <c r="D575" s="1">
        <v>98</v>
      </c>
      <c r="E575" t="str">
        <f>LOOKUP(D575,Sheet2!$G$4:$H$9)</f>
        <v>1-99</v>
      </c>
      <c r="F575" s="1">
        <v>60</v>
      </c>
      <c r="G575" t="str">
        <f>LOOKUP(F575,Sheet2!$J$4:$K$8)</f>
        <v>60-69</v>
      </c>
      <c r="H575" s="1">
        <v>17</v>
      </c>
      <c r="I575" t="str">
        <f>LOOKUP(H575,Sheet2!$M$4:$N$8)</f>
        <v>10-30</v>
      </c>
      <c r="J575" s="1">
        <v>120</v>
      </c>
      <c r="K575" t="str">
        <f>LOOKUP(J575,Sheet2!$P$4:$Q$9)</f>
        <v>100-199</v>
      </c>
      <c r="L575" s="1">
        <v>34.700000000000003</v>
      </c>
      <c r="M575" t="str">
        <f>LOOKUP(L575,Sheet2!$S$4:$T$8)</f>
        <v>31-35</v>
      </c>
      <c r="N575" s="1">
        <v>0.19800000000000001</v>
      </c>
      <c r="O575" t="str">
        <f>LOOKUP(N575,Sheet2!$V$4:$W$7)</f>
        <v>0.0 - 0.249</v>
      </c>
      <c r="P575" s="1">
        <v>22</v>
      </c>
      <c r="Q575" t="str">
        <f>LOOKUP(P575,Sheet2!$Z$4:$AA$7)</f>
        <v>&lt;=25</v>
      </c>
      <c r="R575" s="1">
        <v>0</v>
      </c>
      <c r="S575" t="str">
        <f>IF(R575=1,"Positive","Negative")</f>
        <v>Negative</v>
      </c>
      <c r="T575" s="1">
        <f>IFERROR(VLOOKUP(A575,[1]diabetes_Recognition!$A:$B,2,FALSE),"Not Sampled")</f>
        <v>0</v>
      </c>
      <c r="U575" t="str">
        <f>IF(T575=1,"Positive",(IF(T575=0,"Negative","Not Sampled")))</f>
        <v>Negative</v>
      </c>
      <c r="V575" s="1" t="str">
        <f>IF(U575="Not Sampled","Not Sampled",IF(S575=U575,"Accurate Prediction","Inaccurate Prediction"))</f>
        <v>Accurate Prediction</v>
      </c>
    </row>
    <row r="576" spans="1:22" x14ac:dyDescent="0.25">
      <c r="A576" s="1">
        <v>574</v>
      </c>
      <c r="B576" s="1">
        <v>1</v>
      </c>
      <c r="C576" s="1">
        <f>LOOKUP(B576,Sheet2!$D$4:$E$9)</f>
        <v>1</v>
      </c>
      <c r="D576" s="1">
        <v>143</v>
      </c>
      <c r="E576" t="str">
        <f>LOOKUP(D576,Sheet2!$G$4:$H$9)</f>
        <v>126-150</v>
      </c>
      <c r="F576" s="1">
        <v>86</v>
      </c>
      <c r="G576" t="str">
        <f>LOOKUP(F576,Sheet2!$J$4:$K$8)</f>
        <v>80+</v>
      </c>
      <c r="H576" s="1">
        <v>30</v>
      </c>
      <c r="I576" t="str">
        <f>LOOKUP(H576,Sheet2!$M$4:$N$8)</f>
        <v>30-39</v>
      </c>
      <c r="J576" s="1">
        <v>330</v>
      </c>
      <c r="K576" t="str">
        <f>LOOKUP(J576,Sheet2!$P$4:$Q$9)</f>
        <v>300-499</v>
      </c>
      <c r="L576" s="1">
        <v>30.1</v>
      </c>
      <c r="M576" t="str">
        <f>LOOKUP(L576,Sheet2!$S$4:$T$8)</f>
        <v>26-30</v>
      </c>
      <c r="N576" s="1">
        <v>0.89200000000000002</v>
      </c>
      <c r="O576" t="str">
        <f>LOOKUP(N576,Sheet2!$V$4:$W$7)</f>
        <v>0.7+</v>
      </c>
      <c r="P576" s="1">
        <v>23</v>
      </c>
      <c r="Q576" t="str">
        <f>LOOKUP(P576,Sheet2!$Z$4:$AA$7)</f>
        <v>&lt;=25</v>
      </c>
      <c r="R576" s="1">
        <v>0</v>
      </c>
      <c r="S576" t="str">
        <f>IF(R576=1,"Positive","Negative")</f>
        <v>Negative</v>
      </c>
      <c r="T576" s="1" t="str">
        <f>IFERROR(VLOOKUP(A576,[1]diabetes_Recognition!$A:$B,2,FALSE),"Not Sampled")</f>
        <v>Not Sampled</v>
      </c>
      <c r="U576" t="str">
        <f>IF(T576=1,"Positive",(IF(T576=0,"Negative","Not Sampled")))</f>
        <v>Not Sampled</v>
      </c>
      <c r="V576" s="1" t="str">
        <f>IF(U576="Not Sampled","Not Sampled",IF(S576=U576,"Accurate Prediction","Inaccurate Prediction"))</f>
        <v>Not Sampled</v>
      </c>
    </row>
    <row r="577" spans="1:22" x14ac:dyDescent="0.25">
      <c r="A577" s="1">
        <v>575</v>
      </c>
      <c r="B577" s="1">
        <v>1</v>
      </c>
      <c r="C577" s="1">
        <f>LOOKUP(B577,Sheet2!$D$4:$E$9)</f>
        <v>1</v>
      </c>
      <c r="D577" s="1">
        <v>119</v>
      </c>
      <c r="E577" t="str">
        <f>LOOKUP(D577,Sheet2!$G$4:$H$9)</f>
        <v>100-125</v>
      </c>
      <c r="F577" s="1">
        <v>44</v>
      </c>
      <c r="G577" t="str">
        <f>LOOKUP(F577,Sheet2!$J$4:$K$8)</f>
        <v>1-59</v>
      </c>
      <c r="H577" s="1">
        <v>47</v>
      </c>
      <c r="I577" t="str">
        <f>LOOKUP(H577,Sheet2!$M$4:$N$8)</f>
        <v>40+</v>
      </c>
      <c r="J577" s="1">
        <v>63</v>
      </c>
      <c r="K577" t="str">
        <f>LOOKUP(J577,Sheet2!$P$4:$Q$9)</f>
        <v>1-99</v>
      </c>
      <c r="L577" s="1">
        <v>35.5</v>
      </c>
      <c r="M577" t="str">
        <f>LOOKUP(L577,Sheet2!$S$4:$T$8)</f>
        <v>31-35</v>
      </c>
      <c r="N577" s="1">
        <v>0.28000000000000003</v>
      </c>
      <c r="O577" t="str">
        <f>LOOKUP(N577,Sheet2!$V$4:$W$7)</f>
        <v>0.25 - 0.39</v>
      </c>
      <c r="P577" s="1">
        <v>25</v>
      </c>
      <c r="Q577" t="str">
        <f>LOOKUP(P577,Sheet2!$Z$4:$AA$7)</f>
        <v>&lt;=25</v>
      </c>
      <c r="R577" s="1">
        <v>0</v>
      </c>
      <c r="S577" t="str">
        <f>IF(R577=1,"Positive","Negative")</f>
        <v>Negative</v>
      </c>
      <c r="T577" s="1" t="str">
        <f>IFERROR(VLOOKUP(A577,[1]diabetes_Recognition!$A:$B,2,FALSE),"Not Sampled")</f>
        <v>Not Sampled</v>
      </c>
      <c r="U577" t="str">
        <f>IF(T577=1,"Positive",(IF(T577=0,"Negative","Not Sampled")))</f>
        <v>Not Sampled</v>
      </c>
      <c r="V577" s="1" t="str">
        <f>IF(U577="Not Sampled","Not Sampled",IF(S577=U577,"Accurate Prediction","Inaccurate Prediction"))</f>
        <v>Not Sampled</v>
      </c>
    </row>
    <row r="578" spans="1:22" x14ac:dyDescent="0.25">
      <c r="A578" s="1">
        <v>576</v>
      </c>
      <c r="B578" s="1">
        <v>6</v>
      </c>
      <c r="C578" s="1" t="str">
        <f>LOOKUP(B578,Sheet2!$D$4:$E$9)</f>
        <v>5-7</v>
      </c>
      <c r="D578" s="1">
        <v>108</v>
      </c>
      <c r="E578" t="str">
        <f>LOOKUP(D578,Sheet2!$G$4:$H$9)</f>
        <v>100-125</v>
      </c>
      <c r="F578" s="1">
        <v>44</v>
      </c>
      <c r="G578" t="str">
        <f>LOOKUP(F578,Sheet2!$J$4:$K$8)</f>
        <v>1-59</v>
      </c>
      <c r="H578" s="1">
        <v>20</v>
      </c>
      <c r="I578" t="str">
        <f>LOOKUP(H578,Sheet2!$M$4:$N$8)</f>
        <v>10-30</v>
      </c>
      <c r="J578" s="1">
        <v>130</v>
      </c>
      <c r="K578" t="str">
        <f>LOOKUP(J578,Sheet2!$P$4:$Q$9)</f>
        <v>100-199</v>
      </c>
      <c r="L578" s="1">
        <v>24</v>
      </c>
      <c r="M578" t="str">
        <f>LOOKUP(L578,Sheet2!$S$4:$T$8)</f>
        <v>1-25</v>
      </c>
      <c r="N578" s="1">
        <v>0.81299999999999994</v>
      </c>
      <c r="O578" t="str">
        <f>LOOKUP(N578,Sheet2!$V$4:$W$7)</f>
        <v>0.7+</v>
      </c>
      <c r="P578" s="1">
        <v>35</v>
      </c>
      <c r="Q578" t="str">
        <f>LOOKUP(P578,Sheet2!$Z$4:$AA$7)</f>
        <v>26-35</v>
      </c>
      <c r="R578" s="1">
        <v>0</v>
      </c>
      <c r="S578" t="str">
        <f>IF(R578=1,"Positive","Negative")</f>
        <v>Negative</v>
      </c>
      <c r="T578" s="1" t="str">
        <f>IFERROR(VLOOKUP(A578,[1]diabetes_Recognition!$A:$B,2,FALSE),"Not Sampled")</f>
        <v>Not Sampled</v>
      </c>
      <c r="U578" t="str">
        <f>IF(T578=1,"Positive",(IF(T578=0,"Negative","Not Sampled")))</f>
        <v>Not Sampled</v>
      </c>
      <c r="V578" s="1" t="str">
        <f>IF(U578="Not Sampled","Not Sampled",IF(S578=U578,"Accurate Prediction","Inaccurate Prediction"))</f>
        <v>Not Sampled</v>
      </c>
    </row>
    <row r="579" spans="1:22" x14ac:dyDescent="0.25">
      <c r="A579" s="1">
        <v>577</v>
      </c>
      <c r="B579" s="1">
        <v>2</v>
      </c>
      <c r="C579" s="1">
        <f>LOOKUP(B579,Sheet2!$D$4:$E$9)</f>
        <v>2</v>
      </c>
      <c r="D579" s="1">
        <v>118</v>
      </c>
      <c r="E579" t="str">
        <f>LOOKUP(D579,Sheet2!$G$4:$H$9)</f>
        <v>100-125</v>
      </c>
      <c r="F579" s="1">
        <v>80</v>
      </c>
      <c r="G579" t="str">
        <f>LOOKUP(F579,Sheet2!$J$4:$K$8)</f>
        <v>80+</v>
      </c>
      <c r="H579" s="1">
        <v>0</v>
      </c>
      <c r="I579" t="str">
        <f>LOOKUP(H579,Sheet2!$M$4:$N$8)</f>
        <v>Unknown</v>
      </c>
      <c r="J579" s="1">
        <v>0</v>
      </c>
      <c r="K579" t="str">
        <f>LOOKUP(J579,Sheet2!$P$4:$Q$9)</f>
        <v>Unknown</v>
      </c>
      <c r="L579" s="1">
        <v>42.9</v>
      </c>
      <c r="M579" t="str">
        <f>LOOKUP(L579,Sheet2!$S$4:$T$8)</f>
        <v>36+</v>
      </c>
      <c r="N579" s="1">
        <v>0.69299999999999995</v>
      </c>
      <c r="O579" t="str">
        <f>LOOKUP(N579,Sheet2!$V$4:$W$7)</f>
        <v>0.4 - 0.69</v>
      </c>
      <c r="P579" s="1">
        <v>21</v>
      </c>
      <c r="Q579" t="str">
        <f>LOOKUP(P579,Sheet2!$Z$4:$AA$7)</f>
        <v>&lt;=25</v>
      </c>
      <c r="R579" s="1">
        <v>1</v>
      </c>
      <c r="S579" t="str">
        <f>IF(R579=1,"Positive","Negative")</f>
        <v>Positive</v>
      </c>
      <c r="T579" s="1">
        <f>IFERROR(VLOOKUP(A579,[1]diabetes_Recognition!$A:$B,2,FALSE),"Not Sampled")</f>
        <v>0</v>
      </c>
      <c r="U579" t="str">
        <f>IF(T579=1,"Positive",(IF(T579=0,"Negative","Not Sampled")))</f>
        <v>Negative</v>
      </c>
      <c r="V579" s="1" t="str">
        <f>IF(U579="Not Sampled","Not Sampled",IF(S579=U579,"Accurate Prediction","Inaccurate Prediction"))</f>
        <v>Inaccurate Prediction</v>
      </c>
    </row>
    <row r="580" spans="1:22" x14ac:dyDescent="0.25">
      <c r="A580" s="1">
        <v>578</v>
      </c>
      <c r="B580" s="1">
        <v>10</v>
      </c>
      <c r="C580" s="1" t="str">
        <f>LOOKUP(B580,Sheet2!$D$4:$E$9)</f>
        <v>8+</v>
      </c>
      <c r="D580" s="1">
        <v>133</v>
      </c>
      <c r="E580" t="str">
        <f>LOOKUP(D580,Sheet2!$G$4:$H$9)</f>
        <v>126-150</v>
      </c>
      <c r="F580" s="1">
        <v>68</v>
      </c>
      <c r="G580" t="str">
        <f>LOOKUP(F580,Sheet2!$J$4:$K$8)</f>
        <v>60-69</v>
      </c>
      <c r="H580" s="1">
        <v>0</v>
      </c>
      <c r="I580" t="str">
        <f>LOOKUP(H580,Sheet2!$M$4:$N$8)</f>
        <v>Unknown</v>
      </c>
      <c r="J580" s="1">
        <v>0</v>
      </c>
      <c r="K580" t="str">
        <f>LOOKUP(J580,Sheet2!$P$4:$Q$9)</f>
        <v>Unknown</v>
      </c>
      <c r="L580" s="1">
        <v>27</v>
      </c>
      <c r="M580" t="str">
        <f>LOOKUP(L580,Sheet2!$S$4:$T$8)</f>
        <v>26-30</v>
      </c>
      <c r="N580" s="1">
        <v>0.245</v>
      </c>
      <c r="O580" t="str">
        <f>LOOKUP(N580,Sheet2!$V$4:$W$7)</f>
        <v>0.0 - 0.249</v>
      </c>
      <c r="P580" s="1">
        <v>36</v>
      </c>
      <c r="Q580" t="str">
        <f>LOOKUP(P580,Sheet2!$Z$4:$AA$7)</f>
        <v>36-45</v>
      </c>
      <c r="R580" s="1">
        <v>0</v>
      </c>
      <c r="S580" t="str">
        <f>IF(R580=1,"Positive","Negative")</f>
        <v>Negative</v>
      </c>
      <c r="T580" s="1" t="str">
        <f>IFERROR(VLOOKUP(A580,[1]diabetes_Recognition!$A:$B,2,FALSE),"Not Sampled")</f>
        <v>Not Sampled</v>
      </c>
      <c r="U580" t="str">
        <f>IF(T580=1,"Positive",(IF(T580=0,"Negative","Not Sampled")))</f>
        <v>Not Sampled</v>
      </c>
      <c r="V580" s="1" t="str">
        <f>IF(U580="Not Sampled","Not Sampled",IF(S580=U580,"Accurate Prediction","Inaccurate Prediction"))</f>
        <v>Not Sampled</v>
      </c>
    </row>
    <row r="581" spans="1:22" x14ac:dyDescent="0.25">
      <c r="A581" s="1">
        <v>579</v>
      </c>
      <c r="B581" s="1">
        <v>2</v>
      </c>
      <c r="C581" s="1">
        <f>LOOKUP(B581,Sheet2!$D$4:$E$9)</f>
        <v>2</v>
      </c>
      <c r="D581" s="1">
        <v>197</v>
      </c>
      <c r="E581" t="str">
        <f>LOOKUP(D581,Sheet2!$G$4:$H$9)</f>
        <v>176-200</v>
      </c>
      <c r="F581" s="1">
        <v>70</v>
      </c>
      <c r="G581" t="str">
        <f>LOOKUP(F581,Sheet2!$J$4:$K$8)</f>
        <v>70-79</v>
      </c>
      <c r="H581" s="1">
        <v>99</v>
      </c>
      <c r="I581" t="str">
        <f>LOOKUP(H581,Sheet2!$M$4:$N$8)</f>
        <v>40+</v>
      </c>
      <c r="J581" s="1">
        <v>0</v>
      </c>
      <c r="K581" t="str">
        <f>LOOKUP(J581,Sheet2!$P$4:$Q$9)</f>
        <v>Unknown</v>
      </c>
      <c r="L581" s="1">
        <v>34.700000000000003</v>
      </c>
      <c r="M581" t="str">
        <f>LOOKUP(L581,Sheet2!$S$4:$T$8)</f>
        <v>31-35</v>
      </c>
      <c r="N581" s="1">
        <v>0.57499999999999996</v>
      </c>
      <c r="O581" t="str">
        <f>LOOKUP(N581,Sheet2!$V$4:$W$7)</f>
        <v>0.4 - 0.69</v>
      </c>
      <c r="P581" s="1">
        <v>62</v>
      </c>
      <c r="Q581" t="str">
        <f>LOOKUP(P581,Sheet2!$Z$4:$AA$7)</f>
        <v>46+</v>
      </c>
      <c r="R581" s="1">
        <v>1</v>
      </c>
      <c r="S581" t="str">
        <f>IF(R581=1,"Positive","Negative")</f>
        <v>Positive</v>
      </c>
      <c r="T581" s="1">
        <f>IFERROR(VLOOKUP(A581,[1]diabetes_Recognition!$A:$B,2,FALSE),"Not Sampled")</f>
        <v>1</v>
      </c>
      <c r="U581" t="str">
        <f>IF(T581=1,"Positive",(IF(T581=0,"Negative","Not Sampled")))</f>
        <v>Positive</v>
      </c>
      <c r="V581" s="1" t="str">
        <f>IF(U581="Not Sampled","Not Sampled",IF(S581=U581,"Accurate Prediction","Inaccurate Prediction"))</f>
        <v>Accurate Prediction</v>
      </c>
    </row>
    <row r="582" spans="1:22" x14ac:dyDescent="0.25">
      <c r="A582" s="1">
        <v>580</v>
      </c>
      <c r="B582" s="1">
        <v>0</v>
      </c>
      <c r="C582" s="1">
        <f>LOOKUP(B582,Sheet2!$D$4:$E$9)</f>
        <v>0</v>
      </c>
      <c r="D582" s="1">
        <v>151</v>
      </c>
      <c r="E582" t="str">
        <f>LOOKUP(D582,Sheet2!$G$4:$H$9)</f>
        <v>151-175</v>
      </c>
      <c r="F582" s="1">
        <v>90</v>
      </c>
      <c r="G582" t="str">
        <f>LOOKUP(F582,Sheet2!$J$4:$K$8)</f>
        <v>80+</v>
      </c>
      <c r="H582" s="1">
        <v>46</v>
      </c>
      <c r="I582" t="str">
        <f>LOOKUP(H582,Sheet2!$M$4:$N$8)</f>
        <v>40+</v>
      </c>
      <c r="J582" s="1">
        <v>0</v>
      </c>
      <c r="K582" t="str">
        <f>LOOKUP(J582,Sheet2!$P$4:$Q$9)</f>
        <v>Unknown</v>
      </c>
      <c r="L582" s="1">
        <v>42.1</v>
      </c>
      <c r="M582" t="str">
        <f>LOOKUP(L582,Sheet2!$S$4:$T$8)</f>
        <v>36+</v>
      </c>
      <c r="N582" s="1">
        <v>0.371</v>
      </c>
      <c r="O582" t="str">
        <f>LOOKUP(N582,Sheet2!$V$4:$W$7)</f>
        <v>0.25 - 0.39</v>
      </c>
      <c r="P582" s="1">
        <v>21</v>
      </c>
      <c r="Q582" t="str">
        <f>LOOKUP(P582,Sheet2!$Z$4:$AA$7)</f>
        <v>&lt;=25</v>
      </c>
      <c r="R582" s="1">
        <v>1</v>
      </c>
      <c r="S582" t="str">
        <f>IF(R582=1,"Positive","Negative")</f>
        <v>Positive</v>
      </c>
      <c r="T582" s="1" t="str">
        <f>IFERROR(VLOOKUP(A582,[1]diabetes_Recognition!$A:$B,2,FALSE),"Not Sampled")</f>
        <v>Not Sampled</v>
      </c>
      <c r="U582" t="str">
        <f>IF(T582=1,"Positive",(IF(T582=0,"Negative","Not Sampled")))</f>
        <v>Not Sampled</v>
      </c>
      <c r="V582" s="1" t="str">
        <f>IF(U582="Not Sampled","Not Sampled",IF(S582=U582,"Accurate Prediction","Inaccurate Prediction"))</f>
        <v>Not Sampled</v>
      </c>
    </row>
    <row r="583" spans="1:22" x14ac:dyDescent="0.25">
      <c r="A583" s="1">
        <v>581</v>
      </c>
      <c r="B583" s="1">
        <v>6</v>
      </c>
      <c r="C583" s="1" t="str">
        <f>LOOKUP(B583,Sheet2!$D$4:$E$9)</f>
        <v>5-7</v>
      </c>
      <c r="D583" s="1">
        <v>109</v>
      </c>
      <c r="E583" t="str">
        <f>LOOKUP(D583,Sheet2!$G$4:$H$9)</f>
        <v>100-125</v>
      </c>
      <c r="F583" s="1">
        <v>60</v>
      </c>
      <c r="G583" t="str">
        <f>LOOKUP(F583,Sheet2!$J$4:$K$8)</f>
        <v>60-69</v>
      </c>
      <c r="H583" s="1">
        <v>27</v>
      </c>
      <c r="I583" t="str">
        <f>LOOKUP(H583,Sheet2!$M$4:$N$8)</f>
        <v>10-30</v>
      </c>
      <c r="J583" s="1">
        <v>0</v>
      </c>
      <c r="K583" t="str">
        <f>LOOKUP(J583,Sheet2!$P$4:$Q$9)</f>
        <v>Unknown</v>
      </c>
      <c r="L583" s="1">
        <v>25</v>
      </c>
      <c r="M583" t="str">
        <f>LOOKUP(L583,Sheet2!$S$4:$T$8)</f>
        <v>1-25</v>
      </c>
      <c r="N583" s="1">
        <v>0.20599999999999999</v>
      </c>
      <c r="O583" t="str">
        <f>LOOKUP(N583,Sheet2!$V$4:$W$7)</f>
        <v>0.0 - 0.249</v>
      </c>
      <c r="P583" s="1">
        <v>27</v>
      </c>
      <c r="Q583" t="str">
        <f>LOOKUP(P583,Sheet2!$Z$4:$AA$7)</f>
        <v>26-35</v>
      </c>
      <c r="R583" s="1">
        <v>0</v>
      </c>
      <c r="S583" t="str">
        <f>IF(R583=1,"Positive","Negative")</f>
        <v>Negative</v>
      </c>
      <c r="T583" s="1" t="str">
        <f>IFERROR(VLOOKUP(A583,[1]diabetes_Recognition!$A:$B,2,FALSE),"Not Sampled")</f>
        <v>Not Sampled</v>
      </c>
      <c r="U583" t="str">
        <f>IF(T583=1,"Positive",(IF(T583=0,"Negative","Not Sampled")))</f>
        <v>Not Sampled</v>
      </c>
      <c r="V583" s="1" t="str">
        <f>IF(U583="Not Sampled","Not Sampled",IF(S583=U583,"Accurate Prediction","Inaccurate Prediction"))</f>
        <v>Not Sampled</v>
      </c>
    </row>
    <row r="584" spans="1:22" x14ac:dyDescent="0.25">
      <c r="A584" s="1">
        <v>582</v>
      </c>
      <c r="B584" s="1">
        <v>12</v>
      </c>
      <c r="C584" s="1" t="str">
        <f>LOOKUP(B584,Sheet2!$D$4:$E$9)</f>
        <v>8+</v>
      </c>
      <c r="D584" s="1">
        <v>121</v>
      </c>
      <c r="E584" t="str">
        <f>LOOKUP(D584,Sheet2!$G$4:$H$9)</f>
        <v>100-125</v>
      </c>
      <c r="F584" s="1">
        <v>78</v>
      </c>
      <c r="G584" t="str">
        <f>LOOKUP(F584,Sheet2!$J$4:$K$8)</f>
        <v>70-79</v>
      </c>
      <c r="H584" s="1">
        <v>17</v>
      </c>
      <c r="I584" t="str">
        <f>LOOKUP(H584,Sheet2!$M$4:$N$8)</f>
        <v>10-30</v>
      </c>
      <c r="J584" s="1">
        <v>0</v>
      </c>
      <c r="K584" t="str">
        <f>LOOKUP(J584,Sheet2!$P$4:$Q$9)</f>
        <v>Unknown</v>
      </c>
      <c r="L584" s="1">
        <v>26.5</v>
      </c>
      <c r="M584" t="str">
        <f>LOOKUP(L584,Sheet2!$S$4:$T$8)</f>
        <v>26-30</v>
      </c>
      <c r="N584" s="1">
        <v>0.25900000000000001</v>
      </c>
      <c r="O584" t="str">
        <f>LOOKUP(N584,Sheet2!$V$4:$W$7)</f>
        <v>0.25 - 0.39</v>
      </c>
      <c r="P584" s="1">
        <v>62</v>
      </c>
      <c r="Q584" t="str">
        <f>LOOKUP(P584,Sheet2!$Z$4:$AA$7)</f>
        <v>46+</v>
      </c>
      <c r="R584" s="1">
        <v>0</v>
      </c>
      <c r="S584" t="str">
        <f>IF(R584=1,"Positive","Negative")</f>
        <v>Negative</v>
      </c>
      <c r="T584" s="1" t="str">
        <f>IFERROR(VLOOKUP(A584,[1]diabetes_Recognition!$A:$B,2,FALSE),"Not Sampled")</f>
        <v>Not Sampled</v>
      </c>
      <c r="U584" t="str">
        <f>IF(T584=1,"Positive",(IF(T584=0,"Negative","Not Sampled")))</f>
        <v>Not Sampled</v>
      </c>
      <c r="V584" s="1" t="str">
        <f>IF(U584="Not Sampled","Not Sampled",IF(S584=U584,"Accurate Prediction","Inaccurate Prediction"))</f>
        <v>Not Sampled</v>
      </c>
    </row>
    <row r="585" spans="1:22" x14ac:dyDescent="0.25">
      <c r="A585" s="1">
        <v>583</v>
      </c>
      <c r="B585" s="1">
        <v>8</v>
      </c>
      <c r="C585" s="1" t="str">
        <f>LOOKUP(B585,Sheet2!$D$4:$E$9)</f>
        <v>8+</v>
      </c>
      <c r="D585" s="1">
        <v>100</v>
      </c>
      <c r="E585" t="str">
        <f>LOOKUP(D585,Sheet2!$G$4:$H$9)</f>
        <v>100-125</v>
      </c>
      <c r="F585" s="1">
        <v>76</v>
      </c>
      <c r="G585" t="str">
        <f>LOOKUP(F585,Sheet2!$J$4:$K$8)</f>
        <v>70-79</v>
      </c>
      <c r="H585" s="1">
        <v>0</v>
      </c>
      <c r="I585" t="str">
        <f>LOOKUP(H585,Sheet2!$M$4:$N$8)</f>
        <v>Unknown</v>
      </c>
      <c r="J585" s="1">
        <v>0</v>
      </c>
      <c r="K585" t="str">
        <f>LOOKUP(J585,Sheet2!$P$4:$Q$9)</f>
        <v>Unknown</v>
      </c>
      <c r="L585" s="1">
        <v>38.700000000000003</v>
      </c>
      <c r="M585" t="str">
        <f>LOOKUP(L585,Sheet2!$S$4:$T$8)</f>
        <v>36+</v>
      </c>
      <c r="N585" s="1">
        <v>0.19</v>
      </c>
      <c r="O585" t="str">
        <f>LOOKUP(N585,Sheet2!$V$4:$W$7)</f>
        <v>0.0 - 0.249</v>
      </c>
      <c r="P585" s="1">
        <v>42</v>
      </c>
      <c r="Q585" t="str">
        <f>LOOKUP(P585,Sheet2!$Z$4:$AA$7)</f>
        <v>36-45</v>
      </c>
      <c r="R585" s="1">
        <v>0</v>
      </c>
      <c r="S585" t="str">
        <f>IF(R585=1,"Positive","Negative")</f>
        <v>Negative</v>
      </c>
      <c r="T585" s="1" t="str">
        <f>IFERROR(VLOOKUP(A585,[1]diabetes_Recognition!$A:$B,2,FALSE),"Not Sampled")</f>
        <v>Not Sampled</v>
      </c>
      <c r="U585" t="str">
        <f>IF(T585=1,"Positive",(IF(T585=0,"Negative","Not Sampled")))</f>
        <v>Not Sampled</v>
      </c>
      <c r="V585" s="1" t="str">
        <f>IF(U585="Not Sampled","Not Sampled",IF(S585=U585,"Accurate Prediction","Inaccurate Prediction"))</f>
        <v>Not Sampled</v>
      </c>
    </row>
    <row r="586" spans="1:22" x14ac:dyDescent="0.25">
      <c r="A586" s="1">
        <v>584</v>
      </c>
      <c r="B586" s="1">
        <v>8</v>
      </c>
      <c r="C586" s="1" t="str">
        <f>LOOKUP(B586,Sheet2!$D$4:$E$9)</f>
        <v>8+</v>
      </c>
      <c r="D586" s="1">
        <v>124</v>
      </c>
      <c r="E586" t="str">
        <f>LOOKUP(D586,Sheet2!$G$4:$H$9)</f>
        <v>100-125</v>
      </c>
      <c r="F586" s="1">
        <v>76</v>
      </c>
      <c r="G586" t="str">
        <f>LOOKUP(F586,Sheet2!$J$4:$K$8)</f>
        <v>70-79</v>
      </c>
      <c r="H586" s="1">
        <v>24</v>
      </c>
      <c r="I586" t="str">
        <f>LOOKUP(H586,Sheet2!$M$4:$N$8)</f>
        <v>10-30</v>
      </c>
      <c r="J586" s="1">
        <v>600</v>
      </c>
      <c r="K586" t="str">
        <f>LOOKUP(J586,Sheet2!$P$4:$Q$9)</f>
        <v>500+</v>
      </c>
      <c r="L586" s="1">
        <v>28.7</v>
      </c>
      <c r="M586" t="str">
        <f>LOOKUP(L586,Sheet2!$S$4:$T$8)</f>
        <v>26-30</v>
      </c>
      <c r="N586" s="1">
        <v>0.68700000000000006</v>
      </c>
      <c r="O586" t="str">
        <f>LOOKUP(N586,Sheet2!$V$4:$W$7)</f>
        <v>0.4 - 0.69</v>
      </c>
      <c r="P586" s="1">
        <v>52</v>
      </c>
      <c r="Q586" t="str">
        <f>LOOKUP(P586,Sheet2!$Z$4:$AA$7)</f>
        <v>46+</v>
      </c>
      <c r="R586" s="1">
        <v>1</v>
      </c>
      <c r="S586" t="str">
        <f>IF(R586=1,"Positive","Negative")</f>
        <v>Positive</v>
      </c>
      <c r="T586" s="1" t="str">
        <f>IFERROR(VLOOKUP(A586,[1]diabetes_Recognition!$A:$B,2,FALSE),"Not Sampled")</f>
        <v>Not Sampled</v>
      </c>
      <c r="U586" t="str">
        <f>IF(T586=1,"Positive",(IF(T586=0,"Negative","Not Sampled")))</f>
        <v>Not Sampled</v>
      </c>
      <c r="V586" s="1" t="str">
        <f>IF(U586="Not Sampled","Not Sampled",IF(S586=U586,"Accurate Prediction","Inaccurate Prediction"))</f>
        <v>Not Sampled</v>
      </c>
    </row>
    <row r="587" spans="1:22" x14ac:dyDescent="0.25">
      <c r="A587" s="1">
        <v>585</v>
      </c>
      <c r="B587" s="1">
        <v>1</v>
      </c>
      <c r="C587" s="1">
        <f>LOOKUP(B587,Sheet2!$D$4:$E$9)</f>
        <v>1</v>
      </c>
      <c r="D587" s="1">
        <v>93</v>
      </c>
      <c r="E587" t="str">
        <f>LOOKUP(D587,Sheet2!$G$4:$H$9)</f>
        <v>1-99</v>
      </c>
      <c r="F587" s="1">
        <v>56</v>
      </c>
      <c r="G587" t="str">
        <f>LOOKUP(F587,Sheet2!$J$4:$K$8)</f>
        <v>1-59</v>
      </c>
      <c r="H587" s="1">
        <v>11</v>
      </c>
      <c r="I587" t="str">
        <f>LOOKUP(H587,Sheet2!$M$4:$N$8)</f>
        <v>10-30</v>
      </c>
      <c r="J587" s="1">
        <v>0</v>
      </c>
      <c r="K587" t="str">
        <f>LOOKUP(J587,Sheet2!$P$4:$Q$9)</f>
        <v>Unknown</v>
      </c>
      <c r="L587" s="1">
        <v>22.5</v>
      </c>
      <c r="M587" t="str">
        <f>LOOKUP(L587,Sheet2!$S$4:$T$8)</f>
        <v>1-25</v>
      </c>
      <c r="N587" s="1">
        <v>0.41699999999999998</v>
      </c>
      <c r="O587" t="str">
        <f>LOOKUP(N587,Sheet2!$V$4:$W$7)</f>
        <v>0.4 - 0.69</v>
      </c>
      <c r="P587" s="1">
        <v>22</v>
      </c>
      <c r="Q587" t="str">
        <f>LOOKUP(P587,Sheet2!$Z$4:$AA$7)</f>
        <v>&lt;=25</v>
      </c>
      <c r="R587" s="1">
        <v>0</v>
      </c>
      <c r="S587" t="str">
        <f>IF(R587=1,"Positive","Negative")</f>
        <v>Negative</v>
      </c>
      <c r="T587" s="1">
        <f>IFERROR(VLOOKUP(A587,[1]diabetes_Recognition!$A:$B,2,FALSE),"Not Sampled")</f>
        <v>0</v>
      </c>
      <c r="U587" t="str">
        <f>IF(T587=1,"Positive",(IF(T587=0,"Negative","Not Sampled")))</f>
        <v>Negative</v>
      </c>
      <c r="V587" s="1" t="str">
        <f>IF(U587="Not Sampled","Not Sampled",IF(S587=U587,"Accurate Prediction","Inaccurate Prediction"))</f>
        <v>Accurate Prediction</v>
      </c>
    </row>
    <row r="588" spans="1:22" x14ac:dyDescent="0.25">
      <c r="A588" s="1">
        <v>586</v>
      </c>
      <c r="B588" s="1">
        <v>8</v>
      </c>
      <c r="C588" s="1" t="str">
        <f>LOOKUP(B588,Sheet2!$D$4:$E$9)</f>
        <v>8+</v>
      </c>
      <c r="D588" s="1">
        <v>143</v>
      </c>
      <c r="E588" t="str">
        <f>LOOKUP(D588,Sheet2!$G$4:$H$9)</f>
        <v>126-150</v>
      </c>
      <c r="F588" s="1">
        <v>66</v>
      </c>
      <c r="G588" t="str">
        <f>LOOKUP(F588,Sheet2!$J$4:$K$8)</f>
        <v>60-69</v>
      </c>
      <c r="H588" s="1">
        <v>0</v>
      </c>
      <c r="I588" t="str">
        <f>LOOKUP(H588,Sheet2!$M$4:$N$8)</f>
        <v>Unknown</v>
      </c>
      <c r="J588" s="1">
        <v>0</v>
      </c>
      <c r="K588" t="str">
        <f>LOOKUP(J588,Sheet2!$P$4:$Q$9)</f>
        <v>Unknown</v>
      </c>
      <c r="L588" s="1">
        <v>34.9</v>
      </c>
      <c r="M588" t="str">
        <f>LOOKUP(L588,Sheet2!$S$4:$T$8)</f>
        <v>31-35</v>
      </c>
      <c r="N588" s="1">
        <v>0.129</v>
      </c>
      <c r="O588" t="str">
        <f>LOOKUP(N588,Sheet2!$V$4:$W$7)</f>
        <v>0.0 - 0.249</v>
      </c>
      <c r="P588" s="1">
        <v>41</v>
      </c>
      <c r="Q588" t="str">
        <f>LOOKUP(P588,Sheet2!$Z$4:$AA$7)</f>
        <v>36-45</v>
      </c>
      <c r="R588" s="1">
        <v>1</v>
      </c>
      <c r="S588" t="str">
        <f>IF(R588=1,"Positive","Negative")</f>
        <v>Positive</v>
      </c>
      <c r="T588" s="1" t="str">
        <f>IFERROR(VLOOKUP(A588,[1]diabetes_Recognition!$A:$B,2,FALSE),"Not Sampled")</f>
        <v>Not Sampled</v>
      </c>
      <c r="U588" t="str">
        <f>IF(T588=1,"Positive",(IF(T588=0,"Negative","Not Sampled")))</f>
        <v>Not Sampled</v>
      </c>
      <c r="V588" s="1" t="str">
        <f>IF(U588="Not Sampled","Not Sampled",IF(S588=U588,"Accurate Prediction","Inaccurate Prediction"))</f>
        <v>Not Sampled</v>
      </c>
    </row>
    <row r="589" spans="1:22" x14ac:dyDescent="0.25">
      <c r="A589" s="1">
        <v>587</v>
      </c>
      <c r="B589" s="1">
        <v>6</v>
      </c>
      <c r="C589" s="1" t="str">
        <f>LOOKUP(B589,Sheet2!$D$4:$E$9)</f>
        <v>5-7</v>
      </c>
      <c r="D589" s="1">
        <v>103</v>
      </c>
      <c r="E589" t="str">
        <f>LOOKUP(D589,Sheet2!$G$4:$H$9)</f>
        <v>100-125</v>
      </c>
      <c r="F589" s="1">
        <v>66</v>
      </c>
      <c r="G589" t="str">
        <f>LOOKUP(F589,Sheet2!$J$4:$K$8)</f>
        <v>60-69</v>
      </c>
      <c r="H589" s="1">
        <v>0</v>
      </c>
      <c r="I589" t="str">
        <f>LOOKUP(H589,Sheet2!$M$4:$N$8)</f>
        <v>Unknown</v>
      </c>
      <c r="J589" s="1">
        <v>0</v>
      </c>
      <c r="K589" t="str">
        <f>LOOKUP(J589,Sheet2!$P$4:$Q$9)</f>
        <v>Unknown</v>
      </c>
      <c r="L589" s="1">
        <v>24.3</v>
      </c>
      <c r="M589" t="str">
        <f>LOOKUP(L589,Sheet2!$S$4:$T$8)</f>
        <v>1-25</v>
      </c>
      <c r="N589" s="1">
        <v>0.249</v>
      </c>
      <c r="O589" t="str">
        <f>LOOKUP(N589,Sheet2!$V$4:$W$7)</f>
        <v>0.0 - 0.249</v>
      </c>
      <c r="P589" s="1">
        <v>29</v>
      </c>
      <c r="Q589" t="str">
        <f>LOOKUP(P589,Sheet2!$Z$4:$AA$7)</f>
        <v>26-35</v>
      </c>
      <c r="R589" s="1">
        <v>0</v>
      </c>
      <c r="S589" t="str">
        <f>IF(R589=1,"Positive","Negative")</f>
        <v>Negative</v>
      </c>
      <c r="T589" s="1">
        <f>IFERROR(VLOOKUP(A589,[1]diabetes_Recognition!$A:$B,2,FALSE),"Not Sampled")</f>
        <v>0</v>
      </c>
      <c r="U589" t="str">
        <f>IF(T589=1,"Positive",(IF(T589=0,"Negative","Not Sampled")))</f>
        <v>Negative</v>
      </c>
      <c r="V589" s="1" t="str">
        <f>IF(U589="Not Sampled","Not Sampled",IF(S589=U589,"Accurate Prediction","Inaccurate Prediction"))</f>
        <v>Accurate Prediction</v>
      </c>
    </row>
    <row r="590" spans="1:22" x14ac:dyDescent="0.25">
      <c r="A590" s="1">
        <v>588</v>
      </c>
      <c r="B590" s="1">
        <v>3</v>
      </c>
      <c r="C590" s="1" t="str">
        <f>LOOKUP(B590,Sheet2!$D$4:$E$9)</f>
        <v>3-4</v>
      </c>
      <c r="D590" s="1">
        <v>176</v>
      </c>
      <c r="E590" t="str">
        <f>LOOKUP(D590,Sheet2!$G$4:$H$9)</f>
        <v>176-200</v>
      </c>
      <c r="F590" s="1">
        <v>86</v>
      </c>
      <c r="G590" t="str">
        <f>LOOKUP(F590,Sheet2!$J$4:$K$8)</f>
        <v>80+</v>
      </c>
      <c r="H590" s="1">
        <v>27</v>
      </c>
      <c r="I590" t="str">
        <f>LOOKUP(H590,Sheet2!$M$4:$N$8)</f>
        <v>10-30</v>
      </c>
      <c r="J590" s="1">
        <v>156</v>
      </c>
      <c r="K590" t="str">
        <f>LOOKUP(J590,Sheet2!$P$4:$Q$9)</f>
        <v>100-199</v>
      </c>
      <c r="L590" s="1">
        <v>33.299999999999997</v>
      </c>
      <c r="M590" t="str">
        <f>LOOKUP(L590,Sheet2!$S$4:$T$8)</f>
        <v>31-35</v>
      </c>
      <c r="N590" s="1">
        <v>1.1539999999999999</v>
      </c>
      <c r="O590" t="str">
        <f>LOOKUP(N590,Sheet2!$V$4:$W$7)</f>
        <v>0.7+</v>
      </c>
      <c r="P590" s="1">
        <v>52</v>
      </c>
      <c r="Q590" t="str">
        <f>LOOKUP(P590,Sheet2!$Z$4:$AA$7)</f>
        <v>46+</v>
      </c>
      <c r="R590" s="1">
        <v>1</v>
      </c>
      <c r="S590" t="str">
        <f>IF(R590=1,"Positive","Negative")</f>
        <v>Positive</v>
      </c>
      <c r="T590" s="1" t="str">
        <f>IFERROR(VLOOKUP(A590,[1]diabetes_Recognition!$A:$B,2,FALSE),"Not Sampled")</f>
        <v>Not Sampled</v>
      </c>
      <c r="U590" t="str">
        <f>IF(T590=1,"Positive",(IF(T590=0,"Negative","Not Sampled")))</f>
        <v>Not Sampled</v>
      </c>
      <c r="V590" s="1" t="str">
        <f>IF(U590="Not Sampled","Not Sampled",IF(S590=U590,"Accurate Prediction","Inaccurate Prediction"))</f>
        <v>Not Sampled</v>
      </c>
    </row>
    <row r="591" spans="1:22" x14ac:dyDescent="0.25">
      <c r="A591" s="1">
        <v>589</v>
      </c>
      <c r="B591" s="1">
        <v>0</v>
      </c>
      <c r="C591" s="1">
        <f>LOOKUP(B591,Sheet2!$D$4:$E$9)</f>
        <v>0</v>
      </c>
      <c r="D591" s="1">
        <v>73</v>
      </c>
      <c r="E591" t="str">
        <f>LOOKUP(D591,Sheet2!$G$4:$H$9)</f>
        <v>1-99</v>
      </c>
      <c r="F591" s="1">
        <v>0</v>
      </c>
      <c r="G591" t="str">
        <f>LOOKUP(F591,Sheet2!$J$4:$K$8)</f>
        <v>Unknown</v>
      </c>
      <c r="H591" s="1">
        <v>0</v>
      </c>
      <c r="I591" t="str">
        <f>LOOKUP(H591,Sheet2!$M$4:$N$8)</f>
        <v>Unknown</v>
      </c>
      <c r="J591" s="1">
        <v>0</v>
      </c>
      <c r="K591" t="str">
        <f>LOOKUP(J591,Sheet2!$P$4:$Q$9)</f>
        <v>Unknown</v>
      </c>
      <c r="L591" s="1">
        <v>21.1</v>
      </c>
      <c r="M591" t="str">
        <f>LOOKUP(L591,Sheet2!$S$4:$T$8)</f>
        <v>1-25</v>
      </c>
      <c r="N591" s="1">
        <v>0.34200000000000003</v>
      </c>
      <c r="O591" t="str">
        <f>LOOKUP(N591,Sheet2!$V$4:$W$7)</f>
        <v>0.25 - 0.39</v>
      </c>
      <c r="P591" s="1">
        <v>25</v>
      </c>
      <c r="Q591" t="str">
        <f>LOOKUP(P591,Sheet2!$Z$4:$AA$7)</f>
        <v>&lt;=25</v>
      </c>
      <c r="R591" s="1">
        <v>0</v>
      </c>
      <c r="S591" t="str">
        <f>IF(R591=1,"Positive","Negative")</f>
        <v>Negative</v>
      </c>
      <c r="T591" s="1">
        <f>IFERROR(VLOOKUP(A591,[1]diabetes_Recognition!$A:$B,2,FALSE),"Not Sampled")</f>
        <v>0</v>
      </c>
      <c r="U591" t="str">
        <f>IF(T591=1,"Positive",(IF(T591=0,"Negative","Not Sampled")))</f>
        <v>Negative</v>
      </c>
      <c r="V591" s="1" t="str">
        <f>IF(U591="Not Sampled","Not Sampled",IF(S591=U591,"Accurate Prediction","Inaccurate Prediction"))</f>
        <v>Accurate Prediction</v>
      </c>
    </row>
    <row r="592" spans="1:22" x14ac:dyDescent="0.25">
      <c r="A592" s="1">
        <v>590</v>
      </c>
      <c r="B592" s="1">
        <v>11</v>
      </c>
      <c r="C592" s="1" t="str">
        <f>LOOKUP(B592,Sheet2!$D$4:$E$9)</f>
        <v>8+</v>
      </c>
      <c r="D592" s="1">
        <v>111</v>
      </c>
      <c r="E592" t="str">
        <f>LOOKUP(D592,Sheet2!$G$4:$H$9)</f>
        <v>100-125</v>
      </c>
      <c r="F592" s="1">
        <v>84</v>
      </c>
      <c r="G592" t="str">
        <f>LOOKUP(F592,Sheet2!$J$4:$K$8)</f>
        <v>80+</v>
      </c>
      <c r="H592" s="1">
        <v>40</v>
      </c>
      <c r="I592" t="str">
        <f>LOOKUP(H592,Sheet2!$M$4:$N$8)</f>
        <v>40+</v>
      </c>
      <c r="J592" s="1">
        <v>0</v>
      </c>
      <c r="K592" t="str">
        <f>LOOKUP(J592,Sheet2!$P$4:$Q$9)</f>
        <v>Unknown</v>
      </c>
      <c r="L592" s="1">
        <v>46.8</v>
      </c>
      <c r="M592" t="str">
        <f>LOOKUP(L592,Sheet2!$S$4:$T$8)</f>
        <v>36+</v>
      </c>
      <c r="N592" s="1">
        <v>0.92500000000000004</v>
      </c>
      <c r="O592" t="str">
        <f>LOOKUP(N592,Sheet2!$V$4:$W$7)</f>
        <v>0.7+</v>
      </c>
      <c r="P592" s="1">
        <v>45</v>
      </c>
      <c r="Q592" t="str">
        <f>LOOKUP(P592,Sheet2!$Z$4:$AA$7)</f>
        <v>36-45</v>
      </c>
      <c r="R592" s="1">
        <v>1</v>
      </c>
      <c r="S592" t="str">
        <f>IF(R592=1,"Positive","Negative")</f>
        <v>Positive</v>
      </c>
      <c r="T592" s="1" t="str">
        <f>IFERROR(VLOOKUP(A592,[1]diabetes_Recognition!$A:$B,2,FALSE),"Not Sampled")</f>
        <v>Not Sampled</v>
      </c>
      <c r="U592" t="str">
        <f>IF(T592=1,"Positive",(IF(T592=0,"Negative","Not Sampled")))</f>
        <v>Not Sampled</v>
      </c>
      <c r="V592" s="1" t="str">
        <f>IF(U592="Not Sampled","Not Sampled",IF(S592=U592,"Accurate Prediction","Inaccurate Prediction"))</f>
        <v>Not Sampled</v>
      </c>
    </row>
    <row r="593" spans="1:22" x14ac:dyDescent="0.25">
      <c r="A593" s="1">
        <v>591</v>
      </c>
      <c r="B593" s="1">
        <v>2</v>
      </c>
      <c r="C593" s="1">
        <f>LOOKUP(B593,Sheet2!$D$4:$E$9)</f>
        <v>2</v>
      </c>
      <c r="D593" s="1">
        <v>112</v>
      </c>
      <c r="E593" t="str">
        <f>LOOKUP(D593,Sheet2!$G$4:$H$9)</f>
        <v>100-125</v>
      </c>
      <c r="F593" s="1">
        <v>78</v>
      </c>
      <c r="G593" t="str">
        <f>LOOKUP(F593,Sheet2!$J$4:$K$8)</f>
        <v>70-79</v>
      </c>
      <c r="H593" s="1">
        <v>50</v>
      </c>
      <c r="I593" t="str">
        <f>LOOKUP(H593,Sheet2!$M$4:$N$8)</f>
        <v>40+</v>
      </c>
      <c r="J593" s="1">
        <v>140</v>
      </c>
      <c r="K593" t="str">
        <f>LOOKUP(J593,Sheet2!$P$4:$Q$9)</f>
        <v>100-199</v>
      </c>
      <c r="L593" s="1">
        <v>39.4</v>
      </c>
      <c r="M593" t="str">
        <f>LOOKUP(L593,Sheet2!$S$4:$T$8)</f>
        <v>36+</v>
      </c>
      <c r="N593" s="1">
        <v>0.17499999999999999</v>
      </c>
      <c r="O593" t="str">
        <f>LOOKUP(N593,Sheet2!$V$4:$W$7)</f>
        <v>0.0 - 0.249</v>
      </c>
      <c r="P593" s="1">
        <v>24</v>
      </c>
      <c r="Q593" t="str">
        <f>LOOKUP(P593,Sheet2!$Z$4:$AA$7)</f>
        <v>&lt;=25</v>
      </c>
      <c r="R593" s="1">
        <v>0</v>
      </c>
      <c r="S593" t="str">
        <f>IF(R593=1,"Positive","Negative")</f>
        <v>Negative</v>
      </c>
      <c r="T593" s="1" t="str">
        <f>IFERROR(VLOOKUP(A593,[1]diabetes_Recognition!$A:$B,2,FALSE),"Not Sampled")</f>
        <v>Not Sampled</v>
      </c>
      <c r="U593" t="str">
        <f>IF(T593=1,"Positive",(IF(T593=0,"Negative","Not Sampled")))</f>
        <v>Not Sampled</v>
      </c>
      <c r="V593" s="1" t="str">
        <f>IF(U593="Not Sampled","Not Sampled",IF(S593=U593,"Accurate Prediction","Inaccurate Prediction"))</f>
        <v>Not Sampled</v>
      </c>
    </row>
    <row r="594" spans="1:22" x14ac:dyDescent="0.25">
      <c r="A594" s="1">
        <v>592</v>
      </c>
      <c r="B594" s="1">
        <v>3</v>
      </c>
      <c r="C594" s="1" t="str">
        <f>LOOKUP(B594,Sheet2!$D$4:$E$9)</f>
        <v>3-4</v>
      </c>
      <c r="D594" s="1">
        <v>132</v>
      </c>
      <c r="E594" t="str">
        <f>LOOKUP(D594,Sheet2!$G$4:$H$9)</f>
        <v>126-150</v>
      </c>
      <c r="F594" s="1">
        <v>80</v>
      </c>
      <c r="G594" t="str">
        <f>LOOKUP(F594,Sheet2!$J$4:$K$8)</f>
        <v>80+</v>
      </c>
      <c r="H594" s="1">
        <v>0</v>
      </c>
      <c r="I594" t="str">
        <f>LOOKUP(H594,Sheet2!$M$4:$N$8)</f>
        <v>Unknown</v>
      </c>
      <c r="J594" s="1">
        <v>0</v>
      </c>
      <c r="K594" t="str">
        <f>LOOKUP(J594,Sheet2!$P$4:$Q$9)</f>
        <v>Unknown</v>
      </c>
      <c r="L594" s="1">
        <v>34.4</v>
      </c>
      <c r="M594" t="str">
        <f>LOOKUP(L594,Sheet2!$S$4:$T$8)</f>
        <v>31-35</v>
      </c>
      <c r="N594" s="1">
        <v>0.40200000000000002</v>
      </c>
      <c r="O594" t="str">
        <f>LOOKUP(N594,Sheet2!$V$4:$W$7)</f>
        <v>0.4 - 0.69</v>
      </c>
      <c r="P594" s="1">
        <v>44</v>
      </c>
      <c r="Q594" t="str">
        <f>LOOKUP(P594,Sheet2!$Z$4:$AA$7)</f>
        <v>36-45</v>
      </c>
      <c r="R594" s="1">
        <v>1</v>
      </c>
      <c r="S594" t="str">
        <f>IF(R594=1,"Positive","Negative")</f>
        <v>Positive</v>
      </c>
      <c r="T594" s="1">
        <f>IFERROR(VLOOKUP(A594,[1]diabetes_Recognition!$A:$B,2,FALSE),"Not Sampled")</f>
        <v>0</v>
      </c>
      <c r="U594" t="str">
        <f>IF(T594=1,"Positive",(IF(T594=0,"Negative","Not Sampled")))</f>
        <v>Negative</v>
      </c>
      <c r="V594" s="1" t="str">
        <f>IF(U594="Not Sampled","Not Sampled",IF(S594=U594,"Accurate Prediction","Inaccurate Prediction"))</f>
        <v>Inaccurate Prediction</v>
      </c>
    </row>
    <row r="595" spans="1:22" x14ac:dyDescent="0.25">
      <c r="A595" s="1">
        <v>593</v>
      </c>
      <c r="B595" s="1">
        <v>2</v>
      </c>
      <c r="C595" s="1">
        <f>LOOKUP(B595,Sheet2!$D$4:$E$9)</f>
        <v>2</v>
      </c>
      <c r="D595" s="1">
        <v>82</v>
      </c>
      <c r="E595" t="str">
        <f>LOOKUP(D595,Sheet2!$G$4:$H$9)</f>
        <v>1-99</v>
      </c>
      <c r="F595" s="1">
        <v>52</v>
      </c>
      <c r="G595" t="str">
        <f>LOOKUP(F595,Sheet2!$J$4:$K$8)</f>
        <v>1-59</v>
      </c>
      <c r="H595" s="1">
        <v>22</v>
      </c>
      <c r="I595" t="str">
        <f>LOOKUP(H595,Sheet2!$M$4:$N$8)</f>
        <v>10-30</v>
      </c>
      <c r="J595" s="1">
        <v>115</v>
      </c>
      <c r="K595" t="str">
        <f>LOOKUP(J595,Sheet2!$P$4:$Q$9)</f>
        <v>100-199</v>
      </c>
      <c r="L595" s="1">
        <v>28.5</v>
      </c>
      <c r="M595" t="str">
        <f>LOOKUP(L595,Sheet2!$S$4:$T$8)</f>
        <v>26-30</v>
      </c>
      <c r="N595" s="1">
        <v>1.6990000000000001</v>
      </c>
      <c r="O595" t="str">
        <f>LOOKUP(N595,Sheet2!$V$4:$W$7)</f>
        <v>0.7+</v>
      </c>
      <c r="P595" s="1">
        <v>25</v>
      </c>
      <c r="Q595" t="str">
        <f>LOOKUP(P595,Sheet2!$Z$4:$AA$7)</f>
        <v>&lt;=25</v>
      </c>
      <c r="R595" s="1">
        <v>0</v>
      </c>
      <c r="S595" t="str">
        <f>IF(R595=1,"Positive","Negative")</f>
        <v>Negative</v>
      </c>
      <c r="T595" s="1" t="str">
        <f>IFERROR(VLOOKUP(A595,[1]diabetes_Recognition!$A:$B,2,FALSE),"Not Sampled")</f>
        <v>Not Sampled</v>
      </c>
      <c r="U595" t="str">
        <f>IF(T595=1,"Positive",(IF(T595=0,"Negative","Not Sampled")))</f>
        <v>Not Sampled</v>
      </c>
      <c r="V595" s="1" t="str">
        <f>IF(U595="Not Sampled","Not Sampled",IF(S595=U595,"Accurate Prediction","Inaccurate Prediction"))</f>
        <v>Not Sampled</v>
      </c>
    </row>
    <row r="596" spans="1:22" x14ac:dyDescent="0.25">
      <c r="A596" s="1">
        <v>594</v>
      </c>
      <c r="B596" s="1">
        <v>6</v>
      </c>
      <c r="C596" s="1" t="str">
        <f>LOOKUP(B596,Sheet2!$D$4:$E$9)</f>
        <v>5-7</v>
      </c>
      <c r="D596" s="1">
        <v>123</v>
      </c>
      <c r="E596" t="str">
        <f>LOOKUP(D596,Sheet2!$G$4:$H$9)</f>
        <v>100-125</v>
      </c>
      <c r="F596" s="1">
        <v>72</v>
      </c>
      <c r="G596" t="str">
        <f>LOOKUP(F596,Sheet2!$J$4:$K$8)</f>
        <v>70-79</v>
      </c>
      <c r="H596" s="1">
        <v>45</v>
      </c>
      <c r="I596" t="str">
        <f>LOOKUP(H596,Sheet2!$M$4:$N$8)</f>
        <v>40+</v>
      </c>
      <c r="J596" s="1">
        <v>230</v>
      </c>
      <c r="K596" t="str">
        <f>LOOKUP(J596,Sheet2!$P$4:$Q$9)</f>
        <v>200-399</v>
      </c>
      <c r="L596" s="1">
        <v>33.6</v>
      </c>
      <c r="M596" t="str">
        <f>LOOKUP(L596,Sheet2!$S$4:$T$8)</f>
        <v>31-35</v>
      </c>
      <c r="N596" s="1">
        <v>0.73299999999999998</v>
      </c>
      <c r="O596" t="str">
        <f>LOOKUP(N596,Sheet2!$V$4:$W$7)</f>
        <v>0.7+</v>
      </c>
      <c r="P596" s="1">
        <v>34</v>
      </c>
      <c r="Q596" t="str">
        <f>LOOKUP(P596,Sheet2!$Z$4:$AA$7)</f>
        <v>26-35</v>
      </c>
      <c r="R596" s="1">
        <v>0</v>
      </c>
      <c r="S596" t="str">
        <f>IF(R596=1,"Positive","Negative")</f>
        <v>Negative</v>
      </c>
      <c r="T596" s="1" t="str">
        <f>IFERROR(VLOOKUP(A596,[1]diabetes_Recognition!$A:$B,2,FALSE),"Not Sampled")</f>
        <v>Not Sampled</v>
      </c>
      <c r="U596" t="str">
        <f>IF(T596=1,"Positive",(IF(T596=0,"Negative","Not Sampled")))</f>
        <v>Not Sampled</v>
      </c>
      <c r="V596" s="1" t="str">
        <f>IF(U596="Not Sampled","Not Sampled",IF(S596=U596,"Accurate Prediction","Inaccurate Prediction"))</f>
        <v>Not Sampled</v>
      </c>
    </row>
    <row r="597" spans="1:22" x14ac:dyDescent="0.25">
      <c r="A597" s="1">
        <v>595</v>
      </c>
      <c r="B597" s="1">
        <v>0</v>
      </c>
      <c r="C597" s="1">
        <f>LOOKUP(B597,Sheet2!$D$4:$E$9)</f>
        <v>0</v>
      </c>
      <c r="D597" s="1">
        <v>188</v>
      </c>
      <c r="E597" t="str">
        <f>LOOKUP(D597,Sheet2!$G$4:$H$9)</f>
        <v>176-200</v>
      </c>
      <c r="F597" s="1">
        <v>82</v>
      </c>
      <c r="G597" t="str">
        <f>LOOKUP(F597,Sheet2!$J$4:$K$8)</f>
        <v>80+</v>
      </c>
      <c r="H597" s="1">
        <v>14</v>
      </c>
      <c r="I597" t="str">
        <f>LOOKUP(H597,Sheet2!$M$4:$N$8)</f>
        <v>10-30</v>
      </c>
      <c r="J597" s="1">
        <v>185</v>
      </c>
      <c r="K597" t="str">
        <f>LOOKUP(J597,Sheet2!$P$4:$Q$9)</f>
        <v>100-199</v>
      </c>
      <c r="L597" s="1">
        <v>32</v>
      </c>
      <c r="M597" t="str">
        <f>LOOKUP(L597,Sheet2!$S$4:$T$8)</f>
        <v>31-35</v>
      </c>
      <c r="N597" s="1">
        <v>0.68200000000000005</v>
      </c>
      <c r="O597" t="str">
        <f>LOOKUP(N597,Sheet2!$V$4:$W$7)</f>
        <v>0.4 - 0.69</v>
      </c>
      <c r="P597" s="1">
        <v>22</v>
      </c>
      <c r="Q597" t="str">
        <f>LOOKUP(P597,Sheet2!$Z$4:$AA$7)</f>
        <v>&lt;=25</v>
      </c>
      <c r="R597" s="1">
        <v>1</v>
      </c>
      <c r="S597" t="str">
        <f>IF(R597=1,"Positive","Negative")</f>
        <v>Positive</v>
      </c>
      <c r="T597" s="1" t="str">
        <f>IFERROR(VLOOKUP(A597,[1]diabetes_Recognition!$A:$B,2,FALSE),"Not Sampled")</f>
        <v>Not Sampled</v>
      </c>
      <c r="U597" t="str">
        <f>IF(T597=1,"Positive",(IF(T597=0,"Negative","Not Sampled")))</f>
        <v>Not Sampled</v>
      </c>
      <c r="V597" s="1" t="str">
        <f>IF(U597="Not Sampled","Not Sampled",IF(S597=U597,"Accurate Prediction","Inaccurate Prediction"))</f>
        <v>Not Sampled</v>
      </c>
    </row>
    <row r="598" spans="1:22" x14ac:dyDescent="0.25">
      <c r="A598" s="1">
        <v>596</v>
      </c>
      <c r="B598" s="1">
        <v>0</v>
      </c>
      <c r="C598" s="1">
        <f>LOOKUP(B598,Sheet2!$D$4:$E$9)</f>
        <v>0</v>
      </c>
      <c r="D598" s="1">
        <v>67</v>
      </c>
      <c r="E598" t="str">
        <f>LOOKUP(D598,Sheet2!$G$4:$H$9)</f>
        <v>1-99</v>
      </c>
      <c r="F598" s="1">
        <v>76</v>
      </c>
      <c r="G598" t="str">
        <f>LOOKUP(F598,Sheet2!$J$4:$K$8)</f>
        <v>70-79</v>
      </c>
      <c r="H598" s="1">
        <v>0</v>
      </c>
      <c r="I598" t="str">
        <f>LOOKUP(H598,Sheet2!$M$4:$N$8)</f>
        <v>Unknown</v>
      </c>
      <c r="J598" s="1">
        <v>0</v>
      </c>
      <c r="K598" t="str">
        <f>LOOKUP(J598,Sheet2!$P$4:$Q$9)</f>
        <v>Unknown</v>
      </c>
      <c r="L598" s="1">
        <v>45.3</v>
      </c>
      <c r="M598" t="str">
        <f>LOOKUP(L598,Sheet2!$S$4:$T$8)</f>
        <v>36+</v>
      </c>
      <c r="N598" s="1">
        <v>0.19400000000000001</v>
      </c>
      <c r="O598" t="str">
        <f>LOOKUP(N598,Sheet2!$V$4:$W$7)</f>
        <v>0.0 - 0.249</v>
      </c>
      <c r="P598" s="1">
        <v>46</v>
      </c>
      <c r="Q598" t="str">
        <f>LOOKUP(P598,Sheet2!$Z$4:$AA$7)</f>
        <v>46+</v>
      </c>
      <c r="R598" s="1">
        <v>0</v>
      </c>
      <c r="S598" t="str">
        <f>IF(R598=1,"Positive","Negative")</f>
        <v>Negative</v>
      </c>
      <c r="T598" s="1">
        <f>IFERROR(VLOOKUP(A598,[1]diabetes_Recognition!$A:$B,2,FALSE),"Not Sampled")</f>
        <v>0</v>
      </c>
      <c r="U598" t="str">
        <f>IF(T598=1,"Positive",(IF(T598=0,"Negative","Not Sampled")))</f>
        <v>Negative</v>
      </c>
      <c r="V598" s="1" t="str">
        <f>IF(U598="Not Sampled","Not Sampled",IF(S598=U598,"Accurate Prediction","Inaccurate Prediction"))</f>
        <v>Accurate Prediction</v>
      </c>
    </row>
    <row r="599" spans="1:22" x14ac:dyDescent="0.25">
      <c r="A599" s="1">
        <v>597</v>
      </c>
      <c r="B599" s="1">
        <v>1</v>
      </c>
      <c r="C599" s="1">
        <f>LOOKUP(B599,Sheet2!$D$4:$E$9)</f>
        <v>1</v>
      </c>
      <c r="D599" s="1">
        <v>89</v>
      </c>
      <c r="E599" t="str">
        <f>LOOKUP(D599,Sheet2!$G$4:$H$9)</f>
        <v>1-99</v>
      </c>
      <c r="F599" s="1">
        <v>24</v>
      </c>
      <c r="G599" t="str">
        <f>LOOKUP(F599,Sheet2!$J$4:$K$8)</f>
        <v>1-59</v>
      </c>
      <c r="H599" s="1">
        <v>19</v>
      </c>
      <c r="I599" t="str">
        <f>LOOKUP(H599,Sheet2!$M$4:$N$8)</f>
        <v>10-30</v>
      </c>
      <c r="J599" s="1">
        <v>25</v>
      </c>
      <c r="K599" t="str">
        <f>LOOKUP(J599,Sheet2!$P$4:$Q$9)</f>
        <v>1-99</v>
      </c>
      <c r="L599" s="1">
        <v>27.8</v>
      </c>
      <c r="M599" t="str">
        <f>LOOKUP(L599,Sheet2!$S$4:$T$8)</f>
        <v>26-30</v>
      </c>
      <c r="N599" s="1">
        <v>0.55900000000000005</v>
      </c>
      <c r="O599" t="str">
        <f>LOOKUP(N599,Sheet2!$V$4:$W$7)</f>
        <v>0.4 - 0.69</v>
      </c>
      <c r="P599" s="1">
        <v>21</v>
      </c>
      <c r="Q599" t="str">
        <f>LOOKUP(P599,Sheet2!$Z$4:$AA$7)</f>
        <v>&lt;=25</v>
      </c>
      <c r="R599" s="1">
        <v>0</v>
      </c>
      <c r="S599" t="str">
        <f>IF(R599=1,"Positive","Negative")</f>
        <v>Negative</v>
      </c>
      <c r="T599" s="1" t="str">
        <f>IFERROR(VLOOKUP(A599,[1]diabetes_Recognition!$A:$B,2,FALSE),"Not Sampled")</f>
        <v>Not Sampled</v>
      </c>
      <c r="U599" t="str">
        <f>IF(T599=1,"Positive",(IF(T599=0,"Negative","Not Sampled")))</f>
        <v>Not Sampled</v>
      </c>
      <c r="V599" s="1" t="str">
        <f>IF(U599="Not Sampled","Not Sampled",IF(S599=U599,"Accurate Prediction","Inaccurate Prediction"))</f>
        <v>Not Sampled</v>
      </c>
    </row>
    <row r="600" spans="1:22" x14ac:dyDescent="0.25">
      <c r="A600" s="1">
        <v>598</v>
      </c>
      <c r="B600" s="1">
        <v>1</v>
      </c>
      <c r="C600" s="1">
        <f>LOOKUP(B600,Sheet2!$D$4:$E$9)</f>
        <v>1</v>
      </c>
      <c r="D600" s="1">
        <v>173</v>
      </c>
      <c r="E600" t="str">
        <f>LOOKUP(D600,Sheet2!$G$4:$H$9)</f>
        <v>151-175</v>
      </c>
      <c r="F600" s="1">
        <v>74</v>
      </c>
      <c r="G600" t="str">
        <f>LOOKUP(F600,Sheet2!$J$4:$K$8)</f>
        <v>70-79</v>
      </c>
      <c r="H600" s="1">
        <v>0</v>
      </c>
      <c r="I600" t="str">
        <f>LOOKUP(H600,Sheet2!$M$4:$N$8)</f>
        <v>Unknown</v>
      </c>
      <c r="J600" s="1">
        <v>0</v>
      </c>
      <c r="K600" t="str">
        <f>LOOKUP(J600,Sheet2!$P$4:$Q$9)</f>
        <v>Unknown</v>
      </c>
      <c r="L600" s="1">
        <v>36.799999999999997</v>
      </c>
      <c r="M600" t="str">
        <f>LOOKUP(L600,Sheet2!$S$4:$T$8)</f>
        <v>36+</v>
      </c>
      <c r="N600" s="1">
        <v>8.7999999999999995E-2</v>
      </c>
      <c r="O600" t="str">
        <f>LOOKUP(N600,Sheet2!$V$4:$W$7)</f>
        <v>0.0 - 0.249</v>
      </c>
      <c r="P600" s="1">
        <v>38</v>
      </c>
      <c r="Q600" t="str">
        <f>LOOKUP(P600,Sheet2!$Z$4:$AA$7)</f>
        <v>36-45</v>
      </c>
      <c r="R600" s="1">
        <v>1</v>
      </c>
      <c r="S600" t="str">
        <f>IF(R600=1,"Positive","Negative")</f>
        <v>Positive</v>
      </c>
      <c r="T600" s="1">
        <f>IFERROR(VLOOKUP(A600,[1]diabetes_Recognition!$A:$B,2,FALSE),"Not Sampled")</f>
        <v>1</v>
      </c>
      <c r="U600" t="str">
        <f>IF(T600=1,"Positive",(IF(T600=0,"Negative","Not Sampled")))</f>
        <v>Positive</v>
      </c>
      <c r="V600" s="1" t="str">
        <f>IF(U600="Not Sampled","Not Sampled",IF(S600=U600,"Accurate Prediction","Inaccurate Prediction"))</f>
        <v>Accurate Prediction</v>
      </c>
    </row>
    <row r="601" spans="1:22" x14ac:dyDescent="0.25">
      <c r="A601" s="1">
        <v>599</v>
      </c>
      <c r="B601" s="1">
        <v>1</v>
      </c>
      <c r="C601" s="1">
        <f>LOOKUP(B601,Sheet2!$D$4:$E$9)</f>
        <v>1</v>
      </c>
      <c r="D601" s="1">
        <v>109</v>
      </c>
      <c r="E601" t="str">
        <f>LOOKUP(D601,Sheet2!$G$4:$H$9)</f>
        <v>100-125</v>
      </c>
      <c r="F601" s="1">
        <v>38</v>
      </c>
      <c r="G601" t="str">
        <f>LOOKUP(F601,Sheet2!$J$4:$K$8)</f>
        <v>1-59</v>
      </c>
      <c r="H601" s="1">
        <v>18</v>
      </c>
      <c r="I601" t="str">
        <f>LOOKUP(H601,Sheet2!$M$4:$N$8)</f>
        <v>10-30</v>
      </c>
      <c r="J601" s="1">
        <v>120</v>
      </c>
      <c r="K601" t="str">
        <f>LOOKUP(J601,Sheet2!$P$4:$Q$9)</f>
        <v>100-199</v>
      </c>
      <c r="L601" s="1">
        <v>23.1</v>
      </c>
      <c r="M601" t="str">
        <f>LOOKUP(L601,Sheet2!$S$4:$T$8)</f>
        <v>1-25</v>
      </c>
      <c r="N601" s="1">
        <v>0.40699999999999997</v>
      </c>
      <c r="O601" t="str">
        <f>LOOKUP(N601,Sheet2!$V$4:$W$7)</f>
        <v>0.4 - 0.69</v>
      </c>
      <c r="P601" s="1">
        <v>26</v>
      </c>
      <c r="Q601" t="str">
        <f>LOOKUP(P601,Sheet2!$Z$4:$AA$7)</f>
        <v>26-35</v>
      </c>
      <c r="R601" s="1">
        <v>0</v>
      </c>
      <c r="S601" t="str">
        <f>IF(R601=1,"Positive","Negative")</f>
        <v>Negative</v>
      </c>
      <c r="T601" s="1" t="str">
        <f>IFERROR(VLOOKUP(A601,[1]diabetes_Recognition!$A:$B,2,FALSE),"Not Sampled")</f>
        <v>Not Sampled</v>
      </c>
      <c r="U601" t="str">
        <f>IF(T601=1,"Positive",(IF(T601=0,"Negative","Not Sampled")))</f>
        <v>Not Sampled</v>
      </c>
      <c r="V601" s="1" t="str">
        <f>IF(U601="Not Sampled","Not Sampled",IF(S601=U601,"Accurate Prediction","Inaccurate Prediction"))</f>
        <v>Not Sampled</v>
      </c>
    </row>
    <row r="602" spans="1:22" x14ac:dyDescent="0.25">
      <c r="A602" s="1">
        <v>600</v>
      </c>
      <c r="B602" s="1">
        <v>1</v>
      </c>
      <c r="C602" s="1">
        <f>LOOKUP(B602,Sheet2!$D$4:$E$9)</f>
        <v>1</v>
      </c>
      <c r="D602" s="1">
        <v>108</v>
      </c>
      <c r="E602" t="str">
        <f>LOOKUP(D602,Sheet2!$G$4:$H$9)</f>
        <v>100-125</v>
      </c>
      <c r="F602" s="1">
        <v>88</v>
      </c>
      <c r="G602" t="str">
        <f>LOOKUP(F602,Sheet2!$J$4:$K$8)</f>
        <v>80+</v>
      </c>
      <c r="H602" s="1">
        <v>19</v>
      </c>
      <c r="I602" t="str">
        <f>LOOKUP(H602,Sheet2!$M$4:$N$8)</f>
        <v>10-30</v>
      </c>
      <c r="J602" s="1">
        <v>0</v>
      </c>
      <c r="K602" t="str">
        <f>LOOKUP(J602,Sheet2!$P$4:$Q$9)</f>
        <v>Unknown</v>
      </c>
      <c r="L602" s="1">
        <v>27.1</v>
      </c>
      <c r="M602" t="str">
        <f>LOOKUP(L602,Sheet2!$S$4:$T$8)</f>
        <v>26-30</v>
      </c>
      <c r="N602" s="1">
        <v>0.4</v>
      </c>
      <c r="O602" t="str">
        <f>LOOKUP(N602,Sheet2!$V$4:$W$7)</f>
        <v>0.4 - 0.69</v>
      </c>
      <c r="P602" s="1">
        <v>24</v>
      </c>
      <c r="Q602" t="str">
        <f>LOOKUP(P602,Sheet2!$Z$4:$AA$7)</f>
        <v>&lt;=25</v>
      </c>
      <c r="R602" s="1">
        <v>0</v>
      </c>
      <c r="S602" t="str">
        <f>IF(R602=1,"Positive","Negative")</f>
        <v>Negative</v>
      </c>
      <c r="T602" s="1" t="str">
        <f>IFERROR(VLOOKUP(A602,[1]diabetes_Recognition!$A:$B,2,FALSE),"Not Sampled")</f>
        <v>Not Sampled</v>
      </c>
      <c r="U602" t="str">
        <f>IF(T602=1,"Positive",(IF(T602=0,"Negative","Not Sampled")))</f>
        <v>Not Sampled</v>
      </c>
      <c r="V602" s="1" t="str">
        <f>IF(U602="Not Sampled","Not Sampled",IF(S602=U602,"Accurate Prediction","Inaccurate Prediction"))</f>
        <v>Not Sampled</v>
      </c>
    </row>
    <row r="603" spans="1:22" x14ac:dyDescent="0.25">
      <c r="A603" s="1">
        <v>601</v>
      </c>
      <c r="B603" s="1">
        <v>6</v>
      </c>
      <c r="C603" s="1" t="str">
        <f>LOOKUP(B603,Sheet2!$D$4:$E$9)</f>
        <v>5-7</v>
      </c>
      <c r="D603" s="1">
        <v>96</v>
      </c>
      <c r="E603" t="str">
        <f>LOOKUP(D603,Sheet2!$G$4:$H$9)</f>
        <v>1-99</v>
      </c>
      <c r="F603" s="1">
        <v>0</v>
      </c>
      <c r="G603" t="str">
        <f>LOOKUP(F603,Sheet2!$J$4:$K$8)</f>
        <v>Unknown</v>
      </c>
      <c r="H603" s="1">
        <v>0</v>
      </c>
      <c r="I603" t="str">
        <f>LOOKUP(H603,Sheet2!$M$4:$N$8)</f>
        <v>Unknown</v>
      </c>
      <c r="J603" s="1">
        <v>0</v>
      </c>
      <c r="K603" t="str">
        <f>LOOKUP(J603,Sheet2!$P$4:$Q$9)</f>
        <v>Unknown</v>
      </c>
      <c r="L603" s="1">
        <v>23.7</v>
      </c>
      <c r="M603" t="str">
        <f>LOOKUP(L603,Sheet2!$S$4:$T$8)</f>
        <v>1-25</v>
      </c>
      <c r="N603" s="1">
        <v>0.19</v>
      </c>
      <c r="O603" t="str">
        <f>LOOKUP(N603,Sheet2!$V$4:$W$7)</f>
        <v>0.0 - 0.249</v>
      </c>
      <c r="P603" s="1">
        <v>28</v>
      </c>
      <c r="Q603" t="str">
        <f>LOOKUP(P603,Sheet2!$Z$4:$AA$7)</f>
        <v>26-35</v>
      </c>
      <c r="R603" s="1">
        <v>0</v>
      </c>
      <c r="S603" t="str">
        <f>IF(R603=1,"Positive","Negative")</f>
        <v>Negative</v>
      </c>
      <c r="T603" s="1" t="str">
        <f>IFERROR(VLOOKUP(A603,[1]diabetes_Recognition!$A:$B,2,FALSE),"Not Sampled")</f>
        <v>Not Sampled</v>
      </c>
      <c r="U603" t="str">
        <f>IF(T603=1,"Positive",(IF(T603=0,"Negative","Not Sampled")))</f>
        <v>Not Sampled</v>
      </c>
      <c r="V603" s="1" t="str">
        <f>IF(U603="Not Sampled","Not Sampled",IF(S603=U603,"Accurate Prediction","Inaccurate Prediction"))</f>
        <v>Not Sampled</v>
      </c>
    </row>
    <row r="604" spans="1:22" x14ac:dyDescent="0.25">
      <c r="A604" s="1">
        <v>602</v>
      </c>
      <c r="B604" s="1">
        <v>1</v>
      </c>
      <c r="C604" s="1">
        <f>LOOKUP(B604,Sheet2!$D$4:$E$9)</f>
        <v>1</v>
      </c>
      <c r="D604" s="1">
        <v>124</v>
      </c>
      <c r="E604" t="str">
        <f>LOOKUP(D604,Sheet2!$G$4:$H$9)</f>
        <v>100-125</v>
      </c>
      <c r="F604" s="1">
        <v>74</v>
      </c>
      <c r="G604" t="str">
        <f>LOOKUP(F604,Sheet2!$J$4:$K$8)</f>
        <v>70-79</v>
      </c>
      <c r="H604" s="1">
        <v>36</v>
      </c>
      <c r="I604" t="str">
        <f>LOOKUP(H604,Sheet2!$M$4:$N$8)</f>
        <v>30-39</v>
      </c>
      <c r="J604" s="1">
        <v>0</v>
      </c>
      <c r="K604" t="str">
        <f>LOOKUP(J604,Sheet2!$P$4:$Q$9)</f>
        <v>Unknown</v>
      </c>
      <c r="L604" s="1">
        <v>27.8</v>
      </c>
      <c r="M604" t="str">
        <f>LOOKUP(L604,Sheet2!$S$4:$T$8)</f>
        <v>26-30</v>
      </c>
      <c r="N604" s="1">
        <v>0.1</v>
      </c>
      <c r="O604" t="str">
        <f>LOOKUP(N604,Sheet2!$V$4:$W$7)</f>
        <v>0.0 - 0.249</v>
      </c>
      <c r="P604" s="1">
        <v>30</v>
      </c>
      <c r="Q604" t="str">
        <f>LOOKUP(P604,Sheet2!$Z$4:$AA$7)</f>
        <v>26-35</v>
      </c>
      <c r="R604" s="1">
        <v>0</v>
      </c>
      <c r="S604" t="str">
        <f>IF(R604=1,"Positive","Negative")</f>
        <v>Negative</v>
      </c>
      <c r="T604" s="1">
        <f>IFERROR(VLOOKUP(A604,[1]diabetes_Recognition!$A:$B,2,FALSE),"Not Sampled")</f>
        <v>0</v>
      </c>
      <c r="U604" t="str">
        <f>IF(T604=1,"Positive",(IF(T604=0,"Negative","Not Sampled")))</f>
        <v>Negative</v>
      </c>
      <c r="V604" s="1" t="str">
        <f>IF(U604="Not Sampled","Not Sampled",IF(S604=U604,"Accurate Prediction","Inaccurate Prediction"))</f>
        <v>Accurate Prediction</v>
      </c>
    </row>
    <row r="605" spans="1:22" x14ac:dyDescent="0.25">
      <c r="A605" s="1">
        <v>603</v>
      </c>
      <c r="B605" s="1">
        <v>7</v>
      </c>
      <c r="C605" s="1" t="str">
        <f>LOOKUP(B605,Sheet2!$D$4:$E$9)</f>
        <v>5-7</v>
      </c>
      <c r="D605" s="1">
        <v>150</v>
      </c>
      <c r="E605" t="str">
        <f>LOOKUP(D605,Sheet2!$G$4:$H$9)</f>
        <v>126-150</v>
      </c>
      <c r="F605" s="1">
        <v>78</v>
      </c>
      <c r="G605" t="str">
        <f>LOOKUP(F605,Sheet2!$J$4:$K$8)</f>
        <v>70-79</v>
      </c>
      <c r="H605" s="1">
        <v>29</v>
      </c>
      <c r="I605" t="str">
        <f>LOOKUP(H605,Sheet2!$M$4:$N$8)</f>
        <v>10-30</v>
      </c>
      <c r="J605" s="1">
        <v>126</v>
      </c>
      <c r="K605" t="str">
        <f>LOOKUP(J605,Sheet2!$P$4:$Q$9)</f>
        <v>100-199</v>
      </c>
      <c r="L605" s="1">
        <v>35.200000000000003</v>
      </c>
      <c r="M605" t="str">
        <f>LOOKUP(L605,Sheet2!$S$4:$T$8)</f>
        <v>31-35</v>
      </c>
      <c r="N605" s="1">
        <v>0.69199999999999995</v>
      </c>
      <c r="O605" t="str">
        <f>LOOKUP(N605,Sheet2!$V$4:$W$7)</f>
        <v>0.4 - 0.69</v>
      </c>
      <c r="P605" s="1">
        <v>54</v>
      </c>
      <c r="Q605" t="str">
        <f>LOOKUP(P605,Sheet2!$Z$4:$AA$7)</f>
        <v>46+</v>
      </c>
      <c r="R605" s="1">
        <v>1</v>
      </c>
      <c r="S605" t="str">
        <f>IF(R605=1,"Positive","Negative")</f>
        <v>Positive</v>
      </c>
      <c r="T605" s="1" t="str">
        <f>IFERROR(VLOOKUP(A605,[1]diabetes_Recognition!$A:$B,2,FALSE),"Not Sampled")</f>
        <v>Not Sampled</v>
      </c>
      <c r="U605" t="str">
        <f>IF(T605=1,"Positive",(IF(T605=0,"Negative","Not Sampled")))</f>
        <v>Not Sampled</v>
      </c>
      <c r="V605" s="1" t="str">
        <f>IF(U605="Not Sampled","Not Sampled",IF(S605=U605,"Accurate Prediction","Inaccurate Prediction"))</f>
        <v>Not Sampled</v>
      </c>
    </row>
    <row r="606" spans="1:22" x14ac:dyDescent="0.25">
      <c r="A606" s="1">
        <v>604</v>
      </c>
      <c r="B606" s="1">
        <v>4</v>
      </c>
      <c r="C606" s="1" t="str">
        <f>LOOKUP(B606,Sheet2!$D$4:$E$9)</f>
        <v>3-4</v>
      </c>
      <c r="D606" s="1">
        <v>183</v>
      </c>
      <c r="E606" t="str">
        <f>LOOKUP(D606,Sheet2!$G$4:$H$9)</f>
        <v>176-200</v>
      </c>
      <c r="F606" s="1">
        <v>0</v>
      </c>
      <c r="G606" t="str">
        <f>LOOKUP(F606,Sheet2!$J$4:$K$8)</f>
        <v>Unknown</v>
      </c>
      <c r="H606" s="1">
        <v>0</v>
      </c>
      <c r="I606" t="str">
        <f>LOOKUP(H606,Sheet2!$M$4:$N$8)</f>
        <v>Unknown</v>
      </c>
      <c r="J606" s="1">
        <v>0</v>
      </c>
      <c r="K606" t="str">
        <f>LOOKUP(J606,Sheet2!$P$4:$Q$9)</f>
        <v>Unknown</v>
      </c>
      <c r="L606" s="1">
        <v>28.4</v>
      </c>
      <c r="M606" t="str">
        <f>LOOKUP(L606,Sheet2!$S$4:$T$8)</f>
        <v>26-30</v>
      </c>
      <c r="N606" s="1">
        <v>0.21199999999999999</v>
      </c>
      <c r="O606" t="str">
        <f>LOOKUP(N606,Sheet2!$V$4:$W$7)</f>
        <v>0.0 - 0.249</v>
      </c>
      <c r="P606" s="1">
        <v>36</v>
      </c>
      <c r="Q606" t="str">
        <f>LOOKUP(P606,Sheet2!$Z$4:$AA$7)</f>
        <v>36-45</v>
      </c>
      <c r="R606" s="1">
        <v>1</v>
      </c>
      <c r="S606" t="str">
        <f>IF(R606=1,"Positive","Negative")</f>
        <v>Positive</v>
      </c>
      <c r="T606" s="1" t="str">
        <f>IFERROR(VLOOKUP(A606,[1]diabetes_Recognition!$A:$B,2,FALSE),"Not Sampled")</f>
        <v>Not Sampled</v>
      </c>
      <c r="U606" t="str">
        <f>IF(T606=1,"Positive",(IF(T606=0,"Negative","Not Sampled")))</f>
        <v>Not Sampled</v>
      </c>
      <c r="V606" s="1" t="str">
        <f>IF(U606="Not Sampled","Not Sampled",IF(S606=U606,"Accurate Prediction","Inaccurate Prediction"))</f>
        <v>Not Sampled</v>
      </c>
    </row>
    <row r="607" spans="1:22" x14ac:dyDescent="0.25">
      <c r="A607" s="1">
        <v>605</v>
      </c>
      <c r="B607" s="1">
        <v>1</v>
      </c>
      <c r="C607" s="1">
        <f>LOOKUP(B607,Sheet2!$D$4:$E$9)</f>
        <v>1</v>
      </c>
      <c r="D607" s="1">
        <v>124</v>
      </c>
      <c r="E607" t="str">
        <f>LOOKUP(D607,Sheet2!$G$4:$H$9)</f>
        <v>100-125</v>
      </c>
      <c r="F607" s="1">
        <v>60</v>
      </c>
      <c r="G607" t="str">
        <f>LOOKUP(F607,Sheet2!$J$4:$K$8)</f>
        <v>60-69</v>
      </c>
      <c r="H607" s="1">
        <v>32</v>
      </c>
      <c r="I607" t="str">
        <f>LOOKUP(H607,Sheet2!$M$4:$N$8)</f>
        <v>30-39</v>
      </c>
      <c r="J607" s="1">
        <v>0</v>
      </c>
      <c r="K607" t="str">
        <f>LOOKUP(J607,Sheet2!$P$4:$Q$9)</f>
        <v>Unknown</v>
      </c>
      <c r="L607" s="1">
        <v>35.799999999999997</v>
      </c>
      <c r="M607" t="str">
        <f>LOOKUP(L607,Sheet2!$S$4:$T$8)</f>
        <v>31-35</v>
      </c>
      <c r="N607" s="1">
        <v>0.51400000000000001</v>
      </c>
      <c r="O607" t="str">
        <f>LOOKUP(N607,Sheet2!$V$4:$W$7)</f>
        <v>0.4 - 0.69</v>
      </c>
      <c r="P607" s="1">
        <v>21</v>
      </c>
      <c r="Q607" t="str">
        <f>LOOKUP(P607,Sheet2!$Z$4:$AA$7)</f>
        <v>&lt;=25</v>
      </c>
      <c r="R607" s="1">
        <v>0</v>
      </c>
      <c r="S607" t="str">
        <f>IF(R607=1,"Positive","Negative")</f>
        <v>Negative</v>
      </c>
      <c r="T607" s="1" t="str">
        <f>IFERROR(VLOOKUP(A607,[1]diabetes_Recognition!$A:$B,2,FALSE),"Not Sampled")</f>
        <v>Not Sampled</v>
      </c>
      <c r="U607" t="str">
        <f>IF(T607=1,"Positive",(IF(T607=0,"Negative","Not Sampled")))</f>
        <v>Not Sampled</v>
      </c>
      <c r="V607" s="1" t="str">
        <f>IF(U607="Not Sampled","Not Sampled",IF(S607=U607,"Accurate Prediction","Inaccurate Prediction"))</f>
        <v>Not Sampled</v>
      </c>
    </row>
    <row r="608" spans="1:22" x14ac:dyDescent="0.25">
      <c r="A608" s="1">
        <v>606</v>
      </c>
      <c r="B608" s="1">
        <v>1</v>
      </c>
      <c r="C608" s="1">
        <f>LOOKUP(B608,Sheet2!$D$4:$E$9)</f>
        <v>1</v>
      </c>
      <c r="D608" s="1">
        <v>181</v>
      </c>
      <c r="E608" t="str">
        <f>LOOKUP(D608,Sheet2!$G$4:$H$9)</f>
        <v>176-200</v>
      </c>
      <c r="F608" s="1">
        <v>78</v>
      </c>
      <c r="G608" t="str">
        <f>LOOKUP(F608,Sheet2!$J$4:$K$8)</f>
        <v>70-79</v>
      </c>
      <c r="H608" s="1">
        <v>42</v>
      </c>
      <c r="I608" t="str">
        <f>LOOKUP(H608,Sheet2!$M$4:$N$8)</f>
        <v>40+</v>
      </c>
      <c r="J608" s="1">
        <v>293</v>
      </c>
      <c r="K608" t="str">
        <f>LOOKUP(J608,Sheet2!$P$4:$Q$9)</f>
        <v>200-399</v>
      </c>
      <c r="L608" s="1">
        <v>40</v>
      </c>
      <c r="M608" t="str">
        <f>LOOKUP(L608,Sheet2!$S$4:$T$8)</f>
        <v>36+</v>
      </c>
      <c r="N608" s="1">
        <v>1.258</v>
      </c>
      <c r="O608" t="str">
        <f>LOOKUP(N608,Sheet2!$V$4:$W$7)</f>
        <v>0.7+</v>
      </c>
      <c r="P608" s="1">
        <v>22</v>
      </c>
      <c r="Q608" t="str">
        <f>LOOKUP(P608,Sheet2!$Z$4:$AA$7)</f>
        <v>&lt;=25</v>
      </c>
      <c r="R608" s="1">
        <v>1</v>
      </c>
      <c r="S608" t="str">
        <f>IF(R608=1,"Positive","Negative")</f>
        <v>Positive</v>
      </c>
      <c r="T608" s="1" t="str">
        <f>IFERROR(VLOOKUP(A608,[1]diabetes_Recognition!$A:$B,2,FALSE),"Not Sampled")</f>
        <v>Not Sampled</v>
      </c>
      <c r="U608" t="str">
        <f>IF(T608=1,"Positive",(IF(T608=0,"Negative","Not Sampled")))</f>
        <v>Not Sampled</v>
      </c>
      <c r="V608" s="1" t="str">
        <f>IF(U608="Not Sampled","Not Sampled",IF(S608=U608,"Accurate Prediction","Inaccurate Prediction"))</f>
        <v>Not Sampled</v>
      </c>
    </row>
    <row r="609" spans="1:22" x14ac:dyDescent="0.25">
      <c r="A609" s="1">
        <v>607</v>
      </c>
      <c r="B609" s="1">
        <v>1</v>
      </c>
      <c r="C609" s="1">
        <f>LOOKUP(B609,Sheet2!$D$4:$E$9)</f>
        <v>1</v>
      </c>
      <c r="D609" s="1">
        <v>92</v>
      </c>
      <c r="E609" t="str">
        <f>LOOKUP(D609,Sheet2!$G$4:$H$9)</f>
        <v>1-99</v>
      </c>
      <c r="F609" s="1">
        <v>62</v>
      </c>
      <c r="G609" t="str">
        <f>LOOKUP(F609,Sheet2!$J$4:$K$8)</f>
        <v>60-69</v>
      </c>
      <c r="H609" s="1">
        <v>25</v>
      </c>
      <c r="I609" t="str">
        <f>LOOKUP(H609,Sheet2!$M$4:$N$8)</f>
        <v>10-30</v>
      </c>
      <c r="J609" s="1">
        <v>41</v>
      </c>
      <c r="K609" t="str">
        <f>LOOKUP(J609,Sheet2!$P$4:$Q$9)</f>
        <v>1-99</v>
      </c>
      <c r="L609" s="1">
        <v>19.5</v>
      </c>
      <c r="M609" t="str">
        <f>LOOKUP(L609,Sheet2!$S$4:$T$8)</f>
        <v>1-25</v>
      </c>
      <c r="N609" s="1">
        <v>0.48199999999999998</v>
      </c>
      <c r="O609" t="str">
        <f>LOOKUP(N609,Sheet2!$V$4:$W$7)</f>
        <v>0.4 - 0.69</v>
      </c>
      <c r="P609" s="1">
        <v>25</v>
      </c>
      <c r="Q609" t="str">
        <f>LOOKUP(P609,Sheet2!$Z$4:$AA$7)</f>
        <v>&lt;=25</v>
      </c>
      <c r="R609" s="1">
        <v>0</v>
      </c>
      <c r="S609" t="str">
        <f>IF(R609=1,"Positive","Negative")</f>
        <v>Negative</v>
      </c>
      <c r="T609" s="1">
        <f>IFERROR(VLOOKUP(A609,[1]diabetes_Recognition!$A:$B,2,FALSE),"Not Sampled")</f>
        <v>0</v>
      </c>
      <c r="U609" t="str">
        <f>IF(T609=1,"Positive",(IF(T609=0,"Negative","Not Sampled")))</f>
        <v>Negative</v>
      </c>
      <c r="V609" s="1" t="str">
        <f>IF(U609="Not Sampled","Not Sampled",IF(S609=U609,"Accurate Prediction","Inaccurate Prediction"))</f>
        <v>Accurate Prediction</v>
      </c>
    </row>
    <row r="610" spans="1:22" x14ac:dyDescent="0.25">
      <c r="A610" s="1">
        <v>608</v>
      </c>
      <c r="B610" s="1">
        <v>0</v>
      </c>
      <c r="C610" s="1">
        <f>LOOKUP(B610,Sheet2!$D$4:$E$9)</f>
        <v>0</v>
      </c>
      <c r="D610" s="1">
        <v>152</v>
      </c>
      <c r="E610" t="str">
        <f>LOOKUP(D610,Sheet2!$G$4:$H$9)</f>
        <v>151-175</v>
      </c>
      <c r="F610" s="1">
        <v>82</v>
      </c>
      <c r="G610" t="str">
        <f>LOOKUP(F610,Sheet2!$J$4:$K$8)</f>
        <v>80+</v>
      </c>
      <c r="H610" s="1">
        <v>39</v>
      </c>
      <c r="I610" t="str">
        <f>LOOKUP(H610,Sheet2!$M$4:$N$8)</f>
        <v>30-39</v>
      </c>
      <c r="J610" s="1">
        <v>272</v>
      </c>
      <c r="K610" t="str">
        <f>LOOKUP(J610,Sheet2!$P$4:$Q$9)</f>
        <v>200-399</v>
      </c>
      <c r="L610" s="1">
        <v>41.5</v>
      </c>
      <c r="M610" t="str">
        <f>LOOKUP(L610,Sheet2!$S$4:$T$8)</f>
        <v>36+</v>
      </c>
      <c r="N610" s="1">
        <v>0.27</v>
      </c>
      <c r="O610" t="str">
        <f>LOOKUP(N610,Sheet2!$V$4:$W$7)</f>
        <v>0.25 - 0.39</v>
      </c>
      <c r="P610" s="1">
        <v>27</v>
      </c>
      <c r="Q610" t="str">
        <f>LOOKUP(P610,Sheet2!$Z$4:$AA$7)</f>
        <v>26-35</v>
      </c>
      <c r="R610" s="1">
        <v>0</v>
      </c>
      <c r="S610" t="str">
        <f>IF(R610=1,"Positive","Negative")</f>
        <v>Negative</v>
      </c>
      <c r="T610" s="1">
        <f>IFERROR(VLOOKUP(A610,[1]diabetes_Recognition!$A:$B,2,FALSE),"Not Sampled")</f>
        <v>0</v>
      </c>
      <c r="U610" t="str">
        <f>IF(T610=1,"Positive",(IF(T610=0,"Negative","Not Sampled")))</f>
        <v>Negative</v>
      </c>
      <c r="V610" s="1" t="str">
        <f>IF(U610="Not Sampled","Not Sampled",IF(S610=U610,"Accurate Prediction","Inaccurate Prediction"))</f>
        <v>Accurate Prediction</v>
      </c>
    </row>
    <row r="611" spans="1:22" x14ac:dyDescent="0.25">
      <c r="A611" s="1">
        <v>609</v>
      </c>
      <c r="B611" s="1">
        <v>1</v>
      </c>
      <c r="C611" s="1">
        <f>LOOKUP(B611,Sheet2!$D$4:$E$9)</f>
        <v>1</v>
      </c>
      <c r="D611" s="1">
        <v>111</v>
      </c>
      <c r="E611" t="str">
        <f>LOOKUP(D611,Sheet2!$G$4:$H$9)</f>
        <v>100-125</v>
      </c>
      <c r="F611" s="1">
        <v>62</v>
      </c>
      <c r="G611" t="str">
        <f>LOOKUP(F611,Sheet2!$J$4:$K$8)</f>
        <v>60-69</v>
      </c>
      <c r="H611" s="1">
        <v>13</v>
      </c>
      <c r="I611" t="str">
        <f>LOOKUP(H611,Sheet2!$M$4:$N$8)</f>
        <v>10-30</v>
      </c>
      <c r="J611" s="1">
        <v>182</v>
      </c>
      <c r="K611" t="str">
        <f>LOOKUP(J611,Sheet2!$P$4:$Q$9)</f>
        <v>100-199</v>
      </c>
      <c r="L611" s="1">
        <v>24</v>
      </c>
      <c r="M611" t="str">
        <f>LOOKUP(L611,Sheet2!$S$4:$T$8)</f>
        <v>1-25</v>
      </c>
      <c r="N611" s="1">
        <v>0.13800000000000001</v>
      </c>
      <c r="O611" t="str">
        <f>LOOKUP(N611,Sheet2!$V$4:$W$7)</f>
        <v>0.0 - 0.249</v>
      </c>
      <c r="P611" s="1">
        <v>23</v>
      </c>
      <c r="Q611" t="str">
        <f>LOOKUP(P611,Sheet2!$Z$4:$AA$7)</f>
        <v>&lt;=25</v>
      </c>
      <c r="R611" s="1">
        <v>0</v>
      </c>
      <c r="S611" t="str">
        <f>IF(R611=1,"Positive","Negative")</f>
        <v>Negative</v>
      </c>
      <c r="T611" s="1" t="str">
        <f>IFERROR(VLOOKUP(A611,[1]diabetes_Recognition!$A:$B,2,FALSE),"Not Sampled")</f>
        <v>Not Sampled</v>
      </c>
      <c r="U611" t="str">
        <f>IF(T611=1,"Positive",(IF(T611=0,"Negative","Not Sampled")))</f>
        <v>Not Sampled</v>
      </c>
      <c r="V611" s="1" t="str">
        <f>IF(U611="Not Sampled","Not Sampled",IF(S611=U611,"Accurate Prediction","Inaccurate Prediction"))</f>
        <v>Not Sampled</v>
      </c>
    </row>
    <row r="612" spans="1:22" x14ac:dyDescent="0.25">
      <c r="A612" s="1">
        <v>610</v>
      </c>
      <c r="B612" s="1">
        <v>3</v>
      </c>
      <c r="C612" s="1" t="str">
        <f>LOOKUP(B612,Sheet2!$D$4:$E$9)</f>
        <v>3-4</v>
      </c>
      <c r="D612" s="1">
        <v>106</v>
      </c>
      <c r="E612" t="str">
        <f>LOOKUP(D612,Sheet2!$G$4:$H$9)</f>
        <v>100-125</v>
      </c>
      <c r="F612" s="1">
        <v>54</v>
      </c>
      <c r="G612" t="str">
        <f>LOOKUP(F612,Sheet2!$J$4:$K$8)</f>
        <v>1-59</v>
      </c>
      <c r="H612" s="1">
        <v>21</v>
      </c>
      <c r="I612" t="str">
        <f>LOOKUP(H612,Sheet2!$M$4:$N$8)</f>
        <v>10-30</v>
      </c>
      <c r="J612" s="1">
        <v>158</v>
      </c>
      <c r="K612" t="str">
        <f>LOOKUP(J612,Sheet2!$P$4:$Q$9)</f>
        <v>100-199</v>
      </c>
      <c r="L612" s="1">
        <v>30.9</v>
      </c>
      <c r="M612" t="str">
        <f>LOOKUP(L612,Sheet2!$S$4:$T$8)</f>
        <v>26-30</v>
      </c>
      <c r="N612" s="1">
        <v>0.29199999999999998</v>
      </c>
      <c r="O612" t="str">
        <f>LOOKUP(N612,Sheet2!$V$4:$W$7)</f>
        <v>0.25 - 0.39</v>
      </c>
      <c r="P612" s="1">
        <v>24</v>
      </c>
      <c r="Q612" t="str">
        <f>LOOKUP(P612,Sheet2!$Z$4:$AA$7)</f>
        <v>&lt;=25</v>
      </c>
      <c r="R612" s="1">
        <v>0</v>
      </c>
      <c r="S612" t="str">
        <f>IF(R612=1,"Positive","Negative")</f>
        <v>Negative</v>
      </c>
      <c r="T612" s="1" t="str">
        <f>IFERROR(VLOOKUP(A612,[1]diabetes_Recognition!$A:$B,2,FALSE),"Not Sampled")</f>
        <v>Not Sampled</v>
      </c>
      <c r="U612" t="str">
        <f>IF(T612=1,"Positive",(IF(T612=0,"Negative","Not Sampled")))</f>
        <v>Not Sampled</v>
      </c>
      <c r="V612" s="1" t="str">
        <f>IF(U612="Not Sampled","Not Sampled",IF(S612=U612,"Accurate Prediction","Inaccurate Prediction"))</f>
        <v>Not Sampled</v>
      </c>
    </row>
    <row r="613" spans="1:22" x14ac:dyDescent="0.25">
      <c r="A613" s="1">
        <v>611</v>
      </c>
      <c r="B613" s="1">
        <v>3</v>
      </c>
      <c r="C613" s="1" t="str">
        <f>LOOKUP(B613,Sheet2!$D$4:$E$9)</f>
        <v>3-4</v>
      </c>
      <c r="D613" s="1">
        <v>174</v>
      </c>
      <c r="E613" t="str">
        <f>LOOKUP(D613,Sheet2!$G$4:$H$9)</f>
        <v>151-175</v>
      </c>
      <c r="F613" s="1">
        <v>58</v>
      </c>
      <c r="G613" t="str">
        <f>LOOKUP(F613,Sheet2!$J$4:$K$8)</f>
        <v>1-59</v>
      </c>
      <c r="H613" s="1">
        <v>22</v>
      </c>
      <c r="I613" t="str">
        <f>LOOKUP(H613,Sheet2!$M$4:$N$8)</f>
        <v>10-30</v>
      </c>
      <c r="J613" s="1">
        <v>194</v>
      </c>
      <c r="K613" t="str">
        <f>LOOKUP(J613,Sheet2!$P$4:$Q$9)</f>
        <v>100-199</v>
      </c>
      <c r="L613" s="1">
        <v>32.9</v>
      </c>
      <c r="M613" t="str">
        <f>LOOKUP(L613,Sheet2!$S$4:$T$8)</f>
        <v>31-35</v>
      </c>
      <c r="N613" s="1">
        <v>0.59299999999999997</v>
      </c>
      <c r="O613" t="str">
        <f>LOOKUP(N613,Sheet2!$V$4:$W$7)</f>
        <v>0.4 - 0.69</v>
      </c>
      <c r="P613" s="1">
        <v>36</v>
      </c>
      <c r="Q613" t="str">
        <f>LOOKUP(P613,Sheet2!$Z$4:$AA$7)</f>
        <v>36-45</v>
      </c>
      <c r="R613" s="1">
        <v>1</v>
      </c>
      <c r="S613" t="str">
        <f>IF(R613=1,"Positive","Negative")</f>
        <v>Positive</v>
      </c>
      <c r="T613" s="1" t="str">
        <f>IFERROR(VLOOKUP(A613,[1]diabetes_Recognition!$A:$B,2,FALSE),"Not Sampled")</f>
        <v>Not Sampled</v>
      </c>
      <c r="U613" t="str">
        <f>IF(T613=1,"Positive",(IF(T613=0,"Negative","Not Sampled")))</f>
        <v>Not Sampled</v>
      </c>
      <c r="V613" s="1" t="str">
        <f>IF(U613="Not Sampled","Not Sampled",IF(S613=U613,"Accurate Prediction","Inaccurate Prediction"))</f>
        <v>Not Sampled</v>
      </c>
    </row>
    <row r="614" spans="1:22" x14ac:dyDescent="0.25">
      <c r="A614" s="1">
        <v>612</v>
      </c>
      <c r="B614" s="1">
        <v>7</v>
      </c>
      <c r="C614" s="1" t="str">
        <f>LOOKUP(B614,Sheet2!$D$4:$E$9)</f>
        <v>5-7</v>
      </c>
      <c r="D614" s="1">
        <v>168</v>
      </c>
      <c r="E614" t="str">
        <f>LOOKUP(D614,Sheet2!$G$4:$H$9)</f>
        <v>151-175</v>
      </c>
      <c r="F614" s="1">
        <v>88</v>
      </c>
      <c r="G614" t="str">
        <f>LOOKUP(F614,Sheet2!$J$4:$K$8)</f>
        <v>80+</v>
      </c>
      <c r="H614" s="1">
        <v>42</v>
      </c>
      <c r="I614" t="str">
        <f>LOOKUP(H614,Sheet2!$M$4:$N$8)</f>
        <v>40+</v>
      </c>
      <c r="J614" s="1">
        <v>321</v>
      </c>
      <c r="K614" t="str">
        <f>LOOKUP(J614,Sheet2!$P$4:$Q$9)</f>
        <v>300-499</v>
      </c>
      <c r="L614" s="1">
        <v>38.200000000000003</v>
      </c>
      <c r="M614" t="str">
        <f>LOOKUP(L614,Sheet2!$S$4:$T$8)</f>
        <v>36+</v>
      </c>
      <c r="N614" s="1">
        <v>0.78700000000000003</v>
      </c>
      <c r="O614" t="str">
        <f>LOOKUP(N614,Sheet2!$V$4:$W$7)</f>
        <v>0.7+</v>
      </c>
      <c r="P614" s="1">
        <v>40</v>
      </c>
      <c r="Q614" t="str">
        <f>LOOKUP(P614,Sheet2!$Z$4:$AA$7)</f>
        <v>36-45</v>
      </c>
      <c r="R614" s="1">
        <v>1</v>
      </c>
      <c r="S614" t="str">
        <f>IF(R614=1,"Positive","Negative")</f>
        <v>Positive</v>
      </c>
      <c r="T614" s="1">
        <f>IFERROR(VLOOKUP(A614,[1]diabetes_Recognition!$A:$B,2,FALSE),"Not Sampled")</f>
        <v>1</v>
      </c>
      <c r="U614" t="str">
        <f>IF(T614=1,"Positive",(IF(T614=0,"Negative","Not Sampled")))</f>
        <v>Positive</v>
      </c>
      <c r="V614" s="1" t="str">
        <f>IF(U614="Not Sampled","Not Sampled",IF(S614=U614,"Accurate Prediction","Inaccurate Prediction"))</f>
        <v>Accurate Prediction</v>
      </c>
    </row>
    <row r="615" spans="1:22" x14ac:dyDescent="0.25">
      <c r="A615" s="1">
        <v>613</v>
      </c>
      <c r="B615" s="1">
        <v>6</v>
      </c>
      <c r="C615" s="1" t="str">
        <f>LOOKUP(B615,Sheet2!$D$4:$E$9)</f>
        <v>5-7</v>
      </c>
      <c r="D615" s="1">
        <v>105</v>
      </c>
      <c r="E615" t="str">
        <f>LOOKUP(D615,Sheet2!$G$4:$H$9)</f>
        <v>100-125</v>
      </c>
      <c r="F615" s="1">
        <v>80</v>
      </c>
      <c r="G615" t="str">
        <f>LOOKUP(F615,Sheet2!$J$4:$K$8)</f>
        <v>80+</v>
      </c>
      <c r="H615" s="1">
        <v>28</v>
      </c>
      <c r="I615" t="str">
        <f>LOOKUP(H615,Sheet2!$M$4:$N$8)</f>
        <v>10-30</v>
      </c>
      <c r="J615" s="1">
        <v>0</v>
      </c>
      <c r="K615" t="str">
        <f>LOOKUP(J615,Sheet2!$P$4:$Q$9)</f>
        <v>Unknown</v>
      </c>
      <c r="L615" s="1">
        <v>32.5</v>
      </c>
      <c r="M615" t="str">
        <f>LOOKUP(L615,Sheet2!$S$4:$T$8)</f>
        <v>31-35</v>
      </c>
      <c r="N615" s="1">
        <v>0.878</v>
      </c>
      <c r="O615" t="str">
        <f>LOOKUP(N615,Sheet2!$V$4:$W$7)</f>
        <v>0.7+</v>
      </c>
      <c r="P615" s="1">
        <v>26</v>
      </c>
      <c r="Q615" t="str">
        <f>LOOKUP(P615,Sheet2!$Z$4:$AA$7)</f>
        <v>26-35</v>
      </c>
      <c r="R615" s="1">
        <v>0</v>
      </c>
      <c r="S615" t="str">
        <f>IF(R615=1,"Positive","Negative")</f>
        <v>Negative</v>
      </c>
      <c r="T615" s="1">
        <f>IFERROR(VLOOKUP(A615,[1]diabetes_Recognition!$A:$B,2,FALSE),"Not Sampled")</f>
        <v>0</v>
      </c>
      <c r="U615" t="str">
        <f>IF(T615=1,"Positive",(IF(T615=0,"Negative","Not Sampled")))</f>
        <v>Negative</v>
      </c>
      <c r="V615" s="1" t="str">
        <f>IF(U615="Not Sampled","Not Sampled",IF(S615=U615,"Accurate Prediction","Inaccurate Prediction"))</f>
        <v>Accurate Prediction</v>
      </c>
    </row>
    <row r="616" spans="1:22" x14ac:dyDescent="0.25">
      <c r="A616" s="1">
        <v>614</v>
      </c>
      <c r="B616" s="1">
        <v>11</v>
      </c>
      <c r="C616" s="1" t="str">
        <f>LOOKUP(B616,Sheet2!$D$4:$E$9)</f>
        <v>8+</v>
      </c>
      <c r="D616" s="1">
        <v>138</v>
      </c>
      <c r="E616" t="str">
        <f>LOOKUP(D616,Sheet2!$G$4:$H$9)</f>
        <v>126-150</v>
      </c>
      <c r="F616" s="1">
        <v>74</v>
      </c>
      <c r="G616" t="str">
        <f>LOOKUP(F616,Sheet2!$J$4:$K$8)</f>
        <v>70-79</v>
      </c>
      <c r="H616" s="1">
        <v>26</v>
      </c>
      <c r="I616" t="str">
        <f>LOOKUP(H616,Sheet2!$M$4:$N$8)</f>
        <v>10-30</v>
      </c>
      <c r="J616" s="1">
        <v>144</v>
      </c>
      <c r="K616" t="str">
        <f>LOOKUP(J616,Sheet2!$P$4:$Q$9)</f>
        <v>100-199</v>
      </c>
      <c r="L616" s="1">
        <v>36.1</v>
      </c>
      <c r="M616" t="str">
        <f>LOOKUP(L616,Sheet2!$S$4:$T$8)</f>
        <v>36+</v>
      </c>
      <c r="N616" s="1">
        <v>0.55700000000000005</v>
      </c>
      <c r="O616" t="str">
        <f>LOOKUP(N616,Sheet2!$V$4:$W$7)</f>
        <v>0.4 - 0.69</v>
      </c>
      <c r="P616" s="1">
        <v>50</v>
      </c>
      <c r="Q616" t="str">
        <f>LOOKUP(P616,Sheet2!$Z$4:$AA$7)</f>
        <v>46+</v>
      </c>
      <c r="R616" s="1">
        <v>1</v>
      </c>
      <c r="S616" t="str">
        <f>IF(R616=1,"Positive","Negative")</f>
        <v>Positive</v>
      </c>
      <c r="T616" s="1">
        <f>IFERROR(VLOOKUP(A616,[1]diabetes_Recognition!$A:$B,2,FALSE),"Not Sampled")</f>
        <v>1</v>
      </c>
      <c r="U616" t="str">
        <f>IF(T616=1,"Positive",(IF(T616=0,"Negative","Not Sampled")))</f>
        <v>Positive</v>
      </c>
      <c r="V616" s="1" t="str">
        <f>IF(U616="Not Sampled","Not Sampled",IF(S616=U616,"Accurate Prediction","Inaccurate Prediction"))</f>
        <v>Accurate Prediction</v>
      </c>
    </row>
    <row r="617" spans="1:22" x14ac:dyDescent="0.25">
      <c r="A617" s="1">
        <v>615</v>
      </c>
      <c r="B617" s="1">
        <v>3</v>
      </c>
      <c r="C617" s="1" t="str">
        <f>LOOKUP(B617,Sheet2!$D$4:$E$9)</f>
        <v>3-4</v>
      </c>
      <c r="D617" s="1">
        <v>106</v>
      </c>
      <c r="E617" t="str">
        <f>LOOKUP(D617,Sheet2!$G$4:$H$9)</f>
        <v>100-125</v>
      </c>
      <c r="F617" s="1">
        <v>72</v>
      </c>
      <c r="G617" t="str">
        <f>LOOKUP(F617,Sheet2!$J$4:$K$8)</f>
        <v>70-79</v>
      </c>
      <c r="H617" s="1">
        <v>0</v>
      </c>
      <c r="I617" t="str">
        <f>LOOKUP(H617,Sheet2!$M$4:$N$8)</f>
        <v>Unknown</v>
      </c>
      <c r="J617" s="1">
        <v>0</v>
      </c>
      <c r="K617" t="str">
        <f>LOOKUP(J617,Sheet2!$P$4:$Q$9)</f>
        <v>Unknown</v>
      </c>
      <c r="L617" s="1">
        <v>25.8</v>
      </c>
      <c r="M617" t="str">
        <f>LOOKUP(L617,Sheet2!$S$4:$T$8)</f>
        <v>1-25</v>
      </c>
      <c r="N617" s="1">
        <v>0.20699999999999999</v>
      </c>
      <c r="O617" t="str">
        <f>LOOKUP(N617,Sheet2!$V$4:$W$7)</f>
        <v>0.0 - 0.249</v>
      </c>
      <c r="P617" s="1">
        <v>27</v>
      </c>
      <c r="Q617" t="str">
        <f>LOOKUP(P617,Sheet2!$Z$4:$AA$7)</f>
        <v>26-35</v>
      </c>
      <c r="R617" s="1">
        <v>0</v>
      </c>
      <c r="S617" t="str">
        <f>IF(R617=1,"Positive","Negative")</f>
        <v>Negative</v>
      </c>
      <c r="T617" s="1" t="str">
        <f>IFERROR(VLOOKUP(A617,[1]diabetes_Recognition!$A:$B,2,FALSE),"Not Sampled")</f>
        <v>Not Sampled</v>
      </c>
      <c r="U617" t="str">
        <f>IF(T617=1,"Positive",(IF(T617=0,"Negative","Not Sampled")))</f>
        <v>Not Sampled</v>
      </c>
      <c r="V617" s="1" t="str">
        <f>IF(U617="Not Sampled","Not Sampled",IF(S617=U617,"Accurate Prediction","Inaccurate Prediction"))</f>
        <v>Not Sampled</v>
      </c>
    </row>
    <row r="618" spans="1:22" x14ac:dyDescent="0.25">
      <c r="A618" s="1">
        <v>616</v>
      </c>
      <c r="B618" s="1">
        <v>6</v>
      </c>
      <c r="C618" s="1" t="str">
        <f>LOOKUP(B618,Sheet2!$D$4:$E$9)</f>
        <v>5-7</v>
      </c>
      <c r="D618" s="1">
        <v>117</v>
      </c>
      <c r="E618" t="str">
        <f>LOOKUP(D618,Sheet2!$G$4:$H$9)</f>
        <v>100-125</v>
      </c>
      <c r="F618" s="1">
        <v>96</v>
      </c>
      <c r="G618" t="str">
        <f>LOOKUP(F618,Sheet2!$J$4:$K$8)</f>
        <v>80+</v>
      </c>
      <c r="H618" s="1">
        <v>0</v>
      </c>
      <c r="I618" t="str">
        <f>LOOKUP(H618,Sheet2!$M$4:$N$8)</f>
        <v>Unknown</v>
      </c>
      <c r="J618" s="1">
        <v>0</v>
      </c>
      <c r="K618" t="str">
        <f>LOOKUP(J618,Sheet2!$P$4:$Q$9)</f>
        <v>Unknown</v>
      </c>
      <c r="L618" s="1">
        <v>28.7</v>
      </c>
      <c r="M618" t="str">
        <f>LOOKUP(L618,Sheet2!$S$4:$T$8)</f>
        <v>26-30</v>
      </c>
      <c r="N618" s="1">
        <v>0.157</v>
      </c>
      <c r="O618" t="str">
        <f>LOOKUP(N618,Sheet2!$V$4:$W$7)</f>
        <v>0.0 - 0.249</v>
      </c>
      <c r="P618" s="1">
        <v>30</v>
      </c>
      <c r="Q618" t="str">
        <f>LOOKUP(P618,Sheet2!$Z$4:$AA$7)</f>
        <v>26-35</v>
      </c>
      <c r="R618" s="1">
        <v>0</v>
      </c>
      <c r="S618" t="str">
        <f>IF(R618=1,"Positive","Negative")</f>
        <v>Negative</v>
      </c>
      <c r="T618" s="1" t="str">
        <f>IFERROR(VLOOKUP(A618,[1]diabetes_Recognition!$A:$B,2,FALSE),"Not Sampled")</f>
        <v>Not Sampled</v>
      </c>
      <c r="U618" t="str">
        <f>IF(T618=1,"Positive",(IF(T618=0,"Negative","Not Sampled")))</f>
        <v>Not Sampled</v>
      </c>
      <c r="V618" s="1" t="str">
        <f>IF(U618="Not Sampled","Not Sampled",IF(S618=U618,"Accurate Prediction","Inaccurate Prediction"))</f>
        <v>Not Sampled</v>
      </c>
    </row>
    <row r="619" spans="1:22" x14ac:dyDescent="0.25">
      <c r="A619" s="1">
        <v>617</v>
      </c>
      <c r="B619" s="1">
        <v>2</v>
      </c>
      <c r="C619" s="1">
        <f>LOOKUP(B619,Sheet2!$D$4:$E$9)</f>
        <v>2</v>
      </c>
      <c r="D619" s="1">
        <v>68</v>
      </c>
      <c r="E619" t="str">
        <f>LOOKUP(D619,Sheet2!$G$4:$H$9)</f>
        <v>1-99</v>
      </c>
      <c r="F619" s="1">
        <v>62</v>
      </c>
      <c r="G619" t="str">
        <f>LOOKUP(F619,Sheet2!$J$4:$K$8)</f>
        <v>60-69</v>
      </c>
      <c r="H619" s="1">
        <v>13</v>
      </c>
      <c r="I619" t="str">
        <f>LOOKUP(H619,Sheet2!$M$4:$N$8)</f>
        <v>10-30</v>
      </c>
      <c r="J619" s="1">
        <v>15</v>
      </c>
      <c r="K619" t="str">
        <f>LOOKUP(J619,Sheet2!$P$4:$Q$9)</f>
        <v>1-99</v>
      </c>
      <c r="L619" s="1">
        <v>20.100000000000001</v>
      </c>
      <c r="M619" t="str">
        <f>LOOKUP(L619,Sheet2!$S$4:$T$8)</f>
        <v>1-25</v>
      </c>
      <c r="N619" s="1">
        <v>0.25700000000000001</v>
      </c>
      <c r="O619" t="str">
        <f>LOOKUP(N619,Sheet2!$V$4:$W$7)</f>
        <v>0.25 - 0.39</v>
      </c>
      <c r="P619" s="1">
        <v>23</v>
      </c>
      <c r="Q619" t="str">
        <f>LOOKUP(P619,Sheet2!$Z$4:$AA$7)</f>
        <v>&lt;=25</v>
      </c>
      <c r="R619" s="1">
        <v>0</v>
      </c>
      <c r="S619" t="str">
        <f>IF(R619=1,"Positive","Negative")</f>
        <v>Negative</v>
      </c>
      <c r="T619" s="1" t="str">
        <f>IFERROR(VLOOKUP(A619,[1]diabetes_Recognition!$A:$B,2,FALSE),"Not Sampled")</f>
        <v>Not Sampled</v>
      </c>
      <c r="U619" t="str">
        <f>IF(T619=1,"Positive",(IF(T619=0,"Negative","Not Sampled")))</f>
        <v>Not Sampled</v>
      </c>
      <c r="V619" s="1" t="str">
        <f>IF(U619="Not Sampled","Not Sampled",IF(S619=U619,"Accurate Prediction","Inaccurate Prediction"))</f>
        <v>Not Sampled</v>
      </c>
    </row>
    <row r="620" spans="1:22" x14ac:dyDescent="0.25">
      <c r="A620" s="1">
        <v>618</v>
      </c>
      <c r="B620" s="1">
        <v>9</v>
      </c>
      <c r="C620" s="1" t="str">
        <f>LOOKUP(B620,Sheet2!$D$4:$E$9)</f>
        <v>8+</v>
      </c>
      <c r="D620" s="1">
        <v>112</v>
      </c>
      <c r="E620" t="str">
        <f>LOOKUP(D620,Sheet2!$G$4:$H$9)</f>
        <v>100-125</v>
      </c>
      <c r="F620" s="1">
        <v>82</v>
      </c>
      <c r="G620" t="str">
        <f>LOOKUP(F620,Sheet2!$J$4:$K$8)</f>
        <v>80+</v>
      </c>
      <c r="H620" s="1">
        <v>24</v>
      </c>
      <c r="I620" t="str">
        <f>LOOKUP(H620,Sheet2!$M$4:$N$8)</f>
        <v>10-30</v>
      </c>
      <c r="J620" s="1">
        <v>0</v>
      </c>
      <c r="K620" t="str">
        <f>LOOKUP(J620,Sheet2!$P$4:$Q$9)</f>
        <v>Unknown</v>
      </c>
      <c r="L620" s="1">
        <v>28.2</v>
      </c>
      <c r="M620" t="str">
        <f>LOOKUP(L620,Sheet2!$S$4:$T$8)</f>
        <v>26-30</v>
      </c>
      <c r="N620" s="1">
        <v>1.282</v>
      </c>
      <c r="O620" t="str">
        <f>LOOKUP(N620,Sheet2!$V$4:$W$7)</f>
        <v>0.7+</v>
      </c>
      <c r="P620" s="1">
        <v>50</v>
      </c>
      <c r="Q620" t="str">
        <f>LOOKUP(P620,Sheet2!$Z$4:$AA$7)</f>
        <v>46+</v>
      </c>
      <c r="R620" s="1">
        <v>1</v>
      </c>
      <c r="S620" t="str">
        <f>IF(R620=1,"Positive","Negative")</f>
        <v>Positive</v>
      </c>
      <c r="T620" s="1" t="str">
        <f>IFERROR(VLOOKUP(A620,[1]diabetes_Recognition!$A:$B,2,FALSE),"Not Sampled")</f>
        <v>Not Sampled</v>
      </c>
      <c r="U620" t="str">
        <f>IF(T620=1,"Positive",(IF(T620=0,"Negative","Not Sampled")))</f>
        <v>Not Sampled</v>
      </c>
      <c r="V620" s="1" t="str">
        <f>IF(U620="Not Sampled","Not Sampled",IF(S620=U620,"Accurate Prediction","Inaccurate Prediction"))</f>
        <v>Not Sampled</v>
      </c>
    </row>
    <row r="621" spans="1:22" x14ac:dyDescent="0.25">
      <c r="A621" s="1">
        <v>619</v>
      </c>
      <c r="B621" s="1">
        <v>0</v>
      </c>
      <c r="C621" s="1">
        <f>LOOKUP(B621,Sheet2!$D$4:$E$9)</f>
        <v>0</v>
      </c>
      <c r="D621" s="1">
        <v>119</v>
      </c>
      <c r="E621" t="str">
        <f>LOOKUP(D621,Sheet2!$G$4:$H$9)</f>
        <v>100-125</v>
      </c>
      <c r="F621" s="1">
        <v>0</v>
      </c>
      <c r="G621" t="str">
        <f>LOOKUP(F621,Sheet2!$J$4:$K$8)</f>
        <v>Unknown</v>
      </c>
      <c r="H621" s="1">
        <v>0</v>
      </c>
      <c r="I621" t="str">
        <f>LOOKUP(H621,Sheet2!$M$4:$N$8)</f>
        <v>Unknown</v>
      </c>
      <c r="J621" s="1">
        <v>0</v>
      </c>
      <c r="K621" t="str">
        <f>LOOKUP(J621,Sheet2!$P$4:$Q$9)</f>
        <v>Unknown</v>
      </c>
      <c r="L621" s="1">
        <v>32.4</v>
      </c>
      <c r="M621" t="str">
        <f>LOOKUP(L621,Sheet2!$S$4:$T$8)</f>
        <v>31-35</v>
      </c>
      <c r="N621" s="1">
        <v>0.14099999999999999</v>
      </c>
      <c r="O621" t="str">
        <f>LOOKUP(N621,Sheet2!$V$4:$W$7)</f>
        <v>0.0 - 0.249</v>
      </c>
      <c r="P621" s="1">
        <v>24</v>
      </c>
      <c r="Q621" t="str">
        <f>LOOKUP(P621,Sheet2!$Z$4:$AA$7)</f>
        <v>&lt;=25</v>
      </c>
      <c r="R621" s="1">
        <v>1</v>
      </c>
      <c r="S621" t="str">
        <f>IF(R621=1,"Positive","Negative")</f>
        <v>Positive</v>
      </c>
      <c r="T621" s="1">
        <f>IFERROR(VLOOKUP(A621,[1]diabetes_Recognition!$A:$B,2,FALSE),"Not Sampled")</f>
        <v>0</v>
      </c>
      <c r="U621" t="str">
        <f>IF(T621=1,"Positive",(IF(T621=0,"Negative","Not Sampled")))</f>
        <v>Negative</v>
      </c>
      <c r="V621" s="1" t="str">
        <f>IF(U621="Not Sampled","Not Sampled",IF(S621=U621,"Accurate Prediction","Inaccurate Prediction"))</f>
        <v>Inaccurate Prediction</v>
      </c>
    </row>
    <row r="622" spans="1:22" x14ac:dyDescent="0.25">
      <c r="A622" s="1">
        <v>620</v>
      </c>
      <c r="B622" s="1">
        <v>2</v>
      </c>
      <c r="C622" s="1">
        <f>LOOKUP(B622,Sheet2!$D$4:$E$9)</f>
        <v>2</v>
      </c>
      <c r="D622" s="1">
        <v>112</v>
      </c>
      <c r="E622" t="str">
        <f>LOOKUP(D622,Sheet2!$G$4:$H$9)</f>
        <v>100-125</v>
      </c>
      <c r="F622" s="1">
        <v>86</v>
      </c>
      <c r="G622" t="str">
        <f>LOOKUP(F622,Sheet2!$J$4:$K$8)</f>
        <v>80+</v>
      </c>
      <c r="H622" s="1">
        <v>42</v>
      </c>
      <c r="I622" t="str">
        <f>LOOKUP(H622,Sheet2!$M$4:$N$8)</f>
        <v>40+</v>
      </c>
      <c r="J622" s="1">
        <v>160</v>
      </c>
      <c r="K622" t="str">
        <f>LOOKUP(J622,Sheet2!$P$4:$Q$9)</f>
        <v>100-199</v>
      </c>
      <c r="L622" s="1">
        <v>38.4</v>
      </c>
      <c r="M622" t="str">
        <f>LOOKUP(L622,Sheet2!$S$4:$T$8)</f>
        <v>36+</v>
      </c>
      <c r="N622" s="1">
        <v>0.246</v>
      </c>
      <c r="O622" t="str">
        <f>LOOKUP(N622,Sheet2!$V$4:$W$7)</f>
        <v>0.0 - 0.249</v>
      </c>
      <c r="P622" s="1">
        <v>28</v>
      </c>
      <c r="Q622" t="str">
        <f>LOOKUP(P622,Sheet2!$Z$4:$AA$7)</f>
        <v>26-35</v>
      </c>
      <c r="R622" s="1">
        <v>0</v>
      </c>
      <c r="S622" t="str">
        <f>IF(R622=1,"Positive","Negative")</f>
        <v>Negative</v>
      </c>
      <c r="T622" s="1">
        <f>IFERROR(VLOOKUP(A622,[1]diabetes_Recognition!$A:$B,2,FALSE),"Not Sampled")</f>
        <v>0</v>
      </c>
      <c r="U622" t="str">
        <f>IF(T622=1,"Positive",(IF(T622=0,"Negative","Not Sampled")))</f>
        <v>Negative</v>
      </c>
      <c r="V622" s="1" t="str">
        <f>IF(U622="Not Sampled","Not Sampled",IF(S622=U622,"Accurate Prediction","Inaccurate Prediction"))</f>
        <v>Accurate Prediction</v>
      </c>
    </row>
    <row r="623" spans="1:22" x14ac:dyDescent="0.25">
      <c r="A623" s="1">
        <v>621</v>
      </c>
      <c r="B623" s="1">
        <v>2</v>
      </c>
      <c r="C623" s="1">
        <f>LOOKUP(B623,Sheet2!$D$4:$E$9)</f>
        <v>2</v>
      </c>
      <c r="D623" s="1">
        <v>92</v>
      </c>
      <c r="E623" t="str">
        <f>LOOKUP(D623,Sheet2!$G$4:$H$9)</f>
        <v>1-99</v>
      </c>
      <c r="F623" s="1">
        <v>76</v>
      </c>
      <c r="G623" t="str">
        <f>LOOKUP(F623,Sheet2!$J$4:$K$8)</f>
        <v>70-79</v>
      </c>
      <c r="H623" s="1">
        <v>20</v>
      </c>
      <c r="I623" t="str">
        <f>LOOKUP(H623,Sheet2!$M$4:$N$8)</f>
        <v>10-30</v>
      </c>
      <c r="J623" s="1">
        <v>0</v>
      </c>
      <c r="K623" t="str">
        <f>LOOKUP(J623,Sheet2!$P$4:$Q$9)</f>
        <v>Unknown</v>
      </c>
      <c r="L623" s="1">
        <v>24.2</v>
      </c>
      <c r="M623" t="str">
        <f>LOOKUP(L623,Sheet2!$S$4:$T$8)</f>
        <v>1-25</v>
      </c>
      <c r="N623" s="1">
        <v>1.698</v>
      </c>
      <c r="O623" t="str">
        <f>LOOKUP(N623,Sheet2!$V$4:$W$7)</f>
        <v>0.7+</v>
      </c>
      <c r="P623" s="1">
        <v>28</v>
      </c>
      <c r="Q623" t="str">
        <f>LOOKUP(P623,Sheet2!$Z$4:$AA$7)</f>
        <v>26-35</v>
      </c>
      <c r="R623" s="1">
        <v>0</v>
      </c>
      <c r="S623" t="str">
        <f>IF(R623=1,"Positive","Negative")</f>
        <v>Negative</v>
      </c>
      <c r="T623" s="1" t="str">
        <f>IFERROR(VLOOKUP(A623,[1]diabetes_Recognition!$A:$B,2,FALSE),"Not Sampled")</f>
        <v>Not Sampled</v>
      </c>
      <c r="U623" t="str">
        <f>IF(T623=1,"Positive",(IF(T623=0,"Negative","Not Sampled")))</f>
        <v>Not Sampled</v>
      </c>
      <c r="V623" s="1" t="str">
        <f>IF(U623="Not Sampled","Not Sampled",IF(S623=U623,"Accurate Prediction","Inaccurate Prediction"))</f>
        <v>Not Sampled</v>
      </c>
    </row>
    <row r="624" spans="1:22" x14ac:dyDescent="0.25">
      <c r="A624" s="1">
        <v>622</v>
      </c>
      <c r="B624" s="1">
        <v>6</v>
      </c>
      <c r="C624" s="1" t="str">
        <f>LOOKUP(B624,Sheet2!$D$4:$E$9)</f>
        <v>5-7</v>
      </c>
      <c r="D624" s="1">
        <v>183</v>
      </c>
      <c r="E624" t="str">
        <f>LOOKUP(D624,Sheet2!$G$4:$H$9)</f>
        <v>176-200</v>
      </c>
      <c r="F624" s="1">
        <v>94</v>
      </c>
      <c r="G624" t="str">
        <f>LOOKUP(F624,Sheet2!$J$4:$K$8)</f>
        <v>80+</v>
      </c>
      <c r="H624" s="1">
        <v>0</v>
      </c>
      <c r="I624" t="str">
        <f>LOOKUP(H624,Sheet2!$M$4:$N$8)</f>
        <v>Unknown</v>
      </c>
      <c r="J624" s="1">
        <v>0</v>
      </c>
      <c r="K624" t="str">
        <f>LOOKUP(J624,Sheet2!$P$4:$Q$9)</f>
        <v>Unknown</v>
      </c>
      <c r="L624" s="1">
        <v>40.799999999999997</v>
      </c>
      <c r="M624" t="str">
        <f>LOOKUP(L624,Sheet2!$S$4:$T$8)</f>
        <v>36+</v>
      </c>
      <c r="N624" s="1">
        <v>1.4610000000000001</v>
      </c>
      <c r="O624" t="str">
        <f>LOOKUP(N624,Sheet2!$V$4:$W$7)</f>
        <v>0.7+</v>
      </c>
      <c r="P624" s="1">
        <v>45</v>
      </c>
      <c r="Q624" t="str">
        <f>LOOKUP(P624,Sheet2!$Z$4:$AA$7)</f>
        <v>36-45</v>
      </c>
      <c r="R624" s="1">
        <v>0</v>
      </c>
      <c r="S624" t="str">
        <f>IF(R624=1,"Positive","Negative")</f>
        <v>Negative</v>
      </c>
      <c r="T624" s="1">
        <f>IFERROR(VLOOKUP(A624,[1]diabetes_Recognition!$A:$B,2,FALSE),"Not Sampled")</f>
        <v>1</v>
      </c>
      <c r="U624" t="str">
        <f>IF(T624=1,"Positive",(IF(T624=0,"Negative","Not Sampled")))</f>
        <v>Positive</v>
      </c>
      <c r="V624" s="1" t="str">
        <f>IF(U624="Not Sampled","Not Sampled",IF(S624=U624,"Accurate Prediction","Inaccurate Prediction"))</f>
        <v>Inaccurate Prediction</v>
      </c>
    </row>
    <row r="625" spans="1:22" x14ac:dyDescent="0.25">
      <c r="A625" s="1">
        <v>623</v>
      </c>
      <c r="B625" s="1">
        <v>0</v>
      </c>
      <c r="C625" s="1">
        <f>LOOKUP(B625,Sheet2!$D$4:$E$9)</f>
        <v>0</v>
      </c>
      <c r="D625" s="1">
        <v>94</v>
      </c>
      <c r="E625" t="str">
        <f>LOOKUP(D625,Sheet2!$G$4:$H$9)</f>
        <v>1-99</v>
      </c>
      <c r="F625" s="1">
        <v>70</v>
      </c>
      <c r="G625" t="str">
        <f>LOOKUP(F625,Sheet2!$J$4:$K$8)</f>
        <v>70-79</v>
      </c>
      <c r="H625" s="1">
        <v>27</v>
      </c>
      <c r="I625" t="str">
        <f>LOOKUP(H625,Sheet2!$M$4:$N$8)</f>
        <v>10-30</v>
      </c>
      <c r="J625" s="1">
        <v>115</v>
      </c>
      <c r="K625" t="str">
        <f>LOOKUP(J625,Sheet2!$P$4:$Q$9)</f>
        <v>100-199</v>
      </c>
      <c r="L625" s="1">
        <v>43.5</v>
      </c>
      <c r="M625" t="str">
        <f>LOOKUP(L625,Sheet2!$S$4:$T$8)</f>
        <v>36+</v>
      </c>
      <c r="N625" s="1">
        <v>0.34699999999999998</v>
      </c>
      <c r="O625" t="str">
        <f>LOOKUP(N625,Sheet2!$V$4:$W$7)</f>
        <v>0.25 - 0.39</v>
      </c>
      <c r="P625" s="1">
        <v>21</v>
      </c>
      <c r="Q625" t="str">
        <f>LOOKUP(P625,Sheet2!$Z$4:$AA$7)</f>
        <v>&lt;=25</v>
      </c>
      <c r="R625" s="1">
        <v>0</v>
      </c>
      <c r="S625" t="str">
        <f>IF(R625=1,"Positive","Negative")</f>
        <v>Negative</v>
      </c>
      <c r="T625" s="1">
        <f>IFERROR(VLOOKUP(A625,[1]diabetes_Recognition!$A:$B,2,FALSE),"Not Sampled")</f>
        <v>0</v>
      </c>
      <c r="U625" t="str">
        <f>IF(T625=1,"Positive",(IF(T625=0,"Negative","Not Sampled")))</f>
        <v>Negative</v>
      </c>
      <c r="V625" s="1" t="str">
        <f>IF(U625="Not Sampled","Not Sampled",IF(S625=U625,"Accurate Prediction","Inaccurate Prediction"))</f>
        <v>Accurate Prediction</v>
      </c>
    </row>
    <row r="626" spans="1:22" x14ac:dyDescent="0.25">
      <c r="A626" s="1">
        <v>624</v>
      </c>
      <c r="B626" s="1">
        <v>2</v>
      </c>
      <c r="C626" s="1">
        <f>LOOKUP(B626,Sheet2!$D$4:$E$9)</f>
        <v>2</v>
      </c>
      <c r="D626" s="1">
        <v>108</v>
      </c>
      <c r="E626" t="str">
        <f>LOOKUP(D626,Sheet2!$G$4:$H$9)</f>
        <v>100-125</v>
      </c>
      <c r="F626" s="1">
        <v>64</v>
      </c>
      <c r="G626" t="str">
        <f>LOOKUP(F626,Sheet2!$J$4:$K$8)</f>
        <v>60-69</v>
      </c>
      <c r="H626" s="1">
        <v>0</v>
      </c>
      <c r="I626" t="str">
        <f>LOOKUP(H626,Sheet2!$M$4:$N$8)</f>
        <v>Unknown</v>
      </c>
      <c r="J626" s="1">
        <v>0</v>
      </c>
      <c r="K626" t="str">
        <f>LOOKUP(J626,Sheet2!$P$4:$Q$9)</f>
        <v>Unknown</v>
      </c>
      <c r="L626" s="1">
        <v>30.8</v>
      </c>
      <c r="M626" t="str">
        <f>LOOKUP(L626,Sheet2!$S$4:$T$8)</f>
        <v>26-30</v>
      </c>
      <c r="N626" s="1">
        <v>0.158</v>
      </c>
      <c r="O626" t="str">
        <f>LOOKUP(N626,Sheet2!$V$4:$W$7)</f>
        <v>0.0 - 0.249</v>
      </c>
      <c r="P626" s="1">
        <v>21</v>
      </c>
      <c r="Q626" t="str">
        <f>LOOKUP(P626,Sheet2!$Z$4:$AA$7)</f>
        <v>&lt;=25</v>
      </c>
      <c r="R626" s="1">
        <v>0</v>
      </c>
      <c r="S626" t="str">
        <f>IF(R626=1,"Positive","Negative")</f>
        <v>Negative</v>
      </c>
      <c r="T626" s="1" t="str">
        <f>IFERROR(VLOOKUP(A626,[1]diabetes_Recognition!$A:$B,2,FALSE),"Not Sampled")</f>
        <v>Not Sampled</v>
      </c>
      <c r="U626" t="str">
        <f>IF(T626=1,"Positive",(IF(T626=0,"Negative","Not Sampled")))</f>
        <v>Not Sampled</v>
      </c>
      <c r="V626" s="1" t="str">
        <f>IF(U626="Not Sampled","Not Sampled",IF(S626=U626,"Accurate Prediction","Inaccurate Prediction"))</f>
        <v>Not Sampled</v>
      </c>
    </row>
    <row r="627" spans="1:22" x14ac:dyDescent="0.25">
      <c r="A627" s="1">
        <v>625</v>
      </c>
      <c r="B627" s="1">
        <v>4</v>
      </c>
      <c r="C627" s="1" t="str">
        <f>LOOKUP(B627,Sheet2!$D$4:$E$9)</f>
        <v>3-4</v>
      </c>
      <c r="D627" s="1">
        <v>90</v>
      </c>
      <c r="E627" t="str">
        <f>LOOKUP(D627,Sheet2!$G$4:$H$9)</f>
        <v>1-99</v>
      </c>
      <c r="F627" s="1">
        <v>88</v>
      </c>
      <c r="G627" t="str">
        <f>LOOKUP(F627,Sheet2!$J$4:$K$8)</f>
        <v>80+</v>
      </c>
      <c r="H627" s="1">
        <v>47</v>
      </c>
      <c r="I627" t="str">
        <f>LOOKUP(H627,Sheet2!$M$4:$N$8)</f>
        <v>40+</v>
      </c>
      <c r="J627" s="1">
        <v>54</v>
      </c>
      <c r="K627" t="str">
        <f>LOOKUP(J627,Sheet2!$P$4:$Q$9)</f>
        <v>1-99</v>
      </c>
      <c r="L627" s="1">
        <v>37.700000000000003</v>
      </c>
      <c r="M627" t="str">
        <f>LOOKUP(L627,Sheet2!$S$4:$T$8)</f>
        <v>36+</v>
      </c>
      <c r="N627" s="1">
        <v>0.36199999999999999</v>
      </c>
      <c r="O627" t="str">
        <f>LOOKUP(N627,Sheet2!$V$4:$W$7)</f>
        <v>0.25 - 0.39</v>
      </c>
      <c r="P627" s="1">
        <v>29</v>
      </c>
      <c r="Q627" t="str">
        <f>LOOKUP(P627,Sheet2!$Z$4:$AA$7)</f>
        <v>26-35</v>
      </c>
      <c r="R627" s="1">
        <v>0</v>
      </c>
      <c r="S627" t="str">
        <f>IF(R627=1,"Positive","Negative")</f>
        <v>Negative</v>
      </c>
      <c r="T627" s="1">
        <f>IFERROR(VLOOKUP(A627,[1]diabetes_Recognition!$A:$B,2,FALSE),"Not Sampled")</f>
        <v>0</v>
      </c>
      <c r="U627" t="str">
        <f>IF(T627=1,"Positive",(IF(T627=0,"Negative","Not Sampled")))</f>
        <v>Negative</v>
      </c>
      <c r="V627" s="1" t="str">
        <f>IF(U627="Not Sampled","Not Sampled",IF(S627=U627,"Accurate Prediction","Inaccurate Prediction"))</f>
        <v>Accurate Prediction</v>
      </c>
    </row>
    <row r="628" spans="1:22" x14ac:dyDescent="0.25">
      <c r="A628" s="1">
        <v>626</v>
      </c>
      <c r="B628" s="1">
        <v>0</v>
      </c>
      <c r="C628" s="1">
        <f>LOOKUP(B628,Sheet2!$D$4:$E$9)</f>
        <v>0</v>
      </c>
      <c r="D628" s="1">
        <v>125</v>
      </c>
      <c r="E628" t="str">
        <f>LOOKUP(D628,Sheet2!$G$4:$H$9)</f>
        <v>100-125</v>
      </c>
      <c r="F628" s="1">
        <v>68</v>
      </c>
      <c r="G628" t="str">
        <f>LOOKUP(F628,Sheet2!$J$4:$K$8)</f>
        <v>60-69</v>
      </c>
      <c r="H628" s="1">
        <v>0</v>
      </c>
      <c r="I628" t="str">
        <f>LOOKUP(H628,Sheet2!$M$4:$N$8)</f>
        <v>Unknown</v>
      </c>
      <c r="J628" s="1">
        <v>0</v>
      </c>
      <c r="K628" t="str">
        <f>LOOKUP(J628,Sheet2!$P$4:$Q$9)</f>
        <v>Unknown</v>
      </c>
      <c r="L628" s="1">
        <v>24.7</v>
      </c>
      <c r="M628" t="str">
        <f>LOOKUP(L628,Sheet2!$S$4:$T$8)</f>
        <v>1-25</v>
      </c>
      <c r="N628" s="1">
        <v>0.20599999999999999</v>
      </c>
      <c r="O628" t="str">
        <f>LOOKUP(N628,Sheet2!$V$4:$W$7)</f>
        <v>0.0 - 0.249</v>
      </c>
      <c r="P628" s="1">
        <v>21</v>
      </c>
      <c r="Q628" t="str">
        <f>LOOKUP(P628,Sheet2!$Z$4:$AA$7)</f>
        <v>&lt;=25</v>
      </c>
      <c r="R628" s="1">
        <v>0</v>
      </c>
      <c r="S628" t="str">
        <f>IF(R628=1,"Positive","Negative")</f>
        <v>Negative</v>
      </c>
      <c r="T628" s="1" t="str">
        <f>IFERROR(VLOOKUP(A628,[1]diabetes_Recognition!$A:$B,2,FALSE),"Not Sampled")</f>
        <v>Not Sampled</v>
      </c>
      <c r="U628" t="str">
        <f>IF(T628=1,"Positive",(IF(T628=0,"Negative","Not Sampled")))</f>
        <v>Not Sampled</v>
      </c>
      <c r="V628" s="1" t="str">
        <f>IF(U628="Not Sampled","Not Sampled",IF(S628=U628,"Accurate Prediction","Inaccurate Prediction"))</f>
        <v>Not Sampled</v>
      </c>
    </row>
    <row r="629" spans="1:22" x14ac:dyDescent="0.25">
      <c r="A629" s="1">
        <v>627</v>
      </c>
      <c r="B629" s="1">
        <v>0</v>
      </c>
      <c r="C629" s="1">
        <f>LOOKUP(B629,Sheet2!$D$4:$E$9)</f>
        <v>0</v>
      </c>
      <c r="D629" s="1">
        <v>132</v>
      </c>
      <c r="E629" t="str">
        <f>LOOKUP(D629,Sheet2!$G$4:$H$9)</f>
        <v>126-150</v>
      </c>
      <c r="F629" s="1">
        <v>78</v>
      </c>
      <c r="G629" t="str">
        <f>LOOKUP(F629,Sheet2!$J$4:$K$8)</f>
        <v>70-79</v>
      </c>
      <c r="H629" s="1">
        <v>0</v>
      </c>
      <c r="I629" t="str">
        <f>LOOKUP(H629,Sheet2!$M$4:$N$8)</f>
        <v>Unknown</v>
      </c>
      <c r="J629" s="1">
        <v>0</v>
      </c>
      <c r="K629" t="str">
        <f>LOOKUP(J629,Sheet2!$P$4:$Q$9)</f>
        <v>Unknown</v>
      </c>
      <c r="L629" s="1">
        <v>32.4</v>
      </c>
      <c r="M629" t="str">
        <f>LOOKUP(L629,Sheet2!$S$4:$T$8)</f>
        <v>31-35</v>
      </c>
      <c r="N629" s="1">
        <v>0.39300000000000002</v>
      </c>
      <c r="O629" t="str">
        <f>LOOKUP(N629,Sheet2!$V$4:$W$7)</f>
        <v>0.25 - 0.39</v>
      </c>
      <c r="P629" s="1">
        <v>21</v>
      </c>
      <c r="Q629" t="str">
        <f>LOOKUP(P629,Sheet2!$Z$4:$AA$7)</f>
        <v>&lt;=25</v>
      </c>
      <c r="R629" s="1">
        <v>0</v>
      </c>
      <c r="S629" t="str">
        <f>IF(R629=1,"Positive","Negative")</f>
        <v>Negative</v>
      </c>
      <c r="T629" s="1" t="str">
        <f>IFERROR(VLOOKUP(A629,[1]diabetes_Recognition!$A:$B,2,FALSE),"Not Sampled")</f>
        <v>Not Sampled</v>
      </c>
      <c r="U629" t="str">
        <f>IF(T629=1,"Positive",(IF(T629=0,"Negative","Not Sampled")))</f>
        <v>Not Sampled</v>
      </c>
      <c r="V629" s="1" t="str">
        <f>IF(U629="Not Sampled","Not Sampled",IF(S629=U629,"Accurate Prediction","Inaccurate Prediction"))</f>
        <v>Not Sampled</v>
      </c>
    </row>
    <row r="630" spans="1:22" x14ac:dyDescent="0.25">
      <c r="A630" s="1">
        <v>628</v>
      </c>
      <c r="B630" s="1">
        <v>5</v>
      </c>
      <c r="C630" s="1" t="str">
        <f>LOOKUP(B630,Sheet2!$D$4:$E$9)</f>
        <v>5-7</v>
      </c>
      <c r="D630" s="1">
        <v>128</v>
      </c>
      <c r="E630" t="str">
        <f>LOOKUP(D630,Sheet2!$G$4:$H$9)</f>
        <v>126-150</v>
      </c>
      <c r="F630" s="1">
        <v>80</v>
      </c>
      <c r="G630" t="str">
        <f>LOOKUP(F630,Sheet2!$J$4:$K$8)</f>
        <v>80+</v>
      </c>
      <c r="H630" s="1">
        <v>0</v>
      </c>
      <c r="I630" t="str">
        <f>LOOKUP(H630,Sheet2!$M$4:$N$8)</f>
        <v>Unknown</v>
      </c>
      <c r="J630" s="1">
        <v>0</v>
      </c>
      <c r="K630" t="str">
        <f>LOOKUP(J630,Sheet2!$P$4:$Q$9)</f>
        <v>Unknown</v>
      </c>
      <c r="L630" s="1">
        <v>34.6</v>
      </c>
      <c r="M630" t="str">
        <f>LOOKUP(L630,Sheet2!$S$4:$T$8)</f>
        <v>31-35</v>
      </c>
      <c r="N630" s="1">
        <v>0.14399999999999999</v>
      </c>
      <c r="O630" t="str">
        <f>LOOKUP(N630,Sheet2!$V$4:$W$7)</f>
        <v>0.0 - 0.249</v>
      </c>
      <c r="P630" s="1">
        <v>45</v>
      </c>
      <c r="Q630" t="str">
        <f>LOOKUP(P630,Sheet2!$Z$4:$AA$7)</f>
        <v>36-45</v>
      </c>
      <c r="R630" s="1">
        <v>0</v>
      </c>
      <c r="S630" t="str">
        <f>IF(R630=1,"Positive","Negative")</f>
        <v>Negative</v>
      </c>
      <c r="T630" s="1" t="str">
        <f>IFERROR(VLOOKUP(A630,[1]diabetes_Recognition!$A:$B,2,FALSE),"Not Sampled")</f>
        <v>Not Sampled</v>
      </c>
      <c r="U630" t="str">
        <f>IF(T630=1,"Positive",(IF(T630=0,"Negative","Not Sampled")))</f>
        <v>Not Sampled</v>
      </c>
      <c r="V630" s="1" t="str">
        <f>IF(U630="Not Sampled","Not Sampled",IF(S630=U630,"Accurate Prediction","Inaccurate Prediction"))</f>
        <v>Not Sampled</v>
      </c>
    </row>
    <row r="631" spans="1:22" x14ac:dyDescent="0.25">
      <c r="A631" s="1">
        <v>629</v>
      </c>
      <c r="B631" s="1">
        <v>4</v>
      </c>
      <c r="C631" s="1" t="str">
        <f>LOOKUP(B631,Sheet2!$D$4:$E$9)</f>
        <v>3-4</v>
      </c>
      <c r="D631" s="1">
        <v>94</v>
      </c>
      <c r="E631" t="str">
        <f>LOOKUP(D631,Sheet2!$G$4:$H$9)</f>
        <v>1-99</v>
      </c>
      <c r="F631" s="1">
        <v>65</v>
      </c>
      <c r="G631" t="str">
        <f>LOOKUP(F631,Sheet2!$J$4:$K$8)</f>
        <v>60-69</v>
      </c>
      <c r="H631" s="1">
        <v>22</v>
      </c>
      <c r="I631" t="str">
        <f>LOOKUP(H631,Sheet2!$M$4:$N$8)</f>
        <v>10-30</v>
      </c>
      <c r="J631" s="1">
        <v>0</v>
      </c>
      <c r="K631" t="str">
        <f>LOOKUP(J631,Sheet2!$P$4:$Q$9)</f>
        <v>Unknown</v>
      </c>
      <c r="L631" s="1">
        <v>24.7</v>
      </c>
      <c r="M631" t="str">
        <f>LOOKUP(L631,Sheet2!$S$4:$T$8)</f>
        <v>1-25</v>
      </c>
      <c r="N631" s="1">
        <v>0.14799999999999999</v>
      </c>
      <c r="O631" t="str">
        <f>LOOKUP(N631,Sheet2!$V$4:$W$7)</f>
        <v>0.0 - 0.249</v>
      </c>
      <c r="P631" s="1">
        <v>21</v>
      </c>
      <c r="Q631" t="str">
        <f>LOOKUP(P631,Sheet2!$Z$4:$AA$7)</f>
        <v>&lt;=25</v>
      </c>
      <c r="R631" s="1">
        <v>0</v>
      </c>
      <c r="S631" t="str">
        <f>IF(R631=1,"Positive","Negative")</f>
        <v>Negative</v>
      </c>
      <c r="T631" s="1" t="str">
        <f>IFERROR(VLOOKUP(A631,[1]diabetes_Recognition!$A:$B,2,FALSE),"Not Sampled")</f>
        <v>Not Sampled</v>
      </c>
      <c r="U631" t="str">
        <f>IF(T631=1,"Positive",(IF(T631=0,"Negative","Not Sampled")))</f>
        <v>Not Sampled</v>
      </c>
      <c r="V631" s="1" t="str">
        <f>IF(U631="Not Sampled","Not Sampled",IF(S631=U631,"Accurate Prediction","Inaccurate Prediction"))</f>
        <v>Not Sampled</v>
      </c>
    </row>
    <row r="632" spans="1:22" x14ac:dyDescent="0.25">
      <c r="A632" s="1">
        <v>630</v>
      </c>
      <c r="B632" s="1">
        <v>7</v>
      </c>
      <c r="C632" s="1" t="str">
        <f>LOOKUP(B632,Sheet2!$D$4:$E$9)</f>
        <v>5-7</v>
      </c>
      <c r="D632" s="1">
        <v>114</v>
      </c>
      <c r="E632" t="str">
        <f>LOOKUP(D632,Sheet2!$G$4:$H$9)</f>
        <v>100-125</v>
      </c>
      <c r="F632" s="1">
        <v>64</v>
      </c>
      <c r="G632" t="str">
        <f>LOOKUP(F632,Sheet2!$J$4:$K$8)</f>
        <v>60-69</v>
      </c>
      <c r="H632" s="1">
        <v>0</v>
      </c>
      <c r="I632" t="str">
        <f>LOOKUP(H632,Sheet2!$M$4:$N$8)</f>
        <v>Unknown</v>
      </c>
      <c r="J632" s="1">
        <v>0</v>
      </c>
      <c r="K632" t="str">
        <f>LOOKUP(J632,Sheet2!$P$4:$Q$9)</f>
        <v>Unknown</v>
      </c>
      <c r="L632" s="1">
        <v>27.4</v>
      </c>
      <c r="M632" t="str">
        <f>LOOKUP(L632,Sheet2!$S$4:$T$8)</f>
        <v>26-30</v>
      </c>
      <c r="N632" s="1">
        <v>0.73199999999999998</v>
      </c>
      <c r="O632" t="str">
        <f>LOOKUP(N632,Sheet2!$V$4:$W$7)</f>
        <v>0.7+</v>
      </c>
      <c r="P632" s="1">
        <v>34</v>
      </c>
      <c r="Q632" t="str">
        <f>LOOKUP(P632,Sheet2!$Z$4:$AA$7)</f>
        <v>26-35</v>
      </c>
      <c r="R632" s="1">
        <v>1</v>
      </c>
      <c r="S632" t="str">
        <f>IF(R632=1,"Positive","Negative")</f>
        <v>Positive</v>
      </c>
      <c r="T632" s="1" t="str">
        <f>IFERROR(VLOOKUP(A632,[1]diabetes_Recognition!$A:$B,2,FALSE),"Not Sampled")</f>
        <v>Not Sampled</v>
      </c>
      <c r="U632" t="str">
        <f>IF(T632=1,"Positive",(IF(T632=0,"Negative","Not Sampled")))</f>
        <v>Not Sampled</v>
      </c>
      <c r="V632" s="1" t="str">
        <f>IF(U632="Not Sampled","Not Sampled",IF(S632=U632,"Accurate Prediction","Inaccurate Prediction"))</f>
        <v>Not Sampled</v>
      </c>
    </row>
    <row r="633" spans="1:22" x14ac:dyDescent="0.25">
      <c r="A633" s="1">
        <v>631</v>
      </c>
      <c r="B633" s="1">
        <v>0</v>
      </c>
      <c r="C633" s="1">
        <f>LOOKUP(B633,Sheet2!$D$4:$E$9)</f>
        <v>0</v>
      </c>
      <c r="D633" s="1">
        <v>102</v>
      </c>
      <c r="E633" t="str">
        <f>LOOKUP(D633,Sheet2!$G$4:$H$9)</f>
        <v>100-125</v>
      </c>
      <c r="F633" s="1">
        <v>78</v>
      </c>
      <c r="G633" t="str">
        <f>LOOKUP(F633,Sheet2!$J$4:$K$8)</f>
        <v>70-79</v>
      </c>
      <c r="H633" s="1">
        <v>40</v>
      </c>
      <c r="I633" t="str">
        <f>LOOKUP(H633,Sheet2!$M$4:$N$8)</f>
        <v>40+</v>
      </c>
      <c r="J633" s="1">
        <v>90</v>
      </c>
      <c r="K633" t="str">
        <f>LOOKUP(J633,Sheet2!$P$4:$Q$9)</f>
        <v>1-99</v>
      </c>
      <c r="L633" s="1">
        <v>34.5</v>
      </c>
      <c r="M633" t="str">
        <f>LOOKUP(L633,Sheet2!$S$4:$T$8)</f>
        <v>31-35</v>
      </c>
      <c r="N633" s="1">
        <v>0.23799999999999999</v>
      </c>
      <c r="O633" t="str">
        <f>LOOKUP(N633,Sheet2!$V$4:$W$7)</f>
        <v>0.0 - 0.249</v>
      </c>
      <c r="P633" s="1">
        <v>24</v>
      </c>
      <c r="Q633" t="str">
        <f>LOOKUP(P633,Sheet2!$Z$4:$AA$7)</f>
        <v>&lt;=25</v>
      </c>
      <c r="R633" s="1">
        <v>0</v>
      </c>
      <c r="S633" t="str">
        <f>IF(R633=1,"Positive","Negative")</f>
        <v>Negative</v>
      </c>
      <c r="T633" s="1">
        <f>IFERROR(VLOOKUP(A633,[1]diabetes_Recognition!$A:$B,2,FALSE),"Not Sampled")</f>
        <v>0</v>
      </c>
      <c r="U633" t="str">
        <f>IF(T633=1,"Positive",(IF(T633=0,"Negative","Not Sampled")))</f>
        <v>Negative</v>
      </c>
      <c r="V633" s="1" t="str">
        <f>IF(U633="Not Sampled","Not Sampled",IF(S633=U633,"Accurate Prediction","Inaccurate Prediction"))</f>
        <v>Accurate Prediction</v>
      </c>
    </row>
    <row r="634" spans="1:22" x14ac:dyDescent="0.25">
      <c r="A634" s="1">
        <v>632</v>
      </c>
      <c r="B634" s="1">
        <v>2</v>
      </c>
      <c r="C634" s="1">
        <f>LOOKUP(B634,Sheet2!$D$4:$E$9)</f>
        <v>2</v>
      </c>
      <c r="D634" s="1">
        <v>111</v>
      </c>
      <c r="E634" t="str">
        <f>LOOKUP(D634,Sheet2!$G$4:$H$9)</f>
        <v>100-125</v>
      </c>
      <c r="F634" s="1">
        <v>60</v>
      </c>
      <c r="G634" t="str">
        <f>LOOKUP(F634,Sheet2!$J$4:$K$8)</f>
        <v>60-69</v>
      </c>
      <c r="H634" s="1">
        <v>0</v>
      </c>
      <c r="I634" t="str">
        <f>LOOKUP(H634,Sheet2!$M$4:$N$8)</f>
        <v>Unknown</v>
      </c>
      <c r="J634" s="1">
        <v>0</v>
      </c>
      <c r="K634" t="str">
        <f>LOOKUP(J634,Sheet2!$P$4:$Q$9)</f>
        <v>Unknown</v>
      </c>
      <c r="L634" s="1">
        <v>26.2</v>
      </c>
      <c r="M634" t="str">
        <f>LOOKUP(L634,Sheet2!$S$4:$T$8)</f>
        <v>26-30</v>
      </c>
      <c r="N634" s="1">
        <v>0.34300000000000003</v>
      </c>
      <c r="O634" t="str">
        <f>LOOKUP(N634,Sheet2!$V$4:$W$7)</f>
        <v>0.25 - 0.39</v>
      </c>
      <c r="P634" s="1">
        <v>23</v>
      </c>
      <c r="Q634" t="str">
        <f>LOOKUP(P634,Sheet2!$Z$4:$AA$7)</f>
        <v>&lt;=25</v>
      </c>
      <c r="R634" s="1">
        <v>0</v>
      </c>
      <c r="S634" t="str">
        <f>IF(R634=1,"Positive","Negative")</f>
        <v>Negative</v>
      </c>
      <c r="T634" s="1" t="str">
        <f>IFERROR(VLOOKUP(A634,[1]diabetes_Recognition!$A:$B,2,FALSE),"Not Sampled")</f>
        <v>Not Sampled</v>
      </c>
      <c r="U634" t="str">
        <f>IF(T634=1,"Positive",(IF(T634=0,"Negative","Not Sampled")))</f>
        <v>Not Sampled</v>
      </c>
      <c r="V634" s="1" t="str">
        <f>IF(U634="Not Sampled","Not Sampled",IF(S634=U634,"Accurate Prediction","Inaccurate Prediction"))</f>
        <v>Not Sampled</v>
      </c>
    </row>
    <row r="635" spans="1:22" x14ac:dyDescent="0.25">
      <c r="A635" s="1">
        <v>633</v>
      </c>
      <c r="B635" s="1">
        <v>1</v>
      </c>
      <c r="C635" s="1">
        <f>LOOKUP(B635,Sheet2!$D$4:$E$9)</f>
        <v>1</v>
      </c>
      <c r="D635" s="1">
        <v>128</v>
      </c>
      <c r="E635" t="str">
        <f>LOOKUP(D635,Sheet2!$G$4:$H$9)</f>
        <v>126-150</v>
      </c>
      <c r="F635" s="1">
        <v>82</v>
      </c>
      <c r="G635" t="str">
        <f>LOOKUP(F635,Sheet2!$J$4:$K$8)</f>
        <v>80+</v>
      </c>
      <c r="H635" s="1">
        <v>17</v>
      </c>
      <c r="I635" t="str">
        <f>LOOKUP(H635,Sheet2!$M$4:$N$8)</f>
        <v>10-30</v>
      </c>
      <c r="J635" s="1">
        <v>183</v>
      </c>
      <c r="K635" t="str">
        <f>LOOKUP(J635,Sheet2!$P$4:$Q$9)</f>
        <v>100-199</v>
      </c>
      <c r="L635" s="1">
        <v>27.5</v>
      </c>
      <c r="M635" t="str">
        <f>LOOKUP(L635,Sheet2!$S$4:$T$8)</f>
        <v>26-30</v>
      </c>
      <c r="N635" s="1">
        <v>0.115</v>
      </c>
      <c r="O635" t="str">
        <f>LOOKUP(N635,Sheet2!$V$4:$W$7)</f>
        <v>0.0 - 0.249</v>
      </c>
      <c r="P635" s="1">
        <v>22</v>
      </c>
      <c r="Q635" t="str">
        <f>LOOKUP(P635,Sheet2!$Z$4:$AA$7)</f>
        <v>&lt;=25</v>
      </c>
      <c r="R635" s="1">
        <v>0</v>
      </c>
      <c r="S635" t="str">
        <f>IF(R635=1,"Positive","Negative")</f>
        <v>Negative</v>
      </c>
      <c r="T635" s="1" t="str">
        <f>IFERROR(VLOOKUP(A635,[1]diabetes_Recognition!$A:$B,2,FALSE),"Not Sampled")</f>
        <v>Not Sampled</v>
      </c>
      <c r="U635" t="str">
        <f>IF(T635=1,"Positive",(IF(T635=0,"Negative","Not Sampled")))</f>
        <v>Not Sampled</v>
      </c>
      <c r="V635" s="1" t="str">
        <f>IF(U635="Not Sampled","Not Sampled",IF(S635=U635,"Accurate Prediction","Inaccurate Prediction"))</f>
        <v>Not Sampled</v>
      </c>
    </row>
    <row r="636" spans="1:22" x14ac:dyDescent="0.25">
      <c r="A636" s="1">
        <v>634</v>
      </c>
      <c r="B636" s="1">
        <v>10</v>
      </c>
      <c r="C636" s="1" t="str">
        <f>LOOKUP(B636,Sheet2!$D$4:$E$9)</f>
        <v>8+</v>
      </c>
      <c r="D636" s="1">
        <v>92</v>
      </c>
      <c r="E636" t="str">
        <f>LOOKUP(D636,Sheet2!$G$4:$H$9)</f>
        <v>1-99</v>
      </c>
      <c r="F636" s="1">
        <v>62</v>
      </c>
      <c r="G636" t="str">
        <f>LOOKUP(F636,Sheet2!$J$4:$K$8)</f>
        <v>60-69</v>
      </c>
      <c r="H636" s="1">
        <v>0</v>
      </c>
      <c r="I636" t="str">
        <f>LOOKUP(H636,Sheet2!$M$4:$N$8)</f>
        <v>Unknown</v>
      </c>
      <c r="J636" s="1">
        <v>0</v>
      </c>
      <c r="K636" t="str">
        <f>LOOKUP(J636,Sheet2!$P$4:$Q$9)</f>
        <v>Unknown</v>
      </c>
      <c r="L636" s="1">
        <v>25.9</v>
      </c>
      <c r="M636" t="str">
        <f>LOOKUP(L636,Sheet2!$S$4:$T$8)</f>
        <v>1-25</v>
      </c>
      <c r="N636" s="1">
        <v>0.16700000000000001</v>
      </c>
      <c r="O636" t="str">
        <f>LOOKUP(N636,Sheet2!$V$4:$W$7)</f>
        <v>0.0 - 0.249</v>
      </c>
      <c r="P636" s="1">
        <v>31</v>
      </c>
      <c r="Q636" t="str">
        <f>LOOKUP(P636,Sheet2!$Z$4:$AA$7)</f>
        <v>26-35</v>
      </c>
      <c r="R636" s="1">
        <v>0</v>
      </c>
      <c r="S636" t="str">
        <f>IF(R636=1,"Positive","Negative")</f>
        <v>Negative</v>
      </c>
      <c r="T636" s="1" t="str">
        <f>IFERROR(VLOOKUP(A636,[1]diabetes_Recognition!$A:$B,2,FALSE),"Not Sampled")</f>
        <v>Not Sampled</v>
      </c>
      <c r="U636" t="str">
        <f>IF(T636=1,"Positive",(IF(T636=0,"Negative","Not Sampled")))</f>
        <v>Not Sampled</v>
      </c>
      <c r="V636" s="1" t="str">
        <f>IF(U636="Not Sampled","Not Sampled",IF(S636=U636,"Accurate Prediction","Inaccurate Prediction"))</f>
        <v>Not Sampled</v>
      </c>
    </row>
    <row r="637" spans="1:22" x14ac:dyDescent="0.25">
      <c r="A637" s="1">
        <v>635</v>
      </c>
      <c r="B637" s="1">
        <v>13</v>
      </c>
      <c r="C637" s="1" t="str">
        <f>LOOKUP(B637,Sheet2!$D$4:$E$9)</f>
        <v>8+</v>
      </c>
      <c r="D637" s="1">
        <v>104</v>
      </c>
      <c r="E637" t="str">
        <f>LOOKUP(D637,Sheet2!$G$4:$H$9)</f>
        <v>100-125</v>
      </c>
      <c r="F637" s="1">
        <v>72</v>
      </c>
      <c r="G637" t="str">
        <f>LOOKUP(F637,Sheet2!$J$4:$K$8)</f>
        <v>70-79</v>
      </c>
      <c r="H637" s="1">
        <v>0</v>
      </c>
      <c r="I637" t="str">
        <f>LOOKUP(H637,Sheet2!$M$4:$N$8)</f>
        <v>Unknown</v>
      </c>
      <c r="J637" s="1">
        <v>0</v>
      </c>
      <c r="K637" t="str">
        <f>LOOKUP(J637,Sheet2!$P$4:$Q$9)</f>
        <v>Unknown</v>
      </c>
      <c r="L637" s="1">
        <v>31.2</v>
      </c>
      <c r="M637" t="str">
        <f>LOOKUP(L637,Sheet2!$S$4:$T$8)</f>
        <v>31-35</v>
      </c>
      <c r="N637" s="1">
        <v>0.46500000000000002</v>
      </c>
      <c r="O637" t="str">
        <f>LOOKUP(N637,Sheet2!$V$4:$W$7)</f>
        <v>0.4 - 0.69</v>
      </c>
      <c r="P637" s="1">
        <v>38</v>
      </c>
      <c r="Q637" t="str">
        <f>LOOKUP(P637,Sheet2!$Z$4:$AA$7)</f>
        <v>36-45</v>
      </c>
      <c r="R637" s="1">
        <v>1</v>
      </c>
      <c r="S637" t="str">
        <f>IF(R637=1,"Positive","Negative")</f>
        <v>Positive</v>
      </c>
      <c r="T637" s="1" t="str">
        <f>IFERROR(VLOOKUP(A637,[1]diabetes_Recognition!$A:$B,2,FALSE),"Not Sampled")</f>
        <v>Not Sampled</v>
      </c>
      <c r="U637" t="str">
        <f>IF(T637=1,"Positive",(IF(T637=0,"Negative","Not Sampled")))</f>
        <v>Not Sampled</v>
      </c>
      <c r="V637" s="1" t="str">
        <f>IF(U637="Not Sampled","Not Sampled",IF(S637=U637,"Accurate Prediction","Inaccurate Prediction"))</f>
        <v>Not Sampled</v>
      </c>
    </row>
    <row r="638" spans="1:22" x14ac:dyDescent="0.25">
      <c r="A638" s="1">
        <v>636</v>
      </c>
      <c r="B638" s="1">
        <v>5</v>
      </c>
      <c r="C638" s="1" t="str">
        <f>LOOKUP(B638,Sheet2!$D$4:$E$9)</f>
        <v>5-7</v>
      </c>
      <c r="D638" s="1">
        <v>104</v>
      </c>
      <c r="E638" t="str">
        <f>LOOKUP(D638,Sheet2!$G$4:$H$9)</f>
        <v>100-125</v>
      </c>
      <c r="F638" s="1">
        <v>74</v>
      </c>
      <c r="G638" t="str">
        <f>LOOKUP(F638,Sheet2!$J$4:$K$8)</f>
        <v>70-79</v>
      </c>
      <c r="H638" s="1">
        <v>0</v>
      </c>
      <c r="I638" t="str">
        <f>LOOKUP(H638,Sheet2!$M$4:$N$8)</f>
        <v>Unknown</v>
      </c>
      <c r="J638" s="1">
        <v>0</v>
      </c>
      <c r="K638" t="str">
        <f>LOOKUP(J638,Sheet2!$P$4:$Q$9)</f>
        <v>Unknown</v>
      </c>
      <c r="L638" s="1">
        <v>28.8</v>
      </c>
      <c r="M638" t="str">
        <f>LOOKUP(L638,Sheet2!$S$4:$T$8)</f>
        <v>26-30</v>
      </c>
      <c r="N638" s="1">
        <v>0.153</v>
      </c>
      <c r="O638" t="str">
        <f>LOOKUP(N638,Sheet2!$V$4:$W$7)</f>
        <v>0.0 - 0.249</v>
      </c>
      <c r="P638" s="1">
        <v>48</v>
      </c>
      <c r="Q638" t="str">
        <f>LOOKUP(P638,Sheet2!$Z$4:$AA$7)</f>
        <v>46+</v>
      </c>
      <c r="R638" s="1">
        <v>0</v>
      </c>
      <c r="S638" t="str">
        <f>IF(R638=1,"Positive","Negative")</f>
        <v>Negative</v>
      </c>
      <c r="T638" s="1" t="str">
        <f>IFERROR(VLOOKUP(A638,[1]diabetes_Recognition!$A:$B,2,FALSE),"Not Sampled")</f>
        <v>Not Sampled</v>
      </c>
      <c r="U638" t="str">
        <f>IF(T638=1,"Positive",(IF(T638=0,"Negative","Not Sampled")))</f>
        <v>Not Sampled</v>
      </c>
      <c r="V638" s="1" t="str">
        <f>IF(U638="Not Sampled","Not Sampled",IF(S638=U638,"Accurate Prediction","Inaccurate Prediction"))</f>
        <v>Not Sampled</v>
      </c>
    </row>
    <row r="639" spans="1:22" x14ac:dyDescent="0.25">
      <c r="A639" s="1">
        <v>637</v>
      </c>
      <c r="B639" s="1">
        <v>2</v>
      </c>
      <c r="C639" s="1">
        <f>LOOKUP(B639,Sheet2!$D$4:$E$9)</f>
        <v>2</v>
      </c>
      <c r="D639" s="1">
        <v>94</v>
      </c>
      <c r="E639" t="str">
        <f>LOOKUP(D639,Sheet2!$G$4:$H$9)</f>
        <v>1-99</v>
      </c>
      <c r="F639" s="1">
        <v>76</v>
      </c>
      <c r="G639" t="str">
        <f>LOOKUP(F639,Sheet2!$J$4:$K$8)</f>
        <v>70-79</v>
      </c>
      <c r="H639" s="1">
        <v>18</v>
      </c>
      <c r="I639" t="str">
        <f>LOOKUP(H639,Sheet2!$M$4:$N$8)</f>
        <v>10-30</v>
      </c>
      <c r="J639" s="1">
        <v>66</v>
      </c>
      <c r="K639" t="str">
        <f>LOOKUP(J639,Sheet2!$P$4:$Q$9)</f>
        <v>1-99</v>
      </c>
      <c r="L639" s="1">
        <v>31.6</v>
      </c>
      <c r="M639" t="str">
        <f>LOOKUP(L639,Sheet2!$S$4:$T$8)</f>
        <v>31-35</v>
      </c>
      <c r="N639" s="1">
        <v>0.64900000000000002</v>
      </c>
      <c r="O639" t="str">
        <f>LOOKUP(N639,Sheet2!$V$4:$W$7)</f>
        <v>0.4 - 0.69</v>
      </c>
      <c r="P639" s="1">
        <v>23</v>
      </c>
      <c r="Q639" t="str">
        <f>LOOKUP(P639,Sheet2!$Z$4:$AA$7)</f>
        <v>&lt;=25</v>
      </c>
      <c r="R639" s="1">
        <v>0</v>
      </c>
      <c r="S639" t="str">
        <f>IF(R639=1,"Positive","Negative")</f>
        <v>Negative</v>
      </c>
      <c r="T639" s="1" t="str">
        <f>IFERROR(VLOOKUP(A639,[1]diabetes_Recognition!$A:$B,2,FALSE),"Not Sampled")</f>
        <v>Not Sampled</v>
      </c>
      <c r="U639" t="str">
        <f>IF(T639=1,"Positive",(IF(T639=0,"Negative","Not Sampled")))</f>
        <v>Not Sampled</v>
      </c>
      <c r="V639" s="1" t="str">
        <f>IF(U639="Not Sampled","Not Sampled",IF(S639=U639,"Accurate Prediction","Inaccurate Prediction"))</f>
        <v>Not Sampled</v>
      </c>
    </row>
    <row r="640" spans="1:22" x14ac:dyDescent="0.25">
      <c r="A640" s="1">
        <v>638</v>
      </c>
      <c r="B640" s="1">
        <v>7</v>
      </c>
      <c r="C640" s="1" t="str">
        <f>LOOKUP(B640,Sheet2!$D$4:$E$9)</f>
        <v>5-7</v>
      </c>
      <c r="D640" s="1">
        <v>97</v>
      </c>
      <c r="E640" t="str">
        <f>LOOKUP(D640,Sheet2!$G$4:$H$9)</f>
        <v>1-99</v>
      </c>
      <c r="F640" s="1">
        <v>76</v>
      </c>
      <c r="G640" t="str">
        <f>LOOKUP(F640,Sheet2!$J$4:$K$8)</f>
        <v>70-79</v>
      </c>
      <c r="H640" s="1">
        <v>32</v>
      </c>
      <c r="I640" t="str">
        <f>LOOKUP(H640,Sheet2!$M$4:$N$8)</f>
        <v>30-39</v>
      </c>
      <c r="J640" s="1">
        <v>91</v>
      </c>
      <c r="K640" t="str">
        <f>LOOKUP(J640,Sheet2!$P$4:$Q$9)</f>
        <v>1-99</v>
      </c>
      <c r="L640" s="1">
        <v>40.9</v>
      </c>
      <c r="M640" t="str">
        <f>LOOKUP(L640,Sheet2!$S$4:$T$8)</f>
        <v>36+</v>
      </c>
      <c r="N640" s="1">
        <v>0.871</v>
      </c>
      <c r="O640" t="str">
        <f>LOOKUP(N640,Sheet2!$V$4:$W$7)</f>
        <v>0.7+</v>
      </c>
      <c r="P640" s="1">
        <v>32</v>
      </c>
      <c r="Q640" t="str">
        <f>LOOKUP(P640,Sheet2!$Z$4:$AA$7)</f>
        <v>26-35</v>
      </c>
      <c r="R640" s="1">
        <v>1</v>
      </c>
      <c r="S640" t="str">
        <f>IF(R640=1,"Positive","Negative")</f>
        <v>Positive</v>
      </c>
      <c r="T640" s="1" t="str">
        <f>IFERROR(VLOOKUP(A640,[1]diabetes_Recognition!$A:$B,2,FALSE),"Not Sampled")</f>
        <v>Not Sampled</v>
      </c>
      <c r="U640" t="str">
        <f>IF(T640=1,"Positive",(IF(T640=0,"Negative","Not Sampled")))</f>
        <v>Not Sampled</v>
      </c>
      <c r="V640" s="1" t="str">
        <f>IF(U640="Not Sampled","Not Sampled",IF(S640=U640,"Accurate Prediction","Inaccurate Prediction"))</f>
        <v>Not Sampled</v>
      </c>
    </row>
    <row r="641" spans="1:22" x14ac:dyDescent="0.25">
      <c r="A641" s="1">
        <v>639</v>
      </c>
      <c r="B641" s="1">
        <v>1</v>
      </c>
      <c r="C641" s="1">
        <f>LOOKUP(B641,Sheet2!$D$4:$E$9)</f>
        <v>1</v>
      </c>
      <c r="D641" s="1">
        <v>100</v>
      </c>
      <c r="E641" t="str">
        <f>LOOKUP(D641,Sheet2!$G$4:$H$9)</f>
        <v>100-125</v>
      </c>
      <c r="F641" s="1">
        <v>74</v>
      </c>
      <c r="G641" t="str">
        <f>LOOKUP(F641,Sheet2!$J$4:$K$8)</f>
        <v>70-79</v>
      </c>
      <c r="H641" s="1">
        <v>12</v>
      </c>
      <c r="I641" t="str">
        <f>LOOKUP(H641,Sheet2!$M$4:$N$8)</f>
        <v>10-30</v>
      </c>
      <c r="J641" s="1">
        <v>46</v>
      </c>
      <c r="K641" t="str">
        <f>LOOKUP(J641,Sheet2!$P$4:$Q$9)</f>
        <v>1-99</v>
      </c>
      <c r="L641" s="1">
        <v>19.5</v>
      </c>
      <c r="M641" t="str">
        <f>LOOKUP(L641,Sheet2!$S$4:$T$8)</f>
        <v>1-25</v>
      </c>
      <c r="N641" s="1">
        <v>0.14899999999999999</v>
      </c>
      <c r="O641" t="str">
        <f>LOOKUP(N641,Sheet2!$V$4:$W$7)</f>
        <v>0.0 - 0.249</v>
      </c>
      <c r="P641" s="1">
        <v>28</v>
      </c>
      <c r="Q641" t="str">
        <f>LOOKUP(P641,Sheet2!$Z$4:$AA$7)</f>
        <v>26-35</v>
      </c>
      <c r="R641" s="1">
        <v>0</v>
      </c>
      <c r="S641" t="str">
        <f>IF(R641=1,"Positive","Negative")</f>
        <v>Negative</v>
      </c>
      <c r="T641" s="1" t="str">
        <f>IFERROR(VLOOKUP(A641,[1]diabetes_Recognition!$A:$B,2,FALSE),"Not Sampled")</f>
        <v>Not Sampled</v>
      </c>
      <c r="U641" t="str">
        <f>IF(T641=1,"Positive",(IF(T641=0,"Negative","Not Sampled")))</f>
        <v>Not Sampled</v>
      </c>
      <c r="V641" s="1" t="str">
        <f>IF(U641="Not Sampled","Not Sampled",IF(S641=U641,"Accurate Prediction","Inaccurate Prediction"))</f>
        <v>Not Sampled</v>
      </c>
    </row>
    <row r="642" spans="1:22" x14ac:dyDescent="0.25">
      <c r="A642" s="1">
        <v>640</v>
      </c>
      <c r="B642" s="1">
        <v>0</v>
      </c>
      <c r="C642" s="1">
        <f>LOOKUP(B642,Sheet2!$D$4:$E$9)</f>
        <v>0</v>
      </c>
      <c r="D642" s="1">
        <v>102</v>
      </c>
      <c r="E642" t="str">
        <f>LOOKUP(D642,Sheet2!$G$4:$H$9)</f>
        <v>100-125</v>
      </c>
      <c r="F642" s="1">
        <v>86</v>
      </c>
      <c r="G642" t="str">
        <f>LOOKUP(F642,Sheet2!$J$4:$K$8)</f>
        <v>80+</v>
      </c>
      <c r="H642" s="1">
        <v>17</v>
      </c>
      <c r="I642" t="str">
        <f>LOOKUP(H642,Sheet2!$M$4:$N$8)</f>
        <v>10-30</v>
      </c>
      <c r="J642" s="1">
        <v>105</v>
      </c>
      <c r="K642" t="str">
        <f>LOOKUP(J642,Sheet2!$P$4:$Q$9)</f>
        <v>100-199</v>
      </c>
      <c r="L642" s="1">
        <v>29.3</v>
      </c>
      <c r="M642" t="str">
        <f>LOOKUP(L642,Sheet2!$S$4:$T$8)</f>
        <v>26-30</v>
      </c>
      <c r="N642" s="1">
        <v>0.69499999999999995</v>
      </c>
      <c r="O642" t="str">
        <f>LOOKUP(N642,Sheet2!$V$4:$W$7)</f>
        <v>0.4 - 0.69</v>
      </c>
      <c r="P642" s="1">
        <v>27</v>
      </c>
      <c r="Q642" t="str">
        <f>LOOKUP(P642,Sheet2!$Z$4:$AA$7)</f>
        <v>26-35</v>
      </c>
      <c r="R642" s="1">
        <v>0</v>
      </c>
      <c r="S642" t="str">
        <f>IF(R642=1,"Positive","Negative")</f>
        <v>Negative</v>
      </c>
      <c r="T642" s="1" t="str">
        <f>IFERROR(VLOOKUP(A642,[1]diabetes_Recognition!$A:$B,2,FALSE),"Not Sampled")</f>
        <v>Not Sampled</v>
      </c>
      <c r="U642" t="str">
        <f>IF(T642=1,"Positive",(IF(T642=0,"Negative","Not Sampled")))</f>
        <v>Not Sampled</v>
      </c>
      <c r="V642" s="1" t="str">
        <f>IF(U642="Not Sampled","Not Sampled",IF(S642=U642,"Accurate Prediction","Inaccurate Prediction"))</f>
        <v>Not Sampled</v>
      </c>
    </row>
    <row r="643" spans="1:22" x14ac:dyDescent="0.25">
      <c r="A643" s="1">
        <v>641</v>
      </c>
      <c r="B643" s="1">
        <v>4</v>
      </c>
      <c r="C643" s="1" t="str">
        <f>LOOKUP(B643,Sheet2!$D$4:$E$9)</f>
        <v>3-4</v>
      </c>
      <c r="D643" s="1">
        <v>128</v>
      </c>
      <c r="E643" t="str">
        <f>LOOKUP(D643,Sheet2!$G$4:$H$9)</f>
        <v>126-150</v>
      </c>
      <c r="F643" s="1">
        <v>70</v>
      </c>
      <c r="G643" t="str">
        <f>LOOKUP(F643,Sheet2!$J$4:$K$8)</f>
        <v>70-79</v>
      </c>
      <c r="H643" s="1">
        <v>0</v>
      </c>
      <c r="I643" t="str">
        <f>LOOKUP(H643,Sheet2!$M$4:$N$8)</f>
        <v>Unknown</v>
      </c>
      <c r="J643" s="1">
        <v>0</v>
      </c>
      <c r="K643" t="str">
        <f>LOOKUP(J643,Sheet2!$P$4:$Q$9)</f>
        <v>Unknown</v>
      </c>
      <c r="L643" s="1">
        <v>34.299999999999997</v>
      </c>
      <c r="M643" t="str">
        <f>LOOKUP(L643,Sheet2!$S$4:$T$8)</f>
        <v>31-35</v>
      </c>
      <c r="N643" s="1">
        <v>0.30299999999999999</v>
      </c>
      <c r="O643" t="str">
        <f>LOOKUP(N643,Sheet2!$V$4:$W$7)</f>
        <v>0.25 - 0.39</v>
      </c>
      <c r="P643" s="1">
        <v>24</v>
      </c>
      <c r="Q643" t="str">
        <f>LOOKUP(P643,Sheet2!$Z$4:$AA$7)</f>
        <v>&lt;=25</v>
      </c>
      <c r="R643" s="1">
        <v>0</v>
      </c>
      <c r="S643" t="str">
        <f>IF(R643=1,"Positive","Negative")</f>
        <v>Negative</v>
      </c>
      <c r="T643" s="1">
        <f>IFERROR(VLOOKUP(A643,[1]diabetes_Recognition!$A:$B,2,FALSE),"Not Sampled")</f>
        <v>0</v>
      </c>
      <c r="U643" t="str">
        <f>IF(T643=1,"Positive",(IF(T643=0,"Negative","Not Sampled")))</f>
        <v>Negative</v>
      </c>
      <c r="V643" s="1" t="str">
        <f>IF(U643="Not Sampled","Not Sampled",IF(S643=U643,"Accurate Prediction","Inaccurate Prediction"))</f>
        <v>Accurate Prediction</v>
      </c>
    </row>
    <row r="644" spans="1:22" x14ac:dyDescent="0.25">
      <c r="A644" s="1">
        <v>642</v>
      </c>
      <c r="B644" s="1">
        <v>6</v>
      </c>
      <c r="C644" s="1" t="str">
        <f>LOOKUP(B644,Sheet2!$D$4:$E$9)</f>
        <v>5-7</v>
      </c>
      <c r="D644" s="1">
        <v>147</v>
      </c>
      <c r="E644" t="str">
        <f>LOOKUP(D644,Sheet2!$G$4:$H$9)</f>
        <v>126-150</v>
      </c>
      <c r="F644" s="1">
        <v>80</v>
      </c>
      <c r="G644" t="str">
        <f>LOOKUP(F644,Sheet2!$J$4:$K$8)</f>
        <v>80+</v>
      </c>
      <c r="H644" s="1">
        <v>0</v>
      </c>
      <c r="I644" t="str">
        <f>LOOKUP(H644,Sheet2!$M$4:$N$8)</f>
        <v>Unknown</v>
      </c>
      <c r="J644" s="1">
        <v>0</v>
      </c>
      <c r="K644" t="str">
        <f>LOOKUP(J644,Sheet2!$P$4:$Q$9)</f>
        <v>Unknown</v>
      </c>
      <c r="L644" s="1">
        <v>29.5</v>
      </c>
      <c r="M644" t="str">
        <f>LOOKUP(L644,Sheet2!$S$4:$T$8)</f>
        <v>26-30</v>
      </c>
      <c r="N644" s="1">
        <v>0.17799999999999999</v>
      </c>
      <c r="O644" t="str">
        <f>LOOKUP(N644,Sheet2!$V$4:$W$7)</f>
        <v>0.0 - 0.249</v>
      </c>
      <c r="P644" s="1">
        <v>50</v>
      </c>
      <c r="Q644" t="str">
        <f>LOOKUP(P644,Sheet2!$Z$4:$AA$7)</f>
        <v>46+</v>
      </c>
      <c r="R644" s="1">
        <v>1</v>
      </c>
      <c r="S644" t="str">
        <f>IF(R644=1,"Positive","Negative")</f>
        <v>Positive</v>
      </c>
      <c r="T644" s="1" t="str">
        <f>IFERROR(VLOOKUP(A644,[1]diabetes_Recognition!$A:$B,2,FALSE),"Not Sampled")</f>
        <v>Not Sampled</v>
      </c>
      <c r="U644" t="str">
        <f>IF(T644=1,"Positive",(IF(T644=0,"Negative","Not Sampled")))</f>
        <v>Not Sampled</v>
      </c>
      <c r="V644" s="1" t="str">
        <f>IF(U644="Not Sampled","Not Sampled",IF(S644=U644,"Accurate Prediction","Inaccurate Prediction"))</f>
        <v>Not Sampled</v>
      </c>
    </row>
    <row r="645" spans="1:22" x14ac:dyDescent="0.25">
      <c r="A645" s="1">
        <v>643</v>
      </c>
      <c r="B645" s="1">
        <v>4</v>
      </c>
      <c r="C645" s="1" t="str">
        <f>LOOKUP(B645,Sheet2!$D$4:$E$9)</f>
        <v>3-4</v>
      </c>
      <c r="D645" s="1">
        <v>90</v>
      </c>
      <c r="E645" t="str">
        <f>LOOKUP(D645,Sheet2!$G$4:$H$9)</f>
        <v>1-99</v>
      </c>
      <c r="F645" s="1">
        <v>0</v>
      </c>
      <c r="G645" t="str">
        <f>LOOKUP(F645,Sheet2!$J$4:$K$8)</f>
        <v>Unknown</v>
      </c>
      <c r="H645" s="1">
        <v>0</v>
      </c>
      <c r="I645" t="str">
        <f>LOOKUP(H645,Sheet2!$M$4:$N$8)</f>
        <v>Unknown</v>
      </c>
      <c r="J645" s="1">
        <v>0</v>
      </c>
      <c r="K645" t="str">
        <f>LOOKUP(J645,Sheet2!$P$4:$Q$9)</f>
        <v>Unknown</v>
      </c>
      <c r="L645" s="1">
        <v>28</v>
      </c>
      <c r="M645" t="str">
        <f>LOOKUP(L645,Sheet2!$S$4:$T$8)</f>
        <v>26-30</v>
      </c>
      <c r="N645" s="1">
        <v>0.61</v>
      </c>
      <c r="O645" t="str">
        <f>LOOKUP(N645,Sheet2!$V$4:$W$7)</f>
        <v>0.4 - 0.69</v>
      </c>
      <c r="P645" s="1">
        <v>31</v>
      </c>
      <c r="Q645" t="str">
        <f>LOOKUP(P645,Sheet2!$Z$4:$AA$7)</f>
        <v>26-35</v>
      </c>
      <c r="R645" s="1">
        <v>0</v>
      </c>
      <c r="S645" t="str">
        <f>IF(R645=1,"Positive","Negative")</f>
        <v>Negative</v>
      </c>
      <c r="T645" s="1" t="str">
        <f>IFERROR(VLOOKUP(A645,[1]diabetes_Recognition!$A:$B,2,FALSE),"Not Sampled")</f>
        <v>Not Sampled</v>
      </c>
      <c r="U645" t="str">
        <f>IF(T645=1,"Positive",(IF(T645=0,"Negative","Not Sampled")))</f>
        <v>Not Sampled</v>
      </c>
      <c r="V645" s="1" t="str">
        <f>IF(U645="Not Sampled","Not Sampled",IF(S645=U645,"Accurate Prediction","Inaccurate Prediction"))</f>
        <v>Not Sampled</v>
      </c>
    </row>
    <row r="646" spans="1:22" x14ac:dyDescent="0.25">
      <c r="A646" s="1">
        <v>644</v>
      </c>
      <c r="B646" s="1">
        <v>3</v>
      </c>
      <c r="C646" s="1" t="str">
        <f>LOOKUP(B646,Sheet2!$D$4:$E$9)</f>
        <v>3-4</v>
      </c>
      <c r="D646" s="1">
        <v>103</v>
      </c>
      <c r="E646" t="str">
        <f>LOOKUP(D646,Sheet2!$G$4:$H$9)</f>
        <v>100-125</v>
      </c>
      <c r="F646" s="1">
        <v>72</v>
      </c>
      <c r="G646" t="str">
        <f>LOOKUP(F646,Sheet2!$J$4:$K$8)</f>
        <v>70-79</v>
      </c>
      <c r="H646" s="1">
        <v>30</v>
      </c>
      <c r="I646" t="str">
        <f>LOOKUP(H646,Sheet2!$M$4:$N$8)</f>
        <v>30-39</v>
      </c>
      <c r="J646" s="1">
        <v>152</v>
      </c>
      <c r="K646" t="str">
        <f>LOOKUP(J646,Sheet2!$P$4:$Q$9)</f>
        <v>100-199</v>
      </c>
      <c r="L646" s="1">
        <v>27.6</v>
      </c>
      <c r="M646" t="str">
        <f>LOOKUP(L646,Sheet2!$S$4:$T$8)</f>
        <v>26-30</v>
      </c>
      <c r="N646" s="1">
        <v>0.73</v>
      </c>
      <c r="O646" t="str">
        <f>LOOKUP(N646,Sheet2!$V$4:$W$7)</f>
        <v>0.7+</v>
      </c>
      <c r="P646" s="1">
        <v>27</v>
      </c>
      <c r="Q646" t="str">
        <f>LOOKUP(P646,Sheet2!$Z$4:$AA$7)</f>
        <v>26-35</v>
      </c>
      <c r="R646" s="1">
        <v>0</v>
      </c>
      <c r="S646" t="str">
        <f>IF(R646=1,"Positive","Negative")</f>
        <v>Negative</v>
      </c>
      <c r="T646" s="1">
        <f>IFERROR(VLOOKUP(A646,[1]diabetes_Recognition!$A:$B,2,FALSE),"Not Sampled")</f>
        <v>0</v>
      </c>
      <c r="U646" t="str">
        <f>IF(T646=1,"Positive",(IF(T646=0,"Negative","Not Sampled")))</f>
        <v>Negative</v>
      </c>
      <c r="V646" s="1" t="str">
        <f>IF(U646="Not Sampled","Not Sampled",IF(S646=U646,"Accurate Prediction","Inaccurate Prediction"))</f>
        <v>Accurate Prediction</v>
      </c>
    </row>
    <row r="647" spans="1:22" x14ac:dyDescent="0.25">
      <c r="A647" s="1">
        <v>645</v>
      </c>
      <c r="B647" s="1">
        <v>2</v>
      </c>
      <c r="C647" s="1">
        <f>LOOKUP(B647,Sheet2!$D$4:$E$9)</f>
        <v>2</v>
      </c>
      <c r="D647" s="1">
        <v>157</v>
      </c>
      <c r="E647" t="str">
        <f>LOOKUP(D647,Sheet2!$G$4:$H$9)</f>
        <v>151-175</v>
      </c>
      <c r="F647" s="1">
        <v>74</v>
      </c>
      <c r="G647" t="str">
        <f>LOOKUP(F647,Sheet2!$J$4:$K$8)</f>
        <v>70-79</v>
      </c>
      <c r="H647" s="1">
        <v>35</v>
      </c>
      <c r="I647" t="str">
        <f>LOOKUP(H647,Sheet2!$M$4:$N$8)</f>
        <v>30-39</v>
      </c>
      <c r="J647" s="1">
        <v>440</v>
      </c>
      <c r="K647" t="str">
        <f>LOOKUP(J647,Sheet2!$P$4:$Q$9)</f>
        <v>300-499</v>
      </c>
      <c r="L647" s="1">
        <v>39.4</v>
      </c>
      <c r="M647" t="str">
        <f>LOOKUP(L647,Sheet2!$S$4:$T$8)</f>
        <v>36+</v>
      </c>
      <c r="N647" s="1">
        <v>0.13400000000000001</v>
      </c>
      <c r="O647" t="str">
        <f>LOOKUP(N647,Sheet2!$V$4:$W$7)</f>
        <v>0.0 - 0.249</v>
      </c>
      <c r="P647" s="1">
        <v>30</v>
      </c>
      <c r="Q647" t="str">
        <f>LOOKUP(P647,Sheet2!$Z$4:$AA$7)</f>
        <v>26-35</v>
      </c>
      <c r="R647" s="1">
        <v>0</v>
      </c>
      <c r="S647" t="str">
        <f>IF(R647=1,"Positive","Negative")</f>
        <v>Negative</v>
      </c>
      <c r="T647" s="1" t="str">
        <f>IFERROR(VLOOKUP(A647,[1]diabetes_Recognition!$A:$B,2,FALSE),"Not Sampled")</f>
        <v>Not Sampled</v>
      </c>
      <c r="U647" t="str">
        <f>IF(T647=1,"Positive",(IF(T647=0,"Negative","Not Sampled")))</f>
        <v>Not Sampled</v>
      </c>
      <c r="V647" s="1" t="str">
        <f>IF(U647="Not Sampled","Not Sampled",IF(S647=U647,"Accurate Prediction","Inaccurate Prediction"))</f>
        <v>Not Sampled</v>
      </c>
    </row>
    <row r="648" spans="1:22" x14ac:dyDescent="0.25">
      <c r="A648" s="1">
        <v>646</v>
      </c>
      <c r="B648" s="1">
        <v>1</v>
      </c>
      <c r="C648" s="1">
        <f>LOOKUP(B648,Sheet2!$D$4:$E$9)</f>
        <v>1</v>
      </c>
      <c r="D648" s="1">
        <v>167</v>
      </c>
      <c r="E648" t="str">
        <f>LOOKUP(D648,Sheet2!$G$4:$H$9)</f>
        <v>151-175</v>
      </c>
      <c r="F648" s="1">
        <v>74</v>
      </c>
      <c r="G648" t="str">
        <f>LOOKUP(F648,Sheet2!$J$4:$K$8)</f>
        <v>70-79</v>
      </c>
      <c r="H648" s="1">
        <v>17</v>
      </c>
      <c r="I648" t="str">
        <f>LOOKUP(H648,Sheet2!$M$4:$N$8)</f>
        <v>10-30</v>
      </c>
      <c r="J648" s="1">
        <v>144</v>
      </c>
      <c r="K648" t="str">
        <f>LOOKUP(J648,Sheet2!$P$4:$Q$9)</f>
        <v>100-199</v>
      </c>
      <c r="L648" s="1">
        <v>23.4</v>
      </c>
      <c r="M648" t="str">
        <f>LOOKUP(L648,Sheet2!$S$4:$T$8)</f>
        <v>1-25</v>
      </c>
      <c r="N648" s="1">
        <v>0.44700000000000001</v>
      </c>
      <c r="O648" t="str">
        <f>LOOKUP(N648,Sheet2!$V$4:$W$7)</f>
        <v>0.4 - 0.69</v>
      </c>
      <c r="P648" s="1">
        <v>33</v>
      </c>
      <c r="Q648" t="str">
        <f>LOOKUP(P648,Sheet2!$Z$4:$AA$7)</f>
        <v>26-35</v>
      </c>
      <c r="R648" s="1">
        <v>1</v>
      </c>
      <c r="S648" t="str">
        <f>IF(R648=1,"Positive","Negative")</f>
        <v>Positive</v>
      </c>
      <c r="T648" s="1" t="str">
        <f>IFERROR(VLOOKUP(A648,[1]diabetes_Recognition!$A:$B,2,FALSE),"Not Sampled")</f>
        <v>Not Sampled</v>
      </c>
      <c r="U648" t="str">
        <f>IF(T648=1,"Positive",(IF(T648=0,"Negative","Not Sampled")))</f>
        <v>Not Sampled</v>
      </c>
      <c r="V648" s="1" t="str">
        <f>IF(U648="Not Sampled","Not Sampled",IF(S648=U648,"Accurate Prediction","Inaccurate Prediction"))</f>
        <v>Not Sampled</v>
      </c>
    </row>
    <row r="649" spans="1:22" x14ac:dyDescent="0.25">
      <c r="A649" s="1">
        <v>647</v>
      </c>
      <c r="B649" s="1">
        <v>0</v>
      </c>
      <c r="C649" s="1">
        <f>LOOKUP(B649,Sheet2!$D$4:$E$9)</f>
        <v>0</v>
      </c>
      <c r="D649" s="1">
        <v>179</v>
      </c>
      <c r="E649" t="str">
        <f>LOOKUP(D649,Sheet2!$G$4:$H$9)</f>
        <v>176-200</v>
      </c>
      <c r="F649" s="1">
        <v>50</v>
      </c>
      <c r="G649" t="str">
        <f>LOOKUP(F649,Sheet2!$J$4:$K$8)</f>
        <v>1-59</v>
      </c>
      <c r="H649" s="1">
        <v>36</v>
      </c>
      <c r="I649" t="str">
        <f>LOOKUP(H649,Sheet2!$M$4:$N$8)</f>
        <v>30-39</v>
      </c>
      <c r="J649" s="1">
        <v>159</v>
      </c>
      <c r="K649" t="str">
        <f>LOOKUP(J649,Sheet2!$P$4:$Q$9)</f>
        <v>100-199</v>
      </c>
      <c r="L649" s="1">
        <v>37.799999999999997</v>
      </c>
      <c r="M649" t="str">
        <f>LOOKUP(L649,Sheet2!$S$4:$T$8)</f>
        <v>36+</v>
      </c>
      <c r="N649" s="1">
        <v>0.45500000000000002</v>
      </c>
      <c r="O649" t="str">
        <f>LOOKUP(N649,Sheet2!$V$4:$W$7)</f>
        <v>0.4 - 0.69</v>
      </c>
      <c r="P649" s="1">
        <v>22</v>
      </c>
      <c r="Q649" t="str">
        <f>LOOKUP(P649,Sheet2!$Z$4:$AA$7)</f>
        <v>&lt;=25</v>
      </c>
      <c r="R649" s="1">
        <v>1</v>
      </c>
      <c r="S649" t="str">
        <f>IF(R649=1,"Positive","Negative")</f>
        <v>Positive</v>
      </c>
      <c r="T649" s="1" t="str">
        <f>IFERROR(VLOOKUP(A649,[1]diabetes_Recognition!$A:$B,2,FALSE),"Not Sampled")</f>
        <v>Not Sampled</v>
      </c>
      <c r="U649" t="str">
        <f>IF(T649=1,"Positive",(IF(T649=0,"Negative","Not Sampled")))</f>
        <v>Not Sampled</v>
      </c>
      <c r="V649" s="1" t="str">
        <f>IF(U649="Not Sampled","Not Sampled",IF(S649=U649,"Accurate Prediction","Inaccurate Prediction"))</f>
        <v>Not Sampled</v>
      </c>
    </row>
    <row r="650" spans="1:22" x14ac:dyDescent="0.25">
      <c r="A650" s="1">
        <v>648</v>
      </c>
      <c r="B650" s="1">
        <v>11</v>
      </c>
      <c r="C650" s="1" t="str">
        <f>LOOKUP(B650,Sheet2!$D$4:$E$9)</f>
        <v>8+</v>
      </c>
      <c r="D650" s="1">
        <v>136</v>
      </c>
      <c r="E650" t="str">
        <f>LOOKUP(D650,Sheet2!$G$4:$H$9)</f>
        <v>126-150</v>
      </c>
      <c r="F650" s="1">
        <v>84</v>
      </c>
      <c r="G650" t="str">
        <f>LOOKUP(F650,Sheet2!$J$4:$K$8)</f>
        <v>80+</v>
      </c>
      <c r="H650" s="1">
        <v>35</v>
      </c>
      <c r="I650" t="str">
        <f>LOOKUP(H650,Sheet2!$M$4:$N$8)</f>
        <v>30-39</v>
      </c>
      <c r="J650" s="1">
        <v>130</v>
      </c>
      <c r="K650" t="str">
        <f>LOOKUP(J650,Sheet2!$P$4:$Q$9)</f>
        <v>100-199</v>
      </c>
      <c r="L650" s="1">
        <v>28.3</v>
      </c>
      <c r="M650" t="str">
        <f>LOOKUP(L650,Sheet2!$S$4:$T$8)</f>
        <v>26-30</v>
      </c>
      <c r="N650" s="1">
        <v>0.26</v>
      </c>
      <c r="O650" t="str">
        <f>LOOKUP(N650,Sheet2!$V$4:$W$7)</f>
        <v>0.25 - 0.39</v>
      </c>
      <c r="P650" s="1">
        <v>42</v>
      </c>
      <c r="Q650" t="str">
        <f>LOOKUP(P650,Sheet2!$Z$4:$AA$7)</f>
        <v>36-45</v>
      </c>
      <c r="R650" s="1">
        <v>1</v>
      </c>
      <c r="S650" t="str">
        <f>IF(R650=1,"Positive","Negative")</f>
        <v>Positive</v>
      </c>
      <c r="T650" s="1" t="str">
        <f>IFERROR(VLOOKUP(A650,[1]diabetes_Recognition!$A:$B,2,FALSE),"Not Sampled")</f>
        <v>Not Sampled</v>
      </c>
      <c r="U650" t="str">
        <f>IF(T650=1,"Positive",(IF(T650=0,"Negative","Not Sampled")))</f>
        <v>Not Sampled</v>
      </c>
      <c r="V650" s="1" t="str">
        <f>IF(U650="Not Sampled","Not Sampled",IF(S650=U650,"Accurate Prediction","Inaccurate Prediction"))</f>
        <v>Not Sampled</v>
      </c>
    </row>
    <row r="651" spans="1:22" x14ac:dyDescent="0.25">
      <c r="A651" s="1">
        <v>649</v>
      </c>
      <c r="B651" s="1">
        <v>0</v>
      </c>
      <c r="C651" s="1">
        <f>LOOKUP(B651,Sheet2!$D$4:$E$9)</f>
        <v>0</v>
      </c>
      <c r="D651" s="1">
        <v>107</v>
      </c>
      <c r="E651" t="str">
        <f>LOOKUP(D651,Sheet2!$G$4:$H$9)</f>
        <v>100-125</v>
      </c>
      <c r="F651" s="1">
        <v>60</v>
      </c>
      <c r="G651" t="str">
        <f>LOOKUP(F651,Sheet2!$J$4:$K$8)</f>
        <v>60-69</v>
      </c>
      <c r="H651" s="1">
        <v>25</v>
      </c>
      <c r="I651" t="str">
        <f>LOOKUP(H651,Sheet2!$M$4:$N$8)</f>
        <v>10-30</v>
      </c>
      <c r="J651" s="1">
        <v>0</v>
      </c>
      <c r="K651" t="str">
        <f>LOOKUP(J651,Sheet2!$P$4:$Q$9)</f>
        <v>Unknown</v>
      </c>
      <c r="L651" s="1">
        <v>26.4</v>
      </c>
      <c r="M651" t="str">
        <f>LOOKUP(L651,Sheet2!$S$4:$T$8)</f>
        <v>26-30</v>
      </c>
      <c r="N651" s="1">
        <v>0.13300000000000001</v>
      </c>
      <c r="O651" t="str">
        <f>LOOKUP(N651,Sheet2!$V$4:$W$7)</f>
        <v>0.0 - 0.249</v>
      </c>
      <c r="P651" s="1">
        <v>23</v>
      </c>
      <c r="Q651" t="str">
        <f>LOOKUP(P651,Sheet2!$Z$4:$AA$7)</f>
        <v>&lt;=25</v>
      </c>
      <c r="R651" s="1">
        <v>0</v>
      </c>
      <c r="S651" t="str">
        <f>IF(R651=1,"Positive","Negative")</f>
        <v>Negative</v>
      </c>
      <c r="T651" s="1" t="str">
        <f>IFERROR(VLOOKUP(A651,[1]diabetes_Recognition!$A:$B,2,FALSE),"Not Sampled")</f>
        <v>Not Sampled</v>
      </c>
      <c r="U651" t="str">
        <f>IF(T651=1,"Positive",(IF(T651=0,"Negative","Not Sampled")))</f>
        <v>Not Sampled</v>
      </c>
      <c r="V651" s="1" t="str">
        <f>IF(U651="Not Sampled","Not Sampled",IF(S651=U651,"Accurate Prediction","Inaccurate Prediction"))</f>
        <v>Not Sampled</v>
      </c>
    </row>
    <row r="652" spans="1:22" x14ac:dyDescent="0.25">
      <c r="A652" s="1">
        <v>650</v>
      </c>
      <c r="B652" s="1">
        <v>1</v>
      </c>
      <c r="C652" s="1">
        <f>LOOKUP(B652,Sheet2!$D$4:$E$9)</f>
        <v>1</v>
      </c>
      <c r="D652" s="1">
        <v>91</v>
      </c>
      <c r="E652" t="str">
        <f>LOOKUP(D652,Sheet2!$G$4:$H$9)</f>
        <v>1-99</v>
      </c>
      <c r="F652" s="1">
        <v>54</v>
      </c>
      <c r="G652" t="str">
        <f>LOOKUP(F652,Sheet2!$J$4:$K$8)</f>
        <v>1-59</v>
      </c>
      <c r="H652" s="1">
        <v>25</v>
      </c>
      <c r="I652" t="str">
        <f>LOOKUP(H652,Sheet2!$M$4:$N$8)</f>
        <v>10-30</v>
      </c>
      <c r="J652" s="1">
        <v>100</v>
      </c>
      <c r="K652" t="str">
        <f>LOOKUP(J652,Sheet2!$P$4:$Q$9)</f>
        <v>100-199</v>
      </c>
      <c r="L652" s="1">
        <v>25.2</v>
      </c>
      <c r="M652" t="str">
        <f>LOOKUP(L652,Sheet2!$S$4:$T$8)</f>
        <v>1-25</v>
      </c>
      <c r="N652" s="1">
        <v>0.23400000000000001</v>
      </c>
      <c r="O652" t="str">
        <f>LOOKUP(N652,Sheet2!$V$4:$W$7)</f>
        <v>0.0 - 0.249</v>
      </c>
      <c r="P652" s="1">
        <v>23</v>
      </c>
      <c r="Q652" t="str">
        <f>LOOKUP(P652,Sheet2!$Z$4:$AA$7)</f>
        <v>&lt;=25</v>
      </c>
      <c r="R652" s="1">
        <v>0</v>
      </c>
      <c r="S652" t="str">
        <f>IF(R652=1,"Positive","Negative")</f>
        <v>Negative</v>
      </c>
      <c r="T652" s="1" t="str">
        <f>IFERROR(VLOOKUP(A652,[1]diabetes_Recognition!$A:$B,2,FALSE),"Not Sampled")</f>
        <v>Not Sampled</v>
      </c>
      <c r="U652" t="str">
        <f>IF(T652=1,"Positive",(IF(T652=0,"Negative","Not Sampled")))</f>
        <v>Not Sampled</v>
      </c>
      <c r="V652" s="1" t="str">
        <f>IF(U652="Not Sampled","Not Sampled",IF(S652=U652,"Accurate Prediction","Inaccurate Prediction"))</f>
        <v>Not Sampled</v>
      </c>
    </row>
    <row r="653" spans="1:22" x14ac:dyDescent="0.25">
      <c r="A653" s="1">
        <v>651</v>
      </c>
      <c r="B653" s="1">
        <v>1</v>
      </c>
      <c r="C653" s="1">
        <f>LOOKUP(B653,Sheet2!$D$4:$E$9)</f>
        <v>1</v>
      </c>
      <c r="D653" s="1">
        <v>117</v>
      </c>
      <c r="E653" t="str">
        <f>LOOKUP(D653,Sheet2!$G$4:$H$9)</f>
        <v>100-125</v>
      </c>
      <c r="F653" s="1">
        <v>60</v>
      </c>
      <c r="G653" t="str">
        <f>LOOKUP(F653,Sheet2!$J$4:$K$8)</f>
        <v>60-69</v>
      </c>
      <c r="H653" s="1">
        <v>23</v>
      </c>
      <c r="I653" t="str">
        <f>LOOKUP(H653,Sheet2!$M$4:$N$8)</f>
        <v>10-30</v>
      </c>
      <c r="J653" s="1">
        <v>106</v>
      </c>
      <c r="K653" t="str">
        <f>LOOKUP(J653,Sheet2!$P$4:$Q$9)</f>
        <v>100-199</v>
      </c>
      <c r="L653" s="1">
        <v>33.799999999999997</v>
      </c>
      <c r="M653" t="str">
        <f>LOOKUP(L653,Sheet2!$S$4:$T$8)</f>
        <v>31-35</v>
      </c>
      <c r="N653" s="1">
        <v>0.46600000000000003</v>
      </c>
      <c r="O653" t="str">
        <f>LOOKUP(N653,Sheet2!$V$4:$W$7)</f>
        <v>0.4 - 0.69</v>
      </c>
      <c r="P653" s="1">
        <v>27</v>
      </c>
      <c r="Q653" t="str">
        <f>LOOKUP(P653,Sheet2!$Z$4:$AA$7)</f>
        <v>26-35</v>
      </c>
      <c r="R653" s="1">
        <v>0</v>
      </c>
      <c r="S653" t="str">
        <f>IF(R653=1,"Positive","Negative")</f>
        <v>Negative</v>
      </c>
      <c r="T653" s="1" t="str">
        <f>IFERROR(VLOOKUP(A653,[1]diabetes_Recognition!$A:$B,2,FALSE),"Not Sampled")</f>
        <v>Not Sampled</v>
      </c>
      <c r="U653" t="str">
        <f>IF(T653=1,"Positive",(IF(T653=0,"Negative","Not Sampled")))</f>
        <v>Not Sampled</v>
      </c>
      <c r="V653" s="1" t="str">
        <f>IF(U653="Not Sampled","Not Sampled",IF(S653=U653,"Accurate Prediction","Inaccurate Prediction"))</f>
        <v>Not Sampled</v>
      </c>
    </row>
    <row r="654" spans="1:22" x14ac:dyDescent="0.25">
      <c r="A654" s="1">
        <v>652</v>
      </c>
      <c r="B654" s="1">
        <v>5</v>
      </c>
      <c r="C654" s="1" t="str">
        <f>LOOKUP(B654,Sheet2!$D$4:$E$9)</f>
        <v>5-7</v>
      </c>
      <c r="D654" s="1">
        <v>123</v>
      </c>
      <c r="E654" t="str">
        <f>LOOKUP(D654,Sheet2!$G$4:$H$9)</f>
        <v>100-125</v>
      </c>
      <c r="F654" s="1">
        <v>74</v>
      </c>
      <c r="G654" t="str">
        <f>LOOKUP(F654,Sheet2!$J$4:$K$8)</f>
        <v>70-79</v>
      </c>
      <c r="H654" s="1">
        <v>40</v>
      </c>
      <c r="I654" t="str">
        <f>LOOKUP(H654,Sheet2!$M$4:$N$8)</f>
        <v>40+</v>
      </c>
      <c r="J654" s="1">
        <v>77</v>
      </c>
      <c r="K654" t="str">
        <f>LOOKUP(J654,Sheet2!$P$4:$Q$9)</f>
        <v>1-99</v>
      </c>
      <c r="L654" s="1">
        <v>34.1</v>
      </c>
      <c r="M654" t="str">
        <f>LOOKUP(L654,Sheet2!$S$4:$T$8)</f>
        <v>31-35</v>
      </c>
      <c r="N654" s="1">
        <v>0.26900000000000002</v>
      </c>
      <c r="O654" t="str">
        <f>LOOKUP(N654,Sheet2!$V$4:$W$7)</f>
        <v>0.25 - 0.39</v>
      </c>
      <c r="P654" s="1">
        <v>28</v>
      </c>
      <c r="Q654" t="str">
        <f>LOOKUP(P654,Sheet2!$Z$4:$AA$7)</f>
        <v>26-35</v>
      </c>
      <c r="R654" s="1">
        <v>0</v>
      </c>
      <c r="S654" t="str">
        <f>IF(R654=1,"Positive","Negative")</f>
        <v>Negative</v>
      </c>
      <c r="T654" s="1" t="str">
        <f>IFERROR(VLOOKUP(A654,[1]diabetes_Recognition!$A:$B,2,FALSE),"Not Sampled")</f>
        <v>Not Sampled</v>
      </c>
      <c r="U654" t="str">
        <f>IF(T654=1,"Positive",(IF(T654=0,"Negative","Not Sampled")))</f>
        <v>Not Sampled</v>
      </c>
      <c r="V654" s="1" t="str">
        <f>IF(U654="Not Sampled","Not Sampled",IF(S654=U654,"Accurate Prediction","Inaccurate Prediction"))</f>
        <v>Not Sampled</v>
      </c>
    </row>
    <row r="655" spans="1:22" x14ac:dyDescent="0.25">
      <c r="A655" s="1">
        <v>653</v>
      </c>
      <c r="B655" s="1">
        <v>2</v>
      </c>
      <c r="C655" s="1">
        <f>LOOKUP(B655,Sheet2!$D$4:$E$9)</f>
        <v>2</v>
      </c>
      <c r="D655" s="1">
        <v>120</v>
      </c>
      <c r="E655" t="str">
        <f>LOOKUP(D655,Sheet2!$G$4:$H$9)</f>
        <v>100-125</v>
      </c>
      <c r="F655" s="1">
        <v>54</v>
      </c>
      <c r="G655" t="str">
        <f>LOOKUP(F655,Sheet2!$J$4:$K$8)</f>
        <v>1-59</v>
      </c>
      <c r="H655" s="1">
        <v>0</v>
      </c>
      <c r="I655" t="str">
        <f>LOOKUP(H655,Sheet2!$M$4:$N$8)</f>
        <v>Unknown</v>
      </c>
      <c r="J655" s="1">
        <v>0</v>
      </c>
      <c r="K655" t="str">
        <f>LOOKUP(J655,Sheet2!$P$4:$Q$9)</f>
        <v>Unknown</v>
      </c>
      <c r="L655" s="1">
        <v>26.8</v>
      </c>
      <c r="M655" t="str">
        <f>LOOKUP(L655,Sheet2!$S$4:$T$8)</f>
        <v>26-30</v>
      </c>
      <c r="N655" s="1">
        <v>0.45500000000000002</v>
      </c>
      <c r="O655" t="str">
        <f>LOOKUP(N655,Sheet2!$V$4:$W$7)</f>
        <v>0.4 - 0.69</v>
      </c>
      <c r="P655" s="1">
        <v>27</v>
      </c>
      <c r="Q655" t="str">
        <f>LOOKUP(P655,Sheet2!$Z$4:$AA$7)</f>
        <v>26-35</v>
      </c>
      <c r="R655" s="1">
        <v>0</v>
      </c>
      <c r="S655" t="str">
        <f>IF(R655=1,"Positive","Negative")</f>
        <v>Negative</v>
      </c>
      <c r="T655" s="1">
        <f>IFERROR(VLOOKUP(A655,[1]diabetes_Recognition!$A:$B,2,FALSE),"Not Sampled")</f>
        <v>0</v>
      </c>
      <c r="U655" t="str">
        <f>IF(T655=1,"Positive",(IF(T655=0,"Negative","Not Sampled")))</f>
        <v>Negative</v>
      </c>
      <c r="V655" s="1" t="str">
        <f>IF(U655="Not Sampled","Not Sampled",IF(S655=U655,"Accurate Prediction","Inaccurate Prediction"))</f>
        <v>Accurate Prediction</v>
      </c>
    </row>
    <row r="656" spans="1:22" x14ac:dyDescent="0.25">
      <c r="A656" s="1">
        <v>654</v>
      </c>
      <c r="B656" s="1">
        <v>1</v>
      </c>
      <c r="C656" s="1">
        <f>LOOKUP(B656,Sheet2!$D$4:$E$9)</f>
        <v>1</v>
      </c>
      <c r="D656" s="1">
        <v>106</v>
      </c>
      <c r="E656" t="str">
        <f>LOOKUP(D656,Sheet2!$G$4:$H$9)</f>
        <v>100-125</v>
      </c>
      <c r="F656" s="1">
        <v>70</v>
      </c>
      <c r="G656" t="str">
        <f>LOOKUP(F656,Sheet2!$J$4:$K$8)</f>
        <v>70-79</v>
      </c>
      <c r="H656" s="1">
        <v>28</v>
      </c>
      <c r="I656" t="str">
        <f>LOOKUP(H656,Sheet2!$M$4:$N$8)</f>
        <v>10-30</v>
      </c>
      <c r="J656" s="1">
        <v>135</v>
      </c>
      <c r="K656" t="str">
        <f>LOOKUP(J656,Sheet2!$P$4:$Q$9)</f>
        <v>100-199</v>
      </c>
      <c r="L656" s="1">
        <v>34.200000000000003</v>
      </c>
      <c r="M656" t="str">
        <f>LOOKUP(L656,Sheet2!$S$4:$T$8)</f>
        <v>31-35</v>
      </c>
      <c r="N656" s="1">
        <v>0.14199999999999999</v>
      </c>
      <c r="O656" t="str">
        <f>LOOKUP(N656,Sheet2!$V$4:$W$7)</f>
        <v>0.0 - 0.249</v>
      </c>
      <c r="P656" s="1">
        <v>22</v>
      </c>
      <c r="Q656" t="str">
        <f>LOOKUP(P656,Sheet2!$Z$4:$AA$7)</f>
        <v>&lt;=25</v>
      </c>
      <c r="R656" s="1">
        <v>0</v>
      </c>
      <c r="S656" t="str">
        <f>IF(R656=1,"Positive","Negative")</f>
        <v>Negative</v>
      </c>
      <c r="T656" s="1">
        <f>IFERROR(VLOOKUP(A656,[1]diabetes_Recognition!$A:$B,2,FALSE),"Not Sampled")</f>
        <v>0</v>
      </c>
      <c r="U656" t="str">
        <f>IF(T656=1,"Positive",(IF(T656=0,"Negative","Not Sampled")))</f>
        <v>Negative</v>
      </c>
      <c r="V656" s="1" t="str">
        <f>IF(U656="Not Sampled","Not Sampled",IF(S656=U656,"Accurate Prediction","Inaccurate Prediction"))</f>
        <v>Accurate Prediction</v>
      </c>
    </row>
    <row r="657" spans="1:22" x14ac:dyDescent="0.25">
      <c r="A657" s="1">
        <v>655</v>
      </c>
      <c r="B657" s="1">
        <v>2</v>
      </c>
      <c r="C657" s="1">
        <f>LOOKUP(B657,Sheet2!$D$4:$E$9)</f>
        <v>2</v>
      </c>
      <c r="D657" s="1">
        <v>155</v>
      </c>
      <c r="E657" t="str">
        <f>LOOKUP(D657,Sheet2!$G$4:$H$9)</f>
        <v>151-175</v>
      </c>
      <c r="F657" s="1">
        <v>52</v>
      </c>
      <c r="G657" t="str">
        <f>LOOKUP(F657,Sheet2!$J$4:$K$8)</f>
        <v>1-59</v>
      </c>
      <c r="H657" s="1">
        <v>27</v>
      </c>
      <c r="I657" t="str">
        <f>LOOKUP(H657,Sheet2!$M$4:$N$8)</f>
        <v>10-30</v>
      </c>
      <c r="J657" s="1">
        <v>540</v>
      </c>
      <c r="K657" t="str">
        <f>LOOKUP(J657,Sheet2!$P$4:$Q$9)</f>
        <v>500+</v>
      </c>
      <c r="L657" s="1">
        <v>38.700000000000003</v>
      </c>
      <c r="M657" t="str">
        <f>LOOKUP(L657,Sheet2!$S$4:$T$8)</f>
        <v>36+</v>
      </c>
      <c r="N657" s="1">
        <v>0.24</v>
      </c>
      <c r="O657" t="str">
        <f>LOOKUP(N657,Sheet2!$V$4:$W$7)</f>
        <v>0.0 - 0.249</v>
      </c>
      <c r="P657" s="1">
        <v>25</v>
      </c>
      <c r="Q657" t="str">
        <f>LOOKUP(P657,Sheet2!$Z$4:$AA$7)</f>
        <v>&lt;=25</v>
      </c>
      <c r="R657" s="1">
        <v>1</v>
      </c>
      <c r="S657" t="str">
        <f>IF(R657=1,"Positive","Negative")</f>
        <v>Positive</v>
      </c>
      <c r="T657" s="1">
        <f>IFERROR(VLOOKUP(A657,[1]diabetes_Recognition!$A:$B,2,FALSE),"Not Sampled")</f>
        <v>0</v>
      </c>
      <c r="U657" t="str">
        <f>IF(T657=1,"Positive",(IF(T657=0,"Negative","Not Sampled")))</f>
        <v>Negative</v>
      </c>
      <c r="V657" s="1" t="str">
        <f>IF(U657="Not Sampled","Not Sampled",IF(S657=U657,"Accurate Prediction","Inaccurate Prediction"))</f>
        <v>Inaccurate Prediction</v>
      </c>
    </row>
    <row r="658" spans="1:22" x14ac:dyDescent="0.25">
      <c r="A658" s="1">
        <v>656</v>
      </c>
      <c r="B658" s="1">
        <v>2</v>
      </c>
      <c r="C658" s="1">
        <f>LOOKUP(B658,Sheet2!$D$4:$E$9)</f>
        <v>2</v>
      </c>
      <c r="D658" s="1">
        <v>101</v>
      </c>
      <c r="E658" t="str">
        <f>LOOKUP(D658,Sheet2!$G$4:$H$9)</f>
        <v>100-125</v>
      </c>
      <c r="F658" s="1">
        <v>58</v>
      </c>
      <c r="G658" t="str">
        <f>LOOKUP(F658,Sheet2!$J$4:$K$8)</f>
        <v>1-59</v>
      </c>
      <c r="H658" s="1">
        <v>35</v>
      </c>
      <c r="I658" t="str">
        <f>LOOKUP(H658,Sheet2!$M$4:$N$8)</f>
        <v>30-39</v>
      </c>
      <c r="J658" s="1">
        <v>90</v>
      </c>
      <c r="K658" t="str">
        <f>LOOKUP(J658,Sheet2!$P$4:$Q$9)</f>
        <v>1-99</v>
      </c>
      <c r="L658" s="1">
        <v>21.8</v>
      </c>
      <c r="M658" t="str">
        <f>LOOKUP(L658,Sheet2!$S$4:$T$8)</f>
        <v>1-25</v>
      </c>
      <c r="N658" s="1">
        <v>0.155</v>
      </c>
      <c r="O658" t="str">
        <f>LOOKUP(N658,Sheet2!$V$4:$W$7)</f>
        <v>0.0 - 0.249</v>
      </c>
      <c r="P658" s="1">
        <v>22</v>
      </c>
      <c r="Q658" t="str">
        <f>LOOKUP(P658,Sheet2!$Z$4:$AA$7)</f>
        <v>&lt;=25</v>
      </c>
      <c r="R658" s="1">
        <v>0</v>
      </c>
      <c r="S658" t="str">
        <f>IF(R658=1,"Positive","Negative")</f>
        <v>Negative</v>
      </c>
      <c r="T658" s="1" t="str">
        <f>IFERROR(VLOOKUP(A658,[1]diabetes_Recognition!$A:$B,2,FALSE),"Not Sampled")</f>
        <v>Not Sampled</v>
      </c>
      <c r="U658" t="str">
        <f>IF(T658=1,"Positive",(IF(T658=0,"Negative","Not Sampled")))</f>
        <v>Not Sampled</v>
      </c>
      <c r="V658" s="1" t="str">
        <f>IF(U658="Not Sampled","Not Sampled",IF(S658=U658,"Accurate Prediction","Inaccurate Prediction"))</f>
        <v>Not Sampled</v>
      </c>
    </row>
    <row r="659" spans="1:22" x14ac:dyDescent="0.25">
      <c r="A659" s="1">
        <v>657</v>
      </c>
      <c r="B659" s="1">
        <v>1</v>
      </c>
      <c r="C659" s="1">
        <f>LOOKUP(B659,Sheet2!$D$4:$E$9)</f>
        <v>1</v>
      </c>
      <c r="D659" s="1">
        <v>120</v>
      </c>
      <c r="E659" t="str">
        <f>LOOKUP(D659,Sheet2!$G$4:$H$9)</f>
        <v>100-125</v>
      </c>
      <c r="F659" s="1">
        <v>80</v>
      </c>
      <c r="G659" t="str">
        <f>LOOKUP(F659,Sheet2!$J$4:$K$8)</f>
        <v>80+</v>
      </c>
      <c r="H659" s="1">
        <v>48</v>
      </c>
      <c r="I659" t="str">
        <f>LOOKUP(H659,Sheet2!$M$4:$N$8)</f>
        <v>40+</v>
      </c>
      <c r="J659" s="1">
        <v>200</v>
      </c>
      <c r="K659" t="str">
        <f>LOOKUP(J659,Sheet2!$P$4:$Q$9)</f>
        <v>200-399</v>
      </c>
      <c r="L659" s="1">
        <v>38.9</v>
      </c>
      <c r="M659" t="str">
        <f>LOOKUP(L659,Sheet2!$S$4:$T$8)</f>
        <v>36+</v>
      </c>
      <c r="N659" s="1">
        <v>1.1619999999999999</v>
      </c>
      <c r="O659" t="str">
        <f>LOOKUP(N659,Sheet2!$V$4:$W$7)</f>
        <v>0.7+</v>
      </c>
      <c r="P659" s="1">
        <v>41</v>
      </c>
      <c r="Q659" t="str">
        <f>LOOKUP(P659,Sheet2!$Z$4:$AA$7)</f>
        <v>36-45</v>
      </c>
      <c r="R659" s="1">
        <v>0</v>
      </c>
      <c r="S659" t="str">
        <f>IF(R659=1,"Positive","Negative")</f>
        <v>Negative</v>
      </c>
      <c r="T659" s="1" t="str">
        <f>IFERROR(VLOOKUP(A659,[1]diabetes_Recognition!$A:$B,2,FALSE),"Not Sampled")</f>
        <v>Not Sampled</v>
      </c>
      <c r="U659" t="str">
        <f>IF(T659=1,"Positive",(IF(T659=0,"Negative","Not Sampled")))</f>
        <v>Not Sampled</v>
      </c>
      <c r="V659" s="1" t="str">
        <f>IF(U659="Not Sampled","Not Sampled",IF(S659=U659,"Accurate Prediction","Inaccurate Prediction"))</f>
        <v>Not Sampled</v>
      </c>
    </row>
    <row r="660" spans="1:22" x14ac:dyDescent="0.25">
      <c r="A660" s="1">
        <v>658</v>
      </c>
      <c r="B660" s="1">
        <v>11</v>
      </c>
      <c r="C660" s="1" t="str">
        <f>LOOKUP(B660,Sheet2!$D$4:$E$9)</f>
        <v>8+</v>
      </c>
      <c r="D660" s="1">
        <v>127</v>
      </c>
      <c r="E660" t="str">
        <f>LOOKUP(D660,Sheet2!$G$4:$H$9)</f>
        <v>126-150</v>
      </c>
      <c r="F660" s="1">
        <v>106</v>
      </c>
      <c r="G660" t="str">
        <f>LOOKUP(F660,Sheet2!$J$4:$K$8)</f>
        <v>80+</v>
      </c>
      <c r="H660" s="1">
        <v>0</v>
      </c>
      <c r="I660" t="str">
        <f>LOOKUP(H660,Sheet2!$M$4:$N$8)</f>
        <v>Unknown</v>
      </c>
      <c r="J660" s="1">
        <v>0</v>
      </c>
      <c r="K660" t="str">
        <f>LOOKUP(J660,Sheet2!$P$4:$Q$9)</f>
        <v>Unknown</v>
      </c>
      <c r="L660" s="1">
        <v>39</v>
      </c>
      <c r="M660" t="str">
        <f>LOOKUP(L660,Sheet2!$S$4:$T$8)</f>
        <v>36+</v>
      </c>
      <c r="N660" s="1">
        <v>0.19</v>
      </c>
      <c r="O660" t="str">
        <f>LOOKUP(N660,Sheet2!$V$4:$W$7)</f>
        <v>0.0 - 0.249</v>
      </c>
      <c r="P660" s="1">
        <v>51</v>
      </c>
      <c r="Q660" t="str">
        <f>LOOKUP(P660,Sheet2!$Z$4:$AA$7)</f>
        <v>46+</v>
      </c>
      <c r="R660" s="1">
        <v>0</v>
      </c>
      <c r="S660" t="str">
        <f>IF(R660=1,"Positive","Negative")</f>
        <v>Negative</v>
      </c>
      <c r="T660" s="1" t="str">
        <f>IFERROR(VLOOKUP(A660,[1]diabetes_Recognition!$A:$B,2,FALSE),"Not Sampled")</f>
        <v>Not Sampled</v>
      </c>
      <c r="U660" t="str">
        <f>IF(T660=1,"Positive",(IF(T660=0,"Negative","Not Sampled")))</f>
        <v>Not Sampled</v>
      </c>
      <c r="V660" s="1" t="str">
        <f>IF(U660="Not Sampled","Not Sampled",IF(S660=U660,"Accurate Prediction","Inaccurate Prediction"))</f>
        <v>Not Sampled</v>
      </c>
    </row>
    <row r="661" spans="1:22" x14ac:dyDescent="0.25">
      <c r="A661" s="1">
        <v>659</v>
      </c>
      <c r="B661" s="1">
        <v>3</v>
      </c>
      <c r="C661" s="1" t="str">
        <f>LOOKUP(B661,Sheet2!$D$4:$E$9)</f>
        <v>3-4</v>
      </c>
      <c r="D661" s="1">
        <v>80</v>
      </c>
      <c r="E661" t="str">
        <f>LOOKUP(D661,Sheet2!$G$4:$H$9)</f>
        <v>1-99</v>
      </c>
      <c r="F661" s="1">
        <v>82</v>
      </c>
      <c r="G661" t="str">
        <f>LOOKUP(F661,Sheet2!$J$4:$K$8)</f>
        <v>80+</v>
      </c>
      <c r="H661" s="1">
        <v>31</v>
      </c>
      <c r="I661" t="str">
        <f>LOOKUP(H661,Sheet2!$M$4:$N$8)</f>
        <v>30-39</v>
      </c>
      <c r="J661" s="1">
        <v>70</v>
      </c>
      <c r="K661" t="str">
        <f>LOOKUP(J661,Sheet2!$P$4:$Q$9)</f>
        <v>1-99</v>
      </c>
      <c r="L661" s="1">
        <v>34.200000000000003</v>
      </c>
      <c r="M661" t="str">
        <f>LOOKUP(L661,Sheet2!$S$4:$T$8)</f>
        <v>31-35</v>
      </c>
      <c r="N661" s="1">
        <v>1.292</v>
      </c>
      <c r="O661" t="str">
        <f>LOOKUP(N661,Sheet2!$V$4:$W$7)</f>
        <v>0.7+</v>
      </c>
      <c r="P661" s="1">
        <v>27</v>
      </c>
      <c r="Q661" t="str">
        <f>LOOKUP(P661,Sheet2!$Z$4:$AA$7)</f>
        <v>26-35</v>
      </c>
      <c r="R661" s="1">
        <v>1</v>
      </c>
      <c r="S661" t="str">
        <f>IF(R661=1,"Positive","Negative")</f>
        <v>Positive</v>
      </c>
      <c r="T661" s="1" t="str">
        <f>IFERROR(VLOOKUP(A661,[1]diabetes_Recognition!$A:$B,2,FALSE),"Not Sampled")</f>
        <v>Not Sampled</v>
      </c>
      <c r="U661" t="str">
        <f>IF(T661=1,"Positive",(IF(T661=0,"Negative","Not Sampled")))</f>
        <v>Not Sampled</v>
      </c>
      <c r="V661" s="1" t="str">
        <f>IF(U661="Not Sampled","Not Sampled",IF(S661=U661,"Accurate Prediction","Inaccurate Prediction"))</f>
        <v>Not Sampled</v>
      </c>
    </row>
    <row r="662" spans="1:22" x14ac:dyDescent="0.25">
      <c r="A662" s="1">
        <v>660</v>
      </c>
      <c r="B662" s="1">
        <v>10</v>
      </c>
      <c r="C662" s="1" t="str">
        <f>LOOKUP(B662,Sheet2!$D$4:$E$9)</f>
        <v>8+</v>
      </c>
      <c r="D662" s="1">
        <v>162</v>
      </c>
      <c r="E662" t="str">
        <f>LOOKUP(D662,Sheet2!$G$4:$H$9)</f>
        <v>151-175</v>
      </c>
      <c r="F662" s="1">
        <v>84</v>
      </c>
      <c r="G662" t="str">
        <f>LOOKUP(F662,Sheet2!$J$4:$K$8)</f>
        <v>80+</v>
      </c>
      <c r="H662" s="1">
        <v>0</v>
      </c>
      <c r="I662" t="str">
        <f>LOOKUP(H662,Sheet2!$M$4:$N$8)</f>
        <v>Unknown</v>
      </c>
      <c r="J662" s="1">
        <v>0</v>
      </c>
      <c r="K662" t="str">
        <f>LOOKUP(J662,Sheet2!$P$4:$Q$9)</f>
        <v>Unknown</v>
      </c>
      <c r="L662" s="1">
        <v>27.7</v>
      </c>
      <c r="M662" t="str">
        <f>LOOKUP(L662,Sheet2!$S$4:$T$8)</f>
        <v>26-30</v>
      </c>
      <c r="N662" s="1">
        <v>0.182</v>
      </c>
      <c r="O662" t="str">
        <f>LOOKUP(N662,Sheet2!$V$4:$W$7)</f>
        <v>0.0 - 0.249</v>
      </c>
      <c r="P662" s="1">
        <v>54</v>
      </c>
      <c r="Q662" t="str">
        <f>LOOKUP(P662,Sheet2!$Z$4:$AA$7)</f>
        <v>46+</v>
      </c>
      <c r="R662" s="1">
        <v>0</v>
      </c>
      <c r="S662" t="str">
        <f>IF(R662=1,"Positive","Negative")</f>
        <v>Negative</v>
      </c>
      <c r="T662" s="1">
        <f>IFERROR(VLOOKUP(A662,[1]diabetes_Recognition!$A:$B,2,FALSE),"Not Sampled")</f>
        <v>1</v>
      </c>
      <c r="U662" t="str">
        <f>IF(T662=1,"Positive",(IF(T662=0,"Negative","Not Sampled")))</f>
        <v>Positive</v>
      </c>
      <c r="V662" s="1" t="str">
        <f>IF(U662="Not Sampled","Not Sampled",IF(S662=U662,"Accurate Prediction","Inaccurate Prediction"))</f>
        <v>Inaccurate Prediction</v>
      </c>
    </row>
    <row r="663" spans="1:22" x14ac:dyDescent="0.25">
      <c r="A663" s="1">
        <v>661</v>
      </c>
      <c r="B663" s="1">
        <v>1</v>
      </c>
      <c r="C663" s="1">
        <f>LOOKUP(B663,Sheet2!$D$4:$E$9)</f>
        <v>1</v>
      </c>
      <c r="D663" s="1">
        <v>199</v>
      </c>
      <c r="E663" t="str">
        <f>LOOKUP(D663,Sheet2!$G$4:$H$9)</f>
        <v>176-200</v>
      </c>
      <c r="F663" s="1">
        <v>76</v>
      </c>
      <c r="G663" t="str">
        <f>LOOKUP(F663,Sheet2!$J$4:$K$8)</f>
        <v>70-79</v>
      </c>
      <c r="H663" s="1">
        <v>43</v>
      </c>
      <c r="I663" t="str">
        <f>LOOKUP(H663,Sheet2!$M$4:$N$8)</f>
        <v>40+</v>
      </c>
      <c r="J663" s="1">
        <v>0</v>
      </c>
      <c r="K663" t="str">
        <f>LOOKUP(J663,Sheet2!$P$4:$Q$9)</f>
        <v>Unknown</v>
      </c>
      <c r="L663" s="1">
        <v>42.9</v>
      </c>
      <c r="M663" t="str">
        <f>LOOKUP(L663,Sheet2!$S$4:$T$8)</f>
        <v>36+</v>
      </c>
      <c r="N663" s="1">
        <v>1.3939999999999999</v>
      </c>
      <c r="O663" t="str">
        <f>LOOKUP(N663,Sheet2!$V$4:$W$7)</f>
        <v>0.7+</v>
      </c>
      <c r="P663" s="1">
        <v>22</v>
      </c>
      <c r="Q663" t="str">
        <f>LOOKUP(P663,Sheet2!$Z$4:$AA$7)</f>
        <v>&lt;=25</v>
      </c>
      <c r="R663" s="1">
        <v>1</v>
      </c>
      <c r="S663" t="str">
        <f>IF(R663=1,"Positive","Negative")</f>
        <v>Positive</v>
      </c>
      <c r="T663" s="1">
        <f>IFERROR(VLOOKUP(A663,[1]diabetes_Recognition!$A:$B,2,FALSE),"Not Sampled")</f>
        <v>1</v>
      </c>
      <c r="U663" t="str">
        <f>IF(T663=1,"Positive",(IF(T663=0,"Negative","Not Sampled")))</f>
        <v>Positive</v>
      </c>
      <c r="V663" s="1" t="str">
        <f>IF(U663="Not Sampled","Not Sampled",IF(S663=U663,"Accurate Prediction","Inaccurate Prediction"))</f>
        <v>Accurate Prediction</v>
      </c>
    </row>
    <row r="664" spans="1:22" x14ac:dyDescent="0.25">
      <c r="A664" s="1">
        <v>662</v>
      </c>
      <c r="B664" s="1">
        <v>8</v>
      </c>
      <c r="C664" s="1" t="str">
        <f>LOOKUP(B664,Sheet2!$D$4:$E$9)</f>
        <v>8+</v>
      </c>
      <c r="D664" s="1">
        <v>167</v>
      </c>
      <c r="E664" t="str">
        <f>LOOKUP(D664,Sheet2!$G$4:$H$9)</f>
        <v>151-175</v>
      </c>
      <c r="F664" s="1">
        <v>106</v>
      </c>
      <c r="G664" t="str">
        <f>LOOKUP(F664,Sheet2!$J$4:$K$8)</f>
        <v>80+</v>
      </c>
      <c r="H664" s="1">
        <v>46</v>
      </c>
      <c r="I664" t="str">
        <f>LOOKUP(H664,Sheet2!$M$4:$N$8)</f>
        <v>40+</v>
      </c>
      <c r="J664" s="1">
        <v>231</v>
      </c>
      <c r="K664" t="str">
        <f>LOOKUP(J664,Sheet2!$P$4:$Q$9)</f>
        <v>200-399</v>
      </c>
      <c r="L664" s="1">
        <v>37.6</v>
      </c>
      <c r="M664" t="str">
        <f>LOOKUP(L664,Sheet2!$S$4:$T$8)</f>
        <v>36+</v>
      </c>
      <c r="N664" s="1">
        <v>0.16500000000000001</v>
      </c>
      <c r="O664" t="str">
        <f>LOOKUP(N664,Sheet2!$V$4:$W$7)</f>
        <v>0.0 - 0.249</v>
      </c>
      <c r="P664" s="1">
        <v>43</v>
      </c>
      <c r="Q664" t="str">
        <f>LOOKUP(P664,Sheet2!$Z$4:$AA$7)</f>
        <v>36-45</v>
      </c>
      <c r="R664" s="1">
        <v>1</v>
      </c>
      <c r="S664" t="str">
        <f>IF(R664=1,"Positive","Negative")</f>
        <v>Positive</v>
      </c>
      <c r="T664" s="1" t="str">
        <f>IFERROR(VLOOKUP(A664,[1]diabetes_Recognition!$A:$B,2,FALSE),"Not Sampled")</f>
        <v>Not Sampled</v>
      </c>
      <c r="U664" t="str">
        <f>IF(T664=1,"Positive",(IF(T664=0,"Negative","Not Sampled")))</f>
        <v>Not Sampled</v>
      </c>
      <c r="V664" s="1" t="str">
        <f>IF(U664="Not Sampled","Not Sampled",IF(S664=U664,"Accurate Prediction","Inaccurate Prediction"))</f>
        <v>Not Sampled</v>
      </c>
    </row>
    <row r="665" spans="1:22" x14ac:dyDescent="0.25">
      <c r="A665" s="1">
        <v>663</v>
      </c>
      <c r="B665" s="1">
        <v>9</v>
      </c>
      <c r="C665" s="1" t="str">
        <f>LOOKUP(B665,Sheet2!$D$4:$E$9)</f>
        <v>8+</v>
      </c>
      <c r="D665" s="1">
        <v>145</v>
      </c>
      <c r="E665" t="str">
        <f>LOOKUP(D665,Sheet2!$G$4:$H$9)</f>
        <v>126-150</v>
      </c>
      <c r="F665" s="1">
        <v>80</v>
      </c>
      <c r="G665" t="str">
        <f>LOOKUP(F665,Sheet2!$J$4:$K$8)</f>
        <v>80+</v>
      </c>
      <c r="H665" s="1">
        <v>46</v>
      </c>
      <c r="I665" t="str">
        <f>LOOKUP(H665,Sheet2!$M$4:$N$8)</f>
        <v>40+</v>
      </c>
      <c r="J665" s="1">
        <v>130</v>
      </c>
      <c r="K665" t="str">
        <f>LOOKUP(J665,Sheet2!$P$4:$Q$9)</f>
        <v>100-199</v>
      </c>
      <c r="L665" s="1">
        <v>37.9</v>
      </c>
      <c r="M665" t="str">
        <f>LOOKUP(L665,Sheet2!$S$4:$T$8)</f>
        <v>36+</v>
      </c>
      <c r="N665" s="1">
        <v>0.63700000000000001</v>
      </c>
      <c r="O665" t="str">
        <f>LOOKUP(N665,Sheet2!$V$4:$W$7)</f>
        <v>0.4 - 0.69</v>
      </c>
      <c r="P665" s="1">
        <v>40</v>
      </c>
      <c r="Q665" t="str">
        <f>LOOKUP(P665,Sheet2!$Z$4:$AA$7)</f>
        <v>36-45</v>
      </c>
      <c r="R665" s="1">
        <v>1</v>
      </c>
      <c r="S665" t="str">
        <f>IF(R665=1,"Positive","Negative")</f>
        <v>Positive</v>
      </c>
      <c r="T665" s="1" t="str">
        <f>IFERROR(VLOOKUP(A665,[1]diabetes_Recognition!$A:$B,2,FALSE),"Not Sampled")</f>
        <v>Not Sampled</v>
      </c>
      <c r="U665" t="str">
        <f>IF(T665=1,"Positive",(IF(T665=0,"Negative","Not Sampled")))</f>
        <v>Not Sampled</v>
      </c>
      <c r="V665" s="1" t="str">
        <f>IF(U665="Not Sampled","Not Sampled",IF(S665=U665,"Accurate Prediction","Inaccurate Prediction"))</f>
        <v>Not Sampled</v>
      </c>
    </row>
    <row r="666" spans="1:22" x14ac:dyDescent="0.25">
      <c r="A666" s="1">
        <v>664</v>
      </c>
      <c r="B666" s="1">
        <v>6</v>
      </c>
      <c r="C666" s="1" t="str">
        <f>LOOKUP(B666,Sheet2!$D$4:$E$9)</f>
        <v>5-7</v>
      </c>
      <c r="D666" s="1">
        <v>115</v>
      </c>
      <c r="E666" t="str">
        <f>LOOKUP(D666,Sheet2!$G$4:$H$9)</f>
        <v>100-125</v>
      </c>
      <c r="F666" s="1">
        <v>60</v>
      </c>
      <c r="G666" t="str">
        <f>LOOKUP(F666,Sheet2!$J$4:$K$8)</f>
        <v>60-69</v>
      </c>
      <c r="H666" s="1">
        <v>39</v>
      </c>
      <c r="I666" t="str">
        <f>LOOKUP(H666,Sheet2!$M$4:$N$8)</f>
        <v>30-39</v>
      </c>
      <c r="J666" s="1">
        <v>0</v>
      </c>
      <c r="K666" t="str">
        <f>LOOKUP(J666,Sheet2!$P$4:$Q$9)</f>
        <v>Unknown</v>
      </c>
      <c r="L666" s="1">
        <v>33.700000000000003</v>
      </c>
      <c r="M666" t="str">
        <f>LOOKUP(L666,Sheet2!$S$4:$T$8)</f>
        <v>31-35</v>
      </c>
      <c r="N666" s="1">
        <v>0.245</v>
      </c>
      <c r="O666" t="str">
        <f>LOOKUP(N666,Sheet2!$V$4:$W$7)</f>
        <v>0.0 - 0.249</v>
      </c>
      <c r="P666" s="1">
        <v>40</v>
      </c>
      <c r="Q666" t="str">
        <f>LOOKUP(P666,Sheet2!$Z$4:$AA$7)</f>
        <v>36-45</v>
      </c>
      <c r="R666" s="1">
        <v>1</v>
      </c>
      <c r="S666" t="str">
        <f>IF(R666=1,"Positive","Negative")</f>
        <v>Positive</v>
      </c>
      <c r="T666" s="1" t="str">
        <f>IFERROR(VLOOKUP(A666,[1]diabetes_Recognition!$A:$B,2,FALSE),"Not Sampled")</f>
        <v>Not Sampled</v>
      </c>
      <c r="U666" t="str">
        <f>IF(T666=1,"Positive",(IF(T666=0,"Negative","Not Sampled")))</f>
        <v>Not Sampled</v>
      </c>
      <c r="V666" s="1" t="str">
        <f>IF(U666="Not Sampled","Not Sampled",IF(S666=U666,"Accurate Prediction","Inaccurate Prediction"))</f>
        <v>Not Sampled</v>
      </c>
    </row>
    <row r="667" spans="1:22" x14ac:dyDescent="0.25">
      <c r="A667" s="1">
        <v>665</v>
      </c>
      <c r="B667" s="1">
        <v>1</v>
      </c>
      <c r="C667" s="1">
        <f>LOOKUP(B667,Sheet2!$D$4:$E$9)</f>
        <v>1</v>
      </c>
      <c r="D667" s="1">
        <v>112</v>
      </c>
      <c r="E667" t="str">
        <f>LOOKUP(D667,Sheet2!$G$4:$H$9)</f>
        <v>100-125</v>
      </c>
      <c r="F667" s="1">
        <v>80</v>
      </c>
      <c r="G667" t="str">
        <f>LOOKUP(F667,Sheet2!$J$4:$K$8)</f>
        <v>80+</v>
      </c>
      <c r="H667" s="1">
        <v>45</v>
      </c>
      <c r="I667" t="str">
        <f>LOOKUP(H667,Sheet2!$M$4:$N$8)</f>
        <v>40+</v>
      </c>
      <c r="J667" s="1">
        <v>132</v>
      </c>
      <c r="K667" t="str">
        <f>LOOKUP(J667,Sheet2!$P$4:$Q$9)</f>
        <v>100-199</v>
      </c>
      <c r="L667" s="1">
        <v>34.799999999999997</v>
      </c>
      <c r="M667" t="str">
        <f>LOOKUP(L667,Sheet2!$S$4:$T$8)</f>
        <v>31-35</v>
      </c>
      <c r="N667" s="1">
        <v>0.217</v>
      </c>
      <c r="O667" t="str">
        <f>LOOKUP(N667,Sheet2!$V$4:$W$7)</f>
        <v>0.0 - 0.249</v>
      </c>
      <c r="P667" s="1">
        <v>24</v>
      </c>
      <c r="Q667" t="str">
        <f>LOOKUP(P667,Sheet2!$Z$4:$AA$7)</f>
        <v>&lt;=25</v>
      </c>
      <c r="R667" s="1">
        <v>0</v>
      </c>
      <c r="S667" t="str">
        <f>IF(R667=1,"Positive","Negative")</f>
        <v>Negative</v>
      </c>
      <c r="T667" s="1" t="str">
        <f>IFERROR(VLOOKUP(A667,[1]diabetes_Recognition!$A:$B,2,FALSE),"Not Sampled")</f>
        <v>Not Sampled</v>
      </c>
      <c r="U667" t="str">
        <f>IF(T667=1,"Positive",(IF(T667=0,"Negative","Not Sampled")))</f>
        <v>Not Sampled</v>
      </c>
      <c r="V667" s="1" t="str">
        <f>IF(U667="Not Sampled","Not Sampled",IF(S667=U667,"Accurate Prediction","Inaccurate Prediction"))</f>
        <v>Not Sampled</v>
      </c>
    </row>
    <row r="668" spans="1:22" x14ac:dyDescent="0.25">
      <c r="A668" s="1">
        <v>666</v>
      </c>
      <c r="B668" s="1">
        <v>4</v>
      </c>
      <c r="C668" s="1" t="str">
        <f>LOOKUP(B668,Sheet2!$D$4:$E$9)</f>
        <v>3-4</v>
      </c>
      <c r="D668" s="1">
        <v>145</v>
      </c>
      <c r="E668" t="str">
        <f>LOOKUP(D668,Sheet2!$G$4:$H$9)</f>
        <v>126-150</v>
      </c>
      <c r="F668" s="1">
        <v>82</v>
      </c>
      <c r="G668" t="str">
        <f>LOOKUP(F668,Sheet2!$J$4:$K$8)</f>
        <v>80+</v>
      </c>
      <c r="H668" s="1">
        <v>18</v>
      </c>
      <c r="I668" t="str">
        <f>LOOKUP(H668,Sheet2!$M$4:$N$8)</f>
        <v>10-30</v>
      </c>
      <c r="J668" s="1">
        <v>0</v>
      </c>
      <c r="K668" t="str">
        <f>LOOKUP(J668,Sheet2!$P$4:$Q$9)</f>
        <v>Unknown</v>
      </c>
      <c r="L668" s="1">
        <v>32.5</v>
      </c>
      <c r="M668" t="str">
        <f>LOOKUP(L668,Sheet2!$S$4:$T$8)</f>
        <v>31-35</v>
      </c>
      <c r="N668" s="1">
        <v>0.23499999999999999</v>
      </c>
      <c r="O668" t="str">
        <f>LOOKUP(N668,Sheet2!$V$4:$W$7)</f>
        <v>0.0 - 0.249</v>
      </c>
      <c r="P668" s="1">
        <v>70</v>
      </c>
      <c r="Q668" t="str">
        <f>LOOKUP(P668,Sheet2!$Z$4:$AA$7)</f>
        <v>46+</v>
      </c>
      <c r="R668" s="1">
        <v>1</v>
      </c>
      <c r="S668" t="str">
        <f>IF(R668=1,"Positive","Negative")</f>
        <v>Positive</v>
      </c>
      <c r="T668" s="1" t="str">
        <f>IFERROR(VLOOKUP(A668,[1]diabetes_Recognition!$A:$B,2,FALSE),"Not Sampled")</f>
        <v>Not Sampled</v>
      </c>
      <c r="U668" t="str">
        <f>IF(T668=1,"Positive",(IF(T668=0,"Negative","Not Sampled")))</f>
        <v>Not Sampled</v>
      </c>
      <c r="V668" s="1" t="str">
        <f>IF(U668="Not Sampled","Not Sampled",IF(S668=U668,"Accurate Prediction","Inaccurate Prediction"))</f>
        <v>Not Sampled</v>
      </c>
    </row>
    <row r="669" spans="1:22" x14ac:dyDescent="0.25">
      <c r="A669" s="1">
        <v>667</v>
      </c>
      <c r="B669" s="1">
        <v>10</v>
      </c>
      <c r="C669" s="1" t="str">
        <f>LOOKUP(B669,Sheet2!$D$4:$E$9)</f>
        <v>8+</v>
      </c>
      <c r="D669" s="1">
        <v>111</v>
      </c>
      <c r="E669" t="str">
        <f>LOOKUP(D669,Sheet2!$G$4:$H$9)</f>
        <v>100-125</v>
      </c>
      <c r="F669" s="1">
        <v>70</v>
      </c>
      <c r="G669" t="str">
        <f>LOOKUP(F669,Sheet2!$J$4:$K$8)</f>
        <v>70-79</v>
      </c>
      <c r="H669" s="1">
        <v>27</v>
      </c>
      <c r="I669" t="str">
        <f>LOOKUP(H669,Sheet2!$M$4:$N$8)</f>
        <v>10-30</v>
      </c>
      <c r="J669" s="1">
        <v>0</v>
      </c>
      <c r="K669" t="str">
        <f>LOOKUP(J669,Sheet2!$P$4:$Q$9)</f>
        <v>Unknown</v>
      </c>
      <c r="L669" s="1">
        <v>27.5</v>
      </c>
      <c r="M669" t="str">
        <f>LOOKUP(L669,Sheet2!$S$4:$T$8)</f>
        <v>26-30</v>
      </c>
      <c r="N669" s="1">
        <v>0.14099999999999999</v>
      </c>
      <c r="O669" t="str">
        <f>LOOKUP(N669,Sheet2!$V$4:$W$7)</f>
        <v>0.0 - 0.249</v>
      </c>
      <c r="P669" s="1">
        <v>40</v>
      </c>
      <c r="Q669" t="str">
        <f>LOOKUP(P669,Sheet2!$Z$4:$AA$7)</f>
        <v>36-45</v>
      </c>
      <c r="R669" s="1">
        <v>1</v>
      </c>
      <c r="S669" t="str">
        <f>IF(R669=1,"Positive","Negative")</f>
        <v>Positive</v>
      </c>
      <c r="T669" s="1" t="str">
        <f>IFERROR(VLOOKUP(A669,[1]diabetes_Recognition!$A:$B,2,FALSE),"Not Sampled")</f>
        <v>Not Sampled</v>
      </c>
      <c r="U669" t="str">
        <f>IF(T669=1,"Positive",(IF(T669=0,"Negative","Not Sampled")))</f>
        <v>Not Sampled</v>
      </c>
      <c r="V669" s="1" t="str">
        <f>IF(U669="Not Sampled","Not Sampled",IF(S669=U669,"Accurate Prediction","Inaccurate Prediction"))</f>
        <v>Not Sampled</v>
      </c>
    </row>
    <row r="670" spans="1:22" x14ac:dyDescent="0.25">
      <c r="A670" s="1">
        <v>668</v>
      </c>
      <c r="B670" s="1">
        <v>6</v>
      </c>
      <c r="C670" s="1" t="str">
        <f>LOOKUP(B670,Sheet2!$D$4:$E$9)</f>
        <v>5-7</v>
      </c>
      <c r="D670" s="1">
        <v>98</v>
      </c>
      <c r="E670" t="str">
        <f>LOOKUP(D670,Sheet2!$G$4:$H$9)</f>
        <v>1-99</v>
      </c>
      <c r="F670" s="1">
        <v>58</v>
      </c>
      <c r="G670" t="str">
        <f>LOOKUP(F670,Sheet2!$J$4:$K$8)</f>
        <v>1-59</v>
      </c>
      <c r="H670" s="1">
        <v>33</v>
      </c>
      <c r="I670" t="str">
        <f>LOOKUP(H670,Sheet2!$M$4:$N$8)</f>
        <v>30-39</v>
      </c>
      <c r="J670" s="1">
        <v>190</v>
      </c>
      <c r="K670" t="str">
        <f>LOOKUP(J670,Sheet2!$P$4:$Q$9)</f>
        <v>100-199</v>
      </c>
      <c r="L670" s="1">
        <v>34</v>
      </c>
      <c r="M670" t="str">
        <f>LOOKUP(L670,Sheet2!$S$4:$T$8)</f>
        <v>31-35</v>
      </c>
      <c r="N670" s="1">
        <v>0.43</v>
      </c>
      <c r="O670" t="str">
        <f>LOOKUP(N670,Sheet2!$V$4:$W$7)</f>
        <v>0.4 - 0.69</v>
      </c>
      <c r="P670" s="1">
        <v>43</v>
      </c>
      <c r="Q670" t="str">
        <f>LOOKUP(P670,Sheet2!$Z$4:$AA$7)</f>
        <v>36-45</v>
      </c>
      <c r="R670" s="1">
        <v>0</v>
      </c>
      <c r="S670" t="str">
        <f>IF(R670=1,"Positive","Negative")</f>
        <v>Negative</v>
      </c>
      <c r="T670" s="1" t="str">
        <f>IFERROR(VLOOKUP(A670,[1]diabetes_Recognition!$A:$B,2,FALSE),"Not Sampled")</f>
        <v>Not Sampled</v>
      </c>
      <c r="U670" t="str">
        <f>IF(T670=1,"Positive",(IF(T670=0,"Negative","Not Sampled")))</f>
        <v>Not Sampled</v>
      </c>
      <c r="V670" s="1" t="str">
        <f>IF(U670="Not Sampled","Not Sampled",IF(S670=U670,"Accurate Prediction","Inaccurate Prediction"))</f>
        <v>Not Sampled</v>
      </c>
    </row>
    <row r="671" spans="1:22" x14ac:dyDescent="0.25">
      <c r="A671" s="1">
        <v>669</v>
      </c>
      <c r="B671" s="1">
        <v>9</v>
      </c>
      <c r="C671" s="1" t="str">
        <f>LOOKUP(B671,Sheet2!$D$4:$E$9)</f>
        <v>8+</v>
      </c>
      <c r="D671" s="1">
        <v>154</v>
      </c>
      <c r="E671" t="str">
        <f>LOOKUP(D671,Sheet2!$G$4:$H$9)</f>
        <v>151-175</v>
      </c>
      <c r="F671" s="1">
        <v>78</v>
      </c>
      <c r="G671" t="str">
        <f>LOOKUP(F671,Sheet2!$J$4:$K$8)</f>
        <v>70-79</v>
      </c>
      <c r="H671" s="1">
        <v>30</v>
      </c>
      <c r="I671" t="str">
        <f>LOOKUP(H671,Sheet2!$M$4:$N$8)</f>
        <v>30-39</v>
      </c>
      <c r="J671" s="1">
        <v>100</v>
      </c>
      <c r="K671" t="str">
        <f>LOOKUP(J671,Sheet2!$P$4:$Q$9)</f>
        <v>100-199</v>
      </c>
      <c r="L671" s="1">
        <v>30.9</v>
      </c>
      <c r="M671" t="str">
        <f>LOOKUP(L671,Sheet2!$S$4:$T$8)</f>
        <v>26-30</v>
      </c>
      <c r="N671" s="1">
        <v>0.16400000000000001</v>
      </c>
      <c r="O671" t="str">
        <f>LOOKUP(N671,Sheet2!$V$4:$W$7)</f>
        <v>0.0 - 0.249</v>
      </c>
      <c r="P671" s="1">
        <v>45</v>
      </c>
      <c r="Q671" t="str">
        <f>LOOKUP(P671,Sheet2!$Z$4:$AA$7)</f>
        <v>36-45</v>
      </c>
      <c r="R671" s="1">
        <v>0</v>
      </c>
      <c r="S671" t="str">
        <f>IF(R671=1,"Positive","Negative")</f>
        <v>Negative</v>
      </c>
      <c r="T671" s="1" t="str">
        <f>IFERROR(VLOOKUP(A671,[1]diabetes_Recognition!$A:$B,2,FALSE),"Not Sampled")</f>
        <v>Not Sampled</v>
      </c>
      <c r="U671" t="str">
        <f>IF(T671=1,"Positive",(IF(T671=0,"Negative","Not Sampled")))</f>
        <v>Not Sampled</v>
      </c>
      <c r="V671" s="1" t="str">
        <f>IF(U671="Not Sampled","Not Sampled",IF(S671=U671,"Accurate Prediction","Inaccurate Prediction"))</f>
        <v>Not Sampled</v>
      </c>
    </row>
    <row r="672" spans="1:22" x14ac:dyDescent="0.25">
      <c r="A672" s="1">
        <v>670</v>
      </c>
      <c r="B672" s="1">
        <v>6</v>
      </c>
      <c r="C672" s="1" t="str">
        <f>LOOKUP(B672,Sheet2!$D$4:$E$9)</f>
        <v>5-7</v>
      </c>
      <c r="D672" s="1">
        <v>165</v>
      </c>
      <c r="E672" t="str">
        <f>LOOKUP(D672,Sheet2!$G$4:$H$9)</f>
        <v>151-175</v>
      </c>
      <c r="F672" s="1">
        <v>68</v>
      </c>
      <c r="G672" t="str">
        <f>LOOKUP(F672,Sheet2!$J$4:$K$8)</f>
        <v>60-69</v>
      </c>
      <c r="H672" s="1">
        <v>26</v>
      </c>
      <c r="I672" t="str">
        <f>LOOKUP(H672,Sheet2!$M$4:$N$8)</f>
        <v>10-30</v>
      </c>
      <c r="J672" s="1">
        <v>168</v>
      </c>
      <c r="K672" t="str">
        <f>LOOKUP(J672,Sheet2!$P$4:$Q$9)</f>
        <v>100-199</v>
      </c>
      <c r="L672" s="1">
        <v>33.6</v>
      </c>
      <c r="M672" t="str">
        <f>LOOKUP(L672,Sheet2!$S$4:$T$8)</f>
        <v>31-35</v>
      </c>
      <c r="N672" s="1">
        <v>0.63100000000000001</v>
      </c>
      <c r="O672" t="str">
        <f>LOOKUP(N672,Sheet2!$V$4:$W$7)</f>
        <v>0.4 - 0.69</v>
      </c>
      <c r="P672" s="1">
        <v>49</v>
      </c>
      <c r="Q672" t="str">
        <f>LOOKUP(P672,Sheet2!$Z$4:$AA$7)</f>
        <v>46+</v>
      </c>
      <c r="R672" s="1">
        <v>0</v>
      </c>
      <c r="S672" t="str">
        <f>IF(R672=1,"Positive","Negative")</f>
        <v>Negative</v>
      </c>
      <c r="T672" s="1" t="str">
        <f>IFERROR(VLOOKUP(A672,[1]diabetes_Recognition!$A:$B,2,FALSE),"Not Sampled")</f>
        <v>Not Sampled</v>
      </c>
      <c r="U672" t="str">
        <f>IF(T672=1,"Positive",(IF(T672=0,"Negative","Not Sampled")))</f>
        <v>Not Sampled</v>
      </c>
      <c r="V672" s="1" t="str">
        <f>IF(U672="Not Sampled","Not Sampled",IF(S672=U672,"Accurate Prediction","Inaccurate Prediction"))</f>
        <v>Not Sampled</v>
      </c>
    </row>
    <row r="673" spans="1:22" x14ac:dyDescent="0.25">
      <c r="A673" s="1">
        <v>671</v>
      </c>
      <c r="B673" s="1">
        <v>1</v>
      </c>
      <c r="C673" s="1">
        <f>LOOKUP(B673,Sheet2!$D$4:$E$9)</f>
        <v>1</v>
      </c>
      <c r="D673" s="1">
        <v>99</v>
      </c>
      <c r="E673" t="str">
        <f>LOOKUP(D673,Sheet2!$G$4:$H$9)</f>
        <v>1-99</v>
      </c>
      <c r="F673" s="1">
        <v>58</v>
      </c>
      <c r="G673" t="str">
        <f>LOOKUP(F673,Sheet2!$J$4:$K$8)</f>
        <v>1-59</v>
      </c>
      <c r="H673" s="1">
        <v>10</v>
      </c>
      <c r="I673" t="str">
        <f>LOOKUP(H673,Sheet2!$M$4:$N$8)</f>
        <v>10-30</v>
      </c>
      <c r="J673" s="1">
        <v>0</v>
      </c>
      <c r="K673" t="str">
        <f>LOOKUP(J673,Sheet2!$P$4:$Q$9)</f>
        <v>Unknown</v>
      </c>
      <c r="L673" s="1">
        <v>25.4</v>
      </c>
      <c r="M673" t="str">
        <f>LOOKUP(L673,Sheet2!$S$4:$T$8)</f>
        <v>1-25</v>
      </c>
      <c r="N673" s="1">
        <v>0.55100000000000005</v>
      </c>
      <c r="O673" t="str">
        <f>LOOKUP(N673,Sheet2!$V$4:$W$7)</f>
        <v>0.4 - 0.69</v>
      </c>
      <c r="P673" s="1">
        <v>21</v>
      </c>
      <c r="Q673" t="str">
        <f>LOOKUP(P673,Sheet2!$Z$4:$AA$7)</f>
        <v>&lt;=25</v>
      </c>
      <c r="R673" s="1">
        <v>0</v>
      </c>
      <c r="S673" t="str">
        <f>IF(R673=1,"Positive","Negative")</f>
        <v>Negative</v>
      </c>
      <c r="T673" s="1">
        <f>IFERROR(VLOOKUP(A673,[1]diabetes_Recognition!$A:$B,2,FALSE),"Not Sampled")</f>
        <v>0</v>
      </c>
      <c r="U673" t="str">
        <f>IF(T673=1,"Positive",(IF(T673=0,"Negative","Not Sampled")))</f>
        <v>Negative</v>
      </c>
      <c r="V673" s="1" t="str">
        <f>IF(U673="Not Sampled","Not Sampled",IF(S673=U673,"Accurate Prediction","Inaccurate Prediction"))</f>
        <v>Accurate Prediction</v>
      </c>
    </row>
    <row r="674" spans="1:22" x14ac:dyDescent="0.25">
      <c r="A674" s="1">
        <v>672</v>
      </c>
      <c r="B674" s="1">
        <v>10</v>
      </c>
      <c r="C674" s="1" t="str">
        <f>LOOKUP(B674,Sheet2!$D$4:$E$9)</f>
        <v>8+</v>
      </c>
      <c r="D674" s="1">
        <v>68</v>
      </c>
      <c r="E674" t="str">
        <f>LOOKUP(D674,Sheet2!$G$4:$H$9)</f>
        <v>1-99</v>
      </c>
      <c r="F674" s="1">
        <v>106</v>
      </c>
      <c r="G674" t="str">
        <f>LOOKUP(F674,Sheet2!$J$4:$K$8)</f>
        <v>80+</v>
      </c>
      <c r="H674" s="1">
        <v>23</v>
      </c>
      <c r="I674" t="str">
        <f>LOOKUP(H674,Sheet2!$M$4:$N$8)</f>
        <v>10-30</v>
      </c>
      <c r="J674" s="1">
        <v>49</v>
      </c>
      <c r="K674" t="str">
        <f>LOOKUP(J674,Sheet2!$P$4:$Q$9)</f>
        <v>1-99</v>
      </c>
      <c r="L674" s="1">
        <v>35.5</v>
      </c>
      <c r="M674" t="str">
        <f>LOOKUP(L674,Sheet2!$S$4:$T$8)</f>
        <v>31-35</v>
      </c>
      <c r="N674" s="1">
        <v>0.28499999999999998</v>
      </c>
      <c r="O674" t="str">
        <f>LOOKUP(N674,Sheet2!$V$4:$W$7)</f>
        <v>0.25 - 0.39</v>
      </c>
      <c r="P674" s="1">
        <v>47</v>
      </c>
      <c r="Q674" t="str">
        <f>LOOKUP(P674,Sheet2!$Z$4:$AA$7)</f>
        <v>46+</v>
      </c>
      <c r="R674" s="1">
        <v>0</v>
      </c>
      <c r="S674" t="str">
        <f>IF(R674=1,"Positive","Negative")</f>
        <v>Negative</v>
      </c>
      <c r="T674" s="1" t="str">
        <f>IFERROR(VLOOKUP(A674,[1]diabetes_Recognition!$A:$B,2,FALSE),"Not Sampled")</f>
        <v>Not Sampled</v>
      </c>
      <c r="U674" t="str">
        <f>IF(T674=1,"Positive",(IF(T674=0,"Negative","Not Sampled")))</f>
        <v>Not Sampled</v>
      </c>
      <c r="V674" s="1" t="str">
        <f>IF(U674="Not Sampled","Not Sampled",IF(S674=U674,"Accurate Prediction","Inaccurate Prediction"))</f>
        <v>Not Sampled</v>
      </c>
    </row>
    <row r="675" spans="1:22" x14ac:dyDescent="0.25">
      <c r="A675" s="1">
        <v>673</v>
      </c>
      <c r="B675" s="1">
        <v>3</v>
      </c>
      <c r="C675" s="1" t="str">
        <f>LOOKUP(B675,Sheet2!$D$4:$E$9)</f>
        <v>3-4</v>
      </c>
      <c r="D675" s="1">
        <v>123</v>
      </c>
      <c r="E675" t="str">
        <f>LOOKUP(D675,Sheet2!$G$4:$H$9)</f>
        <v>100-125</v>
      </c>
      <c r="F675" s="1">
        <v>100</v>
      </c>
      <c r="G675" t="str">
        <f>LOOKUP(F675,Sheet2!$J$4:$K$8)</f>
        <v>80+</v>
      </c>
      <c r="H675" s="1">
        <v>35</v>
      </c>
      <c r="I675" t="str">
        <f>LOOKUP(H675,Sheet2!$M$4:$N$8)</f>
        <v>30-39</v>
      </c>
      <c r="J675" s="1">
        <v>240</v>
      </c>
      <c r="K675" t="str">
        <f>LOOKUP(J675,Sheet2!$P$4:$Q$9)</f>
        <v>200-399</v>
      </c>
      <c r="L675" s="1">
        <v>57.3</v>
      </c>
      <c r="M675" t="str">
        <f>LOOKUP(L675,Sheet2!$S$4:$T$8)</f>
        <v>36+</v>
      </c>
      <c r="N675" s="1">
        <v>0.88</v>
      </c>
      <c r="O675" t="str">
        <f>LOOKUP(N675,Sheet2!$V$4:$W$7)</f>
        <v>0.7+</v>
      </c>
      <c r="P675" s="1">
        <v>22</v>
      </c>
      <c r="Q675" t="str">
        <f>LOOKUP(P675,Sheet2!$Z$4:$AA$7)</f>
        <v>&lt;=25</v>
      </c>
      <c r="R675" s="1">
        <v>0</v>
      </c>
      <c r="S675" t="str">
        <f>IF(R675=1,"Positive","Negative")</f>
        <v>Negative</v>
      </c>
      <c r="T675" s="1" t="str">
        <f>IFERROR(VLOOKUP(A675,[1]diabetes_Recognition!$A:$B,2,FALSE),"Not Sampled")</f>
        <v>Not Sampled</v>
      </c>
      <c r="U675" t="str">
        <f>IF(T675=1,"Positive",(IF(T675=0,"Negative","Not Sampled")))</f>
        <v>Not Sampled</v>
      </c>
      <c r="V675" s="1" t="str">
        <f>IF(U675="Not Sampled","Not Sampled",IF(S675=U675,"Accurate Prediction","Inaccurate Prediction"))</f>
        <v>Not Sampled</v>
      </c>
    </row>
    <row r="676" spans="1:22" x14ac:dyDescent="0.25">
      <c r="A676" s="1">
        <v>674</v>
      </c>
      <c r="B676" s="1">
        <v>8</v>
      </c>
      <c r="C676" s="1" t="str">
        <f>LOOKUP(B676,Sheet2!$D$4:$E$9)</f>
        <v>8+</v>
      </c>
      <c r="D676" s="1">
        <v>91</v>
      </c>
      <c r="E676" t="str">
        <f>LOOKUP(D676,Sheet2!$G$4:$H$9)</f>
        <v>1-99</v>
      </c>
      <c r="F676" s="1">
        <v>82</v>
      </c>
      <c r="G676" t="str">
        <f>LOOKUP(F676,Sheet2!$J$4:$K$8)</f>
        <v>80+</v>
      </c>
      <c r="H676" s="1">
        <v>0</v>
      </c>
      <c r="I676" t="str">
        <f>LOOKUP(H676,Sheet2!$M$4:$N$8)</f>
        <v>Unknown</v>
      </c>
      <c r="J676" s="1">
        <v>0</v>
      </c>
      <c r="K676" t="str">
        <f>LOOKUP(J676,Sheet2!$P$4:$Q$9)</f>
        <v>Unknown</v>
      </c>
      <c r="L676" s="1">
        <v>35.6</v>
      </c>
      <c r="M676" t="str">
        <f>LOOKUP(L676,Sheet2!$S$4:$T$8)</f>
        <v>31-35</v>
      </c>
      <c r="N676" s="1">
        <v>0.58699999999999997</v>
      </c>
      <c r="O676" t="str">
        <f>LOOKUP(N676,Sheet2!$V$4:$W$7)</f>
        <v>0.4 - 0.69</v>
      </c>
      <c r="P676" s="1">
        <v>68</v>
      </c>
      <c r="Q676" t="str">
        <f>LOOKUP(P676,Sheet2!$Z$4:$AA$7)</f>
        <v>46+</v>
      </c>
      <c r="R676" s="1">
        <v>0</v>
      </c>
      <c r="S676" t="str">
        <f>IF(R676=1,"Positive","Negative")</f>
        <v>Negative</v>
      </c>
      <c r="T676" s="1">
        <f>IFERROR(VLOOKUP(A676,[1]diabetes_Recognition!$A:$B,2,FALSE),"Not Sampled")</f>
        <v>0</v>
      </c>
      <c r="U676" t="str">
        <f>IF(T676=1,"Positive",(IF(T676=0,"Negative","Not Sampled")))</f>
        <v>Negative</v>
      </c>
      <c r="V676" s="1" t="str">
        <f>IF(U676="Not Sampled","Not Sampled",IF(S676=U676,"Accurate Prediction","Inaccurate Prediction"))</f>
        <v>Accurate Prediction</v>
      </c>
    </row>
    <row r="677" spans="1:22" x14ac:dyDescent="0.25">
      <c r="A677" s="1">
        <v>675</v>
      </c>
      <c r="B677" s="1">
        <v>6</v>
      </c>
      <c r="C677" s="1" t="str">
        <f>LOOKUP(B677,Sheet2!$D$4:$E$9)</f>
        <v>5-7</v>
      </c>
      <c r="D677" s="1">
        <v>195</v>
      </c>
      <c r="E677" t="str">
        <f>LOOKUP(D677,Sheet2!$G$4:$H$9)</f>
        <v>176-200</v>
      </c>
      <c r="F677" s="1">
        <v>70</v>
      </c>
      <c r="G677" t="str">
        <f>LOOKUP(F677,Sheet2!$J$4:$K$8)</f>
        <v>70-79</v>
      </c>
      <c r="H677" s="1">
        <v>0</v>
      </c>
      <c r="I677" t="str">
        <f>LOOKUP(H677,Sheet2!$M$4:$N$8)</f>
        <v>Unknown</v>
      </c>
      <c r="J677" s="1">
        <v>0</v>
      </c>
      <c r="K677" t="str">
        <f>LOOKUP(J677,Sheet2!$P$4:$Q$9)</f>
        <v>Unknown</v>
      </c>
      <c r="L677" s="1">
        <v>30.9</v>
      </c>
      <c r="M677" t="str">
        <f>LOOKUP(L677,Sheet2!$S$4:$T$8)</f>
        <v>26-30</v>
      </c>
      <c r="N677" s="1">
        <v>0.32800000000000001</v>
      </c>
      <c r="O677" t="str">
        <f>LOOKUP(N677,Sheet2!$V$4:$W$7)</f>
        <v>0.25 - 0.39</v>
      </c>
      <c r="P677" s="1">
        <v>31</v>
      </c>
      <c r="Q677" t="str">
        <f>LOOKUP(P677,Sheet2!$Z$4:$AA$7)</f>
        <v>26-35</v>
      </c>
      <c r="R677" s="1">
        <v>1</v>
      </c>
      <c r="S677" t="str">
        <f>IF(R677=1,"Positive","Negative")</f>
        <v>Positive</v>
      </c>
      <c r="T677" s="1">
        <f>IFERROR(VLOOKUP(A677,[1]diabetes_Recognition!$A:$B,2,FALSE),"Not Sampled")</f>
        <v>1</v>
      </c>
      <c r="U677" t="str">
        <f>IF(T677=1,"Positive",(IF(T677=0,"Negative","Not Sampled")))</f>
        <v>Positive</v>
      </c>
      <c r="V677" s="1" t="str">
        <f>IF(U677="Not Sampled","Not Sampled",IF(S677=U677,"Accurate Prediction","Inaccurate Prediction"))</f>
        <v>Accurate Prediction</v>
      </c>
    </row>
    <row r="678" spans="1:22" x14ac:dyDescent="0.25">
      <c r="A678" s="1">
        <v>676</v>
      </c>
      <c r="B678" s="1">
        <v>9</v>
      </c>
      <c r="C678" s="1" t="str">
        <f>LOOKUP(B678,Sheet2!$D$4:$E$9)</f>
        <v>8+</v>
      </c>
      <c r="D678" s="1">
        <v>156</v>
      </c>
      <c r="E678" t="str">
        <f>LOOKUP(D678,Sheet2!$G$4:$H$9)</f>
        <v>151-175</v>
      </c>
      <c r="F678" s="1">
        <v>86</v>
      </c>
      <c r="G678" t="str">
        <f>LOOKUP(F678,Sheet2!$J$4:$K$8)</f>
        <v>80+</v>
      </c>
      <c r="H678" s="1">
        <v>0</v>
      </c>
      <c r="I678" t="str">
        <f>LOOKUP(H678,Sheet2!$M$4:$N$8)</f>
        <v>Unknown</v>
      </c>
      <c r="J678" s="1">
        <v>0</v>
      </c>
      <c r="K678" t="str">
        <f>LOOKUP(J678,Sheet2!$P$4:$Q$9)</f>
        <v>Unknown</v>
      </c>
      <c r="L678" s="1">
        <v>24.8</v>
      </c>
      <c r="M678" t="str">
        <f>LOOKUP(L678,Sheet2!$S$4:$T$8)</f>
        <v>1-25</v>
      </c>
      <c r="N678" s="1">
        <v>0.23</v>
      </c>
      <c r="O678" t="str">
        <f>LOOKUP(N678,Sheet2!$V$4:$W$7)</f>
        <v>0.0 - 0.249</v>
      </c>
      <c r="P678" s="1">
        <v>53</v>
      </c>
      <c r="Q678" t="str">
        <f>LOOKUP(P678,Sheet2!$Z$4:$AA$7)</f>
        <v>46+</v>
      </c>
      <c r="R678" s="1">
        <v>1</v>
      </c>
      <c r="S678" t="str">
        <f>IF(R678=1,"Positive","Negative")</f>
        <v>Positive</v>
      </c>
      <c r="T678" s="1" t="str">
        <f>IFERROR(VLOOKUP(A678,[1]diabetes_Recognition!$A:$B,2,FALSE),"Not Sampled")</f>
        <v>Not Sampled</v>
      </c>
      <c r="U678" t="str">
        <f>IF(T678=1,"Positive",(IF(T678=0,"Negative","Not Sampled")))</f>
        <v>Not Sampled</v>
      </c>
      <c r="V678" s="1" t="str">
        <f>IF(U678="Not Sampled","Not Sampled",IF(S678=U678,"Accurate Prediction","Inaccurate Prediction"))</f>
        <v>Not Sampled</v>
      </c>
    </row>
    <row r="679" spans="1:22" x14ac:dyDescent="0.25">
      <c r="A679" s="1">
        <v>677</v>
      </c>
      <c r="B679" s="1">
        <v>0</v>
      </c>
      <c r="C679" s="1">
        <f>LOOKUP(B679,Sheet2!$D$4:$E$9)</f>
        <v>0</v>
      </c>
      <c r="D679" s="1">
        <v>93</v>
      </c>
      <c r="E679" t="str">
        <f>LOOKUP(D679,Sheet2!$G$4:$H$9)</f>
        <v>1-99</v>
      </c>
      <c r="F679" s="1">
        <v>60</v>
      </c>
      <c r="G679" t="str">
        <f>LOOKUP(F679,Sheet2!$J$4:$K$8)</f>
        <v>60-69</v>
      </c>
      <c r="H679" s="1">
        <v>0</v>
      </c>
      <c r="I679" t="str">
        <f>LOOKUP(H679,Sheet2!$M$4:$N$8)</f>
        <v>Unknown</v>
      </c>
      <c r="J679" s="1">
        <v>0</v>
      </c>
      <c r="K679" t="str">
        <f>LOOKUP(J679,Sheet2!$P$4:$Q$9)</f>
        <v>Unknown</v>
      </c>
      <c r="L679" s="1">
        <v>35.299999999999997</v>
      </c>
      <c r="M679" t="str">
        <f>LOOKUP(L679,Sheet2!$S$4:$T$8)</f>
        <v>31-35</v>
      </c>
      <c r="N679" s="1">
        <v>0.26300000000000001</v>
      </c>
      <c r="O679" t="str">
        <f>LOOKUP(N679,Sheet2!$V$4:$W$7)</f>
        <v>0.25 - 0.39</v>
      </c>
      <c r="P679" s="1">
        <v>25</v>
      </c>
      <c r="Q679" t="str">
        <f>LOOKUP(P679,Sheet2!$Z$4:$AA$7)</f>
        <v>&lt;=25</v>
      </c>
      <c r="R679" s="1">
        <v>0</v>
      </c>
      <c r="S679" t="str">
        <f>IF(R679=1,"Positive","Negative")</f>
        <v>Negative</v>
      </c>
      <c r="T679" s="1" t="str">
        <f>IFERROR(VLOOKUP(A679,[1]diabetes_Recognition!$A:$B,2,FALSE),"Not Sampled")</f>
        <v>Not Sampled</v>
      </c>
      <c r="U679" t="str">
        <f>IF(T679=1,"Positive",(IF(T679=0,"Negative","Not Sampled")))</f>
        <v>Not Sampled</v>
      </c>
      <c r="V679" s="1" t="str">
        <f>IF(U679="Not Sampled","Not Sampled",IF(S679=U679,"Accurate Prediction","Inaccurate Prediction"))</f>
        <v>Not Sampled</v>
      </c>
    </row>
    <row r="680" spans="1:22" x14ac:dyDescent="0.25">
      <c r="A680" s="1">
        <v>678</v>
      </c>
      <c r="B680" s="1">
        <v>3</v>
      </c>
      <c r="C680" s="1" t="str">
        <f>LOOKUP(B680,Sheet2!$D$4:$E$9)</f>
        <v>3-4</v>
      </c>
      <c r="D680" s="1">
        <v>121</v>
      </c>
      <c r="E680" t="str">
        <f>LOOKUP(D680,Sheet2!$G$4:$H$9)</f>
        <v>100-125</v>
      </c>
      <c r="F680" s="1">
        <v>52</v>
      </c>
      <c r="G680" t="str">
        <f>LOOKUP(F680,Sheet2!$J$4:$K$8)</f>
        <v>1-59</v>
      </c>
      <c r="H680" s="1">
        <v>0</v>
      </c>
      <c r="I680" t="str">
        <f>LOOKUP(H680,Sheet2!$M$4:$N$8)</f>
        <v>Unknown</v>
      </c>
      <c r="J680" s="1">
        <v>0</v>
      </c>
      <c r="K680" t="str">
        <f>LOOKUP(J680,Sheet2!$P$4:$Q$9)</f>
        <v>Unknown</v>
      </c>
      <c r="L680" s="1">
        <v>36</v>
      </c>
      <c r="M680" t="str">
        <f>LOOKUP(L680,Sheet2!$S$4:$T$8)</f>
        <v>36+</v>
      </c>
      <c r="N680" s="1">
        <v>0.127</v>
      </c>
      <c r="O680" t="str">
        <f>LOOKUP(N680,Sheet2!$V$4:$W$7)</f>
        <v>0.0 - 0.249</v>
      </c>
      <c r="P680" s="1">
        <v>25</v>
      </c>
      <c r="Q680" t="str">
        <f>LOOKUP(P680,Sheet2!$Z$4:$AA$7)</f>
        <v>&lt;=25</v>
      </c>
      <c r="R680" s="1">
        <v>1</v>
      </c>
      <c r="S680" t="str">
        <f>IF(R680=1,"Positive","Negative")</f>
        <v>Positive</v>
      </c>
      <c r="T680" s="1" t="str">
        <f>IFERROR(VLOOKUP(A680,[1]diabetes_Recognition!$A:$B,2,FALSE),"Not Sampled")</f>
        <v>Not Sampled</v>
      </c>
      <c r="U680" t="str">
        <f>IF(T680=1,"Positive",(IF(T680=0,"Negative","Not Sampled")))</f>
        <v>Not Sampled</v>
      </c>
      <c r="V680" s="1" t="str">
        <f>IF(U680="Not Sampled","Not Sampled",IF(S680=U680,"Accurate Prediction","Inaccurate Prediction"))</f>
        <v>Not Sampled</v>
      </c>
    </row>
    <row r="681" spans="1:22" x14ac:dyDescent="0.25">
      <c r="A681" s="1">
        <v>679</v>
      </c>
      <c r="B681" s="1">
        <v>2</v>
      </c>
      <c r="C681" s="1">
        <f>LOOKUP(B681,Sheet2!$D$4:$E$9)</f>
        <v>2</v>
      </c>
      <c r="D681" s="1">
        <v>101</v>
      </c>
      <c r="E681" t="str">
        <f>LOOKUP(D681,Sheet2!$G$4:$H$9)</f>
        <v>100-125</v>
      </c>
      <c r="F681" s="1">
        <v>58</v>
      </c>
      <c r="G681" t="str">
        <f>LOOKUP(F681,Sheet2!$J$4:$K$8)</f>
        <v>1-59</v>
      </c>
      <c r="H681" s="1">
        <v>17</v>
      </c>
      <c r="I681" t="str">
        <f>LOOKUP(H681,Sheet2!$M$4:$N$8)</f>
        <v>10-30</v>
      </c>
      <c r="J681" s="1">
        <v>265</v>
      </c>
      <c r="K681" t="str">
        <f>LOOKUP(J681,Sheet2!$P$4:$Q$9)</f>
        <v>200-399</v>
      </c>
      <c r="L681" s="1">
        <v>24.2</v>
      </c>
      <c r="M681" t="str">
        <f>LOOKUP(L681,Sheet2!$S$4:$T$8)</f>
        <v>1-25</v>
      </c>
      <c r="N681" s="1">
        <v>0.61399999999999999</v>
      </c>
      <c r="O681" t="str">
        <f>LOOKUP(N681,Sheet2!$V$4:$W$7)</f>
        <v>0.4 - 0.69</v>
      </c>
      <c r="P681" s="1">
        <v>23</v>
      </c>
      <c r="Q681" t="str">
        <f>LOOKUP(P681,Sheet2!$Z$4:$AA$7)</f>
        <v>&lt;=25</v>
      </c>
      <c r="R681" s="1">
        <v>0</v>
      </c>
      <c r="S681" t="str">
        <f>IF(R681=1,"Positive","Negative")</f>
        <v>Negative</v>
      </c>
      <c r="T681" s="1">
        <f>IFERROR(VLOOKUP(A681,[1]diabetes_Recognition!$A:$B,2,FALSE),"Not Sampled")</f>
        <v>0</v>
      </c>
      <c r="U681" t="str">
        <f>IF(T681=1,"Positive",(IF(T681=0,"Negative","Not Sampled")))</f>
        <v>Negative</v>
      </c>
      <c r="V681" s="1" t="str">
        <f>IF(U681="Not Sampled","Not Sampled",IF(S681=U681,"Accurate Prediction","Inaccurate Prediction"))</f>
        <v>Accurate Prediction</v>
      </c>
    </row>
    <row r="682" spans="1:22" x14ac:dyDescent="0.25">
      <c r="A682" s="1">
        <v>680</v>
      </c>
      <c r="B682" s="1">
        <v>2</v>
      </c>
      <c r="C682" s="1">
        <f>LOOKUP(B682,Sheet2!$D$4:$E$9)</f>
        <v>2</v>
      </c>
      <c r="D682" s="1">
        <v>56</v>
      </c>
      <c r="E682" t="str">
        <f>LOOKUP(D682,Sheet2!$G$4:$H$9)</f>
        <v>1-99</v>
      </c>
      <c r="F682" s="1">
        <v>56</v>
      </c>
      <c r="G682" t="str">
        <f>LOOKUP(F682,Sheet2!$J$4:$K$8)</f>
        <v>1-59</v>
      </c>
      <c r="H682" s="1">
        <v>28</v>
      </c>
      <c r="I682" t="str">
        <f>LOOKUP(H682,Sheet2!$M$4:$N$8)</f>
        <v>10-30</v>
      </c>
      <c r="J682" s="1">
        <v>45</v>
      </c>
      <c r="K682" t="str">
        <f>LOOKUP(J682,Sheet2!$P$4:$Q$9)</f>
        <v>1-99</v>
      </c>
      <c r="L682" s="1">
        <v>24.2</v>
      </c>
      <c r="M682" t="str">
        <f>LOOKUP(L682,Sheet2!$S$4:$T$8)</f>
        <v>1-25</v>
      </c>
      <c r="N682" s="1">
        <v>0.33200000000000002</v>
      </c>
      <c r="O682" t="str">
        <f>LOOKUP(N682,Sheet2!$V$4:$W$7)</f>
        <v>0.25 - 0.39</v>
      </c>
      <c r="P682" s="1">
        <v>22</v>
      </c>
      <c r="Q682" t="str">
        <f>LOOKUP(P682,Sheet2!$Z$4:$AA$7)</f>
        <v>&lt;=25</v>
      </c>
      <c r="R682" s="1">
        <v>0</v>
      </c>
      <c r="S682" t="str">
        <f>IF(R682=1,"Positive","Negative")</f>
        <v>Negative</v>
      </c>
      <c r="T682" s="1" t="str">
        <f>IFERROR(VLOOKUP(A682,[1]diabetes_Recognition!$A:$B,2,FALSE),"Not Sampled")</f>
        <v>Not Sampled</v>
      </c>
      <c r="U682" t="str">
        <f>IF(T682=1,"Positive",(IF(T682=0,"Negative","Not Sampled")))</f>
        <v>Not Sampled</v>
      </c>
      <c r="V682" s="1" t="str">
        <f>IF(U682="Not Sampled","Not Sampled",IF(S682=U682,"Accurate Prediction","Inaccurate Prediction"))</f>
        <v>Not Sampled</v>
      </c>
    </row>
    <row r="683" spans="1:22" x14ac:dyDescent="0.25">
      <c r="A683" s="1">
        <v>681</v>
      </c>
      <c r="B683" s="1">
        <v>0</v>
      </c>
      <c r="C683" s="1">
        <f>LOOKUP(B683,Sheet2!$D$4:$E$9)</f>
        <v>0</v>
      </c>
      <c r="D683" s="1">
        <v>162</v>
      </c>
      <c r="E683" t="str">
        <f>LOOKUP(D683,Sheet2!$G$4:$H$9)</f>
        <v>151-175</v>
      </c>
      <c r="F683" s="1">
        <v>76</v>
      </c>
      <c r="G683" t="str">
        <f>LOOKUP(F683,Sheet2!$J$4:$K$8)</f>
        <v>70-79</v>
      </c>
      <c r="H683" s="1">
        <v>36</v>
      </c>
      <c r="I683" t="str">
        <f>LOOKUP(H683,Sheet2!$M$4:$N$8)</f>
        <v>30-39</v>
      </c>
      <c r="J683" s="1">
        <v>0</v>
      </c>
      <c r="K683" t="str">
        <f>LOOKUP(J683,Sheet2!$P$4:$Q$9)</f>
        <v>Unknown</v>
      </c>
      <c r="L683" s="1">
        <v>49.6</v>
      </c>
      <c r="M683" t="str">
        <f>LOOKUP(L683,Sheet2!$S$4:$T$8)</f>
        <v>36+</v>
      </c>
      <c r="N683" s="1">
        <v>0.36399999999999999</v>
      </c>
      <c r="O683" t="str">
        <f>LOOKUP(N683,Sheet2!$V$4:$W$7)</f>
        <v>0.25 - 0.39</v>
      </c>
      <c r="P683" s="1">
        <v>26</v>
      </c>
      <c r="Q683" t="str">
        <f>LOOKUP(P683,Sheet2!$Z$4:$AA$7)</f>
        <v>26-35</v>
      </c>
      <c r="R683" s="1">
        <v>1</v>
      </c>
      <c r="S683" t="str">
        <f>IF(R683=1,"Positive","Negative")</f>
        <v>Positive</v>
      </c>
      <c r="T683" s="1" t="str">
        <f>IFERROR(VLOOKUP(A683,[1]diabetes_Recognition!$A:$B,2,FALSE),"Not Sampled")</f>
        <v>Not Sampled</v>
      </c>
      <c r="U683" t="str">
        <f>IF(T683=1,"Positive",(IF(T683=0,"Negative","Not Sampled")))</f>
        <v>Not Sampled</v>
      </c>
      <c r="V683" s="1" t="str">
        <f>IF(U683="Not Sampled","Not Sampled",IF(S683=U683,"Accurate Prediction","Inaccurate Prediction"))</f>
        <v>Not Sampled</v>
      </c>
    </row>
    <row r="684" spans="1:22" x14ac:dyDescent="0.25">
      <c r="A684" s="1">
        <v>682</v>
      </c>
      <c r="B684" s="1">
        <v>0</v>
      </c>
      <c r="C684" s="1">
        <f>LOOKUP(B684,Sheet2!$D$4:$E$9)</f>
        <v>0</v>
      </c>
      <c r="D684" s="1">
        <v>95</v>
      </c>
      <c r="E684" t="str">
        <f>LOOKUP(D684,Sheet2!$G$4:$H$9)</f>
        <v>1-99</v>
      </c>
      <c r="F684" s="1">
        <v>64</v>
      </c>
      <c r="G684" t="str">
        <f>LOOKUP(F684,Sheet2!$J$4:$K$8)</f>
        <v>60-69</v>
      </c>
      <c r="H684" s="1">
        <v>39</v>
      </c>
      <c r="I684" t="str">
        <f>LOOKUP(H684,Sheet2!$M$4:$N$8)</f>
        <v>30-39</v>
      </c>
      <c r="J684" s="1">
        <v>105</v>
      </c>
      <c r="K684" t="str">
        <f>LOOKUP(J684,Sheet2!$P$4:$Q$9)</f>
        <v>100-199</v>
      </c>
      <c r="L684" s="1">
        <v>44.6</v>
      </c>
      <c r="M684" t="str">
        <f>LOOKUP(L684,Sheet2!$S$4:$T$8)</f>
        <v>36+</v>
      </c>
      <c r="N684" s="1">
        <v>0.36599999999999999</v>
      </c>
      <c r="O684" t="str">
        <f>LOOKUP(N684,Sheet2!$V$4:$W$7)</f>
        <v>0.25 - 0.39</v>
      </c>
      <c r="P684" s="1">
        <v>22</v>
      </c>
      <c r="Q684" t="str">
        <f>LOOKUP(P684,Sheet2!$Z$4:$AA$7)</f>
        <v>&lt;=25</v>
      </c>
      <c r="R684" s="1">
        <v>0</v>
      </c>
      <c r="S684" t="str">
        <f>IF(R684=1,"Positive","Negative")</f>
        <v>Negative</v>
      </c>
      <c r="T684" s="1" t="str">
        <f>IFERROR(VLOOKUP(A684,[1]diabetes_Recognition!$A:$B,2,FALSE),"Not Sampled")</f>
        <v>Not Sampled</v>
      </c>
      <c r="U684" t="str">
        <f>IF(T684=1,"Positive",(IF(T684=0,"Negative","Not Sampled")))</f>
        <v>Not Sampled</v>
      </c>
      <c r="V684" s="1" t="str">
        <f>IF(U684="Not Sampled","Not Sampled",IF(S684=U684,"Accurate Prediction","Inaccurate Prediction"))</f>
        <v>Not Sampled</v>
      </c>
    </row>
    <row r="685" spans="1:22" x14ac:dyDescent="0.25">
      <c r="A685" s="1">
        <v>683</v>
      </c>
      <c r="B685" s="1">
        <v>4</v>
      </c>
      <c r="C685" s="1" t="str">
        <f>LOOKUP(B685,Sheet2!$D$4:$E$9)</f>
        <v>3-4</v>
      </c>
      <c r="D685" s="1">
        <v>125</v>
      </c>
      <c r="E685" t="str">
        <f>LOOKUP(D685,Sheet2!$G$4:$H$9)</f>
        <v>100-125</v>
      </c>
      <c r="F685" s="1">
        <v>80</v>
      </c>
      <c r="G685" t="str">
        <f>LOOKUP(F685,Sheet2!$J$4:$K$8)</f>
        <v>80+</v>
      </c>
      <c r="H685" s="1">
        <v>0</v>
      </c>
      <c r="I685" t="str">
        <f>LOOKUP(H685,Sheet2!$M$4:$N$8)</f>
        <v>Unknown</v>
      </c>
      <c r="J685" s="1">
        <v>0</v>
      </c>
      <c r="K685" t="str">
        <f>LOOKUP(J685,Sheet2!$P$4:$Q$9)</f>
        <v>Unknown</v>
      </c>
      <c r="L685" s="1">
        <v>32.299999999999997</v>
      </c>
      <c r="M685" t="str">
        <f>LOOKUP(L685,Sheet2!$S$4:$T$8)</f>
        <v>31-35</v>
      </c>
      <c r="N685" s="1">
        <v>0.53600000000000003</v>
      </c>
      <c r="O685" t="str">
        <f>LOOKUP(N685,Sheet2!$V$4:$W$7)</f>
        <v>0.4 - 0.69</v>
      </c>
      <c r="P685" s="1">
        <v>27</v>
      </c>
      <c r="Q685" t="str">
        <f>LOOKUP(P685,Sheet2!$Z$4:$AA$7)</f>
        <v>26-35</v>
      </c>
      <c r="R685" s="1">
        <v>1</v>
      </c>
      <c r="S685" t="str">
        <f>IF(R685=1,"Positive","Negative")</f>
        <v>Positive</v>
      </c>
      <c r="T685" s="1" t="str">
        <f>IFERROR(VLOOKUP(A685,[1]diabetes_Recognition!$A:$B,2,FALSE),"Not Sampled")</f>
        <v>Not Sampled</v>
      </c>
      <c r="U685" t="str">
        <f>IF(T685=1,"Positive",(IF(T685=0,"Negative","Not Sampled")))</f>
        <v>Not Sampled</v>
      </c>
      <c r="V685" s="1" t="str">
        <f>IF(U685="Not Sampled","Not Sampled",IF(S685=U685,"Accurate Prediction","Inaccurate Prediction"))</f>
        <v>Not Sampled</v>
      </c>
    </row>
    <row r="686" spans="1:22" x14ac:dyDescent="0.25">
      <c r="A686" s="1">
        <v>684</v>
      </c>
      <c r="B686" s="1">
        <v>5</v>
      </c>
      <c r="C686" s="1" t="str">
        <f>LOOKUP(B686,Sheet2!$D$4:$E$9)</f>
        <v>5-7</v>
      </c>
      <c r="D686" s="1">
        <v>136</v>
      </c>
      <c r="E686" t="str">
        <f>LOOKUP(D686,Sheet2!$G$4:$H$9)</f>
        <v>126-150</v>
      </c>
      <c r="F686" s="1">
        <v>82</v>
      </c>
      <c r="G686" t="str">
        <f>LOOKUP(F686,Sheet2!$J$4:$K$8)</f>
        <v>80+</v>
      </c>
      <c r="H686" s="1">
        <v>0</v>
      </c>
      <c r="I686" t="str">
        <f>LOOKUP(H686,Sheet2!$M$4:$N$8)</f>
        <v>Unknown</v>
      </c>
      <c r="J686" s="1">
        <v>0</v>
      </c>
      <c r="K686" t="str">
        <f>LOOKUP(J686,Sheet2!$P$4:$Q$9)</f>
        <v>Unknown</v>
      </c>
      <c r="L686" s="1">
        <v>0</v>
      </c>
      <c r="M686" t="str">
        <f>LOOKUP(L686,Sheet2!$S$4:$T$8)</f>
        <v>Unknown</v>
      </c>
      <c r="N686" s="1">
        <v>0.64</v>
      </c>
      <c r="O686" t="str">
        <f>LOOKUP(N686,Sheet2!$V$4:$W$7)</f>
        <v>0.4 - 0.69</v>
      </c>
      <c r="P686" s="1">
        <v>69</v>
      </c>
      <c r="Q686" t="str">
        <f>LOOKUP(P686,Sheet2!$Z$4:$AA$7)</f>
        <v>46+</v>
      </c>
      <c r="R686" s="1">
        <v>0</v>
      </c>
      <c r="S686" t="str">
        <f>IF(R686=1,"Positive","Negative")</f>
        <v>Negative</v>
      </c>
      <c r="T686" s="1" t="str">
        <f>IFERROR(VLOOKUP(A686,[1]diabetes_Recognition!$A:$B,2,FALSE),"Not Sampled")</f>
        <v>Not Sampled</v>
      </c>
      <c r="U686" t="str">
        <f>IF(T686=1,"Positive",(IF(T686=0,"Negative","Not Sampled")))</f>
        <v>Not Sampled</v>
      </c>
      <c r="V686" s="1" t="str">
        <f>IF(U686="Not Sampled","Not Sampled",IF(S686=U686,"Accurate Prediction","Inaccurate Prediction"))</f>
        <v>Not Sampled</v>
      </c>
    </row>
    <row r="687" spans="1:22" x14ac:dyDescent="0.25">
      <c r="A687" s="1">
        <v>685</v>
      </c>
      <c r="B687" s="1">
        <v>2</v>
      </c>
      <c r="C687" s="1">
        <f>LOOKUP(B687,Sheet2!$D$4:$E$9)</f>
        <v>2</v>
      </c>
      <c r="D687" s="1">
        <v>129</v>
      </c>
      <c r="E687" t="str">
        <f>LOOKUP(D687,Sheet2!$G$4:$H$9)</f>
        <v>126-150</v>
      </c>
      <c r="F687" s="1">
        <v>74</v>
      </c>
      <c r="G687" t="str">
        <f>LOOKUP(F687,Sheet2!$J$4:$K$8)</f>
        <v>70-79</v>
      </c>
      <c r="H687" s="1">
        <v>26</v>
      </c>
      <c r="I687" t="str">
        <f>LOOKUP(H687,Sheet2!$M$4:$N$8)</f>
        <v>10-30</v>
      </c>
      <c r="J687" s="1">
        <v>205</v>
      </c>
      <c r="K687" t="str">
        <f>LOOKUP(J687,Sheet2!$P$4:$Q$9)</f>
        <v>200-399</v>
      </c>
      <c r="L687" s="1">
        <v>33.200000000000003</v>
      </c>
      <c r="M687" t="str">
        <f>LOOKUP(L687,Sheet2!$S$4:$T$8)</f>
        <v>31-35</v>
      </c>
      <c r="N687" s="1">
        <v>0.59099999999999997</v>
      </c>
      <c r="O687" t="str">
        <f>LOOKUP(N687,Sheet2!$V$4:$W$7)</f>
        <v>0.4 - 0.69</v>
      </c>
      <c r="P687" s="1">
        <v>25</v>
      </c>
      <c r="Q687" t="str">
        <f>LOOKUP(P687,Sheet2!$Z$4:$AA$7)</f>
        <v>&lt;=25</v>
      </c>
      <c r="R687" s="1">
        <v>0</v>
      </c>
      <c r="S687" t="str">
        <f>IF(R687=1,"Positive","Negative")</f>
        <v>Negative</v>
      </c>
      <c r="T687" s="1" t="str">
        <f>IFERROR(VLOOKUP(A687,[1]diabetes_Recognition!$A:$B,2,FALSE),"Not Sampled")</f>
        <v>Not Sampled</v>
      </c>
      <c r="U687" t="str">
        <f>IF(T687=1,"Positive",(IF(T687=0,"Negative","Not Sampled")))</f>
        <v>Not Sampled</v>
      </c>
      <c r="V687" s="1" t="str">
        <f>IF(U687="Not Sampled","Not Sampled",IF(S687=U687,"Accurate Prediction","Inaccurate Prediction"))</f>
        <v>Not Sampled</v>
      </c>
    </row>
    <row r="688" spans="1:22" x14ac:dyDescent="0.25">
      <c r="A688" s="1">
        <v>686</v>
      </c>
      <c r="B688" s="1">
        <v>3</v>
      </c>
      <c r="C688" s="1" t="str">
        <f>LOOKUP(B688,Sheet2!$D$4:$E$9)</f>
        <v>3-4</v>
      </c>
      <c r="D688" s="1">
        <v>130</v>
      </c>
      <c r="E688" t="str">
        <f>LOOKUP(D688,Sheet2!$G$4:$H$9)</f>
        <v>126-150</v>
      </c>
      <c r="F688" s="1">
        <v>64</v>
      </c>
      <c r="G688" t="str">
        <f>LOOKUP(F688,Sheet2!$J$4:$K$8)</f>
        <v>60-69</v>
      </c>
      <c r="H688" s="1">
        <v>0</v>
      </c>
      <c r="I688" t="str">
        <f>LOOKUP(H688,Sheet2!$M$4:$N$8)</f>
        <v>Unknown</v>
      </c>
      <c r="J688" s="1">
        <v>0</v>
      </c>
      <c r="K688" t="str">
        <f>LOOKUP(J688,Sheet2!$P$4:$Q$9)</f>
        <v>Unknown</v>
      </c>
      <c r="L688" s="1">
        <v>23.1</v>
      </c>
      <c r="M688" t="str">
        <f>LOOKUP(L688,Sheet2!$S$4:$T$8)</f>
        <v>1-25</v>
      </c>
      <c r="N688" s="1">
        <v>0.314</v>
      </c>
      <c r="O688" t="str">
        <f>LOOKUP(N688,Sheet2!$V$4:$W$7)</f>
        <v>0.25 - 0.39</v>
      </c>
      <c r="P688" s="1">
        <v>22</v>
      </c>
      <c r="Q688" t="str">
        <f>LOOKUP(P688,Sheet2!$Z$4:$AA$7)</f>
        <v>&lt;=25</v>
      </c>
      <c r="R688" s="1">
        <v>0</v>
      </c>
      <c r="S688" t="str">
        <f>IF(R688=1,"Positive","Negative")</f>
        <v>Negative</v>
      </c>
      <c r="T688" s="1" t="str">
        <f>IFERROR(VLOOKUP(A688,[1]diabetes_Recognition!$A:$B,2,FALSE),"Not Sampled")</f>
        <v>Not Sampled</v>
      </c>
      <c r="U688" t="str">
        <f>IF(T688=1,"Positive",(IF(T688=0,"Negative","Not Sampled")))</f>
        <v>Not Sampled</v>
      </c>
      <c r="V688" s="1" t="str">
        <f>IF(U688="Not Sampled","Not Sampled",IF(S688=U688,"Accurate Prediction","Inaccurate Prediction"))</f>
        <v>Not Sampled</v>
      </c>
    </row>
    <row r="689" spans="1:22" x14ac:dyDescent="0.25">
      <c r="A689" s="1">
        <v>687</v>
      </c>
      <c r="B689" s="1">
        <v>1</v>
      </c>
      <c r="C689" s="1">
        <f>LOOKUP(B689,Sheet2!$D$4:$E$9)</f>
        <v>1</v>
      </c>
      <c r="D689" s="1">
        <v>107</v>
      </c>
      <c r="E689" t="str">
        <f>LOOKUP(D689,Sheet2!$G$4:$H$9)</f>
        <v>100-125</v>
      </c>
      <c r="F689" s="1">
        <v>50</v>
      </c>
      <c r="G689" t="str">
        <f>LOOKUP(F689,Sheet2!$J$4:$K$8)</f>
        <v>1-59</v>
      </c>
      <c r="H689" s="1">
        <v>19</v>
      </c>
      <c r="I689" t="str">
        <f>LOOKUP(H689,Sheet2!$M$4:$N$8)</f>
        <v>10-30</v>
      </c>
      <c r="J689" s="1">
        <v>0</v>
      </c>
      <c r="K689" t="str">
        <f>LOOKUP(J689,Sheet2!$P$4:$Q$9)</f>
        <v>Unknown</v>
      </c>
      <c r="L689" s="1">
        <v>28.3</v>
      </c>
      <c r="M689" t="str">
        <f>LOOKUP(L689,Sheet2!$S$4:$T$8)</f>
        <v>26-30</v>
      </c>
      <c r="N689" s="1">
        <v>0.18099999999999999</v>
      </c>
      <c r="O689" t="str">
        <f>LOOKUP(N689,Sheet2!$V$4:$W$7)</f>
        <v>0.0 - 0.249</v>
      </c>
      <c r="P689" s="1">
        <v>29</v>
      </c>
      <c r="Q689" t="str">
        <f>LOOKUP(P689,Sheet2!$Z$4:$AA$7)</f>
        <v>26-35</v>
      </c>
      <c r="R689" s="1">
        <v>0</v>
      </c>
      <c r="S689" t="str">
        <f>IF(R689=1,"Positive","Negative")</f>
        <v>Negative</v>
      </c>
      <c r="T689" s="1" t="str">
        <f>IFERROR(VLOOKUP(A689,[1]diabetes_Recognition!$A:$B,2,FALSE),"Not Sampled")</f>
        <v>Not Sampled</v>
      </c>
      <c r="U689" t="str">
        <f>IF(T689=1,"Positive",(IF(T689=0,"Negative","Not Sampled")))</f>
        <v>Not Sampled</v>
      </c>
      <c r="V689" s="1" t="str">
        <f>IF(U689="Not Sampled","Not Sampled",IF(S689=U689,"Accurate Prediction","Inaccurate Prediction"))</f>
        <v>Not Sampled</v>
      </c>
    </row>
    <row r="690" spans="1:22" x14ac:dyDescent="0.25">
      <c r="A690" s="1">
        <v>688</v>
      </c>
      <c r="B690" s="1">
        <v>1</v>
      </c>
      <c r="C690" s="1">
        <f>LOOKUP(B690,Sheet2!$D$4:$E$9)</f>
        <v>1</v>
      </c>
      <c r="D690" s="1">
        <v>140</v>
      </c>
      <c r="E690" t="str">
        <f>LOOKUP(D690,Sheet2!$G$4:$H$9)</f>
        <v>126-150</v>
      </c>
      <c r="F690" s="1">
        <v>74</v>
      </c>
      <c r="G690" t="str">
        <f>LOOKUP(F690,Sheet2!$J$4:$K$8)</f>
        <v>70-79</v>
      </c>
      <c r="H690" s="1">
        <v>26</v>
      </c>
      <c r="I690" t="str">
        <f>LOOKUP(H690,Sheet2!$M$4:$N$8)</f>
        <v>10-30</v>
      </c>
      <c r="J690" s="1">
        <v>180</v>
      </c>
      <c r="K690" t="str">
        <f>LOOKUP(J690,Sheet2!$P$4:$Q$9)</f>
        <v>100-199</v>
      </c>
      <c r="L690" s="1">
        <v>24.1</v>
      </c>
      <c r="M690" t="str">
        <f>LOOKUP(L690,Sheet2!$S$4:$T$8)</f>
        <v>1-25</v>
      </c>
      <c r="N690" s="1">
        <v>0.82799999999999996</v>
      </c>
      <c r="O690" t="str">
        <f>LOOKUP(N690,Sheet2!$V$4:$W$7)</f>
        <v>0.7+</v>
      </c>
      <c r="P690" s="1">
        <v>23</v>
      </c>
      <c r="Q690" t="str">
        <f>LOOKUP(P690,Sheet2!$Z$4:$AA$7)</f>
        <v>&lt;=25</v>
      </c>
      <c r="R690" s="1">
        <v>0</v>
      </c>
      <c r="S690" t="str">
        <f>IF(R690=1,"Positive","Negative")</f>
        <v>Negative</v>
      </c>
      <c r="T690" s="1" t="str">
        <f>IFERROR(VLOOKUP(A690,[1]diabetes_Recognition!$A:$B,2,FALSE),"Not Sampled")</f>
        <v>Not Sampled</v>
      </c>
      <c r="U690" t="str">
        <f>IF(T690=1,"Positive",(IF(T690=0,"Negative","Not Sampled")))</f>
        <v>Not Sampled</v>
      </c>
      <c r="V690" s="1" t="str">
        <f>IF(U690="Not Sampled","Not Sampled",IF(S690=U690,"Accurate Prediction","Inaccurate Prediction"))</f>
        <v>Not Sampled</v>
      </c>
    </row>
    <row r="691" spans="1:22" x14ac:dyDescent="0.25">
      <c r="A691" s="1">
        <v>689</v>
      </c>
      <c r="B691" s="1">
        <v>1</v>
      </c>
      <c r="C691" s="1">
        <f>LOOKUP(B691,Sheet2!$D$4:$E$9)</f>
        <v>1</v>
      </c>
      <c r="D691" s="1">
        <v>144</v>
      </c>
      <c r="E691" t="str">
        <f>LOOKUP(D691,Sheet2!$G$4:$H$9)</f>
        <v>126-150</v>
      </c>
      <c r="F691" s="1">
        <v>82</v>
      </c>
      <c r="G691" t="str">
        <f>LOOKUP(F691,Sheet2!$J$4:$K$8)</f>
        <v>80+</v>
      </c>
      <c r="H691" s="1">
        <v>46</v>
      </c>
      <c r="I691" t="str">
        <f>LOOKUP(H691,Sheet2!$M$4:$N$8)</f>
        <v>40+</v>
      </c>
      <c r="J691" s="1">
        <v>180</v>
      </c>
      <c r="K691" t="str">
        <f>LOOKUP(J691,Sheet2!$P$4:$Q$9)</f>
        <v>100-199</v>
      </c>
      <c r="L691" s="1">
        <v>46.1</v>
      </c>
      <c r="M691" t="str">
        <f>LOOKUP(L691,Sheet2!$S$4:$T$8)</f>
        <v>36+</v>
      </c>
      <c r="N691" s="1">
        <v>0.33500000000000002</v>
      </c>
      <c r="O691" t="str">
        <f>LOOKUP(N691,Sheet2!$V$4:$W$7)</f>
        <v>0.25 - 0.39</v>
      </c>
      <c r="P691" s="1">
        <v>46</v>
      </c>
      <c r="Q691" t="str">
        <f>LOOKUP(P691,Sheet2!$Z$4:$AA$7)</f>
        <v>46+</v>
      </c>
      <c r="R691" s="1">
        <v>1</v>
      </c>
      <c r="S691" t="str">
        <f>IF(R691=1,"Positive","Negative")</f>
        <v>Positive</v>
      </c>
      <c r="T691" s="1" t="str">
        <f>IFERROR(VLOOKUP(A691,[1]diabetes_Recognition!$A:$B,2,FALSE),"Not Sampled")</f>
        <v>Not Sampled</v>
      </c>
      <c r="U691" t="str">
        <f>IF(T691=1,"Positive",(IF(T691=0,"Negative","Not Sampled")))</f>
        <v>Not Sampled</v>
      </c>
      <c r="V691" s="1" t="str">
        <f>IF(U691="Not Sampled","Not Sampled",IF(S691=U691,"Accurate Prediction","Inaccurate Prediction"))</f>
        <v>Not Sampled</v>
      </c>
    </row>
    <row r="692" spans="1:22" x14ac:dyDescent="0.25">
      <c r="A692" s="1">
        <v>690</v>
      </c>
      <c r="B692" s="1">
        <v>8</v>
      </c>
      <c r="C692" s="1" t="str">
        <f>LOOKUP(B692,Sheet2!$D$4:$E$9)</f>
        <v>8+</v>
      </c>
      <c r="D692" s="1">
        <v>107</v>
      </c>
      <c r="E692" t="str">
        <f>LOOKUP(D692,Sheet2!$G$4:$H$9)</f>
        <v>100-125</v>
      </c>
      <c r="F692" s="1">
        <v>80</v>
      </c>
      <c r="G692" t="str">
        <f>LOOKUP(F692,Sheet2!$J$4:$K$8)</f>
        <v>80+</v>
      </c>
      <c r="H692" s="1">
        <v>0</v>
      </c>
      <c r="I692" t="str">
        <f>LOOKUP(H692,Sheet2!$M$4:$N$8)</f>
        <v>Unknown</v>
      </c>
      <c r="J692" s="1">
        <v>0</v>
      </c>
      <c r="K692" t="str">
        <f>LOOKUP(J692,Sheet2!$P$4:$Q$9)</f>
        <v>Unknown</v>
      </c>
      <c r="L692" s="1">
        <v>24.6</v>
      </c>
      <c r="M692" t="str">
        <f>LOOKUP(L692,Sheet2!$S$4:$T$8)</f>
        <v>1-25</v>
      </c>
      <c r="N692" s="1">
        <v>0.85599999999999998</v>
      </c>
      <c r="O692" t="str">
        <f>LOOKUP(N692,Sheet2!$V$4:$W$7)</f>
        <v>0.7+</v>
      </c>
      <c r="P692" s="1">
        <v>34</v>
      </c>
      <c r="Q692" t="str">
        <f>LOOKUP(P692,Sheet2!$Z$4:$AA$7)</f>
        <v>26-35</v>
      </c>
      <c r="R692" s="1">
        <v>0</v>
      </c>
      <c r="S692" t="str">
        <f>IF(R692=1,"Positive","Negative")</f>
        <v>Negative</v>
      </c>
      <c r="T692" s="1" t="str">
        <f>IFERROR(VLOOKUP(A692,[1]diabetes_Recognition!$A:$B,2,FALSE),"Not Sampled")</f>
        <v>Not Sampled</v>
      </c>
      <c r="U692" t="str">
        <f>IF(T692=1,"Positive",(IF(T692=0,"Negative","Not Sampled")))</f>
        <v>Not Sampled</v>
      </c>
      <c r="V692" s="1" t="str">
        <f>IF(U692="Not Sampled","Not Sampled",IF(S692=U692,"Accurate Prediction","Inaccurate Prediction"))</f>
        <v>Not Sampled</v>
      </c>
    </row>
    <row r="693" spans="1:22" x14ac:dyDescent="0.25">
      <c r="A693" s="1">
        <v>691</v>
      </c>
      <c r="B693" s="1">
        <v>13</v>
      </c>
      <c r="C693" s="1" t="str">
        <f>LOOKUP(B693,Sheet2!$D$4:$E$9)</f>
        <v>8+</v>
      </c>
      <c r="D693" s="1">
        <v>158</v>
      </c>
      <c r="E693" t="str">
        <f>LOOKUP(D693,Sheet2!$G$4:$H$9)</f>
        <v>151-175</v>
      </c>
      <c r="F693" s="1">
        <v>114</v>
      </c>
      <c r="G693" t="str">
        <f>LOOKUP(F693,Sheet2!$J$4:$K$8)</f>
        <v>80+</v>
      </c>
      <c r="H693" s="1">
        <v>0</v>
      </c>
      <c r="I693" t="str">
        <f>LOOKUP(H693,Sheet2!$M$4:$N$8)</f>
        <v>Unknown</v>
      </c>
      <c r="J693" s="1">
        <v>0</v>
      </c>
      <c r="K693" t="str">
        <f>LOOKUP(J693,Sheet2!$P$4:$Q$9)</f>
        <v>Unknown</v>
      </c>
      <c r="L693" s="1">
        <v>42.3</v>
      </c>
      <c r="M693" t="str">
        <f>LOOKUP(L693,Sheet2!$S$4:$T$8)</f>
        <v>36+</v>
      </c>
      <c r="N693" s="1">
        <v>0.25700000000000001</v>
      </c>
      <c r="O693" t="str">
        <f>LOOKUP(N693,Sheet2!$V$4:$W$7)</f>
        <v>0.25 - 0.39</v>
      </c>
      <c r="P693" s="1">
        <v>44</v>
      </c>
      <c r="Q693" t="str">
        <f>LOOKUP(P693,Sheet2!$Z$4:$AA$7)</f>
        <v>36-45</v>
      </c>
      <c r="R693" s="1">
        <v>1</v>
      </c>
      <c r="S693" t="str">
        <f>IF(R693=1,"Positive","Negative")</f>
        <v>Positive</v>
      </c>
      <c r="T693" s="1" t="str">
        <f>IFERROR(VLOOKUP(A693,[1]diabetes_Recognition!$A:$B,2,FALSE),"Not Sampled")</f>
        <v>Not Sampled</v>
      </c>
      <c r="U693" t="str">
        <f>IF(T693=1,"Positive",(IF(T693=0,"Negative","Not Sampled")))</f>
        <v>Not Sampled</v>
      </c>
      <c r="V693" s="1" t="str">
        <f>IF(U693="Not Sampled","Not Sampled",IF(S693=U693,"Accurate Prediction","Inaccurate Prediction"))</f>
        <v>Not Sampled</v>
      </c>
    </row>
    <row r="694" spans="1:22" x14ac:dyDescent="0.25">
      <c r="A694" s="1">
        <v>692</v>
      </c>
      <c r="B694" s="1">
        <v>2</v>
      </c>
      <c r="C694" s="1">
        <f>LOOKUP(B694,Sheet2!$D$4:$E$9)</f>
        <v>2</v>
      </c>
      <c r="D694" s="1">
        <v>121</v>
      </c>
      <c r="E694" t="str">
        <f>LOOKUP(D694,Sheet2!$G$4:$H$9)</f>
        <v>100-125</v>
      </c>
      <c r="F694" s="1">
        <v>70</v>
      </c>
      <c r="G694" t="str">
        <f>LOOKUP(F694,Sheet2!$J$4:$K$8)</f>
        <v>70-79</v>
      </c>
      <c r="H694" s="1">
        <v>32</v>
      </c>
      <c r="I694" t="str">
        <f>LOOKUP(H694,Sheet2!$M$4:$N$8)</f>
        <v>30-39</v>
      </c>
      <c r="J694" s="1">
        <v>95</v>
      </c>
      <c r="K694" t="str">
        <f>LOOKUP(J694,Sheet2!$P$4:$Q$9)</f>
        <v>1-99</v>
      </c>
      <c r="L694" s="1">
        <v>39.1</v>
      </c>
      <c r="M694" t="str">
        <f>LOOKUP(L694,Sheet2!$S$4:$T$8)</f>
        <v>36+</v>
      </c>
      <c r="N694" s="1">
        <v>0.88600000000000001</v>
      </c>
      <c r="O694" t="str">
        <f>LOOKUP(N694,Sheet2!$V$4:$W$7)</f>
        <v>0.7+</v>
      </c>
      <c r="P694" s="1">
        <v>23</v>
      </c>
      <c r="Q694" t="str">
        <f>LOOKUP(P694,Sheet2!$Z$4:$AA$7)</f>
        <v>&lt;=25</v>
      </c>
      <c r="R694" s="1">
        <v>0</v>
      </c>
      <c r="S694" t="str">
        <f>IF(R694=1,"Positive","Negative")</f>
        <v>Negative</v>
      </c>
      <c r="T694" s="1">
        <f>IFERROR(VLOOKUP(A694,[1]diabetes_Recognition!$A:$B,2,FALSE),"Not Sampled")</f>
        <v>0</v>
      </c>
      <c r="U694" t="str">
        <f>IF(T694=1,"Positive",(IF(T694=0,"Negative","Not Sampled")))</f>
        <v>Negative</v>
      </c>
      <c r="V694" s="1" t="str">
        <f>IF(U694="Not Sampled","Not Sampled",IF(S694=U694,"Accurate Prediction","Inaccurate Prediction"))</f>
        <v>Accurate Prediction</v>
      </c>
    </row>
    <row r="695" spans="1:22" x14ac:dyDescent="0.25">
      <c r="A695" s="1">
        <v>693</v>
      </c>
      <c r="B695" s="1">
        <v>7</v>
      </c>
      <c r="C695" s="1" t="str">
        <f>LOOKUP(B695,Sheet2!$D$4:$E$9)</f>
        <v>5-7</v>
      </c>
      <c r="D695" s="1">
        <v>129</v>
      </c>
      <c r="E695" t="str">
        <f>LOOKUP(D695,Sheet2!$G$4:$H$9)</f>
        <v>126-150</v>
      </c>
      <c r="F695" s="1">
        <v>68</v>
      </c>
      <c r="G695" t="str">
        <f>LOOKUP(F695,Sheet2!$J$4:$K$8)</f>
        <v>60-69</v>
      </c>
      <c r="H695" s="1">
        <v>49</v>
      </c>
      <c r="I695" t="str">
        <f>LOOKUP(H695,Sheet2!$M$4:$N$8)</f>
        <v>40+</v>
      </c>
      <c r="J695" s="1">
        <v>125</v>
      </c>
      <c r="K695" t="str">
        <f>LOOKUP(J695,Sheet2!$P$4:$Q$9)</f>
        <v>100-199</v>
      </c>
      <c r="L695" s="1">
        <v>38.5</v>
      </c>
      <c r="M695" t="str">
        <f>LOOKUP(L695,Sheet2!$S$4:$T$8)</f>
        <v>36+</v>
      </c>
      <c r="N695" s="1">
        <v>0.439</v>
      </c>
      <c r="O695" t="str">
        <f>LOOKUP(N695,Sheet2!$V$4:$W$7)</f>
        <v>0.4 - 0.69</v>
      </c>
      <c r="P695" s="1">
        <v>43</v>
      </c>
      <c r="Q695" t="str">
        <f>LOOKUP(P695,Sheet2!$Z$4:$AA$7)</f>
        <v>36-45</v>
      </c>
      <c r="R695" s="1">
        <v>1</v>
      </c>
      <c r="S695" t="str">
        <f>IF(R695=1,"Positive","Negative")</f>
        <v>Positive</v>
      </c>
      <c r="T695" s="1">
        <f>IFERROR(VLOOKUP(A695,[1]diabetes_Recognition!$A:$B,2,FALSE),"Not Sampled")</f>
        <v>1</v>
      </c>
      <c r="U695" t="str">
        <f>IF(T695=1,"Positive",(IF(T695=0,"Negative","Not Sampled")))</f>
        <v>Positive</v>
      </c>
      <c r="V695" s="1" t="str">
        <f>IF(U695="Not Sampled","Not Sampled",IF(S695=U695,"Accurate Prediction","Inaccurate Prediction"))</f>
        <v>Accurate Prediction</v>
      </c>
    </row>
    <row r="696" spans="1:22" x14ac:dyDescent="0.25">
      <c r="A696" s="1">
        <v>694</v>
      </c>
      <c r="B696" s="1">
        <v>2</v>
      </c>
      <c r="C696" s="1">
        <f>LOOKUP(B696,Sheet2!$D$4:$E$9)</f>
        <v>2</v>
      </c>
      <c r="D696" s="1">
        <v>90</v>
      </c>
      <c r="E696" t="str">
        <f>LOOKUP(D696,Sheet2!$G$4:$H$9)</f>
        <v>1-99</v>
      </c>
      <c r="F696" s="1">
        <v>60</v>
      </c>
      <c r="G696" t="str">
        <f>LOOKUP(F696,Sheet2!$J$4:$K$8)</f>
        <v>60-69</v>
      </c>
      <c r="H696" s="1">
        <v>0</v>
      </c>
      <c r="I696" t="str">
        <f>LOOKUP(H696,Sheet2!$M$4:$N$8)</f>
        <v>Unknown</v>
      </c>
      <c r="J696" s="1">
        <v>0</v>
      </c>
      <c r="K696" t="str">
        <f>LOOKUP(J696,Sheet2!$P$4:$Q$9)</f>
        <v>Unknown</v>
      </c>
      <c r="L696" s="1">
        <v>23.5</v>
      </c>
      <c r="M696" t="str">
        <f>LOOKUP(L696,Sheet2!$S$4:$T$8)</f>
        <v>1-25</v>
      </c>
      <c r="N696" s="1">
        <v>0.191</v>
      </c>
      <c r="O696" t="str">
        <f>LOOKUP(N696,Sheet2!$V$4:$W$7)</f>
        <v>0.0 - 0.249</v>
      </c>
      <c r="P696" s="1">
        <v>25</v>
      </c>
      <c r="Q696" t="str">
        <f>LOOKUP(P696,Sheet2!$Z$4:$AA$7)</f>
        <v>&lt;=25</v>
      </c>
      <c r="R696" s="1">
        <v>0</v>
      </c>
      <c r="S696" t="str">
        <f>IF(R696=1,"Positive","Negative")</f>
        <v>Negative</v>
      </c>
      <c r="T696" s="1" t="str">
        <f>IFERROR(VLOOKUP(A696,[1]diabetes_Recognition!$A:$B,2,FALSE),"Not Sampled")</f>
        <v>Not Sampled</v>
      </c>
      <c r="U696" t="str">
        <f>IF(T696=1,"Positive",(IF(T696=0,"Negative","Not Sampled")))</f>
        <v>Not Sampled</v>
      </c>
      <c r="V696" s="1" t="str">
        <f>IF(U696="Not Sampled","Not Sampled",IF(S696=U696,"Accurate Prediction","Inaccurate Prediction"))</f>
        <v>Not Sampled</v>
      </c>
    </row>
    <row r="697" spans="1:22" x14ac:dyDescent="0.25">
      <c r="A697" s="1">
        <v>695</v>
      </c>
      <c r="B697" s="1">
        <v>7</v>
      </c>
      <c r="C697" s="1" t="str">
        <f>LOOKUP(B697,Sheet2!$D$4:$E$9)</f>
        <v>5-7</v>
      </c>
      <c r="D697" s="1">
        <v>142</v>
      </c>
      <c r="E697" t="str">
        <f>LOOKUP(D697,Sheet2!$G$4:$H$9)</f>
        <v>126-150</v>
      </c>
      <c r="F697" s="1">
        <v>90</v>
      </c>
      <c r="G697" t="str">
        <f>LOOKUP(F697,Sheet2!$J$4:$K$8)</f>
        <v>80+</v>
      </c>
      <c r="H697" s="1">
        <v>24</v>
      </c>
      <c r="I697" t="str">
        <f>LOOKUP(H697,Sheet2!$M$4:$N$8)</f>
        <v>10-30</v>
      </c>
      <c r="J697" s="1">
        <v>480</v>
      </c>
      <c r="K697" t="str">
        <f>LOOKUP(J697,Sheet2!$P$4:$Q$9)</f>
        <v>300-499</v>
      </c>
      <c r="L697" s="1">
        <v>30.4</v>
      </c>
      <c r="M697" t="str">
        <f>LOOKUP(L697,Sheet2!$S$4:$T$8)</f>
        <v>26-30</v>
      </c>
      <c r="N697" s="1">
        <v>0.128</v>
      </c>
      <c r="O697" t="str">
        <f>LOOKUP(N697,Sheet2!$V$4:$W$7)</f>
        <v>0.0 - 0.249</v>
      </c>
      <c r="P697" s="1">
        <v>43</v>
      </c>
      <c r="Q697" t="str">
        <f>LOOKUP(P697,Sheet2!$Z$4:$AA$7)</f>
        <v>36-45</v>
      </c>
      <c r="R697" s="1">
        <v>1</v>
      </c>
      <c r="S697" t="str">
        <f>IF(R697=1,"Positive","Negative")</f>
        <v>Positive</v>
      </c>
      <c r="T697" s="1" t="str">
        <f>IFERROR(VLOOKUP(A697,[1]diabetes_Recognition!$A:$B,2,FALSE),"Not Sampled")</f>
        <v>Not Sampled</v>
      </c>
      <c r="U697" t="str">
        <f>IF(T697=1,"Positive",(IF(T697=0,"Negative","Not Sampled")))</f>
        <v>Not Sampled</v>
      </c>
      <c r="V697" s="1" t="str">
        <f>IF(U697="Not Sampled","Not Sampled",IF(S697=U697,"Accurate Prediction","Inaccurate Prediction"))</f>
        <v>Not Sampled</v>
      </c>
    </row>
    <row r="698" spans="1:22" x14ac:dyDescent="0.25">
      <c r="A698" s="1">
        <v>696</v>
      </c>
      <c r="B698" s="1">
        <v>3</v>
      </c>
      <c r="C698" s="1" t="str">
        <f>LOOKUP(B698,Sheet2!$D$4:$E$9)</f>
        <v>3-4</v>
      </c>
      <c r="D698" s="1">
        <v>169</v>
      </c>
      <c r="E698" t="str">
        <f>LOOKUP(D698,Sheet2!$G$4:$H$9)</f>
        <v>151-175</v>
      </c>
      <c r="F698" s="1">
        <v>74</v>
      </c>
      <c r="G698" t="str">
        <f>LOOKUP(F698,Sheet2!$J$4:$K$8)</f>
        <v>70-79</v>
      </c>
      <c r="H698" s="1">
        <v>19</v>
      </c>
      <c r="I698" t="str">
        <f>LOOKUP(H698,Sheet2!$M$4:$N$8)</f>
        <v>10-30</v>
      </c>
      <c r="J698" s="1">
        <v>125</v>
      </c>
      <c r="K698" t="str">
        <f>LOOKUP(J698,Sheet2!$P$4:$Q$9)</f>
        <v>100-199</v>
      </c>
      <c r="L698" s="1">
        <v>29.9</v>
      </c>
      <c r="M698" t="str">
        <f>LOOKUP(L698,Sheet2!$S$4:$T$8)</f>
        <v>26-30</v>
      </c>
      <c r="N698" s="1">
        <v>0.26800000000000002</v>
      </c>
      <c r="O698" t="str">
        <f>LOOKUP(N698,Sheet2!$V$4:$W$7)</f>
        <v>0.25 - 0.39</v>
      </c>
      <c r="P698" s="1">
        <v>31</v>
      </c>
      <c r="Q698" t="str">
        <f>LOOKUP(P698,Sheet2!$Z$4:$AA$7)</f>
        <v>26-35</v>
      </c>
      <c r="R698" s="1">
        <v>1</v>
      </c>
      <c r="S698" t="str">
        <f>IF(R698=1,"Positive","Negative")</f>
        <v>Positive</v>
      </c>
      <c r="T698" s="1" t="str">
        <f>IFERROR(VLOOKUP(A698,[1]diabetes_Recognition!$A:$B,2,FALSE),"Not Sampled")</f>
        <v>Not Sampled</v>
      </c>
      <c r="U698" t="str">
        <f>IF(T698=1,"Positive",(IF(T698=0,"Negative","Not Sampled")))</f>
        <v>Not Sampled</v>
      </c>
      <c r="V698" s="1" t="str">
        <f>IF(U698="Not Sampled","Not Sampled",IF(S698=U698,"Accurate Prediction","Inaccurate Prediction"))</f>
        <v>Not Sampled</v>
      </c>
    </row>
    <row r="699" spans="1:22" x14ac:dyDescent="0.25">
      <c r="A699" s="1">
        <v>697</v>
      </c>
      <c r="B699" s="1">
        <v>0</v>
      </c>
      <c r="C699" s="1">
        <f>LOOKUP(B699,Sheet2!$D$4:$E$9)</f>
        <v>0</v>
      </c>
      <c r="D699" s="1">
        <v>99</v>
      </c>
      <c r="E699" t="str">
        <f>LOOKUP(D699,Sheet2!$G$4:$H$9)</f>
        <v>1-99</v>
      </c>
      <c r="F699" s="1">
        <v>0</v>
      </c>
      <c r="G699" t="str">
        <f>LOOKUP(F699,Sheet2!$J$4:$K$8)</f>
        <v>Unknown</v>
      </c>
      <c r="H699" s="1">
        <v>0</v>
      </c>
      <c r="I699" t="str">
        <f>LOOKUP(H699,Sheet2!$M$4:$N$8)</f>
        <v>Unknown</v>
      </c>
      <c r="J699" s="1">
        <v>0</v>
      </c>
      <c r="K699" t="str">
        <f>LOOKUP(J699,Sheet2!$P$4:$Q$9)</f>
        <v>Unknown</v>
      </c>
      <c r="L699" s="1">
        <v>25</v>
      </c>
      <c r="M699" t="str">
        <f>LOOKUP(L699,Sheet2!$S$4:$T$8)</f>
        <v>1-25</v>
      </c>
      <c r="N699" s="1">
        <v>0.253</v>
      </c>
      <c r="O699" t="str">
        <f>LOOKUP(N699,Sheet2!$V$4:$W$7)</f>
        <v>0.25 - 0.39</v>
      </c>
      <c r="P699" s="1">
        <v>22</v>
      </c>
      <c r="Q699" t="str">
        <f>LOOKUP(P699,Sheet2!$Z$4:$AA$7)</f>
        <v>&lt;=25</v>
      </c>
      <c r="R699" s="1">
        <v>0</v>
      </c>
      <c r="S699" t="str">
        <f>IF(R699=1,"Positive","Negative")</f>
        <v>Negative</v>
      </c>
      <c r="T699" s="1">
        <f>IFERROR(VLOOKUP(A699,[1]diabetes_Recognition!$A:$B,2,FALSE),"Not Sampled")</f>
        <v>0</v>
      </c>
      <c r="U699" t="str">
        <f>IF(T699=1,"Positive",(IF(T699=0,"Negative","Not Sampled")))</f>
        <v>Negative</v>
      </c>
      <c r="V699" s="1" t="str">
        <f>IF(U699="Not Sampled","Not Sampled",IF(S699=U699,"Accurate Prediction","Inaccurate Prediction"))</f>
        <v>Accurate Prediction</v>
      </c>
    </row>
    <row r="700" spans="1:22" x14ac:dyDescent="0.25">
      <c r="A700" s="1">
        <v>698</v>
      </c>
      <c r="B700" s="1">
        <v>4</v>
      </c>
      <c r="C700" s="1" t="str">
        <f>LOOKUP(B700,Sheet2!$D$4:$E$9)</f>
        <v>3-4</v>
      </c>
      <c r="D700" s="1">
        <v>127</v>
      </c>
      <c r="E700" t="str">
        <f>LOOKUP(D700,Sheet2!$G$4:$H$9)</f>
        <v>126-150</v>
      </c>
      <c r="F700" s="1">
        <v>88</v>
      </c>
      <c r="G700" t="str">
        <f>LOOKUP(F700,Sheet2!$J$4:$K$8)</f>
        <v>80+</v>
      </c>
      <c r="H700" s="1">
        <v>11</v>
      </c>
      <c r="I700" t="str">
        <f>LOOKUP(H700,Sheet2!$M$4:$N$8)</f>
        <v>10-30</v>
      </c>
      <c r="J700" s="1">
        <v>155</v>
      </c>
      <c r="K700" t="str">
        <f>LOOKUP(J700,Sheet2!$P$4:$Q$9)</f>
        <v>100-199</v>
      </c>
      <c r="L700" s="1">
        <v>34.5</v>
      </c>
      <c r="M700" t="str">
        <f>LOOKUP(L700,Sheet2!$S$4:$T$8)</f>
        <v>31-35</v>
      </c>
      <c r="N700" s="1">
        <v>0.59799999999999998</v>
      </c>
      <c r="O700" t="str">
        <f>LOOKUP(N700,Sheet2!$V$4:$W$7)</f>
        <v>0.4 - 0.69</v>
      </c>
      <c r="P700" s="1">
        <v>28</v>
      </c>
      <c r="Q700" t="str">
        <f>LOOKUP(P700,Sheet2!$Z$4:$AA$7)</f>
        <v>26-35</v>
      </c>
      <c r="R700" s="1">
        <v>0</v>
      </c>
      <c r="S700" t="str">
        <f>IF(R700=1,"Positive","Negative")</f>
        <v>Negative</v>
      </c>
      <c r="T700" s="1">
        <f>IFERROR(VLOOKUP(A700,[1]diabetes_Recognition!$A:$B,2,FALSE),"Not Sampled")</f>
        <v>0</v>
      </c>
      <c r="U700" t="str">
        <f>IF(T700=1,"Positive",(IF(T700=0,"Negative","Not Sampled")))</f>
        <v>Negative</v>
      </c>
      <c r="V700" s="1" t="str">
        <f>IF(U700="Not Sampled","Not Sampled",IF(S700=U700,"Accurate Prediction","Inaccurate Prediction"))</f>
        <v>Accurate Prediction</v>
      </c>
    </row>
    <row r="701" spans="1:22" x14ac:dyDescent="0.25">
      <c r="A701" s="1">
        <v>699</v>
      </c>
      <c r="B701" s="1">
        <v>4</v>
      </c>
      <c r="C701" s="1" t="str">
        <f>LOOKUP(B701,Sheet2!$D$4:$E$9)</f>
        <v>3-4</v>
      </c>
      <c r="D701" s="1">
        <v>118</v>
      </c>
      <c r="E701" t="str">
        <f>LOOKUP(D701,Sheet2!$G$4:$H$9)</f>
        <v>100-125</v>
      </c>
      <c r="F701" s="1">
        <v>70</v>
      </c>
      <c r="G701" t="str">
        <f>LOOKUP(F701,Sheet2!$J$4:$K$8)</f>
        <v>70-79</v>
      </c>
      <c r="H701" s="1">
        <v>0</v>
      </c>
      <c r="I701" t="str">
        <f>LOOKUP(H701,Sheet2!$M$4:$N$8)</f>
        <v>Unknown</v>
      </c>
      <c r="J701" s="1">
        <v>0</v>
      </c>
      <c r="K701" t="str">
        <f>LOOKUP(J701,Sheet2!$P$4:$Q$9)</f>
        <v>Unknown</v>
      </c>
      <c r="L701" s="1">
        <v>44.5</v>
      </c>
      <c r="M701" t="str">
        <f>LOOKUP(L701,Sheet2!$S$4:$T$8)</f>
        <v>36+</v>
      </c>
      <c r="N701" s="1">
        <v>0.90400000000000003</v>
      </c>
      <c r="O701" t="str">
        <f>LOOKUP(N701,Sheet2!$V$4:$W$7)</f>
        <v>0.7+</v>
      </c>
      <c r="P701" s="1">
        <v>26</v>
      </c>
      <c r="Q701" t="str">
        <f>LOOKUP(P701,Sheet2!$Z$4:$AA$7)</f>
        <v>26-35</v>
      </c>
      <c r="R701" s="1">
        <v>0</v>
      </c>
      <c r="S701" t="str">
        <f>IF(R701=1,"Positive","Negative")</f>
        <v>Negative</v>
      </c>
      <c r="T701" s="1" t="str">
        <f>IFERROR(VLOOKUP(A701,[1]diabetes_Recognition!$A:$B,2,FALSE),"Not Sampled")</f>
        <v>Not Sampled</v>
      </c>
      <c r="U701" t="str">
        <f>IF(T701=1,"Positive",(IF(T701=0,"Negative","Not Sampled")))</f>
        <v>Not Sampled</v>
      </c>
      <c r="V701" s="1" t="str">
        <f>IF(U701="Not Sampled","Not Sampled",IF(S701=U701,"Accurate Prediction","Inaccurate Prediction"))</f>
        <v>Not Sampled</v>
      </c>
    </row>
    <row r="702" spans="1:22" x14ac:dyDescent="0.25">
      <c r="A702" s="1">
        <v>700</v>
      </c>
      <c r="B702" s="1">
        <v>2</v>
      </c>
      <c r="C702" s="1">
        <f>LOOKUP(B702,Sheet2!$D$4:$E$9)</f>
        <v>2</v>
      </c>
      <c r="D702" s="1">
        <v>122</v>
      </c>
      <c r="E702" t="str">
        <f>LOOKUP(D702,Sheet2!$G$4:$H$9)</f>
        <v>100-125</v>
      </c>
      <c r="F702" s="1">
        <v>76</v>
      </c>
      <c r="G702" t="str">
        <f>LOOKUP(F702,Sheet2!$J$4:$K$8)</f>
        <v>70-79</v>
      </c>
      <c r="H702" s="1">
        <v>27</v>
      </c>
      <c r="I702" t="str">
        <f>LOOKUP(H702,Sheet2!$M$4:$N$8)</f>
        <v>10-30</v>
      </c>
      <c r="J702" s="1">
        <v>200</v>
      </c>
      <c r="K702" t="str">
        <f>LOOKUP(J702,Sheet2!$P$4:$Q$9)</f>
        <v>200-399</v>
      </c>
      <c r="L702" s="1">
        <v>35.9</v>
      </c>
      <c r="M702" t="str">
        <f>LOOKUP(L702,Sheet2!$S$4:$T$8)</f>
        <v>31-35</v>
      </c>
      <c r="N702" s="1">
        <v>0.48299999999999998</v>
      </c>
      <c r="O702" t="str">
        <f>LOOKUP(N702,Sheet2!$V$4:$W$7)</f>
        <v>0.4 - 0.69</v>
      </c>
      <c r="P702" s="1">
        <v>26</v>
      </c>
      <c r="Q702" t="str">
        <f>LOOKUP(P702,Sheet2!$Z$4:$AA$7)</f>
        <v>26-35</v>
      </c>
      <c r="R702" s="1">
        <v>0</v>
      </c>
      <c r="S702" t="str">
        <f>IF(R702=1,"Positive","Negative")</f>
        <v>Negative</v>
      </c>
      <c r="T702" s="1">
        <f>IFERROR(VLOOKUP(A702,[1]diabetes_Recognition!$A:$B,2,FALSE),"Not Sampled")</f>
        <v>0</v>
      </c>
      <c r="U702" t="str">
        <f>IF(T702=1,"Positive",(IF(T702=0,"Negative","Not Sampled")))</f>
        <v>Negative</v>
      </c>
      <c r="V702" s="1" t="str">
        <f>IF(U702="Not Sampled","Not Sampled",IF(S702=U702,"Accurate Prediction","Inaccurate Prediction"))</f>
        <v>Accurate Prediction</v>
      </c>
    </row>
    <row r="703" spans="1:22" x14ac:dyDescent="0.25">
      <c r="A703" s="1">
        <v>701</v>
      </c>
      <c r="B703" s="1">
        <v>6</v>
      </c>
      <c r="C703" s="1" t="str">
        <f>LOOKUP(B703,Sheet2!$D$4:$E$9)</f>
        <v>5-7</v>
      </c>
      <c r="D703" s="1">
        <v>125</v>
      </c>
      <c r="E703" t="str">
        <f>LOOKUP(D703,Sheet2!$G$4:$H$9)</f>
        <v>100-125</v>
      </c>
      <c r="F703" s="1">
        <v>78</v>
      </c>
      <c r="G703" t="str">
        <f>LOOKUP(F703,Sheet2!$J$4:$K$8)</f>
        <v>70-79</v>
      </c>
      <c r="H703" s="1">
        <v>31</v>
      </c>
      <c r="I703" t="str">
        <f>LOOKUP(H703,Sheet2!$M$4:$N$8)</f>
        <v>30-39</v>
      </c>
      <c r="J703" s="1">
        <v>0</v>
      </c>
      <c r="K703" t="str">
        <f>LOOKUP(J703,Sheet2!$P$4:$Q$9)</f>
        <v>Unknown</v>
      </c>
      <c r="L703" s="1">
        <v>27.6</v>
      </c>
      <c r="M703" t="str">
        <f>LOOKUP(L703,Sheet2!$S$4:$T$8)</f>
        <v>26-30</v>
      </c>
      <c r="N703" s="1">
        <v>0.56499999999999995</v>
      </c>
      <c r="O703" t="str">
        <f>LOOKUP(N703,Sheet2!$V$4:$W$7)</f>
        <v>0.4 - 0.69</v>
      </c>
      <c r="P703" s="1">
        <v>49</v>
      </c>
      <c r="Q703" t="str">
        <f>LOOKUP(P703,Sheet2!$Z$4:$AA$7)</f>
        <v>46+</v>
      </c>
      <c r="R703" s="1">
        <v>1</v>
      </c>
      <c r="S703" t="str">
        <f>IF(R703=1,"Positive","Negative")</f>
        <v>Positive</v>
      </c>
      <c r="T703" s="1">
        <f>IFERROR(VLOOKUP(A703,[1]diabetes_Recognition!$A:$B,2,FALSE),"Not Sampled")</f>
        <v>0</v>
      </c>
      <c r="U703" t="str">
        <f>IF(T703=1,"Positive",(IF(T703=0,"Negative","Not Sampled")))</f>
        <v>Negative</v>
      </c>
      <c r="V703" s="1" t="str">
        <f>IF(U703="Not Sampled","Not Sampled",IF(S703=U703,"Accurate Prediction","Inaccurate Prediction"))</f>
        <v>Inaccurate Prediction</v>
      </c>
    </row>
    <row r="704" spans="1:22" x14ac:dyDescent="0.25">
      <c r="A704" s="1">
        <v>702</v>
      </c>
      <c r="B704" s="1">
        <v>1</v>
      </c>
      <c r="C704" s="1">
        <f>LOOKUP(B704,Sheet2!$D$4:$E$9)</f>
        <v>1</v>
      </c>
      <c r="D704" s="1">
        <v>168</v>
      </c>
      <c r="E704" t="str">
        <f>LOOKUP(D704,Sheet2!$G$4:$H$9)</f>
        <v>151-175</v>
      </c>
      <c r="F704" s="1">
        <v>88</v>
      </c>
      <c r="G704" t="str">
        <f>LOOKUP(F704,Sheet2!$J$4:$K$8)</f>
        <v>80+</v>
      </c>
      <c r="H704" s="1">
        <v>29</v>
      </c>
      <c r="I704" t="str">
        <f>LOOKUP(H704,Sheet2!$M$4:$N$8)</f>
        <v>10-30</v>
      </c>
      <c r="J704" s="1">
        <v>0</v>
      </c>
      <c r="K704" t="str">
        <f>LOOKUP(J704,Sheet2!$P$4:$Q$9)</f>
        <v>Unknown</v>
      </c>
      <c r="L704" s="1">
        <v>35</v>
      </c>
      <c r="M704" t="str">
        <f>LOOKUP(L704,Sheet2!$S$4:$T$8)</f>
        <v>31-35</v>
      </c>
      <c r="N704" s="1">
        <v>0.90500000000000003</v>
      </c>
      <c r="O704" t="str">
        <f>LOOKUP(N704,Sheet2!$V$4:$W$7)</f>
        <v>0.7+</v>
      </c>
      <c r="P704" s="1">
        <v>52</v>
      </c>
      <c r="Q704" t="str">
        <f>LOOKUP(P704,Sheet2!$Z$4:$AA$7)</f>
        <v>46+</v>
      </c>
      <c r="R704" s="1">
        <v>1</v>
      </c>
      <c r="S704" t="str">
        <f>IF(R704=1,"Positive","Negative")</f>
        <v>Positive</v>
      </c>
      <c r="T704" s="1">
        <f>IFERROR(VLOOKUP(A704,[1]diabetes_Recognition!$A:$B,2,FALSE),"Not Sampled")</f>
        <v>1</v>
      </c>
      <c r="U704" t="str">
        <f>IF(T704=1,"Positive",(IF(T704=0,"Negative","Not Sampled")))</f>
        <v>Positive</v>
      </c>
      <c r="V704" s="1" t="str">
        <f>IF(U704="Not Sampled","Not Sampled",IF(S704=U704,"Accurate Prediction","Inaccurate Prediction"))</f>
        <v>Accurate Prediction</v>
      </c>
    </row>
    <row r="705" spans="1:22" x14ac:dyDescent="0.25">
      <c r="A705" s="1">
        <v>703</v>
      </c>
      <c r="B705" s="1">
        <v>2</v>
      </c>
      <c r="C705" s="1">
        <f>LOOKUP(B705,Sheet2!$D$4:$E$9)</f>
        <v>2</v>
      </c>
      <c r="D705" s="1">
        <v>129</v>
      </c>
      <c r="E705" t="str">
        <f>LOOKUP(D705,Sheet2!$G$4:$H$9)</f>
        <v>126-150</v>
      </c>
      <c r="F705" s="1">
        <v>0</v>
      </c>
      <c r="G705" t="str">
        <f>LOOKUP(F705,Sheet2!$J$4:$K$8)</f>
        <v>Unknown</v>
      </c>
      <c r="H705" s="1">
        <v>0</v>
      </c>
      <c r="I705" t="str">
        <f>LOOKUP(H705,Sheet2!$M$4:$N$8)</f>
        <v>Unknown</v>
      </c>
      <c r="J705" s="1">
        <v>0</v>
      </c>
      <c r="K705" t="str">
        <f>LOOKUP(J705,Sheet2!$P$4:$Q$9)</f>
        <v>Unknown</v>
      </c>
      <c r="L705" s="1">
        <v>38.5</v>
      </c>
      <c r="M705" t="str">
        <f>LOOKUP(L705,Sheet2!$S$4:$T$8)</f>
        <v>36+</v>
      </c>
      <c r="N705" s="1">
        <v>0.30399999999999999</v>
      </c>
      <c r="O705" t="str">
        <f>LOOKUP(N705,Sheet2!$V$4:$W$7)</f>
        <v>0.25 - 0.39</v>
      </c>
      <c r="P705" s="1">
        <v>41</v>
      </c>
      <c r="Q705" t="str">
        <f>LOOKUP(P705,Sheet2!$Z$4:$AA$7)</f>
        <v>36-45</v>
      </c>
      <c r="R705" s="1">
        <v>0</v>
      </c>
      <c r="S705" t="str">
        <f>IF(R705=1,"Positive","Negative")</f>
        <v>Negative</v>
      </c>
      <c r="T705" s="1" t="str">
        <f>IFERROR(VLOOKUP(A705,[1]diabetes_Recognition!$A:$B,2,FALSE),"Not Sampled")</f>
        <v>Not Sampled</v>
      </c>
      <c r="U705" t="str">
        <f>IF(T705=1,"Positive",(IF(T705=0,"Negative","Not Sampled")))</f>
        <v>Not Sampled</v>
      </c>
      <c r="V705" s="1" t="str">
        <f>IF(U705="Not Sampled","Not Sampled",IF(S705=U705,"Accurate Prediction","Inaccurate Prediction"))</f>
        <v>Not Sampled</v>
      </c>
    </row>
    <row r="706" spans="1:22" x14ac:dyDescent="0.25">
      <c r="A706" s="1">
        <v>704</v>
      </c>
      <c r="B706" s="1">
        <v>4</v>
      </c>
      <c r="C706" s="1" t="str">
        <f>LOOKUP(B706,Sheet2!$D$4:$E$9)</f>
        <v>3-4</v>
      </c>
      <c r="D706" s="1">
        <v>110</v>
      </c>
      <c r="E706" t="str">
        <f>LOOKUP(D706,Sheet2!$G$4:$H$9)</f>
        <v>100-125</v>
      </c>
      <c r="F706" s="1">
        <v>76</v>
      </c>
      <c r="G706" t="str">
        <f>LOOKUP(F706,Sheet2!$J$4:$K$8)</f>
        <v>70-79</v>
      </c>
      <c r="H706" s="1">
        <v>20</v>
      </c>
      <c r="I706" t="str">
        <f>LOOKUP(H706,Sheet2!$M$4:$N$8)</f>
        <v>10-30</v>
      </c>
      <c r="J706" s="1">
        <v>100</v>
      </c>
      <c r="K706" t="str">
        <f>LOOKUP(J706,Sheet2!$P$4:$Q$9)</f>
        <v>100-199</v>
      </c>
      <c r="L706" s="1">
        <v>28.4</v>
      </c>
      <c r="M706" t="str">
        <f>LOOKUP(L706,Sheet2!$S$4:$T$8)</f>
        <v>26-30</v>
      </c>
      <c r="N706" s="1">
        <v>0.11799999999999999</v>
      </c>
      <c r="O706" t="str">
        <f>LOOKUP(N706,Sheet2!$V$4:$W$7)</f>
        <v>0.0 - 0.249</v>
      </c>
      <c r="P706" s="1">
        <v>27</v>
      </c>
      <c r="Q706" t="str">
        <f>LOOKUP(P706,Sheet2!$Z$4:$AA$7)</f>
        <v>26-35</v>
      </c>
      <c r="R706" s="1">
        <v>0</v>
      </c>
      <c r="S706" t="str">
        <f>IF(R706=1,"Positive","Negative")</f>
        <v>Negative</v>
      </c>
      <c r="T706" s="1" t="str">
        <f>IFERROR(VLOOKUP(A706,[1]diabetes_Recognition!$A:$B,2,FALSE),"Not Sampled")</f>
        <v>Not Sampled</v>
      </c>
      <c r="U706" t="str">
        <f>IF(T706=1,"Positive",(IF(T706=0,"Negative","Not Sampled")))</f>
        <v>Not Sampled</v>
      </c>
      <c r="V706" s="1" t="str">
        <f>IF(U706="Not Sampled","Not Sampled",IF(S706=U706,"Accurate Prediction","Inaccurate Prediction"))</f>
        <v>Not Sampled</v>
      </c>
    </row>
    <row r="707" spans="1:22" x14ac:dyDescent="0.25">
      <c r="A707" s="1">
        <v>705</v>
      </c>
      <c r="B707" s="1">
        <v>6</v>
      </c>
      <c r="C707" s="1" t="str">
        <f>LOOKUP(B707,Sheet2!$D$4:$E$9)</f>
        <v>5-7</v>
      </c>
      <c r="D707" s="1">
        <v>80</v>
      </c>
      <c r="E707" t="str">
        <f>LOOKUP(D707,Sheet2!$G$4:$H$9)</f>
        <v>1-99</v>
      </c>
      <c r="F707" s="1">
        <v>80</v>
      </c>
      <c r="G707" t="str">
        <f>LOOKUP(F707,Sheet2!$J$4:$K$8)</f>
        <v>80+</v>
      </c>
      <c r="H707" s="1">
        <v>36</v>
      </c>
      <c r="I707" t="str">
        <f>LOOKUP(H707,Sheet2!$M$4:$N$8)</f>
        <v>30-39</v>
      </c>
      <c r="J707" s="1">
        <v>0</v>
      </c>
      <c r="K707" t="str">
        <f>LOOKUP(J707,Sheet2!$P$4:$Q$9)</f>
        <v>Unknown</v>
      </c>
      <c r="L707" s="1">
        <v>39.799999999999997</v>
      </c>
      <c r="M707" t="str">
        <f>LOOKUP(L707,Sheet2!$S$4:$T$8)</f>
        <v>36+</v>
      </c>
      <c r="N707" s="1">
        <v>0.17699999999999999</v>
      </c>
      <c r="O707" t="str">
        <f>LOOKUP(N707,Sheet2!$V$4:$W$7)</f>
        <v>0.0 - 0.249</v>
      </c>
      <c r="P707" s="1">
        <v>28</v>
      </c>
      <c r="Q707" t="str">
        <f>LOOKUP(P707,Sheet2!$Z$4:$AA$7)</f>
        <v>26-35</v>
      </c>
      <c r="R707" s="1">
        <v>0</v>
      </c>
      <c r="S707" t="str">
        <f>IF(R707=1,"Positive","Negative")</f>
        <v>Negative</v>
      </c>
      <c r="T707" s="1">
        <f>IFERROR(VLOOKUP(A707,[1]diabetes_Recognition!$A:$B,2,FALSE),"Not Sampled")</f>
        <v>0</v>
      </c>
      <c r="U707" t="str">
        <f>IF(T707=1,"Positive",(IF(T707=0,"Negative","Not Sampled")))</f>
        <v>Negative</v>
      </c>
      <c r="V707" s="1" t="str">
        <f>IF(U707="Not Sampled","Not Sampled",IF(S707=U707,"Accurate Prediction","Inaccurate Prediction"))</f>
        <v>Accurate Prediction</v>
      </c>
    </row>
    <row r="708" spans="1:22" x14ac:dyDescent="0.25">
      <c r="A708" s="1">
        <v>706</v>
      </c>
      <c r="B708" s="1">
        <v>10</v>
      </c>
      <c r="C708" s="1" t="str">
        <f>LOOKUP(B708,Sheet2!$D$4:$E$9)</f>
        <v>8+</v>
      </c>
      <c r="D708" s="1">
        <v>115</v>
      </c>
      <c r="E708" t="str">
        <f>LOOKUP(D708,Sheet2!$G$4:$H$9)</f>
        <v>100-125</v>
      </c>
      <c r="F708" s="1">
        <v>0</v>
      </c>
      <c r="G708" t="str">
        <f>LOOKUP(F708,Sheet2!$J$4:$K$8)</f>
        <v>Unknown</v>
      </c>
      <c r="H708" s="1">
        <v>0</v>
      </c>
      <c r="I708" t="str">
        <f>LOOKUP(H708,Sheet2!$M$4:$N$8)</f>
        <v>Unknown</v>
      </c>
      <c r="J708" s="1">
        <v>0</v>
      </c>
      <c r="K708" t="str">
        <f>LOOKUP(J708,Sheet2!$P$4:$Q$9)</f>
        <v>Unknown</v>
      </c>
      <c r="L708" s="1">
        <v>0</v>
      </c>
      <c r="M708" t="str">
        <f>LOOKUP(L708,Sheet2!$S$4:$T$8)</f>
        <v>Unknown</v>
      </c>
      <c r="N708" s="1">
        <v>0.26100000000000001</v>
      </c>
      <c r="O708" t="str">
        <f>LOOKUP(N708,Sheet2!$V$4:$W$7)</f>
        <v>0.25 - 0.39</v>
      </c>
      <c r="P708" s="1">
        <v>30</v>
      </c>
      <c r="Q708" t="str">
        <f>LOOKUP(P708,Sheet2!$Z$4:$AA$7)</f>
        <v>26-35</v>
      </c>
      <c r="R708" s="1">
        <v>1</v>
      </c>
      <c r="S708" t="str">
        <f>IF(R708=1,"Positive","Negative")</f>
        <v>Positive</v>
      </c>
      <c r="T708" s="1" t="str">
        <f>IFERROR(VLOOKUP(A708,[1]diabetes_Recognition!$A:$B,2,FALSE),"Not Sampled")</f>
        <v>Not Sampled</v>
      </c>
      <c r="U708" t="str">
        <f>IF(T708=1,"Positive",(IF(T708=0,"Negative","Not Sampled")))</f>
        <v>Not Sampled</v>
      </c>
      <c r="V708" s="1" t="str">
        <f>IF(U708="Not Sampled","Not Sampled",IF(S708=U708,"Accurate Prediction","Inaccurate Prediction"))</f>
        <v>Not Sampled</v>
      </c>
    </row>
    <row r="709" spans="1:22" x14ac:dyDescent="0.25">
      <c r="A709" s="1">
        <v>707</v>
      </c>
      <c r="B709" s="1">
        <v>2</v>
      </c>
      <c r="C709" s="1">
        <f>LOOKUP(B709,Sheet2!$D$4:$E$9)</f>
        <v>2</v>
      </c>
      <c r="D709" s="1">
        <v>127</v>
      </c>
      <c r="E709" t="str">
        <f>LOOKUP(D709,Sheet2!$G$4:$H$9)</f>
        <v>126-150</v>
      </c>
      <c r="F709" s="1">
        <v>46</v>
      </c>
      <c r="G709" t="str">
        <f>LOOKUP(F709,Sheet2!$J$4:$K$8)</f>
        <v>1-59</v>
      </c>
      <c r="H709" s="1">
        <v>21</v>
      </c>
      <c r="I709" t="str">
        <f>LOOKUP(H709,Sheet2!$M$4:$N$8)</f>
        <v>10-30</v>
      </c>
      <c r="J709" s="1">
        <v>335</v>
      </c>
      <c r="K709" t="str">
        <f>LOOKUP(J709,Sheet2!$P$4:$Q$9)</f>
        <v>300-499</v>
      </c>
      <c r="L709" s="1">
        <v>34.4</v>
      </c>
      <c r="M709" t="str">
        <f>LOOKUP(L709,Sheet2!$S$4:$T$8)</f>
        <v>31-35</v>
      </c>
      <c r="N709" s="1">
        <v>0.17599999999999999</v>
      </c>
      <c r="O709" t="str">
        <f>LOOKUP(N709,Sheet2!$V$4:$W$7)</f>
        <v>0.0 - 0.249</v>
      </c>
      <c r="P709" s="1">
        <v>22</v>
      </c>
      <c r="Q709" t="str">
        <f>LOOKUP(P709,Sheet2!$Z$4:$AA$7)</f>
        <v>&lt;=25</v>
      </c>
      <c r="R709" s="1">
        <v>0</v>
      </c>
      <c r="S709" t="str">
        <f>IF(R709=1,"Positive","Negative")</f>
        <v>Negative</v>
      </c>
      <c r="T709" s="1" t="str">
        <f>IFERROR(VLOOKUP(A709,[1]diabetes_Recognition!$A:$B,2,FALSE),"Not Sampled")</f>
        <v>Not Sampled</v>
      </c>
      <c r="U709" t="str">
        <f>IF(T709=1,"Positive",(IF(T709=0,"Negative","Not Sampled")))</f>
        <v>Not Sampled</v>
      </c>
      <c r="V709" s="1" t="str">
        <f>IF(U709="Not Sampled","Not Sampled",IF(S709=U709,"Accurate Prediction","Inaccurate Prediction"))</f>
        <v>Not Sampled</v>
      </c>
    </row>
    <row r="710" spans="1:22" x14ac:dyDescent="0.25">
      <c r="A710" s="1">
        <v>708</v>
      </c>
      <c r="B710" s="1">
        <v>9</v>
      </c>
      <c r="C710" s="1" t="str">
        <f>LOOKUP(B710,Sheet2!$D$4:$E$9)</f>
        <v>8+</v>
      </c>
      <c r="D710" s="1">
        <v>164</v>
      </c>
      <c r="E710" t="str">
        <f>LOOKUP(D710,Sheet2!$G$4:$H$9)</f>
        <v>151-175</v>
      </c>
      <c r="F710" s="1">
        <v>78</v>
      </c>
      <c r="G710" t="str">
        <f>LOOKUP(F710,Sheet2!$J$4:$K$8)</f>
        <v>70-79</v>
      </c>
      <c r="H710" s="1">
        <v>0</v>
      </c>
      <c r="I710" t="str">
        <f>LOOKUP(H710,Sheet2!$M$4:$N$8)</f>
        <v>Unknown</v>
      </c>
      <c r="J710" s="1">
        <v>0</v>
      </c>
      <c r="K710" t="str">
        <f>LOOKUP(J710,Sheet2!$P$4:$Q$9)</f>
        <v>Unknown</v>
      </c>
      <c r="L710" s="1">
        <v>32.799999999999997</v>
      </c>
      <c r="M710" t="str">
        <f>LOOKUP(L710,Sheet2!$S$4:$T$8)</f>
        <v>31-35</v>
      </c>
      <c r="N710" s="1">
        <v>0.14799999999999999</v>
      </c>
      <c r="O710" t="str">
        <f>LOOKUP(N710,Sheet2!$V$4:$W$7)</f>
        <v>0.0 - 0.249</v>
      </c>
      <c r="P710" s="1">
        <v>45</v>
      </c>
      <c r="Q710" t="str">
        <f>LOOKUP(P710,Sheet2!$Z$4:$AA$7)</f>
        <v>36-45</v>
      </c>
      <c r="R710" s="1">
        <v>1</v>
      </c>
      <c r="S710" t="str">
        <f>IF(R710=1,"Positive","Negative")</f>
        <v>Positive</v>
      </c>
      <c r="T710" s="1" t="str">
        <f>IFERROR(VLOOKUP(A710,[1]diabetes_Recognition!$A:$B,2,FALSE),"Not Sampled")</f>
        <v>Not Sampled</v>
      </c>
      <c r="U710" t="str">
        <f>IF(T710=1,"Positive",(IF(T710=0,"Negative","Not Sampled")))</f>
        <v>Not Sampled</v>
      </c>
      <c r="V710" s="1" t="str">
        <f>IF(U710="Not Sampled","Not Sampled",IF(S710=U710,"Accurate Prediction","Inaccurate Prediction"))</f>
        <v>Not Sampled</v>
      </c>
    </row>
    <row r="711" spans="1:22" x14ac:dyDescent="0.25">
      <c r="A711" s="1">
        <v>709</v>
      </c>
      <c r="B711" s="1">
        <v>2</v>
      </c>
      <c r="C711" s="1">
        <f>LOOKUP(B711,Sheet2!$D$4:$E$9)</f>
        <v>2</v>
      </c>
      <c r="D711" s="1">
        <v>93</v>
      </c>
      <c r="E711" t="str">
        <f>LOOKUP(D711,Sheet2!$G$4:$H$9)</f>
        <v>1-99</v>
      </c>
      <c r="F711" s="1">
        <v>64</v>
      </c>
      <c r="G711" t="str">
        <f>LOOKUP(F711,Sheet2!$J$4:$K$8)</f>
        <v>60-69</v>
      </c>
      <c r="H711" s="1">
        <v>32</v>
      </c>
      <c r="I711" t="str">
        <f>LOOKUP(H711,Sheet2!$M$4:$N$8)</f>
        <v>30-39</v>
      </c>
      <c r="J711" s="1">
        <v>160</v>
      </c>
      <c r="K711" t="str">
        <f>LOOKUP(J711,Sheet2!$P$4:$Q$9)</f>
        <v>100-199</v>
      </c>
      <c r="L711" s="1">
        <v>38</v>
      </c>
      <c r="M711" t="str">
        <f>LOOKUP(L711,Sheet2!$S$4:$T$8)</f>
        <v>36+</v>
      </c>
      <c r="N711" s="1">
        <v>0.67400000000000004</v>
      </c>
      <c r="O711" t="str">
        <f>LOOKUP(N711,Sheet2!$V$4:$W$7)</f>
        <v>0.4 - 0.69</v>
      </c>
      <c r="P711" s="1">
        <v>23</v>
      </c>
      <c r="Q711" t="str">
        <f>LOOKUP(P711,Sheet2!$Z$4:$AA$7)</f>
        <v>&lt;=25</v>
      </c>
      <c r="R711" s="1">
        <v>1</v>
      </c>
      <c r="S711" t="str">
        <f>IF(R711=1,"Positive","Negative")</f>
        <v>Positive</v>
      </c>
      <c r="T711" s="1" t="str">
        <f>IFERROR(VLOOKUP(A711,[1]diabetes_Recognition!$A:$B,2,FALSE),"Not Sampled")</f>
        <v>Not Sampled</v>
      </c>
      <c r="U711" t="str">
        <f>IF(T711=1,"Positive",(IF(T711=0,"Negative","Not Sampled")))</f>
        <v>Not Sampled</v>
      </c>
      <c r="V711" s="1" t="str">
        <f>IF(U711="Not Sampled","Not Sampled",IF(S711=U711,"Accurate Prediction","Inaccurate Prediction"))</f>
        <v>Not Sampled</v>
      </c>
    </row>
    <row r="712" spans="1:22" x14ac:dyDescent="0.25">
      <c r="A712" s="1">
        <v>710</v>
      </c>
      <c r="B712" s="1">
        <v>3</v>
      </c>
      <c r="C712" s="1" t="str">
        <f>LOOKUP(B712,Sheet2!$D$4:$E$9)</f>
        <v>3-4</v>
      </c>
      <c r="D712" s="1">
        <v>158</v>
      </c>
      <c r="E712" t="str">
        <f>LOOKUP(D712,Sheet2!$G$4:$H$9)</f>
        <v>151-175</v>
      </c>
      <c r="F712" s="1">
        <v>64</v>
      </c>
      <c r="G712" t="str">
        <f>LOOKUP(F712,Sheet2!$J$4:$K$8)</f>
        <v>60-69</v>
      </c>
      <c r="H712" s="1">
        <v>13</v>
      </c>
      <c r="I712" t="str">
        <f>LOOKUP(H712,Sheet2!$M$4:$N$8)</f>
        <v>10-30</v>
      </c>
      <c r="J712" s="1">
        <v>387</v>
      </c>
      <c r="K712" t="str">
        <f>LOOKUP(J712,Sheet2!$P$4:$Q$9)</f>
        <v>300-499</v>
      </c>
      <c r="L712" s="1">
        <v>31.2</v>
      </c>
      <c r="M712" t="str">
        <f>LOOKUP(L712,Sheet2!$S$4:$T$8)</f>
        <v>31-35</v>
      </c>
      <c r="N712" s="1">
        <v>0.29499999999999998</v>
      </c>
      <c r="O712" t="str">
        <f>LOOKUP(N712,Sheet2!$V$4:$W$7)</f>
        <v>0.25 - 0.39</v>
      </c>
      <c r="P712" s="1">
        <v>24</v>
      </c>
      <c r="Q712" t="str">
        <f>LOOKUP(P712,Sheet2!$Z$4:$AA$7)</f>
        <v>&lt;=25</v>
      </c>
      <c r="R712" s="1">
        <v>0</v>
      </c>
      <c r="S712" t="str">
        <f>IF(R712=1,"Positive","Negative")</f>
        <v>Negative</v>
      </c>
      <c r="T712" s="1" t="str">
        <f>IFERROR(VLOOKUP(A712,[1]diabetes_Recognition!$A:$B,2,FALSE),"Not Sampled")</f>
        <v>Not Sampled</v>
      </c>
      <c r="U712" t="str">
        <f>IF(T712=1,"Positive",(IF(T712=0,"Negative","Not Sampled")))</f>
        <v>Not Sampled</v>
      </c>
      <c r="V712" s="1" t="str">
        <f>IF(U712="Not Sampled","Not Sampled",IF(S712=U712,"Accurate Prediction","Inaccurate Prediction"))</f>
        <v>Not Sampled</v>
      </c>
    </row>
    <row r="713" spans="1:22" x14ac:dyDescent="0.25">
      <c r="A713" s="1">
        <v>711</v>
      </c>
      <c r="B713" s="1">
        <v>5</v>
      </c>
      <c r="C713" s="1" t="str">
        <f>LOOKUP(B713,Sheet2!$D$4:$E$9)</f>
        <v>5-7</v>
      </c>
      <c r="D713" s="1">
        <v>126</v>
      </c>
      <c r="E713" t="str">
        <f>LOOKUP(D713,Sheet2!$G$4:$H$9)</f>
        <v>126-150</v>
      </c>
      <c r="F713" s="1">
        <v>78</v>
      </c>
      <c r="G713" t="str">
        <f>LOOKUP(F713,Sheet2!$J$4:$K$8)</f>
        <v>70-79</v>
      </c>
      <c r="H713" s="1">
        <v>27</v>
      </c>
      <c r="I713" t="str">
        <f>LOOKUP(H713,Sheet2!$M$4:$N$8)</f>
        <v>10-30</v>
      </c>
      <c r="J713" s="1">
        <v>22</v>
      </c>
      <c r="K713" t="str">
        <f>LOOKUP(J713,Sheet2!$P$4:$Q$9)</f>
        <v>1-99</v>
      </c>
      <c r="L713" s="1">
        <v>29.6</v>
      </c>
      <c r="M713" t="str">
        <f>LOOKUP(L713,Sheet2!$S$4:$T$8)</f>
        <v>26-30</v>
      </c>
      <c r="N713" s="1">
        <v>0.439</v>
      </c>
      <c r="O713" t="str">
        <f>LOOKUP(N713,Sheet2!$V$4:$W$7)</f>
        <v>0.4 - 0.69</v>
      </c>
      <c r="P713" s="1">
        <v>40</v>
      </c>
      <c r="Q713" t="str">
        <f>LOOKUP(P713,Sheet2!$Z$4:$AA$7)</f>
        <v>36-45</v>
      </c>
      <c r="R713" s="1">
        <v>0</v>
      </c>
      <c r="S713" t="str">
        <f>IF(R713=1,"Positive","Negative")</f>
        <v>Negative</v>
      </c>
      <c r="T713" s="1" t="str">
        <f>IFERROR(VLOOKUP(A713,[1]diabetes_Recognition!$A:$B,2,FALSE),"Not Sampled")</f>
        <v>Not Sampled</v>
      </c>
      <c r="U713" t="str">
        <f>IF(T713=1,"Positive",(IF(T713=0,"Negative","Not Sampled")))</f>
        <v>Not Sampled</v>
      </c>
      <c r="V713" s="1" t="str">
        <f>IF(U713="Not Sampled","Not Sampled",IF(S713=U713,"Accurate Prediction","Inaccurate Prediction"))</f>
        <v>Not Sampled</v>
      </c>
    </row>
    <row r="714" spans="1:22" x14ac:dyDescent="0.25">
      <c r="A714" s="1">
        <v>712</v>
      </c>
      <c r="B714" s="1">
        <v>10</v>
      </c>
      <c r="C714" s="1" t="str">
        <f>LOOKUP(B714,Sheet2!$D$4:$E$9)</f>
        <v>8+</v>
      </c>
      <c r="D714" s="1">
        <v>129</v>
      </c>
      <c r="E714" t="str">
        <f>LOOKUP(D714,Sheet2!$G$4:$H$9)</f>
        <v>126-150</v>
      </c>
      <c r="F714" s="1">
        <v>62</v>
      </c>
      <c r="G714" t="str">
        <f>LOOKUP(F714,Sheet2!$J$4:$K$8)</f>
        <v>60-69</v>
      </c>
      <c r="H714" s="1">
        <v>36</v>
      </c>
      <c r="I714" t="str">
        <f>LOOKUP(H714,Sheet2!$M$4:$N$8)</f>
        <v>30-39</v>
      </c>
      <c r="J714" s="1">
        <v>0</v>
      </c>
      <c r="K714" t="str">
        <f>LOOKUP(J714,Sheet2!$P$4:$Q$9)</f>
        <v>Unknown</v>
      </c>
      <c r="L714" s="1">
        <v>41.2</v>
      </c>
      <c r="M714" t="str">
        <f>LOOKUP(L714,Sheet2!$S$4:$T$8)</f>
        <v>36+</v>
      </c>
      <c r="N714" s="1">
        <v>0.441</v>
      </c>
      <c r="O714" t="str">
        <f>LOOKUP(N714,Sheet2!$V$4:$W$7)</f>
        <v>0.4 - 0.69</v>
      </c>
      <c r="P714" s="1">
        <v>38</v>
      </c>
      <c r="Q714" t="str">
        <f>LOOKUP(P714,Sheet2!$Z$4:$AA$7)</f>
        <v>36-45</v>
      </c>
      <c r="R714" s="1">
        <v>1</v>
      </c>
      <c r="S714" t="str">
        <f>IF(R714=1,"Positive","Negative")</f>
        <v>Positive</v>
      </c>
      <c r="T714" s="1" t="str">
        <f>IFERROR(VLOOKUP(A714,[1]diabetes_Recognition!$A:$B,2,FALSE),"Not Sampled")</f>
        <v>Not Sampled</v>
      </c>
      <c r="U714" t="str">
        <f>IF(T714=1,"Positive",(IF(T714=0,"Negative","Not Sampled")))</f>
        <v>Not Sampled</v>
      </c>
      <c r="V714" s="1" t="str">
        <f>IF(U714="Not Sampled","Not Sampled",IF(S714=U714,"Accurate Prediction","Inaccurate Prediction"))</f>
        <v>Not Sampled</v>
      </c>
    </row>
    <row r="715" spans="1:22" x14ac:dyDescent="0.25">
      <c r="A715" s="1">
        <v>713</v>
      </c>
      <c r="B715" s="1">
        <v>0</v>
      </c>
      <c r="C715" s="1">
        <f>LOOKUP(B715,Sheet2!$D$4:$E$9)</f>
        <v>0</v>
      </c>
      <c r="D715" s="1">
        <v>134</v>
      </c>
      <c r="E715" t="str">
        <f>LOOKUP(D715,Sheet2!$G$4:$H$9)</f>
        <v>126-150</v>
      </c>
      <c r="F715" s="1">
        <v>58</v>
      </c>
      <c r="G715" t="str">
        <f>LOOKUP(F715,Sheet2!$J$4:$K$8)</f>
        <v>1-59</v>
      </c>
      <c r="H715" s="1">
        <v>20</v>
      </c>
      <c r="I715" t="str">
        <f>LOOKUP(H715,Sheet2!$M$4:$N$8)</f>
        <v>10-30</v>
      </c>
      <c r="J715" s="1">
        <v>291</v>
      </c>
      <c r="K715" t="str">
        <f>LOOKUP(J715,Sheet2!$P$4:$Q$9)</f>
        <v>200-399</v>
      </c>
      <c r="L715" s="1">
        <v>26.4</v>
      </c>
      <c r="M715" t="str">
        <f>LOOKUP(L715,Sheet2!$S$4:$T$8)</f>
        <v>26-30</v>
      </c>
      <c r="N715" s="1">
        <v>0.35199999999999998</v>
      </c>
      <c r="O715" t="str">
        <f>LOOKUP(N715,Sheet2!$V$4:$W$7)</f>
        <v>0.25 - 0.39</v>
      </c>
      <c r="P715" s="1">
        <v>21</v>
      </c>
      <c r="Q715" t="str">
        <f>LOOKUP(P715,Sheet2!$Z$4:$AA$7)</f>
        <v>&lt;=25</v>
      </c>
      <c r="R715" s="1">
        <v>0</v>
      </c>
      <c r="S715" t="str">
        <f>IF(R715=1,"Positive","Negative")</f>
        <v>Negative</v>
      </c>
      <c r="T715" s="1" t="str">
        <f>IFERROR(VLOOKUP(A715,[1]diabetes_Recognition!$A:$B,2,FALSE),"Not Sampled")</f>
        <v>Not Sampled</v>
      </c>
      <c r="U715" t="str">
        <f>IF(T715=1,"Positive",(IF(T715=0,"Negative","Not Sampled")))</f>
        <v>Not Sampled</v>
      </c>
      <c r="V715" s="1" t="str">
        <f>IF(U715="Not Sampled","Not Sampled",IF(S715=U715,"Accurate Prediction","Inaccurate Prediction"))</f>
        <v>Not Sampled</v>
      </c>
    </row>
    <row r="716" spans="1:22" x14ac:dyDescent="0.25">
      <c r="A716" s="1">
        <v>714</v>
      </c>
      <c r="B716" s="1">
        <v>3</v>
      </c>
      <c r="C716" s="1" t="str">
        <f>LOOKUP(B716,Sheet2!$D$4:$E$9)</f>
        <v>3-4</v>
      </c>
      <c r="D716" s="1">
        <v>102</v>
      </c>
      <c r="E716" t="str">
        <f>LOOKUP(D716,Sheet2!$G$4:$H$9)</f>
        <v>100-125</v>
      </c>
      <c r="F716" s="1">
        <v>74</v>
      </c>
      <c r="G716" t="str">
        <f>LOOKUP(F716,Sheet2!$J$4:$K$8)</f>
        <v>70-79</v>
      </c>
      <c r="H716" s="1">
        <v>0</v>
      </c>
      <c r="I716" t="str">
        <f>LOOKUP(H716,Sheet2!$M$4:$N$8)</f>
        <v>Unknown</v>
      </c>
      <c r="J716" s="1">
        <v>0</v>
      </c>
      <c r="K716" t="str">
        <f>LOOKUP(J716,Sheet2!$P$4:$Q$9)</f>
        <v>Unknown</v>
      </c>
      <c r="L716" s="1">
        <v>29.5</v>
      </c>
      <c r="M716" t="str">
        <f>LOOKUP(L716,Sheet2!$S$4:$T$8)</f>
        <v>26-30</v>
      </c>
      <c r="N716" s="1">
        <v>0.121</v>
      </c>
      <c r="O716" t="str">
        <f>LOOKUP(N716,Sheet2!$V$4:$W$7)</f>
        <v>0.0 - 0.249</v>
      </c>
      <c r="P716" s="1">
        <v>32</v>
      </c>
      <c r="Q716" t="str">
        <f>LOOKUP(P716,Sheet2!$Z$4:$AA$7)</f>
        <v>26-35</v>
      </c>
      <c r="R716" s="1">
        <v>0</v>
      </c>
      <c r="S716" t="str">
        <f>IF(R716=1,"Positive","Negative")</f>
        <v>Negative</v>
      </c>
      <c r="T716" s="1" t="str">
        <f>IFERROR(VLOOKUP(A716,[1]diabetes_Recognition!$A:$B,2,FALSE),"Not Sampled")</f>
        <v>Not Sampled</v>
      </c>
      <c r="U716" t="str">
        <f>IF(T716=1,"Positive",(IF(T716=0,"Negative","Not Sampled")))</f>
        <v>Not Sampled</v>
      </c>
      <c r="V716" s="1" t="str">
        <f>IF(U716="Not Sampled","Not Sampled",IF(S716=U716,"Accurate Prediction","Inaccurate Prediction"))</f>
        <v>Not Sampled</v>
      </c>
    </row>
    <row r="717" spans="1:22" x14ac:dyDescent="0.25">
      <c r="A717" s="1">
        <v>715</v>
      </c>
      <c r="B717" s="1">
        <v>7</v>
      </c>
      <c r="C717" s="1" t="str">
        <f>LOOKUP(B717,Sheet2!$D$4:$E$9)</f>
        <v>5-7</v>
      </c>
      <c r="D717" s="1">
        <v>187</v>
      </c>
      <c r="E717" t="str">
        <f>LOOKUP(D717,Sheet2!$G$4:$H$9)</f>
        <v>176-200</v>
      </c>
      <c r="F717" s="1">
        <v>50</v>
      </c>
      <c r="G717" t="str">
        <f>LOOKUP(F717,Sheet2!$J$4:$K$8)</f>
        <v>1-59</v>
      </c>
      <c r="H717" s="1">
        <v>33</v>
      </c>
      <c r="I717" t="str">
        <f>LOOKUP(H717,Sheet2!$M$4:$N$8)</f>
        <v>30-39</v>
      </c>
      <c r="J717" s="1">
        <v>392</v>
      </c>
      <c r="K717" t="str">
        <f>LOOKUP(J717,Sheet2!$P$4:$Q$9)</f>
        <v>300-499</v>
      </c>
      <c r="L717" s="1">
        <v>33.9</v>
      </c>
      <c r="M717" t="str">
        <f>LOOKUP(L717,Sheet2!$S$4:$T$8)</f>
        <v>31-35</v>
      </c>
      <c r="N717" s="1">
        <v>0.82599999999999996</v>
      </c>
      <c r="O717" t="str">
        <f>LOOKUP(N717,Sheet2!$V$4:$W$7)</f>
        <v>0.7+</v>
      </c>
      <c r="P717" s="1">
        <v>34</v>
      </c>
      <c r="Q717" t="str">
        <f>LOOKUP(P717,Sheet2!$Z$4:$AA$7)</f>
        <v>26-35</v>
      </c>
      <c r="R717" s="1">
        <v>1</v>
      </c>
      <c r="S717" t="str">
        <f>IF(R717=1,"Positive","Negative")</f>
        <v>Positive</v>
      </c>
      <c r="T717" s="1" t="str">
        <f>IFERROR(VLOOKUP(A717,[1]diabetes_Recognition!$A:$B,2,FALSE),"Not Sampled")</f>
        <v>Not Sampled</v>
      </c>
      <c r="U717" t="str">
        <f>IF(T717=1,"Positive",(IF(T717=0,"Negative","Not Sampled")))</f>
        <v>Not Sampled</v>
      </c>
      <c r="V717" s="1" t="str">
        <f>IF(U717="Not Sampled","Not Sampled",IF(S717=U717,"Accurate Prediction","Inaccurate Prediction"))</f>
        <v>Not Sampled</v>
      </c>
    </row>
    <row r="718" spans="1:22" x14ac:dyDescent="0.25">
      <c r="A718" s="1">
        <v>716</v>
      </c>
      <c r="B718" s="1">
        <v>3</v>
      </c>
      <c r="C718" s="1" t="str">
        <f>LOOKUP(B718,Sheet2!$D$4:$E$9)</f>
        <v>3-4</v>
      </c>
      <c r="D718" s="1">
        <v>173</v>
      </c>
      <c r="E718" t="str">
        <f>LOOKUP(D718,Sheet2!$G$4:$H$9)</f>
        <v>151-175</v>
      </c>
      <c r="F718" s="1">
        <v>78</v>
      </c>
      <c r="G718" t="str">
        <f>LOOKUP(F718,Sheet2!$J$4:$K$8)</f>
        <v>70-79</v>
      </c>
      <c r="H718" s="1">
        <v>39</v>
      </c>
      <c r="I718" t="str">
        <f>LOOKUP(H718,Sheet2!$M$4:$N$8)</f>
        <v>30-39</v>
      </c>
      <c r="J718" s="1">
        <v>185</v>
      </c>
      <c r="K718" t="str">
        <f>LOOKUP(J718,Sheet2!$P$4:$Q$9)</f>
        <v>100-199</v>
      </c>
      <c r="L718" s="1">
        <v>33.799999999999997</v>
      </c>
      <c r="M718" t="str">
        <f>LOOKUP(L718,Sheet2!$S$4:$T$8)</f>
        <v>31-35</v>
      </c>
      <c r="N718" s="1">
        <v>0.97</v>
      </c>
      <c r="O718" t="str">
        <f>LOOKUP(N718,Sheet2!$V$4:$W$7)</f>
        <v>0.7+</v>
      </c>
      <c r="P718" s="1">
        <v>31</v>
      </c>
      <c r="Q718" t="str">
        <f>LOOKUP(P718,Sheet2!$Z$4:$AA$7)</f>
        <v>26-35</v>
      </c>
      <c r="R718" s="1">
        <v>1</v>
      </c>
      <c r="S718" t="str">
        <f>IF(R718=1,"Positive","Negative")</f>
        <v>Positive</v>
      </c>
      <c r="T718" s="1" t="str">
        <f>IFERROR(VLOOKUP(A718,[1]diabetes_Recognition!$A:$B,2,FALSE),"Not Sampled")</f>
        <v>Not Sampled</v>
      </c>
      <c r="U718" t="str">
        <f>IF(T718=1,"Positive",(IF(T718=0,"Negative","Not Sampled")))</f>
        <v>Not Sampled</v>
      </c>
      <c r="V718" s="1" t="str">
        <f>IF(U718="Not Sampled","Not Sampled",IF(S718=U718,"Accurate Prediction","Inaccurate Prediction"))</f>
        <v>Not Sampled</v>
      </c>
    </row>
    <row r="719" spans="1:22" x14ac:dyDescent="0.25">
      <c r="A719" s="1">
        <v>717</v>
      </c>
      <c r="B719" s="1">
        <v>10</v>
      </c>
      <c r="C719" s="1" t="str">
        <f>LOOKUP(B719,Sheet2!$D$4:$E$9)</f>
        <v>8+</v>
      </c>
      <c r="D719" s="1">
        <v>94</v>
      </c>
      <c r="E719" t="str">
        <f>LOOKUP(D719,Sheet2!$G$4:$H$9)</f>
        <v>1-99</v>
      </c>
      <c r="F719" s="1">
        <v>72</v>
      </c>
      <c r="G719" t="str">
        <f>LOOKUP(F719,Sheet2!$J$4:$K$8)</f>
        <v>70-79</v>
      </c>
      <c r="H719" s="1">
        <v>18</v>
      </c>
      <c r="I719" t="str">
        <f>LOOKUP(H719,Sheet2!$M$4:$N$8)</f>
        <v>10-30</v>
      </c>
      <c r="J719" s="1">
        <v>0</v>
      </c>
      <c r="K719" t="str">
        <f>LOOKUP(J719,Sheet2!$P$4:$Q$9)</f>
        <v>Unknown</v>
      </c>
      <c r="L719" s="1">
        <v>23.1</v>
      </c>
      <c r="M719" t="str">
        <f>LOOKUP(L719,Sheet2!$S$4:$T$8)</f>
        <v>1-25</v>
      </c>
      <c r="N719" s="1">
        <v>0.59499999999999997</v>
      </c>
      <c r="O719" t="str">
        <f>LOOKUP(N719,Sheet2!$V$4:$W$7)</f>
        <v>0.4 - 0.69</v>
      </c>
      <c r="P719" s="1">
        <v>56</v>
      </c>
      <c r="Q719" t="str">
        <f>LOOKUP(P719,Sheet2!$Z$4:$AA$7)</f>
        <v>46+</v>
      </c>
      <c r="R719" s="1">
        <v>0</v>
      </c>
      <c r="S719" t="str">
        <f>IF(R719=1,"Positive","Negative")</f>
        <v>Negative</v>
      </c>
      <c r="T719" s="1" t="str">
        <f>IFERROR(VLOOKUP(A719,[1]diabetes_Recognition!$A:$B,2,FALSE),"Not Sampled")</f>
        <v>Not Sampled</v>
      </c>
      <c r="U719" t="str">
        <f>IF(T719=1,"Positive",(IF(T719=0,"Negative","Not Sampled")))</f>
        <v>Not Sampled</v>
      </c>
      <c r="V719" s="1" t="str">
        <f>IF(U719="Not Sampled","Not Sampled",IF(S719=U719,"Accurate Prediction","Inaccurate Prediction"))</f>
        <v>Not Sampled</v>
      </c>
    </row>
    <row r="720" spans="1:22" x14ac:dyDescent="0.25">
      <c r="A720" s="1">
        <v>718</v>
      </c>
      <c r="B720" s="1">
        <v>1</v>
      </c>
      <c r="C720" s="1">
        <f>LOOKUP(B720,Sheet2!$D$4:$E$9)</f>
        <v>1</v>
      </c>
      <c r="D720" s="1">
        <v>108</v>
      </c>
      <c r="E720" t="str">
        <f>LOOKUP(D720,Sheet2!$G$4:$H$9)</f>
        <v>100-125</v>
      </c>
      <c r="F720" s="1">
        <v>60</v>
      </c>
      <c r="G720" t="str">
        <f>LOOKUP(F720,Sheet2!$J$4:$K$8)</f>
        <v>60-69</v>
      </c>
      <c r="H720" s="1">
        <v>46</v>
      </c>
      <c r="I720" t="str">
        <f>LOOKUP(H720,Sheet2!$M$4:$N$8)</f>
        <v>40+</v>
      </c>
      <c r="J720" s="1">
        <v>178</v>
      </c>
      <c r="K720" t="str">
        <f>LOOKUP(J720,Sheet2!$P$4:$Q$9)</f>
        <v>100-199</v>
      </c>
      <c r="L720" s="1">
        <v>35.5</v>
      </c>
      <c r="M720" t="str">
        <f>LOOKUP(L720,Sheet2!$S$4:$T$8)</f>
        <v>31-35</v>
      </c>
      <c r="N720" s="1">
        <v>0.41499999999999998</v>
      </c>
      <c r="O720" t="str">
        <f>LOOKUP(N720,Sheet2!$V$4:$W$7)</f>
        <v>0.4 - 0.69</v>
      </c>
      <c r="P720" s="1">
        <v>24</v>
      </c>
      <c r="Q720" t="str">
        <f>LOOKUP(P720,Sheet2!$Z$4:$AA$7)</f>
        <v>&lt;=25</v>
      </c>
      <c r="R720" s="1">
        <v>0</v>
      </c>
      <c r="S720" t="str">
        <f>IF(R720=1,"Positive","Negative")</f>
        <v>Negative</v>
      </c>
      <c r="T720" s="1">
        <f>IFERROR(VLOOKUP(A720,[1]diabetes_Recognition!$A:$B,2,FALSE),"Not Sampled")</f>
        <v>0</v>
      </c>
      <c r="U720" t="str">
        <f>IF(T720=1,"Positive",(IF(T720=0,"Negative","Not Sampled")))</f>
        <v>Negative</v>
      </c>
      <c r="V720" s="1" t="str">
        <f>IF(U720="Not Sampled","Not Sampled",IF(S720=U720,"Accurate Prediction","Inaccurate Prediction"))</f>
        <v>Accurate Prediction</v>
      </c>
    </row>
    <row r="721" spans="1:22" x14ac:dyDescent="0.25">
      <c r="A721" s="1">
        <v>719</v>
      </c>
      <c r="B721" s="1">
        <v>5</v>
      </c>
      <c r="C721" s="1" t="str">
        <f>LOOKUP(B721,Sheet2!$D$4:$E$9)</f>
        <v>5-7</v>
      </c>
      <c r="D721" s="1">
        <v>97</v>
      </c>
      <c r="E721" t="str">
        <f>LOOKUP(D721,Sheet2!$G$4:$H$9)</f>
        <v>1-99</v>
      </c>
      <c r="F721" s="1">
        <v>76</v>
      </c>
      <c r="G721" t="str">
        <f>LOOKUP(F721,Sheet2!$J$4:$K$8)</f>
        <v>70-79</v>
      </c>
      <c r="H721" s="1">
        <v>27</v>
      </c>
      <c r="I721" t="str">
        <f>LOOKUP(H721,Sheet2!$M$4:$N$8)</f>
        <v>10-30</v>
      </c>
      <c r="J721" s="1">
        <v>0</v>
      </c>
      <c r="K721" t="str">
        <f>LOOKUP(J721,Sheet2!$P$4:$Q$9)</f>
        <v>Unknown</v>
      </c>
      <c r="L721" s="1">
        <v>35.6</v>
      </c>
      <c r="M721" t="str">
        <f>LOOKUP(L721,Sheet2!$S$4:$T$8)</f>
        <v>31-35</v>
      </c>
      <c r="N721" s="1">
        <v>0.378</v>
      </c>
      <c r="O721" t="str">
        <f>LOOKUP(N721,Sheet2!$V$4:$W$7)</f>
        <v>0.25 - 0.39</v>
      </c>
      <c r="P721" s="1">
        <v>52</v>
      </c>
      <c r="Q721" t="str">
        <f>LOOKUP(P721,Sheet2!$Z$4:$AA$7)</f>
        <v>46+</v>
      </c>
      <c r="R721" s="1">
        <v>1</v>
      </c>
      <c r="S721" t="str">
        <f>IF(R721=1,"Positive","Negative")</f>
        <v>Positive</v>
      </c>
      <c r="T721" s="1" t="str">
        <f>IFERROR(VLOOKUP(A721,[1]diabetes_Recognition!$A:$B,2,FALSE),"Not Sampled")</f>
        <v>Not Sampled</v>
      </c>
      <c r="U721" t="str">
        <f>IF(T721=1,"Positive",(IF(T721=0,"Negative","Not Sampled")))</f>
        <v>Not Sampled</v>
      </c>
      <c r="V721" s="1" t="str">
        <f>IF(U721="Not Sampled","Not Sampled",IF(S721=U721,"Accurate Prediction","Inaccurate Prediction"))</f>
        <v>Not Sampled</v>
      </c>
    </row>
    <row r="722" spans="1:22" x14ac:dyDescent="0.25">
      <c r="A722" s="1">
        <v>720</v>
      </c>
      <c r="B722" s="1">
        <v>4</v>
      </c>
      <c r="C722" s="1" t="str">
        <f>LOOKUP(B722,Sheet2!$D$4:$E$9)</f>
        <v>3-4</v>
      </c>
      <c r="D722" s="1">
        <v>83</v>
      </c>
      <c r="E722" t="str">
        <f>LOOKUP(D722,Sheet2!$G$4:$H$9)</f>
        <v>1-99</v>
      </c>
      <c r="F722" s="1">
        <v>86</v>
      </c>
      <c r="G722" t="str">
        <f>LOOKUP(F722,Sheet2!$J$4:$K$8)</f>
        <v>80+</v>
      </c>
      <c r="H722" s="1">
        <v>19</v>
      </c>
      <c r="I722" t="str">
        <f>LOOKUP(H722,Sheet2!$M$4:$N$8)</f>
        <v>10-30</v>
      </c>
      <c r="J722" s="1">
        <v>0</v>
      </c>
      <c r="K722" t="str">
        <f>LOOKUP(J722,Sheet2!$P$4:$Q$9)</f>
        <v>Unknown</v>
      </c>
      <c r="L722" s="1">
        <v>29.3</v>
      </c>
      <c r="M722" t="str">
        <f>LOOKUP(L722,Sheet2!$S$4:$T$8)</f>
        <v>26-30</v>
      </c>
      <c r="N722" s="1">
        <v>0.317</v>
      </c>
      <c r="O722" t="str">
        <f>LOOKUP(N722,Sheet2!$V$4:$W$7)</f>
        <v>0.25 - 0.39</v>
      </c>
      <c r="P722" s="1">
        <v>34</v>
      </c>
      <c r="Q722" t="str">
        <f>LOOKUP(P722,Sheet2!$Z$4:$AA$7)</f>
        <v>26-35</v>
      </c>
      <c r="R722" s="1">
        <v>0</v>
      </c>
      <c r="S722" t="str">
        <f>IF(R722=1,"Positive","Negative")</f>
        <v>Negative</v>
      </c>
      <c r="T722" s="1" t="str">
        <f>IFERROR(VLOOKUP(A722,[1]diabetes_Recognition!$A:$B,2,FALSE),"Not Sampled")</f>
        <v>Not Sampled</v>
      </c>
      <c r="U722" t="str">
        <f>IF(T722=1,"Positive",(IF(T722=0,"Negative","Not Sampled")))</f>
        <v>Not Sampled</v>
      </c>
      <c r="V722" s="1" t="str">
        <f>IF(U722="Not Sampled","Not Sampled",IF(S722=U722,"Accurate Prediction","Inaccurate Prediction"))</f>
        <v>Not Sampled</v>
      </c>
    </row>
    <row r="723" spans="1:22" x14ac:dyDescent="0.25">
      <c r="A723" s="1">
        <v>721</v>
      </c>
      <c r="B723" s="1">
        <v>1</v>
      </c>
      <c r="C723" s="1">
        <f>LOOKUP(B723,Sheet2!$D$4:$E$9)</f>
        <v>1</v>
      </c>
      <c r="D723" s="1">
        <v>114</v>
      </c>
      <c r="E723" t="str">
        <f>LOOKUP(D723,Sheet2!$G$4:$H$9)</f>
        <v>100-125</v>
      </c>
      <c r="F723" s="1">
        <v>66</v>
      </c>
      <c r="G723" t="str">
        <f>LOOKUP(F723,Sheet2!$J$4:$K$8)</f>
        <v>60-69</v>
      </c>
      <c r="H723" s="1">
        <v>36</v>
      </c>
      <c r="I723" t="str">
        <f>LOOKUP(H723,Sheet2!$M$4:$N$8)</f>
        <v>30-39</v>
      </c>
      <c r="J723" s="1">
        <v>200</v>
      </c>
      <c r="K723" t="str">
        <f>LOOKUP(J723,Sheet2!$P$4:$Q$9)</f>
        <v>200-399</v>
      </c>
      <c r="L723" s="1">
        <v>38.1</v>
      </c>
      <c r="M723" t="str">
        <f>LOOKUP(L723,Sheet2!$S$4:$T$8)</f>
        <v>36+</v>
      </c>
      <c r="N723" s="1">
        <v>0.28899999999999998</v>
      </c>
      <c r="O723" t="str">
        <f>LOOKUP(N723,Sheet2!$V$4:$W$7)</f>
        <v>0.25 - 0.39</v>
      </c>
      <c r="P723" s="1">
        <v>21</v>
      </c>
      <c r="Q723" t="str">
        <f>LOOKUP(P723,Sheet2!$Z$4:$AA$7)</f>
        <v>&lt;=25</v>
      </c>
      <c r="R723" s="1">
        <v>0</v>
      </c>
      <c r="S723" t="str">
        <f>IF(R723=1,"Positive","Negative")</f>
        <v>Negative</v>
      </c>
      <c r="T723" s="1" t="str">
        <f>IFERROR(VLOOKUP(A723,[1]diabetes_Recognition!$A:$B,2,FALSE),"Not Sampled")</f>
        <v>Not Sampled</v>
      </c>
      <c r="U723" t="str">
        <f>IF(T723=1,"Positive",(IF(T723=0,"Negative","Not Sampled")))</f>
        <v>Not Sampled</v>
      </c>
      <c r="V723" s="1" t="str">
        <f>IF(U723="Not Sampled","Not Sampled",IF(S723=U723,"Accurate Prediction","Inaccurate Prediction"))</f>
        <v>Not Sampled</v>
      </c>
    </row>
    <row r="724" spans="1:22" x14ac:dyDescent="0.25">
      <c r="A724" s="1">
        <v>722</v>
      </c>
      <c r="B724" s="1">
        <v>1</v>
      </c>
      <c r="C724" s="1">
        <f>LOOKUP(B724,Sheet2!$D$4:$E$9)</f>
        <v>1</v>
      </c>
      <c r="D724" s="1">
        <v>149</v>
      </c>
      <c r="E724" t="str">
        <f>LOOKUP(D724,Sheet2!$G$4:$H$9)</f>
        <v>126-150</v>
      </c>
      <c r="F724" s="1">
        <v>68</v>
      </c>
      <c r="G724" t="str">
        <f>LOOKUP(F724,Sheet2!$J$4:$K$8)</f>
        <v>60-69</v>
      </c>
      <c r="H724" s="1">
        <v>29</v>
      </c>
      <c r="I724" t="str">
        <f>LOOKUP(H724,Sheet2!$M$4:$N$8)</f>
        <v>10-30</v>
      </c>
      <c r="J724" s="1">
        <v>127</v>
      </c>
      <c r="K724" t="str">
        <f>LOOKUP(J724,Sheet2!$P$4:$Q$9)</f>
        <v>100-199</v>
      </c>
      <c r="L724" s="1">
        <v>29.3</v>
      </c>
      <c r="M724" t="str">
        <f>LOOKUP(L724,Sheet2!$S$4:$T$8)</f>
        <v>26-30</v>
      </c>
      <c r="N724" s="1">
        <v>0.34899999999999998</v>
      </c>
      <c r="O724" t="str">
        <f>LOOKUP(N724,Sheet2!$V$4:$W$7)</f>
        <v>0.25 - 0.39</v>
      </c>
      <c r="P724" s="1">
        <v>42</v>
      </c>
      <c r="Q724" t="str">
        <f>LOOKUP(P724,Sheet2!$Z$4:$AA$7)</f>
        <v>36-45</v>
      </c>
      <c r="R724" s="1">
        <v>1</v>
      </c>
      <c r="S724" t="str">
        <f>IF(R724=1,"Positive","Negative")</f>
        <v>Positive</v>
      </c>
      <c r="T724" s="1" t="str">
        <f>IFERROR(VLOOKUP(A724,[1]diabetes_Recognition!$A:$B,2,FALSE),"Not Sampled")</f>
        <v>Not Sampled</v>
      </c>
      <c r="U724" t="str">
        <f>IF(T724=1,"Positive",(IF(T724=0,"Negative","Not Sampled")))</f>
        <v>Not Sampled</v>
      </c>
      <c r="V724" s="1" t="str">
        <f>IF(U724="Not Sampled","Not Sampled",IF(S724=U724,"Accurate Prediction","Inaccurate Prediction"))</f>
        <v>Not Sampled</v>
      </c>
    </row>
    <row r="725" spans="1:22" x14ac:dyDescent="0.25">
      <c r="A725" s="1">
        <v>723</v>
      </c>
      <c r="B725" s="1">
        <v>5</v>
      </c>
      <c r="C725" s="1" t="str">
        <f>LOOKUP(B725,Sheet2!$D$4:$E$9)</f>
        <v>5-7</v>
      </c>
      <c r="D725" s="1">
        <v>117</v>
      </c>
      <c r="E725" t="str">
        <f>LOOKUP(D725,Sheet2!$G$4:$H$9)</f>
        <v>100-125</v>
      </c>
      <c r="F725" s="1">
        <v>86</v>
      </c>
      <c r="G725" t="str">
        <f>LOOKUP(F725,Sheet2!$J$4:$K$8)</f>
        <v>80+</v>
      </c>
      <c r="H725" s="1">
        <v>30</v>
      </c>
      <c r="I725" t="str">
        <f>LOOKUP(H725,Sheet2!$M$4:$N$8)</f>
        <v>30-39</v>
      </c>
      <c r="J725" s="1">
        <v>105</v>
      </c>
      <c r="K725" t="str">
        <f>LOOKUP(J725,Sheet2!$P$4:$Q$9)</f>
        <v>100-199</v>
      </c>
      <c r="L725" s="1">
        <v>39.1</v>
      </c>
      <c r="M725" t="str">
        <f>LOOKUP(L725,Sheet2!$S$4:$T$8)</f>
        <v>36+</v>
      </c>
      <c r="N725" s="1">
        <v>0.251</v>
      </c>
      <c r="O725" t="str">
        <f>LOOKUP(N725,Sheet2!$V$4:$W$7)</f>
        <v>0.25 - 0.39</v>
      </c>
      <c r="P725" s="1">
        <v>42</v>
      </c>
      <c r="Q725" t="str">
        <f>LOOKUP(P725,Sheet2!$Z$4:$AA$7)</f>
        <v>36-45</v>
      </c>
      <c r="R725" s="1">
        <v>0</v>
      </c>
      <c r="S725" t="str">
        <f>IF(R725=1,"Positive","Negative")</f>
        <v>Negative</v>
      </c>
      <c r="T725" s="1" t="str">
        <f>IFERROR(VLOOKUP(A725,[1]diabetes_Recognition!$A:$B,2,FALSE),"Not Sampled")</f>
        <v>Not Sampled</v>
      </c>
      <c r="U725" t="str">
        <f>IF(T725=1,"Positive",(IF(T725=0,"Negative","Not Sampled")))</f>
        <v>Not Sampled</v>
      </c>
      <c r="V725" s="1" t="str">
        <f>IF(U725="Not Sampled","Not Sampled",IF(S725=U725,"Accurate Prediction","Inaccurate Prediction"))</f>
        <v>Not Sampled</v>
      </c>
    </row>
    <row r="726" spans="1:22" x14ac:dyDescent="0.25">
      <c r="A726" s="1">
        <v>724</v>
      </c>
      <c r="B726" s="1">
        <v>1</v>
      </c>
      <c r="C726" s="1">
        <f>LOOKUP(B726,Sheet2!$D$4:$E$9)</f>
        <v>1</v>
      </c>
      <c r="D726" s="1">
        <v>111</v>
      </c>
      <c r="E726" t="str">
        <f>LOOKUP(D726,Sheet2!$G$4:$H$9)</f>
        <v>100-125</v>
      </c>
      <c r="F726" s="1">
        <v>94</v>
      </c>
      <c r="G726" t="str">
        <f>LOOKUP(F726,Sheet2!$J$4:$K$8)</f>
        <v>80+</v>
      </c>
      <c r="H726" s="1">
        <v>0</v>
      </c>
      <c r="I726" t="str">
        <f>LOOKUP(H726,Sheet2!$M$4:$N$8)</f>
        <v>Unknown</v>
      </c>
      <c r="J726" s="1">
        <v>0</v>
      </c>
      <c r="K726" t="str">
        <f>LOOKUP(J726,Sheet2!$P$4:$Q$9)</f>
        <v>Unknown</v>
      </c>
      <c r="L726" s="1">
        <v>32.799999999999997</v>
      </c>
      <c r="M726" t="str">
        <f>LOOKUP(L726,Sheet2!$S$4:$T$8)</f>
        <v>31-35</v>
      </c>
      <c r="N726" s="1">
        <v>0.26500000000000001</v>
      </c>
      <c r="O726" t="str">
        <f>LOOKUP(N726,Sheet2!$V$4:$W$7)</f>
        <v>0.25 - 0.39</v>
      </c>
      <c r="P726" s="1">
        <v>45</v>
      </c>
      <c r="Q726" t="str">
        <f>LOOKUP(P726,Sheet2!$Z$4:$AA$7)</f>
        <v>36-45</v>
      </c>
      <c r="R726" s="1">
        <v>0</v>
      </c>
      <c r="S726" t="str">
        <f>IF(R726=1,"Positive","Negative")</f>
        <v>Negative</v>
      </c>
      <c r="T726" s="1">
        <f>IFERROR(VLOOKUP(A726,[1]diabetes_Recognition!$A:$B,2,FALSE),"Not Sampled")</f>
        <v>0</v>
      </c>
      <c r="U726" t="str">
        <f>IF(T726=1,"Positive",(IF(T726=0,"Negative","Not Sampled")))</f>
        <v>Negative</v>
      </c>
      <c r="V726" s="1" t="str">
        <f>IF(U726="Not Sampled","Not Sampled",IF(S726=U726,"Accurate Prediction","Inaccurate Prediction"))</f>
        <v>Accurate Prediction</v>
      </c>
    </row>
    <row r="727" spans="1:22" x14ac:dyDescent="0.25">
      <c r="A727" s="1">
        <v>725</v>
      </c>
      <c r="B727" s="1">
        <v>4</v>
      </c>
      <c r="C727" s="1" t="str">
        <f>LOOKUP(B727,Sheet2!$D$4:$E$9)</f>
        <v>3-4</v>
      </c>
      <c r="D727" s="1">
        <v>112</v>
      </c>
      <c r="E727" t="str">
        <f>LOOKUP(D727,Sheet2!$G$4:$H$9)</f>
        <v>100-125</v>
      </c>
      <c r="F727" s="1">
        <v>78</v>
      </c>
      <c r="G727" t="str">
        <f>LOOKUP(F727,Sheet2!$J$4:$K$8)</f>
        <v>70-79</v>
      </c>
      <c r="H727" s="1">
        <v>40</v>
      </c>
      <c r="I727" t="str">
        <f>LOOKUP(H727,Sheet2!$M$4:$N$8)</f>
        <v>40+</v>
      </c>
      <c r="J727" s="1">
        <v>0</v>
      </c>
      <c r="K727" t="str">
        <f>LOOKUP(J727,Sheet2!$P$4:$Q$9)</f>
        <v>Unknown</v>
      </c>
      <c r="L727" s="1">
        <v>39.4</v>
      </c>
      <c r="M727" t="str">
        <f>LOOKUP(L727,Sheet2!$S$4:$T$8)</f>
        <v>36+</v>
      </c>
      <c r="N727" s="1">
        <v>0.23599999999999999</v>
      </c>
      <c r="O727" t="str">
        <f>LOOKUP(N727,Sheet2!$V$4:$W$7)</f>
        <v>0.0 - 0.249</v>
      </c>
      <c r="P727" s="1">
        <v>38</v>
      </c>
      <c r="Q727" t="str">
        <f>LOOKUP(P727,Sheet2!$Z$4:$AA$7)</f>
        <v>36-45</v>
      </c>
      <c r="R727" s="1">
        <v>0</v>
      </c>
      <c r="S727" t="str">
        <f>IF(R727=1,"Positive","Negative")</f>
        <v>Negative</v>
      </c>
      <c r="T727" s="1" t="str">
        <f>IFERROR(VLOOKUP(A727,[1]diabetes_Recognition!$A:$B,2,FALSE),"Not Sampled")</f>
        <v>Not Sampled</v>
      </c>
      <c r="U727" t="str">
        <f>IF(T727=1,"Positive",(IF(T727=0,"Negative","Not Sampled")))</f>
        <v>Not Sampled</v>
      </c>
      <c r="V727" s="1" t="str">
        <f>IF(U727="Not Sampled","Not Sampled",IF(S727=U727,"Accurate Prediction","Inaccurate Prediction"))</f>
        <v>Not Sampled</v>
      </c>
    </row>
    <row r="728" spans="1:22" x14ac:dyDescent="0.25">
      <c r="A728" s="1">
        <v>726</v>
      </c>
      <c r="B728" s="1">
        <v>1</v>
      </c>
      <c r="C728" s="1">
        <f>LOOKUP(B728,Sheet2!$D$4:$E$9)</f>
        <v>1</v>
      </c>
      <c r="D728" s="1">
        <v>116</v>
      </c>
      <c r="E728" t="str">
        <f>LOOKUP(D728,Sheet2!$G$4:$H$9)</f>
        <v>100-125</v>
      </c>
      <c r="F728" s="1">
        <v>78</v>
      </c>
      <c r="G728" t="str">
        <f>LOOKUP(F728,Sheet2!$J$4:$K$8)</f>
        <v>70-79</v>
      </c>
      <c r="H728" s="1">
        <v>29</v>
      </c>
      <c r="I728" t="str">
        <f>LOOKUP(H728,Sheet2!$M$4:$N$8)</f>
        <v>10-30</v>
      </c>
      <c r="J728" s="1">
        <v>180</v>
      </c>
      <c r="K728" t="str">
        <f>LOOKUP(J728,Sheet2!$P$4:$Q$9)</f>
        <v>100-199</v>
      </c>
      <c r="L728" s="1">
        <v>36.1</v>
      </c>
      <c r="M728" t="str">
        <f>LOOKUP(L728,Sheet2!$S$4:$T$8)</f>
        <v>36+</v>
      </c>
      <c r="N728" s="1">
        <v>0.496</v>
      </c>
      <c r="O728" t="str">
        <f>LOOKUP(N728,Sheet2!$V$4:$W$7)</f>
        <v>0.4 - 0.69</v>
      </c>
      <c r="P728" s="1">
        <v>25</v>
      </c>
      <c r="Q728" t="str">
        <f>LOOKUP(P728,Sheet2!$Z$4:$AA$7)</f>
        <v>&lt;=25</v>
      </c>
      <c r="R728" s="1">
        <v>0</v>
      </c>
      <c r="S728" t="str">
        <f>IF(R728=1,"Positive","Negative")</f>
        <v>Negative</v>
      </c>
      <c r="T728" s="1">
        <f>IFERROR(VLOOKUP(A728,[1]diabetes_Recognition!$A:$B,2,FALSE),"Not Sampled")</f>
        <v>0</v>
      </c>
      <c r="U728" t="str">
        <f>IF(T728=1,"Positive",(IF(T728=0,"Negative","Not Sampled")))</f>
        <v>Negative</v>
      </c>
      <c r="V728" s="1" t="str">
        <f>IF(U728="Not Sampled","Not Sampled",IF(S728=U728,"Accurate Prediction","Inaccurate Prediction"))</f>
        <v>Accurate Prediction</v>
      </c>
    </row>
    <row r="729" spans="1:22" x14ac:dyDescent="0.25">
      <c r="A729" s="1">
        <v>727</v>
      </c>
      <c r="B729" s="1">
        <v>0</v>
      </c>
      <c r="C729" s="1">
        <f>LOOKUP(B729,Sheet2!$D$4:$E$9)</f>
        <v>0</v>
      </c>
      <c r="D729" s="1">
        <v>141</v>
      </c>
      <c r="E729" t="str">
        <f>LOOKUP(D729,Sheet2!$G$4:$H$9)</f>
        <v>126-150</v>
      </c>
      <c r="F729" s="1">
        <v>84</v>
      </c>
      <c r="G729" t="str">
        <f>LOOKUP(F729,Sheet2!$J$4:$K$8)</f>
        <v>80+</v>
      </c>
      <c r="H729" s="1">
        <v>26</v>
      </c>
      <c r="I729" t="str">
        <f>LOOKUP(H729,Sheet2!$M$4:$N$8)</f>
        <v>10-30</v>
      </c>
      <c r="J729" s="1">
        <v>0</v>
      </c>
      <c r="K729" t="str">
        <f>LOOKUP(J729,Sheet2!$P$4:$Q$9)</f>
        <v>Unknown</v>
      </c>
      <c r="L729" s="1">
        <v>32.4</v>
      </c>
      <c r="M729" t="str">
        <f>LOOKUP(L729,Sheet2!$S$4:$T$8)</f>
        <v>31-35</v>
      </c>
      <c r="N729" s="1">
        <v>0.433</v>
      </c>
      <c r="O729" t="str">
        <f>LOOKUP(N729,Sheet2!$V$4:$W$7)</f>
        <v>0.4 - 0.69</v>
      </c>
      <c r="P729" s="1">
        <v>22</v>
      </c>
      <c r="Q729" t="str">
        <f>LOOKUP(P729,Sheet2!$Z$4:$AA$7)</f>
        <v>&lt;=25</v>
      </c>
      <c r="R729" s="1">
        <v>0</v>
      </c>
      <c r="S729" t="str">
        <f>IF(R729=1,"Positive","Negative")</f>
        <v>Negative</v>
      </c>
      <c r="T729" s="1" t="str">
        <f>IFERROR(VLOOKUP(A729,[1]diabetes_Recognition!$A:$B,2,FALSE),"Not Sampled")</f>
        <v>Not Sampled</v>
      </c>
      <c r="U729" t="str">
        <f>IF(T729=1,"Positive",(IF(T729=0,"Negative","Not Sampled")))</f>
        <v>Not Sampled</v>
      </c>
      <c r="V729" s="1" t="str">
        <f>IF(U729="Not Sampled","Not Sampled",IF(S729=U729,"Accurate Prediction","Inaccurate Prediction"))</f>
        <v>Not Sampled</v>
      </c>
    </row>
    <row r="730" spans="1:22" x14ac:dyDescent="0.25">
      <c r="A730" s="1">
        <v>728</v>
      </c>
      <c r="B730" s="1">
        <v>2</v>
      </c>
      <c r="C730" s="1">
        <f>LOOKUP(B730,Sheet2!$D$4:$E$9)</f>
        <v>2</v>
      </c>
      <c r="D730" s="1">
        <v>175</v>
      </c>
      <c r="E730" t="str">
        <f>LOOKUP(D730,Sheet2!$G$4:$H$9)</f>
        <v>151-175</v>
      </c>
      <c r="F730" s="1">
        <v>88</v>
      </c>
      <c r="G730" t="str">
        <f>LOOKUP(F730,Sheet2!$J$4:$K$8)</f>
        <v>80+</v>
      </c>
      <c r="H730" s="1">
        <v>0</v>
      </c>
      <c r="I730" t="str">
        <f>LOOKUP(H730,Sheet2!$M$4:$N$8)</f>
        <v>Unknown</v>
      </c>
      <c r="J730" s="1">
        <v>0</v>
      </c>
      <c r="K730" t="str">
        <f>LOOKUP(J730,Sheet2!$P$4:$Q$9)</f>
        <v>Unknown</v>
      </c>
      <c r="L730" s="1">
        <v>22.9</v>
      </c>
      <c r="M730" t="str">
        <f>LOOKUP(L730,Sheet2!$S$4:$T$8)</f>
        <v>1-25</v>
      </c>
      <c r="N730" s="1">
        <v>0.32600000000000001</v>
      </c>
      <c r="O730" t="str">
        <f>LOOKUP(N730,Sheet2!$V$4:$W$7)</f>
        <v>0.25 - 0.39</v>
      </c>
      <c r="P730" s="1">
        <v>22</v>
      </c>
      <c r="Q730" t="str">
        <f>LOOKUP(P730,Sheet2!$Z$4:$AA$7)</f>
        <v>&lt;=25</v>
      </c>
      <c r="R730" s="1">
        <v>0</v>
      </c>
      <c r="S730" t="str">
        <f>IF(R730=1,"Positive","Negative")</f>
        <v>Negative</v>
      </c>
      <c r="T730" s="1" t="str">
        <f>IFERROR(VLOOKUP(A730,[1]diabetes_Recognition!$A:$B,2,FALSE),"Not Sampled")</f>
        <v>Not Sampled</v>
      </c>
      <c r="U730" t="str">
        <f>IF(T730=1,"Positive",(IF(T730=0,"Negative","Not Sampled")))</f>
        <v>Not Sampled</v>
      </c>
      <c r="V730" s="1" t="str">
        <f>IF(U730="Not Sampled","Not Sampled",IF(S730=U730,"Accurate Prediction","Inaccurate Prediction"))</f>
        <v>Not Sampled</v>
      </c>
    </row>
    <row r="731" spans="1:22" x14ac:dyDescent="0.25">
      <c r="A731" s="1">
        <v>729</v>
      </c>
      <c r="B731" s="1">
        <v>2</v>
      </c>
      <c r="C731" s="1">
        <f>LOOKUP(B731,Sheet2!$D$4:$E$9)</f>
        <v>2</v>
      </c>
      <c r="D731" s="1">
        <v>92</v>
      </c>
      <c r="E731" t="str">
        <f>LOOKUP(D731,Sheet2!$G$4:$H$9)</f>
        <v>1-99</v>
      </c>
      <c r="F731" s="1">
        <v>52</v>
      </c>
      <c r="G731" t="str">
        <f>LOOKUP(F731,Sheet2!$J$4:$K$8)</f>
        <v>1-59</v>
      </c>
      <c r="H731" s="1">
        <v>0</v>
      </c>
      <c r="I731" t="str">
        <f>LOOKUP(H731,Sheet2!$M$4:$N$8)</f>
        <v>Unknown</v>
      </c>
      <c r="J731" s="1">
        <v>0</v>
      </c>
      <c r="K731" t="str">
        <f>LOOKUP(J731,Sheet2!$P$4:$Q$9)</f>
        <v>Unknown</v>
      </c>
      <c r="L731" s="1">
        <v>30.1</v>
      </c>
      <c r="M731" t="str">
        <f>LOOKUP(L731,Sheet2!$S$4:$T$8)</f>
        <v>26-30</v>
      </c>
      <c r="N731" s="1">
        <v>0.14099999999999999</v>
      </c>
      <c r="O731" t="str">
        <f>LOOKUP(N731,Sheet2!$V$4:$W$7)</f>
        <v>0.0 - 0.249</v>
      </c>
      <c r="P731" s="1">
        <v>22</v>
      </c>
      <c r="Q731" t="str">
        <f>LOOKUP(P731,Sheet2!$Z$4:$AA$7)</f>
        <v>&lt;=25</v>
      </c>
      <c r="R731" s="1">
        <v>0</v>
      </c>
      <c r="S731" t="str">
        <f>IF(R731=1,"Positive","Negative")</f>
        <v>Negative</v>
      </c>
      <c r="T731" s="1">
        <f>IFERROR(VLOOKUP(A731,[1]diabetes_Recognition!$A:$B,2,FALSE),"Not Sampled")</f>
        <v>0</v>
      </c>
      <c r="U731" t="str">
        <f>IF(T731=1,"Positive",(IF(T731=0,"Negative","Not Sampled")))</f>
        <v>Negative</v>
      </c>
      <c r="V731" s="1" t="str">
        <f>IF(U731="Not Sampled","Not Sampled",IF(S731=U731,"Accurate Prediction","Inaccurate Prediction"))</f>
        <v>Accurate Prediction</v>
      </c>
    </row>
    <row r="732" spans="1:22" x14ac:dyDescent="0.25">
      <c r="A732" s="1">
        <v>730</v>
      </c>
      <c r="B732" s="1">
        <v>3</v>
      </c>
      <c r="C732" s="1" t="str">
        <f>LOOKUP(B732,Sheet2!$D$4:$E$9)</f>
        <v>3-4</v>
      </c>
      <c r="D732" s="1">
        <v>130</v>
      </c>
      <c r="E732" t="str">
        <f>LOOKUP(D732,Sheet2!$G$4:$H$9)</f>
        <v>126-150</v>
      </c>
      <c r="F732" s="1">
        <v>78</v>
      </c>
      <c r="G732" t="str">
        <f>LOOKUP(F732,Sheet2!$J$4:$K$8)</f>
        <v>70-79</v>
      </c>
      <c r="H732" s="1">
        <v>23</v>
      </c>
      <c r="I732" t="str">
        <f>LOOKUP(H732,Sheet2!$M$4:$N$8)</f>
        <v>10-30</v>
      </c>
      <c r="J732" s="1">
        <v>79</v>
      </c>
      <c r="K732" t="str">
        <f>LOOKUP(J732,Sheet2!$P$4:$Q$9)</f>
        <v>1-99</v>
      </c>
      <c r="L732" s="1">
        <v>28.4</v>
      </c>
      <c r="M732" t="str">
        <f>LOOKUP(L732,Sheet2!$S$4:$T$8)</f>
        <v>26-30</v>
      </c>
      <c r="N732" s="1">
        <v>0.32300000000000001</v>
      </c>
      <c r="O732" t="str">
        <f>LOOKUP(N732,Sheet2!$V$4:$W$7)</f>
        <v>0.25 - 0.39</v>
      </c>
      <c r="P732" s="1">
        <v>34</v>
      </c>
      <c r="Q732" t="str">
        <f>LOOKUP(P732,Sheet2!$Z$4:$AA$7)</f>
        <v>26-35</v>
      </c>
      <c r="R732" s="1">
        <v>1</v>
      </c>
      <c r="S732" t="str">
        <f>IF(R732=1,"Positive","Negative")</f>
        <v>Positive</v>
      </c>
      <c r="T732" s="1">
        <f>IFERROR(VLOOKUP(A732,[1]diabetes_Recognition!$A:$B,2,FALSE),"Not Sampled")</f>
        <v>0</v>
      </c>
      <c r="U732" t="str">
        <f>IF(T732=1,"Positive",(IF(T732=0,"Negative","Not Sampled")))</f>
        <v>Negative</v>
      </c>
      <c r="V732" s="1" t="str">
        <f>IF(U732="Not Sampled","Not Sampled",IF(S732=U732,"Accurate Prediction","Inaccurate Prediction"))</f>
        <v>Inaccurate Prediction</v>
      </c>
    </row>
    <row r="733" spans="1:22" x14ac:dyDescent="0.25">
      <c r="A733" s="1">
        <v>731</v>
      </c>
      <c r="B733" s="1">
        <v>8</v>
      </c>
      <c r="C733" s="1" t="str">
        <f>LOOKUP(B733,Sheet2!$D$4:$E$9)</f>
        <v>8+</v>
      </c>
      <c r="D733" s="1">
        <v>120</v>
      </c>
      <c r="E733" t="str">
        <f>LOOKUP(D733,Sheet2!$G$4:$H$9)</f>
        <v>100-125</v>
      </c>
      <c r="F733" s="1">
        <v>86</v>
      </c>
      <c r="G733" t="str">
        <f>LOOKUP(F733,Sheet2!$J$4:$K$8)</f>
        <v>80+</v>
      </c>
      <c r="H733" s="1">
        <v>0</v>
      </c>
      <c r="I733" t="str">
        <f>LOOKUP(H733,Sheet2!$M$4:$N$8)</f>
        <v>Unknown</v>
      </c>
      <c r="J733" s="1">
        <v>0</v>
      </c>
      <c r="K733" t="str">
        <f>LOOKUP(J733,Sheet2!$P$4:$Q$9)</f>
        <v>Unknown</v>
      </c>
      <c r="L733" s="1">
        <v>28.4</v>
      </c>
      <c r="M733" t="str">
        <f>LOOKUP(L733,Sheet2!$S$4:$T$8)</f>
        <v>26-30</v>
      </c>
      <c r="N733" s="1">
        <v>0.25900000000000001</v>
      </c>
      <c r="O733" t="str">
        <f>LOOKUP(N733,Sheet2!$V$4:$W$7)</f>
        <v>0.25 - 0.39</v>
      </c>
      <c r="P733" s="1">
        <v>22</v>
      </c>
      <c r="Q733" t="str">
        <f>LOOKUP(P733,Sheet2!$Z$4:$AA$7)</f>
        <v>&lt;=25</v>
      </c>
      <c r="R733" s="1">
        <v>1</v>
      </c>
      <c r="S733" t="str">
        <f>IF(R733=1,"Positive","Negative")</f>
        <v>Positive</v>
      </c>
      <c r="T733" s="1" t="str">
        <f>IFERROR(VLOOKUP(A733,[1]diabetes_Recognition!$A:$B,2,FALSE),"Not Sampled")</f>
        <v>Not Sampled</v>
      </c>
      <c r="U733" t="str">
        <f>IF(T733=1,"Positive",(IF(T733=0,"Negative","Not Sampled")))</f>
        <v>Not Sampled</v>
      </c>
      <c r="V733" s="1" t="str">
        <f>IF(U733="Not Sampled","Not Sampled",IF(S733=U733,"Accurate Prediction","Inaccurate Prediction"))</f>
        <v>Not Sampled</v>
      </c>
    </row>
    <row r="734" spans="1:22" x14ac:dyDescent="0.25">
      <c r="A734" s="1">
        <v>732</v>
      </c>
      <c r="B734" s="1">
        <v>2</v>
      </c>
      <c r="C734" s="1">
        <f>LOOKUP(B734,Sheet2!$D$4:$E$9)</f>
        <v>2</v>
      </c>
      <c r="D734" s="1">
        <v>174</v>
      </c>
      <c r="E734" t="str">
        <f>LOOKUP(D734,Sheet2!$G$4:$H$9)</f>
        <v>151-175</v>
      </c>
      <c r="F734" s="1">
        <v>88</v>
      </c>
      <c r="G734" t="str">
        <f>LOOKUP(F734,Sheet2!$J$4:$K$8)</f>
        <v>80+</v>
      </c>
      <c r="H734" s="1">
        <v>37</v>
      </c>
      <c r="I734" t="str">
        <f>LOOKUP(H734,Sheet2!$M$4:$N$8)</f>
        <v>30-39</v>
      </c>
      <c r="J734" s="1">
        <v>120</v>
      </c>
      <c r="K734" t="str">
        <f>LOOKUP(J734,Sheet2!$P$4:$Q$9)</f>
        <v>100-199</v>
      </c>
      <c r="L734" s="1">
        <v>44.5</v>
      </c>
      <c r="M734" t="str">
        <f>LOOKUP(L734,Sheet2!$S$4:$T$8)</f>
        <v>36+</v>
      </c>
      <c r="N734" s="1">
        <v>0.64600000000000002</v>
      </c>
      <c r="O734" t="str">
        <f>LOOKUP(N734,Sheet2!$V$4:$W$7)</f>
        <v>0.4 - 0.69</v>
      </c>
      <c r="P734" s="1">
        <v>24</v>
      </c>
      <c r="Q734" t="str">
        <f>LOOKUP(P734,Sheet2!$Z$4:$AA$7)</f>
        <v>&lt;=25</v>
      </c>
      <c r="R734" s="1">
        <v>1</v>
      </c>
      <c r="S734" t="str">
        <f>IF(R734=1,"Positive","Negative")</f>
        <v>Positive</v>
      </c>
      <c r="T734" s="1" t="str">
        <f>IFERROR(VLOOKUP(A734,[1]diabetes_Recognition!$A:$B,2,FALSE),"Not Sampled")</f>
        <v>Not Sampled</v>
      </c>
      <c r="U734" t="str">
        <f>IF(T734=1,"Positive",(IF(T734=0,"Negative","Not Sampled")))</f>
        <v>Not Sampled</v>
      </c>
      <c r="V734" s="1" t="str">
        <f>IF(U734="Not Sampled","Not Sampled",IF(S734=U734,"Accurate Prediction","Inaccurate Prediction"))</f>
        <v>Not Sampled</v>
      </c>
    </row>
    <row r="735" spans="1:22" x14ac:dyDescent="0.25">
      <c r="A735" s="1">
        <v>733</v>
      </c>
      <c r="B735" s="1">
        <v>2</v>
      </c>
      <c r="C735" s="1">
        <f>LOOKUP(B735,Sheet2!$D$4:$E$9)</f>
        <v>2</v>
      </c>
      <c r="D735" s="1">
        <v>106</v>
      </c>
      <c r="E735" t="str">
        <f>LOOKUP(D735,Sheet2!$G$4:$H$9)</f>
        <v>100-125</v>
      </c>
      <c r="F735" s="1">
        <v>56</v>
      </c>
      <c r="G735" t="str">
        <f>LOOKUP(F735,Sheet2!$J$4:$K$8)</f>
        <v>1-59</v>
      </c>
      <c r="H735" s="1">
        <v>27</v>
      </c>
      <c r="I735" t="str">
        <f>LOOKUP(H735,Sheet2!$M$4:$N$8)</f>
        <v>10-30</v>
      </c>
      <c r="J735" s="1">
        <v>165</v>
      </c>
      <c r="K735" t="str">
        <f>LOOKUP(J735,Sheet2!$P$4:$Q$9)</f>
        <v>100-199</v>
      </c>
      <c r="L735" s="1">
        <v>29</v>
      </c>
      <c r="M735" t="str">
        <f>LOOKUP(L735,Sheet2!$S$4:$T$8)</f>
        <v>26-30</v>
      </c>
      <c r="N735" s="1">
        <v>0.42599999999999999</v>
      </c>
      <c r="O735" t="str">
        <f>LOOKUP(N735,Sheet2!$V$4:$W$7)</f>
        <v>0.4 - 0.69</v>
      </c>
      <c r="P735" s="1">
        <v>22</v>
      </c>
      <c r="Q735" t="str">
        <f>LOOKUP(P735,Sheet2!$Z$4:$AA$7)</f>
        <v>&lt;=25</v>
      </c>
      <c r="R735" s="1">
        <v>0</v>
      </c>
      <c r="S735" t="str">
        <f>IF(R735=1,"Positive","Negative")</f>
        <v>Negative</v>
      </c>
      <c r="T735" s="1" t="str">
        <f>IFERROR(VLOOKUP(A735,[1]diabetes_Recognition!$A:$B,2,FALSE),"Not Sampled")</f>
        <v>Not Sampled</v>
      </c>
      <c r="U735" t="str">
        <f>IF(T735=1,"Positive",(IF(T735=0,"Negative","Not Sampled")))</f>
        <v>Not Sampled</v>
      </c>
      <c r="V735" s="1" t="str">
        <f>IF(U735="Not Sampled","Not Sampled",IF(S735=U735,"Accurate Prediction","Inaccurate Prediction"))</f>
        <v>Not Sampled</v>
      </c>
    </row>
    <row r="736" spans="1:22" x14ac:dyDescent="0.25">
      <c r="A736" s="1">
        <v>734</v>
      </c>
      <c r="B736" s="1">
        <v>2</v>
      </c>
      <c r="C736" s="1">
        <f>LOOKUP(B736,Sheet2!$D$4:$E$9)</f>
        <v>2</v>
      </c>
      <c r="D736" s="1">
        <v>105</v>
      </c>
      <c r="E736" t="str">
        <f>LOOKUP(D736,Sheet2!$G$4:$H$9)</f>
        <v>100-125</v>
      </c>
      <c r="F736" s="1">
        <v>75</v>
      </c>
      <c r="G736" t="str">
        <f>LOOKUP(F736,Sheet2!$J$4:$K$8)</f>
        <v>70-79</v>
      </c>
      <c r="H736" s="1">
        <v>0</v>
      </c>
      <c r="I736" t="str">
        <f>LOOKUP(H736,Sheet2!$M$4:$N$8)</f>
        <v>Unknown</v>
      </c>
      <c r="J736" s="1">
        <v>0</v>
      </c>
      <c r="K736" t="str">
        <f>LOOKUP(J736,Sheet2!$P$4:$Q$9)</f>
        <v>Unknown</v>
      </c>
      <c r="L736" s="1">
        <v>23.3</v>
      </c>
      <c r="M736" t="str">
        <f>LOOKUP(L736,Sheet2!$S$4:$T$8)</f>
        <v>1-25</v>
      </c>
      <c r="N736" s="1">
        <v>0.56000000000000005</v>
      </c>
      <c r="O736" t="str">
        <f>LOOKUP(N736,Sheet2!$V$4:$W$7)</f>
        <v>0.4 - 0.69</v>
      </c>
      <c r="P736" s="1">
        <v>53</v>
      </c>
      <c r="Q736" t="str">
        <f>LOOKUP(P736,Sheet2!$Z$4:$AA$7)</f>
        <v>46+</v>
      </c>
      <c r="R736" s="1">
        <v>0</v>
      </c>
      <c r="S736" t="str">
        <f>IF(R736=1,"Positive","Negative")</f>
        <v>Negative</v>
      </c>
      <c r="T736" s="1" t="str">
        <f>IFERROR(VLOOKUP(A736,[1]diabetes_Recognition!$A:$B,2,FALSE),"Not Sampled")</f>
        <v>Not Sampled</v>
      </c>
      <c r="U736" t="str">
        <f>IF(T736=1,"Positive",(IF(T736=0,"Negative","Not Sampled")))</f>
        <v>Not Sampled</v>
      </c>
      <c r="V736" s="1" t="str">
        <f>IF(U736="Not Sampled","Not Sampled",IF(S736=U736,"Accurate Prediction","Inaccurate Prediction"))</f>
        <v>Not Sampled</v>
      </c>
    </row>
    <row r="737" spans="1:22" x14ac:dyDescent="0.25">
      <c r="A737" s="1">
        <v>735</v>
      </c>
      <c r="B737" s="1">
        <v>4</v>
      </c>
      <c r="C737" s="1" t="str">
        <f>LOOKUP(B737,Sheet2!$D$4:$E$9)</f>
        <v>3-4</v>
      </c>
      <c r="D737" s="1">
        <v>95</v>
      </c>
      <c r="E737" t="str">
        <f>LOOKUP(D737,Sheet2!$G$4:$H$9)</f>
        <v>1-99</v>
      </c>
      <c r="F737" s="1">
        <v>60</v>
      </c>
      <c r="G737" t="str">
        <f>LOOKUP(F737,Sheet2!$J$4:$K$8)</f>
        <v>60-69</v>
      </c>
      <c r="H737" s="1">
        <v>32</v>
      </c>
      <c r="I737" t="str">
        <f>LOOKUP(H737,Sheet2!$M$4:$N$8)</f>
        <v>30-39</v>
      </c>
      <c r="J737" s="1">
        <v>0</v>
      </c>
      <c r="K737" t="str">
        <f>LOOKUP(J737,Sheet2!$P$4:$Q$9)</f>
        <v>Unknown</v>
      </c>
      <c r="L737" s="1">
        <v>35.4</v>
      </c>
      <c r="M737" t="str">
        <f>LOOKUP(L737,Sheet2!$S$4:$T$8)</f>
        <v>31-35</v>
      </c>
      <c r="N737" s="1">
        <v>0.28399999999999997</v>
      </c>
      <c r="O737" t="str">
        <f>LOOKUP(N737,Sheet2!$V$4:$W$7)</f>
        <v>0.25 - 0.39</v>
      </c>
      <c r="P737" s="1">
        <v>28</v>
      </c>
      <c r="Q737" t="str">
        <f>LOOKUP(P737,Sheet2!$Z$4:$AA$7)</f>
        <v>26-35</v>
      </c>
      <c r="R737" s="1">
        <v>0</v>
      </c>
      <c r="S737" t="str">
        <f>IF(R737=1,"Positive","Negative")</f>
        <v>Negative</v>
      </c>
      <c r="T737" s="1" t="str">
        <f>IFERROR(VLOOKUP(A737,[1]diabetes_Recognition!$A:$B,2,FALSE),"Not Sampled")</f>
        <v>Not Sampled</v>
      </c>
      <c r="U737" t="str">
        <f>IF(T737=1,"Positive",(IF(T737=0,"Negative","Not Sampled")))</f>
        <v>Not Sampled</v>
      </c>
      <c r="V737" s="1" t="str">
        <f>IF(U737="Not Sampled","Not Sampled",IF(S737=U737,"Accurate Prediction","Inaccurate Prediction"))</f>
        <v>Not Sampled</v>
      </c>
    </row>
    <row r="738" spans="1:22" x14ac:dyDescent="0.25">
      <c r="A738" s="1">
        <v>736</v>
      </c>
      <c r="B738" s="1">
        <v>0</v>
      </c>
      <c r="C738" s="1">
        <f>LOOKUP(B738,Sheet2!$D$4:$E$9)</f>
        <v>0</v>
      </c>
      <c r="D738" s="1">
        <v>126</v>
      </c>
      <c r="E738" t="str">
        <f>LOOKUP(D738,Sheet2!$G$4:$H$9)</f>
        <v>126-150</v>
      </c>
      <c r="F738" s="1">
        <v>86</v>
      </c>
      <c r="G738" t="str">
        <f>LOOKUP(F738,Sheet2!$J$4:$K$8)</f>
        <v>80+</v>
      </c>
      <c r="H738" s="1">
        <v>27</v>
      </c>
      <c r="I738" t="str">
        <f>LOOKUP(H738,Sheet2!$M$4:$N$8)</f>
        <v>10-30</v>
      </c>
      <c r="J738" s="1">
        <v>120</v>
      </c>
      <c r="K738" t="str">
        <f>LOOKUP(J738,Sheet2!$P$4:$Q$9)</f>
        <v>100-199</v>
      </c>
      <c r="L738" s="1">
        <v>27.4</v>
      </c>
      <c r="M738" t="str">
        <f>LOOKUP(L738,Sheet2!$S$4:$T$8)</f>
        <v>26-30</v>
      </c>
      <c r="N738" s="1">
        <v>0.51500000000000001</v>
      </c>
      <c r="O738" t="str">
        <f>LOOKUP(N738,Sheet2!$V$4:$W$7)</f>
        <v>0.4 - 0.69</v>
      </c>
      <c r="P738" s="1">
        <v>21</v>
      </c>
      <c r="Q738" t="str">
        <f>LOOKUP(P738,Sheet2!$Z$4:$AA$7)</f>
        <v>&lt;=25</v>
      </c>
      <c r="R738" s="1">
        <v>0</v>
      </c>
      <c r="S738" t="str">
        <f>IF(R738=1,"Positive","Negative")</f>
        <v>Negative</v>
      </c>
      <c r="T738" s="1" t="str">
        <f>IFERROR(VLOOKUP(A738,[1]diabetes_Recognition!$A:$B,2,FALSE),"Not Sampled")</f>
        <v>Not Sampled</v>
      </c>
      <c r="U738" t="str">
        <f>IF(T738=1,"Positive",(IF(T738=0,"Negative","Not Sampled")))</f>
        <v>Not Sampled</v>
      </c>
      <c r="V738" s="1" t="str">
        <f>IF(U738="Not Sampled","Not Sampled",IF(S738=U738,"Accurate Prediction","Inaccurate Prediction"))</f>
        <v>Not Sampled</v>
      </c>
    </row>
    <row r="739" spans="1:22" x14ac:dyDescent="0.25">
      <c r="A739" s="1">
        <v>737</v>
      </c>
      <c r="B739" s="1">
        <v>8</v>
      </c>
      <c r="C739" s="1" t="str">
        <f>LOOKUP(B739,Sheet2!$D$4:$E$9)</f>
        <v>8+</v>
      </c>
      <c r="D739" s="1">
        <v>65</v>
      </c>
      <c r="E739" t="str">
        <f>LOOKUP(D739,Sheet2!$G$4:$H$9)</f>
        <v>1-99</v>
      </c>
      <c r="F739" s="1">
        <v>72</v>
      </c>
      <c r="G739" t="str">
        <f>LOOKUP(F739,Sheet2!$J$4:$K$8)</f>
        <v>70-79</v>
      </c>
      <c r="H739" s="1">
        <v>23</v>
      </c>
      <c r="I739" t="str">
        <f>LOOKUP(H739,Sheet2!$M$4:$N$8)</f>
        <v>10-30</v>
      </c>
      <c r="J739" s="1">
        <v>0</v>
      </c>
      <c r="K739" t="str">
        <f>LOOKUP(J739,Sheet2!$P$4:$Q$9)</f>
        <v>Unknown</v>
      </c>
      <c r="L739" s="1">
        <v>32</v>
      </c>
      <c r="M739" t="str">
        <f>LOOKUP(L739,Sheet2!$S$4:$T$8)</f>
        <v>31-35</v>
      </c>
      <c r="N739" s="1">
        <v>0.6</v>
      </c>
      <c r="O739" t="str">
        <f>LOOKUP(N739,Sheet2!$V$4:$W$7)</f>
        <v>0.4 - 0.69</v>
      </c>
      <c r="P739" s="1">
        <v>42</v>
      </c>
      <c r="Q739" t="str">
        <f>LOOKUP(P739,Sheet2!$Z$4:$AA$7)</f>
        <v>36-45</v>
      </c>
      <c r="R739" s="1">
        <v>0</v>
      </c>
      <c r="S739" t="str">
        <f>IF(R739=1,"Positive","Negative")</f>
        <v>Negative</v>
      </c>
      <c r="T739" s="1">
        <f>IFERROR(VLOOKUP(A739,[1]diabetes_Recognition!$A:$B,2,FALSE),"Not Sampled")</f>
        <v>0</v>
      </c>
      <c r="U739" t="str">
        <f>IF(T739=1,"Positive",(IF(T739=0,"Negative","Not Sampled")))</f>
        <v>Negative</v>
      </c>
      <c r="V739" s="1" t="str">
        <f>IF(U739="Not Sampled","Not Sampled",IF(S739=U739,"Accurate Prediction","Inaccurate Prediction"))</f>
        <v>Accurate Prediction</v>
      </c>
    </row>
    <row r="740" spans="1:22" x14ac:dyDescent="0.25">
      <c r="A740" s="1">
        <v>738</v>
      </c>
      <c r="B740" s="1">
        <v>2</v>
      </c>
      <c r="C740" s="1">
        <f>LOOKUP(B740,Sheet2!$D$4:$E$9)</f>
        <v>2</v>
      </c>
      <c r="D740" s="1">
        <v>99</v>
      </c>
      <c r="E740" t="str">
        <f>LOOKUP(D740,Sheet2!$G$4:$H$9)</f>
        <v>1-99</v>
      </c>
      <c r="F740" s="1">
        <v>60</v>
      </c>
      <c r="G740" t="str">
        <f>LOOKUP(F740,Sheet2!$J$4:$K$8)</f>
        <v>60-69</v>
      </c>
      <c r="H740" s="1">
        <v>17</v>
      </c>
      <c r="I740" t="str">
        <f>LOOKUP(H740,Sheet2!$M$4:$N$8)</f>
        <v>10-30</v>
      </c>
      <c r="J740" s="1">
        <v>160</v>
      </c>
      <c r="K740" t="str">
        <f>LOOKUP(J740,Sheet2!$P$4:$Q$9)</f>
        <v>100-199</v>
      </c>
      <c r="L740" s="1">
        <v>36.6</v>
      </c>
      <c r="M740" t="str">
        <f>LOOKUP(L740,Sheet2!$S$4:$T$8)</f>
        <v>36+</v>
      </c>
      <c r="N740" s="1">
        <v>0.45300000000000001</v>
      </c>
      <c r="O740" t="str">
        <f>LOOKUP(N740,Sheet2!$V$4:$W$7)</f>
        <v>0.4 - 0.69</v>
      </c>
      <c r="P740" s="1">
        <v>21</v>
      </c>
      <c r="Q740" t="str">
        <f>LOOKUP(P740,Sheet2!$Z$4:$AA$7)</f>
        <v>&lt;=25</v>
      </c>
      <c r="R740" s="1">
        <v>0</v>
      </c>
      <c r="S740" t="str">
        <f>IF(R740=1,"Positive","Negative")</f>
        <v>Negative</v>
      </c>
      <c r="T740" s="1" t="str">
        <f>IFERROR(VLOOKUP(A740,[1]diabetes_Recognition!$A:$B,2,FALSE),"Not Sampled")</f>
        <v>Not Sampled</v>
      </c>
      <c r="U740" t="str">
        <f>IF(T740=1,"Positive",(IF(T740=0,"Negative","Not Sampled")))</f>
        <v>Not Sampled</v>
      </c>
      <c r="V740" s="1" t="str">
        <f>IF(U740="Not Sampled","Not Sampled",IF(S740=U740,"Accurate Prediction","Inaccurate Prediction"))</f>
        <v>Not Sampled</v>
      </c>
    </row>
    <row r="741" spans="1:22" x14ac:dyDescent="0.25">
      <c r="A741" s="1">
        <v>739</v>
      </c>
      <c r="B741" s="1">
        <v>1</v>
      </c>
      <c r="C741" s="1">
        <f>LOOKUP(B741,Sheet2!$D$4:$E$9)</f>
        <v>1</v>
      </c>
      <c r="D741" s="1">
        <v>102</v>
      </c>
      <c r="E741" t="str">
        <f>LOOKUP(D741,Sheet2!$G$4:$H$9)</f>
        <v>100-125</v>
      </c>
      <c r="F741" s="1">
        <v>74</v>
      </c>
      <c r="G741" t="str">
        <f>LOOKUP(F741,Sheet2!$J$4:$K$8)</f>
        <v>70-79</v>
      </c>
      <c r="H741" s="1">
        <v>0</v>
      </c>
      <c r="I741" t="str">
        <f>LOOKUP(H741,Sheet2!$M$4:$N$8)</f>
        <v>Unknown</v>
      </c>
      <c r="J741" s="1">
        <v>0</v>
      </c>
      <c r="K741" t="str">
        <f>LOOKUP(J741,Sheet2!$P$4:$Q$9)</f>
        <v>Unknown</v>
      </c>
      <c r="L741" s="1">
        <v>39.5</v>
      </c>
      <c r="M741" t="str">
        <f>LOOKUP(L741,Sheet2!$S$4:$T$8)</f>
        <v>36+</v>
      </c>
      <c r="N741" s="1">
        <v>0.29299999999999998</v>
      </c>
      <c r="O741" t="str">
        <f>LOOKUP(N741,Sheet2!$V$4:$W$7)</f>
        <v>0.25 - 0.39</v>
      </c>
      <c r="P741" s="1">
        <v>42</v>
      </c>
      <c r="Q741" t="str">
        <f>LOOKUP(P741,Sheet2!$Z$4:$AA$7)</f>
        <v>36-45</v>
      </c>
      <c r="R741" s="1">
        <v>1</v>
      </c>
      <c r="S741" t="str">
        <f>IF(R741=1,"Positive","Negative")</f>
        <v>Positive</v>
      </c>
      <c r="T741" s="1" t="str">
        <f>IFERROR(VLOOKUP(A741,[1]diabetes_Recognition!$A:$B,2,FALSE),"Not Sampled")</f>
        <v>Not Sampled</v>
      </c>
      <c r="U741" t="str">
        <f>IF(T741=1,"Positive",(IF(T741=0,"Negative","Not Sampled")))</f>
        <v>Not Sampled</v>
      </c>
      <c r="V741" s="1" t="str">
        <f>IF(U741="Not Sampled","Not Sampled",IF(S741=U741,"Accurate Prediction","Inaccurate Prediction"))</f>
        <v>Not Sampled</v>
      </c>
    </row>
    <row r="742" spans="1:22" x14ac:dyDescent="0.25">
      <c r="A742" s="1">
        <v>740</v>
      </c>
      <c r="B742" s="1">
        <v>11</v>
      </c>
      <c r="C742" s="1" t="str">
        <f>LOOKUP(B742,Sheet2!$D$4:$E$9)</f>
        <v>8+</v>
      </c>
      <c r="D742" s="1">
        <v>120</v>
      </c>
      <c r="E742" t="str">
        <f>LOOKUP(D742,Sheet2!$G$4:$H$9)</f>
        <v>100-125</v>
      </c>
      <c r="F742" s="1">
        <v>80</v>
      </c>
      <c r="G742" t="str">
        <f>LOOKUP(F742,Sheet2!$J$4:$K$8)</f>
        <v>80+</v>
      </c>
      <c r="H742" s="1">
        <v>37</v>
      </c>
      <c r="I742" t="str">
        <f>LOOKUP(H742,Sheet2!$M$4:$N$8)</f>
        <v>30-39</v>
      </c>
      <c r="J742" s="1">
        <v>150</v>
      </c>
      <c r="K742" t="str">
        <f>LOOKUP(J742,Sheet2!$P$4:$Q$9)</f>
        <v>100-199</v>
      </c>
      <c r="L742" s="1">
        <v>42.3</v>
      </c>
      <c r="M742" t="str">
        <f>LOOKUP(L742,Sheet2!$S$4:$T$8)</f>
        <v>36+</v>
      </c>
      <c r="N742" s="1">
        <v>0.78500000000000003</v>
      </c>
      <c r="O742" t="str">
        <f>LOOKUP(N742,Sheet2!$V$4:$W$7)</f>
        <v>0.7+</v>
      </c>
      <c r="P742" s="1">
        <v>48</v>
      </c>
      <c r="Q742" t="str">
        <f>LOOKUP(P742,Sheet2!$Z$4:$AA$7)</f>
        <v>46+</v>
      </c>
      <c r="R742" s="1">
        <v>1</v>
      </c>
      <c r="S742" t="str">
        <f>IF(R742=1,"Positive","Negative")</f>
        <v>Positive</v>
      </c>
      <c r="T742" s="1" t="str">
        <f>IFERROR(VLOOKUP(A742,[1]diabetes_Recognition!$A:$B,2,FALSE),"Not Sampled")</f>
        <v>Not Sampled</v>
      </c>
      <c r="U742" t="str">
        <f>IF(T742=1,"Positive",(IF(T742=0,"Negative","Not Sampled")))</f>
        <v>Not Sampled</v>
      </c>
      <c r="V742" s="1" t="str">
        <f>IF(U742="Not Sampled","Not Sampled",IF(S742=U742,"Accurate Prediction","Inaccurate Prediction"))</f>
        <v>Not Sampled</v>
      </c>
    </row>
    <row r="743" spans="1:22" x14ac:dyDescent="0.25">
      <c r="A743" s="1">
        <v>741</v>
      </c>
      <c r="B743" s="1">
        <v>3</v>
      </c>
      <c r="C743" s="1" t="str">
        <f>LOOKUP(B743,Sheet2!$D$4:$E$9)</f>
        <v>3-4</v>
      </c>
      <c r="D743" s="1">
        <v>102</v>
      </c>
      <c r="E743" t="str">
        <f>LOOKUP(D743,Sheet2!$G$4:$H$9)</f>
        <v>100-125</v>
      </c>
      <c r="F743" s="1">
        <v>44</v>
      </c>
      <c r="G743" t="str">
        <f>LOOKUP(F743,Sheet2!$J$4:$K$8)</f>
        <v>1-59</v>
      </c>
      <c r="H743" s="1">
        <v>20</v>
      </c>
      <c r="I743" t="str">
        <f>LOOKUP(H743,Sheet2!$M$4:$N$8)</f>
        <v>10-30</v>
      </c>
      <c r="J743" s="1">
        <v>94</v>
      </c>
      <c r="K743" t="str">
        <f>LOOKUP(J743,Sheet2!$P$4:$Q$9)</f>
        <v>1-99</v>
      </c>
      <c r="L743" s="1">
        <v>30.8</v>
      </c>
      <c r="M743" t="str">
        <f>LOOKUP(L743,Sheet2!$S$4:$T$8)</f>
        <v>26-30</v>
      </c>
      <c r="N743" s="1">
        <v>0.4</v>
      </c>
      <c r="O743" t="str">
        <f>LOOKUP(N743,Sheet2!$V$4:$W$7)</f>
        <v>0.4 - 0.69</v>
      </c>
      <c r="P743" s="1">
        <v>26</v>
      </c>
      <c r="Q743" t="str">
        <f>LOOKUP(P743,Sheet2!$Z$4:$AA$7)</f>
        <v>26-35</v>
      </c>
      <c r="R743" s="1">
        <v>0</v>
      </c>
      <c r="S743" t="str">
        <f>IF(R743=1,"Positive","Negative")</f>
        <v>Negative</v>
      </c>
      <c r="T743" s="1" t="str">
        <f>IFERROR(VLOOKUP(A743,[1]diabetes_Recognition!$A:$B,2,FALSE),"Not Sampled")</f>
        <v>Not Sampled</v>
      </c>
      <c r="U743" t="str">
        <f>IF(T743=1,"Positive",(IF(T743=0,"Negative","Not Sampled")))</f>
        <v>Not Sampled</v>
      </c>
      <c r="V743" s="1" t="str">
        <f>IF(U743="Not Sampled","Not Sampled",IF(S743=U743,"Accurate Prediction","Inaccurate Prediction"))</f>
        <v>Not Sampled</v>
      </c>
    </row>
    <row r="744" spans="1:22" x14ac:dyDescent="0.25">
      <c r="A744" s="1">
        <v>742</v>
      </c>
      <c r="B744" s="1">
        <v>1</v>
      </c>
      <c r="C744" s="1">
        <f>LOOKUP(B744,Sheet2!$D$4:$E$9)</f>
        <v>1</v>
      </c>
      <c r="D744" s="1">
        <v>109</v>
      </c>
      <c r="E744" t="str">
        <f>LOOKUP(D744,Sheet2!$G$4:$H$9)</f>
        <v>100-125</v>
      </c>
      <c r="F744" s="1">
        <v>58</v>
      </c>
      <c r="G744" t="str">
        <f>LOOKUP(F744,Sheet2!$J$4:$K$8)</f>
        <v>1-59</v>
      </c>
      <c r="H744" s="1">
        <v>18</v>
      </c>
      <c r="I744" t="str">
        <f>LOOKUP(H744,Sheet2!$M$4:$N$8)</f>
        <v>10-30</v>
      </c>
      <c r="J744" s="1">
        <v>116</v>
      </c>
      <c r="K744" t="str">
        <f>LOOKUP(J744,Sheet2!$P$4:$Q$9)</f>
        <v>100-199</v>
      </c>
      <c r="L744" s="1">
        <v>28.5</v>
      </c>
      <c r="M744" t="str">
        <f>LOOKUP(L744,Sheet2!$S$4:$T$8)</f>
        <v>26-30</v>
      </c>
      <c r="N744" s="1">
        <v>0.219</v>
      </c>
      <c r="O744" t="str">
        <f>LOOKUP(N744,Sheet2!$V$4:$W$7)</f>
        <v>0.0 - 0.249</v>
      </c>
      <c r="P744" s="1">
        <v>22</v>
      </c>
      <c r="Q744" t="str">
        <f>LOOKUP(P744,Sheet2!$Z$4:$AA$7)</f>
        <v>&lt;=25</v>
      </c>
      <c r="R744" s="1">
        <v>0</v>
      </c>
      <c r="S744" t="str">
        <f>IF(R744=1,"Positive","Negative")</f>
        <v>Negative</v>
      </c>
      <c r="T744" s="1" t="str">
        <f>IFERROR(VLOOKUP(A744,[1]diabetes_Recognition!$A:$B,2,FALSE),"Not Sampled")</f>
        <v>Not Sampled</v>
      </c>
      <c r="U744" t="str">
        <f>IF(T744=1,"Positive",(IF(T744=0,"Negative","Not Sampled")))</f>
        <v>Not Sampled</v>
      </c>
      <c r="V744" s="1" t="str">
        <f>IF(U744="Not Sampled","Not Sampled",IF(S744=U744,"Accurate Prediction","Inaccurate Prediction"))</f>
        <v>Not Sampled</v>
      </c>
    </row>
    <row r="745" spans="1:22" x14ac:dyDescent="0.25">
      <c r="A745" s="1">
        <v>743</v>
      </c>
      <c r="B745" s="1">
        <v>9</v>
      </c>
      <c r="C745" s="1" t="str">
        <f>LOOKUP(B745,Sheet2!$D$4:$E$9)</f>
        <v>8+</v>
      </c>
      <c r="D745" s="1">
        <v>140</v>
      </c>
      <c r="E745" t="str">
        <f>LOOKUP(D745,Sheet2!$G$4:$H$9)</f>
        <v>126-150</v>
      </c>
      <c r="F745" s="1">
        <v>94</v>
      </c>
      <c r="G745" t="str">
        <f>LOOKUP(F745,Sheet2!$J$4:$K$8)</f>
        <v>80+</v>
      </c>
      <c r="H745" s="1">
        <v>0</v>
      </c>
      <c r="I745" t="str">
        <f>LOOKUP(H745,Sheet2!$M$4:$N$8)</f>
        <v>Unknown</v>
      </c>
      <c r="J745" s="1">
        <v>0</v>
      </c>
      <c r="K745" t="str">
        <f>LOOKUP(J745,Sheet2!$P$4:$Q$9)</f>
        <v>Unknown</v>
      </c>
      <c r="L745" s="1">
        <v>32.700000000000003</v>
      </c>
      <c r="M745" t="str">
        <f>LOOKUP(L745,Sheet2!$S$4:$T$8)</f>
        <v>31-35</v>
      </c>
      <c r="N745" s="1">
        <v>0.73399999999999999</v>
      </c>
      <c r="O745" t="str">
        <f>LOOKUP(N745,Sheet2!$V$4:$W$7)</f>
        <v>0.7+</v>
      </c>
      <c r="P745" s="1">
        <v>45</v>
      </c>
      <c r="Q745" t="str">
        <f>LOOKUP(P745,Sheet2!$Z$4:$AA$7)</f>
        <v>36-45</v>
      </c>
      <c r="R745" s="1">
        <v>1</v>
      </c>
      <c r="S745" t="str">
        <f>IF(R745=1,"Positive","Negative")</f>
        <v>Positive</v>
      </c>
      <c r="T745" s="1" t="str">
        <f>IFERROR(VLOOKUP(A745,[1]diabetes_Recognition!$A:$B,2,FALSE),"Not Sampled")</f>
        <v>Not Sampled</v>
      </c>
      <c r="U745" t="str">
        <f>IF(T745=1,"Positive",(IF(T745=0,"Negative","Not Sampled")))</f>
        <v>Not Sampled</v>
      </c>
      <c r="V745" s="1" t="str">
        <f>IF(U745="Not Sampled","Not Sampled",IF(S745=U745,"Accurate Prediction","Inaccurate Prediction"))</f>
        <v>Not Sampled</v>
      </c>
    </row>
    <row r="746" spans="1:22" x14ac:dyDescent="0.25">
      <c r="A746" s="1">
        <v>744</v>
      </c>
      <c r="B746" s="1">
        <v>13</v>
      </c>
      <c r="C746" s="1" t="str">
        <f>LOOKUP(B746,Sheet2!$D$4:$E$9)</f>
        <v>8+</v>
      </c>
      <c r="D746" s="1">
        <v>153</v>
      </c>
      <c r="E746" t="str">
        <f>LOOKUP(D746,Sheet2!$G$4:$H$9)</f>
        <v>151-175</v>
      </c>
      <c r="F746" s="1">
        <v>88</v>
      </c>
      <c r="G746" t="str">
        <f>LOOKUP(F746,Sheet2!$J$4:$K$8)</f>
        <v>80+</v>
      </c>
      <c r="H746" s="1">
        <v>37</v>
      </c>
      <c r="I746" t="str">
        <f>LOOKUP(H746,Sheet2!$M$4:$N$8)</f>
        <v>30-39</v>
      </c>
      <c r="J746" s="1">
        <v>140</v>
      </c>
      <c r="K746" t="str">
        <f>LOOKUP(J746,Sheet2!$P$4:$Q$9)</f>
        <v>100-199</v>
      </c>
      <c r="L746" s="1">
        <v>40.6</v>
      </c>
      <c r="M746" t="str">
        <f>LOOKUP(L746,Sheet2!$S$4:$T$8)</f>
        <v>36+</v>
      </c>
      <c r="N746" s="1">
        <v>1.1739999999999999</v>
      </c>
      <c r="O746" t="str">
        <f>LOOKUP(N746,Sheet2!$V$4:$W$7)</f>
        <v>0.7+</v>
      </c>
      <c r="P746" s="1">
        <v>39</v>
      </c>
      <c r="Q746" t="str">
        <f>LOOKUP(P746,Sheet2!$Z$4:$AA$7)</f>
        <v>36-45</v>
      </c>
      <c r="R746" s="1">
        <v>0</v>
      </c>
      <c r="S746" t="str">
        <f>IF(R746=1,"Positive","Negative")</f>
        <v>Negative</v>
      </c>
      <c r="T746" s="1" t="str">
        <f>IFERROR(VLOOKUP(A746,[1]diabetes_Recognition!$A:$B,2,FALSE),"Not Sampled")</f>
        <v>Not Sampled</v>
      </c>
      <c r="U746" t="str">
        <f>IF(T746=1,"Positive",(IF(T746=0,"Negative","Not Sampled")))</f>
        <v>Not Sampled</v>
      </c>
      <c r="V746" s="1" t="str">
        <f>IF(U746="Not Sampled","Not Sampled",IF(S746=U746,"Accurate Prediction","Inaccurate Prediction"))</f>
        <v>Not Sampled</v>
      </c>
    </row>
    <row r="747" spans="1:22" x14ac:dyDescent="0.25">
      <c r="A747" s="1">
        <v>745</v>
      </c>
      <c r="B747" s="1">
        <v>12</v>
      </c>
      <c r="C747" s="1" t="str">
        <f>LOOKUP(B747,Sheet2!$D$4:$E$9)</f>
        <v>8+</v>
      </c>
      <c r="D747" s="1">
        <v>100</v>
      </c>
      <c r="E747" t="str">
        <f>LOOKUP(D747,Sheet2!$G$4:$H$9)</f>
        <v>100-125</v>
      </c>
      <c r="F747" s="1">
        <v>84</v>
      </c>
      <c r="G747" t="str">
        <f>LOOKUP(F747,Sheet2!$J$4:$K$8)</f>
        <v>80+</v>
      </c>
      <c r="H747" s="1">
        <v>33</v>
      </c>
      <c r="I747" t="str">
        <f>LOOKUP(H747,Sheet2!$M$4:$N$8)</f>
        <v>30-39</v>
      </c>
      <c r="J747" s="1">
        <v>105</v>
      </c>
      <c r="K747" t="str">
        <f>LOOKUP(J747,Sheet2!$P$4:$Q$9)</f>
        <v>100-199</v>
      </c>
      <c r="L747" s="1">
        <v>30</v>
      </c>
      <c r="M747" t="str">
        <f>LOOKUP(L747,Sheet2!$S$4:$T$8)</f>
        <v>26-30</v>
      </c>
      <c r="N747" s="1">
        <v>0.48799999999999999</v>
      </c>
      <c r="O747" t="str">
        <f>LOOKUP(N747,Sheet2!$V$4:$W$7)</f>
        <v>0.4 - 0.69</v>
      </c>
      <c r="P747" s="1">
        <v>46</v>
      </c>
      <c r="Q747" t="str">
        <f>LOOKUP(P747,Sheet2!$Z$4:$AA$7)</f>
        <v>46+</v>
      </c>
      <c r="R747" s="1">
        <v>0</v>
      </c>
      <c r="S747" t="str">
        <f>IF(R747=1,"Positive","Negative")</f>
        <v>Negative</v>
      </c>
      <c r="T747" s="1">
        <f>IFERROR(VLOOKUP(A747,[1]diabetes_Recognition!$A:$B,2,FALSE),"Not Sampled")</f>
        <v>0</v>
      </c>
      <c r="U747" t="str">
        <f>IF(T747=1,"Positive",(IF(T747=0,"Negative","Not Sampled")))</f>
        <v>Negative</v>
      </c>
      <c r="V747" s="1" t="str">
        <f>IF(U747="Not Sampled","Not Sampled",IF(S747=U747,"Accurate Prediction","Inaccurate Prediction"))</f>
        <v>Accurate Prediction</v>
      </c>
    </row>
    <row r="748" spans="1:22" x14ac:dyDescent="0.25">
      <c r="A748" s="1">
        <v>746</v>
      </c>
      <c r="B748" s="1">
        <v>1</v>
      </c>
      <c r="C748" s="1">
        <f>LOOKUP(B748,Sheet2!$D$4:$E$9)</f>
        <v>1</v>
      </c>
      <c r="D748" s="1">
        <v>147</v>
      </c>
      <c r="E748" t="str">
        <f>LOOKUP(D748,Sheet2!$G$4:$H$9)</f>
        <v>126-150</v>
      </c>
      <c r="F748" s="1">
        <v>94</v>
      </c>
      <c r="G748" t="str">
        <f>LOOKUP(F748,Sheet2!$J$4:$K$8)</f>
        <v>80+</v>
      </c>
      <c r="H748" s="1">
        <v>41</v>
      </c>
      <c r="I748" t="str">
        <f>LOOKUP(H748,Sheet2!$M$4:$N$8)</f>
        <v>40+</v>
      </c>
      <c r="J748" s="1">
        <v>0</v>
      </c>
      <c r="K748" t="str">
        <f>LOOKUP(J748,Sheet2!$P$4:$Q$9)</f>
        <v>Unknown</v>
      </c>
      <c r="L748" s="1">
        <v>49.3</v>
      </c>
      <c r="M748" t="str">
        <f>LOOKUP(L748,Sheet2!$S$4:$T$8)</f>
        <v>36+</v>
      </c>
      <c r="N748" s="1">
        <v>0.35799999999999998</v>
      </c>
      <c r="O748" t="str">
        <f>LOOKUP(N748,Sheet2!$V$4:$W$7)</f>
        <v>0.25 - 0.39</v>
      </c>
      <c r="P748" s="1">
        <v>27</v>
      </c>
      <c r="Q748" t="str">
        <f>LOOKUP(P748,Sheet2!$Z$4:$AA$7)</f>
        <v>26-35</v>
      </c>
      <c r="R748" s="1">
        <v>1</v>
      </c>
      <c r="S748" t="str">
        <f>IF(R748=1,"Positive","Negative")</f>
        <v>Positive</v>
      </c>
      <c r="T748" s="1" t="str">
        <f>IFERROR(VLOOKUP(A748,[1]diabetes_Recognition!$A:$B,2,FALSE),"Not Sampled")</f>
        <v>Not Sampled</v>
      </c>
      <c r="U748" t="str">
        <f>IF(T748=1,"Positive",(IF(T748=0,"Negative","Not Sampled")))</f>
        <v>Not Sampled</v>
      </c>
      <c r="V748" s="1" t="str">
        <f>IF(U748="Not Sampled","Not Sampled",IF(S748=U748,"Accurate Prediction","Inaccurate Prediction"))</f>
        <v>Not Sampled</v>
      </c>
    </row>
    <row r="749" spans="1:22" x14ac:dyDescent="0.25">
      <c r="A749" s="1">
        <v>747</v>
      </c>
      <c r="B749" s="1">
        <v>1</v>
      </c>
      <c r="C749" s="1">
        <f>LOOKUP(B749,Sheet2!$D$4:$E$9)</f>
        <v>1</v>
      </c>
      <c r="D749" s="1">
        <v>81</v>
      </c>
      <c r="E749" t="str">
        <f>LOOKUP(D749,Sheet2!$G$4:$H$9)</f>
        <v>1-99</v>
      </c>
      <c r="F749" s="1">
        <v>74</v>
      </c>
      <c r="G749" t="str">
        <f>LOOKUP(F749,Sheet2!$J$4:$K$8)</f>
        <v>70-79</v>
      </c>
      <c r="H749" s="1">
        <v>41</v>
      </c>
      <c r="I749" t="str">
        <f>LOOKUP(H749,Sheet2!$M$4:$N$8)</f>
        <v>40+</v>
      </c>
      <c r="J749" s="1">
        <v>57</v>
      </c>
      <c r="K749" t="str">
        <f>LOOKUP(J749,Sheet2!$P$4:$Q$9)</f>
        <v>1-99</v>
      </c>
      <c r="L749" s="1">
        <v>46.3</v>
      </c>
      <c r="M749" t="str">
        <f>LOOKUP(L749,Sheet2!$S$4:$T$8)</f>
        <v>36+</v>
      </c>
      <c r="N749" s="1">
        <v>1.0960000000000001</v>
      </c>
      <c r="O749" t="str">
        <f>LOOKUP(N749,Sheet2!$V$4:$W$7)</f>
        <v>0.7+</v>
      </c>
      <c r="P749" s="1">
        <v>32</v>
      </c>
      <c r="Q749" t="str">
        <f>LOOKUP(P749,Sheet2!$Z$4:$AA$7)</f>
        <v>26-35</v>
      </c>
      <c r="R749" s="1">
        <v>0</v>
      </c>
      <c r="S749" t="str">
        <f>IF(R749=1,"Positive","Negative")</f>
        <v>Negative</v>
      </c>
      <c r="T749" s="1" t="str">
        <f>IFERROR(VLOOKUP(A749,[1]diabetes_Recognition!$A:$B,2,FALSE),"Not Sampled")</f>
        <v>Not Sampled</v>
      </c>
      <c r="U749" t="str">
        <f>IF(T749=1,"Positive",(IF(T749=0,"Negative","Not Sampled")))</f>
        <v>Not Sampled</v>
      </c>
      <c r="V749" s="1" t="str">
        <f>IF(U749="Not Sampled","Not Sampled",IF(S749=U749,"Accurate Prediction","Inaccurate Prediction"))</f>
        <v>Not Sampled</v>
      </c>
    </row>
    <row r="750" spans="1:22" x14ac:dyDescent="0.25">
      <c r="A750" s="1">
        <v>748</v>
      </c>
      <c r="B750" s="1">
        <v>3</v>
      </c>
      <c r="C750" s="1" t="str">
        <f>LOOKUP(B750,Sheet2!$D$4:$E$9)</f>
        <v>3-4</v>
      </c>
      <c r="D750" s="1">
        <v>187</v>
      </c>
      <c r="E750" t="str">
        <f>LOOKUP(D750,Sheet2!$G$4:$H$9)</f>
        <v>176-200</v>
      </c>
      <c r="F750" s="1">
        <v>70</v>
      </c>
      <c r="G750" t="str">
        <f>LOOKUP(F750,Sheet2!$J$4:$K$8)</f>
        <v>70-79</v>
      </c>
      <c r="H750" s="1">
        <v>22</v>
      </c>
      <c r="I750" t="str">
        <f>LOOKUP(H750,Sheet2!$M$4:$N$8)</f>
        <v>10-30</v>
      </c>
      <c r="J750" s="1">
        <v>200</v>
      </c>
      <c r="K750" t="str">
        <f>LOOKUP(J750,Sheet2!$P$4:$Q$9)</f>
        <v>200-399</v>
      </c>
      <c r="L750" s="1">
        <v>36.4</v>
      </c>
      <c r="M750" t="str">
        <f>LOOKUP(L750,Sheet2!$S$4:$T$8)</f>
        <v>36+</v>
      </c>
      <c r="N750" s="1">
        <v>0.40799999999999997</v>
      </c>
      <c r="O750" t="str">
        <f>LOOKUP(N750,Sheet2!$V$4:$W$7)</f>
        <v>0.4 - 0.69</v>
      </c>
      <c r="P750" s="1">
        <v>36</v>
      </c>
      <c r="Q750" t="str">
        <f>LOOKUP(P750,Sheet2!$Z$4:$AA$7)</f>
        <v>36-45</v>
      </c>
      <c r="R750" s="1">
        <v>1</v>
      </c>
      <c r="S750" t="str">
        <f>IF(R750=1,"Positive","Negative")</f>
        <v>Positive</v>
      </c>
      <c r="T750" s="1">
        <f>IFERROR(VLOOKUP(A750,[1]diabetes_Recognition!$A:$B,2,FALSE),"Not Sampled")</f>
        <v>1</v>
      </c>
      <c r="U750" t="str">
        <f>IF(T750=1,"Positive",(IF(T750=0,"Negative","Not Sampled")))</f>
        <v>Positive</v>
      </c>
      <c r="V750" s="1" t="str">
        <f>IF(U750="Not Sampled","Not Sampled",IF(S750=U750,"Accurate Prediction","Inaccurate Prediction"))</f>
        <v>Accurate Prediction</v>
      </c>
    </row>
    <row r="751" spans="1:22" x14ac:dyDescent="0.25">
      <c r="A751" s="1">
        <v>749</v>
      </c>
      <c r="B751" s="1">
        <v>6</v>
      </c>
      <c r="C751" s="1" t="str">
        <f>LOOKUP(B751,Sheet2!$D$4:$E$9)</f>
        <v>5-7</v>
      </c>
      <c r="D751" s="1">
        <v>162</v>
      </c>
      <c r="E751" t="str">
        <f>LOOKUP(D751,Sheet2!$G$4:$H$9)</f>
        <v>151-175</v>
      </c>
      <c r="F751" s="1">
        <v>62</v>
      </c>
      <c r="G751" t="str">
        <f>LOOKUP(F751,Sheet2!$J$4:$K$8)</f>
        <v>60-69</v>
      </c>
      <c r="H751" s="1">
        <v>0</v>
      </c>
      <c r="I751" t="str">
        <f>LOOKUP(H751,Sheet2!$M$4:$N$8)</f>
        <v>Unknown</v>
      </c>
      <c r="J751" s="1">
        <v>0</v>
      </c>
      <c r="K751" t="str">
        <f>LOOKUP(J751,Sheet2!$P$4:$Q$9)</f>
        <v>Unknown</v>
      </c>
      <c r="L751" s="1">
        <v>24.3</v>
      </c>
      <c r="M751" t="str">
        <f>LOOKUP(L751,Sheet2!$S$4:$T$8)</f>
        <v>1-25</v>
      </c>
      <c r="N751" s="1">
        <v>0.17799999999999999</v>
      </c>
      <c r="O751" t="str">
        <f>LOOKUP(N751,Sheet2!$V$4:$W$7)</f>
        <v>0.0 - 0.249</v>
      </c>
      <c r="P751" s="1">
        <v>50</v>
      </c>
      <c r="Q751" t="str">
        <f>LOOKUP(P751,Sheet2!$Z$4:$AA$7)</f>
        <v>46+</v>
      </c>
      <c r="R751" s="1">
        <v>1</v>
      </c>
      <c r="S751" t="str">
        <f>IF(R751=1,"Positive","Negative")</f>
        <v>Positive</v>
      </c>
      <c r="T751" s="1" t="str">
        <f>IFERROR(VLOOKUP(A751,[1]diabetes_Recognition!$A:$B,2,FALSE),"Not Sampled")</f>
        <v>Not Sampled</v>
      </c>
      <c r="U751" t="str">
        <f>IF(T751=1,"Positive",(IF(T751=0,"Negative","Not Sampled")))</f>
        <v>Not Sampled</v>
      </c>
      <c r="V751" s="1" t="str">
        <f>IF(U751="Not Sampled","Not Sampled",IF(S751=U751,"Accurate Prediction","Inaccurate Prediction"))</f>
        <v>Not Sampled</v>
      </c>
    </row>
    <row r="752" spans="1:22" x14ac:dyDescent="0.25">
      <c r="A752" s="1">
        <v>750</v>
      </c>
      <c r="B752" s="1">
        <v>4</v>
      </c>
      <c r="C752" s="1" t="str">
        <f>LOOKUP(B752,Sheet2!$D$4:$E$9)</f>
        <v>3-4</v>
      </c>
      <c r="D752" s="1">
        <v>136</v>
      </c>
      <c r="E752" t="str">
        <f>LOOKUP(D752,Sheet2!$G$4:$H$9)</f>
        <v>126-150</v>
      </c>
      <c r="F752" s="1">
        <v>70</v>
      </c>
      <c r="G752" t="str">
        <f>LOOKUP(F752,Sheet2!$J$4:$K$8)</f>
        <v>70-79</v>
      </c>
      <c r="H752" s="1">
        <v>0</v>
      </c>
      <c r="I752" t="str">
        <f>LOOKUP(H752,Sheet2!$M$4:$N$8)</f>
        <v>Unknown</v>
      </c>
      <c r="J752" s="1">
        <v>0</v>
      </c>
      <c r="K752" t="str">
        <f>LOOKUP(J752,Sheet2!$P$4:$Q$9)</f>
        <v>Unknown</v>
      </c>
      <c r="L752" s="1">
        <v>31.2</v>
      </c>
      <c r="M752" t="str">
        <f>LOOKUP(L752,Sheet2!$S$4:$T$8)</f>
        <v>31-35</v>
      </c>
      <c r="N752" s="1">
        <v>1.1819999999999999</v>
      </c>
      <c r="O752" t="str">
        <f>LOOKUP(N752,Sheet2!$V$4:$W$7)</f>
        <v>0.7+</v>
      </c>
      <c r="P752" s="1">
        <v>22</v>
      </c>
      <c r="Q752" t="str">
        <f>LOOKUP(P752,Sheet2!$Z$4:$AA$7)</f>
        <v>&lt;=25</v>
      </c>
      <c r="R752" s="1">
        <v>1</v>
      </c>
      <c r="S752" t="str">
        <f>IF(R752=1,"Positive","Negative")</f>
        <v>Positive</v>
      </c>
      <c r="T752" s="1" t="str">
        <f>IFERROR(VLOOKUP(A752,[1]diabetes_Recognition!$A:$B,2,FALSE),"Not Sampled")</f>
        <v>Not Sampled</v>
      </c>
      <c r="U752" t="str">
        <f>IF(T752=1,"Positive",(IF(T752=0,"Negative","Not Sampled")))</f>
        <v>Not Sampled</v>
      </c>
      <c r="V752" s="1" t="str">
        <f>IF(U752="Not Sampled","Not Sampled",IF(S752=U752,"Accurate Prediction","Inaccurate Prediction"))</f>
        <v>Not Sampled</v>
      </c>
    </row>
    <row r="753" spans="1:22" x14ac:dyDescent="0.25">
      <c r="A753" s="1">
        <v>751</v>
      </c>
      <c r="B753" s="1">
        <v>1</v>
      </c>
      <c r="C753" s="1">
        <f>LOOKUP(B753,Sheet2!$D$4:$E$9)</f>
        <v>1</v>
      </c>
      <c r="D753" s="1">
        <v>121</v>
      </c>
      <c r="E753" t="str">
        <f>LOOKUP(D753,Sheet2!$G$4:$H$9)</f>
        <v>100-125</v>
      </c>
      <c r="F753" s="1">
        <v>78</v>
      </c>
      <c r="G753" t="str">
        <f>LOOKUP(F753,Sheet2!$J$4:$K$8)</f>
        <v>70-79</v>
      </c>
      <c r="H753" s="1">
        <v>39</v>
      </c>
      <c r="I753" t="str">
        <f>LOOKUP(H753,Sheet2!$M$4:$N$8)</f>
        <v>30-39</v>
      </c>
      <c r="J753" s="1">
        <v>74</v>
      </c>
      <c r="K753" t="str">
        <f>LOOKUP(J753,Sheet2!$P$4:$Q$9)</f>
        <v>1-99</v>
      </c>
      <c r="L753" s="1">
        <v>39</v>
      </c>
      <c r="M753" t="str">
        <f>LOOKUP(L753,Sheet2!$S$4:$T$8)</f>
        <v>36+</v>
      </c>
      <c r="N753" s="1">
        <v>0.26100000000000001</v>
      </c>
      <c r="O753" t="str">
        <f>LOOKUP(N753,Sheet2!$V$4:$W$7)</f>
        <v>0.25 - 0.39</v>
      </c>
      <c r="P753" s="1">
        <v>28</v>
      </c>
      <c r="Q753" t="str">
        <f>LOOKUP(P753,Sheet2!$Z$4:$AA$7)</f>
        <v>26-35</v>
      </c>
      <c r="R753" s="1">
        <v>0</v>
      </c>
      <c r="S753" t="str">
        <f>IF(R753=1,"Positive","Negative")</f>
        <v>Negative</v>
      </c>
      <c r="T753" s="1" t="str">
        <f>IFERROR(VLOOKUP(A753,[1]diabetes_Recognition!$A:$B,2,FALSE),"Not Sampled")</f>
        <v>Not Sampled</v>
      </c>
      <c r="U753" t="str">
        <f>IF(T753=1,"Positive",(IF(T753=0,"Negative","Not Sampled")))</f>
        <v>Not Sampled</v>
      </c>
      <c r="V753" s="1" t="str">
        <f>IF(U753="Not Sampled","Not Sampled",IF(S753=U753,"Accurate Prediction","Inaccurate Prediction"))</f>
        <v>Not Sampled</v>
      </c>
    </row>
    <row r="754" spans="1:22" x14ac:dyDescent="0.25">
      <c r="A754" s="1">
        <v>752</v>
      </c>
      <c r="B754" s="1">
        <v>3</v>
      </c>
      <c r="C754" s="1" t="str">
        <f>LOOKUP(B754,Sheet2!$D$4:$E$9)</f>
        <v>3-4</v>
      </c>
      <c r="D754" s="1">
        <v>108</v>
      </c>
      <c r="E754" t="str">
        <f>LOOKUP(D754,Sheet2!$G$4:$H$9)</f>
        <v>100-125</v>
      </c>
      <c r="F754" s="1">
        <v>62</v>
      </c>
      <c r="G754" t="str">
        <f>LOOKUP(F754,Sheet2!$J$4:$K$8)</f>
        <v>60-69</v>
      </c>
      <c r="H754" s="1">
        <v>24</v>
      </c>
      <c r="I754" t="str">
        <f>LOOKUP(H754,Sheet2!$M$4:$N$8)</f>
        <v>10-30</v>
      </c>
      <c r="J754" s="1">
        <v>0</v>
      </c>
      <c r="K754" t="str">
        <f>LOOKUP(J754,Sheet2!$P$4:$Q$9)</f>
        <v>Unknown</v>
      </c>
      <c r="L754" s="1">
        <v>26</v>
      </c>
      <c r="M754" t="str">
        <f>LOOKUP(L754,Sheet2!$S$4:$T$8)</f>
        <v>26-30</v>
      </c>
      <c r="N754" s="1">
        <v>0.223</v>
      </c>
      <c r="O754" t="str">
        <f>LOOKUP(N754,Sheet2!$V$4:$W$7)</f>
        <v>0.0 - 0.249</v>
      </c>
      <c r="P754" s="1">
        <v>25</v>
      </c>
      <c r="Q754" t="str">
        <f>LOOKUP(P754,Sheet2!$Z$4:$AA$7)</f>
        <v>&lt;=25</v>
      </c>
      <c r="R754" s="1">
        <v>0</v>
      </c>
      <c r="S754" t="str">
        <f>IF(R754=1,"Positive","Negative")</f>
        <v>Negative</v>
      </c>
      <c r="T754" s="1" t="str">
        <f>IFERROR(VLOOKUP(A754,[1]diabetes_Recognition!$A:$B,2,FALSE),"Not Sampled")</f>
        <v>Not Sampled</v>
      </c>
      <c r="U754" t="str">
        <f>IF(T754=1,"Positive",(IF(T754=0,"Negative","Not Sampled")))</f>
        <v>Not Sampled</v>
      </c>
      <c r="V754" s="1" t="str">
        <f>IF(U754="Not Sampled","Not Sampled",IF(S754=U754,"Accurate Prediction","Inaccurate Prediction"))</f>
        <v>Not Sampled</v>
      </c>
    </row>
    <row r="755" spans="1:22" x14ac:dyDescent="0.25">
      <c r="A755" s="1">
        <v>753</v>
      </c>
      <c r="B755" s="1">
        <v>0</v>
      </c>
      <c r="C755" s="1">
        <f>LOOKUP(B755,Sheet2!$D$4:$E$9)</f>
        <v>0</v>
      </c>
      <c r="D755" s="1">
        <v>181</v>
      </c>
      <c r="E755" t="str">
        <f>LOOKUP(D755,Sheet2!$G$4:$H$9)</f>
        <v>176-200</v>
      </c>
      <c r="F755" s="1">
        <v>88</v>
      </c>
      <c r="G755" t="str">
        <f>LOOKUP(F755,Sheet2!$J$4:$K$8)</f>
        <v>80+</v>
      </c>
      <c r="H755" s="1">
        <v>44</v>
      </c>
      <c r="I755" t="str">
        <f>LOOKUP(H755,Sheet2!$M$4:$N$8)</f>
        <v>40+</v>
      </c>
      <c r="J755" s="1">
        <v>510</v>
      </c>
      <c r="K755" t="str">
        <f>LOOKUP(J755,Sheet2!$P$4:$Q$9)</f>
        <v>500+</v>
      </c>
      <c r="L755" s="1">
        <v>43.3</v>
      </c>
      <c r="M755" t="str">
        <f>LOOKUP(L755,Sheet2!$S$4:$T$8)</f>
        <v>36+</v>
      </c>
      <c r="N755" s="1">
        <v>0.222</v>
      </c>
      <c r="O755" t="str">
        <f>LOOKUP(N755,Sheet2!$V$4:$W$7)</f>
        <v>0.0 - 0.249</v>
      </c>
      <c r="P755" s="1">
        <v>26</v>
      </c>
      <c r="Q755" t="str">
        <f>LOOKUP(P755,Sheet2!$Z$4:$AA$7)</f>
        <v>26-35</v>
      </c>
      <c r="R755" s="1">
        <v>1</v>
      </c>
      <c r="S755" t="str">
        <f>IF(R755=1,"Positive","Negative")</f>
        <v>Positive</v>
      </c>
      <c r="T755" s="1" t="str">
        <f>IFERROR(VLOOKUP(A755,[1]diabetes_Recognition!$A:$B,2,FALSE),"Not Sampled")</f>
        <v>Not Sampled</v>
      </c>
      <c r="U755" t="str">
        <f>IF(T755=1,"Positive",(IF(T755=0,"Negative","Not Sampled")))</f>
        <v>Not Sampled</v>
      </c>
      <c r="V755" s="1" t="str">
        <f>IF(U755="Not Sampled","Not Sampled",IF(S755=U755,"Accurate Prediction","Inaccurate Prediction"))</f>
        <v>Not Sampled</v>
      </c>
    </row>
    <row r="756" spans="1:22" x14ac:dyDescent="0.25">
      <c r="A756" s="1">
        <v>754</v>
      </c>
      <c r="B756" s="1">
        <v>8</v>
      </c>
      <c r="C756" s="1" t="str">
        <f>LOOKUP(B756,Sheet2!$D$4:$E$9)</f>
        <v>8+</v>
      </c>
      <c r="D756" s="1">
        <v>154</v>
      </c>
      <c r="E756" t="str">
        <f>LOOKUP(D756,Sheet2!$G$4:$H$9)</f>
        <v>151-175</v>
      </c>
      <c r="F756" s="1">
        <v>78</v>
      </c>
      <c r="G756" t="str">
        <f>LOOKUP(F756,Sheet2!$J$4:$K$8)</f>
        <v>70-79</v>
      </c>
      <c r="H756" s="1">
        <v>32</v>
      </c>
      <c r="I756" t="str">
        <f>LOOKUP(H756,Sheet2!$M$4:$N$8)</f>
        <v>30-39</v>
      </c>
      <c r="J756" s="1">
        <v>0</v>
      </c>
      <c r="K756" t="str">
        <f>LOOKUP(J756,Sheet2!$P$4:$Q$9)</f>
        <v>Unknown</v>
      </c>
      <c r="L756" s="1">
        <v>32.4</v>
      </c>
      <c r="M756" t="str">
        <f>LOOKUP(L756,Sheet2!$S$4:$T$8)</f>
        <v>31-35</v>
      </c>
      <c r="N756" s="1">
        <v>0.443</v>
      </c>
      <c r="O756" t="str">
        <f>LOOKUP(N756,Sheet2!$V$4:$W$7)</f>
        <v>0.4 - 0.69</v>
      </c>
      <c r="P756" s="1">
        <v>45</v>
      </c>
      <c r="Q756" t="str">
        <f>LOOKUP(P756,Sheet2!$Z$4:$AA$7)</f>
        <v>36-45</v>
      </c>
      <c r="R756" s="1">
        <v>1</v>
      </c>
      <c r="S756" t="str">
        <f>IF(R756=1,"Positive","Negative")</f>
        <v>Positive</v>
      </c>
      <c r="T756" s="1" t="str">
        <f>IFERROR(VLOOKUP(A756,[1]diabetes_Recognition!$A:$B,2,FALSE),"Not Sampled")</f>
        <v>Not Sampled</v>
      </c>
      <c r="U756" t="str">
        <f>IF(T756=1,"Positive",(IF(T756=0,"Negative","Not Sampled")))</f>
        <v>Not Sampled</v>
      </c>
      <c r="V756" s="1" t="str">
        <f>IF(U756="Not Sampled","Not Sampled",IF(S756=U756,"Accurate Prediction","Inaccurate Prediction"))</f>
        <v>Not Sampled</v>
      </c>
    </row>
    <row r="757" spans="1:22" x14ac:dyDescent="0.25">
      <c r="A757" s="1">
        <v>755</v>
      </c>
      <c r="B757" s="1">
        <v>1</v>
      </c>
      <c r="C757" s="1">
        <f>LOOKUP(B757,Sheet2!$D$4:$E$9)</f>
        <v>1</v>
      </c>
      <c r="D757" s="1">
        <v>128</v>
      </c>
      <c r="E757" t="str">
        <f>LOOKUP(D757,Sheet2!$G$4:$H$9)</f>
        <v>126-150</v>
      </c>
      <c r="F757" s="1">
        <v>88</v>
      </c>
      <c r="G757" t="str">
        <f>LOOKUP(F757,Sheet2!$J$4:$K$8)</f>
        <v>80+</v>
      </c>
      <c r="H757" s="1">
        <v>39</v>
      </c>
      <c r="I757" t="str">
        <f>LOOKUP(H757,Sheet2!$M$4:$N$8)</f>
        <v>30-39</v>
      </c>
      <c r="J757" s="1">
        <v>110</v>
      </c>
      <c r="K757" t="str">
        <f>LOOKUP(J757,Sheet2!$P$4:$Q$9)</f>
        <v>100-199</v>
      </c>
      <c r="L757" s="1">
        <v>36.5</v>
      </c>
      <c r="M757" t="str">
        <f>LOOKUP(L757,Sheet2!$S$4:$T$8)</f>
        <v>36+</v>
      </c>
      <c r="N757" s="1">
        <v>1.0569999999999999</v>
      </c>
      <c r="O757" t="str">
        <f>LOOKUP(N757,Sheet2!$V$4:$W$7)</f>
        <v>0.7+</v>
      </c>
      <c r="P757" s="1">
        <v>37</v>
      </c>
      <c r="Q757" t="str">
        <f>LOOKUP(P757,Sheet2!$Z$4:$AA$7)</f>
        <v>36-45</v>
      </c>
      <c r="R757" s="1">
        <v>1</v>
      </c>
      <c r="S757" t="str">
        <f>IF(R757=1,"Positive","Negative")</f>
        <v>Positive</v>
      </c>
      <c r="T757" s="1" t="str">
        <f>IFERROR(VLOOKUP(A757,[1]diabetes_Recognition!$A:$B,2,FALSE),"Not Sampled")</f>
        <v>Not Sampled</v>
      </c>
      <c r="U757" t="str">
        <f>IF(T757=1,"Positive",(IF(T757=0,"Negative","Not Sampled")))</f>
        <v>Not Sampled</v>
      </c>
      <c r="V757" s="1" t="str">
        <f>IF(U757="Not Sampled","Not Sampled",IF(S757=U757,"Accurate Prediction","Inaccurate Prediction"))</f>
        <v>Not Sampled</v>
      </c>
    </row>
    <row r="758" spans="1:22" x14ac:dyDescent="0.25">
      <c r="A758" s="1">
        <v>756</v>
      </c>
      <c r="B758" s="1">
        <v>7</v>
      </c>
      <c r="C758" s="1" t="str">
        <f>LOOKUP(B758,Sheet2!$D$4:$E$9)</f>
        <v>5-7</v>
      </c>
      <c r="D758" s="1">
        <v>137</v>
      </c>
      <c r="E758" t="str">
        <f>LOOKUP(D758,Sheet2!$G$4:$H$9)</f>
        <v>126-150</v>
      </c>
      <c r="F758" s="1">
        <v>90</v>
      </c>
      <c r="G758" t="str">
        <f>LOOKUP(F758,Sheet2!$J$4:$K$8)</f>
        <v>80+</v>
      </c>
      <c r="H758" s="1">
        <v>41</v>
      </c>
      <c r="I758" t="str">
        <f>LOOKUP(H758,Sheet2!$M$4:$N$8)</f>
        <v>40+</v>
      </c>
      <c r="J758" s="1">
        <v>0</v>
      </c>
      <c r="K758" t="str">
        <f>LOOKUP(J758,Sheet2!$P$4:$Q$9)</f>
        <v>Unknown</v>
      </c>
      <c r="L758" s="1">
        <v>32</v>
      </c>
      <c r="M758" t="str">
        <f>LOOKUP(L758,Sheet2!$S$4:$T$8)</f>
        <v>31-35</v>
      </c>
      <c r="N758" s="1">
        <v>0.39100000000000001</v>
      </c>
      <c r="O758" t="str">
        <f>LOOKUP(N758,Sheet2!$V$4:$W$7)</f>
        <v>0.25 - 0.39</v>
      </c>
      <c r="P758" s="1">
        <v>39</v>
      </c>
      <c r="Q758" t="str">
        <f>LOOKUP(P758,Sheet2!$Z$4:$AA$7)</f>
        <v>36-45</v>
      </c>
      <c r="R758" s="1">
        <v>0</v>
      </c>
      <c r="S758" t="str">
        <f>IF(R758=1,"Positive","Negative")</f>
        <v>Negative</v>
      </c>
      <c r="T758" s="1" t="str">
        <f>IFERROR(VLOOKUP(A758,[1]diabetes_Recognition!$A:$B,2,FALSE),"Not Sampled")</f>
        <v>Not Sampled</v>
      </c>
      <c r="U758" t="str">
        <f>IF(T758=1,"Positive",(IF(T758=0,"Negative","Not Sampled")))</f>
        <v>Not Sampled</v>
      </c>
      <c r="V758" s="1" t="str">
        <f>IF(U758="Not Sampled","Not Sampled",IF(S758=U758,"Accurate Prediction","Inaccurate Prediction"))</f>
        <v>Not Sampled</v>
      </c>
    </row>
    <row r="759" spans="1:22" x14ac:dyDescent="0.25">
      <c r="A759" s="1">
        <v>757</v>
      </c>
      <c r="B759" s="1">
        <v>0</v>
      </c>
      <c r="C759" s="1">
        <f>LOOKUP(B759,Sheet2!$D$4:$E$9)</f>
        <v>0</v>
      </c>
      <c r="D759" s="1">
        <v>123</v>
      </c>
      <c r="E759" t="str">
        <f>LOOKUP(D759,Sheet2!$G$4:$H$9)</f>
        <v>100-125</v>
      </c>
      <c r="F759" s="1">
        <v>72</v>
      </c>
      <c r="G759" t="str">
        <f>LOOKUP(F759,Sheet2!$J$4:$K$8)</f>
        <v>70-79</v>
      </c>
      <c r="H759" s="1">
        <v>0</v>
      </c>
      <c r="I759" t="str">
        <f>LOOKUP(H759,Sheet2!$M$4:$N$8)</f>
        <v>Unknown</v>
      </c>
      <c r="J759" s="1">
        <v>0</v>
      </c>
      <c r="K759" t="str">
        <f>LOOKUP(J759,Sheet2!$P$4:$Q$9)</f>
        <v>Unknown</v>
      </c>
      <c r="L759" s="1">
        <v>36.299999999999997</v>
      </c>
      <c r="M759" t="str">
        <f>LOOKUP(L759,Sheet2!$S$4:$T$8)</f>
        <v>36+</v>
      </c>
      <c r="N759" s="1">
        <v>0.25800000000000001</v>
      </c>
      <c r="O759" t="str">
        <f>LOOKUP(N759,Sheet2!$V$4:$W$7)</f>
        <v>0.25 - 0.39</v>
      </c>
      <c r="P759" s="1">
        <v>52</v>
      </c>
      <c r="Q759" t="str">
        <f>LOOKUP(P759,Sheet2!$Z$4:$AA$7)</f>
        <v>46+</v>
      </c>
      <c r="R759" s="1">
        <v>1</v>
      </c>
      <c r="S759" t="str">
        <f>IF(R759=1,"Positive","Negative")</f>
        <v>Positive</v>
      </c>
      <c r="T759" s="1">
        <f>IFERROR(VLOOKUP(A759,[1]diabetes_Recognition!$A:$B,2,FALSE),"Not Sampled")</f>
        <v>0</v>
      </c>
      <c r="U759" t="str">
        <f>IF(T759=1,"Positive",(IF(T759=0,"Negative","Not Sampled")))</f>
        <v>Negative</v>
      </c>
      <c r="V759" s="1" t="str">
        <f>IF(U759="Not Sampled","Not Sampled",IF(S759=U759,"Accurate Prediction","Inaccurate Prediction"))</f>
        <v>Inaccurate Prediction</v>
      </c>
    </row>
    <row r="760" spans="1:22" x14ac:dyDescent="0.25">
      <c r="A760" s="1">
        <v>758</v>
      </c>
      <c r="B760" s="1">
        <v>1</v>
      </c>
      <c r="C760" s="1">
        <f>LOOKUP(B760,Sheet2!$D$4:$E$9)</f>
        <v>1</v>
      </c>
      <c r="D760" s="1">
        <v>106</v>
      </c>
      <c r="E760" t="str">
        <f>LOOKUP(D760,Sheet2!$G$4:$H$9)</f>
        <v>100-125</v>
      </c>
      <c r="F760" s="1">
        <v>76</v>
      </c>
      <c r="G760" t="str">
        <f>LOOKUP(F760,Sheet2!$J$4:$K$8)</f>
        <v>70-79</v>
      </c>
      <c r="H760" s="1">
        <v>0</v>
      </c>
      <c r="I760" t="str">
        <f>LOOKUP(H760,Sheet2!$M$4:$N$8)</f>
        <v>Unknown</v>
      </c>
      <c r="J760" s="1">
        <v>0</v>
      </c>
      <c r="K760" t="str">
        <f>LOOKUP(J760,Sheet2!$P$4:$Q$9)</f>
        <v>Unknown</v>
      </c>
      <c r="L760" s="1">
        <v>37.5</v>
      </c>
      <c r="M760" t="str">
        <f>LOOKUP(L760,Sheet2!$S$4:$T$8)</f>
        <v>36+</v>
      </c>
      <c r="N760" s="1">
        <v>0.19700000000000001</v>
      </c>
      <c r="O760" t="str">
        <f>LOOKUP(N760,Sheet2!$V$4:$W$7)</f>
        <v>0.0 - 0.249</v>
      </c>
      <c r="P760" s="1">
        <v>26</v>
      </c>
      <c r="Q760" t="str">
        <f>LOOKUP(P760,Sheet2!$Z$4:$AA$7)</f>
        <v>26-35</v>
      </c>
      <c r="R760" s="1">
        <v>0</v>
      </c>
      <c r="S760" t="str">
        <f>IF(R760=1,"Positive","Negative")</f>
        <v>Negative</v>
      </c>
      <c r="T760" s="1" t="str">
        <f>IFERROR(VLOOKUP(A760,[1]diabetes_Recognition!$A:$B,2,FALSE),"Not Sampled")</f>
        <v>Not Sampled</v>
      </c>
      <c r="U760" t="str">
        <f>IF(T760=1,"Positive",(IF(T760=0,"Negative","Not Sampled")))</f>
        <v>Not Sampled</v>
      </c>
      <c r="V760" s="1" t="str">
        <f>IF(U760="Not Sampled","Not Sampled",IF(S760=U760,"Accurate Prediction","Inaccurate Prediction"))</f>
        <v>Not Sampled</v>
      </c>
    </row>
    <row r="761" spans="1:22" x14ac:dyDescent="0.25">
      <c r="A761" s="1">
        <v>759</v>
      </c>
      <c r="B761" s="1">
        <v>6</v>
      </c>
      <c r="C761" s="1" t="str">
        <f>LOOKUP(B761,Sheet2!$D$4:$E$9)</f>
        <v>5-7</v>
      </c>
      <c r="D761" s="1">
        <v>190</v>
      </c>
      <c r="E761" t="str">
        <f>LOOKUP(D761,Sheet2!$G$4:$H$9)</f>
        <v>176-200</v>
      </c>
      <c r="F761" s="1">
        <v>92</v>
      </c>
      <c r="G761" t="str">
        <f>LOOKUP(F761,Sheet2!$J$4:$K$8)</f>
        <v>80+</v>
      </c>
      <c r="H761" s="1">
        <v>0</v>
      </c>
      <c r="I761" t="str">
        <f>LOOKUP(H761,Sheet2!$M$4:$N$8)</f>
        <v>Unknown</v>
      </c>
      <c r="J761" s="1">
        <v>0</v>
      </c>
      <c r="K761" t="str">
        <f>LOOKUP(J761,Sheet2!$P$4:$Q$9)</f>
        <v>Unknown</v>
      </c>
      <c r="L761" s="1">
        <v>35.5</v>
      </c>
      <c r="M761" t="str">
        <f>LOOKUP(L761,Sheet2!$S$4:$T$8)</f>
        <v>31-35</v>
      </c>
      <c r="N761" s="1">
        <v>0.27800000000000002</v>
      </c>
      <c r="O761" t="str">
        <f>LOOKUP(N761,Sheet2!$V$4:$W$7)</f>
        <v>0.25 - 0.39</v>
      </c>
      <c r="P761" s="1">
        <v>66</v>
      </c>
      <c r="Q761" t="str">
        <f>LOOKUP(P761,Sheet2!$Z$4:$AA$7)</f>
        <v>46+</v>
      </c>
      <c r="R761" s="1">
        <v>1</v>
      </c>
      <c r="S761" t="str">
        <f>IF(R761=1,"Positive","Negative")</f>
        <v>Positive</v>
      </c>
      <c r="T761" s="1" t="str">
        <f>IFERROR(VLOOKUP(A761,[1]diabetes_Recognition!$A:$B,2,FALSE),"Not Sampled")</f>
        <v>Not Sampled</v>
      </c>
      <c r="U761" t="str">
        <f>IF(T761=1,"Positive",(IF(T761=0,"Negative","Not Sampled")))</f>
        <v>Not Sampled</v>
      </c>
      <c r="V761" s="1" t="str">
        <f>IF(U761="Not Sampled","Not Sampled",IF(S761=U761,"Accurate Prediction","Inaccurate Prediction"))</f>
        <v>Not Sampled</v>
      </c>
    </row>
    <row r="762" spans="1:22" x14ac:dyDescent="0.25">
      <c r="A762" s="1">
        <v>760</v>
      </c>
      <c r="B762" s="1">
        <v>2</v>
      </c>
      <c r="C762" s="1">
        <f>LOOKUP(B762,Sheet2!$D$4:$E$9)</f>
        <v>2</v>
      </c>
      <c r="D762" s="1">
        <v>88</v>
      </c>
      <c r="E762" t="str">
        <f>LOOKUP(D762,Sheet2!$G$4:$H$9)</f>
        <v>1-99</v>
      </c>
      <c r="F762" s="1">
        <v>58</v>
      </c>
      <c r="G762" t="str">
        <f>LOOKUP(F762,Sheet2!$J$4:$K$8)</f>
        <v>1-59</v>
      </c>
      <c r="H762" s="1">
        <v>26</v>
      </c>
      <c r="I762" t="str">
        <f>LOOKUP(H762,Sheet2!$M$4:$N$8)</f>
        <v>10-30</v>
      </c>
      <c r="J762" s="1">
        <v>16</v>
      </c>
      <c r="K762" t="str">
        <f>LOOKUP(J762,Sheet2!$P$4:$Q$9)</f>
        <v>1-99</v>
      </c>
      <c r="L762" s="1">
        <v>28.4</v>
      </c>
      <c r="M762" t="str">
        <f>LOOKUP(L762,Sheet2!$S$4:$T$8)</f>
        <v>26-30</v>
      </c>
      <c r="N762" s="1">
        <v>0.76600000000000001</v>
      </c>
      <c r="O762" t="str">
        <f>LOOKUP(N762,Sheet2!$V$4:$W$7)</f>
        <v>0.7+</v>
      </c>
      <c r="P762" s="1">
        <v>22</v>
      </c>
      <c r="Q762" t="str">
        <f>LOOKUP(P762,Sheet2!$Z$4:$AA$7)</f>
        <v>&lt;=25</v>
      </c>
      <c r="R762" s="1">
        <v>0</v>
      </c>
      <c r="S762" t="str">
        <f>IF(R762=1,"Positive","Negative")</f>
        <v>Negative</v>
      </c>
      <c r="T762" s="1" t="str">
        <f>IFERROR(VLOOKUP(A762,[1]diabetes_Recognition!$A:$B,2,FALSE),"Not Sampled")</f>
        <v>Not Sampled</v>
      </c>
      <c r="U762" t="str">
        <f>IF(T762=1,"Positive",(IF(T762=0,"Negative","Not Sampled")))</f>
        <v>Not Sampled</v>
      </c>
      <c r="V762" s="1" t="str">
        <f>IF(U762="Not Sampled","Not Sampled",IF(S762=U762,"Accurate Prediction","Inaccurate Prediction"))</f>
        <v>Not Sampled</v>
      </c>
    </row>
    <row r="763" spans="1:22" x14ac:dyDescent="0.25">
      <c r="A763" s="1">
        <v>761</v>
      </c>
      <c r="B763" s="1">
        <v>9</v>
      </c>
      <c r="C763" s="1" t="str">
        <f>LOOKUP(B763,Sheet2!$D$4:$E$9)</f>
        <v>8+</v>
      </c>
      <c r="D763" s="1">
        <v>170</v>
      </c>
      <c r="E763" t="str">
        <f>LOOKUP(D763,Sheet2!$G$4:$H$9)</f>
        <v>151-175</v>
      </c>
      <c r="F763" s="1">
        <v>74</v>
      </c>
      <c r="G763" t="str">
        <f>LOOKUP(F763,Sheet2!$J$4:$K$8)</f>
        <v>70-79</v>
      </c>
      <c r="H763" s="1">
        <v>31</v>
      </c>
      <c r="I763" t="str">
        <f>LOOKUP(H763,Sheet2!$M$4:$N$8)</f>
        <v>30-39</v>
      </c>
      <c r="J763" s="1">
        <v>0</v>
      </c>
      <c r="K763" t="str">
        <f>LOOKUP(J763,Sheet2!$P$4:$Q$9)</f>
        <v>Unknown</v>
      </c>
      <c r="L763" s="1">
        <v>44</v>
      </c>
      <c r="M763" t="str">
        <f>LOOKUP(L763,Sheet2!$S$4:$T$8)</f>
        <v>36+</v>
      </c>
      <c r="N763" s="1">
        <v>0.40300000000000002</v>
      </c>
      <c r="O763" t="str">
        <f>LOOKUP(N763,Sheet2!$V$4:$W$7)</f>
        <v>0.4 - 0.69</v>
      </c>
      <c r="P763" s="1">
        <v>43</v>
      </c>
      <c r="Q763" t="str">
        <f>LOOKUP(P763,Sheet2!$Z$4:$AA$7)</f>
        <v>36-45</v>
      </c>
      <c r="R763" s="1">
        <v>1</v>
      </c>
      <c r="S763" t="str">
        <f>IF(R763=1,"Positive","Negative")</f>
        <v>Positive</v>
      </c>
      <c r="T763" s="1">
        <f>IFERROR(VLOOKUP(A763,[1]diabetes_Recognition!$A:$B,2,FALSE),"Not Sampled")</f>
        <v>1</v>
      </c>
      <c r="U763" t="str">
        <f>IF(T763=1,"Positive",(IF(T763=0,"Negative","Not Sampled")))</f>
        <v>Positive</v>
      </c>
      <c r="V763" s="1" t="str">
        <f>IF(U763="Not Sampled","Not Sampled",IF(S763=U763,"Accurate Prediction","Inaccurate Prediction"))</f>
        <v>Accurate Prediction</v>
      </c>
    </row>
    <row r="764" spans="1:22" x14ac:dyDescent="0.25">
      <c r="A764" s="1">
        <v>762</v>
      </c>
      <c r="B764" s="1">
        <v>9</v>
      </c>
      <c r="C764" s="1" t="str">
        <f>LOOKUP(B764,Sheet2!$D$4:$E$9)</f>
        <v>8+</v>
      </c>
      <c r="D764" s="1">
        <v>89</v>
      </c>
      <c r="E764" t="str">
        <f>LOOKUP(D764,Sheet2!$G$4:$H$9)</f>
        <v>1-99</v>
      </c>
      <c r="F764" s="1">
        <v>62</v>
      </c>
      <c r="G764" t="str">
        <f>LOOKUP(F764,Sheet2!$J$4:$K$8)</f>
        <v>60-69</v>
      </c>
      <c r="H764" s="1">
        <v>0</v>
      </c>
      <c r="I764" t="str">
        <f>LOOKUP(H764,Sheet2!$M$4:$N$8)</f>
        <v>Unknown</v>
      </c>
      <c r="J764" s="1">
        <v>0</v>
      </c>
      <c r="K764" t="str">
        <f>LOOKUP(J764,Sheet2!$P$4:$Q$9)</f>
        <v>Unknown</v>
      </c>
      <c r="L764" s="1">
        <v>22.5</v>
      </c>
      <c r="M764" t="str">
        <f>LOOKUP(L764,Sheet2!$S$4:$T$8)</f>
        <v>1-25</v>
      </c>
      <c r="N764" s="1">
        <v>0.14199999999999999</v>
      </c>
      <c r="O764" t="str">
        <f>LOOKUP(N764,Sheet2!$V$4:$W$7)</f>
        <v>0.0 - 0.249</v>
      </c>
      <c r="P764" s="1">
        <v>33</v>
      </c>
      <c r="Q764" t="str">
        <f>LOOKUP(P764,Sheet2!$Z$4:$AA$7)</f>
        <v>26-35</v>
      </c>
      <c r="R764" s="1">
        <v>0</v>
      </c>
      <c r="S764" t="str">
        <f>IF(R764=1,"Positive","Negative")</f>
        <v>Negative</v>
      </c>
      <c r="T764" s="1" t="str">
        <f>IFERROR(VLOOKUP(A764,[1]diabetes_Recognition!$A:$B,2,FALSE),"Not Sampled")</f>
        <v>Not Sampled</v>
      </c>
      <c r="U764" t="str">
        <f>IF(T764=1,"Positive",(IF(T764=0,"Negative","Not Sampled")))</f>
        <v>Not Sampled</v>
      </c>
      <c r="V764" s="1" t="str">
        <f>IF(U764="Not Sampled","Not Sampled",IF(S764=U764,"Accurate Prediction","Inaccurate Prediction"))</f>
        <v>Not Sampled</v>
      </c>
    </row>
    <row r="765" spans="1:22" x14ac:dyDescent="0.25">
      <c r="A765" s="1">
        <v>763</v>
      </c>
      <c r="B765" s="1">
        <v>10</v>
      </c>
      <c r="C765" s="1" t="str">
        <f>LOOKUP(B765,Sheet2!$D$4:$E$9)</f>
        <v>8+</v>
      </c>
      <c r="D765" s="1">
        <v>101</v>
      </c>
      <c r="E765" t="str">
        <f>LOOKUP(D765,Sheet2!$G$4:$H$9)</f>
        <v>100-125</v>
      </c>
      <c r="F765" s="1">
        <v>76</v>
      </c>
      <c r="G765" t="str">
        <f>LOOKUP(F765,Sheet2!$J$4:$K$8)</f>
        <v>70-79</v>
      </c>
      <c r="H765" s="1">
        <v>48</v>
      </c>
      <c r="I765" t="str">
        <f>LOOKUP(H765,Sheet2!$M$4:$N$8)</f>
        <v>40+</v>
      </c>
      <c r="J765" s="1">
        <v>180</v>
      </c>
      <c r="K765" t="str">
        <f>LOOKUP(J765,Sheet2!$P$4:$Q$9)</f>
        <v>100-199</v>
      </c>
      <c r="L765" s="1">
        <v>32.9</v>
      </c>
      <c r="M765" t="str">
        <f>LOOKUP(L765,Sheet2!$S$4:$T$8)</f>
        <v>31-35</v>
      </c>
      <c r="N765" s="1">
        <v>0.17100000000000001</v>
      </c>
      <c r="O765" t="str">
        <f>LOOKUP(N765,Sheet2!$V$4:$W$7)</f>
        <v>0.0 - 0.249</v>
      </c>
      <c r="P765" s="1">
        <v>63</v>
      </c>
      <c r="Q765" t="str">
        <f>LOOKUP(P765,Sheet2!$Z$4:$AA$7)</f>
        <v>46+</v>
      </c>
      <c r="R765" s="1">
        <v>0</v>
      </c>
      <c r="S765" t="str">
        <f>IF(R765=1,"Positive","Negative")</f>
        <v>Negative</v>
      </c>
      <c r="T765" s="1">
        <f>IFERROR(VLOOKUP(A765,[1]diabetes_Recognition!$A:$B,2,FALSE),"Not Sampled")</f>
        <v>0</v>
      </c>
      <c r="U765" t="str">
        <f>IF(T765=1,"Positive",(IF(T765=0,"Negative","Not Sampled")))</f>
        <v>Negative</v>
      </c>
      <c r="V765" s="1" t="str">
        <f>IF(U765="Not Sampled","Not Sampled",IF(S765=U765,"Accurate Prediction","Inaccurate Prediction"))</f>
        <v>Accurate Prediction</v>
      </c>
    </row>
    <row r="766" spans="1:22" x14ac:dyDescent="0.25">
      <c r="A766" s="1">
        <v>764</v>
      </c>
      <c r="B766" s="1">
        <v>2</v>
      </c>
      <c r="C766" s="1">
        <f>LOOKUP(B766,Sheet2!$D$4:$E$9)</f>
        <v>2</v>
      </c>
      <c r="D766" s="1">
        <v>122</v>
      </c>
      <c r="E766" t="str">
        <f>LOOKUP(D766,Sheet2!$G$4:$H$9)</f>
        <v>100-125</v>
      </c>
      <c r="F766" s="1">
        <v>70</v>
      </c>
      <c r="G766" t="str">
        <f>LOOKUP(F766,Sheet2!$J$4:$K$8)</f>
        <v>70-79</v>
      </c>
      <c r="H766" s="1">
        <v>27</v>
      </c>
      <c r="I766" t="str">
        <f>LOOKUP(H766,Sheet2!$M$4:$N$8)</f>
        <v>10-30</v>
      </c>
      <c r="J766" s="1">
        <v>0</v>
      </c>
      <c r="K766" t="str">
        <f>LOOKUP(J766,Sheet2!$P$4:$Q$9)</f>
        <v>Unknown</v>
      </c>
      <c r="L766" s="1">
        <v>36.799999999999997</v>
      </c>
      <c r="M766" t="str">
        <f>LOOKUP(L766,Sheet2!$S$4:$T$8)</f>
        <v>36+</v>
      </c>
      <c r="N766" s="1">
        <v>0.34</v>
      </c>
      <c r="O766" t="str">
        <f>LOOKUP(N766,Sheet2!$V$4:$W$7)</f>
        <v>0.25 - 0.39</v>
      </c>
      <c r="P766" s="1">
        <v>27</v>
      </c>
      <c r="Q766" t="str">
        <f>LOOKUP(P766,Sheet2!$Z$4:$AA$7)</f>
        <v>26-35</v>
      </c>
      <c r="R766" s="1">
        <v>0</v>
      </c>
      <c r="S766" t="str">
        <f>IF(R766=1,"Positive","Negative")</f>
        <v>Negative</v>
      </c>
      <c r="T766" s="1">
        <f>IFERROR(VLOOKUP(A766,[1]diabetes_Recognition!$A:$B,2,FALSE),"Not Sampled")</f>
        <v>0</v>
      </c>
      <c r="U766" t="str">
        <f>IF(T766=1,"Positive",(IF(T766=0,"Negative","Not Sampled")))</f>
        <v>Negative</v>
      </c>
      <c r="V766" s="1" t="str">
        <f>IF(U766="Not Sampled","Not Sampled",IF(S766=U766,"Accurate Prediction","Inaccurate Prediction"))</f>
        <v>Accurate Prediction</v>
      </c>
    </row>
    <row r="767" spans="1:22" x14ac:dyDescent="0.25">
      <c r="A767" s="1">
        <v>765</v>
      </c>
      <c r="B767" s="1">
        <v>5</v>
      </c>
      <c r="C767" s="1" t="str">
        <f>LOOKUP(B767,Sheet2!$D$4:$E$9)</f>
        <v>5-7</v>
      </c>
      <c r="D767" s="1">
        <v>121</v>
      </c>
      <c r="E767" t="str">
        <f>LOOKUP(D767,Sheet2!$G$4:$H$9)</f>
        <v>100-125</v>
      </c>
      <c r="F767" s="1">
        <v>72</v>
      </c>
      <c r="G767" t="str">
        <f>LOOKUP(F767,Sheet2!$J$4:$K$8)</f>
        <v>70-79</v>
      </c>
      <c r="H767" s="1">
        <v>23</v>
      </c>
      <c r="I767" t="str">
        <f>LOOKUP(H767,Sheet2!$M$4:$N$8)</f>
        <v>10-30</v>
      </c>
      <c r="J767" s="1">
        <v>112</v>
      </c>
      <c r="K767" t="str">
        <f>LOOKUP(J767,Sheet2!$P$4:$Q$9)</f>
        <v>100-199</v>
      </c>
      <c r="L767" s="1">
        <v>26.2</v>
      </c>
      <c r="M767" t="str">
        <f>LOOKUP(L767,Sheet2!$S$4:$T$8)</f>
        <v>26-30</v>
      </c>
      <c r="N767" s="1">
        <v>0.245</v>
      </c>
      <c r="O767" t="str">
        <f>LOOKUP(N767,Sheet2!$V$4:$W$7)</f>
        <v>0.0 - 0.249</v>
      </c>
      <c r="P767" s="1">
        <v>30</v>
      </c>
      <c r="Q767" t="str">
        <f>LOOKUP(P767,Sheet2!$Z$4:$AA$7)</f>
        <v>26-35</v>
      </c>
      <c r="R767" s="1">
        <v>0</v>
      </c>
      <c r="S767" t="str">
        <f>IF(R767=1,"Positive","Negative")</f>
        <v>Negative</v>
      </c>
      <c r="T767" s="1" t="str">
        <f>IFERROR(VLOOKUP(A767,[1]diabetes_Recognition!$A:$B,2,FALSE),"Not Sampled")</f>
        <v>Not Sampled</v>
      </c>
      <c r="U767" t="str">
        <f>IF(T767=1,"Positive",(IF(T767=0,"Negative","Not Sampled")))</f>
        <v>Not Sampled</v>
      </c>
      <c r="V767" s="1" t="str">
        <f>IF(U767="Not Sampled","Not Sampled",IF(S767=U767,"Accurate Prediction","Inaccurate Prediction"))</f>
        <v>Not Sampled</v>
      </c>
    </row>
    <row r="768" spans="1:22" x14ac:dyDescent="0.25">
      <c r="A768" s="1">
        <v>766</v>
      </c>
      <c r="B768" s="1">
        <v>1</v>
      </c>
      <c r="C768" s="1">
        <f>LOOKUP(B768,Sheet2!$D$4:$E$9)</f>
        <v>1</v>
      </c>
      <c r="D768" s="1">
        <v>126</v>
      </c>
      <c r="E768" t="str">
        <f>LOOKUP(D768,Sheet2!$G$4:$H$9)</f>
        <v>126-150</v>
      </c>
      <c r="F768" s="1">
        <v>60</v>
      </c>
      <c r="G768" t="str">
        <f>LOOKUP(F768,Sheet2!$J$4:$K$8)</f>
        <v>60-69</v>
      </c>
      <c r="H768" s="1">
        <v>0</v>
      </c>
      <c r="I768" t="str">
        <f>LOOKUP(H768,Sheet2!$M$4:$N$8)</f>
        <v>Unknown</v>
      </c>
      <c r="J768" s="1">
        <v>0</v>
      </c>
      <c r="K768" t="str">
        <f>LOOKUP(J768,Sheet2!$P$4:$Q$9)</f>
        <v>Unknown</v>
      </c>
      <c r="L768" s="1">
        <v>30.1</v>
      </c>
      <c r="M768" t="str">
        <f>LOOKUP(L768,Sheet2!$S$4:$T$8)</f>
        <v>26-30</v>
      </c>
      <c r="N768" s="1">
        <v>0.34899999999999998</v>
      </c>
      <c r="O768" t="str">
        <f>LOOKUP(N768,Sheet2!$V$4:$W$7)</f>
        <v>0.25 - 0.39</v>
      </c>
      <c r="P768" s="1">
        <v>47</v>
      </c>
      <c r="Q768" t="str">
        <f>LOOKUP(P768,Sheet2!$Z$4:$AA$7)</f>
        <v>46+</v>
      </c>
      <c r="R768" s="1">
        <v>1</v>
      </c>
      <c r="S768" t="str">
        <f>IF(R768=1,"Positive","Negative")</f>
        <v>Positive</v>
      </c>
      <c r="T768" s="1" t="str">
        <f>IFERROR(VLOOKUP(A768,[1]diabetes_Recognition!$A:$B,2,FALSE),"Not Sampled")</f>
        <v>Not Sampled</v>
      </c>
      <c r="U768" t="str">
        <f>IF(T768=1,"Positive",(IF(T768=0,"Negative","Not Sampled")))</f>
        <v>Not Sampled</v>
      </c>
      <c r="V768" s="1" t="str">
        <f>IF(U768="Not Sampled","Not Sampled",IF(S768=U768,"Accurate Prediction","Inaccurate Prediction"))</f>
        <v>Not Sampled</v>
      </c>
    </row>
    <row r="769" spans="1:22" x14ac:dyDescent="0.25">
      <c r="A769" s="1">
        <v>767</v>
      </c>
      <c r="B769" s="1">
        <v>1</v>
      </c>
      <c r="C769" s="1">
        <f>LOOKUP(B769,Sheet2!$D$4:$E$9)</f>
        <v>1</v>
      </c>
      <c r="D769" s="1">
        <v>93</v>
      </c>
      <c r="E769" t="str">
        <f>LOOKUP(D769,Sheet2!$G$4:$H$9)</f>
        <v>1-99</v>
      </c>
      <c r="F769" s="1">
        <v>70</v>
      </c>
      <c r="G769" t="str">
        <f>LOOKUP(F769,Sheet2!$J$4:$K$8)</f>
        <v>70-79</v>
      </c>
      <c r="H769" s="1">
        <v>31</v>
      </c>
      <c r="I769" t="str">
        <f>LOOKUP(H769,Sheet2!$M$4:$N$8)</f>
        <v>30-39</v>
      </c>
      <c r="J769" s="1">
        <v>0</v>
      </c>
      <c r="K769" t="str">
        <f>LOOKUP(J769,Sheet2!$P$4:$Q$9)</f>
        <v>Unknown</v>
      </c>
      <c r="L769" s="1">
        <v>30.4</v>
      </c>
      <c r="M769" t="str">
        <f>LOOKUP(L769,Sheet2!$S$4:$T$8)</f>
        <v>26-30</v>
      </c>
      <c r="N769" s="1">
        <v>0.315</v>
      </c>
      <c r="O769" t="str">
        <f>LOOKUP(N769,Sheet2!$V$4:$W$7)</f>
        <v>0.25 - 0.39</v>
      </c>
      <c r="P769" s="1">
        <v>23</v>
      </c>
      <c r="Q769" t="str">
        <f>LOOKUP(P769,Sheet2!$Z$4:$AA$7)</f>
        <v>&lt;=25</v>
      </c>
      <c r="R769" s="1">
        <v>0</v>
      </c>
      <c r="S769" t="str">
        <f>IF(R769=1,"Positive","Negative")</f>
        <v>Negative</v>
      </c>
      <c r="T769" s="1">
        <f>IFERROR(VLOOKUP(A769,[1]diabetes_Recognition!$A:$B,2,FALSE),"Not Sampled")</f>
        <v>0</v>
      </c>
      <c r="U769" t="str">
        <f>IF(T769=1,"Positive",(IF(T769=0,"Negative","Not Sampled")))</f>
        <v>Negative</v>
      </c>
      <c r="V769" s="1" t="str">
        <f>IF(U769="Not Sampled","Not Sampled",IF(S769=U769,"Accurate Prediction","Inaccurate Prediction"))</f>
        <v>Accurate Prediction</v>
      </c>
    </row>
    <row r="770" spans="1:22" x14ac:dyDescent="0.25">
      <c r="A770" s="1">
        <v>768</v>
      </c>
      <c r="B770" s="1">
        <v>14</v>
      </c>
      <c r="C770" s="1" t="str">
        <f>LOOKUP(B770,Sheet2!$D$4:$E$9)</f>
        <v>8+</v>
      </c>
      <c r="D770" s="1">
        <v>100</v>
      </c>
      <c r="E770" t="str">
        <f>LOOKUP(D770,Sheet2!$G$4:$H$9)</f>
        <v>100-125</v>
      </c>
      <c r="F770" s="1">
        <v>78</v>
      </c>
      <c r="G770" t="str">
        <f>LOOKUP(F770,Sheet2!$J$4:$K$8)</f>
        <v>70-79</v>
      </c>
      <c r="H770" s="1">
        <v>25</v>
      </c>
      <c r="I770" t="str">
        <f>LOOKUP(H770,Sheet2!$M$4:$N$8)</f>
        <v>10-30</v>
      </c>
      <c r="J770" s="1">
        <v>184</v>
      </c>
      <c r="K770" t="str">
        <f>LOOKUP(J770,Sheet2!$P$4:$Q$9)</f>
        <v>100-199</v>
      </c>
      <c r="L770" s="1">
        <v>36.6</v>
      </c>
      <c r="M770" t="str">
        <f>LOOKUP(L770,Sheet2!$S$4:$T$8)</f>
        <v>36+</v>
      </c>
      <c r="N770" s="1">
        <v>0.41199999999999998</v>
      </c>
      <c r="O770" t="str">
        <f>LOOKUP(N770,Sheet2!$V$4:$W$7)</f>
        <v>0.4 - 0.69</v>
      </c>
      <c r="P770" s="1">
        <v>46</v>
      </c>
      <c r="Q770" t="str">
        <f>LOOKUP(P770,Sheet2!$Z$4:$AA$7)</f>
        <v>46+</v>
      </c>
      <c r="R770" s="1">
        <v>1</v>
      </c>
      <c r="S770" t="str">
        <f>IF(R770=1,"Positive","Negative")</f>
        <v>Positive</v>
      </c>
      <c r="T770" s="1" t="str">
        <f>IFERROR(VLOOKUP(A770,[1]diabetes_Recognition!$A:$B,2,FALSE),"Not Sampled")</f>
        <v>Not Sampled</v>
      </c>
      <c r="U770" t="str">
        <f>IF(T770=1,"Positive",(IF(T770=0,"Negative","Not Sampled")))</f>
        <v>Not Sampled</v>
      </c>
      <c r="V770" s="1" t="str">
        <f>IF(U770="Not Sampled","Not Sampled",IF(S770=U770,"Accurate Prediction","Inaccurate Prediction"))</f>
        <v>Not Sampled</v>
      </c>
    </row>
    <row r="771" spans="1:22" x14ac:dyDescent="0.25">
      <c r="A771" s="1">
        <v>769</v>
      </c>
      <c r="B771" s="1">
        <v>8</v>
      </c>
      <c r="C771" s="1" t="str">
        <f>LOOKUP(B771,Sheet2!$D$4:$E$9)</f>
        <v>8+</v>
      </c>
      <c r="D771" s="1">
        <v>112</v>
      </c>
      <c r="E771" t="str">
        <f>LOOKUP(D771,Sheet2!$G$4:$H$9)</f>
        <v>100-125</v>
      </c>
      <c r="F771" s="1">
        <v>72</v>
      </c>
      <c r="G771" t="str">
        <f>LOOKUP(F771,Sheet2!$J$4:$K$8)</f>
        <v>70-79</v>
      </c>
      <c r="H771" s="1">
        <v>0</v>
      </c>
      <c r="I771" t="str">
        <f>LOOKUP(H771,Sheet2!$M$4:$N$8)</f>
        <v>Unknown</v>
      </c>
      <c r="J771" s="1">
        <v>0</v>
      </c>
      <c r="K771" t="str">
        <f>LOOKUP(J771,Sheet2!$P$4:$Q$9)</f>
        <v>Unknown</v>
      </c>
      <c r="L771" s="1">
        <v>23.6</v>
      </c>
      <c r="M771" t="str">
        <f>LOOKUP(L771,Sheet2!$S$4:$T$8)</f>
        <v>1-25</v>
      </c>
      <c r="N771" s="1">
        <v>0.84</v>
      </c>
      <c r="O771" t="str">
        <f>LOOKUP(N771,Sheet2!$V$4:$W$7)</f>
        <v>0.7+</v>
      </c>
      <c r="P771" s="1">
        <v>58</v>
      </c>
      <c r="Q771" t="str">
        <f>LOOKUP(P771,Sheet2!$Z$4:$AA$7)</f>
        <v>46+</v>
      </c>
      <c r="R771" s="1">
        <v>0</v>
      </c>
      <c r="S771" t="str">
        <f>IF(R771=1,"Positive","Negative")</f>
        <v>Negative</v>
      </c>
      <c r="T771" s="1">
        <f>IFERROR(VLOOKUP(A771,[1]diabetes_Recognition!$A:$B,2,FALSE),"Not Sampled")</f>
        <v>0</v>
      </c>
      <c r="U771" t="str">
        <f>IF(T771=1,"Positive",(IF(T771=0,"Negative","Not Sampled")))</f>
        <v>Negative</v>
      </c>
      <c r="V771" s="1" t="str">
        <f>IF(U771="Not Sampled","Not Sampled",IF(S771=U771,"Accurate Prediction","Inaccurate Prediction"))</f>
        <v>Accurate Prediction</v>
      </c>
    </row>
    <row r="772" spans="1:22" x14ac:dyDescent="0.25">
      <c r="A772" s="1">
        <v>770</v>
      </c>
      <c r="B772" s="1">
        <v>0</v>
      </c>
      <c r="C772" s="1">
        <f>LOOKUP(B772,Sheet2!$D$4:$E$9)</f>
        <v>0</v>
      </c>
      <c r="D772" s="1">
        <v>167</v>
      </c>
      <c r="E772" t="str">
        <f>LOOKUP(D772,Sheet2!$G$4:$H$9)</f>
        <v>151-175</v>
      </c>
      <c r="F772" s="1">
        <v>0</v>
      </c>
      <c r="G772" t="str">
        <f>LOOKUP(F772,Sheet2!$J$4:$K$8)</f>
        <v>Unknown</v>
      </c>
      <c r="H772" s="1">
        <v>0</v>
      </c>
      <c r="I772" t="str">
        <f>LOOKUP(H772,Sheet2!$M$4:$N$8)</f>
        <v>Unknown</v>
      </c>
      <c r="J772" s="1">
        <v>0</v>
      </c>
      <c r="K772" t="str">
        <f>LOOKUP(J772,Sheet2!$P$4:$Q$9)</f>
        <v>Unknown</v>
      </c>
      <c r="L772" s="1">
        <v>32.299999999999997</v>
      </c>
      <c r="M772" t="str">
        <f>LOOKUP(L772,Sheet2!$S$4:$T$8)</f>
        <v>31-35</v>
      </c>
      <c r="N772" s="1">
        <v>0.83899999999999997</v>
      </c>
      <c r="O772" t="str">
        <f>LOOKUP(N772,Sheet2!$V$4:$W$7)</f>
        <v>0.7+</v>
      </c>
      <c r="P772" s="1">
        <v>30</v>
      </c>
      <c r="Q772" t="str">
        <f>LOOKUP(P772,Sheet2!$Z$4:$AA$7)</f>
        <v>26-35</v>
      </c>
      <c r="R772" s="1">
        <v>1</v>
      </c>
      <c r="S772" t="str">
        <f>IF(R772=1,"Positive","Negative")</f>
        <v>Positive</v>
      </c>
      <c r="T772" s="1" t="str">
        <f>IFERROR(VLOOKUP(A772,[1]diabetes_Recognition!$A:$B,2,FALSE),"Not Sampled")</f>
        <v>Not Sampled</v>
      </c>
      <c r="U772" t="str">
        <f>IF(T772=1,"Positive",(IF(T772=0,"Negative","Not Sampled")))</f>
        <v>Not Sampled</v>
      </c>
      <c r="V772" s="1" t="str">
        <f>IF(U772="Not Sampled","Not Sampled",IF(S772=U772,"Accurate Prediction","Inaccurate Prediction"))</f>
        <v>Not Sampled</v>
      </c>
    </row>
    <row r="773" spans="1:22" x14ac:dyDescent="0.25">
      <c r="A773" s="1">
        <v>771</v>
      </c>
      <c r="B773" s="1">
        <v>2</v>
      </c>
      <c r="C773" s="1">
        <f>LOOKUP(B773,Sheet2!$D$4:$E$9)</f>
        <v>2</v>
      </c>
      <c r="D773" s="1">
        <v>144</v>
      </c>
      <c r="E773" t="str">
        <f>LOOKUP(D773,Sheet2!$G$4:$H$9)</f>
        <v>126-150</v>
      </c>
      <c r="F773" s="1">
        <v>58</v>
      </c>
      <c r="G773" t="str">
        <f>LOOKUP(F773,Sheet2!$J$4:$K$8)</f>
        <v>1-59</v>
      </c>
      <c r="H773" s="1">
        <v>33</v>
      </c>
      <c r="I773" t="str">
        <f>LOOKUP(H773,Sheet2!$M$4:$N$8)</f>
        <v>30-39</v>
      </c>
      <c r="J773" s="1">
        <v>135</v>
      </c>
      <c r="K773" t="str">
        <f>LOOKUP(J773,Sheet2!$P$4:$Q$9)</f>
        <v>100-199</v>
      </c>
      <c r="L773" s="1">
        <v>31.6</v>
      </c>
      <c r="M773" t="str">
        <f>LOOKUP(L773,Sheet2!$S$4:$T$8)</f>
        <v>31-35</v>
      </c>
      <c r="N773" s="1">
        <v>0.42199999999999999</v>
      </c>
      <c r="O773" t="str">
        <f>LOOKUP(N773,Sheet2!$V$4:$W$7)</f>
        <v>0.4 - 0.69</v>
      </c>
      <c r="P773" s="1">
        <v>25</v>
      </c>
      <c r="Q773" t="str">
        <f>LOOKUP(P773,Sheet2!$Z$4:$AA$7)</f>
        <v>&lt;=25</v>
      </c>
      <c r="R773" s="1">
        <v>1</v>
      </c>
      <c r="S773" t="str">
        <f>IF(R773=1,"Positive","Negative")</f>
        <v>Positive</v>
      </c>
      <c r="T773" s="1" t="str">
        <f>IFERROR(VLOOKUP(A773,[1]diabetes_Recognition!$A:$B,2,FALSE),"Not Sampled")</f>
        <v>Not Sampled</v>
      </c>
      <c r="U773" t="str">
        <f>IF(T773=1,"Positive",(IF(T773=0,"Negative","Not Sampled")))</f>
        <v>Not Sampled</v>
      </c>
      <c r="V773" s="1" t="str">
        <f>IF(U773="Not Sampled","Not Sampled",IF(S773=U773,"Accurate Prediction","Inaccurate Prediction"))</f>
        <v>Not Sampled</v>
      </c>
    </row>
    <row r="774" spans="1:22" x14ac:dyDescent="0.25">
      <c r="A774" s="1">
        <v>772</v>
      </c>
      <c r="B774" s="1">
        <v>5</v>
      </c>
      <c r="C774" s="1" t="str">
        <f>LOOKUP(B774,Sheet2!$D$4:$E$9)</f>
        <v>5-7</v>
      </c>
      <c r="D774" s="1">
        <v>77</v>
      </c>
      <c r="E774" t="str">
        <f>LOOKUP(D774,Sheet2!$G$4:$H$9)</f>
        <v>1-99</v>
      </c>
      <c r="F774" s="1">
        <v>82</v>
      </c>
      <c r="G774" t="str">
        <f>LOOKUP(F774,Sheet2!$J$4:$K$8)</f>
        <v>80+</v>
      </c>
      <c r="H774" s="1">
        <v>41</v>
      </c>
      <c r="I774" t="str">
        <f>LOOKUP(H774,Sheet2!$M$4:$N$8)</f>
        <v>40+</v>
      </c>
      <c r="J774" s="1">
        <v>42</v>
      </c>
      <c r="K774" t="str">
        <f>LOOKUP(J774,Sheet2!$P$4:$Q$9)</f>
        <v>1-99</v>
      </c>
      <c r="L774" s="1">
        <v>35.799999999999997</v>
      </c>
      <c r="M774" t="str">
        <f>LOOKUP(L774,Sheet2!$S$4:$T$8)</f>
        <v>31-35</v>
      </c>
      <c r="N774" s="1">
        <v>0.156</v>
      </c>
      <c r="O774" t="str">
        <f>LOOKUP(N774,Sheet2!$V$4:$W$7)</f>
        <v>0.0 - 0.249</v>
      </c>
      <c r="P774" s="1">
        <v>35</v>
      </c>
      <c r="Q774" t="str">
        <f>LOOKUP(P774,Sheet2!$Z$4:$AA$7)</f>
        <v>26-35</v>
      </c>
      <c r="R774" s="1">
        <v>0</v>
      </c>
      <c r="S774" t="str">
        <f>IF(R774=1,"Positive","Negative")</f>
        <v>Negative</v>
      </c>
      <c r="T774" s="1" t="str">
        <f>IFERROR(VLOOKUP(A774,[1]diabetes_Recognition!$A:$B,2,FALSE),"Not Sampled")</f>
        <v>Not Sampled</v>
      </c>
      <c r="U774" t="str">
        <f>IF(T774=1,"Positive",(IF(T774=0,"Negative","Not Sampled")))</f>
        <v>Not Sampled</v>
      </c>
      <c r="V774" s="1" t="str">
        <f>IF(U774="Not Sampled","Not Sampled",IF(S774=U774,"Accurate Prediction","Inaccurate Prediction"))</f>
        <v>Not Sampled</v>
      </c>
    </row>
    <row r="775" spans="1:22" x14ac:dyDescent="0.25">
      <c r="A775" s="1">
        <v>773</v>
      </c>
      <c r="B775" s="1">
        <v>5</v>
      </c>
      <c r="C775" s="1" t="str">
        <f>LOOKUP(B775,Sheet2!$D$4:$E$9)</f>
        <v>5-7</v>
      </c>
      <c r="D775" s="1">
        <v>115</v>
      </c>
      <c r="E775" t="str">
        <f>LOOKUP(D775,Sheet2!$G$4:$H$9)</f>
        <v>100-125</v>
      </c>
      <c r="F775" s="1">
        <v>98</v>
      </c>
      <c r="G775" t="str">
        <f>LOOKUP(F775,Sheet2!$J$4:$K$8)</f>
        <v>80+</v>
      </c>
      <c r="H775" s="1">
        <v>0</v>
      </c>
      <c r="I775" t="str">
        <f>LOOKUP(H775,Sheet2!$M$4:$N$8)</f>
        <v>Unknown</v>
      </c>
      <c r="J775" s="1">
        <v>0</v>
      </c>
      <c r="K775" t="str">
        <f>LOOKUP(J775,Sheet2!$P$4:$Q$9)</f>
        <v>Unknown</v>
      </c>
      <c r="L775" s="1">
        <v>52.9</v>
      </c>
      <c r="M775" t="str">
        <f>LOOKUP(L775,Sheet2!$S$4:$T$8)</f>
        <v>36+</v>
      </c>
      <c r="N775" s="1">
        <v>0.20899999999999999</v>
      </c>
      <c r="O775" t="str">
        <f>LOOKUP(N775,Sheet2!$V$4:$W$7)</f>
        <v>0.0 - 0.249</v>
      </c>
      <c r="P775" s="1">
        <v>28</v>
      </c>
      <c r="Q775" t="str">
        <f>LOOKUP(P775,Sheet2!$Z$4:$AA$7)</f>
        <v>26-35</v>
      </c>
      <c r="R775" s="1">
        <v>1</v>
      </c>
      <c r="S775" t="str">
        <f>IF(R775=1,"Positive","Negative")</f>
        <v>Positive</v>
      </c>
      <c r="T775" s="1" t="str">
        <f>IFERROR(VLOOKUP(A775,[1]diabetes_Recognition!$A:$B,2,FALSE),"Not Sampled")</f>
        <v>Not Sampled</v>
      </c>
      <c r="U775" t="str">
        <f>IF(T775=1,"Positive",(IF(T775=0,"Negative","Not Sampled")))</f>
        <v>Not Sampled</v>
      </c>
      <c r="V775" s="1" t="str">
        <f>IF(U775="Not Sampled","Not Sampled",IF(S775=U775,"Accurate Prediction","Inaccurate Prediction"))</f>
        <v>Not Sampled</v>
      </c>
    </row>
    <row r="776" spans="1:22" x14ac:dyDescent="0.25">
      <c r="A776" s="1">
        <v>774</v>
      </c>
      <c r="B776" s="1">
        <v>3</v>
      </c>
      <c r="C776" s="1" t="str">
        <f>LOOKUP(B776,Sheet2!$D$4:$E$9)</f>
        <v>3-4</v>
      </c>
      <c r="D776" s="1">
        <v>150</v>
      </c>
      <c r="E776" t="str">
        <f>LOOKUP(D776,Sheet2!$G$4:$H$9)</f>
        <v>126-150</v>
      </c>
      <c r="F776" s="1">
        <v>76</v>
      </c>
      <c r="G776" t="str">
        <f>LOOKUP(F776,Sheet2!$J$4:$K$8)</f>
        <v>70-79</v>
      </c>
      <c r="H776" s="1">
        <v>0</v>
      </c>
      <c r="I776" t="str">
        <f>LOOKUP(H776,Sheet2!$M$4:$N$8)</f>
        <v>Unknown</v>
      </c>
      <c r="J776" s="1">
        <v>0</v>
      </c>
      <c r="K776" t="str">
        <f>LOOKUP(J776,Sheet2!$P$4:$Q$9)</f>
        <v>Unknown</v>
      </c>
      <c r="L776" s="1">
        <v>21</v>
      </c>
      <c r="M776" t="str">
        <f>LOOKUP(L776,Sheet2!$S$4:$T$8)</f>
        <v>1-25</v>
      </c>
      <c r="N776" s="1">
        <v>0.20699999999999999</v>
      </c>
      <c r="O776" t="str">
        <f>LOOKUP(N776,Sheet2!$V$4:$W$7)</f>
        <v>0.0 - 0.249</v>
      </c>
      <c r="P776" s="1">
        <v>37</v>
      </c>
      <c r="Q776" t="str">
        <f>LOOKUP(P776,Sheet2!$Z$4:$AA$7)</f>
        <v>36-45</v>
      </c>
      <c r="R776" s="1">
        <v>0</v>
      </c>
      <c r="S776" t="str">
        <f>IF(R776=1,"Positive","Negative")</f>
        <v>Negative</v>
      </c>
      <c r="T776" s="1">
        <f>IFERROR(VLOOKUP(A776,[1]diabetes_Recognition!$A:$B,2,FALSE),"Not Sampled")</f>
        <v>0</v>
      </c>
      <c r="U776" t="str">
        <f>IF(T776=1,"Positive",(IF(T776=0,"Negative","Not Sampled")))</f>
        <v>Negative</v>
      </c>
      <c r="V776" s="1" t="str">
        <f>IF(U776="Not Sampled","Not Sampled",IF(S776=U776,"Accurate Prediction","Inaccurate Prediction"))</f>
        <v>Accurate Prediction</v>
      </c>
    </row>
    <row r="777" spans="1:22" x14ac:dyDescent="0.25">
      <c r="A777" s="1">
        <v>775</v>
      </c>
      <c r="B777" s="1">
        <v>2</v>
      </c>
      <c r="C777" s="1">
        <f>LOOKUP(B777,Sheet2!$D$4:$E$9)</f>
        <v>2</v>
      </c>
      <c r="D777" s="1">
        <v>120</v>
      </c>
      <c r="E777" t="str">
        <f>LOOKUP(D777,Sheet2!$G$4:$H$9)</f>
        <v>100-125</v>
      </c>
      <c r="F777" s="1">
        <v>76</v>
      </c>
      <c r="G777" t="str">
        <f>LOOKUP(F777,Sheet2!$J$4:$K$8)</f>
        <v>70-79</v>
      </c>
      <c r="H777" s="1">
        <v>37</v>
      </c>
      <c r="I777" t="str">
        <f>LOOKUP(H777,Sheet2!$M$4:$N$8)</f>
        <v>30-39</v>
      </c>
      <c r="J777" s="1">
        <v>105</v>
      </c>
      <c r="K777" t="str">
        <f>LOOKUP(J777,Sheet2!$P$4:$Q$9)</f>
        <v>100-199</v>
      </c>
      <c r="L777" s="1">
        <v>39.700000000000003</v>
      </c>
      <c r="M777" t="str">
        <f>LOOKUP(L777,Sheet2!$S$4:$T$8)</f>
        <v>36+</v>
      </c>
      <c r="N777" s="1">
        <v>0.215</v>
      </c>
      <c r="O777" t="str">
        <f>LOOKUP(N777,Sheet2!$V$4:$W$7)</f>
        <v>0.0 - 0.249</v>
      </c>
      <c r="P777" s="1">
        <v>29</v>
      </c>
      <c r="Q777" t="str">
        <f>LOOKUP(P777,Sheet2!$Z$4:$AA$7)</f>
        <v>26-35</v>
      </c>
      <c r="R777" s="1">
        <v>0</v>
      </c>
      <c r="S777" t="str">
        <f>IF(R777=1,"Positive","Negative")</f>
        <v>Negative</v>
      </c>
      <c r="T777" s="1" t="str">
        <f>IFERROR(VLOOKUP(A777,[1]diabetes_Recognition!$A:$B,2,FALSE),"Not Sampled")</f>
        <v>Not Sampled</v>
      </c>
      <c r="U777" t="str">
        <f>IF(T777=1,"Positive",(IF(T777=0,"Negative","Not Sampled")))</f>
        <v>Not Sampled</v>
      </c>
      <c r="V777" s="1" t="str">
        <f>IF(U777="Not Sampled","Not Sampled",IF(S777=U777,"Accurate Prediction","Inaccurate Prediction"))</f>
        <v>Not Sampled</v>
      </c>
    </row>
    <row r="778" spans="1:22" x14ac:dyDescent="0.25">
      <c r="A778" s="1">
        <v>776</v>
      </c>
      <c r="B778" s="1">
        <v>10</v>
      </c>
      <c r="C778" s="1" t="str">
        <f>LOOKUP(B778,Sheet2!$D$4:$E$9)</f>
        <v>8+</v>
      </c>
      <c r="D778" s="1">
        <v>161</v>
      </c>
      <c r="E778" t="str">
        <f>LOOKUP(D778,Sheet2!$G$4:$H$9)</f>
        <v>151-175</v>
      </c>
      <c r="F778" s="1">
        <v>68</v>
      </c>
      <c r="G778" t="str">
        <f>LOOKUP(F778,Sheet2!$J$4:$K$8)</f>
        <v>60-69</v>
      </c>
      <c r="H778" s="1">
        <v>23</v>
      </c>
      <c r="I778" t="str">
        <f>LOOKUP(H778,Sheet2!$M$4:$N$8)</f>
        <v>10-30</v>
      </c>
      <c r="J778" s="1">
        <v>132</v>
      </c>
      <c r="K778" t="str">
        <f>LOOKUP(J778,Sheet2!$P$4:$Q$9)</f>
        <v>100-199</v>
      </c>
      <c r="L778" s="1">
        <v>25.5</v>
      </c>
      <c r="M778" t="str">
        <f>LOOKUP(L778,Sheet2!$S$4:$T$8)</f>
        <v>1-25</v>
      </c>
      <c r="N778" s="1">
        <v>0.32600000000000001</v>
      </c>
      <c r="O778" t="str">
        <f>LOOKUP(N778,Sheet2!$V$4:$W$7)</f>
        <v>0.25 - 0.39</v>
      </c>
      <c r="P778" s="1">
        <v>47</v>
      </c>
      <c r="Q778" t="str">
        <f>LOOKUP(P778,Sheet2!$Z$4:$AA$7)</f>
        <v>46+</v>
      </c>
      <c r="R778" s="1">
        <v>1</v>
      </c>
      <c r="S778" t="str">
        <f>IF(R778=1,"Positive","Negative")</f>
        <v>Positive</v>
      </c>
      <c r="T778" s="1" t="str">
        <f>IFERROR(VLOOKUP(A778,[1]diabetes_Recognition!$A:$B,2,FALSE),"Not Sampled")</f>
        <v>Not Sampled</v>
      </c>
      <c r="U778" t="str">
        <f>IF(T778=1,"Positive",(IF(T778=0,"Negative","Not Sampled")))</f>
        <v>Not Sampled</v>
      </c>
      <c r="V778" s="1" t="str">
        <f>IF(U778="Not Sampled","Not Sampled",IF(S778=U778,"Accurate Prediction","Inaccurate Prediction"))</f>
        <v>Not Sampled</v>
      </c>
    </row>
    <row r="779" spans="1:22" x14ac:dyDescent="0.25">
      <c r="A779" s="1">
        <v>777</v>
      </c>
      <c r="B779" s="1">
        <v>0</v>
      </c>
      <c r="C779" s="1">
        <f>LOOKUP(B779,Sheet2!$D$4:$E$9)</f>
        <v>0</v>
      </c>
      <c r="D779" s="1">
        <v>137</v>
      </c>
      <c r="E779" t="str">
        <f>LOOKUP(D779,Sheet2!$G$4:$H$9)</f>
        <v>126-150</v>
      </c>
      <c r="F779" s="1">
        <v>68</v>
      </c>
      <c r="G779" t="str">
        <f>LOOKUP(F779,Sheet2!$J$4:$K$8)</f>
        <v>60-69</v>
      </c>
      <c r="H779" s="1">
        <v>14</v>
      </c>
      <c r="I779" t="str">
        <f>LOOKUP(H779,Sheet2!$M$4:$N$8)</f>
        <v>10-30</v>
      </c>
      <c r="J779" s="1">
        <v>148</v>
      </c>
      <c r="K779" t="str">
        <f>LOOKUP(J779,Sheet2!$P$4:$Q$9)</f>
        <v>100-199</v>
      </c>
      <c r="L779" s="1">
        <v>24.8</v>
      </c>
      <c r="M779" t="str">
        <f>LOOKUP(L779,Sheet2!$S$4:$T$8)</f>
        <v>1-25</v>
      </c>
      <c r="N779" s="1">
        <v>0.14299999999999999</v>
      </c>
      <c r="O779" t="str">
        <f>LOOKUP(N779,Sheet2!$V$4:$W$7)</f>
        <v>0.0 - 0.249</v>
      </c>
      <c r="P779" s="1">
        <v>21</v>
      </c>
      <c r="Q779" t="str">
        <f>LOOKUP(P779,Sheet2!$Z$4:$AA$7)</f>
        <v>&lt;=25</v>
      </c>
      <c r="R779" s="1">
        <v>0</v>
      </c>
      <c r="S779" t="str">
        <f>IF(R779=1,"Positive","Negative")</f>
        <v>Negative</v>
      </c>
      <c r="T779" s="1" t="str">
        <f>IFERROR(VLOOKUP(A779,[1]diabetes_Recognition!$A:$B,2,FALSE),"Not Sampled")</f>
        <v>Not Sampled</v>
      </c>
      <c r="U779" t="str">
        <f>IF(T779=1,"Positive",(IF(T779=0,"Negative","Not Sampled")))</f>
        <v>Not Sampled</v>
      </c>
      <c r="V779" s="1" t="str">
        <f>IF(U779="Not Sampled","Not Sampled",IF(S779=U779,"Accurate Prediction","Inaccurate Prediction"))</f>
        <v>Not Sampled</v>
      </c>
    </row>
    <row r="780" spans="1:22" x14ac:dyDescent="0.25">
      <c r="A780" s="1">
        <v>778</v>
      </c>
      <c r="B780" s="1">
        <v>0</v>
      </c>
      <c r="C780" s="1">
        <f>LOOKUP(B780,Sheet2!$D$4:$E$9)</f>
        <v>0</v>
      </c>
      <c r="D780" s="1">
        <v>128</v>
      </c>
      <c r="E780" t="str">
        <f>LOOKUP(D780,Sheet2!$G$4:$H$9)</f>
        <v>126-150</v>
      </c>
      <c r="F780" s="1">
        <v>68</v>
      </c>
      <c r="G780" t="str">
        <f>LOOKUP(F780,Sheet2!$J$4:$K$8)</f>
        <v>60-69</v>
      </c>
      <c r="H780" s="1">
        <v>19</v>
      </c>
      <c r="I780" t="str">
        <f>LOOKUP(H780,Sheet2!$M$4:$N$8)</f>
        <v>10-30</v>
      </c>
      <c r="J780" s="1">
        <v>180</v>
      </c>
      <c r="K780" t="str">
        <f>LOOKUP(J780,Sheet2!$P$4:$Q$9)</f>
        <v>100-199</v>
      </c>
      <c r="L780" s="1">
        <v>30.5</v>
      </c>
      <c r="M780" t="str">
        <f>LOOKUP(L780,Sheet2!$S$4:$T$8)</f>
        <v>26-30</v>
      </c>
      <c r="N780" s="1">
        <v>1.391</v>
      </c>
      <c r="O780" t="str">
        <f>LOOKUP(N780,Sheet2!$V$4:$W$7)</f>
        <v>0.7+</v>
      </c>
      <c r="P780" s="1">
        <v>25</v>
      </c>
      <c r="Q780" t="str">
        <f>LOOKUP(P780,Sheet2!$Z$4:$AA$7)</f>
        <v>&lt;=25</v>
      </c>
      <c r="R780" s="1">
        <v>1</v>
      </c>
      <c r="S780" t="str">
        <f>IF(R780=1,"Positive","Negative")</f>
        <v>Positive</v>
      </c>
      <c r="T780" s="1" t="str">
        <f>IFERROR(VLOOKUP(A780,[1]diabetes_Recognition!$A:$B,2,FALSE),"Not Sampled")</f>
        <v>Not Sampled</v>
      </c>
      <c r="U780" t="str">
        <f>IF(T780=1,"Positive",(IF(T780=0,"Negative","Not Sampled")))</f>
        <v>Not Sampled</v>
      </c>
      <c r="V780" s="1" t="str">
        <f>IF(U780="Not Sampled","Not Sampled",IF(S780=U780,"Accurate Prediction","Inaccurate Prediction"))</f>
        <v>Not Sampled</v>
      </c>
    </row>
    <row r="781" spans="1:22" x14ac:dyDescent="0.25">
      <c r="A781" s="1">
        <v>779</v>
      </c>
      <c r="B781" s="1">
        <v>2</v>
      </c>
      <c r="C781" s="1">
        <f>LOOKUP(B781,Sheet2!$D$4:$E$9)</f>
        <v>2</v>
      </c>
      <c r="D781" s="1">
        <v>124</v>
      </c>
      <c r="E781" t="str">
        <f>LOOKUP(D781,Sheet2!$G$4:$H$9)</f>
        <v>100-125</v>
      </c>
      <c r="F781" s="1">
        <v>68</v>
      </c>
      <c r="G781" t="str">
        <f>LOOKUP(F781,Sheet2!$J$4:$K$8)</f>
        <v>60-69</v>
      </c>
      <c r="H781" s="1">
        <v>28</v>
      </c>
      <c r="I781" t="str">
        <f>LOOKUP(H781,Sheet2!$M$4:$N$8)</f>
        <v>10-30</v>
      </c>
      <c r="J781" s="1">
        <v>205</v>
      </c>
      <c r="K781" t="str">
        <f>LOOKUP(J781,Sheet2!$P$4:$Q$9)</f>
        <v>200-399</v>
      </c>
      <c r="L781" s="1">
        <v>32.9</v>
      </c>
      <c r="M781" t="str">
        <f>LOOKUP(L781,Sheet2!$S$4:$T$8)</f>
        <v>31-35</v>
      </c>
      <c r="N781" s="1">
        <v>0.875</v>
      </c>
      <c r="O781" t="str">
        <f>LOOKUP(N781,Sheet2!$V$4:$W$7)</f>
        <v>0.7+</v>
      </c>
      <c r="P781" s="1">
        <v>30</v>
      </c>
      <c r="Q781" t="str">
        <f>LOOKUP(P781,Sheet2!$Z$4:$AA$7)</f>
        <v>26-35</v>
      </c>
      <c r="R781" s="1">
        <v>1</v>
      </c>
      <c r="S781" t="str">
        <f>IF(R781=1,"Positive","Negative")</f>
        <v>Positive</v>
      </c>
      <c r="T781" s="1">
        <f>IFERROR(VLOOKUP(A781,[1]diabetes_Recognition!$A:$B,2,FALSE),"Not Sampled")</f>
        <v>0</v>
      </c>
      <c r="U781" t="str">
        <f>IF(T781=1,"Positive",(IF(T781=0,"Negative","Not Sampled")))</f>
        <v>Negative</v>
      </c>
      <c r="V781" s="1" t="str">
        <f>IF(U781="Not Sampled","Not Sampled",IF(S781=U781,"Accurate Prediction","Inaccurate Prediction"))</f>
        <v>Inaccurate Prediction</v>
      </c>
    </row>
    <row r="782" spans="1:22" x14ac:dyDescent="0.25">
      <c r="A782" s="1">
        <v>780</v>
      </c>
      <c r="B782" s="1">
        <v>6</v>
      </c>
      <c r="C782" s="1" t="str">
        <f>LOOKUP(B782,Sheet2!$D$4:$E$9)</f>
        <v>5-7</v>
      </c>
      <c r="D782" s="1">
        <v>80</v>
      </c>
      <c r="E782" t="str">
        <f>LOOKUP(D782,Sheet2!$G$4:$H$9)</f>
        <v>1-99</v>
      </c>
      <c r="F782" s="1">
        <v>66</v>
      </c>
      <c r="G782" t="str">
        <f>LOOKUP(F782,Sheet2!$J$4:$K$8)</f>
        <v>60-69</v>
      </c>
      <c r="H782" s="1">
        <v>30</v>
      </c>
      <c r="I782" t="str">
        <f>LOOKUP(H782,Sheet2!$M$4:$N$8)</f>
        <v>30-39</v>
      </c>
      <c r="J782" s="1">
        <v>0</v>
      </c>
      <c r="K782" t="str">
        <f>LOOKUP(J782,Sheet2!$P$4:$Q$9)</f>
        <v>Unknown</v>
      </c>
      <c r="L782" s="1">
        <v>26.2</v>
      </c>
      <c r="M782" t="str">
        <f>LOOKUP(L782,Sheet2!$S$4:$T$8)</f>
        <v>26-30</v>
      </c>
      <c r="N782" s="1">
        <v>0.313</v>
      </c>
      <c r="O782" t="str">
        <f>LOOKUP(N782,Sheet2!$V$4:$W$7)</f>
        <v>0.25 - 0.39</v>
      </c>
      <c r="P782" s="1">
        <v>41</v>
      </c>
      <c r="Q782" t="str">
        <f>LOOKUP(P782,Sheet2!$Z$4:$AA$7)</f>
        <v>36-45</v>
      </c>
      <c r="R782" s="1">
        <v>0</v>
      </c>
      <c r="S782" t="str">
        <f>IF(R782=1,"Positive","Negative")</f>
        <v>Negative</v>
      </c>
      <c r="T782" s="1" t="str">
        <f>IFERROR(VLOOKUP(A782,[1]diabetes_Recognition!$A:$B,2,FALSE),"Not Sampled")</f>
        <v>Not Sampled</v>
      </c>
      <c r="U782" t="str">
        <f>IF(T782=1,"Positive",(IF(T782=0,"Negative","Not Sampled")))</f>
        <v>Not Sampled</v>
      </c>
      <c r="V782" s="1" t="str">
        <f>IF(U782="Not Sampled","Not Sampled",IF(S782=U782,"Accurate Prediction","Inaccurate Prediction"))</f>
        <v>Not Sampled</v>
      </c>
    </row>
    <row r="783" spans="1:22" x14ac:dyDescent="0.25">
      <c r="A783" s="1">
        <v>781</v>
      </c>
      <c r="B783" s="1">
        <v>0</v>
      </c>
      <c r="C783" s="1">
        <f>LOOKUP(B783,Sheet2!$D$4:$E$9)</f>
        <v>0</v>
      </c>
      <c r="D783" s="1">
        <v>106</v>
      </c>
      <c r="E783" t="str">
        <f>LOOKUP(D783,Sheet2!$G$4:$H$9)</f>
        <v>100-125</v>
      </c>
      <c r="F783" s="1">
        <v>70</v>
      </c>
      <c r="G783" t="str">
        <f>LOOKUP(F783,Sheet2!$J$4:$K$8)</f>
        <v>70-79</v>
      </c>
      <c r="H783" s="1">
        <v>37</v>
      </c>
      <c r="I783" t="str">
        <f>LOOKUP(H783,Sheet2!$M$4:$N$8)</f>
        <v>30-39</v>
      </c>
      <c r="J783" s="1">
        <v>148</v>
      </c>
      <c r="K783" t="str">
        <f>LOOKUP(J783,Sheet2!$P$4:$Q$9)</f>
        <v>100-199</v>
      </c>
      <c r="L783" s="1">
        <v>39.4</v>
      </c>
      <c r="M783" t="str">
        <f>LOOKUP(L783,Sheet2!$S$4:$T$8)</f>
        <v>36+</v>
      </c>
      <c r="N783" s="1">
        <v>0.60499999999999998</v>
      </c>
      <c r="O783" t="str">
        <f>LOOKUP(N783,Sheet2!$V$4:$W$7)</f>
        <v>0.4 - 0.69</v>
      </c>
      <c r="P783" s="1">
        <v>22</v>
      </c>
      <c r="Q783" t="str">
        <f>LOOKUP(P783,Sheet2!$Z$4:$AA$7)</f>
        <v>&lt;=25</v>
      </c>
      <c r="R783" s="1">
        <v>0</v>
      </c>
      <c r="S783" t="str">
        <f>IF(R783=1,"Positive","Negative")</f>
        <v>Negative</v>
      </c>
      <c r="T783" s="1" t="str">
        <f>IFERROR(VLOOKUP(A783,[1]diabetes_Recognition!$A:$B,2,FALSE),"Not Sampled")</f>
        <v>Not Sampled</v>
      </c>
      <c r="U783" t="str">
        <f>IF(T783=1,"Positive",(IF(T783=0,"Negative","Not Sampled")))</f>
        <v>Not Sampled</v>
      </c>
      <c r="V783" s="1" t="str">
        <f>IF(U783="Not Sampled","Not Sampled",IF(S783=U783,"Accurate Prediction","Inaccurate Prediction"))</f>
        <v>Not Sampled</v>
      </c>
    </row>
    <row r="784" spans="1:22" x14ac:dyDescent="0.25">
      <c r="A784" s="1">
        <v>782</v>
      </c>
      <c r="B784" s="1">
        <v>2</v>
      </c>
      <c r="C784" s="1">
        <f>LOOKUP(B784,Sheet2!$D$4:$E$9)</f>
        <v>2</v>
      </c>
      <c r="D784" s="1">
        <v>155</v>
      </c>
      <c r="E784" t="str">
        <f>LOOKUP(D784,Sheet2!$G$4:$H$9)</f>
        <v>151-175</v>
      </c>
      <c r="F784" s="1">
        <v>74</v>
      </c>
      <c r="G784" t="str">
        <f>LOOKUP(F784,Sheet2!$J$4:$K$8)</f>
        <v>70-79</v>
      </c>
      <c r="H784" s="1">
        <v>17</v>
      </c>
      <c r="I784" t="str">
        <f>LOOKUP(H784,Sheet2!$M$4:$N$8)</f>
        <v>10-30</v>
      </c>
      <c r="J784" s="1">
        <v>96</v>
      </c>
      <c r="K784" t="str">
        <f>LOOKUP(J784,Sheet2!$P$4:$Q$9)</f>
        <v>1-99</v>
      </c>
      <c r="L784" s="1">
        <v>26.6</v>
      </c>
      <c r="M784" t="str">
        <f>LOOKUP(L784,Sheet2!$S$4:$T$8)</f>
        <v>26-30</v>
      </c>
      <c r="N784" s="1">
        <v>0.433</v>
      </c>
      <c r="O784" t="str">
        <f>LOOKUP(N784,Sheet2!$V$4:$W$7)</f>
        <v>0.4 - 0.69</v>
      </c>
      <c r="P784" s="1">
        <v>27</v>
      </c>
      <c r="Q784" t="str">
        <f>LOOKUP(P784,Sheet2!$Z$4:$AA$7)</f>
        <v>26-35</v>
      </c>
      <c r="R784" s="1">
        <v>1</v>
      </c>
      <c r="S784" t="str">
        <f>IF(R784=1,"Positive","Negative")</f>
        <v>Positive</v>
      </c>
      <c r="T784" s="1" t="str">
        <f>IFERROR(VLOOKUP(A784,[1]diabetes_Recognition!$A:$B,2,FALSE),"Not Sampled")</f>
        <v>Not Sampled</v>
      </c>
      <c r="U784" t="str">
        <f>IF(T784=1,"Positive",(IF(T784=0,"Negative","Not Sampled")))</f>
        <v>Not Sampled</v>
      </c>
      <c r="V784" s="1" t="str">
        <f>IF(U784="Not Sampled","Not Sampled",IF(S784=U784,"Accurate Prediction","Inaccurate Prediction"))</f>
        <v>Not Sampled</v>
      </c>
    </row>
    <row r="785" spans="1:22" x14ac:dyDescent="0.25">
      <c r="A785" s="1">
        <v>783</v>
      </c>
      <c r="B785" s="1">
        <v>3</v>
      </c>
      <c r="C785" s="1" t="str">
        <f>LOOKUP(B785,Sheet2!$D$4:$E$9)</f>
        <v>3-4</v>
      </c>
      <c r="D785" s="1">
        <v>113</v>
      </c>
      <c r="E785" t="str">
        <f>LOOKUP(D785,Sheet2!$G$4:$H$9)</f>
        <v>100-125</v>
      </c>
      <c r="F785" s="1">
        <v>50</v>
      </c>
      <c r="G785" t="str">
        <f>LOOKUP(F785,Sheet2!$J$4:$K$8)</f>
        <v>1-59</v>
      </c>
      <c r="H785" s="1">
        <v>10</v>
      </c>
      <c r="I785" t="str">
        <f>LOOKUP(H785,Sheet2!$M$4:$N$8)</f>
        <v>10-30</v>
      </c>
      <c r="J785" s="1">
        <v>85</v>
      </c>
      <c r="K785" t="str">
        <f>LOOKUP(J785,Sheet2!$P$4:$Q$9)</f>
        <v>1-99</v>
      </c>
      <c r="L785" s="1">
        <v>29.5</v>
      </c>
      <c r="M785" t="str">
        <f>LOOKUP(L785,Sheet2!$S$4:$T$8)</f>
        <v>26-30</v>
      </c>
      <c r="N785" s="1">
        <v>0.626</v>
      </c>
      <c r="O785" t="str">
        <f>LOOKUP(N785,Sheet2!$V$4:$W$7)</f>
        <v>0.4 - 0.69</v>
      </c>
      <c r="P785" s="1">
        <v>25</v>
      </c>
      <c r="Q785" t="str">
        <f>LOOKUP(P785,Sheet2!$Z$4:$AA$7)</f>
        <v>&lt;=25</v>
      </c>
      <c r="R785" s="1">
        <v>0</v>
      </c>
      <c r="S785" t="str">
        <f>IF(R785=1,"Positive","Negative")</f>
        <v>Negative</v>
      </c>
      <c r="T785" s="1" t="str">
        <f>IFERROR(VLOOKUP(A785,[1]diabetes_Recognition!$A:$B,2,FALSE),"Not Sampled")</f>
        <v>Not Sampled</v>
      </c>
      <c r="U785" t="str">
        <f>IF(T785=1,"Positive",(IF(T785=0,"Negative","Not Sampled")))</f>
        <v>Not Sampled</v>
      </c>
      <c r="V785" s="1" t="str">
        <f>IF(U785="Not Sampled","Not Sampled",IF(S785=U785,"Accurate Prediction","Inaccurate Prediction"))</f>
        <v>Not Sampled</v>
      </c>
    </row>
    <row r="786" spans="1:22" x14ac:dyDescent="0.25">
      <c r="A786" s="1">
        <v>784</v>
      </c>
      <c r="B786" s="1">
        <v>7</v>
      </c>
      <c r="C786" s="1" t="str">
        <f>LOOKUP(B786,Sheet2!$D$4:$E$9)</f>
        <v>5-7</v>
      </c>
      <c r="D786" s="1">
        <v>109</v>
      </c>
      <c r="E786" t="str">
        <f>LOOKUP(D786,Sheet2!$G$4:$H$9)</f>
        <v>100-125</v>
      </c>
      <c r="F786" s="1">
        <v>80</v>
      </c>
      <c r="G786" t="str">
        <f>LOOKUP(F786,Sheet2!$J$4:$K$8)</f>
        <v>80+</v>
      </c>
      <c r="H786" s="1">
        <v>31</v>
      </c>
      <c r="I786" t="str">
        <f>LOOKUP(H786,Sheet2!$M$4:$N$8)</f>
        <v>30-39</v>
      </c>
      <c r="J786" s="1">
        <v>0</v>
      </c>
      <c r="K786" t="str">
        <f>LOOKUP(J786,Sheet2!$P$4:$Q$9)</f>
        <v>Unknown</v>
      </c>
      <c r="L786" s="1">
        <v>35.9</v>
      </c>
      <c r="M786" t="str">
        <f>LOOKUP(L786,Sheet2!$S$4:$T$8)</f>
        <v>31-35</v>
      </c>
      <c r="N786" s="1">
        <v>1.127</v>
      </c>
      <c r="O786" t="str">
        <f>LOOKUP(N786,Sheet2!$V$4:$W$7)</f>
        <v>0.7+</v>
      </c>
      <c r="P786" s="1">
        <v>43</v>
      </c>
      <c r="Q786" t="str">
        <f>LOOKUP(P786,Sheet2!$Z$4:$AA$7)</f>
        <v>36-45</v>
      </c>
      <c r="R786" s="1">
        <v>1</v>
      </c>
      <c r="S786" t="str">
        <f>IF(R786=1,"Positive","Negative")</f>
        <v>Positive</v>
      </c>
      <c r="T786" s="1" t="str">
        <f>IFERROR(VLOOKUP(A786,[1]diabetes_Recognition!$A:$B,2,FALSE),"Not Sampled")</f>
        <v>Not Sampled</v>
      </c>
      <c r="U786" t="str">
        <f>IF(T786=1,"Positive",(IF(T786=0,"Negative","Not Sampled")))</f>
        <v>Not Sampled</v>
      </c>
      <c r="V786" s="1" t="str">
        <f>IF(U786="Not Sampled","Not Sampled",IF(S786=U786,"Accurate Prediction","Inaccurate Prediction"))</f>
        <v>Not Sampled</v>
      </c>
    </row>
    <row r="787" spans="1:22" x14ac:dyDescent="0.25">
      <c r="A787" s="1">
        <v>785</v>
      </c>
      <c r="B787" s="1">
        <v>2</v>
      </c>
      <c r="C787" s="1">
        <f>LOOKUP(B787,Sheet2!$D$4:$E$9)</f>
        <v>2</v>
      </c>
      <c r="D787" s="1">
        <v>112</v>
      </c>
      <c r="E787" t="str">
        <f>LOOKUP(D787,Sheet2!$G$4:$H$9)</f>
        <v>100-125</v>
      </c>
      <c r="F787" s="1">
        <v>68</v>
      </c>
      <c r="G787" t="str">
        <f>LOOKUP(F787,Sheet2!$J$4:$K$8)</f>
        <v>60-69</v>
      </c>
      <c r="H787" s="1">
        <v>22</v>
      </c>
      <c r="I787" t="str">
        <f>LOOKUP(H787,Sheet2!$M$4:$N$8)</f>
        <v>10-30</v>
      </c>
      <c r="J787" s="1">
        <v>94</v>
      </c>
      <c r="K787" t="str">
        <f>LOOKUP(J787,Sheet2!$P$4:$Q$9)</f>
        <v>1-99</v>
      </c>
      <c r="L787" s="1">
        <v>34.1</v>
      </c>
      <c r="M787" t="str">
        <f>LOOKUP(L787,Sheet2!$S$4:$T$8)</f>
        <v>31-35</v>
      </c>
      <c r="N787" s="1">
        <v>0.315</v>
      </c>
      <c r="O787" t="str">
        <f>LOOKUP(N787,Sheet2!$V$4:$W$7)</f>
        <v>0.25 - 0.39</v>
      </c>
      <c r="P787" s="1">
        <v>26</v>
      </c>
      <c r="Q787" t="str">
        <f>LOOKUP(P787,Sheet2!$Z$4:$AA$7)</f>
        <v>26-35</v>
      </c>
      <c r="R787" s="1">
        <v>0</v>
      </c>
      <c r="S787" t="str">
        <f>IF(R787=1,"Positive","Negative")</f>
        <v>Negative</v>
      </c>
      <c r="T787" s="1" t="str">
        <f>IFERROR(VLOOKUP(A787,[1]diabetes_Recognition!$A:$B,2,FALSE),"Not Sampled")</f>
        <v>Not Sampled</v>
      </c>
      <c r="U787" t="str">
        <f>IF(T787=1,"Positive",(IF(T787=0,"Negative","Not Sampled")))</f>
        <v>Not Sampled</v>
      </c>
      <c r="V787" s="1" t="str">
        <f>IF(U787="Not Sampled","Not Sampled",IF(S787=U787,"Accurate Prediction","Inaccurate Prediction"))</f>
        <v>Not Sampled</v>
      </c>
    </row>
    <row r="788" spans="1:22" x14ac:dyDescent="0.25">
      <c r="A788" s="1">
        <v>786</v>
      </c>
      <c r="B788" s="1">
        <v>3</v>
      </c>
      <c r="C788" s="1" t="str">
        <f>LOOKUP(B788,Sheet2!$D$4:$E$9)</f>
        <v>3-4</v>
      </c>
      <c r="D788" s="1">
        <v>99</v>
      </c>
      <c r="E788" t="str">
        <f>LOOKUP(D788,Sheet2!$G$4:$H$9)</f>
        <v>1-99</v>
      </c>
      <c r="F788" s="1">
        <v>80</v>
      </c>
      <c r="G788" t="str">
        <f>LOOKUP(F788,Sheet2!$J$4:$K$8)</f>
        <v>80+</v>
      </c>
      <c r="H788" s="1">
        <v>11</v>
      </c>
      <c r="I788" t="str">
        <f>LOOKUP(H788,Sheet2!$M$4:$N$8)</f>
        <v>10-30</v>
      </c>
      <c r="J788" s="1">
        <v>64</v>
      </c>
      <c r="K788" t="str">
        <f>LOOKUP(J788,Sheet2!$P$4:$Q$9)</f>
        <v>1-99</v>
      </c>
      <c r="L788" s="1">
        <v>19.3</v>
      </c>
      <c r="M788" t="str">
        <f>LOOKUP(L788,Sheet2!$S$4:$T$8)</f>
        <v>1-25</v>
      </c>
      <c r="N788" s="1">
        <v>0.28399999999999997</v>
      </c>
      <c r="O788" t="str">
        <f>LOOKUP(N788,Sheet2!$V$4:$W$7)</f>
        <v>0.25 - 0.39</v>
      </c>
      <c r="P788" s="1">
        <v>30</v>
      </c>
      <c r="Q788" t="str">
        <f>LOOKUP(P788,Sheet2!$Z$4:$AA$7)</f>
        <v>26-35</v>
      </c>
      <c r="R788" s="1">
        <v>0</v>
      </c>
      <c r="S788" t="str">
        <f>IF(R788=1,"Positive","Negative")</f>
        <v>Negative</v>
      </c>
      <c r="T788" s="1" t="str">
        <f>IFERROR(VLOOKUP(A788,[1]diabetes_Recognition!$A:$B,2,FALSE),"Not Sampled")</f>
        <v>Not Sampled</v>
      </c>
      <c r="U788" t="str">
        <f>IF(T788=1,"Positive",(IF(T788=0,"Negative","Not Sampled")))</f>
        <v>Not Sampled</v>
      </c>
      <c r="V788" s="1" t="str">
        <f>IF(U788="Not Sampled","Not Sampled",IF(S788=U788,"Accurate Prediction","Inaccurate Prediction"))</f>
        <v>Not Sampled</v>
      </c>
    </row>
    <row r="789" spans="1:22" x14ac:dyDescent="0.25">
      <c r="A789" s="1">
        <v>787</v>
      </c>
      <c r="B789" s="1">
        <v>3</v>
      </c>
      <c r="C789" s="1" t="str">
        <f>LOOKUP(B789,Sheet2!$D$4:$E$9)</f>
        <v>3-4</v>
      </c>
      <c r="D789" s="1">
        <v>182</v>
      </c>
      <c r="E789" t="str">
        <f>LOOKUP(D789,Sheet2!$G$4:$H$9)</f>
        <v>176-200</v>
      </c>
      <c r="F789" s="1">
        <v>74</v>
      </c>
      <c r="G789" t="str">
        <f>LOOKUP(F789,Sheet2!$J$4:$K$8)</f>
        <v>70-79</v>
      </c>
      <c r="H789" s="1">
        <v>0</v>
      </c>
      <c r="I789" t="str">
        <f>LOOKUP(H789,Sheet2!$M$4:$N$8)</f>
        <v>Unknown</v>
      </c>
      <c r="J789" s="1">
        <v>0</v>
      </c>
      <c r="K789" t="str">
        <f>LOOKUP(J789,Sheet2!$P$4:$Q$9)</f>
        <v>Unknown</v>
      </c>
      <c r="L789" s="1">
        <v>30.5</v>
      </c>
      <c r="M789" t="str">
        <f>LOOKUP(L789,Sheet2!$S$4:$T$8)</f>
        <v>26-30</v>
      </c>
      <c r="N789" s="1">
        <v>0.34499999999999997</v>
      </c>
      <c r="O789" t="str">
        <f>LOOKUP(N789,Sheet2!$V$4:$W$7)</f>
        <v>0.25 - 0.39</v>
      </c>
      <c r="P789" s="1">
        <v>29</v>
      </c>
      <c r="Q789" t="str">
        <f>LOOKUP(P789,Sheet2!$Z$4:$AA$7)</f>
        <v>26-35</v>
      </c>
      <c r="R789" s="1">
        <v>1</v>
      </c>
      <c r="S789" t="str">
        <f>IF(R789=1,"Positive","Negative")</f>
        <v>Positive</v>
      </c>
      <c r="T789" s="1" t="str">
        <f>IFERROR(VLOOKUP(A789,[1]diabetes_Recognition!$A:$B,2,FALSE),"Not Sampled")</f>
        <v>Not Sampled</v>
      </c>
      <c r="U789" t="str">
        <f>IF(T789=1,"Positive",(IF(T789=0,"Negative","Not Sampled")))</f>
        <v>Not Sampled</v>
      </c>
      <c r="V789" s="1" t="str">
        <f>IF(U789="Not Sampled","Not Sampled",IF(S789=U789,"Accurate Prediction","Inaccurate Prediction"))</f>
        <v>Not Sampled</v>
      </c>
    </row>
    <row r="790" spans="1:22" x14ac:dyDescent="0.25">
      <c r="A790" s="1">
        <v>788</v>
      </c>
      <c r="B790" s="1">
        <v>3</v>
      </c>
      <c r="C790" s="1" t="str">
        <f>LOOKUP(B790,Sheet2!$D$4:$E$9)</f>
        <v>3-4</v>
      </c>
      <c r="D790" s="1">
        <v>115</v>
      </c>
      <c r="E790" t="str">
        <f>LOOKUP(D790,Sheet2!$G$4:$H$9)</f>
        <v>100-125</v>
      </c>
      <c r="F790" s="1">
        <v>66</v>
      </c>
      <c r="G790" t="str">
        <f>LOOKUP(F790,Sheet2!$J$4:$K$8)</f>
        <v>60-69</v>
      </c>
      <c r="H790" s="1">
        <v>39</v>
      </c>
      <c r="I790" t="str">
        <f>LOOKUP(H790,Sheet2!$M$4:$N$8)</f>
        <v>30-39</v>
      </c>
      <c r="J790" s="1">
        <v>140</v>
      </c>
      <c r="K790" t="str">
        <f>LOOKUP(J790,Sheet2!$P$4:$Q$9)</f>
        <v>100-199</v>
      </c>
      <c r="L790" s="1">
        <v>38.1</v>
      </c>
      <c r="M790" t="str">
        <f>LOOKUP(L790,Sheet2!$S$4:$T$8)</f>
        <v>36+</v>
      </c>
      <c r="N790" s="1">
        <v>0.15</v>
      </c>
      <c r="O790" t="str">
        <f>LOOKUP(N790,Sheet2!$V$4:$W$7)</f>
        <v>0.0 - 0.249</v>
      </c>
      <c r="P790" s="1">
        <v>28</v>
      </c>
      <c r="Q790" t="str">
        <f>LOOKUP(P790,Sheet2!$Z$4:$AA$7)</f>
        <v>26-35</v>
      </c>
      <c r="R790" s="1">
        <v>0</v>
      </c>
      <c r="S790" t="str">
        <f>IF(R790=1,"Positive","Negative")</f>
        <v>Negative</v>
      </c>
      <c r="T790" s="1" t="str">
        <f>IFERROR(VLOOKUP(A790,[1]diabetes_Recognition!$A:$B,2,FALSE),"Not Sampled")</f>
        <v>Not Sampled</v>
      </c>
      <c r="U790" t="str">
        <f>IF(T790=1,"Positive",(IF(T790=0,"Negative","Not Sampled")))</f>
        <v>Not Sampled</v>
      </c>
      <c r="V790" s="1" t="str">
        <f>IF(U790="Not Sampled","Not Sampled",IF(S790=U790,"Accurate Prediction","Inaccurate Prediction"))</f>
        <v>Not Sampled</v>
      </c>
    </row>
    <row r="791" spans="1:22" x14ac:dyDescent="0.25">
      <c r="A791" s="1">
        <v>789</v>
      </c>
      <c r="B791" s="1">
        <v>6</v>
      </c>
      <c r="C791" s="1" t="str">
        <f>LOOKUP(B791,Sheet2!$D$4:$E$9)</f>
        <v>5-7</v>
      </c>
      <c r="D791" s="1">
        <v>194</v>
      </c>
      <c r="E791" t="str">
        <f>LOOKUP(D791,Sheet2!$G$4:$H$9)</f>
        <v>176-200</v>
      </c>
      <c r="F791" s="1">
        <v>78</v>
      </c>
      <c r="G791" t="str">
        <f>LOOKUP(F791,Sheet2!$J$4:$K$8)</f>
        <v>70-79</v>
      </c>
      <c r="H791" s="1">
        <v>0</v>
      </c>
      <c r="I791" t="str">
        <f>LOOKUP(H791,Sheet2!$M$4:$N$8)</f>
        <v>Unknown</v>
      </c>
      <c r="J791" s="1">
        <v>0</v>
      </c>
      <c r="K791" t="str">
        <f>LOOKUP(J791,Sheet2!$P$4:$Q$9)</f>
        <v>Unknown</v>
      </c>
      <c r="L791" s="1">
        <v>23.5</v>
      </c>
      <c r="M791" t="str">
        <f>LOOKUP(L791,Sheet2!$S$4:$T$8)</f>
        <v>1-25</v>
      </c>
      <c r="N791" s="1">
        <v>0.129</v>
      </c>
      <c r="O791" t="str">
        <f>LOOKUP(N791,Sheet2!$V$4:$W$7)</f>
        <v>0.0 - 0.249</v>
      </c>
      <c r="P791" s="1">
        <v>59</v>
      </c>
      <c r="Q791" t="str">
        <f>LOOKUP(P791,Sheet2!$Z$4:$AA$7)</f>
        <v>46+</v>
      </c>
      <c r="R791" s="1">
        <v>1</v>
      </c>
      <c r="S791" t="str">
        <f>IF(R791=1,"Positive","Negative")</f>
        <v>Positive</v>
      </c>
      <c r="T791" s="1" t="str">
        <f>IFERROR(VLOOKUP(A791,[1]diabetes_Recognition!$A:$B,2,FALSE),"Not Sampled")</f>
        <v>Not Sampled</v>
      </c>
      <c r="U791" t="str">
        <f>IF(T791=1,"Positive",(IF(T791=0,"Negative","Not Sampled")))</f>
        <v>Not Sampled</v>
      </c>
      <c r="V791" s="1" t="str">
        <f>IF(U791="Not Sampled","Not Sampled",IF(S791=U791,"Accurate Prediction","Inaccurate Prediction"))</f>
        <v>Not Sampled</v>
      </c>
    </row>
    <row r="792" spans="1:22" x14ac:dyDescent="0.25">
      <c r="A792" s="1">
        <v>790</v>
      </c>
      <c r="B792" s="1">
        <v>4</v>
      </c>
      <c r="C792" s="1" t="str">
        <f>LOOKUP(B792,Sheet2!$D$4:$E$9)</f>
        <v>3-4</v>
      </c>
      <c r="D792" s="1">
        <v>129</v>
      </c>
      <c r="E792" t="str">
        <f>LOOKUP(D792,Sheet2!$G$4:$H$9)</f>
        <v>126-150</v>
      </c>
      <c r="F792" s="1">
        <v>60</v>
      </c>
      <c r="G792" t="str">
        <f>LOOKUP(F792,Sheet2!$J$4:$K$8)</f>
        <v>60-69</v>
      </c>
      <c r="H792" s="1">
        <v>12</v>
      </c>
      <c r="I792" t="str">
        <f>LOOKUP(H792,Sheet2!$M$4:$N$8)</f>
        <v>10-30</v>
      </c>
      <c r="J792" s="1">
        <v>231</v>
      </c>
      <c r="K792" t="str">
        <f>LOOKUP(J792,Sheet2!$P$4:$Q$9)</f>
        <v>200-399</v>
      </c>
      <c r="L792" s="1">
        <v>27.5</v>
      </c>
      <c r="M792" t="str">
        <f>LOOKUP(L792,Sheet2!$S$4:$T$8)</f>
        <v>26-30</v>
      </c>
      <c r="N792" s="1">
        <v>0.52700000000000002</v>
      </c>
      <c r="O792" t="str">
        <f>LOOKUP(N792,Sheet2!$V$4:$W$7)</f>
        <v>0.4 - 0.69</v>
      </c>
      <c r="P792" s="1">
        <v>31</v>
      </c>
      <c r="Q792" t="str">
        <f>LOOKUP(P792,Sheet2!$Z$4:$AA$7)</f>
        <v>26-35</v>
      </c>
      <c r="R792" s="1">
        <v>0</v>
      </c>
      <c r="S792" t="str">
        <f>IF(R792=1,"Positive","Negative")</f>
        <v>Negative</v>
      </c>
      <c r="T792" s="1">
        <f>IFERROR(VLOOKUP(A792,[1]diabetes_Recognition!$A:$B,2,FALSE),"Not Sampled")</f>
        <v>0</v>
      </c>
      <c r="U792" t="str">
        <f>IF(T792=1,"Positive",(IF(T792=0,"Negative","Not Sampled")))</f>
        <v>Negative</v>
      </c>
      <c r="V792" s="1" t="str">
        <f>IF(U792="Not Sampled","Not Sampled",IF(S792=U792,"Accurate Prediction","Inaccurate Prediction"))</f>
        <v>Accurate Prediction</v>
      </c>
    </row>
    <row r="793" spans="1:22" x14ac:dyDescent="0.25">
      <c r="A793" s="1">
        <v>791</v>
      </c>
      <c r="B793" s="1">
        <v>3</v>
      </c>
      <c r="C793" s="1" t="str">
        <f>LOOKUP(B793,Sheet2!$D$4:$E$9)</f>
        <v>3-4</v>
      </c>
      <c r="D793" s="1">
        <v>112</v>
      </c>
      <c r="E793" t="str">
        <f>LOOKUP(D793,Sheet2!$G$4:$H$9)</f>
        <v>100-125</v>
      </c>
      <c r="F793" s="1">
        <v>74</v>
      </c>
      <c r="G793" t="str">
        <f>LOOKUP(F793,Sheet2!$J$4:$K$8)</f>
        <v>70-79</v>
      </c>
      <c r="H793" s="1">
        <v>30</v>
      </c>
      <c r="I793" t="str">
        <f>LOOKUP(H793,Sheet2!$M$4:$N$8)</f>
        <v>30-39</v>
      </c>
      <c r="J793" s="1">
        <v>0</v>
      </c>
      <c r="K793" t="str">
        <f>LOOKUP(J793,Sheet2!$P$4:$Q$9)</f>
        <v>Unknown</v>
      </c>
      <c r="L793" s="1">
        <v>31.6</v>
      </c>
      <c r="M793" t="str">
        <f>LOOKUP(L793,Sheet2!$S$4:$T$8)</f>
        <v>31-35</v>
      </c>
      <c r="N793" s="1">
        <v>0.19700000000000001</v>
      </c>
      <c r="O793" t="str">
        <f>LOOKUP(N793,Sheet2!$V$4:$W$7)</f>
        <v>0.0 - 0.249</v>
      </c>
      <c r="P793" s="1">
        <v>25</v>
      </c>
      <c r="Q793" t="str">
        <f>LOOKUP(P793,Sheet2!$Z$4:$AA$7)</f>
        <v>&lt;=25</v>
      </c>
      <c r="R793" s="1">
        <v>1</v>
      </c>
      <c r="S793" t="str">
        <f>IF(R793=1,"Positive","Negative")</f>
        <v>Positive</v>
      </c>
      <c r="T793" s="1" t="str">
        <f>IFERROR(VLOOKUP(A793,[1]diabetes_Recognition!$A:$B,2,FALSE),"Not Sampled")</f>
        <v>Not Sampled</v>
      </c>
      <c r="U793" t="str">
        <f>IF(T793=1,"Positive",(IF(T793=0,"Negative","Not Sampled")))</f>
        <v>Not Sampled</v>
      </c>
      <c r="V793" s="1" t="str">
        <f>IF(U793="Not Sampled","Not Sampled",IF(S793=U793,"Accurate Prediction","Inaccurate Prediction"))</f>
        <v>Not Sampled</v>
      </c>
    </row>
    <row r="794" spans="1:22" x14ac:dyDescent="0.25">
      <c r="A794" s="1">
        <v>792</v>
      </c>
      <c r="B794" s="1">
        <v>0</v>
      </c>
      <c r="C794" s="1">
        <f>LOOKUP(B794,Sheet2!$D$4:$E$9)</f>
        <v>0</v>
      </c>
      <c r="D794" s="1">
        <v>124</v>
      </c>
      <c r="E794" t="str">
        <f>LOOKUP(D794,Sheet2!$G$4:$H$9)</f>
        <v>100-125</v>
      </c>
      <c r="F794" s="1">
        <v>70</v>
      </c>
      <c r="G794" t="str">
        <f>LOOKUP(F794,Sheet2!$J$4:$K$8)</f>
        <v>70-79</v>
      </c>
      <c r="H794" s="1">
        <v>20</v>
      </c>
      <c r="I794" t="str">
        <f>LOOKUP(H794,Sheet2!$M$4:$N$8)</f>
        <v>10-30</v>
      </c>
      <c r="J794" s="1">
        <v>0</v>
      </c>
      <c r="K794" t="str">
        <f>LOOKUP(J794,Sheet2!$P$4:$Q$9)</f>
        <v>Unknown</v>
      </c>
      <c r="L794" s="1">
        <v>27.4</v>
      </c>
      <c r="M794" t="str">
        <f>LOOKUP(L794,Sheet2!$S$4:$T$8)</f>
        <v>26-30</v>
      </c>
      <c r="N794" s="1">
        <v>0.254</v>
      </c>
      <c r="O794" t="str">
        <f>LOOKUP(N794,Sheet2!$V$4:$W$7)</f>
        <v>0.25 - 0.39</v>
      </c>
      <c r="P794" s="1">
        <v>36</v>
      </c>
      <c r="Q794" t="str">
        <f>LOOKUP(P794,Sheet2!$Z$4:$AA$7)</f>
        <v>36-45</v>
      </c>
      <c r="R794" s="1">
        <v>1</v>
      </c>
      <c r="S794" t="str">
        <f>IF(R794=1,"Positive","Negative")</f>
        <v>Positive</v>
      </c>
      <c r="T794" s="1" t="str">
        <f>IFERROR(VLOOKUP(A794,[1]diabetes_Recognition!$A:$B,2,FALSE),"Not Sampled")</f>
        <v>Not Sampled</v>
      </c>
      <c r="U794" t="str">
        <f>IF(T794=1,"Positive",(IF(T794=0,"Negative","Not Sampled")))</f>
        <v>Not Sampled</v>
      </c>
      <c r="V794" s="1" t="str">
        <f>IF(U794="Not Sampled","Not Sampled",IF(S794=U794,"Accurate Prediction","Inaccurate Prediction"))</f>
        <v>Not Sampled</v>
      </c>
    </row>
    <row r="795" spans="1:22" x14ac:dyDescent="0.25">
      <c r="A795" s="1">
        <v>793</v>
      </c>
      <c r="B795" s="1">
        <v>13</v>
      </c>
      <c r="C795" s="1" t="str">
        <f>LOOKUP(B795,Sheet2!$D$4:$E$9)</f>
        <v>8+</v>
      </c>
      <c r="D795" s="1">
        <v>152</v>
      </c>
      <c r="E795" t="str">
        <f>LOOKUP(D795,Sheet2!$G$4:$H$9)</f>
        <v>151-175</v>
      </c>
      <c r="F795" s="1">
        <v>90</v>
      </c>
      <c r="G795" t="str">
        <f>LOOKUP(F795,Sheet2!$J$4:$K$8)</f>
        <v>80+</v>
      </c>
      <c r="H795" s="1">
        <v>33</v>
      </c>
      <c r="I795" t="str">
        <f>LOOKUP(H795,Sheet2!$M$4:$N$8)</f>
        <v>30-39</v>
      </c>
      <c r="J795" s="1">
        <v>29</v>
      </c>
      <c r="K795" t="str">
        <f>LOOKUP(J795,Sheet2!$P$4:$Q$9)</f>
        <v>1-99</v>
      </c>
      <c r="L795" s="1">
        <v>26.8</v>
      </c>
      <c r="M795" t="str">
        <f>LOOKUP(L795,Sheet2!$S$4:$T$8)</f>
        <v>26-30</v>
      </c>
      <c r="N795" s="1">
        <v>0.73099999999999998</v>
      </c>
      <c r="O795" t="str">
        <f>LOOKUP(N795,Sheet2!$V$4:$W$7)</f>
        <v>0.7+</v>
      </c>
      <c r="P795" s="1">
        <v>43</v>
      </c>
      <c r="Q795" t="str">
        <f>LOOKUP(P795,Sheet2!$Z$4:$AA$7)</f>
        <v>36-45</v>
      </c>
      <c r="R795" s="1">
        <v>1</v>
      </c>
      <c r="S795" t="str">
        <f>IF(R795=1,"Positive","Negative")</f>
        <v>Positive</v>
      </c>
      <c r="T795" s="1">
        <f>IFERROR(VLOOKUP(A795,[1]diabetes_Recognition!$A:$B,2,FALSE),"Not Sampled")</f>
        <v>1</v>
      </c>
      <c r="U795" t="str">
        <f>IF(T795=1,"Positive",(IF(T795=0,"Negative","Not Sampled")))</f>
        <v>Positive</v>
      </c>
      <c r="V795" s="1" t="str">
        <f>IF(U795="Not Sampled","Not Sampled",IF(S795=U795,"Accurate Prediction","Inaccurate Prediction"))</f>
        <v>Accurate Prediction</v>
      </c>
    </row>
    <row r="796" spans="1:22" x14ac:dyDescent="0.25">
      <c r="A796" s="1">
        <v>794</v>
      </c>
      <c r="B796" s="1">
        <v>2</v>
      </c>
      <c r="C796" s="1">
        <f>LOOKUP(B796,Sheet2!$D$4:$E$9)</f>
        <v>2</v>
      </c>
      <c r="D796" s="1">
        <v>112</v>
      </c>
      <c r="E796" t="str">
        <f>LOOKUP(D796,Sheet2!$G$4:$H$9)</f>
        <v>100-125</v>
      </c>
      <c r="F796" s="1">
        <v>75</v>
      </c>
      <c r="G796" t="str">
        <f>LOOKUP(F796,Sheet2!$J$4:$K$8)</f>
        <v>70-79</v>
      </c>
      <c r="H796" s="1">
        <v>32</v>
      </c>
      <c r="I796" t="str">
        <f>LOOKUP(H796,Sheet2!$M$4:$N$8)</f>
        <v>30-39</v>
      </c>
      <c r="J796" s="1">
        <v>0</v>
      </c>
      <c r="K796" t="str">
        <f>LOOKUP(J796,Sheet2!$P$4:$Q$9)</f>
        <v>Unknown</v>
      </c>
      <c r="L796" s="1">
        <v>35.700000000000003</v>
      </c>
      <c r="M796" t="str">
        <f>LOOKUP(L796,Sheet2!$S$4:$T$8)</f>
        <v>31-35</v>
      </c>
      <c r="N796" s="1">
        <v>0.14799999999999999</v>
      </c>
      <c r="O796" t="str">
        <f>LOOKUP(N796,Sheet2!$V$4:$W$7)</f>
        <v>0.0 - 0.249</v>
      </c>
      <c r="P796" s="1">
        <v>21</v>
      </c>
      <c r="Q796" t="str">
        <f>LOOKUP(P796,Sheet2!$Z$4:$AA$7)</f>
        <v>&lt;=25</v>
      </c>
      <c r="R796" s="1">
        <v>0</v>
      </c>
      <c r="S796" t="str">
        <f>IF(R796=1,"Positive","Negative")</f>
        <v>Negative</v>
      </c>
      <c r="T796" s="1" t="str">
        <f>IFERROR(VLOOKUP(A796,[1]diabetes_Recognition!$A:$B,2,FALSE),"Not Sampled")</f>
        <v>Not Sampled</v>
      </c>
      <c r="U796" t="str">
        <f>IF(T796=1,"Positive",(IF(T796=0,"Negative","Not Sampled")))</f>
        <v>Not Sampled</v>
      </c>
      <c r="V796" s="1" t="str">
        <f>IF(U796="Not Sampled","Not Sampled",IF(S796=U796,"Accurate Prediction","Inaccurate Prediction"))</f>
        <v>Not Sampled</v>
      </c>
    </row>
    <row r="797" spans="1:22" x14ac:dyDescent="0.25">
      <c r="A797" s="1">
        <v>795</v>
      </c>
      <c r="B797" s="1">
        <v>1</v>
      </c>
      <c r="C797" s="1">
        <f>LOOKUP(B797,Sheet2!$D$4:$E$9)</f>
        <v>1</v>
      </c>
      <c r="D797" s="1">
        <v>157</v>
      </c>
      <c r="E797" t="str">
        <f>LOOKUP(D797,Sheet2!$G$4:$H$9)</f>
        <v>151-175</v>
      </c>
      <c r="F797" s="1">
        <v>72</v>
      </c>
      <c r="G797" t="str">
        <f>LOOKUP(F797,Sheet2!$J$4:$K$8)</f>
        <v>70-79</v>
      </c>
      <c r="H797" s="1">
        <v>21</v>
      </c>
      <c r="I797" t="str">
        <f>LOOKUP(H797,Sheet2!$M$4:$N$8)</f>
        <v>10-30</v>
      </c>
      <c r="J797" s="1">
        <v>168</v>
      </c>
      <c r="K797" t="str">
        <f>LOOKUP(J797,Sheet2!$P$4:$Q$9)</f>
        <v>100-199</v>
      </c>
      <c r="L797" s="1">
        <v>25.6</v>
      </c>
      <c r="M797" t="str">
        <f>LOOKUP(L797,Sheet2!$S$4:$T$8)</f>
        <v>1-25</v>
      </c>
      <c r="N797" s="1">
        <v>0.123</v>
      </c>
      <c r="O797" t="str">
        <f>LOOKUP(N797,Sheet2!$V$4:$W$7)</f>
        <v>0.0 - 0.249</v>
      </c>
      <c r="P797" s="1">
        <v>24</v>
      </c>
      <c r="Q797" t="str">
        <f>LOOKUP(P797,Sheet2!$Z$4:$AA$7)</f>
        <v>&lt;=25</v>
      </c>
      <c r="R797" s="1">
        <v>0</v>
      </c>
      <c r="S797" t="str">
        <f>IF(R797=1,"Positive","Negative")</f>
        <v>Negative</v>
      </c>
      <c r="T797" s="1" t="str">
        <f>IFERROR(VLOOKUP(A797,[1]diabetes_Recognition!$A:$B,2,FALSE),"Not Sampled")</f>
        <v>Not Sampled</v>
      </c>
      <c r="U797" t="str">
        <f>IF(T797=1,"Positive",(IF(T797=0,"Negative","Not Sampled")))</f>
        <v>Not Sampled</v>
      </c>
      <c r="V797" s="1" t="str">
        <f>IF(U797="Not Sampled","Not Sampled",IF(S797=U797,"Accurate Prediction","Inaccurate Prediction"))</f>
        <v>Not Sampled</v>
      </c>
    </row>
    <row r="798" spans="1:22" x14ac:dyDescent="0.25">
      <c r="A798" s="1">
        <v>796</v>
      </c>
      <c r="B798" s="1">
        <v>1</v>
      </c>
      <c r="C798" s="1">
        <f>LOOKUP(B798,Sheet2!$D$4:$E$9)</f>
        <v>1</v>
      </c>
      <c r="D798" s="1">
        <v>122</v>
      </c>
      <c r="E798" t="str">
        <f>LOOKUP(D798,Sheet2!$G$4:$H$9)</f>
        <v>100-125</v>
      </c>
      <c r="F798" s="1">
        <v>64</v>
      </c>
      <c r="G798" t="str">
        <f>LOOKUP(F798,Sheet2!$J$4:$K$8)</f>
        <v>60-69</v>
      </c>
      <c r="H798" s="1">
        <v>32</v>
      </c>
      <c r="I798" t="str">
        <f>LOOKUP(H798,Sheet2!$M$4:$N$8)</f>
        <v>30-39</v>
      </c>
      <c r="J798" s="1">
        <v>156</v>
      </c>
      <c r="K798" t="str">
        <f>LOOKUP(J798,Sheet2!$P$4:$Q$9)</f>
        <v>100-199</v>
      </c>
      <c r="L798" s="1">
        <v>35.1</v>
      </c>
      <c r="M798" t="str">
        <f>LOOKUP(L798,Sheet2!$S$4:$T$8)</f>
        <v>31-35</v>
      </c>
      <c r="N798" s="1">
        <v>0.69199999999999995</v>
      </c>
      <c r="O798" t="str">
        <f>LOOKUP(N798,Sheet2!$V$4:$W$7)</f>
        <v>0.4 - 0.69</v>
      </c>
      <c r="P798" s="1">
        <v>30</v>
      </c>
      <c r="Q798" t="str">
        <f>LOOKUP(P798,Sheet2!$Z$4:$AA$7)</f>
        <v>26-35</v>
      </c>
      <c r="R798" s="1">
        <v>1</v>
      </c>
      <c r="S798" t="str">
        <f>IF(R798=1,"Positive","Negative")</f>
        <v>Positive</v>
      </c>
      <c r="T798" s="1" t="str">
        <f>IFERROR(VLOOKUP(A798,[1]diabetes_Recognition!$A:$B,2,FALSE),"Not Sampled")</f>
        <v>Not Sampled</v>
      </c>
      <c r="U798" t="str">
        <f>IF(T798=1,"Positive",(IF(T798=0,"Negative","Not Sampled")))</f>
        <v>Not Sampled</v>
      </c>
      <c r="V798" s="1" t="str">
        <f>IF(U798="Not Sampled","Not Sampled",IF(S798=U798,"Accurate Prediction","Inaccurate Prediction"))</f>
        <v>Not Sampled</v>
      </c>
    </row>
    <row r="799" spans="1:22" x14ac:dyDescent="0.25">
      <c r="A799" s="1">
        <v>797</v>
      </c>
      <c r="B799" s="1">
        <v>10</v>
      </c>
      <c r="C799" s="1" t="str">
        <f>LOOKUP(B799,Sheet2!$D$4:$E$9)</f>
        <v>8+</v>
      </c>
      <c r="D799" s="1">
        <v>179</v>
      </c>
      <c r="E799" t="str">
        <f>LOOKUP(D799,Sheet2!$G$4:$H$9)</f>
        <v>176-200</v>
      </c>
      <c r="F799" s="1">
        <v>70</v>
      </c>
      <c r="G799" t="str">
        <f>LOOKUP(F799,Sheet2!$J$4:$K$8)</f>
        <v>70-79</v>
      </c>
      <c r="H799" s="1">
        <v>0</v>
      </c>
      <c r="I799" t="str">
        <f>LOOKUP(H799,Sheet2!$M$4:$N$8)</f>
        <v>Unknown</v>
      </c>
      <c r="J799" s="1">
        <v>0</v>
      </c>
      <c r="K799" t="str">
        <f>LOOKUP(J799,Sheet2!$P$4:$Q$9)</f>
        <v>Unknown</v>
      </c>
      <c r="L799" s="1">
        <v>35.1</v>
      </c>
      <c r="M799" t="str">
        <f>LOOKUP(L799,Sheet2!$S$4:$T$8)</f>
        <v>31-35</v>
      </c>
      <c r="N799" s="1">
        <v>0.2</v>
      </c>
      <c r="O799" t="str">
        <f>LOOKUP(N799,Sheet2!$V$4:$W$7)</f>
        <v>0.0 - 0.249</v>
      </c>
      <c r="P799" s="1">
        <v>37</v>
      </c>
      <c r="Q799" t="str">
        <f>LOOKUP(P799,Sheet2!$Z$4:$AA$7)</f>
        <v>36-45</v>
      </c>
      <c r="R799" s="1">
        <v>0</v>
      </c>
      <c r="S799" t="str">
        <f>IF(R799=1,"Positive","Negative")</f>
        <v>Negative</v>
      </c>
      <c r="T799" s="1" t="str">
        <f>IFERROR(VLOOKUP(A799,[1]diabetes_Recognition!$A:$B,2,FALSE),"Not Sampled")</f>
        <v>Not Sampled</v>
      </c>
      <c r="U799" t="str">
        <f>IF(T799=1,"Positive",(IF(T799=0,"Negative","Not Sampled")))</f>
        <v>Not Sampled</v>
      </c>
      <c r="V799" s="1" t="str">
        <f>IF(U799="Not Sampled","Not Sampled",IF(S799=U799,"Accurate Prediction","Inaccurate Prediction"))</f>
        <v>Not Sampled</v>
      </c>
    </row>
    <row r="800" spans="1:22" x14ac:dyDescent="0.25">
      <c r="A800" s="1">
        <v>798</v>
      </c>
      <c r="B800" s="1">
        <v>2</v>
      </c>
      <c r="C800" s="1">
        <f>LOOKUP(B800,Sheet2!$D$4:$E$9)</f>
        <v>2</v>
      </c>
      <c r="D800" s="1">
        <v>102</v>
      </c>
      <c r="E800" t="str">
        <f>LOOKUP(D800,Sheet2!$G$4:$H$9)</f>
        <v>100-125</v>
      </c>
      <c r="F800" s="1">
        <v>86</v>
      </c>
      <c r="G800" t="str">
        <f>LOOKUP(F800,Sheet2!$J$4:$K$8)</f>
        <v>80+</v>
      </c>
      <c r="H800" s="1">
        <v>36</v>
      </c>
      <c r="I800" t="str">
        <f>LOOKUP(H800,Sheet2!$M$4:$N$8)</f>
        <v>30-39</v>
      </c>
      <c r="J800" s="1">
        <v>120</v>
      </c>
      <c r="K800" t="str">
        <f>LOOKUP(J800,Sheet2!$P$4:$Q$9)</f>
        <v>100-199</v>
      </c>
      <c r="L800" s="1">
        <v>45.5</v>
      </c>
      <c r="M800" t="str">
        <f>LOOKUP(L800,Sheet2!$S$4:$T$8)</f>
        <v>36+</v>
      </c>
      <c r="N800" s="1">
        <v>0.127</v>
      </c>
      <c r="O800" t="str">
        <f>LOOKUP(N800,Sheet2!$V$4:$W$7)</f>
        <v>0.0 - 0.249</v>
      </c>
      <c r="P800" s="1">
        <v>23</v>
      </c>
      <c r="Q800" t="str">
        <f>LOOKUP(P800,Sheet2!$Z$4:$AA$7)</f>
        <v>&lt;=25</v>
      </c>
      <c r="R800" s="1">
        <v>1</v>
      </c>
      <c r="S800" t="str">
        <f>IF(R800=1,"Positive","Negative")</f>
        <v>Positive</v>
      </c>
      <c r="T800" s="1" t="str">
        <f>IFERROR(VLOOKUP(A800,[1]diabetes_Recognition!$A:$B,2,FALSE),"Not Sampled")</f>
        <v>Not Sampled</v>
      </c>
      <c r="U800" t="str">
        <f>IF(T800=1,"Positive",(IF(T800=0,"Negative","Not Sampled")))</f>
        <v>Not Sampled</v>
      </c>
      <c r="V800" s="1" t="str">
        <f>IF(U800="Not Sampled","Not Sampled",IF(S800=U800,"Accurate Prediction","Inaccurate Prediction"))</f>
        <v>Not Sampled</v>
      </c>
    </row>
    <row r="801" spans="1:22" x14ac:dyDescent="0.25">
      <c r="A801" s="1">
        <v>799</v>
      </c>
      <c r="B801" s="1">
        <v>6</v>
      </c>
      <c r="C801" s="1" t="str">
        <f>LOOKUP(B801,Sheet2!$D$4:$E$9)</f>
        <v>5-7</v>
      </c>
      <c r="D801" s="1">
        <v>105</v>
      </c>
      <c r="E801" t="str">
        <f>LOOKUP(D801,Sheet2!$G$4:$H$9)</f>
        <v>100-125</v>
      </c>
      <c r="F801" s="1">
        <v>70</v>
      </c>
      <c r="G801" t="str">
        <f>LOOKUP(F801,Sheet2!$J$4:$K$8)</f>
        <v>70-79</v>
      </c>
      <c r="H801" s="1">
        <v>32</v>
      </c>
      <c r="I801" t="str">
        <f>LOOKUP(H801,Sheet2!$M$4:$N$8)</f>
        <v>30-39</v>
      </c>
      <c r="J801" s="1">
        <v>68</v>
      </c>
      <c r="K801" t="str">
        <f>LOOKUP(J801,Sheet2!$P$4:$Q$9)</f>
        <v>1-99</v>
      </c>
      <c r="L801" s="1">
        <v>30.8</v>
      </c>
      <c r="M801" t="str">
        <f>LOOKUP(L801,Sheet2!$S$4:$T$8)</f>
        <v>26-30</v>
      </c>
      <c r="N801" s="1">
        <v>0.122</v>
      </c>
      <c r="O801" t="str">
        <f>LOOKUP(N801,Sheet2!$V$4:$W$7)</f>
        <v>0.0 - 0.249</v>
      </c>
      <c r="P801" s="1">
        <v>37</v>
      </c>
      <c r="Q801" t="str">
        <f>LOOKUP(P801,Sheet2!$Z$4:$AA$7)</f>
        <v>36-45</v>
      </c>
      <c r="R801" s="1">
        <v>0</v>
      </c>
      <c r="S801" t="str">
        <f>IF(R801=1,"Positive","Negative")</f>
        <v>Negative</v>
      </c>
      <c r="T801" s="1" t="str">
        <f>IFERROR(VLOOKUP(A801,[1]diabetes_Recognition!$A:$B,2,FALSE),"Not Sampled")</f>
        <v>Not Sampled</v>
      </c>
      <c r="U801" t="str">
        <f>IF(T801=1,"Positive",(IF(T801=0,"Negative","Not Sampled")))</f>
        <v>Not Sampled</v>
      </c>
      <c r="V801" s="1" t="str">
        <f>IF(U801="Not Sampled","Not Sampled",IF(S801=U801,"Accurate Prediction","Inaccurate Prediction"))</f>
        <v>Not Sampled</v>
      </c>
    </row>
    <row r="802" spans="1:22" x14ac:dyDescent="0.25">
      <c r="A802" s="1">
        <v>800</v>
      </c>
      <c r="B802" s="1">
        <v>8</v>
      </c>
      <c r="C802" s="1" t="str">
        <f>LOOKUP(B802,Sheet2!$D$4:$E$9)</f>
        <v>8+</v>
      </c>
      <c r="D802" s="1">
        <v>118</v>
      </c>
      <c r="E802" t="str">
        <f>LOOKUP(D802,Sheet2!$G$4:$H$9)</f>
        <v>100-125</v>
      </c>
      <c r="F802" s="1">
        <v>72</v>
      </c>
      <c r="G802" t="str">
        <f>LOOKUP(F802,Sheet2!$J$4:$K$8)</f>
        <v>70-79</v>
      </c>
      <c r="H802" s="1">
        <v>19</v>
      </c>
      <c r="I802" t="str">
        <f>LOOKUP(H802,Sheet2!$M$4:$N$8)</f>
        <v>10-30</v>
      </c>
      <c r="J802" s="1">
        <v>0</v>
      </c>
      <c r="K802" t="str">
        <f>LOOKUP(J802,Sheet2!$P$4:$Q$9)</f>
        <v>Unknown</v>
      </c>
      <c r="L802" s="1">
        <v>23.1</v>
      </c>
      <c r="M802" t="str">
        <f>LOOKUP(L802,Sheet2!$S$4:$T$8)</f>
        <v>1-25</v>
      </c>
      <c r="N802" s="1">
        <v>1.476</v>
      </c>
      <c r="O802" t="str">
        <f>LOOKUP(N802,Sheet2!$V$4:$W$7)</f>
        <v>0.7+</v>
      </c>
      <c r="P802" s="1">
        <v>46</v>
      </c>
      <c r="Q802" t="str">
        <f>LOOKUP(P802,Sheet2!$Z$4:$AA$7)</f>
        <v>46+</v>
      </c>
      <c r="R802" s="1">
        <v>0</v>
      </c>
      <c r="S802" t="str">
        <f>IF(R802=1,"Positive","Negative")</f>
        <v>Negative</v>
      </c>
      <c r="T802" s="1" t="str">
        <f>IFERROR(VLOOKUP(A802,[1]diabetes_Recognition!$A:$B,2,FALSE),"Not Sampled")</f>
        <v>Not Sampled</v>
      </c>
      <c r="U802" t="str">
        <f>IF(T802=1,"Positive",(IF(T802=0,"Negative","Not Sampled")))</f>
        <v>Not Sampled</v>
      </c>
      <c r="V802" s="1" t="str">
        <f>IF(U802="Not Sampled","Not Sampled",IF(S802=U802,"Accurate Prediction","Inaccurate Prediction"))</f>
        <v>Not Sampled</v>
      </c>
    </row>
    <row r="803" spans="1:22" x14ac:dyDescent="0.25">
      <c r="A803" s="1">
        <v>801</v>
      </c>
      <c r="B803" s="1">
        <v>2</v>
      </c>
      <c r="C803" s="1">
        <f>LOOKUP(B803,Sheet2!$D$4:$E$9)</f>
        <v>2</v>
      </c>
      <c r="D803" s="1">
        <v>87</v>
      </c>
      <c r="E803" t="str">
        <f>LOOKUP(D803,Sheet2!$G$4:$H$9)</f>
        <v>1-99</v>
      </c>
      <c r="F803" s="1">
        <v>58</v>
      </c>
      <c r="G803" t="str">
        <f>LOOKUP(F803,Sheet2!$J$4:$K$8)</f>
        <v>1-59</v>
      </c>
      <c r="H803" s="1">
        <v>16</v>
      </c>
      <c r="I803" t="str">
        <f>LOOKUP(H803,Sheet2!$M$4:$N$8)</f>
        <v>10-30</v>
      </c>
      <c r="J803" s="1">
        <v>52</v>
      </c>
      <c r="K803" t="str">
        <f>LOOKUP(J803,Sheet2!$P$4:$Q$9)</f>
        <v>1-99</v>
      </c>
      <c r="L803" s="1">
        <v>32.700000000000003</v>
      </c>
      <c r="M803" t="str">
        <f>LOOKUP(L803,Sheet2!$S$4:$T$8)</f>
        <v>31-35</v>
      </c>
      <c r="N803" s="1">
        <v>0.16600000000000001</v>
      </c>
      <c r="O803" t="str">
        <f>LOOKUP(N803,Sheet2!$V$4:$W$7)</f>
        <v>0.0 - 0.249</v>
      </c>
      <c r="P803" s="1">
        <v>25</v>
      </c>
      <c r="Q803" t="str">
        <f>LOOKUP(P803,Sheet2!$Z$4:$AA$7)</f>
        <v>&lt;=25</v>
      </c>
      <c r="R803" s="1">
        <v>0</v>
      </c>
      <c r="S803" t="str">
        <f>IF(R803=1,"Positive","Negative")</f>
        <v>Negative</v>
      </c>
      <c r="T803" s="1">
        <f>IFERROR(VLOOKUP(A803,[1]diabetes_Recognition!$A:$B,2,FALSE),"Not Sampled")</f>
        <v>0</v>
      </c>
      <c r="U803" t="str">
        <f>IF(T803=1,"Positive",(IF(T803=0,"Negative","Not Sampled")))</f>
        <v>Negative</v>
      </c>
      <c r="V803" s="1" t="str">
        <f>IF(U803="Not Sampled","Not Sampled",IF(S803=U803,"Accurate Prediction","Inaccurate Prediction"))</f>
        <v>Accurate Prediction</v>
      </c>
    </row>
    <row r="804" spans="1:22" x14ac:dyDescent="0.25">
      <c r="A804" s="1">
        <v>802</v>
      </c>
      <c r="B804" s="1">
        <v>1</v>
      </c>
      <c r="C804" s="1">
        <f>LOOKUP(B804,Sheet2!$D$4:$E$9)</f>
        <v>1</v>
      </c>
      <c r="D804" s="1">
        <v>180</v>
      </c>
      <c r="E804" t="str">
        <f>LOOKUP(D804,Sheet2!$G$4:$H$9)</f>
        <v>176-200</v>
      </c>
      <c r="F804" s="1">
        <v>0</v>
      </c>
      <c r="G804" t="str">
        <f>LOOKUP(F804,Sheet2!$J$4:$K$8)</f>
        <v>Unknown</v>
      </c>
      <c r="H804" s="1">
        <v>0</v>
      </c>
      <c r="I804" t="str">
        <f>LOOKUP(H804,Sheet2!$M$4:$N$8)</f>
        <v>Unknown</v>
      </c>
      <c r="J804" s="1">
        <v>0</v>
      </c>
      <c r="K804" t="str">
        <f>LOOKUP(J804,Sheet2!$P$4:$Q$9)</f>
        <v>Unknown</v>
      </c>
      <c r="L804" s="1">
        <v>43.3</v>
      </c>
      <c r="M804" t="str">
        <f>LOOKUP(L804,Sheet2!$S$4:$T$8)</f>
        <v>36+</v>
      </c>
      <c r="N804" s="1">
        <v>0.28199999999999997</v>
      </c>
      <c r="O804" t="str">
        <f>LOOKUP(N804,Sheet2!$V$4:$W$7)</f>
        <v>0.25 - 0.39</v>
      </c>
      <c r="P804" s="1">
        <v>41</v>
      </c>
      <c r="Q804" t="str">
        <f>LOOKUP(P804,Sheet2!$Z$4:$AA$7)</f>
        <v>36-45</v>
      </c>
      <c r="R804" s="1">
        <v>1</v>
      </c>
      <c r="S804" t="str">
        <f>IF(R804=1,"Positive","Negative")</f>
        <v>Positive</v>
      </c>
      <c r="T804" s="1">
        <f>IFERROR(VLOOKUP(A804,[1]diabetes_Recognition!$A:$B,2,FALSE),"Not Sampled")</f>
        <v>1</v>
      </c>
      <c r="U804" t="str">
        <f>IF(T804=1,"Positive",(IF(T804=0,"Negative","Not Sampled")))</f>
        <v>Positive</v>
      </c>
      <c r="V804" s="1" t="str">
        <f>IF(U804="Not Sampled","Not Sampled",IF(S804=U804,"Accurate Prediction","Inaccurate Prediction"))</f>
        <v>Accurate Prediction</v>
      </c>
    </row>
    <row r="805" spans="1:22" x14ac:dyDescent="0.25">
      <c r="A805" s="1">
        <v>803</v>
      </c>
      <c r="B805" s="1">
        <v>12</v>
      </c>
      <c r="C805" s="1" t="str">
        <f>LOOKUP(B805,Sheet2!$D$4:$E$9)</f>
        <v>8+</v>
      </c>
      <c r="D805" s="1">
        <v>106</v>
      </c>
      <c r="E805" t="str">
        <f>LOOKUP(D805,Sheet2!$G$4:$H$9)</f>
        <v>100-125</v>
      </c>
      <c r="F805" s="1">
        <v>80</v>
      </c>
      <c r="G805" t="str">
        <f>LOOKUP(F805,Sheet2!$J$4:$K$8)</f>
        <v>80+</v>
      </c>
      <c r="H805" s="1">
        <v>0</v>
      </c>
      <c r="I805" t="str">
        <f>LOOKUP(H805,Sheet2!$M$4:$N$8)</f>
        <v>Unknown</v>
      </c>
      <c r="J805" s="1">
        <v>0</v>
      </c>
      <c r="K805" t="str">
        <f>LOOKUP(J805,Sheet2!$P$4:$Q$9)</f>
        <v>Unknown</v>
      </c>
      <c r="L805" s="1">
        <v>23.6</v>
      </c>
      <c r="M805" t="str">
        <f>LOOKUP(L805,Sheet2!$S$4:$T$8)</f>
        <v>1-25</v>
      </c>
      <c r="N805" s="1">
        <v>0.13700000000000001</v>
      </c>
      <c r="O805" t="str">
        <f>LOOKUP(N805,Sheet2!$V$4:$W$7)</f>
        <v>0.0 - 0.249</v>
      </c>
      <c r="P805" s="1">
        <v>44</v>
      </c>
      <c r="Q805" t="str">
        <f>LOOKUP(P805,Sheet2!$Z$4:$AA$7)</f>
        <v>36-45</v>
      </c>
      <c r="R805" s="1">
        <v>0</v>
      </c>
      <c r="S805" t="str">
        <f>IF(R805=1,"Positive","Negative")</f>
        <v>Negative</v>
      </c>
      <c r="T805" s="1" t="str">
        <f>IFERROR(VLOOKUP(A805,[1]diabetes_Recognition!$A:$B,2,FALSE),"Not Sampled")</f>
        <v>Not Sampled</v>
      </c>
      <c r="U805" t="str">
        <f>IF(T805=1,"Positive",(IF(T805=0,"Negative","Not Sampled")))</f>
        <v>Not Sampled</v>
      </c>
      <c r="V805" s="1" t="str">
        <f>IF(U805="Not Sampled","Not Sampled",IF(S805=U805,"Accurate Prediction","Inaccurate Prediction"))</f>
        <v>Not Sampled</v>
      </c>
    </row>
    <row r="806" spans="1:22" x14ac:dyDescent="0.25">
      <c r="A806" s="1">
        <v>804</v>
      </c>
      <c r="B806" s="1">
        <v>1</v>
      </c>
      <c r="C806" s="1">
        <f>LOOKUP(B806,Sheet2!$D$4:$E$9)</f>
        <v>1</v>
      </c>
      <c r="D806" s="1">
        <v>95</v>
      </c>
      <c r="E806" t="str">
        <f>LOOKUP(D806,Sheet2!$G$4:$H$9)</f>
        <v>1-99</v>
      </c>
      <c r="F806" s="1">
        <v>60</v>
      </c>
      <c r="G806" t="str">
        <f>LOOKUP(F806,Sheet2!$J$4:$K$8)</f>
        <v>60-69</v>
      </c>
      <c r="H806" s="1">
        <v>18</v>
      </c>
      <c r="I806" t="str">
        <f>LOOKUP(H806,Sheet2!$M$4:$N$8)</f>
        <v>10-30</v>
      </c>
      <c r="J806" s="1">
        <v>58</v>
      </c>
      <c r="K806" t="str">
        <f>LOOKUP(J806,Sheet2!$P$4:$Q$9)</f>
        <v>1-99</v>
      </c>
      <c r="L806" s="1">
        <v>23.9</v>
      </c>
      <c r="M806" t="str">
        <f>LOOKUP(L806,Sheet2!$S$4:$T$8)</f>
        <v>1-25</v>
      </c>
      <c r="N806" s="1">
        <v>0.26</v>
      </c>
      <c r="O806" t="str">
        <f>LOOKUP(N806,Sheet2!$V$4:$W$7)</f>
        <v>0.25 - 0.39</v>
      </c>
      <c r="P806" s="1">
        <v>22</v>
      </c>
      <c r="Q806" t="str">
        <f>LOOKUP(P806,Sheet2!$Z$4:$AA$7)</f>
        <v>&lt;=25</v>
      </c>
      <c r="R806" s="1">
        <v>0</v>
      </c>
      <c r="S806" t="str">
        <f>IF(R806=1,"Positive","Negative")</f>
        <v>Negative</v>
      </c>
      <c r="T806" s="1">
        <f>IFERROR(VLOOKUP(A806,[1]diabetes_Recognition!$A:$B,2,FALSE),"Not Sampled")</f>
        <v>0</v>
      </c>
      <c r="U806" t="str">
        <f>IF(T806=1,"Positive",(IF(T806=0,"Negative","Not Sampled")))</f>
        <v>Negative</v>
      </c>
      <c r="V806" s="1" t="str">
        <f>IF(U806="Not Sampled","Not Sampled",IF(S806=U806,"Accurate Prediction","Inaccurate Prediction"))</f>
        <v>Accurate Prediction</v>
      </c>
    </row>
    <row r="807" spans="1:22" x14ac:dyDescent="0.25">
      <c r="A807" s="1">
        <v>805</v>
      </c>
      <c r="B807" s="1">
        <v>0</v>
      </c>
      <c r="C807" s="1">
        <f>LOOKUP(B807,Sheet2!$D$4:$E$9)</f>
        <v>0</v>
      </c>
      <c r="D807" s="1">
        <v>165</v>
      </c>
      <c r="E807" t="str">
        <f>LOOKUP(D807,Sheet2!$G$4:$H$9)</f>
        <v>151-175</v>
      </c>
      <c r="F807" s="1">
        <v>76</v>
      </c>
      <c r="G807" t="str">
        <f>LOOKUP(F807,Sheet2!$J$4:$K$8)</f>
        <v>70-79</v>
      </c>
      <c r="H807" s="1">
        <v>43</v>
      </c>
      <c r="I807" t="str">
        <f>LOOKUP(H807,Sheet2!$M$4:$N$8)</f>
        <v>40+</v>
      </c>
      <c r="J807" s="1">
        <v>255</v>
      </c>
      <c r="K807" t="str">
        <f>LOOKUP(J807,Sheet2!$P$4:$Q$9)</f>
        <v>200-399</v>
      </c>
      <c r="L807" s="1">
        <v>47.9</v>
      </c>
      <c r="M807" t="str">
        <f>LOOKUP(L807,Sheet2!$S$4:$T$8)</f>
        <v>36+</v>
      </c>
      <c r="N807" s="1">
        <v>0.25900000000000001</v>
      </c>
      <c r="O807" t="str">
        <f>LOOKUP(N807,Sheet2!$V$4:$W$7)</f>
        <v>0.25 - 0.39</v>
      </c>
      <c r="P807" s="1">
        <v>26</v>
      </c>
      <c r="Q807" t="str">
        <f>LOOKUP(P807,Sheet2!$Z$4:$AA$7)</f>
        <v>26-35</v>
      </c>
      <c r="R807" s="1">
        <v>0</v>
      </c>
      <c r="S807" t="str">
        <f>IF(R807=1,"Positive","Negative")</f>
        <v>Negative</v>
      </c>
      <c r="T807" s="1" t="str">
        <f>IFERROR(VLOOKUP(A807,[1]diabetes_Recognition!$A:$B,2,FALSE),"Not Sampled")</f>
        <v>Not Sampled</v>
      </c>
      <c r="U807" t="str">
        <f>IF(T807=1,"Positive",(IF(T807=0,"Negative","Not Sampled")))</f>
        <v>Not Sampled</v>
      </c>
      <c r="V807" s="1" t="str">
        <f>IF(U807="Not Sampled","Not Sampled",IF(S807=U807,"Accurate Prediction","Inaccurate Prediction"))</f>
        <v>Not Sampled</v>
      </c>
    </row>
    <row r="808" spans="1:22" x14ac:dyDescent="0.25">
      <c r="A808" s="1">
        <v>806</v>
      </c>
      <c r="B808" s="1">
        <v>0</v>
      </c>
      <c r="C808" s="1">
        <f>LOOKUP(B808,Sheet2!$D$4:$E$9)</f>
        <v>0</v>
      </c>
      <c r="D808" s="1">
        <v>117</v>
      </c>
      <c r="E808" t="str">
        <f>LOOKUP(D808,Sheet2!$G$4:$H$9)</f>
        <v>100-125</v>
      </c>
      <c r="F808" s="1">
        <v>0</v>
      </c>
      <c r="G808" t="str">
        <f>LOOKUP(F808,Sheet2!$J$4:$K$8)</f>
        <v>Unknown</v>
      </c>
      <c r="H808" s="1">
        <v>0</v>
      </c>
      <c r="I808" t="str">
        <f>LOOKUP(H808,Sheet2!$M$4:$N$8)</f>
        <v>Unknown</v>
      </c>
      <c r="J808" s="1">
        <v>0</v>
      </c>
      <c r="K808" t="str">
        <f>LOOKUP(J808,Sheet2!$P$4:$Q$9)</f>
        <v>Unknown</v>
      </c>
      <c r="L808" s="1">
        <v>33.799999999999997</v>
      </c>
      <c r="M808" t="str">
        <f>LOOKUP(L808,Sheet2!$S$4:$T$8)</f>
        <v>31-35</v>
      </c>
      <c r="N808" s="1">
        <v>0.93200000000000005</v>
      </c>
      <c r="O808" t="str">
        <f>LOOKUP(N808,Sheet2!$V$4:$W$7)</f>
        <v>0.7+</v>
      </c>
      <c r="P808" s="1">
        <v>44</v>
      </c>
      <c r="Q808" t="str">
        <f>LOOKUP(P808,Sheet2!$Z$4:$AA$7)</f>
        <v>36-45</v>
      </c>
      <c r="R808" s="1">
        <v>0</v>
      </c>
      <c r="S808" t="str">
        <f>IF(R808=1,"Positive","Negative")</f>
        <v>Negative</v>
      </c>
      <c r="T808" s="1" t="str">
        <f>IFERROR(VLOOKUP(A808,[1]diabetes_Recognition!$A:$B,2,FALSE),"Not Sampled")</f>
        <v>Not Sampled</v>
      </c>
      <c r="U808" t="str">
        <f>IF(T808=1,"Positive",(IF(T808=0,"Negative","Not Sampled")))</f>
        <v>Not Sampled</v>
      </c>
      <c r="V808" s="1" t="str">
        <f>IF(U808="Not Sampled","Not Sampled",IF(S808=U808,"Accurate Prediction","Inaccurate Prediction"))</f>
        <v>Not Sampled</v>
      </c>
    </row>
    <row r="809" spans="1:22" x14ac:dyDescent="0.25">
      <c r="A809" s="1">
        <v>807</v>
      </c>
      <c r="B809" s="1">
        <v>5</v>
      </c>
      <c r="C809" s="1" t="str">
        <f>LOOKUP(B809,Sheet2!$D$4:$E$9)</f>
        <v>5-7</v>
      </c>
      <c r="D809" s="1">
        <v>115</v>
      </c>
      <c r="E809" t="str">
        <f>LOOKUP(D809,Sheet2!$G$4:$H$9)</f>
        <v>100-125</v>
      </c>
      <c r="F809" s="1">
        <v>76</v>
      </c>
      <c r="G809" t="str">
        <f>LOOKUP(F809,Sheet2!$J$4:$K$8)</f>
        <v>70-79</v>
      </c>
      <c r="H809" s="1">
        <v>0</v>
      </c>
      <c r="I809" t="str">
        <f>LOOKUP(H809,Sheet2!$M$4:$N$8)</f>
        <v>Unknown</v>
      </c>
      <c r="J809" s="1">
        <v>0</v>
      </c>
      <c r="K809" t="str">
        <f>LOOKUP(J809,Sheet2!$P$4:$Q$9)</f>
        <v>Unknown</v>
      </c>
      <c r="L809" s="1">
        <v>31.2</v>
      </c>
      <c r="M809" t="str">
        <f>LOOKUP(L809,Sheet2!$S$4:$T$8)</f>
        <v>31-35</v>
      </c>
      <c r="N809" s="1">
        <v>0.34300000000000003</v>
      </c>
      <c r="O809" t="str">
        <f>LOOKUP(N809,Sheet2!$V$4:$W$7)</f>
        <v>0.25 - 0.39</v>
      </c>
      <c r="P809" s="1">
        <v>44</v>
      </c>
      <c r="Q809" t="str">
        <f>LOOKUP(P809,Sheet2!$Z$4:$AA$7)</f>
        <v>36-45</v>
      </c>
      <c r="R809" s="1">
        <v>1</v>
      </c>
      <c r="S809" t="str">
        <f>IF(R809=1,"Positive","Negative")</f>
        <v>Positive</v>
      </c>
      <c r="T809" s="1" t="str">
        <f>IFERROR(VLOOKUP(A809,[1]diabetes_Recognition!$A:$B,2,FALSE),"Not Sampled")</f>
        <v>Not Sampled</v>
      </c>
      <c r="U809" t="str">
        <f>IF(T809=1,"Positive",(IF(T809=0,"Negative","Not Sampled")))</f>
        <v>Not Sampled</v>
      </c>
      <c r="V809" s="1" t="str">
        <f>IF(U809="Not Sampled","Not Sampled",IF(S809=U809,"Accurate Prediction","Inaccurate Prediction"))</f>
        <v>Not Sampled</v>
      </c>
    </row>
    <row r="810" spans="1:22" x14ac:dyDescent="0.25">
      <c r="A810" s="1">
        <v>808</v>
      </c>
      <c r="B810" s="1">
        <v>9</v>
      </c>
      <c r="C810" s="1" t="str">
        <f>LOOKUP(B810,Sheet2!$D$4:$E$9)</f>
        <v>8+</v>
      </c>
      <c r="D810" s="1">
        <v>152</v>
      </c>
      <c r="E810" t="str">
        <f>LOOKUP(D810,Sheet2!$G$4:$H$9)</f>
        <v>151-175</v>
      </c>
      <c r="F810" s="1">
        <v>78</v>
      </c>
      <c r="G810" t="str">
        <f>LOOKUP(F810,Sheet2!$J$4:$K$8)</f>
        <v>70-79</v>
      </c>
      <c r="H810" s="1">
        <v>34</v>
      </c>
      <c r="I810" t="str">
        <f>LOOKUP(H810,Sheet2!$M$4:$N$8)</f>
        <v>30-39</v>
      </c>
      <c r="J810" s="1">
        <v>171</v>
      </c>
      <c r="K810" t="str">
        <f>LOOKUP(J810,Sheet2!$P$4:$Q$9)</f>
        <v>100-199</v>
      </c>
      <c r="L810" s="1">
        <v>34.200000000000003</v>
      </c>
      <c r="M810" t="str">
        <f>LOOKUP(L810,Sheet2!$S$4:$T$8)</f>
        <v>31-35</v>
      </c>
      <c r="N810" s="1">
        <v>0.89300000000000002</v>
      </c>
      <c r="O810" t="str">
        <f>LOOKUP(N810,Sheet2!$V$4:$W$7)</f>
        <v>0.7+</v>
      </c>
      <c r="P810" s="1">
        <v>33</v>
      </c>
      <c r="Q810" t="str">
        <f>LOOKUP(P810,Sheet2!$Z$4:$AA$7)</f>
        <v>26-35</v>
      </c>
      <c r="R810" s="1">
        <v>1</v>
      </c>
      <c r="S810" t="str">
        <f>IF(R810=1,"Positive","Negative")</f>
        <v>Positive</v>
      </c>
      <c r="T810" s="1">
        <f>IFERROR(VLOOKUP(A810,[1]diabetes_Recognition!$A:$B,2,FALSE),"Not Sampled")</f>
        <v>1</v>
      </c>
      <c r="U810" t="str">
        <f>IF(T810=1,"Positive",(IF(T810=0,"Negative","Not Sampled")))</f>
        <v>Positive</v>
      </c>
      <c r="V810" s="1" t="str">
        <f>IF(U810="Not Sampled","Not Sampled",IF(S810=U810,"Accurate Prediction","Inaccurate Prediction"))</f>
        <v>Accurate Prediction</v>
      </c>
    </row>
    <row r="811" spans="1:22" x14ac:dyDescent="0.25">
      <c r="A811" s="1">
        <v>809</v>
      </c>
      <c r="B811" s="1">
        <v>7</v>
      </c>
      <c r="C811" s="1" t="str">
        <f>LOOKUP(B811,Sheet2!$D$4:$E$9)</f>
        <v>5-7</v>
      </c>
      <c r="D811" s="1">
        <v>178</v>
      </c>
      <c r="E811" t="str">
        <f>LOOKUP(D811,Sheet2!$G$4:$H$9)</f>
        <v>176-200</v>
      </c>
      <c r="F811" s="1">
        <v>84</v>
      </c>
      <c r="G811" t="str">
        <f>LOOKUP(F811,Sheet2!$J$4:$K$8)</f>
        <v>80+</v>
      </c>
      <c r="H811" s="1">
        <v>0</v>
      </c>
      <c r="I811" t="str">
        <f>LOOKUP(H811,Sheet2!$M$4:$N$8)</f>
        <v>Unknown</v>
      </c>
      <c r="J811" s="1">
        <v>0</v>
      </c>
      <c r="K811" t="str">
        <f>LOOKUP(J811,Sheet2!$P$4:$Q$9)</f>
        <v>Unknown</v>
      </c>
      <c r="L811" s="1">
        <v>39.9</v>
      </c>
      <c r="M811" t="str">
        <f>LOOKUP(L811,Sheet2!$S$4:$T$8)</f>
        <v>36+</v>
      </c>
      <c r="N811" s="1">
        <v>0.33100000000000002</v>
      </c>
      <c r="O811" t="str">
        <f>LOOKUP(N811,Sheet2!$V$4:$W$7)</f>
        <v>0.25 - 0.39</v>
      </c>
      <c r="P811" s="1">
        <v>41</v>
      </c>
      <c r="Q811" t="str">
        <f>LOOKUP(P811,Sheet2!$Z$4:$AA$7)</f>
        <v>36-45</v>
      </c>
      <c r="R811" s="1">
        <v>1</v>
      </c>
      <c r="S811" t="str">
        <f>IF(R811=1,"Positive","Negative")</f>
        <v>Positive</v>
      </c>
      <c r="T811" s="1" t="str">
        <f>IFERROR(VLOOKUP(A811,[1]diabetes_Recognition!$A:$B,2,FALSE),"Not Sampled")</f>
        <v>Not Sampled</v>
      </c>
      <c r="U811" t="str">
        <f>IF(T811=1,"Positive",(IF(T811=0,"Negative","Not Sampled")))</f>
        <v>Not Sampled</v>
      </c>
      <c r="V811" s="1" t="str">
        <f>IF(U811="Not Sampled","Not Sampled",IF(S811=U811,"Accurate Prediction","Inaccurate Prediction"))</f>
        <v>Not Sampled</v>
      </c>
    </row>
    <row r="812" spans="1:22" x14ac:dyDescent="0.25">
      <c r="A812" s="1">
        <v>810</v>
      </c>
      <c r="B812" s="1">
        <v>1</v>
      </c>
      <c r="C812" s="1">
        <f>LOOKUP(B812,Sheet2!$D$4:$E$9)</f>
        <v>1</v>
      </c>
      <c r="D812" s="1">
        <v>130</v>
      </c>
      <c r="E812" t="str">
        <f>LOOKUP(D812,Sheet2!$G$4:$H$9)</f>
        <v>126-150</v>
      </c>
      <c r="F812" s="1">
        <v>70</v>
      </c>
      <c r="G812" t="str">
        <f>LOOKUP(F812,Sheet2!$J$4:$K$8)</f>
        <v>70-79</v>
      </c>
      <c r="H812" s="1">
        <v>13</v>
      </c>
      <c r="I812" t="str">
        <f>LOOKUP(H812,Sheet2!$M$4:$N$8)</f>
        <v>10-30</v>
      </c>
      <c r="J812" s="1">
        <v>105</v>
      </c>
      <c r="K812" t="str">
        <f>LOOKUP(J812,Sheet2!$P$4:$Q$9)</f>
        <v>100-199</v>
      </c>
      <c r="L812" s="1">
        <v>25.9</v>
      </c>
      <c r="M812" t="str">
        <f>LOOKUP(L812,Sheet2!$S$4:$T$8)</f>
        <v>1-25</v>
      </c>
      <c r="N812" s="1">
        <v>0.47199999999999998</v>
      </c>
      <c r="O812" t="str">
        <f>LOOKUP(N812,Sheet2!$V$4:$W$7)</f>
        <v>0.4 - 0.69</v>
      </c>
      <c r="P812" s="1">
        <v>22</v>
      </c>
      <c r="Q812" t="str">
        <f>LOOKUP(P812,Sheet2!$Z$4:$AA$7)</f>
        <v>&lt;=25</v>
      </c>
      <c r="R812" s="1">
        <v>0</v>
      </c>
      <c r="S812" t="str">
        <f>IF(R812=1,"Positive","Negative")</f>
        <v>Negative</v>
      </c>
      <c r="T812" s="1">
        <f>IFERROR(VLOOKUP(A812,[1]diabetes_Recognition!$A:$B,2,FALSE),"Not Sampled")</f>
        <v>0</v>
      </c>
      <c r="U812" t="str">
        <f>IF(T812=1,"Positive",(IF(T812=0,"Negative","Not Sampled")))</f>
        <v>Negative</v>
      </c>
      <c r="V812" s="1" t="str">
        <f>IF(U812="Not Sampled","Not Sampled",IF(S812=U812,"Accurate Prediction","Inaccurate Prediction"))</f>
        <v>Accurate Prediction</v>
      </c>
    </row>
    <row r="813" spans="1:22" x14ac:dyDescent="0.25">
      <c r="A813" s="1">
        <v>811</v>
      </c>
      <c r="B813" s="1">
        <v>1</v>
      </c>
      <c r="C813" s="1">
        <f>LOOKUP(B813,Sheet2!$D$4:$E$9)</f>
        <v>1</v>
      </c>
      <c r="D813" s="1">
        <v>95</v>
      </c>
      <c r="E813" t="str">
        <f>LOOKUP(D813,Sheet2!$G$4:$H$9)</f>
        <v>1-99</v>
      </c>
      <c r="F813" s="1">
        <v>74</v>
      </c>
      <c r="G813" t="str">
        <f>LOOKUP(F813,Sheet2!$J$4:$K$8)</f>
        <v>70-79</v>
      </c>
      <c r="H813" s="1">
        <v>21</v>
      </c>
      <c r="I813" t="str">
        <f>LOOKUP(H813,Sheet2!$M$4:$N$8)</f>
        <v>10-30</v>
      </c>
      <c r="J813" s="1">
        <v>73</v>
      </c>
      <c r="K813" t="str">
        <f>LOOKUP(J813,Sheet2!$P$4:$Q$9)</f>
        <v>1-99</v>
      </c>
      <c r="L813" s="1">
        <v>25.9</v>
      </c>
      <c r="M813" t="str">
        <f>LOOKUP(L813,Sheet2!$S$4:$T$8)</f>
        <v>1-25</v>
      </c>
      <c r="N813" s="1">
        <v>0.67300000000000004</v>
      </c>
      <c r="O813" t="str">
        <f>LOOKUP(N813,Sheet2!$V$4:$W$7)</f>
        <v>0.4 - 0.69</v>
      </c>
      <c r="P813" s="1">
        <v>36</v>
      </c>
      <c r="Q813" t="str">
        <f>LOOKUP(P813,Sheet2!$Z$4:$AA$7)</f>
        <v>36-45</v>
      </c>
      <c r="R813" s="1">
        <v>0</v>
      </c>
      <c r="S813" t="str">
        <f>IF(R813=1,"Positive","Negative")</f>
        <v>Negative</v>
      </c>
      <c r="T813" s="1" t="str">
        <f>IFERROR(VLOOKUP(A813,[1]diabetes_Recognition!$A:$B,2,FALSE),"Not Sampled")</f>
        <v>Not Sampled</v>
      </c>
      <c r="U813" t="str">
        <f>IF(T813=1,"Positive",(IF(T813=0,"Negative","Not Sampled")))</f>
        <v>Not Sampled</v>
      </c>
      <c r="V813" s="1" t="str">
        <f>IF(U813="Not Sampled","Not Sampled",IF(S813=U813,"Accurate Prediction","Inaccurate Prediction"))</f>
        <v>Not Sampled</v>
      </c>
    </row>
    <row r="814" spans="1:22" x14ac:dyDescent="0.25">
      <c r="A814" s="1">
        <v>812</v>
      </c>
      <c r="B814" s="1">
        <v>1</v>
      </c>
      <c r="C814" s="1">
        <f>LOOKUP(B814,Sheet2!$D$4:$E$9)</f>
        <v>1</v>
      </c>
      <c r="D814" s="1">
        <v>0</v>
      </c>
      <c r="E814" t="str">
        <f>LOOKUP(D814,Sheet2!$G$4:$H$9)</f>
        <v>Unknown</v>
      </c>
      <c r="F814" s="1">
        <v>68</v>
      </c>
      <c r="G814" t="str">
        <f>LOOKUP(F814,Sheet2!$J$4:$K$8)</f>
        <v>60-69</v>
      </c>
      <c r="H814" s="1">
        <v>35</v>
      </c>
      <c r="I814" t="str">
        <f>LOOKUP(H814,Sheet2!$M$4:$N$8)</f>
        <v>30-39</v>
      </c>
      <c r="J814" s="1">
        <v>0</v>
      </c>
      <c r="K814" t="str">
        <f>LOOKUP(J814,Sheet2!$P$4:$Q$9)</f>
        <v>Unknown</v>
      </c>
      <c r="L814" s="1">
        <v>32</v>
      </c>
      <c r="M814" t="str">
        <f>LOOKUP(L814,Sheet2!$S$4:$T$8)</f>
        <v>31-35</v>
      </c>
      <c r="N814" s="1">
        <v>0.38900000000000001</v>
      </c>
      <c r="O814" t="str">
        <f>LOOKUP(N814,Sheet2!$V$4:$W$7)</f>
        <v>0.25 - 0.39</v>
      </c>
      <c r="P814" s="1">
        <v>22</v>
      </c>
      <c r="Q814" t="str">
        <f>LOOKUP(P814,Sheet2!$Z$4:$AA$7)</f>
        <v>&lt;=25</v>
      </c>
      <c r="R814" s="1">
        <v>0</v>
      </c>
      <c r="S814" t="str">
        <f>IF(R814=1,"Positive","Negative")</f>
        <v>Negative</v>
      </c>
      <c r="T814" s="1" t="str">
        <f>IFERROR(VLOOKUP(A814,[1]diabetes_Recognition!$A:$B,2,FALSE),"Not Sampled")</f>
        <v>Not Sampled</v>
      </c>
      <c r="U814" t="str">
        <f>IF(T814=1,"Positive",(IF(T814=0,"Negative","Not Sampled")))</f>
        <v>Not Sampled</v>
      </c>
      <c r="V814" s="1" t="str">
        <f>IF(U814="Not Sampled","Not Sampled",IF(S814=U814,"Accurate Prediction","Inaccurate Prediction"))</f>
        <v>Not Sampled</v>
      </c>
    </row>
    <row r="815" spans="1:22" x14ac:dyDescent="0.25">
      <c r="A815" s="1">
        <v>813</v>
      </c>
      <c r="B815" s="1">
        <v>5</v>
      </c>
      <c r="C815" s="1" t="str">
        <f>LOOKUP(B815,Sheet2!$D$4:$E$9)</f>
        <v>5-7</v>
      </c>
      <c r="D815" s="1">
        <v>122</v>
      </c>
      <c r="E815" t="str">
        <f>LOOKUP(D815,Sheet2!$G$4:$H$9)</f>
        <v>100-125</v>
      </c>
      <c r="F815" s="1">
        <v>86</v>
      </c>
      <c r="G815" t="str">
        <f>LOOKUP(F815,Sheet2!$J$4:$K$8)</f>
        <v>80+</v>
      </c>
      <c r="H815" s="1">
        <v>0</v>
      </c>
      <c r="I815" t="str">
        <f>LOOKUP(H815,Sheet2!$M$4:$N$8)</f>
        <v>Unknown</v>
      </c>
      <c r="J815" s="1">
        <v>0</v>
      </c>
      <c r="K815" t="str">
        <f>LOOKUP(J815,Sheet2!$P$4:$Q$9)</f>
        <v>Unknown</v>
      </c>
      <c r="L815" s="1">
        <v>34.700000000000003</v>
      </c>
      <c r="M815" t="str">
        <f>LOOKUP(L815,Sheet2!$S$4:$T$8)</f>
        <v>31-35</v>
      </c>
      <c r="N815" s="1">
        <v>0.28999999999999998</v>
      </c>
      <c r="O815" t="str">
        <f>LOOKUP(N815,Sheet2!$V$4:$W$7)</f>
        <v>0.25 - 0.39</v>
      </c>
      <c r="P815" s="1">
        <v>33</v>
      </c>
      <c r="Q815" t="str">
        <f>LOOKUP(P815,Sheet2!$Z$4:$AA$7)</f>
        <v>26-35</v>
      </c>
      <c r="R815" s="1">
        <v>0</v>
      </c>
      <c r="S815" t="str">
        <f>IF(R815=1,"Positive","Negative")</f>
        <v>Negative</v>
      </c>
      <c r="T815" s="1" t="str">
        <f>IFERROR(VLOOKUP(A815,[1]diabetes_Recognition!$A:$B,2,FALSE),"Not Sampled")</f>
        <v>Not Sampled</v>
      </c>
      <c r="U815" t="str">
        <f>IF(T815=1,"Positive",(IF(T815=0,"Negative","Not Sampled")))</f>
        <v>Not Sampled</v>
      </c>
      <c r="V815" s="1" t="str">
        <f>IF(U815="Not Sampled","Not Sampled",IF(S815=U815,"Accurate Prediction","Inaccurate Prediction"))</f>
        <v>Not Sampled</v>
      </c>
    </row>
    <row r="816" spans="1:22" x14ac:dyDescent="0.25">
      <c r="A816" s="1">
        <v>814</v>
      </c>
      <c r="B816" s="1">
        <v>8</v>
      </c>
      <c r="C816" s="1" t="str">
        <f>LOOKUP(B816,Sheet2!$D$4:$E$9)</f>
        <v>8+</v>
      </c>
      <c r="D816" s="1">
        <v>95</v>
      </c>
      <c r="E816" t="str">
        <f>LOOKUP(D816,Sheet2!$G$4:$H$9)</f>
        <v>1-99</v>
      </c>
      <c r="F816" s="1">
        <v>72</v>
      </c>
      <c r="G816" t="str">
        <f>LOOKUP(F816,Sheet2!$J$4:$K$8)</f>
        <v>70-79</v>
      </c>
      <c r="H816" s="1">
        <v>0</v>
      </c>
      <c r="I816" t="str">
        <f>LOOKUP(H816,Sheet2!$M$4:$N$8)</f>
        <v>Unknown</v>
      </c>
      <c r="J816" s="1">
        <v>0</v>
      </c>
      <c r="K816" t="str">
        <f>LOOKUP(J816,Sheet2!$P$4:$Q$9)</f>
        <v>Unknown</v>
      </c>
      <c r="L816" s="1">
        <v>36.799999999999997</v>
      </c>
      <c r="M816" t="str">
        <f>LOOKUP(L816,Sheet2!$S$4:$T$8)</f>
        <v>36+</v>
      </c>
      <c r="N816" s="1">
        <v>0.48499999999999999</v>
      </c>
      <c r="O816" t="str">
        <f>LOOKUP(N816,Sheet2!$V$4:$W$7)</f>
        <v>0.4 - 0.69</v>
      </c>
      <c r="P816" s="1">
        <v>57</v>
      </c>
      <c r="Q816" t="str">
        <f>LOOKUP(P816,Sheet2!$Z$4:$AA$7)</f>
        <v>46+</v>
      </c>
      <c r="R816" s="1">
        <v>0</v>
      </c>
      <c r="S816" t="str">
        <f>IF(R816=1,"Positive","Negative")</f>
        <v>Negative</v>
      </c>
      <c r="T816" s="1" t="str">
        <f>IFERROR(VLOOKUP(A816,[1]diabetes_Recognition!$A:$B,2,FALSE),"Not Sampled")</f>
        <v>Not Sampled</v>
      </c>
      <c r="U816" t="str">
        <f>IF(T816=1,"Positive",(IF(T816=0,"Negative","Not Sampled")))</f>
        <v>Not Sampled</v>
      </c>
      <c r="V816" s="1" t="str">
        <f>IF(U816="Not Sampled","Not Sampled",IF(S816=U816,"Accurate Prediction","Inaccurate Prediction"))</f>
        <v>Not Sampled</v>
      </c>
    </row>
    <row r="817" spans="1:22" x14ac:dyDescent="0.25">
      <c r="A817" s="1">
        <v>815</v>
      </c>
      <c r="B817" s="1">
        <v>8</v>
      </c>
      <c r="C817" s="1" t="str">
        <f>LOOKUP(B817,Sheet2!$D$4:$E$9)</f>
        <v>8+</v>
      </c>
      <c r="D817" s="1">
        <v>126</v>
      </c>
      <c r="E817" t="str">
        <f>LOOKUP(D817,Sheet2!$G$4:$H$9)</f>
        <v>126-150</v>
      </c>
      <c r="F817" s="1">
        <v>88</v>
      </c>
      <c r="G817" t="str">
        <f>LOOKUP(F817,Sheet2!$J$4:$K$8)</f>
        <v>80+</v>
      </c>
      <c r="H817" s="1">
        <v>36</v>
      </c>
      <c r="I817" t="str">
        <f>LOOKUP(H817,Sheet2!$M$4:$N$8)</f>
        <v>30-39</v>
      </c>
      <c r="J817" s="1">
        <v>108</v>
      </c>
      <c r="K817" t="str">
        <f>LOOKUP(J817,Sheet2!$P$4:$Q$9)</f>
        <v>100-199</v>
      </c>
      <c r="L817" s="1">
        <v>38.5</v>
      </c>
      <c r="M817" t="str">
        <f>LOOKUP(L817,Sheet2!$S$4:$T$8)</f>
        <v>36+</v>
      </c>
      <c r="N817" s="1">
        <v>0.34899999999999998</v>
      </c>
      <c r="O817" t="str">
        <f>LOOKUP(N817,Sheet2!$V$4:$W$7)</f>
        <v>0.25 - 0.39</v>
      </c>
      <c r="P817" s="1">
        <v>49</v>
      </c>
      <c r="Q817" t="str">
        <f>LOOKUP(P817,Sheet2!$Z$4:$AA$7)</f>
        <v>46+</v>
      </c>
      <c r="R817" s="1">
        <v>0</v>
      </c>
      <c r="S817" t="str">
        <f>IF(R817=1,"Positive","Negative")</f>
        <v>Negative</v>
      </c>
      <c r="T817" s="1" t="str">
        <f>IFERROR(VLOOKUP(A817,[1]diabetes_Recognition!$A:$B,2,FALSE),"Not Sampled")</f>
        <v>Not Sampled</v>
      </c>
      <c r="U817" t="str">
        <f>IF(T817=1,"Positive",(IF(T817=0,"Negative","Not Sampled")))</f>
        <v>Not Sampled</v>
      </c>
      <c r="V817" s="1" t="str">
        <f>IF(U817="Not Sampled","Not Sampled",IF(S817=U817,"Accurate Prediction","Inaccurate Prediction"))</f>
        <v>Not Sampled</v>
      </c>
    </row>
    <row r="818" spans="1:22" x14ac:dyDescent="0.25">
      <c r="A818" s="1">
        <v>816</v>
      </c>
      <c r="B818" s="1">
        <v>1</v>
      </c>
      <c r="C818" s="1">
        <f>LOOKUP(B818,Sheet2!$D$4:$E$9)</f>
        <v>1</v>
      </c>
      <c r="D818" s="1">
        <v>139</v>
      </c>
      <c r="E818" t="str">
        <f>LOOKUP(D818,Sheet2!$G$4:$H$9)</f>
        <v>126-150</v>
      </c>
      <c r="F818" s="1">
        <v>46</v>
      </c>
      <c r="G818" t="str">
        <f>LOOKUP(F818,Sheet2!$J$4:$K$8)</f>
        <v>1-59</v>
      </c>
      <c r="H818" s="1">
        <v>19</v>
      </c>
      <c r="I818" t="str">
        <f>LOOKUP(H818,Sheet2!$M$4:$N$8)</f>
        <v>10-30</v>
      </c>
      <c r="J818" s="1">
        <v>83</v>
      </c>
      <c r="K818" t="str">
        <f>LOOKUP(J818,Sheet2!$P$4:$Q$9)</f>
        <v>1-99</v>
      </c>
      <c r="L818" s="1">
        <v>28.7</v>
      </c>
      <c r="M818" t="str">
        <f>LOOKUP(L818,Sheet2!$S$4:$T$8)</f>
        <v>26-30</v>
      </c>
      <c r="N818" s="1">
        <v>0.65400000000000003</v>
      </c>
      <c r="O818" t="str">
        <f>LOOKUP(N818,Sheet2!$V$4:$W$7)</f>
        <v>0.4 - 0.69</v>
      </c>
      <c r="P818" s="1">
        <v>22</v>
      </c>
      <c r="Q818" t="str">
        <f>LOOKUP(P818,Sheet2!$Z$4:$AA$7)</f>
        <v>&lt;=25</v>
      </c>
      <c r="R818" s="1">
        <v>0</v>
      </c>
      <c r="S818" t="str">
        <f>IF(R818=1,"Positive","Negative")</f>
        <v>Negative</v>
      </c>
      <c r="T818" s="1">
        <f>IFERROR(VLOOKUP(A818,[1]diabetes_Recognition!$A:$B,2,FALSE),"Not Sampled")</f>
        <v>0</v>
      </c>
      <c r="U818" t="str">
        <f>IF(T818=1,"Positive",(IF(T818=0,"Negative","Not Sampled")))</f>
        <v>Negative</v>
      </c>
      <c r="V818" s="1" t="str">
        <f>IF(U818="Not Sampled","Not Sampled",IF(S818=U818,"Accurate Prediction","Inaccurate Prediction"))</f>
        <v>Accurate Prediction</v>
      </c>
    </row>
    <row r="819" spans="1:22" x14ac:dyDescent="0.25">
      <c r="A819" s="1">
        <v>817</v>
      </c>
      <c r="B819" s="1">
        <v>3</v>
      </c>
      <c r="C819" s="1" t="str">
        <f>LOOKUP(B819,Sheet2!$D$4:$E$9)</f>
        <v>3-4</v>
      </c>
      <c r="D819" s="1">
        <v>116</v>
      </c>
      <c r="E819" t="str">
        <f>LOOKUP(D819,Sheet2!$G$4:$H$9)</f>
        <v>100-125</v>
      </c>
      <c r="F819" s="1">
        <v>0</v>
      </c>
      <c r="G819" t="str">
        <f>LOOKUP(F819,Sheet2!$J$4:$K$8)</f>
        <v>Unknown</v>
      </c>
      <c r="H819" s="1">
        <v>0</v>
      </c>
      <c r="I819" t="str">
        <f>LOOKUP(H819,Sheet2!$M$4:$N$8)</f>
        <v>Unknown</v>
      </c>
      <c r="J819" s="1">
        <v>0</v>
      </c>
      <c r="K819" t="str">
        <f>LOOKUP(J819,Sheet2!$P$4:$Q$9)</f>
        <v>Unknown</v>
      </c>
      <c r="L819" s="1">
        <v>23.5</v>
      </c>
      <c r="M819" t="str">
        <f>LOOKUP(L819,Sheet2!$S$4:$T$8)</f>
        <v>1-25</v>
      </c>
      <c r="N819" s="1">
        <v>0.187</v>
      </c>
      <c r="O819" t="str">
        <f>LOOKUP(N819,Sheet2!$V$4:$W$7)</f>
        <v>0.0 - 0.249</v>
      </c>
      <c r="P819" s="1">
        <v>23</v>
      </c>
      <c r="Q819" t="str">
        <f>LOOKUP(P819,Sheet2!$Z$4:$AA$7)</f>
        <v>&lt;=25</v>
      </c>
      <c r="R819" s="1">
        <v>0</v>
      </c>
      <c r="S819" t="str">
        <f>IF(R819=1,"Positive","Negative")</f>
        <v>Negative</v>
      </c>
      <c r="T819" s="1" t="str">
        <f>IFERROR(VLOOKUP(A819,[1]diabetes_Recognition!$A:$B,2,FALSE),"Not Sampled")</f>
        <v>Not Sampled</v>
      </c>
      <c r="U819" t="str">
        <f>IF(T819=1,"Positive",(IF(T819=0,"Negative","Not Sampled")))</f>
        <v>Not Sampled</v>
      </c>
      <c r="V819" s="1" t="str">
        <f>IF(U819="Not Sampled","Not Sampled",IF(S819=U819,"Accurate Prediction","Inaccurate Prediction"))</f>
        <v>Not Sampled</v>
      </c>
    </row>
    <row r="820" spans="1:22" x14ac:dyDescent="0.25">
      <c r="A820" s="1">
        <v>818</v>
      </c>
      <c r="B820" s="1">
        <v>3</v>
      </c>
      <c r="C820" s="1" t="str">
        <f>LOOKUP(B820,Sheet2!$D$4:$E$9)</f>
        <v>3-4</v>
      </c>
      <c r="D820" s="1">
        <v>99</v>
      </c>
      <c r="E820" t="str">
        <f>LOOKUP(D820,Sheet2!$G$4:$H$9)</f>
        <v>1-99</v>
      </c>
      <c r="F820" s="1">
        <v>62</v>
      </c>
      <c r="G820" t="str">
        <f>LOOKUP(F820,Sheet2!$J$4:$K$8)</f>
        <v>60-69</v>
      </c>
      <c r="H820" s="1">
        <v>19</v>
      </c>
      <c r="I820" t="str">
        <f>LOOKUP(H820,Sheet2!$M$4:$N$8)</f>
        <v>10-30</v>
      </c>
      <c r="J820" s="1">
        <v>74</v>
      </c>
      <c r="K820" t="str">
        <f>LOOKUP(J820,Sheet2!$P$4:$Q$9)</f>
        <v>1-99</v>
      </c>
      <c r="L820" s="1">
        <v>21.8</v>
      </c>
      <c r="M820" t="str">
        <f>LOOKUP(L820,Sheet2!$S$4:$T$8)</f>
        <v>1-25</v>
      </c>
      <c r="N820" s="1">
        <v>0.27900000000000003</v>
      </c>
      <c r="O820" t="str">
        <f>LOOKUP(N820,Sheet2!$V$4:$W$7)</f>
        <v>0.25 - 0.39</v>
      </c>
      <c r="P820" s="1">
        <v>26</v>
      </c>
      <c r="Q820" t="str">
        <f>LOOKUP(P820,Sheet2!$Z$4:$AA$7)</f>
        <v>26-35</v>
      </c>
      <c r="R820" s="1">
        <v>0</v>
      </c>
      <c r="S820" t="str">
        <f>IF(R820=1,"Positive","Negative")</f>
        <v>Negative</v>
      </c>
      <c r="T820" s="1" t="str">
        <f>IFERROR(VLOOKUP(A820,[1]diabetes_Recognition!$A:$B,2,FALSE),"Not Sampled")</f>
        <v>Not Sampled</v>
      </c>
      <c r="U820" t="str">
        <f>IF(T820=1,"Positive",(IF(T820=0,"Negative","Not Sampled")))</f>
        <v>Not Sampled</v>
      </c>
      <c r="V820" s="1" t="str">
        <f>IF(U820="Not Sampled","Not Sampled",IF(S820=U820,"Accurate Prediction","Inaccurate Prediction"))</f>
        <v>Not Sampled</v>
      </c>
    </row>
    <row r="821" spans="1:22" x14ac:dyDescent="0.25">
      <c r="A821" s="1">
        <v>819</v>
      </c>
      <c r="B821" s="1">
        <v>5</v>
      </c>
      <c r="C821" s="1" t="str">
        <f>LOOKUP(B821,Sheet2!$D$4:$E$9)</f>
        <v>5-7</v>
      </c>
      <c r="D821" s="1">
        <v>0</v>
      </c>
      <c r="E821" t="str">
        <f>LOOKUP(D821,Sheet2!$G$4:$H$9)</f>
        <v>Unknown</v>
      </c>
      <c r="F821" s="1">
        <v>80</v>
      </c>
      <c r="G821" t="str">
        <f>LOOKUP(F821,Sheet2!$J$4:$K$8)</f>
        <v>80+</v>
      </c>
      <c r="H821" s="1">
        <v>32</v>
      </c>
      <c r="I821" t="str">
        <f>LOOKUP(H821,Sheet2!$M$4:$N$8)</f>
        <v>30-39</v>
      </c>
      <c r="J821" s="1">
        <v>0</v>
      </c>
      <c r="K821" t="str">
        <f>LOOKUP(J821,Sheet2!$P$4:$Q$9)</f>
        <v>Unknown</v>
      </c>
      <c r="L821" s="1">
        <v>41</v>
      </c>
      <c r="M821" t="str">
        <f>LOOKUP(L821,Sheet2!$S$4:$T$8)</f>
        <v>36+</v>
      </c>
      <c r="N821" s="1">
        <v>0.34599999999999997</v>
      </c>
      <c r="O821" t="str">
        <f>LOOKUP(N821,Sheet2!$V$4:$W$7)</f>
        <v>0.25 - 0.39</v>
      </c>
      <c r="P821" s="1">
        <v>37</v>
      </c>
      <c r="Q821" t="str">
        <f>LOOKUP(P821,Sheet2!$Z$4:$AA$7)</f>
        <v>36-45</v>
      </c>
      <c r="R821" s="1">
        <v>1</v>
      </c>
      <c r="S821" t="str">
        <f>IF(R821=1,"Positive","Negative")</f>
        <v>Positive</v>
      </c>
      <c r="T821" s="1" t="str">
        <f>IFERROR(VLOOKUP(A821,[1]diabetes_Recognition!$A:$B,2,FALSE),"Not Sampled")</f>
        <v>Not Sampled</v>
      </c>
      <c r="U821" t="str">
        <f>IF(T821=1,"Positive",(IF(T821=0,"Negative","Not Sampled")))</f>
        <v>Not Sampled</v>
      </c>
      <c r="V821" s="1" t="str">
        <f>IF(U821="Not Sampled","Not Sampled",IF(S821=U821,"Accurate Prediction","Inaccurate Prediction"))</f>
        <v>Not Sampled</v>
      </c>
    </row>
    <row r="822" spans="1:22" x14ac:dyDescent="0.25">
      <c r="A822" s="1">
        <v>820</v>
      </c>
      <c r="B822" s="1">
        <v>4</v>
      </c>
      <c r="C822" s="1" t="str">
        <f>LOOKUP(B822,Sheet2!$D$4:$E$9)</f>
        <v>3-4</v>
      </c>
      <c r="D822" s="1">
        <v>92</v>
      </c>
      <c r="E822" t="str">
        <f>LOOKUP(D822,Sheet2!$G$4:$H$9)</f>
        <v>1-99</v>
      </c>
      <c r="F822" s="1">
        <v>80</v>
      </c>
      <c r="G822" t="str">
        <f>LOOKUP(F822,Sheet2!$J$4:$K$8)</f>
        <v>80+</v>
      </c>
      <c r="H822" s="1">
        <v>0</v>
      </c>
      <c r="I822" t="str">
        <f>LOOKUP(H822,Sheet2!$M$4:$N$8)</f>
        <v>Unknown</v>
      </c>
      <c r="J822" s="1">
        <v>0</v>
      </c>
      <c r="K822" t="str">
        <f>LOOKUP(J822,Sheet2!$P$4:$Q$9)</f>
        <v>Unknown</v>
      </c>
      <c r="L822" s="1">
        <v>42.2</v>
      </c>
      <c r="M822" t="str">
        <f>LOOKUP(L822,Sheet2!$S$4:$T$8)</f>
        <v>36+</v>
      </c>
      <c r="N822" s="1">
        <v>0.23699999999999999</v>
      </c>
      <c r="O822" t="str">
        <f>LOOKUP(N822,Sheet2!$V$4:$W$7)</f>
        <v>0.0 - 0.249</v>
      </c>
      <c r="P822" s="1">
        <v>29</v>
      </c>
      <c r="Q822" t="str">
        <f>LOOKUP(P822,Sheet2!$Z$4:$AA$7)</f>
        <v>26-35</v>
      </c>
      <c r="R822" s="1">
        <v>0</v>
      </c>
      <c r="S822" t="str">
        <f>IF(R822=1,"Positive","Negative")</f>
        <v>Negative</v>
      </c>
      <c r="T822" s="1" t="str">
        <f>IFERROR(VLOOKUP(A822,[1]diabetes_Recognition!$A:$B,2,FALSE),"Not Sampled")</f>
        <v>Not Sampled</v>
      </c>
      <c r="U822" t="str">
        <f>IF(T822=1,"Positive",(IF(T822=0,"Negative","Not Sampled")))</f>
        <v>Not Sampled</v>
      </c>
      <c r="V822" s="1" t="str">
        <f>IF(U822="Not Sampled","Not Sampled",IF(S822=U822,"Accurate Prediction","Inaccurate Prediction"))</f>
        <v>Not Sampled</v>
      </c>
    </row>
    <row r="823" spans="1:22" x14ac:dyDescent="0.25">
      <c r="A823" s="1">
        <v>821</v>
      </c>
      <c r="B823" s="1">
        <v>4</v>
      </c>
      <c r="C823" s="1" t="str">
        <f>LOOKUP(B823,Sheet2!$D$4:$E$9)</f>
        <v>3-4</v>
      </c>
      <c r="D823" s="1">
        <v>137</v>
      </c>
      <c r="E823" t="str">
        <f>LOOKUP(D823,Sheet2!$G$4:$H$9)</f>
        <v>126-150</v>
      </c>
      <c r="F823" s="1">
        <v>84</v>
      </c>
      <c r="G823" t="str">
        <f>LOOKUP(F823,Sheet2!$J$4:$K$8)</f>
        <v>80+</v>
      </c>
      <c r="H823" s="1">
        <v>0</v>
      </c>
      <c r="I823" t="str">
        <f>LOOKUP(H823,Sheet2!$M$4:$N$8)</f>
        <v>Unknown</v>
      </c>
      <c r="J823" s="1">
        <v>0</v>
      </c>
      <c r="K823" t="str">
        <f>LOOKUP(J823,Sheet2!$P$4:$Q$9)</f>
        <v>Unknown</v>
      </c>
      <c r="L823" s="1">
        <v>31.2</v>
      </c>
      <c r="M823" t="str">
        <f>LOOKUP(L823,Sheet2!$S$4:$T$8)</f>
        <v>31-35</v>
      </c>
      <c r="N823" s="1">
        <v>0.252</v>
      </c>
      <c r="O823" t="str">
        <f>LOOKUP(N823,Sheet2!$V$4:$W$7)</f>
        <v>0.25 - 0.39</v>
      </c>
      <c r="P823" s="1">
        <v>30</v>
      </c>
      <c r="Q823" t="str">
        <f>LOOKUP(P823,Sheet2!$Z$4:$AA$7)</f>
        <v>26-35</v>
      </c>
      <c r="R823" s="1">
        <v>0</v>
      </c>
      <c r="S823" t="str">
        <f>IF(R823=1,"Positive","Negative")</f>
        <v>Negative</v>
      </c>
      <c r="T823" s="1">
        <f>IFERROR(VLOOKUP(A823,[1]diabetes_Recognition!$A:$B,2,FALSE),"Not Sampled")</f>
        <v>0</v>
      </c>
      <c r="U823" t="str">
        <f>IF(T823=1,"Positive",(IF(T823=0,"Negative","Not Sampled")))</f>
        <v>Negative</v>
      </c>
      <c r="V823" s="1" t="str">
        <f>IF(U823="Not Sampled","Not Sampled",IF(S823=U823,"Accurate Prediction","Inaccurate Prediction"))</f>
        <v>Accurate Prediction</v>
      </c>
    </row>
    <row r="824" spans="1:22" x14ac:dyDescent="0.25">
      <c r="A824" s="1">
        <v>822</v>
      </c>
      <c r="B824" s="1">
        <v>3</v>
      </c>
      <c r="C824" s="1" t="str">
        <f>LOOKUP(B824,Sheet2!$D$4:$E$9)</f>
        <v>3-4</v>
      </c>
      <c r="D824" s="1">
        <v>61</v>
      </c>
      <c r="E824" t="str">
        <f>LOOKUP(D824,Sheet2!$G$4:$H$9)</f>
        <v>1-99</v>
      </c>
      <c r="F824" s="1">
        <v>82</v>
      </c>
      <c r="G824" t="str">
        <f>LOOKUP(F824,Sheet2!$J$4:$K$8)</f>
        <v>80+</v>
      </c>
      <c r="H824" s="1">
        <v>28</v>
      </c>
      <c r="I824" t="str">
        <f>LOOKUP(H824,Sheet2!$M$4:$N$8)</f>
        <v>10-30</v>
      </c>
      <c r="J824" s="1">
        <v>0</v>
      </c>
      <c r="K824" t="str">
        <f>LOOKUP(J824,Sheet2!$P$4:$Q$9)</f>
        <v>Unknown</v>
      </c>
      <c r="L824" s="1">
        <v>34.4</v>
      </c>
      <c r="M824" t="str">
        <f>LOOKUP(L824,Sheet2!$S$4:$T$8)</f>
        <v>31-35</v>
      </c>
      <c r="N824" s="1">
        <v>0.24299999999999999</v>
      </c>
      <c r="O824" t="str">
        <f>LOOKUP(N824,Sheet2!$V$4:$W$7)</f>
        <v>0.0 - 0.249</v>
      </c>
      <c r="P824" s="1">
        <v>46</v>
      </c>
      <c r="Q824" t="str">
        <f>LOOKUP(P824,Sheet2!$Z$4:$AA$7)</f>
        <v>46+</v>
      </c>
      <c r="R824" s="1">
        <v>0</v>
      </c>
      <c r="S824" t="str">
        <f>IF(R824=1,"Positive","Negative")</f>
        <v>Negative</v>
      </c>
      <c r="T824" s="1" t="str">
        <f>IFERROR(VLOOKUP(A824,[1]diabetes_Recognition!$A:$B,2,FALSE),"Not Sampled")</f>
        <v>Not Sampled</v>
      </c>
      <c r="U824" t="str">
        <f>IF(T824=1,"Positive",(IF(T824=0,"Negative","Not Sampled")))</f>
        <v>Not Sampled</v>
      </c>
      <c r="V824" s="1" t="str">
        <f>IF(U824="Not Sampled","Not Sampled",IF(S824=U824,"Accurate Prediction","Inaccurate Prediction"))</f>
        <v>Not Sampled</v>
      </c>
    </row>
    <row r="825" spans="1:22" x14ac:dyDescent="0.25">
      <c r="A825" s="1">
        <v>823</v>
      </c>
      <c r="B825" s="1">
        <v>1</v>
      </c>
      <c r="C825" s="1">
        <f>LOOKUP(B825,Sheet2!$D$4:$E$9)</f>
        <v>1</v>
      </c>
      <c r="D825" s="1">
        <v>90</v>
      </c>
      <c r="E825" t="str">
        <f>LOOKUP(D825,Sheet2!$G$4:$H$9)</f>
        <v>1-99</v>
      </c>
      <c r="F825" s="1">
        <v>62</v>
      </c>
      <c r="G825" t="str">
        <f>LOOKUP(F825,Sheet2!$J$4:$K$8)</f>
        <v>60-69</v>
      </c>
      <c r="H825" s="1">
        <v>12</v>
      </c>
      <c r="I825" t="str">
        <f>LOOKUP(H825,Sheet2!$M$4:$N$8)</f>
        <v>10-30</v>
      </c>
      <c r="J825" s="1">
        <v>43</v>
      </c>
      <c r="K825" t="str">
        <f>LOOKUP(J825,Sheet2!$P$4:$Q$9)</f>
        <v>1-99</v>
      </c>
      <c r="L825" s="1">
        <v>27.2</v>
      </c>
      <c r="M825" t="str">
        <f>LOOKUP(L825,Sheet2!$S$4:$T$8)</f>
        <v>26-30</v>
      </c>
      <c r="N825" s="1">
        <v>0.57999999999999996</v>
      </c>
      <c r="O825" t="str">
        <f>LOOKUP(N825,Sheet2!$V$4:$W$7)</f>
        <v>0.4 - 0.69</v>
      </c>
      <c r="P825" s="1">
        <v>24</v>
      </c>
      <c r="Q825" t="str">
        <f>LOOKUP(P825,Sheet2!$Z$4:$AA$7)</f>
        <v>&lt;=25</v>
      </c>
      <c r="R825" s="1">
        <v>0</v>
      </c>
      <c r="S825" t="str">
        <f>IF(R825=1,"Positive","Negative")</f>
        <v>Negative</v>
      </c>
      <c r="T825" s="1" t="str">
        <f>IFERROR(VLOOKUP(A825,[1]diabetes_Recognition!$A:$B,2,FALSE),"Not Sampled")</f>
        <v>Not Sampled</v>
      </c>
      <c r="U825" t="str">
        <f>IF(T825=1,"Positive",(IF(T825=0,"Negative","Not Sampled")))</f>
        <v>Not Sampled</v>
      </c>
      <c r="V825" s="1" t="str">
        <f>IF(U825="Not Sampled","Not Sampled",IF(S825=U825,"Accurate Prediction","Inaccurate Prediction"))</f>
        <v>Not Sampled</v>
      </c>
    </row>
    <row r="826" spans="1:22" x14ac:dyDescent="0.25">
      <c r="A826" s="1">
        <v>824</v>
      </c>
      <c r="B826" s="1">
        <v>3</v>
      </c>
      <c r="C826" s="1" t="str">
        <f>LOOKUP(B826,Sheet2!$D$4:$E$9)</f>
        <v>3-4</v>
      </c>
      <c r="D826" s="1">
        <v>90</v>
      </c>
      <c r="E826" t="str">
        <f>LOOKUP(D826,Sheet2!$G$4:$H$9)</f>
        <v>1-99</v>
      </c>
      <c r="F826" s="1">
        <v>78</v>
      </c>
      <c r="G826" t="str">
        <f>LOOKUP(F826,Sheet2!$J$4:$K$8)</f>
        <v>70-79</v>
      </c>
      <c r="H826" s="1">
        <v>0</v>
      </c>
      <c r="I826" t="str">
        <f>LOOKUP(H826,Sheet2!$M$4:$N$8)</f>
        <v>Unknown</v>
      </c>
      <c r="J826" s="1">
        <v>0</v>
      </c>
      <c r="K826" t="str">
        <f>LOOKUP(J826,Sheet2!$P$4:$Q$9)</f>
        <v>Unknown</v>
      </c>
      <c r="L826" s="1">
        <v>42.7</v>
      </c>
      <c r="M826" t="str">
        <f>LOOKUP(L826,Sheet2!$S$4:$T$8)</f>
        <v>36+</v>
      </c>
      <c r="N826" s="1">
        <v>0.55900000000000005</v>
      </c>
      <c r="O826" t="str">
        <f>LOOKUP(N826,Sheet2!$V$4:$W$7)</f>
        <v>0.4 - 0.69</v>
      </c>
      <c r="P826" s="1">
        <v>21</v>
      </c>
      <c r="Q826" t="str">
        <f>LOOKUP(P826,Sheet2!$Z$4:$AA$7)</f>
        <v>&lt;=25</v>
      </c>
      <c r="R826" s="1">
        <v>0</v>
      </c>
      <c r="S826" t="str">
        <f>IF(R826=1,"Positive","Negative")</f>
        <v>Negative</v>
      </c>
      <c r="T826" s="1">
        <f>IFERROR(VLOOKUP(A826,[1]diabetes_Recognition!$A:$B,2,FALSE),"Not Sampled")</f>
        <v>0</v>
      </c>
      <c r="U826" t="str">
        <f>IF(T826=1,"Positive",(IF(T826=0,"Negative","Not Sampled")))</f>
        <v>Negative</v>
      </c>
      <c r="V826" s="1" t="str">
        <f>IF(U826="Not Sampled","Not Sampled",IF(S826=U826,"Accurate Prediction","Inaccurate Prediction"))</f>
        <v>Accurate Prediction</v>
      </c>
    </row>
    <row r="827" spans="1:22" x14ac:dyDescent="0.25">
      <c r="A827" s="1">
        <v>825</v>
      </c>
      <c r="B827" s="1">
        <v>9</v>
      </c>
      <c r="C827" s="1" t="str">
        <f>LOOKUP(B827,Sheet2!$D$4:$E$9)</f>
        <v>8+</v>
      </c>
      <c r="D827" s="1">
        <v>165</v>
      </c>
      <c r="E827" t="str">
        <f>LOOKUP(D827,Sheet2!$G$4:$H$9)</f>
        <v>151-175</v>
      </c>
      <c r="F827" s="1">
        <v>88</v>
      </c>
      <c r="G827" t="str">
        <f>LOOKUP(F827,Sheet2!$J$4:$K$8)</f>
        <v>80+</v>
      </c>
      <c r="H827" s="1">
        <v>0</v>
      </c>
      <c r="I827" t="str">
        <f>LOOKUP(H827,Sheet2!$M$4:$N$8)</f>
        <v>Unknown</v>
      </c>
      <c r="J827" s="1">
        <v>0</v>
      </c>
      <c r="K827" t="str">
        <f>LOOKUP(J827,Sheet2!$P$4:$Q$9)</f>
        <v>Unknown</v>
      </c>
      <c r="L827" s="1">
        <v>30.4</v>
      </c>
      <c r="M827" t="str">
        <f>LOOKUP(L827,Sheet2!$S$4:$T$8)</f>
        <v>26-30</v>
      </c>
      <c r="N827" s="1">
        <v>0.30199999999999999</v>
      </c>
      <c r="O827" t="str">
        <f>LOOKUP(N827,Sheet2!$V$4:$W$7)</f>
        <v>0.25 - 0.39</v>
      </c>
      <c r="P827" s="1">
        <v>49</v>
      </c>
      <c r="Q827" t="str">
        <f>LOOKUP(P827,Sheet2!$Z$4:$AA$7)</f>
        <v>46+</v>
      </c>
      <c r="R827" s="1">
        <v>1</v>
      </c>
      <c r="S827" t="str">
        <f>IF(R827=1,"Positive","Negative")</f>
        <v>Positive</v>
      </c>
      <c r="T827" s="1" t="str">
        <f>IFERROR(VLOOKUP(A827,[1]diabetes_Recognition!$A:$B,2,FALSE),"Not Sampled")</f>
        <v>Not Sampled</v>
      </c>
      <c r="U827" t="str">
        <f>IF(T827=1,"Positive",(IF(T827=0,"Negative","Not Sampled")))</f>
        <v>Not Sampled</v>
      </c>
      <c r="V827" s="1" t="str">
        <f>IF(U827="Not Sampled","Not Sampled",IF(S827=U827,"Accurate Prediction","Inaccurate Prediction"))</f>
        <v>Not Sampled</v>
      </c>
    </row>
    <row r="828" spans="1:22" x14ac:dyDescent="0.25">
      <c r="A828" s="1">
        <v>826</v>
      </c>
      <c r="B828" s="1">
        <v>1</v>
      </c>
      <c r="C828" s="1">
        <f>LOOKUP(B828,Sheet2!$D$4:$E$9)</f>
        <v>1</v>
      </c>
      <c r="D828" s="1">
        <v>125</v>
      </c>
      <c r="E828" t="str">
        <f>LOOKUP(D828,Sheet2!$G$4:$H$9)</f>
        <v>100-125</v>
      </c>
      <c r="F828" s="1">
        <v>50</v>
      </c>
      <c r="G828" t="str">
        <f>LOOKUP(F828,Sheet2!$J$4:$K$8)</f>
        <v>1-59</v>
      </c>
      <c r="H828" s="1">
        <v>40</v>
      </c>
      <c r="I828" t="str">
        <f>LOOKUP(H828,Sheet2!$M$4:$N$8)</f>
        <v>40+</v>
      </c>
      <c r="J828" s="1">
        <v>167</v>
      </c>
      <c r="K828" t="str">
        <f>LOOKUP(J828,Sheet2!$P$4:$Q$9)</f>
        <v>100-199</v>
      </c>
      <c r="L828" s="1">
        <v>33.299999999999997</v>
      </c>
      <c r="M828" t="str">
        <f>LOOKUP(L828,Sheet2!$S$4:$T$8)</f>
        <v>31-35</v>
      </c>
      <c r="N828" s="1">
        <v>0.96199999999999997</v>
      </c>
      <c r="O828" t="str">
        <f>LOOKUP(N828,Sheet2!$V$4:$W$7)</f>
        <v>0.7+</v>
      </c>
      <c r="P828" s="1">
        <v>28</v>
      </c>
      <c r="Q828" t="str">
        <f>LOOKUP(P828,Sheet2!$Z$4:$AA$7)</f>
        <v>26-35</v>
      </c>
      <c r="R828" s="1">
        <v>1</v>
      </c>
      <c r="S828" t="str">
        <f>IF(R828=1,"Positive","Negative")</f>
        <v>Positive</v>
      </c>
      <c r="T828" s="1" t="str">
        <f>IFERROR(VLOOKUP(A828,[1]diabetes_Recognition!$A:$B,2,FALSE),"Not Sampled")</f>
        <v>Not Sampled</v>
      </c>
      <c r="U828" t="str">
        <f>IF(T828=1,"Positive",(IF(T828=0,"Negative","Not Sampled")))</f>
        <v>Not Sampled</v>
      </c>
      <c r="V828" s="1" t="str">
        <f>IF(U828="Not Sampled","Not Sampled",IF(S828=U828,"Accurate Prediction","Inaccurate Prediction"))</f>
        <v>Not Sampled</v>
      </c>
    </row>
    <row r="829" spans="1:22" x14ac:dyDescent="0.25">
      <c r="A829" s="1">
        <v>827</v>
      </c>
      <c r="B829" s="1">
        <v>13</v>
      </c>
      <c r="C829" s="1" t="str">
        <f>LOOKUP(B829,Sheet2!$D$4:$E$9)</f>
        <v>8+</v>
      </c>
      <c r="D829" s="1">
        <v>129</v>
      </c>
      <c r="E829" t="str">
        <f>LOOKUP(D829,Sheet2!$G$4:$H$9)</f>
        <v>126-150</v>
      </c>
      <c r="F829" s="1">
        <v>0</v>
      </c>
      <c r="G829" t="str">
        <f>LOOKUP(F829,Sheet2!$J$4:$K$8)</f>
        <v>Unknown</v>
      </c>
      <c r="H829" s="1">
        <v>30</v>
      </c>
      <c r="I829" t="str">
        <f>LOOKUP(H829,Sheet2!$M$4:$N$8)</f>
        <v>30-39</v>
      </c>
      <c r="J829" s="1">
        <v>0</v>
      </c>
      <c r="K829" t="str">
        <f>LOOKUP(J829,Sheet2!$P$4:$Q$9)</f>
        <v>Unknown</v>
      </c>
      <c r="L829" s="1">
        <v>39.9</v>
      </c>
      <c r="M829" t="str">
        <f>LOOKUP(L829,Sheet2!$S$4:$T$8)</f>
        <v>36+</v>
      </c>
      <c r="N829" s="1">
        <v>0.56899999999999995</v>
      </c>
      <c r="O829" t="str">
        <f>LOOKUP(N829,Sheet2!$V$4:$W$7)</f>
        <v>0.4 - 0.69</v>
      </c>
      <c r="P829" s="1">
        <v>44</v>
      </c>
      <c r="Q829" t="str">
        <f>LOOKUP(P829,Sheet2!$Z$4:$AA$7)</f>
        <v>36-45</v>
      </c>
      <c r="R829" s="1">
        <v>1</v>
      </c>
      <c r="S829" t="str">
        <f>IF(R829=1,"Positive","Negative")</f>
        <v>Positive</v>
      </c>
      <c r="T829" s="1">
        <f>IFERROR(VLOOKUP(A829,[1]diabetes_Recognition!$A:$B,2,FALSE),"Not Sampled")</f>
        <v>1</v>
      </c>
      <c r="U829" t="str">
        <f>IF(T829=1,"Positive",(IF(T829=0,"Negative","Not Sampled")))</f>
        <v>Positive</v>
      </c>
      <c r="V829" s="1" t="str">
        <f>IF(U829="Not Sampled","Not Sampled",IF(S829=U829,"Accurate Prediction","Inaccurate Prediction"))</f>
        <v>Accurate Prediction</v>
      </c>
    </row>
    <row r="830" spans="1:22" x14ac:dyDescent="0.25">
      <c r="A830" s="1">
        <v>828</v>
      </c>
      <c r="B830" s="1">
        <v>12</v>
      </c>
      <c r="C830" s="1" t="str">
        <f>LOOKUP(B830,Sheet2!$D$4:$E$9)</f>
        <v>8+</v>
      </c>
      <c r="D830" s="1">
        <v>88</v>
      </c>
      <c r="E830" t="str">
        <f>LOOKUP(D830,Sheet2!$G$4:$H$9)</f>
        <v>1-99</v>
      </c>
      <c r="F830" s="1">
        <v>74</v>
      </c>
      <c r="G830" t="str">
        <f>LOOKUP(F830,Sheet2!$J$4:$K$8)</f>
        <v>70-79</v>
      </c>
      <c r="H830" s="1">
        <v>40</v>
      </c>
      <c r="I830" t="str">
        <f>LOOKUP(H830,Sheet2!$M$4:$N$8)</f>
        <v>40+</v>
      </c>
      <c r="J830" s="1">
        <v>54</v>
      </c>
      <c r="K830" t="str">
        <f>LOOKUP(J830,Sheet2!$P$4:$Q$9)</f>
        <v>1-99</v>
      </c>
      <c r="L830" s="1">
        <v>35.299999999999997</v>
      </c>
      <c r="M830" t="str">
        <f>LOOKUP(L830,Sheet2!$S$4:$T$8)</f>
        <v>31-35</v>
      </c>
      <c r="N830" s="1">
        <v>0.378</v>
      </c>
      <c r="O830" t="str">
        <f>LOOKUP(N830,Sheet2!$V$4:$W$7)</f>
        <v>0.25 - 0.39</v>
      </c>
      <c r="P830" s="1">
        <v>48</v>
      </c>
      <c r="Q830" t="str">
        <f>LOOKUP(P830,Sheet2!$Z$4:$AA$7)</f>
        <v>46+</v>
      </c>
      <c r="R830" s="1">
        <v>0</v>
      </c>
      <c r="S830" t="str">
        <f>IF(R830=1,"Positive","Negative")</f>
        <v>Negative</v>
      </c>
      <c r="T830" s="1">
        <f>IFERROR(VLOOKUP(A830,[1]diabetes_Recognition!$A:$B,2,FALSE),"Not Sampled")</f>
        <v>0</v>
      </c>
      <c r="U830" t="str">
        <f>IF(T830=1,"Positive",(IF(T830=0,"Negative","Not Sampled")))</f>
        <v>Negative</v>
      </c>
      <c r="V830" s="1" t="str">
        <f>IF(U830="Not Sampled","Not Sampled",IF(S830=U830,"Accurate Prediction","Inaccurate Prediction"))</f>
        <v>Accurate Prediction</v>
      </c>
    </row>
    <row r="831" spans="1:22" x14ac:dyDescent="0.25">
      <c r="A831" s="1">
        <v>829</v>
      </c>
      <c r="B831" s="1">
        <v>1</v>
      </c>
      <c r="C831" s="1">
        <f>LOOKUP(B831,Sheet2!$D$4:$E$9)</f>
        <v>1</v>
      </c>
      <c r="D831" s="1">
        <v>196</v>
      </c>
      <c r="E831" t="str">
        <f>LOOKUP(D831,Sheet2!$G$4:$H$9)</f>
        <v>176-200</v>
      </c>
      <c r="F831" s="1">
        <v>76</v>
      </c>
      <c r="G831" t="str">
        <f>LOOKUP(F831,Sheet2!$J$4:$K$8)</f>
        <v>70-79</v>
      </c>
      <c r="H831" s="1">
        <v>36</v>
      </c>
      <c r="I831" t="str">
        <f>LOOKUP(H831,Sheet2!$M$4:$N$8)</f>
        <v>30-39</v>
      </c>
      <c r="J831" s="1">
        <v>249</v>
      </c>
      <c r="K831" t="str">
        <f>LOOKUP(J831,Sheet2!$P$4:$Q$9)</f>
        <v>200-399</v>
      </c>
      <c r="L831" s="1">
        <v>36.5</v>
      </c>
      <c r="M831" t="str">
        <f>LOOKUP(L831,Sheet2!$S$4:$T$8)</f>
        <v>36+</v>
      </c>
      <c r="N831" s="1">
        <v>0.875</v>
      </c>
      <c r="O831" t="str">
        <f>LOOKUP(N831,Sheet2!$V$4:$W$7)</f>
        <v>0.7+</v>
      </c>
      <c r="P831" s="1">
        <v>29</v>
      </c>
      <c r="Q831" t="str">
        <f>LOOKUP(P831,Sheet2!$Z$4:$AA$7)</f>
        <v>26-35</v>
      </c>
      <c r="R831" s="1">
        <v>1</v>
      </c>
      <c r="S831" t="str">
        <f>IF(R831=1,"Positive","Negative")</f>
        <v>Positive</v>
      </c>
      <c r="T831" s="1" t="str">
        <f>IFERROR(VLOOKUP(A831,[1]diabetes_Recognition!$A:$B,2,FALSE),"Not Sampled")</f>
        <v>Not Sampled</v>
      </c>
      <c r="U831" t="str">
        <f>IF(T831=1,"Positive",(IF(T831=0,"Negative","Not Sampled")))</f>
        <v>Not Sampled</v>
      </c>
      <c r="V831" s="1" t="str">
        <f>IF(U831="Not Sampled","Not Sampled",IF(S831=U831,"Accurate Prediction","Inaccurate Prediction"))</f>
        <v>Not Sampled</v>
      </c>
    </row>
    <row r="832" spans="1:22" x14ac:dyDescent="0.25">
      <c r="A832" s="1">
        <v>830</v>
      </c>
      <c r="B832" s="1">
        <v>5</v>
      </c>
      <c r="C832" s="1" t="str">
        <f>LOOKUP(B832,Sheet2!$D$4:$E$9)</f>
        <v>5-7</v>
      </c>
      <c r="D832" s="1">
        <v>189</v>
      </c>
      <c r="E832" t="str">
        <f>LOOKUP(D832,Sheet2!$G$4:$H$9)</f>
        <v>176-200</v>
      </c>
      <c r="F832" s="1">
        <v>64</v>
      </c>
      <c r="G832" t="str">
        <f>LOOKUP(F832,Sheet2!$J$4:$K$8)</f>
        <v>60-69</v>
      </c>
      <c r="H832" s="1">
        <v>33</v>
      </c>
      <c r="I832" t="str">
        <f>LOOKUP(H832,Sheet2!$M$4:$N$8)</f>
        <v>30-39</v>
      </c>
      <c r="J832" s="1">
        <v>325</v>
      </c>
      <c r="K832" t="str">
        <f>LOOKUP(J832,Sheet2!$P$4:$Q$9)</f>
        <v>300-499</v>
      </c>
      <c r="L832" s="1">
        <v>31.2</v>
      </c>
      <c r="M832" t="str">
        <f>LOOKUP(L832,Sheet2!$S$4:$T$8)</f>
        <v>31-35</v>
      </c>
      <c r="N832" s="1">
        <v>0.58299999999999996</v>
      </c>
      <c r="O832" t="str">
        <f>LOOKUP(N832,Sheet2!$V$4:$W$7)</f>
        <v>0.4 - 0.69</v>
      </c>
      <c r="P832" s="1">
        <v>29</v>
      </c>
      <c r="Q832" t="str">
        <f>LOOKUP(P832,Sheet2!$Z$4:$AA$7)</f>
        <v>26-35</v>
      </c>
      <c r="R832" s="1">
        <v>1</v>
      </c>
      <c r="S832" t="str">
        <f>IF(R832=1,"Positive","Negative")</f>
        <v>Positive</v>
      </c>
      <c r="T832" s="1" t="str">
        <f>IFERROR(VLOOKUP(A832,[1]diabetes_Recognition!$A:$B,2,FALSE),"Not Sampled")</f>
        <v>Not Sampled</v>
      </c>
      <c r="U832" t="str">
        <f>IF(T832=1,"Positive",(IF(T832=0,"Negative","Not Sampled")))</f>
        <v>Not Sampled</v>
      </c>
      <c r="V832" s="1" t="str">
        <f>IF(U832="Not Sampled","Not Sampled",IF(S832=U832,"Accurate Prediction","Inaccurate Prediction"))</f>
        <v>Not Sampled</v>
      </c>
    </row>
    <row r="833" spans="1:22" x14ac:dyDescent="0.25">
      <c r="A833" s="1">
        <v>831</v>
      </c>
      <c r="B833" s="1">
        <v>5</v>
      </c>
      <c r="C833" s="1" t="str">
        <f>LOOKUP(B833,Sheet2!$D$4:$E$9)</f>
        <v>5-7</v>
      </c>
      <c r="D833" s="1">
        <v>158</v>
      </c>
      <c r="E833" t="str">
        <f>LOOKUP(D833,Sheet2!$G$4:$H$9)</f>
        <v>151-175</v>
      </c>
      <c r="F833" s="1">
        <v>70</v>
      </c>
      <c r="G833" t="str">
        <f>LOOKUP(F833,Sheet2!$J$4:$K$8)</f>
        <v>70-79</v>
      </c>
      <c r="H833" s="1">
        <v>0</v>
      </c>
      <c r="I833" t="str">
        <f>LOOKUP(H833,Sheet2!$M$4:$N$8)</f>
        <v>Unknown</v>
      </c>
      <c r="J833" s="1">
        <v>0</v>
      </c>
      <c r="K833" t="str">
        <f>LOOKUP(J833,Sheet2!$P$4:$Q$9)</f>
        <v>Unknown</v>
      </c>
      <c r="L833" s="1">
        <v>29.8</v>
      </c>
      <c r="M833" t="str">
        <f>LOOKUP(L833,Sheet2!$S$4:$T$8)</f>
        <v>26-30</v>
      </c>
      <c r="N833" s="1">
        <v>0.20699999999999999</v>
      </c>
      <c r="O833" t="str">
        <f>LOOKUP(N833,Sheet2!$V$4:$W$7)</f>
        <v>0.0 - 0.249</v>
      </c>
      <c r="P833" s="1">
        <v>63</v>
      </c>
      <c r="Q833" t="str">
        <f>LOOKUP(P833,Sheet2!$Z$4:$AA$7)</f>
        <v>46+</v>
      </c>
      <c r="R833" s="1">
        <v>0</v>
      </c>
      <c r="S833" t="str">
        <f>IF(R833=1,"Positive","Negative")</f>
        <v>Negative</v>
      </c>
      <c r="T833" s="1" t="str">
        <f>IFERROR(VLOOKUP(A833,[1]diabetes_Recognition!$A:$B,2,FALSE),"Not Sampled")</f>
        <v>Not Sampled</v>
      </c>
      <c r="U833" t="str">
        <f>IF(T833=1,"Positive",(IF(T833=0,"Negative","Not Sampled")))</f>
        <v>Not Sampled</v>
      </c>
      <c r="V833" s="1" t="str">
        <f>IF(U833="Not Sampled","Not Sampled",IF(S833=U833,"Accurate Prediction","Inaccurate Prediction"))</f>
        <v>Not Sampled</v>
      </c>
    </row>
    <row r="834" spans="1:22" x14ac:dyDescent="0.25">
      <c r="A834" s="1">
        <v>832</v>
      </c>
      <c r="B834" s="1">
        <v>5</v>
      </c>
      <c r="C834" s="1" t="str">
        <f>LOOKUP(B834,Sheet2!$D$4:$E$9)</f>
        <v>5-7</v>
      </c>
      <c r="D834" s="1">
        <v>103</v>
      </c>
      <c r="E834" t="str">
        <f>LOOKUP(D834,Sheet2!$G$4:$H$9)</f>
        <v>100-125</v>
      </c>
      <c r="F834" s="1">
        <v>108</v>
      </c>
      <c r="G834" t="str">
        <f>LOOKUP(F834,Sheet2!$J$4:$K$8)</f>
        <v>80+</v>
      </c>
      <c r="H834" s="1">
        <v>37</v>
      </c>
      <c r="I834" t="str">
        <f>LOOKUP(H834,Sheet2!$M$4:$N$8)</f>
        <v>30-39</v>
      </c>
      <c r="J834" s="1">
        <v>0</v>
      </c>
      <c r="K834" t="str">
        <f>LOOKUP(J834,Sheet2!$P$4:$Q$9)</f>
        <v>Unknown</v>
      </c>
      <c r="L834" s="1">
        <v>39.200000000000003</v>
      </c>
      <c r="M834" t="str">
        <f>LOOKUP(L834,Sheet2!$S$4:$T$8)</f>
        <v>36+</v>
      </c>
      <c r="N834" s="1">
        <v>0.30499999999999999</v>
      </c>
      <c r="O834" t="str">
        <f>LOOKUP(N834,Sheet2!$V$4:$W$7)</f>
        <v>0.25 - 0.39</v>
      </c>
      <c r="P834" s="1">
        <v>65</v>
      </c>
      <c r="Q834" t="str">
        <f>LOOKUP(P834,Sheet2!$Z$4:$AA$7)</f>
        <v>46+</v>
      </c>
      <c r="R834" s="1">
        <v>0</v>
      </c>
      <c r="S834" t="str">
        <f>IF(R834=1,"Positive","Negative")</f>
        <v>Negative</v>
      </c>
      <c r="T834" s="1" t="str">
        <f>IFERROR(VLOOKUP(A834,[1]diabetes_Recognition!$A:$B,2,FALSE),"Not Sampled")</f>
        <v>Not Sampled</v>
      </c>
      <c r="U834" t="str">
        <f>IF(T834=1,"Positive",(IF(T834=0,"Negative","Not Sampled")))</f>
        <v>Not Sampled</v>
      </c>
      <c r="V834" s="1" t="str">
        <f>IF(U834="Not Sampled","Not Sampled",IF(S834=U834,"Accurate Prediction","Inaccurate Prediction"))</f>
        <v>Not Sampled</v>
      </c>
    </row>
    <row r="835" spans="1:22" x14ac:dyDescent="0.25">
      <c r="A835" s="1">
        <v>833</v>
      </c>
      <c r="B835" s="1">
        <v>4</v>
      </c>
      <c r="C835" s="1" t="str">
        <f>LOOKUP(B835,Sheet2!$D$4:$E$9)</f>
        <v>3-4</v>
      </c>
      <c r="D835" s="1">
        <v>146</v>
      </c>
      <c r="E835" t="str">
        <f>LOOKUP(D835,Sheet2!$G$4:$H$9)</f>
        <v>126-150</v>
      </c>
      <c r="F835" s="1">
        <v>78</v>
      </c>
      <c r="G835" t="str">
        <f>LOOKUP(F835,Sheet2!$J$4:$K$8)</f>
        <v>70-79</v>
      </c>
      <c r="H835" s="1">
        <v>0</v>
      </c>
      <c r="I835" t="str">
        <f>LOOKUP(H835,Sheet2!$M$4:$N$8)</f>
        <v>Unknown</v>
      </c>
      <c r="J835" s="1">
        <v>0</v>
      </c>
      <c r="K835" t="str">
        <f>LOOKUP(J835,Sheet2!$P$4:$Q$9)</f>
        <v>Unknown</v>
      </c>
      <c r="L835" s="1">
        <v>38.5</v>
      </c>
      <c r="M835" t="str">
        <f>LOOKUP(L835,Sheet2!$S$4:$T$8)</f>
        <v>36+</v>
      </c>
      <c r="N835" s="1">
        <v>0.52</v>
      </c>
      <c r="O835" t="str">
        <f>LOOKUP(N835,Sheet2!$V$4:$W$7)</f>
        <v>0.4 - 0.69</v>
      </c>
      <c r="P835" s="1">
        <v>67</v>
      </c>
      <c r="Q835" t="str">
        <f>LOOKUP(P835,Sheet2!$Z$4:$AA$7)</f>
        <v>46+</v>
      </c>
      <c r="R835" s="1">
        <v>1</v>
      </c>
      <c r="S835" t="str">
        <f>IF(R835=1,"Positive","Negative")</f>
        <v>Positive</v>
      </c>
      <c r="T835" s="1" t="str">
        <f>IFERROR(VLOOKUP(A835,[1]diabetes_Recognition!$A:$B,2,FALSE),"Not Sampled")</f>
        <v>Not Sampled</v>
      </c>
      <c r="U835" t="str">
        <f>IF(T835=1,"Positive",(IF(T835=0,"Negative","Not Sampled")))</f>
        <v>Not Sampled</v>
      </c>
      <c r="V835" s="1" t="str">
        <f>IF(U835="Not Sampled","Not Sampled",IF(S835=U835,"Accurate Prediction","Inaccurate Prediction"))</f>
        <v>Not Sampled</v>
      </c>
    </row>
    <row r="836" spans="1:22" x14ac:dyDescent="0.25">
      <c r="A836" s="1">
        <v>834</v>
      </c>
      <c r="B836" s="1">
        <v>4</v>
      </c>
      <c r="C836" s="1" t="str">
        <f>LOOKUP(B836,Sheet2!$D$4:$E$9)</f>
        <v>3-4</v>
      </c>
      <c r="D836" s="1">
        <v>147</v>
      </c>
      <c r="E836" t="str">
        <f>LOOKUP(D836,Sheet2!$G$4:$H$9)</f>
        <v>126-150</v>
      </c>
      <c r="F836" s="1">
        <v>74</v>
      </c>
      <c r="G836" t="str">
        <f>LOOKUP(F836,Sheet2!$J$4:$K$8)</f>
        <v>70-79</v>
      </c>
      <c r="H836" s="1">
        <v>25</v>
      </c>
      <c r="I836" t="str">
        <f>LOOKUP(H836,Sheet2!$M$4:$N$8)</f>
        <v>10-30</v>
      </c>
      <c r="J836" s="1">
        <v>293</v>
      </c>
      <c r="K836" t="str">
        <f>LOOKUP(J836,Sheet2!$P$4:$Q$9)</f>
        <v>200-399</v>
      </c>
      <c r="L836" s="1">
        <v>34.9</v>
      </c>
      <c r="M836" t="str">
        <f>LOOKUP(L836,Sheet2!$S$4:$T$8)</f>
        <v>31-35</v>
      </c>
      <c r="N836" s="1">
        <v>0.38500000000000001</v>
      </c>
      <c r="O836" t="str">
        <f>LOOKUP(N836,Sheet2!$V$4:$W$7)</f>
        <v>0.25 - 0.39</v>
      </c>
      <c r="P836" s="1">
        <v>30</v>
      </c>
      <c r="Q836" t="str">
        <f>LOOKUP(P836,Sheet2!$Z$4:$AA$7)</f>
        <v>26-35</v>
      </c>
      <c r="R836" s="1">
        <v>0</v>
      </c>
      <c r="S836" t="str">
        <f>IF(R836=1,"Positive","Negative")</f>
        <v>Negative</v>
      </c>
      <c r="T836" s="1">
        <f>IFERROR(VLOOKUP(A836,[1]diabetes_Recognition!$A:$B,2,FALSE),"Not Sampled")</f>
        <v>0</v>
      </c>
      <c r="U836" t="str">
        <f>IF(T836=1,"Positive",(IF(T836=0,"Negative","Not Sampled")))</f>
        <v>Negative</v>
      </c>
      <c r="V836" s="1" t="str">
        <f>IF(U836="Not Sampled","Not Sampled",IF(S836=U836,"Accurate Prediction","Inaccurate Prediction"))</f>
        <v>Accurate Prediction</v>
      </c>
    </row>
    <row r="837" spans="1:22" x14ac:dyDescent="0.25">
      <c r="A837" s="1">
        <v>835</v>
      </c>
      <c r="B837" s="1">
        <v>5</v>
      </c>
      <c r="C837" s="1" t="str">
        <f>LOOKUP(B837,Sheet2!$D$4:$E$9)</f>
        <v>5-7</v>
      </c>
      <c r="D837" s="1">
        <v>99</v>
      </c>
      <c r="E837" t="str">
        <f>LOOKUP(D837,Sheet2!$G$4:$H$9)</f>
        <v>1-99</v>
      </c>
      <c r="F837" s="1">
        <v>54</v>
      </c>
      <c r="G837" t="str">
        <f>LOOKUP(F837,Sheet2!$J$4:$K$8)</f>
        <v>1-59</v>
      </c>
      <c r="H837" s="1">
        <v>28</v>
      </c>
      <c r="I837" t="str">
        <f>LOOKUP(H837,Sheet2!$M$4:$N$8)</f>
        <v>10-30</v>
      </c>
      <c r="J837" s="1">
        <v>83</v>
      </c>
      <c r="K837" t="str">
        <f>LOOKUP(J837,Sheet2!$P$4:$Q$9)</f>
        <v>1-99</v>
      </c>
      <c r="L837" s="1">
        <v>34</v>
      </c>
      <c r="M837" t="str">
        <f>LOOKUP(L837,Sheet2!$S$4:$T$8)</f>
        <v>31-35</v>
      </c>
      <c r="N837" s="1">
        <v>0.499</v>
      </c>
      <c r="O837" t="str">
        <f>LOOKUP(N837,Sheet2!$V$4:$W$7)</f>
        <v>0.4 - 0.69</v>
      </c>
      <c r="P837" s="1">
        <v>30</v>
      </c>
      <c r="Q837" t="str">
        <f>LOOKUP(P837,Sheet2!$Z$4:$AA$7)</f>
        <v>26-35</v>
      </c>
      <c r="R837" s="1">
        <v>0</v>
      </c>
      <c r="S837" t="str">
        <f>IF(R837=1,"Positive","Negative")</f>
        <v>Negative</v>
      </c>
      <c r="T837" s="1" t="str">
        <f>IFERROR(VLOOKUP(A837,[1]diabetes_Recognition!$A:$B,2,FALSE),"Not Sampled")</f>
        <v>Not Sampled</v>
      </c>
      <c r="U837" t="str">
        <f>IF(T837=1,"Positive",(IF(T837=0,"Negative","Not Sampled")))</f>
        <v>Not Sampled</v>
      </c>
      <c r="V837" s="1" t="str">
        <f>IF(U837="Not Sampled","Not Sampled",IF(S837=U837,"Accurate Prediction","Inaccurate Prediction"))</f>
        <v>Not Sampled</v>
      </c>
    </row>
    <row r="838" spans="1:22" x14ac:dyDescent="0.25">
      <c r="A838" s="1">
        <v>836</v>
      </c>
      <c r="B838" s="1">
        <v>6</v>
      </c>
      <c r="C838" s="1" t="str">
        <f>LOOKUP(B838,Sheet2!$D$4:$E$9)</f>
        <v>5-7</v>
      </c>
      <c r="D838" s="1">
        <v>124</v>
      </c>
      <c r="E838" t="str">
        <f>LOOKUP(D838,Sheet2!$G$4:$H$9)</f>
        <v>100-125</v>
      </c>
      <c r="F838" s="1">
        <v>72</v>
      </c>
      <c r="G838" t="str">
        <f>LOOKUP(F838,Sheet2!$J$4:$K$8)</f>
        <v>70-79</v>
      </c>
      <c r="H838" s="1">
        <v>0</v>
      </c>
      <c r="I838" t="str">
        <f>LOOKUP(H838,Sheet2!$M$4:$N$8)</f>
        <v>Unknown</v>
      </c>
      <c r="J838" s="1">
        <v>0</v>
      </c>
      <c r="K838" t="str">
        <f>LOOKUP(J838,Sheet2!$P$4:$Q$9)</f>
        <v>Unknown</v>
      </c>
      <c r="L838" s="1">
        <v>27.6</v>
      </c>
      <c r="M838" t="str">
        <f>LOOKUP(L838,Sheet2!$S$4:$T$8)</f>
        <v>26-30</v>
      </c>
      <c r="N838" s="1">
        <v>0.36799999999999999</v>
      </c>
      <c r="O838" t="str">
        <f>LOOKUP(N838,Sheet2!$V$4:$W$7)</f>
        <v>0.25 - 0.39</v>
      </c>
      <c r="P838" s="1">
        <v>29</v>
      </c>
      <c r="Q838" t="str">
        <f>LOOKUP(P838,Sheet2!$Z$4:$AA$7)</f>
        <v>26-35</v>
      </c>
      <c r="R838" s="1">
        <v>1</v>
      </c>
      <c r="S838" t="str">
        <f>IF(R838=1,"Positive","Negative")</f>
        <v>Positive</v>
      </c>
      <c r="T838" s="1" t="str">
        <f>IFERROR(VLOOKUP(A838,[1]diabetes_Recognition!$A:$B,2,FALSE),"Not Sampled")</f>
        <v>Not Sampled</v>
      </c>
      <c r="U838" t="str">
        <f>IF(T838=1,"Positive",(IF(T838=0,"Negative","Not Sampled")))</f>
        <v>Not Sampled</v>
      </c>
      <c r="V838" s="1" t="str">
        <f>IF(U838="Not Sampled","Not Sampled",IF(S838=U838,"Accurate Prediction","Inaccurate Prediction"))</f>
        <v>Not Sampled</v>
      </c>
    </row>
    <row r="839" spans="1:22" x14ac:dyDescent="0.25">
      <c r="A839" s="1">
        <v>837</v>
      </c>
      <c r="B839" s="1">
        <v>0</v>
      </c>
      <c r="C839" s="1">
        <f>LOOKUP(B839,Sheet2!$D$4:$E$9)</f>
        <v>0</v>
      </c>
      <c r="D839" s="1">
        <v>101</v>
      </c>
      <c r="E839" t="str">
        <f>LOOKUP(D839,Sheet2!$G$4:$H$9)</f>
        <v>100-125</v>
      </c>
      <c r="F839" s="1">
        <v>64</v>
      </c>
      <c r="G839" t="str">
        <f>LOOKUP(F839,Sheet2!$J$4:$K$8)</f>
        <v>60-69</v>
      </c>
      <c r="H839" s="1">
        <v>17</v>
      </c>
      <c r="I839" t="str">
        <f>LOOKUP(H839,Sheet2!$M$4:$N$8)</f>
        <v>10-30</v>
      </c>
      <c r="J839" s="1">
        <v>0</v>
      </c>
      <c r="K839" t="str">
        <f>LOOKUP(J839,Sheet2!$P$4:$Q$9)</f>
        <v>Unknown</v>
      </c>
      <c r="L839" s="1">
        <v>21</v>
      </c>
      <c r="M839" t="str">
        <f>LOOKUP(L839,Sheet2!$S$4:$T$8)</f>
        <v>1-25</v>
      </c>
      <c r="N839" s="1">
        <v>0.252</v>
      </c>
      <c r="O839" t="str">
        <f>LOOKUP(N839,Sheet2!$V$4:$W$7)</f>
        <v>0.25 - 0.39</v>
      </c>
      <c r="P839" s="1">
        <v>21</v>
      </c>
      <c r="Q839" t="str">
        <f>LOOKUP(P839,Sheet2!$Z$4:$AA$7)</f>
        <v>&lt;=25</v>
      </c>
      <c r="R839" s="1">
        <v>0</v>
      </c>
      <c r="S839" t="str">
        <f>IF(R839=1,"Positive","Negative")</f>
        <v>Negative</v>
      </c>
      <c r="T839" s="1" t="str">
        <f>IFERROR(VLOOKUP(A839,[1]diabetes_Recognition!$A:$B,2,FALSE),"Not Sampled")</f>
        <v>Not Sampled</v>
      </c>
      <c r="U839" t="str">
        <f>IF(T839=1,"Positive",(IF(T839=0,"Negative","Not Sampled")))</f>
        <v>Not Sampled</v>
      </c>
      <c r="V839" s="1" t="str">
        <f>IF(U839="Not Sampled","Not Sampled",IF(S839=U839,"Accurate Prediction","Inaccurate Prediction"))</f>
        <v>Not Sampled</v>
      </c>
    </row>
    <row r="840" spans="1:22" x14ac:dyDescent="0.25">
      <c r="A840" s="1">
        <v>838</v>
      </c>
      <c r="B840" s="1">
        <v>3</v>
      </c>
      <c r="C840" s="1" t="str">
        <f>LOOKUP(B840,Sheet2!$D$4:$E$9)</f>
        <v>3-4</v>
      </c>
      <c r="D840" s="1">
        <v>81</v>
      </c>
      <c r="E840" t="str">
        <f>LOOKUP(D840,Sheet2!$G$4:$H$9)</f>
        <v>1-99</v>
      </c>
      <c r="F840" s="1">
        <v>86</v>
      </c>
      <c r="G840" t="str">
        <f>LOOKUP(F840,Sheet2!$J$4:$K$8)</f>
        <v>80+</v>
      </c>
      <c r="H840" s="1">
        <v>16</v>
      </c>
      <c r="I840" t="str">
        <f>LOOKUP(H840,Sheet2!$M$4:$N$8)</f>
        <v>10-30</v>
      </c>
      <c r="J840" s="1">
        <v>66</v>
      </c>
      <c r="K840" t="str">
        <f>LOOKUP(J840,Sheet2!$P$4:$Q$9)</f>
        <v>1-99</v>
      </c>
      <c r="L840" s="1">
        <v>27.5</v>
      </c>
      <c r="M840" t="str">
        <f>LOOKUP(L840,Sheet2!$S$4:$T$8)</f>
        <v>26-30</v>
      </c>
      <c r="N840" s="1">
        <v>0.30599999999999999</v>
      </c>
      <c r="O840" t="str">
        <f>LOOKUP(N840,Sheet2!$V$4:$W$7)</f>
        <v>0.25 - 0.39</v>
      </c>
      <c r="P840" s="1">
        <v>22</v>
      </c>
      <c r="Q840" t="str">
        <f>LOOKUP(P840,Sheet2!$Z$4:$AA$7)</f>
        <v>&lt;=25</v>
      </c>
      <c r="R840" s="1">
        <v>0</v>
      </c>
      <c r="S840" t="str">
        <f>IF(R840=1,"Positive","Negative")</f>
        <v>Negative</v>
      </c>
      <c r="T840" s="1" t="str">
        <f>IFERROR(VLOOKUP(A840,[1]diabetes_Recognition!$A:$B,2,FALSE),"Not Sampled")</f>
        <v>Not Sampled</v>
      </c>
      <c r="U840" t="str">
        <f>IF(T840=1,"Positive",(IF(T840=0,"Negative","Not Sampled")))</f>
        <v>Not Sampled</v>
      </c>
      <c r="V840" s="1" t="str">
        <f>IF(U840="Not Sampled","Not Sampled",IF(S840=U840,"Accurate Prediction","Inaccurate Prediction"))</f>
        <v>Not Sampled</v>
      </c>
    </row>
    <row r="841" spans="1:22" x14ac:dyDescent="0.25">
      <c r="A841" s="1">
        <v>839</v>
      </c>
      <c r="B841" s="1">
        <v>1</v>
      </c>
      <c r="C841" s="1">
        <f>LOOKUP(B841,Sheet2!$D$4:$E$9)</f>
        <v>1</v>
      </c>
      <c r="D841" s="1">
        <v>133</v>
      </c>
      <c r="E841" t="str">
        <f>LOOKUP(D841,Sheet2!$G$4:$H$9)</f>
        <v>126-150</v>
      </c>
      <c r="F841" s="1">
        <v>102</v>
      </c>
      <c r="G841" t="str">
        <f>LOOKUP(F841,Sheet2!$J$4:$K$8)</f>
        <v>80+</v>
      </c>
      <c r="H841" s="1">
        <v>28</v>
      </c>
      <c r="I841" t="str">
        <f>LOOKUP(H841,Sheet2!$M$4:$N$8)</f>
        <v>10-30</v>
      </c>
      <c r="J841" s="1">
        <v>140</v>
      </c>
      <c r="K841" t="str">
        <f>LOOKUP(J841,Sheet2!$P$4:$Q$9)</f>
        <v>100-199</v>
      </c>
      <c r="L841" s="1">
        <v>32.799999999999997</v>
      </c>
      <c r="M841" t="str">
        <f>LOOKUP(L841,Sheet2!$S$4:$T$8)</f>
        <v>31-35</v>
      </c>
      <c r="N841" s="1">
        <v>0.23400000000000001</v>
      </c>
      <c r="O841" t="str">
        <f>LOOKUP(N841,Sheet2!$V$4:$W$7)</f>
        <v>0.0 - 0.249</v>
      </c>
      <c r="P841" s="1">
        <v>45</v>
      </c>
      <c r="Q841" t="str">
        <f>LOOKUP(P841,Sheet2!$Z$4:$AA$7)</f>
        <v>36-45</v>
      </c>
      <c r="R841" s="1">
        <v>1</v>
      </c>
      <c r="S841" t="str">
        <f>IF(R841=1,"Positive","Negative")</f>
        <v>Positive</v>
      </c>
      <c r="T841" s="1" t="str">
        <f>IFERROR(VLOOKUP(A841,[1]diabetes_Recognition!$A:$B,2,FALSE),"Not Sampled")</f>
        <v>Not Sampled</v>
      </c>
      <c r="U841" t="str">
        <f>IF(T841=1,"Positive",(IF(T841=0,"Negative","Not Sampled")))</f>
        <v>Not Sampled</v>
      </c>
      <c r="V841" s="1" t="str">
        <f>IF(U841="Not Sampled","Not Sampled",IF(S841=U841,"Accurate Prediction","Inaccurate Prediction"))</f>
        <v>Not Sampled</v>
      </c>
    </row>
    <row r="842" spans="1:22" x14ac:dyDescent="0.25">
      <c r="A842" s="1">
        <v>840</v>
      </c>
      <c r="B842" s="1">
        <v>3</v>
      </c>
      <c r="C842" s="1" t="str">
        <f>LOOKUP(B842,Sheet2!$D$4:$E$9)</f>
        <v>3-4</v>
      </c>
      <c r="D842" s="1">
        <v>173</v>
      </c>
      <c r="E842" t="str">
        <f>LOOKUP(D842,Sheet2!$G$4:$H$9)</f>
        <v>151-175</v>
      </c>
      <c r="F842" s="1">
        <v>82</v>
      </c>
      <c r="G842" t="str">
        <f>LOOKUP(F842,Sheet2!$J$4:$K$8)</f>
        <v>80+</v>
      </c>
      <c r="H842" s="1">
        <v>48</v>
      </c>
      <c r="I842" t="str">
        <f>LOOKUP(H842,Sheet2!$M$4:$N$8)</f>
        <v>40+</v>
      </c>
      <c r="J842" s="1">
        <v>465</v>
      </c>
      <c r="K842" t="str">
        <f>LOOKUP(J842,Sheet2!$P$4:$Q$9)</f>
        <v>300-499</v>
      </c>
      <c r="L842" s="1">
        <v>38.4</v>
      </c>
      <c r="M842" t="str">
        <f>LOOKUP(L842,Sheet2!$S$4:$T$8)</f>
        <v>36+</v>
      </c>
      <c r="N842" s="1">
        <v>2.137</v>
      </c>
      <c r="O842" t="str">
        <f>LOOKUP(N842,Sheet2!$V$4:$W$7)</f>
        <v>0.7+</v>
      </c>
      <c r="P842" s="1">
        <v>25</v>
      </c>
      <c r="Q842" t="str">
        <f>LOOKUP(P842,Sheet2!$Z$4:$AA$7)</f>
        <v>&lt;=25</v>
      </c>
      <c r="R842" s="1">
        <v>1</v>
      </c>
      <c r="S842" t="str">
        <f>IF(R842=1,"Positive","Negative")</f>
        <v>Positive</v>
      </c>
      <c r="T842" s="1">
        <f>IFERROR(VLOOKUP(A842,[1]diabetes_Recognition!$A:$B,2,FALSE),"Not Sampled")</f>
        <v>1</v>
      </c>
      <c r="U842" t="str">
        <f>IF(T842=1,"Positive",(IF(T842=0,"Negative","Not Sampled")))</f>
        <v>Positive</v>
      </c>
      <c r="V842" s="1" t="str">
        <f>IF(U842="Not Sampled","Not Sampled",IF(S842=U842,"Accurate Prediction","Inaccurate Prediction"))</f>
        <v>Accurate Prediction</v>
      </c>
    </row>
    <row r="843" spans="1:22" x14ac:dyDescent="0.25">
      <c r="A843" s="1">
        <v>841</v>
      </c>
      <c r="B843" s="1">
        <v>0</v>
      </c>
      <c r="C843" s="1">
        <f>LOOKUP(B843,Sheet2!$D$4:$E$9)</f>
        <v>0</v>
      </c>
      <c r="D843" s="1">
        <v>118</v>
      </c>
      <c r="E843" t="str">
        <f>LOOKUP(D843,Sheet2!$G$4:$H$9)</f>
        <v>100-125</v>
      </c>
      <c r="F843" s="1">
        <v>64</v>
      </c>
      <c r="G843" t="str">
        <f>LOOKUP(F843,Sheet2!$J$4:$K$8)</f>
        <v>60-69</v>
      </c>
      <c r="H843" s="1">
        <v>23</v>
      </c>
      <c r="I843" t="str">
        <f>LOOKUP(H843,Sheet2!$M$4:$N$8)</f>
        <v>10-30</v>
      </c>
      <c r="J843" s="1">
        <v>89</v>
      </c>
      <c r="K843" t="str">
        <f>LOOKUP(J843,Sheet2!$P$4:$Q$9)</f>
        <v>1-99</v>
      </c>
      <c r="L843" s="1">
        <v>0</v>
      </c>
      <c r="M843" t="str">
        <f>LOOKUP(L843,Sheet2!$S$4:$T$8)</f>
        <v>Unknown</v>
      </c>
      <c r="N843" s="1">
        <v>1.7310000000000001</v>
      </c>
      <c r="O843" t="str">
        <f>LOOKUP(N843,Sheet2!$V$4:$W$7)</f>
        <v>0.7+</v>
      </c>
      <c r="P843" s="1">
        <v>21</v>
      </c>
      <c r="Q843" t="str">
        <f>LOOKUP(P843,Sheet2!$Z$4:$AA$7)</f>
        <v>&lt;=25</v>
      </c>
      <c r="R843" s="1">
        <v>0</v>
      </c>
      <c r="S843" t="str">
        <f>IF(R843=1,"Positive","Negative")</f>
        <v>Negative</v>
      </c>
      <c r="T843" s="1" t="str">
        <f>IFERROR(VLOOKUP(A843,[1]diabetes_Recognition!$A:$B,2,FALSE),"Not Sampled")</f>
        <v>Not Sampled</v>
      </c>
      <c r="U843" t="str">
        <f>IF(T843=1,"Positive",(IF(T843=0,"Negative","Not Sampled")))</f>
        <v>Not Sampled</v>
      </c>
      <c r="V843" s="1" t="str">
        <f>IF(U843="Not Sampled","Not Sampled",IF(S843=U843,"Accurate Prediction","Inaccurate Prediction"))</f>
        <v>Not Sampled</v>
      </c>
    </row>
    <row r="844" spans="1:22" x14ac:dyDescent="0.25">
      <c r="A844" s="1">
        <v>842</v>
      </c>
      <c r="B844" s="1">
        <v>0</v>
      </c>
      <c r="C844" s="1">
        <f>LOOKUP(B844,Sheet2!$D$4:$E$9)</f>
        <v>0</v>
      </c>
      <c r="D844" s="1">
        <v>84</v>
      </c>
      <c r="E844" t="str">
        <f>LOOKUP(D844,Sheet2!$G$4:$H$9)</f>
        <v>1-99</v>
      </c>
      <c r="F844" s="1">
        <v>64</v>
      </c>
      <c r="G844" t="str">
        <f>LOOKUP(F844,Sheet2!$J$4:$K$8)</f>
        <v>60-69</v>
      </c>
      <c r="H844" s="1">
        <v>22</v>
      </c>
      <c r="I844" t="str">
        <f>LOOKUP(H844,Sheet2!$M$4:$N$8)</f>
        <v>10-30</v>
      </c>
      <c r="J844" s="1">
        <v>66</v>
      </c>
      <c r="K844" t="str">
        <f>LOOKUP(J844,Sheet2!$P$4:$Q$9)</f>
        <v>1-99</v>
      </c>
      <c r="L844" s="1">
        <v>35.799999999999997</v>
      </c>
      <c r="M844" t="str">
        <f>LOOKUP(L844,Sheet2!$S$4:$T$8)</f>
        <v>31-35</v>
      </c>
      <c r="N844" s="1">
        <v>0.54500000000000004</v>
      </c>
      <c r="O844" t="str">
        <f>LOOKUP(N844,Sheet2!$V$4:$W$7)</f>
        <v>0.4 - 0.69</v>
      </c>
      <c r="P844" s="1">
        <v>21</v>
      </c>
      <c r="Q844" t="str">
        <f>LOOKUP(P844,Sheet2!$Z$4:$AA$7)</f>
        <v>&lt;=25</v>
      </c>
      <c r="R844" s="1">
        <v>0</v>
      </c>
      <c r="S844" t="str">
        <f>IF(R844=1,"Positive","Negative")</f>
        <v>Negative</v>
      </c>
      <c r="T844" s="1" t="str">
        <f>IFERROR(VLOOKUP(A844,[1]diabetes_Recognition!$A:$B,2,FALSE),"Not Sampled")</f>
        <v>Not Sampled</v>
      </c>
      <c r="U844" t="str">
        <f>IF(T844=1,"Positive",(IF(T844=0,"Negative","Not Sampled")))</f>
        <v>Not Sampled</v>
      </c>
      <c r="V844" s="1" t="str">
        <f>IF(U844="Not Sampled","Not Sampled",IF(S844=U844,"Accurate Prediction","Inaccurate Prediction"))</f>
        <v>Not Sampled</v>
      </c>
    </row>
    <row r="845" spans="1:22" x14ac:dyDescent="0.25">
      <c r="A845" s="1">
        <v>843</v>
      </c>
      <c r="B845" s="1">
        <v>2</v>
      </c>
      <c r="C845" s="1">
        <f>LOOKUP(B845,Sheet2!$D$4:$E$9)</f>
        <v>2</v>
      </c>
      <c r="D845" s="1">
        <v>105</v>
      </c>
      <c r="E845" t="str">
        <f>LOOKUP(D845,Sheet2!$G$4:$H$9)</f>
        <v>100-125</v>
      </c>
      <c r="F845" s="1">
        <v>58</v>
      </c>
      <c r="G845" t="str">
        <f>LOOKUP(F845,Sheet2!$J$4:$K$8)</f>
        <v>1-59</v>
      </c>
      <c r="H845" s="1">
        <v>40</v>
      </c>
      <c r="I845" t="str">
        <f>LOOKUP(H845,Sheet2!$M$4:$N$8)</f>
        <v>40+</v>
      </c>
      <c r="J845" s="1">
        <v>94</v>
      </c>
      <c r="K845" t="str">
        <f>LOOKUP(J845,Sheet2!$P$4:$Q$9)</f>
        <v>1-99</v>
      </c>
      <c r="L845" s="1">
        <v>34.9</v>
      </c>
      <c r="M845" t="str">
        <f>LOOKUP(L845,Sheet2!$S$4:$T$8)</f>
        <v>31-35</v>
      </c>
      <c r="N845" s="1">
        <v>0.22500000000000001</v>
      </c>
      <c r="O845" t="str">
        <f>LOOKUP(N845,Sheet2!$V$4:$W$7)</f>
        <v>0.0 - 0.249</v>
      </c>
      <c r="P845" s="1">
        <v>25</v>
      </c>
      <c r="Q845" t="str">
        <f>LOOKUP(P845,Sheet2!$Z$4:$AA$7)</f>
        <v>&lt;=25</v>
      </c>
      <c r="R845" s="1">
        <v>0</v>
      </c>
      <c r="S845" t="str">
        <f>IF(R845=1,"Positive","Negative")</f>
        <v>Negative</v>
      </c>
      <c r="T845" s="1" t="str">
        <f>IFERROR(VLOOKUP(A845,[1]diabetes_Recognition!$A:$B,2,FALSE),"Not Sampled")</f>
        <v>Not Sampled</v>
      </c>
      <c r="U845" t="str">
        <f>IF(T845=1,"Positive",(IF(T845=0,"Negative","Not Sampled")))</f>
        <v>Not Sampled</v>
      </c>
      <c r="V845" s="1" t="str">
        <f>IF(U845="Not Sampled","Not Sampled",IF(S845=U845,"Accurate Prediction","Inaccurate Prediction"))</f>
        <v>Not Sampled</v>
      </c>
    </row>
    <row r="846" spans="1:22" x14ac:dyDescent="0.25">
      <c r="A846" s="1">
        <v>844</v>
      </c>
      <c r="B846" s="1">
        <v>2</v>
      </c>
      <c r="C846" s="1">
        <f>LOOKUP(B846,Sheet2!$D$4:$E$9)</f>
        <v>2</v>
      </c>
      <c r="D846" s="1">
        <v>122</v>
      </c>
      <c r="E846" t="str">
        <f>LOOKUP(D846,Sheet2!$G$4:$H$9)</f>
        <v>100-125</v>
      </c>
      <c r="F846" s="1">
        <v>52</v>
      </c>
      <c r="G846" t="str">
        <f>LOOKUP(F846,Sheet2!$J$4:$K$8)</f>
        <v>1-59</v>
      </c>
      <c r="H846" s="1">
        <v>43</v>
      </c>
      <c r="I846" t="str">
        <f>LOOKUP(H846,Sheet2!$M$4:$N$8)</f>
        <v>40+</v>
      </c>
      <c r="J846" s="1">
        <v>158</v>
      </c>
      <c r="K846" t="str">
        <f>LOOKUP(J846,Sheet2!$P$4:$Q$9)</f>
        <v>100-199</v>
      </c>
      <c r="L846" s="1">
        <v>36.200000000000003</v>
      </c>
      <c r="M846" t="str">
        <f>LOOKUP(L846,Sheet2!$S$4:$T$8)</f>
        <v>36+</v>
      </c>
      <c r="N846" s="1">
        <v>0.81599999999999995</v>
      </c>
      <c r="O846" t="str">
        <f>LOOKUP(N846,Sheet2!$V$4:$W$7)</f>
        <v>0.7+</v>
      </c>
      <c r="P846" s="1">
        <v>28</v>
      </c>
      <c r="Q846" t="str">
        <f>LOOKUP(P846,Sheet2!$Z$4:$AA$7)</f>
        <v>26-35</v>
      </c>
      <c r="R846" s="1">
        <v>0</v>
      </c>
      <c r="S846" t="str">
        <f>IF(R846=1,"Positive","Negative")</f>
        <v>Negative</v>
      </c>
      <c r="T846" s="1" t="str">
        <f>IFERROR(VLOOKUP(A846,[1]diabetes_Recognition!$A:$B,2,FALSE),"Not Sampled")</f>
        <v>Not Sampled</v>
      </c>
      <c r="U846" t="str">
        <f>IF(T846=1,"Positive",(IF(T846=0,"Negative","Not Sampled")))</f>
        <v>Not Sampled</v>
      </c>
      <c r="V846" s="1" t="str">
        <f>IF(U846="Not Sampled","Not Sampled",IF(S846=U846,"Accurate Prediction","Inaccurate Prediction"))</f>
        <v>Not Sampled</v>
      </c>
    </row>
    <row r="847" spans="1:22" x14ac:dyDescent="0.25">
      <c r="A847" s="1">
        <v>845</v>
      </c>
      <c r="B847" s="1">
        <v>12</v>
      </c>
      <c r="C847" s="1" t="str">
        <f>LOOKUP(B847,Sheet2!$D$4:$E$9)</f>
        <v>8+</v>
      </c>
      <c r="D847" s="1">
        <v>140</v>
      </c>
      <c r="E847" t="str">
        <f>LOOKUP(D847,Sheet2!$G$4:$H$9)</f>
        <v>126-150</v>
      </c>
      <c r="F847" s="1">
        <v>82</v>
      </c>
      <c r="G847" t="str">
        <f>LOOKUP(F847,Sheet2!$J$4:$K$8)</f>
        <v>80+</v>
      </c>
      <c r="H847" s="1">
        <v>43</v>
      </c>
      <c r="I847" t="str">
        <f>LOOKUP(H847,Sheet2!$M$4:$N$8)</f>
        <v>40+</v>
      </c>
      <c r="J847" s="1">
        <v>325</v>
      </c>
      <c r="K847" t="str">
        <f>LOOKUP(J847,Sheet2!$P$4:$Q$9)</f>
        <v>300-499</v>
      </c>
      <c r="L847" s="1">
        <v>39.200000000000003</v>
      </c>
      <c r="M847" t="str">
        <f>LOOKUP(L847,Sheet2!$S$4:$T$8)</f>
        <v>36+</v>
      </c>
      <c r="N847" s="1">
        <v>0.52800000000000002</v>
      </c>
      <c r="O847" t="str">
        <f>LOOKUP(N847,Sheet2!$V$4:$W$7)</f>
        <v>0.4 - 0.69</v>
      </c>
      <c r="P847" s="1">
        <v>58</v>
      </c>
      <c r="Q847" t="str">
        <f>LOOKUP(P847,Sheet2!$Z$4:$AA$7)</f>
        <v>46+</v>
      </c>
      <c r="R847" s="1">
        <v>1</v>
      </c>
      <c r="S847" t="str">
        <f>IF(R847=1,"Positive","Negative")</f>
        <v>Positive</v>
      </c>
      <c r="T847" s="1" t="str">
        <f>IFERROR(VLOOKUP(A847,[1]diabetes_Recognition!$A:$B,2,FALSE),"Not Sampled")</f>
        <v>Not Sampled</v>
      </c>
      <c r="U847" t="str">
        <f>IF(T847=1,"Positive",(IF(T847=0,"Negative","Not Sampled")))</f>
        <v>Not Sampled</v>
      </c>
      <c r="V847" s="1" t="str">
        <f>IF(U847="Not Sampled","Not Sampled",IF(S847=U847,"Accurate Prediction","Inaccurate Prediction"))</f>
        <v>Not Sampled</v>
      </c>
    </row>
    <row r="848" spans="1:22" x14ac:dyDescent="0.25">
      <c r="A848" s="1">
        <v>846</v>
      </c>
      <c r="B848" s="1">
        <v>0</v>
      </c>
      <c r="C848" s="1">
        <f>LOOKUP(B848,Sheet2!$D$4:$E$9)</f>
        <v>0</v>
      </c>
      <c r="D848" s="1">
        <v>98</v>
      </c>
      <c r="E848" t="str">
        <f>LOOKUP(D848,Sheet2!$G$4:$H$9)</f>
        <v>1-99</v>
      </c>
      <c r="F848" s="1">
        <v>82</v>
      </c>
      <c r="G848" t="str">
        <f>LOOKUP(F848,Sheet2!$J$4:$K$8)</f>
        <v>80+</v>
      </c>
      <c r="H848" s="1">
        <v>15</v>
      </c>
      <c r="I848" t="str">
        <f>LOOKUP(H848,Sheet2!$M$4:$N$8)</f>
        <v>10-30</v>
      </c>
      <c r="J848" s="1">
        <v>84</v>
      </c>
      <c r="K848" t="str">
        <f>LOOKUP(J848,Sheet2!$P$4:$Q$9)</f>
        <v>1-99</v>
      </c>
      <c r="L848" s="1">
        <v>25.2</v>
      </c>
      <c r="M848" t="str">
        <f>LOOKUP(L848,Sheet2!$S$4:$T$8)</f>
        <v>1-25</v>
      </c>
      <c r="N848" s="1">
        <v>0.29899999999999999</v>
      </c>
      <c r="O848" t="str">
        <f>LOOKUP(N848,Sheet2!$V$4:$W$7)</f>
        <v>0.25 - 0.39</v>
      </c>
      <c r="P848" s="1">
        <v>22</v>
      </c>
      <c r="Q848" t="str">
        <f>LOOKUP(P848,Sheet2!$Z$4:$AA$7)</f>
        <v>&lt;=25</v>
      </c>
      <c r="R848" s="1">
        <v>0</v>
      </c>
      <c r="S848" t="str">
        <f>IF(R848=1,"Positive","Negative")</f>
        <v>Negative</v>
      </c>
      <c r="T848" s="1">
        <f>IFERROR(VLOOKUP(A848,[1]diabetes_Recognition!$A:$B,2,FALSE),"Not Sampled")</f>
        <v>0</v>
      </c>
      <c r="U848" t="str">
        <f>IF(T848=1,"Positive",(IF(T848=0,"Negative","Not Sampled")))</f>
        <v>Negative</v>
      </c>
      <c r="V848" s="1" t="str">
        <f>IF(U848="Not Sampled","Not Sampled",IF(S848=U848,"Accurate Prediction","Inaccurate Prediction"))</f>
        <v>Accurate Prediction</v>
      </c>
    </row>
    <row r="849" spans="1:22" x14ac:dyDescent="0.25">
      <c r="A849" s="1">
        <v>847</v>
      </c>
      <c r="B849" s="1">
        <v>1</v>
      </c>
      <c r="C849" s="1">
        <f>LOOKUP(B849,Sheet2!$D$4:$E$9)</f>
        <v>1</v>
      </c>
      <c r="D849" s="1">
        <v>87</v>
      </c>
      <c r="E849" t="str">
        <f>LOOKUP(D849,Sheet2!$G$4:$H$9)</f>
        <v>1-99</v>
      </c>
      <c r="F849" s="1">
        <v>60</v>
      </c>
      <c r="G849" t="str">
        <f>LOOKUP(F849,Sheet2!$J$4:$K$8)</f>
        <v>60-69</v>
      </c>
      <c r="H849" s="1">
        <v>37</v>
      </c>
      <c r="I849" t="str">
        <f>LOOKUP(H849,Sheet2!$M$4:$N$8)</f>
        <v>30-39</v>
      </c>
      <c r="J849" s="1">
        <v>75</v>
      </c>
      <c r="K849" t="str">
        <f>LOOKUP(J849,Sheet2!$P$4:$Q$9)</f>
        <v>1-99</v>
      </c>
      <c r="L849" s="1">
        <v>37.200000000000003</v>
      </c>
      <c r="M849" t="str">
        <f>LOOKUP(L849,Sheet2!$S$4:$T$8)</f>
        <v>36+</v>
      </c>
      <c r="N849" s="1">
        <v>0.50900000000000001</v>
      </c>
      <c r="O849" t="str">
        <f>LOOKUP(N849,Sheet2!$V$4:$W$7)</f>
        <v>0.4 - 0.69</v>
      </c>
      <c r="P849" s="1">
        <v>22</v>
      </c>
      <c r="Q849" t="str">
        <f>LOOKUP(P849,Sheet2!$Z$4:$AA$7)</f>
        <v>&lt;=25</v>
      </c>
      <c r="R849" s="1">
        <v>0</v>
      </c>
      <c r="S849" t="str">
        <f>IF(R849=1,"Positive","Negative")</f>
        <v>Negative</v>
      </c>
      <c r="T849" s="1" t="str">
        <f>IFERROR(VLOOKUP(A849,[1]diabetes_Recognition!$A:$B,2,FALSE),"Not Sampled")</f>
        <v>Not Sampled</v>
      </c>
      <c r="U849" t="str">
        <f>IF(T849=1,"Positive",(IF(T849=0,"Negative","Not Sampled")))</f>
        <v>Not Sampled</v>
      </c>
      <c r="V849" s="1" t="str">
        <f>IF(U849="Not Sampled","Not Sampled",IF(S849=U849,"Accurate Prediction","Inaccurate Prediction"))</f>
        <v>Not Sampled</v>
      </c>
    </row>
    <row r="850" spans="1:22" x14ac:dyDescent="0.25">
      <c r="A850" s="1">
        <v>848</v>
      </c>
      <c r="B850" s="1">
        <v>4</v>
      </c>
      <c r="C850" s="1" t="str">
        <f>LOOKUP(B850,Sheet2!$D$4:$E$9)</f>
        <v>3-4</v>
      </c>
      <c r="D850" s="1">
        <v>156</v>
      </c>
      <c r="E850" t="str">
        <f>LOOKUP(D850,Sheet2!$G$4:$H$9)</f>
        <v>151-175</v>
      </c>
      <c r="F850" s="1">
        <v>75</v>
      </c>
      <c r="G850" t="str">
        <f>LOOKUP(F850,Sheet2!$J$4:$K$8)</f>
        <v>70-79</v>
      </c>
      <c r="H850" s="1">
        <v>0</v>
      </c>
      <c r="I850" t="str">
        <f>LOOKUP(H850,Sheet2!$M$4:$N$8)</f>
        <v>Unknown</v>
      </c>
      <c r="J850" s="1">
        <v>0</v>
      </c>
      <c r="K850" t="str">
        <f>LOOKUP(J850,Sheet2!$P$4:$Q$9)</f>
        <v>Unknown</v>
      </c>
      <c r="L850" s="1">
        <v>48.3</v>
      </c>
      <c r="M850" t="str">
        <f>LOOKUP(L850,Sheet2!$S$4:$T$8)</f>
        <v>36+</v>
      </c>
      <c r="N850" s="1">
        <v>0.23799999999999999</v>
      </c>
      <c r="O850" t="str">
        <f>LOOKUP(N850,Sheet2!$V$4:$W$7)</f>
        <v>0.0 - 0.249</v>
      </c>
      <c r="P850" s="1">
        <v>32</v>
      </c>
      <c r="Q850" t="str">
        <f>LOOKUP(P850,Sheet2!$Z$4:$AA$7)</f>
        <v>26-35</v>
      </c>
      <c r="R850" s="1">
        <v>1</v>
      </c>
      <c r="S850" t="str">
        <f>IF(R850=1,"Positive","Negative")</f>
        <v>Positive</v>
      </c>
      <c r="T850" s="1" t="str">
        <f>IFERROR(VLOOKUP(A850,[1]diabetes_Recognition!$A:$B,2,FALSE),"Not Sampled")</f>
        <v>Not Sampled</v>
      </c>
      <c r="U850" t="str">
        <f>IF(T850=1,"Positive",(IF(T850=0,"Negative","Not Sampled")))</f>
        <v>Not Sampled</v>
      </c>
      <c r="V850" s="1" t="str">
        <f>IF(U850="Not Sampled","Not Sampled",IF(S850=U850,"Accurate Prediction","Inaccurate Prediction"))</f>
        <v>Not Sampled</v>
      </c>
    </row>
    <row r="851" spans="1:22" x14ac:dyDescent="0.25">
      <c r="A851" s="1">
        <v>849</v>
      </c>
      <c r="B851" s="1">
        <v>0</v>
      </c>
      <c r="C851" s="1">
        <f>LOOKUP(B851,Sheet2!$D$4:$E$9)</f>
        <v>0</v>
      </c>
      <c r="D851" s="1">
        <v>93</v>
      </c>
      <c r="E851" t="str">
        <f>LOOKUP(D851,Sheet2!$G$4:$H$9)</f>
        <v>1-99</v>
      </c>
      <c r="F851" s="1">
        <v>100</v>
      </c>
      <c r="G851" t="str">
        <f>LOOKUP(F851,Sheet2!$J$4:$K$8)</f>
        <v>80+</v>
      </c>
      <c r="H851" s="1">
        <v>39</v>
      </c>
      <c r="I851" t="str">
        <f>LOOKUP(H851,Sheet2!$M$4:$N$8)</f>
        <v>30-39</v>
      </c>
      <c r="J851" s="1">
        <v>72</v>
      </c>
      <c r="K851" t="str">
        <f>LOOKUP(J851,Sheet2!$P$4:$Q$9)</f>
        <v>1-99</v>
      </c>
      <c r="L851" s="1">
        <v>43.4</v>
      </c>
      <c r="M851" t="str">
        <f>LOOKUP(L851,Sheet2!$S$4:$T$8)</f>
        <v>36+</v>
      </c>
      <c r="N851" s="1">
        <v>1.0209999999999999</v>
      </c>
      <c r="O851" t="str">
        <f>LOOKUP(N851,Sheet2!$V$4:$W$7)</f>
        <v>0.7+</v>
      </c>
      <c r="P851" s="1">
        <v>35</v>
      </c>
      <c r="Q851" t="str">
        <f>LOOKUP(P851,Sheet2!$Z$4:$AA$7)</f>
        <v>26-35</v>
      </c>
      <c r="R851" s="1">
        <v>0</v>
      </c>
      <c r="S851" t="str">
        <f>IF(R851=1,"Positive","Negative")</f>
        <v>Negative</v>
      </c>
      <c r="T851" s="1" t="str">
        <f>IFERROR(VLOOKUP(A851,[1]diabetes_Recognition!$A:$B,2,FALSE),"Not Sampled")</f>
        <v>Not Sampled</v>
      </c>
      <c r="U851" t="str">
        <f>IF(T851=1,"Positive",(IF(T851=0,"Negative","Not Sampled")))</f>
        <v>Not Sampled</v>
      </c>
      <c r="V851" s="1" t="str">
        <f>IF(U851="Not Sampled","Not Sampled",IF(S851=U851,"Accurate Prediction","Inaccurate Prediction"))</f>
        <v>Not Sampled</v>
      </c>
    </row>
    <row r="852" spans="1:22" x14ac:dyDescent="0.25">
      <c r="A852" s="1">
        <v>850</v>
      </c>
      <c r="B852" s="1">
        <v>1</v>
      </c>
      <c r="C852" s="1">
        <f>LOOKUP(B852,Sheet2!$D$4:$E$9)</f>
        <v>1</v>
      </c>
      <c r="D852" s="1">
        <v>107</v>
      </c>
      <c r="E852" t="str">
        <f>LOOKUP(D852,Sheet2!$G$4:$H$9)</f>
        <v>100-125</v>
      </c>
      <c r="F852" s="1">
        <v>72</v>
      </c>
      <c r="G852" t="str">
        <f>LOOKUP(F852,Sheet2!$J$4:$K$8)</f>
        <v>70-79</v>
      </c>
      <c r="H852" s="1">
        <v>30</v>
      </c>
      <c r="I852" t="str">
        <f>LOOKUP(H852,Sheet2!$M$4:$N$8)</f>
        <v>30-39</v>
      </c>
      <c r="J852" s="1">
        <v>82</v>
      </c>
      <c r="K852" t="str">
        <f>LOOKUP(J852,Sheet2!$P$4:$Q$9)</f>
        <v>1-99</v>
      </c>
      <c r="L852" s="1">
        <v>30.8</v>
      </c>
      <c r="M852" t="str">
        <f>LOOKUP(L852,Sheet2!$S$4:$T$8)</f>
        <v>26-30</v>
      </c>
      <c r="N852" s="1">
        <v>0.82099999999999995</v>
      </c>
      <c r="O852" t="str">
        <f>LOOKUP(N852,Sheet2!$V$4:$W$7)</f>
        <v>0.7+</v>
      </c>
      <c r="P852" s="1">
        <v>24</v>
      </c>
      <c r="Q852" t="str">
        <f>LOOKUP(P852,Sheet2!$Z$4:$AA$7)</f>
        <v>&lt;=25</v>
      </c>
      <c r="R852" s="1">
        <v>0</v>
      </c>
      <c r="S852" t="str">
        <f>IF(R852=1,"Positive","Negative")</f>
        <v>Negative</v>
      </c>
      <c r="T852" s="1" t="str">
        <f>IFERROR(VLOOKUP(A852,[1]diabetes_Recognition!$A:$B,2,FALSE),"Not Sampled")</f>
        <v>Not Sampled</v>
      </c>
      <c r="U852" t="str">
        <f>IF(T852=1,"Positive",(IF(T852=0,"Negative","Not Sampled")))</f>
        <v>Not Sampled</v>
      </c>
      <c r="V852" s="1" t="str">
        <f>IF(U852="Not Sampled","Not Sampled",IF(S852=U852,"Accurate Prediction","Inaccurate Prediction"))</f>
        <v>Not Sampled</v>
      </c>
    </row>
    <row r="853" spans="1:22" x14ac:dyDescent="0.25">
      <c r="A853" s="1">
        <v>851</v>
      </c>
      <c r="B853" s="1">
        <v>0</v>
      </c>
      <c r="C853" s="1">
        <f>LOOKUP(B853,Sheet2!$D$4:$E$9)</f>
        <v>0</v>
      </c>
      <c r="D853" s="1">
        <v>105</v>
      </c>
      <c r="E853" t="str">
        <f>LOOKUP(D853,Sheet2!$G$4:$H$9)</f>
        <v>100-125</v>
      </c>
      <c r="F853" s="1">
        <v>68</v>
      </c>
      <c r="G853" t="str">
        <f>LOOKUP(F853,Sheet2!$J$4:$K$8)</f>
        <v>60-69</v>
      </c>
      <c r="H853" s="1">
        <v>22</v>
      </c>
      <c r="I853" t="str">
        <f>LOOKUP(H853,Sheet2!$M$4:$N$8)</f>
        <v>10-30</v>
      </c>
      <c r="J853" s="1">
        <v>0</v>
      </c>
      <c r="K853" t="str">
        <f>LOOKUP(J853,Sheet2!$P$4:$Q$9)</f>
        <v>Unknown</v>
      </c>
      <c r="L853" s="1">
        <v>20</v>
      </c>
      <c r="M853" t="str">
        <f>LOOKUP(L853,Sheet2!$S$4:$T$8)</f>
        <v>1-25</v>
      </c>
      <c r="N853" s="1">
        <v>0.23599999999999999</v>
      </c>
      <c r="O853" t="str">
        <f>LOOKUP(N853,Sheet2!$V$4:$W$7)</f>
        <v>0.0 - 0.249</v>
      </c>
      <c r="P853" s="1">
        <v>22</v>
      </c>
      <c r="Q853" t="str">
        <f>LOOKUP(P853,Sheet2!$Z$4:$AA$7)</f>
        <v>&lt;=25</v>
      </c>
      <c r="R853" s="1">
        <v>0</v>
      </c>
      <c r="S853" t="str">
        <f>IF(R853=1,"Positive","Negative")</f>
        <v>Negative</v>
      </c>
      <c r="T853" s="1" t="str">
        <f>IFERROR(VLOOKUP(A853,[1]diabetes_Recognition!$A:$B,2,FALSE),"Not Sampled")</f>
        <v>Not Sampled</v>
      </c>
      <c r="U853" t="str">
        <f>IF(T853=1,"Positive",(IF(T853=0,"Negative","Not Sampled")))</f>
        <v>Not Sampled</v>
      </c>
      <c r="V853" s="1" t="str">
        <f>IF(U853="Not Sampled","Not Sampled",IF(S853=U853,"Accurate Prediction","Inaccurate Prediction"))</f>
        <v>Not Sampled</v>
      </c>
    </row>
    <row r="854" spans="1:22" x14ac:dyDescent="0.25">
      <c r="A854" s="1">
        <v>852</v>
      </c>
      <c r="B854" s="1">
        <v>1</v>
      </c>
      <c r="C854" s="1">
        <f>LOOKUP(B854,Sheet2!$D$4:$E$9)</f>
        <v>1</v>
      </c>
      <c r="D854" s="1">
        <v>109</v>
      </c>
      <c r="E854" t="str">
        <f>LOOKUP(D854,Sheet2!$G$4:$H$9)</f>
        <v>100-125</v>
      </c>
      <c r="F854" s="1">
        <v>60</v>
      </c>
      <c r="G854" t="str">
        <f>LOOKUP(F854,Sheet2!$J$4:$K$8)</f>
        <v>60-69</v>
      </c>
      <c r="H854" s="1">
        <v>8</v>
      </c>
      <c r="I854" t="str">
        <f>LOOKUP(H854,Sheet2!$M$4:$N$8)</f>
        <v>1-10</v>
      </c>
      <c r="J854" s="1">
        <v>182</v>
      </c>
      <c r="K854" t="str">
        <f>LOOKUP(J854,Sheet2!$P$4:$Q$9)</f>
        <v>100-199</v>
      </c>
      <c r="L854" s="1">
        <v>25.4</v>
      </c>
      <c r="M854" t="str">
        <f>LOOKUP(L854,Sheet2!$S$4:$T$8)</f>
        <v>1-25</v>
      </c>
      <c r="N854" s="1">
        <v>0.94699999999999995</v>
      </c>
      <c r="O854" t="str">
        <f>LOOKUP(N854,Sheet2!$V$4:$W$7)</f>
        <v>0.7+</v>
      </c>
      <c r="P854" s="1">
        <v>21</v>
      </c>
      <c r="Q854" t="str">
        <f>LOOKUP(P854,Sheet2!$Z$4:$AA$7)</f>
        <v>&lt;=25</v>
      </c>
      <c r="R854" s="1">
        <v>0</v>
      </c>
      <c r="S854" t="str">
        <f>IF(R854=1,"Positive","Negative")</f>
        <v>Negative</v>
      </c>
      <c r="T854" s="1" t="str">
        <f>IFERROR(VLOOKUP(A854,[1]diabetes_Recognition!$A:$B,2,FALSE),"Not Sampled")</f>
        <v>Not Sampled</v>
      </c>
      <c r="U854" t="str">
        <f>IF(T854=1,"Positive",(IF(T854=0,"Negative","Not Sampled")))</f>
        <v>Not Sampled</v>
      </c>
      <c r="V854" s="1" t="str">
        <f>IF(U854="Not Sampled","Not Sampled",IF(S854=U854,"Accurate Prediction","Inaccurate Prediction"))</f>
        <v>Not Sampled</v>
      </c>
    </row>
    <row r="855" spans="1:22" x14ac:dyDescent="0.25">
      <c r="A855" s="1">
        <v>853</v>
      </c>
      <c r="B855" s="1">
        <v>1</v>
      </c>
      <c r="C855" s="1">
        <f>LOOKUP(B855,Sheet2!$D$4:$E$9)</f>
        <v>1</v>
      </c>
      <c r="D855" s="1">
        <v>90</v>
      </c>
      <c r="E855" t="str">
        <f>LOOKUP(D855,Sheet2!$G$4:$H$9)</f>
        <v>1-99</v>
      </c>
      <c r="F855" s="1">
        <v>62</v>
      </c>
      <c r="G855" t="str">
        <f>LOOKUP(F855,Sheet2!$J$4:$K$8)</f>
        <v>60-69</v>
      </c>
      <c r="H855" s="1">
        <v>18</v>
      </c>
      <c r="I855" t="str">
        <f>LOOKUP(H855,Sheet2!$M$4:$N$8)</f>
        <v>10-30</v>
      </c>
      <c r="J855" s="1">
        <v>59</v>
      </c>
      <c r="K855" t="str">
        <f>LOOKUP(J855,Sheet2!$P$4:$Q$9)</f>
        <v>1-99</v>
      </c>
      <c r="L855" s="1">
        <v>25.1</v>
      </c>
      <c r="M855" t="str">
        <f>LOOKUP(L855,Sheet2!$S$4:$T$8)</f>
        <v>1-25</v>
      </c>
      <c r="N855" s="1">
        <v>1.268</v>
      </c>
      <c r="O855" t="str">
        <f>LOOKUP(N855,Sheet2!$V$4:$W$7)</f>
        <v>0.7+</v>
      </c>
      <c r="P855" s="1">
        <v>25</v>
      </c>
      <c r="Q855" t="str">
        <f>LOOKUP(P855,Sheet2!$Z$4:$AA$7)</f>
        <v>&lt;=25</v>
      </c>
      <c r="R855" s="1">
        <v>0</v>
      </c>
      <c r="S855" t="str">
        <f>IF(R855=1,"Positive","Negative")</f>
        <v>Negative</v>
      </c>
      <c r="T855" s="1" t="str">
        <f>IFERROR(VLOOKUP(A855,[1]diabetes_Recognition!$A:$B,2,FALSE),"Not Sampled")</f>
        <v>Not Sampled</v>
      </c>
      <c r="U855" t="str">
        <f>IF(T855=1,"Positive",(IF(T855=0,"Negative","Not Sampled")))</f>
        <v>Not Sampled</v>
      </c>
      <c r="V855" s="1" t="str">
        <f>IF(U855="Not Sampled","Not Sampled",IF(S855=U855,"Accurate Prediction","Inaccurate Prediction"))</f>
        <v>Not Sampled</v>
      </c>
    </row>
    <row r="856" spans="1:22" x14ac:dyDescent="0.25">
      <c r="A856" s="1">
        <v>854</v>
      </c>
      <c r="B856" s="1">
        <v>1</v>
      </c>
      <c r="C856" s="1">
        <f>LOOKUP(B856,Sheet2!$D$4:$E$9)</f>
        <v>1</v>
      </c>
      <c r="D856" s="1">
        <v>125</v>
      </c>
      <c r="E856" t="str">
        <f>LOOKUP(D856,Sheet2!$G$4:$H$9)</f>
        <v>100-125</v>
      </c>
      <c r="F856" s="1">
        <v>70</v>
      </c>
      <c r="G856" t="str">
        <f>LOOKUP(F856,Sheet2!$J$4:$K$8)</f>
        <v>70-79</v>
      </c>
      <c r="H856" s="1">
        <v>24</v>
      </c>
      <c r="I856" t="str">
        <f>LOOKUP(H856,Sheet2!$M$4:$N$8)</f>
        <v>10-30</v>
      </c>
      <c r="J856" s="1">
        <v>110</v>
      </c>
      <c r="K856" t="str">
        <f>LOOKUP(J856,Sheet2!$P$4:$Q$9)</f>
        <v>100-199</v>
      </c>
      <c r="L856" s="1">
        <v>24.3</v>
      </c>
      <c r="M856" t="str">
        <f>LOOKUP(L856,Sheet2!$S$4:$T$8)</f>
        <v>1-25</v>
      </c>
      <c r="N856" s="1">
        <v>0.221</v>
      </c>
      <c r="O856" t="str">
        <f>LOOKUP(N856,Sheet2!$V$4:$W$7)</f>
        <v>0.0 - 0.249</v>
      </c>
      <c r="P856" s="1">
        <v>25</v>
      </c>
      <c r="Q856" t="str">
        <f>LOOKUP(P856,Sheet2!$Z$4:$AA$7)</f>
        <v>&lt;=25</v>
      </c>
      <c r="R856" s="1">
        <v>0</v>
      </c>
      <c r="S856" t="str">
        <f>IF(R856=1,"Positive","Negative")</f>
        <v>Negative</v>
      </c>
      <c r="T856" s="1" t="str">
        <f>IFERROR(VLOOKUP(A856,[1]diabetes_Recognition!$A:$B,2,FALSE),"Not Sampled")</f>
        <v>Not Sampled</v>
      </c>
      <c r="U856" t="str">
        <f>IF(T856=1,"Positive",(IF(T856=0,"Negative","Not Sampled")))</f>
        <v>Not Sampled</v>
      </c>
      <c r="V856" s="1" t="str">
        <f>IF(U856="Not Sampled","Not Sampled",IF(S856=U856,"Accurate Prediction","Inaccurate Prediction"))</f>
        <v>Not Sampled</v>
      </c>
    </row>
    <row r="857" spans="1:22" x14ac:dyDescent="0.25">
      <c r="A857" s="1">
        <v>855</v>
      </c>
      <c r="B857" s="1">
        <v>1</v>
      </c>
      <c r="C857" s="1">
        <f>LOOKUP(B857,Sheet2!$D$4:$E$9)</f>
        <v>1</v>
      </c>
      <c r="D857" s="1">
        <v>119</v>
      </c>
      <c r="E857" t="str">
        <f>LOOKUP(D857,Sheet2!$G$4:$H$9)</f>
        <v>100-125</v>
      </c>
      <c r="F857" s="1">
        <v>54</v>
      </c>
      <c r="G857" t="str">
        <f>LOOKUP(F857,Sheet2!$J$4:$K$8)</f>
        <v>1-59</v>
      </c>
      <c r="H857" s="1">
        <v>13</v>
      </c>
      <c r="I857" t="str">
        <f>LOOKUP(H857,Sheet2!$M$4:$N$8)</f>
        <v>10-30</v>
      </c>
      <c r="J857" s="1">
        <v>50</v>
      </c>
      <c r="K857" t="str">
        <f>LOOKUP(J857,Sheet2!$P$4:$Q$9)</f>
        <v>1-99</v>
      </c>
      <c r="L857" s="1">
        <v>22.3</v>
      </c>
      <c r="M857" t="str">
        <f>LOOKUP(L857,Sheet2!$S$4:$T$8)</f>
        <v>1-25</v>
      </c>
      <c r="N857" s="1">
        <v>0.20499999999999999</v>
      </c>
      <c r="O857" t="str">
        <f>LOOKUP(N857,Sheet2!$V$4:$W$7)</f>
        <v>0.0 - 0.249</v>
      </c>
      <c r="P857" s="1">
        <v>24</v>
      </c>
      <c r="Q857" t="str">
        <f>LOOKUP(P857,Sheet2!$Z$4:$AA$7)</f>
        <v>&lt;=25</v>
      </c>
      <c r="R857" s="1">
        <v>0</v>
      </c>
      <c r="S857" t="str">
        <f>IF(R857=1,"Positive","Negative")</f>
        <v>Negative</v>
      </c>
      <c r="T857" s="1" t="str">
        <f>IFERROR(VLOOKUP(A857,[1]diabetes_Recognition!$A:$B,2,FALSE),"Not Sampled")</f>
        <v>Not Sampled</v>
      </c>
      <c r="U857" t="str">
        <f>IF(T857=1,"Positive",(IF(T857=0,"Negative","Not Sampled")))</f>
        <v>Not Sampled</v>
      </c>
      <c r="V857" s="1" t="str">
        <f>IF(U857="Not Sampled","Not Sampled",IF(S857=U857,"Accurate Prediction","Inaccurate Prediction"))</f>
        <v>Not Sampled</v>
      </c>
    </row>
    <row r="858" spans="1:22" x14ac:dyDescent="0.25">
      <c r="A858" s="1">
        <v>856</v>
      </c>
      <c r="B858" s="1">
        <v>5</v>
      </c>
      <c r="C858" s="1" t="str">
        <f>LOOKUP(B858,Sheet2!$D$4:$E$9)</f>
        <v>5-7</v>
      </c>
      <c r="D858" s="1">
        <v>116</v>
      </c>
      <c r="E858" t="str">
        <f>LOOKUP(D858,Sheet2!$G$4:$H$9)</f>
        <v>100-125</v>
      </c>
      <c r="F858" s="1">
        <v>74</v>
      </c>
      <c r="G858" t="str">
        <f>LOOKUP(F858,Sheet2!$J$4:$K$8)</f>
        <v>70-79</v>
      </c>
      <c r="H858" s="1">
        <v>29</v>
      </c>
      <c r="I858" t="str">
        <f>LOOKUP(H858,Sheet2!$M$4:$N$8)</f>
        <v>10-30</v>
      </c>
      <c r="J858" s="1">
        <v>0</v>
      </c>
      <c r="K858" t="str">
        <f>LOOKUP(J858,Sheet2!$P$4:$Q$9)</f>
        <v>Unknown</v>
      </c>
      <c r="L858" s="1">
        <v>32.299999999999997</v>
      </c>
      <c r="M858" t="str">
        <f>LOOKUP(L858,Sheet2!$S$4:$T$8)</f>
        <v>31-35</v>
      </c>
      <c r="N858" s="1">
        <v>0.66</v>
      </c>
      <c r="O858" t="str">
        <f>LOOKUP(N858,Sheet2!$V$4:$W$7)</f>
        <v>0.4 - 0.69</v>
      </c>
      <c r="P858" s="1">
        <v>35</v>
      </c>
      <c r="Q858" t="str">
        <f>LOOKUP(P858,Sheet2!$Z$4:$AA$7)</f>
        <v>26-35</v>
      </c>
      <c r="R858" s="1">
        <v>1</v>
      </c>
      <c r="S858" t="str">
        <f>IF(R858=1,"Positive","Negative")</f>
        <v>Positive</v>
      </c>
      <c r="T858" s="1" t="str">
        <f>IFERROR(VLOOKUP(A858,[1]diabetes_Recognition!$A:$B,2,FALSE),"Not Sampled")</f>
        <v>Not Sampled</v>
      </c>
      <c r="U858" t="str">
        <f>IF(T858=1,"Positive",(IF(T858=0,"Negative","Not Sampled")))</f>
        <v>Not Sampled</v>
      </c>
      <c r="V858" s="1" t="str">
        <f>IF(U858="Not Sampled","Not Sampled",IF(S858=U858,"Accurate Prediction","Inaccurate Prediction"))</f>
        <v>Not Sampled</v>
      </c>
    </row>
    <row r="859" spans="1:22" x14ac:dyDescent="0.25">
      <c r="A859" s="1">
        <v>857</v>
      </c>
      <c r="B859" s="1">
        <v>8</v>
      </c>
      <c r="C859" s="1" t="str">
        <f>LOOKUP(B859,Sheet2!$D$4:$E$9)</f>
        <v>8+</v>
      </c>
      <c r="D859" s="1">
        <v>105</v>
      </c>
      <c r="E859" t="str">
        <f>LOOKUP(D859,Sheet2!$G$4:$H$9)</f>
        <v>100-125</v>
      </c>
      <c r="F859" s="1">
        <v>100</v>
      </c>
      <c r="G859" t="str">
        <f>LOOKUP(F859,Sheet2!$J$4:$K$8)</f>
        <v>80+</v>
      </c>
      <c r="H859" s="1">
        <v>36</v>
      </c>
      <c r="I859" t="str">
        <f>LOOKUP(H859,Sheet2!$M$4:$N$8)</f>
        <v>30-39</v>
      </c>
      <c r="J859" s="1">
        <v>0</v>
      </c>
      <c r="K859" t="str">
        <f>LOOKUP(J859,Sheet2!$P$4:$Q$9)</f>
        <v>Unknown</v>
      </c>
      <c r="L859" s="1">
        <v>43.3</v>
      </c>
      <c r="M859" t="str">
        <f>LOOKUP(L859,Sheet2!$S$4:$T$8)</f>
        <v>36+</v>
      </c>
      <c r="N859" s="1">
        <v>0.23899999999999999</v>
      </c>
      <c r="O859" t="str">
        <f>LOOKUP(N859,Sheet2!$V$4:$W$7)</f>
        <v>0.0 - 0.249</v>
      </c>
      <c r="P859" s="1">
        <v>45</v>
      </c>
      <c r="Q859" t="str">
        <f>LOOKUP(P859,Sheet2!$Z$4:$AA$7)</f>
        <v>36-45</v>
      </c>
      <c r="R859" s="1">
        <v>1</v>
      </c>
      <c r="S859" t="str">
        <f>IF(R859=1,"Positive","Negative")</f>
        <v>Positive</v>
      </c>
      <c r="T859" s="1">
        <f>IFERROR(VLOOKUP(A859,[1]diabetes_Recognition!$A:$B,2,FALSE),"Not Sampled")</f>
        <v>0</v>
      </c>
      <c r="U859" t="str">
        <f>IF(T859=1,"Positive",(IF(T859=0,"Negative","Not Sampled")))</f>
        <v>Negative</v>
      </c>
      <c r="V859" s="1" t="str">
        <f>IF(U859="Not Sampled","Not Sampled",IF(S859=U859,"Accurate Prediction","Inaccurate Prediction"))</f>
        <v>Inaccurate Prediction</v>
      </c>
    </row>
    <row r="860" spans="1:22" x14ac:dyDescent="0.25">
      <c r="A860" s="1">
        <v>858</v>
      </c>
      <c r="B860" s="1">
        <v>5</v>
      </c>
      <c r="C860" s="1" t="str">
        <f>LOOKUP(B860,Sheet2!$D$4:$E$9)</f>
        <v>5-7</v>
      </c>
      <c r="D860" s="1">
        <v>144</v>
      </c>
      <c r="E860" t="str">
        <f>LOOKUP(D860,Sheet2!$G$4:$H$9)</f>
        <v>126-150</v>
      </c>
      <c r="F860" s="1">
        <v>82</v>
      </c>
      <c r="G860" t="str">
        <f>LOOKUP(F860,Sheet2!$J$4:$K$8)</f>
        <v>80+</v>
      </c>
      <c r="H860" s="1">
        <v>26</v>
      </c>
      <c r="I860" t="str">
        <f>LOOKUP(H860,Sheet2!$M$4:$N$8)</f>
        <v>10-30</v>
      </c>
      <c r="J860" s="1">
        <v>285</v>
      </c>
      <c r="K860" t="str">
        <f>LOOKUP(J860,Sheet2!$P$4:$Q$9)</f>
        <v>200-399</v>
      </c>
      <c r="L860" s="1">
        <v>32</v>
      </c>
      <c r="M860" t="str">
        <f>LOOKUP(L860,Sheet2!$S$4:$T$8)</f>
        <v>31-35</v>
      </c>
      <c r="N860" s="1">
        <v>0.45200000000000001</v>
      </c>
      <c r="O860" t="str">
        <f>LOOKUP(N860,Sheet2!$V$4:$W$7)</f>
        <v>0.4 - 0.69</v>
      </c>
      <c r="P860" s="1">
        <v>58</v>
      </c>
      <c r="Q860" t="str">
        <f>LOOKUP(P860,Sheet2!$Z$4:$AA$7)</f>
        <v>46+</v>
      </c>
      <c r="R860" s="1">
        <v>1</v>
      </c>
      <c r="S860" t="str">
        <f>IF(R860=1,"Positive","Negative")</f>
        <v>Positive</v>
      </c>
      <c r="T860" s="1">
        <f>IFERROR(VLOOKUP(A860,[1]diabetes_Recognition!$A:$B,2,FALSE),"Not Sampled")</f>
        <v>0</v>
      </c>
      <c r="U860" t="str">
        <f>IF(T860=1,"Positive",(IF(T860=0,"Negative","Not Sampled")))</f>
        <v>Negative</v>
      </c>
      <c r="V860" s="1" t="str">
        <f>IF(U860="Not Sampled","Not Sampled",IF(S860=U860,"Accurate Prediction","Inaccurate Prediction"))</f>
        <v>Inaccurate Prediction</v>
      </c>
    </row>
    <row r="861" spans="1:22" x14ac:dyDescent="0.25">
      <c r="A861" s="1">
        <v>859</v>
      </c>
      <c r="B861" s="1">
        <v>3</v>
      </c>
      <c r="C861" s="1" t="str">
        <f>LOOKUP(B861,Sheet2!$D$4:$E$9)</f>
        <v>3-4</v>
      </c>
      <c r="D861" s="1">
        <v>100</v>
      </c>
      <c r="E861" t="str">
        <f>LOOKUP(D861,Sheet2!$G$4:$H$9)</f>
        <v>100-125</v>
      </c>
      <c r="F861" s="1">
        <v>68</v>
      </c>
      <c r="G861" t="str">
        <f>LOOKUP(F861,Sheet2!$J$4:$K$8)</f>
        <v>60-69</v>
      </c>
      <c r="H861" s="1">
        <v>23</v>
      </c>
      <c r="I861" t="str">
        <f>LOOKUP(H861,Sheet2!$M$4:$N$8)</f>
        <v>10-30</v>
      </c>
      <c r="J861" s="1">
        <v>81</v>
      </c>
      <c r="K861" t="str">
        <f>LOOKUP(J861,Sheet2!$P$4:$Q$9)</f>
        <v>1-99</v>
      </c>
      <c r="L861" s="1">
        <v>31.6</v>
      </c>
      <c r="M861" t="str">
        <f>LOOKUP(L861,Sheet2!$S$4:$T$8)</f>
        <v>31-35</v>
      </c>
      <c r="N861" s="1">
        <v>0.94899999999999995</v>
      </c>
      <c r="O861" t="str">
        <f>LOOKUP(N861,Sheet2!$V$4:$W$7)</f>
        <v>0.7+</v>
      </c>
      <c r="P861" s="1">
        <v>28</v>
      </c>
      <c r="Q861" t="str">
        <f>LOOKUP(P861,Sheet2!$Z$4:$AA$7)</f>
        <v>26-35</v>
      </c>
      <c r="R861" s="1">
        <v>0</v>
      </c>
      <c r="S861" t="str">
        <f>IF(R861=1,"Positive","Negative")</f>
        <v>Negative</v>
      </c>
      <c r="T861" s="1" t="str">
        <f>IFERROR(VLOOKUP(A861,[1]diabetes_Recognition!$A:$B,2,FALSE),"Not Sampled")</f>
        <v>Not Sampled</v>
      </c>
      <c r="U861" t="str">
        <f>IF(T861=1,"Positive",(IF(T861=0,"Negative","Not Sampled")))</f>
        <v>Not Sampled</v>
      </c>
      <c r="V861" s="1" t="str">
        <f>IF(U861="Not Sampled","Not Sampled",IF(S861=U861,"Accurate Prediction","Inaccurate Prediction"))</f>
        <v>Not Sampled</v>
      </c>
    </row>
    <row r="862" spans="1:22" x14ac:dyDescent="0.25">
      <c r="A862" s="1">
        <v>860</v>
      </c>
      <c r="B862" s="1">
        <v>1</v>
      </c>
      <c r="C862" s="1">
        <f>LOOKUP(B862,Sheet2!$D$4:$E$9)</f>
        <v>1</v>
      </c>
      <c r="D862" s="1">
        <v>100</v>
      </c>
      <c r="E862" t="str">
        <f>LOOKUP(D862,Sheet2!$G$4:$H$9)</f>
        <v>100-125</v>
      </c>
      <c r="F862" s="1">
        <v>66</v>
      </c>
      <c r="G862" t="str">
        <f>LOOKUP(F862,Sheet2!$J$4:$K$8)</f>
        <v>60-69</v>
      </c>
      <c r="H862" s="1">
        <v>29</v>
      </c>
      <c r="I862" t="str">
        <f>LOOKUP(H862,Sheet2!$M$4:$N$8)</f>
        <v>10-30</v>
      </c>
      <c r="J862" s="1">
        <v>196</v>
      </c>
      <c r="K862" t="str">
        <f>LOOKUP(J862,Sheet2!$P$4:$Q$9)</f>
        <v>100-199</v>
      </c>
      <c r="L862" s="1">
        <v>32</v>
      </c>
      <c r="M862" t="str">
        <f>LOOKUP(L862,Sheet2!$S$4:$T$8)</f>
        <v>31-35</v>
      </c>
      <c r="N862" s="1">
        <v>0.44400000000000001</v>
      </c>
      <c r="O862" t="str">
        <f>LOOKUP(N862,Sheet2!$V$4:$W$7)</f>
        <v>0.4 - 0.69</v>
      </c>
      <c r="P862" s="1">
        <v>42</v>
      </c>
      <c r="Q862" t="str">
        <f>LOOKUP(P862,Sheet2!$Z$4:$AA$7)</f>
        <v>36-45</v>
      </c>
      <c r="R862" s="1">
        <v>0</v>
      </c>
      <c r="S862" t="str">
        <f>IF(R862=1,"Positive","Negative")</f>
        <v>Negative</v>
      </c>
      <c r="T862" s="1">
        <f>IFERROR(VLOOKUP(A862,[1]diabetes_Recognition!$A:$B,2,FALSE),"Not Sampled")</f>
        <v>0</v>
      </c>
      <c r="U862" t="str">
        <f>IF(T862=1,"Positive",(IF(T862=0,"Negative","Not Sampled")))</f>
        <v>Negative</v>
      </c>
      <c r="V862" s="1" t="str">
        <f>IF(U862="Not Sampled","Not Sampled",IF(S862=U862,"Accurate Prediction","Inaccurate Prediction"))</f>
        <v>Accurate Prediction</v>
      </c>
    </row>
    <row r="863" spans="1:22" x14ac:dyDescent="0.25">
      <c r="A863" s="1">
        <v>861</v>
      </c>
      <c r="B863" s="1">
        <v>5</v>
      </c>
      <c r="C863" s="1" t="str">
        <f>LOOKUP(B863,Sheet2!$D$4:$E$9)</f>
        <v>5-7</v>
      </c>
      <c r="D863" s="1">
        <v>166</v>
      </c>
      <c r="E863" t="str">
        <f>LOOKUP(D863,Sheet2!$G$4:$H$9)</f>
        <v>151-175</v>
      </c>
      <c r="F863" s="1">
        <v>76</v>
      </c>
      <c r="G863" t="str">
        <f>LOOKUP(F863,Sheet2!$J$4:$K$8)</f>
        <v>70-79</v>
      </c>
      <c r="H863" s="1">
        <v>0</v>
      </c>
      <c r="I863" t="str">
        <f>LOOKUP(H863,Sheet2!$M$4:$N$8)</f>
        <v>Unknown</v>
      </c>
      <c r="J863" s="1">
        <v>0</v>
      </c>
      <c r="K863" t="str">
        <f>LOOKUP(J863,Sheet2!$P$4:$Q$9)</f>
        <v>Unknown</v>
      </c>
      <c r="L863" s="1">
        <v>45.7</v>
      </c>
      <c r="M863" t="str">
        <f>LOOKUP(L863,Sheet2!$S$4:$T$8)</f>
        <v>36+</v>
      </c>
      <c r="N863" s="1">
        <v>0.34</v>
      </c>
      <c r="O863" t="str">
        <f>LOOKUP(N863,Sheet2!$V$4:$W$7)</f>
        <v>0.25 - 0.39</v>
      </c>
      <c r="P863" s="1">
        <v>27</v>
      </c>
      <c r="Q863" t="str">
        <f>LOOKUP(P863,Sheet2!$Z$4:$AA$7)</f>
        <v>26-35</v>
      </c>
      <c r="R863" s="1">
        <v>1</v>
      </c>
      <c r="S863" t="str">
        <f>IF(R863=1,"Positive","Negative")</f>
        <v>Positive</v>
      </c>
      <c r="T863" s="1">
        <f>IFERROR(VLOOKUP(A863,[1]diabetes_Recognition!$A:$B,2,FALSE),"Not Sampled")</f>
        <v>1</v>
      </c>
      <c r="U863" t="str">
        <f>IF(T863=1,"Positive",(IF(T863=0,"Negative","Not Sampled")))</f>
        <v>Positive</v>
      </c>
      <c r="V863" s="1" t="str">
        <f>IF(U863="Not Sampled","Not Sampled",IF(S863=U863,"Accurate Prediction","Inaccurate Prediction"))</f>
        <v>Accurate Prediction</v>
      </c>
    </row>
    <row r="864" spans="1:22" x14ac:dyDescent="0.25">
      <c r="A864" s="1">
        <v>862</v>
      </c>
      <c r="B864" s="1">
        <v>1</v>
      </c>
      <c r="C864" s="1">
        <f>LOOKUP(B864,Sheet2!$D$4:$E$9)</f>
        <v>1</v>
      </c>
      <c r="D864" s="1">
        <v>131</v>
      </c>
      <c r="E864" t="str">
        <f>LOOKUP(D864,Sheet2!$G$4:$H$9)</f>
        <v>126-150</v>
      </c>
      <c r="F864" s="1">
        <v>64</v>
      </c>
      <c r="G864" t="str">
        <f>LOOKUP(F864,Sheet2!$J$4:$K$8)</f>
        <v>60-69</v>
      </c>
      <c r="H864" s="1">
        <v>14</v>
      </c>
      <c r="I864" t="str">
        <f>LOOKUP(H864,Sheet2!$M$4:$N$8)</f>
        <v>10-30</v>
      </c>
      <c r="J864" s="1">
        <v>415</v>
      </c>
      <c r="K864" t="str">
        <f>LOOKUP(J864,Sheet2!$P$4:$Q$9)</f>
        <v>300-499</v>
      </c>
      <c r="L864" s="1">
        <v>23.7</v>
      </c>
      <c r="M864" t="str">
        <f>LOOKUP(L864,Sheet2!$S$4:$T$8)</f>
        <v>1-25</v>
      </c>
      <c r="N864" s="1">
        <v>0.38900000000000001</v>
      </c>
      <c r="O864" t="str">
        <f>LOOKUP(N864,Sheet2!$V$4:$W$7)</f>
        <v>0.25 - 0.39</v>
      </c>
      <c r="P864" s="1">
        <v>21</v>
      </c>
      <c r="Q864" t="str">
        <f>LOOKUP(P864,Sheet2!$Z$4:$AA$7)</f>
        <v>&lt;=25</v>
      </c>
      <c r="R864" s="1">
        <v>0</v>
      </c>
      <c r="S864" t="str">
        <f>IF(R864=1,"Positive","Negative")</f>
        <v>Negative</v>
      </c>
      <c r="T864" s="1" t="str">
        <f>IFERROR(VLOOKUP(A864,[1]diabetes_Recognition!$A:$B,2,FALSE),"Not Sampled")</f>
        <v>Not Sampled</v>
      </c>
      <c r="U864" t="str">
        <f>IF(T864=1,"Positive",(IF(T864=0,"Negative","Not Sampled")))</f>
        <v>Not Sampled</v>
      </c>
      <c r="V864" s="1" t="str">
        <f>IF(U864="Not Sampled","Not Sampled",IF(S864=U864,"Accurate Prediction","Inaccurate Prediction"))</f>
        <v>Not Sampled</v>
      </c>
    </row>
    <row r="865" spans="1:22" x14ac:dyDescent="0.25">
      <c r="A865" s="1">
        <v>863</v>
      </c>
      <c r="B865" s="1">
        <v>4</v>
      </c>
      <c r="C865" s="1" t="str">
        <f>LOOKUP(B865,Sheet2!$D$4:$E$9)</f>
        <v>3-4</v>
      </c>
      <c r="D865" s="1">
        <v>116</v>
      </c>
      <c r="E865" t="str">
        <f>LOOKUP(D865,Sheet2!$G$4:$H$9)</f>
        <v>100-125</v>
      </c>
      <c r="F865" s="1">
        <v>72</v>
      </c>
      <c r="G865" t="str">
        <f>LOOKUP(F865,Sheet2!$J$4:$K$8)</f>
        <v>70-79</v>
      </c>
      <c r="H865" s="1">
        <v>12</v>
      </c>
      <c r="I865" t="str">
        <f>LOOKUP(H865,Sheet2!$M$4:$N$8)</f>
        <v>10-30</v>
      </c>
      <c r="J865" s="1">
        <v>87</v>
      </c>
      <c r="K865" t="str">
        <f>LOOKUP(J865,Sheet2!$P$4:$Q$9)</f>
        <v>1-99</v>
      </c>
      <c r="L865" s="1">
        <v>22.1</v>
      </c>
      <c r="M865" t="str">
        <f>LOOKUP(L865,Sheet2!$S$4:$T$8)</f>
        <v>1-25</v>
      </c>
      <c r="N865" s="1">
        <v>0.46300000000000002</v>
      </c>
      <c r="O865" t="str">
        <f>LOOKUP(N865,Sheet2!$V$4:$W$7)</f>
        <v>0.4 - 0.69</v>
      </c>
      <c r="P865" s="1">
        <v>37</v>
      </c>
      <c r="Q865" t="str">
        <f>LOOKUP(P865,Sheet2!$Z$4:$AA$7)</f>
        <v>36-45</v>
      </c>
      <c r="R865" s="1">
        <v>0</v>
      </c>
      <c r="S865" t="str">
        <f>IF(R865=1,"Positive","Negative")</f>
        <v>Negative</v>
      </c>
      <c r="T865" s="1" t="str">
        <f>IFERROR(VLOOKUP(A865,[1]diabetes_Recognition!$A:$B,2,FALSE),"Not Sampled")</f>
        <v>Not Sampled</v>
      </c>
      <c r="U865" t="str">
        <f>IF(T865=1,"Positive",(IF(T865=0,"Negative","Not Sampled")))</f>
        <v>Not Sampled</v>
      </c>
      <c r="V865" s="1" t="str">
        <f>IF(U865="Not Sampled","Not Sampled",IF(S865=U865,"Accurate Prediction","Inaccurate Prediction"))</f>
        <v>Not Sampled</v>
      </c>
    </row>
    <row r="866" spans="1:22" x14ac:dyDescent="0.25">
      <c r="A866" s="1">
        <v>864</v>
      </c>
      <c r="B866" s="1">
        <v>4</v>
      </c>
      <c r="C866" s="1" t="str">
        <f>LOOKUP(B866,Sheet2!$D$4:$E$9)</f>
        <v>3-4</v>
      </c>
      <c r="D866" s="1">
        <v>158</v>
      </c>
      <c r="E866" t="str">
        <f>LOOKUP(D866,Sheet2!$G$4:$H$9)</f>
        <v>151-175</v>
      </c>
      <c r="F866" s="1">
        <v>78</v>
      </c>
      <c r="G866" t="str">
        <f>LOOKUP(F866,Sheet2!$J$4:$K$8)</f>
        <v>70-79</v>
      </c>
      <c r="H866" s="1">
        <v>0</v>
      </c>
      <c r="I866" t="str">
        <f>LOOKUP(H866,Sheet2!$M$4:$N$8)</f>
        <v>Unknown</v>
      </c>
      <c r="J866" s="1">
        <v>0</v>
      </c>
      <c r="K866" t="str">
        <f>LOOKUP(J866,Sheet2!$P$4:$Q$9)</f>
        <v>Unknown</v>
      </c>
      <c r="L866" s="1">
        <v>32.9</v>
      </c>
      <c r="M866" t="str">
        <f>LOOKUP(L866,Sheet2!$S$4:$T$8)</f>
        <v>31-35</v>
      </c>
      <c r="N866" s="1">
        <v>0.80300000000000005</v>
      </c>
      <c r="O866" t="str">
        <f>LOOKUP(N866,Sheet2!$V$4:$W$7)</f>
        <v>0.7+</v>
      </c>
      <c r="P866" s="1">
        <v>31</v>
      </c>
      <c r="Q866" t="str">
        <f>LOOKUP(P866,Sheet2!$Z$4:$AA$7)</f>
        <v>26-35</v>
      </c>
      <c r="R866" s="1">
        <v>1</v>
      </c>
      <c r="S866" t="str">
        <f>IF(R866=1,"Positive","Negative")</f>
        <v>Positive</v>
      </c>
      <c r="T866" s="1" t="str">
        <f>IFERROR(VLOOKUP(A866,[1]diabetes_Recognition!$A:$B,2,FALSE),"Not Sampled")</f>
        <v>Not Sampled</v>
      </c>
      <c r="U866" t="str">
        <f>IF(T866=1,"Positive",(IF(T866=0,"Negative","Not Sampled")))</f>
        <v>Not Sampled</v>
      </c>
      <c r="V866" s="1" t="str">
        <f>IF(U866="Not Sampled","Not Sampled",IF(S866=U866,"Accurate Prediction","Inaccurate Prediction"))</f>
        <v>Not Sampled</v>
      </c>
    </row>
    <row r="867" spans="1:22" x14ac:dyDescent="0.25">
      <c r="A867" s="1">
        <v>865</v>
      </c>
      <c r="B867" s="1">
        <v>2</v>
      </c>
      <c r="C867" s="1">
        <f>LOOKUP(B867,Sheet2!$D$4:$E$9)</f>
        <v>2</v>
      </c>
      <c r="D867" s="1">
        <v>127</v>
      </c>
      <c r="E867" t="str">
        <f>LOOKUP(D867,Sheet2!$G$4:$H$9)</f>
        <v>126-150</v>
      </c>
      <c r="F867" s="1">
        <v>58</v>
      </c>
      <c r="G867" t="str">
        <f>LOOKUP(F867,Sheet2!$J$4:$K$8)</f>
        <v>1-59</v>
      </c>
      <c r="H867" s="1">
        <v>24</v>
      </c>
      <c r="I867" t="str">
        <f>LOOKUP(H867,Sheet2!$M$4:$N$8)</f>
        <v>10-30</v>
      </c>
      <c r="J867" s="1">
        <v>275</v>
      </c>
      <c r="K867" t="str">
        <f>LOOKUP(J867,Sheet2!$P$4:$Q$9)</f>
        <v>200-399</v>
      </c>
      <c r="L867" s="1">
        <v>27.7</v>
      </c>
      <c r="M867" t="str">
        <f>LOOKUP(L867,Sheet2!$S$4:$T$8)</f>
        <v>26-30</v>
      </c>
      <c r="N867" s="1">
        <v>1.6</v>
      </c>
      <c r="O867" t="str">
        <f>LOOKUP(N867,Sheet2!$V$4:$W$7)</f>
        <v>0.7+</v>
      </c>
      <c r="P867" s="1">
        <v>25</v>
      </c>
      <c r="Q867" t="str">
        <f>LOOKUP(P867,Sheet2!$Z$4:$AA$7)</f>
        <v>&lt;=25</v>
      </c>
      <c r="R867" s="1">
        <v>0</v>
      </c>
      <c r="S867" t="str">
        <f>IF(R867=1,"Positive","Negative")</f>
        <v>Negative</v>
      </c>
      <c r="T867" s="1" t="str">
        <f>IFERROR(VLOOKUP(A867,[1]diabetes_Recognition!$A:$B,2,FALSE),"Not Sampled")</f>
        <v>Not Sampled</v>
      </c>
      <c r="U867" t="str">
        <f>IF(T867=1,"Positive",(IF(T867=0,"Negative","Not Sampled")))</f>
        <v>Not Sampled</v>
      </c>
      <c r="V867" s="1" t="str">
        <f>IF(U867="Not Sampled","Not Sampled",IF(S867=U867,"Accurate Prediction","Inaccurate Prediction"))</f>
        <v>Not Sampled</v>
      </c>
    </row>
    <row r="868" spans="1:22" x14ac:dyDescent="0.25">
      <c r="A868" s="1">
        <v>866</v>
      </c>
      <c r="B868" s="1">
        <v>3</v>
      </c>
      <c r="C868" s="1" t="str">
        <f>LOOKUP(B868,Sheet2!$D$4:$E$9)</f>
        <v>3-4</v>
      </c>
      <c r="D868" s="1">
        <v>96</v>
      </c>
      <c r="E868" t="str">
        <f>LOOKUP(D868,Sheet2!$G$4:$H$9)</f>
        <v>1-99</v>
      </c>
      <c r="F868" s="1">
        <v>56</v>
      </c>
      <c r="G868" t="str">
        <f>LOOKUP(F868,Sheet2!$J$4:$K$8)</f>
        <v>1-59</v>
      </c>
      <c r="H868" s="1">
        <v>34</v>
      </c>
      <c r="I868" t="str">
        <f>LOOKUP(H868,Sheet2!$M$4:$N$8)</f>
        <v>30-39</v>
      </c>
      <c r="J868" s="1">
        <v>115</v>
      </c>
      <c r="K868" t="str">
        <f>LOOKUP(J868,Sheet2!$P$4:$Q$9)</f>
        <v>100-199</v>
      </c>
      <c r="L868" s="1">
        <v>24.7</v>
      </c>
      <c r="M868" t="str">
        <f>LOOKUP(L868,Sheet2!$S$4:$T$8)</f>
        <v>1-25</v>
      </c>
      <c r="N868" s="1">
        <v>0.94399999999999995</v>
      </c>
      <c r="O868" t="str">
        <f>LOOKUP(N868,Sheet2!$V$4:$W$7)</f>
        <v>0.7+</v>
      </c>
      <c r="P868" s="1">
        <v>39</v>
      </c>
      <c r="Q868" t="str">
        <f>LOOKUP(P868,Sheet2!$Z$4:$AA$7)</f>
        <v>36-45</v>
      </c>
      <c r="R868" s="1">
        <v>0</v>
      </c>
      <c r="S868" t="str">
        <f>IF(R868=1,"Positive","Negative")</f>
        <v>Negative</v>
      </c>
      <c r="T868" s="1" t="str">
        <f>IFERROR(VLOOKUP(A868,[1]diabetes_Recognition!$A:$B,2,FALSE),"Not Sampled")</f>
        <v>Not Sampled</v>
      </c>
      <c r="U868" t="str">
        <f>IF(T868=1,"Positive",(IF(T868=0,"Negative","Not Sampled")))</f>
        <v>Not Sampled</v>
      </c>
      <c r="V868" s="1" t="str">
        <f>IF(U868="Not Sampled","Not Sampled",IF(S868=U868,"Accurate Prediction","Inaccurate Prediction"))</f>
        <v>Not Sampled</v>
      </c>
    </row>
    <row r="869" spans="1:22" x14ac:dyDescent="0.25">
      <c r="A869" s="1">
        <v>867</v>
      </c>
      <c r="B869" s="1">
        <v>0</v>
      </c>
      <c r="C869" s="1">
        <f>LOOKUP(B869,Sheet2!$D$4:$E$9)</f>
        <v>0</v>
      </c>
      <c r="D869" s="1">
        <v>131</v>
      </c>
      <c r="E869" t="str">
        <f>LOOKUP(D869,Sheet2!$G$4:$H$9)</f>
        <v>126-150</v>
      </c>
      <c r="F869" s="1">
        <v>66</v>
      </c>
      <c r="G869" t="str">
        <f>LOOKUP(F869,Sheet2!$J$4:$K$8)</f>
        <v>60-69</v>
      </c>
      <c r="H869" s="1">
        <v>40</v>
      </c>
      <c r="I869" t="str">
        <f>LOOKUP(H869,Sheet2!$M$4:$N$8)</f>
        <v>40+</v>
      </c>
      <c r="J869" s="1">
        <v>0</v>
      </c>
      <c r="K869" t="str">
        <f>LOOKUP(J869,Sheet2!$P$4:$Q$9)</f>
        <v>Unknown</v>
      </c>
      <c r="L869" s="1">
        <v>34.299999999999997</v>
      </c>
      <c r="M869" t="str">
        <f>LOOKUP(L869,Sheet2!$S$4:$T$8)</f>
        <v>31-35</v>
      </c>
      <c r="N869" s="1">
        <v>0.19600000000000001</v>
      </c>
      <c r="O869" t="str">
        <f>LOOKUP(N869,Sheet2!$V$4:$W$7)</f>
        <v>0.0 - 0.249</v>
      </c>
      <c r="P869" s="1">
        <v>22</v>
      </c>
      <c r="Q869" t="str">
        <f>LOOKUP(P869,Sheet2!$Z$4:$AA$7)</f>
        <v>&lt;=25</v>
      </c>
      <c r="R869" s="1">
        <v>1</v>
      </c>
      <c r="S869" t="str">
        <f>IF(R869=1,"Positive","Negative")</f>
        <v>Positive</v>
      </c>
      <c r="T869" s="1" t="str">
        <f>IFERROR(VLOOKUP(A869,[1]diabetes_Recognition!$A:$B,2,FALSE),"Not Sampled")</f>
        <v>Not Sampled</v>
      </c>
      <c r="U869" t="str">
        <f>IF(T869=1,"Positive",(IF(T869=0,"Negative","Not Sampled")))</f>
        <v>Not Sampled</v>
      </c>
      <c r="V869" s="1" t="str">
        <f>IF(U869="Not Sampled","Not Sampled",IF(S869=U869,"Accurate Prediction","Inaccurate Prediction"))</f>
        <v>Not Sampled</v>
      </c>
    </row>
    <row r="870" spans="1:22" x14ac:dyDescent="0.25">
      <c r="A870" s="1">
        <v>868</v>
      </c>
      <c r="B870" s="1">
        <v>3</v>
      </c>
      <c r="C870" s="1" t="str">
        <f>LOOKUP(B870,Sheet2!$D$4:$E$9)</f>
        <v>3-4</v>
      </c>
      <c r="D870" s="1">
        <v>82</v>
      </c>
      <c r="E870" t="str">
        <f>LOOKUP(D870,Sheet2!$G$4:$H$9)</f>
        <v>1-99</v>
      </c>
      <c r="F870" s="1">
        <v>70</v>
      </c>
      <c r="G870" t="str">
        <f>LOOKUP(F870,Sheet2!$J$4:$K$8)</f>
        <v>70-79</v>
      </c>
      <c r="H870" s="1">
        <v>0</v>
      </c>
      <c r="I870" t="str">
        <f>LOOKUP(H870,Sheet2!$M$4:$N$8)</f>
        <v>Unknown</v>
      </c>
      <c r="J870" s="1">
        <v>0</v>
      </c>
      <c r="K870" t="str">
        <f>LOOKUP(J870,Sheet2!$P$4:$Q$9)</f>
        <v>Unknown</v>
      </c>
      <c r="L870" s="1">
        <v>21.1</v>
      </c>
      <c r="M870" t="str">
        <f>LOOKUP(L870,Sheet2!$S$4:$T$8)</f>
        <v>1-25</v>
      </c>
      <c r="N870" s="1">
        <v>0.38900000000000001</v>
      </c>
      <c r="O870" t="str">
        <f>LOOKUP(N870,Sheet2!$V$4:$W$7)</f>
        <v>0.25 - 0.39</v>
      </c>
      <c r="P870" s="1">
        <v>25</v>
      </c>
      <c r="Q870" t="str">
        <f>LOOKUP(P870,Sheet2!$Z$4:$AA$7)</f>
        <v>&lt;=25</v>
      </c>
      <c r="R870" s="1">
        <v>0</v>
      </c>
      <c r="S870" t="str">
        <f>IF(R870=1,"Positive","Negative")</f>
        <v>Negative</v>
      </c>
      <c r="T870" s="1">
        <f>IFERROR(VLOOKUP(A870,[1]diabetes_Recognition!$A:$B,2,FALSE),"Not Sampled")</f>
        <v>0</v>
      </c>
      <c r="U870" t="str">
        <f>IF(T870=1,"Positive",(IF(T870=0,"Negative","Not Sampled")))</f>
        <v>Negative</v>
      </c>
      <c r="V870" s="1" t="str">
        <f>IF(U870="Not Sampled","Not Sampled",IF(S870=U870,"Accurate Prediction","Inaccurate Prediction"))</f>
        <v>Accurate Prediction</v>
      </c>
    </row>
    <row r="871" spans="1:22" x14ac:dyDescent="0.25">
      <c r="A871" s="1">
        <v>869</v>
      </c>
      <c r="B871" s="1">
        <v>3</v>
      </c>
      <c r="C871" s="1" t="str">
        <f>LOOKUP(B871,Sheet2!$D$4:$E$9)</f>
        <v>3-4</v>
      </c>
      <c r="D871" s="1">
        <v>193</v>
      </c>
      <c r="E871" t="str">
        <f>LOOKUP(D871,Sheet2!$G$4:$H$9)</f>
        <v>176-200</v>
      </c>
      <c r="F871" s="1">
        <v>70</v>
      </c>
      <c r="G871" t="str">
        <f>LOOKUP(F871,Sheet2!$J$4:$K$8)</f>
        <v>70-79</v>
      </c>
      <c r="H871" s="1">
        <v>31</v>
      </c>
      <c r="I871" t="str">
        <f>LOOKUP(H871,Sheet2!$M$4:$N$8)</f>
        <v>30-39</v>
      </c>
      <c r="J871" s="1">
        <v>0</v>
      </c>
      <c r="K871" t="str">
        <f>LOOKUP(J871,Sheet2!$P$4:$Q$9)</f>
        <v>Unknown</v>
      </c>
      <c r="L871" s="1">
        <v>34.9</v>
      </c>
      <c r="M871" t="str">
        <f>LOOKUP(L871,Sheet2!$S$4:$T$8)</f>
        <v>31-35</v>
      </c>
      <c r="N871" s="1">
        <v>0.24099999999999999</v>
      </c>
      <c r="O871" t="str">
        <f>LOOKUP(N871,Sheet2!$V$4:$W$7)</f>
        <v>0.0 - 0.249</v>
      </c>
      <c r="P871" s="1">
        <v>25</v>
      </c>
      <c r="Q871" t="str">
        <f>LOOKUP(P871,Sheet2!$Z$4:$AA$7)</f>
        <v>&lt;=25</v>
      </c>
      <c r="R871" s="1">
        <v>1</v>
      </c>
      <c r="S871" t="str">
        <f>IF(R871=1,"Positive","Negative")</f>
        <v>Positive</v>
      </c>
      <c r="T871" s="1" t="str">
        <f>IFERROR(VLOOKUP(A871,[1]diabetes_Recognition!$A:$B,2,FALSE),"Not Sampled")</f>
        <v>Not Sampled</v>
      </c>
      <c r="U871" t="str">
        <f>IF(T871=1,"Positive",(IF(T871=0,"Negative","Not Sampled")))</f>
        <v>Not Sampled</v>
      </c>
      <c r="V871" s="1" t="str">
        <f>IF(U871="Not Sampled","Not Sampled",IF(S871=U871,"Accurate Prediction","Inaccurate Prediction"))</f>
        <v>Not Sampled</v>
      </c>
    </row>
    <row r="872" spans="1:22" x14ac:dyDescent="0.25">
      <c r="A872" s="1">
        <v>870</v>
      </c>
      <c r="B872" s="1">
        <v>4</v>
      </c>
      <c r="C872" s="1" t="str">
        <f>LOOKUP(B872,Sheet2!$D$4:$E$9)</f>
        <v>3-4</v>
      </c>
      <c r="D872" s="1">
        <v>95</v>
      </c>
      <c r="E872" t="str">
        <f>LOOKUP(D872,Sheet2!$G$4:$H$9)</f>
        <v>1-99</v>
      </c>
      <c r="F872" s="1">
        <v>64</v>
      </c>
      <c r="G872" t="str">
        <f>LOOKUP(F872,Sheet2!$J$4:$K$8)</f>
        <v>60-69</v>
      </c>
      <c r="H872" s="1">
        <v>0</v>
      </c>
      <c r="I872" t="str">
        <f>LOOKUP(H872,Sheet2!$M$4:$N$8)</f>
        <v>Unknown</v>
      </c>
      <c r="J872" s="1">
        <v>0</v>
      </c>
      <c r="K872" t="str">
        <f>LOOKUP(J872,Sheet2!$P$4:$Q$9)</f>
        <v>Unknown</v>
      </c>
      <c r="L872" s="1">
        <v>32</v>
      </c>
      <c r="M872" t="str">
        <f>LOOKUP(L872,Sheet2!$S$4:$T$8)</f>
        <v>31-35</v>
      </c>
      <c r="N872" s="1">
        <v>0.161</v>
      </c>
      <c r="O872" t="str">
        <f>LOOKUP(N872,Sheet2!$V$4:$W$7)</f>
        <v>0.0 - 0.249</v>
      </c>
      <c r="P872" s="1">
        <v>31</v>
      </c>
      <c r="Q872" t="str">
        <f>LOOKUP(P872,Sheet2!$Z$4:$AA$7)</f>
        <v>26-35</v>
      </c>
      <c r="R872" s="1">
        <v>1</v>
      </c>
      <c r="S872" t="str">
        <f>IF(R872=1,"Positive","Negative")</f>
        <v>Positive</v>
      </c>
      <c r="T872" s="1" t="str">
        <f>IFERROR(VLOOKUP(A872,[1]diabetes_Recognition!$A:$B,2,FALSE),"Not Sampled")</f>
        <v>Not Sampled</v>
      </c>
      <c r="U872" t="str">
        <f>IF(T872=1,"Positive",(IF(T872=0,"Negative","Not Sampled")))</f>
        <v>Not Sampled</v>
      </c>
      <c r="V872" s="1" t="str">
        <f>IF(U872="Not Sampled","Not Sampled",IF(S872=U872,"Accurate Prediction","Inaccurate Prediction"))</f>
        <v>Not Sampled</v>
      </c>
    </row>
    <row r="873" spans="1:22" x14ac:dyDescent="0.25">
      <c r="A873" s="1">
        <v>871</v>
      </c>
      <c r="B873" s="1">
        <v>6</v>
      </c>
      <c r="C873" s="1" t="str">
        <f>LOOKUP(B873,Sheet2!$D$4:$E$9)</f>
        <v>5-7</v>
      </c>
      <c r="D873" s="1">
        <v>137</v>
      </c>
      <c r="E873" t="str">
        <f>LOOKUP(D873,Sheet2!$G$4:$H$9)</f>
        <v>126-150</v>
      </c>
      <c r="F873" s="1">
        <v>61</v>
      </c>
      <c r="G873" t="str">
        <f>LOOKUP(F873,Sheet2!$J$4:$K$8)</f>
        <v>60-69</v>
      </c>
      <c r="H873" s="1">
        <v>0</v>
      </c>
      <c r="I873" t="str">
        <f>LOOKUP(H873,Sheet2!$M$4:$N$8)</f>
        <v>Unknown</v>
      </c>
      <c r="J873" s="1">
        <v>0</v>
      </c>
      <c r="K873" t="str">
        <f>LOOKUP(J873,Sheet2!$P$4:$Q$9)</f>
        <v>Unknown</v>
      </c>
      <c r="L873" s="1">
        <v>24.2</v>
      </c>
      <c r="M873" t="str">
        <f>LOOKUP(L873,Sheet2!$S$4:$T$8)</f>
        <v>1-25</v>
      </c>
      <c r="N873" s="1">
        <v>0.151</v>
      </c>
      <c r="O873" t="str">
        <f>LOOKUP(N873,Sheet2!$V$4:$W$7)</f>
        <v>0.0 - 0.249</v>
      </c>
      <c r="P873" s="1">
        <v>55</v>
      </c>
      <c r="Q873" t="str">
        <f>LOOKUP(P873,Sheet2!$Z$4:$AA$7)</f>
        <v>46+</v>
      </c>
      <c r="R873" s="1">
        <v>0</v>
      </c>
      <c r="S873" t="str">
        <f>IF(R873=1,"Positive","Negative")</f>
        <v>Negative</v>
      </c>
      <c r="T873" s="1" t="str">
        <f>IFERROR(VLOOKUP(A873,[1]diabetes_Recognition!$A:$B,2,FALSE),"Not Sampled")</f>
        <v>Not Sampled</v>
      </c>
      <c r="U873" t="str">
        <f>IF(T873=1,"Positive",(IF(T873=0,"Negative","Not Sampled")))</f>
        <v>Not Sampled</v>
      </c>
      <c r="V873" s="1" t="str">
        <f>IF(U873="Not Sampled","Not Sampled",IF(S873=U873,"Accurate Prediction","Inaccurate Prediction"))</f>
        <v>Not Sampled</v>
      </c>
    </row>
    <row r="874" spans="1:22" x14ac:dyDescent="0.25">
      <c r="A874" s="1">
        <v>872</v>
      </c>
      <c r="B874" s="1">
        <v>5</v>
      </c>
      <c r="C874" s="1" t="str">
        <f>LOOKUP(B874,Sheet2!$D$4:$E$9)</f>
        <v>5-7</v>
      </c>
      <c r="D874" s="1">
        <v>136</v>
      </c>
      <c r="E874" t="str">
        <f>LOOKUP(D874,Sheet2!$G$4:$H$9)</f>
        <v>126-150</v>
      </c>
      <c r="F874" s="1">
        <v>84</v>
      </c>
      <c r="G874" t="str">
        <f>LOOKUP(F874,Sheet2!$J$4:$K$8)</f>
        <v>80+</v>
      </c>
      <c r="H874" s="1">
        <v>41</v>
      </c>
      <c r="I874" t="str">
        <f>LOOKUP(H874,Sheet2!$M$4:$N$8)</f>
        <v>40+</v>
      </c>
      <c r="J874" s="1">
        <v>88</v>
      </c>
      <c r="K874" t="str">
        <f>LOOKUP(J874,Sheet2!$P$4:$Q$9)</f>
        <v>1-99</v>
      </c>
      <c r="L874" s="1">
        <v>35</v>
      </c>
      <c r="M874" t="str">
        <f>LOOKUP(L874,Sheet2!$S$4:$T$8)</f>
        <v>31-35</v>
      </c>
      <c r="N874" s="1">
        <v>0.28599999999999998</v>
      </c>
      <c r="O874" t="str">
        <f>LOOKUP(N874,Sheet2!$V$4:$W$7)</f>
        <v>0.25 - 0.39</v>
      </c>
      <c r="P874" s="1">
        <v>35</v>
      </c>
      <c r="Q874" t="str">
        <f>LOOKUP(P874,Sheet2!$Z$4:$AA$7)</f>
        <v>26-35</v>
      </c>
      <c r="R874" s="1">
        <v>1</v>
      </c>
      <c r="S874" t="str">
        <f>IF(R874=1,"Positive","Negative")</f>
        <v>Positive</v>
      </c>
      <c r="T874" s="1">
        <f>IFERROR(VLOOKUP(A874,[1]diabetes_Recognition!$A:$B,2,FALSE),"Not Sampled")</f>
        <v>0</v>
      </c>
      <c r="U874" t="str">
        <f>IF(T874=1,"Positive",(IF(T874=0,"Negative","Not Sampled")))</f>
        <v>Negative</v>
      </c>
      <c r="V874" s="1" t="str">
        <f>IF(U874="Not Sampled","Not Sampled",IF(S874=U874,"Accurate Prediction","Inaccurate Prediction"))</f>
        <v>Inaccurate Prediction</v>
      </c>
    </row>
    <row r="875" spans="1:22" x14ac:dyDescent="0.25">
      <c r="A875" s="1">
        <v>873</v>
      </c>
      <c r="B875" s="1">
        <v>9</v>
      </c>
      <c r="C875" s="1" t="str">
        <f>LOOKUP(B875,Sheet2!$D$4:$E$9)</f>
        <v>8+</v>
      </c>
      <c r="D875" s="1">
        <v>72</v>
      </c>
      <c r="E875" t="str">
        <f>LOOKUP(D875,Sheet2!$G$4:$H$9)</f>
        <v>1-99</v>
      </c>
      <c r="F875" s="1">
        <v>78</v>
      </c>
      <c r="G875" t="str">
        <f>LOOKUP(F875,Sheet2!$J$4:$K$8)</f>
        <v>70-79</v>
      </c>
      <c r="H875" s="1">
        <v>25</v>
      </c>
      <c r="I875" t="str">
        <f>LOOKUP(H875,Sheet2!$M$4:$N$8)</f>
        <v>10-30</v>
      </c>
      <c r="J875" s="1">
        <v>0</v>
      </c>
      <c r="K875" t="str">
        <f>LOOKUP(J875,Sheet2!$P$4:$Q$9)</f>
        <v>Unknown</v>
      </c>
      <c r="L875" s="1">
        <v>31.6</v>
      </c>
      <c r="M875" t="str">
        <f>LOOKUP(L875,Sheet2!$S$4:$T$8)</f>
        <v>31-35</v>
      </c>
      <c r="N875" s="1">
        <v>0.28000000000000003</v>
      </c>
      <c r="O875" t="str">
        <f>LOOKUP(N875,Sheet2!$V$4:$W$7)</f>
        <v>0.25 - 0.39</v>
      </c>
      <c r="P875" s="1">
        <v>38</v>
      </c>
      <c r="Q875" t="str">
        <f>LOOKUP(P875,Sheet2!$Z$4:$AA$7)</f>
        <v>36-45</v>
      </c>
      <c r="R875" s="1">
        <v>0</v>
      </c>
      <c r="S875" t="str">
        <f>IF(R875=1,"Positive","Negative")</f>
        <v>Negative</v>
      </c>
      <c r="T875" s="1" t="str">
        <f>IFERROR(VLOOKUP(A875,[1]diabetes_Recognition!$A:$B,2,FALSE),"Not Sampled")</f>
        <v>Not Sampled</v>
      </c>
      <c r="U875" t="str">
        <f>IF(T875=1,"Positive",(IF(T875=0,"Negative","Not Sampled")))</f>
        <v>Not Sampled</v>
      </c>
      <c r="V875" s="1" t="str">
        <f>IF(U875="Not Sampled","Not Sampled",IF(S875=U875,"Accurate Prediction","Inaccurate Prediction"))</f>
        <v>Not Sampled</v>
      </c>
    </row>
    <row r="876" spans="1:22" x14ac:dyDescent="0.25">
      <c r="A876" s="1">
        <v>874</v>
      </c>
      <c r="B876" s="1">
        <v>5</v>
      </c>
      <c r="C876" s="1" t="str">
        <f>LOOKUP(B876,Sheet2!$D$4:$E$9)</f>
        <v>5-7</v>
      </c>
      <c r="D876" s="1">
        <v>168</v>
      </c>
      <c r="E876" t="str">
        <f>LOOKUP(D876,Sheet2!$G$4:$H$9)</f>
        <v>151-175</v>
      </c>
      <c r="F876" s="1">
        <v>64</v>
      </c>
      <c r="G876" t="str">
        <f>LOOKUP(F876,Sheet2!$J$4:$K$8)</f>
        <v>60-69</v>
      </c>
      <c r="H876" s="1">
        <v>0</v>
      </c>
      <c r="I876" t="str">
        <f>LOOKUP(H876,Sheet2!$M$4:$N$8)</f>
        <v>Unknown</v>
      </c>
      <c r="J876" s="1">
        <v>0</v>
      </c>
      <c r="K876" t="str">
        <f>LOOKUP(J876,Sheet2!$P$4:$Q$9)</f>
        <v>Unknown</v>
      </c>
      <c r="L876" s="1">
        <v>32.9</v>
      </c>
      <c r="M876" t="str">
        <f>LOOKUP(L876,Sheet2!$S$4:$T$8)</f>
        <v>31-35</v>
      </c>
      <c r="N876" s="1">
        <v>0.13500000000000001</v>
      </c>
      <c r="O876" t="str">
        <f>LOOKUP(N876,Sheet2!$V$4:$W$7)</f>
        <v>0.0 - 0.249</v>
      </c>
      <c r="P876" s="1">
        <v>41</v>
      </c>
      <c r="Q876" t="str">
        <f>LOOKUP(P876,Sheet2!$Z$4:$AA$7)</f>
        <v>36-45</v>
      </c>
      <c r="R876" s="1">
        <v>1</v>
      </c>
      <c r="S876" t="str">
        <f>IF(R876=1,"Positive","Negative")</f>
        <v>Positive</v>
      </c>
      <c r="T876" s="1">
        <f>IFERROR(VLOOKUP(A876,[1]diabetes_Recognition!$A:$B,2,FALSE),"Not Sampled")</f>
        <v>1</v>
      </c>
      <c r="U876" t="str">
        <f>IF(T876=1,"Positive",(IF(T876=0,"Negative","Not Sampled")))</f>
        <v>Positive</v>
      </c>
      <c r="V876" s="1" t="str">
        <f>IF(U876="Not Sampled","Not Sampled",IF(S876=U876,"Accurate Prediction","Inaccurate Prediction"))</f>
        <v>Accurate Prediction</v>
      </c>
    </row>
    <row r="877" spans="1:22" x14ac:dyDescent="0.25">
      <c r="A877" s="1">
        <v>875</v>
      </c>
      <c r="B877" s="1">
        <v>2</v>
      </c>
      <c r="C877" s="1">
        <f>LOOKUP(B877,Sheet2!$D$4:$E$9)</f>
        <v>2</v>
      </c>
      <c r="D877" s="1">
        <v>123</v>
      </c>
      <c r="E877" t="str">
        <f>LOOKUP(D877,Sheet2!$G$4:$H$9)</f>
        <v>100-125</v>
      </c>
      <c r="F877" s="1">
        <v>48</v>
      </c>
      <c r="G877" t="str">
        <f>LOOKUP(F877,Sheet2!$J$4:$K$8)</f>
        <v>1-59</v>
      </c>
      <c r="H877" s="1">
        <v>32</v>
      </c>
      <c r="I877" t="str">
        <f>LOOKUP(H877,Sheet2!$M$4:$N$8)</f>
        <v>30-39</v>
      </c>
      <c r="J877" s="1">
        <v>165</v>
      </c>
      <c r="K877" t="str">
        <f>LOOKUP(J877,Sheet2!$P$4:$Q$9)</f>
        <v>100-199</v>
      </c>
      <c r="L877" s="1">
        <v>42.1</v>
      </c>
      <c r="M877" t="str">
        <f>LOOKUP(L877,Sheet2!$S$4:$T$8)</f>
        <v>36+</v>
      </c>
      <c r="N877" s="1">
        <v>0.52</v>
      </c>
      <c r="O877" t="str">
        <f>LOOKUP(N877,Sheet2!$V$4:$W$7)</f>
        <v>0.4 - 0.69</v>
      </c>
      <c r="P877" s="1">
        <v>26</v>
      </c>
      <c r="Q877" t="str">
        <f>LOOKUP(P877,Sheet2!$Z$4:$AA$7)</f>
        <v>26-35</v>
      </c>
      <c r="R877" s="1">
        <v>0</v>
      </c>
      <c r="S877" t="str">
        <f>IF(R877=1,"Positive","Negative")</f>
        <v>Negative</v>
      </c>
      <c r="T877" s="1" t="str">
        <f>IFERROR(VLOOKUP(A877,[1]diabetes_Recognition!$A:$B,2,FALSE),"Not Sampled")</f>
        <v>Not Sampled</v>
      </c>
      <c r="U877" t="str">
        <f>IF(T877=1,"Positive",(IF(T877=0,"Negative","Not Sampled")))</f>
        <v>Not Sampled</v>
      </c>
      <c r="V877" s="1" t="str">
        <f>IF(U877="Not Sampled","Not Sampled",IF(S877=U877,"Accurate Prediction","Inaccurate Prediction"))</f>
        <v>Not Sampled</v>
      </c>
    </row>
    <row r="878" spans="1:22" x14ac:dyDescent="0.25">
      <c r="A878" s="1">
        <v>876</v>
      </c>
      <c r="B878" s="1">
        <v>4</v>
      </c>
      <c r="C878" s="1" t="str">
        <f>LOOKUP(B878,Sheet2!$D$4:$E$9)</f>
        <v>3-4</v>
      </c>
      <c r="D878" s="1">
        <v>115</v>
      </c>
      <c r="E878" t="str">
        <f>LOOKUP(D878,Sheet2!$G$4:$H$9)</f>
        <v>100-125</v>
      </c>
      <c r="F878" s="1">
        <v>72</v>
      </c>
      <c r="G878" t="str">
        <f>LOOKUP(F878,Sheet2!$J$4:$K$8)</f>
        <v>70-79</v>
      </c>
      <c r="H878" s="1">
        <v>0</v>
      </c>
      <c r="I878" t="str">
        <f>LOOKUP(H878,Sheet2!$M$4:$N$8)</f>
        <v>Unknown</v>
      </c>
      <c r="J878" s="1">
        <v>0</v>
      </c>
      <c r="K878" t="str">
        <f>LOOKUP(J878,Sheet2!$P$4:$Q$9)</f>
        <v>Unknown</v>
      </c>
      <c r="L878" s="1">
        <v>28.9</v>
      </c>
      <c r="M878" t="str">
        <f>LOOKUP(L878,Sheet2!$S$4:$T$8)</f>
        <v>26-30</v>
      </c>
      <c r="N878" s="1">
        <v>0.376</v>
      </c>
      <c r="O878" t="str">
        <f>LOOKUP(N878,Sheet2!$V$4:$W$7)</f>
        <v>0.25 - 0.39</v>
      </c>
      <c r="P878" s="1">
        <v>46</v>
      </c>
      <c r="Q878" t="str">
        <f>LOOKUP(P878,Sheet2!$Z$4:$AA$7)</f>
        <v>46+</v>
      </c>
      <c r="R878" s="1">
        <v>1</v>
      </c>
      <c r="S878" t="str">
        <f>IF(R878=1,"Positive","Negative")</f>
        <v>Positive</v>
      </c>
      <c r="T878" s="1" t="str">
        <f>IFERROR(VLOOKUP(A878,[1]diabetes_Recognition!$A:$B,2,FALSE),"Not Sampled")</f>
        <v>Not Sampled</v>
      </c>
      <c r="U878" t="str">
        <f>IF(T878=1,"Positive",(IF(T878=0,"Negative","Not Sampled")))</f>
        <v>Not Sampled</v>
      </c>
      <c r="V878" s="1" t="str">
        <f>IF(U878="Not Sampled","Not Sampled",IF(S878=U878,"Accurate Prediction","Inaccurate Prediction"))</f>
        <v>Not Sampled</v>
      </c>
    </row>
    <row r="879" spans="1:22" x14ac:dyDescent="0.25">
      <c r="A879" s="1">
        <v>877</v>
      </c>
      <c r="B879" s="1">
        <v>0</v>
      </c>
      <c r="C879" s="1">
        <f>LOOKUP(B879,Sheet2!$D$4:$E$9)</f>
        <v>0</v>
      </c>
      <c r="D879" s="1">
        <v>101</v>
      </c>
      <c r="E879" t="str">
        <f>LOOKUP(D879,Sheet2!$G$4:$H$9)</f>
        <v>100-125</v>
      </c>
      <c r="F879" s="1">
        <v>62</v>
      </c>
      <c r="G879" t="str">
        <f>LOOKUP(F879,Sheet2!$J$4:$K$8)</f>
        <v>60-69</v>
      </c>
      <c r="H879" s="1">
        <v>0</v>
      </c>
      <c r="I879" t="str">
        <f>LOOKUP(H879,Sheet2!$M$4:$N$8)</f>
        <v>Unknown</v>
      </c>
      <c r="J879" s="1">
        <v>0</v>
      </c>
      <c r="K879" t="str">
        <f>LOOKUP(J879,Sheet2!$P$4:$Q$9)</f>
        <v>Unknown</v>
      </c>
      <c r="L879" s="1">
        <v>21.9</v>
      </c>
      <c r="M879" t="str">
        <f>LOOKUP(L879,Sheet2!$S$4:$T$8)</f>
        <v>1-25</v>
      </c>
      <c r="N879" s="1">
        <v>0.33600000000000002</v>
      </c>
      <c r="O879" t="str">
        <f>LOOKUP(N879,Sheet2!$V$4:$W$7)</f>
        <v>0.25 - 0.39</v>
      </c>
      <c r="P879" s="1">
        <v>25</v>
      </c>
      <c r="Q879" t="str">
        <f>LOOKUP(P879,Sheet2!$Z$4:$AA$7)</f>
        <v>&lt;=25</v>
      </c>
      <c r="R879" s="1">
        <v>0</v>
      </c>
      <c r="S879" t="str">
        <f>IF(R879=1,"Positive","Negative")</f>
        <v>Negative</v>
      </c>
      <c r="T879" s="1">
        <f>IFERROR(VLOOKUP(A879,[1]diabetes_Recognition!$A:$B,2,FALSE),"Not Sampled")</f>
        <v>0</v>
      </c>
      <c r="U879" t="str">
        <f>IF(T879=1,"Positive",(IF(T879=0,"Negative","Not Sampled")))</f>
        <v>Negative</v>
      </c>
      <c r="V879" s="1" t="str">
        <f>IF(U879="Not Sampled","Not Sampled",IF(S879=U879,"Accurate Prediction","Inaccurate Prediction"))</f>
        <v>Accurate Prediction</v>
      </c>
    </row>
    <row r="880" spans="1:22" x14ac:dyDescent="0.25">
      <c r="A880" s="1">
        <v>878</v>
      </c>
      <c r="B880" s="1">
        <v>8</v>
      </c>
      <c r="C880" s="1" t="str">
        <f>LOOKUP(B880,Sheet2!$D$4:$E$9)</f>
        <v>8+</v>
      </c>
      <c r="D880" s="1">
        <v>197</v>
      </c>
      <c r="E880" t="str">
        <f>LOOKUP(D880,Sheet2!$G$4:$H$9)</f>
        <v>176-200</v>
      </c>
      <c r="F880" s="1">
        <v>74</v>
      </c>
      <c r="G880" t="str">
        <f>LOOKUP(F880,Sheet2!$J$4:$K$8)</f>
        <v>70-79</v>
      </c>
      <c r="H880" s="1">
        <v>0</v>
      </c>
      <c r="I880" t="str">
        <f>LOOKUP(H880,Sheet2!$M$4:$N$8)</f>
        <v>Unknown</v>
      </c>
      <c r="J880" s="1">
        <v>0</v>
      </c>
      <c r="K880" t="str">
        <f>LOOKUP(J880,Sheet2!$P$4:$Q$9)</f>
        <v>Unknown</v>
      </c>
      <c r="L880" s="1">
        <v>25.9</v>
      </c>
      <c r="M880" t="str">
        <f>LOOKUP(L880,Sheet2!$S$4:$T$8)</f>
        <v>1-25</v>
      </c>
      <c r="N880" s="1">
        <v>1.1910000000000001</v>
      </c>
      <c r="O880" t="str">
        <f>LOOKUP(N880,Sheet2!$V$4:$W$7)</f>
        <v>0.7+</v>
      </c>
      <c r="P880" s="1">
        <v>39</v>
      </c>
      <c r="Q880" t="str">
        <f>LOOKUP(P880,Sheet2!$Z$4:$AA$7)</f>
        <v>36-45</v>
      </c>
      <c r="R880" s="1">
        <v>1</v>
      </c>
      <c r="S880" t="str">
        <f>IF(R880=1,"Positive","Negative")</f>
        <v>Positive</v>
      </c>
      <c r="T880" s="1" t="str">
        <f>IFERROR(VLOOKUP(A880,[1]diabetes_Recognition!$A:$B,2,FALSE),"Not Sampled")</f>
        <v>Not Sampled</v>
      </c>
      <c r="U880" t="str">
        <f>IF(T880=1,"Positive",(IF(T880=0,"Negative","Not Sampled")))</f>
        <v>Not Sampled</v>
      </c>
      <c r="V880" s="1" t="str">
        <f>IF(U880="Not Sampled","Not Sampled",IF(S880=U880,"Accurate Prediction","Inaccurate Prediction"))</f>
        <v>Not Sampled</v>
      </c>
    </row>
    <row r="881" spans="1:22" x14ac:dyDescent="0.25">
      <c r="A881" s="1">
        <v>879</v>
      </c>
      <c r="B881" s="1">
        <v>1</v>
      </c>
      <c r="C881" s="1">
        <f>LOOKUP(B881,Sheet2!$D$4:$E$9)</f>
        <v>1</v>
      </c>
      <c r="D881" s="1">
        <v>172</v>
      </c>
      <c r="E881" t="str">
        <f>LOOKUP(D881,Sheet2!$G$4:$H$9)</f>
        <v>151-175</v>
      </c>
      <c r="F881" s="1">
        <v>68</v>
      </c>
      <c r="G881" t="str">
        <f>LOOKUP(F881,Sheet2!$J$4:$K$8)</f>
        <v>60-69</v>
      </c>
      <c r="H881" s="1">
        <v>49</v>
      </c>
      <c r="I881" t="str">
        <f>LOOKUP(H881,Sheet2!$M$4:$N$8)</f>
        <v>40+</v>
      </c>
      <c r="J881" s="1">
        <v>579</v>
      </c>
      <c r="K881" t="str">
        <f>LOOKUP(J881,Sheet2!$P$4:$Q$9)</f>
        <v>500+</v>
      </c>
      <c r="L881" s="1">
        <v>42.4</v>
      </c>
      <c r="M881" t="str">
        <f>LOOKUP(L881,Sheet2!$S$4:$T$8)</f>
        <v>36+</v>
      </c>
      <c r="N881" s="1">
        <v>0.70199999999999996</v>
      </c>
      <c r="O881" t="str">
        <f>LOOKUP(N881,Sheet2!$V$4:$W$7)</f>
        <v>0.7+</v>
      </c>
      <c r="P881" s="1">
        <v>28</v>
      </c>
      <c r="Q881" t="str">
        <f>LOOKUP(P881,Sheet2!$Z$4:$AA$7)</f>
        <v>26-35</v>
      </c>
      <c r="R881" s="1">
        <v>1</v>
      </c>
      <c r="S881" t="str">
        <f>IF(R881=1,"Positive","Negative")</f>
        <v>Positive</v>
      </c>
      <c r="T881" s="1" t="str">
        <f>IFERROR(VLOOKUP(A881,[1]diabetes_Recognition!$A:$B,2,FALSE),"Not Sampled")</f>
        <v>Not Sampled</v>
      </c>
      <c r="U881" t="str">
        <f>IF(T881=1,"Positive",(IF(T881=0,"Negative","Not Sampled")))</f>
        <v>Not Sampled</v>
      </c>
      <c r="V881" s="1" t="str">
        <f>IF(U881="Not Sampled","Not Sampled",IF(S881=U881,"Accurate Prediction","Inaccurate Prediction"))</f>
        <v>Not Sampled</v>
      </c>
    </row>
    <row r="882" spans="1:22" x14ac:dyDescent="0.25">
      <c r="A882" s="1">
        <v>880</v>
      </c>
      <c r="B882" s="1">
        <v>6</v>
      </c>
      <c r="C882" s="1" t="str">
        <f>LOOKUP(B882,Sheet2!$D$4:$E$9)</f>
        <v>5-7</v>
      </c>
      <c r="D882" s="1">
        <v>102</v>
      </c>
      <c r="E882" t="str">
        <f>LOOKUP(D882,Sheet2!$G$4:$H$9)</f>
        <v>100-125</v>
      </c>
      <c r="F882" s="1">
        <v>90</v>
      </c>
      <c r="G882" t="str">
        <f>LOOKUP(F882,Sheet2!$J$4:$K$8)</f>
        <v>80+</v>
      </c>
      <c r="H882" s="1">
        <v>39</v>
      </c>
      <c r="I882" t="str">
        <f>LOOKUP(H882,Sheet2!$M$4:$N$8)</f>
        <v>30-39</v>
      </c>
      <c r="J882" s="1">
        <v>0</v>
      </c>
      <c r="K882" t="str">
        <f>LOOKUP(J882,Sheet2!$P$4:$Q$9)</f>
        <v>Unknown</v>
      </c>
      <c r="L882" s="1">
        <v>35.700000000000003</v>
      </c>
      <c r="M882" t="str">
        <f>LOOKUP(L882,Sheet2!$S$4:$T$8)</f>
        <v>31-35</v>
      </c>
      <c r="N882" s="1">
        <v>0.67400000000000004</v>
      </c>
      <c r="O882" t="str">
        <f>LOOKUP(N882,Sheet2!$V$4:$W$7)</f>
        <v>0.4 - 0.69</v>
      </c>
      <c r="P882" s="1">
        <v>28</v>
      </c>
      <c r="Q882" t="str">
        <f>LOOKUP(P882,Sheet2!$Z$4:$AA$7)</f>
        <v>26-35</v>
      </c>
      <c r="R882" s="1">
        <v>0</v>
      </c>
      <c r="S882" t="str">
        <f>IF(R882=1,"Positive","Negative")</f>
        <v>Negative</v>
      </c>
      <c r="T882" s="1" t="str">
        <f>IFERROR(VLOOKUP(A882,[1]diabetes_Recognition!$A:$B,2,FALSE),"Not Sampled")</f>
        <v>Not Sampled</v>
      </c>
      <c r="U882" t="str">
        <f>IF(T882=1,"Positive",(IF(T882=0,"Negative","Not Sampled")))</f>
        <v>Not Sampled</v>
      </c>
      <c r="V882" s="1" t="str">
        <f>IF(U882="Not Sampled","Not Sampled",IF(S882=U882,"Accurate Prediction","Inaccurate Prediction"))</f>
        <v>Not Sampled</v>
      </c>
    </row>
    <row r="883" spans="1:22" x14ac:dyDescent="0.25">
      <c r="A883" s="1">
        <v>881</v>
      </c>
      <c r="B883" s="1">
        <v>1</v>
      </c>
      <c r="C883" s="1">
        <f>LOOKUP(B883,Sheet2!$D$4:$E$9)</f>
        <v>1</v>
      </c>
      <c r="D883" s="1">
        <v>112</v>
      </c>
      <c r="E883" t="str">
        <f>LOOKUP(D883,Sheet2!$G$4:$H$9)</f>
        <v>100-125</v>
      </c>
      <c r="F883" s="1">
        <v>72</v>
      </c>
      <c r="G883" t="str">
        <f>LOOKUP(F883,Sheet2!$J$4:$K$8)</f>
        <v>70-79</v>
      </c>
      <c r="H883" s="1">
        <v>30</v>
      </c>
      <c r="I883" t="str">
        <f>LOOKUP(H883,Sheet2!$M$4:$N$8)</f>
        <v>30-39</v>
      </c>
      <c r="J883" s="1">
        <v>176</v>
      </c>
      <c r="K883" t="str">
        <f>LOOKUP(J883,Sheet2!$P$4:$Q$9)</f>
        <v>100-199</v>
      </c>
      <c r="L883" s="1">
        <v>34.4</v>
      </c>
      <c r="M883" t="str">
        <f>LOOKUP(L883,Sheet2!$S$4:$T$8)</f>
        <v>31-35</v>
      </c>
      <c r="N883" s="1">
        <v>0.52800000000000002</v>
      </c>
      <c r="O883" t="str">
        <f>LOOKUP(N883,Sheet2!$V$4:$W$7)</f>
        <v>0.4 - 0.69</v>
      </c>
      <c r="P883" s="1">
        <v>25</v>
      </c>
      <c r="Q883" t="str">
        <f>LOOKUP(P883,Sheet2!$Z$4:$AA$7)</f>
        <v>&lt;=25</v>
      </c>
      <c r="R883" s="1">
        <v>0</v>
      </c>
      <c r="S883" t="str">
        <f>IF(R883=1,"Positive","Negative")</f>
        <v>Negative</v>
      </c>
      <c r="T883" s="1">
        <f>IFERROR(VLOOKUP(A883,[1]diabetes_Recognition!$A:$B,2,FALSE),"Not Sampled")</f>
        <v>0</v>
      </c>
      <c r="U883" t="str">
        <f>IF(T883=1,"Positive",(IF(T883=0,"Negative","Not Sampled")))</f>
        <v>Negative</v>
      </c>
      <c r="V883" s="1" t="str">
        <f>IF(U883="Not Sampled","Not Sampled",IF(S883=U883,"Accurate Prediction","Inaccurate Prediction"))</f>
        <v>Accurate Prediction</v>
      </c>
    </row>
    <row r="884" spans="1:22" x14ac:dyDescent="0.25">
      <c r="A884" s="1">
        <v>882</v>
      </c>
      <c r="B884" s="1">
        <v>1</v>
      </c>
      <c r="C884" s="1">
        <f>LOOKUP(B884,Sheet2!$D$4:$E$9)</f>
        <v>1</v>
      </c>
      <c r="D884" s="1">
        <v>143</v>
      </c>
      <c r="E884" t="str">
        <f>LOOKUP(D884,Sheet2!$G$4:$H$9)</f>
        <v>126-150</v>
      </c>
      <c r="F884" s="1">
        <v>84</v>
      </c>
      <c r="G884" t="str">
        <f>LOOKUP(F884,Sheet2!$J$4:$K$8)</f>
        <v>80+</v>
      </c>
      <c r="H884" s="1">
        <v>23</v>
      </c>
      <c r="I884" t="str">
        <f>LOOKUP(H884,Sheet2!$M$4:$N$8)</f>
        <v>10-30</v>
      </c>
      <c r="J884" s="1">
        <v>310</v>
      </c>
      <c r="K884" t="str">
        <f>LOOKUP(J884,Sheet2!$P$4:$Q$9)</f>
        <v>300-499</v>
      </c>
      <c r="L884" s="1">
        <v>42.4</v>
      </c>
      <c r="M884" t="str">
        <f>LOOKUP(L884,Sheet2!$S$4:$T$8)</f>
        <v>36+</v>
      </c>
      <c r="N884" s="1">
        <v>1.0760000000000001</v>
      </c>
      <c r="O884" t="str">
        <f>LOOKUP(N884,Sheet2!$V$4:$W$7)</f>
        <v>0.7+</v>
      </c>
      <c r="P884" s="1">
        <v>22</v>
      </c>
      <c r="Q884" t="str">
        <f>LOOKUP(P884,Sheet2!$Z$4:$AA$7)</f>
        <v>&lt;=25</v>
      </c>
      <c r="R884" s="1">
        <v>0</v>
      </c>
      <c r="S884" t="str">
        <f>IF(R884=1,"Positive","Negative")</f>
        <v>Negative</v>
      </c>
      <c r="T884" s="1" t="str">
        <f>IFERROR(VLOOKUP(A884,[1]diabetes_Recognition!$A:$B,2,FALSE),"Not Sampled")</f>
        <v>Not Sampled</v>
      </c>
      <c r="U884" t="str">
        <f>IF(T884=1,"Positive",(IF(T884=0,"Negative","Not Sampled")))</f>
        <v>Not Sampled</v>
      </c>
      <c r="V884" s="1" t="str">
        <f>IF(U884="Not Sampled","Not Sampled",IF(S884=U884,"Accurate Prediction","Inaccurate Prediction"))</f>
        <v>Not Sampled</v>
      </c>
    </row>
    <row r="885" spans="1:22" x14ac:dyDescent="0.25">
      <c r="A885" s="1">
        <v>883</v>
      </c>
      <c r="B885" s="1">
        <v>1</v>
      </c>
      <c r="C885" s="1">
        <f>LOOKUP(B885,Sheet2!$D$4:$E$9)</f>
        <v>1</v>
      </c>
      <c r="D885" s="1">
        <v>143</v>
      </c>
      <c r="E885" t="str">
        <f>LOOKUP(D885,Sheet2!$G$4:$H$9)</f>
        <v>126-150</v>
      </c>
      <c r="F885" s="1">
        <v>74</v>
      </c>
      <c r="G885" t="str">
        <f>LOOKUP(F885,Sheet2!$J$4:$K$8)</f>
        <v>70-79</v>
      </c>
      <c r="H885" s="1">
        <v>22</v>
      </c>
      <c r="I885" t="str">
        <f>LOOKUP(H885,Sheet2!$M$4:$N$8)</f>
        <v>10-30</v>
      </c>
      <c r="J885" s="1">
        <v>61</v>
      </c>
      <c r="K885" t="str">
        <f>LOOKUP(J885,Sheet2!$P$4:$Q$9)</f>
        <v>1-99</v>
      </c>
      <c r="L885" s="1">
        <v>26.2</v>
      </c>
      <c r="M885" t="str">
        <f>LOOKUP(L885,Sheet2!$S$4:$T$8)</f>
        <v>26-30</v>
      </c>
      <c r="N885" s="1">
        <v>0.25600000000000001</v>
      </c>
      <c r="O885" t="str">
        <f>LOOKUP(N885,Sheet2!$V$4:$W$7)</f>
        <v>0.25 - 0.39</v>
      </c>
      <c r="P885" s="1">
        <v>21</v>
      </c>
      <c r="Q885" t="str">
        <f>LOOKUP(P885,Sheet2!$Z$4:$AA$7)</f>
        <v>&lt;=25</v>
      </c>
      <c r="R885" s="1">
        <v>0</v>
      </c>
      <c r="S885" t="str">
        <f>IF(R885=1,"Positive","Negative")</f>
        <v>Negative</v>
      </c>
      <c r="T885" s="1" t="str">
        <f>IFERROR(VLOOKUP(A885,[1]diabetes_Recognition!$A:$B,2,FALSE),"Not Sampled")</f>
        <v>Not Sampled</v>
      </c>
      <c r="U885" t="str">
        <f>IF(T885=1,"Positive",(IF(T885=0,"Negative","Not Sampled")))</f>
        <v>Not Sampled</v>
      </c>
      <c r="V885" s="1" t="str">
        <f>IF(U885="Not Sampled","Not Sampled",IF(S885=U885,"Accurate Prediction","Inaccurate Prediction"))</f>
        <v>Not Sampled</v>
      </c>
    </row>
    <row r="886" spans="1:22" x14ac:dyDescent="0.25">
      <c r="A886" s="1">
        <v>884</v>
      </c>
      <c r="B886" s="1">
        <v>0</v>
      </c>
      <c r="C886" s="1">
        <f>LOOKUP(B886,Sheet2!$D$4:$E$9)</f>
        <v>0</v>
      </c>
      <c r="D886" s="1">
        <v>138</v>
      </c>
      <c r="E886" t="str">
        <f>LOOKUP(D886,Sheet2!$G$4:$H$9)</f>
        <v>126-150</v>
      </c>
      <c r="F886" s="1">
        <v>60</v>
      </c>
      <c r="G886" t="str">
        <f>LOOKUP(F886,Sheet2!$J$4:$K$8)</f>
        <v>60-69</v>
      </c>
      <c r="H886" s="1">
        <v>35</v>
      </c>
      <c r="I886" t="str">
        <f>LOOKUP(H886,Sheet2!$M$4:$N$8)</f>
        <v>30-39</v>
      </c>
      <c r="J886" s="1">
        <v>167</v>
      </c>
      <c r="K886" t="str">
        <f>LOOKUP(J886,Sheet2!$P$4:$Q$9)</f>
        <v>100-199</v>
      </c>
      <c r="L886" s="1">
        <v>34.6</v>
      </c>
      <c r="M886" t="str">
        <f>LOOKUP(L886,Sheet2!$S$4:$T$8)</f>
        <v>31-35</v>
      </c>
      <c r="N886" s="1">
        <v>0.53400000000000003</v>
      </c>
      <c r="O886" t="str">
        <f>LOOKUP(N886,Sheet2!$V$4:$W$7)</f>
        <v>0.4 - 0.69</v>
      </c>
      <c r="P886" s="1">
        <v>21</v>
      </c>
      <c r="Q886" t="str">
        <f>LOOKUP(P886,Sheet2!$Z$4:$AA$7)</f>
        <v>&lt;=25</v>
      </c>
      <c r="R886" s="1">
        <v>1</v>
      </c>
      <c r="S886" t="str">
        <f>IF(R886=1,"Positive","Negative")</f>
        <v>Positive</v>
      </c>
      <c r="T886" s="1" t="str">
        <f>IFERROR(VLOOKUP(A886,[1]diabetes_Recognition!$A:$B,2,FALSE),"Not Sampled")</f>
        <v>Not Sampled</v>
      </c>
      <c r="U886" t="str">
        <f>IF(T886=1,"Positive",(IF(T886=0,"Negative","Not Sampled")))</f>
        <v>Not Sampled</v>
      </c>
      <c r="V886" s="1" t="str">
        <f>IF(U886="Not Sampled","Not Sampled",IF(S886=U886,"Accurate Prediction","Inaccurate Prediction"))</f>
        <v>Not Sampled</v>
      </c>
    </row>
    <row r="887" spans="1:22" x14ac:dyDescent="0.25">
      <c r="A887" s="1">
        <v>885</v>
      </c>
      <c r="B887" s="1">
        <v>3</v>
      </c>
      <c r="C887" s="1" t="str">
        <f>LOOKUP(B887,Sheet2!$D$4:$E$9)</f>
        <v>3-4</v>
      </c>
      <c r="D887" s="1">
        <v>173</v>
      </c>
      <c r="E887" t="str">
        <f>LOOKUP(D887,Sheet2!$G$4:$H$9)</f>
        <v>151-175</v>
      </c>
      <c r="F887" s="1">
        <v>84</v>
      </c>
      <c r="G887" t="str">
        <f>LOOKUP(F887,Sheet2!$J$4:$K$8)</f>
        <v>80+</v>
      </c>
      <c r="H887" s="1">
        <v>33</v>
      </c>
      <c r="I887" t="str">
        <f>LOOKUP(H887,Sheet2!$M$4:$N$8)</f>
        <v>30-39</v>
      </c>
      <c r="J887" s="1">
        <v>474</v>
      </c>
      <c r="K887" t="str">
        <f>LOOKUP(J887,Sheet2!$P$4:$Q$9)</f>
        <v>300-499</v>
      </c>
      <c r="L887" s="1">
        <v>35.700000000000003</v>
      </c>
      <c r="M887" t="str">
        <f>LOOKUP(L887,Sheet2!$S$4:$T$8)</f>
        <v>31-35</v>
      </c>
      <c r="N887" s="1">
        <v>0.25800000000000001</v>
      </c>
      <c r="O887" t="str">
        <f>LOOKUP(N887,Sheet2!$V$4:$W$7)</f>
        <v>0.25 - 0.39</v>
      </c>
      <c r="P887" s="1">
        <v>22</v>
      </c>
      <c r="Q887" t="str">
        <f>LOOKUP(P887,Sheet2!$Z$4:$AA$7)</f>
        <v>&lt;=25</v>
      </c>
      <c r="R887" s="1">
        <v>1</v>
      </c>
      <c r="S887" t="str">
        <f>IF(R887=1,"Positive","Negative")</f>
        <v>Positive</v>
      </c>
      <c r="T887" s="1">
        <f>IFERROR(VLOOKUP(A887,[1]diabetes_Recognition!$A:$B,2,FALSE),"Not Sampled")</f>
        <v>1</v>
      </c>
      <c r="U887" t="str">
        <f>IF(T887=1,"Positive",(IF(T887=0,"Negative","Not Sampled")))</f>
        <v>Positive</v>
      </c>
      <c r="V887" s="1" t="str">
        <f>IF(U887="Not Sampled","Not Sampled",IF(S887=U887,"Accurate Prediction","Inaccurate Prediction"))</f>
        <v>Accurate Prediction</v>
      </c>
    </row>
    <row r="888" spans="1:22" x14ac:dyDescent="0.25">
      <c r="A888" s="1">
        <v>886</v>
      </c>
      <c r="B888" s="1">
        <v>1</v>
      </c>
      <c r="C888" s="1">
        <f>LOOKUP(B888,Sheet2!$D$4:$E$9)</f>
        <v>1</v>
      </c>
      <c r="D888" s="1">
        <v>97</v>
      </c>
      <c r="E888" t="str">
        <f>LOOKUP(D888,Sheet2!$G$4:$H$9)</f>
        <v>1-99</v>
      </c>
      <c r="F888" s="1">
        <v>68</v>
      </c>
      <c r="G888" t="str">
        <f>LOOKUP(F888,Sheet2!$J$4:$K$8)</f>
        <v>60-69</v>
      </c>
      <c r="H888" s="1">
        <v>21</v>
      </c>
      <c r="I888" t="str">
        <f>LOOKUP(H888,Sheet2!$M$4:$N$8)</f>
        <v>10-30</v>
      </c>
      <c r="J888" s="1">
        <v>0</v>
      </c>
      <c r="K888" t="str">
        <f>LOOKUP(J888,Sheet2!$P$4:$Q$9)</f>
        <v>Unknown</v>
      </c>
      <c r="L888" s="1">
        <v>27.2</v>
      </c>
      <c r="M888" t="str">
        <f>LOOKUP(L888,Sheet2!$S$4:$T$8)</f>
        <v>26-30</v>
      </c>
      <c r="N888" s="1">
        <v>1.095</v>
      </c>
      <c r="O888" t="str">
        <f>LOOKUP(N888,Sheet2!$V$4:$W$7)</f>
        <v>0.7+</v>
      </c>
      <c r="P888" s="1">
        <v>22</v>
      </c>
      <c r="Q888" t="str">
        <f>LOOKUP(P888,Sheet2!$Z$4:$AA$7)</f>
        <v>&lt;=25</v>
      </c>
      <c r="R888" s="1">
        <v>0</v>
      </c>
      <c r="S888" t="str">
        <f>IF(R888=1,"Positive","Negative")</f>
        <v>Negative</v>
      </c>
      <c r="T888" s="1" t="str">
        <f>IFERROR(VLOOKUP(A888,[1]diabetes_Recognition!$A:$B,2,FALSE),"Not Sampled")</f>
        <v>Not Sampled</v>
      </c>
      <c r="U888" t="str">
        <f>IF(T888=1,"Positive",(IF(T888=0,"Negative","Not Sampled")))</f>
        <v>Not Sampled</v>
      </c>
      <c r="V888" s="1" t="str">
        <f>IF(U888="Not Sampled","Not Sampled",IF(S888=U888,"Accurate Prediction","Inaccurate Prediction"))</f>
        <v>Not Sampled</v>
      </c>
    </row>
    <row r="889" spans="1:22" x14ac:dyDescent="0.25">
      <c r="A889" s="1">
        <v>887</v>
      </c>
      <c r="B889" s="1">
        <v>4</v>
      </c>
      <c r="C889" s="1" t="str">
        <f>LOOKUP(B889,Sheet2!$D$4:$E$9)</f>
        <v>3-4</v>
      </c>
      <c r="D889" s="1">
        <v>144</v>
      </c>
      <c r="E889" t="str">
        <f>LOOKUP(D889,Sheet2!$G$4:$H$9)</f>
        <v>126-150</v>
      </c>
      <c r="F889" s="1">
        <v>82</v>
      </c>
      <c r="G889" t="str">
        <f>LOOKUP(F889,Sheet2!$J$4:$K$8)</f>
        <v>80+</v>
      </c>
      <c r="H889" s="1">
        <v>32</v>
      </c>
      <c r="I889" t="str">
        <f>LOOKUP(H889,Sheet2!$M$4:$N$8)</f>
        <v>30-39</v>
      </c>
      <c r="J889" s="1">
        <v>0</v>
      </c>
      <c r="K889" t="str">
        <f>LOOKUP(J889,Sheet2!$P$4:$Q$9)</f>
        <v>Unknown</v>
      </c>
      <c r="L889" s="1">
        <v>38.5</v>
      </c>
      <c r="M889" t="str">
        <f>LOOKUP(L889,Sheet2!$S$4:$T$8)</f>
        <v>36+</v>
      </c>
      <c r="N889" s="1">
        <v>0.55400000000000005</v>
      </c>
      <c r="O889" t="str">
        <f>LOOKUP(N889,Sheet2!$V$4:$W$7)</f>
        <v>0.4 - 0.69</v>
      </c>
      <c r="P889" s="1">
        <v>37</v>
      </c>
      <c r="Q889" t="str">
        <f>LOOKUP(P889,Sheet2!$Z$4:$AA$7)</f>
        <v>36-45</v>
      </c>
      <c r="R889" s="1">
        <v>1</v>
      </c>
      <c r="S889" t="str">
        <f>IF(R889=1,"Positive","Negative")</f>
        <v>Positive</v>
      </c>
      <c r="T889" s="1">
        <f>IFERROR(VLOOKUP(A889,[1]diabetes_Recognition!$A:$B,2,FALSE),"Not Sampled")</f>
        <v>1</v>
      </c>
      <c r="U889" t="str">
        <f>IF(T889=1,"Positive",(IF(T889=0,"Negative","Not Sampled")))</f>
        <v>Positive</v>
      </c>
      <c r="V889" s="1" t="str">
        <f>IF(U889="Not Sampled","Not Sampled",IF(S889=U889,"Accurate Prediction","Inaccurate Prediction"))</f>
        <v>Accurate Prediction</v>
      </c>
    </row>
    <row r="890" spans="1:22" x14ac:dyDescent="0.25">
      <c r="A890" s="1">
        <v>888</v>
      </c>
      <c r="B890" s="1">
        <v>1</v>
      </c>
      <c r="C890" s="1">
        <f>LOOKUP(B890,Sheet2!$D$4:$E$9)</f>
        <v>1</v>
      </c>
      <c r="D890" s="1">
        <v>83</v>
      </c>
      <c r="E890" t="str">
        <f>LOOKUP(D890,Sheet2!$G$4:$H$9)</f>
        <v>1-99</v>
      </c>
      <c r="F890" s="1">
        <v>68</v>
      </c>
      <c r="G890" t="str">
        <f>LOOKUP(F890,Sheet2!$J$4:$K$8)</f>
        <v>60-69</v>
      </c>
      <c r="H890" s="1">
        <v>0</v>
      </c>
      <c r="I890" t="str">
        <f>LOOKUP(H890,Sheet2!$M$4:$N$8)</f>
        <v>Unknown</v>
      </c>
      <c r="J890" s="1">
        <v>0</v>
      </c>
      <c r="K890" t="str">
        <f>LOOKUP(J890,Sheet2!$P$4:$Q$9)</f>
        <v>Unknown</v>
      </c>
      <c r="L890" s="1">
        <v>18.2</v>
      </c>
      <c r="M890" t="str">
        <f>LOOKUP(L890,Sheet2!$S$4:$T$8)</f>
        <v>1-25</v>
      </c>
      <c r="N890" s="1">
        <v>0.624</v>
      </c>
      <c r="O890" t="str">
        <f>LOOKUP(N890,Sheet2!$V$4:$W$7)</f>
        <v>0.4 - 0.69</v>
      </c>
      <c r="P890" s="1">
        <v>27</v>
      </c>
      <c r="Q890" t="str">
        <f>LOOKUP(P890,Sheet2!$Z$4:$AA$7)</f>
        <v>26-35</v>
      </c>
      <c r="R890" s="1">
        <v>0</v>
      </c>
      <c r="S890" t="str">
        <f>IF(R890=1,"Positive","Negative")</f>
        <v>Negative</v>
      </c>
      <c r="T890" s="1">
        <f>IFERROR(VLOOKUP(A890,[1]diabetes_Recognition!$A:$B,2,FALSE),"Not Sampled")</f>
        <v>0</v>
      </c>
      <c r="U890" t="str">
        <f>IF(T890=1,"Positive",(IF(T890=0,"Negative","Not Sampled")))</f>
        <v>Negative</v>
      </c>
      <c r="V890" s="1" t="str">
        <f>IF(U890="Not Sampled","Not Sampled",IF(S890=U890,"Accurate Prediction","Inaccurate Prediction"))</f>
        <v>Accurate Prediction</v>
      </c>
    </row>
    <row r="891" spans="1:22" x14ac:dyDescent="0.25">
      <c r="A891" s="1">
        <v>889</v>
      </c>
      <c r="B891" s="1">
        <v>3</v>
      </c>
      <c r="C891" s="1" t="str">
        <f>LOOKUP(B891,Sheet2!$D$4:$E$9)</f>
        <v>3-4</v>
      </c>
      <c r="D891" s="1">
        <v>129</v>
      </c>
      <c r="E891" t="str">
        <f>LOOKUP(D891,Sheet2!$G$4:$H$9)</f>
        <v>126-150</v>
      </c>
      <c r="F891" s="1">
        <v>64</v>
      </c>
      <c r="G891" t="str">
        <f>LOOKUP(F891,Sheet2!$J$4:$K$8)</f>
        <v>60-69</v>
      </c>
      <c r="H891" s="1">
        <v>29</v>
      </c>
      <c r="I891" t="str">
        <f>LOOKUP(H891,Sheet2!$M$4:$N$8)</f>
        <v>10-30</v>
      </c>
      <c r="J891" s="1">
        <v>115</v>
      </c>
      <c r="K891" t="str">
        <f>LOOKUP(J891,Sheet2!$P$4:$Q$9)</f>
        <v>100-199</v>
      </c>
      <c r="L891" s="1">
        <v>26.4</v>
      </c>
      <c r="M891" t="str">
        <f>LOOKUP(L891,Sheet2!$S$4:$T$8)</f>
        <v>26-30</v>
      </c>
      <c r="N891" s="1">
        <v>0.219</v>
      </c>
      <c r="O891" t="str">
        <f>LOOKUP(N891,Sheet2!$V$4:$W$7)</f>
        <v>0.0 - 0.249</v>
      </c>
      <c r="P891" s="1">
        <v>28</v>
      </c>
      <c r="Q891" t="str">
        <f>LOOKUP(P891,Sheet2!$Z$4:$AA$7)</f>
        <v>26-35</v>
      </c>
      <c r="R891" s="1">
        <v>1</v>
      </c>
      <c r="S891" t="str">
        <f>IF(R891=1,"Positive","Negative")</f>
        <v>Positive</v>
      </c>
      <c r="T891" s="1" t="str">
        <f>IFERROR(VLOOKUP(A891,[1]diabetes_Recognition!$A:$B,2,FALSE),"Not Sampled")</f>
        <v>Not Sampled</v>
      </c>
      <c r="U891" t="str">
        <f>IF(T891=1,"Positive",(IF(T891=0,"Negative","Not Sampled")))</f>
        <v>Not Sampled</v>
      </c>
      <c r="V891" s="1" t="str">
        <f>IF(U891="Not Sampled","Not Sampled",IF(S891=U891,"Accurate Prediction","Inaccurate Prediction"))</f>
        <v>Not Sampled</v>
      </c>
    </row>
    <row r="892" spans="1:22" x14ac:dyDescent="0.25">
      <c r="A892" s="1">
        <v>890</v>
      </c>
      <c r="B892" s="1">
        <v>1</v>
      </c>
      <c r="C892" s="1">
        <f>LOOKUP(B892,Sheet2!$D$4:$E$9)</f>
        <v>1</v>
      </c>
      <c r="D892" s="1">
        <v>119</v>
      </c>
      <c r="E892" t="str">
        <f>LOOKUP(D892,Sheet2!$G$4:$H$9)</f>
        <v>100-125</v>
      </c>
      <c r="F892" s="1">
        <v>88</v>
      </c>
      <c r="G892" t="str">
        <f>LOOKUP(F892,Sheet2!$J$4:$K$8)</f>
        <v>80+</v>
      </c>
      <c r="H892" s="1">
        <v>41</v>
      </c>
      <c r="I892" t="str">
        <f>LOOKUP(H892,Sheet2!$M$4:$N$8)</f>
        <v>40+</v>
      </c>
      <c r="J892" s="1">
        <v>170</v>
      </c>
      <c r="K892" t="str">
        <f>LOOKUP(J892,Sheet2!$P$4:$Q$9)</f>
        <v>100-199</v>
      </c>
      <c r="L892" s="1">
        <v>45.3</v>
      </c>
      <c r="M892" t="str">
        <f>LOOKUP(L892,Sheet2!$S$4:$T$8)</f>
        <v>36+</v>
      </c>
      <c r="N892" s="1">
        <v>0.50700000000000001</v>
      </c>
      <c r="O892" t="str">
        <f>LOOKUP(N892,Sheet2!$V$4:$W$7)</f>
        <v>0.4 - 0.69</v>
      </c>
      <c r="P892" s="1">
        <v>26</v>
      </c>
      <c r="Q892" t="str">
        <f>LOOKUP(P892,Sheet2!$Z$4:$AA$7)</f>
        <v>26-35</v>
      </c>
      <c r="R892" s="1">
        <v>0</v>
      </c>
      <c r="S892" t="str">
        <f>IF(R892=1,"Positive","Negative")</f>
        <v>Negative</v>
      </c>
      <c r="T892" s="1" t="str">
        <f>IFERROR(VLOOKUP(A892,[1]diabetes_Recognition!$A:$B,2,FALSE),"Not Sampled")</f>
        <v>Not Sampled</v>
      </c>
      <c r="U892" t="str">
        <f>IF(T892=1,"Positive",(IF(T892=0,"Negative","Not Sampled")))</f>
        <v>Not Sampled</v>
      </c>
      <c r="V892" s="1" t="str">
        <f>IF(U892="Not Sampled","Not Sampled",IF(S892=U892,"Accurate Prediction","Inaccurate Prediction"))</f>
        <v>Not Sampled</v>
      </c>
    </row>
    <row r="893" spans="1:22" x14ac:dyDescent="0.25">
      <c r="A893" s="1">
        <v>891</v>
      </c>
      <c r="B893" s="1">
        <v>2</v>
      </c>
      <c r="C893" s="1">
        <f>LOOKUP(B893,Sheet2!$D$4:$E$9)</f>
        <v>2</v>
      </c>
      <c r="D893" s="1">
        <v>94</v>
      </c>
      <c r="E893" t="str">
        <f>LOOKUP(D893,Sheet2!$G$4:$H$9)</f>
        <v>1-99</v>
      </c>
      <c r="F893" s="1">
        <v>68</v>
      </c>
      <c r="G893" t="str">
        <f>LOOKUP(F893,Sheet2!$J$4:$K$8)</f>
        <v>60-69</v>
      </c>
      <c r="H893" s="1">
        <v>18</v>
      </c>
      <c r="I893" t="str">
        <f>LOOKUP(H893,Sheet2!$M$4:$N$8)</f>
        <v>10-30</v>
      </c>
      <c r="J893" s="1">
        <v>76</v>
      </c>
      <c r="K893" t="str">
        <f>LOOKUP(J893,Sheet2!$P$4:$Q$9)</f>
        <v>1-99</v>
      </c>
      <c r="L893" s="1">
        <v>26</v>
      </c>
      <c r="M893" t="str">
        <f>LOOKUP(L893,Sheet2!$S$4:$T$8)</f>
        <v>26-30</v>
      </c>
      <c r="N893" s="1">
        <v>0.56100000000000005</v>
      </c>
      <c r="O893" t="str">
        <f>LOOKUP(N893,Sheet2!$V$4:$W$7)</f>
        <v>0.4 - 0.69</v>
      </c>
      <c r="P893" s="1">
        <v>21</v>
      </c>
      <c r="Q893" t="str">
        <f>LOOKUP(P893,Sheet2!$Z$4:$AA$7)</f>
        <v>&lt;=25</v>
      </c>
      <c r="R893" s="1">
        <v>0</v>
      </c>
      <c r="S893" t="str">
        <f>IF(R893=1,"Positive","Negative")</f>
        <v>Negative</v>
      </c>
      <c r="T893" s="1" t="str">
        <f>IFERROR(VLOOKUP(A893,[1]diabetes_Recognition!$A:$B,2,FALSE),"Not Sampled")</f>
        <v>Not Sampled</v>
      </c>
      <c r="U893" t="str">
        <f>IF(T893=1,"Positive",(IF(T893=0,"Negative","Not Sampled")))</f>
        <v>Not Sampled</v>
      </c>
      <c r="V893" s="1" t="str">
        <f>IF(U893="Not Sampled","Not Sampled",IF(S893=U893,"Accurate Prediction","Inaccurate Prediction"))</f>
        <v>Not Sampled</v>
      </c>
    </row>
    <row r="894" spans="1:22" x14ac:dyDescent="0.25">
      <c r="A894" s="1">
        <v>892</v>
      </c>
      <c r="B894" s="1">
        <v>0</v>
      </c>
      <c r="C894" s="1">
        <f>LOOKUP(B894,Sheet2!$D$4:$E$9)</f>
        <v>0</v>
      </c>
      <c r="D894" s="1">
        <v>102</v>
      </c>
      <c r="E894" t="str">
        <f>LOOKUP(D894,Sheet2!$G$4:$H$9)</f>
        <v>100-125</v>
      </c>
      <c r="F894" s="1">
        <v>64</v>
      </c>
      <c r="G894" t="str">
        <f>LOOKUP(F894,Sheet2!$J$4:$K$8)</f>
        <v>60-69</v>
      </c>
      <c r="H894" s="1">
        <v>46</v>
      </c>
      <c r="I894" t="str">
        <f>LOOKUP(H894,Sheet2!$M$4:$N$8)</f>
        <v>40+</v>
      </c>
      <c r="J894" s="1">
        <v>78</v>
      </c>
      <c r="K894" t="str">
        <f>LOOKUP(J894,Sheet2!$P$4:$Q$9)</f>
        <v>1-99</v>
      </c>
      <c r="L894" s="1">
        <v>40.6</v>
      </c>
      <c r="M894" t="str">
        <f>LOOKUP(L894,Sheet2!$S$4:$T$8)</f>
        <v>36+</v>
      </c>
      <c r="N894" s="1">
        <v>0.496</v>
      </c>
      <c r="O894" t="str">
        <f>LOOKUP(N894,Sheet2!$V$4:$W$7)</f>
        <v>0.4 - 0.69</v>
      </c>
      <c r="P894" s="1">
        <v>21</v>
      </c>
      <c r="Q894" t="str">
        <f>LOOKUP(P894,Sheet2!$Z$4:$AA$7)</f>
        <v>&lt;=25</v>
      </c>
      <c r="R894" s="1">
        <v>0</v>
      </c>
      <c r="S894" t="str">
        <f>IF(R894=1,"Positive","Negative")</f>
        <v>Negative</v>
      </c>
      <c r="T894" s="1" t="str">
        <f>IFERROR(VLOOKUP(A894,[1]diabetes_Recognition!$A:$B,2,FALSE),"Not Sampled")</f>
        <v>Not Sampled</v>
      </c>
      <c r="U894" t="str">
        <f>IF(T894=1,"Positive",(IF(T894=0,"Negative","Not Sampled")))</f>
        <v>Not Sampled</v>
      </c>
      <c r="V894" s="1" t="str">
        <f>IF(U894="Not Sampled","Not Sampled",IF(S894=U894,"Accurate Prediction","Inaccurate Prediction"))</f>
        <v>Not Sampled</v>
      </c>
    </row>
    <row r="895" spans="1:22" x14ac:dyDescent="0.25">
      <c r="A895" s="1">
        <v>893</v>
      </c>
      <c r="B895" s="1">
        <v>2</v>
      </c>
      <c r="C895" s="1">
        <f>LOOKUP(B895,Sheet2!$D$4:$E$9)</f>
        <v>2</v>
      </c>
      <c r="D895" s="1">
        <v>115</v>
      </c>
      <c r="E895" t="str">
        <f>LOOKUP(D895,Sheet2!$G$4:$H$9)</f>
        <v>100-125</v>
      </c>
      <c r="F895" s="1">
        <v>64</v>
      </c>
      <c r="G895" t="str">
        <f>LOOKUP(F895,Sheet2!$J$4:$K$8)</f>
        <v>60-69</v>
      </c>
      <c r="H895" s="1">
        <v>22</v>
      </c>
      <c r="I895" t="str">
        <f>LOOKUP(H895,Sheet2!$M$4:$N$8)</f>
        <v>10-30</v>
      </c>
      <c r="J895" s="1">
        <v>0</v>
      </c>
      <c r="K895" t="str">
        <f>LOOKUP(J895,Sheet2!$P$4:$Q$9)</f>
        <v>Unknown</v>
      </c>
      <c r="L895" s="1">
        <v>30.8</v>
      </c>
      <c r="M895" t="str">
        <f>LOOKUP(L895,Sheet2!$S$4:$T$8)</f>
        <v>26-30</v>
      </c>
      <c r="N895" s="1">
        <v>0.42099999999999999</v>
      </c>
      <c r="O895" t="str">
        <f>LOOKUP(N895,Sheet2!$V$4:$W$7)</f>
        <v>0.4 - 0.69</v>
      </c>
      <c r="P895" s="1">
        <v>21</v>
      </c>
      <c r="Q895" t="str">
        <f>LOOKUP(P895,Sheet2!$Z$4:$AA$7)</f>
        <v>&lt;=25</v>
      </c>
      <c r="R895" s="1">
        <v>0</v>
      </c>
      <c r="S895" t="str">
        <f>IF(R895=1,"Positive","Negative")</f>
        <v>Negative</v>
      </c>
      <c r="T895" s="1" t="str">
        <f>IFERROR(VLOOKUP(A895,[1]diabetes_Recognition!$A:$B,2,FALSE),"Not Sampled")</f>
        <v>Not Sampled</v>
      </c>
      <c r="U895" t="str">
        <f>IF(T895=1,"Positive",(IF(T895=0,"Negative","Not Sampled")))</f>
        <v>Not Sampled</v>
      </c>
      <c r="V895" s="1" t="str">
        <f>IF(U895="Not Sampled","Not Sampled",IF(S895=U895,"Accurate Prediction","Inaccurate Prediction"))</f>
        <v>Not Sampled</v>
      </c>
    </row>
    <row r="896" spans="1:22" x14ac:dyDescent="0.25">
      <c r="A896" s="1">
        <v>894</v>
      </c>
      <c r="B896" s="1">
        <v>8</v>
      </c>
      <c r="C896" s="1" t="str">
        <f>LOOKUP(B896,Sheet2!$D$4:$E$9)</f>
        <v>8+</v>
      </c>
      <c r="D896" s="1">
        <v>151</v>
      </c>
      <c r="E896" t="str">
        <f>LOOKUP(D896,Sheet2!$G$4:$H$9)</f>
        <v>151-175</v>
      </c>
      <c r="F896" s="1">
        <v>78</v>
      </c>
      <c r="G896" t="str">
        <f>LOOKUP(F896,Sheet2!$J$4:$K$8)</f>
        <v>70-79</v>
      </c>
      <c r="H896" s="1">
        <v>32</v>
      </c>
      <c r="I896" t="str">
        <f>LOOKUP(H896,Sheet2!$M$4:$N$8)</f>
        <v>30-39</v>
      </c>
      <c r="J896" s="1">
        <v>210</v>
      </c>
      <c r="K896" t="str">
        <f>LOOKUP(J896,Sheet2!$P$4:$Q$9)</f>
        <v>200-399</v>
      </c>
      <c r="L896" s="1">
        <v>42.9</v>
      </c>
      <c r="M896" t="str">
        <f>LOOKUP(L896,Sheet2!$S$4:$T$8)</f>
        <v>36+</v>
      </c>
      <c r="N896" s="1">
        <v>0.51600000000000001</v>
      </c>
      <c r="O896" t="str">
        <f>LOOKUP(N896,Sheet2!$V$4:$W$7)</f>
        <v>0.4 - 0.69</v>
      </c>
      <c r="P896" s="1">
        <v>36</v>
      </c>
      <c r="Q896" t="str">
        <f>LOOKUP(P896,Sheet2!$Z$4:$AA$7)</f>
        <v>36-45</v>
      </c>
      <c r="R896" s="1">
        <v>1</v>
      </c>
      <c r="S896" t="str">
        <f>IF(R896=1,"Positive","Negative")</f>
        <v>Positive</v>
      </c>
      <c r="T896" s="1" t="str">
        <f>IFERROR(VLOOKUP(A896,[1]diabetes_Recognition!$A:$B,2,FALSE),"Not Sampled")</f>
        <v>Not Sampled</v>
      </c>
      <c r="U896" t="str">
        <f>IF(T896=1,"Positive",(IF(T896=0,"Negative","Not Sampled")))</f>
        <v>Not Sampled</v>
      </c>
      <c r="V896" s="1" t="str">
        <f>IF(U896="Not Sampled","Not Sampled",IF(S896=U896,"Accurate Prediction","Inaccurate Prediction"))</f>
        <v>Not Sampled</v>
      </c>
    </row>
    <row r="897" spans="1:22" x14ac:dyDescent="0.25">
      <c r="A897" s="1">
        <v>895</v>
      </c>
      <c r="B897" s="1">
        <v>4</v>
      </c>
      <c r="C897" s="1" t="str">
        <f>LOOKUP(B897,Sheet2!$D$4:$E$9)</f>
        <v>3-4</v>
      </c>
      <c r="D897" s="1">
        <v>184</v>
      </c>
      <c r="E897" t="str">
        <f>LOOKUP(D897,Sheet2!$G$4:$H$9)</f>
        <v>176-200</v>
      </c>
      <c r="F897" s="1">
        <v>78</v>
      </c>
      <c r="G897" t="str">
        <f>LOOKUP(F897,Sheet2!$J$4:$K$8)</f>
        <v>70-79</v>
      </c>
      <c r="H897" s="1">
        <v>39</v>
      </c>
      <c r="I897" t="str">
        <f>LOOKUP(H897,Sheet2!$M$4:$N$8)</f>
        <v>30-39</v>
      </c>
      <c r="J897" s="1">
        <v>277</v>
      </c>
      <c r="K897" t="str">
        <f>LOOKUP(J897,Sheet2!$P$4:$Q$9)</f>
        <v>200-399</v>
      </c>
      <c r="L897" s="1">
        <v>37</v>
      </c>
      <c r="M897" t="str">
        <f>LOOKUP(L897,Sheet2!$S$4:$T$8)</f>
        <v>36+</v>
      </c>
      <c r="N897" s="1">
        <v>0.26400000000000001</v>
      </c>
      <c r="O897" t="str">
        <f>LOOKUP(N897,Sheet2!$V$4:$W$7)</f>
        <v>0.25 - 0.39</v>
      </c>
      <c r="P897" s="1">
        <v>31</v>
      </c>
      <c r="Q897" t="str">
        <f>LOOKUP(P897,Sheet2!$Z$4:$AA$7)</f>
        <v>26-35</v>
      </c>
      <c r="R897" s="1">
        <v>1</v>
      </c>
      <c r="S897" t="str">
        <f>IF(R897=1,"Positive","Negative")</f>
        <v>Positive</v>
      </c>
      <c r="T897" s="1" t="str">
        <f>IFERROR(VLOOKUP(A897,[1]diabetes_Recognition!$A:$B,2,FALSE),"Not Sampled")</f>
        <v>Not Sampled</v>
      </c>
      <c r="U897" t="str">
        <f>IF(T897=1,"Positive",(IF(T897=0,"Negative","Not Sampled")))</f>
        <v>Not Sampled</v>
      </c>
      <c r="V897" s="1" t="str">
        <f>IF(U897="Not Sampled","Not Sampled",IF(S897=U897,"Accurate Prediction","Inaccurate Prediction"))</f>
        <v>Not Sampled</v>
      </c>
    </row>
    <row r="898" spans="1:22" x14ac:dyDescent="0.25">
      <c r="A898" s="1">
        <v>896</v>
      </c>
      <c r="B898" s="1">
        <v>0</v>
      </c>
      <c r="C898" s="1">
        <f>LOOKUP(B898,Sheet2!$D$4:$E$9)</f>
        <v>0</v>
      </c>
      <c r="D898" s="1">
        <v>94</v>
      </c>
      <c r="E898" t="str">
        <f>LOOKUP(D898,Sheet2!$G$4:$H$9)</f>
        <v>1-99</v>
      </c>
      <c r="F898" s="1">
        <v>0</v>
      </c>
      <c r="G898" t="str">
        <f>LOOKUP(F898,Sheet2!$J$4:$K$8)</f>
        <v>Unknown</v>
      </c>
      <c r="H898" s="1">
        <v>0</v>
      </c>
      <c r="I898" t="str">
        <f>LOOKUP(H898,Sheet2!$M$4:$N$8)</f>
        <v>Unknown</v>
      </c>
      <c r="J898" s="1">
        <v>0</v>
      </c>
      <c r="K898" t="str">
        <f>LOOKUP(J898,Sheet2!$P$4:$Q$9)</f>
        <v>Unknown</v>
      </c>
      <c r="L898" s="1">
        <v>0</v>
      </c>
      <c r="M898" t="str">
        <f>LOOKUP(L898,Sheet2!$S$4:$T$8)</f>
        <v>Unknown</v>
      </c>
      <c r="N898" s="1">
        <v>0.25600000000000001</v>
      </c>
      <c r="O898" t="str">
        <f>LOOKUP(N898,Sheet2!$V$4:$W$7)</f>
        <v>0.25 - 0.39</v>
      </c>
      <c r="P898" s="1">
        <v>25</v>
      </c>
      <c r="Q898" t="str">
        <f>LOOKUP(P898,Sheet2!$Z$4:$AA$7)</f>
        <v>&lt;=25</v>
      </c>
      <c r="R898" s="1">
        <v>0</v>
      </c>
      <c r="S898" t="str">
        <f>IF(R898=1,"Positive","Negative")</f>
        <v>Negative</v>
      </c>
      <c r="T898" s="1" t="str">
        <f>IFERROR(VLOOKUP(A898,[1]diabetes_Recognition!$A:$B,2,FALSE),"Not Sampled")</f>
        <v>Not Sampled</v>
      </c>
      <c r="U898" t="str">
        <f>IF(T898=1,"Positive",(IF(T898=0,"Negative","Not Sampled")))</f>
        <v>Not Sampled</v>
      </c>
      <c r="V898" s="1" t="str">
        <f>IF(U898="Not Sampled","Not Sampled",IF(S898=U898,"Accurate Prediction","Inaccurate Prediction"))</f>
        <v>Not Sampled</v>
      </c>
    </row>
    <row r="899" spans="1:22" x14ac:dyDescent="0.25">
      <c r="A899" s="1">
        <v>897</v>
      </c>
      <c r="B899" s="1">
        <v>1</v>
      </c>
      <c r="C899" s="1">
        <f>LOOKUP(B899,Sheet2!$D$4:$E$9)</f>
        <v>1</v>
      </c>
      <c r="D899" s="1">
        <v>181</v>
      </c>
      <c r="E899" t="str">
        <f>LOOKUP(D899,Sheet2!$G$4:$H$9)</f>
        <v>176-200</v>
      </c>
      <c r="F899" s="1">
        <v>64</v>
      </c>
      <c r="G899" t="str">
        <f>LOOKUP(F899,Sheet2!$J$4:$K$8)</f>
        <v>60-69</v>
      </c>
      <c r="H899" s="1">
        <v>30</v>
      </c>
      <c r="I899" t="str">
        <f>LOOKUP(H899,Sheet2!$M$4:$N$8)</f>
        <v>30-39</v>
      </c>
      <c r="J899" s="1">
        <v>180</v>
      </c>
      <c r="K899" t="str">
        <f>LOOKUP(J899,Sheet2!$P$4:$Q$9)</f>
        <v>100-199</v>
      </c>
      <c r="L899" s="1">
        <v>34.1</v>
      </c>
      <c r="M899" t="str">
        <f>LOOKUP(L899,Sheet2!$S$4:$T$8)</f>
        <v>31-35</v>
      </c>
      <c r="N899" s="1">
        <v>0.32800000000000001</v>
      </c>
      <c r="O899" t="str">
        <f>LOOKUP(N899,Sheet2!$V$4:$W$7)</f>
        <v>0.25 - 0.39</v>
      </c>
      <c r="P899" s="1">
        <v>38</v>
      </c>
      <c r="Q899" t="str">
        <f>LOOKUP(P899,Sheet2!$Z$4:$AA$7)</f>
        <v>36-45</v>
      </c>
      <c r="R899" s="1">
        <v>1</v>
      </c>
      <c r="S899" t="str">
        <f>IF(R899=1,"Positive","Negative")</f>
        <v>Positive</v>
      </c>
      <c r="T899" s="1" t="str">
        <f>IFERROR(VLOOKUP(A899,[1]diabetes_Recognition!$A:$B,2,FALSE),"Not Sampled")</f>
        <v>Not Sampled</v>
      </c>
      <c r="U899" t="str">
        <f>IF(T899=1,"Positive",(IF(T899=0,"Negative","Not Sampled")))</f>
        <v>Not Sampled</v>
      </c>
      <c r="V899" s="1" t="str">
        <f>IF(U899="Not Sampled","Not Sampled",IF(S899=U899,"Accurate Prediction","Inaccurate Prediction"))</f>
        <v>Not Sampled</v>
      </c>
    </row>
    <row r="900" spans="1:22" x14ac:dyDescent="0.25">
      <c r="A900" s="1">
        <v>898</v>
      </c>
      <c r="B900" s="1">
        <v>0</v>
      </c>
      <c r="C900" s="1">
        <f>LOOKUP(B900,Sheet2!$D$4:$E$9)</f>
        <v>0</v>
      </c>
      <c r="D900" s="1">
        <v>135</v>
      </c>
      <c r="E900" t="str">
        <f>LOOKUP(D900,Sheet2!$G$4:$H$9)</f>
        <v>126-150</v>
      </c>
      <c r="F900" s="1">
        <v>94</v>
      </c>
      <c r="G900" t="str">
        <f>LOOKUP(F900,Sheet2!$J$4:$K$8)</f>
        <v>80+</v>
      </c>
      <c r="H900" s="1">
        <v>46</v>
      </c>
      <c r="I900" t="str">
        <f>LOOKUP(H900,Sheet2!$M$4:$N$8)</f>
        <v>40+</v>
      </c>
      <c r="J900" s="1">
        <v>145</v>
      </c>
      <c r="K900" t="str">
        <f>LOOKUP(J900,Sheet2!$P$4:$Q$9)</f>
        <v>100-199</v>
      </c>
      <c r="L900" s="1">
        <v>40.6</v>
      </c>
      <c r="M900" t="str">
        <f>LOOKUP(L900,Sheet2!$S$4:$T$8)</f>
        <v>36+</v>
      </c>
      <c r="N900" s="1">
        <v>0.28399999999999997</v>
      </c>
      <c r="O900" t="str">
        <f>LOOKUP(N900,Sheet2!$V$4:$W$7)</f>
        <v>0.25 - 0.39</v>
      </c>
      <c r="P900" s="1">
        <v>26</v>
      </c>
      <c r="Q900" t="str">
        <f>LOOKUP(P900,Sheet2!$Z$4:$AA$7)</f>
        <v>26-35</v>
      </c>
      <c r="R900" s="1">
        <v>0</v>
      </c>
      <c r="S900" t="str">
        <f>IF(R900=1,"Positive","Negative")</f>
        <v>Negative</v>
      </c>
      <c r="T900" s="1" t="str">
        <f>IFERROR(VLOOKUP(A900,[1]diabetes_Recognition!$A:$B,2,FALSE),"Not Sampled")</f>
        <v>Not Sampled</v>
      </c>
      <c r="U900" t="str">
        <f>IF(T900=1,"Positive",(IF(T900=0,"Negative","Not Sampled")))</f>
        <v>Not Sampled</v>
      </c>
      <c r="V900" s="1" t="str">
        <f>IF(U900="Not Sampled","Not Sampled",IF(S900=U900,"Accurate Prediction","Inaccurate Prediction"))</f>
        <v>Not Sampled</v>
      </c>
    </row>
    <row r="901" spans="1:22" x14ac:dyDescent="0.25">
      <c r="A901" s="1">
        <v>899</v>
      </c>
      <c r="B901" s="1">
        <v>1</v>
      </c>
      <c r="C901" s="1">
        <f>LOOKUP(B901,Sheet2!$D$4:$E$9)</f>
        <v>1</v>
      </c>
      <c r="D901" s="1">
        <v>95</v>
      </c>
      <c r="E901" t="str">
        <f>LOOKUP(D901,Sheet2!$G$4:$H$9)</f>
        <v>1-99</v>
      </c>
      <c r="F901" s="1">
        <v>82</v>
      </c>
      <c r="G901" t="str">
        <f>LOOKUP(F901,Sheet2!$J$4:$K$8)</f>
        <v>80+</v>
      </c>
      <c r="H901" s="1">
        <v>25</v>
      </c>
      <c r="I901" t="str">
        <f>LOOKUP(H901,Sheet2!$M$4:$N$8)</f>
        <v>10-30</v>
      </c>
      <c r="J901" s="1">
        <v>180</v>
      </c>
      <c r="K901" t="str">
        <f>LOOKUP(J901,Sheet2!$P$4:$Q$9)</f>
        <v>100-199</v>
      </c>
      <c r="L901" s="1">
        <v>35</v>
      </c>
      <c r="M901" t="str">
        <f>LOOKUP(L901,Sheet2!$S$4:$T$8)</f>
        <v>31-35</v>
      </c>
      <c r="N901" s="1">
        <v>0.23300000000000001</v>
      </c>
      <c r="O901" t="str">
        <f>LOOKUP(N901,Sheet2!$V$4:$W$7)</f>
        <v>0.0 - 0.249</v>
      </c>
      <c r="P901" s="1">
        <v>43</v>
      </c>
      <c r="Q901" t="str">
        <f>LOOKUP(P901,Sheet2!$Z$4:$AA$7)</f>
        <v>36-45</v>
      </c>
      <c r="R901" s="1">
        <v>1</v>
      </c>
      <c r="S901" t="str">
        <f>IF(R901=1,"Positive","Negative")</f>
        <v>Positive</v>
      </c>
      <c r="T901" s="1">
        <f>IFERROR(VLOOKUP(A901,[1]diabetes_Recognition!$A:$B,2,FALSE),"Not Sampled")</f>
        <v>0</v>
      </c>
      <c r="U901" t="str">
        <f>IF(T901=1,"Positive",(IF(T901=0,"Negative","Not Sampled")))</f>
        <v>Negative</v>
      </c>
      <c r="V901" s="1" t="str">
        <f>IF(U901="Not Sampled","Not Sampled",IF(S901=U901,"Accurate Prediction","Inaccurate Prediction"))</f>
        <v>Inaccurate Prediction</v>
      </c>
    </row>
    <row r="902" spans="1:22" x14ac:dyDescent="0.25">
      <c r="A902" s="1">
        <v>900</v>
      </c>
      <c r="B902" s="1">
        <v>2</v>
      </c>
      <c r="C902" s="1">
        <f>LOOKUP(B902,Sheet2!$D$4:$E$9)</f>
        <v>2</v>
      </c>
      <c r="D902" s="1">
        <v>99</v>
      </c>
      <c r="E902" t="str">
        <f>LOOKUP(D902,Sheet2!$G$4:$H$9)</f>
        <v>1-99</v>
      </c>
      <c r="F902" s="1">
        <v>0</v>
      </c>
      <c r="G902" t="str">
        <f>LOOKUP(F902,Sheet2!$J$4:$K$8)</f>
        <v>Unknown</v>
      </c>
      <c r="H902" s="1">
        <v>0</v>
      </c>
      <c r="I902" t="str">
        <f>LOOKUP(H902,Sheet2!$M$4:$N$8)</f>
        <v>Unknown</v>
      </c>
      <c r="J902" s="1">
        <v>0</v>
      </c>
      <c r="K902" t="str">
        <f>LOOKUP(J902,Sheet2!$P$4:$Q$9)</f>
        <v>Unknown</v>
      </c>
      <c r="L902" s="1">
        <v>22.2</v>
      </c>
      <c r="M902" t="str">
        <f>LOOKUP(L902,Sheet2!$S$4:$T$8)</f>
        <v>1-25</v>
      </c>
      <c r="N902" s="1">
        <v>0.108</v>
      </c>
      <c r="O902" t="str">
        <f>LOOKUP(N902,Sheet2!$V$4:$W$7)</f>
        <v>0.0 - 0.249</v>
      </c>
      <c r="P902" s="1">
        <v>23</v>
      </c>
      <c r="Q902" t="str">
        <f>LOOKUP(P902,Sheet2!$Z$4:$AA$7)</f>
        <v>&lt;=25</v>
      </c>
      <c r="R902" s="1">
        <v>0</v>
      </c>
      <c r="S902" t="str">
        <f>IF(R902=1,"Positive","Negative")</f>
        <v>Negative</v>
      </c>
      <c r="T902" s="1">
        <f>IFERROR(VLOOKUP(A902,[1]diabetes_Recognition!$A:$B,2,FALSE),"Not Sampled")</f>
        <v>0</v>
      </c>
      <c r="U902" t="str">
        <f>IF(T902=1,"Positive",(IF(T902=0,"Negative","Not Sampled")))</f>
        <v>Negative</v>
      </c>
      <c r="V902" s="1" t="str">
        <f>IF(U902="Not Sampled","Not Sampled",IF(S902=U902,"Accurate Prediction","Inaccurate Prediction"))</f>
        <v>Accurate Prediction</v>
      </c>
    </row>
    <row r="903" spans="1:22" x14ac:dyDescent="0.25">
      <c r="A903" s="1">
        <v>901</v>
      </c>
      <c r="B903" s="1">
        <v>3</v>
      </c>
      <c r="C903" s="1" t="str">
        <f>LOOKUP(B903,Sheet2!$D$4:$E$9)</f>
        <v>3-4</v>
      </c>
      <c r="D903" s="1">
        <v>89</v>
      </c>
      <c r="E903" t="str">
        <f>LOOKUP(D903,Sheet2!$G$4:$H$9)</f>
        <v>1-99</v>
      </c>
      <c r="F903" s="1">
        <v>74</v>
      </c>
      <c r="G903" t="str">
        <f>LOOKUP(F903,Sheet2!$J$4:$K$8)</f>
        <v>70-79</v>
      </c>
      <c r="H903" s="1">
        <v>16</v>
      </c>
      <c r="I903" t="str">
        <f>LOOKUP(H903,Sheet2!$M$4:$N$8)</f>
        <v>10-30</v>
      </c>
      <c r="J903" s="1">
        <v>85</v>
      </c>
      <c r="K903" t="str">
        <f>LOOKUP(J903,Sheet2!$P$4:$Q$9)</f>
        <v>1-99</v>
      </c>
      <c r="L903" s="1">
        <v>30.4</v>
      </c>
      <c r="M903" t="str">
        <f>LOOKUP(L903,Sheet2!$S$4:$T$8)</f>
        <v>26-30</v>
      </c>
      <c r="N903" s="1">
        <v>0.55100000000000005</v>
      </c>
      <c r="O903" t="str">
        <f>LOOKUP(N903,Sheet2!$V$4:$W$7)</f>
        <v>0.4 - 0.69</v>
      </c>
      <c r="P903" s="1">
        <v>38</v>
      </c>
      <c r="Q903" t="str">
        <f>LOOKUP(P903,Sheet2!$Z$4:$AA$7)</f>
        <v>36-45</v>
      </c>
      <c r="R903" s="1">
        <v>0</v>
      </c>
      <c r="S903" t="str">
        <f>IF(R903=1,"Positive","Negative")</f>
        <v>Negative</v>
      </c>
      <c r="T903" s="1" t="str">
        <f>IFERROR(VLOOKUP(A903,[1]diabetes_Recognition!$A:$B,2,FALSE),"Not Sampled")</f>
        <v>Not Sampled</v>
      </c>
      <c r="U903" t="str">
        <f>IF(T903=1,"Positive",(IF(T903=0,"Negative","Not Sampled")))</f>
        <v>Not Sampled</v>
      </c>
      <c r="V903" s="1" t="str">
        <f>IF(U903="Not Sampled","Not Sampled",IF(S903=U903,"Accurate Prediction","Inaccurate Prediction"))</f>
        <v>Not Sampled</v>
      </c>
    </row>
    <row r="904" spans="1:22" x14ac:dyDescent="0.25">
      <c r="A904" s="1">
        <v>902</v>
      </c>
      <c r="B904" s="1">
        <v>1</v>
      </c>
      <c r="C904" s="1">
        <f>LOOKUP(B904,Sheet2!$D$4:$E$9)</f>
        <v>1</v>
      </c>
      <c r="D904" s="1">
        <v>80</v>
      </c>
      <c r="E904" t="str">
        <f>LOOKUP(D904,Sheet2!$G$4:$H$9)</f>
        <v>1-99</v>
      </c>
      <c r="F904" s="1">
        <v>74</v>
      </c>
      <c r="G904" t="str">
        <f>LOOKUP(F904,Sheet2!$J$4:$K$8)</f>
        <v>70-79</v>
      </c>
      <c r="H904" s="1">
        <v>11</v>
      </c>
      <c r="I904" t="str">
        <f>LOOKUP(H904,Sheet2!$M$4:$N$8)</f>
        <v>10-30</v>
      </c>
      <c r="J904" s="1">
        <v>60</v>
      </c>
      <c r="K904" t="str">
        <f>LOOKUP(J904,Sheet2!$P$4:$Q$9)</f>
        <v>1-99</v>
      </c>
      <c r="L904" s="1">
        <v>30</v>
      </c>
      <c r="M904" t="str">
        <f>LOOKUP(L904,Sheet2!$S$4:$T$8)</f>
        <v>26-30</v>
      </c>
      <c r="N904" s="1">
        <v>0.52700000000000002</v>
      </c>
      <c r="O904" t="str">
        <f>LOOKUP(N904,Sheet2!$V$4:$W$7)</f>
        <v>0.4 - 0.69</v>
      </c>
      <c r="P904" s="1">
        <v>22</v>
      </c>
      <c r="Q904" t="str">
        <f>LOOKUP(P904,Sheet2!$Z$4:$AA$7)</f>
        <v>&lt;=25</v>
      </c>
      <c r="R904" s="1">
        <v>0</v>
      </c>
      <c r="S904" t="str">
        <f>IF(R904=1,"Positive","Negative")</f>
        <v>Negative</v>
      </c>
      <c r="T904" s="1">
        <f>IFERROR(VLOOKUP(A904,[1]diabetes_Recognition!$A:$B,2,FALSE),"Not Sampled")</f>
        <v>0</v>
      </c>
      <c r="U904" t="str">
        <f>IF(T904=1,"Positive",(IF(T904=0,"Negative","Not Sampled")))</f>
        <v>Negative</v>
      </c>
      <c r="V904" s="1" t="str">
        <f>IF(U904="Not Sampled","Not Sampled",IF(S904=U904,"Accurate Prediction","Inaccurate Prediction"))</f>
        <v>Accurate Prediction</v>
      </c>
    </row>
    <row r="905" spans="1:22" x14ac:dyDescent="0.25">
      <c r="A905" s="1">
        <v>903</v>
      </c>
      <c r="B905" s="1">
        <v>2</v>
      </c>
      <c r="C905" s="1">
        <f>LOOKUP(B905,Sheet2!$D$4:$E$9)</f>
        <v>2</v>
      </c>
      <c r="D905" s="1">
        <v>139</v>
      </c>
      <c r="E905" t="str">
        <f>LOOKUP(D905,Sheet2!$G$4:$H$9)</f>
        <v>126-150</v>
      </c>
      <c r="F905" s="1">
        <v>75</v>
      </c>
      <c r="G905" t="str">
        <f>LOOKUP(F905,Sheet2!$J$4:$K$8)</f>
        <v>70-79</v>
      </c>
      <c r="H905" s="1">
        <v>0</v>
      </c>
      <c r="I905" t="str">
        <f>LOOKUP(H905,Sheet2!$M$4:$N$8)</f>
        <v>Unknown</v>
      </c>
      <c r="J905" s="1">
        <v>0</v>
      </c>
      <c r="K905" t="str">
        <f>LOOKUP(J905,Sheet2!$P$4:$Q$9)</f>
        <v>Unknown</v>
      </c>
      <c r="L905" s="1">
        <v>25.6</v>
      </c>
      <c r="M905" t="str">
        <f>LOOKUP(L905,Sheet2!$S$4:$T$8)</f>
        <v>1-25</v>
      </c>
      <c r="N905" s="1">
        <v>0.16700000000000001</v>
      </c>
      <c r="O905" t="str">
        <f>LOOKUP(N905,Sheet2!$V$4:$W$7)</f>
        <v>0.0 - 0.249</v>
      </c>
      <c r="P905" s="1">
        <v>29</v>
      </c>
      <c r="Q905" t="str">
        <f>LOOKUP(P905,Sheet2!$Z$4:$AA$7)</f>
        <v>26-35</v>
      </c>
      <c r="R905" s="1">
        <v>0</v>
      </c>
      <c r="S905" t="str">
        <f>IF(R905=1,"Positive","Negative")</f>
        <v>Negative</v>
      </c>
      <c r="T905" s="1" t="str">
        <f>IFERROR(VLOOKUP(A905,[1]diabetes_Recognition!$A:$B,2,FALSE),"Not Sampled")</f>
        <v>Not Sampled</v>
      </c>
      <c r="U905" t="str">
        <f>IF(T905=1,"Positive",(IF(T905=0,"Negative","Not Sampled")))</f>
        <v>Not Sampled</v>
      </c>
      <c r="V905" s="1" t="str">
        <f>IF(U905="Not Sampled","Not Sampled",IF(S905=U905,"Accurate Prediction","Inaccurate Prediction"))</f>
        <v>Not Sampled</v>
      </c>
    </row>
    <row r="906" spans="1:22" x14ac:dyDescent="0.25">
      <c r="A906" s="1">
        <v>904</v>
      </c>
      <c r="B906" s="1">
        <v>1</v>
      </c>
      <c r="C906" s="1">
        <f>LOOKUP(B906,Sheet2!$D$4:$E$9)</f>
        <v>1</v>
      </c>
      <c r="D906" s="1">
        <v>90</v>
      </c>
      <c r="E906" t="str">
        <f>LOOKUP(D906,Sheet2!$G$4:$H$9)</f>
        <v>1-99</v>
      </c>
      <c r="F906" s="1">
        <v>68</v>
      </c>
      <c r="G906" t="str">
        <f>LOOKUP(F906,Sheet2!$J$4:$K$8)</f>
        <v>60-69</v>
      </c>
      <c r="H906" s="1">
        <v>8</v>
      </c>
      <c r="I906" t="str">
        <f>LOOKUP(H906,Sheet2!$M$4:$N$8)</f>
        <v>1-10</v>
      </c>
      <c r="J906" s="1">
        <v>0</v>
      </c>
      <c r="K906" t="str">
        <f>LOOKUP(J906,Sheet2!$P$4:$Q$9)</f>
        <v>Unknown</v>
      </c>
      <c r="L906" s="1">
        <v>24.5</v>
      </c>
      <c r="M906" t="str">
        <f>LOOKUP(L906,Sheet2!$S$4:$T$8)</f>
        <v>1-25</v>
      </c>
      <c r="N906" s="1">
        <v>1.1379999999999999</v>
      </c>
      <c r="O906" t="str">
        <f>LOOKUP(N906,Sheet2!$V$4:$W$7)</f>
        <v>0.7+</v>
      </c>
      <c r="P906" s="1">
        <v>36</v>
      </c>
      <c r="Q906" t="str">
        <f>LOOKUP(P906,Sheet2!$Z$4:$AA$7)</f>
        <v>36-45</v>
      </c>
      <c r="R906" s="1">
        <v>0</v>
      </c>
      <c r="S906" t="str">
        <f>IF(R906=1,"Positive","Negative")</f>
        <v>Negative</v>
      </c>
      <c r="T906" s="1" t="str">
        <f>IFERROR(VLOOKUP(A906,[1]diabetes_Recognition!$A:$B,2,FALSE),"Not Sampled")</f>
        <v>Not Sampled</v>
      </c>
      <c r="U906" t="str">
        <f>IF(T906=1,"Positive",(IF(T906=0,"Negative","Not Sampled")))</f>
        <v>Not Sampled</v>
      </c>
      <c r="V906" s="1" t="str">
        <f>IF(U906="Not Sampled","Not Sampled",IF(S906=U906,"Accurate Prediction","Inaccurate Prediction"))</f>
        <v>Not Sampled</v>
      </c>
    </row>
    <row r="907" spans="1:22" x14ac:dyDescent="0.25">
      <c r="A907" s="1">
        <v>905</v>
      </c>
      <c r="B907" s="1">
        <v>0</v>
      </c>
      <c r="C907" s="1">
        <f>LOOKUP(B907,Sheet2!$D$4:$E$9)</f>
        <v>0</v>
      </c>
      <c r="D907" s="1">
        <v>141</v>
      </c>
      <c r="E907" t="str">
        <f>LOOKUP(D907,Sheet2!$G$4:$H$9)</f>
        <v>126-150</v>
      </c>
      <c r="F907" s="1">
        <v>0</v>
      </c>
      <c r="G907" t="str">
        <f>LOOKUP(F907,Sheet2!$J$4:$K$8)</f>
        <v>Unknown</v>
      </c>
      <c r="H907" s="1">
        <v>0</v>
      </c>
      <c r="I907" t="str">
        <f>LOOKUP(H907,Sheet2!$M$4:$N$8)</f>
        <v>Unknown</v>
      </c>
      <c r="J907" s="1">
        <v>0</v>
      </c>
      <c r="K907" t="str">
        <f>LOOKUP(J907,Sheet2!$P$4:$Q$9)</f>
        <v>Unknown</v>
      </c>
      <c r="L907" s="1">
        <v>42.4</v>
      </c>
      <c r="M907" t="str">
        <f>LOOKUP(L907,Sheet2!$S$4:$T$8)</f>
        <v>36+</v>
      </c>
      <c r="N907" s="1">
        <v>0.20499999999999999</v>
      </c>
      <c r="O907" t="str">
        <f>LOOKUP(N907,Sheet2!$V$4:$W$7)</f>
        <v>0.0 - 0.249</v>
      </c>
      <c r="P907" s="1">
        <v>29</v>
      </c>
      <c r="Q907" t="str">
        <f>LOOKUP(P907,Sheet2!$Z$4:$AA$7)</f>
        <v>26-35</v>
      </c>
      <c r="R907" s="1">
        <v>1</v>
      </c>
      <c r="S907" t="str">
        <f>IF(R907=1,"Positive","Negative")</f>
        <v>Positive</v>
      </c>
      <c r="T907" s="1" t="str">
        <f>IFERROR(VLOOKUP(A907,[1]diabetes_Recognition!$A:$B,2,FALSE),"Not Sampled")</f>
        <v>Not Sampled</v>
      </c>
      <c r="U907" t="str">
        <f>IF(T907=1,"Positive",(IF(T907=0,"Negative","Not Sampled")))</f>
        <v>Not Sampled</v>
      </c>
      <c r="V907" s="1" t="str">
        <f>IF(U907="Not Sampled","Not Sampled",IF(S907=U907,"Accurate Prediction","Inaccurate Prediction"))</f>
        <v>Not Sampled</v>
      </c>
    </row>
    <row r="908" spans="1:22" x14ac:dyDescent="0.25">
      <c r="A908" s="1">
        <v>906</v>
      </c>
      <c r="B908" s="1">
        <v>12</v>
      </c>
      <c r="C908" s="1" t="str">
        <f>LOOKUP(B908,Sheet2!$D$4:$E$9)</f>
        <v>8+</v>
      </c>
      <c r="D908" s="1">
        <v>140</v>
      </c>
      <c r="E908" t="str">
        <f>LOOKUP(D908,Sheet2!$G$4:$H$9)</f>
        <v>126-150</v>
      </c>
      <c r="F908" s="1">
        <v>85</v>
      </c>
      <c r="G908" t="str">
        <f>LOOKUP(F908,Sheet2!$J$4:$K$8)</f>
        <v>80+</v>
      </c>
      <c r="H908" s="1">
        <v>33</v>
      </c>
      <c r="I908" t="str">
        <f>LOOKUP(H908,Sheet2!$M$4:$N$8)</f>
        <v>30-39</v>
      </c>
      <c r="J908" s="1">
        <v>0</v>
      </c>
      <c r="K908" t="str">
        <f>LOOKUP(J908,Sheet2!$P$4:$Q$9)</f>
        <v>Unknown</v>
      </c>
      <c r="L908" s="1">
        <v>37.4</v>
      </c>
      <c r="M908" t="str">
        <f>LOOKUP(L908,Sheet2!$S$4:$T$8)</f>
        <v>36+</v>
      </c>
      <c r="N908" s="1">
        <v>0.24399999999999999</v>
      </c>
      <c r="O908" t="str">
        <f>LOOKUP(N908,Sheet2!$V$4:$W$7)</f>
        <v>0.0 - 0.249</v>
      </c>
      <c r="P908" s="1">
        <v>41</v>
      </c>
      <c r="Q908" t="str">
        <f>LOOKUP(P908,Sheet2!$Z$4:$AA$7)</f>
        <v>36-45</v>
      </c>
      <c r="R908" s="1">
        <v>0</v>
      </c>
      <c r="S908" t="str">
        <f>IF(R908=1,"Positive","Negative")</f>
        <v>Negative</v>
      </c>
      <c r="T908" s="1">
        <f>IFERROR(VLOOKUP(A908,[1]diabetes_Recognition!$A:$B,2,FALSE),"Not Sampled")</f>
        <v>1</v>
      </c>
      <c r="U908" t="str">
        <f>IF(T908=1,"Positive",(IF(T908=0,"Negative","Not Sampled")))</f>
        <v>Positive</v>
      </c>
      <c r="V908" s="1" t="str">
        <f>IF(U908="Not Sampled","Not Sampled",IF(S908=U908,"Accurate Prediction","Inaccurate Prediction"))</f>
        <v>Inaccurate Prediction</v>
      </c>
    </row>
    <row r="909" spans="1:22" x14ac:dyDescent="0.25">
      <c r="A909" s="1">
        <v>907</v>
      </c>
      <c r="B909" s="1">
        <v>5</v>
      </c>
      <c r="C909" s="1" t="str">
        <f>LOOKUP(B909,Sheet2!$D$4:$E$9)</f>
        <v>5-7</v>
      </c>
      <c r="D909" s="1">
        <v>147</v>
      </c>
      <c r="E909" t="str">
        <f>LOOKUP(D909,Sheet2!$G$4:$H$9)</f>
        <v>126-150</v>
      </c>
      <c r="F909" s="1">
        <v>75</v>
      </c>
      <c r="G909" t="str">
        <f>LOOKUP(F909,Sheet2!$J$4:$K$8)</f>
        <v>70-79</v>
      </c>
      <c r="H909" s="1">
        <v>0</v>
      </c>
      <c r="I909" t="str">
        <f>LOOKUP(H909,Sheet2!$M$4:$N$8)</f>
        <v>Unknown</v>
      </c>
      <c r="J909" s="1">
        <v>0</v>
      </c>
      <c r="K909" t="str">
        <f>LOOKUP(J909,Sheet2!$P$4:$Q$9)</f>
        <v>Unknown</v>
      </c>
      <c r="L909" s="1">
        <v>29.9</v>
      </c>
      <c r="M909" t="str">
        <f>LOOKUP(L909,Sheet2!$S$4:$T$8)</f>
        <v>26-30</v>
      </c>
      <c r="N909" s="1">
        <v>0.434</v>
      </c>
      <c r="O909" t="str">
        <f>LOOKUP(N909,Sheet2!$V$4:$W$7)</f>
        <v>0.4 - 0.69</v>
      </c>
      <c r="P909" s="1">
        <v>28</v>
      </c>
      <c r="Q909" t="str">
        <f>LOOKUP(P909,Sheet2!$Z$4:$AA$7)</f>
        <v>26-35</v>
      </c>
      <c r="R909" s="1">
        <v>0</v>
      </c>
      <c r="S909" t="str">
        <f>IF(R909=1,"Positive","Negative")</f>
        <v>Negative</v>
      </c>
      <c r="T909" s="1" t="str">
        <f>IFERROR(VLOOKUP(A909,[1]diabetes_Recognition!$A:$B,2,FALSE),"Not Sampled")</f>
        <v>Not Sampled</v>
      </c>
      <c r="U909" t="str">
        <f>IF(T909=1,"Positive",(IF(T909=0,"Negative","Not Sampled")))</f>
        <v>Not Sampled</v>
      </c>
      <c r="V909" s="1" t="str">
        <f>IF(U909="Not Sampled","Not Sampled",IF(S909=U909,"Accurate Prediction","Inaccurate Prediction"))</f>
        <v>Not Sampled</v>
      </c>
    </row>
    <row r="910" spans="1:22" x14ac:dyDescent="0.25">
      <c r="A910" s="1">
        <v>908</v>
      </c>
      <c r="B910" s="1">
        <v>1</v>
      </c>
      <c r="C910" s="1">
        <f>LOOKUP(B910,Sheet2!$D$4:$E$9)</f>
        <v>1</v>
      </c>
      <c r="D910" s="1">
        <v>97</v>
      </c>
      <c r="E910" t="str">
        <f>LOOKUP(D910,Sheet2!$G$4:$H$9)</f>
        <v>1-99</v>
      </c>
      <c r="F910" s="1">
        <v>70</v>
      </c>
      <c r="G910" t="str">
        <f>LOOKUP(F910,Sheet2!$J$4:$K$8)</f>
        <v>70-79</v>
      </c>
      <c r="H910" s="1">
        <v>15</v>
      </c>
      <c r="I910" t="str">
        <f>LOOKUP(H910,Sheet2!$M$4:$N$8)</f>
        <v>10-30</v>
      </c>
      <c r="J910" s="1">
        <v>0</v>
      </c>
      <c r="K910" t="str">
        <f>LOOKUP(J910,Sheet2!$P$4:$Q$9)</f>
        <v>Unknown</v>
      </c>
      <c r="L910" s="1">
        <v>18.2</v>
      </c>
      <c r="M910" t="str">
        <f>LOOKUP(L910,Sheet2!$S$4:$T$8)</f>
        <v>1-25</v>
      </c>
      <c r="N910" s="1">
        <v>0.14699999999999999</v>
      </c>
      <c r="O910" t="str">
        <f>LOOKUP(N910,Sheet2!$V$4:$W$7)</f>
        <v>0.0 - 0.249</v>
      </c>
      <c r="P910" s="1">
        <v>21</v>
      </c>
      <c r="Q910" t="str">
        <f>LOOKUP(P910,Sheet2!$Z$4:$AA$7)</f>
        <v>&lt;=25</v>
      </c>
      <c r="R910" s="1">
        <v>0</v>
      </c>
      <c r="S910" t="str">
        <f>IF(R910=1,"Positive","Negative")</f>
        <v>Negative</v>
      </c>
      <c r="T910" s="1" t="str">
        <f>IFERROR(VLOOKUP(A910,[1]diabetes_Recognition!$A:$B,2,FALSE),"Not Sampled")</f>
        <v>Not Sampled</v>
      </c>
      <c r="U910" t="str">
        <f>IF(T910=1,"Positive",(IF(T910=0,"Negative","Not Sampled")))</f>
        <v>Not Sampled</v>
      </c>
      <c r="V910" s="1" t="str">
        <f>IF(U910="Not Sampled","Not Sampled",IF(S910=U910,"Accurate Prediction","Inaccurate Prediction"))</f>
        <v>Not Sampled</v>
      </c>
    </row>
    <row r="911" spans="1:22" x14ac:dyDescent="0.25">
      <c r="A911" s="1">
        <v>909</v>
      </c>
      <c r="B911" s="1">
        <v>6</v>
      </c>
      <c r="C911" s="1" t="str">
        <f>LOOKUP(B911,Sheet2!$D$4:$E$9)</f>
        <v>5-7</v>
      </c>
      <c r="D911" s="1">
        <v>107</v>
      </c>
      <c r="E911" t="str">
        <f>LOOKUP(D911,Sheet2!$G$4:$H$9)</f>
        <v>100-125</v>
      </c>
      <c r="F911" s="1">
        <v>88</v>
      </c>
      <c r="G911" t="str">
        <f>LOOKUP(F911,Sheet2!$J$4:$K$8)</f>
        <v>80+</v>
      </c>
      <c r="H911" s="1">
        <v>0</v>
      </c>
      <c r="I911" t="str">
        <f>LOOKUP(H911,Sheet2!$M$4:$N$8)</f>
        <v>Unknown</v>
      </c>
      <c r="J911" s="1">
        <v>0</v>
      </c>
      <c r="K911" t="str">
        <f>LOOKUP(J911,Sheet2!$P$4:$Q$9)</f>
        <v>Unknown</v>
      </c>
      <c r="L911" s="1">
        <v>36.799999999999997</v>
      </c>
      <c r="M911" t="str">
        <f>LOOKUP(L911,Sheet2!$S$4:$T$8)</f>
        <v>36+</v>
      </c>
      <c r="N911" s="1">
        <v>0.72699999999999998</v>
      </c>
      <c r="O911" t="str">
        <f>LOOKUP(N911,Sheet2!$V$4:$W$7)</f>
        <v>0.7+</v>
      </c>
      <c r="P911" s="1">
        <v>31</v>
      </c>
      <c r="Q911" t="str">
        <f>LOOKUP(P911,Sheet2!$Z$4:$AA$7)</f>
        <v>26-35</v>
      </c>
      <c r="R911" s="1">
        <v>0</v>
      </c>
      <c r="S911" t="str">
        <f>IF(R911=1,"Positive","Negative")</f>
        <v>Negative</v>
      </c>
      <c r="T911" s="1" t="str">
        <f>IFERROR(VLOOKUP(A911,[1]diabetes_Recognition!$A:$B,2,FALSE),"Not Sampled")</f>
        <v>Not Sampled</v>
      </c>
      <c r="U911" t="str">
        <f>IF(T911=1,"Positive",(IF(T911=0,"Negative","Not Sampled")))</f>
        <v>Not Sampled</v>
      </c>
      <c r="V911" s="1" t="str">
        <f>IF(U911="Not Sampled","Not Sampled",IF(S911=U911,"Accurate Prediction","Inaccurate Prediction"))</f>
        <v>Not Sampled</v>
      </c>
    </row>
    <row r="912" spans="1:22" x14ac:dyDescent="0.25">
      <c r="A912" s="1">
        <v>910</v>
      </c>
      <c r="B912" s="1">
        <v>0</v>
      </c>
      <c r="C912" s="1">
        <f>LOOKUP(B912,Sheet2!$D$4:$E$9)</f>
        <v>0</v>
      </c>
      <c r="D912" s="1">
        <v>189</v>
      </c>
      <c r="E912" t="str">
        <f>LOOKUP(D912,Sheet2!$G$4:$H$9)</f>
        <v>176-200</v>
      </c>
      <c r="F912" s="1">
        <v>104</v>
      </c>
      <c r="G912" t="str">
        <f>LOOKUP(F912,Sheet2!$J$4:$K$8)</f>
        <v>80+</v>
      </c>
      <c r="H912" s="1">
        <v>25</v>
      </c>
      <c r="I912" t="str">
        <f>LOOKUP(H912,Sheet2!$M$4:$N$8)</f>
        <v>10-30</v>
      </c>
      <c r="J912" s="1">
        <v>0</v>
      </c>
      <c r="K912" t="str">
        <f>LOOKUP(J912,Sheet2!$P$4:$Q$9)</f>
        <v>Unknown</v>
      </c>
      <c r="L912" s="1">
        <v>34.299999999999997</v>
      </c>
      <c r="M912" t="str">
        <f>LOOKUP(L912,Sheet2!$S$4:$T$8)</f>
        <v>31-35</v>
      </c>
      <c r="N912" s="1">
        <v>0.435</v>
      </c>
      <c r="O912" t="str">
        <f>LOOKUP(N912,Sheet2!$V$4:$W$7)</f>
        <v>0.4 - 0.69</v>
      </c>
      <c r="P912" s="1">
        <v>41</v>
      </c>
      <c r="Q912" t="str">
        <f>LOOKUP(P912,Sheet2!$Z$4:$AA$7)</f>
        <v>36-45</v>
      </c>
      <c r="R912" s="1">
        <v>1</v>
      </c>
      <c r="S912" t="str">
        <f>IF(R912=1,"Positive","Negative")</f>
        <v>Positive</v>
      </c>
      <c r="T912" s="1" t="str">
        <f>IFERROR(VLOOKUP(A912,[1]diabetes_Recognition!$A:$B,2,FALSE),"Not Sampled")</f>
        <v>Not Sampled</v>
      </c>
      <c r="U912" t="str">
        <f>IF(T912=1,"Positive",(IF(T912=0,"Negative","Not Sampled")))</f>
        <v>Not Sampled</v>
      </c>
      <c r="V912" s="1" t="str">
        <f>IF(U912="Not Sampled","Not Sampled",IF(S912=U912,"Accurate Prediction","Inaccurate Prediction"))</f>
        <v>Not Sampled</v>
      </c>
    </row>
    <row r="913" spans="1:22" x14ac:dyDescent="0.25">
      <c r="A913" s="1">
        <v>911</v>
      </c>
      <c r="B913" s="1">
        <v>2</v>
      </c>
      <c r="C913" s="1">
        <f>LOOKUP(B913,Sheet2!$D$4:$E$9)</f>
        <v>2</v>
      </c>
      <c r="D913" s="1">
        <v>83</v>
      </c>
      <c r="E913" t="str">
        <f>LOOKUP(D913,Sheet2!$G$4:$H$9)</f>
        <v>1-99</v>
      </c>
      <c r="F913" s="1">
        <v>66</v>
      </c>
      <c r="G913" t="str">
        <f>LOOKUP(F913,Sheet2!$J$4:$K$8)</f>
        <v>60-69</v>
      </c>
      <c r="H913" s="1">
        <v>23</v>
      </c>
      <c r="I913" t="str">
        <f>LOOKUP(H913,Sheet2!$M$4:$N$8)</f>
        <v>10-30</v>
      </c>
      <c r="J913" s="1">
        <v>50</v>
      </c>
      <c r="K913" t="str">
        <f>LOOKUP(J913,Sheet2!$P$4:$Q$9)</f>
        <v>1-99</v>
      </c>
      <c r="L913" s="1">
        <v>32.200000000000003</v>
      </c>
      <c r="M913" t="str">
        <f>LOOKUP(L913,Sheet2!$S$4:$T$8)</f>
        <v>31-35</v>
      </c>
      <c r="N913" s="1">
        <v>0.497</v>
      </c>
      <c r="O913" t="str">
        <f>LOOKUP(N913,Sheet2!$V$4:$W$7)</f>
        <v>0.4 - 0.69</v>
      </c>
      <c r="P913" s="1">
        <v>22</v>
      </c>
      <c r="Q913" t="str">
        <f>LOOKUP(P913,Sheet2!$Z$4:$AA$7)</f>
        <v>&lt;=25</v>
      </c>
      <c r="R913" s="1">
        <v>0</v>
      </c>
      <c r="S913" t="str">
        <f>IF(R913=1,"Positive","Negative")</f>
        <v>Negative</v>
      </c>
      <c r="T913" s="1" t="str">
        <f>IFERROR(VLOOKUP(A913,[1]diabetes_Recognition!$A:$B,2,FALSE),"Not Sampled")</f>
        <v>Not Sampled</v>
      </c>
      <c r="U913" t="str">
        <f>IF(T913=1,"Positive",(IF(T913=0,"Negative","Not Sampled")))</f>
        <v>Not Sampled</v>
      </c>
      <c r="V913" s="1" t="str">
        <f>IF(U913="Not Sampled","Not Sampled",IF(S913=U913,"Accurate Prediction","Inaccurate Prediction"))</f>
        <v>Not Sampled</v>
      </c>
    </row>
    <row r="914" spans="1:22" x14ac:dyDescent="0.25">
      <c r="A914" s="1">
        <v>912</v>
      </c>
      <c r="B914" s="1">
        <v>4</v>
      </c>
      <c r="C914" s="1" t="str">
        <f>LOOKUP(B914,Sheet2!$D$4:$E$9)</f>
        <v>3-4</v>
      </c>
      <c r="D914" s="1">
        <v>117</v>
      </c>
      <c r="E914" t="str">
        <f>LOOKUP(D914,Sheet2!$G$4:$H$9)</f>
        <v>100-125</v>
      </c>
      <c r="F914" s="1">
        <v>64</v>
      </c>
      <c r="G914" t="str">
        <f>LOOKUP(F914,Sheet2!$J$4:$K$8)</f>
        <v>60-69</v>
      </c>
      <c r="H914" s="1">
        <v>27</v>
      </c>
      <c r="I914" t="str">
        <f>LOOKUP(H914,Sheet2!$M$4:$N$8)</f>
        <v>10-30</v>
      </c>
      <c r="J914" s="1">
        <v>120</v>
      </c>
      <c r="K914" t="str">
        <f>LOOKUP(J914,Sheet2!$P$4:$Q$9)</f>
        <v>100-199</v>
      </c>
      <c r="L914" s="1">
        <v>33.200000000000003</v>
      </c>
      <c r="M914" t="str">
        <f>LOOKUP(L914,Sheet2!$S$4:$T$8)</f>
        <v>31-35</v>
      </c>
      <c r="N914" s="1">
        <v>0.23</v>
      </c>
      <c r="O914" t="str">
        <f>LOOKUP(N914,Sheet2!$V$4:$W$7)</f>
        <v>0.0 - 0.249</v>
      </c>
      <c r="P914" s="1">
        <v>24</v>
      </c>
      <c r="Q914" t="str">
        <f>LOOKUP(P914,Sheet2!$Z$4:$AA$7)</f>
        <v>&lt;=25</v>
      </c>
      <c r="R914" s="1">
        <v>0</v>
      </c>
      <c r="S914" t="str">
        <f>IF(R914=1,"Positive","Negative")</f>
        <v>Negative</v>
      </c>
      <c r="T914" s="1" t="str">
        <f>IFERROR(VLOOKUP(A914,[1]diabetes_Recognition!$A:$B,2,FALSE),"Not Sampled")</f>
        <v>Not Sampled</v>
      </c>
      <c r="U914" t="str">
        <f>IF(T914=1,"Positive",(IF(T914=0,"Negative","Not Sampled")))</f>
        <v>Not Sampled</v>
      </c>
      <c r="V914" s="1" t="str">
        <f>IF(U914="Not Sampled","Not Sampled",IF(S914=U914,"Accurate Prediction","Inaccurate Prediction"))</f>
        <v>Not Sampled</v>
      </c>
    </row>
    <row r="915" spans="1:22" x14ac:dyDescent="0.25">
      <c r="A915" s="1">
        <v>913</v>
      </c>
      <c r="B915" s="1">
        <v>8</v>
      </c>
      <c r="C915" s="1" t="str">
        <f>LOOKUP(B915,Sheet2!$D$4:$E$9)</f>
        <v>8+</v>
      </c>
      <c r="D915" s="1">
        <v>108</v>
      </c>
      <c r="E915" t="str">
        <f>LOOKUP(D915,Sheet2!$G$4:$H$9)</f>
        <v>100-125</v>
      </c>
      <c r="F915" s="1">
        <v>70</v>
      </c>
      <c r="G915" t="str">
        <f>LOOKUP(F915,Sheet2!$J$4:$K$8)</f>
        <v>70-79</v>
      </c>
      <c r="H915" s="1">
        <v>0</v>
      </c>
      <c r="I915" t="str">
        <f>LOOKUP(H915,Sheet2!$M$4:$N$8)</f>
        <v>Unknown</v>
      </c>
      <c r="J915" s="1">
        <v>0</v>
      </c>
      <c r="K915" t="str">
        <f>LOOKUP(J915,Sheet2!$P$4:$Q$9)</f>
        <v>Unknown</v>
      </c>
      <c r="L915" s="1">
        <v>30.5</v>
      </c>
      <c r="M915" t="str">
        <f>LOOKUP(L915,Sheet2!$S$4:$T$8)</f>
        <v>26-30</v>
      </c>
      <c r="N915" s="1">
        <v>0.95499999999999996</v>
      </c>
      <c r="O915" t="str">
        <f>LOOKUP(N915,Sheet2!$V$4:$W$7)</f>
        <v>0.7+</v>
      </c>
      <c r="P915" s="1">
        <v>33</v>
      </c>
      <c r="Q915" t="str">
        <f>LOOKUP(P915,Sheet2!$Z$4:$AA$7)</f>
        <v>26-35</v>
      </c>
      <c r="R915" s="1">
        <v>1</v>
      </c>
      <c r="S915" t="str">
        <f>IF(R915=1,"Positive","Negative")</f>
        <v>Positive</v>
      </c>
      <c r="T915" s="1">
        <f>IFERROR(VLOOKUP(A915,[1]diabetes_Recognition!$A:$B,2,FALSE),"Not Sampled")</f>
        <v>0</v>
      </c>
      <c r="U915" t="str">
        <f>IF(T915=1,"Positive",(IF(T915=0,"Negative","Not Sampled")))</f>
        <v>Negative</v>
      </c>
      <c r="V915" s="1" t="str">
        <f>IF(U915="Not Sampled","Not Sampled",IF(S915=U915,"Accurate Prediction","Inaccurate Prediction"))</f>
        <v>Inaccurate Prediction</v>
      </c>
    </row>
    <row r="916" spans="1:22" x14ac:dyDescent="0.25">
      <c r="A916" s="1">
        <v>914</v>
      </c>
      <c r="B916" s="1">
        <v>4</v>
      </c>
      <c r="C916" s="1" t="str">
        <f>LOOKUP(B916,Sheet2!$D$4:$E$9)</f>
        <v>3-4</v>
      </c>
      <c r="D916" s="1">
        <v>117</v>
      </c>
      <c r="E916" t="str">
        <f>LOOKUP(D916,Sheet2!$G$4:$H$9)</f>
        <v>100-125</v>
      </c>
      <c r="F916" s="1">
        <v>62</v>
      </c>
      <c r="G916" t="str">
        <f>LOOKUP(F916,Sheet2!$J$4:$K$8)</f>
        <v>60-69</v>
      </c>
      <c r="H916" s="1">
        <v>12</v>
      </c>
      <c r="I916" t="str">
        <f>LOOKUP(H916,Sheet2!$M$4:$N$8)</f>
        <v>10-30</v>
      </c>
      <c r="J916" s="1">
        <v>0</v>
      </c>
      <c r="K916" t="str">
        <f>LOOKUP(J916,Sheet2!$P$4:$Q$9)</f>
        <v>Unknown</v>
      </c>
      <c r="L916" s="1">
        <v>29.7</v>
      </c>
      <c r="M916" t="str">
        <f>LOOKUP(L916,Sheet2!$S$4:$T$8)</f>
        <v>26-30</v>
      </c>
      <c r="N916" s="1">
        <v>0.38</v>
      </c>
      <c r="O916" t="str">
        <f>LOOKUP(N916,Sheet2!$V$4:$W$7)</f>
        <v>0.25 - 0.39</v>
      </c>
      <c r="P916" s="1">
        <v>30</v>
      </c>
      <c r="Q916" t="str">
        <f>LOOKUP(P916,Sheet2!$Z$4:$AA$7)</f>
        <v>26-35</v>
      </c>
      <c r="R916" s="1">
        <v>1</v>
      </c>
      <c r="S916" t="str">
        <f>IF(R916=1,"Positive","Negative")</f>
        <v>Positive</v>
      </c>
      <c r="T916" s="1" t="str">
        <f>IFERROR(VLOOKUP(A916,[1]diabetes_Recognition!$A:$B,2,FALSE),"Not Sampled")</f>
        <v>Not Sampled</v>
      </c>
      <c r="U916" t="str">
        <f>IF(T916=1,"Positive",(IF(T916=0,"Negative","Not Sampled")))</f>
        <v>Not Sampled</v>
      </c>
      <c r="V916" s="1" t="str">
        <f>IF(U916="Not Sampled","Not Sampled",IF(S916=U916,"Accurate Prediction","Inaccurate Prediction"))</f>
        <v>Not Sampled</v>
      </c>
    </row>
    <row r="917" spans="1:22" x14ac:dyDescent="0.25">
      <c r="A917" s="1">
        <v>915</v>
      </c>
      <c r="B917" s="1">
        <v>0</v>
      </c>
      <c r="C917" s="1">
        <f>LOOKUP(B917,Sheet2!$D$4:$E$9)</f>
        <v>0</v>
      </c>
      <c r="D917" s="1">
        <v>180</v>
      </c>
      <c r="E917" t="str">
        <f>LOOKUP(D917,Sheet2!$G$4:$H$9)</f>
        <v>176-200</v>
      </c>
      <c r="F917" s="1">
        <v>78</v>
      </c>
      <c r="G917" t="str">
        <f>LOOKUP(F917,Sheet2!$J$4:$K$8)</f>
        <v>70-79</v>
      </c>
      <c r="H917" s="1">
        <v>63</v>
      </c>
      <c r="I917" t="str">
        <f>LOOKUP(H917,Sheet2!$M$4:$N$8)</f>
        <v>40+</v>
      </c>
      <c r="J917" s="1">
        <v>14</v>
      </c>
      <c r="K917" t="str">
        <f>LOOKUP(J917,Sheet2!$P$4:$Q$9)</f>
        <v>1-99</v>
      </c>
      <c r="L917" s="1">
        <v>59.4</v>
      </c>
      <c r="M917" t="str">
        <f>LOOKUP(L917,Sheet2!$S$4:$T$8)</f>
        <v>36+</v>
      </c>
      <c r="N917" s="1">
        <v>2.42</v>
      </c>
      <c r="O917" t="str">
        <f>LOOKUP(N917,Sheet2!$V$4:$W$7)</f>
        <v>0.7+</v>
      </c>
      <c r="P917" s="1">
        <v>25</v>
      </c>
      <c r="Q917" t="str">
        <f>LOOKUP(P917,Sheet2!$Z$4:$AA$7)</f>
        <v>&lt;=25</v>
      </c>
      <c r="R917" s="1">
        <v>1</v>
      </c>
      <c r="S917" t="str">
        <f>IF(R917=1,"Positive","Negative")</f>
        <v>Positive</v>
      </c>
      <c r="T917" s="1" t="str">
        <f>IFERROR(VLOOKUP(A917,[1]diabetes_Recognition!$A:$B,2,FALSE),"Not Sampled")</f>
        <v>Not Sampled</v>
      </c>
      <c r="U917" t="str">
        <f>IF(T917=1,"Positive",(IF(T917=0,"Negative","Not Sampled")))</f>
        <v>Not Sampled</v>
      </c>
      <c r="V917" s="1" t="str">
        <f>IF(U917="Not Sampled","Not Sampled",IF(S917=U917,"Accurate Prediction","Inaccurate Prediction"))</f>
        <v>Not Sampled</v>
      </c>
    </row>
    <row r="918" spans="1:22" x14ac:dyDescent="0.25">
      <c r="A918" s="1">
        <v>916</v>
      </c>
      <c r="B918" s="1">
        <v>1</v>
      </c>
      <c r="C918" s="1">
        <f>LOOKUP(B918,Sheet2!$D$4:$E$9)</f>
        <v>1</v>
      </c>
      <c r="D918" s="1">
        <v>100</v>
      </c>
      <c r="E918" t="str">
        <f>LOOKUP(D918,Sheet2!$G$4:$H$9)</f>
        <v>100-125</v>
      </c>
      <c r="F918" s="1">
        <v>72</v>
      </c>
      <c r="G918" t="str">
        <f>LOOKUP(F918,Sheet2!$J$4:$K$8)</f>
        <v>70-79</v>
      </c>
      <c r="H918" s="1">
        <v>12</v>
      </c>
      <c r="I918" t="str">
        <f>LOOKUP(H918,Sheet2!$M$4:$N$8)</f>
        <v>10-30</v>
      </c>
      <c r="J918" s="1">
        <v>70</v>
      </c>
      <c r="K918" t="str">
        <f>LOOKUP(J918,Sheet2!$P$4:$Q$9)</f>
        <v>1-99</v>
      </c>
      <c r="L918" s="1">
        <v>25.3</v>
      </c>
      <c r="M918" t="str">
        <f>LOOKUP(L918,Sheet2!$S$4:$T$8)</f>
        <v>1-25</v>
      </c>
      <c r="N918" s="1">
        <v>0.65800000000000003</v>
      </c>
      <c r="O918" t="str">
        <f>LOOKUP(N918,Sheet2!$V$4:$W$7)</f>
        <v>0.4 - 0.69</v>
      </c>
      <c r="P918" s="1">
        <v>28</v>
      </c>
      <c r="Q918" t="str">
        <f>LOOKUP(P918,Sheet2!$Z$4:$AA$7)</f>
        <v>26-35</v>
      </c>
      <c r="R918" s="1">
        <v>0</v>
      </c>
      <c r="S918" t="str">
        <f>IF(R918=1,"Positive","Negative")</f>
        <v>Negative</v>
      </c>
      <c r="T918" s="1">
        <f>IFERROR(VLOOKUP(A918,[1]diabetes_Recognition!$A:$B,2,FALSE),"Not Sampled")</f>
        <v>0</v>
      </c>
      <c r="U918" t="str">
        <f>IF(T918=1,"Positive",(IF(T918=0,"Negative","Not Sampled")))</f>
        <v>Negative</v>
      </c>
      <c r="V918" s="1" t="str">
        <f>IF(U918="Not Sampled","Not Sampled",IF(S918=U918,"Accurate Prediction","Inaccurate Prediction"))</f>
        <v>Accurate Prediction</v>
      </c>
    </row>
    <row r="919" spans="1:22" x14ac:dyDescent="0.25">
      <c r="A919" s="1">
        <v>917</v>
      </c>
      <c r="B919" s="1">
        <v>0</v>
      </c>
      <c r="C919" s="1">
        <f>LOOKUP(B919,Sheet2!$D$4:$E$9)</f>
        <v>0</v>
      </c>
      <c r="D919" s="1">
        <v>95</v>
      </c>
      <c r="E919" t="str">
        <f>LOOKUP(D919,Sheet2!$G$4:$H$9)</f>
        <v>1-99</v>
      </c>
      <c r="F919" s="1">
        <v>80</v>
      </c>
      <c r="G919" t="str">
        <f>LOOKUP(F919,Sheet2!$J$4:$K$8)</f>
        <v>80+</v>
      </c>
      <c r="H919" s="1">
        <v>45</v>
      </c>
      <c r="I919" t="str">
        <f>LOOKUP(H919,Sheet2!$M$4:$N$8)</f>
        <v>40+</v>
      </c>
      <c r="J919" s="1">
        <v>92</v>
      </c>
      <c r="K919" t="str">
        <f>LOOKUP(J919,Sheet2!$P$4:$Q$9)</f>
        <v>1-99</v>
      </c>
      <c r="L919" s="1">
        <v>36.5</v>
      </c>
      <c r="M919" t="str">
        <f>LOOKUP(L919,Sheet2!$S$4:$T$8)</f>
        <v>36+</v>
      </c>
      <c r="N919" s="1">
        <v>0.33</v>
      </c>
      <c r="O919" t="str">
        <f>LOOKUP(N919,Sheet2!$V$4:$W$7)</f>
        <v>0.25 - 0.39</v>
      </c>
      <c r="P919" s="1">
        <v>26</v>
      </c>
      <c r="Q919" t="str">
        <f>LOOKUP(P919,Sheet2!$Z$4:$AA$7)</f>
        <v>26-35</v>
      </c>
      <c r="R919" s="1">
        <v>0</v>
      </c>
      <c r="S919" t="str">
        <f>IF(R919=1,"Positive","Negative")</f>
        <v>Negative</v>
      </c>
      <c r="T919" s="1" t="str">
        <f>IFERROR(VLOOKUP(A919,[1]diabetes_Recognition!$A:$B,2,FALSE),"Not Sampled")</f>
        <v>Not Sampled</v>
      </c>
      <c r="U919" t="str">
        <f>IF(T919=1,"Positive",(IF(T919=0,"Negative","Not Sampled")))</f>
        <v>Not Sampled</v>
      </c>
      <c r="V919" s="1" t="str">
        <f>IF(U919="Not Sampled","Not Sampled",IF(S919=U919,"Accurate Prediction","Inaccurate Prediction"))</f>
        <v>Not Sampled</v>
      </c>
    </row>
    <row r="920" spans="1:22" x14ac:dyDescent="0.25">
      <c r="A920" s="1">
        <v>918</v>
      </c>
      <c r="B920" s="1">
        <v>0</v>
      </c>
      <c r="C920" s="1">
        <f>LOOKUP(B920,Sheet2!$D$4:$E$9)</f>
        <v>0</v>
      </c>
      <c r="D920" s="1">
        <v>104</v>
      </c>
      <c r="E920" t="str">
        <f>LOOKUP(D920,Sheet2!$G$4:$H$9)</f>
        <v>100-125</v>
      </c>
      <c r="F920" s="1">
        <v>64</v>
      </c>
      <c r="G920" t="str">
        <f>LOOKUP(F920,Sheet2!$J$4:$K$8)</f>
        <v>60-69</v>
      </c>
      <c r="H920" s="1">
        <v>37</v>
      </c>
      <c r="I920" t="str">
        <f>LOOKUP(H920,Sheet2!$M$4:$N$8)</f>
        <v>30-39</v>
      </c>
      <c r="J920" s="1">
        <v>64</v>
      </c>
      <c r="K920" t="str">
        <f>LOOKUP(J920,Sheet2!$P$4:$Q$9)</f>
        <v>1-99</v>
      </c>
      <c r="L920" s="1">
        <v>33.6</v>
      </c>
      <c r="M920" t="str">
        <f>LOOKUP(L920,Sheet2!$S$4:$T$8)</f>
        <v>31-35</v>
      </c>
      <c r="N920" s="1">
        <v>0.51</v>
      </c>
      <c r="O920" t="str">
        <f>LOOKUP(N920,Sheet2!$V$4:$W$7)</f>
        <v>0.4 - 0.69</v>
      </c>
      <c r="P920" s="1">
        <v>22</v>
      </c>
      <c r="Q920" t="str">
        <f>LOOKUP(P920,Sheet2!$Z$4:$AA$7)</f>
        <v>&lt;=25</v>
      </c>
      <c r="R920" s="1">
        <v>1</v>
      </c>
      <c r="S920" t="str">
        <f>IF(R920=1,"Positive","Negative")</f>
        <v>Positive</v>
      </c>
      <c r="T920" s="1" t="str">
        <f>IFERROR(VLOOKUP(A920,[1]diabetes_Recognition!$A:$B,2,FALSE),"Not Sampled")</f>
        <v>Not Sampled</v>
      </c>
      <c r="U920" t="str">
        <f>IF(T920=1,"Positive",(IF(T920=0,"Negative","Not Sampled")))</f>
        <v>Not Sampled</v>
      </c>
      <c r="V920" s="1" t="str">
        <f>IF(U920="Not Sampled","Not Sampled",IF(S920=U920,"Accurate Prediction","Inaccurate Prediction"))</f>
        <v>Not Sampled</v>
      </c>
    </row>
    <row r="921" spans="1:22" x14ac:dyDescent="0.25">
      <c r="A921" s="1">
        <v>919</v>
      </c>
      <c r="B921" s="1">
        <v>0</v>
      </c>
      <c r="C921" s="1">
        <f>LOOKUP(B921,Sheet2!$D$4:$E$9)</f>
        <v>0</v>
      </c>
      <c r="D921" s="1">
        <v>120</v>
      </c>
      <c r="E921" t="str">
        <f>LOOKUP(D921,Sheet2!$G$4:$H$9)</f>
        <v>100-125</v>
      </c>
      <c r="F921" s="1">
        <v>74</v>
      </c>
      <c r="G921" t="str">
        <f>LOOKUP(F921,Sheet2!$J$4:$K$8)</f>
        <v>70-79</v>
      </c>
      <c r="H921" s="1">
        <v>18</v>
      </c>
      <c r="I921" t="str">
        <f>LOOKUP(H921,Sheet2!$M$4:$N$8)</f>
        <v>10-30</v>
      </c>
      <c r="J921" s="1">
        <v>63</v>
      </c>
      <c r="K921" t="str">
        <f>LOOKUP(J921,Sheet2!$P$4:$Q$9)</f>
        <v>1-99</v>
      </c>
      <c r="L921" s="1">
        <v>30.5</v>
      </c>
      <c r="M921" t="str">
        <f>LOOKUP(L921,Sheet2!$S$4:$T$8)</f>
        <v>26-30</v>
      </c>
      <c r="N921" s="1">
        <v>0.28499999999999998</v>
      </c>
      <c r="O921" t="str">
        <f>LOOKUP(N921,Sheet2!$V$4:$W$7)</f>
        <v>0.25 - 0.39</v>
      </c>
      <c r="P921" s="1">
        <v>26</v>
      </c>
      <c r="Q921" t="str">
        <f>LOOKUP(P921,Sheet2!$Z$4:$AA$7)</f>
        <v>26-35</v>
      </c>
      <c r="R921" s="1">
        <v>0</v>
      </c>
      <c r="S921" t="str">
        <f>IF(R921=1,"Positive","Negative")</f>
        <v>Negative</v>
      </c>
      <c r="T921" s="1" t="str">
        <f>IFERROR(VLOOKUP(A921,[1]diabetes_Recognition!$A:$B,2,FALSE),"Not Sampled")</f>
        <v>Not Sampled</v>
      </c>
      <c r="U921" t="str">
        <f>IF(T921=1,"Positive",(IF(T921=0,"Negative","Not Sampled")))</f>
        <v>Not Sampled</v>
      </c>
      <c r="V921" s="1" t="str">
        <f>IF(U921="Not Sampled","Not Sampled",IF(S921=U921,"Accurate Prediction","Inaccurate Prediction"))</f>
        <v>Not Sampled</v>
      </c>
    </row>
    <row r="922" spans="1:22" x14ac:dyDescent="0.25">
      <c r="A922" s="1">
        <v>920</v>
      </c>
      <c r="B922" s="1">
        <v>1</v>
      </c>
      <c r="C922" s="1">
        <f>LOOKUP(B922,Sheet2!$D$4:$E$9)</f>
        <v>1</v>
      </c>
      <c r="D922" s="1">
        <v>82</v>
      </c>
      <c r="E922" t="str">
        <f>LOOKUP(D922,Sheet2!$G$4:$H$9)</f>
        <v>1-99</v>
      </c>
      <c r="F922" s="1">
        <v>64</v>
      </c>
      <c r="G922" t="str">
        <f>LOOKUP(F922,Sheet2!$J$4:$K$8)</f>
        <v>60-69</v>
      </c>
      <c r="H922" s="1">
        <v>13</v>
      </c>
      <c r="I922" t="str">
        <f>LOOKUP(H922,Sheet2!$M$4:$N$8)</f>
        <v>10-30</v>
      </c>
      <c r="J922" s="1">
        <v>95</v>
      </c>
      <c r="K922" t="str">
        <f>LOOKUP(J922,Sheet2!$P$4:$Q$9)</f>
        <v>1-99</v>
      </c>
      <c r="L922" s="1">
        <v>21.2</v>
      </c>
      <c r="M922" t="str">
        <f>LOOKUP(L922,Sheet2!$S$4:$T$8)</f>
        <v>1-25</v>
      </c>
      <c r="N922" s="1">
        <v>0.41499999999999998</v>
      </c>
      <c r="O922" t="str">
        <f>LOOKUP(N922,Sheet2!$V$4:$W$7)</f>
        <v>0.4 - 0.69</v>
      </c>
      <c r="P922" s="1">
        <v>23</v>
      </c>
      <c r="Q922" t="str">
        <f>LOOKUP(P922,Sheet2!$Z$4:$AA$7)</f>
        <v>&lt;=25</v>
      </c>
      <c r="R922" s="1">
        <v>0</v>
      </c>
      <c r="S922" t="str">
        <f>IF(R922=1,"Positive","Negative")</f>
        <v>Negative</v>
      </c>
      <c r="T922" s="1" t="str">
        <f>IFERROR(VLOOKUP(A922,[1]diabetes_Recognition!$A:$B,2,FALSE),"Not Sampled")</f>
        <v>Not Sampled</v>
      </c>
      <c r="U922" t="str">
        <f>IF(T922=1,"Positive",(IF(T922=0,"Negative","Not Sampled")))</f>
        <v>Not Sampled</v>
      </c>
      <c r="V922" s="1" t="str">
        <f>IF(U922="Not Sampled","Not Sampled",IF(S922=U922,"Accurate Prediction","Inaccurate Prediction"))</f>
        <v>Not Sampled</v>
      </c>
    </row>
    <row r="923" spans="1:22" x14ac:dyDescent="0.25">
      <c r="A923" s="1">
        <v>921</v>
      </c>
      <c r="B923" s="1">
        <v>2</v>
      </c>
      <c r="C923" s="1">
        <f>LOOKUP(B923,Sheet2!$D$4:$E$9)</f>
        <v>2</v>
      </c>
      <c r="D923" s="1">
        <v>134</v>
      </c>
      <c r="E923" t="str">
        <f>LOOKUP(D923,Sheet2!$G$4:$H$9)</f>
        <v>126-150</v>
      </c>
      <c r="F923" s="1">
        <v>70</v>
      </c>
      <c r="G923" t="str">
        <f>LOOKUP(F923,Sheet2!$J$4:$K$8)</f>
        <v>70-79</v>
      </c>
      <c r="H923" s="1">
        <v>0</v>
      </c>
      <c r="I923" t="str">
        <f>LOOKUP(H923,Sheet2!$M$4:$N$8)</f>
        <v>Unknown</v>
      </c>
      <c r="J923" s="1">
        <v>0</v>
      </c>
      <c r="K923" t="str">
        <f>LOOKUP(J923,Sheet2!$P$4:$Q$9)</f>
        <v>Unknown</v>
      </c>
      <c r="L923" s="1">
        <v>28.9</v>
      </c>
      <c r="M923" t="str">
        <f>LOOKUP(L923,Sheet2!$S$4:$T$8)</f>
        <v>26-30</v>
      </c>
      <c r="N923" s="1">
        <v>0.54200000000000004</v>
      </c>
      <c r="O923" t="str">
        <f>LOOKUP(N923,Sheet2!$V$4:$W$7)</f>
        <v>0.4 - 0.69</v>
      </c>
      <c r="P923" s="1">
        <v>23</v>
      </c>
      <c r="Q923" t="str">
        <f>LOOKUP(P923,Sheet2!$Z$4:$AA$7)</f>
        <v>&lt;=25</v>
      </c>
      <c r="R923" s="1">
        <v>1</v>
      </c>
      <c r="S923" t="str">
        <f>IF(R923=1,"Positive","Negative")</f>
        <v>Positive</v>
      </c>
      <c r="T923" s="1" t="str">
        <f>IFERROR(VLOOKUP(A923,[1]diabetes_Recognition!$A:$B,2,FALSE),"Not Sampled")</f>
        <v>Not Sampled</v>
      </c>
      <c r="U923" t="str">
        <f>IF(T923=1,"Positive",(IF(T923=0,"Negative","Not Sampled")))</f>
        <v>Not Sampled</v>
      </c>
      <c r="V923" s="1" t="str">
        <f>IF(U923="Not Sampled","Not Sampled",IF(S923=U923,"Accurate Prediction","Inaccurate Prediction"))</f>
        <v>Not Sampled</v>
      </c>
    </row>
    <row r="924" spans="1:22" x14ac:dyDescent="0.25">
      <c r="A924" s="1">
        <v>922</v>
      </c>
      <c r="B924" s="1">
        <v>0</v>
      </c>
      <c r="C924" s="1">
        <f>LOOKUP(B924,Sheet2!$D$4:$E$9)</f>
        <v>0</v>
      </c>
      <c r="D924" s="1">
        <v>91</v>
      </c>
      <c r="E924" t="str">
        <f>LOOKUP(D924,Sheet2!$G$4:$H$9)</f>
        <v>1-99</v>
      </c>
      <c r="F924" s="1">
        <v>68</v>
      </c>
      <c r="G924" t="str">
        <f>LOOKUP(F924,Sheet2!$J$4:$K$8)</f>
        <v>60-69</v>
      </c>
      <c r="H924" s="1">
        <v>32</v>
      </c>
      <c r="I924" t="str">
        <f>LOOKUP(H924,Sheet2!$M$4:$N$8)</f>
        <v>30-39</v>
      </c>
      <c r="J924" s="1">
        <v>210</v>
      </c>
      <c r="K924" t="str">
        <f>LOOKUP(J924,Sheet2!$P$4:$Q$9)</f>
        <v>200-399</v>
      </c>
      <c r="L924" s="1">
        <v>39.9</v>
      </c>
      <c r="M924" t="str">
        <f>LOOKUP(L924,Sheet2!$S$4:$T$8)</f>
        <v>36+</v>
      </c>
      <c r="N924" s="1">
        <v>0.38100000000000001</v>
      </c>
      <c r="O924" t="str">
        <f>LOOKUP(N924,Sheet2!$V$4:$W$7)</f>
        <v>0.25 - 0.39</v>
      </c>
      <c r="P924" s="1">
        <v>25</v>
      </c>
      <c r="Q924" t="str">
        <f>LOOKUP(P924,Sheet2!$Z$4:$AA$7)</f>
        <v>&lt;=25</v>
      </c>
      <c r="R924" s="1">
        <v>0</v>
      </c>
      <c r="S924" t="str">
        <f>IF(R924=1,"Positive","Negative")</f>
        <v>Negative</v>
      </c>
      <c r="T924" s="1">
        <f>IFERROR(VLOOKUP(A924,[1]diabetes_Recognition!$A:$B,2,FALSE),"Not Sampled")</f>
        <v>0</v>
      </c>
      <c r="U924" t="str">
        <f>IF(T924=1,"Positive",(IF(T924=0,"Negative","Not Sampled")))</f>
        <v>Negative</v>
      </c>
      <c r="V924" s="1" t="str">
        <f>IF(U924="Not Sampled","Not Sampled",IF(S924=U924,"Accurate Prediction","Inaccurate Prediction"))</f>
        <v>Accurate Prediction</v>
      </c>
    </row>
    <row r="925" spans="1:22" x14ac:dyDescent="0.25">
      <c r="A925" s="1">
        <v>923</v>
      </c>
      <c r="B925" s="1">
        <v>2</v>
      </c>
      <c r="C925" s="1">
        <f>LOOKUP(B925,Sheet2!$D$4:$E$9)</f>
        <v>2</v>
      </c>
      <c r="D925" s="1">
        <v>119</v>
      </c>
      <c r="E925" t="str">
        <f>LOOKUP(D925,Sheet2!$G$4:$H$9)</f>
        <v>100-125</v>
      </c>
      <c r="F925" s="1">
        <v>0</v>
      </c>
      <c r="G925" t="str">
        <f>LOOKUP(F925,Sheet2!$J$4:$K$8)</f>
        <v>Unknown</v>
      </c>
      <c r="H925" s="1">
        <v>0</v>
      </c>
      <c r="I925" t="str">
        <f>LOOKUP(H925,Sheet2!$M$4:$N$8)</f>
        <v>Unknown</v>
      </c>
      <c r="J925" s="1">
        <v>0</v>
      </c>
      <c r="K925" t="str">
        <f>LOOKUP(J925,Sheet2!$P$4:$Q$9)</f>
        <v>Unknown</v>
      </c>
      <c r="L925" s="1">
        <v>19.600000000000001</v>
      </c>
      <c r="M925" t="str">
        <f>LOOKUP(L925,Sheet2!$S$4:$T$8)</f>
        <v>1-25</v>
      </c>
      <c r="N925" s="1">
        <v>0.83199999999999996</v>
      </c>
      <c r="O925" t="str">
        <f>LOOKUP(N925,Sheet2!$V$4:$W$7)</f>
        <v>0.7+</v>
      </c>
      <c r="P925" s="1">
        <v>72</v>
      </c>
      <c r="Q925" t="str">
        <f>LOOKUP(P925,Sheet2!$Z$4:$AA$7)</f>
        <v>46+</v>
      </c>
      <c r="R925" s="1">
        <v>0</v>
      </c>
      <c r="S925" t="str">
        <f>IF(R925=1,"Positive","Negative")</f>
        <v>Negative</v>
      </c>
      <c r="T925" s="1" t="str">
        <f>IFERROR(VLOOKUP(A925,[1]diabetes_Recognition!$A:$B,2,FALSE),"Not Sampled")</f>
        <v>Not Sampled</v>
      </c>
      <c r="U925" t="str">
        <f>IF(T925=1,"Positive",(IF(T925=0,"Negative","Not Sampled")))</f>
        <v>Not Sampled</v>
      </c>
      <c r="V925" s="1" t="str">
        <f>IF(U925="Not Sampled","Not Sampled",IF(S925=U925,"Accurate Prediction","Inaccurate Prediction"))</f>
        <v>Not Sampled</v>
      </c>
    </row>
    <row r="926" spans="1:22" x14ac:dyDescent="0.25">
      <c r="A926" s="1">
        <v>924</v>
      </c>
      <c r="B926" s="1">
        <v>2</v>
      </c>
      <c r="C926" s="1">
        <f>LOOKUP(B926,Sheet2!$D$4:$E$9)</f>
        <v>2</v>
      </c>
      <c r="D926" s="1">
        <v>100</v>
      </c>
      <c r="E926" t="str">
        <f>LOOKUP(D926,Sheet2!$G$4:$H$9)</f>
        <v>100-125</v>
      </c>
      <c r="F926" s="1">
        <v>54</v>
      </c>
      <c r="G926" t="str">
        <f>LOOKUP(F926,Sheet2!$J$4:$K$8)</f>
        <v>1-59</v>
      </c>
      <c r="H926" s="1">
        <v>28</v>
      </c>
      <c r="I926" t="str">
        <f>LOOKUP(H926,Sheet2!$M$4:$N$8)</f>
        <v>10-30</v>
      </c>
      <c r="J926" s="1">
        <v>105</v>
      </c>
      <c r="K926" t="str">
        <f>LOOKUP(J926,Sheet2!$P$4:$Q$9)</f>
        <v>100-199</v>
      </c>
      <c r="L926" s="1">
        <v>37.799999999999997</v>
      </c>
      <c r="M926" t="str">
        <f>LOOKUP(L926,Sheet2!$S$4:$T$8)</f>
        <v>36+</v>
      </c>
      <c r="N926" s="1">
        <v>0.498</v>
      </c>
      <c r="O926" t="str">
        <f>LOOKUP(N926,Sheet2!$V$4:$W$7)</f>
        <v>0.4 - 0.69</v>
      </c>
      <c r="P926" s="1">
        <v>24</v>
      </c>
      <c r="Q926" t="str">
        <f>LOOKUP(P926,Sheet2!$Z$4:$AA$7)</f>
        <v>&lt;=25</v>
      </c>
      <c r="R926" s="1">
        <v>0</v>
      </c>
      <c r="S926" t="str">
        <f>IF(R926=1,"Positive","Negative")</f>
        <v>Negative</v>
      </c>
      <c r="T926" s="1" t="str">
        <f>IFERROR(VLOOKUP(A926,[1]diabetes_Recognition!$A:$B,2,FALSE),"Not Sampled")</f>
        <v>Not Sampled</v>
      </c>
      <c r="U926" t="str">
        <f>IF(T926=1,"Positive",(IF(T926=0,"Negative","Not Sampled")))</f>
        <v>Not Sampled</v>
      </c>
      <c r="V926" s="1" t="str">
        <f>IF(U926="Not Sampled","Not Sampled",IF(S926=U926,"Accurate Prediction","Inaccurate Prediction"))</f>
        <v>Not Sampled</v>
      </c>
    </row>
    <row r="927" spans="1:22" x14ac:dyDescent="0.25">
      <c r="A927" s="1">
        <v>925</v>
      </c>
      <c r="B927" s="1">
        <v>14</v>
      </c>
      <c r="C927" s="1" t="str">
        <f>LOOKUP(B927,Sheet2!$D$4:$E$9)</f>
        <v>8+</v>
      </c>
      <c r="D927" s="1">
        <v>175</v>
      </c>
      <c r="E927" t="str">
        <f>LOOKUP(D927,Sheet2!$G$4:$H$9)</f>
        <v>151-175</v>
      </c>
      <c r="F927" s="1">
        <v>62</v>
      </c>
      <c r="G927" t="str">
        <f>LOOKUP(F927,Sheet2!$J$4:$K$8)</f>
        <v>60-69</v>
      </c>
      <c r="H927" s="1">
        <v>30</v>
      </c>
      <c r="I927" t="str">
        <f>LOOKUP(H927,Sheet2!$M$4:$N$8)</f>
        <v>30-39</v>
      </c>
      <c r="J927" s="1">
        <v>0</v>
      </c>
      <c r="K927" t="str">
        <f>LOOKUP(J927,Sheet2!$P$4:$Q$9)</f>
        <v>Unknown</v>
      </c>
      <c r="L927" s="1">
        <v>33.6</v>
      </c>
      <c r="M927" t="str">
        <f>LOOKUP(L927,Sheet2!$S$4:$T$8)</f>
        <v>31-35</v>
      </c>
      <c r="N927" s="1">
        <v>0.21199999999999999</v>
      </c>
      <c r="O927" t="str">
        <f>LOOKUP(N927,Sheet2!$V$4:$W$7)</f>
        <v>0.0 - 0.249</v>
      </c>
      <c r="P927" s="1">
        <v>38</v>
      </c>
      <c r="Q927" t="str">
        <f>LOOKUP(P927,Sheet2!$Z$4:$AA$7)</f>
        <v>36-45</v>
      </c>
      <c r="R927" s="1">
        <v>1</v>
      </c>
      <c r="S927" t="str">
        <f>IF(R927=1,"Positive","Negative")</f>
        <v>Positive</v>
      </c>
      <c r="T927" s="1">
        <f>IFERROR(VLOOKUP(A927,[1]diabetes_Recognition!$A:$B,2,FALSE),"Not Sampled")</f>
        <v>1</v>
      </c>
      <c r="U927" t="str">
        <f>IF(T927=1,"Positive",(IF(T927=0,"Negative","Not Sampled")))</f>
        <v>Positive</v>
      </c>
      <c r="V927" s="1" t="str">
        <f>IF(U927="Not Sampled","Not Sampled",IF(S927=U927,"Accurate Prediction","Inaccurate Prediction"))</f>
        <v>Accurate Prediction</v>
      </c>
    </row>
    <row r="928" spans="1:22" x14ac:dyDescent="0.25">
      <c r="A928" s="1">
        <v>926</v>
      </c>
      <c r="B928" s="1">
        <v>1</v>
      </c>
      <c r="C928" s="1">
        <f>LOOKUP(B928,Sheet2!$D$4:$E$9)</f>
        <v>1</v>
      </c>
      <c r="D928" s="1">
        <v>135</v>
      </c>
      <c r="E928" t="str">
        <f>LOOKUP(D928,Sheet2!$G$4:$H$9)</f>
        <v>126-150</v>
      </c>
      <c r="F928" s="1">
        <v>54</v>
      </c>
      <c r="G928" t="str">
        <f>LOOKUP(F928,Sheet2!$J$4:$K$8)</f>
        <v>1-59</v>
      </c>
      <c r="H928" s="1">
        <v>0</v>
      </c>
      <c r="I928" t="str">
        <f>LOOKUP(H928,Sheet2!$M$4:$N$8)</f>
        <v>Unknown</v>
      </c>
      <c r="J928" s="1">
        <v>0</v>
      </c>
      <c r="K928" t="str">
        <f>LOOKUP(J928,Sheet2!$P$4:$Q$9)</f>
        <v>Unknown</v>
      </c>
      <c r="L928" s="1">
        <v>26.7</v>
      </c>
      <c r="M928" t="str">
        <f>LOOKUP(L928,Sheet2!$S$4:$T$8)</f>
        <v>26-30</v>
      </c>
      <c r="N928" s="1">
        <v>0.68700000000000006</v>
      </c>
      <c r="O928" t="str">
        <f>LOOKUP(N928,Sheet2!$V$4:$W$7)</f>
        <v>0.4 - 0.69</v>
      </c>
      <c r="P928" s="1">
        <v>62</v>
      </c>
      <c r="Q928" t="str">
        <f>LOOKUP(P928,Sheet2!$Z$4:$AA$7)</f>
        <v>46+</v>
      </c>
      <c r="R928" s="1">
        <v>0</v>
      </c>
      <c r="S928" t="str">
        <f>IF(R928=1,"Positive","Negative")</f>
        <v>Negative</v>
      </c>
      <c r="T928" s="1">
        <f>IFERROR(VLOOKUP(A928,[1]diabetes_Recognition!$A:$B,2,FALSE),"Not Sampled")</f>
        <v>0</v>
      </c>
      <c r="U928" t="str">
        <f>IF(T928=1,"Positive",(IF(T928=0,"Negative","Not Sampled")))</f>
        <v>Negative</v>
      </c>
      <c r="V928" s="1" t="str">
        <f>IF(U928="Not Sampled","Not Sampled",IF(S928=U928,"Accurate Prediction","Inaccurate Prediction"))</f>
        <v>Accurate Prediction</v>
      </c>
    </row>
    <row r="929" spans="1:22" x14ac:dyDescent="0.25">
      <c r="A929" s="1">
        <v>927</v>
      </c>
      <c r="B929" s="1">
        <v>5</v>
      </c>
      <c r="C929" s="1" t="str">
        <f>LOOKUP(B929,Sheet2!$D$4:$E$9)</f>
        <v>5-7</v>
      </c>
      <c r="D929" s="1">
        <v>86</v>
      </c>
      <c r="E929" t="str">
        <f>LOOKUP(D929,Sheet2!$G$4:$H$9)</f>
        <v>1-99</v>
      </c>
      <c r="F929" s="1">
        <v>68</v>
      </c>
      <c r="G929" t="str">
        <f>LOOKUP(F929,Sheet2!$J$4:$K$8)</f>
        <v>60-69</v>
      </c>
      <c r="H929" s="1">
        <v>28</v>
      </c>
      <c r="I929" t="str">
        <f>LOOKUP(H929,Sheet2!$M$4:$N$8)</f>
        <v>10-30</v>
      </c>
      <c r="J929" s="1">
        <v>71</v>
      </c>
      <c r="K929" t="str">
        <f>LOOKUP(J929,Sheet2!$P$4:$Q$9)</f>
        <v>1-99</v>
      </c>
      <c r="L929" s="1">
        <v>30.2</v>
      </c>
      <c r="M929" t="str">
        <f>LOOKUP(L929,Sheet2!$S$4:$T$8)</f>
        <v>26-30</v>
      </c>
      <c r="N929" s="1">
        <v>0.36399999999999999</v>
      </c>
      <c r="O929" t="str">
        <f>LOOKUP(N929,Sheet2!$V$4:$W$7)</f>
        <v>0.25 - 0.39</v>
      </c>
      <c r="P929" s="1">
        <v>24</v>
      </c>
      <c r="Q929" t="str">
        <f>LOOKUP(P929,Sheet2!$Z$4:$AA$7)</f>
        <v>&lt;=25</v>
      </c>
      <c r="R929" s="1">
        <v>0</v>
      </c>
      <c r="S929" t="str">
        <f>IF(R929=1,"Positive","Negative")</f>
        <v>Negative</v>
      </c>
      <c r="T929" s="1">
        <f>IFERROR(VLOOKUP(A929,[1]diabetes_Recognition!$A:$B,2,FALSE),"Not Sampled")</f>
        <v>0</v>
      </c>
      <c r="U929" t="str">
        <f>IF(T929=1,"Positive",(IF(T929=0,"Negative","Not Sampled")))</f>
        <v>Negative</v>
      </c>
      <c r="V929" s="1" t="str">
        <f>IF(U929="Not Sampled","Not Sampled",IF(S929=U929,"Accurate Prediction","Inaccurate Prediction"))</f>
        <v>Accurate Prediction</v>
      </c>
    </row>
    <row r="930" spans="1:22" x14ac:dyDescent="0.25">
      <c r="A930" s="1">
        <v>928</v>
      </c>
      <c r="B930" s="1">
        <v>10</v>
      </c>
      <c r="C930" s="1" t="str">
        <f>LOOKUP(B930,Sheet2!$D$4:$E$9)</f>
        <v>8+</v>
      </c>
      <c r="D930" s="1">
        <v>148</v>
      </c>
      <c r="E930" t="str">
        <f>LOOKUP(D930,Sheet2!$G$4:$H$9)</f>
        <v>126-150</v>
      </c>
      <c r="F930" s="1">
        <v>84</v>
      </c>
      <c r="G930" t="str">
        <f>LOOKUP(F930,Sheet2!$J$4:$K$8)</f>
        <v>80+</v>
      </c>
      <c r="H930" s="1">
        <v>48</v>
      </c>
      <c r="I930" t="str">
        <f>LOOKUP(H930,Sheet2!$M$4:$N$8)</f>
        <v>40+</v>
      </c>
      <c r="J930" s="1">
        <v>237</v>
      </c>
      <c r="K930" t="str">
        <f>LOOKUP(J930,Sheet2!$P$4:$Q$9)</f>
        <v>200-399</v>
      </c>
      <c r="L930" s="1">
        <v>37.6</v>
      </c>
      <c r="M930" t="str">
        <f>LOOKUP(L930,Sheet2!$S$4:$T$8)</f>
        <v>36+</v>
      </c>
      <c r="N930" s="1">
        <v>1.0009999999999999</v>
      </c>
      <c r="O930" t="str">
        <f>LOOKUP(N930,Sheet2!$V$4:$W$7)</f>
        <v>0.7+</v>
      </c>
      <c r="P930" s="1">
        <v>51</v>
      </c>
      <c r="Q930" t="str">
        <f>LOOKUP(P930,Sheet2!$Z$4:$AA$7)</f>
        <v>46+</v>
      </c>
      <c r="R930" s="1">
        <v>1</v>
      </c>
      <c r="S930" t="str">
        <f>IF(R930=1,"Positive","Negative")</f>
        <v>Positive</v>
      </c>
      <c r="T930" s="1" t="str">
        <f>IFERROR(VLOOKUP(A930,[1]diabetes_Recognition!$A:$B,2,FALSE),"Not Sampled")</f>
        <v>Not Sampled</v>
      </c>
      <c r="U930" t="str">
        <f>IF(T930=1,"Positive",(IF(T930=0,"Negative","Not Sampled")))</f>
        <v>Not Sampled</v>
      </c>
      <c r="V930" s="1" t="str">
        <f>IF(U930="Not Sampled","Not Sampled",IF(S930=U930,"Accurate Prediction","Inaccurate Prediction"))</f>
        <v>Not Sampled</v>
      </c>
    </row>
    <row r="931" spans="1:22" x14ac:dyDescent="0.25">
      <c r="A931" s="1">
        <v>929</v>
      </c>
      <c r="B931" s="1">
        <v>9</v>
      </c>
      <c r="C931" s="1" t="str">
        <f>LOOKUP(B931,Sheet2!$D$4:$E$9)</f>
        <v>8+</v>
      </c>
      <c r="D931" s="1">
        <v>134</v>
      </c>
      <c r="E931" t="str">
        <f>LOOKUP(D931,Sheet2!$G$4:$H$9)</f>
        <v>126-150</v>
      </c>
      <c r="F931" s="1">
        <v>74</v>
      </c>
      <c r="G931" t="str">
        <f>LOOKUP(F931,Sheet2!$J$4:$K$8)</f>
        <v>70-79</v>
      </c>
      <c r="H931" s="1">
        <v>33</v>
      </c>
      <c r="I931" t="str">
        <f>LOOKUP(H931,Sheet2!$M$4:$N$8)</f>
        <v>30-39</v>
      </c>
      <c r="J931" s="1">
        <v>60</v>
      </c>
      <c r="K931" t="str">
        <f>LOOKUP(J931,Sheet2!$P$4:$Q$9)</f>
        <v>1-99</v>
      </c>
      <c r="L931" s="1">
        <v>25.9</v>
      </c>
      <c r="M931" t="str">
        <f>LOOKUP(L931,Sheet2!$S$4:$T$8)</f>
        <v>1-25</v>
      </c>
      <c r="N931" s="1">
        <v>0.46</v>
      </c>
      <c r="O931" t="str">
        <f>LOOKUP(N931,Sheet2!$V$4:$W$7)</f>
        <v>0.4 - 0.69</v>
      </c>
      <c r="P931" s="1">
        <v>81</v>
      </c>
      <c r="Q931" t="str">
        <f>LOOKUP(P931,Sheet2!$Z$4:$AA$7)</f>
        <v>46+</v>
      </c>
      <c r="R931" s="1">
        <v>0</v>
      </c>
      <c r="S931" t="str">
        <f>IF(R931=1,"Positive","Negative")</f>
        <v>Negative</v>
      </c>
      <c r="T931" s="1" t="str">
        <f>IFERROR(VLOOKUP(A931,[1]diabetes_Recognition!$A:$B,2,FALSE),"Not Sampled")</f>
        <v>Not Sampled</v>
      </c>
      <c r="U931" t="str">
        <f>IF(T931=1,"Positive",(IF(T931=0,"Negative","Not Sampled")))</f>
        <v>Not Sampled</v>
      </c>
      <c r="V931" s="1" t="str">
        <f>IF(U931="Not Sampled","Not Sampled",IF(S931=U931,"Accurate Prediction","Inaccurate Prediction"))</f>
        <v>Not Sampled</v>
      </c>
    </row>
    <row r="932" spans="1:22" x14ac:dyDescent="0.25">
      <c r="A932" s="1">
        <v>930</v>
      </c>
      <c r="B932" s="1">
        <v>9</v>
      </c>
      <c r="C932" s="1" t="str">
        <f>LOOKUP(B932,Sheet2!$D$4:$E$9)</f>
        <v>8+</v>
      </c>
      <c r="D932" s="1">
        <v>120</v>
      </c>
      <c r="E932" t="str">
        <f>LOOKUP(D932,Sheet2!$G$4:$H$9)</f>
        <v>100-125</v>
      </c>
      <c r="F932" s="1">
        <v>72</v>
      </c>
      <c r="G932" t="str">
        <f>LOOKUP(F932,Sheet2!$J$4:$K$8)</f>
        <v>70-79</v>
      </c>
      <c r="H932" s="1">
        <v>22</v>
      </c>
      <c r="I932" t="str">
        <f>LOOKUP(H932,Sheet2!$M$4:$N$8)</f>
        <v>10-30</v>
      </c>
      <c r="J932" s="1">
        <v>56</v>
      </c>
      <c r="K932" t="str">
        <f>LOOKUP(J932,Sheet2!$P$4:$Q$9)</f>
        <v>1-99</v>
      </c>
      <c r="L932" s="1">
        <v>20.8</v>
      </c>
      <c r="M932" t="str">
        <f>LOOKUP(L932,Sheet2!$S$4:$T$8)</f>
        <v>1-25</v>
      </c>
      <c r="N932" s="1">
        <v>0.73299999999999998</v>
      </c>
      <c r="O932" t="str">
        <f>LOOKUP(N932,Sheet2!$V$4:$W$7)</f>
        <v>0.7+</v>
      </c>
      <c r="P932" s="1">
        <v>48</v>
      </c>
      <c r="Q932" t="str">
        <f>LOOKUP(P932,Sheet2!$Z$4:$AA$7)</f>
        <v>46+</v>
      </c>
      <c r="R932" s="1">
        <v>0</v>
      </c>
      <c r="S932" t="str">
        <f>IF(R932=1,"Positive","Negative")</f>
        <v>Negative</v>
      </c>
      <c r="T932" s="1" t="str">
        <f>IFERROR(VLOOKUP(A932,[1]diabetes_Recognition!$A:$B,2,FALSE),"Not Sampled")</f>
        <v>Not Sampled</v>
      </c>
      <c r="U932" t="str">
        <f>IF(T932=1,"Positive",(IF(T932=0,"Negative","Not Sampled")))</f>
        <v>Not Sampled</v>
      </c>
      <c r="V932" s="1" t="str">
        <f>IF(U932="Not Sampled","Not Sampled",IF(S932=U932,"Accurate Prediction","Inaccurate Prediction"))</f>
        <v>Not Sampled</v>
      </c>
    </row>
    <row r="933" spans="1:22" x14ac:dyDescent="0.25">
      <c r="A933" s="1">
        <v>931</v>
      </c>
      <c r="B933" s="1">
        <v>1</v>
      </c>
      <c r="C933" s="1">
        <f>LOOKUP(B933,Sheet2!$D$4:$E$9)</f>
        <v>1</v>
      </c>
      <c r="D933" s="1">
        <v>71</v>
      </c>
      <c r="E933" t="str">
        <f>LOOKUP(D933,Sheet2!$G$4:$H$9)</f>
        <v>1-99</v>
      </c>
      <c r="F933" s="1">
        <v>62</v>
      </c>
      <c r="G933" t="str">
        <f>LOOKUP(F933,Sheet2!$J$4:$K$8)</f>
        <v>60-69</v>
      </c>
      <c r="H933" s="1">
        <v>0</v>
      </c>
      <c r="I933" t="str">
        <f>LOOKUP(H933,Sheet2!$M$4:$N$8)</f>
        <v>Unknown</v>
      </c>
      <c r="J933" s="1">
        <v>0</v>
      </c>
      <c r="K933" t="str">
        <f>LOOKUP(J933,Sheet2!$P$4:$Q$9)</f>
        <v>Unknown</v>
      </c>
      <c r="L933" s="1">
        <v>21.8</v>
      </c>
      <c r="M933" t="str">
        <f>LOOKUP(L933,Sheet2!$S$4:$T$8)</f>
        <v>1-25</v>
      </c>
      <c r="N933" s="1">
        <v>0.41599999999999998</v>
      </c>
      <c r="O933" t="str">
        <f>LOOKUP(N933,Sheet2!$V$4:$W$7)</f>
        <v>0.4 - 0.69</v>
      </c>
      <c r="P933" s="1">
        <v>26</v>
      </c>
      <c r="Q933" t="str">
        <f>LOOKUP(P933,Sheet2!$Z$4:$AA$7)</f>
        <v>26-35</v>
      </c>
      <c r="R933" s="1">
        <v>0</v>
      </c>
      <c r="S933" t="str">
        <f>IF(R933=1,"Positive","Negative")</f>
        <v>Negative</v>
      </c>
      <c r="T933" s="1">
        <f>IFERROR(VLOOKUP(A933,[1]diabetes_Recognition!$A:$B,2,FALSE),"Not Sampled")</f>
        <v>0</v>
      </c>
      <c r="U933" t="str">
        <f>IF(T933=1,"Positive",(IF(T933=0,"Negative","Not Sampled")))</f>
        <v>Negative</v>
      </c>
      <c r="V933" s="1" t="str">
        <f>IF(U933="Not Sampled","Not Sampled",IF(S933=U933,"Accurate Prediction","Inaccurate Prediction"))</f>
        <v>Accurate Prediction</v>
      </c>
    </row>
    <row r="934" spans="1:22" x14ac:dyDescent="0.25">
      <c r="A934" s="1">
        <v>932</v>
      </c>
      <c r="B934" s="1">
        <v>8</v>
      </c>
      <c r="C934" s="1" t="str">
        <f>LOOKUP(B934,Sheet2!$D$4:$E$9)</f>
        <v>8+</v>
      </c>
      <c r="D934" s="1">
        <v>74</v>
      </c>
      <c r="E934" t="str">
        <f>LOOKUP(D934,Sheet2!$G$4:$H$9)</f>
        <v>1-99</v>
      </c>
      <c r="F934" s="1">
        <v>70</v>
      </c>
      <c r="G934" t="str">
        <f>LOOKUP(F934,Sheet2!$J$4:$K$8)</f>
        <v>70-79</v>
      </c>
      <c r="H934" s="1">
        <v>40</v>
      </c>
      <c r="I934" t="str">
        <f>LOOKUP(H934,Sheet2!$M$4:$N$8)</f>
        <v>40+</v>
      </c>
      <c r="J934" s="1">
        <v>49</v>
      </c>
      <c r="K934" t="str">
        <f>LOOKUP(J934,Sheet2!$P$4:$Q$9)</f>
        <v>1-99</v>
      </c>
      <c r="L934" s="1">
        <v>35.299999999999997</v>
      </c>
      <c r="M934" t="str">
        <f>LOOKUP(L934,Sheet2!$S$4:$T$8)</f>
        <v>31-35</v>
      </c>
      <c r="N934" s="1">
        <v>0.70499999999999996</v>
      </c>
      <c r="O934" t="str">
        <f>LOOKUP(N934,Sheet2!$V$4:$W$7)</f>
        <v>0.7+</v>
      </c>
      <c r="P934" s="1">
        <v>39</v>
      </c>
      <c r="Q934" t="str">
        <f>LOOKUP(P934,Sheet2!$Z$4:$AA$7)</f>
        <v>36-45</v>
      </c>
      <c r="R934" s="1">
        <v>0</v>
      </c>
      <c r="S934" t="str">
        <f>IF(R934=1,"Positive","Negative")</f>
        <v>Negative</v>
      </c>
      <c r="T934" s="1" t="str">
        <f>IFERROR(VLOOKUP(A934,[1]diabetes_Recognition!$A:$B,2,FALSE),"Not Sampled")</f>
        <v>Not Sampled</v>
      </c>
      <c r="U934" t="str">
        <f>IF(T934=1,"Positive",(IF(T934=0,"Negative","Not Sampled")))</f>
        <v>Not Sampled</v>
      </c>
      <c r="V934" s="1" t="str">
        <f>IF(U934="Not Sampled","Not Sampled",IF(S934=U934,"Accurate Prediction","Inaccurate Prediction"))</f>
        <v>Not Sampled</v>
      </c>
    </row>
    <row r="935" spans="1:22" x14ac:dyDescent="0.25">
      <c r="A935" s="1">
        <v>933</v>
      </c>
      <c r="B935" s="1">
        <v>5</v>
      </c>
      <c r="C935" s="1" t="str">
        <f>LOOKUP(B935,Sheet2!$D$4:$E$9)</f>
        <v>5-7</v>
      </c>
      <c r="D935" s="1">
        <v>88</v>
      </c>
      <c r="E935" t="str">
        <f>LOOKUP(D935,Sheet2!$G$4:$H$9)</f>
        <v>1-99</v>
      </c>
      <c r="F935" s="1">
        <v>78</v>
      </c>
      <c r="G935" t="str">
        <f>LOOKUP(F935,Sheet2!$J$4:$K$8)</f>
        <v>70-79</v>
      </c>
      <c r="H935" s="1">
        <v>30</v>
      </c>
      <c r="I935" t="str">
        <f>LOOKUP(H935,Sheet2!$M$4:$N$8)</f>
        <v>30-39</v>
      </c>
      <c r="J935" s="1">
        <v>0</v>
      </c>
      <c r="K935" t="str">
        <f>LOOKUP(J935,Sheet2!$P$4:$Q$9)</f>
        <v>Unknown</v>
      </c>
      <c r="L935" s="1">
        <v>27.6</v>
      </c>
      <c r="M935" t="str">
        <f>LOOKUP(L935,Sheet2!$S$4:$T$8)</f>
        <v>26-30</v>
      </c>
      <c r="N935" s="1">
        <v>0.25800000000000001</v>
      </c>
      <c r="O935" t="str">
        <f>LOOKUP(N935,Sheet2!$V$4:$W$7)</f>
        <v>0.25 - 0.39</v>
      </c>
      <c r="P935" s="1">
        <v>37</v>
      </c>
      <c r="Q935" t="str">
        <f>LOOKUP(P935,Sheet2!$Z$4:$AA$7)</f>
        <v>36-45</v>
      </c>
      <c r="R935" s="1">
        <v>0</v>
      </c>
      <c r="S935" t="str">
        <f>IF(R935=1,"Positive","Negative")</f>
        <v>Negative</v>
      </c>
      <c r="T935" s="1" t="str">
        <f>IFERROR(VLOOKUP(A935,[1]diabetes_Recognition!$A:$B,2,FALSE),"Not Sampled")</f>
        <v>Not Sampled</v>
      </c>
      <c r="U935" t="str">
        <f>IF(T935=1,"Positive",(IF(T935=0,"Negative","Not Sampled")))</f>
        <v>Not Sampled</v>
      </c>
      <c r="V935" s="1" t="str">
        <f>IF(U935="Not Sampled","Not Sampled",IF(S935=U935,"Accurate Prediction","Inaccurate Prediction"))</f>
        <v>Not Sampled</v>
      </c>
    </row>
    <row r="936" spans="1:22" x14ac:dyDescent="0.25">
      <c r="A936" s="1">
        <v>934</v>
      </c>
      <c r="B936" s="1">
        <v>10</v>
      </c>
      <c r="C936" s="1" t="str">
        <f>LOOKUP(B936,Sheet2!$D$4:$E$9)</f>
        <v>8+</v>
      </c>
      <c r="D936" s="1">
        <v>115</v>
      </c>
      <c r="E936" t="str">
        <f>LOOKUP(D936,Sheet2!$G$4:$H$9)</f>
        <v>100-125</v>
      </c>
      <c r="F936" s="1">
        <v>98</v>
      </c>
      <c r="G936" t="str">
        <f>LOOKUP(F936,Sheet2!$J$4:$K$8)</f>
        <v>80+</v>
      </c>
      <c r="H936" s="1">
        <v>0</v>
      </c>
      <c r="I936" t="str">
        <f>LOOKUP(H936,Sheet2!$M$4:$N$8)</f>
        <v>Unknown</v>
      </c>
      <c r="J936" s="1">
        <v>0</v>
      </c>
      <c r="K936" t="str">
        <f>LOOKUP(J936,Sheet2!$P$4:$Q$9)</f>
        <v>Unknown</v>
      </c>
      <c r="L936" s="1">
        <v>24</v>
      </c>
      <c r="M936" t="str">
        <f>LOOKUP(L936,Sheet2!$S$4:$T$8)</f>
        <v>1-25</v>
      </c>
      <c r="N936" s="1">
        <v>1.022</v>
      </c>
      <c r="O936" t="str">
        <f>LOOKUP(N936,Sheet2!$V$4:$W$7)</f>
        <v>0.7+</v>
      </c>
      <c r="P936" s="1">
        <v>34</v>
      </c>
      <c r="Q936" t="str">
        <f>LOOKUP(P936,Sheet2!$Z$4:$AA$7)</f>
        <v>26-35</v>
      </c>
      <c r="R936" s="1">
        <v>0</v>
      </c>
      <c r="S936" t="str">
        <f>IF(R936=1,"Positive","Negative")</f>
        <v>Negative</v>
      </c>
      <c r="T936" s="1" t="str">
        <f>IFERROR(VLOOKUP(A936,[1]diabetes_Recognition!$A:$B,2,FALSE),"Not Sampled")</f>
        <v>Not Sampled</v>
      </c>
      <c r="U936" t="str">
        <f>IF(T936=1,"Positive",(IF(T936=0,"Negative","Not Sampled")))</f>
        <v>Not Sampled</v>
      </c>
      <c r="V936" s="1" t="str">
        <f>IF(U936="Not Sampled","Not Sampled",IF(S936=U936,"Accurate Prediction","Inaccurate Prediction"))</f>
        <v>Not Sampled</v>
      </c>
    </row>
    <row r="937" spans="1:22" x14ac:dyDescent="0.25">
      <c r="A937" s="1">
        <v>935</v>
      </c>
      <c r="B937" s="1">
        <v>0</v>
      </c>
      <c r="C937" s="1">
        <f>LOOKUP(B937,Sheet2!$D$4:$E$9)</f>
        <v>0</v>
      </c>
      <c r="D937" s="1">
        <v>124</v>
      </c>
      <c r="E937" t="str">
        <f>LOOKUP(D937,Sheet2!$G$4:$H$9)</f>
        <v>100-125</v>
      </c>
      <c r="F937" s="1">
        <v>56</v>
      </c>
      <c r="G937" t="str">
        <f>LOOKUP(F937,Sheet2!$J$4:$K$8)</f>
        <v>1-59</v>
      </c>
      <c r="H937" s="1">
        <v>13</v>
      </c>
      <c r="I937" t="str">
        <f>LOOKUP(H937,Sheet2!$M$4:$N$8)</f>
        <v>10-30</v>
      </c>
      <c r="J937" s="1">
        <v>105</v>
      </c>
      <c r="K937" t="str">
        <f>LOOKUP(J937,Sheet2!$P$4:$Q$9)</f>
        <v>100-199</v>
      </c>
      <c r="L937" s="1">
        <v>21.8</v>
      </c>
      <c r="M937" t="str">
        <f>LOOKUP(L937,Sheet2!$S$4:$T$8)</f>
        <v>1-25</v>
      </c>
      <c r="N937" s="1">
        <v>0.45200000000000001</v>
      </c>
      <c r="O937" t="str">
        <f>LOOKUP(N937,Sheet2!$V$4:$W$7)</f>
        <v>0.4 - 0.69</v>
      </c>
      <c r="P937" s="1">
        <v>21</v>
      </c>
      <c r="Q937" t="str">
        <f>LOOKUP(P937,Sheet2!$Z$4:$AA$7)</f>
        <v>&lt;=25</v>
      </c>
      <c r="R937" s="1">
        <v>0</v>
      </c>
      <c r="S937" t="str">
        <f>IF(R937=1,"Positive","Negative")</f>
        <v>Negative</v>
      </c>
      <c r="T937" s="1" t="str">
        <f>IFERROR(VLOOKUP(A937,[1]diabetes_Recognition!$A:$B,2,FALSE),"Not Sampled")</f>
        <v>Not Sampled</v>
      </c>
      <c r="U937" t="str">
        <f>IF(T937=1,"Positive",(IF(T937=0,"Negative","Not Sampled")))</f>
        <v>Not Sampled</v>
      </c>
      <c r="V937" s="1" t="str">
        <f>IF(U937="Not Sampled","Not Sampled",IF(S937=U937,"Accurate Prediction","Inaccurate Prediction"))</f>
        <v>Not Sampled</v>
      </c>
    </row>
    <row r="938" spans="1:22" x14ac:dyDescent="0.25">
      <c r="A938" s="1">
        <v>936</v>
      </c>
      <c r="B938" s="1">
        <v>0</v>
      </c>
      <c r="C938" s="1">
        <f>LOOKUP(B938,Sheet2!$D$4:$E$9)</f>
        <v>0</v>
      </c>
      <c r="D938" s="1">
        <v>74</v>
      </c>
      <c r="E938" t="str">
        <f>LOOKUP(D938,Sheet2!$G$4:$H$9)</f>
        <v>1-99</v>
      </c>
      <c r="F938" s="1">
        <v>52</v>
      </c>
      <c r="G938" t="str">
        <f>LOOKUP(F938,Sheet2!$J$4:$K$8)</f>
        <v>1-59</v>
      </c>
      <c r="H938" s="1">
        <v>10</v>
      </c>
      <c r="I938" t="str">
        <f>LOOKUP(H938,Sheet2!$M$4:$N$8)</f>
        <v>10-30</v>
      </c>
      <c r="J938" s="1">
        <v>36</v>
      </c>
      <c r="K938" t="str">
        <f>LOOKUP(J938,Sheet2!$P$4:$Q$9)</f>
        <v>1-99</v>
      </c>
      <c r="L938" s="1">
        <v>27.8</v>
      </c>
      <c r="M938" t="str">
        <f>LOOKUP(L938,Sheet2!$S$4:$T$8)</f>
        <v>26-30</v>
      </c>
      <c r="N938" s="1">
        <v>0.26900000000000002</v>
      </c>
      <c r="O938" t="str">
        <f>LOOKUP(N938,Sheet2!$V$4:$W$7)</f>
        <v>0.25 - 0.39</v>
      </c>
      <c r="P938" s="1">
        <v>22</v>
      </c>
      <c r="Q938" t="str">
        <f>LOOKUP(P938,Sheet2!$Z$4:$AA$7)</f>
        <v>&lt;=25</v>
      </c>
      <c r="R938" s="1">
        <v>0</v>
      </c>
      <c r="S938" t="str">
        <f>IF(R938=1,"Positive","Negative")</f>
        <v>Negative</v>
      </c>
      <c r="T938" s="1" t="str">
        <f>IFERROR(VLOOKUP(A938,[1]diabetes_Recognition!$A:$B,2,FALSE),"Not Sampled")</f>
        <v>Not Sampled</v>
      </c>
      <c r="U938" t="str">
        <f>IF(T938=1,"Positive",(IF(T938=0,"Negative","Not Sampled")))</f>
        <v>Not Sampled</v>
      </c>
      <c r="V938" s="1" t="str">
        <f>IF(U938="Not Sampled","Not Sampled",IF(S938=U938,"Accurate Prediction","Inaccurate Prediction"))</f>
        <v>Not Sampled</v>
      </c>
    </row>
    <row r="939" spans="1:22" x14ac:dyDescent="0.25">
      <c r="A939" s="1">
        <v>937</v>
      </c>
      <c r="B939" s="1">
        <v>0</v>
      </c>
      <c r="C939" s="1">
        <f>LOOKUP(B939,Sheet2!$D$4:$E$9)</f>
        <v>0</v>
      </c>
      <c r="D939" s="1">
        <v>97</v>
      </c>
      <c r="E939" t="str">
        <f>LOOKUP(D939,Sheet2!$G$4:$H$9)</f>
        <v>1-99</v>
      </c>
      <c r="F939" s="1">
        <v>64</v>
      </c>
      <c r="G939" t="str">
        <f>LOOKUP(F939,Sheet2!$J$4:$K$8)</f>
        <v>60-69</v>
      </c>
      <c r="H939" s="1">
        <v>36</v>
      </c>
      <c r="I939" t="str">
        <f>LOOKUP(H939,Sheet2!$M$4:$N$8)</f>
        <v>30-39</v>
      </c>
      <c r="J939" s="1">
        <v>100</v>
      </c>
      <c r="K939" t="str">
        <f>LOOKUP(J939,Sheet2!$P$4:$Q$9)</f>
        <v>100-199</v>
      </c>
      <c r="L939" s="1">
        <v>36.799999999999997</v>
      </c>
      <c r="M939" t="str">
        <f>LOOKUP(L939,Sheet2!$S$4:$T$8)</f>
        <v>36+</v>
      </c>
      <c r="N939" s="1">
        <v>0.6</v>
      </c>
      <c r="O939" t="str">
        <f>LOOKUP(N939,Sheet2!$V$4:$W$7)</f>
        <v>0.4 - 0.69</v>
      </c>
      <c r="P939" s="1">
        <v>25</v>
      </c>
      <c r="Q939" t="str">
        <f>LOOKUP(P939,Sheet2!$Z$4:$AA$7)</f>
        <v>&lt;=25</v>
      </c>
      <c r="R939" s="1">
        <v>0</v>
      </c>
      <c r="S939" t="str">
        <f>IF(R939=1,"Positive","Negative")</f>
        <v>Negative</v>
      </c>
      <c r="T939" s="1" t="str">
        <f>IFERROR(VLOOKUP(A939,[1]diabetes_Recognition!$A:$B,2,FALSE),"Not Sampled")</f>
        <v>Not Sampled</v>
      </c>
      <c r="U939" t="str">
        <f>IF(T939=1,"Positive",(IF(T939=0,"Negative","Not Sampled")))</f>
        <v>Not Sampled</v>
      </c>
      <c r="V939" s="1" t="str">
        <f>IF(U939="Not Sampled","Not Sampled",IF(S939=U939,"Accurate Prediction","Inaccurate Prediction"))</f>
        <v>Not Sampled</v>
      </c>
    </row>
    <row r="940" spans="1:22" x14ac:dyDescent="0.25">
      <c r="A940" s="1">
        <v>938</v>
      </c>
      <c r="B940" s="1">
        <v>8</v>
      </c>
      <c r="C940" s="1" t="str">
        <f>LOOKUP(B940,Sheet2!$D$4:$E$9)</f>
        <v>8+</v>
      </c>
      <c r="D940" s="1">
        <v>120</v>
      </c>
      <c r="E940" t="str">
        <f>LOOKUP(D940,Sheet2!$G$4:$H$9)</f>
        <v>100-125</v>
      </c>
      <c r="F940" s="1">
        <v>0</v>
      </c>
      <c r="G940" t="str">
        <f>LOOKUP(F940,Sheet2!$J$4:$K$8)</f>
        <v>Unknown</v>
      </c>
      <c r="H940" s="1">
        <v>0</v>
      </c>
      <c r="I940" t="str">
        <f>LOOKUP(H940,Sheet2!$M$4:$N$8)</f>
        <v>Unknown</v>
      </c>
      <c r="J940" s="1">
        <v>0</v>
      </c>
      <c r="K940" t="str">
        <f>LOOKUP(J940,Sheet2!$P$4:$Q$9)</f>
        <v>Unknown</v>
      </c>
      <c r="L940" s="1">
        <v>30</v>
      </c>
      <c r="M940" t="str">
        <f>LOOKUP(L940,Sheet2!$S$4:$T$8)</f>
        <v>26-30</v>
      </c>
      <c r="N940" s="1">
        <v>0.183</v>
      </c>
      <c r="O940" t="str">
        <f>LOOKUP(N940,Sheet2!$V$4:$W$7)</f>
        <v>0.0 - 0.249</v>
      </c>
      <c r="P940" s="1">
        <v>38</v>
      </c>
      <c r="Q940" t="str">
        <f>LOOKUP(P940,Sheet2!$Z$4:$AA$7)</f>
        <v>36-45</v>
      </c>
      <c r="R940" s="1">
        <v>1</v>
      </c>
      <c r="S940" t="str">
        <f>IF(R940=1,"Positive","Negative")</f>
        <v>Positive</v>
      </c>
      <c r="T940" s="1" t="str">
        <f>IFERROR(VLOOKUP(A940,[1]diabetes_Recognition!$A:$B,2,FALSE),"Not Sampled")</f>
        <v>Not Sampled</v>
      </c>
      <c r="U940" t="str">
        <f>IF(T940=1,"Positive",(IF(T940=0,"Negative","Not Sampled")))</f>
        <v>Not Sampled</v>
      </c>
      <c r="V940" s="1" t="str">
        <f>IF(U940="Not Sampled","Not Sampled",IF(S940=U940,"Accurate Prediction","Inaccurate Prediction"))</f>
        <v>Not Sampled</v>
      </c>
    </row>
    <row r="941" spans="1:22" x14ac:dyDescent="0.25">
      <c r="A941" s="1">
        <v>939</v>
      </c>
      <c r="B941" s="1">
        <v>6</v>
      </c>
      <c r="C941" s="1" t="str">
        <f>LOOKUP(B941,Sheet2!$D$4:$E$9)</f>
        <v>5-7</v>
      </c>
      <c r="D941" s="1">
        <v>154</v>
      </c>
      <c r="E941" t="str">
        <f>LOOKUP(D941,Sheet2!$G$4:$H$9)</f>
        <v>151-175</v>
      </c>
      <c r="F941" s="1">
        <v>78</v>
      </c>
      <c r="G941" t="str">
        <f>LOOKUP(F941,Sheet2!$J$4:$K$8)</f>
        <v>70-79</v>
      </c>
      <c r="H941" s="1">
        <v>41</v>
      </c>
      <c r="I941" t="str">
        <f>LOOKUP(H941,Sheet2!$M$4:$N$8)</f>
        <v>40+</v>
      </c>
      <c r="J941" s="1">
        <v>140</v>
      </c>
      <c r="K941" t="str">
        <f>LOOKUP(J941,Sheet2!$P$4:$Q$9)</f>
        <v>100-199</v>
      </c>
      <c r="L941" s="1">
        <v>46.1</v>
      </c>
      <c r="M941" t="str">
        <f>LOOKUP(L941,Sheet2!$S$4:$T$8)</f>
        <v>36+</v>
      </c>
      <c r="N941" s="1">
        <v>0.57099999999999995</v>
      </c>
      <c r="O941" t="str">
        <f>LOOKUP(N941,Sheet2!$V$4:$W$7)</f>
        <v>0.4 - 0.69</v>
      </c>
      <c r="P941" s="1">
        <v>27</v>
      </c>
      <c r="Q941" t="str">
        <f>LOOKUP(P941,Sheet2!$Z$4:$AA$7)</f>
        <v>26-35</v>
      </c>
      <c r="R941" s="1">
        <v>0</v>
      </c>
      <c r="S941" t="str">
        <f>IF(R941=1,"Positive","Negative")</f>
        <v>Negative</v>
      </c>
      <c r="T941" s="1" t="str">
        <f>IFERROR(VLOOKUP(A941,[1]diabetes_Recognition!$A:$B,2,FALSE),"Not Sampled")</f>
        <v>Not Sampled</v>
      </c>
      <c r="U941" t="str">
        <f>IF(T941=1,"Positive",(IF(T941=0,"Negative","Not Sampled")))</f>
        <v>Not Sampled</v>
      </c>
      <c r="V941" s="1" t="str">
        <f>IF(U941="Not Sampled","Not Sampled",IF(S941=U941,"Accurate Prediction","Inaccurate Prediction"))</f>
        <v>Not Sampled</v>
      </c>
    </row>
    <row r="942" spans="1:22" x14ac:dyDescent="0.25">
      <c r="A942" s="1">
        <v>940</v>
      </c>
      <c r="B942" s="1">
        <v>1</v>
      </c>
      <c r="C942" s="1">
        <f>LOOKUP(B942,Sheet2!$D$4:$E$9)</f>
        <v>1</v>
      </c>
      <c r="D942" s="1">
        <v>144</v>
      </c>
      <c r="E942" t="str">
        <f>LOOKUP(D942,Sheet2!$G$4:$H$9)</f>
        <v>126-150</v>
      </c>
      <c r="F942" s="1">
        <v>82</v>
      </c>
      <c r="G942" t="str">
        <f>LOOKUP(F942,Sheet2!$J$4:$K$8)</f>
        <v>80+</v>
      </c>
      <c r="H942" s="1">
        <v>40</v>
      </c>
      <c r="I942" t="str">
        <f>LOOKUP(H942,Sheet2!$M$4:$N$8)</f>
        <v>40+</v>
      </c>
      <c r="J942" s="1">
        <v>0</v>
      </c>
      <c r="K942" t="str">
        <f>LOOKUP(J942,Sheet2!$P$4:$Q$9)</f>
        <v>Unknown</v>
      </c>
      <c r="L942" s="1">
        <v>41.3</v>
      </c>
      <c r="M942" t="str">
        <f>LOOKUP(L942,Sheet2!$S$4:$T$8)</f>
        <v>36+</v>
      </c>
      <c r="N942" s="1">
        <v>0.60699999999999998</v>
      </c>
      <c r="O942" t="str">
        <f>LOOKUP(N942,Sheet2!$V$4:$W$7)</f>
        <v>0.4 - 0.69</v>
      </c>
      <c r="P942" s="1">
        <v>28</v>
      </c>
      <c r="Q942" t="str">
        <f>LOOKUP(P942,Sheet2!$Z$4:$AA$7)</f>
        <v>26-35</v>
      </c>
      <c r="R942" s="1">
        <v>0</v>
      </c>
      <c r="S942" t="str">
        <f>IF(R942=1,"Positive","Negative")</f>
        <v>Negative</v>
      </c>
      <c r="T942" s="1" t="str">
        <f>IFERROR(VLOOKUP(A942,[1]diabetes_Recognition!$A:$B,2,FALSE),"Not Sampled")</f>
        <v>Not Sampled</v>
      </c>
      <c r="U942" t="str">
        <f>IF(T942=1,"Positive",(IF(T942=0,"Negative","Not Sampled")))</f>
        <v>Not Sampled</v>
      </c>
      <c r="V942" s="1" t="str">
        <f>IF(U942="Not Sampled","Not Sampled",IF(S942=U942,"Accurate Prediction","Inaccurate Prediction"))</f>
        <v>Not Sampled</v>
      </c>
    </row>
    <row r="943" spans="1:22" x14ac:dyDescent="0.25">
      <c r="A943" s="1">
        <v>941</v>
      </c>
      <c r="B943" s="1">
        <v>0</v>
      </c>
      <c r="C943" s="1">
        <f>LOOKUP(B943,Sheet2!$D$4:$E$9)</f>
        <v>0</v>
      </c>
      <c r="D943" s="1">
        <v>137</v>
      </c>
      <c r="E943" t="str">
        <f>LOOKUP(D943,Sheet2!$G$4:$H$9)</f>
        <v>126-150</v>
      </c>
      <c r="F943" s="1">
        <v>70</v>
      </c>
      <c r="G943" t="str">
        <f>LOOKUP(F943,Sheet2!$J$4:$K$8)</f>
        <v>70-79</v>
      </c>
      <c r="H943" s="1">
        <v>38</v>
      </c>
      <c r="I943" t="str">
        <f>LOOKUP(H943,Sheet2!$M$4:$N$8)</f>
        <v>30-39</v>
      </c>
      <c r="J943" s="1">
        <v>0</v>
      </c>
      <c r="K943" t="str">
        <f>LOOKUP(J943,Sheet2!$P$4:$Q$9)</f>
        <v>Unknown</v>
      </c>
      <c r="L943" s="1">
        <v>33.200000000000003</v>
      </c>
      <c r="M943" t="str">
        <f>LOOKUP(L943,Sheet2!$S$4:$T$8)</f>
        <v>31-35</v>
      </c>
      <c r="N943" s="1">
        <v>0.17</v>
      </c>
      <c r="O943" t="str">
        <f>LOOKUP(N943,Sheet2!$V$4:$W$7)</f>
        <v>0.0 - 0.249</v>
      </c>
      <c r="P943" s="1">
        <v>22</v>
      </c>
      <c r="Q943" t="str">
        <f>LOOKUP(P943,Sheet2!$Z$4:$AA$7)</f>
        <v>&lt;=25</v>
      </c>
      <c r="R943" s="1">
        <v>0</v>
      </c>
      <c r="S943" t="str">
        <f>IF(R943=1,"Positive","Negative")</f>
        <v>Negative</v>
      </c>
      <c r="T943" s="1" t="str">
        <f>IFERROR(VLOOKUP(A943,[1]diabetes_Recognition!$A:$B,2,FALSE),"Not Sampled")</f>
        <v>Not Sampled</v>
      </c>
      <c r="U943" t="str">
        <f>IF(T943=1,"Positive",(IF(T943=0,"Negative","Not Sampled")))</f>
        <v>Not Sampled</v>
      </c>
      <c r="V943" s="1" t="str">
        <f>IF(U943="Not Sampled","Not Sampled",IF(S943=U943,"Accurate Prediction","Inaccurate Prediction"))</f>
        <v>Not Sampled</v>
      </c>
    </row>
    <row r="944" spans="1:22" x14ac:dyDescent="0.25">
      <c r="A944" s="1">
        <v>942</v>
      </c>
      <c r="B944" s="1">
        <v>0</v>
      </c>
      <c r="C944" s="1">
        <f>LOOKUP(B944,Sheet2!$D$4:$E$9)</f>
        <v>0</v>
      </c>
      <c r="D944" s="1">
        <v>119</v>
      </c>
      <c r="E944" t="str">
        <f>LOOKUP(D944,Sheet2!$G$4:$H$9)</f>
        <v>100-125</v>
      </c>
      <c r="F944" s="1">
        <v>66</v>
      </c>
      <c r="G944" t="str">
        <f>LOOKUP(F944,Sheet2!$J$4:$K$8)</f>
        <v>60-69</v>
      </c>
      <c r="H944" s="1">
        <v>27</v>
      </c>
      <c r="I944" t="str">
        <f>LOOKUP(H944,Sheet2!$M$4:$N$8)</f>
        <v>10-30</v>
      </c>
      <c r="J944" s="1">
        <v>0</v>
      </c>
      <c r="K944" t="str">
        <f>LOOKUP(J944,Sheet2!$P$4:$Q$9)</f>
        <v>Unknown</v>
      </c>
      <c r="L944" s="1">
        <v>38.799999999999997</v>
      </c>
      <c r="M944" t="str">
        <f>LOOKUP(L944,Sheet2!$S$4:$T$8)</f>
        <v>36+</v>
      </c>
      <c r="N944" s="1">
        <v>0.25900000000000001</v>
      </c>
      <c r="O944" t="str">
        <f>LOOKUP(N944,Sheet2!$V$4:$W$7)</f>
        <v>0.25 - 0.39</v>
      </c>
      <c r="P944" s="1">
        <v>22</v>
      </c>
      <c r="Q944" t="str">
        <f>LOOKUP(P944,Sheet2!$Z$4:$AA$7)</f>
        <v>&lt;=25</v>
      </c>
      <c r="R944" s="1">
        <v>0</v>
      </c>
      <c r="S944" t="str">
        <f>IF(R944=1,"Positive","Negative")</f>
        <v>Negative</v>
      </c>
      <c r="T944" s="1" t="str">
        <f>IFERROR(VLOOKUP(A944,[1]diabetes_Recognition!$A:$B,2,FALSE),"Not Sampled")</f>
        <v>Not Sampled</v>
      </c>
      <c r="U944" t="str">
        <f>IF(T944=1,"Positive",(IF(T944=0,"Negative","Not Sampled")))</f>
        <v>Not Sampled</v>
      </c>
      <c r="V944" s="1" t="str">
        <f>IF(U944="Not Sampled","Not Sampled",IF(S944=U944,"Accurate Prediction","Inaccurate Prediction"))</f>
        <v>Not Sampled</v>
      </c>
    </row>
    <row r="945" spans="1:22" x14ac:dyDescent="0.25">
      <c r="A945" s="1">
        <v>943</v>
      </c>
      <c r="B945" s="1">
        <v>7</v>
      </c>
      <c r="C945" s="1" t="str">
        <f>LOOKUP(B945,Sheet2!$D$4:$E$9)</f>
        <v>5-7</v>
      </c>
      <c r="D945" s="1">
        <v>136</v>
      </c>
      <c r="E945" t="str">
        <f>LOOKUP(D945,Sheet2!$G$4:$H$9)</f>
        <v>126-150</v>
      </c>
      <c r="F945" s="1">
        <v>90</v>
      </c>
      <c r="G945" t="str">
        <f>LOOKUP(F945,Sheet2!$J$4:$K$8)</f>
        <v>80+</v>
      </c>
      <c r="H945" s="1">
        <v>0</v>
      </c>
      <c r="I945" t="str">
        <f>LOOKUP(H945,Sheet2!$M$4:$N$8)</f>
        <v>Unknown</v>
      </c>
      <c r="J945" s="1">
        <v>0</v>
      </c>
      <c r="K945" t="str">
        <f>LOOKUP(J945,Sheet2!$P$4:$Q$9)</f>
        <v>Unknown</v>
      </c>
      <c r="L945" s="1">
        <v>29.9</v>
      </c>
      <c r="M945" t="str">
        <f>LOOKUP(L945,Sheet2!$S$4:$T$8)</f>
        <v>26-30</v>
      </c>
      <c r="N945" s="1">
        <v>0.21</v>
      </c>
      <c r="O945" t="str">
        <f>LOOKUP(N945,Sheet2!$V$4:$W$7)</f>
        <v>0.0 - 0.249</v>
      </c>
      <c r="P945" s="1">
        <v>50</v>
      </c>
      <c r="Q945" t="str">
        <f>LOOKUP(P945,Sheet2!$Z$4:$AA$7)</f>
        <v>46+</v>
      </c>
      <c r="R945" s="1">
        <v>0</v>
      </c>
      <c r="S945" t="str">
        <f>IF(R945=1,"Positive","Negative")</f>
        <v>Negative</v>
      </c>
      <c r="T945" s="1">
        <f>IFERROR(VLOOKUP(A945,[1]diabetes_Recognition!$A:$B,2,FALSE),"Not Sampled")</f>
        <v>0</v>
      </c>
      <c r="U945" t="str">
        <f>IF(T945=1,"Positive",(IF(T945=0,"Negative","Not Sampled")))</f>
        <v>Negative</v>
      </c>
      <c r="V945" s="1" t="str">
        <f>IF(U945="Not Sampled","Not Sampled",IF(S945=U945,"Accurate Prediction","Inaccurate Prediction"))</f>
        <v>Accurate Prediction</v>
      </c>
    </row>
    <row r="946" spans="1:22" x14ac:dyDescent="0.25">
      <c r="A946" s="1">
        <v>944</v>
      </c>
      <c r="B946" s="1">
        <v>4</v>
      </c>
      <c r="C946" s="1" t="str">
        <f>LOOKUP(B946,Sheet2!$D$4:$E$9)</f>
        <v>3-4</v>
      </c>
      <c r="D946" s="1">
        <v>114</v>
      </c>
      <c r="E946" t="str">
        <f>LOOKUP(D946,Sheet2!$G$4:$H$9)</f>
        <v>100-125</v>
      </c>
      <c r="F946" s="1">
        <v>64</v>
      </c>
      <c r="G946" t="str">
        <f>LOOKUP(F946,Sheet2!$J$4:$K$8)</f>
        <v>60-69</v>
      </c>
      <c r="H946" s="1">
        <v>0</v>
      </c>
      <c r="I946" t="str">
        <f>LOOKUP(H946,Sheet2!$M$4:$N$8)</f>
        <v>Unknown</v>
      </c>
      <c r="J946" s="1">
        <v>0</v>
      </c>
      <c r="K946" t="str">
        <f>LOOKUP(J946,Sheet2!$P$4:$Q$9)</f>
        <v>Unknown</v>
      </c>
      <c r="L946" s="1">
        <v>28.9</v>
      </c>
      <c r="M946" t="str">
        <f>LOOKUP(L946,Sheet2!$S$4:$T$8)</f>
        <v>26-30</v>
      </c>
      <c r="N946" s="1">
        <v>0.126</v>
      </c>
      <c r="O946" t="str">
        <f>LOOKUP(N946,Sheet2!$V$4:$W$7)</f>
        <v>0.0 - 0.249</v>
      </c>
      <c r="P946" s="1">
        <v>24</v>
      </c>
      <c r="Q946" t="str">
        <f>LOOKUP(P946,Sheet2!$Z$4:$AA$7)</f>
        <v>&lt;=25</v>
      </c>
      <c r="R946" s="1">
        <v>0</v>
      </c>
      <c r="S946" t="str">
        <f>IF(R946=1,"Positive","Negative")</f>
        <v>Negative</v>
      </c>
      <c r="T946" s="1" t="str">
        <f>IFERROR(VLOOKUP(A946,[1]diabetes_Recognition!$A:$B,2,FALSE),"Not Sampled")</f>
        <v>Not Sampled</v>
      </c>
      <c r="U946" t="str">
        <f>IF(T946=1,"Positive",(IF(T946=0,"Negative","Not Sampled")))</f>
        <v>Not Sampled</v>
      </c>
      <c r="V946" s="1" t="str">
        <f>IF(U946="Not Sampled","Not Sampled",IF(S946=U946,"Accurate Prediction","Inaccurate Prediction"))</f>
        <v>Not Sampled</v>
      </c>
    </row>
    <row r="947" spans="1:22" x14ac:dyDescent="0.25">
      <c r="A947" s="1">
        <v>945</v>
      </c>
      <c r="B947" s="1">
        <v>0</v>
      </c>
      <c r="C947" s="1">
        <f>LOOKUP(B947,Sheet2!$D$4:$E$9)</f>
        <v>0</v>
      </c>
      <c r="D947" s="1">
        <v>137</v>
      </c>
      <c r="E947" t="str">
        <f>LOOKUP(D947,Sheet2!$G$4:$H$9)</f>
        <v>126-150</v>
      </c>
      <c r="F947" s="1">
        <v>84</v>
      </c>
      <c r="G947" t="str">
        <f>LOOKUP(F947,Sheet2!$J$4:$K$8)</f>
        <v>80+</v>
      </c>
      <c r="H947" s="1">
        <v>27</v>
      </c>
      <c r="I947" t="str">
        <f>LOOKUP(H947,Sheet2!$M$4:$N$8)</f>
        <v>10-30</v>
      </c>
      <c r="J947" s="1">
        <v>0</v>
      </c>
      <c r="K947" t="str">
        <f>LOOKUP(J947,Sheet2!$P$4:$Q$9)</f>
        <v>Unknown</v>
      </c>
      <c r="L947" s="1">
        <v>27.3</v>
      </c>
      <c r="M947" t="str">
        <f>LOOKUP(L947,Sheet2!$S$4:$T$8)</f>
        <v>26-30</v>
      </c>
      <c r="N947" s="1">
        <v>0.23100000000000001</v>
      </c>
      <c r="O947" t="str">
        <f>LOOKUP(N947,Sheet2!$V$4:$W$7)</f>
        <v>0.0 - 0.249</v>
      </c>
      <c r="P947" s="1">
        <v>59</v>
      </c>
      <c r="Q947" t="str">
        <f>LOOKUP(P947,Sheet2!$Z$4:$AA$7)</f>
        <v>46+</v>
      </c>
      <c r="R947" s="1">
        <v>0</v>
      </c>
      <c r="S947" t="str">
        <f>IF(R947=1,"Positive","Negative")</f>
        <v>Negative</v>
      </c>
      <c r="T947" s="1" t="str">
        <f>IFERROR(VLOOKUP(A947,[1]diabetes_Recognition!$A:$B,2,FALSE),"Not Sampled")</f>
        <v>Not Sampled</v>
      </c>
      <c r="U947" t="str">
        <f>IF(T947=1,"Positive",(IF(T947=0,"Negative","Not Sampled")))</f>
        <v>Not Sampled</v>
      </c>
      <c r="V947" s="1" t="str">
        <f>IF(U947="Not Sampled","Not Sampled",IF(S947=U947,"Accurate Prediction","Inaccurate Prediction"))</f>
        <v>Not Sampled</v>
      </c>
    </row>
    <row r="948" spans="1:22" x14ac:dyDescent="0.25">
      <c r="A948" s="1">
        <v>946</v>
      </c>
      <c r="B948" s="1">
        <v>2</v>
      </c>
      <c r="C948" s="1">
        <f>LOOKUP(B948,Sheet2!$D$4:$E$9)</f>
        <v>2</v>
      </c>
      <c r="D948" s="1">
        <v>105</v>
      </c>
      <c r="E948" t="str">
        <f>LOOKUP(D948,Sheet2!$G$4:$H$9)</f>
        <v>100-125</v>
      </c>
      <c r="F948" s="1">
        <v>80</v>
      </c>
      <c r="G948" t="str">
        <f>LOOKUP(F948,Sheet2!$J$4:$K$8)</f>
        <v>80+</v>
      </c>
      <c r="H948" s="1">
        <v>45</v>
      </c>
      <c r="I948" t="str">
        <f>LOOKUP(H948,Sheet2!$M$4:$N$8)</f>
        <v>40+</v>
      </c>
      <c r="J948" s="1">
        <v>191</v>
      </c>
      <c r="K948" t="str">
        <f>LOOKUP(J948,Sheet2!$P$4:$Q$9)</f>
        <v>100-199</v>
      </c>
      <c r="L948" s="1">
        <v>33.700000000000003</v>
      </c>
      <c r="M948" t="str">
        <f>LOOKUP(L948,Sheet2!$S$4:$T$8)</f>
        <v>31-35</v>
      </c>
      <c r="N948" s="1">
        <v>0.71099999999999997</v>
      </c>
      <c r="O948" t="str">
        <f>LOOKUP(N948,Sheet2!$V$4:$W$7)</f>
        <v>0.7+</v>
      </c>
      <c r="P948" s="1">
        <v>29</v>
      </c>
      <c r="Q948" t="str">
        <f>LOOKUP(P948,Sheet2!$Z$4:$AA$7)</f>
        <v>26-35</v>
      </c>
      <c r="R948" s="1">
        <v>1</v>
      </c>
      <c r="S948" t="str">
        <f>IF(R948=1,"Positive","Negative")</f>
        <v>Positive</v>
      </c>
      <c r="T948" s="1" t="str">
        <f>IFERROR(VLOOKUP(A948,[1]diabetes_Recognition!$A:$B,2,FALSE),"Not Sampled")</f>
        <v>Not Sampled</v>
      </c>
      <c r="U948" t="str">
        <f>IF(T948=1,"Positive",(IF(T948=0,"Negative","Not Sampled")))</f>
        <v>Not Sampled</v>
      </c>
      <c r="V948" s="1" t="str">
        <f>IF(U948="Not Sampled","Not Sampled",IF(S948=U948,"Accurate Prediction","Inaccurate Prediction"))</f>
        <v>Not Sampled</v>
      </c>
    </row>
    <row r="949" spans="1:22" x14ac:dyDescent="0.25">
      <c r="A949" s="1">
        <v>947</v>
      </c>
      <c r="B949" s="1">
        <v>7</v>
      </c>
      <c r="C949" s="1" t="str">
        <f>LOOKUP(B949,Sheet2!$D$4:$E$9)</f>
        <v>5-7</v>
      </c>
      <c r="D949" s="1">
        <v>114</v>
      </c>
      <c r="E949" t="str">
        <f>LOOKUP(D949,Sheet2!$G$4:$H$9)</f>
        <v>100-125</v>
      </c>
      <c r="F949" s="1">
        <v>76</v>
      </c>
      <c r="G949" t="str">
        <f>LOOKUP(F949,Sheet2!$J$4:$K$8)</f>
        <v>70-79</v>
      </c>
      <c r="H949" s="1">
        <v>17</v>
      </c>
      <c r="I949" t="str">
        <f>LOOKUP(H949,Sheet2!$M$4:$N$8)</f>
        <v>10-30</v>
      </c>
      <c r="J949" s="1">
        <v>110</v>
      </c>
      <c r="K949" t="str">
        <f>LOOKUP(J949,Sheet2!$P$4:$Q$9)</f>
        <v>100-199</v>
      </c>
      <c r="L949" s="1">
        <v>23.8</v>
      </c>
      <c r="M949" t="str">
        <f>LOOKUP(L949,Sheet2!$S$4:$T$8)</f>
        <v>1-25</v>
      </c>
      <c r="N949" s="1">
        <v>0.46600000000000003</v>
      </c>
      <c r="O949" t="str">
        <f>LOOKUP(N949,Sheet2!$V$4:$W$7)</f>
        <v>0.4 - 0.69</v>
      </c>
      <c r="P949" s="1">
        <v>31</v>
      </c>
      <c r="Q949" t="str">
        <f>LOOKUP(P949,Sheet2!$Z$4:$AA$7)</f>
        <v>26-35</v>
      </c>
      <c r="R949" s="1">
        <v>0</v>
      </c>
      <c r="S949" t="str">
        <f>IF(R949=1,"Positive","Negative")</f>
        <v>Negative</v>
      </c>
      <c r="T949" s="1" t="str">
        <f>IFERROR(VLOOKUP(A949,[1]diabetes_Recognition!$A:$B,2,FALSE),"Not Sampled")</f>
        <v>Not Sampled</v>
      </c>
      <c r="U949" t="str">
        <f>IF(T949=1,"Positive",(IF(T949=0,"Negative","Not Sampled")))</f>
        <v>Not Sampled</v>
      </c>
      <c r="V949" s="1" t="str">
        <f>IF(U949="Not Sampled","Not Sampled",IF(S949=U949,"Accurate Prediction","Inaccurate Prediction"))</f>
        <v>Not Sampled</v>
      </c>
    </row>
    <row r="950" spans="1:22" x14ac:dyDescent="0.25">
      <c r="A950" s="1">
        <v>948</v>
      </c>
      <c r="B950" s="1">
        <v>8</v>
      </c>
      <c r="C950" s="1" t="str">
        <f>LOOKUP(B950,Sheet2!$D$4:$E$9)</f>
        <v>8+</v>
      </c>
      <c r="D950" s="1">
        <v>126</v>
      </c>
      <c r="E950" t="str">
        <f>LOOKUP(D950,Sheet2!$G$4:$H$9)</f>
        <v>126-150</v>
      </c>
      <c r="F950" s="1">
        <v>74</v>
      </c>
      <c r="G950" t="str">
        <f>LOOKUP(F950,Sheet2!$J$4:$K$8)</f>
        <v>70-79</v>
      </c>
      <c r="H950" s="1">
        <v>38</v>
      </c>
      <c r="I950" t="str">
        <f>LOOKUP(H950,Sheet2!$M$4:$N$8)</f>
        <v>30-39</v>
      </c>
      <c r="J950" s="1">
        <v>75</v>
      </c>
      <c r="K950" t="str">
        <f>LOOKUP(J950,Sheet2!$P$4:$Q$9)</f>
        <v>1-99</v>
      </c>
      <c r="L950" s="1">
        <v>25.9</v>
      </c>
      <c r="M950" t="str">
        <f>LOOKUP(L950,Sheet2!$S$4:$T$8)</f>
        <v>1-25</v>
      </c>
      <c r="N950" s="1">
        <v>0.16200000000000001</v>
      </c>
      <c r="O950" t="str">
        <f>LOOKUP(N950,Sheet2!$V$4:$W$7)</f>
        <v>0.0 - 0.249</v>
      </c>
      <c r="P950" s="1">
        <v>39</v>
      </c>
      <c r="Q950" t="str">
        <f>LOOKUP(P950,Sheet2!$Z$4:$AA$7)</f>
        <v>36-45</v>
      </c>
      <c r="R950" s="1">
        <v>0</v>
      </c>
      <c r="S950" t="str">
        <f>IF(R950=1,"Positive","Negative")</f>
        <v>Negative</v>
      </c>
      <c r="T950" s="1" t="str">
        <f>IFERROR(VLOOKUP(A950,[1]diabetes_Recognition!$A:$B,2,FALSE),"Not Sampled")</f>
        <v>Not Sampled</v>
      </c>
      <c r="U950" t="str">
        <f>IF(T950=1,"Positive",(IF(T950=0,"Negative","Not Sampled")))</f>
        <v>Not Sampled</v>
      </c>
      <c r="V950" s="1" t="str">
        <f>IF(U950="Not Sampled","Not Sampled",IF(S950=U950,"Accurate Prediction","Inaccurate Prediction"))</f>
        <v>Not Sampled</v>
      </c>
    </row>
    <row r="951" spans="1:22" x14ac:dyDescent="0.25">
      <c r="A951" s="1">
        <v>949</v>
      </c>
      <c r="B951" s="1">
        <v>4</v>
      </c>
      <c r="C951" s="1" t="str">
        <f>LOOKUP(B951,Sheet2!$D$4:$E$9)</f>
        <v>3-4</v>
      </c>
      <c r="D951" s="1">
        <v>132</v>
      </c>
      <c r="E951" t="str">
        <f>LOOKUP(D951,Sheet2!$G$4:$H$9)</f>
        <v>126-150</v>
      </c>
      <c r="F951" s="1">
        <v>86</v>
      </c>
      <c r="G951" t="str">
        <f>LOOKUP(F951,Sheet2!$J$4:$K$8)</f>
        <v>80+</v>
      </c>
      <c r="H951" s="1">
        <v>31</v>
      </c>
      <c r="I951" t="str">
        <f>LOOKUP(H951,Sheet2!$M$4:$N$8)</f>
        <v>30-39</v>
      </c>
      <c r="J951" s="1">
        <v>0</v>
      </c>
      <c r="K951" t="str">
        <f>LOOKUP(J951,Sheet2!$P$4:$Q$9)</f>
        <v>Unknown</v>
      </c>
      <c r="L951" s="1">
        <v>28</v>
      </c>
      <c r="M951" t="str">
        <f>LOOKUP(L951,Sheet2!$S$4:$T$8)</f>
        <v>26-30</v>
      </c>
      <c r="N951" s="1">
        <v>0.41899999999999998</v>
      </c>
      <c r="O951" t="str">
        <f>LOOKUP(N951,Sheet2!$V$4:$W$7)</f>
        <v>0.4 - 0.69</v>
      </c>
      <c r="P951" s="1">
        <v>63</v>
      </c>
      <c r="Q951" t="str">
        <f>LOOKUP(P951,Sheet2!$Z$4:$AA$7)</f>
        <v>46+</v>
      </c>
      <c r="R951" s="1">
        <v>0</v>
      </c>
      <c r="S951" t="str">
        <f>IF(R951=1,"Positive","Negative")</f>
        <v>Negative</v>
      </c>
      <c r="T951" s="1" t="str">
        <f>IFERROR(VLOOKUP(A951,[1]diabetes_Recognition!$A:$B,2,FALSE),"Not Sampled")</f>
        <v>Not Sampled</v>
      </c>
      <c r="U951" t="str">
        <f>IF(T951=1,"Positive",(IF(T951=0,"Negative","Not Sampled")))</f>
        <v>Not Sampled</v>
      </c>
      <c r="V951" s="1" t="str">
        <f>IF(U951="Not Sampled","Not Sampled",IF(S951=U951,"Accurate Prediction","Inaccurate Prediction"))</f>
        <v>Not Sampled</v>
      </c>
    </row>
    <row r="952" spans="1:22" x14ac:dyDescent="0.25">
      <c r="A952" s="1">
        <v>950</v>
      </c>
      <c r="B952" s="1">
        <v>3</v>
      </c>
      <c r="C952" s="1" t="str">
        <f>LOOKUP(B952,Sheet2!$D$4:$E$9)</f>
        <v>3-4</v>
      </c>
      <c r="D952" s="1">
        <v>158</v>
      </c>
      <c r="E952" t="str">
        <f>LOOKUP(D952,Sheet2!$G$4:$H$9)</f>
        <v>151-175</v>
      </c>
      <c r="F952" s="1">
        <v>70</v>
      </c>
      <c r="G952" t="str">
        <f>LOOKUP(F952,Sheet2!$J$4:$K$8)</f>
        <v>70-79</v>
      </c>
      <c r="H952" s="1">
        <v>30</v>
      </c>
      <c r="I952" t="str">
        <f>LOOKUP(H952,Sheet2!$M$4:$N$8)</f>
        <v>30-39</v>
      </c>
      <c r="J952" s="1">
        <v>328</v>
      </c>
      <c r="K952" t="str">
        <f>LOOKUP(J952,Sheet2!$P$4:$Q$9)</f>
        <v>300-499</v>
      </c>
      <c r="L952" s="1">
        <v>35.5</v>
      </c>
      <c r="M952" t="str">
        <f>LOOKUP(L952,Sheet2!$S$4:$T$8)</f>
        <v>31-35</v>
      </c>
      <c r="N952" s="1">
        <v>0.34399999999999997</v>
      </c>
      <c r="O952" t="str">
        <f>LOOKUP(N952,Sheet2!$V$4:$W$7)</f>
        <v>0.25 - 0.39</v>
      </c>
      <c r="P952" s="1">
        <v>35</v>
      </c>
      <c r="Q952" t="str">
        <f>LOOKUP(P952,Sheet2!$Z$4:$AA$7)</f>
        <v>26-35</v>
      </c>
      <c r="R952" s="1">
        <v>1</v>
      </c>
      <c r="S952" t="str">
        <f>IF(R952=1,"Positive","Negative")</f>
        <v>Positive</v>
      </c>
      <c r="T952" s="1">
        <f>IFERROR(VLOOKUP(A952,[1]diabetes_Recognition!$A:$B,2,FALSE),"Not Sampled")</f>
        <v>1</v>
      </c>
      <c r="U952" t="str">
        <f>IF(T952=1,"Positive",(IF(T952=0,"Negative","Not Sampled")))</f>
        <v>Positive</v>
      </c>
      <c r="V952" s="1" t="str">
        <f>IF(U952="Not Sampled","Not Sampled",IF(S952=U952,"Accurate Prediction","Inaccurate Prediction"))</f>
        <v>Accurate Prediction</v>
      </c>
    </row>
    <row r="953" spans="1:22" x14ac:dyDescent="0.25">
      <c r="A953" s="1">
        <v>951</v>
      </c>
      <c r="B953" s="1">
        <v>0</v>
      </c>
      <c r="C953" s="1">
        <f>LOOKUP(B953,Sheet2!$D$4:$E$9)</f>
        <v>0</v>
      </c>
      <c r="D953" s="1">
        <v>123</v>
      </c>
      <c r="E953" t="str">
        <f>LOOKUP(D953,Sheet2!$G$4:$H$9)</f>
        <v>100-125</v>
      </c>
      <c r="F953" s="1">
        <v>88</v>
      </c>
      <c r="G953" t="str">
        <f>LOOKUP(F953,Sheet2!$J$4:$K$8)</f>
        <v>80+</v>
      </c>
      <c r="H953" s="1">
        <v>37</v>
      </c>
      <c r="I953" t="str">
        <f>LOOKUP(H953,Sheet2!$M$4:$N$8)</f>
        <v>30-39</v>
      </c>
      <c r="J953" s="1">
        <v>0</v>
      </c>
      <c r="K953" t="str">
        <f>LOOKUP(J953,Sheet2!$P$4:$Q$9)</f>
        <v>Unknown</v>
      </c>
      <c r="L953" s="1">
        <v>35.200000000000003</v>
      </c>
      <c r="M953" t="str">
        <f>LOOKUP(L953,Sheet2!$S$4:$T$8)</f>
        <v>31-35</v>
      </c>
      <c r="N953" s="1">
        <v>0.19700000000000001</v>
      </c>
      <c r="O953" t="str">
        <f>LOOKUP(N953,Sheet2!$V$4:$W$7)</f>
        <v>0.0 - 0.249</v>
      </c>
      <c r="P953" s="1">
        <v>29</v>
      </c>
      <c r="Q953" t="str">
        <f>LOOKUP(P953,Sheet2!$Z$4:$AA$7)</f>
        <v>26-35</v>
      </c>
      <c r="R953" s="1">
        <v>0</v>
      </c>
      <c r="S953" t="str">
        <f>IF(R953=1,"Positive","Negative")</f>
        <v>Negative</v>
      </c>
      <c r="T953" s="1" t="str">
        <f>IFERROR(VLOOKUP(A953,[1]diabetes_Recognition!$A:$B,2,FALSE),"Not Sampled")</f>
        <v>Not Sampled</v>
      </c>
      <c r="U953" t="str">
        <f>IF(T953=1,"Positive",(IF(T953=0,"Negative","Not Sampled")))</f>
        <v>Not Sampled</v>
      </c>
      <c r="V953" s="1" t="str">
        <f>IF(U953="Not Sampled","Not Sampled",IF(S953=U953,"Accurate Prediction","Inaccurate Prediction"))</f>
        <v>Not Sampled</v>
      </c>
    </row>
    <row r="954" spans="1:22" x14ac:dyDescent="0.25">
      <c r="A954" s="1">
        <v>952</v>
      </c>
      <c r="B954" s="1">
        <v>4</v>
      </c>
      <c r="C954" s="1" t="str">
        <f>LOOKUP(B954,Sheet2!$D$4:$E$9)</f>
        <v>3-4</v>
      </c>
      <c r="D954" s="1">
        <v>85</v>
      </c>
      <c r="E954" t="str">
        <f>LOOKUP(D954,Sheet2!$G$4:$H$9)</f>
        <v>1-99</v>
      </c>
      <c r="F954" s="1">
        <v>58</v>
      </c>
      <c r="G954" t="str">
        <f>LOOKUP(F954,Sheet2!$J$4:$K$8)</f>
        <v>1-59</v>
      </c>
      <c r="H954" s="1">
        <v>22</v>
      </c>
      <c r="I954" t="str">
        <f>LOOKUP(H954,Sheet2!$M$4:$N$8)</f>
        <v>10-30</v>
      </c>
      <c r="J954" s="1">
        <v>49</v>
      </c>
      <c r="K954" t="str">
        <f>LOOKUP(J954,Sheet2!$P$4:$Q$9)</f>
        <v>1-99</v>
      </c>
      <c r="L954" s="1">
        <v>27.8</v>
      </c>
      <c r="M954" t="str">
        <f>LOOKUP(L954,Sheet2!$S$4:$T$8)</f>
        <v>26-30</v>
      </c>
      <c r="N954" s="1">
        <v>0.30599999999999999</v>
      </c>
      <c r="O954" t="str">
        <f>LOOKUP(N954,Sheet2!$V$4:$W$7)</f>
        <v>0.25 - 0.39</v>
      </c>
      <c r="P954" s="1">
        <v>28</v>
      </c>
      <c r="Q954" t="str">
        <f>LOOKUP(P954,Sheet2!$Z$4:$AA$7)</f>
        <v>26-35</v>
      </c>
      <c r="R954" s="1">
        <v>0</v>
      </c>
      <c r="S954" t="str">
        <f>IF(R954=1,"Positive","Negative")</f>
        <v>Negative</v>
      </c>
      <c r="T954" s="1">
        <f>IFERROR(VLOOKUP(A954,[1]diabetes_Recognition!$A:$B,2,FALSE),"Not Sampled")</f>
        <v>0</v>
      </c>
      <c r="U954" t="str">
        <f>IF(T954=1,"Positive",(IF(T954=0,"Negative","Not Sampled")))</f>
        <v>Negative</v>
      </c>
      <c r="V954" s="1" t="str">
        <f>IF(U954="Not Sampled","Not Sampled",IF(S954=U954,"Accurate Prediction","Inaccurate Prediction"))</f>
        <v>Accurate Prediction</v>
      </c>
    </row>
    <row r="955" spans="1:22" x14ac:dyDescent="0.25">
      <c r="A955" s="1">
        <v>953</v>
      </c>
      <c r="B955" s="1">
        <v>0</v>
      </c>
      <c r="C955" s="1">
        <f>LOOKUP(B955,Sheet2!$D$4:$E$9)</f>
        <v>0</v>
      </c>
      <c r="D955" s="1">
        <v>84</v>
      </c>
      <c r="E955" t="str">
        <f>LOOKUP(D955,Sheet2!$G$4:$H$9)</f>
        <v>1-99</v>
      </c>
      <c r="F955" s="1">
        <v>82</v>
      </c>
      <c r="G955" t="str">
        <f>LOOKUP(F955,Sheet2!$J$4:$K$8)</f>
        <v>80+</v>
      </c>
      <c r="H955" s="1">
        <v>31</v>
      </c>
      <c r="I955" t="str">
        <f>LOOKUP(H955,Sheet2!$M$4:$N$8)</f>
        <v>30-39</v>
      </c>
      <c r="J955" s="1">
        <v>125</v>
      </c>
      <c r="K955" t="str">
        <f>LOOKUP(J955,Sheet2!$P$4:$Q$9)</f>
        <v>100-199</v>
      </c>
      <c r="L955" s="1">
        <v>38.200000000000003</v>
      </c>
      <c r="M955" t="str">
        <f>LOOKUP(L955,Sheet2!$S$4:$T$8)</f>
        <v>36+</v>
      </c>
      <c r="N955" s="1">
        <v>0.23300000000000001</v>
      </c>
      <c r="O955" t="str">
        <f>LOOKUP(N955,Sheet2!$V$4:$W$7)</f>
        <v>0.0 - 0.249</v>
      </c>
      <c r="P955" s="1">
        <v>23</v>
      </c>
      <c r="Q955" t="str">
        <f>LOOKUP(P955,Sheet2!$Z$4:$AA$7)</f>
        <v>&lt;=25</v>
      </c>
      <c r="R955" s="1">
        <v>0</v>
      </c>
      <c r="S955" t="str">
        <f>IF(R955=1,"Positive","Negative")</f>
        <v>Negative</v>
      </c>
      <c r="T955" s="1" t="str">
        <f>IFERROR(VLOOKUP(A955,[1]diabetes_Recognition!$A:$B,2,FALSE),"Not Sampled")</f>
        <v>Not Sampled</v>
      </c>
      <c r="U955" t="str">
        <f>IF(T955=1,"Positive",(IF(T955=0,"Negative","Not Sampled")))</f>
        <v>Not Sampled</v>
      </c>
      <c r="V955" s="1" t="str">
        <f>IF(U955="Not Sampled","Not Sampled",IF(S955=U955,"Accurate Prediction","Inaccurate Prediction"))</f>
        <v>Not Sampled</v>
      </c>
    </row>
    <row r="956" spans="1:22" x14ac:dyDescent="0.25">
      <c r="A956" s="1">
        <v>954</v>
      </c>
      <c r="B956" s="1">
        <v>0</v>
      </c>
      <c r="C956" s="1">
        <f>LOOKUP(B956,Sheet2!$D$4:$E$9)</f>
        <v>0</v>
      </c>
      <c r="D956" s="1">
        <v>145</v>
      </c>
      <c r="E956" t="str">
        <f>LOOKUP(D956,Sheet2!$G$4:$H$9)</f>
        <v>126-150</v>
      </c>
      <c r="F956" s="1">
        <v>0</v>
      </c>
      <c r="G956" t="str">
        <f>LOOKUP(F956,Sheet2!$J$4:$K$8)</f>
        <v>Unknown</v>
      </c>
      <c r="H956" s="1">
        <v>0</v>
      </c>
      <c r="I956" t="str">
        <f>LOOKUP(H956,Sheet2!$M$4:$N$8)</f>
        <v>Unknown</v>
      </c>
      <c r="J956" s="1">
        <v>0</v>
      </c>
      <c r="K956" t="str">
        <f>LOOKUP(J956,Sheet2!$P$4:$Q$9)</f>
        <v>Unknown</v>
      </c>
      <c r="L956" s="1">
        <v>44.2</v>
      </c>
      <c r="M956" t="str">
        <f>LOOKUP(L956,Sheet2!$S$4:$T$8)</f>
        <v>36+</v>
      </c>
      <c r="N956" s="1">
        <v>0.63</v>
      </c>
      <c r="O956" t="str">
        <f>LOOKUP(N956,Sheet2!$V$4:$W$7)</f>
        <v>0.4 - 0.69</v>
      </c>
      <c r="P956" s="1">
        <v>31</v>
      </c>
      <c r="Q956" t="str">
        <f>LOOKUP(P956,Sheet2!$Z$4:$AA$7)</f>
        <v>26-35</v>
      </c>
      <c r="R956" s="1">
        <v>1</v>
      </c>
      <c r="S956" t="str">
        <f>IF(R956=1,"Positive","Negative")</f>
        <v>Positive</v>
      </c>
      <c r="T956" s="1" t="str">
        <f>IFERROR(VLOOKUP(A956,[1]diabetes_Recognition!$A:$B,2,FALSE),"Not Sampled")</f>
        <v>Not Sampled</v>
      </c>
      <c r="U956" t="str">
        <f>IF(T956=1,"Positive",(IF(T956=0,"Negative","Not Sampled")))</f>
        <v>Not Sampled</v>
      </c>
      <c r="V956" s="1" t="str">
        <f>IF(U956="Not Sampled","Not Sampled",IF(S956=U956,"Accurate Prediction","Inaccurate Prediction"))</f>
        <v>Not Sampled</v>
      </c>
    </row>
    <row r="957" spans="1:22" x14ac:dyDescent="0.25">
      <c r="A957" s="1">
        <v>955</v>
      </c>
      <c r="B957" s="1">
        <v>0</v>
      </c>
      <c r="C957" s="1">
        <f>LOOKUP(B957,Sheet2!$D$4:$E$9)</f>
        <v>0</v>
      </c>
      <c r="D957" s="1">
        <v>135</v>
      </c>
      <c r="E957" t="str">
        <f>LOOKUP(D957,Sheet2!$G$4:$H$9)</f>
        <v>126-150</v>
      </c>
      <c r="F957" s="1">
        <v>68</v>
      </c>
      <c r="G957" t="str">
        <f>LOOKUP(F957,Sheet2!$J$4:$K$8)</f>
        <v>60-69</v>
      </c>
      <c r="H957" s="1">
        <v>42</v>
      </c>
      <c r="I957" t="str">
        <f>LOOKUP(H957,Sheet2!$M$4:$N$8)</f>
        <v>40+</v>
      </c>
      <c r="J957" s="1">
        <v>250</v>
      </c>
      <c r="K957" t="str">
        <f>LOOKUP(J957,Sheet2!$P$4:$Q$9)</f>
        <v>200-399</v>
      </c>
      <c r="L957" s="1">
        <v>42.3</v>
      </c>
      <c r="M957" t="str">
        <f>LOOKUP(L957,Sheet2!$S$4:$T$8)</f>
        <v>36+</v>
      </c>
      <c r="N957" s="1">
        <v>0.36499999999999999</v>
      </c>
      <c r="O957" t="str">
        <f>LOOKUP(N957,Sheet2!$V$4:$W$7)</f>
        <v>0.25 - 0.39</v>
      </c>
      <c r="P957" s="1">
        <v>24</v>
      </c>
      <c r="Q957" t="str">
        <f>LOOKUP(P957,Sheet2!$Z$4:$AA$7)</f>
        <v>&lt;=25</v>
      </c>
      <c r="R957" s="1">
        <v>1</v>
      </c>
      <c r="S957" t="str">
        <f>IF(R957=1,"Positive","Negative")</f>
        <v>Positive</v>
      </c>
      <c r="T957" s="1" t="str">
        <f>IFERROR(VLOOKUP(A957,[1]diabetes_Recognition!$A:$B,2,FALSE),"Not Sampled")</f>
        <v>Not Sampled</v>
      </c>
      <c r="U957" t="str">
        <f>IF(T957=1,"Positive",(IF(T957=0,"Negative","Not Sampled")))</f>
        <v>Not Sampled</v>
      </c>
      <c r="V957" s="1" t="str">
        <f>IF(U957="Not Sampled","Not Sampled",IF(S957=U957,"Accurate Prediction","Inaccurate Prediction"))</f>
        <v>Not Sampled</v>
      </c>
    </row>
    <row r="958" spans="1:22" x14ac:dyDescent="0.25">
      <c r="A958" s="1">
        <v>956</v>
      </c>
      <c r="B958" s="1">
        <v>1</v>
      </c>
      <c r="C958" s="1">
        <f>LOOKUP(B958,Sheet2!$D$4:$E$9)</f>
        <v>1</v>
      </c>
      <c r="D958" s="1">
        <v>139</v>
      </c>
      <c r="E958" t="str">
        <f>LOOKUP(D958,Sheet2!$G$4:$H$9)</f>
        <v>126-150</v>
      </c>
      <c r="F958" s="1">
        <v>62</v>
      </c>
      <c r="G958" t="str">
        <f>LOOKUP(F958,Sheet2!$J$4:$K$8)</f>
        <v>60-69</v>
      </c>
      <c r="H958" s="1">
        <v>41</v>
      </c>
      <c r="I958" t="str">
        <f>LOOKUP(H958,Sheet2!$M$4:$N$8)</f>
        <v>40+</v>
      </c>
      <c r="J958" s="1">
        <v>480</v>
      </c>
      <c r="K958" t="str">
        <f>LOOKUP(J958,Sheet2!$P$4:$Q$9)</f>
        <v>300-499</v>
      </c>
      <c r="L958" s="1">
        <v>40.700000000000003</v>
      </c>
      <c r="M958" t="str">
        <f>LOOKUP(L958,Sheet2!$S$4:$T$8)</f>
        <v>36+</v>
      </c>
      <c r="N958" s="1">
        <v>0.53600000000000003</v>
      </c>
      <c r="O958" t="str">
        <f>LOOKUP(N958,Sheet2!$V$4:$W$7)</f>
        <v>0.4 - 0.69</v>
      </c>
      <c r="P958" s="1">
        <v>21</v>
      </c>
      <c r="Q958" t="str">
        <f>LOOKUP(P958,Sheet2!$Z$4:$AA$7)</f>
        <v>&lt;=25</v>
      </c>
      <c r="R958" s="1">
        <v>0</v>
      </c>
      <c r="S958" t="str">
        <f>IF(R958=1,"Positive","Negative")</f>
        <v>Negative</v>
      </c>
      <c r="T958" s="1" t="str">
        <f>IFERROR(VLOOKUP(A958,[1]diabetes_Recognition!$A:$B,2,FALSE),"Not Sampled")</f>
        <v>Not Sampled</v>
      </c>
      <c r="U958" t="str">
        <f>IF(T958=1,"Positive",(IF(T958=0,"Negative","Not Sampled")))</f>
        <v>Not Sampled</v>
      </c>
      <c r="V958" s="1" t="str">
        <f>IF(U958="Not Sampled","Not Sampled",IF(S958=U958,"Accurate Prediction","Inaccurate Prediction"))</f>
        <v>Not Sampled</v>
      </c>
    </row>
    <row r="959" spans="1:22" x14ac:dyDescent="0.25">
      <c r="A959" s="1">
        <v>957</v>
      </c>
      <c r="B959" s="1">
        <v>0</v>
      </c>
      <c r="C959" s="1">
        <f>LOOKUP(B959,Sheet2!$D$4:$E$9)</f>
        <v>0</v>
      </c>
      <c r="D959" s="1">
        <v>173</v>
      </c>
      <c r="E959" t="str">
        <f>LOOKUP(D959,Sheet2!$G$4:$H$9)</f>
        <v>151-175</v>
      </c>
      <c r="F959" s="1">
        <v>78</v>
      </c>
      <c r="G959" t="str">
        <f>LOOKUP(F959,Sheet2!$J$4:$K$8)</f>
        <v>70-79</v>
      </c>
      <c r="H959" s="1">
        <v>32</v>
      </c>
      <c r="I959" t="str">
        <f>LOOKUP(H959,Sheet2!$M$4:$N$8)</f>
        <v>30-39</v>
      </c>
      <c r="J959" s="1">
        <v>265</v>
      </c>
      <c r="K959" t="str">
        <f>LOOKUP(J959,Sheet2!$P$4:$Q$9)</f>
        <v>200-399</v>
      </c>
      <c r="L959" s="1">
        <v>46.5</v>
      </c>
      <c r="M959" t="str">
        <f>LOOKUP(L959,Sheet2!$S$4:$T$8)</f>
        <v>36+</v>
      </c>
      <c r="N959" s="1">
        <v>1.159</v>
      </c>
      <c r="O959" t="str">
        <f>LOOKUP(N959,Sheet2!$V$4:$W$7)</f>
        <v>0.7+</v>
      </c>
      <c r="P959" s="1">
        <v>58</v>
      </c>
      <c r="Q959" t="str">
        <f>LOOKUP(P959,Sheet2!$Z$4:$AA$7)</f>
        <v>46+</v>
      </c>
      <c r="R959" s="1">
        <v>0</v>
      </c>
      <c r="S959" t="str">
        <f>IF(R959=1,"Positive","Negative")</f>
        <v>Negative</v>
      </c>
      <c r="T959" s="1">
        <f>IFERROR(VLOOKUP(A959,[1]diabetes_Recognition!$A:$B,2,FALSE),"Not Sampled")</f>
        <v>1</v>
      </c>
      <c r="U959" t="str">
        <f>IF(T959=1,"Positive",(IF(T959=0,"Negative","Not Sampled")))</f>
        <v>Positive</v>
      </c>
      <c r="V959" s="1" t="str">
        <f>IF(U959="Not Sampled","Not Sampled",IF(S959=U959,"Accurate Prediction","Inaccurate Prediction"))</f>
        <v>Inaccurate Prediction</v>
      </c>
    </row>
    <row r="960" spans="1:22" x14ac:dyDescent="0.25">
      <c r="A960" s="1">
        <v>958</v>
      </c>
      <c r="B960" s="1">
        <v>4</v>
      </c>
      <c r="C960" s="1" t="str">
        <f>LOOKUP(B960,Sheet2!$D$4:$E$9)</f>
        <v>3-4</v>
      </c>
      <c r="D960" s="1">
        <v>99</v>
      </c>
      <c r="E960" t="str">
        <f>LOOKUP(D960,Sheet2!$G$4:$H$9)</f>
        <v>1-99</v>
      </c>
      <c r="F960" s="1">
        <v>72</v>
      </c>
      <c r="G960" t="str">
        <f>LOOKUP(F960,Sheet2!$J$4:$K$8)</f>
        <v>70-79</v>
      </c>
      <c r="H960" s="1">
        <v>17</v>
      </c>
      <c r="I960" t="str">
        <f>LOOKUP(H960,Sheet2!$M$4:$N$8)</f>
        <v>10-30</v>
      </c>
      <c r="J960" s="1">
        <v>0</v>
      </c>
      <c r="K960" t="str">
        <f>LOOKUP(J960,Sheet2!$P$4:$Q$9)</f>
        <v>Unknown</v>
      </c>
      <c r="L960" s="1">
        <v>25.6</v>
      </c>
      <c r="M960" t="str">
        <f>LOOKUP(L960,Sheet2!$S$4:$T$8)</f>
        <v>1-25</v>
      </c>
      <c r="N960" s="1">
        <v>0.29399999999999998</v>
      </c>
      <c r="O960" t="str">
        <f>LOOKUP(N960,Sheet2!$V$4:$W$7)</f>
        <v>0.25 - 0.39</v>
      </c>
      <c r="P960" s="1">
        <v>28</v>
      </c>
      <c r="Q960" t="str">
        <f>LOOKUP(P960,Sheet2!$Z$4:$AA$7)</f>
        <v>26-35</v>
      </c>
      <c r="R960" s="1">
        <v>0</v>
      </c>
      <c r="S960" t="str">
        <f>IF(R960=1,"Positive","Negative")</f>
        <v>Negative</v>
      </c>
      <c r="T960" s="1" t="str">
        <f>IFERROR(VLOOKUP(A960,[1]diabetes_Recognition!$A:$B,2,FALSE),"Not Sampled")</f>
        <v>Not Sampled</v>
      </c>
      <c r="U960" t="str">
        <f>IF(T960=1,"Positive",(IF(T960=0,"Negative","Not Sampled")))</f>
        <v>Not Sampled</v>
      </c>
      <c r="V960" s="1" t="str">
        <f>IF(U960="Not Sampled","Not Sampled",IF(S960=U960,"Accurate Prediction","Inaccurate Prediction"))</f>
        <v>Not Sampled</v>
      </c>
    </row>
    <row r="961" spans="1:22" x14ac:dyDescent="0.25">
      <c r="A961" s="1">
        <v>959</v>
      </c>
      <c r="B961" s="1">
        <v>8</v>
      </c>
      <c r="C961" s="1" t="str">
        <f>LOOKUP(B961,Sheet2!$D$4:$E$9)</f>
        <v>8+</v>
      </c>
      <c r="D961" s="1">
        <v>194</v>
      </c>
      <c r="E961" t="str">
        <f>LOOKUP(D961,Sheet2!$G$4:$H$9)</f>
        <v>176-200</v>
      </c>
      <c r="F961" s="1">
        <v>80</v>
      </c>
      <c r="G961" t="str">
        <f>LOOKUP(F961,Sheet2!$J$4:$K$8)</f>
        <v>80+</v>
      </c>
      <c r="H961" s="1">
        <v>0</v>
      </c>
      <c r="I961" t="str">
        <f>LOOKUP(H961,Sheet2!$M$4:$N$8)</f>
        <v>Unknown</v>
      </c>
      <c r="J961" s="1">
        <v>0</v>
      </c>
      <c r="K961" t="str">
        <f>LOOKUP(J961,Sheet2!$P$4:$Q$9)</f>
        <v>Unknown</v>
      </c>
      <c r="L961" s="1">
        <v>26.1</v>
      </c>
      <c r="M961" t="str">
        <f>LOOKUP(L961,Sheet2!$S$4:$T$8)</f>
        <v>26-30</v>
      </c>
      <c r="N961" s="1">
        <v>0.55100000000000005</v>
      </c>
      <c r="O961" t="str">
        <f>LOOKUP(N961,Sheet2!$V$4:$W$7)</f>
        <v>0.4 - 0.69</v>
      </c>
      <c r="P961" s="1">
        <v>67</v>
      </c>
      <c r="Q961" t="str">
        <f>LOOKUP(P961,Sheet2!$Z$4:$AA$7)</f>
        <v>46+</v>
      </c>
      <c r="R961" s="1">
        <v>0</v>
      </c>
      <c r="S961" t="str">
        <f>IF(R961=1,"Positive","Negative")</f>
        <v>Negative</v>
      </c>
      <c r="T961" s="1">
        <f>IFERROR(VLOOKUP(A961,[1]diabetes_Recognition!$A:$B,2,FALSE),"Not Sampled")</f>
        <v>1</v>
      </c>
      <c r="U961" t="str">
        <f>IF(T961=1,"Positive",(IF(T961=0,"Negative","Not Sampled")))</f>
        <v>Positive</v>
      </c>
      <c r="V961" s="1" t="str">
        <f>IF(U961="Not Sampled","Not Sampled",IF(S961=U961,"Accurate Prediction","Inaccurate Prediction"))</f>
        <v>Inaccurate Prediction</v>
      </c>
    </row>
    <row r="962" spans="1:22" x14ac:dyDescent="0.25">
      <c r="A962" s="1">
        <v>960</v>
      </c>
      <c r="B962" s="1">
        <v>2</v>
      </c>
      <c r="C962" s="1">
        <f>LOOKUP(B962,Sheet2!$D$4:$E$9)</f>
        <v>2</v>
      </c>
      <c r="D962" s="1">
        <v>83</v>
      </c>
      <c r="E962" t="str">
        <f>LOOKUP(D962,Sheet2!$G$4:$H$9)</f>
        <v>1-99</v>
      </c>
      <c r="F962" s="1">
        <v>65</v>
      </c>
      <c r="G962" t="str">
        <f>LOOKUP(F962,Sheet2!$J$4:$K$8)</f>
        <v>60-69</v>
      </c>
      <c r="H962" s="1">
        <v>28</v>
      </c>
      <c r="I962" t="str">
        <f>LOOKUP(H962,Sheet2!$M$4:$N$8)</f>
        <v>10-30</v>
      </c>
      <c r="J962" s="1">
        <v>66</v>
      </c>
      <c r="K962" t="str">
        <f>LOOKUP(J962,Sheet2!$P$4:$Q$9)</f>
        <v>1-99</v>
      </c>
      <c r="L962" s="1">
        <v>36.799999999999997</v>
      </c>
      <c r="M962" t="str">
        <f>LOOKUP(L962,Sheet2!$S$4:$T$8)</f>
        <v>36+</v>
      </c>
      <c r="N962" s="1">
        <v>0.629</v>
      </c>
      <c r="O962" t="str">
        <f>LOOKUP(N962,Sheet2!$V$4:$W$7)</f>
        <v>0.4 - 0.69</v>
      </c>
      <c r="P962" s="1">
        <v>24</v>
      </c>
      <c r="Q962" t="str">
        <f>LOOKUP(P962,Sheet2!$Z$4:$AA$7)</f>
        <v>&lt;=25</v>
      </c>
      <c r="R962" s="1">
        <v>0</v>
      </c>
      <c r="S962" t="str">
        <f>IF(R962=1,"Positive","Negative")</f>
        <v>Negative</v>
      </c>
      <c r="T962" s="1" t="str">
        <f>IFERROR(VLOOKUP(A962,[1]diabetes_Recognition!$A:$B,2,FALSE),"Not Sampled")</f>
        <v>Not Sampled</v>
      </c>
      <c r="U962" t="str">
        <f>IF(T962=1,"Positive",(IF(T962=0,"Negative","Not Sampled")))</f>
        <v>Not Sampled</v>
      </c>
      <c r="V962" s="1" t="str">
        <f>IF(U962="Not Sampled","Not Sampled",IF(S962=U962,"Accurate Prediction","Inaccurate Prediction"))</f>
        <v>Not Sampled</v>
      </c>
    </row>
    <row r="963" spans="1:22" x14ac:dyDescent="0.25">
      <c r="A963" s="1">
        <v>961</v>
      </c>
      <c r="B963" s="1">
        <v>2</v>
      </c>
      <c r="C963" s="1">
        <f>LOOKUP(B963,Sheet2!$D$4:$E$9)</f>
        <v>2</v>
      </c>
      <c r="D963" s="1">
        <v>89</v>
      </c>
      <c r="E963" t="str">
        <f>LOOKUP(D963,Sheet2!$G$4:$H$9)</f>
        <v>1-99</v>
      </c>
      <c r="F963" s="1">
        <v>90</v>
      </c>
      <c r="G963" t="str">
        <f>LOOKUP(F963,Sheet2!$J$4:$K$8)</f>
        <v>80+</v>
      </c>
      <c r="H963" s="1">
        <v>30</v>
      </c>
      <c r="I963" t="str">
        <f>LOOKUP(H963,Sheet2!$M$4:$N$8)</f>
        <v>30-39</v>
      </c>
      <c r="J963" s="1">
        <v>0</v>
      </c>
      <c r="K963" t="str">
        <f>LOOKUP(J963,Sheet2!$P$4:$Q$9)</f>
        <v>Unknown</v>
      </c>
      <c r="L963" s="1">
        <v>33.5</v>
      </c>
      <c r="M963" t="str">
        <f>LOOKUP(L963,Sheet2!$S$4:$T$8)</f>
        <v>31-35</v>
      </c>
      <c r="N963" s="1">
        <v>0.29199999999999998</v>
      </c>
      <c r="O963" t="str">
        <f>LOOKUP(N963,Sheet2!$V$4:$W$7)</f>
        <v>0.25 - 0.39</v>
      </c>
      <c r="P963" s="1">
        <v>42</v>
      </c>
      <c r="Q963" t="str">
        <f>LOOKUP(P963,Sheet2!$Z$4:$AA$7)</f>
        <v>36-45</v>
      </c>
      <c r="R963" s="1">
        <v>0</v>
      </c>
      <c r="S963" t="str">
        <f>IF(R963=1,"Positive","Negative")</f>
        <v>Negative</v>
      </c>
      <c r="T963" s="1" t="str">
        <f>IFERROR(VLOOKUP(A963,[1]diabetes_Recognition!$A:$B,2,FALSE),"Not Sampled")</f>
        <v>Not Sampled</v>
      </c>
      <c r="U963" t="str">
        <f>IF(T963=1,"Positive",(IF(T963=0,"Negative","Not Sampled")))</f>
        <v>Not Sampled</v>
      </c>
      <c r="V963" s="1" t="str">
        <f>IF(U963="Not Sampled","Not Sampled",IF(S963=U963,"Accurate Prediction","Inaccurate Prediction"))</f>
        <v>Not Sampled</v>
      </c>
    </row>
    <row r="964" spans="1:22" x14ac:dyDescent="0.25">
      <c r="A964" s="1">
        <v>962</v>
      </c>
      <c r="B964" s="1">
        <v>4</v>
      </c>
      <c r="C964" s="1" t="str">
        <f>LOOKUP(B964,Sheet2!$D$4:$E$9)</f>
        <v>3-4</v>
      </c>
      <c r="D964" s="1">
        <v>99</v>
      </c>
      <c r="E964" t="str">
        <f>LOOKUP(D964,Sheet2!$G$4:$H$9)</f>
        <v>1-99</v>
      </c>
      <c r="F964" s="1">
        <v>68</v>
      </c>
      <c r="G964" t="str">
        <f>LOOKUP(F964,Sheet2!$J$4:$K$8)</f>
        <v>60-69</v>
      </c>
      <c r="H964" s="1">
        <v>38</v>
      </c>
      <c r="I964" t="str">
        <f>LOOKUP(H964,Sheet2!$M$4:$N$8)</f>
        <v>30-39</v>
      </c>
      <c r="J964" s="1">
        <v>0</v>
      </c>
      <c r="K964" t="str">
        <f>LOOKUP(J964,Sheet2!$P$4:$Q$9)</f>
        <v>Unknown</v>
      </c>
      <c r="L964" s="1">
        <v>32.799999999999997</v>
      </c>
      <c r="M964" t="str">
        <f>LOOKUP(L964,Sheet2!$S$4:$T$8)</f>
        <v>31-35</v>
      </c>
      <c r="N964" s="1">
        <v>0.14499999999999999</v>
      </c>
      <c r="O964" t="str">
        <f>LOOKUP(N964,Sheet2!$V$4:$W$7)</f>
        <v>0.0 - 0.249</v>
      </c>
      <c r="P964" s="1">
        <v>33</v>
      </c>
      <c r="Q964" t="str">
        <f>LOOKUP(P964,Sheet2!$Z$4:$AA$7)</f>
        <v>26-35</v>
      </c>
      <c r="R964" s="1">
        <v>0</v>
      </c>
      <c r="S964" t="str">
        <f>IF(R964=1,"Positive","Negative")</f>
        <v>Negative</v>
      </c>
      <c r="T964" s="1" t="str">
        <f>IFERROR(VLOOKUP(A964,[1]diabetes_Recognition!$A:$B,2,FALSE),"Not Sampled")</f>
        <v>Not Sampled</v>
      </c>
      <c r="U964" t="str">
        <f>IF(T964=1,"Positive",(IF(T964=0,"Negative","Not Sampled")))</f>
        <v>Not Sampled</v>
      </c>
      <c r="V964" s="1" t="str">
        <f>IF(U964="Not Sampled","Not Sampled",IF(S964=U964,"Accurate Prediction","Inaccurate Prediction"))</f>
        <v>Not Sampled</v>
      </c>
    </row>
    <row r="965" spans="1:22" x14ac:dyDescent="0.25">
      <c r="A965" s="1">
        <v>963</v>
      </c>
      <c r="B965" s="1">
        <v>4</v>
      </c>
      <c r="C965" s="1" t="str">
        <f>LOOKUP(B965,Sheet2!$D$4:$E$9)</f>
        <v>3-4</v>
      </c>
      <c r="D965" s="1">
        <v>125</v>
      </c>
      <c r="E965" t="str">
        <f>LOOKUP(D965,Sheet2!$G$4:$H$9)</f>
        <v>100-125</v>
      </c>
      <c r="F965" s="1">
        <v>70</v>
      </c>
      <c r="G965" t="str">
        <f>LOOKUP(F965,Sheet2!$J$4:$K$8)</f>
        <v>70-79</v>
      </c>
      <c r="H965" s="1">
        <v>18</v>
      </c>
      <c r="I965" t="str">
        <f>LOOKUP(H965,Sheet2!$M$4:$N$8)</f>
        <v>10-30</v>
      </c>
      <c r="J965" s="1">
        <v>122</v>
      </c>
      <c r="K965" t="str">
        <f>LOOKUP(J965,Sheet2!$P$4:$Q$9)</f>
        <v>100-199</v>
      </c>
      <c r="L965" s="1">
        <v>28.9</v>
      </c>
      <c r="M965" t="str">
        <f>LOOKUP(L965,Sheet2!$S$4:$T$8)</f>
        <v>26-30</v>
      </c>
      <c r="N965" s="1">
        <v>1.1439999999999999</v>
      </c>
      <c r="O965" t="str">
        <f>LOOKUP(N965,Sheet2!$V$4:$W$7)</f>
        <v>0.7+</v>
      </c>
      <c r="P965" s="1">
        <v>45</v>
      </c>
      <c r="Q965" t="str">
        <f>LOOKUP(P965,Sheet2!$Z$4:$AA$7)</f>
        <v>36-45</v>
      </c>
      <c r="R965" s="1">
        <v>1</v>
      </c>
      <c r="S965" t="str">
        <f>IF(R965=1,"Positive","Negative")</f>
        <v>Positive</v>
      </c>
      <c r="T965" s="1" t="str">
        <f>IFERROR(VLOOKUP(A965,[1]diabetes_Recognition!$A:$B,2,FALSE),"Not Sampled")</f>
        <v>Not Sampled</v>
      </c>
      <c r="U965" t="str">
        <f>IF(T965=1,"Positive",(IF(T965=0,"Negative","Not Sampled")))</f>
        <v>Not Sampled</v>
      </c>
      <c r="V965" s="1" t="str">
        <f>IF(U965="Not Sampled","Not Sampled",IF(S965=U965,"Accurate Prediction","Inaccurate Prediction"))</f>
        <v>Not Sampled</v>
      </c>
    </row>
    <row r="966" spans="1:22" x14ac:dyDescent="0.25">
      <c r="A966" s="1">
        <v>964</v>
      </c>
      <c r="B966" s="1">
        <v>3</v>
      </c>
      <c r="C966" s="1" t="str">
        <f>LOOKUP(B966,Sheet2!$D$4:$E$9)</f>
        <v>3-4</v>
      </c>
      <c r="D966" s="1">
        <v>80</v>
      </c>
      <c r="E966" t="str">
        <f>LOOKUP(D966,Sheet2!$G$4:$H$9)</f>
        <v>1-99</v>
      </c>
      <c r="F966" s="1">
        <v>0</v>
      </c>
      <c r="G966" t="str">
        <f>LOOKUP(F966,Sheet2!$J$4:$K$8)</f>
        <v>Unknown</v>
      </c>
      <c r="H966" s="1">
        <v>0</v>
      </c>
      <c r="I966" t="str">
        <f>LOOKUP(H966,Sheet2!$M$4:$N$8)</f>
        <v>Unknown</v>
      </c>
      <c r="J966" s="1">
        <v>0</v>
      </c>
      <c r="K966" t="str">
        <f>LOOKUP(J966,Sheet2!$P$4:$Q$9)</f>
        <v>Unknown</v>
      </c>
      <c r="L966" s="1">
        <v>0</v>
      </c>
      <c r="M966" t="str">
        <f>LOOKUP(L966,Sheet2!$S$4:$T$8)</f>
        <v>Unknown</v>
      </c>
      <c r="N966" s="1">
        <v>0.17399999999999999</v>
      </c>
      <c r="O966" t="str">
        <f>LOOKUP(N966,Sheet2!$V$4:$W$7)</f>
        <v>0.0 - 0.249</v>
      </c>
      <c r="P966" s="1">
        <v>22</v>
      </c>
      <c r="Q966" t="str">
        <f>LOOKUP(P966,Sheet2!$Z$4:$AA$7)</f>
        <v>&lt;=25</v>
      </c>
      <c r="R966" s="1">
        <v>0</v>
      </c>
      <c r="S966" t="str">
        <f>IF(R966=1,"Positive","Negative")</f>
        <v>Negative</v>
      </c>
      <c r="T966" s="1" t="str">
        <f>IFERROR(VLOOKUP(A966,[1]diabetes_Recognition!$A:$B,2,FALSE),"Not Sampled")</f>
        <v>Not Sampled</v>
      </c>
      <c r="U966" t="str">
        <f>IF(T966=1,"Positive",(IF(T966=0,"Negative","Not Sampled")))</f>
        <v>Not Sampled</v>
      </c>
      <c r="V966" s="1" t="str">
        <f>IF(U966="Not Sampled","Not Sampled",IF(S966=U966,"Accurate Prediction","Inaccurate Prediction"))</f>
        <v>Not Sampled</v>
      </c>
    </row>
    <row r="967" spans="1:22" x14ac:dyDescent="0.25">
      <c r="A967" s="1">
        <v>965</v>
      </c>
      <c r="B967" s="1">
        <v>6</v>
      </c>
      <c r="C967" s="1" t="str">
        <f>LOOKUP(B967,Sheet2!$D$4:$E$9)</f>
        <v>5-7</v>
      </c>
      <c r="D967" s="1">
        <v>166</v>
      </c>
      <c r="E967" t="str">
        <f>LOOKUP(D967,Sheet2!$G$4:$H$9)</f>
        <v>151-175</v>
      </c>
      <c r="F967" s="1">
        <v>74</v>
      </c>
      <c r="G967" t="str">
        <f>LOOKUP(F967,Sheet2!$J$4:$K$8)</f>
        <v>70-79</v>
      </c>
      <c r="H967" s="1">
        <v>0</v>
      </c>
      <c r="I967" t="str">
        <f>LOOKUP(H967,Sheet2!$M$4:$N$8)</f>
        <v>Unknown</v>
      </c>
      <c r="J967" s="1">
        <v>0</v>
      </c>
      <c r="K967" t="str">
        <f>LOOKUP(J967,Sheet2!$P$4:$Q$9)</f>
        <v>Unknown</v>
      </c>
      <c r="L967" s="1">
        <v>26.6</v>
      </c>
      <c r="M967" t="str">
        <f>LOOKUP(L967,Sheet2!$S$4:$T$8)</f>
        <v>26-30</v>
      </c>
      <c r="N967" s="1">
        <v>0.30399999999999999</v>
      </c>
      <c r="O967" t="str">
        <f>LOOKUP(N967,Sheet2!$V$4:$W$7)</f>
        <v>0.25 - 0.39</v>
      </c>
      <c r="P967" s="1">
        <v>66</v>
      </c>
      <c r="Q967" t="str">
        <f>LOOKUP(P967,Sheet2!$Z$4:$AA$7)</f>
        <v>46+</v>
      </c>
      <c r="R967" s="1">
        <v>0</v>
      </c>
      <c r="S967" t="str">
        <f>IF(R967=1,"Positive","Negative")</f>
        <v>Negative</v>
      </c>
      <c r="T967" s="1" t="str">
        <f>IFERROR(VLOOKUP(A967,[1]diabetes_Recognition!$A:$B,2,FALSE),"Not Sampled")</f>
        <v>Not Sampled</v>
      </c>
      <c r="U967" t="str">
        <f>IF(T967=1,"Positive",(IF(T967=0,"Negative","Not Sampled")))</f>
        <v>Not Sampled</v>
      </c>
      <c r="V967" s="1" t="str">
        <f>IF(U967="Not Sampled","Not Sampled",IF(S967=U967,"Accurate Prediction","Inaccurate Prediction"))</f>
        <v>Not Sampled</v>
      </c>
    </row>
    <row r="968" spans="1:22" x14ac:dyDescent="0.25">
      <c r="A968" s="1">
        <v>966</v>
      </c>
      <c r="B968" s="1">
        <v>5</v>
      </c>
      <c r="C968" s="1" t="str">
        <f>LOOKUP(B968,Sheet2!$D$4:$E$9)</f>
        <v>5-7</v>
      </c>
      <c r="D968" s="1">
        <v>110</v>
      </c>
      <c r="E968" t="str">
        <f>LOOKUP(D968,Sheet2!$G$4:$H$9)</f>
        <v>100-125</v>
      </c>
      <c r="F968" s="1">
        <v>68</v>
      </c>
      <c r="G968" t="str">
        <f>LOOKUP(F968,Sheet2!$J$4:$K$8)</f>
        <v>60-69</v>
      </c>
      <c r="H968" s="1">
        <v>0</v>
      </c>
      <c r="I968" t="str">
        <f>LOOKUP(H968,Sheet2!$M$4:$N$8)</f>
        <v>Unknown</v>
      </c>
      <c r="J968" s="1">
        <v>0</v>
      </c>
      <c r="K968" t="str">
        <f>LOOKUP(J968,Sheet2!$P$4:$Q$9)</f>
        <v>Unknown</v>
      </c>
      <c r="L968" s="1">
        <v>26</v>
      </c>
      <c r="M968" t="str">
        <f>LOOKUP(L968,Sheet2!$S$4:$T$8)</f>
        <v>26-30</v>
      </c>
      <c r="N968" s="1">
        <v>0.29199999999999998</v>
      </c>
      <c r="O968" t="str">
        <f>LOOKUP(N968,Sheet2!$V$4:$W$7)</f>
        <v>0.25 - 0.39</v>
      </c>
      <c r="P968" s="1">
        <v>30</v>
      </c>
      <c r="Q968" t="str">
        <f>LOOKUP(P968,Sheet2!$Z$4:$AA$7)</f>
        <v>26-35</v>
      </c>
      <c r="R968" s="1">
        <v>0</v>
      </c>
      <c r="S968" t="str">
        <f>IF(R968=1,"Positive","Negative")</f>
        <v>Negative</v>
      </c>
      <c r="T968" s="1">
        <f>IFERROR(VLOOKUP(A968,[1]diabetes_Recognition!$A:$B,2,FALSE),"Not Sampled")</f>
        <v>0</v>
      </c>
      <c r="U968" t="str">
        <f>IF(T968=1,"Positive",(IF(T968=0,"Negative","Not Sampled")))</f>
        <v>Negative</v>
      </c>
      <c r="V968" s="1" t="str">
        <f>IF(U968="Not Sampled","Not Sampled",IF(S968=U968,"Accurate Prediction","Inaccurate Prediction"))</f>
        <v>Accurate Prediction</v>
      </c>
    </row>
    <row r="969" spans="1:22" x14ac:dyDescent="0.25">
      <c r="A969" s="1">
        <v>967</v>
      </c>
      <c r="B969" s="1">
        <v>2</v>
      </c>
      <c r="C969" s="1">
        <f>LOOKUP(B969,Sheet2!$D$4:$E$9)</f>
        <v>2</v>
      </c>
      <c r="D969" s="1">
        <v>81</v>
      </c>
      <c r="E969" t="str">
        <f>LOOKUP(D969,Sheet2!$G$4:$H$9)</f>
        <v>1-99</v>
      </c>
      <c r="F969" s="1">
        <v>72</v>
      </c>
      <c r="G969" t="str">
        <f>LOOKUP(F969,Sheet2!$J$4:$K$8)</f>
        <v>70-79</v>
      </c>
      <c r="H969" s="1">
        <v>15</v>
      </c>
      <c r="I969" t="str">
        <f>LOOKUP(H969,Sheet2!$M$4:$N$8)</f>
        <v>10-30</v>
      </c>
      <c r="J969" s="1">
        <v>76</v>
      </c>
      <c r="K969" t="str">
        <f>LOOKUP(J969,Sheet2!$P$4:$Q$9)</f>
        <v>1-99</v>
      </c>
      <c r="L969" s="1">
        <v>30.1</v>
      </c>
      <c r="M969" t="str">
        <f>LOOKUP(L969,Sheet2!$S$4:$T$8)</f>
        <v>26-30</v>
      </c>
      <c r="N969" s="1">
        <v>0.54700000000000004</v>
      </c>
      <c r="O969" t="str">
        <f>LOOKUP(N969,Sheet2!$V$4:$W$7)</f>
        <v>0.4 - 0.69</v>
      </c>
      <c r="P969" s="1">
        <v>25</v>
      </c>
      <c r="Q969" t="str">
        <f>LOOKUP(P969,Sheet2!$Z$4:$AA$7)</f>
        <v>&lt;=25</v>
      </c>
      <c r="R969" s="1">
        <v>0</v>
      </c>
      <c r="S969" t="str">
        <f>IF(R969=1,"Positive","Negative")</f>
        <v>Negative</v>
      </c>
      <c r="T969" s="1" t="str">
        <f>IFERROR(VLOOKUP(A969,[1]diabetes_Recognition!$A:$B,2,FALSE),"Not Sampled")</f>
        <v>Not Sampled</v>
      </c>
      <c r="U969" t="str">
        <f>IF(T969=1,"Positive",(IF(T969=0,"Negative","Not Sampled")))</f>
        <v>Not Sampled</v>
      </c>
      <c r="V969" s="1" t="str">
        <f>IF(U969="Not Sampled","Not Sampled",IF(S969=U969,"Accurate Prediction","Inaccurate Prediction"))</f>
        <v>Not Sampled</v>
      </c>
    </row>
    <row r="970" spans="1:22" x14ac:dyDescent="0.25">
      <c r="A970" s="1">
        <v>968</v>
      </c>
      <c r="B970" s="1">
        <v>7</v>
      </c>
      <c r="C970" s="1" t="str">
        <f>LOOKUP(B970,Sheet2!$D$4:$E$9)</f>
        <v>5-7</v>
      </c>
      <c r="D970" s="1">
        <v>195</v>
      </c>
      <c r="E970" t="str">
        <f>LOOKUP(D970,Sheet2!$G$4:$H$9)</f>
        <v>176-200</v>
      </c>
      <c r="F970" s="1">
        <v>70</v>
      </c>
      <c r="G970" t="str">
        <f>LOOKUP(F970,Sheet2!$J$4:$K$8)</f>
        <v>70-79</v>
      </c>
      <c r="H970" s="1">
        <v>33</v>
      </c>
      <c r="I970" t="str">
        <f>LOOKUP(H970,Sheet2!$M$4:$N$8)</f>
        <v>30-39</v>
      </c>
      <c r="J970" s="1">
        <v>145</v>
      </c>
      <c r="K970" t="str">
        <f>LOOKUP(J970,Sheet2!$P$4:$Q$9)</f>
        <v>100-199</v>
      </c>
      <c r="L970" s="1">
        <v>25.1</v>
      </c>
      <c r="M970" t="str">
        <f>LOOKUP(L970,Sheet2!$S$4:$T$8)</f>
        <v>1-25</v>
      </c>
      <c r="N970" s="1">
        <v>0.16300000000000001</v>
      </c>
      <c r="O970" t="str">
        <f>LOOKUP(N970,Sheet2!$V$4:$W$7)</f>
        <v>0.0 - 0.249</v>
      </c>
      <c r="P970" s="1">
        <v>55</v>
      </c>
      <c r="Q970" t="str">
        <f>LOOKUP(P970,Sheet2!$Z$4:$AA$7)</f>
        <v>46+</v>
      </c>
      <c r="R970" s="1">
        <v>1</v>
      </c>
      <c r="S970" t="str">
        <f>IF(R970=1,"Positive","Negative")</f>
        <v>Positive</v>
      </c>
      <c r="T970" s="1">
        <f>IFERROR(VLOOKUP(A970,[1]diabetes_Recognition!$A:$B,2,FALSE),"Not Sampled")</f>
        <v>1</v>
      </c>
      <c r="U970" t="str">
        <f>IF(T970=1,"Positive",(IF(T970=0,"Negative","Not Sampled")))</f>
        <v>Positive</v>
      </c>
      <c r="V970" s="1" t="str">
        <f>IF(U970="Not Sampled","Not Sampled",IF(S970=U970,"Accurate Prediction","Inaccurate Prediction"))</f>
        <v>Accurate Prediction</v>
      </c>
    </row>
    <row r="971" spans="1:22" x14ac:dyDescent="0.25">
      <c r="A971" s="1">
        <v>969</v>
      </c>
      <c r="B971" s="1">
        <v>6</v>
      </c>
      <c r="C971" s="1" t="str">
        <f>LOOKUP(B971,Sheet2!$D$4:$E$9)</f>
        <v>5-7</v>
      </c>
      <c r="D971" s="1">
        <v>154</v>
      </c>
      <c r="E971" t="str">
        <f>LOOKUP(D971,Sheet2!$G$4:$H$9)</f>
        <v>151-175</v>
      </c>
      <c r="F971" s="1">
        <v>74</v>
      </c>
      <c r="G971" t="str">
        <f>LOOKUP(F971,Sheet2!$J$4:$K$8)</f>
        <v>70-79</v>
      </c>
      <c r="H971" s="1">
        <v>32</v>
      </c>
      <c r="I971" t="str">
        <f>LOOKUP(H971,Sheet2!$M$4:$N$8)</f>
        <v>30-39</v>
      </c>
      <c r="J971" s="1">
        <v>193</v>
      </c>
      <c r="K971" t="str">
        <f>LOOKUP(J971,Sheet2!$P$4:$Q$9)</f>
        <v>100-199</v>
      </c>
      <c r="L971" s="1">
        <v>29.3</v>
      </c>
      <c r="M971" t="str">
        <f>LOOKUP(L971,Sheet2!$S$4:$T$8)</f>
        <v>26-30</v>
      </c>
      <c r="N971" s="1">
        <v>0.83899999999999997</v>
      </c>
      <c r="O971" t="str">
        <f>LOOKUP(N971,Sheet2!$V$4:$W$7)</f>
        <v>0.7+</v>
      </c>
      <c r="P971" s="1">
        <v>39</v>
      </c>
      <c r="Q971" t="str">
        <f>LOOKUP(P971,Sheet2!$Z$4:$AA$7)</f>
        <v>36-45</v>
      </c>
      <c r="R971" s="1">
        <v>0</v>
      </c>
      <c r="S971" t="str">
        <f>IF(R971=1,"Positive","Negative")</f>
        <v>Negative</v>
      </c>
      <c r="T971" s="1">
        <f>IFERROR(VLOOKUP(A971,[1]diabetes_Recognition!$A:$B,2,FALSE),"Not Sampled")</f>
        <v>1</v>
      </c>
      <c r="U971" t="str">
        <f>IF(T971=1,"Positive",(IF(T971=0,"Negative","Not Sampled")))</f>
        <v>Positive</v>
      </c>
      <c r="V971" s="1" t="str">
        <f>IF(U971="Not Sampled","Not Sampled",IF(S971=U971,"Accurate Prediction","Inaccurate Prediction"))</f>
        <v>Inaccurate Prediction</v>
      </c>
    </row>
    <row r="972" spans="1:22" x14ac:dyDescent="0.25">
      <c r="A972" s="1">
        <v>970</v>
      </c>
      <c r="B972" s="1">
        <v>2</v>
      </c>
      <c r="C972" s="1">
        <f>LOOKUP(B972,Sheet2!$D$4:$E$9)</f>
        <v>2</v>
      </c>
      <c r="D972" s="1">
        <v>117</v>
      </c>
      <c r="E972" t="str">
        <f>LOOKUP(D972,Sheet2!$G$4:$H$9)</f>
        <v>100-125</v>
      </c>
      <c r="F972" s="1">
        <v>90</v>
      </c>
      <c r="G972" t="str">
        <f>LOOKUP(F972,Sheet2!$J$4:$K$8)</f>
        <v>80+</v>
      </c>
      <c r="H972" s="1">
        <v>19</v>
      </c>
      <c r="I972" t="str">
        <f>LOOKUP(H972,Sheet2!$M$4:$N$8)</f>
        <v>10-30</v>
      </c>
      <c r="J972" s="1">
        <v>71</v>
      </c>
      <c r="K972" t="str">
        <f>LOOKUP(J972,Sheet2!$P$4:$Q$9)</f>
        <v>1-99</v>
      </c>
      <c r="L972" s="1">
        <v>25.2</v>
      </c>
      <c r="M972" t="str">
        <f>LOOKUP(L972,Sheet2!$S$4:$T$8)</f>
        <v>1-25</v>
      </c>
      <c r="N972" s="1">
        <v>0.313</v>
      </c>
      <c r="O972" t="str">
        <f>LOOKUP(N972,Sheet2!$V$4:$W$7)</f>
        <v>0.25 - 0.39</v>
      </c>
      <c r="P972" s="1">
        <v>21</v>
      </c>
      <c r="Q972" t="str">
        <f>LOOKUP(P972,Sheet2!$Z$4:$AA$7)</f>
        <v>&lt;=25</v>
      </c>
      <c r="R972" s="1">
        <v>0</v>
      </c>
      <c r="S972" t="str">
        <f>IF(R972=1,"Positive","Negative")</f>
        <v>Negative</v>
      </c>
      <c r="T972" s="1">
        <f>IFERROR(VLOOKUP(A972,[1]diabetes_Recognition!$A:$B,2,FALSE),"Not Sampled")</f>
        <v>0</v>
      </c>
      <c r="U972" t="str">
        <f>IF(T972=1,"Positive",(IF(T972=0,"Negative","Not Sampled")))</f>
        <v>Negative</v>
      </c>
      <c r="V972" s="1" t="str">
        <f>IF(U972="Not Sampled","Not Sampled",IF(S972=U972,"Accurate Prediction","Inaccurate Prediction"))</f>
        <v>Accurate Prediction</v>
      </c>
    </row>
    <row r="973" spans="1:22" x14ac:dyDescent="0.25">
      <c r="A973" s="1">
        <v>971</v>
      </c>
      <c r="B973" s="1">
        <v>3</v>
      </c>
      <c r="C973" s="1" t="str">
        <f>LOOKUP(B973,Sheet2!$D$4:$E$9)</f>
        <v>3-4</v>
      </c>
      <c r="D973" s="1">
        <v>84</v>
      </c>
      <c r="E973" t="str">
        <f>LOOKUP(D973,Sheet2!$G$4:$H$9)</f>
        <v>1-99</v>
      </c>
      <c r="F973" s="1">
        <v>72</v>
      </c>
      <c r="G973" t="str">
        <f>LOOKUP(F973,Sheet2!$J$4:$K$8)</f>
        <v>70-79</v>
      </c>
      <c r="H973" s="1">
        <v>32</v>
      </c>
      <c r="I973" t="str">
        <f>LOOKUP(H973,Sheet2!$M$4:$N$8)</f>
        <v>30-39</v>
      </c>
      <c r="J973" s="1">
        <v>0</v>
      </c>
      <c r="K973" t="str">
        <f>LOOKUP(J973,Sheet2!$P$4:$Q$9)</f>
        <v>Unknown</v>
      </c>
      <c r="L973" s="1">
        <v>37.200000000000003</v>
      </c>
      <c r="M973" t="str">
        <f>LOOKUP(L973,Sheet2!$S$4:$T$8)</f>
        <v>36+</v>
      </c>
      <c r="N973" s="1">
        <v>0.26700000000000002</v>
      </c>
      <c r="O973" t="str">
        <f>LOOKUP(N973,Sheet2!$V$4:$W$7)</f>
        <v>0.25 - 0.39</v>
      </c>
      <c r="P973" s="1">
        <v>28</v>
      </c>
      <c r="Q973" t="str">
        <f>LOOKUP(P973,Sheet2!$Z$4:$AA$7)</f>
        <v>26-35</v>
      </c>
      <c r="R973" s="1">
        <v>0</v>
      </c>
      <c r="S973" t="str">
        <f>IF(R973=1,"Positive","Negative")</f>
        <v>Negative</v>
      </c>
      <c r="T973" s="1" t="str">
        <f>IFERROR(VLOOKUP(A973,[1]diabetes_Recognition!$A:$B,2,FALSE),"Not Sampled")</f>
        <v>Not Sampled</v>
      </c>
      <c r="U973" t="str">
        <f>IF(T973=1,"Positive",(IF(T973=0,"Negative","Not Sampled")))</f>
        <v>Not Sampled</v>
      </c>
      <c r="V973" s="1" t="str">
        <f>IF(U973="Not Sampled","Not Sampled",IF(S973=U973,"Accurate Prediction","Inaccurate Prediction"))</f>
        <v>Not Sampled</v>
      </c>
    </row>
    <row r="974" spans="1:22" x14ac:dyDescent="0.25">
      <c r="A974" s="1">
        <v>972</v>
      </c>
      <c r="B974" s="1">
        <v>6</v>
      </c>
      <c r="C974" s="1" t="str">
        <f>LOOKUP(B974,Sheet2!$D$4:$E$9)</f>
        <v>5-7</v>
      </c>
      <c r="D974" s="1">
        <v>0</v>
      </c>
      <c r="E974" t="str">
        <f>LOOKUP(D974,Sheet2!$G$4:$H$9)</f>
        <v>Unknown</v>
      </c>
      <c r="F974" s="1">
        <v>68</v>
      </c>
      <c r="G974" t="str">
        <f>LOOKUP(F974,Sheet2!$J$4:$K$8)</f>
        <v>60-69</v>
      </c>
      <c r="H974" s="1">
        <v>41</v>
      </c>
      <c r="I974" t="str">
        <f>LOOKUP(H974,Sheet2!$M$4:$N$8)</f>
        <v>40+</v>
      </c>
      <c r="J974" s="1">
        <v>0</v>
      </c>
      <c r="K974" t="str">
        <f>LOOKUP(J974,Sheet2!$P$4:$Q$9)</f>
        <v>Unknown</v>
      </c>
      <c r="L974" s="1">
        <v>39</v>
      </c>
      <c r="M974" t="str">
        <f>LOOKUP(L974,Sheet2!$S$4:$T$8)</f>
        <v>36+</v>
      </c>
      <c r="N974" s="1">
        <v>0.72699999999999998</v>
      </c>
      <c r="O974" t="str">
        <f>LOOKUP(N974,Sheet2!$V$4:$W$7)</f>
        <v>0.7+</v>
      </c>
      <c r="P974" s="1">
        <v>41</v>
      </c>
      <c r="Q974" t="str">
        <f>LOOKUP(P974,Sheet2!$Z$4:$AA$7)</f>
        <v>36-45</v>
      </c>
      <c r="R974" s="1">
        <v>1</v>
      </c>
      <c r="S974" t="str">
        <f>IF(R974=1,"Positive","Negative")</f>
        <v>Positive</v>
      </c>
      <c r="T974" s="1">
        <f>IFERROR(VLOOKUP(A974,[1]diabetes_Recognition!$A:$B,2,FALSE),"Not Sampled")</f>
        <v>0</v>
      </c>
      <c r="U974" t="str">
        <f>IF(T974=1,"Positive",(IF(T974=0,"Negative","Not Sampled")))</f>
        <v>Negative</v>
      </c>
      <c r="V974" s="1" t="str">
        <f>IF(U974="Not Sampled","Not Sampled",IF(S974=U974,"Accurate Prediction","Inaccurate Prediction"))</f>
        <v>Inaccurate Prediction</v>
      </c>
    </row>
    <row r="975" spans="1:22" x14ac:dyDescent="0.25">
      <c r="A975" s="1">
        <v>973</v>
      </c>
      <c r="B975" s="1">
        <v>7</v>
      </c>
      <c r="C975" s="1" t="str">
        <f>LOOKUP(B975,Sheet2!$D$4:$E$9)</f>
        <v>5-7</v>
      </c>
      <c r="D975" s="1">
        <v>94</v>
      </c>
      <c r="E975" t="str">
        <f>LOOKUP(D975,Sheet2!$G$4:$H$9)</f>
        <v>1-99</v>
      </c>
      <c r="F975" s="1">
        <v>64</v>
      </c>
      <c r="G975" t="str">
        <f>LOOKUP(F975,Sheet2!$J$4:$K$8)</f>
        <v>60-69</v>
      </c>
      <c r="H975" s="1">
        <v>25</v>
      </c>
      <c r="I975" t="str">
        <f>LOOKUP(H975,Sheet2!$M$4:$N$8)</f>
        <v>10-30</v>
      </c>
      <c r="J975" s="1">
        <v>79</v>
      </c>
      <c r="K975" t="str">
        <f>LOOKUP(J975,Sheet2!$P$4:$Q$9)</f>
        <v>1-99</v>
      </c>
      <c r="L975" s="1">
        <v>33.299999999999997</v>
      </c>
      <c r="M975" t="str">
        <f>LOOKUP(L975,Sheet2!$S$4:$T$8)</f>
        <v>31-35</v>
      </c>
      <c r="N975" s="1">
        <v>0.73799999999999999</v>
      </c>
      <c r="O975" t="str">
        <f>LOOKUP(N975,Sheet2!$V$4:$W$7)</f>
        <v>0.7+</v>
      </c>
      <c r="P975" s="1">
        <v>41</v>
      </c>
      <c r="Q975" t="str">
        <f>LOOKUP(P975,Sheet2!$Z$4:$AA$7)</f>
        <v>36-45</v>
      </c>
      <c r="R975" s="1">
        <v>0</v>
      </c>
      <c r="S975" t="str">
        <f>IF(R975=1,"Positive","Negative")</f>
        <v>Negative</v>
      </c>
      <c r="T975" s="1" t="str">
        <f>IFERROR(VLOOKUP(A975,[1]diabetes_Recognition!$A:$B,2,FALSE),"Not Sampled")</f>
        <v>Not Sampled</v>
      </c>
      <c r="U975" t="str">
        <f>IF(T975=1,"Positive",(IF(T975=0,"Negative","Not Sampled")))</f>
        <v>Not Sampled</v>
      </c>
      <c r="V975" s="1" t="str">
        <f>IF(U975="Not Sampled","Not Sampled",IF(S975=U975,"Accurate Prediction","Inaccurate Prediction"))</f>
        <v>Not Sampled</v>
      </c>
    </row>
    <row r="976" spans="1:22" x14ac:dyDescent="0.25">
      <c r="A976" s="1">
        <v>974</v>
      </c>
      <c r="B976" s="1">
        <v>3</v>
      </c>
      <c r="C976" s="1" t="str">
        <f>LOOKUP(B976,Sheet2!$D$4:$E$9)</f>
        <v>3-4</v>
      </c>
      <c r="D976" s="1">
        <v>96</v>
      </c>
      <c r="E976" t="str">
        <f>LOOKUP(D976,Sheet2!$G$4:$H$9)</f>
        <v>1-99</v>
      </c>
      <c r="F976" s="1">
        <v>78</v>
      </c>
      <c r="G976" t="str">
        <f>LOOKUP(F976,Sheet2!$J$4:$K$8)</f>
        <v>70-79</v>
      </c>
      <c r="H976" s="1">
        <v>39</v>
      </c>
      <c r="I976" t="str">
        <f>LOOKUP(H976,Sheet2!$M$4:$N$8)</f>
        <v>30-39</v>
      </c>
      <c r="J976" s="1">
        <v>0</v>
      </c>
      <c r="K976" t="str">
        <f>LOOKUP(J976,Sheet2!$P$4:$Q$9)</f>
        <v>Unknown</v>
      </c>
      <c r="L976" s="1">
        <v>37.299999999999997</v>
      </c>
      <c r="M976" t="str">
        <f>LOOKUP(L976,Sheet2!$S$4:$T$8)</f>
        <v>36+</v>
      </c>
      <c r="N976" s="1">
        <v>0.23799999999999999</v>
      </c>
      <c r="O976" t="str">
        <f>LOOKUP(N976,Sheet2!$V$4:$W$7)</f>
        <v>0.0 - 0.249</v>
      </c>
      <c r="P976" s="1">
        <v>40</v>
      </c>
      <c r="Q976" t="str">
        <f>LOOKUP(P976,Sheet2!$Z$4:$AA$7)</f>
        <v>36-45</v>
      </c>
      <c r="R976" s="1">
        <v>0</v>
      </c>
      <c r="S976" t="str">
        <f>IF(R976=1,"Positive","Negative")</f>
        <v>Negative</v>
      </c>
      <c r="T976" s="1" t="str">
        <f>IFERROR(VLOOKUP(A976,[1]diabetes_Recognition!$A:$B,2,FALSE),"Not Sampled")</f>
        <v>Not Sampled</v>
      </c>
      <c r="U976" t="str">
        <f>IF(T976=1,"Positive",(IF(T976=0,"Negative","Not Sampled")))</f>
        <v>Not Sampled</v>
      </c>
      <c r="V976" s="1" t="str">
        <f>IF(U976="Not Sampled","Not Sampled",IF(S976=U976,"Accurate Prediction","Inaccurate Prediction"))</f>
        <v>Not Sampled</v>
      </c>
    </row>
    <row r="977" spans="1:22" x14ac:dyDescent="0.25">
      <c r="A977" s="1">
        <v>975</v>
      </c>
      <c r="B977" s="1">
        <v>10</v>
      </c>
      <c r="C977" s="1" t="str">
        <f>LOOKUP(B977,Sheet2!$D$4:$E$9)</f>
        <v>8+</v>
      </c>
      <c r="D977" s="1">
        <v>75</v>
      </c>
      <c r="E977" t="str">
        <f>LOOKUP(D977,Sheet2!$G$4:$H$9)</f>
        <v>1-99</v>
      </c>
      <c r="F977" s="1">
        <v>82</v>
      </c>
      <c r="G977" t="str">
        <f>LOOKUP(F977,Sheet2!$J$4:$K$8)</f>
        <v>80+</v>
      </c>
      <c r="H977" s="1">
        <v>0</v>
      </c>
      <c r="I977" t="str">
        <f>LOOKUP(H977,Sheet2!$M$4:$N$8)</f>
        <v>Unknown</v>
      </c>
      <c r="J977" s="1">
        <v>0</v>
      </c>
      <c r="K977" t="str">
        <f>LOOKUP(J977,Sheet2!$P$4:$Q$9)</f>
        <v>Unknown</v>
      </c>
      <c r="L977" s="1">
        <v>33.299999999999997</v>
      </c>
      <c r="M977" t="str">
        <f>LOOKUP(L977,Sheet2!$S$4:$T$8)</f>
        <v>31-35</v>
      </c>
      <c r="N977" s="1">
        <v>0.26300000000000001</v>
      </c>
      <c r="O977" t="str">
        <f>LOOKUP(N977,Sheet2!$V$4:$W$7)</f>
        <v>0.25 - 0.39</v>
      </c>
      <c r="P977" s="1">
        <v>38</v>
      </c>
      <c r="Q977" t="str">
        <f>LOOKUP(P977,Sheet2!$Z$4:$AA$7)</f>
        <v>36-45</v>
      </c>
      <c r="R977" s="1">
        <v>0</v>
      </c>
      <c r="S977" t="str">
        <f>IF(R977=1,"Positive","Negative")</f>
        <v>Negative</v>
      </c>
      <c r="T977" s="1" t="str">
        <f>IFERROR(VLOOKUP(A977,[1]diabetes_Recognition!$A:$B,2,FALSE),"Not Sampled")</f>
        <v>Not Sampled</v>
      </c>
      <c r="U977" t="str">
        <f>IF(T977=1,"Positive",(IF(T977=0,"Negative","Not Sampled")))</f>
        <v>Not Sampled</v>
      </c>
      <c r="V977" s="1" t="str">
        <f>IF(U977="Not Sampled","Not Sampled",IF(S977=U977,"Accurate Prediction","Inaccurate Prediction"))</f>
        <v>Not Sampled</v>
      </c>
    </row>
    <row r="978" spans="1:22" x14ac:dyDescent="0.25">
      <c r="A978" s="1">
        <v>976</v>
      </c>
      <c r="B978" s="1">
        <v>0</v>
      </c>
      <c r="C978" s="1">
        <f>LOOKUP(B978,Sheet2!$D$4:$E$9)</f>
        <v>0</v>
      </c>
      <c r="D978" s="1">
        <v>180</v>
      </c>
      <c r="E978" t="str">
        <f>LOOKUP(D978,Sheet2!$G$4:$H$9)</f>
        <v>176-200</v>
      </c>
      <c r="F978" s="1">
        <v>90</v>
      </c>
      <c r="G978" t="str">
        <f>LOOKUP(F978,Sheet2!$J$4:$K$8)</f>
        <v>80+</v>
      </c>
      <c r="H978" s="1">
        <v>26</v>
      </c>
      <c r="I978" t="str">
        <f>LOOKUP(H978,Sheet2!$M$4:$N$8)</f>
        <v>10-30</v>
      </c>
      <c r="J978" s="1">
        <v>90</v>
      </c>
      <c r="K978" t="str">
        <f>LOOKUP(J978,Sheet2!$P$4:$Q$9)</f>
        <v>1-99</v>
      </c>
      <c r="L978" s="1">
        <v>36.5</v>
      </c>
      <c r="M978" t="str">
        <f>LOOKUP(L978,Sheet2!$S$4:$T$8)</f>
        <v>36+</v>
      </c>
      <c r="N978" s="1">
        <v>0.314</v>
      </c>
      <c r="O978" t="str">
        <f>LOOKUP(N978,Sheet2!$V$4:$W$7)</f>
        <v>0.25 - 0.39</v>
      </c>
      <c r="P978" s="1">
        <v>35</v>
      </c>
      <c r="Q978" t="str">
        <f>LOOKUP(P978,Sheet2!$Z$4:$AA$7)</f>
        <v>26-35</v>
      </c>
      <c r="R978" s="1">
        <v>1</v>
      </c>
      <c r="S978" t="str">
        <f>IF(R978=1,"Positive","Negative")</f>
        <v>Positive</v>
      </c>
      <c r="T978" s="1">
        <f>IFERROR(VLOOKUP(A978,[1]diabetes_Recognition!$A:$B,2,FALSE),"Not Sampled")</f>
        <v>1</v>
      </c>
      <c r="U978" t="str">
        <f>IF(T978=1,"Positive",(IF(T978=0,"Negative","Not Sampled")))</f>
        <v>Positive</v>
      </c>
      <c r="V978" s="1" t="str">
        <f>IF(U978="Not Sampled","Not Sampled",IF(S978=U978,"Accurate Prediction","Inaccurate Prediction"))</f>
        <v>Accurate Prediction</v>
      </c>
    </row>
    <row r="979" spans="1:22" x14ac:dyDescent="0.25">
      <c r="A979" s="1">
        <v>977</v>
      </c>
      <c r="B979" s="1">
        <v>1</v>
      </c>
      <c r="C979" s="1">
        <f>LOOKUP(B979,Sheet2!$D$4:$E$9)</f>
        <v>1</v>
      </c>
      <c r="D979" s="1">
        <v>130</v>
      </c>
      <c r="E979" t="str">
        <f>LOOKUP(D979,Sheet2!$G$4:$H$9)</f>
        <v>126-150</v>
      </c>
      <c r="F979" s="1">
        <v>60</v>
      </c>
      <c r="G979" t="str">
        <f>LOOKUP(F979,Sheet2!$J$4:$K$8)</f>
        <v>60-69</v>
      </c>
      <c r="H979" s="1">
        <v>23</v>
      </c>
      <c r="I979" t="str">
        <f>LOOKUP(H979,Sheet2!$M$4:$N$8)</f>
        <v>10-30</v>
      </c>
      <c r="J979" s="1">
        <v>170</v>
      </c>
      <c r="K979" t="str">
        <f>LOOKUP(J979,Sheet2!$P$4:$Q$9)</f>
        <v>100-199</v>
      </c>
      <c r="L979" s="1">
        <v>28.6</v>
      </c>
      <c r="M979" t="str">
        <f>LOOKUP(L979,Sheet2!$S$4:$T$8)</f>
        <v>26-30</v>
      </c>
      <c r="N979" s="1">
        <v>0.69199999999999995</v>
      </c>
      <c r="O979" t="str">
        <f>LOOKUP(N979,Sheet2!$V$4:$W$7)</f>
        <v>0.4 - 0.69</v>
      </c>
      <c r="P979" s="1">
        <v>21</v>
      </c>
      <c r="Q979" t="str">
        <f>LOOKUP(P979,Sheet2!$Z$4:$AA$7)</f>
        <v>&lt;=25</v>
      </c>
      <c r="R979" s="1">
        <v>0</v>
      </c>
      <c r="S979" t="str">
        <f>IF(R979=1,"Positive","Negative")</f>
        <v>Negative</v>
      </c>
      <c r="T979" s="1" t="str">
        <f>IFERROR(VLOOKUP(A979,[1]diabetes_Recognition!$A:$B,2,FALSE),"Not Sampled")</f>
        <v>Not Sampled</v>
      </c>
      <c r="U979" t="str">
        <f>IF(T979=1,"Positive",(IF(T979=0,"Negative","Not Sampled")))</f>
        <v>Not Sampled</v>
      </c>
      <c r="V979" s="1" t="str">
        <f>IF(U979="Not Sampled","Not Sampled",IF(S979=U979,"Accurate Prediction","Inaccurate Prediction"))</f>
        <v>Not Sampled</v>
      </c>
    </row>
    <row r="980" spans="1:22" x14ac:dyDescent="0.25">
      <c r="A980" s="1">
        <v>978</v>
      </c>
      <c r="B980" s="1">
        <v>2</v>
      </c>
      <c r="C980" s="1">
        <f>LOOKUP(B980,Sheet2!$D$4:$E$9)</f>
        <v>2</v>
      </c>
      <c r="D980" s="1">
        <v>84</v>
      </c>
      <c r="E980" t="str">
        <f>LOOKUP(D980,Sheet2!$G$4:$H$9)</f>
        <v>1-99</v>
      </c>
      <c r="F980" s="1">
        <v>50</v>
      </c>
      <c r="G980" t="str">
        <f>LOOKUP(F980,Sheet2!$J$4:$K$8)</f>
        <v>1-59</v>
      </c>
      <c r="H980" s="1">
        <v>23</v>
      </c>
      <c r="I980" t="str">
        <f>LOOKUP(H980,Sheet2!$M$4:$N$8)</f>
        <v>10-30</v>
      </c>
      <c r="J980" s="1">
        <v>76</v>
      </c>
      <c r="K980" t="str">
        <f>LOOKUP(J980,Sheet2!$P$4:$Q$9)</f>
        <v>1-99</v>
      </c>
      <c r="L980" s="1">
        <v>30.4</v>
      </c>
      <c r="M980" t="str">
        <f>LOOKUP(L980,Sheet2!$S$4:$T$8)</f>
        <v>26-30</v>
      </c>
      <c r="N980" s="1">
        <v>0.96799999999999997</v>
      </c>
      <c r="O980" t="str">
        <f>LOOKUP(N980,Sheet2!$V$4:$W$7)</f>
        <v>0.7+</v>
      </c>
      <c r="P980" s="1">
        <v>21</v>
      </c>
      <c r="Q980" t="str">
        <f>LOOKUP(P980,Sheet2!$Z$4:$AA$7)</f>
        <v>&lt;=25</v>
      </c>
      <c r="R980" s="1">
        <v>0</v>
      </c>
      <c r="S980" t="str">
        <f>IF(R980=1,"Positive","Negative")</f>
        <v>Negative</v>
      </c>
      <c r="T980" s="1" t="str">
        <f>IFERROR(VLOOKUP(A980,[1]diabetes_Recognition!$A:$B,2,FALSE),"Not Sampled")</f>
        <v>Not Sampled</v>
      </c>
      <c r="U980" t="str">
        <f>IF(T980=1,"Positive",(IF(T980=0,"Negative","Not Sampled")))</f>
        <v>Not Sampled</v>
      </c>
      <c r="V980" s="1" t="str">
        <f>IF(U980="Not Sampled","Not Sampled",IF(S980=U980,"Accurate Prediction","Inaccurate Prediction"))</f>
        <v>Not Sampled</v>
      </c>
    </row>
    <row r="981" spans="1:22" x14ac:dyDescent="0.25">
      <c r="A981" s="1">
        <v>979</v>
      </c>
      <c r="B981" s="1">
        <v>8</v>
      </c>
      <c r="C981" s="1" t="str">
        <f>LOOKUP(B981,Sheet2!$D$4:$E$9)</f>
        <v>8+</v>
      </c>
      <c r="D981" s="1">
        <v>120</v>
      </c>
      <c r="E981" t="str">
        <f>LOOKUP(D981,Sheet2!$G$4:$H$9)</f>
        <v>100-125</v>
      </c>
      <c r="F981" s="1">
        <v>78</v>
      </c>
      <c r="G981" t="str">
        <f>LOOKUP(F981,Sheet2!$J$4:$K$8)</f>
        <v>70-79</v>
      </c>
      <c r="H981" s="1">
        <v>0</v>
      </c>
      <c r="I981" t="str">
        <f>LOOKUP(H981,Sheet2!$M$4:$N$8)</f>
        <v>Unknown</v>
      </c>
      <c r="J981" s="1">
        <v>0</v>
      </c>
      <c r="K981" t="str">
        <f>LOOKUP(J981,Sheet2!$P$4:$Q$9)</f>
        <v>Unknown</v>
      </c>
      <c r="L981" s="1">
        <v>25</v>
      </c>
      <c r="M981" t="str">
        <f>LOOKUP(L981,Sheet2!$S$4:$T$8)</f>
        <v>1-25</v>
      </c>
      <c r="N981" s="1">
        <v>0.40899999999999997</v>
      </c>
      <c r="O981" t="str">
        <f>LOOKUP(N981,Sheet2!$V$4:$W$7)</f>
        <v>0.4 - 0.69</v>
      </c>
      <c r="P981" s="1">
        <v>64</v>
      </c>
      <c r="Q981" t="str">
        <f>LOOKUP(P981,Sheet2!$Z$4:$AA$7)</f>
        <v>46+</v>
      </c>
      <c r="R981" s="1">
        <v>0</v>
      </c>
      <c r="S981" t="str">
        <f>IF(R981=1,"Positive","Negative")</f>
        <v>Negative</v>
      </c>
      <c r="T981" s="1" t="str">
        <f>IFERROR(VLOOKUP(A981,[1]diabetes_Recognition!$A:$B,2,FALSE),"Not Sampled")</f>
        <v>Not Sampled</v>
      </c>
      <c r="U981" t="str">
        <f>IF(T981=1,"Positive",(IF(T981=0,"Negative","Not Sampled")))</f>
        <v>Not Sampled</v>
      </c>
      <c r="V981" s="1" t="str">
        <f>IF(U981="Not Sampled","Not Sampled",IF(S981=U981,"Accurate Prediction","Inaccurate Prediction"))</f>
        <v>Not Sampled</v>
      </c>
    </row>
    <row r="982" spans="1:22" x14ac:dyDescent="0.25">
      <c r="A982" s="1">
        <v>980</v>
      </c>
      <c r="B982" s="1">
        <v>12</v>
      </c>
      <c r="C982" s="1" t="str">
        <f>LOOKUP(B982,Sheet2!$D$4:$E$9)</f>
        <v>8+</v>
      </c>
      <c r="D982" s="1">
        <v>84</v>
      </c>
      <c r="E982" t="str">
        <f>LOOKUP(D982,Sheet2!$G$4:$H$9)</f>
        <v>1-99</v>
      </c>
      <c r="F982" s="1">
        <v>72</v>
      </c>
      <c r="G982" t="str">
        <f>LOOKUP(F982,Sheet2!$J$4:$K$8)</f>
        <v>70-79</v>
      </c>
      <c r="H982" s="1">
        <v>31</v>
      </c>
      <c r="I982" t="str">
        <f>LOOKUP(H982,Sheet2!$M$4:$N$8)</f>
        <v>30-39</v>
      </c>
      <c r="J982" s="1">
        <v>0</v>
      </c>
      <c r="K982" t="str">
        <f>LOOKUP(J982,Sheet2!$P$4:$Q$9)</f>
        <v>Unknown</v>
      </c>
      <c r="L982" s="1">
        <v>29.7</v>
      </c>
      <c r="M982" t="str">
        <f>LOOKUP(L982,Sheet2!$S$4:$T$8)</f>
        <v>26-30</v>
      </c>
      <c r="N982" s="1">
        <v>0.29699999999999999</v>
      </c>
      <c r="O982" t="str">
        <f>LOOKUP(N982,Sheet2!$V$4:$W$7)</f>
        <v>0.25 - 0.39</v>
      </c>
      <c r="P982" s="1">
        <v>46</v>
      </c>
      <c r="Q982" t="str">
        <f>LOOKUP(P982,Sheet2!$Z$4:$AA$7)</f>
        <v>46+</v>
      </c>
      <c r="R982" s="1">
        <v>1</v>
      </c>
      <c r="S982" t="str">
        <f>IF(R982=1,"Positive","Negative")</f>
        <v>Positive</v>
      </c>
      <c r="T982" s="1" t="str">
        <f>IFERROR(VLOOKUP(A982,[1]diabetes_Recognition!$A:$B,2,FALSE),"Not Sampled")</f>
        <v>Not Sampled</v>
      </c>
      <c r="U982" t="str">
        <f>IF(T982=1,"Positive",(IF(T982=0,"Negative","Not Sampled")))</f>
        <v>Not Sampled</v>
      </c>
      <c r="V982" s="1" t="str">
        <f>IF(U982="Not Sampled","Not Sampled",IF(S982=U982,"Accurate Prediction","Inaccurate Prediction"))</f>
        <v>Not Sampled</v>
      </c>
    </row>
    <row r="983" spans="1:22" x14ac:dyDescent="0.25">
      <c r="A983" s="1">
        <v>981</v>
      </c>
      <c r="B983" s="1">
        <v>0</v>
      </c>
      <c r="C983" s="1">
        <f>LOOKUP(B983,Sheet2!$D$4:$E$9)</f>
        <v>0</v>
      </c>
      <c r="D983" s="1">
        <v>139</v>
      </c>
      <c r="E983" t="str">
        <f>LOOKUP(D983,Sheet2!$G$4:$H$9)</f>
        <v>126-150</v>
      </c>
      <c r="F983" s="1">
        <v>62</v>
      </c>
      <c r="G983" t="str">
        <f>LOOKUP(F983,Sheet2!$J$4:$K$8)</f>
        <v>60-69</v>
      </c>
      <c r="H983" s="1">
        <v>17</v>
      </c>
      <c r="I983" t="str">
        <f>LOOKUP(H983,Sheet2!$M$4:$N$8)</f>
        <v>10-30</v>
      </c>
      <c r="J983" s="1">
        <v>210</v>
      </c>
      <c r="K983" t="str">
        <f>LOOKUP(J983,Sheet2!$P$4:$Q$9)</f>
        <v>200-399</v>
      </c>
      <c r="L983" s="1">
        <v>22.1</v>
      </c>
      <c r="M983" t="str">
        <f>LOOKUP(L983,Sheet2!$S$4:$T$8)</f>
        <v>1-25</v>
      </c>
      <c r="N983" s="1">
        <v>0.20699999999999999</v>
      </c>
      <c r="O983" t="str">
        <f>LOOKUP(N983,Sheet2!$V$4:$W$7)</f>
        <v>0.0 - 0.249</v>
      </c>
      <c r="P983" s="1">
        <v>21</v>
      </c>
      <c r="Q983" t="str">
        <f>LOOKUP(P983,Sheet2!$Z$4:$AA$7)</f>
        <v>&lt;=25</v>
      </c>
      <c r="R983" s="1">
        <v>0</v>
      </c>
      <c r="S983" t="str">
        <f>IF(R983=1,"Positive","Negative")</f>
        <v>Negative</v>
      </c>
      <c r="T983" s="1" t="str">
        <f>IFERROR(VLOOKUP(A983,[1]diabetes_Recognition!$A:$B,2,FALSE),"Not Sampled")</f>
        <v>Not Sampled</v>
      </c>
      <c r="U983" t="str">
        <f>IF(T983=1,"Positive",(IF(T983=0,"Negative","Not Sampled")))</f>
        <v>Not Sampled</v>
      </c>
      <c r="V983" s="1" t="str">
        <f>IF(U983="Not Sampled","Not Sampled",IF(S983=U983,"Accurate Prediction","Inaccurate Prediction"))</f>
        <v>Not Sampled</v>
      </c>
    </row>
    <row r="984" spans="1:22" x14ac:dyDescent="0.25">
      <c r="A984" s="1">
        <v>982</v>
      </c>
      <c r="B984" s="1">
        <v>9</v>
      </c>
      <c r="C984" s="1" t="str">
        <f>LOOKUP(B984,Sheet2!$D$4:$E$9)</f>
        <v>8+</v>
      </c>
      <c r="D984" s="1">
        <v>91</v>
      </c>
      <c r="E984" t="str">
        <f>LOOKUP(D984,Sheet2!$G$4:$H$9)</f>
        <v>1-99</v>
      </c>
      <c r="F984" s="1">
        <v>68</v>
      </c>
      <c r="G984" t="str">
        <f>LOOKUP(F984,Sheet2!$J$4:$K$8)</f>
        <v>60-69</v>
      </c>
      <c r="H984" s="1">
        <v>0</v>
      </c>
      <c r="I984" t="str">
        <f>LOOKUP(H984,Sheet2!$M$4:$N$8)</f>
        <v>Unknown</v>
      </c>
      <c r="J984" s="1">
        <v>0</v>
      </c>
      <c r="K984" t="str">
        <f>LOOKUP(J984,Sheet2!$P$4:$Q$9)</f>
        <v>Unknown</v>
      </c>
      <c r="L984" s="1">
        <v>24.2</v>
      </c>
      <c r="M984" t="str">
        <f>LOOKUP(L984,Sheet2!$S$4:$T$8)</f>
        <v>1-25</v>
      </c>
      <c r="N984" s="1">
        <v>0.2</v>
      </c>
      <c r="O984" t="str">
        <f>LOOKUP(N984,Sheet2!$V$4:$W$7)</f>
        <v>0.0 - 0.249</v>
      </c>
      <c r="P984" s="1">
        <v>58</v>
      </c>
      <c r="Q984" t="str">
        <f>LOOKUP(P984,Sheet2!$Z$4:$AA$7)</f>
        <v>46+</v>
      </c>
      <c r="R984" s="1">
        <v>0</v>
      </c>
      <c r="S984" t="str">
        <f>IF(R984=1,"Positive","Negative")</f>
        <v>Negative</v>
      </c>
      <c r="T984" s="1">
        <f>IFERROR(VLOOKUP(A984,[1]diabetes_Recognition!$A:$B,2,FALSE),"Not Sampled")</f>
        <v>0</v>
      </c>
      <c r="U984" t="str">
        <f>IF(T984=1,"Positive",(IF(T984=0,"Negative","Not Sampled")))</f>
        <v>Negative</v>
      </c>
      <c r="V984" s="1" t="str">
        <f>IF(U984="Not Sampled","Not Sampled",IF(S984=U984,"Accurate Prediction","Inaccurate Prediction"))</f>
        <v>Accurate Prediction</v>
      </c>
    </row>
    <row r="985" spans="1:22" x14ac:dyDescent="0.25">
      <c r="A985" s="1">
        <v>983</v>
      </c>
      <c r="B985" s="1">
        <v>2</v>
      </c>
      <c r="C985" s="1">
        <f>LOOKUP(B985,Sheet2!$D$4:$E$9)</f>
        <v>2</v>
      </c>
      <c r="D985" s="1">
        <v>91</v>
      </c>
      <c r="E985" t="str">
        <f>LOOKUP(D985,Sheet2!$G$4:$H$9)</f>
        <v>1-99</v>
      </c>
      <c r="F985" s="1">
        <v>62</v>
      </c>
      <c r="G985" t="str">
        <f>LOOKUP(F985,Sheet2!$J$4:$K$8)</f>
        <v>60-69</v>
      </c>
      <c r="H985" s="1">
        <v>0</v>
      </c>
      <c r="I985" t="str">
        <f>LOOKUP(H985,Sheet2!$M$4:$N$8)</f>
        <v>Unknown</v>
      </c>
      <c r="J985" s="1">
        <v>0</v>
      </c>
      <c r="K985" t="str">
        <f>LOOKUP(J985,Sheet2!$P$4:$Q$9)</f>
        <v>Unknown</v>
      </c>
      <c r="L985" s="1">
        <v>27.3</v>
      </c>
      <c r="M985" t="str">
        <f>LOOKUP(L985,Sheet2!$S$4:$T$8)</f>
        <v>26-30</v>
      </c>
      <c r="N985" s="1">
        <v>0.52500000000000002</v>
      </c>
      <c r="O985" t="str">
        <f>LOOKUP(N985,Sheet2!$V$4:$W$7)</f>
        <v>0.4 - 0.69</v>
      </c>
      <c r="P985" s="1">
        <v>22</v>
      </c>
      <c r="Q985" t="str">
        <f>LOOKUP(P985,Sheet2!$Z$4:$AA$7)</f>
        <v>&lt;=25</v>
      </c>
      <c r="R985" s="1">
        <v>0</v>
      </c>
      <c r="S985" t="str">
        <f>IF(R985=1,"Positive","Negative")</f>
        <v>Negative</v>
      </c>
      <c r="T985" s="1">
        <f>IFERROR(VLOOKUP(A985,[1]diabetes_Recognition!$A:$B,2,FALSE),"Not Sampled")</f>
        <v>0</v>
      </c>
      <c r="U985" t="str">
        <f>IF(T985=1,"Positive",(IF(T985=0,"Negative","Not Sampled")))</f>
        <v>Negative</v>
      </c>
      <c r="V985" s="1" t="str">
        <f>IF(U985="Not Sampled","Not Sampled",IF(S985=U985,"Accurate Prediction","Inaccurate Prediction"))</f>
        <v>Accurate Prediction</v>
      </c>
    </row>
    <row r="986" spans="1:22" x14ac:dyDescent="0.25">
      <c r="A986" s="1">
        <v>984</v>
      </c>
      <c r="B986" s="1">
        <v>3</v>
      </c>
      <c r="C986" s="1" t="str">
        <f>LOOKUP(B986,Sheet2!$D$4:$E$9)</f>
        <v>3-4</v>
      </c>
      <c r="D986" s="1">
        <v>99</v>
      </c>
      <c r="E986" t="str">
        <f>LOOKUP(D986,Sheet2!$G$4:$H$9)</f>
        <v>1-99</v>
      </c>
      <c r="F986" s="1">
        <v>54</v>
      </c>
      <c r="G986" t="str">
        <f>LOOKUP(F986,Sheet2!$J$4:$K$8)</f>
        <v>1-59</v>
      </c>
      <c r="H986" s="1">
        <v>19</v>
      </c>
      <c r="I986" t="str">
        <f>LOOKUP(H986,Sheet2!$M$4:$N$8)</f>
        <v>10-30</v>
      </c>
      <c r="J986" s="1">
        <v>86</v>
      </c>
      <c r="K986" t="str">
        <f>LOOKUP(J986,Sheet2!$P$4:$Q$9)</f>
        <v>1-99</v>
      </c>
      <c r="L986" s="1">
        <v>25.6</v>
      </c>
      <c r="M986" t="str">
        <f>LOOKUP(L986,Sheet2!$S$4:$T$8)</f>
        <v>1-25</v>
      </c>
      <c r="N986" s="1">
        <v>0.154</v>
      </c>
      <c r="O986" t="str">
        <f>LOOKUP(N986,Sheet2!$V$4:$W$7)</f>
        <v>0.0 - 0.249</v>
      </c>
      <c r="P986" s="1">
        <v>24</v>
      </c>
      <c r="Q986" t="str">
        <f>LOOKUP(P986,Sheet2!$Z$4:$AA$7)</f>
        <v>&lt;=25</v>
      </c>
      <c r="R986" s="1">
        <v>0</v>
      </c>
      <c r="S986" t="str">
        <f>IF(R986=1,"Positive","Negative")</f>
        <v>Negative</v>
      </c>
      <c r="T986" s="1">
        <f>IFERROR(VLOOKUP(A986,[1]diabetes_Recognition!$A:$B,2,FALSE),"Not Sampled")</f>
        <v>0</v>
      </c>
      <c r="U986" t="str">
        <f>IF(T986=1,"Positive",(IF(T986=0,"Negative","Not Sampled")))</f>
        <v>Negative</v>
      </c>
      <c r="V986" s="1" t="str">
        <f>IF(U986="Not Sampled","Not Sampled",IF(S986=U986,"Accurate Prediction","Inaccurate Prediction"))</f>
        <v>Accurate Prediction</v>
      </c>
    </row>
    <row r="987" spans="1:22" x14ac:dyDescent="0.25">
      <c r="A987" s="1">
        <v>985</v>
      </c>
      <c r="B987" s="1">
        <v>3</v>
      </c>
      <c r="C987" s="1" t="str">
        <f>LOOKUP(B987,Sheet2!$D$4:$E$9)</f>
        <v>3-4</v>
      </c>
      <c r="D987" s="1">
        <v>163</v>
      </c>
      <c r="E987" t="str">
        <f>LOOKUP(D987,Sheet2!$G$4:$H$9)</f>
        <v>151-175</v>
      </c>
      <c r="F987" s="1">
        <v>70</v>
      </c>
      <c r="G987" t="str">
        <f>LOOKUP(F987,Sheet2!$J$4:$K$8)</f>
        <v>70-79</v>
      </c>
      <c r="H987" s="1">
        <v>18</v>
      </c>
      <c r="I987" t="str">
        <f>LOOKUP(H987,Sheet2!$M$4:$N$8)</f>
        <v>10-30</v>
      </c>
      <c r="J987" s="1">
        <v>105</v>
      </c>
      <c r="K987" t="str">
        <f>LOOKUP(J987,Sheet2!$P$4:$Q$9)</f>
        <v>100-199</v>
      </c>
      <c r="L987" s="1">
        <v>31.6</v>
      </c>
      <c r="M987" t="str">
        <f>LOOKUP(L987,Sheet2!$S$4:$T$8)</f>
        <v>31-35</v>
      </c>
      <c r="N987" s="1">
        <v>0.26800000000000002</v>
      </c>
      <c r="O987" t="str">
        <f>LOOKUP(N987,Sheet2!$V$4:$W$7)</f>
        <v>0.25 - 0.39</v>
      </c>
      <c r="P987" s="1">
        <v>28</v>
      </c>
      <c r="Q987" t="str">
        <f>LOOKUP(P987,Sheet2!$Z$4:$AA$7)</f>
        <v>26-35</v>
      </c>
      <c r="R987" s="1">
        <v>1</v>
      </c>
      <c r="S987" t="str">
        <f>IF(R987=1,"Positive","Negative")</f>
        <v>Positive</v>
      </c>
      <c r="T987" s="1" t="str">
        <f>IFERROR(VLOOKUP(A987,[1]diabetes_Recognition!$A:$B,2,FALSE),"Not Sampled")</f>
        <v>Not Sampled</v>
      </c>
      <c r="U987" t="str">
        <f>IF(T987=1,"Positive",(IF(T987=0,"Negative","Not Sampled")))</f>
        <v>Not Sampled</v>
      </c>
      <c r="V987" s="1" t="str">
        <f>IF(U987="Not Sampled","Not Sampled",IF(S987=U987,"Accurate Prediction","Inaccurate Prediction"))</f>
        <v>Not Sampled</v>
      </c>
    </row>
    <row r="988" spans="1:22" x14ac:dyDescent="0.25">
      <c r="A988" s="1">
        <v>986</v>
      </c>
      <c r="B988" s="1">
        <v>9</v>
      </c>
      <c r="C988" s="1" t="str">
        <f>LOOKUP(B988,Sheet2!$D$4:$E$9)</f>
        <v>8+</v>
      </c>
      <c r="D988" s="1">
        <v>145</v>
      </c>
      <c r="E988" t="str">
        <f>LOOKUP(D988,Sheet2!$G$4:$H$9)</f>
        <v>126-150</v>
      </c>
      <c r="F988" s="1">
        <v>88</v>
      </c>
      <c r="G988" t="str">
        <f>LOOKUP(F988,Sheet2!$J$4:$K$8)</f>
        <v>80+</v>
      </c>
      <c r="H988" s="1">
        <v>34</v>
      </c>
      <c r="I988" t="str">
        <f>LOOKUP(H988,Sheet2!$M$4:$N$8)</f>
        <v>30-39</v>
      </c>
      <c r="J988" s="1">
        <v>165</v>
      </c>
      <c r="K988" t="str">
        <f>LOOKUP(J988,Sheet2!$P$4:$Q$9)</f>
        <v>100-199</v>
      </c>
      <c r="L988" s="1">
        <v>30.3</v>
      </c>
      <c r="M988" t="str">
        <f>LOOKUP(L988,Sheet2!$S$4:$T$8)</f>
        <v>26-30</v>
      </c>
      <c r="N988" s="1">
        <v>0.77100000000000002</v>
      </c>
      <c r="O988" t="str">
        <f>LOOKUP(N988,Sheet2!$V$4:$W$7)</f>
        <v>0.7+</v>
      </c>
      <c r="P988" s="1">
        <v>53</v>
      </c>
      <c r="Q988" t="str">
        <f>LOOKUP(P988,Sheet2!$Z$4:$AA$7)</f>
        <v>46+</v>
      </c>
      <c r="R988" s="1">
        <v>1</v>
      </c>
      <c r="S988" t="str">
        <f>IF(R988=1,"Positive","Negative")</f>
        <v>Positive</v>
      </c>
      <c r="T988" s="1">
        <f>IFERROR(VLOOKUP(A988,[1]diabetes_Recognition!$A:$B,2,FALSE),"Not Sampled")</f>
        <v>1</v>
      </c>
      <c r="U988" t="str">
        <f>IF(T988=1,"Positive",(IF(T988=0,"Negative","Not Sampled")))</f>
        <v>Positive</v>
      </c>
      <c r="V988" s="1" t="str">
        <f>IF(U988="Not Sampled","Not Sampled",IF(S988=U988,"Accurate Prediction","Inaccurate Prediction"))</f>
        <v>Accurate Prediction</v>
      </c>
    </row>
    <row r="989" spans="1:22" x14ac:dyDescent="0.25">
      <c r="A989" s="1">
        <v>987</v>
      </c>
      <c r="B989" s="1">
        <v>2</v>
      </c>
      <c r="C989" s="1">
        <f>LOOKUP(B989,Sheet2!$D$4:$E$9)</f>
        <v>2</v>
      </c>
      <c r="D989" s="1">
        <v>122</v>
      </c>
      <c r="E989" t="str">
        <f>LOOKUP(D989,Sheet2!$G$4:$H$9)</f>
        <v>100-125</v>
      </c>
      <c r="F989" s="1">
        <v>60</v>
      </c>
      <c r="G989" t="str">
        <f>LOOKUP(F989,Sheet2!$J$4:$K$8)</f>
        <v>60-69</v>
      </c>
      <c r="H989" s="1">
        <v>18</v>
      </c>
      <c r="I989" t="str">
        <f>LOOKUP(H989,Sheet2!$M$4:$N$8)</f>
        <v>10-30</v>
      </c>
      <c r="J989" s="1">
        <v>106</v>
      </c>
      <c r="K989" t="str">
        <f>LOOKUP(J989,Sheet2!$P$4:$Q$9)</f>
        <v>100-199</v>
      </c>
      <c r="L989" s="1">
        <v>29.8</v>
      </c>
      <c r="M989" t="str">
        <f>LOOKUP(L989,Sheet2!$S$4:$T$8)</f>
        <v>26-30</v>
      </c>
      <c r="N989" s="1">
        <v>0.71699999999999997</v>
      </c>
      <c r="O989" t="str">
        <f>LOOKUP(N989,Sheet2!$V$4:$W$7)</f>
        <v>0.7+</v>
      </c>
      <c r="P989" s="1">
        <v>22</v>
      </c>
      <c r="Q989" t="str">
        <f>LOOKUP(P989,Sheet2!$Z$4:$AA$7)</f>
        <v>&lt;=25</v>
      </c>
      <c r="R989" s="1">
        <v>0</v>
      </c>
      <c r="S989" t="str">
        <f>IF(R989=1,"Positive","Negative")</f>
        <v>Negative</v>
      </c>
      <c r="T989" s="1">
        <f>IFERROR(VLOOKUP(A989,[1]diabetes_Recognition!$A:$B,2,FALSE),"Not Sampled")</f>
        <v>0</v>
      </c>
      <c r="U989" t="str">
        <f>IF(T989=1,"Positive",(IF(T989=0,"Negative","Not Sampled")))</f>
        <v>Negative</v>
      </c>
      <c r="V989" s="1" t="str">
        <f>IF(U989="Not Sampled","Not Sampled",IF(S989=U989,"Accurate Prediction","Inaccurate Prediction"))</f>
        <v>Accurate Prediction</v>
      </c>
    </row>
    <row r="990" spans="1:22" x14ac:dyDescent="0.25">
      <c r="A990" s="1">
        <v>988</v>
      </c>
      <c r="B990" s="1">
        <v>0</v>
      </c>
      <c r="C990" s="1">
        <f>LOOKUP(B990,Sheet2!$D$4:$E$9)</f>
        <v>0</v>
      </c>
      <c r="D990" s="1">
        <v>107</v>
      </c>
      <c r="E990" t="str">
        <f>LOOKUP(D990,Sheet2!$G$4:$H$9)</f>
        <v>100-125</v>
      </c>
      <c r="F990" s="1">
        <v>76</v>
      </c>
      <c r="G990" t="str">
        <f>LOOKUP(F990,Sheet2!$J$4:$K$8)</f>
        <v>70-79</v>
      </c>
      <c r="H990" s="1">
        <v>0</v>
      </c>
      <c r="I990" t="str">
        <f>LOOKUP(H990,Sheet2!$M$4:$N$8)</f>
        <v>Unknown</v>
      </c>
      <c r="J990" s="1">
        <v>0</v>
      </c>
      <c r="K990" t="str">
        <f>LOOKUP(J990,Sheet2!$P$4:$Q$9)</f>
        <v>Unknown</v>
      </c>
      <c r="L990" s="1">
        <v>45.3</v>
      </c>
      <c r="M990" t="str">
        <f>LOOKUP(L990,Sheet2!$S$4:$T$8)</f>
        <v>36+</v>
      </c>
      <c r="N990" s="1">
        <v>0.68600000000000005</v>
      </c>
      <c r="O990" t="str">
        <f>LOOKUP(N990,Sheet2!$V$4:$W$7)</f>
        <v>0.4 - 0.69</v>
      </c>
      <c r="P990" s="1">
        <v>24</v>
      </c>
      <c r="Q990" t="str">
        <f>LOOKUP(P990,Sheet2!$Z$4:$AA$7)</f>
        <v>&lt;=25</v>
      </c>
      <c r="R990" s="1">
        <v>0</v>
      </c>
      <c r="S990" t="str">
        <f>IF(R990=1,"Positive","Negative")</f>
        <v>Negative</v>
      </c>
      <c r="T990" s="1" t="str">
        <f>IFERROR(VLOOKUP(A990,[1]diabetes_Recognition!$A:$B,2,FALSE),"Not Sampled")</f>
        <v>Not Sampled</v>
      </c>
      <c r="U990" t="str">
        <f>IF(T990=1,"Positive",(IF(T990=0,"Negative","Not Sampled")))</f>
        <v>Not Sampled</v>
      </c>
      <c r="V990" s="1" t="str">
        <f>IF(U990="Not Sampled","Not Sampled",IF(S990=U990,"Accurate Prediction","Inaccurate Prediction"))</f>
        <v>Not Sampled</v>
      </c>
    </row>
    <row r="991" spans="1:22" x14ac:dyDescent="0.25">
      <c r="A991" s="1">
        <v>989</v>
      </c>
      <c r="B991" s="1">
        <v>1</v>
      </c>
      <c r="C991" s="1">
        <f>LOOKUP(B991,Sheet2!$D$4:$E$9)</f>
        <v>1</v>
      </c>
      <c r="D991" s="1">
        <v>86</v>
      </c>
      <c r="E991" t="str">
        <f>LOOKUP(D991,Sheet2!$G$4:$H$9)</f>
        <v>1-99</v>
      </c>
      <c r="F991" s="1">
        <v>66</v>
      </c>
      <c r="G991" t="str">
        <f>LOOKUP(F991,Sheet2!$J$4:$K$8)</f>
        <v>60-69</v>
      </c>
      <c r="H991" s="1">
        <v>52</v>
      </c>
      <c r="I991" t="str">
        <f>LOOKUP(H991,Sheet2!$M$4:$N$8)</f>
        <v>40+</v>
      </c>
      <c r="J991" s="1">
        <v>65</v>
      </c>
      <c r="K991" t="str">
        <f>LOOKUP(J991,Sheet2!$P$4:$Q$9)</f>
        <v>1-99</v>
      </c>
      <c r="L991" s="1">
        <v>41.3</v>
      </c>
      <c r="M991" t="str">
        <f>LOOKUP(L991,Sheet2!$S$4:$T$8)</f>
        <v>36+</v>
      </c>
      <c r="N991" s="1">
        <v>0.91700000000000004</v>
      </c>
      <c r="O991" t="str">
        <f>LOOKUP(N991,Sheet2!$V$4:$W$7)</f>
        <v>0.7+</v>
      </c>
      <c r="P991" s="1">
        <v>29</v>
      </c>
      <c r="Q991" t="str">
        <f>LOOKUP(P991,Sheet2!$Z$4:$AA$7)</f>
        <v>26-35</v>
      </c>
      <c r="R991" s="1">
        <v>0</v>
      </c>
      <c r="S991" t="str">
        <f>IF(R991=1,"Positive","Negative")</f>
        <v>Negative</v>
      </c>
      <c r="T991" s="1" t="str">
        <f>IFERROR(VLOOKUP(A991,[1]diabetes_Recognition!$A:$B,2,FALSE),"Not Sampled")</f>
        <v>Not Sampled</v>
      </c>
      <c r="U991" t="str">
        <f>IF(T991=1,"Positive",(IF(T991=0,"Negative","Not Sampled")))</f>
        <v>Not Sampled</v>
      </c>
      <c r="V991" s="1" t="str">
        <f>IF(U991="Not Sampled","Not Sampled",IF(S991=U991,"Accurate Prediction","Inaccurate Prediction"))</f>
        <v>Not Sampled</v>
      </c>
    </row>
    <row r="992" spans="1:22" x14ac:dyDescent="0.25">
      <c r="A992" s="1">
        <v>990</v>
      </c>
      <c r="B992" s="1">
        <v>6</v>
      </c>
      <c r="C992" s="1" t="str">
        <f>LOOKUP(B992,Sheet2!$D$4:$E$9)</f>
        <v>5-7</v>
      </c>
      <c r="D992" s="1">
        <v>91</v>
      </c>
      <c r="E992" t="str">
        <f>LOOKUP(D992,Sheet2!$G$4:$H$9)</f>
        <v>1-99</v>
      </c>
      <c r="F992" s="1">
        <v>0</v>
      </c>
      <c r="G992" t="str">
        <f>LOOKUP(F992,Sheet2!$J$4:$K$8)</f>
        <v>Unknown</v>
      </c>
      <c r="H992" s="1">
        <v>0</v>
      </c>
      <c r="I992" t="str">
        <f>LOOKUP(H992,Sheet2!$M$4:$N$8)</f>
        <v>Unknown</v>
      </c>
      <c r="J992" s="1">
        <v>0</v>
      </c>
      <c r="K992" t="str">
        <f>LOOKUP(J992,Sheet2!$P$4:$Q$9)</f>
        <v>Unknown</v>
      </c>
      <c r="L992" s="1">
        <v>29.8</v>
      </c>
      <c r="M992" t="str">
        <f>LOOKUP(L992,Sheet2!$S$4:$T$8)</f>
        <v>26-30</v>
      </c>
      <c r="N992" s="1">
        <v>0.501</v>
      </c>
      <c r="O992" t="str">
        <f>LOOKUP(N992,Sheet2!$V$4:$W$7)</f>
        <v>0.4 - 0.69</v>
      </c>
      <c r="P992" s="1">
        <v>31</v>
      </c>
      <c r="Q992" t="str">
        <f>LOOKUP(P992,Sheet2!$Z$4:$AA$7)</f>
        <v>26-35</v>
      </c>
      <c r="R992" s="1">
        <v>0</v>
      </c>
      <c r="S992" t="str">
        <f>IF(R992=1,"Positive","Negative")</f>
        <v>Negative</v>
      </c>
      <c r="T992" s="1" t="str">
        <f>IFERROR(VLOOKUP(A992,[1]diabetes_Recognition!$A:$B,2,FALSE),"Not Sampled")</f>
        <v>Not Sampled</v>
      </c>
      <c r="U992" t="str">
        <f>IF(T992=1,"Positive",(IF(T992=0,"Negative","Not Sampled")))</f>
        <v>Not Sampled</v>
      </c>
      <c r="V992" s="1" t="str">
        <f>IF(U992="Not Sampled","Not Sampled",IF(S992=U992,"Accurate Prediction","Inaccurate Prediction"))</f>
        <v>Not Sampled</v>
      </c>
    </row>
    <row r="993" spans="1:22" x14ac:dyDescent="0.25">
      <c r="A993" s="1">
        <v>991</v>
      </c>
      <c r="B993" s="1">
        <v>1</v>
      </c>
      <c r="C993" s="1">
        <f>LOOKUP(B993,Sheet2!$D$4:$E$9)</f>
        <v>1</v>
      </c>
      <c r="D993" s="1">
        <v>77</v>
      </c>
      <c r="E993" t="str">
        <f>LOOKUP(D993,Sheet2!$G$4:$H$9)</f>
        <v>1-99</v>
      </c>
      <c r="F993" s="1">
        <v>56</v>
      </c>
      <c r="G993" t="str">
        <f>LOOKUP(F993,Sheet2!$J$4:$K$8)</f>
        <v>1-59</v>
      </c>
      <c r="H993" s="1">
        <v>30</v>
      </c>
      <c r="I993" t="str">
        <f>LOOKUP(H993,Sheet2!$M$4:$N$8)</f>
        <v>30-39</v>
      </c>
      <c r="J993" s="1">
        <v>56</v>
      </c>
      <c r="K993" t="str">
        <f>LOOKUP(J993,Sheet2!$P$4:$Q$9)</f>
        <v>1-99</v>
      </c>
      <c r="L993" s="1">
        <v>33.299999999999997</v>
      </c>
      <c r="M993" t="str">
        <f>LOOKUP(L993,Sheet2!$S$4:$T$8)</f>
        <v>31-35</v>
      </c>
      <c r="N993" s="1">
        <v>1.2509999999999999</v>
      </c>
      <c r="O993" t="str">
        <f>LOOKUP(N993,Sheet2!$V$4:$W$7)</f>
        <v>0.7+</v>
      </c>
      <c r="P993" s="1">
        <v>24</v>
      </c>
      <c r="Q993" t="str">
        <f>LOOKUP(P993,Sheet2!$Z$4:$AA$7)</f>
        <v>&lt;=25</v>
      </c>
      <c r="R993" s="1">
        <v>0</v>
      </c>
      <c r="S993" t="str">
        <f>IF(R993=1,"Positive","Negative")</f>
        <v>Negative</v>
      </c>
      <c r="T993" s="1">
        <f>IFERROR(VLOOKUP(A993,[1]diabetes_Recognition!$A:$B,2,FALSE),"Not Sampled")</f>
        <v>0</v>
      </c>
      <c r="U993" t="str">
        <f>IF(T993=1,"Positive",(IF(T993=0,"Negative","Not Sampled")))</f>
        <v>Negative</v>
      </c>
      <c r="V993" s="1" t="str">
        <f>IF(U993="Not Sampled","Not Sampled",IF(S993=U993,"Accurate Prediction","Inaccurate Prediction"))</f>
        <v>Accurate Prediction</v>
      </c>
    </row>
    <row r="994" spans="1:22" x14ac:dyDescent="0.25">
      <c r="A994" s="1">
        <v>992</v>
      </c>
      <c r="B994" s="1">
        <v>4</v>
      </c>
      <c r="C994" s="1" t="str">
        <f>LOOKUP(B994,Sheet2!$D$4:$E$9)</f>
        <v>3-4</v>
      </c>
      <c r="D994" s="1">
        <v>132</v>
      </c>
      <c r="E994" t="str">
        <f>LOOKUP(D994,Sheet2!$G$4:$H$9)</f>
        <v>126-150</v>
      </c>
      <c r="F994" s="1">
        <v>0</v>
      </c>
      <c r="G994" t="str">
        <f>LOOKUP(F994,Sheet2!$J$4:$K$8)</f>
        <v>Unknown</v>
      </c>
      <c r="H994" s="1">
        <v>0</v>
      </c>
      <c r="I994" t="str">
        <f>LOOKUP(H994,Sheet2!$M$4:$N$8)</f>
        <v>Unknown</v>
      </c>
      <c r="J994" s="1">
        <v>0</v>
      </c>
      <c r="K994" t="str">
        <f>LOOKUP(J994,Sheet2!$P$4:$Q$9)</f>
        <v>Unknown</v>
      </c>
      <c r="L994" s="1">
        <v>32.9</v>
      </c>
      <c r="M994" t="str">
        <f>LOOKUP(L994,Sheet2!$S$4:$T$8)</f>
        <v>31-35</v>
      </c>
      <c r="N994" s="1">
        <v>0.30199999999999999</v>
      </c>
      <c r="O994" t="str">
        <f>LOOKUP(N994,Sheet2!$V$4:$W$7)</f>
        <v>0.25 - 0.39</v>
      </c>
      <c r="P994" s="1">
        <v>23</v>
      </c>
      <c r="Q994" t="str">
        <f>LOOKUP(P994,Sheet2!$Z$4:$AA$7)</f>
        <v>&lt;=25</v>
      </c>
      <c r="R994" s="1">
        <v>1</v>
      </c>
      <c r="S994" t="str">
        <f>IF(R994=1,"Positive","Negative")</f>
        <v>Positive</v>
      </c>
      <c r="T994" s="1" t="str">
        <f>IFERROR(VLOOKUP(A994,[1]diabetes_Recognition!$A:$B,2,FALSE),"Not Sampled")</f>
        <v>Not Sampled</v>
      </c>
      <c r="U994" t="str">
        <f>IF(T994=1,"Positive",(IF(T994=0,"Negative","Not Sampled")))</f>
        <v>Not Sampled</v>
      </c>
      <c r="V994" s="1" t="str">
        <f>IF(U994="Not Sampled","Not Sampled",IF(S994=U994,"Accurate Prediction","Inaccurate Prediction"))</f>
        <v>Not Sampled</v>
      </c>
    </row>
    <row r="995" spans="1:22" x14ac:dyDescent="0.25">
      <c r="A995" s="1">
        <v>993</v>
      </c>
      <c r="B995" s="1">
        <v>0</v>
      </c>
      <c r="C995" s="1">
        <f>LOOKUP(B995,Sheet2!$D$4:$E$9)</f>
        <v>0</v>
      </c>
      <c r="D995" s="1">
        <v>105</v>
      </c>
      <c r="E995" t="str">
        <f>LOOKUP(D995,Sheet2!$G$4:$H$9)</f>
        <v>100-125</v>
      </c>
      <c r="F995" s="1">
        <v>90</v>
      </c>
      <c r="G995" t="str">
        <f>LOOKUP(F995,Sheet2!$J$4:$K$8)</f>
        <v>80+</v>
      </c>
      <c r="H995" s="1">
        <v>0</v>
      </c>
      <c r="I995" t="str">
        <f>LOOKUP(H995,Sheet2!$M$4:$N$8)</f>
        <v>Unknown</v>
      </c>
      <c r="J995" s="1">
        <v>0</v>
      </c>
      <c r="K995" t="str">
        <f>LOOKUP(J995,Sheet2!$P$4:$Q$9)</f>
        <v>Unknown</v>
      </c>
      <c r="L995" s="1">
        <v>29.6</v>
      </c>
      <c r="M995" t="str">
        <f>LOOKUP(L995,Sheet2!$S$4:$T$8)</f>
        <v>26-30</v>
      </c>
      <c r="N995" s="1">
        <v>0.19700000000000001</v>
      </c>
      <c r="O995" t="str">
        <f>LOOKUP(N995,Sheet2!$V$4:$W$7)</f>
        <v>0.0 - 0.249</v>
      </c>
      <c r="P995" s="1">
        <v>46</v>
      </c>
      <c r="Q995" t="str">
        <f>LOOKUP(P995,Sheet2!$Z$4:$AA$7)</f>
        <v>46+</v>
      </c>
      <c r="R995" s="1">
        <v>0</v>
      </c>
      <c r="S995" t="str">
        <f>IF(R995=1,"Positive","Negative")</f>
        <v>Negative</v>
      </c>
      <c r="T995" s="1">
        <f>IFERROR(VLOOKUP(A995,[1]diabetes_Recognition!$A:$B,2,FALSE),"Not Sampled")</f>
        <v>0</v>
      </c>
      <c r="U995" t="str">
        <f>IF(T995=1,"Positive",(IF(T995=0,"Negative","Not Sampled")))</f>
        <v>Negative</v>
      </c>
      <c r="V995" s="1" t="str">
        <f>IF(U995="Not Sampled","Not Sampled",IF(S995=U995,"Accurate Prediction","Inaccurate Prediction"))</f>
        <v>Accurate Prediction</v>
      </c>
    </row>
    <row r="996" spans="1:22" x14ac:dyDescent="0.25">
      <c r="A996" s="1">
        <v>994</v>
      </c>
      <c r="B996" s="1">
        <v>0</v>
      </c>
      <c r="C996" s="1">
        <f>LOOKUP(B996,Sheet2!$D$4:$E$9)</f>
        <v>0</v>
      </c>
      <c r="D996" s="1">
        <v>57</v>
      </c>
      <c r="E996" t="str">
        <f>LOOKUP(D996,Sheet2!$G$4:$H$9)</f>
        <v>1-99</v>
      </c>
      <c r="F996" s="1">
        <v>60</v>
      </c>
      <c r="G996" t="str">
        <f>LOOKUP(F996,Sheet2!$J$4:$K$8)</f>
        <v>60-69</v>
      </c>
      <c r="H996" s="1">
        <v>0</v>
      </c>
      <c r="I996" t="str">
        <f>LOOKUP(H996,Sheet2!$M$4:$N$8)</f>
        <v>Unknown</v>
      </c>
      <c r="J996" s="1">
        <v>0</v>
      </c>
      <c r="K996" t="str">
        <f>LOOKUP(J996,Sheet2!$P$4:$Q$9)</f>
        <v>Unknown</v>
      </c>
      <c r="L996" s="1">
        <v>21.7</v>
      </c>
      <c r="M996" t="str">
        <f>LOOKUP(L996,Sheet2!$S$4:$T$8)</f>
        <v>1-25</v>
      </c>
      <c r="N996" s="1">
        <v>0.73499999999999999</v>
      </c>
      <c r="O996" t="str">
        <f>LOOKUP(N996,Sheet2!$V$4:$W$7)</f>
        <v>0.7+</v>
      </c>
      <c r="P996" s="1">
        <v>67</v>
      </c>
      <c r="Q996" t="str">
        <f>LOOKUP(P996,Sheet2!$Z$4:$AA$7)</f>
        <v>46+</v>
      </c>
      <c r="R996" s="1">
        <v>0</v>
      </c>
      <c r="S996" t="str">
        <f>IF(R996=1,"Positive","Negative")</f>
        <v>Negative</v>
      </c>
      <c r="T996" s="1">
        <f>IFERROR(VLOOKUP(A996,[1]diabetes_Recognition!$A:$B,2,FALSE),"Not Sampled")</f>
        <v>0</v>
      </c>
      <c r="U996" t="str">
        <f>IF(T996=1,"Positive",(IF(T996=0,"Negative","Not Sampled")))</f>
        <v>Negative</v>
      </c>
      <c r="V996" s="1" t="str">
        <f>IF(U996="Not Sampled","Not Sampled",IF(S996=U996,"Accurate Prediction","Inaccurate Prediction"))</f>
        <v>Accurate Prediction</v>
      </c>
    </row>
    <row r="997" spans="1:22" x14ac:dyDescent="0.25">
      <c r="A997" s="1">
        <v>995</v>
      </c>
      <c r="B997" s="1">
        <v>0</v>
      </c>
      <c r="C997" s="1">
        <f>LOOKUP(B997,Sheet2!$D$4:$E$9)</f>
        <v>0</v>
      </c>
      <c r="D997" s="1">
        <v>127</v>
      </c>
      <c r="E997" t="str">
        <f>LOOKUP(D997,Sheet2!$G$4:$H$9)</f>
        <v>126-150</v>
      </c>
      <c r="F997" s="1">
        <v>80</v>
      </c>
      <c r="G997" t="str">
        <f>LOOKUP(F997,Sheet2!$J$4:$K$8)</f>
        <v>80+</v>
      </c>
      <c r="H997" s="1">
        <v>37</v>
      </c>
      <c r="I997" t="str">
        <f>LOOKUP(H997,Sheet2!$M$4:$N$8)</f>
        <v>30-39</v>
      </c>
      <c r="J997" s="1">
        <v>210</v>
      </c>
      <c r="K997" t="str">
        <f>LOOKUP(J997,Sheet2!$P$4:$Q$9)</f>
        <v>200-399</v>
      </c>
      <c r="L997" s="1">
        <v>36.299999999999997</v>
      </c>
      <c r="M997" t="str">
        <f>LOOKUP(L997,Sheet2!$S$4:$T$8)</f>
        <v>36+</v>
      </c>
      <c r="N997" s="1">
        <v>0.80400000000000005</v>
      </c>
      <c r="O997" t="str">
        <f>LOOKUP(N997,Sheet2!$V$4:$W$7)</f>
        <v>0.7+</v>
      </c>
      <c r="P997" s="1">
        <v>23</v>
      </c>
      <c r="Q997" t="str">
        <f>LOOKUP(P997,Sheet2!$Z$4:$AA$7)</f>
        <v>&lt;=25</v>
      </c>
      <c r="R997" s="1">
        <v>0</v>
      </c>
      <c r="S997" t="str">
        <f>IF(R997=1,"Positive","Negative")</f>
        <v>Negative</v>
      </c>
      <c r="T997" s="1" t="str">
        <f>IFERROR(VLOOKUP(A997,[1]diabetes_Recognition!$A:$B,2,FALSE),"Not Sampled")</f>
        <v>Not Sampled</v>
      </c>
      <c r="U997" t="str">
        <f>IF(T997=1,"Positive",(IF(T997=0,"Negative","Not Sampled")))</f>
        <v>Not Sampled</v>
      </c>
      <c r="V997" s="1" t="str">
        <f>IF(U997="Not Sampled","Not Sampled",IF(S997=U997,"Accurate Prediction","Inaccurate Prediction"))</f>
        <v>Not Sampled</v>
      </c>
    </row>
    <row r="998" spans="1:22" x14ac:dyDescent="0.25">
      <c r="A998" s="1">
        <v>996</v>
      </c>
      <c r="B998" s="1">
        <v>3</v>
      </c>
      <c r="C998" s="1" t="str">
        <f>LOOKUP(B998,Sheet2!$D$4:$E$9)</f>
        <v>3-4</v>
      </c>
      <c r="D998" s="1">
        <v>129</v>
      </c>
      <c r="E998" t="str">
        <f>LOOKUP(D998,Sheet2!$G$4:$H$9)</f>
        <v>126-150</v>
      </c>
      <c r="F998" s="1">
        <v>92</v>
      </c>
      <c r="G998" t="str">
        <f>LOOKUP(F998,Sheet2!$J$4:$K$8)</f>
        <v>80+</v>
      </c>
      <c r="H998" s="1">
        <v>49</v>
      </c>
      <c r="I998" t="str">
        <f>LOOKUP(H998,Sheet2!$M$4:$N$8)</f>
        <v>40+</v>
      </c>
      <c r="J998" s="1">
        <v>155</v>
      </c>
      <c r="K998" t="str">
        <f>LOOKUP(J998,Sheet2!$P$4:$Q$9)</f>
        <v>100-199</v>
      </c>
      <c r="L998" s="1">
        <v>36.4</v>
      </c>
      <c r="M998" t="str">
        <f>LOOKUP(L998,Sheet2!$S$4:$T$8)</f>
        <v>36+</v>
      </c>
      <c r="N998" s="1">
        <v>0.96799999999999997</v>
      </c>
      <c r="O998" t="str">
        <f>LOOKUP(N998,Sheet2!$V$4:$W$7)</f>
        <v>0.7+</v>
      </c>
      <c r="P998" s="1">
        <v>32</v>
      </c>
      <c r="Q998" t="str">
        <f>LOOKUP(P998,Sheet2!$Z$4:$AA$7)</f>
        <v>26-35</v>
      </c>
      <c r="R998" s="1">
        <v>1</v>
      </c>
      <c r="S998" t="str">
        <f>IF(R998=1,"Positive","Negative")</f>
        <v>Positive</v>
      </c>
      <c r="T998" s="1" t="str">
        <f>IFERROR(VLOOKUP(A998,[1]diabetes_Recognition!$A:$B,2,FALSE),"Not Sampled")</f>
        <v>Not Sampled</v>
      </c>
      <c r="U998" t="str">
        <f>IF(T998=1,"Positive",(IF(T998=0,"Negative","Not Sampled")))</f>
        <v>Not Sampled</v>
      </c>
      <c r="V998" s="1" t="str">
        <f>IF(U998="Not Sampled","Not Sampled",IF(S998=U998,"Accurate Prediction","Inaccurate Prediction"))</f>
        <v>Not Sampled</v>
      </c>
    </row>
    <row r="999" spans="1:22" x14ac:dyDescent="0.25">
      <c r="A999" s="1">
        <v>997</v>
      </c>
      <c r="B999" s="1">
        <v>8</v>
      </c>
      <c r="C999" s="1" t="str">
        <f>LOOKUP(B999,Sheet2!$D$4:$E$9)</f>
        <v>8+</v>
      </c>
      <c r="D999" s="1">
        <v>100</v>
      </c>
      <c r="E999" t="str">
        <f>LOOKUP(D999,Sheet2!$G$4:$H$9)</f>
        <v>100-125</v>
      </c>
      <c r="F999" s="1">
        <v>74</v>
      </c>
      <c r="G999" t="str">
        <f>LOOKUP(F999,Sheet2!$J$4:$K$8)</f>
        <v>70-79</v>
      </c>
      <c r="H999" s="1">
        <v>40</v>
      </c>
      <c r="I999" t="str">
        <f>LOOKUP(H999,Sheet2!$M$4:$N$8)</f>
        <v>40+</v>
      </c>
      <c r="J999" s="1">
        <v>215</v>
      </c>
      <c r="K999" t="str">
        <f>LOOKUP(J999,Sheet2!$P$4:$Q$9)</f>
        <v>200-399</v>
      </c>
      <c r="L999" s="1">
        <v>39.4</v>
      </c>
      <c r="M999" t="str">
        <f>LOOKUP(L999,Sheet2!$S$4:$T$8)</f>
        <v>36+</v>
      </c>
      <c r="N999" s="1">
        <v>0.66100000000000003</v>
      </c>
      <c r="O999" t="str">
        <f>LOOKUP(N999,Sheet2!$V$4:$W$7)</f>
        <v>0.4 - 0.69</v>
      </c>
      <c r="P999" s="1">
        <v>43</v>
      </c>
      <c r="Q999" t="str">
        <f>LOOKUP(P999,Sheet2!$Z$4:$AA$7)</f>
        <v>36-45</v>
      </c>
      <c r="R999" s="1">
        <v>1</v>
      </c>
      <c r="S999" t="str">
        <f>IF(R999=1,"Positive","Negative")</f>
        <v>Positive</v>
      </c>
      <c r="T999" s="1" t="str">
        <f>IFERROR(VLOOKUP(A999,[1]diabetes_Recognition!$A:$B,2,FALSE),"Not Sampled")</f>
        <v>Not Sampled</v>
      </c>
      <c r="U999" t="str">
        <f>IF(T999=1,"Positive",(IF(T999=0,"Negative","Not Sampled")))</f>
        <v>Not Sampled</v>
      </c>
      <c r="V999" s="1" t="str">
        <f>IF(U999="Not Sampled","Not Sampled",IF(S999=U999,"Accurate Prediction","Inaccurate Prediction"))</f>
        <v>Not Sampled</v>
      </c>
    </row>
    <row r="1000" spans="1:22" x14ac:dyDescent="0.25">
      <c r="A1000" s="1">
        <v>998</v>
      </c>
      <c r="B1000" s="1">
        <v>3</v>
      </c>
      <c r="C1000" s="1" t="str">
        <f>LOOKUP(B1000,Sheet2!$D$4:$E$9)</f>
        <v>3-4</v>
      </c>
      <c r="D1000" s="1">
        <v>128</v>
      </c>
      <c r="E1000" t="str">
        <f>LOOKUP(D1000,Sheet2!$G$4:$H$9)</f>
        <v>126-150</v>
      </c>
      <c r="F1000" s="1">
        <v>72</v>
      </c>
      <c r="G1000" t="str">
        <f>LOOKUP(F1000,Sheet2!$J$4:$K$8)</f>
        <v>70-79</v>
      </c>
      <c r="H1000" s="1">
        <v>25</v>
      </c>
      <c r="I1000" t="str">
        <f>LOOKUP(H1000,Sheet2!$M$4:$N$8)</f>
        <v>10-30</v>
      </c>
      <c r="J1000" s="1">
        <v>190</v>
      </c>
      <c r="K1000" t="str">
        <f>LOOKUP(J1000,Sheet2!$P$4:$Q$9)</f>
        <v>100-199</v>
      </c>
      <c r="L1000" s="1">
        <v>32.4</v>
      </c>
      <c r="M1000" t="str">
        <f>LOOKUP(L1000,Sheet2!$S$4:$T$8)</f>
        <v>31-35</v>
      </c>
      <c r="N1000" s="1">
        <v>0.54900000000000004</v>
      </c>
      <c r="O1000" t="str">
        <f>LOOKUP(N1000,Sheet2!$V$4:$W$7)</f>
        <v>0.4 - 0.69</v>
      </c>
      <c r="P1000" s="1">
        <v>27</v>
      </c>
      <c r="Q1000" t="str">
        <f>LOOKUP(P1000,Sheet2!$Z$4:$AA$7)</f>
        <v>26-35</v>
      </c>
      <c r="R1000" s="1">
        <v>1</v>
      </c>
      <c r="S1000" t="str">
        <f>IF(R1000=1,"Positive","Negative")</f>
        <v>Positive</v>
      </c>
      <c r="T1000" s="1" t="str">
        <f>IFERROR(VLOOKUP(A1000,[1]diabetes_Recognition!$A:$B,2,FALSE),"Not Sampled")</f>
        <v>Not Sampled</v>
      </c>
      <c r="U1000" t="str">
        <f>IF(T1000=1,"Positive",(IF(T1000=0,"Negative","Not Sampled")))</f>
        <v>Not Sampled</v>
      </c>
      <c r="V1000" s="1" t="str">
        <f>IF(U1000="Not Sampled","Not Sampled",IF(S1000=U1000,"Accurate Prediction","Inaccurate Prediction"))</f>
        <v>Not Sampled</v>
      </c>
    </row>
    <row r="1001" spans="1:22" x14ac:dyDescent="0.25">
      <c r="A1001" s="1">
        <v>999</v>
      </c>
      <c r="B1001" s="1">
        <v>10</v>
      </c>
      <c r="C1001" s="1" t="str">
        <f>LOOKUP(B1001,Sheet2!$D$4:$E$9)</f>
        <v>8+</v>
      </c>
      <c r="D1001" s="1">
        <v>90</v>
      </c>
      <c r="E1001" t="str">
        <f>LOOKUP(D1001,Sheet2!$G$4:$H$9)</f>
        <v>1-99</v>
      </c>
      <c r="F1001" s="1">
        <v>85</v>
      </c>
      <c r="G1001" t="str">
        <f>LOOKUP(F1001,Sheet2!$J$4:$K$8)</f>
        <v>80+</v>
      </c>
      <c r="H1001" s="1">
        <v>32</v>
      </c>
      <c r="I1001" t="str">
        <f>LOOKUP(H1001,Sheet2!$M$4:$N$8)</f>
        <v>30-39</v>
      </c>
      <c r="J1001" s="1">
        <v>0</v>
      </c>
      <c r="K1001" t="str">
        <f>LOOKUP(J1001,Sheet2!$P$4:$Q$9)</f>
        <v>Unknown</v>
      </c>
      <c r="L1001" s="1">
        <v>34.9</v>
      </c>
      <c r="M1001" t="str">
        <f>LOOKUP(L1001,Sheet2!$S$4:$T$8)</f>
        <v>31-35</v>
      </c>
      <c r="N1001" s="1">
        <v>0.82499999999999996</v>
      </c>
      <c r="O1001" t="str">
        <f>LOOKUP(N1001,Sheet2!$V$4:$W$7)</f>
        <v>0.7+</v>
      </c>
      <c r="P1001" s="1">
        <v>56</v>
      </c>
      <c r="Q1001" t="str">
        <f>LOOKUP(P1001,Sheet2!$Z$4:$AA$7)</f>
        <v>46+</v>
      </c>
      <c r="R1001" s="1">
        <v>1</v>
      </c>
      <c r="S1001" t="str">
        <f>IF(R1001=1,"Positive","Negative")</f>
        <v>Positive</v>
      </c>
      <c r="T1001" s="1" t="str">
        <f>IFERROR(VLOOKUP(A1001,[1]diabetes_Recognition!$A:$B,2,FALSE),"Not Sampled")</f>
        <v>Not Sampled</v>
      </c>
      <c r="U1001" t="str">
        <f>IF(T1001=1,"Positive",(IF(T1001=0,"Negative","Not Sampled")))</f>
        <v>Not Sampled</v>
      </c>
      <c r="V1001" s="1" t="str">
        <f>IF(U1001="Not Sampled","Not Sampled",IF(S1001=U1001,"Accurate Prediction","Inaccurate Prediction"))</f>
        <v>Not Sampled</v>
      </c>
    </row>
    <row r="1002" spans="1:22" x14ac:dyDescent="0.25">
      <c r="A1002" s="1">
        <v>1000</v>
      </c>
      <c r="B1002" s="1">
        <v>4</v>
      </c>
      <c r="C1002" s="1" t="str">
        <f>LOOKUP(B1002,Sheet2!$D$4:$E$9)</f>
        <v>3-4</v>
      </c>
      <c r="D1002" s="1">
        <v>84</v>
      </c>
      <c r="E1002" t="str">
        <f>LOOKUP(D1002,Sheet2!$G$4:$H$9)</f>
        <v>1-99</v>
      </c>
      <c r="F1002" s="1">
        <v>90</v>
      </c>
      <c r="G1002" t="str">
        <f>LOOKUP(F1002,Sheet2!$J$4:$K$8)</f>
        <v>80+</v>
      </c>
      <c r="H1002" s="1">
        <v>23</v>
      </c>
      <c r="I1002" t="str">
        <f>LOOKUP(H1002,Sheet2!$M$4:$N$8)</f>
        <v>10-30</v>
      </c>
      <c r="J1002" s="1">
        <v>56</v>
      </c>
      <c r="K1002" t="str">
        <f>LOOKUP(J1002,Sheet2!$P$4:$Q$9)</f>
        <v>1-99</v>
      </c>
      <c r="L1002" s="1">
        <v>39.5</v>
      </c>
      <c r="M1002" t="str">
        <f>LOOKUP(L1002,Sheet2!$S$4:$T$8)</f>
        <v>36+</v>
      </c>
      <c r="N1002" s="1">
        <v>0.159</v>
      </c>
      <c r="O1002" t="str">
        <f>LOOKUP(N1002,Sheet2!$V$4:$W$7)</f>
        <v>0.0 - 0.249</v>
      </c>
      <c r="P1002" s="1">
        <v>25</v>
      </c>
      <c r="Q1002" t="str">
        <f>LOOKUP(P1002,Sheet2!$Z$4:$AA$7)</f>
        <v>&lt;=25</v>
      </c>
      <c r="R1002" s="1">
        <v>0</v>
      </c>
      <c r="S1002" t="str">
        <f>IF(R1002=1,"Positive","Negative")</f>
        <v>Negative</v>
      </c>
      <c r="T1002" s="1">
        <f>IFERROR(VLOOKUP(A1002,[1]diabetes_Recognition!$A:$B,2,FALSE),"Not Sampled")</f>
        <v>0</v>
      </c>
      <c r="U1002" t="str">
        <f>IF(T1002=1,"Positive",(IF(T1002=0,"Negative","Not Sampled")))</f>
        <v>Negative</v>
      </c>
      <c r="V1002" s="1" t="str">
        <f>IF(U1002="Not Sampled","Not Sampled",IF(S1002=U1002,"Accurate Prediction","Inaccurate Prediction"))</f>
        <v>Accurate Prediction</v>
      </c>
    </row>
    <row r="1003" spans="1:22" x14ac:dyDescent="0.25">
      <c r="A1003" s="1">
        <v>1001</v>
      </c>
      <c r="B1003" s="1">
        <v>1</v>
      </c>
      <c r="C1003" s="1">
        <f>LOOKUP(B1003,Sheet2!$D$4:$E$9)</f>
        <v>1</v>
      </c>
      <c r="D1003" s="1">
        <v>88</v>
      </c>
      <c r="E1003" t="str">
        <f>LOOKUP(D1003,Sheet2!$G$4:$H$9)</f>
        <v>1-99</v>
      </c>
      <c r="F1003" s="1">
        <v>78</v>
      </c>
      <c r="G1003" t="str">
        <f>LOOKUP(F1003,Sheet2!$J$4:$K$8)</f>
        <v>70-79</v>
      </c>
      <c r="H1003" s="1">
        <v>29</v>
      </c>
      <c r="I1003" t="str">
        <f>LOOKUP(H1003,Sheet2!$M$4:$N$8)</f>
        <v>10-30</v>
      </c>
      <c r="J1003" s="1">
        <v>76</v>
      </c>
      <c r="K1003" t="str">
        <f>LOOKUP(J1003,Sheet2!$P$4:$Q$9)</f>
        <v>1-99</v>
      </c>
      <c r="L1003" s="1">
        <v>32</v>
      </c>
      <c r="M1003" t="str">
        <f>LOOKUP(L1003,Sheet2!$S$4:$T$8)</f>
        <v>31-35</v>
      </c>
      <c r="N1003" s="1">
        <v>0.36499999999999999</v>
      </c>
      <c r="O1003" t="str">
        <f>LOOKUP(N1003,Sheet2!$V$4:$W$7)</f>
        <v>0.25 - 0.39</v>
      </c>
      <c r="P1003" s="1">
        <v>29</v>
      </c>
      <c r="Q1003" t="str">
        <f>LOOKUP(P1003,Sheet2!$Z$4:$AA$7)</f>
        <v>26-35</v>
      </c>
      <c r="R1003" s="1">
        <v>0</v>
      </c>
      <c r="S1003" t="str">
        <f>IF(R1003=1,"Positive","Negative")</f>
        <v>Negative</v>
      </c>
      <c r="T1003" s="1" t="str">
        <f>IFERROR(VLOOKUP(A1003,[1]diabetes_Recognition!$A:$B,2,FALSE),"Not Sampled")</f>
        <v>Not Sampled</v>
      </c>
      <c r="U1003" t="str">
        <f>IF(T1003=1,"Positive",(IF(T1003=0,"Negative","Not Sampled")))</f>
        <v>Not Sampled</v>
      </c>
      <c r="V1003" s="1" t="str">
        <f>IF(U1003="Not Sampled","Not Sampled",IF(S1003=U1003,"Accurate Prediction","Inaccurate Prediction"))</f>
        <v>Not Sampled</v>
      </c>
    </row>
    <row r="1004" spans="1:22" x14ac:dyDescent="0.25">
      <c r="A1004" s="1">
        <v>1002</v>
      </c>
      <c r="B1004" s="1">
        <v>8</v>
      </c>
      <c r="C1004" s="1" t="str">
        <f>LOOKUP(B1004,Sheet2!$D$4:$E$9)</f>
        <v>8+</v>
      </c>
      <c r="D1004" s="1">
        <v>186</v>
      </c>
      <c r="E1004" t="str">
        <f>LOOKUP(D1004,Sheet2!$G$4:$H$9)</f>
        <v>176-200</v>
      </c>
      <c r="F1004" s="1">
        <v>90</v>
      </c>
      <c r="G1004" t="str">
        <f>LOOKUP(F1004,Sheet2!$J$4:$K$8)</f>
        <v>80+</v>
      </c>
      <c r="H1004" s="1">
        <v>35</v>
      </c>
      <c r="I1004" t="str">
        <f>LOOKUP(H1004,Sheet2!$M$4:$N$8)</f>
        <v>30-39</v>
      </c>
      <c r="J1004" s="1">
        <v>225</v>
      </c>
      <c r="K1004" t="str">
        <f>LOOKUP(J1004,Sheet2!$P$4:$Q$9)</f>
        <v>200-399</v>
      </c>
      <c r="L1004" s="1">
        <v>34.5</v>
      </c>
      <c r="M1004" t="str">
        <f>LOOKUP(L1004,Sheet2!$S$4:$T$8)</f>
        <v>31-35</v>
      </c>
      <c r="N1004" s="1">
        <v>0.42299999999999999</v>
      </c>
      <c r="O1004" t="str">
        <f>LOOKUP(N1004,Sheet2!$V$4:$W$7)</f>
        <v>0.4 - 0.69</v>
      </c>
      <c r="P1004" s="1">
        <v>37</v>
      </c>
      <c r="Q1004" t="str">
        <f>LOOKUP(P1004,Sheet2!$Z$4:$AA$7)</f>
        <v>36-45</v>
      </c>
      <c r="R1004" s="1">
        <v>1</v>
      </c>
      <c r="S1004" t="str">
        <f>IF(R1004=1,"Positive","Negative")</f>
        <v>Positive</v>
      </c>
      <c r="T1004" s="1" t="str">
        <f>IFERROR(VLOOKUP(A1004,[1]diabetes_Recognition!$A:$B,2,FALSE),"Not Sampled")</f>
        <v>Not Sampled</v>
      </c>
      <c r="U1004" t="str">
        <f>IF(T1004=1,"Positive",(IF(T1004=0,"Negative","Not Sampled")))</f>
        <v>Not Sampled</v>
      </c>
      <c r="V1004" s="1" t="str">
        <f>IF(U1004="Not Sampled","Not Sampled",IF(S1004=U1004,"Accurate Prediction","Inaccurate Prediction"))</f>
        <v>Not Sampled</v>
      </c>
    </row>
    <row r="1005" spans="1:22" x14ac:dyDescent="0.25">
      <c r="A1005" s="1">
        <v>1003</v>
      </c>
      <c r="B1005" s="1">
        <v>5</v>
      </c>
      <c r="C1005" s="1" t="str">
        <f>LOOKUP(B1005,Sheet2!$D$4:$E$9)</f>
        <v>5-7</v>
      </c>
      <c r="D1005" s="1">
        <v>187</v>
      </c>
      <c r="E1005" t="str">
        <f>LOOKUP(D1005,Sheet2!$G$4:$H$9)</f>
        <v>176-200</v>
      </c>
      <c r="F1005" s="1">
        <v>76</v>
      </c>
      <c r="G1005" t="str">
        <f>LOOKUP(F1005,Sheet2!$J$4:$K$8)</f>
        <v>70-79</v>
      </c>
      <c r="H1005" s="1">
        <v>27</v>
      </c>
      <c r="I1005" t="str">
        <f>LOOKUP(H1005,Sheet2!$M$4:$N$8)</f>
        <v>10-30</v>
      </c>
      <c r="J1005" s="1">
        <v>207</v>
      </c>
      <c r="K1005" t="str">
        <f>LOOKUP(J1005,Sheet2!$P$4:$Q$9)</f>
        <v>200-399</v>
      </c>
      <c r="L1005" s="1">
        <v>43.6</v>
      </c>
      <c r="M1005" t="str">
        <f>LOOKUP(L1005,Sheet2!$S$4:$T$8)</f>
        <v>36+</v>
      </c>
      <c r="N1005" s="1">
        <v>1.034</v>
      </c>
      <c r="O1005" t="str">
        <f>LOOKUP(N1005,Sheet2!$V$4:$W$7)</f>
        <v>0.7+</v>
      </c>
      <c r="P1005" s="1">
        <v>53</v>
      </c>
      <c r="Q1005" t="str">
        <f>LOOKUP(P1005,Sheet2!$Z$4:$AA$7)</f>
        <v>46+</v>
      </c>
      <c r="R1005" s="1">
        <v>1</v>
      </c>
      <c r="S1005" t="str">
        <f>IF(R1005=1,"Positive","Negative")</f>
        <v>Positive</v>
      </c>
      <c r="T1005" s="1" t="str">
        <f>IFERROR(VLOOKUP(A1005,[1]diabetes_Recognition!$A:$B,2,FALSE),"Not Sampled")</f>
        <v>Not Sampled</v>
      </c>
      <c r="U1005" t="str">
        <f>IF(T1005=1,"Positive",(IF(T1005=0,"Negative","Not Sampled")))</f>
        <v>Not Sampled</v>
      </c>
      <c r="V1005" s="1" t="str">
        <f>IF(U1005="Not Sampled","Not Sampled",IF(S1005=U1005,"Accurate Prediction","Inaccurate Prediction"))</f>
        <v>Not Sampled</v>
      </c>
    </row>
    <row r="1006" spans="1:22" x14ac:dyDescent="0.25">
      <c r="A1006" s="1">
        <v>1004</v>
      </c>
      <c r="B1006" s="1">
        <v>4</v>
      </c>
      <c r="C1006" s="1" t="str">
        <f>LOOKUP(B1006,Sheet2!$D$4:$E$9)</f>
        <v>3-4</v>
      </c>
      <c r="D1006" s="1">
        <v>131</v>
      </c>
      <c r="E1006" t="str">
        <f>LOOKUP(D1006,Sheet2!$G$4:$H$9)</f>
        <v>126-150</v>
      </c>
      <c r="F1006" s="1">
        <v>68</v>
      </c>
      <c r="G1006" t="str">
        <f>LOOKUP(F1006,Sheet2!$J$4:$K$8)</f>
        <v>60-69</v>
      </c>
      <c r="H1006" s="1">
        <v>21</v>
      </c>
      <c r="I1006" t="str">
        <f>LOOKUP(H1006,Sheet2!$M$4:$N$8)</f>
        <v>10-30</v>
      </c>
      <c r="J1006" s="1">
        <v>166</v>
      </c>
      <c r="K1006" t="str">
        <f>LOOKUP(J1006,Sheet2!$P$4:$Q$9)</f>
        <v>100-199</v>
      </c>
      <c r="L1006" s="1">
        <v>33.1</v>
      </c>
      <c r="M1006" t="str">
        <f>LOOKUP(L1006,Sheet2!$S$4:$T$8)</f>
        <v>31-35</v>
      </c>
      <c r="N1006" s="1">
        <v>0.16</v>
      </c>
      <c r="O1006" t="str">
        <f>LOOKUP(N1006,Sheet2!$V$4:$W$7)</f>
        <v>0.0 - 0.249</v>
      </c>
      <c r="P1006" s="1">
        <v>28</v>
      </c>
      <c r="Q1006" t="str">
        <f>LOOKUP(P1006,Sheet2!$Z$4:$AA$7)</f>
        <v>26-35</v>
      </c>
      <c r="R1006" s="1">
        <v>0</v>
      </c>
      <c r="S1006" t="str">
        <f>IF(R1006=1,"Positive","Negative")</f>
        <v>Negative</v>
      </c>
      <c r="T1006" s="1">
        <f>IFERROR(VLOOKUP(A1006,[1]diabetes_Recognition!$A:$B,2,FALSE),"Not Sampled")</f>
        <v>0</v>
      </c>
      <c r="U1006" t="str">
        <f>IF(T1006=1,"Positive",(IF(T1006=0,"Negative","Not Sampled")))</f>
        <v>Negative</v>
      </c>
      <c r="V1006" s="1" t="str">
        <f>IF(U1006="Not Sampled","Not Sampled",IF(S1006=U1006,"Accurate Prediction","Inaccurate Prediction"))</f>
        <v>Accurate Prediction</v>
      </c>
    </row>
    <row r="1007" spans="1:22" x14ac:dyDescent="0.25">
      <c r="A1007" s="1">
        <v>1005</v>
      </c>
      <c r="B1007" s="1">
        <v>1</v>
      </c>
      <c r="C1007" s="1">
        <f>LOOKUP(B1007,Sheet2!$D$4:$E$9)</f>
        <v>1</v>
      </c>
      <c r="D1007" s="1">
        <v>164</v>
      </c>
      <c r="E1007" t="str">
        <f>LOOKUP(D1007,Sheet2!$G$4:$H$9)</f>
        <v>151-175</v>
      </c>
      <c r="F1007" s="1">
        <v>82</v>
      </c>
      <c r="G1007" t="str">
        <f>LOOKUP(F1007,Sheet2!$J$4:$K$8)</f>
        <v>80+</v>
      </c>
      <c r="H1007" s="1">
        <v>43</v>
      </c>
      <c r="I1007" t="str">
        <f>LOOKUP(H1007,Sheet2!$M$4:$N$8)</f>
        <v>40+</v>
      </c>
      <c r="J1007" s="1">
        <v>67</v>
      </c>
      <c r="K1007" t="str">
        <f>LOOKUP(J1007,Sheet2!$P$4:$Q$9)</f>
        <v>1-99</v>
      </c>
      <c r="L1007" s="1">
        <v>32.799999999999997</v>
      </c>
      <c r="M1007" t="str">
        <f>LOOKUP(L1007,Sheet2!$S$4:$T$8)</f>
        <v>31-35</v>
      </c>
      <c r="N1007" s="1">
        <v>0.34100000000000003</v>
      </c>
      <c r="O1007" t="str">
        <f>LOOKUP(N1007,Sheet2!$V$4:$W$7)</f>
        <v>0.25 - 0.39</v>
      </c>
      <c r="P1007" s="1">
        <v>50</v>
      </c>
      <c r="Q1007" t="str">
        <f>LOOKUP(P1007,Sheet2!$Z$4:$AA$7)</f>
        <v>46+</v>
      </c>
      <c r="R1007" s="1">
        <v>0</v>
      </c>
      <c r="S1007" t="str">
        <f>IF(R1007=1,"Positive","Negative")</f>
        <v>Negative</v>
      </c>
      <c r="T1007" s="1" t="str">
        <f>IFERROR(VLOOKUP(A1007,[1]diabetes_Recognition!$A:$B,2,FALSE),"Not Sampled")</f>
        <v>Not Sampled</v>
      </c>
      <c r="U1007" t="str">
        <f>IF(T1007=1,"Positive",(IF(T1007=0,"Negative","Not Sampled")))</f>
        <v>Not Sampled</v>
      </c>
      <c r="V1007" s="1" t="str">
        <f>IF(U1007="Not Sampled","Not Sampled",IF(S1007=U1007,"Accurate Prediction","Inaccurate Prediction"))</f>
        <v>Not Sampled</v>
      </c>
    </row>
    <row r="1008" spans="1:22" x14ac:dyDescent="0.25">
      <c r="A1008" s="1">
        <v>1006</v>
      </c>
      <c r="B1008" s="1">
        <v>4</v>
      </c>
      <c r="C1008" s="1" t="str">
        <f>LOOKUP(B1008,Sheet2!$D$4:$E$9)</f>
        <v>3-4</v>
      </c>
      <c r="D1008" s="1">
        <v>189</v>
      </c>
      <c r="E1008" t="str">
        <f>LOOKUP(D1008,Sheet2!$G$4:$H$9)</f>
        <v>176-200</v>
      </c>
      <c r="F1008" s="1">
        <v>110</v>
      </c>
      <c r="G1008" t="str">
        <f>LOOKUP(F1008,Sheet2!$J$4:$K$8)</f>
        <v>80+</v>
      </c>
      <c r="H1008" s="1">
        <v>31</v>
      </c>
      <c r="I1008" t="str">
        <f>LOOKUP(H1008,Sheet2!$M$4:$N$8)</f>
        <v>30-39</v>
      </c>
      <c r="J1008" s="1">
        <v>0</v>
      </c>
      <c r="K1008" t="str">
        <f>LOOKUP(J1008,Sheet2!$P$4:$Q$9)</f>
        <v>Unknown</v>
      </c>
      <c r="L1008" s="1">
        <v>28.5</v>
      </c>
      <c r="M1008" t="str">
        <f>LOOKUP(L1008,Sheet2!$S$4:$T$8)</f>
        <v>26-30</v>
      </c>
      <c r="N1008" s="1">
        <v>0.68</v>
      </c>
      <c r="O1008" t="str">
        <f>LOOKUP(N1008,Sheet2!$V$4:$W$7)</f>
        <v>0.4 - 0.69</v>
      </c>
      <c r="P1008" s="1">
        <v>37</v>
      </c>
      <c r="Q1008" t="str">
        <f>LOOKUP(P1008,Sheet2!$Z$4:$AA$7)</f>
        <v>36-45</v>
      </c>
      <c r="R1008" s="1">
        <v>0</v>
      </c>
      <c r="S1008" t="str">
        <f>IF(R1008=1,"Positive","Negative")</f>
        <v>Negative</v>
      </c>
      <c r="T1008" s="1">
        <f>IFERROR(VLOOKUP(A1008,[1]diabetes_Recognition!$A:$B,2,FALSE),"Not Sampled")</f>
        <v>1</v>
      </c>
      <c r="U1008" t="str">
        <f>IF(T1008=1,"Positive",(IF(T1008=0,"Negative","Not Sampled")))</f>
        <v>Positive</v>
      </c>
      <c r="V1008" s="1" t="str">
        <f>IF(U1008="Not Sampled","Not Sampled",IF(S1008=U1008,"Accurate Prediction","Inaccurate Prediction"))</f>
        <v>Inaccurate Prediction</v>
      </c>
    </row>
    <row r="1009" spans="1:22" x14ac:dyDescent="0.25">
      <c r="A1009" s="1">
        <v>1007</v>
      </c>
      <c r="B1009" s="1">
        <v>1</v>
      </c>
      <c r="C1009" s="1">
        <f>LOOKUP(B1009,Sheet2!$D$4:$E$9)</f>
        <v>1</v>
      </c>
      <c r="D1009" s="1">
        <v>116</v>
      </c>
      <c r="E1009" t="str">
        <f>LOOKUP(D1009,Sheet2!$G$4:$H$9)</f>
        <v>100-125</v>
      </c>
      <c r="F1009" s="1">
        <v>70</v>
      </c>
      <c r="G1009" t="str">
        <f>LOOKUP(F1009,Sheet2!$J$4:$K$8)</f>
        <v>70-79</v>
      </c>
      <c r="H1009" s="1">
        <v>28</v>
      </c>
      <c r="I1009" t="str">
        <f>LOOKUP(H1009,Sheet2!$M$4:$N$8)</f>
        <v>10-30</v>
      </c>
      <c r="J1009" s="1">
        <v>0</v>
      </c>
      <c r="K1009" t="str">
        <f>LOOKUP(J1009,Sheet2!$P$4:$Q$9)</f>
        <v>Unknown</v>
      </c>
      <c r="L1009" s="1">
        <v>27.4</v>
      </c>
      <c r="M1009" t="str">
        <f>LOOKUP(L1009,Sheet2!$S$4:$T$8)</f>
        <v>26-30</v>
      </c>
      <c r="N1009" s="1">
        <v>0.20399999999999999</v>
      </c>
      <c r="O1009" t="str">
        <f>LOOKUP(N1009,Sheet2!$V$4:$W$7)</f>
        <v>0.0 - 0.249</v>
      </c>
      <c r="P1009" s="1">
        <v>21</v>
      </c>
      <c r="Q1009" t="str">
        <f>LOOKUP(P1009,Sheet2!$Z$4:$AA$7)</f>
        <v>&lt;=25</v>
      </c>
      <c r="R1009" s="1">
        <v>0</v>
      </c>
      <c r="S1009" t="str">
        <f>IF(R1009=1,"Positive","Negative")</f>
        <v>Negative</v>
      </c>
      <c r="T1009" s="1" t="str">
        <f>IFERROR(VLOOKUP(A1009,[1]diabetes_Recognition!$A:$B,2,FALSE),"Not Sampled")</f>
        <v>Not Sampled</v>
      </c>
      <c r="U1009" t="str">
        <f>IF(T1009=1,"Positive",(IF(T1009=0,"Negative","Not Sampled")))</f>
        <v>Not Sampled</v>
      </c>
      <c r="V1009" s="1" t="str">
        <f>IF(U1009="Not Sampled","Not Sampled",IF(S1009=U1009,"Accurate Prediction","Inaccurate Prediction"))</f>
        <v>Not Sampled</v>
      </c>
    </row>
    <row r="1010" spans="1:22" x14ac:dyDescent="0.25">
      <c r="A1010" s="1">
        <v>1008</v>
      </c>
      <c r="B1010" s="1">
        <v>3</v>
      </c>
      <c r="C1010" s="1" t="str">
        <f>LOOKUP(B1010,Sheet2!$D$4:$E$9)</f>
        <v>3-4</v>
      </c>
      <c r="D1010" s="1">
        <v>84</v>
      </c>
      <c r="E1010" t="str">
        <f>LOOKUP(D1010,Sheet2!$G$4:$H$9)</f>
        <v>1-99</v>
      </c>
      <c r="F1010" s="1">
        <v>68</v>
      </c>
      <c r="G1010" t="str">
        <f>LOOKUP(F1010,Sheet2!$J$4:$K$8)</f>
        <v>60-69</v>
      </c>
      <c r="H1010" s="1">
        <v>30</v>
      </c>
      <c r="I1010" t="str">
        <f>LOOKUP(H1010,Sheet2!$M$4:$N$8)</f>
        <v>30-39</v>
      </c>
      <c r="J1010" s="1">
        <v>106</v>
      </c>
      <c r="K1010" t="str">
        <f>LOOKUP(J1010,Sheet2!$P$4:$Q$9)</f>
        <v>100-199</v>
      </c>
      <c r="L1010" s="1">
        <v>31.9</v>
      </c>
      <c r="M1010" t="str">
        <f>LOOKUP(L1010,Sheet2!$S$4:$T$8)</f>
        <v>31-35</v>
      </c>
      <c r="N1010" s="1">
        <v>0.59099999999999997</v>
      </c>
      <c r="O1010" t="str">
        <f>LOOKUP(N1010,Sheet2!$V$4:$W$7)</f>
        <v>0.4 - 0.69</v>
      </c>
      <c r="P1010" s="1">
        <v>25</v>
      </c>
      <c r="Q1010" t="str">
        <f>LOOKUP(P1010,Sheet2!$Z$4:$AA$7)</f>
        <v>&lt;=25</v>
      </c>
      <c r="R1010" s="1">
        <v>0</v>
      </c>
      <c r="S1010" t="str">
        <f>IF(R1010=1,"Positive","Negative")</f>
        <v>Negative</v>
      </c>
      <c r="T1010" s="1">
        <f>IFERROR(VLOOKUP(A1010,[1]diabetes_Recognition!$A:$B,2,FALSE),"Not Sampled")</f>
        <v>0</v>
      </c>
      <c r="U1010" t="str">
        <f>IF(T1010=1,"Positive",(IF(T1010=0,"Negative","Not Sampled")))</f>
        <v>Negative</v>
      </c>
      <c r="V1010" s="1" t="str">
        <f>IF(U1010="Not Sampled","Not Sampled",IF(S1010=U1010,"Accurate Prediction","Inaccurate Prediction"))</f>
        <v>Accurate Prediction</v>
      </c>
    </row>
    <row r="1011" spans="1:22" x14ac:dyDescent="0.25">
      <c r="A1011" s="1">
        <v>1009</v>
      </c>
      <c r="B1011" s="1">
        <v>6</v>
      </c>
      <c r="C1011" s="1" t="str">
        <f>LOOKUP(B1011,Sheet2!$D$4:$E$9)</f>
        <v>5-7</v>
      </c>
      <c r="D1011" s="1">
        <v>114</v>
      </c>
      <c r="E1011" t="str">
        <f>LOOKUP(D1011,Sheet2!$G$4:$H$9)</f>
        <v>100-125</v>
      </c>
      <c r="F1011" s="1">
        <v>88</v>
      </c>
      <c r="G1011" t="str">
        <f>LOOKUP(F1011,Sheet2!$J$4:$K$8)</f>
        <v>80+</v>
      </c>
      <c r="H1011" s="1">
        <v>0</v>
      </c>
      <c r="I1011" t="str">
        <f>LOOKUP(H1011,Sheet2!$M$4:$N$8)</f>
        <v>Unknown</v>
      </c>
      <c r="J1011" s="1">
        <v>0</v>
      </c>
      <c r="K1011" t="str">
        <f>LOOKUP(J1011,Sheet2!$P$4:$Q$9)</f>
        <v>Unknown</v>
      </c>
      <c r="L1011" s="1">
        <v>27.8</v>
      </c>
      <c r="M1011" t="str">
        <f>LOOKUP(L1011,Sheet2!$S$4:$T$8)</f>
        <v>26-30</v>
      </c>
      <c r="N1011" s="1">
        <v>0.247</v>
      </c>
      <c r="O1011" t="str">
        <f>LOOKUP(N1011,Sheet2!$V$4:$W$7)</f>
        <v>0.0 - 0.249</v>
      </c>
      <c r="P1011" s="1">
        <v>66</v>
      </c>
      <c r="Q1011" t="str">
        <f>LOOKUP(P1011,Sheet2!$Z$4:$AA$7)</f>
        <v>46+</v>
      </c>
      <c r="R1011" s="1">
        <v>0</v>
      </c>
      <c r="S1011" t="str">
        <f>IF(R1011=1,"Positive","Negative")</f>
        <v>Negative</v>
      </c>
      <c r="T1011" s="1">
        <f>IFERROR(VLOOKUP(A1011,[1]diabetes_Recognition!$A:$B,2,FALSE),"Not Sampled")</f>
        <v>0</v>
      </c>
      <c r="U1011" t="str">
        <f>IF(T1011=1,"Positive",(IF(T1011=0,"Negative","Not Sampled")))</f>
        <v>Negative</v>
      </c>
      <c r="V1011" s="1" t="str">
        <f>IF(U1011="Not Sampled","Not Sampled",IF(S1011=U1011,"Accurate Prediction","Inaccurate Prediction"))</f>
        <v>Accurate Prediction</v>
      </c>
    </row>
    <row r="1012" spans="1:22" x14ac:dyDescent="0.25">
      <c r="A1012" s="1">
        <v>1010</v>
      </c>
      <c r="B1012" s="1">
        <v>1</v>
      </c>
      <c r="C1012" s="1">
        <f>LOOKUP(B1012,Sheet2!$D$4:$E$9)</f>
        <v>1</v>
      </c>
      <c r="D1012" s="1">
        <v>88</v>
      </c>
      <c r="E1012" t="str">
        <f>LOOKUP(D1012,Sheet2!$G$4:$H$9)</f>
        <v>1-99</v>
      </c>
      <c r="F1012" s="1">
        <v>62</v>
      </c>
      <c r="G1012" t="str">
        <f>LOOKUP(F1012,Sheet2!$J$4:$K$8)</f>
        <v>60-69</v>
      </c>
      <c r="H1012" s="1">
        <v>24</v>
      </c>
      <c r="I1012" t="str">
        <f>LOOKUP(H1012,Sheet2!$M$4:$N$8)</f>
        <v>10-30</v>
      </c>
      <c r="J1012" s="1">
        <v>44</v>
      </c>
      <c r="K1012" t="str">
        <f>LOOKUP(J1012,Sheet2!$P$4:$Q$9)</f>
        <v>1-99</v>
      </c>
      <c r="L1012" s="1">
        <v>29.9</v>
      </c>
      <c r="M1012" t="str">
        <f>LOOKUP(L1012,Sheet2!$S$4:$T$8)</f>
        <v>26-30</v>
      </c>
      <c r="N1012" s="1">
        <v>0.42199999999999999</v>
      </c>
      <c r="O1012" t="str">
        <f>LOOKUP(N1012,Sheet2!$V$4:$W$7)</f>
        <v>0.4 - 0.69</v>
      </c>
      <c r="P1012" s="1">
        <v>23</v>
      </c>
      <c r="Q1012" t="str">
        <f>LOOKUP(P1012,Sheet2!$Z$4:$AA$7)</f>
        <v>&lt;=25</v>
      </c>
      <c r="R1012" s="1">
        <v>0</v>
      </c>
      <c r="S1012" t="str">
        <f>IF(R1012=1,"Positive","Negative")</f>
        <v>Negative</v>
      </c>
      <c r="T1012" s="1" t="str">
        <f>IFERROR(VLOOKUP(A1012,[1]diabetes_Recognition!$A:$B,2,FALSE),"Not Sampled")</f>
        <v>Not Sampled</v>
      </c>
      <c r="U1012" t="str">
        <f>IF(T1012=1,"Positive",(IF(T1012=0,"Negative","Not Sampled")))</f>
        <v>Not Sampled</v>
      </c>
      <c r="V1012" s="1" t="str">
        <f>IF(U1012="Not Sampled","Not Sampled",IF(S1012=U1012,"Accurate Prediction","Inaccurate Prediction"))</f>
        <v>Not Sampled</v>
      </c>
    </row>
    <row r="1013" spans="1:22" x14ac:dyDescent="0.25">
      <c r="A1013" s="1">
        <v>1011</v>
      </c>
      <c r="B1013" s="1">
        <v>1</v>
      </c>
      <c r="C1013" s="1">
        <f>LOOKUP(B1013,Sheet2!$D$4:$E$9)</f>
        <v>1</v>
      </c>
      <c r="D1013" s="1">
        <v>84</v>
      </c>
      <c r="E1013" t="str">
        <f>LOOKUP(D1013,Sheet2!$G$4:$H$9)</f>
        <v>1-99</v>
      </c>
      <c r="F1013" s="1">
        <v>64</v>
      </c>
      <c r="G1013" t="str">
        <f>LOOKUP(F1013,Sheet2!$J$4:$K$8)</f>
        <v>60-69</v>
      </c>
      <c r="H1013" s="1">
        <v>23</v>
      </c>
      <c r="I1013" t="str">
        <f>LOOKUP(H1013,Sheet2!$M$4:$N$8)</f>
        <v>10-30</v>
      </c>
      <c r="J1013" s="1">
        <v>115</v>
      </c>
      <c r="K1013" t="str">
        <f>LOOKUP(J1013,Sheet2!$P$4:$Q$9)</f>
        <v>100-199</v>
      </c>
      <c r="L1013" s="1">
        <v>36.9</v>
      </c>
      <c r="M1013" t="str">
        <f>LOOKUP(L1013,Sheet2!$S$4:$T$8)</f>
        <v>36+</v>
      </c>
      <c r="N1013" s="1">
        <v>0.47099999999999997</v>
      </c>
      <c r="O1013" t="str">
        <f>LOOKUP(N1013,Sheet2!$V$4:$W$7)</f>
        <v>0.4 - 0.69</v>
      </c>
      <c r="P1013" s="1">
        <v>28</v>
      </c>
      <c r="Q1013" t="str">
        <f>LOOKUP(P1013,Sheet2!$Z$4:$AA$7)</f>
        <v>26-35</v>
      </c>
      <c r="R1013" s="1">
        <v>0</v>
      </c>
      <c r="S1013" t="str">
        <f>IF(R1013=1,"Positive","Negative")</f>
        <v>Negative</v>
      </c>
      <c r="T1013" s="1" t="str">
        <f>IFERROR(VLOOKUP(A1013,[1]diabetes_Recognition!$A:$B,2,FALSE),"Not Sampled")</f>
        <v>Not Sampled</v>
      </c>
      <c r="U1013" t="str">
        <f>IF(T1013=1,"Positive",(IF(T1013=0,"Negative","Not Sampled")))</f>
        <v>Not Sampled</v>
      </c>
      <c r="V1013" s="1" t="str">
        <f>IF(U1013="Not Sampled","Not Sampled",IF(S1013=U1013,"Accurate Prediction","Inaccurate Prediction"))</f>
        <v>Not Sampled</v>
      </c>
    </row>
    <row r="1014" spans="1:22" x14ac:dyDescent="0.25">
      <c r="A1014" s="1">
        <v>1012</v>
      </c>
      <c r="B1014" s="1">
        <v>7</v>
      </c>
      <c r="C1014" s="1" t="str">
        <f>LOOKUP(B1014,Sheet2!$D$4:$E$9)</f>
        <v>5-7</v>
      </c>
      <c r="D1014" s="1">
        <v>124</v>
      </c>
      <c r="E1014" t="str">
        <f>LOOKUP(D1014,Sheet2!$G$4:$H$9)</f>
        <v>100-125</v>
      </c>
      <c r="F1014" s="1">
        <v>70</v>
      </c>
      <c r="G1014" t="str">
        <f>LOOKUP(F1014,Sheet2!$J$4:$K$8)</f>
        <v>70-79</v>
      </c>
      <c r="H1014" s="1">
        <v>33</v>
      </c>
      <c r="I1014" t="str">
        <f>LOOKUP(H1014,Sheet2!$M$4:$N$8)</f>
        <v>30-39</v>
      </c>
      <c r="J1014" s="1">
        <v>215</v>
      </c>
      <c r="K1014" t="str">
        <f>LOOKUP(J1014,Sheet2!$P$4:$Q$9)</f>
        <v>200-399</v>
      </c>
      <c r="L1014" s="1">
        <v>25.5</v>
      </c>
      <c r="M1014" t="str">
        <f>LOOKUP(L1014,Sheet2!$S$4:$T$8)</f>
        <v>1-25</v>
      </c>
      <c r="N1014" s="1">
        <v>0.161</v>
      </c>
      <c r="O1014" t="str">
        <f>LOOKUP(N1014,Sheet2!$V$4:$W$7)</f>
        <v>0.0 - 0.249</v>
      </c>
      <c r="P1014" s="1">
        <v>37</v>
      </c>
      <c r="Q1014" t="str">
        <f>LOOKUP(P1014,Sheet2!$Z$4:$AA$7)</f>
        <v>36-45</v>
      </c>
      <c r="R1014" s="1">
        <v>0</v>
      </c>
      <c r="S1014" t="str">
        <f>IF(R1014=1,"Positive","Negative")</f>
        <v>Negative</v>
      </c>
      <c r="T1014" s="1" t="str">
        <f>IFERROR(VLOOKUP(A1014,[1]diabetes_Recognition!$A:$B,2,FALSE),"Not Sampled")</f>
        <v>Not Sampled</v>
      </c>
      <c r="U1014" t="str">
        <f>IF(T1014=1,"Positive",(IF(T1014=0,"Negative","Not Sampled")))</f>
        <v>Not Sampled</v>
      </c>
      <c r="V1014" s="1" t="str">
        <f>IF(U1014="Not Sampled","Not Sampled",IF(S1014=U1014,"Accurate Prediction","Inaccurate Prediction"))</f>
        <v>Not Sampled</v>
      </c>
    </row>
    <row r="1015" spans="1:22" x14ac:dyDescent="0.25">
      <c r="A1015" s="1">
        <v>1013</v>
      </c>
      <c r="B1015" s="1">
        <v>1</v>
      </c>
      <c r="C1015" s="1">
        <f>LOOKUP(B1015,Sheet2!$D$4:$E$9)</f>
        <v>1</v>
      </c>
      <c r="D1015" s="1">
        <v>97</v>
      </c>
      <c r="E1015" t="str">
        <f>LOOKUP(D1015,Sheet2!$G$4:$H$9)</f>
        <v>1-99</v>
      </c>
      <c r="F1015" s="1">
        <v>70</v>
      </c>
      <c r="G1015" t="str">
        <f>LOOKUP(F1015,Sheet2!$J$4:$K$8)</f>
        <v>70-79</v>
      </c>
      <c r="H1015" s="1">
        <v>40</v>
      </c>
      <c r="I1015" t="str">
        <f>LOOKUP(H1015,Sheet2!$M$4:$N$8)</f>
        <v>40+</v>
      </c>
      <c r="J1015" s="1">
        <v>0</v>
      </c>
      <c r="K1015" t="str">
        <f>LOOKUP(J1015,Sheet2!$P$4:$Q$9)</f>
        <v>Unknown</v>
      </c>
      <c r="L1015" s="1">
        <v>38.1</v>
      </c>
      <c r="M1015" t="str">
        <f>LOOKUP(L1015,Sheet2!$S$4:$T$8)</f>
        <v>36+</v>
      </c>
      <c r="N1015" s="1">
        <v>0.218</v>
      </c>
      <c r="O1015" t="str">
        <f>LOOKUP(N1015,Sheet2!$V$4:$W$7)</f>
        <v>0.0 - 0.249</v>
      </c>
      <c r="P1015" s="1">
        <v>30</v>
      </c>
      <c r="Q1015" t="str">
        <f>LOOKUP(P1015,Sheet2!$Z$4:$AA$7)</f>
        <v>26-35</v>
      </c>
      <c r="R1015" s="1">
        <v>0</v>
      </c>
      <c r="S1015" t="str">
        <f>IF(R1015=1,"Positive","Negative")</f>
        <v>Negative</v>
      </c>
      <c r="T1015" s="1" t="str">
        <f>IFERROR(VLOOKUP(A1015,[1]diabetes_Recognition!$A:$B,2,FALSE),"Not Sampled")</f>
        <v>Not Sampled</v>
      </c>
      <c r="U1015" t="str">
        <f>IF(T1015=1,"Positive",(IF(T1015=0,"Negative","Not Sampled")))</f>
        <v>Not Sampled</v>
      </c>
      <c r="V1015" s="1" t="str">
        <f>IF(U1015="Not Sampled","Not Sampled",IF(S1015=U1015,"Accurate Prediction","Inaccurate Prediction"))</f>
        <v>Not Sampled</v>
      </c>
    </row>
    <row r="1016" spans="1:22" x14ac:dyDescent="0.25">
      <c r="A1016" s="1">
        <v>1014</v>
      </c>
      <c r="B1016" s="1">
        <v>8</v>
      </c>
      <c r="C1016" s="1" t="str">
        <f>LOOKUP(B1016,Sheet2!$D$4:$E$9)</f>
        <v>8+</v>
      </c>
      <c r="D1016" s="1">
        <v>110</v>
      </c>
      <c r="E1016" t="str">
        <f>LOOKUP(D1016,Sheet2!$G$4:$H$9)</f>
        <v>100-125</v>
      </c>
      <c r="F1016" s="1">
        <v>76</v>
      </c>
      <c r="G1016" t="str">
        <f>LOOKUP(F1016,Sheet2!$J$4:$K$8)</f>
        <v>70-79</v>
      </c>
      <c r="H1016" s="1">
        <v>0</v>
      </c>
      <c r="I1016" t="str">
        <f>LOOKUP(H1016,Sheet2!$M$4:$N$8)</f>
        <v>Unknown</v>
      </c>
      <c r="J1016" s="1">
        <v>0</v>
      </c>
      <c r="K1016" t="str">
        <f>LOOKUP(J1016,Sheet2!$P$4:$Q$9)</f>
        <v>Unknown</v>
      </c>
      <c r="L1016" s="1">
        <v>27.8</v>
      </c>
      <c r="M1016" t="str">
        <f>LOOKUP(L1016,Sheet2!$S$4:$T$8)</f>
        <v>26-30</v>
      </c>
      <c r="N1016" s="1">
        <v>0.23699999999999999</v>
      </c>
      <c r="O1016" t="str">
        <f>LOOKUP(N1016,Sheet2!$V$4:$W$7)</f>
        <v>0.0 - 0.249</v>
      </c>
      <c r="P1016" s="1">
        <v>58</v>
      </c>
      <c r="Q1016" t="str">
        <f>LOOKUP(P1016,Sheet2!$Z$4:$AA$7)</f>
        <v>46+</v>
      </c>
      <c r="R1016" s="1">
        <v>0</v>
      </c>
      <c r="S1016" t="str">
        <f>IF(R1016=1,"Positive","Negative")</f>
        <v>Negative</v>
      </c>
      <c r="T1016" s="1" t="str">
        <f>IFERROR(VLOOKUP(A1016,[1]diabetes_Recognition!$A:$B,2,FALSE),"Not Sampled")</f>
        <v>Not Sampled</v>
      </c>
      <c r="U1016" t="str">
        <f>IF(T1016=1,"Positive",(IF(T1016=0,"Negative","Not Sampled")))</f>
        <v>Not Sampled</v>
      </c>
      <c r="V1016" s="1" t="str">
        <f>IF(U1016="Not Sampled","Not Sampled",IF(S1016=U1016,"Accurate Prediction","Inaccurate Prediction"))</f>
        <v>Not Sampled</v>
      </c>
    </row>
    <row r="1017" spans="1:22" x14ac:dyDescent="0.25">
      <c r="A1017" s="1">
        <v>1015</v>
      </c>
      <c r="B1017" s="1">
        <v>11</v>
      </c>
      <c r="C1017" s="1" t="str">
        <f>LOOKUP(B1017,Sheet2!$D$4:$E$9)</f>
        <v>8+</v>
      </c>
      <c r="D1017" s="1">
        <v>103</v>
      </c>
      <c r="E1017" t="str">
        <f>LOOKUP(D1017,Sheet2!$G$4:$H$9)</f>
        <v>100-125</v>
      </c>
      <c r="F1017" s="1">
        <v>68</v>
      </c>
      <c r="G1017" t="str">
        <f>LOOKUP(F1017,Sheet2!$J$4:$K$8)</f>
        <v>60-69</v>
      </c>
      <c r="H1017" s="1">
        <v>40</v>
      </c>
      <c r="I1017" t="str">
        <f>LOOKUP(H1017,Sheet2!$M$4:$N$8)</f>
        <v>40+</v>
      </c>
      <c r="J1017" s="1">
        <v>0</v>
      </c>
      <c r="K1017" t="str">
        <f>LOOKUP(J1017,Sheet2!$P$4:$Q$9)</f>
        <v>Unknown</v>
      </c>
      <c r="L1017" s="1">
        <v>46.2</v>
      </c>
      <c r="M1017" t="str">
        <f>LOOKUP(L1017,Sheet2!$S$4:$T$8)</f>
        <v>36+</v>
      </c>
      <c r="N1017" s="1">
        <v>0.126</v>
      </c>
      <c r="O1017" t="str">
        <f>LOOKUP(N1017,Sheet2!$V$4:$W$7)</f>
        <v>0.0 - 0.249</v>
      </c>
      <c r="P1017" s="1">
        <v>42</v>
      </c>
      <c r="Q1017" t="str">
        <f>LOOKUP(P1017,Sheet2!$Z$4:$AA$7)</f>
        <v>36-45</v>
      </c>
      <c r="R1017" s="1">
        <v>0</v>
      </c>
      <c r="S1017" t="str">
        <f>IF(R1017=1,"Positive","Negative")</f>
        <v>Negative</v>
      </c>
      <c r="T1017" s="1">
        <f>IFERROR(VLOOKUP(A1017,[1]diabetes_Recognition!$A:$B,2,FALSE),"Not Sampled")</f>
        <v>1</v>
      </c>
      <c r="U1017" t="str">
        <f>IF(T1017=1,"Positive",(IF(T1017=0,"Negative","Not Sampled")))</f>
        <v>Positive</v>
      </c>
      <c r="V1017" s="1" t="str">
        <f>IF(U1017="Not Sampled","Not Sampled",IF(S1017=U1017,"Accurate Prediction","Inaccurate Prediction"))</f>
        <v>Inaccurate Prediction</v>
      </c>
    </row>
    <row r="1018" spans="1:22" x14ac:dyDescent="0.25">
      <c r="A1018" s="1">
        <v>1016</v>
      </c>
      <c r="B1018" s="1">
        <v>11</v>
      </c>
      <c r="C1018" s="1" t="str">
        <f>LOOKUP(B1018,Sheet2!$D$4:$E$9)</f>
        <v>8+</v>
      </c>
      <c r="D1018" s="1">
        <v>85</v>
      </c>
      <c r="E1018" t="str">
        <f>LOOKUP(D1018,Sheet2!$G$4:$H$9)</f>
        <v>1-99</v>
      </c>
      <c r="F1018" s="1">
        <v>74</v>
      </c>
      <c r="G1018" t="str">
        <f>LOOKUP(F1018,Sheet2!$J$4:$K$8)</f>
        <v>70-79</v>
      </c>
      <c r="H1018" s="1">
        <v>0</v>
      </c>
      <c r="I1018" t="str">
        <f>LOOKUP(H1018,Sheet2!$M$4:$N$8)</f>
        <v>Unknown</v>
      </c>
      <c r="J1018" s="1">
        <v>0</v>
      </c>
      <c r="K1018" t="str">
        <f>LOOKUP(J1018,Sheet2!$P$4:$Q$9)</f>
        <v>Unknown</v>
      </c>
      <c r="L1018" s="1">
        <v>30.1</v>
      </c>
      <c r="M1018" t="str">
        <f>LOOKUP(L1018,Sheet2!$S$4:$T$8)</f>
        <v>26-30</v>
      </c>
      <c r="N1018" s="1">
        <v>0.3</v>
      </c>
      <c r="O1018" t="str">
        <f>LOOKUP(N1018,Sheet2!$V$4:$W$7)</f>
        <v>0.25 - 0.39</v>
      </c>
      <c r="P1018" s="1">
        <v>35</v>
      </c>
      <c r="Q1018" t="str">
        <f>LOOKUP(P1018,Sheet2!$Z$4:$AA$7)</f>
        <v>26-35</v>
      </c>
      <c r="R1018" s="1">
        <v>0</v>
      </c>
      <c r="S1018" t="str">
        <f>IF(R1018=1,"Positive","Negative")</f>
        <v>Negative</v>
      </c>
      <c r="T1018" s="1" t="str">
        <f>IFERROR(VLOOKUP(A1018,[1]diabetes_Recognition!$A:$B,2,FALSE),"Not Sampled")</f>
        <v>Not Sampled</v>
      </c>
      <c r="U1018" t="str">
        <f>IF(T1018=1,"Positive",(IF(T1018=0,"Negative","Not Sampled")))</f>
        <v>Not Sampled</v>
      </c>
      <c r="V1018" s="1" t="str">
        <f>IF(U1018="Not Sampled","Not Sampled",IF(S1018=U1018,"Accurate Prediction","Inaccurate Prediction"))</f>
        <v>Not Sampled</v>
      </c>
    </row>
    <row r="1019" spans="1:22" x14ac:dyDescent="0.25">
      <c r="A1019" s="1">
        <v>1017</v>
      </c>
      <c r="B1019" s="1">
        <v>6</v>
      </c>
      <c r="C1019" s="1" t="str">
        <f>LOOKUP(B1019,Sheet2!$D$4:$E$9)</f>
        <v>5-7</v>
      </c>
      <c r="D1019" s="1">
        <v>125</v>
      </c>
      <c r="E1019" t="str">
        <f>LOOKUP(D1019,Sheet2!$G$4:$H$9)</f>
        <v>100-125</v>
      </c>
      <c r="F1019" s="1">
        <v>76</v>
      </c>
      <c r="G1019" t="str">
        <f>LOOKUP(F1019,Sheet2!$J$4:$K$8)</f>
        <v>70-79</v>
      </c>
      <c r="H1019" s="1">
        <v>0</v>
      </c>
      <c r="I1019" t="str">
        <f>LOOKUP(H1019,Sheet2!$M$4:$N$8)</f>
        <v>Unknown</v>
      </c>
      <c r="J1019" s="1">
        <v>0</v>
      </c>
      <c r="K1019" t="str">
        <f>LOOKUP(J1019,Sheet2!$P$4:$Q$9)</f>
        <v>Unknown</v>
      </c>
      <c r="L1019" s="1">
        <v>33.799999999999997</v>
      </c>
      <c r="M1019" t="str">
        <f>LOOKUP(L1019,Sheet2!$S$4:$T$8)</f>
        <v>31-35</v>
      </c>
      <c r="N1019" s="1">
        <v>0.121</v>
      </c>
      <c r="O1019" t="str">
        <f>LOOKUP(N1019,Sheet2!$V$4:$W$7)</f>
        <v>0.0 - 0.249</v>
      </c>
      <c r="P1019" s="1">
        <v>54</v>
      </c>
      <c r="Q1019" t="str">
        <f>LOOKUP(P1019,Sheet2!$Z$4:$AA$7)</f>
        <v>46+</v>
      </c>
      <c r="R1019" s="1">
        <v>1</v>
      </c>
      <c r="S1019" t="str">
        <f>IF(R1019=1,"Positive","Negative")</f>
        <v>Positive</v>
      </c>
      <c r="T1019" s="1">
        <f>IFERROR(VLOOKUP(A1019,[1]diabetes_Recognition!$A:$B,2,FALSE),"Not Sampled")</f>
        <v>0</v>
      </c>
      <c r="U1019" t="str">
        <f>IF(T1019=1,"Positive",(IF(T1019=0,"Negative","Not Sampled")))</f>
        <v>Negative</v>
      </c>
      <c r="V1019" s="1" t="str">
        <f>IF(U1019="Not Sampled","Not Sampled",IF(S1019=U1019,"Accurate Prediction","Inaccurate Prediction"))</f>
        <v>Inaccurate Prediction</v>
      </c>
    </row>
    <row r="1020" spans="1:22" x14ac:dyDescent="0.25">
      <c r="A1020" s="1">
        <v>1018</v>
      </c>
      <c r="B1020" s="1">
        <v>0</v>
      </c>
      <c r="C1020" s="1">
        <f>LOOKUP(B1020,Sheet2!$D$4:$E$9)</f>
        <v>0</v>
      </c>
      <c r="D1020" s="1">
        <v>198</v>
      </c>
      <c r="E1020" t="str">
        <f>LOOKUP(D1020,Sheet2!$G$4:$H$9)</f>
        <v>176-200</v>
      </c>
      <c r="F1020" s="1">
        <v>66</v>
      </c>
      <c r="G1020" t="str">
        <f>LOOKUP(F1020,Sheet2!$J$4:$K$8)</f>
        <v>60-69</v>
      </c>
      <c r="H1020" s="1">
        <v>32</v>
      </c>
      <c r="I1020" t="str">
        <f>LOOKUP(H1020,Sheet2!$M$4:$N$8)</f>
        <v>30-39</v>
      </c>
      <c r="J1020" s="1">
        <v>274</v>
      </c>
      <c r="K1020" t="str">
        <f>LOOKUP(J1020,Sheet2!$P$4:$Q$9)</f>
        <v>200-399</v>
      </c>
      <c r="L1020" s="1">
        <v>41.3</v>
      </c>
      <c r="M1020" t="str">
        <f>LOOKUP(L1020,Sheet2!$S$4:$T$8)</f>
        <v>36+</v>
      </c>
      <c r="N1020" s="1">
        <v>0.502</v>
      </c>
      <c r="O1020" t="str">
        <f>LOOKUP(N1020,Sheet2!$V$4:$W$7)</f>
        <v>0.4 - 0.69</v>
      </c>
      <c r="P1020" s="1">
        <v>28</v>
      </c>
      <c r="Q1020" t="str">
        <f>LOOKUP(P1020,Sheet2!$Z$4:$AA$7)</f>
        <v>26-35</v>
      </c>
      <c r="R1020" s="1">
        <v>1</v>
      </c>
      <c r="S1020" t="str">
        <f>IF(R1020=1,"Positive","Negative")</f>
        <v>Positive</v>
      </c>
      <c r="T1020" s="1" t="str">
        <f>IFERROR(VLOOKUP(A1020,[1]diabetes_Recognition!$A:$B,2,FALSE),"Not Sampled")</f>
        <v>Not Sampled</v>
      </c>
      <c r="U1020" t="str">
        <f>IF(T1020=1,"Positive",(IF(T1020=0,"Negative","Not Sampled")))</f>
        <v>Not Sampled</v>
      </c>
      <c r="V1020" s="1" t="str">
        <f>IF(U1020="Not Sampled","Not Sampled",IF(S1020=U1020,"Accurate Prediction","Inaccurate Prediction"))</f>
        <v>Not Sampled</v>
      </c>
    </row>
    <row r="1021" spans="1:22" x14ac:dyDescent="0.25">
      <c r="A1021" s="1">
        <v>1019</v>
      </c>
      <c r="B1021" s="1">
        <v>1</v>
      </c>
      <c r="C1021" s="1">
        <f>LOOKUP(B1021,Sheet2!$D$4:$E$9)</f>
        <v>1</v>
      </c>
      <c r="D1021" s="1">
        <v>87</v>
      </c>
      <c r="E1021" t="str">
        <f>LOOKUP(D1021,Sheet2!$G$4:$H$9)</f>
        <v>1-99</v>
      </c>
      <c r="F1021" s="1">
        <v>68</v>
      </c>
      <c r="G1021" t="str">
        <f>LOOKUP(F1021,Sheet2!$J$4:$K$8)</f>
        <v>60-69</v>
      </c>
      <c r="H1021" s="1">
        <v>34</v>
      </c>
      <c r="I1021" t="str">
        <f>LOOKUP(H1021,Sheet2!$M$4:$N$8)</f>
        <v>30-39</v>
      </c>
      <c r="J1021" s="1">
        <v>77</v>
      </c>
      <c r="K1021" t="str">
        <f>LOOKUP(J1021,Sheet2!$P$4:$Q$9)</f>
        <v>1-99</v>
      </c>
      <c r="L1021" s="1">
        <v>37.6</v>
      </c>
      <c r="M1021" t="str">
        <f>LOOKUP(L1021,Sheet2!$S$4:$T$8)</f>
        <v>36+</v>
      </c>
      <c r="N1021" s="1">
        <v>0.40100000000000002</v>
      </c>
      <c r="O1021" t="str">
        <f>LOOKUP(N1021,Sheet2!$V$4:$W$7)</f>
        <v>0.4 - 0.69</v>
      </c>
      <c r="P1021" s="1">
        <v>24</v>
      </c>
      <c r="Q1021" t="str">
        <f>LOOKUP(P1021,Sheet2!$Z$4:$AA$7)</f>
        <v>&lt;=25</v>
      </c>
      <c r="R1021" s="1">
        <v>0</v>
      </c>
      <c r="S1021" t="str">
        <f>IF(R1021=1,"Positive","Negative")</f>
        <v>Negative</v>
      </c>
      <c r="T1021" s="1" t="str">
        <f>IFERROR(VLOOKUP(A1021,[1]diabetes_Recognition!$A:$B,2,FALSE),"Not Sampled")</f>
        <v>Not Sampled</v>
      </c>
      <c r="U1021" t="str">
        <f>IF(T1021=1,"Positive",(IF(T1021=0,"Negative","Not Sampled")))</f>
        <v>Not Sampled</v>
      </c>
      <c r="V1021" s="1" t="str">
        <f>IF(U1021="Not Sampled","Not Sampled",IF(S1021=U1021,"Accurate Prediction","Inaccurate Prediction"))</f>
        <v>Not Sampled</v>
      </c>
    </row>
    <row r="1022" spans="1:22" x14ac:dyDescent="0.25">
      <c r="A1022" s="1">
        <v>1020</v>
      </c>
      <c r="B1022" s="1">
        <v>6</v>
      </c>
      <c r="C1022" s="1" t="str">
        <f>LOOKUP(B1022,Sheet2!$D$4:$E$9)</f>
        <v>5-7</v>
      </c>
      <c r="D1022" s="1">
        <v>99</v>
      </c>
      <c r="E1022" t="str">
        <f>LOOKUP(D1022,Sheet2!$G$4:$H$9)</f>
        <v>1-99</v>
      </c>
      <c r="F1022" s="1">
        <v>60</v>
      </c>
      <c r="G1022" t="str">
        <f>LOOKUP(F1022,Sheet2!$J$4:$K$8)</f>
        <v>60-69</v>
      </c>
      <c r="H1022" s="1">
        <v>19</v>
      </c>
      <c r="I1022" t="str">
        <f>LOOKUP(H1022,Sheet2!$M$4:$N$8)</f>
        <v>10-30</v>
      </c>
      <c r="J1022" s="1">
        <v>54</v>
      </c>
      <c r="K1022" t="str">
        <f>LOOKUP(J1022,Sheet2!$P$4:$Q$9)</f>
        <v>1-99</v>
      </c>
      <c r="L1022" s="1">
        <v>26.9</v>
      </c>
      <c r="M1022" t="str">
        <f>LOOKUP(L1022,Sheet2!$S$4:$T$8)</f>
        <v>26-30</v>
      </c>
      <c r="N1022" s="1">
        <v>0.497</v>
      </c>
      <c r="O1022" t="str">
        <f>LOOKUP(N1022,Sheet2!$V$4:$W$7)</f>
        <v>0.4 - 0.69</v>
      </c>
      <c r="P1022" s="1">
        <v>32</v>
      </c>
      <c r="Q1022" t="str">
        <f>LOOKUP(P1022,Sheet2!$Z$4:$AA$7)</f>
        <v>26-35</v>
      </c>
      <c r="R1022" s="1">
        <v>0</v>
      </c>
      <c r="S1022" t="str">
        <f>IF(R1022=1,"Positive","Negative")</f>
        <v>Negative</v>
      </c>
      <c r="T1022" s="1" t="str">
        <f>IFERROR(VLOOKUP(A1022,[1]diabetes_Recognition!$A:$B,2,FALSE),"Not Sampled")</f>
        <v>Not Sampled</v>
      </c>
      <c r="U1022" t="str">
        <f>IF(T1022=1,"Positive",(IF(T1022=0,"Negative","Not Sampled")))</f>
        <v>Not Sampled</v>
      </c>
      <c r="V1022" s="1" t="str">
        <f>IF(U1022="Not Sampled","Not Sampled",IF(S1022=U1022,"Accurate Prediction","Inaccurate Prediction"))</f>
        <v>Not Sampled</v>
      </c>
    </row>
    <row r="1023" spans="1:22" x14ac:dyDescent="0.25">
      <c r="A1023" s="1">
        <v>1021</v>
      </c>
      <c r="B1023" s="1">
        <v>0</v>
      </c>
      <c r="C1023" s="1">
        <f>LOOKUP(B1023,Sheet2!$D$4:$E$9)</f>
        <v>0</v>
      </c>
      <c r="D1023" s="1">
        <v>91</v>
      </c>
      <c r="E1023" t="str">
        <f>LOOKUP(D1023,Sheet2!$G$4:$H$9)</f>
        <v>1-99</v>
      </c>
      <c r="F1023" s="1">
        <v>80</v>
      </c>
      <c r="G1023" t="str">
        <f>LOOKUP(F1023,Sheet2!$J$4:$K$8)</f>
        <v>80+</v>
      </c>
      <c r="H1023" s="1">
        <v>0</v>
      </c>
      <c r="I1023" t="str">
        <f>LOOKUP(H1023,Sheet2!$M$4:$N$8)</f>
        <v>Unknown</v>
      </c>
      <c r="J1023" s="1">
        <v>0</v>
      </c>
      <c r="K1023" t="str">
        <f>LOOKUP(J1023,Sheet2!$P$4:$Q$9)</f>
        <v>Unknown</v>
      </c>
      <c r="L1023" s="1">
        <v>32.4</v>
      </c>
      <c r="M1023" t="str">
        <f>LOOKUP(L1023,Sheet2!$S$4:$T$8)</f>
        <v>31-35</v>
      </c>
      <c r="N1023" s="1">
        <v>0.60099999999999998</v>
      </c>
      <c r="O1023" t="str">
        <f>LOOKUP(N1023,Sheet2!$V$4:$W$7)</f>
        <v>0.4 - 0.69</v>
      </c>
      <c r="P1023" s="1">
        <v>27</v>
      </c>
      <c r="Q1023" t="str">
        <f>LOOKUP(P1023,Sheet2!$Z$4:$AA$7)</f>
        <v>26-35</v>
      </c>
      <c r="R1023" s="1">
        <v>0</v>
      </c>
      <c r="S1023" t="str">
        <f>IF(R1023=1,"Positive","Negative")</f>
        <v>Negative</v>
      </c>
      <c r="T1023" s="1" t="str">
        <f>IFERROR(VLOOKUP(A1023,[1]diabetes_Recognition!$A:$B,2,FALSE),"Not Sampled")</f>
        <v>Not Sampled</v>
      </c>
      <c r="U1023" t="str">
        <f>IF(T1023=1,"Positive",(IF(T1023=0,"Negative","Not Sampled")))</f>
        <v>Not Sampled</v>
      </c>
      <c r="V1023" s="1" t="str">
        <f>IF(U1023="Not Sampled","Not Sampled",IF(S1023=U1023,"Accurate Prediction","Inaccurate Prediction"))</f>
        <v>Not Sampled</v>
      </c>
    </row>
    <row r="1024" spans="1:22" x14ac:dyDescent="0.25">
      <c r="A1024" s="1">
        <v>1022</v>
      </c>
      <c r="B1024" s="1">
        <v>2</v>
      </c>
      <c r="C1024" s="1">
        <f>LOOKUP(B1024,Sheet2!$D$4:$E$9)</f>
        <v>2</v>
      </c>
      <c r="D1024" s="1">
        <v>95</v>
      </c>
      <c r="E1024" t="str">
        <f>LOOKUP(D1024,Sheet2!$G$4:$H$9)</f>
        <v>1-99</v>
      </c>
      <c r="F1024" s="1">
        <v>54</v>
      </c>
      <c r="G1024" t="str">
        <f>LOOKUP(F1024,Sheet2!$J$4:$K$8)</f>
        <v>1-59</v>
      </c>
      <c r="H1024" s="1">
        <v>14</v>
      </c>
      <c r="I1024" t="str">
        <f>LOOKUP(H1024,Sheet2!$M$4:$N$8)</f>
        <v>10-30</v>
      </c>
      <c r="J1024" s="1">
        <v>88</v>
      </c>
      <c r="K1024" t="str">
        <f>LOOKUP(J1024,Sheet2!$P$4:$Q$9)</f>
        <v>1-99</v>
      </c>
      <c r="L1024" s="1">
        <v>26.1</v>
      </c>
      <c r="M1024" t="str">
        <f>LOOKUP(L1024,Sheet2!$S$4:$T$8)</f>
        <v>26-30</v>
      </c>
      <c r="N1024" s="1">
        <v>0.748</v>
      </c>
      <c r="O1024" t="str">
        <f>LOOKUP(N1024,Sheet2!$V$4:$W$7)</f>
        <v>0.7+</v>
      </c>
      <c r="P1024" s="1">
        <v>22</v>
      </c>
      <c r="Q1024" t="str">
        <f>LOOKUP(P1024,Sheet2!$Z$4:$AA$7)</f>
        <v>&lt;=25</v>
      </c>
      <c r="R1024" s="1">
        <v>0</v>
      </c>
      <c r="S1024" t="str">
        <f>IF(R1024=1,"Positive","Negative")</f>
        <v>Negative</v>
      </c>
      <c r="T1024" s="1" t="str">
        <f>IFERROR(VLOOKUP(A1024,[1]diabetes_Recognition!$A:$B,2,FALSE),"Not Sampled")</f>
        <v>Not Sampled</v>
      </c>
      <c r="U1024" t="str">
        <f>IF(T1024=1,"Positive",(IF(T1024=0,"Negative","Not Sampled")))</f>
        <v>Not Sampled</v>
      </c>
      <c r="V1024" s="1" t="str">
        <f>IF(U1024="Not Sampled","Not Sampled",IF(S1024=U1024,"Accurate Prediction","Inaccurate Prediction"))</f>
        <v>Not Sampled</v>
      </c>
    </row>
    <row r="1025" spans="1:22" x14ac:dyDescent="0.25">
      <c r="A1025" s="1">
        <v>1023</v>
      </c>
      <c r="B1025" s="1">
        <v>1</v>
      </c>
      <c r="C1025" s="1">
        <f>LOOKUP(B1025,Sheet2!$D$4:$E$9)</f>
        <v>1</v>
      </c>
      <c r="D1025" s="1">
        <v>99</v>
      </c>
      <c r="E1025" t="str">
        <f>LOOKUP(D1025,Sheet2!$G$4:$H$9)</f>
        <v>1-99</v>
      </c>
      <c r="F1025" s="1">
        <v>72</v>
      </c>
      <c r="G1025" t="str">
        <f>LOOKUP(F1025,Sheet2!$J$4:$K$8)</f>
        <v>70-79</v>
      </c>
      <c r="H1025" s="1">
        <v>30</v>
      </c>
      <c r="I1025" t="str">
        <f>LOOKUP(H1025,Sheet2!$M$4:$N$8)</f>
        <v>30-39</v>
      </c>
      <c r="J1025" s="1">
        <v>18</v>
      </c>
      <c r="K1025" t="str">
        <f>LOOKUP(J1025,Sheet2!$P$4:$Q$9)</f>
        <v>1-99</v>
      </c>
      <c r="L1025" s="1">
        <v>38.6</v>
      </c>
      <c r="M1025" t="str">
        <f>LOOKUP(L1025,Sheet2!$S$4:$T$8)</f>
        <v>36+</v>
      </c>
      <c r="N1025" s="1">
        <v>0.41199999999999998</v>
      </c>
      <c r="O1025" t="str">
        <f>LOOKUP(N1025,Sheet2!$V$4:$W$7)</f>
        <v>0.4 - 0.69</v>
      </c>
      <c r="P1025" s="1">
        <v>21</v>
      </c>
      <c r="Q1025" t="str">
        <f>LOOKUP(P1025,Sheet2!$Z$4:$AA$7)</f>
        <v>&lt;=25</v>
      </c>
      <c r="R1025" s="1">
        <v>0</v>
      </c>
      <c r="S1025" t="str">
        <f>IF(R1025=1,"Positive","Negative")</f>
        <v>Negative</v>
      </c>
      <c r="T1025" s="1" t="str">
        <f>IFERROR(VLOOKUP(A1025,[1]diabetes_Recognition!$A:$B,2,FALSE),"Not Sampled")</f>
        <v>Not Sampled</v>
      </c>
      <c r="U1025" t="str">
        <f>IF(T1025=1,"Positive",(IF(T1025=0,"Negative","Not Sampled")))</f>
        <v>Not Sampled</v>
      </c>
      <c r="V1025" s="1" t="str">
        <f>IF(U1025="Not Sampled","Not Sampled",IF(S1025=U1025,"Accurate Prediction","Inaccurate Prediction"))</f>
        <v>Not Sampled</v>
      </c>
    </row>
    <row r="1026" spans="1:22" x14ac:dyDescent="0.25">
      <c r="A1026" s="1">
        <v>1024</v>
      </c>
      <c r="B1026" s="1">
        <v>6</v>
      </c>
      <c r="C1026" s="1" t="str">
        <f>LOOKUP(B1026,Sheet2!$D$4:$E$9)</f>
        <v>5-7</v>
      </c>
      <c r="D1026" s="1">
        <v>92</v>
      </c>
      <c r="E1026" t="str">
        <f>LOOKUP(D1026,Sheet2!$G$4:$H$9)</f>
        <v>1-99</v>
      </c>
      <c r="F1026" s="1">
        <v>62</v>
      </c>
      <c r="G1026" t="str">
        <f>LOOKUP(F1026,Sheet2!$J$4:$K$8)</f>
        <v>60-69</v>
      </c>
      <c r="H1026" s="1">
        <v>32</v>
      </c>
      <c r="I1026" t="str">
        <f>LOOKUP(H1026,Sheet2!$M$4:$N$8)</f>
        <v>30-39</v>
      </c>
      <c r="J1026" s="1">
        <v>126</v>
      </c>
      <c r="K1026" t="str">
        <f>LOOKUP(J1026,Sheet2!$P$4:$Q$9)</f>
        <v>100-199</v>
      </c>
      <c r="L1026" s="1">
        <v>32</v>
      </c>
      <c r="M1026" t="str">
        <f>LOOKUP(L1026,Sheet2!$S$4:$T$8)</f>
        <v>31-35</v>
      </c>
      <c r="N1026" s="1">
        <v>8.5000000000000006E-2</v>
      </c>
      <c r="O1026" t="str">
        <f>LOOKUP(N1026,Sheet2!$V$4:$W$7)</f>
        <v>0.0 - 0.249</v>
      </c>
      <c r="P1026" s="1">
        <v>46</v>
      </c>
      <c r="Q1026" t="str">
        <f>LOOKUP(P1026,Sheet2!$Z$4:$AA$7)</f>
        <v>46+</v>
      </c>
      <c r="R1026" s="1">
        <v>0</v>
      </c>
      <c r="S1026" t="str">
        <f>IF(R1026=1,"Positive","Negative")</f>
        <v>Negative</v>
      </c>
      <c r="T1026" s="1" t="str">
        <f>IFERROR(VLOOKUP(A1026,[1]diabetes_Recognition!$A:$B,2,FALSE),"Not Sampled")</f>
        <v>Not Sampled</v>
      </c>
      <c r="U1026" t="str">
        <f>IF(T1026=1,"Positive",(IF(T1026=0,"Negative","Not Sampled")))</f>
        <v>Not Sampled</v>
      </c>
      <c r="V1026" s="1" t="str">
        <f>IF(U1026="Not Sampled","Not Sampled",IF(S1026=U1026,"Accurate Prediction","Inaccurate Prediction"))</f>
        <v>Not Sampled</v>
      </c>
    </row>
    <row r="1027" spans="1:22" x14ac:dyDescent="0.25">
      <c r="A1027" s="1">
        <v>1025</v>
      </c>
      <c r="B1027" s="1">
        <v>4</v>
      </c>
      <c r="C1027" s="1" t="str">
        <f>LOOKUP(B1027,Sheet2!$D$4:$E$9)</f>
        <v>3-4</v>
      </c>
      <c r="D1027" s="1">
        <v>154</v>
      </c>
      <c r="E1027" t="str">
        <f>LOOKUP(D1027,Sheet2!$G$4:$H$9)</f>
        <v>151-175</v>
      </c>
      <c r="F1027" s="1">
        <v>72</v>
      </c>
      <c r="G1027" t="str">
        <f>LOOKUP(F1027,Sheet2!$J$4:$K$8)</f>
        <v>70-79</v>
      </c>
      <c r="H1027" s="1">
        <v>29</v>
      </c>
      <c r="I1027" t="str">
        <f>LOOKUP(H1027,Sheet2!$M$4:$N$8)</f>
        <v>10-30</v>
      </c>
      <c r="J1027" s="1">
        <v>126</v>
      </c>
      <c r="K1027" t="str">
        <f>LOOKUP(J1027,Sheet2!$P$4:$Q$9)</f>
        <v>100-199</v>
      </c>
      <c r="L1027" s="1">
        <v>31.3</v>
      </c>
      <c r="M1027" t="str">
        <f>LOOKUP(L1027,Sheet2!$S$4:$T$8)</f>
        <v>31-35</v>
      </c>
      <c r="N1027" s="1">
        <v>0.33800000000000002</v>
      </c>
      <c r="O1027" t="str">
        <f>LOOKUP(N1027,Sheet2!$V$4:$W$7)</f>
        <v>0.25 - 0.39</v>
      </c>
      <c r="P1027" s="1">
        <v>37</v>
      </c>
      <c r="Q1027" t="str">
        <f>LOOKUP(P1027,Sheet2!$Z$4:$AA$7)</f>
        <v>36-45</v>
      </c>
      <c r="R1027" s="1">
        <v>0</v>
      </c>
      <c r="S1027" t="str">
        <f>IF(R1027=1,"Positive","Negative")</f>
        <v>Negative</v>
      </c>
      <c r="T1027" s="1" t="str">
        <f>IFERROR(VLOOKUP(A1027,[1]diabetes_Recognition!$A:$B,2,FALSE),"Not Sampled")</f>
        <v>Not Sampled</v>
      </c>
      <c r="U1027" t="str">
        <f>IF(T1027=1,"Positive",(IF(T1027=0,"Negative","Not Sampled")))</f>
        <v>Not Sampled</v>
      </c>
      <c r="V1027" s="1" t="str">
        <f>IF(U1027="Not Sampled","Not Sampled",IF(S1027=U1027,"Accurate Prediction","Inaccurate Prediction"))</f>
        <v>Not Sampled</v>
      </c>
    </row>
    <row r="1028" spans="1:22" x14ac:dyDescent="0.25">
      <c r="A1028" s="1">
        <v>1026</v>
      </c>
      <c r="B1028" s="1">
        <v>0</v>
      </c>
      <c r="C1028" s="1">
        <f>LOOKUP(B1028,Sheet2!$D$4:$E$9)</f>
        <v>0</v>
      </c>
      <c r="D1028" s="1">
        <v>121</v>
      </c>
      <c r="E1028" t="str">
        <f>LOOKUP(D1028,Sheet2!$G$4:$H$9)</f>
        <v>100-125</v>
      </c>
      <c r="F1028" s="1">
        <v>66</v>
      </c>
      <c r="G1028" t="str">
        <f>LOOKUP(F1028,Sheet2!$J$4:$K$8)</f>
        <v>60-69</v>
      </c>
      <c r="H1028" s="1">
        <v>30</v>
      </c>
      <c r="I1028" t="str">
        <f>LOOKUP(H1028,Sheet2!$M$4:$N$8)</f>
        <v>30-39</v>
      </c>
      <c r="J1028" s="1">
        <v>165</v>
      </c>
      <c r="K1028" t="str">
        <f>LOOKUP(J1028,Sheet2!$P$4:$Q$9)</f>
        <v>100-199</v>
      </c>
      <c r="L1028" s="1">
        <v>34.299999999999997</v>
      </c>
      <c r="M1028" t="str">
        <f>LOOKUP(L1028,Sheet2!$S$4:$T$8)</f>
        <v>31-35</v>
      </c>
      <c r="N1028" s="1">
        <v>0.20300000000000001</v>
      </c>
      <c r="O1028" t="str">
        <f>LOOKUP(N1028,Sheet2!$V$4:$W$7)</f>
        <v>0.0 - 0.249</v>
      </c>
      <c r="P1028" s="1">
        <v>33</v>
      </c>
      <c r="Q1028" t="str">
        <f>LOOKUP(P1028,Sheet2!$Z$4:$AA$7)</f>
        <v>26-35</v>
      </c>
      <c r="R1028" s="1">
        <v>1</v>
      </c>
      <c r="S1028" t="str">
        <f>IF(R1028=1,"Positive","Negative")</f>
        <v>Positive</v>
      </c>
      <c r="T1028" s="1" t="str">
        <f>IFERROR(VLOOKUP(A1028,[1]diabetes_Recognition!$A:$B,2,FALSE),"Not Sampled")</f>
        <v>Not Sampled</v>
      </c>
      <c r="U1028" t="str">
        <f>IF(T1028=1,"Positive",(IF(T1028=0,"Negative","Not Sampled")))</f>
        <v>Not Sampled</v>
      </c>
      <c r="V1028" s="1" t="str">
        <f>IF(U1028="Not Sampled","Not Sampled",IF(S1028=U1028,"Accurate Prediction","Inaccurate Prediction"))</f>
        <v>Not Sampled</v>
      </c>
    </row>
    <row r="1029" spans="1:22" x14ac:dyDescent="0.25">
      <c r="A1029" s="1">
        <v>1027</v>
      </c>
      <c r="B1029" s="1">
        <v>3</v>
      </c>
      <c r="C1029" s="1" t="str">
        <f>LOOKUP(B1029,Sheet2!$D$4:$E$9)</f>
        <v>3-4</v>
      </c>
      <c r="D1029" s="1">
        <v>78</v>
      </c>
      <c r="E1029" t="str">
        <f>LOOKUP(D1029,Sheet2!$G$4:$H$9)</f>
        <v>1-99</v>
      </c>
      <c r="F1029" s="1">
        <v>70</v>
      </c>
      <c r="G1029" t="str">
        <f>LOOKUP(F1029,Sheet2!$J$4:$K$8)</f>
        <v>70-79</v>
      </c>
      <c r="H1029" s="1">
        <v>0</v>
      </c>
      <c r="I1029" t="str">
        <f>LOOKUP(H1029,Sheet2!$M$4:$N$8)</f>
        <v>Unknown</v>
      </c>
      <c r="J1029" s="1">
        <v>0</v>
      </c>
      <c r="K1029" t="str">
        <f>LOOKUP(J1029,Sheet2!$P$4:$Q$9)</f>
        <v>Unknown</v>
      </c>
      <c r="L1029" s="1">
        <v>32.5</v>
      </c>
      <c r="M1029" t="str">
        <f>LOOKUP(L1029,Sheet2!$S$4:$T$8)</f>
        <v>31-35</v>
      </c>
      <c r="N1029" s="1">
        <v>0.27</v>
      </c>
      <c r="O1029" t="str">
        <f>LOOKUP(N1029,Sheet2!$V$4:$W$7)</f>
        <v>0.25 - 0.39</v>
      </c>
      <c r="P1029" s="1">
        <v>39</v>
      </c>
      <c r="Q1029" t="str">
        <f>LOOKUP(P1029,Sheet2!$Z$4:$AA$7)</f>
        <v>36-45</v>
      </c>
      <c r="R1029" s="1">
        <v>0</v>
      </c>
      <c r="S1029" t="str">
        <f>IF(R1029=1,"Positive","Negative")</f>
        <v>Negative</v>
      </c>
      <c r="T1029" s="1">
        <f>IFERROR(VLOOKUP(A1029,[1]diabetes_Recognition!$A:$B,2,FALSE),"Not Sampled")</f>
        <v>0</v>
      </c>
      <c r="U1029" t="str">
        <f>IF(T1029=1,"Positive",(IF(T1029=0,"Negative","Not Sampled")))</f>
        <v>Negative</v>
      </c>
      <c r="V1029" s="1" t="str">
        <f>IF(U1029="Not Sampled","Not Sampled",IF(S1029=U1029,"Accurate Prediction","Inaccurate Prediction"))</f>
        <v>Accurate Prediction</v>
      </c>
    </row>
    <row r="1030" spans="1:22" x14ac:dyDescent="0.25">
      <c r="A1030" s="1">
        <v>1028</v>
      </c>
      <c r="B1030" s="1">
        <v>2</v>
      </c>
      <c r="C1030" s="1">
        <f>LOOKUP(B1030,Sheet2!$D$4:$E$9)</f>
        <v>2</v>
      </c>
      <c r="D1030" s="1">
        <v>130</v>
      </c>
      <c r="E1030" t="str">
        <f>LOOKUP(D1030,Sheet2!$G$4:$H$9)</f>
        <v>126-150</v>
      </c>
      <c r="F1030" s="1">
        <v>96</v>
      </c>
      <c r="G1030" t="str">
        <f>LOOKUP(F1030,Sheet2!$J$4:$K$8)</f>
        <v>80+</v>
      </c>
      <c r="H1030" s="1">
        <v>0</v>
      </c>
      <c r="I1030" t="str">
        <f>LOOKUP(H1030,Sheet2!$M$4:$N$8)</f>
        <v>Unknown</v>
      </c>
      <c r="J1030" s="1">
        <v>0</v>
      </c>
      <c r="K1030" t="str">
        <f>LOOKUP(J1030,Sheet2!$P$4:$Q$9)</f>
        <v>Unknown</v>
      </c>
      <c r="L1030" s="1">
        <v>22.6</v>
      </c>
      <c r="M1030" t="str">
        <f>LOOKUP(L1030,Sheet2!$S$4:$T$8)</f>
        <v>1-25</v>
      </c>
      <c r="N1030" s="1">
        <v>0.26800000000000002</v>
      </c>
      <c r="O1030" t="str">
        <f>LOOKUP(N1030,Sheet2!$V$4:$W$7)</f>
        <v>0.25 - 0.39</v>
      </c>
      <c r="P1030" s="1">
        <v>21</v>
      </c>
      <c r="Q1030" t="str">
        <f>LOOKUP(P1030,Sheet2!$Z$4:$AA$7)</f>
        <v>&lt;=25</v>
      </c>
      <c r="R1030" s="1">
        <v>0</v>
      </c>
      <c r="S1030" t="str">
        <f>IF(R1030=1,"Positive","Negative")</f>
        <v>Negative</v>
      </c>
      <c r="T1030" s="1">
        <f>IFERROR(VLOOKUP(A1030,[1]diabetes_Recognition!$A:$B,2,FALSE),"Not Sampled")</f>
        <v>0</v>
      </c>
      <c r="U1030" t="str">
        <f>IF(T1030=1,"Positive",(IF(T1030=0,"Negative","Not Sampled")))</f>
        <v>Negative</v>
      </c>
      <c r="V1030" s="1" t="str">
        <f>IF(U1030="Not Sampled","Not Sampled",IF(S1030=U1030,"Accurate Prediction","Inaccurate Prediction"))</f>
        <v>Accurate Prediction</v>
      </c>
    </row>
    <row r="1031" spans="1:22" x14ac:dyDescent="0.25">
      <c r="A1031" s="1">
        <v>1029</v>
      </c>
      <c r="B1031" s="1">
        <v>3</v>
      </c>
      <c r="C1031" s="1" t="str">
        <f>LOOKUP(B1031,Sheet2!$D$4:$E$9)</f>
        <v>3-4</v>
      </c>
      <c r="D1031" s="1">
        <v>111</v>
      </c>
      <c r="E1031" t="str">
        <f>LOOKUP(D1031,Sheet2!$G$4:$H$9)</f>
        <v>100-125</v>
      </c>
      <c r="F1031" s="1">
        <v>58</v>
      </c>
      <c r="G1031" t="str">
        <f>LOOKUP(F1031,Sheet2!$J$4:$K$8)</f>
        <v>1-59</v>
      </c>
      <c r="H1031" s="1">
        <v>31</v>
      </c>
      <c r="I1031" t="str">
        <f>LOOKUP(H1031,Sheet2!$M$4:$N$8)</f>
        <v>30-39</v>
      </c>
      <c r="J1031" s="1">
        <v>44</v>
      </c>
      <c r="K1031" t="str">
        <f>LOOKUP(J1031,Sheet2!$P$4:$Q$9)</f>
        <v>1-99</v>
      </c>
      <c r="L1031" s="1">
        <v>29.5</v>
      </c>
      <c r="M1031" t="str">
        <f>LOOKUP(L1031,Sheet2!$S$4:$T$8)</f>
        <v>26-30</v>
      </c>
      <c r="N1031" s="1">
        <v>0.43</v>
      </c>
      <c r="O1031" t="str">
        <f>LOOKUP(N1031,Sheet2!$V$4:$W$7)</f>
        <v>0.4 - 0.69</v>
      </c>
      <c r="P1031" s="1">
        <v>22</v>
      </c>
      <c r="Q1031" t="str">
        <f>LOOKUP(P1031,Sheet2!$Z$4:$AA$7)</f>
        <v>&lt;=25</v>
      </c>
      <c r="R1031" s="1">
        <v>0</v>
      </c>
      <c r="S1031" t="str">
        <f>IF(R1031=1,"Positive","Negative")</f>
        <v>Negative</v>
      </c>
      <c r="T1031" s="1" t="str">
        <f>IFERROR(VLOOKUP(A1031,[1]diabetes_Recognition!$A:$B,2,FALSE),"Not Sampled")</f>
        <v>Not Sampled</v>
      </c>
      <c r="U1031" t="str">
        <f>IF(T1031=1,"Positive",(IF(T1031=0,"Negative","Not Sampled")))</f>
        <v>Not Sampled</v>
      </c>
      <c r="V1031" s="1" t="str">
        <f>IF(U1031="Not Sampled","Not Sampled",IF(S1031=U1031,"Accurate Prediction","Inaccurate Prediction"))</f>
        <v>Not Sampled</v>
      </c>
    </row>
    <row r="1032" spans="1:22" x14ac:dyDescent="0.25">
      <c r="A1032" s="1">
        <v>1030</v>
      </c>
      <c r="B1032" s="1">
        <v>2</v>
      </c>
      <c r="C1032" s="1">
        <f>LOOKUP(B1032,Sheet2!$D$4:$E$9)</f>
        <v>2</v>
      </c>
      <c r="D1032" s="1">
        <v>98</v>
      </c>
      <c r="E1032" t="str">
        <f>LOOKUP(D1032,Sheet2!$G$4:$H$9)</f>
        <v>1-99</v>
      </c>
      <c r="F1032" s="1">
        <v>60</v>
      </c>
      <c r="G1032" t="str">
        <f>LOOKUP(F1032,Sheet2!$J$4:$K$8)</f>
        <v>60-69</v>
      </c>
      <c r="H1032" s="1">
        <v>17</v>
      </c>
      <c r="I1032" t="str">
        <f>LOOKUP(H1032,Sheet2!$M$4:$N$8)</f>
        <v>10-30</v>
      </c>
      <c r="J1032" s="1">
        <v>120</v>
      </c>
      <c r="K1032" t="str">
        <f>LOOKUP(J1032,Sheet2!$P$4:$Q$9)</f>
        <v>100-199</v>
      </c>
      <c r="L1032" s="1">
        <v>34.700000000000003</v>
      </c>
      <c r="M1032" t="str">
        <f>LOOKUP(L1032,Sheet2!$S$4:$T$8)</f>
        <v>31-35</v>
      </c>
      <c r="N1032" s="1">
        <v>0.19800000000000001</v>
      </c>
      <c r="O1032" t="str">
        <f>LOOKUP(N1032,Sheet2!$V$4:$W$7)</f>
        <v>0.0 - 0.249</v>
      </c>
      <c r="P1032" s="1">
        <v>22</v>
      </c>
      <c r="Q1032" t="str">
        <f>LOOKUP(P1032,Sheet2!$Z$4:$AA$7)</f>
        <v>&lt;=25</v>
      </c>
      <c r="R1032" s="1">
        <v>0</v>
      </c>
      <c r="S1032" t="str">
        <f>IF(R1032=1,"Positive","Negative")</f>
        <v>Negative</v>
      </c>
      <c r="T1032" s="1" t="str">
        <f>IFERROR(VLOOKUP(A1032,[1]diabetes_Recognition!$A:$B,2,FALSE),"Not Sampled")</f>
        <v>Not Sampled</v>
      </c>
      <c r="U1032" t="str">
        <f>IF(T1032=1,"Positive",(IF(T1032=0,"Negative","Not Sampled")))</f>
        <v>Not Sampled</v>
      </c>
      <c r="V1032" s="1" t="str">
        <f>IF(U1032="Not Sampled","Not Sampled",IF(S1032=U1032,"Accurate Prediction","Inaccurate Prediction"))</f>
        <v>Not Sampled</v>
      </c>
    </row>
    <row r="1033" spans="1:22" x14ac:dyDescent="0.25">
      <c r="A1033" s="1">
        <v>1031</v>
      </c>
      <c r="B1033" s="1">
        <v>1</v>
      </c>
      <c r="C1033" s="1">
        <f>LOOKUP(B1033,Sheet2!$D$4:$E$9)</f>
        <v>1</v>
      </c>
      <c r="D1033" s="1">
        <v>143</v>
      </c>
      <c r="E1033" t="str">
        <f>LOOKUP(D1033,Sheet2!$G$4:$H$9)</f>
        <v>126-150</v>
      </c>
      <c r="F1033" s="1">
        <v>86</v>
      </c>
      <c r="G1033" t="str">
        <f>LOOKUP(F1033,Sheet2!$J$4:$K$8)</f>
        <v>80+</v>
      </c>
      <c r="H1033" s="1">
        <v>30</v>
      </c>
      <c r="I1033" t="str">
        <f>LOOKUP(H1033,Sheet2!$M$4:$N$8)</f>
        <v>30-39</v>
      </c>
      <c r="J1033" s="1">
        <v>330</v>
      </c>
      <c r="K1033" t="str">
        <f>LOOKUP(J1033,Sheet2!$P$4:$Q$9)</f>
        <v>300-499</v>
      </c>
      <c r="L1033" s="1">
        <v>30.1</v>
      </c>
      <c r="M1033" t="str">
        <f>LOOKUP(L1033,Sheet2!$S$4:$T$8)</f>
        <v>26-30</v>
      </c>
      <c r="N1033" s="1">
        <v>0.89200000000000002</v>
      </c>
      <c r="O1033" t="str">
        <f>LOOKUP(N1033,Sheet2!$V$4:$W$7)</f>
        <v>0.7+</v>
      </c>
      <c r="P1033" s="1">
        <v>23</v>
      </c>
      <c r="Q1033" t="str">
        <f>LOOKUP(P1033,Sheet2!$Z$4:$AA$7)</f>
        <v>&lt;=25</v>
      </c>
      <c r="R1033" s="1">
        <v>0</v>
      </c>
      <c r="S1033" t="str">
        <f>IF(R1033=1,"Positive","Negative")</f>
        <v>Negative</v>
      </c>
      <c r="T1033" s="1" t="str">
        <f>IFERROR(VLOOKUP(A1033,[1]diabetes_Recognition!$A:$B,2,FALSE),"Not Sampled")</f>
        <v>Not Sampled</v>
      </c>
      <c r="U1033" t="str">
        <f>IF(T1033=1,"Positive",(IF(T1033=0,"Negative","Not Sampled")))</f>
        <v>Not Sampled</v>
      </c>
      <c r="V1033" s="1" t="str">
        <f>IF(U1033="Not Sampled","Not Sampled",IF(S1033=U1033,"Accurate Prediction","Inaccurate Prediction"))</f>
        <v>Not Sampled</v>
      </c>
    </row>
    <row r="1034" spans="1:22" x14ac:dyDescent="0.25">
      <c r="A1034" s="1">
        <v>1032</v>
      </c>
      <c r="B1034" s="1">
        <v>1</v>
      </c>
      <c r="C1034" s="1">
        <f>LOOKUP(B1034,Sheet2!$D$4:$E$9)</f>
        <v>1</v>
      </c>
      <c r="D1034" s="1">
        <v>119</v>
      </c>
      <c r="E1034" t="str">
        <f>LOOKUP(D1034,Sheet2!$G$4:$H$9)</f>
        <v>100-125</v>
      </c>
      <c r="F1034" s="1">
        <v>44</v>
      </c>
      <c r="G1034" t="str">
        <f>LOOKUP(F1034,Sheet2!$J$4:$K$8)</f>
        <v>1-59</v>
      </c>
      <c r="H1034" s="1">
        <v>47</v>
      </c>
      <c r="I1034" t="str">
        <f>LOOKUP(H1034,Sheet2!$M$4:$N$8)</f>
        <v>40+</v>
      </c>
      <c r="J1034" s="1">
        <v>63</v>
      </c>
      <c r="K1034" t="str">
        <f>LOOKUP(J1034,Sheet2!$P$4:$Q$9)</f>
        <v>1-99</v>
      </c>
      <c r="L1034" s="1">
        <v>35.5</v>
      </c>
      <c r="M1034" t="str">
        <f>LOOKUP(L1034,Sheet2!$S$4:$T$8)</f>
        <v>31-35</v>
      </c>
      <c r="N1034" s="1">
        <v>0.28000000000000003</v>
      </c>
      <c r="O1034" t="str">
        <f>LOOKUP(N1034,Sheet2!$V$4:$W$7)</f>
        <v>0.25 - 0.39</v>
      </c>
      <c r="P1034" s="1">
        <v>25</v>
      </c>
      <c r="Q1034" t="str">
        <f>LOOKUP(P1034,Sheet2!$Z$4:$AA$7)</f>
        <v>&lt;=25</v>
      </c>
      <c r="R1034" s="1">
        <v>0</v>
      </c>
      <c r="S1034" t="str">
        <f>IF(R1034=1,"Positive","Negative")</f>
        <v>Negative</v>
      </c>
      <c r="T1034" s="1" t="str">
        <f>IFERROR(VLOOKUP(A1034,[1]diabetes_Recognition!$A:$B,2,FALSE),"Not Sampled")</f>
        <v>Not Sampled</v>
      </c>
      <c r="U1034" t="str">
        <f>IF(T1034=1,"Positive",(IF(T1034=0,"Negative","Not Sampled")))</f>
        <v>Not Sampled</v>
      </c>
      <c r="V1034" s="1" t="str">
        <f>IF(U1034="Not Sampled","Not Sampled",IF(S1034=U1034,"Accurate Prediction","Inaccurate Prediction"))</f>
        <v>Not Sampled</v>
      </c>
    </row>
    <row r="1035" spans="1:22" x14ac:dyDescent="0.25">
      <c r="A1035" s="1">
        <v>1033</v>
      </c>
      <c r="B1035" s="1">
        <v>6</v>
      </c>
      <c r="C1035" s="1" t="str">
        <f>LOOKUP(B1035,Sheet2!$D$4:$E$9)</f>
        <v>5-7</v>
      </c>
      <c r="D1035" s="1">
        <v>108</v>
      </c>
      <c r="E1035" t="str">
        <f>LOOKUP(D1035,Sheet2!$G$4:$H$9)</f>
        <v>100-125</v>
      </c>
      <c r="F1035" s="1">
        <v>44</v>
      </c>
      <c r="G1035" t="str">
        <f>LOOKUP(F1035,Sheet2!$J$4:$K$8)</f>
        <v>1-59</v>
      </c>
      <c r="H1035" s="1">
        <v>20</v>
      </c>
      <c r="I1035" t="str">
        <f>LOOKUP(H1035,Sheet2!$M$4:$N$8)</f>
        <v>10-30</v>
      </c>
      <c r="J1035" s="1">
        <v>130</v>
      </c>
      <c r="K1035" t="str">
        <f>LOOKUP(J1035,Sheet2!$P$4:$Q$9)</f>
        <v>100-199</v>
      </c>
      <c r="L1035" s="1">
        <v>24</v>
      </c>
      <c r="M1035" t="str">
        <f>LOOKUP(L1035,Sheet2!$S$4:$T$8)</f>
        <v>1-25</v>
      </c>
      <c r="N1035" s="1">
        <v>0.81299999999999994</v>
      </c>
      <c r="O1035" t="str">
        <f>LOOKUP(N1035,Sheet2!$V$4:$W$7)</f>
        <v>0.7+</v>
      </c>
      <c r="P1035" s="1">
        <v>35</v>
      </c>
      <c r="Q1035" t="str">
        <f>LOOKUP(P1035,Sheet2!$Z$4:$AA$7)</f>
        <v>26-35</v>
      </c>
      <c r="R1035" s="1">
        <v>0</v>
      </c>
      <c r="S1035" t="str">
        <f>IF(R1035=1,"Positive","Negative")</f>
        <v>Negative</v>
      </c>
      <c r="T1035" s="1" t="str">
        <f>IFERROR(VLOOKUP(A1035,[1]diabetes_Recognition!$A:$B,2,FALSE),"Not Sampled")</f>
        <v>Not Sampled</v>
      </c>
      <c r="U1035" t="str">
        <f>IF(T1035=1,"Positive",(IF(T1035=0,"Negative","Not Sampled")))</f>
        <v>Not Sampled</v>
      </c>
      <c r="V1035" s="1" t="str">
        <f>IF(U1035="Not Sampled","Not Sampled",IF(S1035=U1035,"Accurate Prediction","Inaccurate Prediction"))</f>
        <v>Not Sampled</v>
      </c>
    </row>
    <row r="1036" spans="1:22" x14ac:dyDescent="0.25">
      <c r="A1036" s="1">
        <v>1034</v>
      </c>
      <c r="B1036" s="1">
        <v>2</v>
      </c>
      <c r="C1036" s="1">
        <f>LOOKUP(B1036,Sheet2!$D$4:$E$9)</f>
        <v>2</v>
      </c>
      <c r="D1036" s="1">
        <v>118</v>
      </c>
      <c r="E1036" t="str">
        <f>LOOKUP(D1036,Sheet2!$G$4:$H$9)</f>
        <v>100-125</v>
      </c>
      <c r="F1036" s="1">
        <v>80</v>
      </c>
      <c r="G1036" t="str">
        <f>LOOKUP(F1036,Sheet2!$J$4:$K$8)</f>
        <v>80+</v>
      </c>
      <c r="H1036" s="1">
        <v>0</v>
      </c>
      <c r="I1036" t="str">
        <f>LOOKUP(H1036,Sheet2!$M$4:$N$8)</f>
        <v>Unknown</v>
      </c>
      <c r="J1036" s="1">
        <v>0</v>
      </c>
      <c r="K1036" t="str">
        <f>LOOKUP(J1036,Sheet2!$P$4:$Q$9)</f>
        <v>Unknown</v>
      </c>
      <c r="L1036" s="1">
        <v>42.9</v>
      </c>
      <c r="M1036" t="str">
        <f>LOOKUP(L1036,Sheet2!$S$4:$T$8)</f>
        <v>36+</v>
      </c>
      <c r="N1036" s="1">
        <v>0.69299999999999995</v>
      </c>
      <c r="O1036" t="str">
        <f>LOOKUP(N1036,Sheet2!$V$4:$W$7)</f>
        <v>0.4 - 0.69</v>
      </c>
      <c r="P1036" s="1">
        <v>21</v>
      </c>
      <c r="Q1036" t="str">
        <f>LOOKUP(P1036,Sheet2!$Z$4:$AA$7)</f>
        <v>&lt;=25</v>
      </c>
      <c r="R1036" s="1">
        <v>1</v>
      </c>
      <c r="S1036" t="str">
        <f>IF(R1036=1,"Positive","Negative")</f>
        <v>Positive</v>
      </c>
      <c r="T1036" s="1" t="str">
        <f>IFERROR(VLOOKUP(A1036,[1]diabetes_Recognition!$A:$B,2,FALSE),"Not Sampled")</f>
        <v>Not Sampled</v>
      </c>
      <c r="U1036" t="str">
        <f>IF(T1036=1,"Positive",(IF(T1036=0,"Negative","Not Sampled")))</f>
        <v>Not Sampled</v>
      </c>
      <c r="V1036" s="1" t="str">
        <f>IF(U1036="Not Sampled","Not Sampled",IF(S1036=U1036,"Accurate Prediction","Inaccurate Prediction"))</f>
        <v>Not Sampled</v>
      </c>
    </row>
    <row r="1037" spans="1:22" x14ac:dyDescent="0.25">
      <c r="A1037" s="1">
        <v>1035</v>
      </c>
      <c r="B1037" s="1">
        <v>10</v>
      </c>
      <c r="C1037" s="1" t="str">
        <f>LOOKUP(B1037,Sheet2!$D$4:$E$9)</f>
        <v>8+</v>
      </c>
      <c r="D1037" s="1">
        <v>133</v>
      </c>
      <c r="E1037" t="str">
        <f>LOOKUP(D1037,Sheet2!$G$4:$H$9)</f>
        <v>126-150</v>
      </c>
      <c r="F1037" s="1">
        <v>68</v>
      </c>
      <c r="G1037" t="str">
        <f>LOOKUP(F1037,Sheet2!$J$4:$K$8)</f>
        <v>60-69</v>
      </c>
      <c r="H1037" s="1">
        <v>0</v>
      </c>
      <c r="I1037" t="str">
        <f>LOOKUP(H1037,Sheet2!$M$4:$N$8)</f>
        <v>Unknown</v>
      </c>
      <c r="J1037" s="1">
        <v>0</v>
      </c>
      <c r="K1037" t="str">
        <f>LOOKUP(J1037,Sheet2!$P$4:$Q$9)</f>
        <v>Unknown</v>
      </c>
      <c r="L1037" s="1">
        <v>27</v>
      </c>
      <c r="M1037" t="str">
        <f>LOOKUP(L1037,Sheet2!$S$4:$T$8)</f>
        <v>26-30</v>
      </c>
      <c r="N1037" s="1">
        <v>0.245</v>
      </c>
      <c r="O1037" t="str">
        <f>LOOKUP(N1037,Sheet2!$V$4:$W$7)</f>
        <v>0.0 - 0.249</v>
      </c>
      <c r="P1037" s="1">
        <v>36</v>
      </c>
      <c r="Q1037" t="str">
        <f>LOOKUP(P1037,Sheet2!$Z$4:$AA$7)</f>
        <v>36-45</v>
      </c>
      <c r="R1037" s="1">
        <v>0</v>
      </c>
      <c r="S1037" t="str">
        <f>IF(R1037=1,"Positive","Negative")</f>
        <v>Negative</v>
      </c>
      <c r="T1037" s="1" t="str">
        <f>IFERROR(VLOOKUP(A1037,[1]diabetes_Recognition!$A:$B,2,FALSE),"Not Sampled")</f>
        <v>Not Sampled</v>
      </c>
      <c r="U1037" t="str">
        <f>IF(T1037=1,"Positive",(IF(T1037=0,"Negative","Not Sampled")))</f>
        <v>Not Sampled</v>
      </c>
      <c r="V1037" s="1" t="str">
        <f>IF(U1037="Not Sampled","Not Sampled",IF(S1037=U1037,"Accurate Prediction","Inaccurate Prediction"))</f>
        <v>Not Sampled</v>
      </c>
    </row>
    <row r="1038" spans="1:22" x14ac:dyDescent="0.25">
      <c r="A1038" s="1">
        <v>1036</v>
      </c>
      <c r="B1038" s="1">
        <v>2</v>
      </c>
      <c r="C1038" s="1">
        <f>LOOKUP(B1038,Sheet2!$D$4:$E$9)</f>
        <v>2</v>
      </c>
      <c r="D1038" s="1">
        <v>197</v>
      </c>
      <c r="E1038" t="str">
        <f>LOOKUP(D1038,Sheet2!$G$4:$H$9)</f>
        <v>176-200</v>
      </c>
      <c r="F1038" s="1">
        <v>70</v>
      </c>
      <c r="G1038" t="str">
        <f>LOOKUP(F1038,Sheet2!$J$4:$K$8)</f>
        <v>70-79</v>
      </c>
      <c r="H1038" s="1">
        <v>99</v>
      </c>
      <c r="I1038" t="str">
        <f>LOOKUP(H1038,Sheet2!$M$4:$N$8)</f>
        <v>40+</v>
      </c>
      <c r="J1038" s="1">
        <v>0</v>
      </c>
      <c r="K1038" t="str">
        <f>LOOKUP(J1038,Sheet2!$P$4:$Q$9)</f>
        <v>Unknown</v>
      </c>
      <c r="L1038" s="1">
        <v>34.700000000000003</v>
      </c>
      <c r="M1038" t="str">
        <f>LOOKUP(L1038,Sheet2!$S$4:$T$8)</f>
        <v>31-35</v>
      </c>
      <c r="N1038" s="1">
        <v>0.57499999999999996</v>
      </c>
      <c r="O1038" t="str">
        <f>LOOKUP(N1038,Sheet2!$V$4:$W$7)</f>
        <v>0.4 - 0.69</v>
      </c>
      <c r="P1038" s="1">
        <v>62</v>
      </c>
      <c r="Q1038" t="str">
        <f>LOOKUP(P1038,Sheet2!$Z$4:$AA$7)</f>
        <v>46+</v>
      </c>
      <c r="R1038" s="1">
        <v>1</v>
      </c>
      <c r="S1038" t="str">
        <f>IF(R1038=1,"Positive","Negative")</f>
        <v>Positive</v>
      </c>
      <c r="T1038" s="1" t="str">
        <f>IFERROR(VLOOKUP(A1038,[1]diabetes_Recognition!$A:$B,2,FALSE),"Not Sampled")</f>
        <v>Not Sampled</v>
      </c>
      <c r="U1038" t="str">
        <f>IF(T1038=1,"Positive",(IF(T1038=0,"Negative","Not Sampled")))</f>
        <v>Not Sampled</v>
      </c>
      <c r="V1038" s="1" t="str">
        <f>IF(U1038="Not Sampled","Not Sampled",IF(S1038=U1038,"Accurate Prediction","Inaccurate Prediction"))</f>
        <v>Not Sampled</v>
      </c>
    </row>
    <row r="1039" spans="1:22" x14ac:dyDescent="0.25">
      <c r="A1039" s="1">
        <v>1037</v>
      </c>
      <c r="B1039" s="1">
        <v>0</v>
      </c>
      <c r="C1039" s="1">
        <f>LOOKUP(B1039,Sheet2!$D$4:$E$9)</f>
        <v>0</v>
      </c>
      <c r="D1039" s="1">
        <v>151</v>
      </c>
      <c r="E1039" t="str">
        <f>LOOKUP(D1039,Sheet2!$G$4:$H$9)</f>
        <v>151-175</v>
      </c>
      <c r="F1039" s="1">
        <v>90</v>
      </c>
      <c r="G1039" t="str">
        <f>LOOKUP(F1039,Sheet2!$J$4:$K$8)</f>
        <v>80+</v>
      </c>
      <c r="H1039" s="1">
        <v>46</v>
      </c>
      <c r="I1039" t="str">
        <f>LOOKUP(H1039,Sheet2!$M$4:$N$8)</f>
        <v>40+</v>
      </c>
      <c r="J1039" s="1">
        <v>0</v>
      </c>
      <c r="K1039" t="str">
        <f>LOOKUP(J1039,Sheet2!$P$4:$Q$9)</f>
        <v>Unknown</v>
      </c>
      <c r="L1039" s="1">
        <v>42.1</v>
      </c>
      <c r="M1039" t="str">
        <f>LOOKUP(L1039,Sheet2!$S$4:$T$8)</f>
        <v>36+</v>
      </c>
      <c r="N1039" s="1">
        <v>0.371</v>
      </c>
      <c r="O1039" t="str">
        <f>LOOKUP(N1039,Sheet2!$V$4:$W$7)</f>
        <v>0.25 - 0.39</v>
      </c>
      <c r="P1039" s="1">
        <v>21</v>
      </c>
      <c r="Q1039" t="str">
        <f>LOOKUP(P1039,Sheet2!$Z$4:$AA$7)</f>
        <v>&lt;=25</v>
      </c>
      <c r="R1039" s="1">
        <v>1</v>
      </c>
      <c r="S1039" t="str">
        <f>IF(R1039=1,"Positive","Negative")</f>
        <v>Positive</v>
      </c>
      <c r="T1039" s="1" t="str">
        <f>IFERROR(VLOOKUP(A1039,[1]diabetes_Recognition!$A:$B,2,FALSE),"Not Sampled")</f>
        <v>Not Sampled</v>
      </c>
      <c r="U1039" t="str">
        <f>IF(T1039=1,"Positive",(IF(T1039=0,"Negative","Not Sampled")))</f>
        <v>Not Sampled</v>
      </c>
      <c r="V1039" s="1" t="str">
        <f>IF(U1039="Not Sampled","Not Sampled",IF(S1039=U1039,"Accurate Prediction","Inaccurate Prediction"))</f>
        <v>Not Sampled</v>
      </c>
    </row>
    <row r="1040" spans="1:22" x14ac:dyDescent="0.25">
      <c r="A1040" s="1">
        <v>1038</v>
      </c>
      <c r="B1040" s="1">
        <v>6</v>
      </c>
      <c r="C1040" s="1" t="str">
        <f>LOOKUP(B1040,Sheet2!$D$4:$E$9)</f>
        <v>5-7</v>
      </c>
      <c r="D1040" s="1">
        <v>109</v>
      </c>
      <c r="E1040" t="str">
        <f>LOOKUP(D1040,Sheet2!$G$4:$H$9)</f>
        <v>100-125</v>
      </c>
      <c r="F1040" s="1">
        <v>60</v>
      </c>
      <c r="G1040" t="str">
        <f>LOOKUP(F1040,Sheet2!$J$4:$K$8)</f>
        <v>60-69</v>
      </c>
      <c r="H1040" s="1">
        <v>27</v>
      </c>
      <c r="I1040" t="str">
        <f>LOOKUP(H1040,Sheet2!$M$4:$N$8)</f>
        <v>10-30</v>
      </c>
      <c r="J1040" s="1">
        <v>0</v>
      </c>
      <c r="K1040" t="str">
        <f>LOOKUP(J1040,Sheet2!$P$4:$Q$9)</f>
        <v>Unknown</v>
      </c>
      <c r="L1040" s="1">
        <v>25</v>
      </c>
      <c r="M1040" t="str">
        <f>LOOKUP(L1040,Sheet2!$S$4:$T$8)</f>
        <v>1-25</v>
      </c>
      <c r="N1040" s="1">
        <v>0.20599999999999999</v>
      </c>
      <c r="O1040" t="str">
        <f>LOOKUP(N1040,Sheet2!$V$4:$W$7)</f>
        <v>0.0 - 0.249</v>
      </c>
      <c r="P1040" s="1">
        <v>27</v>
      </c>
      <c r="Q1040" t="str">
        <f>LOOKUP(P1040,Sheet2!$Z$4:$AA$7)</f>
        <v>26-35</v>
      </c>
      <c r="R1040" s="1">
        <v>0</v>
      </c>
      <c r="S1040" t="str">
        <f>IF(R1040=1,"Positive","Negative")</f>
        <v>Negative</v>
      </c>
      <c r="T1040" s="1">
        <f>IFERROR(VLOOKUP(A1040,[1]diabetes_Recognition!$A:$B,2,FALSE),"Not Sampled")</f>
        <v>0</v>
      </c>
      <c r="U1040" t="str">
        <f>IF(T1040=1,"Positive",(IF(T1040=0,"Negative","Not Sampled")))</f>
        <v>Negative</v>
      </c>
      <c r="V1040" s="1" t="str">
        <f>IF(U1040="Not Sampled","Not Sampled",IF(S1040=U1040,"Accurate Prediction","Inaccurate Prediction"))</f>
        <v>Accurate Prediction</v>
      </c>
    </row>
    <row r="1041" spans="1:22" x14ac:dyDescent="0.25">
      <c r="A1041" s="1">
        <v>1039</v>
      </c>
      <c r="B1041" s="1">
        <v>12</v>
      </c>
      <c r="C1041" s="1" t="str">
        <f>LOOKUP(B1041,Sheet2!$D$4:$E$9)</f>
        <v>8+</v>
      </c>
      <c r="D1041" s="1">
        <v>121</v>
      </c>
      <c r="E1041" t="str">
        <f>LOOKUP(D1041,Sheet2!$G$4:$H$9)</f>
        <v>100-125</v>
      </c>
      <c r="F1041" s="1">
        <v>78</v>
      </c>
      <c r="G1041" t="str">
        <f>LOOKUP(F1041,Sheet2!$J$4:$K$8)</f>
        <v>70-79</v>
      </c>
      <c r="H1041" s="1">
        <v>17</v>
      </c>
      <c r="I1041" t="str">
        <f>LOOKUP(H1041,Sheet2!$M$4:$N$8)</f>
        <v>10-30</v>
      </c>
      <c r="J1041" s="1">
        <v>0</v>
      </c>
      <c r="K1041" t="str">
        <f>LOOKUP(J1041,Sheet2!$P$4:$Q$9)</f>
        <v>Unknown</v>
      </c>
      <c r="L1041" s="1">
        <v>26.5</v>
      </c>
      <c r="M1041" t="str">
        <f>LOOKUP(L1041,Sheet2!$S$4:$T$8)</f>
        <v>26-30</v>
      </c>
      <c r="N1041" s="1">
        <v>0.25900000000000001</v>
      </c>
      <c r="O1041" t="str">
        <f>LOOKUP(N1041,Sheet2!$V$4:$W$7)</f>
        <v>0.25 - 0.39</v>
      </c>
      <c r="P1041" s="1">
        <v>62</v>
      </c>
      <c r="Q1041" t="str">
        <f>LOOKUP(P1041,Sheet2!$Z$4:$AA$7)</f>
        <v>46+</v>
      </c>
      <c r="R1041" s="1">
        <v>0</v>
      </c>
      <c r="S1041" t="str">
        <f>IF(R1041=1,"Positive","Negative")</f>
        <v>Negative</v>
      </c>
      <c r="T1041" s="1" t="str">
        <f>IFERROR(VLOOKUP(A1041,[1]diabetes_Recognition!$A:$B,2,FALSE),"Not Sampled")</f>
        <v>Not Sampled</v>
      </c>
      <c r="U1041" t="str">
        <f>IF(T1041=1,"Positive",(IF(T1041=0,"Negative","Not Sampled")))</f>
        <v>Not Sampled</v>
      </c>
      <c r="V1041" s="1" t="str">
        <f>IF(U1041="Not Sampled","Not Sampled",IF(S1041=U1041,"Accurate Prediction","Inaccurate Prediction"))</f>
        <v>Not Sampled</v>
      </c>
    </row>
    <row r="1042" spans="1:22" x14ac:dyDescent="0.25">
      <c r="A1042" s="1">
        <v>1040</v>
      </c>
      <c r="B1042" s="1">
        <v>8</v>
      </c>
      <c r="C1042" s="1" t="str">
        <f>LOOKUP(B1042,Sheet2!$D$4:$E$9)</f>
        <v>8+</v>
      </c>
      <c r="D1042" s="1">
        <v>100</v>
      </c>
      <c r="E1042" t="str">
        <f>LOOKUP(D1042,Sheet2!$G$4:$H$9)</f>
        <v>100-125</v>
      </c>
      <c r="F1042" s="1">
        <v>76</v>
      </c>
      <c r="G1042" t="str">
        <f>LOOKUP(F1042,Sheet2!$J$4:$K$8)</f>
        <v>70-79</v>
      </c>
      <c r="H1042" s="1">
        <v>0</v>
      </c>
      <c r="I1042" t="str">
        <f>LOOKUP(H1042,Sheet2!$M$4:$N$8)</f>
        <v>Unknown</v>
      </c>
      <c r="J1042" s="1">
        <v>0</v>
      </c>
      <c r="K1042" t="str">
        <f>LOOKUP(J1042,Sheet2!$P$4:$Q$9)</f>
        <v>Unknown</v>
      </c>
      <c r="L1042" s="1">
        <v>38.700000000000003</v>
      </c>
      <c r="M1042" t="str">
        <f>LOOKUP(L1042,Sheet2!$S$4:$T$8)</f>
        <v>36+</v>
      </c>
      <c r="N1042" s="1">
        <v>0.19</v>
      </c>
      <c r="O1042" t="str">
        <f>LOOKUP(N1042,Sheet2!$V$4:$W$7)</f>
        <v>0.0 - 0.249</v>
      </c>
      <c r="P1042" s="1">
        <v>42</v>
      </c>
      <c r="Q1042" t="str">
        <f>LOOKUP(P1042,Sheet2!$Z$4:$AA$7)</f>
        <v>36-45</v>
      </c>
      <c r="R1042" s="1">
        <v>0</v>
      </c>
      <c r="S1042" t="str">
        <f>IF(R1042=1,"Positive","Negative")</f>
        <v>Negative</v>
      </c>
      <c r="T1042" s="1" t="str">
        <f>IFERROR(VLOOKUP(A1042,[1]diabetes_Recognition!$A:$B,2,FALSE),"Not Sampled")</f>
        <v>Not Sampled</v>
      </c>
      <c r="U1042" t="str">
        <f>IF(T1042=1,"Positive",(IF(T1042=0,"Negative","Not Sampled")))</f>
        <v>Not Sampled</v>
      </c>
      <c r="V1042" s="1" t="str">
        <f>IF(U1042="Not Sampled","Not Sampled",IF(S1042=U1042,"Accurate Prediction","Inaccurate Prediction"))</f>
        <v>Not Sampled</v>
      </c>
    </row>
    <row r="1043" spans="1:22" x14ac:dyDescent="0.25">
      <c r="A1043" s="1">
        <v>1041</v>
      </c>
      <c r="B1043" s="1">
        <v>8</v>
      </c>
      <c r="C1043" s="1" t="str">
        <f>LOOKUP(B1043,Sheet2!$D$4:$E$9)</f>
        <v>8+</v>
      </c>
      <c r="D1043" s="1">
        <v>124</v>
      </c>
      <c r="E1043" t="str">
        <f>LOOKUP(D1043,Sheet2!$G$4:$H$9)</f>
        <v>100-125</v>
      </c>
      <c r="F1043" s="1">
        <v>76</v>
      </c>
      <c r="G1043" t="str">
        <f>LOOKUP(F1043,Sheet2!$J$4:$K$8)</f>
        <v>70-79</v>
      </c>
      <c r="H1043" s="1">
        <v>24</v>
      </c>
      <c r="I1043" t="str">
        <f>LOOKUP(H1043,Sheet2!$M$4:$N$8)</f>
        <v>10-30</v>
      </c>
      <c r="J1043" s="1">
        <v>600</v>
      </c>
      <c r="K1043" t="str">
        <f>LOOKUP(J1043,Sheet2!$P$4:$Q$9)</f>
        <v>500+</v>
      </c>
      <c r="L1043" s="1">
        <v>28.7</v>
      </c>
      <c r="M1043" t="str">
        <f>LOOKUP(L1043,Sheet2!$S$4:$T$8)</f>
        <v>26-30</v>
      </c>
      <c r="N1043" s="1">
        <v>0.68700000000000006</v>
      </c>
      <c r="O1043" t="str">
        <f>LOOKUP(N1043,Sheet2!$V$4:$W$7)</f>
        <v>0.4 - 0.69</v>
      </c>
      <c r="P1043" s="1">
        <v>52</v>
      </c>
      <c r="Q1043" t="str">
        <f>LOOKUP(P1043,Sheet2!$Z$4:$AA$7)</f>
        <v>46+</v>
      </c>
      <c r="R1043" s="1">
        <v>1</v>
      </c>
      <c r="S1043" t="str">
        <f>IF(R1043=1,"Positive","Negative")</f>
        <v>Positive</v>
      </c>
      <c r="T1043" s="1">
        <f>IFERROR(VLOOKUP(A1043,[1]diabetes_Recognition!$A:$B,2,FALSE),"Not Sampled")</f>
        <v>0</v>
      </c>
      <c r="U1043" t="str">
        <f>IF(T1043=1,"Positive",(IF(T1043=0,"Negative","Not Sampled")))</f>
        <v>Negative</v>
      </c>
      <c r="V1043" s="1" t="str">
        <f>IF(U1043="Not Sampled","Not Sampled",IF(S1043=U1043,"Accurate Prediction","Inaccurate Prediction"))</f>
        <v>Inaccurate Prediction</v>
      </c>
    </row>
    <row r="1044" spans="1:22" x14ac:dyDescent="0.25">
      <c r="A1044" s="1">
        <v>1042</v>
      </c>
      <c r="B1044" s="1">
        <v>1</v>
      </c>
      <c r="C1044" s="1">
        <f>LOOKUP(B1044,Sheet2!$D$4:$E$9)</f>
        <v>1</v>
      </c>
      <c r="D1044" s="1">
        <v>93</v>
      </c>
      <c r="E1044" t="str">
        <f>LOOKUP(D1044,Sheet2!$G$4:$H$9)</f>
        <v>1-99</v>
      </c>
      <c r="F1044" s="1">
        <v>56</v>
      </c>
      <c r="G1044" t="str">
        <f>LOOKUP(F1044,Sheet2!$J$4:$K$8)</f>
        <v>1-59</v>
      </c>
      <c r="H1044" s="1">
        <v>11</v>
      </c>
      <c r="I1044" t="str">
        <f>LOOKUP(H1044,Sheet2!$M$4:$N$8)</f>
        <v>10-30</v>
      </c>
      <c r="J1044" s="1">
        <v>0</v>
      </c>
      <c r="K1044" t="str">
        <f>LOOKUP(J1044,Sheet2!$P$4:$Q$9)</f>
        <v>Unknown</v>
      </c>
      <c r="L1044" s="1">
        <v>22.5</v>
      </c>
      <c r="M1044" t="str">
        <f>LOOKUP(L1044,Sheet2!$S$4:$T$8)</f>
        <v>1-25</v>
      </c>
      <c r="N1044" s="1">
        <v>0.41699999999999998</v>
      </c>
      <c r="O1044" t="str">
        <f>LOOKUP(N1044,Sheet2!$V$4:$W$7)</f>
        <v>0.4 - 0.69</v>
      </c>
      <c r="P1044" s="1">
        <v>22</v>
      </c>
      <c r="Q1044" t="str">
        <f>LOOKUP(P1044,Sheet2!$Z$4:$AA$7)</f>
        <v>&lt;=25</v>
      </c>
      <c r="R1044" s="1">
        <v>0</v>
      </c>
      <c r="S1044" t="str">
        <f>IF(R1044=1,"Positive","Negative")</f>
        <v>Negative</v>
      </c>
      <c r="T1044" s="1" t="str">
        <f>IFERROR(VLOOKUP(A1044,[1]diabetes_Recognition!$A:$B,2,FALSE),"Not Sampled")</f>
        <v>Not Sampled</v>
      </c>
      <c r="U1044" t="str">
        <f>IF(T1044=1,"Positive",(IF(T1044=0,"Negative","Not Sampled")))</f>
        <v>Not Sampled</v>
      </c>
      <c r="V1044" s="1" t="str">
        <f>IF(U1044="Not Sampled","Not Sampled",IF(S1044=U1044,"Accurate Prediction","Inaccurate Prediction"))</f>
        <v>Not Sampled</v>
      </c>
    </row>
    <row r="1045" spans="1:22" x14ac:dyDescent="0.25">
      <c r="A1045" s="1">
        <v>1043</v>
      </c>
      <c r="B1045" s="1">
        <v>8</v>
      </c>
      <c r="C1045" s="1" t="str">
        <f>LOOKUP(B1045,Sheet2!$D$4:$E$9)</f>
        <v>8+</v>
      </c>
      <c r="D1045" s="1">
        <v>143</v>
      </c>
      <c r="E1045" t="str">
        <f>LOOKUP(D1045,Sheet2!$G$4:$H$9)</f>
        <v>126-150</v>
      </c>
      <c r="F1045" s="1">
        <v>66</v>
      </c>
      <c r="G1045" t="str">
        <f>LOOKUP(F1045,Sheet2!$J$4:$K$8)</f>
        <v>60-69</v>
      </c>
      <c r="H1045" s="1">
        <v>0</v>
      </c>
      <c r="I1045" t="str">
        <f>LOOKUP(H1045,Sheet2!$M$4:$N$8)</f>
        <v>Unknown</v>
      </c>
      <c r="J1045" s="1">
        <v>0</v>
      </c>
      <c r="K1045" t="str">
        <f>LOOKUP(J1045,Sheet2!$P$4:$Q$9)</f>
        <v>Unknown</v>
      </c>
      <c r="L1045" s="1">
        <v>34.9</v>
      </c>
      <c r="M1045" t="str">
        <f>LOOKUP(L1045,Sheet2!$S$4:$T$8)</f>
        <v>31-35</v>
      </c>
      <c r="N1045" s="1">
        <v>0.129</v>
      </c>
      <c r="O1045" t="str">
        <f>LOOKUP(N1045,Sheet2!$V$4:$W$7)</f>
        <v>0.0 - 0.249</v>
      </c>
      <c r="P1045" s="1">
        <v>41</v>
      </c>
      <c r="Q1045" t="str">
        <f>LOOKUP(P1045,Sheet2!$Z$4:$AA$7)</f>
        <v>36-45</v>
      </c>
      <c r="R1045" s="1">
        <v>1</v>
      </c>
      <c r="S1045" t="str">
        <f>IF(R1045=1,"Positive","Negative")</f>
        <v>Positive</v>
      </c>
      <c r="T1045" s="1" t="str">
        <f>IFERROR(VLOOKUP(A1045,[1]diabetes_Recognition!$A:$B,2,FALSE),"Not Sampled")</f>
        <v>Not Sampled</v>
      </c>
      <c r="U1045" t="str">
        <f>IF(T1045=1,"Positive",(IF(T1045=0,"Negative","Not Sampled")))</f>
        <v>Not Sampled</v>
      </c>
      <c r="V1045" s="1" t="str">
        <f>IF(U1045="Not Sampled","Not Sampled",IF(S1045=U1045,"Accurate Prediction","Inaccurate Prediction"))</f>
        <v>Not Sampled</v>
      </c>
    </row>
    <row r="1046" spans="1:22" x14ac:dyDescent="0.25">
      <c r="A1046" s="1">
        <v>1044</v>
      </c>
      <c r="B1046" s="1">
        <v>6</v>
      </c>
      <c r="C1046" s="1" t="str">
        <f>LOOKUP(B1046,Sheet2!$D$4:$E$9)</f>
        <v>5-7</v>
      </c>
      <c r="D1046" s="1">
        <v>103</v>
      </c>
      <c r="E1046" t="str">
        <f>LOOKUP(D1046,Sheet2!$G$4:$H$9)</f>
        <v>100-125</v>
      </c>
      <c r="F1046" s="1">
        <v>66</v>
      </c>
      <c r="G1046" t="str">
        <f>LOOKUP(F1046,Sheet2!$J$4:$K$8)</f>
        <v>60-69</v>
      </c>
      <c r="H1046" s="1">
        <v>0</v>
      </c>
      <c r="I1046" t="str">
        <f>LOOKUP(H1046,Sheet2!$M$4:$N$8)</f>
        <v>Unknown</v>
      </c>
      <c r="J1046" s="1">
        <v>0</v>
      </c>
      <c r="K1046" t="str">
        <f>LOOKUP(J1046,Sheet2!$P$4:$Q$9)</f>
        <v>Unknown</v>
      </c>
      <c r="L1046" s="1">
        <v>24.3</v>
      </c>
      <c r="M1046" t="str">
        <f>LOOKUP(L1046,Sheet2!$S$4:$T$8)</f>
        <v>1-25</v>
      </c>
      <c r="N1046" s="1">
        <v>0.249</v>
      </c>
      <c r="O1046" t="str">
        <f>LOOKUP(N1046,Sheet2!$V$4:$W$7)</f>
        <v>0.0 - 0.249</v>
      </c>
      <c r="P1046" s="1">
        <v>29</v>
      </c>
      <c r="Q1046" t="str">
        <f>LOOKUP(P1046,Sheet2!$Z$4:$AA$7)</f>
        <v>26-35</v>
      </c>
      <c r="R1046" s="1">
        <v>0</v>
      </c>
      <c r="S1046" t="str">
        <f>IF(R1046=1,"Positive","Negative")</f>
        <v>Negative</v>
      </c>
      <c r="T1046" s="1">
        <f>IFERROR(VLOOKUP(A1046,[1]diabetes_Recognition!$A:$B,2,FALSE),"Not Sampled")</f>
        <v>0</v>
      </c>
      <c r="U1046" t="str">
        <f>IF(T1046=1,"Positive",(IF(T1046=0,"Negative","Not Sampled")))</f>
        <v>Negative</v>
      </c>
      <c r="V1046" s="1" t="str">
        <f>IF(U1046="Not Sampled","Not Sampled",IF(S1046=U1046,"Accurate Prediction","Inaccurate Prediction"))</f>
        <v>Accurate Prediction</v>
      </c>
    </row>
    <row r="1047" spans="1:22" x14ac:dyDescent="0.25">
      <c r="A1047" s="1">
        <v>1045</v>
      </c>
      <c r="B1047" s="1">
        <v>3</v>
      </c>
      <c r="C1047" s="1" t="str">
        <f>LOOKUP(B1047,Sheet2!$D$4:$E$9)</f>
        <v>3-4</v>
      </c>
      <c r="D1047" s="1">
        <v>176</v>
      </c>
      <c r="E1047" t="str">
        <f>LOOKUP(D1047,Sheet2!$G$4:$H$9)</f>
        <v>176-200</v>
      </c>
      <c r="F1047" s="1">
        <v>86</v>
      </c>
      <c r="G1047" t="str">
        <f>LOOKUP(F1047,Sheet2!$J$4:$K$8)</f>
        <v>80+</v>
      </c>
      <c r="H1047" s="1">
        <v>27</v>
      </c>
      <c r="I1047" t="str">
        <f>LOOKUP(H1047,Sheet2!$M$4:$N$8)</f>
        <v>10-30</v>
      </c>
      <c r="J1047" s="1">
        <v>156</v>
      </c>
      <c r="K1047" t="str">
        <f>LOOKUP(J1047,Sheet2!$P$4:$Q$9)</f>
        <v>100-199</v>
      </c>
      <c r="L1047" s="1">
        <v>33.299999999999997</v>
      </c>
      <c r="M1047" t="str">
        <f>LOOKUP(L1047,Sheet2!$S$4:$T$8)</f>
        <v>31-35</v>
      </c>
      <c r="N1047" s="1">
        <v>1.1539999999999999</v>
      </c>
      <c r="O1047" t="str">
        <f>LOOKUP(N1047,Sheet2!$V$4:$W$7)</f>
        <v>0.7+</v>
      </c>
      <c r="P1047" s="1">
        <v>52</v>
      </c>
      <c r="Q1047" t="str">
        <f>LOOKUP(P1047,Sheet2!$Z$4:$AA$7)</f>
        <v>46+</v>
      </c>
      <c r="R1047" s="1">
        <v>1</v>
      </c>
      <c r="S1047" t="str">
        <f>IF(R1047=1,"Positive","Negative")</f>
        <v>Positive</v>
      </c>
      <c r="T1047" s="1" t="str">
        <f>IFERROR(VLOOKUP(A1047,[1]diabetes_Recognition!$A:$B,2,FALSE),"Not Sampled")</f>
        <v>Not Sampled</v>
      </c>
      <c r="U1047" t="str">
        <f>IF(T1047=1,"Positive",(IF(T1047=0,"Negative","Not Sampled")))</f>
        <v>Not Sampled</v>
      </c>
      <c r="V1047" s="1" t="str">
        <f>IF(U1047="Not Sampled","Not Sampled",IF(S1047=U1047,"Accurate Prediction","Inaccurate Prediction"))</f>
        <v>Not Sampled</v>
      </c>
    </row>
    <row r="1048" spans="1:22" x14ac:dyDescent="0.25">
      <c r="A1048" s="1">
        <v>1046</v>
      </c>
      <c r="B1048" s="1">
        <v>0</v>
      </c>
      <c r="C1048" s="1">
        <f>LOOKUP(B1048,Sheet2!$D$4:$E$9)</f>
        <v>0</v>
      </c>
      <c r="D1048" s="1">
        <v>73</v>
      </c>
      <c r="E1048" t="str">
        <f>LOOKUP(D1048,Sheet2!$G$4:$H$9)</f>
        <v>1-99</v>
      </c>
      <c r="F1048" s="1">
        <v>0</v>
      </c>
      <c r="G1048" t="str">
        <f>LOOKUP(F1048,Sheet2!$J$4:$K$8)</f>
        <v>Unknown</v>
      </c>
      <c r="H1048" s="1">
        <v>0</v>
      </c>
      <c r="I1048" t="str">
        <f>LOOKUP(H1048,Sheet2!$M$4:$N$8)</f>
        <v>Unknown</v>
      </c>
      <c r="J1048" s="1">
        <v>0</v>
      </c>
      <c r="K1048" t="str">
        <f>LOOKUP(J1048,Sheet2!$P$4:$Q$9)</f>
        <v>Unknown</v>
      </c>
      <c r="L1048" s="1">
        <v>21.1</v>
      </c>
      <c r="M1048" t="str">
        <f>LOOKUP(L1048,Sheet2!$S$4:$T$8)</f>
        <v>1-25</v>
      </c>
      <c r="N1048" s="1">
        <v>0.34200000000000003</v>
      </c>
      <c r="O1048" t="str">
        <f>LOOKUP(N1048,Sheet2!$V$4:$W$7)</f>
        <v>0.25 - 0.39</v>
      </c>
      <c r="P1048" s="1">
        <v>25</v>
      </c>
      <c r="Q1048" t="str">
        <f>LOOKUP(P1048,Sheet2!$Z$4:$AA$7)</f>
        <v>&lt;=25</v>
      </c>
      <c r="R1048" s="1">
        <v>0</v>
      </c>
      <c r="S1048" t="str">
        <f>IF(R1048=1,"Positive","Negative")</f>
        <v>Negative</v>
      </c>
      <c r="T1048" s="1" t="str">
        <f>IFERROR(VLOOKUP(A1048,[1]diabetes_Recognition!$A:$B,2,FALSE),"Not Sampled")</f>
        <v>Not Sampled</v>
      </c>
      <c r="U1048" t="str">
        <f>IF(T1048=1,"Positive",(IF(T1048=0,"Negative","Not Sampled")))</f>
        <v>Not Sampled</v>
      </c>
      <c r="V1048" s="1" t="str">
        <f>IF(U1048="Not Sampled","Not Sampled",IF(S1048=U1048,"Accurate Prediction","Inaccurate Prediction"))</f>
        <v>Not Sampled</v>
      </c>
    </row>
    <row r="1049" spans="1:22" x14ac:dyDescent="0.25">
      <c r="A1049" s="1">
        <v>1047</v>
      </c>
      <c r="B1049" s="1">
        <v>11</v>
      </c>
      <c r="C1049" s="1" t="str">
        <f>LOOKUP(B1049,Sheet2!$D$4:$E$9)</f>
        <v>8+</v>
      </c>
      <c r="D1049" s="1">
        <v>111</v>
      </c>
      <c r="E1049" t="str">
        <f>LOOKUP(D1049,Sheet2!$G$4:$H$9)</f>
        <v>100-125</v>
      </c>
      <c r="F1049" s="1">
        <v>84</v>
      </c>
      <c r="G1049" t="str">
        <f>LOOKUP(F1049,Sheet2!$J$4:$K$8)</f>
        <v>80+</v>
      </c>
      <c r="H1049" s="1">
        <v>40</v>
      </c>
      <c r="I1049" t="str">
        <f>LOOKUP(H1049,Sheet2!$M$4:$N$8)</f>
        <v>40+</v>
      </c>
      <c r="J1049" s="1">
        <v>0</v>
      </c>
      <c r="K1049" t="str">
        <f>LOOKUP(J1049,Sheet2!$P$4:$Q$9)</f>
        <v>Unknown</v>
      </c>
      <c r="L1049" s="1">
        <v>46.8</v>
      </c>
      <c r="M1049" t="str">
        <f>LOOKUP(L1049,Sheet2!$S$4:$T$8)</f>
        <v>36+</v>
      </c>
      <c r="N1049" s="1">
        <v>0.92500000000000004</v>
      </c>
      <c r="O1049" t="str">
        <f>LOOKUP(N1049,Sheet2!$V$4:$W$7)</f>
        <v>0.7+</v>
      </c>
      <c r="P1049" s="1">
        <v>45</v>
      </c>
      <c r="Q1049" t="str">
        <f>LOOKUP(P1049,Sheet2!$Z$4:$AA$7)</f>
        <v>36-45</v>
      </c>
      <c r="R1049" s="1">
        <v>1</v>
      </c>
      <c r="S1049" t="str">
        <f>IF(R1049=1,"Positive","Negative")</f>
        <v>Positive</v>
      </c>
      <c r="T1049" s="1">
        <f>IFERROR(VLOOKUP(A1049,[1]diabetes_Recognition!$A:$B,2,FALSE),"Not Sampled")</f>
        <v>1</v>
      </c>
      <c r="U1049" t="str">
        <f>IF(T1049=1,"Positive",(IF(T1049=0,"Negative","Not Sampled")))</f>
        <v>Positive</v>
      </c>
      <c r="V1049" s="1" t="str">
        <f>IF(U1049="Not Sampled","Not Sampled",IF(S1049=U1049,"Accurate Prediction","Inaccurate Prediction"))</f>
        <v>Accurate Prediction</v>
      </c>
    </row>
    <row r="1050" spans="1:22" x14ac:dyDescent="0.25">
      <c r="A1050" s="1">
        <v>1048</v>
      </c>
      <c r="B1050" s="1">
        <v>2</v>
      </c>
      <c r="C1050" s="1">
        <f>LOOKUP(B1050,Sheet2!$D$4:$E$9)</f>
        <v>2</v>
      </c>
      <c r="D1050" s="1">
        <v>112</v>
      </c>
      <c r="E1050" t="str">
        <f>LOOKUP(D1050,Sheet2!$G$4:$H$9)</f>
        <v>100-125</v>
      </c>
      <c r="F1050" s="1">
        <v>78</v>
      </c>
      <c r="G1050" t="str">
        <f>LOOKUP(F1050,Sheet2!$J$4:$K$8)</f>
        <v>70-79</v>
      </c>
      <c r="H1050" s="1">
        <v>50</v>
      </c>
      <c r="I1050" t="str">
        <f>LOOKUP(H1050,Sheet2!$M$4:$N$8)</f>
        <v>40+</v>
      </c>
      <c r="J1050" s="1">
        <v>140</v>
      </c>
      <c r="K1050" t="str">
        <f>LOOKUP(J1050,Sheet2!$P$4:$Q$9)</f>
        <v>100-199</v>
      </c>
      <c r="L1050" s="1">
        <v>39.4</v>
      </c>
      <c r="M1050" t="str">
        <f>LOOKUP(L1050,Sheet2!$S$4:$T$8)</f>
        <v>36+</v>
      </c>
      <c r="N1050" s="1">
        <v>0.17499999999999999</v>
      </c>
      <c r="O1050" t="str">
        <f>LOOKUP(N1050,Sheet2!$V$4:$W$7)</f>
        <v>0.0 - 0.249</v>
      </c>
      <c r="P1050" s="1">
        <v>24</v>
      </c>
      <c r="Q1050" t="str">
        <f>LOOKUP(P1050,Sheet2!$Z$4:$AA$7)</f>
        <v>&lt;=25</v>
      </c>
      <c r="R1050" s="1">
        <v>0</v>
      </c>
      <c r="S1050" t="str">
        <f>IF(R1050=1,"Positive","Negative")</f>
        <v>Negative</v>
      </c>
      <c r="T1050" s="1" t="str">
        <f>IFERROR(VLOOKUP(A1050,[1]diabetes_Recognition!$A:$B,2,FALSE),"Not Sampled")</f>
        <v>Not Sampled</v>
      </c>
      <c r="U1050" t="str">
        <f>IF(T1050=1,"Positive",(IF(T1050=0,"Negative","Not Sampled")))</f>
        <v>Not Sampled</v>
      </c>
      <c r="V1050" s="1" t="str">
        <f>IF(U1050="Not Sampled","Not Sampled",IF(S1050=U1050,"Accurate Prediction","Inaccurate Prediction"))</f>
        <v>Not Sampled</v>
      </c>
    </row>
    <row r="1051" spans="1:22" x14ac:dyDescent="0.25">
      <c r="A1051" s="1">
        <v>1049</v>
      </c>
      <c r="B1051" s="1">
        <v>3</v>
      </c>
      <c r="C1051" s="1" t="str">
        <f>LOOKUP(B1051,Sheet2!$D$4:$E$9)</f>
        <v>3-4</v>
      </c>
      <c r="D1051" s="1">
        <v>132</v>
      </c>
      <c r="E1051" t="str">
        <f>LOOKUP(D1051,Sheet2!$G$4:$H$9)</f>
        <v>126-150</v>
      </c>
      <c r="F1051" s="1">
        <v>80</v>
      </c>
      <c r="G1051" t="str">
        <f>LOOKUP(F1051,Sheet2!$J$4:$K$8)</f>
        <v>80+</v>
      </c>
      <c r="H1051" s="1">
        <v>0</v>
      </c>
      <c r="I1051" t="str">
        <f>LOOKUP(H1051,Sheet2!$M$4:$N$8)</f>
        <v>Unknown</v>
      </c>
      <c r="J1051" s="1">
        <v>0</v>
      </c>
      <c r="K1051" t="str">
        <f>LOOKUP(J1051,Sheet2!$P$4:$Q$9)</f>
        <v>Unknown</v>
      </c>
      <c r="L1051" s="1">
        <v>34.4</v>
      </c>
      <c r="M1051" t="str">
        <f>LOOKUP(L1051,Sheet2!$S$4:$T$8)</f>
        <v>31-35</v>
      </c>
      <c r="N1051" s="1">
        <v>0.40200000000000002</v>
      </c>
      <c r="O1051" t="str">
        <f>LOOKUP(N1051,Sheet2!$V$4:$W$7)</f>
        <v>0.4 - 0.69</v>
      </c>
      <c r="P1051" s="1">
        <v>44</v>
      </c>
      <c r="Q1051" t="str">
        <f>LOOKUP(P1051,Sheet2!$Z$4:$AA$7)</f>
        <v>36-45</v>
      </c>
      <c r="R1051" s="1">
        <v>1</v>
      </c>
      <c r="S1051" t="str">
        <f>IF(R1051=1,"Positive","Negative")</f>
        <v>Positive</v>
      </c>
      <c r="T1051" s="1" t="str">
        <f>IFERROR(VLOOKUP(A1051,[1]diabetes_Recognition!$A:$B,2,FALSE),"Not Sampled")</f>
        <v>Not Sampled</v>
      </c>
      <c r="U1051" t="str">
        <f>IF(T1051=1,"Positive",(IF(T1051=0,"Negative","Not Sampled")))</f>
        <v>Not Sampled</v>
      </c>
      <c r="V1051" s="1" t="str">
        <f>IF(U1051="Not Sampled","Not Sampled",IF(S1051=U1051,"Accurate Prediction","Inaccurate Prediction"))</f>
        <v>Not Sampled</v>
      </c>
    </row>
    <row r="1052" spans="1:22" x14ac:dyDescent="0.25">
      <c r="A1052" s="1">
        <v>1050</v>
      </c>
      <c r="B1052" s="1">
        <v>2</v>
      </c>
      <c r="C1052" s="1">
        <f>LOOKUP(B1052,Sheet2!$D$4:$E$9)</f>
        <v>2</v>
      </c>
      <c r="D1052" s="1">
        <v>82</v>
      </c>
      <c r="E1052" t="str">
        <f>LOOKUP(D1052,Sheet2!$G$4:$H$9)</f>
        <v>1-99</v>
      </c>
      <c r="F1052" s="1">
        <v>52</v>
      </c>
      <c r="G1052" t="str">
        <f>LOOKUP(F1052,Sheet2!$J$4:$K$8)</f>
        <v>1-59</v>
      </c>
      <c r="H1052" s="1">
        <v>22</v>
      </c>
      <c r="I1052" t="str">
        <f>LOOKUP(H1052,Sheet2!$M$4:$N$8)</f>
        <v>10-30</v>
      </c>
      <c r="J1052" s="1">
        <v>115</v>
      </c>
      <c r="K1052" t="str">
        <f>LOOKUP(J1052,Sheet2!$P$4:$Q$9)</f>
        <v>100-199</v>
      </c>
      <c r="L1052" s="1">
        <v>28.5</v>
      </c>
      <c r="M1052" t="str">
        <f>LOOKUP(L1052,Sheet2!$S$4:$T$8)</f>
        <v>26-30</v>
      </c>
      <c r="N1052" s="1">
        <v>1.6990000000000001</v>
      </c>
      <c r="O1052" t="str">
        <f>LOOKUP(N1052,Sheet2!$V$4:$W$7)</f>
        <v>0.7+</v>
      </c>
      <c r="P1052" s="1">
        <v>25</v>
      </c>
      <c r="Q1052" t="str">
        <f>LOOKUP(P1052,Sheet2!$Z$4:$AA$7)</f>
        <v>&lt;=25</v>
      </c>
      <c r="R1052" s="1">
        <v>0</v>
      </c>
      <c r="S1052" t="str">
        <f>IF(R1052=1,"Positive","Negative")</f>
        <v>Negative</v>
      </c>
      <c r="T1052" s="1" t="str">
        <f>IFERROR(VLOOKUP(A1052,[1]diabetes_Recognition!$A:$B,2,FALSE),"Not Sampled")</f>
        <v>Not Sampled</v>
      </c>
      <c r="U1052" t="str">
        <f>IF(T1052=1,"Positive",(IF(T1052=0,"Negative","Not Sampled")))</f>
        <v>Not Sampled</v>
      </c>
      <c r="V1052" s="1" t="str">
        <f>IF(U1052="Not Sampled","Not Sampled",IF(S1052=U1052,"Accurate Prediction","Inaccurate Prediction"))</f>
        <v>Not Sampled</v>
      </c>
    </row>
    <row r="1053" spans="1:22" x14ac:dyDescent="0.25">
      <c r="A1053" s="1">
        <v>1051</v>
      </c>
      <c r="B1053" s="1">
        <v>6</v>
      </c>
      <c r="C1053" s="1" t="str">
        <f>LOOKUP(B1053,Sheet2!$D$4:$E$9)</f>
        <v>5-7</v>
      </c>
      <c r="D1053" s="1">
        <v>123</v>
      </c>
      <c r="E1053" t="str">
        <f>LOOKUP(D1053,Sheet2!$G$4:$H$9)</f>
        <v>100-125</v>
      </c>
      <c r="F1053" s="1">
        <v>72</v>
      </c>
      <c r="G1053" t="str">
        <f>LOOKUP(F1053,Sheet2!$J$4:$K$8)</f>
        <v>70-79</v>
      </c>
      <c r="H1053" s="1">
        <v>45</v>
      </c>
      <c r="I1053" t="str">
        <f>LOOKUP(H1053,Sheet2!$M$4:$N$8)</f>
        <v>40+</v>
      </c>
      <c r="J1053" s="1">
        <v>230</v>
      </c>
      <c r="K1053" t="str">
        <f>LOOKUP(J1053,Sheet2!$P$4:$Q$9)</f>
        <v>200-399</v>
      </c>
      <c r="L1053" s="1">
        <v>33.6</v>
      </c>
      <c r="M1053" t="str">
        <f>LOOKUP(L1053,Sheet2!$S$4:$T$8)</f>
        <v>31-35</v>
      </c>
      <c r="N1053" s="1">
        <v>0.73299999999999998</v>
      </c>
      <c r="O1053" t="str">
        <f>LOOKUP(N1053,Sheet2!$V$4:$W$7)</f>
        <v>0.7+</v>
      </c>
      <c r="P1053" s="1">
        <v>34</v>
      </c>
      <c r="Q1053" t="str">
        <f>LOOKUP(P1053,Sheet2!$Z$4:$AA$7)</f>
        <v>26-35</v>
      </c>
      <c r="R1053" s="1">
        <v>0</v>
      </c>
      <c r="S1053" t="str">
        <f>IF(R1053=1,"Positive","Negative")</f>
        <v>Negative</v>
      </c>
      <c r="T1053" s="1">
        <f>IFERROR(VLOOKUP(A1053,[1]diabetes_Recognition!$A:$B,2,FALSE),"Not Sampled")</f>
        <v>0</v>
      </c>
      <c r="U1053" t="str">
        <f>IF(T1053=1,"Positive",(IF(T1053=0,"Negative","Not Sampled")))</f>
        <v>Negative</v>
      </c>
      <c r="V1053" s="1" t="str">
        <f>IF(U1053="Not Sampled","Not Sampled",IF(S1053=U1053,"Accurate Prediction","Inaccurate Prediction"))</f>
        <v>Accurate Prediction</v>
      </c>
    </row>
    <row r="1054" spans="1:22" x14ac:dyDescent="0.25">
      <c r="A1054" s="1">
        <v>1052</v>
      </c>
      <c r="B1054" s="1">
        <v>0</v>
      </c>
      <c r="C1054" s="1">
        <f>LOOKUP(B1054,Sheet2!$D$4:$E$9)</f>
        <v>0</v>
      </c>
      <c r="D1054" s="1">
        <v>188</v>
      </c>
      <c r="E1054" t="str">
        <f>LOOKUP(D1054,Sheet2!$G$4:$H$9)</f>
        <v>176-200</v>
      </c>
      <c r="F1054" s="1">
        <v>82</v>
      </c>
      <c r="G1054" t="str">
        <f>LOOKUP(F1054,Sheet2!$J$4:$K$8)</f>
        <v>80+</v>
      </c>
      <c r="H1054" s="1">
        <v>14</v>
      </c>
      <c r="I1054" t="str">
        <f>LOOKUP(H1054,Sheet2!$M$4:$N$8)</f>
        <v>10-30</v>
      </c>
      <c r="J1054" s="1">
        <v>185</v>
      </c>
      <c r="K1054" t="str">
        <f>LOOKUP(J1054,Sheet2!$P$4:$Q$9)</f>
        <v>100-199</v>
      </c>
      <c r="L1054" s="1">
        <v>32</v>
      </c>
      <c r="M1054" t="str">
        <f>LOOKUP(L1054,Sheet2!$S$4:$T$8)</f>
        <v>31-35</v>
      </c>
      <c r="N1054" s="1">
        <v>0.68200000000000005</v>
      </c>
      <c r="O1054" t="str">
        <f>LOOKUP(N1054,Sheet2!$V$4:$W$7)</f>
        <v>0.4 - 0.69</v>
      </c>
      <c r="P1054" s="1">
        <v>22</v>
      </c>
      <c r="Q1054" t="str">
        <f>LOOKUP(P1054,Sheet2!$Z$4:$AA$7)</f>
        <v>&lt;=25</v>
      </c>
      <c r="R1054" s="1">
        <v>1</v>
      </c>
      <c r="S1054" t="str">
        <f>IF(R1054=1,"Positive","Negative")</f>
        <v>Positive</v>
      </c>
      <c r="T1054" s="1" t="str">
        <f>IFERROR(VLOOKUP(A1054,[1]diabetes_Recognition!$A:$B,2,FALSE),"Not Sampled")</f>
        <v>Not Sampled</v>
      </c>
      <c r="U1054" t="str">
        <f>IF(T1054=1,"Positive",(IF(T1054=0,"Negative","Not Sampled")))</f>
        <v>Not Sampled</v>
      </c>
      <c r="V1054" s="1" t="str">
        <f>IF(U1054="Not Sampled","Not Sampled",IF(S1054=U1054,"Accurate Prediction","Inaccurate Prediction"))</f>
        <v>Not Sampled</v>
      </c>
    </row>
    <row r="1055" spans="1:22" x14ac:dyDescent="0.25">
      <c r="A1055" s="1">
        <v>1053</v>
      </c>
      <c r="B1055" s="1">
        <v>0</v>
      </c>
      <c r="C1055" s="1">
        <f>LOOKUP(B1055,Sheet2!$D$4:$E$9)</f>
        <v>0</v>
      </c>
      <c r="D1055" s="1">
        <v>67</v>
      </c>
      <c r="E1055" t="str">
        <f>LOOKUP(D1055,Sheet2!$G$4:$H$9)</f>
        <v>1-99</v>
      </c>
      <c r="F1055" s="1">
        <v>76</v>
      </c>
      <c r="G1055" t="str">
        <f>LOOKUP(F1055,Sheet2!$J$4:$K$8)</f>
        <v>70-79</v>
      </c>
      <c r="H1055" s="1">
        <v>0</v>
      </c>
      <c r="I1055" t="str">
        <f>LOOKUP(H1055,Sheet2!$M$4:$N$8)</f>
        <v>Unknown</v>
      </c>
      <c r="J1055" s="1">
        <v>0</v>
      </c>
      <c r="K1055" t="str">
        <f>LOOKUP(J1055,Sheet2!$P$4:$Q$9)</f>
        <v>Unknown</v>
      </c>
      <c r="L1055" s="1">
        <v>45.3</v>
      </c>
      <c r="M1055" t="str">
        <f>LOOKUP(L1055,Sheet2!$S$4:$T$8)</f>
        <v>36+</v>
      </c>
      <c r="N1055" s="1">
        <v>0.19400000000000001</v>
      </c>
      <c r="O1055" t="str">
        <f>LOOKUP(N1055,Sheet2!$V$4:$W$7)</f>
        <v>0.0 - 0.249</v>
      </c>
      <c r="P1055" s="1">
        <v>46</v>
      </c>
      <c r="Q1055" t="str">
        <f>LOOKUP(P1055,Sheet2!$Z$4:$AA$7)</f>
        <v>46+</v>
      </c>
      <c r="R1055" s="1">
        <v>0</v>
      </c>
      <c r="S1055" t="str">
        <f>IF(R1055=1,"Positive","Negative")</f>
        <v>Negative</v>
      </c>
      <c r="T1055" s="1">
        <f>IFERROR(VLOOKUP(A1055,[1]diabetes_Recognition!$A:$B,2,FALSE),"Not Sampled")</f>
        <v>0</v>
      </c>
      <c r="U1055" t="str">
        <f>IF(T1055=1,"Positive",(IF(T1055=0,"Negative","Not Sampled")))</f>
        <v>Negative</v>
      </c>
      <c r="V1055" s="1" t="str">
        <f>IF(U1055="Not Sampled","Not Sampled",IF(S1055=U1055,"Accurate Prediction","Inaccurate Prediction"))</f>
        <v>Accurate Prediction</v>
      </c>
    </row>
    <row r="1056" spans="1:22" x14ac:dyDescent="0.25">
      <c r="A1056" s="1">
        <v>1054</v>
      </c>
      <c r="B1056" s="1">
        <v>1</v>
      </c>
      <c r="C1056" s="1">
        <f>LOOKUP(B1056,Sheet2!$D$4:$E$9)</f>
        <v>1</v>
      </c>
      <c r="D1056" s="1">
        <v>89</v>
      </c>
      <c r="E1056" t="str">
        <f>LOOKUP(D1056,Sheet2!$G$4:$H$9)</f>
        <v>1-99</v>
      </c>
      <c r="F1056" s="1">
        <v>24</v>
      </c>
      <c r="G1056" t="str">
        <f>LOOKUP(F1056,Sheet2!$J$4:$K$8)</f>
        <v>1-59</v>
      </c>
      <c r="H1056" s="1">
        <v>19</v>
      </c>
      <c r="I1056" t="str">
        <f>LOOKUP(H1056,Sheet2!$M$4:$N$8)</f>
        <v>10-30</v>
      </c>
      <c r="J1056" s="1">
        <v>25</v>
      </c>
      <c r="K1056" t="str">
        <f>LOOKUP(J1056,Sheet2!$P$4:$Q$9)</f>
        <v>1-99</v>
      </c>
      <c r="L1056" s="1">
        <v>27.8</v>
      </c>
      <c r="M1056" t="str">
        <f>LOOKUP(L1056,Sheet2!$S$4:$T$8)</f>
        <v>26-30</v>
      </c>
      <c r="N1056" s="1">
        <v>0.55900000000000005</v>
      </c>
      <c r="O1056" t="str">
        <f>LOOKUP(N1056,Sheet2!$V$4:$W$7)</f>
        <v>0.4 - 0.69</v>
      </c>
      <c r="P1056" s="1">
        <v>21</v>
      </c>
      <c r="Q1056" t="str">
        <f>LOOKUP(P1056,Sheet2!$Z$4:$AA$7)</f>
        <v>&lt;=25</v>
      </c>
      <c r="R1056" s="1">
        <v>0</v>
      </c>
      <c r="S1056" t="str">
        <f>IF(R1056=1,"Positive","Negative")</f>
        <v>Negative</v>
      </c>
      <c r="T1056" s="1" t="str">
        <f>IFERROR(VLOOKUP(A1056,[1]diabetes_Recognition!$A:$B,2,FALSE),"Not Sampled")</f>
        <v>Not Sampled</v>
      </c>
      <c r="U1056" t="str">
        <f>IF(T1056=1,"Positive",(IF(T1056=0,"Negative","Not Sampled")))</f>
        <v>Not Sampled</v>
      </c>
      <c r="V1056" s="1" t="str">
        <f>IF(U1056="Not Sampled","Not Sampled",IF(S1056=U1056,"Accurate Prediction","Inaccurate Prediction"))</f>
        <v>Not Sampled</v>
      </c>
    </row>
    <row r="1057" spans="1:22" x14ac:dyDescent="0.25">
      <c r="A1057" s="1">
        <v>1055</v>
      </c>
      <c r="B1057" s="1">
        <v>1</v>
      </c>
      <c r="C1057" s="1">
        <f>LOOKUP(B1057,Sheet2!$D$4:$E$9)</f>
        <v>1</v>
      </c>
      <c r="D1057" s="1">
        <v>173</v>
      </c>
      <c r="E1057" t="str">
        <f>LOOKUP(D1057,Sheet2!$G$4:$H$9)</f>
        <v>151-175</v>
      </c>
      <c r="F1057" s="1">
        <v>74</v>
      </c>
      <c r="G1057" t="str">
        <f>LOOKUP(F1057,Sheet2!$J$4:$K$8)</f>
        <v>70-79</v>
      </c>
      <c r="H1057" s="1">
        <v>0</v>
      </c>
      <c r="I1057" t="str">
        <f>LOOKUP(H1057,Sheet2!$M$4:$N$8)</f>
        <v>Unknown</v>
      </c>
      <c r="J1057" s="1">
        <v>0</v>
      </c>
      <c r="K1057" t="str">
        <f>LOOKUP(J1057,Sheet2!$P$4:$Q$9)</f>
        <v>Unknown</v>
      </c>
      <c r="L1057" s="1">
        <v>36.799999999999997</v>
      </c>
      <c r="M1057" t="str">
        <f>LOOKUP(L1057,Sheet2!$S$4:$T$8)</f>
        <v>36+</v>
      </c>
      <c r="N1057" s="1">
        <v>8.7999999999999995E-2</v>
      </c>
      <c r="O1057" t="str">
        <f>LOOKUP(N1057,Sheet2!$V$4:$W$7)</f>
        <v>0.0 - 0.249</v>
      </c>
      <c r="P1057" s="1">
        <v>38</v>
      </c>
      <c r="Q1057" t="str">
        <f>LOOKUP(P1057,Sheet2!$Z$4:$AA$7)</f>
        <v>36-45</v>
      </c>
      <c r="R1057" s="1">
        <v>1</v>
      </c>
      <c r="S1057" t="str">
        <f>IF(R1057=1,"Positive","Negative")</f>
        <v>Positive</v>
      </c>
      <c r="T1057" s="1" t="str">
        <f>IFERROR(VLOOKUP(A1057,[1]diabetes_Recognition!$A:$B,2,FALSE),"Not Sampled")</f>
        <v>Not Sampled</v>
      </c>
      <c r="U1057" t="str">
        <f>IF(T1057=1,"Positive",(IF(T1057=0,"Negative","Not Sampled")))</f>
        <v>Not Sampled</v>
      </c>
      <c r="V1057" s="1" t="str">
        <f>IF(U1057="Not Sampled","Not Sampled",IF(S1057=U1057,"Accurate Prediction","Inaccurate Prediction"))</f>
        <v>Not Sampled</v>
      </c>
    </row>
    <row r="1058" spans="1:22" x14ac:dyDescent="0.25">
      <c r="A1058" s="1">
        <v>1056</v>
      </c>
      <c r="B1058" s="1">
        <v>1</v>
      </c>
      <c r="C1058" s="1">
        <f>LOOKUP(B1058,Sheet2!$D$4:$E$9)</f>
        <v>1</v>
      </c>
      <c r="D1058" s="1">
        <v>109</v>
      </c>
      <c r="E1058" t="str">
        <f>LOOKUP(D1058,Sheet2!$G$4:$H$9)</f>
        <v>100-125</v>
      </c>
      <c r="F1058" s="1">
        <v>38</v>
      </c>
      <c r="G1058" t="str">
        <f>LOOKUP(F1058,Sheet2!$J$4:$K$8)</f>
        <v>1-59</v>
      </c>
      <c r="H1058" s="1">
        <v>18</v>
      </c>
      <c r="I1058" t="str">
        <f>LOOKUP(H1058,Sheet2!$M$4:$N$8)</f>
        <v>10-30</v>
      </c>
      <c r="J1058" s="1">
        <v>120</v>
      </c>
      <c r="K1058" t="str">
        <f>LOOKUP(J1058,Sheet2!$P$4:$Q$9)</f>
        <v>100-199</v>
      </c>
      <c r="L1058" s="1">
        <v>23.1</v>
      </c>
      <c r="M1058" t="str">
        <f>LOOKUP(L1058,Sheet2!$S$4:$T$8)</f>
        <v>1-25</v>
      </c>
      <c r="N1058" s="1">
        <v>0.40699999999999997</v>
      </c>
      <c r="O1058" t="str">
        <f>LOOKUP(N1058,Sheet2!$V$4:$W$7)</f>
        <v>0.4 - 0.69</v>
      </c>
      <c r="P1058" s="1">
        <v>26</v>
      </c>
      <c r="Q1058" t="str">
        <f>LOOKUP(P1058,Sheet2!$Z$4:$AA$7)</f>
        <v>26-35</v>
      </c>
      <c r="R1058" s="1">
        <v>0</v>
      </c>
      <c r="S1058" t="str">
        <f>IF(R1058=1,"Positive","Negative")</f>
        <v>Negative</v>
      </c>
      <c r="T1058" s="1" t="str">
        <f>IFERROR(VLOOKUP(A1058,[1]diabetes_Recognition!$A:$B,2,FALSE),"Not Sampled")</f>
        <v>Not Sampled</v>
      </c>
      <c r="U1058" t="str">
        <f>IF(T1058=1,"Positive",(IF(T1058=0,"Negative","Not Sampled")))</f>
        <v>Not Sampled</v>
      </c>
      <c r="V1058" s="1" t="str">
        <f>IF(U1058="Not Sampled","Not Sampled",IF(S1058=U1058,"Accurate Prediction","Inaccurate Prediction"))</f>
        <v>Not Sampled</v>
      </c>
    </row>
    <row r="1059" spans="1:22" x14ac:dyDescent="0.25">
      <c r="A1059" s="1">
        <v>1057</v>
      </c>
      <c r="B1059" s="1">
        <v>1</v>
      </c>
      <c r="C1059" s="1">
        <f>LOOKUP(B1059,Sheet2!$D$4:$E$9)</f>
        <v>1</v>
      </c>
      <c r="D1059" s="1">
        <v>108</v>
      </c>
      <c r="E1059" t="str">
        <f>LOOKUP(D1059,Sheet2!$G$4:$H$9)</f>
        <v>100-125</v>
      </c>
      <c r="F1059" s="1">
        <v>88</v>
      </c>
      <c r="G1059" t="str">
        <f>LOOKUP(F1059,Sheet2!$J$4:$K$8)</f>
        <v>80+</v>
      </c>
      <c r="H1059" s="1">
        <v>19</v>
      </c>
      <c r="I1059" t="str">
        <f>LOOKUP(H1059,Sheet2!$M$4:$N$8)</f>
        <v>10-30</v>
      </c>
      <c r="J1059" s="1">
        <v>0</v>
      </c>
      <c r="K1059" t="str">
        <f>LOOKUP(J1059,Sheet2!$P$4:$Q$9)</f>
        <v>Unknown</v>
      </c>
      <c r="L1059" s="1">
        <v>27.1</v>
      </c>
      <c r="M1059" t="str">
        <f>LOOKUP(L1059,Sheet2!$S$4:$T$8)</f>
        <v>26-30</v>
      </c>
      <c r="N1059" s="1">
        <v>0.4</v>
      </c>
      <c r="O1059" t="str">
        <f>LOOKUP(N1059,Sheet2!$V$4:$W$7)</f>
        <v>0.4 - 0.69</v>
      </c>
      <c r="P1059" s="1">
        <v>24</v>
      </c>
      <c r="Q1059" t="str">
        <f>LOOKUP(P1059,Sheet2!$Z$4:$AA$7)</f>
        <v>&lt;=25</v>
      </c>
      <c r="R1059" s="1">
        <v>0</v>
      </c>
      <c r="S1059" t="str">
        <f>IF(R1059=1,"Positive","Negative")</f>
        <v>Negative</v>
      </c>
      <c r="T1059" s="1" t="str">
        <f>IFERROR(VLOOKUP(A1059,[1]diabetes_Recognition!$A:$B,2,FALSE),"Not Sampled")</f>
        <v>Not Sampled</v>
      </c>
      <c r="U1059" t="str">
        <f>IF(T1059=1,"Positive",(IF(T1059=0,"Negative","Not Sampled")))</f>
        <v>Not Sampled</v>
      </c>
      <c r="V1059" s="1" t="str">
        <f>IF(U1059="Not Sampled","Not Sampled",IF(S1059=U1059,"Accurate Prediction","Inaccurate Prediction"))</f>
        <v>Not Sampled</v>
      </c>
    </row>
    <row r="1060" spans="1:22" x14ac:dyDescent="0.25">
      <c r="A1060" s="1">
        <v>1058</v>
      </c>
      <c r="B1060" s="1">
        <v>6</v>
      </c>
      <c r="C1060" s="1" t="str">
        <f>LOOKUP(B1060,Sheet2!$D$4:$E$9)</f>
        <v>5-7</v>
      </c>
      <c r="D1060" s="1">
        <v>96</v>
      </c>
      <c r="E1060" t="str">
        <f>LOOKUP(D1060,Sheet2!$G$4:$H$9)</f>
        <v>1-99</v>
      </c>
      <c r="F1060" s="1">
        <v>0</v>
      </c>
      <c r="G1060" t="str">
        <f>LOOKUP(F1060,Sheet2!$J$4:$K$8)</f>
        <v>Unknown</v>
      </c>
      <c r="H1060" s="1">
        <v>0</v>
      </c>
      <c r="I1060" t="str">
        <f>LOOKUP(H1060,Sheet2!$M$4:$N$8)</f>
        <v>Unknown</v>
      </c>
      <c r="J1060" s="1">
        <v>0</v>
      </c>
      <c r="K1060" t="str">
        <f>LOOKUP(J1060,Sheet2!$P$4:$Q$9)</f>
        <v>Unknown</v>
      </c>
      <c r="L1060" s="1">
        <v>23.7</v>
      </c>
      <c r="M1060" t="str">
        <f>LOOKUP(L1060,Sheet2!$S$4:$T$8)</f>
        <v>1-25</v>
      </c>
      <c r="N1060" s="1">
        <v>0.19</v>
      </c>
      <c r="O1060" t="str">
        <f>LOOKUP(N1060,Sheet2!$V$4:$W$7)</f>
        <v>0.0 - 0.249</v>
      </c>
      <c r="P1060" s="1">
        <v>28</v>
      </c>
      <c r="Q1060" t="str">
        <f>LOOKUP(P1060,Sheet2!$Z$4:$AA$7)</f>
        <v>26-35</v>
      </c>
      <c r="R1060" s="1">
        <v>0</v>
      </c>
      <c r="S1060" t="str">
        <f>IF(R1060=1,"Positive","Negative")</f>
        <v>Negative</v>
      </c>
      <c r="T1060" s="1">
        <f>IFERROR(VLOOKUP(A1060,[1]diabetes_Recognition!$A:$B,2,FALSE),"Not Sampled")</f>
        <v>0</v>
      </c>
      <c r="U1060" t="str">
        <f>IF(T1060=1,"Positive",(IF(T1060=0,"Negative","Not Sampled")))</f>
        <v>Negative</v>
      </c>
      <c r="V1060" s="1" t="str">
        <f>IF(U1060="Not Sampled","Not Sampled",IF(S1060=U1060,"Accurate Prediction","Inaccurate Prediction"))</f>
        <v>Accurate Prediction</v>
      </c>
    </row>
    <row r="1061" spans="1:22" x14ac:dyDescent="0.25">
      <c r="A1061" s="1">
        <v>1059</v>
      </c>
      <c r="B1061" s="1">
        <v>1</v>
      </c>
      <c r="C1061" s="1">
        <f>LOOKUP(B1061,Sheet2!$D$4:$E$9)</f>
        <v>1</v>
      </c>
      <c r="D1061" s="1">
        <v>124</v>
      </c>
      <c r="E1061" t="str">
        <f>LOOKUP(D1061,Sheet2!$G$4:$H$9)</f>
        <v>100-125</v>
      </c>
      <c r="F1061" s="1">
        <v>74</v>
      </c>
      <c r="G1061" t="str">
        <f>LOOKUP(F1061,Sheet2!$J$4:$K$8)</f>
        <v>70-79</v>
      </c>
      <c r="H1061" s="1">
        <v>36</v>
      </c>
      <c r="I1061" t="str">
        <f>LOOKUP(H1061,Sheet2!$M$4:$N$8)</f>
        <v>30-39</v>
      </c>
      <c r="J1061" s="1">
        <v>0</v>
      </c>
      <c r="K1061" t="str">
        <f>LOOKUP(J1061,Sheet2!$P$4:$Q$9)</f>
        <v>Unknown</v>
      </c>
      <c r="L1061" s="1">
        <v>27.8</v>
      </c>
      <c r="M1061" t="str">
        <f>LOOKUP(L1061,Sheet2!$S$4:$T$8)</f>
        <v>26-30</v>
      </c>
      <c r="N1061" s="1">
        <v>0.1</v>
      </c>
      <c r="O1061" t="str">
        <f>LOOKUP(N1061,Sheet2!$V$4:$W$7)</f>
        <v>0.0 - 0.249</v>
      </c>
      <c r="P1061" s="1">
        <v>30</v>
      </c>
      <c r="Q1061" t="str">
        <f>LOOKUP(P1061,Sheet2!$Z$4:$AA$7)</f>
        <v>26-35</v>
      </c>
      <c r="R1061" s="1">
        <v>0</v>
      </c>
      <c r="S1061" t="str">
        <f>IF(R1061=1,"Positive","Negative")</f>
        <v>Negative</v>
      </c>
      <c r="T1061" s="1" t="str">
        <f>IFERROR(VLOOKUP(A1061,[1]diabetes_Recognition!$A:$B,2,FALSE),"Not Sampled")</f>
        <v>Not Sampled</v>
      </c>
      <c r="U1061" t="str">
        <f>IF(T1061=1,"Positive",(IF(T1061=0,"Negative","Not Sampled")))</f>
        <v>Not Sampled</v>
      </c>
      <c r="V1061" s="1" t="str">
        <f>IF(U1061="Not Sampled","Not Sampled",IF(S1061=U1061,"Accurate Prediction","Inaccurate Prediction"))</f>
        <v>Not Sampled</v>
      </c>
    </row>
    <row r="1062" spans="1:22" x14ac:dyDescent="0.25">
      <c r="A1062" s="1">
        <v>1060</v>
      </c>
      <c r="B1062" s="1">
        <v>7</v>
      </c>
      <c r="C1062" s="1" t="str">
        <f>LOOKUP(B1062,Sheet2!$D$4:$E$9)</f>
        <v>5-7</v>
      </c>
      <c r="D1062" s="1">
        <v>150</v>
      </c>
      <c r="E1062" t="str">
        <f>LOOKUP(D1062,Sheet2!$G$4:$H$9)</f>
        <v>126-150</v>
      </c>
      <c r="F1062" s="1">
        <v>78</v>
      </c>
      <c r="G1062" t="str">
        <f>LOOKUP(F1062,Sheet2!$J$4:$K$8)</f>
        <v>70-79</v>
      </c>
      <c r="H1062" s="1">
        <v>29</v>
      </c>
      <c r="I1062" t="str">
        <f>LOOKUP(H1062,Sheet2!$M$4:$N$8)</f>
        <v>10-30</v>
      </c>
      <c r="J1062" s="1">
        <v>126</v>
      </c>
      <c r="K1062" t="str">
        <f>LOOKUP(J1062,Sheet2!$P$4:$Q$9)</f>
        <v>100-199</v>
      </c>
      <c r="L1062" s="1">
        <v>35.200000000000003</v>
      </c>
      <c r="M1062" t="str">
        <f>LOOKUP(L1062,Sheet2!$S$4:$T$8)</f>
        <v>31-35</v>
      </c>
      <c r="N1062" s="1">
        <v>0.69199999999999995</v>
      </c>
      <c r="O1062" t="str">
        <f>LOOKUP(N1062,Sheet2!$V$4:$W$7)</f>
        <v>0.4 - 0.69</v>
      </c>
      <c r="P1062" s="1">
        <v>54</v>
      </c>
      <c r="Q1062" t="str">
        <f>LOOKUP(P1062,Sheet2!$Z$4:$AA$7)</f>
        <v>46+</v>
      </c>
      <c r="R1062" s="1">
        <v>1</v>
      </c>
      <c r="S1062" t="str">
        <f>IF(R1062=1,"Positive","Negative")</f>
        <v>Positive</v>
      </c>
      <c r="T1062" s="1" t="str">
        <f>IFERROR(VLOOKUP(A1062,[1]diabetes_Recognition!$A:$B,2,FALSE),"Not Sampled")</f>
        <v>Not Sampled</v>
      </c>
      <c r="U1062" t="str">
        <f>IF(T1062=1,"Positive",(IF(T1062=0,"Negative","Not Sampled")))</f>
        <v>Not Sampled</v>
      </c>
      <c r="V1062" s="1" t="str">
        <f>IF(U1062="Not Sampled","Not Sampled",IF(S1062=U1062,"Accurate Prediction","Inaccurate Prediction"))</f>
        <v>Not Sampled</v>
      </c>
    </row>
    <row r="1063" spans="1:22" x14ac:dyDescent="0.25">
      <c r="A1063" s="1">
        <v>1061</v>
      </c>
      <c r="B1063" s="1">
        <v>4</v>
      </c>
      <c r="C1063" s="1" t="str">
        <f>LOOKUP(B1063,Sheet2!$D$4:$E$9)</f>
        <v>3-4</v>
      </c>
      <c r="D1063" s="1">
        <v>183</v>
      </c>
      <c r="E1063" t="str">
        <f>LOOKUP(D1063,Sheet2!$G$4:$H$9)</f>
        <v>176-200</v>
      </c>
      <c r="F1063" s="1">
        <v>0</v>
      </c>
      <c r="G1063" t="str">
        <f>LOOKUP(F1063,Sheet2!$J$4:$K$8)</f>
        <v>Unknown</v>
      </c>
      <c r="H1063" s="1">
        <v>0</v>
      </c>
      <c r="I1063" t="str">
        <f>LOOKUP(H1063,Sheet2!$M$4:$N$8)</f>
        <v>Unknown</v>
      </c>
      <c r="J1063" s="1">
        <v>0</v>
      </c>
      <c r="K1063" t="str">
        <f>LOOKUP(J1063,Sheet2!$P$4:$Q$9)</f>
        <v>Unknown</v>
      </c>
      <c r="L1063" s="1">
        <v>28.4</v>
      </c>
      <c r="M1063" t="str">
        <f>LOOKUP(L1063,Sheet2!$S$4:$T$8)</f>
        <v>26-30</v>
      </c>
      <c r="N1063" s="1">
        <v>0.21199999999999999</v>
      </c>
      <c r="O1063" t="str">
        <f>LOOKUP(N1063,Sheet2!$V$4:$W$7)</f>
        <v>0.0 - 0.249</v>
      </c>
      <c r="P1063" s="1">
        <v>36</v>
      </c>
      <c r="Q1063" t="str">
        <f>LOOKUP(P1063,Sheet2!$Z$4:$AA$7)</f>
        <v>36-45</v>
      </c>
      <c r="R1063" s="1">
        <v>1</v>
      </c>
      <c r="S1063" t="str">
        <f>IF(R1063=1,"Positive","Negative")</f>
        <v>Positive</v>
      </c>
      <c r="T1063" s="1" t="str">
        <f>IFERROR(VLOOKUP(A1063,[1]diabetes_Recognition!$A:$B,2,FALSE),"Not Sampled")</f>
        <v>Not Sampled</v>
      </c>
      <c r="U1063" t="str">
        <f>IF(T1063=1,"Positive",(IF(T1063=0,"Negative","Not Sampled")))</f>
        <v>Not Sampled</v>
      </c>
      <c r="V1063" s="1" t="str">
        <f>IF(U1063="Not Sampled","Not Sampled",IF(S1063=U1063,"Accurate Prediction","Inaccurate Prediction"))</f>
        <v>Not Sampled</v>
      </c>
    </row>
    <row r="1064" spans="1:22" x14ac:dyDescent="0.25">
      <c r="A1064" s="1">
        <v>1062</v>
      </c>
      <c r="B1064" s="1">
        <v>1</v>
      </c>
      <c r="C1064" s="1">
        <f>LOOKUP(B1064,Sheet2!$D$4:$E$9)</f>
        <v>1</v>
      </c>
      <c r="D1064" s="1">
        <v>124</v>
      </c>
      <c r="E1064" t="str">
        <f>LOOKUP(D1064,Sheet2!$G$4:$H$9)</f>
        <v>100-125</v>
      </c>
      <c r="F1064" s="1">
        <v>60</v>
      </c>
      <c r="G1064" t="str">
        <f>LOOKUP(F1064,Sheet2!$J$4:$K$8)</f>
        <v>60-69</v>
      </c>
      <c r="H1064" s="1">
        <v>32</v>
      </c>
      <c r="I1064" t="str">
        <f>LOOKUP(H1064,Sheet2!$M$4:$N$8)</f>
        <v>30-39</v>
      </c>
      <c r="J1064" s="1">
        <v>0</v>
      </c>
      <c r="K1064" t="str">
        <f>LOOKUP(J1064,Sheet2!$P$4:$Q$9)</f>
        <v>Unknown</v>
      </c>
      <c r="L1064" s="1">
        <v>35.799999999999997</v>
      </c>
      <c r="M1064" t="str">
        <f>LOOKUP(L1064,Sheet2!$S$4:$T$8)</f>
        <v>31-35</v>
      </c>
      <c r="N1064" s="1">
        <v>0.51400000000000001</v>
      </c>
      <c r="O1064" t="str">
        <f>LOOKUP(N1064,Sheet2!$V$4:$W$7)</f>
        <v>0.4 - 0.69</v>
      </c>
      <c r="P1064" s="1">
        <v>21</v>
      </c>
      <c r="Q1064" t="str">
        <f>LOOKUP(P1064,Sheet2!$Z$4:$AA$7)</f>
        <v>&lt;=25</v>
      </c>
      <c r="R1064" s="1">
        <v>0</v>
      </c>
      <c r="S1064" t="str">
        <f>IF(R1064=1,"Positive","Negative")</f>
        <v>Negative</v>
      </c>
      <c r="T1064" s="1" t="str">
        <f>IFERROR(VLOOKUP(A1064,[1]diabetes_Recognition!$A:$B,2,FALSE),"Not Sampled")</f>
        <v>Not Sampled</v>
      </c>
      <c r="U1064" t="str">
        <f>IF(T1064=1,"Positive",(IF(T1064=0,"Negative","Not Sampled")))</f>
        <v>Not Sampled</v>
      </c>
      <c r="V1064" s="1" t="str">
        <f>IF(U1064="Not Sampled","Not Sampled",IF(S1064=U1064,"Accurate Prediction","Inaccurate Prediction"))</f>
        <v>Not Sampled</v>
      </c>
    </row>
    <row r="1065" spans="1:22" x14ac:dyDescent="0.25">
      <c r="A1065" s="1">
        <v>1063</v>
      </c>
      <c r="B1065" s="1">
        <v>1</v>
      </c>
      <c r="C1065" s="1">
        <f>LOOKUP(B1065,Sheet2!$D$4:$E$9)</f>
        <v>1</v>
      </c>
      <c r="D1065" s="1">
        <v>181</v>
      </c>
      <c r="E1065" t="str">
        <f>LOOKUP(D1065,Sheet2!$G$4:$H$9)</f>
        <v>176-200</v>
      </c>
      <c r="F1065" s="1">
        <v>78</v>
      </c>
      <c r="G1065" t="str">
        <f>LOOKUP(F1065,Sheet2!$J$4:$K$8)</f>
        <v>70-79</v>
      </c>
      <c r="H1065" s="1">
        <v>42</v>
      </c>
      <c r="I1065" t="str">
        <f>LOOKUP(H1065,Sheet2!$M$4:$N$8)</f>
        <v>40+</v>
      </c>
      <c r="J1065" s="1">
        <v>293</v>
      </c>
      <c r="K1065" t="str">
        <f>LOOKUP(J1065,Sheet2!$P$4:$Q$9)</f>
        <v>200-399</v>
      </c>
      <c r="L1065" s="1">
        <v>40</v>
      </c>
      <c r="M1065" t="str">
        <f>LOOKUP(L1065,Sheet2!$S$4:$T$8)</f>
        <v>36+</v>
      </c>
      <c r="N1065" s="1">
        <v>1.258</v>
      </c>
      <c r="O1065" t="str">
        <f>LOOKUP(N1065,Sheet2!$V$4:$W$7)</f>
        <v>0.7+</v>
      </c>
      <c r="P1065" s="1">
        <v>22</v>
      </c>
      <c r="Q1065" t="str">
        <f>LOOKUP(P1065,Sheet2!$Z$4:$AA$7)</f>
        <v>&lt;=25</v>
      </c>
      <c r="R1065" s="1">
        <v>1</v>
      </c>
      <c r="S1065" t="str">
        <f>IF(R1065=1,"Positive","Negative")</f>
        <v>Positive</v>
      </c>
      <c r="T1065" s="1" t="str">
        <f>IFERROR(VLOOKUP(A1065,[1]diabetes_Recognition!$A:$B,2,FALSE),"Not Sampled")</f>
        <v>Not Sampled</v>
      </c>
      <c r="U1065" t="str">
        <f>IF(T1065=1,"Positive",(IF(T1065=0,"Negative","Not Sampled")))</f>
        <v>Not Sampled</v>
      </c>
      <c r="V1065" s="1" t="str">
        <f>IF(U1065="Not Sampled","Not Sampled",IF(S1065=U1065,"Accurate Prediction","Inaccurate Prediction"))</f>
        <v>Not Sampled</v>
      </c>
    </row>
    <row r="1066" spans="1:22" x14ac:dyDescent="0.25">
      <c r="A1066" s="1">
        <v>1064</v>
      </c>
      <c r="B1066" s="1">
        <v>1</v>
      </c>
      <c r="C1066" s="1">
        <f>LOOKUP(B1066,Sheet2!$D$4:$E$9)</f>
        <v>1</v>
      </c>
      <c r="D1066" s="1">
        <v>92</v>
      </c>
      <c r="E1066" t="str">
        <f>LOOKUP(D1066,Sheet2!$G$4:$H$9)</f>
        <v>1-99</v>
      </c>
      <c r="F1066" s="1">
        <v>62</v>
      </c>
      <c r="G1066" t="str">
        <f>LOOKUP(F1066,Sheet2!$J$4:$K$8)</f>
        <v>60-69</v>
      </c>
      <c r="H1066" s="1">
        <v>25</v>
      </c>
      <c r="I1066" t="str">
        <f>LOOKUP(H1066,Sheet2!$M$4:$N$8)</f>
        <v>10-30</v>
      </c>
      <c r="J1066" s="1">
        <v>41</v>
      </c>
      <c r="K1066" t="str">
        <f>LOOKUP(J1066,Sheet2!$P$4:$Q$9)</f>
        <v>1-99</v>
      </c>
      <c r="L1066" s="1">
        <v>19.5</v>
      </c>
      <c r="M1066" t="str">
        <f>LOOKUP(L1066,Sheet2!$S$4:$T$8)</f>
        <v>1-25</v>
      </c>
      <c r="N1066" s="1">
        <v>0.48199999999999998</v>
      </c>
      <c r="O1066" t="str">
        <f>LOOKUP(N1066,Sheet2!$V$4:$W$7)</f>
        <v>0.4 - 0.69</v>
      </c>
      <c r="P1066" s="1">
        <v>25</v>
      </c>
      <c r="Q1066" t="str">
        <f>LOOKUP(P1066,Sheet2!$Z$4:$AA$7)</f>
        <v>&lt;=25</v>
      </c>
      <c r="R1066" s="1">
        <v>0</v>
      </c>
      <c r="S1066" t="str">
        <f>IF(R1066=1,"Positive","Negative")</f>
        <v>Negative</v>
      </c>
      <c r="T1066" s="1" t="str">
        <f>IFERROR(VLOOKUP(A1066,[1]diabetes_Recognition!$A:$B,2,FALSE),"Not Sampled")</f>
        <v>Not Sampled</v>
      </c>
      <c r="U1066" t="str">
        <f>IF(T1066=1,"Positive",(IF(T1066=0,"Negative","Not Sampled")))</f>
        <v>Not Sampled</v>
      </c>
      <c r="V1066" s="1" t="str">
        <f>IF(U1066="Not Sampled","Not Sampled",IF(S1066=U1066,"Accurate Prediction","Inaccurate Prediction"))</f>
        <v>Not Sampled</v>
      </c>
    </row>
    <row r="1067" spans="1:22" x14ac:dyDescent="0.25">
      <c r="A1067" s="1">
        <v>1065</v>
      </c>
      <c r="B1067" s="1">
        <v>0</v>
      </c>
      <c r="C1067" s="1">
        <f>LOOKUP(B1067,Sheet2!$D$4:$E$9)</f>
        <v>0</v>
      </c>
      <c r="D1067" s="1">
        <v>152</v>
      </c>
      <c r="E1067" t="str">
        <f>LOOKUP(D1067,Sheet2!$G$4:$H$9)</f>
        <v>151-175</v>
      </c>
      <c r="F1067" s="1">
        <v>82</v>
      </c>
      <c r="G1067" t="str">
        <f>LOOKUP(F1067,Sheet2!$J$4:$K$8)</f>
        <v>80+</v>
      </c>
      <c r="H1067" s="1">
        <v>39</v>
      </c>
      <c r="I1067" t="str">
        <f>LOOKUP(H1067,Sheet2!$M$4:$N$8)</f>
        <v>30-39</v>
      </c>
      <c r="J1067" s="1">
        <v>272</v>
      </c>
      <c r="K1067" t="str">
        <f>LOOKUP(J1067,Sheet2!$P$4:$Q$9)</f>
        <v>200-399</v>
      </c>
      <c r="L1067" s="1">
        <v>41.5</v>
      </c>
      <c r="M1067" t="str">
        <f>LOOKUP(L1067,Sheet2!$S$4:$T$8)</f>
        <v>36+</v>
      </c>
      <c r="N1067" s="1">
        <v>0.27</v>
      </c>
      <c r="O1067" t="str">
        <f>LOOKUP(N1067,Sheet2!$V$4:$W$7)</f>
        <v>0.25 - 0.39</v>
      </c>
      <c r="P1067" s="1">
        <v>27</v>
      </c>
      <c r="Q1067" t="str">
        <f>LOOKUP(P1067,Sheet2!$Z$4:$AA$7)</f>
        <v>26-35</v>
      </c>
      <c r="R1067" s="1">
        <v>0</v>
      </c>
      <c r="S1067" t="str">
        <f>IF(R1067=1,"Positive","Negative")</f>
        <v>Negative</v>
      </c>
      <c r="T1067" s="1">
        <f>IFERROR(VLOOKUP(A1067,[1]diabetes_Recognition!$A:$B,2,FALSE),"Not Sampled")</f>
        <v>0</v>
      </c>
      <c r="U1067" t="str">
        <f>IF(T1067=1,"Positive",(IF(T1067=0,"Negative","Not Sampled")))</f>
        <v>Negative</v>
      </c>
      <c r="V1067" s="1" t="str">
        <f>IF(U1067="Not Sampled","Not Sampled",IF(S1067=U1067,"Accurate Prediction","Inaccurate Prediction"))</f>
        <v>Accurate Prediction</v>
      </c>
    </row>
    <row r="1068" spans="1:22" x14ac:dyDescent="0.25">
      <c r="A1068" s="1">
        <v>1066</v>
      </c>
      <c r="B1068" s="1">
        <v>1</v>
      </c>
      <c r="C1068" s="1">
        <f>LOOKUP(B1068,Sheet2!$D$4:$E$9)</f>
        <v>1</v>
      </c>
      <c r="D1068" s="1">
        <v>111</v>
      </c>
      <c r="E1068" t="str">
        <f>LOOKUP(D1068,Sheet2!$G$4:$H$9)</f>
        <v>100-125</v>
      </c>
      <c r="F1068" s="1">
        <v>62</v>
      </c>
      <c r="G1068" t="str">
        <f>LOOKUP(F1068,Sheet2!$J$4:$K$8)</f>
        <v>60-69</v>
      </c>
      <c r="H1068" s="1">
        <v>13</v>
      </c>
      <c r="I1068" t="str">
        <f>LOOKUP(H1068,Sheet2!$M$4:$N$8)</f>
        <v>10-30</v>
      </c>
      <c r="J1068" s="1">
        <v>182</v>
      </c>
      <c r="K1068" t="str">
        <f>LOOKUP(J1068,Sheet2!$P$4:$Q$9)</f>
        <v>100-199</v>
      </c>
      <c r="L1068" s="1">
        <v>24</v>
      </c>
      <c r="M1068" t="str">
        <f>LOOKUP(L1068,Sheet2!$S$4:$T$8)</f>
        <v>1-25</v>
      </c>
      <c r="N1068" s="1">
        <v>0.13800000000000001</v>
      </c>
      <c r="O1068" t="str">
        <f>LOOKUP(N1068,Sheet2!$V$4:$W$7)</f>
        <v>0.0 - 0.249</v>
      </c>
      <c r="P1068" s="1">
        <v>23</v>
      </c>
      <c r="Q1068" t="str">
        <f>LOOKUP(P1068,Sheet2!$Z$4:$AA$7)</f>
        <v>&lt;=25</v>
      </c>
      <c r="R1068" s="1">
        <v>0</v>
      </c>
      <c r="S1068" t="str">
        <f>IF(R1068=1,"Positive","Negative")</f>
        <v>Negative</v>
      </c>
      <c r="T1068" s="1" t="str">
        <f>IFERROR(VLOOKUP(A1068,[1]diabetes_Recognition!$A:$B,2,FALSE),"Not Sampled")</f>
        <v>Not Sampled</v>
      </c>
      <c r="U1068" t="str">
        <f>IF(T1068=1,"Positive",(IF(T1068=0,"Negative","Not Sampled")))</f>
        <v>Not Sampled</v>
      </c>
      <c r="V1068" s="1" t="str">
        <f>IF(U1068="Not Sampled","Not Sampled",IF(S1068=U1068,"Accurate Prediction","Inaccurate Prediction"))</f>
        <v>Not Sampled</v>
      </c>
    </row>
    <row r="1069" spans="1:22" x14ac:dyDescent="0.25">
      <c r="A1069" s="1">
        <v>1067</v>
      </c>
      <c r="B1069" s="1">
        <v>3</v>
      </c>
      <c r="C1069" s="1" t="str">
        <f>LOOKUP(B1069,Sheet2!$D$4:$E$9)</f>
        <v>3-4</v>
      </c>
      <c r="D1069" s="1">
        <v>106</v>
      </c>
      <c r="E1069" t="str">
        <f>LOOKUP(D1069,Sheet2!$G$4:$H$9)</f>
        <v>100-125</v>
      </c>
      <c r="F1069" s="1">
        <v>54</v>
      </c>
      <c r="G1069" t="str">
        <f>LOOKUP(F1069,Sheet2!$J$4:$K$8)</f>
        <v>1-59</v>
      </c>
      <c r="H1069" s="1">
        <v>21</v>
      </c>
      <c r="I1069" t="str">
        <f>LOOKUP(H1069,Sheet2!$M$4:$N$8)</f>
        <v>10-30</v>
      </c>
      <c r="J1069" s="1">
        <v>158</v>
      </c>
      <c r="K1069" t="str">
        <f>LOOKUP(J1069,Sheet2!$P$4:$Q$9)</f>
        <v>100-199</v>
      </c>
      <c r="L1069" s="1">
        <v>30.9</v>
      </c>
      <c r="M1069" t="str">
        <f>LOOKUP(L1069,Sheet2!$S$4:$T$8)</f>
        <v>26-30</v>
      </c>
      <c r="N1069" s="1">
        <v>0.29199999999999998</v>
      </c>
      <c r="O1069" t="str">
        <f>LOOKUP(N1069,Sheet2!$V$4:$W$7)</f>
        <v>0.25 - 0.39</v>
      </c>
      <c r="P1069" s="1">
        <v>24</v>
      </c>
      <c r="Q1069" t="str">
        <f>LOOKUP(P1069,Sheet2!$Z$4:$AA$7)</f>
        <v>&lt;=25</v>
      </c>
      <c r="R1069" s="1">
        <v>0</v>
      </c>
      <c r="S1069" t="str">
        <f>IF(R1069=1,"Positive","Negative")</f>
        <v>Negative</v>
      </c>
      <c r="T1069" s="1" t="str">
        <f>IFERROR(VLOOKUP(A1069,[1]diabetes_Recognition!$A:$B,2,FALSE),"Not Sampled")</f>
        <v>Not Sampled</v>
      </c>
      <c r="U1069" t="str">
        <f>IF(T1069=1,"Positive",(IF(T1069=0,"Negative","Not Sampled")))</f>
        <v>Not Sampled</v>
      </c>
      <c r="V1069" s="1" t="str">
        <f>IF(U1069="Not Sampled","Not Sampled",IF(S1069=U1069,"Accurate Prediction","Inaccurate Prediction"))</f>
        <v>Not Sampled</v>
      </c>
    </row>
    <row r="1070" spans="1:22" x14ac:dyDescent="0.25">
      <c r="A1070" s="1">
        <v>1068</v>
      </c>
      <c r="B1070" s="1">
        <v>3</v>
      </c>
      <c r="C1070" s="1" t="str">
        <f>LOOKUP(B1070,Sheet2!$D$4:$E$9)</f>
        <v>3-4</v>
      </c>
      <c r="D1070" s="1">
        <v>174</v>
      </c>
      <c r="E1070" t="str">
        <f>LOOKUP(D1070,Sheet2!$G$4:$H$9)</f>
        <v>151-175</v>
      </c>
      <c r="F1070" s="1">
        <v>58</v>
      </c>
      <c r="G1070" t="str">
        <f>LOOKUP(F1070,Sheet2!$J$4:$K$8)</f>
        <v>1-59</v>
      </c>
      <c r="H1070" s="1">
        <v>22</v>
      </c>
      <c r="I1070" t="str">
        <f>LOOKUP(H1070,Sheet2!$M$4:$N$8)</f>
        <v>10-30</v>
      </c>
      <c r="J1070" s="1">
        <v>194</v>
      </c>
      <c r="K1070" t="str">
        <f>LOOKUP(J1070,Sheet2!$P$4:$Q$9)</f>
        <v>100-199</v>
      </c>
      <c r="L1070" s="1">
        <v>32.9</v>
      </c>
      <c r="M1070" t="str">
        <f>LOOKUP(L1070,Sheet2!$S$4:$T$8)</f>
        <v>31-35</v>
      </c>
      <c r="N1070" s="1">
        <v>0.59299999999999997</v>
      </c>
      <c r="O1070" t="str">
        <f>LOOKUP(N1070,Sheet2!$V$4:$W$7)</f>
        <v>0.4 - 0.69</v>
      </c>
      <c r="P1070" s="1">
        <v>36</v>
      </c>
      <c r="Q1070" t="str">
        <f>LOOKUP(P1070,Sheet2!$Z$4:$AA$7)</f>
        <v>36-45</v>
      </c>
      <c r="R1070" s="1">
        <v>1</v>
      </c>
      <c r="S1070" t="str">
        <f>IF(R1070=1,"Positive","Negative")</f>
        <v>Positive</v>
      </c>
      <c r="T1070" s="1">
        <f>IFERROR(VLOOKUP(A1070,[1]diabetes_Recognition!$A:$B,2,FALSE),"Not Sampled")</f>
        <v>1</v>
      </c>
      <c r="U1070" t="str">
        <f>IF(T1070=1,"Positive",(IF(T1070=0,"Negative","Not Sampled")))</f>
        <v>Positive</v>
      </c>
      <c r="V1070" s="1" t="str">
        <f>IF(U1070="Not Sampled","Not Sampled",IF(S1070=U1070,"Accurate Prediction","Inaccurate Prediction"))</f>
        <v>Accurate Prediction</v>
      </c>
    </row>
    <row r="1071" spans="1:22" x14ac:dyDescent="0.25">
      <c r="A1071" s="1">
        <v>1069</v>
      </c>
      <c r="B1071" s="1">
        <v>7</v>
      </c>
      <c r="C1071" s="1" t="str">
        <f>LOOKUP(B1071,Sheet2!$D$4:$E$9)</f>
        <v>5-7</v>
      </c>
      <c r="D1071" s="1">
        <v>168</v>
      </c>
      <c r="E1071" t="str">
        <f>LOOKUP(D1071,Sheet2!$G$4:$H$9)</f>
        <v>151-175</v>
      </c>
      <c r="F1071" s="1">
        <v>88</v>
      </c>
      <c r="G1071" t="str">
        <f>LOOKUP(F1071,Sheet2!$J$4:$K$8)</f>
        <v>80+</v>
      </c>
      <c r="H1071" s="1">
        <v>42</v>
      </c>
      <c r="I1071" t="str">
        <f>LOOKUP(H1071,Sheet2!$M$4:$N$8)</f>
        <v>40+</v>
      </c>
      <c r="J1071" s="1">
        <v>321</v>
      </c>
      <c r="K1071" t="str">
        <f>LOOKUP(J1071,Sheet2!$P$4:$Q$9)</f>
        <v>300-499</v>
      </c>
      <c r="L1071" s="1">
        <v>38.200000000000003</v>
      </c>
      <c r="M1071" t="str">
        <f>LOOKUP(L1071,Sheet2!$S$4:$T$8)</f>
        <v>36+</v>
      </c>
      <c r="N1071" s="1">
        <v>0.78700000000000003</v>
      </c>
      <c r="O1071" t="str">
        <f>LOOKUP(N1071,Sheet2!$V$4:$W$7)</f>
        <v>0.7+</v>
      </c>
      <c r="P1071" s="1">
        <v>40</v>
      </c>
      <c r="Q1071" t="str">
        <f>LOOKUP(P1071,Sheet2!$Z$4:$AA$7)</f>
        <v>36-45</v>
      </c>
      <c r="R1071" s="1">
        <v>1</v>
      </c>
      <c r="S1071" t="str">
        <f>IF(R1071=1,"Positive","Negative")</f>
        <v>Positive</v>
      </c>
      <c r="T1071" s="1" t="str">
        <f>IFERROR(VLOOKUP(A1071,[1]diabetes_Recognition!$A:$B,2,FALSE),"Not Sampled")</f>
        <v>Not Sampled</v>
      </c>
      <c r="U1071" t="str">
        <f>IF(T1071=1,"Positive",(IF(T1071=0,"Negative","Not Sampled")))</f>
        <v>Not Sampled</v>
      </c>
      <c r="V1071" s="1" t="str">
        <f>IF(U1071="Not Sampled","Not Sampled",IF(S1071=U1071,"Accurate Prediction","Inaccurate Prediction"))</f>
        <v>Not Sampled</v>
      </c>
    </row>
    <row r="1072" spans="1:22" x14ac:dyDescent="0.25">
      <c r="A1072" s="1">
        <v>1070</v>
      </c>
      <c r="B1072" s="1">
        <v>6</v>
      </c>
      <c r="C1072" s="1" t="str">
        <f>LOOKUP(B1072,Sheet2!$D$4:$E$9)</f>
        <v>5-7</v>
      </c>
      <c r="D1072" s="1">
        <v>105</v>
      </c>
      <c r="E1072" t="str">
        <f>LOOKUP(D1072,Sheet2!$G$4:$H$9)</f>
        <v>100-125</v>
      </c>
      <c r="F1072" s="1">
        <v>80</v>
      </c>
      <c r="G1072" t="str">
        <f>LOOKUP(F1072,Sheet2!$J$4:$K$8)</f>
        <v>80+</v>
      </c>
      <c r="H1072" s="1">
        <v>28</v>
      </c>
      <c r="I1072" t="str">
        <f>LOOKUP(H1072,Sheet2!$M$4:$N$8)</f>
        <v>10-30</v>
      </c>
      <c r="J1072" s="1">
        <v>0</v>
      </c>
      <c r="K1072" t="str">
        <f>LOOKUP(J1072,Sheet2!$P$4:$Q$9)</f>
        <v>Unknown</v>
      </c>
      <c r="L1072" s="1">
        <v>32.5</v>
      </c>
      <c r="M1072" t="str">
        <f>LOOKUP(L1072,Sheet2!$S$4:$T$8)</f>
        <v>31-35</v>
      </c>
      <c r="N1072" s="1">
        <v>0.878</v>
      </c>
      <c r="O1072" t="str">
        <f>LOOKUP(N1072,Sheet2!$V$4:$W$7)</f>
        <v>0.7+</v>
      </c>
      <c r="P1072" s="1">
        <v>26</v>
      </c>
      <c r="Q1072" t="str">
        <f>LOOKUP(P1072,Sheet2!$Z$4:$AA$7)</f>
        <v>26-35</v>
      </c>
      <c r="R1072" s="1">
        <v>0</v>
      </c>
      <c r="S1072" t="str">
        <f>IF(R1072=1,"Positive","Negative")</f>
        <v>Negative</v>
      </c>
      <c r="T1072" s="1" t="str">
        <f>IFERROR(VLOOKUP(A1072,[1]diabetes_Recognition!$A:$B,2,FALSE),"Not Sampled")</f>
        <v>Not Sampled</v>
      </c>
      <c r="U1072" t="str">
        <f>IF(T1072=1,"Positive",(IF(T1072=0,"Negative","Not Sampled")))</f>
        <v>Not Sampled</v>
      </c>
      <c r="V1072" s="1" t="str">
        <f>IF(U1072="Not Sampled","Not Sampled",IF(S1072=U1072,"Accurate Prediction","Inaccurate Prediction"))</f>
        <v>Not Sampled</v>
      </c>
    </row>
    <row r="1073" spans="1:22" x14ac:dyDescent="0.25">
      <c r="A1073" s="1">
        <v>1071</v>
      </c>
      <c r="B1073" s="1">
        <v>11</v>
      </c>
      <c r="C1073" s="1" t="str">
        <f>LOOKUP(B1073,Sheet2!$D$4:$E$9)</f>
        <v>8+</v>
      </c>
      <c r="D1073" s="1">
        <v>138</v>
      </c>
      <c r="E1073" t="str">
        <f>LOOKUP(D1073,Sheet2!$G$4:$H$9)</f>
        <v>126-150</v>
      </c>
      <c r="F1073" s="1">
        <v>74</v>
      </c>
      <c r="G1073" t="str">
        <f>LOOKUP(F1073,Sheet2!$J$4:$K$8)</f>
        <v>70-79</v>
      </c>
      <c r="H1073" s="1">
        <v>26</v>
      </c>
      <c r="I1073" t="str">
        <f>LOOKUP(H1073,Sheet2!$M$4:$N$8)</f>
        <v>10-30</v>
      </c>
      <c r="J1073" s="1">
        <v>144</v>
      </c>
      <c r="K1073" t="str">
        <f>LOOKUP(J1073,Sheet2!$P$4:$Q$9)</f>
        <v>100-199</v>
      </c>
      <c r="L1073" s="1">
        <v>36.1</v>
      </c>
      <c r="M1073" t="str">
        <f>LOOKUP(L1073,Sheet2!$S$4:$T$8)</f>
        <v>36+</v>
      </c>
      <c r="N1073" s="1">
        <v>0.55700000000000005</v>
      </c>
      <c r="O1073" t="str">
        <f>LOOKUP(N1073,Sheet2!$V$4:$W$7)</f>
        <v>0.4 - 0.69</v>
      </c>
      <c r="P1073" s="1">
        <v>50</v>
      </c>
      <c r="Q1073" t="str">
        <f>LOOKUP(P1073,Sheet2!$Z$4:$AA$7)</f>
        <v>46+</v>
      </c>
      <c r="R1073" s="1">
        <v>1</v>
      </c>
      <c r="S1073" t="str">
        <f>IF(R1073=1,"Positive","Negative")</f>
        <v>Positive</v>
      </c>
      <c r="T1073" s="1">
        <f>IFERROR(VLOOKUP(A1073,[1]diabetes_Recognition!$A:$B,2,FALSE),"Not Sampled")</f>
        <v>1</v>
      </c>
      <c r="U1073" t="str">
        <f>IF(T1073=1,"Positive",(IF(T1073=0,"Negative","Not Sampled")))</f>
        <v>Positive</v>
      </c>
      <c r="V1073" s="1" t="str">
        <f>IF(U1073="Not Sampled","Not Sampled",IF(S1073=U1073,"Accurate Prediction","Inaccurate Prediction"))</f>
        <v>Accurate Prediction</v>
      </c>
    </row>
    <row r="1074" spans="1:22" x14ac:dyDescent="0.25">
      <c r="A1074" s="1">
        <v>1072</v>
      </c>
      <c r="B1074" s="1">
        <v>3</v>
      </c>
      <c r="C1074" s="1" t="str">
        <f>LOOKUP(B1074,Sheet2!$D$4:$E$9)</f>
        <v>3-4</v>
      </c>
      <c r="D1074" s="1">
        <v>106</v>
      </c>
      <c r="E1074" t="str">
        <f>LOOKUP(D1074,Sheet2!$G$4:$H$9)</f>
        <v>100-125</v>
      </c>
      <c r="F1074" s="1">
        <v>72</v>
      </c>
      <c r="G1074" t="str">
        <f>LOOKUP(F1074,Sheet2!$J$4:$K$8)</f>
        <v>70-79</v>
      </c>
      <c r="H1074" s="1">
        <v>0</v>
      </c>
      <c r="I1074" t="str">
        <f>LOOKUP(H1074,Sheet2!$M$4:$N$8)</f>
        <v>Unknown</v>
      </c>
      <c r="J1074" s="1">
        <v>0</v>
      </c>
      <c r="K1074" t="str">
        <f>LOOKUP(J1074,Sheet2!$P$4:$Q$9)</f>
        <v>Unknown</v>
      </c>
      <c r="L1074" s="1">
        <v>25.8</v>
      </c>
      <c r="M1074" t="str">
        <f>LOOKUP(L1074,Sheet2!$S$4:$T$8)</f>
        <v>1-25</v>
      </c>
      <c r="N1074" s="1">
        <v>0.20699999999999999</v>
      </c>
      <c r="O1074" t="str">
        <f>LOOKUP(N1074,Sheet2!$V$4:$W$7)</f>
        <v>0.0 - 0.249</v>
      </c>
      <c r="P1074" s="1">
        <v>27</v>
      </c>
      <c r="Q1074" t="str">
        <f>LOOKUP(P1074,Sheet2!$Z$4:$AA$7)</f>
        <v>26-35</v>
      </c>
      <c r="R1074" s="1">
        <v>0</v>
      </c>
      <c r="S1074" t="str">
        <f>IF(R1074=1,"Positive","Negative")</f>
        <v>Negative</v>
      </c>
      <c r="T1074" s="1" t="str">
        <f>IFERROR(VLOOKUP(A1074,[1]diabetes_Recognition!$A:$B,2,FALSE),"Not Sampled")</f>
        <v>Not Sampled</v>
      </c>
      <c r="U1074" t="str">
        <f>IF(T1074=1,"Positive",(IF(T1074=0,"Negative","Not Sampled")))</f>
        <v>Not Sampled</v>
      </c>
      <c r="V1074" s="1" t="str">
        <f>IF(U1074="Not Sampled","Not Sampled",IF(S1074=U1074,"Accurate Prediction","Inaccurate Prediction"))</f>
        <v>Not Sampled</v>
      </c>
    </row>
    <row r="1075" spans="1:22" x14ac:dyDescent="0.25">
      <c r="A1075" s="1">
        <v>1073</v>
      </c>
      <c r="B1075" s="1">
        <v>6</v>
      </c>
      <c r="C1075" s="1" t="str">
        <f>LOOKUP(B1075,Sheet2!$D$4:$E$9)</f>
        <v>5-7</v>
      </c>
      <c r="D1075" s="1">
        <v>117</v>
      </c>
      <c r="E1075" t="str">
        <f>LOOKUP(D1075,Sheet2!$G$4:$H$9)</f>
        <v>100-125</v>
      </c>
      <c r="F1075" s="1">
        <v>96</v>
      </c>
      <c r="G1075" t="str">
        <f>LOOKUP(F1075,Sheet2!$J$4:$K$8)</f>
        <v>80+</v>
      </c>
      <c r="H1075" s="1">
        <v>0</v>
      </c>
      <c r="I1075" t="str">
        <f>LOOKUP(H1075,Sheet2!$M$4:$N$8)</f>
        <v>Unknown</v>
      </c>
      <c r="J1075" s="1">
        <v>0</v>
      </c>
      <c r="K1075" t="str">
        <f>LOOKUP(J1075,Sheet2!$P$4:$Q$9)</f>
        <v>Unknown</v>
      </c>
      <c r="L1075" s="1">
        <v>28.7</v>
      </c>
      <c r="M1075" t="str">
        <f>LOOKUP(L1075,Sheet2!$S$4:$T$8)</f>
        <v>26-30</v>
      </c>
      <c r="N1075" s="1">
        <v>0.157</v>
      </c>
      <c r="O1075" t="str">
        <f>LOOKUP(N1075,Sheet2!$V$4:$W$7)</f>
        <v>0.0 - 0.249</v>
      </c>
      <c r="P1075" s="1">
        <v>30</v>
      </c>
      <c r="Q1075" t="str">
        <f>LOOKUP(P1075,Sheet2!$Z$4:$AA$7)</f>
        <v>26-35</v>
      </c>
      <c r="R1075" s="1">
        <v>0</v>
      </c>
      <c r="S1075" t="str">
        <f>IF(R1075=1,"Positive","Negative")</f>
        <v>Negative</v>
      </c>
      <c r="T1075" s="1">
        <f>IFERROR(VLOOKUP(A1075,[1]diabetes_Recognition!$A:$B,2,FALSE),"Not Sampled")</f>
        <v>0</v>
      </c>
      <c r="U1075" t="str">
        <f>IF(T1075=1,"Positive",(IF(T1075=0,"Negative","Not Sampled")))</f>
        <v>Negative</v>
      </c>
      <c r="V1075" s="1" t="str">
        <f>IF(U1075="Not Sampled","Not Sampled",IF(S1075=U1075,"Accurate Prediction","Inaccurate Prediction"))</f>
        <v>Accurate Prediction</v>
      </c>
    </row>
    <row r="1076" spans="1:22" x14ac:dyDescent="0.25">
      <c r="A1076" s="1">
        <v>1074</v>
      </c>
      <c r="B1076" s="1">
        <v>2</v>
      </c>
      <c r="C1076" s="1">
        <f>LOOKUP(B1076,Sheet2!$D$4:$E$9)</f>
        <v>2</v>
      </c>
      <c r="D1076" s="1">
        <v>68</v>
      </c>
      <c r="E1076" t="str">
        <f>LOOKUP(D1076,Sheet2!$G$4:$H$9)</f>
        <v>1-99</v>
      </c>
      <c r="F1076" s="1">
        <v>62</v>
      </c>
      <c r="G1076" t="str">
        <f>LOOKUP(F1076,Sheet2!$J$4:$K$8)</f>
        <v>60-69</v>
      </c>
      <c r="H1076" s="1">
        <v>13</v>
      </c>
      <c r="I1076" t="str">
        <f>LOOKUP(H1076,Sheet2!$M$4:$N$8)</f>
        <v>10-30</v>
      </c>
      <c r="J1076" s="1">
        <v>15</v>
      </c>
      <c r="K1076" t="str">
        <f>LOOKUP(J1076,Sheet2!$P$4:$Q$9)</f>
        <v>1-99</v>
      </c>
      <c r="L1076" s="1">
        <v>20.100000000000001</v>
      </c>
      <c r="M1076" t="str">
        <f>LOOKUP(L1076,Sheet2!$S$4:$T$8)</f>
        <v>1-25</v>
      </c>
      <c r="N1076" s="1">
        <v>0.25700000000000001</v>
      </c>
      <c r="O1076" t="str">
        <f>LOOKUP(N1076,Sheet2!$V$4:$W$7)</f>
        <v>0.25 - 0.39</v>
      </c>
      <c r="P1076" s="1">
        <v>23</v>
      </c>
      <c r="Q1076" t="str">
        <f>LOOKUP(P1076,Sheet2!$Z$4:$AA$7)</f>
        <v>&lt;=25</v>
      </c>
      <c r="R1076" s="1">
        <v>0</v>
      </c>
      <c r="S1076" t="str">
        <f>IF(R1076=1,"Positive","Negative")</f>
        <v>Negative</v>
      </c>
      <c r="T1076" s="1" t="str">
        <f>IFERROR(VLOOKUP(A1076,[1]diabetes_Recognition!$A:$B,2,FALSE),"Not Sampled")</f>
        <v>Not Sampled</v>
      </c>
      <c r="U1076" t="str">
        <f>IF(T1076=1,"Positive",(IF(T1076=0,"Negative","Not Sampled")))</f>
        <v>Not Sampled</v>
      </c>
      <c r="V1076" s="1" t="str">
        <f>IF(U1076="Not Sampled","Not Sampled",IF(S1076=U1076,"Accurate Prediction","Inaccurate Prediction"))</f>
        <v>Not Sampled</v>
      </c>
    </row>
    <row r="1077" spans="1:22" x14ac:dyDescent="0.25">
      <c r="A1077" s="1">
        <v>1075</v>
      </c>
      <c r="B1077" s="1">
        <v>9</v>
      </c>
      <c r="C1077" s="1" t="str">
        <f>LOOKUP(B1077,Sheet2!$D$4:$E$9)</f>
        <v>8+</v>
      </c>
      <c r="D1077" s="1">
        <v>112</v>
      </c>
      <c r="E1077" t="str">
        <f>LOOKUP(D1077,Sheet2!$G$4:$H$9)</f>
        <v>100-125</v>
      </c>
      <c r="F1077" s="1">
        <v>82</v>
      </c>
      <c r="G1077" t="str">
        <f>LOOKUP(F1077,Sheet2!$J$4:$K$8)</f>
        <v>80+</v>
      </c>
      <c r="H1077" s="1">
        <v>24</v>
      </c>
      <c r="I1077" t="str">
        <f>LOOKUP(H1077,Sheet2!$M$4:$N$8)</f>
        <v>10-30</v>
      </c>
      <c r="J1077" s="1">
        <v>0</v>
      </c>
      <c r="K1077" t="str">
        <f>LOOKUP(J1077,Sheet2!$P$4:$Q$9)</f>
        <v>Unknown</v>
      </c>
      <c r="L1077" s="1">
        <v>28.2</v>
      </c>
      <c r="M1077" t="str">
        <f>LOOKUP(L1077,Sheet2!$S$4:$T$8)</f>
        <v>26-30</v>
      </c>
      <c r="N1077" s="1">
        <v>1.282</v>
      </c>
      <c r="O1077" t="str">
        <f>LOOKUP(N1077,Sheet2!$V$4:$W$7)</f>
        <v>0.7+</v>
      </c>
      <c r="P1077" s="1">
        <v>50</v>
      </c>
      <c r="Q1077" t="str">
        <f>LOOKUP(P1077,Sheet2!$Z$4:$AA$7)</f>
        <v>46+</v>
      </c>
      <c r="R1077" s="1">
        <v>1</v>
      </c>
      <c r="S1077" t="str">
        <f>IF(R1077=1,"Positive","Negative")</f>
        <v>Positive</v>
      </c>
      <c r="T1077" s="1" t="str">
        <f>IFERROR(VLOOKUP(A1077,[1]diabetes_Recognition!$A:$B,2,FALSE),"Not Sampled")</f>
        <v>Not Sampled</v>
      </c>
      <c r="U1077" t="str">
        <f>IF(T1077=1,"Positive",(IF(T1077=0,"Negative","Not Sampled")))</f>
        <v>Not Sampled</v>
      </c>
      <c r="V1077" s="1" t="str">
        <f>IF(U1077="Not Sampled","Not Sampled",IF(S1077=U1077,"Accurate Prediction","Inaccurate Prediction"))</f>
        <v>Not Sampled</v>
      </c>
    </row>
    <row r="1078" spans="1:22" x14ac:dyDescent="0.25">
      <c r="A1078" s="1">
        <v>1076</v>
      </c>
      <c r="B1078" s="1">
        <v>0</v>
      </c>
      <c r="C1078" s="1">
        <f>LOOKUP(B1078,Sheet2!$D$4:$E$9)</f>
        <v>0</v>
      </c>
      <c r="D1078" s="1">
        <v>119</v>
      </c>
      <c r="E1078" t="str">
        <f>LOOKUP(D1078,Sheet2!$G$4:$H$9)</f>
        <v>100-125</v>
      </c>
      <c r="F1078" s="1">
        <v>0</v>
      </c>
      <c r="G1078" t="str">
        <f>LOOKUP(F1078,Sheet2!$J$4:$K$8)</f>
        <v>Unknown</v>
      </c>
      <c r="H1078" s="1">
        <v>0</v>
      </c>
      <c r="I1078" t="str">
        <f>LOOKUP(H1078,Sheet2!$M$4:$N$8)</f>
        <v>Unknown</v>
      </c>
      <c r="J1078" s="1">
        <v>0</v>
      </c>
      <c r="K1078" t="str">
        <f>LOOKUP(J1078,Sheet2!$P$4:$Q$9)</f>
        <v>Unknown</v>
      </c>
      <c r="L1078" s="1">
        <v>32.4</v>
      </c>
      <c r="M1078" t="str">
        <f>LOOKUP(L1078,Sheet2!$S$4:$T$8)</f>
        <v>31-35</v>
      </c>
      <c r="N1078" s="1">
        <v>0.14099999999999999</v>
      </c>
      <c r="O1078" t="str">
        <f>LOOKUP(N1078,Sheet2!$V$4:$W$7)</f>
        <v>0.0 - 0.249</v>
      </c>
      <c r="P1078" s="1">
        <v>24</v>
      </c>
      <c r="Q1078" t="str">
        <f>LOOKUP(P1078,Sheet2!$Z$4:$AA$7)</f>
        <v>&lt;=25</v>
      </c>
      <c r="R1078" s="1">
        <v>1</v>
      </c>
      <c r="S1078" t="str">
        <f>IF(R1078=1,"Positive","Negative")</f>
        <v>Positive</v>
      </c>
      <c r="T1078" s="1" t="str">
        <f>IFERROR(VLOOKUP(A1078,[1]diabetes_Recognition!$A:$B,2,FALSE),"Not Sampled")</f>
        <v>Not Sampled</v>
      </c>
      <c r="U1078" t="str">
        <f>IF(T1078=1,"Positive",(IF(T1078=0,"Negative","Not Sampled")))</f>
        <v>Not Sampled</v>
      </c>
      <c r="V1078" s="1" t="str">
        <f>IF(U1078="Not Sampled","Not Sampled",IF(S1078=U1078,"Accurate Prediction","Inaccurate Prediction"))</f>
        <v>Not Sampled</v>
      </c>
    </row>
    <row r="1079" spans="1:22" x14ac:dyDescent="0.25">
      <c r="A1079" s="1">
        <v>1077</v>
      </c>
      <c r="B1079" s="1">
        <v>2</v>
      </c>
      <c r="C1079" s="1">
        <f>LOOKUP(B1079,Sheet2!$D$4:$E$9)</f>
        <v>2</v>
      </c>
      <c r="D1079" s="1">
        <v>112</v>
      </c>
      <c r="E1079" t="str">
        <f>LOOKUP(D1079,Sheet2!$G$4:$H$9)</f>
        <v>100-125</v>
      </c>
      <c r="F1079" s="1">
        <v>86</v>
      </c>
      <c r="G1079" t="str">
        <f>LOOKUP(F1079,Sheet2!$J$4:$K$8)</f>
        <v>80+</v>
      </c>
      <c r="H1079" s="1">
        <v>42</v>
      </c>
      <c r="I1079" t="str">
        <f>LOOKUP(H1079,Sheet2!$M$4:$N$8)</f>
        <v>40+</v>
      </c>
      <c r="J1079" s="1">
        <v>160</v>
      </c>
      <c r="K1079" t="str">
        <f>LOOKUP(J1079,Sheet2!$P$4:$Q$9)</f>
        <v>100-199</v>
      </c>
      <c r="L1079" s="1">
        <v>38.4</v>
      </c>
      <c r="M1079" t="str">
        <f>LOOKUP(L1079,Sheet2!$S$4:$T$8)</f>
        <v>36+</v>
      </c>
      <c r="N1079" s="1">
        <v>0.246</v>
      </c>
      <c r="O1079" t="str">
        <f>LOOKUP(N1079,Sheet2!$V$4:$W$7)</f>
        <v>0.0 - 0.249</v>
      </c>
      <c r="P1079" s="1">
        <v>28</v>
      </c>
      <c r="Q1079" t="str">
        <f>LOOKUP(P1079,Sheet2!$Z$4:$AA$7)</f>
        <v>26-35</v>
      </c>
      <c r="R1079" s="1">
        <v>0</v>
      </c>
      <c r="S1079" t="str">
        <f>IF(R1079=1,"Positive","Negative")</f>
        <v>Negative</v>
      </c>
      <c r="T1079" s="1" t="str">
        <f>IFERROR(VLOOKUP(A1079,[1]diabetes_Recognition!$A:$B,2,FALSE),"Not Sampled")</f>
        <v>Not Sampled</v>
      </c>
      <c r="U1079" t="str">
        <f>IF(T1079=1,"Positive",(IF(T1079=0,"Negative","Not Sampled")))</f>
        <v>Not Sampled</v>
      </c>
      <c r="V1079" s="1" t="str">
        <f>IF(U1079="Not Sampled","Not Sampled",IF(S1079=U1079,"Accurate Prediction","Inaccurate Prediction"))</f>
        <v>Not Sampled</v>
      </c>
    </row>
    <row r="1080" spans="1:22" x14ac:dyDescent="0.25">
      <c r="A1080" s="1">
        <v>1078</v>
      </c>
      <c r="B1080" s="1">
        <v>2</v>
      </c>
      <c r="C1080" s="1">
        <f>LOOKUP(B1080,Sheet2!$D$4:$E$9)</f>
        <v>2</v>
      </c>
      <c r="D1080" s="1">
        <v>92</v>
      </c>
      <c r="E1080" t="str">
        <f>LOOKUP(D1080,Sheet2!$G$4:$H$9)</f>
        <v>1-99</v>
      </c>
      <c r="F1080" s="1">
        <v>76</v>
      </c>
      <c r="G1080" t="str">
        <f>LOOKUP(F1080,Sheet2!$J$4:$K$8)</f>
        <v>70-79</v>
      </c>
      <c r="H1080" s="1">
        <v>20</v>
      </c>
      <c r="I1080" t="str">
        <f>LOOKUP(H1080,Sheet2!$M$4:$N$8)</f>
        <v>10-30</v>
      </c>
      <c r="J1080" s="1">
        <v>0</v>
      </c>
      <c r="K1080" t="str">
        <f>LOOKUP(J1080,Sheet2!$P$4:$Q$9)</f>
        <v>Unknown</v>
      </c>
      <c r="L1080" s="1">
        <v>24.2</v>
      </c>
      <c r="M1080" t="str">
        <f>LOOKUP(L1080,Sheet2!$S$4:$T$8)</f>
        <v>1-25</v>
      </c>
      <c r="N1080" s="1">
        <v>1.698</v>
      </c>
      <c r="O1080" t="str">
        <f>LOOKUP(N1080,Sheet2!$V$4:$W$7)</f>
        <v>0.7+</v>
      </c>
      <c r="P1080" s="1">
        <v>28</v>
      </c>
      <c r="Q1080" t="str">
        <f>LOOKUP(P1080,Sheet2!$Z$4:$AA$7)</f>
        <v>26-35</v>
      </c>
      <c r="R1080" s="1">
        <v>0</v>
      </c>
      <c r="S1080" t="str">
        <f>IF(R1080=1,"Positive","Negative")</f>
        <v>Negative</v>
      </c>
      <c r="T1080" s="1" t="str">
        <f>IFERROR(VLOOKUP(A1080,[1]diabetes_Recognition!$A:$B,2,FALSE),"Not Sampled")</f>
        <v>Not Sampled</v>
      </c>
      <c r="U1080" t="str">
        <f>IF(T1080=1,"Positive",(IF(T1080=0,"Negative","Not Sampled")))</f>
        <v>Not Sampled</v>
      </c>
      <c r="V1080" s="1" t="str">
        <f>IF(U1080="Not Sampled","Not Sampled",IF(S1080=U1080,"Accurate Prediction","Inaccurate Prediction"))</f>
        <v>Not Sampled</v>
      </c>
    </row>
    <row r="1081" spans="1:22" x14ac:dyDescent="0.25">
      <c r="A1081" s="1">
        <v>1079</v>
      </c>
      <c r="B1081" s="1">
        <v>6</v>
      </c>
      <c r="C1081" s="1" t="str">
        <f>LOOKUP(B1081,Sheet2!$D$4:$E$9)</f>
        <v>5-7</v>
      </c>
      <c r="D1081" s="1">
        <v>183</v>
      </c>
      <c r="E1081" t="str">
        <f>LOOKUP(D1081,Sheet2!$G$4:$H$9)</f>
        <v>176-200</v>
      </c>
      <c r="F1081" s="1">
        <v>94</v>
      </c>
      <c r="G1081" t="str">
        <f>LOOKUP(F1081,Sheet2!$J$4:$K$8)</f>
        <v>80+</v>
      </c>
      <c r="H1081" s="1">
        <v>0</v>
      </c>
      <c r="I1081" t="str">
        <f>LOOKUP(H1081,Sheet2!$M$4:$N$8)</f>
        <v>Unknown</v>
      </c>
      <c r="J1081" s="1">
        <v>0</v>
      </c>
      <c r="K1081" t="str">
        <f>LOOKUP(J1081,Sheet2!$P$4:$Q$9)</f>
        <v>Unknown</v>
      </c>
      <c r="L1081" s="1">
        <v>40.799999999999997</v>
      </c>
      <c r="M1081" t="str">
        <f>LOOKUP(L1081,Sheet2!$S$4:$T$8)</f>
        <v>36+</v>
      </c>
      <c r="N1081" s="1">
        <v>1.4610000000000001</v>
      </c>
      <c r="O1081" t="str">
        <f>LOOKUP(N1081,Sheet2!$V$4:$W$7)</f>
        <v>0.7+</v>
      </c>
      <c r="P1081" s="1">
        <v>45</v>
      </c>
      <c r="Q1081" t="str">
        <f>LOOKUP(P1081,Sheet2!$Z$4:$AA$7)</f>
        <v>36-45</v>
      </c>
      <c r="R1081" s="1">
        <v>0</v>
      </c>
      <c r="S1081" t="str">
        <f>IF(R1081=1,"Positive","Negative")</f>
        <v>Negative</v>
      </c>
      <c r="T1081" s="1">
        <f>IFERROR(VLOOKUP(A1081,[1]diabetes_Recognition!$A:$B,2,FALSE),"Not Sampled")</f>
        <v>1</v>
      </c>
      <c r="U1081" t="str">
        <f>IF(T1081=1,"Positive",(IF(T1081=0,"Negative","Not Sampled")))</f>
        <v>Positive</v>
      </c>
      <c r="V1081" s="1" t="str">
        <f>IF(U1081="Not Sampled","Not Sampled",IF(S1081=U1081,"Accurate Prediction","Inaccurate Prediction"))</f>
        <v>Inaccurate Prediction</v>
      </c>
    </row>
    <row r="1082" spans="1:22" x14ac:dyDescent="0.25">
      <c r="A1082" s="1">
        <v>1080</v>
      </c>
      <c r="B1082" s="1">
        <v>0</v>
      </c>
      <c r="C1082" s="1">
        <f>LOOKUP(B1082,Sheet2!$D$4:$E$9)</f>
        <v>0</v>
      </c>
      <c r="D1082" s="1">
        <v>94</v>
      </c>
      <c r="E1082" t="str">
        <f>LOOKUP(D1082,Sheet2!$G$4:$H$9)</f>
        <v>1-99</v>
      </c>
      <c r="F1082" s="1">
        <v>70</v>
      </c>
      <c r="G1082" t="str">
        <f>LOOKUP(F1082,Sheet2!$J$4:$K$8)</f>
        <v>70-79</v>
      </c>
      <c r="H1082" s="1">
        <v>27</v>
      </c>
      <c r="I1082" t="str">
        <f>LOOKUP(H1082,Sheet2!$M$4:$N$8)</f>
        <v>10-30</v>
      </c>
      <c r="J1082" s="1">
        <v>115</v>
      </c>
      <c r="K1082" t="str">
        <f>LOOKUP(J1082,Sheet2!$P$4:$Q$9)</f>
        <v>100-199</v>
      </c>
      <c r="L1082" s="1">
        <v>43.5</v>
      </c>
      <c r="M1082" t="str">
        <f>LOOKUP(L1082,Sheet2!$S$4:$T$8)</f>
        <v>36+</v>
      </c>
      <c r="N1082" s="1">
        <v>0.34699999999999998</v>
      </c>
      <c r="O1082" t="str">
        <f>LOOKUP(N1082,Sheet2!$V$4:$W$7)</f>
        <v>0.25 - 0.39</v>
      </c>
      <c r="P1082" s="1">
        <v>21</v>
      </c>
      <c r="Q1082" t="str">
        <f>LOOKUP(P1082,Sheet2!$Z$4:$AA$7)</f>
        <v>&lt;=25</v>
      </c>
      <c r="R1082" s="1">
        <v>0</v>
      </c>
      <c r="S1082" t="str">
        <f>IF(R1082=1,"Positive","Negative")</f>
        <v>Negative</v>
      </c>
      <c r="T1082" s="1" t="str">
        <f>IFERROR(VLOOKUP(A1082,[1]diabetes_Recognition!$A:$B,2,FALSE),"Not Sampled")</f>
        <v>Not Sampled</v>
      </c>
      <c r="U1082" t="str">
        <f>IF(T1082=1,"Positive",(IF(T1082=0,"Negative","Not Sampled")))</f>
        <v>Not Sampled</v>
      </c>
      <c r="V1082" s="1" t="str">
        <f>IF(U1082="Not Sampled","Not Sampled",IF(S1082=U1082,"Accurate Prediction","Inaccurate Prediction"))</f>
        <v>Not Sampled</v>
      </c>
    </row>
    <row r="1083" spans="1:22" x14ac:dyDescent="0.25">
      <c r="A1083" s="1">
        <v>1081</v>
      </c>
      <c r="B1083" s="1">
        <v>2</v>
      </c>
      <c r="C1083" s="1">
        <f>LOOKUP(B1083,Sheet2!$D$4:$E$9)</f>
        <v>2</v>
      </c>
      <c r="D1083" s="1">
        <v>108</v>
      </c>
      <c r="E1083" t="str">
        <f>LOOKUP(D1083,Sheet2!$G$4:$H$9)</f>
        <v>100-125</v>
      </c>
      <c r="F1083" s="1">
        <v>64</v>
      </c>
      <c r="G1083" t="str">
        <f>LOOKUP(F1083,Sheet2!$J$4:$K$8)</f>
        <v>60-69</v>
      </c>
      <c r="H1083" s="1">
        <v>0</v>
      </c>
      <c r="I1083" t="str">
        <f>LOOKUP(H1083,Sheet2!$M$4:$N$8)</f>
        <v>Unknown</v>
      </c>
      <c r="J1083" s="1">
        <v>0</v>
      </c>
      <c r="K1083" t="str">
        <f>LOOKUP(J1083,Sheet2!$P$4:$Q$9)</f>
        <v>Unknown</v>
      </c>
      <c r="L1083" s="1">
        <v>30.8</v>
      </c>
      <c r="M1083" t="str">
        <f>LOOKUP(L1083,Sheet2!$S$4:$T$8)</f>
        <v>26-30</v>
      </c>
      <c r="N1083" s="1">
        <v>0.158</v>
      </c>
      <c r="O1083" t="str">
        <f>LOOKUP(N1083,Sheet2!$V$4:$W$7)</f>
        <v>0.0 - 0.249</v>
      </c>
      <c r="P1083" s="1">
        <v>21</v>
      </c>
      <c r="Q1083" t="str">
        <f>LOOKUP(P1083,Sheet2!$Z$4:$AA$7)</f>
        <v>&lt;=25</v>
      </c>
      <c r="R1083" s="1">
        <v>0</v>
      </c>
      <c r="S1083" t="str">
        <f>IF(R1083=1,"Positive","Negative")</f>
        <v>Negative</v>
      </c>
      <c r="T1083" s="1">
        <f>IFERROR(VLOOKUP(A1083,[1]diabetes_Recognition!$A:$B,2,FALSE),"Not Sampled")</f>
        <v>0</v>
      </c>
      <c r="U1083" t="str">
        <f>IF(T1083=1,"Positive",(IF(T1083=0,"Negative","Not Sampled")))</f>
        <v>Negative</v>
      </c>
      <c r="V1083" s="1" t="str">
        <f>IF(U1083="Not Sampled","Not Sampled",IF(S1083=U1083,"Accurate Prediction","Inaccurate Prediction"))</f>
        <v>Accurate Prediction</v>
      </c>
    </row>
    <row r="1084" spans="1:22" x14ac:dyDescent="0.25">
      <c r="A1084" s="1">
        <v>1082</v>
      </c>
      <c r="B1084" s="1">
        <v>4</v>
      </c>
      <c r="C1084" s="1" t="str">
        <f>LOOKUP(B1084,Sheet2!$D$4:$E$9)</f>
        <v>3-4</v>
      </c>
      <c r="D1084" s="1">
        <v>90</v>
      </c>
      <c r="E1084" t="str">
        <f>LOOKUP(D1084,Sheet2!$G$4:$H$9)</f>
        <v>1-99</v>
      </c>
      <c r="F1084" s="1">
        <v>88</v>
      </c>
      <c r="G1084" t="str">
        <f>LOOKUP(F1084,Sheet2!$J$4:$K$8)</f>
        <v>80+</v>
      </c>
      <c r="H1084" s="1">
        <v>47</v>
      </c>
      <c r="I1084" t="str">
        <f>LOOKUP(H1084,Sheet2!$M$4:$N$8)</f>
        <v>40+</v>
      </c>
      <c r="J1084" s="1">
        <v>54</v>
      </c>
      <c r="K1084" t="str">
        <f>LOOKUP(J1084,Sheet2!$P$4:$Q$9)</f>
        <v>1-99</v>
      </c>
      <c r="L1084" s="1">
        <v>37.700000000000003</v>
      </c>
      <c r="M1084" t="str">
        <f>LOOKUP(L1084,Sheet2!$S$4:$T$8)</f>
        <v>36+</v>
      </c>
      <c r="N1084" s="1">
        <v>0.36199999999999999</v>
      </c>
      <c r="O1084" t="str">
        <f>LOOKUP(N1084,Sheet2!$V$4:$W$7)</f>
        <v>0.25 - 0.39</v>
      </c>
      <c r="P1084" s="1">
        <v>29</v>
      </c>
      <c r="Q1084" t="str">
        <f>LOOKUP(P1084,Sheet2!$Z$4:$AA$7)</f>
        <v>26-35</v>
      </c>
      <c r="R1084" s="1">
        <v>0</v>
      </c>
      <c r="S1084" t="str">
        <f>IF(R1084=1,"Positive","Negative")</f>
        <v>Negative</v>
      </c>
      <c r="T1084" s="1" t="str">
        <f>IFERROR(VLOOKUP(A1084,[1]diabetes_Recognition!$A:$B,2,FALSE),"Not Sampled")</f>
        <v>Not Sampled</v>
      </c>
      <c r="U1084" t="str">
        <f>IF(T1084=1,"Positive",(IF(T1084=0,"Negative","Not Sampled")))</f>
        <v>Not Sampled</v>
      </c>
      <c r="V1084" s="1" t="str">
        <f>IF(U1084="Not Sampled","Not Sampled",IF(S1084=U1084,"Accurate Prediction","Inaccurate Prediction"))</f>
        <v>Not Sampled</v>
      </c>
    </row>
    <row r="1085" spans="1:22" x14ac:dyDescent="0.25">
      <c r="A1085" s="1">
        <v>1083</v>
      </c>
      <c r="B1085" s="1">
        <v>0</v>
      </c>
      <c r="C1085" s="1">
        <f>LOOKUP(B1085,Sheet2!$D$4:$E$9)</f>
        <v>0</v>
      </c>
      <c r="D1085" s="1">
        <v>125</v>
      </c>
      <c r="E1085" t="str">
        <f>LOOKUP(D1085,Sheet2!$G$4:$H$9)</f>
        <v>100-125</v>
      </c>
      <c r="F1085" s="1">
        <v>68</v>
      </c>
      <c r="G1085" t="str">
        <f>LOOKUP(F1085,Sheet2!$J$4:$K$8)</f>
        <v>60-69</v>
      </c>
      <c r="H1085" s="1">
        <v>0</v>
      </c>
      <c r="I1085" t="str">
        <f>LOOKUP(H1085,Sheet2!$M$4:$N$8)</f>
        <v>Unknown</v>
      </c>
      <c r="J1085" s="1">
        <v>0</v>
      </c>
      <c r="K1085" t="str">
        <f>LOOKUP(J1085,Sheet2!$P$4:$Q$9)</f>
        <v>Unknown</v>
      </c>
      <c r="L1085" s="1">
        <v>24.7</v>
      </c>
      <c r="M1085" t="str">
        <f>LOOKUP(L1085,Sheet2!$S$4:$T$8)</f>
        <v>1-25</v>
      </c>
      <c r="N1085" s="1">
        <v>0.20599999999999999</v>
      </c>
      <c r="O1085" t="str">
        <f>LOOKUP(N1085,Sheet2!$V$4:$W$7)</f>
        <v>0.0 - 0.249</v>
      </c>
      <c r="P1085" s="1">
        <v>21</v>
      </c>
      <c r="Q1085" t="str">
        <f>LOOKUP(P1085,Sheet2!$Z$4:$AA$7)</f>
        <v>&lt;=25</v>
      </c>
      <c r="R1085" s="1">
        <v>0</v>
      </c>
      <c r="S1085" t="str">
        <f>IF(R1085=1,"Positive","Negative")</f>
        <v>Negative</v>
      </c>
      <c r="T1085" s="1">
        <f>IFERROR(VLOOKUP(A1085,[1]diabetes_Recognition!$A:$B,2,FALSE),"Not Sampled")</f>
        <v>0</v>
      </c>
      <c r="U1085" t="str">
        <f>IF(T1085=1,"Positive",(IF(T1085=0,"Negative","Not Sampled")))</f>
        <v>Negative</v>
      </c>
      <c r="V1085" s="1" t="str">
        <f>IF(U1085="Not Sampled","Not Sampled",IF(S1085=U1085,"Accurate Prediction","Inaccurate Prediction"))</f>
        <v>Accurate Prediction</v>
      </c>
    </row>
    <row r="1086" spans="1:22" x14ac:dyDescent="0.25">
      <c r="A1086" s="1">
        <v>1084</v>
      </c>
      <c r="B1086" s="1">
        <v>0</v>
      </c>
      <c r="C1086" s="1">
        <f>LOOKUP(B1086,Sheet2!$D$4:$E$9)</f>
        <v>0</v>
      </c>
      <c r="D1086" s="1">
        <v>132</v>
      </c>
      <c r="E1086" t="str">
        <f>LOOKUP(D1086,Sheet2!$G$4:$H$9)</f>
        <v>126-150</v>
      </c>
      <c r="F1086" s="1">
        <v>78</v>
      </c>
      <c r="G1086" t="str">
        <f>LOOKUP(F1086,Sheet2!$J$4:$K$8)</f>
        <v>70-79</v>
      </c>
      <c r="H1086" s="1">
        <v>0</v>
      </c>
      <c r="I1086" t="str">
        <f>LOOKUP(H1086,Sheet2!$M$4:$N$8)</f>
        <v>Unknown</v>
      </c>
      <c r="J1086" s="1">
        <v>0</v>
      </c>
      <c r="K1086" t="str">
        <f>LOOKUP(J1086,Sheet2!$P$4:$Q$9)</f>
        <v>Unknown</v>
      </c>
      <c r="L1086" s="1">
        <v>32.4</v>
      </c>
      <c r="M1086" t="str">
        <f>LOOKUP(L1086,Sheet2!$S$4:$T$8)</f>
        <v>31-35</v>
      </c>
      <c r="N1086" s="1">
        <v>0.39300000000000002</v>
      </c>
      <c r="O1086" t="str">
        <f>LOOKUP(N1086,Sheet2!$V$4:$W$7)</f>
        <v>0.25 - 0.39</v>
      </c>
      <c r="P1086" s="1">
        <v>21</v>
      </c>
      <c r="Q1086" t="str">
        <f>LOOKUP(P1086,Sheet2!$Z$4:$AA$7)</f>
        <v>&lt;=25</v>
      </c>
      <c r="R1086" s="1">
        <v>0</v>
      </c>
      <c r="S1086" t="str">
        <f>IF(R1086=1,"Positive","Negative")</f>
        <v>Negative</v>
      </c>
      <c r="T1086" s="1" t="str">
        <f>IFERROR(VLOOKUP(A1086,[1]diabetes_Recognition!$A:$B,2,FALSE),"Not Sampled")</f>
        <v>Not Sampled</v>
      </c>
      <c r="U1086" t="str">
        <f>IF(T1086=1,"Positive",(IF(T1086=0,"Negative","Not Sampled")))</f>
        <v>Not Sampled</v>
      </c>
      <c r="V1086" s="1" t="str">
        <f>IF(U1086="Not Sampled","Not Sampled",IF(S1086=U1086,"Accurate Prediction","Inaccurate Prediction"))</f>
        <v>Not Sampled</v>
      </c>
    </row>
    <row r="1087" spans="1:22" x14ac:dyDescent="0.25">
      <c r="A1087" s="1">
        <v>1085</v>
      </c>
      <c r="B1087" s="1">
        <v>5</v>
      </c>
      <c r="C1087" s="1" t="str">
        <f>LOOKUP(B1087,Sheet2!$D$4:$E$9)</f>
        <v>5-7</v>
      </c>
      <c r="D1087" s="1">
        <v>128</v>
      </c>
      <c r="E1087" t="str">
        <f>LOOKUP(D1087,Sheet2!$G$4:$H$9)</f>
        <v>126-150</v>
      </c>
      <c r="F1087" s="1">
        <v>80</v>
      </c>
      <c r="G1087" t="str">
        <f>LOOKUP(F1087,Sheet2!$J$4:$K$8)</f>
        <v>80+</v>
      </c>
      <c r="H1087" s="1">
        <v>0</v>
      </c>
      <c r="I1087" t="str">
        <f>LOOKUP(H1087,Sheet2!$M$4:$N$8)</f>
        <v>Unknown</v>
      </c>
      <c r="J1087" s="1">
        <v>0</v>
      </c>
      <c r="K1087" t="str">
        <f>LOOKUP(J1087,Sheet2!$P$4:$Q$9)</f>
        <v>Unknown</v>
      </c>
      <c r="L1087" s="1">
        <v>34.6</v>
      </c>
      <c r="M1087" t="str">
        <f>LOOKUP(L1087,Sheet2!$S$4:$T$8)</f>
        <v>31-35</v>
      </c>
      <c r="N1087" s="1">
        <v>0.14399999999999999</v>
      </c>
      <c r="O1087" t="str">
        <f>LOOKUP(N1087,Sheet2!$V$4:$W$7)</f>
        <v>0.0 - 0.249</v>
      </c>
      <c r="P1087" s="1">
        <v>45</v>
      </c>
      <c r="Q1087" t="str">
        <f>LOOKUP(P1087,Sheet2!$Z$4:$AA$7)</f>
        <v>36-45</v>
      </c>
      <c r="R1087" s="1">
        <v>0</v>
      </c>
      <c r="S1087" t="str">
        <f>IF(R1087=1,"Positive","Negative")</f>
        <v>Negative</v>
      </c>
      <c r="T1087" s="1" t="str">
        <f>IFERROR(VLOOKUP(A1087,[1]diabetes_Recognition!$A:$B,2,FALSE),"Not Sampled")</f>
        <v>Not Sampled</v>
      </c>
      <c r="U1087" t="str">
        <f>IF(T1087=1,"Positive",(IF(T1087=0,"Negative","Not Sampled")))</f>
        <v>Not Sampled</v>
      </c>
      <c r="V1087" s="1" t="str">
        <f>IF(U1087="Not Sampled","Not Sampled",IF(S1087=U1087,"Accurate Prediction","Inaccurate Prediction"))</f>
        <v>Not Sampled</v>
      </c>
    </row>
    <row r="1088" spans="1:22" x14ac:dyDescent="0.25">
      <c r="A1088" s="1">
        <v>1086</v>
      </c>
      <c r="B1088" s="1">
        <v>4</v>
      </c>
      <c r="C1088" s="1" t="str">
        <f>LOOKUP(B1088,Sheet2!$D$4:$E$9)</f>
        <v>3-4</v>
      </c>
      <c r="D1088" s="1">
        <v>94</v>
      </c>
      <c r="E1088" t="str">
        <f>LOOKUP(D1088,Sheet2!$G$4:$H$9)</f>
        <v>1-99</v>
      </c>
      <c r="F1088" s="1">
        <v>65</v>
      </c>
      <c r="G1088" t="str">
        <f>LOOKUP(F1088,Sheet2!$J$4:$K$8)</f>
        <v>60-69</v>
      </c>
      <c r="H1088" s="1">
        <v>22</v>
      </c>
      <c r="I1088" t="str">
        <f>LOOKUP(H1088,Sheet2!$M$4:$N$8)</f>
        <v>10-30</v>
      </c>
      <c r="J1088" s="1">
        <v>0</v>
      </c>
      <c r="K1088" t="str">
        <f>LOOKUP(J1088,Sheet2!$P$4:$Q$9)</f>
        <v>Unknown</v>
      </c>
      <c r="L1088" s="1">
        <v>24.7</v>
      </c>
      <c r="M1088" t="str">
        <f>LOOKUP(L1088,Sheet2!$S$4:$T$8)</f>
        <v>1-25</v>
      </c>
      <c r="N1088" s="1">
        <v>0.14799999999999999</v>
      </c>
      <c r="O1088" t="str">
        <f>LOOKUP(N1088,Sheet2!$V$4:$W$7)</f>
        <v>0.0 - 0.249</v>
      </c>
      <c r="P1088" s="1">
        <v>21</v>
      </c>
      <c r="Q1088" t="str">
        <f>LOOKUP(P1088,Sheet2!$Z$4:$AA$7)</f>
        <v>&lt;=25</v>
      </c>
      <c r="R1088" s="1">
        <v>0</v>
      </c>
      <c r="S1088" t="str">
        <f>IF(R1088=1,"Positive","Negative")</f>
        <v>Negative</v>
      </c>
      <c r="T1088" s="1">
        <f>IFERROR(VLOOKUP(A1088,[1]diabetes_Recognition!$A:$B,2,FALSE),"Not Sampled")</f>
        <v>0</v>
      </c>
      <c r="U1088" t="str">
        <f>IF(T1088=1,"Positive",(IF(T1088=0,"Negative","Not Sampled")))</f>
        <v>Negative</v>
      </c>
      <c r="V1088" s="1" t="str">
        <f>IF(U1088="Not Sampled","Not Sampled",IF(S1088=U1088,"Accurate Prediction","Inaccurate Prediction"))</f>
        <v>Accurate Prediction</v>
      </c>
    </row>
    <row r="1089" spans="1:22" x14ac:dyDescent="0.25">
      <c r="A1089" s="1">
        <v>1087</v>
      </c>
      <c r="B1089" s="1">
        <v>7</v>
      </c>
      <c r="C1089" s="1" t="str">
        <f>LOOKUP(B1089,Sheet2!$D$4:$E$9)</f>
        <v>5-7</v>
      </c>
      <c r="D1089" s="1">
        <v>114</v>
      </c>
      <c r="E1089" t="str">
        <f>LOOKUP(D1089,Sheet2!$G$4:$H$9)</f>
        <v>100-125</v>
      </c>
      <c r="F1089" s="1">
        <v>64</v>
      </c>
      <c r="G1089" t="str">
        <f>LOOKUP(F1089,Sheet2!$J$4:$K$8)</f>
        <v>60-69</v>
      </c>
      <c r="H1089" s="1">
        <v>0</v>
      </c>
      <c r="I1089" t="str">
        <f>LOOKUP(H1089,Sheet2!$M$4:$N$8)</f>
        <v>Unknown</v>
      </c>
      <c r="J1089" s="1">
        <v>0</v>
      </c>
      <c r="K1089" t="str">
        <f>LOOKUP(J1089,Sheet2!$P$4:$Q$9)</f>
        <v>Unknown</v>
      </c>
      <c r="L1089" s="1">
        <v>27.4</v>
      </c>
      <c r="M1089" t="str">
        <f>LOOKUP(L1089,Sheet2!$S$4:$T$8)</f>
        <v>26-30</v>
      </c>
      <c r="N1089" s="1">
        <v>0.73199999999999998</v>
      </c>
      <c r="O1089" t="str">
        <f>LOOKUP(N1089,Sheet2!$V$4:$W$7)</f>
        <v>0.7+</v>
      </c>
      <c r="P1089" s="1">
        <v>34</v>
      </c>
      <c r="Q1089" t="str">
        <f>LOOKUP(P1089,Sheet2!$Z$4:$AA$7)</f>
        <v>26-35</v>
      </c>
      <c r="R1089" s="1">
        <v>1</v>
      </c>
      <c r="S1089" t="str">
        <f>IF(R1089=1,"Positive","Negative")</f>
        <v>Positive</v>
      </c>
      <c r="T1089" s="1">
        <f>IFERROR(VLOOKUP(A1089,[1]diabetes_Recognition!$A:$B,2,FALSE),"Not Sampled")</f>
        <v>0</v>
      </c>
      <c r="U1089" t="str">
        <f>IF(T1089=1,"Positive",(IF(T1089=0,"Negative","Not Sampled")))</f>
        <v>Negative</v>
      </c>
      <c r="V1089" s="1" t="str">
        <f>IF(U1089="Not Sampled","Not Sampled",IF(S1089=U1089,"Accurate Prediction","Inaccurate Prediction"))</f>
        <v>Inaccurate Prediction</v>
      </c>
    </row>
    <row r="1090" spans="1:22" x14ac:dyDescent="0.25">
      <c r="A1090" s="1">
        <v>1088</v>
      </c>
      <c r="B1090" s="1">
        <v>0</v>
      </c>
      <c r="C1090" s="1">
        <f>LOOKUP(B1090,Sheet2!$D$4:$E$9)</f>
        <v>0</v>
      </c>
      <c r="D1090" s="1">
        <v>102</v>
      </c>
      <c r="E1090" t="str">
        <f>LOOKUP(D1090,Sheet2!$G$4:$H$9)</f>
        <v>100-125</v>
      </c>
      <c r="F1090" s="1">
        <v>78</v>
      </c>
      <c r="G1090" t="str">
        <f>LOOKUP(F1090,Sheet2!$J$4:$K$8)</f>
        <v>70-79</v>
      </c>
      <c r="H1090" s="1">
        <v>40</v>
      </c>
      <c r="I1090" t="str">
        <f>LOOKUP(H1090,Sheet2!$M$4:$N$8)</f>
        <v>40+</v>
      </c>
      <c r="J1090" s="1">
        <v>90</v>
      </c>
      <c r="K1090" t="str">
        <f>LOOKUP(J1090,Sheet2!$P$4:$Q$9)</f>
        <v>1-99</v>
      </c>
      <c r="L1090" s="1">
        <v>34.5</v>
      </c>
      <c r="M1090" t="str">
        <f>LOOKUP(L1090,Sheet2!$S$4:$T$8)</f>
        <v>31-35</v>
      </c>
      <c r="N1090" s="1">
        <v>0.23799999999999999</v>
      </c>
      <c r="O1090" t="str">
        <f>LOOKUP(N1090,Sheet2!$V$4:$W$7)</f>
        <v>0.0 - 0.249</v>
      </c>
      <c r="P1090" s="1">
        <v>24</v>
      </c>
      <c r="Q1090" t="str">
        <f>LOOKUP(P1090,Sheet2!$Z$4:$AA$7)</f>
        <v>&lt;=25</v>
      </c>
      <c r="R1090" s="1">
        <v>0</v>
      </c>
      <c r="S1090" t="str">
        <f>IF(R1090=1,"Positive","Negative")</f>
        <v>Negative</v>
      </c>
      <c r="T1090" s="1" t="str">
        <f>IFERROR(VLOOKUP(A1090,[1]diabetes_Recognition!$A:$B,2,FALSE),"Not Sampled")</f>
        <v>Not Sampled</v>
      </c>
      <c r="U1090" t="str">
        <f>IF(T1090=1,"Positive",(IF(T1090=0,"Negative","Not Sampled")))</f>
        <v>Not Sampled</v>
      </c>
      <c r="V1090" s="1" t="str">
        <f>IF(U1090="Not Sampled","Not Sampled",IF(S1090=U1090,"Accurate Prediction","Inaccurate Prediction"))</f>
        <v>Not Sampled</v>
      </c>
    </row>
    <row r="1091" spans="1:22" x14ac:dyDescent="0.25">
      <c r="A1091" s="1">
        <v>1089</v>
      </c>
      <c r="B1091" s="1">
        <v>2</v>
      </c>
      <c r="C1091" s="1">
        <f>LOOKUP(B1091,Sheet2!$D$4:$E$9)</f>
        <v>2</v>
      </c>
      <c r="D1091" s="1">
        <v>111</v>
      </c>
      <c r="E1091" t="str">
        <f>LOOKUP(D1091,Sheet2!$G$4:$H$9)</f>
        <v>100-125</v>
      </c>
      <c r="F1091" s="1">
        <v>60</v>
      </c>
      <c r="G1091" t="str">
        <f>LOOKUP(F1091,Sheet2!$J$4:$K$8)</f>
        <v>60-69</v>
      </c>
      <c r="H1091" s="1">
        <v>0</v>
      </c>
      <c r="I1091" t="str">
        <f>LOOKUP(H1091,Sheet2!$M$4:$N$8)</f>
        <v>Unknown</v>
      </c>
      <c r="J1091" s="1">
        <v>0</v>
      </c>
      <c r="K1091" t="str">
        <f>LOOKUP(J1091,Sheet2!$P$4:$Q$9)</f>
        <v>Unknown</v>
      </c>
      <c r="L1091" s="1">
        <v>26.2</v>
      </c>
      <c r="M1091" t="str">
        <f>LOOKUP(L1091,Sheet2!$S$4:$T$8)</f>
        <v>26-30</v>
      </c>
      <c r="N1091" s="1">
        <v>0.34300000000000003</v>
      </c>
      <c r="O1091" t="str">
        <f>LOOKUP(N1091,Sheet2!$V$4:$W$7)</f>
        <v>0.25 - 0.39</v>
      </c>
      <c r="P1091" s="1">
        <v>23</v>
      </c>
      <c r="Q1091" t="str">
        <f>LOOKUP(P1091,Sheet2!$Z$4:$AA$7)</f>
        <v>&lt;=25</v>
      </c>
      <c r="R1091" s="1">
        <v>0</v>
      </c>
      <c r="S1091" t="str">
        <f>IF(R1091=1,"Positive","Negative")</f>
        <v>Negative</v>
      </c>
      <c r="T1091" s="1" t="str">
        <f>IFERROR(VLOOKUP(A1091,[1]diabetes_Recognition!$A:$B,2,FALSE),"Not Sampled")</f>
        <v>Not Sampled</v>
      </c>
      <c r="U1091" t="str">
        <f>IF(T1091=1,"Positive",(IF(T1091=0,"Negative","Not Sampled")))</f>
        <v>Not Sampled</v>
      </c>
      <c r="V1091" s="1" t="str">
        <f>IF(U1091="Not Sampled","Not Sampled",IF(S1091=U1091,"Accurate Prediction","Inaccurate Prediction"))</f>
        <v>Not Sampled</v>
      </c>
    </row>
    <row r="1092" spans="1:22" x14ac:dyDescent="0.25">
      <c r="A1092" s="1">
        <v>1090</v>
      </c>
      <c r="B1092" s="1">
        <v>1</v>
      </c>
      <c r="C1092" s="1">
        <f>LOOKUP(B1092,Sheet2!$D$4:$E$9)</f>
        <v>1</v>
      </c>
      <c r="D1092" s="1">
        <v>128</v>
      </c>
      <c r="E1092" t="str">
        <f>LOOKUP(D1092,Sheet2!$G$4:$H$9)</f>
        <v>126-150</v>
      </c>
      <c r="F1092" s="1">
        <v>82</v>
      </c>
      <c r="G1092" t="str">
        <f>LOOKUP(F1092,Sheet2!$J$4:$K$8)</f>
        <v>80+</v>
      </c>
      <c r="H1092" s="1">
        <v>17</v>
      </c>
      <c r="I1092" t="str">
        <f>LOOKUP(H1092,Sheet2!$M$4:$N$8)</f>
        <v>10-30</v>
      </c>
      <c r="J1092" s="1">
        <v>183</v>
      </c>
      <c r="K1092" t="str">
        <f>LOOKUP(J1092,Sheet2!$P$4:$Q$9)</f>
        <v>100-199</v>
      </c>
      <c r="L1092" s="1">
        <v>27.5</v>
      </c>
      <c r="M1092" t="str">
        <f>LOOKUP(L1092,Sheet2!$S$4:$T$8)</f>
        <v>26-30</v>
      </c>
      <c r="N1092" s="1">
        <v>0.115</v>
      </c>
      <c r="O1092" t="str">
        <f>LOOKUP(N1092,Sheet2!$V$4:$W$7)</f>
        <v>0.0 - 0.249</v>
      </c>
      <c r="P1092" s="1">
        <v>22</v>
      </c>
      <c r="Q1092" t="str">
        <f>LOOKUP(P1092,Sheet2!$Z$4:$AA$7)</f>
        <v>&lt;=25</v>
      </c>
      <c r="R1092" s="1">
        <v>0</v>
      </c>
      <c r="S1092" t="str">
        <f>IF(R1092=1,"Positive","Negative")</f>
        <v>Negative</v>
      </c>
      <c r="T1092" s="1">
        <f>IFERROR(VLOOKUP(A1092,[1]diabetes_Recognition!$A:$B,2,FALSE),"Not Sampled")</f>
        <v>0</v>
      </c>
      <c r="U1092" t="str">
        <f>IF(T1092=1,"Positive",(IF(T1092=0,"Negative","Not Sampled")))</f>
        <v>Negative</v>
      </c>
      <c r="V1092" s="1" t="str">
        <f>IF(U1092="Not Sampled","Not Sampled",IF(S1092=U1092,"Accurate Prediction","Inaccurate Prediction"))</f>
        <v>Accurate Prediction</v>
      </c>
    </row>
    <row r="1093" spans="1:22" x14ac:dyDescent="0.25">
      <c r="A1093" s="1">
        <v>1091</v>
      </c>
      <c r="B1093" s="1">
        <v>10</v>
      </c>
      <c r="C1093" s="1" t="str">
        <f>LOOKUP(B1093,Sheet2!$D$4:$E$9)</f>
        <v>8+</v>
      </c>
      <c r="D1093" s="1">
        <v>92</v>
      </c>
      <c r="E1093" t="str">
        <f>LOOKUP(D1093,Sheet2!$G$4:$H$9)</f>
        <v>1-99</v>
      </c>
      <c r="F1093" s="1">
        <v>62</v>
      </c>
      <c r="G1093" t="str">
        <f>LOOKUP(F1093,Sheet2!$J$4:$K$8)</f>
        <v>60-69</v>
      </c>
      <c r="H1093" s="1">
        <v>0</v>
      </c>
      <c r="I1093" t="str">
        <f>LOOKUP(H1093,Sheet2!$M$4:$N$8)</f>
        <v>Unknown</v>
      </c>
      <c r="J1093" s="1">
        <v>0</v>
      </c>
      <c r="K1093" t="str">
        <f>LOOKUP(J1093,Sheet2!$P$4:$Q$9)</f>
        <v>Unknown</v>
      </c>
      <c r="L1093" s="1">
        <v>25.9</v>
      </c>
      <c r="M1093" t="str">
        <f>LOOKUP(L1093,Sheet2!$S$4:$T$8)</f>
        <v>1-25</v>
      </c>
      <c r="N1093" s="1">
        <v>0.16700000000000001</v>
      </c>
      <c r="O1093" t="str">
        <f>LOOKUP(N1093,Sheet2!$V$4:$W$7)</f>
        <v>0.0 - 0.249</v>
      </c>
      <c r="P1093" s="1">
        <v>31</v>
      </c>
      <c r="Q1093" t="str">
        <f>LOOKUP(P1093,Sheet2!$Z$4:$AA$7)</f>
        <v>26-35</v>
      </c>
      <c r="R1093" s="1">
        <v>0</v>
      </c>
      <c r="S1093" t="str">
        <f>IF(R1093=1,"Positive","Negative")</f>
        <v>Negative</v>
      </c>
      <c r="T1093" s="1" t="str">
        <f>IFERROR(VLOOKUP(A1093,[1]diabetes_Recognition!$A:$B,2,FALSE),"Not Sampled")</f>
        <v>Not Sampled</v>
      </c>
      <c r="U1093" t="str">
        <f>IF(T1093=1,"Positive",(IF(T1093=0,"Negative","Not Sampled")))</f>
        <v>Not Sampled</v>
      </c>
      <c r="V1093" s="1" t="str">
        <f>IF(U1093="Not Sampled","Not Sampled",IF(S1093=U1093,"Accurate Prediction","Inaccurate Prediction"))</f>
        <v>Not Sampled</v>
      </c>
    </row>
    <row r="1094" spans="1:22" x14ac:dyDescent="0.25">
      <c r="A1094" s="1">
        <v>1092</v>
      </c>
      <c r="B1094" s="1">
        <v>13</v>
      </c>
      <c r="C1094" s="1" t="str">
        <f>LOOKUP(B1094,Sheet2!$D$4:$E$9)</f>
        <v>8+</v>
      </c>
      <c r="D1094" s="1">
        <v>104</v>
      </c>
      <c r="E1094" t="str">
        <f>LOOKUP(D1094,Sheet2!$G$4:$H$9)</f>
        <v>100-125</v>
      </c>
      <c r="F1094" s="1">
        <v>72</v>
      </c>
      <c r="G1094" t="str">
        <f>LOOKUP(F1094,Sheet2!$J$4:$K$8)</f>
        <v>70-79</v>
      </c>
      <c r="H1094" s="1">
        <v>0</v>
      </c>
      <c r="I1094" t="str">
        <f>LOOKUP(H1094,Sheet2!$M$4:$N$8)</f>
        <v>Unknown</v>
      </c>
      <c r="J1094" s="1">
        <v>0</v>
      </c>
      <c r="K1094" t="str">
        <f>LOOKUP(J1094,Sheet2!$P$4:$Q$9)</f>
        <v>Unknown</v>
      </c>
      <c r="L1094" s="1">
        <v>31.2</v>
      </c>
      <c r="M1094" t="str">
        <f>LOOKUP(L1094,Sheet2!$S$4:$T$8)</f>
        <v>31-35</v>
      </c>
      <c r="N1094" s="1">
        <v>0.46500000000000002</v>
      </c>
      <c r="O1094" t="str">
        <f>LOOKUP(N1094,Sheet2!$V$4:$W$7)</f>
        <v>0.4 - 0.69</v>
      </c>
      <c r="P1094" s="1">
        <v>38</v>
      </c>
      <c r="Q1094" t="str">
        <f>LOOKUP(P1094,Sheet2!$Z$4:$AA$7)</f>
        <v>36-45</v>
      </c>
      <c r="R1094" s="1">
        <v>1</v>
      </c>
      <c r="S1094" t="str">
        <f>IF(R1094=1,"Positive","Negative")</f>
        <v>Positive</v>
      </c>
      <c r="T1094" s="1" t="str">
        <f>IFERROR(VLOOKUP(A1094,[1]diabetes_Recognition!$A:$B,2,FALSE),"Not Sampled")</f>
        <v>Not Sampled</v>
      </c>
      <c r="U1094" t="str">
        <f>IF(T1094=1,"Positive",(IF(T1094=0,"Negative","Not Sampled")))</f>
        <v>Not Sampled</v>
      </c>
      <c r="V1094" s="1" t="str">
        <f>IF(U1094="Not Sampled","Not Sampled",IF(S1094=U1094,"Accurate Prediction","Inaccurate Prediction"))</f>
        <v>Not Sampled</v>
      </c>
    </row>
    <row r="1095" spans="1:22" x14ac:dyDescent="0.25">
      <c r="A1095" s="1">
        <v>1093</v>
      </c>
      <c r="B1095" s="1">
        <v>5</v>
      </c>
      <c r="C1095" s="1" t="str">
        <f>LOOKUP(B1095,Sheet2!$D$4:$E$9)</f>
        <v>5-7</v>
      </c>
      <c r="D1095" s="1">
        <v>104</v>
      </c>
      <c r="E1095" t="str">
        <f>LOOKUP(D1095,Sheet2!$G$4:$H$9)</f>
        <v>100-125</v>
      </c>
      <c r="F1095" s="1">
        <v>74</v>
      </c>
      <c r="G1095" t="str">
        <f>LOOKUP(F1095,Sheet2!$J$4:$K$8)</f>
        <v>70-79</v>
      </c>
      <c r="H1095" s="1">
        <v>0</v>
      </c>
      <c r="I1095" t="str">
        <f>LOOKUP(H1095,Sheet2!$M$4:$N$8)</f>
        <v>Unknown</v>
      </c>
      <c r="J1095" s="1">
        <v>0</v>
      </c>
      <c r="K1095" t="str">
        <f>LOOKUP(J1095,Sheet2!$P$4:$Q$9)</f>
        <v>Unknown</v>
      </c>
      <c r="L1095" s="1">
        <v>28.8</v>
      </c>
      <c r="M1095" t="str">
        <f>LOOKUP(L1095,Sheet2!$S$4:$T$8)</f>
        <v>26-30</v>
      </c>
      <c r="N1095" s="1">
        <v>0.153</v>
      </c>
      <c r="O1095" t="str">
        <f>LOOKUP(N1095,Sheet2!$V$4:$W$7)</f>
        <v>0.0 - 0.249</v>
      </c>
      <c r="P1095" s="1">
        <v>48</v>
      </c>
      <c r="Q1095" t="str">
        <f>LOOKUP(P1095,Sheet2!$Z$4:$AA$7)</f>
        <v>46+</v>
      </c>
      <c r="R1095" s="1">
        <v>0</v>
      </c>
      <c r="S1095" t="str">
        <f>IF(R1095=1,"Positive","Negative")</f>
        <v>Negative</v>
      </c>
      <c r="T1095" s="1">
        <f>IFERROR(VLOOKUP(A1095,[1]diabetes_Recognition!$A:$B,2,FALSE),"Not Sampled")</f>
        <v>0</v>
      </c>
      <c r="U1095" t="str">
        <f>IF(T1095=1,"Positive",(IF(T1095=0,"Negative","Not Sampled")))</f>
        <v>Negative</v>
      </c>
      <c r="V1095" s="1" t="str">
        <f>IF(U1095="Not Sampled","Not Sampled",IF(S1095=U1095,"Accurate Prediction","Inaccurate Prediction"))</f>
        <v>Accurate Prediction</v>
      </c>
    </row>
    <row r="1096" spans="1:22" x14ac:dyDescent="0.25">
      <c r="A1096" s="1">
        <v>1094</v>
      </c>
      <c r="B1096" s="1">
        <v>2</v>
      </c>
      <c r="C1096" s="1">
        <f>LOOKUP(B1096,Sheet2!$D$4:$E$9)</f>
        <v>2</v>
      </c>
      <c r="D1096" s="1">
        <v>94</v>
      </c>
      <c r="E1096" t="str">
        <f>LOOKUP(D1096,Sheet2!$G$4:$H$9)</f>
        <v>1-99</v>
      </c>
      <c r="F1096" s="1">
        <v>76</v>
      </c>
      <c r="G1096" t="str">
        <f>LOOKUP(F1096,Sheet2!$J$4:$K$8)</f>
        <v>70-79</v>
      </c>
      <c r="H1096" s="1">
        <v>18</v>
      </c>
      <c r="I1096" t="str">
        <f>LOOKUP(H1096,Sheet2!$M$4:$N$8)</f>
        <v>10-30</v>
      </c>
      <c r="J1096" s="1">
        <v>66</v>
      </c>
      <c r="K1096" t="str">
        <f>LOOKUP(J1096,Sheet2!$P$4:$Q$9)</f>
        <v>1-99</v>
      </c>
      <c r="L1096" s="1">
        <v>31.6</v>
      </c>
      <c r="M1096" t="str">
        <f>LOOKUP(L1096,Sheet2!$S$4:$T$8)</f>
        <v>31-35</v>
      </c>
      <c r="N1096" s="1">
        <v>0.64900000000000002</v>
      </c>
      <c r="O1096" t="str">
        <f>LOOKUP(N1096,Sheet2!$V$4:$W$7)</f>
        <v>0.4 - 0.69</v>
      </c>
      <c r="P1096" s="1">
        <v>23</v>
      </c>
      <c r="Q1096" t="str">
        <f>LOOKUP(P1096,Sheet2!$Z$4:$AA$7)</f>
        <v>&lt;=25</v>
      </c>
      <c r="R1096" s="1">
        <v>0</v>
      </c>
      <c r="S1096" t="str">
        <f>IF(R1096=1,"Positive","Negative")</f>
        <v>Negative</v>
      </c>
      <c r="T1096" s="1" t="str">
        <f>IFERROR(VLOOKUP(A1096,[1]diabetes_Recognition!$A:$B,2,FALSE),"Not Sampled")</f>
        <v>Not Sampled</v>
      </c>
      <c r="U1096" t="str">
        <f>IF(T1096=1,"Positive",(IF(T1096=0,"Negative","Not Sampled")))</f>
        <v>Not Sampled</v>
      </c>
      <c r="V1096" s="1" t="str">
        <f>IF(U1096="Not Sampled","Not Sampled",IF(S1096=U1096,"Accurate Prediction","Inaccurate Prediction"))</f>
        <v>Not Sampled</v>
      </c>
    </row>
    <row r="1097" spans="1:22" x14ac:dyDescent="0.25">
      <c r="A1097" s="1">
        <v>1095</v>
      </c>
      <c r="B1097" s="1">
        <v>7</v>
      </c>
      <c r="C1097" s="1" t="str">
        <f>LOOKUP(B1097,Sheet2!$D$4:$E$9)</f>
        <v>5-7</v>
      </c>
      <c r="D1097" s="1">
        <v>97</v>
      </c>
      <c r="E1097" t="str">
        <f>LOOKUP(D1097,Sheet2!$G$4:$H$9)</f>
        <v>1-99</v>
      </c>
      <c r="F1097" s="1">
        <v>76</v>
      </c>
      <c r="G1097" t="str">
        <f>LOOKUP(F1097,Sheet2!$J$4:$K$8)</f>
        <v>70-79</v>
      </c>
      <c r="H1097" s="1">
        <v>32</v>
      </c>
      <c r="I1097" t="str">
        <f>LOOKUP(H1097,Sheet2!$M$4:$N$8)</f>
        <v>30-39</v>
      </c>
      <c r="J1097" s="1">
        <v>91</v>
      </c>
      <c r="K1097" t="str">
        <f>LOOKUP(J1097,Sheet2!$P$4:$Q$9)</f>
        <v>1-99</v>
      </c>
      <c r="L1097" s="1">
        <v>40.9</v>
      </c>
      <c r="M1097" t="str">
        <f>LOOKUP(L1097,Sheet2!$S$4:$T$8)</f>
        <v>36+</v>
      </c>
      <c r="N1097" s="1">
        <v>0.871</v>
      </c>
      <c r="O1097" t="str">
        <f>LOOKUP(N1097,Sheet2!$V$4:$W$7)</f>
        <v>0.7+</v>
      </c>
      <c r="P1097" s="1">
        <v>32</v>
      </c>
      <c r="Q1097" t="str">
        <f>LOOKUP(P1097,Sheet2!$Z$4:$AA$7)</f>
        <v>26-35</v>
      </c>
      <c r="R1097" s="1">
        <v>1</v>
      </c>
      <c r="S1097" t="str">
        <f>IF(R1097=1,"Positive","Negative")</f>
        <v>Positive</v>
      </c>
      <c r="T1097" s="1" t="str">
        <f>IFERROR(VLOOKUP(A1097,[1]diabetes_Recognition!$A:$B,2,FALSE),"Not Sampled")</f>
        <v>Not Sampled</v>
      </c>
      <c r="U1097" t="str">
        <f>IF(T1097=1,"Positive",(IF(T1097=0,"Negative","Not Sampled")))</f>
        <v>Not Sampled</v>
      </c>
      <c r="V1097" s="1" t="str">
        <f>IF(U1097="Not Sampled","Not Sampled",IF(S1097=U1097,"Accurate Prediction","Inaccurate Prediction"))</f>
        <v>Not Sampled</v>
      </c>
    </row>
    <row r="1098" spans="1:22" x14ac:dyDescent="0.25">
      <c r="A1098" s="1">
        <v>1096</v>
      </c>
      <c r="B1098" s="1">
        <v>1</v>
      </c>
      <c r="C1098" s="1">
        <f>LOOKUP(B1098,Sheet2!$D$4:$E$9)</f>
        <v>1</v>
      </c>
      <c r="D1098" s="1">
        <v>100</v>
      </c>
      <c r="E1098" t="str">
        <f>LOOKUP(D1098,Sheet2!$G$4:$H$9)</f>
        <v>100-125</v>
      </c>
      <c r="F1098" s="1">
        <v>74</v>
      </c>
      <c r="G1098" t="str">
        <f>LOOKUP(F1098,Sheet2!$J$4:$K$8)</f>
        <v>70-79</v>
      </c>
      <c r="H1098" s="1">
        <v>12</v>
      </c>
      <c r="I1098" t="str">
        <f>LOOKUP(H1098,Sheet2!$M$4:$N$8)</f>
        <v>10-30</v>
      </c>
      <c r="J1098" s="1">
        <v>46</v>
      </c>
      <c r="K1098" t="str">
        <f>LOOKUP(J1098,Sheet2!$P$4:$Q$9)</f>
        <v>1-99</v>
      </c>
      <c r="L1098" s="1">
        <v>19.5</v>
      </c>
      <c r="M1098" t="str">
        <f>LOOKUP(L1098,Sheet2!$S$4:$T$8)</f>
        <v>1-25</v>
      </c>
      <c r="N1098" s="1">
        <v>0.14899999999999999</v>
      </c>
      <c r="O1098" t="str">
        <f>LOOKUP(N1098,Sheet2!$V$4:$W$7)</f>
        <v>0.0 - 0.249</v>
      </c>
      <c r="P1098" s="1">
        <v>28</v>
      </c>
      <c r="Q1098" t="str">
        <f>LOOKUP(P1098,Sheet2!$Z$4:$AA$7)</f>
        <v>26-35</v>
      </c>
      <c r="R1098" s="1">
        <v>0</v>
      </c>
      <c r="S1098" t="str">
        <f>IF(R1098=1,"Positive","Negative")</f>
        <v>Negative</v>
      </c>
      <c r="T1098" s="1" t="str">
        <f>IFERROR(VLOOKUP(A1098,[1]diabetes_Recognition!$A:$B,2,FALSE),"Not Sampled")</f>
        <v>Not Sampled</v>
      </c>
      <c r="U1098" t="str">
        <f>IF(T1098=1,"Positive",(IF(T1098=0,"Negative","Not Sampled")))</f>
        <v>Not Sampled</v>
      </c>
      <c r="V1098" s="1" t="str">
        <f>IF(U1098="Not Sampled","Not Sampled",IF(S1098=U1098,"Accurate Prediction","Inaccurate Prediction"))</f>
        <v>Not Sampled</v>
      </c>
    </row>
    <row r="1099" spans="1:22" x14ac:dyDescent="0.25">
      <c r="A1099" s="1">
        <v>1097</v>
      </c>
      <c r="B1099" s="1">
        <v>0</v>
      </c>
      <c r="C1099" s="1">
        <f>LOOKUP(B1099,Sheet2!$D$4:$E$9)</f>
        <v>0</v>
      </c>
      <c r="D1099" s="1">
        <v>102</v>
      </c>
      <c r="E1099" t="str">
        <f>LOOKUP(D1099,Sheet2!$G$4:$H$9)</f>
        <v>100-125</v>
      </c>
      <c r="F1099" s="1">
        <v>86</v>
      </c>
      <c r="G1099" t="str">
        <f>LOOKUP(F1099,Sheet2!$J$4:$K$8)</f>
        <v>80+</v>
      </c>
      <c r="H1099" s="1">
        <v>17</v>
      </c>
      <c r="I1099" t="str">
        <f>LOOKUP(H1099,Sheet2!$M$4:$N$8)</f>
        <v>10-30</v>
      </c>
      <c r="J1099" s="1">
        <v>105</v>
      </c>
      <c r="K1099" t="str">
        <f>LOOKUP(J1099,Sheet2!$P$4:$Q$9)</f>
        <v>100-199</v>
      </c>
      <c r="L1099" s="1">
        <v>29.3</v>
      </c>
      <c r="M1099" t="str">
        <f>LOOKUP(L1099,Sheet2!$S$4:$T$8)</f>
        <v>26-30</v>
      </c>
      <c r="N1099" s="1">
        <v>0.69499999999999995</v>
      </c>
      <c r="O1099" t="str">
        <f>LOOKUP(N1099,Sheet2!$V$4:$W$7)</f>
        <v>0.4 - 0.69</v>
      </c>
      <c r="P1099" s="1">
        <v>27</v>
      </c>
      <c r="Q1099" t="str">
        <f>LOOKUP(P1099,Sheet2!$Z$4:$AA$7)</f>
        <v>26-35</v>
      </c>
      <c r="R1099" s="1">
        <v>0</v>
      </c>
      <c r="S1099" t="str">
        <f>IF(R1099=1,"Positive","Negative")</f>
        <v>Negative</v>
      </c>
      <c r="T1099" s="1" t="str">
        <f>IFERROR(VLOOKUP(A1099,[1]diabetes_Recognition!$A:$B,2,FALSE),"Not Sampled")</f>
        <v>Not Sampled</v>
      </c>
      <c r="U1099" t="str">
        <f>IF(T1099=1,"Positive",(IF(T1099=0,"Negative","Not Sampled")))</f>
        <v>Not Sampled</v>
      </c>
      <c r="V1099" s="1" t="str">
        <f>IF(U1099="Not Sampled","Not Sampled",IF(S1099=U1099,"Accurate Prediction","Inaccurate Prediction"))</f>
        <v>Not Sampled</v>
      </c>
    </row>
    <row r="1100" spans="1:22" x14ac:dyDescent="0.25">
      <c r="A1100" s="1">
        <v>1098</v>
      </c>
      <c r="B1100" s="1">
        <v>4</v>
      </c>
      <c r="C1100" s="1" t="str">
        <f>LOOKUP(B1100,Sheet2!$D$4:$E$9)</f>
        <v>3-4</v>
      </c>
      <c r="D1100" s="1">
        <v>128</v>
      </c>
      <c r="E1100" t="str">
        <f>LOOKUP(D1100,Sheet2!$G$4:$H$9)</f>
        <v>126-150</v>
      </c>
      <c r="F1100" s="1">
        <v>70</v>
      </c>
      <c r="G1100" t="str">
        <f>LOOKUP(F1100,Sheet2!$J$4:$K$8)</f>
        <v>70-79</v>
      </c>
      <c r="H1100" s="1">
        <v>0</v>
      </c>
      <c r="I1100" t="str">
        <f>LOOKUP(H1100,Sheet2!$M$4:$N$8)</f>
        <v>Unknown</v>
      </c>
      <c r="J1100" s="1">
        <v>0</v>
      </c>
      <c r="K1100" t="str">
        <f>LOOKUP(J1100,Sheet2!$P$4:$Q$9)</f>
        <v>Unknown</v>
      </c>
      <c r="L1100" s="1">
        <v>34.299999999999997</v>
      </c>
      <c r="M1100" t="str">
        <f>LOOKUP(L1100,Sheet2!$S$4:$T$8)</f>
        <v>31-35</v>
      </c>
      <c r="N1100" s="1">
        <v>0.30299999999999999</v>
      </c>
      <c r="O1100" t="str">
        <f>LOOKUP(N1100,Sheet2!$V$4:$W$7)</f>
        <v>0.25 - 0.39</v>
      </c>
      <c r="P1100" s="1">
        <v>24</v>
      </c>
      <c r="Q1100" t="str">
        <f>LOOKUP(P1100,Sheet2!$Z$4:$AA$7)</f>
        <v>&lt;=25</v>
      </c>
      <c r="R1100" s="1">
        <v>0</v>
      </c>
      <c r="S1100" t="str">
        <f>IF(R1100=1,"Positive","Negative")</f>
        <v>Negative</v>
      </c>
      <c r="T1100" s="1" t="str">
        <f>IFERROR(VLOOKUP(A1100,[1]diabetes_Recognition!$A:$B,2,FALSE),"Not Sampled")</f>
        <v>Not Sampled</v>
      </c>
      <c r="U1100" t="str">
        <f>IF(T1100=1,"Positive",(IF(T1100=0,"Negative","Not Sampled")))</f>
        <v>Not Sampled</v>
      </c>
      <c r="V1100" s="1" t="str">
        <f>IF(U1100="Not Sampled","Not Sampled",IF(S1100=U1100,"Accurate Prediction","Inaccurate Prediction"))</f>
        <v>Not Sampled</v>
      </c>
    </row>
    <row r="1101" spans="1:22" x14ac:dyDescent="0.25">
      <c r="A1101" s="1">
        <v>1099</v>
      </c>
      <c r="B1101" s="1">
        <v>6</v>
      </c>
      <c r="C1101" s="1" t="str">
        <f>LOOKUP(B1101,Sheet2!$D$4:$E$9)</f>
        <v>5-7</v>
      </c>
      <c r="D1101" s="1">
        <v>147</v>
      </c>
      <c r="E1101" t="str">
        <f>LOOKUP(D1101,Sheet2!$G$4:$H$9)</f>
        <v>126-150</v>
      </c>
      <c r="F1101" s="1">
        <v>80</v>
      </c>
      <c r="G1101" t="str">
        <f>LOOKUP(F1101,Sheet2!$J$4:$K$8)</f>
        <v>80+</v>
      </c>
      <c r="H1101" s="1">
        <v>0</v>
      </c>
      <c r="I1101" t="str">
        <f>LOOKUP(H1101,Sheet2!$M$4:$N$8)</f>
        <v>Unknown</v>
      </c>
      <c r="J1101" s="1">
        <v>0</v>
      </c>
      <c r="K1101" t="str">
        <f>LOOKUP(J1101,Sheet2!$P$4:$Q$9)</f>
        <v>Unknown</v>
      </c>
      <c r="L1101" s="1">
        <v>29.5</v>
      </c>
      <c r="M1101" t="str">
        <f>LOOKUP(L1101,Sheet2!$S$4:$T$8)</f>
        <v>26-30</v>
      </c>
      <c r="N1101" s="1">
        <v>0.17799999999999999</v>
      </c>
      <c r="O1101" t="str">
        <f>LOOKUP(N1101,Sheet2!$V$4:$W$7)</f>
        <v>0.0 - 0.249</v>
      </c>
      <c r="P1101" s="1">
        <v>50</v>
      </c>
      <c r="Q1101" t="str">
        <f>LOOKUP(P1101,Sheet2!$Z$4:$AA$7)</f>
        <v>46+</v>
      </c>
      <c r="R1101" s="1">
        <v>1</v>
      </c>
      <c r="S1101" t="str">
        <f>IF(R1101=1,"Positive","Negative")</f>
        <v>Positive</v>
      </c>
      <c r="T1101" s="1" t="str">
        <f>IFERROR(VLOOKUP(A1101,[1]diabetes_Recognition!$A:$B,2,FALSE),"Not Sampled")</f>
        <v>Not Sampled</v>
      </c>
      <c r="U1101" t="str">
        <f>IF(T1101=1,"Positive",(IF(T1101=0,"Negative","Not Sampled")))</f>
        <v>Not Sampled</v>
      </c>
      <c r="V1101" s="1" t="str">
        <f>IF(U1101="Not Sampled","Not Sampled",IF(S1101=U1101,"Accurate Prediction","Inaccurate Prediction"))</f>
        <v>Not Sampled</v>
      </c>
    </row>
    <row r="1102" spans="1:22" x14ac:dyDescent="0.25">
      <c r="A1102" s="1">
        <v>1100</v>
      </c>
      <c r="B1102" s="1">
        <v>4</v>
      </c>
      <c r="C1102" s="1" t="str">
        <f>LOOKUP(B1102,Sheet2!$D$4:$E$9)</f>
        <v>3-4</v>
      </c>
      <c r="D1102" s="1">
        <v>90</v>
      </c>
      <c r="E1102" t="str">
        <f>LOOKUP(D1102,Sheet2!$G$4:$H$9)</f>
        <v>1-99</v>
      </c>
      <c r="F1102" s="1">
        <v>0</v>
      </c>
      <c r="G1102" t="str">
        <f>LOOKUP(F1102,Sheet2!$J$4:$K$8)</f>
        <v>Unknown</v>
      </c>
      <c r="H1102" s="1">
        <v>0</v>
      </c>
      <c r="I1102" t="str">
        <f>LOOKUP(H1102,Sheet2!$M$4:$N$8)</f>
        <v>Unknown</v>
      </c>
      <c r="J1102" s="1">
        <v>0</v>
      </c>
      <c r="K1102" t="str">
        <f>LOOKUP(J1102,Sheet2!$P$4:$Q$9)</f>
        <v>Unknown</v>
      </c>
      <c r="L1102" s="1">
        <v>28</v>
      </c>
      <c r="M1102" t="str">
        <f>LOOKUP(L1102,Sheet2!$S$4:$T$8)</f>
        <v>26-30</v>
      </c>
      <c r="N1102" s="1">
        <v>0.61</v>
      </c>
      <c r="O1102" t="str">
        <f>LOOKUP(N1102,Sheet2!$V$4:$W$7)</f>
        <v>0.4 - 0.69</v>
      </c>
      <c r="P1102" s="1">
        <v>31</v>
      </c>
      <c r="Q1102" t="str">
        <f>LOOKUP(P1102,Sheet2!$Z$4:$AA$7)</f>
        <v>26-35</v>
      </c>
      <c r="R1102" s="1">
        <v>0</v>
      </c>
      <c r="S1102" t="str">
        <f>IF(R1102=1,"Positive","Negative")</f>
        <v>Negative</v>
      </c>
      <c r="T1102" s="1">
        <f>IFERROR(VLOOKUP(A1102,[1]diabetes_Recognition!$A:$B,2,FALSE),"Not Sampled")</f>
        <v>0</v>
      </c>
      <c r="U1102" t="str">
        <f>IF(T1102=1,"Positive",(IF(T1102=0,"Negative","Not Sampled")))</f>
        <v>Negative</v>
      </c>
      <c r="V1102" s="1" t="str">
        <f>IF(U1102="Not Sampled","Not Sampled",IF(S1102=U1102,"Accurate Prediction","Inaccurate Prediction"))</f>
        <v>Accurate Prediction</v>
      </c>
    </row>
    <row r="1103" spans="1:22" x14ac:dyDescent="0.25">
      <c r="A1103" s="1">
        <v>1101</v>
      </c>
      <c r="B1103" s="1">
        <v>3</v>
      </c>
      <c r="C1103" s="1" t="str">
        <f>LOOKUP(B1103,Sheet2!$D$4:$E$9)</f>
        <v>3-4</v>
      </c>
      <c r="D1103" s="1">
        <v>103</v>
      </c>
      <c r="E1103" t="str">
        <f>LOOKUP(D1103,Sheet2!$G$4:$H$9)</f>
        <v>100-125</v>
      </c>
      <c r="F1103" s="1">
        <v>72</v>
      </c>
      <c r="G1103" t="str">
        <f>LOOKUP(F1103,Sheet2!$J$4:$K$8)</f>
        <v>70-79</v>
      </c>
      <c r="H1103" s="1">
        <v>30</v>
      </c>
      <c r="I1103" t="str">
        <f>LOOKUP(H1103,Sheet2!$M$4:$N$8)</f>
        <v>30-39</v>
      </c>
      <c r="J1103" s="1">
        <v>152</v>
      </c>
      <c r="K1103" t="str">
        <f>LOOKUP(J1103,Sheet2!$P$4:$Q$9)</f>
        <v>100-199</v>
      </c>
      <c r="L1103" s="1">
        <v>27.6</v>
      </c>
      <c r="M1103" t="str">
        <f>LOOKUP(L1103,Sheet2!$S$4:$T$8)</f>
        <v>26-30</v>
      </c>
      <c r="N1103" s="1">
        <v>0.73</v>
      </c>
      <c r="O1103" t="str">
        <f>LOOKUP(N1103,Sheet2!$V$4:$W$7)</f>
        <v>0.7+</v>
      </c>
      <c r="P1103" s="1">
        <v>27</v>
      </c>
      <c r="Q1103" t="str">
        <f>LOOKUP(P1103,Sheet2!$Z$4:$AA$7)</f>
        <v>26-35</v>
      </c>
      <c r="R1103" s="1">
        <v>0</v>
      </c>
      <c r="S1103" t="str">
        <f>IF(R1103=1,"Positive","Negative")</f>
        <v>Negative</v>
      </c>
      <c r="T1103" s="1" t="str">
        <f>IFERROR(VLOOKUP(A1103,[1]diabetes_Recognition!$A:$B,2,FALSE),"Not Sampled")</f>
        <v>Not Sampled</v>
      </c>
      <c r="U1103" t="str">
        <f>IF(T1103=1,"Positive",(IF(T1103=0,"Negative","Not Sampled")))</f>
        <v>Not Sampled</v>
      </c>
      <c r="V1103" s="1" t="str">
        <f>IF(U1103="Not Sampled","Not Sampled",IF(S1103=U1103,"Accurate Prediction","Inaccurate Prediction"))</f>
        <v>Not Sampled</v>
      </c>
    </row>
    <row r="1104" spans="1:22" x14ac:dyDescent="0.25">
      <c r="A1104" s="1">
        <v>1102</v>
      </c>
      <c r="B1104" s="1">
        <v>2</v>
      </c>
      <c r="C1104" s="1">
        <f>LOOKUP(B1104,Sheet2!$D$4:$E$9)</f>
        <v>2</v>
      </c>
      <c r="D1104" s="1">
        <v>157</v>
      </c>
      <c r="E1104" t="str">
        <f>LOOKUP(D1104,Sheet2!$G$4:$H$9)</f>
        <v>151-175</v>
      </c>
      <c r="F1104" s="1">
        <v>74</v>
      </c>
      <c r="G1104" t="str">
        <f>LOOKUP(F1104,Sheet2!$J$4:$K$8)</f>
        <v>70-79</v>
      </c>
      <c r="H1104" s="1">
        <v>35</v>
      </c>
      <c r="I1104" t="str">
        <f>LOOKUP(H1104,Sheet2!$M$4:$N$8)</f>
        <v>30-39</v>
      </c>
      <c r="J1104" s="1">
        <v>440</v>
      </c>
      <c r="K1104" t="str">
        <f>LOOKUP(J1104,Sheet2!$P$4:$Q$9)</f>
        <v>300-499</v>
      </c>
      <c r="L1104" s="1">
        <v>39.4</v>
      </c>
      <c r="M1104" t="str">
        <f>LOOKUP(L1104,Sheet2!$S$4:$T$8)</f>
        <v>36+</v>
      </c>
      <c r="N1104" s="1">
        <v>0.13400000000000001</v>
      </c>
      <c r="O1104" t="str">
        <f>LOOKUP(N1104,Sheet2!$V$4:$W$7)</f>
        <v>0.0 - 0.249</v>
      </c>
      <c r="P1104" s="1">
        <v>30</v>
      </c>
      <c r="Q1104" t="str">
        <f>LOOKUP(P1104,Sheet2!$Z$4:$AA$7)</f>
        <v>26-35</v>
      </c>
      <c r="R1104" s="1">
        <v>0</v>
      </c>
      <c r="S1104" t="str">
        <f>IF(R1104=1,"Positive","Negative")</f>
        <v>Negative</v>
      </c>
      <c r="T1104" s="1" t="str">
        <f>IFERROR(VLOOKUP(A1104,[1]diabetes_Recognition!$A:$B,2,FALSE),"Not Sampled")</f>
        <v>Not Sampled</v>
      </c>
      <c r="U1104" t="str">
        <f>IF(T1104=1,"Positive",(IF(T1104=0,"Negative","Not Sampled")))</f>
        <v>Not Sampled</v>
      </c>
      <c r="V1104" s="1" t="str">
        <f>IF(U1104="Not Sampled","Not Sampled",IF(S1104=U1104,"Accurate Prediction","Inaccurate Prediction"))</f>
        <v>Not Sampled</v>
      </c>
    </row>
    <row r="1105" spans="1:22" x14ac:dyDescent="0.25">
      <c r="A1105" s="1">
        <v>1103</v>
      </c>
      <c r="B1105" s="1">
        <v>1</v>
      </c>
      <c r="C1105" s="1">
        <f>LOOKUP(B1105,Sheet2!$D$4:$E$9)</f>
        <v>1</v>
      </c>
      <c r="D1105" s="1">
        <v>167</v>
      </c>
      <c r="E1105" t="str">
        <f>LOOKUP(D1105,Sheet2!$G$4:$H$9)</f>
        <v>151-175</v>
      </c>
      <c r="F1105" s="1">
        <v>74</v>
      </c>
      <c r="G1105" t="str">
        <f>LOOKUP(F1105,Sheet2!$J$4:$K$8)</f>
        <v>70-79</v>
      </c>
      <c r="H1105" s="1">
        <v>17</v>
      </c>
      <c r="I1105" t="str">
        <f>LOOKUP(H1105,Sheet2!$M$4:$N$8)</f>
        <v>10-30</v>
      </c>
      <c r="J1105" s="1">
        <v>144</v>
      </c>
      <c r="K1105" t="str">
        <f>LOOKUP(J1105,Sheet2!$P$4:$Q$9)</f>
        <v>100-199</v>
      </c>
      <c r="L1105" s="1">
        <v>23.4</v>
      </c>
      <c r="M1105" t="str">
        <f>LOOKUP(L1105,Sheet2!$S$4:$T$8)</f>
        <v>1-25</v>
      </c>
      <c r="N1105" s="1">
        <v>0.44700000000000001</v>
      </c>
      <c r="O1105" t="str">
        <f>LOOKUP(N1105,Sheet2!$V$4:$W$7)</f>
        <v>0.4 - 0.69</v>
      </c>
      <c r="P1105" s="1">
        <v>33</v>
      </c>
      <c r="Q1105" t="str">
        <f>LOOKUP(P1105,Sheet2!$Z$4:$AA$7)</f>
        <v>26-35</v>
      </c>
      <c r="R1105" s="1">
        <v>1</v>
      </c>
      <c r="S1105" t="str">
        <f>IF(R1105=1,"Positive","Negative")</f>
        <v>Positive</v>
      </c>
      <c r="T1105" s="1" t="str">
        <f>IFERROR(VLOOKUP(A1105,[1]diabetes_Recognition!$A:$B,2,FALSE),"Not Sampled")</f>
        <v>Not Sampled</v>
      </c>
      <c r="U1105" t="str">
        <f>IF(T1105=1,"Positive",(IF(T1105=0,"Negative","Not Sampled")))</f>
        <v>Not Sampled</v>
      </c>
      <c r="V1105" s="1" t="str">
        <f>IF(U1105="Not Sampled","Not Sampled",IF(S1105=U1105,"Accurate Prediction","Inaccurate Prediction"))</f>
        <v>Not Sampled</v>
      </c>
    </row>
    <row r="1106" spans="1:22" x14ac:dyDescent="0.25">
      <c r="A1106" s="1">
        <v>1104</v>
      </c>
      <c r="B1106" s="1">
        <v>0</v>
      </c>
      <c r="C1106" s="1">
        <f>LOOKUP(B1106,Sheet2!$D$4:$E$9)</f>
        <v>0</v>
      </c>
      <c r="D1106" s="1">
        <v>179</v>
      </c>
      <c r="E1106" t="str">
        <f>LOOKUP(D1106,Sheet2!$G$4:$H$9)</f>
        <v>176-200</v>
      </c>
      <c r="F1106" s="1">
        <v>50</v>
      </c>
      <c r="G1106" t="str">
        <f>LOOKUP(F1106,Sheet2!$J$4:$K$8)</f>
        <v>1-59</v>
      </c>
      <c r="H1106" s="1">
        <v>36</v>
      </c>
      <c r="I1106" t="str">
        <f>LOOKUP(H1106,Sheet2!$M$4:$N$8)</f>
        <v>30-39</v>
      </c>
      <c r="J1106" s="1">
        <v>159</v>
      </c>
      <c r="K1106" t="str">
        <f>LOOKUP(J1106,Sheet2!$P$4:$Q$9)</f>
        <v>100-199</v>
      </c>
      <c r="L1106" s="1">
        <v>37.799999999999997</v>
      </c>
      <c r="M1106" t="str">
        <f>LOOKUP(L1106,Sheet2!$S$4:$T$8)</f>
        <v>36+</v>
      </c>
      <c r="N1106" s="1">
        <v>0.45500000000000002</v>
      </c>
      <c r="O1106" t="str">
        <f>LOOKUP(N1106,Sheet2!$V$4:$W$7)</f>
        <v>0.4 - 0.69</v>
      </c>
      <c r="P1106" s="1">
        <v>22</v>
      </c>
      <c r="Q1106" t="str">
        <f>LOOKUP(P1106,Sheet2!$Z$4:$AA$7)</f>
        <v>&lt;=25</v>
      </c>
      <c r="R1106" s="1">
        <v>1</v>
      </c>
      <c r="S1106" t="str">
        <f>IF(R1106=1,"Positive","Negative")</f>
        <v>Positive</v>
      </c>
      <c r="T1106" s="1" t="str">
        <f>IFERROR(VLOOKUP(A1106,[1]diabetes_Recognition!$A:$B,2,FALSE),"Not Sampled")</f>
        <v>Not Sampled</v>
      </c>
      <c r="U1106" t="str">
        <f>IF(T1106=1,"Positive",(IF(T1106=0,"Negative","Not Sampled")))</f>
        <v>Not Sampled</v>
      </c>
      <c r="V1106" s="1" t="str">
        <f>IF(U1106="Not Sampled","Not Sampled",IF(S1106=U1106,"Accurate Prediction","Inaccurate Prediction"))</f>
        <v>Not Sampled</v>
      </c>
    </row>
    <row r="1107" spans="1:22" x14ac:dyDescent="0.25">
      <c r="A1107" s="1">
        <v>1105</v>
      </c>
      <c r="B1107" s="1">
        <v>11</v>
      </c>
      <c r="C1107" s="1" t="str">
        <f>LOOKUP(B1107,Sheet2!$D$4:$E$9)</f>
        <v>8+</v>
      </c>
      <c r="D1107" s="1">
        <v>136</v>
      </c>
      <c r="E1107" t="str">
        <f>LOOKUP(D1107,Sheet2!$G$4:$H$9)</f>
        <v>126-150</v>
      </c>
      <c r="F1107" s="1">
        <v>84</v>
      </c>
      <c r="G1107" t="str">
        <f>LOOKUP(F1107,Sheet2!$J$4:$K$8)</f>
        <v>80+</v>
      </c>
      <c r="H1107" s="1">
        <v>35</v>
      </c>
      <c r="I1107" t="str">
        <f>LOOKUP(H1107,Sheet2!$M$4:$N$8)</f>
        <v>30-39</v>
      </c>
      <c r="J1107" s="1">
        <v>130</v>
      </c>
      <c r="K1107" t="str">
        <f>LOOKUP(J1107,Sheet2!$P$4:$Q$9)</f>
        <v>100-199</v>
      </c>
      <c r="L1107" s="1">
        <v>28.3</v>
      </c>
      <c r="M1107" t="str">
        <f>LOOKUP(L1107,Sheet2!$S$4:$T$8)</f>
        <v>26-30</v>
      </c>
      <c r="N1107" s="1">
        <v>0.26</v>
      </c>
      <c r="O1107" t="str">
        <f>LOOKUP(N1107,Sheet2!$V$4:$W$7)</f>
        <v>0.25 - 0.39</v>
      </c>
      <c r="P1107" s="1">
        <v>42</v>
      </c>
      <c r="Q1107" t="str">
        <f>LOOKUP(P1107,Sheet2!$Z$4:$AA$7)</f>
        <v>36-45</v>
      </c>
      <c r="R1107" s="1">
        <v>1</v>
      </c>
      <c r="S1107" t="str">
        <f>IF(R1107=1,"Positive","Negative")</f>
        <v>Positive</v>
      </c>
      <c r="T1107" s="1" t="str">
        <f>IFERROR(VLOOKUP(A1107,[1]diabetes_Recognition!$A:$B,2,FALSE),"Not Sampled")</f>
        <v>Not Sampled</v>
      </c>
      <c r="U1107" t="str">
        <f>IF(T1107=1,"Positive",(IF(T1107=0,"Negative","Not Sampled")))</f>
        <v>Not Sampled</v>
      </c>
      <c r="V1107" s="1" t="str">
        <f>IF(U1107="Not Sampled","Not Sampled",IF(S1107=U1107,"Accurate Prediction","Inaccurate Prediction"))</f>
        <v>Not Sampled</v>
      </c>
    </row>
    <row r="1108" spans="1:22" x14ac:dyDescent="0.25">
      <c r="A1108" s="1">
        <v>1106</v>
      </c>
      <c r="B1108" s="1">
        <v>0</v>
      </c>
      <c r="C1108" s="1">
        <f>LOOKUP(B1108,Sheet2!$D$4:$E$9)</f>
        <v>0</v>
      </c>
      <c r="D1108" s="1">
        <v>107</v>
      </c>
      <c r="E1108" t="str">
        <f>LOOKUP(D1108,Sheet2!$G$4:$H$9)</f>
        <v>100-125</v>
      </c>
      <c r="F1108" s="1">
        <v>60</v>
      </c>
      <c r="G1108" t="str">
        <f>LOOKUP(F1108,Sheet2!$J$4:$K$8)</f>
        <v>60-69</v>
      </c>
      <c r="H1108" s="1">
        <v>25</v>
      </c>
      <c r="I1108" t="str">
        <f>LOOKUP(H1108,Sheet2!$M$4:$N$8)</f>
        <v>10-30</v>
      </c>
      <c r="J1108" s="1">
        <v>0</v>
      </c>
      <c r="K1108" t="str">
        <f>LOOKUP(J1108,Sheet2!$P$4:$Q$9)</f>
        <v>Unknown</v>
      </c>
      <c r="L1108" s="1">
        <v>26.4</v>
      </c>
      <c r="M1108" t="str">
        <f>LOOKUP(L1108,Sheet2!$S$4:$T$8)</f>
        <v>26-30</v>
      </c>
      <c r="N1108" s="1">
        <v>0.13300000000000001</v>
      </c>
      <c r="O1108" t="str">
        <f>LOOKUP(N1108,Sheet2!$V$4:$W$7)</f>
        <v>0.0 - 0.249</v>
      </c>
      <c r="P1108" s="1">
        <v>23</v>
      </c>
      <c r="Q1108" t="str">
        <f>LOOKUP(P1108,Sheet2!$Z$4:$AA$7)</f>
        <v>&lt;=25</v>
      </c>
      <c r="R1108" s="1">
        <v>0</v>
      </c>
      <c r="S1108" t="str">
        <f>IF(R1108=1,"Positive","Negative")</f>
        <v>Negative</v>
      </c>
      <c r="T1108" s="1" t="str">
        <f>IFERROR(VLOOKUP(A1108,[1]diabetes_Recognition!$A:$B,2,FALSE),"Not Sampled")</f>
        <v>Not Sampled</v>
      </c>
      <c r="U1108" t="str">
        <f>IF(T1108=1,"Positive",(IF(T1108=0,"Negative","Not Sampled")))</f>
        <v>Not Sampled</v>
      </c>
      <c r="V1108" s="1" t="str">
        <f>IF(U1108="Not Sampled","Not Sampled",IF(S1108=U1108,"Accurate Prediction","Inaccurate Prediction"))</f>
        <v>Not Sampled</v>
      </c>
    </row>
    <row r="1109" spans="1:22" x14ac:dyDescent="0.25">
      <c r="A1109" s="1">
        <v>1107</v>
      </c>
      <c r="B1109" s="1">
        <v>1</v>
      </c>
      <c r="C1109" s="1">
        <f>LOOKUP(B1109,Sheet2!$D$4:$E$9)</f>
        <v>1</v>
      </c>
      <c r="D1109" s="1">
        <v>91</v>
      </c>
      <c r="E1109" t="str">
        <f>LOOKUP(D1109,Sheet2!$G$4:$H$9)</f>
        <v>1-99</v>
      </c>
      <c r="F1109" s="1">
        <v>54</v>
      </c>
      <c r="G1109" t="str">
        <f>LOOKUP(F1109,Sheet2!$J$4:$K$8)</f>
        <v>1-59</v>
      </c>
      <c r="H1109" s="1">
        <v>25</v>
      </c>
      <c r="I1109" t="str">
        <f>LOOKUP(H1109,Sheet2!$M$4:$N$8)</f>
        <v>10-30</v>
      </c>
      <c r="J1109" s="1">
        <v>100</v>
      </c>
      <c r="K1109" t="str">
        <f>LOOKUP(J1109,Sheet2!$P$4:$Q$9)</f>
        <v>100-199</v>
      </c>
      <c r="L1109" s="1">
        <v>25.2</v>
      </c>
      <c r="M1109" t="str">
        <f>LOOKUP(L1109,Sheet2!$S$4:$T$8)</f>
        <v>1-25</v>
      </c>
      <c r="N1109" s="1">
        <v>0.23400000000000001</v>
      </c>
      <c r="O1109" t="str">
        <f>LOOKUP(N1109,Sheet2!$V$4:$W$7)</f>
        <v>0.0 - 0.249</v>
      </c>
      <c r="P1109" s="1">
        <v>23</v>
      </c>
      <c r="Q1109" t="str">
        <f>LOOKUP(P1109,Sheet2!$Z$4:$AA$7)</f>
        <v>&lt;=25</v>
      </c>
      <c r="R1109" s="1">
        <v>0</v>
      </c>
      <c r="S1109" t="str">
        <f>IF(R1109=1,"Positive","Negative")</f>
        <v>Negative</v>
      </c>
      <c r="T1109" s="1" t="str">
        <f>IFERROR(VLOOKUP(A1109,[1]diabetes_Recognition!$A:$B,2,FALSE),"Not Sampled")</f>
        <v>Not Sampled</v>
      </c>
      <c r="U1109" t="str">
        <f>IF(T1109=1,"Positive",(IF(T1109=0,"Negative","Not Sampled")))</f>
        <v>Not Sampled</v>
      </c>
      <c r="V1109" s="1" t="str">
        <f>IF(U1109="Not Sampled","Not Sampled",IF(S1109=U1109,"Accurate Prediction","Inaccurate Prediction"))</f>
        <v>Not Sampled</v>
      </c>
    </row>
    <row r="1110" spans="1:22" x14ac:dyDescent="0.25">
      <c r="A1110" s="1">
        <v>1108</v>
      </c>
      <c r="B1110" s="1">
        <v>1</v>
      </c>
      <c r="C1110" s="1">
        <f>LOOKUP(B1110,Sheet2!$D$4:$E$9)</f>
        <v>1</v>
      </c>
      <c r="D1110" s="1">
        <v>117</v>
      </c>
      <c r="E1110" t="str">
        <f>LOOKUP(D1110,Sheet2!$G$4:$H$9)</f>
        <v>100-125</v>
      </c>
      <c r="F1110" s="1">
        <v>60</v>
      </c>
      <c r="G1110" t="str">
        <f>LOOKUP(F1110,Sheet2!$J$4:$K$8)</f>
        <v>60-69</v>
      </c>
      <c r="H1110" s="1">
        <v>23</v>
      </c>
      <c r="I1110" t="str">
        <f>LOOKUP(H1110,Sheet2!$M$4:$N$8)</f>
        <v>10-30</v>
      </c>
      <c r="J1110" s="1">
        <v>106</v>
      </c>
      <c r="K1110" t="str">
        <f>LOOKUP(J1110,Sheet2!$P$4:$Q$9)</f>
        <v>100-199</v>
      </c>
      <c r="L1110" s="1">
        <v>33.799999999999997</v>
      </c>
      <c r="M1110" t="str">
        <f>LOOKUP(L1110,Sheet2!$S$4:$T$8)</f>
        <v>31-35</v>
      </c>
      <c r="N1110" s="1">
        <v>0.46600000000000003</v>
      </c>
      <c r="O1110" t="str">
        <f>LOOKUP(N1110,Sheet2!$V$4:$W$7)</f>
        <v>0.4 - 0.69</v>
      </c>
      <c r="P1110" s="1">
        <v>27</v>
      </c>
      <c r="Q1110" t="str">
        <f>LOOKUP(P1110,Sheet2!$Z$4:$AA$7)</f>
        <v>26-35</v>
      </c>
      <c r="R1110" s="1">
        <v>0</v>
      </c>
      <c r="S1110" t="str">
        <f>IF(R1110=1,"Positive","Negative")</f>
        <v>Negative</v>
      </c>
      <c r="T1110" s="1" t="str">
        <f>IFERROR(VLOOKUP(A1110,[1]diabetes_Recognition!$A:$B,2,FALSE),"Not Sampled")</f>
        <v>Not Sampled</v>
      </c>
      <c r="U1110" t="str">
        <f>IF(T1110=1,"Positive",(IF(T1110=0,"Negative","Not Sampled")))</f>
        <v>Not Sampled</v>
      </c>
      <c r="V1110" s="1" t="str">
        <f>IF(U1110="Not Sampled","Not Sampled",IF(S1110=U1110,"Accurate Prediction","Inaccurate Prediction"))</f>
        <v>Not Sampled</v>
      </c>
    </row>
    <row r="1111" spans="1:22" x14ac:dyDescent="0.25">
      <c r="A1111" s="1">
        <v>1109</v>
      </c>
      <c r="B1111" s="1">
        <v>5</v>
      </c>
      <c r="C1111" s="1" t="str">
        <f>LOOKUP(B1111,Sheet2!$D$4:$E$9)</f>
        <v>5-7</v>
      </c>
      <c r="D1111" s="1">
        <v>123</v>
      </c>
      <c r="E1111" t="str">
        <f>LOOKUP(D1111,Sheet2!$G$4:$H$9)</f>
        <v>100-125</v>
      </c>
      <c r="F1111" s="1">
        <v>74</v>
      </c>
      <c r="G1111" t="str">
        <f>LOOKUP(F1111,Sheet2!$J$4:$K$8)</f>
        <v>70-79</v>
      </c>
      <c r="H1111" s="1">
        <v>40</v>
      </c>
      <c r="I1111" t="str">
        <f>LOOKUP(H1111,Sheet2!$M$4:$N$8)</f>
        <v>40+</v>
      </c>
      <c r="J1111" s="1">
        <v>77</v>
      </c>
      <c r="K1111" t="str">
        <f>LOOKUP(J1111,Sheet2!$P$4:$Q$9)</f>
        <v>1-99</v>
      </c>
      <c r="L1111" s="1">
        <v>34.1</v>
      </c>
      <c r="M1111" t="str">
        <f>LOOKUP(L1111,Sheet2!$S$4:$T$8)</f>
        <v>31-35</v>
      </c>
      <c r="N1111" s="1">
        <v>0.26900000000000002</v>
      </c>
      <c r="O1111" t="str">
        <f>LOOKUP(N1111,Sheet2!$V$4:$W$7)</f>
        <v>0.25 - 0.39</v>
      </c>
      <c r="P1111" s="1">
        <v>28</v>
      </c>
      <c r="Q1111" t="str">
        <f>LOOKUP(P1111,Sheet2!$Z$4:$AA$7)</f>
        <v>26-35</v>
      </c>
      <c r="R1111" s="1">
        <v>0</v>
      </c>
      <c r="S1111" t="str">
        <f>IF(R1111=1,"Positive","Negative")</f>
        <v>Negative</v>
      </c>
      <c r="T1111" s="1">
        <f>IFERROR(VLOOKUP(A1111,[1]diabetes_Recognition!$A:$B,2,FALSE),"Not Sampled")</f>
        <v>0</v>
      </c>
      <c r="U1111" t="str">
        <f>IF(T1111=1,"Positive",(IF(T1111=0,"Negative","Not Sampled")))</f>
        <v>Negative</v>
      </c>
      <c r="V1111" s="1" t="str">
        <f>IF(U1111="Not Sampled","Not Sampled",IF(S1111=U1111,"Accurate Prediction","Inaccurate Prediction"))</f>
        <v>Accurate Prediction</v>
      </c>
    </row>
    <row r="1112" spans="1:22" x14ac:dyDescent="0.25">
      <c r="A1112" s="1">
        <v>1110</v>
      </c>
      <c r="B1112" s="1">
        <v>2</v>
      </c>
      <c r="C1112" s="1">
        <f>LOOKUP(B1112,Sheet2!$D$4:$E$9)</f>
        <v>2</v>
      </c>
      <c r="D1112" s="1">
        <v>120</v>
      </c>
      <c r="E1112" t="str">
        <f>LOOKUP(D1112,Sheet2!$G$4:$H$9)</f>
        <v>100-125</v>
      </c>
      <c r="F1112" s="1">
        <v>54</v>
      </c>
      <c r="G1112" t="str">
        <f>LOOKUP(F1112,Sheet2!$J$4:$K$8)</f>
        <v>1-59</v>
      </c>
      <c r="H1112" s="1">
        <v>0</v>
      </c>
      <c r="I1112" t="str">
        <f>LOOKUP(H1112,Sheet2!$M$4:$N$8)</f>
        <v>Unknown</v>
      </c>
      <c r="J1112" s="1">
        <v>0</v>
      </c>
      <c r="K1112" t="str">
        <f>LOOKUP(J1112,Sheet2!$P$4:$Q$9)</f>
        <v>Unknown</v>
      </c>
      <c r="L1112" s="1">
        <v>26.8</v>
      </c>
      <c r="M1112" t="str">
        <f>LOOKUP(L1112,Sheet2!$S$4:$T$8)</f>
        <v>26-30</v>
      </c>
      <c r="N1112" s="1">
        <v>0.45500000000000002</v>
      </c>
      <c r="O1112" t="str">
        <f>LOOKUP(N1112,Sheet2!$V$4:$W$7)</f>
        <v>0.4 - 0.69</v>
      </c>
      <c r="P1112" s="1">
        <v>27</v>
      </c>
      <c r="Q1112" t="str">
        <f>LOOKUP(P1112,Sheet2!$Z$4:$AA$7)</f>
        <v>26-35</v>
      </c>
      <c r="R1112" s="1">
        <v>0</v>
      </c>
      <c r="S1112" t="str">
        <f>IF(R1112=1,"Positive","Negative")</f>
        <v>Negative</v>
      </c>
      <c r="T1112" s="1" t="str">
        <f>IFERROR(VLOOKUP(A1112,[1]diabetes_Recognition!$A:$B,2,FALSE),"Not Sampled")</f>
        <v>Not Sampled</v>
      </c>
      <c r="U1112" t="str">
        <f>IF(T1112=1,"Positive",(IF(T1112=0,"Negative","Not Sampled")))</f>
        <v>Not Sampled</v>
      </c>
      <c r="V1112" s="1" t="str">
        <f>IF(U1112="Not Sampled","Not Sampled",IF(S1112=U1112,"Accurate Prediction","Inaccurate Prediction"))</f>
        <v>Not Sampled</v>
      </c>
    </row>
    <row r="1113" spans="1:22" x14ac:dyDescent="0.25">
      <c r="A1113" s="1">
        <v>1111</v>
      </c>
      <c r="B1113" s="1">
        <v>1</v>
      </c>
      <c r="C1113" s="1">
        <f>LOOKUP(B1113,Sheet2!$D$4:$E$9)</f>
        <v>1</v>
      </c>
      <c r="D1113" s="1">
        <v>106</v>
      </c>
      <c r="E1113" t="str">
        <f>LOOKUP(D1113,Sheet2!$G$4:$H$9)</f>
        <v>100-125</v>
      </c>
      <c r="F1113" s="1">
        <v>70</v>
      </c>
      <c r="G1113" t="str">
        <f>LOOKUP(F1113,Sheet2!$J$4:$K$8)</f>
        <v>70-79</v>
      </c>
      <c r="H1113" s="1">
        <v>28</v>
      </c>
      <c r="I1113" t="str">
        <f>LOOKUP(H1113,Sheet2!$M$4:$N$8)</f>
        <v>10-30</v>
      </c>
      <c r="J1113" s="1">
        <v>135</v>
      </c>
      <c r="K1113" t="str">
        <f>LOOKUP(J1113,Sheet2!$P$4:$Q$9)</f>
        <v>100-199</v>
      </c>
      <c r="L1113" s="1">
        <v>34.200000000000003</v>
      </c>
      <c r="M1113" t="str">
        <f>LOOKUP(L1113,Sheet2!$S$4:$T$8)</f>
        <v>31-35</v>
      </c>
      <c r="N1113" s="1">
        <v>0.14199999999999999</v>
      </c>
      <c r="O1113" t="str">
        <f>LOOKUP(N1113,Sheet2!$V$4:$W$7)</f>
        <v>0.0 - 0.249</v>
      </c>
      <c r="P1113" s="1">
        <v>22</v>
      </c>
      <c r="Q1113" t="str">
        <f>LOOKUP(P1113,Sheet2!$Z$4:$AA$7)</f>
        <v>&lt;=25</v>
      </c>
      <c r="R1113" s="1">
        <v>0</v>
      </c>
      <c r="S1113" t="str">
        <f>IF(R1113=1,"Positive","Negative")</f>
        <v>Negative</v>
      </c>
      <c r="T1113" s="1" t="str">
        <f>IFERROR(VLOOKUP(A1113,[1]diabetes_Recognition!$A:$B,2,FALSE),"Not Sampled")</f>
        <v>Not Sampled</v>
      </c>
      <c r="U1113" t="str">
        <f>IF(T1113=1,"Positive",(IF(T1113=0,"Negative","Not Sampled")))</f>
        <v>Not Sampled</v>
      </c>
      <c r="V1113" s="1" t="str">
        <f>IF(U1113="Not Sampled","Not Sampled",IF(S1113=U1113,"Accurate Prediction","Inaccurate Prediction"))</f>
        <v>Not Sampled</v>
      </c>
    </row>
    <row r="1114" spans="1:22" x14ac:dyDescent="0.25">
      <c r="A1114" s="1">
        <v>1112</v>
      </c>
      <c r="B1114" s="1">
        <v>2</v>
      </c>
      <c r="C1114" s="1">
        <f>LOOKUP(B1114,Sheet2!$D$4:$E$9)</f>
        <v>2</v>
      </c>
      <c r="D1114" s="1">
        <v>155</v>
      </c>
      <c r="E1114" t="str">
        <f>LOOKUP(D1114,Sheet2!$G$4:$H$9)</f>
        <v>151-175</v>
      </c>
      <c r="F1114" s="1">
        <v>52</v>
      </c>
      <c r="G1114" t="str">
        <f>LOOKUP(F1114,Sheet2!$J$4:$K$8)</f>
        <v>1-59</v>
      </c>
      <c r="H1114" s="1">
        <v>27</v>
      </c>
      <c r="I1114" t="str">
        <f>LOOKUP(H1114,Sheet2!$M$4:$N$8)</f>
        <v>10-30</v>
      </c>
      <c r="J1114" s="1">
        <v>540</v>
      </c>
      <c r="K1114" t="str">
        <f>LOOKUP(J1114,Sheet2!$P$4:$Q$9)</f>
        <v>500+</v>
      </c>
      <c r="L1114" s="1">
        <v>38.700000000000003</v>
      </c>
      <c r="M1114" t="str">
        <f>LOOKUP(L1114,Sheet2!$S$4:$T$8)</f>
        <v>36+</v>
      </c>
      <c r="N1114" s="1">
        <v>0.24</v>
      </c>
      <c r="O1114" t="str">
        <f>LOOKUP(N1114,Sheet2!$V$4:$W$7)</f>
        <v>0.0 - 0.249</v>
      </c>
      <c r="P1114" s="1">
        <v>25</v>
      </c>
      <c r="Q1114" t="str">
        <f>LOOKUP(P1114,Sheet2!$Z$4:$AA$7)</f>
        <v>&lt;=25</v>
      </c>
      <c r="R1114" s="1">
        <v>1</v>
      </c>
      <c r="S1114" t="str">
        <f>IF(R1114=1,"Positive","Negative")</f>
        <v>Positive</v>
      </c>
      <c r="T1114" s="1" t="str">
        <f>IFERROR(VLOOKUP(A1114,[1]diabetes_Recognition!$A:$B,2,FALSE),"Not Sampled")</f>
        <v>Not Sampled</v>
      </c>
      <c r="U1114" t="str">
        <f>IF(T1114=1,"Positive",(IF(T1114=0,"Negative","Not Sampled")))</f>
        <v>Not Sampled</v>
      </c>
      <c r="V1114" s="1" t="str">
        <f>IF(U1114="Not Sampled","Not Sampled",IF(S1114=U1114,"Accurate Prediction","Inaccurate Prediction"))</f>
        <v>Not Sampled</v>
      </c>
    </row>
    <row r="1115" spans="1:22" x14ac:dyDescent="0.25">
      <c r="A1115" s="1">
        <v>1113</v>
      </c>
      <c r="B1115" s="1">
        <v>2</v>
      </c>
      <c r="C1115" s="1">
        <f>LOOKUP(B1115,Sheet2!$D$4:$E$9)</f>
        <v>2</v>
      </c>
      <c r="D1115" s="1">
        <v>101</v>
      </c>
      <c r="E1115" t="str">
        <f>LOOKUP(D1115,Sheet2!$G$4:$H$9)</f>
        <v>100-125</v>
      </c>
      <c r="F1115" s="1">
        <v>58</v>
      </c>
      <c r="G1115" t="str">
        <f>LOOKUP(F1115,Sheet2!$J$4:$K$8)</f>
        <v>1-59</v>
      </c>
      <c r="H1115" s="1">
        <v>35</v>
      </c>
      <c r="I1115" t="str">
        <f>LOOKUP(H1115,Sheet2!$M$4:$N$8)</f>
        <v>30-39</v>
      </c>
      <c r="J1115" s="1">
        <v>90</v>
      </c>
      <c r="K1115" t="str">
        <f>LOOKUP(J1115,Sheet2!$P$4:$Q$9)</f>
        <v>1-99</v>
      </c>
      <c r="L1115" s="1">
        <v>21.8</v>
      </c>
      <c r="M1115" t="str">
        <f>LOOKUP(L1115,Sheet2!$S$4:$T$8)</f>
        <v>1-25</v>
      </c>
      <c r="N1115" s="1">
        <v>0.155</v>
      </c>
      <c r="O1115" t="str">
        <f>LOOKUP(N1115,Sheet2!$V$4:$W$7)</f>
        <v>0.0 - 0.249</v>
      </c>
      <c r="P1115" s="1">
        <v>22</v>
      </c>
      <c r="Q1115" t="str">
        <f>LOOKUP(P1115,Sheet2!$Z$4:$AA$7)</f>
        <v>&lt;=25</v>
      </c>
      <c r="R1115" s="1">
        <v>0</v>
      </c>
      <c r="S1115" t="str">
        <f>IF(R1115=1,"Positive","Negative")</f>
        <v>Negative</v>
      </c>
      <c r="T1115" s="1" t="str">
        <f>IFERROR(VLOOKUP(A1115,[1]diabetes_Recognition!$A:$B,2,FALSE),"Not Sampled")</f>
        <v>Not Sampled</v>
      </c>
      <c r="U1115" t="str">
        <f>IF(T1115=1,"Positive",(IF(T1115=0,"Negative","Not Sampled")))</f>
        <v>Not Sampled</v>
      </c>
      <c r="V1115" s="1" t="str">
        <f>IF(U1115="Not Sampled","Not Sampled",IF(S1115=U1115,"Accurate Prediction","Inaccurate Prediction"))</f>
        <v>Not Sampled</v>
      </c>
    </row>
    <row r="1116" spans="1:22" x14ac:dyDescent="0.25">
      <c r="A1116" s="1">
        <v>1114</v>
      </c>
      <c r="B1116" s="1">
        <v>1</v>
      </c>
      <c r="C1116" s="1">
        <f>LOOKUP(B1116,Sheet2!$D$4:$E$9)</f>
        <v>1</v>
      </c>
      <c r="D1116" s="1">
        <v>120</v>
      </c>
      <c r="E1116" t="str">
        <f>LOOKUP(D1116,Sheet2!$G$4:$H$9)</f>
        <v>100-125</v>
      </c>
      <c r="F1116" s="1">
        <v>80</v>
      </c>
      <c r="G1116" t="str">
        <f>LOOKUP(F1116,Sheet2!$J$4:$K$8)</f>
        <v>80+</v>
      </c>
      <c r="H1116" s="1">
        <v>48</v>
      </c>
      <c r="I1116" t="str">
        <f>LOOKUP(H1116,Sheet2!$M$4:$N$8)</f>
        <v>40+</v>
      </c>
      <c r="J1116" s="1">
        <v>200</v>
      </c>
      <c r="K1116" t="str">
        <f>LOOKUP(J1116,Sheet2!$P$4:$Q$9)</f>
        <v>200-399</v>
      </c>
      <c r="L1116" s="1">
        <v>38.9</v>
      </c>
      <c r="M1116" t="str">
        <f>LOOKUP(L1116,Sheet2!$S$4:$T$8)</f>
        <v>36+</v>
      </c>
      <c r="N1116" s="1">
        <v>1.1619999999999999</v>
      </c>
      <c r="O1116" t="str">
        <f>LOOKUP(N1116,Sheet2!$V$4:$W$7)</f>
        <v>0.7+</v>
      </c>
      <c r="P1116" s="1">
        <v>41</v>
      </c>
      <c r="Q1116" t="str">
        <f>LOOKUP(P1116,Sheet2!$Z$4:$AA$7)</f>
        <v>36-45</v>
      </c>
      <c r="R1116" s="1">
        <v>0</v>
      </c>
      <c r="S1116" t="str">
        <f>IF(R1116=1,"Positive","Negative")</f>
        <v>Negative</v>
      </c>
      <c r="T1116" s="1" t="str">
        <f>IFERROR(VLOOKUP(A1116,[1]diabetes_Recognition!$A:$B,2,FALSE),"Not Sampled")</f>
        <v>Not Sampled</v>
      </c>
      <c r="U1116" t="str">
        <f>IF(T1116=1,"Positive",(IF(T1116=0,"Negative","Not Sampled")))</f>
        <v>Not Sampled</v>
      </c>
      <c r="V1116" s="1" t="str">
        <f>IF(U1116="Not Sampled","Not Sampled",IF(S1116=U1116,"Accurate Prediction","Inaccurate Prediction"))</f>
        <v>Not Sampled</v>
      </c>
    </row>
    <row r="1117" spans="1:22" x14ac:dyDescent="0.25">
      <c r="A1117" s="1">
        <v>1115</v>
      </c>
      <c r="B1117" s="1">
        <v>11</v>
      </c>
      <c r="C1117" s="1" t="str">
        <f>LOOKUP(B1117,Sheet2!$D$4:$E$9)</f>
        <v>8+</v>
      </c>
      <c r="D1117" s="1">
        <v>127</v>
      </c>
      <c r="E1117" t="str">
        <f>LOOKUP(D1117,Sheet2!$G$4:$H$9)</f>
        <v>126-150</v>
      </c>
      <c r="F1117" s="1">
        <v>106</v>
      </c>
      <c r="G1117" t="str">
        <f>LOOKUP(F1117,Sheet2!$J$4:$K$8)</f>
        <v>80+</v>
      </c>
      <c r="H1117" s="1">
        <v>0</v>
      </c>
      <c r="I1117" t="str">
        <f>LOOKUP(H1117,Sheet2!$M$4:$N$8)</f>
        <v>Unknown</v>
      </c>
      <c r="J1117" s="1">
        <v>0</v>
      </c>
      <c r="K1117" t="str">
        <f>LOOKUP(J1117,Sheet2!$P$4:$Q$9)</f>
        <v>Unknown</v>
      </c>
      <c r="L1117" s="1">
        <v>39</v>
      </c>
      <c r="M1117" t="str">
        <f>LOOKUP(L1117,Sheet2!$S$4:$T$8)</f>
        <v>36+</v>
      </c>
      <c r="N1117" s="1">
        <v>0.19</v>
      </c>
      <c r="O1117" t="str">
        <f>LOOKUP(N1117,Sheet2!$V$4:$W$7)</f>
        <v>0.0 - 0.249</v>
      </c>
      <c r="P1117" s="1">
        <v>51</v>
      </c>
      <c r="Q1117" t="str">
        <f>LOOKUP(P1117,Sheet2!$Z$4:$AA$7)</f>
        <v>46+</v>
      </c>
      <c r="R1117" s="1">
        <v>0</v>
      </c>
      <c r="S1117" t="str">
        <f>IF(R1117=1,"Positive","Negative")</f>
        <v>Negative</v>
      </c>
      <c r="T1117" s="1">
        <f>IFERROR(VLOOKUP(A1117,[1]diabetes_Recognition!$A:$B,2,FALSE),"Not Sampled")</f>
        <v>1</v>
      </c>
      <c r="U1117" t="str">
        <f>IF(T1117=1,"Positive",(IF(T1117=0,"Negative","Not Sampled")))</f>
        <v>Positive</v>
      </c>
      <c r="V1117" s="1" t="str">
        <f>IF(U1117="Not Sampled","Not Sampled",IF(S1117=U1117,"Accurate Prediction","Inaccurate Prediction"))</f>
        <v>Inaccurate Prediction</v>
      </c>
    </row>
    <row r="1118" spans="1:22" x14ac:dyDescent="0.25">
      <c r="A1118" s="1">
        <v>1116</v>
      </c>
      <c r="B1118" s="1">
        <v>3</v>
      </c>
      <c r="C1118" s="1" t="str">
        <f>LOOKUP(B1118,Sheet2!$D$4:$E$9)</f>
        <v>3-4</v>
      </c>
      <c r="D1118" s="1">
        <v>80</v>
      </c>
      <c r="E1118" t="str">
        <f>LOOKUP(D1118,Sheet2!$G$4:$H$9)</f>
        <v>1-99</v>
      </c>
      <c r="F1118" s="1">
        <v>82</v>
      </c>
      <c r="G1118" t="str">
        <f>LOOKUP(F1118,Sheet2!$J$4:$K$8)</f>
        <v>80+</v>
      </c>
      <c r="H1118" s="1">
        <v>31</v>
      </c>
      <c r="I1118" t="str">
        <f>LOOKUP(H1118,Sheet2!$M$4:$N$8)</f>
        <v>30-39</v>
      </c>
      <c r="J1118" s="1">
        <v>70</v>
      </c>
      <c r="K1118" t="str">
        <f>LOOKUP(J1118,Sheet2!$P$4:$Q$9)</f>
        <v>1-99</v>
      </c>
      <c r="L1118" s="1">
        <v>34.200000000000003</v>
      </c>
      <c r="M1118" t="str">
        <f>LOOKUP(L1118,Sheet2!$S$4:$T$8)</f>
        <v>31-35</v>
      </c>
      <c r="N1118" s="1">
        <v>1.292</v>
      </c>
      <c r="O1118" t="str">
        <f>LOOKUP(N1118,Sheet2!$V$4:$W$7)</f>
        <v>0.7+</v>
      </c>
      <c r="P1118" s="1">
        <v>27</v>
      </c>
      <c r="Q1118" t="str">
        <f>LOOKUP(P1118,Sheet2!$Z$4:$AA$7)</f>
        <v>26-35</v>
      </c>
      <c r="R1118" s="1">
        <v>1</v>
      </c>
      <c r="S1118" t="str">
        <f>IF(R1118=1,"Positive","Negative")</f>
        <v>Positive</v>
      </c>
      <c r="T1118" s="1" t="str">
        <f>IFERROR(VLOOKUP(A1118,[1]diabetes_Recognition!$A:$B,2,FALSE),"Not Sampled")</f>
        <v>Not Sampled</v>
      </c>
      <c r="U1118" t="str">
        <f>IF(T1118=1,"Positive",(IF(T1118=0,"Negative","Not Sampled")))</f>
        <v>Not Sampled</v>
      </c>
      <c r="V1118" s="1" t="str">
        <f>IF(U1118="Not Sampled","Not Sampled",IF(S1118=U1118,"Accurate Prediction","Inaccurate Prediction"))</f>
        <v>Not Sampled</v>
      </c>
    </row>
    <row r="1119" spans="1:22" x14ac:dyDescent="0.25">
      <c r="A1119" s="1">
        <v>1117</v>
      </c>
      <c r="B1119" s="1">
        <v>10</v>
      </c>
      <c r="C1119" s="1" t="str">
        <f>LOOKUP(B1119,Sheet2!$D$4:$E$9)</f>
        <v>8+</v>
      </c>
      <c r="D1119" s="1">
        <v>162</v>
      </c>
      <c r="E1119" t="str">
        <f>LOOKUP(D1119,Sheet2!$G$4:$H$9)</f>
        <v>151-175</v>
      </c>
      <c r="F1119" s="1">
        <v>84</v>
      </c>
      <c r="G1119" t="str">
        <f>LOOKUP(F1119,Sheet2!$J$4:$K$8)</f>
        <v>80+</v>
      </c>
      <c r="H1119" s="1">
        <v>0</v>
      </c>
      <c r="I1119" t="str">
        <f>LOOKUP(H1119,Sheet2!$M$4:$N$8)</f>
        <v>Unknown</v>
      </c>
      <c r="J1119" s="1">
        <v>0</v>
      </c>
      <c r="K1119" t="str">
        <f>LOOKUP(J1119,Sheet2!$P$4:$Q$9)</f>
        <v>Unknown</v>
      </c>
      <c r="L1119" s="1">
        <v>27.7</v>
      </c>
      <c r="M1119" t="str">
        <f>LOOKUP(L1119,Sheet2!$S$4:$T$8)</f>
        <v>26-30</v>
      </c>
      <c r="N1119" s="1">
        <v>0.182</v>
      </c>
      <c r="O1119" t="str">
        <f>LOOKUP(N1119,Sheet2!$V$4:$W$7)</f>
        <v>0.0 - 0.249</v>
      </c>
      <c r="P1119" s="1">
        <v>54</v>
      </c>
      <c r="Q1119" t="str">
        <f>LOOKUP(P1119,Sheet2!$Z$4:$AA$7)</f>
        <v>46+</v>
      </c>
      <c r="R1119" s="1">
        <v>0</v>
      </c>
      <c r="S1119" t="str">
        <f>IF(R1119=1,"Positive","Negative")</f>
        <v>Negative</v>
      </c>
      <c r="T1119" s="1">
        <f>IFERROR(VLOOKUP(A1119,[1]diabetes_Recognition!$A:$B,2,FALSE),"Not Sampled")</f>
        <v>1</v>
      </c>
      <c r="U1119" t="str">
        <f>IF(T1119=1,"Positive",(IF(T1119=0,"Negative","Not Sampled")))</f>
        <v>Positive</v>
      </c>
      <c r="V1119" s="1" t="str">
        <f>IF(U1119="Not Sampled","Not Sampled",IF(S1119=U1119,"Accurate Prediction","Inaccurate Prediction"))</f>
        <v>Inaccurate Prediction</v>
      </c>
    </row>
    <row r="1120" spans="1:22" x14ac:dyDescent="0.25">
      <c r="A1120" s="1">
        <v>1118</v>
      </c>
      <c r="B1120" s="1">
        <v>1</v>
      </c>
      <c r="C1120" s="1">
        <f>LOOKUP(B1120,Sheet2!$D$4:$E$9)</f>
        <v>1</v>
      </c>
      <c r="D1120" s="1">
        <v>199</v>
      </c>
      <c r="E1120" t="str">
        <f>LOOKUP(D1120,Sheet2!$G$4:$H$9)</f>
        <v>176-200</v>
      </c>
      <c r="F1120" s="1">
        <v>76</v>
      </c>
      <c r="G1120" t="str">
        <f>LOOKUP(F1120,Sheet2!$J$4:$K$8)</f>
        <v>70-79</v>
      </c>
      <c r="H1120" s="1">
        <v>43</v>
      </c>
      <c r="I1120" t="str">
        <f>LOOKUP(H1120,Sheet2!$M$4:$N$8)</f>
        <v>40+</v>
      </c>
      <c r="J1120" s="1">
        <v>0</v>
      </c>
      <c r="K1120" t="str">
        <f>LOOKUP(J1120,Sheet2!$P$4:$Q$9)</f>
        <v>Unknown</v>
      </c>
      <c r="L1120" s="1">
        <v>42.9</v>
      </c>
      <c r="M1120" t="str">
        <f>LOOKUP(L1120,Sheet2!$S$4:$T$8)</f>
        <v>36+</v>
      </c>
      <c r="N1120" s="1">
        <v>1.3939999999999999</v>
      </c>
      <c r="O1120" t="str">
        <f>LOOKUP(N1120,Sheet2!$V$4:$W$7)</f>
        <v>0.7+</v>
      </c>
      <c r="P1120" s="1">
        <v>22</v>
      </c>
      <c r="Q1120" t="str">
        <f>LOOKUP(P1120,Sheet2!$Z$4:$AA$7)</f>
        <v>&lt;=25</v>
      </c>
      <c r="R1120" s="1">
        <v>1</v>
      </c>
      <c r="S1120" t="str">
        <f>IF(R1120=1,"Positive","Negative")</f>
        <v>Positive</v>
      </c>
      <c r="T1120" s="1" t="str">
        <f>IFERROR(VLOOKUP(A1120,[1]diabetes_Recognition!$A:$B,2,FALSE),"Not Sampled")</f>
        <v>Not Sampled</v>
      </c>
      <c r="U1120" t="str">
        <f>IF(T1120=1,"Positive",(IF(T1120=0,"Negative","Not Sampled")))</f>
        <v>Not Sampled</v>
      </c>
      <c r="V1120" s="1" t="str">
        <f>IF(U1120="Not Sampled","Not Sampled",IF(S1120=U1120,"Accurate Prediction","Inaccurate Prediction"))</f>
        <v>Not Sampled</v>
      </c>
    </row>
    <row r="1121" spans="1:22" x14ac:dyDescent="0.25">
      <c r="A1121" s="1">
        <v>1119</v>
      </c>
      <c r="B1121" s="1">
        <v>8</v>
      </c>
      <c r="C1121" s="1" t="str">
        <f>LOOKUP(B1121,Sheet2!$D$4:$E$9)</f>
        <v>8+</v>
      </c>
      <c r="D1121" s="1">
        <v>167</v>
      </c>
      <c r="E1121" t="str">
        <f>LOOKUP(D1121,Sheet2!$G$4:$H$9)</f>
        <v>151-175</v>
      </c>
      <c r="F1121" s="1">
        <v>106</v>
      </c>
      <c r="G1121" t="str">
        <f>LOOKUP(F1121,Sheet2!$J$4:$K$8)</f>
        <v>80+</v>
      </c>
      <c r="H1121" s="1">
        <v>46</v>
      </c>
      <c r="I1121" t="str">
        <f>LOOKUP(H1121,Sheet2!$M$4:$N$8)</f>
        <v>40+</v>
      </c>
      <c r="J1121" s="1">
        <v>231</v>
      </c>
      <c r="K1121" t="str">
        <f>LOOKUP(J1121,Sheet2!$P$4:$Q$9)</f>
        <v>200-399</v>
      </c>
      <c r="L1121" s="1">
        <v>37.6</v>
      </c>
      <c r="M1121" t="str">
        <f>LOOKUP(L1121,Sheet2!$S$4:$T$8)</f>
        <v>36+</v>
      </c>
      <c r="N1121" s="1">
        <v>0.16500000000000001</v>
      </c>
      <c r="O1121" t="str">
        <f>LOOKUP(N1121,Sheet2!$V$4:$W$7)</f>
        <v>0.0 - 0.249</v>
      </c>
      <c r="P1121" s="1">
        <v>43</v>
      </c>
      <c r="Q1121" t="str">
        <f>LOOKUP(P1121,Sheet2!$Z$4:$AA$7)</f>
        <v>36-45</v>
      </c>
      <c r="R1121" s="1">
        <v>1</v>
      </c>
      <c r="S1121" t="str">
        <f>IF(R1121=1,"Positive","Negative")</f>
        <v>Positive</v>
      </c>
      <c r="T1121" s="1" t="str">
        <f>IFERROR(VLOOKUP(A1121,[1]diabetes_Recognition!$A:$B,2,FALSE),"Not Sampled")</f>
        <v>Not Sampled</v>
      </c>
      <c r="U1121" t="str">
        <f>IF(T1121=1,"Positive",(IF(T1121=0,"Negative","Not Sampled")))</f>
        <v>Not Sampled</v>
      </c>
      <c r="V1121" s="1" t="str">
        <f>IF(U1121="Not Sampled","Not Sampled",IF(S1121=U1121,"Accurate Prediction","Inaccurate Prediction"))</f>
        <v>Not Sampled</v>
      </c>
    </row>
    <row r="1122" spans="1:22" x14ac:dyDescent="0.25">
      <c r="A1122" s="1">
        <v>1120</v>
      </c>
      <c r="B1122" s="1">
        <v>9</v>
      </c>
      <c r="C1122" s="1" t="str">
        <f>LOOKUP(B1122,Sheet2!$D$4:$E$9)</f>
        <v>8+</v>
      </c>
      <c r="D1122" s="1">
        <v>145</v>
      </c>
      <c r="E1122" t="str">
        <f>LOOKUP(D1122,Sheet2!$G$4:$H$9)</f>
        <v>126-150</v>
      </c>
      <c r="F1122" s="1">
        <v>80</v>
      </c>
      <c r="G1122" t="str">
        <f>LOOKUP(F1122,Sheet2!$J$4:$K$8)</f>
        <v>80+</v>
      </c>
      <c r="H1122" s="1">
        <v>46</v>
      </c>
      <c r="I1122" t="str">
        <f>LOOKUP(H1122,Sheet2!$M$4:$N$8)</f>
        <v>40+</v>
      </c>
      <c r="J1122" s="1">
        <v>130</v>
      </c>
      <c r="K1122" t="str">
        <f>LOOKUP(J1122,Sheet2!$P$4:$Q$9)</f>
        <v>100-199</v>
      </c>
      <c r="L1122" s="1">
        <v>37.9</v>
      </c>
      <c r="M1122" t="str">
        <f>LOOKUP(L1122,Sheet2!$S$4:$T$8)</f>
        <v>36+</v>
      </c>
      <c r="N1122" s="1">
        <v>0.63700000000000001</v>
      </c>
      <c r="O1122" t="str">
        <f>LOOKUP(N1122,Sheet2!$V$4:$W$7)</f>
        <v>0.4 - 0.69</v>
      </c>
      <c r="P1122" s="1">
        <v>40</v>
      </c>
      <c r="Q1122" t="str">
        <f>LOOKUP(P1122,Sheet2!$Z$4:$AA$7)</f>
        <v>36-45</v>
      </c>
      <c r="R1122" s="1">
        <v>1</v>
      </c>
      <c r="S1122" t="str">
        <f>IF(R1122=1,"Positive","Negative")</f>
        <v>Positive</v>
      </c>
      <c r="T1122" s="1" t="str">
        <f>IFERROR(VLOOKUP(A1122,[1]diabetes_Recognition!$A:$B,2,FALSE),"Not Sampled")</f>
        <v>Not Sampled</v>
      </c>
      <c r="U1122" t="str">
        <f>IF(T1122=1,"Positive",(IF(T1122=0,"Negative","Not Sampled")))</f>
        <v>Not Sampled</v>
      </c>
      <c r="V1122" s="1" t="str">
        <f>IF(U1122="Not Sampled","Not Sampled",IF(S1122=U1122,"Accurate Prediction","Inaccurate Prediction"))</f>
        <v>Not Sampled</v>
      </c>
    </row>
    <row r="1123" spans="1:22" x14ac:dyDescent="0.25">
      <c r="A1123" s="1">
        <v>1121</v>
      </c>
      <c r="B1123" s="1">
        <v>6</v>
      </c>
      <c r="C1123" s="1" t="str">
        <f>LOOKUP(B1123,Sheet2!$D$4:$E$9)</f>
        <v>5-7</v>
      </c>
      <c r="D1123" s="1">
        <v>115</v>
      </c>
      <c r="E1123" t="str">
        <f>LOOKUP(D1123,Sheet2!$G$4:$H$9)</f>
        <v>100-125</v>
      </c>
      <c r="F1123" s="1">
        <v>60</v>
      </c>
      <c r="G1123" t="str">
        <f>LOOKUP(F1123,Sheet2!$J$4:$K$8)</f>
        <v>60-69</v>
      </c>
      <c r="H1123" s="1">
        <v>39</v>
      </c>
      <c r="I1123" t="str">
        <f>LOOKUP(H1123,Sheet2!$M$4:$N$8)</f>
        <v>30-39</v>
      </c>
      <c r="J1123" s="1">
        <v>0</v>
      </c>
      <c r="K1123" t="str">
        <f>LOOKUP(J1123,Sheet2!$P$4:$Q$9)</f>
        <v>Unknown</v>
      </c>
      <c r="L1123" s="1">
        <v>33.700000000000003</v>
      </c>
      <c r="M1123" t="str">
        <f>LOOKUP(L1123,Sheet2!$S$4:$T$8)</f>
        <v>31-35</v>
      </c>
      <c r="N1123" s="1">
        <v>0.245</v>
      </c>
      <c r="O1123" t="str">
        <f>LOOKUP(N1123,Sheet2!$V$4:$W$7)</f>
        <v>0.0 - 0.249</v>
      </c>
      <c r="P1123" s="1">
        <v>40</v>
      </c>
      <c r="Q1123" t="str">
        <f>LOOKUP(P1123,Sheet2!$Z$4:$AA$7)</f>
        <v>36-45</v>
      </c>
      <c r="R1123" s="1">
        <v>1</v>
      </c>
      <c r="S1123" t="str">
        <f>IF(R1123=1,"Positive","Negative")</f>
        <v>Positive</v>
      </c>
      <c r="T1123" s="1" t="str">
        <f>IFERROR(VLOOKUP(A1123,[1]diabetes_Recognition!$A:$B,2,FALSE),"Not Sampled")</f>
        <v>Not Sampled</v>
      </c>
      <c r="U1123" t="str">
        <f>IF(T1123=1,"Positive",(IF(T1123=0,"Negative","Not Sampled")))</f>
        <v>Not Sampled</v>
      </c>
      <c r="V1123" s="1" t="str">
        <f>IF(U1123="Not Sampled","Not Sampled",IF(S1123=U1123,"Accurate Prediction","Inaccurate Prediction"))</f>
        <v>Not Sampled</v>
      </c>
    </row>
    <row r="1124" spans="1:22" x14ac:dyDescent="0.25">
      <c r="A1124" s="1">
        <v>1122</v>
      </c>
      <c r="B1124" s="1">
        <v>1</v>
      </c>
      <c r="C1124" s="1">
        <f>LOOKUP(B1124,Sheet2!$D$4:$E$9)</f>
        <v>1</v>
      </c>
      <c r="D1124" s="1">
        <v>112</v>
      </c>
      <c r="E1124" t="str">
        <f>LOOKUP(D1124,Sheet2!$G$4:$H$9)</f>
        <v>100-125</v>
      </c>
      <c r="F1124" s="1">
        <v>80</v>
      </c>
      <c r="G1124" t="str">
        <f>LOOKUP(F1124,Sheet2!$J$4:$K$8)</f>
        <v>80+</v>
      </c>
      <c r="H1124" s="1">
        <v>45</v>
      </c>
      <c r="I1124" t="str">
        <f>LOOKUP(H1124,Sheet2!$M$4:$N$8)</f>
        <v>40+</v>
      </c>
      <c r="J1124" s="1">
        <v>132</v>
      </c>
      <c r="K1124" t="str">
        <f>LOOKUP(J1124,Sheet2!$P$4:$Q$9)</f>
        <v>100-199</v>
      </c>
      <c r="L1124" s="1">
        <v>34.799999999999997</v>
      </c>
      <c r="M1124" t="str">
        <f>LOOKUP(L1124,Sheet2!$S$4:$T$8)</f>
        <v>31-35</v>
      </c>
      <c r="N1124" s="1">
        <v>0.217</v>
      </c>
      <c r="O1124" t="str">
        <f>LOOKUP(N1124,Sheet2!$V$4:$W$7)</f>
        <v>0.0 - 0.249</v>
      </c>
      <c r="P1124" s="1">
        <v>24</v>
      </c>
      <c r="Q1124" t="str">
        <f>LOOKUP(P1124,Sheet2!$Z$4:$AA$7)</f>
        <v>&lt;=25</v>
      </c>
      <c r="R1124" s="1">
        <v>0</v>
      </c>
      <c r="S1124" t="str">
        <f>IF(R1124=1,"Positive","Negative")</f>
        <v>Negative</v>
      </c>
      <c r="T1124" s="1" t="str">
        <f>IFERROR(VLOOKUP(A1124,[1]diabetes_Recognition!$A:$B,2,FALSE),"Not Sampled")</f>
        <v>Not Sampled</v>
      </c>
      <c r="U1124" t="str">
        <f>IF(T1124=1,"Positive",(IF(T1124=0,"Negative","Not Sampled")))</f>
        <v>Not Sampled</v>
      </c>
      <c r="V1124" s="1" t="str">
        <f>IF(U1124="Not Sampled","Not Sampled",IF(S1124=U1124,"Accurate Prediction","Inaccurate Prediction"))</f>
        <v>Not Sampled</v>
      </c>
    </row>
    <row r="1125" spans="1:22" x14ac:dyDescent="0.25">
      <c r="A1125" s="1">
        <v>1123</v>
      </c>
      <c r="B1125" s="1">
        <v>4</v>
      </c>
      <c r="C1125" s="1" t="str">
        <f>LOOKUP(B1125,Sheet2!$D$4:$E$9)</f>
        <v>3-4</v>
      </c>
      <c r="D1125" s="1">
        <v>145</v>
      </c>
      <c r="E1125" t="str">
        <f>LOOKUP(D1125,Sheet2!$G$4:$H$9)</f>
        <v>126-150</v>
      </c>
      <c r="F1125" s="1">
        <v>82</v>
      </c>
      <c r="G1125" t="str">
        <f>LOOKUP(F1125,Sheet2!$J$4:$K$8)</f>
        <v>80+</v>
      </c>
      <c r="H1125" s="1">
        <v>18</v>
      </c>
      <c r="I1125" t="str">
        <f>LOOKUP(H1125,Sheet2!$M$4:$N$8)</f>
        <v>10-30</v>
      </c>
      <c r="J1125" s="1">
        <v>0</v>
      </c>
      <c r="K1125" t="str">
        <f>LOOKUP(J1125,Sheet2!$P$4:$Q$9)</f>
        <v>Unknown</v>
      </c>
      <c r="L1125" s="1">
        <v>32.5</v>
      </c>
      <c r="M1125" t="str">
        <f>LOOKUP(L1125,Sheet2!$S$4:$T$8)</f>
        <v>31-35</v>
      </c>
      <c r="N1125" s="1">
        <v>0.23499999999999999</v>
      </c>
      <c r="O1125" t="str">
        <f>LOOKUP(N1125,Sheet2!$V$4:$W$7)</f>
        <v>0.0 - 0.249</v>
      </c>
      <c r="P1125" s="1">
        <v>70</v>
      </c>
      <c r="Q1125" t="str">
        <f>LOOKUP(P1125,Sheet2!$Z$4:$AA$7)</f>
        <v>46+</v>
      </c>
      <c r="R1125" s="1">
        <v>1</v>
      </c>
      <c r="S1125" t="str">
        <f>IF(R1125=1,"Positive","Negative")</f>
        <v>Positive</v>
      </c>
      <c r="T1125" s="1" t="str">
        <f>IFERROR(VLOOKUP(A1125,[1]diabetes_Recognition!$A:$B,2,FALSE),"Not Sampled")</f>
        <v>Not Sampled</v>
      </c>
      <c r="U1125" t="str">
        <f>IF(T1125=1,"Positive",(IF(T1125=0,"Negative","Not Sampled")))</f>
        <v>Not Sampled</v>
      </c>
      <c r="V1125" s="1" t="str">
        <f>IF(U1125="Not Sampled","Not Sampled",IF(S1125=U1125,"Accurate Prediction","Inaccurate Prediction"))</f>
        <v>Not Sampled</v>
      </c>
    </row>
    <row r="1126" spans="1:22" x14ac:dyDescent="0.25">
      <c r="A1126" s="1">
        <v>1124</v>
      </c>
      <c r="B1126" s="1">
        <v>10</v>
      </c>
      <c r="C1126" s="1" t="str">
        <f>LOOKUP(B1126,Sheet2!$D$4:$E$9)</f>
        <v>8+</v>
      </c>
      <c r="D1126" s="1">
        <v>111</v>
      </c>
      <c r="E1126" t="str">
        <f>LOOKUP(D1126,Sheet2!$G$4:$H$9)</f>
        <v>100-125</v>
      </c>
      <c r="F1126" s="1">
        <v>70</v>
      </c>
      <c r="G1126" t="str">
        <f>LOOKUP(F1126,Sheet2!$J$4:$K$8)</f>
        <v>70-79</v>
      </c>
      <c r="H1126" s="1">
        <v>27</v>
      </c>
      <c r="I1126" t="str">
        <f>LOOKUP(H1126,Sheet2!$M$4:$N$8)</f>
        <v>10-30</v>
      </c>
      <c r="J1126" s="1">
        <v>0</v>
      </c>
      <c r="K1126" t="str">
        <f>LOOKUP(J1126,Sheet2!$P$4:$Q$9)</f>
        <v>Unknown</v>
      </c>
      <c r="L1126" s="1">
        <v>27.5</v>
      </c>
      <c r="M1126" t="str">
        <f>LOOKUP(L1126,Sheet2!$S$4:$T$8)</f>
        <v>26-30</v>
      </c>
      <c r="N1126" s="1">
        <v>0.14099999999999999</v>
      </c>
      <c r="O1126" t="str">
        <f>LOOKUP(N1126,Sheet2!$V$4:$W$7)</f>
        <v>0.0 - 0.249</v>
      </c>
      <c r="P1126" s="1">
        <v>40</v>
      </c>
      <c r="Q1126" t="str">
        <f>LOOKUP(P1126,Sheet2!$Z$4:$AA$7)</f>
        <v>36-45</v>
      </c>
      <c r="R1126" s="1">
        <v>1</v>
      </c>
      <c r="S1126" t="str">
        <f>IF(R1126=1,"Positive","Negative")</f>
        <v>Positive</v>
      </c>
      <c r="T1126" s="1" t="str">
        <f>IFERROR(VLOOKUP(A1126,[1]diabetes_Recognition!$A:$B,2,FALSE),"Not Sampled")</f>
        <v>Not Sampled</v>
      </c>
      <c r="U1126" t="str">
        <f>IF(T1126=1,"Positive",(IF(T1126=0,"Negative","Not Sampled")))</f>
        <v>Not Sampled</v>
      </c>
      <c r="V1126" s="1" t="str">
        <f>IF(U1126="Not Sampled","Not Sampled",IF(S1126=U1126,"Accurate Prediction","Inaccurate Prediction"))</f>
        <v>Not Sampled</v>
      </c>
    </row>
    <row r="1127" spans="1:22" x14ac:dyDescent="0.25">
      <c r="A1127" s="1">
        <v>1125</v>
      </c>
      <c r="B1127" s="1">
        <v>6</v>
      </c>
      <c r="C1127" s="1" t="str">
        <f>LOOKUP(B1127,Sheet2!$D$4:$E$9)</f>
        <v>5-7</v>
      </c>
      <c r="D1127" s="1">
        <v>98</v>
      </c>
      <c r="E1127" t="str">
        <f>LOOKUP(D1127,Sheet2!$G$4:$H$9)</f>
        <v>1-99</v>
      </c>
      <c r="F1127" s="1">
        <v>58</v>
      </c>
      <c r="G1127" t="str">
        <f>LOOKUP(F1127,Sheet2!$J$4:$K$8)</f>
        <v>1-59</v>
      </c>
      <c r="H1127" s="1">
        <v>33</v>
      </c>
      <c r="I1127" t="str">
        <f>LOOKUP(H1127,Sheet2!$M$4:$N$8)</f>
        <v>30-39</v>
      </c>
      <c r="J1127" s="1">
        <v>190</v>
      </c>
      <c r="K1127" t="str">
        <f>LOOKUP(J1127,Sheet2!$P$4:$Q$9)</f>
        <v>100-199</v>
      </c>
      <c r="L1127" s="1">
        <v>34</v>
      </c>
      <c r="M1127" t="str">
        <f>LOOKUP(L1127,Sheet2!$S$4:$T$8)</f>
        <v>31-35</v>
      </c>
      <c r="N1127" s="1">
        <v>0.43</v>
      </c>
      <c r="O1127" t="str">
        <f>LOOKUP(N1127,Sheet2!$V$4:$W$7)</f>
        <v>0.4 - 0.69</v>
      </c>
      <c r="P1127" s="1">
        <v>43</v>
      </c>
      <c r="Q1127" t="str">
        <f>LOOKUP(P1127,Sheet2!$Z$4:$AA$7)</f>
        <v>36-45</v>
      </c>
      <c r="R1127" s="1">
        <v>0</v>
      </c>
      <c r="S1127" t="str">
        <f>IF(R1127=1,"Positive","Negative")</f>
        <v>Negative</v>
      </c>
      <c r="T1127" s="1" t="str">
        <f>IFERROR(VLOOKUP(A1127,[1]diabetes_Recognition!$A:$B,2,FALSE),"Not Sampled")</f>
        <v>Not Sampled</v>
      </c>
      <c r="U1127" t="str">
        <f>IF(T1127=1,"Positive",(IF(T1127=0,"Negative","Not Sampled")))</f>
        <v>Not Sampled</v>
      </c>
      <c r="V1127" s="1" t="str">
        <f>IF(U1127="Not Sampled","Not Sampled",IF(S1127=U1127,"Accurate Prediction","Inaccurate Prediction"))</f>
        <v>Not Sampled</v>
      </c>
    </row>
    <row r="1128" spans="1:22" x14ac:dyDescent="0.25">
      <c r="A1128" s="1">
        <v>1126</v>
      </c>
      <c r="B1128" s="1">
        <v>9</v>
      </c>
      <c r="C1128" s="1" t="str">
        <f>LOOKUP(B1128,Sheet2!$D$4:$E$9)</f>
        <v>8+</v>
      </c>
      <c r="D1128" s="1">
        <v>154</v>
      </c>
      <c r="E1128" t="str">
        <f>LOOKUP(D1128,Sheet2!$G$4:$H$9)</f>
        <v>151-175</v>
      </c>
      <c r="F1128" s="1">
        <v>78</v>
      </c>
      <c r="G1128" t="str">
        <f>LOOKUP(F1128,Sheet2!$J$4:$K$8)</f>
        <v>70-79</v>
      </c>
      <c r="H1128" s="1">
        <v>30</v>
      </c>
      <c r="I1128" t="str">
        <f>LOOKUP(H1128,Sheet2!$M$4:$N$8)</f>
        <v>30-39</v>
      </c>
      <c r="J1128" s="1">
        <v>100</v>
      </c>
      <c r="K1128" t="str">
        <f>LOOKUP(J1128,Sheet2!$P$4:$Q$9)</f>
        <v>100-199</v>
      </c>
      <c r="L1128" s="1">
        <v>30.9</v>
      </c>
      <c r="M1128" t="str">
        <f>LOOKUP(L1128,Sheet2!$S$4:$T$8)</f>
        <v>26-30</v>
      </c>
      <c r="N1128" s="1">
        <v>0.16400000000000001</v>
      </c>
      <c r="O1128" t="str">
        <f>LOOKUP(N1128,Sheet2!$V$4:$W$7)</f>
        <v>0.0 - 0.249</v>
      </c>
      <c r="P1128" s="1">
        <v>45</v>
      </c>
      <c r="Q1128" t="str">
        <f>LOOKUP(P1128,Sheet2!$Z$4:$AA$7)</f>
        <v>36-45</v>
      </c>
      <c r="R1128" s="1">
        <v>0</v>
      </c>
      <c r="S1128" t="str">
        <f>IF(R1128=1,"Positive","Negative")</f>
        <v>Negative</v>
      </c>
      <c r="T1128" s="1" t="str">
        <f>IFERROR(VLOOKUP(A1128,[1]diabetes_Recognition!$A:$B,2,FALSE),"Not Sampled")</f>
        <v>Not Sampled</v>
      </c>
      <c r="U1128" t="str">
        <f>IF(T1128=1,"Positive",(IF(T1128=0,"Negative","Not Sampled")))</f>
        <v>Not Sampled</v>
      </c>
      <c r="V1128" s="1" t="str">
        <f>IF(U1128="Not Sampled","Not Sampled",IF(S1128=U1128,"Accurate Prediction","Inaccurate Prediction"))</f>
        <v>Not Sampled</v>
      </c>
    </row>
    <row r="1129" spans="1:22" x14ac:dyDescent="0.25">
      <c r="A1129" s="1">
        <v>1127</v>
      </c>
      <c r="B1129" s="1">
        <v>6</v>
      </c>
      <c r="C1129" s="1" t="str">
        <f>LOOKUP(B1129,Sheet2!$D$4:$E$9)</f>
        <v>5-7</v>
      </c>
      <c r="D1129" s="1">
        <v>165</v>
      </c>
      <c r="E1129" t="str">
        <f>LOOKUP(D1129,Sheet2!$G$4:$H$9)</f>
        <v>151-175</v>
      </c>
      <c r="F1129" s="1">
        <v>68</v>
      </c>
      <c r="G1129" t="str">
        <f>LOOKUP(F1129,Sheet2!$J$4:$K$8)</f>
        <v>60-69</v>
      </c>
      <c r="H1129" s="1">
        <v>26</v>
      </c>
      <c r="I1129" t="str">
        <f>LOOKUP(H1129,Sheet2!$M$4:$N$8)</f>
        <v>10-30</v>
      </c>
      <c r="J1129" s="1">
        <v>168</v>
      </c>
      <c r="K1129" t="str">
        <f>LOOKUP(J1129,Sheet2!$P$4:$Q$9)</f>
        <v>100-199</v>
      </c>
      <c r="L1129" s="1">
        <v>33.6</v>
      </c>
      <c r="M1129" t="str">
        <f>LOOKUP(L1129,Sheet2!$S$4:$T$8)</f>
        <v>31-35</v>
      </c>
      <c r="N1129" s="1">
        <v>0.63100000000000001</v>
      </c>
      <c r="O1129" t="str">
        <f>LOOKUP(N1129,Sheet2!$V$4:$W$7)</f>
        <v>0.4 - 0.69</v>
      </c>
      <c r="P1129" s="1">
        <v>49</v>
      </c>
      <c r="Q1129" t="str">
        <f>LOOKUP(P1129,Sheet2!$Z$4:$AA$7)</f>
        <v>46+</v>
      </c>
      <c r="R1129" s="1">
        <v>0</v>
      </c>
      <c r="S1129" t="str">
        <f>IF(R1129=1,"Positive","Negative")</f>
        <v>Negative</v>
      </c>
      <c r="T1129" s="1" t="str">
        <f>IFERROR(VLOOKUP(A1129,[1]diabetes_Recognition!$A:$B,2,FALSE),"Not Sampled")</f>
        <v>Not Sampled</v>
      </c>
      <c r="U1129" t="str">
        <f>IF(T1129=1,"Positive",(IF(T1129=0,"Negative","Not Sampled")))</f>
        <v>Not Sampled</v>
      </c>
      <c r="V1129" s="1" t="str">
        <f>IF(U1129="Not Sampled","Not Sampled",IF(S1129=U1129,"Accurate Prediction","Inaccurate Prediction"))</f>
        <v>Not Sampled</v>
      </c>
    </row>
    <row r="1130" spans="1:22" x14ac:dyDescent="0.25">
      <c r="A1130" s="1">
        <v>1128</v>
      </c>
      <c r="B1130" s="1">
        <v>1</v>
      </c>
      <c r="C1130" s="1">
        <f>LOOKUP(B1130,Sheet2!$D$4:$E$9)</f>
        <v>1</v>
      </c>
      <c r="D1130" s="1">
        <v>99</v>
      </c>
      <c r="E1130" t="str">
        <f>LOOKUP(D1130,Sheet2!$G$4:$H$9)</f>
        <v>1-99</v>
      </c>
      <c r="F1130" s="1">
        <v>58</v>
      </c>
      <c r="G1130" t="str">
        <f>LOOKUP(F1130,Sheet2!$J$4:$K$8)</f>
        <v>1-59</v>
      </c>
      <c r="H1130" s="1">
        <v>10</v>
      </c>
      <c r="I1130" t="str">
        <f>LOOKUP(H1130,Sheet2!$M$4:$N$8)</f>
        <v>10-30</v>
      </c>
      <c r="J1130" s="1">
        <v>0</v>
      </c>
      <c r="K1130" t="str">
        <f>LOOKUP(J1130,Sheet2!$P$4:$Q$9)</f>
        <v>Unknown</v>
      </c>
      <c r="L1130" s="1">
        <v>25.4</v>
      </c>
      <c r="M1130" t="str">
        <f>LOOKUP(L1130,Sheet2!$S$4:$T$8)</f>
        <v>1-25</v>
      </c>
      <c r="N1130" s="1">
        <v>0.55100000000000005</v>
      </c>
      <c r="O1130" t="str">
        <f>LOOKUP(N1130,Sheet2!$V$4:$W$7)</f>
        <v>0.4 - 0.69</v>
      </c>
      <c r="P1130" s="1">
        <v>21</v>
      </c>
      <c r="Q1130" t="str">
        <f>LOOKUP(P1130,Sheet2!$Z$4:$AA$7)</f>
        <v>&lt;=25</v>
      </c>
      <c r="R1130" s="1">
        <v>0</v>
      </c>
      <c r="S1130" t="str">
        <f>IF(R1130=1,"Positive","Negative")</f>
        <v>Negative</v>
      </c>
      <c r="T1130" s="1" t="str">
        <f>IFERROR(VLOOKUP(A1130,[1]diabetes_Recognition!$A:$B,2,FALSE),"Not Sampled")</f>
        <v>Not Sampled</v>
      </c>
      <c r="U1130" t="str">
        <f>IF(T1130=1,"Positive",(IF(T1130=0,"Negative","Not Sampled")))</f>
        <v>Not Sampled</v>
      </c>
      <c r="V1130" s="1" t="str">
        <f>IF(U1130="Not Sampled","Not Sampled",IF(S1130=U1130,"Accurate Prediction","Inaccurate Prediction"))</f>
        <v>Not Sampled</v>
      </c>
    </row>
    <row r="1131" spans="1:22" x14ac:dyDescent="0.25">
      <c r="A1131" s="1">
        <v>1129</v>
      </c>
      <c r="B1131" s="1">
        <v>10</v>
      </c>
      <c r="C1131" s="1" t="str">
        <f>LOOKUP(B1131,Sheet2!$D$4:$E$9)</f>
        <v>8+</v>
      </c>
      <c r="D1131" s="1">
        <v>68</v>
      </c>
      <c r="E1131" t="str">
        <f>LOOKUP(D1131,Sheet2!$G$4:$H$9)</f>
        <v>1-99</v>
      </c>
      <c r="F1131" s="1">
        <v>106</v>
      </c>
      <c r="G1131" t="str">
        <f>LOOKUP(F1131,Sheet2!$J$4:$K$8)</f>
        <v>80+</v>
      </c>
      <c r="H1131" s="1">
        <v>23</v>
      </c>
      <c r="I1131" t="str">
        <f>LOOKUP(H1131,Sheet2!$M$4:$N$8)</f>
        <v>10-30</v>
      </c>
      <c r="J1131" s="1">
        <v>49</v>
      </c>
      <c r="K1131" t="str">
        <f>LOOKUP(J1131,Sheet2!$P$4:$Q$9)</f>
        <v>1-99</v>
      </c>
      <c r="L1131" s="1">
        <v>35.5</v>
      </c>
      <c r="M1131" t="str">
        <f>LOOKUP(L1131,Sheet2!$S$4:$T$8)</f>
        <v>31-35</v>
      </c>
      <c r="N1131" s="1">
        <v>0.28499999999999998</v>
      </c>
      <c r="O1131" t="str">
        <f>LOOKUP(N1131,Sheet2!$V$4:$W$7)</f>
        <v>0.25 - 0.39</v>
      </c>
      <c r="P1131" s="1">
        <v>47</v>
      </c>
      <c r="Q1131" t="str">
        <f>LOOKUP(P1131,Sheet2!$Z$4:$AA$7)</f>
        <v>46+</v>
      </c>
      <c r="R1131" s="1">
        <v>0</v>
      </c>
      <c r="S1131" t="str">
        <f>IF(R1131=1,"Positive","Negative")</f>
        <v>Negative</v>
      </c>
      <c r="T1131" s="1" t="str">
        <f>IFERROR(VLOOKUP(A1131,[1]diabetes_Recognition!$A:$B,2,FALSE),"Not Sampled")</f>
        <v>Not Sampled</v>
      </c>
      <c r="U1131" t="str">
        <f>IF(T1131=1,"Positive",(IF(T1131=0,"Negative","Not Sampled")))</f>
        <v>Not Sampled</v>
      </c>
      <c r="V1131" s="1" t="str">
        <f>IF(U1131="Not Sampled","Not Sampled",IF(S1131=U1131,"Accurate Prediction","Inaccurate Prediction"))</f>
        <v>Not Sampled</v>
      </c>
    </row>
    <row r="1132" spans="1:22" x14ac:dyDescent="0.25">
      <c r="A1132" s="1">
        <v>1130</v>
      </c>
      <c r="B1132" s="1">
        <v>3</v>
      </c>
      <c r="C1132" s="1" t="str">
        <f>LOOKUP(B1132,Sheet2!$D$4:$E$9)</f>
        <v>3-4</v>
      </c>
      <c r="D1132" s="1">
        <v>123</v>
      </c>
      <c r="E1132" t="str">
        <f>LOOKUP(D1132,Sheet2!$G$4:$H$9)</f>
        <v>100-125</v>
      </c>
      <c r="F1132" s="1">
        <v>100</v>
      </c>
      <c r="G1132" t="str">
        <f>LOOKUP(F1132,Sheet2!$J$4:$K$8)</f>
        <v>80+</v>
      </c>
      <c r="H1132" s="1">
        <v>35</v>
      </c>
      <c r="I1132" t="str">
        <f>LOOKUP(H1132,Sheet2!$M$4:$N$8)</f>
        <v>30-39</v>
      </c>
      <c r="J1132" s="1">
        <v>240</v>
      </c>
      <c r="K1132" t="str">
        <f>LOOKUP(J1132,Sheet2!$P$4:$Q$9)</f>
        <v>200-399</v>
      </c>
      <c r="L1132" s="1">
        <v>57.3</v>
      </c>
      <c r="M1132" t="str">
        <f>LOOKUP(L1132,Sheet2!$S$4:$T$8)</f>
        <v>36+</v>
      </c>
      <c r="N1132" s="1">
        <v>0.88</v>
      </c>
      <c r="O1132" t="str">
        <f>LOOKUP(N1132,Sheet2!$V$4:$W$7)</f>
        <v>0.7+</v>
      </c>
      <c r="P1132" s="1">
        <v>22</v>
      </c>
      <c r="Q1132" t="str">
        <f>LOOKUP(P1132,Sheet2!$Z$4:$AA$7)</f>
        <v>&lt;=25</v>
      </c>
      <c r="R1132" s="1">
        <v>0</v>
      </c>
      <c r="S1132" t="str">
        <f>IF(R1132=1,"Positive","Negative")</f>
        <v>Negative</v>
      </c>
      <c r="T1132" s="1" t="str">
        <f>IFERROR(VLOOKUP(A1132,[1]diabetes_Recognition!$A:$B,2,FALSE),"Not Sampled")</f>
        <v>Not Sampled</v>
      </c>
      <c r="U1132" t="str">
        <f>IF(T1132=1,"Positive",(IF(T1132=0,"Negative","Not Sampled")))</f>
        <v>Not Sampled</v>
      </c>
      <c r="V1132" s="1" t="str">
        <f>IF(U1132="Not Sampled","Not Sampled",IF(S1132=U1132,"Accurate Prediction","Inaccurate Prediction"))</f>
        <v>Not Sampled</v>
      </c>
    </row>
    <row r="1133" spans="1:22" x14ac:dyDescent="0.25">
      <c r="A1133" s="1">
        <v>1131</v>
      </c>
      <c r="B1133" s="1">
        <v>8</v>
      </c>
      <c r="C1133" s="1" t="str">
        <f>LOOKUP(B1133,Sheet2!$D$4:$E$9)</f>
        <v>8+</v>
      </c>
      <c r="D1133" s="1">
        <v>91</v>
      </c>
      <c r="E1133" t="str">
        <f>LOOKUP(D1133,Sheet2!$G$4:$H$9)</f>
        <v>1-99</v>
      </c>
      <c r="F1133" s="1">
        <v>82</v>
      </c>
      <c r="G1133" t="str">
        <f>LOOKUP(F1133,Sheet2!$J$4:$K$8)</f>
        <v>80+</v>
      </c>
      <c r="H1133" s="1">
        <v>0</v>
      </c>
      <c r="I1133" t="str">
        <f>LOOKUP(H1133,Sheet2!$M$4:$N$8)</f>
        <v>Unknown</v>
      </c>
      <c r="J1133" s="1">
        <v>0</v>
      </c>
      <c r="K1133" t="str">
        <f>LOOKUP(J1133,Sheet2!$P$4:$Q$9)</f>
        <v>Unknown</v>
      </c>
      <c r="L1133" s="1">
        <v>35.6</v>
      </c>
      <c r="M1133" t="str">
        <f>LOOKUP(L1133,Sheet2!$S$4:$T$8)</f>
        <v>31-35</v>
      </c>
      <c r="N1133" s="1">
        <v>0.58699999999999997</v>
      </c>
      <c r="O1133" t="str">
        <f>LOOKUP(N1133,Sheet2!$V$4:$W$7)</f>
        <v>0.4 - 0.69</v>
      </c>
      <c r="P1133" s="1">
        <v>68</v>
      </c>
      <c r="Q1133" t="str">
        <f>LOOKUP(P1133,Sheet2!$Z$4:$AA$7)</f>
        <v>46+</v>
      </c>
      <c r="R1133" s="1">
        <v>0</v>
      </c>
      <c r="S1133" t="str">
        <f>IF(R1133=1,"Positive","Negative")</f>
        <v>Negative</v>
      </c>
      <c r="T1133" s="1">
        <f>IFERROR(VLOOKUP(A1133,[1]diabetes_Recognition!$A:$B,2,FALSE),"Not Sampled")</f>
        <v>0</v>
      </c>
      <c r="U1133" t="str">
        <f>IF(T1133=1,"Positive",(IF(T1133=0,"Negative","Not Sampled")))</f>
        <v>Negative</v>
      </c>
      <c r="V1133" s="1" t="str">
        <f>IF(U1133="Not Sampled","Not Sampled",IF(S1133=U1133,"Accurate Prediction","Inaccurate Prediction"))</f>
        <v>Accurate Prediction</v>
      </c>
    </row>
    <row r="1134" spans="1:22" x14ac:dyDescent="0.25">
      <c r="A1134" s="1">
        <v>1132</v>
      </c>
      <c r="B1134" s="1">
        <v>6</v>
      </c>
      <c r="C1134" s="1" t="str">
        <f>LOOKUP(B1134,Sheet2!$D$4:$E$9)</f>
        <v>5-7</v>
      </c>
      <c r="D1134" s="1">
        <v>195</v>
      </c>
      <c r="E1134" t="str">
        <f>LOOKUP(D1134,Sheet2!$G$4:$H$9)</f>
        <v>176-200</v>
      </c>
      <c r="F1134" s="1">
        <v>70</v>
      </c>
      <c r="G1134" t="str">
        <f>LOOKUP(F1134,Sheet2!$J$4:$K$8)</f>
        <v>70-79</v>
      </c>
      <c r="H1134" s="1">
        <v>0</v>
      </c>
      <c r="I1134" t="str">
        <f>LOOKUP(H1134,Sheet2!$M$4:$N$8)</f>
        <v>Unknown</v>
      </c>
      <c r="J1134" s="1">
        <v>0</v>
      </c>
      <c r="K1134" t="str">
        <f>LOOKUP(J1134,Sheet2!$P$4:$Q$9)</f>
        <v>Unknown</v>
      </c>
      <c r="L1134" s="1">
        <v>30.9</v>
      </c>
      <c r="M1134" t="str">
        <f>LOOKUP(L1134,Sheet2!$S$4:$T$8)</f>
        <v>26-30</v>
      </c>
      <c r="N1134" s="1">
        <v>0.32800000000000001</v>
      </c>
      <c r="O1134" t="str">
        <f>LOOKUP(N1134,Sheet2!$V$4:$W$7)</f>
        <v>0.25 - 0.39</v>
      </c>
      <c r="P1134" s="1">
        <v>31</v>
      </c>
      <c r="Q1134" t="str">
        <f>LOOKUP(P1134,Sheet2!$Z$4:$AA$7)</f>
        <v>26-35</v>
      </c>
      <c r="R1134" s="1">
        <v>1</v>
      </c>
      <c r="S1134" t="str">
        <f>IF(R1134=1,"Positive","Negative")</f>
        <v>Positive</v>
      </c>
      <c r="T1134" s="1">
        <f>IFERROR(VLOOKUP(A1134,[1]diabetes_Recognition!$A:$B,2,FALSE),"Not Sampled")</f>
        <v>1</v>
      </c>
      <c r="U1134" t="str">
        <f>IF(T1134=1,"Positive",(IF(T1134=0,"Negative","Not Sampled")))</f>
        <v>Positive</v>
      </c>
      <c r="V1134" s="1" t="str">
        <f>IF(U1134="Not Sampled","Not Sampled",IF(S1134=U1134,"Accurate Prediction","Inaccurate Prediction"))</f>
        <v>Accurate Prediction</v>
      </c>
    </row>
    <row r="1135" spans="1:22" x14ac:dyDescent="0.25">
      <c r="A1135" s="1">
        <v>1133</v>
      </c>
      <c r="B1135" s="1">
        <v>9</v>
      </c>
      <c r="C1135" s="1" t="str">
        <f>LOOKUP(B1135,Sheet2!$D$4:$E$9)</f>
        <v>8+</v>
      </c>
      <c r="D1135" s="1">
        <v>156</v>
      </c>
      <c r="E1135" t="str">
        <f>LOOKUP(D1135,Sheet2!$G$4:$H$9)</f>
        <v>151-175</v>
      </c>
      <c r="F1135" s="1">
        <v>86</v>
      </c>
      <c r="G1135" t="str">
        <f>LOOKUP(F1135,Sheet2!$J$4:$K$8)</f>
        <v>80+</v>
      </c>
      <c r="H1135" s="1">
        <v>0</v>
      </c>
      <c r="I1135" t="str">
        <f>LOOKUP(H1135,Sheet2!$M$4:$N$8)</f>
        <v>Unknown</v>
      </c>
      <c r="J1135" s="1">
        <v>0</v>
      </c>
      <c r="K1135" t="str">
        <f>LOOKUP(J1135,Sheet2!$P$4:$Q$9)</f>
        <v>Unknown</v>
      </c>
      <c r="L1135" s="1">
        <v>24.8</v>
      </c>
      <c r="M1135" t="str">
        <f>LOOKUP(L1135,Sheet2!$S$4:$T$8)</f>
        <v>1-25</v>
      </c>
      <c r="N1135" s="1">
        <v>0.23</v>
      </c>
      <c r="O1135" t="str">
        <f>LOOKUP(N1135,Sheet2!$V$4:$W$7)</f>
        <v>0.0 - 0.249</v>
      </c>
      <c r="P1135" s="1">
        <v>53</v>
      </c>
      <c r="Q1135" t="str">
        <f>LOOKUP(P1135,Sheet2!$Z$4:$AA$7)</f>
        <v>46+</v>
      </c>
      <c r="R1135" s="1">
        <v>1</v>
      </c>
      <c r="S1135" t="str">
        <f>IF(R1135=1,"Positive","Negative")</f>
        <v>Positive</v>
      </c>
      <c r="T1135" s="1" t="str">
        <f>IFERROR(VLOOKUP(A1135,[1]diabetes_Recognition!$A:$B,2,FALSE),"Not Sampled")</f>
        <v>Not Sampled</v>
      </c>
      <c r="U1135" t="str">
        <f>IF(T1135=1,"Positive",(IF(T1135=0,"Negative","Not Sampled")))</f>
        <v>Not Sampled</v>
      </c>
      <c r="V1135" s="1" t="str">
        <f>IF(U1135="Not Sampled","Not Sampled",IF(S1135=U1135,"Accurate Prediction","Inaccurate Prediction"))</f>
        <v>Not Sampled</v>
      </c>
    </row>
    <row r="1136" spans="1:22" x14ac:dyDescent="0.25">
      <c r="A1136" s="1">
        <v>1134</v>
      </c>
      <c r="B1136" s="1">
        <v>0</v>
      </c>
      <c r="C1136" s="1">
        <f>LOOKUP(B1136,Sheet2!$D$4:$E$9)</f>
        <v>0</v>
      </c>
      <c r="D1136" s="1">
        <v>93</v>
      </c>
      <c r="E1136" t="str">
        <f>LOOKUP(D1136,Sheet2!$G$4:$H$9)</f>
        <v>1-99</v>
      </c>
      <c r="F1136" s="1">
        <v>60</v>
      </c>
      <c r="G1136" t="str">
        <f>LOOKUP(F1136,Sheet2!$J$4:$K$8)</f>
        <v>60-69</v>
      </c>
      <c r="H1136" s="1">
        <v>0</v>
      </c>
      <c r="I1136" t="str">
        <f>LOOKUP(H1136,Sheet2!$M$4:$N$8)</f>
        <v>Unknown</v>
      </c>
      <c r="J1136" s="1">
        <v>0</v>
      </c>
      <c r="K1136" t="str">
        <f>LOOKUP(J1136,Sheet2!$P$4:$Q$9)</f>
        <v>Unknown</v>
      </c>
      <c r="L1136" s="1">
        <v>35.299999999999997</v>
      </c>
      <c r="M1136" t="str">
        <f>LOOKUP(L1136,Sheet2!$S$4:$T$8)</f>
        <v>31-35</v>
      </c>
      <c r="N1136" s="1">
        <v>0.26300000000000001</v>
      </c>
      <c r="O1136" t="str">
        <f>LOOKUP(N1136,Sheet2!$V$4:$W$7)</f>
        <v>0.25 - 0.39</v>
      </c>
      <c r="P1136" s="1">
        <v>25</v>
      </c>
      <c r="Q1136" t="str">
        <f>LOOKUP(P1136,Sheet2!$Z$4:$AA$7)</f>
        <v>&lt;=25</v>
      </c>
      <c r="R1136" s="1">
        <v>0</v>
      </c>
      <c r="S1136" t="str">
        <f>IF(R1136=1,"Positive","Negative")</f>
        <v>Negative</v>
      </c>
      <c r="T1136" s="1" t="str">
        <f>IFERROR(VLOOKUP(A1136,[1]diabetes_Recognition!$A:$B,2,FALSE),"Not Sampled")</f>
        <v>Not Sampled</v>
      </c>
      <c r="U1136" t="str">
        <f>IF(T1136=1,"Positive",(IF(T1136=0,"Negative","Not Sampled")))</f>
        <v>Not Sampled</v>
      </c>
      <c r="V1136" s="1" t="str">
        <f>IF(U1136="Not Sampled","Not Sampled",IF(S1136=U1136,"Accurate Prediction","Inaccurate Prediction"))</f>
        <v>Not Sampled</v>
      </c>
    </row>
    <row r="1137" spans="1:22" x14ac:dyDescent="0.25">
      <c r="A1137" s="1">
        <v>1135</v>
      </c>
      <c r="B1137" s="1">
        <v>3</v>
      </c>
      <c r="C1137" s="1" t="str">
        <f>LOOKUP(B1137,Sheet2!$D$4:$E$9)</f>
        <v>3-4</v>
      </c>
      <c r="D1137" s="1">
        <v>121</v>
      </c>
      <c r="E1137" t="str">
        <f>LOOKUP(D1137,Sheet2!$G$4:$H$9)</f>
        <v>100-125</v>
      </c>
      <c r="F1137" s="1">
        <v>52</v>
      </c>
      <c r="G1137" t="str">
        <f>LOOKUP(F1137,Sheet2!$J$4:$K$8)</f>
        <v>1-59</v>
      </c>
      <c r="H1137" s="1">
        <v>0</v>
      </c>
      <c r="I1137" t="str">
        <f>LOOKUP(H1137,Sheet2!$M$4:$N$8)</f>
        <v>Unknown</v>
      </c>
      <c r="J1137" s="1">
        <v>0</v>
      </c>
      <c r="K1137" t="str">
        <f>LOOKUP(J1137,Sheet2!$P$4:$Q$9)</f>
        <v>Unknown</v>
      </c>
      <c r="L1137" s="1">
        <v>36</v>
      </c>
      <c r="M1137" t="str">
        <f>LOOKUP(L1137,Sheet2!$S$4:$T$8)</f>
        <v>36+</v>
      </c>
      <c r="N1137" s="1">
        <v>0.127</v>
      </c>
      <c r="O1137" t="str">
        <f>LOOKUP(N1137,Sheet2!$V$4:$W$7)</f>
        <v>0.0 - 0.249</v>
      </c>
      <c r="P1137" s="1">
        <v>25</v>
      </c>
      <c r="Q1137" t="str">
        <f>LOOKUP(P1137,Sheet2!$Z$4:$AA$7)</f>
        <v>&lt;=25</v>
      </c>
      <c r="R1137" s="1">
        <v>1</v>
      </c>
      <c r="S1137" t="str">
        <f>IF(R1137=1,"Positive","Negative")</f>
        <v>Positive</v>
      </c>
      <c r="T1137" s="1">
        <f>IFERROR(VLOOKUP(A1137,[1]diabetes_Recognition!$A:$B,2,FALSE),"Not Sampled")</f>
        <v>0</v>
      </c>
      <c r="U1137" t="str">
        <f>IF(T1137=1,"Positive",(IF(T1137=0,"Negative","Not Sampled")))</f>
        <v>Negative</v>
      </c>
      <c r="V1137" s="1" t="str">
        <f>IF(U1137="Not Sampled","Not Sampled",IF(S1137=U1137,"Accurate Prediction","Inaccurate Prediction"))</f>
        <v>Inaccurate Prediction</v>
      </c>
    </row>
    <row r="1138" spans="1:22" x14ac:dyDescent="0.25">
      <c r="A1138" s="1">
        <v>1136</v>
      </c>
      <c r="B1138" s="1">
        <v>2</v>
      </c>
      <c r="C1138" s="1">
        <f>LOOKUP(B1138,Sheet2!$D$4:$E$9)</f>
        <v>2</v>
      </c>
      <c r="D1138" s="1">
        <v>101</v>
      </c>
      <c r="E1138" t="str">
        <f>LOOKUP(D1138,Sheet2!$G$4:$H$9)</f>
        <v>100-125</v>
      </c>
      <c r="F1138" s="1">
        <v>58</v>
      </c>
      <c r="G1138" t="str">
        <f>LOOKUP(F1138,Sheet2!$J$4:$K$8)</f>
        <v>1-59</v>
      </c>
      <c r="H1138" s="1">
        <v>17</v>
      </c>
      <c r="I1138" t="str">
        <f>LOOKUP(H1138,Sheet2!$M$4:$N$8)</f>
        <v>10-30</v>
      </c>
      <c r="J1138" s="1">
        <v>265</v>
      </c>
      <c r="K1138" t="str">
        <f>LOOKUP(J1138,Sheet2!$P$4:$Q$9)</f>
        <v>200-399</v>
      </c>
      <c r="L1138" s="1">
        <v>24.2</v>
      </c>
      <c r="M1138" t="str">
        <f>LOOKUP(L1138,Sheet2!$S$4:$T$8)</f>
        <v>1-25</v>
      </c>
      <c r="N1138" s="1">
        <v>0.61399999999999999</v>
      </c>
      <c r="O1138" t="str">
        <f>LOOKUP(N1138,Sheet2!$V$4:$W$7)</f>
        <v>0.4 - 0.69</v>
      </c>
      <c r="P1138" s="1">
        <v>23</v>
      </c>
      <c r="Q1138" t="str">
        <f>LOOKUP(P1138,Sheet2!$Z$4:$AA$7)</f>
        <v>&lt;=25</v>
      </c>
      <c r="R1138" s="1">
        <v>0</v>
      </c>
      <c r="S1138" t="str">
        <f>IF(R1138=1,"Positive","Negative")</f>
        <v>Negative</v>
      </c>
      <c r="T1138" s="1" t="str">
        <f>IFERROR(VLOOKUP(A1138,[1]diabetes_Recognition!$A:$B,2,FALSE),"Not Sampled")</f>
        <v>Not Sampled</v>
      </c>
      <c r="U1138" t="str">
        <f>IF(T1138=1,"Positive",(IF(T1138=0,"Negative","Not Sampled")))</f>
        <v>Not Sampled</v>
      </c>
      <c r="V1138" s="1" t="str">
        <f>IF(U1138="Not Sampled","Not Sampled",IF(S1138=U1138,"Accurate Prediction","Inaccurate Prediction"))</f>
        <v>Not Sampled</v>
      </c>
    </row>
    <row r="1139" spans="1:22" x14ac:dyDescent="0.25">
      <c r="A1139" s="1">
        <v>1137</v>
      </c>
      <c r="B1139" s="1">
        <v>2</v>
      </c>
      <c r="C1139" s="1">
        <f>LOOKUP(B1139,Sheet2!$D$4:$E$9)</f>
        <v>2</v>
      </c>
      <c r="D1139" s="1">
        <v>56</v>
      </c>
      <c r="E1139" t="str">
        <f>LOOKUP(D1139,Sheet2!$G$4:$H$9)</f>
        <v>1-99</v>
      </c>
      <c r="F1139" s="1">
        <v>56</v>
      </c>
      <c r="G1139" t="str">
        <f>LOOKUP(F1139,Sheet2!$J$4:$K$8)</f>
        <v>1-59</v>
      </c>
      <c r="H1139" s="1">
        <v>28</v>
      </c>
      <c r="I1139" t="str">
        <f>LOOKUP(H1139,Sheet2!$M$4:$N$8)</f>
        <v>10-30</v>
      </c>
      <c r="J1139" s="1">
        <v>45</v>
      </c>
      <c r="K1139" t="str">
        <f>LOOKUP(J1139,Sheet2!$P$4:$Q$9)</f>
        <v>1-99</v>
      </c>
      <c r="L1139" s="1">
        <v>24.2</v>
      </c>
      <c r="M1139" t="str">
        <f>LOOKUP(L1139,Sheet2!$S$4:$T$8)</f>
        <v>1-25</v>
      </c>
      <c r="N1139" s="1">
        <v>0.33200000000000002</v>
      </c>
      <c r="O1139" t="str">
        <f>LOOKUP(N1139,Sheet2!$V$4:$W$7)</f>
        <v>0.25 - 0.39</v>
      </c>
      <c r="P1139" s="1">
        <v>22</v>
      </c>
      <c r="Q1139" t="str">
        <f>LOOKUP(P1139,Sheet2!$Z$4:$AA$7)</f>
        <v>&lt;=25</v>
      </c>
      <c r="R1139" s="1">
        <v>0</v>
      </c>
      <c r="S1139" t="str">
        <f>IF(R1139=1,"Positive","Negative")</f>
        <v>Negative</v>
      </c>
      <c r="T1139" s="1" t="str">
        <f>IFERROR(VLOOKUP(A1139,[1]diabetes_Recognition!$A:$B,2,FALSE),"Not Sampled")</f>
        <v>Not Sampled</v>
      </c>
      <c r="U1139" t="str">
        <f>IF(T1139=1,"Positive",(IF(T1139=0,"Negative","Not Sampled")))</f>
        <v>Not Sampled</v>
      </c>
      <c r="V1139" s="1" t="str">
        <f>IF(U1139="Not Sampled","Not Sampled",IF(S1139=U1139,"Accurate Prediction","Inaccurate Prediction"))</f>
        <v>Not Sampled</v>
      </c>
    </row>
    <row r="1140" spans="1:22" x14ac:dyDescent="0.25">
      <c r="A1140" s="1">
        <v>1138</v>
      </c>
      <c r="B1140" s="1">
        <v>0</v>
      </c>
      <c r="C1140" s="1">
        <f>LOOKUP(B1140,Sheet2!$D$4:$E$9)</f>
        <v>0</v>
      </c>
      <c r="D1140" s="1">
        <v>162</v>
      </c>
      <c r="E1140" t="str">
        <f>LOOKUP(D1140,Sheet2!$G$4:$H$9)</f>
        <v>151-175</v>
      </c>
      <c r="F1140" s="1">
        <v>76</v>
      </c>
      <c r="G1140" t="str">
        <f>LOOKUP(F1140,Sheet2!$J$4:$K$8)</f>
        <v>70-79</v>
      </c>
      <c r="H1140" s="1">
        <v>36</v>
      </c>
      <c r="I1140" t="str">
        <f>LOOKUP(H1140,Sheet2!$M$4:$N$8)</f>
        <v>30-39</v>
      </c>
      <c r="J1140" s="1">
        <v>0</v>
      </c>
      <c r="K1140" t="str">
        <f>LOOKUP(J1140,Sheet2!$P$4:$Q$9)</f>
        <v>Unknown</v>
      </c>
      <c r="L1140" s="1">
        <v>49.6</v>
      </c>
      <c r="M1140" t="str">
        <f>LOOKUP(L1140,Sheet2!$S$4:$T$8)</f>
        <v>36+</v>
      </c>
      <c r="N1140" s="1">
        <v>0.36399999999999999</v>
      </c>
      <c r="O1140" t="str">
        <f>LOOKUP(N1140,Sheet2!$V$4:$W$7)</f>
        <v>0.25 - 0.39</v>
      </c>
      <c r="P1140" s="1">
        <v>26</v>
      </c>
      <c r="Q1140" t="str">
        <f>LOOKUP(P1140,Sheet2!$Z$4:$AA$7)</f>
        <v>26-35</v>
      </c>
      <c r="R1140" s="1">
        <v>1</v>
      </c>
      <c r="S1140" t="str">
        <f>IF(R1140=1,"Positive","Negative")</f>
        <v>Positive</v>
      </c>
      <c r="T1140" s="1">
        <f>IFERROR(VLOOKUP(A1140,[1]diabetes_Recognition!$A:$B,2,FALSE),"Not Sampled")</f>
        <v>1</v>
      </c>
      <c r="U1140" t="str">
        <f>IF(T1140=1,"Positive",(IF(T1140=0,"Negative","Not Sampled")))</f>
        <v>Positive</v>
      </c>
      <c r="V1140" s="1" t="str">
        <f>IF(U1140="Not Sampled","Not Sampled",IF(S1140=U1140,"Accurate Prediction","Inaccurate Prediction"))</f>
        <v>Accurate Prediction</v>
      </c>
    </row>
    <row r="1141" spans="1:22" x14ac:dyDescent="0.25">
      <c r="A1141" s="1">
        <v>1139</v>
      </c>
      <c r="B1141" s="1">
        <v>0</v>
      </c>
      <c r="C1141" s="1">
        <f>LOOKUP(B1141,Sheet2!$D$4:$E$9)</f>
        <v>0</v>
      </c>
      <c r="D1141" s="1">
        <v>95</v>
      </c>
      <c r="E1141" t="str">
        <f>LOOKUP(D1141,Sheet2!$G$4:$H$9)</f>
        <v>1-99</v>
      </c>
      <c r="F1141" s="1">
        <v>64</v>
      </c>
      <c r="G1141" t="str">
        <f>LOOKUP(F1141,Sheet2!$J$4:$K$8)</f>
        <v>60-69</v>
      </c>
      <c r="H1141" s="1">
        <v>39</v>
      </c>
      <c r="I1141" t="str">
        <f>LOOKUP(H1141,Sheet2!$M$4:$N$8)</f>
        <v>30-39</v>
      </c>
      <c r="J1141" s="1">
        <v>105</v>
      </c>
      <c r="K1141" t="str">
        <f>LOOKUP(J1141,Sheet2!$P$4:$Q$9)</f>
        <v>100-199</v>
      </c>
      <c r="L1141" s="1">
        <v>44.6</v>
      </c>
      <c r="M1141" t="str">
        <f>LOOKUP(L1141,Sheet2!$S$4:$T$8)</f>
        <v>36+</v>
      </c>
      <c r="N1141" s="1">
        <v>0.36599999999999999</v>
      </c>
      <c r="O1141" t="str">
        <f>LOOKUP(N1141,Sheet2!$V$4:$W$7)</f>
        <v>0.25 - 0.39</v>
      </c>
      <c r="P1141" s="1">
        <v>22</v>
      </c>
      <c r="Q1141" t="str">
        <f>LOOKUP(P1141,Sheet2!$Z$4:$AA$7)</f>
        <v>&lt;=25</v>
      </c>
      <c r="R1141" s="1">
        <v>0</v>
      </c>
      <c r="S1141" t="str">
        <f>IF(R1141=1,"Positive","Negative")</f>
        <v>Negative</v>
      </c>
      <c r="T1141" s="1" t="str">
        <f>IFERROR(VLOOKUP(A1141,[1]diabetes_Recognition!$A:$B,2,FALSE),"Not Sampled")</f>
        <v>Not Sampled</v>
      </c>
      <c r="U1141" t="str">
        <f>IF(T1141=1,"Positive",(IF(T1141=0,"Negative","Not Sampled")))</f>
        <v>Not Sampled</v>
      </c>
      <c r="V1141" s="1" t="str">
        <f>IF(U1141="Not Sampled","Not Sampled",IF(S1141=U1141,"Accurate Prediction","Inaccurate Prediction"))</f>
        <v>Not Sampled</v>
      </c>
    </row>
    <row r="1142" spans="1:22" x14ac:dyDescent="0.25">
      <c r="A1142" s="1">
        <v>1140</v>
      </c>
      <c r="B1142" s="1">
        <v>4</v>
      </c>
      <c r="C1142" s="1" t="str">
        <f>LOOKUP(B1142,Sheet2!$D$4:$E$9)</f>
        <v>3-4</v>
      </c>
      <c r="D1142" s="1">
        <v>125</v>
      </c>
      <c r="E1142" t="str">
        <f>LOOKUP(D1142,Sheet2!$G$4:$H$9)</f>
        <v>100-125</v>
      </c>
      <c r="F1142" s="1">
        <v>80</v>
      </c>
      <c r="G1142" t="str">
        <f>LOOKUP(F1142,Sheet2!$J$4:$K$8)</f>
        <v>80+</v>
      </c>
      <c r="H1142" s="1">
        <v>0</v>
      </c>
      <c r="I1142" t="str">
        <f>LOOKUP(H1142,Sheet2!$M$4:$N$8)</f>
        <v>Unknown</v>
      </c>
      <c r="J1142" s="1">
        <v>0</v>
      </c>
      <c r="K1142" t="str">
        <f>LOOKUP(J1142,Sheet2!$P$4:$Q$9)</f>
        <v>Unknown</v>
      </c>
      <c r="L1142" s="1">
        <v>32.299999999999997</v>
      </c>
      <c r="M1142" t="str">
        <f>LOOKUP(L1142,Sheet2!$S$4:$T$8)</f>
        <v>31-35</v>
      </c>
      <c r="N1142" s="1">
        <v>0.53600000000000003</v>
      </c>
      <c r="O1142" t="str">
        <f>LOOKUP(N1142,Sheet2!$V$4:$W$7)</f>
        <v>0.4 - 0.69</v>
      </c>
      <c r="P1142" s="1">
        <v>27</v>
      </c>
      <c r="Q1142" t="str">
        <f>LOOKUP(P1142,Sheet2!$Z$4:$AA$7)</f>
        <v>26-35</v>
      </c>
      <c r="R1142" s="1">
        <v>1</v>
      </c>
      <c r="S1142" t="str">
        <f>IF(R1142=1,"Positive","Negative")</f>
        <v>Positive</v>
      </c>
      <c r="T1142" s="1" t="str">
        <f>IFERROR(VLOOKUP(A1142,[1]diabetes_Recognition!$A:$B,2,FALSE),"Not Sampled")</f>
        <v>Not Sampled</v>
      </c>
      <c r="U1142" t="str">
        <f>IF(T1142=1,"Positive",(IF(T1142=0,"Negative","Not Sampled")))</f>
        <v>Not Sampled</v>
      </c>
      <c r="V1142" s="1" t="str">
        <f>IF(U1142="Not Sampled","Not Sampled",IF(S1142=U1142,"Accurate Prediction","Inaccurate Prediction"))</f>
        <v>Not Sampled</v>
      </c>
    </row>
    <row r="1143" spans="1:22" x14ac:dyDescent="0.25">
      <c r="A1143" s="1">
        <v>1141</v>
      </c>
      <c r="B1143" s="1">
        <v>5</v>
      </c>
      <c r="C1143" s="1" t="str">
        <f>LOOKUP(B1143,Sheet2!$D$4:$E$9)</f>
        <v>5-7</v>
      </c>
      <c r="D1143" s="1">
        <v>136</v>
      </c>
      <c r="E1143" t="str">
        <f>LOOKUP(D1143,Sheet2!$G$4:$H$9)</f>
        <v>126-150</v>
      </c>
      <c r="F1143" s="1">
        <v>82</v>
      </c>
      <c r="G1143" t="str">
        <f>LOOKUP(F1143,Sheet2!$J$4:$K$8)</f>
        <v>80+</v>
      </c>
      <c r="H1143" s="1">
        <v>0</v>
      </c>
      <c r="I1143" t="str">
        <f>LOOKUP(H1143,Sheet2!$M$4:$N$8)</f>
        <v>Unknown</v>
      </c>
      <c r="J1143" s="1">
        <v>0</v>
      </c>
      <c r="K1143" t="str">
        <f>LOOKUP(J1143,Sheet2!$P$4:$Q$9)</f>
        <v>Unknown</v>
      </c>
      <c r="L1143" s="1">
        <v>0</v>
      </c>
      <c r="M1143" t="str">
        <f>LOOKUP(L1143,Sheet2!$S$4:$T$8)</f>
        <v>Unknown</v>
      </c>
      <c r="N1143" s="1">
        <v>0.64</v>
      </c>
      <c r="O1143" t="str">
        <f>LOOKUP(N1143,Sheet2!$V$4:$W$7)</f>
        <v>0.4 - 0.69</v>
      </c>
      <c r="P1143" s="1">
        <v>69</v>
      </c>
      <c r="Q1143" t="str">
        <f>LOOKUP(P1143,Sheet2!$Z$4:$AA$7)</f>
        <v>46+</v>
      </c>
      <c r="R1143" s="1">
        <v>0</v>
      </c>
      <c r="S1143" t="str">
        <f>IF(R1143=1,"Positive","Negative")</f>
        <v>Negative</v>
      </c>
      <c r="T1143" s="1">
        <f>IFERROR(VLOOKUP(A1143,[1]diabetes_Recognition!$A:$B,2,FALSE),"Not Sampled")</f>
        <v>0</v>
      </c>
      <c r="U1143" t="str">
        <f>IF(T1143=1,"Positive",(IF(T1143=0,"Negative","Not Sampled")))</f>
        <v>Negative</v>
      </c>
      <c r="V1143" s="1" t="str">
        <f>IF(U1143="Not Sampled","Not Sampled",IF(S1143=U1143,"Accurate Prediction","Inaccurate Prediction"))</f>
        <v>Accurate Prediction</v>
      </c>
    </row>
    <row r="1144" spans="1:22" x14ac:dyDescent="0.25">
      <c r="A1144" s="1">
        <v>1142</v>
      </c>
      <c r="B1144" s="1">
        <v>2</v>
      </c>
      <c r="C1144" s="1">
        <f>LOOKUP(B1144,Sheet2!$D$4:$E$9)</f>
        <v>2</v>
      </c>
      <c r="D1144" s="1">
        <v>129</v>
      </c>
      <c r="E1144" t="str">
        <f>LOOKUP(D1144,Sheet2!$G$4:$H$9)</f>
        <v>126-150</v>
      </c>
      <c r="F1144" s="1">
        <v>74</v>
      </c>
      <c r="G1144" t="str">
        <f>LOOKUP(F1144,Sheet2!$J$4:$K$8)</f>
        <v>70-79</v>
      </c>
      <c r="H1144" s="1">
        <v>26</v>
      </c>
      <c r="I1144" t="str">
        <f>LOOKUP(H1144,Sheet2!$M$4:$N$8)</f>
        <v>10-30</v>
      </c>
      <c r="J1144" s="1">
        <v>205</v>
      </c>
      <c r="K1144" t="str">
        <f>LOOKUP(J1144,Sheet2!$P$4:$Q$9)</f>
        <v>200-399</v>
      </c>
      <c r="L1144" s="1">
        <v>33.200000000000003</v>
      </c>
      <c r="M1144" t="str">
        <f>LOOKUP(L1144,Sheet2!$S$4:$T$8)</f>
        <v>31-35</v>
      </c>
      <c r="N1144" s="1">
        <v>0.59099999999999997</v>
      </c>
      <c r="O1144" t="str">
        <f>LOOKUP(N1144,Sheet2!$V$4:$W$7)</f>
        <v>0.4 - 0.69</v>
      </c>
      <c r="P1144" s="1">
        <v>25</v>
      </c>
      <c r="Q1144" t="str">
        <f>LOOKUP(P1144,Sheet2!$Z$4:$AA$7)</f>
        <v>&lt;=25</v>
      </c>
      <c r="R1144" s="1">
        <v>0</v>
      </c>
      <c r="S1144" t="str">
        <f>IF(R1144=1,"Positive","Negative")</f>
        <v>Negative</v>
      </c>
      <c r="T1144" s="1" t="str">
        <f>IFERROR(VLOOKUP(A1144,[1]diabetes_Recognition!$A:$B,2,FALSE),"Not Sampled")</f>
        <v>Not Sampled</v>
      </c>
      <c r="U1144" t="str">
        <f>IF(T1144=1,"Positive",(IF(T1144=0,"Negative","Not Sampled")))</f>
        <v>Not Sampled</v>
      </c>
      <c r="V1144" s="1" t="str">
        <f>IF(U1144="Not Sampled","Not Sampled",IF(S1144=U1144,"Accurate Prediction","Inaccurate Prediction"))</f>
        <v>Not Sampled</v>
      </c>
    </row>
    <row r="1145" spans="1:22" x14ac:dyDescent="0.25">
      <c r="A1145" s="1">
        <v>1143</v>
      </c>
      <c r="B1145" s="1">
        <v>3</v>
      </c>
      <c r="C1145" s="1" t="str">
        <f>LOOKUP(B1145,Sheet2!$D$4:$E$9)</f>
        <v>3-4</v>
      </c>
      <c r="D1145" s="1">
        <v>130</v>
      </c>
      <c r="E1145" t="str">
        <f>LOOKUP(D1145,Sheet2!$G$4:$H$9)</f>
        <v>126-150</v>
      </c>
      <c r="F1145" s="1">
        <v>64</v>
      </c>
      <c r="G1145" t="str">
        <f>LOOKUP(F1145,Sheet2!$J$4:$K$8)</f>
        <v>60-69</v>
      </c>
      <c r="H1145" s="1">
        <v>0</v>
      </c>
      <c r="I1145" t="str">
        <f>LOOKUP(H1145,Sheet2!$M$4:$N$8)</f>
        <v>Unknown</v>
      </c>
      <c r="J1145" s="1">
        <v>0</v>
      </c>
      <c r="K1145" t="str">
        <f>LOOKUP(J1145,Sheet2!$P$4:$Q$9)</f>
        <v>Unknown</v>
      </c>
      <c r="L1145" s="1">
        <v>23.1</v>
      </c>
      <c r="M1145" t="str">
        <f>LOOKUP(L1145,Sheet2!$S$4:$T$8)</f>
        <v>1-25</v>
      </c>
      <c r="N1145" s="1">
        <v>0.314</v>
      </c>
      <c r="O1145" t="str">
        <f>LOOKUP(N1145,Sheet2!$V$4:$W$7)</f>
        <v>0.25 - 0.39</v>
      </c>
      <c r="P1145" s="1">
        <v>22</v>
      </c>
      <c r="Q1145" t="str">
        <f>LOOKUP(P1145,Sheet2!$Z$4:$AA$7)</f>
        <v>&lt;=25</v>
      </c>
      <c r="R1145" s="1">
        <v>0</v>
      </c>
      <c r="S1145" t="str">
        <f>IF(R1145=1,"Positive","Negative")</f>
        <v>Negative</v>
      </c>
      <c r="T1145" s="1" t="str">
        <f>IFERROR(VLOOKUP(A1145,[1]diabetes_Recognition!$A:$B,2,FALSE),"Not Sampled")</f>
        <v>Not Sampled</v>
      </c>
      <c r="U1145" t="str">
        <f>IF(T1145=1,"Positive",(IF(T1145=0,"Negative","Not Sampled")))</f>
        <v>Not Sampled</v>
      </c>
      <c r="V1145" s="1" t="str">
        <f>IF(U1145="Not Sampled","Not Sampled",IF(S1145=U1145,"Accurate Prediction","Inaccurate Prediction"))</f>
        <v>Not Sampled</v>
      </c>
    </row>
    <row r="1146" spans="1:22" x14ac:dyDescent="0.25">
      <c r="A1146" s="1">
        <v>1144</v>
      </c>
      <c r="B1146" s="1">
        <v>1</v>
      </c>
      <c r="C1146" s="1">
        <f>LOOKUP(B1146,Sheet2!$D$4:$E$9)</f>
        <v>1</v>
      </c>
      <c r="D1146" s="1">
        <v>107</v>
      </c>
      <c r="E1146" t="str">
        <f>LOOKUP(D1146,Sheet2!$G$4:$H$9)</f>
        <v>100-125</v>
      </c>
      <c r="F1146" s="1">
        <v>50</v>
      </c>
      <c r="G1146" t="str">
        <f>LOOKUP(F1146,Sheet2!$J$4:$K$8)</f>
        <v>1-59</v>
      </c>
      <c r="H1146" s="1">
        <v>19</v>
      </c>
      <c r="I1146" t="str">
        <f>LOOKUP(H1146,Sheet2!$M$4:$N$8)</f>
        <v>10-30</v>
      </c>
      <c r="J1146" s="1">
        <v>0</v>
      </c>
      <c r="K1146" t="str">
        <f>LOOKUP(J1146,Sheet2!$P$4:$Q$9)</f>
        <v>Unknown</v>
      </c>
      <c r="L1146" s="1">
        <v>28.3</v>
      </c>
      <c r="M1146" t="str">
        <f>LOOKUP(L1146,Sheet2!$S$4:$T$8)</f>
        <v>26-30</v>
      </c>
      <c r="N1146" s="1">
        <v>0.18099999999999999</v>
      </c>
      <c r="O1146" t="str">
        <f>LOOKUP(N1146,Sheet2!$V$4:$W$7)</f>
        <v>0.0 - 0.249</v>
      </c>
      <c r="P1146" s="1">
        <v>29</v>
      </c>
      <c r="Q1146" t="str">
        <f>LOOKUP(P1146,Sheet2!$Z$4:$AA$7)</f>
        <v>26-35</v>
      </c>
      <c r="R1146" s="1">
        <v>0</v>
      </c>
      <c r="S1146" t="str">
        <f>IF(R1146=1,"Positive","Negative")</f>
        <v>Negative</v>
      </c>
      <c r="T1146" s="1" t="str">
        <f>IFERROR(VLOOKUP(A1146,[1]diabetes_Recognition!$A:$B,2,FALSE),"Not Sampled")</f>
        <v>Not Sampled</v>
      </c>
      <c r="U1146" t="str">
        <f>IF(T1146=1,"Positive",(IF(T1146=0,"Negative","Not Sampled")))</f>
        <v>Not Sampled</v>
      </c>
      <c r="V1146" s="1" t="str">
        <f>IF(U1146="Not Sampled","Not Sampled",IF(S1146=U1146,"Accurate Prediction","Inaccurate Prediction"))</f>
        <v>Not Sampled</v>
      </c>
    </row>
    <row r="1147" spans="1:22" x14ac:dyDescent="0.25">
      <c r="A1147" s="1">
        <v>1145</v>
      </c>
      <c r="B1147" s="1">
        <v>1</v>
      </c>
      <c r="C1147" s="1">
        <f>LOOKUP(B1147,Sheet2!$D$4:$E$9)</f>
        <v>1</v>
      </c>
      <c r="D1147" s="1">
        <v>140</v>
      </c>
      <c r="E1147" t="str">
        <f>LOOKUP(D1147,Sheet2!$G$4:$H$9)</f>
        <v>126-150</v>
      </c>
      <c r="F1147" s="1">
        <v>74</v>
      </c>
      <c r="G1147" t="str">
        <f>LOOKUP(F1147,Sheet2!$J$4:$K$8)</f>
        <v>70-79</v>
      </c>
      <c r="H1147" s="1">
        <v>26</v>
      </c>
      <c r="I1147" t="str">
        <f>LOOKUP(H1147,Sheet2!$M$4:$N$8)</f>
        <v>10-30</v>
      </c>
      <c r="J1147" s="1">
        <v>180</v>
      </c>
      <c r="K1147" t="str">
        <f>LOOKUP(J1147,Sheet2!$P$4:$Q$9)</f>
        <v>100-199</v>
      </c>
      <c r="L1147" s="1">
        <v>24.1</v>
      </c>
      <c r="M1147" t="str">
        <f>LOOKUP(L1147,Sheet2!$S$4:$T$8)</f>
        <v>1-25</v>
      </c>
      <c r="N1147" s="1">
        <v>0.82799999999999996</v>
      </c>
      <c r="O1147" t="str">
        <f>LOOKUP(N1147,Sheet2!$V$4:$W$7)</f>
        <v>0.7+</v>
      </c>
      <c r="P1147" s="1">
        <v>23</v>
      </c>
      <c r="Q1147" t="str">
        <f>LOOKUP(P1147,Sheet2!$Z$4:$AA$7)</f>
        <v>&lt;=25</v>
      </c>
      <c r="R1147" s="1">
        <v>0</v>
      </c>
      <c r="S1147" t="str">
        <f>IF(R1147=1,"Positive","Negative")</f>
        <v>Negative</v>
      </c>
      <c r="T1147" s="1" t="str">
        <f>IFERROR(VLOOKUP(A1147,[1]diabetes_Recognition!$A:$B,2,FALSE),"Not Sampled")</f>
        <v>Not Sampled</v>
      </c>
      <c r="U1147" t="str">
        <f>IF(T1147=1,"Positive",(IF(T1147=0,"Negative","Not Sampled")))</f>
        <v>Not Sampled</v>
      </c>
      <c r="V1147" s="1" t="str">
        <f>IF(U1147="Not Sampled","Not Sampled",IF(S1147=U1147,"Accurate Prediction","Inaccurate Prediction"))</f>
        <v>Not Sampled</v>
      </c>
    </row>
    <row r="1148" spans="1:22" x14ac:dyDescent="0.25">
      <c r="A1148" s="1">
        <v>1146</v>
      </c>
      <c r="B1148" s="1">
        <v>1</v>
      </c>
      <c r="C1148" s="1">
        <f>LOOKUP(B1148,Sheet2!$D$4:$E$9)</f>
        <v>1</v>
      </c>
      <c r="D1148" s="1">
        <v>144</v>
      </c>
      <c r="E1148" t="str">
        <f>LOOKUP(D1148,Sheet2!$G$4:$H$9)</f>
        <v>126-150</v>
      </c>
      <c r="F1148" s="1">
        <v>82</v>
      </c>
      <c r="G1148" t="str">
        <f>LOOKUP(F1148,Sheet2!$J$4:$K$8)</f>
        <v>80+</v>
      </c>
      <c r="H1148" s="1">
        <v>46</v>
      </c>
      <c r="I1148" t="str">
        <f>LOOKUP(H1148,Sheet2!$M$4:$N$8)</f>
        <v>40+</v>
      </c>
      <c r="J1148" s="1">
        <v>180</v>
      </c>
      <c r="K1148" t="str">
        <f>LOOKUP(J1148,Sheet2!$P$4:$Q$9)</f>
        <v>100-199</v>
      </c>
      <c r="L1148" s="1">
        <v>46.1</v>
      </c>
      <c r="M1148" t="str">
        <f>LOOKUP(L1148,Sheet2!$S$4:$T$8)</f>
        <v>36+</v>
      </c>
      <c r="N1148" s="1">
        <v>0.33500000000000002</v>
      </c>
      <c r="O1148" t="str">
        <f>LOOKUP(N1148,Sheet2!$V$4:$W$7)</f>
        <v>0.25 - 0.39</v>
      </c>
      <c r="P1148" s="1">
        <v>46</v>
      </c>
      <c r="Q1148" t="str">
        <f>LOOKUP(P1148,Sheet2!$Z$4:$AA$7)</f>
        <v>46+</v>
      </c>
      <c r="R1148" s="1">
        <v>1</v>
      </c>
      <c r="S1148" t="str">
        <f>IF(R1148=1,"Positive","Negative")</f>
        <v>Positive</v>
      </c>
      <c r="T1148" s="1">
        <f>IFERROR(VLOOKUP(A1148,[1]diabetes_Recognition!$A:$B,2,FALSE),"Not Sampled")</f>
        <v>1</v>
      </c>
      <c r="U1148" t="str">
        <f>IF(T1148=1,"Positive",(IF(T1148=0,"Negative","Not Sampled")))</f>
        <v>Positive</v>
      </c>
      <c r="V1148" s="1" t="str">
        <f>IF(U1148="Not Sampled","Not Sampled",IF(S1148=U1148,"Accurate Prediction","Inaccurate Prediction"))</f>
        <v>Accurate Prediction</v>
      </c>
    </row>
    <row r="1149" spans="1:22" x14ac:dyDescent="0.25">
      <c r="A1149" s="1">
        <v>1147</v>
      </c>
      <c r="B1149" s="1">
        <v>8</v>
      </c>
      <c r="C1149" s="1" t="str">
        <f>LOOKUP(B1149,Sheet2!$D$4:$E$9)</f>
        <v>8+</v>
      </c>
      <c r="D1149" s="1">
        <v>107</v>
      </c>
      <c r="E1149" t="str">
        <f>LOOKUP(D1149,Sheet2!$G$4:$H$9)</f>
        <v>100-125</v>
      </c>
      <c r="F1149" s="1">
        <v>80</v>
      </c>
      <c r="G1149" t="str">
        <f>LOOKUP(F1149,Sheet2!$J$4:$K$8)</f>
        <v>80+</v>
      </c>
      <c r="H1149" s="1">
        <v>0</v>
      </c>
      <c r="I1149" t="str">
        <f>LOOKUP(H1149,Sheet2!$M$4:$N$8)</f>
        <v>Unknown</v>
      </c>
      <c r="J1149" s="1">
        <v>0</v>
      </c>
      <c r="K1149" t="str">
        <f>LOOKUP(J1149,Sheet2!$P$4:$Q$9)</f>
        <v>Unknown</v>
      </c>
      <c r="L1149" s="1">
        <v>24.6</v>
      </c>
      <c r="M1149" t="str">
        <f>LOOKUP(L1149,Sheet2!$S$4:$T$8)</f>
        <v>1-25</v>
      </c>
      <c r="N1149" s="1">
        <v>0.85599999999999998</v>
      </c>
      <c r="O1149" t="str">
        <f>LOOKUP(N1149,Sheet2!$V$4:$W$7)</f>
        <v>0.7+</v>
      </c>
      <c r="P1149" s="1">
        <v>34</v>
      </c>
      <c r="Q1149" t="str">
        <f>LOOKUP(P1149,Sheet2!$Z$4:$AA$7)</f>
        <v>26-35</v>
      </c>
      <c r="R1149" s="1">
        <v>0</v>
      </c>
      <c r="S1149" t="str">
        <f>IF(R1149=1,"Positive","Negative")</f>
        <v>Negative</v>
      </c>
      <c r="T1149" s="1" t="str">
        <f>IFERROR(VLOOKUP(A1149,[1]diabetes_Recognition!$A:$B,2,FALSE),"Not Sampled")</f>
        <v>Not Sampled</v>
      </c>
      <c r="U1149" t="str">
        <f>IF(T1149=1,"Positive",(IF(T1149=0,"Negative","Not Sampled")))</f>
        <v>Not Sampled</v>
      </c>
      <c r="V1149" s="1" t="str">
        <f>IF(U1149="Not Sampled","Not Sampled",IF(S1149=U1149,"Accurate Prediction","Inaccurate Prediction"))</f>
        <v>Not Sampled</v>
      </c>
    </row>
    <row r="1150" spans="1:22" x14ac:dyDescent="0.25">
      <c r="A1150" s="1">
        <v>1148</v>
      </c>
      <c r="B1150" s="1">
        <v>13</v>
      </c>
      <c r="C1150" s="1" t="str">
        <f>LOOKUP(B1150,Sheet2!$D$4:$E$9)</f>
        <v>8+</v>
      </c>
      <c r="D1150" s="1">
        <v>158</v>
      </c>
      <c r="E1150" t="str">
        <f>LOOKUP(D1150,Sheet2!$G$4:$H$9)</f>
        <v>151-175</v>
      </c>
      <c r="F1150" s="1">
        <v>114</v>
      </c>
      <c r="G1150" t="str">
        <f>LOOKUP(F1150,Sheet2!$J$4:$K$8)</f>
        <v>80+</v>
      </c>
      <c r="H1150" s="1">
        <v>0</v>
      </c>
      <c r="I1150" t="str">
        <f>LOOKUP(H1150,Sheet2!$M$4:$N$8)</f>
        <v>Unknown</v>
      </c>
      <c r="J1150" s="1">
        <v>0</v>
      </c>
      <c r="K1150" t="str">
        <f>LOOKUP(J1150,Sheet2!$P$4:$Q$9)</f>
        <v>Unknown</v>
      </c>
      <c r="L1150" s="1">
        <v>42.3</v>
      </c>
      <c r="M1150" t="str">
        <f>LOOKUP(L1150,Sheet2!$S$4:$T$8)</f>
        <v>36+</v>
      </c>
      <c r="N1150" s="1">
        <v>0.25700000000000001</v>
      </c>
      <c r="O1150" t="str">
        <f>LOOKUP(N1150,Sheet2!$V$4:$W$7)</f>
        <v>0.25 - 0.39</v>
      </c>
      <c r="P1150" s="1">
        <v>44</v>
      </c>
      <c r="Q1150" t="str">
        <f>LOOKUP(P1150,Sheet2!$Z$4:$AA$7)</f>
        <v>36-45</v>
      </c>
      <c r="R1150" s="1">
        <v>1</v>
      </c>
      <c r="S1150" t="str">
        <f>IF(R1150=1,"Positive","Negative")</f>
        <v>Positive</v>
      </c>
      <c r="T1150" s="1" t="str">
        <f>IFERROR(VLOOKUP(A1150,[1]diabetes_Recognition!$A:$B,2,FALSE),"Not Sampled")</f>
        <v>Not Sampled</v>
      </c>
      <c r="U1150" t="str">
        <f>IF(T1150=1,"Positive",(IF(T1150=0,"Negative","Not Sampled")))</f>
        <v>Not Sampled</v>
      </c>
      <c r="V1150" s="1" t="str">
        <f>IF(U1150="Not Sampled","Not Sampled",IF(S1150=U1150,"Accurate Prediction","Inaccurate Prediction"))</f>
        <v>Not Sampled</v>
      </c>
    </row>
    <row r="1151" spans="1:22" x14ac:dyDescent="0.25">
      <c r="A1151" s="1">
        <v>1149</v>
      </c>
      <c r="B1151" s="1">
        <v>2</v>
      </c>
      <c r="C1151" s="1">
        <f>LOOKUP(B1151,Sheet2!$D$4:$E$9)</f>
        <v>2</v>
      </c>
      <c r="D1151" s="1">
        <v>121</v>
      </c>
      <c r="E1151" t="str">
        <f>LOOKUP(D1151,Sheet2!$G$4:$H$9)</f>
        <v>100-125</v>
      </c>
      <c r="F1151" s="1">
        <v>70</v>
      </c>
      <c r="G1151" t="str">
        <f>LOOKUP(F1151,Sheet2!$J$4:$K$8)</f>
        <v>70-79</v>
      </c>
      <c r="H1151" s="1">
        <v>32</v>
      </c>
      <c r="I1151" t="str">
        <f>LOOKUP(H1151,Sheet2!$M$4:$N$8)</f>
        <v>30-39</v>
      </c>
      <c r="J1151" s="1">
        <v>95</v>
      </c>
      <c r="K1151" t="str">
        <f>LOOKUP(J1151,Sheet2!$P$4:$Q$9)</f>
        <v>1-99</v>
      </c>
      <c r="L1151" s="1">
        <v>39.1</v>
      </c>
      <c r="M1151" t="str">
        <f>LOOKUP(L1151,Sheet2!$S$4:$T$8)</f>
        <v>36+</v>
      </c>
      <c r="N1151" s="1">
        <v>0.88600000000000001</v>
      </c>
      <c r="O1151" t="str">
        <f>LOOKUP(N1151,Sheet2!$V$4:$W$7)</f>
        <v>0.7+</v>
      </c>
      <c r="P1151" s="1">
        <v>23</v>
      </c>
      <c r="Q1151" t="str">
        <f>LOOKUP(P1151,Sheet2!$Z$4:$AA$7)</f>
        <v>&lt;=25</v>
      </c>
      <c r="R1151" s="1">
        <v>0</v>
      </c>
      <c r="S1151" t="str">
        <f>IF(R1151=1,"Positive","Negative")</f>
        <v>Negative</v>
      </c>
      <c r="T1151" s="1">
        <f>IFERROR(VLOOKUP(A1151,[1]diabetes_Recognition!$A:$B,2,FALSE),"Not Sampled")</f>
        <v>0</v>
      </c>
      <c r="U1151" t="str">
        <f>IF(T1151=1,"Positive",(IF(T1151=0,"Negative","Not Sampled")))</f>
        <v>Negative</v>
      </c>
      <c r="V1151" s="1" t="str">
        <f>IF(U1151="Not Sampled","Not Sampled",IF(S1151=U1151,"Accurate Prediction","Inaccurate Prediction"))</f>
        <v>Accurate Prediction</v>
      </c>
    </row>
    <row r="1152" spans="1:22" x14ac:dyDescent="0.25">
      <c r="A1152" s="1">
        <v>1150</v>
      </c>
      <c r="B1152" s="1">
        <v>7</v>
      </c>
      <c r="C1152" s="1" t="str">
        <f>LOOKUP(B1152,Sheet2!$D$4:$E$9)</f>
        <v>5-7</v>
      </c>
      <c r="D1152" s="1">
        <v>129</v>
      </c>
      <c r="E1152" t="str">
        <f>LOOKUP(D1152,Sheet2!$G$4:$H$9)</f>
        <v>126-150</v>
      </c>
      <c r="F1152" s="1">
        <v>68</v>
      </c>
      <c r="G1152" t="str">
        <f>LOOKUP(F1152,Sheet2!$J$4:$K$8)</f>
        <v>60-69</v>
      </c>
      <c r="H1152" s="1">
        <v>49</v>
      </c>
      <c r="I1152" t="str">
        <f>LOOKUP(H1152,Sheet2!$M$4:$N$8)</f>
        <v>40+</v>
      </c>
      <c r="J1152" s="1">
        <v>125</v>
      </c>
      <c r="K1152" t="str">
        <f>LOOKUP(J1152,Sheet2!$P$4:$Q$9)</f>
        <v>100-199</v>
      </c>
      <c r="L1152" s="1">
        <v>38.5</v>
      </c>
      <c r="M1152" t="str">
        <f>LOOKUP(L1152,Sheet2!$S$4:$T$8)</f>
        <v>36+</v>
      </c>
      <c r="N1152" s="1">
        <v>0.439</v>
      </c>
      <c r="O1152" t="str">
        <f>LOOKUP(N1152,Sheet2!$V$4:$W$7)</f>
        <v>0.4 - 0.69</v>
      </c>
      <c r="P1152" s="1">
        <v>43</v>
      </c>
      <c r="Q1152" t="str">
        <f>LOOKUP(P1152,Sheet2!$Z$4:$AA$7)</f>
        <v>36-45</v>
      </c>
      <c r="R1152" s="1">
        <v>1</v>
      </c>
      <c r="S1152" t="str">
        <f>IF(R1152=1,"Positive","Negative")</f>
        <v>Positive</v>
      </c>
      <c r="T1152" s="1" t="str">
        <f>IFERROR(VLOOKUP(A1152,[1]diabetes_Recognition!$A:$B,2,FALSE),"Not Sampled")</f>
        <v>Not Sampled</v>
      </c>
      <c r="U1152" t="str">
        <f>IF(T1152=1,"Positive",(IF(T1152=0,"Negative","Not Sampled")))</f>
        <v>Not Sampled</v>
      </c>
      <c r="V1152" s="1" t="str">
        <f>IF(U1152="Not Sampled","Not Sampled",IF(S1152=U1152,"Accurate Prediction","Inaccurate Prediction"))</f>
        <v>Not Sampled</v>
      </c>
    </row>
    <row r="1153" spans="1:22" x14ac:dyDescent="0.25">
      <c r="A1153" s="1">
        <v>1151</v>
      </c>
      <c r="B1153" s="1">
        <v>2</v>
      </c>
      <c r="C1153" s="1">
        <f>LOOKUP(B1153,Sheet2!$D$4:$E$9)</f>
        <v>2</v>
      </c>
      <c r="D1153" s="1">
        <v>90</v>
      </c>
      <c r="E1153" t="str">
        <f>LOOKUP(D1153,Sheet2!$G$4:$H$9)</f>
        <v>1-99</v>
      </c>
      <c r="F1153" s="1">
        <v>60</v>
      </c>
      <c r="G1153" t="str">
        <f>LOOKUP(F1153,Sheet2!$J$4:$K$8)</f>
        <v>60-69</v>
      </c>
      <c r="H1153" s="1">
        <v>0</v>
      </c>
      <c r="I1153" t="str">
        <f>LOOKUP(H1153,Sheet2!$M$4:$N$8)</f>
        <v>Unknown</v>
      </c>
      <c r="J1153" s="1">
        <v>0</v>
      </c>
      <c r="K1153" t="str">
        <f>LOOKUP(J1153,Sheet2!$P$4:$Q$9)</f>
        <v>Unknown</v>
      </c>
      <c r="L1153" s="1">
        <v>23.5</v>
      </c>
      <c r="M1153" t="str">
        <f>LOOKUP(L1153,Sheet2!$S$4:$T$8)</f>
        <v>1-25</v>
      </c>
      <c r="N1153" s="1">
        <v>0.191</v>
      </c>
      <c r="O1153" t="str">
        <f>LOOKUP(N1153,Sheet2!$V$4:$W$7)</f>
        <v>0.0 - 0.249</v>
      </c>
      <c r="P1153" s="1">
        <v>25</v>
      </c>
      <c r="Q1153" t="str">
        <f>LOOKUP(P1153,Sheet2!$Z$4:$AA$7)</f>
        <v>&lt;=25</v>
      </c>
      <c r="R1153" s="1">
        <v>0</v>
      </c>
      <c r="S1153" t="str">
        <f>IF(R1153=1,"Positive","Negative")</f>
        <v>Negative</v>
      </c>
      <c r="T1153" s="1" t="str">
        <f>IFERROR(VLOOKUP(A1153,[1]diabetes_Recognition!$A:$B,2,FALSE),"Not Sampled")</f>
        <v>Not Sampled</v>
      </c>
      <c r="U1153" t="str">
        <f>IF(T1153=1,"Positive",(IF(T1153=0,"Negative","Not Sampled")))</f>
        <v>Not Sampled</v>
      </c>
      <c r="V1153" s="1" t="str">
        <f>IF(U1153="Not Sampled","Not Sampled",IF(S1153=U1153,"Accurate Prediction","Inaccurate Prediction"))</f>
        <v>Not Sampled</v>
      </c>
    </row>
    <row r="1154" spans="1:22" x14ac:dyDescent="0.25">
      <c r="A1154" s="1">
        <v>1152</v>
      </c>
      <c r="B1154" s="1">
        <v>7</v>
      </c>
      <c r="C1154" s="1" t="str">
        <f>LOOKUP(B1154,Sheet2!$D$4:$E$9)</f>
        <v>5-7</v>
      </c>
      <c r="D1154" s="1">
        <v>142</v>
      </c>
      <c r="E1154" t="str">
        <f>LOOKUP(D1154,Sheet2!$G$4:$H$9)</f>
        <v>126-150</v>
      </c>
      <c r="F1154" s="1">
        <v>90</v>
      </c>
      <c r="G1154" t="str">
        <f>LOOKUP(F1154,Sheet2!$J$4:$K$8)</f>
        <v>80+</v>
      </c>
      <c r="H1154" s="1">
        <v>24</v>
      </c>
      <c r="I1154" t="str">
        <f>LOOKUP(H1154,Sheet2!$M$4:$N$8)</f>
        <v>10-30</v>
      </c>
      <c r="J1154" s="1">
        <v>480</v>
      </c>
      <c r="K1154" t="str">
        <f>LOOKUP(J1154,Sheet2!$P$4:$Q$9)</f>
        <v>300-499</v>
      </c>
      <c r="L1154" s="1">
        <v>30.4</v>
      </c>
      <c r="M1154" t="str">
        <f>LOOKUP(L1154,Sheet2!$S$4:$T$8)</f>
        <v>26-30</v>
      </c>
      <c r="N1154" s="1">
        <v>0.128</v>
      </c>
      <c r="O1154" t="str">
        <f>LOOKUP(N1154,Sheet2!$V$4:$W$7)</f>
        <v>0.0 - 0.249</v>
      </c>
      <c r="P1154" s="1">
        <v>43</v>
      </c>
      <c r="Q1154" t="str">
        <f>LOOKUP(P1154,Sheet2!$Z$4:$AA$7)</f>
        <v>36-45</v>
      </c>
      <c r="R1154" s="1">
        <v>1</v>
      </c>
      <c r="S1154" t="str">
        <f>IF(R1154=1,"Positive","Negative")</f>
        <v>Positive</v>
      </c>
      <c r="T1154" s="1" t="str">
        <f>IFERROR(VLOOKUP(A1154,[1]diabetes_Recognition!$A:$B,2,FALSE),"Not Sampled")</f>
        <v>Not Sampled</v>
      </c>
      <c r="U1154" t="str">
        <f>IF(T1154=1,"Positive",(IF(T1154=0,"Negative","Not Sampled")))</f>
        <v>Not Sampled</v>
      </c>
      <c r="V1154" s="1" t="str">
        <f>IF(U1154="Not Sampled","Not Sampled",IF(S1154=U1154,"Accurate Prediction","Inaccurate Prediction"))</f>
        <v>Not Sampled</v>
      </c>
    </row>
    <row r="1155" spans="1:22" x14ac:dyDescent="0.25">
      <c r="A1155" s="1">
        <v>1153</v>
      </c>
      <c r="B1155" s="1">
        <v>3</v>
      </c>
      <c r="C1155" s="1" t="str">
        <f>LOOKUP(B1155,Sheet2!$D$4:$E$9)</f>
        <v>3-4</v>
      </c>
      <c r="D1155" s="1">
        <v>169</v>
      </c>
      <c r="E1155" t="str">
        <f>LOOKUP(D1155,Sheet2!$G$4:$H$9)</f>
        <v>151-175</v>
      </c>
      <c r="F1155" s="1">
        <v>74</v>
      </c>
      <c r="G1155" t="str">
        <f>LOOKUP(F1155,Sheet2!$J$4:$K$8)</f>
        <v>70-79</v>
      </c>
      <c r="H1155" s="1">
        <v>19</v>
      </c>
      <c r="I1155" t="str">
        <f>LOOKUP(H1155,Sheet2!$M$4:$N$8)</f>
        <v>10-30</v>
      </c>
      <c r="J1155" s="1">
        <v>125</v>
      </c>
      <c r="K1155" t="str">
        <f>LOOKUP(J1155,Sheet2!$P$4:$Q$9)</f>
        <v>100-199</v>
      </c>
      <c r="L1155" s="1">
        <v>29.9</v>
      </c>
      <c r="M1155" t="str">
        <f>LOOKUP(L1155,Sheet2!$S$4:$T$8)</f>
        <v>26-30</v>
      </c>
      <c r="N1155" s="1">
        <v>0.26800000000000002</v>
      </c>
      <c r="O1155" t="str">
        <f>LOOKUP(N1155,Sheet2!$V$4:$W$7)</f>
        <v>0.25 - 0.39</v>
      </c>
      <c r="P1155" s="1">
        <v>31</v>
      </c>
      <c r="Q1155" t="str">
        <f>LOOKUP(P1155,Sheet2!$Z$4:$AA$7)</f>
        <v>26-35</v>
      </c>
      <c r="R1155" s="1">
        <v>1</v>
      </c>
      <c r="S1155" t="str">
        <f>IF(R1155=1,"Positive","Negative")</f>
        <v>Positive</v>
      </c>
      <c r="T1155" s="1">
        <f>IFERROR(VLOOKUP(A1155,[1]diabetes_Recognition!$A:$B,2,FALSE),"Not Sampled")</f>
        <v>1</v>
      </c>
      <c r="U1155" t="str">
        <f>IF(T1155=1,"Positive",(IF(T1155=0,"Negative","Not Sampled")))</f>
        <v>Positive</v>
      </c>
      <c r="V1155" s="1" t="str">
        <f>IF(U1155="Not Sampled","Not Sampled",IF(S1155=U1155,"Accurate Prediction","Inaccurate Prediction"))</f>
        <v>Accurate Prediction</v>
      </c>
    </row>
    <row r="1156" spans="1:22" x14ac:dyDescent="0.25">
      <c r="A1156" s="1">
        <v>1154</v>
      </c>
      <c r="B1156" s="1">
        <v>0</v>
      </c>
      <c r="C1156" s="1">
        <f>LOOKUP(B1156,Sheet2!$D$4:$E$9)</f>
        <v>0</v>
      </c>
      <c r="D1156" s="1">
        <v>99</v>
      </c>
      <c r="E1156" t="str">
        <f>LOOKUP(D1156,Sheet2!$G$4:$H$9)</f>
        <v>1-99</v>
      </c>
      <c r="F1156" s="1">
        <v>0</v>
      </c>
      <c r="G1156" t="str">
        <f>LOOKUP(F1156,Sheet2!$J$4:$K$8)</f>
        <v>Unknown</v>
      </c>
      <c r="H1156" s="1">
        <v>0</v>
      </c>
      <c r="I1156" t="str">
        <f>LOOKUP(H1156,Sheet2!$M$4:$N$8)</f>
        <v>Unknown</v>
      </c>
      <c r="J1156" s="1">
        <v>0</v>
      </c>
      <c r="K1156" t="str">
        <f>LOOKUP(J1156,Sheet2!$P$4:$Q$9)</f>
        <v>Unknown</v>
      </c>
      <c r="L1156" s="1">
        <v>25</v>
      </c>
      <c r="M1156" t="str">
        <f>LOOKUP(L1156,Sheet2!$S$4:$T$8)</f>
        <v>1-25</v>
      </c>
      <c r="N1156" s="1">
        <v>0.253</v>
      </c>
      <c r="O1156" t="str">
        <f>LOOKUP(N1156,Sheet2!$V$4:$W$7)</f>
        <v>0.25 - 0.39</v>
      </c>
      <c r="P1156" s="1">
        <v>22</v>
      </c>
      <c r="Q1156" t="str">
        <f>LOOKUP(P1156,Sheet2!$Z$4:$AA$7)</f>
        <v>&lt;=25</v>
      </c>
      <c r="R1156" s="1">
        <v>0</v>
      </c>
      <c r="S1156" t="str">
        <f>IF(R1156=1,"Positive","Negative")</f>
        <v>Negative</v>
      </c>
      <c r="T1156" s="1" t="str">
        <f>IFERROR(VLOOKUP(A1156,[1]diabetes_Recognition!$A:$B,2,FALSE),"Not Sampled")</f>
        <v>Not Sampled</v>
      </c>
      <c r="U1156" t="str">
        <f>IF(T1156=1,"Positive",(IF(T1156=0,"Negative","Not Sampled")))</f>
        <v>Not Sampled</v>
      </c>
      <c r="V1156" s="1" t="str">
        <f>IF(U1156="Not Sampled","Not Sampled",IF(S1156=U1156,"Accurate Prediction","Inaccurate Prediction"))</f>
        <v>Not Sampled</v>
      </c>
    </row>
    <row r="1157" spans="1:22" x14ac:dyDescent="0.25">
      <c r="A1157" s="1">
        <v>1155</v>
      </c>
      <c r="B1157" s="1">
        <v>4</v>
      </c>
      <c r="C1157" s="1" t="str">
        <f>LOOKUP(B1157,Sheet2!$D$4:$E$9)</f>
        <v>3-4</v>
      </c>
      <c r="D1157" s="1">
        <v>127</v>
      </c>
      <c r="E1157" t="str">
        <f>LOOKUP(D1157,Sheet2!$G$4:$H$9)</f>
        <v>126-150</v>
      </c>
      <c r="F1157" s="1">
        <v>88</v>
      </c>
      <c r="G1157" t="str">
        <f>LOOKUP(F1157,Sheet2!$J$4:$K$8)</f>
        <v>80+</v>
      </c>
      <c r="H1157" s="1">
        <v>11</v>
      </c>
      <c r="I1157" t="str">
        <f>LOOKUP(H1157,Sheet2!$M$4:$N$8)</f>
        <v>10-30</v>
      </c>
      <c r="J1157" s="1">
        <v>155</v>
      </c>
      <c r="K1157" t="str">
        <f>LOOKUP(J1157,Sheet2!$P$4:$Q$9)</f>
        <v>100-199</v>
      </c>
      <c r="L1157" s="1">
        <v>34.5</v>
      </c>
      <c r="M1157" t="str">
        <f>LOOKUP(L1157,Sheet2!$S$4:$T$8)</f>
        <v>31-35</v>
      </c>
      <c r="N1157" s="1">
        <v>0.59799999999999998</v>
      </c>
      <c r="O1157" t="str">
        <f>LOOKUP(N1157,Sheet2!$V$4:$W$7)</f>
        <v>0.4 - 0.69</v>
      </c>
      <c r="P1157" s="1">
        <v>28</v>
      </c>
      <c r="Q1157" t="str">
        <f>LOOKUP(P1157,Sheet2!$Z$4:$AA$7)</f>
        <v>26-35</v>
      </c>
      <c r="R1157" s="1">
        <v>0</v>
      </c>
      <c r="S1157" t="str">
        <f>IF(R1157=1,"Positive","Negative")</f>
        <v>Negative</v>
      </c>
      <c r="T1157" s="1" t="str">
        <f>IFERROR(VLOOKUP(A1157,[1]diabetes_Recognition!$A:$B,2,FALSE),"Not Sampled")</f>
        <v>Not Sampled</v>
      </c>
      <c r="U1157" t="str">
        <f>IF(T1157=1,"Positive",(IF(T1157=0,"Negative","Not Sampled")))</f>
        <v>Not Sampled</v>
      </c>
      <c r="V1157" s="1" t="str">
        <f>IF(U1157="Not Sampled","Not Sampled",IF(S1157=U1157,"Accurate Prediction","Inaccurate Prediction"))</f>
        <v>Not Sampled</v>
      </c>
    </row>
    <row r="1158" spans="1:22" x14ac:dyDescent="0.25">
      <c r="A1158" s="1">
        <v>1156</v>
      </c>
      <c r="B1158" s="1">
        <v>4</v>
      </c>
      <c r="C1158" s="1" t="str">
        <f>LOOKUP(B1158,Sheet2!$D$4:$E$9)</f>
        <v>3-4</v>
      </c>
      <c r="D1158" s="1">
        <v>118</v>
      </c>
      <c r="E1158" t="str">
        <f>LOOKUP(D1158,Sheet2!$G$4:$H$9)</f>
        <v>100-125</v>
      </c>
      <c r="F1158" s="1">
        <v>70</v>
      </c>
      <c r="G1158" t="str">
        <f>LOOKUP(F1158,Sheet2!$J$4:$K$8)</f>
        <v>70-79</v>
      </c>
      <c r="H1158" s="1">
        <v>0</v>
      </c>
      <c r="I1158" t="str">
        <f>LOOKUP(H1158,Sheet2!$M$4:$N$8)</f>
        <v>Unknown</v>
      </c>
      <c r="J1158" s="1">
        <v>0</v>
      </c>
      <c r="K1158" t="str">
        <f>LOOKUP(J1158,Sheet2!$P$4:$Q$9)</f>
        <v>Unknown</v>
      </c>
      <c r="L1158" s="1">
        <v>44.5</v>
      </c>
      <c r="M1158" t="str">
        <f>LOOKUP(L1158,Sheet2!$S$4:$T$8)</f>
        <v>36+</v>
      </c>
      <c r="N1158" s="1">
        <v>0.90400000000000003</v>
      </c>
      <c r="O1158" t="str">
        <f>LOOKUP(N1158,Sheet2!$V$4:$W$7)</f>
        <v>0.7+</v>
      </c>
      <c r="P1158" s="1">
        <v>26</v>
      </c>
      <c r="Q1158" t="str">
        <f>LOOKUP(P1158,Sheet2!$Z$4:$AA$7)</f>
        <v>26-35</v>
      </c>
      <c r="R1158" s="1">
        <v>0</v>
      </c>
      <c r="S1158" t="str">
        <f>IF(R1158=1,"Positive","Negative")</f>
        <v>Negative</v>
      </c>
      <c r="T1158" s="1" t="str">
        <f>IFERROR(VLOOKUP(A1158,[1]diabetes_Recognition!$A:$B,2,FALSE),"Not Sampled")</f>
        <v>Not Sampled</v>
      </c>
      <c r="U1158" t="str">
        <f>IF(T1158=1,"Positive",(IF(T1158=0,"Negative","Not Sampled")))</f>
        <v>Not Sampled</v>
      </c>
      <c r="V1158" s="1" t="str">
        <f>IF(U1158="Not Sampled","Not Sampled",IF(S1158=U1158,"Accurate Prediction","Inaccurate Prediction"))</f>
        <v>Not Sampled</v>
      </c>
    </row>
    <row r="1159" spans="1:22" x14ac:dyDescent="0.25">
      <c r="A1159" s="1">
        <v>1157</v>
      </c>
      <c r="B1159" s="1">
        <v>2</v>
      </c>
      <c r="C1159" s="1">
        <f>LOOKUP(B1159,Sheet2!$D$4:$E$9)</f>
        <v>2</v>
      </c>
      <c r="D1159" s="1">
        <v>122</v>
      </c>
      <c r="E1159" t="str">
        <f>LOOKUP(D1159,Sheet2!$G$4:$H$9)</f>
        <v>100-125</v>
      </c>
      <c r="F1159" s="1">
        <v>76</v>
      </c>
      <c r="G1159" t="str">
        <f>LOOKUP(F1159,Sheet2!$J$4:$K$8)</f>
        <v>70-79</v>
      </c>
      <c r="H1159" s="1">
        <v>27</v>
      </c>
      <c r="I1159" t="str">
        <f>LOOKUP(H1159,Sheet2!$M$4:$N$8)</f>
        <v>10-30</v>
      </c>
      <c r="J1159" s="1">
        <v>200</v>
      </c>
      <c r="K1159" t="str">
        <f>LOOKUP(J1159,Sheet2!$P$4:$Q$9)</f>
        <v>200-399</v>
      </c>
      <c r="L1159" s="1">
        <v>35.9</v>
      </c>
      <c r="M1159" t="str">
        <f>LOOKUP(L1159,Sheet2!$S$4:$T$8)</f>
        <v>31-35</v>
      </c>
      <c r="N1159" s="1">
        <v>0.48299999999999998</v>
      </c>
      <c r="O1159" t="str">
        <f>LOOKUP(N1159,Sheet2!$V$4:$W$7)</f>
        <v>0.4 - 0.69</v>
      </c>
      <c r="P1159" s="1">
        <v>26</v>
      </c>
      <c r="Q1159" t="str">
        <f>LOOKUP(P1159,Sheet2!$Z$4:$AA$7)</f>
        <v>26-35</v>
      </c>
      <c r="R1159" s="1">
        <v>0</v>
      </c>
      <c r="S1159" t="str">
        <f>IF(R1159=1,"Positive","Negative")</f>
        <v>Negative</v>
      </c>
      <c r="T1159" s="1" t="str">
        <f>IFERROR(VLOOKUP(A1159,[1]diabetes_Recognition!$A:$B,2,FALSE),"Not Sampled")</f>
        <v>Not Sampled</v>
      </c>
      <c r="U1159" t="str">
        <f>IF(T1159=1,"Positive",(IF(T1159=0,"Negative","Not Sampled")))</f>
        <v>Not Sampled</v>
      </c>
      <c r="V1159" s="1" t="str">
        <f>IF(U1159="Not Sampled","Not Sampled",IF(S1159=U1159,"Accurate Prediction","Inaccurate Prediction"))</f>
        <v>Not Sampled</v>
      </c>
    </row>
    <row r="1160" spans="1:22" x14ac:dyDescent="0.25">
      <c r="A1160" s="1">
        <v>1158</v>
      </c>
      <c r="B1160" s="1">
        <v>6</v>
      </c>
      <c r="C1160" s="1" t="str">
        <f>LOOKUP(B1160,Sheet2!$D$4:$E$9)</f>
        <v>5-7</v>
      </c>
      <c r="D1160" s="1">
        <v>125</v>
      </c>
      <c r="E1160" t="str">
        <f>LOOKUP(D1160,Sheet2!$G$4:$H$9)</f>
        <v>100-125</v>
      </c>
      <c r="F1160" s="1">
        <v>78</v>
      </c>
      <c r="G1160" t="str">
        <f>LOOKUP(F1160,Sheet2!$J$4:$K$8)</f>
        <v>70-79</v>
      </c>
      <c r="H1160" s="1">
        <v>31</v>
      </c>
      <c r="I1160" t="str">
        <f>LOOKUP(H1160,Sheet2!$M$4:$N$8)</f>
        <v>30-39</v>
      </c>
      <c r="J1160" s="1">
        <v>0</v>
      </c>
      <c r="K1160" t="str">
        <f>LOOKUP(J1160,Sheet2!$P$4:$Q$9)</f>
        <v>Unknown</v>
      </c>
      <c r="L1160" s="1">
        <v>27.6</v>
      </c>
      <c r="M1160" t="str">
        <f>LOOKUP(L1160,Sheet2!$S$4:$T$8)</f>
        <v>26-30</v>
      </c>
      <c r="N1160" s="1">
        <v>0.56499999999999995</v>
      </c>
      <c r="O1160" t="str">
        <f>LOOKUP(N1160,Sheet2!$V$4:$W$7)</f>
        <v>0.4 - 0.69</v>
      </c>
      <c r="P1160" s="1">
        <v>49</v>
      </c>
      <c r="Q1160" t="str">
        <f>LOOKUP(P1160,Sheet2!$Z$4:$AA$7)</f>
        <v>46+</v>
      </c>
      <c r="R1160" s="1">
        <v>1</v>
      </c>
      <c r="S1160" t="str">
        <f>IF(R1160=1,"Positive","Negative")</f>
        <v>Positive</v>
      </c>
      <c r="T1160" s="1" t="str">
        <f>IFERROR(VLOOKUP(A1160,[1]diabetes_Recognition!$A:$B,2,FALSE),"Not Sampled")</f>
        <v>Not Sampled</v>
      </c>
      <c r="U1160" t="str">
        <f>IF(T1160=1,"Positive",(IF(T1160=0,"Negative","Not Sampled")))</f>
        <v>Not Sampled</v>
      </c>
      <c r="V1160" s="1" t="str">
        <f>IF(U1160="Not Sampled","Not Sampled",IF(S1160=U1160,"Accurate Prediction","Inaccurate Prediction"))</f>
        <v>Not Sampled</v>
      </c>
    </row>
    <row r="1161" spans="1:22" x14ac:dyDescent="0.25">
      <c r="A1161" s="1">
        <v>1159</v>
      </c>
      <c r="B1161" s="1">
        <v>1</v>
      </c>
      <c r="C1161" s="1">
        <f>LOOKUP(B1161,Sheet2!$D$4:$E$9)</f>
        <v>1</v>
      </c>
      <c r="D1161" s="1">
        <v>168</v>
      </c>
      <c r="E1161" t="str">
        <f>LOOKUP(D1161,Sheet2!$G$4:$H$9)</f>
        <v>151-175</v>
      </c>
      <c r="F1161" s="1">
        <v>88</v>
      </c>
      <c r="G1161" t="str">
        <f>LOOKUP(F1161,Sheet2!$J$4:$K$8)</f>
        <v>80+</v>
      </c>
      <c r="H1161" s="1">
        <v>29</v>
      </c>
      <c r="I1161" t="str">
        <f>LOOKUP(H1161,Sheet2!$M$4:$N$8)</f>
        <v>10-30</v>
      </c>
      <c r="J1161" s="1">
        <v>0</v>
      </c>
      <c r="K1161" t="str">
        <f>LOOKUP(J1161,Sheet2!$P$4:$Q$9)</f>
        <v>Unknown</v>
      </c>
      <c r="L1161" s="1">
        <v>35</v>
      </c>
      <c r="M1161" t="str">
        <f>LOOKUP(L1161,Sheet2!$S$4:$T$8)</f>
        <v>31-35</v>
      </c>
      <c r="N1161" s="1">
        <v>0.90500000000000003</v>
      </c>
      <c r="O1161" t="str">
        <f>LOOKUP(N1161,Sheet2!$V$4:$W$7)</f>
        <v>0.7+</v>
      </c>
      <c r="P1161" s="1">
        <v>52</v>
      </c>
      <c r="Q1161" t="str">
        <f>LOOKUP(P1161,Sheet2!$Z$4:$AA$7)</f>
        <v>46+</v>
      </c>
      <c r="R1161" s="1">
        <v>1</v>
      </c>
      <c r="S1161" t="str">
        <f>IF(R1161=1,"Positive","Negative")</f>
        <v>Positive</v>
      </c>
      <c r="T1161" s="1">
        <f>IFERROR(VLOOKUP(A1161,[1]diabetes_Recognition!$A:$B,2,FALSE),"Not Sampled")</f>
        <v>1</v>
      </c>
      <c r="U1161" t="str">
        <f>IF(T1161=1,"Positive",(IF(T1161=0,"Negative","Not Sampled")))</f>
        <v>Positive</v>
      </c>
      <c r="V1161" s="1" t="str">
        <f>IF(U1161="Not Sampled","Not Sampled",IF(S1161=U1161,"Accurate Prediction","Inaccurate Prediction"))</f>
        <v>Accurate Prediction</v>
      </c>
    </row>
    <row r="1162" spans="1:22" x14ac:dyDescent="0.25">
      <c r="A1162" s="1">
        <v>1160</v>
      </c>
      <c r="B1162" s="1">
        <v>2</v>
      </c>
      <c r="C1162" s="1">
        <f>LOOKUP(B1162,Sheet2!$D$4:$E$9)</f>
        <v>2</v>
      </c>
      <c r="D1162" s="1">
        <v>129</v>
      </c>
      <c r="E1162" t="str">
        <f>LOOKUP(D1162,Sheet2!$G$4:$H$9)</f>
        <v>126-150</v>
      </c>
      <c r="F1162" s="1">
        <v>0</v>
      </c>
      <c r="G1162" t="str">
        <f>LOOKUP(F1162,Sheet2!$J$4:$K$8)</f>
        <v>Unknown</v>
      </c>
      <c r="H1162" s="1">
        <v>0</v>
      </c>
      <c r="I1162" t="str">
        <f>LOOKUP(H1162,Sheet2!$M$4:$N$8)</f>
        <v>Unknown</v>
      </c>
      <c r="J1162" s="1">
        <v>0</v>
      </c>
      <c r="K1162" t="str">
        <f>LOOKUP(J1162,Sheet2!$P$4:$Q$9)</f>
        <v>Unknown</v>
      </c>
      <c r="L1162" s="1">
        <v>38.5</v>
      </c>
      <c r="M1162" t="str">
        <f>LOOKUP(L1162,Sheet2!$S$4:$T$8)</f>
        <v>36+</v>
      </c>
      <c r="N1162" s="1">
        <v>0.30399999999999999</v>
      </c>
      <c r="O1162" t="str">
        <f>LOOKUP(N1162,Sheet2!$V$4:$W$7)</f>
        <v>0.25 - 0.39</v>
      </c>
      <c r="P1162" s="1">
        <v>41</v>
      </c>
      <c r="Q1162" t="str">
        <f>LOOKUP(P1162,Sheet2!$Z$4:$AA$7)</f>
        <v>36-45</v>
      </c>
      <c r="R1162" s="1">
        <v>0</v>
      </c>
      <c r="S1162" t="str">
        <f>IF(R1162=1,"Positive","Negative")</f>
        <v>Negative</v>
      </c>
      <c r="T1162" s="1" t="str">
        <f>IFERROR(VLOOKUP(A1162,[1]diabetes_Recognition!$A:$B,2,FALSE),"Not Sampled")</f>
        <v>Not Sampled</v>
      </c>
      <c r="U1162" t="str">
        <f>IF(T1162=1,"Positive",(IF(T1162=0,"Negative","Not Sampled")))</f>
        <v>Not Sampled</v>
      </c>
      <c r="V1162" s="1" t="str">
        <f>IF(U1162="Not Sampled","Not Sampled",IF(S1162=U1162,"Accurate Prediction","Inaccurate Prediction"))</f>
        <v>Not Sampled</v>
      </c>
    </row>
    <row r="1163" spans="1:22" x14ac:dyDescent="0.25">
      <c r="A1163" s="1">
        <v>1161</v>
      </c>
      <c r="B1163" s="1">
        <v>4</v>
      </c>
      <c r="C1163" s="1" t="str">
        <f>LOOKUP(B1163,Sheet2!$D$4:$E$9)</f>
        <v>3-4</v>
      </c>
      <c r="D1163" s="1">
        <v>110</v>
      </c>
      <c r="E1163" t="str">
        <f>LOOKUP(D1163,Sheet2!$G$4:$H$9)</f>
        <v>100-125</v>
      </c>
      <c r="F1163" s="1">
        <v>76</v>
      </c>
      <c r="G1163" t="str">
        <f>LOOKUP(F1163,Sheet2!$J$4:$K$8)</f>
        <v>70-79</v>
      </c>
      <c r="H1163" s="1">
        <v>20</v>
      </c>
      <c r="I1163" t="str">
        <f>LOOKUP(H1163,Sheet2!$M$4:$N$8)</f>
        <v>10-30</v>
      </c>
      <c r="J1163" s="1">
        <v>100</v>
      </c>
      <c r="K1163" t="str">
        <f>LOOKUP(J1163,Sheet2!$P$4:$Q$9)</f>
        <v>100-199</v>
      </c>
      <c r="L1163" s="1">
        <v>28.4</v>
      </c>
      <c r="M1163" t="str">
        <f>LOOKUP(L1163,Sheet2!$S$4:$T$8)</f>
        <v>26-30</v>
      </c>
      <c r="N1163" s="1">
        <v>0.11799999999999999</v>
      </c>
      <c r="O1163" t="str">
        <f>LOOKUP(N1163,Sheet2!$V$4:$W$7)</f>
        <v>0.0 - 0.249</v>
      </c>
      <c r="P1163" s="1">
        <v>27</v>
      </c>
      <c r="Q1163" t="str">
        <f>LOOKUP(P1163,Sheet2!$Z$4:$AA$7)</f>
        <v>26-35</v>
      </c>
      <c r="R1163" s="1">
        <v>0</v>
      </c>
      <c r="S1163" t="str">
        <f>IF(R1163=1,"Positive","Negative")</f>
        <v>Negative</v>
      </c>
      <c r="T1163" s="1" t="str">
        <f>IFERROR(VLOOKUP(A1163,[1]diabetes_Recognition!$A:$B,2,FALSE),"Not Sampled")</f>
        <v>Not Sampled</v>
      </c>
      <c r="U1163" t="str">
        <f>IF(T1163=1,"Positive",(IF(T1163=0,"Negative","Not Sampled")))</f>
        <v>Not Sampled</v>
      </c>
      <c r="V1163" s="1" t="str">
        <f>IF(U1163="Not Sampled","Not Sampled",IF(S1163=U1163,"Accurate Prediction","Inaccurate Prediction"))</f>
        <v>Not Sampled</v>
      </c>
    </row>
    <row r="1164" spans="1:22" x14ac:dyDescent="0.25">
      <c r="A1164" s="1">
        <v>1162</v>
      </c>
      <c r="B1164" s="1">
        <v>6</v>
      </c>
      <c r="C1164" s="1" t="str">
        <f>LOOKUP(B1164,Sheet2!$D$4:$E$9)</f>
        <v>5-7</v>
      </c>
      <c r="D1164" s="1">
        <v>80</v>
      </c>
      <c r="E1164" t="str">
        <f>LOOKUP(D1164,Sheet2!$G$4:$H$9)</f>
        <v>1-99</v>
      </c>
      <c r="F1164" s="1">
        <v>80</v>
      </c>
      <c r="G1164" t="str">
        <f>LOOKUP(F1164,Sheet2!$J$4:$K$8)</f>
        <v>80+</v>
      </c>
      <c r="H1164" s="1">
        <v>36</v>
      </c>
      <c r="I1164" t="str">
        <f>LOOKUP(H1164,Sheet2!$M$4:$N$8)</f>
        <v>30-39</v>
      </c>
      <c r="J1164" s="1">
        <v>0</v>
      </c>
      <c r="K1164" t="str">
        <f>LOOKUP(J1164,Sheet2!$P$4:$Q$9)</f>
        <v>Unknown</v>
      </c>
      <c r="L1164" s="1">
        <v>39.799999999999997</v>
      </c>
      <c r="M1164" t="str">
        <f>LOOKUP(L1164,Sheet2!$S$4:$T$8)</f>
        <v>36+</v>
      </c>
      <c r="N1164" s="1">
        <v>0.17699999999999999</v>
      </c>
      <c r="O1164" t="str">
        <f>LOOKUP(N1164,Sheet2!$V$4:$W$7)</f>
        <v>0.0 - 0.249</v>
      </c>
      <c r="P1164" s="1">
        <v>28</v>
      </c>
      <c r="Q1164" t="str">
        <f>LOOKUP(P1164,Sheet2!$Z$4:$AA$7)</f>
        <v>26-35</v>
      </c>
      <c r="R1164" s="1">
        <v>0</v>
      </c>
      <c r="S1164" t="str">
        <f>IF(R1164=1,"Positive","Negative")</f>
        <v>Negative</v>
      </c>
      <c r="T1164" s="1">
        <f>IFERROR(VLOOKUP(A1164,[1]diabetes_Recognition!$A:$B,2,FALSE),"Not Sampled")</f>
        <v>0</v>
      </c>
      <c r="U1164" t="str">
        <f>IF(T1164=1,"Positive",(IF(T1164=0,"Negative","Not Sampled")))</f>
        <v>Negative</v>
      </c>
      <c r="V1164" s="1" t="str">
        <f>IF(U1164="Not Sampled","Not Sampled",IF(S1164=U1164,"Accurate Prediction","Inaccurate Prediction"))</f>
        <v>Accurate Prediction</v>
      </c>
    </row>
    <row r="1165" spans="1:22" x14ac:dyDescent="0.25">
      <c r="A1165" s="1">
        <v>1163</v>
      </c>
      <c r="B1165" s="1">
        <v>10</v>
      </c>
      <c r="C1165" s="1" t="str">
        <f>LOOKUP(B1165,Sheet2!$D$4:$E$9)</f>
        <v>8+</v>
      </c>
      <c r="D1165" s="1">
        <v>115</v>
      </c>
      <c r="E1165" t="str">
        <f>LOOKUP(D1165,Sheet2!$G$4:$H$9)</f>
        <v>100-125</v>
      </c>
      <c r="F1165" s="1">
        <v>0</v>
      </c>
      <c r="G1165" t="str">
        <f>LOOKUP(F1165,Sheet2!$J$4:$K$8)</f>
        <v>Unknown</v>
      </c>
      <c r="H1165" s="1">
        <v>0</v>
      </c>
      <c r="I1165" t="str">
        <f>LOOKUP(H1165,Sheet2!$M$4:$N$8)</f>
        <v>Unknown</v>
      </c>
      <c r="J1165" s="1">
        <v>0</v>
      </c>
      <c r="K1165" t="str">
        <f>LOOKUP(J1165,Sheet2!$P$4:$Q$9)</f>
        <v>Unknown</v>
      </c>
      <c r="L1165" s="1">
        <v>0</v>
      </c>
      <c r="M1165" t="str">
        <f>LOOKUP(L1165,Sheet2!$S$4:$T$8)</f>
        <v>Unknown</v>
      </c>
      <c r="N1165" s="1">
        <v>0.26100000000000001</v>
      </c>
      <c r="O1165" t="str">
        <f>LOOKUP(N1165,Sheet2!$V$4:$W$7)</f>
        <v>0.25 - 0.39</v>
      </c>
      <c r="P1165" s="1">
        <v>30</v>
      </c>
      <c r="Q1165" t="str">
        <f>LOOKUP(P1165,Sheet2!$Z$4:$AA$7)</f>
        <v>26-35</v>
      </c>
      <c r="R1165" s="1">
        <v>1</v>
      </c>
      <c r="S1165" t="str">
        <f>IF(R1165=1,"Positive","Negative")</f>
        <v>Positive</v>
      </c>
      <c r="T1165" s="1" t="str">
        <f>IFERROR(VLOOKUP(A1165,[1]diabetes_Recognition!$A:$B,2,FALSE),"Not Sampled")</f>
        <v>Not Sampled</v>
      </c>
      <c r="U1165" t="str">
        <f>IF(T1165=1,"Positive",(IF(T1165=0,"Negative","Not Sampled")))</f>
        <v>Not Sampled</v>
      </c>
      <c r="V1165" s="1" t="str">
        <f>IF(U1165="Not Sampled","Not Sampled",IF(S1165=U1165,"Accurate Prediction","Inaccurate Prediction"))</f>
        <v>Not Sampled</v>
      </c>
    </row>
    <row r="1166" spans="1:22" x14ac:dyDescent="0.25">
      <c r="A1166" s="1">
        <v>1164</v>
      </c>
      <c r="B1166" s="1">
        <v>2</v>
      </c>
      <c r="C1166" s="1">
        <f>LOOKUP(B1166,Sheet2!$D$4:$E$9)</f>
        <v>2</v>
      </c>
      <c r="D1166" s="1">
        <v>127</v>
      </c>
      <c r="E1166" t="str">
        <f>LOOKUP(D1166,Sheet2!$G$4:$H$9)</f>
        <v>126-150</v>
      </c>
      <c r="F1166" s="1">
        <v>46</v>
      </c>
      <c r="G1166" t="str">
        <f>LOOKUP(F1166,Sheet2!$J$4:$K$8)</f>
        <v>1-59</v>
      </c>
      <c r="H1166" s="1">
        <v>21</v>
      </c>
      <c r="I1166" t="str">
        <f>LOOKUP(H1166,Sheet2!$M$4:$N$8)</f>
        <v>10-30</v>
      </c>
      <c r="J1166" s="1">
        <v>335</v>
      </c>
      <c r="K1166" t="str">
        <f>LOOKUP(J1166,Sheet2!$P$4:$Q$9)</f>
        <v>300-499</v>
      </c>
      <c r="L1166" s="1">
        <v>34.4</v>
      </c>
      <c r="M1166" t="str">
        <f>LOOKUP(L1166,Sheet2!$S$4:$T$8)</f>
        <v>31-35</v>
      </c>
      <c r="N1166" s="1">
        <v>0.17599999999999999</v>
      </c>
      <c r="O1166" t="str">
        <f>LOOKUP(N1166,Sheet2!$V$4:$W$7)</f>
        <v>0.0 - 0.249</v>
      </c>
      <c r="P1166" s="1">
        <v>22</v>
      </c>
      <c r="Q1166" t="str">
        <f>LOOKUP(P1166,Sheet2!$Z$4:$AA$7)</f>
        <v>&lt;=25</v>
      </c>
      <c r="R1166" s="1">
        <v>0</v>
      </c>
      <c r="S1166" t="str">
        <f>IF(R1166=1,"Positive","Negative")</f>
        <v>Negative</v>
      </c>
      <c r="T1166" s="1" t="str">
        <f>IFERROR(VLOOKUP(A1166,[1]diabetes_Recognition!$A:$B,2,FALSE),"Not Sampled")</f>
        <v>Not Sampled</v>
      </c>
      <c r="U1166" t="str">
        <f>IF(T1166=1,"Positive",(IF(T1166=0,"Negative","Not Sampled")))</f>
        <v>Not Sampled</v>
      </c>
      <c r="V1166" s="1" t="str">
        <f>IF(U1166="Not Sampled","Not Sampled",IF(S1166=U1166,"Accurate Prediction","Inaccurate Prediction"))</f>
        <v>Not Sampled</v>
      </c>
    </row>
    <row r="1167" spans="1:22" x14ac:dyDescent="0.25">
      <c r="A1167" s="1">
        <v>1165</v>
      </c>
      <c r="B1167" s="1">
        <v>9</v>
      </c>
      <c r="C1167" s="1" t="str">
        <f>LOOKUP(B1167,Sheet2!$D$4:$E$9)</f>
        <v>8+</v>
      </c>
      <c r="D1167" s="1">
        <v>164</v>
      </c>
      <c r="E1167" t="str">
        <f>LOOKUP(D1167,Sheet2!$G$4:$H$9)</f>
        <v>151-175</v>
      </c>
      <c r="F1167" s="1">
        <v>78</v>
      </c>
      <c r="G1167" t="str">
        <f>LOOKUP(F1167,Sheet2!$J$4:$K$8)</f>
        <v>70-79</v>
      </c>
      <c r="H1167" s="1">
        <v>0</v>
      </c>
      <c r="I1167" t="str">
        <f>LOOKUP(H1167,Sheet2!$M$4:$N$8)</f>
        <v>Unknown</v>
      </c>
      <c r="J1167" s="1">
        <v>0</v>
      </c>
      <c r="K1167" t="str">
        <f>LOOKUP(J1167,Sheet2!$P$4:$Q$9)</f>
        <v>Unknown</v>
      </c>
      <c r="L1167" s="1">
        <v>32.799999999999997</v>
      </c>
      <c r="M1167" t="str">
        <f>LOOKUP(L1167,Sheet2!$S$4:$T$8)</f>
        <v>31-35</v>
      </c>
      <c r="N1167" s="1">
        <v>0.14799999999999999</v>
      </c>
      <c r="O1167" t="str">
        <f>LOOKUP(N1167,Sheet2!$V$4:$W$7)</f>
        <v>0.0 - 0.249</v>
      </c>
      <c r="P1167" s="1">
        <v>45</v>
      </c>
      <c r="Q1167" t="str">
        <f>LOOKUP(P1167,Sheet2!$Z$4:$AA$7)</f>
        <v>36-45</v>
      </c>
      <c r="R1167" s="1">
        <v>1</v>
      </c>
      <c r="S1167" t="str">
        <f>IF(R1167=1,"Positive","Negative")</f>
        <v>Positive</v>
      </c>
      <c r="T1167" s="1" t="str">
        <f>IFERROR(VLOOKUP(A1167,[1]diabetes_Recognition!$A:$B,2,FALSE),"Not Sampled")</f>
        <v>Not Sampled</v>
      </c>
      <c r="U1167" t="str">
        <f>IF(T1167=1,"Positive",(IF(T1167=0,"Negative","Not Sampled")))</f>
        <v>Not Sampled</v>
      </c>
      <c r="V1167" s="1" t="str">
        <f>IF(U1167="Not Sampled","Not Sampled",IF(S1167=U1167,"Accurate Prediction","Inaccurate Prediction"))</f>
        <v>Not Sampled</v>
      </c>
    </row>
    <row r="1168" spans="1:22" x14ac:dyDescent="0.25">
      <c r="A1168" s="1">
        <v>1166</v>
      </c>
      <c r="B1168" s="1">
        <v>2</v>
      </c>
      <c r="C1168" s="1">
        <f>LOOKUP(B1168,Sheet2!$D$4:$E$9)</f>
        <v>2</v>
      </c>
      <c r="D1168" s="1">
        <v>93</v>
      </c>
      <c r="E1168" t="str">
        <f>LOOKUP(D1168,Sheet2!$G$4:$H$9)</f>
        <v>1-99</v>
      </c>
      <c r="F1168" s="1">
        <v>64</v>
      </c>
      <c r="G1168" t="str">
        <f>LOOKUP(F1168,Sheet2!$J$4:$K$8)</f>
        <v>60-69</v>
      </c>
      <c r="H1168" s="1">
        <v>32</v>
      </c>
      <c r="I1168" t="str">
        <f>LOOKUP(H1168,Sheet2!$M$4:$N$8)</f>
        <v>30-39</v>
      </c>
      <c r="J1168" s="1">
        <v>160</v>
      </c>
      <c r="K1168" t="str">
        <f>LOOKUP(J1168,Sheet2!$P$4:$Q$9)</f>
        <v>100-199</v>
      </c>
      <c r="L1168" s="1">
        <v>38</v>
      </c>
      <c r="M1168" t="str">
        <f>LOOKUP(L1168,Sheet2!$S$4:$T$8)</f>
        <v>36+</v>
      </c>
      <c r="N1168" s="1">
        <v>0.67400000000000004</v>
      </c>
      <c r="O1168" t="str">
        <f>LOOKUP(N1168,Sheet2!$V$4:$W$7)</f>
        <v>0.4 - 0.69</v>
      </c>
      <c r="P1168" s="1">
        <v>23</v>
      </c>
      <c r="Q1168" t="str">
        <f>LOOKUP(P1168,Sheet2!$Z$4:$AA$7)</f>
        <v>&lt;=25</v>
      </c>
      <c r="R1168" s="1">
        <v>1</v>
      </c>
      <c r="S1168" t="str">
        <f>IF(R1168=1,"Positive","Negative")</f>
        <v>Positive</v>
      </c>
      <c r="T1168" s="1">
        <f>IFERROR(VLOOKUP(A1168,[1]diabetes_Recognition!$A:$B,2,FALSE),"Not Sampled")</f>
        <v>0</v>
      </c>
      <c r="U1168" t="str">
        <f>IF(T1168=1,"Positive",(IF(T1168=0,"Negative","Not Sampled")))</f>
        <v>Negative</v>
      </c>
      <c r="V1168" s="1" t="str">
        <f>IF(U1168="Not Sampled","Not Sampled",IF(S1168=U1168,"Accurate Prediction","Inaccurate Prediction"))</f>
        <v>Inaccurate Prediction</v>
      </c>
    </row>
    <row r="1169" spans="1:22" x14ac:dyDescent="0.25">
      <c r="A1169" s="1">
        <v>1167</v>
      </c>
      <c r="B1169" s="1">
        <v>3</v>
      </c>
      <c r="C1169" s="1" t="str">
        <f>LOOKUP(B1169,Sheet2!$D$4:$E$9)</f>
        <v>3-4</v>
      </c>
      <c r="D1169" s="1">
        <v>158</v>
      </c>
      <c r="E1169" t="str">
        <f>LOOKUP(D1169,Sheet2!$G$4:$H$9)</f>
        <v>151-175</v>
      </c>
      <c r="F1169" s="1">
        <v>64</v>
      </c>
      <c r="G1169" t="str">
        <f>LOOKUP(F1169,Sheet2!$J$4:$K$8)</f>
        <v>60-69</v>
      </c>
      <c r="H1169" s="1">
        <v>13</v>
      </c>
      <c r="I1169" t="str">
        <f>LOOKUP(H1169,Sheet2!$M$4:$N$8)</f>
        <v>10-30</v>
      </c>
      <c r="J1169" s="1">
        <v>387</v>
      </c>
      <c r="K1169" t="str">
        <f>LOOKUP(J1169,Sheet2!$P$4:$Q$9)</f>
        <v>300-499</v>
      </c>
      <c r="L1169" s="1">
        <v>31.2</v>
      </c>
      <c r="M1169" t="str">
        <f>LOOKUP(L1169,Sheet2!$S$4:$T$8)</f>
        <v>31-35</v>
      </c>
      <c r="N1169" s="1">
        <v>0.29499999999999998</v>
      </c>
      <c r="O1169" t="str">
        <f>LOOKUP(N1169,Sheet2!$V$4:$W$7)</f>
        <v>0.25 - 0.39</v>
      </c>
      <c r="P1169" s="1">
        <v>24</v>
      </c>
      <c r="Q1169" t="str">
        <f>LOOKUP(P1169,Sheet2!$Z$4:$AA$7)</f>
        <v>&lt;=25</v>
      </c>
      <c r="R1169" s="1">
        <v>0</v>
      </c>
      <c r="S1169" t="str">
        <f>IF(R1169=1,"Positive","Negative")</f>
        <v>Negative</v>
      </c>
      <c r="T1169" s="1">
        <f>IFERROR(VLOOKUP(A1169,[1]diabetes_Recognition!$A:$B,2,FALSE),"Not Sampled")</f>
        <v>0</v>
      </c>
      <c r="U1169" t="str">
        <f>IF(T1169=1,"Positive",(IF(T1169=0,"Negative","Not Sampled")))</f>
        <v>Negative</v>
      </c>
      <c r="V1169" s="1" t="str">
        <f>IF(U1169="Not Sampled","Not Sampled",IF(S1169=U1169,"Accurate Prediction","Inaccurate Prediction"))</f>
        <v>Accurate Prediction</v>
      </c>
    </row>
    <row r="1170" spans="1:22" x14ac:dyDescent="0.25">
      <c r="A1170" s="1">
        <v>1168</v>
      </c>
      <c r="B1170" s="1">
        <v>5</v>
      </c>
      <c r="C1170" s="1" t="str">
        <f>LOOKUP(B1170,Sheet2!$D$4:$E$9)</f>
        <v>5-7</v>
      </c>
      <c r="D1170" s="1">
        <v>126</v>
      </c>
      <c r="E1170" t="str">
        <f>LOOKUP(D1170,Sheet2!$G$4:$H$9)</f>
        <v>126-150</v>
      </c>
      <c r="F1170" s="1">
        <v>78</v>
      </c>
      <c r="G1170" t="str">
        <f>LOOKUP(F1170,Sheet2!$J$4:$K$8)</f>
        <v>70-79</v>
      </c>
      <c r="H1170" s="1">
        <v>27</v>
      </c>
      <c r="I1170" t="str">
        <f>LOOKUP(H1170,Sheet2!$M$4:$N$8)</f>
        <v>10-30</v>
      </c>
      <c r="J1170" s="1">
        <v>22</v>
      </c>
      <c r="K1170" t="str">
        <f>LOOKUP(J1170,Sheet2!$P$4:$Q$9)</f>
        <v>1-99</v>
      </c>
      <c r="L1170" s="1">
        <v>29.6</v>
      </c>
      <c r="M1170" t="str">
        <f>LOOKUP(L1170,Sheet2!$S$4:$T$8)</f>
        <v>26-30</v>
      </c>
      <c r="N1170" s="1">
        <v>0.439</v>
      </c>
      <c r="O1170" t="str">
        <f>LOOKUP(N1170,Sheet2!$V$4:$W$7)</f>
        <v>0.4 - 0.69</v>
      </c>
      <c r="P1170" s="1">
        <v>40</v>
      </c>
      <c r="Q1170" t="str">
        <f>LOOKUP(P1170,Sheet2!$Z$4:$AA$7)</f>
        <v>36-45</v>
      </c>
      <c r="R1170" s="1">
        <v>0</v>
      </c>
      <c r="S1170" t="str">
        <f>IF(R1170=1,"Positive","Negative")</f>
        <v>Negative</v>
      </c>
      <c r="T1170" s="1" t="str">
        <f>IFERROR(VLOOKUP(A1170,[1]diabetes_Recognition!$A:$B,2,FALSE),"Not Sampled")</f>
        <v>Not Sampled</v>
      </c>
      <c r="U1170" t="str">
        <f>IF(T1170=1,"Positive",(IF(T1170=0,"Negative","Not Sampled")))</f>
        <v>Not Sampled</v>
      </c>
      <c r="V1170" s="1" t="str">
        <f>IF(U1170="Not Sampled","Not Sampled",IF(S1170=U1170,"Accurate Prediction","Inaccurate Prediction"))</f>
        <v>Not Sampled</v>
      </c>
    </row>
    <row r="1171" spans="1:22" x14ac:dyDescent="0.25">
      <c r="A1171" s="1">
        <v>1169</v>
      </c>
      <c r="B1171" s="1">
        <v>10</v>
      </c>
      <c r="C1171" s="1" t="str">
        <f>LOOKUP(B1171,Sheet2!$D$4:$E$9)</f>
        <v>8+</v>
      </c>
      <c r="D1171" s="1">
        <v>129</v>
      </c>
      <c r="E1171" t="str">
        <f>LOOKUP(D1171,Sheet2!$G$4:$H$9)</f>
        <v>126-150</v>
      </c>
      <c r="F1171" s="1">
        <v>62</v>
      </c>
      <c r="G1171" t="str">
        <f>LOOKUP(F1171,Sheet2!$J$4:$K$8)</f>
        <v>60-69</v>
      </c>
      <c r="H1171" s="1">
        <v>36</v>
      </c>
      <c r="I1171" t="str">
        <f>LOOKUP(H1171,Sheet2!$M$4:$N$8)</f>
        <v>30-39</v>
      </c>
      <c r="J1171" s="1">
        <v>0</v>
      </c>
      <c r="K1171" t="str">
        <f>LOOKUP(J1171,Sheet2!$P$4:$Q$9)</f>
        <v>Unknown</v>
      </c>
      <c r="L1171" s="1">
        <v>41.2</v>
      </c>
      <c r="M1171" t="str">
        <f>LOOKUP(L1171,Sheet2!$S$4:$T$8)</f>
        <v>36+</v>
      </c>
      <c r="N1171" s="1">
        <v>0.441</v>
      </c>
      <c r="O1171" t="str">
        <f>LOOKUP(N1171,Sheet2!$V$4:$W$7)</f>
        <v>0.4 - 0.69</v>
      </c>
      <c r="P1171" s="1">
        <v>38</v>
      </c>
      <c r="Q1171" t="str">
        <f>LOOKUP(P1171,Sheet2!$Z$4:$AA$7)</f>
        <v>36-45</v>
      </c>
      <c r="R1171" s="1">
        <v>1</v>
      </c>
      <c r="S1171" t="str">
        <f>IF(R1171=1,"Positive","Negative")</f>
        <v>Positive</v>
      </c>
      <c r="T1171" s="1" t="str">
        <f>IFERROR(VLOOKUP(A1171,[1]diabetes_Recognition!$A:$B,2,FALSE),"Not Sampled")</f>
        <v>Not Sampled</v>
      </c>
      <c r="U1171" t="str">
        <f>IF(T1171=1,"Positive",(IF(T1171=0,"Negative","Not Sampled")))</f>
        <v>Not Sampled</v>
      </c>
      <c r="V1171" s="1" t="str">
        <f>IF(U1171="Not Sampled","Not Sampled",IF(S1171=U1171,"Accurate Prediction","Inaccurate Prediction"))</f>
        <v>Not Sampled</v>
      </c>
    </row>
    <row r="1172" spans="1:22" x14ac:dyDescent="0.25">
      <c r="A1172" s="1">
        <v>1170</v>
      </c>
      <c r="B1172" s="1">
        <v>0</v>
      </c>
      <c r="C1172" s="1">
        <f>LOOKUP(B1172,Sheet2!$D$4:$E$9)</f>
        <v>0</v>
      </c>
      <c r="D1172" s="1">
        <v>134</v>
      </c>
      <c r="E1172" t="str">
        <f>LOOKUP(D1172,Sheet2!$G$4:$H$9)</f>
        <v>126-150</v>
      </c>
      <c r="F1172" s="1">
        <v>58</v>
      </c>
      <c r="G1172" t="str">
        <f>LOOKUP(F1172,Sheet2!$J$4:$K$8)</f>
        <v>1-59</v>
      </c>
      <c r="H1172" s="1">
        <v>20</v>
      </c>
      <c r="I1172" t="str">
        <f>LOOKUP(H1172,Sheet2!$M$4:$N$8)</f>
        <v>10-30</v>
      </c>
      <c r="J1172" s="1">
        <v>291</v>
      </c>
      <c r="K1172" t="str">
        <f>LOOKUP(J1172,Sheet2!$P$4:$Q$9)</f>
        <v>200-399</v>
      </c>
      <c r="L1172" s="1">
        <v>26.4</v>
      </c>
      <c r="M1172" t="str">
        <f>LOOKUP(L1172,Sheet2!$S$4:$T$8)</f>
        <v>26-30</v>
      </c>
      <c r="N1172" s="1">
        <v>0.35199999999999998</v>
      </c>
      <c r="O1172" t="str">
        <f>LOOKUP(N1172,Sheet2!$V$4:$W$7)</f>
        <v>0.25 - 0.39</v>
      </c>
      <c r="P1172" s="1">
        <v>21</v>
      </c>
      <c r="Q1172" t="str">
        <f>LOOKUP(P1172,Sheet2!$Z$4:$AA$7)</f>
        <v>&lt;=25</v>
      </c>
      <c r="R1172" s="1">
        <v>0</v>
      </c>
      <c r="S1172" t="str">
        <f>IF(R1172=1,"Positive","Negative")</f>
        <v>Negative</v>
      </c>
      <c r="T1172" s="1" t="str">
        <f>IFERROR(VLOOKUP(A1172,[1]diabetes_Recognition!$A:$B,2,FALSE),"Not Sampled")</f>
        <v>Not Sampled</v>
      </c>
      <c r="U1172" t="str">
        <f>IF(T1172=1,"Positive",(IF(T1172=0,"Negative","Not Sampled")))</f>
        <v>Not Sampled</v>
      </c>
      <c r="V1172" s="1" t="str">
        <f>IF(U1172="Not Sampled","Not Sampled",IF(S1172=U1172,"Accurate Prediction","Inaccurate Prediction"))</f>
        <v>Not Sampled</v>
      </c>
    </row>
    <row r="1173" spans="1:22" x14ac:dyDescent="0.25">
      <c r="A1173" s="1">
        <v>1171</v>
      </c>
      <c r="B1173" s="1">
        <v>3</v>
      </c>
      <c r="C1173" s="1" t="str">
        <f>LOOKUP(B1173,Sheet2!$D$4:$E$9)</f>
        <v>3-4</v>
      </c>
      <c r="D1173" s="1">
        <v>102</v>
      </c>
      <c r="E1173" t="str">
        <f>LOOKUP(D1173,Sheet2!$G$4:$H$9)</f>
        <v>100-125</v>
      </c>
      <c r="F1173" s="1">
        <v>74</v>
      </c>
      <c r="G1173" t="str">
        <f>LOOKUP(F1173,Sheet2!$J$4:$K$8)</f>
        <v>70-79</v>
      </c>
      <c r="H1173" s="1">
        <v>0</v>
      </c>
      <c r="I1173" t="str">
        <f>LOOKUP(H1173,Sheet2!$M$4:$N$8)</f>
        <v>Unknown</v>
      </c>
      <c r="J1173" s="1">
        <v>0</v>
      </c>
      <c r="K1173" t="str">
        <f>LOOKUP(J1173,Sheet2!$P$4:$Q$9)</f>
        <v>Unknown</v>
      </c>
      <c r="L1173" s="1">
        <v>29.5</v>
      </c>
      <c r="M1173" t="str">
        <f>LOOKUP(L1173,Sheet2!$S$4:$T$8)</f>
        <v>26-30</v>
      </c>
      <c r="N1173" s="1">
        <v>0.121</v>
      </c>
      <c r="O1173" t="str">
        <f>LOOKUP(N1173,Sheet2!$V$4:$W$7)</f>
        <v>0.0 - 0.249</v>
      </c>
      <c r="P1173" s="1">
        <v>32</v>
      </c>
      <c r="Q1173" t="str">
        <f>LOOKUP(P1173,Sheet2!$Z$4:$AA$7)</f>
        <v>26-35</v>
      </c>
      <c r="R1173" s="1">
        <v>0</v>
      </c>
      <c r="S1173" t="str">
        <f>IF(R1173=1,"Positive","Negative")</f>
        <v>Negative</v>
      </c>
      <c r="T1173" s="1" t="str">
        <f>IFERROR(VLOOKUP(A1173,[1]diabetes_Recognition!$A:$B,2,FALSE),"Not Sampled")</f>
        <v>Not Sampled</v>
      </c>
      <c r="U1173" t="str">
        <f>IF(T1173=1,"Positive",(IF(T1173=0,"Negative","Not Sampled")))</f>
        <v>Not Sampled</v>
      </c>
      <c r="V1173" s="1" t="str">
        <f>IF(U1173="Not Sampled","Not Sampled",IF(S1173=U1173,"Accurate Prediction","Inaccurate Prediction"))</f>
        <v>Not Sampled</v>
      </c>
    </row>
    <row r="1174" spans="1:22" x14ac:dyDescent="0.25">
      <c r="A1174" s="1">
        <v>1172</v>
      </c>
      <c r="B1174" s="1">
        <v>7</v>
      </c>
      <c r="C1174" s="1" t="str">
        <f>LOOKUP(B1174,Sheet2!$D$4:$E$9)</f>
        <v>5-7</v>
      </c>
      <c r="D1174" s="1">
        <v>187</v>
      </c>
      <c r="E1174" t="str">
        <f>LOOKUP(D1174,Sheet2!$G$4:$H$9)</f>
        <v>176-200</v>
      </c>
      <c r="F1174" s="1">
        <v>50</v>
      </c>
      <c r="G1174" t="str">
        <f>LOOKUP(F1174,Sheet2!$J$4:$K$8)</f>
        <v>1-59</v>
      </c>
      <c r="H1174" s="1">
        <v>33</v>
      </c>
      <c r="I1174" t="str">
        <f>LOOKUP(H1174,Sheet2!$M$4:$N$8)</f>
        <v>30-39</v>
      </c>
      <c r="J1174" s="1">
        <v>392</v>
      </c>
      <c r="K1174" t="str">
        <f>LOOKUP(J1174,Sheet2!$P$4:$Q$9)</f>
        <v>300-499</v>
      </c>
      <c r="L1174" s="1">
        <v>33.9</v>
      </c>
      <c r="M1174" t="str">
        <f>LOOKUP(L1174,Sheet2!$S$4:$T$8)</f>
        <v>31-35</v>
      </c>
      <c r="N1174" s="1">
        <v>0.82599999999999996</v>
      </c>
      <c r="O1174" t="str">
        <f>LOOKUP(N1174,Sheet2!$V$4:$W$7)</f>
        <v>0.7+</v>
      </c>
      <c r="P1174" s="1">
        <v>34</v>
      </c>
      <c r="Q1174" t="str">
        <f>LOOKUP(P1174,Sheet2!$Z$4:$AA$7)</f>
        <v>26-35</v>
      </c>
      <c r="R1174" s="1">
        <v>1</v>
      </c>
      <c r="S1174" t="str">
        <f>IF(R1174=1,"Positive","Negative")</f>
        <v>Positive</v>
      </c>
      <c r="T1174" s="1">
        <f>IFERROR(VLOOKUP(A1174,[1]diabetes_Recognition!$A:$B,2,FALSE),"Not Sampled")</f>
        <v>1</v>
      </c>
      <c r="U1174" t="str">
        <f>IF(T1174=1,"Positive",(IF(T1174=0,"Negative","Not Sampled")))</f>
        <v>Positive</v>
      </c>
      <c r="V1174" s="1" t="str">
        <f>IF(U1174="Not Sampled","Not Sampled",IF(S1174=U1174,"Accurate Prediction","Inaccurate Prediction"))</f>
        <v>Accurate Prediction</v>
      </c>
    </row>
    <row r="1175" spans="1:22" x14ac:dyDescent="0.25">
      <c r="A1175" s="1">
        <v>1173</v>
      </c>
      <c r="B1175" s="1">
        <v>3</v>
      </c>
      <c r="C1175" s="1" t="str">
        <f>LOOKUP(B1175,Sheet2!$D$4:$E$9)</f>
        <v>3-4</v>
      </c>
      <c r="D1175" s="1">
        <v>173</v>
      </c>
      <c r="E1175" t="str">
        <f>LOOKUP(D1175,Sheet2!$G$4:$H$9)</f>
        <v>151-175</v>
      </c>
      <c r="F1175" s="1">
        <v>78</v>
      </c>
      <c r="G1175" t="str">
        <f>LOOKUP(F1175,Sheet2!$J$4:$K$8)</f>
        <v>70-79</v>
      </c>
      <c r="H1175" s="1">
        <v>39</v>
      </c>
      <c r="I1175" t="str">
        <f>LOOKUP(H1175,Sheet2!$M$4:$N$8)</f>
        <v>30-39</v>
      </c>
      <c r="J1175" s="1">
        <v>185</v>
      </c>
      <c r="K1175" t="str">
        <f>LOOKUP(J1175,Sheet2!$P$4:$Q$9)</f>
        <v>100-199</v>
      </c>
      <c r="L1175" s="1">
        <v>33.799999999999997</v>
      </c>
      <c r="M1175" t="str">
        <f>LOOKUP(L1175,Sheet2!$S$4:$T$8)</f>
        <v>31-35</v>
      </c>
      <c r="N1175" s="1">
        <v>0.97</v>
      </c>
      <c r="O1175" t="str">
        <f>LOOKUP(N1175,Sheet2!$V$4:$W$7)</f>
        <v>0.7+</v>
      </c>
      <c r="P1175" s="1">
        <v>31</v>
      </c>
      <c r="Q1175" t="str">
        <f>LOOKUP(P1175,Sheet2!$Z$4:$AA$7)</f>
        <v>26-35</v>
      </c>
      <c r="R1175" s="1">
        <v>1</v>
      </c>
      <c r="S1175" t="str">
        <f>IF(R1175=1,"Positive","Negative")</f>
        <v>Positive</v>
      </c>
      <c r="T1175" s="1" t="str">
        <f>IFERROR(VLOOKUP(A1175,[1]diabetes_Recognition!$A:$B,2,FALSE),"Not Sampled")</f>
        <v>Not Sampled</v>
      </c>
      <c r="U1175" t="str">
        <f>IF(T1175=1,"Positive",(IF(T1175=0,"Negative","Not Sampled")))</f>
        <v>Not Sampled</v>
      </c>
      <c r="V1175" s="1" t="str">
        <f>IF(U1175="Not Sampled","Not Sampled",IF(S1175=U1175,"Accurate Prediction","Inaccurate Prediction"))</f>
        <v>Not Sampled</v>
      </c>
    </row>
    <row r="1176" spans="1:22" x14ac:dyDescent="0.25">
      <c r="A1176" s="1">
        <v>1174</v>
      </c>
      <c r="B1176" s="1">
        <v>10</v>
      </c>
      <c r="C1176" s="1" t="str">
        <f>LOOKUP(B1176,Sheet2!$D$4:$E$9)</f>
        <v>8+</v>
      </c>
      <c r="D1176" s="1">
        <v>94</v>
      </c>
      <c r="E1176" t="str">
        <f>LOOKUP(D1176,Sheet2!$G$4:$H$9)</f>
        <v>1-99</v>
      </c>
      <c r="F1176" s="1">
        <v>72</v>
      </c>
      <c r="G1176" t="str">
        <f>LOOKUP(F1176,Sheet2!$J$4:$K$8)</f>
        <v>70-79</v>
      </c>
      <c r="H1176" s="1">
        <v>18</v>
      </c>
      <c r="I1176" t="str">
        <f>LOOKUP(H1176,Sheet2!$M$4:$N$8)</f>
        <v>10-30</v>
      </c>
      <c r="J1176" s="1">
        <v>0</v>
      </c>
      <c r="K1176" t="str">
        <f>LOOKUP(J1176,Sheet2!$P$4:$Q$9)</f>
        <v>Unknown</v>
      </c>
      <c r="L1176" s="1">
        <v>23.1</v>
      </c>
      <c r="M1176" t="str">
        <f>LOOKUP(L1176,Sheet2!$S$4:$T$8)</f>
        <v>1-25</v>
      </c>
      <c r="N1176" s="1">
        <v>0.59499999999999997</v>
      </c>
      <c r="O1176" t="str">
        <f>LOOKUP(N1176,Sheet2!$V$4:$W$7)</f>
        <v>0.4 - 0.69</v>
      </c>
      <c r="P1176" s="1">
        <v>56</v>
      </c>
      <c r="Q1176" t="str">
        <f>LOOKUP(P1176,Sheet2!$Z$4:$AA$7)</f>
        <v>46+</v>
      </c>
      <c r="R1176" s="1">
        <v>0</v>
      </c>
      <c r="S1176" t="str">
        <f>IF(R1176=1,"Positive","Negative")</f>
        <v>Negative</v>
      </c>
      <c r="T1176" s="1" t="str">
        <f>IFERROR(VLOOKUP(A1176,[1]diabetes_Recognition!$A:$B,2,FALSE),"Not Sampled")</f>
        <v>Not Sampled</v>
      </c>
      <c r="U1176" t="str">
        <f>IF(T1176=1,"Positive",(IF(T1176=0,"Negative","Not Sampled")))</f>
        <v>Not Sampled</v>
      </c>
      <c r="V1176" s="1" t="str">
        <f>IF(U1176="Not Sampled","Not Sampled",IF(S1176=U1176,"Accurate Prediction","Inaccurate Prediction"))</f>
        <v>Not Sampled</v>
      </c>
    </row>
    <row r="1177" spans="1:22" x14ac:dyDescent="0.25">
      <c r="A1177" s="1">
        <v>1175</v>
      </c>
      <c r="B1177" s="1">
        <v>1</v>
      </c>
      <c r="C1177" s="1">
        <f>LOOKUP(B1177,Sheet2!$D$4:$E$9)</f>
        <v>1</v>
      </c>
      <c r="D1177" s="1">
        <v>108</v>
      </c>
      <c r="E1177" t="str">
        <f>LOOKUP(D1177,Sheet2!$G$4:$H$9)</f>
        <v>100-125</v>
      </c>
      <c r="F1177" s="1">
        <v>60</v>
      </c>
      <c r="G1177" t="str">
        <f>LOOKUP(F1177,Sheet2!$J$4:$K$8)</f>
        <v>60-69</v>
      </c>
      <c r="H1177" s="1">
        <v>46</v>
      </c>
      <c r="I1177" t="str">
        <f>LOOKUP(H1177,Sheet2!$M$4:$N$8)</f>
        <v>40+</v>
      </c>
      <c r="J1177" s="1">
        <v>178</v>
      </c>
      <c r="K1177" t="str">
        <f>LOOKUP(J1177,Sheet2!$P$4:$Q$9)</f>
        <v>100-199</v>
      </c>
      <c r="L1177" s="1">
        <v>35.5</v>
      </c>
      <c r="M1177" t="str">
        <f>LOOKUP(L1177,Sheet2!$S$4:$T$8)</f>
        <v>31-35</v>
      </c>
      <c r="N1177" s="1">
        <v>0.41499999999999998</v>
      </c>
      <c r="O1177" t="str">
        <f>LOOKUP(N1177,Sheet2!$V$4:$W$7)</f>
        <v>0.4 - 0.69</v>
      </c>
      <c r="P1177" s="1">
        <v>24</v>
      </c>
      <c r="Q1177" t="str">
        <f>LOOKUP(P1177,Sheet2!$Z$4:$AA$7)</f>
        <v>&lt;=25</v>
      </c>
      <c r="R1177" s="1">
        <v>0</v>
      </c>
      <c r="S1177" t="str">
        <f>IF(R1177=1,"Positive","Negative")</f>
        <v>Negative</v>
      </c>
      <c r="T1177" s="1" t="str">
        <f>IFERROR(VLOOKUP(A1177,[1]diabetes_Recognition!$A:$B,2,FALSE),"Not Sampled")</f>
        <v>Not Sampled</v>
      </c>
      <c r="U1177" t="str">
        <f>IF(T1177=1,"Positive",(IF(T1177=0,"Negative","Not Sampled")))</f>
        <v>Not Sampled</v>
      </c>
      <c r="V1177" s="1" t="str">
        <f>IF(U1177="Not Sampled","Not Sampled",IF(S1177=U1177,"Accurate Prediction","Inaccurate Prediction"))</f>
        <v>Not Sampled</v>
      </c>
    </row>
    <row r="1178" spans="1:22" x14ac:dyDescent="0.25">
      <c r="A1178" s="1">
        <v>1176</v>
      </c>
      <c r="B1178" s="1">
        <v>5</v>
      </c>
      <c r="C1178" s="1" t="str">
        <f>LOOKUP(B1178,Sheet2!$D$4:$E$9)</f>
        <v>5-7</v>
      </c>
      <c r="D1178" s="1">
        <v>97</v>
      </c>
      <c r="E1178" t="str">
        <f>LOOKUP(D1178,Sheet2!$G$4:$H$9)</f>
        <v>1-99</v>
      </c>
      <c r="F1178" s="1">
        <v>76</v>
      </c>
      <c r="G1178" t="str">
        <f>LOOKUP(F1178,Sheet2!$J$4:$K$8)</f>
        <v>70-79</v>
      </c>
      <c r="H1178" s="1">
        <v>27</v>
      </c>
      <c r="I1178" t="str">
        <f>LOOKUP(H1178,Sheet2!$M$4:$N$8)</f>
        <v>10-30</v>
      </c>
      <c r="J1178" s="1">
        <v>0</v>
      </c>
      <c r="K1178" t="str">
        <f>LOOKUP(J1178,Sheet2!$P$4:$Q$9)</f>
        <v>Unknown</v>
      </c>
      <c r="L1178" s="1">
        <v>35.6</v>
      </c>
      <c r="M1178" t="str">
        <f>LOOKUP(L1178,Sheet2!$S$4:$T$8)</f>
        <v>31-35</v>
      </c>
      <c r="N1178" s="1">
        <v>0.378</v>
      </c>
      <c r="O1178" t="str">
        <f>LOOKUP(N1178,Sheet2!$V$4:$W$7)</f>
        <v>0.25 - 0.39</v>
      </c>
      <c r="P1178" s="1">
        <v>52</v>
      </c>
      <c r="Q1178" t="str">
        <f>LOOKUP(P1178,Sheet2!$Z$4:$AA$7)</f>
        <v>46+</v>
      </c>
      <c r="R1178" s="1">
        <v>1</v>
      </c>
      <c r="S1178" t="str">
        <f>IF(R1178=1,"Positive","Negative")</f>
        <v>Positive</v>
      </c>
      <c r="T1178" s="1" t="str">
        <f>IFERROR(VLOOKUP(A1178,[1]diabetes_Recognition!$A:$B,2,FALSE),"Not Sampled")</f>
        <v>Not Sampled</v>
      </c>
      <c r="U1178" t="str">
        <f>IF(T1178=1,"Positive",(IF(T1178=0,"Negative","Not Sampled")))</f>
        <v>Not Sampled</v>
      </c>
      <c r="V1178" s="1" t="str">
        <f>IF(U1178="Not Sampled","Not Sampled",IF(S1178=U1178,"Accurate Prediction","Inaccurate Prediction"))</f>
        <v>Not Sampled</v>
      </c>
    </row>
    <row r="1179" spans="1:22" x14ac:dyDescent="0.25">
      <c r="A1179" s="1">
        <v>1177</v>
      </c>
      <c r="B1179" s="1">
        <v>4</v>
      </c>
      <c r="C1179" s="1" t="str">
        <f>LOOKUP(B1179,Sheet2!$D$4:$E$9)</f>
        <v>3-4</v>
      </c>
      <c r="D1179" s="1">
        <v>83</v>
      </c>
      <c r="E1179" t="str">
        <f>LOOKUP(D1179,Sheet2!$G$4:$H$9)</f>
        <v>1-99</v>
      </c>
      <c r="F1179" s="1">
        <v>86</v>
      </c>
      <c r="G1179" t="str">
        <f>LOOKUP(F1179,Sheet2!$J$4:$K$8)</f>
        <v>80+</v>
      </c>
      <c r="H1179" s="1">
        <v>19</v>
      </c>
      <c r="I1179" t="str">
        <f>LOOKUP(H1179,Sheet2!$M$4:$N$8)</f>
        <v>10-30</v>
      </c>
      <c r="J1179" s="1">
        <v>0</v>
      </c>
      <c r="K1179" t="str">
        <f>LOOKUP(J1179,Sheet2!$P$4:$Q$9)</f>
        <v>Unknown</v>
      </c>
      <c r="L1179" s="1">
        <v>29.3</v>
      </c>
      <c r="M1179" t="str">
        <f>LOOKUP(L1179,Sheet2!$S$4:$T$8)</f>
        <v>26-30</v>
      </c>
      <c r="N1179" s="1">
        <v>0.317</v>
      </c>
      <c r="O1179" t="str">
        <f>LOOKUP(N1179,Sheet2!$V$4:$W$7)</f>
        <v>0.25 - 0.39</v>
      </c>
      <c r="P1179" s="1">
        <v>34</v>
      </c>
      <c r="Q1179" t="str">
        <f>LOOKUP(P1179,Sheet2!$Z$4:$AA$7)</f>
        <v>26-35</v>
      </c>
      <c r="R1179" s="1">
        <v>0</v>
      </c>
      <c r="S1179" t="str">
        <f>IF(R1179=1,"Positive","Negative")</f>
        <v>Negative</v>
      </c>
      <c r="T1179" s="1" t="str">
        <f>IFERROR(VLOOKUP(A1179,[1]diabetes_Recognition!$A:$B,2,FALSE),"Not Sampled")</f>
        <v>Not Sampled</v>
      </c>
      <c r="U1179" t="str">
        <f>IF(T1179=1,"Positive",(IF(T1179=0,"Negative","Not Sampled")))</f>
        <v>Not Sampled</v>
      </c>
      <c r="V1179" s="1" t="str">
        <f>IF(U1179="Not Sampled","Not Sampled",IF(S1179=U1179,"Accurate Prediction","Inaccurate Prediction"))</f>
        <v>Not Sampled</v>
      </c>
    </row>
    <row r="1180" spans="1:22" x14ac:dyDescent="0.25">
      <c r="A1180" s="1">
        <v>1178</v>
      </c>
      <c r="B1180" s="1">
        <v>1</v>
      </c>
      <c r="C1180" s="1">
        <f>LOOKUP(B1180,Sheet2!$D$4:$E$9)</f>
        <v>1</v>
      </c>
      <c r="D1180" s="1">
        <v>114</v>
      </c>
      <c r="E1180" t="str">
        <f>LOOKUP(D1180,Sheet2!$G$4:$H$9)</f>
        <v>100-125</v>
      </c>
      <c r="F1180" s="1">
        <v>66</v>
      </c>
      <c r="G1180" t="str">
        <f>LOOKUP(F1180,Sheet2!$J$4:$K$8)</f>
        <v>60-69</v>
      </c>
      <c r="H1180" s="1">
        <v>36</v>
      </c>
      <c r="I1180" t="str">
        <f>LOOKUP(H1180,Sheet2!$M$4:$N$8)</f>
        <v>30-39</v>
      </c>
      <c r="J1180" s="1">
        <v>200</v>
      </c>
      <c r="K1180" t="str">
        <f>LOOKUP(J1180,Sheet2!$P$4:$Q$9)</f>
        <v>200-399</v>
      </c>
      <c r="L1180" s="1">
        <v>38.1</v>
      </c>
      <c r="M1180" t="str">
        <f>LOOKUP(L1180,Sheet2!$S$4:$T$8)</f>
        <v>36+</v>
      </c>
      <c r="N1180" s="1">
        <v>0.28899999999999998</v>
      </c>
      <c r="O1180" t="str">
        <f>LOOKUP(N1180,Sheet2!$V$4:$W$7)</f>
        <v>0.25 - 0.39</v>
      </c>
      <c r="P1180" s="1">
        <v>21</v>
      </c>
      <c r="Q1180" t="str">
        <f>LOOKUP(P1180,Sheet2!$Z$4:$AA$7)</f>
        <v>&lt;=25</v>
      </c>
      <c r="R1180" s="1">
        <v>0</v>
      </c>
      <c r="S1180" t="str">
        <f>IF(R1180=1,"Positive","Negative")</f>
        <v>Negative</v>
      </c>
      <c r="T1180" s="1">
        <f>IFERROR(VLOOKUP(A1180,[1]diabetes_Recognition!$A:$B,2,FALSE),"Not Sampled")</f>
        <v>0</v>
      </c>
      <c r="U1180" t="str">
        <f>IF(T1180=1,"Positive",(IF(T1180=0,"Negative","Not Sampled")))</f>
        <v>Negative</v>
      </c>
      <c r="V1180" s="1" t="str">
        <f>IF(U1180="Not Sampled","Not Sampled",IF(S1180=U1180,"Accurate Prediction","Inaccurate Prediction"))</f>
        <v>Accurate Prediction</v>
      </c>
    </row>
    <row r="1181" spans="1:22" x14ac:dyDescent="0.25">
      <c r="A1181" s="1">
        <v>1179</v>
      </c>
      <c r="B1181" s="1">
        <v>1</v>
      </c>
      <c r="C1181" s="1">
        <f>LOOKUP(B1181,Sheet2!$D$4:$E$9)</f>
        <v>1</v>
      </c>
      <c r="D1181" s="1">
        <v>149</v>
      </c>
      <c r="E1181" t="str">
        <f>LOOKUP(D1181,Sheet2!$G$4:$H$9)</f>
        <v>126-150</v>
      </c>
      <c r="F1181" s="1">
        <v>68</v>
      </c>
      <c r="G1181" t="str">
        <f>LOOKUP(F1181,Sheet2!$J$4:$K$8)</f>
        <v>60-69</v>
      </c>
      <c r="H1181" s="1">
        <v>29</v>
      </c>
      <c r="I1181" t="str">
        <f>LOOKUP(H1181,Sheet2!$M$4:$N$8)</f>
        <v>10-30</v>
      </c>
      <c r="J1181" s="1">
        <v>127</v>
      </c>
      <c r="K1181" t="str">
        <f>LOOKUP(J1181,Sheet2!$P$4:$Q$9)</f>
        <v>100-199</v>
      </c>
      <c r="L1181" s="1">
        <v>29.3</v>
      </c>
      <c r="M1181" t="str">
        <f>LOOKUP(L1181,Sheet2!$S$4:$T$8)</f>
        <v>26-30</v>
      </c>
      <c r="N1181" s="1">
        <v>0.34899999999999998</v>
      </c>
      <c r="O1181" t="str">
        <f>LOOKUP(N1181,Sheet2!$V$4:$W$7)</f>
        <v>0.25 - 0.39</v>
      </c>
      <c r="P1181" s="1">
        <v>42</v>
      </c>
      <c r="Q1181" t="str">
        <f>LOOKUP(P1181,Sheet2!$Z$4:$AA$7)</f>
        <v>36-45</v>
      </c>
      <c r="R1181" s="1">
        <v>1</v>
      </c>
      <c r="S1181" t="str">
        <f>IF(R1181=1,"Positive","Negative")</f>
        <v>Positive</v>
      </c>
      <c r="T1181" s="1" t="str">
        <f>IFERROR(VLOOKUP(A1181,[1]diabetes_Recognition!$A:$B,2,FALSE),"Not Sampled")</f>
        <v>Not Sampled</v>
      </c>
      <c r="U1181" t="str">
        <f>IF(T1181=1,"Positive",(IF(T1181=0,"Negative","Not Sampled")))</f>
        <v>Not Sampled</v>
      </c>
      <c r="V1181" s="1" t="str">
        <f>IF(U1181="Not Sampled","Not Sampled",IF(S1181=U1181,"Accurate Prediction","Inaccurate Prediction"))</f>
        <v>Not Sampled</v>
      </c>
    </row>
    <row r="1182" spans="1:22" x14ac:dyDescent="0.25">
      <c r="A1182" s="1">
        <v>1180</v>
      </c>
      <c r="B1182" s="1">
        <v>5</v>
      </c>
      <c r="C1182" s="1" t="str">
        <f>LOOKUP(B1182,Sheet2!$D$4:$E$9)</f>
        <v>5-7</v>
      </c>
      <c r="D1182" s="1">
        <v>117</v>
      </c>
      <c r="E1182" t="str">
        <f>LOOKUP(D1182,Sheet2!$G$4:$H$9)</f>
        <v>100-125</v>
      </c>
      <c r="F1182" s="1">
        <v>86</v>
      </c>
      <c r="G1182" t="str">
        <f>LOOKUP(F1182,Sheet2!$J$4:$K$8)</f>
        <v>80+</v>
      </c>
      <c r="H1182" s="1">
        <v>30</v>
      </c>
      <c r="I1182" t="str">
        <f>LOOKUP(H1182,Sheet2!$M$4:$N$8)</f>
        <v>30-39</v>
      </c>
      <c r="J1182" s="1">
        <v>105</v>
      </c>
      <c r="K1182" t="str">
        <f>LOOKUP(J1182,Sheet2!$P$4:$Q$9)</f>
        <v>100-199</v>
      </c>
      <c r="L1182" s="1">
        <v>39.1</v>
      </c>
      <c r="M1182" t="str">
        <f>LOOKUP(L1182,Sheet2!$S$4:$T$8)</f>
        <v>36+</v>
      </c>
      <c r="N1182" s="1">
        <v>0.251</v>
      </c>
      <c r="O1182" t="str">
        <f>LOOKUP(N1182,Sheet2!$V$4:$W$7)</f>
        <v>0.25 - 0.39</v>
      </c>
      <c r="P1182" s="1">
        <v>42</v>
      </c>
      <c r="Q1182" t="str">
        <f>LOOKUP(P1182,Sheet2!$Z$4:$AA$7)</f>
        <v>36-45</v>
      </c>
      <c r="R1182" s="1">
        <v>0</v>
      </c>
      <c r="S1182" t="str">
        <f>IF(R1182=1,"Positive","Negative")</f>
        <v>Negative</v>
      </c>
      <c r="T1182" s="1" t="str">
        <f>IFERROR(VLOOKUP(A1182,[1]diabetes_Recognition!$A:$B,2,FALSE),"Not Sampled")</f>
        <v>Not Sampled</v>
      </c>
      <c r="U1182" t="str">
        <f>IF(T1182=1,"Positive",(IF(T1182=0,"Negative","Not Sampled")))</f>
        <v>Not Sampled</v>
      </c>
      <c r="V1182" s="1" t="str">
        <f>IF(U1182="Not Sampled","Not Sampled",IF(S1182=U1182,"Accurate Prediction","Inaccurate Prediction"))</f>
        <v>Not Sampled</v>
      </c>
    </row>
    <row r="1183" spans="1:22" x14ac:dyDescent="0.25">
      <c r="A1183" s="1">
        <v>1181</v>
      </c>
      <c r="B1183" s="1">
        <v>1</v>
      </c>
      <c r="C1183" s="1">
        <f>LOOKUP(B1183,Sheet2!$D$4:$E$9)</f>
        <v>1</v>
      </c>
      <c r="D1183" s="1">
        <v>111</v>
      </c>
      <c r="E1183" t="str">
        <f>LOOKUP(D1183,Sheet2!$G$4:$H$9)</f>
        <v>100-125</v>
      </c>
      <c r="F1183" s="1">
        <v>94</v>
      </c>
      <c r="G1183" t="str">
        <f>LOOKUP(F1183,Sheet2!$J$4:$K$8)</f>
        <v>80+</v>
      </c>
      <c r="H1183" s="1">
        <v>0</v>
      </c>
      <c r="I1183" t="str">
        <f>LOOKUP(H1183,Sheet2!$M$4:$N$8)</f>
        <v>Unknown</v>
      </c>
      <c r="J1183" s="1">
        <v>0</v>
      </c>
      <c r="K1183" t="str">
        <f>LOOKUP(J1183,Sheet2!$P$4:$Q$9)</f>
        <v>Unknown</v>
      </c>
      <c r="L1183" s="1">
        <v>32.799999999999997</v>
      </c>
      <c r="M1183" t="str">
        <f>LOOKUP(L1183,Sheet2!$S$4:$T$8)</f>
        <v>31-35</v>
      </c>
      <c r="N1183" s="1">
        <v>0.26500000000000001</v>
      </c>
      <c r="O1183" t="str">
        <f>LOOKUP(N1183,Sheet2!$V$4:$W$7)</f>
        <v>0.25 - 0.39</v>
      </c>
      <c r="P1183" s="1">
        <v>45</v>
      </c>
      <c r="Q1183" t="str">
        <f>LOOKUP(P1183,Sheet2!$Z$4:$AA$7)</f>
        <v>36-45</v>
      </c>
      <c r="R1183" s="1">
        <v>0</v>
      </c>
      <c r="S1183" t="str">
        <f>IF(R1183=1,"Positive","Negative")</f>
        <v>Negative</v>
      </c>
      <c r="T1183" s="1" t="str">
        <f>IFERROR(VLOOKUP(A1183,[1]diabetes_Recognition!$A:$B,2,FALSE),"Not Sampled")</f>
        <v>Not Sampled</v>
      </c>
      <c r="U1183" t="str">
        <f>IF(T1183=1,"Positive",(IF(T1183=0,"Negative","Not Sampled")))</f>
        <v>Not Sampled</v>
      </c>
      <c r="V1183" s="1" t="str">
        <f>IF(U1183="Not Sampled","Not Sampled",IF(S1183=U1183,"Accurate Prediction","Inaccurate Prediction"))</f>
        <v>Not Sampled</v>
      </c>
    </row>
    <row r="1184" spans="1:22" x14ac:dyDescent="0.25">
      <c r="A1184" s="1">
        <v>1182</v>
      </c>
      <c r="B1184" s="1">
        <v>4</v>
      </c>
      <c r="C1184" s="1" t="str">
        <f>LOOKUP(B1184,Sheet2!$D$4:$E$9)</f>
        <v>3-4</v>
      </c>
      <c r="D1184" s="1">
        <v>112</v>
      </c>
      <c r="E1184" t="str">
        <f>LOOKUP(D1184,Sheet2!$G$4:$H$9)</f>
        <v>100-125</v>
      </c>
      <c r="F1184" s="1">
        <v>78</v>
      </c>
      <c r="G1184" t="str">
        <f>LOOKUP(F1184,Sheet2!$J$4:$K$8)</f>
        <v>70-79</v>
      </c>
      <c r="H1184" s="1">
        <v>40</v>
      </c>
      <c r="I1184" t="str">
        <f>LOOKUP(H1184,Sheet2!$M$4:$N$8)</f>
        <v>40+</v>
      </c>
      <c r="J1184" s="1">
        <v>0</v>
      </c>
      <c r="K1184" t="str">
        <f>LOOKUP(J1184,Sheet2!$P$4:$Q$9)</f>
        <v>Unknown</v>
      </c>
      <c r="L1184" s="1">
        <v>39.4</v>
      </c>
      <c r="M1184" t="str">
        <f>LOOKUP(L1184,Sheet2!$S$4:$T$8)</f>
        <v>36+</v>
      </c>
      <c r="N1184" s="1">
        <v>0.23599999999999999</v>
      </c>
      <c r="O1184" t="str">
        <f>LOOKUP(N1184,Sheet2!$V$4:$W$7)</f>
        <v>0.0 - 0.249</v>
      </c>
      <c r="P1184" s="1">
        <v>38</v>
      </c>
      <c r="Q1184" t="str">
        <f>LOOKUP(P1184,Sheet2!$Z$4:$AA$7)</f>
        <v>36-45</v>
      </c>
      <c r="R1184" s="1">
        <v>0</v>
      </c>
      <c r="S1184" t="str">
        <f>IF(R1184=1,"Positive","Negative")</f>
        <v>Negative</v>
      </c>
      <c r="T1184" s="1" t="str">
        <f>IFERROR(VLOOKUP(A1184,[1]diabetes_Recognition!$A:$B,2,FALSE),"Not Sampled")</f>
        <v>Not Sampled</v>
      </c>
      <c r="U1184" t="str">
        <f>IF(T1184=1,"Positive",(IF(T1184=0,"Negative","Not Sampled")))</f>
        <v>Not Sampled</v>
      </c>
      <c r="V1184" s="1" t="str">
        <f>IF(U1184="Not Sampled","Not Sampled",IF(S1184=U1184,"Accurate Prediction","Inaccurate Prediction"))</f>
        <v>Not Sampled</v>
      </c>
    </row>
    <row r="1185" spans="1:22" x14ac:dyDescent="0.25">
      <c r="A1185" s="1">
        <v>1183</v>
      </c>
      <c r="B1185" s="1">
        <v>1</v>
      </c>
      <c r="C1185" s="1">
        <f>LOOKUP(B1185,Sheet2!$D$4:$E$9)</f>
        <v>1</v>
      </c>
      <c r="D1185" s="1">
        <v>116</v>
      </c>
      <c r="E1185" t="str">
        <f>LOOKUP(D1185,Sheet2!$G$4:$H$9)</f>
        <v>100-125</v>
      </c>
      <c r="F1185" s="1">
        <v>78</v>
      </c>
      <c r="G1185" t="str">
        <f>LOOKUP(F1185,Sheet2!$J$4:$K$8)</f>
        <v>70-79</v>
      </c>
      <c r="H1185" s="1">
        <v>29</v>
      </c>
      <c r="I1185" t="str">
        <f>LOOKUP(H1185,Sheet2!$M$4:$N$8)</f>
        <v>10-30</v>
      </c>
      <c r="J1185" s="1">
        <v>180</v>
      </c>
      <c r="K1185" t="str">
        <f>LOOKUP(J1185,Sheet2!$P$4:$Q$9)</f>
        <v>100-199</v>
      </c>
      <c r="L1185" s="1">
        <v>36.1</v>
      </c>
      <c r="M1185" t="str">
        <f>LOOKUP(L1185,Sheet2!$S$4:$T$8)</f>
        <v>36+</v>
      </c>
      <c r="N1185" s="1">
        <v>0.496</v>
      </c>
      <c r="O1185" t="str">
        <f>LOOKUP(N1185,Sheet2!$V$4:$W$7)</f>
        <v>0.4 - 0.69</v>
      </c>
      <c r="P1185" s="1">
        <v>25</v>
      </c>
      <c r="Q1185" t="str">
        <f>LOOKUP(P1185,Sheet2!$Z$4:$AA$7)</f>
        <v>&lt;=25</v>
      </c>
      <c r="R1185" s="1">
        <v>0</v>
      </c>
      <c r="S1185" t="str">
        <f>IF(R1185=1,"Positive","Negative")</f>
        <v>Negative</v>
      </c>
      <c r="T1185" s="1" t="str">
        <f>IFERROR(VLOOKUP(A1185,[1]diabetes_Recognition!$A:$B,2,FALSE),"Not Sampled")</f>
        <v>Not Sampled</v>
      </c>
      <c r="U1185" t="str">
        <f>IF(T1185=1,"Positive",(IF(T1185=0,"Negative","Not Sampled")))</f>
        <v>Not Sampled</v>
      </c>
      <c r="V1185" s="1" t="str">
        <f>IF(U1185="Not Sampled","Not Sampled",IF(S1185=U1185,"Accurate Prediction","Inaccurate Prediction"))</f>
        <v>Not Sampled</v>
      </c>
    </row>
    <row r="1186" spans="1:22" x14ac:dyDescent="0.25">
      <c r="A1186" s="1">
        <v>1184</v>
      </c>
      <c r="B1186" s="1">
        <v>0</v>
      </c>
      <c r="C1186" s="1">
        <f>LOOKUP(B1186,Sheet2!$D$4:$E$9)</f>
        <v>0</v>
      </c>
      <c r="D1186" s="1">
        <v>141</v>
      </c>
      <c r="E1186" t="str">
        <f>LOOKUP(D1186,Sheet2!$G$4:$H$9)</f>
        <v>126-150</v>
      </c>
      <c r="F1186" s="1">
        <v>84</v>
      </c>
      <c r="G1186" t="str">
        <f>LOOKUP(F1186,Sheet2!$J$4:$K$8)</f>
        <v>80+</v>
      </c>
      <c r="H1186" s="1">
        <v>26</v>
      </c>
      <c r="I1186" t="str">
        <f>LOOKUP(H1186,Sheet2!$M$4:$N$8)</f>
        <v>10-30</v>
      </c>
      <c r="J1186" s="1">
        <v>0</v>
      </c>
      <c r="K1186" t="str">
        <f>LOOKUP(J1186,Sheet2!$P$4:$Q$9)</f>
        <v>Unknown</v>
      </c>
      <c r="L1186" s="1">
        <v>32.4</v>
      </c>
      <c r="M1186" t="str">
        <f>LOOKUP(L1186,Sheet2!$S$4:$T$8)</f>
        <v>31-35</v>
      </c>
      <c r="N1186" s="1">
        <v>0.433</v>
      </c>
      <c r="O1186" t="str">
        <f>LOOKUP(N1186,Sheet2!$V$4:$W$7)</f>
        <v>0.4 - 0.69</v>
      </c>
      <c r="P1186" s="1">
        <v>22</v>
      </c>
      <c r="Q1186" t="str">
        <f>LOOKUP(P1186,Sheet2!$Z$4:$AA$7)</f>
        <v>&lt;=25</v>
      </c>
      <c r="R1186" s="1">
        <v>0</v>
      </c>
      <c r="S1186" t="str">
        <f>IF(R1186=1,"Positive","Negative")</f>
        <v>Negative</v>
      </c>
      <c r="T1186" s="1">
        <f>IFERROR(VLOOKUP(A1186,[1]diabetes_Recognition!$A:$B,2,FALSE),"Not Sampled")</f>
        <v>0</v>
      </c>
      <c r="U1186" t="str">
        <f>IF(T1186=1,"Positive",(IF(T1186=0,"Negative","Not Sampled")))</f>
        <v>Negative</v>
      </c>
      <c r="V1186" s="1" t="str">
        <f>IF(U1186="Not Sampled","Not Sampled",IF(S1186=U1186,"Accurate Prediction","Inaccurate Prediction"))</f>
        <v>Accurate Prediction</v>
      </c>
    </row>
    <row r="1187" spans="1:22" x14ac:dyDescent="0.25">
      <c r="A1187" s="1">
        <v>1185</v>
      </c>
      <c r="B1187" s="1">
        <v>2</v>
      </c>
      <c r="C1187" s="1">
        <f>LOOKUP(B1187,Sheet2!$D$4:$E$9)</f>
        <v>2</v>
      </c>
      <c r="D1187" s="1">
        <v>175</v>
      </c>
      <c r="E1187" t="str">
        <f>LOOKUP(D1187,Sheet2!$G$4:$H$9)</f>
        <v>151-175</v>
      </c>
      <c r="F1187" s="1">
        <v>88</v>
      </c>
      <c r="G1187" t="str">
        <f>LOOKUP(F1187,Sheet2!$J$4:$K$8)</f>
        <v>80+</v>
      </c>
      <c r="H1187" s="1">
        <v>0</v>
      </c>
      <c r="I1187" t="str">
        <f>LOOKUP(H1187,Sheet2!$M$4:$N$8)</f>
        <v>Unknown</v>
      </c>
      <c r="J1187" s="1">
        <v>0</v>
      </c>
      <c r="K1187" t="str">
        <f>LOOKUP(J1187,Sheet2!$P$4:$Q$9)</f>
        <v>Unknown</v>
      </c>
      <c r="L1187" s="1">
        <v>22.9</v>
      </c>
      <c r="M1187" t="str">
        <f>LOOKUP(L1187,Sheet2!$S$4:$T$8)</f>
        <v>1-25</v>
      </c>
      <c r="N1187" s="1">
        <v>0.32600000000000001</v>
      </c>
      <c r="O1187" t="str">
        <f>LOOKUP(N1187,Sheet2!$V$4:$W$7)</f>
        <v>0.25 - 0.39</v>
      </c>
      <c r="P1187" s="1">
        <v>22</v>
      </c>
      <c r="Q1187" t="str">
        <f>LOOKUP(P1187,Sheet2!$Z$4:$AA$7)</f>
        <v>&lt;=25</v>
      </c>
      <c r="R1187" s="1">
        <v>0</v>
      </c>
      <c r="S1187" t="str">
        <f>IF(R1187=1,"Positive","Negative")</f>
        <v>Negative</v>
      </c>
      <c r="T1187" s="1" t="str">
        <f>IFERROR(VLOOKUP(A1187,[1]diabetes_Recognition!$A:$B,2,FALSE),"Not Sampled")</f>
        <v>Not Sampled</v>
      </c>
      <c r="U1187" t="str">
        <f>IF(T1187=1,"Positive",(IF(T1187=0,"Negative","Not Sampled")))</f>
        <v>Not Sampled</v>
      </c>
      <c r="V1187" s="1" t="str">
        <f>IF(U1187="Not Sampled","Not Sampled",IF(S1187=U1187,"Accurate Prediction","Inaccurate Prediction"))</f>
        <v>Not Sampled</v>
      </c>
    </row>
    <row r="1188" spans="1:22" x14ac:dyDescent="0.25">
      <c r="A1188" s="1">
        <v>1186</v>
      </c>
      <c r="B1188" s="1">
        <v>2</v>
      </c>
      <c r="C1188" s="1">
        <f>LOOKUP(B1188,Sheet2!$D$4:$E$9)</f>
        <v>2</v>
      </c>
      <c r="D1188" s="1">
        <v>92</v>
      </c>
      <c r="E1188" t="str">
        <f>LOOKUP(D1188,Sheet2!$G$4:$H$9)</f>
        <v>1-99</v>
      </c>
      <c r="F1188" s="1">
        <v>52</v>
      </c>
      <c r="G1188" t="str">
        <f>LOOKUP(F1188,Sheet2!$J$4:$K$8)</f>
        <v>1-59</v>
      </c>
      <c r="H1188" s="1">
        <v>0</v>
      </c>
      <c r="I1188" t="str">
        <f>LOOKUP(H1188,Sheet2!$M$4:$N$8)</f>
        <v>Unknown</v>
      </c>
      <c r="J1188" s="1">
        <v>0</v>
      </c>
      <c r="K1188" t="str">
        <f>LOOKUP(J1188,Sheet2!$P$4:$Q$9)</f>
        <v>Unknown</v>
      </c>
      <c r="L1188" s="1">
        <v>30.1</v>
      </c>
      <c r="M1188" t="str">
        <f>LOOKUP(L1188,Sheet2!$S$4:$T$8)</f>
        <v>26-30</v>
      </c>
      <c r="N1188" s="1">
        <v>0.14099999999999999</v>
      </c>
      <c r="O1188" t="str">
        <f>LOOKUP(N1188,Sheet2!$V$4:$W$7)</f>
        <v>0.0 - 0.249</v>
      </c>
      <c r="P1188" s="1">
        <v>22</v>
      </c>
      <c r="Q1188" t="str">
        <f>LOOKUP(P1188,Sheet2!$Z$4:$AA$7)</f>
        <v>&lt;=25</v>
      </c>
      <c r="R1188" s="1">
        <v>0</v>
      </c>
      <c r="S1188" t="str">
        <f>IF(R1188=1,"Positive","Negative")</f>
        <v>Negative</v>
      </c>
      <c r="T1188" s="1" t="str">
        <f>IFERROR(VLOOKUP(A1188,[1]diabetes_Recognition!$A:$B,2,FALSE),"Not Sampled")</f>
        <v>Not Sampled</v>
      </c>
      <c r="U1188" t="str">
        <f>IF(T1188=1,"Positive",(IF(T1188=0,"Negative","Not Sampled")))</f>
        <v>Not Sampled</v>
      </c>
      <c r="V1188" s="1" t="str">
        <f>IF(U1188="Not Sampled","Not Sampled",IF(S1188=U1188,"Accurate Prediction","Inaccurate Prediction"))</f>
        <v>Not Sampled</v>
      </c>
    </row>
    <row r="1189" spans="1:22" x14ac:dyDescent="0.25">
      <c r="A1189" s="1">
        <v>1187</v>
      </c>
      <c r="B1189" s="1">
        <v>3</v>
      </c>
      <c r="C1189" s="1" t="str">
        <f>LOOKUP(B1189,Sheet2!$D$4:$E$9)</f>
        <v>3-4</v>
      </c>
      <c r="D1189" s="1">
        <v>130</v>
      </c>
      <c r="E1189" t="str">
        <f>LOOKUP(D1189,Sheet2!$G$4:$H$9)</f>
        <v>126-150</v>
      </c>
      <c r="F1189" s="1">
        <v>78</v>
      </c>
      <c r="G1189" t="str">
        <f>LOOKUP(F1189,Sheet2!$J$4:$K$8)</f>
        <v>70-79</v>
      </c>
      <c r="H1189" s="1">
        <v>23</v>
      </c>
      <c r="I1189" t="str">
        <f>LOOKUP(H1189,Sheet2!$M$4:$N$8)</f>
        <v>10-30</v>
      </c>
      <c r="J1189" s="1">
        <v>79</v>
      </c>
      <c r="K1189" t="str">
        <f>LOOKUP(J1189,Sheet2!$P$4:$Q$9)</f>
        <v>1-99</v>
      </c>
      <c r="L1189" s="1">
        <v>28.4</v>
      </c>
      <c r="M1189" t="str">
        <f>LOOKUP(L1189,Sheet2!$S$4:$T$8)</f>
        <v>26-30</v>
      </c>
      <c r="N1189" s="1">
        <v>0.32300000000000001</v>
      </c>
      <c r="O1189" t="str">
        <f>LOOKUP(N1189,Sheet2!$V$4:$W$7)</f>
        <v>0.25 - 0.39</v>
      </c>
      <c r="P1189" s="1">
        <v>34</v>
      </c>
      <c r="Q1189" t="str">
        <f>LOOKUP(P1189,Sheet2!$Z$4:$AA$7)</f>
        <v>26-35</v>
      </c>
      <c r="R1189" s="1">
        <v>1</v>
      </c>
      <c r="S1189" t="str">
        <f>IF(R1189=1,"Positive","Negative")</f>
        <v>Positive</v>
      </c>
      <c r="T1189" s="1" t="str">
        <f>IFERROR(VLOOKUP(A1189,[1]diabetes_Recognition!$A:$B,2,FALSE),"Not Sampled")</f>
        <v>Not Sampled</v>
      </c>
      <c r="U1189" t="str">
        <f>IF(T1189=1,"Positive",(IF(T1189=0,"Negative","Not Sampled")))</f>
        <v>Not Sampled</v>
      </c>
      <c r="V1189" s="1" t="str">
        <f>IF(U1189="Not Sampled","Not Sampled",IF(S1189=U1189,"Accurate Prediction","Inaccurate Prediction"))</f>
        <v>Not Sampled</v>
      </c>
    </row>
    <row r="1190" spans="1:22" x14ac:dyDescent="0.25">
      <c r="A1190" s="1">
        <v>1188</v>
      </c>
      <c r="B1190" s="1">
        <v>8</v>
      </c>
      <c r="C1190" s="1" t="str">
        <f>LOOKUP(B1190,Sheet2!$D$4:$E$9)</f>
        <v>8+</v>
      </c>
      <c r="D1190" s="1">
        <v>120</v>
      </c>
      <c r="E1190" t="str">
        <f>LOOKUP(D1190,Sheet2!$G$4:$H$9)</f>
        <v>100-125</v>
      </c>
      <c r="F1190" s="1">
        <v>86</v>
      </c>
      <c r="G1190" t="str">
        <f>LOOKUP(F1190,Sheet2!$J$4:$K$8)</f>
        <v>80+</v>
      </c>
      <c r="H1190" s="1">
        <v>0</v>
      </c>
      <c r="I1190" t="str">
        <f>LOOKUP(H1190,Sheet2!$M$4:$N$8)</f>
        <v>Unknown</v>
      </c>
      <c r="J1190" s="1">
        <v>0</v>
      </c>
      <c r="K1190" t="str">
        <f>LOOKUP(J1190,Sheet2!$P$4:$Q$9)</f>
        <v>Unknown</v>
      </c>
      <c r="L1190" s="1">
        <v>28.4</v>
      </c>
      <c r="M1190" t="str">
        <f>LOOKUP(L1190,Sheet2!$S$4:$T$8)</f>
        <v>26-30</v>
      </c>
      <c r="N1190" s="1">
        <v>0.25900000000000001</v>
      </c>
      <c r="O1190" t="str">
        <f>LOOKUP(N1190,Sheet2!$V$4:$W$7)</f>
        <v>0.25 - 0.39</v>
      </c>
      <c r="P1190" s="1">
        <v>22</v>
      </c>
      <c r="Q1190" t="str">
        <f>LOOKUP(P1190,Sheet2!$Z$4:$AA$7)</f>
        <v>&lt;=25</v>
      </c>
      <c r="R1190" s="1">
        <v>1</v>
      </c>
      <c r="S1190" t="str">
        <f>IF(R1190=1,"Positive","Negative")</f>
        <v>Positive</v>
      </c>
      <c r="T1190" s="1" t="str">
        <f>IFERROR(VLOOKUP(A1190,[1]diabetes_Recognition!$A:$B,2,FALSE),"Not Sampled")</f>
        <v>Not Sampled</v>
      </c>
      <c r="U1190" t="str">
        <f>IF(T1190=1,"Positive",(IF(T1190=0,"Negative","Not Sampled")))</f>
        <v>Not Sampled</v>
      </c>
      <c r="V1190" s="1" t="str">
        <f>IF(U1190="Not Sampled","Not Sampled",IF(S1190=U1190,"Accurate Prediction","Inaccurate Prediction"))</f>
        <v>Not Sampled</v>
      </c>
    </row>
    <row r="1191" spans="1:22" x14ac:dyDescent="0.25">
      <c r="A1191" s="1">
        <v>1189</v>
      </c>
      <c r="B1191" s="1">
        <v>2</v>
      </c>
      <c r="C1191" s="1">
        <f>LOOKUP(B1191,Sheet2!$D$4:$E$9)</f>
        <v>2</v>
      </c>
      <c r="D1191" s="1">
        <v>174</v>
      </c>
      <c r="E1191" t="str">
        <f>LOOKUP(D1191,Sheet2!$G$4:$H$9)</f>
        <v>151-175</v>
      </c>
      <c r="F1191" s="1">
        <v>88</v>
      </c>
      <c r="G1191" t="str">
        <f>LOOKUP(F1191,Sheet2!$J$4:$K$8)</f>
        <v>80+</v>
      </c>
      <c r="H1191" s="1">
        <v>37</v>
      </c>
      <c r="I1191" t="str">
        <f>LOOKUP(H1191,Sheet2!$M$4:$N$8)</f>
        <v>30-39</v>
      </c>
      <c r="J1191" s="1">
        <v>120</v>
      </c>
      <c r="K1191" t="str">
        <f>LOOKUP(J1191,Sheet2!$P$4:$Q$9)</f>
        <v>100-199</v>
      </c>
      <c r="L1191" s="1">
        <v>44.5</v>
      </c>
      <c r="M1191" t="str">
        <f>LOOKUP(L1191,Sheet2!$S$4:$T$8)</f>
        <v>36+</v>
      </c>
      <c r="N1191" s="1">
        <v>0.64600000000000002</v>
      </c>
      <c r="O1191" t="str">
        <f>LOOKUP(N1191,Sheet2!$V$4:$W$7)</f>
        <v>0.4 - 0.69</v>
      </c>
      <c r="P1191" s="1">
        <v>24</v>
      </c>
      <c r="Q1191" t="str">
        <f>LOOKUP(P1191,Sheet2!$Z$4:$AA$7)</f>
        <v>&lt;=25</v>
      </c>
      <c r="R1191" s="1">
        <v>1</v>
      </c>
      <c r="S1191" t="str">
        <f>IF(R1191=1,"Positive","Negative")</f>
        <v>Positive</v>
      </c>
      <c r="T1191" s="1">
        <f>IFERROR(VLOOKUP(A1191,[1]diabetes_Recognition!$A:$B,2,FALSE),"Not Sampled")</f>
        <v>1</v>
      </c>
      <c r="U1191" t="str">
        <f>IF(T1191=1,"Positive",(IF(T1191=0,"Negative","Not Sampled")))</f>
        <v>Positive</v>
      </c>
      <c r="V1191" s="1" t="str">
        <f>IF(U1191="Not Sampled","Not Sampled",IF(S1191=U1191,"Accurate Prediction","Inaccurate Prediction"))</f>
        <v>Accurate Prediction</v>
      </c>
    </row>
    <row r="1192" spans="1:22" x14ac:dyDescent="0.25">
      <c r="A1192" s="1">
        <v>1190</v>
      </c>
      <c r="B1192" s="1">
        <v>2</v>
      </c>
      <c r="C1192" s="1">
        <f>LOOKUP(B1192,Sheet2!$D$4:$E$9)</f>
        <v>2</v>
      </c>
      <c r="D1192" s="1">
        <v>106</v>
      </c>
      <c r="E1192" t="str">
        <f>LOOKUP(D1192,Sheet2!$G$4:$H$9)</f>
        <v>100-125</v>
      </c>
      <c r="F1192" s="1">
        <v>56</v>
      </c>
      <c r="G1192" t="str">
        <f>LOOKUP(F1192,Sheet2!$J$4:$K$8)</f>
        <v>1-59</v>
      </c>
      <c r="H1192" s="1">
        <v>27</v>
      </c>
      <c r="I1192" t="str">
        <f>LOOKUP(H1192,Sheet2!$M$4:$N$8)</f>
        <v>10-30</v>
      </c>
      <c r="J1192" s="1">
        <v>165</v>
      </c>
      <c r="K1192" t="str">
        <f>LOOKUP(J1192,Sheet2!$P$4:$Q$9)</f>
        <v>100-199</v>
      </c>
      <c r="L1192" s="1">
        <v>29</v>
      </c>
      <c r="M1192" t="str">
        <f>LOOKUP(L1192,Sheet2!$S$4:$T$8)</f>
        <v>26-30</v>
      </c>
      <c r="N1192" s="1">
        <v>0.42599999999999999</v>
      </c>
      <c r="O1192" t="str">
        <f>LOOKUP(N1192,Sheet2!$V$4:$W$7)</f>
        <v>0.4 - 0.69</v>
      </c>
      <c r="P1192" s="1">
        <v>22</v>
      </c>
      <c r="Q1192" t="str">
        <f>LOOKUP(P1192,Sheet2!$Z$4:$AA$7)</f>
        <v>&lt;=25</v>
      </c>
      <c r="R1192" s="1">
        <v>0</v>
      </c>
      <c r="S1192" t="str">
        <f>IF(R1192=1,"Positive","Negative")</f>
        <v>Negative</v>
      </c>
      <c r="T1192" s="1" t="str">
        <f>IFERROR(VLOOKUP(A1192,[1]diabetes_Recognition!$A:$B,2,FALSE),"Not Sampled")</f>
        <v>Not Sampled</v>
      </c>
      <c r="U1192" t="str">
        <f>IF(T1192=1,"Positive",(IF(T1192=0,"Negative","Not Sampled")))</f>
        <v>Not Sampled</v>
      </c>
      <c r="V1192" s="1" t="str">
        <f>IF(U1192="Not Sampled","Not Sampled",IF(S1192=U1192,"Accurate Prediction","Inaccurate Prediction"))</f>
        <v>Not Sampled</v>
      </c>
    </row>
    <row r="1193" spans="1:22" x14ac:dyDescent="0.25">
      <c r="A1193" s="1">
        <v>1191</v>
      </c>
      <c r="B1193" s="1">
        <v>2</v>
      </c>
      <c r="C1193" s="1">
        <f>LOOKUP(B1193,Sheet2!$D$4:$E$9)</f>
        <v>2</v>
      </c>
      <c r="D1193" s="1">
        <v>105</v>
      </c>
      <c r="E1193" t="str">
        <f>LOOKUP(D1193,Sheet2!$G$4:$H$9)</f>
        <v>100-125</v>
      </c>
      <c r="F1193" s="1">
        <v>75</v>
      </c>
      <c r="G1193" t="str">
        <f>LOOKUP(F1193,Sheet2!$J$4:$K$8)</f>
        <v>70-79</v>
      </c>
      <c r="H1193" s="1">
        <v>0</v>
      </c>
      <c r="I1193" t="str">
        <f>LOOKUP(H1193,Sheet2!$M$4:$N$8)</f>
        <v>Unknown</v>
      </c>
      <c r="J1193" s="1">
        <v>0</v>
      </c>
      <c r="K1193" t="str">
        <f>LOOKUP(J1193,Sheet2!$P$4:$Q$9)</f>
        <v>Unknown</v>
      </c>
      <c r="L1193" s="1">
        <v>23.3</v>
      </c>
      <c r="M1193" t="str">
        <f>LOOKUP(L1193,Sheet2!$S$4:$T$8)</f>
        <v>1-25</v>
      </c>
      <c r="N1193" s="1">
        <v>0.56000000000000005</v>
      </c>
      <c r="O1193" t="str">
        <f>LOOKUP(N1193,Sheet2!$V$4:$W$7)</f>
        <v>0.4 - 0.69</v>
      </c>
      <c r="P1193" s="1">
        <v>53</v>
      </c>
      <c r="Q1193" t="str">
        <f>LOOKUP(P1193,Sheet2!$Z$4:$AA$7)</f>
        <v>46+</v>
      </c>
      <c r="R1193" s="1">
        <v>0</v>
      </c>
      <c r="S1193" t="str">
        <f>IF(R1193=1,"Positive","Negative")</f>
        <v>Negative</v>
      </c>
      <c r="T1193" s="1" t="str">
        <f>IFERROR(VLOOKUP(A1193,[1]diabetes_Recognition!$A:$B,2,FALSE),"Not Sampled")</f>
        <v>Not Sampled</v>
      </c>
      <c r="U1193" t="str">
        <f>IF(T1193=1,"Positive",(IF(T1193=0,"Negative","Not Sampled")))</f>
        <v>Not Sampled</v>
      </c>
      <c r="V1193" s="1" t="str">
        <f>IF(U1193="Not Sampled","Not Sampled",IF(S1193=U1193,"Accurate Prediction","Inaccurate Prediction"))</f>
        <v>Not Sampled</v>
      </c>
    </row>
    <row r="1194" spans="1:22" x14ac:dyDescent="0.25">
      <c r="A1194" s="1">
        <v>1192</v>
      </c>
      <c r="B1194" s="1">
        <v>4</v>
      </c>
      <c r="C1194" s="1" t="str">
        <f>LOOKUP(B1194,Sheet2!$D$4:$E$9)</f>
        <v>3-4</v>
      </c>
      <c r="D1194" s="1">
        <v>95</v>
      </c>
      <c r="E1194" t="str">
        <f>LOOKUP(D1194,Sheet2!$G$4:$H$9)</f>
        <v>1-99</v>
      </c>
      <c r="F1194" s="1">
        <v>60</v>
      </c>
      <c r="G1194" t="str">
        <f>LOOKUP(F1194,Sheet2!$J$4:$K$8)</f>
        <v>60-69</v>
      </c>
      <c r="H1194" s="1">
        <v>32</v>
      </c>
      <c r="I1194" t="str">
        <f>LOOKUP(H1194,Sheet2!$M$4:$N$8)</f>
        <v>30-39</v>
      </c>
      <c r="J1194" s="1">
        <v>0</v>
      </c>
      <c r="K1194" t="str">
        <f>LOOKUP(J1194,Sheet2!$P$4:$Q$9)</f>
        <v>Unknown</v>
      </c>
      <c r="L1194" s="1">
        <v>35.4</v>
      </c>
      <c r="M1194" t="str">
        <f>LOOKUP(L1194,Sheet2!$S$4:$T$8)</f>
        <v>31-35</v>
      </c>
      <c r="N1194" s="1">
        <v>0.28399999999999997</v>
      </c>
      <c r="O1194" t="str">
        <f>LOOKUP(N1194,Sheet2!$V$4:$W$7)</f>
        <v>0.25 - 0.39</v>
      </c>
      <c r="P1194" s="1">
        <v>28</v>
      </c>
      <c r="Q1194" t="str">
        <f>LOOKUP(P1194,Sheet2!$Z$4:$AA$7)</f>
        <v>26-35</v>
      </c>
      <c r="R1194" s="1">
        <v>0</v>
      </c>
      <c r="S1194" t="str">
        <f>IF(R1194=1,"Positive","Negative")</f>
        <v>Negative</v>
      </c>
      <c r="T1194" s="1" t="str">
        <f>IFERROR(VLOOKUP(A1194,[1]diabetes_Recognition!$A:$B,2,FALSE),"Not Sampled")</f>
        <v>Not Sampled</v>
      </c>
      <c r="U1194" t="str">
        <f>IF(T1194=1,"Positive",(IF(T1194=0,"Negative","Not Sampled")))</f>
        <v>Not Sampled</v>
      </c>
      <c r="V1194" s="1" t="str">
        <f>IF(U1194="Not Sampled","Not Sampled",IF(S1194=U1194,"Accurate Prediction","Inaccurate Prediction"))</f>
        <v>Not Sampled</v>
      </c>
    </row>
    <row r="1195" spans="1:22" x14ac:dyDescent="0.25">
      <c r="A1195" s="1">
        <v>1193</v>
      </c>
      <c r="B1195" s="1">
        <v>0</v>
      </c>
      <c r="C1195" s="1">
        <f>LOOKUP(B1195,Sheet2!$D$4:$E$9)</f>
        <v>0</v>
      </c>
      <c r="D1195" s="1">
        <v>126</v>
      </c>
      <c r="E1195" t="str">
        <f>LOOKUP(D1195,Sheet2!$G$4:$H$9)</f>
        <v>126-150</v>
      </c>
      <c r="F1195" s="1">
        <v>86</v>
      </c>
      <c r="G1195" t="str">
        <f>LOOKUP(F1195,Sheet2!$J$4:$K$8)</f>
        <v>80+</v>
      </c>
      <c r="H1195" s="1">
        <v>27</v>
      </c>
      <c r="I1195" t="str">
        <f>LOOKUP(H1195,Sheet2!$M$4:$N$8)</f>
        <v>10-30</v>
      </c>
      <c r="J1195" s="1">
        <v>120</v>
      </c>
      <c r="K1195" t="str">
        <f>LOOKUP(J1195,Sheet2!$P$4:$Q$9)</f>
        <v>100-199</v>
      </c>
      <c r="L1195" s="1">
        <v>27.4</v>
      </c>
      <c r="M1195" t="str">
        <f>LOOKUP(L1195,Sheet2!$S$4:$T$8)</f>
        <v>26-30</v>
      </c>
      <c r="N1195" s="1">
        <v>0.51500000000000001</v>
      </c>
      <c r="O1195" t="str">
        <f>LOOKUP(N1195,Sheet2!$V$4:$W$7)</f>
        <v>0.4 - 0.69</v>
      </c>
      <c r="P1195" s="1">
        <v>21</v>
      </c>
      <c r="Q1195" t="str">
        <f>LOOKUP(P1195,Sheet2!$Z$4:$AA$7)</f>
        <v>&lt;=25</v>
      </c>
      <c r="R1195" s="1">
        <v>0</v>
      </c>
      <c r="S1195" t="str">
        <f>IF(R1195=1,"Positive","Negative")</f>
        <v>Negative</v>
      </c>
      <c r="T1195" s="1" t="str">
        <f>IFERROR(VLOOKUP(A1195,[1]diabetes_Recognition!$A:$B,2,FALSE),"Not Sampled")</f>
        <v>Not Sampled</v>
      </c>
      <c r="U1195" t="str">
        <f>IF(T1195=1,"Positive",(IF(T1195=0,"Negative","Not Sampled")))</f>
        <v>Not Sampled</v>
      </c>
      <c r="V1195" s="1" t="str">
        <f>IF(U1195="Not Sampled","Not Sampled",IF(S1195=U1195,"Accurate Prediction","Inaccurate Prediction"))</f>
        <v>Not Sampled</v>
      </c>
    </row>
    <row r="1196" spans="1:22" x14ac:dyDescent="0.25">
      <c r="A1196" s="1">
        <v>1194</v>
      </c>
      <c r="B1196" s="1">
        <v>8</v>
      </c>
      <c r="C1196" s="1" t="str">
        <f>LOOKUP(B1196,Sheet2!$D$4:$E$9)</f>
        <v>8+</v>
      </c>
      <c r="D1196" s="1">
        <v>65</v>
      </c>
      <c r="E1196" t="str">
        <f>LOOKUP(D1196,Sheet2!$G$4:$H$9)</f>
        <v>1-99</v>
      </c>
      <c r="F1196" s="1">
        <v>72</v>
      </c>
      <c r="G1196" t="str">
        <f>LOOKUP(F1196,Sheet2!$J$4:$K$8)</f>
        <v>70-79</v>
      </c>
      <c r="H1196" s="1">
        <v>23</v>
      </c>
      <c r="I1196" t="str">
        <f>LOOKUP(H1196,Sheet2!$M$4:$N$8)</f>
        <v>10-30</v>
      </c>
      <c r="J1196" s="1">
        <v>0</v>
      </c>
      <c r="K1196" t="str">
        <f>LOOKUP(J1196,Sheet2!$P$4:$Q$9)</f>
        <v>Unknown</v>
      </c>
      <c r="L1196" s="1">
        <v>32</v>
      </c>
      <c r="M1196" t="str">
        <f>LOOKUP(L1196,Sheet2!$S$4:$T$8)</f>
        <v>31-35</v>
      </c>
      <c r="N1196" s="1">
        <v>0.6</v>
      </c>
      <c r="O1196" t="str">
        <f>LOOKUP(N1196,Sheet2!$V$4:$W$7)</f>
        <v>0.4 - 0.69</v>
      </c>
      <c r="P1196" s="1">
        <v>42</v>
      </c>
      <c r="Q1196" t="str">
        <f>LOOKUP(P1196,Sheet2!$Z$4:$AA$7)</f>
        <v>36-45</v>
      </c>
      <c r="R1196" s="1">
        <v>0</v>
      </c>
      <c r="S1196" t="str">
        <f>IF(R1196=1,"Positive","Negative")</f>
        <v>Negative</v>
      </c>
      <c r="T1196" s="1" t="str">
        <f>IFERROR(VLOOKUP(A1196,[1]diabetes_Recognition!$A:$B,2,FALSE),"Not Sampled")</f>
        <v>Not Sampled</v>
      </c>
      <c r="U1196" t="str">
        <f>IF(T1196=1,"Positive",(IF(T1196=0,"Negative","Not Sampled")))</f>
        <v>Not Sampled</v>
      </c>
      <c r="V1196" s="1" t="str">
        <f>IF(U1196="Not Sampled","Not Sampled",IF(S1196=U1196,"Accurate Prediction","Inaccurate Prediction"))</f>
        <v>Not Sampled</v>
      </c>
    </row>
    <row r="1197" spans="1:22" x14ac:dyDescent="0.25">
      <c r="A1197" s="1">
        <v>1195</v>
      </c>
      <c r="B1197" s="1">
        <v>2</v>
      </c>
      <c r="C1197" s="1">
        <f>LOOKUP(B1197,Sheet2!$D$4:$E$9)</f>
        <v>2</v>
      </c>
      <c r="D1197" s="1">
        <v>99</v>
      </c>
      <c r="E1197" t="str">
        <f>LOOKUP(D1197,Sheet2!$G$4:$H$9)</f>
        <v>1-99</v>
      </c>
      <c r="F1197" s="1">
        <v>60</v>
      </c>
      <c r="G1197" t="str">
        <f>LOOKUP(F1197,Sheet2!$J$4:$K$8)</f>
        <v>60-69</v>
      </c>
      <c r="H1197" s="1">
        <v>17</v>
      </c>
      <c r="I1197" t="str">
        <f>LOOKUP(H1197,Sheet2!$M$4:$N$8)</f>
        <v>10-30</v>
      </c>
      <c r="J1197" s="1">
        <v>160</v>
      </c>
      <c r="K1197" t="str">
        <f>LOOKUP(J1197,Sheet2!$P$4:$Q$9)</f>
        <v>100-199</v>
      </c>
      <c r="L1197" s="1">
        <v>36.6</v>
      </c>
      <c r="M1197" t="str">
        <f>LOOKUP(L1197,Sheet2!$S$4:$T$8)</f>
        <v>36+</v>
      </c>
      <c r="N1197" s="1">
        <v>0.45300000000000001</v>
      </c>
      <c r="O1197" t="str">
        <f>LOOKUP(N1197,Sheet2!$V$4:$W$7)</f>
        <v>0.4 - 0.69</v>
      </c>
      <c r="P1197" s="1">
        <v>21</v>
      </c>
      <c r="Q1197" t="str">
        <f>LOOKUP(P1197,Sheet2!$Z$4:$AA$7)</f>
        <v>&lt;=25</v>
      </c>
      <c r="R1197" s="1">
        <v>0</v>
      </c>
      <c r="S1197" t="str">
        <f>IF(R1197=1,"Positive","Negative")</f>
        <v>Negative</v>
      </c>
      <c r="T1197" s="1" t="str">
        <f>IFERROR(VLOOKUP(A1197,[1]diabetes_Recognition!$A:$B,2,FALSE),"Not Sampled")</f>
        <v>Not Sampled</v>
      </c>
      <c r="U1197" t="str">
        <f>IF(T1197=1,"Positive",(IF(T1197=0,"Negative","Not Sampled")))</f>
        <v>Not Sampled</v>
      </c>
      <c r="V1197" s="1" t="str">
        <f>IF(U1197="Not Sampled","Not Sampled",IF(S1197=U1197,"Accurate Prediction","Inaccurate Prediction"))</f>
        <v>Not Sampled</v>
      </c>
    </row>
    <row r="1198" spans="1:22" x14ac:dyDescent="0.25">
      <c r="A1198" s="1">
        <v>1196</v>
      </c>
      <c r="B1198" s="1">
        <v>1</v>
      </c>
      <c r="C1198" s="1">
        <f>LOOKUP(B1198,Sheet2!$D$4:$E$9)</f>
        <v>1</v>
      </c>
      <c r="D1198" s="1">
        <v>102</v>
      </c>
      <c r="E1198" t="str">
        <f>LOOKUP(D1198,Sheet2!$G$4:$H$9)</f>
        <v>100-125</v>
      </c>
      <c r="F1198" s="1">
        <v>74</v>
      </c>
      <c r="G1198" t="str">
        <f>LOOKUP(F1198,Sheet2!$J$4:$K$8)</f>
        <v>70-79</v>
      </c>
      <c r="H1198" s="1">
        <v>0</v>
      </c>
      <c r="I1198" t="str">
        <f>LOOKUP(H1198,Sheet2!$M$4:$N$8)</f>
        <v>Unknown</v>
      </c>
      <c r="J1198" s="1">
        <v>0</v>
      </c>
      <c r="K1198" t="str">
        <f>LOOKUP(J1198,Sheet2!$P$4:$Q$9)</f>
        <v>Unknown</v>
      </c>
      <c r="L1198" s="1">
        <v>39.5</v>
      </c>
      <c r="M1198" t="str">
        <f>LOOKUP(L1198,Sheet2!$S$4:$T$8)</f>
        <v>36+</v>
      </c>
      <c r="N1198" s="1">
        <v>0.29299999999999998</v>
      </c>
      <c r="O1198" t="str">
        <f>LOOKUP(N1198,Sheet2!$V$4:$W$7)</f>
        <v>0.25 - 0.39</v>
      </c>
      <c r="P1198" s="1">
        <v>42</v>
      </c>
      <c r="Q1198" t="str">
        <f>LOOKUP(P1198,Sheet2!$Z$4:$AA$7)</f>
        <v>36-45</v>
      </c>
      <c r="R1198" s="1">
        <v>1</v>
      </c>
      <c r="S1198" t="str">
        <f>IF(R1198=1,"Positive","Negative")</f>
        <v>Positive</v>
      </c>
      <c r="T1198" s="1" t="str">
        <f>IFERROR(VLOOKUP(A1198,[1]diabetes_Recognition!$A:$B,2,FALSE),"Not Sampled")</f>
        <v>Not Sampled</v>
      </c>
      <c r="U1198" t="str">
        <f>IF(T1198=1,"Positive",(IF(T1198=0,"Negative","Not Sampled")))</f>
        <v>Not Sampled</v>
      </c>
      <c r="V1198" s="1" t="str">
        <f>IF(U1198="Not Sampled","Not Sampled",IF(S1198=U1198,"Accurate Prediction","Inaccurate Prediction"))</f>
        <v>Not Sampled</v>
      </c>
    </row>
    <row r="1199" spans="1:22" x14ac:dyDescent="0.25">
      <c r="A1199" s="1">
        <v>1197</v>
      </c>
      <c r="B1199" s="1">
        <v>11</v>
      </c>
      <c r="C1199" s="1" t="str">
        <f>LOOKUP(B1199,Sheet2!$D$4:$E$9)</f>
        <v>8+</v>
      </c>
      <c r="D1199" s="1">
        <v>120</v>
      </c>
      <c r="E1199" t="str">
        <f>LOOKUP(D1199,Sheet2!$G$4:$H$9)</f>
        <v>100-125</v>
      </c>
      <c r="F1199" s="1">
        <v>80</v>
      </c>
      <c r="G1199" t="str">
        <f>LOOKUP(F1199,Sheet2!$J$4:$K$8)</f>
        <v>80+</v>
      </c>
      <c r="H1199" s="1">
        <v>37</v>
      </c>
      <c r="I1199" t="str">
        <f>LOOKUP(H1199,Sheet2!$M$4:$N$8)</f>
        <v>30-39</v>
      </c>
      <c r="J1199" s="1">
        <v>150</v>
      </c>
      <c r="K1199" t="str">
        <f>LOOKUP(J1199,Sheet2!$P$4:$Q$9)</f>
        <v>100-199</v>
      </c>
      <c r="L1199" s="1">
        <v>42.3</v>
      </c>
      <c r="M1199" t="str">
        <f>LOOKUP(L1199,Sheet2!$S$4:$T$8)</f>
        <v>36+</v>
      </c>
      <c r="N1199" s="1">
        <v>0.78500000000000003</v>
      </c>
      <c r="O1199" t="str">
        <f>LOOKUP(N1199,Sheet2!$V$4:$W$7)</f>
        <v>0.7+</v>
      </c>
      <c r="P1199" s="1">
        <v>48</v>
      </c>
      <c r="Q1199" t="str">
        <f>LOOKUP(P1199,Sheet2!$Z$4:$AA$7)</f>
        <v>46+</v>
      </c>
      <c r="R1199" s="1">
        <v>1</v>
      </c>
      <c r="S1199" t="str">
        <f>IF(R1199=1,"Positive","Negative")</f>
        <v>Positive</v>
      </c>
      <c r="T1199" s="1" t="str">
        <f>IFERROR(VLOOKUP(A1199,[1]diabetes_Recognition!$A:$B,2,FALSE),"Not Sampled")</f>
        <v>Not Sampled</v>
      </c>
      <c r="U1199" t="str">
        <f>IF(T1199=1,"Positive",(IF(T1199=0,"Negative","Not Sampled")))</f>
        <v>Not Sampled</v>
      </c>
      <c r="V1199" s="1" t="str">
        <f>IF(U1199="Not Sampled","Not Sampled",IF(S1199=U1199,"Accurate Prediction","Inaccurate Prediction"))</f>
        <v>Not Sampled</v>
      </c>
    </row>
    <row r="1200" spans="1:22" x14ac:dyDescent="0.25">
      <c r="A1200" s="1">
        <v>1198</v>
      </c>
      <c r="B1200" s="1">
        <v>3</v>
      </c>
      <c r="C1200" s="1" t="str">
        <f>LOOKUP(B1200,Sheet2!$D$4:$E$9)</f>
        <v>3-4</v>
      </c>
      <c r="D1200" s="1">
        <v>102</v>
      </c>
      <c r="E1200" t="str">
        <f>LOOKUP(D1200,Sheet2!$G$4:$H$9)</f>
        <v>100-125</v>
      </c>
      <c r="F1200" s="1">
        <v>44</v>
      </c>
      <c r="G1200" t="str">
        <f>LOOKUP(F1200,Sheet2!$J$4:$K$8)</f>
        <v>1-59</v>
      </c>
      <c r="H1200" s="1">
        <v>20</v>
      </c>
      <c r="I1200" t="str">
        <f>LOOKUP(H1200,Sheet2!$M$4:$N$8)</f>
        <v>10-30</v>
      </c>
      <c r="J1200" s="1">
        <v>94</v>
      </c>
      <c r="K1200" t="str">
        <f>LOOKUP(J1200,Sheet2!$P$4:$Q$9)</f>
        <v>1-99</v>
      </c>
      <c r="L1200" s="1">
        <v>30.8</v>
      </c>
      <c r="M1200" t="str">
        <f>LOOKUP(L1200,Sheet2!$S$4:$T$8)</f>
        <v>26-30</v>
      </c>
      <c r="N1200" s="1">
        <v>0.4</v>
      </c>
      <c r="O1200" t="str">
        <f>LOOKUP(N1200,Sheet2!$V$4:$W$7)</f>
        <v>0.4 - 0.69</v>
      </c>
      <c r="P1200" s="1">
        <v>26</v>
      </c>
      <c r="Q1200" t="str">
        <f>LOOKUP(P1200,Sheet2!$Z$4:$AA$7)</f>
        <v>26-35</v>
      </c>
      <c r="R1200" s="1">
        <v>0</v>
      </c>
      <c r="S1200" t="str">
        <f>IF(R1200=1,"Positive","Negative")</f>
        <v>Negative</v>
      </c>
      <c r="T1200" s="1">
        <f>IFERROR(VLOOKUP(A1200,[1]diabetes_Recognition!$A:$B,2,FALSE),"Not Sampled")</f>
        <v>0</v>
      </c>
      <c r="U1200" t="str">
        <f>IF(T1200=1,"Positive",(IF(T1200=0,"Negative","Not Sampled")))</f>
        <v>Negative</v>
      </c>
      <c r="V1200" s="1" t="str">
        <f>IF(U1200="Not Sampled","Not Sampled",IF(S1200=U1200,"Accurate Prediction","Inaccurate Prediction"))</f>
        <v>Accurate Prediction</v>
      </c>
    </row>
    <row r="1201" spans="1:22" x14ac:dyDescent="0.25">
      <c r="A1201" s="1">
        <v>1199</v>
      </c>
      <c r="B1201" s="1">
        <v>1</v>
      </c>
      <c r="C1201" s="1">
        <f>LOOKUP(B1201,Sheet2!$D$4:$E$9)</f>
        <v>1</v>
      </c>
      <c r="D1201" s="1">
        <v>109</v>
      </c>
      <c r="E1201" t="str">
        <f>LOOKUP(D1201,Sheet2!$G$4:$H$9)</f>
        <v>100-125</v>
      </c>
      <c r="F1201" s="1">
        <v>58</v>
      </c>
      <c r="G1201" t="str">
        <f>LOOKUP(F1201,Sheet2!$J$4:$K$8)</f>
        <v>1-59</v>
      </c>
      <c r="H1201" s="1">
        <v>18</v>
      </c>
      <c r="I1201" t="str">
        <f>LOOKUP(H1201,Sheet2!$M$4:$N$8)</f>
        <v>10-30</v>
      </c>
      <c r="J1201" s="1">
        <v>116</v>
      </c>
      <c r="K1201" t="str">
        <f>LOOKUP(J1201,Sheet2!$P$4:$Q$9)</f>
        <v>100-199</v>
      </c>
      <c r="L1201" s="1">
        <v>28.5</v>
      </c>
      <c r="M1201" t="str">
        <f>LOOKUP(L1201,Sheet2!$S$4:$T$8)</f>
        <v>26-30</v>
      </c>
      <c r="N1201" s="1">
        <v>0.219</v>
      </c>
      <c r="O1201" t="str">
        <f>LOOKUP(N1201,Sheet2!$V$4:$W$7)</f>
        <v>0.0 - 0.249</v>
      </c>
      <c r="P1201" s="1">
        <v>22</v>
      </c>
      <c r="Q1201" t="str">
        <f>LOOKUP(P1201,Sheet2!$Z$4:$AA$7)</f>
        <v>&lt;=25</v>
      </c>
      <c r="R1201" s="1">
        <v>0</v>
      </c>
      <c r="S1201" t="str">
        <f>IF(R1201=1,"Positive","Negative")</f>
        <v>Negative</v>
      </c>
      <c r="T1201" s="1" t="str">
        <f>IFERROR(VLOOKUP(A1201,[1]diabetes_Recognition!$A:$B,2,FALSE),"Not Sampled")</f>
        <v>Not Sampled</v>
      </c>
      <c r="U1201" t="str">
        <f>IF(T1201=1,"Positive",(IF(T1201=0,"Negative","Not Sampled")))</f>
        <v>Not Sampled</v>
      </c>
      <c r="V1201" s="1" t="str">
        <f>IF(U1201="Not Sampled","Not Sampled",IF(S1201=U1201,"Accurate Prediction","Inaccurate Prediction"))</f>
        <v>Not Sampled</v>
      </c>
    </row>
    <row r="1202" spans="1:22" x14ac:dyDescent="0.25">
      <c r="A1202" s="1">
        <v>1200</v>
      </c>
      <c r="B1202" s="1">
        <v>9</v>
      </c>
      <c r="C1202" s="1" t="str">
        <f>LOOKUP(B1202,Sheet2!$D$4:$E$9)</f>
        <v>8+</v>
      </c>
      <c r="D1202" s="1">
        <v>140</v>
      </c>
      <c r="E1202" t="str">
        <f>LOOKUP(D1202,Sheet2!$G$4:$H$9)</f>
        <v>126-150</v>
      </c>
      <c r="F1202" s="1">
        <v>94</v>
      </c>
      <c r="G1202" t="str">
        <f>LOOKUP(F1202,Sheet2!$J$4:$K$8)</f>
        <v>80+</v>
      </c>
      <c r="H1202" s="1">
        <v>0</v>
      </c>
      <c r="I1202" t="str">
        <f>LOOKUP(H1202,Sheet2!$M$4:$N$8)</f>
        <v>Unknown</v>
      </c>
      <c r="J1202" s="1">
        <v>0</v>
      </c>
      <c r="K1202" t="str">
        <f>LOOKUP(J1202,Sheet2!$P$4:$Q$9)</f>
        <v>Unknown</v>
      </c>
      <c r="L1202" s="1">
        <v>32.700000000000003</v>
      </c>
      <c r="M1202" t="str">
        <f>LOOKUP(L1202,Sheet2!$S$4:$T$8)</f>
        <v>31-35</v>
      </c>
      <c r="N1202" s="1">
        <v>0.73399999999999999</v>
      </c>
      <c r="O1202" t="str">
        <f>LOOKUP(N1202,Sheet2!$V$4:$W$7)</f>
        <v>0.7+</v>
      </c>
      <c r="P1202" s="1">
        <v>45</v>
      </c>
      <c r="Q1202" t="str">
        <f>LOOKUP(P1202,Sheet2!$Z$4:$AA$7)</f>
        <v>36-45</v>
      </c>
      <c r="R1202" s="1">
        <v>1</v>
      </c>
      <c r="S1202" t="str">
        <f>IF(R1202=1,"Positive","Negative")</f>
        <v>Positive</v>
      </c>
      <c r="T1202" s="1" t="str">
        <f>IFERROR(VLOOKUP(A1202,[1]diabetes_Recognition!$A:$B,2,FALSE),"Not Sampled")</f>
        <v>Not Sampled</v>
      </c>
      <c r="U1202" t="str">
        <f>IF(T1202=1,"Positive",(IF(T1202=0,"Negative","Not Sampled")))</f>
        <v>Not Sampled</v>
      </c>
      <c r="V1202" s="1" t="str">
        <f>IF(U1202="Not Sampled","Not Sampled",IF(S1202=U1202,"Accurate Prediction","Inaccurate Prediction"))</f>
        <v>Not Sampled</v>
      </c>
    </row>
    <row r="1203" spans="1:22" x14ac:dyDescent="0.25">
      <c r="A1203" s="1">
        <v>1201</v>
      </c>
      <c r="B1203" s="1">
        <v>13</v>
      </c>
      <c r="C1203" s="1" t="str">
        <f>LOOKUP(B1203,Sheet2!$D$4:$E$9)</f>
        <v>8+</v>
      </c>
      <c r="D1203" s="1">
        <v>153</v>
      </c>
      <c r="E1203" t="str">
        <f>LOOKUP(D1203,Sheet2!$G$4:$H$9)</f>
        <v>151-175</v>
      </c>
      <c r="F1203" s="1">
        <v>88</v>
      </c>
      <c r="G1203" t="str">
        <f>LOOKUP(F1203,Sheet2!$J$4:$K$8)</f>
        <v>80+</v>
      </c>
      <c r="H1203" s="1">
        <v>37</v>
      </c>
      <c r="I1203" t="str">
        <f>LOOKUP(H1203,Sheet2!$M$4:$N$8)</f>
        <v>30-39</v>
      </c>
      <c r="J1203" s="1">
        <v>140</v>
      </c>
      <c r="K1203" t="str">
        <f>LOOKUP(J1203,Sheet2!$P$4:$Q$9)</f>
        <v>100-199</v>
      </c>
      <c r="L1203" s="1">
        <v>40.6</v>
      </c>
      <c r="M1203" t="str">
        <f>LOOKUP(L1203,Sheet2!$S$4:$T$8)</f>
        <v>36+</v>
      </c>
      <c r="N1203" s="1">
        <v>1.1739999999999999</v>
      </c>
      <c r="O1203" t="str">
        <f>LOOKUP(N1203,Sheet2!$V$4:$W$7)</f>
        <v>0.7+</v>
      </c>
      <c r="P1203" s="1">
        <v>39</v>
      </c>
      <c r="Q1203" t="str">
        <f>LOOKUP(P1203,Sheet2!$Z$4:$AA$7)</f>
        <v>36-45</v>
      </c>
      <c r="R1203" s="1">
        <v>0</v>
      </c>
      <c r="S1203" t="str">
        <f>IF(R1203=1,"Positive","Negative")</f>
        <v>Negative</v>
      </c>
      <c r="T1203" s="1" t="str">
        <f>IFERROR(VLOOKUP(A1203,[1]diabetes_Recognition!$A:$B,2,FALSE),"Not Sampled")</f>
        <v>Not Sampled</v>
      </c>
      <c r="U1203" t="str">
        <f>IF(T1203=1,"Positive",(IF(T1203=0,"Negative","Not Sampled")))</f>
        <v>Not Sampled</v>
      </c>
      <c r="V1203" s="1" t="str">
        <f>IF(U1203="Not Sampled","Not Sampled",IF(S1203=U1203,"Accurate Prediction","Inaccurate Prediction"))</f>
        <v>Not Sampled</v>
      </c>
    </row>
    <row r="1204" spans="1:22" x14ac:dyDescent="0.25">
      <c r="A1204" s="1">
        <v>1202</v>
      </c>
      <c r="B1204" s="1">
        <v>12</v>
      </c>
      <c r="C1204" s="1" t="str">
        <f>LOOKUP(B1204,Sheet2!$D$4:$E$9)</f>
        <v>8+</v>
      </c>
      <c r="D1204" s="1">
        <v>100</v>
      </c>
      <c r="E1204" t="str">
        <f>LOOKUP(D1204,Sheet2!$G$4:$H$9)</f>
        <v>100-125</v>
      </c>
      <c r="F1204" s="1">
        <v>84</v>
      </c>
      <c r="G1204" t="str">
        <f>LOOKUP(F1204,Sheet2!$J$4:$K$8)</f>
        <v>80+</v>
      </c>
      <c r="H1204" s="1">
        <v>33</v>
      </c>
      <c r="I1204" t="str">
        <f>LOOKUP(H1204,Sheet2!$M$4:$N$8)</f>
        <v>30-39</v>
      </c>
      <c r="J1204" s="1">
        <v>105</v>
      </c>
      <c r="K1204" t="str">
        <f>LOOKUP(J1204,Sheet2!$P$4:$Q$9)</f>
        <v>100-199</v>
      </c>
      <c r="L1204" s="1">
        <v>30</v>
      </c>
      <c r="M1204" t="str">
        <f>LOOKUP(L1204,Sheet2!$S$4:$T$8)</f>
        <v>26-30</v>
      </c>
      <c r="N1204" s="1">
        <v>0.48799999999999999</v>
      </c>
      <c r="O1204" t="str">
        <f>LOOKUP(N1204,Sheet2!$V$4:$W$7)</f>
        <v>0.4 - 0.69</v>
      </c>
      <c r="P1204" s="1">
        <v>46</v>
      </c>
      <c r="Q1204" t="str">
        <f>LOOKUP(P1204,Sheet2!$Z$4:$AA$7)</f>
        <v>46+</v>
      </c>
      <c r="R1204" s="1">
        <v>0</v>
      </c>
      <c r="S1204" t="str">
        <f>IF(R1204=1,"Positive","Negative")</f>
        <v>Negative</v>
      </c>
      <c r="T1204" s="1" t="str">
        <f>IFERROR(VLOOKUP(A1204,[1]diabetes_Recognition!$A:$B,2,FALSE),"Not Sampled")</f>
        <v>Not Sampled</v>
      </c>
      <c r="U1204" t="str">
        <f>IF(T1204=1,"Positive",(IF(T1204=0,"Negative","Not Sampled")))</f>
        <v>Not Sampled</v>
      </c>
      <c r="V1204" s="1" t="str">
        <f>IF(U1204="Not Sampled","Not Sampled",IF(S1204=U1204,"Accurate Prediction","Inaccurate Prediction"))</f>
        <v>Not Sampled</v>
      </c>
    </row>
    <row r="1205" spans="1:22" x14ac:dyDescent="0.25">
      <c r="A1205" s="1">
        <v>1203</v>
      </c>
      <c r="B1205" s="1">
        <v>1</v>
      </c>
      <c r="C1205" s="1">
        <f>LOOKUP(B1205,Sheet2!$D$4:$E$9)</f>
        <v>1</v>
      </c>
      <c r="D1205" s="1">
        <v>147</v>
      </c>
      <c r="E1205" t="str">
        <f>LOOKUP(D1205,Sheet2!$G$4:$H$9)</f>
        <v>126-150</v>
      </c>
      <c r="F1205" s="1">
        <v>94</v>
      </c>
      <c r="G1205" t="str">
        <f>LOOKUP(F1205,Sheet2!$J$4:$K$8)</f>
        <v>80+</v>
      </c>
      <c r="H1205" s="1">
        <v>41</v>
      </c>
      <c r="I1205" t="str">
        <f>LOOKUP(H1205,Sheet2!$M$4:$N$8)</f>
        <v>40+</v>
      </c>
      <c r="J1205" s="1">
        <v>0</v>
      </c>
      <c r="K1205" t="str">
        <f>LOOKUP(J1205,Sheet2!$P$4:$Q$9)</f>
        <v>Unknown</v>
      </c>
      <c r="L1205" s="1">
        <v>49.3</v>
      </c>
      <c r="M1205" t="str">
        <f>LOOKUP(L1205,Sheet2!$S$4:$T$8)</f>
        <v>36+</v>
      </c>
      <c r="N1205" s="1">
        <v>0.35799999999999998</v>
      </c>
      <c r="O1205" t="str">
        <f>LOOKUP(N1205,Sheet2!$V$4:$W$7)</f>
        <v>0.25 - 0.39</v>
      </c>
      <c r="P1205" s="1">
        <v>27</v>
      </c>
      <c r="Q1205" t="str">
        <f>LOOKUP(P1205,Sheet2!$Z$4:$AA$7)</f>
        <v>26-35</v>
      </c>
      <c r="R1205" s="1">
        <v>1</v>
      </c>
      <c r="S1205" t="str">
        <f>IF(R1205=1,"Positive","Negative")</f>
        <v>Positive</v>
      </c>
      <c r="T1205" s="1" t="str">
        <f>IFERROR(VLOOKUP(A1205,[1]diabetes_Recognition!$A:$B,2,FALSE),"Not Sampled")</f>
        <v>Not Sampled</v>
      </c>
      <c r="U1205" t="str">
        <f>IF(T1205=1,"Positive",(IF(T1205=0,"Negative","Not Sampled")))</f>
        <v>Not Sampled</v>
      </c>
      <c r="V1205" s="1" t="str">
        <f>IF(U1205="Not Sampled","Not Sampled",IF(S1205=U1205,"Accurate Prediction","Inaccurate Prediction"))</f>
        <v>Not Sampled</v>
      </c>
    </row>
    <row r="1206" spans="1:22" x14ac:dyDescent="0.25">
      <c r="A1206" s="1">
        <v>1204</v>
      </c>
      <c r="B1206" s="1">
        <v>1</v>
      </c>
      <c r="C1206" s="1">
        <f>LOOKUP(B1206,Sheet2!$D$4:$E$9)</f>
        <v>1</v>
      </c>
      <c r="D1206" s="1">
        <v>81</v>
      </c>
      <c r="E1206" t="str">
        <f>LOOKUP(D1206,Sheet2!$G$4:$H$9)</f>
        <v>1-99</v>
      </c>
      <c r="F1206" s="1">
        <v>74</v>
      </c>
      <c r="G1206" t="str">
        <f>LOOKUP(F1206,Sheet2!$J$4:$K$8)</f>
        <v>70-79</v>
      </c>
      <c r="H1206" s="1">
        <v>41</v>
      </c>
      <c r="I1206" t="str">
        <f>LOOKUP(H1206,Sheet2!$M$4:$N$8)</f>
        <v>40+</v>
      </c>
      <c r="J1206" s="1">
        <v>57</v>
      </c>
      <c r="K1206" t="str">
        <f>LOOKUP(J1206,Sheet2!$P$4:$Q$9)</f>
        <v>1-99</v>
      </c>
      <c r="L1206" s="1">
        <v>46.3</v>
      </c>
      <c r="M1206" t="str">
        <f>LOOKUP(L1206,Sheet2!$S$4:$T$8)</f>
        <v>36+</v>
      </c>
      <c r="N1206" s="1">
        <v>1.0960000000000001</v>
      </c>
      <c r="O1206" t="str">
        <f>LOOKUP(N1206,Sheet2!$V$4:$W$7)</f>
        <v>0.7+</v>
      </c>
      <c r="P1206" s="1">
        <v>32</v>
      </c>
      <c r="Q1206" t="str">
        <f>LOOKUP(P1206,Sheet2!$Z$4:$AA$7)</f>
        <v>26-35</v>
      </c>
      <c r="R1206" s="1">
        <v>0</v>
      </c>
      <c r="S1206" t="str">
        <f>IF(R1206=1,"Positive","Negative")</f>
        <v>Negative</v>
      </c>
      <c r="T1206" s="1">
        <f>IFERROR(VLOOKUP(A1206,[1]diabetes_Recognition!$A:$B,2,FALSE),"Not Sampled")</f>
        <v>0</v>
      </c>
      <c r="U1206" t="str">
        <f>IF(T1206=1,"Positive",(IF(T1206=0,"Negative","Not Sampled")))</f>
        <v>Negative</v>
      </c>
      <c r="V1206" s="1" t="str">
        <f>IF(U1206="Not Sampled","Not Sampled",IF(S1206=U1206,"Accurate Prediction","Inaccurate Prediction"))</f>
        <v>Accurate Prediction</v>
      </c>
    </row>
    <row r="1207" spans="1:22" x14ac:dyDescent="0.25">
      <c r="A1207" s="1">
        <v>1205</v>
      </c>
      <c r="B1207" s="1">
        <v>3</v>
      </c>
      <c r="C1207" s="1" t="str">
        <f>LOOKUP(B1207,Sheet2!$D$4:$E$9)</f>
        <v>3-4</v>
      </c>
      <c r="D1207" s="1">
        <v>187</v>
      </c>
      <c r="E1207" t="str">
        <f>LOOKUP(D1207,Sheet2!$G$4:$H$9)</f>
        <v>176-200</v>
      </c>
      <c r="F1207" s="1">
        <v>70</v>
      </c>
      <c r="G1207" t="str">
        <f>LOOKUP(F1207,Sheet2!$J$4:$K$8)</f>
        <v>70-79</v>
      </c>
      <c r="H1207" s="1">
        <v>22</v>
      </c>
      <c r="I1207" t="str">
        <f>LOOKUP(H1207,Sheet2!$M$4:$N$8)</f>
        <v>10-30</v>
      </c>
      <c r="J1207" s="1">
        <v>200</v>
      </c>
      <c r="K1207" t="str">
        <f>LOOKUP(J1207,Sheet2!$P$4:$Q$9)</f>
        <v>200-399</v>
      </c>
      <c r="L1207" s="1">
        <v>36.4</v>
      </c>
      <c r="M1207" t="str">
        <f>LOOKUP(L1207,Sheet2!$S$4:$T$8)</f>
        <v>36+</v>
      </c>
      <c r="N1207" s="1">
        <v>0.40799999999999997</v>
      </c>
      <c r="O1207" t="str">
        <f>LOOKUP(N1207,Sheet2!$V$4:$W$7)</f>
        <v>0.4 - 0.69</v>
      </c>
      <c r="P1207" s="1">
        <v>36</v>
      </c>
      <c r="Q1207" t="str">
        <f>LOOKUP(P1207,Sheet2!$Z$4:$AA$7)</f>
        <v>36-45</v>
      </c>
      <c r="R1207" s="1">
        <v>1</v>
      </c>
      <c r="S1207" t="str">
        <f>IF(R1207=1,"Positive","Negative")</f>
        <v>Positive</v>
      </c>
      <c r="T1207" s="1">
        <f>IFERROR(VLOOKUP(A1207,[1]diabetes_Recognition!$A:$B,2,FALSE),"Not Sampled")</f>
        <v>1</v>
      </c>
      <c r="U1207" t="str">
        <f>IF(T1207=1,"Positive",(IF(T1207=0,"Negative","Not Sampled")))</f>
        <v>Positive</v>
      </c>
      <c r="V1207" s="1" t="str">
        <f>IF(U1207="Not Sampled","Not Sampled",IF(S1207=U1207,"Accurate Prediction","Inaccurate Prediction"))</f>
        <v>Accurate Prediction</v>
      </c>
    </row>
    <row r="1208" spans="1:22" x14ac:dyDescent="0.25">
      <c r="A1208" s="1">
        <v>1206</v>
      </c>
      <c r="B1208" s="1">
        <v>6</v>
      </c>
      <c r="C1208" s="1" t="str">
        <f>LOOKUP(B1208,Sheet2!$D$4:$E$9)</f>
        <v>5-7</v>
      </c>
      <c r="D1208" s="1">
        <v>162</v>
      </c>
      <c r="E1208" t="str">
        <f>LOOKUP(D1208,Sheet2!$G$4:$H$9)</f>
        <v>151-175</v>
      </c>
      <c r="F1208" s="1">
        <v>62</v>
      </c>
      <c r="G1208" t="str">
        <f>LOOKUP(F1208,Sheet2!$J$4:$K$8)</f>
        <v>60-69</v>
      </c>
      <c r="H1208" s="1">
        <v>0</v>
      </c>
      <c r="I1208" t="str">
        <f>LOOKUP(H1208,Sheet2!$M$4:$N$8)</f>
        <v>Unknown</v>
      </c>
      <c r="J1208" s="1">
        <v>0</v>
      </c>
      <c r="K1208" t="str">
        <f>LOOKUP(J1208,Sheet2!$P$4:$Q$9)</f>
        <v>Unknown</v>
      </c>
      <c r="L1208" s="1">
        <v>24.3</v>
      </c>
      <c r="M1208" t="str">
        <f>LOOKUP(L1208,Sheet2!$S$4:$T$8)</f>
        <v>1-25</v>
      </c>
      <c r="N1208" s="1">
        <v>0.17799999999999999</v>
      </c>
      <c r="O1208" t="str">
        <f>LOOKUP(N1208,Sheet2!$V$4:$W$7)</f>
        <v>0.0 - 0.249</v>
      </c>
      <c r="P1208" s="1">
        <v>50</v>
      </c>
      <c r="Q1208" t="str">
        <f>LOOKUP(P1208,Sheet2!$Z$4:$AA$7)</f>
        <v>46+</v>
      </c>
      <c r="R1208" s="1">
        <v>1</v>
      </c>
      <c r="S1208" t="str">
        <f>IF(R1208=1,"Positive","Negative")</f>
        <v>Positive</v>
      </c>
      <c r="T1208" s="1" t="str">
        <f>IFERROR(VLOOKUP(A1208,[1]diabetes_Recognition!$A:$B,2,FALSE),"Not Sampled")</f>
        <v>Not Sampled</v>
      </c>
      <c r="U1208" t="str">
        <f>IF(T1208=1,"Positive",(IF(T1208=0,"Negative","Not Sampled")))</f>
        <v>Not Sampled</v>
      </c>
      <c r="V1208" s="1" t="str">
        <f>IF(U1208="Not Sampled","Not Sampled",IF(S1208=U1208,"Accurate Prediction","Inaccurate Prediction"))</f>
        <v>Not Sampled</v>
      </c>
    </row>
    <row r="1209" spans="1:22" x14ac:dyDescent="0.25">
      <c r="A1209" s="1">
        <v>1207</v>
      </c>
      <c r="B1209" s="1">
        <v>4</v>
      </c>
      <c r="C1209" s="1" t="str">
        <f>LOOKUP(B1209,Sheet2!$D$4:$E$9)</f>
        <v>3-4</v>
      </c>
      <c r="D1209" s="1">
        <v>136</v>
      </c>
      <c r="E1209" t="str">
        <f>LOOKUP(D1209,Sheet2!$G$4:$H$9)</f>
        <v>126-150</v>
      </c>
      <c r="F1209" s="1">
        <v>70</v>
      </c>
      <c r="G1209" t="str">
        <f>LOOKUP(F1209,Sheet2!$J$4:$K$8)</f>
        <v>70-79</v>
      </c>
      <c r="H1209" s="1">
        <v>0</v>
      </c>
      <c r="I1209" t="str">
        <f>LOOKUP(H1209,Sheet2!$M$4:$N$8)</f>
        <v>Unknown</v>
      </c>
      <c r="J1209" s="1">
        <v>0</v>
      </c>
      <c r="K1209" t="str">
        <f>LOOKUP(J1209,Sheet2!$P$4:$Q$9)</f>
        <v>Unknown</v>
      </c>
      <c r="L1209" s="1">
        <v>31.2</v>
      </c>
      <c r="M1209" t="str">
        <f>LOOKUP(L1209,Sheet2!$S$4:$T$8)</f>
        <v>31-35</v>
      </c>
      <c r="N1209" s="1">
        <v>1.1819999999999999</v>
      </c>
      <c r="O1209" t="str">
        <f>LOOKUP(N1209,Sheet2!$V$4:$W$7)</f>
        <v>0.7+</v>
      </c>
      <c r="P1209" s="1">
        <v>22</v>
      </c>
      <c r="Q1209" t="str">
        <f>LOOKUP(P1209,Sheet2!$Z$4:$AA$7)</f>
        <v>&lt;=25</v>
      </c>
      <c r="R1209" s="1">
        <v>1</v>
      </c>
      <c r="S1209" t="str">
        <f>IF(R1209=1,"Positive","Negative")</f>
        <v>Positive</v>
      </c>
      <c r="T1209" s="1" t="str">
        <f>IFERROR(VLOOKUP(A1209,[1]diabetes_Recognition!$A:$B,2,FALSE),"Not Sampled")</f>
        <v>Not Sampled</v>
      </c>
      <c r="U1209" t="str">
        <f>IF(T1209=1,"Positive",(IF(T1209=0,"Negative","Not Sampled")))</f>
        <v>Not Sampled</v>
      </c>
      <c r="V1209" s="1" t="str">
        <f>IF(U1209="Not Sampled","Not Sampled",IF(S1209=U1209,"Accurate Prediction","Inaccurate Prediction"))</f>
        <v>Not Sampled</v>
      </c>
    </row>
    <row r="1210" spans="1:22" x14ac:dyDescent="0.25">
      <c r="A1210" s="1">
        <v>1208</v>
      </c>
      <c r="B1210" s="1">
        <v>1</v>
      </c>
      <c r="C1210" s="1">
        <f>LOOKUP(B1210,Sheet2!$D$4:$E$9)</f>
        <v>1</v>
      </c>
      <c r="D1210" s="1">
        <v>121</v>
      </c>
      <c r="E1210" t="str">
        <f>LOOKUP(D1210,Sheet2!$G$4:$H$9)</f>
        <v>100-125</v>
      </c>
      <c r="F1210" s="1">
        <v>78</v>
      </c>
      <c r="G1210" t="str">
        <f>LOOKUP(F1210,Sheet2!$J$4:$K$8)</f>
        <v>70-79</v>
      </c>
      <c r="H1210" s="1">
        <v>39</v>
      </c>
      <c r="I1210" t="str">
        <f>LOOKUP(H1210,Sheet2!$M$4:$N$8)</f>
        <v>30-39</v>
      </c>
      <c r="J1210" s="1">
        <v>74</v>
      </c>
      <c r="K1210" t="str">
        <f>LOOKUP(J1210,Sheet2!$P$4:$Q$9)</f>
        <v>1-99</v>
      </c>
      <c r="L1210" s="1">
        <v>39</v>
      </c>
      <c r="M1210" t="str">
        <f>LOOKUP(L1210,Sheet2!$S$4:$T$8)</f>
        <v>36+</v>
      </c>
      <c r="N1210" s="1">
        <v>0.26100000000000001</v>
      </c>
      <c r="O1210" t="str">
        <f>LOOKUP(N1210,Sheet2!$V$4:$W$7)</f>
        <v>0.25 - 0.39</v>
      </c>
      <c r="P1210" s="1">
        <v>28</v>
      </c>
      <c r="Q1210" t="str">
        <f>LOOKUP(P1210,Sheet2!$Z$4:$AA$7)</f>
        <v>26-35</v>
      </c>
      <c r="R1210" s="1">
        <v>0</v>
      </c>
      <c r="S1210" t="str">
        <f>IF(R1210=1,"Positive","Negative")</f>
        <v>Negative</v>
      </c>
      <c r="T1210" s="1" t="str">
        <f>IFERROR(VLOOKUP(A1210,[1]diabetes_Recognition!$A:$B,2,FALSE),"Not Sampled")</f>
        <v>Not Sampled</v>
      </c>
      <c r="U1210" t="str">
        <f>IF(T1210=1,"Positive",(IF(T1210=0,"Negative","Not Sampled")))</f>
        <v>Not Sampled</v>
      </c>
      <c r="V1210" s="1" t="str">
        <f>IF(U1210="Not Sampled","Not Sampled",IF(S1210=U1210,"Accurate Prediction","Inaccurate Prediction"))</f>
        <v>Not Sampled</v>
      </c>
    </row>
    <row r="1211" spans="1:22" x14ac:dyDescent="0.25">
      <c r="A1211" s="1">
        <v>1209</v>
      </c>
      <c r="B1211" s="1">
        <v>3</v>
      </c>
      <c r="C1211" s="1" t="str">
        <f>LOOKUP(B1211,Sheet2!$D$4:$E$9)</f>
        <v>3-4</v>
      </c>
      <c r="D1211" s="1">
        <v>108</v>
      </c>
      <c r="E1211" t="str">
        <f>LOOKUP(D1211,Sheet2!$G$4:$H$9)</f>
        <v>100-125</v>
      </c>
      <c r="F1211" s="1">
        <v>62</v>
      </c>
      <c r="G1211" t="str">
        <f>LOOKUP(F1211,Sheet2!$J$4:$K$8)</f>
        <v>60-69</v>
      </c>
      <c r="H1211" s="1">
        <v>24</v>
      </c>
      <c r="I1211" t="str">
        <f>LOOKUP(H1211,Sheet2!$M$4:$N$8)</f>
        <v>10-30</v>
      </c>
      <c r="J1211" s="1">
        <v>0</v>
      </c>
      <c r="K1211" t="str">
        <f>LOOKUP(J1211,Sheet2!$P$4:$Q$9)</f>
        <v>Unknown</v>
      </c>
      <c r="L1211" s="1">
        <v>26</v>
      </c>
      <c r="M1211" t="str">
        <f>LOOKUP(L1211,Sheet2!$S$4:$T$8)</f>
        <v>26-30</v>
      </c>
      <c r="N1211" s="1">
        <v>0.223</v>
      </c>
      <c r="O1211" t="str">
        <f>LOOKUP(N1211,Sheet2!$V$4:$W$7)</f>
        <v>0.0 - 0.249</v>
      </c>
      <c r="P1211" s="1">
        <v>25</v>
      </c>
      <c r="Q1211" t="str">
        <f>LOOKUP(P1211,Sheet2!$Z$4:$AA$7)</f>
        <v>&lt;=25</v>
      </c>
      <c r="R1211" s="1">
        <v>0</v>
      </c>
      <c r="S1211" t="str">
        <f>IF(R1211=1,"Positive","Negative")</f>
        <v>Negative</v>
      </c>
      <c r="T1211" s="1" t="str">
        <f>IFERROR(VLOOKUP(A1211,[1]diabetes_Recognition!$A:$B,2,FALSE),"Not Sampled")</f>
        <v>Not Sampled</v>
      </c>
      <c r="U1211" t="str">
        <f>IF(T1211=1,"Positive",(IF(T1211=0,"Negative","Not Sampled")))</f>
        <v>Not Sampled</v>
      </c>
      <c r="V1211" s="1" t="str">
        <f>IF(U1211="Not Sampled","Not Sampled",IF(S1211=U1211,"Accurate Prediction","Inaccurate Prediction"))</f>
        <v>Not Sampled</v>
      </c>
    </row>
    <row r="1212" spans="1:22" x14ac:dyDescent="0.25">
      <c r="A1212" s="1">
        <v>1210</v>
      </c>
      <c r="B1212" s="1">
        <v>0</v>
      </c>
      <c r="C1212" s="1">
        <f>LOOKUP(B1212,Sheet2!$D$4:$E$9)</f>
        <v>0</v>
      </c>
      <c r="D1212" s="1">
        <v>181</v>
      </c>
      <c r="E1212" t="str">
        <f>LOOKUP(D1212,Sheet2!$G$4:$H$9)</f>
        <v>176-200</v>
      </c>
      <c r="F1212" s="1">
        <v>88</v>
      </c>
      <c r="G1212" t="str">
        <f>LOOKUP(F1212,Sheet2!$J$4:$K$8)</f>
        <v>80+</v>
      </c>
      <c r="H1212" s="1">
        <v>44</v>
      </c>
      <c r="I1212" t="str">
        <f>LOOKUP(H1212,Sheet2!$M$4:$N$8)</f>
        <v>40+</v>
      </c>
      <c r="J1212" s="1">
        <v>510</v>
      </c>
      <c r="K1212" t="str">
        <f>LOOKUP(J1212,Sheet2!$P$4:$Q$9)</f>
        <v>500+</v>
      </c>
      <c r="L1212" s="1">
        <v>43.3</v>
      </c>
      <c r="M1212" t="str">
        <f>LOOKUP(L1212,Sheet2!$S$4:$T$8)</f>
        <v>36+</v>
      </c>
      <c r="N1212" s="1">
        <v>0.222</v>
      </c>
      <c r="O1212" t="str">
        <f>LOOKUP(N1212,Sheet2!$V$4:$W$7)</f>
        <v>0.0 - 0.249</v>
      </c>
      <c r="P1212" s="1">
        <v>26</v>
      </c>
      <c r="Q1212" t="str">
        <f>LOOKUP(P1212,Sheet2!$Z$4:$AA$7)</f>
        <v>26-35</v>
      </c>
      <c r="R1212" s="1">
        <v>1</v>
      </c>
      <c r="S1212" t="str">
        <f>IF(R1212=1,"Positive","Negative")</f>
        <v>Positive</v>
      </c>
      <c r="T1212" s="1">
        <f>IFERROR(VLOOKUP(A1212,[1]diabetes_Recognition!$A:$B,2,FALSE),"Not Sampled")</f>
        <v>1</v>
      </c>
      <c r="U1212" t="str">
        <f>IF(T1212=1,"Positive",(IF(T1212=0,"Negative","Not Sampled")))</f>
        <v>Positive</v>
      </c>
      <c r="V1212" s="1" t="str">
        <f>IF(U1212="Not Sampled","Not Sampled",IF(S1212=U1212,"Accurate Prediction","Inaccurate Prediction"))</f>
        <v>Accurate Prediction</v>
      </c>
    </row>
    <row r="1213" spans="1:22" x14ac:dyDescent="0.25">
      <c r="A1213" s="1">
        <v>1211</v>
      </c>
      <c r="B1213" s="1">
        <v>8</v>
      </c>
      <c r="C1213" s="1" t="str">
        <f>LOOKUP(B1213,Sheet2!$D$4:$E$9)</f>
        <v>8+</v>
      </c>
      <c r="D1213" s="1">
        <v>154</v>
      </c>
      <c r="E1213" t="str">
        <f>LOOKUP(D1213,Sheet2!$G$4:$H$9)</f>
        <v>151-175</v>
      </c>
      <c r="F1213" s="1">
        <v>78</v>
      </c>
      <c r="G1213" t="str">
        <f>LOOKUP(F1213,Sheet2!$J$4:$K$8)</f>
        <v>70-79</v>
      </c>
      <c r="H1213" s="1">
        <v>32</v>
      </c>
      <c r="I1213" t="str">
        <f>LOOKUP(H1213,Sheet2!$M$4:$N$8)</f>
        <v>30-39</v>
      </c>
      <c r="J1213" s="1">
        <v>0</v>
      </c>
      <c r="K1213" t="str">
        <f>LOOKUP(J1213,Sheet2!$P$4:$Q$9)</f>
        <v>Unknown</v>
      </c>
      <c r="L1213" s="1">
        <v>32.4</v>
      </c>
      <c r="M1213" t="str">
        <f>LOOKUP(L1213,Sheet2!$S$4:$T$8)</f>
        <v>31-35</v>
      </c>
      <c r="N1213" s="1">
        <v>0.443</v>
      </c>
      <c r="O1213" t="str">
        <f>LOOKUP(N1213,Sheet2!$V$4:$W$7)</f>
        <v>0.4 - 0.69</v>
      </c>
      <c r="P1213" s="1">
        <v>45</v>
      </c>
      <c r="Q1213" t="str">
        <f>LOOKUP(P1213,Sheet2!$Z$4:$AA$7)</f>
        <v>36-45</v>
      </c>
      <c r="R1213" s="1">
        <v>1</v>
      </c>
      <c r="S1213" t="str">
        <f>IF(R1213=1,"Positive","Negative")</f>
        <v>Positive</v>
      </c>
      <c r="T1213" s="1">
        <f>IFERROR(VLOOKUP(A1213,[1]diabetes_Recognition!$A:$B,2,FALSE),"Not Sampled")</f>
        <v>1</v>
      </c>
      <c r="U1213" t="str">
        <f>IF(T1213=1,"Positive",(IF(T1213=0,"Negative","Not Sampled")))</f>
        <v>Positive</v>
      </c>
      <c r="V1213" s="1" t="str">
        <f>IF(U1213="Not Sampled","Not Sampled",IF(S1213=U1213,"Accurate Prediction","Inaccurate Prediction"))</f>
        <v>Accurate Prediction</v>
      </c>
    </row>
    <row r="1214" spans="1:22" x14ac:dyDescent="0.25">
      <c r="A1214" s="1">
        <v>1212</v>
      </c>
      <c r="B1214" s="1">
        <v>1</v>
      </c>
      <c r="C1214" s="1">
        <f>LOOKUP(B1214,Sheet2!$D$4:$E$9)</f>
        <v>1</v>
      </c>
      <c r="D1214" s="1">
        <v>128</v>
      </c>
      <c r="E1214" t="str">
        <f>LOOKUP(D1214,Sheet2!$G$4:$H$9)</f>
        <v>126-150</v>
      </c>
      <c r="F1214" s="1">
        <v>88</v>
      </c>
      <c r="G1214" t="str">
        <f>LOOKUP(F1214,Sheet2!$J$4:$K$8)</f>
        <v>80+</v>
      </c>
      <c r="H1214" s="1">
        <v>39</v>
      </c>
      <c r="I1214" t="str">
        <f>LOOKUP(H1214,Sheet2!$M$4:$N$8)</f>
        <v>30-39</v>
      </c>
      <c r="J1214" s="1">
        <v>110</v>
      </c>
      <c r="K1214" t="str">
        <f>LOOKUP(J1214,Sheet2!$P$4:$Q$9)</f>
        <v>100-199</v>
      </c>
      <c r="L1214" s="1">
        <v>36.5</v>
      </c>
      <c r="M1214" t="str">
        <f>LOOKUP(L1214,Sheet2!$S$4:$T$8)</f>
        <v>36+</v>
      </c>
      <c r="N1214" s="1">
        <v>1.0569999999999999</v>
      </c>
      <c r="O1214" t="str">
        <f>LOOKUP(N1214,Sheet2!$V$4:$W$7)</f>
        <v>0.7+</v>
      </c>
      <c r="P1214" s="1">
        <v>37</v>
      </c>
      <c r="Q1214" t="str">
        <f>LOOKUP(P1214,Sheet2!$Z$4:$AA$7)</f>
        <v>36-45</v>
      </c>
      <c r="R1214" s="1">
        <v>1</v>
      </c>
      <c r="S1214" t="str">
        <f>IF(R1214=1,"Positive","Negative")</f>
        <v>Positive</v>
      </c>
      <c r="T1214" s="1" t="str">
        <f>IFERROR(VLOOKUP(A1214,[1]diabetes_Recognition!$A:$B,2,FALSE),"Not Sampled")</f>
        <v>Not Sampled</v>
      </c>
      <c r="U1214" t="str">
        <f>IF(T1214=1,"Positive",(IF(T1214=0,"Negative","Not Sampled")))</f>
        <v>Not Sampled</v>
      </c>
      <c r="V1214" s="1" t="str">
        <f>IF(U1214="Not Sampled","Not Sampled",IF(S1214=U1214,"Accurate Prediction","Inaccurate Prediction"))</f>
        <v>Not Sampled</v>
      </c>
    </row>
    <row r="1215" spans="1:22" x14ac:dyDescent="0.25">
      <c r="A1215" s="1">
        <v>1213</v>
      </c>
      <c r="B1215" s="1">
        <v>7</v>
      </c>
      <c r="C1215" s="1" t="str">
        <f>LOOKUP(B1215,Sheet2!$D$4:$E$9)</f>
        <v>5-7</v>
      </c>
      <c r="D1215" s="1">
        <v>137</v>
      </c>
      <c r="E1215" t="str">
        <f>LOOKUP(D1215,Sheet2!$G$4:$H$9)</f>
        <v>126-150</v>
      </c>
      <c r="F1215" s="1">
        <v>90</v>
      </c>
      <c r="G1215" t="str">
        <f>LOOKUP(F1215,Sheet2!$J$4:$K$8)</f>
        <v>80+</v>
      </c>
      <c r="H1215" s="1">
        <v>41</v>
      </c>
      <c r="I1215" t="str">
        <f>LOOKUP(H1215,Sheet2!$M$4:$N$8)</f>
        <v>40+</v>
      </c>
      <c r="J1215" s="1">
        <v>0</v>
      </c>
      <c r="K1215" t="str">
        <f>LOOKUP(J1215,Sheet2!$P$4:$Q$9)</f>
        <v>Unknown</v>
      </c>
      <c r="L1215" s="1">
        <v>32</v>
      </c>
      <c r="M1215" t="str">
        <f>LOOKUP(L1215,Sheet2!$S$4:$T$8)</f>
        <v>31-35</v>
      </c>
      <c r="N1215" s="1">
        <v>0.39100000000000001</v>
      </c>
      <c r="O1215" t="str">
        <f>LOOKUP(N1215,Sheet2!$V$4:$W$7)</f>
        <v>0.25 - 0.39</v>
      </c>
      <c r="P1215" s="1">
        <v>39</v>
      </c>
      <c r="Q1215" t="str">
        <f>LOOKUP(P1215,Sheet2!$Z$4:$AA$7)</f>
        <v>36-45</v>
      </c>
      <c r="R1215" s="1">
        <v>0</v>
      </c>
      <c r="S1215" t="str">
        <f>IF(R1215=1,"Positive","Negative")</f>
        <v>Negative</v>
      </c>
      <c r="T1215" s="1" t="str">
        <f>IFERROR(VLOOKUP(A1215,[1]diabetes_Recognition!$A:$B,2,FALSE),"Not Sampled")</f>
        <v>Not Sampled</v>
      </c>
      <c r="U1215" t="str">
        <f>IF(T1215=1,"Positive",(IF(T1215=0,"Negative","Not Sampled")))</f>
        <v>Not Sampled</v>
      </c>
      <c r="V1215" s="1" t="str">
        <f>IF(U1215="Not Sampled","Not Sampled",IF(S1215=U1215,"Accurate Prediction","Inaccurate Prediction"))</f>
        <v>Not Sampled</v>
      </c>
    </row>
    <row r="1216" spans="1:22" x14ac:dyDescent="0.25">
      <c r="A1216" s="1">
        <v>1214</v>
      </c>
      <c r="B1216" s="1">
        <v>0</v>
      </c>
      <c r="C1216" s="1">
        <f>LOOKUP(B1216,Sheet2!$D$4:$E$9)</f>
        <v>0</v>
      </c>
      <c r="D1216" s="1">
        <v>123</v>
      </c>
      <c r="E1216" t="str">
        <f>LOOKUP(D1216,Sheet2!$G$4:$H$9)</f>
        <v>100-125</v>
      </c>
      <c r="F1216" s="1">
        <v>72</v>
      </c>
      <c r="G1216" t="str">
        <f>LOOKUP(F1216,Sheet2!$J$4:$K$8)</f>
        <v>70-79</v>
      </c>
      <c r="H1216" s="1">
        <v>0</v>
      </c>
      <c r="I1216" t="str">
        <f>LOOKUP(H1216,Sheet2!$M$4:$N$8)</f>
        <v>Unknown</v>
      </c>
      <c r="J1216" s="1">
        <v>0</v>
      </c>
      <c r="K1216" t="str">
        <f>LOOKUP(J1216,Sheet2!$P$4:$Q$9)</f>
        <v>Unknown</v>
      </c>
      <c r="L1216" s="1">
        <v>36.299999999999997</v>
      </c>
      <c r="M1216" t="str">
        <f>LOOKUP(L1216,Sheet2!$S$4:$T$8)</f>
        <v>36+</v>
      </c>
      <c r="N1216" s="1">
        <v>0.25800000000000001</v>
      </c>
      <c r="O1216" t="str">
        <f>LOOKUP(N1216,Sheet2!$V$4:$W$7)</f>
        <v>0.25 - 0.39</v>
      </c>
      <c r="P1216" s="1">
        <v>52</v>
      </c>
      <c r="Q1216" t="str">
        <f>LOOKUP(P1216,Sheet2!$Z$4:$AA$7)</f>
        <v>46+</v>
      </c>
      <c r="R1216" s="1">
        <v>1</v>
      </c>
      <c r="S1216" t="str">
        <f>IF(R1216=1,"Positive","Negative")</f>
        <v>Positive</v>
      </c>
      <c r="T1216" s="1" t="str">
        <f>IFERROR(VLOOKUP(A1216,[1]diabetes_Recognition!$A:$B,2,FALSE),"Not Sampled")</f>
        <v>Not Sampled</v>
      </c>
      <c r="U1216" t="str">
        <f>IF(T1216=1,"Positive",(IF(T1216=0,"Negative","Not Sampled")))</f>
        <v>Not Sampled</v>
      </c>
      <c r="V1216" s="1" t="str">
        <f>IF(U1216="Not Sampled","Not Sampled",IF(S1216=U1216,"Accurate Prediction","Inaccurate Prediction"))</f>
        <v>Not Sampled</v>
      </c>
    </row>
    <row r="1217" spans="1:22" x14ac:dyDescent="0.25">
      <c r="A1217" s="1">
        <v>1215</v>
      </c>
      <c r="B1217" s="1">
        <v>1</v>
      </c>
      <c r="C1217" s="1">
        <f>LOOKUP(B1217,Sheet2!$D$4:$E$9)</f>
        <v>1</v>
      </c>
      <c r="D1217" s="1">
        <v>106</v>
      </c>
      <c r="E1217" t="str">
        <f>LOOKUP(D1217,Sheet2!$G$4:$H$9)</f>
        <v>100-125</v>
      </c>
      <c r="F1217" s="1">
        <v>76</v>
      </c>
      <c r="G1217" t="str">
        <f>LOOKUP(F1217,Sheet2!$J$4:$K$8)</f>
        <v>70-79</v>
      </c>
      <c r="H1217" s="1">
        <v>0</v>
      </c>
      <c r="I1217" t="str">
        <f>LOOKUP(H1217,Sheet2!$M$4:$N$8)</f>
        <v>Unknown</v>
      </c>
      <c r="J1217" s="1">
        <v>0</v>
      </c>
      <c r="K1217" t="str">
        <f>LOOKUP(J1217,Sheet2!$P$4:$Q$9)</f>
        <v>Unknown</v>
      </c>
      <c r="L1217" s="1">
        <v>37.5</v>
      </c>
      <c r="M1217" t="str">
        <f>LOOKUP(L1217,Sheet2!$S$4:$T$8)</f>
        <v>36+</v>
      </c>
      <c r="N1217" s="1">
        <v>0.19700000000000001</v>
      </c>
      <c r="O1217" t="str">
        <f>LOOKUP(N1217,Sheet2!$V$4:$W$7)</f>
        <v>0.0 - 0.249</v>
      </c>
      <c r="P1217" s="1">
        <v>26</v>
      </c>
      <c r="Q1217" t="str">
        <f>LOOKUP(P1217,Sheet2!$Z$4:$AA$7)</f>
        <v>26-35</v>
      </c>
      <c r="R1217" s="1">
        <v>0</v>
      </c>
      <c r="S1217" t="str">
        <f>IF(R1217=1,"Positive","Negative")</f>
        <v>Negative</v>
      </c>
      <c r="T1217" s="1">
        <f>IFERROR(VLOOKUP(A1217,[1]diabetes_Recognition!$A:$B,2,FALSE),"Not Sampled")</f>
        <v>0</v>
      </c>
      <c r="U1217" t="str">
        <f>IF(T1217=1,"Positive",(IF(T1217=0,"Negative","Not Sampled")))</f>
        <v>Negative</v>
      </c>
      <c r="V1217" s="1" t="str">
        <f>IF(U1217="Not Sampled","Not Sampled",IF(S1217=U1217,"Accurate Prediction","Inaccurate Prediction"))</f>
        <v>Accurate Prediction</v>
      </c>
    </row>
    <row r="1218" spans="1:22" x14ac:dyDescent="0.25">
      <c r="A1218" s="1">
        <v>1216</v>
      </c>
      <c r="B1218" s="1">
        <v>6</v>
      </c>
      <c r="C1218" s="1" t="str">
        <f>LOOKUP(B1218,Sheet2!$D$4:$E$9)</f>
        <v>5-7</v>
      </c>
      <c r="D1218" s="1">
        <v>190</v>
      </c>
      <c r="E1218" t="str">
        <f>LOOKUP(D1218,Sheet2!$G$4:$H$9)</f>
        <v>176-200</v>
      </c>
      <c r="F1218" s="1">
        <v>92</v>
      </c>
      <c r="G1218" t="str">
        <f>LOOKUP(F1218,Sheet2!$J$4:$K$8)</f>
        <v>80+</v>
      </c>
      <c r="H1218" s="1">
        <v>0</v>
      </c>
      <c r="I1218" t="str">
        <f>LOOKUP(H1218,Sheet2!$M$4:$N$8)</f>
        <v>Unknown</v>
      </c>
      <c r="J1218" s="1">
        <v>0</v>
      </c>
      <c r="K1218" t="str">
        <f>LOOKUP(J1218,Sheet2!$P$4:$Q$9)</f>
        <v>Unknown</v>
      </c>
      <c r="L1218" s="1">
        <v>35.5</v>
      </c>
      <c r="M1218" t="str">
        <f>LOOKUP(L1218,Sheet2!$S$4:$T$8)</f>
        <v>31-35</v>
      </c>
      <c r="N1218" s="1">
        <v>0.27800000000000002</v>
      </c>
      <c r="O1218" t="str">
        <f>LOOKUP(N1218,Sheet2!$V$4:$W$7)</f>
        <v>0.25 - 0.39</v>
      </c>
      <c r="P1218" s="1">
        <v>66</v>
      </c>
      <c r="Q1218" t="str">
        <f>LOOKUP(P1218,Sheet2!$Z$4:$AA$7)</f>
        <v>46+</v>
      </c>
      <c r="R1218" s="1">
        <v>1</v>
      </c>
      <c r="S1218" t="str">
        <f>IF(R1218=1,"Positive","Negative")</f>
        <v>Positive</v>
      </c>
      <c r="T1218" s="1" t="str">
        <f>IFERROR(VLOOKUP(A1218,[1]diabetes_Recognition!$A:$B,2,FALSE),"Not Sampled")</f>
        <v>Not Sampled</v>
      </c>
      <c r="U1218" t="str">
        <f>IF(T1218=1,"Positive",(IF(T1218=0,"Negative","Not Sampled")))</f>
        <v>Not Sampled</v>
      </c>
      <c r="V1218" s="1" t="str">
        <f>IF(U1218="Not Sampled","Not Sampled",IF(S1218=U1218,"Accurate Prediction","Inaccurate Prediction"))</f>
        <v>Not Sampled</v>
      </c>
    </row>
    <row r="1219" spans="1:22" x14ac:dyDescent="0.25">
      <c r="A1219" s="1">
        <v>1217</v>
      </c>
      <c r="B1219" s="1">
        <v>2</v>
      </c>
      <c r="C1219" s="1">
        <f>LOOKUP(B1219,Sheet2!$D$4:$E$9)</f>
        <v>2</v>
      </c>
      <c r="D1219" s="1">
        <v>88</v>
      </c>
      <c r="E1219" t="str">
        <f>LOOKUP(D1219,Sheet2!$G$4:$H$9)</f>
        <v>1-99</v>
      </c>
      <c r="F1219" s="1">
        <v>58</v>
      </c>
      <c r="G1219" t="str">
        <f>LOOKUP(F1219,Sheet2!$J$4:$K$8)</f>
        <v>1-59</v>
      </c>
      <c r="H1219" s="1">
        <v>26</v>
      </c>
      <c r="I1219" t="str">
        <f>LOOKUP(H1219,Sheet2!$M$4:$N$8)</f>
        <v>10-30</v>
      </c>
      <c r="J1219" s="1">
        <v>16</v>
      </c>
      <c r="K1219" t="str">
        <f>LOOKUP(J1219,Sheet2!$P$4:$Q$9)</f>
        <v>1-99</v>
      </c>
      <c r="L1219" s="1">
        <v>28.4</v>
      </c>
      <c r="M1219" t="str">
        <f>LOOKUP(L1219,Sheet2!$S$4:$T$8)</f>
        <v>26-30</v>
      </c>
      <c r="N1219" s="1">
        <v>0.76600000000000001</v>
      </c>
      <c r="O1219" t="str">
        <f>LOOKUP(N1219,Sheet2!$V$4:$W$7)</f>
        <v>0.7+</v>
      </c>
      <c r="P1219" s="1">
        <v>22</v>
      </c>
      <c r="Q1219" t="str">
        <f>LOOKUP(P1219,Sheet2!$Z$4:$AA$7)</f>
        <v>&lt;=25</v>
      </c>
      <c r="R1219" s="1">
        <v>0</v>
      </c>
      <c r="S1219" t="str">
        <f>IF(R1219=1,"Positive","Negative")</f>
        <v>Negative</v>
      </c>
      <c r="T1219" s="1" t="str">
        <f>IFERROR(VLOOKUP(A1219,[1]diabetes_Recognition!$A:$B,2,FALSE),"Not Sampled")</f>
        <v>Not Sampled</v>
      </c>
      <c r="U1219" t="str">
        <f>IF(T1219=1,"Positive",(IF(T1219=0,"Negative","Not Sampled")))</f>
        <v>Not Sampled</v>
      </c>
      <c r="V1219" s="1" t="str">
        <f>IF(U1219="Not Sampled","Not Sampled",IF(S1219=U1219,"Accurate Prediction","Inaccurate Prediction"))</f>
        <v>Not Sampled</v>
      </c>
    </row>
    <row r="1220" spans="1:22" x14ac:dyDescent="0.25">
      <c r="A1220" s="1">
        <v>1218</v>
      </c>
      <c r="B1220" s="1">
        <v>9</v>
      </c>
      <c r="C1220" s="1" t="str">
        <f>LOOKUP(B1220,Sheet2!$D$4:$E$9)</f>
        <v>8+</v>
      </c>
      <c r="D1220" s="1">
        <v>170</v>
      </c>
      <c r="E1220" t="str">
        <f>LOOKUP(D1220,Sheet2!$G$4:$H$9)</f>
        <v>151-175</v>
      </c>
      <c r="F1220" s="1">
        <v>74</v>
      </c>
      <c r="G1220" t="str">
        <f>LOOKUP(F1220,Sheet2!$J$4:$K$8)</f>
        <v>70-79</v>
      </c>
      <c r="H1220" s="1">
        <v>31</v>
      </c>
      <c r="I1220" t="str">
        <f>LOOKUP(H1220,Sheet2!$M$4:$N$8)</f>
        <v>30-39</v>
      </c>
      <c r="J1220" s="1">
        <v>0</v>
      </c>
      <c r="K1220" t="str">
        <f>LOOKUP(J1220,Sheet2!$P$4:$Q$9)</f>
        <v>Unknown</v>
      </c>
      <c r="L1220" s="1">
        <v>44</v>
      </c>
      <c r="M1220" t="str">
        <f>LOOKUP(L1220,Sheet2!$S$4:$T$8)</f>
        <v>36+</v>
      </c>
      <c r="N1220" s="1">
        <v>0.40300000000000002</v>
      </c>
      <c r="O1220" t="str">
        <f>LOOKUP(N1220,Sheet2!$V$4:$W$7)</f>
        <v>0.4 - 0.69</v>
      </c>
      <c r="P1220" s="1">
        <v>43</v>
      </c>
      <c r="Q1220" t="str">
        <f>LOOKUP(P1220,Sheet2!$Z$4:$AA$7)</f>
        <v>36-45</v>
      </c>
      <c r="R1220" s="1">
        <v>1</v>
      </c>
      <c r="S1220" t="str">
        <f>IF(R1220=1,"Positive","Negative")</f>
        <v>Positive</v>
      </c>
      <c r="T1220" s="1" t="str">
        <f>IFERROR(VLOOKUP(A1220,[1]diabetes_Recognition!$A:$B,2,FALSE),"Not Sampled")</f>
        <v>Not Sampled</v>
      </c>
      <c r="U1220" t="str">
        <f>IF(T1220=1,"Positive",(IF(T1220=0,"Negative","Not Sampled")))</f>
        <v>Not Sampled</v>
      </c>
      <c r="V1220" s="1" t="str">
        <f>IF(U1220="Not Sampled","Not Sampled",IF(S1220=U1220,"Accurate Prediction","Inaccurate Prediction"))</f>
        <v>Not Sampled</v>
      </c>
    </row>
    <row r="1221" spans="1:22" x14ac:dyDescent="0.25">
      <c r="A1221" s="1">
        <v>1219</v>
      </c>
      <c r="B1221" s="1">
        <v>9</v>
      </c>
      <c r="C1221" s="1" t="str">
        <f>LOOKUP(B1221,Sheet2!$D$4:$E$9)</f>
        <v>8+</v>
      </c>
      <c r="D1221" s="1">
        <v>89</v>
      </c>
      <c r="E1221" t="str">
        <f>LOOKUP(D1221,Sheet2!$G$4:$H$9)</f>
        <v>1-99</v>
      </c>
      <c r="F1221" s="1">
        <v>62</v>
      </c>
      <c r="G1221" t="str">
        <f>LOOKUP(F1221,Sheet2!$J$4:$K$8)</f>
        <v>60-69</v>
      </c>
      <c r="H1221" s="1">
        <v>0</v>
      </c>
      <c r="I1221" t="str">
        <f>LOOKUP(H1221,Sheet2!$M$4:$N$8)</f>
        <v>Unknown</v>
      </c>
      <c r="J1221" s="1">
        <v>0</v>
      </c>
      <c r="K1221" t="str">
        <f>LOOKUP(J1221,Sheet2!$P$4:$Q$9)</f>
        <v>Unknown</v>
      </c>
      <c r="L1221" s="1">
        <v>22.5</v>
      </c>
      <c r="M1221" t="str">
        <f>LOOKUP(L1221,Sheet2!$S$4:$T$8)</f>
        <v>1-25</v>
      </c>
      <c r="N1221" s="1">
        <v>0.14199999999999999</v>
      </c>
      <c r="O1221" t="str">
        <f>LOOKUP(N1221,Sheet2!$V$4:$W$7)</f>
        <v>0.0 - 0.249</v>
      </c>
      <c r="P1221" s="1">
        <v>33</v>
      </c>
      <c r="Q1221" t="str">
        <f>LOOKUP(P1221,Sheet2!$Z$4:$AA$7)</f>
        <v>26-35</v>
      </c>
      <c r="R1221" s="1">
        <v>0</v>
      </c>
      <c r="S1221" t="str">
        <f>IF(R1221=1,"Positive","Negative")</f>
        <v>Negative</v>
      </c>
      <c r="T1221" s="1">
        <f>IFERROR(VLOOKUP(A1221,[1]diabetes_Recognition!$A:$B,2,FALSE),"Not Sampled")</f>
        <v>0</v>
      </c>
      <c r="U1221" t="str">
        <f>IF(T1221=1,"Positive",(IF(T1221=0,"Negative","Not Sampled")))</f>
        <v>Negative</v>
      </c>
      <c r="V1221" s="1" t="str">
        <f>IF(U1221="Not Sampled","Not Sampled",IF(S1221=U1221,"Accurate Prediction","Inaccurate Prediction"))</f>
        <v>Accurate Prediction</v>
      </c>
    </row>
    <row r="1222" spans="1:22" x14ac:dyDescent="0.25">
      <c r="A1222" s="1">
        <v>1220</v>
      </c>
      <c r="B1222" s="1">
        <v>10</v>
      </c>
      <c r="C1222" s="1" t="str">
        <f>LOOKUP(B1222,Sheet2!$D$4:$E$9)</f>
        <v>8+</v>
      </c>
      <c r="D1222" s="1">
        <v>101</v>
      </c>
      <c r="E1222" t="str">
        <f>LOOKUP(D1222,Sheet2!$G$4:$H$9)</f>
        <v>100-125</v>
      </c>
      <c r="F1222" s="1">
        <v>76</v>
      </c>
      <c r="G1222" t="str">
        <f>LOOKUP(F1222,Sheet2!$J$4:$K$8)</f>
        <v>70-79</v>
      </c>
      <c r="H1222" s="1">
        <v>48</v>
      </c>
      <c r="I1222" t="str">
        <f>LOOKUP(H1222,Sheet2!$M$4:$N$8)</f>
        <v>40+</v>
      </c>
      <c r="J1222" s="1">
        <v>180</v>
      </c>
      <c r="K1222" t="str">
        <f>LOOKUP(J1222,Sheet2!$P$4:$Q$9)</f>
        <v>100-199</v>
      </c>
      <c r="L1222" s="1">
        <v>32.9</v>
      </c>
      <c r="M1222" t="str">
        <f>LOOKUP(L1222,Sheet2!$S$4:$T$8)</f>
        <v>31-35</v>
      </c>
      <c r="N1222" s="1">
        <v>0.17100000000000001</v>
      </c>
      <c r="O1222" t="str">
        <f>LOOKUP(N1222,Sheet2!$V$4:$W$7)</f>
        <v>0.0 - 0.249</v>
      </c>
      <c r="P1222" s="1">
        <v>63</v>
      </c>
      <c r="Q1222" t="str">
        <f>LOOKUP(P1222,Sheet2!$Z$4:$AA$7)</f>
        <v>46+</v>
      </c>
      <c r="R1222" s="1">
        <v>0</v>
      </c>
      <c r="S1222" t="str">
        <f>IF(R1222=1,"Positive","Negative")</f>
        <v>Negative</v>
      </c>
      <c r="T1222" s="1" t="str">
        <f>IFERROR(VLOOKUP(A1222,[1]diabetes_Recognition!$A:$B,2,FALSE),"Not Sampled")</f>
        <v>Not Sampled</v>
      </c>
      <c r="U1222" t="str">
        <f>IF(T1222=1,"Positive",(IF(T1222=0,"Negative","Not Sampled")))</f>
        <v>Not Sampled</v>
      </c>
      <c r="V1222" s="1" t="str">
        <f>IF(U1222="Not Sampled","Not Sampled",IF(S1222=U1222,"Accurate Prediction","Inaccurate Prediction"))</f>
        <v>Not Sampled</v>
      </c>
    </row>
    <row r="1223" spans="1:22" x14ac:dyDescent="0.25">
      <c r="A1223" s="1">
        <v>1221</v>
      </c>
      <c r="B1223" s="1">
        <v>2</v>
      </c>
      <c r="C1223" s="1">
        <f>LOOKUP(B1223,Sheet2!$D$4:$E$9)</f>
        <v>2</v>
      </c>
      <c r="D1223" s="1">
        <v>122</v>
      </c>
      <c r="E1223" t="str">
        <f>LOOKUP(D1223,Sheet2!$G$4:$H$9)</f>
        <v>100-125</v>
      </c>
      <c r="F1223" s="1">
        <v>70</v>
      </c>
      <c r="G1223" t="str">
        <f>LOOKUP(F1223,Sheet2!$J$4:$K$8)</f>
        <v>70-79</v>
      </c>
      <c r="H1223" s="1">
        <v>27</v>
      </c>
      <c r="I1223" t="str">
        <f>LOOKUP(H1223,Sheet2!$M$4:$N$8)</f>
        <v>10-30</v>
      </c>
      <c r="J1223" s="1">
        <v>0</v>
      </c>
      <c r="K1223" t="str">
        <f>LOOKUP(J1223,Sheet2!$P$4:$Q$9)</f>
        <v>Unknown</v>
      </c>
      <c r="L1223" s="1">
        <v>36.799999999999997</v>
      </c>
      <c r="M1223" t="str">
        <f>LOOKUP(L1223,Sheet2!$S$4:$T$8)</f>
        <v>36+</v>
      </c>
      <c r="N1223" s="1">
        <v>0.34</v>
      </c>
      <c r="O1223" t="str">
        <f>LOOKUP(N1223,Sheet2!$V$4:$W$7)</f>
        <v>0.25 - 0.39</v>
      </c>
      <c r="P1223" s="1">
        <v>27</v>
      </c>
      <c r="Q1223" t="str">
        <f>LOOKUP(P1223,Sheet2!$Z$4:$AA$7)</f>
        <v>26-35</v>
      </c>
      <c r="R1223" s="1">
        <v>0</v>
      </c>
      <c r="S1223" t="str">
        <f>IF(R1223=1,"Positive","Negative")</f>
        <v>Negative</v>
      </c>
      <c r="T1223" s="1" t="str">
        <f>IFERROR(VLOOKUP(A1223,[1]diabetes_Recognition!$A:$B,2,FALSE),"Not Sampled")</f>
        <v>Not Sampled</v>
      </c>
      <c r="U1223" t="str">
        <f>IF(T1223=1,"Positive",(IF(T1223=0,"Negative","Not Sampled")))</f>
        <v>Not Sampled</v>
      </c>
      <c r="V1223" s="1" t="str">
        <f>IF(U1223="Not Sampled","Not Sampled",IF(S1223=U1223,"Accurate Prediction","Inaccurate Prediction"))</f>
        <v>Not Sampled</v>
      </c>
    </row>
    <row r="1224" spans="1:22" x14ac:dyDescent="0.25">
      <c r="A1224" s="1">
        <v>1222</v>
      </c>
      <c r="B1224" s="1">
        <v>5</v>
      </c>
      <c r="C1224" s="1" t="str">
        <f>LOOKUP(B1224,Sheet2!$D$4:$E$9)</f>
        <v>5-7</v>
      </c>
      <c r="D1224" s="1">
        <v>121</v>
      </c>
      <c r="E1224" t="str">
        <f>LOOKUP(D1224,Sheet2!$G$4:$H$9)</f>
        <v>100-125</v>
      </c>
      <c r="F1224" s="1">
        <v>72</v>
      </c>
      <c r="G1224" t="str">
        <f>LOOKUP(F1224,Sheet2!$J$4:$K$8)</f>
        <v>70-79</v>
      </c>
      <c r="H1224" s="1">
        <v>23</v>
      </c>
      <c r="I1224" t="str">
        <f>LOOKUP(H1224,Sheet2!$M$4:$N$8)</f>
        <v>10-30</v>
      </c>
      <c r="J1224" s="1">
        <v>112</v>
      </c>
      <c r="K1224" t="str">
        <f>LOOKUP(J1224,Sheet2!$P$4:$Q$9)</f>
        <v>100-199</v>
      </c>
      <c r="L1224" s="1">
        <v>26.2</v>
      </c>
      <c r="M1224" t="str">
        <f>LOOKUP(L1224,Sheet2!$S$4:$T$8)</f>
        <v>26-30</v>
      </c>
      <c r="N1224" s="1">
        <v>0.245</v>
      </c>
      <c r="O1224" t="str">
        <f>LOOKUP(N1224,Sheet2!$V$4:$W$7)</f>
        <v>0.0 - 0.249</v>
      </c>
      <c r="P1224" s="1">
        <v>30</v>
      </c>
      <c r="Q1224" t="str">
        <f>LOOKUP(P1224,Sheet2!$Z$4:$AA$7)</f>
        <v>26-35</v>
      </c>
      <c r="R1224" s="1">
        <v>0</v>
      </c>
      <c r="S1224" t="str">
        <f>IF(R1224=1,"Positive","Negative")</f>
        <v>Negative</v>
      </c>
      <c r="T1224" s="1" t="str">
        <f>IFERROR(VLOOKUP(A1224,[1]diabetes_Recognition!$A:$B,2,FALSE),"Not Sampled")</f>
        <v>Not Sampled</v>
      </c>
      <c r="U1224" t="str">
        <f>IF(T1224=1,"Positive",(IF(T1224=0,"Negative","Not Sampled")))</f>
        <v>Not Sampled</v>
      </c>
      <c r="V1224" s="1" t="str">
        <f>IF(U1224="Not Sampled","Not Sampled",IF(S1224=U1224,"Accurate Prediction","Inaccurate Prediction"))</f>
        <v>Not Sampled</v>
      </c>
    </row>
    <row r="1225" spans="1:22" x14ac:dyDescent="0.25">
      <c r="A1225" s="1">
        <v>1223</v>
      </c>
      <c r="B1225" s="1">
        <v>1</v>
      </c>
      <c r="C1225" s="1">
        <f>LOOKUP(B1225,Sheet2!$D$4:$E$9)</f>
        <v>1</v>
      </c>
      <c r="D1225" s="1">
        <v>126</v>
      </c>
      <c r="E1225" t="str">
        <f>LOOKUP(D1225,Sheet2!$G$4:$H$9)</f>
        <v>126-150</v>
      </c>
      <c r="F1225" s="1">
        <v>60</v>
      </c>
      <c r="G1225" t="str">
        <f>LOOKUP(F1225,Sheet2!$J$4:$K$8)</f>
        <v>60-69</v>
      </c>
      <c r="H1225" s="1">
        <v>0</v>
      </c>
      <c r="I1225" t="str">
        <f>LOOKUP(H1225,Sheet2!$M$4:$N$8)</f>
        <v>Unknown</v>
      </c>
      <c r="J1225" s="1">
        <v>0</v>
      </c>
      <c r="K1225" t="str">
        <f>LOOKUP(J1225,Sheet2!$P$4:$Q$9)</f>
        <v>Unknown</v>
      </c>
      <c r="L1225" s="1">
        <v>30.1</v>
      </c>
      <c r="M1225" t="str">
        <f>LOOKUP(L1225,Sheet2!$S$4:$T$8)</f>
        <v>26-30</v>
      </c>
      <c r="N1225" s="1">
        <v>0.34899999999999998</v>
      </c>
      <c r="O1225" t="str">
        <f>LOOKUP(N1225,Sheet2!$V$4:$W$7)</f>
        <v>0.25 - 0.39</v>
      </c>
      <c r="P1225" s="1">
        <v>47</v>
      </c>
      <c r="Q1225" t="str">
        <f>LOOKUP(P1225,Sheet2!$Z$4:$AA$7)</f>
        <v>46+</v>
      </c>
      <c r="R1225" s="1">
        <v>1</v>
      </c>
      <c r="S1225" t="str">
        <f>IF(R1225=1,"Positive","Negative")</f>
        <v>Positive</v>
      </c>
      <c r="T1225" s="1" t="str">
        <f>IFERROR(VLOOKUP(A1225,[1]diabetes_Recognition!$A:$B,2,FALSE),"Not Sampled")</f>
        <v>Not Sampled</v>
      </c>
      <c r="U1225" t="str">
        <f>IF(T1225=1,"Positive",(IF(T1225=0,"Negative","Not Sampled")))</f>
        <v>Not Sampled</v>
      </c>
      <c r="V1225" s="1" t="str">
        <f>IF(U1225="Not Sampled","Not Sampled",IF(S1225=U1225,"Accurate Prediction","Inaccurate Prediction"))</f>
        <v>Not Sampled</v>
      </c>
    </row>
    <row r="1226" spans="1:22" x14ac:dyDescent="0.25">
      <c r="A1226" s="1">
        <v>1224</v>
      </c>
      <c r="B1226" s="1">
        <v>1</v>
      </c>
      <c r="C1226" s="1">
        <f>LOOKUP(B1226,Sheet2!$D$4:$E$9)</f>
        <v>1</v>
      </c>
      <c r="D1226" s="1">
        <v>93</v>
      </c>
      <c r="E1226" t="str">
        <f>LOOKUP(D1226,Sheet2!$G$4:$H$9)</f>
        <v>1-99</v>
      </c>
      <c r="F1226" s="1">
        <v>70</v>
      </c>
      <c r="G1226" t="str">
        <f>LOOKUP(F1226,Sheet2!$J$4:$K$8)</f>
        <v>70-79</v>
      </c>
      <c r="H1226" s="1">
        <v>31</v>
      </c>
      <c r="I1226" t="str">
        <f>LOOKUP(H1226,Sheet2!$M$4:$N$8)</f>
        <v>30-39</v>
      </c>
      <c r="J1226" s="1">
        <v>0</v>
      </c>
      <c r="K1226" t="str">
        <f>LOOKUP(J1226,Sheet2!$P$4:$Q$9)</f>
        <v>Unknown</v>
      </c>
      <c r="L1226" s="1">
        <v>30.4</v>
      </c>
      <c r="M1226" t="str">
        <f>LOOKUP(L1226,Sheet2!$S$4:$T$8)</f>
        <v>26-30</v>
      </c>
      <c r="N1226" s="1">
        <v>0.315</v>
      </c>
      <c r="O1226" t="str">
        <f>LOOKUP(N1226,Sheet2!$V$4:$W$7)</f>
        <v>0.25 - 0.39</v>
      </c>
      <c r="P1226" s="1">
        <v>23</v>
      </c>
      <c r="Q1226" t="str">
        <f>LOOKUP(P1226,Sheet2!$Z$4:$AA$7)</f>
        <v>&lt;=25</v>
      </c>
      <c r="R1226" s="1">
        <v>0</v>
      </c>
      <c r="S1226" t="str">
        <f>IF(R1226=1,"Positive","Negative")</f>
        <v>Negative</v>
      </c>
      <c r="T1226" s="1" t="str">
        <f>IFERROR(VLOOKUP(A1226,[1]diabetes_Recognition!$A:$B,2,FALSE),"Not Sampled")</f>
        <v>Not Sampled</v>
      </c>
      <c r="U1226" t="str">
        <f>IF(T1226=1,"Positive",(IF(T1226=0,"Negative","Not Sampled")))</f>
        <v>Not Sampled</v>
      </c>
      <c r="V1226" s="1" t="str">
        <f>IF(U1226="Not Sampled","Not Sampled",IF(S1226=U1226,"Accurate Prediction","Inaccurate Prediction"))</f>
        <v>Not Sampled</v>
      </c>
    </row>
    <row r="1227" spans="1:22" x14ac:dyDescent="0.25">
      <c r="A1227" s="1">
        <v>1225</v>
      </c>
      <c r="B1227" s="1">
        <v>14</v>
      </c>
      <c r="C1227" s="1" t="str">
        <f>LOOKUP(B1227,Sheet2!$D$4:$E$9)</f>
        <v>8+</v>
      </c>
      <c r="D1227" s="1">
        <v>100</v>
      </c>
      <c r="E1227" t="str">
        <f>LOOKUP(D1227,Sheet2!$G$4:$H$9)</f>
        <v>100-125</v>
      </c>
      <c r="F1227" s="1">
        <v>78</v>
      </c>
      <c r="G1227" t="str">
        <f>LOOKUP(F1227,Sheet2!$J$4:$K$8)</f>
        <v>70-79</v>
      </c>
      <c r="H1227" s="1">
        <v>25</v>
      </c>
      <c r="I1227" t="str">
        <f>LOOKUP(H1227,Sheet2!$M$4:$N$8)</f>
        <v>10-30</v>
      </c>
      <c r="J1227" s="1">
        <v>184</v>
      </c>
      <c r="K1227" t="str">
        <f>LOOKUP(J1227,Sheet2!$P$4:$Q$9)</f>
        <v>100-199</v>
      </c>
      <c r="L1227" s="1">
        <v>36.6</v>
      </c>
      <c r="M1227" t="str">
        <f>LOOKUP(L1227,Sheet2!$S$4:$T$8)</f>
        <v>36+</v>
      </c>
      <c r="N1227" s="1">
        <v>0.41199999999999998</v>
      </c>
      <c r="O1227" t="str">
        <f>LOOKUP(N1227,Sheet2!$V$4:$W$7)</f>
        <v>0.4 - 0.69</v>
      </c>
      <c r="P1227" s="1">
        <v>46</v>
      </c>
      <c r="Q1227" t="str">
        <f>LOOKUP(P1227,Sheet2!$Z$4:$AA$7)</f>
        <v>46+</v>
      </c>
      <c r="R1227" s="1">
        <v>1</v>
      </c>
      <c r="S1227" t="str">
        <f>IF(R1227=1,"Positive","Negative")</f>
        <v>Positive</v>
      </c>
      <c r="T1227" s="1">
        <f>IFERROR(VLOOKUP(A1227,[1]diabetes_Recognition!$A:$B,2,FALSE),"Not Sampled")</f>
        <v>0</v>
      </c>
      <c r="U1227" t="str">
        <f>IF(T1227=1,"Positive",(IF(T1227=0,"Negative","Not Sampled")))</f>
        <v>Negative</v>
      </c>
      <c r="V1227" s="1" t="str">
        <f>IF(U1227="Not Sampled","Not Sampled",IF(S1227=U1227,"Accurate Prediction","Inaccurate Prediction"))</f>
        <v>Inaccurate Prediction</v>
      </c>
    </row>
    <row r="1228" spans="1:22" x14ac:dyDescent="0.25">
      <c r="A1228" s="1">
        <v>1226</v>
      </c>
      <c r="B1228" s="1">
        <v>8</v>
      </c>
      <c r="C1228" s="1" t="str">
        <f>LOOKUP(B1228,Sheet2!$D$4:$E$9)</f>
        <v>8+</v>
      </c>
      <c r="D1228" s="1">
        <v>112</v>
      </c>
      <c r="E1228" t="str">
        <f>LOOKUP(D1228,Sheet2!$G$4:$H$9)</f>
        <v>100-125</v>
      </c>
      <c r="F1228" s="1">
        <v>72</v>
      </c>
      <c r="G1228" t="str">
        <f>LOOKUP(F1228,Sheet2!$J$4:$K$8)</f>
        <v>70-79</v>
      </c>
      <c r="H1228" s="1">
        <v>0</v>
      </c>
      <c r="I1228" t="str">
        <f>LOOKUP(H1228,Sheet2!$M$4:$N$8)</f>
        <v>Unknown</v>
      </c>
      <c r="J1228" s="1">
        <v>0</v>
      </c>
      <c r="K1228" t="str">
        <f>LOOKUP(J1228,Sheet2!$P$4:$Q$9)</f>
        <v>Unknown</v>
      </c>
      <c r="L1228" s="1">
        <v>23.6</v>
      </c>
      <c r="M1228" t="str">
        <f>LOOKUP(L1228,Sheet2!$S$4:$T$8)</f>
        <v>1-25</v>
      </c>
      <c r="N1228" s="1">
        <v>0.84</v>
      </c>
      <c r="O1228" t="str">
        <f>LOOKUP(N1228,Sheet2!$V$4:$W$7)</f>
        <v>0.7+</v>
      </c>
      <c r="P1228" s="1">
        <v>58</v>
      </c>
      <c r="Q1228" t="str">
        <f>LOOKUP(P1228,Sheet2!$Z$4:$AA$7)</f>
        <v>46+</v>
      </c>
      <c r="R1228" s="1">
        <v>0</v>
      </c>
      <c r="S1228" t="str">
        <f>IF(R1228=1,"Positive","Negative")</f>
        <v>Negative</v>
      </c>
      <c r="T1228" s="1" t="str">
        <f>IFERROR(VLOOKUP(A1228,[1]diabetes_Recognition!$A:$B,2,FALSE),"Not Sampled")</f>
        <v>Not Sampled</v>
      </c>
      <c r="U1228" t="str">
        <f>IF(T1228=1,"Positive",(IF(T1228=0,"Negative","Not Sampled")))</f>
        <v>Not Sampled</v>
      </c>
      <c r="V1228" s="1" t="str">
        <f>IF(U1228="Not Sampled","Not Sampled",IF(S1228=U1228,"Accurate Prediction","Inaccurate Prediction"))</f>
        <v>Not Sampled</v>
      </c>
    </row>
    <row r="1229" spans="1:22" x14ac:dyDescent="0.25">
      <c r="A1229" s="1">
        <v>1227</v>
      </c>
      <c r="B1229" s="1">
        <v>0</v>
      </c>
      <c r="C1229" s="1">
        <f>LOOKUP(B1229,Sheet2!$D$4:$E$9)</f>
        <v>0</v>
      </c>
      <c r="D1229" s="1">
        <v>167</v>
      </c>
      <c r="E1229" t="str">
        <f>LOOKUP(D1229,Sheet2!$G$4:$H$9)</f>
        <v>151-175</v>
      </c>
      <c r="F1229" s="1">
        <v>0</v>
      </c>
      <c r="G1229" t="str">
        <f>LOOKUP(F1229,Sheet2!$J$4:$K$8)</f>
        <v>Unknown</v>
      </c>
      <c r="H1229" s="1">
        <v>0</v>
      </c>
      <c r="I1229" t="str">
        <f>LOOKUP(H1229,Sheet2!$M$4:$N$8)</f>
        <v>Unknown</v>
      </c>
      <c r="J1229" s="1">
        <v>0</v>
      </c>
      <c r="K1229" t="str">
        <f>LOOKUP(J1229,Sheet2!$P$4:$Q$9)</f>
        <v>Unknown</v>
      </c>
      <c r="L1229" s="1">
        <v>32.299999999999997</v>
      </c>
      <c r="M1229" t="str">
        <f>LOOKUP(L1229,Sheet2!$S$4:$T$8)</f>
        <v>31-35</v>
      </c>
      <c r="N1229" s="1">
        <v>0.83899999999999997</v>
      </c>
      <c r="O1229" t="str">
        <f>LOOKUP(N1229,Sheet2!$V$4:$W$7)</f>
        <v>0.7+</v>
      </c>
      <c r="P1229" s="1">
        <v>30</v>
      </c>
      <c r="Q1229" t="str">
        <f>LOOKUP(P1229,Sheet2!$Z$4:$AA$7)</f>
        <v>26-35</v>
      </c>
      <c r="R1229" s="1">
        <v>1</v>
      </c>
      <c r="S1229" t="str">
        <f>IF(R1229=1,"Positive","Negative")</f>
        <v>Positive</v>
      </c>
      <c r="T1229" s="1">
        <f>IFERROR(VLOOKUP(A1229,[1]diabetes_Recognition!$A:$B,2,FALSE),"Not Sampled")</f>
        <v>1</v>
      </c>
      <c r="U1229" t="str">
        <f>IF(T1229=1,"Positive",(IF(T1229=0,"Negative","Not Sampled")))</f>
        <v>Positive</v>
      </c>
      <c r="V1229" s="1" t="str">
        <f>IF(U1229="Not Sampled","Not Sampled",IF(S1229=U1229,"Accurate Prediction","Inaccurate Prediction"))</f>
        <v>Accurate Prediction</v>
      </c>
    </row>
    <row r="1230" spans="1:22" x14ac:dyDescent="0.25">
      <c r="A1230" s="1">
        <v>1228</v>
      </c>
      <c r="B1230" s="1">
        <v>2</v>
      </c>
      <c r="C1230" s="1">
        <f>LOOKUP(B1230,Sheet2!$D$4:$E$9)</f>
        <v>2</v>
      </c>
      <c r="D1230" s="1">
        <v>144</v>
      </c>
      <c r="E1230" t="str">
        <f>LOOKUP(D1230,Sheet2!$G$4:$H$9)</f>
        <v>126-150</v>
      </c>
      <c r="F1230" s="1">
        <v>58</v>
      </c>
      <c r="G1230" t="str">
        <f>LOOKUP(F1230,Sheet2!$J$4:$K$8)</f>
        <v>1-59</v>
      </c>
      <c r="H1230" s="1">
        <v>33</v>
      </c>
      <c r="I1230" t="str">
        <f>LOOKUP(H1230,Sheet2!$M$4:$N$8)</f>
        <v>30-39</v>
      </c>
      <c r="J1230" s="1">
        <v>135</v>
      </c>
      <c r="K1230" t="str">
        <f>LOOKUP(J1230,Sheet2!$P$4:$Q$9)</f>
        <v>100-199</v>
      </c>
      <c r="L1230" s="1">
        <v>31.6</v>
      </c>
      <c r="M1230" t="str">
        <f>LOOKUP(L1230,Sheet2!$S$4:$T$8)</f>
        <v>31-35</v>
      </c>
      <c r="N1230" s="1">
        <v>0.42199999999999999</v>
      </c>
      <c r="O1230" t="str">
        <f>LOOKUP(N1230,Sheet2!$V$4:$W$7)</f>
        <v>0.4 - 0.69</v>
      </c>
      <c r="P1230" s="1">
        <v>25</v>
      </c>
      <c r="Q1230" t="str">
        <f>LOOKUP(P1230,Sheet2!$Z$4:$AA$7)</f>
        <v>&lt;=25</v>
      </c>
      <c r="R1230" s="1">
        <v>1</v>
      </c>
      <c r="S1230" t="str">
        <f>IF(R1230=1,"Positive","Negative")</f>
        <v>Positive</v>
      </c>
      <c r="T1230" s="1">
        <f>IFERROR(VLOOKUP(A1230,[1]diabetes_Recognition!$A:$B,2,FALSE),"Not Sampled")</f>
        <v>0</v>
      </c>
      <c r="U1230" t="str">
        <f>IF(T1230=1,"Positive",(IF(T1230=0,"Negative","Not Sampled")))</f>
        <v>Negative</v>
      </c>
      <c r="V1230" s="1" t="str">
        <f>IF(U1230="Not Sampled","Not Sampled",IF(S1230=U1230,"Accurate Prediction","Inaccurate Prediction"))</f>
        <v>Inaccurate Prediction</v>
      </c>
    </row>
    <row r="1231" spans="1:22" x14ac:dyDescent="0.25">
      <c r="A1231" s="1">
        <v>1229</v>
      </c>
      <c r="B1231" s="1">
        <v>5</v>
      </c>
      <c r="C1231" s="1" t="str">
        <f>LOOKUP(B1231,Sheet2!$D$4:$E$9)</f>
        <v>5-7</v>
      </c>
      <c r="D1231" s="1">
        <v>77</v>
      </c>
      <c r="E1231" t="str">
        <f>LOOKUP(D1231,Sheet2!$G$4:$H$9)</f>
        <v>1-99</v>
      </c>
      <c r="F1231" s="1">
        <v>82</v>
      </c>
      <c r="G1231" t="str">
        <f>LOOKUP(F1231,Sheet2!$J$4:$K$8)</f>
        <v>80+</v>
      </c>
      <c r="H1231" s="1">
        <v>41</v>
      </c>
      <c r="I1231" t="str">
        <f>LOOKUP(H1231,Sheet2!$M$4:$N$8)</f>
        <v>40+</v>
      </c>
      <c r="J1231" s="1">
        <v>42</v>
      </c>
      <c r="K1231" t="str">
        <f>LOOKUP(J1231,Sheet2!$P$4:$Q$9)</f>
        <v>1-99</v>
      </c>
      <c r="L1231" s="1">
        <v>35.799999999999997</v>
      </c>
      <c r="M1231" t="str">
        <f>LOOKUP(L1231,Sheet2!$S$4:$T$8)</f>
        <v>31-35</v>
      </c>
      <c r="N1231" s="1">
        <v>0.156</v>
      </c>
      <c r="O1231" t="str">
        <f>LOOKUP(N1231,Sheet2!$V$4:$W$7)</f>
        <v>0.0 - 0.249</v>
      </c>
      <c r="P1231" s="1">
        <v>35</v>
      </c>
      <c r="Q1231" t="str">
        <f>LOOKUP(P1231,Sheet2!$Z$4:$AA$7)</f>
        <v>26-35</v>
      </c>
      <c r="R1231" s="1">
        <v>0</v>
      </c>
      <c r="S1231" t="str">
        <f>IF(R1231=1,"Positive","Negative")</f>
        <v>Negative</v>
      </c>
      <c r="T1231" s="1" t="str">
        <f>IFERROR(VLOOKUP(A1231,[1]diabetes_Recognition!$A:$B,2,FALSE),"Not Sampled")</f>
        <v>Not Sampled</v>
      </c>
      <c r="U1231" t="str">
        <f>IF(T1231=1,"Positive",(IF(T1231=0,"Negative","Not Sampled")))</f>
        <v>Not Sampled</v>
      </c>
      <c r="V1231" s="1" t="str">
        <f>IF(U1231="Not Sampled","Not Sampled",IF(S1231=U1231,"Accurate Prediction","Inaccurate Prediction"))</f>
        <v>Not Sampled</v>
      </c>
    </row>
    <row r="1232" spans="1:22" x14ac:dyDescent="0.25">
      <c r="A1232" s="1">
        <v>1230</v>
      </c>
      <c r="B1232" s="1">
        <v>5</v>
      </c>
      <c r="C1232" s="1" t="str">
        <f>LOOKUP(B1232,Sheet2!$D$4:$E$9)</f>
        <v>5-7</v>
      </c>
      <c r="D1232" s="1">
        <v>115</v>
      </c>
      <c r="E1232" t="str">
        <f>LOOKUP(D1232,Sheet2!$G$4:$H$9)</f>
        <v>100-125</v>
      </c>
      <c r="F1232" s="1">
        <v>98</v>
      </c>
      <c r="G1232" t="str">
        <f>LOOKUP(F1232,Sheet2!$J$4:$K$8)</f>
        <v>80+</v>
      </c>
      <c r="H1232" s="1">
        <v>0</v>
      </c>
      <c r="I1232" t="str">
        <f>LOOKUP(H1232,Sheet2!$M$4:$N$8)</f>
        <v>Unknown</v>
      </c>
      <c r="J1232" s="1">
        <v>0</v>
      </c>
      <c r="K1232" t="str">
        <f>LOOKUP(J1232,Sheet2!$P$4:$Q$9)</f>
        <v>Unknown</v>
      </c>
      <c r="L1232" s="1">
        <v>52.9</v>
      </c>
      <c r="M1232" t="str">
        <f>LOOKUP(L1232,Sheet2!$S$4:$T$8)</f>
        <v>36+</v>
      </c>
      <c r="N1232" s="1">
        <v>0.20899999999999999</v>
      </c>
      <c r="O1232" t="str">
        <f>LOOKUP(N1232,Sheet2!$V$4:$W$7)</f>
        <v>0.0 - 0.249</v>
      </c>
      <c r="P1232" s="1">
        <v>28</v>
      </c>
      <c r="Q1232" t="str">
        <f>LOOKUP(P1232,Sheet2!$Z$4:$AA$7)</f>
        <v>26-35</v>
      </c>
      <c r="R1232" s="1">
        <v>1</v>
      </c>
      <c r="S1232" t="str">
        <f>IF(R1232=1,"Positive","Negative")</f>
        <v>Positive</v>
      </c>
      <c r="T1232" s="1">
        <f>IFERROR(VLOOKUP(A1232,[1]diabetes_Recognition!$A:$B,2,FALSE),"Not Sampled")</f>
        <v>1</v>
      </c>
      <c r="U1232" t="str">
        <f>IF(T1232=1,"Positive",(IF(T1232=0,"Negative","Not Sampled")))</f>
        <v>Positive</v>
      </c>
      <c r="V1232" s="1" t="str">
        <f>IF(U1232="Not Sampled","Not Sampled",IF(S1232=U1232,"Accurate Prediction","Inaccurate Prediction"))</f>
        <v>Accurate Prediction</v>
      </c>
    </row>
    <row r="1233" spans="1:22" x14ac:dyDescent="0.25">
      <c r="A1233" s="1">
        <v>1231</v>
      </c>
      <c r="B1233" s="1">
        <v>3</v>
      </c>
      <c r="C1233" s="1" t="str">
        <f>LOOKUP(B1233,Sheet2!$D$4:$E$9)</f>
        <v>3-4</v>
      </c>
      <c r="D1233" s="1">
        <v>150</v>
      </c>
      <c r="E1233" t="str">
        <f>LOOKUP(D1233,Sheet2!$G$4:$H$9)</f>
        <v>126-150</v>
      </c>
      <c r="F1233" s="1">
        <v>76</v>
      </c>
      <c r="G1233" t="str">
        <f>LOOKUP(F1233,Sheet2!$J$4:$K$8)</f>
        <v>70-79</v>
      </c>
      <c r="H1233" s="1">
        <v>0</v>
      </c>
      <c r="I1233" t="str">
        <f>LOOKUP(H1233,Sheet2!$M$4:$N$8)</f>
        <v>Unknown</v>
      </c>
      <c r="J1233" s="1">
        <v>0</v>
      </c>
      <c r="K1233" t="str">
        <f>LOOKUP(J1233,Sheet2!$P$4:$Q$9)</f>
        <v>Unknown</v>
      </c>
      <c r="L1233" s="1">
        <v>21</v>
      </c>
      <c r="M1233" t="str">
        <f>LOOKUP(L1233,Sheet2!$S$4:$T$8)</f>
        <v>1-25</v>
      </c>
      <c r="N1233" s="1">
        <v>0.20699999999999999</v>
      </c>
      <c r="O1233" t="str">
        <f>LOOKUP(N1233,Sheet2!$V$4:$W$7)</f>
        <v>0.0 - 0.249</v>
      </c>
      <c r="P1233" s="1">
        <v>37</v>
      </c>
      <c r="Q1233" t="str">
        <f>LOOKUP(P1233,Sheet2!$Z$4:$AA$7)</f>
        <v>36-45</v>
      </c>
      <c r="R1233" s="1">
        <v>0</v>
      </c>
      <c r="S1233" t="str">
        <f>IF(R1233=1,"Positive","Negative")</f>
        <v>Negative</v>
      </c>
      <c r="T1233" s="1">
        <f>IFERROR(VLOOKUP(A1233,[1]diabetes_Recognition!$A:$B,2,FALSE),"Not Sampled")</f>
        <v>0</v>
      </c>
      <c r="U1233" t="str">
        <f>IF(T1233=1,"Positive",(IF(T1233=0,"Negative","Not Sampled")))</f>
        <v>Negative</v>
      </c>
      <c r="V1233" s="1" t="str">
        <f>IF(U1233="Not Sampled","Not Sampled",IF(S1233=U1233,"Accurate Prediction","Inaccurate Prediction"))</f>
        <v>Accurate Prediction</v>
      </c>
    </row>
    <row r="1234" spans="1:22" x14ac:dyDescent="0.25">
      <c r="A1234" s="1">
        <v>1232</v>
      </c>
      <c r="B1234" s="1">
        <v>2</v>
      </c>
      <c r="C1234" s="1">
        <f>LOOKUP(B1234,Sheet2!$D$4:$E$9)</f>
        <v>2</v>
      </c>
      <c r="D1234" s="1">
        <v>120</v>
      </c>
      <c r="E1234" t="str">
        <f>LOOKUP(D1234,Sheet2!$G$4:$H$9)</f>
        <v>100-125</v>
      </c>
      <c r="F1234" s="1">
        <v>76</v>
      </c>
      <c r="G1234" t="str">
        <f>LOOKUP(F1234,Sheet2!$J$4:$K$8)</f>
        <v>70-79</v>
      </c>
      <c r="H1234" s="1">
        <v>37</v>
      </c>
      <c r="I1234" t="str">
        <f>LOOKUP(H1234,Sheet2!$M$4:$N$8)</f>
        <v>30-39</v>
      </c>
      <c r="J1234" s="1">
        <v>105</v>
      </c>
      <c r="K1234" t="str">
        <f>LOOKUP(J1234,Sheet2!$P$4:$Q$9)</f>
        <v>100-199</v>
      </c>
      <c r="L1234" s="1">
        <v>39.700000000000003</v>
      </c>
      <c r="M1234" t="str">
        <f>LOOKUP(L1234,Sheet2!$S$4:$T$8)</f>
        <v>36+</v>
      </c>
      <c r="N1234" s="1">
        <v>0.215</v>
      </c>
      <c r="O1234" t="str">
        <f>LOOKUP(N1234,Sheet2!$V$4:$W$7)</f>
        <v>0.0 - 0.249</v>
      </c>
      <c r="P1234" s="1">
        <v>29</v>
      </c>
      <c r="Q1234" t="str">
        <f>LOOKUP(P1234,Sheet2!$Z$4:$AA$7)</f>
        <v>26-35</v>
      </c>
      <c r="R1234" s="1">
        <v>0</v>
      </c>
      <c r="S1234" t="str">
        <f>IF(R1234=1,"Positive","Negative")</f>
        <v>Negative</v>
      </c>
      <c r="T1234" s="1" t="str">
        <f>IFERROR(VLOOKUP(A1234,[1]diabetes_Recognition!$A:$B,2,FALSE),"Not Sampled")</f>
        <v>Not Sampled</v>
      </c>
      <c r="U1234" t="str">
        <f>IF(T1234=1,"Positive",(IF(T1234=0,"Negative","Not Sampled")))</f>
        <v>Not Sampled</v>
      </c>
      <c r="V1234" s="1" t="str">
        <f>IF(U1234="Not Sampled","Not Sampled",IF(S1234=U1234,"Accurate Prediction","Inaccurate Prediction"))</f>
        <v>Not Sampled</v>
      </c>
    </row>
    <row r="1235" spans="1:22" x14ac:dyDescent="0.25">
      <c r="A1235" s="1">
        <v>1233</v>
      </c>
      <c r="B1235" s="1">
        <v>10</v>
      </c>
      <c r="C1235" s="1" t="str">
        <f>LOOKUP(B1235,Sheet2!$D$4:$E$9)</f>
        <v>8+</v>
      </c>
      <c r="D1235" s="1">
        <v>161</v>
      </c>
      <c r="E1235" t="str">
        <f>LOOKUP(D1235,Sheet2!$G$4:$H$9)</f>
        <v>151-175</v>
      </c>
      <c r="F1235" s="1">
        <v>68</v>
      </c>
      <c r="G1235" t="str">
        <f>LOOKUP(F1235,Sheet2!$J$4:$K$8)</f>
        <v>60-69</v>
      </c>
      <c r="H1235" s="1">
        <v>23</v>
      </c>
      <c r="I1235" t="str">
        <f>LOOKUP(H1235,Sheet2!$M$4:$N$8)</f>
        <v>10-30</v>
      </c>
      <c r="J1235" s="1">
        <v>132</v>
      </c>
      <c r="K1235" t="str">
        <f>LOOKUP(J1235,Sheet2!$P$4:$Q$9)</f>
        <v>100-199</v>
      </c>
      <c r="L1235" s="1">
        <v>25.5</v>
      </c>
      <c r="M1235" t="str">
        <f>LOOKUP(L1235,Sheet2!$S$4:$T$8)</f>
        <v>1-25</v>
      </c>
      <c r="N1235" s="1">
        <v>0.32600000000000001</v>
      </c>
      <c r="O1235" t="str">
        <f>LOOKUP(N1235,Sheet2!$V$4:$W$7)</f>
        <v>0.25 - 0.39</v>
      </c>
      <c r="P1235" s="1">
        <v>47</v>
      </c>
      <c r="Q1235" t="str">
        <f>LOOKUP(P1235,Sheet2!$Z$4:$AA$7)</f>
        <v>46+</v>
      </c>
      <c r="R1235" s="1">
        <v>1</v>
      </c>
      <c r="S1235" t="str">
        <f>IF(R1235=1,"Positive","Negative")</f>
        <v>Positive</v>
      </c>
      <c r="T1235" s="1" t="str">
        <f>IFERROR(VLOOKUP(A1235,[1]diabetes_Recognition!$A:$B,2,FALSE),"Not Sampled")</f>
        <v>Not Sampled</v>
      </c>
      <c r="U1235" t="str">
        <f>IF(T1235=1,"Positive",(IF(T1235=0,"Negative","Not Sampled")))</f>
        <v>Not Sampled</v>
      </c>
      <c r="V1235" s="1" t="str">
        <f>IF(U1235="Not Sampled","Not Sampled",IF(S1235=U1235,"Accurate Prediction","Inaccurate Prediction"))</f>
        <v>Not Sampled</v>
      </c>
    </row>
    <row r="1236" spans="1:22" x14ac:dyDescent="0.25">
      <c r="A1236" s="1">
        <v>1234</v>
      </c>
      <c r="B1236" s="1">
        <v>0</v>
      </c>
      <c r="C1236" s="1">
        <f>LOOKUP(B1236,Sheet2!$D$4:$E$9)</f>
        <v>0</v>
      </c>
      <c r="D1236" s="1">
        <v>137</v>
      </c>
      <c r="E1236" t="str">
        <f>LOOKUP(D1236,Sheet2!$G$4:$H$9)</f>
        <v>126-150</v>
      </c>
      <c r="F1236" s="1">
        <v>68</v>
      </c>
      <c r="G1236" t="str">
        <f>LOOKUP(F1236,Sheet2!$J$4:$K$8)</f>
        <v>60-69</v>
      </c>
      <c r="H1236" s="1">
        <v>14</v>
      </c>
      <c r="I1236" t="str">
        <f>LOOKUP(H1236,Sheet2!$M$4:$N$8)</f>
        <v>10-30</v>
      </c>
      <c r="J1236" s="1">
        <v>148</v>
      </c>
      <c r="K1236" t="str">
        <f>LOOKUP(J1236,Sheet2!$P$4:$Q$9)</f>
        <v>100-199</v>
      </c>
      <c r="L1236" s="1">
        <v>24.8</v>
      </c>
      <c r="M1236" t="str">
        <f>LOOKUP(L1236,Sheet2!$S$4:$T$8)</f>
        <v>1-25</v>
      </c>
      <c r="N1236" s="1">
        <v>0.14299999999999999</v>
      </c>
      <c r="O1236" t="str">
        <f>LOOKUP(N1236,Sheet2!$V$4:$W$7)</f>
        <v>0.0 - 0.249</v>
      </c>
      <c r="P1236" s="1">
        <v>21</v>
      </c>
      <c r="Q1236" t="str">
        <f>LOOKUP(P1236,Sheet2!$Z$4:$AA$7)</f>
        <v>&lt;=25</v>
      </c>
      <c r="R1236" s="1">
        <v>0</v>
      </c>
      <c r="S1236" t="str">
        <f>IF(R1236=1,"Positive","Negative")</f>
        <v>Negative</v>
      </c>
      <c r="T1236" s="1" t="str">
        <f>IFERROR(VLOOKUP(A1236,[1]diabetes_Recognition!$A:$B,2,FALSE),"Not Sampled")</f>
        <v>Not Sampled</v>
      </c>
      <c r="U1236" t="str">
        <f>IF(T1236=1,"Positive",(IF(T1236=0,"Negative","Not Sampled")))</f>
        <v>Not Sampled</v>
      </c>
      <c r="V1236" s="1" t="str">
        <f>IF(U1236="Not Sampled","Not Sampled",IF(S1236=U1236,"Accurate Prediction","Inaccurate Prediction"))</f>
        <v>Not Sampled</v>
      </c>
    </row>
    <row r="1237" spans="1:22" x14ac:dyDescent="0.25">
      <c r="A1237" s="1">
        <v>1235</v>
      </c>
      <c r="B1237" s="1">
        <v>0</v>
      </c>
      <c r="C1237" s="1">
        <f>LOOKUP(B1237,Sheet2!$D$4:$E$9)</f>
        <v>0</v>
      </c>
      <c r="D1237" s="1">
        <v>128</v>
      </c>
      <c r="E1237" t="str">
        <f>LOOKUP(D1237,Sheet2!$G$4:$H$9)</f>
        <v>126-150</v>
      </c>
      <c r="F1237" s="1">
        <v>68</v>
      </c>
      <c r="G1237" t="str">
        <f>LOOKUP(F1237,Sheet2!$J$4:$K$8)</f>
        <v>60-69</v>
      </c>
      <c r="H1237" s="1">
        <v>19</v>
      </c>
      <c r="I1237" t="str">
        <f>LOOKUP(H1237,Sheet2!$M$4:$N$8)</f>
        <v>10-30</v>
      </c>
      <c r="J1237" s="1">
        <v>180</v>
      </c>
      <c r="K1237" t="str">
        <f>LOOKUP(J1237,Sheet2!$P$4:$Q$9)</f>
        <v>100-199</v>
      </c>
      <c r="L1237" s="1">
        <v>30.5</v>
      </c>
      <c r="M1237" t="str">
        <f>LOOKUP(L1237,Sheet2!$S$4:$T$8)</f>
        <v>26-30</v>
      </c>
      <c r="N1237" s="1">
        <v>1.391</v>
      </c>
      <c r="O1237" t="str">
        <f>LOOKUP(N1237,Sheet2!$V$4:$W$7)</f>
        <v>0.7+</v>
      </c>
      <c r="P1237" s="1">
        <v>25</v>
      </c>
      <c r="Q1237" t="str">
        <f>LOOKUP(P1237,Sheet2!$Z$4:$AA$7)</f>
        <v>&lt;=25</v>
      </c>
      <c r="R1237" s="1">
        <v>1</v>
      </c>
      <c r="S1237" t="str">
        <f>IF(R1237=1,"Positive","Negative")</f>
        <v>Positive</v>
      </c>
      <c r="T1237" s="1" t="str">
        <f>IFERROR(VLOOKUP(A1237,[1]diabetes_Recognition!$A:$B,2,FALSE),"Not Sampled")</f>
        <v>Not Sampled</v>
      </c>
      <c r="U1237" t="str">
        <f>IF(T1237=1,"Positive",(IF(T1237=0,"Negative","Not Sampled")))</f>
        <v>Not Sampled</v>
      </c>
      <c r="V1237" s="1" t="str">
        <f>IF(U1237="Not Sampled","Not Sampled",IF(S1237=U1237,"Accurate Prediction","Inaccurate Prediction"))</f>
        <v>Not Sampled</v>
      </c>
    </row>
    <row r="1238" spans="1:22" x14ac:dyDescent="0.25">
      <c r="A1238" s="1">
        <v>1236</v>
      </c>
      <c r="B1238" s="1">
        <v>2</v>
      </c>
      <c r="C1238" s="1">
        <f>LOOKUP(B1238,Sheet2!$D$4:$E$9)</f>
        <v>2</v>
      </c>
      <c r="D1238" s="1">
        <v>124</v>
      </c>
      <c r="E1238" t="str">
        <f>LOOKUP(D1238,Sheet2!$G$4:$H$9)</f>
        <v>100-125</v>
      </c>
      <c r="F1238" s="1">
        <v>68</v>
      </c>
      <c r="G1238" t="str">
        <f>LOOKUP(F1238,Sheet2!$J$4:$K$8)</f>
        <v>60-69</v>
      </c>
      <c r="H1238" s="1">
        <v>28</v>
      </c>
      <c r="I1238" t="str">
        <f>LOOKUP(H1238,Sheet2!$M$4:$N$8)</f>
        <v>10-30</v>
      </c>
      <c r="J1238" s="1">
        <v>205</v>
      </c>
      <c r="K1238" t="str">
        <f>LOOKUP(J1238,Sheet2!$P$4:$Q$9)</f>
        <v>200-399</v>
      </c>
      <c r="L1238" s="1">
        <v>32.9</v>
      </c>
      <c r="M1238" t="str">
        <f>LOOKUP(L1238,Sheet2!$S$4:$T$8)</f>
        <v>31-35</v>
      </c>
      <c r="N1238" s="1">
        <v>0.875</v>
      </c>
      <c r="O1238" t="str">
        <f>LOOKUP(N1238,Sheet2!$V$4:$W$7)</f>
        <v>0.7+</v>
      </c>
      <c r="P1238" s="1">
        <v>30</v>
      </c>
      <c r="Q1238" t="str">
        <f>LOOKUP(P1238,Sheet2!$Z$4:$AA$7)</f>
        <v>26-35</v>
      </c>
      <c r="R1238" s="1">
        <v>1</v>
      </c>
      <c r="S1238" t="str">
        <f>IF(R1238=1,"Positive","Negative")</f>
        <v>Positive</v>
      </c>
      <c r="T1238" s="1" t="str">
        <f>IFERROR(VLOOKUP(A1238,[1]diabetes_Recognition!$A:$B,2,FALSE),"Not Sampled")</f>
        <v>Not Sampled</v>
      </c>
      <c r="U1238" t="str">
        <f>IF(T1238=1,"Positive",(IF(T1238=0,"Negative","Not Sampled")))</f>
        <v>Not Sampled</v>
      </c>
      <c r="V1238" s="1" t="str">
        <f>IF(U1238="Not Sampled","Not Sampled",IF(S1238=U1238,"Accurate Prediction","Inaccurate Prediction"))</f>
        <v>Not Sampled</v>
      </c>
    </row>
    <row r="1239" spans="1:22" x14ac:dyDescent="0.25">
      <c r="A1239" s="1">
        <v>1237</v>
      </c>
      <c r="B1239" s="1">
        <v>6</v>
      </c>
      <c r="C1239" s="1" t="str">
        <f>LOOKUP(B1239,Sheet2!$D$4:$E$9)</f>
        <v>5-7</v>
      </c>
      <c r="D1239" s="1">
        <v>80</v>
      </c>
      <c r="E1239" t="str">
        <f>LOOKUP(D1239,Sheet2!$G$4:$H$9)</f>
        <v>1-99</v>
      </c>
      <c r="F1239" s="1">
        <v>66</v>
      </c>
      <c r="G1239" t="str">
        <f>LOOKUP(F1239,Sheet2!$J$4:$K$8)</f>
        <v>60-69</v>
      </c>
      <c r="H1239" s="1">
        <v>30</v>
      </c>
      <c r="I1239" t="str">
        <f>LOOKUP(H1239,Sheet2!$M$4:$N$8)</f>
        <v>30-39</v>
      </c>
      <c r="J1239" s="1">
        <v>0</v>
      </c>
      <c r="K1239" t="str">
        <f>LOOKUP(J1239,Sheet2!$P$4:$Q$9)</f>
        <v>Unknown</v>
      </c>
      <c r="L1239" s="1">
        <v>26.2</v>
      </c>
      <c r="M1239" t="str">
        <f>LOOKUP(L1239,Sheet2!$S$4:$T$8)</f>
        <v>26-30</v>
      </c>
      <c r="N1239" s="1">
        <v>0.313</v>
      </c>
      <c r="O1239" t="str">
        <f>LOOKUP(N1239,Sheet2!$V$4:$W$7)</f>
        <v>0.25 - 0.39</v>
      </c>
      <c r="P1239" s="1">
        <v>41</v>
      </c>
      <c r="Q1239" t="str">
        <f>LOOKUP(P1239,Sheet2!$Z$4:$AA$7)</f>
        <v>36-45</v>
      </c>
      <c r="R1239" s="1">
        <v>0</v>
      </c>
      <c r="S1239" t="str">
        <f>IF(R1239=1,"Positive","Negative")</f>
        <v>Negative</v>
      </c>
      <c r="T1239" s="1">
        <f>IFERROR(VLOOKUP(A1239,[1]diabetes_Recognition!$A:$B,2,FALSE),"Not Sampled")</f>
        <v>0</v>
      </c>
      <c r="U1239" t="str">
        <f>IF(T1239=1,"Positive",(IF(T1239=0,"Negative","Not Sampled")))</f>
        <v>Negative</v>
      </c>
      <c r="V1239" s="1" t="str">
        <f>IF(U1239="Not Sampled","Not Sampled",IF(S1239=U1239,"Accurate Prediction","Inaccurate Prediction"))</f>
        <v>Accurate Prediction</v>
      </c>
    </row>
    <row r="1240" spans="1:22" x14ac:dyDescent="0.25">
      <c r="A1240" s="1">
        <v>1238</v>
      </c>
      <c r="B1240" s="1">
        <v>0</v>
      </c>
      <c r="C1240" s="1">
        <f>LOOKUP(B1240,Sheet2!$D$4:$E$9)</f>
        <v>0</v>
      </c>
      <c r="D1240" s="1">
        <v>106</v>
      </c>
      <c r="E1240" t="str">
        <f>LOOKUP(D1240,Sheet2!$G$4:$H$9)</f>
        <v>100-125</v>
      </c>
      <c r="F1240" s="1">
        <v>70</v>
      </c>
      <c r="G1240" t="str">
        <f>LOOKUP(F1240,Sheet2!$J$4:$K$8)</f>
        <v>70-79</v>
      </c>
      <c r="H1240" s="1">
        <v>37</v>
      </c>
      <c r="I1240" t="str">
        <f>LOOKUP(H1240,Sheet2!$M$4:$N$8)</f>
        <v>30-39</v>
      </c>
      <c r="J1240" s="1">
        <v>148</v>
      </c>
      <c r="K1240" t="str">
        <f>LOOKUP(J1240,Sheet2!$P$4:$Q$9)</f>
        <v>100-199</v>
      </c>
      <c r="L1240" s="1">
        <v>39.4</v>
      </c>
      <c r="M1240" t="str">
        <f>LOOKUP(L1240,Sheet2!$S$4:$T$8)</f>
        <v>36+</v>
      </c>
      <c r="N1240" s="1">
        <v>0.60499999999999998</v>
      </c>
      <c r="O1240" t="str">
        <f>LOOKUP(N1240,Sheet2!$V$4:$W$7)</f>
        <v>0.4 - 0.69</v>
      </c>
      <c r="P1240" s="1">
        <v>22</v>
      </c>
      <c r="Q1240" t="str">
        <f>LOOKUP(P1240,Sheet2!$Z$4:$AA$7)</f>
        <v>&lt;=25</v>
      </c>
      <c r="R1240" s="1">
        <v>0</v>
      </c>
      <c r="S1240" t="str">
        <f>IF(R1240=1,"Positive","Negative")</f>
        <v>Negative</v>
      </c>
      <c r="T1240" s="1" t="str">
        <f>IFERROR(VLOOKUP(A1240,[1]diabetes_Recognition!$A:$B,2,FALSE),"Not Sampled")</f>
        <v>Not Sampled</v>
      </c>
      <c r="U1240" t="str">
        <f>IF(T1240=1,"Positive",(IF(T1240=0,"Negative","Not Sampled")))</f>
        <v>Not Sampled</v>
      </c>
      <c r="V1240" s="1" t="str">
        <f>IF(U1240="Not Sampled","Not Sampled",IF(S1240=U1240,"Accurate Prediction","Inaccurate Prediction"))</f>
        <v>Not Sampled</v>
      </c>
    </row>
    <row r="1241" spans="1:22" x14ac:dyDescent="0.25">
      <c r="A1241" s="1">
        <v>1239</v>
      </c>
      <c r="B1241" s="1">
        <v>2</v>
      </c>
      <c r="C1241" s="1">
        <f>LOOKUP(B1241,Sheet2!$D$4:$E$9)</f>
        <v>2</v>
      </c>
      <c r="D1241" s="1">
        <v>155</v>
      </c>
      <c r="E1241" t="str">
        <f>LOOKUP(D1241,Sheet2!$G$4:$H$9)</f>
        <v>151-175</v>
      </c>
      <c r="F1241" s="1">
        <v>74</v>
      </c>
      <c r="G1241" t="str">
        <f>LOOKUP(F1241,Sheet2!$J$4:$K$8)</f>
        <v>70-79</v>
      </c>
      <c r="H1241" s="1">
        <v>17</v>
      </c>
      <c r="I1241" t="str">
        <f>LOOKUP(H1241,Sheet2!$M$4:$N$8)</f>
        <v>10-30</v>
      </c>
      <c r="J1241" s="1">
        <v>96</v>
      </c>
      <c r="K1241" t="str">
        <f>LOOKUP(J1241,Sheet2!$P$4:$Q$9)</f>
        <v>1-99</v>
      </c>
      <c r="L1241" s="1">
        <v>26.6</v>
      </c>
      <c r="M1241" t="str">
        <f>LOOKUP(L1241,Sheet2!$S$4:$T$8)</f>
        <v>26-30</v>
      </c>
      <c r="N1241" s="1">
        <v>0.433</v>
      </c>
      <c r="O1241" t="str">
        <f>LOOKUP(N1241,Sheet2!$V$4:$W$7)</f>
        <v>0.4 - 0.69</v>
      </c>
      <c r="P1241" s="1">
        <v>27</v>
      </c>
      <c r="Q1241" t="str">
        <f>LOOKUP(P1241,Sheet2!$Z$4:$AA$7)</f>
        <v>26-35</v>
      </c>
      <c r="R1241" s="1">
        <v>1</v>
      </c>
      <c r="S1241" t="str">
        <f>IF(R1241=1,"Positive","Negative")</f>
        <v>Positive</v>
      </c>
      <c r="T1241" s="1" t="str">
        <f>IFERROR(VLOOKUP(A1241,[1]diabetes_Recognition!$A:$B,2,FALSE),"Not Sampled")</f>
        <v>Not Sampled</v>
      </c>
      <c r="U1241" t="str">
        <f>IF(T1241=1,"Positive",(IF(T1241=0,"Negative","Not Sampled")))</f>
        <v>Not Sampled</v>
      </c>
      <c r="V1241" s="1" t="str">
        <f>IF(U1241="Not Sampled","Not Sampled",IF(S1241=U1241,"Accurate Prediction","Inaccurate Prediction"))</f>
        <v>Not Sampled</v>
      </c>
    </row>
    <row r="1242" spans="1:22" x14ac:dyDescent="0.25">
      <c r="A1242" s="1">
        <v>1240</v>
      </c>
      <c r="B1242" s="1">
        <v>3</v>
      </c>
      <c r="C1242" s="1" t="str">
        <f>LOOKUP(B1242,Sheet2!$D$4:$E$9)</f>
        <v>3-4</v>
      </c>
      <c r="D1242" s="1">
        <v>113</v>
      </c>
      <c r="E1242" t="str">
        <f>LOOKUP(D1242,Sheet2!$G$4:$H$9)</f>
        <v>100-125</v>
      </c>
      <c r="F1242" s="1">
        <v>50</v>
      </c>
      <c r="G1242" t="str">
        <f>LOOKUP(F1242,Sheet2!$J$4:$K$8)</f>
        <v>1-59</v>
      </c>
      <c r="H1242" s="1">
        <v>10</v>
      </c>
      <c r="I1242" t="str">
        <f>LOOKUP(H1242,Sheet2!$M$4:$N$8)</f>
        <v>10-30</v>
      </c>
      <c r="J1242" s="1">
        <v>85</v>
      </c>
      <c r="K1242" t="str">
        <f>LOOKUP(J1242,Sheet2!$P$4:$Q$9)</f>
        <v>1-99</v>
      </c>
      <c r="L1242" s="1">
        <v>29.5</v>
      </c>
      <c r="M1242" t="str">
        <f>LOOKUP(L1242,Sheet2!$S$4:$T$8)</f>
        <v>26-30</v>
      </c>
      <c r="N1242" s="1">
        <v>0.626</v>
      </c>
      <c r="O1242" t="str">
        <f>LOOKUP(N1242,Sheet2!$V$4:$W$7)</f>
        <v>0.4 - 0.69</v>
      </c>
      <c r="P1242" s="1">
        <v>25</v>
      </c>
      <c r="Q1242" t="str">
        <f>LOOKUP(P1242,Sheet2!$Z$4:$AA$7)</f>
        <v>&lt;=25</v>
      </c>
      <c r="R1242" s="1">
        <v>0</v>
      </c>
      <c r="S1242" t="str">
        <f>IF(R1242=1,"Positive","Negative")</f>
        <v>Negative</v>
      </c>
      <c r="T1242" s="1" t="str">
        <f>IFERROR(VLOOKUP(A1242,[1]diabetes_Recognition!$A:$B,2,FALSE),"Not Sampled")</f>
        <v>Not Sampled</v>
      </c>
      <c r="U1242" t="str">
        <f>IF(T1242=1,"Positive",(IF(T1242=0,"Negative","Not Sampled")))</f>
        <v>Not Sampled</v>
      </c>
      <c r="V1242" s="1" t="str">
        <f>IF(U1242="Not Sampled","Not Sampled",IF(S1242=U1242,"Accurate Prediction","Inaccurate Prediction"))</f>
        <v>Not Sampled</v>
      </c>
    </row>
    <row r="1243" spans="1:22" x14ac:dyDescent="0.25">
      <c r="A1243" s="1">
        <v>1241</v>
      </c>
      <c r="B1243" s="1">
        <v>7</v>
      </c>
      <c r="C1243" s="1" t="str">
        <f>LOOKUP(B1243,Sheet2!$D$4:$E$9)</f>
        <v>5-7</v>
      </c>
      <c r="D1243" s="1">
        <v>109</v>
      </c>
      <c r="E1243" t="str">
        <f>LOOKUP(D1243,Sheet2!$G$4:$H$9)</f>
        <v>100-125</v>
      </c>
      <c r="F1243" s="1">
        <v>80</v>
      </c>
      <c r="G1243" t="str">
        <f>LOOKUP(F1243,Sheet2!$J$4:$K$8)</f>
        <v>80+</v>
      </c>
      <c r="H1243" s="1">
        <v>31</v>
      </c>
      <c r="I1243" t="str">
        <f>LOOKUP(H1243,Sheet2!$M$4:$N$8)</f>
        <v>30-39</v>
      </c>
      <c r="J1243" s="1">
        <v>0</v>
      </c>
      <c r="K1243" t="str">
        <f>LOOKUP(J1243,Sheet2!$P$4:$Q$9)</f>
        <v>Unknown</v>
      </c>
      <c r="L1243" s="1">
        <v>35.9</v>
      </c>
      <c r="M1243" t="str">
        <f>LOOKUP(L1243,Sheet2!$S$4:$T$8)</f>
        <v>31-35</v>
      </c>
      <c r="N1243" s="1">
        <v>1.127</v>
      </c>
      <c r="O1243" t="str">
        <f>LOOKUP(N1243,Sheet2!$V$4:$W$7)</f>
        <v>0.7+</v>
      </c>
      <c r="P1243" s="1">
        <v>43</v>
      </c>
      <c r="Q1243" t="str">
        <f>LOOKUP(P1243,Sheet2!$Z$4:$AA$7)</f>
        <v>36-45</v>
      </c>
      <c r="R1243" s="1">
        <v>1</v>
      </c>
      <c r="S1243" t="str">
        <f>IF(R1243=1,"Positive","Negative")</f>
        <v>Positive</v>
      </c>
      <c r="T1243" s="1" t="str">
        <f>IFERROR(VLOOKUP(A1243,[1]diabetes_Recognition!$A:$B,2,FALSE),"Not Sampled")</f>
        <v>Not Sampled</v>
      </c>
      <c r="U1243" t="str">
        <f>IF(T1243=1,"Positive",(IF(T1243=0,"Negative","Not Sampled")))</f>
        <v>Not Sampled</v>
      </c>
      <c r="V1243" s="1" t="str">
        <f>IF(U1243="Not Sampled","Not Sampled",IF(S1243=U1243,"Accurate Prediction","Inaccurate Prediction"))</f>
        <v>Not Sampled</v>
      </c>
    </row>
    <row r="1244" spans="1:22" x14ac:dyDescent="0.25">
      <c r="A1244" s="1">
        <v>1242</v>
      </c>
      <c r="B1244" s="1">
        <v>2</v>
      </c>
      <c r="C1244" s="1">
        <f>LOOKUP(B1244,Sheet2!$D$4:$E$9)</f>
        <v>2</v>
      </c>
      <c r="D1244" s="1">
        <v>112</v>
      </c>
      <c r="E1244" t="str">
        <f>LOOKUP(D1244,Sheet2!$G$4:$H$9)</f>
        <v>100-125</v>
      </c>
      <c r="F1244" s="1">
        <v>68</v>
      </c>
      <c r="G1244" t="str">
        <f>LOOKUP(F1244,Sheet2!$J$4:$K$8)</f>
        <v>60-69</v>
      </c>
      <c r="H1244" s="1">
        <v>22</v>
      </c>
      <c r="I1244" t="str">
        <f>LOOKUP(H1244,Sheet2!$M$4:$N$8)</f>
        <v>10-30</v>
      </c>
      <c r="J1244" s="1">
        <v>94</v>
      </c>
      <c r="K1244" t="str">
        <f>LOOKUP(J1244,Sheet2!$P$4:$Q$9)</f>
        <v>1-99</v>
      </c>
      <c r="L1244" s="1">
        <v>34.1</v>
      </c>
      <c r="M1244" t="str">
        <f>LOOKUP(L1244,Sheet2!$S$4:$T$8)</f>
        <v>31-35</v>
      </c>
      <c r="N1244" s="1">
        <v>0.315</v>
      </c>
      <c r="O1244" t="str">
        <f>LOOKUP(N1244,Sheet2!$V$4:$W$7)</f>
        <v>0.25 - 0.39</v>
      </c>
      <c r="P1244" s="1">
        <v>26</v>
      </c>
      <c r="Q1244" t="str">
        <f>LOOKUP(P1244,Sheet2!$Z$4:$AA$7)</f>
        <v>26-35</v>
      </c>
      <c r="R1244" s="1">
        <v>0</v>
      </c>
      <c r="S1244" t="str">
        <f>IF(R1244=1,"Positive","Negative")</f>
        <v>Negative</v>
      </c>
      <c r="T1244" s="1" t="str">
        <f>IFERROR(VLOOKUP(A1244,[1]diabetes_Recognition!$A:$B,2,FALSE),"Not Sampled")</f>
        <v>Not Sampled</v>
      </c>
      <c r="U1244" t="str">
        <f>IF(T1244=1,"Positive",(IF(T1244=0,"Negative","Not Sampled")))</f>
        <v>Not Sampled</v>
      </c>
      <c r="V1244" s="1" t="str">
        <f>IF(U1244="Not Sampled","Not Sampled",IF(S1244=U1244,"Accurate Prediction","Inaccurate Prediction"))</f>
        <v>Not Sampled</v>
      </c>
    </row>
    <row r="1245" spans="1:22" x14ac:dyDescent="0.25">
      <c r="A1245" s="1">
        <v>1243</v>
      </c>
      <c r="B1245" s="1">
        <v>3</v>
      </c>
      <c r="C1245" s="1" t="str">
        <f>LOOKUP(B1245,Sheet2!$D$4:$E$9)</f>
        <v>3-4</v>
      </c>
      <c r="D1245" s="1">
        <v>99</v>
      </c>
      <c r="E1245" t="str">
        <f>LOOKUP(D1245,Sheet2!$G$4:$H$9)</f>
        <v>1-99</v>
      </c>
      <c r="F1245" s="1">
        <v>80</v>
      </c>
      <c r="G1245" t="str">
        <f>LOOKUP(F1245,Sheet2!$J$4:$K$8)</f>
        <v>80+</v>
      </c>
      <c r="H1245" s="1">
        <v>11</v>
      </c>
      <c r="I1245" t="str">
        <f>LOOKUP(H1245,Sheet2!$M$4:$N$8)</f>
        <v>10-30</v>
      </c>
      <c r="J1245" s="1">
        <v>64</v>
      </c>
      <c r="K1245" t="str">
        <f>LOOKUP(J1245,Sheet2!$P$4:$Q$9)</f>
        <v>1-99</v>
      </c>
      <c r="L1245" s="1">
        <v>19.3</v>
      </c>
      <c r="M1245" t="str">
        <f>LOOKUP(L1245,Sheet2!$S$4:$T$8)</f>
        <v>1-25</v>
      </c>
      <c r="N1245" s="1">
        <v>0.28399999999999997</v>
      </c>
      <c r="O1245" t="str">
        <f>LOOKUP(N1245,Sheet2!$V$4:$W$7)</f>
        <v>0.25 - 0.39</v>
      </c>
      <c r="P1245" s="1">
        <v>30</v>
      </c>
      <c r="Q1245" t="str">
        <f>LOOKUP(P1245,Sheet2!$Z$4:$AA$7)</f>
        <v>26-35</v>
      </c>
      <c r="R1245" s="1">
        <v>0</v>
      </c>
      <c r="S1245" t="str">
        <f>IF(R1245=1,"Positive","Negative")</f>
        <v>Negative</v>
      </c>
      <c r="T1245" s="1">
        <f>IFERROR(VLOOKUP(A1245,[1]diabetes_Recognition!$A:$B,2,FALSE),"Not Sampled")</f>
        <v>0</v>
      </c>
      <c r="U1245" t="str">
        <f>IF(T1245=1,"Positive",(IF(T1245=0,"Negative","Not Sampled")))</f>
        <v>Negative</v>
      </c>
      <c r="V1245" s="1" t="str">
        <f>IF(U1245="Not Sampled","Not Sampled",IF(S1245=U1245,"Accurate Prediction","Inaccurate Prediction"))</f>
        <v>Accurate Prediction</v>
      </c>
    </row>
    <row r="1246" spans="1:22" x14ac:dyDescent="0.25">
      <c r="A1246" s="1">
        <v>1244</v>
      </c>
      <c r="B1246" s="1">
        <v>3</v>
      </c>
      <c r="C1246" s="1" t="str">
        <f>LOOKUP(B1246,Sheet2!$D$4:$E$9)</f>
        <v>3-4</v>
      </c>
      <c r="D1246" s="1">
        <v>182</v>
      </c>
      <c r="E1246" t="str">
        <f>LOOKUP(D1246,Sheet2!$G$4:$H$9)</f>
        <v>176-200</v>
      </c>
      <c r="F1246" s="1">
        <v>74</v>
      </c>
      <c r="G1246" t="str">
        <f>LOOKUP(F1246,Sheet2!$J$4:$K$8)</f>
        <v>70-79</v>
      </c>
      <c r="H1246" s="1">
        <v>0</v>
      </c>
      <c r="I1246" t="str">
        <f>LOOKUP(H1246,Sheet2!$M$4:$N$8)</f>
        <v>Unknown</v>
      </c>
      <c r="J1246" s="1">
        <v>0</v>
      </c>
      <c r="K1246" t="str">
        <f>LOOKUP(J1246,Sheet2!$P$4:$Q$9)</f>
        <v>Unknown</v>
      </c>
      <c r="L1246" s="1">
        <v>30.5</v>
      </c>
      <c r="M1246" t="str">
        <f>LOOKUP(L1246,Sheet2!$S$4:$T$8)</f>
        <v>26-30</v>
      </c>
      <c r="N1246" s="1">
        <v>0.34499999999999997</v>
      </c>
      <c r="O1246" t="str">
        <f>LOOKUP(N1246,Sheet2!$V$4:$W$7)</f>
        <v>0.25 - 0.39</v>
      </c>
      <c r="P1246" s="1">
        <v>29</v>
      </c>
      <c r="Q1246" t="str">
        <f>LOOKUP(P1246,Sheet2!$Z$4:$AA$7)</f>
        <v>26-35</v>
      </c>
      <c r="R1246" s="1">
        <v>1</v>
      </c>
      <c r="S1246" t="str">
        <f>IF(R1246=1,"Positive","Negative")</f>
        <v>Positive</v>
      </c>
      <c r="T1246" s="1">
        <f>IFERROR(VLOOKUP(A1246,[1]diabetes_Recognition!$A:$B,2,FALSE),"Not Sampled")</f>
        <v>1</v>
      </c>
      <c r="U1246" t="str">
        <f>IF(T1246=1,"Positive",(IF(T1246=0,"Negative","Not Sampled")))</f>
        <v>Positive</v>
      </c>
      <c r="V1246" s="1" t="str">
        <f>IF(U1246="Not Sampled","Not Sampled",IF(S1246=U1246,"Accurate Prediction","Inaccurate Prediction"))</f>
        <v>Accurate Prediction</v>
      </c>
    </row>
    <row r="1247" spans="1:22" x14ac:dyDescent="0.25">
      <c r="A1247" s="1">
        <v>1245</v>
      </c>
      <c r="B1247" s="1">
        <v>3</v>
      </c>
      <c r="C1247" s="1" t="str">
        <f>LOOKUP(B1247,Sheet2!$D$4:$E$9)</f>
        <v>3-4</v>
      </c>
      <c r="D1247" s="1">
        <v>115</v>
      </c>
      <c r="E1247" t="str">
        <f>LOOKUP(D1247,Sheet2!$G$4:$H$9)</f>
        <v>100-125</v>
      </c>
      <c r="F1247" s="1">
        <v>66</v>
      </c>
      <c r="G1247" t="str">
        <f>LOOKUP(F1247,Sheet2!$J$4:$K$8)</f>
        <v>60-69</v>
      </c>
      <c r="H1247" s="1">
        <v>39</v>
      </c>
      <c r="I1247" t="str">
        <f>LOOKUP(H1247,Sheet2!$M$4:$N$8)</f>
        <v>30-39</v>
      </c>
      <c r="J1247" s="1">
        <v>140</v>
      </c>
      <c r="K1247" t="str">
        <f>LOOKUP(J1247,Sheet2!$P$4:$Q$9)</f>
        <v>100-199</v>
      </c>
      <c r="L1247" s="1">
        <v>38.1</v>
      </c>
      <c r="M1247" t="str">
        <f>LOOKUP(L1247,Sheet2!$S$4:$T$8)</f>
        <v>36+</v>
      </c>
      <c r="N1247" s="1">
        <v>0.15</v>
      </c>
      <c r="O1247" t="str">
        <f>LOOKUP(N1247,Sheet2!$V$4:$W$7)</f>
        <v>0.0 - 0.249</v>
      </c>
      <c r="P1247" s="1">
        <v>28</v>
      </c>
      <c r="Q1247" t="str">
        <f>LOOKUP(P1247,Sheet2!$Z$4:$AA$7)</f>
        <v>26-35</v>
      </c>
      <c r="R1247" s="1">
        <v>0</v>
      </c>
      <c r="S1247" t="str">
        <f>IF(R1247=1,"Positive","Negative")</f>
        <v>Negative</v>
      </c>
      <c r="T1247" s="1" t="str">
        <f>IFERROR(VLOOKUP(A1247,[1]diabetes_Recognition!$A:$B,2,FALSE),"Not Sampled")</f>
        <v>Not Sampled</v>
      </c>
      <c r="U1247" t="str">
        <f>IF(T1247=1,"Positive",(IF(T1247=0,"Negative","Not Sampled")))</f>
        <v>Not Sampled</v>
      </c>
      <c r="V1247" s="1" t="str">
        <f>IF(U1247="Not Sampled","Not Sampled",IF(S1247=U1247,"Accurate Prediction","Inaccurate Prediction"))</f>
        <v>Not Sampled</v>
      </c>
    </row>
    <row r="1248" spans="1:22" x14ac:dyDescent="0.25">
      <c r="A1248" s="1">
        <v>1246</v>
      </c>
      <c r="B1248" s="1">
        <v>6</v>
      </c>
      <c r="C1248" s="1" t="str">
        <f>LOOKUP(B1248,Sheet2!$D$4:$E$9)</f>
        <v>5-7</v>
      </c>
      <c r="D1248" s="1">
        <v>194</v>
      </c>
      <c r="E1248" t="str">
        <f>LOOKUP(D1248,Sheet2!$G$4:$H$9)</f>
        <v>176-200</v>
      </c>
      <c r="F1248" s="1">
        <v>78</v>
      </c>
      <c r="G1248" t="str">
        <f>LOOKUP(F1248,Sheet2!$J$4:$K$8)</f>
        <v>70-79</v>
      </c>
      <c r="H1248" s="1">
        <v>0</v>
      </c>
      <c r="I1248" t="str">
        <f>LOOKUP(H1248,Sheet2!$M$4:$N$8)</f>
        <v>Unknown</v>
      </c>
      <c r="J1248" s="1">
        <v>0</v>
      </c>
      <c r="K1248" t="str">
        <f>LOOKUP(J1248,Sheet2!$P$4:$Q$9)</f>
        <v>Unknown</v>
      </c>
      <c r="L1248" s="1">
        <v>23.5</v>
      </c>
      <c r="M1248" t="str">
        <f>LOOKUP(L1248,Sheet2!$S$4:$T$8)</f>
        <v>1-25</v>
      </c>
      <c r="N1248" s="1">
        <v>0.129</v>
      </c>
      <c r="O1248" t="str">
        <f>LOOKUP(N1248,Sheet2!$V$4:$W$7)</f>
        <v>0.0 - 0.249</v>
      </c>
      <c r="P1248" s="1">
        <v>59</v>
      </c>
      <c r="Q1248" t="str">
        <f>LOOKUP(P1248,Sheet2!$Z$4:$AA$7)</f>
        <v>46+</v>
      </c>
      <c r="R1248" s="1">
        <v>1</v>
      </c>
      <c r="S1248" t="str">
        <f>IF(R1248=1,"Positive","Negative")</f>
        <v>Positive</v>
      </c>
      <c r="T1248" s="1">
        <f>IFERROR(VLOOKUP(A1248,[1]diabetes_Recognition!$A:$B,2,FALSE),"Not Sampled")</f>
        <v>1</v>
      </c>
      <c r="U1248" t="str">
        <f>IF(T1248=1,"Positive",(IF(T1248=0,"Negative","Not Sampled")))</f>
        <v>Positive</v>
      </c>
      <c r="V1248" s="1" t="str">
        <f>IF(U1248="Not Sampled","Not Sampled",IF(S1248=U1248,"Accurate Prediction","Inaccurate Prediction"))</f>
        <v>Accurate Prediction</v>
      </c>
    </row>
    <row r="1249" spans="1:22" x14ac:dyDescent="0.25">
      <c r="A1249" s="1">
        <v>1247</v>
      </c>
      <c r="B1249" s="1">
        <v>4</v>
      </c>
      <c r="C1249" s="1" t="str">
        <f>LOOKUP(B1249,Sheet2!$D$4:$E$9)</f>
        <v>3-4</v>
      </c>
      <c r="D1249" s="1">
        <v>129</v>
      </c>
      <c r="E1249" t="str">
        <f>LOOKUP(D1249,Sheet2!$G$4:$H$9)</f>
        <v>126-150</v>
      </c>
      <c r="F1249" s="1">
        <v>60</v>
      </c>
      <c r="G1249" t="str">
        <f>LOOKUP(F1249,Sheet2!$J$4:$K$8)</f>
        <v>60-69</v>
      </c>
      <c r="H1249" s="1">
        <v>12</v>
      </c>
      <c r="I1249" t="str">
        <f>LOOKUP(H1249,Sheet2!$M$4:$N$8)</f>
        <v>10-30</v>
      </c>
      <c r="J1249" s="1">
        <v>231</v>
      </c>
      <c r="K1249" t="str">
        <f>LOOKUP(J1249,Sheet2!$P$4:$Q$9)</f>
        <v>200-399</v>
      </c>
      <c r="L1249" s="1">
        <v>27.5</v>
      </c>
      <c r="M1249" t="str">
        <f>LOOKUP(L1249,Sheet2!$S$4:$T$8)</f>
        <v>26-30</v>
      </c>
      <c r="N1249" s="1">
        <v>0.52700000000000002</v>
      </c>
      <c r="O1249" t="str">
        <f>LOOKUP(N1249,Sheet2!$V$4:$W$7)</f>
        <v>0.4 - 0.69</v>
      </c>
      <c r="P1249" s="1">
        <v>31</v>
      </c>
      <c r="Q1249" t="str">
        <f>LOOKUP(P1249,Sheet2!$Z$4:$AA$7)</f>
        <v>26-35</v>
      </c>
      <c r="R1249" s="1">
        <v>0</v>
      </c>
      <c r="S1249" t="str">
        <f>IF(R1249=1,"Positive","Negative")</f>
        <v>Negative</v>
      </c>
      <c r="T1249" s="1">
        <f>IFERROR(VLOOKUP(A1249,[1]diabetes_Recognition!$A:$B,2,FALSE),"Not Sampled")</f>
        <v>0</v>
      </c>
      <c r="U1249" t="str">
        <f>IF(T1249=1,"Positive",(IF(T1249=0,"Negative","Not Sampled")))</f>
        <v>Negative</v>
      </c>
      <c r="V1249" s="1" t="str">
        <f>IF(U1249="Not Sampled","Not Sampled",IF(S1249=U1249,"Accurate Prediction","Inaccurate Prediction"))</f>
        <v>Accurate Prediction</v>
      </c>
    </row>
    <row r="1250" spans="1:22" x14ac:dyDescent="0.25">
      <c r="A1250" s="1">
        <v>1248</v>
      </c>
      <c r="B1250" s="1">
        <v>3</v>
      </c>
      <c r="C1250" s="1" t="str">
        <f>LOOKUP(B1250,Sheet2!$D$4:$E$9)</f>
        <v>3-4</v>
      </c>
      <c r="D1250" s="1">
        <v>112</v>
      </c>
      <c r="E1250" t="str">
        <f>LOOKUP(D1250,Sheet2!$G$4:$H$9)</f>
        <v>100-125</v>
      </c>
      <c r="F1250" s="1">
        <v>74</v>
      </c>
      <c r="G1250" t="str">
        <f>LOOKUP(F1250,Sheet2!$J$4:$K$8)</f>
        <v>70-79</v>
      </c>
      <c r="H1250" s="1">
        <v>30</v>
      </c>
      <c r="I1250" t="str">
        <f>LOOKUP(H1250,Sheet2!$M$4:$N$8)</f>
        <v>30-39</v>
      </c>
      <c r="J1250" s="1">
        <v>0</v>
      </c>
      <c r="K1250" t="str">
        <f>LOOKUP(J1250,Sheet2!$P$4:$Q$9)</f>
        <v>Unknown</v>
      </c>
      <c r="L1250" s="1">
        <v>31.6</v>
      </c>
      <c r="M1250" t="str">
        <f>LOOKUP(L1250,Sheet2!$S$4:$T$8)</f>
        <v>31-35</v>
      </c>
      <c r="N1250" s="1">
        <v>0.19700000000000001</v>
      </c>
      <c r="O1250" t="str">
        <f>LOOKUP(N1250,Sheet2!$V$4:$W$7)</f>
        <v>0.0 - 0.249</v>
      </c>
      <c r="P1250" s="1">
        <v>25</v>
      </c>
      <c r="Q1250" t="str">
        <f>LOOKUP(P1250,Sheet2!$Z$4:$AA$7)</f>
        <v>&lt;=25</v>
      </c>
      <c r="R1250" s="1">
        <v>1</v>
      </c>
      <c r="S1250" t="str">
        <f>IF(R1250=1,"Positive","Negative")</f>
        <v>Positive</v>
      </c>
      <c r="T1250" s="1" t="str">
        <f>IFERROR(VLOOKUP(A1250,[1]diabetes_Recognition!$A:$B,2,FALSE),"Not Sampled")</f>
        <v>Not Sampled</v>
      </c>
      <c r="U1250" t="str">
        <f>IF(T1250=1,"Positive",(IF(T1250=0,"Negative","Not Sampled")))</f>
        <v>Not Sampled</v>
      </c>
      <c r="V1250" s="1" t="str">
        <f>IF(U1250="Not Sampled","Not Sampled",IF(S1250=U1250,"Accurate Prediction","Inaccurate Prediction"))</f>
        <v>Not Sampled</v>
      </c>
    </row>
    <row r="1251" spans="1:22" x14ac:dyDescent="0.25">
      <c r="A1251" s="1">
        <v>1249</v>
      </c>
      <c r="B1251" s="1">
        <v>0</v>
      </c>
      <c r="C1251" s="1">
        <f>LOOKUP(B1251,Sheet2!$D$4:$E$9)</f>
        <v>0</v>
      </c>
      <c r="D1251" s="1">
        <v>124</v>
      </c>
      <c r="E1251" t="str">
        <f>LOOKUP(D1251,Sheet2!$G$4:$H$9)</f>
        <v>100-125</v>
      </c>
      <c r="F1251" s="1">
        <v>70</v>
      </c>
      <c r="G1251" t="str">
        <f>LOOKUP(F1251,Sheet2!$J$4:$K$8)</f>
        <v>70-79</v>
      </c>
      <c r="H1251" s="1">
        <v>20</v>
      </c>
      <c r="I1251" t="str">
        <f>LOOKUP(H1251,Sheet2!$M$4:$N$8)</f>
        <v>10-30</v>
      </c>
      <c r="J1251" s="1">
        <v>0</v>
      </c>
      <c r="K1251" t="str">
        <f>LOOKUP(J1251,Sheet2!$P$4:$Q$9)</f>
        <v>Unknown</v>
      </c>
      <c r="L1251" s="1">
        <v>27.4</v>
      </c>
      <c r="M1251" t="str">
        <f>LOOKUP(L1251,Sheet2!$S$4:$T$8)</f>
        <v>26-30</v>
      </c>
      <c r="N1251" s="1">
        <v>0.254</v>
      </c>
      <c r="O1251" t="str">
        <f>LOOKUP(N1251,Sheet2!$V$4:$W$7)</f>
        <v>0.25 - 0.39</v>
      </c>
      <c r="P1251" s="1">
        <v>36</v>
      </c>
      <c r="Q1251" t="str">
        <f>LOOKUP(P1251,Sheet2!$Z$4:$AA$7)</f>
        <v>36-45</v>
      </c>
      <c r="R1251" s="1">
        <v>1</v>
      </c>
      <c r="S1251" t="str">
        <f>IF(R1251=1,"Positive","Negative")</f>
        <v>Positive</v>
      </c>
      <c r="T1251" s="1" t="str">
        <f>IFERROR(VLOOKUP(A1251,[1]diabetes_Recognition!$A:$B,2,FALSE),"Not Sampled")</f>
        <v>Not Sampled</v>
      </c>
      <c r="U1251" t="str">
        <f>IF(T1251=1,"Positive",(IF(T1251=0,"Negative","Not Sampled")))</f>
        <v>Not Sampled</v>
      </c>
      <c r="V1251" s="1" t="str">
        <f>IF(U1251="Not Sampled","Not Sampled",IF(S1251=U1251,"Accurate Prediction","Inaccurate Prediction"))</f>
        <v>Not Sampled</v>
      </c>
    </row>
    <row r="1252" spans="1:22" x14ac:dyDescent="0.25">
      <c r="A1252" s="1">
        <v>1250</v>
      </c>
      <c r="B1252" s="1">
        <v>13</v>
      </c>
      <c r="C1252" s="1" t="str">
        <f>LOOKUP(B1252,Sheet2!$D$4:$E$9)</f>
        <v>8+</v>
      </c>
      <c r="D1252" s="1">
        <v>152</v>
      </c>
      <c r="E1252" t="str">
        <f>LOOKUP(D1252,Sheet2!$G$4:$H$9)</f>
        <v>151-175</v>
      </c>
      <c r="F1252" s="1">
        <v>90</v>
      </c>
      <c r="G1252" t="str">
        <f>LOOKUP(F1252,Sheet2!$J$4:$K$8)</f>
        <v>80+</v>
      </c>
      <c r="H1252" s="1">
        <v>33</v>
      </c>
      <c r="I1252" t="str">
        <f>LOOKUP(H1252,Sheet2!$M$4:$N$8)</f>
        <v>30-39</v>
      </c>
      <c r="J1252" s="1">
        <v>29</v>
      </c>
      <c r="K1252" t="str">
        <f>LOOKUP(J1252,Sheet2!$P$4:$Q$9)</f>
        <v>1-99</v>
      </c>
      <c r="L1252" s="1">
        <v>26.8</v>
      </c>
      <c r="M1252" t="str">
        <f>LOOKUP(L1252,Sheet2!$S$4:$T$8)</f>
        <v>26-30</v>
      </c>
      <c r="N1252" s="1">
        <v>0.73099999999999998</v>
      </c>
      <c r="O1252" t="str">
        <f>LOOKUP(N1252,Sheet2!$V$4:$W$7)</f>
        <v>0.7+</v>
      </c>
      <c r="P1252" s="1">
        <v>43</v>
      </c>
      <c r="Q1252" t="str">
        <f>LOOKUP(P1252,Sheet2!$Z$4:$AA$7)</f>
        <v>36-45</v>
      </c>
      <c r="R1252" s="1">
        <v>1</v>
      </c>
      <c r="S1252" t="str">
        <f>IF(R1252=1,"Positive","Negative")</f>
        <v>Positive</v>
      </c>
      <c r="T1252" s="1" t="str">
        <f>IFERROR(VLOOKUP(A1252,[1]diabetes_Recognition!$A:$B,2,FALSE),"Not Sampled")</f>
        <v>Not Sampled</v>
      </c>
      <c r="U1252" t="str">
        <f>IF(T1252=1,"Positive",(IF(T1252=0,"Negative","Not Sampled")))</f>
        <v>Not Sampled</v>
      </c>
      <c r="V1252" s="1" t="str">
        <f>IF(U1252="Not Sampled","Not Sampled",IF(S1252=U1252,"Accurate Prediction","Inaccurate Prediction"))</f>
        <v>Not Sampled</v>
      </c>
    </row>
    <row r="1253" spans="1:22" x14ac:dyDescent="0.25">
      <c r="A1253" s="1">
        <v>1251</v>
      </c>
      <c r="B1253" s="1">
        <v>2</v>
      </c>
      <c r="C1253" s="1">
        <f>LOOKUP(B1253,Sheet2!$D$4:$E$9)</f>
        <v>2</v>
      </c>
      <c r="D1253" s="1">
        <v>112</v>
      </c>
      <c r="E1253" t="str">
        <f>LOOKUP(D1253,Sheet2!$G$4:$H$9)</f>
        <v>100-125</v>
      </c>
      <c r="F1253" s="1">
        <v>75</v>
      </c>
      <c r="G1253" t="str">
        <f>LOOKUP(F1253,Sheet2!$J$4:$K$8)</f>
        <v>70-79</v>
      </c>
      <c r="H1253" s="1">
        <v>32</v>
      </c>
      <c r="I1253" t="str">
        <f>LOOKUP(H1253,Sheet2!$M$4:$N$8)</f>
        <v>30-39</v>
      </c>
      <c r="J1253" s="1">
        <v>0</v>
      </c>
      <c r="K1253" t="str">
        <f>LOOKUP(J1253,Sheet2!$P$4:$Q$9)</f>
        <v>Unknown</v>
      </c>
      <c r="L1253" s="1">
        <v>35.700000000000003</v>
      </c>
      <c r="M1253" t="str">
        <f>LOOKUP(L1253,Sheet2!$S$4:$T$8)</f>
        <v>31-35</v>
      </c>
      <c r="N1253" s="1">
        <v>0.14799999999999999</v>
      </c>
      <c r="O1253" t="str">
        <f>LOOKUP(N1253,Sheet2!$V$4:$W$7)</f>
        <v>0.0 - 0.249</v>
      </c>
      <c r="P1253" s="1">
        <v>21</v>
      </c>
      <c r="Q1253" t="str">
        <f>LOOKUP(P1253,Sheet2!$Z$4:$AA$7)</f>
        <v>&lt;=25</v>
      </c>
      <c r="R1253" s="1">
        <v>0</v>
      </c>
      <c r="S1253" t="str">
        <f>IF(R1253=1,"Positive","Negative")</f>
        <v>Negative</v>
      </c>
      <c r="T1253" s="1" t="str">
        <f>IFERROR(VLOOKUP(A1253,[1]diabetes_Recognition!$A:$B,2,FALSE),"Not Sampled")</f>
        <v>Not Sampled</v>
      </c>
      <c r="U1253" t="str">
        <f>IF(T1253=1,"Positive",(IF(T1253=0,"Negative","Not Sampled")))</f>
        <v>Not Sampled</v>
      </c>
      <c r="V1253" s="1" t="str">
        <f>IF(U1253="Not Sampled","Not Sampled",IF(S1253=U1253,"Accurate Prediction","Inaccurate Prediction"))</f>
        <v>Not Sampled</v>
      </c>
    </row>
    <row r="1254" spans="1:22" x14ac:dyDescent="0.25">
      <c r="A1254" s="1">
        <v>1252</v>
      </c>
      <c r="B1254" s="1">
        <v>1</v>
      </c>
      <c r="C1254" s="1">
        <f>LOOKUP(B1254,Sheet2!$D$4:$E$9)</f>
        <v>1</v>
      </c>
      <c r="D1254" s="1">
        <v>157</v>
      </c>
      <c r="E1254" t="str">
        <f>LOOKUP(D1254,Sheet2!$G$4:$H$9)</f>
        <v>151-175</v>
      </c>
      <c r="F1254" s="1">
        <v>72</v>
      </c>
      <c r="G1254" t="str">
        <f>LOOKUP(F1254,Sheet2!$J$4:$K$8)</f>
        <v>70-79</v>
      </c>
      <c r="H1254" s="1">
        <v>21</v>
      </c>
      <c r="I1254" t="str">
        <f>LOOKUP(H1254,Sheet2!$M$4:$N$8)</f>
        <v>10-30</v>
      </c>
      <c r="J1254" s="1">
        <v>168</v>
      </c>
      <c r="K1254" t="str">
        <f>LOOKUP(J1254,Sheet2!$P$4:$Q$9)</f>
        <v>100-199</v>
      </c>
      <c r="L1254" s="1">
        <v>25.6</v>
      </c>
      <c r="M1254" t="str">
        <f>LOOKUP(L1254,Sheet2!$S$4:$T$8)</f>
        <v>1-25</v>
      </c>
      <c r="N1254" s="1">
        <v>0.123</v>
      </c>
      <c r="O1254" t="str">
        <f>LOOKUP(N1254,Sheet2!$V$4:$W$7)</f>
        <v>0.0 - 0.249</v>
      </c>
      <c r="P1254" s="1">
        <v>24</v>
      </c>
      <c r="Q1254" t="str">
        <f>LOOKUP(P1254,Sheet2!$Z$4:$AA$7)</f>
        <v>&lt;=25</v>
      </c>
      <c r="R1254" s="1">
        <v>0</v>
      </c>
      <c r="S1254" t="str">
        <f>IF(R1254=1,"Positive","Negative")</f>
        <v>Negative</v>
      </c>
      <c r="T1254" s="1" t="str">
        <f>IFERROR(VLOOKUP(A1254,[1]diabetes_Recognition!$A:$B,2,FALSE),"Not Sampled")</f>
        <v>Not Sampled</v>
      </c>
      <c r="U1254" t="str">
        <f>IF(T1254=1,"Positive",(IF(T1254=0,"Negative","Not Sampled")))</f>
        <v>Not Sampled</v>
      </c>
      <c r="V1254" s="1" t="str">
        <f>IF(U1254="Not Sampled","Not Sampled",IF(S1254=U1254,"Accurate Prediction","Inaccurate Prediction"))</f>
        <v>Not Sampled</v>
      </c>
    </row>
    <row r="1255" spans="1:22" x14ac:dyDescent="0.25">
      <c r="A1255" s="1">
        <v>1253</v>
      </c>
      <c r="B1255" s="1">
        <v>1</v>
      </c>
      <c r="C1255" s="1">
        <f>LOOKUP(B1255,Sheet2!$D$4:$E$9)</f>
        <v>1</v>
      </c>
      <c r="D1255" s="1">
        <v>122</v>
      </c>
      <c r="E1255" t="str">
        <f>LOOKUP(D1255,Sheet2!$G$4:$H$9)</f>
        <v>100-125</v>
      </c>
      <c r="F1255" s="1">
        <v>64</v>
      </c>
      <c r="G1255" t="str">
        <f>LOOKUP(F1255,Sheet2!$J$4:$K$8)</f>
        <v>60-69</v>
      </c>
      <c r="H1255" s="1">
        <v>32</v>
      </c>
      <c r="I1255" t="str">
        <f>LOOKUP(H1255,Sheet2!$M$4:$N$8)</f>
        <v>30-39</v>
      </c>
      <c r="J1255" s="1">
        <v>156</v>
      </c>
      <c r="K1255" t="str">
        <f>LOOKUP(J1255,Sheet2!$P$4:$Q$9)</f>
        <v>100-199</v>
      </c>
      <c r="L1255" s="1">
        <v>35.1</v>
      </c>
      <c r="M1255" t="str">
        <f>LOOKUP(L1255,Sheet2!$S$4:$T$8)</f>
        <v>31-35</v>
      </c>
      <c r="N1255" s="1">
        <v>0.69199999999999995</v>
      </c>
      <c r="O1255" t="str">
        <f>LOOKUP(N1255,Sheet2!$V$4:$W$7)</f>
        <v>0.4 - 0.69</v>
      </c>
      <c r="P1255" s="1">
        <v>30</v>
      </c>
      <c r="Q1255" t="str">
        <f>LOOKUP(P1255,Sheet2!$Z$4:$AA$7)</f>
        <v>26-35</v>
      </c>
      <c r="R1255" s="1">
        <v>1</v>
      </c>
      <c r="S1255" t="str">
        <f>IF(R1255=1,"Positive","Negative")</f>
        <v>Positive</v>
      </c>
      <c r="T1255" s="1" t="str">
        <f>IFERROR(VLOOKUP(A1255,[1]diabetes_Recognition!$A:$B,2,FALSE),"Not Sampled")</f>
        <v>Not Sampled</v>
      </c>
      <c r="U1255" t="str">
        <f>IF(T1255=1,"Positive",(IF(T1255=0,"Negative","Not Sampled")))</f>
        <v>Not Sampled</v>
      </c>
      <c r="V1255" s="1" t="str">
        <f>IF(U1255="Not Sampled","Not Sampled",IF(S1255=U1255,"Accurate Prediction","Inaccurate Prediction"))</f>
        <v>Not Sampled</v>
      </c>
    </row>
    <row r="1256" spans="1:22" x14ac:dyDescent="0.25">
      <c r="A1256" s="1">
        <v>1254</v>
      </c>
      <c r="B1256" s="1">
        <v>10</v>
      </c>
      <c r="C1256" s="1" t="str">
        <f>LOOKUP(B1256,Sheet2!$D$4:$E$9)</f>
        <v>8+</v>
      </c>
      <c r="D1256" s="1">
        <v>179</v>
      </c>
      <c r="E1256" t="str">
        <f>LOOKUP(D1256,Sheet2!$G$4:$H$9)</f>
        <v>176-200</v>
      </c>
      <c r="F1256" s="1">
        <v>70</v>
      </c>
      <c r="G1256" t="str">
        <f>LOOKUP(F1256,Sheet2!$J$4:$K$8)</f>
        <v>70-79</v>
      </c>
      <c r="H1256" s="1">
        <v>0</v>
      </c>
      <c r="I1256" t="str">
        <f>LOOKUP(H1256,Sheet2!$M$4:$N$8)</f>
        <v>Unknown</v>
      </c>
      <c r="J1256" s="1">
        <v>0</v>
      </c>
      <c r="K1256" t="str">
        <f>LOOKUP(J1256,Sheet2!$P$4:$Q$9)</f>
        <v>Unknown</v>
      </c>
      <c r="L1256" s="1">
        <v>35.1</v>
      </c>
      <c r="M1256" t="str">
        <f>LOOKUP(L1256,Sheet2!$S$4:$T$8)</f>
        <v>31-35</v>
      </c>
      <c r="N1256" s="1">
        <v>0.2</v>
      </c>
      <c r="O1256" t="str">
        <f>LOOKUP(N1256,Sheet2!$V$4:$W$7)</f>
        <v>0.0 - 0.249</v>
      </c>
      <c r="P1256" s="1">
        <v>37</v>
      </c>
      <c r="Q1256" t="str">
        <f>LOOKUP(P1256,Sheet2!$Z$4:$AA$7)</f>
        <v>36-45</v>
      </c>
      <c r="R1256" s="1">
        <v>0</v>
      </c>
      <c r="S1256" t="str">
        <f>IF(R1256=1,"Positive","Negative")</f>
        <v>Negative</v>
      </c>
      <c r="T1256" s="1" t="str">
        <f>IFERROR(VLOOKUP(A1256,[1]diabetes_Recognition!$A:$B,2,FALSE),"Not Sampled")</f>
        <v>Not Sampled</v>
      </c>
      <c r="U1256" t="str">
        <f>IF(T1256=1,"Positive",(IF(T1256=0,"Negative","Not Sampled")))</f>
        <v>Not Sampled</v>
      </c>
      <c r="V1256" s="1" t="str">
        <f>IF(U1256="Not Sampled","Not Sampled",IF(S1256=U1256,"Accurate Prediction","Inaccurate Prediction"))</f>
        <v>Not Sampled</v>
      </c>
    </row>
    <row r="1257" spans="1:22" x14ac:dyDescent="0.25">
      <c r="A1257" s="1">
        <v>1255</v>
      </c>
      <c r="B1257" s="1">
        <v>2</v>
      </c>
      <c r="C1257" s="1">
        <f>LOOKUP(B1257,Sheet2!$D$4:$E$9)</f>
        <v>2</v>
      </c>
      <c r="D1257" s="1">
        <v>102</v>
      </c>
      <c r="E1257" t="str">
        <f>LOOKUP(D1257,Sheet2!$G$4:$H$9)</f>
        <v>100-125</v>
      </c>
      <c r="F1257" s="1">
        <v>86</v>
      </c>
      <c r="G1257" t="str">
        <f>LOOKUP(F1257,Sheet2!$J$4:$K$8)</f>
        <v>80+</v>
      </c>
      <c r="H1257" s="1">
        <v>36</v>
      </c>
      <c r="I1257" t="str">
        <f>LOOKUP(H1257,Sheet2!$M$4:$N$8)</f>
        <v>30-39</v>
      </c>
      <c r="J1257" s="1">
        <v>120</v>
      </c>
      <c r="K1257" t="str">
        <f>LOOKUP(J1257,Sheet2!$P$4:$Q$9)</f>
        <v>100-199</v>
      </c>
      <c r="L1257" s="1">
        <v>45.5</v>
      </c>
      <c r="M1257" t="str">
        <f>LOOKUP(L1257,Sheet2!$S$4:$T$8)</f>
        <v>36+</v>
      </c>
      <c r="N1257" s="1">
        <v>0.127</v>
      </c>
      <c r="O1257" t="str">
        <f>LOOKUP(N1257,Sheet2!$V$4:$W$7)</f>
        <v>0.0 - 0.249</v>
      </c>
      <c r="P1257" s="1">
        <v>23</v>
      </c>
      <c r="Q1257" t="str">
        <f>LOOKUP(P1257,Sheet2!$Z$4:$AA$7)</f>
        <v>&lt;=25</v>
      </c>
      <c r="R1257" s="1">
        <v>1</v>
      </c>
      <c r="S1257" t="str">
        <f>IF(R1257=1,"Positive","Negative")</f>
        <v>Positive</v>
      </c>
      <c r="T1257" s="1" t="str">
        <f>IFERROR(VLOOKUP(A1257,[1]diabetes_Recognition!$A:$B,2,FALSE),"Not Sampled")</f>
        <v>Not Sampled</v>
      </c>
      <c r="U1257" t="str">
        <f>IF(T1257=1,"Positive",(IF(T1257=0,"Negative","Not Sampled")))</f>
        <v>Not Sampled</v>
      </c>
      <c r="V1257" s="1" t="str">
        <f>IF(U1257="Not Sampled","Not Sampled",IF(S1257=U1257,"Accurate Prediction","Inaccurate Prediction"))</f>
        <v>Not Sampled</v>
      </c>
    </row>
    <row r="1258" spans="1:22" x14ac:dyDescent="0.25">
      <c r="A1258" s="1">
        <v>1256</v>
      </c>
      <c r="B1258" s="1">
        <v>6</v>
      </c>
      <c r="C1258" s="1" t="str">
        <f>LOOKUP(B1258,Sheet2!$D$4:$E$9)</f>
        <v>5-7</v>
      </c>
      <c r="D1258" s="1">
        <v>93</v>
      </c>
      <c r="E1258" t="str">
        <f>LOOKUP(D1258,Sheet2!$G$4:$H$9)</f>
        <v>1-99</v>
      </c>
      <c r="F1258" s="1">
        <v>50</v>
      </c>
      <c r="G1258" t="str">
        <f>LOOKUP(F1258,Sheet2!$J$4:$K$8)</f>
        <v>1-59</v>
      </c>
      <c r="H1258" s="1">
        <v>30</v>
      </c>
      <c r="I1258" t="str">
        <f>LOOKUP(H1258,Sheet2!$M$4:$N$8)</f>
        <v>30-39</v>
      </c>
      <c r="J1258" s="1">
        <v>64</v>
      </c>
      <c r="K1258" t="str">
        <f>LOOKUP(J1258,Sheet2!$P$4:$Q$9)</f>
        <v>1-99</v>
      </c>
      <c r="L1258" s="1">
        <v>28.7</v>
      </c>
      <c r="M1258" t="str">
        <f>LOOKUP(L1258,Sheet2!$S$4:$T$8)</f>
        <v>26-30</v>
      </c>
      <c r="N1258" s="1">
        <v>0.35599999999999998</v>
      </c>
      <c r="O1258" t="str">
        <f>LOOKUP(N1258,Sheet2!$V$4:$W$7)</f>
        <v>0.25 - 0.39</v>
      </c>
      <c r="P1258" s="1">
        <v>23</v>
      </c>
      <c r="Q1258" t="str">
        <f>LOOKUP(P1258,Sheet2!$Z$4:$AA$7)</f>
        <v>&lt;=25</v>
      </c>
      <c r="R1258" s="1">
        <v>0</v>
      </c>
      <c r="S1258" t="str">
        <f>IF(R1258=1,"Positive","Negative")</f>
        <v>Negative</v>
      </c>
      <c r="T1258" s="1">
        <f>IFERROR(VLOOKUP(A1258,[1]diabetes_Recognition!$A:$B,2,FALSE),"Not Sampled")</f>
        <v>0</v>
      </c>
      <c r="U1258" t="str">
        <f>IF(T1258=1,"Positive",(IF(T1258=0,"Negative","Not Sampled")))</f>
        <v>Negative</v>
      </c>
      <c r="V1258" s="1" t="str">
        <f>IF(U1258="Not Sampled","Not Sampled",IF(S1258=U1258,"Accurate Prediction","Inaccurate Prediction"))</f>
        <v>Accurate Prediction</v>
      </c>
    </row>
    <row r="1259" spans="1:22" x14ac:dyDescent="0.25">
      <c r="A1259" s="1">
        <v>1257</v>
      </c>
      <c r="B1259" s="1">
        <v>1</v>
      </c>
      <c r="C1259" s="1">
        <f>LOOKUP(B1259,Sheet2!$D$4:$E$9)</f>
        <v>1</v>
      </c>
      <c r="D1259" s="1">
        <v>122</v>
      </c>
      <c r="E1259" t="str">
        <f>LOOKUP(D1259,Sheet2!$G$4:$H$9)</f>
        <v>100-125</v>
      </c>
      <c r="F1259" s="1">
        <v>90</v>
      </c>
      <c r="G1259" t="str">
        <f>LOOKUP(F1259,Sheet2!$J$4:$K$8)</f>
        <v>80+</v>
      </c>
      <c r="H1259" s="1">
        <v>51</v>
      </c>
      <c r="I1259" t="str">
        <f>LOOKUP(H1259,Sheet2!$M$4:$N$8)</f>
        <v>40+</v>
      </c>
      <c r="J1259" s="1">
        <v>220</v>
      </c>
      <c r="K1259" t="str">
        <f>LOOKUP(J1259,Sheet2!$P$4:$Q$9)</f>
        <v>200-399</v>
      </c>
      <c r="L1259" s="1">
        <v>49.7</v>
      </c>
      <c r="M1259" t="str">
        <f>LOOKUP(L1259,Sheet2!$S$4:$T$8)</f>
        <v>36+</v>
      </c>
      <c r="N1259" s="1">
        <v>0.32500000000000001</v>
      </c>
      <c r="O1259" t="str">
        <f>LOOKUP(N1259,Sheet2!$V$4:$W$7)</f>
        <v>0.25 - 0.39</v>
      </c>
      <c r="P1259" s="1">
        <v>31</v>
      </c>
      <c r="Q1259" t="str">
        <f>LOOKUP(P1259,Sheet2!$Z$4:$AA$7)</f>
        <v>26-35</v>
      </c>
      <c r="R1259" s="1">
        <v>1</v>
      </c>
      <c r="S1259" t="str">
        <f>IF(R1259=1,"Positive","Negative")</f>
        <v>Positive</v>
      </c>
      <c r="T1259" s="1" t="str">
        <f>IFERROR(VLOOKUP(A1259,[1]diabetes_Recognition!$A:$B,2,FALSE),"Not Sampled")</f>
        <v>Not Sampled</v>
      </c>
      <c r="U1259" t="str">
        <f>IF(T1259=1,"Positive",(IF(T1259=0,"Negative","Not Sampled")))</f>
        <v>Not Sampled</v>
      </c>
      <c r="V1259" s="1" t="str">
        <f>IF(U1259="Not Sampled","Not Sampled",IF(S1259=U1259,"Accurate Prediction","Inaccurate Prediction"))</f>
        <v>Not Sampled</v>
      </c>
    </row>
    <row r="1260" spans="1:22" x14ac:dyDescent="0.25">
      <c r="A1260" s="1">
        <v>1258</v>
      </c>
      <c r="B1260" s="1">
        <v>1</v>
      </c>
      <c r="C1260" s="1">
        <f>LOOKUP(B1260,Sheet2!$D$4:$E$9)</f>
        <v>1</v>
      </c>
      <c r="D1260" s="1">
        <v>163</v>
      </c>
      <c r="E1260" t="str">
        <f>LOOKUP(D1260,Sheet2!$G$4:$H$9)</f>
        <v>151-175</v>
      </c>
      <c r="F1260" s="1">
        <v>72</v>
      </c>
      <c r="G1260" t="str">
        <f>LOOKUP(F1260,Sheet2!$J$4:$K$8)</f>
        <v>70-79</v>
      </c>
      <c r="H1260" s="1">
        <v>0</v>
      </c>
      <c r="I1260" t="str">
        <f>LOOKUP(H1260,Sheet2!$M$4:$N$8)</f>
        <v>Unknown</v>
      </c>
      <c r="J1260" s="1">
        <v>0</v>
      </c>
      <c r="K1260" t="str">
        <f>LOOKUP(J1260,Sheet2!$P$4:$Q$9)</f>
        <v>Unknown</v>
      </c>
      <c r="L1260" s="1">
        <v>39</v>
      </c>
      <c r="M1260" t="str">
        <f>LOOKUP(L1260,Sheet2!$S$4:$T$8)</f>
        <v>36+</v>
      </c>
      <c r="N1260" s="1">
        <v>1.222</v>
      </c>
      <c r="O1260" t="str">
        <f>LOOKUP(N1260,Sheet2!$V$4:$W$7)</f>
        <v>0.7+</v>
      </c>
      <c r="P1260" s="1">
        <v>33</v>
      </c>
      <c r="Q1260" t="str">
        <f>LOOKUP(P1260,Sheet2!$Z$4:$AA$7)</f>
        <v>26-35</v>
      </c>
      <c r="R1260" s="1">
        <v>1</v>
      </c>
      <c r="S1260" t="str">
        <f>IF(R1260=1,"Positive","Negative")</f>
        <v>Positive</v>
      </c>
      <c r="T1260" s="1" t="str">
        <f>IFERROR(VLOOKUP(A1260,[1]diabetes_Recognition!$A:$B,2,FALSE),"Not Sampled")</f>
        <v>Not Sampled</v>
      </c>
      <c r="U1260" t="str">
        <f>IF(T1260=1,"Positive",(IF(T1260=0,"Negative","Not Sampled")))</f>
        <v>Not Sampled</v>
      </c>
      <c r="V1260" s="1" t="str">
        <f>IF(U1260="Not Sampled","Not Sampled",IF(S1260=U1260,"Accurate Prediction","Inaccurate Prediction"))</f>
        <v>Not Sampled</v>
      </c>
    </row>
    <row r="1261" spans="1:22" x14ac:dyDescent="0.25">
      <c r="A1261" s="1">
        <v>1259</v>
      </c>
      <c r="B1261" s="1">
        <v>1</v>
      </c>
      <c r="C1261" s="1">
        <f>LOOKUP(B1261,Sheet2!$D$4:$E$9)</f>
        <v>1</v>
      </c>
      <c r="D1261" s="1">
        <v>151</v>
      </c>
      <c r="E1261" t="str">
        <f>LOOKUP(D1261,Sheet2!$G$4:$H$9)</f>
        <v>151-175</v>
      </c>
      <c r="F1261" s="1">
        <v>60</v>
      </c>
      <c r="G1261" t="str">
        <f>LOOKUP(F1261,Sheet2!$J$4:$K$8)</f>
        <v>60-69</v>
      </c>
      <c r="H1261" s="1">
        <v>0</v>
      </c>
      <c r="I1261" t="str">
        <f>LOOKUP(H1261,Sheet2!$M$4:$N$8)</f>
        <v>Unknown</v>
      </c>
      <c r="J1261" s="1">
        <v>0</v>
      </c>
      <c r="K1261" t="str">
        <f>LOOKUP(J1261,Sheet2!$P$4:$Q$9)</f>
        <v>Unknown</v>
      </c>
      <c r="L1261" s="1">
        <v>26.1</v>
      </c>
      <c r="M1261" t="str">
        <f>LOOKUP(L1261,Sheet2!$S$4:$T$8)</f>
        <v>26-30</v>
      </c>
      <c r="N1261" s="1">
        <v>0.17899999999999999</v>
      </c>
      <c r="O1261" t="str">
        <f>LOOKUP(N1261,Sheet2!$V$4:$W$7)</f>
        <v>0.0 - 0.249</v>
      </c>
      <c r="P1261" s="1">
        <v>22</v>
      </c>
      <c r="Q1261" t="str">
        <f>LOOKUP(P1261,Sheet2!$Z$4:$AA$7)</f>
        <v>&lt;=25</v>
      </c>
      <c r="R1261" s="1">
        <v>0</v>
      </c>
      <c r="S1261" t="str">
        <f>IF(R1261=1,"Positive","Negative")</f>
        <v>Negative</v>
      </c>
      <c r="T1261" s="1" t="str">
        <f>IFERROR(VLOOKUP(A1261,[1]diabetes_Recognition!$A:$B,2,FALSE),"Not Sampled")</f>
        <v>Not Sampled</v>
      </c>
      <c r="U1261" t="str">
        <f>IF(T1261=1,"Positive",(IF(T1261=0,"Negative","Not Sampled")))</f>
        <v>Not Sampled</v>
      </c>
      <c r="V1261" s="1" t="str">
        <f>IF(U1261="Not Sampled","Not Sampled",IF(S1261=U1261,"Accurate Prediction","Inaccurate Prediction"))</f>
        <v>Not Sampled</v>
      </c>
    </row>
    <row r="1262" spans="1:22" x14ac:dyDescent="0.25">
      <c r="A1262" s="1">
        <v>1260</v>
      </c>
      <c r="B1262" s="1">
        <v>0</v>
      </c>
      <c r="C1262" s="1">
        <f>LOOKUP(B1262,Sheet2!$D$4:$E$9)</f>
        <v>0</v>
      </c>
      <c r="D1262" s="1">
        <v>125</v>
      </c>
      <c r="E1262" t="str">
        <f>LOOKUP(D1262,Sheet2!$G$4:$H$9)</f>
        <v>100-125</v>
      </c>
      <c r="F1262" s="1">
        <v>96</v>
      </c>
      <c r="G1262" t="str">
        <f>LOOKUP(F1262,Sheet2!$J$4:$K$8)</f>
        <v>80+</v>
      </c>
      <c r="H1262" s="1">
        <v>0</v>
      </c>
      <c r="I1262" t="str">
        <f>LOOKUP(H1262,Sheet2!$M$4:$N$8)</f>
        <v>Unknown</v>
      </c>
      <c r="J1262" s="1">
        <v>0</v>
      </c>
      <c r="K1262" t="str">
        <f>LOOKUP(J1262,Sheet2!$P$4:$Q$9)</f>
        <v>Unknown</v>
      </c>
      <c r="L1262" s="1">
        <v>22.5</v>
      </c>
      <c r="M1262" t="str">
        <f>LOOKUP(L1262,Sheet2!$S$4:$T$8)</f>
        <v>1-25</v>
      </c>
      <c r="N1262" s="1">
        <v>0.26200000000000001</v>
      </c>
      <c r="O1262" t="str">
        <f>LOOKUP(N1262,Sheet2!$V$4:$W$7)</f>
        <v>0.25 - 0.39</v>
      </c>
      <c r="P1262" s="1">
        <v>21</v>
      </c>
      <c r="Q1262" t="str">
        <f>LOOKUP(P1262,Sheet2!$Z$4:$AA$7)</f>
        <v>&lt;=25</v>
      </c>
      <c r="R1262" s="1">
        <v>0</v>
      </c>
      <c r="S1262" t="str">
        <f>IF(R1262=1,"Positive","Negative")</f>
        <v>Negative</v>
      </c>
      <c r="T1262" s="1" t="str">
        <f>IFERROR(VLOOKUP(A1262,[1]diabetes_Recognition!$A:$B,2,FALSE),"Not Sampled")</f>
        <v>Not Sampled</v>
      </c>
      <c r="U1262" t="str">
        <f>IF(T1262=1,"Positive",(IF(T1262=0,"Negative","Not Sampled")))</f>
        <v>Not Sampled</v>
      </c>
      <c r="V1262" s="1" t="str">
        <f>IF(U1262="Not Sampled","Not Sampled",IF(S1262=U1262,"Accurate Prediction","Inaccurate Prediction"))</f>
        <v>Not Sampled</v>
      </c>
    </row>
    <row r="1263" spans="1:22" x14ac:dyDescent="0.25">
      <c r="A1263" s="1">
        <v>1261</v>
      </c>
      <c r="B1263" s="1">
        <v>1</v>
      </c>
      <c r="C1263" s="1">
        <f>LOOKUP(B1263,Sheet2!$D$4:$E$9)</f>
        <v>1</v>
      </c>
      <c r="D1263" s="1">
        <v>81</v>
      </c>
      <c r="E1263" t="str">
        <f>LOOKUP(D1263,Sheet2!$G$4:$H$9)</f>
        <v>1-99</v>
      </c>
      <c r="F1263" s="1">
        <v>72</v>
      </c>
      <c r="G1263" t="str">
        <f>LOOKUP(F1263,Sheet2!$J$4:$K$8)</f>
        <v>70-79</v>
      </c>
      <c r="H1263" s="1">
        <v>18</v>
      </c>
      <c r="I1263" t="str">
        <f>LOOKUP(H1263,Sheet2!$M$4:$N$8)</f>
        <v>10-30</v>
      </c>
      <c r="J1263" s="1">
        <v>40</v>
      </c>
      <c r="K1263" t="str">
        <f>LOOKUP(J1263,Sheet2!$P$4:$Q$9)</f>
        <v>1-99</v>
      </c>
      <c r="L1263" s="1">
        <v>26.6</v>
      </c>
      <c r="M1263" t="str">
        <f>LOOKUP(L1263,Sheet2!$S$4:$T$8)</f>
        <v>26-30</v>
      </c>
      <c r="N1263" s="1">
        <v>0.28299999999999997</v>
      </c>
      <c r="O1263" t="str">
        <f>LOOKUP(N1263,Sheet2!$V$4:$W$7)</f>
        <v>0.25 - 0.39</v>
      </c>
      <c r="P1263" s="1">
        <v>24</v>
      </c>
      <c r="Q1263" t="str">
        <f>LOOKUP(P1263,Sheet2!$Z$4:$AA$7)</f>
        <v>&lt;=25</v>
      </c>
      <c r="R1263" s="1">
        <v>0</v>
      </c>
      <c r="S1263" t="str">
        <f>IF(R1263=1,"Positive","Negative")</f>
        <v>Negative</v>
      </c>
      <c r="T1263" s="1" t="str">
        <f>IFERROR(VLOOKUP(A1263,[1]diabetes_Recognition!$A:$B,2,FALSE),"Not Sampled")</f>
        <v>Not Sampled</v>
      </c>
      <c r="U1263" t="str">
        <f>IF(T1263=1,"Positive",(IF(T1263=0,"Negative","Not Sampled")))</f>
        <v>Not Sampled</v>
      </c>
      <c r="V1263" s="1" t="str">
        <f>IF(U1263="Not Sampled","Not Sampled",IF(S1263=U1263,"Accurate Prediction","Inaccurate Prediction"))</f>
        <v>Not Sampled</v>
      </c>
    </row>
    <row r="1264" spans="1:22" x14ac:dyDescent="0.25">
      <c r="A1264" s="1">
        <v>1262</v>
      </c>
      <c r="B1264" s="1">
        <v>2</v>
      </c>
      <c r="C1264" s="1">
        <f>LOOKUP(B1264,Sheet2!$D$4:$E$9)</f>
        <v>2</v>
      </c>
      <c r="D1264" s="1">
        <v>85</v>
      </c>
      <c r="E1264" t="str">
        <f>LOOKUP(D1264,Sheet2!$G$4:$H$9)</f>
        <v>1-99</v>
      </c>
      <c r="F1264" s="1">
        <v>65</v>
      </c>
      <c r="G1264" t="str">
        <f>LOOKUP(F1264,Sheet2!$J$4:$K$8)</f>
        <v>60-69</v>
      </c>
      <c r="H1264" s="1">
        <v>0</v>
      </c>
      <c r="I1264" t="str">
        <f>LOOKUP(H1264,Sheet2!$M$4:$N$8)</f>
        <v>Unknown</v>
      </c>
      <c r="J1264" s="1">
        <v>0</v>
      </c>
      <c r="K1264" t="str">
        <f>LOOKUP(J1264,Sheet2!$P$4:$Q$9)</f>
        <v>Unknown</v>
      </c>
      <c r="L1264" s="1">
        <v>39.6</v>
      </c>
      <c r="M1264" t="str">
        <f>LOOKUP(L1264,Sheet2!$S$4:$T$8)</f>
        <v>36+</v>
      </c>
      <c r="N1264" s="1">
        <v>0.93</v>
      </c>
      <c r="O1264" t="str">
        <f>LOOKUP(N1264,Sheet2!$V$4:$W$7)</f>
        <v>0.7+</v>
      </c>
      <c r="P1264" s="1">
        <v>27</v>
      </c>
      <c r="Q1264" t="str">
        <f>LOOKUP(P1264,Sheet2!$Z$4:$AA$7)</f>
        <v>26-35</v>
      </c>
      <c r="R1264" s="1">
        <v>0</v>
      </c>
      <c r="S1264" t="str">
        <f>IF(R1264=1,"Positive","Negative")</f>
        <v>Negative</v>
      </c>
      <c r="T1264" s="1">
        <f>IFERROR(VLOOKUP(A1264,[1]diabetes_Recognition!$A:$B,2,FALSE),"Not Sampled")</f>
        <v>0</v>
      </c>
      <c r="U1264" t="str">
        <f>IF(T1264=1,"Positive",(IF(T1264=0,"Negative","Not Sampled")))</f>
        <v>Negative</v>
      </c>
      <c r="V1264" s="1" t="str">
        <f>IF(U1264="Not Sampled","Not Sampled",IF(S1264=U1264,"Accurate Prediction","Inaccurate Prediction"))</f>
        <v>Accurate Prediction</v>
      </c>
    </row>
    <row r="1265" spans="1:22" x14ac:dyDescent="0.25">
      <c r="A1265" s="1">
        <v>1263</v>
      </c>
      <c r="B1265" s="1">
        <v>1</v>
      </c>
      <c r="C1265" s="1">
        <f>LOOKUP(B1265,Sheet2!$D$4:$E$9)</f>
        <v>1</v>
      </c>
      <c r="D1265" s="1">
        <v>126</v>
      </c>
      <c r="E1265" t="str">
        <f>LOOKUP(D1265,Sheet2!$G$4:$H$9)</f>
        <v>126-150</v>
      </c>
      <c r="F1265" s="1">
        <v>56</v>
      </c>
      <c r="G1265" t="str">
        <f>LOOKUP(F1265,Sheet2!$J$4:$K$8)</f>
        <v>1-59</v>
      </c>
      <c r="H1265" s="1">
        <v>29</v>
      </c>
      <c r="I1265" t="str">
        <f>LOOKUP(H1265,Sheet2!$M$4:$N$8)</f>
        <v>10-30</v>
      </c>
      <c r="J1265" s="1">
        <v>152</v>
      </c>
      <c r="K1265" t="str">
        <f>LOOKUP(J1265,Sheet2!$P$4:$Q$9)</f>
        <v>100-199</v>
      </c>
      <c r="L1265" s="1">
        <v>28.7</v>
      </c>
      <c r="M1265" t="str">
        <f>LOOKUP(L1265,Sheet2!$S$4:$T$8)</f>
        <v>26-30</v>
      </c>
      <c r="N1265" s="1">
        <v>0.80100000000000005</v>
      </c>
      <c r="O1265" t="str">
        <f>LOOKUP(N1265,Sheet2!$V$4:$W$7)</f>
        <v>0.7+</v>
      </c>
      <c r="P1265" s="1">
        <v>21</v>
      </c>
      <c r="Q1265" t="str">
        <f>LOOKUP(P1265,Sheet2!$Z$4:$AA$7)</f>
        <v>&lt;=25</v>
      </c>
      <c r="R1265" s="1">
        <v>0</v>
      </c>
      <c r="S1265" t="str">
        <f>IF(R1265=1,"Positive","Negative")</f>
        <v>Negative</v>
      </c>
      <c r="T1265" s="1" t="str">
        <f>IFERROR(VLOOKUP(A1265,[1]diabetes_Recognition!$A:$B,2,FALSE),"Not Sampled")</f>
        <v>Not Sampled</v>
      </c>
      <c r="U1265" t="str">
        <f>IF(T1265=1,"Positive",(IF(T1265=0,"Negative","Not Sampled")))</f>
        <v>Not Sampled</v>
      </c>
      <c r="V1265" s="1" t="str">
        <f>IF(U1265="Not Sampled","Not Sampled",IF(S1265=U1265,"Accurate Prediction","Inaccurate Prediction"))</f>
        <v>Not Sampled</v>
      </c>
    </row>
    <row r="1266" spans="1:22" x14ac:dyDescent="0.25">
      <c r="A1266" s="1">
        <v>1264</v>
      </c>
      <c r="B1266" s="1">
        <v>1</v>
      </c>
      <c r="C1266" s="1">
        <f>LOOKUP(B1266,Sheet2!$D$4:$E$9)</f>
        <v>1</v>
      </c>
      <c r="D1266" s="1">
        <v>96</v>
      </c>
      <c r="E1266" t="str">
        <f>LOOKUP(D1266,Sheet2!$G$4:$H$9)</f>
        <v>1-99</v>
      </c>
      <c r="F1266" s="1">
        <v>122</v>
      </c>
      <c r="G1266" t="str">
        <f>LOOKUP(F1266,Sheet2!$J$4:$K$8)</f>
        <v>80+</v>
      </c>
      <c r="H1266" s="1">
        <v>0</v>
      </c>
      <c r="I1266" t="str">
        <f>LOOKUP(H1266,Sheet2!$M$4:$N$8)</f>
        <v>Unknown</v>
      </c>
      <c r="J1266" s="1">
        <v>0</v>
      </c>
      <c r="K1266" t="str">
        <f>LOOKUP(J1266,Sheet2!$P$4:$Q$9)</f>
        <v>Unknown</v>
      </c>
      <c r="L1266" s="1">
        <v>22.4</v>
      </c>
      <c r="M1266" t="str">
        <f>LOOKUP(L1266,Sheet2!$S$4:$T$8)</f>
        <v>1-25</v>
      </c>
      <c r="N1266" s="1">
        <v>0.20699999999999999</v>
      </c>
      <c r="O1266" t="str">
        <f>LOOKUP(N1266,Sheet2!$V$4:$W$7)</f>
        <v>0.0 - 0.249</v>
      </c>
      <c r="P1266" s="1">
        <v>27</v>
      </c>
      <c r="Q1266" t="str">
        <f>LOOKUP(P1266,Sheet2!$Z$4:$AA$7)</f>
        <v>26-35</v>
      </c>
      <c r="R1266" s="1">
        <v>0</v>
      </c>
      <c r="S1266" t="str">
        <f>IF(R1266=1,"Positive","Negative")</f>
        <v>Negative</v>
      </c>
      <c r="T1266" s="1">
        <f>IFERROR(VLOOKUP(A1266,[1]diabetes_Recognition!$A:$B,2,FALSE),"Not Sampled")</f>
        <v>0</v>
      </c>
      <c r="U1266" t="str">
        <f>IF(T1266=1,"Positive",(IF(T1266=0,"Negative","Not Sampled")))</f>
        <v>Negative</v>
      </c>
      <c r="V1266" s="1" t="str">
        <f>IF(U1266="Not Sampled","Not Sampled",IF(S1266=U1266,"Accurate Prediction","Inaccurate Prediction"))</f>
        <v>Accurate Prediction</v>
      </c>
    </row>
    <row r="1267" spans="1:22" x14ac:dyDescent="0.25">
      <c r="A1267" s="1">
        <v>1265</v>
      </c>
      <c r="B1267" s="1">
        <v>4</v>
      </c>
      <c r="C1267" s="1" t="str">
        <f>LOOKUP(B1267,Sheet2!$D$4:$E$9)</f>
        <v>3-4</v>
      </c>
      <c r="D1267" s="1">
        <v>144</v>
      </c>
      <c r="E1267" t="str">
        <f>LOOKUP(D1267,Sheet2!$G$4:$H$9)</f>
        <v>126-150</v>
      </c>
      <c r="F1267" s="1">
        <v>58</v>
      </c>
      <c r="G1267" t="str">
        <f>LOOKUP(F1267,Sheet2!$J$4:$K$8)</f>
        <v>1-59</v>
      </c>
      <c r="H1267" s="1">
        <v>28</v>
      </c>
      <c r="I1267" t="str">
        <f>LOOKUP(H1267,Sheet2!$M$4:$N$8)</f>
        <v>10-30</v>
      </c>
      <c r="J1267" s="1">
        <v>140</v>
      </c>
      <c r="K1267" t="str">
        <f>LOOKUP(J1267,Sheet2!$P$4:$Q$9)</f>
        <v>100-199</v>
      </c>
      <c r="L1267" s="1">
        <v>29.5</v>
      </c>
      <c r="M1267" t="str">
        <f>LOOKUP(L1267,Sheet2!$S$4:$T$8)</f>
        <v>26-30</v>
      </c>
      <c r="N1267" s="1">
        <v>0.28699999999999998</v>
      </c>
      <c r="O1267" t="str">
        <f>LOOKUP(N1267,Sheet2!$V$4:$W$7)</f>
        <v>0.25 - 0.39</v>
      </c>
      <c r="P1267" s="1">
        <v>37</v>
      </c>
      <c r="Q1267" t="str">
        <f>LOOKUP(P1267,Sheet2!$Z$4:$AA$7)</f>
        <v>36-45</v>
      </c>
      <c r="R1267" s="1">
        <v>0</v>
      </c>
      <c r="S1267" t="str">
        <f>IF(R1267=1,"Positive","Negative")</f>
        <v>Negative</v>
      </c>
      <c r="T1267" s="1">
        <f>IFERROR(VLOOKUP(A1267,[1]diabetes_Recognition!$A:$B,2,FALSE),"Not Sampled")</f>
        <v>0</v>
      </c>
      <c r="U1267" t="str">
        <f>IF(T1267=1,"Positive",(IF(T1267=0,"Negative","Not Sampled")))</f>
        <v>Negative</v>
      </c>
      <c r="V1267" s="1" t="str">
        <f>IF(U1267="Not Sampled","Not Sampled",IF(S1267=U1267,"Accurate Prediction","Inaccurate Prediction"))</f>
        <v>Accurate Prediction</v>
      </c>
    </row>
    <row r="1268" spans="1:22" x14ac:dyDescent="0.25">
      <c r="A1268" s="1">
        <v>1266</v>
      </c>
      <c r="B1268" s="1">
        <v>3</v>
      </c>
      <c r="C1268" s="1" t="str">
        <f>LOOKUP(B1268,Sheet2!$D$4:$E$9)</f>
        <v>3-4</v>
      </c>
      <c r="D1268" s="1">
        <v>83</v>
      </c>
      <c r="E1268" t="str">
        <f>LOOKUP(D1268,Sheet2!$G$4:$H$9)</f>
        <v>1-99</v>
      </c>
      <c r="F1268" s="1">
        <v>58</v>
      </c>
      <c r="G1268" t="str">
        <f>LOOKUP(F1268,Sheet2!$J$4:$K$8)</f>
        <v>1-59</v>
      </c>
      <c r="H1268" s="1">
        <v>31</v>
      </c>
      <c r="I1268" t="str">
        <f>LOOKUP(H1268,Sheet2!$M$4:$N$8)</f>
        <v>30-39</v>
      </c>
      <c r="J1268" s="1">
        <v>18</v>
      </c>
      <c r="K1268" t="str">
        <f>LOOKUP(J1268,Sheet2!$P$4:$Q$9)</f>
        <v>1-99</v>
      </c>
      <c r="L1268" s="1">
        <v>34.299999999999997</v>
      </c>
      <c r="M1268" t="str">
        <f>LOOKUP(L1268,Sheet2!$S$4:$T$8)</f>
        <v>31-35</v>
      </c>
      <c r="N1268" s="1">
        <v>0.33600000000000002</v>
      </c>
      <c r="O1268" t="str">
        <f>LOOKUP(N1268,Sheet2!$V$4:$W$7)</f>
        <v>0.25 - 0.39</v>
      </c>
      <c r="P1268" s="1">
        <v>25</v>
      </c>
      <c r="Q1268" t="str">
        <f>LOOKUP(P1268,Sheet2!$Z$4:$AA$7)</f>
        <v>&lt;=25</v>
      </c>
      <c r="R1268" s="1">
        <v>0</v>
      </c>
      <c r="S1268" t="str">
        <f>IF(R1268=1,"Positive","Negative")</f>
        <v>Negative</v>
      </c>
      <c r="T1268" s="1" t="str">
        <f>IFERROR(VLOOKUP(A1268,[1]diabetes_Recognition!$A:$B,2,FALSE),"Not Sampled")</f>
        <v>Not Sampled</v>
      </c>
      <c r="U1268" t="str">
        <f>IF(T1268=1,"Positive",(IF(T1268=0,"Negative","Not Sampled")))</f>
        <v>Not Sampled</v>
      </c>
      <c r="V1268" s="1" t="str">
        <f>IF(U1268="Not Sampled","Not Sampled",IF(S1268=U1268,"Accurate Prediction","Inaccurate Prediction"))</f>
        <v>Not Sampled</v>
      </c>
    </row>
    <row r="1269" spans="1:22" x14ac:dyDescent="0.25">
      <c r="A1269" s="1">
        <v>1267</v>
      </c>
      <c r="B1269" s="1">
        <v>0</v>
      </c>
      <c r="C1269" s="1">
        <f>LOOKUP(B1269,Sheet2!$D$4:$E$9)</f>
        <v>0</v>
      </c>
      <c r="D1269" s="1">
        <v>95</v>
      </c>
      <c r="E1269" t="str">
        <f>LOOKUP(D1269,Sheet2!$G$4:$H$9)</f>
        <v>1-99</v>
      </c>
      <c r="F1269" s="1">
        <v>85</v>
      </c>
      <c r="G1269" t="str">
        <f>LOOKUP(F1269,Sheet2!$J$4:$K$8)</f>
        <v>80+</v>
      </c>
      <c r="H1269" s="1">
        <v>25</v>
      </c>
      <c r="I1269" t="str">
        <f>LOOKUP(H1269,Sheet2!$M$4:$N$8)</f>
        <v>10-30</v>
      </c>
      <c r="J1269" s="1">
        <v>36</v>
      </c>
      <c r="K1269" t="str">
        <f>LOOKUP(J1269,Sheet2!$P$4:$Q$9)</f>
        <v>1-99</v>
      </c>
      <c r="L1269" s="1">
        <v>37.4</v>
      </c>
      <c r="M1269" t="str">
        <f>LOOKUP(L1269,Sheet2!$S$4:$T$8)</f>
        <v>36+</v>
      </c>
      <c r="N1269" s="1">
        <v>0.247</v>
      </c>
      <c r="O1269" t="str">
        <f>LOOKUP(N1269,Sheet2!$V$4:$W$7)</f>
        <v>0.0 - 0.249</v>
      </c>
      <c r="P1269" s="1">
        <v>24</v>
      </c>
      <c r="Q1269" t="str">
        <f>LOOKUP(P1269,Sheet2!$Z$4:$AA$7)</f>
        <v>&lt;=25</v>
      </c>
      <c r="R1269" s="1">
        <v>1</v>
      </c>
      <c r="S1269" t="str">
        <f>IF(R1269=1,"Positive","Negative")</f>
        <v>Positive</v>
      </c>
      <c r="T1269" s="1">
        <f>IFERROR(VLOOKUP(A1269,[1]diabetes_Recognition!$A:$B,2,FALSE),"Not Sampled")</f>
        <v>0</v>
      </c>
      <c r="U1269" t="str">
        <f>IF(T1269=1,"Positive",(IF(T1269=0,"Negative","Not Sampled")))</f>
        <v>Negative</v>
      </c>
      <c r="V1269" s="1" t="str">
        <f>IF(U1269="Not Sampled","Not Sampled",IF(S1269=U1269,"Accurate Prediction","Inaccurate Prediction"))</f>
        <v>Inaccurate Prediction</v>
      </c>
    </row>
    <row r="1270" spans="1:22" x14ac:dyDescent="0.25">
      <c r="A1270" s="1">
        <v>1268</v>
      </c>
      <c r="B1270" s="1">
        <v>3</v>
      </c>
      <c r="C1270" s="1" t="str">
        <f>LOOKUP(B1270,Sheet2!$D$4:$E$9)</f>
        <v>3-4</v>
      </c>
      <c r="D1270" s="1">
        <v>171</v>
      </c>
      <c r="E1270" t="str">
        <f>LOOKUP(D1270,Sheet2!$G$4:$H$9)</f>
        <v>151-175</v>
      </c>
      <c r="F1270" s="1">
        <v>72</v>
      </c>
      <c r="G1270" t="str">
        <f>LOOKUP(F1270,Sheet2!$J$4:$K$8)</f>
        <v>70-79</v>
      </c>
      <c r="H1270" s="1">
        <v>33</v>
      </c>
      <c r="I1270" t="str">
        <f>LOOKUP(H1270,Sheet2!$M$4:$N$8)</f>
        <v>30-39</v>
      </c>
      <c r="J1270" s="1">
        <v>135</v>
      </c>
      <c r="K1270" t="str">
        <f>LOOKUP(J1270,Sheet2!$P$4:$Q$9)</f>
        <v>100-199</v>
      </c>
      <c r="L1270" s="1">
        <v>33.299999999999997</v>
      </c>
      <c r="M1270" t="str">
        <f>LOOKUP(L1270,Sheet2!$S$4:$T$8)</f>
        <v>31-35</v>
      </c>
      <c r="N1270" s="1">
        <v>0.19900000000000001</v>
      </c>
      <c r="O1270" t="str">
        <f>LOOKUP(N1270,Sheet2!$V$4:$W$7)</f>
        <v>0.0 - 0.249</v>
      </c>
      <c r="P1270" s="1">
        <v>24</v>
      </c>
      <c r="Q1270" t="str">
        <f>LOOKUP(P1270,Sheet2!$Z$4:$AA$7)</f>
        <v>&lt;=25</v>
      </c>
      <c r="R1270" s="1">
        <v>1</v>
      </c>
      <c r="S1270" t="str">
        <f>IF(R1270=1,"Positive","Negative")</f>
        <v>Positive</v>
      </c>
      <c r="T1270" s="1" t="str">
        <f>IFERROR(VLOOKUP(A1270,[1]diabetes_Recognition!$A:$B,2,FALSE),"Not Sampled")</f>
        <v>Not Sampled</v>
      </c>
      <c r="U1270" t="str">
        <f>IF(T1270=1,"Positive",(IF(T1270=0,"Negative","Not Sampled")))</f>
        <v>Not Sampled</v>
      </c>
      <c r="V1270" s="1" t="str">
        <f>IF(U1270="Not Sampled","Not Sampled",IF(S1270=U1270,"Accurate Prediction","Inaccurate Prediction"))</f>
        <v>Not Sampled</v>
      </c>
    </row>
    <row r="1271" spans="1:22" x14ac:dyDescent="0.25">
      <c r="A1271" s="1">
        <v>1269</v>
      </c>
      <c r="B1271" s="1">
        <v>8</v>
      </c>
      <c r="C1271" s="1" t="str">
        <f>LOOKUP(B1271,Sheet2!$D$4:$E$9)</f>
        <v>8+</v>
      </c>
      <c r="D1271" s="1">
        <v>155</v>
      </c>
      <c r="E1271" t="str">
        <f>LOOKUP(D1271,Sheet2!$G$4:$H$9)</f>
        <v>151-175</v>
      </c>
      <c r="F1271" s="1">
        <v>62</v>
      </c>
      <c r="G1271" t="str">
        <f>LOOKUP(F1271,Sheet2!$J$4:$K$8)</f>
        <v>60-69</v>
      </c>
      <c r="H1271" s="1">
        <v>26</v>
      </c>
      <c r="I1271" t="str">
        <f>LOOKUP(H1271,Sheet2!$M$4:$N$8)</f>
        <v>10-30</v>
      </c>
      <c r="J1271" s="1">
        <v>495</v>
      </c>
      <c r="K1271" t="str">
        <f>LOOKUP(J1271,Sheet2!$P$4:$Q$9)</f>
        <v>300-499</v>
      </c>
      <c r="L1271" s="1">
        <v>34</v>
      </c>
      <c r="M1271" t="str">
        <f>LOOKUP(L1271,Sheet2!$S$4:$T$8)</f>
        <v>31-35</v>
      </c>
      <c r="N1271" s="1">
        <v>0.54300000000000004</v>
      </c>
      <c r="O1271" t="str">
        <f>LOOKUP(N1271,Sheet2!$V$4:$W$7)</f>
        <v>0.4 - 0.69</v>
      </c>
      <c r="P1271" s="1">
        <v>46</v>
      </c>
      <c r="Q1271" t="str">
        <f>LOOKUP(P1271,Sheet2!$Z$4:$AA$7)</f>
        <v>46+</v>
      </c>
      <c r="R1271" s="1">
        <v>1</v>
      </c>
      <c r="S1271" t="str">
        <f>IF(R1271=1,"Positive","Negative")</f>
        <v>Positive</v>
      </c>
      <c r="T1271" s="1" t="str">
        <f>IFERROR(VLOOKUP(A1271,[1]diabetes_Recognition!$A:$B,2,FALSE),"Not Sampled")</f>
        <v>Not Sampled</v>
      </c>
      <c r="U1271" t="str">
        <f>IF(T1271=1,"Positive",(IF(T1271=0,"Negative","Not Sampled")))</f>
        <v>Not Sampled</v>
      </c>
      <c r="V1271" s="1" t="str">
        <f>IF(U1271="Not Sampled","Not Sampled",IF(S1271=U1271,"Accurate Prediction","Inaccurate Prediction"))</f>
        <v>Not Sampled</v>
      </c>
    </row>
    <row r="1272" spans="1:22" x14ac:dyDescent="0.25">
      <c r="A1272" s="1">
        <v>1270</v>
      </c>
      <c r="B1272" s="1">
        <v>1</v>
      </c>
      <c r="C1272" s="1">
        <f>LOOKUP(B1272,Sheet2!$D$4:$E$9)</f>
        <v>1</v>
      </c>
      <c r="D1272" s="1">
        <v>89</v>
      </c>
      <c r="E1272" t="str">
        <f>LOOKUP(D1272,Sheet2!$G$4:$H$9)</f>
        <v>1-99</v>
      </c>
      <c r="F1272" s="1">
        <v>76</v>
      </c>
      <c r="G1272" t="str">
        <f>LOOKUP(F1272,Sheet2!$J$4:$K$8)</f>
        <v>70-79</v>
      </c>
      <c r="H1272" s="1">
        <v>34</v>
      </c>
      <c r="I1272" t="str">
        <f>LOOKUP(H1272,Sheet2!$M$4:$N$8)</f>
        <v>30-39</v>
      </c>
      <c r="J1272" s="1">
        <v>37</v>
      </c>
      <c r="K1272" t="str">
        <f>LOOKUP(J1272,Sheet2!$P$4:$Q$9)</f>
        <v>1-99</v>
      </c>
      <c r="L1272" s="1">
        <v>31.2</v>
      </c>
      <c r="M1272" t="str">
        <f>LOOKUP(L1272,Sheet2!$S$4:$T$8)</f>
        <v>31-35</v>
      </c>
      <c r="N1272" s="1">
        <v>0.192</v>
      </c>
      <c r="O1272" t="str">
        <f>LOOKUP(N1272,Sheet2!$V$4:$W$7)</f>
        <v>0.0 - 0.249</v>
      </c>
      <c r="P1272" s="1">
        <v>23</v>
      </c>
      <c r="Q1272" t="str">
        <f>LOOKUP(P1272,Sheet2!$Z$4:$AA$7)</f>
        <v>&lt;=25</v>
      </c>
      <c r="R1272" s="1">
        <v>0</v>
      </c>
      <c r="S1272" t="str">
        <f>IF(R1272=1,"Positive","Negative")</f>
        <v>Negative</v>
      </c>
      <c r="T1272" s="1">
        <f>IFERROR(VLOOKUP(A1272,[1]diabetes_Recognition!$A:$B,2,FALSE),"Not Sampled")</f>
        <v>0</v>
      </c>
      <c r="U1272" t="str">
        <f>IF(T1272=1,"Positive",(IF(T1272=0,"Negative","Not Sampled")))</f>
        <v>Negative</v>
      </c>
      <c r="V1272" s="1" t="str">
        <f>IF(U1272="Not Sampled","Not Sampled",IF(S1272=U1272,"Accurate Prediction","Inaccurate Prediction"))</f>
        <v>Accurate Prediction</v>
      </c>
    </row>
    <row r="1273" spans="1:22" x14ac:dyDescent="0.25">
      <c r="A1273" s="1">
        <v>1271</v>
      </c>
      <c r="B1273" s="1">
        <v>4</v>
      </c>
      <c r="C1273" s="1" t="str">
        <f>LOOKUP(B1273,Sheet2!$D$4:$E$9)</f>
        <v>3-4</v>
      </c>
      <c r="D1273" s="1">
        <v>76</v>
      </c>
      <c r="E1273" t="str">
        <f>LOOKUP(D1273,Sheet2!$G$4:$H$9)</f>
        <v>1-99</v>
      </c>
      <c r="F1273" s="1">
        <v>62</v>
      </c>
      <c r="G1273" t="str">
        <f>LOOKUP(F1273,Sheet2!$J$4:$K$8)</f>
        <v>60-69</v>
      </c>
      <c r="H1273" s="1">
        <v>0</v>
      </c>
      <c r="I1273" t="str">
        <f>LOOKUP(H1273,Sheet2!$M$4:$N$8)</f>
        <v>Unknown</v>
      </c>
      <c r="J1273" s="1">
        <v>0</v>
      </c>
      <c r="K1273" t="str">
        <f>LOOKUP(J1273,Sheet2!$P$4:$Q$9)</f>
        <v>Unknown</v>
      </c>
      <c r="L1273" s="1">
        <v>34</v>
      </c>
      <c r="M1273" t="str">
        <f>LOOKUP(L1273,Sheet2!$S$4:$T$8)</f>
        <v>31-35</v>
      </c>
      <c r="N1273" s="1">
        <v>0.39100000000000001</v>
      </c>
      <c r="O1273" t="str">
        <f>LOOKUP(N1273,Sheet2!$V$4:$W$7)</f>
        <v>0.25 - 0.39</v>
      </c>
      <c r="P1273" s="1">
        <v>25</v>
      </c>
      <c r="Q1273" t="str">
        <f>LOOKUP(P1273,Sheet2!$Z$4:$AA$7)</f>
        <v>&lt;=25</v>
      </c>
      <c r="R1273" s="1">
        <v>0</v>
      </c>
      <c r="S1273" t="str">
        <f>IF(R1273=1,"Positive","Negative")</f>
        <v>Negative</v>
      </c>
      <c r="T1273" s="1">
        <f>IFERROR(VLOOKUP(A1273,[1]diabetes_Recognition!$A:$B,2,FALSE),"Not Sampled")</f>
        <v>0</v>
      </c>
      <c r="U1273" t="str">
        <f>IF(T1273=1,"Positive",(IF(T1273=0,"Negative","Not Sampled")))</f>
        <v>Negative</v>
      </c>
      <c r="V1273" s="1" t="str">
        <f>IF(U1273="Not Sampled","Not Sampled",IF(S1273=U1273,"Accurate Prediction","Inaccurate Prediction"))</f>
        <v>Accurate Prediction</v>
      </c>
    </row>
    <row r="1274" spans="1:22" x14ac:dyDescent="0.25">
      <c r="A1274" s="1">
        <v>1272</v>
      </c>
      <c r="B1274" s="1">
        <v>7</v>
      </c>
      <c r="C1274" s="1" t="str">
        <f>LOOKUP(B1274,Sheet2!$D$4:$E$9)</f>
        <v>5-7</v>
      </c>
      <c r="D1274" s="1">
        <v>160</v>
      </c>
      <c r="E1274" t="str">
        <f>LOOKUP(D1274,Sheet2!$G$4:$H$9)</f>
        <v>151-175</v>
      </c>
      <c r="F1274" s="1">
        <v>54</v>
      </c>
      <c r="G1274" t="str">
        <f>LOOKUP(F1274,Sheet2!$J$4:$K$8)</f>
        <v>1-59</v>
      </c>
      <c r="H1274" s="1">
        <v>32</v>
      </c>
      <c r="I1274" t="str">
        <f>LOOKUP(H1274,Sheet2!$M$4:$N$8)</f>
        <v>30-39</v>
      </c>
      <c r="J1274" s="1">
        <v>175</v>
      </c>
      <c r="K1274" t="str">
        <f>LOOKUP(J1274,Sheet2!$P$4:$Q$9)</f>
        <v>100-199</v>
      </c>
      <c r="L1274" s="1">
        <v>30.5</v>
      </c>
      <c r="M1274" t="str">
        <f>LOOKUP(L1274,Sheet2!$S$4:$T$8)</f>
        <v>26-30</v>
      </c>
      <c r="N1274" s="1">
        <v>0.58799999999999997</v>
      </c>
      <c r="O1274" t="str">
        <f>LOOKUP(N1274,Sheet2!$V$4:$W$7)</f>
        <v>0.4 - 0.69</v>
      </c>
      <c r="P1274" s="1">
        <v>39</v>
      </c>
      <c r="Q1274" t="str">
        <f>LOOKUP(P1274,Sheet2!$Z$4:$AA$7)</f>
        <v>36-45</v>
      </c>
      <c r="R1274" s="1">
        <v>1</v>
      </c>
      <c r="S1274" t="str">
        <f>IF(R1274=1,"Positive","Negative")</f>
        <v>Positive</v>
      </c>
      <c r="T1274" s="1" t="str">
        <f>IFERROR(VLOOKUP(A1274,[1]diabetes_Recognition!$A:$B,2,FALSE),"Not Sampled")</f>
        <v>Not Sampled</v>
      </c>
      <c r="U1274" t="str">
        <f>IF(T1274=1,"Positive",(IF(T1274=0,"Negative","Not Sampled")))</f>
        <v>Not Sampled</v>
      </c>
      <c r="V1274" s="1" t="str">
        <f>IF(U1274="Not Sampled","Not Sampled",IF(S1274=U1274,"Accurate Prediction","Inaccurate Prediction"))</f>
        <v>Not Sampled</v>
      </c>
    </row>
    <row r="1275" spans="1:22" x14ac:dyDescent="0.25">
      <c r="A1275" s="1">
        <v>1273</v>
      </c>
      <c r="B1275" s="1">
        <v>4</v>
      </c>
      <c r="C1275" s="1" t="str">
        <f>LOOKUP(B1275,Sheet2!$D$4:$E$9)</f>
        <v>3-4</v>
      </c>
      <c r="D1275" s="1">
        <v>146</v>
      </c>
      <c r="E1275" t="str">
        <f>LOOKUP(D1275,Sheet2!$G$4:$H$9)</f>
        <v>126-150</v>
      </c>
      <c r="F1275" s="1">
        <v>92</v>
      </c>
      <c r="G1275" t="str">
        <f>LOOKUP(F1275,Sheet2!$J$4:$K$8)</f>
        <v>80+</v>
      </c>
      <c r="H1275" s="1">
        <v>0</v>
      </c>
      <c r="I1275" t="str">
        <f>LOOKUP(H1275,Sheet2!$M$4:$N$8)</f>
        <v>Unknown</v>
      </c>
      <c r="J1275" s="1">
        <v>0</v>
      </c>
      <c r="K1275" t="str">
        <f>LOOKUP(J1275,Sheet2!$P$4:$Q$9)</f>
        <v>Unknown</v>
      </c>
      <c r="L1275" s="1">
        <v>31.2</v>
      </c>
      <c r="M1275" t="str">
        <f>LOOKUP(L1275,Sheet2!$S$4:$T$8)</f>
        <v>31-35</v>
      </c>
      <c r="N1275" s="1">
        <v>0.53900000000000003</v>
      </c>
      <c r="O1275" t="str">
        <f>LOOKUP(N1275,Sheet2!$V$4:$W$7)</f>
        <v>0.4 - 0.69</v>
      </c>
      <c r="P1275" s="1">
        <v>61</v>
      </c>
      <c r="Q1275" t="str">
        <f>LOOKUP(P1275,Sheet2!$Z$4:$AA$7)</f>
        <v>46+</v>
      </c>
      <c r="R1275" s="1">
        <v>1</v>
      </c>
      <c r="S1275" t="str">
        <f>IF(R1275=1,"Positive","Negative")</f>
        <v>Positive</v>
      </c>
      <c r="T1275" s="1" t="str">
        <f>IFERROR(VLOOKUP(A1275,[1]diabetes_Recognition!$A:$B,2,FALSE),"Not Sampled")</f>
        <v>Not Sampled</v>
      </c>
      <c r="U1275" t="str">
        <f>IF(T1275=1,"Positive",(IF(T1275=0,"Negative","Not Sampled")))</f>
        <v>Not Sampled</v>
      </c>
      <c r="V1275" s="1" t="str">
        <f>IF(U1275="Not Sampled","Not Sampled",IF(S1275=U1275,"Accurate Prediction","Inaccurate Prediction"))</f>
        <v>Not Sampled</v>
      </c>
    </row>
    <row r="1276" spans="1:22" x14ac:dyDescent="0.25">
      <c r="A1276" s="1">
        <v>1274</v>
      </c>
      <c r="B1276" s="1">
        <v>5</v>
      </c>
      <c r="C1276" s="1" t="str">
        <f>LOOKUP(B1276,Sheet2!$D$4:$E$9)</f>
        <v>5-7</v>
      </c>
      <c r="D1276" s="1">
        <v>124</v>
      </c>
      <c r="E1276" t="str">
        <f>LOOKUP(D1276,Sheet2!$G$4:$H$9)</f>
        <v>100-125</v>
      </c>
      <c r="F1276" s="1">
        <v>74</v>
      </c>
      <c r="G1276" t="str">
        <f>LOOKUP(F1276,Sheet2!$J$4:$K$8)</f>
        <v>70-79</v>
      </c>
      <c r="H1276" s="1">
        <v>0</v>
      </c>
      <c r="I1276" t="str">
        <f>LOOKUP(H1276,Sheet2!$M$4:$N$8)</f>
        <v>Unknown</v>
      </c>
      <c r="J1276" s="1">
        <v>0</v>
      </c>
      <c r="K1276" t="str">
        <f>LOOKUP(J1276,Sheet2!$P$4:$Q$9)</f>
        <v>Unknown</v>
      </c>
      <c r="L1276" s="1">
        <v>34</v>
      </c>
      <c r="M1276" t="str">
        <f>LOOKUP(L1276,Sheet2!$S$4:$T$8)</f>
        <v>31-35</v>
      </c>
      <c r="N1276" s="1">
        <v>0.22</v>
      </c>
      <c r="O1276" t="str">
        <f>LOOKUP(N1276,Sheet2!$V$4:$W$7)</f>
        <v>0.0 - 0.249</v>
      </c>
      <c r="P1276" s="1">
        <v>38</v>
      </c>
      <c r="Q1276" t="str">
        <f>LOOKUP(P1276,Sheet2!$Z$4:$AA$7)</f>
        <v>36-45</v>
      </c>
      <c r="R1276" s="1">
        <v>1</v>
      </c>
      <c r="S1276" t="str">
        <f>IF(R1276=1,"Positive","Negative")</f>
        <v>Positive</v>
      </c>
      <c r="T1276" s="1">
        <f>IFERROR(VLOOKUP(A1276,[1]diabetes_Recognition!$A:$B,2,FALSE),"Not Sampled")</f>
        <v>0</v>
      </c>
      <c r="U1276" t="str">
        <f>IF(T1276=1,"Positive",(IF(T1276=0,"Negative","Not Sampled")))</f>
        <v>Negative</v>
      </c>
      <c r="V1276" s="1" t="str">
        <f>IF(U1276="Not Sampled","Not Sampled",IF(S1276=U1276,"Accurate Prediction","Inaccurate Prediction"))</f>
        <v>Inaccurate Prediction</v>
      </c>
    </row>
    <row r="1277" spans="1:22" x14ac:dyDescent="0.25">
      <c r="A1277" s="1">
        <v>1275</v>
      </c>
      <c r="B1277" s="1">
        <v>5</v>
      </c>
      <c r="C1277" s="1" t="str">
        <f>LOOKUP(B1277,Sheet2!$D$4:$E$9)</f>
        <v>5-7</v>
      </c>
      <c r="D1277" s="1">
        <v>78</v>
      </c>
      <c r="E1277" t="str">
        <f>LOOKUP(D1277,Sheet2!$G$4:$H$9)</f>
        <v>1-99</v>
      </c>
      <c r="F1277" s="1">
        <v>48</v>
      </c>
      <c r="G1277" t="str">
        <f>LOOKUP(F1277,Sheet2!$J$4:$K$8)</f>
        <v>1-59</v>
      </c>
      <c r="H1277" s="1">
        <v>0</v>
      </c>
      <c r="I1277" t="str">
        <f>LOOKUP(H1277,Sheet2!$M$4:$N$8)</f>
        <v>Unknown</v>
      </c>
      <c r="J1277" s="1">
        <v>0</v>
      </c>
      <c r="K1277" t="str">
        <f>LOOKUP(J1277,Sheet2!$P$4:$Q$9)</f>
        <v>Unknown</v>
      </c>
      <c r="L1277" s="1">
        <v>33.700000000000003</v>
      </c>
      <c r="M1277" t="str">
        <f>LOOKUP(L1277,Sheet2!$S$4:$T$8)</f>
        <v>31-35</v>
      </c>
      <c r="N1277" s="1">
        <v>0.65400000000000003</v>
      </c>
      <c r="O1277" t="str">
        <f>LOOKUP(N1277,Sheet2!$V$4:$W$7)</f>
        <v>0.4 - 0.69</v>
      </c>
      <c r="P1277" s="1">
        <v>25</v>
      </c>
      <c r="Q1277" t="str">
        <f>LOOKUP(P1277,Sheet2!$Z$4:$AA$7)</f>
        <v>&lt;=25</v>
      </c>
      <c r="R1277" s="1">
        <v>0</v>
      </c>
      <c r="S1277" t="str">
        <f>IF(R1277=1,"Positive","Negative")</f>
        <v>Negative</v>
      </c>
      <c r="T1277" s="1" t="str">
        <f>IFERROR(VLOOKUP(A1277,[1]diabetes_Recognition!$A:$B,2,FALSE),"Not Sampled")</f>
        <v>Not Sampled</v>
      </c>
      <c r="U1277" t="str">
        <f>IF(T1277=1,"Positive",(IF(T1277=0,"Negative","Not Sampled")))</f>
        <v>Not Sampled</v>
      </c>
      <c r="V1277" s="1" t="str">
        <f>IF(U1277="Not Sampled","Not Sampled",IF(S1277=U1277,"Accurate Prediction","Inaccurate Prediction"))</f>
        <v>Not Sampled</v>
      </c>
    </row>
    <row r="1278" spans="1:22" x14ac:dyDescent="0.25">
      <c r="A1278" s="1">
        <v>1276</v>
      </c>
      <c r="B1278" s="1">
        <v>4</v>
      </c>
      <c r="C1278" s="1" t="str">
        <f>LOOKUP(B1278,Sheet2!$D$4:$E$9)</f>
        <v>3-4</v>
      </c>
      <c r="D1278" s="1">
        <v>97</v>
      </c>
      <c r="E1278" t="str">
        <f>LOOKUP(D1278,Sheet2!$G$4:$H$9)</f>
        <v>1-99</v>
      </c>
      <c r="F1278" s="1">
        <v>60</v>
      </c>
      <c r="G1278" t="str">
        <f>LOOKUP(F1278,Sheet2!$J$4:$K$8)</f>
        <v>60-69</v>
      </c>
      <c r="H1278" s="1">
        <v>23</v>
      </c>
      <c r="I1278" t="str">
        <f>LOOKUP(H1278,Sheet2!$M$4:$N$8)</f>
        <v>10-30</v>
      </c>
      <c r="J1278" s="1">
        <v>0</v>
      </c>
      <c r="K1278" t="str">
        <f>LOOKUP(J1278,Sheet2!$P$4:$Q$9)</f>
        <v>Unknown</v>
      </c>
      <c r="L1278" s="1">
        <v>28.2</v>
      </c>
      <c r="M1278" t="str">
        <f>LOOKUP(L1278,Sheet2!$S$4:$T$8)</f>
        <v>26-30</v>
      </c>
      <c r="N1278" s="1">
        <v>0.443</v>
      </c>
      <c r="O1278" t="str">
        <f>LOOKUP(N1278,Sheet2!$V$4:$W$7)</f>
        <v>0.4 - 0.69</v>
      </c>
      <c r="P1278" s="1">
        <v>22</v>
      </c>
      <c r="Q1278" t="str">
        <f>LOOKUP(P1278,Sheet2!$Z$4:$AA$7)</f>
        <v>&lt;=25</v>
      </c>
      <c r="R1278" s="1">
        <v>0</v>
      </c>
      <c r="S1278" t="str">
        <f>IF(R1278=1,"Positive","Negative")</f>
        <v>Negative</v>
      </c>
      <c r="T1278" s="1" t="str">
        <f>IFERROR(VLOOKUP(A1278,[1]diabetes_Recognition!$A:$B,2,FALSE),"Not Sampled")</f>
        <v>Not Sampled</v>
      </c>
      <c r="U1278" t="str">
        <f>IF(T1278=1,"Positive",(IF(T1278=0,"Negative","Not Sampled")))</f>
        <v>Not Sampled</v>
      </c>
      <c r="V1278" s="1" t="str">
        <f>IF(U1278="Not Sampled","Not Sampled",IF(S1278=U1278,"Accurate Prediction","Inaccurate Prediction"))</f>
        <v>Not Sampled</v>
      </c>
    </row>
    <row r="1279" spans="1:22" x14ac:dyDescent="0.25">
      <c r="A1279" s="1">
        <v>1277</v>
      </c>
      <c r="B1279" s="1">
        <v>4</v>
      </c>
      <c r="C1279" s="1" t="str">
        <f>LOOKUP(B1279,Sheet2!$D$4:$E$9)</f>
        <v>3-4</v>
      </c>
      <c r="D1279" s="1">
        <v>99</v>
      </c>
      <c r="E1279" t="str">
        <f>LOOKUP(D1279,Sheet2!$G$4:$H$9)</f>
        <v>1-99</v>
      </c>
      <c r="F1279" s="1">
        <v>76</v>
      </c>
      <c r="G1279" t="str">
        <f>LOOKUP(F1279,Sheet2!$J$4:$K$8)</f>
        <v>70-79</v>
      </c>
      <c r="H1279" s="1">
        <v>15</v>
      </c>
      <c r="I1279" t="str">
        <f>LOOKUP(H1279,Sheet2!$M$4:$N$8)</f>
        <v>10-30</v>
      </c>
      <c r="J1279" s="1">
        <v>51</v>
      </c>
      <c r="K1279" t="str">
        <f>LOOKUP(J1279,Sheet2!$P$4:$Q$9)</f>
        <v>1-99</v>
      </c>
      <c r="L1279" s="1">
        <v>23.2</v>
      </c>
      <c r="M1279" t="str">
        <f>LOOKUP(L1279,Sheet2!$S$4:$T$8)</f>
        <v>1-25</v>
      </c>
      <c r="N1279" s="1">
        <v>0.223</v>
      </c>
      <c r="O1279" t="str">
        <f>LOOKUP(N1279,Sheet2!$V$4:$W$7)</f>
        <v>0.0 - 0.249</v>
      </c>
      <c r="P1279" s="1">
        <v>21</v>
      </c>
      <c r="Q1279" t="str">
        <f>LOOKUP(P1279,Sheet2!$Z$4:$AA$7)</f>
        <v>&lt;=25</v>
      </c>
      <c r="R1279" s="1">
        <v>0</v>
      </c>
      <c r="S1279" t="str">
        <f>IF(R1279=1,"Positive","Negative")</f>
        <v>Negative</v>
      </c>
      <c r="T1279" s="1" t="str">
        <f>IFERROR(VLOOKUP(A1279,[1]diabetes_Recognition!$A:$B,2,FALSE),"Not Sampled")</f>
        <v>Not Sampled</v>
      </c>
      <c r="U1279" t="str">
        <f>IF(T1279=1,"Positive",(IF(T1279=0,"Negative","Not Sampled")))</f>
        <v>Not Sampled</v>
      </c>
      <c r="V1279" s="1" t="str">
        <f>IF(U1279="Not Sampled","Not Sampled",IF(S1279=U1279,"Accurate Prediction","Inaccurate Prediction"))</f>
        <v>Not Sampled</v>
      </c>
    </row>
    <row r="1280" spans="1:22" x14ac:dyDescent="0.25">
      <c r="A1280" s="1">
        <v>1278</v>
      </c>
      <c r="B1280" s="1">
        <v>0</v>
      </c>
      <c r="C1280" s="1">
        <f>LOOKUP(B1280,Sheet2!$D$4:$E$9)</f>
        <v>0</v>
      </c>
      <c r="D1280" s="1">
        <v>162</v>
      </c>
      <c r="E1280" t="str">
        <f>LOOKUP(D1280,Sheet2!$G$4:$H$9)</f>
        <v>151-175</v>
      </c>
      <c r="F1280" s="1">
        <v>76</v>
      </c>
      <c r="G1280" t="str">
        <f>LOOKUP(F1280,Sheet2!$J$4:$K$8)</f>
        <v>70-79</v>
      </c>
      <c r="H1280" s="1">
        <v>56</v>
      </c>
      <c r="I1280" t="str">
        <f>LOOKUP(H1280,Sheet2!$M$4:$N$8)</f>
        <v>40+</v>
      </c>
      <c r="J1280" s="1">
        <v>100</v>
      </c>
      <c r="K1280" t="str">
        <f>LOOKUP(J1280,Sheet2!$P$4:$Q$9)</f>
        <v>100-199</v>
      </c>
      <c r="L1280" s="1">
        <v>53.2</v>
      </c>
      <c r="M1280" t="str">
        <f>LOOKUP(L1280,Sheet2!$S$4:$T$8)</f>
        <v>36+</v>
      </c>
      <c r="N1280" s="1">
        <v>0.75900000000000001</v>
      </c>
      <c r="O1280" t="str">
        <f>LOOKUP(N1280,Sheet2!$V$4:$W$7)</f>
        <v>0.7+</v>
      </c>
      <c r="P1280" s="1">
        <v>25</v>
      </c>
      <c r="Q1280" t="str">
        <f>LOOKUP(P1280,Sheet2!$Z$4:$AA$7)</f>
        <v>&lt;=25</v>
      </c>
      <c r="R1280" s="1">
        <v>1</v>
      </c>
      <c r="S1280" t="str">
        <f>IF(R1280=1,"Positive","Negative")</f>
        <v>Positive</v>
      </c>
      <c r="T1280" s="1" t="str">
        <f>IFERROR(VLOOKUP(A1280,[1]diabetes_Recognition!$A:$B,2,FALSE),"Not Sampled")</f>
        <v>Not Sampled</v>
      </c>
      <c r="U1280" t="str">
        <f>IF(T1280=1,"Positive",(IF(T1280=0,"Negative","Not Sampled")))</f>
        <v>Not Sampled</v>
      </c>
      <c r="V1280" s="1" t="str">
        <f>IF(U1280="Not Sampled","Not Sampled",IF(S1280=U1280,"Accurate Prediction","Inaccurate Prediction"))</f>
        <v>Not Sampled</v>
      </c>
    </row>
    <row r="1281" spans="1:22" x14ac:dyDescent="0.25">
      <c r="A1281" s="1">
        <v>1279</v>
      </c>
      <c r="B1281" s="1">
        <v>6</v>
      </c>
      <c r="C1281" s="1" t="str">
        <f>LOOKUP(B1281,Sheet2!$D$4:$E$9)</f>
        <v>5-7</v>
      </c>
      <c r="D1281" s="1">
        <v>111</v>
      </c>
      <c r="E1281" t="str">
        <f>LOOKUP(D1281,Sheet2!$G$4:$H$9)</f>
        <v>100-125</v>
      </c>
      <c r="F1281" s="1">
        <v>64</v>
      </c>
      <c r="G1281" t="str">
        <f>LOOKUP(F1281,Sheet2!$J$4:$K$8)</f>
        <v>60-69</v>
      </c>
      <c r="H1281" s="1">
        <v>39</v>
      </c>
      <c r="I1281" t="str">
        <f>LOOKUP(H1281,Sheet2!$M$4:$N$8)</f>
        <v>30-39</v>
      </c>
      <c r="J1281" s="1">
        <v>0</v>
      </c>
      <c r="K1281" t="str">
        <f>LOOKUP(J1281,Sheet2!$P$4:$Q$9)</f>
        <v>Unknown</v>
      </c>
      <c r="L1281" s="1">
        <v>34.200000000000003</v>
      </c>
      <c r="M1281" t="str">
        <f>LOOKUP(L1281,Sheet2!$S$4:$T$8)</f>
        <v>31-35</v>
      </c>
      <c r="N1281" s="1">
        <v>0.26</v>
      </c>
      <c r="O1281" t="str">
        <f>LOOKUP(N1281,Sheet2!$V$4:$W$7)</f>
        <v>0.25 - 0.39</v>
      </c>
      <c r="P1281" s="1">
        <v>24</v>
      </c>
      <c r="Q1281" t="str">
        <f>LOOKUP(P1281,Sheet2!$Z$4:$AA$7)</f>
        <v>&lt;=25</v>
      </c>
      <c r="R1281" s="1">
        <v>0</v>
      </c>
      <c r="S1281" t="str">
        <f>IF(R1281=1,"Positive","Negative")</f>
        <v>Negative</v>
      </c>
      <c r="T1281" s="1">
        <f>IFERROR(VLOOKUP(A1281,[1]diabetes_Recognition!$A:$B,2,FALSE),"Not Sampled")</f>
        <v>0</v>
      </c>
      <c r="U1281" t="str">
        <f>IF(T1281=1,"Positive",(IF(T1281=0,"Negative","Not Sampled")))</f>
        <v>Negative</v>
      </c>
      <c r="V1281" s="1" t="str">
        <f>IF(U1281="Not Sampled","Not Sampled",IF(S1281=U1281,"Accurate Prediction","Inaccurate Prediction"))</f>
        <v>Accurate Prediction</v>
      </c>
    </row>
    <row r="1282" spans="1:22" x14ac:dyDescent="0.25">
      <c r="A1282" s="1">
        <v>1280</v>
      </c>
      <c r="B1282" s="1">
        <v>2</v>
      </c>
      <c r="C1282" s="1">
        <f>LOOKUP(B1282,Sheet2!$D$4:$E$9)</f>
        <v>2</v>
      </c>
      <c r="D1282" s="1">
        <v>107</v>
      </c>
      <c r="E1282" t="str">
        <f>LOOKUP(D1282,Sheet2!$G$4:$H$9)</f>
        <v>100-125</v>
      </c>
      <c r="F1282" s="1">
        <v>74</v>
      </c>
      <c r="G1282" t="str">
        <f>LOOKUP(F1282,Sheet2!$J$4:$K$8)</f>
        <v>70-79</v>
      </c>
      <c r="H1282" s="1">
        <v>30</v>
      </c>
      <c r="I1282" t="str">
        <f>LOOKUP(H1282,Sheet2!$M$4:$N$8)</f>
        <v>30-39</v>
      </c>
      <c r="J1282" s="1">
        <v>100</v>
      </c>
      <c r="K1282" t="str">
        <f>LOOKUP(J1282,Sheet2!$P$4:$Q$9)</f>
        <v>100-199</v>
      </c>
      <c r="L1282" s="1">
        <v>33.6</v>
      </c>
      <c r="M1282" t="str">
        <f>LOOKUP(L1282,Sheet2!$S$4:$T$8)</f>
        <v>31-35</v>
      </c>
      <c r="N1282" s="1">
        <v>0.40400000000000003</v>
      </c>
      <c r="O1282" t="str">
        <f>LOOKUP(N1282,Sheet2!$V$4:$W$7)</f>
        <v>0.4 - 0.69</v>
      </c>
      <c r="P1282" s="1">
        <v>23</v>
      </c>
      <c r="Q1282" t="str">
        <f>LOOKUP(P1282,Sheet2!$Z$4:$AA$7)</f>
        <v>&lt;=25</v>
      </c>
      <c r="R1282" s="1">
        <v>0</v>
      </c>
      <c r="S1282" t="str">
        <f>IF(R1282=1,"Positive","Negative")</f>
        <v>Negative</v>
      </c>
      <c r="T1282" s="1" t="str">
        <f>IFERROR(VLOOKUP(A1282,[1]diabetes_Recognition!$A:$B,2,FALSE),"Not Sampled")</f>
        <v>Not Sampled</v>
      </c>
      <c r="U1282" t="str">
        <f>IF(T1282=1,"Positive",(IF(T1282=0,"Negative","Not Sampled")))</f>
        <v>Not Sampled</v>
      </c>
      <c r="V1282" s="1" t="str">
        <f>IF(U1282="Not Sampled","Not Sampled",IF(S1282=U1282,"Accurate Prediction","Inaccurate Prediction"))</f>
        <v>Not Sampled</v>
      </c>
    </row>
    <row r="1283" spans="1:22" x14ac:dyDescent="0.25">
      <c r="A1283" s="1">
        <v>1281</v>
      </c>
      <c r="B1283" s="1">
        <v>5</v>
      </c>
      <c r="C1283" s="1" t="str">
        <f>LOOKUP(B1283,Sheet2!$D$4:$E$9)</f>
        <v>5-7</v>
      </c>
      <c r="D1283" s="1">
        <v>132</v>
      </c>
      <c r="E1283" t="str">
        <f>LOOKUP(D1283,Sheet2!$G$4:$H$9)</f>
        <v>126-150</v>
      </c>
      <c r="F1283" s="1">
        <v>80</v>
      </c>
      <c r="G1283" t="str">
        <f>LOOKUP(F1283,Sheet2!$J$4:$K$8)</f>
        <v>80+</v>
      </c>
      <c r="H1283" s="1">
        <v>0</v>
      </c>
      <c r="I1283" t="str">
        <f>LOOKUP(H1283,Sheet2!$M$4:$N$8)</f>
        <v>Unknown</v>
      </c>
      <c r="J1283" s="1">
        <v>0</v>
      </c>
      <c r="K1283" t="str">
        <f>LOOKUP(J1283,Sheet2!$P$4:$Q$9)</f>
        <v>Unknown</v>
      </c>
      <c r="L1283" s="1">
        <v>26.8</v>
      </c>
      <c r="M1283" t="str">
        <f>LOOKUP(L1283,Sheet2!$S$4:$T$8)</f>
        <v>26-30</v>
      </c>
      <c r="N1283" s="1">
        <v>0.186</v>
      </c>
      <c r="O1283" t="str">
        <f>LOOKUP(N1283,Sheet2!$V$4:$W$7)</f>
        <v>0.0 - 0.249</v>
      </c>
      <c r="P1283" s="1">
        <v>69</v>
      </c>
      <c r="Q1283" t="str">
        <f>LOOKUP(P1283,Sheet2!$Z$4:$AA$7)</f>
        <v>46+</v>
      </c>
      <c r="R1283" s="1">
        <v>0</v>
      </c>
      <c r="S1283" t="str">
        <f>IF(R1283=1,"Positive","Negative")</f>
        <v>Negative</v>
      </c>
      <c r="T1283" s="1" t="str">
        <f>IFERROR(VLOOKUP(A1283,[1]diabetes_Recognition!$A:$B,2,FALSE),"Not Sampled")</f>
        <v>Not Sampled</v>
      </c>
      <c r="U1283" t="str">
        <f>IF(T1283=1,"Positive",(IF(T1283=0,"Negative","Not Sampled")))</f>
        <v>Not Sampled</v>
      </c>
      <c r="V1283" s="1" t="str">
        <f>IF(U1283="Not Sampled","Not Sampled",IF(S1283=U1283,"Accurate Prediction","Inaccurate Prediction"))</f>
        <v>Not Sampled</v>
      </c>
    </row>
    <row r="1284" spans="1:22" x14ac:dyDescent="0.25">
      <c r="A1284" s="1">
        <v>1282</v>
      </c>
      <c r="B1284" s="1">
        <v>0</v>
      </c>
      <c r="C1284" s="1">
        <f>LOOKUP(B1284,Sheet2!$D$4:$E$9)</f>
        <v>0</v>
      </c>
      <c r="D1284" s="1">
        <v>113</v>
      </c>
      <c r="E1284" t="str">
        <f>LOOKUP(D1284,Sheet2!$G$4:$H$9)</f>
        <v>100-125</v>
      </c>
      <c r="F1284" s="1">
        <v>76</v>
      </c>
      <c r="G1284" t="str">
        <f>LOOKUP(F1284,Sheet2!$J$4:$K$8)</f>
        <v>70-79</v>
      </c>
      <c r="H1284" s="1">
        <v>0</v>
      </c>
      <c r="I1284" t="str">
        <f>LOOKUP(H1284,Sheet2!$M$4:$N$8)</f>
        <v>Unknown</v>
      </c>
      <c r="J1284" s="1">
        <v>0</v>
      </c>
      <c r="K1284" t="str">
        <f>LOOKUP(J1284,Sheet2!$P$4:$Q$9)</f>
        <v>Unknown</v>
      </c>
      <c r="L1284" s="1">
        <v>33.299999999999997</v>
      </c>
      <c r="M1284" t="str">
        <f>LOOKUP(L1284,Sheet2!$S$4:$T$8)</f>
        <v>31-35</v>
      </c>
      <c r="N1284" s="1">
        <v>0.27800000000000002</v>
      </c>
      <c r="O1284" t="str">
        <f>LOOKUP(N1284,Sheet2!$V$4:$W$7)</f>
        <v>0.25 - 0.39</v>
      </c>
      <c r="P1284" s="1">
        <v>23</v>
      </c>
      <c r="Q1284" t="str">
        <f>LOOKUP(P1284,Sheet2!$Z$4:$AA$7)</f>
        <v>&lt;=25</v>
      </c>
      <c r="R1284" s="1">
        <v>1</v>
      </c>
      <c r="S1284" t="str">
        <f>IF(R1284=1,"Positive","Negative")</f>
        <v>Positive</v>
      </c>
      <c r="T1284" s="1">
        <f>IFERROR(VLOOKUP(A1284,[1]diabetes_Recognition!$A:$B,2,FALSE),"Not Sampled")</f>
        <v>0</v>
      </c>
      <c r="U1284" t="str">
        <f>IF(T1284=1,"Positive",(IF(T1284=0,"Negative","Not Sampled")))</f>
        <v>Negative</v>
      </c>
      <c r="V1284" s="1" t="str">
        <f>IF(U1284="Not Sampled","Not Sampled",IF(S1284=U1284,"Accurate Prediction","Inaccurate Prediction"))</f>
        <v>Inaccurate Prediction</v>
      </c>
    </row>
    <row r="1285" spans="1:22" x14ac:dyDescent="0.25">
      <c r="A1285" s="1">
        <v>1283</v>
      </c>
      <c r="B1285" s="1">
        <v>1</v>
      </c>
      <c r="C1285" s="1">
        <f>LOOKUP(B1285,Sheet2!$D$4:$E$9)</f>
        <v>1</v>
      </c>
      <c r="D1285" s="1">
        <v>88</v>
      </c>
      <c r="E1285" t="str">
        <f>LOOKUP(D1285,Sheet2!$G$4:$H$9)</f>
        <v>1-99</v>
      </c>
      <c r="F1285" s="1">
        <v>30</v>
      </c>
      <c r="G1285" t="str">
        <f>LOOKUP(F1285,Sheet2!$J$4:$K$8)</f>
        <v>1-59</v>
      </c>
      <c r="H1285" s="1">
        <v>42</v>
      </c>
      <c r="I1285" t="str">
        <f>LOOKUP(H1285,Sheet2!$M$4:$N$8)</f>
        <v>40+</v>
      </c>
      <c r="J1285" s="1">
        <v>99</v>
      </c>
      <c r="K1285" t="str">
        <f>LOOKUP(J1285,Sheet2!$P$4:$Q$9)</f>
        <v>1-99</v>
      </c>
      <c r="L1285" s="1">
        <v>55</v>
      </c>
      <c r="M1285" t="str">
        <f>LOOKUP(L1285,Sheet2!$S$4:$T$8)</f>
        <v>36+</v>
      </c>
      <c r="N1285" s="1">
        <v>0.496</v>
      </c>
      <c r="O1285" t="str">
        <f>LOOKUP(N1285,Sheet2!$V$4:$W$7)</f>
        <v>0.4 - 0.69</v>
      </c>
      <c r="P1285" s="1">
        <v>26</v>
      </c>
      <c r="Q1285" t="str">
        <f>LOOKUP(P1285,Sheet2!$Z$4:$AA$7)</f>
        <v>26-35</v>
      </c>
      <c r="R1285" s="1">
        <v>1</v>
      </c>
      <c r="S1285" t="str">
        <f>IF(R1285=1,"Positive","Negative")</f>
        <v>Positive</v>
      </c>
      <c r="T1285" s="1">
        <f>IFERROR(VLOOKUP(A1285,[1]diabetes_Recognition!$A:$B,2,FALSE),"Not Sampled")</f>
        <v>0</v>
      </c>
      <c r="U1285" t="str">
        <f>IF(T1285=1,"Positive",(IF(T1285=0,"Negative","Not Sampled")))</f>
        <v>Negative</v>
      </c>
      <c r="V1285" s="1" t="str">
        <f>IF(U1285="Not Sampled","Not Sampled",IF(S1285=U1285,"Accurate Prediction","Inaccurate Prediction"))</f>
        <v>Inaccurate Prediction</v>
      </c>
    </row>
    <row r="1286" spans="1:22" x14ac:dyDescent="0.25">
      <c r="A1286" s="1">
        <v>1284</v>
      </c>
      <c r="B1286" s="1">
        <v>3</v>
      </c>
      <c r="C1286" s="1" t="str">
        <f>LOOKUP(B1286,Sheet2!$D$4:$E$9)</f>
        <v>3-4</v>
      </c>
      <c r="D1286" s="1">
        <v>120</v>
      </c>
      <c r="E1286" t="str">
        <f>LOOKUP(D1286,Sheet2!$G$4:$H$9)</f>
        <v>100-125</v>
      </c>
      <c r="F1286" s="1">
        <v>70</v>
      </c>
      <c r="G1286" t="str">
        <f>LOOKUP(F1286,Sheet2!$J$4:$K$8)</f>
        <v>70-79</v>
      </c>
      <c r="H1286" s="1">
        <v>30</v>
      </c>
      <c r="I1286" t="str">
        <f>LOOKUP(H1286,Sheet2!$M$4:$N$8)</f>
        <v>30-39</v>
      </c>
      <c r="J1286" s="1">
        <v>135</v>
      </c>
      <c r="K1286" t="str">
        <f>LOOKUP(J1286,Sheet2!$P$4:$Q$9)</f>
        <v>100-199</v>
      </c>
      <c r="L1286" s="1">
        <v>42.9</v>
      </c>
      <c r="M1286" t="str">
        <f>LOOKUP(L1286,Sheet2!$S$4:$T$8)</f>
        <v>36+</v>
      </c>
      <c r="N1286" s="1">
        <v>0.45200000000000001</v>
      </c>
      <c r="O1286" t="str">
        <f>LOOKUP(N1286,Sheet2!$V$4:$W$7)</f>
        <v>0.4 - 0.69</v>
      </c>
      <c r="P1286" s="1">
        <v>30</v>
      </c>
      <c r="Q1286" t="str">
        <f>LOOKUP(P1286,Sheet2!$Z$4:$AA$7)</f>
        <v>26-35</v>
      </c>
      <c r="R1286" s="1">
        <v>0</v>
      </c>
      <c r="S1286" t="str">
        <f>IF(R1286=1,"Positive","Negative")</f>
        <v>Negative</v>
      </c>
      <c r="T1286" s="1" t="str">
        <f>IFERROR(VLOOKUP(A1286,[1]diabetes_Recognition!$A:$B,2,FALSE),"Not Sampled")</f>
        <v>Not Sampled</v>
      </c>
      <c r="U1286" t="str">
        <f>IF(T1286=1,"Positive",(IF(T1286=0,"Negative","Not Sampled")))</f>
        <v>Not Sampled</v>
      </c>
      <c r="V1286" s="1" t="str">
        <f>IF(U1286="Not Sampled","Not Sampled",IF(S1286=U1286,"Accurate Prediction","Inaccurate Prediction"))</f>
        <v>Not Sampled</v>
      </c>
    </row>
    <row r="1287" spans="1:22" x14ac:dyDescent="0.25">
      <c r="A1287" s="1">
        <v>1285</v>
      </c>
      <c r="B1287" s="1">
        <v>1</v>
      </c>
      <c r="C1287" s="1">
        <f>LOOKUP(B1287,Sheet2!$D$4:$E$9)</f>
        <v>1</v>
      </c>
      <c r="D1287" s="1">
        <v>118</v>
      </c>
      <c r="E1287" t="str">
        <f>LOOKUP(D1287,Sheet2!$G$4:$H$9)</f>
        <v>100-125</v>
      </c>
      <c r="F1287" s="1">
        <v>58</v>
      </c>
      <c r="G1287" t="str">
        <f>LOOKUP(F1287,Sheet2!$J$4:$K$8)</f>
        <v>1-59</v>
      </c>
      <c r="H1287" s="1">
        <v>36</v>
      </c>
      <c r="I1287" t="str">
        <f>LOOKUP(H1287,Sheet2!$M$4:$N$8)</f>
        <v>30-39</v>
      </c>
      <c r="J1287" s="1">
        <v>94</v>
      </c>
      <c r="K1287" t="str">
        <f>LOOKUP(J1287,Sheet2!$P$4:$Q$9)</f>
        <v>1-99</v>
      </c>
      <c r="L1287" s="1">
        <v>33.299999999999997</v>
      </c>
      <c r="M1287" t="str">
        <f>LOOKUP(L1287,Sheet2!$S$4:$T$8)</f>
        <v>31-35</v>
      </c>
      <c r="N1287" s="1">
        <v>0.26100000000000001</v>
      </c>
      <c r="O1287" t="str">
        <f>LOOKUP(N1287,Sheet2!$V$4:$W$7)</f>
        <v>0.25 - 0.39</v>
      </c>
      <c r="P1287" s="1">
        <v>23</v>
      </c>
      <c r="Q1287" t="str">
        <f>LOOKUP(P1287,Sheet2!$Z$4:$AA$7)</f>
        <v>&lt;=25</v>
      </c>
      <c r="R1287" s="1">
        <v>0</v>
      </c>
      <c r="S1287" t="str">
        <f>IF(R1287=1,"Positive","Negative")</f>
        <v>Negative</v>
      </c>
      <c r="T1287" s="1" t="str">
        <f>IFERROR(VLOOKUP(A1287,[1]diabetes_Recognition!$A:$B,2,FALSE),"Not Sampled")</f>
        <v>Not Sampled</v>
      </c>
      <c r="U1287" t="str">
        <f>IF(T1287=1,"Positive",(IF(T1287=0,"Negative","Not Sampled")))</f>
        <v>Not Sampled</v>
      </c>
      <c r="V1287" s="1" t="str">
        <f>IF(U1287="Not Sampled","Not Sampled",IF(S1287=U1287,"Accurate Prediction","Inaccurate Prediction"))</f>
        <v>Not Sampled</v>
      </c>
    </row>
    <row r="1288" spans="1:22" x14ac:dyDescent="0.25">
      <c r="A1288" s="1">
        <v>1286</v>
      </c>
      <c r="B1288" s="1">
        <v>1</v>
      </c>
      <c r="C1288" s="1">
        <f>LOOKUP(B1288,Sheet2!$D$4:$E$9)</f>
        <v>1</v>
      </c>
      <c r="D1288" s="1">
        <v>117</v>
      </c>
      <c r="E1288" t="str">
        <f>LOOKUP(D1288,Sheet2!$G$4:$H$9)</f>
        <v>100-125</v>
      </c>
      <c r="F1288" s="1">
        <v>88</v>
      </c>
      <c r="G1288" t="str">
        <f>LOOKUP(F1288,Sheet2!$J$4:$K$8)</f>
        <v>80+</v>
      </c>
      <c r="H1288" s="1">
        <v>24</v>
      </c>
      <c r="I1288" t="str">
        <f>LOOKUP(H1288,Sheet2!$M$4:$N$8)</f>
        <v>10-30</v>
      </c>
      <c r="J1288" s="1">
        <v>145</v>
      </c>
      <c r="K1288" t="str">
        <f>LOOKUP(J1288,Sheet2!$P$4:$Q$9)</f>
        <v>100-199</v>
      </c>
      <c r="L1288" s="1">
        <v>34.5</v>
      </c>
      <c r="M1288" t="str">
        <f>LOOKUP(L1288,Sheet2!$S$4:$T$8)</f>
        <v>31-35</v>
      </c>
      <c r="N1288" s="1">
        <v>0.40300000000000002</v>
      </c>
      <c r="O1288" t="str">
        <f>LOOKUP(N1288,Sheet2!$V$4:$W$7)</f>
        <v>0.4 - 0.69</v>
      </c>
      <c r="P1288" s="1">
        <v>40</v>
      </c>
      <c r="Q1288" t="str">
        <f>LOOKUP(P1288,Sheet2!$Z$4:$AA$7)</f>
        <v>36-45</v>
      </c>
      <c r="R1288" s="1">
        <v>1</v>
      </c>
      <c r="S1288" t="str">
        <f>IF(R1288=1,"Positive","Negative")</f>
        <v>Positive</v>
      </c>
      <c r="T1288" s="1" t="str">
        <f>IFERROR(VLOOKUP(A1288,[1]diabetes_Recognition!$A:$B,2,FALSE),"Not Sampled")</f>
        <v>Not Sampled</v>
      </c>
      <c r="U1288" t="str">
        <f>IF(T1288=1,"Positive",(IF(T1288=0,"Negative","Not Sampled")))</f>
        <v>Not Sampled</v>
      </c>
      <c r="V1288" s="1" t="str">
        <f>IF(U1288="Not Sampled","Not Sampled",IF(S1288=U1288,"Accurate Prediction","Inaccurate Prediction"))</f>
        <v>Not Sampled</v>
      </c>
    </row>
    <row r="1289" spans="1:22" x14ac:dyDescent="0.25">
      <c r="A1289" s="1">
        <v>1287</v>
      </c>
      <c r="B1289" s="1">
        <v>0</v>
      </c>
      <c r="C1289" s="1">
        <f>LOOKUP(B1289,Sheet2!$D$4:$E$9)</f>
        <v>0</v>
      </c>
      <c r="D1289" s="1">
        <v>105</v>
      </c>
      <c r="E1289" t="str">
        <f>LOOKUP(D1289,Sheet2!$G$4:$H$9)</f>
        <v>100-125</v>
      </c>
      <c r="F1289" s="1">
        <v>84</v>
      </c>
      <c r="G1289" t="str">
        <f>LOOKUP(F1289,Sheet2!$J$4:$K$8)</f>
        <v>80+</v>
      </c>
      <c r="H1289" s="1">
        <v>0</v>
      </c>
      <c r="I1289" t="str">
        <f>LOOKUP(H1289,Sheet2!$M$4:$N$8)</f>
        <v>Unknown</v>
      </c>
      <c r="J1289" s="1">
        <v>0</v>
      </c>
      <c r="K1289" t="str">
        <f>LOOKUP(J1289,Sheet2!$P$4:$Q$9)</f>
        <v>Unknown</v>
      </c>
      <c r="L1289" s="1">
        <v>27.9</v>
      </c>
      <c r="M1289" t="str">
        <f>LOOKUP(L1289,Sheet2!$S$4:$T$8)</f>
        <v>26-30</v>
      </c>
      <c r="N1289" s="1">
        <v>0.74099999999999999</v>
      </c>
      <c r="O1289" t="str">
        <f>LOOKUP(N1289,Sheet2!$V$4:$W$7)</f>
        <v>0.7+</v>
      </c>
      <c r="P1289" s="1">
        <v>62</v>
      </c>
      <c r="Q1289" t="str">
        <f>LOOKUP(P1289,Sheet2!$Z$4:$AA$7)</f>
        <v>46+</v>
      </c>
      <c r="R1289" s="1">
        <v>1</v>
      </c>
      <c r="S1289" t="str">
        <f>IF(R1289=1,"Positive","Negative")</f>
        <v>Positive</v>
      </c>
      <c r="T1289" s="1" t="str">
        <f>IFERROR(VLOOKUP(A1289,[1]diabetes_Recognition!$A:$B,2,FALSE),"Not Sampled")</f>
        <v>Not Sampled</v>
      </c>
      <c r="U1289" t="str">
        <f>IF(T1289=1,"Positive",(IF(T1289=0,"Negative","Not Sampled")))</f>
        <v>Not Sampled</v>
      </c>
      <c r="V1289" s="1" t="str">
        <f>IF(U1289="Not Sampled","Not Sampled",IF(S1289=U1289,"Accurate Prediction","Inaccurate Prediction"))</f>
        <v>Not Sampled</v>
      </c>
    </row>
    <row r="1290" spans="1:22" x14ac:dyDescent="0.25">
      <c r="A1290" s="1">
        <v>1288</v>
      </c>
      <c r="B1290" s="1">
        <v>4</v>
      </c>
      <c r="C1290" s="1" t="str">
        <f>LOOKUP(B1290,Sheet2!$D$4:$E$9)</f>
        <v>3-4</v>
      </c>
      <c r="D1290" s="1">
        <v>173</v>
      </c>
      <c r="E1290" t="str">
        <f>LOOKUP(D1290,Sheet2!$G$4:$H$9)</f>
        <v>151-175</v>
      </c>
      <c r="F1290" s="1">
        <v>70</v>
      </c>
      <c r="G1290" t="str">
        <f>LOOKUP(F1290,Sheet2!$J$4:$K$8)</f>
        <v>70-79</v>
      </c>
      <c r="H1290" s="1">
        <v>14</v>
      </c>
      <c r="I1290" t="str">
        <f>LOOKUP(H1290,Sheet2!$M$4:$N$8)</f>
        <v>10-30</v>
      </c>
      <c r="J1290" s="1">
        <v>168</v>
      </c>
      <c r="K1290" t="str">
        <f>LOOKUP(J1290,Sheet2!$P$4:$Q$9)</f>
        <v>100-199</v>
      </c>
      <c r="L1290" s="1">
        <v>29.7</v>
      </c>
      <c r="M1290" t="str">
        <f>LOOKUP(L1290,Sheet2!$S$4:$T$8)</f>
        <v>26-30</v>
      </c>
      <c r="N1290" s="1">
        <v>0.36099999999999999</v>
      </c>
      <c r="O1290" t="str">
        <f>LOOKUP(N1290,Sheet2!$V$4:$W$7)</f>
        <v>0.25 - 0.39</v>
      </c>
      <c r="P1290" s="1">
        <v>33</v>
      </c>
      <c r="Q1290" t="str">
        <f>LOOKUP(P1290,Sheet2!$Z$4:$AA$7)</f>
        <v>26-35</v>
      </c>
      <c r="R1290" s="1">
        <v>1</v>
      </c>
      <c r="S1290" t="str">
        <f>IF(R1290=1,"Positive","Negative")</f>
        <v>Positive</v>
      </c>
      <c r="T1290" s="1" t="str">
        <f>IFERROR(VLOOKUP(A1290,[1]diabetes_Recognition!$A:$B,2,FALSE),"Not Sampled")</f>
        <v>Not Sampled</v>
      </c>
      <c r="U1290" t="str">
        <f>IF(T1290=1,"Positive",(IF(T1290=0,"Negative","Not Sampled")))</f>
        <v>Not Sampled</v>
      </c>
      <c r="V1290" s="1" t="str">
        <f>IF(U1290="Not Sampled","Not Sampled",IF(S1290=U1290,"Accurate Prediction","Inaccurate Prediction"))</f>
        <v>Not Sampled</v>
      </c>
    </row>
    <row r="1291" spans="1:22" x14ac:dyDescent="0.25">
      <c r="A1291" s="1">
        <v>1289</v>
      </c>
      <c r="B1291" s="1">
        <v>9</v>
      </c>
      <c r="C1291" s="1" t="str">
        <f>LOOKUP(B1291,Sheet2!$D$4:$E$9)</f>
        <v>8+</v>
      </c>
      <c r="D1291" s="1">
        <v>122</v>
      </c>
      <c r="E1291" t="str">
        <f>LOOKUP(D1291,Sheet2!$G$4:$H$9)</f>
        <v>100-125</v>
      </c>
      <c r="F1291" s="1">
        <v>56</v>
      </c>
      <c r="G1291" t="str">
        <f>LOOKUP(F1291,Sheet2!$J$4:$K$8)</f>
        <v>1-59</v>
      </c>
      <c r="H1291" s="1">
        <v>0</v>
      </c>
      <c r="I1291" t="str">
        <f>LOOKUP(H1291,Sheet2!$M$4:$N$8)</f>
        <v>Unknown</v>
      </c>
      <c r="J1291" s="1">
        <v>0</v>
      </c>
      <c r="K1291" t="str">
        <f>LOOKUP(J1291,Sheet2!$P$4:$Q$9)</f>
        <v>Unknown</v>
      </c>
      <c r="L1291" s="1">
        <v>33.299999999999997</v>
      </c>
      <c r="M1291" t="str">
        <f>LOOKUP(L1291,Sheet2!$S$4:$T$8)</f>
        <v>31-35</v>
      </c>
      <c r="N1291" s="1">
        <v>1.1140000000000001</v>
      </c>
      <c r="O1291" t="str">
        <f>LOOKUP(N1291,Sheet2!$V$4:$W$7)</f>
        <v>0.7+</v>
      </c>
      <c r="P1291" s="1">
        <v>33</v>
      </c>
      <c r="Q1291" t="str">
        <f>LOOKUP(P1291,Sheet2!$Z$4:$AA$7)</f>
        <v>26-35</v>
      </c>
      <c r="R1291" s="1">
        <v>1</v>
      </c>
      <c r="S1291" t="str">
        <f>IF(R1291=1,"Positive","Negative")</f>
        <v>Positive</v>
      </c>
      <c r="T1291" s="1" t="str">
        <f>IFERROR(VLOOKUP(A1291,[1]diabetes_Recognition!$A:$B,2,FALSE),"Not Sampled")</f>
        <v>Not Sampled</v>
      </c>
      <c r="U1291" t="str">
        <f>IF(T1291=1,"Positive",(IF(T1291=0,"Negative","Not Sampled")))</f>
        <v>Not Sampled</v>
      </c>
      <c r="V1291" s="1" t="str">
        <f>IF(U1291="Not Sampled","Not Sampled",IF(S1291=U1291,"Accurate Prediction","Inaccurate Prediction"))</f>
        <v>Not Sampled</v>
      </c>
    </row>
    <row r="1292" spans="1:22" x14ac:dyDescent="0.25">
      <c r="A1292" s="1">
        <v>1290</v>
      </c>
      <c r="B1292" s="1">
        <v>3</v>
      </c>
      <c r="C1292" s="1" t="str">
        <f>LOOKUP(B1292,Sheet2!$D$4:$E$9)</f>
        <v>3-4</v>
      </c>
      <c r="D1292" s="1">
        <v>170</v>
      </c>
      <c r="E1292" t="str">
        <f>LOOKUP(D1292,Sheet2!$G$4:$H$9)</f>
        <v>151-175</v>
      </c>
      <c r="F1292" s="1">
        <v>64</v>
      </c>
      <c r="G1292" t="str">
        <f>LOOKUP(F1292,Sheet2!$J$4:$K$8)</f>
        <v>60-69</v>
      </c>
      <c r="H1292" s="1">
        <v>37</v>
      </c>
      <c r="I1292" t="str">
        <f>LOOKUP(H1292,Sheet2!$M$4:$N$8)</f>
        <v>30-39</v>
      </c>
      <c r="J1292" s="1">
        <v>225</v>
      </c>
      <c r="K1292" t="str">
        <f>LOOKUP(J1292,Sheet2!$P$4:$Q$9)</f>
        <v>200-399</v>
      </c>
      <c r="L1292" s="1">
        <v>34.5</v>
      </c>
      <c r="M1292" t="str">
        <f>LOOKUP(L1292,Sheet2!$S$4:$T$8)</f>
        <v>31-35</v>
      </c>
      <c r="N1292" s="1">
        <v>0.35599999999999998</v>
      </c>
      <c r="O1292" t="str">
        <f>LOOKUP(N1292,Sheet2!$V$4:$W$7)</f>
        <v>0.25 - 0.39</v>
      </c>
      <c r="P1292" s="1">
        <v>30</v>
      </c>
      <c r="Q1292" t="str">
        <f>LOOKUP(P1292,Sheet2!$Z$4:$AA$7)</f>
        <v>26-35</v>
      </c>
      <c r="R1292" s="1">
        <v>1</v>
      </c>
      <c r="S1292" t="str">
        <f>IF(R1292=1,"Positive","Negative")</f>
        <v>Positive</v>
      </c>
      <c r="T1292" s="1" t="str">
        <f>IFERROR(VLOOKUP(A1292,[1]diabetes_Recognition!$A:$B,2,FALSE),"Not Sampled")</f>
        <v>Not Sampled</v>
      </c>
      <c r="U1292" t="str">
        <f>IF(T1292=1,"Positive",(IF(T1292=0,"Negative","Not Sampled")))</f>
        <v>Not Sampled</v>
      </c>
      <c r="V1292" s="1" t="str">
        <f>IF(U1292="Not Sampled","Not Sampled",IF(S1292=U1292,"Accurate Prediction","Inaccurate Prediction"))</f>
        <v>Not Sampled</v>
      </c>
    </row>
    <row r="1293" spans="1:22" x14ac:dyDescent="0.25">
      <c r="A1293" s="1">
        <v>1291</v>
      </c>
      <c r="B1293" s="1">
        <v>8</v>
      </c>
      <c r="C1293" s="1" t="str">
        <f>LOOKUP(B1293,Sheet2!$D$4:$E$9)</f>
        <v>8+</v>
      </c>
      <c r="D1293" s="1">
        <v>84</v>
      </c>
      <c r="E1293" t="str">
        <f>LOOKUP(D1293,Sheet2!$G$4:$H$9)</f>
        <v>1-99</v>
      </c>
      <c r="F1293" s="1">
        <v>74</v>
      </c>
      <c r="G1293" t="str">
        <f>LOOKUP(F1293,Sheet2!$J$4:$K$8)</f>
        <v>70-79</v>
      </c>
      <c r="H1293" s="1">
        <v>31</v>
      </c>
      <c r="I1293" t="str">
        <f>LOOKUP(H1293,Sheet2!$M$4:$N$8)</f>
        <v>30-39</v>
      </c>
      <c r="J1293" s="1">
        <v>0</v>
      </c>
      <c r="K1293" t="str">
        <f>LOOKUP(J1293,Sheet2!$P$4:$Q$9)</f>
        <v>Unknown</v>
      </c>
      <c r="L1293" s="1">
        <v>38.299999999999997</v>
      </c>
      <c r="M1293" t="str">
        <f>LOOKUP(L1293,Sheet2!$S$4:$T$8)</f>
        <v>36+</v>
      </c>
      <c r="N1293" s="1">
        <v>0.45700000000000002</v>
      </c>
      <c r="O1293" t="str">
        <f>LOOKUP(N1293,Sheet2!$V$4:$W$7)</f>
        <v>0.4 - 0.69</v>
      </c>
      <c r="P1293" s="1">
        <v>39</v>
      </c>
      <c r="Q1293" t="str">
        <f>LOOKUP(P1293,Sheet2!$Z$4:$AA$7)</f>
        <v>36-45</v>
      </c>
      <c r="R1293" s="1">
        <v>0</v>
      </c>
      <c r="S1293" t="str">
        <f>IF(R1293=1,"Positive","Negative")</f>
        <v>Negative</v>
      </c>
      <c r="T1293" s="1">
        <f>IFERROR(VLOOKUP(A1293,[1]diabetes_Recognition!$A:$B,2,FALSE),"Not Sampled")</f>
        <v>0</v>
      </c>
      <c r="U1293" t="str">
        <f>IF(T1293=1,"Positive",(IF(T1293=0,"Negative","Not Sampled")))</f>
        <v>Negative</v>
      </c>
      <c r="V1293" s="1" t="str">
        <f>IF(U1293="Not Sampled","Not Sampled",IF(S1293=U1293,"Accurate Prediction","Inaccurate Prediction"))</f>
        <v>Accurate Prediction</v>
      </c>
    </row>
    <row r="1294" spans="1:22" x14ac:dyDescent="0.25">
      <c r="A1294" s="1">
        <v>1292</v>
      </c>
      <c r="B1294" s="1">
        <v>2</v>
      </c>
      <c r="C1294" s="1">
        <f>LOOKUP(B1294,Sheet2!$D$4:$E$9)</f>
        <v>2</v>
      </c>
      <c r="D1294" s="1">
        <v>96</v>
      </c>
      <c r="E1294" t="str">
        <f>LOOKUP(D1294,Sheet2!$G$4:$H$9)</f>
        <v>1-99</v>
      </c>
      <c r="F1294" s="1">
        <v>68</v>
      </c>
      <c r="G1294" t="str">
        <f>LOOKUP(F1294,Sheet2!$J$4:$K$8)</f>
        <v>60-69</v>
      </c>
      <c r="H1294" s="1">
        <v>13</v>
      </c>
      <c r="I1294" t="str">
        <f>LOOKUP(H1294,Sheet2!$M$4:$N$8)</f>
        <v>10-30</v>
      </c>
      <c r="J1294" s="1">
        <v>49</v>
      </c>
      <c r="K1294" t="str">
        <f>LOOKUP(J1294,Sheet2!$P$4:$Q$9)</f>
        <v>1-99</v>
      </c>
      <c r="L1294" s="1">
        <v>21.1</v>
      </c>
      <c r="M1294" t="str">
        <f>LOOKUP(L1294,Sheet2!$S$4:$T$8)</f>
        <v>1-25</v>
      </c>
      <c r="N1294" s="1">
        <v>0.64700000000000002</v>
      </c>
      <c r="O1294" t="str">
        <f>LOOKUP(N1294,Sheet2!$V$4:$W$7)</f>
        <v>0.4 - 0.69</v>
      </c>
      <c r="P1294" s="1">
        <v>26</v>
      </c>
      <c r="Q1294" t="str">
        <f>LOOKUP(P1294,Sheet2!$Z$4:$AA$7)</f>
        <v>26-35</v>
      </c>
      <c r="R1294" s="1">
        <v>0</v>
      </c>
      <c r="S1294" t="str">
        <f>IF(R1294=1,"Positive","Negative")</f>
        <v>Negative</v>
      </c>
      <c r="T1294" s="1" t="str">
        <f>IFERROR(VLOOKUP(A1294,[1]diabetes_Recognition!$A:$B,2,FALSE),"Not Sampled")</f>
        <v>Not Sampled</v>
      </c>
      <c r="U1294" t="str">
        <f>IF(T1294=1,"Positive",(IF(T1294=0,"Negative","Not Sampled")))</f>
        <v>Not Sampled</v>
      </c>
      <c r="V1294" s="1" t="str">
        <f>IF(U1294="Not Sampled","Not Sampled",IF(S1294=U1294,"Accurate Prediction","Inaccurate Prediction"))</f>
        <v>Not Sampled</v>
      </c>
    </row>
    <row r="1295" spans="1:22" x14ac:dyDescent="0.25">
      <c r="A1295" s="1">
        <v>1293</v>
      </c>
      <c r="B1295" s="1">
        <v>2</v>
      </c>
      <c r="C1295" s="1">
        <f>LOOKUP(B1295,Sheet2!$D$4:$E$9)</f>
        <v>2</v>
      </c>
      <c r="D1295" s="1">
        <v>125</v>
      </c>
      <c r="E1295" t="str">
        <f>LOOKUP(D1295,Sheet2!$G$4:$H$9)</f>
        <v>100-125</v>
      </c>
      <c r="F1295" s="1">
        <v>60</v>
      </c>
      <c r="G1295" t="str">
        <f>LOOKUP(F1295,Sheet2!$J$4:$K$8)</f>
        <v>60-69</v>
      </c>
      <c r="H1295" s="1">
        <v>20</v>
      </c>
      <c r="I1295" t="str">
        <f>LOOKUP(H1295,Sheet2!$M$4:$N$8)</f>
        <v>10-30</v>
      </c>
      <c r="J1295" s="1">
        <v>140</v>
      </c>
      <c r="K1295" t="str">
        <f>LOOKUP(J1295,Sheet2!$P$4:$Q$9)</f>
        <v>100-199</v>
      </c>
      <c r="L1295" s="1">
        <v>33.799999999999997</v>
      </c>
      <c r="M1295" t="str">
        <f>LOOKUP(L1295,Sheet2!$S$4:$T$8)</f>
        <v>31-35</v>
      </c>
      <c r="N1295" s="1">
        <v>8.7999999999999995E-2</v>
      </c>
      <c r="O1295" t="str">
        <f>LOOKUP(N1295,Sheet2!$V$4:$W$7)</f>
        <v>0.0 - 0.249</v>
      </c>
      <c r="P1295" s="1">
        <v>31</v>
      </c>
      <c r="Q1295" t="str">
        <f>LOOKUP(P1295,Sheet2!$Z$4:$AA$7)</f>
        <v>26-35</v>
      </c>
      <c r="R1295" s="1">
        <v>0</v>
      </c>
      <c r="S1295" t="str">
        <f>IF(R1295=1,"Positive","Negative")</f>
        <v>Negative</v>
      </c>
      <c r="T1295" s="1" t="str">
        <f>IFERROR(VLOOKUP(A1295,[1]diabetes_Recognition!$A:$B,2,FALSE),"Not Sampled")</f>
        <v>Not Sampled</v>
      </c>
      <c r="U1295" t="str">
        <f>IF(T1295=1,"Positive",(IF(T1295=0,"Negative","Not Sampled")))</f>
        <v>Not Sampled</v>
      </c>
      <c r="V1295" s="1" t="str">
        <f>IF(U1295="Not Sampled","Not Sampled",IF(S1295=U1295,"Accurate Prediction","Inaccurate Prediction"))</f>
        <v>Not Sampled</v>
      </c>
    </row>
    <row r="1296" spans="1:22" x14ac:dyDescent="0.25">
      <c r="A1296" s="1">
        <v>1294</v>
      </c>
      <c r="B1296" s="1">
        <v>0</v>
      </c>
      <c r="C1296" s="1">
        <f>LOOKUP(B1296,Sheet2!$D$4:$E$9)</f>
        <v>0</v>
      </c>
      <c r="D1296" s="1">
        <v>100</v>
      </c>
      <c r="E1296" t="str">
        <f>LOOKUP(D1296,Sheet2!$G$4:$H$9)</f>
        <v>100-125</v>
      </c>
      <c r="F1296" s="1">
        <v>70</v>
      </c>
      <c r="G1296" t="str">
        <f>LOOKUP(F1296,Sheet2!$J$4:$K$8)</f>
        <v>70-79</v>
      </c>
      <c r="H1296" s="1">
        <v>26</v>
      </c>
      <c r="I1296" t="str">
        <f>LOOKUP(H1296,Sheet2!$M$4:$N$8)</f>
        <v>10-30</v>
      </c>
      <c r="J1296" s="1">
        <v>50</v>
      </c>
      <c r="K1296" t="str">
        <f>LOOKUP(J1296,Sheet2!$P$4:$Q$9)</f>
        <v>1-99</v>
      </c>
      <c r="L1296" s="1">
        <v>30.8</v>
      </c>
      <c r="M1296" t="str">
        <f>LOOKUP(L1296,Sheet2!$S$4:$T$8)</f>
        <v>26-30</v>
      </c>
      <c r="N1296" s="1">
        <v>0.59699999999999998</v>
      </c>
      <c r="O1296" t="str">
        <f>LOOKUP(N1296,Sheet2!$V$4:$W$7)</f>
        <v>0.4 - 0.69</v>
      </c>
      <c r="P1296" s="1">
        <v>21</v>
      </c>
      <c r="Q1296" t="str">
        <f>LOOKUP(P1296,Sheet2!$Z$4:$AA$7)</f>
        <v>&lt;=25</v>
      </c>
      <c r="R1296" s="1">
        <v>0</v>
      </c>
      <c r="S1296" t="str">
        <f>IF(R1296=1,"Positive","Negative")</f>
        <v>Negative</v>
      </c>
      <c r="T1296" s="1" t="str">
        <f>IFERROR(VLOOKUP(A1296,[1]diabetes_Recognition!$A:$B,2,FALSE),"Not Sampled")</f>
        <v>Not Sampled</v>
      </c>
      <c r="U1296" t="str">
        <f>IF(T1296=1,"Positive",(IF(T1296=0,"Negative","Not Sampled")))</f>
        <v>Not Sampled</v>
      </c>
      <c r="V1296" s="1" t="str">
        <f>IF(U1296="Not Sampled","Not Sampled",IF(S1296=U1296,"Accurate Prediction","Inaccurate Prediction"))</f>
        <v>Not Sampled</v>
      </c>
    </row>
    <row r="1297" spans="1:22" x14ac:dyDescent="0.25">
      <c r="A1297" s="1">
        <v>1295</v>
      </c>
      <c r="B1297" s="1">
        <v>0</v>
      </c>
      <c r="C1297" s="1">
        <f>LOOKUP(B1297,Sheet2!$D$4:$E$9)</f>
        <v>0</v>
      </c>
      <c r="D1297" s="1">
        <v>93</v>
      </c>
      <c r="E1297" t="str">
        <f>LOOKUP(D1297,Sheet2!$G$4:$H$9)</f>
        <v>1-99</v>
      </c>
      <c r="F1297" s="1">
        <v>60</v>
      </c>
      <c r="G1297" t="str">
        <f>LOOKUP(F1297,Sheet2!$J$4:$K$8)</f>
        <v>60-69</v>
      </c>
      <c r="H1297" s="1">
        <v>25</v>
      </c>
      <c r="I1297" t="str">
        <f>LOOKUP(H1297,Sheet2!$M$4:$N$8)</f>
        <v>10-30</v>
      </c>
      <c r="J1297" s="1">
        <v>92</v>
      </c>
      <c r="K1297" t="str">
        <f>LOOKUP(J1297,Sheet2!$P$4:$Q$9)</f>
        <v>1-99</v>
      </c>
      <c r="L1297" s="1">
        <v>28.7</v>
      </c>
      <c r="M1297" t="str">
        <f>LOOKUP(L1297,Sheet2!$S$4:$T$8)</f>
        <v>26-30</v>
      </c>
      <c r="N1297" s="1">
        <v>0.53200000000000003</v>
      </c>
      <c r="O1297" t="str">
        <f>LOOKUP(N1297,Sheet2!$V$4:$W$7)</f>
        <v>0.4 - 0.69</v>
      </c>
      <c r="P1297" s="1">
        <v>22</v>
      </c>
      <c r="Q1297" t="str">
        <f>LOOKUP(P1297,Sheet2!$Z$4:$AA$7)</f>
        <v>&lt;=25</v>
      </c>
      <c r="R1297" s="1">
        <v>0</v>
      </c>
      <c r="S1297" t="str">
        <f>IF(R1297=1,"Positive","Negative")</f>
        <v>Negative</v>
      </c>
      <c r="T1297" s="1" t="str">
        <f>IFERROR(VLOOKUP(A1297,[1]diabetes_Recognition!$A:$B,2,FALSE),"Not Sampled")</f>
        <v>Not Sampled</v>
      </c>
      <c r="U1297" t="str">
        <f>IF(T1297=1,"Positive",(IF(T1297=0,"Negative","Not Sampled")))</f>
        <v>Not Sampled</v>
      </c>
      <c r="V1297" s="1" t="str">
        <f>IF(U1297="Not Sampled","Not Sampled",IF(S1297=U1297,"Accurate Prediction","Inaccurate Prediction"))</f>
        <v>Not Sampled</v>
      </c>
    </row>
    <row r="1298" spans="1:22" x14ac:dyDescent="0.25">
      <c r="A1298" s="1">
        <v>1296</v>
      </c>
      <c r="B1298" s="1">
        <v>0</v>
      </c>
      <c r="C1298" s="1">
        <f>LOOKUP(B1298,Sheet2!$D$4:$E$9)</f>
        <v>0</v>
      </c>
      <c r="D1298" s="1">
        <v>129</v>
      </c>
      <c r="E1298" t="str">
        <f>LOOKUP(D1298,Sheet2!$G$4:$H$9)</f>
        <v>126-150</v>
      </c>
      <c r="F1298" s="1">
        <v>80</v>
      </c>
      <c r="G1298" t="str">
        <f>LOOKUP(F1298,Sheet2!$J$4:$K$8)</f>
        <v>80+</v>
      </c>
      <c r="H1298" s="1">
        <v>0</v>
      </c>
      <c r="I1298" t="str">
        <f>LOOKUP(H1298,Sheet2!$M$4:$N$8)</f>
        <v>Unknown</v>
      </c>
      <c r="J1298" s="1">
        <v>0</v>
      </c>
      <c r="K1298" t="str">
        <f>LOOKUP(J1298,Sheet2!$P$4:$Q$9)</f>
        <v>Unknown</v>
      </c>
      <c r="L1298" s="1">
        <v>31.2</v>
      </c>
      <c r="M1298" t="str">
        <f>LOOKUP(L1298,Sheet2!$S$4:$T$8)</f>
        <v>31-35</v>
      </c>
      <c r="N1298" s="1">
        <v>0.70299999999999996</v>
      </c>
      <c r="O1298" t="str">
        <f>LOOKUP(N1298,Sheet2!$V$4:$W$7)</f>
        <v>0.7+</v>
      </c>
      <c r="P1298" s="1">
        <v>29</v>
      </c>
      <c r="Q1298" t="str">
        <f>LOOKUP(P1298,Sheet2!$Z$4:$AA$7)</f>
        <v>26-35</v>
      </c>
      <c r="R1298" s="1">
        <v>0</v>
      </c>
      <c r="S1298" t="str">
        <f>IF(R1298=1,"Positive","Negative")</f>
        <v>Negative</v>
      </c>
      <c r="T1298" s="1" t="str">
        <f>IFERROR(VLOOKUP(A1298,[1]diabetes_Recognition!$A:$B,2,FALSE),"Not Sampled")</f>
        <v>Not Sampled</v>
      </c>
      <c r="U1298" t="str">
        <f>IF(T1298=1,"Positive",(IF(T1298=0,"Negative","Not Sampled")))</f>
        <v>Not Sampled</v>
      </c>
      <c r="V1298" s="1" t="str">
        <f>IF(U1298="Not Sampled","Not Sampled",IF(S1298=U1298,"Accurate Prediction","Inaccurate Prediction"))</f>
        <v>Not Sampled</v>
      </c>
    </row>
    <row r="1299" spans="1:22" x14ac:dyDescent="0.25">
      <c r="A1299" s="1">
        <v>1297</v>
      </c>
      <c r="B1299" s="1">
        <v>5</v>
      </c>
      <c r="C1299" s="1" t="str">
        <f>LOOKUP(B1299,Sheet2!$D$4:$E$9)</f>
        <v>5-7</v>
      </c>
      <c r="D1299" s="1">
        <v>105</v>
      </c>
      <c r="E1299" t="str">
        <f>LOOKUP(D1299,Sheet2!$G$4:$H$9)</f>
        <v>100-125</v>
      </c>
      <c r="F1299" s="1">
        <v>72</v>
      </c>
      <c r="G1299" t="str">
        <f>LOOKUP(F1299,Sheet2!$J$4:$K$8)</f>
        <v>70-79</v>
      </c>
      <c r="H1299" s="1">
        <v>29</v>
      </c>
      <c r="I1299" t="str">
        <f>LOOKUP(H1299,Sheet2!$M$4:$N$8)</f>
        <v>10-30</v>
      </c>
      <c r="J1299" s="1">
        <v>325</v>
      </c>
      <c r="K1299" t="str">
        <f>LOOKUP(J1299,Sheet2!$P$4:$Q$9)</f>
        <v>300-499</v>
      </c>
      <c r="L1299" s="1">
        <v>36.9</v>
      </c>
      <c r="M1299" t="str">
        <f>LOOKUP(L1299,Sheet2!$S$4:$T$8)</f>
        <v>36+</v>
      </c>
      <c r="N1299" s="1">
        <v>0.159</v>
      </c>
      <c r="O1299" t="str">
        <f>LOOKUP(N1299,Sheet2!$V$4:$W$7)</f>
        <v>0.0 - 0.249</v>
      </c>
      <c r="P1299" s="1">
        <v>28</v>
      </c>
      <c r="Q1299" t="str">
        <f>LOOKUP(P1299,Sheet2!$Z$4:$AA$7)</f>
        <v>26-35</v>
      </c>
      <c r="R1299" s="1">
        <v>0</v>
      </c>
      <c r="S1299" t="str">
        <f>IF(R1299=1,"Positive","Negative")</f>
        <v>Negative</v>
      </c>
      <c r="T1299" s="1">
        <f>IFERROR(VLOOKUP(A1299,[1]diabetes_Recognition!$A:$B,2,FALSE),"Not Sampled")</f>
        <v>0</v>
      </c>
      <c r="U1299" t="str">
        <f>IF(T1299=1,"Positive",(IF(T1299=0,"Negative","Not Sampled")))</f>
        <v>Negative</v>
      </c>
      <c r="V1299" s="1" t="str">
        <f>IF(U1299="Not Sampled","Not Sampled",IF(S1299=U1299,"Accurate Prediction","Inaccurate Prediction"))</f>
        <v>Accurate Prediction</v>
      </c>
    </row>
    <row r="1300" spans="1:22" x14ac:dyDescent="0.25">
      <c r="A1300" s="1">
        <v>1298</v>
      </c>
      <c r="B1300" s="1">
        <v>3</v>
      </c>
      <c r="C1300" s="1" t="str">
        <f>LOOKUP(B1300,Sheet2!$D$4:$E$9)</f>
        <v>3-4</v>
      </c>
      <c r="D1300" s="1">
        <v>128</v>
      </c>
      <c r="E1300" t="str">
        <f>LOOKUP(D1300,Sheet2!$G$4:$H$9)</f>
        <v>126-150</v>
      </c>
      <c r="F1300" s="1">
        <v>78</v>
      </c>
      <c r="G1300" t="str">
        <f>LOOKUP(F1300,Sheet2!$J$4:$K$8)</f>
        <v>70-79</v>
      </c>
      <c r="H1300" s="1">
        <v>0</v>
      </c>
      <c r="I1300" t="str">
        <f>LOOKUP(H1300,Sheet2!$M$4:$N$8)</f>
        <v>Unknown</v>
      </c>
      <c r="J1300" s="1">
        <v>0</v>
      </c>
      <c r="K1300" t="str">
        <f>LOOKUP(J1300,Sheet2!$P$4:$Q$9)</f>
        <v>Unknown</v>
      </c>
      <c r="L1300" s="1">
        <v>21.1</v>
      </c>
      <c r="M1300" t="str">
        <f>LOOKUP(L1300,Sheet2!$S$4:$T$8)</f>
        <v>1-25</v>
      </c>
      <c r="N1300" s="1">
        <v>0.26800000000000002</v>
      </c>
      <c r="O1300" t="str">
        <f>LOOKUP(N1300,Sheet2!$V$4:$W$7)</f>
        <v>0.25 - 0.39</v>
      </c>
      <c r="P1300" s="1">
        <v>55</v>
      </c>
      <c r="Q1300" t="str">
        <f>LOOKUP(P1300,Sheet2!$Z$4:$AA$7)</f>
        <v>46+</v>
      </c>
      <c r="R1300" s="1">
        <v>0</v>
      </c>
      <c r="S1300" t="str">
        <f>IF(R1300=1,"Positive","Negative")</f>
        <v>Negative</v>
      </c>
      <c r="T1300" s="1">
        <f>IFERROR(VLOOKUP(A1300,[1]diabetes_Recognition!$A:$B,2,FALSE),"Not Sampled")</f>
        <v>0</v>
      </c>
      <c r="U1300" t="str">
        <f>IF(T1300=1,"Positive",(IF(T1300=0,"Negative","Not Sampled")))</f>
        <v>Negative</v>
      </c>
      <c r="V1300" s="1" t="str">
        <f>IF(U1300="Not Sampled","Not Sampled",IF(S1300=U1300,"Accurate Prediction","Inaccurate Prediction"))</f>
        <v>Accurate Prediction</v>
      </c>
    </row>
    <row r="1301" spans="1:22" x14ac:dyDescent="0.25">
      <c r="A1301" s="1">
        <v>1299</v>
      </c>
      <c r="B1301" s="1">
        <v>5</v>
      </c>
      <c r="C1301" s="1" t="str">
        <f>LOOKUP(B1301,Sheet2!$D$4:$E$9)</f>
        <v>5-7</v>
      </c>
      <c r="D1301" s="1">
        <v>106</v>
      </c>
      <c r="E1301" t="str">
        <f>LOOKUP(D1301,Sheet2!$G$4:$H$9)</f>
        <v>100-125</v>
      </c>
      <c r="F1301" s="1">
        <v>82</v>
      </c>
      <c r="G1301" t="str">
        <f>LOOKUP(F1301,Sheet2!$J$4:$K$8)</f>
        <v>80+</v>
      </c>
      <c r="H1301" s="1">
        <v>30</v>
      </c>
      <c r="I1301" t="str">
        <f>LOOKUP(H1301,Sheet2!$M$4:$N$8)</f>
        <v>30-39</v>
      </c>
      <c r="J1301" s="1">
        <v>0</v>
      </c>
      <c r="K1301" t="str">
        <f>LOOKUP(J1301,Sheet2!$P$4:$Q$9)</f>
        <v>Unknown</v>
      </c>
      <c r="L1301" s="1">
        <v>39.5</v>
      </c>
      <c r="M1301" t="str">
        <f>LOOKUP(L1301,Sheet2!$S$4:$T$8)</f>
        <v>36+</v>
      </c>
      <c r="N1301" s="1">
        <v>0.28599999999999998</v>
      </c>
      <c r="O1301" t="str">
        <f>LOOKUP(N1301,Sheet2!$V$4:$W$7)</f>
        <v>0.25 - 0.39</v>
      </c>
      <c r="P1301" s="1">
        <v>38</v>
      </c>
      <c r="Q1301" t="str">
        <f>LOOKUP(P1301,Sheet2!$Z$4:$AA$7)</f>
        <v>36-45</v>
      </c>
      <c r="R1301" s="1">
        <v>0</v>
      </c>
      <c r="S1301" t="str">
        <f>IF(R1301=1,"Positive","Negative")</f>
        <v>Negative</v>
      </c>
      <c r="T1301" s="1" t="str">
        <f>IFERROR(VLOOKUP(A1301,[1]diabetes_Recognition!$A:$B,2,FALSE),"Not Sampled")</f>
        <v>Not Sampled</v>
      </c>
      <c r="U1301" t="str">
        <f>IF(T1301=1,"Positive",(IF(T1301=0,"Negative","Not Sampled")))</f>
        <v>Not Sampled</v>
      </c>
      <c r="V1301" s="1" t="str">
        <f>IF(U1301="Not Sampled","Not Sampled",IF(S1301=U1301,"Accurate Prediction","Inaccurate Prediction"))</f>
        <v>Not Sampled</v>
      </c>
    </row>
    <row r="1302" spans="1:22" x14ac:dyDescent="0.25">
      <c r="A1302" s="1">
        <v>1300</v>
      </c>
      <c r="B1302" s="1">
        <v>2</v>
      </c>
      <c r="C1302" s="1">
        <f>LOOKUP(B1302,Sheet2!$D$4:$E$9)</f>
        <v>2</v>
      </c>
      <c r="D1302" s="1">
        <v>108</v>
      </c>
      <c r="E1302" t="str">
        <f>LOOKUP(D1302,Sheet2!$G$4:$H$9)</f>
        <v>100-125</v>
      </c>
      <c r="F1302" s="1">
        <v>52</v>
      </c>
      <c r="G1302" t="str">
        <f>LOOKUP(F1302,Sheet2!$J$4:$K$8)</f>
        <v>1-59</v>
      </c>
      <c r="H1302" s="1">
        <v>26</v>
      </c>
      <c r="I1302" t="str">
        <f>LOOKUP(H1302,Sheet2!$M$4:$N$8)</f>
        <v>10-30</v>
      </c>
      <c r="J1302" s="1">
        <v>63</v>
      </c>
      <c r="K1302" t="str">
        <f>LOOKUP(J1302,Sheet2!$P$4:$Q$9)</f>
        <v>1-99</v>
      </c>
      <c r="L1302" s="1">
        <v>32.5</v>
      </c>
      <c r="M1302" t="str">
        <f>LOOKUP(L1302,Sheet2!$S$4:$T$8)</f>
        <v>31-35</v>
      </c>
      <c r="N1302" s="1">
        <v>0.318</v>
      </c>
      <c r="O1302" t="str">
        <f>LOOKUP(N1302,Sheet2!$V$4:$W$7)</f>
        <v>0.25 - 0.39</v>
      </c>
      <c r="P1302" s="1">
        <v>22</v>
      </c>
      <c r="Q1302" t="str">
        <f>LOOKUP(P1302,Sheet2!$Z$4:$AA$7)</f>
        <v>&lt;=25</v>
      </c>
      <c r="R1302" s="1">
        <v>0</v>
      </c>
      <c r="S1302" t="str">
        <f>IF(R1302=1,"Positive","Negative")</f>
        <v>Negative</v>
      </c>
      <c r="T1302" s="1" t="str">
        <f>IFERROR(VLOOKUP(A1302,[1]diabetes_Recognition!$A:$B,2,FALSE),"Not Sampled")</f>
        <v>Not Sampled</v>
      </c>
      <c r="U1302" t="str">
        <f>IF(T1302=1,"Positive",(IF(T1302=0,"Negative","Not Sampled")))</f>
        <v>Not Sampled</v>
      </c>
      <c r="V1302" s="1" t="str">
        <f>IF(U1302="Not Sampled","Not Sampled",IF(S1302=U1302,"Accurate Prediction","Inaccurate Prediction"))</f>
        <v>Not Sampled</v>
      </c>
    </row>
    <row r="1303" spans="1:22" x14ac:dyDescent="0.25">
      <c r="A1303" s="1">
        <v>1301</v>
      </c>
      <c r="B1303" s="1">
        <v>10</v>
      </c>
      <c r="C1303" s="1" t="str">
        <f>LOOKUP(B1303,Sheet2!$D$4:$E$9)</f>
        <v>8+</v>
      </c>
      <c r="D1303" s="1">
        <v>108</v>
      </c>
      <c r="E1303" t="str">
        <f>LOOKUP(D1303,Sheet2!$G$4:$H$9)</f>
        <v>100-125</v>
      </c>
      <c r="F1303" s="1">
        <v>66</v>
      </c>
      <c r="G1303" t="str">
        <f>LOOKUP(F1303,Sheet2!$J$4:$K$8)</f>
        <v>60-69</v>
      </c>
      <c r="H1303" s="1">
        <v>0</v>
      </c>
      <c r="I1303" t="str">
        <f>LOOKUP(H1303,Sheet2!$M$4:$N$8)</f>
        <v>Unknown</v>
      </c>
      <c r="J1303" s="1">
        <v>0</v>
      </c>
      <c r="K1303" t="str">
        <f>LOOKUP(J1303,Sheet2!$P$4:$Q$9)</f>
        <v>Unknown</v>
      </c>
      <c r="L1303" s="1">
        <v>32.4</v>
      </c>
      <c r="M1303" t="str">
        <f>LOOKUP(L1303,Sheet2!$S$4:$T$8)</f>
        <v>31-35</v>
      </c>
      <c r="N1303" s="1">
        <v>0.27200000000000002</v>
      </c>
      <c r="O1303" t="str">
        <f>LOOKUP(N1303,Sheet2!$V$4:$W$7)</f>
        <v>0.25 - 0.39</v>
      </c>
      <c r="P1303" s="1">
        <v>42</v>
      </c>
      <c r="Q1303" t="str">
        <f>LOOKUP(P1303,Sheet2!$Z$4:$AA$7)</f>
        <v>36-45</v>
      </c>
      <c r="R1303" s="1">
        <v>1</v>
      </c>
      <c r="S1303" t="str">
        <f>IF(R1303=1,"Positive","Negative")</f>
        <v>Positive</v>
      </c>
      <c r="T1303" s="1">
        <f>IFERROR(VLOOKUP(A1303,[1]diabetes_Recognition!$A:$B,2,FALSE),"Not Sampled")</f>
        <v>0</v>
      </c>
      <c r="U1303" t="str">
        <f>IF(T1303=1,"Positive",(IF(T1303=0,"Negative","Not Sampled")))</f>
        <v>Negative</v>
      </c>
      <c r="V1303" s="1" t="str">
        <f>IF(U1303="Not Sampled","Not Sampled",IF(S1303=U1303,"Accurate Prediction","Inaccurate Prediction"))</f>
        <v>Inaccurate Prediction</v>
      </c>
    </row>
    <row r="1304" spans="1:22" x14ac:dyDescent="0.25">
      <c r="A1304" s="1">
        <v>1302</v>
      </c>
      <c r="B1304" s="1">
        <v>4</v>
      </c>
      <c r="C1304" s="1" t="str">
        <f>LOOKUP(B1304,Sheet2!$D$4:$E$9)</f>
        <v>3-4</v>
      </c>
      <c r="D1304" s="1">
        <v>154</v>
      </c>
      <c r="E1304" t="str">
        <f>LOOKUP(D1304,Sheet2!$G$4:$H$9)</f>
        <v>151-175</v>
      </c>
      <c r="F1304" s="1">
        <v>62</v>
      </c>
      <c r="G1304" t="str">
        <f>LOOKUP(F1304,Sheet2!$J$4:$K$8)</f>
        <v>60-69</v>
      </c>
      <c r="H1304" s="1">
        <v>31</v>
      </c>
      <c r="I1304" t="str">
        <f>LOOKUP(H1304,Sheet2!$M$4:$N$8)</f>
        <v>30-39</v>
      </c>
      <c r="J1304" s="1">
        <v>284</v>
      </c>
      <c r="K1304" t="str">
        <f>LOOKUP(J1304,Sheet2!$P$4:$Q$9)</f>
        <v>200-399</v>
      </c>
      <c r="L1304" s="1">
        <v>32.799999999999997</v>
      </c>
      <c r="M1304" t="str">
        <f>LOOKUP(L1304,Sheet2!$S$4:$T$8)</f>
        <v>31-35</v>
      </c>
      <c r="N1304" s="1">
        <v>0.23699999999999999</v>
      </c>
      <c r="O1304" t="str">
        <f>LOOKUP(N1304,Sheet2!$V$4:$W$7)</f>
        <v>0.0 - 0.249</v>
      </c>
      <c r="P1304" s="1">
        <v>23</v>
      </c>
      <c r="Q1304" t="str">
        <f>LOOKUP(P1304,Sheet2!$Z$4:$AA$7)</f>
        <v>&lt;=25</v>
      </c>
      <c r="R1304" s="1">
        <v>0</v>
      </c>
      <c r="S1304" t="str">
        <f>IF(R1304=1,"Positive","Negative")</f>
        <v>Negative</v>
      </c>
      <c r="T1304" s="1" t="str">
        <f>IFERROR(VLOOKUP(A1304,[1]diabetes_Recognition!$A:$B,2,FALSE),"Not Sampled")</f>
        <v>Not Sampled</v>
      </c>
      <c r="U1304" t="str">
        <f>IF(T1304=1,"Positive",(IF(T1304=0,"Negative","Not Sampled")))</f>
        <v>Not Sampled</v>
      </c>
      <c r="V1304" s="1" t="str">
        <f>IF(U1304="Not Sampled","Not Sampled",IF(S1304=U1304,"Accurate Prediction","Inaccurate Prediction"))</f>
        <v>Not Sampled</v>
      </c>
    </row>
    <row r="1305" spans="1:22" x14ac:dyDescent="0.25">
      <c r="A1305" s="1">
        <v>1303</v>
      </c>
      <c r="B1305" s="1">
        <v>0</v>
      </c>
      <c r="C1305" s="1">
        <f>LOOKUP(B1305,Sheet2!$D$4:$E$9)</f>
        <v>0</v>
      </c>
      <c r="D1305" s="1">
        <v>102</v>
      </c>
      <c r="E1305" t="str">
        <f>LOOKUP(D1305,Sheet2!$G$4:$H$9)</f>
        <v>100-125</v>
      </c>
      <c r="F1305" s="1">
        <v>75</v>
      </c>
      <c r="G1305" t="str">
        <f>LOOKUP(F1305,Sheet2!$J$4:$K$8)</f>
        <v>70-79</v>
      </c>
      <c r="H1305" s="1">
        <v>23</v>
      </c>
      <c r="I1305" t="str">
        <f>LOOKUP(H1305,Sheet2!$M$4:$N$8)</f>
        <v>10-30</v>
      </c>
      <c r="J1305" s="1">
        <v>0</v>
      </c>
      <c r="K1305" t="str">
        <f>LOOKUP(J1305,Sheet2!$P$4:$Q$9)</f>
        <v>Unknown</v>
      </c>
      <c r="L1305" s="1">
        <v>0</v>
      </c>
      <c r="M1305" t="str">
        <f>LOOKUP(L1305,Sheet2!$S$4:$T$8)</f>
        <v>Unknown</v>
      </c>
      <c r="N1305" s="1">
        <v>0.57199999999999995</v>
      </c>
      <c r="O1305" t="str">
        <f>LOOKUP(N1305,Sheet2!$V$4:$W$7)</f>
        <v>0.4 - 0.69</v>
      </c>
      <c r="P1305" s="1">
        <v>21</v>
      </c>
      <c r="Q1305" t="str">
        <f>LOOKUP(P1305,Sheet2!$Z$4:$AA$7)</f>
        <v>&lt;=25</v>
      </c>
      <c r="R1305" s="1">
        <v>0</v>
      </c>
      <c r="S1305" t="str">
        <f>IF(R1305=1,"Positive","Negative")</f>
        <v>Negative</v>
      </c>
      <c r="T1305" s="1" t="str">
        <f>IFERROR(VLOOKUP(A1305,[1]diabetes_Recognition!$A:$B,2,FALSE),"Not Sampled")</f>
        <v>Not Sampled</v>
      </c>
      <c r="U1305" t="str">
        <f>IF(T1305=1,"Positive",(IF(T1305=0,"Negative","Not Sampled")))</f>
        <v>Not Sampled</v>
      </c>
      <c r="V1305" s="1" t="str">
        <f>IF(U1305="Not Sampled","Not Sampled",IF(S1305=U1305,"Accurate Prediction","Inaccurate Prediction"))</f>
        <v>Not Sampled</v>
      </c>
    </row>
    <row r="1306" spans="1:22" x14ac:dyDescent="0.25">
      <c r="A1306" s="1">
        <v>1304</v>
      </c>
      <c r="B1306" s="1">
        <v>9</v>
      </c>
      <c r="C1306" s="1" t="str">
        <f>LOOKUP(B1306,Sheet2!$D$4:$E$9)</f>
        <v>8+</v>
      </c>
      <c r="D1306" s="1">
        <v>57</v>
      </c>
      <c r="E1306" t="str">
        <f>LOOKUP(D1306,Sheet2!$G$4:$H$9)</f>
        <v>1-99</v>
      </c>
      <c r="F1306" s="1">
        <v>80</v>
      </c>
      <c r="G1306" t="str">
        <f>LOOKUP(F1306,Sheet2!$J$4:$K$8)</f>
        <v>80+</v>
      </c>
      <c r="H1306" s="1">
        <v>37</v>
      </c>
      <c r="I1306" t="str">
        <f>LOOKUP(H1306,Sheet2!$M$4:$N$8)</f>
        <v>30-39</v>
      </c>
      <c r="J1306" s="1">
        <v>0</v>
      </c>
      <c r="K1306" t="str">
        <f>LOOKUP(J1306,Sheet2!$P$4:$Q$9)</f>
        <v>Unknown</v>
      </c>
      <c r="L1306" s="1">
        <v>32.799999999999997</v>
      </c>
      <c r="M1306" t="str">
        <f>LOOKUP(L1306,Sheet2!$S$4:$T$8)</f>
        <v>31-35</v>
      </c>
      <c r="N1306" s="1">
        <v>9.6000000000000002E-2</v>
      </c>
      <c r="O1306" t="str">
        <f>LOOKUP(N1306,Sheet2!$V$4:$W$7)</f>
        <v>0.0 - 0.249</v>
      </c>
      <c r="P1306" s="1">
        <v>41</v>
      </c>
      <c r="Q1306" t="str">
        <f>LOOKUP(P1306,Sheet2!$Z$4:$AA$7)</f>
        <v>36-45</v>
      </c>
      <c r="R1306" s="1">
        <v>0</v>
      </c>
      <c r="S1306" t="str">
        <f>IF(R1306=1,"Positive","Negative")</f>
        <v>Negative</v>
      </c>
      <c r="T1306" s="1">
        <f>IFERROR(VLOOKUP(A1306,[1]diabetes_Recognition!$A:$B,2,FALSE),"Not Sampled")</f>
        <v>0</v>
      </c>
      <c r="U1306" t="str">
        <f>IF(T1306=1,"Positive",(IF(T1306=0,"Negative","Not Sampled")))</f>
        <v>Negative</v>
      </c>
      <c r="V1306" s="1" t="str">
        <f>IF(U1306="Not Sampled","Not Sampled",IF(S1306=U1306,"Accurate Prediction","Inaccurate Prediction"))</f>
        <v>Accurate Prediction</v>
      </c>
    </row>
    <row r="1307" spans="1:22" x14ac:dyDescent="0.25">
      <c r="A1307" s="1">
        <v>1305</v>
      </c>
      <c r="B1307" s="1">
        <v>2</v>
      </c>
      <c r="C1307" s="1">
        <f>LOOKUP(B1307,Sheet2!$D$4:$E$9)</f>
        <v>2</v>
      </c>
      <c r="D1307" s="1">
        <v>106</v>
      </c>
      <c r="E1307" t="str">
        <f>LOOKUP(D1307,Sheet2!$G$4:$H$9)</f>
        <v>100-125</v>
      </c>
      <c r="F1307" s="1">
        <v>64</v>
      </c>
      <c r="G1307" t="str">
        <f>LOOKUP(F1307,Sheet2!$J$4:$K$8)</f>
        <v>60-69</v>
      </c>
      <c r="H1307" s="1">
        <v>35</v>
      </c>
      <c r="I1307" t="str">
        <f>LOOKUP(H1307,Sheet2!$M$4:$N$8)</f>
        <v>30-39</v>
      </c>
      <c r="J1307" s="1">
        <v>119</v>
      </c>
      <c r="K1307" t="str">
        <f>LOOKUP(J1307,Sheet2!$P$4:$Q$9)</f>
        <v>100-199</v>
      </c>
      <c r="L1307" s="1">
        <v>30.5</v>
      </c>
      <c r="M1307" t="str">
        <f>LOOKUP(L1307,Sheet2!$S$4:$T$8)</f>
        <v>26-30</v>
      </c>
      <c r="N1307" s="1">
        <v>1.4</v>
      </c>
      <c r="O1307" t="str">
        <f>LOOKUP(N1307,Sheet2!$V$4:$W$7)</f>
        <v>0.7+</v>
      </c>
      <c r="P1307" s="1">
        <v>34</v>
      </c>
      <c r="Q1307" t="str">
        <f>LOOKUP(P1307,Sheet2!$Z$4:$AA$7)</f>
        <v>26-35</v>
      </c>
      <c r="R1307" s="1">
        <v>0</v>
      </c>
      <c r="S1307" t="str">
        <f>IF(R1307=1,"Positive","Negative")</f>
        <v>Negative</v>
      </c>
      <c r="T1307" s="1" t="str">
        <f>IFERROR(VLOOKUP(A1307,[1]diabetes_Recognition!$A:$B,2,FALSE),"Not Sampled")</f>
        <v>Not Sampled</v>
      </c>
      <c r="U1307" t="str">
        <f>IF(T1307=1,"Positive",(IF(T1307=0,"Negative","Not Sampled")))</f>
        <v>Not Sampled</v>
      </c>
      <c r="V1307" s="1" t="str">
        <f>IF(U1307="Not Sampled","Not Sampled",IF(S1307=U1307,"Accurate Prediction","Inaccurate Prediction"))</f>
        <v>Not Sampled</v>
      </c>
    </row>
    <row r="1308" spans="1:22" x14ac:dyDescent="0.25">
      <c r="A1308" s="1">
        <v>1306</v>
      </c>
      <c r="B1308" s="1">
        <v>5</v>
      </c>
      <c r="C1308" s="1" t="str">
        <f>LOOKUP(B1308,Sheet2!$D$4:$E$9)</f>
        <v>5-7</v>
      </c>
      <c r="D1308" s="1">
        <v>147</v>
      </c>
      <c r="E1308" t="str">
        <f>LOOKUP(D1308,Sheet2!$G$4:$H$9)</f>
        <v>126-150</v>
      </c>
      <c r="F1308" s="1">
        <v>78</v>
      </c>
      <c r="G1308" t="str">
        <f>LOOKUP(F1308,Sheet2!$J$4:$K$8)</f>
        <v>70-79</v>
      </c>
      <c r="H1308" s="1">
        <v>0</v>
      </c>
      <c r="I1308" t="str">
        <f>LOOKUP(H1308,Sheet2!$M$4:$N$8)</f>
        <v>Unknown</v>
      </c>
      <c r="J1308" s="1">
        <v>0</v>
      </c>
      <c r="K1308" t="str">
        <f>LOOKUP(J1308,Sheet2!$P$4:$Q$9)</f>
        <v>Unknown</v>
      </c>
      <c r="L1308" s="1">
        <v>33.700000000000003</v>
      </c>
      <c r="M1308" t="str">
        <f>LOOKUP(L1308,Sheet2!$S$4:$T$8)</f>
        <v>31-35</v>
      </c>
      <c r="N1308" s="1">
        <v>0.218</v>
      </c>
      <c r="O1308" t="str">
        <f>LOOKUP(N1308,Sheet2!$V$4:$W$7)</f>
        <v>0.0 - 0.249</v>
      </c>
      <c r="P1308" s="1">
        <v>65</v>
      </c>
      <c r="Q1308" t="str">
        <f>LOOKUP(P1308,Sheet2!$Z$4:$AA$7)</f>
        <v>46+</v>
      </c>
      <c r="R1308" s="1">
        <v>0</v>
      </c>
      <c r="S1308" t="str">
        <f>IF(R1308=1,"Positive","Negative")</f>
        <v>Negative</v>
      </c>
      <c r="T1308" s="1" t="str">
        <f>IFERROR(VLOOKUP(A1308,[1]diabetes_Recognition!$A:$B,2,FALSE),"Not Sampled")</f>
        <v>Not Sampled</v>
      </c>
      <c r="U1308" t="str">
        <f>IF(T1308=1,"Positive",(IF(T1308=0,"Negative","Not Sampled")))</f>
        <v>Not Sampled</v>
      </c>
      <c r="V1308" s="1" t="str">
        <f>IF(U1308="Not Sampled","Not Sampled",IF(S1308=U1308,"Accurate Prediction","Inaccurate Prediction"))</f>
        <v>Not Sampled</v>
      </c>
    </row>
    <row r="1309" spans="1:22" x14ac:dyDescent="0.25">
      <c r="A1309" s="1">
        <v>1307</v>
      </c>
      <c r="B1309" s="1">
        <v>2</v>
      </c>
      <c r="C1309" s="1">
        <f>LOOKUP(B1309,Sheet2!$D$4:$E$9)</f>
        <v>2</v>
      </c>
      <c r="D1309" s="1">
        <v>90</v>
      </c>
      <c r="E1309" t="str">
        <f>LOOKUP(D1309,Sheet2!$G$4:$H$9)</f>
        <v>1-99</v>
      </c>
      <c r="F1309" s="1">
        <v>70</v>
      </c>
      <c r="G1309" t="str">
        <f>LOOKUP(F1309,Sheet2!$J$4:$K$8)</f>
        <v>70-79</v>
      </c>
      <c r="H1309" s="1">
        <v>17</v>
      </c>
      <c r="I1309" t="str">
        <f>LOOKUP(H1309,Sheet2!$M$4:$N$8)</f>
        <v>10-30</v>
      </c>
      <c r="J1309" s="1">
        <v>0</v>
      </c>
      <c r="K1309" t="str">
        <f>LOOKUP(J1309,Sheet2!$P$4:$Q$9)</f>
        <v>Unknown</v>
      </c>
      <c r="L1309" s="1">
        <v>27.3</v>
      </c>
      <c r="M1309" t="str">
        <f>LOOKUP(L1309,Sheet2!$S$4:$T$8)</f>
        <v>26-30</v>
      </c>
      <c r="N1309" s="1">
        <v>8.5000000000000006E-2</v>
      </c>
      <c r="O1309" t="str">
        <f>LOOKUP(N1309,Sheet2!$V$4:$W$7)</f>
        <v>0.0 - 0.249</v>
      </c>
      <c r="P1309" s="1">
        <v>22</v>
      </c>
      <c r="Q1309" t="str">
        <f>LOOKUP(P1309,Sheet2!$Z$4:$AA$7)</f>
        <v>&lt;=25</v>
      </c>
      <c r="R1309" s="1">
        <v>0</v>
      </c>
      <c r="S1309" t="str">
        <f>IF(R1309=1,"Positive","Negative")</f>
        <v>Negative</v>
      </c>
      <c r="T1309" s="1" t="str">
        <f>IFERROR(VLOOKUP(A1309,[1]diabetes_Recognition!$A:$B,2,FALSE),"Not Sampled")</f>
        <v>Not Sampled</v>
      </c>
      <c r="U1309" t="str">
        <f>IF(T1309=1,"Positive",(IF(T1309=0,"Negative","Not Sampled")))</f>
        <v>Not Sampled</v>
      </c>
      <c r="V1309" s="1" t="str">
        <f>IF(U1309="Not Sampled","Not Sampled",IF(S1309=U1309,"Accurate Prediction","Inaccurate Prediction"))</f>
        <v>Not Sampled</v>
      </c>
    </row>
    <row r="1310" spans="1:22" x14ac:dyDescent="0.25">
      <c r="A1310" s="1">
        <v>1308</v>
      </c>
      <c r="B1310" s="1">
        <v>1</v>
      </c>
      <c r="C1310" s="1">
        <f>LOOKUP(B1310,Sheet2!$D$4:$E$9)</f>
        <v>1</v>
      </c>
      <c r="D1310" s="1">
        <v>136</v>
      </c>
      <c r="E1310" t="str">
        <f>LOOKUP(D1310,Sheet2!$G$4:$H$9)</f>
        <v>126-150</v>
      </c>
      <c r="F1310" s="1">
        <v>74</v>
      </c>
      <c r="G1310" t="str">
        <f>LOOKUP(F1310,Sheet2!$J$4:$K$8)</f>
        <v>70-79</v>
      </c>
      <c r="H1310" s="1">
        <v>50</v>
      </c>
      <c r="I1310" t="str">
        <f>LOOKUP(H1310,Sheet2!$M$4:$N$8)</f>
        <v>40+</v>
      </c>
      <c r="J1310" s="1">
        <v>204</v>
      </c>
      <c r="K1310" t="str">
        <f>LOOKUP(J1310,Sheet2!$P$4:$Q$9)</f>
        <v>200-399</v>
      </c>
      <c r="L1310" s="1">
        <v>37.4</v>
      </c>
      <c r="M1310" t="str">
        <f>LOOKUP(L1310,Sheet2!$S$4:$T$8)</f>
        <v>36+</v>
      </c>
      <c r="N1310" s="1">
        <v>0.39900000000000002</v>
      </c>
      <c r="O1310" t="str">
        <f>LOOKUP(N1310,Sheet2!$V$4:$W$7)</f>
        <v>0.25 - 0.39</v>
      </c>
      <c r="P1310" s="1">
        <v>24</v>
      </c>
      <c r="Q1310" t="str">
        <f>LOOKUP(P1310,Sheet2!$Z$4:$AA$7)</f>
        <v>&lt;=25</v>
      </c>
      <c r="R1310" s="1">
        <v>0</v>
      </c>
      <c r="S1310" t="str">
        <f>IF(R1310=1,"Positive","Negative")</f>
        <v>Negative</v>
      </c>
      <c r="T1310" s="1" t="str">
        <f>IFERROR(VLOOKUP(A1310,[1]diabetes_Recognition!$A:$B,2,FALSE),"Not Sampled")</f>
        <v>Not Sampled</v>
      </c>
      <c r="U1310" t="str">
        <f>IF(T1310=1,"Positive",(IF(T1310=0,"Negative","Not Sampled")))</f>
        <v>Not Sampled</v>
      </c>
      <c r="V1310" s="1" t="str">
        <f>IF(U1310="Not Sampled","Not Sampled",IF(S1310=U1310,"Accurate Prediction","Inaccurate Prediction"))</f>
        <v>Not Sampled</v>
      </c>
    </row>
    <row r="1311" spans="1:22" x14ac:dyDescent="0.25">
      <c r="A1311" s="1">
        <v>1309</v>
      </c>
      <c r="B1311" s="1">
        <v>4</v>
      </c>
      <c r="C1311" s="1" t="str">
        <f>LOOKUP(B1311,Sheet2!$D$4:$E$9)</f>
        <v>3-4</v>
      </c>
      <c r="D1311" s="1">
        <v>114</v>
      </c>
      <c r="E1311" t="str">
        <f>LOOKUP(D1311,Sheet2!$G$4:$H$9)</f>
        <v>100-125</v>
      </c>
      <c r="F1311" s="1">
        <v>65</v>
      </c>
      <c r="G1311" t="str">
        <f>LOOKUP(F1311,Sheet2!$J$4:$K$8)</f>
        <v>60-69</v>
      </c>
      <c r="H1311" s="1">
        <v>0</v>
      </c>
      <c r="I1311" t="str">
        <f>LOOKUP(H1311,Sheet2!$M$4:$N$8)</f>
        <v>Unknown</v>
      </c>
      <c r="J1311" s="1">
        <v>0</v>
      </c>
      <c r="K1311" t="str">
        <f>LOOKUP(J1311,Sheet2!$P$4:$Q$9)</f>
        <v>Unknown</v>
      </c>
      <c r="L1311" s="1">
        <v>21.9</v>
      </c>
      <c r="M1311" t="str">
        <f>LOOKUP(L1311,Sheet2!$S$4:$T$8)</f>
        <v>1-25</v>
      </c>
      <c r="N1311" s="1">
        <v>0.432</v>
      </c>
      <c r="O1311" t="str">
        <f>LOOKUP(N1311,Sheet2!$V$4:$W$7)</f>
        <v>0.4 - 0.69</v>
      </c>
      <c r="P1311" s="1">
        <v>37</v>
      </c>
      <c r="Q1311" t="str">
        <f>LOOKUP(P1311,Sheet2!$Z$4:$AA$7)</f>
        <v>36-45</v>
      </c>
      <c r="R1311" s="1">
        <v>0</v>
      </c>
      <c r="S1311" t="str">
        <f>IF(R1311=1,"Positive","Negative")</f>
        <v>Negative</v>
      </c>
      <c r="T1311" s="1" t="str">
        <f>IFERROR(VLOOKUP(A1311,[1]diabetes_Recognition!$A:$B,2,FALSE),"Not Sampled")</f>
        <v>Not Sampled</v>
      </c>
      <c r="U1311" t="str">
        <f>IF(T1311=1,"Positive",(IF(T1311=0,"Negative","Not Sampled")))</f>
        <v>Not Sampled</v>
      </c>
      <c r="V1311" s="1" t="str">
        <f>IF(U1311="Not Sampled","Not Sampled",IF(S1311=U1311,"Accurate Prediction","Inaccurate Prediction"))</f>
        <v>Not Sampled</v>
      </c>
    </row>
    <row r="1312" spans="1:22" x14ac:dyDescent="0.25">
      <c r="A1312" s="1">
        <v>1310</v>
      </c>
      <c r="B1312" s="1">
        <v>9</v>
      </c>
      <c r="C1312" s="1" t="str">
        <f>LOOKUP(B1312,Sheet2!$D$4:$E$9)</f>
        <v>8+</v>
      </c>
      <c r="D1312" s="1">
        <v>156</v>
      </c>
      <c r="E1312" t="str">
        <f>LOOKUP(D1312,Sheet2!$G$4:$H$9)</f>
        <v>151-175</v>
      </c>
      <c r="F1312" s="1">
        <v>86</v>
      </c>
      <c r="G1312" t="str">
        <f>LOOKUP(F1312,Sheet2!$J$4:$K$8)</f>
        <v>80+</v>
      </c>
      <c r="H1312" s="1">
        <v>28</v>
      </c>
      <c r="I1312" t="str">
        <f>LOOKUP(H1312,Sheet2!$M$4:$N$8)</f>
        <v>10-30</v>
      </c>
      <c r="J1312" s="1">
        <v>155</v>
      </c>
      <c r="K1312" t="str">
        <f>LOOKUP(J1312,Sheet2!$P$4:$Q$9)</f>
        <v>100-199</v>
      </c>
      <c r="L1312" s="1">
        <v>34.299999999999997</v>
      </c>
      <c r="M1312" t="str">
        <f>LOOKUP(L1312,Sheet2!$S$4:$T$8)</f>
        <v>31-35</v>
      </c>
      <c r="N1312" s="1">
        <v>1.1890000000000001</v>
      </c>
      <c r="O1312" t="str">
        <f>LOOKUP(N1312,Sheet2!$V$4:$W$7)</f>
        <v>0.7+</v>
      </c>
      <c r="P1312" s="1">
        <v>42</v>
      </c>
      <c r="Q1312" t="str">
        <f>LOOKUP(P1312,Sheet2!$Z$4:$AA$7)</f>
        <v>36-45</v>
      </c>
      <c r="R1312" s="1">
        <v>1</v>
      </c>
      <c r="S1312" t="str">
        <f>IF(R1312=1,"Positive","Negative")</f>
        <v>Positive</v>
      </c>
      <c r="T1312" s="1" t="str">
        <f>IFERROR(VLOOKUP(A1312,[1]diabetes_Recognition!$A:$B,2,FALSE),"Not Sampled")</f>
        <v>Not Sampled</v>
      </c>
      <c r="U1312" t="str">
        <f>IF(T1312=1,"Positive",(IF(T1312=0,"Negative","Not Sampled")))</f>
        <v>Not Sampled</v>
      </c>
      <c r="V1312" s="1" t="str">
        <f>IF(U1312="Not Sampled","Not Sampled",IF(S1312=U1312,"Accurate Prediction","Inaccurate Prediction"))</f>
        <v>Not Sampled</v>
      </c>
    </row>
    <row r="1313" spans="1:22" x14ac:dyDescent="0.25">
      <c r="A1313" s="1">
        <v>1311</v>
      </c>
      <c r="B1313" s="1">
        <v>1</v>
      </c>
      <c r="C1313" s="1">
        <f>LOOKUP(B1313,Sheet2!$D$4:$E$9)</f>
        <v>1</v>
      </c>
      <c r="D1313" s="1">
        <v>153</v>
      </c>
      <c r="E1313" t="str">
        <f>LOOKUP(D1313,Sheet2!$G$4:$H$9)</f>
        <v>151-175</v>
      </c>
      <c r="F1313" s="1">
        <v>82</v>
      </c>
      <c r="G1313" t="str">
        <f>LOOKUP(F1313,Sheet2!$J$4:$K$8)</f>
        <v>80+</v>
      </c>
      <c r="H1313" s="1">
        <v>42</v>
      </c>
      <c r="I1313" t="str">
        <f>LOOKUP(H1313,Sheet2!$M$4:$N$8)</f>
        <v>40+</v>
      </c>
      <c r="J1313" s="1">
        <v>485</v>
      </c>
      <c r="K1313" t="str">
        <f>LOOKUP(J1313,Sheet2!$P$4:$Q$9)</f>
        <v>300-499</v>
      </c>
      <c r="L1313" s="1">
        <v>40.6</v>
      </c>
      <c r="M1313" t="str">
        <f>LOOKUP(L1313,Sheet2!$S$4:$T$8)</f>
        <v>36+</v>
      </c>
      <c r="N1313" s="1">
        <v>0.68700000000000006</v>
      </c>
      <c r="O1313" t="str">
        <f>LOOKUP(N1313,Sheet2!$V$4:$W$7)</f>
        <v>0.4 - 0.69</v>
      </c>
      <c r="P1313" s="1">
        <v>23</v>
      </c>
      <c r="Q1313" t="str">
        <f>LOOKUP(P1313,Sheet2!$Z$4:$AA$7)</f>
        <v>&lt;=25</v>
      </c>
      <c r="R1313" s="1">
        <v>0</v>
      </c>
      <c r="S1313" t="str">
        <f>IF(R1313=1,"Positive","Negative")</f>
        <v>Negative</v>
      </c>
      <c r="T1313" s="1" t="str">
        <f>IFERROR(VLOOKUP(A1313,[1]diabetes_Recognition!$A:$B,2,FALSE),"Not Sampled")</f>
        <v>Not Sampled</v>
      </c>
      <c r="U1313" t="str">
        <f>IF(T1313=1,"Positive",(IF(T1313=0,"Negative","Not Sampled")))</f>
        <v>Not Sampled</v>
      </c>
      <c r="V1313" s="1" t="str">
        <f>IF(U1313="Not Sampled","Not Sampled",IF(S1313=U1313,"Accurate Prediction","Inaccurate Prediction"))</f>
        <v>Not Sampled</v>
      </c>
    </row>
    <row r="1314" spans="1:22" x14ac:dyDescent="0.25">
      <c r="A1314" s="1">
        <v>1312</v>
      </c>
      <c r="B1314" s="1">
        <v>8</v>
      </c>
      <c r="C1314" s="1" t="str">
        <f>LOOKUP(B1314,Sheet2!$D$4:$E$9)</f>
        <v>8+</v>
      </c>
      <c r="D1314" s="1">
        <v>188</v>
      </c>
      <c r="E1314" t="str">
        <f>LOOKUP(D1314,Sheet2!$G$4:$H$9)</f>
        <v>176-200</v>
      </c>
      <c r="F1314" s="1">
        <v>78</v>
      </c>
      <c r="G1314" t="str">
        <f>LOOKUP(F1314,Sheet2!$J$4:$K$8)</f>
        <v>70-79</v>
      </c>
      <c r="H1314" s="1">
        <v>0</v>
      </c>
      <c r="I1314" t="str">
        <f>LOOKUP(H1314,Sheet2!$M$4:$N$8)</f>
        <v>Unknown</v>
      </c>
      <c r="J1314" s="1">
        <v>0</v>
      </c>
      <c r="K1314" t="str">
        <f>LOOKUP(J1314,Sheet2!$P$4:$Q$9)</f>
        <v>Unknown</v>
      </c>
      <c r="L1314" s="1">
        <v>47.9</v>
      </c>
      <c r="M1314" t="str">
        <f>LOOKUP(L1314,Sheet2!$S$4:$T$8)</f>
        <v>36+</v>
      </c>
      <c r="N1314" s="1">
        <v>0.13700000000000001</v>
      </c>
      <c r="O1314" t="str">
        <f>LOOKUP(N1314,Sheet2!$V$4:$W$7)</f>
        <v>0.0 - 0.249</v>
      </c>
      <c r="P1314" s="1">
        <v>43</v>
      </c>
      <c r="Q1314" t="str">
        <f>LOOKUP(P1314,Sheet2!$Z$4:$AA$7)</f>
        <v>36-45</v>
      </c>
      <c r="R1314" s="1">
        <v>1</v>
      </c>
      <c r="S1314" t="str">
        <f>IF(R1314=1,"Positive","Negative")</f>
        <v>Positive</v>
      </c>
      <c r="T1314" s="1" t="str">
        <f>IFERROR(VLOOKUP(A1314,[1]diabetes_Recognition!$A:$B,2,FALSE),"Not Sampled")</f>
        <v>Not Sampled</v>
      </c>
      <c r="U1314" t="str">
        <f>IF(T1314=1,"Positive",(IF(T1314=0,"Negative","Not Sampled")))</f>
        <v>Not Sampled</v>
      </c>
      <c r="V1314" s="1" t="str">
        <f>IF(U1314="Not Sampled","Not Sampled",IF(S1314=U1314,"Accurate Prediction","Inaccurate Prediction"))</f>
        <v>Not Sampled</v>
      </c>
    </row>
    <row r="1315" spans="1:22" x14ac:dyDescent="0.25">
      <c r="A1315" s="1">
        <v>1313</v>
      </c>
      <c r="B1315" s="1">
        <v>7</v>
      </c>
      <c r="C1315" s="1" t="str">
        <f>LOOKUP(B1315,Sheet2!$D$4:$E$9)</f>
        <v>5-7</v>
      </c>
      <c r="D1315" s="1">
        <v>152</v>
      </c>
      <c r="E1315" t="str">
        <f>LOOKUP(D1315,Sheet2!$G$4:$H$9)</f>
        <v>151-175</v>
      </c>
      <c r="F1315" s="1">
        <v>88</v>
      </c>
      <c r="G1315" t="str">
        <f>LOOKUP(F1315,Sheet2!$J$4:$K$8)</f>
        <v>80+</v>
      </c>
      <c r="H1315" s="1">
        <v>44</v>
      </c>
      <c r="I1315" t="str">
        <f>LOOKUP(H1315,Sheet2!$M$4:$N$8)</f>
        <v>40+</v>
      </c>
      <c r="J1315" s="1">
        <v>0</v>
      </c>
      <c r="K1315" t="str">
        <f>LOOKUP(J1315,Sheet2!$P$4:$Q$9)</f>
        <v>Unknown</v>
      </c>
      <c r="L1315" s="1">
        <v>50</v>
      </c>
      <c r="M1315" t="str">
        <f>LOOKUP(L1315,Sheet2!$S$4:$T$8)</f>
        <v>36+</v>
      </c>
      <c r="N1315" s="1">
        <v>0.33700000000000002</v>
      </c>
      <c r="O1315" t="str">
        <f>LOOKUP(N1315,Sheet2!$V$4:$W$7)</f>
        <v>0.25 - 0.39</v>
      </c>
      <c r="P1315" s="1">
        <v>36</v>
      </c>
      <c r="Q1315" t="str">
        <f>LOOKUP(P1315,Sheet2!$Z$4:$AA$7)</f>
        <v>36-45</v>
      </c>
      <c r="R1315" s="1">
        <v>1</v>
      </c>
      <c r="S1315" t="str">
        <f>IF(R1315=1,"Positive","Negative")</f>
        <v>Positive</v>
      </c>
      <c r="T1315" s="1" t="str">
        <f>IFERROR(VLOOKUP(A1315,[1]diabetes_Recognition!$A:$B,2,FALSE),"Not Sampled")</f>
        <v>Not Sampled</v>
      </c>
      <c r="U1315" t="str">
        <f>IF(T1315=1,"Positive",(IF(T1315=0,"Negative","Not Sampled")))</f>
        <v>Not Sampled</v>
      </c>
      <c r="V1315" s="1" t="str">
        <f>IF(U1315="Not Sampled","Not Sampled",IF(S1315=U1315,"Accurate Prediction","Inaccurate Prediction"))</f>
        <v>Not Sampled</v>
      </c>
    </row>
    <row r="1316" spans="1:22" x14ac:dyDescent="0.25">
      <c r="A1316" s="1">
        <v>1314</v>
      </c>
      <c r="B1316" s="1">
        <v>2</v>
      </c>
      <c r="C1316" s="1">
        <f>LOOKUP(B1316,Sheet2!$D$4:$E$9)</f>
        <v>2</v>
      </c>
      <c r="D1316" s="1">
        <v>99</v>
      </c>
      <c r="E1316" t="str">
        <f>LOOKUP(D1316,Sheet2!$G$4:$H$9)</f>
        <v>1-99</v>
      </c>
      <c r="F1316" s="1">
        <v>52</v>
      </c>
      <c r="G1316" t="str">
        <f>LOOKUP(F1316,Sheet2!$J$4:$K$8)</f>
        <v>1-59</v>
      </c>
      <c r="H1316" s="1">
        <v>15</v>
      </c>
      <c r="I1316" t="str">
        <f>LOOKUP(H1316,Sheet2!$M$4:$N$8)</f>
        <v>10-30</v>
      </c>
      <c r="J1316" s="1">
        <v>94</v>
      </c>
      <c r="K1316" t="str">
        <f>LOOKUP(J1316,Sheet2!$P$4:$Q$9)</f>
        <v>1-99</v>
      </c>
      <c r="L1316" s="1">
        <v>24.6</v>
      </c>
      <c r="M1316" t="str">
        <f>LOOKUP(L1316,Sheet2!$S$4:$T$8)</f>
        <v>1-25</v>
      </c>
      <c r="N1316" s="1">
        <v>0.63700000000000001</v>
      </c>
      <c r="O1316" t="str">
        <f>LOOKUP(N1316,Sheet2!$V$4:$W$7)</f>
        <v>0.4 - 0.69</v>
      </c>
      <c r="P1316" s="1">
        <v>21</v>
      </c>
      <c r="Q1316" t="str">
        <f>LOOKUP(P1316,Sheet2!$Z$4:$AA$7)</f>
        <v>&lt;=25</v>
      </c>
      <c r="R1316" s="1">
        <v>0</v>
      </c>
      <c r="S1316" t="str">
        <f>IF(R1316=1,"Positive","Negative")</f>
        <v>Negative</v>
      </c>
      <c r="T1316" s="1">
        <f>IFERROR(VLOOKUP(A1316,[1]diabetes_Recognition!$A:$B,2,FALSE),"Not Sampled")</f>
        <v>0</v>
      </c>
      <c r="U1316" t="str">
        <f>IF(T1316=1,"Positive",(IF(T1316=0,"Negative","Not Sampled")))</f>
        <v>Negative</v>
      </c>
      <c r="V1316" s="1" t="str">
        <f>IF(U1316="Not Sampled","Not Sampled",IF(S1316=U1316,"Accurate Prediction","Inaccurate Prediction"))</f>
        <v>Accurate Prediction</v>
      </c>
    </row>
    <row r="1317" spans="1:22" x14ac:dyDescent="0.25">
      <c r="A1317" s="1">
        <v>1315</v>
      </c>
      <c r="B1317" s="1">
        <v>1</v>
      </c>
      <c r="C1317" s="1">
        <f>LOOKUP(B1317,Sheet2!$D$4:$E$9)</f>
        <v>1</v>
      </c>
      <c r="D1317" s="1">
        <v>109</v>
      </c>
      <c r="E1317" t="str">
        <f>LOOKUP(D1317,Sheet2!$G$4:$H$9)</f>
        <v>100-125</v>
      </c>
      <c r="F1317" s="1">
        <v>56</v>
      </c>
      <c r="G1317" t="str">
        <f>LOOKUP(F1317,Sheet2!$J$4:$K$8)</f>
        <v>1-59</v>
      </c>
      <c r="H1317" s="1">
        <v>21</v>
      </c>
      <c r="I1317" t="str">
        <f>LOOKUP(H1317,Sheet2!$M$4:$N$8)</f>
        <v>10-30</v>
      </c>
      <c r="J1317" s="1">
        <v>135</v>
      </c>
      <c r="K1317" t="str">
        <f>LOOKUP(J1317,Sheet2!$P$4:$Q$9)</f>
        <v>100-199</v>
      </c>
      <c r="L1317" s="1">
        <v>25.2</v>
      </c>
      <c r="M1317" t="str">
        <f>LOOKUP(L1317,Sheet2!$S$4:$T$8)</f>
        <v>1-25</v>
      </c>
      <c r="N1317" s="1">
        <v>0.83299999999999996</v>
      </c>
      <c r="O1317" t="str">
        <f>LOOKUP(N1317,Sheet2!$V$4:$W$7)</f>
        <v>0.7+</v>
      </c>
      <c r="P1317" s="1">
        <v>23</v>
      </c>
      <c r="Q1317" t="str">
        <f>LOOKUP(P1317,Sheet2!$Z$4:$AA$7)</f>
        <v>&lt;=25</v>
      </c>
      <c r="R1317" s="1">
        <v>0</v>
      </c>
      <c r="S1317" t="str">
        <f>IF(R1317=1,"Positive","Negative")</f>
        <v>Negative</v>
      </c>
      <c r="T1317" s="1">
        <f>IFERROR(VLOOKUP(A1317,[1]diabetes_Recognition!$A:$B,2,FALSE),"Not Sampled")</f>
        <v>0</v>
      </c>
      <c r="U1317" t="str">
        <f>IF(T1317=1,"Positive",(IF(T1317=0,"Negative","Not Sampled")))</f>
        <v>Negative</v>
      </c>
      <c r="V1317" s="1" t="str">
        <f>IF(U1317="Not Sampled","Not Sampled",IF(S1317=U1317,"Accurate Prediction","Inaccurate Prediction"))</f>
        <v>Accurate Prediction</v>
      </c>
    </row>
    <row r="1318" spans="1:22" x14ac:dyDescent="0.25">
      <c r="A1318" s="1">
        <v>1316</v>
      </c>
      <c r="B1318" s="1">
        <v>2</v>
      </c>
      <c r="C1318" s="1">
        <f>LOOKUP(B1318,Sheet2!$D$4:$E$9)</f>
        <v>2</v>
      </c>
      <c r="D1318" s="1">
        <v>88</v>
      </c>
      <c r="E1318" t="str">
        <f>LOOKUP(D1318,Sheet2!$G$4:$H$9)</f>
        <v>1-99</v>
      </c>
      <c r="F1318" s="1">
        <v>74</v>
      </c>
      <c r="G1318" t="str">
        <f>LOOKUP(F1318,Sheet2!$J$4:$K$8)</f>
        <v>70-79</v>
      </c>
      <c r="H1318" s="1">
        <v>19</v>
      </c>
      <c r="I1318" t="str">
        <f>LOOKUP(H1318,Sheet2!$M$4:$N$8)</f>
        <v>10-30</v>
      </c>
      <c r="J1318" s="1">
        <v>53</v>
      </c>
      <c r="K1318" t="str">
        <f>LOOKUP(J1318,Sheet2!$P$4:$Q$9)</f>
        <v>1-99</v>
      </c>
      <c r="L1318" s="1">
        <v>29</v>
      </c>
      <c r="M1318" t="str">
        <f>LOOKUP(L1318,Sheet2!$S$4:$T$8)</f>
        <v>26-30</v>
      </c>
      <c r="N1318" s="1">
        <v>0.22900000000000001</v>
      </c>
      <c r="O1318" t="str">
        <f>LOOKUP(N1318,Sheet2!$V$4:$W$7)</f>
        <v>0.0 - 0.249</v>
      </c>
      <c r="P1318" s="1">
        <v>22</v>
      </c>
      <c r="Q1318" t="str">
        <f>LOOKUP(P1318,Sheet2!$Z$4:$AA$7)</f>
        <v>&lt;=25</v>
      </c>
      <c r="R1318" s="1">
        <v>0</v>
      </c>
      <c r="S1318" t="str">
        <f>IF(R1318=1,"Positive","Negative")</f>
        <v>Negative</v>
      </c>
      <c r="T1318" s="1" t="str">
        <f>IFERROR(VLOOKUP(A1318,[1]diabetes_Recognition!$A:$B,2,FALSE),"Not Sampled")</f>
        <v>Not Sampled</v>
      </c>
      <c r="U1318" t="str">
        <f>IF(T1318=1,"Positive",(IF(T1318=0,"Negative","Not Sampled")))</f>
        <v>Not Sampled</v>
      </c>
      <c r="V1318" s="1" t="str">
        <f>IF(U1318="Not Sampled","Not Sampled",IF(S1318=U1318,"Accurate Prediction","Inaccurate Prediction"))</f>
        <v>Not Sampled</v>
      </c>
    </row>
    <row r="1319" spans="1:22" x14ac:dyDescent="0.25">
      <c r="A1319" s="1">
        <v>1317</v>
      </c>
      <c r="B1319" s="1">
        <v>17</v>
      </c>
      <c r="C1319" s="1" t="str">
        <f>LOOKUP(B1319,Sheet2!$D$4:$E$9)</f>
        <v>8+</v>
      </c>
      <c r="D1319" s="1">
        <v>163</v>
      </c>
      <c r="E1319" t="str">
        <f>LOOKUP(D1319,Sheet2!$G$4:$H$9)</f>
        <v>151-175</v>
      </c>
      <c r="F1319" s="1">
        <v>72</v>
      </c>
      <c r="G1319" t="str">
        <f>LOOKUP(F1319,Sheet2!$J$4:$K$8)</f>
        <v>70-79</v>
      </c>
      <c r="H1319" s="1">
        <v>41</v>
      </c>
      <c r="I1319" t="str">
        <f>LOOKUP(H1319,Sheet2!$M$4:$N$8)</f>
        <v>40+</v>
      </c>
      <c r="J1319" s="1">
        <v>114</v>
      </c>
      <c r="K1319" t="str">
        <f>LOOKUP(J1319,Sheet2!$P$4:$Q$9)</f>
        <v>100-199</v>
      </c>
      <c r="L1319" s="1">
        <v>40.9</v>
      </c>
      <c r="M1319" t="str">
        <f>LOOKUP(L1319,Sheet2!$S$4:$T$8)</f>
        <v>36+</v>
      </c>
      <c r="N1319" s="1">
        <v>0.81699999999999995</v>
      </c>
      <c r="O1319" t="str">
        <f>LOOKUP(N1319,Sheet2!$V$4:$W$7)</f>
        <v>0.7+</v>
      </c>
      <c r="P1319" s="1">
        <v>47</v>
      </c>
      <c r="Q1319" t="str">
        <f>LOOKUP(P1319,Sheet2!$Z$4:$AA$7)</f>
        <v>46+</v>
      </c>
      <c r="R1319" s="1">
        <v>1</v>
      </c>
      <c r="S1319" t="str">
        <f>IF(R1319=1,"Positive","Negative")</f>
        <v>Positive</v>
      </c>
      <c r="T1319" s="1" t="str">
        <f>IFERROR(VLOOKUP(A1319,[1]diabetes_Recognition!$A:$B,2,FALSE),"Not Sampled")</f>
        <v>Not Sampled</v>
      </c>
      <c r="U1319" t="str">
        <f>IF(T1319=1,"Positive",(IF(T1319=0,"Negative","Not Sampled")))</f>
        <v>Not Sampled</v>
      </c>
      <c r="V1319" s="1" t="str">
        <f>IF(U1319="Not Sampled","Not Sampled",IF(S1319=U1319,"Accurate Prediction","Inaccurate Prediction"))</f>
        <v>Not Sampled</v>
      </c>
    </row>
    <row r="1320" spans="1:22" x14ac:dyDescent="0.25">
      <c r="A1320" s="1">
        <v>1318</v>
      </c>
      <c r="B1320" s="1">
        <v>4</v>
      </c>
      <c r="C1320" s="1" t="str">
        <f>LOOKUP(B1320,Sheet2!$D$4:$E$9)</f>
        <v>3-4</v>
      </c>
      <c r="D1320" s="1">
        <v>151</v>
      </c>
      <c r="E1320" t="str">
        <f>LOOKUP(D1320,Sheet2!$G$4:$H$9)</f>
        <v>151-175</v>
      </c>
      <c r="F1320" s="1">
        <v>90</v>
      </c>
      <c r="G1320" t="str">
        <f>LOOKUP(F1320,Sheet2!$J$4:$K$8)</f>
        <v>80+</v>
      </c>
      <c r="H1320" s="1">
        <v>38</v>
      </c>
      <c r="I1320" t="str">
        <f>LOOKUP(H1320,Sheet2!$M$4:$N$8)</f>
        <v>30-39</v>
      </c>
      <c r="J1320" s="1">
        <v>0</v>
      </c>
      <c r="K1320" t="str">
        <f>LOOKUP(J1320,Sheet2!$P$4:$Q$9)</f>
        <v>Unknown</v>
      </c>
      <c r="L1320" s="1">
        <v>29.7</v>
      </c>
      <c r="M1320" t="str">
        <f>LOOKUP(L1320,Sheet2!$S$4:$T$8)</f>
        <v>26-30</v>
      </c>
      <c r="N1320" s="1">
        <v>0.29399999999999998</v>
      </c>
      <c r="O1320" t="str">
        <f>LOOKUP(N1320,Sheet2!$V$4:$W$7)</f>
        <v>0.25 - 0.39</v>
      </c>
      <c r="P1320" s="1">
        <v>36</v>
      </c>
      <c r="Q1320" t="str">
        <f>LOOKUP(P1320,Sheet2!$Z$4:$AA$7)</f>
        <v>36-45</v>
      </c>
      <c r="R1320" s="1">
        <v>0</v>
      </c>
      <c r="S1320" t="str">
        <f>IF(R1320=1,"Positive","Negative")</f>
        <v>Negative</v>
      </c>
      <c r="T1320" s="1" t="str">
        <f>IFERROR(VLOOKUP(A1320,[1]diabetes_Recognition!$A:$B,2,FALSE),"Not Sampled")</f>
        <v>Not Sampled</v>
      </c>
      <c r="U1320" t="str">
        <f>IF(T1320=1,"Positive",(IF(T1320=0,"Negative","Not Sampled")))</f>
        <v>Not Sampled</v>
      </c>
      <c r="V1320" s="1" t="str">
        <f>IF(U1320="Not Sampled","Not Sampled",IF(S1320=U1320,"Accurate Prediction","Inaccurate Prediction"))</f>
        <v>Not Sampled</v>
      </c>
    </row>
    <row r="1321" spans="1:22" x14ac:dyDescent="0.25">
      <c r="A1321" s="1">
        <v>1319</v>
      </c>
      <c r="B1321" s="1">
        <v>7</v>
      </c>
      <c r="C1321" s="1" t="str">
        <f>LOOKUP(B1321,Sheet2!$D$4:$E$9)</f>
        <v>5-7</v>
      </c>
      <c r="D1321" s="1">
        <v>102</v>
      </c>
      <c r="E1321" t="str">
        <f>LOOKUP(D1321,Sheet2!$G$4:$H$9)</f>
        <v>100-125</v>
      </c>
      <c r="F1321" s="1">
        <v>74</v>
      </c>
      <c r="G1321" t="str">
        <f>LOOKUP(F1321,Sheet2!$J$4:$K$8)</f>
        <v>70-79</v>
      </c>
      <c r="H1321" s="1">
        <v>40</v>
      </c>
      <c r="I1321" t="str">
        <f>LOOKUP(H1321,Sheet2!$M$4:$N$8)</f>
        <v>40+</v>
      </c>
      <c r="J1321" s="1">
        <v>105</v>
      </c>
      <c r="K1321" t="str">
        <f>LOOKUP(J1321,Sheet2!$P$4:$Q$9)</f>
        <v>100-199</v>
      </c>
      <c r="L1321" s="1">
        <v>37.200000000000003</v>
      </c>
      <c r="M1321" t="str">
        <f>LOOKUP(L1321,Sheet2!$S$4:$T$8)</f>
        <v>36+</v>
      </c>
      <c r="N1321" s="1">
        <v>0.20399999999999999</v>
      </c>
      <c r="O1321" t="str">
        <f>LOOKUP(N1321,Sheet2!$V$4:$W$7)</f>
        <v>0.0 - 0.249</v>
      </c>
      <c r="P1321" s="1">
        <v>45</v>
      </c>
      <c r="Q1321" t="str">
        <f>LOOKUP(P1321,Sheet2!$Z$4:$AA$7)</f>
        <v>36-45</v>
      </c>
      <c r="R1321" s="1">
        <v>0</v>
      </c>
      <c r="S1321" t="str">
        <f>IF(R1321=1,"Positive","Negative")</f>
        <v>Negative</v>
      </c>
      <c r="T1321" s="1" t="str">
        <f>IFERROR(VLOOKUP(A1321,[1]diabetes_Recognition!$A:$B,2,FALSE),"Not Sampled")</f>
        <v>Not Sampled</v>
      </c>
      <c r="U1321" t="str">
        <f>IF(T1321=1,"Positive",(IF(T1321=0,"Negative","Not Sampled")))</f>
        <v>Not Sampled</v>
      </c>
      <c r="V1321" s="1" t="str">
        <f>IF(U1321="Not Sampled","Not Sampled",IF(S1321=U1321,"Accurate Prediction","Inaccurate Prediction"))</f>
        <v>Not Sampled</v>
      </c>
    </row>
    <row r="1322" spans="1:22" x14ac:dyDescent="0.25">
      <c r="A1322" s="1">
        <v>1320</v>
      </c>
      <c r="B1322" s="1">
        <v>0</v>
      </c>
      <c r="C1322" s="1">
        <f>LOOKUP(B1322,Sheet2!$D$4:$E$9)</f>
        <v>0</v>
      </c>
      <c r="D1322" s="1">
        <v>114</v>
      </c>
      <c r="E1322" t="str">
        <f>LOOKUP(D1322,Sheet2!$G$4:$H$9)</f>
        <v>100-125</v>
      </c>
      <c r="F1322" s="1">
        <v>80</v>
      </c>
      <c r="G1322" t="str">
        <f>LOOKUP(F1322,Sheet2!$J$4:$K$8)</f>
        <v>80+</v>
      </c>
      <c r="H1322" s="1">
        <v>34</v>
      </c>
      <c r="I1322" t="str">
        <f>LOOKUP(H1322,Sheet2!$M$4:$N$8)</f>
        <v>30-39</v>
      </c>
      <c r="J1322" s="1">
        <v>285</v>
      </c>
      <c r="K1322" t="str">
        <f>LOOKUP(J1322,Sheet2!$P$4:$Q$9)</f>
        <v>200-399</v>
      </c>
      <c r="L1322" s="1">
        <v>44.2</v>
      </c>
      <c r="M1322" t="str">
        <f>LOOKUP(L1322,Sheet2!$S$4:$T$8)</f>
        <v>36+</v>
      </c>
      <c r="N1322" s="1">
        <v>0.16700000000000001</v>
      </c>
      <c r="O1322" t="str">
        <f>LOOKUP(N1322,Sheet2!$V$4:$W$7)</f>
        <v>0.0 - 0.249</v>
      </c>
      <c r="P1322" s="1">
        <v>27</v>
      </c>
      <c r="Q1322" t="str">
        <f>LOOKUP(P1322,Sheet2!$Z$4:$AA$7)</f>
        <v>26-35</v>
      </c>
      <c r="R1322" s="1">
        <v>0</v>
      </c>
      <c r="S1322" t="str">
        <f>IF(R1322=1,"Positive","Negative")</f>
        <v>Negative</v>
      </c>
      <c r="T1322" s="1" t="str">
        <f>IFERROR(VLOOKUP(A1322,[1]diabetes_Recognition!$A:$B,2,FALSE),"Not Sampled")</f>
        <v>Not Sampled</v>
      </c>
      <c r="U1322" t="str">
        <f>IF(T1322=1,"Positive",(IF(T1322=0,"Negative","Not Sampled")))</f>
        <v>Not Sampled</v>
      </c>
      <c r="V1322" s="1" t="str">
        <f>IF(U1322="Not Sampled","Not Sampled",IF(S1322=U1322,"Accurate Prediction","Inaccurate Prediction"))</f>
        <v>Not Sampled</v>
      </c>
    </row>
    <row r="1323" spans="1:22" x14ac:dyDescent="0.25">
      <c r="A1323" s="1">
        <v>1321</v>
      </c>
      <c r="B1323" s="1">
        <v>2</v>
      </c>
      <c r="C1323" s="1">
        <f>LOOKUP(B1323,Sheet2!$D$4:$E$9)</f>
        <v>2</v>
      </c>
      <c r="D1323" s="1">
        <v>100</v>
      </c>
      <c r="E1323" t="str">
        <f>LOOKUP(D1323,Sheet2!$G$4:$H$9)</f>
        <v>100-125</v>
      </c>
      <c r="F1323" s="1">
        <v>64</v>
      </c>
      <c r="G1323" t="str">
        <f>LOOKUP(F1323,Sheet2!$J$4:$K$8)</f>
        <v>60-69</v>
      </c>
      <c r="H1323" s="1">
        <v>23</v>
      </c>
      <c r="I1323" t="str">
        <f>LOOKUP(H1323,Sheet2!$M$4:$N$8)</f>
        <v>10-30</v>
      </c>
      <c r="J1323" s="1">
        <v>0</v>
      </c>
      <c r="K1323" t="str">
        <f>LOOKUP(J1323,Sheet2!$P$4:$Q$9)</f>
        <v>Unknown</v>
      </c>
      <c r="L1323" s="1">
        <v>29.7</v>
      </c>
      <c r="M1323" t="str">
        <f>LOOKUP(L1323,Sheet2!$S$4:$T$8)</f>
        <v>26-30</v>
      </c>
      <c r="N1323" s="1">
        <v>0.36799999999999999</v>
      </c>
      <c r="O1323" t="str">
        <f>LOOKUP(N1323,Sheet2!$V$4:$W$7)</f>
        <v>0.25 - 0.39</v>
      </c>
      <c r="P1323" s="1">
        <v>21</v>
      </c>
      <c r="Q1323" t="str">
        <f>LOOKUP(P1323,Sheet2!$Z$4:$AA$7)</f>
        <v>&lt;=25</v>
      </c>
      <c r="R1323" s="1">
        <v>0</v>
      </c>
      <c r="S1323" t="str">
        <f>IF(R1323=1,"Positive","Negative")</f>
        <v>Negative</v>
      </c>
      <c r="T1323" s="1" t="str">
        <f>IFERROR(VLOOKUP(A1323,[1]diabetes_Recognition!$A:$B,2,FALSE),"Not Sampled")</f>
        <v>Not Sampled</v>
      </c>
      <c r="U1323" t="str">
        <f>IF(T1323=1,"Positive",(IF(T1323=0,"Negative","Not Sampled")))</f>
        <v>Not Sampled</v>
      </c>
      <c r="V1323" s="1" t="str">
        <f>IF(U1323="Not Sampled","Not Sampled",IF(S1323=U1323,"Accurate Prediction","Inaccurate Prediction"))</f>
        <v>Not Sampled</v>
      </c>
    </row>
    <row r="1324" spans="1:22" x14ac:dyDescent="0.25">
      <c r="A1324" s="1">
        <v>1322</v>
      </c>
      <c r="B1324" s="1">
        <v>0</v>
      </c>
      <c r="C1324" s="1">
        <f>LOOKUP(B1324,Sheet2!$D$4:$E$9)</f>
        <v>0</v>
      </c>
      <c r="D1324" s="1">
        <v>131</v>
      </c>
      <c r="E1324" t="str">
        <f>LOOKUP(D1324,Sheet2!$G$4:$H$9)</f>
        <v>126-150</v>
      </c>
      <c r="F1324" s="1">
        <v>88</v>
      </c>
      <c r="G1324" t="str">
        <f>LOOKUP(F1324,Sheet2!$J$4:$K$8)</f>
        <v>80+</v>
      </c>
      <c r="H1324" s="1">
        <v>0</v>
      </c>
      <c r="I1324" t="str">
        <f>LOOKUP(H1324,Sheet2!$M$4:$N$8)</f>
        <v>Unknown</v>
      </c>
      <c r="J1324" s="1">
        <v>0</v>
      </c>
      <c r="K1324" t="str">
        <f>LOOKUP(J1324,Sheet2!$P$4:$Q$9)</f>
        <v>Unknown</v>
      </c>
      <c r="L1324" s="1">
        <v>31.6</v>
      </c>
      <c r="M1324" t="str">
        <f>LOOKUP(L1324,Sheet2!$S$4:$T$8)</f>
        <v>31-35</v>
      </c>
      <c r="N1324" s="1">
        <v>0.74299999999999999</v>
      </c>
      <c r="O1324" t="str">
        <f>LOOKUP(N1324,Sheet2!$V$4:$W$7)</f>
        <v>0.7+</v>
      </c>
      <c r="P1324" s="1">
        <v>32</v>
      </c>
      <c r="Q1324" t="str">
        <f>LOOKUP(P1324,Sheet2!$Z$4:$AA$7)</f>
        <v>26-35</v>
      </c>
      <c r="R1324" s="1">
        <v>1</v>
      </c>
      <c r="S1324" t="str">
        <f>IF(R1324=1,"Positive","Negative")</f>
        <v>Positive</v>
      </c>
      <c r="T1324" s="1" t="str">
        <f>IFERROR(VLOOKUP(A1324,[1]diabetes_Recognition!$A:$B,2,FALSE),"Not Sampled")</f>
        <v>Not Sampled</v>
      </c>
      <c r="U1324" t="str">
        <f>IF(T1324=1,"Positive",(IF(T1324=0,"Negative","Not Sampled")))</f>
        <v>Not Sampled</v>
      </c>
      <c r="V1324" s="1" t="str">
        <f>IF(U1324="Not Sampled","Not Sampled",IF(S1324=U1324,"Accurate Prediction","Inaccurate Prediction"))</f>
        <v>Not Sampled</v>
      </c>
    </row>
    <row r="1325" spans="1:22" x14ac:dyDescent="0.25">
      <c r="A1325" s="1">
        <v>1323</v>
      </c>
      <c r="B1325" s="1">
        <v>6</v>
      </c>
      <c r="C1325" s="1" t="str">
        <f>LOOKUP(B1325,Sheet2!$D$4:$E$9)</f>
        <v>5-7</v>
      </c>
      <c r="D1325" s="1">
        <v>104</v>
      </c>
      <c r="E1325" t="str">
        <f>LOOKUP(D1325,Sheet2!$G$4:$H$9)</f>
        <v>100-125</v>
      </c>
      <c r="F1325" s="1">
        <v>74</v>
      </c>
      <c r="G1325" t="str">
        <f>LOOKUP(F1325,Sheet2!$J$4:$K$8)</f>
        <v>70-79</v>
      </c>
      <c r="H1325" s="1">
        <v>18</v>
      </c>
      <c r="I1325" t="str">
        <f>LOOKUP(H1325,Sheet2!$M$4:$N$8)</f>
        <v>10-30</v>
      </c>
      <c r="J1325" s="1">
        <v>156</v>
      </c>
      <c r="K1325" t="str">
        <f>LOOKUP(J1325,Sheet2!$P$4:$Q$9)</f>
        <v>100-199</v>
      </c>
      <c r="L1325" s="1">
        <v>29.9</v>
      </c>
      <c r="M1325" t="str">
        <f>LOOKUP(L1325,Sheet2!$S$4:$T$8)</f>
        <v>26-30</v>
      </c>
      <c r="N1325" s="1">
        <v>0.72199999999999998</v>
      </c>
      <c r="O1325" t="str">
        <f>LOOKUP(N1325,Sheet2!$V$4:$W$7)</f>
        <v>0.7+</v>
      </c>
      <c r="P1325" s="1">
        <v>41</v>
      </c>
      <c r="Q1325" t="str">
        <f>LOOKUP(P1325,Sheet2!$Z$4:$AA$7)</f>
        <v>36-45</v>
      </c>
      <c r="R1325" s="1">
        <v>1</v>
      </c>
      <c r="S1325" t="str">
        <f>IF(R1325=1,"Positive","Negative")</f>
        <v>Positive</v>
      </c>
      <c r="T1325" s="1">
        <f>IFERROR(VLOOKUP(A1325,[1]diabetes_Recognition!$A:$B,2,FALSE),"Not Sampled")</f>
        <v>0</v>
      </c>
      <c r="U1325" t="str">
        <f>IF(T1325=1,"Positive",(IF(T1325=0,"Negative","Not Sampled")))</f>
        <v>Negative</v>
      </c>
      <c r="V1325" s="1" t="str">
        <f>IF(U1325="Not Sampled","Not Sampled",IF(S1325=U1325,"Accurate Prediction","Inaccurate Prediction"))</f>
        <v>Inaccurate Prediction</v>
      </c>
    </row>
    <row r="1326" spans="1:22" x14ac:dyDescent="0.25">
      <c r="A1326" s="1">
        <v>1324</v>
      </c>
      <c r="B1326" s="1">
        <v>3</v>
      </c>
      <c r="C1326" s="1" t="str">
        <f>LOOKUP(B1326,Sheet2!$D$4:$E$9)</f>
        <v>3-4</v>
      </c>
      <c r="D1326" s="1">
        <v>148</v>
      </c>
      <c r="E1326" t="str">
        <f>LOOKUP(D1326,Sheet2!$G$4:$H$9)</f>
        <v>126-150</v>
      </c>
      <c r="F1326" s="1">
        <v>66</v>
      </c>
      <c r="G1326" t="str">
        <f>LOOKUP(F1326,Sheet2!$J$4:$K$8)</f>
        <v>60-69</v>
      </c>
      <c r="H1326" s="1">
        <v>25</v>
      </c>
      <c r="I1326" t="str">
        <f>LOOKUP(H1326,Sheet2!$M$4:$N$8)</f>
        <v>10-30</v>
      </c>
      <c r="J1326" s="1">
        <v>0</v>
      </c>
      <c r="K1326" t="str">
        <f>LOOKUP(J1326,Sheet2!$P$4:$Q$9)</f>
        <v>Unknown</v>
      </c>
      <c r="L1326" s="1">
        <v>32.5</v>
      </c>
      <c r="M1326" t="str">
        <f>LOOKUP(L1326,Sheet2!$S$4:$T$8)</f>
        <v>31-35</v>
      </c>
      <c r="N1326" s="1">
        <v>0.25600000000000001</v>
      </c>
      <c r="O1326" t="str">
        <f>LOOKUP(N1326,Sheet2!$V$4:$W$7)</f>
        <v>0.25 - 0.39</v>
      </c>
      <c r="P1326" s="1">
        <v>22</v>
      </c>
      <c r="Q1326" t="str">
        <f>LOOKUP(P1326,Sheet2!$Z$4:$AA$7)</f>
        <v>&lt;=25</v>
      </c>
      <c r="R1326" s="1">
        <v>0</v>
      </c>
      <c r="S1326" t="str">
        <f>IF(R1326=1,"Positive","Negative")</f>
        <v>Negative</v>
      </c>
      <c r="T1326" s="1" t="str">
        <f>IFERROR(VLOOKUP(A1326,[1]diabetes_Recognition!$A:$B,2,FALSE),"Not Sampled")</f>
        <v>Not Sampled</v>
      </c>
      <c r="U1326" t="str">
        <f>IF(T1326=1,"Positive",(IF(T1326=0,"Negative","Not Sampled")))</f>
        <v>Not Sampled</v>
      </c>
      <c r="V1326" s="1" t="str">
        <f>IF(U1326="Not Sampled","Not Sampled",IF(S1326=U1326,"Accurate Prediction","Inaccurate Prediction"))</f>
        <v>Not Sampled</v>
      </c>
    </row>
    <row r="1327" spans="1:22" x14ac:dyDescent="0.25">
      <c r="A1327" s="1">
        <v>1325</v>
      </c>
      <c r="B1327" s="1">
        <v>4</v>
      </c>
      <c r="C1327" s="1" t="str">
        <f>LOOKUP(B1327,Sheet2!$D$4:$E$9)</f>
        <v>3-4</v>
      </c>
      <c r="D1327" s="1">
        <v>120</v>
      </c>
      <c r="E1327" t="str">
        <f>LOOKUP(D1327,Sheet2!$G$4:$H$9)</f>
        <v>100-125</v>
      </c>
      <c r="F1327" s="1">
        <v>68</v>
      </c>
      <c r="G1327" t="str">
        <f>LOOKUP(F1327,Sheet2!$J$4:$K$8)</f>
        <v>60-69</v>
      </c>
      <c r="H1327" s="1">
        <v>0</v>
      </c>
      <c r="I1327" t="str">
        <f>LOOKUP(H1327,Sheet2!$M$4:$N$8)</f>
        <v>Unknown</v>
      </c>
      <c r="J1327" s="1">
        <v>0</v>
      </c>
      <c r="K1327" t="str">
        <f>LOOKUP(J1327,Sheet2!$P$4:$Q$9)</f>
        <v>Unknown</v>
      </c>
      <c r="L1327" s="1">
        <v>29.6</v>
      </c>
      <c r="M1327" t="str">
        <f>LOOKUP(L1327,Sheet2!$S$4:$T$8)</f>
        <v>26-30</v>
      </c>
      <c r="N1327" s="1">
        <v>0.70899999999999996</v>
      </c>
      <c r="O1327" t="str">
        <f>LOOKUP(N1327,Sheet2!$V$4:$W$7)</f>
        <v>0.7+</v>
      </c>
      <c r="P1327" s="1">
        <v>34</v>
      </c>
      <c r="Q1327" t="str">
        <f>LOOKUP(P1327,Sheet2!$Z$4:$AA$7)</f>
        <v>26-35</v>
      </c>
      <c r="R1327" s="1">
        <v>0</v>
      </c>
      <c r="S1327" t="str">
        <f>IF(R1327=1,"Positive","Negative")</f>
        <v>Negative</v>
      </c>
      <c r="T1327" s="1" t="str">
        <f>IFERROR(VLOOKUP(A1327,[1]diabetes_Recognition!$A:$B,2,FALSE),"Not Sampled")</f>
        <v>Not Sampled</v>
      </c>
      <c r="U1327" t="str">
        <f>IF(T1327=1,"Positive",(IF(T1327=0,"Negative","Not Sampled")))</f>
        <v>Not Sampled</v>
      </c>
      <c r="V1327" s="1" t="str">
        <f>IF(U1327="Not Sampled","Not Sampled",IF(S1327=U1327,"Accurate Prediction","Inaccurate Prediction"))</f>
        <v>Not Sampled</v>
      </c>
    </row>
    <row r="1328" spans="1:22" x14ac:dyDescent="0.25">
      <c r="A1328" s="1">
        <v>1326</v>
      </c>
      <c r="B1328" s="1">
        <v>4</v>
      </c>
      <c r="C1328" s="1" t="str">
        <f>LOOKUP(B1328,Sheet2!$D$4:$E$9)</f>
        <v>3-4</v>
      </c>
      <c r="D1328" s="1">
        <v>110</v>
      </c>
      <c r="E1328" t="str">
        <f>LOOKUP(D1328,Sheet2!$G$4:$H$9)</f>
        <v>100-125</v>
      </c>
      <c r="F1328" s="1">
        <v>66</v>
      </c>
      <c r="G1328" t="str">
        <f>LOOKUP(F1328,Sheet2!$J$4:$K$8)</f>
        <v>60-69</v>
      </c>
      <c r="H1328" s="1">
        <v>0</v>
      </c>
      <c r="I1328" t="str">
        <f>LOOKUP(H1328,Sheet2!$M$4:$N$8)</f>
        <v>Unknown</v>
      </c>
      <c r="J1328" s="1">
        <v>0</v>
      </c>
      <c r="K1328" t="str">
        <f>LOOKUP(J1328,Sheet2!$P$4:$Q$9)</f>
        <v>Unknown</v>
      </c>
      <c r="L1328" s="1">
        <v>31.9</v>
      </c>
      <c r="M1328" t="str">
        <f>LOOKUP(L1328,Sheet2!$S$4:$T$8)</f>
        <v>31-35</v>
      </c>
      <c r="N1328" s="1">
        <v>0.47099999999999997</v>
      </c>
      <c r="O1328" t="str">
        <f>LOOKUP(N1328,Sheet2!$V$4:$W$7)</f>
        <v>0.4 - 0.69</v>
      </c>
      <c r="P1328" s="1">
        <v>29</v>
      </c>
      <c r="Q1328" t="str">
        <f>LOOKUP(P1328,Sheet2!$Z$4:$AA$7)</f>
        <v>26-35</v>
      </c>
      <c r="R1328" s="1">
        <v>0</v>
      </c>
      <c r="S1328" t="str">
        <f>IF(R1328=1,"Positive","Negative")</f>
        <v>Negative</v>
      </c>
      <c r="T1328" s="1" t="str">
        <f>IFERROR(VLOOKUP(A1328,[1]diabetes_Recognition!$A:$B,2,FALSE),"Not Sampled")</f>
        <v>Not Sampled</v>
      </c>
      <c r="U1328" t="str">
        <f>IF(T1328=1,"Positive",(IF(T1328=0,"Negative","Not Sampled")))</f>
        <v>Not Sampled</v>
      </c>
      <c r="V1328" s="1" t="str">
        <f>IF(U1328="Not Sampled","Not Sampled",IF(S1328=U1328,"Accurate Prediction","Inaccurate Prediction"))</f>
        <v>Not Sampled</v>
      </c>
    </row>
    <row r="1329" spans="1:22" x14ac:dyDescent="0.25">
      <c r="A1329" s="1">
        <v>1327</v>
      </c>
      <c r="B1329" s="1">
        <v>3</v>
      </c>
      <c r="C1329" s="1" t="str">
        <f>LOOKUP(B1329,Sheet2!$D$4:$E$9)</f>
        <v>3-4</v>
      </c>
      <c r="D1329" s="1">
        <v>111</v>
      </c>
      <c r="E1329" t="str">
        <f>LOOKUP(D1329,Sheet2!$G$4:$H$9)</f>
        <v>100-125</v>
      </c>
      <c r="F1329" s="1">
        <v>90</v>
      </c>
      <c r="G1329" t="str">
        <f>LOOKUP(F1329,Sheet2!$J$4:$K$8)</f>
        <v>80+</v>
      </c>
      <c r="H1329" s="1">
        <v>12</v>
      </c>
      <c r="I1329" t="str">
        <f>LOOKUP(H1329,Sheet2!$M$4:$N$8)</f>
        <v>10-30</v>
      </c>
      <c r="J1329" s="1">
        <v>78</v>
      </c>
      <c r="K1329" t="str">
        <f>LOOKUP(J1329,Sheet2!$P$4:$Q$9)</f>
        <v>1-99</v>
      </c>
      <c r="L1329" s="1">
        <v>28.4</v>
      </c>
      <c r="M1329" t="str">
        <f>LOOKUP(L1329,Sheet2!$S$4:$T$8)</f>
        <v>26-30</v>
      </c>
      <c r="N1329" s="1">
        <v>0.495</v>
      </c>
      <c r="O1329" t="str">
        <f>LOOKUP(N1329,Sheet2!$V$4:$W$7)</f>
        <v>0.4 - 0.69</v>
      </c>
      <c r="P1329" s="1">
        <v>29</v>
      </c>
      <c r="Q1329" t="str">
        <f>LOOKUP(P1329,Sheet2!$Z$4:$AA$7)</f>
        <v>26-35</v>
      </c>
      <c r="R1329" s="1">
        <v>0</v>
      </c>
      <c r="S1329" t="str">
        <f>IF(R1329=1,"Positive","Negative")</f>
        <v>Negative</v>
      </c>
      <c r="T1329" s="1" t="str">
        <f>IFERROR(VLOOKUP(A1329,[1]diabetes_Recognition!$A:$B,2,FALSE),"Not Sampled")</f>
        <v>Not Sampled</v>
      </c>
      <c r="U1329" t="str">
        <f>IF(T1329=1,"Positive",(IF(T1329=0,"Negative","Not Sampled")))</f>
        <v>Not Sampled</v>
      </c>
      <c r="V1329" s="1" t="str">
        <f>IF(U1329="Not Sampled","Not Sampled",IF(S1329=U1329,"Accurate Prediction","Inaccurate Prediction"))</f>
        <v>Not Sampled</v>
      </c>
    </row>
    <row r="1330" spans="1:22" x14ac:dyDescent="0.25">
      <c r="A1330" s="1">
        <v>1328</v>
      </c>
      <c r="B1330" s="1">
        <v>6</v>
      </c>
      <c r="C1330" s="1" t="str">
        <f>LOOKUP(B1330,Sheet2!$D$4:$E$9)</f>
        <v>5-7</v>
      </c>
      <c r="D1330" s="1">
        <v>102</v>
      </c>
      <c r="E1330" t="str">
        <f>LOOKUP(D1330,Sheet2!$G$4:$H$9)</f>
        <v>100-125</v>
      </c>
      <c r="F1330" s="1">
        <v>82</v>
      </c>
      <c r="G1330" t="str">
        <f>LOOKUP(F1330,Sheet2!$J$4:$K$8)</f>
        <v>80+</v>
      </c>
      <c r="H1330" s="1">
        <v>0</v>
      </c>
      <c r="I1330" t="str">
        <f>LOOKUP(H1330,Sheet2!$M$4:$N$8)</f>
        <v>Unknown</v>
      </c>
      <c r="J1330" s="1">
        <v>0</v>
      </c>
      <c r="K1330" t="str">
        <f>LOOKUP(J1330,Sheet2!$P$4:$Q$9)</f>
        <v>Unknown</v>
      </c>
      <c r="L1330" s="1">
        <v>30.8</v>
      </c>
      <c r="M1330" t="str">
        <f>LOOKUP(L1330,Sheet2!$S$4:$T$8)</f>
        <v>26-30</v>
      </c>
      <c r="N1330" s="1">
        <v>0.18</v>
      </c>
      <c r="O1330" t="str">
        <f>LOOKUP(N1330,Sheet2!$V$4:$W$7)</f>
        <v>0.0 - 0.249</v>
      </c>
      <c r="P1330" s="1">
        <v>36</v>
      </c>
      <c r="Q1330" t="str">
        <f>LOOKUP(P1330,Sheet2!$Z$4:$AA$7)</f>
        <v>36-45</v>
      </c>
      <c r="R1330" s="1">
        <v>1</v>
      </c>
      <c r="S1330" t="str">
        <f>IF(R1330=1,"Positive","Negative")</f>
        <v>Positive</v>
      </c>
      <c r="T1330" s="1" t="str">
        <f>IFERROR(VLOOKUP(A1330,[1]diabetes_Recognition!$A:$B,2,FALSE),"Not Sampled")</f>
        <v>Not Sampled</v>
      </c>
      <c r="U1330" t="str">
        <f>IF(T1330=1,"Positive",(IF(T1330=0,"Negative","Not Sampled")))</f>
        <v>Not Sampled</v>
      </c>
      <c r="V1330" s="1" t="str">
        <f>IF(U1330="Not Sampled","Not Sampled",IF(S1330=U1330,"Accurate Prediction","Inaccurate Prediction"))</f>
        <v>Not Sampled</v>
      </c>
    </row>
    <row r="1331" spans="1:22" x14ac:dyDescent="0.25">
      <c r="A1331" s="1">
        <v>1329</v>
      </c>
      <c r="B1331" s="1">
        <v>6</v>
      </c>
      <c r="C1331" s="1" t="str">
        <f>LOOKUP(B1331,Sheet2!$D$4:$E$9)</f>
        <v>5-7</v>
      </c>
      <c r="D1331" s="1">
        <v>134</v>
      </c>
      <c r="E1331" t="str">
        <f>LOOKUP(D1331,Sheet2!$G$4:$H$9)</f>
        <v>126-150</v>
      </c>
      <c r="F1331" s="1">
        <v>70</v>
      </c>
      <c r="G1331" t="str">
        <f>LOOKUP(F1331,Sheet2!$J$4:$K$8)</f>
        <v>70-79</v>
      </c>
      <c r="H1331" s="1">
        <v>23</v>
      </c>
      <c r="I1331" t="str">
        <f>LOOKUP(H1331,Sheet2!$M$4:$N$8)</f>
        <v>10-30</v>
      </c>
      <c r="J1331" s="1">
        <v>130</v>
      </c>
      <c r="K1331" t="str">
        <f>LOOKUP(J1331,Sheet2!$P$4:$Q$9)</f>
        <v>100-199</v>
      </c>
      <c r="L1331" s="1">
        <v>35.4</v>
      </c>
      <c r="M1331" t="str">
        <f>LOOKUP(L1331,Sheet2!$S$4:$T$8)</f>
        <v>31-35</v>
      </c>
      <c r="N1331" s="1">
        <v>0.54200000000000004</v>
      </c>
      <c r="O1331" t="str">
        <f>LOOKUP(N1331,Sheet2!$V$4:$W$7)</f>
        <v>0.4 - 0.69</v>
      </c>
      <c r="P1331" s="1">
        <v>29</v>
      </c>
      <c r="Q1331" t="str">
        <f>LOOKUP(P1331,Sheet2!$Z$4:$AA$7)</f>
        <v>26-35</v>
      </c>
      <c r="R1331" s="1">
        <v>1</v>
      </c>
      <c r="S1331" t="str">
        <f>IF(R1331=1,"Positive","Negative")</f>
        <v>Positive</v>
      </c>
      <c r="T1331" s="1" t="str">
        <f>IFERROR(VLOOKUP(A1331,[1]diabetes_Recognition!$A:$B,2,FALSE),"Not Sampled")</f>
        <v>Not Sampled</v>
      </c>
      <c r="U1331" t="str">
        <f>IF(T1331=1,"Positive",(IF(T1331=0,"Negative","Not Sampled")))</f>
        <v>Not Sampled</v>
      </c>
      <c r="V1331" s="1" t="str">
        <f>IF(U1331="Not Sampled","Not Sampled",IF(S1331=U1331,"Accurate Prediction","Inaccurate Prediction"))</f>
        <v>Not Sampled</v>
      </c>
    </row>
    <row r="1332" spans="1:22" x14ac:dyDescent="0.25">
      <c r="A1332" s="1">
        <v>1330</v>
      </c>
      <c r="B1332" s="1">
        <v>2</v>
      </c>
      <c r="C1332" s="1">
        <f>LOOKUP(B1332,Sheet2!$D$4:$E$9)</f>
        <v>2</v>
      </c>
      <c r="D1332" s="1">
        <v>87</v>
      </c>
      <c r="E1332" t="str">
        <f>LOOKUP(D1332,Sheet2!$G$4:$H$9)</f>
        <v>1-99</v>
      </c>
      <c r="F1332" s="1">
        <v>0</v>
      </c>
      <c r="G1332" t="str">
        <f>LOOKUP(F1332,Sheet2!$J$4:$K$8)</f>
        <v>Unknown</v>
      </c>
      <c r="H1332" s="1">
        <v>23</v>
      </c>
      <c r="I1332" t="str">
        <f>LOOKUP(H1332,Sheet2!$M$4:$N$8)</f>
        <v>10-30</v>
      </c>
      <c r="J1332" s="1">
        <v>0</v>
      </c>
      <c r="K1332" t="str">
        <f>LOOKUP(J1332,Sheet2!$P$4:$Q$9)</f>
        <v>Unknown</v>
      </c>
      <c r="L1332" s="1">
        <v>28.9</v>
      </c>
      <c r="M1332" t="str">
        <f>LOOKUP(L1332,Sheet2!$S$4:$T$8)</f>
        <v>26-30</v>
      </c>
      <c r="N1332" s="1">
        <v>0.77300000000000002</v>
      </c>
      <c r="O1332" t="str">
        <f>LOOKUP(N1332,Sheet2!$V$4:$W$7)</f>
        <v>0.7+</v>
      </c>
      <c r="P1332" s="1">
        <v>25</v>
      </c>
      <c r="Q1332" t="str">
        <f>LOOKUP(P1332,Sheet2!$Z$4:$AA$7)</f>
        <v>&lt;=25</v>
      </c>
      <c r="R1332" s="1">
        <v>0</v>
      </c>
      <c r="S1332" t="str">
        <f>IF(R1332=1,"Positive","Negative")</f>
        <v>Negative</v>
      </c>
      <c r="T1332" s="1" t="str">
        <f>IFERROR(VLOOKUP(A1332,[1]diabetes_Recognition!$A:$B,2,FALSE),"Not Sampled")</f>
        <v>Not Sampled</v>
      </c>
      <c r="U1332" t="str">
        <f>IF(T1332=1,"Positive",(IF(T1332=0,"Negative","Not Sampled")))</f>
        <v>Not Sampled</v>
      </c>
      <c r="V1332" s="1" t="str">
        <f>IF(U1332="Not Sampled","Not Sampled",IF(S1332=U1332,"Accurate Prediction","Inaccurate Prediction"))</f>
        <v>Not Sampled</v>
      </c>
    </row>
    <row r="1333" spans="1:22" x14ac:dyDescent="0.25">
      <c r="A1333" s="1">
        <v>1331</v>
      </c>
      <c r="B1333" s="1">
        <v>1</v>
      </c>
      <c r="C1333" s="1">
        <f>LOOKUP(B1333,Sheet2!$D$4:$E$9)</f>
        <v>1</v>
      </c>
      <c r="D1333" s="1">
        <v>79</v>
      </c>
      <c r="E1333" t="str">
        <f>LOOKUP(D1333,Sheet2!$G$4:$H$9)</f>
        <v>1-99</v>
      </c>
      <c r="F1333" s="1">
        <v>60</v>
      </c>
      <c r="G1333" t="str">
        <f>LOOKUP(F1333,Sheet2!$J$4:$K$8)</f>
        <v>60-69</v>
      </c>
      <c r="H1333" s="1">
        <v>42</v>
      </c>
      <c r="I1333" t="str">
        <f>LOOKUP(H1333,Sheet2!$M$4:$N$8)</f>
        <v>40+</v>
      </c>
      <c r="J1333" s="1">
        <v>48</v>
      </c>
      <c r="K1333" t="str">
        <f>LOOKUP(J1333,Sheet2!$P$4:$Q$9)</f>
        <v>1-99</v>
      </c>
      <c r="L1333" s="1">
        <v>43.5</v>
      </c>
      <c r="M1333" t="str">
        <f>LOOKUP(L1333,Sheet2!$S$4:$T$8)</f>
        <v>36+</v>
      </c>
      <c r="N1333" s="1">
        <v>0.67800000000000005</v>
      </c>
      <c r="O1333" t="str">
        <f>LOOKUP(N1333,Sheet2!$V$4:$W$7)</f>
        <v>0.4 - 0.69</v>
      </c>
      <c r="P1333" s="1">
        <v>23</v>
      </c>
      <c r="Q1333" t="str">
        <f>LOOKUP(P1333,Sheet2!$Z$4:$AA$7)</f>
        <v>&lt;=25</v>
      </c>
      <c r="R1333" s="1">
        <v>0</v>
      </c>
      <c r="S1333" t="str">
        <f>IF(R1333=1,"Positive","Negative")</f>
        <v>Negative</v>
      </c>
      <c r="T1333" s="1" t="str">
        <f>IFERROR(VLOOKUP(A1333,[1]diabetes_Recognition!$A:$B,2,FALSE),"Not Sampled")</f>
        <v>Not Sampled</v>
      </c>
      <c r="U1333" t="str">
        <f>IF(T1333=1,"Positive",(IF(T1333=0,"Negative","Not Sampled")))</f>
        <v>Not Sampled</v>
      </c>
      <c r="V1333" s="1" t="str">
        <f>IF(U1333="Not Sampled","Not Sampled",IF(S1333=U1333,"Accurate Prediction","Inaccurate Prediction"))</f>
        <v>Not Sampled</v>
      </c>
    </row>
    <row r="1334" spans="1:22" x14ac:dyDescent="0.25">
      <c r="A1334" s="1">
        <v>1332</v>
      </c>
      <c r="B1334" s="1">
        <v>2</v>
      </c>
      <c r="C1334" s="1">
        <f>LOOKUP(B1334,Sheet2!$D$4:$E$9)</f>
        <v>2</v>
      </c>
      <c r="D1334" s="1">
        <v>75</v>
      </c>
      <c r="E1334" t="str">
        <f>LOOKUP(D1334,Sheet2!$G$4:$H$9)</f>
        <v>1-99</v>
      </c>
      <c r="F1334" s="1">
        <v>64</v>
      </c>
      <c r="G1334" t="str">
        <f>LOOKUP(F1334,Sheet2!$J$4:$K$8)</f>
        <v>60-69</v>
      </c>
      <c r="H1334" s="1">
        <v>24</v>
      </c>
      <c r="I1334" t="str">
        <f>LOOKUP(H1334,Sheet2!$M$4:$N$8)</f>
        <v>10-30</v>
      </c>
      <c r="J1334" s="1">
        <v>55</v>
      </c>
      <c r="K1334" t="str">
        <f>LOOKUP(J1334,Sheet2!$P$4:$Q$9)</f>
        <v>1-99</v>
      </c>
      <c r="L1334" s="1">
        <v>29.7</v>
      </c>
      <c r="M1334" t="str">
        <f>LOOKUP(L1334,Sheet2!$S$4:$T$8)</f>
        <v>26-30</v>
      </c>
      <c r="N1334" s="1">
        <v>0.37</v>
      </c>
      <c r="O1334" t="str">
        <f>LOOKUP(N1334,Sheet2!$V$4:$W$7)</f>
        <v>0.25 - 0.39</v>
      </c>
      <c r="P1334" s="1">
        <v>33</v>
      </c>
      <c r="Q1334" t="str">
        <f>LOOKUP(P1334,Sheet2!$Z$4:$AA$7)</f>
        <v>26-35</v>
      </c>
      <c r="R1334" s="1">
        <v>0</v>
      </c>
      <c r="S1334" t="str">
        <f>IF(R1334=1,"Positive","Negative")</f>
        <v>Negative</v>
      </c>
      <c r="T1334" s="1" t="str">
        <f>IFERROR(VLOOKUP(A1334,[1]diabetes_Recognition!$A:$B,2,FALSE),"Not Sampled")</f>
        <v>Not Sampled</v>
      </c>
      <c r="U1334" t="str">
        <f>IF(T1334=1,"Positive",(IF(T1334=0,"Negative","Not Sampled")))</f>
        <v>Not Sampled</v>
      </c>
      <c r="V1334" s="1" t="str">
        <f>IF(U1334="Not Sampled","Not Sampled",IF(S1334=U1334,"Accurate Prediction","Inaccurate Prediction"))</f>
        <v>Not Sampled</v>
      </c>
    </row>
    <row r="1335" spans="1:22" x14ac:dyDescent="0.25">
      <c r="A1335" s="1">
        <v>1333</v>
      </c>
      <c r="B1335" s="1">
        <v>8</v>
      </c>
      <c r="C1335" s="1" t="str">
        <f>LOOKUP(B1335,Sheet2!$D$4:$E$9)</f>
        <v>8+</v>
      </c>
      <c r="D1335" s="1">
        <v>179</v>
      </c>
      <c r="E1335" t="str">
        <f>LOOKUP(D1335,Sheet2!$G$4:$H$9)</f>
        <v>176-200</v>
      </c>
      <c r="F1335" s="1">
        <v>72</v>
      </c>
      <c r="G1335" t="str">
        <f>LOOKUP(F1335,Sheet2!$J$4:$K$8)</f>
        <v>70-79</v>
      </c>
      <c r="H1335" s="1">
        <v>42</v>
      </c>
      <c r="I1335" t="str">
        <f>LOOKUP(H1335,Sheet2!$M$4:$N$8)</f>
        <v>40+</v>
      </c>
      <c r="J1335" s="1">
        <v>130</v>
      </c>
      <c r="K1335" t="str">
        <f>LOOKUP(J1335,Sheet2!$P$4:$Q$9)</f>
        <v>100-199</v>
      </c>
      <c r="L1335" s="1">
        <v>32.700000000000003</v>
      </c>
      <c r="M1335" t="str">
        <f>LOOKUP(L1335,Sheet2!$S$4:$T$8)</f>
        <v>31-35</v>
      </c>
      <c r="N1335" s="1">
        <v>0.71899999999999997</v>
      </c>
      <c r="O1335" t="str">
        <f>LOOKUP(N1335,Sheet2!$V$4:$W$7)</f>
        <v>0.7+</v>
      </c>
      <c r="P1335" s="1">
        <v>36</v>
      </c>
      <c r="Q1335" t="str">
        <f>LOOKUP(P1335,Sheet2!$Z$4:$AA$7)</f>
        <v>36-45</v>
      </c>
      <c r="R1335" s="1">
        <v>1</v>
      </c>
      <c r="S1335" t="str">
        <f>IF(R1335=1,"Positive","Negative")</f>
        <v>Positive</v>
      </c>
      <c r="T1335" s="1" t="str">
        <f>IFERROR(VLOOKUP(A1335,[1]diabetes_Recognition!$A:$B,2,FALSE),"Not Sampled")</f>
        <v>Not Sampled</v>
      </c>
      <c r="U1335" t="str">
        <f>IF(T1335=1,"Positive",(IF(T1335=0,"Negative","Not Sampled")))</f>
        <v>Not Sampled</v>
      </c>
      <c r="V1335" s="1" t="str">
        <f>IF(U1335="Not Sampled","Not Sampled",IF(S1335=U1335,"Accurate Prediction","Inaccurate Prediction"))</f>
        <v>Not Sampled</v>
      </c>
    </row>
    <row r="1336" spans="1:22" x14ac:dyDescent="0.25">
      <c r="A1336" s="1">
        <v>1334</v>
      </c>
      <c r="B1336" s="1">
        <v>6</v>
      </c>
      <c r="C1336" s="1" t="str">
        <f>LOOKUP(B1336,Sheet2!$D$4:$E$9)</f>
        <v>5-7</v>
      </c>
      <c r="D1336" s="1">
        <v>85</v>
      </c>
      <c r="E1336" t="str">
        <f>LOOKUP(D1336,Sheet2!$G$4:$H$9)</f>
        <v>1-99</v>
      </c>
      <c r="F1336" s="1">
        <v>78</v>
      </c>
      <c r="G1336" t="str">
        <f>LOOKUP(F1336,Sheet2!$J$4:$K$8)</f>
        <v>70-79</v>
      </c>
      <c r="H1336" s="1">
        <v>0</v>
      </c>
      <c r="I1336" t="str">
        <f>LOOKUP(H1336,Sheet2!$M$4:$N$8)</f>
        <v>Unknown</v>
      </c>
      <c r="J1336" s="1">
        <v>0</v>
      </c>
      <c r="K1336" t="str">
        <f>LOOKUP(J1336,Sheet2!$P$4:$Q$9)</f>
        <v>Unknown</v>
      </c>
      <c r="L1336" s="1">
        <v>31.2</v>
      </c>
      <c r="M1336" t="str">
        <f>LOOKUP(L1336,Sheet2!$S$4:$T$8)</f>
        <v>31-35</v>
      </c>
      <c r="N1336" s="1">
        <v>0.38200000000000001</v>
      </c>
      <c r="O1336" t="str">
        <f>LOOKUP(N1336,Sheet2!$V$4:$W$7)</f>
        <v>0.25 - 0.39</v>
      </c>
      <c r="P1336" s="1">
        <v>42</v>
      </c>
      <c r="Q1336" t="str">
        <f>LOOKUP(P1336,Sheet2!$Z$4:$AA$7)</f>
        <v>36-45</v>
      </c>
      <c r="R1336" s="1">
        <v>0</v>
      </c>
      <c r="S1336" t="str">
        <f>IF(R1336=1,"Positive","Negative")</f>
        <v>Negative</v>
      </c>
      <c r="T1336" s="1">
        <f>IFERROR(VLOOKUP(A1336,[1]diabetes_Recognition!$A:$B,2,FALSE),"Not Sampled")</f>
        <v>0</v>
      </c>
      <c r="U1336" t="str">
        <f>IF(T1336=1,"Positive",(IF(T1336=0,"Negative","Not Sampled")))</f>
        <v>Negative</v>
      </c>
      <c r="V1336" s="1" t="str">
        <f>IF(U1336="Not Sampled","Not Sampled",IF(S1336=U1336,"Accurate Prediction","Inaccurate Prediction"))</f>
        <v>Accurate Prediction</v>
      </c>
    </row>
    <row r="1337" spans="1:22" x14ac:dyDescent="0.25">
      <c r="A1337" s="1">
        <v>1335</v>
      </c>
      <c r="B1337" s="1">
        <v>0</v>
      </c>
      <c r="C1337" s="1">
        <f>LOOKUP(B1337,Sheet2!$D$4:$E$9)</f>
        <v>0</v>
      </c>
      <c r="D1337" s="1">
        <v>129</v>
      </c>
      <c r="E1337" t="str">
        <f>LOOKUP(D1337,Sheet2!$G$4:$H$9)</f>
        <v>126-150</v>
      </c>
      <c r="F1337" s="1">
        <v>110</v>
      </c>
      <c r="G1337" t="str">
        <f>LOOKUP(F1337,Sheet2!$J$4:$K$8)</f>
        <v>80+</v>
      </c>
      <c r="H1337" s="1">
        <v>46</v>
      </c>
      <c r="I1337" t="str">
        <f>LOOKUP(H1337,Sheet2!$M$4:$N$8)</f>
        <v>40+</v>
      </c>
      <c r="J1337" s="1">
        <v>130</v>
      </c>
      <c r="K1337" t="str">
        <f>LOOKUP(J1337,Sheet2!$P$4:$Q$9)</f>
        <v>100-199</v>
      </c>
      <c r="L1337" s="1">
        <v>67.099999999999994</v>
      </c>
      <c r="M1337" t="str">
        <f>LOOKUP(L1337,Sheet2!$S$4:$T$8)</f>
        <v>36+</v>
      </c>
      <c r="N1337" s="1">
        <v>0.31900000000000001</v>
      </c>
      <c r="O1337" t="str">
        <f>LOOKUP(N1337,Sheet2!$V$4:$W$7)</f>
        <v>0.25 - 0.39</v>
      </c>
      <c r="P1337" s="1">
        <v>26</v>
      </c>
      <c r="Q1337" t="str">
        <f>LOOKUP(P1337,Sheet2!$Z$4:$AA$7)</f>
        <v>26-35</v>
      </c>
      <c r="R1337" s="1">
        <v>1</v>
      </c>
      <c r="S1337" t="str">
        <f>IF(R1337=1,"Positive","Negative")</f>
        <v>Positive</v>
      </c>
      <c r="T1337" s="1" t="str">
        <f>IFERROR(VLOOKUP(A1337,[1]diabetes_Recognition!$A:$B,2,FALSE),"Not Sampled")</f>
        <v>Not Sampled</v>
      </c>
      <c r="U1337" t="str">
        <f>IF(T1337=1,"Positive",(IF(T1337=0,"Negative","Not Sampled")))</f>
        <v>Not Sampled</v>
      </c>
      <c r="V1337" s="1" t="str">
        <f>IF(U1337="Not Sampled","Not Sampled",IF(S1337=U1337,"Accurate Prediction","Inaccurate Prediction"))</f>
        <v>Not Sampled</v>
      </c>
    </row>
    <row r="1338" spans="1:22" x14ac:dyDescent="0.25">
      <c r="A1338" s="1">
        <v>1336</v>
      </c>
      <c r="B1338" s="1">
        <v>5</v>
      </c>
      <c r="C1338" s="1" t="str">
        <f>LOOKUP(B1338,Sheet2!$D$4:$E$9)</f>
        <v>5-7</v>
      </c>
      <c r="D1338" s="1">
        <v>143</v>
      </c>
      <c r="E1338" t="str">
        <f>LOOKUP(D1338,Sheet2!$G$4:$H$9)</f>
        <v>126-150</v>
      </c>
      <c r="F1338" s="1">
        <v>78</v>
      </c>
      <c r="G1338" t="str">
        <f>LOOKUP(F1338,Sheet2!$J$4:$K$8)</f>
        <v>70-79</v>
      </c>
      <c r="H1338" s="1">
        <v>0</v>
      </c>
      <c r="I1338" t="str">
        <f>LOOKUP(H1338,Sheet2!$M$4:$N$8)</f>
        <v>Unknown</v>
      </c>
      <c r="J1338" s="1">
        <v>0</v>
      </c>
      <c r="K1338" t="str">
        <f>LOOKUP(J1338,Sheet2!$P$4:$Q$9)</f>
        <v>Unknown</v>
      </c>
      <c r="L1338" s="1">
        <v>45</v>
      </c>
      <c r="M1338" t="str">
        <f>LOOKUP(L1338,Sheet2!$S$4:$T$8)</f>
        <v>36+</v>
      </c>
      <c r="N1338" s="1">
        <v>0.19</v>
      </c>
      <c r="O1338" t="str">
        <f>LOOKUP(N1338,Sheet2!$V$4:$W$7)</f>
        <v>0.0 - 0.249</v>
      </c>
      <c r="P1338" s="1">
        <v>47</v>
      </c>
      <c r="Q1338" t="str">
        <f>LOOKUP(P1338,Sheet2!$Z$4:$AA$7)</f>
        <v>46+</v>
      </c>
      <c r="R1338" s="1">
        <v>0</v>
      </c>
      <c r="S1338" t="str">
        <f>IF(R1338=1,"Positive","Negative")</f>
        <v>Negative</v>
      </c>
      <c r="T1338" s="1">
        <f>IFERROR(VLOOKUP(A1338,[1]diabetes_Recognition!$A:$B,2,FALSE),"Not Sampled")</f>
        <v>1</v>
      </c>
      <c r="U1338" t="str">
        <f>IF(T1338=1,"Positive",(IF(T1338=0,"Negative","Not Sampled")))</f>
        <v>Positive</v>
      </c>
      <c r="V1338" s="1" t="str">
        <f>IF(U1338="Not Sampled","Not Sampled",IF(S1338=U1338,"Accurate Prediction","Inaccurate Prediction"))</f>
        <v>Inaccurate Prediction</v>
      </c>
    </row>
    <row r="1339" spans="1:22" x14ac:dyDescent="0.25">
      <c r="A1339" s="1">
        <v>1337</v>
      </c>
      <c r="B1339" s="1">
        <v>5</v>
      </c>
      <c r="C1339" s="1" t="str">
        <f>LOOKUP(B1339,Sheet2!$D$4:$E$9)</f>
        <v>5-7</v>
      </c>
      <c r="D1339" s="1">
        <v>130</v>
      </c>
      <c r="E1339" t="str">
        <f>LOOKUP(D1339,Sheet2!$G$4:$H$9)</f>
        <v>126-150</v>
      </c>
      <c r="F1339" s="1">
        <v>82</v>
      </c>
      <c r="G1339" t="str">
        <f>LOOKUP(F1339,Sheet2!$J$4:$K$8)</f>
        <v>80+</v>
      </c>
      <c r="H1339" s="1">
        <v>0</v>
      </c>
      <c r="I1339" t="str">
        <f>LOOKUP(H1339,Sheet2!$M$4:$N$8)</f>
        <v>Unknown</v>
      </c>
      <c r="J1339" s="1">
        <v>0</v>
      </c>
      <c r="K1339" t="str">
        <f>LOOKUP(J1339,Sheet2!$P$4:$Q$9)</f>
        <v>Unknown</v>
      </c>
      <c r="L1339" s="1">
        <v>39.1</v>
      </c>
      <c r="M1339" t="str">
        <f>LOOKUP(L1339,Sheet2!$S$4:$T$8)</f>
        <v>36+</v>
      </c>
      <c r="N1339" s="1">
        <v>0.95599999999999996</v>
      </c>
      <c r="O1339" t="str">
        <f>LOOKUP(N1339,Sheet2!$V$4:$W$7)</f>
        <v>0.7+</v>
      </c>
      <c r="P1339" s="1">
        <v>37</v>
      </c>
      <c r="Q1339" t="str">
        <f>LOOKUP(P1339,Sheet2!$Z$4:$AA$7)</f>
        <v>36-45</v>
      </c>
      <c r="R1339" s="1">
        <v>1</v>
      </c>
      <c r="S1339" t="str">
        <f>IF(R1339=1,"Positive","Negative")</f>
        <v>Positive</v>
      </c>
      <c r="T1339" s="1" t="str">
        <f>IFERROR(VLOOKUP(A1339,[1]diabetes_Recognition!$A:$B,2,FALSE),"Not Sampled")</f>
        <v>Not Sampled</v>
      </c>
      <c r="U1339" t="str">
        <f>IF(T1339=1,"Positive",(IF(T1339=0,"Negative","Not Sampled")))</f>
        <v>Not Sampled</v>
      </c>
      <c r="V1339" s="1" t="str">
        <f>IF(U1339="Not Sampled","Not Sampled",IF(S1339=U1339,"Accurate Prediction","Inaccurate Prediction"))</f>
        <v>Not Sampled</v>
      </c>
    </row>
    <row r="1340" spans="1:22" x14ac:dyDescent="0.25">
      <c r="A1340" s="1">
        <v>1338</v>
      </c>
      <c r="B1340" s="1">
        <v>6</v>
      </c>
      <c r="C1340" s="1" t="str">
        <f>LOOKUP(B1340,Sheet2!$D$4:$E$9)</f>
        <v>5-7</v>
      </c>
      <c r="D1340" s="1">
        <v>87</v>
      </c>
      <c r="E1340" t="str">
        <f>LOOKUP(D1340,Sheet2!$G$4:$H$9)</f>
        <v>1-99</v>
      </c>
      <c r="F1340" s="1">
        <v>80</v>
      </c>
      <c r="G1340" t="str">
        <f>LOOKUP(F1340,Sheet2!$J$4:$K$8)</f>
        <v>80+</v>
      </c>
      <c r="H1340" s="1">
        <v>0</v>
      </c>
      <c r="I1340" t="str">
        <f>LOOKUP(H1340,Sheet2!$M$4:$N$8)</f>
        <v>Unknown</v>
      </c>
      <c r="J1340" s="1">
        <v>0</v>
      </c>
      <c r="K1340" t="str">
        <f>LOOKUP(J1340,Sheet2!$P$4:$Q$9)</f>
        <v>Unknown</v>
      </c>
      <c r="L1340" s="1">
        <v>23.2</v>
      </c>
      <c r="M1340" t="str">
        <f>LOOKUP(L1340,Sheet2!$S$4:$T$8)</f>
        <v>1-25</v>
      </c>
      <c r="N1340" s="1">
        <v>8.4000000000000005E-2</v>
      </c>
      <c r="O1340" t="str">
        <f>LOOKUP(N1340,Sheet2!$V$4:$W$7)</f>
        <v>0.0 - 0.249</v>
      </c>
      <c r="P1340" s="1">
        <v>32</v>
      </c>
      <c r="Q1340" t="str">
        <f>LOOKUP(P1340,Sheet2!$Z$4:$AA$7)</f>
        <v>26-35</v>
      </c>
      <c r="R1340" s="1">
        <v>0</v>
      </c>
      <c r="S1340" t="str">
        <f>IF(R1340=1,"Positive","Negative")</f>
        <v>Negative</v>
      </c>
      <c r="T1340" s="1">
        <f>IFERROR(VLOOKUP(A1340,[1]diabetes_Recognition!$A:$B,2,FALSE),"Not Sampled")</f>
        <v>0</v>
      </c>
      <c r="U1340" t="str">
        <f>IF(T1340=1,"Positive",(IF(T1340=0,"Negative","Not Sampled")))</f>
        <v>Negative</v>
      </c>
      <c r="V1340" s="1" t="str">
        <f>IF(U1340="Not Sampled","Not Sampled",IF(S1340=U1340,"Accurate Prediction","Inaccurate Prediction"))</f>
        <v>Accurate Prediction</v>
      </c>
    </row>
    <row r="1341" spans="1:22" x14ac:dyDescent="0.25">
      <c r="A1341" s="1">
        <v>1339</v>
      </c>
      <c r="B1341" s="1">
        <v>0</v>
      </c>
      <c r="C1341" s="1">
        <f>LOOKUP(B1341,Sheet2!$D$4:$E$9)</f>
        <v>0</v>
      </c>
      <c r="D1341" s="1">
        <v>119</v>
      </c>
      <c r="E1341" t="str">
        <f>LOOKUP(D1341,Sheet2!$G$4:$H$9)</f>
        <v>100-125</v>
      </c>
      <c r="F1341" s="1">
        <v>64</v>
      </c>
      <c r="G1341" t="str">
        <f>LOOKUP(F1341,Sheet2!$J$4:$K$8)</f>
        <v>60-69</v>
      </c>
      <c r="H1341" s="1">
        <v>18</v>
      </c>
      <c r="I1341" t="str">
        <f>LOOKUP(H1341,Sheet2!$M$4:$N$8)</f>
        <v>10-30</v>
      </c>
      <c r="J1341" s="1">
        <v>92</v>
      </c>
      <c r="K1341" t="str">
        <f>LOOKUP(J1341,Sheet2!$P$4:$Q$9)</f>
        <v>1-99</v>
      </c>
      <c r="L1341" s="1">
        <v>34.9</v>
      </c>
      <c r="M1341" t="str">
        <f>LOOKUP(L1341,Sheet2!$S$4:$T$8)</f>
        <v>31-35</v>
      </c>
      <c r="N1341" s="1">
        <v>0.72499999999999998</v>
      </c>
      <c r="O1341" t="str">
        <f>LOOKUP(N1341,Sheet2!$V$4:$W$7)</f>
        <v>0.7+</v>
      </c>
      <c r="P1341" s="1">
        <v>23</v>
      </c>
      <c r="Q1341" t="str">
        <f>LOOKUP(P1341,Sheet2!$Z$4:$AA$7)</f>
        <v>&lt;=25</v>
      </c>
      <c r="R1341" s="1">
        <v>0</v>
      </c>
      <c r="S1341" t="str">
        <f>IF(R1341=1,"Positive","Negative")</f>
        <v>Negative</v>
      </c>
      <c r="T1341" s="1" t="str">
        <f>IFERROR(VLOOKUP(A1341,[1]diabetes_Recognition!$A:$B,2,FALSE),"Not Sampled")</f>
        <v>Not Sampled</v>
      </c>
      <c r="U1341" t="str">
        <f>IF(T1341=1,"Positive",(IF(T1341=0,"Negative","Not Sampled")))</f>
        <v>Not Sampled</v>
      </c>
      <c r="V1341" s="1" t="str">
        <f>IF(U1341="Not Sampled","Not Sampled",IF(S1341=U1341,"Accurate Prediction","Inaccurate Prediction"))</f>
        <v>Not Sampled</v>
      </c>
    </row>
    <row r="1342" spans="1:22" x14ac:dyDescent="0.25">
      <c r="A1342" s="1">
        <v>1340</v>
      </c>
      <c r="B1342" s="1">
        <v>1</v>
      </c>
      <c r="C1342" s="1">
        <f>LOOKUP(B1342,Sheet2!$D$4:$E$9)</f>
        <v>1</v>
      </c>
      <c r="D1342" s="1">
        <v>0</v>
      </c>
      <c r="E1342" t="str">
        <f>LOOKUP(D1342,Sheet2!$G$4:$H$9)</f>
        <v>Unknown</v>
      </c>
      <c r="F1342" s="1">
        <v>74</v>
      </c>
      <c r="G1342" t="str">
        <f>LOOKUP(F1342,Sheet2!$J$4:$K$8)</f>
        <v>70-79</v>
      </c>
      <c r="H1342" s="1">
        <v>20</v>
      </c>
      <c r="I1342" t="str">
        <f>LOOKUP(H1342,Sheet2!$M$4:$N$8)</f>
        <v>10-30</v>
      </c>
      <c r="J1342" s="1">
        <v>23</v>
      </c>
      <c r="K1342" t="str">
        <f>LOOKUP(J1342,Sheet2!$P$4:$Q$9)</f>
        <v>1-99</v>
      </c>
      <c r="L1342" s="1">
        <v>27.7</v>
      </c>
      <c r="M1342" t="str">
        <f>LOOKUP(L1342,Sheet2!$S$4:$T$8)</f>
        <v>26-30</v>
      </c>
      <c r="N1342" s="1">
        <v>0.29899999999999999</v>
      </c>
      <c r="O1342" t="str">
        <f>LOOKUP(N1342,Sheet2!$V$4:$W$7)</f>
        <v>0.25 - 0.39</v>
      </c>
      <c r="P1342" s="1">
        <v>21</v>
      </c>
      <c r="Q1342" t="str">
        <f>LOOKUP(P1342,Sheet2!$Z$4:$AA$7)</f>
        <v>&lt;=25</v>
      </c>
      <c r="R1342" s="1">
        <v>0</v>
      </c>
      <c r="S1342" t="str">
        <f>IF(R1342=1,"Positive","Negative")</f>
        <v>Negative</v>
      </c>
      <c r="T1342" s="1" t="str">
        <f>IFERROR(VLOOKUP(A1342,[1]diabetes_Recognition!$A:$B,2,FALSE),"Not Sampled")</f>
        <v>Not Sampled</v>
      </c>
      <c r="U1342" t="str">
        <f>IF(T1342=1,"Positive",(IF(T1342=0,"Negative","Not Sampled")))</f>
        <v>Not Sampled</v>
      </c>
      <c r="V1342" s="1" t="str">
        <f>IF(U1342="Not Sampled","Not Sampled",IF(S1342=U1342,"Accurate Prediction","Inaccurate Prediction"))</f>
        <v>Not Sampled</v>
      </c>
    </row>
    <row r="1343" spans="1:22" x14ac:dyDescent="0.25">
      <c r="A1343" s="1">
        <v>1341</v>
      </c>
      <c r="B1343" s="1">
        <v>5</v>
      </c>
      <c r="C1343" s="1" t="str">
        <f>LOOKUP(B1343,Sheet2!$D$4:$E$9)</f>
        <v>5-7</v>
      </c>
      <c r="D1343" s="1">
        <v>73</v>
      </c>
      <c r="E1343" t="str">
        <f>LOOKUP(D1343,Sheet2!$G$4:$H$9)</f>
        <v>1-99</v>
      </c>
      <c r="F1343" s="1">
        <v>60</v>
      </c>
      <c r="G1343" t="str">
        <f>LOOKUP(F1343,Sheet2!$J$4:$K$8)</f>
        <v>60-69</v>
      </c>
      <c r="H1343" s="1">
        <v>0</v>
      </c>
      <c r="I1343" t="str">
        <f>LOOKUP(H1343,Sheet2!$M$4:$N$8)</f>
        <v>Unknown</v>
      </c>
      <c r="J1343" s="1">
        <v>0</v>
      </c>
      <c r="K1343" t="str">
        <f>LOOKUP(J1343,Sheet2!$P$4:$Q$9)</f>
        <v>Unknown</v>
      </c>
      <c r="L1343" s="1">
        <v>26.8</v>
      </c>
      <c r="M1343" t="str">
        <f>LOOKUP(L1343,Sheet2!$S$4:$T$8)</f>
        <v>26-30</v>
      </c>
      <c r="N1343" s="1">
        <v>0.26800000000000002</v>
      </c>
      <c r="O1343" t="str">
        <f>LOOKUP(N1343,Sheet2!$V$4:$W$7)</f>
        <v>0.25 - 0.39</v>
      </c>
      <c r="P1343" s="1">
        <v>27</v>
      </c>
      <c r="Q1343" t="str">
        <f>LOOKUP(P1343,Sheet2!$Z$4:$AA$7)</f>
        <v>26-35</v>
      </c>
      <c r="R1343" s="1">
        <v>0</v>
      </c>
      <c r="S1343" t="str">
        <f>IF(R1343=1,"Positive","Negative")</f>
        <v>Negative</v>
      </c>
      <c r="T1343" s="1" t="str">
        <f>IFERROR(VLOOKUP(A1343,[1]diabetes_Recognition!$A:$B,2,FALSE),"Not Sampled")</f>
        <v>Not Sampled</v>
      </c>
      <c r="U1343" t="str">
        <f>IF(T1343=1,"Positive",(IF(T1343=0,"Negative","Not Sampled")))</f>
        <v>Not Sampled</v>
      </c>
      <c r="V1343" s="1" t="str">
        <f>IF(U1343="Not Sampled","Not Sampled",IF(S1343=U1343,"Accurate Prediction","Inaccurate Prediction"))</f>
        <v>Not Sampled</v>
      </c>
    </row>
    <row r="1344" spans="1:22" x14ac:dyDescent="0.25">
      <c r="A1344" s="1">
        <v>1342</v>
      </c>
      <c r="B1344" s="1">
        <v>4</v>
      </c>
      <c r="C1344" s="1" t="str">
        <f>LOOKUP(B1344,Sheet2!$D$4:$E$9)</f>
        <v>3-4</v>
      </c>
      <c r="D1344" s="1">
        <v>141</v>
      </c>
      <c r="E1344" t="str">
        <f>LOOKUP(D1344,Sheet2!$G$4:$H$9)</f>
        <v>126-150</v>
      </c>
      <c r="F1344" s="1">
        <v>74</v>
      </c>
      <c r="G1344" t="str">
        <f>LOOKUP(F1344,Sheet2!$J$4:$K$8)</f>
        <v>70-79</v>
      </c>
      <c r="H1344" s="1">
        <v>0</v>
      </c>
      <c r="I1344" t="str">
        <f>LOOKUP(H1344,Sheet2!$M$4:$N$8)</f>
        <v>Unknown</v>
      </c>
      <c r="J1344" s="1">
        <v>0</v>
      </c>
      <c r="K1344" t="str">
        <f>LOOKUP(J1344,Sheet2!$P$4:$Q$9)</f>
        <v>Unknown</v>
      </c>
      <c r="L1344" s="1">
        <v>27.6</v>
      </c>
      <c r="M1344" t="str">
        <f>LOOKUP(L1344,Sheet2!$S$4:$T$8)</f>
        <v>26-30</v>
      </c>
      <c r="N1344" s="1">
        <v>0.24399999999999999</v>
      </c>
      <c r="O1344" t="str">
        <f>LOOKUP(N1344,Sheet2!$V$4:$W$7)</f>
        <v>0.0 - 0.249</v>
      </c>
      <c r="P1344" s="1">
        <v>40</v>
      </c>
      <c r="Q1344" t="str">
        <f>LOOKUP(P1344,Sheet2!$Z$4:$AA$7)</f>
        <v>36-45</v>
      </c>
      <c r="R1344" s="1">
        <v>0</v>
      </c>
      <c r="S1344" t="str">
        <f>IF(R1344=1,"Positive","Negative")</f>
        <v>Negative</v>
      </c>
      <c r="T1344" s="1">
        <f>IFERROR(VLOOKUP(A1344,[1]diabetes_Recognition!$A:$B,2,FALSE),"Not Sampled")</f>
        <v>0</v>
      </c>
      <c r="U1344" t="str">
        <f>IF(T1344=1,"Positive",(IF(T1344=0,"Negative","Not Sampled")))</f>
        <v>Negative</v>
      </c>
      <c r="V1344" s="1" t="str">
        <f>IF(U1344="Not Sampled","Not Sampled",IF(S1344=U1344,"Accurate Prediction","Inaccurate Prediction"))</f>
        <v>Accurate Prediction</v>
      </c>
    </row>
    <row r="1345" spans="1:22" x14ac:dyDescent="0.25">
      <c r="A1345" s="1">
        <v>1343</v>
      </c>
      <c r="B1345" s="1">
        <v>7</v>
      </c>
      <c r="C1345" s="1" t="str">
        <f>LOOKUP(B1345,Sheet2!$D$4:$E$9)</f>
        <v>5-7</v>
      </c>
      <c r="D1345" s="1">
        <v>194</v>
      </c>
      <c r="E1345" t="str">
        <f>LOOKUP(D1345,Sheet2!$G$4:$H$9)</f>
        <v>176-200</v>
      </c>
      <c r="F1345" s="1">
        <v>68</v>
      </c>
      <c r="G1345" t="str">
        <f>LOOKUP(F1345,Sheet2!$J$4:$K$8)</f>
        <v>60-69</v>
      </c>
      <c r="H1345" s="1">
        <v>28</v>
      </c>
      <c r="I1345" t="str">
        <f>LOOKUP(H1345,Sheet2!$M$4:$N$8)</f>
        <v>10-30</v>
      </c>
      <c r="J1345" s="1">
        <v>0</v>
      </c>
      <c r="K1345" t="str">
        <f>LOOKUP(J1345,Sheet2!$P$4:$Q$9)</f>
        <v>Unknown</v>
      </c>
      <c r="L1345" s="1">
        <v>35.9</v>
      </c>
      <c r="M1345" t="str">
        <f>LOOKUP(L1345,Sheet2!$S$4:$T$8)</f>
        <v>31-35</v>
      </c>
      <c r="N1345" s="1">
        <v>0.745</v>
      </c>
      <c r="O1345" t="str">
        <f>LOOKUP(N1345,Sheet2!$V$4:$W$7)</f>
        <v>0.7+</v>
      </c>
      <c r="P1345" s="1">
        <v>41</v>
      </c>
      <c r="Q1345" t="str">
        <f>LOOKUP(P1345,Sheet2!$Z$4:$AA$7)</f>
        <v>36-45</v>
      </c>
      <c r="R1345" s="1">
        <v>1</v>
      </c>
      <c r="S1345" t="str">
        <f>IF(R1345=1,"Positive","Negative")</f>
        <v>Positive</v>
      </c>
      <c r="T1345" s="1" t="str">
        <f>IFERROR(VLOOKUP(A1345,[1]diabetes_Recognition!$A:$B,2,FALSE),"Not Sampled")</f>
        <v>Not Sampled</v>
      </c>
      <c r="U1345" t="str">
        <f>IF(T1345=1,"Positive",(IF(T1345=0,"Negative","Not Sampled")))</f>
        <v>Not Sampled</v>
      </c>
      <c r="V1345" s="1" t="str">
        <f>IF(U1345="Not Sampled","Not Sampled",IF(S1345=U1345,"Accurate Prediction","Inaccurate Prediction"))</f>
        <v>Not Sampled</v>
      </c>
    </row>
    <row r="1346" spans="1:22" x14ac:dyDescent="0.25">
      <c r="A1346" s="1">
        <v>1344</v>
      </c>
      <c r="B1346" s="1">
        <v>8</v>
      </c>
      <c r="C1346" s="1" t="str">
        <f>LOOKUP(B1346,Sheet2!$D$4:$E$9)</f>
        <v>8+</v>
      </c>
      <c r="D1346" s="1">
        <v>181</v>
      </c>
      <c r="E1346" t="str">
        <f>LOOKUP(D1346,Sheet2!$G$4:$H$9)</f>
        <v>176-200</v>
      </c>
      <c r="F1346" s="1">
        <v>68</v>
      </c>
      <c r="G1346" t="str">
        <f>LOOKUP(F1346,Sheet2!$J$4:$K$8)</f>
        <v>60-69</v>
      </c>
      <c r="H1346" s="1">
        <v>36</v>
      </c>
      <c r="I1346" t="str">
        <f>LOOKUP(H1346,Sheet2!$M$4:$N$8)</f>
        <v>30-39</v>
      </c>
      <c r="J1346" s="1">
        <v>495</v>
      </c>
      <c r="K1346" t="str">
        <f>LOOKUP(J1346,Sheet2!$P$4:$Q$9)</f>
        <v>300-499</v>
      </c>
      <c r="L1346" s="1">
        <v>30.1</v>
      </c>
      <c r="M1346" t="str">
        <f>LOOKUP(L1346,Sheet2!$S$4:$T$8)</f>
        <v>26-30</v>
      </c>
      <c r="N1346" s="1">
        <v>0.61499999999999999</v>
      </c>
      <c r="O1346" t="str">
        <f>LOOKUP(N1346,Sheet2!$V$4:$W$7)</f>
        <v>0.4 - 0.69</v>
      </c>
      <c r="P1346" s="1">
        <v>60</v>
      </c>
      <c r="Q1346" t="str">
        <f>LOOKUP(P1346,Sheet2!$Z$4:$AA$7)</f>
        <v>46+</v>
      </c>
      <c r="R1346" s="1">
        <v>1</v>
      </c>
      <c r="S1346" t="str">
        <f>IF(R1346=1,"Positive","Negative")</f>
        <v>Positive</v>
      </c>
      <c r="T1346" s="1" t="str">
        <f>IFERROR(VLOOKUP(A1346,[1]diabetes_Recognition!$A:$B,2,FALSE),"Not Sampled")</f>
        <v>Not Sampled</v>
      </c>
      <c r="U1346" t="str">
        <f>IF(T1346=1,"Positive",(IF(T1346=0,"Negative","Not Sampled")))</f>
        <v>Not Sampled</v>
      </c>
      <c r="V1346" s="1" t="str">
        <f>IF(U1346="Not Sampled","Not Sampled",IF(S1346=U1346,"Accurate Prediction","Inaccurate Prediction"))</f>
        <v>Not Sampled</v>
      </c>
    </row>
    <row r="1347" spans="1:22" x14ac:dyDescent="0.25">
      <c r="A1347" s="1">
        <v>1345</v>
      </c>
      <c r="B1347" s="1">
        <v>1</v>
      </c>
      <c r="C1347" s="1">
        <f>LOOKUP(B1347,Sheet2!$D$4:$E$9)</f>
        <v>1</v>
      </c>
      <c r="D1347" s="1">
        <v>128</v>
      </c>
      <c r="E1347" t="str">
        <f>LOOKUP(D1347,Sheet2!$G$4:$H$9)</f>
        <v>126-150</v>
      </c>
      <c r="F1347" s="1">
        <v>98</v>
      </c>
      <c r="G1347" t="str">
        <f>LOOKUP(F1347,Sheet2!$J$4:$K$8)</f>
        <v>80+</v>
      </c>
      <c r="H1347" s="1">
        <v>41</v>
      </c>
      <c r="I1347" t="str">
        <f>LOOKUP(H1347,Sheet2!$M$4:$N$8)</f>
        <v>40+</v>
      </c>
      <c r="J1347" s="1">
        <v>58</v>
      </c>
      <c r="K1347" t="str">
        <f>LOOKUP(J1347,Sheet2!$P$4:$Q$9)</f>
        <v>1-99</v>
      </c>
      <c r="L1347" s="1">
        <v>32</v>
      </c>
      <c r="M1347" t="str">
        <f>LOOKUP(L1347,Sheet2!$S$4:$T$8)</f>
        <v>31-35</v>
      </c>
      <c r="N1347" s="1">
        <v>1.321</v>
      </c>
      <c r="O1347" t="str">
        <f>LOOKUP(N1347,Sheet2!$V$4:$W$7)</f>
        <v>0.7+</v>
      </c>
      <c r="P1347" s="1">
        <v>33</v>
      </c>
      <c r="Q1347" t="str">
        <f>LOOKUP(P1347,Sheet2!$Z$4:$AA$7)</f>
        <v>26-35</v>
      </c>
      <c r="R1347" s="1">
        <v>1</v>
      </c>
      <c r="S1347" t="str">
        <f>IF(R1347=1,"Positive","Negative")</f>
        <v>Positive</v>
      </c>
      <c r="T1347" s="1" t="str">
        <f>IFERROR(VLOOKUP(A1347,[1]diabetes_Recognition!$A:$B,2,FALSE),"Not Sampled")</f>
        <v>Not Sampled</v>
      </c>
      <c r="U1347" t="str">
        <f>IF(T1347=1,"Positive",(IF(T1347=0,"Negative","Not Sampled")))</f>
        <v>Not Sampled</v>
      </c>
      <c r="V1347" s="1" t="str">
        <f>IF(U1347="Not Sampled","Not Sampled",IF(S1347=U1347,"Accurate Prediction","Inaccurate Prediction"))</f>
        <v>Not Sampled</v>
      </c>
    </row>
    <row r="1348" spans="1:22" x14ac:dyDescent="0.25">
      <c r="A1348" s="1">
        <v>1346</v>
      </c>
      <c r="B1348" s="1">
        <v>8</v>
      </c>
      <c r="C1348" s="1" t="str">
        <f>LOOKUP(B1348,Sheet2!$D$4:$E$9)</f>
        <v>8+</v>
      </c>
      <c r="D1348" s="1">
        <v>109</v>
      </c>
      <c r="E1348" t="str">
        <f>LOOKUP(D1348,Sheet2!$G$4:$H$9)</f>
        <v>100-125</v>
      </c>
      <c r="F1348" s="1">
        <v>76</v>
      </c>
      <c r="G1348" t="str">
        <f>LOOKUP(F1348,Sheet2!$J$4:$K$8)</f>
        <v>70-79</v>
      </c>
      <c r="H1348" s="1">
        <v>39</v>
      </c>
      <c r="I1348" t="str">
        <f>LOOKUP(H1348,Sheet2!$M$4:$N$8)</f>
        <v>30-39</v>
      </c>
      <c r="J1348" s="1">
        <v>114</v>
      </c>
      <c r="K1348" t="str">
        <f>LOOKUP(J1348,Sheet2!$P$4:$Q$9)</f>
        <v>100-199</v>
      </c>
      <c r="L1348" s="1">
        <v>27.9</v>
      </c>
      <c r="M1348" t="str">
        <f>LOOKUP(L1348,Sheet2!$S$4:$T$8)</f>
        <v>26-30</v>
      </c>
      <c r="N1348" s="1">
        <v>0.64</v>
      </c>
      <c r="O1348" t="str">
        <f>LOOKUP(N1348,Sheet2!$V$4:$W$7)</f>
        <v>0.4 - 0.69</v>
      </c>
      <c r="P1348" s="1">
        <v>31</v>
      </c>
      <c r="Q1348" t="str">
        <f>LOOKUP(P1348,Sheet2!$Z$4:$AA$7)</f>
        <v>26-35</v>
      </c>
      <c r="R1348" s="1">
        <v>1</v>
      </c>
      <c r="S1348" t="str">
        <f>IF(R1348=1,"Positive","Negative")</f>
        <v>Positive</v>
      </c>
      <c r="T1348" s="1" t="str">
        <f>IFERROR(VLOOKUP(A1348,[1]diabetes_Recognition!$A:$B,2,FALSE),"Not Sampled")</f>
        <v>Not Sampled</v>
      </c>
      <c r="U1348" t="str">
        <f>IF(T1348=1,"Positive",(IF(T1348=0,"Negative","Not Sampled")))</f>
        <v>Not Sampled</v>
      </c>
      <c r="V1348" s="1" t="str">
        <f>IF(U1348="Not Sampled","Not Sampled",IF(S1348=U1348,"Accurate Prediction","Inaccurate Prediction"))</f>
        <v>Not Sampled</v>
      </c>
    </row>
    <row r="1349" spans="1:22" x14ac:dyDescent="0.25">
      <c r="A1349" s="1">
        <v>1347</v>
      </c>
      <c r="B1349" s="1">
        <v>5</v>
      </c>
      <c r="C1349" s="1" t="str">
        <f>LOOKUP(B1349,Sheet2!$D$4:$E$9)</f>
        <v>5-7</v>
      </c>
      <c r="D1349" s="1">
        <v>139</v>
      </c>
      <c r="E1349" t="str">
        <f>LOOKUP(D1349,Sheet2!$G$4:$H$9)</f>
        <v>126-150</v>
      </c>
      <c r="F1349" s="1">
        <v>80</v>
      </c>
      <c r="G1349" t="str">
        <f>LOOKUP(F1349,Sheet2!$J$4:$K$8)</f>
        <v>80+</v>
      </c>
      <c r="H1349" s="1">
        <v>35</v>
      </c>
      <c r="I1349" t="str">
        <f>LOOKUP(H1349,Sheet2!$M$4:$N$8)</f>
        <v>30-39</v>
      </c>
      <c r="J1349" s="1">
        <v>160</v>
      </c>
      <c r="K1349" t="str">
        <f>LOOKUP(J1349,Sheet2!$P$4:$Q$9)</f>
        <v>100-199</v>
      </c>
      <c r="L1349" s="1">
        <v>31.6</v>
      </c>
      <c r="M1349" t="str">
        <f>LOOKUP(L1349,Sheet2!$S$4:$T$8)</f>
        <v>31-35</v>
      </c>
      <c r="N1349" s="1">
        <v>0.36099999999999999</v>
      </c>
      <c r="O1349" t="str">
        <f>LOOKUP(N1349,Sheet2!$V$4:$W$7)</f>
        <v>0.25 - 0.39</v>
      </c>
      <c r="P1349" s="1">
        <v>25</v>
      </c>
      <c r="Q1349" t="str">
        <f>LOOKUP(P1349,Sheet2!$Z$4:$AA$7)</f>
        <v>&lt;=25</v>
      </c>
      <c r="R1349" s="1">
        <v>1</v>
      </c>
      <c r="S1349" t="str">
        <f>IF(R1349=1,"Positive","Negative")</f>
        <v>Positive</v>
      </c>
      <c r="T1349" s="1">
        <f>IFERROR(VLOOKUP(A1349,[1]diabetes_Recognition!$A:$B,2,FALSE),"Not Sampled")</f>
        <v>0</v>
      </c>
      <c r="U1349" t="str">
        <f>IF(T1349=1,"Positive",(IF(T1349=0,"Negative","Not Sampled")))</f>
        <v>Negative</v>
      </c>
      <c r="V1349" s="1" t="str">
        <f>IF(U1349="Not Sampled","Not Sampled",IF(S1349=U1349,"Accurate Prediction","Inaccurate Prediction"))</f>
        <v>Inaccurate Prediction</v>
      </c>
    </row>
    <row r="1350" spans="1:22" x14ac:dyDescent="0.25">
      <c r="A1350" s="1">
        <v>1348</v>
      </c>
      <c r="B1350" s="1">
        <v>3</v>
      </c>
      <c r="C1350" s="1" t="str">
        <f>LOOKUP(B1350,Sheet2!$D$4:$E$9)</f>
        <v>3-4</v>
      </c>
      <c r="D1350" s="1">
        <v>111</v>
      </c>
      <c r="E1350" t="str">
        <f>LOOKUP(D1350,Sheet2!$G$4:$H$9)</f>
        <v>100-125</v>
      </c>
      <c r="F1350" s="1">
        <v>62</v>
      </c>
      <c r="G1350" t="str">
        <f>LOOKUP(F1350,Sheet2!$J$4:$K$8)</f>
        <v>60-69</v>
      </c>
      <c r="H1350" s="1">
        <v>0</v>
      </c>
      <c r="I1350" t="str">
        <f>LOOKUP(H1350,Sheet2!$M$4:$N$8)</f>
        <v>Unknown</v>
      </c>
      <c r="J1350" s="1">
        <v>0</v>
      </c>
      <c r="K1350" t="str">
        <f>LOOKUP(J1350,Sheet2!$P$4:$Q$9)</f>
        <v>Unknown</v>
      </c>
      <c r="L1350" s="1">
        <v>22.6</v>
      </c>
      <c r="M1350" t="str">
        <f>LOOKUP(L1350,Sheet2!$S$4:$T$8)</f>
        <v>1-25</v>
      </c>
      <c r="N1350" s="1">
        <v>0.14199999999999999</v>
      </c>
      <c r="O1350" t="str">
        <f>LOOKUP(N1350,Sheet2!$V$4:$W$7)</f>
        <v>0.0 - 0.249</v>
      </c>
      <c r="P1350" s="1">
        <v>21</v>
      </c>
      <c r="Q1350" t="str">
        <f>LOOKUP(P1350,Sheet2!$Z$4:$AA$7)</f>
        <v>&lt;=25</v>
      </c>
      <c r="R1350" s="1">
        <v>0</v>
      </c>
      <c r="S1350" t="str">
        <f>IF(R1350=1,"Positive","Negative")</f>
        <v>Negative</v>
      </c>
      <c r="T1350" s="1" t="str">
        <f>IFERROR(VLOOKUP(A1350,[1]diabetes_Recognition!$A:$B,2,FALSE),"Not Sampled")</f>
        <v>Not Sampled</v>
      </c>
      <c r="U1350" t="str">
        <f>IF(T1350=1,"Positive",(IF(T1350=0,"Negative","Not Sampled")))</f>
        <v>Not Sampled</v>
      </c>
      <c r="V1350" s="1" t="str">
        <f>IF(U1350="Not Sampled","Not Sampled",IF(S1350=U1350,"Accurate Prediction","Inaccurate Prediction"))</f>
        <v>Not Sampled</v>
      </c>
    </row>
    <row r="1351" spans="1:22" x14ac:dyDescent="0.25">
      <c r="A1351" s="1">
        <v>1349</v>
      </c>
      <c r="B1351" s="1">
        <v>9</v>
      </c>
      <c r="C1351" s="1" t="str">
        <f>LOOKUP(B1351,Sheet2!$D$4:$E$9)</f>
        <v>8+</v>
      </c>
      <c r="D1351" s="1">
        <v>123</v>
      </c>
      <c r="E1351" t="str">
        <f>LOOKUP(D1351,Sheet2!$G$4:$H$9)</f>
        <v>100-125</v>
      </c>
      <c r="F1351" s="1">
        <v>70</v>
      </c>
      <c r="G1351" t="str">
        <f>LOOKUP(F1351,Sheet2!$J$4:$K$8)</f>
        <v>70-79</v>
      </c>
      <c r="H1351" s="1">
        <v>44</v>
      </c>
      <c r="I1351" t="str">
        <f>LOOKUP(H1351,Sheet2!$M$4:$N$8)</f>
        <v>40+</v>
      </c>
      <c r="J1351" s="1">
        <v>94</v>
      </c>
      <c r="K1351" t="str">
        <f>LOOKUP(J1351,Sheet2!$P$4:$Q$9)</f>
        <v>1-99</v>
      </c>
      <c r="L1351" s="1">
        <v>33.1</v>
      </c>
      <c r="M1351" t="str">
        <f>LOOKUP(L1351,Sheet2!$S$4:$T$8)</f>
        <v>31-35</v>
      </c>
      <c r="N1351" s="1">
        <v>0.374</v>
      </c>
      <c r="O1351" t="str">
        <f>LOOKUP(N1351,Sheet2!$V$4:$W$7)</f>
        <v>0.25 - 0.39</v>
      </c>
      <c r="P1351" s="1">
        <v>40</v>
      </c>
      <c r="Q1351" t="str">
        <f>LOOKUP(P1351,Sheet2!$Z$4:$AA$7)</f>
        <v>36-45</v>
      </c>
      <c r="R1351" s="1">
        <v>0</v>
      </c>
      <c r="S1351" t="str">
        <f>IF(R1351=1,"Positive","Negative")</f>
        <v>Negative</v>
      </c>
      <c r="T1351" s="1" t="str">
        <f>IFERROR(VLOOKUP(A1351,[1]diabetes_Recognition!$A:$B,2,FALSE),"Not Sampled")</f>
        <v>Not Sampled</v>
      </c>
      <c r="U1351" t="str">
        <f>IF(T1351=1,"Positive",(IF(T1351=0,"Negative","Not Sampled")))</f>
        <v>Not Sampled</v>
      </c>
      <c r="V1351" s="1" t="str">
        <f>IF(U1351="Not Sampled","Not Sampled",IF(S1351=U1351,"Accurate Prediction","Inaccurate Prediction"))</f>
        <v>Not Sampled</v>
      </c>
    </row>
    <row r="1352" spans="1:22" x14ac:dyDescent="0.25">
      <c r="A1352" s="1">
        <v>1350</v>
      </c>
      <c r="B1352" s="1">
        <v>7</v>
      </c>
      <c r="C1352" s="1" t="str">
        <f>LOOKUP(B1352,Sheet2!$D$4:$E$9)</f>
        <v>5-7</v>
      </c>
      <c r="D1352" s="1">
        <v>159</v>
      </c>
      <c r="E1352" t="str">
        <f>LOOKUP(D1352,Sheet2!$G$4:$H$9)</f>
        <v>151-175</v>
      </c>
      <c r="F1352" s="1">
        <v>66</v>
      </c>
      <c r="G1352" t="str">
        <f>LOOKUP(F1352,Sheet2!$J$4:$K$8)</f>
        <v>60-69</v>
      </c>
      <c r="H1352" s="1">
        <v>0</v>
      </c>
      <c r="I1352" t="str">
        <f>LOOKUP(H1352,Sheet2!$M$4:$N$8)</f>
        <v>Unknown</v>
      </c>
      <c r="J1352" s="1">
        <v>0</v>
      </c>
      <c r="K1352" t="str">
        <f>LOOKUP(J1352,Sheet2!$P$4:$Q$9)</f>
        <v>Unknown</v>
      </c>
      <c r="L1352" s="1">
        <v>30.4</v>
      </c>
      <c r="M1352" t="str">
        <f>LOOKUP(L1352,Sheet2!$S$4:$T$8)</f>
        <v>26-30</v>
      </c>
      <c r="N1352" s="1">
        <v>0.38300000000000001</v>
      </c>
      <c r="O1352" t="str">
        <f>LOOKUP(N1352,Sheet2!$V$4:$W$7)</f>
        <v>0.25 - 0.39</v>
      </c>
      <c r="P1352" s="1">
        <v>36</v>
      </c>
      <c r="Q1352" t="str">
        <f>LOOKUP(P1352,Sheet2!$Z$4:$AA$7)</f>
        <v>36-45</v>
      </c>
      <c r="R1352" s="1">
        <v>1</v>
      </c>
      <c r="S1352" t="str">
        <f>IF(R1352=1,"Positive","Negative")</f>
        <v>Positive</v>
      </c>
      <c r="T1352" s="1" t="str">
        <f>IFERROR(VLOOKUP(A1352,[1]diabetes_Recognition!$A:$B,2,FALSE),"Not Sampled")</f>
        <v>Not Sampled</v>
      </c>
      <c r="U1352" t="str">
        <f>IF(T1352=1,"Positive",(IF(T1352=0,"Negative","Not Sampled")))</f>
        <v>Not Sampled</v>
      </c>
      <c r="V1352" s="1" t="str">
        <f>IF(U1352="Not Sampled","Not Sampled",IF(S1352=U1352,"Accurate Prediction","Inaccurate Prediction"))</f>
        <v>Not Sampled</v>
      </c>
    </row>
    <row r="1353" spans="1:22" x14ac:dyDescent="0.25">
      <c r="A1353" s="1">
        <v>1351</v>
      </c>
      <c r="B1353" s="1">
        <v>11</v>
      </c>
      <c r="C1353" s="1" t="str">
        <f>LOOKUP(B1353,Sheet2!$D$4:$E$9)</f>
        <v>8+</v>
      </c>
      <c r="D1353" s="1">
        <v>135</v>
      </c>
      <c r="E1353" t="str">
        <f>LOOKUP(D1353,Sheet2!$G$4:$H$9)</f>
        <v>126-150</v>
      </c>
      <c r="F1353" s="1">
        <v>0</v>
      </c>
      <c r="G1353" t="str">
        <f>LOOKUP(F1353,Sheet2!$J$4:$K$8)</f>
        <v>Unknown</v>
      </c>
      <c r="H1353" s="1">
        <v>0</v>
      </c>
      <c r="I1353" t="str">
        <f>LOOKUP(H1353,Sheet2!$M$4:$N$8)</f>
        <v>Unknown</v>
      </c>
      <c r="J1353" s="1">
        <v>0</v>
      </c>
      <c r="K1353" t="str">
        <f>LOOKUP(J1353,Sheet2!$P$4:$Q$9)</f>
        <v>Unknown</v>
      </c>
      <c r="L1353" s="1">
        <v>52.3</v>
      </c>
      <c r="M1353" t="str">
        <f>LOOKUP(L1353,Sheet2!$S$4:$T$8)</f>
        <v>36+</v>
      </c>
      <c r="N1353" s="1">
        <v>0.57799999999999996</v>
      </c>
      <c r="O1353" t="str">
        <f>LOOKUP(N1353,Sheet2!$V$4:$W$7)</f>
        <v>0.4 - 0.69</v>
      </c>
      <c r="P1353" s="1">
        <v>40</v>
      </c>
      <c r="Q1353" t="str">
        <f>LOOKUP(P1353,Sheet2!$Z$4:$AA$7)</f>
        <v>36-45</v>
      </c>
      <c r="R1353" s="1">
        <v>1</v>
      </c>
      <c r="S1353" t="str">
        <f>IF(R1353=1,"Positive","Negative")</f>
        <v>Positive</v>
      </c>
      <c r="T1353" s="1" t="str">
        <f>IFERROR(VLOOKUP(A1353,[1]diabetes_Recognition!$A:$B,2,FALSE),"Not Sampled")</f>
        <v>Not Sampled</v>
      </c>
      <c r="U1353" t="str">
        <f>IF(T1353=1,"Positive",(IF(T1353=0,"Negative","Not Sampled")))</f>
        <v>Not Sampled</v>
      </c>
      <c r="V1353" s="1" t="str">
        <f>IF(U1353="Not Sampled","Not Sampled",IF(S1353=U1353,"Accurate Prediction","Inaccurate Prediction"))</f>
        <v>Not Sampled</v>
      </c>
    </row>
    <row r="1354" spans="1:22" x14ac:dyDescent="0.25">
      <c r="A1354" s="1">
        <v>1352</v>
      </c>
      <c r="B1354" s="1">
        <v>8</v>
      </c>
      <c r="C1354" s="1" t="str">
        <f>LOOKUP(B1354,Sheet2!$D$4:$E$9)</f>
        <v>8+</v>
      </c>
      <c r="D1354" s="1">
        <v>85</v>
      </c>
      <c r="E1354" t="str">
        <f>LOOKUP(D1354,Sheet2!$G$4:$H$9)</f>
        <v>1-99</v>
      </c>
      <c r="F1354" s="1">
        <v>55</v>
      </c>
      <c r="G1354" t="str">
        <f>LOOKUP(F1354,Sheet2!$J$4:$K$8)</f>
        <v>1-59</v>
      </c>
      <c r="H1354" s="1">
        <v>20</v>
      </c>
      <c r="I1354" t="str">
        <f>LOOKUP(H1354,Sheet2!$M$4:$N$8)</f>
        <v>10-30</v>
      </c>
      <c r="J1354" s="1">
        <v>0</v>
      </c>
      <c r="K1354" t="str">
        <f>LOOKUP(J1354,Sheet2!$P$4:$Q$9)</f>
        <v>Unknown</v>
      </c>
      <c r="L1354" s="1">
        <v>24.4</v>
      </c>
      <c r="M1354" t="str">
        <f>LOOKUP(L1354,Sheet2!$S$4:$T$8)</f>
        <v>1-25</v>
      </c>
      <c r="N1354" s="1">
        <v>0.13600000000000001</v>
      </c>
      <c r="O1354" t="str">
        <f>LOOKUP(N1354,Sheet2!$V$4:$W$7)</f>
        <v>0.0 - 0.249</v>
      </c>
      <c r="P1354" s="1">
        <v>42</v>
      </c>
      <c r="Q1354" t="str">
        <f>LOOKUP(P1354,Sheet2!$Z$4:$AA$7)</f>
        <v>36-45</v>
      </c>
      <c r="R1354" s="1">
        <v>0</v>
      </c>
      <c r="S1354" t="str">
        <f>IF(R1354=1,"Positive","Negative")</f>
        <v>Negative</v>
      </c>
      <c r="T1354" s="1" t="str">
        <f>IFERROR(VLOOKUP(A1354,[1]diabetes_Recognition!$A:$B,2,FALSE),"Not Sampled")</f>
        <v>Not Sampled</v>
      </c>
      <c r="U1354" t="str">
        <f>IF(T1354=1,"Positive",(IF(T1354=0,"Negative","Not Sampled")))</f>
        <v>Not Sampled</v>
      </c>
      <c r="V1354" s="1" t="str">
        <f>IF(U1354="Not Sampled","Not Sampled",IF(S1354=U1354,"Accurate Prediction","Inaccurate Prediction"))</f>
        <v>Not Sampled</v>
      </c>
    </row>
    <row r="1355" spans="1:22" x14ac:dyDescent="0.25">
      <c r="A1355" s="1">
        <v>1353</v>
      </c>
      <c r="B1355" s="1">
        <v>5</v>
      </c>
      <c r="C1355" s="1" t="str">
        <f>LOOKUP(B1355,Sheet2!$D$4:$E$9)</f>
        <v>5-7</v>
      </c>
      <c r="D1355" s="1">
        <v>158</v>
      </c>
      <c r="E1355" t="str">
        <f>LOOKUP(D1355,Sheet2!$G$4:$H$9)</f>
        <v>151-175</v>
      </c>
      <c r="F1355" s="1">
        <v>84</v>
      </c>
      <c r="G1355" t="str">
        <f>LOOKUP(F1355,Sheet2!$J$4:$K$8)</f>
        <v>80+</v>
      </c>
      <c r="H1355" s="1">
        <v>41</v>
      </c>
      <c r="I1355" t="str">
        <f>LOOKUP(H1355,Sheet2!$M$4:$N$8)</f>
        <v>40+</v>
      </c>
      <c r="J1355" s="1">
        <v>210</v>
      </c>
      <c r="K1355" t="str">
        <f>LOOKUP(J1355,Sheet2!$P$4:$Q$9)</f>
        <v>200-399</v>
      </c>
      <c r="L1355" s="1">
        <v>39.4</v>
      </c>
      <c r="M1355" t="str">
        <f>LOOKUP(L1355,Sheet2!$S$4:$T$8)</f>
        <v>36+</v>
      </c>
      <c r="N1355" s="1">
        <v>0.39500000000000002</v>
      </c>
      <c r="O1355" t="str">
        <f>LOOKUP(N1355,Sheet2!$V$4:$W$7)</f>
        <v>0.25 - 0.39</v>
      </c>
      <c r="P1355" s="1">
        <v>29</v>
      </c>
      <c r="Q1355" t="str">
        <f>LOOKUP(P1355,Sheet2!$Z$4:$AA$7)</f>
        <v>26-35</v>
      </c>
      <c r="R1355" s="1">
        <v>1</v>
      </c>
      <c r="S1355" t="str">
        <f>IF(R1355=1,"Positive","Negative")</f>
        <v>Positive</v>
      </c>
      <c r="T1355" s="1">
        <f>IFERROR(VLOOKUP(A1355,[1]diabetes_Recognition!$A:$B,2,FALSE),"Not Sampled")</f>
        <v>1</v>
      </c>
      <c r="U1355" t="str">
        <f>IF(T1355=1,"Positive",(IF(T1355=0,"Negative","Not Sampled")))</f>
        <v>Positive</v>
      </c>
      <c r="V1355" s="1" t="str">
        <f>IF(U1355="Not Sampled","Not Sampled",IF(S1355=U1355,"Accurate Prediction","Inaccurate Prediction"))</f>
        <v>Accurate Prediction</v>
      </c>
    </row>
    <row r="1356" spans="1:22" x14ac:dyDescent="0.25">
      <c r="A1356" s="1">
        <v>1354</v>
      </c>
      <c r="B1356" s="1">
        <v>1</v>
      </c>
      <c r="C1356" s="1">
        <f>LOOKUP(B1356,Sheet2!$D$4:$E$9)</f>
        <v>1</v>
      </c>
      <c r="D1356" s="1">
        <v>105</v>
      </c>
      <c r="E1356" t="str">
        <f>LOOKUP(D1356,Sheet2!$G$4:$H$9)</f>
        <v>100-125</v>
      </c>
      <c r="F1356" s="1">
        <v>58</v>
      </c>
      <c r="G1356" t="str">
        <f>LOOKUP(F1356,Sheet2!$J$4:$K$8)</f>
        <v>1-59</v>
      </c>
      <c r="H1356" s="1">
        <v>0</v>
      </c>
      <c r="I1356" t="str">
        <f>LOOKUP(H1356,Sheet2!$M$4:$N$8)</f>
        <v>Unknown</v>
      </c>
      <c r="J1356" s="1">
        <v>0</v>
      </c>
      <c r="K1356" t="str">
        <f>LOOKUP(J1356,Sheet2!$P$4:$Q$9)</f>
        <v>Unknown</v>
      </c>
      <c r="L1356" s="1">
        <v>24.3</v>
      </c>
      <c r="M1356" t="str">
        <f>LOOKUP(L1356,Sheet2!$S$4:$T$8)</f>
        <v>1-25</v>
      </c>
      <c r="N1356" s="1">
        <v>0.187</v>
      </c>
      <c r="O1356" t="str">
        <f>LOOKUP(N1356,Sheet2!$V$4:$W$7)</f>
        <v>0.0 - 0.249</v>
      </c>
      <c r="P1356" s="1">
        <v>21</v>
      </c>
      <c r="Q1356" t="str">
        <f>LOOKUP(P1356,Sheet2!$Z$4:$AA$7)</f>
        <v>&lt;=25</v>
      </c>
      <c r="R1356" s="1">
        <v>0</v>
      </c>
      <c r="S1356" t="str">
        <f>IF(R1356=1,"Positive","Negative")</f>
        <v>Negative</v>
      </c>
      <c r="T1356" s="1" t="str">
        <f>IFERROR(VLOOKUP(A1356,[1]diabetes_Recognition!$A:$B,2,FALSE),"Not Sampled")</f>
        <v>Not Sampled</v>
      </c>
      <c r="U1356" t="str">
        <f>IF(T1356=1,"Positive",(IF(T1356=0,"Negative","Not Sampled")))</f>
        <v>Not Sampled</v>
      </c>
      <c r="V1356" s="1" t="str">
        <f>IF(U1356="Not Sampled","Not Sampled",IF(S1356=U1356,"Accurate Prediction","Inaccurate Prediction"))</f>
        <v>Not Sampled</v>
      </c>
    </row>
    <row r="1357" spans="1:22" x14ac:dyDescent="0.25">
      <c r="A1357" s="1">
        <v>1355</v>
      </c>
      <c r="B1357" s="1">
        <v>3</v>
      </c>
      <c r="C1357" s="1" t="str">
        <f>LOOKUP(B1357,Sheet2!$D$4:$E$9)</f>
        <v>3-4</v>
      </c>
      <c r="D1357" s="1">
        <v>107</v>
      </c>
      <c r="E1357" t="str">
        <f>LOOKUP(D1357,Sheet2!$G$4:$H$9)</f>
        <v>100-125</v>
      </c>
      <c r="F1357" s="1">
        <v>62</v>
      </c>
      <c r="G1357" t="str">
        <f>LOOKUP(F1357,Sheet2!$J$4:$K$8)</f>
        <v>60-69</v>
      </c>
      <c r="H1357" s="1">
        <v>13</v>
      </c>
      <c r="I1357" t="str">
        <f>LOOKUP(H1357,Sheet2!$M$4:$N$8)</f>
        <v>10-30</v>
      </c>
      <c r="J1357" s="1">
        <v>48</v>
      </c>
      <c r="K1357" t="str">
        <f>LOOKUP(J1357,Sheet2!$P$4:$Q$9)</f>
        <v>1-99</v>
      </c>
      <c r="L1357" s="1">
        <v>22.9</v>
      </c>
      <c r="M1357" t="str">
        <f>LOOKUP(L1357,Sheet2!$S$4:$T$8)</f>
        <v>1-25</v>
      </c>
      <c r="N1357" s="1">
        <v>0.67800000000000005</v>
      </c>
      <c r="O1357" t="str">
        <f>LOOKUP(N1357,Sheet2!$V$4:$W$7)</f>
        <v>0.4 - 0.69</v>
      </c>
      <c r="P1357" s="1">
        <v>23</v>
      </c>
      <c r="Q1357" t="str">
        <f>LOOKUP(P1357,Sheet2!$Z$4:$AA$7)</f>
        <v>&lt;=25</v>
      </c>
      <c r="R1357" s="1">
        <v>1</v>
      </c>
      <c r="S1357" t="str">
        <f>IF(R1357=1,"Positive","Negative")</f>
        <v>Positive</v>
      </c>
      <c r="T1357" s="1" t="str">
        <f>IFERROR(VLOOKUP(A1357,[1]diabetes_Recognition!$A:$B,2,FALSE),"Not Sampled")</f>
        <v>Not Sampled</v>
      </c>
      <c r="U1357" t="str">
        <f>IF(T1357=1,"Positive",(IF(T1357=0,"Negative","Not Sampled")))</f>
        <v>Not Sampled</v>
      </c>
      <c r="V1357" s="1" t="str">
        <f>IF(U1357="Not Sampled","Not Sampled",IF(S1357=U1357,"Accurate Prediction","Inaccurate Prediction"))</f>
        <v>Not Sampled</v>
      </c>
    </row>
    <row r="1358" spans="1:22" x14ac:dyDescent="0.25">
      <c r="A1358" s="1">
        <v>1356</v>
      </c>
      <c r="B1358" s="1">
        <v>4</v>
      </c>
      <c r="C1358" s="1" t="str">
        <f>LOOKUP(B1358,Sheet2!$D$4:$E$9)</f>
        <v>3-4</v>
      </c>
      <c r="D1358" s="1">
        <v>109</v>
      </c>
      <c r="E1358" t="str">
        <f>LOOKUP(D1358,Sheet2!$G$4:$H$9)</f>
        <v>100-125</v>
      </c>
      <c r="F1358" s="1">
        <v>64</v>
      </c>
      <c r="G1358" t="str">
        <f>LOOKUP(F1358,Sheet2!$J$4:$K$8)</f>
        <v>60-69</v>
      </c>
      <c r="H1358" s="1">
        <v>44</v>
      </c>
      <c r="I1358" t="str">
        <f>LOOKUP(H1358,Sheet2!$M$4:$N$8)</f>
        <v>40+</v>
      </c>
      <c r="J1358" s="1">
        <v>99</v>
      </c>
      <c r="K1358" t="str">
        <f>LOOKUP(J1358,Sheet2!$P$4:$Q$9)</f>
        <v>1-99</v>
      </c>
      <c r="L1358" s="1">
        <v>34.799999999999997</v>
      </c>
      <c r="M1358" t="str">
        <f>LOOKUP(L1358,Sheet2!$S$4:$T$8)</f>
        <v>31-35</v>
      </c>
      <c r="N1358" s="1">
        <v>0.90500000000000003</v>
      </c>
      <c r="O1358" t="str">
        <f>LOOKUP(N1358,Sheet2!$V$4:$W$7)</f>
        <v>0.7+</v>
      </c>
      <c r="P1358" s="1">
        <v>26</v>
      </c>
      <c r="Q1358" t="str">
        <f>LOOKUP(P1358,Sheet2!$Z$4:$AA$7)</f>
        <v>26-35</v>
      </c>
      <c r="R1358" s="1">
        <v>1</v>
      </c>
      <c r="S1358" t="str">
        <f>IF(R1358=1,"Positive","Negative")</f>
        <v>Positive</v>
      </c>
      <c r="T1358" s="1" t="str">
        <f>IFERROR(VLOOKUP(A1358,[1]diabetes_Recognition!$A:$B,2,FALSE),"Not Sampled")</f>
        <v>Not Sampled</v>
      </c>
      <c r="U1358" t="str">
        <f>IF(T1358=1,"Positive",(IF(T1358=0,"Negative","Not Sampled")))</f>
        <v>Not Sampled</v>
      </c>
      <c r="V1358" s="1" t="str">
        <f>IF(U1358="Not Sampled","Not Sampled",IF(S1358=U1358,"Accurate Prediction","Inaccurate Prediction"))</f>
        <v>Not Sampled</v>
      </c>
    </row>
    <row r="1359" spans="1:22" x14ac:dyDescent="0.25">
      <c r="A1359" s="1">
        <v>1357</v>
      </c>
      <c r="B1359" s="1">
        <v>4</v>
      </c>
      <c r="C1359" s="1" t="str">
        <f>LOOKUP(B1359,Sheet2!$D$4:$E$9)</f>
        <v>3-4</v>
      </c>
      <c r="D1359" s="1">
        <v>148</v>
      </c>
      <c r="E1359" t="str">
        <f>LOOKUP(D1359,Sheet2!$G$4:$H$9)</f>
        <v>126-150</v>
      </c>
      <c r="F1359" s="1">
        <v>60</v>
      </c>
      <c r="G1359" t="str">
        <f>LOOKUP(F1359,Sheet2!$J$4:$K$8)</f>
        <v>60-69</v>
      </c>
      <c r="H1359" s="1">
        <v>27</v>
      </c>
      <c r="I1359" t="str">
        <f>LOOKUP(H1359,Sheet2!$M$4:$N$8)</f>
        <v>10-30</v>
      </c>
      <c r="J1359" s="1">
        <v>318</v>
      </c>
      <c r="K1359" t="str">
        <f>LOOKUP(J1359,Sheet2!$P$4:$Q$9)</f>
        <v>300-499</v>
      </c>
      <c r="L1359" s="1">
        <v>30.9</v>
      </c>
      <c r="M1359" t="str">
        <f>LOOKUP(L1359,Sheet2!$S$4:$T$8)</f>
        <v>26-30</v>
      </c>
      <c r="N1359" s="1">
        <v>0.15</v>
      </c>
      <c r="O1359" t="str">
        <f>LOOKUP(N1359,Sheet2!$V$4:$W$7)</f>
        <v>0.0 - 0.249</v>
      </c>
      <c r="P1359" s="1">
        <v>29</v>
      </c>
      <c r="Q1359" t="str">
        <f>LOOKUP(P1359,Sheet2!$Z$4:$AA$7)</f>
        <v>26-35</v>
      </c>
      <c r="R1359" s="1">
        <v>1</v>
      </c>
      <c r="S1359" t="str">
        <f>IF(R1359=1,"Positive","Negative")</f>
        <v>Positive</v>
      </c>
      <c r="T1359" s="1" t="str">
        <f>IFERROR(VLOOKUP(A1359,[1]diabetes_Recognition!$A:$B,2,FALSE),"Not Sampled")</f>
        <v>Not Sampled</v>
      </c>
      <c r="U1359" t="str">
        <f>IF(T1359=1,"Positive",(IF(T1359=0,"Negative","Not Sampled")))</f>
        <v>Not Sampled</v>
      </c>
      <c r="V1359" s="1" t="str">
        <f>IF(U1359="Not Sampled","Not Sampled",IF(S1359=U1359,"Accurate Prediction","Inaccurate Prediction"))</f>
        <v>Not Sampled</v>
      </c>
    </row>
    <row r="1360" spans="1:22" x14ac:dyDescent="0.25">
      <c r="A1360" s="1">
        <v>1358</v>
      </c>
      <c r="B1360" s="1">
        <v>0</v>
      </c>
      <c r="C1360" s="1">
        <f>LOOKUP(B1360,Sheet2!$D$4:$E$9)</f>
        <v>0</v>
      </c>
      <c r="D1360" s="1">
        <v>113</v>
      </c>
      <c r="E1360" t="str">
        <f>LOOKUP(D1360,Sheet2!$G$4:$H$9)</f>
        <v>100-125</v>
      </c>
      <c r="F1360" s="1">
        <v>80</v>
      </c>
      <c r="G1360" t="str">
        <f>LOOKUP(F1360,Sheet2!$J$4:$K$8)</f>
        <v>80+</v>
      </c>
      <c r="H1360" s="1">
        <v>16</v>
      </c>
      <c r="I1360" t="str">
        <f>LOOKUP(H1360,Sheet2!$M$4:$N$8)</f>
        <v>10-30</v>
      </c>
      <c r="J1360" s="1">
        <v>0</v>
      </c>
      <c r="K1360" t="str">
        <f>LOOKUP(J1360,Sheet2!$P$4:$Q$9)</f>
        <v>Unknown</v>
      </c>
      <c r="L1360" s="1">
        <v>31</v>
      </c>
      <c r="M1360" t="str">
        <f>LOOKUP(L1360,Sheet2!$S$4:$T$8)</f>
        <v>31-35</v>
      </c>
      <c r="N1360" s="1">
        <v>0.874</v>
      </c>
      <c r="O1360" t="str">
        <f>LOOKUP(N1360,Sheet2!$V$4:$W$7)</f>
        <v>0.7+</v>
      </c>
      <c r="P1360" s="1">
        <v>21</v>
      </c>
      <c r="Q1360" t="str">
        <f>LOOKUP(P1360,Sheet2!$Z$4:$AA$7)</f>
        <v>&lt;=25</v>
      </c>
      <c r="R1360" s="1">
        <v>0</v>
      </c>
      <c r="S1360" t="str">
        <f>IF(R1360=1,"Positive","Negative")</f>
        <v>Negative</v>
      </c>
      <c r="T1360" s="1" t="str">
        <f>IFERROR(VLOOKUP(A1360,[1]diabetes_Recognition!$A:$B,2,FALSE),"Not Sampled")</f>
        <v>Not Sampled</v>
      </c>
      <c r="U1360" t="str">
        <f>IF(T1360=1,"Positive",(IF(T1360=0,"Negative","Not Sampled")))</f>
        <v>Not Sampled</v>
      </c>
      <c r="V1360" s="1" t="str">
        <f>IF(U1360="Not Sampled","Not Sampled",IF(S1360=U1360,"Accurate Prediction","Inaccurate Prediction"))</f>
        <v>Not Sampled</v>
      </c>
    </row>
    <row r="1361" spans="1:22" x14ac:dyDescent="0.25">
      <c r="A1361" s="1">
        <v>1359</v>
      </c>
      <c r="B1361" s="1">
        <v>1</v>
      </c>
      <c r="C1361" s="1">
        <f>LOOKUP(B1361,Sheet2!$D$4:$E$9)</f>
        <v>1</v>
      </c>
      <c r="D1361" s="1">
        <v>138</v>
      </c>
      <c r="E1361" t="str">
        <f>LOOKUP(D1361,Sheet2!$G$4:$H$9)</f>
        <v>126-150</v>
      </c>
      <c r="F1361" s="1">
        <v>82</v>
      </c>
      <c r="G1361" t="str">
        <f>LOOKUP(F1361,Sheet2!$J$4:$K$8)</f>
        <v>80+</v>
      </c>
      <c r="H1361" s="1">
        <v>0</v>
      </c>
      <c r="I1361" t="str">
        <f>LOOKUP(H1361,Sheet2!$M$4:$N$8)</f>
        <v>Unknown</v>
      </c>
      <c r="J1361" s="1">
        <v>0</v>
      </c>
      <c r="K1361" t="str">
        <f>LOOKUP(J1361,Sheet2!$P$4:$Q$9)</f>
        <v>Unknown</v>
      </c>
      <c r="L1361" s="1">
        <v>40.1</v>
      </c>
      <c r="M1361" t="str">
        <f>LOOKUP(L1361,Sheet2!$S$4:$T$8)</f>
        <v>36+</v>
      </c>
      <c r="N1361" s="1">
        <v>0.23599999999999999</v>
      </c>
      <c r="O1361" t="str">
        <f>LOOKUP(N1361,Sheet2!$V$4:$W$7)</f>
        <v>0.0 - 0.249</v>
      </c>
      <c r="P1361" s="1">
        <v>28</v>
      </c>
      <c r="Q1361" t="str">
        <f>LOOKUP(P1361,Sheet2!$Z$4:$AA$7)</f>
        <v>26-35</v>
      </c>
      <c r="R1361" s="1">
        <v>0</v>
      </c>
      <c r="S1361" t="str">
        <f>IF(R1361=1,"Positive","Negative")</f>
        <v>Negative</v>
      </c>
      <c r="T1361" s="1" t="str">
        <f>IFERROR(VLOOKUP(A1361,[1]diabetes_Recognition!$A:$B,2,FALSE),"Not Sampled")</f>
        <v>Not Sampled</v>
      </c>
      <c r="U1361" t="str">
        <f>IF(T1361=1,"Positive",(IF(T1361=0,"Negative","Not Sampled")))</f>
        <v>Not Sampled</v>
      </c>
      <c r="V1361" s="1" t="str">
        <f>IF(U1361="Not Sampled","Not Sampled",IF(S1361=U1361,"Accurate Prediction","Inaccurate Prediction"))</f>
        <v>Not Sampled</v>
      </c>
    </row>
    <row r="1362" spans="1:22" x14ac:dyDescent="0.25">
      <c r="A1362" s="1">
        <v>1360</v>
      </c>
      <c r="B1362" s="1">
        <v>0</v>
      </c>
      <c r="C1362" s="1">
        <f>LOOKUP(B1362,Sheet2!$D$4:$E$9)</f>
        <v>0</v>
      </c>
      <c r="D1362" s="1">
        <v>108</v>
      </c>
      <c r="E1362" t="str">
        <f>LOOKUP(D1362,Sheet2!$G$4:$H$9)</f>
        <v>100-125</v>
      </c>
      <c r="F1362" s="1">
        <v>68</v>
      </c>
      <c r="G1362" t="str">
        <f>LOOKUP(F1362,Sheet2!$J$4:$K$8)</f>
        <v>60-69</v>
      </c>
      <c r="H1362" s="1">
        <v>20</v>
      </c>
      <c r="I1362" t="str">
        <f>LOOKUP(H1362,Sheet2!$M$4:$N$8)</f>
        <v>10-30</v>
      </c>
      <c r="J1362" s="1">
        <v>0</v>
      </c>
      <c r="K1362" t="str">
        <f>LOOKUP(J1362,Sheet2!$P$4:$Q$9)</f>
        <v>Unknown</v>
      </c>
      <c r="L1362" s="1">
        <v>27.3</v>
      </c>
      <c r="M1362" t="str">
        <f>LOOKUP(L1362,Sheet2!$S$4:$T$8)</f>
        <v>26-30</v>
      </c>
      <c r="N1362" s="1">
        <v>0.78700000000000003</v>
      </c>
      <c r="O1362" t="str">
        <f>LOOKUP(N1362,Sheet2!$V$4:$W$7)</f>
        <v>0.7+</v>
      </c>
      <c r="P1362" s="1">
        <v>32</v>
      </c>
      <c r="Q1362" t="str">
        <f>LOOKUP(P1362,Sheet2!$Z$4:$AA$7)</f>
        <v>26-35</v>
      </c>
      <c r="R1362" s="1">
        <v>0</v>
      </c>
      <c r="S1362" t="str">
        <f>IF(R1362=1,"Positive","Negative")</f>
        <v>Negative</v>
      </c>
      <c r="T1362" s="1" t="str">
        <f>IFERROR(VLOOKUP(A1362,[1]diabetes_Recognition!$A:$B,2,FALSE),"Not Sampled")</f>
        <v>Not Sampled</v>
      </c>
      <c r="U1362" t="str">
        <f>IF(T1362=1,"Positive",(IF(T1362=0,"Negative","Not Sampled")))</f>
        <v>Not Sampled</v>
      </c>
      <c r="V1362" s="1" t="str">
        <f>IF(U1362="Not Sampled","Not Sampled",IF(S1362=U1362,"Accurate Prediction","Inaccurate Prediction"))</f>
        <v>Not Sampled</v>
      </c>
    </row>
    <row r="1363" spans="1:22" x14ac:dyDescent="0.25">
      <c r="A1363" s="1">
        <v>1361</v>
      </c>
      <c r="B1363" s="1">
        <v>2</v>
      </c>
      <c r="C1363" s="1">
        <f>LOOKUP(B1363,Sheet2!$D$4:$E$9)</f>
        <v>2</v>
      </c>
      <c r="D1363" s="1">
        <v>99</v>
      </c>
      <c r="E1363" t="str">
        <f>LOOKUP(D1363,Sheet2!$G$4:$H$9)</f>
        <v>1-99</v>
      </c>
      <c r="F1363" s="1">
        <v>70</v>
      </c>
      <c r="G1363" t="str">
        <f>LOOKUP(F1363,Sheet2!$J$4:$K$8)</f>
        <v>70-79</v>
      </c>
      <c r="H1363" s="1">
        <v>16</v>
      </c>
      <c r="I1363" t="str">
        <f>LOOKUP(H1363,Sheet2!$M$4:$N$8)</f>
        <v>10-30</v>
      </c>
      <c r="J1363" s="1">
        <v>44</v>
      </c>
      <c r="K1363" t="str">
        <f>LOOKUP(J1363,Sheet2!$P$4:$Q$9)</f>
        <v>1-99</v>
      </c>
      <c r="L1363" s="1">
        <v>20.399999999999999</v>
      </c>
      <c r="M1363" t="str">
        <f>LOOKUP(L1363,Sheet2!$S$4:$T$8)</f>
        <v>1-25</v>
      </c>
      <c r="N1363" s="1">
        <v>0.23499999999999999</v>
      </c>
      <c r="O1363" t="str">
        <f>LOOKUP(N1363,Sheet2!$V$4:$W$7)</f>
        <v>0.0 - 0.249</v>
      </c>
      <c r="P1363" s="1">
        <v>27</v>
      </c>
      <c r="Q1363" t="str">
        <f>LOOKUP(P1363,Sheet2!$Z$4:$AA$7)</f>
        <v>26-35</v>
      </c>
      <c r="R1363" s="1">
        <v>0</v>
      </c>
      <c r="S1363" t="str">
        <f>IF(R1363=1,"Positive","Negative")</f>
        <v>Negative</v>
      </c>
      <c r="T1363" s="1">
        <f>IFERROR(VLOOKUP(A1363,[1]diabetes_Recognition!$A:$B,2,FALSE),"Not Sampled")</f>
        <v>0</v>
      </c>
      <c r="U1363" t="str">
        <f>IF(T1363=1,"Positive",(IF(T1363=0,"Negative","Not Sampled")))</f>
        <v>Negative</v>
      </c>
      <c r="V1363" s="1" t="str">
        <f>IF(U1363="Not Sampled","Not Sampled",IF(S1363=U1363,"Accurate Prediction","Inaccurate Prediction"))</f>
        <v>Accurate Prediction</v>
      </c>
    </row>
    <row r="1364" spans="1:22" x14ac:dyDescent="0.25">
      <c r="A1364" s="1">
        <v>1362</v>
      </c>
      <c r="B1364" s="1">
        <v>6</v>
      </c>
      <c r="C1364" s="1" t="str">
        <f>LOOKUP(B1364,Sheet2!$D$4:$E$9)</f>
        <v>5-7</v>
      </c>
      <c r="D1364" s="1">
        <v>103</v>
      </c>
      <c r="E1364" t="str">
        <f>LOOKUP(D1364,Sheet2!$G$4:$H$9)</f>
        <v>100-125</v>
      </c>
      <c r="F1364" s="1">
        <v>72</v>
      </c>
      <c r="G1364" t="str">
        <f>LOOKUP(F1364,Sheet2!$J$4:$K$8)</f>
        <v>70-79</v>
      </c>
      <c r="H1364" s="1">
        <v>32</v>
      </c>
      <c r="I1364" t="str">
        <f>LOOKUP(H1364,Sheet2!$M$4:$N$8)</f>
        <v>30-39</v>
      </c>
      <c r="J1364" s="1">
        <v>190</v>
      </c>
      <c r="K1364" t="str">
        <f>LOOKUP(J1364,Sheet2!$P$4:$Q$9)</f>
        <v>100-199</v>
      </c>
      <c r="L1364" s="1">
        <v>37.700000000000003</v>
      </c>
      <c r="M1364" t="str">
        <f>LOOKUP(L1364,Sheet2!$S$4:$T$8)</f>
        <v>36+</v>
      </c>
      <c r="N1364" s="1">
        <v>0.32400000000000001</v>
      </c>
      <c r="O1364" t="str">
        <f>LOOKUP(N1364,Sheet2!$V$4:$W$7)</f>
        <v>0.25 - 0.39</v>
      </c>
      <c r="P1364" s="1">
        <v>55</v>
      </c>
      <c r="Q1364" t="str">
        <f>LOOKUP(P1364,Sheet2!$Z$4:$AA$7)</f>
        <v>46+</v>
      </c>
      <c r="R1364" s="1">
        <v>0</v>
      </c>
      <c r="S1364" t="str">
        <f>IF(R1364=1,"Positive","Negative")</f>
        <v>Negative</v>
      </c>
      <c r="T1364" s="1" t="str">
        <f>IFERROR(VLOOKUP(A1364,[1]diabetes_Recognition!$A:$B,2,FALSE),"Not Sampled")</f>
        <v>Not Sampled</v>
      </c>
      <c r="U1364" t="str">
        <f>IF(T1364=1,"Positive",(IF(T1364=0,"Negative","Not Sampled")))</f>
        <v>Not Sampled</v>
      </c>
      <c r="V1364" s="1" t="str">
        <f>IF(U1364="Not Sampled","Not Sampled",IF(S1364=U1364,"Accurate Prediction","Inaccurate Prediction"))</f>
        <v>Not Sampled</v>
      </c>
    </row>
    <row r="1365" spans="1:22" x14ac:dyDescent="0.25">
      <c r="A1365" s="1">
        <v>1363</v>
      </c>
      <c r="B1365" s="1">
        <v>5</v>
      </c>
      <c r="C1365" s="1" t="str">
        <f>LOOKUP(B1365,Sheet2!$D$4:$E$9)</f>
        <v>5-7</v>
      </c>
      <c r="D1365" s="1">
        <v>111</v>
      </c>
      <c r="E1365" t="str">
        <f>LOOKUP(D1365,Sheet2!$G$4:$H$9)</f>
        <v>100-125</v>
      </c>
      <c r="F1365" s="1">
        <v>72</v>
      </c>
      <c r="G1365" t="str">
        <f>LOOKUP(F1365,Sheet2!$J$4:$K$8)</f>
        <v>70-79</v>
      </c>
      <c r="H1365" s="1">
        <v>28</v>
      </c>
      <c r="I1365" t="str">
        <f>LOOKUP(H1365,Sheet2!$M$4:$N$8)</f>
        <v>10-30</v>
      </c>
      <c r="J1365" s="1">
        <v>0</v>
      </c>
      <c r="K1365" t="str">
        <f>LOOKUP(J1365,Sheet2!$P$4:$Q$9)</f>
        <v>Unknown</v>
      </c>
      <c r="L1365" s="1">
        <v>23.9</v>
      </c>
      <c r="M1365" t="str">
        <f>LOOKUP(L1365,Sheet2!$S$4:$T$8)</f>
        <v>1-25</v>
      </c>
      <c r="N1365" s="1">
        <v>0.40699999999999997</v>
      </c>
      <c r="O1365" t="str">
        <f>LOOKUP(N1365,Sheet2!$V$4:$W$7)</f>
        <v>0.4 - 0.69</v>
      </c>
      <c r="P1365" s="1">
        <v>27</v>
      </c>
      <c r="Q1365" t="str">
        <f>LOOKUP(P1365,Sheet2!$Z$4:$AA$7)</f>
        <v>26-35</v>
      </c>
      <c r="R1365" s="1">
        <v>0</v>
      </c>
      <c r="S1365" t="str">
        <f>IF(R1365=1,"Positive","Negative")</f>
        <v>Negative</v>
      </c>
      <c r="T1365" s="1" t="str">
        <f>IFERROR(VLOOKUP(A1365,[1]diabetes_Recognition!$A:$B,2,FALSE),"Not Sampled")</f>
        <v>Not Sampled</v>
      </c>
      <c r="U1365" t="str">
        <f>IF(T1365=1,"Positive",(IF(T1365=0,"Negative","Not Sampled")))</f>
        <v>Not Sampled</v>
      </c>
      <c r="V1365" s="1" t="str">
        <f>IF(U1365="Not Sampled","Not Sampled",IF(S1365=U1365,"Accurate Prediction","Inaccurate Prediction"))</f>
        <v>Not Sampled</v>
      </c>
    </row>
    <row r="1366" spans="1:22" x14ac:dyDescent="0.25">
      <c r="A1366" s="1">
        <v>1364</v>
      </c>
      <c r="B1366" s="1">
        <v>8</v>
      </c>
      <c r="C1366" s="1" t="str">
        <f>LOOKUP(B1366,Sheet2!$D$4:$E$9)</f>
        <v>8+</v>
      </c>
      <c r="D1366" s="1">
        <v>196</v>
      </c>
      <c r="E1366" t="str">
        <f>LOOKUP(D1366,Sheet2!$G$4:$H$9)</f>
        <v>176-200</v>
      </c>
      <c r="F1366" s="1">
        <v>76</v>
      </c>
      <c r="G1366" t="str">
        <f>LOOKUP(F1366,Sheet2!$J$4:$K$8)</f>
        <v>70-79</v>
      </c>
      <c r="H1366" s="1">
        <v>29</v>
      </c>
      <c r="I1366" t="str">
        <f>LOOKUP(H1366,Sheet2!$M$4:$N$8)</f>
        <v>10-30</v>
      </c>
      <c r="J1366" s="1">
        <v>280</v>
      </c>
      <c r="K1366" t="str">
        <f>LOOKUP(J1366,Sheet2!$P$4:$Q$9)</f>
        <v>200-399</v>
      </c>
      <c r="L1366" s="1">
        <v>37.5</v>
      </c>
      <c r="M1366" t="str">
        <f>LOOKUP(L1366,Sheet2!$S$4:$T$8)</f>
        <v>36+</v>
      </c>
      <c r="N1366" s="1">
        <v>0.60499999999999998</v>
      </c>
      <c r="O1366" t="str">
        <f>LOOKUP(N1366,Sheet2!$V$4:$W$7)</f>
        <v>0.4 - 0.69</v>
      </c>
      <c r="P1366" s="1">
        <v>57</v>
      </c>
      <c r="Q1366" t="str">
        <f>LOOKUP(P1366,Sheet2!$Z$4:$AA$7)</f>
        <v>46+</v>
      </c>
      <c r="R1366" s="1">
        <v>1</v>
      </c>
      <c r="S1366" t="str">
        <f>IF(R1366=1,"Positive","Negative")</f>
        <v>Positive</v>
      </c>
      <c r="T1366" s="1" t="str">
        <f>IFERROR(VLOOKUP(A1366,[1]diabetes_Recognition!$A:$B,2,FALSE),"Not Sampled")</f>
        <v>Not Sampled</v>
      </c>
      <c r="U1366" t="str">
        <f>IF(T1366=1,"Positive",(IF(T1366=0,"Negative","Not Sampled")))</f>
        <v>Not Sampled</v>
      </c>
      <c r="V1366" s="1" t="str">
        <f>IF(U1366="Not Sampled","Not Sampled",IF(S1366=U1366,"Accurate Prediction","Inaccurate Prediction"))</f>
        <v>Not Sampled</v>
      </c>
    </row>
    <row r="1367" spans="1:22" x14ac:dyDescent="0.25">
      <c r="A1367" s="1">
        <v>1365</v>
      </c>
      <c r="B1367" s="1">
        <v>5</v>
      </c>
      <c r="C1367" s="1" t="str">
        <f>LOOKUP(B1367,Sheet2!$D$4:$E$9)</f>
        <v>5-7</v>
      </c>
      <c r="D1367" s="1">
        <v>162</v>
      </c>
      <c r="E1367" t="str">
        <f>LOOKUP(D1367,Sheet2!$G$4:$H$9)</f>
        <v>151-175</v>
      </c>
      <c r="F1367" s="1">
        <v>104</v>
      </c>
      <c r="G1367" t="str">
        <f>LOOKUP(F1367,Sheet2!$J$4:$K$8)</f>
        <v>80+</v>
      </c>
      <c r="H1367" s="1">
        <v>0</v>
      </c>
      <c r="I1367" t="str">
        <f>LOOKUP(H1367,Sheet2!$M$4:$N$8)</f>
        <v>Unknown</v>
      </c>
      <c r="J1367" s="1">
        <v>0</v>
      </c>
      <c r="K1367" t="str">
        <f>LOOKUP(J1367,Sheet2!$P$4:$Q$9)</f>
        <v>Unknown</v>
      </c>
      <c r="L1367" s="1">
        <v>37.700000000000003</v>
      </c>
      <c r="M1367" t="str">
        <f>LOOKUP(L1367,Sheet2!$S$4:$T$8)</f>
        <v>36+</v>
      </c>
      <c r="N1367" s="1">
        <v>0.151</v>
      </c>
      <c r="O1367" t="str">
        <f>LOOKUP(N1367,Sheet2!$V$4:$W$7)</f>
        <v>0.0 - 0.249</v>
      </c>
      <c r="P1367" s="1">
        <v>52</v>
      </c>
      <c r="Q1367" t="str">
        <f>LOOKUP(P1367,Sheet2!$Z$4:$AA$7)</f>
        <v>46+</v>
      </c>
      <c r="R1367" s="1">
        <v>1</v>
      </c>
      <c r="S1367" t="str">
        <f>IF(R1367=1,"Positive","Negative")</f>
        <v>Positive</v>
      </c>
      <c r="T1367" s="1">
        <f>IFERROR(VLOOKUP(A1367,[1]diabetes_Recognition!$A:$B,2,FALSE),"Not Sampled")</f>
        <v>1</v>
      </c>
      <c r="U1367" t="str">
        <f>IF(T1367=1,"Positive",(IF(T1367=0,"Negative","Not Sampled")))</f>
        <v>Positive</v>
      </c>
      <c r="V1367" s="1" t="str">
        <f>IF(U1367="Not Sampled","Not Sampled",IF(S1367=U1367,"Accurate Prediction","Inaccurate Prediction"))</f>
        <v>Accurate Prediction</v>
      </c>
    </row>
    <row r="1368" spans="1:22" x14ac:dyDescent="0.25">
      <c r="A1368" s="1">
        <v>1366</v>
      </c>
      <c r="B1368" s="1">
        <v>1</v>
      </c>
      <c r="C1368" s="1">
        <f>LOOKUP(B1368,Sheet2!$D$4:$E$9)</f>
        <v>1</v>
      </c>
      <c r="D1368" s="1">
        <v>96</v>
      </c>
      <c r="E1368" t="str">
        <f>LOOKUP(D1368,Sheet2!$G$4:$H$9)</f>
        <v>1-99</v>
      </c>
      <c r="F1368" s="1">
        <v>64</v>
      </c>
      <c r="G1368" t="str">
        <f>LOOKUP(F1368,Sheet2!$J$4:$K$8)</f>
        <v>60-69</v>
      </c>
      <c r="H1368" s="1">
        <v>27</v>
      </c>
      <c r="I1368" t="str">
        <f>LOOKUP(H1368,Sheet2!$M$4:$N$8)</f>
        <v>10-30</v>
      </c>
      <c r="J1368" s="1">
        <v>87</v>
      </c>
      <c r="K1368" t="str">
        <f>LOOKUP(J1368,Sheet2!$P$4:$Q$9)</f>
        <v>1-99</v>
      </c>
      <c r="L1368" s="1">
        <v>33.200000000000003</v>
      </c>
      <c r="M1368" t="str">
        <f>LOOKUP(L1368,Sheet2!$S$4:$T$8)</f>
        <v>31-35</v>
      </c>
      <c r="N1368" s="1">
        <v>0.28899999999999998</v>
      </c>
      <c r="O1368" t="str">
        <f>LOOKUP(N1368,Sheet2!$V$4:$W$7)</f>
        <v>0.25 - 0.39</v>
      </c>
      <c r="P1368" s="1">
        <v>21</v>
      </c>
      <c r="Q1368" t="str">
        <f>LOOKUP(P1368,Sheet2!$Z$4:$AA$7)</f>
        <v>&lt;=25</v>
      </c>
      <c r="R1368" s="1">
        <v>0</v>
      </c>
      <c r="S1368" t="str">
        <f>IF(R1368=1,"Positive","Negative")</f>
        <v>Negative</v>
      </c>
      <c r="T1368" s="1" t="str">
        <f>IFERROR(VLOOKUP(A1368,[1]diabetes_Recognition!$A:$B,2,FALSE),"Not Sampled")</f>
        <v>Not Sampled</v>
      </c>
      <c r="U1368" t="str">
        <f>IF(T1368=1,"Positive",(IF(T1368=0,"Negative","Not Sampled")))</f>
        <v>Not Sampled</v>
      </c>
      <c r="V1368" s="1" t="str">
        <f>IF(U1368="Not Sampled","Not Sampled",IF(S1368=U1368,"Accurate Prediction","Inaccurate Prediction"))</f>
        <v>Not Sampled</v>
      </c>
    </row>
    <row r="1369" spans="1:22" x14ac:dyDescent="0.25">
      <c r="A1369" s="1">
        <v>1367</v>
      </c>
      <c r="B1369" s="1">
        <v>7</v>
      </c>
      <c r="C1369" s="1" t="str">
        <f>LOOKUP(B1369,Sheet2!$D$4:$E$9)</f>
        <v>5-7</v>
      </c>
      <c r="D1369" s="1">
        <v>184</v>
      </c>
      <c r="E1369" t="str">
        <f>LOOKUP(D1369,Sheet2!$G$4:$H$9)</f>
        <v>176-200</v>
      </c>
      <c r="F1369" s="1">
        <v>84</v>
      </c>
      <c r="G1369" t="str">
        <f>LOOKUP(F1369,Sheet2!$J$4:$K$8)</f>
        <v>80+</v>
      </c>
      <c r="H1369" s="1">
        <v>33</v>
      </c>
      <c r="I1369" t="str">
        <f>LOOKUP(H1369,Sheet2!$M$4:$N$8)</f>
        <v>30-39</v>
      </c>
      <c r="J1369" s="1">
        <v>0</v>
      </c>
      <c r="K1369" t="str">
        <f>LOOKUP(J1369,Sheet2!$P$4:$Q$9)</f>
        <v>Unknown</v>
      </c>
      <c r="L1369" s="1">
        <v>35.5</v>
      </c>
      <c r="M1369" t="str">
        <f>LOOKUP(L1369,Sheet2!$S$4:$T$8)</f>
        <v>31-35</v>
      </c>
      <c r="N1369" s="1">
        <v>0.35499999999999998</v>
      </c>
      <c r="O1369" t="str">
        <f>LOOKUP(N1369,Sheet2!$V$4:$W$7)</f>
        <v>0.25 - 0.39</v>
      </c>
      <c r="P1369" s="1">
        <v>41</v>
      </c>
      <c r="Q1369" t="str">
        <f>LOOKUP(P1369,Sheet2!$Z$4:$AA$7)</f>
        <v>36-45</v>
      </c>
      <c r="R1369" s="1">
        <v>1</v>
      </c>
      <c r="S1369" t="str">
        <f>IF(R1369=1,"Positive","Negative")</f>
        <v>Positive</v>
      </c>
      <c r="T1369" s="1" t="str">
        <f>IFERROR(VLOOKUP(A1369,[1]diabetes_Recognition!$A:$B,2,FALSE),"Not Sampled")</f>
        <v>Not Sampled</v>
      </c>
      <c r="U1369" t="str">
        <f>IF(T1369=1,"Positive",(IF(T1369=0,"Negative","Not Sampled")))</f>
        <v>Not Sampled</v>
      </c>
      <c r="V1369" s="1" t="str">
        <f>IF(U1369="Not Sampled","Not Sampled",IF(S1369=U1369,"Accurate Prediction","Inaccurate Prediction"))</f>
        <v>Not Sampled</v>
      </c>
    </row>
    <row r="1370" spans="1:22" x14ac:dyDescent="0.25">
      <c r="A1370" s="1">
        <v>1368</v>
      </c>
      <c r="B1370" s="1">
        <v>2</v>
      </c>
      <c r="C1370" s="1">
        <f>LOOKUP(B1370,Sheet2!$D$4:$E$9)</f>
        <v>2</v>
      </c>
      <c r="D1370" s="1">
        <v>81</v>
      </c>
      <c r="E1370" t="str">
        <f>LOOKUP(D1370,Sheet2!$G$4:$H$9)</f>
        <v>1-99</v>
      </c>
      <c r="F1370" s="1">
        <v>60</v>
      </c>
      <c r="G1370" t="str">
        <f>LOOKUP(F1370,Sheet2!$J$4:$K$8)</f>
        <v>60-69</v>
      </c>
      <c r="H1370" s="1">
        <v>22</v>
      </c>
      <c r="I1370" t="str">
        <f>LOOKUP(H1370,Sheet2!$M$4:$N$8)</f>
        <v>10-30</v>
      </c>
      <c r="J1370" s="1">
        <v>0</v>
      </c>
      <c r="K1370" t="str">
        <f>LOOKUP(J1370,Sheet2!$P$4:$Q$9)</f>
        <v>Unknown</v>
      </c>
      <c r="L1370" s="1">
        <v>27.7</v>
      </c>
      <c r="M1370" t="str">
        <f>LOOKUP(L1370,Sheet2!$S$4:$T$8)</f>
        <v>26-30</v>
      </c>
      <c r="N1370" s="1">
        <v>0.28999999999999998</v>
      </c>
      <c r="O1370" t="str">
        <f>LOOKUP(N1370,Sheet2!$V$4:$W$7)</f>
        <v>0.25 - 0.39</v>
      </c>
      <c r="P1370" s="1">
        <v>25</v>
      </c>
      <c r="Q1370" t="str">
        <f>LOOKUP(P1370,Sheet2!$Z$4:$AA$7)</f>
        <v>&lt;=25</v>
      </c>
      <c r="R1370" s="1">
        <v>0</v>
      </c>
      <c r="S1370" t="str">
        <f>IF(R1370=1,"Positive","Negative")</f>
        <v>Negative</v>
      </c>
      <c r="T1370" s="1" t="str">
        <f>IFERROR(VLOOKUP(A1370,[1]diabetes_Recognition!$A:$B,2,FALSE),"Not Sampled")</f>
        <v>Not Sampled</v>
      </c>
      <c r="U1370" t="str">
        <f>IF(T1370=1,"Positive",(IF(T1370=0,"Negative","Not Sampled")))</f>
        <v>Not Sampled</v>
      </c>
      <c r="V1370" s="1" t="str">
        <f>IF(U1370="Not Sampled","Not Sampled",IF(S1370=U1370,"Accurate Prediction","Inaccurate Prediction"))</f>
        <v>Not Sampled</v>
      </c>
    </row>
    <row r="1371" spans="1:22" x14ac:dyDescent="0.25">
      <c r="A1371" s="1">
        <v>1369</v>
      </c>
      <c r="B1371" s="1">
        <v>0</v>
      </c>
      <c r="C1371" s="1">
        <f>LOOKUP(B1371,Sheet2!$D$4:$E$9)</f>
        <v>0</v>
      </c>
      <c r="D1371" s="1">
        <v>147</v>
      </c>
      <c r="E1371" t="str">
        <f>LOOKUP(D1371,Sheet2!$G$4:$H$9)</f>
        <v>126-150</v>
      </c>
      <c r="F1371" s="1">
        <v>85</v>
      </c>
      <c r="G1371" t="str">
        <f>LOOKUP(F1371,Sheet2!$J$4:$K$8)</f>
        <v>80+</v>
      </c>
      <c r="H1371" s="1">
        <v>54</v>
      </c>
      <c r="I1371" t="str">
        <f>LOOKUP(H1371,Sheet2!$M$4:$N$8)</f>
        <v>40+</v>
      </c>
      <c r="J1371" s="1">
        <v>0</v>
      </c>
      <c r="K1371" t="str">
        <f>LOOKUP(J1371,Sheet2!$P$4:$Q$9)</f>
        <v>Unknown</v>
      </c>
      <c r="L1371" s="1">
        <v>42.8</v>
      </c>
      <c r="M1371" t="str">
        <f>LOOKUP(L1371,Sheet2!$S$4:$T$8)</f>
        <v>36+</v>
      </c>
      <c r="N1371" s="1">
        <v>0.375</v>
      </c>
      <c r="O1371" t="str">
        <f>LOOKUP(N1371,Sheet2!$V$4:$W$7)</f>
        <v>0.25 - 0.39</v>
      </c>
      <c r="P1371" s="1">
        <v>24</v>
      </c>
      <c r="Q1371" t="str">
        <f>LOOKUP(P1371,Sheet2!$Z$4:$AA$7)</f>
        <v>&lt;=25</v>
      </c>
      <c r="R1371" s="1">
        <v>0</v>
      </c>
      <c r="S1371" t="str">
        <f>IF(R1371=1,"Positive","Negative")</f>
        <v>Negative</v>
      </c>
      <c r="T1371" s="1">
        <f>IFERROR(VLOOKUP(A1371,[1]diabetes_Recognition!$A:$B,2,FALSE),"Not Sampled")</f>
        <v>1</v>
      </c>
      <c r="U1371" t="str">
        <f>IF(T1371=1,"Positive",(IF(T1371=0,"Negative","Not Sampled")))</f>
        <v>Positive</v>
      </c>
      <c r="V1371" s="1" t="str">
        <f>IF(U1371="Not Sampled","Not Sampled",IF(S1371=U1371,"Accurate Prediction","Inaccurate Prediction"))</f>
        <v>Inaccurate Prediction</v>
      </c>
    </row>
    <row r="1372" spans="1:22" x14ac:dyDescent="0.25">
      <c r="A1372" s="1">
        <v>1370</v>
      </c>
      <c r="B1372" s="1">
        <v>7</v>
      </c>
      <c r="C1372" s="1" t="str">
        <f>LOOKUP(B1372,Sheet2!$D$4:$E$9)</f>
        <v>5-7</v>
      </c>
      <c r="D1372" s="1">
        <v>179</v>
      </c>
      <c r="E1372" t="str">
        <f>LOOKUP(D1372,Sheet2!$G$4:$H$9)</f>
        <v>176-200</v>
      </c>
      <c r="F1372" s="1">
        <v>95</v>
      </c>
      <c r="G1372" t="str">
        <f>LOOKUP(F1372,Sheet2!$J$4:$K$8)</f>
        <v>80+</v>
      </c>
      <c r="H1372" s="1">
        <v>31</v>
      </c>
      <c r="I1372" t="str">
        <f>LOOKUP(H1372,Sheet2!$M$4:$N$8)</f>
        <v>30-39</v>
      </c>
      <c r="J1372" s="1">
        <v>0</v>
      </c>
      <c r="K1372" t="str">
        <f>LOOKUP(J1372,Sheet2!$P$4:$Q$9)</f>
        <v>Unknown</v>
      </c>
      <c r="L1372" s="1">
        <v>34.200000000000003</v>
      </c>
      <c r="M1372" t="str">
        <f>LOOKUP(L1372,Sheet2!$S$4:$T$8)</f>
        <v>31-35</v>
      </c>
      <c r="N1372" s="1">
        <v>0.16400000000000001</v>
      </c>
      <c r="O1372" t="str">
        <f>LOOKUP(N1372,Sheet2!$V$4:$W$7)</f>
        <v>0.0 - 0.249</v>
      </c>
      <c r="P1372" s="1">
        <v>60</v>
      </c>
      <c r="Q1372" t="str">
        <f>LOOKUP(P1372,Sheet2!$Z$4:$AA$7)</f>
        <v>46+</v>
      </c>
      <c r="R1372" s="1">
        <v>0</v>
      </c>
      <c r="S1372" t="str">
        <f>IF(R1372=1,"Positive","Negative")</f>
        <v>Negative</v>
      </c>
      <c r="T1372" s="1" t="str">
        <f>IFERROR(VLOOKUP(A1372,[1]diabetes_Recognition!$A:$B,2,FALSE),"Not Sampled")</f>
        <v>Not Sampled</v>
      </c>
      <c r="U1372" t="str">
        <f>IF(T1372=1,"Positive",(IF(T1372=0,"Negative","Not Sampled")))</f>
        <v>Not Sampled</v>
      </c>
      <c r="V1372" s="1" t="str">
        <f>IF(U1372="Not Sampled","Not Sampled",IF(S1372=U1372,"Accurate Prediction","Inaccurate Prediction"))</f>
        <v>Not Sampled</v>
      </c>
    </row>
    <row r="1373" spans="1:22" x14ac:dyDescent="0.25">
      <c r="A1373" s="1">
        <v>1371</v>
      </c>
      <c r="B1373" s="1">
        <v>0</v>
      </c>
      <c r="C1373" s="1">
        <f>LOOKUP(B1373,Sheet2!$D$4:$E$9)</f>
        <v>0</v>
      </c>
      <c r="D1373" s="1">
        <v>140</v>
      </c>
      <c r="E1373" t="str">
        <f>LOOKUP(D1373,Sheet2!$G$4:$H$9)</f>
        <v>126-150</v>
      </c>
      <c r="F1373" s="1">
        <v>65</v>
      </c>
      <c r="G1373" t="str">
        <f>LOOKUP(F1373,Sheet2!$J$4:$K$8)</f>
        <v>60-69</v>
      </c>
      <c r="H1373" s="1">
        <v>26</v>
      </c>
      <c r="I1373" t="str">
        <f>LOOKUP(H1373,Sheet2!$M$4:$N$8)</f>
        <v>10-30</v>
      </c>
      <c r="J1373" s="1">
        <v>130</v>
      </c>
      <c r="K1373" t="str">
        <f>LOOKUP(J1373,Sheet2!$P$4:$Q$9)</f>
        <v>100-199</v>
      </c>
      <c r="L1373" s="1">
        <v>42.6</v>
      </c>
      <c r="M1373" t="str">
        <f>LOOKUP(L1373,Sheet2!$S$4:$T$8)</f>
        <v>36+</v>
      </c>
      <c r="N1373" s="1">
        <v>0.43099999999999999</v>
      </c>
      <c r="O1373" t="str">
        <f>LOOKUP(N1373,Sheet2!$V$4:$W$7)</f>
        <v>0.4 - 0.69</v>
      </c>
      <c r="P1373" s="1">
        <v>24</v>
      </c>
      <c r="Q1373" t="str">
        <f>LOOKUP(P1373,Sheet2!$Z$4:$AA$7)</f>
        <v>&lt;=25</v>
      </c>
      <c r="R1373" s="1">
        <v>1</v>
      </c>
      <c r="S1373" t="str">
        <f>IF(R1373=1,"Positive","Negative")</f>
        <v>Positive</v>
      </c>
      <c r="T1373" s="1" t="str">
        <f>IFERROR(VLOOKUP(A1373,[1]diabetes_Recognition!$A:$B,2,FALSE),"Not Sampled")</f>
        <v>Not Sampled</v>
      </c>
      <c r="U1373" t="str">
        <f>IF(T1373=1,"Positive",(IF(T1373=0,"Negative","Not Sampled")))</f>
        <v>Not Sampled</v>
      </c>
      <c r="V1373" s="1" t="str">
        <f>IF(U1373="Not Sampled","Not Sampled",IF(S1373=U1373,"Accurate Prediction","Inaccurate Prediction"))</f>
        <v>Not Sampled</v>
      </c>
    </row>
    <row r="1374" spans="1:22" x14ac:dyDescent="0.25">
      <c r="A1374" s="1">
        <v>1372</v>
      </c>
      <c r="B1374" s="1">
        <v>9</v>
      </c>
      <c r="C1374" s="1" t="str">
        <f>LOOKUP(B1374,Sheet2!$D$4:$E$9)</f>
        <v>8+</v>
      </c>
      <c r="D1374" s="1">
        <v>112</v>
      </c>
      <c r="E1374" t="str">
        <f>LOOKUP(D1374,Sheet2!$G$4:$H$9)</f>
        <v>100-125</v>
      </c>
      <c r="F1374" s="1">
        <v>82</v>
      </c>
      <c r="G1374" t="str">
        <f>LOOKUP(F1374,Sheet2!$J$4:$K$8)</f>
        <v>80+</v>
      </c>
      <c r="H1374" s="1">
        <v>32</v>
      </c>
      <c r="I1374" t="str">
        <f>LOOKUP(H1374,Sheet2!$M$4:$N$8)</f>
        <v>30-39</v>
      </c>
      <c r="J1374" s="1">
        <v>175</v>
      </c>
      <c r="K1374" t="str">
        <f>LOOKUP(J1374,Sheet2!$P$4:$Q$9)</f>
        <v>100-199</v>
      </c>
      <c r="L1374" s="1">
        <v>34.200000000000003</v>
      </c>
      <c r="M1374" t="str">
        <f>LOOKUP(L1374,Sheet2!$S$4:$T$8)</f>
        <v>31-35</v>
      </c>
      <c r="N1374" s="1">
        <v>0.26</v>
      </c>
      <c r="O1374" t="str">
        <f>LOOKUP(N1374,Sheet2!$V$4:$W$7)</f>
        <v>0.25 - 0.39</v>
      </c>
      <c r="P1374" s="1">
        <v>36</v>
      </c>
      <c r="Q1374" t="str">
        <f>LOOKUP(P1374,Sheet2!$Z$4:$AA$7)</f>
        <v>36-45</v>
      </c>
      <c r="R1374" s="1">
        <v>1</v>
      </c>
      <c r="S1374" t="str">
        <f>IF(R1374=1,"Positive","Negative")</f>
        <v>Positive</v>
      </c>
      <c r="T1374" s="1" t="str">
        <f>IFERROR(VLOOKUP(A1374,[1]diabetes_Recognition!$A:$B,2,FALSE),"Not Sampled")</f>
        <v>Not Sampled</v>
      </c>
      <c r="U1374" t="str">
        <f>IF(T1374=1,"Positive",(IF(T1374=0,"Negative","Not Sampled")))</f>
        <v>Not Sampled</v>
      </c>
      <c r="V1374" s="1" t="str">
        <f>IF(U1374="Not Sampled","Not Sampled",IF(S1374=U1374,"Accurate Prediction","Inaccurate Prediction"))</f>
        <v>Not Sampled</v>
      </c>
    </row>
    <row r="1375" spans="1:22" x14ac:dyDescent="0.25">
      <c r="A1375" s="1">
        <v>1373</v>
      </c>
      <c r="B1375" s="1">
        <v>12</v>
      </c>
      <c r="C1375" s="1" t="str">
        <f>LOOKUP(B1375,Sheet2!$D$4:$E$9)</f>
        <v>8+</v>
      </c>
      <c r="D1375" s="1">
        <v>151</v>
      </c>
      <c r="E1375" t="str">
        <f>LOOKUP(D1375,Sheet2!$G$4:$H$9)</f>
        <v>151-175</v>
      </c>
      <c r="F1375" s="1">
        <v>70</v>
      </c>
      <c r="G1375" t="str">
        <f>LOOKUP(F1375,Sheet2!$J$4:$K$8)</f>
        <v>70-79</v>
      </c>
      <c r="H1375" s="1">
        <v>40</v>
      </c>
      <c r="I1375" t="str">
        <f>LOOKUP(H1375,Sheet2!$M$4:$N$8)</f>
        <v>40+</v>
      </c>
      <c r="J1375" s="1">
        <v>271</v>
      </c>
      <c r="K1375" t="str">
        <f>LOOKUP(J1375,Sheet2!$P$4:$Q$9)</f>
        <v>200-399</v>
      </c>
      <c r="L1375" s="1">
        <v>41.8</v>
      </c>
      <c r="M1375" t="str">
        <f>LOOKUP(L1375,Sheet2!$S$4:$T$8)</f>
        <v>36+</v>
      </c>
      <c r="N1375" s="1">
        <v>0.74199999999999999</v>
      </c>
      <c r="O1375" t="str">
        <f>LOOKUP(N1375,Sheet2!$V$4:$W$7)</f>
        <v>0.7+</v>
      </c>
      <c r="P1375" s="1">
        <v>38</v>
      </c>
      <c r="Q1375" t="str">
        <f>LOOKUP(P1375,Sheet2!$Z$4:$AA$7)</f>
        <v>36-45</v>
      </c>
      <c r="R1375" s="1">
        <v>1</v>
      </c>
      <c r="S1375" t="str">
        <f>IF(R1375=1,"Positive","Negative")</f>
        <v>Positive</v>
      </c>
      <c r="T1375" s="1" t="str">
        <f>IFERROR(VLOOKUP(A1375,[1]diabetes_Recognition!$A:$B,2,FALSE),"Not Sampled")</f>
        <v>Not Sampled</v>
      </c>
      <c r="U1375" t="str">
        <f>IF(T1375=1,"Positive",(IF(T1375=0,"Negative","Not Sampled")))</f>
        <v>Not Sampled</v>
      </c>
      <c r="V1375" s="1" t="str">
        <f>IF(U1375="Not Sampled","Not Sampled",IF(S1375=U1375,"Accurate Prediction","Inaccurate Prediction"))</f>
        <v>Not Sampled</v>
      </c>
    </row>
    <row r="1376" spans="1:22" x14ac:dyDescent="0.25">
      <c r="A1376" s="1">
        <v>1374</v>
      </c>
      <c r="B1376" s="1">
        <v>5</v>
      </c>
      <c r="C1376" s="1" t="str">
        <f>LOOKUP(B1376,Sheet2!$D$4:$E$9)</f>
        <v>5-7</v>
      </c>
      <c r="D1376" s="1">
        <v>109</v>
      </c>
      <c r="E1376" t="str">
        <f>LOOKUP(D1376,Sheet2!$G$4:$H$9)</f>
        <v>100-125</v>
      </c>
      <c r="F1376" s="1">
        <v>62</v>
      </c>
      <c r="G1376" t="str">
        <f>LOOKUP(F1376,Sheet2!$J$4:$K$8)</f>
        <v>60-69</v>
      </c>
      <c r="H1376" s="1">
        <v>41</v>
      </c>
      <c r="I1376" t="str">
        <f>LOOKUP(H1376,Sheet2!$M$4:$N$8)</f>
        <v>40+</v>
      </c>
      <c r="J1376" s="1">
        <v>129</v>
      </c>
      <c r="K1376" t="str">
        <f>LOOKUP(J1376,Sheet2!$P$4:$Q$9)</f>
        <v>100-199</v>
      </c>
      <c r="L1376" s="1">
        <v>35.799999999999997</v>
      </c>
      <c r="M1376" t="str">
        <f>LOOKUP(L1376,Sheet2!$S$4:$T$8)</f>
        <v>31-35</v>
      </c>
      <c r="N1376" s="1">
        <v>0.51400000000000001</v>
      </c>
      <c r="O1376" t="str">
        <f>LOOKUP(N1376,Sheet2!$V$4:$W$7)</f>
        <v>0.4 - 0.69</v>
      </c>
      <c r="P1376" s="1">
        <v>25</v>
      </c>
      <c r="Q1376" t="str">
        <f>LOOKUP(P1376,Sheet2!$Z$4:$AA$7)</f>
        <v>&lt;=25</v>
      </c>
      <c r="R1376" s="1">
        <v>1</v>
      </c>
      <c r="S1376" t="str">
        <f>IF(R1376=1,"Positive","Negative")</f>
        <v>Positive</v>
      </c>
      <c r="T1376" s="1" t="str">
        <f>IFERROR(VLOOKUP(A1376,[1]diabetes_Recognition!$A:$B,2,FALSE),"Not Sampled")</f>
        <v>Not Sampled</v>
      </c>
      <c r="U1376" t="str">
        <f>IF(T1376=1,"Positive",(IF(T1376=0,"Negative","Not Sampled")))</f>
        <v>Not Sampled</v>
      </c>
      <c r="V1376" s="1" t="str">
        <f>IF(U1376="Not Sampled","Not Sampled",IF(S1376=U1376,"Accurate Prediction","Inaccurate Prediction"))</f>
        <v>Not Sampled</v>
      </c>
    </row>
    <row r="1377" spans="1:22" x14ac:dyDescent="0.25">
      <c r="A1377" s="1">
        <v>1375</v>
      </c>
      <c r="B1377" s="1">
        <v>6</v>
      </c>
      <c r="C1377" s="1" t="str">
        <f>LOOKUP(B1377,Sheet2!$D$4:$E$9)</f>
        <v>5-7</v>
      </c>
      <c r="D1377" s="1">
        <v>125</v>
      </c>
      <c r="E1377" t="str">
        <f>LOOKUP(D1377,Sheet2!$G$4:$H$9)</f>
        <v>100-125</v>
      </c>
      <c r="F1377" s="1">
        <v>68</v>
      </c>
      <c r="G1377" t="str">
        <f>LOOKUP(F1377,Sheet2!$J$4:$K$8)</f>
        <v>60-69</v>
      </c>
      <c r="H1377" s="1">
        <v>30</v>
      </c>
      <c r="I1377" t="str">
        <f>LOOKUP(H1377,Sheet2!$M$4:$N$8)</f>
        <v>30-39</v>
      </c>
      <c r="J1377" s="1">
        <v>120</v>
      </c>
      <c r="K1377" t="str">
        <f>LOOKUP(J1377,Sheet2!$P$4:$Q$9)</f>
        <v>100-199</v>
      </c>
      <c r="L1377" s="1">
        <v>30</v>
      </c>
      <c r="M1377" t="str">
        <f>LOOKUP(L1377,Sheet2!$S$4:$T$8)</f>
        <v>26-30</v>
      </c>
      <c r="N1377" s="1">
        <v>0.46400000000000002</v>
      </c>
      <c r="O1377" t="str">
        <f>LOOKUP(N1377,Sheet2!$V$4:$W$7)</f>
        <v>0.4 - 0.69</v>
      </c>
      <c r="P1377" s="1">
        <v>32</v>
      </c>
      <c r="Q1377" t="str">
        <f>LOOKUP(P1377,Sheet2!$Z$4:$AA$7)</f>
        <v>26-35</v>
      </c>
      <c r="R1377" s="1">
        <v>0</v>
      </c>
      <c r="S1377" t="str">
        <f>IF(R1377=1,"Positive","Negative")</f>
        <v>Negative</v>
      </c>
      <c r="T1377" s="1" t="str">
        <f>IFERROR(VLOOKUP(A1377,[1]diabetes_Recognition!$A:$B,2,FALSE),"Not Sampled")</f>
        <v>Not Sampled</v>
      </c>
      <c r="U1377" t="str">
        <f>IF(T1377=1,"Positive",(IF(T1377=0,"Negative","Not Sampled")))</f>
        <v>Not Sampled</v>
      </c>
      <c r="V1377" s="1" t="str">
        <f>IF(U1377="Not Sampled","Not Sampled",IF(S1377=U1377,"Accurate Prediction","Inaccurate Prediction"))</f>
        <v>Not Sampled</v>
      </c>
    </row>
    <row r="1378" spans="1:22" x14ac:dyDescent="0.25">
      <c r="A1378" s="1">
        <v>1376</v>
      </c>
      <c r="B1378" s="1">
        <v>5</v>
      </c>
      <c r="C1378" s="1" t="str">
        <f>LOOKUP(B1378,Sheet2!$D$4:$E$9)</f>
        <v>5-7</v>
      </c>
      <c r="D1378" s="1">
        <v>85</v>
      </c>
      <c r="E1378" t="str">
        <f>LOOKUP(D1378,Sheet2!$G$4:$H$9)</f>
        <v>1-99</v>
      </c>
      <c r="F1378" s="1">
        <v>74</v>
      </c>
      <c r="G1378" t="str">
        <f>LOOKUP(F1378,Sheet2!$J$4:$K$8)</f>
        <v>70-79</v>
      </c>
      <c r="H1378" s="1">
        <v>22</v>
      </c>
      <c r="I1378" t="str">
        <f>LOOKUP(H1378,Sheet2!$M$4:$N$8)</f>
        <v>10-30</v>
      </c>
      <c r="J1378" s="1">
        <v>0</v>
      </c>
      <c r="K1378" t="str">
        <f>LOOKUP(J1378,Sheet2!$P$4:$Q$9)</f>
        <v>Unknown</v>
      </c>
      <c r="L1378" s="1">
        <v>29</v>
      </c>
      <c r="M1378" t="str">
        <f>LOOKUP(L1378,Sheet2!$S$4:$T$8)</f>
        <v>26-30</v>
      </c>
      <c r="N1378" s="1">
        <v>1.224</v>
      </c>
      <c r="O1378" t="str">
        <f>LOOKUP(N1378,Sheet2!$V$4:$W$7)</f>
        <v>0.7+</v>
      </c>
      <c r="P1378" s="1">
        <v>32</v>
      </c>
      <c r="Q1378" t="str">
        <f>LOOKUP(P1378,Sheet2!$Z$4:$AA$7)</f>
        <v>26-35</v>
      </c>
      <c r="R1378" s="1">
        <v>1</v>
      </c>
      <c r="S1378" t="str">
        <f>IF(R1378=1,"Positive","Negative")</f>
        <v>Positive</v>
      </c>
      <c r="T1378" s="1">
        <f>IFERROR(VLOOKUP(A1378,[1]diabetes_Recognition!$A:$B,2,FALSE),"Not Sampled")</f>
        <v>0</v>
      </c>
      <c r="U1378" t="str">
        <f>IF(T1378=1,"Positive",(IF(T1378=0,"Negative","Not Sampled")))</f>
        <v>Negative</v>
      </c>
      <c r="V1378" s="1" t="str">
        <f>IF(U1378="Not Sampled","Not Sampled",IF(S1378=U1378,"Accurate Prediction","Inaccurate Prediction"))</f>
        <v>Inaccurate Prediction</v>
      </c>
    </row>
    <row r="1379" spans="1:22" x14ac:dyDescent="0.25">
      <c r="A1379" s="1">
        <v>1377</v>
      </c>
      <c r="B1379" s="1">
        <v>5</v>
      </c>
      <c r="C1379" s="1" t="str">
        <f>LOOKUP(B1379,Sheet2!$D$4:$E$9)</f>
        <v>5-7</v>
      </c>
      <c r="D1379" s="1">
        <v>112</v>
      </c>
      <c r="E1379" t="str">
        <f>LOOKUP(D1379,Sheet2!$G$4:$H$9)</f>
        <v>100-125</v>
      </c>
      <c r="F1379" s="1">
        <v>66</v>
      </c>
      <c r="G1379" t="str">
        <f>LOOKUP(F1379,Sheet2!$J$4:$K$8)</f>
        <v>60-69</v>
      </c>
      <c r="H1379" s="1">
        <v>0</v>
      </c>
      <c r="I1379" t="str">
        <f>LOOKUP(H1379,Sheet2!$M$4:$N$8)</f>
        <v>Unknown</v>
      </c>
      <c r="J1379" s="1">
        <v>0</v>
      </c>
      <c r="K1379" t="str">
        <f>LOOKUP(J1379,Sheet2!$P$4:$Q$9)</f>
        <v>Unknown</v>
      </c>
      <c r="L1379" s="1">
        <v>37.799999999999997</v>
      </c>
      <c r="M1379" t="str">
        <f>LOOKUP(L1379,Sheet2!$S$4:$T$8)</f>
        <v>36+</v>
      </c>
      <c r="N1379" s="1">
        <v>0.26100000000000001</v>
      </c>
      <c r="O1379" t="str">
        <f>LOOKUP(N1379,Sheet2!$V$4:$W$7)</f>
        <v>0.25 - 0.39</v>
      </c>
      <c r="P1379" s="1">
        <v>41</v>
      </c>
      <c r="Q1379" t="str">
        <f>LOOKUP(P1379,Sheet2!$Z$4:$AA$7)</f>
        <v>36-45</v>
      </c>
      <c r="R1379" s="1">
        <v>1</v>
      </c>
      <c r="S1379" t="str">
        <f>IF(R1379=1,"Positive","Negative")</f>
        <v>Positive</v>
      </c>
      <c r="T1379" s="1" t="str">
        <f>IFERROR(VLOOKUP(A1379,[1]diabetes_Recognition!$A:$B,2,FALSE),"Not Sampled")</f>
        <v>Not Sampled</v>
      </c>
      <c r="U1379" t="str">
        <f>IF(T1379=1,"Positive",(IF(T1379=0,"Negative","Not Sampled")))</f>
        <v>Not Sampled</v>
      </c>
      <c r="V1379" s="1" t="str">
        <f>IF(U1379="Not Sampled","Not Sampled",IF(S1379=U1379,"Accurate Prediction","Inaccurate Prediction"))</f>
        <v>Not Sampled</v>
      </c>
    </row>
    <row r="1380" spans="1:22" x14ac:dyDescent="0.25">
      <c r="A1380" s="1">
        <v>1378</v>
      </c>
      <c r="B1380" s="1">
        <v>0</v>
      </c>
      <c r="C1380" s="1">
        <f>LOOKUP(B1380,Sheet2!$D$4:$E$9)</f>
        <v>0</v>
      </c>
      <c r="D1380" s="1">
        <v>177</v>
      </c>
      <c r="E1380" t="str">
        <f>LOOKUP(D1380,Sheet2!$G$4:$H$9)</f>
        <v>176-200</v>
      </c>
      <c r="F1380" s="1">
        <v>60</v>
      </c>
      <c r="G1380" t="str">
        <f>LOOKUP(F1380,Sheet2!$J$4:$K$8)</f>
        <v>60-69</v>
      </c>
      <c r="H1380" s="1">
        <v>29</v>
      </c>
      <c r="I1380" t="str">
        <f>LOOKUP(H1380,Sheet2!$M$4:$N$8)</f>
        <v>10-30</v>
      </c>
      <c r="J1380" s="1">
        <v>478</v>
      </c>
      <c r="K1380" t="str">
        <f>LOOKUP(J1380,Sheet2!$P$4:$Q$9)</f>
        <v>300-499</v>
      </c>
      <c r="L1380" s="1">
        <v>34.6</v>
      </c>
      <c r="M1380" t="str">
        <f>LOOKUP(L1380,Sheet2!$S$4:$T$8)</f>
        <v>31-35</v>
      </c>
      <c r="N1380" s="1">
        <v>1.0720000000000001</v>
      </c>
      <c r="O1380" t="str">
        <f>LOOKUP(N1380,Sheet2!$V$4:$W$7)</f>
        <v>0.7+</v>
      </c>
      <c r="P1380" s="1">
        <v>21</v>
      </c>
      <c r="Q1380" t="str">
        <f>LOOKUP(P1380,Sheet2!$Z$4:$AA$7)</f>
        <v>&lt;=25</v>
      </c>
      <c r="R1380" s="1">
        <v>1</v>
      </c>
      <c r="S1380" t="str">
        <f>IF(R1380=1,"Positive","Negative")</f>
        <v>Positive</v>
      </c>
      <c r="T1380" s="1" t="str">
        <f>IFERROR(VLOOKUP(A1380,[1]diabetes_Recognition!$A:$B,2,FALSE),"Not Sampled")</f>
        <v>Not Sampled</v>
      </c>
      <c r="U1380" t="str">
        <f>IF(T1380=1,"Positive",(IF(T1380=0,"Negative","Not Sampled")))</f>
        <v>Not Sampled</v>
      </c>
      <c r="V1380" s="1" t="str">
        <f>IF(U1380="Not Sampled","Not Sampled",IF(S1380=U1380,"Accurate Prediction","Inaccurate Prediction"))</f>
        <v>Not Sampled</v>
      </c>
    </row>
    <row r="1381" spans="1:22" x14ac:dyDescent="0.25">
      <c r="A1381" s="1">
        <v>1379</v>
      </c>
      <c r="B1381" s="1">
        <v>2</v>
      </c>
      <c r="C1381" s="1">
        <f>LOOKUP(B1381,Sheet2!$D$4:$E$9)</f>
        <v>2</v>
      </c>
      <c r="D1381" s="1">
        <v>158</v>
      </c>
      <c r="E1381" t="str">
        <f>LOOKUP(D1381,Sheet2!$G$4:$H$9)</f>
        <v>151-175</v>
      </c>
      <c r="F1381" s="1">
        <v>90</v>
      </c>
      <c r="G1381" t="str">
        <f>LOOKUP(F1381,Sheet2!$J$4:$K$8)</f>
        <v>80+</v>
      </c>
      <c r="H1381" s="1">
        <v>0</v>
      </c>
      <c r="I1381" t="str">
        <f>LOOKUP(H1381,Sheet2!$M$4:$N$8)</f>
        <v>Unknown</v>
      </c>
      <c r="J1381" s="1">
        <v>0</v>
      </c>
      <c r="K1381" t="str">
        <f>LOOKUP(J1381,Sheet2!$P$4:$Q$9)</f>
        <v>Unknown</v>
      </c>
      <c r="L1381" s="1">
        <v>31.6</v>
      </c>
      <c r="M1381" t="str">
        <f>LOOKUP(L1381,Sheet2!$S$4:$T$8)</f>
        <v>31-35</v>
      </c>
      <c r="N1381" s="1">
        <v>0.80500000000000005</v>
      </c>
      <c r="O1381" t="str">
        <f>LOOKUP(N1381,Sheet2!$V$4:$W$7)</f>
        <v>0.7+</v>
      </c>
      <c r="P1381" s="1">
        <v>66</v>
      </c>
      <c r="Q1381" t="str">
        <f>LOOKUP(P1381,Sheet2!$Z$4:$AA$7)</f>
        <v>46+</v>
      </c>
      <c r="R1381" s="1">
        <v>1</v>
      </c>
      <c r="S1381" t="str">
        <f>IF(R1381=1,"Positive","Negative")</f>
        <v>Positive</v>
      </c>
      <c r="T1381" s="1">
        <f>IFERROR(VLOOKUP(A1381,[1]diabetes_Recognition!$A:$B,2,FALSE),"Not Sampled")</f>
        <v>1</v>
      </c>
      <c r="U1381" t="str">
        <f>IF(T1381=1,"Positive",(IF(T1381=0,"Negative","Not Sampled")))</f>
        <v>Positive</v>
      </c>
      <c r="V1381" s="1" t="str">
        <f>IF(U1381="Not Sampled","Not Sampled",IF(S1381=U1381,"Accurate Prediction","Inaccurate Prediction"))</f>
        <v>Accurate Prediction</v>
      </c>
    </row>
    <row r="1382" spans="1:22" x14ac:dyDescent="0.25">
      <c r="A1382" s="1">
        <v>1380</v>
      </c>
      <c r="B1382" s="1">
        <v>7</v>
      </c>
      <c r="C1382" s="1" t="str">
        <f>LOOKUP(B1382,Sheet2!$D$4:$E$9)</f>
        <v>5-7</v>
      </c>
      <c r="D1382" s="1">
        <v>119</v>
      </c>
      <c r="E1382" t="str">
        <f>LOOKUP(D1382,Sheet2!$G$4:$H$9)</f>
        <v>100-125</v>
      </c>
      <c r="F1382" s="1">
        <v>0</v>
      </c>
      <c r="G1382" t="str">
        <f>LOOKUP(F1382,Sheet2!$J$4:$K$8)</f>
        <v>Unknown</v>
      </c>
      <c r="H1382" s="1">
        <v>0</v>
      </c>
      <c r="I1382" t="str">
        <f>LOOKUP(H1382,Sheet2!$M$4:$N$8)</f>
        <v>Unknown</v>
      </c>
      <c r="J1382" s="1">
        <v>0</v>
      </c>
      <c r="K1382" t="str">
        <f>LOOKUP(J1382,Sheet2!$P$4:$Q$9)</f>
        <v>Unknown</v>
      </c>
      <c r="L1382" s="1">
        <v>25.2</v>
      </c>
      <c r="M1382" t="str">
        <f>LOOKUP(L1382,Sheet2!$S$4:$T$8)</f>
        <v>1-25</v>
      </c>
      <c r="N1382" s="1">
        <v>0.20899999999999999</v>
      </c>
      <c r="O1382" t="str">
        <f>LOOKUP(N1382,Sheet2!$V$4:$W$7)</f>
        <v>0.0 - 0.249</v>
      </c>
      <c r="P1382" s="1">
        <v>37</v>
      </c>
      <c r="Q1382" t="str">
        <f>LOOKUP(P1382,Sheet2!$Z$4:$AA$7)</f>
        <v>36-45</v>
      </c>
      <c r="R1382" s="1">
        <v>0</v>
      </c>
      <c r="S1382" t="str">
        <f>IF(R1382=1,"Positive","Negative")</f>
        <v>Negative</v>
      </c>
      <c r="T1382" s="1" t="str">
        <f>IFERROR(VLOOKUP(A1382,[1]diabetes_Recognition!$A:$B,2,FALSE),"Not Sampled")</f>
        <v>Not Sampled</v>
      </c>
      <c r="U1382" t="str">
        <f>IF(T1382=1,"Positive",(IF(T1382=0,"Negative","Not Sampled")))</f>
        <v>Not Sampled</v>
      </c>
      <c r="V1382" s="1" t="str">
        <f>IF(U1382="Not Sampled","Not Sampled",IF(S1382=U1382,"Accurate Prediction","Inaccurate Prediction"))</f>
        <v>Not Sampled</v>
      </c>
    </row>
    <row r="1383" spans="1:22" x14ac:dyDescent="0.25">
      <c r="A1383" s="1">
        <v>1381</v>
      </c>
      <c r="B1383" s="1">
        <v>7</v>
      </c>
      <c r="C1383" s="1" t="str">
        <f>LOOKUP(B1383,Sheet2!$D$4:$E$9)</f>
        <v>5-7</v>
      </c>
      <c r="D1383" s="1">
        <v>142</v>
      </c>
      <c r="E1383" t="str">
        <f>LOOKUP(D1383,Sheet2!$G$4:$H$9)</f>
        <v>126-150</v>
      </c>
      <c r="F1383" s="1">
        <v>60</v>
      </c>
      <c r="G1383" t="str">
        <f>LOOKUP(F1383,Sheet2!$J$4:$K$8)</f>
        <v>60-69</v>
      </c>
      <c r="H1383" s="1">
        <v>33</v>
      </c>
      <c r="I1383" t="str">
        <f>LOOKUP(H1383,Sheet2!$M$4:$N$8)</f>
        <v>30-39</v>
      </c>
      <c r="J1383" s="1">
        <v>190</v>
      </c>
      <c r="K1383" t="str">
        <f>LOOKUP(J1383,Sheet2!$P$4:$Q$9)</f>
        <v>100-199</v>
      </c>
      <c r="L1383" s="1">
        <v>28.8</v>
      </c>
      <c r="M1383" t="str">
        <f>LOOKUP(L1383,Sheet2!$S$4:$T$8)</f>
        <v>26-30</v>
      </c>
      <c r="N1383" s="1">
        <v>0.68700000000000006</v>
      </c>
      <c r="O1383" t="str">
        <f>LOOKUP(N1383,Sheet2!$V$4:$W$7)</f>
        <v>0.4 - 0.69</v>
      </c>
      <c r="P1383" s="1">
        <v>61</v>
      </c>
      <c r="Q1383" t="str">
        <f>LOOKUP(P1383,Sheet2!$Z$4:$AA$7)</f>
        <v>46+</v>
      </c>
      <c r="R1383" s="1">
        <v>0</v>
      </c>
      <c r="S1383" t="str">
        <f>IF(R1383=1,"Positive","Negative")</f>
        <v>Negative</v>
      </c>
      <c r="T1383" s="1">
        <f>IFERROR(VLOOKUP(A1383,[1]diabetes_Recognition!$A:$B,2,FALSE),"Not Sampled")</f>
        <v>1</v>
      </c>
      <c r="U1383" t="str">
        <f>IF(T1383=1,"Positive",(IF(T1383=0,"Negative","Not Sampled")))</f>
        <v>Positive</v>
      </c>
      <c r="V1383" s="1" t="str">
        <f>IF(U1383="Not Sampled","Not Sampled",IF(S1383=U1383,"Accurate Prediction","Inaccurate Prediction"))</f>
        <v>Inaccurate Prediction</v>
      </c>
    </row>
    <row r="1384" spans="1:22" x14ac:dyDescent="0.25">
      <c r="A1384" s="1">
        <v>1382</v>
      </c>
      <c r="B1384" s="1">
        <v>1</v>
      </c>
      <c r="C1384" s="1">
        <f>LOOKUP(B1384,Sheet2!$D$4:$E$9)</f>
        <v>1</v>
      </c>
      <c r="D1384" s="1">
        <v>100</v>
      </c>
      <c r="E1384" t="str">
        <f>LOOKUP(D1384,Sheet2!$G$4:$H$9)</f>
        <v>100-125</v>
      </c>
      <c r="F1384" s="1">
        <v>66</v>
      </c>
      <c r="G1384" t="str">
        <f>LOOKUP(F1384,Sheet2!$J$4:$K$8)</f>
        <v>60-69</v>
      </c>
      <c r="H1384" s="1">
        <v>15</v>
      </c>
      <c r="I1384" t="str">
        <f>LOOKUP(H1384,Sheet2!$M$4:$N$8)</f>
        <v>10-30</v>
      </c>
      <c r="J1384" s="1">
        <v>56</v>
      </c>
      <c r="K1384" t="str">
        <f>LOOKUP(J1384,Sheet2!$P$4:$Q$9)</f>
        <v>1-99</v>
      </c>
      <c r="L1384" s="1">
        <v>23.6</v>
      </c>
      <c r="M1384" t="str">
        <f>LOOKUP(L1384,Sheet2!$S$4:$T$8)</f>
        <v>1-25</v>
      </c>
      <c r="N1384" s="1">
        <v>0.66600000000000004</v>
      </c>
      <c r="O1384" t="str">
        <f>LOOKUP(N1384,Sheet2!$V$4:$W$7)</f>
        <v>0.4 - 0.69</v>
      </c>
      <c r="P1384" s="1">
        <v>26</v>
      </c>
      <c r="Q1384" t="str">
        <f>LOOKUP(P1384,Sheet2!$Z$4:$AA$7)</f>
        <v>26-35</v>
      </c>
      <c r="R1384" s="1">
        <v>0</v>
      </c>
      <c r="S1384" t="str">
        <f>IF(R1384=1,"Positive","Negative")</f>
        <v>Negative</v>
      </c>
      <c r="T1384" s="1" t="str">
        <f>IFERROR(VLOOKUP(A1384,[1]diabetes_Recognition!$A:$B,2,FALSE),"Not Sampled")</f>
        <v>Not Sampled</v>
      </c>
      <c r="U1384" t="str">
        <f>IF(T1384=1,"Positive",(IF(T1384=0,"Negative","Not Sampled")))</f>
        <v>Not Sampled</v>
      </c>
      <c r="V1384" s="1" t="str">
        <f>IF(U1384="Not Sampled","Not Sampled",IF(S1384=U1384,"Accurate Prediction","Inaccurate Prediction"))</f>
        <v>Not Sampled</v>
      </c>
    </row>
    <row r="1385" spans="1:22" x14ac:dyDescent="0.25">
      <c r="A1385" s="1">
        <v>1383</v>
      </c>
      <c r="B1385" s="1">
        <v>1</v>
      </c>
      <c r="C1385" s="1">
        <f>LOOKUP(B1385,Sheet2!$D$4:$E$9)</f>
        <v>1</v>
      </c>
      <c r="D1385" s="1">
        <v>87</v>
      </c>
      <c r="E1385" t="str">
        <f>LOOKUP(D1385,Sheet2!$G$4:$H$9)</f>
        <v>1-99</v>
      </c>
      <c r="F1385" s="1">
        <v>78</v>
      </c>
      <c r="G1385" t="str">
        <f>LOOKUP(F1385,Sheet2!$J$4:$K$8)</f>
        <v>70-79</v>
      </c>
      <c r="H1385" s="1">
        <v>27</v>
      </c>
      <c r="I1385" t="str">
        <f>LOOKUP(H1385,Sheet2!$M$4:$N$8)</f>
        <v>10-30</v>
      </c>
      <c r="J1385" s="1">
        <v>32</v>
      </c>
      <c r="K1385" t="str">
        <f>LOOKUP(J1385,Sheet2!$P$4:$Q$9)</f>
        <v>1-99</v>
      </c>
      <c r="L1385" s="1">
        <v>34.6</v>
      </c>
      <c r="M1385" t="str">
        <f>LOOKUP(L1385,Sheet2!$S$4:$T$8)</f>
        <v>31-35</v>
      </c>
      <c r="N1385" s="1">
        <v>0.10100000000000001</v>
      </c>
      <c r="O1385" t="str">
        <f>LOOKUP(N1385,Sheet2!$V$4:$W$7)</f>
        <v>0.0 - 0.249</v>
      </c>
      <c r="P1385" s="1">
        <v>22</v>
      </c>
      <c r="Q1385" t="str">
        <f>LOOKUP(P1385,Sheet2!$Z$4:$AA$7)</f>
        <v>&lt;=25</v>
      </c>
      <c r="R1385" s="1">
        <v>0</v>
      </c>
      <c r="S1385" t="str">
        <f>IF(R1385=1,"Positive","Negative")</f>
        <v>Negative</v>
      </c>
      <c r="T1385" s="1" t="str">
        <f>IFERROR(VLOOKUP(A1385,[1]diabetes_Recognition!$A:$B,2,FALSE),"Not Sampled")</f>
        <v>Not Sampled</v>
      </c>
      <c r="U1385" t="str">
        <f>IF(T1385=1,"Positive",(IF(T1385=0,"Negative","Not Sampled")))</f>
        <v>Not Sampled</v>
      </c>
      <c r="V1385" s="1" t="str">
        <f>IF(U1385="Not Sampled","Not Sampled",IF(S1385=U1385,"Accurate Prediction","Inaccurate Prediction"))</f>
        <v>Not Sampled</v>
      </c>
    </row>
    <row r="1386" spans="1:22" x14ac:dyDescent="0.25">
      <c r="A1386" s="1">
        <v>1384</v>
      </c>
      <c r="B1386" s="1">
        <v>0</v>
      </c>
      <c r="C1386" s="1">
        <f>LOOKUP(B1386,Sheet2!$D$4:$E$9)</f>
        <v>0</v>
      </c>
      <c r="D1386" s="1">
        <v>101</v>
      </c>
      <c r="E1386" t="str">
        <f>LOOKUP(D1386,Sheet2!$G$4:$H$9)</f>
        <v>100-125</v>
      </c>
      <c r="F1386" s="1">
        <v>76</v>
      </c>
      <c r="G1386" t="str">
        <f>LOOKUP(F1386,Sheet2!$J$4:$K$8)</f>
        <v>70-79</v>
      </c>
      <c r="H1386" s="1">
        <v>0</v>
      </c>
      <c r="I1386" t="str">
        <f>LOOKUP(H1386,Sheet2!$M$4:$N$8)</f>
        <v>Unknown</v>
      </c>
      <c r="J1386" s="1">
        <v>0</v>
      </c>
      <c r="K1386" t="str">
        <f>LOOKUP(J1386,Sheet2!$P$4:$Q$9)</f>
        <v>Unknown</v>
      </c>
      <c r="L1386" s="1">
        <v>35.700000000000003</v>
      </c>
      <c r="M1386" t="str">
        <f>LOOKUP(L1386,Sheet2!$S$4:$T$8)</f>
        <v>31-35</v>
      </c>
      <c r="N1386" s="1">
        <v>0.19800000000000001</v>
      </c>
      <c r="O1386" t="str">
        <f>LOOKUP(N1386,Sheet2!$V$4:$W$7)</f>
        <v>0.0 - 0.249</v>
      </c>
      <c r="P1386" s="1">
        <v>26</v>
      </c>
      <c r="Q1386" t="str">
        <f>LOOKUP(P1386,Sheet2!$Z$4:$AA$7)</f>
        <v>26-35</v>
      </c>
      <c r="R1386" s="1">
        <v>0</v>
      </c>
      <c r="S1386" t="str">
        <f>IF(R1386=1,"Positive","Negative")</f>
        <v>Negative</v>
      </c>
      <c r="T1386" s="1" t="str">
        <f>IFERROR(VLOOKUP(A1386,[1]diabetes_Recognition!$A:$B,2,FALSE),"Not Sampled")</f>
        <v>Not Sampled</v>
      </c>
      <c r="U1386" t="str">
        <f>IF(T1386=1,"Positive",(IF(T1386=0,"Negative","Not Sampled")))</f>
        <v>Not Sampled</v>
      </c>
      <c r="V1386" s="1" t="str">
        <f>IF(U1386="Not Sampled","Not Sampled",IF(S1386=U1386,"Accurate Prediction","Inaccurate Prediction"))</f>
        <v>Not Sampled</v>
      </c>
    </row>
    <row r="1387" spans="1:22" x14ac:dyDescent="0.25">
      <c r="A1387" s="1">
        <v>1385</v>
      </c>
      <c r="B1387" s="1">
        <v>3</v>
      </c>
      <c r="C1387" s="1" t="str">
        <f>LOOKUP(B1387,Sheet2!$D$4:$E$9)</f>
        <v>3-4</v>
      </c>
      <c r="D1387" s="1">
        <v>162</v>
      </c>
      <c r="E1387" t="str">
        <f>LOOKUP(D1387,Sheet2!$G$4:$H$9)</f>
        <v>151-175</v>
      </c>
      <c r="F1387" s="1">
        <v>52</v>
      </c>
      <c r="G1387" t="str">
        <f>LOOKUP(F1387,Sheet2!$J$4:$K$8)</f>
        <v>1-59</v>
      </c>
      <c r="H1387" s="1">
        <v>38</v>
      </c>
      <c r="I1387" t="str">
        <f>LOOKUP(H1387,Sheet2!$M$4:$N$8)</f>
        <v>30-39</v>
      </c>
      <c r="J1387" s="1">
        <v>0</v>
      </c>
      <c r="K1387" t="str">
        <f>LOOKUP(J1387,Sheet2!$P$4:$Q$9)</f>
        <v>Unknown</v>
      </c>
      <c r="L1387" s="1">
        <v>37.200000000000003</v>
      </c>
      <c r="M1387" t="str">
        <f>LOOKUP(L1387,Sheet2!$S$4:$T$8)</f>
        <v>36+</v>
      </c>
      <c r="N1387" s="1">
        <v>0.65200000000000002</v>
      </c>
      <c r="O1387" t="str">
        <f>LOOKUP(N1387,Sheet2!$V$4:$W$7)</f>
        <v>0.4 - 0.69</v>
      </c>
      <c r="P1387" s="1">
        <v>24</v>
      </c>
      <c r="Q1387" t="str">
        <f>LOOKUP(P1387,Sheet2!$Z$4:$AA$7)</f>
        <v>&lt;=25</v>
      </c>
      <c r="R1387" s="1">
        <v>1</v>
      </c>
      <c r="S1387" t="str">
        <f>IF(R1387=1,"Positive","Negative")</f>
        <v>Positive</v>
      </c>
      <c r="T1387" s="1" t="str">
        <f>IFERROR(VLOOKUP(A1387,[1]diabetes_Recognition!$A:$B,2,FALSE),"Not Sampled")</f>
        <v>Not Sampled</v>
      </c>
      <c r="U1387" t="str">
        <f>IF(T1387=1,"Positive",(IF(T1387=0,"Negative","Not Sampled")))</f>
        <v>Not Sampled</v>
      </c>
      <c r="V1387" s="1" t="str">
        <f>IF(U1387="Not Sampled","Not Sampled",IF(S1387=U1387,"Accurate Prediction","Inaccurate Prediction"))</f>
        <v>Not Sampled</v>
      </c>
    </row>
    <row r="1388" spans="1:22" x14ac:dyDescent="0.25">
      <c r="A1388" s="1">
        <v>1386</v>
      </c>
      <c r="B1388" s="1">
        <v>4</v>
      </c>
      <c r="C1388" s="1" t="str">
        <f>LOOKUP(B1388,Sheet2!$D$4:$E$9)</f>
        <v>3-4</v>
      </c>
      <c r="D1388" s="1">
        <v>197</v>
      </c>
      <c r="E1388" t="str">
        <f>LOOKUP(D1388,Sheet2!$G$4:$H$9)</f>
        <v>176-200</v>
      </c>
      <c r="F1388" s="1">
        <v>70</v>
      </c>
      <c r="G1388" t="str">
        <f>LOOKUP(F1388,Sheet2!$J$4:$K$8)</f>
        <v>70-79</v>
      </c>
      <c r="H1388" s="1">
        <v>39</v>
      </c>
      <c r="I1388" t="str">
        <f>LOOKUP(H1388,Sheet2!$M$4:$N$8)</f>
        <v>30-39</v>
      </c>
      <c r="J1388" s="1">
        <v>744</v>
      </c>
      <c r="K1388" t="str">
        <f>LOOKUP(J1388,Sheet2!$P$4:$Q$9)</f>
        <v>500+</v>
      </c>
      <c r="L1388" s="1">
        <v>36.700000000000003</v>
      </c>
      <c r="M1388" t="str">
        <f>LOOKUP(L1388,Sheet2!$S$4:$T$8)</f>
        <v>36+</v>
      </c>
      <c r="N1388" s="1">
        <v>2.3290000000000002</v>
      </c>
      <c r="O1388" t="str">
        <f>LOOKUP(N1388,Sheet2!$V$4:$W$7)</f>
        <v>0.7+</v>
      </c>
      <c r="P1388" s="1">
        <v>31</v>
      </c>
      <c r="Q1388" t="str">
        <f>LOOKUP(P1388,Sheet2!$Z$4:$AA$7)</f>
        <v>26-35</v>
      </c>
      <c r="R1388" s="1">
        <v>0</v>
      </c>
      <c r="S1388" t="str">
        <f>IF(R1388=1,"Positive","Negative")</f>
        <v>Negative</v>
      </c>
      <c r="T1388" s="1" t="str">
        <f>IFERROR(VLOOKUP(A1388,[1]diabetes_Recognition!$A:$B,2,FALSE),"Not Sampled")</f>
        <v>Not Sampled</v>
      </c>
      <c r="U1388" t="str">
        <f>IF(T1388=1,"Positive",(IF(T1388=0,"Negative","Not Sampled")))</f>
        <v>Not Sampled</v>
      </c>
      <c r="V1388" s="1" t="str">
        <f>IF(U1388="Not Sampled","Not Sampled",IF(S1388=U1388,"Accurate Prediction","Inaccurate Prediction"))</f>
        <v>Not Sampled</v>
      </c>
    </row>
    <row r="1389" spans="1:22" x14ac:dyDescent="0.25">
      <c r="A1389" s="1">
        <v>1387</v>
      </c>
      <c r="B1389" s="1">
        <v>0</v>
      </c>
      <c r="C1389" s="1">
        <f>LOOKUP(B1389,Sheet2!$D$4:$E$9)</f>
        <v>0</v>
      </c>
      <c r="D1389" s="1">
        <v>117</v>
      </c>
      <c r="E1389" t="str">
        <f>LOOKUP(D1389,Sheet2!$G$4:$H$9)</f>
        <v>100-125</v>
      </c>
      <c r="F1389" s="1">
        <v>80</v>
      </c>
      <c r="G1389" t="str">
        <f>LOOKUP(F1389,Sheet2!$J$4:$K$8)</f>
        <v>80+</v>
      </c>
      <c r="H1389" s="1">
        <v>31</v>
      </c>
      <c r="I1389" t="str">
        <f>LOOKUP(H1389,Sheet2!$M$4:$N$8)</f>
        <v>30-39</v>
      </c>
      <c r="J1389" s="1">
        <v>53</v>
      </c>
      <c r="K1389" t="str">
        <f>LOOKUP(J1389,Sheet2!$P$4:$Q$9)</f>
        <v>1-99</v>
      </c>
      <c r="L1389" s="1">
        <v>45.2</v>
      </c>
      <c r="M1389" t="str">
        <f>LOOKUP(L1389,Sheet2!$S$4:$T$8)</f>
        <v>36+</v>
      </c>
      <c r="N1389" s="1">
        <v>8.8999999999999996E-2</v>
      </c>
      <c r="O1389" t="str">
        <f>LOOKUP(N1389,Sheet2!$V$4:$W$7)</f>
        <v>0.0 - 0.249</v>
      </c>
      <c r="P1389" s="1">
        <v>24</v>
      </c>
      <c r="Q1389" t="str">
        <f>LOOKUP(P1389,Sheet2!$Z$4:$AA$7)</f>
        <v>&lt;=25</v>
      </c>
      <c r="R1389" s="1">
        <v>0</v>
      </c>
      <c r="S1389" t="str">
        <f>IF(R1389=1,"Positive","Negative")</f>
        <v>Negative</v>
      </c>
      <c r="T1389" s="1" t="str">
        <f>IFERROR(VLOOKUP(A1389,[1]diabetes_Recognition!$A:$B,2,FALSE),"Not Sampled")</f>
        <v>Not Sampled</v>
      </c>
      <c r="U1389" t="str">
        <f>IF(T1389=1,"Positive",(IF(T1389=0,"Negative","Not Sampled")))</f>
        <v>Not Sampled</v>
      </c>
      <c r="V1389" s="1" t="str">
        <f>IF(U1389="Not Sampled","Not Sampled",IF(S1389=U1389,"Accurate Prediction","Inaccurate Prediction"))</f>
        <v>Not Sampled</v>
      </c>
    </row>
    <row r="1390" spans="1:22" x14ac:dyDescent="0.25">
      <c r="A1390" s="1">
        <v>1388</v>
      </c>
      <c r="B1390" s="1">
        <v>4</v>
      </c>
      <c r="C1390" s="1" t="str">
        <f>LOOKUP(B1390,Sheet2!$D$4:$E$9)</f>
        <v>3-4</v>
      </c>
      <c r="D1390" s="1">
        <v>142</v>
      </c>
      <c r="E1390" t="str">
        <f>LOOKUP(D1390,Sheet2!$G$4:$H$9)</f>
        <v>126-150</v>
      </c>
      <c r="F1390" s="1">
        <v>86</v>
      </c>
      <c r="G1390" t="str">
        <f>LOOKUP(F1390,Sheet2!$J$4:$K$8)</f>
        <v>80+</v>
      </c>
      <c r="H1390" s="1">
        <v>0</v>
      </c>
      <c r="I1390" t="str">
        <f>LOOKUP(H1390,Sheet2!$M$4:$N$8)</f>
        <v>Unknown</v>
      </c>
      <c r="J1390" s="1">
        <v>0</v>
      </c>
      <c r="K1390" t="str">
        <f>LOOKUP(J1390,Sheet2!$P$4:$Q$9)</f>
        <v>Unknown</v>
      </c>
      <c r="L1390" s="1">
        <v>44</v>
      </c>
      <c r="M1390" t="str">
        <f>LOOKUP(L1390,Sheet2!$S$4:$T$8)</f>
        <v>36+</v>
      </c>
      <c r="N1390" s="1">
        <v>0.64500000000000002</v>
      </c>
      <c r="O1390" t="str">
        <f>LOOKUP(N1390,Sheet2!$V$4:$W$7)</f>
        <v>0.4 - 0.69</v>
      </c>
      <c r="P1390" s="1">
        <v>22</v>
      </c>
      <c r="Q1390" t="str">
        <f>LOOKUP(P1390,Sheet2!$Z$4:$AA$7)</f>
        <v>&lt;=25</v>
      </c>
      <c r="R1390" s="1">
        <v>1</v>
      </c>
      <c r="S1390" t="str">
        <f>IF(R1390=1,"Positive","Negative")</f>
        <v>Positive</v>
      </c>
      <c r="T1390" s="1" t="str">
        <f>IFERROR(VLOOKUP(A1390,[1]diabetes_Recognition!$A:$B,2,FALSE),"Not Sampled")</f>
        <v>Not Sampled</v>
      </c>
      <c r="U1390" t="str">
        <f>IF(T1390=1,"Positive",(IF(T1390=0,"Negative","Not Sampled")))</f>
        <v>Not Sampled</v>
      </c>
      <c r="V1390" s="1" t="str">
        <f>IF(U1390="Not Sampled","Not Sampled",IF(S1390=U1390,"Accurate Prediction","Inaccurate Prediction"))</f>
        <v>Not Sampled</v>
      </c>
    </row>
    <row r="1391" spans="1:22" x14ac:dyDescent="0.25">
      <c r="A1391" s="1">
        <v>1389</v>
      </c>
      <c r="B1391" s="1">
        <v>6</v>
      </c>
      <c r="C1391" s="1" t="str">
        <f>LOOKUP(B1391,Sheet2!$D$4:$E$9)</f>
        <v>5-7</v>
      </c>
      <c r="D1391" s="1">
        <v>134</v>
      </c>
      <c r="E1391" t="str">
        <f>LOOKUP(D1391,Sheet2!$G$4:$H$9)</f>
        <v>126-150</v>
      </c>
      <c r="F1391" s="1">
        <v>80</v>
      </c>
      <c r="G1391" t="str">
        <f>LOOKUP(F1391,Sheet2!$J$4:$K$8)</f>
        <v>80+</v>
      </c>
      <c r="H1391" s="1">
        <v>37</v>
      </c>
      <c r="I1391" t="str">
        <f>LOOKUP(H1391,Sheet2!$M$4:$N$8)</f>
        <v>30-39</v>
      </c>
      <c r="J1391" s="1">
        <v>370</v>
      </c>
      <c r="K1391" t="str">
        <f>LOOKUP(J1391,Sheet2!$P$4:$Q$9)</f>
        <v>300-499</v>
      </c>
      <c r="L1391" s="1">
        <v>46.2</v>
      </c>
      <c r="M1391" t="str">
        <f>LOOKUP(L1391,Sheet2!$S$4:$T$8)</f>
        <v>36+</v>
      </c>
      <c r="N1391" s="1">
        <v>0.23799999999999999</v>
      </c>
      <c r="O1391" t="str">
        <f>LOOKUP(N1391,Sheet2!$V$4:$W$7)</f>
        <v>0.0 - 0.249</v>
      </c>
      <c r="P1391" s="1">
        <v>46</v>
      </c>
      <c r="Q1391" t="str">
        <f>LOOKUP(P1391,Sheet2!$Z$4:$AA$7)</f>
        <v>46+</v>
      </c>
      <c r="R1391" s="1">
        <v>1</v>
      </c>
      <c r="S1391" t="str">
        <f>IF(R1391=1,"Positive","Negative")</f>
        <v>Positive</v>
      </c>
      <c r="T1391" s="1" t="str">
        <f>IFERROR(VLOOKUP(A1391,[1]diabetes_Recognition!$A:$B,2,FALSE),"Not Sampled")</f>
        <v>Not Sampled</v>
      </c>
      <c r="U1391" t="str">
        <f>IF(T1391=1,"Positive",(IF(T1391=0,"Negative","Not Sampled")))</f>
        <v>Not Sampled</v>
      </c>
      <c r="V1391" s="1" t="str">
        <f>IF(U1391="Not Sampled","Not Sampled",IF(S1391=U1391,"Accurate Prediction","Inaccurate Prediction"))</f>
        <v>Not Sampled</v>
      </c>
    </row>
    <row r="1392" spans="1:22" x14ac:dyDescent="0.25">
      <c r="A1392" s="1">
        <v>1390</v>
      </c>
      <c r="B1392" s="1">
        <v>1</v>
      </c>
      <c r="C1392" s="1">
        <f>LOOKUP(B1392,Sheet2!$D$4:$E$9)</f>
        <v>1</v>
      </c>
      <c r="D1392" s="1">
        <v>79</v>
      </c>
      <c r="E1392" t="str">
        <f>LOOKUP(D1392,Sheet2!$G$4:$H$9)</f>
        <v>1-99</v>
      </c>
      <c r="F1392" s="1">
        <v>80</v>
      </c>
      <c r="G1392" t="str">
        <f>LOOKUP(F1392,Sheet2!$J$4:$K$8)</f>
        <v>80+</v>
      </c>
      <c r="H1392" s="1">
        <v>25</v>
      </c>
      <c r="I1392" t="str">
        <f>LOOKUP(H1392,Sheet2!$M$4:$N$8)</f>
        <v>10-30</v>
      </c>
      <c r="J1392" s="1">
        <v>37</v>
      </c>
      <c r="K1392" t="str">
        <f>LOOKUP(J1392,Sheet2!$P$4:$Q$9)</f>
        <v>1-99</v>
      </c>
      <c r="L1392" s="1">
        <v>25.4</v>
      </c>
      <c r="M1392" t="str">
        <f>LOOKUP(L1392,Sheet2!$S$4:$T$8)</f>
        <v>1-25</v>
      </c>
      <c r="N1392" s="1">
        <v>0.58299999999999996</v>
      </c>
      <c r="O1392" t="str">
        <f>LOOKUP(N1392,Sheet2!$V$4:$W$7)</f>
        <v>0.4 - 0.69</v>
      </c>
      <c r="P1392" s="1">
        <v>22</v>
      </c>
      <c r="Q1392" t="str">
        <f>LOOKUP(P1392,Sheet2!$Z$4:$AA$7)</f>
        <v>&lt;=25</v>
      </c>
      <c r="R1392" s="1">
        <v>0</v>
      </c>
      <c r="S1392" t="str">
        <f>IF(R1392=1,"Positive","Negative")</f>
        <v>Negative</v>
      </c>
      <c r="T1392" s="1">
        <f>IFERROR(VLOOKUP(A1392,[1]diabetes_Recognition!$A:$B,2,FALSE),"Not Sampled")</f>
        <v>0</v>
      </c>
      <c r="U1392" t="str">
        <f>IF(T1392=1,"Positive",(IF(T1392=0,"Negative","Not Sampled")))</f>
        <v>Negative</v>
      </c>
      <c r="V1392" s="1" t="str">
        <f>IF(U1392="Not Sampled","Not Sampled",IF(S1392=U1392,"Accurate Prediction","Inaccurate Prediction"))</f>
        <v>Accurate Prediction</v>
      </c>
    </row>
    <row r="1393" spans="1:22" x14ac:dyDescent="0.25">
      <c r="A1393" s="1">
        <v>1391</v>
      </c>
      <c r="B1393" s="1">
        <v>4</v>
      </c>
      <c r="C1393" s="1" t="str">
        <f>LOOKUP(B1393,Sheet2!$D$4:$E$9)</f>
        <v>3-4</v>
      </c>
      <c r="D1393" s="1">
        <v>122</v>
      </c>
      <c r="E1393" t="str">
        <f>LOOKUP(D1393,Sheet2!$G$4:$H$9)</f>
        <v>100-125</v>
      </c>
      <c r="F1393" s="1">
        <v>68</v>
      </c>
      <c r="G1393" t="str">
        <f>LOOKUP(F1393,Sheet2!$J$4:$K$8)</f>
        <v>60-69</v>
      </c>
      <c r="H1393" s="1">
        <v>0</v>
      </c>
      <c r="I1393" t="str">
        <f>LOOKUP(H1393,Sheet2!$M$4:$N$8)</f>
        <v>Unknown</v>
      </c>
      <c r="J1393" s="1">
        <v>0</v>
      </c>
      <c r="K1393" t="str">
        <f>LOOKUP(J1393,Sheet2!$P$4:$Q$9)</f>
        <v>Unknown</v>
      </c>
      <c r="L1393" s="1">
        <v>35</v>
      </c>
      <c r="M1393" t="str">
        <f>LOOKUP(L1393,Sheet2!$S$4:$T$8)</f>
        <v>31-35</v>
      </c>
      <c r="N1393" s="1">
        <v>0.39400000000000002</v>
      </c>
      <c r="O1393" t="str">
        <f>LOOKUP(N1393,Sheet2!$V$4:$W$7)</f>
        <v>0.25 - 0.39</v>
      </c>
      <c r="P1393" s="1">
        <v>29</v>
      </c>
      <c r="Q1393" t="str">
        <f>LOOKUP(P1393,Sheet2!$Z$4:$AA$7)</f>
        <v>26-35</v>
      </c>
      <c r="R1393" s="1">
        <v>0</v>
      </c>
      <c r="S1393" t="str">
        <f>IF(R1393=1,"Positive","Negative")</f>
        <v>Negative</v>
      </c>
      <c r="T1393" s="1" t="str">
        <f>IFERROR(VLOOKUP(A1393,[1]diabetes_Recognition!$A:$B,2,FALSE),"Not Sampled")</f>
        <v>Not Sampled</v>
      </c>
      <c r="U1393" t="str">
        <f>IF(T1393=1,"Positive",(IF(T1393=0,"Negative","Not Sampled")))</f>
        <v>Not Sampled</v>
      </c>
      <c r="V1393" s="1" t="str">
        <f>IF(U1393="Not Sampled","Not Sampled",IF(S1393=U1393,"Accurate Prediction","Inaccurate Prediction"))</f>
        <v>Not Sampled</v>
      </c>
    </row>
    <row r="1394" spans="1:22" x14ac:dyDescent="0.25">
      <c r="A1394" s="1">
        <v>1392</v>
      </c>
      <c r="B1394" s="1">
        <v>3</v>
      </c>
      <c r="C1394" s="1" t="str">
        <f>LOOKUP(B1394,Sheet2!$D$4:$E$9)</f>
        <v>3-4</v>
      </c>
      <c r="D1394" s="1">
        <v>74</v>
      </c>
      <c r="E1394" t="str">
        <f>LOOKUP(D1394,Sheet2!$G$4:$H$9)</f>
        <v>1-99</v>
      </c>
      <c r="F1394" s="1">
        <v>68</v>
      </c>
      <c r="G1394" t="str">
        <f>LOOKUP(F1394,Sheet2!$J$4:$K$8)</f>
        <v>60-69</v>
      </c>
      <c r="H1394" s="1">
        <v>28</v>
      </c>
      <c r="I1394" t="str">
        <f>LOOKUP(H1394,Sheet2!$M$4:$N$8)</f>
        <v>10-30</v>
      </c>
      <c r="J1394" s="1">
        <v>45</v>
      </c>
      <c r="K1394" t="str">
        <f>LOOKUP(J1394,Sheet2!$P$4:$Q$9)</f>
        <v>1-99</v>
      </c>
      <c r="L1394" s="1">
        <v>29.7</v>
      </c>
      <c r="M1394" t="str">
        <f>LOOKUP(L1394,Sheet2!$S$4:$T$8)</f>
        <v>26-30</v>
      </c>
      <c r="N1394" s="1">
        <v>0.29299999999999998</v>
      </c>
      <c r="O1394" t="str">
        <f>LOOKUP(N1394,Sheet2!$V$4:$W$7)</f>
        <v>0.25 - 0.39</v>
      </c>
      <c r="P1394" s="1">
        <v>23</v>
      </c>
      <c r="Q1394" t="str">
        <f>LOOKUP(P1394,Sheet2!$Z$4:$AA$7)</f>
        <v>&lt;=25</v>
      </c>
      <c r="R1394" s="1">
        <v>0</v>
      </c>
      <c r="S1394" t="str">
        <f>IF(R1394=1,"Positive","Negative")</f>
        <v>Negative</v>
      </c>
      <c r="T1394" s="1" t="str">
        <f>IFERROR(VLOOKUP(A1394,[1]diabetes_Recognition!$A:$B,2,FALSE),"Not Sampled")</f>
        <v>Not Sampled</v>
      </c>
      <c r="U1394" t="str">
        <f>IF(T1394=1,"Positive",(IF(T1394=0,"Negative","Not Sampled")))</f>
        <v>Not Sampled</v>
      </c>
      <c r="V1394" s="1" t="str">
        <f>IF(U1394="Not Sampled","Not Sampled",IF(S1394=U1394,"Accurate Prediction","Inaccurate Prediction"))</f>
        <v>Not Sampled</v>
      </c>
    </row>
    <row r="1395" spans="1:22" x14ac:dyDescent="0.25">
      <c r="A1395" s="1">
        <v>1393</v>
      </c>
      <c r="B1395" s="1">
        <v>4</v>
      </c>
      <c r="C1395" s="1" t="str">
        <f>LOOKUP(B1395,Sheet2!$D$4:$E$9)</f>
        <v>3-4</v>
      </c>
      <c r="D1395" s="1">
        <v>171</v>
      </c>
      <c r="E1395" t="str">
        <f>LOOKUP(D1395,Sheet2!$G$4:$H$9)</f>
        <v>151-175</v>
      </c>
      <c r="F1395" s="1">
        <v>72</v>
      </c>
      <c r="G1395" t="str">
        <f>LOOKUP(F1395,Sheet2!$J$4:$K$8)</f>
        <v>70-79</v>
      </c>
      <c r="H1395" s="1">
        <v>0</v>
      </c>
      <c r="I1395" t="str">
        <f>LOOKUP(H1395,Sheet2!$M$4:$N$8)</f>
        <v>Unknown</v>
      </c>
      <c r="J1395" s="1">
        <v>0</v>
      </c>
      <c r="K1395" t="str">
        <f>LOOKUP(J1395,Sheet2!$P$4:$Q$9)</f>
        <v>Unknown</v>
      </c>
      <c r="L1395" s="1">
        <v>43.6</v>
      </c>
      <c r="M1395" t="str">
        <f>LOOKUP(L1395,Sheet2!$S$4:$T$8)</f>
        <v>36+</v>
      </c>
      <c r="N1395" s="1">
        <v>0.47899999999999998</v>
      </c>
      <c r="O1395" t="str">
        <f>LOOKUP(N1395,Sheet2!$V$4:$W$7)</f>
        <v>0.4 - 0.69</v>
      </c>
      <c r="P1395" s="1">
        <v>26</v>
      </c>
      <c r="Q1395" t="str">
        <f>LOOKUP(P1395,Sheet2!$Z$4:$AA$7)</f>
        <v>26-35</v>
      </c>
      <c r="R1395" s="1">
        <v>1</v>
      </c>
      <c r="S1395" t="str">
        <f>IF(R1395=1,"Positive","Negative")</f>
        <v>Positive</v>
      </c>
      <c r="T1395" s="1" t="str">
        <f>IFERROR(VLOOKUP(A1395,[1]diabetes_Recognition!$A:$B,2,FALSE),"Not Sampled")</f>
        <v>Not Sampled</v>
      </c>
      <c r="U1395" t="str">
        <f>IF(T1395=1,"Positive",(IF(T1395=0,"Negative","Not Sampled")))</f>
        <v>Not Sampled</v>
      </c>
      <c r="V1395" s="1" t="str">
        <f>IF(U1395="Not Sampled","Not Sampled",IF(S1395=U1395,"Accurate Prediction","Inaccurate Prediction"))</f>
        <v>Not Sampled</v>
      </c>
    </row>
    <row r="1396" spans="1:22" x14ac:dyDescent="0.25">
      <c r="A1396" s="1">
        <v>1394</v>
      </c>
      <c r="B1396" s="1">
        <v>7</v>
      </c>
      <c r="C1396" s="1" t="str">
        <f>LOOKUP(B1396,Sheet2!$D$4:$E$9)</f>
        <v>5-7</v>
      </c>
      <c r="D1396" s="1">
        <v>181</v>
      </c>
      <c r="E1396" t="str">
        <f>LOOKUP(D1396,Sheet2!$G$4:$H$9)</f>
        <v>176-200</v>
      </c>
      <c r="F1396" s="1">
        <v>84</v>
      </c>
      <c r="G1396" t="str">
        <f>LOOKUP(F1396,Sheet2!$J$4:$K$8)</f>
        <v>80+</v>
      </c>
      <c r="H1396" s="1">
        <v>21</v>
      </c>
      <c r="I1396" t="str">
        <f>LOOKUP(H1396,Sheet2!$M$4:$N$8)</f>
        <v>10-30</v>
      </c>
      <c r="J1396" s="1">
        <v>192</v>
      </c>
      <c r="K1396" t="str">
        <f>LOOKUP(J1396,Sheet2!$P$4:$Q$9)</f>
        <v>100-199</v>
      </c>
      <c r="L1396" s="1">
        <v>35.9</v>
      </c>
      <c r="M1396" t="str">
        <f>LOOKUP(L1396,Sheet2!$S$4:$T$8)</f>
        <v>31-35</v>
      </c>
      <c r="N1396" s="1">
        <v>0.58599999999999997</v>
      </c>
      <c r="O1396" t="str">
        <f>LOOKUP(N1396,Sheet2!$V$4:$W$7)</f>
        <v>0.4 - 0.69</v>
      </c>
      <c r="P1396" s="1">
        <v>51</v>
      </c>
      <c r="Q1396" t="str">
        <f>LOOKUP(P1396,Sheet2!$Z$4:$AA$7)</f>
        <v>46+</v>
      </c>
      <c r="R1396" s="1">
        <v>1</v>
      </c>
      <c r="S1396" t="str">
        <f>IF(R1396=1,"Positive","Negative")</f>
        <v>Positive</v>
      </c>
      <c r="T1396" s="1" t="str">
        <f>IFERROR(VLOOKUP(A1396,[1]diabetes_Recognition!$A:$B,2,FALSE),"Not Sampled")</f>
        <v>Not Sampled</v>
      </c>
      <c r="U1396" t="str">
        <f>IF(T1396=1,"Positive",(IF(T1396=0,"Negative","Not Sampled")))</f>
        <v>Not Sampled</v>
      </c>
      <c r="V1396" s="1" t="str">
        <f>IF(U1396="Not Sampled","Not Sampled",IF(S1396=U1396,"Accurate Prediction","Inaccurate Prediction"))</f>
        <v>Not Sampled</v>
      </c>
    </row>
    <row r="1397" spans="1:22" x14ac:dyDescent="0.25">
      <c r="A1397" s="1">
        <v>1395</v>
      </c>
      <c r="B1397" s="1">
        <v>0</v>
      </c>
      <c r="C1397" s="1">
        <f>LOOKUP(B1397,Sheet2!$D$4:$E$9)</f>
        <v>0</v>
      </c>
      <c r="D1397" s="1">
        <v>179</v>
      </c>
      <c r="E1397" t="str">
        <f>LOOKUP(D1397,Sheet2!$G$4:$H$9)</f>
        <v>176-200</v>
      </c>
      <c r="F1397" s="1">
        <v>90</v>
      </c>
      <c r="G1397" t="str">
        <f>LOOKUP(F1397,Sheet2!$J$4:$K$8)</f>
        <v>80+</v>
      </c>
      <c r="H1397" s="1">
        <v>27</v>
      </c>
      <c r="I1397" t="str">
        <f>LOOKUP(H1397,Sheet2!$M$4:$N$8)</f>
        <v>10-30</v>
      </c>
      <c r="J1397" s="1">
        <v>0</v>
      </c>
      <c r="K1397" t="str">
        <f>LOOKUP(J1397,Sheet2!$P$4:$Q$9)</f>
        <v>Unknown</v>
      </c>
      <c r="L1397" s="1">
        <v>44.1</v>
      </c>
      <c r="M1397" t="str">
        <f>LOOKUP(L1397,Sheet2!$S$4:$T$8)</f>
        <v>36+</v>
      </c>
      <c r="N1397" s="1">
        <v>0.68600000000000005</v>
      </c>
      <c r="O1397" t="str">
        <f>LOOKUP(N1397,Sheet2!$V$4:$W$7)</f>
        <v>0.4 - 0.69</v>
      </c>
      <c r="P1397" s="1">
        <v>23</v>
      </c>
      <c r="Q1397" t="str">
        <f>LOOKUP(P1397,Sheet2!$Z$4:$AA$7)</f>
        <v>&lt;=25</v>
      </c>
      <c r="R1397" s="1">
        <v>1</v>
      </c>
      <c r="S1397" t="str">
        <f>IF(R1397=1,"Positive","Negative")</f>
        <v>Positive</v>
      </c>
      <c r="T1397" s="1">
        <f>IFERROR(VLOOKUP(A1397,[1]diabetes_Recognition!$A:$B,2,FALSE),"Not Sampled")</f>
        <v>1</v>
      </c>
      <c r="U1397" t="str">
        <f>IF(T1397=1,"Positive",(IF(T1397=0,"Negative","Not Sampled")))</f>
        <v>Positive</v>
      </c>
      <c r="V1397" s="1" t="str">
        <f>IF(U1397="Not Sampled","Not Sampled",IF(S1397=U1397,"Accurate Prediction","Inaccurate Prediction"))</f>
        <v>Accurate Prediction</v>
      </c>
    </row>
    <row r="1398" spans="1:22" x14ac:dyDescent="0.25">
      <c r="A1398" s="1">
        <v>1396</v>
      </c>
      <c r="B1398" s="1">
        <v>9</v>
      </c>
      <c r="C1398" s="1" t="str">
        <f>LOOKUP(B1398,Sheet2!$D$4:$E$9)</f>
        <v>8+</v>
      </c>
      <c r="D1398" s="1">
        <v>164</v>
      </c>
      <c r="E1398" t="str">
        <f>LOOKUP(D1398,Sheet2!$G$4:$H$9)</f>
        <v>151-175</v>
      </c>
      <c r="F1398" s="1">
        <v>84</v>
      </c>
      <c r="G1398" t="str">
        <f>LOOKUP(F1398,Sheet2!$J$4:$K$8)</f>
        <v>80+</v>
      </c>
      <c r="H1398" s="1">
        <v>21</v>
      </c>
      <c r="I1398" t="str">
        <f>LOOKUP(H1398,Sheet2!$M$4:$N$8)</f>
        <v>10-30</v>
      </c>
      <c r="J1398" s="1">
        <v>0</v>
      </c>
      <c r="K1398" t="str">
        <f>LOOKUP(J1398,Sheet2!$P$4:$Q$9)</f>
        <v>Unknown</v>
      </c>
      <c r="L1398" s="1">
        <v>30.8</v>
      </c>
      <c r="M1398" t="str">
        <f>LOOKUP(L1398,Sheet2!$S$4:$T$8)</f>
        <v>26-30</v>
      </c>
      <c r="N1398" s="1">
        <v>0.83099999999999996</v>
      </c>
      <c r="O1398" t="str">
        <f>LOOKUP(N1398,Sheet2!$V$4:$W$7)</f>
        <v>0.7+</v>
      </c>
      <c r="P1398" s="1">
        <v>32</v>
      </c>
      <c r="Q1398" t="str">
        <f>LOOKUP(P1398,Sheet2!$Z$4:$AA$7)</f>
        <v>26-35</v>
      </c>
      <c r="R1398" s="1">
        <v>1</v>
      </c>
      <c r="S1398" t="str">
        <f>IF(R1398=1,"Positive","Negative")</f>
        <v>Positive</v>
      </c>
      <c r="T1398" s="1" t="str">
        <f>IFERROR(VLOOKUP(A1398,[1]diabetes_Recognition!$A:$B,2,FALSE),"Not Sampled")</f>
        <v>Not Sampled</v>
      </c>
      <c r="U1398" t="str">
        <f>IF(T1398=1,"Positive",(IF(T1398=0,"Negative","Not Sampled")))</f>
        <v>Not Sampled</v>
      </c>
      <c r="V1398" s="1" t="str">
        <f>IF(U1398="Not Sampled","Not Sampled",IF(S1398=U1398,"Accurate Prediction","Inaccurate Prediction"))</f>
        <v>Not Sampled</v>
      </c>
    </row>
    <row r="1399" spans="1:22" x14ac:dyDescent="0.25">
      <c r="A1399" s="1">
        <v>1397</v>
      </c>
      <c r="B1399" s="1">
        <v>0</v>
      </c>
      <c r="C1399" s="1">
        <f>LOOKUP(B1399,Sheet2!$D$4:$E$9)</f>
        <v>0</v>
      </c>
      <c r="D1399" s="1">
        <v>104</v>
      </c>
      <c r="E1399" t="str">
        <f>LOOKUP(D1399,Sheet2!$G$4:$H$9)</f>
        <v>100-125</v>
      </c>
      <c r="F1399" s="1">
        <v>76</v>
      </c>
      <c r="G1399" t="str">
        <f>LOOKUP(F1399,Sheet2!$J$4:$K$8)</f>
        <v>70-79</v>
      </c>
      <c r="H1399" s="1">
        <v>0</v>
      </c>
      <c r="I1399" t="str">
        <f>LOOKUP(H1399,Sheet2!$M$4:$N$8)</f>
        <v>Unknown</v>
      </c>
      <c r="J1399" s="1">
        <v>0</v>
      </c>
      <c r="K1399" t="str">
        <f>LOOKUP(J1399,Sheet2!$P$4:$Q$9)</f>
        <v>Unknown</v>
      </c>
      <c r="L1399" s="1">
        <v>18.399999999999999</v>
      </c>
      <c r="M1399" t="str">
        <f>LOOKUP(L1399,Sheet2!$S$4:$T$8)</f>
        <v>1-25</v>
      </c>
      <c r="N1399" s="1">
        <v>0.58199999999999996</v>
      </c>
      <c r="O1399" t="str">
        <f>LOOKUP(N1399,Sheet2!$V$4:$W$7)</f>
        <v>0.4 - 0.69</v>
      </c>
      <c r="P1399" s="1">
        <v>27</v>
      </c>
      <c r="Q1399" t="str">
        <f>LOOKUP(P1399,Sheet2!$Z$4:$AA$7)</f>
        <v>26-35</v>
      </c>
      <c r="R1399" s="1">
        <v>0</v>
      </c>
      <c r="S1399" t="str">
        <f>IF(R1399=1,"Positive","Negative")</f>
        <v>Negative</v>
      </c>
      <c r="T1399" s="1" t="str">
        <f>IFERROR(VLOOKUP(A1399,[1]diabetes_Recognition!$A:$B,2,FALSE),"Not Sampled")</f>
        <v>Not Sampled</v>
      </c>
      <c r="U1399" t="str">
        <f>IF(T1399=1,"Positive",(IF(T1399=0,"Negative","Not Sampled")))</f>
        <v>Not Sampled</v>
      </c>
      <c r="V1399" s="1" t="str">
        <f>IF(U1399="Not Sampled","Not Sampled",IF(S1399=U1399,"Accurate Prediction","Inaccurate Prediction"))</f>
        <v>Not Sampled</v>
      </c>
    </row>
    <row r="1400" spans="1:22" x14ac:dyDescent="0.25">
      <c r="A1400" s="1">
        <v>1398</v>
      </c>
      <c r="B1400" s="1">
        <v>1</v>
      </c>
      <c r="C1400" s="1">
        <f>LOOKUP(B1400,Sheet2!$D$4:$E$9)</f>
        <v>1</v>
      </c>
      <c r="D1400" s="1">
        <v>91</v>
      </c>
      <c r="E1400" t="str">
        <f>LOOKUP(D1400,Sheet2!$G$4:$H$9)</f>
        <v>1-99</v>
      </c>
      <c r="F1400" s="1">
        <v>64</v>
      </c>
      <c r="G1400" t="str">
        <f>LOOKUP(F1400,Sheet2!$J$4:$K$8)</f>
        <v>60-69</v>
      </c>
      <c r="H1400" s="1">
        <v>24</v>
      </c>
      <c r="I1400" t="str">
        <f>LOOKUP(H1400,Sheet2!$M$4:$N$8)</f>
        <v>10-30</v>
      </c>
      <c r="J1400" s="1">
        <v>0</v>
      </c>
      <c r="K1400" t="str">
        <f>LOOKUP(J1400,Sheet2!$P$4:$Q$9)</f>
        <v>Unknown</v>
      </c>
      <c r="L1400" s="1">
        <v>29.2</v>
      </c>
      <c r="M1400" t="str">
        <f>LOOKUP(L1400,Sheet2!$S$4:$T$8)</f>
        <v>26-30</v>
      </c>
      <c r="N1400" s="1">
        <v>0.192</v>
      </c>
      <c r="O1400" t="str">
        <f>LOOKUP(N1400,Sheet2!$V$4:$W$7)</f>
        <v>0.0 - 0.249</v>
      </c>
      <c r="P1400" s="1">
        <v>21</v>
      </c>
      <c r="Q1400" t="str">
        <f>LOOKUP(P1400,Sheet2!$Z$4:$AA$7)</f>
        <v>&lt;=25</v>
      </c>
      <c r="R1400" s="1">
        <v>0</v>
      </c>
      <c r="S1400" t="str">
        <f>IF(R1400=1,"Positive","Negative")</f>
        <v>Negative</v>
      </c>
      <c r="T1400" s="1" t="str">
        <f>IFERROR(VLOOKUP(A1400,[1]diabetes_Recognition!$A:$B,2,FALSE),"Not Sampled")</f>
        <v>Not Sampled</v>
      </c>
      <c r="U1400" t="str">
        <f>IF(T1400=1,"Positive",(IF(T1400=0,"Negative","Not Sampled")))</f>
        <v>Not Sampled</v>
      </c>
      <c r="V1400" s="1" t="str">
        <f>IF(U1400="Not Sampled","Not Sampled",IF(S1400=U1400,"Accurate Prediction","Inaccurate Prediction"))</f>
        <v>Not Sampled</v>
      </c>
    </row>
    <row r="1401" spans="1:22" x14ac:dyDescent="0.25">
      <c r="A1401" s="1">
        <v>1399</v>
      </c>
      <c r="B1401" s="1">
        <v>4</v>
      </c>
      <c r="C1401" s="1" t="str">
        <f>LOOKUP(B1401,Sheet2!$D$4:$E$9)</f>
        <v>3-4</v>
      </c>
      <c r="D1401" s="1">
        <v>91</v>
      </c>
      <c r="E1401" t="str">
        <f>LOOKUP(D1401,Sheet2!$G$4:$H$9)</f>
        <v>1-99</v>
      </c>
      <c r="F1401" s="1">
        <v>70</v>
      </c>
      <c r="G1401" t="str">
        <f>LOOKUP(F1401,Sheet2!$J$4:$K$8)</f>
        <v>70-79</v>
      </c>
      <c r="H1401" s="1">
        <v>32</v>
      </c>
      <c r="I1401" t="str">
        <f>LOOKUP(H1401,Sheet2!$M$4:$N$8)</f>
        <v>30-39</v>
      </c>
      <c r="J1401" s="1">
        <v>88</v>
      </c>
      <c r="K1401" t="str">
        <f>LOOKUP(J1401,Sheet2!$P$4:$Q$9)</f>
        <v>1-99</v>
      </c>
      <c r="L1401" s="1">
        <v>33.1</v>
      </c>
      <c r="M1401" t="str">
        <f>LOOKUP(L1401,Sheet2!$S$4:$T$8)</f>
        <v>31-35</v>
      </c>
      <c r="N1401" s="1">
        <v>0.44600000000000001</v>
      </c>
      <c r="O1401" t="str">
        <f>LOOKUP(N1401,Sheet2!$V$4:$W$7)</f>
        <v>0.4 - 0.69</v>
      </c>
      <c r="P1401" s="1">
        <v>22</v>
      </c>
      <c r="Q1401" t="str">
        <f>LOOKUP(P1401,Sheet2!$Z$4:$AA$7)</f>
        <v>&lt;=25</v>
      </c>
      <c r="R1401" s="1">
        <v>0</v>
      </c>
      <c r="S1401" t="str">
        <f>IF(R1401=1,"Positive","Negative")</f>
        <v>Negative</v>
      </c>
      <c r="T1401" s="1" t="str">
        <f>IFERROR(VLOOKUP(A1401,[1]diabetes_Recognition!$A:$B,2,FALSE),"Not Sampled")</f>
        <v>Not Sampled</v>
      </c>
      <c r="U1401" t="str">
        <f>IF(T1401=1,"Positive",(IF(T1401=0,"Negative","Not Sampled")))</f>
        <v>Not Sampled</v>
      </c>
      <c r="V1401" s="1" t="str">
        <f>IF(U1401="Not Sampled","Not Sampled",IF(S1401=U1401,"Accurate Prediction","Inaccurate Prediction"))</f>
        <v>Not Sampled</v>
      </c>
    </row>
    <row r="1402" spans="1:22" x14ac:dyDescent="0.25">
      <c r="A1402" s="1">
        <v>1400</v>
      </c>
      <c r="B1402" s="1">
        <v>3</v>
      </c>
      <c r="C1402" s="1" t="str">
        <f>LOOKUP(B1402,Sheet2!$D$4:$E$9)</f>
        <v>3-4</v>
      </c>
      <c r="D1402" s="1">
        <v>139</v>
      </c>
      <c r="E1402" t="str">
        <f>LOOKUP(D1402,Sheet2!$G$4:$H$9)</f>
        <v>126-150</v>
      </c>
      <c r="F1402" s="1">
        <v>54</v>
      </c>
      <c r="G1402" t="str">
        <f>LOOKUP(F1402,Sheet2!$J$4:$K$8)</f>
        <v>1-59</v>
      </c>
      <c r="H1402" s="1">
        <v>0</v>
      </c>
      <c r="I1402" t="str">
        <f>LOOKUP(H1402,Sheet2!$M$4:$N$8)</f>
        <v>Unknown</v>
      </c>
      <c r="J1402" s="1">
        <v>0</v>
      </c>
      <c r="K1402" t="str">
        <f>LOOKUP(J1402,Sheet2!$P$4:$Q$9)</f>
        <v>Unknown</v>
      </c>
      <c r="L1402" s="1">
        <v>25.6</v>
      </c>
      <c r="M1402" t="str">
        <f>LOOKUP(L1402,Sheet2!$S$4:$T$8)</f>
        <v>1-25</v>
      </c>
      <c r="N1402" s="1">
        <v>0.40200000000000002</v>
      </c>
      <c r="O1402" t="str">
        <f>LOOKUP(N1402,Sheet2!$V$4:$W$7)</f>
        <v>0.4 - 0.69</v>
      </c>
      <c r="P1402" s="1">
        <v>22</v>
      </c>
      <c r="Q1402" t="str">
        <f>LOOKUP(P1402,Sheet2!$Z$4:$AA$7)</f>
        <v>&lt;=25</v>
      </c>
      <c r="R1402" s="1">
        <v>1</v>
      </c>
      <c r="S1402" t="str">
        <f>IF(R1402=1,"Positive","Negative")</f>
        <v>Positive</v>
      </c>
      <c r="T1402" s="1" t="str">
        <f>IFERROR(VLOOKUP(A1402,[1]diabetes_Recognition!$A:$B,2,FALSE),"Not Sampled")</f>
        <v>Not Sampled</v>
      </c>
      <c r="U1402" t="str">
        <f>IF(T1402=1,"Positive",(IF(T1402=0,"Negative","Not Sampled")))</f>
        <v>Not Sampled</v>
      </c>
      <c r="V1402" s="1" t="str">
        <f>IF(U1402="Not Sampled","Not Sampled",IF(S1402=U1402,"Accurate Prediction","Inaccurate Prediction"))</f>
        <v>Not Sampled</v>
      </c>
    </row>
    <row r="1403" spans="1:22" x14ac:dyDescent="0.25">
      <c r="A1403" s="1">
        <v>1401</v>
      </c>
      <c r="B1403" s="1">
        <v>6</v>
      </c>
      <c r="C1403" s="1" t="str">
        <f>LOOKUP(B1403,Sheet2!$D$4:$E$9)</f>
        <v>5-7</v>
      </c>
      <c r="D1403" s="1">
        <v>119</v>
      </c>
      <c r="E1403" t="str">
        <f>LOOKUP(D1403,Sheet2!$G$4:$H$9)</f>
        <v>100-125</v>
      </c>
      <c r="F1403" s="1">
        <v>50</v>
      </c>
      <c r="G1403" t="str">
        <f>LOOKUP(F1403,Sheet2!$J$4:$K$8)</f>
        <v>1-59</v>
      </c>
      <c r="H1403" s="1">
        <v>22</v>
      </c>
      <c r="I1403" t="str">
        <f>LOOKUP(H1403,Sheet2!$M$4:$N$8)</f>
        <v>10-30</v>
      </c>
      <c r="J1403" s="1">
        <v>176</v>
      </c>
      <c r="K1403" t="str">
        <f>LOOKUP(J1403,Sheet2!$P$4:$Q$9)</f>
        <v>100-199</v>
      </c>
      <c r="L1403" s="1">
        <v>27.1</v>
      </c>
      <c r="M1403" t="str">
        <f>LOOKUP(L1403,Sheet2!$S$4:$T$8)</f>
        <v>26-30</v>
      </c>
      <c r="N1403" s="1">
        <v>1.3180000000000001</v>
      </c>
      <c r="O1403" t="str">
        <f>LOOKUP(N1403,Sheet2!$V$4:$W$7)</f>
        <v>0.7+</v>
      </c>
      <c r="P1403" s="1">
        <v>33</v>
      </c>
      <c r="Q1403" t="str">
        <f>LOOKUP(P1403,Sheet2!$Z$4:$AA$7)</f>
        <v>26-35</v>
      </c>
      <c r="R1403" s="1">
        <v>1</v>
      </c>
      <c r="S1403" t="str">
        <f>IF(R1403=1,"Positive","Negative")</f>
        <v>Positive</v>
      </c>
      <c r="T1403" s="1" t="str">
        <f>IFERROR(VLOOKUP(A1403,[1]diabetes_Recognition!$A:$B,2,FALSE),"Not Sampled")</f>
        <v>Not Sampled</v>
      </c>
      <c r="U1403" t="str">
        <f>IF(T1403=1,"Positive",(IF(T1403=0,"Negative","Not Sampled")))</f>
        <v>Not Sampled</v>
      </c>
      <c r="V1403" s="1" t="str">
        <f>IF(U1403="Not Sampled","Not Sampled",IF(S1403=U1403,"Accurate Prediction","Inaccurate Prediction"))</f>
        <v>Not Sampled</v>
      </c>
    </row>
    <row r="1404" spans="1:22" x14ac:dyDescent="0.25">
      <c r="A1404" s="1">
        <v>1402</v>
      </c>
      <c r="B1404" s="1">
        <v>2</v>
      </c>
      <c r="C1404" s="1">
        <f>LOOKUP(B1404,Sheet2!$D$4:$E$9)</f>
        <v>2</v>
      </c>
      <c r="D1404" s="1">
        <v>146</v>
      </c>
      <c r="E1404" t="str">
        <f>LOOKUP(D1404,Sheet2!$G$4:$H$9)</f>
        <v>126-150</v>
      </c>
      <c r="F1404" s="1">
        <v>76</v>
      </c>
      <c r="G1404" t="str">
        <f>LOOKUP(F1404,Sheet2!$J$4:$K$8)</f>
        <v>70-79</v>
      </c>
      <c r="H1404" s="1">
        <v>35</v>
      </c>
      <c r="I1404" t="str">
        <f>LOOKUP(H1404,Sheet2!$M$4:$N$8)</f>
        <v>30-39</v>
      </c>
      <c r="J1404" s="1">
        <v>194</v>
      </c>
      <c r="K1404" t="str">
        <f>LOOKUP(J1404,Sheet2!$P$4:$Q$9)</f>
        <v>100-199</v>
      </c>
      <c r="L1404" s="1">
        <v>38.200000000000003</v>
      </c>
      <c r="M1404" t="str">
        <f>LOOKUP(L1404,Sheet2!$S$4:$T$8)</f>
        <v>36+</v>
      </c>
      <c r="N1404" s="1">
        <v>0.32900000000000001</v>
      </c>
      <c r="O1404" t="str">
        <f>LOOKUP(N1404,Sheet2!$V$4:$W$7)</f>
        <v>0.25 - 0.39</v>
      </c>
      <c r="P1404" s="1">
        <v>29</v>
      </c>
      <c r="Q1404" t="str">
        <f>LOOKUP(P1404,Sheet2!$Z$4:$AA$7)</f>
        <v>26-35</v>
      </c>
      <c r="R1404" s="1">
        <v>0</v>
      </c>
      <c r="S1404" t="str">
        <f>IF(R1404=1,"Positive","Negative")</f>
        <v>Negative</v>
      </c>
      <c r="T1404" s="1">
        <f>IFERROR(VLOOKUP(A1404,[1]diabetes_Recognition!$A:$B,2,FALSE),"Not Sampled")</f>
        <v>0</v>
      </c>
      <c r="U1404" t="str">
        <f>IF(T1404=1,"Positive",(IF(T1404=0,"Negative","Not Sampled")))</f>
        <v>Negative</v>
      </c>
      <c r="V1404" s="1" t="str">
        <f>IF(U1404="Not Sampled","Not Sampled",IF(S1404=U1404,"Accurate Prediction","Inaccurate Prediction"))</f>
        <v>Accurate Prediction</v>
      </c>
    </row>
    <row r="1405" spans="1:22" x14ac:dyDescent="0.25">
      <c r="A1405" s="1">
        <v>1403</v>
      </c>
      <c r="B1405" s="1">
        <v>9</v>
      </c>
      <c r="C1405" s="1" t="str">
        <f>LOOKUP(B1405,Sheet2!$D$4:$E$9)</f>
        <v>8+</v>
      </c>
      <c r="D1405" s="1">
        <v>184</v>
      </c>
      <c r="E1405" t="str">
        <f>LOOKUP(D1405,Sheet2!$G$4:$H$9)</f>
        <v>176-200</v>
      </c>
      <c r="F1405" s="1">
        <v>85</v>
      </c>
      <c r="G1405" t="str">
        <f>LOOKUP(F1405,Sheet2!$J$4:$K$8)</f>
        <v>80+</v>
      </c>
      <c r="H1405" s="1">
        <v>15</v>
      </c>
      <c r="I1405" t="str">
        <f>LOOKUP(H1405,Sheet2!$M$4:$N$8)</f>
        <v>10-30</v>
      </c>
      <c r="J1405" s="1">
        <v>0</v>
      </c>
      <c r="K1405" t="str">
        <f>LOOKUP(J1405,Sheet2!$P$4:$Q$9)</f>
        <v>Unknown</v>
      </c>
      <c r="L1405" s="1">
        <v>30</v>
      </c>
      <c r="M1405" t="str">
        <f>LOOKUP(L1405,Sheet2!$S$4:$T$8)</f>
        <v>26-30</v>
      </c>
      <c r="N1405" s="1">
        <v>1.2130000000000001</v>
      </c>
      <c r="O1405" t="str">
        <f>LOOKUP(N1405,Sheet2!$V$4:$W$7)</f>
        <v>0.7+</v>
      </c>
      <c r="P1405" s="1">
        <v>49</v>
      </c>
      <c r="Q1405" t="str">
        <f>LOOKUP(P1405,Sheet2!$Z$4:$AA$7)</f>
        <v>46+</v>
      </c>
      <c r="R1405" s="1">
        <v>1</v>
      </c>
      <c r="S1405" t="str">
        <f>IF(R1405=1,"Positive","Negative")</f>
        <v>Positive</v>
      </c>
      <c r="T1405" s="1">
        <f>IFERROR(VLOOKUP(A1405,[1]diabetes_Recognition!$A:$B,2,FALSE),"Not Sampled")</f>
        <v>1</v>
      </c>
      <c r="U1405" t="str">
        <f>IF(T1405=1,"Positive",(IF(T1405=0,"Negative","Not Sampled")))</f>
        <v>Positive</v>
      </c>
      <c r="V1405" s="1" t="str">
        <f>IF(U1405="Not Sampled","Not Sampled",IF(S1405=U1405,"Accurate Prediction","Inaccurate Prediction"))</f>
        <v>Accurate Prediction</v>
      </c>
    </row>
    <row r="1406" spans="1:22" x14ac:dyDescent="0.25">
      <c r="A1406" s="1">
        <v>1404</v>
      </c>
      <c r="B1406" s="1">
        <v>10</v>
      </c>
      <c r="C1406" s="1" t="str">
        <f>LOOKUP(B1406,Sheet2!$D$4:$E$9)</f>
        <v>8+</v>
      </c>
      <c r="D1406" s="1">
        <v>122</v>
      </c>
      <c r="E1406" t="str">
        <f>LOOKUP(D1406,Sheet2!$G$4:$H$9)</f>
        <v>100-125</v>
      </c>
      <c r="F1406" s="1">
        <v>68</v>
      </c>
      <c r="G1406" t="str">
        <f>LOOKUP(F1406,Sheet2!$J$4:$K$8)</f>
        <v>60-69</v>
      </c>
      <c r="H1406" s="1">
        <v>0</v>
      </c>
      <c r="I1406" t="str">
        <f>LOOKUP(H1406,Sheet2!$M$4:$N$8)</f>
        <v>Unknown</v>
      </c>
      <c r="J1406" s="1">
        <v>0</v>
      </c>
      <c r="K1406" t="str">
        <f>LOOKUP(J1406,Sheet2!$P$4:$Q$9)</f>
        <v>Unknown</v>
      </c>
      <c r="L1406" s="1">
        <v>31.2</v>
      </c>
      <c r="M1406" t="str">
        <f>LOOKUP(L1406,Sheet2!$S$4:$T$8)</f>
        <v>31-35</v>
      </c>
      <c r="N1406" s="1">
        <v>0.25800000000000001</v>
      </c>
      <c r="O1406" t="str">
        <f>LOOKUP(N1406,Sheet2!$V$4:$W$7)</f>
        <v>0.25 - 0.39</v>
      </c>
      <c r="P1406" s="1">
        <v>41</v>
      </c>
      <c r="Q1406" t="str">
        <f>LOOKUP(P1406,Sheet2!$Z$4:$AA$7)</f>
        <v>36-45</v>
      </c>
      <c r="R1406" s="1">
        <v>0</v>
      </c>
      <c r="S1406" t="str">
        <f>IF(R1406=1,"Positive","Negative")</f>
        <v>Negative</v>
      </c>
      <c r="T1406" s="1" t="str">
        <f>IFERROR(VLOOKUP(A1406,[1]diabetes_Recognition!$A:$B,2,FALSE),"Not Sampled")</f>
        <v>Not Sampled</v>
      </c>
      <c r="U1406" t="str">
        <f>IF(T1406=1,"Positive",(IF(T1406=0,"Negative","Not Sampled")))</f>
        <v>Not Sampled</v>
      </c>
      <c r="V1406" s="1" t="str">
        <f>IF(U1406="Not Sampled","Not Sampled",IF(S1406=U1406,"Accurate Prediction","Inaccurate Prediction"))</f>
        <v>Not Sampled</v>
      </c>
    </row>
    <row r="1407" spans="1:22" x14ac:dyDescent="0.25">
      <c r="A1407" s="1">
        <v>1405</v>
      </c>
      <c r="B1407" s="1">
        <v>0</v>
      </c>
      <c r="C1407" s="1">
        <f>LOOKUP(B1407,Sheet2!$D$4:$E$9)</f>
        <v>0</v>
      </c>
      <c r="D1407" s="1">
        <v>165</v>
      </c>
      <c r="E1407" t="str">
        <f>LOOKUP(D1407,Sheet2!$G$4:$H$9)</f>
        <v>151-175</v>
      </c>
      <c r="F1407" s="1">
        <v>90</v>
      </c>
      <c r="G1407" t="str">
        <f>LOOKUP(F1407,Sheet2!$J$4:$K$8)</f>
        <v>80+</v>
      </c>
      <c r="H1407" s="1">
        <v>33</v>
      </c>
      <c r="I1407" t="str">
        <f>LOOKUP(H1407,Sheet2!$M$4:$N$8)</f>
        <v>30-39</v>
      </c>
      <c r="J1407" s="1">
        <v>680</v>
      </c>
      <c r="K1407" t="str">
        <f>LOOKUP(J1407,Sheet2!$P$4:$Q$9)</f>
        <v>500+</v>
      </c>
      <c r="L1407" s="1">
        <v>52.3</v>
      </c>
      <c r="M1407" t="str">
        <f>LOOKUP(L1407,Sheet2!$S$4:$T$8)</f>
        <v>36+</v>
      </c>
      <c r="N1407" s="1">
        <v>0.42699999999999999</v>
      </c>
      <c r="O1407" t="str">
        <f>LOOKUP(N1407,Sheet2!$V$4:$W$7)</f>
        <v>0.4 - 0.69</v>
      </c>
      <c r="P1407" s="1">
        <v>23</v>
      </c>
      <c r="Q1407" t="str">
        <f>LOOKUP(P1407,Sheet2!$Z$4:$AA$7)</f>
        <v>&lt;=25</v>
      </c>
      <c r="R1407" s="1">
        <v>0</v>
      </c>
      <c r="S1407" t="str">
        <f>IF(R1407=1,"Positive","Negative")</f>
        <v>Negative</v>
      </c>
      <c r="T1407" s="1" t="str">
        <f>IFERROR(VLOOKUP(A1407,[1]diabetes_Recognition!$A:$B,2,FALSE),"Not Sampled")</f>
        <v>Not Sampled</v>
      </c>
      <c r="U1407" t="str">
        <f>IF(T1407=1,"Positive",(IF(T1407=0,"Negative","Not Sampled")))</f>
        <v>Not Sampled</v>
      </c>
      <c r="V1407" s="1" t="str">
        <f>IF(U1407="Not Sampled","Not Sampled",IF(S1407=U1407,"Accurate Prediction","Inaccurate Prediction"))</f>
        <v>Not Sampled</v>
      </c>
    </row>
    <row r="1408" spans="1:22" x14ac:dyDescent="0.25">
      <c r="A1408" s="1">
        <v>1406</v>
      </c>
      <c r="B1408" s="1">
        <v>9</v>
      </c>
      <c r="C1408" s="1" t="str">
        <f>LOOKUP(B1408,Sheet2!$D$4:$E$9)</f>
        <v>8+</v>
      </c>
      <c r="D1408" s="1">
        <v>124</v>
      </c>
      <c r="E1408" t="str">
        <f>LOOKUP(D1408,Sheet2!$G$4:$H$9)</f>
        <v>100-125</v>
      </c>
      <c r="F1408" s="1">
        <v>70</v>
      </c>
      <c r="G1408" t="str">
        <f>LOOKUP(F1408,Sheet2!$J$4:$K$8)</f>
        <v>70-79</v>
      </c>
      <c r="H1408" s="1">
        <v>33</v>
      </c>
      <c r="I1408" t="str">
        <f>LOOKUP(H1408,Sheet2!$M$4:$N$8)</f>
        <v>30-39</v>
      </c>
      <c r="J1408" s="1">
        <v>402</v>
      </c>
      <c r="K1408" t="str">
        <f>LOOKUP(J1408,Sheet2!$P$4:$Q$9)</f>
        <v>300-499</v>
      </c>
      <c r="L1408" s="1">
        <v>35.4</v>
      </c>
      <c r="M1408" t="str">
        <f>LOOKUP(L1408,Sheet2!$S$4:$T$8)</f>
        <v>31-35</v>
      </c>
      <c r="N1408" s="1">
        <v>0.28199999999999997</v>
      </c>
      <c r="O1408" t="str">
        <f>LOOKUP(N1408,Sheet2!$V$4:$W$7)</f>
        <v>0.25 - 0.39</v>
      </c>
      <c r="P1408" s="1">
        <v>34</v>
      </c>
      <c r="Q1408" t="str">
        <f>LOOKUP(P1408,Sheet2!$Z$4:$AA$7)</f>
        <v>26-35</v>
      </c>
      <c r="R1408" s="1">
        <v>0</v>
      </c>
      <c r="S1408" t="str">
        <f>IF(R1408=1,"Positive","Negative")</f>
        <v>Negative</v>
      </c>
      <c r="T1408" s="1">
        <f>IFERROR(VLOOKUP(A1408,[1]diabetes_Recognition!$A:$B,2,FALSE),"Not Sampled")</f>
        <v>0</v>
      </c>
      <c r="U1408" t="str">
        <f>IF(T1408=1,"Positive",(IF(T1408=0,"Negative","Not Sampled")))</f>
        <v>Negative</v>
      </c>
      <c r="V1408" s="1" t="str">
        <f>IF(U1408="Not Sampled","Not Sampled",IF(S1408=U1408,"Accurate Prediction","Inaccurate Prediction"))</f>
        <v>Accurate Prediction</v>
      </c>
    </row>
    <row r="1409" spans="1:22" x14ac:dyDescent="0.25">
      <c r="A1409" s="1">
        <v>1407</v>
      </c>
      <c r="B1409" s="1">
        <v>1</v>
      </c>
      <c r="C1409" s="1">
        <f>LOOKUP(B1409,Sheet2!$D$4:$E$9)</f>
        <v>1</v>
      </c>
      <c r="D1409" s="1">
        <v>111</v>
      </c>
      <c r="E1409" t="str">
        <f>LOOKUP(D1409,Sheet2!$G$4:$H$9)</f>
        <v>100-125</v>
      </c>
      <c r="F1409" s="1">
        <v>86</v>
      </c>
      <c r="G1409" t="str">
        <f>LOOKUP(F1409,Sheet2!$J$4:$K$8)</f>
        <v>80+</v>
      </c>
      <c r="H1409" s="1">
        <v>19</v>
      </c>
      <c r="I1409" t="str">
        <f>LOOKUP(H1409,Sheet2!$M$4:$N$8)</f>
        <v>10-30</v>
      </c>
      <c r="J1409" s="1">
        <v>0</v>
      </c>
      <c r="K1409" t="str">
        <f>LOOKUP(J1409,Sheet2!$P$4:$Q$9)</f>
        <v>Unknown</v>
      </c>
      <c r="L1409" s="1">
        <v>30.1</v>
      </c>
      <c r="M1409" t="str">
        <f>LOOKUP(L1409,Sheet2!$S$4:$T$8)</f>
        <v>26-30</v>
      </c>
      <c r="N1409" s="1">
        <v>0.14299999999999999</v>
      </c>
      <c r="O1409" t="str">
        <f>LOOKUP(N1409,Sheet2!$V$4:$W$7)</f>
        <v>0.0 - 0.249</v>
      </c>
      <c r="P1409" s="1">
        <v>23</v>
      </c>
      <c r="Q1409" t="str">
        <f>LOOKUP(P1409,Sheet2!$Z$4:$AA$7)</f>
        <v>&lt;=25</v>
      </c>
      <c r="R1409" s="1">
        <v>0</v>
      </c>
      <c r="S1409" t="str">
        <f>IF(R1409=1,"Positive","Negative")</f>
        <v>Negative</v>
      </c>
      <c r="T1409" s="1" t="str">
        <f>IFERROR(VLOOKUP(A1409,[1]diabetes_Recognition!$A:$B,2,FALSE),"Not Sampled")</f>
        <v>Not Sampled</v>
      </c>
      <c r="U1409" t="str">
        <f>IF(T1409=1,"Positive",(IF(T1409=0,"Negative","Not Sampled")))</f>
        <v>Not Sampled</v>
      </c>
      <c r="V1409" s="1" t="str">
        <f>IF(U1409="Not Sampled","Not Sampled",IF(S1409=U1409,"Accurate Prediction","Inaccurate Prediction"))</f>
        <v>Not Sampled</v>
      </c>
    </row>
    <row r="1410" spans="1:22" x14ac:dyDescent="0.25">
      <c r="A1410" s="1">
        <v>1408</v>
      </c>
      <c r="B1410" s="1">
        <v>9</v>
      </c>
      <c r="C1410" s="1" t="str">
        <f>LOOKUP(B1410,Sheet2!$D$4:$E$9)</f>
        <v>8+</v>
      </c>
      <c r="D1410" s="1">
        <v>106</v>
      </c>
      <c r="E1410" t="str">
        <f>LOOKUP(D1410,Sheet2!$G$4:$H$9)</f>
        <v>100-125</v>
      </c>
      <c r="F1410" s="1">
        <v>52</v>
      </c>
      <c r="G1410" t="str">
        <f>LOOKUP(F1410,Sheet2!$J$4:$K$8)</f>
        <v>1-59</v>
      </c>
      <c r="H1410" s="1">
        <v>0</v>
      </c>
      <c r="I1410" t="str">
        <f>LOOKUP(H1410,Sheet2!$M$4:$N$8)</f>
        <v>Unknown</v>
      </c>
      <c r="J1410" s="1">
        <v>0</v>
      </c>
      <c r="K1410" t="str">
        <f>LOOKUP(J1410,Sheet2!$P$4:$Q$9)</f>
        <v>Unknown</v>
      </c>
      <c r="L1410" s="1">
        <v>31.2</v>
      </c>
      <c r="M1410" t="str">
        <f>LOOKUP(L1410,Sheet2!$S$4:$T$8)</f>
        <v>31-35</v>
      </c>
      <c r="N1410" s="1">
        <v>0.38</v>
      </c>
      <c r="O1410" t="str">
        <f>LOOKUP(N1410,Sheet2!$V$4:$W$7)</f>
        <v>0.25 - 0.39</v>
      </c>
      <c r="P1410" s="1">
        <v>42</v>
      </c>
      <c r="Q1410" t="str">
        <f>LOOKUP(P1410,Sheet2!$Z$4:$AA$7)</f>
        <v>36-45</v>
      </c>
      <c r="R1410" s="1">
        <v>0</v>
      </c>
      <c r="S1410" t="str">
        <f>IF(R1410=1,"Positive","Negative")</f>
        <v>Negative</v>
      </c>
      <c r="T1410" s="1" t="str">
        <f>IFERROR(VLOOKUP(A1410,[1]diabetes_Recognition!$A:$B,2,FALSE),"Not Sampled")</f>
        <v>Not Sampled</v>
      </c>
      <c r="U1410" t="str">
        <f>IF(T1410=1,"Positive",(IF(T1410=0,"Negative","Not Sampled")))</f>
        <v>Not Sampled</v>
      </c>
      <c r="V1410" s="1" t="str">
        <f>IF(U1410="Not Sampled","Not Sampled",IF(S1410=U1410,"Accurate Prediction","Inaccurate Prediction"))</f>
        <v>Not Sampled</v>
      </c>
    </row>
    <row r="1411" spans="1:22" x14ac:dyDescent="0.25">
      <c r="A1411" s="1">
        <v>1409</v>
      </c>
      <c r="B1411" s="1">
        <v>2</v>
      </c>
      <c r="C1411" s="1">
        <f>LOOKUP(B1411,Sheet2!$D$4:$E$9)</f>
        <v>2</v>
      </c>
      <c r="D1411" s="1">
        <v>129</v>
      </c>
      <c r="E1411" t="str">
        <f>LOOKUP(D1411,Sheet2!$G$4:$H$9)</f>
        <v>126-150</v>
      </c>
      <c r="F1411" s="1">
        <v>84</v>
      </c>
      <c r="G1411" t="str">
        <f>LOOKUP(F1411,Sheet2!$J$4:$K$8)</f>
        <v>80+</v>
      </c>
      <c r="H1411" s="1">
        <v>0</v>
      </c>
      <c r="I1411" t="str">
        <f>LOOKUP(H1411,Sheet2!$M$4:$N$8)</f>
        <v>Unknown</v>
      </c>
      <c r="J1411" s="1">
        <v>0</v>
      </c>
      <c r="K1411" t="str">
        <f>LOOKUP(J1411,Sheet2!$P$4:$Q$9)</f>
        <v>Unknown</v>
      </c>
      <c r="L1411" s="1">
        <v>28</v>
      </c>
      <c r="M1411" t="str">
        <f>LOOKUP(L1411,Sheet2!$S$4:$T$8)</f>
        <v>26-30</v>
      </c>
      <c r="N1411" s="1">
        <v>0.28399999999999997</v>
      </c>
      <c r="O1411" t="str">
        <f>LOOKUP(N1411,Sheet2!$V$4:$W$7)</f>
        <v>0.25 - 0.39</v>
      </c>
      <c r="P1411" s="1">
        <v>27</v>
      </c>
      <c r="Q1411" t="str">
        <f>LOOKUP(P1411,Sheet2!$Z$4:$AA$7)</f>
        <v>26-35</v>
      </c>
      <c r="R1411" s="1">
        <v>0</v>
      </c>
      <c r="S1411" t="str">
        <f>IF(R1411=1,"Positive","Negative")</f>
        <v>Negative</v>
      </c>
      <c r="T1411" s="1">
        <f>IFERROR(VLOOKUP(A1411,[1]diabetes_Recognition!$A:$B,2,FALSE),"Not Sampled")</f>
        <v>0</v>
      </c>
      <c r="U1411" t="str">
        <f>IF(T1411=1,"Positive",(IF(T1411=0,"Negative","Not Sampled")))</f>
        <v>Negative</v>
      </c>
      <c r="V1411" s="1" t="str">
        <f>IF(U1411="Not Sampled","Not Sampled",IF(S1411=U1411,"Accurate Prediction","Inaccurate Prediction"))</f>
        <v>Accurate Prediction</v>
      </c>
    </row>
    <row r="1412" spans="1:22" x14ac:dyDescent="0.25">
      <c r="A1412" s="1">
        <v>1410</v>
      </c>
      <c r="B1412" s="1">
        <v>2</v>
      </c>
      <c r="C1412" s="1">
        <f>LOOKUP(B1412,Sheet2!$D$4:$E$9)</f>
        <v>2</v>
      </c>
      <c r="D1412" s="1">
        <v>90</v>
      </c>
      <c r="E1412" t="str">
        <f>LOOKUP(D1412,Sheet2!$G$4:$H$9)</f>
        <v>1-99</v>
      </c>
      <c r="F1412" s="1">
        <v>80</v>
      </c>
      <c r="G1412" t="str">
        <f>LOOKUP(F1412,Sheet2!$J$4:$K$8)</f>
        <v>80+</v>
      </c>
      <c r="H1412" s="1">
        <v>14</v>
      </c>
      <c r="I1412" t="str">
        <f>LOOKUP(H1412,Sheet2!$M$4:$N$8)</f>
        <v>10-30</v>
      </c>
      <c r="J1412" s="1">
        <v>55</v>
      </c>
      <c r="K1412" t="str">
        <f>LOOKUP(J1412,Sheet2!$P$4:$Q$9)</f>
        <v>1-99</v>
      </c>
      <c r="L1412" s="1">
        <v>24.4</v>
      </c>
      <c r="M1412" t="str">
        <f>LOOKUP(L1412,Sheet2!$S$4:$T$8)</f>
        <v>1-25</v>
      </c>
      <c r="N1412" s="1">
        <v>0.249</v>
      </c>
      <c r="O1412" t="str">
        <f>LOOKUP(N1412,Sheet2!$V$4:$W$7)</f>
        <v>0.0 - 0.249</v>
      </c>
      <c r="P1412" s="1">
        <v>24</v>
      </c>
      <c r="Q1412" t="str">
        <f>LOOKUP(P1412,Sheet2!$Z$4:$AA$7)</f>
        <v>&lt;=25</v>
      </c>
      <c r="R1412" s="1">
        <v>0</v>
      </c>
      <c r="S1412" t="str">
        <f>IF(R1412=1,"Positive","Negative")</f>
        <v>Negative</v>
      </c>
      <c r="T1412" s="1" t="str">
        <f>IFERROR(VLOOKUP(A1412,[1]diabetes_Recognition!$A:$B,2,FALSE),"Not Sampled")</f>
        <v>Not Sampled</v>
      </c>
      <c r="U1412" t="str">
        <f>IF(T1412=1,"Positive",(IF(T1412=0,"Negative","Not Sampled")))</f>
        <v>Not Sampled</v>
      </c>
      <c r="V1412" s="1" t="str">
        <f>IF(U1412="Not Sampled","Not Sampled",IF(S1412=U1412,"Accurate Prediction","Inaccurate Prediction"))</f>
        <v>Not Sampled</v>
      </c>
    </row>
    <row r="1413" spans="1:22" x14ac:dyDescent="0.25">
      <c r="A1413" s="1">
        <v>1411</v>
      </c>
      <c r="B1413" s="1">
        <v>0</v>
      </c>
      <c r="C1413" s="1">
        <f>LOOKUP(B1413,Sheet2!$D$4:$E$9)</f>
        <v>0</v>
      </c>
      <c r="D1413" s="1">
        <v>86</v>
      </c>
      <c r="E1413" t="str">
        <f>LOOKUP(D1413,Sheet2!$G$4:$H$9)</f>
        <v>1-99</v>
      </c>
      <c r="F1413" s="1">
        <v>68</v>
      </c>
      <c r="G1413" t="str">
        <f>LOOKUP(F1413,Sheet2!$J$4:$K$8)</f>
        <v>60-69</v>
      </c>
      <c r="H1413" s="1">
        <v>32</v>
      </c>
      <c r="I1413" t="str">
        <f>LOOKUP(H1413,Sheet2!$M$4:$N$8)</f>
        <v>30-39</v>
      </c>
      <c r="J1413" s="1">
        <v>0</v>
      </c>
      <c r="K1413" t="str">
        <f>LOOKUP(J1413,Sheet2!$P$4:$Q$9)</f>
        <v>Unknown</v>
      </c>
      <c r="L1413" s="1">
        <v>35.799999999999997</v>
      </c>
      <c r="M1413" t="str">
        <f>LOOKUP(L1413,Sheet2!$S$4:$T$8)</f>
        <v>31-35</v>
      </c>
      <c r="N1413" s="1">
        <v>0.23799999999999999</v>
      </c>
      <c r="O1413" t="str">
        <f>LOOKUP(N1413,Sheet2!$V$4:$W$7)</f>
        <v>0.0 - 0.249</v>
      </c>
      <c r="P1413" s="1">
        <v>25</v>
      </c>
      <c r="Q1413" t="str">
        <f>LOOKUP(P1413,Sheet2!$Z$4:$AA$7)</f>
        <v>&lt;=25</v>
      </c>
      <c r="R1413" s="1">
        <v>0</v>
      </c>
      <c r="S1413" t="str">
        <f>IF(R1413=1,"Positive","Negative")</f>
        <v>Negative</v>
      </c>
      <c r="T1413" s="1" t="str">
        <f>IFERROR(VLOOKUP(A1413,[1]diabetes_Recognition!$A:$B,2,FALSE),"Not Sampled")</f>
        <v>Not Sampled</v>
      </c>
      <c r="U1413" t="str">
        <f>IF(T1413=1,"Positive",(IF(T1413=0,"Negative","Not Sampled")))</f>
        <v>Not Sampled</v>
      </c>
      <c r="V1413" s="1" t="str">
        <f>IF(U1413="Not Sampled","Not Sampled",IF(S1413=U1413,"Accurate Prediction","Inaccurate Prediction"))</f>
        <v>Not Sampled</v>
      </c>
    </row>
    <row r="1414" spans="1:22" x14ac:dyDescent="0.25">
      <c r="A1414" s="1">
        <v>1412</v>
      </c>
      <c r="B1414" s="1">
        <v>12</v>
      </c>
      <c r="C1414" s="1" t="str">
        <f>LOOKUP(B1414,Sheet2!$D$4:$E$9)</f>
        <v>8+</v>
      </c>
      <c r="D1414" s="1">
        <v>92</v>
      </c>
      <c r="E1414" t="str">
        <f>LOOKUP(D1414,Sheet2!$G$4:$H$9)</f>
        <v>1-99</v>
      </c>
      <c r="F1414" s="1">
        <v>62</v>
      </c>
      <c r="G1414" t="str">
        <f>LOOKUP(F1414,Sheet2!$J$4:$K$8)</f>
        <v>60-69</v>
      </c>
      <c r="H1414" s="1">
        <v>7</v>
      </c>
      <c r="I1414" t="str">
        <f>LOOKUP(H1414,Sheet2!$M$4:$N$8)</f>
        <v>1-10</v>
      </c>
      <c r="J1414" s="1">
        <v>258</v>
      </c>
      <c r="K1414" t="str">
        <f>LOOKUP(J1414,Sheet2!$P$4:$Q$9)</f>
        <v>200-399</v>
      </c>
      <c r="L1414" s="1">
        <v>27.6</v>
      </c>
      <c r="M1414" t="str">
        <f>LOOKUP(L1414,Sheet2!$S$4:$T$8)</f>
        <v>26-30</v>
      </c>
      <c r="N1414" s="1">
        <v>0.92600000000000005</v>
      </c>
      <c r="O1414" t="str">
        <f>LOOKUP(N1414,Sheet2!$V$4:$W$7)</f>
        <v>0.7+</v>
      </c>
      <c r="P1414" s="1">
        <v>44</v>
      </c>
      <c r="Q1414" t="str">
        <f>LOOKUP(P1414,Sheet2!$Z$4:$AA$7)</f>
        <v>36-45</v>
      </c>
      <c r="R1414" s="1">
        <v>1</v>
      </c>
      <c r="S1414" t="str">
        <f>IF(R1414=1,"Positive","Negative")</f>
        <v>Positive</v>
      </c>
      <c r="T1414" s="1" t="str">
        <f>IFERROR(VLOOKUP(A1414,[1]diabetes_Recognition!$A:$B,2,FALSE),"Not Sampled")</f>
        <v>Not Sampled</v>
      </c>
      <c r="U1414" t="str">
        <f>IF(T1414=1,"Positive",(IF(T1414=0,"Negative","Not Sampled")))</f>
        <v>Not Sampled</v>
      </c>
      <c r="V1414" s="1" t="str">
        <f>IF(U1414="Not Sampled","Not Sampled",IF(S1414=U1414,"Accurate Prediction","Inaccurate Prediction"))</f>
        <v>Not Sampled</v>
      </c>
    </row>
    <row r="1415" spans="1:22" x14ac:dyDescent="0.25">
      <c r="A1415" s="1">
        <v>1413</v>
      </c>
      <c r="B1415" s="1">
        <v>1</v>
      </c>
      <c r="C1415" s="1">
        <f>LOOKUP(B1415,Sheet2!$D$4:$E$9)</f>
        <v>1</v>
      </c>
      <c r="D1415" s="1">
        <v>113</v>
      </c>
      <c r="E1415" t="str">
        <f>LOOKUP(D1415,Sheet2!$G$4:$H$9)</f>
        <v>100-125</v>
      </c>
      <c r="F1415" s="1">
        <v>64</v>
      </c>
      <c r="G1415" t="str">
        <f>LOOKUP(F1415,Sheet2!$J$4:$K$8)</f>
        <v>60-69</v>
      </c>
      <c r="H1415" s="1">
        <v>35</v>
      </c>
      <c r="I1415" t="str">
        <f>LOOKUP(H1415,Sheet2!$M$4:$N$8)</f>
        <v>30-39</v>
      </c>
      <c r="J1415" s="1">
        <v>0</v>
      </c>
      <c r="K1415" t="str">
        <f>LOOKUP(J1415,Sheet2!$P$4:$Q$9)</f>
        <v>Unknown</v>
      </c>
      <c r="L1415" s="1">
        <v>33.6</v>
      </c>
      <c r="M1415" t="str">
        <f>LOOKUP(L1415,Sheet2!$S$4:$T$8)</f>
        <v>31-35</v>
      </c>
      <c r="N1415" s="1">
        <v>0.54300000000000004</v>
      </c>
      <c r="O1415" t="str">
        <f>LOOKUP(N1415,Sheet2!$V$4:$W$7)</f>
        <v>0.4 - 0.69</v>
      </c>
      <c r="P1415" s="1">
        <v>21</v>
      </c>
      <c r="Q1415" t="str">
        <f>LOOKUP(P1415,Sheet2!$Z$4:$AA$7)</f>
        <v>&lt;=25</v>
      </c>
      <c r="R1415" s="1">
        <v>1</v>
      </c>
      <c r="S1415" t="str">
        <f>IF(R1415=1,"Positive","Negative")</f>
        <v>Positive</v>
      </c>
      <c r="T1415" s="1" t="str">
        <f>IFERROR(VLOOKUP(A1415,[1]diabetes_Recognition!$A:$B,2,FALSE),"Not Sampled")</f>
        <v>Not Sampled</v>
      </c>
      <c r="U1415" t="str">
        <f>IF(T1415=1,"Positive",(IF(T1415=0,"Negative","Not Sampled")))</f>
        <v>Not Sampled</v>
      </c>
      <c r="V1415" s="1" t="str">
        <f>IF(U1415="Not Sampled","Not Sampled",IF(S1415=U1415,"Accurate Prediction","Inaccurate Prediction"))</f>
        <v>Not Sampled</v>
      </c>
    </row>
    <row r="1416" spans="1:22" x14ac:dyDescent="0.25">
      <c r="A1416" s="1">
        <v>1414</v>
      </c>
      <c r="B1416" s="1">
        <v>3</v>
      </c>
      <c r="C1416" s="1" t="str">
        <f>LOOKUP(B1416,Sheet2!$D$4:$E$9)</f>
        <v>3-4</v>
      </c>
      <c r="D1416" s="1">
        <v>111</v>
      </c>
      <c r="E1416" t="str">
        <f>LOOKUP(D1416,Sheet2!$G$4:$H$9)</f>
        <v>100-125</v>
      </c>
      <c r="F1416" s="1">
        <v>56</v>
      </c>
      <c r="G1416" t="str">
        <f>LOOKUP(F1416,Sheet2!$J$4:$K$8)</f>
        <v>1-59</v>
      </c>
      <c r="H1416" s="1">
        <v>39</v>
      </c>
      <c r="I1416" t="str">
        <f>LOOKUP(H1416,Sheet2!$M$4:$N$8)</f>
        <v>30-39</v>
      </c>
      <c r="J1416" s="1">
        <v>0</v>
      </c>
      <c r="K1416" t="str">
        <f>LOOKUP(J1416,Sheet2!$P$4:$Q$9)</f>
        <v>Unknown</v>
      </c>
      <c r="L1416" s="1">
        <v>30.1</v>
      </c>
      <c r="M1416" t="str">
        <f>LOOKUP(L1416,Sheet2!$S$4:$T$8)</f>
        <v>26-30</v>
      </c>
      <c r="N1416" s="1">
        <v>0.55700000000000005</v>
      </c>
      <c r="O1416" t="str">
        <f>LOOKUP(N1416,Sheet2!$V$4:$W$7)</f>
        <v>0.4 - 0.69</v>
      </c>
      <c r="P1416" s="1">
        <v>30</v>
      </c>
      <c r="Q1416" t="str">
        <f>LOOKUP(P1416,Sheet2!$Z$4:$AA$7)</f>
        <v>26-35</v>
      </c>
      <c r="R1416" s="1">
        <v>0</v>
      </c>
      <c r="S1416" t="str">
        <f>IF(R1416=1,"Positive","Negative")</f>
        <v>Negative</v>
      </c>
      <c r="T1416" s="1" t="str">
        <f>IFERROR(VLOOKUP(A1416,[1]diabetes_Recognition!$A:$B,2,FALSE),"Not Sampled")</f>
        <v>Not Sampled</v>
      </c>
      <c r="U1416" t="str">
        <f>IF(T1416=1,"Positive",(IF(T1416=0,"Negative","Not Sampled")))</f>
        <v>Not Sampled</v>
      </c>
      <c r="V1416" s="1" t="str">
        <f>IF(U1416="Not Sampled","Not Sampled",IF(S1416=U1416,"Accurate Prediction","Inaccurate Prediction"))</f>
        <v>Not Sampled</v>
      </c>
    </row>
    <row r="1417" spans="1:22" x14ac:dyDescent="0.25">
      <c r="A1417" s="1">
        <v>1415</v>
      </c>
      <c r="B1417" s="1">
        <v>2</v>
      </c>
      <c r="C1417" s="1">
        <f>LOOKUP(B1417,Sheet2!$D$4:$E$9)</f>
        <v>2</v>
      </c>
      <c r="D1417" s="1">
        <v>114</v>
      </c>
      <c r="E1417" t="str">
        <f>LOOKUP(D1417,Sheet2!$G$4:$H$9)</f>
        <v>100-125</v>
      </c>
      <c r="F1417" s="1">
        <v>68</v>
      </c>
      <c r="G1417" t="str">
        <f>LOOKUP(F1417,Sheet2!$J$4:$K$8)</f>
        <v>60-69</v>
      </c>
      <c r="H1417" s="1">
        <v>22</v>
      </c>
      <c r="I1417" t="str">
        <f>LOOKUP(H1417,Sheet2!$M$4:$N$8)</f>
        <v>10-30</v>
      </c>
      <c r="J1417" s="1">
        <v>0</v>
      </c>
      <c r="K1417" t="str">
        <f>LOOKUP(J1417,Sheet2!$P$4:$Q$9)</f>
        <v>Unknown</v>
      </c>
      <c r="L1417" s="1">
        <v>28.7</v>
      </c>
      <c r="M1417" t="str">
        <f>LOOKUP(L1417,Sheet2!$S$4:$T$8)</f>
        <v>26-30</v>
      </c>
      <c r="N1417" s="1">
        <v>9.1999999999999998E-2</v>
      </c>
      <c r="O1417" t="str">
        <f>LOOKUP(N1417,Sheet2!$V$4:$W$7)</f>
        <v>0.0 - 0.249</v>
      </c>
      <c r="P1417" s="1">
        <v>25</v>
      </c>
      <c r="Q1417" t="str">
        <f>LOOKUP(P1417,Sheet2!$Z$4:$AA$7)</f>
        <v>&lt;=25</v>
      </c>
      <c r="R1417" s="1">
        <v>0</v>
      </c>
      <c r="S1417" t="str">
        <f>IF(R1417=1,"Positive","Negative")</f>
        <v>Negative</v>
      </c>
      <c r="T1417" s="1">
        <f>IFERROR(VLOOKUP(A1417,[1]diabetes_Recognition!$A:$B,2,FALSE),"Not Sampled")</f>
        <v>0</v>
      </c>
      <c r="U1417" t="str">
        <f>IF(T1417=1,"Positive",(IF(T1417=0,"Negative","Not Sampled")))</f>
        <v>Negative</v>
      </c>
      <c r="V1417" s="1" t="str">
        <f>IF(U1417="Not Sampled","Not Sampled",IF(S1417=U1417,"Accurate Prediction","Inaccurate Prediction"))</f>
        <v>Accurate Prediction</v>
      </c>
    </row>
    <row r="1418" spans="1:22" x14ac:dyDescent="0.25">
      <c r="A1418" s="1">
        <v>1416</v>
      </c>
      <c r="B1418" s="1">
        <v>1</v>
      </c>
      <c r="C1418" s="1">
        <f>LOOKUP(B1418,Sheet2!$D$4:$E$9)</f>
        <v>1</v>
      </c>
      <c r="D1418" s="1">
        <v>193</v>
      </c>
      <c r="E1418" t="str">
        <f>LOOKUP(D1418,Sheet2!$G$4:$H$9)</f>
        <v>176-200</v>
      </c>
      <c r="F1418" s="1">
        <v>50</v>
      </c>
      <c r="G1418" t="str">
        <f>LOOKUP(F1418,Sheet2!$J$4:$K$8)</f>
        <v>1-59</v>
      </c>
      <c r="H1418" s="1">
        <v>16</v>
      </c>
      <c r="I1418" t="str">
        <f>LOOKUP(H1418,Sheet2!$M$4:$N$8)</f>
        <v>10-30</v>
      </c>
      <c r="J1418" s="1">
        <v>375</v>
      </c>
      <c r="K1418" t="str">
        <f>LOOKUP(J1418,Sheet2!$P$4:$Q$9)</f>
        <v>300-499</v>
      </c>
      <c r="L1418" s="1">
        <v>25.9</v>
      </c>
      <c r="M1418" t="str">
        <f>LOOKUP(L1418,Sheet2!$S$4:$T$8)</f>
        <v>1-25</v>
      </c>
      <c r="N1418" s="1">
        <v>0.65500000000000003</v>
      </c>
      <c r="O1418" t="str">
        <f>LOOKUP(N1418,Sheet2!$V$4:$W$7)</f>
        <v>0.4 - 0.69</v>
      </c>
      <c r="P1418" s="1">
        <v>24</v>
      </c>
      <c r="Q1418" t="str">
        <f>LOOKUP(P1418,Sheet2!$Z$4:$AA$7)</f>
        <v>&lt;=25</v>
      </c>
      <c r="R1418" s="1">
        <v>0</v>
      </c>
      <c r="S1418" t="str">
        <f>IF(R1418=1,"Positive","Negative")</f>
        <v>Negative</v>
      </c>
      <c r="T1418" s="1" t="str">
        <f>IFERROR(VLOOKUP(A1418,[1]diabetes_Recognition!$A:$B,2,FALSE),"Not Sampled")</f>
        <v>Not Sampled</v>
      </c>
      <c r="U1418" t="str">
        <f>IF(T1418=1,"Positive",(IF(T1418=0,"Negative","Not Sampled")))</f>
        <v>Not Sampled</v>
      </c>
      <c r="V1418" s="1" t="str">
        <f>IF(U1418="Not Sampled","Not Sampled",IF(S1418=U1418,"Accurate Prediction","Inaccurate Prediction"))</f>
        <v>Not Sampled</v>
      </c>
    </row>
    <row r="1419" spans="1:22" x14ac:dyDescent="0.25">
      <c r="A1419" s="1">
        <v>1417</v>
      </c>
      <c r="B1419" s="1">
        <v>11</v>
      </c>
      <c r="C1419" s="1" t="str">
        <f>LOOKUP(B1419,Sheet2!$D$4:$E$9)</f>
        <v>8+</v>
      </c>
      <c r="D1419" s="1">
        <v>155</v>
      </c>
      <c r="E1419" t="str">
        <f>LOOKUP(D1419,Sheet2!$G$4:$H$9)</f>
        <v>151-175</v>
      </c>
      <c r="F1419" s="1">
        <v>76</v>
      </c>
      <c r="G1419" t="str">
        <f>LOOKUP(F1419,Sheet2!$J$4:$K$8)</f>
        <v>70-79</v>
      </c>
      <c r="H1419" s="1">
        <v>28</v>
      </c>
      <c r="I1419" t="str">
        <f>LOOKUP(H1419,Sheet2!$M$4:$N$8)</f>
        <v>10-30</v>
      </c>
      <c r="J1419" s="1">
        <v>150</v>
      </c>
      <c r="K1419" t="str">
        <f>LOOKUP(J1419,Sheet2!$P$4:$Q$9)</f>
        <v>100-199</v>
      </c>
      <c r="L1419" s="1">
        <v>33.299999999999997</v>
      </c>
      <c r="M1419" t="str">
        <f>LOOKUP(L1419,Sheet2!$S$4:$T$8)</f>
        <v>31-35</v>
      </c>
      <c r="N1419" s="1">
        <v>1.353</v>
      </c>
      <c r="O1419" t="str">
        <f>LOOKUP(N1419,Sheet2!$V$4:$W$7)</f>
        <v>0.7+</v>
      </c>
      <c r="P1419" s="1">
        <v>51</v>
      </c>
      <c r="Q1419" t="str">
        <f>LOOKUP(P1419,Sheet2!$Z$4:$AA$7)</f>
        <v>46+</v>
      </c>
      <c r="R1419" s="1">
        <v>1</v>
      </c>
      <c r="S1419" t="str">
        <f>IF(R1419=1,"Positive","Negative")</f>
        <v>Positive</v>
      </c>
      <c r="T1419" s="1" t="str">
        <f>IFERROR(VLOOKUP(A1419,[1]diabetes_Recognition!$A:$B,2,FALSE),"Not Sampled")</f>
        <v>Not Sampled</v>
      </c>
      <c r="U1419" t="str">
        <f>IF(T1419=1,"Positive",(IF(T1419=0,"Negative","Not Sampled")))</f>
        <v>Not Sampled</v>
      </c>
      <c r="V1419" s="1" t="str">
        <f>IF(U1419="Not Sampled","Not Sampled",IF(S1419=U1419,"Accurate Prediction","Inaccurate Prediction"))</f>
        <v>Not Sampled</v>
      </c>
    </row>
    <row r="1420" spans="1:22" x14ac:dyDescent="0.25">
      <c r="A1420" s="1">
        <v>1418</v>
      </c>
      <c r="B1420" s="1">
        <v>3</v>
      </c>
      <c r="C1420" s="1" t="str">
        <f>LOOKUP(B1420,Sheet2!$D$4:$E$9)</f>
        <v>3-4</v>
      </c>
      <c r="D1420" s="1">
        <v>191</v>
      </c>
      <c r="E1420" t="str">
        <f>LOOKUP(D1420,Sheet2!$G$4:$H$9)</f>
        <v>176-200</v>
      </c>
      <c r="F1420" s="1">
        <v>68</v>
      </c>
      <c r="G1420" t="str">
        <f>LOOKUP(F1420,Sheet2!$J$4:$K$8)</f>
        <v>60-69</v>
      </c>
      <c r="H1420" s="1">
        <v>15</v>
      </c>
      <c r="I1420" t="str">
        <f>LOOKUP(H1420,Sheet2!$M$4:$N$8)</f>
        <v>10-30</v>
      </c>
      <c r="J1420" s="1">
        <v>130</v>
      </c>
      <c r="K1420" t="str">
        <f>LOOKUP(J1420,Sheet2!$P$4:$Q$9)</f>
        <v>100-199</v>
      </c>
      <c r="L1420" s="1">
        <v>30.9</v>
      </c>
      <c r="M1420" t="str">
        <f>LOOKUP(L1420,Sheet2!$S$4:$T$8)</f>
        <v>26-30</v>
      </c>
      <c r="N1420" s="1">
        <v>0.29899999999999999</v>
      </c>
      <c r="O1420" t="str">
        <f>LOOKUP(N1420,Sheet2!$V$4:$W$7)</f>
        <v>0.25 - 0.39</v>
      </c>
      <c r="P1420" s="1">
        <v>34</v>
      </c>
      <c r="Q1420" t="str">
        <f>LOOKUP(P1420,Sheet2!$Z$4:$AA$7)</f>
        <v>26-35</v>
      </c>
      <c r="R1420" s="1">
        <v>0</v>
      </c>
      <c r="S1420" t="str">
        <f>IF(R1420=1,"Positive","Negative")</f>
        <v>Negative</v>
      </c>
      <c r="T1420" s="1">
        <f>IFERROR(VLOOKUP(A1420,[1]diabetes_Recognition!$A:$B,2,FALSE),"Not Sampled")</f>
        <v>1</v>
      </c>
      <c r="U1420" t="str">
        <f>IF(T1420=1,"Positive",(IF(T1420=0,"Negative","Not Sampled")))</f>
        <v>Positive</v>
      </c>
      <c r="V1420" s="1" t="str">
        <f>IF(U1420="Not Sampled","Not Sampled",IF(S1420=U1420,"Accurate Prediction","Inaccurate Prediction"))</f>
        <v>Inaccurate Prediction</v>
      </c>
    </row>
    <row r="1421" spans="1:22" x14ac:dyDescent="0.25">
      <c r="A1421" s="1">
        <v>1419</v>
      </c>
      <c r="B1421" s="1">
        <v>3</v>
      </c>
      <c r="C1421" s="1" t="str">
        <f>LOOKUP(B1421,Sheet2!$D$4:$E$9)</f>
        <v>3-4</v>
      </c>
      <c r="D1421" s="1">
        <v>141</v>
      </c>
      <c r="E1421" t="str">
        <f>LOOKUP(D1421,Sheet2!$G$4:$H$9)</f>
        <v>126-150</v>
      </c>
      <c r="F1421" s="1">
        <v>0</v>
      </c>
      <c r="G1421" t="str">
        <f>LOOKUP(F1421,Sheet2!$J$4:$K$8)</f>
        <v>Unknown</v>
      </c>
      <c r="H1421" s="1">
        <v>0</v>
      </c>
      <c r="I1421" t="str">
        <f>LOOKUP(H1421,Sheet2!$M$4:$N$8)</f>
        <v>Unknown</v>
      </c>
      <c r="J1421" s="1">
        <v>0</v>
      </c>
      <c r="K1421" t="str">
        <f>LOOKUP(J1421,Sheet2!$P$4:$Q$9)</f>
        <v>Unknown</v>
      </c>
      <c r="L1421" s="1">
        <v>30</v>
      </c>
      <c r="M1421" t="str">
        <f>LOOKUP(L1421,Sheet2!$S$4:$T$8)</f>
        <v>26-30</v>
      </c>
      <c r="N1421" s="1">
        <v>0.76100000000000001</v>
      </c>
      <c r="O1421" t="str">
        <f>LOOKUP(N1421,Sheet2!$V$4:$W$7)</f>
        <v>0.7+</v>
      </c>
      <c r="P1421" s="1">
        <v>27</v>
      </c>
      <c r="Q1421" t="str">
        <f>LOOKUP(P1421,Sheet2!$Z$4:$AA$7)</f>
        <v>26-35</v>
      </c>
      <c r="R1421" s="1">
        <v>1</v>
      </c>
      <c r="S1421" t="str">
        <f>IF(R1421=1,"Positive","Negative")</f>
        <v>Positive</v>
      </c>
      <c r="T1421" s="1" t="str">
        <f>IFERROR(VLOOKUP(A1421,[1]diabetes_Recognition!$A:$B,2,FALSE),"Not Sampled")</f>
        <v>Not Sampled</v>
      </c>
      <c r="U1421" t="str">
        <f>IF(T1421=1,"Positive",(IF(T1421=0,"Negative","Not Sampled")))</f>
        <v>Not Sampled</v>
      </c>
      <c r="V1421" s="1" t="str">
        <f>IF(U1421="Not Sampled","Not Sampled",IF(S1421=U1421,"Accurate Prediction","Inaccurate Prediction"))</f>
        <v>Not Sampled</v>
      </c>
    </row>
    <row r="1422" spans="1:22" x14ac:dyDescent="0.25">
      <c r="A1422" s="1">
        <v>1420</v>
      </c>
      <c r="B1422" s="1">
        <v>4</v>
      </c>
      <c r="C1422" s="1" t="str">
        <f>LOOKUP(B1422,Sheet2!$D$4:$E$9)</f>
        <v>3-4</v>
      </c>
      <c r="D1422" s="1">
        <v>95</v>
      </c>
      <c r="E1422" t="str">
        <f>LOOKUP(D1422,Sheet2!$G$4:$H$9)</f>
        <v>1-99</v>
      </c>
      <c r="F1422" s="1">
        <v>70</v>
      </c>
      <c r="G1422" t="str">
        <f>LOOKUP(F1422,Sheet2!$J$4:$K$8)</f>
        <v>70-79</v>
      </c>
      <c r="H1422" s="1">
        <v>32</v>
      </c>
      <c r="I1422" t="str">
        <f>LOOKUP(H1422,Sheet2!$M$4:$N$8)</f>
        <v>30-39</v>
      </c>
      <c r="J1422" s="1">
        <v>0</v>
      </c>
      <c r="K1422" t="str">
        <f>LOOKUP(J1422,Sheet2!$P$4:$Q$9)</f>
        <v>Unknown</v>
      </c>
      <c r="L1422" s="1">
        <v>32.1</v>
      </c>
      <c r="M1422" t="str">
        <f>LOOKUP(L1422,Sheet2!$S$4:$T$8)</f>
        <v>31-35</v>
      </c>
      <c r="N1422" s="1">
        <v>0.61199999999999999</v>
      </c>
      <c r="O1422" t="str">
        <f>LOOKUP(N1422,Sheet2!$V$4:$W$7)</f>
        <v>0.4 - 0.69</v>
      </c>
      <c r="P1422" s="1">
        <v>24</v>
      </c>
      <c r="Q1422" t="str">
        <f>LOOKUP(P1422,Sheet2!$Z$4:$AA$7)</f>
        <v>&lt;=25</v>
      </c>
      <c r="R1422" s="1">
        <v>0</v>
      </c>
      <c r="S1422" t="str">
        <f>IF(R1422=1,"Positive","Negative")</f>
        <v>Negative</v>
      </c>
      <c r="T1422" s="1" t="str">
        <f>IFERROR(VLOOKUP(A1422,[1]diabetes_Recognition!$A:$B,2,FALSE),"Not Sampled")</f>
        <v>Not Sampled</v>
      </c>
      <c r="U1422" t="str">
        <f>IF(T1422=1,"Positive",(IF(T1422=0,"Negative","Not Sampled")))</f>
        <v>Not Sampled</v>
      </c>
      <c r="V1422" s="1" t="str">
        <f>IF(U1422="Not Sampled","Not Sampled",IF(S1422=U1422,"Accurate Prediction","Inaccurate Prediction"))</f>
        <v>Not Sampled</v>
      </c>
    </row>
    <row r="1423" spans="1:22" x14ac:dyDescent="0.25">
      <c r="A1423" s="1">
        <v>1421</v>
      </c>
      <c r="B1423" s="1">
        <v>3</v>
      </c>
      <c r="C1423" s="1" t="str">
        <f>LOOKUP(B1423,Sheet2!$D$4:$E$9)</f>
        <v>3-4</v>
      </c>
      <c r="D1423" s="1">
        <v>142</v>
      </c>
      <c r="E1423" t="str">
        <f>LOOKUP(D1423,Sheet2!$G$4:$H$9)</f>
        <v>126-150</v>
      </c>
      <c r="F1423" s="1">
        <v>80</v>
      </c>
      <c r="G1423" t="str">
        <f>LOOKUP(F1423,Sheet2!$J$4:$K$8)</f>
        <v>80+</v>
      </c>
      <c r="H1423" s="1">
        <v>15</v>
      </c>
      <c r="I1423" t="str">
        <f>LOOKUP(H1423,Sheet2!$M$4:$N$8)</f>
        <v>10-30</v>
      </c>
      <c r="J1423" s="1">
        <v>0</v>
      </c>
      <c r="K1423" t="str">
        <f>LOOKUP(J1423,Sheet2!$P$4:$Q$9)</f>
        <v>Unknown</v>
      </c>
      <c r="L1423" s="1">
        <v>32.4</v>
      </c>
      <c r="M1423" t="str">
        <f>LOOKUP(L1423,Sheet2!$S$4:$T$8)</f>
        <v>31-35</v>
      </c>
      <c r="N1423" s="1">
        <v>0.2</v>
      </c>
      <c r="O1423" t="str">
        <f>LOOKUP(N1423,Sheet2!$V$4:$W$7)</f>
        <v>0.0 - 0.249</v>
      </c>
      <c r="P1423" s="1">
        <v>63</v>
      </c>
      <c r="Q1423" t="str">
        <f>LOOKUP(P1423,Sheet2!$Z$4:$AA$7)</f>
        <v>46+</v>
      </c>
      <c r="R1423" s="1">
        <v>0</v>
      </c>
      <c r="S1423" t="str">
        <f>IF(R1423=1,"Positive","Negative")</f>
        <v>Negative</v>
      </c>
      <c r="T1423" s="1">
        <f>IFERROR(VLOOKUP(A1423,[1]diabetes_Recognition!$A:$B,2,FALSE),"Not Sampled")</f>
        <v>0</v>
      </c>
      <c r="U1423" t="str">
        <f>IF(T1423=1,"Positive",(IF(T1423=0,"Negative","Not Sampled")))</f>
        <v>Negative</v>
      </c>
      <c r="V1423" s="1" t="str">
        <f>IF(U1423="Not Sampled","Not Sampled",IF(S1423=U1423,"Accurate Prediction","Inaccurate Prediction"))</f>
        <v>Accurate Prediction</v>
      </c>
    </row>
    <row r="1424" spans="1:22" x14ac:dyDescent="0.25">
      <c r="A1424" s="1">
        <v>1422</v>
      </c>
      <c r="B1424" s="1">
        <v>4</v>
      </c>
      <c r="C1424" s="1" t="str">
        <f>LOOKUP(B1424,Sheet2!$D$4:$E$9)</f>
        <v>3-4</v>
      </c>
      <c r="D1424" s="1">
        <v>123</v>
      </c>
      <c r="E1424" t="str">
        <f>LOOKUP(D1424,Sheet2!$G$4:$H$9)</f>
        <v>100-125</v>
      </c>
      <c r="F1424" s="1">
        <v>62</v>
      </c>
      <c r="G1424" t="str">
        <f>LOOKUP(F1424,Sheet2!$J$4:$K$8)</f>
        <v>60-69</v>
      </c>
      <c r="H1424" s="1">
        <v>0</v>
      </c>
      <c r="I1424" t="str">
        <f>LOOKUP(H1424,Sheet2!$M$4:$N$8)</f>
        <v>Unknown</v>
      </c>
      <c r="J1424" s="1">
        <v>0</v>
      </c>
      <c r="K1424" t="str">
        <f>LOOKUP(J1424,Sheet2!$P$4:$Q$9)</f>
        <v>Unknown</v>
      </c>
      <c r="L1424" s="1">
        <v>32</v>
      </c>
      <c r="M1424" t="str">
        <f>LOOKUP(L1424,Sheet2!$S$4:$T$8)</f>
        <v>31-35</v>
      </c>
      <c r="N1424" s="1">
        <v>0.22600000000000001</v>
      </c>
      <c r="O1424" t="str">
        <f>LOOKUP(N1424,Sheet2!$V$4:$W$7)</f>
        <v>0.0 - 0.249</v>
      </c>
      <c r="P1424" s="1">
        <v>35</v>
      </c>
      <c r="Q1424" t="str">
        <f>LOOKUP(P1424,Sheet2!$Z$4:$AA$7)</f>
        <v>26-35</v>
      </c>
      <c r="R1424" s="1">
        <v>1</v>
      </c>
      <c r="S1424" t="str">
        <f>IF(R1424=1,"Positive","Negative")</f>
        <v>Positive</v>
      </c>
      <c r="T1424" s="1" t="str">
        <f>IFERROR(VLOOKUP(A1424,[1]diabetes_Recognition!$A:$B,2,FALSE),"Not Sampled")</f>
        <v>Not Sampled</v>
      </c>
      <c r="U1424" t="str">
        <f>IF(T1424=1,"Positive",(IF(T1424=0,"Negative","Not Sampled")))</f>
        <v>Not Sampled</v>
      </c>
      <c r="V1424" s="1" t="str">
        <f>IF(U1424="Not Sampled","Not Sampled",IF(S1424=U1424,"Accurate Prediction","Inaccurate Prediction"))</f>
        <v>Not Sampled</v>
      </c>
    </row>
    <row r="1425" spans="1:22" x14ac:dyDescent="0.25">
      <c r="A1425" s="1">
        <v>1423</v>
      </c>
      <c r="B1425" s="1">
        <v>5</v>
      </c>
      <c r="C1425" s="1" t="str">
        <f>LOOKUP(B1425,Sheet2!$D$4:$E$9)</f>
        <v>5-7</v>
      </c>
      <c r="D1425" s="1">
        <v>96</v>
      </c>
      <c r="E1425" t="str">
        <f>LOOKUP(D1425,Sheet2!$G$4:$H$9)</f>
        <v>1-99</v>
      </c>
      <c r="F1425" s="1">
        <v>74</v>
      </c>
      <c r="G1425" t="str">
        <f>LOOKUP(F1425,Sheet2!$J$4:$K$8)</f>
        <v>70-79</v>
      </c>
      <c r="H1425" s="1">
        <v>18</v>
      </c>
      <c r="I1425" t="str">
        <f>LOOKUP(H1425,Sheet2!$M$4:$N$8)</f>
        <v>10-30</v>
      </c>
      <c r="J1425" s="1">
        <v>67</v>
      </c>
      <c r="K1425" t="str">
        <f>LOOKUP(J1425,Sheet2!$P$4:$Q$9)</f>
        <v>1-99</v>
      </c>
      <c r="L1425" s="1">
        <v>33.6</v>
      </c>
      <c r="M1425" t="str">
        <f>LOOKUP(L1425,Sheet2!$S$4:$T$8)</f>
        <v>31-35</v>
      </c>
      <c r="N1425" s="1">
        <v>0.997</v>
      </c>
      <c r="O1425" t="str">
        <f>LOOKUP(N1425,Sheet2!$V$4:$W$7)</f>
        <v>0.7+</v>
      </c>
      <c r="P1425" s="1">
        <v>43</v>
      </c>
      <c r="Q1425" t="str">
        <f>LOOKUP(P1425,Sheet2!$Z$4:$AA$7)</f>
        <v>36-45</v>
      </c>
      <c r="R1425" s="1">
        <v>0</v>
      </c>
      <c r="S1425" t="str">
        <f>IF(R1425=1,"Positive","Negative")</f>
        <v>Negative</v>
      </c>
      <c r="T1425" s="1" t="str">
        <f>IFERROR(VLOOKUP(A1425,[1]diabetes_Recognition!$A:$B,2,FALSE),"Not Sampled")</f>
        <v>Not Sampled</v>
      </c>
      <c r="U1425" t="str">
        <f>IF(T1425=1,"Positive",(IF(T1425=0,"Negative","Not Sampled")))</f>
        <v>Not Sampled</v>
      </c>
      <c r="V1425" s="1" t="str">
        <f>IF(U1425="Not Sampled","Not Sampled",IF(S1425=U1425,"Accurate Prediction","Inaccurate Prediction"))</f>
        <v>Not Sampled</v>
      </c>
    </row>
    <row r="1426" spans="1:22" x14ac:dyDescent="0.25">
      <c r="A1426" s="1">
        <v>1424</v>
      </c>
      <c r="B1426" s="1">
        <v>0</v>
      </c>
      <c r="C1426" s="1">
        <f>LOOKUP(B1426,Sheet2!$D$4:$E$9)</f>
        <v>0</v>
      </c>
      <c r="D1426" s="1">
        <v>138</v>
      </c>
      <c r="E1426" t="str">
        <f>LOOKUP(D1426,Sheet2!$G$4:$H$9)</f>
        <v>126-150</v>
      </c>
      <c r="F1426" s="1">
        <v>0</v>
      </c>
      <c r="G1426" t="str">
        <f>LOOKUP(F1426,Sheet2!$J$4:$K$8)</f>
        <v>Unknown</v>
      </c>
      <c r="H1426" s="1">
        <v>0</v>
      </c>
      <c r="I1426" t="str">
        <f>LOOKUP(H1426,Sheet2!$M$4:$N$8)</f>
        <v>Unknown</v>
      </c>
      <c r="J1426" s="1">
        <v>0</v>
      </c>
      <c r="K1426" t="str">
        <f>LOOKUP(J1426,Sheet2!$P$4:$Q$9)</f>
        <v>Unknown</v>
      </c>
      <c r="L1426" s="1">
        <v>36.299999999999997</v>
      </c>
      <c r="M1426" t="str">
        <f>LOOKUP(L1426,Sheet2!$S$4:$T$8)</f>
        <v>36+</v>
      </c>
      <c r="N1426" s="1">
        <v>0.93300000000000005</v>
      </c>
      <c r="O1426" t="str">
        <f>LOOKUP(N1426,Sheet2!$V$4:$W$7)</f>
        <v>0.7+</v>
      </c>
      <c r="P1426" s="1">
        <v>25</v>
      </c>
      <c r="Q1426" t="str">
        <f>LOOKUP(P1426,Sheet2!$Z$4:$AA$7)</f>
        <v>&lt;=25</v>
      </c>
      <c r="R1426" s="1">
        <v>1</v>
      </c>
      <c r="S1426" t="str">
        <f>IF(R1426=1,"Positive","Negative")</f>
        <v>Positive</v>
      </c>
      <c r="T1426" s="1" t="str">
        <f>IFERROR(VLOOKUP(A1426,[1]diabetes_Recognition!$A:$B,2,FALSE),"Not Sampled")</f>
        <v>Not Sampled</v>
      </c>
      <c r="U1426" t="str">
        <f>IF(T1426=1,"Positive",(IF(T1426=0,"Negative","Not Sampled")))</f>
        <v>Not Sampled</v>
      </c>
      <c r="V1426" s="1" t="str">
        <f>IF(U1426="Not Sampled","Not Sampled",IF(S1426=U1426,"Accurate Prediction","Inaccurate Prediction"))</f>
        <v>Not Sampled</v>
      </c>
    </row>
    <row r="1427" spans="1:22" x14ac:dyDescent="0.25">
      <c r="A1427" s="1">
        <v>1425</v>
      </c>
      <c r="B1427" s="1">
        <v>2</v>
      </c>
      <c r="C1427" s="1">
        <f>LOOKUP(B1427,Sheet2!$D$4:$E$9)</f>
        <v>2</v>
      </c>
      <c r="D1427" s="1">
        <v>128</v>
      </c>
      <c r="E1427" t="str">
        <f>LOOKUP(D1427,Sheet2!$G$4:$H$9)</f>
        <v>126-150</v>
      </c>
      <c r="F1427" s="1">
        <v>64</v>
      </c>
      <c r="G1427" t="str">
        <f>LOOKUP(F1427,Sheet2!$J$4:$K$8)</f>
        <v>60-69</v>
      </c>
      <c r="H1427" s="1">
        <v>42</v>
      </c>
      <c r="I1427" t="str">
        <f>LOOKUP(H1427,Sheet2!$M$4:$N$8)</f>
        <v>40+</v>
      </c>
      <c r="J1427" s="1">
        <v>0</v>
      </c>
      <c r="K1427" t="str">
        <f>LOOKUP(J1427,Sheet2!$P$4:$Q$9)</f>
        <v>Unknown</v>
      </c>
      <c r="L1427" s="1">
        <v>40</v>
      </c>
      <c r="M1427" t="str">
        <f>LOOKUP(L1427,Sheet2!$S$4:$T$8)</f>
        <v>36+</v>
      </c>
      <c r="N1427" s="1">
        <v>1.101</v>
      </c>
      <c r="O1427" t="str">
        <f>LOOKUP(N1427,Sheet2!$V$4:$W$7)</f>
        <v>0.7+</v>
      </c>
      <c r="P1427" s="1">
        <v>24</v>
      </c>
      <c r="Q1427" t="str">
        <f>LOOKUP(P1427,Sheet2!$Z$4:$AA$7)</f>
        <v>&lt;=25</v>
      </c>
      <c r="R1427" s="1">
        <v>0</v>
      </c>
      <c r="S1427" t="str">
        <f>IF(R1427=1,"Positive","Negative")</f>
        <v>Negative</v>
      </c>
      <c r="T1427" s="1" t="str">
        <f>IFERROR(VLOOKUP(A1427,[1]diabetes_Recognition!$A:$B,2,FALSE),"Not Sampled")</f>
        <v>Not Sampled</v>
      </c>
      <c r="U1427" t="str">
        <f>IF(T1427=1,"Positive",(IF(T1427=0,"Negative","Not Sampled")))</f>
        <v>Not Sampled</v>
      </c>
      <c r="V1427" s="1" t="str">
        <f>IF(U1427="Not Sampled","Not Sampled",IF(S1427=U1427,"Accurate Prediction","Inaccurate Prediction"))</f>
        <v>Not Sampled</v>
      </c>
    </row>
    <row r="1428" spans="1:22" x14ac:dyDescent="0.25">
      <c r="A1428" s="1">
        <v>1426</v>
      </c>
      <c r="B1428" s="1">
        <v>0</v>
      </c>
      <c r="C1428" s="1">
        <f>LOOKUP(B1428,Sheet2!$D$4:$E$9)</f>
        <v>0</v>
      </c>
      <c r="D1428" s="1">
        <v>102</v>
      </c>
      <c r="E1428" t="str">
        <f>LOOKUP(D1428,Sheet2!$G$4:$H$9)</f>
        <v>100-125</v>
      </c>
      <c r="F1428" s="1">
        <v>52</v>
      </c>
      <c r="G1428" t="str">
        <f>LOOKUP(F1428,Sheet2!$J$4:$K$8)</f>
        <v>1-59</v>
      </c>
      <c r="H1428" s="1">
        <v>0</v>
      </c>
      <c r="I1428" t="str">
        <f>LOOKUP(H1428,Sheet2!$M$4:$N$8)</f>
        <v>Unknown</v>
      </c>
      <c r="J1428" s="1">
        <v>0</v>
      </c>
      <c r="K1428" t="str">
        <f>LOOKUP(J1428,Sheet2!$P$4:$Q$9)</f>
        <v>Unknown</v>
      </c>
      <c r="L1428" s="1">
        <v>25.1</v>
      </c>
      <c r="M1428" t="str">
        <f>LOOKUP(L1428,Sheet2!$S$4:$T$8)</f>
        <v>1-25</v>
      </c>
      <c r="N1428" s="1">
        <v>7.8E-2</v>
      </c>
      <c r="O1428" t="str">
        <f>LOOKUP(N1428,Sheet2!$V$4:$W$7)</f>
        <v>0.0 - 0.249</v>
      </c>
      <c r="P1428" s="1">
        <v>21</v>
      </c>
      <c r="Q1428" t="str">
        <f>LOOKUP(P1428,Sheet2!$Z$4:$AA$7)</f>
        <v>&lt;=25</v>
      </c>
      <c r="R1428" s="1">
        <v>0</v>
      </c>
      <c r="S1428" t="str">
        <f>IF(R1428=1,"Positive","Negative")</f>
        <v>Negative</v>
      </c>
      <c r="T1428" s="1" t="str">
        <f>IFERROR(VLOOKUP(A1428,[1]diabetes_Recognition!$A:$B,2,FALSE),"Not Sampled")</f>
        <v>Not Sampled</v>
      </c>
      <c r="U1428" t="str">
        <f>IF(T1428=1,"Positive",(IF(T1428=0,"Negative","Not Sampled")))</f>
        <v>Not Sampled</v>
      </c>
      <c r="V1428" s="1" t="str">
        <f>IF(U1428="Not Sampled","Not Sampled",IF(S1428=U1428,"Accurate Prediction","Inaccurate Prediction"))</f>
        <v>Not Sampled</v>
      </c>
    </row>
    <row r="1429" spans="1:22" x14ac:dyDescent="0.25">
      <c r="A1429" s="1">
        <v>1427</v>
      </c>
      <c r="B1429" s="1">
        <v>2</v>
      </c>
      <c r="C1429" s="1">
        <f>LOOKUP(B1429,Sheet2!$D$4:$E$9)</f>
        <v>2</v>
      </c>
      <c r="D1429" s="1">
        <v>146</v>
      </c>
      <c r="E1429" t="str">
        <f>LOOKUP(D1429,Sheet2!$G$4:$H$9)</f>
        <v>126-150</v>
      </c>
      <c r="F1429" s="1">
        <v>0</v>
      </c>
      <c r="G1429" t="str">
        <f>LOOKUP(F1429,Sheet2!$J$4:$K$8)</f>
        <v>Unknown</v>
      </c>
      <c r="H1429" s="1">
        <v>0</v>
      </c>
      <c r="I1429" t="str">
        <f>LOOKUP(H1429,Sheet2!$M$4:$N$8)</f>
        <v>Unknown</v>
      </c>
      <c r="J1429" s="1">
        <v>0</v>
      </c>
      <c r="K1429" t="str">
        <f>LOOKUP(J1429,Sheet2!$P$4:$Q$9)</f>
        <v>Unknown</v>
      </c>
      <c r="L1429" s="1">
        <v>27.5</v>
      </c>
      <c r="M1429" t="str">
        <f>LOOKUP(L1429,Sheet2!$S$4:$T$8)</f>
        <v>26-30</v>
      </c>
      <c r="N1429" s="1">
        <v>0.24</v>
      </c>
      <c r="O1429" t="str">
        <f>LOOKUP(N1429,Sheet2!$V$4:$W$7)</f>
        <v>0.0 - 0.249</v>
      </c>
      <c r="P1429" s="1">
        <v>28</v>
      </c>
      <c r="Q1429" t="str">
        <f>LOOKUP(P1429,Sheet2!$Z$4:$AA$7)</f>
        <v>26-35</v>
      </c>
      <c r="R1429" s="1">
        <v>1</v>
      </c>
      <c r="S1429" t="str">
        <f>IF(R1429=1,"Positive","Negative")</f>
        <v>Positive</v>
      </c>
      <c r="T1429" s="1" t="str">
        <f>IFERROR(VLOOKUP(A1429,[1]diabetes_Recognition!$A:$B,2,FALSE),"Not Sampled")</f>
        <v>Not Sampled</v>
      </c>
      <c r="U1429" t="str">
        <f>IF(T1429=1,"Positive",(IF(T1429=0,"Negative","Not Sampled")))</f>
        <v>Not Sampled</v>
      </c>
      <c r="V1429" s="1" t="str">
        <f>IF(U1429="Not Sampled","Not Sampled",IF(S1429=U1429,"Accurate Prediction","Inaccurate Prediction"))</f>
        <v>Not Sampled</v>
      </c>
    </row>
    <row r="1430" spans="1:22" x14ac:dyDescent="0.25">
      <c r="A1430" s="1">
        <v>1428</v>
      </c>
      <c r="B1430" s="1">
        <v>10</v>
      </c>
      <c r="C1430" s="1" t="str">
        <f>LOOKUP(B1430,Sheet2!$D$4:$E$9)</f>
        <v>8+</v>
      </c>
      <c r="D1430" s="1">
        <v>101</v>
      </c>
      <c r="E1430" t="str">
        <f>LOOKUP(D1430,Sheet2!$G$4:$H$9)</f>
        <v>100-125</v>
      </c>
      <c r="F1430" s="1">
        <v>86</v>
      </c>
      <c r="G1430" t="str">
        <f>LOOKUP(F1430,Sheet2!$J$4:$K$8)</f>
        <v>80+</v>
      </c>
      <c r="H1430" s="1">
        <v>37</v>
      </c>
      <c r="I1430" t="str">
        <f>LOOKUP(H1430,Sheet2!$M$4:$N$8)</f>
        <v>30-39</v>
      </c>
      <c r="J1430" s="1">
        <v>0</v>
      </c>
      <c r="K1430" t="str">
        <f>LOOKUP(J1430,Sheet2!$P$4:$Q$9)</f>
        <v>Unknown</v>
      </c>
      <c r="L1430" s="1">
        <v>45.6</v>
      </c>
      <c r="M1430" t="str">
        <f>LOOKUP(L1430,Sheet2!$S$4:$T$8)</f>
        <v>36+</v>
      </c>
      <c r="N1430" s="1">
        <v>1.1359999999999999</v>
      </c>
      <c r="O1430" t="str">
        <f>LOOKUP(N1430,Sheet2!$V$4:$W$7)</f>
        <v>0.7+</v>
      </c>
      <c r="P1430" s="1">
        <v>38</v>
      </c>
      <c r="Q1430" t="str">
        <f>LOOKUP(P1430,Sheet2!$Z$4:$AA$7)</f>
        <v>36-45</v>
      </c>
      <c r="R1430" s="1">
        <v>1</v>
      </c>
      <c r="S1430" t="str">
        <f>IF(R1430=1,"Positive","Negative")</f>
        <v>Positive</v>
      </c>
      <c r="T1430" s="1">
        <f>IFERROR(VLOOKUP(A1430,[1]diabetes_Recognition!$A:$B,2,FALSE),"Not Sampled")</f>
        <v>1</v>
      </c>
      <c r="U1430" t="str">
        <f>IF(T1430=1,"Positive",(IF(T1430=0,"Negative","Not Sampled")))</f>
        <v>Positive</v>
      </c>
      <c r="V1430" s="1" t="str">
        <f>IF(U1430="Not Sampled","Not Sampled",IF(S1430=U1430,"Accurate Prediction","Inaccurate Prediction"))</f>
        <v>Accurate Prediction</v>
      </c>
    </row>
    <row r="1431" spans="1:22" x14ac:dyDescent="0.25">
      <c r="A1431" s="1">
        <v>1429</v>
      </c>
      <c r="B1431" s="1">
        <v>2</v>
      </c>
      <c r="C1431" s="1">
        <f>LOOKUP(B1431,Sheet2!$D$4:$E$9)</f>
        <v>2</v>
      </c>
      <c r="D1431" s="1">
        <v>108</v>
      </c>
      <c r="E1431" t="str">
        <f>LOOKUP(D1431,Sheet2!$G$4:$H$9)</f>
        <v>100-125</v>
      </c>
      <c r="F1431" s="1">
        <v>62</v>
      </c>
      <c r="G1431" t="str">
        <f>LOOKUP(F1431,Sheet2!$J$4:$K$8)</f>
        <v>60-69</v>
      </c>
      <c r="H1431" s="1">
        <v>32</v>
      </c>
      <c r="I1431" t="str">
        <f>LOOKUP(H1431,Sheet2!$M$4:$N$8)</f>
        <v>30-39</v>
      </c>
      <c r="J1431" s="1">
        <v>56</v>
      </c>
      <c r="K1431" t="str">
        <f>LOOKUP(J1431,Sheet2!$P$4:$Q$9)</f>
        <v>1-99</v>
      </c>
      <c r="L1431" s="1">
        <v>25.2</v>
      </c>
      <c r="M1431" t="str">
        <f>LOOKUP(L1431,Sheet2!$S$4:$T$8)</f>
        <v>1-25</v>
      </c>
      <c r="N1431" s="1">
        <v>0.128</v>
      </c>
      <c r="O1431" t="str">
        <f>LOOKUP(N1431,Sheet2!$V$4:$W$7)</f>
        <v>0.0 - 0.249</v>
      </c>
      <c r="P1431" s="1">
        <v>21</v>
      </c>
      <c r="Q1431" t="str">
        <f>LOOKUP(P1431,Sheet2!$Z$4:$AA$7)</f>
        <v>&lt;=25</v>
      </c>
      <c r="R1431" s="1">
        <v>0</v>
      </c>
      <c r="S1431" t="str">
        <f>IF(R1431=1,"Positive","Negative")</f>
        <v>Negative</v>
      </c>
      <c r="T1431" s="1" t="str">
        <f>IFERROR(VLOOKUP(A1431,[1]diabetes_Recognition!$A:$B,2,FALSE),"Not Sampled")</f>
        <v>Not Sampled</v>
      </c>
      <c r="U1431" t="str">
        <f>IF(T1431=1,"Positive",(IF(T1431=0,"Negative","Not Sampled")))</f>
        <v>Not Sampled</v>
      </c>
      <c r="V1431" s="1" t="str">
        <f>IF(U1431="Not Sampled","Not Sampled",IF(S1431=U1431,"Accurate Prediction","Inaccurate Prediction"))</f>
        <v>Not Sampled</v>
      </c>
    </row>
    <row r="1432" spans="1:22" x14ac:dyDescent="0.25">
      <c r="A1432" s="1">
        <v>1430</v>
      </c>
      <c r="B1432" s="1">
        <v>3</v>
      </c>
      <c r="C1432" s="1" t="str">
        <f>LOOKUP(B1432,Sheet2!$D$4:$E$9)</f>
        <v>3-4</v>
      </c>
      <c r="D1432" s="1">
        <v>122</v>
      </c>
      <c r="E1432" t="str">
        <f>LOOKUP(D1432,Sheet2!$G$4:$H$9)</f>
        <v>100-125</v>
      </c>
      <c r="F1432" s="1">
        <v>78</v>
      </c>
      <c r="G1432" t="str">
        <f>LOOKUP(F1432,Sheet2!$J$4:$K$8)</f>
        <v>70-79</v>
      </c>
      <c r="H1432" s="1">
        <v>0</v>
      </c>
      <c r="I1432" t="str">
        <f>LOOKUP(H1432,Sheet2!$M$4:$N$8)</f>
        <v>Unknown</v>
      </c>
      <c r="J1432" s="1">
        <v>0</v>
      </c>
      <c r="K1432" t="str">
        <f>LOOKUP(J1432,Sheet2!$P$4:$Q$9)</f>
        <v>Unknown</v>
      </c>
      <c r="L1432" s="1">
        <v>23</v>
      </c>
      <c r="M1432" t="str">
        <f>LOOKUP(L1432,Sheet2!$S$4:$T$8)</f>
        <v>1-25</v>
      </c>
      <c r="N1432" s="1">
        <v>0.254</v>
      </c>
      <c r="O1432" t="str">
        <f>LOOKUP(N1432,Sheet2!$V$4:$W$7)</f>
        <v>0.25 - 0.39</v>
      </c>
      <c r="P1432" s="1">
        <v>40</v>
      </c>
      <c r="Q1432" t="str">
        <f>LOOKUP(P1432,Sheet2!$Z$4:$AA$7)</f>
        <v>36-45</v>
      </c>
      <c r="R1432" s="1">
        <v>0</v>
      </c>
      <c r="S1432" t="str">
        <f>IF(R1432=1,"Positive","Negative")</f>
        <v>Negative</v>
      </c>
      <c r="T1432" s="1" t="str">
        <f>IFERROR(VLOOKUP(A1432,[1]diabetes_Recognition!$A:$B,2,FALSE),"Not Sampled")</f>
        <v>Not Sampled</v>
      </c>
      <c r="U1432" t="str">
        <f>IF(T1432=1,"Positive",(IF(T1432=0,"Negative","Not Sampled")))</f>
        <v>Not Sampled</v>
      </c>
      <c r="V1432" s="1" t="str">
        <f>IF(U1432="Not Sampled","Not Sampled",IF(S1432=U1432,"Accurate Prediction","Inaccurate Prediction"))</f>
        <v>Not Sampled</v>
      </c>
    </row>
    <row r="1433" spans="1:22" x14ac:dyDescent="0.25">
      <c r="A1433" s="1">
        <v>1431</v>
      </c>
      <c r="B1433" s="1">
        <v>1</v>
      </c>
      <c r="C1433" s="1">
        <f>LOOKUP(B1433,Sheet2!$D$4:$E$9)</f>
        <v>1</v>
      </c>
      <c r="D1433" s="1">
        <v>71</v>
      </c>
      <c r="E1433" t="str">
        <f>LOOKUP(D1433,Sheet2!$G$4:$H$9)</f>
        <v>1-99</v>
      </c>
      <c r="F1433" s="1">
        <v>78</v>
      </c>
      <c r="G1433" t="str">
        <f>LOOKUP(F1433,Sheet2!$J$4:$K$8)</f>
        <v>70-79</v>
      </c>
      <c r="H1433" s="1">
        <v>50</v>
      </c>
      <c r="I1433" t="str">
        <f>LOOKUP(H1433,Sheet2!$M$4:$N$8)</f>
        <v>40+</v>
      </c>
      <c r="J1433" s="1">
        <v>45</v>
      </c>
      <c r="K1433" t="str">
        <f>LOOKUP(J1433,Sheet2!$P$4:$Q$9)</f>
        <v>1-99</v>
      </c>
      <c r="L1433" s="1">
        <v>33.200000000000003</v>
      </c>
      <c r="M1433" t="str">
        <f>LOOKUP(L1433,Sheet2!$S$4:$T$8)</f>
        <v>31-35</v>
      </c>
      <c r="N1433" s="1">
        <v>0.42199999999999999</v>
      </c>
      <c r="O1433" t="str">
        <f>LOOKUP(N1433,Sheet2!$V$4:$W$7)</f>
        <v>0.4 - 0.69</v>
      </c>
      <c r="P1433" s="1">
        <v>21</v>
      </c>
      <c r="Q1433" t="str">
        <f>LOOKUP(P1433,Sheet2!$Z$4:$AA$7)</f>
        <v>&lt;=25</v>
      </c>
      <c r="R1433" s="1">
        <v>0</v>
      </c>
      <c r="S1433" t="str">
        <f>IF(R1433=1,"Positive","Negative")</f>
        <v>Negative</v>
      </c>
      <c r="T1433" s="1" t="str">
        <f>IFERROR(VLOOKUP(A1433,[1]diabetes_Recognition!$A:$B,2,FALSE),"Not Sampled")</f>
        <v>Not Sampled</v>
      </c>
      <c r="U1433" t="str">
        <f>IF(T1433=1,"Positive",(IF(T1433=0,"Negative","Not Sampled")))</f>
        <v>Not Sampled</v>
      </c>
      <c r="V1433" s="1" t="str">
        <f>IF(U1433="Not Sampled","Not Sampled",IF(S1433=U1433,"Accurate Prediction","Inaccurate Prediction"))</f>
        <v>Not Sampled</v>
      </c>
    </row>
    <row r="1434" spans="1:22" x14ac:dyDescent="0.25">
      <c r="A1434" s="1">
        <v>1432</v>
      </c>
      <c r="B1434" s="1">
        <v>13</v>
      </c>
      <c r="C1434" s="1" t="str">
        <f>LOOKUP(B1434,Sheet2!$D$4:$E$9)</f>
        <v>8+</v>
      </c>
      <c r="D1434" s="1">
        <v>106</v>
      </c>
      <c r="E1434" t="str">
        <f>LOOKUP(D1434,Sheet2!$G$4:$H$9)</f>
        <v>100-125</v>
      </c>
      <c r="F1434" s="1">
        <v>70</v>
      </c>
      <c r="G1434" t="str">
        <f>LOOKUP(F1434,Sheet2!$J$4:$K$8)</f>
        <v>70-79</v>
      </c>
      <c r="H1434" s="1">
        <v>0</v>
      </c>
      <c r="I1434" t="str">
        <f>LOOKUP(H1434,Sheet2!$M$4:$N$8)</f>
        <v>Unknown</v>
      </c>
      <c r="J1434" s="1">
        <v>0</v>
      </c>
      <c r="K1434" t="str">
        <f>LOOKUP(J1434,Sheet2!$P$4:$Q$9)</f>
        <v>Unknown</v>
      </c>
      <c r="L1434" s="1">
        <v>34.200000000000003</v>
      </c>
      <c r="M1434" t="str">
        <f>LOOKUP(L1434,Sheet2!$S$4:$T$8)</f>
        <v>31-35</v>
      </c>
      <c r="N1434" s="1">
        <v>0.251</v>
      </c>
      <c r="O1434" t="str">
        <f>LOOKUP(N1434,Sheet2!$V$4:$W$7)</f>
        <v>0.25 - 0.39</v>
      </c>
      <c r="P1434" s="1">
        <v>52</v>
      </c>
      <c r="Q1434" t="str">
        <f>LOOKUP(P1434,Sheet2!$Z$4:$AA$7)</f>
        <v>46+</v>
      </c>
      <c r="R1434" s="1">
        <v>0</v>
      </c>
      <c r="S1434" t="str">
        <f>IF(R1434=1,"Positive","Negative")</f>
        <v>Negative</v>
      </c>
      <c r="T1434" s="1" t="str">
        <f>IFERROR(VLOOKUP(A1434,[1]diabetes_Recognition!$A:$B,2,FALSE),"Not Sampled")</f>
        <v>Not Sampled</v>
      </c>
      <c r="U1434" t="str">
        <f>IF(T1434=1,"Positive",(IF(T1434=0,"Negative","Not Sampled")))</f>
        <v>Not Sampled</v>
      </c>
      <c r="V1434" s="1" t="str">
        <f>IF(U1434="Not Sampled","Not Sampled",IF(S1434=U1434,"Accurate Prediction","Inaccurate Prediction"))</f>
        <v>Not Sampled</v>
      </c>
    </row>
    <row r="1435" spans="1:22" x14ac:dyDescent="0.25">
      <c r="A1435" s="1">
        <v>1433</v>
      </c>
      <c r="B1435" s="1">
        <v>2</v>
      </c>
      <c r="C1435" s="1">
        <f>LOOKUP(B1435,Sheet2!$D$4:$E$9)</f>
        <v>2</v>
      </c>
      <c r="D1435" s="1">
        <v>100</v>
      </c>
      <c r="E1435" t="str">
        <f>LOOKUP(D1435,Sheet2!$G$4:$H$9)</f>
        <v>100-125</v>
      </c>
      <c r="F1435" s="1">
        <v>70</v>
      </c>
      <c r="G1435" t="str">
        <f>LOOKUP(F1435,Sheet2!$J$4:$K$8)</f>
        <v>70-79</v>
      </c>
      <c r="H1435" s="1">
        <v>52</v>
      </c>
      <c r="I1435" t="str">
        <f>LOOKUP(H1435,Sheet2!$M$4:$N$8)</f>
        <v>40+</v>
      </c>
      <c r="J1435" s="1">
        <v>57</v>
      </c>
      <c r="K1435" t="str">
        <f>LOOKUP(J1435,Sheet2!$P$4:$Q$9)</f>
        <v>1-99</v>
      </c>
      <c r="L1435" s="1">
        <v>40.5</v>
      </c>
      <c r="M1435" t="str">
        <f>LOOKUP(L1435,Sheet2!$S$4:$T$8)</f>
        <v>36+</v>
      </c>
      <c r="N1435" s="1">
        <v>0.67700000000000005</v>
      </c>
      <c r="O1435" t="str">
        <f>LOOKUP(N1435,Sheet2!$V$4:$W$7)</f>
        <v>0.4 - 0.69</v>
      </c>
      <c r="P1435" s="1">
        <v>25</v>
      </c>
      <c r="Q1435" t="str">
        <f>LOOKUP(P1435,Sheet2!$Z$4:$AA$7)</f>
        <v>&lt;=25</v>
      </c>
      <c r="R1435" s="1">
        <v>0</v>
      </c>
      <c r="S1435" t="str">
        <f>IF(R1435=1,"Positive","Negative")</f>
        <v>Negative</v>
      </c>
      <c r="T1435" s="1" t="str">
        <f>IFERROR(VLOOKUP(A1435,[1]diabetes_Recognition!$A:$B,2,FALSE),"Not Sampled")</f>
        <v>Not Sampled</v>
      </c>
      <c r="U1435" t="str">
        <f>IF(T1435=1,"Positive",(IF(T1435=0,"Negative","Not Sampled")))</f>
        <v>Not Sampled</v>
      </c>
      <c r="V1435" s="1" t="str">
        <f>IF(U1435="Not Sampled","Not Sampled",IF(S1435=U1435,"Accurate Prediction","Inaccurate Prediction"))</f>
        <v>Not Sampled</v>
      </c>
    </row>
    <row r="1436" spans="1:22" x14ac:dyDescent="0.25">
      <c r="A1436" s="1">
        <v>1434</v>
      </c>
      <c r="B1436" s="1">
        <v>7</v>
      </c>
      <c r="C1436" s="1" t="str">
        <f>LOOKUP(B1436,Sheet2!$D$4:$E$9)</f>
        <v>5-7</v>
      </c>
      <c r="D1436" s="1">
        <v>106</v>
      </c>
      <c r="E1436" t="str">
        <f>LOOKUP(D1436,Sheet2!$G$4:$H$9)</f>
        <v>100-125</v>
      </c>
      <c r="F1436" s="1">
        <v>60</v>
      </c>
      <c r="G1436" t="str">
        <f>LOOKUP(F1436,Sheet2!$J$4:$K$8)</f>
        <v>60-69</v>
      </c>
      <c r="H1436" s="1">
        <v>24</v>
      </c>
      <c r="I1436" t="str">
        <f>LOOKUP(H1436,Sheet2!$M$4:$N$8)</f>
        <v>10-30</v>
      </c>
      <c r="J1436" s="1">
        <v>0</v>
      </c>
      <c r="K1436" t="str">
        <f>LOOKUP(J1436,Sheet2!$P$4:$Q$9)</f>
        <v>Unknown</v>
      </c>
      <c r="L1436" s="1">
        <v>26.5</v>
      </c>
      <c r="M1436" t="str">
        <f>LOOKUP(L1436,Sheet2!$S$4:$T$8)</f>
        <v>26-30</v>
      </c>
      <c r="N1436" s="1">
        <v>0.29599999999999999</v>
      </c>
      <c r="O1436" t="str">
        <f>LOOKUP(N1436,Sheet2!$V$4:$W$7)</f>
        <v>0.25 - 0.39</v>
      </c>
      <c r="P1436" s="1">
        <v>29</v>
      </c>
      <c r="Q1436" t="str">
        <f>LOOKUP(P1436,Sheet2!$Z$4:$AA$7)</f>
        <v>26-35</v>
      </c>
      <c r="R1436" s="1">
        <v>1</v>
      </c>
      <c r="S1436" t="str">
        <f>IF(R1436=1,"Positive","Negative")</f>
        <v>Positive</v>
      </c>
      <c r="T1436" s="1" t="str">
        <f>IFERROR(VLOOKUP(A1436,[1]diabetes_Recognition!$A:$B,2,FALSE),"Not Sampled")</f>
        <v>Not Sampled</v>
      </c>
      <c r="U1436" t="str">
        <f>IF(T1436=1,"Positive",(IF(T1436=0,"Negative","Not Sampled")))</f>
        <v>Not Sampled</v>
      </c>
      <c r="V1436" s="1" t="str">
        <f>IF(U1436="Not Sampled","Not Sampled",IF(S1436=U1436,"Accurate Prediction","Inaccurate Prediction"))</f>
        <v>Not Sampled</v>
      </c>
    </row>
    <row r="1437" spans="1:22" x14ac:dyDescent="0.25">
      <c r="A1437" s="1">
        <v>1435</v>
      </c>
      <c r="B1437" s="1">
        <v>0</v>
      </c>
      <c r="C1437" s="1">
        <f>LOOKUP(B1437,Sheet2!$D$4:$E$9)</f>
        <v>0</v>
      </c>
      <c r="D1437" s="1">
        <v>104</v>
      </c>
      <c r="E1437" t="str">
        <f>LOOKUP(D1437,Sheet2!$G$4:$H$9)</f>
        <v>100-125</v>
      </c>
      <c r="F1437" s="1">
        <v>64</v>
      </c>
      <c r="G1437" t="str">
        <f>LOOKUP(F1437,Sheet2!$J$4:$K$8)</f>
        <v>60-69</v>
      </c>
      <c r="H1437" s="1">
        <v>23</v>
      </c>
      <c r="I1437" t="str">
        <f>LOOKUP(H1437,Sheet2!$M$4:$N$8)</f>
        <v>10-30</v>
      </c>
      <c r="J1437" s="1">
        <v>116</v>
      </c>
      <c r="K1437" t="str">
        <f>LOOKUP(J1437,Sheet2!$P$4:$Q$9)</f>
        <v>100-199</v>
      </c>
      <c r="L1437" s="1">
        <v>27.8</v>
      </c>
      <c r="M1437" t="str">
        <f>LOOKUP(L1437,Sheet2!$S$4:$T$8)</f>
        <v>26-30</v>
      </c>
      <c r="N1437" s="1">
        <v>0.45400000000000001</v>
      </c>
      <c r="O1437" t="str">
        <f>LOOKUP(N1437,Sheet2!$V$4:$W$7)</f>
        <v>0.4 - 0.69</v>
      </c>
      <c r="P1437" s="1">
        <v>23</v>
      </c>
      <c r="Q1437" t="str">
        <f>LOOKUP(P1437,Sheet2!$Z$4:$AA$7)</f>
        <v>&lt;=25</v>
      </c>
      <c r="R1437" s="1">
        <v>0</v>
      </c>
      <c r="S1437" t="str">
        <f>IF(R1437=1,"Positive","Negative")</f>
        <v>Negative</v>
      </c>
      <c r="T1437" s="1" t="str">
        <f>IFERROR(VLOOKUP(A1437,[1]diabetes_Recognition!$A:$B,2,FALSE),"Not Sampled")</f>
        <v>Not Sampled</v>
      </c>
      <c r="U1437" t="str">
        <f>IF(T1437=1,"Positive",(IF(T1437=0,"Negative","Not Sampled")))</f>
        <v>Not Sampled</v>
      </c>
      <c r="V1437" s="1" t="str">
        <f>IF(U1437="Not Sampled","Not Sampled",IF(S1437=U1437,"Accurate Prediction","Inaccurate Prediction"))</f>
        <v>Not Sampled</v>
      </c>
    </row>
    <row r="1438" spans="1:22" x14ac:dyDescent="0.25">
      <c r="A1438" s="1">
        <v>1436</v>
      </c>
      <c r="B1438" s="1">
        <v>5</v>
      </c>
      <c r="C1438" s="1" t="str">
        <f>LOOKUP(B1438,Sheet2!$D$4:$E$9)</f>
        <v>5-7</v>
      </c>
      <c r="D1438" s="1">
        <v>114</v>
      </c>
      <c r="E1438" t="str">
        <f>LOOKUP(D1438,Sheet2!$G$4:$H$9)</f>
        <v>100-125</v>
      </c>
      <c r="F1438" s="1">
        <v>74</v>
      </c>
      <c r="G1438" t="str">
        <f>LOOKUP(F1438,Sheet2!$J$4:$K$8)</f>
        <v>70-79</v>
      </c>
      <c r="H1438" s="1">
        <v>0</v>
      </c>
      <c r="I1438" t="str">
        <f>LOOKUP(H1438,Sheet2!$M$4:$N$8)</f>
        <v>Unknown</v>
      </c>
      <c r="J1438" s="1">
        <v>0</v>
      </c>
      <c r="K1438" t="str">
        <f>LOOKUP(J1438,Sheet2!$P$4:$Q$9)</f>
        <v>Unknown</v>
      </c>
      <c r="L1438" s="1">
        <v>24.9</v>
      </c>
      <c r="M1438" t="str">
        <f>LOOKUP(L1438,Sheet2!$S$4:$T$8)</f>
        <v>1-25</v>
      </c>
      <c r="N1438" s="1">
        <v>0.74399999999999999</v>
      </c>
      <c r="O1438" t="str">
        <f>LOOKUP(N1438,Sheet2!$V$4:$W$7)</f>
        <v>0.7+</v>
      </c>
      <c r="P1438" s="1">
        <v>57</v>
      </c>
      <c r="Q1438" t="str">
        <f>LOOKUP(P1438,Sheet2!$Z$4:$AA$7)</f>
        <v>46+</v>
      </c>
      <c r="R1438" s="1">
        <v>0</v>
      </c>
      <c r="S1438" t="str">
        <f>IF(R1438=1,"Positive","Negative")</f>
        <v>Negative</v>
      </c>
      <c r="T1438" s="1" t="str">
        <f>IFERROR(VLOOKUP(A1438,[1]diabetes_Recognition!$A:$B,2,FALSE),"Not Sampled")</f>
        <v>Not Sampled</v>
      </c>
      <c r="U1438" t="str">
        <f>IF(T1438=1,"Positive",(IF(T1438=0,"Negative","Not Sampled")))</f>
        <v>Not Sampled</v>
      </c>
      <c r="V1438" s="1" t="str">
        <f>IF(U1438="Not Sampled","Not Sampled",IF(S1438=U1438,"Accurate Prediction","Inaccurate Prediction"))</f>
        <v>Not Sampled</v>
      </c>
    </row>
    <row r="1439" spans="1:22" x14ac:dyDescent="0.25">
      <c r="A1439" s="1">
        <v>1437</v>
      </c>
      <c r="B1439" s="1">
        <v>2</v>
      </c>
      <c r="C1439" s="1">
        <f>LOOKUP(B1439,Sheet2!$D$4:$E$9)</f>
        <v>2</v>
      </c>
      <c r="D1439" s="1">
        <v>108</v>
      </c>
      <c r="E1439" t="str">
        <f>LOOKUP(D1439,Sheet2!$G$4:$H$9)</f>
        <v>100-125</v>
      </c>
      <c r="F1439" s="1">
        <v>62</v>
      </c>
      <c r="G1439" t="str">
        <f>LOOKUP(F1439,Sheet2!$J$4:$K$8)</f>
        <v>60-69</v>
      </c>
      <c r="H1439" s="1">
        <v>10</v>
      </c>
      <c r="I1439" t="str">
        <f>LOOKUP(H1439,Sheet2!$M$4:$N$8)</f>
        <v>10-30</v>
      </c>
      <c r="J1439" s="1">
        <v>278</v>
      </c>
      <c r="K1439" t="str">
        <f>LOOKUP(J1439,Sheet2!$P$4:$Q$9)</f>
        <v>200-399</v>
      </c>
      <c r="L1439" s="1">
        <v>25.3</v>
      </c>
      <c r="M1439" t="str">
        <f>LOOKUP(L1439,Sheet2!$S$4:$T$8)</f>
        <v>1-25</v>
      </c>
      <c r="N1439" s="1">
        <v>0.88100000000000001</v>
      </c>
      <c r="O1439" t="str">
        <f>LOOKUP(N1439,Sheet2!$V$4:$W$7)</f>
        <v>0.7+</v>
      </c>
      <c r="P1439" s="1">
        <v>22</v>
      </c>
      <c r="Q1439" t="str">
        <f>LOOKUP(P1439,Sheet2!$Z$4:$AA$7)</f>
        <v>&lt;=25</v>
      </c>
      <c r="R1439" s="1">
        <v>0</v>
      </c>
      <c r="S1439" t="str">
        <f>IF(R1439=1,"Positive","Negative")</f>
        <v>Negative</v>
      </c>
      <c r="T1439" s="1">
        <f>IFERROR(VLOOKUP(A1439,[1]diabetes_Recognition!$A:$B,2,FALSE),"Not Sampled")</f>
        <v>0</v>
      </c>
      <c r="U1439" t="str">
        <f>IF(T1439=1,"Positive",(IF(T1439=0,"Negative","Not Sampled")))</f>
        <v>Negative</v>
      </c>
      <c r="V1439" s="1" t="str">
        <f>IF(U1439="Not Sampled","Not Sampled",IF(S1439=U1439,"Accurate Prediction","Inaccurate Prediction"))</f>
        <v>Accurate Prediction</v>
      </c>
    </row>
    <row r="1440" spans="1:22" x14ac:dyDescent="0.25">
      <c r="A1440" s="1">
        <v>1438</v>
      </c>
      <c r="B1440" s="1">
        <v>0</v>
      </c>
      <c r="C1440" s="1">
        <f>LOOKUP(B1440,Sheet2!$D$4:$E$9)</f>
        <v>0</v>
      </c>
      <c r="D1440" s="1">
        <v>146</v>
      </c>
      <c r="E1440" t="str">
        <f>LOOKUP(D1440,Sheet2!$G$4:$H$9)</f>
        <v>126-150</v>
      </c>
      <c r="F1440" s="1">
        <v>70</v>
      </c>
      <c r="G1440" t="str">
        <f>LOOKUP(F1440,Sheet2!$J$4:$K$8)</f>
        <v>70-79</v>
      </c>
      <c r="H1440" s="1">
        <v>0</v>
      </c>
      <c r="I1440" t="str">
        <f>LOOKUP(H1440,Sheet2!$M$4:$N$8)</f>
        <v>Unknown</v>
      </c>
      <c r="J1440" s="1">
        <v>0</v>
      </c>
      <c r="K1440" t="str">
        <f>LOOKUP(J1440,Sheet2!$P$4:$Q$9)</f>
        <v>Unknown</v>
      </c>
      <c r="L1440" s="1">
        <v>37.9</v>
      </c>
      <c r="M1440" t="str">
        <f>LOOKUP(L1440,Sheet2!$S$4:$T$8)</f>
        <v>36+</v>
      </c>
      <c r="N1440" s="1">
        <v>0.33400000000000002</v>
      </c>
      <c r="O1440" t="str">
        <f>LOOKUP(N1440,Sheet2!$V$4:$W$7)</f>
        <v>0.25 - 0.39</v>
      </c>
      <c r="P1440" s="1">
        <v>28</v>
      </c>
      <c r="Q1440" t="str">
        <f>LOOKUP(P1440,Sheet2!$Z$4:$AA$7)</f>
        <v>26-35</v>
      </c>
      <c r="R1440" s="1">
        <v>1</v>
      </c>
      <c r="S1440" t="str">
        <f>IF(R1440=1,"Positive","Negative")</f>
        <v>Positive</v>
      </c>
      <c r="T1440" s="1" t="str">
        <f>IFERROR(VLOOKUP(A1440,[1]diabetes_Recognition!$A:$B,2,FALSE),"Not Sampled")</f>
        <v>Not Sampled</v>
      </c>
      <c r="U1440" t="str">
        <f>IF(T1440=1,"Positive",(IF(T1440=0,"Negative","Not Sampled")))</f>
        <v>Not Sampled</v>
      </c>
      <c r="V1440" s="1" t="str">
        <f>IF(U1440="Not Sampled","Not Sampled",IF(S1440=U1440,"Accurate Prediction","Inaccurate Prediction"))</f>
        <v>Not Sampled</v>
      </c>
    </row>
    <row r="1441" spans="1:22" x14ac:dyDescent="0.25">
      <c r="A1441" s="1">
        <v>1439</v>
      </c>
      <c r="B1441" s="1">
        <v>10</v>
      </c>
      <c r="C1441" s="1" t="str">
        <f>LOOKUP(B1441,Sheet2!$D$4:$E$9)</f>
        <v>8+</v>
      </c>
      <c r="D1441" s="1">
        <v>129</v>
      </c>
      <c r="E1441" t="str">
        <f>LOOKUP(D1441,Sheet2!$G$4:$H$9)</f>
        <v>126-150</v>
      </c>
      <c r="F1441" s="1">
        <v>76</v>
      </c>
      <c r="G1441" t="str">
        <f>LOOKUP(F1441,Sheet2!$J$4:$K$8)</f>
        <v>70-79</v>
      </c>
      <c r="H1441" s="1">
        <v>28</v>
      </c>
      <c r="I1441" t="str">
        <f>LOOKUP(H1441,Sheet2!$M$4:$N$8)</f>
        <v>10-30</v>
      </c>
      <c r="J1441" s="1">
        <v>122</v>
      </c>
      <c r="K1441" t="str">
        <f>LOOKUP(J1441,Sheet2!$P$4:$Q$9)</f>
        <v>100-199</v>
      </c>
      <c r="L1441" s="1">
        <v>35.9</v>
      </c>
      <c r="M1441" t="str">
        <f>LOOKUP(L1441,Sheet2!$S$4:$T$8)</f>
        <v>31-35</v>
      </c>
      <c r="N1441" s="1">
        <v>0.28000000000000003</v>
      </c>
      <c r="O1441" t="str">
        <f>LOOKUP(N1441,Sheet2!$V$4:$W$7)</f>
        <v>0.25 - 0.39</v>
      </c>
      <c r="P1441" s="1">
        <v>39</v>
      </c>
      <c r="Q1441" t="str">
        <f>LOOKUP(P1441,Sheet2!$Z$4:$AA$7)</f>
        <v>36-45</v>
      </c>
      <c r="R1441" s="1">
        <v>0</v>
      </c>
      <c r="S1441" t="str">
        <f>IF(R1441=1,"Positive","Negative")</f>
        <v>Negative</v>
      </c>
      <c r="T1441" s="1" t="str">
        <f>IFERROR(VLOOKUP(A1441,[1]diabetes_Recognition!$A:$B,2,FALSE),"Not Sampled")</f>
        <v>Not Sampled</v>
      </c>
      <c r="U1441" t="str">
        <f>IF(T1441=1,"Positive",(IF(T1441=0,"Negative","Not Sampled")))</f>
        <v>Not Sampled</v>
      </c>
      <c r="V1441" s="1" t="str">
        <f>IF(U1441="Not Sampled","Not Sampled",IF(S1441=U1441,"Accurate Prediction","Inaccurate Prediction"))</f>
        <v>Not Sampled</v>
      </c>
    </row>
    <row r="1442" spans="1:22" x14ac:dyDescent="0.25">
      <c r="A1442" s="1">
        <v>1440</v>
      </c>
      <c r="B1442" s="1">
        <v>7</v>
      </c>
      <c r="C1442" s="1" t="str">
        <f>LOOKUP(B1442,Sheet2!$D$4:$E$9)</f>
        <v>5-7</v>
      </c>
      <c r="D1442" s="1">
        <v>133</v>
      </c>
      <c r="E1442" t="str">
        <f>LOOKUP(D1442,Sheet2!$G$4:$H$9)</f>
        <v>126-150</v>
      </c>
      <c r="F1442" s="1">
        <v>88</v>
      </c>
      <c r="G1442" t="str">
        <f>LOOKUP(F1442,Sheet2!$J$4:$K$8)</f>
        <v>80+</v>
      </c>
      <c r="H1442" s="1">
        <v>15</v>
      </c>
      <c r="I1442" t="str">
        <f>LOOKUP(H1442,Sheet2!$M$4:$N$8)</f>
        <v>10-30</v>
      </c>
      <c r="J1442" s="1">
        <v>155</v>
      </c>
      <c r="K1442" t="str">
        <f>LOOKUP(J1442,Sheet2!$P$4:$Q$9)</f>
        <v>100-199</v>
      </c>
      <c r="L1442" s="1">
        <v>32.4</v>
      </c>
      <c r="M1442" t="str">
        <f>LOOKUP(L1442,Sheet2!$S$4:$T$8)</f>
        <v>31-35</v>
      </c>
      <c r="N1442" s="1">
        <v>0.26200000000000001</v>
      </c>
      <c r="O1442" t="str">
        <f>LOOKUP(N1442,Sheet2!$V$4:$W$7)</f>
        <v>0.25 - 0.39</v>
      </c>
      <c r="P1442" s="1">
        <v>37</v>
      </c>
      <c r="Q1442" t="str">
        <f>LOOKUP(P1442,Sheet2!$Z$4:$AA$7)</f>
        <v>36-45</v>
      </c>
      <c r="R1442" s="1">
        <v>0</v>
      </c>
      <c r="S1442" t="str">
        <f>IF(R1442=1,"Positive","Negative")</f>
        <v>Negative</v>
      </c>
      <c r="T1442" s="1">
        <f>IFERROR(VLOOKUP(A1442,[1]diabetes_Recognition!$A:$B,2,FALSE),"Not Sampled")</f>
        <v>0</v>
      </c>
      <c r="U1442" t="str">
        <f>IF(T1442=1,"Positive",(IF(T1442=0,"Negative","Not Sampled")))</f>
        <v>Negative</v>
      </c>
      <c r="V1442" s="1" t="str">
        <f>IF(U1442="Not Sampled","Not Sampled",IF(S1442=U1442,"Accurate Prediction","Inaccurate Prediction"))</f>
        <v>Accurate Prediction</v>
      </c>
    </row>
    <row r="1443" spans="1:22" x14ac:dyDescent="0.25">
      <c r="A1443" s="1">
        <v>1441</v>
      </c>
      <c r="B1443" s="1">
        <v>7</v>
      </c>
      <c r="C1443" s="1" t="str">
        <f>LOOKUP(B1443,Sheet2!$D$4:$E$9)</f>
        <v>5-7</v>
      </c>
      <c r="D1443" s="1">
        <v>161</v>
      </c>
      <c r="E1443" t="str">
        <f>LOOKUP(D1443,Sheet2!$G$4:$H$9)</f>
        <v>151-175</v>
      </c>
      <c r="F1443" s="1">
        <v>86</v>
      </c>
      <c r="G1443" t="str">
        <f>LOOKUP(F1443,Sheet2!$J$4:$K$8)</f>
        <v>80+</v>
      </c>
      <c r="H1443" s="1">
        <v>0</v>
      </c>
      <c r="I1443" t="str">
        <f>LOOKUP(H1443,Sheet2!$M$4:$N$8)</f>
        <v>Unknown</v>
      </c>
      <c r="J1443" s="1">
        <v>0</v>
      </c>
      <c r="K1443" t="str">
        <f>LOOKUP(J1443,Sheet2!$P$4:$Q$9)</f>
        <v>Unknown</v>
      </c>
      <c r="L1443" s="1">
        <v>30.4</v>
      </c>
      <c r="M1443" t="str">
        <f>LOOKUP(L1443,Sheet2!$S$4:$T$8)</f>
        <v>26-30</v>
      </c>
      <c r="N1443" s="1">
        <v>0.16500000000000001</v>
      </c>
      <c r="O1443" t="str">
        <f>LOOKUP(N1443,Sheet2!$V$4:$W$7)</f>
        <v>0.0 - 0.249</v>
      </c>
      <c r="P1443" s="1">
        <v>47</v>
      </c>
      <c r="Q1443" t="str">
        <f>LOOKUP(P1443,Sheet2!$Z$4:$AA$7)</f>
        <v>46+</v>
      </c>
      <c r="R1443" s="1">
        <v>1</v>
      </c>
      <c r="S1443" t="str">
        <f>IF(R1443=1,"Positive","Negative")</f>
        <v>Positive</v>
      </c>
      <c r="T1443" s="1">
        <f>IFERROR(VLOOKUP(A1443,[1]diabetes_Recognition!$A:$B,2,FALSE),"Not Sampled")</f>
        <v>1</v>
      </c>
      <c r="U1443" t="str">
        <f>IF(T1443=1,"Positive",(IF(T1443=0,"Negative","Not Sampled")))</f>
        <v>Positive</v>
      </c>
      <c r="V1443" s="1" t="str">
        <f>IF(U1443="Not Sampled","Not Sampled",IF(S1443=U1443,"Accurate Prediction","Inaccurate Prediction"))</f>
        <v>Accurate Prediction</v>
      </c>
    </row>
    <row r="1444" spans="1:22" x14ac:dyDescent="0.25">
      <c r="A1444" s="1">
        <v>1442</v>
      </c>
      <c r="B1444" s="1">
        <v>2</v>
      </c>
      <c r="C1444" s="1">
        <f>LOOKUP(B1444,Sheet2!$D$4:$E$9)</f>
        <v>2</v>
      </c>
      <c r="D1444" s="1">
        <v>108</v>
      </c>
      <c r="E1444" t="str">
        <f>LOOKUP(D1444,Sheet2!$G$4:$H$9)</f>
        <v>100-125</v>
      </c>
      <c r="F1444" s="1">
        <v>80</v>
      </c>
      <c r="G1444" t="str">
        <f>LOOKUP(F1444,Sheet2!$J$4:$K$8)</f>
        <v>80+</v>
      </c>
      <c r="H1444" s="1">
        <v>0</v>
      </c>
      <c r="I1444" t="str">
        <f>LOOKUP(H1444,Sheet2!$M$4:$N$8)</f>
        <v>Unknown</v>
      </c>
      <c r="J1444" s="1">
        <v>0</v>
      </c>
      <c r="K1444" t="str">
        <f>LOOKUP(J1444,Sheet2!$P$4:$Q$9)</f>
        <v>Unknown</v>
      </c>
      <c r="L1444" s="1">
        <v>27</v>
      </c>
      <c r="M1444" t="str">
        <f>LOOKUP(L1444,Sheet2!$S$4:$T$8)</f>
        <v>26-30</v>
      </c>
      <c r="N1444" s="1">
        <v>0.25900000000000001</v>
      </c>
      <c r="O1444" t="str">
        <f>LOOKUP(N1444,Sheet2!$V$4:$W$7)</f>
        <v>0.25 - 0.39</v>
      </c>
      <c r="P1444" s="1">
        <v>52</v>
      </c>
      <c r="Q1444" t="str">
        <f>LOOKUP(P1444,Sheet2!$Z$4:$AA$7)</f>
        <v>46+</v>
      </c>
      <c r="R1444" s="1">
        <v>1</v>
      </c>
      <c r="S1444" t="str">
        <f>IF(R1444=1,"Positive","Negative")</f>
        <v>Positive</v>
      </c>
      <c r="T1444" s="1" t="str">
        <f>IFERROR(VLOOKUP(A1444,[1]diabetes_Recognition!$A:$B,2,FALSE),"Not Sampled")</f>
        <v>Not Sampled</v>
      </c>
      <c r="U1444" t="str">
        <f>IF(T1444=1,"Positive",(IF(T1444=0,"Negative","Not Sampled")))</f>
        <v>Not Sampled</v>
      </c>
      <c r="V1444" s="1" t="str">
        <f>IF(U1444="Not Sampled","Not Sampled",IF(S1444=U1444,"Accurate Prediction","Inaccurate Prediction"))</f>
        <v>Not Sampled</v>
      </c>
    </row>
    <row r="1445" spans="1:22" x14ac:dyDescent="0.25">
      <c r="A1445" s="1">
        <v>1443</v>
      </c>
      <c r="B1445" s="1">
        <v>7</v>
      </c>
      <c r="C1445" s="1" t="str">
        <f>LOOKUP(B1445,Sheet2!$D$4:$E$9)</f>
        <v>5-7</v>
      </c>
      <c r="D1445" s="1">
        <v>136</v>
      </c>
      <c r="E1445" t="str">
        <f>LOOKUP(D1445,Sheet2!$G$4:$H$9)</f>
        <v>126-150</v>
      </c>
      <c r="F1445" s="1">
        <v>74</v>
      </c>
      <c r="G1445" t="str">
        <f>LOOKUP(F1445,Sheet2!$J$4:$K$8)</f>
        <v>70-79</v>
      </c>
      <c r="H1445" s="1">
        <v>26</v>
      </c>
      <c r="I1445" t="str">
        <f>LOOKUP(H1445,Sheet2!$M$4:$N$8)</f>
        <v>10-30</v>
      </c>
      <c r="J1445" s="1">
        <v>135</v>
      </c>
      <c r="K1445" t="str">
        <f>LOOKUP(J1445,Sheet2!$P$4:$Q$9)</f>
        <v>100-199</v>
      </c>
      <c r="L1445" s="1">
        <v>26</v>
      </c>
      <c r="M1445" t="str">
        <f>LOOKUP(L1445,Sheet2!$S$4:$T$8)</f>
        <v>26-30</v>
      </c>
      <c r="N1445" s="1">
        <v>0.64700000000000002</v>
      </c>
      <c r="O1445" t="str">
        <f>LOOKUP(N1445,Sheet2!$V$4:$W$7)</f>
        <v>0.4 - 0.69</v>
      </c>
      <c r="P1445" s="1">
        <v>51</v>
      </c>
      <c r="Q1445" t="str">
        <f>LOOKUP(P1445,Sheet2!$Z$4:$AA$7)</f>
        <v>46+</v>
      </c>
      <c r="R1445" s="1">
        <v>0</v>
      </c>
      <c r="S1445" t="str">
        <f>IF(R1445=1,"Positive","Negative")</f>
        <v>Negative</v>
      </c>
      <c r="T1445" s="1">
        <f>IFERROR(VLOOKUP(A1445,[1]diabetes_Recognition!$A:$B,2,FALSE),"Not Sampled")</f>
        <v>0</v>
      </c>
      <c r="U1445" t="str">
        <f>IF(T1445=1,"Positive",(IF(T1445=0,"Negative","Not Sampled")))</f>
        <v>Negative</v>
      </c>
      <c r="V1445" s="1" t="str">
        <f>IF(U1445="Not Sampled","Not Sampled",IF(S1445=U1445,"Accurate Prediction","Inaccurate Prediction"))</f>
        <v>Accurate Prediction</v>
      </c>
    </row>
    <row r="1446" spans="1:22" x14ac:dyDescent="0.25">
      <c r="A1446" s="1">
        <v>1444</v>
      </c>
      <c r="B1446" s="1">
        <v>5</v>
      </c>
      <c r="C1446" s="1" t="str">
        <f>LOOKUP(B1446,Sheet2!$D$4:$E$9)</f>
        <v>5-7</v>
      </c>
      <c r="D1446" s="1">
        <v>155</v>
      </c>
      <c r="E1446" t="str">
        <f>LOOKUP(D1446,Sheet2!$G$4:$H$9)</f>
        <v>151-175</v>
      </c>
      <c r="F1446" s="1">
        <v>84</v>
      </c>
      <c r="G1446" t="str">
        <f>LOOKUP(F1446,Sheet2!$J$4:$K$8)</f>
        <v>80+</v>
      </c>
      <c r="H1446" s="1">
        <v>44</v>
      </c>
      <c r="I1446" t="str">
        <f>LOOKUP(H1446,Sheet2!$M$4:$N$8)</f>
        <v>40+</v>
      </c>
      <c r="J1446" s="1">
        <v>545</v>
      </c>
      <c r="K1446" t="str">
        <f>LOOKUP(J1446,Sheet2!$P$4:$Q$9)</f>
        <v>500+</v>
      </c>
      <c r="L1446" s="1">
        <v>38.700000000000003</v>
      </c>
      <c r="M1446" t="str">
        <f>LOOKUP(L1446,Sheet2!$S$4:$T$8)</f>
        <v>36+</v>
      </c>
      <c r="N1446" s="1">
        <v>0.61899999999999999</v>
      </c>
      <c r="O1446" t="str">
        <f>LOOKUP(N1446,Sheet2!$V$4:$W$7)</f>
        <v>0.4 - 0.69</v>
      </c>
      <c r="P1446" s="1">
        <v>34</v>
      </c>
      <c r="Q1446" t="str">
        <f>LOOKUP(P1446,Sheet2!$Z$4:$AA$7)</f>
        <v>26-35</v>
      </c>
      <c r="R1446" s="1">
        <v>0</v>
      </c>
      <c r="S1446" t="str">
        <f>IF(R1446=1,"Positive","Negative")</f>
        <v>Negative</v>
      </c>
      <c r="T1446" s="1" t="str">
        <f>IFERROR(VLOOKUP(A1446,[1]diabetes_Recognition!$A:$B,2,FALSE),"Not Sampled")</f>
        <v>Not Sampled</v>
      </c>
      <c r="U1446" t="str">
        <f>IF(T1446=1,"Positive",(IF(T1446=0,"Negative","Not Sampled")))</f>
        <v>Not Sampled</v>
      </c>
      <c r="V1446" s="1" t="str">
        <f>IF(U1446="Not Sampled","Not Sampled",IF(S1446=U1446,"Accurate Prediction","Inaccurate Prediction"))</f>
        <v>Not Sampled</v>
      </c>
    </row>
    <row r="1447" spans="1:22" x14ac:dyDescent="0.25">
      <c r="A1447" s="1">
        <v>1445</v>
      </c>
      <c r="B1447" s="1">
        <v>1</v>
      </c>
      <c r="C1447" s="1">
        <f>LOOKUP(B1447,Sheet2!$D$4:$E$9)</f>
        <v>1</v>
      </c>
      <c r="D1447" s="1">
        <v>119</v>
      </c>
      <c r="E1447" t="str">
        <f>LOOKUP(D1447,Sheet2!$G$4:$H$9)</f>
        <v>100-125</v>
      </c>
      <c r="F1447" s="1">
        <v>86</v>
      </c>
      <c r="G1447" t="str">
        <f>LOOKUP(F1447,Sheet2!$J$4:$K$8)</f>
        <v>80+</v>
      </c>
      <c r="H1447" s="1">
        <v>39</v>
      </c>
      <c r="I1447" t="str">
        <f>LOOKUP(H1447,Sheet2!$M$4:$N$8)</f>
        <v>30-39</v>
      </c>
      <c r="J1447" s="1">
        <v>220</v>
      </c>
      <c r="K1447" t="str">
        <f>LOOKUP(J1447,Sheet2!$P$4:$Q$9)</f>
        <v>200-399</v>
      </c>
      <c r="L1447" s="1">
        <v>45.6</v>
      </c>
      <c r="M1447" t="str">
        <f>LOOKUP(L1447,Sheet2!$S$4:$T$8)</f>
        <v>36+</v>
      </c>
      <c r="N1447" s="1">
        <v>0.80800000000000005</v>
      </c>
      <c r="O1447" t="str">
        <f>LOOKUP(N1447,Sheet2!$V$4:$W$7)</f>
        <v>0.7+</v>
      </c>
      <c r="P1447" s="1">
        <v>29</v>
      </c>
      <c r="Q1447" t="str">
        <f>LOOKUP(P1447,Sheet2!$Z$4:$AA$7)</f>
        <v>26-35</v>
      </c>
      <c r="R1447" s="1">
        <v>1</v>
      </c>
      <c r="S1447" t="str">
        <f>IF(R1447=1,"Positive","Negative")</f>
        <v>Positive</v>
      </c>
      <c r="T1447" s="1" t="str">
        <f>IFERROR(VLOOKUP(A1447,[1]diabetes_Recognition!$A:$B,2,FALSE),"Not Sampled")</f>
        <v>Not Sampled</v>
      </c>
      <c r="U1447" t="str">
        <f>IF(T1447=1,"Positive",(IF(T1447=0,"Negative","Not Sampled")))</f>
        <v>Not Sampled</v>
      </c>
      <c r="V1447" s="1" t="str">
        <f>IF(U1447="Not Sampled","Not Sampled",IF(S1447=U1447,"Accurate Prediction","Inaccurate Prediction"))</f>
        <v>Not Sampled</v>
      </c>
    </row>
    <row r="1448" spans="1:22" x14ac:dyDescent="0.25">
      <c r="A1448" s="1">
        <v>1446</v>
      </c>
      <c r="B1448" s="1">
        <v>4</v>
      </c>
      <c r="C1448" s="1" t="str">
        <f>LOOKUP(B1448,Sheet2!$D$4:$E$9)</f>
        <v>3-4</v>
      </c>
      <c r="D1448" s="1">
        <v>96</v>
      </c>
      <c r="E1448" t="str">
        <f>LOOKUP(D1448,Sheet2!$G$4:$H$9)</f>
        <v>1-99</v>
      </c>
      <c r="F1448" s="1">
        <v>56</v>
      </c>
      <c r="G1448" t="str">
        <f>LOOKUP(F1448,Sheet2!$J$4:$K$8)</f>
        <v>1-59</v>
      </c>
      <c r="H1448" s="1">
        <v>17</v>
      </c>
      <c r="I1448" t="str">
        <f>LOOKUP(H1448,Sheet2!$M$4:$N$8)</f>
        <v>10-30</v>
      </c>
      <c r="J1448" s="1">
        <v>49</v>
      </c>
      <c r="K1448" t="str">
        <f>LOOKUP(J1448,Sheet2!$P$4:$Q$9)</f>
        <v>1-99</v>
      </c>
      <c r="L1448" s="1">
        <v>20.8</v>
      </c>
      <c r="M1448" t="str">
        <f>LOOKUP(L1448,Sheet2!$S$4:$T$8)</f>
        <v>1-25</v>
      </c>
      <c r="N1448" s="1">
        <v>0.34</v>
      </c>
      <c r="O1448" t="str">
        <f>LOOKUP(N1448,Sheet2!$V$4:$W$7)</f>
        <v>0.25 - 0.39</v>
      </c>
      <c r="P1448" s="1">
        <v>26</v>
      </c>
      <c r="Q1448" t="str">
        <f>LOOKUP(P1448,Sheet2!$Z$4:$AA$7)</f>
        <v>26-35</v>
      </c>
      <c r="R1448" s="1">
        <v>0</v>
      </c>
      <c r="S1448" t="str">
        <f>IF(R1448=1,"Positive","Negative")</f>
        <v>Negative</v>
      </c>
      <c r="T1448" s="1" t="str">
        <f>IFERROR(VLOOKUP(A1448,[1]diabetes_Recognition!$A:$B,2,FALSE),"Not Sampled")</f>
        <v>Not Sampled</v>
      </c>
      <c r="U1448" t="str">
        <f>IF(T1448=1,"Positive",(IF(T1448=0,"Negative","Not Sampled")))</f>
        <v>Not Sampled</v>
      </c>
      <c r="V1448" s="1" t="str">
        <f>IF(U1448="Not Sampled","Not Sampled",IF(S1448=U1448,"Accurate Prediction","Inaccurate Prediction"))</f>
        <v>Not Sampled</v>
      </c>
    </row>
    <row r="1449" spans="1:22" x14ac:dyDescent="0.25">
      <c r="A1449" s="1">
        <v>1447</v>
      </c>
      <c r="B1449" s="1">
        <v>5</v>
      </c>
      <c r="C1449" s="1" t="str">
        <f>LOOKUP(B1449,Sheet2!$D$4:$E$9)</f>
        <v>5-7</v>
      </c>
      <c r="D1449" s="1">
        <v>108</v>
      </c>
      <c r="E1449" t="str">
        <f>LOOKUP(D1449,Sheet2!$G$4:$H$9)</f>
        <v>100-125</v>
      </c>
      <c r="F1449" s="1">
        <v>72</v>
      </c>
      <c r="G1449" t="str">
        <f>LOOKUP(F1449,Sheet2!$J$4:$K$8)</f>
        <v>70-79</v>
      </c>
      <c r="H1449" s="1">
        <v>43</v>
      </c>
      <c r="I1449" t="str">
        <f>LOOKUP(H1449,Sheet2!$M$4:$N$8)</f>
        <v>40+</v>
      </c>
      <c r="J1449" s="1">
        <v>75</v>
      </c>
      <c r="K1449" t="str">
        <f>LOOKUP(J1449,Sheet2!$P$4:$Q$9)</f>
        <v>1-99</v>
      </c>
      <c r="L1449" s="1">
        <v>36.1</v>
      </c>
      <c r="M1449" t="str">
        <f>LOOKUP(L1449,Sheet2!$S$4:$T$8)</f>
        <v>36+</v>
      </c>
      <c r="N1449" s="1">
        <v>0.26300000000000001</v>
      </c>
      <c r="O1449" t="str">
        <f>LOOKUP(N1449,Sheet2!$V$4:$W$7)</f>
        <v>0.25 - 0.39</v>
      </c>
      <c r="P1449" s="1">
        <v>33</v>
      </c>
      <c r="Q1449" t="str">
        <f>LOOKUP(P1449,Sheet2!$Z$4:$AA$7)</f>
        <v>26-35</v>
      </c>
      <c r="R1449" s="1">
        <v>0</v>
      </c>
      <c r="S1449" t="str">
        <f>IF(R1449=1,"Positive","Negative")</f>
        <v>Negative</v>
      </c>
      <c r="T1449" s="1">
        <f>IFERROR(VLOOKUP(A1449,[1]diabetes_Recognition!$A:$B,2,FALSE),"Not Sampled")</f>
        <v>0</v>
      </c>
      <c r="U1449" t="str">
        <f>IF(T1449=1,"Positive",(IF(T1449=0,"Negative","Not Sampled")))</f>
        <v>Negative</v>
      </c>
      <c r="V1449" s="1" t="str">
        <f>IF(U1449="Not Sampled","Not Sampled",IF(S1449=U1449,"Accurate Prediction","Inaccurate Prediction"))</f>
        <v>Accurate Prediction</v>
      </c>
    </row>
    <row r="1450" spans="1:22" x14ac:dyDescent="0.25">
      <c r="A1450" s="1">
        <v>1448</v>
      </c>
      <c r="B1450" s="1">
        <v>0</v>
      </c>
      <c r="C1450" s="1">
        <f>LOOKUP(B1450,Sheet2!$D$4:$E$9)</f>
        <v>0</v>
      </c>
      <c r="D1450" s="1">
        <v>78</v>
      </c>
      <c r="E1450" t="str">
        <f>LOOKUP(D1450,Sheet2!$G$4:$H$9)</f>
        <v>1-99</v>
      </c>
      <c r="F1450" s="1">
        <v>88</v>
      </c>
      <c r="G1450" t="str">
        <f>LOOKUP(F1450,Sheet2!$J$4:$K$8)</f>
        <v>80+</v>
      </c>
      <c r="H1450" s="1">
        <v>29</v>
      </c>
      <c r="I1450" t="str">
        <f>LOOKUP(H1450,Sheet2!$M$4:$N$8)</f>
        <v>10-30</v>
      </c>
      <c r="J1450" s="1">
        <v>40</v>
      </c>
      <c r="K1450" t="str">
        <f>LOOKUP(J1450,Sheet2!$P$4:$Q$9)</f>
        <v>1-99</v>
      </c>
      <c r="L1450" s="1">
        <v>36.9</v>
      </c>
      <c r="M1450" t="str">
        <f>LOOKUP(L1450,Sheet2!$S$4:$T$8)</f>
        <v>36+</v>
      </c>
      <c r="N1450" s="1">
        <v>0.434</v>
      </c>
      <c r="O1450" t="str">
        <f>LOOKUP(N1450,Sheet2!$V$4:$W$7)</f>
        <v>0.4 - 0.69</v>
      </c>
      <c r="P1450" s="1">
        <v>21</v>
      </c>
      <c r="Q1450" t="str">
        <f>LOOKUP(P1450,Sheet2!$Z$4:$AA$7)</f>
        <v>&lt;=25</v>
      </c>
      <c r="R1450" s="1">
        <v>0</v>
      </c>
      <c r="S1450" t="str">
        <f>IF(R1450=1,"Positive","Negative")</f>
        <v>Negative</v>
      </c>
      <c r="T1450" s="1" t="str">
        <f>IFERROR(VLOOKUP(A1450,[1]diabetes_Recognition!$A:$B,2,FALSE),"Not Sampled")</f>
        <v>Not Sampled</v>
      </c>
      <c r="U1450" t="str">
        <f>IF(T1450=1,"Positive",(IF(T1450=0,"Negative","Not Sampled")))</f>
        <v>Not Sampled</v>
      </c>
      <c r="V1450" s="1" t="str">
        <f>IF(U1450="Not Sampled","Not Sampled",IF(S1450=U1450,"Accurate Prediction","Inaccurate Prediction"))</f>
        <v>Not Sampled</v>
      </c>
    </row>
    <row r="1451" spans="1:22" x14ac:dyDescent="0.25">
      <c r="A1451" s="1">
        <v>1449</v>
      </c>
      <c r="B1451" s="1">
        <v>0</v>
      </c>
      <c r="C1451" s="1">
        <f>LOOKUP(B1451,Sheet2!$D$4:$E$9)</f>
        <v>0</v>
      </c>
      <c r="D1451" s="1">
        <v>107</v>
      </c>
      <c r="E1451" t="str">
        <f>LOOKUP(D1451,Sheet2!$G$4:$H$9)</f>
        <v>100-125</v>
      </c>
      <c r="F1451" s="1">
        <v>62</v>
      </c>
      <c r="G1451" t="str">
        <f>LOOKUP(F1451,Sheet2!$J$4:$K$8)</f>
        <v>60-69</v>
      </c>
      <c r="H1451" s="1">
        <v>30</v>
      </c>
      <c r="I1451" t="str">
        <f>LOOKUP(H1451,Sheet2!$M$4:$N$8)</f>
        <v>30-39</v>
      </c>
      <c r="J1451" s="1">
        <v>74</v>
      </c>
      <c r="K1451" t="str">
        <f>LOOKUP(J1451,Sheet2!$P$4:$Q$9)</f>
        <v>1-99</v>
      </c>
      <c r="L1451" s="1">
        <v>36.6</v>
      </c>
      <c r="M1451" t="str">
        <f>LOOKUP(L1451,Sheet2!$S$4:$T$8)</f>
        <v>36+</v>
      </c>
      <c r="N1451" s="1">
        <v>0.75700000000000001</v>
      </c>
      <c r="O1451" t="str">
        <f>LOOKUP(N1451,Sheet2!$V$4:$W$7)</f>
        <v>0.7+</v>
      </c>
      <c r="P1451" s="1">
        <v>25</v>
      </c>
      <c r="Q1451" t="str">
        <f>LOOKUP(P1451,Sheet2!$Z$4:$AA$7)</f>
        <v>&lt;=25</v>
      </c>
      <c r="R1451" s="1">
        <v>1</v>
      </c>
      <c r="S1451" t="str">
        <f>IF(R1451=1,"Positive","Negative")</f>
        <v>Positive</v>
      </c>
      <c r="T1451" s="1" t="str">
        <f>IFERROR(VLOOKUP(A1451,[1]diabetes_Recognition!$A:$B,2,FALSE),"Not Sampled")</f>
        <v>Not Sampled</v>
      </c>
      <c r="U1451" t="str">
        <f>IF(T1451=1,"Positive",(IF(T1451=0,"Negative","Not Sampled")))</f>
        <v>Not Sampled</v>
      </c>
      <c r="V1451" s="1" t="str">
        <f>IF(U1451="Not Sampled","Not Sampled",IF(S1451=U1451,"Accurate Prediction","Inaccurate Prediction"))</f>
        <v>Not Sampled</v>
      </c>
    </row>
    <row r="1452" spans="1:22" x14ac:dyDescent="0.25">
      <c r="A1452" s="1">
        <v>1450</v>
      </c>
      <c r="B1452" s="1">
        <v>2</v>
      </c>
      <c r="C1452" s="1">
        <f>LOOKUP(B1452,Sheet2!$D$4:$E$9)</f>
        <v>2</v>
      </c>
      <c r="D1452" s="1">
        <v>128</v>
      </c>
      <c r="E1452" t="str">
        <f>LOOKUP(D1452,Sheet2!$G$4:$H$9)</f>
        <v>126-150</v>
      </c>
      <c r="F1452" s="1">
        <v>78</v>
      </c>
      <c r="G1452" t="str">
        <f>LOOKUP(F1452,Sheet2!$J$4:$K$8)</f>
        <v>70-79</v>
      </c>
      <c r="H1452" s="1">
        <v>37</v>
      </c>
      <c r="I1452" t="str">
        <f>LOOKUP(H1452,Sheet2!$M$4:$N$8)</f>
        <v>30-39</v>
      </c>
      <c r="J1452" s="1">
        <v>182</v>
      </c>
      <c r="K1452" t="str">
        <f>LOOKUP(J1452,Sheet2!$P$4:$Q$9)</f>
        <v>100-199</v>
      </c>
      <c r="L1452" s="1">
        <v>43.3</v>
      </c>
      <c r="M1452" t="str">
        <f>LOOKUP(L1452,Sheet2!$S$4:$T$8)</f>
        <v>36+</v>
      </c>
      <c r="N1452" s="1">
        <v>1.224</v>
      </c>
      <c r="O1452" t="str">
        <f>LOOKUP(N1452,Sheet2!$V$4:$W$7)</f>
        <v>0.7+</v>
      </c>
      <c r="P1452" s="1">
        <v>31</v>
      </c>
      <c r="Q1452" t="str">
        <f>LOOKUP(P1452,Sheet2!$Z$4:$AA$7)</f>
        <v>26-35</v>
      </c>
      <c r="R1452" s="1">
        <v>1</v>
      </c>
      <c r="S1452" t="str">
        <f>IF(R1452=1,"Positive","Negative")</f>
        <v>Positive</v>
      </c>
      <c r="T1452" s="1">
        <f>IFERROR(VLOOKUP(A1452,[1]diabetes_Recognition!$A:$B,2,FALSE),"Not Sampled")</f>
        <v>1</v>
      </c>
      <c r="U1452" t="str">
        <f>IF(T1452=1,"Positive",(IF(T1452=0,"Negative","Not Sampled")))</f>
        <v>Positive</v>
      </c>
      <c r="V1452" s="1" t="str">
        <f>IF(U1452="Not Sampled","Not Sampled",IF(S1452=U1452,"Accurate Prediction","Inaccurate Prediction"))</f>
        <v>Accurate Prediction</v>
      </c>
    </row>
    <row r="1453" spans="1:22" x14ac:dyDescent="0.25">
      <c r="A1453" s="1">
        <v>1451</v>
      </c>
      <c r="B1453" s="1">
        <v>1</v>
      </c>
      <c r="C1453" s="1">
        <f>LOOKUP(B1453,Sheet2!$D$4:$E$9)</f>
        <v>1</v>
      </c>
      <c r="D1453" s="1">
        <v>128</v>
      </c>
      <c r="E1453" t="str">
        <f>LOOKUP(D1453,Sheet2!$G$4:$H$9)</f>
        <v>126-150</v>
      </c>
      <c r="F1453" s="1">
        <v>48</v>
      </c>
      <c r="G1453" t="str">
        <f>LOOKUP(F1453,Sheet2!$J$4:$K$8)</f>
        <v>1-59</v>
      </c>
      <c r="H1453" s="1">
        <v>45</v>
      </c>
      <c r="I1453" t="str">
        <f>LOOKUP(H1453,Sheet2!$M$4:$N$8)</f>
        <v>40+</v>
      </c>
      <c r="J1453" s="1">
        <v>194</v>
      </c>
      <c r="K1453" t="str">
        <f>LOOKUP(J1453,Sheet2!$P$4:$Q$9)</f>
        <v>100-199</v>
      </c>
      <c r="L1453" s="1">
        <v>40.5</v>
      </c>
      <c r="M1453" t="str">
        <f>LOOKUP(L1453,Sheet2!$S$4:$T$8)</f>
        <v>36+</v>
      </c>
      <c r="N1453" s="1">
        <v>0.61299999999999999</v>
      </c>
      <c r="O1453" t="str">
        <f>LOOKUP(N1453,Sheet2!$V$4:$W$7)</f>
        <v>0.4 - 0.69</v>
      </c>
      <c r="P1453" s="1">
        <v>24</v>
      </c>
      <c r="Q1453" t="str">
        <f>LOOKUP(P1453,Sheet2!$Z$4:$AA$7)</f>
        <v>&lt;=25</v>
      </c>
      <c r="R1453" s="1">
        <v>1</v>
      </c>
      <c r="S1453" t="str">
        <f>IF(R1453=1,"Positive","Negative")</f>
        <v>Positive</v>
      </c>
      <c r="T1453" s="1" t="str">
        <f>IFERROR(VLOOKUP(A1453,[1]diabetes_Recognition!$A:$B,2,FALSE),"Not Sampled")</f>
        <v>Not Sampled</v>
      </c>
      <c r="U1453" t="str">
        <f>IF(T1453=1,"Positive",(IF(T1453=0,"Negative","Not Sampled")))</f>
        <v>Not Sampled</v>
      </c>
      <c r="V1453" s="1" t="str">
        <f>IF(U1453="Not Sampled","Not Sampled",IF(S1453=U1453,"Accurate Prediction","Inaccurate Prediction"))</f>
        <v>Not Sampled</v>
      </c>
    </row>
    <row r="1454" spans="1:22" x14ac:dyDescent="0.25">
      <c r="A1454" s="1">
        <v>1452</v>
      </c>
      <c r="B1454" s="1">
        <v>0</v>
      </c>
      <c r="C1454" s="1">
        <f>LOOKUP(B1454,Sheet2!$D$4:$E$9)</f>
        <v>0</v>
      </c>
      <c r="D1454" s="1">
        <v>161</v>
      </c>
      <c r="E1454" t="str">
        <f>LOOKUP(D1454,Sheet2!$G$4:$H$9)</f>
        <v>151-175</v>
      </c>
      <c r="F1454" s="1">
        <v>50</v>
      </c>
      <c r="G1454" t="str">
        <f>LOOKUP(F1454,Sheet2!$J$4:$K$8)</f>
        <v>1-59</v>
      </c>
      <c r="H1454" s="1">
        <v>0</v>
      </c>
      <c r="I1454" t="str">
        <f>LOOKUP(H1454,Sheet2!$M$4:$N$8)</f>
        <v>Unknown</v>
      </c>
      <c r="J1454" s="1">
        <v>0</v>
      </c>
      <c r="K1454" t="str">
        <f>LOOKUP(J1454,Sheet2!$P$4:$Q$9)</f>
        <v>Unknown</v>
      </c>
      <c r="L1454" s="1">
        <v>21.9</v>
      </c>
      <c r="M1454" t="str">
        <f>LOOKUP(L1454,Sheet2!$S$4:$T$8)</f>
        <v>1-25</v>
      </c>
      <c r="N1454" s="1">
        <v>0.254</v>
      </c>
      <c r="O1454" t="str">
        <f>LOOKUP(N1454,Sheet2!$V$4:$W$7)</f>
        <v>0.25 - 0.39</v>
      </c>
      <c r="P1454" s="1">
        <v>65</v>
      </c>
      <c r="Q1454" t="str">
        <f>LOOKUP(P1454,Sheet2!$Z$4:$AA$7)</f>
        <v>46+</v>
      </c>
      <c r="R1454" s="1">
        <v>0</v>
      </c>
      <c r="S1454" t="str">
        <f>IF(R1454=1,"Positive","Negative")</f>
        <v>Negative</v>
      </c>
      <c r="T1454" s="1" t="str">
        <f>IFERROR(VLOOKUP(A1454,[1]diabetes_Recognition!$A:$B,2,FALSE),"Not Sampled")</f>
        <v>Not Sampled</v>
      </c>
      <c r="U1454" t="str">
        <f>IF(T1454=1,"Positive",(IF(T1454=0,"Negative","Not Sampled")))</f>
        <v>Not Sampled</v>
      </c>
      <c r="V1454" s="1" t="str">
        <f>IF(U1454="Not Sampled","Not Sampled",IF(S1454=U1454,"Accurate Prediction","Inaccurate Prediction"))</f>
        <v>Not Sampled</v>
      </c>
    </row>
    <row r="1455" spans="1:22" x14ac:dyDescent="0.25">
      <c r="A1455" s="1">
        <v>1453</v>
      </c>
      <c r="B1455" s="1">
        <v>6</v>
      </c>
      <c r="C1455" s="1" t="str">
        <f>LOOKUP(B1455,Sheet2!$D$4:$E$9)</f>
        <v>5-7</v>
      </c>
      <c r="D1455" s="1">
        <v>151</v>
      </c>
      <c r="E1455" t="str">
        <f>LOOKUP(D1455,Sheet2!$G$4:$H$9)</f>
        <v>151-175</v>
      </c>
      <c r="F1455" s="1">
        <v>62</v>
      </c>
      <c r="G1455" t="str">
        <f>LOOKUP(F1455,Sheet2!$J$4:$K$8)</f>
        <v>60-69</v>
      </c>
      <c r="H1455" s="1">
        <v>31</v>
      </c>
      <c r="I1455" t="str">
        <f>LOOKUP(H1455,Sheet2!$M$4:$N$8)</f>
        <v>30-39</v>
      </c>
      <c r="J1455" s="1">
        <v>120</v>
      </c>
      <c r="K1455" t="str">
        <f>LOOKUP(J1455,Sheet2!$P$4:$Q$9)</f>
        <v>100-199</v>
      </c>
      <c r="L1455" s="1">
        <v>35.5</v>
      </c>
      <c r="M1455" t="str">
        <f>LOOKUP(L1455,Sheet2!$S$4:$T$8)</f>
        <v>31-35</v>
      </c>
      <c r="N1455" s="1">
        <v>0.69199999999999995</v>
      </c>
      <c r="O1455" t="str">
        <f>LOOKUP(N1455,Sheet2!$V$4:$W$7)</f>
        <v>0.4 - 0.69</v>
      </c>
      <c r="P1455" s="1">
        <v>28</v>
      </c>
      <c r="Q1455" t="str">
        <f>LOOKUP(P1455,Sheet2!$Z$4:$AA$7)</f>
        <v>26-35</v>
      </c>
      <c r="R1455" s="1">
        <v>0</v>
      </c>
      <c r="S1455" t="str">
        <f>IF(R1455=1,"Positive","Negative")</f>
        <v>Negative</v>
      </c>
      <c r="T1455" s="1" t="str">
        <f>IFERROR(VLOOKUP(A1455,[1]diabetes_Recognition!$A:$B,2,FALSE),"Not Sampled")</f>
        <v>Not Sampled</v>
      </c>
      <c r="U1455" t="str">
        <f>IF(T1455=1,"Positive",(IF(T1455=0,"Negative","Not Sampled")))</f>
        <v>Not Sampled</v>
      </c>
      <c r="V1455" s="1" t="str">
        <f>IF(U1455="Not Sampled","Not Sampled",IF(S1455=U1455,"Accurate Prediction","Inaccurate Prediction"))</f>
        <v>Not Sampled</v>
      </c>
    </row>
    <row r="1456" spans="1:22" x14ac:dyDescent="0.25">
      <c r="A1456" s="1">
        <v>1454</v>
      </c>
      <c r="B1456" s="1">
        <v>2</v>
      </c>
      <c r="C1456" s="1">
        <f>LOOKUP(B1456,Sheet2!$D$4:$E$9)</f>
        <v>2</v>
      </c>
      <c r="D1456" s="1">
        <v>146</v>
      </c>
      <c r="E1456" t="str">
        <f>LOOKUP(D1456,Sheet2!$G$4:$H$9)</f>
        <v>126-150</v>
      </c>
      <c r="F1456" s="1">
        <v>70</v>
      </c>
      <c r="G1456" t="str">
        <f>LOOKUP(F1456,Sheet2!$J$4:$K$8)</f>
        <v>70-79</v>
      </c>
      <c r="H1456" s="1">
        <v>38</v>
      </c>
      <c r="I1456" t="str">
        <f>LOOKUP(H1456,Sheet2!$M$4:$N$8)</f>
        <v>30-39</v>
      </c>
      <c r="J1456" s="1">
        <v>360</v>
      </c>
      <c r="K1456" t="str">
        <f>LOOKUP(J1456,Sheet2!$P$4:$Q$9)</f>
        <v>300-499</v>
      </c>
      <c r="L1456" s="1">
        <v>28</v>
      </c>
      <c r="M1456" t="str">
        <f>LOOKUP(L1456,Sheet2!$S$4:$T$8)</f>
        <v>26-30</v>
      </c>
      <c r="N1456" s="1">
        <v>0.33700000000000002</v>
      </c>
      <c r="O1456" t="str">
        <f>LOOKUP(N1456,Sheet2!$V$4:$W$7)</f>
        <v>0.25 - 0.39</v>
      </c>
      <c r="P1456" s="1">
        <v>29</v>
      </c>
      <c r="Q1456" t="str">
        <f>LOOKUP(P1456,Sheet2!$Z$4:$AA$7)</f>
        <v>26-35</v>
      </c>
      <c r="R1456" s="1">
        <v>1</v>
      </c>
      <c r="S1456" t="str">
        <f>IF(R1456=1,"Positive","Negative")</f>
        <v>Positive</v>
      </c>
      <c r="T1456" s="1" t="str">
        <f>IFERROR(VLOOKUP(A1456,[1]diabetes_Recognition!$A:$B,2,FALSE),"Not Sampled")</f>
        <v>Not Sampled</v>
      </c>
      <c r="U1456" t="str">
        <f>IF(T1456=1,"Positive",(IF(T1456=0,"Negative","Not Sampled")))</f>
        <v>Not Sampled</v>
      </c>
      <c r="V1456" s="1" t="str">
        <f>IF(U1456="Not Sampled","Not Sampled",IF(S1456=U1456,"Accurate Prediction","Inaccurate Prediction"))</f>
        <v>Not Sampled</v>
      </c>
    </row>
    <row r="1457" spans="1:22" x14ac:dyDescent="0.25">
      <c r="A1457" s="1">
        <v>1455</v>
      </c>
      <c r="B1457" s="1">
        <v>0</v>
      </c>
      <c r="C1457" s="1">
        <f>LOOKUP(B1457,Sheet2!$D$4:$E$9)</f>
        <v>0</v>
      </c>
      <c r="D1457" s="1">
        <v>126</v>
      </c>
      <c r="E1457" t="str">
        <f>LOOKUP(D1457,Sheet2!$G$4:$H$9)</f>
        <v>126-150</v>
      </c>
      <c r="F1457" s="1">
        <v>84</v>
      </c>
      <c r="G1457" t="str">
        <f>LOOKUP(F1457,Sheet2!$J$4:$K$8)</f>
        <v>80+</v>
      </c>
      <c r="H1457" s="1">
        <v>29</v>
      </c>
      <c r="I1457" t="str">
        <f>LOOKUP(H1457,Sheet2!$M$4:$N$8)</f>
        <v>10-30</v>
      </c>
      <c r="J1457" s="1">
        <v>215</v>
      </c>
      <c r="K1457" t="str">
        <f>LOOKUP(J1457,Sheet2!$P$4:$Q$9)</f>
        <v>200-399</v>
      </c>
      <c r="L1457" s="1">
        <v>30.7</v>
      </c>
      <c r="M1457" t="str">
        <f>LOOKUP(L1457,Sheet2!$S$4:$T$8)</f>
        <v>26-30</v>
      </c>
      <c r="N1457" s="1">
        <v>0.52</v>
      </c>
      <c r="O1457" t="str">
        <f>LOOKUP(N1457,Sheet2!$V$4:$W$7)</f>
        <v>0.4 - 0.69</v>
      </c>
      <c r="P1457" s="1">
        <v>24</v>
      </c>
      <c r="Q1457" t="str">
        <f>LOOKUP(P1457,Sheet2!$Z$4:$AA$7)</f>
        <v>&lt;=25</v>
      </c>
      <c r="R1457" s="1">
        <v>0</v>
      </c>
      <c r="S1457" t="str">
        <f>IF(R1457=1,"Positive","Negative")</f>
        <v>Negative</v>
      </c>
      <c r="T1457" s="1" t="str">
        <f>IFERROR(VLOOKUP(A1457,[1]diabetes_Recognition!$A:$B,2,FALSE),"Not Sampled")</f>
        <v>Not Sampled</v>
      </c>
      <c r="U1457" t="str">
        <f>IF(T1457=1,"Positive",(IF(T1457=0,"Negative","Not Sampled")))</f>
        <v>Not Sampled</v>
      </c>
      <c r="V1457" s="1" t="str">
        <f>IF(U1457="Not Sampled","Not Sampled",IF(S1457=U1457,"Accurate Prediction","Inaccurate Prediction"))</f>
        <v>Not Sampled</v>
      </c>
    </row>
    <row r="1458" spans="1:22" x14ac:dyDescent="0.25">
      <c r="A1458" s="1">
        <v>1456</v>
      </c>
      <c r="B1458" s="1">
        <v>14</v>
      </c>
      <c r="C1458" s="1" t="str">
        <f>LOOKUP(B1458,Sheet2!$D$4:$E$9)</f>
        <v>8+</v>
      </c>
      <c r="D1458" s="1">
        <v>100</v>
      </c>
      <c r="E1458" t="str">
        <f>LOOKUP(D1458,Sheet2!$G$4:$H$9)</f>
        <v>100-125</v>
      </c>
      <c r="F1458" s="1">
        <v>78</v>
      </c>
      <c r="G1458" t="str">
        <f>LOOKUP(F1458,Sheet2!$J$4:$K$8)</f>
        <v>70-79</v>
      </c>
      <c r="H1458" s="1">
        <v>25</v>
      </c>
      <c r="I1458" t="str">
        <f>LOOKUP(H1458,Sheet2!$M$4:$N$8)</f>
        <v>10-30</v>
      </c>
      <c r="J1458" s="1">
        <v>184</v>
      </c>
      <c r="K1458" t="str">
        <f>LOOKUP(J1458,Sheet2!$P$4:$Q$9)</f>
        <v>100-199</v>
      </c>
      <c r="L1458" s="1">
        <v>36.6</v>
      </c>
      <c r="M1458" t="str">
        <f>LOOKUP(L1458,Sheet2!$S$4:$T$8)</f>
        <v>36+</v>
      </c>
      <c r="N1458" s="1">
        <v>0.41199999999999998</v>
      </c>
      <c r="O1458" t="str">
        <f>LOOKUP(N1458,Sheet2!$V$4:$W$7)</f>
        <v>0.4 - 0.69</v>
      </c>
      <c r="P1458" s="1">
        <v>46</v>
      </c>
      <c r="Q1458" t="str">
        <f>LOOKUP(P1458,Sheet2!$Z$4:$AA$7)</f>
        <v>46+</v>
      </c>
      <c r="R1458" s="1">
        <v>1</v>
      </c>
      <c r="S1458" t="str">
        <f>IF(R1458=1,"Positive","Negative")</f>
        <v>Positive</v>
      </c>
      <c r="T1458" s="1">
        <f>IFERROR(VLOOKUP(A1458,[1]diabetes_Recognition!$A:$B,2,FALSE),"Not Sampled")</f>
        <v>0</v>
      </c>
      <c r="U1458" t="str">
        <f>IF(T1458=1,"Positive",(IF(T1458=0,"Negative","Not Sampled")))</f>
        <v>Negative</v>
      </c>
      <c r="V1458" s="1" t="str">
        <f>IF(U1458="Not Sampled","Not Sampled",IF(S1458=U1458,"Accurate Prediction","Inaccurate Prediction"))</f>
        <v>Inaccurate Prediction</v>
      </c>
    </row>
    <row r="1459" spans="1:22" x14ac:dyDescent="0.25">
      <c r="A1459" s="1">
        <v>1457</v>
      </c>
      <c r="B1459" s="1">
        <v>3</v>
      </c>
      <c r="C1459" s="1" t="str">
        <f>LOOKUP(B1459,Sheet2!$D$4:$E$9)</f>
        <v>3-4</v>
      </c>
      <c r="D1459" s="1">
        <v>82</v>
      </c>
      <c r="E1459" t="str">
        <f>LOOKUP(D1459,Sheet2!$G$4:$H$9)</f>
        <v>1-99</v>
      </c>
      <c r="F1459" s="1">
        <v>70</v>
      </c>
      <c r="G1459" t="str">
        <f>LOOKUP(F1459,Sheet2!$J$4:$K$8)</f>
        <v>70-79</v>
      </c>
      <c r="H1459" s="1">
        <v>0</v>
      </c>
      <c r="I1459" t="str">
        <f>LOOKUP(H1459,Sheet2!$M$4:$N$8)</f>
        <v>Unknown</v>
      </c>
      <c r="J1459" s="1">
        <v>0</v>
      </c>
      <c r="K1459" t="str">
        <f>LOOKUP(J1459,Sheet2!$P$4:$Q$9)</f>
        <v>Unknown</v>
      </c>
      <c r="L1459" s="1">
        <v>21.1</v>
      </c>
      <c r="M1459" t="str">
        <f>LOOKUP(L1459,Sheet2!$S$4:$T$8)</f>
        <v>1-25</v>
      </c>
      <c r="N1459" s="1">
        <v>0.38900000000000001</v>
      </c>
      <c r="O1459" t="str">
        <f>LOOKUP(N1459,Sheet2!$V$4:$W$7)</f>
        <v>0.25 - 0.39</v>
      </c>
      <c r="P1459" s="1">
        <v>25</v>
      </c>
      <c r="Q1459" t="str">
        <f>LOOKUP(P1459,Sheet2!$Z$4:$AA$7)</f>
        <v>&lt;=25</v>
      </c>
      <c r="R1459" s="1">
        <v>0</v>
      </c>
      <c r="S1459" t="str">
        <f>IF(R1459=1,"Positive","Negative")</f>
        <v>Negative</v>
      </c>
      <c r="T1459" s="1" t="str">
        <f>IFERROR(VLOOKUP(A1459,[1]diabetes_Recognition!$A:$B,2,FALSE),"Not Sampled")</f>
        <v>Not Sampled</v>
      </c>
      <c r="U1459" t="str">
        <f>IF(T1459=1,"Positive",(IF(T1459=0,"Negative","Not Sampled")))</f>
        <v>Not Sampled</v>
      </c>
      <c r="V1459" s="1" t="str">
        <f>IF(U1459="Not Sampled","Not Sampled",IF(S1459=U1459,"Accurate Prediction","Inaccurate Prediction"))</f>
        <v>Not Sampled</v>
      </c>
    </row>
    <row r="1460" spans="1:22" x14ac:dyDescent="0.25">
      <c r="A1460" s="1">
        <v>1458</v>
      </c>
      <c r="B1460" s="1">
        <v>3</v>
      </c>
      <c r="C1460" s="1" t="str">
        <f>LOOKUP(B1460,Sheet2!$D$4:$E$9)</f>
        <v>3-4</v>
      </c>
      <c r="D1460" s="1">
        <v>193</v>
      </c>
      <c r="E1460" t="str">
        <f>LOOKUP(D1460,Sheet2!$G$4:$H$9)</f>
        <v>176-200</v>
      </c>
      <c r="F1460" s="1">
        <v>70</v>
      </c>
      <c r="G1460" t="str">
        <f>LOOKUP(F1460,Sheet2!$J$4:$K$8)</f>
        <v>70-79</v>
      </c>
      <c r="H1460" s="1">
        <v>31</v>
      </c>
      <c r="I1460" t="str">
        <f>LOOKUP(H1460,Sheet2!$M$4:$N$8)</f>
        <v>30-39</v>
      </c>
      <c r="J1460" s="1">
        <v>0</v>
      </c>
      <c r="K1460" t="str">
        <f>LOOKUP(J1460,Sheet2!$P$4:$Q$9)</f>
        <v>Unknown</v>
      </c>
      <c r="L1460" s="1">
        <v>34.9</v>
      </c>
      <c r="M1460" t="str">
        <f>LOOKUP(L1460,Sheet2!$S$4:$T$8)</f>
        <v>31-35</v>
      </c>
      <c r="N1460" s="1">
        <v>0.24099999999999999</v>
      </c>
      <c r="O1460" t="str">
        <f>LOOKUP(N1460,Sheet2!$V$4:$W$7)</f>
        <v>0.0 - 0.249</v>
      </c>
      <c r="P1460" s="1">
        <v>25</v>
      </c>
      <c r="Q1460" t="str">
        <f>LOOKUP(P1460,Sheet2!$Z$4:$AA$7)</f>
        <v>&lt;=25</v>
      </c>
      <c r="R1460" s="1">
        <v>1</v>
      </c>
      <c r="S1460" t="str">
        <f>IF(R1460=1,"Positive","Negative")</f>
        <v>Positive</v>
      </c>
      <c r="T1460" s="1" t="str">
        <f>IFERROR(VLOOKUP(A1460,[1]diabetes_Recognition!$A:$B,2,FALSE),"Not Sampled")</f>
        <v>Not Sampled</v>
      </c>
      <c r="U1460" t="str">
        <f>IF(T1460=1,"Positive",(IF(T1460=0,"Negative","Not Sampled")))</f>
        <v>Not Sampled</v>
      </c>
      <c r="V1460" s="1" t="str">
        <f>IF(U1460="Not Sampled","Not Sampled",IF(S1460=U1460,"Accurate Prediction","Inaccurate Prediction"))</f>
        <v>Not Sampled</v>
      </c>
    </row>
    <row r="1461" spans="1:22" x14ac:dyDescent="0.25">
      <c r="A1461" s="1">
        <v>1459</v>
      </c>
      <c r="B1461" s="1">
        <v>4</v>
      </c>
      <c r="C1461" s="1" t="str">
        <f>LOOKUP(B1461,Sheet2!$D$4:$E$9)</f>
        <v>3-4</v>
      </c>
      <c r="D1461" s="1">
        <v>95</v>
      </c>
      <c r="E1461" t="str">
        <f>LOOKUP(D1461,Sheet2!$G$4:$H$9)</f>
        <v>1-99</v>
      </c>
      <c r="F1461" s="1">
        <v>64</v>
      </c>
      <c r="G1461" t="str">
        <f>LOOKUP(F1461,Sheet2!$J$4:$K$8)</f>
        <v>60-69</v>
      </c>
      <c r="H1461" s="1">
        <v>0</v>
      </c>
      <c r="I1461" t="str">
        <f>LOOKUP(H1461,Sheet2!$M$4:$N$8)</f>
        <v>Unknown</v>
      </c>
      <c r="J1461" s="1">
        <v>0</v>
      </c>
      <c r="K1461" t="str">
        <f>LOOKUP(J1461,Sheet2!$P$4:$Q$9)</f>
        <v>Unknown</v>
      </c>
      <c r="L1461" s="1">
        <v>32</v>
      </c>
      <c r="M1461" t="str">
        <f>LOOKUP(L1461,Sheet2!$S$4:$T$8)</f>
        <v>31-35</v>
      </c>
      <c r="N1461" s="1">
        <v>0.161</v>
      </c>
      <c r="O1461" t="str">
        <f>LOOKUP(N1461,Sheet2!$V$4:$W$7)</f>
        <v>0.0 - 0.249</v>
      </c>
      <c r="P1461" s="1">
        <v>31</v>
      </c>
      <c r="Q1461" t="str">
        <f>LOOKUP(P1461,Sheet2!$Z$4:$AA$7)</f>
        <v>26-35</v>
      </c>
      <c r="R1461" s="1">
        <v>1</v>
      </c>
      <c r="S1461" t="str">
        <f>IF(R1461=1,"Positive","Negative")</f>
        <v>Positive</v>
      </c>
      <c r="T1461" s="1" t="str">
        <f>IFERROR(VLOOKUP(A1461,[1]diabetes_Recognition!$A:$B,2,FALSE),"Not Sampled")</f>
        <v>Not Sampled</v>
      </c>
      <c r="U1461" t="str">
        <f>IF(T1461=1,"Positive",(IF(T1461=0,"Negative","Not Sampled")))</f>
        <v>Not Sampled</v>
      </c>
      <c r="V1461" s="1" t="str">
        <f>IF(U1461="Not Sampled","Not Sampled",IF(S1461=U1461,"Accurate Prediction","Inaccurate Prediction"))</f>
        <v>Not Sampled</v>
      </c>
    </row>
    <row r="1462" spans="1:22" x14ac:dyDescent="0.25">
      <c r="A1462" s="1">
        <v>1460</v>
      </c>
      <c r="B1462" s="1">
        <v>6</v>
      </c>
      <c r="C1462" s="1" t="str">
        <f>LOOKUP(B1462,Sheet2!$D$4:$E$9)</f>
        <v>5-7</v>
      </c>
      <c r="D1462" s="1">
        <v>137</v>
      </c>
      <c r="E1462" t="str">
        <f>LOOKUP(D1462,Sheet2!$G$4:$H$9)</f>
        <v>126-150</v>
      </c>
      <c r="F1462" s="1">
        <v>61</v>
      </c>
      <c r="G1462" t="str">
        <f>LOOKUP(F1462,Sheet2!$J$4:$K$8)</f>
        <v>60-69</v>
      </c>
      <c r="H1462" s="1">
        <v>0</v>
      </c>
      <c r="I1462" t="str">
        <f>LOOKUP(H1462,Sheet2!$M$4:$N$8)</f>
        <v>Unknown</v>
      </c>
      <c r="J1462" s="1">
        <v>0</v>
      </c>
      <c r="K1462" t="str">
        <f>LOOKUP(J1462,Sheet2!$P$4:$Q$9)</f>
        <v>Unknown</v>
      </c>
      <c r="L1462" s="1">
        <v>24.2</v>
      </c>
      <c r="M1462" t="str">
        <f>LOOKUP(L1462,Sheet2!$S$4:$T$8)</f>
        <v>1-25</v>
      </c>
      <c r="N1462" s="1">
        <v>0.151</v>
      </c>
      <c r="O1462" t="str">
        <f>LOOKUP(N1462,Sheet2!$V$4:$W$7)</f>
        <v>0.0 - 0.249</v>
      </c>
      <c r="P1462" s="1">
        <v>55</v>
      </c>
      <c r="Q1462" t="str">
        <f>LOOKUP(P1462,Sheet2!$Z$4:$AA$7)</f>
        <v>46+</v>
      </c>
      <c r="R1462" s="1">
        <v>0</v>
      </c>
      <c r="S1462" t="str">
        <f>IF(R1462=1,"Positive","Negative")</f>
        <v>Negative</v>
      </c>
      <c r="T1462" s="1" t="str">
        <f>IFERROR(VLOOKUP(A1462,[1]diabetes_Recognition!$A:$B,2,FALSE),"Not Sampled")</f>
        <v>Not Sampled</v>
      </c>
      <c r="U1462" t="str">
        <f>IF(T1462=1,"Positive",(IF(T1462=0,"Negative","Not Sampled")))</f>
        <v>Not Sampled</v>
      </c>
      <c r="V1462" s="1" t="str">
        <f>IF(U1462="Not Sampled","Not Sampled",IF(S1462=U1462,"Accurate Prediction","Inaccurate Prediction"))</f>
        <v>Not Sampled</v>
      </c>
    </row>
    <row r="1463" spans="1:22" x14ac:dyDescent="0.25">
      <c r="A1463" s="1">
        <v>1461</v>
      </c>
      <c r="B1463" s="1">
        <v>5</v>
      </c>
      <c r="C1463" s="1" t="str">
        <f>LOOKUP(B1463,Sheet2!$D$4:$E$9)</f>
        <v>5-7</v>
      </c>
      <c r="D1463" s="1">
        <v>136</v>
      </c>
      <c r="E1463" t="str">
        <f>LOOKUP(D1463,Sheet2!$G$4:$H$9)</f>
        <v>126-150</v>
      </c>
      <c r="F1463" s="1">
        <v>84</v>
      </c>
      <c r="G1463" t="str">
        <f>LOOKUP(F1463,Sheet2!$J$4:$K$8)</f>
        <v>80+</v>
      </c>
      <c r="H1463" s="1">
        <v>41</v>
      </c>
      <c r="I1463" t="str">
        <f>LOOKUP(H1463,Sheet2!$M$4:$N$8)</f>
        <v>40+</v>
      </c>
      <c r="J1463" s="1">
        <v>88</v>
      </c>
      <c r="K1463" t="str">
        <f>LOOKUP(J1463,Sheet2!$P$4:$Q$9)</f>
        <v>1-99</v>
      </c>
      <c r="L1463" s="1">
        <v>35</v>
      </c>
      <c r="M1463" t="str">
        <f>LOOKUP(L1463,Sheet2!$S$4:$T$8)</f>
        <v>31-35</v>
      </c>
      <c r="N1463" s="1">
        <v>0.28599999999999998</v>
      </c>
      <c r="O1463" t="str">
        <f>LOOKUP(N1463,Sheet2!$V$4:$W$7)</f>
        <v>0.25 - 0.39</v>
      </c>
      <c r="P1463" s="1">
        <v>35</v>
      </c>
      <c r="Q1463" t="str">
        <f>LOOKUP(P1463,Sheet2!$Z$4:$AA$7)</f>
        <v>26-35</v>
      </c>
      <c r="R1463" s="1">
        <v>1</v>
      </c>
      <c r="S1463" t="str">
        <f>IF(R1463=1,"Positive","Negative")</f>
        <v>Positive</v>
      </c>
      <c r="T1463" s="1" t="str">
        <f>IFERROR(VLOOKUP(A1463,[1]diabetes_Recognition!$A:$B,2,FALSE),"Not Sampled")</f>
        <v>Not Sampled</v>
      </c>
      <c r="U1463" t="str">
        <f>IF(T1463=1,"Positive",(IF(T1463=0,"Negative","Not Sampled")))</f>
        <v>Not Sampled</v>
      </c>
      <c r="V1463" s="1" t="str">
        <f>IF(U1463="Not Sampled","Not Sampled",IF(S1463=U1463,"Accurate Prediction","Inaccurate Prediction"))</f>
        <v>Not Sampled</v>
      </c>
    </row>
    <row r="1464" spans="1:22" x14ac:dyDescent="0.25">
      <c r="A1464" s="1">
        <v>1462</v>
      </c>
      <c r="B1464" s="1">
        <v>9</v>
      </c>
      <c r="C1464" s="1" t="str">
        <f>LOOKUP(B1464,Sheet2!$D$4:$E$9)</f>
        <v>8+</v>
      </c>
      <c r="D1464" s="1">
        <v>72</v>
      </c>
      <c r="E1464" t="str">
        <f>LOOKUP(D1464,Sheet2!$G$4:$H$9)</f>
        <v>1-99</v>
      </c>
      <c r="F1464" s="1">
        <v>78</v>
      </c>
      <c r="G1464" t="str">
        <f>LOOKUP(F1464,Sheet2!$J$4:$K$8)</f>
        <v>70-79</v>
      </c>
      <c r="H1464" s="1">
        <v>25</v>
      </c>
      <c r="I1464" t="str">
        <f>LOOKUP(H1464,Sheet2!$M$4:$N$8)</f>
        <v>10-30</v>
      </c>
      <c r="J1464" s="1">
        <v>0</v>
      </c>
      <c r="K1464" t="str">
        <f>LOOKUP(J1464,Sheet2!$P$4:$Q$9)</f>
        <v>Unknown</v>
      </c>
      <c r="L1464" s="1">
        <v>31.6</v>
      </c>
      <c r="M1464" t="str">
        <f>LOOKUP(L1464,Sheet2!$S$4:$T$8)</f>
        <v>31-35</v>
      </c>
      <c r="N1464" s="1">
        <v>0.28000000000000003</v>
      </c>
      <c r="O1464" t="str">
        <f>LOOKUP(N1464,Sheet2!$V$4:$W$7)</f>
        <v>0.25 - 0.39</v>
      </c>
      <c r="P1464" s="1">
        <v>38</v>
      </c>
      <c r="Q1464" t="str">
        <f>LOOKUP(P1464,Sheet2!$Z$4:$AA$7)</f>
        <v>36-45</v>
      </c>
      <c r="R1464" s="1">
        <v>0</v>
      </c>
      <c r="S1464" t="str">
        <f>IF(R1464=1,"Positive","Negative")</f>
        <v>Negative</v>
      </c>
      <c r="T1464" s="1" t="str">
        <f>IFERROR(VLOOKUP(A1464,[1]diabetes_Recognition!$A:$B,2,FALSE),"Not Sampled")</f>
        <v>Not Sampled</v>
      </c>
      <c r="U1464" t="str">
        <f>IF(T1464=1,"Positive",(IF(T1464=0,"Negative","Not Sampled")))</f>
        <v>Not Sampled</v>
      </c>
      <c r="V1464" s="1" t="str">
        <f>IF(U1464="Not Sampled","Not Sampled",IF(S1464=U1464,"Accurate Prediction","Inaccurate Prediction"))</f>
        <v>Not Sampled</v>
      </c>
    </row>
    <row r="1465" spans="1:22" x14ac:dyDescent="0.25">
      <c r="A1465" s="1">
        <v>1463</v>
      </c>
      <c r="B1465" s="1">
        <v>5</v>
      </c>
      <c r="C1465" s="1" t="str">
        <f>LOOKUP(B1465,Sheet2!$D$4:$E$9)</f>
        <v>5-7</v>
      </c>
      <c r="D1465" s="1">
        <v>168</v>
      </c>
      <c r="E1465" t="str">
        <f>LOOKUP(D1465,Sheet2!$G$4:$H$9)</f>
        <v>151-175</v>
      </c>
      <c r="F1465" s="1">
        <v>64</v>
      </c>
      <c r="G1465" t="str">
        <f>LOOKUP(F1465,Sheet2!$J$4:$K$8)</f>
        <v>60-69</v>
      </c>
      <c r="H1465" s="1">
        <v>0</v>
      </c>
      <c r="I1465" t="str">
        <f>LOOKUP(H1465,Sheet2!$M$4:$N$8)</f>
        <v>Unknown</v>
      </c>
      <c r="J1465" s="1">
        <v>0</v>
      </c>
      <c r="K1465" t="str">
        <f>LOOKUP(J1465,Sheet2!$P$4:$Q$9)</f>
        <v>Unknown</v>
      </c>
      <c r="L1465" s="1">
        <v>32.9</v>
      </c>
      <c r="M1465" t="str">
        <f>LOOKUP(L1465,Sheet2!$S$4:$T$8)</f>
        <v>31-35</v>
      </c>
      <c r="N1465" s="1">
        <v>0.13500000000000001</v>
      </c>
      <c r="O1465" t="str">
        <f>LOOKUP(N1465,Sheet2!$V$4:$W$7)</f>
        <v>0.0 - 0.249</v>
      </c>
      <c r="P1465" s="1">
        <v>41</v>
      </c>
      <c r="Q1465" t="str">
        <f>LOOKUP(P1465,Sheet2!$Z$4:$AA$7)</f>
        <v>36-45</v>
      </c>
      <c r="R1465" s="1">
        <v>1</v>
      </c>
      <c r="S1465" t="str">
        <f>IF(R1465=1,"Positive","Negative")</f>
        <v>Positive</v>
      </c>
      <c r="T1465" s="1">
        <f>IFERROR(VLOOKUP(A1465,[1]diabetes_Recognition!$A:$B,2,FALSE),"Not Sampled")</f>
        <v>1</v>
      </c>
      <c r="U1465" t="str">
        <f>IF(T1465=1,"Positive",(IF(T1465=0,"Negative","Not Sampled")))</f>
        <v>Positive</v>
      </c>
      <c r="V1465" s="1" t="str">
        <f>IF(U1465="Not Sampled","Not Sampled",IF(S1465=U1465,"Accurate Prediction","Inaccurate Prediction"))</f>
        <v>Accurate Prediction</v>
      </c>
    </row>
    <row r="1466" spans="1:22" x14ac:dyDescent="0.25">
      <c r="A1466" s="1">
        <v>1464</v>
      </c>
      <c r="B1466" s="1">
        <v>2</v>
      </c>
      <c r="C1466" s="1">
        <f>LOOKUP(B1466,Sheet2!$D$4:$E$9)</f>
        <v>2</v>
      </c>
      <c r="D1466" s="1">
        <v>123</v>
      </c>
      <c r="E1466" t="str">
        <f>LOOKUP(D1466,Sheet2!$G$4:$H$9)</f>
        <v>100-125</v>
      </c>
      <c r="F1466" s="1">
        <v>48</v>
      </c>
      <c r="G1466" t="str">
        <f>LOOKUP(F1466,Sheet2!$J$4:$K$8)</f>
        <v>1-59</v>
      </c>
      <c r="H1466" s="1">
        <v>32</v>
      </c>
      <c r="I1466" t="str">
        <f>LOOKUP(H1466,Sheet2!$M$4:$N$8)</f>
        <v>30-39</v>
      </c>
      <c r="J1466" s="1">
        <v>165</v>
      </c>
      <c r="K1466" t="str">
        <f>LOOKUP(J1466,Sheet2!$P$4:$Q$9)</f>
        <v>100-199</v>
      </c>
      <c r="L1466" s="1">
        <v>42.1</v>
      </c>
      <c r="M1466" t="str">
        <f>LOOKUP(L1466,Sheet2!$S$4:$T$8)</f>
        <v>36+</v>
      </c>
      <c r="N1466" s="1">
        <v>0.52</v>
      </c>
      <c r="O1466" t="str">
        <f>LOOKUP(N1466,Sheet2!$V$4:$W$7)</f>
        <v>0.4 - 0.69</v>
      </c>
      <c r="P1466" s="1">
        <v>26</v>
      </c>
      <c r="Q1466" t="str">
        <f>LOOKUP(P1466,Sheet2!$Z$4:$AA$7)</f>
        <v>26-35</v>
      </c>
      <c r="R1466" s="1">
        <v>0</v>
      </c>
      <c r="S1466" t="str">
        <f>IF(R1466=1,"Positive","Negative")</f>
        <v>Negative</v>
      </c>
      <c r="T1466" s="1">
        <f>IFERROR(VLOOKUP(A1466,[1]diabetes_Recognition!$A:$B,2,FALSE),"Not Sampled")</f>
        <v>0</v>
      </c>
      <c r="U1466" t="str">
        <f>IF(T1466=1,"Positive",(IF(T1466=0,"Negative","Not Sampled")))</f>
        <v>Negative</v>
      </c>
      <c r="V1466" s="1" t="str">
        <f>IF(U1466="Not Sampled","Not Sampled",IF(S1466=U1466,"Accurate Prediction","Inaccurate Prediction"))</f>
        <v>Accurate Prediction</v>
      </c>
    </row>
    <row r="1467" spans="1:22" x14ac:dyDescent="0.25">
      <c r="A1467" s="1">
        <v>1465</v>
      </c>
      <c r="B1467" s="1">
        <v>4</v>
      </c>
      <c r="C1467" s="1" t="str">
        <f>LOOKUP(B1467,Sheet2!$D$4:$E$9)</f>
        <v>3-4</v>
      </c>
      <c r="D1467" s="1">
        <v>115</v>
      </c>
      <c r="E1467" t="str">
        <f>LOOKUP(D1467,Sheet2!$G$4:$H$9)</f>
        <v>100-125</v>
      </c>
      <c r="F1467" s="1">
        <v>72</v>
      </c>
      <c r="G1467" t="str">
        <f>LOOKUP(F1467,Sheet2!$J$4:$K$8)</f>
        <v>70-79</v>
      </c>
      <c r="H1467" s="1">
        <v>0</v>
      </c>
      <c r="I1467" t="str">
        <f>LOOKUP(H1467,Sheet2!$M$4:$N$8)</f>
        <v>Unknown</v>
      </c>
      <c r="J1467" s="1">
        <v>0</v>
      </c>
      <c r="K1467" t="str">
        <f>LOOKUP(J1467,Sheet2!$P$4:$Q$9)</f>
        <v>Unknown</v>
      </c>
      <c r="L1467" s="1">
        <v>28.9</v>
      </c>
      <c r="M1467" t="str">
        <f>LOOKUP(L1467,Sheet2!$S$4:$T$8)</f>
        <v>26-30</v>
      </c>
      <c r="N1467" s="1">
        <v>0.376</v>
      </c>
      <c r="O1467" t="str">
        <f>LOOKUP(N1467,Sheet2!$V$4:$W$7)</f>
        <v>0.25 - 0.39</v>
      </c>
      <c r="P1467" s="1">
        <v>46</v>
      </c>
      <c r="Q1467" t="str">
        <f>LOOKUP(P1467,Sheet2!$Z$4:$AA$7)</f>
        <v>46+</v>
      </c>
      <c r="R1467" s="1">
        <v>1</v>
      </c>
      <c r="S1467" t="str">
        <f>IF(R1467=1,"Positive","Negative")</f>
        <v>Positive</v>
      </c>
      <c r="T1467" s="1" t="str">
        <f>IFERROR(VLOOKUP(A1467,[1]diabetes_Recognition!$A:$B,2,FALSE),"Not Sampled")</f>
        <v>Not Sampled</v>
      </c>
      <c r="U1467" t="str">
        <f>IF(T1467=1,"Positive",(IF(T1467=0,"Negative","Not Sampled")))</f>
        <v>Not Sampled</v>
      </c>
      <c r="V1467" s="1" t="str">
        <f>IF(U1467="Not Sampled","Not Sampled",IF(S1467=U1467,"Accurate Prediction","Inaccurate Prediction"))</f>
        <v>Not Sampled</v>
      </c>
    </row>
    <row r="1468" spans="1:22" x14ac:dyDescent="0.25">
      <c r="A1468" s="1">
        <v>1466</v>
      </c>
      <c r="B1468" s="1">
        <v>0</v>
      </c>
      <c r="C1468" s="1">
        <f>LOOKUP(B1468,Sheet2!$D$4:$E$9)</f>
        <v>0</v>
      </c>
      <c r="D1468" s="1">
        <v>101</v>
      </c>
      <c r="E1468" t="str">
        <f>LOOKUP(D1468,Sheet2!$G$4:$H$9)</f>
        <v>100-125</v>
      </c>
      <c r="F1468" s="1">
        <v>62</v>
      </c>
      <c r="G1468" t="str">
        <f>LOOKUP(F1468,Sheet2!$J$4:$K$8)</f>
        <v>60-69</v>
      </c>
      <c r="H1468" s="1">
        <v>0</v>
      </c>
      <c r="I1468" t="str">
        <f>LOOKUP(H1468,Sheet2!$M$4:$N$8)</f>
        <v>Unknown</v>
      </c>
      <c r="J1468" s="1">
        <v>0</v>
      </c>
      <c r="K1468" t="str">
        <f>LOOKUP(J1468,Sheet2!$P$4:$Q$9)</f>
        <v>Unknown</v>
      </c>
      <c r="L1468" s="1">
        <v>21.9</v>
      </c>
      <c r="M1468" t="str">
        <f>LOOKUP(L1468,Sheet2!$S$4:$T$8)</f>
        <v>1-25</v>
      </c>
      <c r="N1468" s="1">
        <v>0.33600000000000002</v>
      </c>
      <c r="O1468" t="str">
        <f>LOOKUP(N1468,Sheet2!$V$4:$W$7)</f>
        <v>0.25 - 0.39</v>
      </c>
      <c r="P1468" s="1">
        <v>25</v>
      </c>
      <c r="Q1468" t="str">
        <f>LOOKUP(P1468,Sheet2!$Z$4:$AA$7)</f>
        <v>&lt;=25</v>
      </c>
      <c r="R1468" s="1">
        <v>0</v>
      </c>
      <c r="S1468" t="str">
        <f>IF(R1468=1,"Positive","Negative")</f>
        <v>Negative</v>
      </c>
      <c r="T1468" s="1" t="str">
        <f>IFERROR(VLOOKUP(A1468,[1]diabetes_Recognition!$A:$B,2,FALSE),"Not Sampled")</f>
        <v>Not Sampled</v>
      </c>
      <c r="U1468" t="str">
        <f>IF(T1468=1,"Positive",(IF(T1468=0,"Negative","Not Sampled")))</f>
        <v>Not Sampled</v>
      </c>
      <c r="V1468" s="1" t="str">
        <f>IF(U1468="Not Sampled","Not Sampled",IF(S1468=U1468,"Accurate Prediction","Inaccurate Prediction"))</f>
        <v>Not Sampled</v>
      </c>
    </row>
    <row r="1469" spans="1:22" x14ac:dyDescent="0.25">
      <c r="A1469" s="1">
        <v>1467</v>
      </c>
      <c r="B1469" s="1">
        <v>8</v>
      </c>
      <c r="C1469" s="1" t="str">
        <f>LOOKUP(B1469,Sheet2!$D$4:$E$9)</f>
        <v>8+</v>
      </c>
      <c r="D1469" s="1">
        <v>197</v>
      </c>
      <c r="E1469" t="str">
        <f>LOOKUP(D1469,Sheet2!$G$4:$H$9)</f>
        <v>176-200</v>
      </c>
      <c r="F1469" s="1">
        <v>74</v>
      </c>
      <c r="G1469" t="str">
        <f>LOOKUP(F1469,Sheet2!$J$4:$K$8)</f>
        <v>70-79</v>
      </c>
      <c r="H1469" s="1">
        <v>0</v>
      </c>
      <c r="I1469" t="str">
        <f>LOOKUP(H1469,Sheet2!$M$4:$N$8)</f>
        <v>Unknown</v>
      </c>
      <c r="J1469" s="1">
        <v>0</v>
      </c>
      <c r="K1469" t="str">
        <f>LOOKUP(J1469,Sheet2!$P$4:$Q$9)</f>
        <v>Unknown</v>
      </c>
      <c r="L1469" s="1">
        <v>25.9</v>
      </c>
      <c r="M1469" t="str">
        <f>LOOKUP(L1469,Sheet2!$S$4:$T$8)</f>
        <v>1-25</v>
      </c>
      <c r="N1469" s="1">
        <v>1.1910000000000001</v>
      </c>
      <c r="O1469" t="str">
        <f>LOOKUP(N1469,Sheet2!$V$4:$W$7)</f>
        <v>0.7+</v>
      </c>
      <c r="P1469" s="1">
        <v>39</v>
      </c>
      <c r="Q1469" t="str">
        <f>LOOKUP(P1469,Sheet2!$Z$4:$AA$7)</f>
        <v>36-45</v>
      </c>
      <c r="R1469" s="1">
        <v>1</v>
      </c>
      <c r="S1469" t="str">
        <f>IF(R1469=1,"Positive","Negative")</f>
        <v>Positive</v>
      </c>
      <c r="T1469" s="1" t="str">
        <f>IFERROR(VLOOKUP(A1469,[1]diabetes_Recognition!$A:$B,2,FALSE),"Not Sampled")</f>
        <v>Not Sampled</v>
      </c>
      <c r="U1469" t="str">
        <f>IF(T1469=1,"Positive",(IF(T1469=0,"Negative","Not Sampled")))</f>
        <v>Not Sampled</v>
      </c>
      <c r="V1469" s="1" t="str">
        <f>IF(U1469="Not Sampled","Not Sampled",IF(S1469=U1469,"Accurate Prediction","Inaccurate Prediction"))</f>
        <v>Not Sampled</v>
      </c>
    </row>
    <row r="1470" spans="1:22" x14ac:dyDescent="0.25">
      <c r="A1470" s="1">
        <v>1468</v>
      </c>
      <c r="B1470" s="1">
        <v>1</v>
      </c>
      <c r="C1470" s="1">
        <f>LOOKUP(B1470,Sheet2!$D$4:$E$9)</f>
        <v>1</v>
      </c>
      <c r="D1470" s="1">
        <v>172</v>
      </c>
      <c r="E1470" t="str">
        <f>LOOKUP(D1470,Sheet2!$G$4:$H$9)</f>
        <v>151-175</v>
      </c>
      <c r="F1470" s="1">
        <v>68</v>
      </c>
      <c r="G1470" t="str">
        <f>LOOKUP(F1470,Sheet2!$J$4:$K$8)</f>
        <v>60-69</v>
      </c>
      <c r="H1470" s="1">
        <v>49</v>
      </c>
      <c r="I1470" t="str">
        <f>LOOKUP(H1470,Sheet2!$M$4:$N$8)</f>
        <v>40+</v>
      </c>
      <c r="J1470" s="1">
        <v>579</v>
      </c>
      <c r="K1470" t="str">
        <f>LOOKUP(J1470,Sheet2!$P$4:$Q$9)</f>
        <v>500+</v>
      </c>
      <c r="L1470" s="1">
        <v>42.4</v>
      </c>
      <c r="M1470" t="str">
        <f>LOOKUP(L1470,Sheet2!$S$4:$T$8)</f>
        <v>36+</v>
      </c>
      <c r="N1470" s="1">
        <v>0.70199999999999996</v>
      </c>
      <c r="O1470" t="str">
        <f>LOOKUP(N1470,Sheet2!$V$4:$W$7)</f>
        <v>0.7+</v>
      </c>
      <c r="P1470" s="1">
        <v>28</v>
      </c>
      <c r="Q1470" t="str">
        <f>LOOKUP(P1470,Sheet2!$Z$4:$AA$7)</f>
        <v>26-35</v>
      </c>
      <c r="R1470" s="1">
        <v>1</v>
      </c>
      <c r="S1470" t="str">
        <f>IF(R1470=1,"Positive","Negative")</f>
        <v>Positive</v>
      </c>
      <c r="T1470" s="1">
        <f>IFERROR(VLOOKUP(A1470,[1]diabetes_Recognition!$A:$B,2,FALSE),"Not Sampled")</f>
        <v>1</v>
      </c>
      <c r="U1470" t="str">
        <f>IF(T1470=1,"Positive",(IF(T1470=0,"Negative","Not Sampled")))</f>
        <v>Positive</v>
      </c>
      <c r="V1470" s="1" t="str">
        <f>IF(U1470="Not Sampled","Not Sampled",IF(S1470=U1470,"Accurate Prediction","Inaccurate Prediction"))</f>
        <v>Accurate Prediction</v>
      </c>
    </row>
    <row r="1471" spans="1:22" x14ac:dyDescent="0.25">
      <c r="A1471" s="1">
        <v>1469</v>
      </c>
      <c r="B1471" s="1">
        <v>6</v>
      </c>
      <c r="C1471" s="1" t="str">
        <f>LOOKUP(B1471,Sheet2!$D$4:$E$9)</f>
        <v>5-7</v>
      </c>
      <c r="D1471" s="1">
        <v>102</v>
      </c>
      <c r="E1471" t="str">
        <f>LOOKUP(D1471,Sheet2!$G$4:$H$9)</f>
        <v>100-125</v>
      </c>
      <c r="F1471" s="1">
        <v>90</v>
      </c>
      <c r="G1471" t="str">
        <f>LOOKUP(F1471,Sheet2!$J$4:$K$8)</f>
        <v>80+</v>
      </c>
      <c r="H1471" s="1">
        <v>39</v>
      </c>
      <c r="I1471" t="str">
        <f>LOOKUP(H1471,Sheet2!$M$4:$N$8)</f>
        <v>30-39</v>
      </c>
      <c r="J1471" s="1">
        <v>0</v>
      </c>
      <c r="K1471" t="str">
        <f>LOOKUP(J1471,Sheet2!$P$4:$Q$9)</f>
        <v>Unknown</v>
      </c>
      <c r="L1471" s="1">
        <v>35.700000000000003</v>
      </c>
      <c r="M1471" t="str">
        <f>LOOKUP(L1471,Sheet2!$S$4:$T$8)</f>
        <v>31-35</v>
      </c>
      <c r="N1471" s="1">
        <v>0.67400000000000004</v>
      </c>
      <c r="O1471" t="str">
        <f>LOOKUP(N1471,Sheet2!$V$4:$W$7)</f>
        <v>0.4 - 0.69</v>
      </c>
      <c r="P1471" s="1">
        <v>28</v>
      </c>
      <c r="Q1471" t="str">
        <f>LOOKUP(P1471,Sheet2!$Z$4:$AA$7)</f>
        <v>26-35</v>
      </c>
      <c r="R1471" s="1">
        <v>0</v>
      </c>
      <c r="S1471" t="str">
        <f>IF(R1471=1,"Positive","Negative")</f>
        <v>Negative</v>
      </c>
      <c r="T1471" s="1" t="str">
        <f>IFERROR(VLOOKUP(A1471,[1]diabetes_Recognition!$A:$B,2,FALSE),"Not Sampled")</f>
        <v>Not Sampled</v>
      </c>
      <c r="U1471" t="str">
        <f>IF(T1471=1,"Positive",(IF(T1471=0,"Negative","Not Sampled")))</f>
        <v>Not Sampled</v>
      </c>
      <c r="V1471" s="1" t="str">
        <f>IF(U1471="Not Sampled","Not Sampled",IF(S1471=U1471,"Accurate Prediction","Inaccurate Prediction"))</f>
        <v>Not Sampled</v>
      </c>
    </row>
    <row r="1472" spans="1:22" x14ac:dyDescent="0.25">
      <c r="A1472" s="1">
        <v>1470</v>
      </c>
      <c r="B1472" s="1">
        <v>1</v>
      </c>
      <c r="C1472" s="1">
        <f>LOOKUP(B1472,Sheet2!$D$4:$E$9)</f>
        <v>1</v>
      </c>
      <c r="D1472" s="1">
        <v>112</v>
      </c>
      <c r="E1472" t="str">
        <f>LOOKUP(D1472,Sheet2!$G$4:$H$9)</f>
        <v>100-125</v>
      </c>
      <c r="F1472" s="1">
        <v>72</v>
      </c>
      <c r="G1472" t="str">
        <f>LOOKUP(F1472,Sheet2!$J$4:$K$8)</f>
        <v>70-79</v>
      </c>
      <c r="H1472" s="1">
        <v>30</v>
      </c>
      <c r="I1472" t="str">
        <f>LOOKUP(H1472,Sheet2!$M$4:$N$8)</f>
        <v>30-39</v>
      </c>
      <c r="J1472" s="1">
        <v>176</v>
      </c>
      <c r="K1472" t="str">
        <f>LOOKUP(J1472,Sheet2!$P$4:$Q$9)</f>
        <v>100-199</v>
      </c>
      <c r="L1472" s="1">
        <v>34.4</v>
      </c>
      <c r="M1472" t="str">
        <f>LOOKUP(L1472,Sheet2!$S$4:$T$8)</f>
        <v>31-35</v>
      </c>
      <c r="N1472" s="1">
        <v>0.52800000000000002</v>
      </c>
      <c r="O1472" t="str">
        <f>LOOKUP(N1472,Sheet2!$V$4:$W$7)</f>
        <v>0.4 - 0.69</v>
      </c>
      <c r="P1472" s="1">
        <v>25</v>
      </c>
      <c r="Q1472" t="str">
        <f>LOOKUP(P1472,Sheet2!$Z$4:$AA$7)</f>
        <v>&lt;=25</v>
      </c>
      <c r="R1472" s="1">
        <v>0</v>
      </c>
      <c r="S1472" t="str">
        <f>IF(R1472=1,"Positive","Negative")</f>
        <v>Negative</v>
      </c>
      <c r="T1472" s="1">
        <f>IFERROR(VLOOKUP(A1472,[1]diabetes_Recognition!$A:$B,2,FALSE),"Not Sampled")</f>
        <v>0</v>
      </c>
      <c r="U1472" t="str">
        <f>IF(T1472=1,"Positive",(IF(T1472=0,"Negative","Not Sampled")))</f>
        <v>Negative</v>
      </c>
      <c r="V1472" s="1" t="str">
        <f>IF(U1472="Not Sampled","Not Sampled",IF(S1472=U1472,"Accurate Prediction","Inaccurate Prediction"))</f>
        <v>Accurate Prediction</v>
      </c>
    </row>
    <row r="1473" spans="1:22" x14ac:dyDescent="0.25">
      <c r="A1473" s="1">
        <v>1471</v>
      </c>
      <c r="B1473" s="1">
        <v>1</v>
      </c>
      <c r="C1473" s="1">
        <f>LOOKUP(B1473,Sheet2!$D$4:$E$9)</f>
        <v>1</v>
      </c>
      <c r="D1473" s="1">
        <v>143</v>
      </c>
      <c r="E1473" t="str">
        <f>LOOKUP(D1473,Sheet2!$G$4:$H$9)</f>
        <v>126-150</v>
      </c>
      <c r="F1473" s="1">
        <v>84</v>
      </c>
      <c r="G1473" t="str">
        <f>LOOKUP(F1473,Sheet2!$J$4:$K$8)</f>
        <v>80+</v>
      </c>
      <c r="H1473" s="1">
        <v>23</v>
      </c>
      <c r="I1473" t="str">
        <f>LOOKUP(H1473,Sheet2!$M$4:$N$8)</f>
        <v>10-30</v>
      </c>
      <c r="J1473" s="1">
        <v>310</v>
      </c>
      <c r="K1473" t="str">
        <f>LOOKUP(J1473,Sheet2!$P$4:$Q$9)</f>
        <v>300-499</v>
      </c>
      <c r="L1473" s="1">
        <v>42.4</v>
      </c>
      <c r="M1473" t="str">
        <f>LOOKUP(L1473,Sheet2!$S$4:$T$8)</f>
        <v>36+</v>
      </c>
      <c r="N1473" s="1">
        <v>1.0760000000000001</v>
      </c>
      <c r="O1473" t="str">
        <f>LOOKUP(N1473,Sheet2!$V$4:$W$7)</f>
        <v>0.7+</v>
      </c>
      <c r="P1473" s="1">
        <v>22</v>
      </c>
      <c r="Q1473" t="str">
        <f>LOOKUP(P1473,Sheet2!$Z$4:$AA$7)</f>
        <v>&lt;=25</v>
      </c>
      <c r="R1473" s="1">
        <v>0</v>
      </c>
      <c r="S1473" t="str">
        <f>IF(R1473=1,"Positive","Negative")</f>
        <v>Negative</v>
      </c>
      <c r="T1473" s="1" t="str">
        <f>IFERROR(VLOOKUP(A1473,[1]diabetes_Recognition!$A:$B,2,FALSE),"Not Sampled")</f>
        <v>Not Sampled</v>
      </c>
      <c r="U1473" t="str">
        <f>IF(T1473=1,"Positive",(IF(T1473=0,"Negative","Not Sampled")))</f>
        <v>Not Sampled</v>
      </c>
      <c r="V1473" s="1" t="str">
        <f>IF(U1473="Not Sampled","Not Sampled",IF(S1473=U1473,"Accurate Prediction","Inaccurate Prediction"))</f>
        <v>Not Sampled</v>
      </c>
    </row>
    <row r="1474" spans="1:22" x14ac:dyDescent="0.25">
      <c r="A1474" s="1">
        <v>1472</v>
      </c>
      <c r="B1474" s="1">
        <v>1</v>
      </c>
      <c r="C1474" s="1">
        <f>LOOKUP(B1474,Sheet2!$D$4:$E$9)</f>
        <v>1</v>
      </c>
      <c r="D1474" s="1">
        <v>143</v>
      </c>
      <c r="E1474" t="str">
        <f>LOOKUP(D1474,Sheet2!$G$4:$H$9)</f>
        <v>126-150</v>
      </c>
      <c r="F1474" s="1">
        <v>74</v>
      </c>
      <c r="G1474" t="str">
        <f>LOOKUP(F1474,Sheet2!$J$4:$K$8)</f>
        <v>70-79</v>
      </c>
      <c r="H1474" s="1">
        <v>22</v>
      </c>
      <c r="I1474" t="str">
        <f>LOOKUP(H1474,Sheet2!$M$4:$N$8)</f>
        <v>10-30</v>
      </c>
      <c r="J1474" s="1">
        <v>61</v>
      </c>
      <c r="K1474" t="str">
        <f>LOOKUP(J1474,Sheet2!$P$4:$Q$9)</f>
        <v>1-99</v>
      </c>
      <c r="L1474" s="1">
        <v>26.2</v>
      </c>
      <c r="M1474" t="str">
        <f>LOOKUP(L1474,Sheet2!$S$4:$T$8)</f>
        <v>26-30</v>
      </c>
      <c r="N1474" s="1">
        <v>0.25600000000000001</v>
      </c>
      <c r="O1474" t="str">
        <f>LOOKUP(N1474,Sheet2!$V$4:$W$7)</f>
        <v>0.25 - 0.39</v>
      </c>
      <c r="P1474" s="1">
        <v>21</v>
      </c>
      <c r="Q1474" t="str">
        <f>LOOKUP(P1474,Sheet2!$Z$4:$AA$7)</f>
        <v>&lt;=25</v>
      </c>
      <c r="R1474" s="1">
        <v>0</v>
      </c>
      <c r="S1474" t="str">
        <f>IF(R1474=1,"Positive","Negative")</f>
        <v>Negative</v>
      </c>
      <c r="T1474" s="1" t="str">
        <f>IFERROR(VLOOKUP(A1474,[1]diabetes_Recognition!$A:$B,2,FALSE),"Not Sampled")</f>
        <v>Not Sampled</v>
      </c>
      <c r="U1474" t="str">
        <f>IF(T1474=1,"Positive",(IF(T1474=0,"Negative","Not Sampled")))</f>
        <v>Not Sampled</v>
      </c>
      <c r="V1474" s="1" t="str">
        <f>IF(U1474="Not Sampled","Not Sampled",IF(S1474=U1474,"Accurate Prediction","Inaccurate Prediction"))</f>
        <v>Not Sampled</v>
      </c>
    </row>
    <row r="1475" spans="1:22" x14ac:dyDescent="0.25">
      <c r="A1475" s="1">
        <v>1473</v>
      </c>
      <c r="B1475" s="1">
        <v>0</v>
      </c>
      <c r="C1475" s="1">
        <f>LOOKUP(B1475,Sheet2!$D$4:$E$9)</f>
        <v>0</v>
      </c>
      <c r="D1475" s="1">
        <v>138</v>
      </c>
      <c r="E1475" t="str">
        <f>LOOKUP(D1475,Sheet2!$G$4:$H$9)</f>
        <v>126-150</v>
      </c>
      <c r="F1475" s="1">
        <v>60</v>
      </c>
      <c r="G1475" t="str">
        <f>LOOKUP(F1475,Sheet2!$J$4:$K$8)</f>
        <v>60-69</v>
      </c>
      <c r="H1475" s="1">
        <v>35</v>
      </c>
      <c r="I1475" t="str">
        <f>LOOKUP(H1475,Sheet2!$M$4:$N$8)</f>
        <v>30-39</v>
      </c>
      <c r="J1475" s="1">
        <v>167</v>
      </c>
      <c r="K1475" t="str">
        <f>LOOKUP(J1475,Sheet2!$P$4:$Q$9)</f>
        <v>100-199</v>
      </c>
      <c r="L1475" s="1">
        <v>34.6</v>
      </c>
      <c r="M1475" t="str">
        <f>LOOKUP(L1475,Sheet2!$S$4:$T$8)</f>
        <v>31-35</v>
      </c>
      <c r="N1475" s="1">
        <v>0.53400000000000003</v>
      </c>
      <c r="O1475" t="str">
        <f>LOOKUP(N1475,Sheet2!$V$4:$W$7)</f>
        <v>0.4 - 0.69</v>
      </c>
      <c r="P1475" s="1">
        <v>21</v>
      </c>
      <c r="Q1475" t="str">
        <f>LOOKUP(P1475,Sheet2!$Z$4:$AA$7)</f>
        <v>&lt;=25</v>
      </c>
      <c r="R1475" s="1">
        <v>1</v>
      </c>
      <c r="S1475" t="str">
        <f>IF(R1475=1,"Positive","Negative")</f>
        <v>Positive</v>
      </c>
      <c r="T1475" s="1" t="str">
        <f>IFERROR(VLOOKUP(A1475,[1]diabetes_Recognition!$A:$B,2,FALSE),"Not Sampled")</f>
        <v>Not Sampled</v>
      </c>
      <c r="U1475" t="str">
        <f>IF(T1475=1,"Positive",(IF(T1475=0,"Negative","Not Sampled")))</f>
        <v>Not Sampled</v>
      </c>
      <c r="V1475" s="1" t="str">
        <f>IF(U1475="Not Sampled","Not Sampled",IF(S1475=U1475,"Accurate Prediction","Inaccurate Prediction"))</f>
        <v>Not Sampled</v>
      </c>
    </row>
    <row r="1476" spans="1:22" x14ac:dyDescent="0.25">
      <c r="A1476" s="1">
        <v>1474</v>
      </c>
      <c r="B1476" s="1">
        <v>3</v>
      </c>
      <c r="C1476" s="1" t="str">
        <f>LOOKUP(B1476,Sheet2!$D$4:$E$9)</f>
        <v>3-4</v>
      </c>
      <c r="D1476" s="1">
        <v>173</v>
      </c>
      <c r="E1476" t="str">
        <f>LOOKUP(D1476,Sheet2!$G$4:$H$9)</f>
        <v>151-175</v>
      </c>
      <c r="F1476" s="1">
        <v>84</v>
      </c>
      <c r="G1476" t="str">
        <f>LOOKUP(F1476,Sheet2!$J$4:$K$8)</f>
        <v>80+</v>
      </c>
      <c r="H1476" s="1">
        <v>33</v>
      </c>
      <c r="I1476" t="str">
        <f>LOOKUP(H1476,Sheet2!$M$4:$N$8)</f>
        <v>30-39</v>
      </c>
      <c r="J1476" s="1">
        <v>474</v>
      </c>
      <c r="K1476" t="str">
        <f>LOOKUP(J1476,Sheet2!$P$4:$Q$9)</f>
        <v>300-499</v>
      </c>
      <c r="L1476" s="1">
        <v>35.700000000000003</v>
      </c>
      <c r="M1476" t="str">
        <f>LOOKUP(L1476,Sheet2!$S$4:$T$8)</f>
        <v>31-35</v>
      </c>
      <c r="N1476" s="1">
        <v>0.25800000000000001</v>
      </c>
      <c r="O1476" t="str">
        <f>LOOKUP(N1476,Sheet2!$V$4:$W$7)</f>
        <v>0.25 - 0.39</v>
      </c>
      <c r="P1476" s="1">
        <v>22</v>
      </c>
      <c r="Q1476" t="str">
        <f>LOOKUP(P1476,Sheet2!$Z$4:$AA$7)</f>
        <v>&lt;=25</v>
      </c>
      <c r="R1476" s="1">
        <v>1</v>
      </c>
      <c r="S1476" t="str">
        <f>IF(R1476=1,"Positive","Negative")</f>
        <v>Positive</v>
      </c>
      <c r="T1476" s="1" t="str">
        <f>IFERROR(VLOOKUP(A1476,[1]diabetes_Recognition!$A:$B,2,FALSE),"Not Sampled")</f>
        <v>Not Sampled</v>
      </c>
      <c r="U1476" t="str">
        <f>IF(T1476=1,"Positive",(IF(T1476=0,"Negative","Not Sampled")))</f>
        <v>Not Sampled</v>
      </c>
      <c r="V1476" s="1" t="str">
        <f>IF(U1476="Not Sampled","Not Sampled",IF(S1476=U1476,"Accurate Prediction","Inaccurate Prediction"))</f>
        <v>Not Sampled</v>
      </c>
    </row>
    <row r="1477" spans="1:22" x14ac:dyDescent="0.25">
      <c r="A1477" s="1">
        <v>1475</v>
      </c>
      <c r="B1477" s="1">
        <v>1</v>
      </c>
      <c r="C1477" s="1">
        <f>LOOKUP(B1477,Sheet2!$D$4:$E$9)</f>
        <v>1</v>
      </c>
      <c r="D1477" s="1">
        <v>97</v>
      </c>
      <c r="E1477" t="str">
        <f>LOOKUP(D1477,Sheet2!$G$4:$H$9)</f>
        <v>1-99</v>
      </c>
      <c r="F1477" s="1">
        <v>68</v>
      </c>
      <c r="G1477" t="str">
        <f>LOOKUP(F1477,Sheet2!$J$4:$K$8)</f>
        <v>60-69</v>
      </c>
      <c r="H1477" s="1">
        <v>21</v>
      </c>
      <c r="I1477" t="str">
        <f>LOOKUP(H1477,Sheet2!$M$4:$N$8)</f>
        <v>10-30</v>
      </c>
      <c r="J1477" s="1">
        <v>0</v>
      </c>
      <c r="K1477" t="str">
        <f>LOOKUP(J1477,Sheet2!$P$4:$Q$9)</f>
        <v>Unknown</v>
      </c>
      <c r="L1477" s="1">
        <v>27.2</v>
      </c>
      <c r="M1477" t="str">
        <f>LOOKUP(L1477,Sheet2!$S$4:$T$8)</f>
        <v>26-30</v>
      </c>
      <c r="N1477" s="1">
        <v>1.095</v>
      </c>
      <c r="O1477" t="str">
        <f>LOOKUP(N1477,Sheet2!$V$4:$W$7)</f>
        <v>0.7+</v>
      </c>
      <c r="P1477" s="1">
        <v>22</v>
      </c>
      <c r="Q1477" t="str">
        <f>LOOKUP(P1477,Sheet2!$Z$4:$AA$7)</f>
        <v>&lt;=25</v>
      </c>
      <c r="R1477" s="1">
        <v>0</v>
      </c>
      <c r="S1477" t="str">
        <f>IF(R1477=1,"Positive","Negative")</f>
        <v>Negative</v>
      </c>
      <c r="T1477" s="1">
        <f>IFERROR(VLOOKUP(A1477,[1]diabetes_Recognition!$A:$B,2,FALSE),"Not Sampled")</f>
        <v>0</v>
      </c>
      <c r="U1477" t="str">
        <f>IF(T1477=1,"Positive",(IF(T1477=0,"Negative","Not Sampled")))</f>
        <v>Negative</v>
      </c>
      <c r="V1477" s="1" t="str">
        <f>IF(U1477="Not Sampled","Not Sampled",IF(S1477=U1477,"Accurate Prediction","Inaccurate Prediction"))</f>
        <v>Accurate Prediction</v>
      </c>
    </row>
    <row r="1478" spans="1:22" x14ac:dyDescent="0.25">
      <c r="A1478" s="1">
        <v>1476</v>
      </c>
      <c r="B1478" s="1">
        <v>4</v>
      </c>
      <c r="C1478" s="1" t="str">
        <f>LOOKUP(B1478,Sheet2!$D$4:$E$9)</f>
        <v>3-4</v>
      </c>
      <c r="D1478" s="1">
        <v>144</v>
      </c>
      <c r="E1478" t="str">
        <f>LOOKUP(D1478,Sheet2!$G$4:$H$9)</f>
        <v>126-150</v>
      </c>
      <c r="F1478" s="1">
        <v>82</v>
      </c>
      <c r="G1478" t="str">
        <f>LOOKUP(F1478,Sheet2!$J$4:$K$8)</f>
        <v>80+</v>
      </c>
      <c r="H1478" s="1">
        <v>32</v>
      </c>
      <c r="I1478" t="str">
        <f>LOOKUP(H1478,Sheet2!$M$4:$N$8)</f>
        <v>30-39</v>
      </c>
      <c r="J1478" s="1">
        <v>0</v>
      </c>
      <c r="K1478" t="str">
        <f>LOOKUP(J1478,Sheet2!$P$4:$Q$9)</f>
        <v>Unknown</v>
      </c>
      <c r="L1478" s="1">
        <v>38.5</v>
      </c>
      <c r="M1478" t="str">
        <f>LOOKUP(L1478,Sheet2!$S$4:$T$8)</f>
        <v>36+</v>
      </c>
      <c r="N1478" s="1">
        <v>0.55400000000000005</v>
      </c>
      <c r="O1478" t="str">
        <f>LOOKUP(N1478,Sheet2!$V$4:$W$7)</f>
        <v>0.4 - 0.69</v>
      </c>
      <c r="P1478" s="1">
        <v>37</v>
      </c>
      <c r="Q1478" t="str">
        <f>LOOKUP(P1478,Sheet2!$Z$4:$AA$7)</f>
        <v>36-45</v>
      </c>
      <c r="R1478" s="1">
        <v>1</v>
      </c>
      <c r="S1478" t="str">
        <f>IF(R1478=1,"Positive","Negative")</f>
        <v>Positive</v>
      </c>
      <c r="T1478" s="1">
        <f>IFERROR(VLOOKUP(A1478,[1]diabetes_Recognition!$A:$B,2,FALSE),"Not Sampled")</f>
        <v>1</v>
      </c>
      <c r="U1478" t="str">
        <f>IF(T1478=1,"Positive",(IF(T1478=0,"Negative","Not Sampled")))</f>
        <v>Positive</v>
      </c>
      <c r="V1478" s="1" t="str">
        <f>IF(U1478="Not Sampled","Not Sampled",IF(S1478=U1478,"Accurate Prediction","Inaccurate Prediction"))</f>
        <v>Accurate Prediction</v>
      </c>
    </row>
    <row r="1479" spans="1:22" x14ac:dyDescent="0.25">
      <c r="A1479" s="1">
        <v>1477</v>
      </c>
      <c r="B1479" s="1">
        <v>1</v>
      </c>
      <c r="C1479" s="1">
        <f>LOOKUP(B1479,Sheet2!$D$4:$E$9)</f>
        <v>1</v>
      </c>
      <c r="D1479" s="1">
        <v>83</v>
      </c>
      <c r="E1479" t="str">
        <f>LOOKUP(D1479,Sheet2!$G$4:$H$9)</f>
        <v>1-99</v>
      </c>
      <c r="F1479" s="1">
        <v>68</v>
      </c>
      <c r="G1479" t="str">
        <f>LOOKUP(F1479,Sheet2!$J$4:$K$8)</f>
        <v>60-69</v>
      </c>
      <c r="H1479" s="1">
        <v>0</v>
      </c>
      <c r="I1479" t="str">
        <f>LOOKUP(H1479,Sheet2!$M$4:$N$8)</f>
        <v>Unknown</v>
      </c>
      <c r="J1479" s="1">
        <v>0</v>
      </c>
      <c r="K1479" t="str">
        <f>LOOKUP(J1479,Sheet2!$P$4:$Q$9)</f>
        <v>Unknown</v>
      </c>
      <c r="L1479" s="1">
        <v>18.2</v>
      </c>
      <c r="M1479" t="str">
        <f>LOOKUP(L1479,Sheet2!$S$4:$T$8)</f>
        <v>1-25</v>
      </c>
      <c r="N1479" s="1">
        <v>0.624</v>
      </c>
      <c r="O1479" t="str">
        <f>LOOKUP(N1479,Sheet2!$V$4:$W$7)</f>
        <v>0.4 - 0.69</v>
      </c>
      <c r="P1479" s="1">
        <v>27</v>
      </c>
      <c r="Q1479" t="str">
        <f>LOOKUP(P1479,Sheet2!$Z$4:$AA$7)</f>
        <v>26-35</v>
      </c>
      <c r="R1479" s="1">
        <v>0</v>
      </c>
      <c r="S1479" t="str">
        <f>IF(R1479=1,"Positive","Negative")</f>
        <v>Negative</v>
      </c>
      <c r="T1479" s="1" t="str">
        <f>IFERROR(VLOOKUP(A1479,[1]diabetes_Recognition!$A:$B,2,FALSE),"Not Sampled")</f>
        <v>Not Sampled</v>
      </c>
      <c r="U1479" t="str">
        <f>IF(T1479=1,"Positive",(IF(T1479=0,"Negative","Not Sampled")))</f>
        <v>Not Sampled</v>
      </c>
      <c r="V1479" s="1" t="str">
        <f>IF(U1479="Not Sampled","Not Sampled",IF(S1479=U1479,"Accurate Prediction","Inaccurate Prediction"))</f>
        <v>Not Sampled</v>
      </c>
    </row>
    <row r="1480" spans="1:22" x14ac:dyDescent="0.25">
      <c r="A1480" s="1">
        <v>1478</v>
      </c>
      <c r="B1480" s="1">
        <v>3</v>
      </c>
      <c r="C1480" s="1" t="str">
        <f>LOOKUP(B1480,Sheet2!$D$4:$E$9)</f>
        <v>3-4</v>
      </c>
      <c r="D1480" s="1">
        <v>129</v>
      </c>
      <c r="E1480" t="str">
        <f>LOOKUP(D1480,Sheet2!$G$4:$H$9)</f>
        <v>126-150</v>
      </c>
      <c r="F1480" s="1">
        <v>64</v>
      </c>
      <c r="G1480" t="str">
        <f>LOOKUP(F1480,Sheet2!$J$4:$K$8)</f>
        <v>60-69</v>
      </c>
      <c r="H1480" s="1">
        <v>29</v>
      </c>
      <c r="I1480" t="str">
        <f>LOOKUP(H1480,Sheet2!$M$4:$N$8)</f>
        <v>10-30</v>
      </c>
      <c r="J1480" s="1">
        <v>115</v>
      </c>
      <c r="K1480" t="str">
        <f>LOOKUP(J1480,Sheet2!$P$4:$Q$9)</f>
        <v>100-199</v>
      </c>
      <c r="L1480" s="1">
        <v>26.4</v>
      </c>
      <c r="M1480" t="str">
        <f>LOOKUP(L1480,Sheet2!$S$4:$T$8)</f>
        <v>26-30</v>
      </c>
      <c r="N1480" s="1">
        <v>0.219</v>
      </c>
      <c r="O1480" t="str">
        <f>LOOKUP(N1480,Sheet2!$V$4:$W$7)</f>
        <v>0.0 - 0.249</v>
      </c>
      <c r="P1480" s="1">
        <v>28</v>
      </c>
      <c r="Q1480" t="str">
        <f>LOOKUP(P1480,Sheet2!$Z$4:$AA$7)</f>
        <v>26-35</v>
      </c>
      <c r="R1480" s="1">
        <v>1</v>
      </c>
      <c r="S1480" t="str">
        <f>IF(R1480=1,"Positive","Negative")</f>
        <v>Positive</v>
      </c>
      <c r="T1480" s="1" t="str">
        <f>IFERROR(VLOOKUP(A1480,[1]diabetes_Recognition!$A:$B,2,FALSE),"Not Sampled")</f>
        <v>Not Sampled</v>
      </c>
      <c r="U1480" t="str">
        <f>IF(T1480=1,"Positive",(IF(T1480=0,"Negative","Not Sampled")))</f>
        <v>Not Sampled</v>
      </c>
      <c r="V1480" s="1" t="str">
        <f>IF(U1480="Not Sampled","Not Sampled",IF(S1480=U1480,"Accurate Prediction","Inaccurate Prediction"))</f>
        <v>Not Sampled</v>
      </c>
    </row>
    <row r="1481" spans="1:22" x14ac:dyDescent="0.25">
      <c r="A1481" s="1">
        <v>1479</v>
      </c>
      <c r="B1481" s="1">
        <v>1</v>
      </c>
      <c r="C1481" s="1">
        <f>LOOKUP(B1481,Sheet2!$D$4:$E$9)</f>
        <v>1</v>
      </c>
      <c r="D1481" s="1">
        <v>119</v>
      </c>
      <c r="E1481" t="str">
        <f>LOOKUP(D1481,Sheet2!$G$4:$H$9)</f>
        <v>100-125</v>
      </c>
      <c r="F1481" s="1">
        <v>88</v>
      </c>
      <c r="G1481" t="str">
        <f>LOOKUP(F1481,Sheet2!$J$4:$K$8)</f>
        <v>80+</v>
      </c>
      <c r="H1481" s="1">
        <v>41</v>
      </c>
      <c r="I1481" t="str">
        <f>LOOKUP(H1481,Sheet2!$M$4:$N$8)</f>
        <v>40+</v>
      </c>
      <c r="J1481" s="1">
        <v>170</v>
      </c>
      <c r="K1481" t="str">
        <f>LOOKUP(J1481,Sheet2!$P$4:$Q$9)</f>
        <v>100-199</v>
      </c>
      <c r="L1481" s="1">
        <v>45.3</v>
      </c>
      <c r="M1481" t="str">
        <f>LOOKUP(L1481,Sheet2!$S$4:$T$8)</f>
        <v>36+</v>
      </c>
      <c r="N1481" s="1">
        <v>0.50700000000000001</v>
      </c>
      <c r="O1481" t="str">
        <f>LOOKUP(N1481,Sheet2!$V$4:$W$7)</f>
        <v>0.4 - 0.69</v>
      </c>
      <c r="P1481" s="1">
        <v>26</v>
      </c>
      <c r="Q1481" t="str">
        <f>LOOKUP(P1481,Sheet2!$Z$4:$AA$7)</f>
        <v>26-35</v>
      </c>
      <c r="R1481" s="1">
        <v>0</v>
      </c>
      <c r="S1481" t="str">
        <f>IF(R1481=1,"Positive","Negative")</f>
        <v>Negative</v>
      </c>
      <c r="T1481" s="1" t="str">
        <f>IFERROR(VLOOKUP(A1481,[1]diabetes_Recognition!$A:$B,2,FALSE),"Not Sampled")</f>
        <v>Not Sampled</v>
      </c>
      <c r="U1481" t="str">
        <f>IF(T1481=1,"Positive",(IF(T1481=0,"Negative","Not Sampled")))</f>
        <v>Not Sampled</v>
      </c>
      <c r="V1481" s="1" t="str">
        <f>IF(U1481="Not Sampled","Not Sampled",IF(S1481=U1481,"Accurate Prediction","Inaccurate Prediction"))</f>
        <v>Not Sampled</v>
      </c>
    </row>
    <row r="1482" spans="1:22" x14ac:dyDescent="0.25">
      <c r="A1482" s="1">
        <v>1480</v>
      </c>
      <c r="B1482" s="1">
        <v>2</v>
      </c>
      <c r="C1482" s="1">
        <f>LOOKUP(B1482,Sheet2!$D$4:$E$9)</f>
        <v>2</v>
      </c>
      <c r="D1482" s="1">
        <v>94</v>
      </c>
      <c r="E1482" t="str">
        <f>LOOKUP(D1482,Sheet2!$G$4:$H$9)</f>
        <v>1-99</v>
      </c>
      <c r="F1482" s="1">
        <v>68</v>
      </c>
      <c r="G1482" t="str">
        <f>LOOKUP(F1482,Sheet2!$J$4:$K$8)</f>
        <v>60-69</v>
      </c>
      <c r="H1482" s="1">
        <v>18</v>
      </c>
      <c r="I1482" t="str">
        <f>LOOKUP(H1482,Sheet2!$M$4:$N$8)</f>
        <v>10-30</v>
      </c>
      <c r="J1482" s="1">
        <v>76</v>
      </c>
      <c r="K1482" t="str">
        <f>LOOKUP(J1482,Sheet2!$P$4:$Q$9)</f>
        <v>1-99</v>
      </c>
      <c r="L1482" s="1">
        <v>26</v>
      </c>
      <c r="M1482" t="str">
        <f>LOOKUP(L1482,Sheet2!$S$4:$T$8)</f>
        <v>26-30</v>
      </c>
      <c r="N1482" s="1">
        <v>0.56100000000000005</v>
      </c>
      <c r="O1482" t="str">
        <f>LOOKUP(N1482,Sheet2!$V$4:$W$7)</f>
        <v>0.4 - 0.69</v>
      </c>
      <c r="P1482" s="1">
        <v>21</v>
      </c>
      <c r="Q1482" t="str">
        <f>LOOKUP(P1482,Sheet2!$Z$4:$AA$7)</f>
        <v>&lt;=25</v>
      </c>
      <c r="R1482" s="1">
        <v>0</v>
      </c>
      <c r="S1482" t="str">
        <f>IF(R1482=1,"Positive","Negative")</f>
        <v>Negative</v>
      </c>
      <c r="T1482" s="1">
        <f>IFERROR(VLOOKUP(A1482,[1]diabetes_Recognition!$A:$B,2,FALSE),"Not Sampled")</f>
        <v>0</v>
      </c>
      <c r="U1482" t="str">
        <f>IF(T1482=1,"Positive",(IF(T1482=0,"Negative","Not Sampled")))</f>
        <v>Negative</v>
      </c>
      <c r="V1482" s="1" t="str">
        <f>IF(U1482="Not Sampled","Not Sampled",IF(S1482=U1482,"Accurate Prediction","Inaccurate Prediction"))</f>
        <v>Accurate Prediction</v>
      </c>
    </row>
    <row r="1483" spans="1:22" x14ac:dyDescent="0.25">
      <c r="A1483" s="1">
        <v>1481</v>
      </c>
      <c r="B1483" s="1">
        <v>0</v>
      </c>
      <c r="C1483" s="1">
        <f>LOOKUP(B1483,Sheet2!$D$4:$E$9)</f>
        <v>0</v>
      </c>
      <c r="D1483" s="1">
        <v>102</v>
      </c>
      <c r="E1483" t="str">
        <f>LOOKUP(D1483,Sheet2!$G$4:$H$9)</f>
        <v>100-125</v>
      </c>
      <c r="F1483" s="1">
        <v>64</v>
      </c>
      <c r="G1483" t="str">
        <f>LOOKUP(F1483,Sheet2!$J$4:$K$8)</f>
        <v>60-69</v>
      </c>
      <c r="H1483" s="1">
        <v>46</v>
      </c>
      <c r="I1483" t="str">
        <f>LOOKUP(H1483,Sheet2!$M$4:$N$8)</f>
        <v>40+</v>
      </c>
      <c r="J1483" s="1">
        <v>78</v>
      </c>
      <c r="K1483" t="str">
        <f>LOOKUP(J1483,Sheet2!$P$4:$Q$9)</f>
        <v>1-99</v>
      </c>
      <c r="L1483" s="1">
        <v>40.6</v>
      </c>
      <c r="M1483" t="str">
        <f>LOOKUP(L1483,Sheet2!$S$4:$T$8)</f>
        <v>36+</v>
      </c>
      <c r="N1483" s="1">
        <v>0.496</v>
      </c>
      <c r="O1483" t="str">
        <f>LOOKUP(N1483,Sheet2!$V$4:$W$7)</f>
        <v>0.4 - 0.69</v>
      </c>
      <c r="P1483" s="1">
        <v>21</v>
      </c>
      <c r="Q1483" t="str">
        <f>LOOKUP(P1483,Sheet2!$Z$4:$AA$7)</f>
        <v>&lt;=25</v>
      </c>
      <c r="R1483" s="1">
        <v>0</v>
      </c>
      <c r="S1483" t="str">
        <f>IF(R1483=1,"Positive","Negative")</f>
        <v>Negative</v>
      </c>
      <c r="T1483" s="1" t="str">
        <f>IFERROR(VLOOKUP(A1483,[1]diabetes_Recognition!$A:$B,2,FALSE),"Not Sampled")</f>
        <v>Not Sampled</v>
      </c>
      <c r="U1483" t="str">
        <f>IF(T1483=1,"Positive",(IF(T1483=0,"Negative","Not Sampled")))</f>
        <v>Not Sampled</v>
      </c>
      <c r="V1483" s="1" t="str">
        <f>IF(U1483="Not Sampled","Not Sampled",IF(S1483=U1483,"Accurate Prediction","Inaccurate Prediction"))</f>
        <v>Not Sampled</v>
      </c>
    </row>
    <row r="1484" spans="1:22" x14ac:dyDescent="0.25">
      <c r="A1484" s="1">
        <v>1482</v>
      </c>
      <c r="B1484" s="1">
        <v>2</v>
      </c>
      <c r="C1484" s="1">
        <f>LOOKUP(B1484,Sheet2!$D$4:$E$9)</f>
        <v>2</v>
      </c>
      <c r="D1484" s="1">
        <v>115</v>
      </c>
      <c r="E1484" t="str">
        <f>LOOKUP(D1484,Sheet2!$G$4:$H$9)</f>
        <v>100-125</v>
      </c>
      <c r="F1484" s="1">
        <v>64</v>
      </c>
      <c r="G1484" t="str">
        <f>LOOKUP(F1484,Sheet2!$J$4:$K$8)</f>
        <v>60-69</v>
      </c>
      <c r="H1484" s="1">
        <v>22</v>
      </c>
      <c r="I1484" t="str">
        <f>LOOKUP(H1484,Sheet2!$M$4:$N$8)</f>
        <v>10-30</v>
      </c>
      <c r="J1484" s="1">
        <v>0</v>
      </c>
      <c r="K1484" t="str">
        <f>LOOKUP(J1484,Sheet2!$P$4:$Q$9)</f>
        <v>Unknown</v>
      </c>
      <c r="L1484" s="1">
        <v>30.8</v>
      </c>
      <c r="M1484" t="str">
        <f>LOOKUP(L1484,Sheet2!$S$4:$T$8)</f>
        <v>26-30</v>
      </c>
      <c r="N1484" s="1">
        <v>0.42099999999999999</v>
      </c>
      <c r="O1484" t="str">
        <f>LOOKUP(N1484,Sheet2!$V$4:$W$7)</f>
        <v>0.4 - 0.69</v>
      </c>
      <c r="P1484" s="1">
        <v>21</v>
      </c>
      <c r="Q1484" t="str">
        <f>LOOKUP(P1484,Sheet2!$Z$4:$AA$7)</f>
        <v>&lt;=25</v>
      </c>
      <c r="R1484" s="1">
        <v>0</v>
      </c>
      <c r="S1484" t="str">
        <f>IF(R1484=1,"Positive","Negative")</f>
        <v>Negative</v>
      </c>
      <c r="T1484" s="1">
        <f>IFERROR(VLOOKUP(A1484,[1]diabetes_Recognition!$A:$B,2,FALSE),"Not Sampled")</f>
        <v>0</v>
      </c>
      <c r="U1484" t="str">
        <f>IF(T1484=1,"Positive",(IF(T1484=0,"Negative","Not Sampled")))</f>
        <v>Negative</v>
      </c>
      <c r="V1484" s="1" t="str">
        <f>IF(U1484="Not Sampled","Not Sampled",IF(S1484=U1484,"Accurate Prediction","Inaccurate Prediction"))</f>
        <v>Accurate Prediction</v>
      </c>
    </row>
    <row r="1485" spans="1:22" x14ac:dyDescent="0.25">
      <c r="A1485" s="1">
        <v>1483</v>
      </c>
      <c r="B1485" s="1">
        <v>8</v>
      </c>
      <c r="C1485" s="1" t="str">
        <f>LOOKUP(B1485,Sheet2!$D$4:$E$9)</f>
        <v>8+</v>
      </c>
      <c r="D1485" s="1">
        <v>151</v>
      </c>
      <c r="E1485" t="str">
        <f>LOOKUP(D1485,Sheet2!$G$4:$H$9)</f>
        <v>151-175</v>
      </c>
      <c r="F1485" s="1">
        <v>78</v>
      </c>
      <c r="G1485" t="str">
        <f>LOOKUP(F1485,Sheet2!$J$4:$K$8)</f>
        <v>70-79</v>
      </c>
      <c r="H1485" s="1">
        <v>32</v>
      </c>
      <c r="I1485" t="str">
        <f>LOOKUP(H1485,Sheet2!$M$4:$N$8)</f>
        <v>30-39</v>
      </c>
      <c r="J1485" s="1">
        <v>210</v>
      </c>
      <c r="K1485" t="str">
        <f>LOOKUP(J1485,Sheet2!$P$4:$Q$9)</f>
        <v>200-399</v>
      </c>
      <c r="L1485" s="1">
        <v>42.9</v>
      </c>
      <c r="M1485" t="str">
        <f>LOOKUP(L1485,Sheet2!$S$4:$T$8)</f>
        <v>36+</v>
      </c>
      <c r="N1485" s="1">
        <v>0.51600000000000001</v>
      </c>
      <c r="O1485" t="str">
        <f>LOOKUP(N1485,Sheet2!$V$4:$W$7)</f>
        <v>0.4 - 0.69</v>
      </c>
      <c r="P1485" s="1">
        <v>36</v>
      </c>
      <c r="Q1485" t="str">
        <f>LOOKUP(P1485,Sheet2!$Z$4:$AA$7)</f>
        <v>36-45</v>
      </c>
      <c r="R1485" s="1">
        <v>1</v>
      </c>
      <c r="S1485" t="str">
        <f>IF(R1485=1,"Positive","Negative")</f>
        <v>Positive</v>
      </c>
      <c r="T1485" s="1" t="str">
        <f>IFERROR(VLOOKUP(A1485,[1]diabetes_Recognition!$A:$B,2,FALSE),"Not Sampled")</f>
        <v>Not Sampled</v>
      </c>
      <c r="U1485" t="str">
        <f>IF(T1485=1,"Positive",(IF(T1485=0,"Negative","Not Sampled")))</f>
        <v>Not Sampled</v>
      </c>
      <c r="V1485" s="1" t="str">
        <f>IF(U1485="Not Sampled","Not Sampled",IF(S1485=U1485,"Accurate Prediction","Inaccurate Prediction"))</f>
        <v>Not Sampled</v>
      </c>
    </row>
    <row r="1486" spans="1:22" x14ac:dyDescent="0.25">
      <c r="A1486" s="1">
        <v>1484</v>
      </c>
      <c r="B1486" s="1">
        <v>4</v>
      </c>
      <c r="C1486" s="1" t="str">
        <f>LOOKUP(B1486,Sheet2!$D$4:$E$9)</f>
        <v>3-4</v>
      </c>
      <c r="D1486" s="1">
        <v>184</v>
      </c>
      <c r="E1486" t="str">
        <f>LOOKUP(D1486,Sheet2!$G$4:$H$9)</f>
        <v>176-200</v>
      </c>
      <c r="F1486" s="1">
        <v>78</v>
      </c>
      <c r="G1486" t="str">
        <f>LOOKUP(F1486,Sheet2!$J$4:$K$8)</f>
        <v>70-79</v>
      </c>
      <c r="H1486" s="1">
        <v>39</v>
      </c>
      <c r="I1486" t="str">
        <f>LOOKUP(H1486,Sheet2!$M$4:$N$8)</f>
        <v>30-39</v>
      </c>
      <c r="J1486" s="1">
        <v>277</v>
      </c>
      <c r="K1486" t="str">
        <f>LOOKUP(J1486,Sheet2!$P$4:$Q$9)</f>
        <v>200-399</v>
      </c>
      <c r="L1486" s="1">
        <v>37</v>
      </c>
      <c r="M1486" t="str">
        <f>LOOKUP(L1486,Sheet2!$S$4:$T$8)</f>
        <v>36+</v>
      </c>
      <c r="N1486" s="1">
        <v>0.26400000000000001</v>
      </c>
      <c r="O1486" t="str">
        <f>LOOKUP(N1486,Sheet2!$V$4:$W$7)</f>
        <v>0.25 - 0.39</v>
      </c>
      <c r="P1486" s="1">
        <v>31</v>
      </c>
      <c r="Q1486" t="str">
        <f>LOOKUP(P1486,Sheet2!$Z$4:$AA$7)</f>
        <v>26-35</v>
      </c>
      <c r="R1486" s="1">
        <v>1</v>
      </c>
      <c r="S1486" t="str">
        <f>IF(R1486=1,"Positive","Negative")</f>
        <v>Positive</v>
      </c>
      <c r="T1486" s="1" t="str">
        <f>IFERROR(VLOOKUP(A1486,[1]diabetes_Recognition!$A:$B,2,FALSE),"Not Sampled")</f>
        <v>Not Sampled</v>
      </c>
      <c r="U1486" t="str">
        <f>IF(T1486=1,"Positive",(IF(T1486=0,"Negative","Not Sampled")))</f>
        <v>Not Sampled</v>
      </c>
      <c r="V1486" s="1" t="str">
        <f>IF(U1486="Not Sampled","Not Sampled",IF(S1486=U1486,"Accurate Prediction","Inaccurate Prediction"))</f>
        <v>Not Sampled</v>
      </c>
    </row>
    <row r="1487" spans="1:22" x14ac:dyDescent="0.25">
      <c r="A1487" s="1">
        <v>1485</v>
      </c>
      <c r="B1487" s="1">
        <v>0</v>
      </c>
      <c r="C1487" s="1">
        <f>LOOKUP(B1487,Sheet2!$D$4:$E$9)</f>
        <v>0</v>
      </c>
      <c r="D1487" s="1">
        <v>94</v>
      </c>
      <c r="E1487" t="str">
        <f>LOOKUP(D1487,Sheet2!$G$4:$H$9)</f>
        <v>1-99</v>
      </c>
      <c r="F1487" s="1">
        <v>0</v>
      </c>
      <c r="G1487" t="str">
        <f>LOOKUP(F1487,Sheet2!$J$4:$K$8)</f>
        <v>Unknown</v>
      </c>
      <c r="H1487" s="1">
        <v>0</v>
      </c>
      <c r="I1487" t="str">
        <f>LOOKUP(H1487,Sheet2!$M$4:$N$8)</f>
        <v>Unknown</v>
      </c>
      <c r="J1487" s="1">
        <v>0</v>
      </c>
      <c r="K1487" t="str">
        <f>LOOKUP(J1487,Sheet2!$P$4:$Q$9)</f>
        <v>Unknown</v>
      </c>
      <c r="L1487" s="1">
        <v>0</v>
      </c>
      <c r="M1487" t="str">
        <f>LOOKUP(L1487,Sheet2!$S$4:$T$8)</f>
        <v>Unknown</v>
      </c>
      <c r="N1487" s="1">
        <v>0.25600000000000001</v>
      </c>
      <c r="O1487" t="str">
        <f>LOOKUP(N1487,Sheet2!$V$4:$W$7)</f>
        <v>0.25 - 0.39</v>
      </c>
      <c r="P1487" s="1">
        <v>25</v>
      </c>
      <c r="Q1487" t="str">
        <f>LOOKUP(P1487,Sheet2!$Z$4:$AA$7)</f>
        <v>&lt;=25</v>
      </c>
      <c r="R1487" s="1">
        <v>0</v>
      </c>
      <c r="S1487" t="str">
        <f>IF(R1487=1,"Positive","Negative")</f>
        <v>Negative</v>
      </c>
      <c r="T1487" s="1" t="str">
        <f>IFERROR(VLOOKUP(A1487,[1]diabetes_Recognition!$A:$B,2,FALSE),"Not Sampled")</f>
        <v>Not Sampled</v>
      </c>
      <c r="U1487" t="str">
        <f>IF(T1487=1,"Positive",(IF(T1487=0,"Negative","Not Sampled")))</f>
        <v>Not Sampled</v>
      </c>
      <c r="V1487" s="1" t="str">
        <f>IF(U1487="Not Sampled","Not Sampled",IF(S1487=U1487,"Accurate Prediction","Inaccurate Prediction"))</f>
        <v>Not Sampled</v>
      </c>
    </row>
    <row r="1488" spans="1:22" x14ac:dyDescent="0.25">
      <c r="A1488" s="1">
        <v>1486</v>
      </c>
      <c r="B1488" s="1">
        <v>1</v>
      </c>
      <c r="C1488" s="1">
        <f>LOOKUP(B1488,Sheet2!$D$4:$E$9)</f>
        <v>1</v>
      </c>
      <c r="D1488" s="1">
        <v>181</v>
      </c>
      <c r="E1488" t="str">
        <f>LOOKUP(D1488,Sheet2!$G$4:$H$9)</f>
        <v>176-200</v>
      </c>
      <c r="F1488" s="1">
        <v>64</v>
      </c>
      <c r="G1488" t="str">
        <f>LOOKUP(F1488,Sheet2!$J$4:$K$8)</f>
        <v>60-69</v>
      </c>
      <c r="H1488" s="1">
        <v>30</v>
      </c>
      <c r="I1488" t="str">
        <f>LOOKUP(H1488,Sheet2!$M$4:$N$8)</f>
        <v>30-39</v>
      </c>
      <c r="J1488" s="1">
        <v>180</v>
      </c>
      <c r="K1488" t="str">
        <f>LOOKUP(J1488,Sheet2!$P$4:$Q$9)</f>
        <v>100-199</v>
      </c>
      <c r="L1488" s="1">
        <v>34.1</v>
      </c>
      <c r="M1488" t="str">
        <f>LOOKUP(L1488,Sheet2!$S$4:$T$8)</f>
        <v>31-35</v>
      </c>
      <c r="N1488" s="1">
        <v>0.32800000000000001</v>
      </c>
      <c r="O1488" t="str">
        <f>LOOKUP(N1488,Sheet2!$V$4:$W$7)</f>
        <v>0.25 - 0.39</v>
      </c>
      <c r="P1488" s="1">
        <v>38</v>
      </c>
      <c r="Q1488" t="str">
        <f>LOOKUP(P1488,Sheet2!$Z$4:$AA$7)</f>
        <v>36-45</v>
      </c>
      <c r="R1488" s="1">
        <v>1</v>
      </c>
      <c r="S1488" t="str">
        <f>IF(R1488=1,"Positive","Negative")</f>
        <v>Positive</v>
      </c>
      <c r="T1488" s="1" t="str">
        <f>IFERROR(VLOOKUP(A1488,[1]diabetes_Recognition!$A:$B,2,FALSE),"Not Sampled")</f>
        <v>Not Sampled</v>
      </c>
      <c r="U1488" t="str">
        <f>IF(T1488=1,"Positive",(IF(T1488=0,"Negative","Not Sampled")))</f>
        <v>Not Sampled</v>
      </c>
      <c r="V1488" s="1" t="str">
        <f>IF(U1488="Not Sampled","Not Sampled",IF(S1488=U1488,"Accurate Prediction","Inaccurate Prediction"))</f>
        <v>Not Sampled</v>
      </c>
    </row>
    <row r="1489" spans="1:22" x14ac:dyDescent="0.25">
      <c r="A1489" s="1">
        <v>1487</v>
      </c>
      <c r="B1489" s="1">
        <v>0</v>
      </c>
      <c r="C1489" s="1">
        <f>LOOKUP(B1489,Sheet2!$D$4:$E$9)</f>
        <v>0</v>
      </c>
      <c r="D1489" s="1">
        <v>135</v>
      </c>
      <c r="E1489" t="str">
        <f>LOOKUP(D1489,Sheet2!$G$4:$H$9)</f>
        <v>126-150</v>
      </c>
      <c r="F1489" s="1">
        <v>94</v>
      </c>
      <c r="G1489" t="str">
        <f>LOOKUP(F1489,Sheet2!$J$4:$K$8)</f>
        <v>80+</v>
      </c>
      <c r="H1489" s="1">
        <v>46</v>
      </c>
      <c r="I1489" t="str">
        <f>LOOKUP(H1489,Sheet2!$M$4:$N$8)</f>
        <v>40+</v>
      </c>
      <c r="J1489" s="1">
        <v>145</v>
      </c>
      <c r="K1489" t="str">
        <f>LOOKUP(J1489,Sheet2!$P$4:$Q$9)</f>
        <v>100-199</v>
      </c>
      <c r="L1489" s="1">
        <v>40.6</v>
      </c>
      <c r="M1489" t="str">
        <f>LOOKUP(L1489,Sheet2!$S$4:$T$8)</f>
        <v>36+</v>
      </c>
      <c r="N1489" s="1">
        <v>0.28399999999999997</v>
      </c>
      <c r="O1489" t="str">
        <f>LOOKUP(N1489,Sheet2!$V$4:$W$7)</f>
        <v>0.25 - 0.39</v>
      </c>
      <c r="P1489" s="1">
        <v>26</v>
      </c>
      <c r="Q1489" t="str">
        <f>LOOKUP(P1489,Sheet2!$Z$4:$AA$7)</f>
        <v>26-35</v>
      </c>
      <c r="R1489" s="1">
        <v>0</v>
      </c>
      <c r="S1489" t="str">
        <f>IF(R1489=1,"Positive","Negative")</f>
        <v>Negative</v>
      </c>
      <c r="T1489" s="1" t="str">
        <f>IFERROR(VLOOKUP(A1489,[1]diabetes_Recognition!$A:$B,2,FALSE),"Not Sampled")</f>
        <v>Not Sampled</v>
      </c>
      <c r="U1489" t="str">
        <f>IF(T1489=1,"Positive",(IF(T1489=0,"Negative","Not Sampled")))</f>
        <v>Not Sampled</v>
      </c>
      <c r="V1489" s="1" t="str">
        <f>IF(U1489="Not Sampled","Not Sampled",IF(S1489=U1489,"Accurate Prediction","Inaccurate Prediction"))</f>
        <v>Not Sampled</v>
      </c>
    </row>
    <row r="1490" spans="1:22" x14ac:dyDescent="0.25">
      <c r="A1490" s="1">
        <v>1488</v>
      </c>
      <c r="B1490" s="1">
        <v>1</v>
      </c>
      <c r="C1490" s="1">
        <f>LOOKUP(B1490,Sheet2!$D$4:$E$9)</f>
        <v>1</v>
      </c>
      <c r="D1490" s="1">
        <v>95</v>
      </c>
      <c r="E1490" t="str">
        <f>LOOKUP(D1490,Sheet2!$G$4:$H$9)</f>
        <v>1-99</v>
      </c>
      <c r="F1490" s="1">
        <v>82</v>
      </c>
      <c r="G1490" t="str">
        <f>LOOKUP(F1490,Sheet2!$J$4:$K$8)</f>
        <v>80+</v>
      </c>
      <c r="H1490" s="1">
        <v>25</v>
      </c>
      <c r="I1490" t="str">
        <f>LOOKUP(H1490,Sheet2!$M$4:$N$8)</f>
        <v>10-30</v>
      </c>
      <c r="J1490" s="1">
        <v>180</v>
      </c>
      <c r="K1490" t="str">
        <f>LOOKUP(J1490,Sheet2!$P$4:$Q$9)</f>
        <v>100-199</v>
      </c>
      <c r="L1490" s="1">
        <v>35</v>
      </c>
      <c r="M1490" t="str">
        <f>LOOKUP(L1490,Sheet2!$S$4:$T$8)</f>
        <v>31-35</v>
      </c>
      <c r="N1490" s="1">
        <v>0.23300000000000001</v>
      </c>
      <c r="O1490" t="str">
        <f>LOOKUP(N1490,Sheet2!$V$4:$W$7)</f>
        <v>0.0 - 0.249</v>
      </c>
      <c r="P1490" s="1">
        <v>43</v>
      </c>
      <c r="Q1490" t="str">
        <f>LOOKUP(P1490,Sheet2!$Z$4:$AA$7)</f>
        <v>36-45</v>
      </c>
      <c r="R1490" s="1">
        <v>1</v>
      </c>
      <c r="S1490" t="str">
        <f>IF(R1490=1,"Positive","Negative")</f>
        <v>Positive</v>
      </c>
      <c r="T1490" s="1" t="str">
        <f>IFERROR(VLOOKUP(A1490,[1]diabetes_Recognition!$A:$B,2,FALSE),"Not Sampled")</f>
        <v>Not Sampled</v>
      </c>
      <c r="U1490" t="str">
        <f>IF(T1490=1,"Positive",(IF(T1490=0,"Negative","Not Sampled")))</f>
        <v>Not Sampled</v>
      </c>
      <c r="V1490" s="1" t="str">
        <f>IF(U1490="Not Sampled","Not Sampled",IF(S1490=U1490,"Accurate Prediction","Inaccurate Prediction"))</f>
        <v>Not Sampled</v>
      </c>
    </row>
    <row r="1491" spans="1:22" x14ac:dyDescent="0.25">
      <c r="A1491" s="1">
        <v>1489</v>
      </c>
      <c r="B1491" s="1">
        <v>2</v>
      </c>
      <c r="C1491" s="1">
        <f>LOOKUP(B1491,Sheet2!$D$4:$E$9)</f>
        <v>2</v>
      </c>
      <c r="D1491" s="1">
        <v>99</v>
      </c>
      <c r="E1491" t="str">
        <f>LOOKUP(D1491,Sheet2!$G$4:$H$9)</f>
        <v>1-99</v>
      </c>
      <c r="F1491" s="1">
        <v>0</v>
      </c>
      <c r="G1491" t="str">
        <f>LOOKUP(F1491,Sheet2!$J$4:$K$8)</f>
        <v>Unknown</v>
      </c>
      <c r="H1491" s="1">
        <v>0</v>
      </c>
      <c r="I1491" t="str">
        <f>LOOKUP(H1491,Sheet2!$M$4:$N$8)</f>
        <v>Unknown</v>
      </c>
      <c r="J1491" s="1">
        <v>0</v>
      </c>
      <c r="K1491" t="str">
        <f>LOOKUP(J1491,Sheet2!$P$4:$Q$9)</f>
        <v>Unknown</v>
      </c>
      <c r="L1491" s="1">
        <v>22.2</v>
      </c>
      <c r="M1491" t="str">
        <f>LOOKUP(L1491,Sheet2!$S$4:$T$8)</f>
        <v>1-25</v>
      </c>
      <c r="N1491" s="1">
        <v>0.108</v>
      </c>
      <c r="O1491" t="str">
        <f>LOOKUP(N1491,Sheet2!$V$4:$W$7)</f>
        <v>0.0 - 0.249</v>
      </c>
      <c r="P1491" s="1">
        <v>23</v>
      </c>
      <c r="Q1491" t="str">
        <f>LOOKUP(P1491,Sheet2!$Z$4:$AA$7)</f>
        <v>&lt;=25</v>
      </c>
      <c r="R1491" s="1">
        <v>0</v>
      </c>
      <c r="S1491" t="str">
        <f>IF(R1491=1,"Positive","Negative")</f>
        <v>Negative</v>
      </c>
      <c r="T1491" s="1" t="str">
        <f>IFERROR(VLOOKUP(A1491,[1]diabetes_Recognition!$A:$B,2,FALSE),"Not Sampled")</f>
        <v>Not Sampled</v>
      </c>
      <c r="U1491" t="str">
        <f>IF(T1491=1,"Positive",(IF(T1491=0,"Negative","Not Sampled")))</f>
        <v>Not Sampled</v>
      </c>
      <c r="V1491" s="1" t="str">
        <f>IF(U1491="Not Sampled","Not Sampled",IF(S1491=U1491,"Accurate Prediction","Inaccurate Prediction"))</f>
        <v>Not Sampled</v>
      </c>
    </row>
    <row r="1492" spans="1:22" x14ac:dyDescent="0.25">
      <c r="A1492" s="1">
        <v>1490</v>
      </c>
      <c r="B1492" s="1">
        <v>3</v>
      </c>
      <c r="C1492" s="1" t="str">
        <f>LOOKUP(B1492,Sheet2!$D$4:$E$9)</f>
        <v>3-4</v>
      </c>
      <c r="D1492" s="1">
        <v>89</v>
      </c>
      <c r="E1492" t="str">
        <f>LOOKUP(D1492,Sheet2!$G$4:$H$9)</f>
        <v>1-99</v>
      </c>
      <c r="F1492" s="1">
        <v>74</v>
      </c>
      <c r="G1492" t="str">
        <f>LOOKUP(F1492,Sheet2!$J$4:$K$8)</f>
        <v>70-79</v>
      </c>
      <c r="H1492" s="1">
        <v>16</v>
      </c>
      <c r="I1492" t="str">
        <f>LOOKUP(H1492,Sheet2!$M$4:$N$8)</f>
        <v>10-30</v>
      </c>
      <c r="J1492" s="1">
        <v>85</v>
      </c>
      <c r="K1492" t="str">
        <f>LOOKUP(J1492,Sheet2!$P$4:$Q$9)</f>
        <v>1-99</v>
      </c>
      <c r="L1492" s="1">
        <v>30.4</v>
      </c>
      <c r="M1492" t="str">
        <f>LOOKUP(L1492,Sheet2!$S$4:$T$8)</f>
        <v>26-30</v>
      </c>
      <c r="N1492" s="1">
        <v>0.55100000000000005</v>
      </c>
      <c r="O1492" t="str">
        <f>LOOKUP(N1492,Sheet2!$V$4:$W$7)</f>
        <v>0.4 - 0.69</v>
      </c>
      <c r="P1492" s="1">
        <v>38</v>
      </c>
      <c r="Q1492" t="str">
        <f>LOOKUP(P1492,Sheet2!$Z$4:$AA$7)</f>
        <v>36-45</v>
      </c>
      <c r="R1492" s="1">
        <v>0</v>
      </c>
      <c r="S1492" t="str">
        <f>IF(R1492=1,"Positive","Negative")</f>
        <v>Negative</v>
      </c>
      <c r="T1492" s="1" t="str">
        <f>IFERROR(VLOOKUP(A1492,[1]diabetes_Recognition!$A:$B,2,FALSE),"Not Sampled")</f>
        <v>Not Sampled</v>
      </c>
      <c r="U1492" t="str">
        <f>IF(T1492=1,"Positive",(IF(T1492=0,"Negative","Not Sampled")))</f>
        <v>Not Sampled</v>
      </c>
      <c r="V1492" s="1" t="str">
        <f>IF(U1492="Not Sampled","Not Sampled",IF(S1492=U1492,"Accurate Prediction","Inaccurate Prediction"))</f>
        <v>Not Sampled</v>
      </c>
    </row>
    <row r="1493" spans="1:22" x14ac:dyDescent="0.25">
      <c r="A1493" s="1">
        <v>1491</v>
      </c>
      <c r="B1493" s="1">
        <v>1</v>
      </c>
      <c r="C1493" s="1">
        <f>LOOKUP(B1493,Sheet2!$D$4:$E$9)</f>
        <v>1</v>
      </c>
      <c r="D1493" s="1">
        <v>80</v>
      </c>
      <c r="E1493" t="str">
        <f>LOOKUP(D1493,Sheet2!$G$4:$H$9)</f>
        <v>1-99</v>
      </c>
      <c r="F1493" s="1">
        <v>74</v>
      </c>
      <c r="G1493" t="str">
        <f>LOOKUP(F1493,Sheet2!$J$4:$K$8)</f>
        <v>70-79</v>
      </c>
      <c r="H1493" s="1">
        <v>11</v>
      </c>
      <c r="I1493" t="str">
        <f>LOOKUP(H1493,Sheet2!$M$4:$N$8)</f>
        <v>10-30</v>
      </c>
      <c r="J1493" s="1">
        <v>60</v>
      </c>
      <c r="K1493" t="str">
        <f>LOOKUP(J1493,Sheet2!$P$4:$Q$9)</f>
        <v>1-99</v>
      </c>
      <c r="L1493" s="1">
        <v>30</v>
      </c>
      <c r="M1493" t="str">
        <f>LOOKUP(L1493,Sheet2!$S$4:$T$8)</f>
        <v>26-30</v>
      </c>
      <c r="N1493" s="1">
        <v>0.52700000000000002</v>
      </c>
      <c r="O1493" t="str">
        <f>LOOKUP(N1493,Sheet2!$V$4:$W$7)</f>
        <v>0.4 - 0.69</v>
      </c>
      <c r="P1493" s="1">
        <v>22</v>
      </c>
      <c r="Q1493" t="str">
        <f>LOOKUP(P1493,Sheet2!$Z$4:$AA$7)</f>
        <v>&lt;=25</v>
      </c>
      <c r="R1493" s="1">
        <v>0</v>
      </c>
      <c r="S1493" t="str">
        <f>IF(R1493=1,"Positive","Negative")</f>
        <v>Negative</v>
      </c>
      <c r="T1493" s="1" t="str">
        <f>IFERROR(VLOOKUP(A1493,[1]diabetes_Recognition!$A:$B,2,FALSE),"Not Sampled")</f>
        <v>Not Sampled</v>
      </c>
      <c r="U1493" t="str">
        <f>IF(T1493=1,"Positive",(IF(T1493=0,"Negative","Not Sampled")))</f>
        <v>Not Sampled</v>
      </c>
      <c r="V1493" s="1" t="str">
        <f>IF(U1493="Not Sampled","Not Sampled",IF(S1493=U1493,"Accurate Prediction","Inaccurate Prediction"))</f>
        <v>Not Sampled</v>
      </c>
    </row>
    <row r="1494" spans="1:22" x14ac:dyDescent="0.25">
      <c r="A1494" s="1">
        <v>1492</v>
      </c>
      <c r="B1494" s="1">
        <v>2</v>
      </c>
      <c r="C1494" s="1">
        <f>LOOKUP(B1494,Sheet2!$D$4:$E$9)</f>
        <v>2</v>
      </c>
      <c r="D1494" s="1">
        <v>139</v>
      </c>
      <c r="E1494" t="str">
        <f>LOOKUP(D1494,Sheet2!$G$4:$H$9)</f>
        <v>126-150</v>
      </c>
      <c r="F1494" s="1">
        <v>75</v>
      </c>
      <c r="G1494" t="str">
        <f>LOOKUP(F1494,Sheet2!$J$4:$K$8)</f>
        <v>70-79</v>
      </c>
      <c r="H1494" s="1">
        <v>0</v>
      </c>
      <c r="I1494" t="str">
        <f>LOOKUP(H1494,Sheet2!$M$4:$N$8)</f>
        <v>Unknown</v>
      </c>
      <c r="J1494" s="1">
        <v>0</v>
      </c>
      <c r="K1494" t="str">
        <f>LOOKUP(J1494,Sheet2!$P$4:$Q$9)</f>
        <v>Unknown</v>
      </c>
      <c r="L1494" s="1">
        <v>25.6</v>
      </c>
      <c r="M1494" t="str">
        <f>LOOKUP(L1494,Sheet2!$S$4:$T$8)</f>
        <v>1-25</v>
      </c>
      <c r="N1494" s="1">
        <v>0.16700000000000001</v>
      </c>
      <c r="O1494" t="str">
        <f>LOOKUP(N1494,Sheet2!$V$4:$W$7)</f>
        <v>0.0 - 0.249</v>
      </c>
      <c r="P1494" s="1">
        <v>29</v>
      </c>
      <c r="Q1494" t="str">
        <f>LOOKUP(P1494,Sheet2!$Z$4:$AA$7)</f>
        <v>26-35</v>
      </c>
      <c r="R1494" s="1">
        <v>0</v>
      </c>
      <c r="S1494" t="str">
        <f>IF(R1494=1,"Positive","Negative")</f>
        <v>Negative</v>
      </c>
      <c r="T1494" s="1" t="str">
        <f>IFERROR(VLOOKUP(A1494,[1]diabetes_Recognition!$A:$B,2,FALSE),"Not Sampled")</f>
        <v>Not Sampled</v>
      </c>
      <c r="U1494" t="str">
        <f>IF(T1494=1,"Positive",(IF(T1494=0,"Negative","Not Sampled")))</f>
        <v>Not Sampled</v>
      </c>
      <c r="V1494" s="1" t="str">
        <f>IF(U1494="Not Sampled","Not Sampled",IF(S1494=U1494,"Accurate Prediction","Inaccurate Prediction"))</f>
        <v>Not Sampled</v>
      </c>
    </row>
    <row r="1495" spans="1:22" x14ac:dyDescent="0.25">
      <c r="A1495" s="1">
        <v>1493</v>
      </c>
      <c r="B1495" s="1">
        <v>1</v>
      </c>
      <c r="C1495" s="1">
        <f>LOOKUP(B1495,Sheet2!$D$4:$E$9)</f>
        <v>1</v>
      </c>
      <c r="D1495" s="1">
        <v>90</v>
      </c>
      <c r="E1495" t="str">
        <f>LOOKUP(D1495,Sheet2!$G$4:$H$9)</f>
        <v>1-99</v>
      </c>
      <c r="F1495" s="1">
        <v>68</v>
      </c>
      <c r="G1495" t="str">
        <f>LOOKUP(F1495,Sheet2!$J$4:$K$8)</f>
        <v>60-69</v>
      </c>
      <c r="H1495" s="1">
        <v>8</v>
      </c>
      <c r="I1495" t="str">
        <f>LOOKUP(H1495,Sheet2!$M$4:$N$8)</f>
        <v>1-10</v>
      </c>
      <c r="J1495" s="1">
        <v>0</v>
      </c>
      <c r="K1495" t="str">
        <f>LOOKUP(J1495,Sheet2!$P$4:$Q$9)</f>
        <v>Unknown</v>
      </c>
      <c r="L1495" s="1">
        <v>24.5</v>
      </c>
      <c r="M1495" t="str">
        <f>LOOKUP(L1495,Sheet2!$S$4:$T$8)</f>
        <v>1-25</v>
      </c>
      <c r="N1495" s="1">
        <v>1.1379999999999999</v>
      </c>
      <c r="O1495" t="str">
        <f>LOOKUP(N1495,Sheet2!$V$4:$W$7)</f>
        <v>0.7+</v>
      </c>
      <c r="P1495" s="1">
        <v>36</v>
      </c>
      <c r="Q1495" t="str">
        <f>LOOKUP(P1495,Sheet2!$Z$4:$AA$7)</f>
        <v>36-45</v>
      </c>
      <c r="R1495" s="1">
        <v>0</v>
      </c>
      <c r="S1495" t="str">
        <f>IF(R1495=1,"Positive","Negative")</f>
        <v>Negative</v>
      </c>
      <c r="T1495" s="1" t="str">
        <f>IFERROR(VLOOKUP(A1495,[1]diabetes_Recognition!$A:$B,2,FALSE),"Not Sampled")</f>
        <v>Not Sampled</v>
      </c>
      <c r="U1495" t="str">
        <f>IF(T1495=1,"Positive",(IF(T1495=0,"Negative","Not Sampled")))</f>
        <v>Not Sampled</v>
      </c>
      <c r="V1495" s="1" t="str">
        <f>IF(U1495="Not Sampled","Not Sampled",IF(S1495=U1495,"Accurate Prediction","Inaccurate Prediction"))</f>
        <v>Not Sampled</v>
      </c>
    </row>
    <row r="1496" spans="1:22" x14ac:dyDescent="0.25">
      <c r="A1496" s="1">
        <v>1494</v>
      </c>
      <c r="B1496" s="1">
        <v>0</v>
      </c>
      <c r="C1496" s="1">
        <f>LOOKUP(B1496,Sheet2!$D$4:$E$9)</f>
        <v>0</v>
      </c>
      <c r="D1496" s="1">
        <v>141</v>
      </c>
      <c r="E1496" t="str">
        <f>LOOKUP(D1496,Sheet2!$G$4:$H$9)</f>
        <v>126-150</v>
      </c>
      <c r="F1496" s="1">
        <v>0</v>
      </c>
      <c r="G1496" t="str">
        <f>LOOKUP(F1496,Sheet2!$J$4:$K$8)</f>
        <v>Unknown</v>
      </c>
      <c r="H1496" s="1">
        <v>0</v>
      </c>
      <c r="I1496" t="str">
        <f>LOOKUP(H1496,Sheet2!$M$4:$N$8)</f>
        <v>Unknown</v>
      </c>
      <c r="J1496" s="1">
        <v>0</v>
      </c>
      <c r="K1496" t="str">
        <f>LOOKUP(J1496,Sheet2!$P$4:$Q$9)</f>
        <v>Unknown</v>
      </c>
      <c r="L1496" s="1">
        <v>42.4</v>
      </c>
      <c r="M1496" t="str">
        <f>LOOKUP(L1496,Sheet2!$S$4:$T$8)</f>
        <v>36+</v>
      </c>
      <c r="N1496" s="1">
        <v>0.20499999999999999</v>
      </c>
      <c r="O1496" t="str">
        <f>LOOKUP(N1496,Sheet2!$V$4:$W$7)</f>
        <v>0.0 - 0.249</v>
      </c>
      <c r="P1496" s="1">
        <v>29</v>
      </c>
      <c r="Q1496" t="str">
        <f>LOOKUP(P1496,Sheet2!$Z$4:$AA$7)</f>
        <v>26-35</v>
      </c>
      <c r="R1496" s="1">
        <v>1</v>
      </c>
      <c r="S1496" t="str">
        <f>IF(R1496=1,"Positive","Negative")</f>
        <v>Positive</v>
      </c>
      <c r="T1496" s="1" t="str">
        <f>IFERROR(VLOOKUP(A1496,[1]diabetes_Recognition!$A:$B,2,FALSE),"Not Sampled")</f>
        <v>Not Sampled</v>
      </c>
      <c r="U1496" t="str">
        <f>IF(T1496=1,"Positive",(IF(T1496=0,"Negative","Not Sampled")))</f>
        <v>Not Sampled</v>
      </c>
      <c r="V1496" s="1" t="str">
        <f>IF(U1496="Not Sampled","Not Sampled",IF(S1496=U1496,"Accurate Prediction","Inaccurate Prediction"))</f>
        <v>Not Sampled</v>
      </c>
    </row>
    <row r="1497" spans="1:22" x14ac:dyDescent="0.25">
      <c r="A1497" s="1">
        <v>1495</v>
      </c>
      <c r="B1497" s="1">
        <v>12</v>
      </c>
      <c r="C1497" s="1" t="str">
        <f>LOOKUP(B1497,Sheet2!$D$4:$E$9)</f>
        <v>8+</v>
      </c>
      <c r="D1497" s="1">
        <v>140</v>
      </c>
      <c r="E1497" t="str">
        <f>LOOKUP(D1497,Sheet2!$G$4:$H$9)</f>
        <v>126-150</v>
      </c>
      <c r="F1497" s="1">
        <v>85</v>
      </c>
      <c r="G1497" t="str">
        <f>LOOKUP(F1497,Sheet2!$J$4:$K$8)</f>
        <v>80+</v>
      </c>
      <c r="H1497" s="1">
        <v>33</v>
      </c>
      <c r="I1497" t="str">
        <f>LOOKUP(H1497,Sheet2!$M$4:$N$8)</f>
        <v>30-39</v>
      </c>
      <c r="J1497" s="1">
        <v>0</v>
      </c>
      <c r="K1497" t="str">
        <f>LOOKUP(J1497,Sheet2!$P$4:$Q$9)</f>
        <v>Unknown</v>
      </c>
      <c r="L1497" s="1">
        <v>37.4</v>
      </c>
      <c r="M1497" t="str">
        <f>LOOKUP(L1497,Sheet2!$S$4:$T$8)</f>
        <v>36+</v>
      </c>
      <c r="N1497" s="1">
        <v>0.24399999999999999</v>
      </c>
      <c r="O1497" t="str">
        <f>LOOKUP(N1497,Sheet2!$V$4:$W$7)</f>
        <v>0.0 - 0.249</v>
      </c>
      <c r="P1497" s="1">
        <v>41</v>
      </c>
      <c r="Q1497" t="str">
        <f>LOOKUP(P1497,Sheet2!$Z$4:$AA$7)</f>
        <v>36-45</v>
      </c>
      <c r="R1497" s="1">
        <v>0</v>
      </c>
      <c r="S1497" t="str">
        <f>IF(R1497=1,"Positive","Negative")</f>
        <v>Negative</v>
      </c>
      <c r="T1497" s="1" t="str">
        <f>IFERROR(VLOOKUP(A1497,[1]diabetes_Recognition!$A:$B,2,FALSE),"Not Sampled")</f>
        <v>Not Sampled</v>
      </c>
      <c r="U1497" t="str">
        <f>IF(T1497=1,"Positive",(IF(T1497=0,"Negative","Not Sampled")))</f>
        <v>Not Sampled</v>
      </c>
      <c r="V1497" s="1" t="str">
        <f>IF(U1497="Not Sampled","Not Sampled",IF(S1497=U1497,"Accurate Prediction","Inaccurate Prediction"))</f>
        <v>Not Sampled</v>
      </c>
    </row>
    <row r="1498" spans="1:22" x14ac:dyDescent="0.25">
      <c r="A1498" s="1">
        <v>1496</v>
      </c>
      <c r="B1498" s="1">
        <v>5</v>
      </c>
      <c r="C1498" s="1" t="str">
        <f>LOOKUP(B1498,Sheet2!$D$4:$E$9)</f>
        <v>5-7</v>
      </c>
      <c r="D1498" s="1">
        <v>147</v>
      </c>
      <c r="E1498" t="str">
        <f>LOOKUP(D1498,Sheet2!$G$4:$H$9)</f>
        <v>126-150</v>
      </c>
      <c r="F1498" s="1">
        <v>75</v>
      </c>
      <c r="G1498" t="str">
        <f>LOOKUP(F1498,Sheet2!$J$4:$K$8)</f>
        <v>70-79</v>
      </c>
      <c r="H1498" s="1">
        <v>0</v>
      </c>
      <c r="I1498" t="str">
        <f>LOOKUP(H1498,Sheet2!$M$4:$N$8)</f>
        <v>Unknown</v>
      </c>
      <c r="J1498" s="1">
        <v>0</v>
      </c>
      <c r="K1498" t="str">
        <f>LOOKUP(J1498,Sheet2!$P$4:$Q$9)</f>
        <v>Unknown</v>
      </c>
      <c r="L1498" s="1">
        <v>29.9</v>
      </c>
      <c r="M1498" t="str">
        <f>LOOKUP(L1498,Sheet2!$S$4:$T$8)</f>
        <v>26-30</v>
      </c>
      <c r="N1498" s="1">
        <v>0.434</v>
      </c>
      <c r="O1498" t="str">
        <f>LOOKUP(N1498,Sheet2!$V$4:$W$7)</f>
        <v>0.4 - 0.69</v>
      </c>
      <c r="P1498" s="1">
        <v>28</v>
      </c>
      <c r="Q1498" t="str">
        <f>LOOKUP(P1498,Sheet2!$Z$4:$AA$7)</f>
        <v>26-35</v>
      </c>
      <c r="R1498" s="1">
        <v>0</v>
      </c>
      <c r="S1498" t="str">
        <f>IF(R1498=1,"Positive","Negative")</f>
        <v>Negative</v>
      </c>
      <c r="T1498" s="1">
        <f>IFERROR(VLOOKUP(A1498,[1]diabetes_Recognition!$A:$B,2,FALSE),"Not Sampled")</f>
        <v>1</v>
      </c>
      <c r="U1498" t="str">
        <f>IF(T1498=1,"Positive",(IF(T1498=0,"Negative","Not Sampled")))</f>
        <v>Positive</v>
      </c>
      <c r="V1498" s="1" t="str">
        <f>IF(U1498="Not Sampled","Not Sampled",IF(S1498=U1498,"Accurate Prediction","Inaccurate Prediction"))</f>
        <v>Inaccurate Prediction</v>
      </c>
    </row>
    <row r="1499" spans="1:22" x14ac:dyDescent="0.25">
      <c r="A1499" s="1">
        <v>1497</v>
      </c>
      <c r="B1499" s="1">
        <v>1</v>
      </c>
      <c r="C1499" s="1">
        <f>LOOKUP(B1499,Sheet2!$D$4:$E$9)</f>
        <v>1</v>
      </c>
      <c r="D1499" s="1">
        <v>97</v>
      </c>
      <c r="E1499" t="str">
        <f>LOOKUP(D1499,Sheet2!$G$4:$H$9)</f>
        <v>1-99</v>
      </c>
      <c r="F1499" s="1">
        <v>70</v>
      </c>
      <c r="G1499" t="str">
        <f>LOOKUP(F1499,Sheet2!$J$4:$K$8)</f>
        <v>70-79</v>
      </c>
      <c r="H1499" s="1">
        <v>15</v>
      </c>
      <c r="I1499" t="str">
        <f>LOOKUP(H1499,Sheet2!$M$4:$N$8)</f>
        <v>10-30</v>
      </c>
      <c r="J1499" s="1">
        <v>0</v>
      </c>
      <c r="K1499" t="str">
        <f>LOOKUP(J1499,Sheet2!$P$4:$Q$9)</f>
        <v>Unknown</v>
      </c>
      <c r="L1499" s="1">
        <v>18.2</v>
      </c>
      <c r="M1499" t="str">
        <f>LOOKUP(L1499,Sheet2!$S$4:$T$8)</f>
        <v>1-25</v>
      </c>
      <c r="N1499" s="1">
        <v>0.14699999999999999</v>
      </c>
      <c r="O1499" t="str">
        <f>LOOKUP(N1499,Sheet2!$V$4:$W$7)</f>
        <v>0.0 - 0.249</v>
      </c>
      <c r="P1499" s="1">
        <v>21</v>
      </c>
      <c r="Q1499" t="str">
        <f>LOOKUP(P1499,Sheet2!$Z$4:$AA$7)</f>
        <v>&lt;=25</v>
      </c>
      <c r="R1499" s="1">
        <v>0</v>
      </c>
      <c r="S1499" t="str">
        <f>IF(R1499=1,"Positive","Negative")</f>
        <v>Negative</v>
      </c>
      <c r="T1499" s="1" t="str">
        <f>IFERROR(VLOOKUP(A1499,[1]diabetes_Recognition!$A:$B,2,FALSE),"Not Sampled")</f>
        <v>Not Sampled</v>
      </c>
      <c r="U1499" t="str">
        <f>IF(T1499=1,"Positive",(IF(T1499=0,"Negative","Not Sampled")))</f>
        <v>Not Sampled</v>
      </c>
      <c r="V1499" s="1" t="str">
        <f>IF(U1499="Not Sampled","Not Sampled",IF(S1499=U1499,"Accurate Prediction","Inaccurate Prediction"))</f>
        <v>Not Sampled</v>
      </c>
    </row>
    <row r="1500" spans="1:22" x14ac:dyDescent="0.25">
      <c r="A1500" s="1">
        <v>1498</v>
      </c>
      <c r="B1500" s="1">
        <v>6</v>
      </c>
      <c r="C1500" s="1" t="str">
        <f>LOOKUP(B1500,Sheet2!$D$4:$E$9)</f>
        <v>5-7</v>
      </c>
      <c r="D1500" s="1">
        <v>107</v>
      </c>
      <c r="E1500" t="str">
        <f>LOOKUP(D1500,Sheet2!$G$4:$H$9)</f>
        <v>100-125</v>
      </c>
      <c r="F1500" s="1">
        <v>88</v>
      </c>
      <c r="G1500" t="str">
        <f>LOOKUP(F1500,Sheet2!$J$4:$K$8)</f>
        <v>80+</v>
      </c>
      <c r="H1500" s="1">
        <v>0</v>
      </c>
      <c r="I1500" t="str">
        <f>LOOKUP(H1500,Sheet2!$M$4:$N$8)</f>
        <v>Unknown</v>
      </c>
      <c r="J1500" s="1">
        <v>0</v>
      </c>
      <c r="K1500" t="str">
        <f>LOOKUP(J1500,Sheet2!$P$4:$Q$9)</f>
        <v>Unknown</v>
      </c>
      <c r="L1500" s="1">
        <v>36.799999999999997</v>
      </c>
      <c r="M1500" t="str">
        <f>LOOKUP(L1500,Sheet2!$S$4:$T$8)</f>
        <v>36+</v>
      </c>
      <c r="N1500" s="1">
        <v>0.72699999999999998</v>
      </c>
      <c r="O1500" t="str">
        <f>LOOKUP(N1500,Sheet2!$V$4:$W$7)</f>
        <v>0.7+</v>
      </c>
      <c r="P1500" s="1">
        <v>31</v>
      </c>
      <c r="Q1500" t="str">
        <f>LOOKUP(P1500,Sheet2!$Z$4:$AA$7)</f>
        <v>26-35</v>
      </c>
      <c r="R1500" s="1">
        <v>0</v>
      </c>
      <c r="S1500" t="str">
        <f>IF(R1500=1,"Positive","Negative")</f>
        <v>Negative</v>
      </c>
      <c r="T1500" s="1" t="str">
        <f>IFERROR(VLOOKUP(A1500,[1]diabetes_Recognition!$A:$B,2,FALSE),"Not Sampled")</f>
        <v>Not Sampled</v>
      </c>
      <c r="U1500" t="str">
        <f>IF(T1500=1,"Positive",(IF(T1500=0,"Negative","Not Sampled")))</f>
        <v>Not Sampled</v>
      </c>
      <c r="V1500" s="1" t="str">
        <f>IF(U1500="Not Sampled","Not Sampled",IF(S1500=U1500,"Accurate Prediction","Inaccurate Prediction"))</f>
        <v>Not Sampled</v>
      </c>
    </row>
    <row r="1501" spans="1:22" x14ac:dyDescent="0.25">
      <c r="A1501" s="1">
        <v>1499</v>
      </c>
      <c r="B1501" s="1">
        <v>0</v>
      </c>
      <c r="C1501" s="1">
        <f>LOOKUP(B1501,Sheet2!$D$4:$E$9)</f>
        <v>0</v>
      </c>
      <c r="D1501" s="1">
        <v>189</v>
      </c>
      <c r="E1501" t="str">
        <f>LOOKUP(D1501,Sheet2!$G$4:$H$9)</f>
        <v>176-200</v>
      </c>
      <c r="F1501" s="1">
        <v>104</v>
      </c>
      <c r="G1501" t="str">
        <f>LOOKUP(F1501,Sheet2!$J$4:$K$8)</f>
        <v>80+</v>
      </c>
      <c r="H1501" s="1">
        <v>25</v>
      </c>
      <c r="I1501" t="str">
        <f>LOOKUP(H1501,Sheet2!$M$4:$N$8)</f>
        <v>10-30</v>
      </c>
      <c r="J1501" s="1">
        <v>0</v>
      </c>
      <c r="K1501" t="str">
        <f>LOOKUP(J1501,Sheet2!$P$4:$Q$9)</f>
        <v>Unknown</v>
      </c>
      <c r="L1501" s="1">
        <v>34.299999999999997</v>
      </c>
      <c r="M1501" t="str">
        <f>LOOKUP(L1501,Sheet2!$S$4:$T$8)</f>
        <v>31-35</v>
      </c>
      <c r="N1501" s="1">
        <v>0.435</v>
      </c>
      <c r="O1501" t="str">
        <f>LOOKUP(N1501,Sheet2!$V$4:$W$7)</f>
        <v>0.4 - 0.69</v>
      </c>
      <c r="P1501" s="1">
        <v>41</v>
      </c>
      <c r="Q1501" t="str">
        <f>LOOKUP(P1501,Sheet2!$Z$4:$AA$7)</f>
        <v>36-45</v>
      </c>
      <c r="R1501" s="1">
        <v>1</v>
      </c>
      <c r="S1501" t="str">
        <f>IF(R1501=1,"Positive","Negative")</f>
        <v>Positive</v>
      </c>
      <c r="T1501" s="1" t="str">
        <f>IFERROR(VLOOKUP(A1501,[1]diabetes_Recognition!$A:$B,2,FALSE),"Not Sampled")</f>
        <v>Not Sampled</v>
      </c>
      <c r="U1501" t="str">
        <f>IF(T1501=1,"Positive",(IF(T1501=0,"Negative","Not Sampled")))</f>
        <v>Not Sampled</v>
      </c>
      <c r="V1501" s="1" t="str">
        <f>IF(U1501="Not Sampled","Not Sampled",IF(S1501=U1501,"Accurate Prediction","Inaccurate Prediction"))</f>
        <v>Not Sampled</v>
      </c>
    </row>
    <row r="1502" spans="1:22" x14ac:dyDescent="0.25">
      <c r="A1502" s="1">
        <v>1500</v>
      </c>
      <c r="B1502" s="1">
        <v>2</v>
      </c>
      <c r="C1502" s="1">
        <f>LOOKUP(B1502,Sheet2!$D$4:$E$9)</f>
        <v>2</v>
      </c>
      <c r="D1502" s="1">
        <v>83</v>
      </c>
      <c r="E1502" t="str">
        <f>LOOKUP(D1502,Sheet2!$G$4:$H$9)</f>
        <v>1-99</v>
      </c>
      <c r="F1502" s="1">
        <v>66</v>
      </c>
      <c r="G1502" t="str">
        <f>LOOKUP(F1502,Sheet2!$J$4:$K$8)</f>
        <v>60-69</v>
      </c>
      <c r="H1502" s="1">
        <v>23</v>
      </c>
      <c r="I1502" t="str">
        <f>LOOKUP(H1502,Sheet2!$M$4:$N$8)</f>
        <v>10-30</v>
      </c>
      <c r="J1502" s="1">
        <v>50</v>
      </c>
      <c r="K1502" t="str">
        <f>LOOKUP(J1502,Sheet2!$P$4:$Q$9)</f>
        <v>1-99</v>
      </c>
      <c r="L1502" s="1">
        <v>32.200000000000003</v>
      </c>
      <c r="M1502" t="str">
        <f>LOOKUP(L1502,Sheet2!$S$4:$T$8)</f>
        <v>31-35</v>
      </c>
      <c r="N1502" s="1">
        <v>0.497</v>
      </c>
      <c r="O1502" t="str">
        <f>LOOKUP(N1502,Sheet2!$V$4:$W$7)</f>
        <v>0.4 - 0.69</v>
      </c>
      <c r="P1502" s="1">
        <v>22</v>
      </c>
      <c r="Q1502" t="str">
        <f>LOOKUP(P1502,Sheet2!$Z$4:$AA$7)</f>
        <v>&lt;=25</v>
      </c>
      <c r="R1502" s="1">
        <v>0</v>
      </c>
      <c r="S1502" t="str">
        <f>IF(R1502=1,"Positive","Negative")</f>
        <v>Negative</v>
      </c>
      <c r="T1502" s="1" t="str">
        <f>IFERROR(VLOOKUP(A1502,[1]diabetes_Recognition!$A:$B,2,FALSE),"Not Sampled")</f>
        <v>Not Sampled</v>
      </c>
      <c r="U1502" t="str">
        <f>IF(T1502=1,"Positive",(IF(T1502=0,"Negative","Not Sampled")))</f>
        <v>Not Sampled</v>
      </c>
      <c r="V1502" s="1" t="str">
        <f>IF(U1502="Not Sampled","Not Sampled",IF(S1502=U1502,"Accurate Prediction","Inaccurate Prediction"))</f>
        <v>Not Sampled</v>
      </c>
    </row>
    <row r="1503" spans="1:22" x14ac:dyDescent="0.25">
      <c r="A1503" s="1">
        <v>1501</v>
      </c>
      <c r="B1503" s="1">
        <v>4</v>
      </c>
      <c r="C1503" s="1" t="str">
        <f>LOOKUP(B1503,Sheet2!$D$4:$E$9)</f>
        <v>3-4</v>
      </c>
      <c r="D1503" s="1">
        <v>117</v>
      </c>
      <c r="E1503" t="str">
        <f>LOOKUP(D1503,Sheet2!$G$4:$H$9)</f>
        <v>100-125</v>
      </c>
      <c r="F1503" s="1">
        <v>64</v>
      </c>
      <c r="G1503" t="str">
        <f>LOOKUP(F1503,Sheet2!$J$4:$K$8)</f>
        <v>60-69</v>
      </c>
      <c r="H1503" s="1">
        <v>27</v>
      </c>
      <c r="I1503" t="str">
        <f>LOOKUP(H1503,Sheet2!$M$4:$N$8)</f>
        <v>10-30</v>
      </c>
      <c r="J1503" s="1">
        <v>120</v>
      </c>
      <c r="K1503" t="str">
        <f>LOOKUP(J1503,Sheet2!$P$4:$Q$9)</f>
        <v>100-199</v>
      </c>
      <c r="L1503" s="1">
        <v>33.200000000000003</v>
      </c>
      <c r="M1503" t="str">
        <f>LOOKUP(L1503,Sheet2!$S$4:$T$8)</f>
        <v>31-35</v>
      </c>
      <c r="N1503" s="1">
        <v>0.23</v>
      </c>
      <c r="O1503" t="str">
        <f>LOOKUP(N1503,Sheet2!$V$4:$W$7)</f>
        <v>0.0 - 0.249</v>
      </c>
      <c r="P1503" s="1">
        <v>24</v>
      </c>
      <c r="Q1503" t="str">
        <f>LOOKUP(P1503,Sheet2!$Z$4:$AA$7)</f>
        <v>&lt;=25</v>
      </c>
      <c r="R1503" s="1">
        <v>0</v>
      </c>
      <c r="S1503" t="str">
        <f>IF(R1503=1,"Positive","Negative")</f>
        <v>Negative</v>
      </c>
      <c r="T1503" s="1">
        <f>IFERROR(VLOOKUP(A1503,[1]diabetes_Recognition!$A:$B,2,FALSE),"Not Sampled")</f>
        <v>0</v>
      </c>
      <c r="U1503" t="str">
        <f>IF(T1503=1,"Positive",(IF(T1503=0,"Negative","Not Sampled")))</f>
        <v>Negative</v>
      </c>
      <c r="V1503" s="1" t="str">
        <f>IF(U1503="Not Sampled","Not Sampled",IF(S1503=U1503,"Accurate Prediction","Inaccurate Prediction"))</f>
        <v>Accurate Prediction</v>
      </c>
    </row>
    <row r="1504" spans="1:22" x14ac:dyDescent="0.25">
      <c r="A1504" s="1">
        <v>1502</v>
      </c>
      <c r="B1504" s="1">
        <v>8</v>
      </c>
      <c r="C1504" s="1" t="str">
        <f>LOOKUP(B1504,Sheet2!$D$4:$E$9)</f>
        <v>8+</v>
      </c>
      <c r="D1504" s="1">
        <v>108</v>
      </c>
      <c r="E1504" t="str">
        <f>LOOKUP(D1504,Sheet2!$G$4:$H$9)</f>
        <v>100-125</v>
      </c>
      <c r="F1504" s="1">
        <v>70</v>
      </c>
      <c r="G1504" t="str">
        <f>LOOKUP(F1504,Sheet2!$J$4:$K$8)</f>
        <v>70-79</v>
      </c>
      <c r="H1504" s="1">
        <v>0</v>
      </c>
      <c r="I1504" t="str">
        <f>LOOKUP(H1504,Sheet2!$M$4:$N$8)</f>
        <v>Unknown</v>
      </c>
      <c r="J1504" s="1">
        <v>0</v>
      </c>
      <c r="K1504" t="str">
        <f>LOOKUP(J1504,Sheet2!$P$4:$Q$9)</f>
        <v>Unknown</v>
      </c>
      <c r="L1504" s="1">
        <v>30.5</v>
      </c>
      <c r="M1504" t="str">
        <f>LOOKUP(L1504,Sheet2!$S$4:$T$8)</f>
        <v>26-30</v>
      </c>
      <c r="N1504" s="1">
        <v>0.95499999999999996</v>
      </c>
      <c r="O1504" t="str">
        <f>LOOKUP(N1504,Sheet2!$V$4:$W$7)</f>
        <v>0.7+</v>
      </c>
      <c r="P1504" s="1">
        <v>33</v>
      </c>
      <c r="Q1504" t="str">
        <f>LOOKUP(P1504,Sheet2!$Z$4:$AA$7)</f>
        <v>26-35</v>
      </c>
      <c r="R1504" s="1">
        <v>1</v>
      </c>
      <c r="S1504" t="str">
        <f>IF(R1504=1,"Positive","Negative")</f>
        <v>Positive</v>
      </c>
      <c r="T1504" s="1" t="str">
        <f>IFERROR(VLOOKUP(A1504,[1]diabetes_Recognition!$A:$B,2,FALSE),"Not Sampled")</f>
        <v>Not Sampled</v>
      </c>
      <c r="U1504" t="str">
        <f>IF(T1504=1,"Positive",(IF(T1504=0,"Negative","Not Sampled")))</f>
        <v>Not Sampled</v>
      </c>
      <c r="V1504" s="1" t="str">
        <f>IF(U1504="Not Sampled","Not Sampled",IF(S1504=U1504,"Accurate Prediction","Inaccurate Prediction"))</f>
        <v>Not Sampled</v>
      </c>
    </row>
    <row r="1505" spans="1:22" x14ac:dyDescent="0.25">
      <c r="A1505" s="1">
        <v>1503</v>
      </c>
      <c r="B1505" s="1">
        <v>4</v>
      </c>
      <c r="C1505" s="1" t="str">
        <f>LOOKUP(B1505,Sheet2!$D$4:$E$9)</f>
        <v>3-4</v>
      </c>
      <c r="D1505" s="1">
        <v>117</v>
      </c>
      <c r="E1505" t="str">
        <f>LOOKUP(D1505,Sheet2!$G$4:$H$9)</f>
        <v>100-125</v>
      </c>
      <c r="F1505" s="1">
        <v>62</v>
      </c>
      <c r="G1505" t="str">
        <f>LOOKUP(F1505,Sheet2!$J$4:$K$8)</f>
        <v>60-69</v>
      </c>
      <c r="H1505" s="1">
        <v>12</v>
      </c>
      <c r="I1505" t="str">
        <f>LOOKUP(H1505,Sheet2!$M$4:$N$8)</f>
        <v>10-30</v>
      </c>
      <c r="J1505" s="1">
        <v>0</v>
      </c>
      <c r="K1505" t="str">
        <f>LOOKUP(J1505,Sheet2!$P$4:$Q$9)</f>
        <v>Unknown</v>
      </c>
      <c r="L1505" s="1">
        <v>29.7</v>
      </c>
      <c r="M1505" t="str">
        <f>LOOKUP(L1505,Sheet2!$S$4:$T$8)</f>
        <v>26-30</v>
      </c>
      <c r="N1505" s="1">
        <v>0.38</v>
      </c>
      <c r="O1505" t="str">
        <f>LOOKUP(N1505,Sheet2!$V$4:$W$7)</f>
        <v>0.25 - 0.39</v>
      </c>
      <c r="P1505" s="1">
        <v>30</v>
      </c>
      <c r="Q1505" t="str">
        <f>LOOKUP(P1505,Sheet2!$Z$4:$AA$7)</f>
        <v>26-35</v>
      </c>
      <c r="R1505" s="1">
        <v>1</v>
      </c>
      <c r="S1505" t="str">
        <f>IF(R1505=1,"Positive","Negative")</f>
        <v>Positive</v>
      </c>
      <c r="T1505" s="1" t="str">
        <f>IFERROR(VLOOKUP(A1505,[1]diabetes_Recognition!$A:$B,2,FALSE),"Not Sampled")</f>
        <v>Not Sampled</v>
      </c>
      <c r="U1505" t="str">
        <f>IF(T1505=1,"Positive",(IF(T1505=0,"Negative","Not Sampled")))</f>
        <v>Not Sampled</v>
      </c>
      <c r="V1505" s="1" t="str">
        <f>IF(U1505="Not Sampled","Not Sampled",IF(S1505=U1505,"Accurate Prediction","Inaccurate Prediction"))</f>
        <v>Not Sampled</v>
      </c>
    </row>
    <row r="1506" spans="1:22" x14ac:dyDescent="0.25">
      <c r="A1506" s="1">
        <v>1504</v>
      </c>
      <c r="B1506" s="1">
        <v>0</v>
      </c>
      <c r="C1506" s="1">
        <f>LOOKUP(B1506,Sheet2!$D$4:$E$9)</f>
        <v>0</v>
      </c>
      <c r="D1506" s="1">
        <v>180</v>
      </c>
      <c r="E1506" t="str">
        <f>LOOKUP(D1506,Sheet2!$G$4:$H$9)</f>
        <v>176-200</v>
      </c>
      <c r="F1506" s="1">
        <v>78</v>
      </c>
      <c r="G1506" t="str">
        <f>LOOKUP(F1506,Sheet2!$J$4:$K$8)</f>
        <v>70-79</v>
      </c>
      <c r="H1506" s="1">
        <v>63</v>
      </c>
      <c r="I1506" t="str">
        <f>LOOKUP(H1506,Sheet2!$M$4:$N$8)</f>
        <v>40+</v>
      </c>
      <c r="J1506" s="1">
        <v>14</v>
      </c>
      <c r="K1506" t="str">
        <f>LOOKUP(J1506,Sheet2!$P$4:$Q$9)</f>
        <v>1-99</v>
      </c>
      <c r="L1506" s="1">
        <v>59.4</v>
      </c>
      <c r="M1506" t="str">
        <f>LOOKUP(L1506,Sheet2!$S$4:$T$8)</f>
        <v>36+</v>
      </c>
      <c r="N1506" s="1">
        <v>2.42</v>
      </c>
      <c r="O1506" t="str">
        <f>LOOKUP(N1506,Sheet2!$V$4:$W$7)</f>
        <v>0.7+</v>
      </c>
      <c r="P1506" s="1">
        <v>25</v>
      </c>
      <c r="Q1506" t="str">
        <f>LOOKUP(P1506,Sheet2!$Z$4:$AA$7)</f>
        <v>&lt;=25</v>
      </c>
      <c r="R1506" s="1">
        <v>1</v>
      </c>
      <c r="S1506" t="str">
        <f>IF(R1506=1,"Positive","Negative")</f>
        <v>Positive</v>
      </c>
      <c r="T1506" s="1" t="str">
        <f>IFERROR(VLOOKUP(A1506,[1]diabetes_Recognition!$A:$B,2,FALSE),"Not Sampled")</f>
        <v>Not Sampled</v>
      </c>
      <c r="U1506" t="str">
        <f>IF(T1506=1,"Positive",(IF(T1506=0,"Negative","Not Sampled")))</f>
        <v>Not Sampled</v>
      </c>
      <c r="V1506" s="1" t="str">
        <f>IF(U1506="Not Sampled","Not Sampled",IF(S1506=U1506,"Accurate Prediction","Inaccurate Prediction"))</f>
        <v>Not Sampled</v>
      </c>
    </row>
    <row r="1507" spans="1:22" x14ac:dyDescent="0.25">
      <c r="A1507" s="1">
        <v>1505</v>
      </c>
      <c r="B1507" s="1">
        <v>1</v>
      </c>
      <c r="C1507" s="1">
        <f>LOOKUP(B1507,Sheet2!$D$4:$E$9)</f>
        <v>1</v>
      </c>
      <c r="D1507" s="1">
        <v>100</v>
      </c>
      <c r="E1507" t="str">
        <f>LOOKUP(D1507,Sheet2!$G$4:$H$9)</f>
        <v>100-125</v>
      </c>
      <c r="F1507" s="1">
        <v>72</v>
      </c>
      <c r="G1507" t="str">
        <f>LOOKUP(F1507,Sheet2!$J$4:$K$8)</f>
        <v>70-79</v>
      </c>
      <c r="H1507" s="1">
        <v>12</v>
      </c>
      <c r="I1507" t="str">
        <f>LOOKUP(H1507,Sheet2!$M$4:$N$8)</f>
        <v>10-30</v>
      </c>
      <c r="J1507" s="1">
        <v>70</v>
      </c>
      <c r="K1507" t="str">
        <f>LOOKUP(J1507,Sheet2!$P$4:$Q$9)</f>
        <v>1-99</v>
      </c>
      <c r="L1507" s="1">
        <v>25.3</v>
      </c>
      <c r="M1507" t="str">
        <f>LOOKUP(L1507,Sheet2!$S$4:$T$8)</f>
        <v>1-25</v>
      </c>
      <c r="N1507" s="1">
        <v>0.65800000000000003</v>
      </c>
      <c r="O1507" t="str">
        <f>LOOKUP(N1507,Sheet2!$V$4:$W$7)</f>
        <v>0.4 - 0.69</v>
      </c>
      <c r="P1507" s="1">
        <v>28</v>
      </c>
      <c r="Q1507" t="str">
        <f>LOOKUP(P1507,Sheet2!$Z$4:$AA$7)</f>
        <v>26-35</v>
      </c>
      <c r="R1507" s="1">
        <v>0</v>
      </c>
      <c r="S1507" t="str">
        <f>IF(R1507=1,"Positive","Negative")</f>
        <v>Negative</v>
      </c>
      <c r="T1507" s="1" t="str">
        <f>IFERROR(VLOOKUP(A1507,[1]diabetes_Recognition!$A:$B,2,FALSE),"Not Sampled")</f>
        <v>Not Sampled</v>
      </c>
      <c r="U1507" t="str">
        <f>IF(T1507=1,"Positive",(IF(T1507=0,"Negative","Not Sampled")))</f>
        <v>Not Sampled</v>
      </c>
      <c r="V1507" s="1" t="str">
        <f>IF(U1507="Not Sampled","Not Sampled",IF(S1507=U1507,"Accurate Prediction","Inaccurate Prediction"))</f>
        <v>Not Sampled</v>
      </c>
    </row>
    <row r="1508" spans="1:22" x14ac:dyDescent="0.25">
      <c r="A1508" s="1">
        <v>1506</v>
      </c>
      <c r="B1508" s="1">
        <v>0</v>
      </c>
      <c r="C1508" s="1">
        <f>LOOKUP(B1508,Sheet2!$D$4:$E$9)</f>
        <v>0</v>
      </c>
      <c r="D1508" s="1">
        <v>95</v>
      </c>
      <c r="E1508" t="str">
        <f>LOOKUP(D1508,Sheet2!$G$4:$H$9)</f>
        <v>1-99</v>
      </c>
      <c r="F1508" s="1">
        <v>80</v>
      </c>
      <c r="G1508" t="str">
        <f>LOOKUP(F1508,Sheet2!$J$4:$K$8)</f>
        <v>80+</v>
      </c>
      <c r="H1508" s="1">
        <v>45</v>
      </c>
      <c r="I1508" t="str">
        <f>LOOKUP(H1508,Sheet2!$M$4:$N$8)</f>
        <v>40+</v>
      </c>
      <c r="J1508" s="1">
        <v>92</v>
      </c>
      <c r="K1508" t="str">
        <f>LOOKUP(J1508,Sheet2!$P$4:$Q$9)</f>
        <v>1-99</v>
      </c>
      <c r="L1508" s="1">
        <v>36.5</v>
      </c>
      <c r="M1508" t="str">
        <f>LOOKUP(L1508,Sheet2!$S$4:$T$8)</f>
        <v>36+</v>
      </c>
      <c r="N1508" s="1">
        <v>0.33</v>
      </c>
      <c r="O1508" t="str">
        <f>LOOKUP(N1508,Sheet2!$V$4:$W$7)</f>
        <v>0.25 - 0.39</v>
      </c>
      <c r="P1508" s="1">
        <v>26</v>
      </c>
      <c r="Q1508" t="str">
        <f>LOOKUP(P1508,Sheet2!$Z$4:$AA$7)</f>
        <v>26-35</v>
      </c>
      <c r="R1508" s="1">
        <v>0</v>
      </c>
      <c r="S1508" t="str">
        <f>IF(R1508=1,"Positive","Negative")</f>
        <v>Negative</v>
      </c>
      <c r="T1508" s="1" t="str">
        <f>IFERROR(VLOOKUP(A1508,[1]diabetes_Recognition!$A:$B,2,FALSE),"Not Sampled")</f>
        <v>Not Sampled</v>
      </c>
      <c r="U1508" t="str">
        <f>IF(T1508=1,"Positive",(IF(T1508=0,"Negative","Not Sampled")))</f>
        <v>Not Sampled</v>
      </c>
      <c r="V1508" s="1" t="str">
        <f>IF(U1508="Not Sampled","Not Sampled",IF(S1508=U1508,"Accurate Prediction","Inaccurate Prediction"))</f>
        <v>Not Sampled</v>
      </c>
    </row>
    <row r="1509" spans="1:22" x14ac:dyDescent="0.25">
      <c r="A1509" s="1">
        <v>1507</v>
      </c>
      <c r="B1509" s="1">
        <v>0</v>
      </c>
      <c r="C1509" s="1">
        <f>LOOKUP(B1509,Sheet2!$D$4:$E$9)</f>
        <v>0</v>
      </c>
      <c r="D1509" s="1">
        <v>104</v>
      </c>
      <c r="E1509" t="str">
        <f>LOOKUP(D1509,Sheet2!$G$4:$H$9)</f>
        <v>100-125</v>
      </c>
      <c r="F1509" s="1">
        <v>64</v>
      </c>
      <c r="G1509" t="str">
        <f>LOOKUP(F1509,Sheet2!$J$4:$K$8)</f>
        <v>60-69</v>
      </c>
      <c r="H1509" s="1">
        <v>37</v>
      </c>
      <c r="I1509" t="str">
        <f>LOOKUP(H1509,Sheet2!$M$4:$N$8)</f>
        <v>30-39</v>
      </c>
      <c r="J1509" s="1">
        <v>64</v>
      </c>
      <c r="K1509" t="str">
        <f>LOOKUP(J1509,Sheet2!$P$4:$Q$9)</f>
        <v>1-99</v>
      </c>
      <c r="L1509" s="1">
        <v>33.6</v>
      </c>
      <c r="M1509" t="str">
        <f>LOOKUP(L1509,Sheet2!$S$4:$T$8)</f>
        <v>31-35</v>
      </c>
      <c r="N1509" s="1">
        <v>0.51</v>
      </c>
      <c r="O1509" t="str">
        <f>LOOKUP(N1509,Sheet2!$V$4:$W$7)</f>
        <v>0.4 - 0.69</v>
      </c>
      <c r="P1509" s="1">
        <v>22</v>
      </c>
      <c r="Q1509" t="str">
        <f>LOOKUP(P1509,Sheet2!$Z$4:$AA$7)</f>
        <v>&lt;=25</v>
      </c>
      <c r="R1509" s="1">
        <v>1</v>
      </c>
      <c r="S1509" t="str">
        <f>IF(R1509=1,"Positive","Negative")</f>
        <v>Positive</v>
      </c>
      <c r="T1509" s="1" t="str">
        <f>IFERROR(VLOOKUP(A1509,[1]diabetes_Recognition!$A:$B,2,FALSE),"Not Sampled")</f>
        <v>Not Sampled</v>
      </c>
      <c r="U1509" t="str">
        <f>IF(T1509=1,"Positive",(IF(T1509=0,"Negative","Not Sampled")))</f>
        <v>Not Sampled</v>
      </c>
      <c r="V1509" s="1" t="str">
        <f>IF(U1509="Not Sampled","Not Sampled",IF(S1509=U1509,"Accurate Prediction","Inaccurate Prediction"))</f>
        <v>Not Sampled</v>
      </c>
    </row>
    <row r="1510" spans="1:22" x14ac:dyDescent="0.25">
      <c r="A1510" s="1">
        <v>1508</v>
      </c>
      <c r="B1510" s="1">
        <v>0</v>
      </c>
      <c r="C1510" s="1">
        <f>LOOKUP(B1510,Sheet2!$D$4:$E$9)</f>
        <v>0</v>
      </c>
      <c r="D1510" s="1">
        <v>120</v>
      </c>
      <c r="E1510" t="str">
        <f>LOOKUP(D1510,Sheet2!$G$4:$H$9)</f>
        <v>100-125</v>
      </c>
      <c r="F1510" s="1">
        <v>74</v>
      </c>
      <c r="G1510" t="str">
        <f>LOOKUP(F1510,Sheet2!$J$4:$K$8)</f>
        <v>70-79</v>
      </c>
      <c r="H1510" s="1">
        <v>18</v>
      </c>
      <c r="I1510" t="str">
        <f>LOOKUP(H1510,Sheet2!$M$4:$N$8)</f>
        <v>10-30</v>
      </c>
      <c r="J1510" s="1">
        <v>63</v>
      </c>
      <c r="K1510" t="str">
        <f>LOOKUP(J1510,Sheet2!$P$4:$Q$9)</f>
        <v>1-99</v>
      </c>
      <c r="L1510" s="1">
        <v>30.5</v>
      </c>
      <c r="M1510" t="str">
        <f>LOOKUP(L1510,Sheet2!$S$4:$T$8)</f>
        <v>26-30</v>
      </c>
      <c r="N1510" s="1">
        <v>0.28499999999999998</v>
      </c>
      <c r="O1510" t="str">
        <f>LOOKUP(N1510,Sheet2!$V$4:$W$7)</f>
        <v>0.25 - 0.39</v>
      </c>
      <c r="P1510" s="1">
        <v>26</v>
      </c>
      <c r="Q1510" t="str">
        <f>LOOKUP(P1510,Sheet2!$Z$4:$AA$7)</f>
        <v>26-35</v>
      </c>
      <c r="R1510" s="1">
        <v>0</v>
      </c>
      <c r="S1510" t="str">
        <f>IF(R1510=1,"Positive","Negative")</f>
        <v>Negative</v>
      </c>
      <c r="T1510" s="1" t="str">
        <f>IFERROR(VLOOKUP(A1510,[1]diabetes_Recognition!$A:$B,2,FALSE),"Not Sampled")</f>
        <v>Not Sampled</v>
      </c>
      <c r="U1510" t="str">
        <f>IF(T1510=1,"Positive",(IF(T1510=0,"Negative","Not Sampled")))</f>
        <v>Not Sampled</v>
      </c>
      <c r="V1510" s="1" t="str">
        <f>IF(U1510="Not Sampled","Not Sampled",IF(S1510=U1510,"Accurate Prediction","Inaccurate Prediction"))</f>
        <v>Not Sampled</v>
      </c>
    </row>
    <row r="1511" spans="1:22" x14ac:dyDescent="0.25">
      <c r="A1511" s="1">
        <v>1509</v>
      </c>
      <c r="B1511" s="1">
        <v>1</v>
      </c>
      <c r="C1511" s="1">
        <f>LOOKUP(B1511,Sheet2!$D$4:$E$9)</f>
        <v>1</v>
      </c>
      <c r="D1511" s="1">
        <v>82</v>
      </c>
      <c r="E1511" t="str">
        <f>LOOKUP(D1511,Sheet2!$G$4:$H$9)</f>
        <v>1-99</v>
      </c>
      <c r="F1511" s="1">
        <v>64</v>
      </c>
      <c r="G1511" t="str">
        <f>LOOKUP(F1511,Sheet2!$J$4:$K$8)</f>
        <v>60-69</v>
      </c>
      <c r="H1511" s="1">
        <v>13</v>
      </c>
      <c r="I1511" t="str">
        <f>LOOKUP(H1511,Sheet2!$M$4:$N$8)</f>
        <v>10-30</v>
      </c>
      <c r="J1511" s="1">
        <v>95</v>
      </c>
      <c r="K1511" t="str">
        <f>LOOKUP(J1511,Sheet2!$P$4:$Q$9)</f>
        <v>1-99</v>
      </c>
      <c r="L1511" s="1">
        <v>21.2</v>
      </c>
      <c r="M1511" t="str">
        <f>LOOKUP(L1511,Sheet2!$S$4:$T$8)</f>
        <v>1-25</v>
      </c>
      <c r="N1511" s="1">
        <v>0.41499999999999998</v>
      </c>
      <c r="O1511" t="str">
        <f>LOOKUP(N1511,Sheet2!$V$4:$W$7)</f>
        <v>0.4 - 0.69</v>
      </c>
      <c r="P1511" s="1">
        <v>23</v>
      </c>
      <c r="Q1511" t="str">
        <f>LOOKUP(P1511,Sheet2!$Z$4:$AA$7)</f>
        <v>&lt;=25</v>
      </c>
      <c r="R1511" s="1">
        <v>0</v>
      </c>
      <c r="S1511" t="str">
        <f>IF(R1511=1,"Positive","Negative")</f>
        <v>Negative</v>
      </c>
      <c r="T1511" s="1" t="str">
        <f>IFERROR(VLOOKUP(A1511,[1]diabetes_Recognition!$A:$B,2,FALSE),"Not Sampled")</f>
        <v>Not Sampled</v>
      </c>
      <c r="U1511" t="str">
        <f>IF(T1511=1,"Positive",(IF(T1511=0,"Negative","Not Sampled")))</f>
        <v>Not Sampled</v>
      </c>
      <c r="V1511" s="1" t="str">
        <f>IF(U1511="Not Sampled","Not Sampled",IF(S1511=U1511,"Accurate Prediction","Inaccurate Prediction"))</f>
        <v>Not Sampled</v>
      </c>
    </row>
    <row r="1512" spans="1:22" x14ac:dyDescent="0.25">
      <c r="A1512" s="1">
        <v>1510</v>
      </c>
      <c r="B1512" s="1">
        <v>2</v>
      </c>
      <c r="C1512" s="1">
        <f>LOOKUP(B1512,Sheet2!$D$4:$E$9)</f>
        <v>2</v>
      </c>
      <c r="D1512" s="1">
        <v>134</v>
      </c>
      <c r="E1512" t="str">
        <f>LOOKUP(D1512,Sheet2!$G$4:$H$9)</f>
        <v>126-150</v>
      </c>
      <c r="F1512" s="1">
        <v>70</v>
      </c>
      <c r="G1512" t="str">
        <f>LOOKUP(F1512,Sheet2!$J$4:$K$8)</f>
        <v>70-79</v>
      </c>
      <c r="H1512" s="1">
        <v>0</v>
      </c>
      <c r="I1512" t="str">
        <f>LOOKUP(H1512,Sheet2!$M$4:$N$8)</f>
        <v>Unknown</v>
      </c>
      <c r="J1512" s="1">
        <v>0</v>
      </c>
      <c r="K1512" t="str">
        <f>LOOKUP(J1512,Sheet2!$P$4:$Q$9)</f>
        <v>Unknown</v>
      </c>
      <c r="L1512" s="1">
        <v>28.9</v>
      </c>
      <c r="M1512" t="str">
        <f>LOOKUP(L1512,Sheet2!$S$4:$T$8)</f>
        <v>26-30</v>
      </c>
      <c r="N1512" s="1">
        <v>0.54200000000000004</v>
      </c>
      <c r="O1512" t="str">
        <f>LOOKUP(N1512,Sheet2!$V$4:$W$7)</f>
        <v>0.4 - 0.69</v>
      </c>
      <c r="P1512" s="1">
        <v>23</v>
      </c>
      <c r="Q1512" t="str">
        <f>LOOKUP(P1512,Sheet2!$Z$4:$AA$7)</f>
        <v>&lt;=25</v>
      </c>
      <c r="R1512" s="1">
        <v>1</v>
      </c>
      <c r="S1512" t="str">
        <f>IF(R1512=1,"Positive","Negative")</f>
        <v>Positive</v>
      </c>
      <c r="T1512" s="1" t="str">
        <f>IFERROR(VLOOKUP(A1512,[1]diabetes_Recognition!$A:$B,2,FALSE),"Not Sampled")</f>
        <v>Not Sampled</v>
      </c>
      <c r="U1512" t="str">
        <f>IF(T1512=1,"Positive",(IF(T1512=0,"Negative","Not Sampled")))</f>
        <v>Not Sampled</v>
      </c>
      <c r="V1512" s="1" t="str">
        <f>IF(U1512="Not Sampled","Not Sampled",IF(S1512=U1512,"Accurate Prediction","Inaccurate Prediction"))</f>
        <v>Not Sampled</v>
      </c>
    </row>
    <row r="1513" spans="1:22" x14ac:dyDescent="0.25">
      <c r="A1513" s="1">
        <v>1511</v>
      </c>
      <c r="B1513" s="1">
        <v>0</v>
      </c>
      <c r="C1513" s="1">
        <f>LOOKUP(B1513,Sheet2!$D$4:$E$9)</f>
        <v>0</v>
      </c>
      <c r="D1513" s="1">
        <v>91</v>
      </c>
      <c r="E1513" t="str">
        <f>LOOKUP(D1513,Sheet2!$G$4:$H$9)</f>
        <v>1-99</v>
      </c>
      <c r="F1513" s="1">
        <v>68</v>
      </c>
      <c r="G1513" t="str">
        <f>LOOKUP(F1513,Sheet2!$J$4:$K$8)</f>
        <v>60-69</v>
      </c>
      <c r="H1513" s="1">
        <v>32</v>
      </c>
      <c r="I1513" t="str">
        <f>LOOKUP(H1513,Sheet2!$M$4:$N$8)</f>
        <v>30-39</v>
      </c>
      <c r="J1513" s="1">
        <v>210</v>
      </c>
      <c r="K1513" t="str">
        <f>LOOKUP(J1513,Sheet2!$P$4:$Q$9)</f>
        <v>200-399</v>
      </c>
      <c r="L1513" s="1">
        <v>39.9</v>
      </c>
      <c r="M1513" t="str">
        <f>LOOKUP(L1513,Sheet2!$S$4:$T$8)</f>
        <v>36+</v>
      </c>
      <c r="N1513" s="1">
        <v>0.38100000000000001</v>
      </c>
      <c r="O1513" t="str">
        <f>LOOKUP(N1513,Sheet2!$V$4:$W$7)</f>
        <v>0.25 - 0.39</v>
      </c>
      <c r="P1513" s="1">
        <v>25</v>
      </c>
      <c r="Q1513" t="str">
        <f>LOOKUP(P1513,Sheet2!$Z$4:$AA$7)</f>
        <v>&lt;=25</v>
      </c>
      <c r="R1513" s="1">
        <v>0</v>
      </c>
      <c r="S1513" t="str">
        <f>IF(R1513=1,"Positive","Negative")</f>
        <v>Negative</v>
      </c>
      <c r="T1513" s="1" t="str">
        <f>IFERROR(VLOOKUP(A1513,[1]diabetes_Recognition!$A:$B,2,FALSE),"Not Sampled")</f>
        <v>Not Sampled</v>
      </c>
      <c r="U1513" t="str">
        <f>IF(T1513=1,"Positive",(IF(T1513=0,"Negative","Not Sampled")))</f>
        <v>Not Sampled</v>
      </c>
      <c r="V1513" s="1" t="str">
        <f>IF(U1513="Not Sampled","Not Sampled",IF(S1513=U1513,"Accurate Prediction","Inaccurate Prediction"))</f>
        <v>Not Sampled</v>
      </c>
    </row>
    <row r="1514" spans="1:22" x14ac:dyDescent="0.25">
      <c r="A1514" s="1">
        <v>1512</v>
      </c>
      <c r="B1514" s="1">
        <v>2</v>
      </c>
      <c r="C1514" s="1">
        <f>LOOKUP(B1514,Sheet2!$D$4:$E$9)</f>
        <v>2</v>
      </c>
      <c r="D1514" s="1">
        <v>119</v>
      </c>
      <c r="E1514" t="str">
        <f>LOOKUP(D1514,Sheet2!$G$4:$H$9)</f>
        <v>100-125</v>
      </c>
      <c r="F1514" s="1">
        <v>0</v>
      </c>
      <c r="G1514" t="str">
        <f>LOOKUP(F1514,Sheet2!$J$4:$K$8)</f>
        <v>Unknown</v>
      </c>
      <c r="H1514" s="1">
        <v>0</v>
      </c>
      <c r="I1514" t="str">
        <f>LOOKUP(H1514,Sheet2!$M$4:$N$8)</f>
        <v>Unknown</v>
      </c>
      <c r="J1514" s="1">
        <v>0</v>
      </c>
      <c r="K1514" t="str">
        <f>LOOKUP(J1514,Sheet2!$P$4:$Q$9)</f>
        <v>Unknown</v>
      </c>
      <c r="L1514" s="1">
        <v>19.600000000000001</v>
      </c>
      <c r="M1514" t="str">
        <f>LOOKUP(L1514,Sheet2!$S$4:$T$8)</f>
        <v>1-25</v>
      </c>
      <c r="N1514" s="1">
        <v>0.83199999999999996</v>
      </c>
      <c r="O1514" t="str">
        <f>LOOKUP(N1514,Sheet2!$V$4:$W$7)</f>
        <v>0.7+</v>
      </c>
      <c r="P1514" s="1">
        <v>72</v>
      </c>
      <c r="Q1514" t="str">
        <f>LOOKUP(P1514,Sheet2!$Z$4:$AA$7)</f>
        <v>46+</v>
      </c>
      <c r="R1514" s="1">
        <v>0</v>
      </c>
      <c r="S1514" t="str">
        <f>IF(R1514=1,"Positive","Negative")</f>
        <v>Negative</v>
      </c>
      <c r="T1514" s="1">
        <f>IFERROR(VLOOKUP(A1514,[1]diabetes_Recognition!$A:$B,2,FALSE),"Not Sampled")</f>
        <v>0</v>
      </c>
      <c r="U1514" t="str">
        <f>IF(T1514=1,"Positive",(IF(T1514=0,"Negative","Not Sampled")))</f>
        <v>Negative</v>
      </c>
      <c r="V1514" s="1" t="str">
        <f>IF(U1514="Not Sampled","Not Sampled",IF(S1514=U1514,"Accurate Prediction","Inaccurate Prediction"))</f>
        <v>Accurate Prediction</v>
      </c>
    </row>
    <row r="1515" spans="1:22" x14ac:dyDescent="0.25">
      <c r="A1515" s="1">
        <v>1513</v>
      </c>
      <c r="B1515" s="1">
        <v>2</v>
      </c>
      <c r="C1515" s="1">
        <f>LOOKUP(B1515,Sheet2!$D$4:$E$9)</f>
        <v>2</v>
      </c>
      <c r="D1515" s="1">
        <v>100</v>
      </c>
      <c r="E1515" t="str">
        <f>LOOKUP(D1515,Sheet2!$G$4:$H$9)</f>
        <v>100-125</v>
      </c>
      <c r="F1515" s="1">
        <v>54</v>
      </c>
      <c r="G1515" t="str">
        <f>LOOKUP(F1515,Sheet2!$J$4:$K$8)</f>
        <v>1-59</v>
      </c>
      <c r="H1515" s="1">
        <v>28</v>
      </c>
      <c r="I1515" t="str">
        <f>LOOKUP(H1515,Sheet2!$M$4:$N$8)</f>
        <v>10-30</v>
      </c>
      <c r="J1515" s="1">
        <v>105</v>
      </c>
      <c r="K1515" t="str">
        <f>LOOKUP(J1515,Sheet2!$P$4:$Q$9)</f>
        <v>100-199</v>
      </c>
      <c r="L1515" s="1">
        <v>37.799999999999997</v>
      </c>
      <c r="M1515" t="str">
        <f>LOOKUP(L1515,Sheet2!$S$4:$T$8)</f>
        <v>36+</v>
      </c>
      <c r="N1515" s="1">
        <v>0.498</v>
      </c>
      <c r="O1515" t="str">
        <f>LOOKUP(N1515,Sheet2!$V$4:$W$7)</f>
        <v>0.4 - 0.69</v>
      </c>
      <c r="P1515" s="1">
        <v>24</v>
      </c>
      <c r="Q1515" t="str">
        <f>LOOKUP(P1515,Sheet2!$Z$4:$AA$7)</f>
        <v>&lt;=25</v>
      </c>
      <c r="R1515" s="1">
        <v>0</v>
      </c>
      <c r="S1515" t="str">
        <f>IF(R1515=1,"Positive","Negative")</f>
        <v>Negative</v>
      </c>
      <c r="T1515" s="1">
        <f>IFERROR(VLOOKUP(A1515,[1]diabetes_Recognition!$A:$B,2,FALSE),"Not Sampled")</f>
        <v>0</v>
      </c>
      <c r="U1515" t="str">
        <f>IF(T1515=1,"Positive",(IF(T1515=0,"Negative","Not Sampled")))</f>
        <v>Negative</v>
      </c>
      <c r="V1515" s="1" t="str">
        <f>IF(U1515="Not Sampled","Not Sampled",IF(S1515=U1515,"Accurate Prediction","Inaccurate Prediction"))</f>
        <v>Accurate Prediction</v>
      </c>
    </row>
    <row r="1516" spans="1:22" x14ac:dyDescent="0.25">
      <c r="A1516" s="1">
        <v>1514</v>
      </c>
      <c r="B1516" s="1">
        <v>14</v>
      </c>
      <c r="C1516" s="1" t="str">
        <f>LOOKUP(B1516,Sheet2!$D$4:$E$9)</f>
        <v>8+</v>
      </c>
      <c r="D1516" s="1">
        <v>175</v>
      </c>
      <c r="E1516" t="str">
        <f>LOOKUP(D1516,Sheet2!$G$4:$H$9)</f>
        <v>151-175</v>
      </c>
      <c r="F1516" s="1">
        <v>62</v>
      </c>
      <c r="G1516" t="str">
        <f>LOOKUP(F1516,Sheet2!$J$4:$K$8)</f>
        <v>60-69</v>
      </c>
      <c r="H1516" s="1">
        <v>30</v>
      </c>
      <c r="I1516" t="str">
        <f>LOOKUP(H1516,Sheet2!$M$4:$N$8)</f>
        <v>30-39</v>
      </c>
      <c r="J1516" s="1">
        <v>0</v>
      </c>
      <c r="K1516" t="str">
        <f>LOOKUP(J1516,Sheet2!$P$4:$Q$9)</f>
        <v>Unknown</v>
      </c>
      <c r="L1516" s="1">
        <v>33.6</v>
      </c>
      <c r="M1516" t="str">
        <f>LOOKUP(L1516,Sheet2!$S$4:$T$8)</f>
        <v>31-35</v>
      </c>
      <c r="N1516" s="1">
        <v>0.21199999999999999</v>
      </c>
      <c r="O1516" t="str">
        <f>LOOKUP(N1516,Sheet2!$V$4:$W$7)</f>
        <v>0.0 - 0.249</v>
      </c>
      <c r="P1516" s="1">
        <v>38</v>
      </c>
      <c r="Q1516" t="str">
        <f>LOOKUP(P1516,Sheet2!$Z$4:$AA$7)</f>
        <v>36-45</v>
      </c>
      <c r="R1516" s="1">
        <v>1</v>
      </c>
      <c r="S1516" t="str">
        <f>IF(R1516=1,"Positive","Negative")</f>
        <v>Positive</v>
      </c>
      <c r="T1516" s="1" t="str">
        <f>IFERROR(VLOOKUP(A1516,[1]diabetes_Recognition!$A:$B,2,FALSE),"Not Sampled")</f>
        <v>Not Sampled</v>
      </c>
      <c r="U1516" t="str">
        <f>IF(T1516=1,"Positive",(IF(T1516=0,"Negative","Not Sampled")))</f>
        <v>Not Sampled</v>
      </c>
      <c r="V1516" s="1" t="str">
        <f>IF(U1516="Not Sampled","Not Sampled",IF(S1516=U1516,"Accurate Prediction","Inaccurate Prediction"))</f>
        <v>Not Sampled</v>
      </c>
    </row>
    <row r="1517" spans="1:22" x14ac:dyDescent="0.25">
      <c r="A1517" s="1">
        <v>1515</v>
      </c>
      <c r="B1517" s="1">
        <v>1</v>
      </c>
      <c r="C1517" s="1">
        <f>LOOKUP(B1517,Sheet2!$D$4:$E$9)</f>
        <v>1</v>
      </c>
      <c r="D1517" s="1">
        <v>135</v>
      </c>
      <c r="E1517" t="str">
        <f>LOOKUP(D1517,Sheet2!$G$4:$H$9)</f>
        <v>126-150</v>
      </c>
      <c r="F1517" s="1">
        <v>54</v>
      </c>
      <c r="G1517" t="str">
        <f>LOOKUP(F1517,Sheet2!$J$4:$K$8)</f>
        <v>1-59</v>
      </c>
      <c r="H1517" s="1">
        <v>0</v>
      </c>
      <c r="I1517" t="str">
        <f>LOOKUP(H1517,Sheet2!$M$4:$N$8)</f>
        <v>Unknown</v>
      </c>
      <c r="J1517" s="1">
        <v>0</v>
      </c>
      <c r="K1517" t="str">
        <f>LOOKUP(J1517,Sheet2!$P$4:$Q$9)</f>
        <v>Unknown</v>
      </c>
      <c r="L1517" s="1">
        <v>26.7</v>
      </c>
      <c r="M1517" t="str">
        <f>LOOKUP(L1517,Sheet2!$S$4:$T$8)</f>
        <v>26-30</v>
      </c>
      <c r="N1517" s="1">
        <v>0.68700000000000006</v>
      </c>
      <c r="O1517" t="str">
        <f>LOOKUP(N1517,Sheet2!$V$4:$W$7)</f>
        <v>0.4 - 0.69</v>
      </c>
      <c r="P1517" s="1">
        <v>62</v>
      </c>
      <c r="Q1517" t="str">
        <f>LOOKUP(P1517,Sheet2!$Z$4:$AA$7)</f>
        <v>46+</v>
      </c>
      <c r="R1517" s="1">
        <v>0</v>
      </c>
      <c r="S1517" t="str">
        <f>IF(R1517=1,"Positive","Negative")</f>
        <v>Negative</v>
      </c>
      <c r="T1517" s="1" t="str">
        <f>IFERROR(VLOOKUP(A1517,[1]diabetes_Recognition!$A:$B,2,FALSE),"Not Sampled")</f>
        <v>Not Sampled</v>
      </c>
      <c r="U1517" t="str">
        <f>IF(T1517=1,"Positive",(IF(T1517=0,"Negative","Not Sampled")))</f>
        <v>Not Sampled</v>
      </c>
      <c r="V1517" s="1" t="str">
        <f>IF(U1517="Not Sampled","Not Sampled",IF(S1517=U1517,"Accurate Prediction","Inaccurate Prediction"))</f>
        <v>Not Sampled</v>
      </c>
    </row>
    <row r="1518" spans="1:22" x14ac:dyDescent="0.25">
      <c r="A1518" s="1">
        <v>1516</v>
      </c>
      <c r="B1518" s="1">
        <v>5</v>
      </c>
      <c r="C1518" s="1" t="str">
        <f>LOOKUP(B1518,Sheet2!$D$4:$E$9)</f>
        <v>5-7</v>
      </c>
      <c r="D1518" s="1">
        <v>86</v>
      </c>
      <c r="E1518" t="str">
        <f>LOOKUP(D1518,Sheet2!$G$4:$H$9)</f>
        <v>1-99</v>
      </c>
      <c r="F1518" s="1">
        <v>68</v>
      </c>
      <c r="G1518" t="str">
        <f>LOOKUP(F1518,Sheet2!$J$4:$K$8)</f>
        <v>60-69</v>
      </c>
      <c r="H1518" s="1">
        <v>28</v>
      </c>
      <c r="I1518" t="str">
        <f>LOOKUP(H1518,Sheet2!$M$4:$N$8)</f>
        <v>10-30</v>
      </c>
      <c r="J1518" s="1">
        <v>71</v>
      </c>
      <c r="K1518" t="str">
        <f>LOOKUP(J1518,Sheet2!$P$4:$Q$9)</f>
        <v>1-99</v>
      </c>
      <c r="L1518" s="1">
        <v>30.2</v>
      </c>
      <c r="M1518" t="str">
        <f>LOOKUP(L1518,Sheet2!$S$4:$T$8)</f>
        <v>26-30</v>
      </c>
      <c r="N1518" s="1">
        <v>0.36399999999999999</v>
      </c>
      <c r="O1518" t="str">
        <f>LOOKUP(N1518,Sheet2!$V$4:$W$7)</f>
        <v>0.25 - 0.39</v>
      </c>
      <c r="P1518" s="1">
        <v>24</v>
      </c>
      <c r="Q1518" t="str">
        <f>LOOKUP(P1518,Sheet2!$Z$4:$AA$7)</f>
        <v>&lt;=25</v>
      </c>
      <c r="R1518" s="1">
        <v>0</v>
      </c>
      <c r="S1518" t="str">
        <f>IF(R1518=1,"Positive","Negative")</f>
        <v>Negative</v>
      </c>
      <c r="T1518" s="1" t="str">
        <f>IFERROR(VLOOKUP(A1518,[1]diabetes_Recognition!$A:$B,2,FALSE),"Not Sampled")</f>
        <v>Not Sampled</v>
      </c>
      <c r="U1518" t="str">
        <f>IF(T1518=1,"Positive",(IF(T1518=0,"Negative","Not Sampled")))</f>
        <v>Not Sampled</v>
      </c>
      <c r="V1518" s="1" t="str">
        <f>IF(U1518="Not Sampled","Not Sampled",IF(S1518=U1518,"Accurate Prediction","Inaccurate Prediction"))</f>
        <v>Not Sampled</v>
      </c>
    </row>
    <row r="1519" spans="1:22" x14ac:dyDescent="0.25">
      <c r="A1519" s="1">
        <v>1517</v>
      </c>
      <c r="B1519" s="1">
        <v>10</v>
      </c>
      <c r="C1519" s="1" t="str">
        <f>LOOKUP(B1519,Sheet2!$D$4:$E$9)</f>
        <v>8+</v>
      </c>
      <c r="D1519" s="1">
        <v>148</v>
      </c>
      <c r="E1519" t="str">
        <f>LOOKUP(D1519,Sheet2!$G$4:$H$9)</f>
        <v>126-150</v>
      </c>
      <c r="F1519" s="1">
        <v>84</v>
      </c>
      <c r="G1519" t="str">
        <f>LOOKUP(F1519,Sheet2!$J$4:$K$8)</f>
        <v>80+</v>
      </c>
      <c r="H1519" s="1">
        <v>48</v>
      </c>
      <c r="I1519" t="str">
        <f>LOOKUP(H1519,Sheet2!$M$4:$N$8)</f>
        <v>40+</v>
      </c>
      <c r="J1519" s="1">
        <v>237</v>
      </c>
      <c r="K1519" t="str">
        <f>LOOKUP(J1519,Sheet2!$P$4:$Q$9)</f>
        <v>200-399</v>
      </c>
      <c r="L1519" s="1">
        <v>37.6</v>
      </c>
      <c r="M1519" t="str">
        <f>LOOKUP(L1519,Sheet2!$S$4:$T$8)</f>
        <v>36+</v>
      </c>
      <c r="N1519" s="1">
        <v>1.0009999999999999</v>
      </c>
      <c r="O1519" t="str">
        <f>LOOKUP(N1519,Sheet2!$V$4:$W$7)</f>
        <v>0.7+</v>
      </c>
      <c r="P1519" s="1">
        <v>51</v>
      </c>
      <c r="Q1519" t="str">
        <f>LOOKUP(P1519,Sheet2!$Z$4:$AA$7)</f>
        <v>46+</v>
      </c>
      <c r="R1519" s="1">
        <v>1</v>
      </c>
      <c r="S1519" t="str">
        <f>IF(R1519=1,"Positive","Negative")</f>
        <v>Positive</v>
      </c>
      <c r="T1519" s="1" t="str">
        <f>IFERROR(VLOOKUP(A1519,[1]diabetes_Recognition!$A:$B,2,FALSE),"Not Sampled")</f>
        <v>Not Sampled</v>
      </c>
      <c r="U1519" t="str">
        <f>IF(T1519=1,"Positive",(IF(T1519=0,"Negative","Not Sampled")))</f>
        <v>Not Sampled</v>
      </c>
      <c r="V1519" s="1" t="str">
        <f>IF(U1519="Not Sampled","Not Sampled",IF(S1519=U1519,"Accurate Prediction","Inaccurate Prediction"))</f>
        <v>Not Sampled</v>
      </c>
    </row>
    <row r="1520" spans="1:22" x14ac:dyDescent="0.25">
      <c r="A1520" s="1">
        <v>1518</v>
      </c>
      <c r="B1520" s="1">
        <v>9</v>
      </c>
      <c r="C1520" s="1" t="str">
        <f>LOOKUP(B1520,Sheet2!$D$4:$E$9)</f>
        <v>8+</v>
      </c>
      <c r="D1520" s="1">
        <v>134</v>
      </c>
      <c r="E1520" t="str">
        <f>LOOKUP(D1520,Sheet2!$G$4:$H$9)</f>
        <v>126-150</v>
      </c>
      <c r="F1520" s="1">
        <v>74</v>
      </c>
      <c r="G1520" t="str">
        <f>LOOKUP(F1520,Sheet2!$J$4:$K$8)</f>
        <v>70-79</v>
      </c>
      <c r="H1520" s="1">
        <v>33</v>
      </c>
      <c r="I1520" t="str">
        <f>LOOKUP(H1520,Sheet2!$M$4:$N$8)</f>
        <v>30-39</v>
      </c>
      <c r="J1520" s="1">
        <v>60</v>
      </c>
      <c r="K1520" t="str">
        <f>LOOKUP(J1520,Sheet2!$P$4:$Q$9)</f>
        <v>1-99</v>
      </c>
      <c r="L1520" s="1">
        <v>25.9</v>
      </c>
      <c r="M1520" t="str">
        <f>LOOKUP(L1520,Sheet2!$S$4:$T$8)</f>
        <v>1-25</v>
      </c>
      <c r="N1520" s="1">
        <v>0.46</v>
      </c>
      <c r="O1520" t="str">
        <f>LOOKUP(N1520,Sheet2!$V$4:$W$7)</f>
        <v>0.4 - 0.69</v>
      </c>
      <c r="P1520" s="1">
        <v>81</v>
      </c>
      <c r="Q1520" t="str">
        <f>LOOKUP(P1520,Sheet2!$Z$4:$AA$7)</f>
        <v>46+</v>
      </c>
      <c r="R1520" s="1">
        <v>0</v>
      </c>
      <c r="S1520" t="str">
        <f>IF(R1520=1,"Positive","Negative")</f>
        <v>Negative</v>
      </c>
      <c r="T1520" s="1">
        <f>IFERROR(VLOOKUP(A1520,[1]diabetes_Recognition!$A:$B,2,FALSE),"Not Sampled")</f>
        <v>1</v>
      </c>
      <c r="U1520" t="str">
        <f>IF(T1520=1,"Positive",(IF(T1520=0,"Negative","Not Sampled")))</f>
        <v>Positive</v>
      </c>
      <c r="V1520" s="1" t="str">
        <f>IF(U1520="Not Sampled","Not Sampled",IF(S1520=U1520,"Accurate Prediction","Inaccurate Prediction"))</f>
        <v>Inaccurate Prediction</v>
      </c>
    </row>
    <row r="1521" spans="1:22" x14ac:dyDescent="0.25">
      <c r="A1521" s="1">
        <v>1519</v>
      </c>
      <c r="B1521" s="1">
        <v>9</v>
      </c>
      <c r="C1521" s="1" t="str">
        <f>LOOKUP(B1521,Sheet2!$D$4:$E$9)</f>
        <v>8+</v>
      </c>
      <c r="D1521" s="1">
        <v>120</v>
      </c>
      <c r="E1521" t="str">
        <f>LOOKUP(D1521,Sheet2!$G$4:$H$9)</f>
        <v>100-125</v>
      </c>
      <c r="F1521" s="1">
        <v>72</v>
      </c>
      <c r="G1521" t="str">
        <f>LOOKUP(F1521,Sheet2!$J$4:$K$8)</f>
        <v>70-79</v>
      </c>
      <c r="H1521" s="1">
        <v>22</v>
      </c>
      <c r="I1521" t="str">
        <f>LOOKUP(H1521,Sheet2!$M$4:$N$8)</f>
        <v>10-30</v>
      </c>
      <c r="J1521" s="1">
        <v>56</v>
      </c>
      <c r="K1521" t="str">
        <f>LOOKUP(J1521,Sheet2!$P$4:$Q$9)</f>
        <v>1-99</v>
      </c>
      <c r="L1521" s="1">
        <v>20.8</v>
      </c>
      <c r="M1521" t="str">
        <f>LOOKUP(L1521,Sheet2!$S$4:$T$8)</f>
        <v>1-25</v>
      </c>
      <c r="N1521" s="1">
        <v>0.73299999999999998</v>
      </c>
      <c r="O1521" t="str">
        <f>LOOKUP(N1521,Sheet2!$V$4:$W$7)</f>
        <v>0.7+</v>
      </c>
      <c r="P1521" s="1">
        <v>48</v>
      </c>
      <c r="Q1521" t="str">
        <f>LOOKUP(P1521,Sheet2!$Z$4:$AA$7)</f>
        <v>46+</v>
      </c>
      <c r="R1521" s="1">
        <v>0</v>
      </c>
      <c r="S1521" t="str">
        <f>IF(R1521=1,"Positive","Negative")</f>
        <v>Negative</v>
      </c>
      <c r="T1521" s="1" t="str">
        <f>IFERROR(VLOOKUP(A1521,[1]diabetes_Recognition!$A:$B,2,FALSE),"Not Sampled")</f>
        <v>Not Sampled</v>
      </c>
      <c r="U1521" t="str">
        <f>IF(T1521=1,"Positive",(IF(T1521=0,"Negative","Not Sampled")))</f>
        <v>Not Sampled</v>
      </c>
      <c r="V1521" s="1" t="str">
        <f>IF(U1521="Not Sampled","Not Sampled",IF(S1521=U1521,"Accurate Prediction","Inaccurate Prediction"))</f>
        <v>Not Sampled</v>
      </c>
    </row>
    <row r="1522" spans="1:22" x14ac:dyDescent="0.25">
      <c r="A1522" s="1">
        <v>1520</v>
      </c>
      <c r="B1522" s="1">
        <v>1</v>
      </c>
      <c r="C1522" s="1">
        <f>LOOKUP(B1522,Sheet2!$D$4:$E$9)</f>
        <v>1</v>
      </c>
      <c r="D1522" s="1">
        <v>71</v>
      </c>
      <c r="E1522" t="str">
        <f>LOOKUP(D1522,Sheet2!$G$4:$H$9)</f>
        <v>1-99</v>
      </c>
      <c r="F1522" s="1">
        <v>62</v>
      </c>
      <c r="G1522" t="str">
        <f>LOOKUP(F1522,Sheet2!$J$4:$K$8)</f>
        <v>60-69</v>
      </c>
      <c r="H1522" s="1">
        <v>0</v>
      </c>
      <c r="I1522" t="str">
        <f>LOOKUP(H1522,Sheet2!$M$4:$N$8)</f>
        <v>Unknown</v>
      </c>
      <c r="J1522" s="1">
        <v>0</v>
      </c>
      <c r="K1522" t="str">
        <f>LOOKUP(J1522,Sheet2!$P$4:$Q$9)</f>
        <v>Unknown</v>
      </c>
      <c r="L1522" s="1">
        <v>21.8</v>
      </c>
      <c r="M1522" t="str">
        <f>LOOKUP(L1522,Sheet2!$S$4:$T$8)</f>
        <v>1-25</v>
      </c>
      <c r="N1522" s="1">
        <v>0.41599999999999998</v>
      </c>
      <c r="O1522" t="str">
        <f>LOOKUP(N1522,Sheet2!$V$4:$W$7)</f>
        <v>0.4 - 0.69</v>
      </c>
      <c r="P1522" s="1">
        <v>26</v>
      </c>
      <c r="Q1522" t="str">
        <f>LOOKUP(P1522,Sheet2!$Z$4:$AA$7)</f>
        <v>26-35</v>
      </c>
      <c r="R1522" s="1">
        <v>0</v>
      </c>
      <c r="S1522" t="str">
        <f>IF(R1522=1,"Positive","Negative")</f>
        <v>Negative</v>
      </c>
      <c r="T1522" s="1" t="str">
        <f>IFERROR(VLOOKUP(A1522,[1]diabetes_Recognition!$A:$B,2,FALSE),"Not Sampled")</f>
        <v>Not Sampled</v>
      </c>
      <c r="U1522" t="str">
        <f>IF(T1522=1,"Positive",(IF(T1522=0,"Negative","Not Sampled")))</f>
        <v>Not Sampled</v>
      </c>
      <c r="V1522" s="1" t="str">
        <f>IF(U1522="Not Sampled","Not Sampled",IF(S1522=U1522,"Accurate Prediction","Inaccurate Prediction"))</f>
        <v>Not Sampled</v>
      </c>
    </row>
    <row r="1523" spans="1:22" x14ac:dyDescent="0.25">
      <c r="A1523" s="1">
        <v>1521</v>
      </c>
      <c r="B1523" s="1">
        <v>8</v>
      </c>
      <c r="C1523" s="1" t="str">
        <f>LOOKUP(B1523,Sheet2!$D$4:$E$9)</f>
        <v>8+</v>
      </c>
      <c r="D1523" s="1">
        <v>74</v>
      </c>
      <c r="E1523" t="str">
        <f>LOOKUP(D1523,Sheet2!$G$4:$H$9)</f>
        <v>1-99</v>
      </c>
      <c r="F1523" s="1">
        <v>70</v>
      </c>
      <c r="G1523" t="str">
        <f>LOOKUP(F1523,Sheet2!$J$4:$K$8)</f>
        <v>70-79</v>
      </c>
      <c r="H1523" s="1">
        <v>40</v>
      </c>
      <c r="I1523" t="str">
        <f>LOOKUP(H1523,Sheet2!$M$4:$N$8)</f>
        <v>40+</v>
      </c>
      <c r="J1523" s="1">
        <v>49</v>
      </c>
      <c r="K1523" t="str">
        <f>LOOKUP(J1523,Sheet2!$P$4:$Q$9)</f>
        <v>1-99</v>
      </c>
      <c r="L1523" s="1">
        <v>35.299999999999997</v>
      </c>
      <c r="M1523" t="str">
        <f>LOOKUP(L1523,Sheet2!$S$4:$T$8)</f>
        <v>31-35</v>
      </c>
      <c r="N1523" s="1">
        <v>0.70499999999999996</v>
      </c>
      <c r="O1523" t="str">
        <f>LOOKUP(N1523,Sheet2!$V$4:$W$7)</f>
        <v>0.7+</v>
      </c>
      <c r="P1523" s="1">
        <v>39</v>
      </c>
      <c r="Q1523" t="str">
        <f>LOOKUP(P1523,Sheet2!$Z$4:$AA$7)</f>
        <v>36-45</v>
      </c>
      <c r="R1523" s="1">
        <v>0</v>
      </c>
      <c r="S1523" t="str">
        <f>IF(R1523=1,"Positive","Negative")</f>
        <v>Negative</v>
      </c>
      <c r="T1523" s="1" t="str">
        <f>IFERROR(VLOOKUP(A1523,[1]diabetes_Recognition!$A:$B,2,FALSE),"Not Sampled")</f>
        <v>Not Sampled</v>
      </c>
      <c r="U1523" t="str">
        <f>IF(T1523=1,"Positive",(IF(T1523=0,"Negative","Not Sampled")))</f>
        <v>Not Sampled</v>
      </c>
      <c r="V1523" s="1" t="str">
        <f>IF(U1523="Not Sampled","Not Sampled",IF(S1523=U1523,"Accurate Prediction","Inaccurate Prediction"))</f>
        <v>Not Sampled</v>
      </c>
    </row>
    <row r="1524" spans="1:22" x14ac:dyDescent="0.25">
      <c r="A1524" s="1">
        <v>1522</v>
      </c>
      <c r="B1524" s="1">
        <v>5</v>
      </c>
      <c r="C1524" s="1" t="str">
        <f>LOOKUP(B1524,Sheet2!$D$4:$E$9)</f>
        <v>5-7</v>
      </c>
      <c r="D1524" s="1">
        <v>88</v>
      </c>
      <c r="E1524" t="str">
        <f>LOOKUP(D1524,Sheet2!$G$4:$H$9)</f>
        <v>1-99</v>
      </c>
      <c r="F1524" s="1">
        <v>78</v>
      </c>
      <c r="G1524" t="str">
        <f>LOOKUP(F1524,Sheet2!$J$4:$K$8)</f>
        <v>70-79</v>
      </c>
      <c r="H1524" s="1">
        <v>30</v>
      </c>
      <c r="I1524" t="str">
        <f>LOOKUP(H1524,Sheet2!$M$4:$N$8)</f>
        <v>30-39</v>
      </c>
      <c r="J1524" s="1">
        <v>0</v>
      </c>
      <c r="K1524" t="str">
        <f>LOOKUP(J1524,Sheet2!$P$4:$Q$9)</f>
        <v>Unknown</v>
      </c>
      <c r="L1524" s="1">
        <v>27.6</v>
      </c>
      <c r="M1524" t="str">
        <f>LOOKUP(L1524,Sheet2!$S$4:$T$8)</f>
        <v>26-30</v>
      </c>
      <c r="N1524" s="1">
        <v>0.25800000000000001</v>
      </c>
      <c r="O1524" t="str">
        <f>LOOKUP(N1524,Sheet2!$V$4:$W$7)</f>
        <v>0.25 - 0.39</v>
      </c>
      <c r="P1524" s="1">
        <v>37</v>
      </c>
      <c r="Q1524" t="str">
        <f>LOOKUP(P1524,Sheet2!$Z$4:$AA$7)</f>
        <v>36-45</v>
      </c>
      <c r="R1524" s="1">
        <v>0</v>
      </c>
      <c r="S1524" t="str">
        <f>IF(R1524=1,"Positive","Negative")</f>
        <v>Negative</v>
      </c>
      <c r="T1524" s="1">
        <f>IFERROR(VLOOKUP(A1524,[1]diabetes_Recognition!$A:$B,2,FALSE),"Not Sampled")</f>
        <v>0</v>
      </c>
      <c r="U1524" t="str">
        <f>IF(T1524=1,"Positive",(IF(T1524=0,"Negative","Not Sampled")))</f>
        <v>Negative</v>
      </c>
      <c r="V1524" s="1" t="str">
        <f>IF(U1524="Not Sampled","Not Sampled",IF(S1524=U1524,"Accurate Prediction","Inaccurate Prediction"))</f>
        <v>Accurate Prediction</v>
      </c>
    </row>
    <row r="1525" spans="1:22" x14ac:dyDescent="0.25">
      <c r="A1525" s="1">
        <v>1523</v>
      </c>
      <c r="B1525" s="1">
        <v>10</v>
      </c>
      <c r="C1525" s="1" t="str">
        <f>LOOKUP(B1525,Sheet2!$D$4:$E$9)</f>
        <v>8+</v>
      </c>
      <c r="D1525" s="1">
        <v>115</v>
      </c>
      <c r="E1525" t="str">
        <f>LOOKUP(D1525,Sheet2!$G$4:$H$9)</f>
        <v>100-125</v>
      </c>
      <c r="F1525" s="1">
        <v>98</v>
      </c>
      <c r="G1525" t="str">
        <f>LOOKUP(F1525,Sheet2!$J$4:$K$8)</f>
        <v>80+</v>
      </c>
      <c r="H1525" s="1">
        <v>0</v>
      </c>
      <c r="I1525" t="str">
        <f>LOOKUP(H1525,Sheet2!$M$4:$N$8)</f>
        <v>Unknown</v>
      </c>
      <c r="J1525" s="1">
        <v>0</v>
      </c>
      <c r="K1525" t="str">
        <f>LOOKUP(J1525,Sheet2!$P$4:$Q$9)</f>
        <v>Unknown</v>
      </c>
      <c r="L1525" s="1">
        <v>24</v>
      </c>
      <c r="M1525" t="str">
        <f>LOOKUP(L1525,Sheet2!$S$4:$T$8)</f>
        <v>1-25</v>
      </c>
      <c r="N1525" s="1">
        <v>1.022</v>
      </c>
      <c r="O1525" t="str">
        <f>LOOKUP(N1525,Sheet2!$V$4:$W$7)</f>
        <v>0.7+</v>
      </c>
      <c r="P1525" s="1">
        <v>34</v>
      </c>
      <c r="Q1525" t="str">
        <f>LOOKUP(P1525,Sheet2!$Z$4:$AA$7)</f>
        <v>26-35</v>
      </c>
      <c r="R1525" s="1">
        <v>0</v>
      </c>
      <c r="S1525" t="str">
        <f>IF(R1525=1,"Positive","Negative")</f>
        <v>Negative</v>
      </c>
      <c r="T1525" s="1" t="str">
        <f>IFERROR(VLOOKUP(A1525,[1]diabetes_Recognition!$A:$B,2,FALSE),"Not Sampled")</f>
        <v>Not Sampled</v>
      </c>
      <c r="U1525" t="str">
        <f>IF(T1525=1,"Positive",(IF(T1525=0,"Negative","Not Sampled")))</f>
        <v>Not Sampled</v>
      </c>
      <c r="V1525" s="1" t="str">
        <f>IF(U1525="Not Sampled","Not Sampled",IF(S1525=U1525,"Accurate Prediction","Inaccurate Prediction"))</f>
        <v>Not Sampled</v>
      </c>
    </row>
    <row r="1526" spans="1:22" x14ac:dyDescent="0.25">
      <c r="A1526" s="1">
        <v>1524</v>
      </c>
      <c r="B1526" s="1">
        <v>0</v>
      </c>
      <c r="C1526" s="1">
        <f>LOOKUP(B1526,Sheet2!$D$4:$E$9)</f>
        <v>0</v>
      </c>
      <c r="D1526" s="1">
        <v>124</v>
      </c>
      <c r="E1526" t="str">
        <f>LOOKUP(D1526,Sheet2!$G$4:$H$9)</f>
        <v>100-125</v>
      </c>
      <c r="F1526" s="1">
        <v>56</v>
      </c>
      <c r="G1526" t="str">
        <f>LOOKUP(F1526,Sheet2!$J$4:$K$8)</f>
        <v>1-59</v>
      </c>
      <c r="H1526" s="1">
        <v>13</v>
      </c>
      <c r="I1526" t="str">
        <f>LOOKUP(H1526,Sheet2!$M$4:$N$8)</f>
        <v>10-30</v>
      </c>
      <c r="J1526" s="1">
        <v>105</v>
      </c>
      <c r="K1526" t="str">
        <f>LOOKUP(J1526,Sheet2!$P$4:$Q$9)</f>
        <v>100-199</v>
      </c>
      <c r="L1526" s="1">
        <v>21.8</v>
      </c>
      <c r="M1526" t="str">
        <f>LOOKUP(L1526,Sheet2!$S$4:$T$8)</f>
        <v>1-25</v>
      </c>
      <c r="N1526" s="1">
        <v>0.45200000000000001</v>
      </c>
      <c r="O1526" t="str">
        <f>LOOKUP(N1526,Sheet2!$V$4:$W$7)</f>
        <v>0.4 - 0.69</v>
      </c>
      <c r="P1526" s="1">
        <v>21</v>
      </c>
      <c r="Q1526" t="str">
        <f>LOOKUP(P1526,Sheet2!$Z$4:$AA$7)</f>
        <v>&lt;=25</v>
      </c>
      <c r="R1526" s="1">
        <v>0</v>
      </c>
      <c r="S1526" t="str">
        <f>IF(R1526=1,"Positive","Negative")</f>
        <v>Negative</v>
      </c>
      <c r="T1526" s="1" t="str">
        <f>IFERROR(VLOOKUP(A1526,[1]diabetes_Recognition!$A:$B,2,FALSE),"Not Sampled")</f>
        <v>Not Sampled</v>
      </c>
      <c r="U1526" t="str">
        <f>IF(T1526=1,"Positive",(IF(T1526=0,"Negative","Not Sampled")))</f>
        <v>Not Sampled</v>
      </c>
      <c r="V1526" s="1" t="str">
        <f>IF(U1526="Not Sampled","Not Sampled",IF(S1526=U1526,"Accurate Prediction","Inaccurate Prediction"))</f>
        <v>Not Sampled</v>
      </c>
    </row>
    <row r="1527" spans="1:22" x14ac:dyDescent="0.25">
      <c r="A1527" s="1">
        <v>1525</v>
      </c>
      <c r="B1527" s="1">
        <v>0</v>
      </c>
      <c r="C1527" s="1">
        <f>LOOKUP(B1527,Sheet2!$D$4:$E$9)</f>
        <v>0</v>
      </c>
      <c r="D1527" s="1">
        <v>74</v>
      </c>
      <c r="E1527" t="str">
        <f>LOOKUP(D1527,Sheet2!$G$4:$H$9)</f>
        <v>1-99</v>
      </c>
      <c r="F1527" s="1">
        <v>52</v>
      </c>
      <c r="G1527" t="str">
        <f>LOOKUP(F1527,Sheet2!$J$4:$K$8)</f>
        <v>1-59</v>
      </c>
      <c r="H1527" s="1">
        <v>10</v>
      </c>
      <c r="I1527" t="str">
        <f>LOOKUP(H1527,Sheet2!$M$4:$N$8)</f>
        <v>10-30</v>
      </c>
      <c r="J1527" s="1">
        <v>36</v>
      </c>
      <c r="K1527" t="str">
        <f>LOOKUP(J1527,Sheet2!$P$4:$Q$9)</f>
        <v>1-99</v>
      </c>
      <c r="L1527" s="1">
        <v>27.8</v>
      </c>
      <c r="M1527" t="str">
        <f>LOOKUP(L1527,Sheet2!$S$4:$T$8)</f>
        <v>26-30</v>
      </c>
      <c r="N1527" s="1">
        <v>0.26900000000000002</v>
      </c>
      <c r="O1527" t="str">
        <f>LOOKUP(N1527,Sheet2!$V$4:$W$7)</f>
        <v>0.25 - 0.39</v>
      </c>
      <c r="P1527" s="1">
        <v>22</v>
      </c>
      <c r="Q1527" t="str">
        <f>LOOKUP(P1527,Sheet2!$Z$4:$AA$7)</f>
        <v>&lt;=25</v>
      </c>
      <c r="R1527" s="1">
        <v>0</v>
      </c>
      <c r="S1527" t="str">
        <f>IF(R1527=1,"Positive","Negative")</f>
        <v>Negative</v>
      </c>
      <c r="T1527" s="1" t="str">
        <f>IFERROR(VLOOKUP(A1527,[1]diabetes_Recognition!$A:$B,2,FALSE),"Not Sampled")</f>
        <v>Not Sampled</v>
      </c>
      <c r="U1527" t="str">
        <f>IF(T1527=1,"Positive",(IF(T1527=0,"Negative","Not Sampled")))</f>
        <v>Not Sampled</v>
      </c>
      <c r="V1527" s="1" t="str">
        <f>IF(U1527="Not Sampled","Not Sampled",IF(S1527=U1527,"Accurate Prediction","Inaccurate Prediction"))</f>
        <v>Not Sampled</v>
      </c>
    </row>
    <row r="1528" spans="1:22" x14ac:dyDescent="0.25">
      <c r="A1528" s="1">
        <v>1526</v>
      </c>
      <c r="B1528" s="1">
        <v>0</v>
      </c>
      <c r="C1528" s="1">
        <f>LOOKUP(B1528,Sheet2!$D$4:$E$9)</f>
        <v>0</v>
      </c>
      <c r="D1528" s="1">
        <v>97</v>
      </c>
      <c r="E1528" t="str">
        <f>LOOKUP(D1528,Sheet2!$G$4:$H$9)</f>
        <v>1-99</v>
      </c>
      <c r="F1528" s="1">
        <v>64</v>
      </c>
      <c r="G1528" t="str">
        <f>LOOKUP(F1528,Sheet2!$J$4:$K$8)</f>
        <v>60-69</v>
      </c>
      <c r="H1528" s="1">
        <v>36</v>
      </c>
      <c r="I1528" t="str">
        <f>LOOKUP(H1528,Sheet2!$M$4:$N$8)</f>
        <v>30-39</v>
      </c>
      <c r="J1528" s="1">
        <v>100</v>
      </c>
      <c r="K1528" t="str">
        <f>LOOKUP(J1528,Sheet2!$P$4:$Q$9)</f>
        <v>100-199</v>
      </c>
      <c r="L1528" s="1">
        <v>36.799999999999997</v>
      </c>
      <c r="M1528" t="str">
        <f>LOOKUP(L1528,Sheet2!$S$4:$T$8)</f>
        <v>36+</v>
      </c>
      <c r="N1528" s="1">
        <v>0.6</v>
      </c>
      <c r="O1528" t="str">
        <f>LOOKUP(N1528,Sheet2!$V$4:$W$7)</f>
        <v>0.4 - 0.69</v>
      </c>
      <c r="P1528" s="1">
        <v>25</v>
      </c>
      <c r="Q1528" t="str">
        <f>LOOKUP(P1528,Sheet2!$Z$4:$AA$7)</f>
        <v>&lt;=25</v>
      </c>
      <c r="R1528" s="1">
        <v>0</v>
      </c>
      <c r="S1528" t="str">
        <f>IF(R1528=1,"Positive","Negative")</f>
        <v>Negative</v>
      </c>
      <c r="T1528" s="1" t="str">
        <f>IFERROR(VLOOKUP(A1528,[1]diabetes_Recognition!$A:$B,2,FALSE),"Not Sampled")</f>
        <v>Not Sampled</v>
      </c>
      <c r="U1528" t="str">
        <f>IF(T1528=1,"Positive",(IF(T1528=0,"Negative","Not Sampled")))</f>
        <v>Not Sampled</v>
      </c>
      <c r="V1528" s="1" t="str">
        <f>IF(U1528="Not Sampled","Not Sampled",IF(S1528=U1528,"Accurate Prediction","Inaccurate Prediction"))</f>
        <v>Not Sampled</v>
      </c>
    </row>
    <row r="1529" spans="1:22" x14ac:dyDescent="0.25">
      <c r="A1529" s="1">
        <v>1527</v>
      </c>
      <c r="B1529" s="1">
        <v>8</v>
      </c>
      <c r="C1529" s="1" t="str">
        <f>LOOKUP(B1529,Sheet2!$D$4:$E$9)</f>
        <v>8+</v>
      </c>
      <c r="D1529" s="1">
        <v>120</v>
      </c>
      <c r="E1529" t="str">
        <f>LOOKUP(D1529,Sheet2!$G$4:$H$9)</f>
        <v>100-125</v>
      </c>
      <c r="F1529" s="1">
        <v>0</v>
      </c>
      <c r="G1529" t="str">
        <f>LOOKUP(F1529,Sheet2!$J$4:$K$8)</f>
        <v>Unknown</v>
      </c>
      <c r="H1529" s="1">
        <v>0</v>
      </c>
      <c r="I1529" t="str">
        <f>LOOKUP(H1529,Sheet2!$M$4:$N$8)</f>
        <v>Unknown</v>
      </c>
      <c r="J1529" s="1">
        <v>0</v>
      </c>
      <c r="K1529" t="str">
        <f>LOOKUP(J1529,Sheet2!$P$4:$Q$9)</f>
        <v>Unknown</v>
      </c>
      <c r="L1529" s="1">
        <v>30</v>
      </c>
      <c r="M1529" t="str">
        <f>LOOKUP(L1529,Sheet2!$S$4:$T$8)</f>
        <v>26-30</v>
      </c>
      <c r="N1529" s="1">
        <v>0.183</v>
      </c>
      <c r="O1529" t="str">
        <f>LOOKUP(N1529,Sheet2!$V$4:$W$7)</f>
        <v>0.0 - 0.249</v>
      </c>
      <c r="P1529" s="1">
        <v>38</v>
      </c>
      <c r="Q1529" t="str">
        <f>LOOKUP(P1529,Sheet2!$Z$4:$AA$7)</f>
        <v>36-45</v>
      </c>
      <c r="R1529" s="1">
        <v>1</v>
      </c>
      <c r="S1529" t="str">
        <f>IF(R1529=1,"Positive","Negative")</f>
        <v>Positive</v>
      </c>
      <c r="T1529" s="1" t="str">
        <f>IFERROR(VLOOKUP(A1529,[1]diabetes_Recognition!$A:$B,2,FALSE),"Not Sampled")</f>
        <v>Not Sampled</v>
      </c>
      <c r="U1529" t="str">
        <f>IF(T1529=1,"Positive",(IF(T1529=0,"Negative","Not Sampled")))</f>
        <v>Not Sampled</v>
      </c>
      <c r="V1529" s="1" t="str">
        <f>IF(U1529="Not Sampled","Not Sampled",IF(S1529=U1529,"Accurate Prediction","Inaccurate Prediction"))</f>
        <v>Not Sampled</v>
      </c>
    </row>
    <row r="1530" spans="1:22" x14ac:dyDescent="0.25">
      <c r="A1530" s="1">
        <v>1528</v>
      </c>
      <c r="B1530" s="1">
        <v>6</v>
      </c>
      <c r="C1530" s="1" t="str">
        <f>LOOKUP(B1530,Sheet2!$D$4:$E$9)</f>
        <v>5-7</v>
      </c>
      <c r="D1530" s="1">
        <v>154</v>
      </c>
      <c r="E1530" t="str">
        <f>LOOKUP(D1530,Sheet2!$G$4:$H$9)</f>
        <v>151-175</v>
      </c>
      <c r="F1530" s="1">
        <v>78</v>
      </c>
      <c r="G1530" t="str">
        <f>LOOKUP(F1530,Sheet2!$J$4:$K$8)</f>
        <v>70-79</v>
      </c>
      <c r="H1530" s="1">
        <v>41</v>
      </c>
      <c r="I1530" t="str">
        <f>LOOKUP(H1530,Sheet2!$M$4:$N$8)</f>
        <v>40+</v>
      </c>
      <c r="J1530" s="1">
        <v>140</v>
      </c>
      <c r="K1530" t="str">
        <f>LOOKUP(J1530,Sheet2!$P$4:$Q$9)</f>
        <v>100-199</v>
      </c>
      <c r="L1530" s="1">
        <v>46.1</v>
      </c>
      <c r="M1530" t="str">
        <f>LOOKUP(L1530,Sheet2!$S$4:$T$8)</f>
        <v>36+</v>
      </c>
      <c r="N1530" s="1">
        <v>0.57099999999999995</v>
      </c>
      <c r="O1530" t="str">
        <f>LOOKUP(N1530,Sheet2!$V$4:$W$7)</f>
        <v>0.4 - 0.69</v>
      </c>
      <c r="P1530" s="1">
        <v>27</v>
      </c>
      <c r="Q1530" t="str">
        <f>LOOKUP(P1530,Sheet2!$Z$4:$AA$7)</f>
        <v>26-35</v>
      </c>
      <c r="R1530" s="1">
        <v>0</v>
      </c>
      <c r="S1530" t="str">
        <f>IF(R1530=1,"Positive","Negative")</f>
        <v>Negative</v>
      </c>
      <c r="T1530" s="1">
        <f>IFERROR(VLOOKUP(A1530,[1]diabetes_Recognition!$A:$B,2,FALSE),"Not Sampled")</f>
        <v>1</v>
      </c>
      <c r="U1530" t="str">
        <f>IF(T1530=1,"Positive",(IF(T1530=0,"Negative","Not Sampled")))</f>
        <v>Positive</v>
      </c>
      <c r="V1530" s="1" t="str">
        <f>IF(U1530="Not Sampled","Not Sampled",IF(S1530=U1530,"Accurate Prediction","Inaccurate Prediction"))</f>
        <v>Inaccurate Prediction</v>
      </c>
    </row>
    <row r="1531" spans="1:22" x14ac:dyDescent="0.25">
      <c r="A1531" s="1">
        <v>1529</v>
      </c>
      <c r="B1531" s="1">
        <v>1</v>
      </c>
      <c r="C1531" s="1">
        <f>LOOKUP(B1531,Sheet2!$D$4:$E$9)</f>
        <v>1</v>
      </c>
      <c r="D1531" s="1">
        <v>144</v>
      </c>
      <c r="E1531" t="str">
        <f>LOOKUP(D1531,Sheet2!$G$4:$H$9)</f>
        <v>126-150</v>
      </c>
      <c r="F1531" s="1">
        <v>82</v>
      </c>
      <c r="G1531" t="str">
        <f>LOOKUP(F1531,Sheet2!$J$4:$K$8)</f>
        <v>80+</v>
      </c>
      <c r="H1531" s="1">
        <v>40</v>
      </c>
      <c r="I1531" t="str">
        <f>LOOKUP(H1531,Sheet2!$M$4:$N$8)</f>
        <v>40+</v>
      </c>
      <c r="J1531" s="1">
        <v>0</v>
      </c>
      <c r="K1531" t="str">
        <f>LOOKUP(J1531,Sheet2!$P$4:$Q$9)</f>
        <v>Unknown</v>
      </c>
      <c r="L1531" s="1">
        <v>41.3</v>
      </c>
      <c r="M1531" t="str">
        <f>LOOKUP(L1531,Sheet2!$S$4:$T$8)</f>
        <v>36+</v>
      </c>
      <c r="N1531" s="1">
        <v>0.60699999999999998</v>
      </c>
      <c r="O1531" t="str">
        <f>LOOKUP(N1531,Sheet2!$V$4:$W$7)</f>
        <v>0.4 - 0.69</v>
      </c>
      <c r="P1531" s="1">
        <v>28</v>
      </c>
      <c r="Q1531" t="str">
        <f>LOOKUP(P1531,Sheet2!$Z$4:$AA$7)</f>
        <v>26-35</v>
      </c>
      <c r="R1531" s="1">
        <v>0</v>
      </c>
      <c r="S1531" t="str">
        <f>IF(R1531=1,"Positive","Negative")</f>
        <v>Negative</v>
      </c>
      <c r="T1531" s="1">
        <f>IFERROR(VLOOKUP(A1531,[1]diabetes_Recognition!$A:$B,2,FALSE),"Not Sampled")</f>
        <v>1</v>
      </c>
      <c r="U1531" t="str">
        <f>IF(T1531=1,"Positive",(IF(T1531=0,"Negative","Not Sampled")))</f>
        <v>Positive</v>
      </c>
      <c r="V1531" s="1" t="str">
        <f>IF(U1531="Not Sampled","Not Sampled",IF(S1531=U1531,"Accurate Prediction","Inaccurate Prediction"))</f>
        <v>Inaccurate Prediction</v>
      </c>
    </row>
    <row r="1532" spans="1:22" x14ac:dyDescent="0.25">
      <c r="A1532" s="1">
        <v>1530</v>
      </c>
      <c r="B1532" s="1">
        <v>0</v>
      </c>
      <c r="C1532" s="1">
        <f>LOOKUP(B1532,Sheet2!$D$4:$E$9)</f>
        <v>0</v>
      </c>
      <c r="D1532" s="1">
        <v>137</v>
      </c>
      <c r="E1532" t="str">
        <f>LOOKUP(D1532,Sheet2!$G$4:$H$9)</f>
        <v>126-150</v>
      </c>
      <c r="F1532" s="1">
        <v>70</v>
      </c>
      <c r="G1532" t="str">
        <f>LOOKUP(F1532,Sheet2!$J$4:$K$8)</f>
        <v>70-79</v>
      </c>
      <c r="H1532" s="1">
        <v>38</v>
      </c>
      <c r="I1532" t="str">
        <f>LOOKUP(H1532,Sheet2!$M$4:$N$8)</f>
        <v>30-39</v>
      </c>
      <c r="J1532" s="1">
        <v>0</v>
      </c>
      <c r="K1532" t="str">
        <f>LOOKUP(J1532,Sheet2!$P$4:$Q$9)</f>
        <v>Unknown</v>
      </c>
      <c r="L1532" s="1">
        <v>33.200000000000003</v>
      </c>
      <c r="M1532" t="str">
        <f>LOOKUP(L1532,Sheet2!$S$4:$T$8)</f>
        <v>31-35</v>
      </c>
      <c r="N1532" s="1">
        <v>0.17</v>
      </c>
      <c r="O1532" t="str">
        <f>LOOKUP(N1532,Sheet2!$V$4:$W$7)</f>
        <v>0.0 - 0.249</v>
      </c>
      <c r="P1532" s="1">
        <v>22</v>
      </c>
      <c r="Q1532" t="str">
        <f>LOOKUP(P1532,Sheet2!$Z$4:$AA$7)</f>
        <v>&lt;=25</v>
      </c>
      <c r="R1532" s="1">
        <v>0</v>
      </c>
      <c r="S1532" t="str">
        <f>IF(R1532=1,"Positive","Negative")</f>
        <v>Negative</v>
      </c>
      <c r="T1532" s="1" t="str">
        <f>IFERROR(VLOOKUP(A1532,[1]diabetes_Recognition!$A:$B,2,FALSE),"Not Sampled")</f>
        <v>Not Sampled</v>
      </c>
      <c r="U1532" t="str">
        <f>IF(T1532=1,"Positive",(IF(T1532=0,"Negative","Not Sampled")))</f>
        <v>Not Sampled</v>
      </c>
      <c r="V1532" s="1" t="str">
        <f>IF(U1532="Not Sampled","Not Sampled",IF(S1532=U1532,"Accurate Prediction","Inaccurate Prediction"))</f>
        <v>Not Sampled</v>
      </c>
    </row>
    <row r="1533" spans="1:22" x14ac:dyDescent="0.25">
      <c r="A1533" s="1">
        <v>1531</v>
      </c>
      <c r="B1533" s="1">
        <v>0</v>
      </c>
      <c r="C1533" s="1">
        <f>LOOKUP(B1533,Sheet2!$D$4:$E$9)</f>
        <v>0</v>
      </c>
      <c r="D1533" s="1">
        <v>119</v>
      </c>
      <c r="E1533" t="str">
        <f>LOOKUP(D1533,Sheet2!$G$4:$H$9)</f>
        <v>100-125</v>
      </c>
      <c r="F1533" s="1">
        <v>66</v>
      </c>
      <c r="G1533" t="str">
        <f>LOOKUP(F1533,Sheet2!$J$4:$K$8)</f>
        <v>60-69</v>
      </c>
      <c r="H1533" s="1">
        <v>27</v>
      </c>
      <c r="I1533" t="str">
        <f>LOOKUP(H1533,Sheet2!$M$4:$N$8)</f>
        <v>10-30</v>
      </c>
      <c r="J1533" s="1">
        <v>0</v>
      </c>
      <c r="K1533" t="str">
        <f>LOOKUP(J1533,Sheet2!$P$4:$Q$9)</f>
        <v>Unknown</v>
      </c>
      <c r="L1533" s="1">
        <v>38.799999999999997</v>
      </c>
      <c r="M1533" t="str">
        <f>LOOKUP(L1533,Sheet2!$S$4:$T$8)</f>
        <v>36+</v>
      </c>
      <c r="N1533" s="1">
        <v>0.25900000000000001</v>
      </c>
      <c r="O1533" t="str">
        <f>LOOKUP(N1533,Sheet2!$V$4:$W$7)</f>
        <v>0.25 - 0.39</v>
      </c>
      <c r="P1533" s="1">
        <v>22</v>
      </c>
      <c r="Q1533" t="str">
        <f>LOOKUP(P1533,Sheet2!$Z$4:$AA$7)</f>
        <v>&lt;=25</v>
      </c>
      <c r="R1533" s="1">
        <v>0</v>
      </c>
      <c r="S1533" t="str">
        <f>IF(R1533=1,"Positive","Negative")</f>
        <v>Negative</v>
      </c>
      <c r="T1533" s="1" t="str">
        <f>IFERROR(VLOOKUP(A1533,[1]diabetes_Recognition!$A:$B,2,FALSE),"Not Sampled")</f>
        <v>Not Sampled</v>
      </c>
      <c r="U1533" t="str">
        <f>IF(T1533=1,"Positive",(IF(T1533=0,"Negative","Not Sampled")))</f>
        <v>Not Sampled</v>
      </c>
      <c r="V1533" s="1" t="str">
        <f>IF(U1533="Not Sampled","Not Sampled",IF(S1533=U1533,"Accurate Prediction","Inaccurate Prediction"))</f>
        <v>Not Sampled</v>
      </c>
    </row>
    <row r="1534" spans="1:22" x14ac:dyDescent="0.25">
      <c r="A1534" s="1">
        <v>1532</v>
      </c>
      <c r="B1534" s="1">
        <v>7</v>
      </c>
      <c r="C1534" s="1" t="str">
        <f>LOOKUP(B1534,Sheet2!$D$4:$E$9)</f>
        <v>5-7</v>
      </c>
      <c r="D1534" s="1">
        <v>136</v>
      </c>
      <c r="E1534" t="str">
        <f>LOOKUP(D1534,Sheet2!$G$4:$H$9)</f>
        <v>126-150</v>
      </c>
      <c r="F1534" s="1">
        <v>90</v>
      </c>
      <c r="G1534" t="str">
        <f>LOOKUP(F1534,Sheet2!$J$4:$K$8)</f>
        <v>80+</v>
      </c>
      <c r="H1534" s="1">
        <v>0</v>
      </c>
      <c r="I1534" t="str">
        <f>LOOKUP(H1534,Sheet2!$M$4:$N$8)</f>
        <v>Unknown</v>
      </c>
      <c r="J1534" s="1">
        <v>0</v>
      </c>
      <c r="K1534" t="str">
        <f>LOOKUP(J1534,Sheet2!$P$4:$Q$9)</f>
        <v>Unknown</v>
      </c>
      <c r="L1534" s="1">
        <v>29.9</v>
      </c>
      <c r="M1534" t="str">
        <f>LOOKUP(L1534,Sheet2!$S$4:$T$8)</f>
        <v>26-30</v>
      </c>
      <c r="N1534" s="1">
        <v>0.21</v>
      </c>
      <c r="O1534" t="str">
        <f>LOOKUP(N1534,Sheet2!$V$4:$W$7)</f>
        <v>0.0 - 0.249</v>
      </c>
      <c r="P1534" s="1">
        <v>50</v>
      </c>
      <c r="Q1534" t="str">
        <f>LOOKUP(P1534,Sheet2!$Z$4:$AA$7)</f>
        <v>46+</v>
      </c>
      <c r="R1534" s="1">
        <v>0</v>
      </c>
      <c r="S1534" t="str">
        <f>IF(R1534=1,"Positive","Negative")</f>
        <v>Negative</v>
      </c>
      <c r="T1534" s="1" t="str">
        <f>IFERROR(VLOOKUP(A1534,[1]diabetes_Recognition!$A:$B,2,FALSE),"Not Sampled")</f>
        <v>Not Sampled</v>
      </c>
      <c r="U1534" t="str">
        <f>IF(T1534=1,"Positive",(IF(T1534=0,"Negative","Not Sampled")))</f>
        <v>Not Sampled</v>
      </c>
      <c r="V1534" s="1" t="str">
        <f>IF(U1534="Not Sampled","Not Sampled",IF(S1534=U1534,"Accurate Prediction","Inaccurate Prediction"))</f>
        <v>Not Sampled</v>
      </c>
    </row>
    <row r="1535" spans="1:22" x14ac:dyDescent="0.25">
      <c r="A1535" s="1">
        <v>1533</v>
      </c>
      <c r="B1535" s="1">
        <v>4</v>
      </c>
      <c r="C1535" s="1" t="str">
        <f>LOOKUP(B1535,Sheet2!$D$4:$E$9)</f>
        <v>3-4</v>
      </c>
      <c r="D1535" s="1">
        <v>114</v>
      </c>
      <c r="E1535" t="str">
        <f>LOOKUP(D1535,Sheet2!$G$4:$H$9)</f>
        <v>100-125</v>
      </c>
      <c r="F1535" s="1">
        <v>64</v>
      </c>
      <c r="G1535" t="str">
        <f>LOOKUP(F1535,Sheet2!$J$4:$K$8)</f>
        <v>60-69</v>
      </c>
      <c r="H1535" s="1">
        <v>0</v>
      </c>
      <c r="I1535" t="str">
        <f>LOOKUP(H1535,Sheet2!$M$4:$N$8)</f>
        <v>Unknown</v>
      </c>
      <c r="J1535" s="1">
        <v>0</v>
      </c>
      <c r="K1535" t="str">
        <f>LOOKUP(J1535,Sheet2!$P$4:$Q$9)</f>
        <v>Unknown</v>
      </c>
      <c r="L1535" s="1">
        <v>28.9</v>
      </c>
      <c r="M1535" t="str">
        <f>LOOKUP(L1535,Sheet2!$S$4:$T$8)</f>
        <v>26-30</v>
      </c>
      <c r="N1535" s="1">
        <v>0.126</v>
      </c>
      <c r="O1535" t="str">
        <f>LOOKUP(N1535,Sheet2!$V$4:$W$7)</f>
        <v>0.0 - 0.249</v>
      </c>
      <c r="P1535" s="1">
        <v>24</v>
      </c>
      <c r="Q1535" t="str">
        <f>LOOKUP(P1535,Sheet2!$Z$4:$AA$7)</f>
        <v>&lt;=25</v>
      </c>
      <c r="R1535" s="1">
        <v>0</v>
      </c>
      <c r="S1535" t="str">
        <f>IF(R1535=1,"Positive","Negative")</f>
        <v>Negative</v>
      </c>
      <c r="T1535" s="1" t="str">
        <f>IFERROR(VLOOKUP(A1535,[1]diabetes_Recognition!$A:$B,2,FALSE),"Not Sampled")</f>
        <v>Not Sampled</v>
      </c>
      <c r="U1535" t="str">
        <f>IF(T1535=1,"Positive",(IF(T1535=0,"Negative","Not Sampled")))</f>
        <v>Not Sampled</v>
      </c>
      <c r="V1535" s="1" t="str">
        <f>IF(U1535="Not Sampled","Not Sampled",IF(S1535=U1535,"Accurate Prediction","Inaccurate Prediction"))</f>
        <v>Not Sampled</v>
      </c>
    </row>
    <row r="1536" spans="1:22" x14ac:dyDescent="0.25">
      <c r="A1536" s="1">
        <v>1534</v>
      </c>
      <c r="B1536" s="1">
        <v>0</v>
      </c>
      <c r="C1536" s="1">
        <f>LOOKUP(B1536,Sheet2!$D$4:$E$9)</f>
        <v>0</v>
      </c>
      <c r="D1536" s="1">
        <v>137</v>
      </c>
      <c r="E1536" t="str">
        <f>LOOKUP(D1536,Sheet2!$G$4:$H$9)</f>
        <v>126-150</v>
      </c>
      <c r="F1536" s="1">
        <v>84</v>
      </c>
      <c r="G1536" t="str">
        <f>LOOKUP(F1536,Sheet2!$J$4:$K$8)</f>
        <v>80+</v>
      </c>
      <c r="H1536" s="1">
        <v>27</v>
      </c>
      <c r="I1536" t="str">
        <f>LOOKUP(H1536,Sheet2!$M$4:$N$8)</f>
        <v>10-30</v>
      </c>
      <c r="J1536" s="1">
        <v>0</v>
      </c>
      <c r="K1536" t="str">
        <f>LOOKUP(J1536,Sheet2!$P$4:$Q$9)</f>
        <v>Unknown</v>
      </c>
      <c r="L1536" s="1">
        <v>27.3</v>
      </c>
      <c r="M1536" t="str">
        <f>LOOKUP(L1536,Sheet2!$S$4:$T$8)</f>
        <v>26-30</v>
      </c>
      <c r="N1536" s="1">
        <v>0.23100000000000001</v>
      </c>
      <c r="O1536" t="str">
        <f>LOOKUP(N1536,Sheet2!$V$4:$W$7)</f>
        <v>0.0 - 0.249</v>
      </c>
      <c r="P1536" s="1">
        <v>59</v>
      </c>
      <c r="Q1536" t="str">
        <f>LOOKUP(P1536,Sheet2!$Z$4:$AA$7)</f>
        <v>46+</v>
      </c>
      <c r="R1536" s="1">
        <v>0</v>
      </c>
      <c r="S1536" t="str">
        <f>IF(R1536=1,"Positive","Negative")</f>
        <v>Negative</v>
      </c>
      <c r="T1536" s="1" t="str">
        <f>IFERROR(VLOOKUP(A1536,[1]diabetes_Recognition!$A:$B,2,FALSE),"Not Sampled")</f>
        <v>Not Sampled</v>
      </c>
      <c r="U1536" t="str">
        <f>IF(T1536=1,"Positive",(IF(T1536=0,"Negative","Not Sampled")))</f>
        <v>Not Sampled</v>
      </c>
      <c r="V1536" s="1" t="str">
        <f>IF(U1536="Not Sampled","Not Sampled",IF(S1536=U1536,"Accurate Prediction","Inaccurate Prediction"))</f>
        <v>Not Sampled</v>
      </c>
    </row>
    <row r="1537" spans="1:22" x14ac:dyDescent="0.25">
      <c r="A1537" s="1">
        <v>1535</v>
      </c>
      <c r="B1537" s="1">
        <v>2</v>
      </c>
      <c r="C1537" s="1">
        <f>LOOKUP(B1537,Sheet2!$D$4:$E$9)</f>
        <v>2</v>
      </c>
      <c r="D1537" s="1">
        <v>105</v>
      </c>
      <c r="E1537" t="str">
        <f>LOOKUP(D1537,Sheet2!$G$4:$H$9)</f>
        <v>100-125</v>
      </c>
      <c r="F1537" s="1">
        <v>80</v>
      </c>
      <c r="G1537" t="str">
        <f>LOOKUP(F1537,Sheet2!$J$4:$K$8)</f>
        <v>80+</v>
      </c>
      <c r="H1537" s="1">
        <v>45</v>
      </c>
      <c r="I1537" t="str">
        <f>LOOKUP(H1537,Sheet2!$M$4:$N$8)</f>
        <v>40+</v>
      </c>
      <c r="J1537" s="1">
        <v>191</v>
      </c>
      <c r="K1537" t="str">
        <f>LOOKUP(J1537,Sheet2!$P$4:$Q$9)</f>
        <v>100-199</v>
      </c>
      <c r="L1537" s="1">
        <v>33.700000000000003</v>
      </c>
      <c r="M1537" t="str">
        <f>LOOKUP(L1537,Sheet2!$S$4:$T$8)</f>
        <v>31-35</v>
      </c>
      <c r="N1537" s="1">
        <v>0.71099999999999997</v>
      </c>
      <c r="O1537" t="str">
        <f>LOOKUP(N1537,Sheet2!$V$4:$W$7)</f>
        <v>0.7+</v>
      </c>
      <c r="P1537" s="1">
        <v>29</v>
      </c>
      <c r="Q1537" t="str">
        <f>LOOKUP(P1537,Sheet2!$Z$4:$AA$7)</f>
        <v>26-35</v>
      </c>
      <c r="R1537" s="1">
        <v>1</v>
      </c>
      <c r="S1537" t="str">
        <f>IF(R1537=1,"Positive","Negative")</f>
        <v>Positive</v>
      </c>
      <c r="T1537" s="1" t="str">
        <f>IFERROR(VLOOKUP(A1537,[1]diabetes_Recognition!$A:$B,2,FALSE),"Not Sampled")</f>
        <v>Not Sampled</v>
      </c>
      <c r="U1537" t="str">
        <f>IF(T1537=1,"Positive",(IF(T1537=0,"Negative","Not Sampled")))</f>
        <v>Not Sampled</v>
      </c>
      <c r="V1537" s="1" t="str">
        <f>IF(U1537="Not Sampled","Not Sampled",IF(S1537=U1537,"Accurate Prediction","Inaccurate Prediction"))</f>
        <v>Not Sampled</v>
      </c>
    </row>
    <row r="1538" spans="1:22" x14ac:dyDescent="0.25">
      <c r="A1538" s="1">
        <v>1536</v>
      </c>
      <c r="B1538" s="1">
        <v>7</v>
      </c>
      <c r="C1538" s="1" t="str">
        <f>LOOKUP(B1538,Sheet2!$D$4:$E$9)</f>
        <v>5-7</v>
      </c>
      <c r="D1538" s="1">
        <v>114</v>
      </c>
      <c r="E1538" t="str">
        <f>LOOKUP(D1538,Sheet2!$G$4:$H$9)</f>
        <v>100-125</v>
      </c>
      <c r="F1538" s="1">
        <v>76</v>
      </c>
      <c r="G1538" t="str">
        <f>LOOKUP(F1538,Sheet2!$J$4:$K$8)</f>
        <v>70-79</v>
      </c>
      <c r="H1538" s="1">
        <v>17</v>
      </c>
      <c r="I1538" t="str">
        <f>LOOKUP(H1538,Sheet2!$M$4:$N$8)</f>
        <v>10-30</v>
      </c>
      <c r="J1538" s="1">
        <v>110</v>
      </c>
      <c r="K1538" t="str">
        <f>LOOKUP(J1538,Sheet2!$P$4:$Q$9)</f>
        <v>100-199</v>
      </c>
      <c r="L1538" s="1">
        <v>23.8</v>
      </c>
      <c r="M1538" t="str">
        <f>LOOKUP(L1538,Sheet2!$S$4:$T$8)</f>
        <v>1-25</v>
      </c>
      <c r="N1538" s="1">
        <v>0.46600000000000003</v>
      </c>
      <c r="O1538" t="str">
        <f>LOOKUP(N1538,Sheet2!$V$4:$W$7)</f>
        <v>0.4 - 0.69</v>
      </c>
      <c r="P1538" s="1">
        <v>31</v>
      </c>
      <c r="Q1538" t="str">
        <f>LOOKUP(P1538,Sheet2!$Z$4:$AA$7)</f>
        <v>26-35</v>
      </c>
      <c r="R1538" s="1">
        <v>0</v>
      </c>
      <c r="S1538" t="str">
        <f>IF(R1538=1,"Positive","Negative")</f>
        <v>Negative</v>
      </c>
      <c r="T1538" s="1" t="str">
        <f>IFERROR(VLOOKUP(A1538,[1]diabetes_Recognition!$A:$B,2,FALSE),"Not Sampled")</f>
        <v>Not Sampled</v>
      </c>
      <c r="U1538" t="str">
        <f>IF(T1538=1,"Positive",(IF(T1538=0,"Negative","Not Sampled")))</f>
        <v>Not Sampled</v>
      </c>
      <c r="V1538" s="1" t="str">
        <f>IF(U1538="Not Sampled","Not Sampled",IF(S1538=U1538,"Accurate Prediction","Inaccurate Prediction"))</f>
        <v>Not Sampled</v>
      </c>
    </row>
    <row r="1539" spans="1:22" x14ac:dyDescent="0.25">
      <c r="A1539" s="1">
        <v>1537</v>
      </c>
      <c r="B1539" s="1">
        <v>8</v>
      </c>
      <c r="C1539" s="1" t="str">
        <f>LOOKUP(B1539,Sheet2!$D$4:$E$9)</f>
        <v>8+</v>
      </c>
      <c r="D1539" s="1">
        <v>126</v>
      </c>
      <c r="E1539" t="str">
        <f>LOOKUP(D1539,Sheet2!$G$4:$H$9)</f>
        <v>126-150</v>
      </c>
      <c r="F1539" s="1">
        <v>74</v>
      </c>
      <c r="G1539" t="str">
        <f>LOOKUP(F1539,Sheet2!$J$4:$K$8)</f>
        <v>70-79</v>
      </c>
      <c r="H1539" s="1">
        <v>38</v>
      </c>
      <c r="I1539" t="str">
        <f>LOOKUP(H1539,Sheet2!$M$4:$N$8)</f>
        <v>30-39</v>
      </c>
      <c r="J1539" s="1">
        <v>75</v>
      </c>
      <c r="K1539" t="str">
        <f>LOOKUP(J1539,Sheet2!$P$4:$Q$9)</f>
        <v>1-99</v>
      </c>
      <c r="L1539" s="1">
        <v>25.9</v>
      </c>
      <c r="M1539" t="str">
        <f>LOOKUP(L1539,Sheet2!$S$4:$T$8)</f>
        <v>1-25</v>
      </c>
      <c r="N1539" s="1">
        <v>0.16200000000000001</v>
      </c>
      <c r="O1539" t="str">
        <f>LOOKUP(N1539,Sheet2!$V$4:$W$7)</f>
        <v>0.0 - 0.249</v>
      </c>
      <c r="P1539" s="1">
        <v>39</v>
      </c>
      <c r="Q1539" t="str">
        <f>LOOKUP(P1539,Sheet2!$Z$4:$AA$7)</f>
        <v>36-45</v>
      </c>
      <c r="R1539" s="1">
        <v>0</v>
      </c>
      <c r="S1539" t="str">
        <f>IF(R1539=1,"Positive","Negative")</f>
        <v>Negative</v>
      </c>
      <c r="T1539" s="1" t="str">
        <f>IFERROR(VLOOKUP(A1539,[1]diabetes_Recognition!$A:$B,2,FALSE),"Not Sampled")</f>
        <v>Not Sampled</v>
      </c>
      <c r="U1539" t="str">
        <f>IF(T1539=1,"Positive",(IF(T1539=0,"Negative","Not Sampled")))</f>
        <v>Not Sampled</v>
      </c>
      <c r="V1539" s="1" t="str">
        <f>IF(U1539="Not Sampled","Not Sampled",IF(S1539=U1539,"Accurate Prediction","Inaccurate Prediction"))</f>
        <v>Not Sampled</v>
      </c>
    </row>
    <row r="1540" spans="1:22" x14ac:dyDescent="0.25">
      <c r="A1540" s="1">
        <v>1538</v>
      </c>
      <c r="B1540" s="1">
        <v>4</v>
      </c>
      <c r="C1540" s="1" t="str">
        <f>LOOKUP(B1540,Sheet2!$D$4:$E$9)</f>
        <v>3-4</v>
      </c>
      <c r="D1540" s="1">
        <v>132</v>
      </c>
      <c r="E1540" t="str">
        <f>LOOKUP(D1540,Sheet2!$G$4:$H$9)</f>
        <v>126-150</v>
      </c>
      <c r="F1540" s="1">
        <v>86</v>
      </c>
      <c r="G1540" t="str">
        <f>LOOKUP(F1540,Sheet2!$J$4:$K$8)</f>
        <v>80+</v>
      </c>
      <c r="H1540" s="1">
        <v>31</v>
      </c>
      <c r="I1540" t="str">
        <f>LOOKUP(H1540,Sheet2!$M$4:$N$8)</f>
        <v>30-39</v>
      </c>
      <c r="J1540" s="1">
        <v>0</v>
      </c>
      <c r="K1540" t="str">
        <f>LOOKUP(J1540,Sheet2!$P$4:$Q$9)</f>
        <v>Unknown</v>
      </c>
      <c r="L1540" s="1">
        <v>28</v>
      </c>
      <c r="M1540" t="str">
        <f>LOOKUP(L1540,Sheet2!$S$4:$T$8)</f>
        <v>26-30</v>
      </c>
      <c r="N1540" s="1">
        <v>0.41899999999999998</v>
      </c>
      <c r="O1540" t="str">
        <f>LOOKUP(N1540,Sheet2!$V$4:$W$7)</f>
        <v>0.4 - 0.69</v>
      </c>
      <c r="P1540" s="1">
        <v>63</v>
      </c>
      <c r="Q1540" t="str">
        <f>LOOKUP(P1540,Sheet2!$Z$4:$AA$7)</f>
        <v>46+</v>
      </c>
      <c r="R1540" s="1">
        <v>0</v>
      </c>
      <c r="S1540" t="str">
        <f>IF(R1540=1,"Positive","Negative")</f>
        <v>Negative</v>
      </c>
      <c r="T1540" s="1" t="str">
        <f>IFERROR(VLOOKUP(A1540,[1]diabetes_Recognition!$A:$B,2,FALSE),"Not Sampled")</f>
        <v>Not Sampled</v>
      </c>
      <c r="U1540" t="str">
        <f>IF(T1540=1,"Positive",(IF(T1540=0,"Negative","Not Sampled")))</f>
        <v>Not Sampled</v>
      </c>
      <c r="V1540" s="1" t="str">
        <f>IF(U1540="Not Sampled","Not Sampled",IF(S1540=U1540,"Accurate Prediction","Inaccurate Prediction"))</f>
        <v>Not Sampled</v>
      </c>
    </row>
    <row r="1541" spans="1:22" x14ac:dyDescent="0.25">
      <c r="A1541" s="1">
        <v>1539</v>
      </c>
      <c r="B1541" s="1">
        <v>3</v>
      </c>
      <c r="C1541" s="1" t="str">
        <f>LOOKUP(B1541,Sheet2!$D$4:$E$9)</f>
        <v>3-4</v>
      </c>
      <c r="D1541" s="1">
        <v>158</v>
      </c>
      <c r="E1541" t="str">
        <f>LOOKUP(D1541,Sheet2!$G$4:$H$9)</f>
        <v>151-175</v>
      </c>
      <c r="F1541" s="1">
        <v>70</v>
      </c>
      <c r="G1541" t="str">
        <f>LOOKUP(F1541,Sheet2!$J$4:$K$8)</f>
        <v>70-79</v>
      </c>
      <c r="H1541" s="1">
        <v>30</v>
      </c>
      <c r="I1541" t="str">
        <f>LOOKUP(H1541,Sheet2!$M$4:$N$8)</f>
        <v>30-39</v>
      </c>
      <c r="J1541" s="1">
        <v>328</v>
      </c>
      <c r="K1541" t="str">
        <f>LOOKUP(J1541,Sheet2!$P$4:$Q$9)</f>
        <v>300-499</v>
      </c>
      <c r="L1541" s="1">
        <v>35.5</v>
      </c>
      <c r="M1541" t="str">
        <f>LOOKUP(L1541,Sheet2!$S$4:$T$8)</f>
        <v>31-35</v>
      </c>
      <c r="N1541" s="1">
        <v>0.34399999999999997</v>
      </c>
      <c r="O1541" t="str">
        <f>LOOKUP(N1541,Sheet2!$V$4:$W$7)</f>
        <v>0.25 - 0.39</v>
      </c>
      <c r="P1541" s="1">
        <v>35</v>
      </c>
      <c r="Q1541" t="str">
        <f>LOOKUP(P1541,Sheet2!$Z$4:$AA$7)</f>
        <v>26-35</v>
      </c>
      <c r="R1541" s="1">
        <v>1</v>
      </c>
      <c r="S1541" t="str">
        <f>IF(R1541=1,"Positive","Negative")</f>
        <v>Positive</v>
      </c>
      <c r="T1541" s="1" t="str">
        <f>IFERROR(VLOOKUP(A1541,[1]diabetes_Recognition!$A:$B,2,FALSE),"Not Sampled")</f>
        <v>Not Sampled</v>
      </c>
      <c r="U1541" t="str">
        <f>IF(T1541=1,"Positive",(IF(T1541=0,"Negative","Not Sampled")))</f>
        <v>Not Sampled</v>
      </c>
      <c r="V1541" s="1" t="str">
        <f>IF(U1541="Not Sampled","Not Sampled",IF(S1541=U1541,"Accurate Prediction","Inaccurate Prediction"))</f>
        <v>Not Sampled</v>
      </c>
    </row>
    <row r="1542" spans="1:22" x14ac:dyDescent="0.25">
      <c r="A1542" s="1">
        <v>1540</v>
      </c>
      <c r="B1542" s="1">
        <v>0</v>
      </c>
      <c r="C1542" s="1">
        <f>LOOKUP(B1542,Sheet2!$D$4:$E$9)</f>
        <v>0</v>
      </c>
      <c r="D1542" s="1">
        <v>123</v>
      </c>
      <c r="E1542" t="str">
        <f>LOOKUP(D1542,Sheet2!$G$4:$H$9)</f>
        <v>100-125</v>
      </c>
      <c r="F1542" s="1">
        <v>88</v>
      </c>
      <c r="G1542" t="str">
        <f>LOOKUP(F1542,Sheet2!$J$4:$K$8)</f>
        <v>80+</v>
      </c>
      <c r="H1542" s="1">
        <v>37</v>
      </c>
      <c r="I1542" t="str">
        <f>LOOKUP(H1542,Sheet2!$M$4:$N$8)</f>
        <v>30-39</v>
      </c>
      <c r="J1542" s="1">
        <v>0</v>
      </c>
      <c r="K1542" t="str">
        <f>LOOKUP(J1542,Sheet2!$P$4:$Q$9)</f>
        <v>Unknown</v>
      </c>
      <c r="L1542" s="1">
        <v>35.200000000000003</v>
      </c>
      <c r="M1542" t="str">
        <f>LOOKUP(L1542,Sheet2!$S$4:$T$8)</f>
        <v>31-35</v>
      </c>
      <c r="N1542" s="1">
        <v>0.19700000000000001</v>
      </c>
      <c r="O1542" t="str">
        <f>LOOKUP(N1542,Sheet2!$V$4:$W$7)</f>
        <v>0.0 - 0.249</v>
      </c>
      <c r="P1542" s="1">
        <v>29</v>
      </c>
      <c r="Q1542" t="str">
        <f>LOOKUP(P1542,Sheet2!$Z$4:$AA$7)</f>
        <v>26-35</v>
      </c>
      <c r="R1542" s="1">
        <v>0</v>
      </c>
      <c r="S1542" t="str">
        <f>IF(R1542=1,"Positive","Negative")</f>
        <v>Negative</v>
      </c>
      <c r="T1542" s="1">
        <f>IFERROR(VLOOKUP(A1542,[1]diabetes_Recognition!$A:$B,2,FALSE),"Not Sampled")</f>
        <v>0</v>
      </c>
      <c r="U1542" t="str">
        <f>IF(T1542=1,"Positive",(IF(T1542=0,"Negative","Not Sampled")))</f>
        <v>Negative</v>
      </c>
      <c r="V1542" s="1" t="str">
        <f>IF(U1542="Not Sampled","Not Sampled",IF(S1542=U1542,"Accurate Prediction","Inaccurate Prediction"))</f>
        <v>Accurate Prediction</v>
      </c>
    </row>
    <row r="1543" spans="1:22" x14ac:dyDescent="0.25">
      <c r="A1543" s="1">
        <v>1541</v>
      </c>
      <c r="B1543" s="1">
        <v>4</v>
      </c>
      <c r="C1543" s="1" t="str">
        <f>LOOKUP(B1543,Sheet2!$D$4:$E$9)</f>
        <v>3-4</v>
      </c>
      <c r="D1543" s="1">
        <v>85</v>
      </c>
      <c r="E1543" t="str">
        <f>LOOKUP(D1543,Sheet2!$G$4:$H$9)</f>
        <v>1-99</v>
      </c>
      <c r="F1543" s="1">
        <v>58</v>
      </c>
      <c r="G1543" t="str">
        <f>LOOKUP(F1543,Sheet2!$J$4:$K$8)</f>
        <v>1-59</v>
      </c>
      <c r="H1543" s="1">
        <v>22</v>
      </c>
      <c r="I1543" t="str">
        <f>LOOKUP(H1543,Sheet2!$M$4:$N$8)</f>
        <v>10-30</v>
      </c>
      <c r="J1543" s="1">
        <v>49</v>
      </c>
      <c r="K1543" t="str">
        <f>LOOKUP(J1543,Sheet2!$P$4:$Q$9)</f>
        <v>1-99</v>
      </c>
      <c r="L1543" s="1">
        <v>27.8</v>
      </c>
      <c r="M1543" t="str">
        <f>LOOKUP(L1543,Sheet2!$S$4:$T$8)</f>
        <v>26-30</v>
      </c>
      <c r="N1543" s="1">
        <v>0.30599999999999999</v>
      </c>
      <c r="O1543" t="str">
        <f>LOOKUP(N1543,Sheet2!$V$4:$W$7)</f>
        <v>0.25 - 0.39</v>
      </c>
      <c r="P1543" s="1">
        <v>28</v>
      </c>
      <c r="Q1543" t="str">
        <f>LOOKUP(P1543,Sheet2!$Z$4:$AA$7)</f>
        <v>26-35</v>
      </c>
      <c r="R1543" s="1">
        <v>0</v>
      </c>
      <c r="S1543" t="str">
        <f>IF(R1543=1,"Positive","Negative")</f>
        <v>Negative</v>
      </c>
      <c r="T1543" s="1" t="str">
        <f>IFERROR(VLOOKUP(A1543,[1]diabetes_Recognition!$A:$B,2,FALSE),"Not Sampled")</f>
        <v>Not Sampled</v>
      </c>
      <c r="U1543" t="str">
        <f>IF(T1543=1,"Positive",(IF(T1543=0,"Negative","Not Sampled")))</f>
        <v>Not Sampled</v>
      </c>
      <c r="V1543" s="1" t="str">
        <f>IF(U1543="Not Sampled","Not Sampled",IF(S1543=U1543,"Accurate Prediction","Inaccurate Prediction"))</f>
        <v>Not Sampled</v>
      </c>
    </row>
    <row r="1544" spans="1:22" x14ac:dyDescent="0.25">
      <c r="A1544" s="1">
        <v>1542</v>
      </c>
      <c r="B1544" s="1">
        <v>0</v>
      </c>
      <c r="C1544" s="1">
        <f>LOOKUP(B1544,Sheet2!$D$4:$E$9)</f>
        <v>0</v>
      </c>
      <c r="D1544" s="1">
        <v>84</v>
      </c>
      <c r="E1544" t="str">
        <f>LOOKUP(D1544,Sheet2!$G$4:$H$9)</f>
        <v>1-99</v>
      </c>
      <c r="F1544" s="1">
        <v>82</v>
      </c>
      <c r="G1544" t="str">
        <f>LOOKUP(F1544,Sheet2!$J$4:$K$8)</f>
        <v>80+</v>
      </c>
      <c r="H1544" s="1">
        <v>31</v>
      </c>
      <c r="I1544" t="str">
        <f>LOOKUP(H1544,Sheet2!$M$4:$N$8)</f>
        <v>30-39</v>
      </c>
      <c r="J1544" s="1">
        <v>125</v>
      </c>
      <c r="K1544" t="str">
        <f>LOOKUP(J1544,Sheet2!$P$4:$Q$9)</f>
        <v>100-199</v>
      </c>
      <c r="L1544" s="1">
        <v>38.200000000000003</v>
      </c>
      <c r="M1544" t="str">
        <f>LOOKUP(L1544,Sheet2!$S$4:$T$8)</f>
        <v>36+</v>
      </c>
      <c r="N1544" s="1">
        <v>0.23300000000000001</v>
      </c>
      <c r="O1544" t="str">
        <f>LOOKUP(N1544,Sheet2!$V$4:$W$7)</f>
        <v>0.0 - 0.249</v>
      </c>
      <c r="P1544" s="1">
        <v>23</v>
      </c>
      <c r="Q1544" t="str">
        <f>LOOKUP(P1544,Sheet2!$Z$4:$AA$7)</f>
        <v>&lt;=25</v>
      </c>
      <c r="R1544" s="1">
        <v>0</v>
      </c>
      <c r="S1544" t="str">
        <f>IF(R1544=1,"Positive","Negative")</f>
        <v>Negative</v>
      </c>
      <c r="T1544" s="1" t="str">
        <f>IFERROR(VLOOKUP(A1544,[1]diabetes_Recognition!$A:$B,2,FALSE),"Not Sampled")</f>
        <v>Not Sampled</v>
      </c>
      <c r="U1544" t="str">
        <f>IF(T1544=1,"Positive",(IF(T1544=0,"Negative","Not Sampled")))</f>
        <v>Not Sampled</v>
      </c>
      <c r="V1544" s="1" t="str">
        <f>IF(U1544="Not Sampled","Not Sampled",IF(S1544=U1544,"Accurate Prediction","Inaccurate Prediction"))</f>
        <v>Not Sampled</v>
      </c>
    </row>
    <row r="1545" spans="1:22" x14ac:dyDescent="0.25">
      <c r="A1545" s="1">
        <v>1543</v>
      </c>
      <c r="B1545" s="1">
        <v>0</v>
      </c>
      <c r="C1545" s="1">
        <f>LOOKUP(B1545,Sheet2!$D$4:$E$9)</f>
        <v>0</v>
      </c>
      <c r="D1545" s="1">
        <v>145</v>
      </c>
      <c r="E1545" t="str">
        <f>LOOKUP(D1545,Sheet2!$G$4:$H$9)</f>
        <v>126-150</v>
      </c>
      <c r="F1545" s="1">
        <v>0</v>
      </c>
      <c r="G1545" t="str">
        <f>LOOKUP(F1545,Sheet2!$J$4:$K$8)</f>
        <v>Unknown</v>
      </c>
      <c r="H1545" s="1">
        <v>0</v>
      </c>
      <c r="I1545" t="str">
        <f>LOOKUP(H1545,Sheet2!$M$4:$N$8)</f>
        <v>Unknown</v>
      </c>
      <c r="J1545" s="1">
        <v>0</v>
      </c>
      <c r="K1545" t="str">
        <f>LOOKUP(J1545,Sheet2!$P$4:$Q$9)</f>
        <v>Unknown</v>
      </c>
      <c r="L1545" s="1">
        <v>44.2</v>
      </c>
      <c r="M1545" t="str">
        <f>LOOKUP(L1545,Sheet2!$S$4:$T$8)</f>
        <v>36+</v>
      </c>
      <c r="N1545" s="1">
        <v>0.63</v>
      </c>
      <c r="O1545" t="str">
        <f>LOOKUP(N1545,Sheet2!$V$4:$W$7)</f>
        <v>0.4 - 0.69</v>
      </c>
      <c r="P1545" s="1">
        <v>31</v>
      </c>
      <c r="Q1545" t="str">
        <f>LOOKUP(P1545,Sheet2!$Z$4:$AA$7)</f>
        <v>26-35</v>
      </c>
      <c r="R1545" s="1">
        <v>1</v>
      </c>
      <c r="S1545" t="str">
        <f>IF(R1545=1,"Positive","Negative")</f>
        <v>Positive</v>
      </c>
      <c r="T1545" s="1" t="str">
        <f>IFERROR(VLOOKUP(A1545,[1]diabetes_Recognition!$A:$B,2,FALSE),"Not Sampled")</f>
        <v>Not Sampled</v>
      </c>
      <c r="U1545" t="str">
        <f>IF(T1545=1,"Positive",(IF(T1545=0,"Negative","Not Sampled")))</f>
        <v>Not Sampled</v>
      </c>
      <c r="V1545" s="1" t="str">
        <f>IF(U1545="Not Sampled","Not Sampled",IF(S1545=U1545,"Accurate Prediction","Inaccurate Prediction"))</f>
        <v>Not Sampled</v>
      </c>
    </row>
    <row r="1546" spans="1:22" x14ac:dyDescent="0.25">
      <c r="A1546" s="1">
        <v>1544</v>
      </c>
      <c r="B1546" s="1">
        <v>0</v>
      </c>
      <c r="C1546" s="1">
        <f>LOOKUP(B1546,Sheet2!$D$4:$E$9)</f>
        <v>0</v>
      </c>
      <c r="D1546" s="1">
        <v>135</v>
      </c>
      <c r="E1546" t="str">
        <f>LOOKUP(D1546,Sheet2!$G$4:$H$9)</f>
        <v>126-150</v>
      </c>
      <c r="F1546" s="1">
        <v>68</v>
      </c>
      <c r="G1546" t="str">
        <f>LOOKUP(F1546,Sheet2!$J$4:$K$8)</f>
        <v>60-69</v>
      </c>
      <c r="H1546" s="1">
        <v>42</v>
      </c>
      <c r="I1546" t="str">
        <f>LOOKUP(H1546,Sheet2!$M$4:$N$8)</f>
        <v>40+</v>
      </c>
      <c r="J1546" s="1">
        <v>250</v>
      </c>
      <c r="K1546" t="str">
        <f>LOOKUP(J1546,Sheet2!$P$4:$Q$9)</f>
        <v>200-399</v>
      </c>
      <c r="L1546" s="1">
        <v>42.3</v>
      </c>
      <c r="M1546" t="str">
        <f>LOOKUP(L1546,Sheet2!$S$4:$T$8)</f>
        <v>36+</v>
      </c>
      <c r="N1546" s="1">
        <v>0.36499999999999999</v>
      </c>
      <c r="O1546" t="str">
        <f>LOOKUP(N1546,Sheet2!$V$4:$W$7)</f>
        <v>0.25 - 0.39</v>
      </c>
      <c r="P1546" s="1">
        <v>24</v>
      </c>
      <c r="Q1546" t="str">
        <f>LOOKUP(P1546,Sheet2!$Z$4:$AA$7)</f>
        <v>&lt;=25</v>
      </c>
      <c r="R1546" s="1">
        <v>1</v>
      </c>
      <c r="S1546" t="str">
        <f>IF(R1546=1,"Positive","Negative")</f>
        <v>Positive</v>
      </c>
      <c r="T1546" s="1" t="str">
        <f>IFERROR(VLOOKUP(A1546,[1]diabetes_Recognition!$A:$B,2,FALSE),"Not Sampled")</f>
        <v>Not Sampled</v>
      </c>
      <c r="U1546" t="str">
        <f>IF(T1546=1,"Positive",(IF(T1546=0,"Negative","Not Sampled")))</f>
        <v>Not Sampled</v>
      </c>
      <c r="V1546" s="1" t="str">
        <f>IF(U1546="Not Sampled","Not Sampled",IF(S1546=U1546,"Accurate Prediction","Inaccurate Prediction"))</f>
        <v>Not Sampled</v>
      </c>
    </row>
    <row r="1547" spans="1:22" x14ac:dyDescent="0.25">
      <c r="A1547" s="1">
        <v>1545</v>
      </c>
      <c r="B1547" s="1">
        <v>1</v>
      </c>
      <c r="C1547" s="1">
        <f>LOOKUP(B1547,Sheet2!$D$4:$E$9)</f>
        <v>1</v>
      </c>
      <c r="D1547" s="1">
        <v>139</v>
      </c>
      <c r="E1547" t="str">
        <f>LOOKUP(D1547,Sheet2!$G$4:$H$9)</f>
        <v>126-150</v>
      </c>
      <c r="F1547" s="1">
        <v>62</v>
      </c>
      <c r="G1547" t="str">
        <f>LOOKUP(F1547,Sheet2!$J$4:$K$8)</f>
        <v>60-69</v>
      </c>
      <c r="H1547" s="1">
        <v>41</v>
      </c>
      <c r="I1547" t="str">
        <f>LOOKUP(H1547,Sheet2!$M$4:$N$8)</f>
        <v>40+</v>
      </c>
      <c r="J1547" s="1">
        <v>480</v>
      </c>
      <c r="K1547" t="str">
        <f>LOOKUP(J1547,Sheet2!$P$4:$Q$9)</f>
        <v>300-499</v>
      </c>
      <c r="L1547" s="1">
        <v>40.700000000000003</v>
      </c>
      <c r="M1547" t="str">
        <f>LOOKUP(L1547,Sheet2!$S$4:$T$8)</f>
        <v>36+</v>
      </c>
      <c r="N1547" s="1">
        <v>0.53600000000000003</v>
      </c>
      <c r="O1547" t="str">
        <f>LOOKUP(N1547,Sheet2!$V$4:$W$7)</f>
        <v>0.4 - 0.69</v>
      </c>
      <c r="P1547" s="1">
        <v>21</v>
      </c>
      <c r="Q1547" t="str">
        <f>LOOKUP(P1547,Sheet2!$Z$4:$AA$7)</f>
        <v>&lt;=25</v>
      </c>
      <c r="R1547" s="1">
        <v>0</v>
      </c>
      <c r="S1547" t="str">
        <f>IF(R1547=1,"Positive","Negative")</f>
        <v>Negative</v>
      </c>
      <c r="T1547" s="1" t="str">
        <f>IFERROR(VLOOKUP(A1547,[1]diabetes_Recognition!$A:$B,2,FALSE),"Not Sampled")</f>
        <v>Not Sampled</v>
      </c>
      <c r="U1547" t="str">
        <f>IF(T1547=1,"Positive",(IF(T1547=0,"Negative","Not Sampled")))</f>
        <v>Not Sampled</v>
      </c>
      <c r="V1547" s="1" t="str">
        <f>IF(U1547="Not Sampled","Not Sampled",IF(S1547=U1547,"Accurate Prediction","Inaccurate Prediction"))</f>
        <v>Not Sampled</v>
      </c>
    </row>
    <row r="1548" spans="1:22" x14ac:dyDescent="0.25">
      <c r="A1548" s="1">
        <v>1546</v>
      </c>
      <c r="B1548" s="1">
        <v>0</v>
      </c>
      <c r="C1548" s="1">
        <f>LOOKUP(B1548,Sheet2!$D$4:$E$9)</f>
        <v>0</v>
      </c>
      <c r="D1548" s="1">
        <v>173</v>
      </c>
      <c r="E1548" t="str">
        <f>LOOKUP(D1548,Sheet2!$G$4:$H$9)</f>
        <v>151-175</v>
      </c>
      <c r="F1548" s="1">
        <v>78</v>
      </c>
      <c r="G1548" t="str">
        <f>LOOKUP(F1548,Sheet2!$J$4:$K$8)</f>
        <v>70-79</v>
      </c>
      <c r="H1548" s="1">
        <v>32</v>
      </c>
      <c r="I1548" t="str">
        <f>LOOKUP(H1548,Sheet2!$M$4:$N$8)</f>
        <v>30-39</v>
      </c>
      <c r="J1548" s="1">
        <v>265</v>
      </c>
      <c r="K1548" t="str">
        <f>LOOKUP(J1548,Sheet2!$P$4:$Q$9)</f>
        <v>200-399</v>
      </c>
      <c r="L1548" s="1">
        <v>46.5</v>
      </c>
      <c r="M1548" t="str">
        <f>LOOKUP(L1548,Sheet2!$S$4:$T$8)</f>
        <v>36+</v>
      </c>
      <c r="N1548" s="1">
        <v>1.159</v>
      </c>
      <c r="O1548" t="str">
        <f>LOOKUP(N1548,Sheet2!$V$4:$W$7)</f>
        <v>0.7+</v>
      </c>
      <c r="P1548" s="1">
        <v>58</v>
      </c>
      <c r="Q1548" t="str">
        <f>LOOKUP(P1548,Sheet2!$Z$4:$AA$7)</f>
        <v>46+</v>
      </c>
      <c r="R1548" s="1">
        <v>0</v>
      </c>
      <c r="S1548" t="str">
        <f>IF(R1548=1,"Positive","Negative")</f>
        <v>Negative</v>
      </c>
      <c r="T1548" s="1">
        <f>IFERROR(VLOOKUP(A1548,[1]diabetes_Recognition!$A:$B,2,FALSE),"Not Sampled")</f>
        <v>1</v>
      </c>
      <c r="U1548" t="str">
        <f>IF(T1548=1,"Positive",(IF(T1548=0,"Negative","Not Sampled")))</f>
        <v>Positive</v>
      </c>
      <c r="V1548" s="1" t="str">
        <f>IF(U1548="Not Sampled","Not Sampled",IF(S1548=U1548,"Accurate Prediction","Inaccurate Prediction"))</f>
        <v>Inaccurate Prediction</v>
      </c>
    </row>
    <row r="1549" spans="1:22" x14ac:dyDescent="0.25">
      <c r="A1549" s="1">
        <v>1547</v>
      </c>
      <c r="B1549" s="1">
        <v>4</v>
      </c>
      <c r="C1549" s="1" t="str">
        <f>LOOKUP(B1549,Sheet2!$D$4:$E$9)</f>
        <v>3-4</v>
      </c>
      <c r="D1549" s="1">
        <v>99</v>
      </c>
      <c r="E1549" t="str">
        <f>LOOKUP(D1549,Sheet2!$G$4:$H$9)</f>
        <v>1-99</v>
      </c>
      <c r="F1549" s="1">
        <v>72</v>
      </c>
      <c r="G1549" t="str">
        <f>LOOKUP(F1549,Sheet2!$J$4:$K$8)</f>
        <v>70-79</v>
      </c>
      <c r="H1549" s="1">
        <v>17</v>
      </c>
      <c r="I1549" t="str">
        <f>LOOKUP(H1549,Sheet2!$M$4:$N$8)</f>
        <v>10-30</v>
      </c>
      <c r="J1549" s="1">
        <v>0</v>
      </c>
      <c r="K1549" t="str">
        <f>LOOKUP(J1549,Sheet2!$P$4:$Q$9)</f>
        <v>Unknown</v>
      </c>
      <c r="L1549" s="1">
        <v>25.6</v>
      </c>
      <c r="M1549" t="str">
        <f>LOOKUP(L1549,Sheet2!$S$4:$T$8)</f>
        <v>1-25</v>
      </c>
      <c r="N1549" s="1">
        <v>0.29399999999999998</v>
      </c>
      <c r="O1549" t="str">
        <f>LOOKUP(N1549,Sheet2!$V$4:$W$7)</f>
        <v>0.25 - 0.39</v>
      </c>
      <c r="P1549" s="1">
        <v>28</v>
      </c>
      <c r="Q1549" t="str">
        <f>LOOKUP(P1549,Sheet2!$Z$4:$AA$7)</f>
        <v>26-35</v>
      </c>
      <c r="R1549" s="1">
        <v>0</v>
      </c>
      <c r="S1549" t="str">
        <f>IF(R1549=1,"Positive","Negative")</f>
        <v>Negative</v>
      </c>
      <c r="T1549" s="1">
        <f>IFERROR(VLOOKUP(A1549,[1]diabetes_Recognition!$A:$B,2,FALSE),"Not Sampled")</f>
        <v>0</v>
      </c>
      <c r="U1549" t="str">
        <f>IF(T1549=1,"Positive",(IF(T1549=0,"Negative","Not Sampled")))</f>
        <v>Negative</v>
      </c>
      <c r="V1549" s="1" t="str">
        <f>IF(U1549="Not Sampled","Not Sampled",IF(S1549=U1549,"Accurate Prediction","Inaccurate Prediction"))</f>
        <v>Accurate Prediction</v>
      </c>
    </row>
    <row r="1550" spans="1:22" x14ac:dyDescent="0.25">
      <c r="A1550" s="1">
        <v>1548</v>
      </c>
      <c r="B1550" s="1">
        <v>8</v>
      </c>
      <c r="C1550" s="1" t="str">
        <f>LOOKUP(B1550,Sheet2!$D$4:$E$9)</f>
        <v>8+</v>
      </c>
      <c r="D1550" s="1">
        <v>194</v>
      </c>
      <c r="E1550" t="str">
        <f>LOOKUP(D1550,Sheet2!$G$4:$H$9)</f>
        <v>176-200</v>
      </c>
      <c r="F1550" s="1">
        <v>80</v>
      </c>
      <c r="G1550" t="str">
        <f>LOOKUP(F1550,Sheet2!$J$4:$K$8)</f>
        <v>80+</v>
      </c>
      <c r="H1550" s="1">
        <v>0</v>
      </c>
      <c r="I1550" t="str">
        <f>LOOKUP(H1550,Sheet2!$M$4:$N$8)</f>
        <v>Unknown</v>
      </c>
      <c r="J1550" s="1">
        <v>0</v>
      </c>
      <c r="K1550" t="str">
        <f>LOOKUP(J1550,Sheet2!$P$4:$Q$9)</f>
        <v>Unknown</v>
      </c>
      <c r="L1550" s="1">
        <v>26.1</v>
      </c>
      <c r="M1550" t="str">
        <f>LOOKUP(L1550,Sheet2!$S$4:$T$8)</f>
        <v>26-30</v>
      </c>
      <c r="N1550" s="1">
        <v>0.55100000000000005</v>
      </c>
      <c r="O1550" t="str">
        <f>LOOKUP(N1550,Sheet2!$V$4:$W$7)</f>
        <v>0.4 - 0.69</v>
      </c>
      <c r="P1550" s="1">
        <v>67</v>
      </c>
      <c r="Q1550" t="str">
        <f>LOOKUP(P1550,Sheet2!$Z$4:$AA$7)</f>
        <v>46+</v>
      </c>
      <c r="R1550" s="1">
        <v>0</v>
      </c>
      <c r="S1550" t="str">
        <f>IF(R1550=1,"Positive","Negative")</f>
        <v>Negative</v>
      </c>
      <c r="T1550" s="1">
        <f>IFERROR(VLOOKUP(A1550,[1]diabetes_Recognition!$A:$B,2,FALSE),"Not Sampled")</f>
        <v>1</v>
      </c>
      <c r="U1550" t="str">
        <f>IF(T1550=1,"Positive",(IF(T1550=0,"Negative","Not Sampled")))</f>
        <v>Positive</v>
      </c>
      <c r="V1550" s="1" t="str">
        <f>IF(U1550="Not Sampled","Not Sampled",IF(S1550=U1550,"Accurate Prediction","Inaccurate Prediction"))</f>
        <v>Inaccurate Prediction</v>
      </c>
    </row>
    <row r="1551" spans="1:22" x14ac:dyDescent="0.25">
      <c r="A1551" s="1">
        <v>1549</v>
      </c>
      <c r="B1551" s="1">
        <v>2</v>
      </c>
      <c r="C1551" s="1">
        <f>LOOKUP(B1551,Sheet2!$D$4:$E$9)</f>
        <v>2</v>
      </c>
      <c r="D1551" s="1">
        <v>83</v>
      </c>
      <c r="E1551" t="str">
        <f>LOOKUP(D1551,Sheet2!$G$4:$H$9)</f>
        <v>1-99</v>
      </c>
      <c r="F1551" s="1">
        <v>65</v>
      </c>
      <c r="G1551" t="str">
        <f>LOOKUP(F1551,Sheet2!$J$4:$K$8)</f>
        <v>60-69</v>
      </c>
      <c r="H1551" s="1">
        <v>28</v>
      </c>
      <c r="I1551" t="str">
        <f>LOOKUP(H1551,Sheet2!$M$4:$N$8)</f>
        <v>10-30</v>
      </c>
      <c r="J1551" s="1">
        <v>66</v>
      </c>
      <c r="K1551" t="str">
        <f>LOOKUP(J1551,Sheet2!$P$4:$Q$9)</f>
        <v>1-99</v>
      </c>
      <c r="L1551" s="1">
        <v>36.799999999999997</v>
      </c>
      <c r="M1551" t="str">
        <f>LOOKUP(L1551,Sheet2!$S$4:$T$8)</f>
        <v>36+</v>
      </c>
      <c r="N1551" s="1">
        <v>0.629</v>
      </c>
      <c r="O1551" t="str">
        <f>LOOKUP(N1551,Sheet2!$V$4:$W$7)</f>
        <v>0.4 - 0.69</v>
      </c>
      <c r="P1551" s="1">
        <v>24</v>
      </c>
      <c r="Q1551" t="str">
        <f>LOOKUP(P1551,Sheet2!$Z$4:$AA$7)</f>
        <v>&lt;=25</v>
      </c>
      <c r="R1551" s="1">
        <v>0</v>
      </c>
      <c r="S1551" t="str">
        <f>IF(R1551=1,"Positive","Negative")</f>
        <v>Negative</v>
      </c>
      <c r="T1551" s="1" t="str">
        <f>IFERROR(VLOOKUP(A1551,[1]diabetes_Recognition!$A:$B,2,FALSE),"Not Sampled")</f>
        <v>Not Sampled</v>
      </c>
      <c r="U1551" t="str">
        <f>IF(T1551=1,"Positive",(IF(T1551=0,"Negative","Not Sampled")))</f>
        <v>Not Sampled</v>
      </c>
      <c r="V1551" s="1" t="str">
        <f>IF(U1551="Not Sampled","Not Sampled",IF(S1551=U1551,"Accurate Prediction","Inaccurate Prediction"))</f>
        <v>Not Sampled</v>
      </c>
    </row>
    <row r="1552" spans="1:22" x14ac:dyDescent="0.25">
      <c r="A1552" s="1">
        <v>1550</v>
      </c>
      <c r="B1552" s="1">
        <v>2</v>
      </c>
      <c r="C1552" s="1">
        <f>LOOKUP(B1552,Sheet2!$D$4:$E$9)</f>
        <v>2</v>
      </c>
      <c r="D1552" s="1">
        <v>89</v>
      </c>
      <c r="E1552" t="str">
        <f>LOOKUP(D1552,Sheet2!$G$4:$H$9)</f>
        <v>1-99</v>
      </c>
      <c r="F1552" s="1">
        <v>90</v>
      </c>
      <c r="G1552" t="str">
        <f>LOOKUP(F1552,Sheet2!$J$4:$K$8)</f>
        <v>80+</v>
      </c>
      <c r="H1552" s="1">
        <v>30</v>
      </c>
      <c r="I1552" t="str">
        <f>LOOKUP(H1552,Sheet2!$M$4:$N$8)</f>
        <v>30-39</v>
      </c>
      <c r="J1552" s="1">
        <v>0</v>
      </c>
      <c r="K1552" t="str">
        <f>LOOKUP(J1552,Sheet2!$P$4:$Q$9)</f>
        <v>Unknown</v>
      </c>
      <c r="L1552" s="1">
        <v>33.5</v>
      </c>
      <c r="M1552" t="str">
        <f>LOOKUP(L1552,Sheet2!$S$4:$T$8)</f>
        <v>31-35</v>
      </c>
      <c r="N1552" s="1">
        <v>0.29199999999999998</v>
      </c>
      <c r="O1552" t="str">
        <f>LOOKUP(N1552,Sheet2!$V$4:$W$7)</f>
        <v>0.25 - 0.39</v>
      </c>
      <c r="P1552" s="1">
        <v>42</v>
      </c>
      <c r="Q1552" t="str">
        <f>LOOKUP(P1552,Sheet2!$Z$4:$AA$7)</f>
        <v>36-45</v>
      </c>
      <c r="R1552" s="1">
        <v>0</v>
      </c>
      <c r="S1552" t="str">
        <f>IF(R1552=1,"Positive","Negative")</f>
        <v>Negative</v>
      </c>
      <c r="T1552" s="1" t="str">
        <f>IFERROR(VLOOKUP(A1552,[1]diabetes_Recognition!$A:$B,2,FALSE),"Not Sampled")</f>
        <v>Not Sampled</v>
      </c>
      <c r="U1552" t="str">
        <f>IF(T1552=1,"Positive",(IF(T1552=0,"Negative","Not Sampled")))</f>
        <v>Not Sampled</v>
      </c>
      <c r="V1552" s="1" t="str">
        <f>IF(U1552="Not Sampled","Not Sampled",IF(S1552=U1552,"Accurate Prediction","Inaccurate Prediction"))</f>
        <v>Not Sampled</v>
      </c>
    </row>
    <row r="1553" spans="1:22" x14ac:dyDescent="0.25">
      <c r="A1553" s="1">
        <v>1551</v>
      </c>
      <c r="B1553" s="1">
        <v>4</v>
      </c>
      <c r="C1553" s="1" t="str">
        <f>LOOKUP(B1553,Sheet2!$D$4:$E$9)</f>
        <v>3-4</v>
      </c>
      <c r="D1553" s="1">
        <v>99</v>
      </c>
      <c r="E1553" t="str">
        <f>LOOKUP(D1553,Sheet2!$G$4:$H$9)</f>
        <v>1-99</v>
      </c>
      <c r="F1553" s="1">
        <v>68</v>
      </c>
      <c r="G1553" t="str">
        <f>LOOKUP(F1553,Sheet2!$J$4:$K$8)</f>
        <v>60-69</v>
      </c>
      <c r="H1553" s="1">
        <v>38</v>
      </c>
      <c r="I1553" t="str">
        <f>LOOKUP(H1553,Sheet2!$M$4:$N$8)</f>
        <v>30-39</v>
      </c>
      <c r="J1553" s="1">
        <v>0</v>
      </c>
      <c r="K1553" t="str">
        <f>LOOKUP(J1553,Sheet2!$P$4:$Q$9)</f>
        <v>Unknown</v>
      </c>
      <c r="L1553" s="1">
        <v>32.799999999999997</v>
      </c>
      <c r="M1553" t="str">
        <f>LOOKUP(L1553,Sheet2!$S$4:$T$8)</f>
        <v>31-35</v>
      </c>
      <c r="N1553" s="1">
        <v>0.14499999999999999</v>
      </c>
      <c r="O1553" t="str">
        <f>LOOKUP(N1553,Sheet2!$V$4:$W$7)</f>
        <v>0.0 - 0.249</v>
      </c>
      <c r="P1553" s="1">
        <v>33</v>
      </c>
      <c r="Q1553" t="str">
        <f>LOOKUP(P1553,Sheet2!$Z$4:$AA$7)</f>
        <v>26-35</v>
      </c>
      <c r="R1553" s="1">
        <v>0</v>
      </c>
      <c r="S1553" t="str">
        <f>IF(R1553=1,"Positive","Negative")</f>
        <v>Negative</v>
      </c>
      <c r="T1553" s="1">
        <f>IFERROR(VLOOKUP(A1553,[1]diabetes_Recognition!$A:$B,2,FALSE),"Not Sampled")</f>
        <v>0</v>
      </c>
      <c r="U1553" t="str">
        <f>IF(T1553=1,"Positive",(IF(T1553=0,"Negative","Not Sampled")))</f>
        <v>Negative</v>
      </c>
      <c r="V1553" s="1" t="str">
        <f>IF(U1553="Not Sampled","Not Sampled",IF(S1553=U1553,"Accurate Prediction","Inaccurate Prediction"))</f>
        <v>Accurate Prediction</v>
      </c>
    </row>
    <row r="1554" spans="1:22" x14ac:dyDescent="0.25">
      <c r="A1554" s="1">
        <v>1552</v>
      </c>
      <c r="B1554" s="1">
        <v>4</v>
      </c>
      <c r="C1554" s="1" t="str">
        <f>LOOKUP(B1554,Sheet2!$D$4:$E$9)</f>
        <v>3-4</v>
      </c>
      <c r="D1554" s="1">
        <v>125</v>
      </c>
      <c r="E1554" t="str">
        <f>LOOKUP(D1554,Sheet2!$G$4:$H$9)</f>
        <v>100-125</v>
      </c>
      <c r="F1554" s="1">
        <v>70</v>
      </c>
      <c r="G1554" t="str">
        <f>LOOKUP(F1554,Sheet2!$J$4:$K$8)</f>
        <v>70-79</v>
      </c>
      <c r="H1554" s="1">
        <v>18</v>
      </c>
      <c r="I1554" t="str">
        <f>LOOKUP(H1554,Sheet2!$M$4:$N$8)</f>
        <v>10-30</v>
      </c>
      <c r="J1554" s="1">
        <v>122</v>
      </c>
      <c r="K1554" t="str">
        <f>LOOKUP(J1554,Sheet2!$P$4:$Q$9)</f>
        <v>100-199</v>
      </c>
      <c r="L1554" s="1">
        <v>28.9</v>
      </c>
      <c r="M1554" t="str">
        <f>LOOKUP(L1554,Sheet2!$S$4:$T$8)</f>
        <v>26-30</v>
      </c>
      <c r="N1554" s="1">
        <v>1.1439999999999999</v>
      </c>
      <c r="O1554" t="str">
        <f>LOOKUP(N1554,Sheet2!$V$4:$W$7)</f>
        <v>0.7+</v>
      </c>
      <c r="P1554" s="1">
        <v>45</v>
      </c>
      <c r="Q1554" t="str">
        <f>LOOKUP(P1554,Sheet2!$Z$4:$AA$7)</f>
        <v>36-45</v>
      </c>
      <c r="R1554" s="1">
        <v>1</v>
      </c>
      <c r="S1554" t="str">
        <f>IF(R1554=1,"Positive","Negative")</f>
        <v>Positive</v>
      </c>
      <c r="T1554" s="1" t="str">
        <f>IFERROR(VLOOKUP(A1554,[1]diabetes_Recognition!$A:$B,2,FALSE),"Not Sampled")</f>
        <v>Not Sampled</v>
      </c>
      <c r="U1554" t="str">
        <f>IF(T1554=1,"Positive",(IF(T1554=0,"Negative","Not Sampled")))</f>
        <v>Not Sampled</v>
      </c>
      <c r="V1554" s="1" t="str">
        <f>IF(U1554="Not Sampled","Not Sampled",IF(S1554=U1554,"Accurate Prediction","Inaccurate Prediction"))</f>
        <v>Not Sampled</v>
      </c>
    </row>
    <row r="1555" spans="1:22" x14ac:dyDescent="0.25">
      <c r="A1555" s="1">
        <v>1553</v>
      </c>
      <c r="B1555" s="1">
        <v>3</v>
      </c>
      <c r="C1555" s="1" t="str">
        <f>LOOKUP(B1555,Sheet2!$D$4:$E$9)</f>
        <v>3-4</v>
      </c>
      <c r="D1555" s="1">
        <v>80</v>
      </c>
      <c r="E1555" t="str">
        <f>LOOKUP(D1555,Sheet2!$G$4:$H$9)</f>
        <v>1-99</v>
      </c>
      <c r="F1555" s="1">
        <v>0</v>
      </c>
      <c r="G1555" t="str">
        <f>LOOKUP(F1555,Sheet2!$J$4:$K$8)</f>
        <v>Unknown</v>
      </c>
      <c r="H1555" s="1">
        <v>0</v>
      </c>
      <c r="I1555" t="str">
        <f>LOOKUP(H1555,Sheet2!$M$4:$N$8)</f>
        <v>Unknown</v>
      </c>
      <c r="J1555" s="1">
        <v>0</v>
      </c>
      <c r="K1555" t="str">
        <f>LOOKUP(J1555,Sheet2!$P$4:$Q$9)</f>
        <v>Unknown</v>
      </c>
      <c r="L1555" s="1">
        <v>0</v>
      </c>
      <c r="M1555" t="str">
        <f>LOOKUP(L1555,Sheet2!$S$4:$T$8)</f>
        <v>Unknown</v>
      </c>
      <c r="N1555" s="1">
        <v>0.17399999999999999</v>
      </c>
      <c r="O1555" t="str">
        <f>LOOKUP(N1555,Sheet2!$V$4:$W$7)</f>
        <v>0.0 - 0.249</v>
      </c>
      <c r="P1555" s="1">
        <v>22</v>
      </c>
      <c r="Q1555" t="str">
        <f>LOOKUP(P1555,Sheet2!$Z$4:$AA$7)</f>
        <v>&lt;=25</v>
      </c>
      <c r="R1555" s="1">
        <v>0</v>
      </c>
      <c r="S1555" t="str">
        <f>IF(R1555=1,"Positive","Negative")</f>
        <v>Negative</v>
      </c>
      <c r="T1555" s="1" t="str">
        <f>IFERROR(VLOOKUP(A1555,[1]diabetes_Recognition!$A:$B,2,FALSE),"Not Sampled")</f>
        <v>Not Sampled</v>
      </c>
      <c r="U1555" t="str">
        <f>IF(T1555=1,"Positive",(IF(T1555=0,"Negative","Not Sampled")))</f>
        <v>Not Sampled</v>
      </c>
      <c r="V1555" s="1" t="str">
        <f>IF(U1555="Not Sampled","Not Sampled",IF(S1555=U1555,"Accurate Prediction","Inaccurate Prediction"))</f>
        <v>Not Sampled</v>
      </c>
    </row>
    <row r="1556" spans="1:22" x14ac:dyDescent="0.25">
      <c r="A1556" s="1">
        <v>1554</v>
      </c>
      <c r="B1556" s="1">
        <v>6</v>
      </c>
      <c r="C1556" s="1" t="str">
        <f>LOOKUP(B1556,Sheet2!$D$4:$E$9)</f>
        <v>5-7</v>
      </c>
      <c r="D1556" s="1">
        <v>166</v>
      </c>
      <c r="E1556" t="str">
        <f>LOOKUP(D1556,Sheet2!$G$4:$H$9)</f>
        <v>151-175</v>
      </c>
      <c r="F1556" s="1">
        <v>74</v>
      </c>
      <c r="G1556" t="str">
        <f>LOOKUP(F1556,Sheet2!$J$4:$K$8)</f>
        <v>70-79</v>
      </c>
      <c r="H1556" s="1">
        <v>0</v>
      </c>
      <c r="I1556" t="str">
        <f>LOOKUP(H1556,Sheet2!$M$4:$N$8)</f>
        <v>Unknown</v>
      </c>
      <c r="J1556" s="1">
        <v>0</v>
      </c>
      <c r="K1556" t="str">
        <f>LOOKUP(J1556,Sheet2!$P$4:$Q$9)</f>
        <v>Unknown</v>
      </c>
      <c r="L1556" s="1">
        <v>26.6</v>
      </c>
      <c r="M1556" t="str">
        <f>LOOKUP(L1556,Sheet2!$S$4:$T$8)</f>
        <v>26-30</v>
      </c>
      <c r="N1556" s="1">
        <v>0.30399999999999999</v>
      </c>
      <c r="O1556" t="str">
        <f>LOOKUP(N1556,Sheet2!$V$4:$W$7)</f>
        <v>0.25 - 0.39</v>
      </c>
      <c r="P1556" s="1">
        <v>66</v>
      </c>
      <c r="Q1556" t="str">
        <f>LOOKUP(P1556,Sheet2!$Z$4:$AA$7)</f>
        <v>46+</v>
      </c>
      <c r="R1556" s="1">
        <v>0</v>
      </c>
      <c r="S1556" t="str">
        <f>IF(R1556=1,"Positive","Negative")</f>
        <v>Negative</v>
      </c>
      <c r="T1556" s="1">
        <f>IFERROR(VLOOKUP(A1556,[1]diabetes_Recognition!$A:$B,2,FALSE),"Not Sampled")</f>
        <v>1</v>
      </c>
      <c r="U1556" t="str">
        <f>IF(T1556=1,"Positive",(IF(T1556=0,"Negative","Not Sampled")))</f>
        <v>Positive</v>
      </c>
      <c r="V1556" s="1" t="str">
        <f>IF(U1556="Not Sampled","Not Sampled",IF(S1556=U1556,"Accurate Prediction","Inaccurate Prediction"))</f>
        <v>Inaccurate Prediction</v>
      </c>
    </row>
    <row r="1557" spans="1:22" x14ac:dyDescent="0.25">
      <c r="A1557" s="1">
        <v>1555</v>
      </c>
      <c r="B1557" s="1">
        <v>5</v>
      </c>
      <c r="C1557" s="1" t="str">
        <f>LOOKUP(B1557,Sheet2!$D$4:$E$9)</f>
        <v>5-7</v>
      </c>
      <c r="D1557" s="1">
        <v>110</v>
      </c>
      <c r="E1557" t="str">
        <f>LOOKUP(D1557,Sheet2!$G$4:$H$9)</f>
        <v>100-125</v>
      </c>
      <c r="F1557" s="1">
        <v>68</v>
      </c>
      <c r="G1557" t="str">
        <f>LOOKUP(F1557,Sheet2!$J$4:$K$8)</f>
        <v>60-69</v>
      </c>
      <c r="H1557" s="1">
        <v>0</v>
      </c>
      <c r="I1557" t="str">
        <f>LOOKUP(H1557,Sheet2!$M$4:$N$8)</f>
        <v>Unknown</v>
      </c>
      <c r="J1557" s="1">
        <v>0</v>
      </c>
      <c r="K1557" t="str">
        <f>LOOKUP(J1557,Sheet2!$P$4:$Q$9)</f>
        <v>Unknown</v>
      </c>
      <c r="L1557" s="1">
        <v>26</v>
      </c>
      <c r="M1557" t="str">
        <f>LOOKUP(L1557,Sheet2!$S$4:$T$8)</f>
        <v>26-30</v>
      </c>
      <c r="N1557" s="1">
        <v>0.29199999999999998</v>
      </c>
      <c r="O1557" t="str">
        <f>LOOKUP(N1557,Sheet2!$V$4:$W$7)</f>
        <v>0.25 - 0.39</v>
      </c>
      <c r="P1557" s="1">
        <v>30</v>
      </c>
      <c r="Q1557" t="str">
        <f>LOOKUP(P1557,Sheet2!$Z$4:$AA$7)</f>
        <v>26-35</v>
      </c>
      <c r="R1557" s="1">
        <v>0</v>
      </c>
      <c r="S1557" t="str">
        <f>IF(R1557=1,"Positive","Negative")</f>
        <v>Negative</v>
      </c>
      <c r="T1557" s="1">
        <f>IFERROR(VLOOKUP(A1557,[1]diabetes_Recognition!$A:$B,2,FALSE),"Not Sampled")</f>
        <v>0</v>
      </c>
      <c r="U1557" t="str">
        <f>IF(T1557=1,"Positive",(IF(T1557=0,"Negative","Not Sampled")))</f>
        <v>Negative</v>
      </c>
      <c r="V1557" s="1" t="str">
        <f>IF(U1557="Not Sampled","Not Sampled",IF(S1557=U1557,"Accurate Prediction","Inaccurate Prediction"))</f>
        <v>Accurate Prediction</v>
      </c>
    </row>
    <row r="1558" spans="1:22" x14ac:dyDescent="0.25">
      <c r="A1558" s="1">
        <v>1556</v>
      </c>
      <c r="B1558" s="1">
        <v>2</v>
      </c>
      <c r="C1558" s="1">
        <f>LOOKUP(B1558,Sheet2!$D$4:$E$9)</f>
        <v>2</v>
      </c>
      <c r="D1558" s="1">
        <v>81</v>
      </c>
      <c r="E1558" t="str">
        <f>LOOKUP(D1558,Sheet2!$G$4:$H$9)</f>
        <v>1-99</v>
      </c>
      <c r="F1558" s="1">
        <v>72</v>
      </c>
      <c r="G1558" t="str">
        <f>LOOKUP(F1558,Sheet2!$J$4:$K$8)</f>
        <v>70-79</v>
      </c>
      <c r="H1558" s="1">
        <v>15</v>
      </c>
      <c r="I1558" t="str">
        <f>LOOKUP(H1558,Sheet2!$M$4:$N$8)</f>
        <v>10-30</v>
      </c>
      <c r="J1558" s="1">
        <v>76</v>
      </c>
      <c r="K1558" t="str">
        <f>LOOKUP(J1558,Sheet2!$P$4:$Q$9)</f>
        <v>1-99</v>
      </c>
      <c r="L1558" s="1">
        <v>30.1</v>
      </c>
      <c r="M1558" t="str">
        <f>LOOKUP(L1558,Sheet2!$S$4:$T$8)</f>
        <v>26-30</v>
      </c>
      <c r="N1558" s="1">
        <v>0.54700000000000004</v>
      </c>
      <c r="O1558" t="str">
        <f>LOOKUP(N1558,Sheet2!$V$4:$W$7)</f>
        <v>0.4 - 0.69</v>
      </c>
      <c r="P1558" s="1">
        <v>25</v>
      </c>
      <c r="Q1558" t="str">
        <f>LOOKUP(P1558,Sheet2!$Z$4:$AA$7)</f>
        <v>&lt;=25</v>
      </c>
      <c r="R1558" s="1">
        <v>0</v>
      </c>
      <c r="S1558" t="str">
        <f>IF(R1558=1,"Positive","Negative")</f>
        <v>Negative</v>
      </c>
      <c r="T1558" s="1" t="str">
        <f>IFERROR(VLOOKUP(A1558,[1]diabetes_Recognition!$A:$B,2,FALSE),"Not Sampled")</f>
        <v>Not Sampled</v>
      </c>
      <c r="U1558" t="str">
        <f>IF(T1558=1,"Positive",(IF(T1558=0,"Negative","Not Sampled")))</f>
        <v>Not Sampled</v>
      </c>
      <c r="V1558" s="1" t="str">
        <f>IF(U1558="Not Sampled","Not Sampled",IF(S1558=U1558,"Accurate Prediction","Inaccurate Prediction"))</f>
        <v>Not Sampled</v>
      </c>
    </row>
    <row r="1559" spans="1:22" x14ac:dyDescent="0.25">
      <c r="A1559" s="1">
        <v>1557</v>
      </c>
      <c r="B1559" s="1">
        <v>7</v>
      </c>
      <c r="C1559" s="1" t="str">
        <f>LOOKUP(B1559,Sheet2!$D$4:$E$9)</f>
        <v>5-7</v>
      </c>
      <c r="D1559" s="1">
        <v>195</v>
      </c>
      <c r="E1559" t="str">
        <f>LOOKUP(D1559,Sheet2!$G$4:$H$9)</f>
        <v>176-200</v>
      </c>
      <c r="F1559" s="1">
        <v>70</v>
      </c>
      <c r="G1559" t="str">
        <f>LOOKUP(F1559,Sheet2!$J$4:$K$8)</f>
        <v>70-79</v>
      </c>
      <c r="H1559" s="1">
        <v>33</v>
      </c>
      <c r="I1559" t="str">
        <f>LOOKUP(H1559,Sheet2!$M$4:$N$8)</f>
        <v>30-39</v>
      </c>
      <c r="J1559" s="1">
        <v>145</v>
      </c>
      <c r="K1559" t="str">
        <f>LOOKUP(J1559,Sheet2!$P$4:$Q$9)</f>
        <v>100-199</v>
      </c>
      <c r="L1559" s="1">
        <v>25.1</v>
      </c>
      <c r="M1559" t="str">
        <f>LOOKUP(L1559,Sheet2!$S$4:$T$8)</f>
        <v>1-25</v>
      </c>
      <c r="N1559" s="1">
        <v>0.16300000000000001</v>
      </c>
      <c r="O1559" t="str">
        <f>LOOKUP(N1559,Sheet2!$V$4:$W$7)</f>
        <v>0.0 - 0.249</v>
      </c>
      <c r="P1559" s="1">
        <v>55</v>
      </c>
      <c r="Q1559" t="str">
        <f>LOOKUP(P1559,Sheet2!$Z$4:$AA$7)</f>
        <v>46+</v>
      </c>
      <c r="R1559" s="1">
        <v>1</v>
      </c>
      <c r="S1559" t="str">
        <f>IF(R1559=1,"Positive","Negative")</f>
        <v>Positive</v>
      </c>
      <c r="T1559" s="1" t="str">
        <f>IFERROR(VLOOKUP(A1559,[1]diabetes_Recognition!$A:$B,2,FALSE),"Not Sampled")</f>
        <v>Not Sampled</v>
      </c>
      <c r="U1559" t="str">
        <f>IF(T1559=1,"Positive",(IF(T1559=0,"Negative","Not Sampled")))</f>
        <v>Not Sampled</v>
      </c>
      <c r="V1559" s="1" t="str">
        <f>IF(U1559="Not Sampled","Not Sampled",IF(S1559=U1559,"Accurate Prediction","Inaccurate Prediction"))</f>
        <v>Not Sampled</v>
      </c>
    </row>
    <row r="1560" spans="1:22" x14ac:dyDescent="0.25">
      <c r="A1560" s="1">
        <v>1558</v>
      </c>
      <c r="B1560" s="1">
        <v>6</v>
      </c>
      <c r="C1560" s="1" t="str">
        <f>LOOKUP(B1560,Sheet2!$D$4:$E$9)</f>
        <v>5-7</v>
      </c>
      <c r="D1560" s="1">
        <v>154</v>
      </c>
      <c r="E1560" t="str">
        <f>LOOKUP(D1560,Sheet2!$G$4:$H$9)</f>
        <v>151-175</v>
      </c>
      <c r="F1560" s="1">
        <v>74</v>
      </c>
      <c r="G1560" t="str">
        <f>LOOKUP(F1560,Sheet2!$J$4:$K$8)</f>
        <v>70-79</v>
      </c>
      <c r="H1560" s="1">
        <v>32</v>
      </c>
      <c r="I1560" t="str">
        <f>LOOKUP(H1560,Sheet2!$M$4:$N$8)</f>
        <v>30-39</v>
      </c>
      <c r="J1560" s="1">
        <v>193</v>
      </c>
      <c r="K1560" t="str">
        <f>LOOKUP(J1560,Sheet2!$P$4:$Q$9)</f>
        <v>100-199</v>
      </c>
      <c r="L1560" s="1">
        <v>29.3</v>
      </c>
      <c r="M1560" t="str">
        <f>LOOKUP(L1560,Sheet2!$S$4:$T$8)</f>
        <v>26-30</v>
      </c>
      <c r="N1560" s="1">
        <v>0.83899999999999997</v>
      </c>
      <c r="O1560" t="str">
        <f>LOOKUP(N1560,Sheet2!$V$4:$W$7)</f>
        <v>0.7+</v>
      </c>
      <c r="P1560" s="1">
        <v>39</v>
      </c>
      <c r="Q1560" t="str">
        <f>LOOKUP(P1560,Sheet2!$Z$4:$AA$7)</f>
        <v>36-45</v>
      </c>
      <c r="R1560" s="1">
        <v>0</v>
      </c>
      <c r="S1560" t="str">
        <f>IF(R1560=1,"Positive","Negative")</f>
        <v>Negative</v>
      </c>
      <c r="T1560" s="1" t="str">
        <f>IFERROR(VLOOKUP(A1560,[1]diabetes_Recognition!$A:$B,2,FALSE),"Not Sampled")</f>
        <v>Not Sampled</v>
      </c>
      <c r="U1560" t="str">
        <f>IF(T1560=1,"Positive",(IF(T1560=0,"Negative","Not Sampled")))</f>
        <v>Not Sampled</v>
      </c>
      <c r="V1560" s="1" t="str">
        <f>IF(U1560="Not Sampled","Not Sampled",IF(S1560=U1560,"Accurate Prediction","Inaccurate Prediction"))</f>
        <v>Not Sampled</v>
      </c>
    </row>
    <row r="1561" spans="1:22" x14ac:dyDescent="0.25">
      <c r="A1561" s="1">
        <v>1559</v>
      </c>
      <c r="B1561" s="1">
        <v>0</v>
      </c>
      <c r="C1561" s="1">
        <f>LOOKUP(B1561,Sheet2!$D$4:$E$9)</f>
        <v>0</v>
      </c>
      <c r="D1561" s="1">
        <v>136</v>
      </c>
      <c r="E1561" t="str">
        <f>LOOKUP(D1561,Sheet2!$G$4:$H$9)</f>
        <v>126-150</v>
      </c>
      <c r="F1561" s="1">
        <v>74</v>
      </c>
      <c r="G1561" t="str">
        <f>LOOKUP(F1561,Sheet2!$J$4:$K$8)</f>
        <v>70-79</v>
      </c>
      <c r="H1561" s="1">
        <v>49</v>
      </c>
      <c r="I1561" t="str">
        <f>LOOKUP(H1561,Sheet2!$M$4:$N$8)</f>
        <v>40+</v>
      </c>
      <c r="J1561" s="1">
        <v>220</v>
      </c>
      <c r="K1561" t="str">
        <f>LOOKUP(J1561,Sheet2!$P$4:$Q$9)</f>
        <v>200-399</v>
      </c>
      <c r="L1561" s="1">
        <v>20.100000000000001</v>
      </c>
      <c r="M1561" t="str">
        <f>LOOKUP(L1561,Sheet2!$S$4:$T$8)</f>
        <v>1-25</v>
      </c>
      <c r="N1561" s="1">
        <v>0.82</v>
      </c>
      <c r="O1561" t="str">
        <f>LOOKUP(N1561,Sheet2!$V$4:$W$7)</f>
        <v>0.7+</v>
      </c>
      <c r="P1561" s="1">
        <v>44</v>
      </c>
      <c r="Q1561" t="str">
        <f>LOOKUP(P1561,Sheet2!$Z$4:$AA$7)</f>
        <v>36-45</v>
      </c>
      <c r="R1561" s="1">
        <v>1</v>
      </c>
      <c r="S1561" t="str">
        <f>IF(R1561=1,"Positive","Negative")</f>
        <v>Positive</v>
      </c>
      <c r="T1561" s="1" t="str">
        <f>IFERROR(VLOOKUP(A1561,[1]diabetes_Recognition!$A:$B,2,FALSE),"Not Sampled")</f>
        <v>Not Sampled</v>
      </c>
      <c r="U1561" t="str">
        <f>IF(T1561=1,"Positive",(IF(T1561=0,"Negative","Not Sampled")))</f>
        <v>Not Sampled</v>
      </c>
      <c r="V1561" s="1" t="str">
        <f>IF(U1561="Not Sampled","Not Sampled",IF(S1561=U1561,"Accurate Prediction","Inaccurate Prediction"))</f>
        <v>Not Sampled</v>
      </c>
    </row>
    <row r="1562" spans="1:22" x14ac:dyDescent="0.25">
      <c r="A1562" s="1">
        <v>1560</v>
      </c>
      <c r="B1562" s="1">
        <v>0</v>
      </c>
      <c r="C1562" s="1">
        <f>LOOKUP(B1562,Sheet2!$D$4:$E$9)</f>
        <v>0</v>
      </c>
      <c r="D1562" s="1">
        <v>126</v>
      </c>
      <c r="E1562" t="str">
        <f>LOOKUP(D1562,Sheet2!$G$4:$H$9)</f>
        <v>126-150</v>
      </c>
      <c r="F1562" s="1">
        <v>84</v>
      </c>
      <c r="G1562" t="str">
        <f>LOOKUP(F1562,Sheet2!$J$4:$K$8)</f>
        <v>80+</v>
      </c>
      <c r="H1562" s="1">
        <v>29</v>
      </c>
      <c r="I1562" t="str">
        <f>LOOKUP(H1562,Sheet2!$M$4:$N$8)</f>
        <v>10-30</v>
      </c>
      <c r="J1562" s="1">
        <v>215</v>
      </c>
      <c r="K1562" t="str">
        <f>LOOKUP(J1562,Sheet2!$P$4:$Q$9)</f>
        <v>200-399</v>
      </c>
      <c r="L1562" s="1">
        <v>30.7</v>
      </c>
      <c r="M1562" t="str">
        <f>LOOKUP(L1562,Sheet2!$S$4:$T$8)</f>
        <v>26-30</v>
      </c>
      <c r="N1562" s="1">
        <v>0.52</v>
      </c>
      <c r="O1562" t="str">
        <f>LOOKUP(N1562,Sheet2!$V$4:$W$7)</f>
        <v>0.4 - 0.69</v>
      </c>
      <c r="P1562" s="1">
        <v>24</v>
      </c>
      <c r="Q1562" t="str">
        <f>LOOKUP(P1562,Sheet2!$Z$4:$AA$7)</f>
        <v>&lt;=25</v>
      </c>
      <c r="R1562" s="1">
        <v>0</v>
      </c>
      <c r="S1562" t="str">
        <f>IF(R1562=1,"Positive","Negative")</f>
        <v>Negative</v>
      </c>
      <c r="T1562" s="1" t="str">
        <f>IFERROR(VLOOKUP(A1562,[1]diabetes_Recognition!$A:$B,2,FALSE),"Not Sampled")</f>
        <v>Not Sampled</v>
      </c>
      <c r="U1562" t="str">
        <f>IF(T1562=1,"Positive",(IF(T1562=0,"Negative","Not Sampled")))</f>
        <v>Not Sampled</v>
      </c>
      <c r="V1562" s="1" t="str">
        <f>IF(U1562="Not Sampled","Not Sampled",IF(S1562=U1562,"Accurate Prediction","Inaccurate Prediction"))</f>
        <v>Not Sampled</v>
      </c>
    </row>
    <row r="1563" spans="1:22" x14ac:dyDescent="0.25">
      <c r="A1563" s="1">
        <v>1561</v>
      </c>
      <c r="B1563" s="1">
        <v>0</v>
      </c>
      <c r="C1563" s="1">
        <f>LOOKUP(B1563,Sheet2!$D$4:$E$9)</f>
        <v>0</v>
      </c>
      <c r="D1563" s="1">
        <v>116</v>
      </c>
      <c r="E1563" t="str">
        <f>LOOKUP(D1563,Sheet2!$G$4:$H$9)</f>
        <v>100-125</v>
      </c>
      <c r="F1563" s="1">
        <v>64</v>
      </c>
      <c r="G1563" t="str">
        <f>LOOKUP(F1563,Sheet2!$J$4:$K$8)</f>
        <v>60-69</v>
      </c>
      <c r="H1563" s="1">
        <v>39</v>
      </c>
      <c r="I1563" t="str">
        <f>LOOKUP(H1563,Sheet2!$M$4:$N$8)</f>
        <v>30-39</v>
      </c>
      <c r="J1563" s="1">
        <v>225</v>
      </c>
      <c r="K1563" t="str">
        <f>LOOKUP(J1563,Sheet2!$P$4:$Q$9)</f>
        <v>200-399</v>
      </c>
      <c r="L1563" s="1">
        <v>40.200000000000003</v>
      </c>
      <c r="M1563" t="str">
        <f>LOOKUP(L1563,Sheet2!$S$4:$T$8)</f>
        <v>36+</v>
      </c>
      <c r="N1563" s="1">
        <v>0.72</v>
      </c>
      <c r="O1563" t="str">
        <f>LOOKUP(N1563,Sheet2!$V$4:$W$7)</f>
        <v>0.7+</v>
      </c>
      <c r="P1563" s="1">
        <v>50</v>
      </c>
      <c r="Q1563" t="str">
        <f>LOOKUP(P1563,Sheet2!$Z$4:$AA$7)</f>
        <v>46+</v>
      </c>
      <c r="R1563" s="1">
        <v>0</v>
      </c>
      <c r="S1563" t="str">
        <f>IF(R1563=1,"Positive","Negative")</f>
        <v>Negative</v>
      </c>
      <c r="T1563" s="1">
        <f>IFERROR(VLOOKUP(A1563,[1]diabetes_Recognition!$A:$B,2,FALSE),"Not Sampled")</f>
        <v>0</v>
      </c>
      <c r="U1563" t="str">
        <f>IF(T1563=1,"Positive",(IF(T1563=0,"Negative","Not Sampled")))</f>
        <v>Negative</v>
      </c>
      <c r="V1563" s="1" t="str">
        <f>IF(U1563="Not Sampled","Not Sampled",IF(S1563=U1563,"Accurate Prediction","Inaccurate Prediction"))</f>
        <v>Accurate Prediction</v>
      </c>
    </row>
    <row r="1564" spans="1:22" x14ac:dyDescent="0.25">
      <c r="A1564" s="1">
        <v>1562</v>
      </c>
      <c r="B1564" s="1">
        <v>2</v>
      </c>
      <c r="C1564" s="1">
        <f>LOOKUP(B1564,Sheet2!$D$4:$E$9)</f>
        <v>2</v>
      </c>
      <c r="D1564" s="1">
        <v>142</v>
      </c>
      <c r="E1564" t="str">
        <f>LOOKUP(D1564,Sheet2!$G$4:$H$9)</f>
        <v>126-150</v>
      </c>
      <c r="F1564" s="1">
        <v>94</v>
      </c>
      <c r="G1564" t="str">
        <f>LOOKUP(F1564,Sheet2!$J$4:$K$8)</f>
        <v>80+</v>
      </c>
      <c r="H1564" s="1">
        <v>59</v>
      </c>
      <c r="I1564" t="str">
        <f>LOOKUP(H1564,Sheet2!$M$4:$N$8)</f>
        <v>40+</v>
      </c>
      <c r="J1564" s="1">
        <v>177</v>
      </c>
      <c r="K1564" t="str">
        <f>LOOKUP(J1564,Sheet2!$P$4:$Q$9)</f>
        <v>100-199</v>
      </c>
      <c r="L1564" s="1">
        <v>38.299999999999997</v>
      </c>
      <c r="M1564" t="str">
        <f>LOOKUP(L1564,Sheet2!$S$4:$T$8)</f>
        <v>36+</v>
      </c>
      <c r="N1564" s="1">
        <v>0.62</v>
      </c>
      <c r="O1564" t="str">
        <f>LOOKUP(N1564,Sheet2!$V$4:$W$7)</f>
        <v>0.4 - 0.69</v>
      </c>
      <c r="P1564" s="1">
        <v>63</v>
      </c>
      <c r="Q1564" t="str">
        <f>LOOKUP(P1564,Sheet2!$Z$4:$AA$7)</f>
        <v>46+</v>
      </c>
      <c r="R1564" s="1">
        <v>1</v>
      </c>
      <c r="S1564" t="str">
        <f>IF(R1564=1,"Positive","Negative")</f>
        <v>Positive</v>
      </c>
      <c r="T1564" s="1" t="str">
        <f>IFERROR(VLOOKUP(A1564,[1]diabetes_Recognition!$A:$B,2,FALSE),"Not Sampled")</f>
        <v>Not Sampled</v>
      </c>
      <c r="U1564" t="str">
        <f>IF(T1564=1,"Positive",(IF(T1564=0,"Negative","Not Sampled")))</f>
        <v>Not Sampled</v>
      </c>
      <c r="V1564" s="1" t="str">
        <f>IF(U1564="Not Sampled","Not Sampled",IF(S1564=U1564,"Accurate Prediction","Inaccurate Prediction"))</f>
        <v>Not Sampled</v>
      </c>
    </row>
    <row r="1565" spans="1:22" x14ac:dyDescent="0.25">
      <c r="A1565" s="1">
        <v>1563</v>
      </c>
      <c r="B1565" s="1">
        <v>4</v>
      </c>
      <c r="C1565" s="1" t="str">
        <f>LOOKUP(B1565,Sheet2!$D$4:$E$9)</f>
        <v>3-4</v>
      </c>
      <c r="D1565" s="1">
        <v>183</v>
      </c>
      <c r="E1565" t="str">
        <f>LOOKUP(D1565,Sheet2!$G$4:$H$9)</f>
        <v>176-200</v>
      </c>
      <c r="F1565" s="1">
        <v>66</v>
      </c>
      <c r="G1565" t="str">
        <f>LOOKUP(F1565,Sheet2!$J$4:$K$8)</f>
        <v>60-69</v>
      </c>
      <c r="H1565" s="1">
        <v>0</v>
      </c>
      <c r="I1565" t="str">
        <f>LOOKUP(H1565,Sheet2!$M$4:$N$8)</f>
        <v>Unknown</v>
      </c>
      <c r="J1565" s="1">
        <v>215</v>
      </c>
      <c r="K1565" t="str">
        <f>LOOKUP(J1565,Sheet2!$P$4:$Q$9)</f>
        <v>200-399</v>
      </c>
      <c r="L1565" s="1">
        <v>80.599999999999994</v>
      </c>
      <c r="M1565" t="str">
        <f>LOOKUP(L1565,Sheet2!$S$4:$T$8)</f>
        <v>36+</v>
      </c>
      <c r="N1565" s="1">
        <v>0.65400000000000003</v>
      </c>
      <c r="O1565" t="str">
        <f>LOOKUP(N1565,Sheet2!$V$4:$W$7)</f>
        <v>0.4 - 0.69</v>
      </c>
      <c r="P1565" s="1">
        <v>40</v>
      </c>
      <c r="Q1565" t="str">
        <f>LOOKUP(P1565,Sheet2!$Z$4:$AA$7)</f>
        <v>36-45</v>
      </c>
      <c r="R1565" s="1">
        <v>0</v>
      </c>
      <c r="S1565" t="str">
        <f>IF(R1565=1,"Positive","Negative")</f>
        <v>Negative</v>
      </c>
      <c r="T1565" s="1" t="str">
        <f>IFERROR(VLOOKUP(A1565,[1]diabetes_Recognition!$A:$B,2,FALSE),"Not Sampled")</f>
        <v>Not Sampled</v>
      </c>
      <c r="U1565" t="str">
        <f>IF(T1565=1,"Positive",(IF(T1565=0,"Negative","Not Sampled")))</f>
        <v>Not Sampled</v>
      </c>
      <c r="V1565" s="1" t="str">
        <f>IF(U1565="Not Sampled","Not Sampled",IF(S1565=U1565,"Accurate Prediction","Inaccurate Prediction"))</f>
        <v>Not Sampled</v>
      </c>
    </row>
    <row r="1566" spans="1:22" x14ac:dyDescent="0.25">
      <c r="A1566" s="1">
        <v>1564</v>
      </c>
      <c r="B1566" s="1">
        <v>1</v>
      </c>
      <c r="C1566" s="1">
        <f>LOOKUP(B1566,Sheet2!$D$4:$E$9)</f>
        <v>1</v>
      </c>
      <c r="D1566" s="1">
        <v>100</v>
      </c>
      <c r="E1566" t="str">
        <f>LOOKUP(D1566,Sheet2!$G$4:$H$9)</f>
        <v>100-125</v>
      </c>
      <c r="F1566" s="1">
        <v>62</v>
      </c>
      <c r="G1566" t="str">
        <f>LOOKUP(F1566,Sheet2!$J$4:$K$8)</f>
        <v>60-69</v>
      </c>
      <c r="H1566" s="1">
        <v>0</v>
      </c>
      <c r="I1566" t="str">
        <f>LOOKUP(H1566,Sheet2!$M$4:$N$8)</f>
        <v>Unknown</v>
      </c>
      <c r="J1566" s="1">
        <v>0</v>
      </c>
      <c r="K1566" t="str">
        <f>LOOKUP(J1566,Sheet2!$P$4:$Q$9)</f>
        <v>Unknown</v>
      </c>
      <c r="L1566" s="1">
        <v>64.400000000000006</v>
      </c>
      <c r="M1566" t="str">
        <f>LOOKUP(L1566,Sheet2!$S$4:$T$8)</f>
        <v>36+</v>
      </c>
      <c r="N1566" s="1">
        <v>0.152</v>
      </c>
      <c r="O1566" t="str">
        <f>LOOKUP(N1566,Sheet2!$V$4:$W$7)</f>
        <v>0.0 - 0.249</v>
      </c>
      <c r="P1566" s="1">
        <v>36</v>
      </c>
      <c r="Q1566" t="str">
        <f>LOOKUP(P1566,Sheet2!$Z$4:$AA$7)</f>
        <v>36-45</v>
      </c>
      <c r="R1566" s="1">
        <v>0</v>
      </c>
      <c r="S1566" t="str">
        <f>IF(R1566=1,"Positive","Negative")</f>
        <v>Negative</v>
      </c>
      <c r="T1566" s="1" t="str">
        <f>IFERROR(VLOOKUP(A1566,[1]diabetes_Recognition!$A:$B,2,FALSE),"Not Sampled")</f>
        <v>Not Sampled</v>
      </c>
      <c r="U1566" t="str">
        <f>IF(T1566=1,"Positive",(IF(T1566=0,"Negative","Not Sampled")))</f>
        <v>Not Sampled</v>
      </c>
      <c r="V1566" s="1" t="str">
        <f>IF(U1566="Not Sampled","Not Sampled",IF(S1566=U1566,"Accurate Prediction","Inaccurate Prediction"))</f>
        <v>Not Sampled</v>
      </c>
    </row>
    <row r="1567" spans="1:22" x14ac:dyDescent="0.25">
      <c r="A1567" s="1">
        <v>1565</v>
      </c>
      <c r="B1567" s="1">
        <v>0</v>
      </c>
      <c r="C1567" s="1">
        <f>LOOKUP(B1567,Sheet2!$D$4:$E$9)</f>
        <v>0</v>
      </c>
      <c r="D1567" s="1">
        <v>163</v>
      </c>
      <c r="E1567" t="str">
        <f>LOOKUP(D1567,Sheet2!$G$4:$H$9)</f>
        <v>151-175</v>
      </c>
      <c r="F1567" s="1">
        <v>40</v>
      </c>
      <c r="G1567" t="str">
        <f>LOOKUP(F1567,Sheet2!$J$4:$K$8)</f>
        <v>1-59</v>
      </c>
      <c r="H1567" s="1">
        <v>23</v>
      </c>
      <c r="I1567" t="str">
        <f>LOOKUP(H1567,Sheet2!$M$4:$N$8)</f>
        <v>10-30</v>
      </c>
      <c r="J1567" s="1">
        <v>64</v>
      </c>
      <c r="K1567" t="str">
        <f>LOOKUP(J1567,Sheet2!$P$4:$Q$9)</f>
        <v>1-99</v>
      </c>
      <c r="L1567" s="1">
        <v>40.700000000000003</v>
      </c>
      <c r="M1567" t="str">
        <f>LOOKUP(L1567,Sheet2!$S$4:$T$8)</f>
        <v>36+</v>
      </c>
      <c r="N1567" s="1">
        <v>0.32200000000000001</v>
      </c>
      <c r="O1567" t="str">
        <f>LOOKUP(N1567,Sheet2!$V$4:$W$7)</f>
        <v>0.25 - 0.39</v>
      </c>
      <c r="P1567" s="1">
        <v>33</v>
      </c>
      <c r="Q1567" t="str">
        <f>LOOKUP(P1567,Sheet2!$Z$4:$AA$7)</f>
        <v>26-35</v>
      </c>
      <c r="R1567" s="1">
        <v>0</v>
      </c>
      <c r="S1567" t="str">
        <f>IF(R1567=1,"Positive","Negative")</f>
        <v>Negative</v>
      </c>
      <c r="T1567" s="1" t="str">
        <f>IFERROR(VLOOKUP(A1567,[1]diabetes_Recognition!$A:$B,2,FALSE),"Not Sampled")</f>
        <v>Not Sampled</v>
      </c>
      <c r="U1567" t="str">
        <f>IF(T1567=1,"Positive",(IF(T1567=0,"Negative","Not Sampled")))</f>
        <v>Not Sampled</v>
      </c>
      <c r="V1567" s="1" t="str">
        <f>IF(U1567="Not Sampled","Not Sampled",IF(S1567=U1567,"Accurate Prediction","Inaccurate Prediction"))</f>
        <v>Not Sampled</v>
      </c>
    </row>
    <row r="1568" spans="1:22" x14ac:dyDescent="0.25">
      <c r="A1568" s="1">
        <v>1566</v>
      </c>
      <c r="B1568" s="1">
        <v>6</v>
      </c>
      <c r="C1568" s="1" t="str">
        <f>LOOKUP(B1568,Sheet2!$D$4:$E$9)</f>
        <v>5-7</v>
      </c>
      <c r="D1568" s="1">
        <v>139</v>
      </c>
      <c r="E1568" t="str">
        <f>LOOKUP(D1568,Sheet2!$G$4:$H$9)</f>
        <v>126-150</v>
      </c>
      <c r="F1568" s="1">
        <v>84</v>
      </c>
      <c r="G1568" t="str">
        <f>LOOKUP(F1568,Sheet2!$J$4:$K$8)</f>
        <v>80+</v>
      </c>
      <c r="H1568" s="1">
        <v>37</v>
      </c>
      <c r="I1568" t="str">
        <f>LOOKUP(H1568,Sheet2!$M$4:$N$8)</f>
        <v>30-39</v>
      </c>
      <c r="J1568" s="1">
        <v>0</v>
      </c>
      <c r="K1568" t="str">
        <f>LOOKUP(J1568,Sheet2!$P$4:$Q$9)</f>
        <v>Unknown</v>
      </c>
      <c r="L1568" s="1">
        <v>50.7</v>
      </c>
      <c r="M1568" t="str">
        <f>LOOKUP(L1568,Sheet2!$S$4:$T$8)</f>
        <v>36+</v>
      </c>
      <c r="N1568" s="1">
        <v>0.32</v>
      </c>
      <c r="O1568" t="str">
        <f>LOOKUP(N1568,Sheet2!$V$4:$W$7)</f>
        <v>0.25 - 0.39</v>
      </c>
      <c r="P1568" s="1">
        <v>50</v>
      </c>
      <c r="Q1568" t="str">
        <f>LOOKUP(P1568,Sheet2!$Z$4:$AA$7)</f>
        <v>46+</v>
      </c>
      <c r="R1568" s="1">
        <v>1</v>
      </c>
      <c r="S1568" t="str">
        <f>IF(R1568=1,"Positive","Negative")</f>
        <v>Positive</v>
      </c>
      <c r="T1568" s="1" t="str">
        <f>IFERROR(VLOOKUP(A1568,[1]diabetes_Recognition!$A:$B,2,FALSE),"Not Sampled")</f>
        <v>Not Sampled</v>
      </c>
      <c r="U1568" t="str">
        <f>IF(T1568=1,"Positive",(IF(T1568=0,"Negative","Not Sampled")))</f>
        <v>Not Sampled</v>
      </c>
      <c r="V1568" s="1" t="str">
        <f>IF(U1568="Not Sampled","Not Sampled",IF(S1568=U1568,"Accurate Prediction","Inaccurate Prediction"))</f>
        <v>Not Sampled</v>
      </c>
    </row>
    <row r="1569" spans="1:22" x14ac:dyDescent="0.25">
      <c r="A1569" s="1">
        <v>1567</v>
      </c>
      <c r="B1569" s="1">
        <v>2</v>
      </c>
      <c r="C1569" s="1">
        <f>LOOKUP(B1569,Sheet2!$D$4:$E$9)</f>
        <v>2</v>
      </c>
      <c r="D1569" s="1">
        <v>167</v>
      </c>
      <c r="E1569" t="str">
        <f>LOOKUP(D1569,Sheet2!$G$4:$H$9)</f>
        <v>151-175</v>
      </c>
      <c r="F1569" s="1">
        <v>44</v>
      </c>
      <c r="G1569" t="str">
        <f>LOOKUP(F1569,Sheet2!$J$4:$K$8)</f>
        <v>1-59</v>
      </c>
      <c r="H1569" s="1">
        <v>30</v>
      </c>
      <c r="I1569" t="str">
        <f>LOOKUP(H1569,Sheet2!$M$4:$N$8)</f>
        <v>30-39</v>
      </c>
      <c r="J1569" s="1">
        <v>140</v>
      </c>
      <c r="K1569" t="str">
        <f>LOOKUP(J1569,Sheet2!$P$4:$Q$9)</f>
        <v>100-199</v>
      </c>
      <c r="L1569" s="1">
        <v>52.7</v>
      </c>
      <c r="M1569" t="str">
        <f>LOOKUP(L1569,Sheet2!$S$4:$T$8)</f>
        <v>36+</v>
      </c>
      <c r="N1569" s="1">
        <v>0.45200000000000001</v>
      </c>
      <c r="O1569" t="str">
        <f>LOOKUP(N1569,Sheet2!$V$4:$W$7)</f>
        <v>0.4 - 0.69</v>
      </c>
      <c r="P1569" s="1">
        <v>28</v>
      </c>
      <c r="Q1569" t="str">
        <f>LOOKUP(P1569,Sheet2!$Z$4:$AA$7)</f>
        <v>26-35</v>
      </c>
      <c r="R1569" s="1">
        <v>0</v>
      </c>
      <c r="S1569" t="str">
        <f>IF(R1569=1,"Positive","Negative")</f>
        <v>Negative</v>
      </c>
      <c r="T1569" s="1">
        <f>IFERROR(VLOOKUP(A1569,[1]diabetes_Recognition!$A:$B,2,FALSE),"Not Sampled")</f>
        <v>1</v>
      </c>
      <c r="U1569" t="str">
        <f>IF(T1569=1,"Positive",(IF(T1569=0,"Negative","Not Sampled")))</f>
        <v>Positive</v>
      </c>
      <c r="V1569" s="1" t="str">
        <f>IF(U1569="Not Sampled","Not Sampled",IF(S1569=U1569,"Accurate Prediction","Inaccurate Prediction"))</f>
        <v>Inaccurate Prediction</v>
      </c>
    </row>
    <row r="1570" spans="1:22" x14ac:dyDescent="0.25">
      <c r="A1570" s="1">
        <v>1568</v>
      </c>
      <c r="B1570" s="1">
        <v>3</v>
      </c>
      <c r="C1570" s="1" t="str">
        <f>LOOKUP(B1570,Sheet2!$D$4:$E$9)</f>
        <v>3-4</v>
      </c>
      <c r="D1570" s="1">
        <v>162</v>
      </c>
      <c r="E1570" t="str">
        <f>LOOKUP(D1570,Sheet2!$G$4:$H$9)</f>
        <v>151-175</v>
      </c>
      <c r="F1570" s="1">
        <v>0</v>
      </c>
      <c r="G1570" t="str">
        <f>LOOKUP(F1570,Sheet2!$J$4:$K$8)</f>
        <v>Unknown</v>
      </c>
      <c r="H1570" s="1">
        <v>110</v>
      </c>
      <c r="I1570" t="str">
        <f>LOOKUP(H1570,Sheet2!$M$4:$N$8)</f>
        <v>40+</v>
      </c>
      <c r="J1570" s="1">
        <v>215</v>
      </c>
      <c r="K1570" t="str">
        <f>LOOKUP(J1570,Sheet2!$P$4:$Q$9)</f>
        <v>200-399</v>
      </c>
      <c r="L1570" s="1">
        <v>48.7</v>
      </c>
      <c r="M1570" t="str">
        <f>LOOKUP(L1570,Sheet2!$S$4:$T$8)</f>
        <v>36+</v>
      </c>
      <c r="N1570" s="1">
        <v>0.52</v>
      </c>
      <c r="O1570" t="str">
        <f>LOOKUP(N1570,Sheet2!$V$4:$W$7)</f>
        <v>0.4 - 0.69</v>
      </c>
      <c r="P1570" s="1">
        <v>24</v>
      </c>
      <c r="Q1570" t="str">
        <f>LOOKUP(P1570,Sheet2!$Z$4:$AA$7)</f>
        <v>&lt;=25</v>
      </c>
      <c r="R1570" s="1">
        <v>0</v>
      </c>
      <c r="S1570" t="str">
        <f>IF(R1570=1,"Positive","Negative")</f>
        <v>Negative</v>
      </c>
      <c r="T1570" s="1" t="str">
        <f>IFERROR(VLOOKUP(A1570,[1]diabetes_Recognition!$A:$B,2,FALSE),"Not Sampled")</f>
        <v>Not Sampled</v>
      </c>
      <c r="U1570" t="str">
        <f>IF(T1570=1,"Positive",(IF(T1570=0,"Negative","Not Sampled")))</f>
        <v>Not Sampled</v>
      </c>
      <c r="V1570" s="1" t="str">
        <f>IF(U1570="Not Sampled","Not Sampled",IF(S1570=U1570,"Accurate Prediction","Inaccurate Prediction"))</f>
        <v>Not Sampled</v>
      </c>
    </row>
    <row r="1571" spans="1:22" x14ac:dyDescent="0.25">
      <c r="A1571" s="1">
        <v>1569</v>
      </c>
      <c r="B1571" s="1">
        <v>0</v>
      </c>
      <c r="C1571" s="1">
        <f>LOOKUP(B1571,Sheet2!$D$4:$E$9)</f>
        <v>0</v>
      </c>
      <c r="D1571" s="1">
        <v>173</v>
      </c>
      <c r="E1571" t="str">
        <f>LOOKUP(D1571,Sheet2!$G$4:$H$9)</f>
        <v>151-175</v>
      </c>
      <c r="F1571" s="1">
        <v>78</v>
      </c>
      <c r="G1571" t="str">
        <f>LOOKUP(F1571,Sheet2!$J$4:$K$8)</f>
        <v>70-79</v>
      </c>
      <c r="H1571" s="1">
        <v>32</v>
      </c>
      <c r="I1571" t="str">
        <f>LOOKUP(H1571,Sheet2!$M$4:$N$8)</f>
        <v>30-39</v>
      </c>
      <c r="J1571" s="1">
        <v>265</v>
      </c>
      <c r="K1571" t="str">
        <f>LOOKUP(J1571,Sheet2!$P$4:$Q$9)</f>
        <v>200-399</v>
      </c>
      <c r="L1571" s="1">
        <v>46.5</v>
      </c>
      <c r="M1571" t="str">
        <f>LOOKUP(L1571,Sheet2!$S$4:$T$8)</f>
        <v>36+</v>
      </c>
      <c r="N1571" s="1">
        <v>1.159</v>
      </c>
      <c r="O1571" t="str">
        <f>LOOKUP(N1571,Sheet2!$V$4:$W$7)</f>
        <v>0.7+</v>
      </c>
      <c r="P1571" s="1">
        <v>58</v>
      </c>
      <c r="Q1571" t="str">
        <f>LOOKUP(P1571,Sheet2!$Z$4:$AA$7)</f>
        <v>46+</v>
      </c>
      <c r="R1571" s="1">
        <v>0</v>
      </c>
      <c r="S1571" t="str">
        <f>IF(R1571=1,"Positive","Negative")</f>
        <v>Negative</v>
      </c>
      <c r="T1571" s="1" t="str">
        <f>IFERROR(VLOOKUP(A1571,[1]diabetes_Recognition!$A:$B,2,FALSE),"Not Sampled")</f>
        <v>Not Sampled</v>
      </c>
      <c r="U1571" t="str">
        <f>IF(T1571=1,"Positive",(IF(T1571=0,"Negative","Not Sampled")))</f>
        <v>Not Sampled</v>
      </c>
      <c r="V1571" s="1" t="str">
        <f>IF(U1571="Not Sampled","Not Sampled",IF(S1571=U1571,"Accurate Prediction","Inaccurate Prediction"))</f>
        <v>Not Sampled</v>
      </c>
    </row>
    <row r="1572" spans="1:22" x14ac:dyDescent="0.25">
      <c r="A1572" s="1">
        <v>1570</v>
      </c>
      <c r="B1572" s="1">
        <v>4</v>
      </c>
      <c r="C1572" s="1" t="str">
        <f>LOOKUP(B1572,Sheet2!$D$4:$E$9)</f>
        <v>3-4</v>
      </c>
      <c r="D1572" s="1">
        <v>99</v>
      </c>
      <c r="E1572" t="str">
        <f>LOOKUP(D1572,Sheet2!$G$4:$H$9)</f>
        <v>1-99</v>
      </c>
      <c r="F1572" s="1">
        <v>72</v>
      </c>
      <c r="G1572" t="str">
        <f>LOOKUP(F1572,Sheet2!$J$4:$K$8)</f>
        <v>70-79</v>
      </c>
      <c r="H1572" s="1">
        <v>17</v>
      </c>
      <c r="I1572" t="str">
        <f>LOOKUP(H1572,Sheet2!$M$4:$N$8)</f>
        <v>10-30</v>
      </c>
      <c r="J1572" s="1">
        <v>0</v>
      </c>
      <c r="K1572" t="str">
        <f>LOOKUP(J1572,Sheet2!$P$4:$Q$9)</f>
        <v>Unknown</v>
      </c>
      <c r="L1572" s="1">
        <v>25.6</v>
      </c>
      <c r="M1572" t="str">
        <f>LOOKUP(L1572,Sheet2!$S$4:$T$8)</f>
        <v>1-25</v>
      </c>
      <c r="N1572" s="1">
        <v>0.29399999999999998</v>
      </c>
      <c r="O1572" t="str">
        <f>LOOKUP(N1572,Sheet2!$V$4:$W$7)</f>
        <v>0.25 - 0.39</v>
      </c>
      <c r="P1572" s="1">
        <v>28</v>
      </c>
      <c r="Q1572" t="str">
        <f>LOOKUP(P1572,Sheet2!$Z$4:$AA$7)</f>
        <v>26-35</v>
      </c>
      <c r="R1572" s="1">
        <v>0</v>
      </c>
      <c r="S1572" t="str">
        <f>IF(R1572=1,"Positive","Negative")</f>
        <v>Negative</v>
      </c>
      <c r="T1572" s="1" t="str">
        <f>IFERROR(VLOOKUP(A1572,[1]diabetes_Recognition!$A:$B,2,FALSE),"Not Sampled")</f>
        <v>Not Sampled</v>
      </c>
      <c r="U1572" t="str">
        <f>IF(T1572=1,"Positive",(IF(T1572=0,"Negative","Not Sampled")))</f>
        <v>Not Sampled</v>
      </c>
      <c r="V1572" s="1" t="str">
        <f>IF(U1572="Not Sampled","Not Sampled",IF(S1572=U1572,"Accurate Prediction","Inaccurate Prediction"))</f>
        <v>Not Sampled</v>
      </c>
    </row>
    <row r="1573" spans="1:22" x14ac:dyDescent="0.25">
      <c r="A1573" s="1">
        <v>1571</v>
      </c>
      <c r="B1573" s="1">
        <v>8</v>
      </c>
      <c r="C1573" s="1" t="str">
        <f>LOOKUP(B1573,Sheet2!$D$4:$E$9)</f>
        <v>8+</v>
      </c>
      <c r="D1573" s="1">
        <v>194</v>
      </c>
      <c r="E1573" t="str">
        <f>LOOKUP(D1573,Sheet2!$G$4:$H$9)</f>
        <v>176-200</v>
      </c>
      <c r="F1573" s="1">
        <v>80</v>
      </c>
      <c r="G1573" t="str">
        <f>LOOKUP(F1573,Sheet2!$J$4:$K$8)</f>
        <v>80+</v>
      </c>
      <c r="H1573" s="1">
        <v>0</v>
      </c>
      <c r="I1573" t="str">
        <f>LOOKUP(H1573,Sheet2!$M$4:$N$8)</f>
        <v>Unknown</v>
      </c>
      <c r="J1573" s="1">
        <v>0</v>
      </c>
      <c r="K1573" t="str">
        <f>LOOKUP(J1573,Sheet2!$P$4:$Q$9)</f>
        <v>Unknown</v>
      </c>
      <c r="L1573" s="1">
        <v>26.1</v>
      </c>
      <c r="M1573" t="str">
        <f>LOOKUP(L1573,Sheet2!$S$4:$T$8)</f>
        <v>26-30</v>
      </c>
      <c r="N1573" s="1">
        <v>0.55100000000000005</v>
      </c>
      <c r="O1573" t="str">
        <f>LOOKUP(N1573,Sheet2!$V$4:$W$7)</f>
        <v>0.4 - 0.69</v>
      </c>
      <c r="P1573" s="1">
        <v>67</v>
      </c>
      <c r="Q1573" t="str">
        <f>LOOKUP(P1573,Sheet2!$Z$4:$AA$7)</f>
        <v>46+</v>
      </c>
      <c r="R1573" s="1">
        <v>0</v>
      </c>
      <c r="S1573" t="str">
        <f>IF(R1573=1,"Positive","Negative")</f>
        <v>Negative</v>
      </c>
      <c r="T1573" s="1" t="str">
        <f>IFERROR(VLOOKUP(A1573,[1]diabetes_Recognition!$A:$B,2,FALSE),"Not Sampled")</f>
        <v>Not Sampled</v>
      </c>
      <c r="U1573" t="str">
        <f>IF(T1573=1,"Positive",(IF(T1573=0,"Negative","Not Sampled")))</f>
        <v>Not Sampled</v>
      </c>
      <c r="V1573" s="1" t="str">
        <f>IF(U1573="Not Sampled","Not Sampled",IF(S1573=U1573,"Accurate Prediction","Inaccurate Prediction"))</f>
        <v>Not Sampled</v>
      </c>
    </row>
    <row r="1574" spans="1:22" x14ac:dyDescent="0.25">
      <c r="A1574" s="1">
        <v>1572</v>
      </c>
      <c r="B1574" s="1">
        <v>2</v>
      </c>
      <c r="C1574" s="1">
        <f>LOOKUP(B1574,Sheet2!$D$4:$E$9)</f>
        <v>2</v>
      </c>
      <c r="D1574" s="1">
        <v>83</v>
      </c>
      <c r="E1574" t="str">
        <f>LOOKUP(D1574,Sheet2!$G$4:$H$9)</f>
        <v>1-99</v>
      </c>
      <c r="F1574" s="1">
        <v>65</v>
      </c>
      <c r="G1574" t="str">
        <f>LOOKUP(F1574,Sheet2!$J$4:$K$8)</f>
        <v>60-69</v>
      </c>
      <c r="H1574" s="1">
        <v>28</v>
      </c>
      <c r="I1574" t="str">
        <f>LOOKUP(H1574,Sheet2!$M$4:$N$8)</f>
        <v>10-30</v>
      </c>
      <c r="J1574" s="1">
        <v>66</v>
      </c>
      <c r="K1574" t="str">
        <f>LOOKUP(J1574,Sheet2!$P$4:$Q$9)</f>
        <v>1-99</v>
      </c>
      <c r="L1574" s="1">
        <v>36.799999999999997</v>
      </c>
      <c r="M1574" t="str">
        <f>LOOKUP(L1574,Sheet2!$S$4:$T$8)</f>
        <v>36+</v>
      </c>
      <c r="N1574" s="1">
        <v>0.629</v>
      </c>
      <c r="O1574" t="str">
        <f>LOOKUP(N1574,Sheet2!$V$4:$W$7)</f>
        <v>0.4 - 0.69</v>
      </c>
      <c r="P1574" s="1">
        <v>24</v>
      </c>
      <c r="Q1574" t="str">
        <f>LOOKUP(P1574,Sheet2!$Z$4:$AA$7)</f>
        <v>&lt;=25</v>
      </c>
      <c r="R1574" s="1">
        <v>0</v>
      </c>
      <c r="S1574" t="str">
        <f>IF(R1574=1,"Positive","Negative")</f>
        <v>Negative</v>
      </c>
      <c r="T1574" s="1" t="str">
        <f>IFERROR(VLOOKUP(A1574,[1]diabetes_Recognition!$A:$B,2,FALSE),"Not Sampled")</f>
        <v>Not Sampled</v>
      </c>
      <c r="U1574" t="str">
        <f>IF(T1574=1,"Positive",(IF(T1574=0,"Negative","Not Sampled")))</f>
        <v>Not Sampled</v>
      </c>
      <c r="V1574" s="1" t="str">
        <f>IF(U1574="Not Sampled","Not Sampled",IF(S1574=U1574,"Accurate Prediction","Inaccurate Prediction"))</f>
        <v>Not Sampled</v>
      </c>
    </row>
    <row r="1575" spans="1:22" x14ac:dyDescent="0.25">
      <c r="A1575" s="1">
        <v>1573</v>
      </c>
      <c r="B1575" s="1">
        <v>2</v>
      </c>
      <c r="C1575" s="1">
        <f>LOOKUP(B1575,Sheet2!$D$4:$E$9)</f>
        <v>2</v>
      </c>
      <c r="D1575" s="1">
        <v>89</v>
      </c>
      <c r="E1575" t="str">
        <f>LOOKUP(D1575,Sheet2!$G$4:$H$9)</f>
        <v>1-99</v>
      </c>
      <c r="F1575" s="1">
        <v>90</v>
      </c>
      <c r="G1575" t="str">
        <f>LOOKUP(F1575,Sheet2!$J$4:$K$8)</f>
        <v>80+</v>
      </c>
      <c r="H1575" s="1">
        <v>30</v>
      </c>
      <c r="I1575" t="str">
        <f>LOOKUP(H1575,Sheet2!$M$4:$N$8)</f>
        <v>30-39</v>
      </c>
      <c r="J1575" s="1">
        <v>0</v>
      </c>
      <c r="K1575" t="str">
        <f>LOOKUP(J1575,Sheet2!$P$4:$Q$9)</f>
        <v>Unknown</v>
      </c>
      <c r="L1575" s="1">
        <v>33.5</v>
      </c>
      <c r="M1575" t="str">
        <f>LOOKUP(L1575,Sheet2!$S$4:$T$8)</f>
        <v>31-35</v>
      </c>
      <c r="N1575" s="1">
        <v>0.29199999999999998</v>
      </c>
      <c r="O1575" t="str">
        <f>LOOKUP(N1575,Sheet2!$V$4:$W$7)</f>
        <v>0.25 - 0.39</v>
      </c>
      <c r="P1575" s="1">
        <v>42</v>
      </c>
      <c r="Q1575" t="str">
        <f>LOOKUP(P1575,Sheet2!$Z$4:$AA$7)</f>
        <v>36-45</v>
      </c>
      <c r="R1575" s="1">
        <v>0</v>
      </c>
      <c r="S1575" t="str">
        <f>IF(R1575=1,"Positive","Negative")</f>
        <v>Negative</v>
      </c>
      <c r="T1575" s="1" t="str">
        <f>IFERROR(VLOOKUP(A1575,[1]diabetes_Recognition!$A:$B,2,FALSE),"Not Sampled")</f>
        <v>Not Sampled</v>
      </c>
      <c r="U1575" t="str">
        <f>IF(T1575=1,"Positive",(IF(T1575=0,"Negative","Not Sampled")))</f>
        <v>Not Sampled</v>
      </c>
      <c r="V1575" s="1" t="str">
        <f>IF(U1575="Not Sampled","Not Sampled",IF(S1575=U1575,"Accurate Prediction","Inaccurate Prediction"))</f>
        <v>Not Sampled</v>
      </c>
    </row>
    <row r="1576" spans="1:22" x14ac:dyDescent="0.25">
      <c r="A1576" s="1">
        <v>1574</v>
      </c>
      <c r="B1576" s="1">
        <v>4</v>
      </c>
      <c r="C1576" s="1" t="str">
        <f>LOOKUP(B1576,Sheet2!$D$4:$E$9)</f>
        <v>3-4</v>
      </c>
      <c r="D1576" s="1">
        <v>99</v>
      </c>
      <c r="E1576" t="str">
        <f>LOOKUP(D1576,Sheet2!$G$4:$H$9)</f>
        <v>1-99</v>
      </c>
      <c r="F1576" s="1">
        <v>68</v>
      </c>
      <c r="G1576" t="str">
        <f>LOOKUP(F1576,Sheet2!$J$4:$K$8)</f>
        <v>60-69</v>
      </c>
      <c r="H1576" s="1">
        <v>38</v>
      </c>
      <c r="I1576" t="str">
        <f>LOOKUP(H1576,Sheet2!$M$4:$N$8)</f>
        <v>30-39</v>
      </c>
      <c r="J1576" s="1">
        <v>0</v>
      </c>
      <c r="K1576" t="str">
        <f>LOOKUP(J1576,Sheet2!$P$4:$Q$9)</f>
        <v>Unknown</v>
      </c>
      <c r="L1576" s="1">
        <v>32.799999999999997</v>
      </c>
      <c r="M1576" t="str">
        <f>LOOKUP(L1576,Sheet2!$S$4:$T$8)</f>
        <v>31-35</v>
      </c>
      <c r="N1576" s="1">
        <v>0.14499999999999999</v>
      </c>
      <c r="O1576" t="str">
        <f>LOOKUP(N1576,Sheet2!$V$4:$W$7)</f>
        <v>0.0 - 0.249</v>
      </c>
      <c r="P1576" s="1">
        <v>33</v>
      </c>
      <c r="Q1576" t="str">
        <f>LOOKUP(P1576,Sheet2!$Z$4:$AA$7)</f>
        <v>26-35</v>
      </c>
      <c r="R1576" s="1">
        <v>0</v>
      </c>
      <c r="S1576" t="str">
        <f>IF(R1576=1,"Positive","Negative")</f>
        <v>Negative</v>
      </c>
      <c r="T1576" s="1" t="str">
        <f>IFERROR(VLOOKUP(A1576,[1]diabetes_Recognition!$A:$B,2,FALSE),"Not Sampled")</f>
        <v>Not Sampled</v>
      </c>
      <c r="U1576" t="str">
        <f>IF(T1576=1,"Positive",(IF(T1576=0,"Negative","Not Sampled")))</f>
        <v>Not Sampled</v>
      </c>
      <c r="V1576" s="1" t="str">
        <f>IF(U1576="Not Sampled","Not Sampled",IF(S1576=U1576,"Accurate Prediction","Inaccurate Prediction"))</f>
        <v>Not Sampled</v>
      </c>
    </row>
    <row r="1577" spans="1:22" x14ac:dyDescent="0.25">
      <c r="A1577" s="1">
        <v>1575</v>
      </c>
      <c r="B1577" s="1">
        <v>4</v>
      </c>
      <c r="C1577" s="1" t="str">
        <f>LOOKUP(B1577,Sheet2!$D$4:$E$9)</f>
        <v>3-4</v>
      </c>
      <c r="D1577" s="1">
        <v>125</v>
      </c>
      <c r="E1577" t="str">
        <f>LOOKUP(D1577,Sheet2!$G$4:$H$9)</f>
        <v>100-125</v>
      </c>
      <c r="F1577" s="1">
        <v>70</v>
      </c>
      <c r="G1577" t="str">
        <f>LOOKUP(F1577,Sheet2!$J$4:$K$8)</f>
        <v>70-79</v>
      </c>
      <c r="H1577" s="1">
        <v>18</v>
      </c>
      <c r="I1577" t="str">
        <f>LOOKUP(H1577,Sheet2!$M$4:$N$8)</f>
        <v>10-30</v>
      </c>
      <c r="J1577" s="1">
        <v>122</v>
      </c>
      <c r="K1577" t="str">
        <f>LOOKUP(J1577,Sheet2!$P$4:$Q$9)</f>
        <v>100-199</v>
      </c>
      <c r="L1577" s="1">
        <v>28.9</v>
      </c>
      <c r="M1577" t="str">
        <f>LOOKUP(L1577,Sheet2!$S$4:$T$8)</f>
        <v>26-30</v>
      </c>
      <c r="N1577" s="1">
        <v>1.1439999999999999</v>
      </c>
      <c r="O1577" t="str">
        <f>LOOKUP(N1577,Sheet2!$V$4:$W$7)</f>
        <v>0.7+</v>
      </c>
      <c r="P1577" s="1">
        <v>45</v>
      </c>
      <c r="Q1577" t="str">
        <f>LOOKUP(P1577,Sheet2!$Z$4:$AA$7)</f>
        <v>36-45</v>
      </c>
      <c r="R1577" s="1">
        <v>1</v>
      </c>
      <c r="S1577" t="str">
        <f>IF(R1577=1,"Positive","Negative")</f>
        <v>Positive</v>
      </c>
      <c r="T1577" s="1" t="str">
        <f>IFERROR(VLOOKUP(A1577,[1]diabetes_Recognition!$A:$B,2,FALSE),"Not Sampled")</f>
        <v>Not Sampled</v>
      </c>
      <c r="U1577" t="str">
        <f>IF(T1577=1,"Positive",(IF(T1577=0,"Negative","Not Sampled")))</f>
        <v>Not Sampled</v>
      </c>
      <c r="V1577" s="1" t="str">
        <f>IF(U1577="Not Sampled","Not Sampled",IF(S1577=U1577,"Accurate Prediction","Inaccurate Prediction"))</f>
        <v>Not Sampled</v>
      </c>
    </row>
    <row r="1578" spans="1:22" x14ac:dyDescent="0.25">
      <c r="A1578" s="1">
        <v>1576</v>
      </c>
      <c r="B1578" s="1">
        <v>3</v>
      </c>
      <c r="C1578" s="1" t="str">
        <f>LOOKUP(B1578,Sheet2!$D$4:$E$9)</f>
        <v>3-4</v>
      </c>
      <c r="D1578" s="1">
        <v>80</v>
      </c>
      <c r="E1578" t="str">
        <f>LOOKUP(D1578,Sheet2!$G$4:$H$9)</f>
        <v>1-99</v>
      </c>
      <c r="F1578" s="1">
        <v>0</v>
      </c>
      <c r="G1578" t="str">
        <f>LOOKUP(F1578,Sheet2!$J$4:$K$8)</f>
        <v>Unknown</v>
      </c>
      <c r="H1578" s="1">
        <v>0</v>
      </c>
      <c r="I1578" t="str">
        <f>LOOKUP(H1578,Sheet2!$M$4:$N$8)</f>
        <v>Unknown</v>
      </c>
      <c r="J1578" s="1">
        <v>0</v>
      </c>
      <c r="K1578" t="str">
        <f>LOOKUP(J1578,Sheet2!$P$4:$Q$9)</f>
        <v>Unknown</v>
      </c>
      <c r="L1578" s="1">
        <v>0</v>
      </c>
      <c r="M1578" t="str">
        <f>LOOKUP(L1578,Sheet2!$S$4:$T$8)</f>
        <v>Unknown</v>
      </c>
      <c r="N1578" s="1">
        <v>0.17399999999999999</v>
      </c>
      <c r="O1578" t="str">
        <f>LOOKUP(N1578,Sheet2!$V$4:$W$7)</f>
        <v>0.0 - 0.249</v>
      </c>
      <c r="P1578" s="1">
        <v>22</v>
      </c>
      <c r="Q1578" t="str">
        <f>LOOKUP(P1578,Sheet2!$Z$4:$AA$7)</f>
        <v>&lt;=25</v>
      </c>
      <c r="R1578" s="1">
        <v>0</v>
      </c>
      <c r="S1578" t="str">
        <f>IF(R1578=1,"Positive","Negative")</f>
        <v>Negative</v>
      </c>
      <c r="T1578" s="1" t="str">
        <f>IFERROR(VLOOKUP(A1578,[1]diabetes_Recognition!$A:$B,2,FALSE),"Not Sampled")</f>
        <v>Not Sampled</v>
      </c>
      <c r="U1578" t="str">
        <f>IF(T1578=1,"Positive",(IF(T1578=0,"Negative","Not Sampled")))</f>
        <v>Not Sampled</v>
      </c>
      <c r="V1578" s="1" t="str">
        <f>IF(U1578="Not Sampled","Not Sampled",IF(S1578=U1578,"Accurate Prediction","Inaccurate Prediction"))</f>
        <v>Not Sampled</v>
      </c>
    </row>
    <row r="1579" spans="1:22" x14ac:dyDescent="0.25">
      <c r="A1579" s="1">
        <v>1577</v>
      </c>
      <c r="B1579" s="1">
        <v>6</v>
      </c>
      <c r="C1579" s="1" t="str">
        <f>LOOKUP(B1579,Sheet2!$D$4:$E$9)</f>
        <v>5-7</v>
      </c>
      <c r="D1579" s="1">
        <v>166</v>
      </c>
      <c r="E1579" t="str">
        <f>LOOKUP(D1579,Sheet2!$G$4:$H$9)</f>
        <v>151-175</v>
      </c>
      <c r="F1579" s="1">
        <v>74</v>
      </c>
      <c r="G1579" t="str">
        <f>LOOKUP(F1579,Sheet2!$J$4:$K$8)</f>
        <v>70-79</v>
      </c>
      <c r="H1579" s="1">
        <v>0</v>
      </c>
      <c r="I1579" t="str">
        <f>LOOKUP(H1579,Sheet2!$M$4:$N$8)</f>
        <v>Unknown</v>
      </c>
      <c r="J1579" s="1">
        <v>0</v>
      </c>
      <c r="K1579" t="str">
        <f>LOOKUP(J1579,Sheet2!$P$4:$Q$9)</f>
        <v>Unknown</v>
      </c>
      <c r="L1579" s="1">
        <v>26.6</v>
      </c>
      <c r="M1579" t="str">
        <f>LOOKUP(L1579,Sheet2!$S$4:$T$8)</f>
        <v>26-30</v>
      </c>
      <c r="N1579" s="1">
        <v>0.30399999999999999</v>
      </c>
      <c r="O1579" t="str">
        <f>LOOKUP(N1579,Sheet2!$V$4:$W$7)</f>
        <v>0.25 - 0.39</v>
      </c>
      <c r="P1579" s="1">
        <v>66</v>
      </c>
      <c r="Q1579" t="str">
        <f>LOOKUP(P1579,Sheet2!$Z$4:$AA$7)</f>
        <v>46+</v>
      </c>
      <c r="R1579" s="1">
        <v>0</v>
      </c>
      <c r="S1579" t="str">
        <f>IF(R1579=1,"Positive","Negative")</f>
        <v>Negative</v>
      </c>
      <c r="T1579" s="1" t="str">
        <f>IFERROR(VLOOKUP(A1579,[1]diabetes_Recognition!$A:$B,2,FALSE),"Not Sampled")</f>
        <v>Not Sampled</v>
      </c>
      <c r="U1579" t="str">
        <f>IF(T1579=1,"Positive",(IF(T1579=0,"Negative","Not Sampled")))</f>
        <v>Not Sampled</v>
      </c>
      <c r="V1579" s="1" t="str">
        <f>IF(U1579="Not Sampled","Not Sampled",IF(S1579=U1579,"Accurate Prediction","Inaccurate Prediction"))</f>
        <v>Not Sampled</v>
      </c>
    </row>
    <row r="1580" spans="1:22" x14ac:dyDescent="0.25">
      <c r="A1580" s="1">
        <v>1578</v>
      </c>
      <c r="B1580" s="1">
        <v>5</v>
      </c>
      <c r="C1580" s="1" t="str">
        <f>LOOKUP(B1580,Sheet2!$D$4:$E$9)</f>
        <v>5-7</v>
      </c>
      <c r="D1580" s="1">
        <v>110</v>
      </c>
      <c r="E1580" t="str">
        <f>LOOKUP(D1580,Sheet2!$G$4:$H$9)</f>
        <v>100-125</v>
      </c>
      <c r="F1580" s="1">
        <v>68</v>
      </c>
      <c r="G1580" t="str">
        <f>LOOKUP(F1580,Sheet2!$J$4:$K$8)</f>
        <v>60-69</v>
      </c>
      <c r="H1580" s="1">
        <v>0</v>
      </c>
      <c r="I1580" t="str">
        <f>LOOKUP(H1580,Sheet2!$M$4:$N$8)</f>
        <v>Unknown</v>
      </c>
      <c r="J1580" s="1">
        <v>0</v>
      </c>
      <c r="K1580" t="str">
        <f>LOOKUP(J1580,Sheet2!$P$4:$Q$9)</f>
        <v>Unknown</v>
      </c>
      <c r="L1580" s="1">
        <v>26</v>
      </c>
      <c r="M1580" t="str">
        <f>LOOKUP(L1580,Sheet2!$S$4:$T$8)</f>
        <v>26-30</v>
      </c>
      <c r="N1580" s="1">
        <v>0.29199999999999998</v>
      </c>
      <c r="O1580" t="str">
        <f>LOOKUP(N1580,Sheet2!$V$4:$W$7)</f>
        <v>0.25 - 0.39</v>
      </c>
      <c r="P1580" s="1">
        <v>30</v>
      </c>
      <c r="Q1580" t="str">
        <f>LOOKUP(P1580,Sheet2!$Z$4:$AA$7)</f>
        <v>26-35</v>
      </c>
      <c r="R1580" s="1">
        <v>0</v>
      </c>
      <c r="S1580" t="str">
        <f>IF(R1580=1,"Positive","Negative")</f>
        <v>Negative</v>
      </c>
      <c r="T1580" s="1" t="str">
        <f>IFERROR(VLOOKUP(A1580,[1]diabetes_Recognition!$A:$B,2,FALSE),"Not Sampled")</f>
        <v>Not Sampled</v>
      </c>
      <c r="U1580" t="str">
        <f>IF(T1580=1,"Positive",(IF(T1580=0,"Negative","Not Sampled")))</f>
        <v>Not Sampled</v>
      </c>
      <c r="V1580" s="1" t="str">
        <f>IF(U1580="Not Sampled","Not Sampled",IF(S1580=U1580,"Accurate Prediction","Inaccurate Prediction"))</f>
        <v>Not Sampled</v>
      </c>
    </row>
    <row r="1581" spans="1:22" x14ac:dyDescent="0.25">
      <c r="A1581" s="1">
        <v>1579</v>
      </c>
      <c r="B1581" s="1">
        <v>2</v>
      </c>
      <c r="C1581" s="1">
        <f>LOOKUP(B1581,Sheet2!$D$4:$E$9)</f>
        <v>2</v>
      </c>
      <c r="D1581" s="1">
        <v>81</v>
      </c>
      <c r="E1581" t="str">
        <f>LOOKUP(D1581,Sheet2!$G$4:$H$9)</f>
        <v>1-99</v>
      </c>
      <c r="F1581" s="1">
        <v>72</v>
      </c>
      <c r="G1581" t="str">
        <f>LOOKUP(F1581,Sheet2!$J$4:$K$8)</f>
        <v>70-79</v>
      </c>
      <c r="H1581" s="1">
        <v>15</v>
      </c>
      <c r="I1581" t="str">
        <f>LOOKUP(H1581,Sheet2!$M$4:$N$8)</f>
        <v>10-30</v>
      </c>
      <c r="J1581" s="1">
        <v>76</v>
      </c>
      <c r="K1581" t="str">
        <f>LOOKUP(J1581,Sheet2!$P$4:$Q$9)</f>
        <v>1-99</v>
      </c>
      <c r="L1581" s="1">
        <v>30.1</v>
      </c>
      <c r="M1581" t="str">
        <f>LOOKUP(L1581,Sheet2!$S$4:$T$8)</f>
        <v>26-30</v>
      </c>
      <c r="N1581" s="1">
        <v>0.54700000000000004</v>
      </c>
      <c r="O1581" t="str">
        <f>LOOKUP(N1581,Sheet2!$V$4:$W$7)</f>
        <v>0.4 - 0.69</v>
      </c>
      <c r="P1581" s="1">
        <v>25</v>
      </c>
      <c r="Q1581" t="str">
        <f>LOOKUP(P1581,Sheet2!$Z$4:$AA$7)</f>
        <v>&lt;=25</v>
      </c>
      <c r="R1581" s="1">
        <v>0</v>
      </c>
      <c r="S1581" t="str">
        <f>IF(R1581=1,"Positive","Negative")</f>
        <v>Negative</v>
      </c>
      <c r="T1581" s="1" t="str">
        <f>IFERROR(VLOOKUP(A1581,[1]diabetes_Recognition!$A:$B,2,FALSE),"Not Sampled")</f>
        <v>Not Sampled</v>
      </c>
      <c r="U1581" t="str">
        <f>IF(T1581=1,"Positive",(IF(T1581=0,"Negative","Not Sampled")))</f>
        <v>Not Sampled</v>
      </c>
      <c r="V1581" s="1" t="str">
        <f>IF(U1581="Not Sampled","Not Sampled",IF(S1581=U1581,"Accurate Prediction","Inaccurate Prediction"))</f>
        <v>Not Sampled</v>
      </c>
    </row>
    <row r="1582" spans="1:22" x14ac:dyDescent="0.25">
      <c r="A1582" s="1">
        <v>1580</v>
      </c>
      <c r="B1582" s="1">
        <v>7</v>
      </c>
      <c r="C1582" s="1" t="str">
        <f>LOOKUP(B1582,Sheet2!$D$4:$E$9)</f>
        <v>5-7</v>
      </c>
      <c r="D1582" s="1">
        <v>195</v>
      </c>
      <c r="E1582" t="str">
        <f>LOOKUP(D1582,Sheet2!$G$4:$H$9)</f>
        <v>176-200</v>
      </c>
      <c r="F1582" s="1">
        <v>70</v>
      </c>
      <c r="G1582" t="str">
        <f>LOOKUP(F1582,Sheet2!$J$4:$K$8)</f>
        <v>70-79</v>
      </c>
      <c r="H1582" s="1">
        <v>33</v>
      </c>
      <c r="I1582" t="str">
        <f>LOOKUP(H1582,Sheet2!$M$4:$N$8)</f>
        <v>30-39</v>
      </c>
      <c r="J1582" s="1">
        <v>145</v>
      </c>
      <c r="K1582" t="str">
        <f>LOOKUP(J1582,Sheet2!$P$4:$Q$9)</f>
        <v>100-199</v>
      </c>
      <c r="L1582" s="1">
        <v>25.1</v>
      </c>
      <c r="M1582" t="str">
        <f>LOOKUP(L1582,Sheet2!$S$4:$T$8)</f>
        <v>1-25</v>
      </c>
      <c r="N1582" s="1">
        <v>0.16300000000000001</v>
      </c>
      <c r="O1582" t="str">
        <f>LOOKUP(N1582,Sheet2!$V$4:$W$7)</f>
        <v>0.0 - 0.249</v>
      </c>
      <c r="P1582" s="1">
        <v>55</v>
      </c>
      <c r="Q1582" t="str">
        <f>LOOKUP(P1582,Sheet2!$Z$4:$AA$7)</f>
        <v>46+</v>
      </c>
      <c r="R1582" s="1">
        <v>1</v>
      </c>
      <c r="S1582" t="str">
        <f>IF(R1582=1,"Positive","Negative")</f>
        <v>Positive</v>
      </c>
      <c r="T1582" s="1" t="str">
        <f>IFERROR(VLOOKUP(A1582,[1]diabetes_Recognition!$A:$B,2,FALSE),"Not Sampled")</f>
        <v>Not Sampled</v>
      </c>
      <c r="U1582" t="str">
        <f>IF(T1582=1,"Positive",(IF(T1582=0,"Negative","Not Sampled")))</f>
        <v>Not Sampled</v>
      </c>
      <c r="V1582" s="1" t="str">
        <f>IF(U1582="Not Sampled","Not Sampled",IF(S1582=U1582,"Accurate Prediction","Inaccurate Prediction"))</f>
        <v>Not Sampled</v>
      </c>
    </row>
    <row r="1583" spans="1:22" x14ac:dyDescent="0.25">
      <c r="A1583" s="1">
        <v>1581</v>
      </c>
      <c r="B1583" s="1">
        <v>6</v>
      </c>
      <c r="C1583" s="1" t="str">
        <f>LOOKUP(B1583,Sheet2!$D$4:$E$9)</f>
        <v>5-7</v>
      </c>
      <c r="D1583" s="1">
        <v>154</v>
      </c>
      <c r="E1583" t="str">
        <f>LOOKUP(D1583,Sheet2!$G$4:$H$9)</f>
        <v>151-175</v>
      </c>
      <c r="F1583" s="1">
        <v>74</v>
      </c>
      <c r="G1583" t="str">
        <f>LOOKUP(F1583,Sheet2!$J$4:$K$8)</f>
        <v>70-79</v>
      </c>
      <c r="H1583" s="1">
        <v>32</v>
      </c>
      <c r="I1583" t="str">
        <f>LOOKUP(H1583,Sheet2!$M$4:$N$8)</f>
        <v>30-39</v>
      </c>
      <c r="J1583" s="1">
        <v>193</v>
      </c>
      <c r="K1583" t="str">
        <f>LOOKUP(J1583,Sheet2!$P$4:$Q$9)</f>
        <v>100-199</v>
      </c>
      <c r="L1583" s="1">
        <v>29.3</v>
      </c>
      <c r="M1583" t="str">
        <f>LOOKUP(L1583,Sheet2!$S$4:$T$8)</f>
        <v>26-30</v>
      </c>
      <c r="N1583" s="1">
        <v>0.83899999999999997</v>
      </c>
      <c r="O1583" t="str">
        <f>LOOKUP(N1583,Sheet2!$V$4:$W$7)</f>
        <v>0.7+</v>
      </c>
      <c r="P1583" s="1">
        <v>39</v>
      </c>
      <c r="Q1583" t="str">
        <f>LOOKUP(P1583,Sheet2!$Z$4:$AA$7)</f>
        <v>36-45</v>
      </c>
      <c r="R1583" s="1">
        <v>0</v>
      </c>
      <c r="S1583" t="str">
        <f>IF(R1583=1,"Positive","Negative")</f>
        <v>Negative</v>
      </c>
      <c r="T1583" s="1" t="str">
        <f>IFERROR(VLOOKUP(A1583,[1]diabetes_Recognition!$A:$B,2,FALSE),"Not Sampled")</f>
        <v>Not Sampled</v>
      </c>
      <c r="U1583" t="str">
        <f>IF(T1583=1,"Positive",(IF(T1583=0,"Negative","Not Sampled")))</f>
        <v>Not Sampled</v>
      </c>
      <c r="V1583" s="1" t="str">
        <f>IF(U1583="Not Sampled","Not Sampled",IF(S1583=U1583,"Accurate Prediction","Inaccurate Prediction"))</f>
        <v>Not Sampled</v>
      </c>
    </row>
    <row r="1584" spans="1:22" x14ac:dyDescent="0.25">
      <c r="A1584" s="1">
        <v>1582</v>
      </c>
      <c r="B1584" s="1">
        <v>0</v>
      </c>
      <c r="C1584" s="1">
        <f>LOOKUP(B1584,Sheet2!$D$4:$E$9)</f>
        <v>0</v>
      </c>
      <c r="D1584" s="1">
        <v>136</v>
      </c>
      <c r="E1584" t="str">
        <f>LOOKUP(D1584,Sheet2!$G$4:$H$9)</f>
        <v>126-150</v>
      </c>
      <c r="F1584" s="1">
        <v>74</v>
      </c>
      <c r="G1584" t="str">
        <f>LOOKUP(F1584,Sheet2!$J$4:$K$8)</f>
        <v>70-79</v>
      </c>
      <c r="H1584" s="1">
        <v>49</v>
      </c>
      <c r="I1584" t="str">
        <f>LOOKUP(H1584,Sheet2!$M$4:$N$8)</f>
        <v>40+</v>
      </c>
      <c r="J1584" s="1">
        <v>220</v>
      </c>
      <c r="K1584" t="str">
        <f>LOOKUP(J1584,Sheet2!$P$4:$Q$9)</f>
        <v>200-399</v>
      </c>
      <c r="L1584" s="1">
        <v>20.100000000000001</v>
      </c>
      <c r="M1584" t="str">
        <f>LOOKUP(L1584,Sheet2!$S$4:$T$8)</f>
        <v>1-25</v>
      </c>
      <c r="N1584" s="1">
        <v>0.82</v>
      </c>
      <c r="O1584" t="str">
        <f>LOOKUP(N1584,Sheet2!$V$4:$W$7)</f>
        <v>0.7+</v>
      </c>
      <c r="P1584" s="1">
        <v>44</v>
      </c>
      <c r="Q1584" t="str">
        <f>LOOKUP(P1584,Sheet2!$Z$4:$AA$7)</f>
        <v>36-45</v>
      </c>
      <c r="R1584" s="1">
        <v>1</v>
      </c>
      <c r="S1584" t="str">
        <f>IF(R1584=1,"Positive","Negative")</f>
        <v>Positive</v>
      </c>
      <c r="T1584" s="1">
        <f>IFERROR(VLOOKUP(A1584,[1]diabetes_Recognition!$A:$B,2,FALSE),"Not Sampled")</f>
        <v>0</v>
      </c>
      <c r="U1584" t="str">
        <f>IF(T1584=1,"Positive",(IF(T1584=0,"Negative","Not Sampled")))</f>
        <v>Negative</v>
      </c>
      <c r="V1584" s="1" t="str">
        <f>IF(U1584="Not Sampled","Not Sampled",IF(S1584=U1584,"Accurate Prediction","Inaccurate Prediction"))</f>
        <v>Inaccurate Prediction</v>
      </c>
    </row>
    <row r="1585" spans="1:22" x14ac:dyDescent="0.25">
      <c r="A1585" s="1">
        <v>1583</v>
      </c>
      <c r="B1585" s="1">
        <v>0</v>
      </c>
      <c r="C1585" s="1">
        <f>LOOKUP(B1585,Sheet2!$D$4:$E$9)</f>
        <v>0</v>
      </c>
      <c r="D1585" s="1">
        <v>126</v>
      </c>
      <c r="E1585" t="str">
        <f>LOOKUP(D1585,Sheet2!$G$4:$H$9)</f>
        <v>126-150</v>
      </c>
      <c r="F1585" s="1">
        <v>84</v>
      </c>
      <c r="G1585" t="str">
        <f>LOOKUP(F1585,Sheet2!$J$4:$K$8)</f>
        <v>80+</v>
      </c>
      <c r="H1585" s="1">
        <v>29</v>
      </c>
      <c r="I1585" t="str">
        <f>LOOKUP(H1585,Sheet2!$M$4:$N$8)</f>
        <v>10-30</v>
      </c>
      <c r="J1585" s="1">
        <v>215</v>
      </c>
      <c r="K1585" t="str">
        <f>LOOKUP(J1585,Sheet2!$P$4:$Q$9)</f>
        <v>200-399</v>
      </c>
      <c r="L1585" s="1">
        <v>30.7</v>
      </c>
      <c r="M1585" t="str">
        <f>LOOKUP(L1585,Sheet2!$S$4:$T$8)</f>
        <v>26-30</v>
      </c>
      <c r="N1585" s="1">
        <v>0.52</v>
      </c>
      <c r="O1585" t="str">
        <f>LOOKUP(N1585,Sheet2!$V$4:$W$7)</f>
        <v>0.4 - 0.69</v>
      </c>
      <c r="P1585" s="1">
        <v>24</v>
      </c>
      <c r="Q1585" t="str">
        <f>LOOKUP(P1585,Sheet2!$Z$4:$AA$7)</f>
        <v>&lt;=25</v>
      </c>
      <c r="R1585" s="1">
        <v>0</v>
      </c>
      <c r="S1585" t="str">
        <f>IF(R1585=1,"Positive","Negative")</f>
        <v>Negative</v>
      </c>
      <c r="T1585" s="1">
        <f>IFERROR(VLOOKUP(A1585,[1]diabetes_Recognition!$A:$B,2,FALSE),"Not Sampled")</f>
        <v>0</v>
      </c>
      <c r="U1585" t="str">
        <f>IF(T1585=1,"Positive",(IF(T1585=0,"Negative","Not Sampled")))</f>
        <v>Negative</v>
      </c>
      <c r="V1585" s="1" t="str">
        <f>IF(U1585="Not Sampled","Not Sampled",IF(S1585=U1585,"Accurate Prediction","Inaccurate Prediction"))</f>
        <v>Accurate Prediction</v>
      </c>
    </row>
    <row r="1586" spans="1:22" x14ac:dyDescent="0.25">
      <c r="A1586" s="1">
        <v>1584</v>
      </c>
      <c r="B1586" s="1">
        <v>0</v>
      </c>
      <c r="C1586" s="1">
        <f>LOOKUP(B1586,Sheet2!$D$4:$E$9)</f>
        <v>0</v>
      </c>
      <c r="D1586" s="1">
        <v>116</v>
      </c>
      <c r="E1586" t="str">
        <f>LOOKUP(D1586,Sheet2!$G$4:$H$9)</f>
        <v>100-125</v>
      </c>
      <c r="F1586" s="1">
        <v>64</v>
      </c>
      <c r="G1586" t="str">
        <f>LOOKUP(F1586,Sheet2!$J$4:$K$8)</f>
        <v>60-69</v>
      </c>
      <c r="H1586" s="1">
        <v>39</v>
      </c>
      <c r="I1586" t="str">
        <f>LOOKUP(H1586,Sheet2!$M$4:$N$8)</f>
        <v>30-39</v>
      </c>
      <c r="J1586" s="1">
        <v>225</v>
      </c>
      <c r="K1586" t="str">
        <f>LOOKUP(J1586,Sheet2!$P$4:$Q$9)</f>
        <v>200-399</v>
      </c>
      <c r="L1586" s="1">
        <v>40.200000000000003</v>
      </c>
      <c r="M1586" t="str">
        <f>LOOKUP(L1586,Sheet2!$S$4:$T$8)</f>
        <v>36+</v>
      </c>
      <c r="N1586" s="1">
        <v>0.72</v>
      </c>
      <c r="O1586" t="str">
        <f>LOOKUP(N1586,Sheet2!$V$4:$W$7)</f>
        <v>0.7+</v>
      </c>
      <c r="P1586" s="1">
        <v>50</v>
      </c>
      <c r="Q1586" t="str">
        <f>LOOKUP(P1586,Sheet2!$Z$4:$AA$7)</f>
        <v>46+</v>
      </c>
      <c r="R1586" s="1">
        <v>0</v>
      </c>
      <c r="S1586" t="str">
        <f>IF(R1586=1,"Positive","Negative")</f>
        <v>Negative</v>
      </c>
      <c r="T1586" s="1" t="str">
        <f>IFERROR(VLOOKUP(A1586,[1]diabetes_Recognition!$A:$B,2,FALSE),"Not Sampled")</f>
        <v>Not Sampled</v>
      </c>
      <c r="U1586" t="str">
        <f>IF(T1586=1,"Positive",(IF(T1586=0,"Negative","Not Sampled")))</f>
        <v>Not Sampled</v>
      </c>
      <c r="V1586" s="1" t="str">
        <f>IF(U1586="Not Sampled","Not Sampled",IF(S1586=U1586,"Accurate Prediction","Inaccurate Prediction"))</f>
        <v>Not Sampled</v>
      </c>
    </row>
    <row r="1587" spans="1:22" x14ac:dyDescent="0.25">
      <c r="A1587" s="1">
        <v>1585</v>
      </c>
      <c r="B1587" s="1">
        <v>2</v>
      </c>
      <c r="C1587" s="1">
        <f>LOOKUP(B1587,Sheet2!$D$4:$E$9)</f>
        <v>2</v>
      </c>
      <c r="D1587" s="1">
        <v>142</v>
      </c>
      <c r="E1587" t="str">
        <f>LOOKUP(D1587,Sheet2!$G$4:$H$9)</f>
        <v>126-150</v>
      </c>
      <c r="F1587" s="1">
        <v>94</v>
      </c>
      <c r="G1587" t="str">
        <f>LOOKUP(F1587,Sheet2!$J$4:$K$8)</f>
        <v>80+</v>
      </c>
      <c r="H1587" s="1">
        <v>59</v>
      </c>
      <c r="I1587" t="str">
        <f>LOOKUP(H1587,Sheet2!$M$4:$N$8)</f>
        <v>40+</v>
      </c>
      <c r="J1587" s="1">
        <v>177</v>
      </c>
      <c r="K1587" t="str">
        <f>LOOKUP(J1587,Sheet2!$P$4:$Q$9)</f>
        <v>100-199</v>
      </c>
      <c r="L1587" s="1">
        <v>38.299999999999997</v>
      </c>
      <c r="M1587" t="str">
        <f>LOOKUP(L1587,Sheet2!$S$4:$T$8)</f>
        <v>36+</v>
      </c>
      <c r="N1587" s="1">
        <v>0.62</v>
      </c>
      <c r="O1587" t="str">
        <f>LOOKUP(N1587,Sheet2!$V$4:$W$7)</f>
        <v>0.4 - 0.69</v>
      </c>
      <c r="P1587" s="1">
        <v>63</v>
      </c>
      <c r="Q1587" t="str">
        <f>LOOKUP(P1587,Sheet2!$Z$4:$AA$7)</f>
        <v>46+</v>
      </c>
      <c r="R1587" s="1">
        <v>1</v>
      </c>
      <c r="S1587" t="str">
        <f>IF(R1587=1,"Positive","Negative")</f>
        <v>Positive</v>
      </c>
      <c r="T1587" s="1" t="str">
        <f>IFERROR(VLOOKUP(A1587,[1]diabetes_Recognition!$A:$B,2,FALSE),"Not Sampled")</f>
        <v>Not Sampled</v>
      </c>
      <c r="U1587" t="str">
        <f>IF(T1587=1,"Positive",(IF(T1587=0,"Negative","Not Sampled")))</f>
        <v>Not Sampled</v>
      </c>
      <c r="V1587" s="1" t="str">
        <f>IF(U1587="Not Sampled","Not Sampled",IF(S1587=U1587,"Accurate Prediction","Inaccurate Prediction"))</f>
        <v>Not Sampled</v>
      </c>
    </row>
    <row r="1588" spans="1:22" x14ac:dyDescent="0.25">
      <c r="A1588" s="1">
        <v>1586</v>
      </c>
      <c r="B1588" s="1">
        <v>4</v>
      </c>
      <c r="C1588" s="1" t="str">
        <f>LOOKUP(B1588,Sheet2!$D$4:$E$9)</f>
        <v>3-4</v>
      </c>
      <c r="D1588" s="1">
        <v>183</v>
      </c>
      <c r="E1588" t="str">
        <f>LOOKUP(D1588,Sheet2!$G$4:$H$9)</f>
        <v>176-200</v>
      </c>
      <c r="F1588" s="1">
        <v>66</v>
      </c>
      <c r="G1588" t="str">
        <f>LOOKUP(F1588,Sheet2!$J$4:$K$8)</f>
        <v>60-69</v>
      </c>
      <c r="H1588" s="1">
        <v>0</v>
      </c>
      <c r="I1588" t="str">
        <f>LOOKUP(H1588,Sheet2!$M$4:$N$8)</f>
        <v>Unknown</v>
      </c>
      <c r="J1588" s="1">
        <v>215</v>
      </c>
      <c r="K1588" t="str">
        <f>LOOKUP(J1588,Sheet2!$P$4:$Q$9)</f>
        <v>200-399</v>
      </c>
      <c r="L1588" s="1">
        <v>80.599999999999994</v>
      </c>
      <c r="M1588" t="str">
        <f>LOOKUP(L1588,Sheet2!$S$4:$T$8)</f>
        <v>36+</v>
      </c>
      <c r="N1588" s="1">
        <v>0.65400000000000003</v>
      </c>
      <c r="O1588" t="str">
        <f>LOOKUP(N1588,Sheet2!$V$4:$W$7)</f>
        <v>0.4 - 0.69</v>
      </c>
      <c r="P1588" s="1">
        <v>40</v>
      </c>
      <c r="Q1588" t="str">
        <f>LOOKUP(P1588,Sheet2!$Z$4:$AA$7)</f>
        <v>36-45</v>
      </c>
      <c r="R1588" s="1">
        <v>0</v>
      </c>
      <c r="S1588" t="str">
        <f>IF(R1588=1,"Positive","Negative")</f>
        <v>Negative</v>
      </c>
      <c r="T1588" s="1" t="str">
        <f>IFERROR(VLOOKUP(A1588,[1]diabetes_Recognition!$A:$B,2,FALSE),"Not Sampled")</f>
        <v>Not Sampled</v>
      </c>
      <c r="U1588" t="str">
        <f>IF(T1588=1,"Positive",(IF(T1588=0,"Negative","Not Sampled")))</f>
        <v>Not Sampled</v>
      </c>
      <c r="V1588" s="1" t="str">
        <f>IF(U1588="Not Sampled","Not Sampled",IF(S1588=U1588,"Accurate Prediction","Inaccurate Prediction"))</f>
        <v>Not Sampled</v>
      </c>
    </row>
    <row r="1589" spans="1:22" x14ac:dyDescent="0.25">
      <c r="A1589" s="1">
        <v>1587</v>
      </c>
      <c r="B1589" s="1">
        <v>1</v>
      </c>
      <c r="C1589" s="1">
        <f>LOOKUP(B1589,Sheet2!$D$4:$E$9)</f>
        <v>1</v>
      </c>
      <c r="D1589" s="1">
        <v>100</v>
      </c>
      <c r="E1589" t="str">
        <f>LOOKUP(D1589,Sheet2!$G$4:$H$9)</f>
        <v>100-125</v>
      </c>
      <c r="F1589" s="1">
        <v>62</v>
      </c>
      <c r="G1589" t="str">
        <f>LOOKUP(F1589,Sheet2!$J$4:$K$8)</f>
        <v>60-69</v>
      </c>
      <c r="H1589" s="1">
        <v>0</v>
      </c>
      <c r="I1589" t="str">
        <f>LOOKUP(H1589,Sheet2!$M$4:$N$8)</f>
        <v>Unknown</v>
      </c>
      <c r="J1589" s="1">
        <v>0</v>
      </c>
      <c r="K1589" t="str">
        <f>LOOKUP(J1589,Sheet2!$P$4:$Q$9)</f>
        <v>Unknown</v>
      </c>
      <c r="L1589" s="1">
        <v>64.400000000000006</v>
      </c>
      <c r="M1589" t="str">
        <f>LOOKUP(L1589,Sheet2!$S$4:$T$8)</f>
        <v>36+</v>
      </c>
      <c r="N1589" s="1">
        <v>0.152</v>
      </c>
      <c r="O1589" t="str">
        <f>LOOKUP(N1589,Sheet2!$V$4:$W$7)</f>
        <v>0.0 - 0.249</v>
      </c>
      <c r="P1589" s="1">
        <v>36</v>
      </c>
      <c r="Q1589" t="str">
        <f>LOOKUP(P1589,Sheet2!$Z$4:$AA$7)</f>
        <v>36-45</v>
      </c>
      <c r="R1589" s="1">
        <v>0</v>
      </c>
      <c r="S1589" t="str">
        <f>IF(R1589=1,"Positive","Negative")</f>
        <v>Negative</v>
      </c>
      <c r="T1589" s="1" t="str">
        <f>IFERROR(VLOOKUP(A1589,[1]diabetes_Recognition!$A:$B,2,FALSE),"Not Sampled")</f>
        <v>Not Sampled</v>
      </c>
      <c r="U1589" t="str">
        <f>IF(T1589=1,"Positive",(IF(T1589=0,"Negative","Not Sampled")))</f>
        <v>Not Sampled</v>
      </c>
      <c r="V1589" s="1" t="str">
        <f>IF(U1589="Not Sampled","Not Sampled",IF(S1589=U1589,"Accurate Prediction","Inaccurate Prediction"))</f>
        <v>Not Sampled</v>
      </c>
    </row>
    <row r="1590" spans="1:22" x14ac:dyDescent="0.25">
      <c r="A1590" s="1">
        <v>1588</v>
      </c>
      <c r="B1590" s="1">
        <v>0</v>
      </c>
      <c r="C1590" s="1">
        <f>LOOKUP(B1590,Sheet2!$D$4:$E$9)</f>
        <v>0</v>
      </c>
      <c r="D1590" s="1">
        <v>163</v>
      </c>
      <c r="E1590" t="str">
        <f>LOOKUP(D1590,Sheet2!$G$4:$H$9)</f>
        <v>151-175</v>
      </c>
      <c r="F1590" s="1">
        <v>40</v>
      </c>
      <c r="G1590" t="str">
        <f>LOOKUP(F1590,Sheet2!$J$4:$K$8)</f>
        <v>1-59</v>
      </c>
      <c r="H1590" s="1">
        <v>23</v>
      </c>
      <c r="I1590" t="str">
        <f>LOOKUP(H1590,Sheet2!$M$4:$N$8)</f>
        <v>10-30</v>
      </c>
      <c r="J1590" s="1">
        <v>64</v>
      </c>
      <c r="K1590" t="str">
        <f>LOOKUP(J1590,Sheet2!$P$4:$Q$9)</f>
        <v>1-99</v>
      </c>
      <c r="L1590" s="1">
        <v>40.700000000000003</v>
      </c>
      <c r="M1590" t="str">
        <f>LOOKUP(L1590,Sheet2!$S$4:$T$8)</f>
        <v>36+</v>
      </c>
      <c r="N1590" s="1">
        <v>0.32200000000000001</v>
      </c>
      <c r="O1590" t="str">
        <f>LOOKUP(N1590,Sheet2!$V$4:$W$7)</f>
        <v>0.25 - 0.39</v>
      </c>
      <c r="P1590" s="1">
        <v>33</v>
      </c>
      <c r="Q1590" t="str">
        <f>LOOKUP(P1590,Sheet2!$Z$4:$AA$7)</f>
        <v>26-35</v>
      </c>
      <c r="R1590" s="1">
        <v>0</v>
      </c>
      <c r="S1590" t="str">
        <f>IF(R1590=1,"Positive","Negative")</f>
        <v>Negative</v>
      </c>
      <c r="T1590" s="1" t="str">
        <f>IFERROR(VLOOKUP(A1590,[1]diabetes_Recognition!$A:$B,2,FALSE),"Not Sampled")</f>
        <v>Not Sampled</v>
      </c>
      <c r="U1590" t="str">
        <f>IF(T1590=1,"Positive",(IF(T1590=0,"Negative","Not Sampled")))</f>
        <v>Not Sampled</v>
      </c>
      <c r="V1590" s="1" t="str">
        <f>IF(U1590="Not Sampled","Not Sampled",IF(S1590=U1590,"Accurate Prediction","Inaccurate Prediction"))</f>
        <v>Not Sampled</v>
      </c>
    </row>
    <row r="1591" spans="1:22" x14ac:dyDescent="0.25">
      <c r="A1591" s="1">
        <v>1589</v>
      </c>
      <c r="B1591" s="1">
        <v>6</v>
      </c>
      <c r="C1591" s="1" t="str">
        <f>LOOKUP(B1591,Sheet2!$D$4:$E$9)</f>
        <v>5-7</v>
      </c>
      <c r="D1591" s="1">
        <v>139</v>
      </c>
      <c r="E1591" t="str">
        <f>LOOKUP(D1591,Sheet2!$G$4:$H$9)</f>
        <v>126-150</v>
      </c>
      <c r="F1591" s="1">
        <v>84</v>
      </c>
      <c r="G1591" t="str">
        <f>LOOKUP(F1591,Sheet2!$J$4:$K$8)</f>
        <v>80+</v>
      </c>
      <c r="H1591" s="1">
        <v>37</v>
      </c>
      <c r="I1591" t="str">
        <f>LOOKUP(H1591,Sheet2!$M$4:$N$8)</f>
        <v>30-39</v>
      </c>
      <c r="J1591" s="1">
        <v>0</v>
      </c>
      <c r="K1591" t="str">
        <f>LOOKUP(J1591,Sheet2!$P$4:$Q$9)</f>
        <v>Unknown</v>
      </c>
      <c r="L1591" s="1">
        <v>50.7</v>
      </c>
      <c r="M1591" t="str">
        <f>LOOKUP(L1591,Sheet2!$S$4:$T$8)</f>
        <v>36+</v>
      </c>
      <c r="N1591" s="1">
        <v>0.32</v>
      </c>
      <c r="O1591" t="str">
        <f>LOOKUP(N1591,Sheet2!$V$4:$W$7)</f>
        <v>0.25 - 0.39</v>
      </c>
      <c r="P1591" s="1">
        <v>50</v>
      </c>
      <c r="Q1591" t="str">
        <f>LOOKUP(P1591,Sheet2!$Z$4:$AA$7)</f>
        <v>46+</v>
      </c>
      <c r="R1591" s="1">
        <v>1</v>
      </c>
      <c r="S1591" t="str">
        <f>IF(R1591=1,"Positive","Negative")</f>
        <v>Positive</v>
      </c>
      <c r="T1591" s="1" t="str">
        <f>IFERROR(VLOOKUP(A1591,[1]diabetes_Recognition!$A:$B,2,FALSE),"Not Sampled")</f>
        <v>Not Sampled</v>
      </c>
      <c r="U1591" t="str">
        <f>IF(T1591=1,"Positive",(IF(T1591=0,"Negative","Not Sampled")))</f>
        <v>Not Sampled</v>
      </c>
      <c r="V1591" s="1" t="str">
        <f>IF(U1591="Not Sampled","Not Sampled",IF(S1591=U1591,"Accurate Prediction","Inaccurate Prediction"))</f>
        <v>Not Sampled</v>
      </c>
    </row>
    <row r="1592" spans="1:22" x14ac:dyDescent="0.25">
      <c r="A1592" s="1">
        <v>1590</v>
      </c>
      <c r="B1592" s="1">
        <v>2</v>
      </c>
      <c r="C1592" s="1">
        <f>LOOKUP(B1592,Sheet2!$D$4:$E$9)</f>
        <v>2</v>
      </c>
      <c r="D1592" s="1">
        <v>167</v>
      </c>
      <c r="E1592" t="str">
        <f>LOOKUP(D1592,Sheet2!$G$4:$H$9)</f>
        <v>151-175</v>
      </c>
      <c r="F1592" s="1">
        <v>44</v>
      </c>
      <c r="G1592" t="str">
        <f>LOOKUP(F1592,Sheet2!$J$4:$K$8)</f>
        <v>1-59</v>
      </c>
      <c r="H1592" s="1">
        <v>30</v>
      </c>
      <c r="I1592" t="str">
        <f>LOOKUP(H1592,Sheet2!$M$4:$N$8)</f>
        <v>30-39</v>
      </c>
      <c r="J1592" s="1">
        <v>140</v>
      </c>
      <c r="K1592" t="str">
        <f>LOOKUP(J1592,Sheet2!$P$4:$Q$9)</f>
        <v>100-199</v>
      </c>
      <c r="L1592" s="1">
        <v>52.7</v>
      </c>
      <c r="M1592" t="str">
        <f>LOOKUP(L1592,Sheet2!$S$4:$T$8)</f>
        <v>36+</v>
      </c>
      <c r="N1592" s="1">
        <v>0.45200000000000001</v>
      </c>
      <c r="O1592" t="str">
        <f>LOOKUP(N1592,Sheet2!$V$4:$W$7)</f>
        <v>0.4 - 0.69</v>
      </c>
      <c r="P1592" s="1">
        <v>28</v>
      </c>
      <c r="Q1592" t="str">
        <f>LOOKUP(P1592,Sheet2!$Z$4:$AA$7)</f>
        <v>26-35</v>
      </c>
      <c r="R1592" s="1">
        <v>0</v>
      </c>
      <c r="S1592" t="str">
        <f>IF(R1592=1,"Positive","Negative")</f>
        <v>Negative</v>
      </c>
      <c r="T1592" s="1" t="str">
        <f>IFERROR(VLOOKUP(A1592,[1]diabetes_Recognition!$A:$B,2,FALSE),"Not Sampled")</f>
        <v>Not Sampled</v>
      </c>
      <c r="U1592" t="str">
        <f>IF(T1592=1,"Positive",(IF(T1592=0,"Negative","Not Sampled")))</f>
        <v>Not Sampled</v>
      </c>
      <c r="V1592" s="1" t="str">
        <f>IF(U1592="Not Sampled","Not Sampled",IF(S1592=U1592,"Accurate Prediction","Inaccurate Prediction"))</f>
        <v>Not Sampled</v>
      </c>
    </row>
    <row r="1593" spans="1:22" x14ac:dyDescent="0.25">
      <c r="A1593" s="1">
        <v>1591</v>
      </c>
      <c r="B1593" s="1">
        <v>3</v>
      </c>
      <c r="C1593" s="1" t="str">
        <f>LOOKUP(B1593,Sheet2!$D$4:$E$9)</f>
        <v>3-4</v>
      </c>
      <c r="D1593" s="1">
        <v>162</v>
      </c>
      <c r="E1593" t="str">
        <f>LOOKUP(D1593,Sheet2!$G$4:$H$9)</f>
        <v>151-175</v>
      </c>
      <c r="F1593" s="1">
        <v>0</v>
      </c>
      <c r="G1593" t="str">
        <f>LOOKUP(F1593,Sheet2!$J$4:$K$8)</f>
        <v>Unknown</v>
      </c>
      <c r="H1593" s="1">
        <v>110</v>
      </c>
      <c r="I1593" t="str">
        <f>LOOKUP(H1593,Sheet2!$M$4:$N$8)</f>
        <v>40+</v>
      </c>
      <c r="J1593" s="1">
        <v>215</v>
      </c>
      <c r="K1593" t="str">
        <f>LOOKUP(J1593,Sheet2!$P$4:$Q$9)</f>
        <v>200-399</v>
      </c>
      <c r="L1593" s="1">
        <v>48.7</v>
      </c>
      <c r="M1593" t="str">
        <f>LOOKUP(L1593,Sheet2!$S$4:$T$8)</f>
        <v>36+</v>
      </c>
      <c r="N1593" s="1">
        <v>0.52</v>
      </c>
      <c r="O1593" t="str">
        <f>LOOKUP(N1593,Sheet2!$V$4:$W$7)</f>
        <v>0.4 - 0.69</v>
      </c>
      <c r="P1593" s="1">
        <v>24</v>
      </c>
      <c r="Q1593" t="str">
        <f>LOOKUP(P1593,Sheet2!$Z$4:$AA$7)</f>
        <v>&lt;=25</v>
      </c>
      <c r="R1593" s="1">
        <v>0</v>
      </c>
      <c r="S1593" t="str">
        <f>IF(R1593=1,"Positive","Negative")</f>
        <v>Negative</v>
      </c>
      <c r="T1593" s="1" t="str">
        <f>IFERROR(VLOOKUP(A1593,[1]diabetes_Recognition!$A:$B,2,FALSE),"Not Sampled")</f>
        <v>Not Sampled</v>
      </c>
      <c r="U1593" t="str">
        <f>IF(T1593=1,"Positive",(IF(T1593=0,"Negative","Not Sampled")))</f>
        <v>Not Sampled</v>
      </c>
      <c r="V1593" s="1" t="str">
        <f>IF(U1593="Not Sampled","Not Sampled",IF(S1593=U1593,"Accurate Prediction","Inaccurate Prediction"))</f>
        <v>Not Sampled</v>
      </c>
    </row>
    <row r="1594" spans="1:22" x14ac:dyDescent="0.25">
      <c r="A1594" s="1">
        <v>1592</v>
      </c>
      <c r="B1594" s="1">
        <v>7</v>
      </c>
      <c r="C1594" s="1" t="str">
        <f>LOOKUP(B1594,Sheet2!$D$4:$E$9)</f>
        <v>5-7</v>
      </c>
      <c r="D1594" s="1">
        <v>178</v>
      </c>
      <c r="E1594" t="str">
        <f>LOOKUP(D1594,Sheet2!$G$4:$H$9)</f>
        <v>176-200</v>
      </c>
      <c r="F1594" s="1">
        <v>84</v>
      </c>
      <c r="G1594" t="str">
        <f>LOOKUP(F1594,Sheet2!$J$4:$K$8)</f>
        <v>80+</v>
      </c>
      <c r="H1594" s="1">
        <v>0</v>
      </c>
      <c r="I1594" t="str">
        <f>LOOKUP(H1594,Sheet2!$M$4:$N$8)</f>
        <v>Unknown</v>
      </c>
      <c r="J1594" s="1">
        <v>0</v>
      </c>
      <c r="K1594" t="str">
        <f>LOOKUP(J1594,Sheet2!$P$4:$Q$9)</f>
        <v>Unknown</v>
      </c>
      <c r="L1594" s="1">
        <v>39.9</v>
      </c>
      <c r="M1594" t="str">
        <f>LOOKUP(L1594,Sheet2!$S$4:$T$8)</f>
        <v>36+</v>
      </c>
      <c r="N1594" s="1">
        <v>0.33100000000000002</v>
      </c>
      <c r="O1594" t="str">
        <f>LOOKUP(N1594,Sheet2!$V$4:$W$7)</f>
        <v>0.25 - 0.39</v>
      </c>
      <c r="P1594" s="1">
        <v>41</v>
      </c>
      <c r="Q1594" t="str">
        <f>LOOKUP(P1594,Sheet2!$Z$4:$AA$7)</f>
        <v>36-45</v>
      </c>
      <c r="R1594" s="1">
        <v>1</v>
      </c>
      <c r="S1594" t="str">
        <f>IF(R1594=1,"Positive","Negative")</f>
        <v>Positive</v>
      </c>
      <c r="T1594" s="1" t="str">
        <f>IFERROR(VLOOKUP(A1594,[1]diabetes_Recognition!$A:$B,2,FALSE),"Not Sampled")</f>
        <v>Not Sampled</v>
      </c>
      <c r="U1594" t="str">
        <f>IF(T1594=1,"Positive",(IF(T1594=0,"Negative","Not Sampled")))</f>
        <v>Not Sampled</v>
      </c>
      <c r="V1594" s="1" t="str">
        <f>IF(U1594="Not Sampled","Not Sampled",IF(S1594=U1594,"Accurate Prediction","Inaccurate Prediction"))</f>
        <v>Not Sampled</v>
      </c>
    </row>
    <row r="1595" spans="1:22" x14ac:dyDescent="0.25">
      <c r="A1595" s="1">
        <v>1593</v>
      </c>
      <c r="B1595" s="1">
        <v>1</v>
      </c>
      <c r="C1595" s="1">
        <f>LOOKUP(B1595,Sheet2!$D$4:$E$9)</f>
        <v>1</v>
      </c>
      <c r="D1595" s="1">
        <v>130</v>
      </c>
      <c r="E1595" t="str">
        <f>LOOKUP(D1595,Sheet2!$G$4:$H$9)</f>
        <v>126-150</v>
      </c>
      <c r="F1595" s="1">
        <v>70</v>
      </c>
      <c r="G1595" t="str">
        <f>LOOKUP(F1595,Sheet2!$J$4:$K$8)</f>
        <v>70-79</v>
      </c>
      <c r="H1595" s="1">
        <v>13</v>
      </c>
      <c r="I1595" t="str">
        <f>LOOKUP(H1595,Sheet2!$M$4:$N$8)</f>
        <v>10-30</v>
      </c>
      <c r="J1595" s="1">
        <v>105</v>
      </c>
      <c r="K1595" t="str">
        <f>LOOKUP(J1595,Sheet2!$P$4:$Q$9)</f>
        <v>100-199</v>
      </c>
      <c r="L1595" s="1">
        <v>25.9</v>
      </c>
      <c r="M1595" t="str">
        <f>LOOKUP(L1595,Sheet2!$S$4:$T$8)</f>
        <v>1-25</v>
      </c>
      <c r="N1595" s="1">
        <v>0.47199999999999998</v>
      </c>
      <c r="O1595" t="str">
        <f>LOOKUP(N1595,Sheet2!$V$4:$W$7)</f>
        <v>0.4 - 0.69</v>
      </c>
      <c r="P1595" s="1">
        <v>22</v>
      </c>
      <c r="Q1595" t="str">
        <f>LOOKUP(P1595,Sheet2!$Z$4:$AA$7)</f>
        <v>&lt;=25</v>
      </c>
      <c r="R1595" s="1">
        <v>0</v>
      </c>
      <c r="S1595" t="str">
        <f>IF(R1595=1,"Positive","Negative")</f>
        <v>Negative</v>
      </c>
      <c r="T1595" s="1">
        <f>IFERROR(VLOOKUP(A1595,[1]diabetes_Recognition!$A:$B,2,FALSE),"Not Sampled")</f>
        <v>0</v>
      </c>
      <c r="U1595" t="str">
        <f>IF(T1595=1,"Positive",(IF(T1595=0,"Negative","Not Sampled")))</f>
        <v>Negative</v>
      </c>
      <c r="V1595" s="1" t="str">
        <f>IF(U1595="Not Sampled","Not Sampled",IF(S1595=U1595,"Accurate Prediction","Inaccurate Prediction"))</f>
        <v>Accurate Prediction</v>
      </c>
    </row>
    <row r="1596" spans="1:22" x14ac:dyDescent="0.25">
      <c r="A1596" s="1">
        <v>1594</v>
      </c>
      <c r="B1596" s="1">
        <v>1</v>
      </c>
      <c r="C1596" s="1">
        <f>LOOKUP(B1596,Sheet2!$D$4:$E$9)</f>
        <v>1</v>
      </c>
      <c r="D1596" s="1">
        <v>95</v>
      </c>
      <c r="E1596" t="str">
        <f>LOOKUP(D1596,Sheet2!$G$4:$H$9)</f>
        <v>1-99</v>
      </c>
      <c r="F1596" s="1">
        <v>74</v>
      </c>
      <c r="G1596" t="str">
        <f>LOOKUP(F1596,Sheet2!$J$4:$K$8)</f>
        <v>70-79</v>
      </c>
      <c r="H1596" s="1">
        <v>21</v>
      </c>
      <c r="I1596" t="str">
        <f>LOOKUP(H1596,Sheet2!$M$4:$N$8)</f>
        <v>10-30</v>
      </c>
      <c r="J1596" s="1">
        <v>73</v>
      </c>
      <c r="K1596" t="str">
        <f>LOOKUP(J1596,Sheet2!$P$4:$Q$9)</f>
        <v>1-99</v>
      </c>
      <c r="L1596" s="1">
        <v>25.9</v>
      </c>
      <c r="M1596" t="str">
        <f>LOOKUP(L1596,Sheet2!$S$4:$T$8)</f>
        <v>1-25</v>
      </c>
      <c r="N1596" s="1">
        <v>0.67300000000000004</v>
      </c>
      <c r="O1596" t="str">
        <f>LOOKUP(N1596,Sheet2!$V$4:$W$7)</f>
        <v>0.4 - 0.69</v>
      </c>
      <c r="P1596" s="1">
        <v>36</v>
      </c>
      <c r="Q1596" t="str">
        <f>LOOKUP(P1596,Sheet2!$Z$4:$AA$7)</f>
        <v>36-45</v>
      </c>
      <c r="R1596" s="1">
        <v>0</v>
      </c>
      <c r="S1596" t="str">
        <f>IF(R1596=1,"Positive","Negative")</f>
        <v>Negative</v>
      </c>
      <c r="T1596" s="1" t="str">
        <f>IFERROR(VLOOKUP(A1596,[1]diabetes_Recognition!$A:$B,2,FALSE),"Not Sampled")</f>
        <v>Not Sampled</v>
      </c>
      <c r="U1596" t="str">
        <f>IF(T1596=1,"Positive",(IF(T1596=0,"Negative","Not Sampled")))</f>
        <v>Not Sampled</v>
      </c>
      <c r="V1596" s="1" t="str">
        <f>IF(U1596="Not Sampled","Not Sampled",IF(S1596=U1596,"Accurate Prediction","Inaccurate Prediction"))</f>
        <v>Not Sampled</v>
      </c>
    </row>
    <row r="1597" spans="1:22" x14ac:dyDescent="0.25">
      <c r="A1597" s="1">
        <v>1595</v>
      </c>
      <c r="B1597" s="1">
        <v>1</v>
      </c>
      <c r="C1597" s="1">
        <f>LOOKUP(B1597,Sheet2!$D$4:$E$9)</f>
        <v>1</v>
      </c>
      <c r="D1597" s="1">
        <v>0</v>
      </c>
      <c r="E1597" t="str">
        <f>LOOKUP(D1597,Sheet2!$G$4:$H$9)</f>
        <v>Unknown</v>
      </c>
      <c r="F1597" s="1">
        <v>68</v>
      </c>
      <c r="G1597" t="str">
        <f>LOOKUP(F1597,Sheet2!$J$4:$K$8)</f>
        <v>60-69</v>
      </c>
      <c r="H1597" s="1">
        <v>35</v>
      </c>
      <c r="I1597" t="str">
        <f>LOOKUP(H1597,Sheet2!$M$4:$N$8)</f>
        <v>30-39</v>
      </c>
      <c r="J1597" s="1">
        <v>0</v>
      </c>
      <c r="K1597" t="str">
        <f>LOOKUP(J1597,Sheet2!$P$4:$Q$9)</f>
        <v>Unknown</v>
      </c>
      <c r="L1597" s="1">
        <v>32</v>
      </c>
      <c r="M1597" t="str">
        <f>LOOKUP(L1597,Sheet2!$S$4:$T$8)</f>
        <v>31-35</v>
      </c>
      <c r="N1597" s="1">
        <v>0.38900000000000001</v>
      </c>
      <c r="O1597" t="str">
        <f>LOOKUP(N1597,Sheet2!$V$4:$W$7)</f>
        <v>0.25 - 0.39</v>
      </c>
      <c r="P1597" s="1">
        <v>22</v>
      </c>
      <c r="Q1597" t="str">
        <f>LOOKUP(P1597,Sheet2!$Z$4:$AA$7)</f>
        <v>&lt;=25</v>
      </c>
      <c r="R1597" s="1">
        <v>0</v>
      </c>
      <c r="S1597" t="str">
        <f>IF(R1597=1,"Positive","Negative")</f>
        <v>Negative</v>
      </c>
      <c r="T1597" s="1">
        <f>IFERROR(VLOOKUP(A1597,[1]diabetes_Recognition!$A:$B,2,FALSE),"Not Sampled")</f>
        <v>0</v>
      </c>
      <c r="U1597" t="str">
        <f>IF(T1597=1,"Positive",(IF(T1597=0,"Negative","Not Sampled")))</f>
        <v>Negative</v>
      </c>
      <c r="V1597" s="1" t="str">
        <f>IF(U1597="Not Sampled","Not Sampled",IF(S1597=U1597,"Accurate Prediction","Inaccurate Prediction"))</f>
        <v>Accurate Prediction</v>
      </c>
    </row>
    <row r="1598" spans="1:22" x14ac:dyDescent="0.25">
      <c r="A1598" s="1">
        <v>1596</v>
      </c>
      <c r="B1598" s="1">
        <v>5</v>
      </c>
      <c r="C1598" s="1" t="str">
        <f>LOOKUP(B1598,Sheet2!$D$4:$E$9)</f>
        <v>5-7</v>
      </c>
      <c r="D1598" s="1">
        <v>122</v>
      </c>
      <c r="E1598" t="str">
        <f>LOOKUP(D1598,Sheet2!$G$4:$H$9)</f>
        <v>100-125</v>
      </c>
      <c r="F1598" s="1">
        <v>86</v>
      </c>
      <c r="G1598" t="str">
        <f>LOOKUP(F1598,Sheet2!$J$4:$K$8)</f>
        <v>80+</v>
      </c>
      <c r="H1598" s="1">
        <v>0</v>
      </c>
      <c r="I1598" t="str">
        <f>LOOKUP(H1598,Sheet2!$M$4:$N$8)</f>
        <v>Unknown</v>
      </c>
      <c r="J1598" s="1">
        <v>0</v>
      </c>
      <c r="K1598" t="str">
        <f>LOOKUP(J1598,Sheet2!$P$4:$Q$9)</f>
        <v>Unknown</v>
      </c>
      <c r="L1598" s="1">
        <v>34.700000000000003</v>
      </c>
      <c r="M1598" t="str">
        <f>LOOKUP(L1598,Sheet2!$S$4:$T$8)</f>
        <v>31-35</v>
      </c>
      <c r="N1598" s="1">
        <v>0.28999999999999998</v>
      </c>
      <c r="O1598" t="str">
        <f>LOOKUP(N1598,Sheet2!$V$4:$W$7)</f>
        <v>0.25 - 0.39</v>
      </c>
      <c r="P1598" s="1">
        <v>33</v>
      </c>
      <c r="Q1598" t="str">
        <f>LOOKUP(P1598,Sheet2!$Z$4:$AA$7)</f>
        <v>26-35</v>
      </c>
      <c r="R1598" s="1">
        <v>0</v>
      </c>
      <c r="S1598" t="str">
        <f>IF(R1598=1,"Positive","Negative")</f>
        <v>Negative</v>
      </c>
      <c r="T1598" s="1" t="str">
        <f>IFERROR(VLOOKUP(A1598,[1]diabetes_Recognition!$A:$B,2,FALSE),"Not Sampled")</f>
        <v>Not Sampled</v>
      </c>
      <c r="U1598" t="str">
        <f>IF(T1598=1,"Positive",(IF(T1598=0,"Negative","Not Sampled")))</f>
        <v>Not Sampled</v>
      </c>
      <c r="V1598" s="1" t="str">
        <f>IF(U1598="Not Sampled","Not Sampled",IF(S1598=U1598,"Accurate Prediction","Inaccurate Prediction"))</f>
        <v>Not Sampled</v>
      </c>
    </row>
    <row r="1599" spans="1:22" x14ac:dyDescent="0.25">
      <c r="A1599" s="1">
        <v>1597</v>
      </c>
      <c r="B1599" s="1">
        <v>8</v>
      </c>
      <c r="C1599" s="1" t="str">
        <f>LOOKUP(B1599,Sheet2!$D$4:$E$9)</f>
        <v>8+</v>
      </c>
      <c r="D1599" s="1">
        <v>95</v>
      </c>
      <c r="E1599" t="str">
        <f>LOOKUP(D1599,Sheet2!$G$4:$H$9)</f>
        <v>1-99</v>
      </c>
      <c r="F1599" s="1">
        <v>72</v>
      </c>
      <c r="G1599" t="str">
        <f>LOOKUP(F1599,Sheet2!$J$4:$K$8)</f>
        <v>70-79</v>
      </c>
      <c r="H1599" s="1">
        <v>0</v>
      </c>
      <c r="I1599" t="str">
        <f>LOOKUP(H1599,Sheet2!$M$4:$N$8)</f>
        <v>Unknown</v>
      </c>
      <c r="J1599" s="1">
        <v>0</v>
      </c>
      <c r="K1599" t="str">
        <f>LOOKUP(J1599,Sheet2!$P$4:$Q$9)</f>
        <v>Unknown</v>
      </c>
      <c r="L1599" s="1">
        <v>36.799999999999997</v>
      </c>
      <c r="M1599" t="str">
        <f>LOOKUP(L1599,Sheet2!$S$4:$T$8)</f>
        <v>36+</v>
      </c>
      <c r="N1599" s="1">
        <v>0.48499999999999999</v>
      </c>
      <c r="O1599" t="str">
        <f>LOOKUP(N1599,Sheet2!$V$4:$W$7)</f>
        <v>0.4 - 0.69</v>
      </c>
      <c r="P1599" s="1">
        <v>57</v>
      </c>
      <c r="Q1599" t="str">
        <f>LOOKUP(P1599,Sheet2!$Z$4:$AA$7)</f>
        <v>46+</v>
      </c>
      <c r="R1599" s="1">
        <v>0</v>
      </c>
      <c r="S1599" t="str">
        <f>IF(R1599=1,"Positive","Negative")</f>
        <v>Negative</v>
      </c>
      <c r="T1599" s="1" t="str">
        <f>IFERROR(VLOOKUP(A1599,[1]diabetes_Recognition!$A:$B,2,FALSE),"Not Sampled")</f>
        <v>Not Sampled</v>
      </c>
      <c r="U1599" t="str">
        <f>IF(T1599=1,"Positive",(IF(T1599=0,"Negative","Not Sampled")))</f>
        <v>Not Sampled</v>
      </c>
      <c r="V1599" s="1" t="str">
        <f>IF(U1599="Not Sampled","Not Sampled",IF(S1599=U1599,"Accurate Prediction","Inaccurate Prediction"))</f>
        <v>Not Sampled</v>
      </c>
    </row>
    <row r="1600" spans="1:22" x14ac:dyDescent="0.25">
      <c r="A1600" s="1">
        <v>1598</v>
      </c>
      <c r="B1600" s="1">
        <v>8</v>
      </c>
      <c r="C1600" s="1" t="str">
        <f>LOOKUP(B1600,Sheet2!$D$4:$E$9)</f>
        <v>8+</v>
      </c>
      <c r="D1600" s="1">
        <v>126</v>
      </c>
      <c r="E1600" t="str">
        <f>LOOKUP(D1600,Sheet2!$G$4:$H$9)</f>
        <v>126-150</v>
      </c>
      <c r="F1600" s="1">
        <v>88</v>
      </c>
      <c r="G1600" t="str">
        <f>LOOKUP(F1600,Sheet2!$J$4:$K$8)</f>
        <v>80+</v>
      </c>
      <c r="H1600" s="1">
        <v>36</v>
      </c>
      <c r="I1600" t="str">
        <f>LOOKUP(H1600,Sheet2!$M$4:$N$8)</f>
        <v>30-39</v>
      </c>
      <c r="J1600" s="1">
        <v>108</v>
      </c>
      <c r="K1600" t="str">
        <f>LOOKUP(J1600,Sheet2!$P$4:$Q$9)</f>
        <v>100-199</v>
      </c>
      <c r="L1600" s="1">
        <v>38.5</v>
      </c>
      <c r="M1600" t="str">
        <f>LOOKUP(L1600,Sheet2!$S$4:$T$8)</f>
        <v>36+</v>
      </c>
      <c r="N1600" s="1">
        <v>0.34899999999999998</v>
      </c>
      <c r="O1600" t="str">
        <f>LOOKUP(N1600,Sheet2!$V$4:$W$7)</f>
        <v>0.25 - 0.39</v>
      </c>
      <c r="P1600" s="1">
        <v>49</v>
      </c>
      <c r="Q1600" t="str">
        <f>LOOKUP(P1600,Sheet2!$Z$4:$AA$7)</f>
        <v>46+</v>
      </c>
      <c r="R1600" s="1">
        <v>0</v>
      </c>
      <c r="S1600" t="str">
        <f>IF(R1600=1,"Positive","Negative")</f>
        <v>Negative</v>
      </c>
      <c r="T1600" s="1" t="str">
        <f>IFERROR(VLOOKUP(A1600,[1]diabetes_Recognition!$A:$B,2,FALSE),"Not Sampled")</f>
        <v>Not Sampled</v>
      </c>
      <c r="U1600" t="str">
        <f>IF(T1600=1,"Positive",(IF(T1600=0,"Negative","Not Sampled")))</f>
        <v>Not Sampled</v>
      </c>
      <c r="V1600" s="1" t="str">
        <f>IF(U1600="Not Sampled","Not Sampled",IF(S1600=U1600,"Accurate Prediction","Inaccurate Prediction"))</f>
        <v>Not Sampled</v>
      </c>
    </row>
    <row r="1601" spans="1:22" x14ac:dyDescent="0.25">
      <c r="A1601" s="1">
        <v>1599</v>
      </c>
      <c r="B1601" s="1">
        <v>1</v>
      </c>
      <c r="C1601" s="1">
        <f>LOOKUP(B1601,Sheet2!$D$4:$E$9)</f>
        <v>1</v>
      </c>
      <c r="D1601" s="1">
        <v>139</v>
      </c>
      <c r="E1601" t="str">
        <f>LOOKUP(D1601,Sheet2!$G$4:$H$9)</f>
        <v>126-150</v>
      </c>
      <c r="F1601" s="1">
        <v>46</v>
      </c>
      <c r="G1601" t="str">
        <f>LOOKUP(F1601,Sheet2!$J$4:$K$8)</f>
        <v>1-59</v>
      </c>
      <c r="H1601" s="1">
        <v>19</v>
      </c>
      <c r="I1601" t="str">
        <f>LOOKUP(H1601,Sheet2!$M$4:$N$8)</f>
        <v>10-30</v>
      </c>
      <c r="J1601" s="1">
        <v>83</v>
      </c>
      <c r="K1601" t="str">
        <f>LOOKUP(J1601,Sheet2!$P$4:$Q$9)</f>
        <v>1-99</v>
      </c>
      <c r="L1601" s="1">
        <v>28.7</v>
      </c>
      <c r="M1601" t="str">
        <f>LOOKUP(L1601,Sheet2!$S$4:$T$8)</f>
        <v>26-30</v>
      </c>
      <c r="N1601" s="1">
        <v>0.65400000000000003</v>
      </c>
      <c r="O1601" t="str">
        <f>LOOKUP(N1601,Sheet2!$V$4:$W$7)</f>
        <v>0.4 - 0.69</v>
      </c>
      <c r="P1601" s="1">
        <v>22</v>
      </c>
      <c r="Q1601" t="str">
        <f>LOOKUP(P1601,Sheet2!$Z$4:$AA$7)</f>
        <v>&lt;=25</v>
      </c>
      <c r="R1601" s="1">
        <v>0</v>
      </c>
      <c r="S1601" t="str">
        <f>IF(R1601=1,"Positive","Negative")</f>
        <v>Negative</v>
      </c>
      <c r="T1601" s="1" t="str">
        <f>IFERROR(VLOOKUP(A1601,[1]diabetes_Recognition!$A:$B,2,FALSE),"Not Sampled")</f>
        <v>Not Sampled</v>
      </c>
      <c r="U1601" t="str">
        <f>IF(T1601=1,"Positive",(IF(T1601=0,"Negative","Not Sampled")))</f>
        <v>Not Sampled</v>
      </c>
      <c r="V1601" s="1" t="str">
        <f>IF(U1601="Not Sampled","Not Sampled",IF(S1601=U1601,"Accurate Prediction","Inaccurate Prediction"))</f>
        <v>Not Sampled</v>
      </c>
    </row>
    <row r="1602" spans="1:22" x14ac:dyDescent="0.25">
      <c r="A1602" s="1">
        <v>1600</v>
      </c>
      <c r="B1602" s="1">
        <v>3</v>
      </c>
      <c r="C1602" s="1" t="str">
        <f>LOOKUP(B1602,Sheet2!$D$4:$E$9)</f>
        <v>3-4</v>
      </c>
      <c r="D1602" s="1">
        <v>116</v>
      </c>
      <c r="E1602" t="str">
        <f>LOOKUP(D1602,Sheet2!$G$4:$H$9)</f>
        <v>100-125</v>
      </c>
      <c r="F1602" s="1">
        <v>0</v>
      </c>
      <c r="G1602" t="str">
        <f>LOOKUP(F1602,Sheet2!$J$4:$K$8)</f>
        <v>Unknown</v>
      </c>
      <c r="H1602" s="1">
        <v>0</v>
      </c>
      <c r="I1602" t="str">
        <f>LOOKUP(H1602,Sheet2!$M$4:$N$8)</f>
        <v>Unknown</v>
      </c>
      <c r="J1602" s="1">
        <v>0</v>
      </c>
      <c r="K1602" t="str">
        <f>LOOKUP(J1602,Sheet2!$P$4:$Q$9)</f>
        <v>Unknown</v>
      </c>
      <c r="L1602" s="1">
        <v>23.5</v>
      </c>
      <c r="M1602" t="str">
        <f>LOOKUP(L1602,Sheet2!$S$4:$T$8)</f>
        <v>1-25</v>
      </c>
      <c r="N1602" s="1">
        <v>0.187</v>
      </c>
      <c r="O1602" t="str">
        <f>LOOKUP(N1602,Sheet2!$V$4:$W$7)</f>
        <v>0.0 - 0.249</v>
      </c>
      <c r="P1602" s="1">
        <v>23</v>
      </c>
      <c r="Q1602" t="str">
        <f>LOOKUP(P1602,Sheet2!$Z$4:$AA$7)</f>
        <v>&lt;=25</v>
      </c>
      <c r="R1602" s="1">
        <v>0</v>
      </c>
      <c r="S1602" t="str">
        <f>IF(R1602=1,"Positive","Negative")</f>
        <v>Negative</v>
      </c>
      <c r="T1602" s="1" t="str">
        <f>IFERROR(VLOOKUP(A1602,[1]diabetes_Recognition!$A:$B,2,FALSE),"Not Sampled")</f>
        <v>Not Sampled</v>
      </c>
      <c r="U1602" t="str">
        <f>IF(T1602=1,"Positive",(IF(T1602=0,"Negative","Not Sampled")))</f>
        <v>Not Sampled</v>
      </c>
      <c r="V1602" s="1" t="str">
        <f>IF(U1602="Not Sampled","Not Sampled",IF(S1602=U1602,"Accurate Prediction","Inaccurate Prediction"))</f>
        <v>Not Sampled</v>
      </c>
    </row>
    <row r="1603" spans="1:22" x14ac:dyDescent="0.25">
      <c r="A1603" s="1">
        <v>1601</v>
      </c>
      <c r="B1603" s="1">
        <v>3</v>
      </c>
      <c r="C1603" s="1" t="str">
        <f>LOOKUP(B1603,Sheet2!$D$4:$E$9)</f>
        <v>3-4</v>
      </c>
      <c r="D1603" s="1">
        <v>99</v>
      </c>
      <c r="E1603" t="str">
        <f>LOOKUP(D1603,Sheet2!$G$4:$H$9)</f>
        <v>1-99</v>
      </c>
      <c r="F1603" s="1">
        <v>62</v>
      </c>
      <c r="G1603" t="str">
        <f>LOOKUP(F1603,Sheet2!$J$4:$K$8)</f>
        <v>60-69</v>
      </c>
      <c r="H1603" s="1">
        <v>19</v>
      </c>
      <c r="I1603" t="str">
        <f>LOOKUP(H1603,Sheet2!$M$4:$N$8)</f>
        <v>10-30</v>
      </c>
      <c r="J1603" s="1">
        <v>74</v>
      </c>
      <c r="K1603" t="str">
        <f>LOOKUP(J1603,Sheet2!$P$4:$Q$9)</f>
        <v>1-99</v>
      </c>
      <c r="L1603" s="1">
        <v>21.8</v>
      </c>
      <c r="M1603" t="str">
        <f>LOOKUP(L1603,Sheet2!$S$4:$T$8)</f>
        <v>1-25</v>
      </c>
      <c r="N1603" s="1">
        <v>0.27900000000000003</v>
      </c>
      <c r="O1603" t="str">
        <f>LOOKUP(N1603,Sheet2!$V$4:$W$7)</f>
        <v>0.25 - 0.39</v>
      </c>
      <c r="P1603" s="1">
        <v>26</v>
      </c>
      <c r="Q1603" t="str">
        <f>LOOKUP(P1603,Sheet2!$Z$4:$AA$7)</f>
        <v>26-35</v>
      </c>
      <c r="R1603" s="1">
        <v>0</v>
      </c>
      <c r="S1603" t="str">
        <f>IF(R1603=1,"Positive","Negative")</f>
        <v>Negative</v>
      </c>
      <c r="T1603" s="1" t="str">
        <f>IFERROR(VLOOKUP(A1603,[1]diabetes_Recognition!$A:$B,2,FALSE),"Not Sampled")</f>
        <v>Not Sampled</v>
      </c>
      <c r="U1603" t="str">
        <f>IF(T1603=1,"Positive",(IF(T1603=0,"Negative","Not Sampled")))</f>
        <v>Not Sampled</v>
      </c>
      <c r="V1603" s="1" t="str">
        <f>IF(U1603="Not Sampled","Not Sampled",IF(S1603=U1603,"Accurate Prediction","Inaccurate Prediction"))</f>
        <v>Not Sampled</v>
      </c>
    </row>
    <row r="1604" spans="1:22" x14ac:dyDescent="0.25">
      <c r="A1604" s="1">
        <v>1602</v>
      </c>
      <c r="B1604" s="1">
        <v>5</v>
      </c>
      <c r="C1604" s="1" t="str">
        <f>LOOKUP(B1604,Sheet2!$D$4:$E$9)</f>
        <v>5-7</v>
      </c>
      <c r="D1604" s="1">
        <v>0</v>
      </c>
      <c r="E1604" t="str">
        <f>LOOKUP(D1604,Sheet2!$G$4:$H$9)</f>
        <v>Unknown</v>
      </c>
      <c r="F1604" s="1">
        <v>80</v>
      </c>
      <c r="G1604" t="str">
        <f>LOOKUP(F1604,Sheet2!$J$4:$K$8)</f>
        <v>80+</v>
      </c>
      <c r="H1604" s="1">
        <v>32</v>
      </c>
      <c r="I1604" t="str">
        <f>LOOKUP(H1604,Sheet2!$M$4:$N$8)</f>
        <v>30-39</v>
      </c>
      <c r="J1604" s="1">
        <v>0</v>
      </c>
      <c r="K1604" t="str">
        <f>LOOKUP(J1604,Sheet2!$P$4:$Q$9)</f>
        <v>Unknown</v>
      </c>
      <c r="L1604" s="1">
        <v>41</v>
      </c>
      <c r="M1604" t="str">
        <f>LOOKUP(L1604,Sheet2!$S$4:$T$8)</f>
        <v>36+</v>
      </c>
      <c r="N1604" s="1">
        <v>0.34599999999999997</v>
      </c>
      <c r="O1604" t="str">
        <f>LOOKUP(N1604,Sheet2!$V$4:$W$7)</f>
        <v>0.25 - 0.39</v>
      </c>
      <c r="P1604" s="1">
        <v>37</v>
      </c>
      <c r="Q1604" t="str">
        <f>LOOKUP(P1604,Sheet2!$Z$4:$AA$7)</f>
        <v>36-45</v>
      </c>
      <c r="R1604" s="1">
        <v>1</v>
      </c>
      <c r="S1604" t="str">
        <f>IF(R1604=1,"Positive","Negative")</f>
        <v>Positive</v>
      </c>
      <c r="T1604" s="1">
        <f>IFERROR(VLOOKUP(A1604,[1]diabetes_Recognition!$A:$B,2,FALSE),"Not Sampled")</f>
        <v>0</v>
      </c>
      <c r="U1604" t="str">
        <f>IF(T1604=1,"Positive",(IF(T1604=0,"Negative","Not Sampled")))</f>
        <v>Negative</v>
      </c>
      <c r="V1604" s="1" t="str">
        <f>IF(U1604="Not Sampled","Not Sampled",IF(S1604=U1604,"Accurate Prediction","Inaccurate Prediction"))</f>
        <v>Inaccurate Prediction</v>
      </c>
    </row>
    <row r="1605" spans="1:22" x14ac:dyDescent="0.25">
      <c r="A1605" s="1">
        <v>1603</v>
      </c>
      <c r="B1605" s="1">
        <v>4</v>
      </c>
      <c r="C1605" s="1" t="str">
        <f>LOOKUP(B1605,Sheet2!$D$4:$E$9)</f>
        <v>3-4</v>
      </c>
      <c r="D1605" s="1">
        <v>92</v>
      </c>
      <c r="E1605" t="str">
        <f>LOOKUP(D1605,Sheet2!$G$4:$H$9)</f>
        <v>1-99</v>
      </c>
      <c r="F1605" s="1">
        <v>80</v>
      </c>
      <c r="G1605" t="str">
        <f>LOOKUP(F1605,Sheet2!$J$4:$K$8)</f>
        <v>80+</v>
      </c>
      <c r="H1605" s="1">
        <v>0</v>
      </c>
      <c r="I1605" t="str">
        <f>LOOKUP(H1605,Sheet2!$M$4:$N$8)</f>
        <v>Unknown</v>
      </c>
      <c r="J1605" s="1">
        <v>0</v>
      </c>
      <c r="K1605" t="str">
        <f>LOOKUP(J1605,Sheet2!$P$4:$Q$9)</f>
        <v>Unknown</v>
      </c>
      <c r="L1605" s="1">
        <v>42.2</v>
      </c>
      <c r="M1605" t="str">
        <f>LOOKUP(L1605,Sheet2!$S$4:$T$8)</f>
        <v>36+</v>
      </c>
      <c r="N1605" s="1">
        <v>0.23699999999999999</v>
      </c>
      <c r="O1605" t="str">
        <f>LOOKUP(N1605,Sheet2!$V$4:$W$7)</f>
        <v>0.0 - 0.249</v>
      </c>
      <c r="P1605" s="1">
        <v>29</v>
      </c>
      <c r="Q1605" t="str">
        <f>LOOKUP(P1605,Sheet2!$Z$4:$AA$7)</f>
        <v>26-35</v>
      </c>
      <c r="R1605" s="1">
        <v>0</v>
      </c>
      <c r="S1605" t="str">
        <f>IF(R1605=1,"Positive","Negative")</f>
        <v>Negative</v>
      </c>
      <c r="T1605" s="1" t="str">
        <f>IFERROR(VLOOKUP(A1605,[1]diabetes_Recognition!$A:$B,2,FALSE),"Not Sampled")</f>
        <v>Not Sampled</v>
      </c>
      <c r="U1605" t="str">
        <f>IF(T1605=1,"Positive",(IF(T1605=0,"Negative","Not Sampled")))</f>
        <v>Not Sampled</v>
      </c>
      <c r="V1605" s="1" t="str">
        <f>IF(U1605="Not Sampled","Not Sampled",IF(S1605=U1605,"Accurate Prediction","Inaccurate Prediction"))</f>
        <v>Not Sampled</v>
      </c>
    </row>
    <row r="1606" spans="1:22" x14ac:dyDescent="0.25">
      <c r="A1606" s="1">
        <v>1604</v>
      </c>
      <c r="B1606" s="1">
        <v>4</v>
      </c>
      <c r="C1606" s="1" t="str">
        <f>LOOKUP(B1606,Sheet2!$D$4:$E$9)</f>
        <v>3-4</v>
      </c>
      <c r="D1606" s="1">
        <v>137</v>
      </c>
      <c r="E1606" t="str">
        <f>LOOKUP(D1606,Sheet2!$G$4:$H$9)</f>
        <v>126-150</v>
      </c>
      <c r="F1606" s="1">
        <v>84</v>
      </c>
      <c r="G1606" t="str">
        <f>LOOKUP(F1606,Sheet2!$J$4:$K$8)</f>
        <v>80+</v>
      </c>
      <c r="H1606" s="1">
        <v>0</v>
      </c>
      <c r="I1606" t="str">
        <f>LOOKUP(H1606,Sheet2!$M$4:$N$8)</f>
        <v>Unknown</v>
      </c>
      <c r="J1606" s="1">
        <v>0</v>
      </c>
      <c r="K1606" t="str">
        <f>LOOKUP(J1606,Sheet2!$P$4:$Q$9)</f>
        <v>Unknown</v>
      </c>
      <c r="L1606" s="1">
        <v>31.2</v>
      </c>
      <c r="M1606" t="str">
        <f>LOOKUP(L1606,Sheet2!$S$4:$T$8)</f>
        <v>31-35</v>
      </c>
      <c r="N1606" s="1">
        <v>0.252</v>
      </c>
      <c r="O1606" t="str">
        <f>LOOKUP(N1606,Sheet2!$V$4:$W$7)</f>
        <v>0.25 - 0.39</v>
      </c>
      <c r="P1606" s="1">
        <v>30</v>
      </c>
      <c r="Q1606" t="str">
        <f>LOOKUP(P1606,Sheet2!$Z$4:$AA$7)</f>
        <v>26-35</v>
      </c>
      <c r="R1606" s="1">
        <v>0</v>
      </c>
      <c r="S1606" t="str">
        <f>IF(R1606=1,"Positive","Negative")</f>
        <v>Negative</v>
      </c>
      <c r="T1606" s="1">
        <f>IFERROR(VLOOKUP(A1606,[1]diabetes_Recognition!$A:$B,2,FALSE),"Not Sampled")</f>
        <v>0</v>
      </c>
      <c r="U1606" t="str">
        <f>IF(T1606=1,"Positive",(IF(T1606=0,"Negative","Not Sampled")))</f>
        <v>Negative</v>
      </c>
      <c r="V1606" s="1" t="str">
        <f>IF(U1606="Not Sampled","Not Sampled",IF(S1606=U1606,"Accurate Prediction","Inaccurate Prediction"))</f>
        <v>Accurate Prediction</v>
      </c>
    </row>
    <row r="1607" spans="1:22" x14ac:dyDescent="0.25">
      <c r="A1607" s="1">
        <v>1605</v>
      </c>
      <c r="B1607" s="1">
        <v>3</v>
      </c>
      <c r="C1607" s="1" t="str">
        <f>LOOKUP(B1607,Sheet2!$D$4:$E$9)</f>
        <v>3-4</v>
      </c>
      <c r="D1607" s="1">
        <v>61</v>
      </c>
      <c r="E1607" t="str">
        <f>LOOKUP(D1607,Sheet2!$G$4:$H$9)</f>
        <v>1-99</v>
      </c>
      <c r="F1607" s="1">
        <v>82</v>
      </c>
      <c r="G1607" t="str">
        <f>LOOKUP(F1607,Sheet2!$J$4:$K$8)</f>
        <v>80+</v>
      </c>
      <c r="H1607" s="1">
        <v>28</v>
      </c>
      <c r="I1607" t="str">
        <f>LOOKUP(H1607,Sheet2!$M$4:$N$8)</f>
        <v>10-30</v>
      </c>
      <c r="J1607" s="1">
        <v>0</v>
      </c>
      <c r="K1607" t="str">
        <f>LOOKUP(J1607,Sheet2!$P$4:$Q$9)</f>
        <v>Unknown</v>
      </c>
      <c r="L1607" s="1">
        <v>34.4</v>
      </c>
      <c r="M1607" t="str">
        <f>LOOKUP(L1607,Sheet2!$S$4:$T$8)</f>
        <v>31-35</v>
      </c>
      <c r="N1607" s="1">
        <v>0.24299999999999999</v>
      </c>
      <c r="O1607" t="str">
        <f>LOOKUP(N1607,Sheet2!$V$4:$W$7)</f>
        <v>0.0 - 0.249</v>
      </c>
      <c r="P1607" s="1">
        <v>46</v>
      </c>
      <c r="Q1607" t="str">
        <f>LOOKUP(P1607,Sheet2!$Z$4:$AA$7)</f>
        <v>46+</v>
      </c>
      <c r="R1607" s="1">
        <v>0</v>
      </c>
      <c r="S1607" t="str">
        <f>IF(R1607=1,"Positive","Negative")</f>
        <v>Negative</v>
      </c>
      <c r="T1607" s="1" t="str">
        <f>IFERROR(VLOOKUP(A1607,[1]diabetes_Recognition!$A:$B,2,FALSE),"Not Sampled")</f>
        <v>Not Sampled</v>
      </c>
      <c r="U1607" t="str">
        <f>IF(T1607=1,"Positive",(IF(T1607=0,"Negative","Not Sampled")))</f>
        <v>Not Sampled</v>
      </c>
      <c r="V1607" s="1" t="str">
        <f>IF(U1607="Not Sampled","Not Sampled",IF(S1607=U1607,"Accurate Prediction","Inaccurate Prediction"))</f>
        <v>Not Sampled</v>
      </c>
    </row>
    <row r="1608" spans="1:22" x14ac:dyDescent="0.25">
      <c r="A1608" s="1">
        <v>1606</v>
      </c>
      <c r="B1608" s="1">
        <v>1</v>
      </c>
      <c r="C1608" s="1">
        <f>LOOKUP(B1608,Sheet2!$D$4:$E$9)</f>
        <v>1</v>
      </c>
      <c r="D1608" s="1">
        <v>90</v>
      </c>
      <c r="E1608" t="str">
        <f>LOOKUP(D1608,Sheet2!$G$4:$H$9)</f>
        <v>1-99</v>
      </c>
      <c r="F1608" s="1">
        <v>62</v>
      </c>
      <c r="G1608" t="str">
        <f>LOOKUP(F1608,Sheet2!$J$4:$K$8)</f>
        <v>60-69</v>
      </c>
      <c r="H1608" s="1">
        <v>12</v>
      </c>
      <c r="I1608" t="str">
        <f>LOOKUP(H1608,Sheet2!$M$4:$N$8)</f>
        <v>10-30</v>
      </c>
      <c r="J1608" s="1">
        <v>43</v>
      </c>
      <c r="K1608" t="str">
        <f>LOOKUP(J1608,Sheet2!$P$4:$Q$9)</f>
        <v>1-99</v>
      </c>
      <c r="L1608" s="1">
        <v>27.2</v>
      </c>
      <c r="M1608" t="str">
        <f>LOOKUP(L1608,Sheet2!$S$4:$T$8)</f>
        <v>26-30</v>
      </c>
      <c r="N1608" s="1">
        <v>0.57999999999999996</v>
      </c>
      <c r="O1608" t="str">
        <f>LOOKUP(N1608,Sheet2!$V$4:$W$7)</f>
        <v>0.4 - 0.69</v>
      </c>
      <c r="P1608" s="1">
        <v>24</v>
      </c>
      <c r="Q1608" t="str">
        <f>LOOKUP(P1608,Sheet2!$Z$4:$AA$7)</f>
        <v>&lt;=25</v>
      </c>
      <c r="R1608" s="1">
        <v>0</v>
      </c>
      <c r="S1608" t="str">
        <f>IF(R1608=1,"Positive","Negative")</f>
        <v>Negative</v>
      </c>
      <c r="T1608" s="1" t="str">
        <f>IFERROR(VLOOKUP(A1608,[1]diabetes_Recognition!$A:$B,2,FALSE),"Not Sampled")</f>
        <v>Not Sampled</v>
      </c>
      <c r="U1608" t="str">
        <f>IF(T1608=1,"Positive",(IF(T1608=0,"Negative","Not Sampled")))</f>
        <v>Not Sampled</v>
      </c>
      <c r="V1608" s="1" t="str">
        <f>IF(U1608="Not Sampled","Not Sampled",IF(S1608=U1608,"Accurate Prediction","Inaccurate Prediction"))</f>
        <v>Not Sampled</v>
      </c>
    </row>
    <row r="1609" spans="1:22" x14ac:dyDescent="0.25">
      <c r="A1609" s="1">
        <v>1607</v>
      </c>
      <c r="B1609" s="1">
        <v>3</v>
      </c>
      <c r="C1609" s="1" t="str">
        <f>LOOKUP(B1609,Sheet2!$D$4:$E$9)</f>
        <v>3-4</v>
      </c>
      <c r="D1609" s="1">
        <v>90</v>
      </c>
      <c r="E1609" t="str">
        <f>LOOKUP(D1609,Sheet2!$G$4:$H$9)</f>
        <v>1-99</v>
      </c>
      <c r="F1609" s="1">
        <v>78</v>
      </c>
      <c r="G1609" t="str">
        <f>LOOKUP(F1609,Sheet2!$J$4:$K$8)</f>
        <v>70-79</v>
      </c>
      <c r="H1609" s="1">
        <v>0</v>
      </c>
      <c r="I1609" t="str">
        <f>LOOKUP(H1609,Sheet2!$M$4:$N$8)</f>
        <v>Unknown</v>
      </c>
      <c r="J1609" s="1">
        <v>0</v>
      </c>
      <c r="K1609" t="str">
        <f>LOOKUP(J1609,Sheet2!$P$4:$Q$9)</f>
        <v>Unknown</v>
      </c>
      <c r="L1609" s="1">
        <v>42.7</v>
      </c>
      <c r="M1609" t="str">
        <f>LOOKUP(L1609,Sheet2!$S$4:$T$8)</f>
        <v>36+</v>
      </c>
      <c r="N1609" s="1">
        <v>0.55900000000000005</v>
      </c>
      <c r="O1609" t="str">
        <f>LOOKUP(N1609,Sheet2!$V$4:$W$7)</f>
        <v>0.4 - 0.69</v>
      </c>
      <c r="P1609" s="1">
        <v>21</v>
      </c>
      <c r="Q1609" t="str">
        <f>LOOKUP(P1609,Sheet2!$Z$4:$AA$7)</f>
        <v>&lt;=25</v>
      </c>
      <c r="R1609" s="1">
        <v>0</v>
      </c>
      <c r="S1609" t="str">
        <f>IF(R1609=1,"Positive","Negative")</f>
        <v>Negative</v>
      </c>
      <c r="T1609" s="1" t="str">
        <f>IFERROR(VLOOKUP(A1609,[1]diabetes_Recognition!$A:$B,2,FALSE),"Not Sampled")</f>
        <v>Not Sampled</v>
      </c>
      <c r="U1609" t="str">
        <f>IF(T1609=1,"Positive",(IF(T1609=0,"Negative","Not Sampled")))</f>
        <v>Not Sampled</v>
      </c>
      <c r="V1609" s="1" t="str">
        <f>IF(U1609="Not Sampled","Not Sampled",IF(S1609=U1609,"Accurate Prediction","Inaccurate Prediction"))</f>
        <v>Not Sampled</v>
      </c>
    </row>
    <row r="1610" spans="1:22" x14ac:dyDescent="0.25">
      <c r="A1610" s="1">
        <v>1608</v>
      </c>
      <c r="B1610" s="1">
        <v>9</v>
      </c>
      <c r="C1610" s="1" t="str">
        <f>LOOKUP(B1610,Sheet2!$D$4:$E$9)</f>
        <v>8+</v>
      </c>
      <c r="D1610" s="1">
        <v>165</v>
      </c>
      <c r="E1610" t="str">
        <f>LOOKUP(D1610,Sheet2!$G$4:$H$9)</f>
        <v>151-175</v>
      </c>
      <c r="F1610" s="1">
        <v>88</v>
      </c>
      <c r="G1610" t="str">
        <f>LOOKUP(F1610,Sheet2!$J$4:$K$8)</f>
        <v>80+</v>
      </c>
      <c r="H1610" s="1">
        <v>0</v>
      </c>
      <c r="I1610" t="str">
        <f>LOOKUP(H1610,Sheet2!$M$4:$N$8)</f>
        <v>Unknown</v>
      </c>
      <c r="J1610" s="1">
        <v>0</v>
      </c>
      <c r="K1610" t="str">
        <f>LOOKUP(J1610,Sheet2!$P$4:$Q$9)</f>
        <v>Unknown</v>
      </c>
      <c r="L1610" s="1">
        <v>30.4</v>
      </c>
      <c r="M1610" t="str">
        <f>LOOKUP(L1610,Sheet2!$S$4:$T$8)</f>
        <v>26-30</v>
      </c>
      <c r="N1610" s="1">
        <v>0.30199999999999999</v>
      </c>
      <c r="O1610" t="str">
        <f>LOOKUP(N1610,Sheet2!$V$4:$W$7)</f>
        <v>0.25 - 0.39</v>
      </c>
      <c r="P1610" s="1">
        <v>49</v>
      </c>
      <c r="Q1610" t="str">
        <f>LOOKUP(P1610,Sheet2!$Z$4:$AA$7)</f>
        <v>46+</v>
      </c>
      <c r="R1610" s="1">
        <v>1</v>
      </c>
      <c r="S1610" t="str">
        <f>IF(R1610=1,"Positive","Negative")</f>
        <v>Positive</v>
      </c>
      <c r="T1610" s="1" t="str">
        <f>IFERROR(VLOOKUP(A1610,[1]diabetes_Recognition!$A:$B,2,FALSE),"Not Sampled")</f>
        <v>Not Sampled</v>
      </c>
      <c r="U1610" t="str">
        <f>IF(T1610=1,"Positive",(IF(T1610=0,"Negative","Not Sampled")))</f>
        <v>Not Sampled</v>
      </c>
      <c r="V1610" s="1" t="str">
        <f>IF(U1610="Not Sampled","Not Sampled",IF(S1610=U1610,"Accurate Prediction","Inaccurate Prediction"))</f>
        <v>Not Sampled</v>
      </c>
    </row>
    <row r="1611" spans="1:22" x14ac:dyDescent="0.25">
      <c r="A1611" s="1">
        <v>1609</v>
      </c>
      <c r="B1611" s="1">
        <v>1</v>
      </c>
      <c r="C1611" s="1">
        <f>LOOKUP(B1611,Sheet2!$D$4:$E$9)</f>
        <v>1</v>
      </c>
      <c r="D1611" s="1">
        <v>125</v>
      </c>
      <c r="E1611" t="str">
        <f>LOOKUP(D1611,Sheet2!$G$4:$H$9)</f>
        <v>100-125</v>
      </c>
      <c r="F1611" s="1">
        <v>50</v>
      </c>
      <c r="G1611" t="str">
        <f>LOOKUP(F1611,Sheet2!$J$4:$K$8)</f>
        <v>1-59</v>
      </c>
      <c r="H1611" s="1">
        <v>40</v>
      </c>
      <c r="I1611" t="str">
        <f>LOOKUP(H1611,Sheet2!$M$4:$N$8)</f>
        <v>40+</v>
      </c>
      <c r="J1611" s="1">
        <v>167</v>
      </c>
      <c r="K1611" t="str">
        <f>LOOKUP(J1611,Sheet2!$P$4:$Q$9)</f>
        <v>100-199</v>
      </c>
      <c r="L1611" s="1">
        <v>33.299999999999997</v>
      </c>
      <c r="M1611" t="str">
        <f>LOOKUP(L1611,Sheet2!$S$4:$T$8)</f>
        <v>31-35</v>
      </c>
      <c r="N1611" s="1">
        <v>0.96199999999999997</v>
      </c>
      <c r="O1611" t="str">
        <f>LOOKUP(N1611,Sheet2!$V$4:$W$7)</f>
        <v>0.7+</v>
      </c>
      <c r="P1611" s="1">
        <v>28</v>
      </c>
      <c r="Q1611" t="str">
        <f>LOOKUP(P1611,Sheet2!$Z$4:$AA$7)</f>
        <v>26-35</v>
      </c>
      <c r="R1611" s="1">
        <v>1</v>
      </c>
      <c r="S1611" t="str">
        <f>IF(R1611=1,"Positive","Negative")</f>
        <v>Positive</v>
      </c>
      <c r="T1611" s="1" t="str">
        <f>IFERROR(VLOOKUP(A1611,[1]diabetes_Recognition!$A:$B,2,FALSE),"Not Sampled")</f>
        <v>Not Sampled</v>
      </c>
      <c r="U1611" t="str">
        <f>IF(T1611=1,"Positive",(IF(T1611=0,"Negative","Not Sampled")))</f>
        <v>Not Sampled</v>
      </c>
      <c r="V1611" s="1" t="str">
        <f>IF(U1611="Not Sampled","Not Sampled",IF(S1611=U1611,"Accurate Prediction","Inaccurate Prediction"))</f>
        <v>Not Sampled</v>
      </c>
    </row>
    <row r="1612" spans="1:22" x14ac:dyDescent="0.25">
      <c r="A1612" s="1">
        <v>1610</v>
      </c>
      <c r="B1612" s="1">
        <v>13</v>
      </c>
      <c r="C1612" s="1" t="str">
        <f>LOOKUP(B1612,Sheet2!$D$4:$E$9)</f>
        <v>8+</v>
      </c>
      <c r="D1612" s="1">
        <v>129</v>
      </c>
      <c r="E1612" t="str">
        <f>LOOKUP(D1612,Sheet2!$G$4:$H$9)</f>
        <v>126-150</v>
      </c>
      <c r="F1612" s="1">
        <v>0</v>
      </c>
      <c r="G1612" t="str">
        <f>LOOKUP(F1612,Sheet2!$J$4:$K$8)</f>
        <v>Unknown</v>
      </c>
      <c r="H1612" s="1">
        <v>30</v>
      </c>
      <c r="I1612" t="str">
        <f>LOOKUP(H1612,Sheet2!$M$4:$N$8)</f>
        <v>30-39</v>
      </c>
      <c r="J1612" s="1">
        <v>0</v>
      </c>
      <c r="K1612" t="str">
        <f>LOOKUP(J1612,Sheet2!$P$4:$Q$9)</f>
        <v>Unknown</v>
      </c>
      <c r="L1612" s="1">
        <v>39.9</v>
      </c>
      <c r="M1612" t="str">
        <f>LOOKUP(L1612,Sheet2!$S$4:$T$8)</f>
        <v>36+</v>
      </c>
      <c r="N1612" s="1">
        <v>0.56899999999999995</v>
      </c>
      <c r="O1612" t="str">
        <f>LOOKUP(N1612,Sheet2!$V$4:$W$7)</f>
        <v>0.4 - 0.69</v>
      </c>
      <c r="P1612" s="1">
        <v>44</v>
      </c>
      <c r="Q1612" t="str">
        <f>LOOKUP(P1612,Sheet2!$Z$4:$AA$7)</f>
        <v>36-45</v>
      </c>
      <c r="R1612" s="1">
        <v>1</v>
      </c>
      <c r="S1612" t="str">
        <f>IF(R1612=1,"Positive","Negative")</f>
        <v>Positive</v>
      </c>
      <c r="T1612" s="1">
        <f>IFERROR(VLOOKUP(A1612,[1]diabetes_Recognition!$A:$B,2,FALSE),"Not Sampled")</f>
        <v>1</v>
      </c>
      <c r="U1612" t="str">
        <f>IF(T1612=1,"Positive",(IF(T1612=0,"Negative","Not Sampled")))</f>
        <v>Positive</v>
      </c>
      <c r="V1612" s="1" t="str">
        <f>IF(U1612="Not Sampled","Not Sampled",IF(S1612=U1612,"Accurate Prediction","Inaccurate Prediction"))</f>
        <v>Accurate Prediction</v>
      </c>
    </row>
    <row r="1613" spans="1:22" x14ac:dyDescent="0.25">
      <c r="A1613" s="1">
        <v>1611</v>
      </c>
      <c r="B1613" s="1">
        <v>12</v>
      </c>
      <c r="C1613" s="1" t="str">
        <f>LOOKUP(B1613,Sheet2!$D$4:$E$9)</f>
        <v>8+</v>
      </c>
      <c r="D1613" s="1">
        <v>88</v>
      </c>
      <c r="E1613" t="str">
        <f>LOOKUP(D1613,Sheet2!$G$4:$H$9)</f>
        <v>1-99</v>
      </c>
      <c r="F1613" s="1">
        <v>74</v>
      </c>
      <c r="G1613" t="str">
        <f>LOOKUP(F1613,Sheet2!$J$4:$K$8)</f>
        <v>70-79</v>
      </c>
      <c r="H1613" s="1">
        <v>40</v>
      </c>
      <c r="I1613" t="str">
        <f>LOOKUP(H1613,Sheet2!$M$4:$N$8)</f>
        <v>40+</v>
      </c>
      <c r="J1613" s="1">
        <v>54</v>
      </c>
      <c r="K1613" t="str">
        <f>LOOKUP(J1613,Sheet2!$P$4:$Q$9)</f>
        <v>1-99</v>
      </c>
      <c r="L1613" s="1">
        <v>35.299999999999997</v>
      </c>
      <c r="M1613" t="str">
        <f>LOOKUP(L1613,Sheet2!$S$4:$T$8)</f>
        <v>31-35</v>
      </c>
      <c r="N1613" s="1">
        <v>0.378</v>
      </c>
      <c r="O1613" t="str">
        <f>LOOKUP(N1613,Sheet2!$V$4:$W$7)</f>
        <v>0.25 - 0.39</v>
      </c>
      <c r="P1613" s="1">
        <v>48</v>
      </c>
      <c r="Q1613" t="str">
        <f>LOOKUP(P1613,Sheet2!$Z$4:$AA$7)</f>
        <v>46+</v>
      </c>
      <c r="R1613" s="1">
        <v>0</v>
      </c>
      <c r="S1613" t="str">
        <f>IF(R1613=1,"Positive","Negative")</f>
        <v>Negative</v>
      </c>
      <c r="T1613" s="1">
        <f>IFERROR(VLOOKUP(A1613,[1]diabetes_Recognition!$A:$B,2,FALSE),"Not Sampled")</f>
        <v>0</v>
      </c>
      <c r="U1613" t="str">
        <f>IF(T1613=1,"Positive",(IF(T1613=0,"Negative","Not Sampled")))</f>
        <v>Negative</v>
      </c>
      <c r="V1613" s="1" t="str">
        <f>IF(U1613="Not Sampled","Not Sampled",IF(S1613=U1613,"Accurate Prediction","Inaccurate Prediction"))</f>
        <v>Accurate Prediction</v>
      </c>
    </row>
    <row r="1614" spans="1:22" x14ac:dyDescent="0.25">
      <c r="A1614" s="1">
        <v>1612</v>
      </c>
      <c r="B1614" s="1">
        <v>1</v>
      </c>
      <c r="C1614" s="1">
        <f>LOOKUP(B1614,Sheet2!$D$4:$E$9)</f>
        <v>1</v>
      </c>
      <c r="D1614" s="1">
        <v>196</v>
      </c>
      <c r="E1614" t="str">
        <f>LOOKUP(D1614,Sheet2!$G$4:$H$9)</f>
        <v>176-200</v>
      </c>
      <c r="F1614" s="1">
        <v>76</v>
      </c>
      <c r="G1614" t="str">
        <f>LOOKUP(F1614,Sheet2!$J$4:$K$8)</f>
        <v>70-79</v>
      </c>
      <c r="H1614" s="1">
        <v>36</v>
      </c>
      <c r="I1614" t="str">
        <f>LOOKUP(H1614,Sheet2!$M$4:$N$8)</f>
        <v>30-39</v>
      </c>
      <c r="J1614" s="1">
        <v>249</v>
      </c>
      <c r="K1614" t="str">
        <f>LOOKUP(J1614,Sheet2!$P$4:$Q$9)</f>
        <v>200-399</v>
      </c>
      <c r="L1614" s="1">
        <v>36.5</v>
      </c>
      <c r="M1614" t="str">
        <f>LOOKUP(L1614,Sheet2!$S$4:$T$8)</f>
        <v>36+</v>
      </c>
      <c r="N1614" s="1">
        <v>0.875</v>
      </c>
      <c r="O1614" t="str">
        <f>LOOKUP(N1614,Sheet2!$V$4:$W$7)</f>
        <v>0.7+</v>
      </c>
      <c r="P1614" s="1">
        <v>29</v>
      </c>
      <c r="Q1614" t="str">
        <f>LOOKUP(P1614,Sheet2!$Z$4:$AA$7)</f>
        <v>26-35</v>
      </c>
      <c r="R1614" s="1">
        <v>1</v>
      </c>
      <c r="S1614" t="str">
        <f>IF(R1614=1,"Positive","Negative")</f>
        <v>Positive</v>
      </c>
      <c r="T1614" s="1" t="str">
        <f>IFERROR(VLOOKUP(A1614,[1]diabetes_Recognition!$A:$B,2,FALSE),"Not Sampled")</f>
        <v>Not Sampled</v>
      </c>
      <c r="U1614" t="str">
        <f>IF(T1614=1,"Positive",(IF(T1614=0,"Negative","Not Sampled")))</f>
        <v>Not Sampled</v>
      </c>
      <c r="V1614" s="1" t="str">
        <f>IF(U1614="Not Sampled","Not Sampled",IF(S1614=U1614,"Accurate Prediction","Inaccurate Prediction"))</f>
        <v>Not Sampled</v>
      </c>
    </row>
    <row r="1615" spans="1:22" x14ac:dyDescent="0.25">
      <c r="A1615" s="1">
        <v>1613</v>
      </c>
      <c r="B1615" s="1">
        <v>5</v>
      </c>
      <c r="C1615" s="1" t="str">
        <f>LOOKUP(B1615,Sheet2!$D$4:$E$9)</f>
        <v>5-7</v>
      </c>
      <c r="D1615" s="1">
        <v>189</v>
      </c>
      <c r="E1615" t="str">
        <f>LOOKUP(D1615,Sheet2!$G$4:$H$9)</f>
        <v>176-200</v>
      </c>
      <c r="F1615" s="1">
        <v>64</v>
      </c>
      <c r="G1615" t="str">
        <f>LOOKUP(F1615,Sheet2!$J$4:$K$8)</f>
        <v>60-69</v>
      </c>
      <c r="H1615" s="1">
        <v>33</v>
      </c>
      <c r="I1615" t="str">
        <f>LOOKUP(H1615,Sheet2!$M$4:$N$8)</f>
        <v>30-39</v>
      </c>
      <c r="J1615" s="1">
        <v>325</v>
      </c>
      <c r="K1615" t="str">
        <f>LOOKUP(J1615,Sheet2!$P$4:$Q$9)</f>
        <v>300-499</v>
      </c>
      <c r="L1615" s="1">
        <v>31.2</v>
      </c>
      <c r="M1615" t="str">
        <f>LOOKUP(L1615,Sheet2!$S$4:$T$8)</f>
        <v>31-35</v>
      </c>
      <c r="N1615" s="1">
        <v>0.58299999999999996</v>
      </c>
      <c r="O1615" t="str">
        <f>LOOKUP(N1615,Sheet2!$V$4:$W$7)</f>
        <v>0.4 - 0.69</v>
      </c>
      <c r="P1615" s="1">
        <v>29</v>
      </c>
      <c r="Q1615" t="str">
        <f>LOOKUP(P1615,Sheet2!$Z$4:$AA$7)</f>
        <v>26-35</v>
      </c>
      <c r="R1615" s="1">
        <v>1</v>
      </c>
      <c r="S1615" t="str">
        <f>IF(R1615=1,"Positive","Negative")</f>
        <v>Positive</v>
      </c>
      <c r="T1615" s="1" t="str">
        <f>IFERROR(VLOOKUP(A1615,[1]diabetes_Recognition!$A:$B,2,FALSE),"Not Sampled")</f>
        <v>Not Sampled</v>
      </c>
      <c r="U1615" t="str">
        <f>IF(T1615=1,"Positive",(IF(T1615=0,"Negative","Not Sampled")))</f>
        <v>Not Sampled</v>
      </c>
      <c r="V1615" s="1" t="str">
        <f>IF(U1615="Not Sampled","Not Sampled",IF(S1615=U1615,"Accurate Prediction","Inaccurate Prediction"))</f>
        <v>Not Sampled</v>
      </c>
    </row>
    <row r="1616" spans="1:22" x14ac:dyDescent="0.25">
      <c r="A1616" s="1">
        <v>1614</v>
      </c>
      <c r="B1616" s="1">
        <v>5</v>
      </c>
      <c r="C1616" s="1" t="str">
        <f>LOOKUP(B1616,Sheet2!$D$4:$E$9)</f>
        <v>5-7</v>
      </c>
      <c r="D1616" s="1">
        <v>158</v>
      </c>
      <c r="E1616" t="str">
        <f>LOOKUP(D1616,Sheet2!$G$4:$H$9)</f>
        <v>151-175</v>
      </c>
      <c r="F1616" s="1">
        <v>70</v>
      </c>
      <c r="G1616" t="str">
        <f>LOOKUP(F1616,Sheet2!$J$4:$K$8)</f>
        <v>70-79</v>
      </c>
      <c r="H1616" s="1">
        <v>0</v>
      </c>
      <c r="I1616" t="str">
        <f>LOOKUP(H1616,Sheet2!$M$4:$N$8)</f>
        <v>Unknown</v>
      </c>
      <c r="J1616" s="1">
        <v>0</v>
      </c>
      <c r="K1616" t="str">
        <f>LOOKUP(J1616,Sheet2!$P$4:$Q$9)</f>
        <v>Unknown</v>
      </c>
      <c r="L1616" s="1">
        <v>29.8</v>
      </c>
      <c r="M1616" t="str">
        <f>LOOKUP(L1616,Sheet2!$S$4:$T$8)</f>
        <v>26-30</v>
      </c>
      <c r="N1616" s="1">
        <v>0.20699999999999999</v>
      </c>
      <c r="O1616" t="str">
        <f>LOOKUP(N1616,Sheet2!$V$4:$W$7)</f>
        <v>0.0 - 0.249</v>
      </c>
      <c r="P1616" s="1">
        <v>63</v>
      </c>
      <c r="Q1616" t="str">
        <f>LOOKUP(P1616,Sheet2!$Z$4:$AA$7)</f>
        <v>46+</v>
      </c>
      <c r="R1616" s="1">
        <v>0</v>
      </c>
      <c r="S1616" t="str">
        <f>IF(R1616=1,"Positive","Negative")</f>
        <v>Negative</v>
      </c>
      <c r="T1616" s="1" t="str">
        <f>IFERROR(VLOOKUP(A1616,[1]diabetes_Recognition!$A:$B,2,FALSE),"Not Sampled")</f>
        <v>Not Sampled</v>
      </c>
      <c r="U1616" t="str">
        <f>IF(T1616=1,"Positive",(IF(T1616=0,"Negative","Not Sampled")))</f>
        <v>Not Sampled</v>
      </c>
      <c r="V1616" s="1" t="str">
        <f>IF(U1616="Not Sampled","Not Sampled",IF(S1616=U1616,"Accurate Prediction","Inaccurate Prediction"))</f>
        <v>Not Sampled</v>
      </c>
    </row>
    <row r="1617" spans="1:22" x14ac:dyDescent="0.25">
      <c r="A1617" s="1">
        <v>1615</v>
      </c>
      <c r="B1617" s="1">
        <v>5</v>
      </c>
      <c r="C1617" s="1" t="str">
        <f>LOOKUP(B1617,Sheet2!$D$4:$E$9)</f>
        <v>5-7</v>
      </c>
      <c r="D1617" s="1">
        <v>103</v>
      </c>
      <c r="E1617" t="str">
        <f>LOOKUP(D1617,Sheet2!$G$4:$H$9)</f>
        <v>100-125</v>
      </c>
      <c r="F1617" s="1">
        <v>108</v>
      </c>
      <c r="G1617" t="str">
        <f>LOOKUP(F1617,Sheet2!$J$4:$K$8)</f>
        <v>80+</v>
      </c>
      <c r="H1617" s="1">
        <v>37</v>
      </c>
      <c r="I1617" t="str">
        <f>LOOKUP(H1617,Sheet2!$M$4:$N$8)</f>
        <v>30-39</v>
      </c>
      <c r="J1617" s="1">
        <v>0</v>
      </c>
      <c r="K1617" t="str">
        <f>LOOKUP(J1617,Sheet2!$P$4:$Q$9)</f>
        <v>Unknown</v>
      </c>
      <c r="L1617" s="1">
        <v>39.200000000000003</v>
      </c>
      <c r="M1617" t="str">
        <f>LOOKUP(L1617,Sheet2!$S$4:$T$8)</f>
        <v>36+</v>
      </c>
      <c r="N1617" s="1">
        <v>0.30499999999999999</v>
      </c>
      <c r="O1617" t="str">
        <f>LOOKUP(N1617,Sheet2!$V$4:$W$7)</f>
        <v>0.25 - 0.39</v>
      </c>
      <c r="P1617" s="1">
        <v>65</v>
      </c>
      <c r="Q1617" t="str">
        <f>LOOKUP(P1617,Sheet2!$Z$4:$AA$7)</f>
        <v>46+</v>
      </c>
      <c r="R1617" s="1">
        <v>0</v>
      </c>
      <c r="S1617" t="str">
        <f>IF(R1617=1,"Positive","Negative")</f>
        <v>Negative</v>
      </c>
      <c r="T1617" s="1" t="str">
        <f>IFERROR(VLOOKUP(A1617,[1]diabetes_Recognition!$A:$B,2,FALSE),"Not Sampled")</f>
        <v>Not Sampled</v>
      </c>
      <c r="U1617" t="str">
        <f>IF(T1617=1,"Positive",(IF(T1617=0,"Negative","Not Sampled")))</f>
        <v>Not Sampled</v>
      </c>
      <c r="V1617" s="1" t="str">
        <f>IF(U1617="Not Sampled","Not Sampled",IF(S1617=U1617,"Accurate Prediction","Inaccurate Prediction"))</f>
        <v>Not Sampled</v>
      </c>
    </row>
    <row r="1618" spans="1:22" x14ac:dyDescent="0.25">
      <c r="A1618" s="1">
        <v>1616</v>
      </c>
      <c r="B1618" s="1">
        <v>4</v>
      </c>
      <c r="C1618" s="1" t="str">
        <f>LOOKUP(B1618,Sheet2!$D$4:$E$9)</f>
        <v>3-4</v>
      </c>
      <c r="D1618" s="1">
        <v>146</v>
      </c>
      <c r="E1618" t="str">
        <f>LOOKUP(D1618,Sheet2!$G$4:$H$9)</f>
        <v>126-150</v>
      </c>
      <c r="F1618" s="1">
        <v>78</v>
      </c>
      <c r="G1618" t="str">
        <f>LOOKUP(F1618,Sheet2!$J$4:$K$8)</f>
        <v>70-79</v>
      </c>
      <c r="H1618" s="1">
        <v>0</v>
      </c>
      <c r="I1618" t="str">
        <f>LOOKUP(H1618,Sheet2!$M$4:$N$8)</f>
        <v>Unknown</v>
      </c>
      <c r="J1618" s="1">
        <v>0</v>
      </c>
      <c r="K1618" t="str">
        <f>LOOKUP(J1618,Sheet2!$P$4:$Q$9)</f>
        <v>Unknown</v>
      </c>
      <c r="L1618" s="1">
        <v>38.5</v>
      </c>
      <c r="M1618" t="str">
        <f>LOOKUP(L1618,Sheet2!$S$4:$T$8)</f>
        <v>36+</v>
      </c>
      <c r="N1618" s="1">
        <v>0.52</v>
      </c>
      <c r="O1618" t="str">
        <f>LOOKUP(N1618,Sheet2!$V$4:$W$7)</f>
        <v>0.4 - 0.69</v>
      </c>
      <c r="P1618" s="1">
        <v>67</v>
      </c>
      <c r="Q1618" t="str">
        <f>LOOKUP(P1618,Sheet2!$Z$4:$AA$7)</f>
        <v>46+</v>
      </c>
      <c r="R1618" s="1">
        <v>1</v>
      </c>
      <c r="S1618" t="str">
        <f>IF(R1618=1,"Positive","Negative")</f>
        <v>Positive</v>
      </c>
      <c r="T1618" s="1" t="str">
        <f>IFERROR(VLOOKUP(A1618,[1]diabetes_Recognition!$A:$B,2,FALSE),"Not Sampled")</f>
        <v>Not Sampled</v>
      </c>
      <c r="U1618" t="str">
        <f>IF(T1618=1,"Positive",(IF(T1618=0,"Negative","Not Sampled")))</f>
        <v>Not Sampled</v>
      </c>
      <c r="V1618" s="1" t="str">
        <f>IF(U1618="Not Sampled","Not Sampled",IF(S1618=U1618,"Accurate Prediction","Inaccurate Prediction"))</f>
        <v>Not Sampled</v>
      </c>
    </row>
    <row r="1619" spans="1:22" x14ac:dyDescent="0.25">
      <c r="A1619" s="1">
        <v>1617</v>
      </c>
      <c r="B1619" s="1">
        <v>4</v>
      </c>
      <c r="C1619" s="1" t="str">
        <f>LOOKUP(B1619,Sheet2!$D$4:$E$9)</f>
        <v>3-4</v>
      </c>
      <c r="D1619" s="1">
        <v>147</v>
      </c>
      <c r="E1619" t="str">
        <f>LOOKUP(D1619,Sheet2!$G$4:$H$9)</f>
        <v>126-150</v>
      </c>
      <c r="F1619" s="1">
        <v>74</v>
      </c>
      <c r="G1619" t="str">
        <f>LOOKUP(F1619,Sheet2!$J$4:$K$8)</f>
        <v>70-79</v>
      </c>
      <c r="H1619" s="1">
        <v>25</v>
      </c>
      <c r="I1619" t="str">
        <f>LOOKUP(H1619,Sheet2!$M$4:$N$8)</f>
        <v>10-30</v>
      </c>
      <c r="J1619" s="1">
        <v>293</v>
      </c>
      <c r="K1619" t="str">
        <f>LOOKUP(J1619,Sheet2!$P$4:$Q$9)</f>
        <v>200-399</v>
      </c>
      <c r="L1619" s="1">
        <v>34.9</v>
      </c>
      <c r="M1619" t="str">
        <f>LOOKUP(L1619,Sheet2!$S$4:$T$8)</f>
        <v>31-35</v>
      </c>
      <c r="N1619" s="1">
        <v>0.38500000000000001</v>
      </c>
      <c r="O1619" t="str">
        <f>LOOKUP(N1619,Sheet2!$V$4:$W$7)</f>
        <v>0.25 - 0.39</v>
      </c>
      <c r="P1619" s="1">
        <v>30</v>
      </c>
      <c r="Q1619" t="str">
        <f>LOOKUP(P1619,Sheet2!$Z$4:$AA$7)</f>
        <v>26-35</v>
      </c>
      <c r="R1619" s="1">
        <v>0</v>
      </c>
      <c r="S1619" t="str">
        <f>IF(R1619=1,"Positive","Negative")</f>
        <v>Negative</v>
      </c>
      <c r="T1619" s="1">
        <f>IFERROR(VLOOKUP(A1619,[1]diabetes_Recognition!$A:$B,2,FALSE),"Not Sampled")</f>
        <v>0</v>
      </c>
      <c r="U1619" t="str">
        <f>IF(T1619=1,"Positive",(IF(T1619=0,"Negative","Not Sampled")))</f>
        <v>Negative</v>
      </c>
      <c r="V1619" s="1" t="str">
        <f>IF(U1619="Not Sampled","Not Sampled",IF(S1619=U1619,"Accurate Prediction","Inaccurate Prediction"))</f>
        <v>Accurate Prediction</v>
      </c>
    </row>
    <row r="1620" spans="1:22" x14ac:dyDescent="0.25">
      <c r="A1620" s="1">
        <v>1618</v>
      </c>
      <c r="B1620" s="1">
        <v>5</v>
      </c>
      <c r="C1620" s="1" t="str">
        <f>LOOKUP(B1620,Sheet2!$D$4:$E$9)</f>
        <v>5-7</v>
      </c>
      <c r="D1620" s="1">
        <v>99</v>
      </c>
      <c r="E1620" t="str">
        <f>LOOKUP(D1620,Sheet2!$G$4:$H$9)</f>
        <v>1-99</v>
      </c>
      <c r="F1620" s="1">
        <v>54</v>
      </c>
      <c r="G1620" t="str">
        <f>LOOKUP(F1620,Sheet2!$J$4:$K$8)</f>
        <v>1-59</v>
      </c>
      <c r="H1620" s="1">
        <v>28</v>
      </c>
      <c r="I1620" t="str">
        <f>LOOKUP(H1620,Sheet2!$M$4:$N$8)</f>
        <v>10-30</v>
      </c>
      <c r="J1620" s="1">
        <v>83</v>
      </c>
      <c r="K1620" t="str">
        <f>LOOKUP(J1620,Sheet2!$P$4:$Q$9)</f>
        <v>1-99</v>
      </c>
      <c r="L1620" s="1">
        <v>34</v>
      </c>
      <c r="M1620" t="str">
        <f>LOOKUP(L1620,Sheet2!$S$4:$T$8)</f>
        <v>31-35</v>
      </c>
      <c r="N1620" s="1">
        <v>0.499</v>
      </c>
      <c r="O1620" t="str">
        <f>LOOKUP(N1620,Sheet2!$V$4:$W$7)</f>
        <v>0.4 - 0.69</v>
      </c>
      <c r="P1620" s="1">
        <v>30</v>
      </c>
      <c r="Q1620" t="str">
        <f>LOOKUP(P1620,Sheet2!$Z$4:$AA$7)</f>
        <v>26-35</v>
      </c>
      <c r="R1620" s="1">
        <v>0</v>
      </c>
      <c r="S1620" t="str">
        <f>IF(R1620=1,"Positive","Negative")</f>
        <v>Negative</v>
      </c>
      <c r="T1620" s="1">
        <f>IFERROR(VLOOKUP(A1620,[1]diabetes_Recognition!$A:$B,2,FALSE),"Not Sampled")</f>
        <v>0</v>
      </c>
      <c r="U1620" t="str">
        <f>IF(T1620=1,"Positive",(IF(T1620=0,"Negative","Not Sampled")))</f>
        <v>Negative</v>
      </c>
      <c r="V1620" s="1" t="str">
        <f>IF(U1620="Not Sampled","Not Sampled",IF(S1620=U1620,"Accurate Prediction","Inaccurate Prediction"))</f>
        <v>Accurate Prediction</v>
      </c>
    </row>
    <row r="1621" spans="1:22" x14ac:dyDescent="0.25">
      <c r="A1621" s="1">
        <v>1619</v>
      </c>
      <c r="B1621" s="1">
        <v>6</v>
      </c>
      <c r="C1621" s="1" t="str">
        <f>LOOKUP(B1621,Sheet2!$D$4:$E$9)</f>
        <v>5-7</v>
      </c>
      <c r="D1621" s="1">
        <v>124</v>
      </c>
      <c r="E1621" t="str">
        <f>LOOKUP(D1621,Sheet2!$G$4:$H$9)</f>
        <v>100-125</v>
      </c>
      <c r="F1621" s="1">
        <v>72</v>
      </c>
      <c r="G1621" t="str">
        <f>LOOKUP(F1621,Sheet2!$J$4:$K$8)</f>
        <v>70-79</v>
      </c>
      <c r="H1621" s="1">
        <v>0</v>
      </c>
      <c r="I1621" t="str">
        <f>LOOKUP(H1621,Sheet2!$M$4:$N$8)</f>
        <v>Unknown</v>
      </c>
      <c r="J1621" s="1">
        <v>0</v>
      </c>
      <c r="K1621" t="str">
        <f>LOOKUP(J1621,Sheet2!$P$4:$Q$9)</f>
        <v>Unknown</v>
      </c>
      <c r="L1621" s="1">
        <v>27.6</v>
      </c>
      <c r="M1621" t="str">
        <f>LOOKUP(L1621,Sheet2!$S$4:$T$8)</f>
        <v>26-30</v>
      </c>
      <c r="N1621" s="1">
        <v>0.36799999999999999</v>
      </c>
      <c r="O1621" t="str">
        <f>LOOKUP(N1621,Sheet2!$V$4:$W$7)</f>
        <v>0.25 - 0.39</v>
      </c>
      <c r="P1621" s="1">
        <v>29</v>
      </c>
      <c r="Q1621" t="str">
        <f>LOOKUP(P1621,Sheet2!$Z$4:$AA$7)</f>
        <v>26-35</v>
      </c>
      <c r="R1621" s="1">
        <v>1</v>
      </c>
      <c r="S1621" t="str">
        <f>IF(R1621=1,"Positive","Negative")</f>
        <v>Positive</v>
      </c>
      <c r="T1621" s="1" t="str">
        <f>IFERROR(VLOOKUP(A1621,[1]diabetes_Recognition!$A:$B,2,FALSE),"Not Sampled")</f>
        <v>Not Sampled</v>
      </c>
      <c r="U1621" t="str">
        <f>IF(T1621=1,"Positive",(IF(T1621=0,"Negative","Not Sampled")))</f>
        <v>Not Sampled</v>
      </c>
      <c r="V1621" s="1" t="str">
        <f>IF(U1621="Not Sampled","Not Sampled",IF(S1621=U1621,"Accurate Prediction","Inaccurate Prediction"))</f>
        <v>Not Sampled</v>
      </c>
    </row>
    <row r="1622" spans="1:22" x14ac:dyDescent="0.25">
      <c r="A1622" s="1">
        <v>1620</v>
      </c>
      <c r="B1622" s="1">
        <v>0</v>
      </c>
      <c r="C1622" s="1">
        <f>LOOKUP(B1622,Sheet2!$D$4:$E$9)</f>
        <v>0</v>
      </c>
      <c r="D1622" s="1">
        <v>101</v>
      </c>
      <c r="E1622" t="str">
        <f>LOOKUP(D1622,Sheet2!$G$4:$H$9)</f>
        <v>100-125</v>
      </c>
      <c r="F1622" s="1">
        <v>64</v>
      </c>
      <c r="G1622" t="str">
        <f>LOOKUP(F1622,Sheet2!$J$4:$K$8)</f>
        <v>60-69</v>
      </c>
      <c r="H1622" s="1">
        <v>17</v>
      </c>
      <c r="I1622" t="str">
        <f>LOOKUP(H1622,Sheet2!$M$4:$N$8)</f>
        <v>10-30</v>
      </c>
      <c r="J1622" s="1">
        <v>0</v>
      </c>
      <c r="K1622" t="str">
        <f>LOOKUP(J1622,Sheet2!$P$4:$Q$9)</f>
        <v>Unknown</v>
      </c>
      <c r="L1622" s="1">
        <v>21</v>
      </c>
      <c r="M1622" t="str">
        <f>LOOKUP(L1622,Sheet2!$S$4:$T$8)</f>
        <v>1-25</v>
      </c>
      <c r="N1622" s="1">
        <v>0.252</v>
      </c>
      <c r="O1622" t="str">
        <f>LOOKUP(N1622,Sheet2!$V$4:$W$7)</f>
        <v>0.25 - 0.39</v>
      </c>
      <c r="P1622" s="1">
        <v>21</v>
      </c>
      <c r="Q1622" t="str">
        <f>LOOKUP(P1622,Sheet2!$Z$4:$AA$7)</f>
        <v>&lt;=25</v>
      </c>
      <c r="R1622" s="1">
        <v>0</v>
      </c>
      <c r="S1622" t="str">
        <f>IF(R1622=1,"Positive","Negative")</f>
        <v>Negative</v>
      </c>
      <c r="T1622" s="1" t="str">
        <f>IFERROR(VLOOKUP(A1622,[1]diabetes_Recognition!$A:$B,2,FALSE),"Not Sampled")</f>
        <v>Not Sampled</v>
      </c>
      <c r="U1622" t="str">
        <f>IF(T1622=1,"Positive",(IF(T1622=0,"Negative","Not Sampled")))</f>
        <v>Not Sampled</v>
      </c>
      <c r="V1622" s="1" t="str">
        <f>IF(U1622="Not Sampled","Not Sampled",IF(S1622=U1622,"Accurate Prediction","Inaccurate Prediction"))</f>
        <v>Not Sampled</v>
      </c>
    </row>
    <row r="1623" spans="1:22" x14ac:dyDescent="0.25">
      <c r="A1623" s="1">
        <v>1621</v>
      </c>
      <c r="B1623" s="1">
        <v>3</v>
      </c>
      <c r="C1623" s="1" t="str">
        <f>LOOKUP(B1623,Sheet2!$D$4:$E$9)</f>
        <v>3-4</v>
      </c>
      <c r="D1623" s="1">
        <v>81</v>
      </c>
      <c r="E1623" t="str">
        <f>LOOKUP(D1623,Sheet2!$G$4:$H$9)</f>
        <v>1-99</v>
      </c>
      <c r="F1623" s="1">
        <v>86</v>
      </c>
      <c r="G1623" t="str">
        <f>LOOKUP(F1623,Sheet2!$J$4:$K$8)</f>
        <v>80+</v>
      </c>
      <c r="H1623" s="1">
        <v>16</v>
      </c>
      <c r="I1623" t="str">
        <f>LOOKUP(H1623,Sheet2!$M$4:$N$8)</f>
        <v>10-30</v>
      </c>
      <c r="J1623" s="1">
        <v>66</v>
      </c>
      <c r="K1623" t="str">
        <f>LOOKUP(J1623,Sheet2!$P$4:$Q$9)</f>
        <v>1-99</v>
      </c>
      <c r="L1623" s="1">
        <v>27.5</v>
      </c>
      <c r="M1623" t="str">
        <f>LOOKUP(L1623,Sheet2!$S$4:$T$8)</f>
        <v>26-30</v>
      </c>
      <c r="N1623" s="1">
        <v>0.30599999999999999</v>
      </c>
      <c r="O1623" t="str">
        <f>LOOKUP(N1623,Sheet2!$V$4:$W$7)</f>
        <v>0.25 - 0.39</v>
      </c>
      <c r="P1623" s="1">
        <v>22</v>
      </c>
      <c r="Q1623" t="str">
        <f>LOOKUP(P1623,Sheet2!$Z$4:$AA$7)</f>
        <v>&lt;=25</v>
      </c>
      <c r="R1623" s="1">
        <v>0</v>
      </c>
      <c r="S1623" t="str">
        <f>IF(R1623=1,"Positive","Negative")</f>
        <v>Negative</v>
      </c>
      <c r="T1623" s="1" t="str">
        <f>IFERROR(VLOOKUP(A1623,[1]diabetes_Recognition!$A:$B,2,FALSE),"Not Sampled")</f>
        <v>Not Sampled</v>
      </c>
      <c r="U1623" t="str">
        <f>IF(T1623=1,"Positive",(IF(T1623=0,"Negative","Not Sampled")))</f>
        <v>Not Sampled</v>
      </c>
      <c r="V1623" s="1" t="str">
        <f>IF(U1623="Not Sampled","Not Sampled",IF(S1623=U1623,"Accurate Prediction","Inaccurate Prediction"))</f>
        <v>Not Sampled</v>
      </c>
    </row>
    <row r="1624" spans="1:22" x14ac:dyDescent="0.25">
      <c r="A1624" s="1">
        <v>1622</v>
      </c>
      <c r="B1624" s="1">
        <v>1</v>
      </c>
      <c r="C1624" s="1">
        <f>LOOKUP(B1624,Sheet2!$D$4:$E$9)</f>
        <v>1</v>
      </c>
      <c r="D1624" s="1">
        <v>133</v>
      </c>
      <c r="E1624" t="str">
        <f>LOOKUP(D1624,Sheet2!$G$4:$H$9)</f>
        <v>126-150</v>
      </c>
      <c r="F1624" s="1">
        <v>102</v>
      </c>
      <c r="G1624" t="str">
        <f>LOOKUP(F1624,Sheet2!$J$4:$K$8)</f>
        <v>80+</v>
      </c>
      <c r="H1624" s="1">
        <v>28</v>
      </c>
      <c r="I1624" t="str">
        <f>LOOKUP(H1624,Sheet2!$M$4:$N$8)</f>
        <v>10-30</v>
      </c>
      <c r="J1624" s="1">
        <v>140</v>
      </c>
      <c r="K1624" t="str">
        <f>LOOKUP(J1624,Sheet2!$P$4:$Q$9)</f>
        <v>100-199</v>
      </c>
      <c r="L1624" s="1">
        <v>32.799999999999997</v>
      </c>
      <c r="M1624" t="str">
        <f>LOOKUP(L1624,Sheet2!$S$4:$T$8)</f>
        <v>31-35</v>
      </c>
      <c r="N1624" s="1">
        <v>0.23400000000000001</v>
      </c>
      <c r="O1624" t="str">
        <f>LOOKUP(N1624,Sheet2!$V$4:$W$7)</f>
        <v>0.0 - 0.249</v>
      </c>
      <c r="P1624" s="1">
        <v>45</v>
      </c>
      <c r="Q1624" t="str">
        <f>LOOKUP(P1624,Sheet2!$Z$4:$AA$7)</f>
        <v>36-45</v>
      </c>
      <c r="R1624" s="1">
        <v>1</v>
      </c>
      <c r="S1624" t="str">
        <f>IF(R1624=1,"Positive","Negative")</f>
        <v>Positive</v>
      </c>
      <c r="T1624" s="1">
        <f>IFERROR(VLOOKUP(A1624,[1]diabetes_Recognition!$A:$B,2,FALSE),"Not Sampled")</f>
        <v>0</v>
      </c>
      <c r="U1624" t="str">
        <f>IF(T1624=1,"Positive",(IF(T1624=0,"Negative","Not Sampled")))</f>
        <v>Negative</v>
      </c>
      <c r="V1624" s="1" t="str">
        <f>IF(U1624="Not Sampled","Not Sampled",IF(S1624=U1624,"Accurate Prediction","Inaccurate Prediction"))</f>
        <v>Inaccurate Prediction</v>
      </c>
    </row>
    <row r="1625" spans="1:22" x14ac:dyDescent="0.25">
      <c r="A1625" s="1">
        <v>1623</v>
      </c>
      <c r="B1625" s="1">
        <v>3</v>
      </c>
      <c r="C1625" s="1" t="str">
        <f>LOOKUP(B1625,Sheet2!$D$4:$E$9)</f>
        <v>3-4</v>
      </c>
      <c r="D1625" s="1">
        <v>173</v>
      </c>
      <c r="E1625" t="str">
        <f>LOOKUP(D1625,Sheet2!$G$4:$H$9)</f>
        <v>151-175</v>
      </c>
      <c r="F1625" s="1">
        <v>82</v>
      </c>
      <c r="G1625" t="str">
        <f>LOOKUP(F1625,Sheet2!$J$4:$K$8)</f>
        <v>80+</v>
      </c>
      <c r="H1625" s="1">
        <v>48</v>
      </c>
      <c r="I1625" t="str">
        <f>LOOKUP(H1625,Sheet2!$M$4:$N$8)</f>
        <v>40+</v>
      </c>
      <c r="J1625" s="1">
        <v>465</v>
      </c>
      <c r="K1625" t="str">
        <f>LOOKUP(J1625,Sheet2!$P$4:$Q$9)</f>
        <v>300-499</v>
      </c>
      <c r="L1625" s="1">
        <v>38.4</v>
      </c>
      <c r="M1625" t="str">
        <f>LOOKUP(L1625,Sheet2!$S$4:$T$8)</f>
        <v>36+</v>
      </c>
      <c r="N1625" s="1">
        <v>2.137</v>
      </c>
      <c r="O1625" t="str">
        <f>LOOKUP(N1625,Sheet2!$V$4:$W$7)</f>
        <v>0.7+</v>
      </c>
      <c r="P1625" s="1">
        <v>25</v>
      </c>
      <c r="Q1625" t="str">
        <f>LOOKUP(P1625,Sheet2!$Z$4:$AA$7)</f>
        <v>&lt;=25</v>
      </c>
      <c r="R1625" s="1">
        <v>1</v>
      </c>
      <c r="S1625" t="str">
        <f>IF(R1625=1,"Positive","Negative")</f>
        <v>Positive</v>
      </c>
      <c r="T1625" s="1" t="str">
        <f>IFERROR(VLOOKUP(A1625,[1]diabetes_Recognition!$A:$B,2,FALSE),"Not Sampled")</f>
        <v>Not Sampled</v>
      </c>
      <c r="U1625" t="str">
        <f>IF(T1625=1,"Positive",(IF(T1625=0,"Negative","Not Sampled")))</f>
        <v>Not Sampled</v>
      </c>
      <c r="V1625" s="1" t="str">
        <f>IF(U1625="Not Sampled","Not Sampled",IF(S1625=U1625,"Accurate Prediction","Inaccurate Prediction"))</f>
        <v>Not Sampled</v>
      </c>
    </row>
    <row r="1626" spans="1:22" x14ac:dyDescent="0.25">
      <c r="A1626" s="1">
        <v>1624</v>
      </c>
      <c r="B1626" s="1">
        <v>0</v>
      </c>
      <c r="C1626" s="1">
        <f>LOOKUP(B1626,Sheet2!$D$4:$E$9)</f>
        <v>0</v>
      </c>
      <c r="D1626" s="1">
        <v>118</v>
      </c>
      <c r="E1626" t="str">
        <f>LOOKUP(D1626,Sheet2!$G$4:$H$9)</f>
        <v>100-125</v>
      </c>
      <c r="F1626" s="1">
        <v>64</v>
      </c>
      <c r="G1626" t="str">
        <f>LOOKUP(F1626,Sheet2!$J$4:$K$8)</f>
        <v>60-69</v>
      </c>
      <c r="H1626" s="1">
        <v>23</v>
      </c>
      <c r="I1626" t="str">
        <f>LOOKUP(H1626,Sheet2!$M$4:$N$8)</f>
        <v>10-30</v>
      </c>
      <c r="J1626" s="1">
        <v>89</v>
      </c>
      <c r="K1626" t="str">
        <f>LOOKUP(J1626,Sheet2!$P$4:$Q$9)</f>
        <v>1-99</v>
      </c>
      <c r="L1626" s="1">
        <v>0</v>
      </c>
      <c r="M1626" t="str">
        <f>LOOKUP(L1626,Sheet2!$S$4:$T$8)</f>
        <v>Unknown</v>
      </c>
      <c r="N1626" s="1">
        <v>1.7310000000000001</v>
      </c>
      <c r="O1626" t="str">
        <f>LOOKUP(N1626,Sheet2!$V$4:$W$7)</f>
        <v>0.7+</v>
      </c>
      <c r="P1626" s="1">
        <v>21</v>
      </c>
      <c r="Q1626" t="str">
        <f>LOOKUP(P1626,Sheet2!$Z$4:$AA$7)</f>
        <v>&lt;=25</v>
      </c>
      <c r="R1626" s="1">
        <v>0</v>
      </c>
      <c r="S1626" t="str">
        <f>IF(R1626=1,"Positive","Negative")</f>
        <v>Negative</v>
      </c>
      <c r="T1626" s="1">
        <f>IFERROR(VLOOKUP(A1626,[1]diabetes_Recognition!$A:$B,2,FALSE),"Not Sampled")</f>
        <v>0</v>
      </c>
      <c r="U1626" t="str">
        <f>IF(T1626=1,"Positive",(IF(T1626=0,"Negative","Not Sampled")))</f>
        <v>Negative</v>
      </c>
      <c r="V1626" s="1" t="str">
        <f>IF(U1626="Not Sampled","Not Sampled",IF(S1626=U1626,"Accurate Prediction","Inaccurate Prediction"))</f>
        <v>Accurate Prediction</v>
      </c>
    </row>
    <row r="1627" spans="1:22" x14ac:dyDescent="0.25">
      <c r="A1627" s="1">
        <v>1625</v>
      </c>
      <c r="B1627" s="1">
        <v>0</v>
      </c>
      <c r="C1627" s="1">
        <f>LOOKUP(B1627,Sheet2!$D$4:$E$9)</f>
        <v>0</v>
      </c>
      <c r="D1627" s="1">
        <v>84</v>
      </c>
      <c r="E1627" t="str">
        <f>LOOKUP(D1627,Sheet2!$G$4:$H$9)</f>
        <v>1-99</v>
      </c>
      <c r="F1627" s="1">
        <v>64</v>
      </c>
      <c r="G1627" t="str">
        <f>LOOKUP(F1627,Sheet2!$J$4:$K$8)</f>
        <v>60-69</v>
      </c>
      <c r="H1627" s="1">
        <v>22</v>
      </c>
      <c r="I1627" t="str">
        <f>LOOKUP(H1627,Sheet2!$M$4:$N$8)</f>
        <v>10-30</v>
      </c>
      <c r="J1627" s="1">
        <v>66</v>
      </c>
      <c r="K1627" t="str">
        <f>LOOKUP(J1627,Sheet2!$P$4:$Q$9)</f>
        <v>1-99</v>
      </c>
      <c r="L1627" s="1">
        <v>35.799999999999997</v>
      </c>
      <c r="M1627" t="str">
        <f>LOOKUP(L1627,Sheet2!$S$4:$T$8)</f>
        <v>31-35</v>
      </c>
      <c r="N1627" s="1">
        <v>0.54500000000000004</v>
      </c>
      <c r="O1627" t="str">
        <f>LOOKUP(N1627,Sheet2!$V$4:$W$7)</f>
        <v>0.4 - 0.69</v>
      </c>
      <c r="P1627" s="1">
        <v>21</v>
      </c>
      <c r="Q1627" t="str">
        <f>LOOKUP(P1627,Sheet2!$Z$4:$AA$7)</f>
        <v>&lt;=25</v>
      </c>
      <c r="R1627" s="1">
        <v>0</v>
      </c>
      <c r="S1627" t="str">
        <f>IF(R1627=1,"Positive","Negative")</f>
        <v>Negative</v>
      </c>
      <c r="T1627" s="1" t="str">
        <f>IFERROR(VLOOKUP(A1627,[1]diabetes_Recognition!$A:$B,2,FALSE),"Not Sampled")</f>
        <v>Not Sampled</v>
      </c>
      <c r="U1627" t="str">
        <f>IF(T1627=1,"Positive",(IF(T1627=0,"Negative","Not Sampled")))</f>
        <v>Not Sampled</v>
      </c>
      <c r="V1627" s="1" t="str">
        <f>IF(U1627="Not Sampled","Not Sampled",IF(S1627=U1627,"Accurate Prediction","Inaccurate Prediction"))</f>
        <v>Not Sampled</v>
      </c>
    </row>
    <row r="1628" spans="1:22" x14ac:dyDescent="0.25">
      <c r="A1628" s="1">
        <v>1626</v>
      </c>
      <c r="B1628" s="1">
        <v>2</v>
      </c>
      <c r="C1628" s="1">
        <f>LOOKUP(B1628,Sheet2!$D$4:$E$9)</f>
        <v>2</v>
      </c>
      <c r="D1628" s="1">
        <v>105</v>
      </c>
      <c r="E1628" t="str">
        <f>LOOKUP(D1628,Sheet2!$G$4:$H$9)</f>
        <v>100-125</v>
      </c>
      <c r="F1628" s="1">
        <v>58</v>
      </c>
      <c r="G1628" t="str">
        <f>LOOKUP(F1628,Sheet2!$J$4:$K$8)</f>
        <v>1-59</v>
      </c>
      <c r="H1628" s="1">
        <v>40</v>
      </c>
      <c r="I1628" t="str">
        <f>LOOKUP(H1628,Sheet2!$M$4:$N$8)</f>
        <v>40+</v>
      </c>
      <c r="J1628" s="1">
        <v>94</v>
      </c>
      <c r="K1628" t="str">
        <f>LOOKUP(J1628,Sheet2!$P$4:$Q$9)</f>
        <v>1-99</v>
      </c>
      <c r="L1628" s="1">
        <v>34.9</v>
      </c>
      <c r="M1628" t="str">
        <f>LOOKUP(L1628,Sheet2!$S$4:$T$8)</f>
        <v>31-35</v>
      </c>
      <c r="N1628" s="1">
        <v>0.22500000000000001</v>
      </c>
      <c r="O1628" t="str">
        <f>LOOKUP(N1628,Sheet2!$V$4:$W$7)</f>
        <v>0.0 - 0.249</v>
      </c>
      <c r="P1628" s="1">
        <v>25</v>
      </c>
      <c r="Q1628" t="str">
        <f>LOOKUP(P1628,Sheet2!$Z$4:$AA$7)</f>
        <v>&lt;=25</v>
      </c>
      <c r="R1628" s="1">
        <v>0</v>
      </c>
      <c r="S1628" t="str">
        <f>IF(R1628=1,"Positive","Negative")</f>
        <v>Negative</v>
      </c>
      <c r="T1628" s="1" t="str">
        <f>IFERROR(VLOOKUP(A1628,[1]diabetes_Recognition!$A:$B,2,FALSE),"Not Sampled")</f>
        <v>Not Sampled</v>
      </c>
      <c r="U1628" t="str">
        <f>IF(T1628=1,"Positive",(IF(T1628=0,"Negative","Not Sampled")))</f>
        <v>Not Sampled</v>
      </c>
      <c r="V1628" s="1" t="str">
        <f>IF(U1628="Not Sampled","Not Sampled",IF(S1628=U1628,"Accurate Prediction","Inaccurate Prediction"))</f>
        <v>Not Sampled</v>
      </c>
    </row>
    <row r="1629" spans="1:22" x14ac:dyDescent="0.25">
      <c r="A1629" s="1">
        <v>1627</v>
      </c>
      <c r="B1629" s="1">
        <v>2</v>
      </c>
      <c r="C1629" s="1">
        <f>LOOKUP(B1629,Sheet2!$D$4:$E$9)</f>
        <v>2</v>
      </c>
      <c r="D1629" s="1">
        <v>122</v>
      </c>
      <c r="E1629" t="str">
        <f>LOOKUP(D1629,Sheet2!$G$4:$H$9)</f>
        <v>100-125</v>
      </c>
      <c r="F1629" s="1">
        <v>52</v>
      </c>
      <c r="G1629" t="str">
        <f>LOOKUP(F1629,Sheet2!$J$4:$K$8)</f>
        <v>1-59</v>
      </c>
      <c r="H1629" s="1">
        <v>43</v>
      </c>
      <c r="I1629" t="str">
        <f>LOOKUP(H1629,Sheet2!$M$4:$N$8)</f>
        <v>40+</v>
      </c>
      <c r="J1629" s="1">
        <v>158</v>
      </c>
      <c r="K1629" t="str">
        <f>LOOKUP(J1629,Sheet2!$P$4:$Q$9)</f>
        <v>100-199</v>
      </c>
      <c r="L1629" s="1">
        <v>36.200000000000003</v>
      </c>
      <c r="M1629" t="str">
        <f>LOOKUP(L1629,Sheet2!$S$4:$T$8)</f>
        <v>36+</v>
      </c>
      <c r="N1629" s="1">
        <v>0.81599999999999995</v>
      </c>
      <c r="O1629" t="str">
        <f>LOOKUP(N1629,Sheet2!$V$4:$W$7)</f>
        <v>0.7+</v>
      </c>
      <c r="P1629" s="1">
        <v>28</v>
      </c>
      <c r="Q1629" t="str">
        <f>LOOKUP(P1629,Sheet2!$Z$4:$AA$7)</f>
        <v>26-35</v>
      </c>
      <c r="R1629" s="1">
        <v>0</v>
      </c>
      <c r="S1629" t="str">
        <f>IF(R1629=1,"Positive","Negative")</f>
        <v>Negative</v>
      </c>
      <c r="T1629" s="1">
        <f>IFERROR(VLOOKUP(A1629,[1]diabetes_Recognition!$A:$B,2,FALSE),"Not Sampled")</f>
        <v>0</v>
      </c>
      <c r="U1629" t="str">
        <f>IF(T1629=1,"Positive",(IF(T1629=0,"Negative","Not Sampled")))</f>
        <v>Negative</v>
      </c>
      <c r="V1629" s="1" t="str">
        <f>IF(U1629="Not Sampled","Not Sampled",IF(S1629=U1629,"Accurate Prediction","Inaccurate Prediction"))</f>
        <v>Accurate Prediction</v>
      </c>
    </row>
    <row r="1630" spans="1:22" x14ac:dyDescent="0.25">
      <c r="A1630" s="1">
        <v>1628</v>
      </c>
      <c r="B1630" s="1">
        <v>12</v>
      </c>
      <c r="C1630" s="1" t="str">
        <f>LOOKUP(B1630,Sheet2!$D$4:$E$9)</f>
        <v>8+</v>
      </c>
      <c r="D1630" s="1">
        <v>140</v>
      </c>
      <c r="E1630" t="str">
        <f>LOOKUP(D1630,Sheet2!$G$4:$H$9)</f>
        <v>126-150</v>
      </c>
      <c r="F1630" s="1">
        <v>82</v>
      </c>
      <c r="G1630" t="str">
        <f>LOOKUP(F1630,Sheet2!$J$4:$K$8)</f>
        <v>80+</v>
      </c>
      <c r="H1630" s="1">
        <v>43</v>
      </c>
      <c r="I1630" t="str">
        <f>LOOKUP(H1630,Sheet2!$M$4:$N$8)</f>
        <v>40+</v>
      </c>
      <c r="J1630" s="1">
        <v>325</v>
      </c>
      <c r="K1630" t="str">
        <f>LOOKUP(J1630,Sheet2!$P$4:$Q$9)</f>
        <v>300-499</v>
      </c>
      <c r="L1630" s="1">
        <v>39.200000000000003</v>
      </c>
      <c r="M1630" t="str">
        <f>LOOKUP(L1630,Sheet2!$S$4:$T$8)</f>
        <v>36+</v>
      </c>
      <c r="N1630" s="1">
        <v>0.52800000000000002</v>
      </c>
      <c r="O1630" t="str">
        <f>LOOKUP(N1630,Sheet2!$V$4:$W$7)</f>
        <v>0.4 - 0.69</v>
      </c>
      <c r="P1630" s="1">
        <v>58</v>
      </c>
      <c r="Q1630" t="str">
        <f>LOOKUP(P1630,Sheet2!$Z$4:$AA$7)</f>
        <v>46+</v>
      </c>
      <c r="R1630" s="1">
        <v>1</v>
      </c>
      <c r="S1630" t="str">
        <f>IF(R1630=1,"Positive","Negative")</f>
        <v>Positive</v>
      </c>
      <c r="T1630" s="1" t="str">
        <f>IFERROR(VLOOKUP(A1630,[1]diabetes_Recognition!$A:$B,2,FALSE),"Not Sampled")</f>
        <v>Not Sampled</v>
      </c>
      <c r="U1630" t="str">
        <f>IF(T1630=1,"Positive",(IF(T1630=0,"Negative","Not Sampled")))</f>
        <v>Not Sampled</v>
      </c>
      <c r="V1630" s="1" t="str">
        <f>IF(U1630="Not Sampled","Not Sampled",IF(S1630=U1630,"Accurate Prediction","Inaccurate Prediction"))</f>
        <v>Not Sampled</v>
      </c>
    </row>
    <row r="1631" spans="1:22" x14ac:dyDescent="0.25">
      <c r="A1631" s="1">
        <v>1629</v>
      </c>
      <c r="B1631" s="1">
        <v>0</v>
      </c>
      <c r="C1631" s="1">
        <f>LOOKUP(B1631,Sheet2!$D$4:$E$9)</f>
        <v>0</v>
      </c>
      <c r="D1631" s="1">
        <v>98</v>
      </c>
      <c r="E1631" t="str">
        <f>LOOKUP(D1631,Sheet2!$G$4:$H$9)</f>
        <v>1-99</v>
      </c>
      <c r="F1631" s="1">
        <v>82</v>
      </c>
      <c r="G1631" t="str">
        <f>LOOKUP(F1631,Sheet2!$J$4:$K$8)</f>
        <v>80+</v>
      </c>
      <c r="H1631" s="1">
        <v>15</v>
      </c>
      <c r="I1631" t="str">
        <f>LOOKUP(H1631,Sheet2!$M$4:$N$8)</f>
        <v>10-30</v>
      </c>
      <c r="J1631" s="1">
        <v>84</v>
      </c>
      <c r="K1631" t="str">
        <f>LOOKUP(J1631,Sheet2!$P$4:$Q$9)</f>
        <v>1-99</v>
      </c>
      <c r="L1631" s="1">
        <v>25.2</v>
      </c>
      <c r="M1631" t="str">
        <f>LOOKUP(L1631,Sheet2!$S$4:$T$8)</f>
        <v>1-25</v>
      </c>
      <c r="N1631" s="1">
        <v>0.29899999999999999</v>
      </c>
      <c r="O1631" t="str">
        <f>LOOKUP(N1631,Sheet2!$V$4:$W$7)</f>
        <v>0.25 - 0.39</v>
      </c>
      <c r="P1631" s="1">
        <v>22</v>
      </c>
      <c r="Q1631" t="str">
        <f>LOOKUP(P1631,Sheet2!$Z$4:$AA$7)</f>
        <v>&lt;=25</v>
      </c>
      <c r="R1631" s="1">
        <v>0</v>
      </c>
      <c r="S1631" t="str">
        <f>IF(R1631=1,"Positive","Negative")</f>
        <v>Negative</v>
      </c>
      <c r="T1631" s="1">
        <f>IFERROR(VLOOKUP(A1631,[1]diabetes_Recognition!$A:$B,2,FALSE),"Not Sampled")</f>
        <v>0</v>
      </c>
      <c r="U1631" t="str">
        <f>IF(T1631=1,"Positive",(IF(T1631=0,"Negative","Not Sampled")))</f>
        <v>Negative</v>
      </c>
      <c r="V1631" s="1" t="str">
        <f>IF(U1631="Not Sampled","Not Sampled",IF(S1631=U1631,"Accurate Prediction","Inaccurate Prediction"))</f>
        <v>Accurate Prediction</v>
      </c>
    </row>
    <row r="1632" spans="1:22" x14ac:dyDescent="0.25">
      <c r="A1632" s="1">
        <v>1630</v>
      </c>
      <c r="B1632" s="1">
        <v>1</v>
      </c>
      <c r="C1632" s="1">
        <f>LOOKUP(B1632,Sheet2!$D$4:$E$9)</f>
        <v>1</v>
      </c>
      <c r="D1632" s="1">
        <v>87</v>
      </c>
      <c r="E1632" t="str">
        <f>LOOKUP(D1632,Sheet2!$G$4:$H$9)</f>
        <v>1-99</v>
      </c>
      <c r="F1632" s="1">
        <v>60</v>
      </c>
      <c r="G1632" t="str">
        <f>LOOKUP(F1632,Sheet2!$J$4:$K$8)</f>
        <v>60-69</v>
      </c>
      <c r="H1632" s="1">
        <v>37</v>
      </c>
      <c r="I1632" t="str">
        <f>LOOKUP(H1632,Sheet2!$M$4:$N$8)</f>
        <v>30-39</v>
      </c>
      <c r="J1632" s="1">
        <v>75</v>
      </c>
      <c r="K1632" t="str">
        <f>LOOKUP(J1632,Sheet2!$P$4:$Q$9)</f>
        <v>1-99</v>
      </c>
      <c r="L1632" s="1">
        <v>37.200000000000003</v>
      </c>
      <c r="M1632" t="str">
        <f>LOOKUP(L1632,Sheet2!$S$4:$T$8)</f>
        <v>36+</v>
      </c>
      <c r="N1632" s="1">
        <v>0.50900000000000001</v>
      </c>
      <c r="O1632" t="str">
        <f>LOOKUP(N1632,Sheet2!$V$4:$W$7)</f>
        <v>0.4 - 0.69</v>
      </c>
      <c r="P1632" s="1">
        <v>22</v>
      </c>
      <c r="Q1632" t="str">
        <f>LOOKUP(P1632,Sheet2!$Z$4:$AA$7)</f>
        <v>&lt;=25</v>
      </c>
      <c r="R1632" s="1">
        <v>0</v>
      </c>
      <c r="S1632" t="str">
        <f>IF(R1632=1,"Positive","Negative")</f>
        <v>Negative</v>
      </c>
      <c r="T1632" s="1" t="str">
        <f>IFERROR(VLOOKUP(A1632,[1]diabetes_Recognition!$A:$B,2,FALSE),"Not Sampled")</f>
        <v>Not Sampled</v>
      </c>
      <c r="U1632" t="str">
        <f>IF(T1632=1,"Positive",(IF(T1632=0,"Negative","Not Sampled")))</f>
        <v>Not Sampled</v>
      </c>
      <c r="V1632" s="1" t="str">
        <f>IF(U1632="Not Sampled","Not Sampled",IF(S1632=U1632,"Accurate Prediction","Inaccurate Prediction"))</f>
        <v>Not Sampled</v>
      </c>
    </row>
    <row r="1633" spans="1:22" x14ac:dyDescent="0.25">
      <c r="A1633" s="1">
        <v>1631</v>
      </c>
      <c r="B1633" s="1">
        <v>4</v>
      </c>
      <c r="C1633" s="1" t="str">
        <f>LOOKUP(B1633,Sheet2!$D$4:$E$9)</f>
        <v>3-4</v>
      </c>
      <c r="D1633" s="1">
        <v>156</v>
      </c>
      <c r="E1633" t="str">
        <f>LOOKUP(D1633,Sheet2!$G$4:$H$9)</f>
        <v>151-175</v>
      </c>
      <c r="F1633" s="1">
        <v>75</v>
      </c>
      <c r="G1633" t="str">
        <f>LOOKUP(F1633,Sheet2!$J$4:$K$8)</f>
        <v>70-79</v>
      </c>
      <c r="H1633" s="1">
        <v>0</v>
      </c>
      <c r="I1633" t="str">
        <f>LOOKUP(H1633,Sheet2!$M$4:$N$8)</f>
        <v>Unknown</v>
      </c>
      <c r="J1633" s="1">
        <v>0</v>
      </c>
      <c r="K1633" t="str">
        <f>LOOKUP(J1633,Sheet2!$P$4:$Q$9)</f>
        <v>Unknown</v>
      </c>
      <c r="L1633" s="1">
        <v>48.3</v>
      </c>
      <c r="M1633" t="str">
        <f>LOOKUP(L1633,Sheet2!$S$4:$T$8)</f>
        <v>36+</v>
      </c>
      <c r="N1633" s="1">
        <v>0.23799999999999999</v>
      </c>
      <c r="O1633" t="str">
        <f>LOOKUP(N1633,Sheet2!$V$4:$W$7)</f>
        <v>0.0 - 0.249</v>
      </c>
      <c r="P1633" s="1">
        <v>32</v>
      </c>
      <c r="Q1633" t="str">
        <f>LOOKUP(P1633,Sheet2!$Z$4:$AA$7)</f>
        <v>26-35</v>
      </c>
      <c r="R1633" s="1">
        <v>1</v>
      </c>
      <c r="S1633" t="str">
        <f>IF(R1633=1,"Positive","Negative")</f>
        <v>Positive</v>
      </c>
      <c r="T1633" s="1">
        <f>IFERROR(VLOOKUP(A1633,[1]diabetes_Recognition!$A:$B,2,FALSE),"Not Sampled")</f>
        <v>1</v>
      </c>
      <c r="U1633" t="str">
        <f>IF(T1633=1,"Positive",(IF(T1633=0,"Negative","Not Sampled")))</f>
        <v>Positive</v>
      </c>
      <c r="V1633" s="1" t="str">
        <f>IF(U1633="Not Sampled","Not Sampled",IF(S1633=U1633,"Accurate Prediction","Inaccurate Prediction"))</f>
        <v>Accurate Prediction</v>
      </c>
    </row>
    <row r="1634" spans="1:22" x14ac:dyDescent="0.25">
      <c r="A1634" s="1">
        <v>1632</v>
      </c>
      <c r="B1634" s="1">
        <v>0</v>
      </c>
      <c r="C1634" s="1">
        <f>LOOKUP(B1634,Sheet2!$D$4:$E$9)</f>
        <v>0</v>
      </c>
      <c r="D1634" s="1">
        <v>93</v>
      </c>
      <c r="E1634" t="str">
        <f>LOOKUP(D1634,Sheet2!$G$4:$H$9)</f>
        <v>1-99</v>
      </c>
      <c r="F1634" s="1">
        <v>100</v>
      </c>
      <c r="G1634" t="str">
        <f>LOOKUP(F1634,Sheet2!$J$4:$K$8)</f>
        <v>80+</v>
      </c>
      <c r="H1634" s="1">
        <v>39</v>
      </c>
      <c r="I1634" t="str">
        <f>LOOKUP(H1634,Sheet2!$M$4:$N$8)</f>
        <v>30-39</v>
      </c>
      <c r="J1634" s="1">
        <v>72</v>
      </c>
      <c r="K1634" t="str">
        <f>LOOKUP(J1634,Sheet2!$P$4:$Q$9)</f>
        <v>1-99</v>
      </c>
      <c r="L1634" s="1">
        <v>43.4</v>
      </c>
      <c r="M1634" t="str">
        <f>LOOKUP(L1634,Sheet2!$S$4:$T$8)</f>
        <v>36+</v>
      </c>
      <c r="N1634" s="1">
        <v>1.0209999999999999</v>
      </c>
      <c r="O1634" t="str">
        <f>LOOKUP(N1634,Sheet2!$V$4:$W$7)</f>
        <v>0.7+</v>
      </c>
      <c r="P1634" s="1">
        <v>35</v>
      </c>
      <c r="Q1634" t="str">
        <f>LOOKUP(P1634,Sheet2!$Z$4:$AA$7)</f>
        <v>26-35</v>
      </c>
      <c r="R1634" s="1">
        <v>0</v>
      </c>
      <c r="S1634" t="str">
        <f>IF(R1634=1,"Positive","Negative")</f>
        <v>Negative</v>
      </c>
      <c r="T1634" s="1">
        <f>IFERROR(VLOOKUP(A1634,[1]diabetes_Recognition!$A:$B,2,FALSE),"Not Sampled")</f>
        <v>0</v>
      </c>
      <c r="U1634" t="str">
        <f>IF(T1634=1,"Positive",(IF(T1634=0,"Negative","Not Sampled")))</f>
        <v>Negative</v>
      </c>
      <c r="V1634" s="1" t="str">
        <f>IF(U1634="Not Sampled","Not Sampled",IF(S1634=U1634,"Accurate Prediction","Inaccurate Prediction"))</f>
        <v>Accurate Prediction</v>
      </c>
    </row>
    <row r="1635" spans="1:22" x14ac:dyDescent="0.25">
      <c r="A1635" s="1">
        <v>1633</v>
      </c>
      <c r="B1635" s="1">
        <v>1</v>
      </c>
      <c r="C1635" s="1">
        <f>LOOKUP(B1635,Sheet2!$D$4:$E$9)</f>
        <v>1</v>
      </c>
      <c r="D1635" s="1">
        <v>107</v>
      </c>
      <c r="E1635" t="str">
        <f>LOOKUP(D1635,Sheet2!$G$4:$H$9)</f>
        <v>100-125</v>
      </c>
      <c r="F1635" s="1">
        <v>72</v>
      </c>
      <c r="G1635" t="str">
        <f>LOOKUP(F1635,Sheet2!$J$4:$K$8)</f>
        <v>70-79</v>
      </c>
      <c r="H1635" s="1">
        <v>30</v>
      </c>
      <c r="I1635" t="str">
        <f>LOOKUP(H1635,Sheet2!$M$4:$N$8)</f>
        <v>30-39</v>
      </c>
      <c r="J1635" s="1">
        <v>82</v>
      </c>
      <c r="K1635" t="str">
        <f>LOOKUP(J1635,Sheet2!$P$4:$Q$9)</f>
        <v>1-99</v>
      </c>
      <c r="L1635" s="1">
        <v>30.8</v>
      </c>
      <c r="M1635" t="str">
        <f>LOOKUP(L1635,Sheet2!$S$4:$T$8)</f>
        <v>26-30</v>
      </c>
      <c r="N1635" s="1">
        <v>0.82099999999999995</v>
      </c>
      <c r="O1635" t="str">
        <f>LOOKUP(N1635,Sheet2!$V$4:$W$7)</f>
        <v>0.7+</v>
      </c>
      <c r="P1635" s="1">
        <v>24</v>
      </c>
      <c r="Q1635" t="str">
        <f>LOOKUP(P1635,Sheet2!$Z$4:$AA$7)</f>
        <v>&lt;=25</v>
      </c>
      <c r="R1635" s="1">
        <v>0</v>
      </c>
      <c r="S1635" t="str">
        <f>IF(R1635=1,"Positive","Negative")</f>
        <v>Negative</v>
      </c>
      <c r="T1635" s="1" t="str">
        <f>IFERROR(VLOOKUP(A1635,[1]diabetes_Recognition!$A:$B,2,FALSE),"Not Sampled")</f>
        <v>Not Sampled</v>
      </c>
      <c r="U1635" t="str">
        <f>IF(T1635=1,"Positive",(IF(T1635=0,"Negative","Not Sampled")))</f>
        <v>Not Sampled</v>
      </c>
      <c r="V1635" s="1" t="str">
        <f>IF(U1635="Not Sampled","Not Sampled",IF(S1635=U1635,"Accurate Prediction","Inaccurate Prediction"))</f>
        <v>Not Sampled</v>
      </c>
    </row>
    <row r="1636" spans="1:22" x14ac:dyDescent="0.25">
      <c r="A1636" s="1">
        <v>1634</v>
      </c>
      <c r="B1636" s="1">
        <v>0</v>
      </c>
      <c r="C1636" s="1">
        <f>LOOKUP(B1636,Sheet2!$D$4:$E$9)</f>
        <v>0</v>
      </c>
      <c r="D1636" s="1">
        <v>105</v>
      </c>
      <c r="E1636" t="str">
        <f>LOOKUP(D1636,Sheet2!$G$4:$H$9)</f>
        <v>100-125</v>
      </c>
      <c r="F1636" s="1">
        <v>68</v>
      </c>
      <c r="G1636" t="str">
        <f>LOOKUP(F1636,Sheet2!$J$4:$K$8)</f>
        <v>60-69</v>
      </c>
      <c r="H1636" s="1">
        <v>22</v>
      </c>
      <c r="I1636" t="str">
        <f>LOOKUP(H1636,Sheet2!$M$4:$N$8)</f>
        <v>10-30</v>
      </c>
      <c r="J1636" s="1">
        <v>0</v>
      </c>
      <c r="K1636" t="str">
        <f>LOOKUP(J1636,Sheet2!$P$4:$Q$9)</f>
        <v>Unknown</v>
      </c>
      <c r="L1636" s="1">
        <v>20</v>
      </c>
      <c r="M1636" t="str">
        <f>LOOKUP(L1636,Sheet2!$S$4:$T$8)</f>
        <v>1-25</v>
      </c>
      <c r="N1636" s="1">
        <v>0.23599999999999999</v>
      </c>
      <c r="O1636" t="str">
        <f>LOOKUP(N1636,Sheet2!$V$4:$W$7)</f>
        <v>0.0 - 0.249</v>
      </c>
      <c r="P1636" s="1">
        <v>22</v>
      </c>
      <c r="Q1636" t="str">
        <f>LOOKUP(P1636,Sheet2!$Z$4:$AA$7)</f>
        <v>&lt;=25</v>
      </c>
      <c r="R1636" s="1">
        <v>0</v>
      </c>
      <c r="S1636" t="str">
        <f>IF(R1636=1,"Positive","Negative")</f>
        <v>Negative</v>
      </c>
      <c r="T1636" s="1">
        <f>IFERROR(VLOOKUP(A1636,[1]diabetes_Recognition!$A:$B,2,FALSE),"Not Sampled")</f>
        <v>0</v>
      </c>
      <c r="U1636" t="str">
        <f>IF(T1636=1,"Positive",(IF(T1636=0,"Negative","Not Sampled")))</f>
        <v>Negative</v>
      </c>
      <c r="V1636" s="1" t="str">
        <f>IF(U1636="Not Sampled","Not Sampled",IF(S1636=U1636,"Accurate Prediction","Inaccurate Prediction"))</f>
        <v>Accurate Prediction</v>
      </c>
    </row>
    <row r="1637" spans="1:22" x14ac:dyDescent="0.25">
      <c r="A1637" s="1">
        <v>1635</v>
      </c>
      <c r="B1637" s="1">
        <v>1</v>
      </c>
      <c r="C1637" s="1">
        <f>LOOKUP(B1637,Sheet2!$D$4:$E$9)</f>
        <v>1</v>
      </c>
      <c r="D1637" s="1">
        <v>109</v>
      </c>
      <c r="E1637" t="str">
        <f>LOOKUP(D1637,Sheet2!$G$4:$H$9)</f>
        <v>100-125</v>
      </c>
      <c r="F1637" s="1">
        <v>60</v>
      </c>
      <c r="G1637" t="str">
        <f>LOOKUP(F1637,Sheet2!$J$4:$K$8)</f>
        <v>60-69</v>
      </c>
      <c r="H1637" s="1">
        <v>8</v>
      </c>
      <c r="I1637" t="str">
        <f>LOOKUP(H1637,Sheet2!$M$4:$N$8)</f>
        <v>1-10</v>
      </c>
      <c r="J1637" s="1">
        <v>182</v>
      </c>
      <c r="K1637" t="str">
        <f>LOOKUP(J1637,Sheet2!$P$4:$Q$9)</f>
        <v>100-199</v>
      </c>
      <c r="L1637" s="1">
        <v>25.4</v>
      </c>
      <c r="M1637" t="str">
        <f>LOOKUP(L1637,Sheet2!$S$4:$T$8)</f>
        <v>1-25</v>
      </c>
      <c r="N1637" s="1">
        <v>0.94699999999999995</v>
      </c>
      <c r="O1637" t="str">
        <f>LOOKUP(N1637,Sheet2!$V$4:$W$7)</f>
        <v>0.7+</v>
      </c>
      <c r="P1637" s="1">
        <v>21</v>
      </c>
      <c r="Q1637" t="str">
        <f>LOOKUP(P1637,Sheet2!$Z$4:$AA$7)</f>
        <v>&lt;=25</v>
      </c>
      <c r="R1637" s="1">
        <v>0</v>
      </c>
      <c r="S1637" t="str">
        <f>IF(R1637=1,"Positive","Negative")</f>
        <v>Negative</v>
      </c>
      <c r="T1637" s="1" t="str">
        <f>IFERROR(VLOOKUP(A1637,[1]diabetes_Recognition!$A:$B,2,FALSE),"Not Sampled")</f>
        <v>Not Sampled</v>
      </c>
      <c r="U1637" t="str">
        <f>IF(T1637=1,"Positive",(IF(T1637=0,"Negative","Not Sampled")))</f>
        <v>Not Sampled</v>
      </c>
      <c r="V1637" s="1" t="str">
        <f>IF(U1637="Not Sampled","Not Sampled",IF(S1637=U1637,"Accurate Prediction","Inaccurate Prediction"))</f>
        <v>Not Sampled</v>
      </c>
    </row>
    <row r="1638" spans="1:22" x14ac:dyDescent="0.25">
      <c r="A1638" s="1">
        <v>1636</v>
      </c>
      <c r="B1638" s="1">
        <v>1</v>
      </c>
      <c r="C1638" s="1">
        <f>LOOKUP(B1638,Sheet2!$D$4:$E$9)</f>
        <v>1</v>
      </c>
      <c r="D1638" s="1">
        <v>90</v>
      </c>
      <c r="E1638" t="str">
        <f>LOOKUP(D1638,Sheet2!$G$4:$H$9)</f>
        <v>1-99</v>
      </c>
      <c r="F1638" s="1">
        <v>62</v>
      </c>
      <c r="G1638" t="str">
        <f>LOOKUP(F1638,Sheet2!$J$4:$K$8)</f>
        <v>60-69</v>
      </c>
      <c r="H1638" s="1">
        <v>18</v>
      </c>
      <c r="I1638" t="str">
        <f>LOOKUP(H1638,Sheet2!$M$4:$N$8)</f>
        <v>10-30</v>
      </c>
      <c r="J1638" s="1">
        <v>59</v>
      </c>
      <c r="K1638" t="str">
        <f>LOOKUP(J1638,Sheet2!$P$4:$Q$9)</f>
        <v>1-99</v>
      </c>
      <c r="L1638" s="1">
        <v>25.1</v>
      </c>
      <c r="M1638" t="str">
        <f>LOOKUP(L1638,Sheet2!$S$4:$T$8)</f>
        <v>1-25</v>
      </c>
      <c r="N1638" s="1">
        <v>1.268</v>
      </c>
      <c r="O1638" t="str">
        <f>LOOKUP(N1638,Sheet2!$V$4:$W$7)</f>
        <v>0.7+</v>
      </c>
      <c r="P1638" s="1">
        <v>25</v>
      </c>
      <c r="Q1638" t="str">
        <f>LOOKUP(P1638,Sheet2!$Z$4:$AA$7)</f>
        <v>&lt;=25</v>
      </c>
      <c r="R1638" s="1">
        <v>0</v>
      </c>
      <c r="S1638" t="str">
        <f>IF(R1638=1,"Positive","Negative")</f>
        <v>Negative</v>
      </c>
      <c r="T1638" s="1">
        <f>IFERROR(VLOOKUP(A1638,[1]diabetes_Recognition!$A:$B,2,FALSE),"Not Sampled")</f>
        <v>0</v>
      </c>
      <c r="U1638" t="str">
        <f>IF(T1638=1,"Positive",(IF(T1638=0,"Negative","Not Sampled")))</f>
        <v>Negative</v>
      </c>
      <c r="V1638" s="1" t="str">
        <f>IF(U1638="Not Sampled","Not Sampled",IF(S1638=U1638,"Accurate Prediction","Inaccurate Prediction"))</f>
        <v>Accurate Prediction</v>
      </c>
    </row>
    <row r="1639" spans="1:22" x14ac:dyDescent="0.25">
      <c r="A1639" s="1">
        <v>1637</v>
      </c>
      <c r="B1639" s="1">
        <v>1</v>
      </c>
      <c r="C1639" s="1">
        <f>LOOKUP(B1639,Sheet2!$D$4:$E$9)</f>
        <v>1</v>
      </c>
      <c r="D1639" s="1">
        <v>125</v>
      </c>
      <c r="E1639" t="str">
        <f>LOOKUP(D1639,Sheet2!$G$4:$H$9)</f>
        <v>100-125</v>
      </c>
      <c r="F1639" s="1">
        <v>70</v>
      </c>
      <c r="G1639" t="str">
        <f>LOOKUP(F1639,Sheet2!$J$4:$K$8)</f>
        <v>70-79</v>
      </c>
      <c r="H1639" s="1">
        <v>24</v>
      </c>
      <c r="I1639" t="str">
        <f>LOOKUP(H1639,Sheet2!$M$4:$N$8)</f>
        <v>10-30</v>
      </c>
      <c r="J1639" s="1">
        <v>110</v>
      </c>
      <c r="K1639" t="str">
        <f>LOOKUP(J1639,Sheet2!$P$4:$Q$9)</f>
        <v>100-199</v>
      </c>
      <c r="L1639" s="1">
        <v>24.3</v>
      </c>
      <c r="M1639" t="str">
        <f>LOOKUP(L1639,Sheet2!$S$4:$T$8)</f>
        <v>1-25</v>
      </c>
      <c r="N1639" s="1">
        <v>0.221</v>
      </c>
      <c r="O1639" t="str">
        <f>LOOKUP(N1639,Sheet2!$V$4:$W$7)</f>
        <v>0.0 - 0.249</v>
      </c>
      <c r="P1639" s="1">
        <v>25</v>
      </c>
      <c r="Q1639" t="str">
        <f>LOOKUP(P1639,Sheet2!$Z$4:$AA$7)</f>
        <v>&lt;=25</v>
      </c>
      <c r="R1639" s="1">
        <v>0</v>
      </c>
      <c r="S1639" t="str">
        <f>IF(R1639=1,"Positive","Negative")</f>
        <v>Negative</v>
      </c>
      <c r="T1639" s="1">
        <f>IFERROR(VLOOKUP(A1639,[1]diabetes_Recognition!$A:$B,2,FALSE),"Not Sampled")</f>
        <v>0</v>
      </c>
      <c r="U1639" t="str">
        <f>IF(T1639=1,"Positive",(IF(T1639=0,"Negative","Not Sampled")))</f>
        <v>Negative</v>
      </c>
      <c r="V1639" s="1" t="str">
        <f>IF(U1639="Not Sampled","Not Sampled",IF(S1639=U1639,"Accurate Prediction","Inaccurate Prediction"))</f>
        <v>Accurate Prediction</v>
      </c>
    </row>
    <row r="1640" spans="1:22" x14ac:dyDescent="0.25">
      <c r="A1640" s="1">
        <v>1638</v>
      </c>
      <c r="B1640" s="1">
        <v>1</v>
      </c>
      <c r="C1640" s="1">
        <f>LOOKUP(B1640,Sheet2!$D$4:$E$9)</f>
        <v>1</v>
      </c>
      <c r="D1640" s="1">
        <v>119</v>
      </c>
      <c r="E1640" t="str">
        <f>LOOKUP(D1640,Sheet2!$G$4:$H$9)</f>
        <v>100-125</v>
      </c>
      <c r="F1640" s="1">
        <v>54</v>
      </c>
      <c r="G1640" t="str">
        <f>LOOKUP(F1640,Sheet2!$J$4:$K$8)</f>
        <v>1-59</v>
      </c>
      <c r="H1640" s="1">
        <v>13</v>
      </c>
      <c r="I1640" t="str">
        <f>LOOKUP(H1640,Sheet2!$M$4:$N$8)</f>
        <v>10-30</v>
      </c>
      <c r="J1640" s="1">
        <v>50</v>
      </c>
      <c r="K1640" t="str">
        <f>LOOKUP(J1640,Sheet2!$P$4:$Q$9)</f>
        <v>1-99</v>
      </c>
      <c r="L1640" s="1">
        <v>22.3</v>
      </c>
      <c r="M1640" t="str">
        <f>LOOKUP(L1640,Sheet2!$S$4:$T$8)</f>
        <v>1-25</v>
      </c>
      <c r="N1640" s="1">
        <v>0.20499999999999999</v>
      </c>
      <c r="O1640" t="str">
        <f>LOOKUP(N1640,Sheet2!$V$4:$W$7)</f>
        <v>0.0 - 0.249</v>
      </c>
      <c r="P1640" s="1">
        <v>24</v>
      </c>
      <c r="Q1640" t="str">
        <f>LOOKUP(P1640,Sheet2!$Z$4:$AA$7)</f>
        <v>&lt;=25</v>
      </c>
      <c r="R1640" s="1">
        <v>0</v>
      </c>
      <c r="S1640" t="str">
        <f>IF(R1640=1,"Positive","Negative")</f>
        <v>Negative</v>
      </c>
      <c r="T1640" s="1">
        <f>IFERROR(VLOOKUP(A1640,[1]diabetes_Recognition!$A:$B,2,FALSE),"Not Sampled")</f>
        <v>0</v>
      </c>
      <c r="U1640" t="str">
        <f>IF(T1640=1,"Positive",(IF(T1640=0,"Negative","Not Sampled")))</f>
        <v>Negative</v>
      </c>
      <c r="V1640" s="1" t="str">
        <f>IF(U1640="Not Sampled","Not Sampled",IF(S1640=U1640,"Accurate Prediction","Inaccurate Prediction"))</f>
        <v>Accurate Prediction</v>
      </c>
    </row>
    <row r="1641" spans="1:22" x14ac:dyDescent="0.25">
      <c r="A1641" s="1">
        <v>1639</v>
      </c>
      <c r="B1641" s="1">
        <v>5</v>
      </c>
      <c r="C1641" s="1" t="str">
        <f>LOOKUP(B1641,Sheet2!$D$4:$E$9)</f>
        <v>5-7</v>
      </c>
      <c r="D1641" s="1">
        <v>116</v>
      </c>
      <c r="E1641" t="str">
        <f>LOOKUP(D1641,Sheet2!$G$4:$H$9)</f>
        <v>100-125</v>
      </c>
      <c r="F1641" s="1">
        <v>74</v>
      </c>
      <c r="G1641" t="str">
        <f>LOOKUP(F1641,Sheet2!$J$4:$K$8)</f>
        <v>70-79</v>
      </c>
      <c r="H1641" s="1">
        <v>29</v>
      </c>
      <c r="I1641" t="str">
        <f>LOOKUP(H1641,Sheet2!$M$4:$N$8)</f>
        <v>10-30</v>
      </c>
      <c r="J1641" s="1">
        <v>0</v>
      </c>
      <c r="K1641" t="str">
        <f>LOOKUP(J1641,Sheet2!$P$4:$Q$9)</f>
        <v>Unknown</v>
      </c>
      <c r="L1641" s="1">
        <v>32.299999999999997</v>
      </c>
      <c r="M1641" t="str">
        <f>LOOKUP(L1641,Sheet2!$S$4:$T$8)</f>
        <v>31-35</v>
      </c>
      <c r="N1641" s="1">
        <v>0.66</v>
      </c>
      <c r="O1641" t="str">
        <f>LOOKUP(N1641,Sheet2!$V$4:$W$7)</f>
        <v>0.4 - 0.69</v>
      </c>
      <c r="P1641" s="1">
        <v>35</v>
      </c>
      <c r="Q1641" t="str">
        <f>LOOKUP(P1641,Sheet2!$Z$4:$AA$7)</f>
        <v>26-35</v>
      </c>
      <c r="R1641" s="1">
        <v>1</v>
      </c>
      <c r="S1641" t="str">
        <f>IF(R1641=1,"Positive","Negative")</f>
        <v>Positive</v>
      </c>
      <c r="T1641" s="1">
        <f>IFERROR(VLOOKUP(A1641,[1]diabetes_Recognition!$A:$B,2,FALSE),"Not Sampled")</f>
        <v>0</v>
      </c>
      <c r="U1641" t="str">
        <f>IF(T1641=1,"Positive",(IF(T1641=0,"Negative","Not Sampled")))</f>
        <v>Negative</v>
      </c>
      <c r="V1641" s="1" t="str">
        <f>IF(U1641="Not Sampled","Not Sampled",IF(S1641=U1641,"Accurate Prediction","Inaccurate Prediction"))</f>
        <v>Inaccurate Prediction</v>
      </c>
    </row>
    <row r="1642" spans="1:22" x14ac:dyDescent="0.25">
      <c r="A1642" s="1">
        <v>1640</v>
      </c>
      <c r="B1642" s="1">
        <v>8</v>
      </c>
      <c r="C1642" s="1" t="str">
        <f>LOOKUP(B1642,Sheet2!$D$4:$E$9)</f>
        <v>8+</v>
      </c>
      <c r="D1642" s="1">
        <v>105</v>
      </c>
      <c r="E1642" t="str">
        <f>LOOKUP(D1642,Sheet2!$G$4:$H$9)</f>
        <v>100-125</v>
      </c>
      <c r="F1642" s="1">
        <v>100</v>
      </c>
      <c r="G1642" t="str">
        <f>LOOKUP(F1642,Sheet2!$J$4:$K$8)</f>
        <v>80+</v>
      </c>
      <c r="H1642" s="1">
        <v>36</v>
      </c>
      <c r="I1642" t="str">
        <f>LOOKUP(H1642,Sheet2!$M$4:$N$8)</f>
        <v>30-39</v>
      </c>
      <c r="J1642" s="1">
        <v>0</v>
      </c>
      <c r="K1642" t="str">
        <f>LOOKUP(J1642,Sheet2!$P$4:$Q$9)</f>
        <v>Unknown</v>
      </c>
      <c r="L1642" s="1">
        <v>43.3</v>
      </c>
      <c r="M1642" t="str">
        <f>LOOKUP(L1642,Sheet2!$S$4:$T$8)</f>
        <v>36+</v>
      </c>
      <c r="N1642" s="1">
        <v>0.23899999999999999</v>
      </c>
      <c r="O1642" t="str">
        <f>LOOKUP(N1642,Sheet2!$V$4:$W$7)</f>
        <v>0.0 - 0.249</v>
      </c>
      <c r="P1642" s="1">
        <v>45</v>
      </c>
      <c r="Q1642" t="str">
        <f>LOOKUP(P1642,Sheet2!$Z$4:$AA$7)</f>
        <v>36-45</v>
      </c>
      <c r="R1642" s="1">
        <v>1</v>
      </c>
      <c r="S1642" t="str">
        <f>IF(R1642=1,"Positive","Negative")</f>
        <v>Positive</v>
      </c>
      <c r="T1642" s="1" t="str">
        <f>IFERROR(VLOOKUP(A1642,[1]diabetes_Recognition!$A:$B,2,FALSE),"Not Sampled")</f>
        <v>Not Sampled</v>
      </c>
      <c r="U1642" t="str">
        <f>IF(T1642=1,"Positive",(IF(T1642=0,"Negative","Not Sampled")))</f>
        <v>Not Sampled</v>
      </c>
      <c r="V1642" s="1" t="str">
        <f>IF(U1642="Not Sampled","Not Sampled",IF(S1642=U1642,"Accurate Prediction","Inaccurate Prediction"))</f>
        <v>Not Sampled</v>
      </c>
    </row>
    <row r="1643" spans="1:22" x14ac:dyDescent="0.25">
      <c r="A1643" s="1">
        <v>1641</v>
      </c>
      <c r="B1643" s="1">
        <v>5</v>
      </c>
      <c r="C1643" s="1" t="str">
        <f>LOOKUP(B1643,Sheet2!$D$4:$E$9)</f>
        <v>5-7</v>
      </c>
      <c r="D1643" s="1">
        <v>144</v>
      </c>
      <c r="E1643" t="str">
        <f>LOOKUP(D1643,Sheet2!$G$4:$H$9)</f>
        <v>126-150</v>
      </c>
      <c r="F1643" s="1">
        <v>82</v>
      </c>
      <c r="G1643" t="str">
        <f>LOOKUP(F1643,Sheet2!$J$4:$K$8)</f>
        <v>80+</v>
      </c>
      <c r="H1643" s="1">
        <v>26</v>
      </c>
      <c r="I1643" t="str">
        <f>LOOKUP(H1643,Sheet2!$M$4:$N$8)</f>
        <v>10-30</v>
      </c>
      <c r="J1643" s="1">
        <v>285</v>
      </c>
      <c r="K1643" t="str">
        <f>LOOKUP(J1643,Sheet2!$P$4:$Q$9)</f>
        <v>200-399</v>
      </c>
      <c r="L1643" s="1">
        <v>32</v>
      </c>
      <c r="M1643" t="str">
        <f>LOOKUP(L1643,Sheet2!$S$4:$T$8)</f>
        <v>31-35</v>
      </c>
      <c r="N1643" s="1">
        <v>0.45200000000000001</v>
      </c>
      <c r="O1643" t="str">
        <f>LOOKUP(N1643,Sheet2!$V$4:$W$7)</f>
        <v>0.4 - 0.69</v>
      </c>
      <c r="P1643" s="1">
        <v>58</v>
      </c>
      <c r="Q1643" t="str">
        <f>LOOKUP(P1643,Sheet2!$Z$4:$AA$7)</f>
        <v>46+</v>
      </c>
      <c r="R1643" s="1">
        <v>1</v>
      </c>
      <c r="S1643" t="str">
        <f>IF(R1643=1,"Positive","Negative")</f>
        <v>Positive</v>
      </c>
      <c r="T1643" s="1" t="str">
        <f>IFERROR(VLOOKUP(A1643,[1]diabetes_Recognition!$A:$B,2,FALSE),"Not Sampled")</f>
        <v>Not Sampled</v>
      </c>
      <c r="U1643" t="str">
        <f>IF(T1643=1,"Positive",(IF(T1643=0,"Negative","Not Sampled")))</f>
        <v>Not Sampled</v>
      </c>
      <c r="V1643" s="1" t="str">
        <f>IF(U1643="Not Sampled","Not Sampled",IF(S1643=U1643,"Accurate Prediction","Inaccurate Prediction"))</f>
        <v>Not Sampled</v>
      </c>
    </row>
    <row r="1644" spans="1:22" x14ac:dyDescent="0.25">
      <c r="A1644" s="1">
        <v>1642</v>
      </c>
      <c r="B1644" s="1">
        <v>3</v>
      </c>
      <c r="C1644" s="1" t="str">
        <f>LOOKUP(B1644,Sheet2!$D$4:$E$9)</f>
        <v>3-4</v>
      </c>
      <c r="D1644" s="1">
        <v>100</v>
      </c>
      <c r="E1644" t="str">
        <f>LOOKUP(D1644,Sheet2!$G$4:$H$9)</f>
        <v>100-125</v>
      </c>
      <c r="F1644" s="1">
        <v>68</v>
      </c>
      <c r="G1644" t="str">
        <f>LOOKUP(F1644,Sheet2!$J$4:$K$8)</f>
        <v>60-69</v>
      </c>
      <c r="H1644" s="1">
        <v>23</v>
      </c>
      <c r="I1644" t="str">
        <f>LOOKUP(H1644,Sheet2!$M$4:$N$8)</f>
        <v>10-30</v>
      </c>
      <c r="J1644" s="1">
        <v>81</v>
      </c>
      <c r="K1644" t="str">
        <f>LOOKUP(J1644,Sheet2!$P$4:$Q$9)</f>
        <v>1-99</v>
      </c>
      <c r="L1644" s="1">
        <v>31.6</v>
      </c>
      <c r="M1644" t="str">
        <f>LOOKUP(L1644,Sheet2!$S$4:$T$8)</f>
        <v>31-35</v>
      </c>
      <c r="N1644" s="1">
        <v>0.94899999999999995</v>
      </c>
      <c r="O1644" t="str">
        <f>LOOKUP(N1644,Sheet2!$V$4:$W$7)</f>
        <v>0.7+</v>
      </c>
      <c r="P1644" s="1">
        <v>28</v>
      </c>
      <c r="Q1644" t="str">
        <f>LOOKUP(P1644,Sheet2!$Z$4:$AA$7)</f>
        <v>26-35</v>
      </c>
      <c r="R1644" s="1">
        <v>0</v>
      </c>
      <c r="S1644" t="str">
        <f>IF(R1644=1,"Positive","Negative")</f>
        <v>Negative</v>
      </c>
      <c r="T1644" s="1" t="str">
        <f>IFERROR(VLOOKUP(A1644,[1]diabetes_Recognition!$A:$B,2,FALSE),"Not Sampled")</f>
        <v>Not Sampled</v>
      </c>
      <c r="U1644" t="str">
        <f>IF(T1644=1,"Positive",(IF(T1644=0,"Negative","Not Sampled")))</f>
        <v>Not Sampled</v>
      </c>
      <c r="V1644" s="1" t="str">
        <f>IF(U1644="Not Sampled","Not Sampled",IF(S1644=U1644,"Accurate Prediction","Inaccurate Prediction"))</f>
        <v>Not Sampled</v>
      </c>
    </row>
    <row r="1645" spans="1:22" x14ac:dyDescent="0.25">
      <c r="A1645" s="1">
        <v>1643</v>
      </c>
      <c r="B1645" s="1">
        <v>1</v>
      </c>
      <c r="C1645" s="1">
        <f>LOOKUP(B1645,Sheet2!$D$4:$E$9)</f>
        <v>1</v>
      </c>
      <c r="D1645" s="1">
        <v>100</v>
      </c>
      <c r="E1645" t="str">
        <f>LOOKUP(D1645,Sheet2!$G$4:$H$9)</f>
        <v>100-125</v>
      </c>
      <c r="F1645" s="1">
        <v>66</v>
      </c>
      <c r="G1645" t="str">
        <f>LOOKUP(F1645,Sheet2!$J$4:$K$8)</f>
        <v>60-69</v>
      </c>
      <c r="H1645" s="1">
        <v>29</v>
      </c>
      <c r="I1645" t="str">
        <f>LOOKUP(H1645,Sheet2!$M$4:$N$8)</f>
        <v>10-30</v>
      </c>
      <c r="J1645" s="1">
        <v>196</v>
      </c>
      <c r="K1645" t="str">
        <f>LOOKUP(J1645,Sheet2!$P$4:$Q$9)</f>
        <v>100-199</v>
      </c>
      <c r="L1645" s="1">
        <v>32</v>
      </c>
      <c r="M1645" t="str">
        <f>LOOKUP(L1645,Sheet2!$S$4:$T$8)</f>
        <v>31-35</v>
      </c>
      <c r="N1645" s="1">
        <v>0.44400000000000001</v>
      </c>
      <c r="O1645" t="str">
        <f>LOOKUP(N1645,Sheet2!$V$4:$W$7)</f>
        <v>0.4 - 0.69</v>
      </c>
      <c r="P1645" s="1">
        <v>42</v>
      </c>
      <c r="Q1645" t="str">
        <f>LOOKUP(P1645,Sheet2!$Z$4:$AA$7)</f>
        <v>36-45</v>
      </c>
      <c r="R1645" s="1">
        <v>0</v>
      </c>
      <c r="S1645" t="str">
        <f>IF(R1645=1,"Positive","Negative")</f>
        <v>Negative</v>
      </c>
      <c r="T1645" s="1" t="str">
        <f>IFERROR(VLOOKUP(A1645,[1]diabetes_Recognition!$A:$B,2,FALSE),"Not Sampled")</f>
        <v>Not Sampled</v>
      </c>
      <c r="U1645" t="str">
        <f>IF(T1645=1,"Positive",(IF(T1645=0,"Negative","Not Sampled")))</f>
        <v>Not Sampled</v>
      </c>
      <c r="V1645" s="1" t="str">
        <f>IF(U1645="Not Sampled","Not Sampled",IF(S1645=U1645,"Accurate Prediction","Inaccurate Prediction"))</f>
        <v>Not Sampled</v>
      </c>
    </row>
    <row r="1646" spans="1:22" x14ac:dyDescent="0.25">
      <c r="A1646" s="1">
        <v>1644</v>
      </c>
      <c r="B1646" s="1">
        <v>5</v>
      </c>
      <c r="C1646" s="1" t="str">
        <f>LOOKUP(B1646,Sheet2!$D$4:$E$9)</f>
        <v>5-7</v>
      </c>
      <c r="D1646" s="1">
        <v>166</v>
      </c>
      <c r="E1646" t="str">
        <f>LOOKUP(D1646,Sheet2!$G$4:$H$9)</f>
        <v>151-175</v>
      </c>
      <c r="F1646" s="1">
        <v>76</v>
      </c>
      <c r="G1646" t="str">
        <f>LOOKUP(F1646,Sheet2!$J$4:$K$8)</f>
        <v>70-79</v>
      </c>
      <c r="H1646" s="1">
        <v>0</v>
      </c>
      <c r="I1646" t="str">
        <f>LOOKUP(H1646,Sheet2!$M$4:$N$8)</f>
        <v>Unknown</v>
      </c>
      <c r="J1646" s="1">
        <v>0</v>
      </c>
      <c r="K1646" t="str">
        <f>LOOKUP(J1646,Sheet2!$P$4:$Q$9)</f>
        <v>Unknown</v>
      </c>
      <c r="L1646" s="1">
        <v>45.7</v>
      </c>
      <c r="M1646" t="str">
        <f>LOOKUP(L1646,Sheet2!$S$4:$T$8)</f>
        <v>36+</v>
      </c>
      <c r="N1646" s="1">
        <v>0.34</v>
      </c>
      <c r="O1646" t="str">
        <f>LOOKUP(N1646,Sheet2!$V$4:$W$7)</f>
        <v>0.25 - 0.39</v>
      </c>
      <c r="P1646" s="1">
        <v>27</v>
      </c>
      <c r="Q1646" t="str">
        <f>LOOKUP(P1646,Sheet2!$Z$4:$AA$7)</f>
        <v>26-35</v>
      </c>
      <c r="R1646" s="1">
        <v>1</v>
      </c>
      <c r="S1646" t="str">
        <f>IF(R1646=1,"Positive","Negative")</f>
        <v>Positive</v>
      </c>
      <c r="T1646" s="1" t="str">
        <f>IFERROR(VLOOKUP(A1646,[1]diabetes_Recognition!$A:$B,2,FALSE),"Not Sampled")</f>
        <v>Not Sampled</v>
      </c>
      <c r="U1646" t="str">
        <f>IF(T1646=1,"Positive",(IF(T1646=0,"Negative","Not Sampled")))</f>
        <v>Not Sampled</v>
      </c>
      <c r="V1646" s="1" t="str">
        <f>IF(U1646="Not Sampled","Not Sampled",IF(S1646=U1646,"Accurate Prediction","Inaccurate Prediction"))</f>
        <v>Not Sampled</v>
      </c>
    </row>
    <row r="1647" spans="1:22" x14ac:dyDescent="0.25">
      <c r="A1647" s="1">
        <v>1645</v>
      </c>
      <c r="B1647" s="1">
        <v>1</v>
      </c>
      <c r="C1647" s="1">
        <f>LOOKUP(B1647,Sheet2!$D$4:$E$9)</f>
        <v>1</v>
      </c>
      <c r="D1647" s="1">
        <v>131</v>
      </c>
      <c r="E1647" t="str">
        <f>LOOKUP(D1647,Sheet2!$G$4:$H$9)</f>
        <v>126-150</v>
      </c>
      <c r="F1647" s="1">
        <v>64</v>
      </c>
      <c r="G1647" t="str">
        <f>LOOKUP(F1647,Sheet2!$J$4:$K$8)</f>
        <v>60-69</v>
      </c>
      <c r="H1647" s="1">
        <v>14</v>
      </c>
      <c r="I1647" t="str">
        <f>LOOKUP(H1647,Sheet2!$M$4:$N$8)</f>
        <v>10-30</v>
      </c>
      <c r="J1647" s="1">
        <v>415</v>
      </c>
      <c r="K1647" t="str">
        <f>LOOKUP(J1647,Sheet2!$P$4:$Q$9)</f>
        <v>300-499</v>
      </c>
      <c r="L1647" s="1">
        <v>23.7</v>
      </c>
      <c r="M1647" t="str">
        <f>LOOKUP(L1647,Sheet2!$S$4:$T$8)</f>
        <v>1-25</v>
      </c>
      <c r="N1647" s="1">
        <v>0.38900000000000001</v>
      </c>
      <c r="O1647" t="str">
        <f>LOOKUP(N1647,Sheet2!$V$4:$W$7)</f>
        <v>0.25 - 0.39</v>
      </c>
      <c r="P1647" s="1">
        <v>21</v>
      </c>
      <c r="Q1647" t="str">
        <f>LOOKUP(P1647,Sheet2!$Z$4:$AA$7)</f>
        <v>&lt;=25</v>
      </c>
      <c r="R1647" s="1">
        <v>0</v>
      </c>
      <c r="S1647" t="str">
        <f>IF(R1647=1,"Positive","Negative")</f>
        <v>Negative</v>
      </c>
      <c r="T1647" s="1" t="str">
        <f>IFERROR(VLOOKUP(A1647,[1]diabetes_Recognition!$A:$B,2,FALSE),"Not Sampled")</f>
        <v>Not Sampled</v>
      </c>
      <c r="U1647" t="str">
        <f>IF(T1647=1,"Positive",(IF(T1647=0,"Negative","Not Sampled")))</f>
        <v>Not Sampled</v>
      </c>
      <c r="V1647" s="1" t="str">
        <f>IF(U1647="Not Sampled","Not Sampled",IF(S1647=U1647,"Accurate Prediction","Inaccurate Prediction"))</f>
        <v>Not Sampled</v>
      </c>
    </row>
    <row r="1648" spans="1:22" x14ac:dyDescent="0.25">
      <c r="A1648" s="1">
        <v>1646</v>
      </c>
      <c r="B1648" s="1">
        <v>4</v>
      </c>
      <c r="C1648" s="1" t="str">
        <f>LOOKUP(B1648,Sheet2!$D$4:$E$9)</f>
        <v>3-4</v>
      </c>
      <c r="D1648" s="1">
        <v>116</v>
      </c>
      <c r="E1648" t="str">
        <f>LOOKUP(D1648,Sheet2!$G$4:$H$9)</f>
        <v>100-125</v>
      </c>
      <c r="F1648" s="1">
        <v>72</v>
      </c>
      <c r="G1648" t="str">
        <f>LOOKUP(F1648,Sheet2!$J$4:$K$8)</f>
        <v>70-79</v>
      </c>
      <c r="H1648" s="1">
        <v>12</v>
      </c>
      <c r="I1648" t="str">
        <f>LOOKUP(H1648,Sheet2!$M$4:$N$8)</f>
        <v>10-30</v>
      </c>
      <c r="J1648" s="1">
        <v>87</v>
      </c>
      <c r="K1648" t="str">
        <f>LOOKUP(J1648,Sheet2!$P$4:$Q$9)</f>
        <v>1-99</v>
      </c>
      <c r="L1648" s="1">
        <v>22.1</v>
      </c>
      <c r="M1648" t="str">
        <f>LOOKUP(L1648,Sheet2!$S$4:$T$8)</f>
        <v>1-25</v>
      </c>
      <c r="N1648" s="1">
        <v>0.46300000000000002</v>
      </c>
      <c r="O1648" t="str">
        <f>LOOKUP(N1648,Sheet2!$V$4:$W$7)</f>
        <v>0.4 - 0.69</v>
      </c>
      <c r="P1648" s="1">
        <v>37</v>
      </c>
      <c r="Q1648" t="str">
        <f>LOOKUP(P1648,Sheet2!$Z$4:$AA$7)</f>
        <v>36-45</v>
      </c>
      <c r="R1648" s="1">
        <v>0</v>
      </c>
      <c r="S1648" t="str">
        <f>IF(R1648=1,"Positive","Negative")</f>
        <v>Negative</v>
      </c>
      <c r="T1648" s="1">
        <f>IFERROR(VLOOKUP(A1648,[1]diabetes_Recognition!$A:$B,2,FALSE),"Not Sampled")</f>
        <v>0</v>
      </c>
      <c r="U1648" t="str">
        <f>IF(T1648=1,"Positive",(IF(T1648=0,"Negative","Not Sampled")))</f>
        <v>Negative</v>
      </c>
      <c r="V1648" s="1" t="str">
        <f>IF(U1648="Not Sampled","Not Sampled",IF(S1648=U1648,"Accurate Prediction","Inaccurate Prediction"))</f>
        <v>Accurate Prediction</v>
      </c>
    </row>
    <row r="1649" spans="1:22" x14ac:dyDescent="0.25">
      <c r="A1649" s="1">
        <v>1647</v>
      </c>
      <c r="B1649" s="1">
        <v>4</v>
      </c>
      <c r="C1649" s="1" t="str">
        <f>LOOKUP(B1649,Sheet2!$D$4:$E$9)</f>
        <v>3-4</v>
      </c>
      <c r="D1649" s="1">
        <v>158</v>
      </c>
      <c r="E1649" t="str">
        <f>LOOKUP(D1649,Sheet2!$G$4:$H$9)</f>
        <v>151-175</v>
      </c>
      <c r="F1649" s="1">
        <v>78</v>
      </c>
      <c r="G1649" t="str">
        <f>LOOKUP(F1649,Sheet2!$J$4:$K$8)</f>
        <v>70-79</v>
      </c>
      <c r="H1649" s="1">
        <v>0</v>
      </c>
      <c r="I1649" t="str">
        <f>LOOKUP(H1649,Sheet2!$M$4:$N$8)</f>
        <v>Unknown</v>
      </c>
      <c r="J1649" s="1">
        <v>0</v>
      </c>
      <c r="K1649" t="str">
        <f>LOOKUP(J1649,Sheet2!$P$4:$Q$9)</f>
        <v>Unknown</v>
      </c>
      <c r="L1649" s="1">
        <v>32.9</v>
      </c>
      <c r="M1649" t="str">
        <f>LOOKUP(L1649,Sheet2!$S$4:$T$8)</f>
        <v>31-35</v>
      </c>
      <c r="N1649" s="1">
        <v>0.80300000000000005</v>
      </c>
      <c r="O1649" t="str">
        <f>LOOKUP(N1649,Sheet2!$V$4:$W$7)</f>
        <v>0.7+</v>
      </c>
      <c r="P1649" s="1">
        <v>31</v>
      </c>
      <c r="Q1649" t="str">
        <f>LOOKUP(P1649,Sheet2!$Z$4:$AA$7)</f>
        <v>26-35</v>
      </c>
      <c r="R1649" s="1">
        <v>1</v>
      </c>
      <c r="S1649" t="str">
        <f>IF(R1649=1,"Positive","Negative")</f>
        <v>Positive</v>
      </c>
      <c r="T1649" s="1">
        <f>IFERROR(VLOOKUP(A1649,[1]diabetes_Recognition!$A:$B,2,FALSE),"Not Sampled")</f>
        <v>1</v>
      </c>
      <c r="U1649" t="str">
        <f>IF(T1649=1,"Positive",(IF(T1649=0,"Negative","Not Sampled")))</f>
        <v>Positive</v>
      </c>
      <c r="V1649" s="1" t="str">
        <f>IF(U1649="Not Sampled","Not Sampled",IF(S1649=U1649,"Accurate Prediction","Inaccurate Prediction"))</f>
        <v>Accurate Prediction</v>
      </c>
    </row>
    <row r="1650" spans="1:22" x14ac:dyDescent="0.25">
      <c r="A1650" s="1">
        <v>1648</v>
      </c>
      <c r="B1650" s="1">
        <v>2</v>
      </c>
      <c r="C1650" s="1">
        <f>LOOKUP(B1650,Sheet2!$D$4:$E$9)</f>
        <v>2</v>
      </c>
      <c r="D1650" s="1">
        <v>127</v>
      </c>
      <c r="E1650" t="str">
        <f>LOOKUP(D1650,Sheet2!$G$4:$H$9)</f>
        <v>126-150</v>
      </c>
      <c r="F1650" s="1">
        <v>58</v>
      </c>
      <c r="G1650" t="str">
        <f>LOOKUP(F1650,Sheet2!$J$4:$K$8)</f>
        <v>1-59</v>
      </c>
      <c r="H1650" s="1">
        <v>24</v>
      </c>
      <c r="I1650" t="str">
        <f>LOOKUP(H1650,Sheet2!$M$4:$N$8)</f>
        <v>10-30</v>
      </c>
      <c r="J1650" s="1">
        <v>275</v>
      </c>
      <c r="K1650" t="str">
        <f>LOOKUP(J1650,Sheet2!$P$4:$Q$9)</f>
        <v>200-399</v>
      </c>
      <c r="L1650" s="1">
        <v>27.7</v>
      </c>
      <c r="M1650" t="str">
        <f>LOOKUP(L1650,Sheet2!$S$4:$T$8)</f>
        <v>26-30</v>
      </c>
      <c r="N1650" s="1">
        <v>1.6</v>
      </c>
      <c r="O1650" t="str">
        <f>LOOKUP(N1650,Sheet2!$V$4:$W$7)</f>
        <v>0.7+</v>
      </c>
      <c r="P1650" s="1">
        <v>25</v>
      </c>
      <c r="Q1650" t="str">
        <f>LOOKUP(P1650,Sheet2!$Z$4:$AA$7)</f>
        <v>&lt;=25</v>
      </c>
      <c r="R1650" s="1">
        <v>0</v>
      </c>
      <c r="S1650" t="str">
        <f>IF(R1650=1,"Positive","Negative")</f>
        <v>Negative</v>
      </c>
      <c r="T1650" s="1" t="str">
        <f>IFERROR(VLOOKUP(A1650,[1]diabetes_Recognition!$A:$B,2,FALSE),"Not Sampled")</f>
        <v>Not Sampled</v>
      </c>
      <c r="U1650" t="str">
        <f>IF(T1650=1,"Positive",(IF(T1650=0,"Negative","Not Sampled")))</f>
        <v>Not Sampled</v>
      </c>
      <c r="V1650" s="1" t="str">
        <f>IF(U1650="Not Sampled","Not Sampled",IF(S1650=U1650,"Accurate Prediction","Inaccurate Prediction"))</f>
        <v>Not Sampled</v>
      </c>
    </row>
    <row r="1651" spans="1:22" x14ac:dyDescent="0.25">
      <c r="A1651" s="1">
        <v>1649</v>
      </c>
      <c r="B1651" s="1">
        <v>3</v>
      </c>
      <c r="C1651" s="1" t="str">
        <f>LOOKUP(B1651,Sheet2!$D$4:$E$9)</f>
        <v>3-4</v>
      </c>
      <c r="D1651" s="1">
        <v>96</v>
      </c>
      <c r="E1651" t="str">
        <f>LOOKUP(D1651,Sheet2!$G$4:$H$9)</f>
        <v>1-99</v>
      </c>
      <c r="F1651" s="1">
        <v>56</v>
      </c>
      <c r="G1651" t="str">
        <f>LOOKUP(F1651,Sheet2!$J$4:$K$8)</f>
        <v>1-59</v>
      </c>
      <c r="H1651" s="1">
        <v>34</v>
      </c>
      <c r="I1651" t="str">
        <f>LOOKUP(H1651,Sheet2!$M$4:$N$8)</f>
        <v>30-39</v>
      </c>
      <c r="J1651" s="1">
        <v>115</v>
      </c>
      <c r="K1651" t="str">
        <f>LOOKUP(J1651,Sheet2!$P$4:$Q$9)</f>
        <v>100-199</v>
      </c>
      <c r="L1651" s="1">
        <v>24.7</v>
      </c>
      <c r="M1651" t="str">
        <f>LOOKUP(L1651,Sheet2!$S$4:$T$8)</f>
        <v>1-25</v>
      </c>
      <c r="N1651" s="1">
        <v>0.94399999999999995</v>
      </c>
      <c r="O1651" t="str">
        <f>LOOKUP(N1651,Sheet2!$V$4:$W$7)</f>
        <v>0.7+</v>
      </c>
      <c r="P1651" s="1">
        <v>39</v>
      </c>
      <c r="Q1651" t="str">
        <f>LOOKUP(P1651,Sheet2!$Z$4:$AA$7)</f>
        <v>36-45</v>
      </c>
      <c r="R1651" s="1">
        <v>0</v>
      </c>
      <c r="S1651" t="str">
        <f>IF(R1651=1,"Positive","Negative")</f>
        <v>Negative</v>
      </c>
      <c r="T1651" s="1" t="str">
        <f>IFERROR(VLOOKUP(A1651,[1]diabetes_Recognition!$A:$B,2,FALSE),"Not Sampled")</f>
        <v>Not Sampled</v>
      </c>
      <c r="U1651" t="str">
        <f>IF(T1651=1,"Positive",(IF(T1651=0,"Negative","Not Sampled")))</f>
        <v>Not Sampled</v>
      </c>
      <c r="V1651" s="1" t="str">
        <f>IF(U1651="Not Sampled","Not Sampled",IF(S1651=U1651,"Accurate Prediction","Inaccurate Prediction"))</f>
        <v>Not Sampled</v>
      </c>
    </row>
    <row r="1652" spans="1:22" x14ac:dyDescent="0.25">
      <c r="A1652" s="1">
        <v>1650</v>
      </c>
      <c r="B1652" s="1">
        <v>0</v>
      </c>
      <c r="C1652" s="1">
        <f>LOOKUP(B1652,Sheet2!$D$4:$E$9)</f>
        <v>0</v>
      </c>
      <c r="D1652" s="1">
        <v>131</v>
      </c>
      <c r="E1652" t="str">
        <f>LOOKUP(D1652,Sheet2!$G$4:$H$9)</f>
        <v>126-150</v>
      </c>
      <c r="F1652" s="1">
        <v>66</v>
      </c>
      <c r="G1652" t="str">
        <f>LOOKUP(F1652,Sheet2!$J$4:$K$8)</f>
        <v>60-69</v>
      </c>
      <c r="H1652" s="1">
        <v>40</v>
      </c>
      <c r="I1652" t="str">
        <f>LOOKUP(H1652,Sheet2!$M$4:$N$8)</f>
        <v>40+</v>
      </c>
      <c r="J1652" s="1">
        <v>0</v>
      </c>
      <c r="K1652" t="str">
        <f>LOOKUP(J1652,Sheet2!$P$4:$Q$9)</f>
        <v>Unknown</v>
      </c>
      <c r="L1652" s="1">
        <v>34.299999999999997</v>
      </c>
      <c r="M1652" t="str">
        <f>LOOKUP(L1652,Sheet2!$S$4:$T$8)</f>
        <v>31-35</v>
      </c>
      <c r="N1652" s="1">
        <v>0.19600000000000001</v>
      </c>
      <c r="O1652" t="str">
        <f>LOOKUP(N1652,Sheet2!$V$4:$W$7)</f>
        <v>0.0 - 0.249</v>
      </c>
      <c r="P1652" s="1">
        <v>22</v>
      </c>
      <c r="Q1652" t="str">
        <f>LOOKUP(P1652,Sheet2!$Z$4:$AA$7)</f>
        <v>&lt;=25</v>
      </c>
      <c r="R1652" s="1">
        <v>1</v>
      </c>
      <c r="S1652" t="str">
        <f>IF(R1652=1,"Positive","Negative")</f>
        <v>Positive</v>
      </c>
      <c r="T1652" s="1" t="str">
        <f>IFERROR(VLOOKUP(A1652,[1]diabetes_Recognition!$A:$B,2,FALSE),"Not Sampled")</f>
        <v>Not Sampled</v>
      </c>
      <c r="U1652" t="str">
        <f>IF(T1652=1,"Positive",(IF(T1652=0,"Negative","Not Sampled")))</f>
        <v>Not Sampled</v>
      </c>
      <c r="V1652" s="1" t="str">
        <f>IF(U1652="Not Sampled","Not Sampled",IF(S1652=U1652,"Accurate Prediction","Inaccurate Prediction"))</f>
        <v>Not Sampled</v>
      </c>
    </row>
    <row r="1653" spans="1:22" x14ac:dyDescent="0.25">
      <c r="A1653" s="1">
        <v>1651</v>
      </c>
      <c r="B1653" s="1">
        <v>3</v>
      </c>
      <c r="C1653" s="1" t="str">
        <f>LOOKUP(B1653,Sheet2!$D$4:$E$9)</f>
        <v>3-4</v>
      </c>
      <c r="D1653" s="1">
        <v>82</v>
      </c>
      <c r="E1653" t="str">
        <f>LOOKUP(D1653,Sheet2!$G$4:$H$9)</f>
        <v>1-99</v>
      </c>
      <c r="F1653" s="1">
        <v>70</v>
      </c>
      <c r="G1653" t="str">
        <f>LOOKUP(F1653,Sheet2!$J$4:$K$8)</f>
        <v>70-79</v>
      </c>
      <c r="H1653" s="1">
        <v>0</v>
      </c>
      <c r="I1653" t="str">
        <f>LOOKUP(H1653,Sheet2!$M$4:$N$8)</f>
        <v>Unknown</v>
      </c>
      <c r="J1653" s="1">
        <v>0</v>
      </c>
      <c r="K1653" t="str">
        <f>LOOKUP(J1653,Sheet2!$P$4:$Q$9)</f>
        <v>Unknown</v>
      </c>
      <c r="L1653" s="1">
        <v>21.1</v>
      </c>
      <c r="M1653" t="str">
        <f>LOOKUP(L1653,Sheet2!$S$4:$T$8)</f>
        <v>1-25</v>
      </c>
      <c r="N1653" s="1">
        <v>0.38900000000000001</v>
      </c>
      <c r="O1653" t="str">
        <f>LOOKUP(N1653,Sheet2!$V$4:$W$7)</f>
        <v>0.25 - 0.39</v>
      </c>
      <c r="P1653" s="1">
        <v>25</v>
      </c>
      <c r="Q1653" t="str">
        <f>LOOKUP(P1653,Sheet2!$Z$4:$AA$7)</f>
        <v>&lt;=25</v>
      </c>
      <c r="R1653" s="1">
        <v>0</v>
      </c>
      <c r="S1653" t="str">
        <f>IF(R1653=1,"Positive","Negative")</f>
        <v>Negative</v>
      </c>
      <c r="T1653" s="1">
        <f>IFERROR(VLOOKUP(A1653,[1]diabetes_Recognition!$A:$B,2,FALSE),"Not Sampled")</f>
        <v>0</v>
      </c>
      <c r="U1653" t="str">
        <f>IF(T1653=1,"Positive",(IF(T1653=0,"Negative","Not Sampled")))</f>
        <v>Negative</v>
      </c>
      <c r="V1653" s="1" t="str">
        <f>IF(U1653="Not Sampled","Not Sampled",IF(S1653=U1653,"Accurate Prediction","Inaccurate Prediction"))</f>
        <v>Accurate Prediction</v>
      </c>
    </row>
    <row r="1654" spans="1:22" x14ac:dyDescent="0.25">
      <c r="A1654" s="1">
        <v>1652</v>
      </c>
      <c r="B1654" s="1">
        <v>3</v>
      </c>
      <c r="C1654" s="1" t="str">
        <f>LOOKUP(B1654,Sheet2!$D$4:$E$9)</f>
        <v>3-4</v>
      </c>
      <c r="D1654" s="1">
        <v>193</v>
      </c>
      <c r="E1654" t="str">
        <f>LOOKUP(D1654,Sheet2!$G$4:$H$9)</f>
        <v>176-200</v>
      </c>
      <c r="F1654" s="1">
        <v>70</v>
      </c>
      <c r="G1654" t="str">
        <f>LOOKUP(F1654,Sheet2!$J$4:$K$8)</f>
        <v>70-79</v>
      </c>
      <c r="H1654" s="1">
        <v>31</v>
      </c>
      <c r="I1654" t="str">
        <f>LOOKUP(H1654,Sheet2!$M$4:$N$8)</f>
        <v>30-39</v>
      </c>
      <c r="J1654" s="1">
        <v>0</v>
      </c>
      <c r="K1654" t="str">
        <f>LOOKUP(J1654,Sheet2!$P$4:$Q$9)</f>
        <v>Unknown</v>
      </c>
      <c r="L1654" s="1">
        <v>34.9</v>
      </c>
      <c r="M1654" t="str">
        <f>LOOKUP(L1654,Sheet2!$S$4:$T$8)</f>
        <v>31-35</v>
      </c>
      <c r="N1654" s="1">
        <v>0.24099999999999999</v>
      </c>
      <c r="O1654" t="str">
        <f>LOOKUP(N1654,Sheet2!$V$4:$W$7)</f>
        <v>0.0 - 0.249</v>
      </c>
      <c r="P1654" s="1">
        <v>25</v>
      </c>
      <c r="Q1654" t="str">
        <f>LOOKUP(P1654,Sheet2!$Z$4:$AA$7)</f>
        <v>&lt;=25</v>
      </c>
      <c r="R1654" s="1">
        <v>1</v>
      </c>
      <c r="S1654" t="str">
        <f>IF(R1654=1,"Positive","Negative")</f>
        <v>Positive</v>
      </c>
      <c r="T1654" s="1" t="str">
        <f>IFERROR(VLOOKUP(A1654,[1]diabetes_Recognition!$A:$B,2,FALSE),"Not Sampled")</f>
        <v>Not Sampled</v>
      </c>
      <c r="U1654" t="str">
        <f>IF(T1654=1,"Positive",(IF(T1654=0,"Negative","Not Sampled")))</f>
        <v>Not Sampled</v>
      </c>
      <c r="V1654" s="1" t="str">
        <f>IF(U1654="Not Sampled","Not Sampled",IF(S1654=U1654,"Accurate Prediction","Inaccurate Prediction"))</f>
        <v>Not Sampled</v>
      </c>
    </row>
    <row r="1655" spans="1:22" x14ac:dyDescent="0.25">
      <c r="A1655" s="1">
        <v>1653</v>
      </c>
      <c r="B1655" s="1">
        <v>4</v>
      </c>
      <c r="C1655" s="1" t="str">
        <f>LOOKUP(B1655,Sheet2!$D$4:$E$9)</f>
        <v>3-4</v>
      </c>
      <c r="D1655" s="1">
        <v>95</v>
      </c>
      <c r="E1655" t="str">
        <f>LOOKUP(D1655,Sheet2!$G$4:$H$9)</f>
        <v>1-99</v>
      </c>
      <c r="F1655" s="1">
        <v>64</v>
      </c>
      <c r="G1655" t="str">
        <f>LOOKUP(F1655,Sheet2!$J$4:$K$8)</f>
        <v>60-69</v>
      </c>
      <c r="H1655" s="1">
        <v>0</v>
      </c>
      <c r="I1655" t="str">
        <f>LOOKUP(H1655,Sheet2!$M$4:$N$8)</f>
        <v>Unknown</v>
      </c>
      <c r="J1655" s="1">
        <v>0</v>
      </c>
      <c r="K1655" t="str">
        <f>LOOKUP(J1655,Sheet2!$P$4:$Q$9)</f>
        <v>Unknown</v>
      </c>
      <c r="L1655" s="1">
        <v>32</v>
      </c>
      <c r="M1655" t="str">
        <f>LOOKUP(L1655,Sheet2!$S$4:$T$8)</f>
        <v>31-35</v>
      </c>
      <c r="N1655" s="1">
        <v>0.161</v>
      </c>
      <c r="O1655" t="str">
        <f>LOOKUP(N1655,Sheet2!$V$4:$W$7)</f>
        <v>0.0 - 0.249</v>
      </c>
      <c r="P1655" s="1">
        <v>31</v>
      </c>
      <c r="Q1655" t="str">
        <f>LOOKUP(P1655,Sheet2!$Z$4:$AA$7)</f>
        <v>26-35</v>
      </c>
      <c r="R1655" s="1">
        <v>1</v>
      </c>
      <c r="S1655" t="str">
        <f>IF(R1655=1,"Positive","Negative")</f>
        <v>Positive</v>
      </c>
      <c r="T1655" s="1">
        <f>IFERROR(VLOOKUP(A1655,[1]diabetes_Recognition!$A:$B,2,FALSE),"Not Sampled")</f>
        <v>0</v>
      </c>
      <c r="U1655" t="str">
        <f>IF(T1655=1,"Positive",(IF(T1655=0,"Negative","Not Sampled")))</f>
        <v>Negative</v>
      </c>
      <c r="V1655" s="1" t="str">
        <f>IF(U1655="Not Sampled","Not Sampled",IF(S1655=U1655,"Accurate Prediction","Inaccurate Prediction"))</f>
        <v>Inaccurate Prediction</v>
      </c>
    </row>
    <row r="1656" spans="1:22" x14ac:dyDescent="0.25">
      <c r="A1656" s="1">
        <v>1654</v>
      </c>
      <c r="B1656" s="1">
        <v>6</v>
      </c>
      <c r="C1656" s="1" t="str">
        <f>LOOKUP(B1656,Sheet2!$D$4:$E$9)</f>
        <v>5-7</v>
      </c>
      <c r="D1656" s="1">
        <v>137</v>
      </c>
      <c r="E1656" t="str">
        <f>LOOKUP(D1656,Sheet2!$G$4:$H$9)</f>
        <v>126-150</v>
      </c>
      <c r="F1656" s="1">
        <v>61</v>
      </c>
      <c r="G1656" t="str">
        <f>LOOKUP(F1656,Sheet2!$J$4:$K$8)</f>
        <v>60-69</v>
      </c>
      <c r="H1656" s="1">
        <v>0</v>
      </c>
      <c r="I1656" t="str">
        <f>LOOKUP(H1656,Sheet2!$M$4:$N$8)</f>
        <v>Unknown</v>
      </c>
      <c r="J1656" s="1">
        <v>0</v>
      </c>
      <c r="K1656" t="str">
        <f>LOOKUP(J1656,Sheet2!$P$4:$Q$9)</f>
        <v>Unknown</v>
      </c>
      <c r="L1656" s="1">
        <v>24.2</v>
      </c>
      <c r="M1656" t="str">
        <f>LOOKUP(L1656,Sheet2!$S$4:$T$8)</f>
        <v>1-25</v>
      </c>
      <c r="N1656" s="1">
        <v>0.151</v>
      </c>
      <c r="O1656" t="str">
        <f>LOOKUP(N1656,Sheet2!$V$4:$W$7)</f>
        <v>0.0 - 0.249</v>
      </c>
      <c r="P1656" s="1">
        <v>55</v>
      </c>
      <c r="Q1656" t="str">
        <f>LOOKUP(P1656,Sheet2!$Z$4:$AA$7)</f>
        <v>46+</v>
      </c>
      <c r="R1656" s="1">
        <v>0</v>
      </c>
      <c r="S1656" t="str">
        <f>IF(R1656=1,"Positive","Negative")</f>
        <v>Negative</v>
      </c>
      <c r="T1656" s="1" t="str">
        <f>IFERROR(VLOOKUP(A1656,[1]diabetes_Recognition!$A:$B,2,FALSE),"Not Sampled")</f>
        <v>Not Sampled</v>
      </c>
      <c r="U1656" t="str">
        <f>IF(T1656=1,"Positive",(IF(T1656=0,"Negative","Not Sampled")))</f>
        <v>Not Sampled</v>
      </c>
      <c r="V1656" s="1" t="str">
        <f>IF(U1656="Not Sampled","Not Sampled",IF(S1656=U1656,"Accurate Prediction","Inaccurate Prediction"))</f>
        <v>Not Sampled</v>
      </c>
    </row>
    <row r="1657" spans="1:22" x14ac:dyDescent="0.25">
      <c r="A1657" s="1">
        <v>1655</v>
      </c>
      <c r="B1657" s="1">
        <v>5</v>
      </c>
      <c r="C1657" s="1" t="str">
        <f>LOOKUP(B1657,Sheet2!$D$4:$E$9)</f>
        <v>5-7</v>
      </c>
      <c r="D1657" s="1">
        <v>136</v>
      </c>
      <c r="E1657" t="str">
        <f>LOOKUP(D1657,Sheet2!$G$4:$H$9)</f>
        <v>126-150</v>
      </c>
      <c r="F1657" s="1">
        <v>84</v>
      </c>
      <c r="G1657" t="str">
        <f>LOOKUP(F1657,Sheet2!$J$4:$K$8)</f>
        <v>80+</v>
      </c>
      <c r="H1657" s="1">
        <v>41</v>
      </c>
      <c r="I1657" t="str">
        <f>LOOKUP(H1657,Sheet2!$M$4:$N$8)</f>
        <v>40+</v>
      </c>
      <c r="J1657" s="1">
        <v>88</v>
      </c>
      <c r="K1657" t="str">
        <f>LOOKUP(J1657,Sheet2!$P$4:$Q$9)</f>
        <v>1-99</v>
      </c>
      <c r="L1657" s="1">
        <v>35</v>
      </c>
      <c r="M1657" t="str">
        <f>LOOKUP(L1657,Sheet2!$S$4:$T$8)</f>
        <v>31-35</v>
      </c>
      <c r="N1657" s="1">
        <v>0.28599999999999998</v>
      </c>
      <c r="O1657" t="str">
        <f>LOOKUP(N1657,Sheet2!$V$4:$W$7)</f>
        <v>0.25 - 0.39</v>
      </c>
      <c r="P1657" s="1">
        <v>35</v>
      </c>
      <c r="Q1657" t="str">
        <f>LOOKUP(P1657,Sheet2!$Z$4:$AA$7)</f>
        <v>26-35</v>
      </c>
      <c r="R1657" s="1">
        <v>1</v>
      </c>
      <c r="S1657" t="str">
        <f>IF(R1657=1,"Positive","Negative")</f>
        <v>Positive</v>
      </c>
      <c r="T1657" s="1" t="str">
        <f>IFERROR(VLOOKUP(A1657,[1]diabetes_Recognition!$A:$B,2,FALSE),"Not Sampled")</f>
        <v>Not Sampled</v>
      </c>
      <c r="U1657" t="str">
        <f>IF(T1657=1,"Positive",(IF(T1657=0,"Negative","Not Sampled")))</f>
        <v>Not Sampled</v>
      </c>
      <c r="V1657" s="1" t="str">
        <f>IF(U1657="Not Sampled","Not Sampled",IF(S1657=U1657,"Accurate Prediction","Inaccurate Prediction"))</f>
        <v>Not Sampled</v>
      </c>
    </row>
    <row r="1658" spans="1:22" x14ac:dyDescent="0.25">
      <c r="A1658" s="1">
        <v>1656</v>
      </c>
      <c r="B1658" s="1">
        <v>9</v>
      </c>
      <c r="C1658" s="1" t="str">
        <f>LOOKUP(B1658,Sheet2!$D$4:$E$9)</f>
        <v>8+</v>
      </c>
      <c r="D1658" s="1">
        <v>72</v>
      </c>
      <c r="E1658" t="str">
        <f>LOOKUP(D1658,Sheet2!$G$4:$H$9)</f>
        <v>1-99</v>
      </c>
      <c r="F1658" s="1">
        <v>78</v>
      </c>
      <c r="G1658" t="str">
        <f>LOOKUP(F1658,Sheet2!$J$4:$K$8)</f>
        <v>70-79</v>
      </c>
      <c r="H1658" s="1">
        <v>25</v>
      </c>
      <c r="I1658" t="str">
        <f>LOOKUP(H1658,Sheet2!$M$4:$N$8)</f>
        <v>10-30</v>
      </c>
      <c r="J1658" s="1">
        <v>0</v>
      </c>
      <c r="K1658" t="str">
        <f>LOOKUP(J1658,Sheet2!$P$4:$Q$9)</f>
        <v>Unknown</v>
      </c>
      <c r="L1658" s="1">
        <v>31.6</v>
      </c>
      <c r="M1658" t="str">
        <f>LOOKUP(L1658,Sheet2!$S$4:$T$8)</f>
        <v>31-35</v>
      </c>
      <c r="N1658" s="1">
        <v>0.28000000000000003</v>
      </c>
      <c r="O1658" t="str">
        <f>LOOKUP(N1658,Sheet2!$V$4:$W$7)</f>
        <v>0.25 - 0.39</v>
      </c>
      <c r="P1658" s="1">
        <v>38</v>
      </c>
      <c r="Q1658" t="str">
        <f>LOOKUP(P1658,Sheet2!$Z$4:$AA$7)</f>
        <v>36-45</v>
      </c>
      <c r="R1658" s="1">
        <v>0</v>
      </c>
      <c r="S1658" t="str">
        <f>IF(R1658=1,"Positive","Negative")</f>
        <v>Negative</v>
      </c>
      <c r="T1658" s="1">
        <f>IFERROR(VLOOKUP(A1658,[1]diabetes_Recognition!$A:$B,2,FALSE),"Not Sampled")</f>
        <v>0</v>
      </c>
      <c r="U1658" t="str">
        <f>IF(T1658=1,"Positive",(IF(T1658=0,"Negative","Not Sampled")))</f>
        <v>Negative</v>
      </c>
      <c r="V1658" s="1" t="str">
        <f>IF(U1658="Not Sampled","Not Sampled",IF(S1658=U1658,"Accurate Prediction","Inaccurate Prediction"))</f>
        <v>Accurate Prediction</v>
      </c>
    </row>
    <row r="1659" spans="1:22" x14ac:dyDescent="0.25">
      <c r="A1659" s="1">
        <v>1657</v>
      </c>
      <c r="B1659" s="1">
        <v>5</v>
      </c>
      <c r="C1659" s="1" t="str">
        <f>LOOKUP(B1659,Sheet2!$D$4:$E$9)</f>
        <v>5-7</v>
      </c>
      <c r="D1659" s="1">
        <v>168</v>
      </c>
      <c r="E1659" t="str">
        <f>LOOKUP(D1659,Sheet2!$G$4:$H$9)</f>
        <v>151-175</v>
      </c>
      <c r="F1659" s="1">
        <v>64</v>
      </c>
      <c r="G1659" t="str">
        <f>LOOKUP(F1659,Sheet2!$J$4:$K$8)</f>
        <v>60-69</v>
      </c>
      <c r="H1659" s="1">
        <v>0</v>
      </c>
      <c r="I1659" t="str">
        <f>LOOKUP(H1659,Sheet2!$M$4:$N$8)</f>
        <v>Unknown</v>
      </c>
      <c r="J1659" s="1">
        <v>0</v>
      </c>
      <c r="K1659" t="str">
        <f>LOOKUP(J1659,Sheet2!$P$4:$Q$9)</f>
        <v>Unknown</v>
      </c>
      <c r="L1659" s="1">
        <v>32.9</v>
      </c>
      <c r="M1659" t="str">
        <f>LOOKUP(L1659,Sheet2!$S$4:$T$8)</f>
        <v>31-35</v>
      </c>
      <c r="N1659" s="1">
        <v>0.13500000000000001</v>
      </c>
      <c r="O1659" t="str">
        <f>LOOKUP(N1659,Sheet2!$V$4:$W$7)</f>
        <v>0.0 - 0.249</v>
      </c>
      <c r="P1659" s="1">
        <v>41</v>
      </c>
      <c r="Q1659" t="str">
        <f>LOOKUP(P1659,Sheet2!$Z$4:$AA$7)</f>
        <v>36-45</v>
      </c>
      <c r="R1659" s="1">
        <v>1</v>
      </c>
      <c r="S1659" t="str">
        <f>IF(R1659=1,"Positive","Negative")</f>
        <v>Positive</v>
      </c>
      <c r="T1659" s="1">
        <f>IFERROR(VLOOKUP(A1659,[1]diabetes_Recognition!$A:$B,2,FALSE),"Not Sampled")</f>
        <v>1</v>
      </c>
      <c r="U1659" t="str">
        <f>IF(T1659=1,"Positive",(IF(T1659=0,"Negative","Not Sampled")))</f>
        <v>Positive</v>
      </c>
      <c r="V1659" s="1" t="str">
        <f>IF(U1659="Not Sampled","Not Sampled",IF(S1659=U1659,"Accurate Prediction","Inaccurate Prediction"))</f>
        <v>Accurate Prediction</v>
      </c>
    </row>
    <row r="1660" spans="1:22" x14ac:dyDescent="0.25">
      <c r="A1660" s="1">
        <v>1658</v>
      </c>
      <c r="B1660" s="1">
        <v>2</v>
      </c>
      <c r="C1660" s="1">
        <f>LOOKUP(B1660,Sheet2!$D$4:$E$9)</f>
        <v>2</v>
      </c>
      <c r="D1660" s="1">
        <v>123</v>
      </c>
      <c r="E1660" t="str">
        <f>LOOKUP(D1660,Sheet2!$G$4:$H$9)</f>
        <v>100-125</v>
      </c>
      <c r="F1660" s="1">
        <v>48</v>
      </c>
      <c r="G1660" t="str">
        <f>LOOKUP(F1660,Sheet2!$J$4:$K$8)</f>
        <v>1-59</v>
      </c>
      <c r="H1660" s="1">
        <v>32</v>
      </c>
      <c r="I1660" t="str">
        <f>LOOKUP(H1660,Sheet2!$M$4:$N$8)</f>
        <v>30-39</v>
      </c>
      <c r="J1660" s="1">
        <v>165</v>
      </c>
      <c r="K1660" t="str">
        <f>LOOKUP(J1660,Sheet2!$P$4:$Q$9)</f>
        <v>100-199</v>
      </c>
      <c r="L1660" s="1">
        <v>42.1</v>
      </c>
      <c r="M1660" t="str">
        <f>LOOKUP(L1660,Sheet2!$S$4:$T$8)</f>
        <v>36+</v>
      </c>
      <c r="N1660" s="1">
        <v>0.52</v>
      </c>
      <c r="O1660" t="str">
        <f>LOOKUP(N1660,Sheet2!$V$4:$W$7)</f>
        <v>0.4 - 0.69</v>
      </c>
      <c r="P1660" s="1">
        <v>26</v>
      </c>
      <c r="Q1660" t="str">
        <f>LOOKUP(P1660,Sheet2!$Z$4:$AA$7)</f>
        <v>26-35</v>
      </c>
      <c r="R1660" s="1">
        <v>0</v>
      </c>
      <c r="S1660" t="str">
        <f>IF(R1660=1,"Positive","Negative")</f>
        <v>Negative</v>
      </c>
      <c r="T1660" s="1" t="str">
        <f>IFERROR(VLOOKUP(A1660,[1]diabetes_Recognition!$A:$B,2,FALSE),"Not Sampled")</f>
        <v>Not Sampled</v>
      </c>
      <c r="U1660" t="str">
        <f>IF(T1660=1,"Positive",(IF(T1660=0,"Negative","Not Sampled")))</f>
        <v>Not Sampled</v>
      </c>
      <c r="V1660" s="1" t="str">
        <f>IF(U1660="Not Sampled","Not Sampled",IF(S1660=U1660,"Accurate Prediction","Inaccurate Prediction"))</f>
        <v>Not Sampled</v>
      </c>
    </row>
    <row r="1661" spans="1:22" x14ac:dyDescent="0.25">
      <c r="A1661" s="1">
        <v>1659</v>
      </c>
      <c r="B1661" s="1">
        <v>4</v>
      </c>
      <c r="C1661" s="1" t="str">
        <f>LOOKUP(B1661,Sheet2!$D$4:$E$9)</f>
        <v>3-4</v>
      </c>
      <c r="D1661" s="1">
        <v>115</v>
      </c>
      <c r="E1661" t="str">
        <f>LOOKUP(D1661,Sheet2!$G$4:$H$9)</f>
        <v>100-125</v>
      </c>
      <c r="F1661" s="1">
        <v>72</v>
      </c>
      <c r="G1661" t="str">
        <f>LOOKUP(F1661,Sheet2!$J$4:$K$8)</f>
        <v>70-79</v>
      </c>
      <c r="H1661" s="1">
        <v>0</v>
      </c>
      <c r="I1661" t="str">
        <f>LOOKUP(H1661,Sheet2!$M$4:$N$8)</f>
        <v>Unknown</v>
      </c>
      <c r="J1661" s="1">
        <v>0</v>
      </c>
      <c r="K1661" t="str">
        <f>LOOKUP(J1661,Sheet2!$P$4:$Q$9)</f>
        <v>Unknown</v>
      </c>
      <c r="L1661" s="1">
        <v>28.9</v>
      </c>
      <c r="M1661" t="str">
        <f>LOOKUP(L1661,Sheet2!$S$4:$T$8)</f>
        <v>26-30</v>
      </c>
      <c r="N1661" s="1">
        <v>0.376</v>
      </c>
      <c r="O1661" t="str">
        <f>LOOKUP(N1661,Sheet2!$V$4:$W$7)</f>
        <v>0.25 - 0.39</v>
      </c>
      <c r="P1661" s="1">
        <v>46</v>
      </c>
      <c r="Q1661" t="str">
        <f>LOOKUP(P1661,Sheet2!$Z$4:$AA$7)</f>
        <v>46+</v>
      </c>
      <c r="R1661" s="1">
        <v>1</v>
      </c>
      <c r="S1661" t="str">
        <f>IF(R1661=1,"Positive","Negative")</f>
        <v>Positive</v>
      </c>
      <c r="T1661" s="1" t="str">
        <f>IFERROR(VLOOKUP(A1661,[1]diabetes_Recognition!$A:$B,2,FALSE),"Not Sampled")</f>
        <v>Not Sampled</v>
      </c>
      <c r="U1661" t="str">
        <f>IF(T1661=1,"Positive",(IF(T1661=0,"Negative","Not Sampled")))</f>
        <v>Not Sampled</v>
      </c>
      <c r="V1661" s="1" t="str">
        <f>IF(U1661="Not Sampled","Not Sampled",IF(S1661=U1661,"Accurate Prediction","Inaccurate Prediction"))</f>
        <v>Not Sampled</v>
      </c>
    </row>
    <row r="1662" spans="1:22" x14ac:dyDescent="0.25">
      <c r="A1662" s="1">
        <v>1660</v>
      </c>
      <c r="B1662" s="1">
        <v>0</v>
      </c>
      <c r="C1662" s="1">
        <f>LOOKUP(B1662,Sheet2!$D$4:$E$9)</f>
        <v>0</v>
      </c>
      <c r="D1662" s="1">
        <v>101</v>
      </c>
      <c r="E1662" t="str">
        <f>LOOKUP(D1662,Sheet2!$G$4:$H$9)</f>
        <v>100-125</v>
      </c>
      <c r="F1662" s="1">
        <v>62</v>
      </c>
      <c r="G1662" t="str">
        <f>LOOKUP(F1662,Sheet2!$J$4:$K$8)</f>
        <v>60-69</v>
      </c>
      <c r="H1662" s="1">
        <v>0</v>
      </c>
      <c r="I1662" t="str">
        <f>LOOKUP(H1662,Sheet2!$M$4:$N$8)</f>
        <v>Unknown</v>
      </c>
      <c r="J1662" s="1">
        <v>0</v>
      </c>
      <c r="K1662" t="str">
        <f>LOOKUP(J1662,Sheet2!$P$4:$Q$9)</f>
        <v>Unknown</v>
      </c>
      <c r="L1662" s="1">
        <v>21.9</v>
      </c>
      <c r="M1662" t="str">
        <f>LOOKUP(L1662,Sheet2!$S$4:$T$8)</f>
        <v>1-25</v>
      </c>
      <c r="N1662" s="1">
        <v>0.33600000000000002</v>
      </c>
      <c r="O1662" t="str">
        <f>LOOKUP(N1662,Sheet2!$V$4:$W$7)</f>
        <v>0.25 - 0.39</v>
      </c>
      <c r="P1662" s="1">
        <v>25</v>
      </c>
      <c r="Q1662" t="str">
        <f>LOOKUP(P1662,Sheet2!$Z$4:$AA$7)</f>
        <v>&lt;=25</v>
      </c>
      <c r="R1662" s="1">
        <v>0</v>
      </c>
      <c r="S1662" t="str">
        <f>IF(R1662=1,"Positive","Negative")</f>
        <v>Negative</v>
      </c>
      <c r="T1662" s="1" t="str">
        <f>IFERROR(VLOOKUP(A1662,[1]diabetes_Recognition!$A:$B,2,FALSE),"Not Sampled")</f>
        <v>Not Sampled</v>
      </c>
      <c r="U1662" t="str">
        <f>IF(T1662=1,"Positive",(IF(T1662=0,"Negative","Not Sampled")))</f>
        <v>Not Sampled</v>
      </c>
      <c r="V1662" s="1" t="str">
        <f>IF(U1662="Not Sampled","Not Sampled",IF(S1662=U1662,"Accurate Prediction","Inaccurate Prediction"))</f>
        <v>Not Sampled</v>
      </c>
    </row>
    <row r="1663" spans="1:22" x14ac:dyDescent="0.25">
      <c r="A1663" s="1">
        <v>1661</v>
      </c>
      <c r="B1663" s="1">
        <v>8</v>
      </c>
      <c r="C1663" s="1" t="str">
        <f>LOOKUP(B1663,Sheet2!$D$4:$E$9)</f>
        <v>8+</v>
      </c>
      <c r="D1663" s="1">
        <v>197</v>
      </c>
      <c r="E1663" t="str">
        <f>LOOKUP(D1663,Sheet2!$G$4:$H$9)</f>
        <v>176-200</v>
      </c>
      <c r="F1663" s="1">
        <v>74</v>
      </c>
      <c r="G1663" t="str">
        <f>LOOKUP(F1663,Sheet2!$J$4:$K$8)</f>
        <v>70-79</v>
      </c>
      <c r="H1663" s="1">
        <v>0</v>
      </c>
      <c r="I1663" t="str">
        <f>LOOKUP(H1663,Sheet2!$M$4:$N$8)</f>
        <v>Unknown</v>
      </c>
      <c r="J1663" s="1">
        <v>0</v>
      </c>
      <c r="K1663" t="str">
        <f>LOOKUP(J1663,Sheet2!$P$4:$Q$9)</f>
        <v>Unknown</v>
      </c>
      <c r="L1663" s="1">
        <v>25.9</v>
      </c>
      <c r="M1663" t="str">
        <f>LOOKUP(L1663,Sheet2!$S$4:$T$8)</f>
        <v>1-25</v>
      </c>
      <c r="N1663" s="1">
        <v>1.1910000000000001</v>
      </c>
      <c r="O1663" t="str">
        <f>LOOKUP(N1663,Sheet2!$V$4:$W$7)</f>
        <v>0.7+</v>
      </c>
      <c r="P1663" s="1">
        <v>39</v>
      </c>
      <c r="Q1663" t="str">
        <f>LOOKUP(P1663,Sheet2!$Z$4:$AA$7)</f>
        <v>36-45</v>
      </c>
      <c r="R1663" s="1">
        <v>1</v>
      </c>
      <c r="S1663" t="str">
        <f>IF(R1663=1,"Positive","Negative")</f>
        <v>Positive</v>
      </c>
      <c r="T1663" s="1" t="str">
        <f>IFERROR(VLOOKUP(A1663,[1]diabetes_Recognition!$A:$B,2,FALSE),"Not Sampled")</f>
        <v>Not Sampled</v>
      </c>
      <c r="U1663" t="str">
        <f>IF(T1663=1,"Positive",(IF(T1663=0,"Negative","Not Sampled")))</f>
        <v>Not Sampled</v>
      </c>
      <c r="V1663" s="1" t="str">
        <f>IF(U1663="Not Sampled","Not Sampled",IF(S1663=U1663,"Accurate Prediction","Inaccurate Prediction"))</f>
        <v>Not Sampled</v>
      </c>
    </row>
    <row r="1664" spans="1:22" x14ac:dyDescent="0.25">
      <c r="A1664" s="1">
        <v>1662</v>
      </c>
      <c r="B1664" s="1">
        <v>1</v>
      </c>
      <c r="C1664" s="1">
        <f>LOOKUP(B1664,Sheet2!$D$4:$E$9)</f>
        <v>1</v>
      </c>
      <c r="D1664" s="1">
        <v>172</v>
      </c>
      <c r="E1664" t="str">
        <f>LOOKUP(D1664,Sheet2!$G$4:$H$9)</f>
        <v>151-175</v>
      </c>
      <c r="F1664" s="1">
        <v>68</v>
      </c>
      <c r="G1664" t="str">
        <f>LOOKUP(F1664,Sheet2!$J$4:$K$8)</f>
        <v>60-69</v>
      </c>
      <c r="H1664" s="1">
        <v>49</v>
      </c>
      <c r="I1664" t="str">
        <f>LOOKUP(H1664,Sheet2!$M$4:$N$8)</f>
        <v>40+</v>
      </c>
      <c r="J1664" s="1">
        <v>579</v>
      </c>
      <c r="K1664" t="str">
        <f>LOOKUP(J1664,Sheet2!$P$4:$Q$9)</f>
        <v>500+</v>
      </c>
      <c r="L1664" s="1">
        <v>42.4</v>
      </c>
      <c r="M1664" t="str">
        <f>LOOKUP(L1664,Sheet2!$S$4:$T$8)</f>
        <v>36+</v>
      </c>
      <c r="N1664" s="1">
        <v>0.70199999999999996</v>
      </c>
      <c r="O1664" t="str">
        <f>LOOKUP(N1664,Sheet2!$V$4:$W$7)</f>
        <v>0.7+</v>
      </c>
      <c r="P1664" s="1">
        <v>28</v>
      </c>
      <c r="Q1664" t="str">
        <f>LOOKUP(P1664,Sheet2!$Z$4:$AA$7)</f>
        <v>26-35</v>
      </c>
      <c r="R1664" s="1">
        <v>1</v>
      </c>
      <c r="S1664" t="str">
        <f>IF(R1664=1,"Positive","Negative")</f>
        <v>Positive</v>
      </c>
      <c r="T1664" s="1" t="str">
        <f>IFERROR(VLOOKUP(A1664,[1]diabetes_Recognition!$A:$B,2,FALSE),"Not Sampled")</f>
        <v>Not Sampled</v>
      </c>
      <c r="U1664" t="str">
        <f>IF(T1664=1,"Positive",(IF(T1664=0,"Negative","Not Sampled")))</f>
        <v>Not Sampled</v>
      </c>
      <c r="V1664" s="1" t="str">
        <f>IF(U1664="Not Sampled","Not Sampled",IF(S1664=U1664,"Accurate Prediction","Inaccurate Prediction"))</f>
        <v>Not Sampled</v>
      </c>
    </row>
    <row r="1665" spans="1:22" x14ac:dyDescent="0.25">
      <c r="A1665" s="1">
        <v>1663</v>
      </c>
      <c r="B1665" s="1">
        <v>6</v>
      </c>
      <c r="C1665" s="1" t="str">
        <f>LOOKUP(B1665,Sheet2!$D$4:$E$9)</f>
        <v>5-7</v>
      </c>
      <c r="D1665" s="1">
        <v>102</v>
      </c>
      <c r="E1665" t="str">
        <f>LOOKUP(D1665,Sheet2!$G$4:$H$9)</f>
        <v>100-125</v>
      </c>
      <c r="F1665" s="1">
        <v>90</v>
      </c>
      <c r="G1665" t="str">
        <f>LOOKUP(F1665,Sheet2!$J$4:$K$8)</f>
        <v>80+</v>
      </c>
      <c r="H1665" s="1">
        <v>39</v>
      </c>
      <c r="I1665" t="str">
        <f>LOOKUP(H1665,Sheet2!$M$4:$N$8)</f>
        <v>30-39</v>
      </c>
      <c r="J1665" s="1">
        <v>0</v>
      </c>
      <c r="K1665" t="str">
        <f>LOOKUP(J1665,Sheet2!$P$4:$Q$9)</f>
        <v>Unknown</v>
      </c>
      <c r="L1665" s="1">
        <v>35.700000000000003</v>
      </c>
      <c r="M1665" t="str">
        <f>LOOKUP(L1665,Sheet2!$S$4:$T$8)</f>
        <v>31-35</v>
      </c>
      <c r="N1665" s="1">
        <v>0.67400000000000004</v>
      </c>
      <c r="O1665" t="str">
        <f>LOOKUP(N1665,Sheet2!$V$4:$W$7)</f>
        <v>0.4 - 0.69</v>
      </c>
      <c r="P1665" s="1">
        <v>28</v>
      </c>
      <c r="Q1665" t="str">
        <f>LOOKUP(P1665,Sheet2!$Z$4:$AA$7)</f>
        <v>26-35</v>
      </c>
      <c r="R1665" s="1">
        <v>0</v>
      </c>
      <c r="S1665" t="str">
        <f>IF(R1665=1,"Positive","Negative")</f>
        <v>Negative</v>
      </c>
      <c r="T1665" s="1">
        <f>IFERROR(VLOOKUP(A1665,[1]diabetes_Recognition!$A:$B,2,FALSE),"Not Sampled")</f>
        <v>0</v>
      </c>
      <c r="U1665" t="str">
        <f>IF(T1665=1,"Positive",(IF(T1665=0,"Negative","Not Sampled")))</f>
        <v>Negative</v>
      </c>
      <c r="V1665" s="1" t="str">
        <f>IF(U1665="Not Sampled","Not Sampled",IF(S1665=U1665,"Accurate Prediction","Inaccurate Prediction"))</f>
        <v>Accurate Prediction</v>
      </c>
    </row>
    <row r="1666" spans="1:22" x14ac:dyDescent="0.25">
      <c r="A1666" s="1">
        <v>1664</v>
      </c>
      <c r="B1666" s="1">
        <v>1</v>
      </c>
      <c r="C1666" s="1">
        <f>LOOKUP(B1666,Sheet2!$D$4:$E$9)</f>
        <v>1</v>
      </c>
      <c r="D1666" s="1">
        <v>112</v>
      </c>
      <c r="E1666" t="str">
        <f>LOOKUP(D1666,Sheet2!$G$4:$H$9)</f>
        <v>100-125</v>
      </c>
      <c r="F1666" s="1">
        <v>72</v>
      </c>
      <c r="G1666" t="str">
        <f>LOOKUP(F1666,Sheet2!$J$4:$K$8)</f>
        <v>70-79</v>
      </c>
      <c r="H1666" s="1">
        <v>30</v>
      </c>
      <c r="I1666" t="str">
        <f>LOOKUP(H1666,Sheet2!$M$4:$N$8)</f>
        <v>30-39</v>
      </c>
      <c r="J1666" s="1">
        <v>176</v>
      </c>
      <c r="K1666" t="str">
        <f>LOOKUP(J1666,Sheet2!$P$4:$Q$9)</f>
        <v>100-199</v>
      </c>
      <c r="L1666" s="1">
        <v>34.4</v>
      </c>
      <c r="M1666" t="str">
        <f>LOOKUP(L1666,Sheet2!$S$4:$T$8)</f>
        <v>31-35</v>
      </c>
      <c r="N1666" s="1">
        <v>0.52800000000000002</v>
      </c>
      <c r="O1666" t="str">
        <f>LOOKUP(N1666,Sheet2!$V$4:$W$7)</f>
        <v>0.4 - 0.69</v>
      </c>
      <c r="P1666" s="1">
        <v>25</v>
      </c>
      <c r="Q1666" t="str">
        <f>LOOKUP(P1666,Sheet2!$Z$4:$AA$7)</f>
        <v>&lt;=25</v>
      </c>
      <c r="R1666" s="1">
        <v>0</v>
      </c>
      <c r="S1666" t="str">
        <f>IF(R1666=1,"Positive","Negative")</f>
        <v>Negative</v>
      </c>
      <c r="T1666" s="1" t="str">
        <f>IFERROR(VLOOKUP(A1666,[1]diabetes_Recognition!$A:$B,2,FALSE),"Not Sampled")</f>
        <v>Not Sampled</v>
      </c>
      <c r="U1666" t="str">
        <f>IF(T1666=1,"Positive",(IF(T1666=0,"Negative","Not Sampled")))</f>
        <v>Not Sampled</v>
      </c>
      <c r="V1666" s="1" t="str">
        <f>IF(U1666="Not Sampled","Not Sampled",IF(S1666=U1666,"Accurate Prediction","Inaccurate Prediction"))</f>
        <v>Not Sampled</v>
      </c>
    </row>
    <row r="1667" spans="1:22" x14ac:dyDescent="0.25">
      <c r="A1667" s="1">
        <v>1665</v>
      </c>
      <c r="B1667" s="1">
        <v>1</v>
      </c>
      <c r="C1667" s="1">
        <f>LOOKUP(B1667,Sheet2!$D$4:$E$9)</f>
        <v>1</v>
      </c>
      <c r="D1667" s="1">
        <v>143</v>
      </c>
      <c r="E1667" t="str">
        <f>LOOKUP(D1667,Sheet2!$G$4:$H$9)</f>
        <v>126-150</v>
      </c>
      <c r="F1667" s="1">
        <v>84</v>
      </c>
      <c r="G1667" t="str">
        <f>LOOKUP(F1667,Sheet2!$J$4:$K$8)</f>
        <v>80+</v>
      </c>
      <c r="H1667" s="1">
        <v>23</v>
      </c>
      <c r="I1667" t="str">
        <f>LOOKUP(H1667,Sheet2!$M$4:$N$8)</f>
        <v>10-30</v>
      </c>
      <c r="J1667" s="1">
        <v>310</v>
      </c>
      <c r="K1667" t="str">
        <f>LOOKUP(J1667,Sheet2!$P$4:$Q$9)</f>
        <v>300-499</v>
      </c>
      <c r="L1667" s="1">
        <v>42.4</v>
      </c>
      <c r="M1667" t="str">
        <f>LOOKUP(L1667,Sheet2!$S$4:$T$8)</f>
        <v>36+</v>
      </c>
      <c r="N1667" s="1">
        <v>1.0760000000000001</v>
      </c>
      <c r="O1667" t="str">
        <f>LOOKUP(N1667,Sheet2!$V$4:$W$7)</f>
        <v>0.7+</v>
      </c>
      <c r="P1667" s="1">
        <v>22</v>
      </c>
      <c r="Q1667" t="str">
        <f>LOOKUP(P1667,Sheet2!$Z$4:$AA$7)</f>
        <v>&lt;=25</v>
      </c>
      <c r="R1667" s="1">
        <v>0</v>
      </c>
      <c r="S1667" t="str">
        <f>IF(R1667=1,"Positive","Negative")</f>
        <v>Negative</v>
      </c>
      <c r="T1667" s="1" t="str">
        <f>IFERROR(VLOOKUP(A1667,[1]diabetes_Recognition!$A:$B,2,FALSE),"Not Sampled")</f>
        <v>Not Sampled</v>
      </c>
      <c r="U1667" t="str">
        <f>IF(T1667=1,"Positive",(IF(T1667=0,"Negative","Not Sampled")))</f>
        <v>Not Sampled</v>
      </c>
      <c r="V1667" s="1" t="str">
        <f>IF(U1667="Not Sampled","Not Sampled",IF(S1667=U1667,"Accurate Prediction","Inaccurate Prediction"))</f>
        <v>Not Sampled</v>
      </c>
    </row>
    <row r="1668" spans="1:22" x14ac:dyDescent="0.25">
      <c r="A1668" s="1">
        <v>1666</v>
      </c>
      <c r="B1668" s="1">
        <v>1</v>
      </c>
      <c r="C1668" s="1">
        <f>LOOKUP(B1668,Sheet2!$D$4:$E$9)</f>
        <v>1</v>
      </c>
      <c r="D1668" s="1">
        <v>143</v>
      </c>
      <c r="E1668" t="str">
        <f>LOOKUP(D1668,Sheet2!$G$4:$H$9)</f>
        <v>126-150</v>
      </c>
      <c r="F1668" s="1">
        <v>74</v>
      </c>
      <c r="G1668" t="str">
        <f>LOOKUP(F1668,Sheet2!$J$4:$K$8)</f>
        <v>70-79</v>
      </c>
      <c r="H1668" s="1">
        <v>22</v>
      </c>
      <c r="I1668" t="str">
        <f>LOOKUP(H1668,Sheet2!$M$4:$N$8)</f>
        <v>10-30</v>
      </c>
      <c r="J1668" s="1">
        <v>61</v>
      </c>
      <c r="K1668" t="str">
        <f>LOOKUP(J1668,Sheet2!$P$4:$Q$9)</f>
        <v>1-99</v>
      </c>
      <c r="L1668" s="1">
        <v>26.2</v>
      </c>
      <c r="M1668" t="str">
        <f>LOOKUP(L1668,Sheet2!$S$4:$T$8)</f>
        <v>26-30</v>
      </c>
      <c r="N1668" s="1">
        <v>0.25600000000000001</v>
      </c>
      <c r="O1668" t="str">
        <f>LOOKUP(N1668,Sheet2!$V$4:$W$7)</f>
        <v>0.25 - 0.39</v>
      </c>
      <c r="P1668" s="1">
        <v>21</v>
      </c>
      <c r="Q1668" t="str">
        <f>LOOKUP(P1668,Sheet2!$Z$4:$AA$7)</f>
        <v>&lt;=25</v>
      </c>
      <c r="R1668" s="1">
        <v>0</v>
      </c>
      <c r="S1668" t="str">
        <f>IF(R1668=1,"Positive","Negative")</f>
        <v>Negative</v>
      </c>
      <c r="T1668" s="1" t="str">
        <f>IFERROR(VLOOKUP(A1668,[1]diabetes_Recognition!$A:$B,2,FALSE),"Not Sampled")</f>
        <v>Not Sampled</v>
      </c>
      <c r="U1668" t="str">
        <f>IF(T1668=1,"Positive",(IF(T1668=0,"Negative","Not Sampled")))</f>
        <v>Not Sampled</v>
      </c>
      <c r="V1668" s="1" t="str">
        <f>IF(U1668="Not Sampled","Not Sampled",IF(S1668=U1668,"Accurate Prediction","Inaccurate Prediction"))</f>
        <v>Not Sampled</v>
      </c>
    </row>
    <row r="1669" spans="1:22" x14ac:dyDescent="0.25">
      <c r="A1669" s="1">
        <v>1667</v>
      </c>
      <c r="B1669" s="1">
        <v>0</v>
      </c>
      <c r="C1669" s="1">
        <f>LOOKUP(B1669,Sheet2!$D$4:$E$9)</f>
        <v>0</v>
      </c>
      <c r="D1669" s="1">
        <v>138</v>
      </c>
      <c r="E1669" t="str">
        <f>LOOKUP(D1669,Sheet2!$G$4:$H$9)</f>
        <v>126-150</v>
      </c>
      <c r="F1669" s="1">
        <v>60</v>
      </c>
      <c r="G1669" t="str">
        <f>LOOKUP(F1669,Sheet2!$J$4:$K$8)</f>
        <v>60-69</v>
      </c>
      <c r="H1669" s="1">
        <v>35</v>
      </c>
      <c r="I1669" t="str">
        <f>LOOKUP(H1669,Sheet2!$M$4:$N$8)</f>
        <v>30-39</v>
      </c>
      <c r="J1669" s="1">
        <v>167</v>
      </c>
      <c r="K1669" t="str">
        <f>LOOKUP(J1669,Sheet2!$P$4:$Q$9)</f>
        <v>100-199</v>
      </c>
      <c r="L1669" s="1">
        <v>34.6</v>
      </c>
      <c r="M1669" t="str">
        <f>LOOKUP(L1669,Sheet2!$S$4:$T$8)</f>
        <v>31-35</v>
      </c>
      <c r="N1669" s="1">
        <v>0.53400000000000003</v>
      </c>
      <c r="O1669" t="str">
        <f>LOOKUP(N1669,Sheet2!$V$4:$W$7)</f>
        <v>0.4 - 0.69</v>
      </c>
      <c r="P1669" s="1">
        <v>21</v>
      </c>
      <c r="Q1669" t="str">
        <f>LOOKUP(P1669,Sheet2!$Z$4:$AA$7)</f>
        <v>&lt;=25</v>
      </c>
      <c r="R1669" s="1">
        <v>1</v>
      </c>
      <c r="S1669" t="str">
        <f>IF(R1669=1,"Positive","Negative")</f>
        <v>Positive</v>
      </c>
      <c r="T1669" s="1">
        <f>IFERROR(VLOOKUP(A1669,[1]diabetes_Recognition!$A:$B,2,FALSE),"Not Sampled")</f>
        <v>0</v>
      </c>
      <c r="U1669" t="str">
        <f>IF(T1669=1,"Positive",(IF(T1669=0,"Negative","Not Sampled")))</f>
        <v>Negative</v>
      </c>
      <c r="V1669" s="1" t="str">
        <f>IF(U1669="Not Sampled","Not Sampled",IF(S1669=U1669,"Accurate Prediction","Inaccurate Prediction"))</f>
        <v>Inaccurate Prediction</v>
      </c>
    </row>
    <row r="1670" spans="1:22" x14ac:dyDescent="0.25">
      <c r="A1670" s="1">
        <v>1668</v>
      </c>
      <c r="B1670" s="1">
        <v>3</v>
      </c>
      <c r="C1670" s="1" t="str">
        <f>LOOKUP(B1670,Sheet2!$D$4:$E$9)</f>
        <v>3-4</v>
      </c>
      <c r="D1670" s="1">
        <v>173</v>
      </c>
      <c r="E1670" t="str">
        <f>LOOKUP(D1670,Sheet2!$G$4:$H$9)</f>
        <v>151-175</v>
      </c>
      <c r="F1670" s="1">
        <v>84</v>
      </c>
      <c r="G1670" t="str">
        <f>LOOKUP(F1670,Sheet2!$J$4:$K$8)</f>
        <v>80+</v>
      </c>
      <c r="H1670" s="1">
        <v>33</v>
      </c>
      <c r="I1670" t="str">
        <f>LOOKUP(H1670,Sheet2!$M$4:$N$8)</f>
        <v>30-39</v>
      </c>
      <c r="J1670" s="1">
        <v>474</v>
      </c>
      <c r="K1670" t="str">
        <f>LOOKUP(J1670,Sheet2!$P$4:$Q$9)</f>
        <v>300-499</v>
      </c>
      <c r="L1670" s="1">
        <v>35.700000000000003</v>
      </c>
      <c r="M1670" t="str">
        <f>LOOKUP(L1670,Sheet2!$S$4:$T$8)</f>
        <v>31-35</v>
      </c>
      <c r="N1670" s="1">
        <v>0.25800000000000001</v>
      </c>
      <c r="O1670" t="str">
        <f>LOOKUP(N1670,Sheet2!$V$4:$W$7)</f>
        <v>0.25 - 0.39</v>
      </c>
      <c r="P1670" s="1">
        <v>22</v>
      </c>
      <c r="Q1670" t="str">
        <f>LOOKUP(P1670,Sheet2!$Z$4:$AA$7)</f>
        <v>&lt;=25</v>
      </c>
      <c r="R1670" s="1">
        <v>1</v>
      </c>
      <c r="S1670" t="str">
        <f>IF(R1670=1,"Positive","Negative")</f>
        <v>Positive</v>
      </c>
      <c r="T1670" s="1">
        <f>IFERROR(VLOOKUP(A1670,[1]diabetes_Recognition!$A:$B,2,FALSE),"Not Sampled")</f>
        <v>1</v>
      </c>
      <c r="U1670" t="str">
        <f>IF(T1670=1,"Positive",(IF(T1670=0,"Negative","Not Sampled")))</f>
        <v>Positive</v>
      </c>
      <c r="V1670" s="1" t="str">
        <f>IF(U1670="Not Sampled","Not Sampled",IF(S1670=U1670,"Accurate Prediction","Inaccurate Prediction"))</f>
        <v>Accurate Prediction</v>
      </c>
    </row>
    <row r="1671" spans="1:22" x14ac:dyDescent="0.25">
      <c r="A1671" s="1">
        <v>1669</v>
      </c>
      <c r="B1671" s="1">
        <v>1</v>
      </c>
      <c r="C1671" s="1">
        <f>LOOKUP(B1671,Sheet2!$D$4:$E$9)</f>
        <v>1</v>
      </c>
      <c r="D1671" s="1">
        <v>97</v>
      </c>
      <c r="E1671" t="str">
        <f>LOOKUP(D1671,Sheet2!$G$4:$H$9)</f>
        <v>1-99</v>
      </c>
      <c r="F1671" s="1">
        <v>68</v>
      </c>
      <c r="G1671" t="str">
        <f>LOOKUP(F1671,Sheet2!$J$4:$K$8)</f>
        <v>60-69</v>
      </c>
      <c r="H1671" s="1">
        <v>21</v>
      </c>
      <c r="I1671" t="str">
        <f>LOOKUP(H1671,Sheet2!$M$4:$N$8)</f>
        <v>10-30</v>
      </c>
      <c r="J1671" s="1">
        <v>0</v>
      </c>
      <c r="K1671" t="str">
        <f>LOOKUP(J1671,Sheet2!$P$4:$Q$9)</f>
        <v>Unknown</v>
      </c>
      <c r="L1671" s="1">
        <v>27.2</v>
      </c>
      <c r="M1671" t="str">
        <f>LOOKUP(L1671,Sheet2!$S$4:$T$8)</f>
        <v>26-30</v>
      </c>
      <c r="N1671" s="1">
        <v>1.095</v>
      </c>
      <c r="O1671" t="str">
        <f>LOOKUP(N1671,Sheet2!$V$4:$W$7)</f>
        <v>0.7+</v>
      </c>
      <c r="P1671" s="1">
        <v>22</v>
      </c>
      <c r="Q1671" t="str">
        <f>LOOKUP(P1671,Sheet2!$Z$4:$AA$7)</f>
        <v>&lt;=25</v>
      </c>
      <c r="R1671" s="1">
        <v>0</v>
      </c>
      <c r="S1671" t="str">
        <f>IF(R1671=1,"Positive","Negative")</f>
        <v>Negative</v>
      </c>
      <c r="T1671" s="1" t="str">
        <f>IFERROR(VLOOKUP(A1671,[1]diabetes_Recognition!$A:$B,2,FALSE),"Not Sampled")</f>
        <v>Not Sampled</v>
      </c>
      <c r="U1671" t="str">
        <f>IF(T1671=1,"Positive",(IF(T1671=0,"Negative","Not Sampled")))</f>
        <v>Not Sampled</v>
      </c>
      <c r="V1671" s="1" t="str">
        <f>IF(U1671="Not Sampled","Not Sampled",IF(S1671=U1671,"Accurate Prediction","Inaccurate Prediction"))</f>
        <v>Not Sampled</v>
      </c>
    </row>
    <row r="1672" spans="1:22" x14ac:dyDescent="0.25">
      <c r="A1672" s="1">
        <v>1670</v>
      </c>
      <c r="B1672" s="1">
        <v>4</v>
      </c>
      <c r="C1672" s="1" t="str">
        <f>LOOKUP(B1672,Sheet2!$D$4:$E$9)</f>
        <v>3-4</v>
      </c>
      <c r="D1672" s="1">
        <v>144</v>
      </c>
      <c r="E1672" t="str">
        <f>LOOKUP(D1672,Sheet2!$G$4:$H$9)</f>
        <v>126-150</v>
      </c>
      <c r="F1672" s="1">
        <v>82</v>
      </c>
      <c r="G1672" t="str">
        <f>LOOKUP(F1672,Sheet2!$J$4:$K$8)</f>
        <v>80+</v>
      </c>
      <c r="H1672" s="1">
        <v>32</v>
      </c>
      <c r="I1672" t="str">
        <f>LOOKUP(H1672,Sheet2!$M$4:$N$8)</f>
        <v>30-39</v>
      </c>
      <c r="J1672" s="1">
        <v>0</v>
      </c>
      <c r="K1672" t="str">
        <f>LOOKUP(J1672,Sheet2!$P$4:$Q$9)</f>
        <v>Unknown</v>
      </c>
      <c r="L1672" s="1">
        <v>38.5</v>
      </c>
      <c r="M1672" t="str">
        <f>LOOKUP(L1672,Sheet2!$S$4:$T$8)</f>
        <v>36+</v>
      </c>
      <c r="N1672" s="1">
        <v>0.55400000000000005</v>
      </c>
      <c r="O1672" t="str">
        <f>LOOKUP(N1672,Sheet2!$V$4:$W$7)</f>
        <v>0.4 - 0.69</v>
      </c>
      <c r="P1672" s="1">
        <v>37</v>
      </c>
      <c r="Q1672" t="str">
        <f>LOOKUP(P1672,Sheet2!$Z$4:$AA$7)</f>
        <v>36-45</v>
      </c>
      <c r="R1672" s="1">
        <v>1</v>
      </c>
      <c r="S1672" t="str">
        <f>IF(R1672=1,"Positive","Negative")</f>
        <v>Positive</v>
      </c>
      <c r="T1672" s="1" t="str">
        <f>IFERROR(VLOOKUP(A1672,[1]diabetes_Recognition!$A:$B,2,FALSE),"Not Sampled")</f>
        <v>Not Sampled</v>
      </c>
      <c r="U1672" t="str">
        <f>IF(T1672=1,"Positive",(IF(T1672=0,"Negative","Not Sampled")))</f>
        <v>Not Sampled</v>
      </c>
      <c r="V1672" s="1" t="str">
        <f>IF(U1672="Not Sampled","Not Sampled",IF(S1672=U1672,"Accurate Prediction","Inaccurate Prediction"))</f>
        <v>Not Sampled</v>
      </c>
    </row>
    <row r="1673" spans="1:22" x14ac:dyDescent="0.25">
      <c r="A1673" s="1">
        <v>1671</v>
      </c>
      <c r="B1673" s="1">
        <v>1</v>
      </c>
      <c r="C1673" s="1">
        <f>LOOKUP(B1673,Sheet2!$D$4:$E$9)</f>
        <v>1</v>
      </c>
      <c r="D1673" s="1">
        <v>83</v>
      </c>
      <c r="E1673" t="str">
        <f>LOOKUP(D1673,Sheet2!$G$4:$H$9)</f>
        <v>1-99</v>
      </c>
      <c r="F1673" s="1">
        <v>68</v>
      </c>
      <c r="G1673" t="str">
        <f>LOOKUP(F1673,Sheet2!$J$4:$K$8)</f>
        <v>60-69</v>
      </c>
      <c r="H1673" s="1">
        <v>0</v>
      </c>
      <c r="I1673" t="str">
        <f>LOOKUP(H1673,Sheet2!$M$4:$N$8)</f>
        <v>Unknown</v>
      </c>
      <c r="J1673" s="1">
        <v>0</v>
      </c>
      <c r="K1673" t="str">
        <f>LOOKUP(J1673,Sheet2!$P$4:$Q$9)</f>
        <v>Unknown</v>
      </c>
      <c r="L1673" s="1">
        <v>18.2</v>
      </c>
      <c r="M1673" t="str">
        <f>LOOKUP(L1673,Sheet2!$S$4:$T$8)</f>
        <v>1-25</v>
      </c>
      <c r="N1673" s="1">
        <v>0.624</v>
      </c>
      <c r="O1673" t="str">
        <f>LOOKUP(N1673,Sheet2!$V$4:$W$7)</f>
        <v>0.4 - 0.69</v>
      </c>
      <c r="P1673" s="1">
        <v>27</v>
      </c>
      <c r="Q1673" t="str">
        <f>LOOKUP(P1673,Sheet2!$Z$4:$AA$7)</f>
        <v>26-35</v>
      </c>
      <c r="R1673" s="1">
        <v>0</v>
      </c>
      <c r="S1673" t="str">
        <f>IF(R1673=1,"Positive","Negative")</f>
        <v>Negative</v>
      </c>
      <c r="T1673" s="1">
        <f>IFERROR(VLOOKUP(A1673,[1]diabetes_Recognition!$A:$B,2,FALSE),"Not Sampled")</f>
        <v>0</v>
      </c>
      <c r="U1673" t="str">
        <f>IF(T1673=1,"Positive",(IF(T1673=0,"Negative","Not Sampled")))</f>
        <v>Negative</v>
      </c>
      <c r="V1673" s="1" t="str">
        <f>IF(U1673="Not Sampled","Not Sampled",IF(S1673=U1673,"Accurate Prediction","Inaccurate Prediction"))</f>
        <v>Accurate Prediction</v>
      </c>
    </row>
    <row r="1674" spans="1:22" x14ac:dyDescent="0.25">
      <c r="A1674" s="1">
        <v>1672</v>
      </c>
      <c r="B1674" s="1">
        <v>3</v>
      </c>
      <c r="C1674" s="1" t="str">
        <f>LOOKUP(B1674,Sheet2!$D$4:$E$9)</f>
        <v>3-4</v>
      </c>
      <c r="D1674" s="1">
        <v>129</v>
      </c>
      <c r="E1674" t="str">
        <f>LOOKUP(D1674,Sheet2!$G$4:$H$9)</f>
        <v>126-150</v>
      </c>
      <c r="F1674" s="1">
        <v>64</v>
      </c>
      <c r="G1674" t="str">
        <f>LOOKUP(F1674,Sheet2!$J$4:$K$8)</f>
        <v>60-69</v>
      </c>
      <c r="H1674" s="1">
        <v>29</v>
      </c>
      <c r="I1674" t="str">
        <f>LOOKUP(H1674,Sheet2!$M$4:$N$8)</f>
        <v>10-30</v>
      </c>
      <c r="J1674" s="1">
        <v>115</v>
      </c>
      <c r="K1674" t="str">
        <f>LOOKUP(J1674,Sheet2!$P$4:$Q$9)</f>
        <v>100-199</v>
      </c>
      <c r="L1674" s="1">
        <v>26.4</v>
      </c>
      <c r="M1674" t="str">
        <f>LOOKUP(L1674,Sheet2!$S$4:$T$8)</f>
        <v>26-30</v>
      </c>
      <c r="N1674" s="1">
        <v>0.219</v>
      </c>
      <c r="O1674" t="str">
        <f>LOOKUP(N1674,Sheet2!$V$4:$W$7)</f>
        <v>0.0 - 0.249</v>
      </c>
      <c r="P1674" s="1">
        <v>28</v>
      </c>
      <c r="Q1674" t="str">
        <f>LOOKUP(P1674,Sheet2!$Z$4:$AA$7)</f>
        <v>26-35</v>
      </c>
      <c r="R1674" s="1">
        <v>1</v>
      </c>
      <c r="S1674" t="str">
        <f>IF(R1674=1,"Positive","Negative")</f>
        <v>Positive</v>
      </c>
      <c r="T1674" s="1" t="str">
        <f>IFERROR(VLOOKUP(A1674,[1]diabetes_Recognition!$A:$B,2,FALSE),"Not Sampled")</f>
        <v>Not Sampled</v>
      </c>
      <c r="U1674" t="str">
        <f>IF(T1674=1,"Positive",(IF(T1674=0,"Negative","Not Sampled")))</f>
        <v>Not Sampled</v>
      </c>
      <c r="V1674" s="1" t="str">
        <f>IF(U1674="Not Sampled","Not Sampled",IF(S1674=U1674,"Accurate Prediction","Inaccurate Prediction"))</f>
        <v>Not Sampled</v>
      </c>
    </row>
    <row r="1675" spans="1:22" x14ac:dyDescent="0.25">
      <c r="A1675" s="1">
        <v>1673</v>
      </c>
      <c r="B1675" s="1">
        <v>1</v>
      </c>
      <c r="C1675" s="1">
        <f>LOOKUP(B1675,Sheet2!$D$4:$E$9)</f>
        <v>1</v>
      </c>
      <c r="D1675" s="1">
        <v>119</v>
      </c>
      <c r="E1675" t="str">
        <f>LOOKUP(D1675,Sheet2!$G$4:$H$9)</f>
        <v>100-125</v>
      </c>
      <c r="F1675" s="1">
        <v>88</v>
      </c>
      <c r="G1675" t="str">
        <f>LOOKUP(F1675,Sheet2!$J$4:$K$8)</f>
        <v>80+</v>
      </c>
      <c r="H1675" s="1">
        <v>41</v>
      </c>
      <c r="I1675" t="str">
        <f>LOOKUP(H1675,Sheet2!$M$4:$N$8)</f>
        <v>40+</v>
      </c>
      <c r="J1675" s="1">
        <v>170</v>
      </c>
      <c r="K1675" t="str">
        <f>LOOKUP(J1675,Sheet2!$P$4:$Q$9)</f>
        <v>100-199</v>
      </c>
      <c r="L1675" s="1">
        <v>45.3</v>
      </c>
      <c r="M1675" t="str">
        <f>LOOKUP(L1675,Sheet2!$S$4:$T$8)</f>
        <v>36+</v>
      </c>
      <c r="N1675" s="1">
        <v>0.50700000000000001</v>
      </c>
      <c r="O1675" t="str">
        <f>LOOKUP(N1675,Sheet2!$V$4:$W$7)</f>
        <v>0.4 - 0.69</v>
      </c>
      <c r="P1675" s="1">
        <v>26</v>
      </c>
      <c r="Q1675" t="str">
        <f>LOOKUP(P1675,Sheet2!$Z$4:$AA$7)</f>
        <v>26-35</v>
      </c>
      <c r="R1675" s="1">
        <v>0</v>
      </c>
      <c r="S1675" t="str">
        <f>IF(R1675=1,"Positive","Negative")</f>
        <v>Negative</v>
      </c>
      <c r="T1675" s="1" t="str">
        <f>IFERROR(VLOOKUP(A1675,[1]diabetes_Recognition!$A:$B,2,FALSE),"Not Sampled")</f>
        <v>Not Sampled</v>
      </c>
      <c r="U1675" t="str">
        <f>IF(T1675=1,"Positive",(IF(T1675=0,"Negative","Not Sampled")))</f>
        <v>Not Sampled</v>
      </c>
      <c r="V1675" s="1" t="str">
        <f>IF(U1675="Not Sampled","Not Sampled",IF(S1675=U1675,"Accurate Prediction","Inaccurate Prediction"))</f>
        <v>Not Sampled</v>
      </c>
    </row>
    <row r="1676" spans="1:22" x14ac:dyDescent="0.25">
      <c r="A1676" s="1">
        <v>1674</v>
      </c>
      <c r="B1676" s="1">
        <v>2</v>
      </c>
      <c r="C1676" s="1">
        <f>LOOKUP(B1676,Sheet2!$D$4:$E$9)</f>
        <v>2</v>
      </c>
      <c r="D1676" s="1">
        <v>94</v>
      </c>
      <c r="E1676" t="str">
        <f>LOOKUP(D1676,Sheet2!$G$4:$H$9)</f>
        <v>1-99</v>
      </c>
      <c r="F1676" s="1">
        <v>68</v>
      </c>
      <c r="G1676" t="str">
        <f>LOOKUP(F1676,Sheet2!$J$4:$K$8)</f>
        <v>60-69</v>
      </c>
      <c r="H1676" s="1">
        <v>18</v>
      </c>
      <c r="I1676" t="str">
        <f>LOOKUP(H1676,Sheet2!$M$4:$N$8)</f>
        <v>10-30</v>
      </c>
      <c r="J1676" s="1">
        <v>76</v>
      </c>
      <c r="K1676" t="str">
        <f>LOOKUP(J1676,Sheet2!$P$4:$Q$9)</f>
        <v>1-99</v>
      </c>
      <c r="L1676" s="1">
        <v>26</v>
      </c>
      <c r="M1676" t="str">
        <f>LOOKUP(L1676,Sheet2!$S$4:$T$8)</f>
        <v>26-30</v>
      </c>
      <c r="N1676" s="1">
        <v>0.56100000000000005</v>
      </c>
      <c r="O1676" t="str">
        <f>LOOKUP(N1676,Sheet2!$V$4:$W$7)</f>
        <v>0.4 - 0.69</v>
      </c>
      <c r="P1676" s="1">
        <v>21</v>
      </c>
      <c r="Q1676" t="str">
        <f>LOOKUP(P1676,Sheet2!$Z$4:$AA$7)</f>
        <v>&lt;=25</v>
      </c>
      <c r="R1676" s="1">
        <v>0</v>
      </c>
      <c r="S1676" t="str">
        <f>IF(R1676=1,"Positive","Negative")</f>
        <v>Negative</v>
      </c>
      <c r="T1676" s="1" t="str">
        <f>IFERROR(VLOOKUP(A1676,[1]diabetes_Recognition!$A:$B,2,FALSE),"Not Sampled")</f>
        <v>Not Sampled</v>
      </c>
      <c r="U1676" t="str">
        <f>IF(T1676=1,"Positive",(IF(T1676=0,"Negative","Not Sampled")))</f>
        <v>Not Sampled</v>
      </c>
      <c r="V1676" s="1" t="str">
        <f>IF(U1676="Not Sampled","Not Sampled",IF(S1676=U1676,"Accurate Prediction","Inaccurate Prediction"))</f>
        <v>Not Sampled</v>
      </c>
    </row>
    <row r="1677" spans="1:22" x14ac:dyDescent="0.25">
      <c r="A1677" s="1">
        <v>1675</v>
      </c>
      <c r="B1677" s="1">
        <v>0</v>
      </c>
      <c r="C1677" s="1">
        <f>LOOKUP(B1677,Sheet2!$D$4:$E$9)</f>
        <v>0</v>
      </c>
      <c r="D1677" s="1">
        <v>102</v>
      </c>
      <c r="E1677" t="str">
        <f>LOOKUP(D1677,Sheet2!$G$4:$H$9)</f>
        <v>100-125</v>
      </c>
      <c r="F1677" s="1">
        <v>64</v>
      </c>
      <c r="G1677" t="str">
        <f>LOOKUP(F1677,Sheet2!$J$4:$K$8)</f>
        <v>60-69</v>
      </c>
      <c r="H1677" s="1">
        <v>46</v>
      </c>
      <c r="I1677" t="str">
        <f>LOOKUP(H1677,Sheet2!$M$4:$N$8)</f>
        <v>40+</v>
      </c>
      <c r="J1677" s="1">
        <v>78</v>
      </c>
      <c r="K1677" t="str">
        <f>LOOKUP(J1677,Sheet2!$P$4:$Q$9)</f>
        <v>1-99</v>
      </c>
      <c r="L1677" s="1">
        <v>40.6</v>
      </c>
      <c r="M1677" t="str">
        <f>LOOKUP(L1677,Sheet2!$S$4:$T$8)</f>
        <v>36+</v>
      </c>
      <c r="N1677" s="1">
        <v>0.496</v>
      </c>
      <c r="O1677" t="str">
        <f>LOOKUP(N1677,Sheet2!$V$4:$W$7)</f>
        <v>0.4 - 0.69</v>
      </c>
      <c r="P1677" s="1">
        <v>21</v>
      </c>
      <c r="Q1677" t="str">
        <f>LOOKUP(P1677,Sheet2!$Z$4:$AA$7)</f>
        <v>&lt;=25</v>
      </c>
      <c r="R1677" s="1">
        <v>0</v>
      </c>
      <c r="S1677" t="str">
        <f>IF(R1677=1,"Positive","Negative")</f>
        <v>Negative</v>
      </c>
      <c r="T1677" s="1">
        <f>IFERROR(VLOOKUP(A1677,[1]diabetes_Recognition!$A:$B,2,FALSE),"Not Sampled")</f>
        <v>0</v>
      </c>
      <c r="U1677" t="str">
        <f>IF(T1677=1,"Positive",(IF(T1677=0,"Negative","Not Sampled")))</f>
        <v>Negative</v>
      </c>
      <c r="V1677" s="1" t="str">
        <f>IF(U1677="Not Sampled","Not Sampled",IF(S1677=U1677,"Accurate Prediction","Inaccurate Prediction"))</f>
        <v>Accurate Prediction</v>
      </c>
    </row>
    <row r="1678" spans="1:22" x14ac:dyDescent="0.25">
      <c r="A1678" s="1">
        <v>1676</v>
      </c>
      <c r="B1678" s="1">
        <v>2</v>
      </c>
      <c r="C1678" s="1">
        <f>LOOKUP(B1678,Sheet2!$D$4:$E$9)</f>
        <v>2</v>
      </c>
      <c r="D1678" s="1">
        <v>115</v>
      </c>
      <c r="E1678" t="str">
        <f>LOOKUP(D1678,Sheet2!$G$4:$H$9)</f>
        <v>100-125</v>
      </c>
      <c r="F1678" s="1">
        <v>64</v>
      </c>
      <c r="G1678" t="str">
        <f>LOOKUP(F1678,Sheet2!$J$4:$K$8)</f>
        <v>60-69</v>
      </c>
      <c r="H1678" s="1">
        <v>22</v>
      </c>
      <c r="I1678" t="str">
        <f>LOOKUP(H1678,Sheet2!$M$4:$N$8)</f>
        <v>10-30</v>
      </c>
      <c r="J1678" s="1">
        <v>0</v>
      </c>
      <c r="K1678" t="str">
        <f>LOOKUP(J1678,Sheet2!$P$4:$Q$9)</f>
        <v>Unknown</v>
      </c>
      <c r="L1678" s="1">
        <v>30.8</v>
      </c>
      <c r="M1678" t="str">
        <f>LOOKUP(L1678,Sheet2!$S$4:$T$8)</f>
        <v>26-30</v>
      </c>
      <c r="N1678" s="1">
        <v>0.42099999999999999</v>
      </c>
      <c r="O1678" t="str">
        <f>LOOKUP(N1678,Sheet2!$V$4:$W$7)</f>
        <v>0.4 - 0.69</v>
      </c>
      <c r="P1678" s="1">
        <v>21</v>
      </c>
      <c r="Q1678" t="str">
        <f>LOOKUP(P1678,Sheet2!$Z$4:$AA$7)</f>
        <v>&lt;=25</v>
      </c>
      <c r="R1678" s="1">
        <v>0</v>
      </c>
      <c r="S1678" t="str">
        <f>IF(R1678=1,"Positive","Negative")</f>
        <v>Negative</v>
      </c>
      <c r="T1678" s="1" t="str">
        <f>IFERROR(VLOOKUP(A1678,[1]diabetes_Recognition!$A:$B,2,FALSE),"Not Sampled")</f>
        <v>Not Sampled</v>
      </c>
      <c r="U1678" t="str">
        <f>IF(T1678=1,"Positive",(IF(T1678=0,"Negative","Not Sampled")))</f>
        <v>Not Sampled</v>
      </c>
      <c r="V1678" s="1" t="str">
        <f>IF(U1678="Not Sampled","Not Sampled",IF(S1678=U1678,"Accurate Prediction","Inaccurate Prediction"))</f>
        <v>Not Sampled</v>
      </c>
    </row>
    <row r="1679" spans="1:22" x14ac:dyDescent="0.25">
      <c r="A1679" s="1">
        <v>1677</v>
      </c>
      <c r="B1679" s="1">
        <v>8</v>
      </c>
      <c r="C1679" s="1" t="str">
        <f>LOOKUP(B1679,Sheet2!$D$4:$E$9)</f>
        <v>8+</v>
      </c>
      <c r="D1679" s="1">
        <v>151</v>
      </c>
      <c r="E1679" t="str">
        <f>LOOKUP(D1679,Sheet2!$G$4:$H$9)</f>
        <v>151-175</v>
      </c>
      <c r="F1679" s="1">
        <v>78</v>
      </c>
      <c r="G1679" t="str">
        <f>LOOKUP(F1679,Sheet2!$J$4:$K$8)</f>
        <v>70-79</v>
      </c>
      <c r="H1679" s="1">
        <v>32</v>
      </c>
      <c r="I1679" t="str">
        <f>LOOKUP(H1679,Sheet2!$M$4:$N$8)</f>
        <v>30-39</v>
      </c>
      <c r="J1679" s="1">
        <v>210</v>
      </c>
      <c r="K1679" t="str">
        <f>LOOKUP(J1679,Sheet2!$P$4:$Q$9)</f>
        <v>200-399</v>
      </c>
      <c r="L1679" s="1">
        <v>42.9</v>
      </c>
      <c r="M1679" t="str">
        <f>LOOKUP(L1679,Sheet2!$S$4:$T$8)</f>
        <v>36+</v>
      </c>
      <c r="N1679" s="1">
        <v>0.51600000000000001</v>
      </c>
      <c r="O1679" t="str">
        <f>LOOKUP(N1679,Sheet2!$V$4:$W$7)</f>
        <v>0.4 - 0.69</v>
      </c>
      <c r="P1679" s="1">
        <v>36</v>
      </c>
      <c r="Q1679" t="str">
        <f>LOOKUP(P1679,Sheet2!$Z$4:$AA$7)</f>
        <v>36-45</v>
      </c>
      <c r="R1679" s="1">
        <v>1</v>
      </c>
      <c r="S1679" t="str">
        <f>IF(R1679=1,"Positive","Negative")</f>
        <v>Positive</v>
      </c>
      <c r="T1679" s="1" t="str">
        <f>IFERROR(VLOOKUP(A1679,[1]diabetes_Recognition!$A:$B,2,FALSE),"Not Sampled")</f>
        <v>Not Sampled</v>
      </c>
      <c r="U1679" t="str">
        <f>IF(T1679=1,"Positive",(IF(T1679=0,"Negative","Not Sampled")))</f>
        <v>Not Sampled</v>
      </c>
      <c r="V1679" s="1" t="str">
        <f>IF(U1679="Not Sampled","Not Sampled",IF(S1679=U1679,"Accurate Prediction","Inaccurate Prediction"))</f>
        <v>Not Sampled</v>
      </c>
    </row>
    <row r="1680" spans="1:22" x14ac:dyDescent="0.25">
      <c r="A1680" s="1">
        <v>1678</v>
      </c>
      <c r="B1680" s="1">
        <v>4</v>
      </c>
      <c r="C1680" s="1" t="str">
        <f>LOOKUP(B1680,Sheet2!$D$4:$E$9)</f>
        <v>3-4</v>
      </c>
      <c r="D1680" s="1">
        <v>184</v>
      </c>
      <c r="E1680" t="str">
        <f>LOOKUP(D1680,Sheet2!$G$4:$H$9)</f>
        <v>176-200</v>
      </c>
      <c r="F1680" s="1">
        <v>78</v>
      </c>
      <c r="G1680" t="str">
        <f>LOOKUP(F1680,Sheet2!$J$4:$K$8)</f>
        <v>70-79</v>
      </c>
      <c r="H1680" s="1">
        <v>39</v>
      </c>
      <c r="I1680" t="str">
        <f>LOOKUP(H1680,Sheet2!$M$4:$N$8)</f>
        <v>30-39</v>
      </c>
      <c r="J1680" s="1">
        <v>277</v>
      </c>
      <c r="K1680" t="str">
        <f>LOOKUP(J1680,Sheet2!$P$4:$Q$9)</f>
        <v>200-399</v>
      </c>
      <c r="L1680" s="1">
        <v>37</v>
      </c>
      <c r="M1680" t="str">
        <f>LOOKUP(L1680,Sheet2!$S$4:$T$8)</f>
        <v>36+</v>
      </c>
      <c r="N1680" s="1">
        <v>0.26400000000000001</v>
      </c>
      <c r="O1680" t="str">
        <f>LOOKUP(N1680,Sheet2!$V$4:$W$7)</f>
        <v>0.25 - 0.39</v>
      </c>
      <c r="P1680" s="1">
        <v>31</v>
      </c>
      <c r="Q1680" t="str">
        <f>LOOKUP(P1680,Sheet2!$Z$4:$AA$7)</f>
        <v>26-35</v>
      </c>
      <c r="R1680" s="1">
        <v>1</v>
      </c>
      <c r="S1680" t="str">
        <f>IF(R1680=1,"Positive","Negative")</f>
        <v>Positive</v>
      </c>
      <c r="T1680" s="1">
        <f>IFERROR(VLOOKUP(A1680,[1]diabetes_Recognition!$A:$B,2,FALSE),"Not Sampled")</f>
        <v>1</v>
      </c>
      <c r="U1680" t="str">
        <f>IF(T1680=1,"Positive",(IF(T1680=0,"Negative","Not Sampled")))</f>
        <v>Positive</v>
      </c>
      <c r="V1680" s="1" t="str">
        <f>IF(U1680="Not Sampled","Not Sampled",IF(S1680=U1680,"Accurate Prediction","Inaccurate Prediction"))</f>
        <v>Accurate Prediction</v>
      </c>
    </row>
    <row r="1681" spans="1:22" x14ac:dyDescent="0.25">
      <c r="A1681" s="1">
        <v>1679</v>
      </c>
      <c r="B1681" s="1">
        <v>0</v>
      </c>
      <c r="C1681" s="1">
        <f>LOOKUP(B1681,Sheet2!$D$4:$E$9)</f>
        <v>0</v>
      </c>
      <c r="D1681" s="1">
        <v>94</v>
      </c>
      <c r="E1681" t="str">
        <f>LOOKUP(D1681,Sheet2!$G$4:$H$9)</f>
        <v>1-99</v>
      </c>
      <c r="F1681" s="1">
        <v>0</v>
      </c>
      <c r="G1681" t="str">
        <f>LOOKUP(F1681,Sheet2!$J$4:$K$8)</f>
        <v>Unknown</v>
      </c>
      <c r="H1681" s="1">
        <v>0</v>
      </c>
      <c r="I1681" t="str">
        <f>LOOKUP(H1681,Sheet2!$M$4:$N$8)</f>
        <v>Unknown</v>
      </c>
      <c r="J1681" s="1">
        <v>0</v>
      </c>
      <c r="K1681" t="str">
        <f>LOOKUP(J1681,Sheet2!$P$4:$Q$9)</f>
        <v>Unknown</v>
      </c>
      <c r="L1681" s="1">
        <v>0</v>
      </c>
      <c r="M1681" t="str">
        <f>LOOKUP(L1681,Sheet2!$S$4:$T$8)</f>
        <v>Unknown</v>
      </c>
      <c r="N1681" s="1">
        <v>0.25600000000000001</v>
      </c>
      <c r="O1681" t="str">
        <f>LOOKUP(N1681,Sheet2!$V$4:$W$7)</f>
        <v>0.25 - 0.39</v>
      </c>
      <c r="P1681" s="1">
        <v>25</v>
      </c>
      <c r="Q1681" t="str">
        <f>LOOKUP(P1681,Sheet2!$Z$4:$AA$7)</f>
        <v>&lt;=25</v>
      </c>
      <c r="R1681" s="1">
        <v>0</v>
      </c>
      <c r="S1681" t="str">
        <f>IF(R1681=1,"Positive","Negative")</f>
        <v>Negative</v>
      </c>
      <c r="T1681" s="1" t="str">
        <f>IFERROR(VLOOKUP(A1681,[1]diabetes_Recognition!$A:$B,2,FALSE),"Not Sampled")</f>
        <v>Not Sampled</v>
      </c>
      <c r="U1681" t="str">
        <f>IF(T1681=1,"Positive",(IF(T1681=0,"Negative","Not Sampled")))</f>
        <v>Not Sampled</v>
      </c>
      <c r="V1681" s="1" t="str">
        <f>IF(U1681="Not Sampled","Not Sampled",IF(S1681=U1681,"Accurate Prediction","Inaccurate Prediction"))</f>
        <v>Not Sampled</v>
      </c>
    </row>
    <row r="1682" spans="1:22" x14ac:dyDescent="0.25">
      <c r="A1682" s="1">
        <v>1680</v>
      </c>
      <c r="B1682" s="1">
        <v>1</v>
      </c>
      <c r="C1682" s="1">
        <f>LOOKUP(B1682,Sheet2!$D$4:$E$9)</f>
        <v>1</v>
      </c>
      <c r="D1682" s="1">
        <v>181</v>
      </c>
      <c r="E1682" t="str">
        <f>LOOKUP(D1682,Sheet2!$G$4:$H$9)</f>
        <v>176-200</v>
      </c>
      <c r="F1682" s="1">
        <v>64</v>
      </c>
      <c r="G1682" t="str">
        <f>LOOKUP(F1682,Sheet2!$J$4:$K$8)</f>
        <v>60-69</v>
      </c>
      <c r="H1682" s="1">
        <v>30</v>
      </c>
      <c r="I1682" t="str">
        <f>LOOKUP(H1682,Sheet2!$M$4:$N$8)</f>
        <v>30-39</v>
      </c>
      <c r="J1682" s="1">
        <v>180</v>
      </c>
      <c r="K1682" t="str">
        <f>LOOKUP(J1682,Sheet2!$P$4:$Q$9)</f>
        <v>100-199</v>
      </c>
      <c r="L1682" s="1">
        <v>34.1</v>
      </c>
      <c r="M1682" t="str">
        <f>LOOKUP(L1682,Sheet2!$S$4:$T$8)</f>
        <v>31-35</v>
      </c>
      <c r="N1682" s="1">
        <v>0.32800000000000001</v>
      </c>
      <c r="O1682" t="str">
        <f>LOOKUP(N1682,Sheet2!$V$4:$W$7)</f>
        <v>0.25 - 0.39</v>
      </c>
      <c r="P1682" s="1">
        <v>38</v>
      </c>
      <c r="Q1682" t="str">
        <f>LOOKUP(P1682,Sheet2!$Z$4:$AA$7)</f>
        <v>36-45</v>
      </c>
      <c r="R1682" s="1">
        <v>1</v>
      </c>
      <c r="S1682" t="str">
        <f>IF(R1682=1,"Positive","Negative")</f>
        <v>Positive</v>
      </c>
      <c r="T1682" s="1" t="str">
        <f>IFERROR(VLOOKUP(A1682,[1]diabetes_Recognition!$A:$B,2,FALSE),"Not Sampled")</f>
        <v>Not Sampled</v>
      </c>
      <c r="U1682" t="str">
        <f>IF(T1682=1,"Positive",(IF(T1682=0,"Negative","Not Sampled")))</f>
        <v>Not Sampled</v>
      </c>
      <c r="V1682" s="1" t="str">
        <f>IF(U1682="Not Sampled","Not Sampled",IF(S1682=U1682,"Accurate Prediction","Inaccurate Prediction"))</f>
        <v>Not Sampled</v>
      </c>
    </row>
    <row r="1683" spans="1:22" x14ac:dyDescent="0.25">
      <c r="A1683" s="1">
        <v>1681</v>
      </c>
      <c r="B1683" s="1">
        <v>0</v>
      </c>
      <c r="C1683" s="1">
        <f>LOOKUP(B1683,Sheet2!$D$4:$E$9)</f>
        <v>0</v>
      </c>
      <c r="D1683" s="1">
        <v>135</v>
      </c>
      <c r="E1683" t="str">
        <f>LOOKUP(D1683,Sheet2!$G$4:$H$9)</f>
        <v>126-150</v>
      </c>
      <c r="F1683" s="1">
        <v>94</v>
      </c>
      <c r="G1683" t="str">
        <f>LOOKUP(F1683,Sheet2!$J$4:$K$8)</f>
        <v>80+</v>
      </c>
      <c r="H1683" s="1">
        <v>46</v>
      </c>
      <c r="I1683" t="str">
        <f>LOOKUP(H1683,Sheet2!$M$4:$N$8)</f>
        <v>40+</v>
      </c>
      <c r="J1683" s="1">
        <v>145</v>
      </c>
      <c r="K1683" t="str">
        <f>LOOKUP(J1683,Sheet2!$P$4:$Q$9)</f>
        <v>100-199</v>
      </c>
      <c r="L1683" s="1">
        <v>40.6</v>
      </c>
      <c r="M1683" t="str">
        <f>LOOKUP(L1683,Sheet2!$S$4:$T$8)</f>
        <v>36+</v>
      </c>
      <c r="N1683" s="1">
        <v>0.28399999999999997</v>
      </c>
      <c r="O1683" t="str">
        <f>LOOKUP(N1683,Sheet2!$V$4:$W$7)</f>
        <v>0.25 - 0.39</v>
      </c>
      <c r="P1683" s="1">
        <v>26</v>
      </c>
      <c r="Q1683" t="str">
        <f>LOOKUP(P1683,Sheet2!$Z$4:$AA$7)</f>
        <v>26-35</v>
      </c>
      <c r="R1683" s="1">
        <v>0</v>
      </c>
      <c r="S1683" t="str">
        <f>IF(R1683=1,"Positive","Negative")</f>
        <v>Negative</v>
      </c>
      <c r="T1683" s="1">
        <f>IFERROR(VLOOKUP(A1683,[1]diabetes_Recognition!$A:$B,2,FALSE),"Not Sampled")</f>
        <v>0</v>
      </c>
      <c r="U1683" t="str">
        <f>IF(T1683=1,"Positive",(IF(T1683=0,"Negative","Not Sampled")))</f>
        <v>Negative</v>
      </c>
      <c r="V1683" s="1" t="str">
        <f>IF(U1683="Not Sampled","Not Sampled",IF(S1683=U1683,"Accurate Prediction","Inaccurate Prediction"))</f>
        <v>Accurate Prediction</v>
      </c>
    </row>
    <row r="1684" spans="1:22" x14ac:dyDescent="0.25">
      <c r="A1684" s="1">
        <v>1682</v>
      </c>
      <c r="B1684" s="1">
        <v>1</v>
      </c>
      <c r="C1684" s="1">
        <f>LOOKUP(B1684,Sheet2!$D$4:$E$9)</f>
        <v>1</v>
      </c>
      <c r="D1684" s="1">
        <v>95</v>
      </c>
      <c r="E1684" t="str">
        <f>LOOKUP(D1684,Sheet2!$G$4:$H$9)</f>
        <v>1-99</v>
      </c>
      <c r="F1684" s="1">
        <v>82</v>
      </c>
      <c r="G1684" t="str">
        <f>LOOKUP(F1684,Sheet2!$J$4:$K$8)</f>
        <v>80+</v>
      </c>
      <c r="H1684" s="1">
        <v>25</v>
      </c>
      <c r="I1684" t="str">
        <f>LOOKUP(H1684,Sheet2!$M$4:$N$8)</f>
        <v>10-30</v>
      </c>
      <c r="J1684" s="1">
        <v>180</v>
      </c>
      <c r="K1684" t="str">
        <f>LOOKUP(J1684,Sheet2!$P$4:$Q$9)</f>
        <v>100-199</v>
      </c>
      <c r="L1684" s="1">
        <v>35</v>
      </c>
      <c r="M1684" t="str">
        <f>LOOKUP(L1684,Sheet2!$S$4:$T$8)</f>
        <v>31-35</v>
      </c>
      <c r="N1684" s="1">
        <v>0.23300000000000001</v>
      </c>
      <c r="O1684" t="str">
        <f>LOOKUP(N1684,Sheet2!$V$4:$W$7)</f>
        <v>0.0 - 0.249</v>
      </c>
      <c r="P1684" s="1">
        <v>43</v>
      </c>
      <c r="Q1684" t="str">
        <f>LOOKUP(P1684,Sheet2!$Z$4:$AA$7)</f>
        <v>36-45</v>
      </c>
      <c r="R1684" s="1">
        <v>1</v>
      </c>
      <c r="S1684" t="str">
        <f>IF(R1684=1,"Positive","Negative")</f>
        <v>Positive</v>
      </c>
      <c r="T1684" s="1">
        <f>IFERROR(VLOOKUP(A1684,[1]diabetes_Recognition!$A:$B,2,FALSE),"Not Sampled")</f>
        <v>0</v>
      </c>
      <c r="U1684" t="str">
        <f>IF(T1684=1,"Positive",(IF(T1684=0,"Negative","Not Sampled")))</f>
        <v>Negative</v>
      </c>
      <c r="V1684" s="1" t="str">
        <f>IF(U1684="Not Sampled","Not Sampled",IF(S1684=U1684,"Accurate Prediction","Inaccurate Prediction"))</f>
        <v>Inaccurate Prediction</v>
      </c>
    </row>
    <row r="1685" spans="1:22" x14ac:dyDescent="0.25">
      <c r="A1685" s="1">
        <v>1683</v>
      </c>
      <c r="B1685" s="1">
        <v>2</v>
      </c>
      <c r="C1685" s="1">
        <f>LOOKUP(B1685,Sheet2!$D$4:$E$9)</f>
        <v>2</v>
      </c>
      <c r="D1685" s="1">
        <v>99</v>
      </c>
      <c r="E1685" t="str">
        <f>LOOKUP(D1685,Sheet2!$G$4:$H$9)</f>
        <v>1-99</v>
      </c>
      <c r="F1685" s="1">
        <v>0</v>
      </c>
      <c r="G1685" t="str">
        <f>LOOKUP(F1685,Sheet2!$J$4:$K$8)</f>
        <v>Unknown</v>
      </c>
      <c r="H1685" s="1">
        <v>0</v>
      </c>
      <c r="I1685" t="str">
        <f>LOOKUP(H1685,Sheet2!$M$4:$N$8)</f>
        <v>Unknown</v>
      </c>
      <c r="J1685" s="1">
        <v>0</v>
      </c>
      <c r="K1685" t="str">
        <f>LOOKUP(J1685,Sheet2!$P$4:$Q$9)</f>
        <v>Unknown</v>
      </c>
      <c r="L1685" s="1">
        <v>22.2</v>
      </c>
      <c r="M1685" t="str">
        <f>LOOKUP(L1685,Sheet2!$S$4:$T$8)</f>
        <v>1-25</v>
      </c>
      <c r="N1685" s="1">
        <v>0.108</v>
      </c>
      <c r="O1685" t="str">
        <f>LOOKUP(N1685,Sheet2!$V$4:$W$7)</f>
        <v>0.0 - 0.249</v>
      </c>
      <c r="P1685" s="1">
        <v>23</v>
      </c>
      <c r="Q1685" t="str">
        <f>LOOKUP(P1685,Sheet2!$Z$4:$AA$7)</f>
        <v>&lt;=25</v>
      </c>
      <c r="R1685" s="1">
        <v>0</v>
      </c>
      <c r="S1685" t="str">
        <f>IF(R1685=1,"Positive","Negative")</f>
        <v>Negative</v>
      </c>
      <c r="T1685" s="1" t="str">
        <f>IFERROR(VLOOKUP(A1685,[1]diabetes_Recognition!$A:$B,2,FALSE),"Not Sampled")</f>
        <v>Not Sampled</v>
      </c>
      <c r="U1685" t="str">
        <f>IF(T1685=1,"Positive",(IF(T1685=0,"Negative","Not Sampled")))</f>
        <v>Not Sampled</v>
      </c>
      <c r="V1685" s="1" t="str">
        <f>IF(U1685="Not Sampled","Not Sampled",IF(S1685=U1685,"Accurate Prediction","Inaccurate Prediction"))</f>
        <v>Not Sampled</v>
      </c>
    </row>
    <row r="1686" spans="1:22" x14ac:dyDescent="0.25">
      <c r="A1686" s="1">
        <v>1684</v>
      </c>
      <c r="B1686" s="1">
        <v>3</v>
      </c>
      <c r="C1686" s="1" t="str">
        <f>LOOKUP(B1686,Sheet2!$D$4:$E$9)</f>
        <v>3-4</v>
      </c>
      <c r="D1686" s="1">
        <v>89</v>
      </c>
      <c r="E1686" t="str">
        <f>LOOKUP(D1686,Sheet2!$G$4:$H$9)</f>
        <v>1-99</v>
      </c>
      <c r="F1686" s="1">
        <v>74</v>
      </c>
      <c r="G1686" t="str">
        <f>LOOKUP(F1686,Sheet2!$J$4:$K$8)</f>
        <v>70-79</v>
      </c>
      <c r="H1686" s="1">
        <v>16</v>
      </c>
      <c r="I1686" t="str">
        <f>LOOKUP(H1686,Sheet2!$M$4:$N$8)</f>
        <v>10-30</v>
      </c>
      <c r="J1686" s="1">
        <v>85</v>
      </c>
      <c r="K1686" t="str">
        <f>LOOKUP(J1686,Sheet2!$P$4:$Q$9)</f>
        <v>1-99</v>
      </c>
      <c r="L1686" s="1">
        <v>30.4</v>
      </c>
      <c r="M1686" t="str">
        <f>LOOKUP(L1686,Sheet2!$S$4:$T$8)</f>
        <v>26-30</v>
      </c>
      <c r="N1686" s="1">
        <v>0.55100000000000005</v>
      </c>
      <c r="O1686" t="str">
        <f>LOOKUP(N1686,Sheet2!$V$4:$W$7)</f>
        <v>0.4 - 0.69</v>
      </c>
      <c r="P1686" s="1">
        <v>38</v>
      </c>
      <c r="Q1686" t="str">
        <f>LOOKUP(P1686,Sheet2!$Z$4:$AA$7)</f>
        <v>36-45</v>
      </c>
      <c r="R1686" s="1">
        <v>0</v>
      </c>
      <c r="S1686" t="str">
        <f>IF(R1686=1,"Positive","Negative")</f>
        <v>Negative</v>
      </c>
      <c r="T1686" s="1" t="str">
        <f>IFERROR(VLOOKUP(A1686,[1]diabetes_Recognition!$A:$B,2,FALSE),"Not Sampled")</f>
        <v>Not Sampled</v>
      </c>
      <c r="U1686" t="str">
        <f>IF(T1686=1,"Positive",(IF(T1686=0,"Negative","Not Sampled")))</f>
        <v>Not Sampled</v>
      </c>
      <c r="V1686" s="1" t="str">
        <f>IF(U1686="Not Sampled","Not Sampled",IF(S1686=U1686,"Accurate Prediction","Inaccurate Prediction"))</f>
        <v>Not Sampled</v>
      </c>
    </row>
    <row r="1687" spans="1:22" x14ac:dyDescent="0.25">
      <c r="A1687" s="1">
        <v>1685</v>
      </c>
      <c r="B1687" s="1">
        <v>1</v>
      </c>
      <c r="C1687" s="1">
        <f>LOOKUP(B1687,Sheet2!$D$4:$E$9)</f>
        <v>1</v>
      </c>
      <c r="D1687" s="1">
        <v>80</v>
      </c>
      <c r="E1687" t="str">
        <f>LOOKUP(D1687,Sheet2!$G$4:$H$9)</f>
        <v>1-99</v>
      </c>
      <c r="F1687" s="1">
        <v>74</v>
      </c>
      <c r="G1687" t="str">
        <f>LOOKUP(F1687,Sheet2!$J$4:$K$8)</f>
        <v>70-79</v>
      </c>
      <c r="H1687" s="1">
        <v>11</v>
      </c>
      <c r="I1687" t="str">
        <f>LOOKUP(H1687,Sheet2!$M$4:$N$8)</f>
        <v>10-30</v>
      </c>
      <c r="J1687" s="1">
        <v>60</v>
      </c>
      <c r="K1687" t="str">
        <f>LOOKUP(J1687,Sheet2!$P$4:$Q$9)</f>
        <v>1-99</v>
      </c>
      <c r="L1687" s="1">
        <v>30</v>
      </c>
      <c r="M1687" t="str">
        <f>LOOKUP(L1687,Sheet2!$S$4:$T$8)</f>
        <v>26-30</v>
      </c>
      <c r="N1687" s="1">
        <v>0.52700000000000002</v>
      </c>
      <c r="O1687" t="str">
        <f>LOOKUP(N1687,Sheet2!$V$4:$W$7)</f>
        <v>0.4 - 0.69</v>
      </c>
      <c r="P1687" s="1">
        <v>22</v>
      </c>
      <c r="Q1687" t="str">
        <f>LOOKUP(P1687,Sheet2!$Z$4:$AA$7)</f>
        <v>&lt;=25</v>
      </c>
      <c r="R1687" s="1">
        <v>0</v>
      </c>
      <c r="S1687" t="str">
        <f>IF(R1687=1,"Positive","Negative")</f>
        <v>Negative</v>
      </c>
      <c r="T1687" s="1">
        <f>IFERROR(VLOOKUP(A1687,[1]diabetes_Recognition!$A:$B,2,FALSE),"Not Sampled")</f>
        <v>0</v>
      </c>
      <c r="U1687" t="str">
        <f>IF(T1687=1,"Positive",(IF(T1687=0,"Negative","Not Sampled")))</f>
        <v>Negative</v>
      </c>
      <c r="V1687" s="1" t="str">
        <f>IF(U1687="Not Sampled","Not Sampled",IF(S1687=U1687,"Accurate Prediction","Inaccurate Prediction"))</f>
        <v>Accurate Prediction</v>
      </c>
    </row>
    <row r="1688" spans="1:22" x14ac:dyDescent="0.25">
      <c r="A1688" s="1">
        <v>1686</v>
      </c>
      <c r="B1688" s="1">
        <v>1</v>
      </c>
      <c r="C1688" s="1">
        <f>LOOKUP(B1688,Sheet2!$D$4:$E$9)</f>
        <v>1</v>
      </c>
      <c r="D1688" s="1">
        <v>173</v>
      </c>
      <c r="E1688" t="str">
        <f>LOOKUP(D1688,Sheet2!$G$4:$H$9)</f>
        <v>151-175</v>
      </c>
      <c r="F1688" s="1">
        <v>74</v>
      </c>
      <c r="G1688" t="str">
        <f>LOOKUP(F1688,Sheet2!$J$4:$K$8)</f>
        <v>70-79</v>
      </c>
      <c r="H1688" s="1">
        <v>0</v>
      </c>
      <c r="I1688" t="str">
        <f>LOOKUP(H1688,Sheet2!$M$4:$N$8)</f>
        <v>Unknown</v>
      </c>
      <c r="J1688" s="1">
        <v>0</v>
      </c>
      <c r="K1688" t="str">
        <f>LOOKUP(J1688,Sheet2!$P$4:$Q$9)</f>
        <v>Unknown</v>
      </c>
      <c r="L1688" s="1">
        <v>36.799999999999997</v>
      </c>
      <c r="M1688" t="str">
        <f>LOOKUP(L1688,Sheet2!$S$4:$T$8)</f>
        <v>36+</v>
      </c>
      <c r="N1688" s="1">
        <v>8.7999999999999995E-2</v>
      </c>
      <c r="O1688" t="str">
        <f>LOOKUP(N1688,Sheet2!$V$4:$W$7)</f>
        <v>0.0 - 0.249</v>
      </c>
      <c r="P1688" s="1">
        <v>38</v>
      </c>
      <c r="Q1688" t="str">
        <f>LOOKUP(P1688,Sheet2!$Z$4:$AA$7)</f>
        <v>36-45</v>
      </c>
      <c r="R1688" s="1">
        <v>1</v>
      </c>
      <c r="S1688" t="str">
        <f>IF(R1688=1,"Positive","Negative")</f>
        <v>Positive</v>
      </c>
      <c r="T1688" s="1" t="str">
        <f>IFERROR(VLOOKUP(A1688,[1]diabetes_Recognition!$A:$B,2,FALSE),"Not Sampled")</f>
        <v>Not Sampled</v>
      </c>
      <c r="U1688" t="str">
        <f>IF(T1688=1,"Positive",(IF(T1688=0,"Negative","Not Sampled")))</f>
        <v>Not Sampled</v>
      </c>
      <c r="V1688" s="1" t="str">
        <f>IF(U1688="Not Sampled","Not Sampled",IF(S1688=U1688,"Accurate Prediction","Inaccurate Prediction"))</f>
        <v>Not Sampled</v>
      </c>
    </row>
    <row r="1689" spans="1:22" x14ac:dyDescent="0.25">
      <c r="A1689" s="1">
        <v>1687</v>
      </c>
      <c r="B1689" s="1">
        <v>1</v>
      </c>
      <c r="C1689" s="1">
        <f>LOOKUP(B1689,Sheet2!$D$4:$E$9)</f>
        <v>1</v>
      </c>
      <c r="D1689" s="1">
        <v>109</v>
      </c>
      <c r="E1689" t="str">
        <f>LOOKUP(D1689,Sheet2!$G$4:$H$9)</f>
        <v>100-125</v>
      </c>
      <c r="F1689" s="1">
        <v>38</v>
      </c>
      <c r="G1689" t="str">
        <f>LOOKUP(F1689,Sheet2!$J$4:$K$8)</f>
        <v>1-59</v>
      </c>
      <c r="H1689" s="1">
        <v>18</v>
      </c>
      <c r="I1689" t="str">
        <f>LOOKUP(H1689,Sheet2!$M$4:$N$8)</f>
        <v>10-30</v>
      </c>
      <c r="J1689" s="1">
        <v>120</v>
      </c>
      <c r="K1689" t="str">
        <f>LOOKUP(J1689,Sheet2!$P$4:$Q$9)</f>
        <v>100-199</v>
      </c>
      <c r="L1689" s="1">
        <v>23.1</v>
      </c>
      <c r="M1689" t="str">
        <f>LOOKUP(L1689,Sheet2!$S$4:$T$8)</f>
        <v>1-25</v>
      </c>
      <c r="N1689" s="1">
        <v>0.40699999999999997</v>
      </c>
      <c r="O1689" t="str">
        <f>LOOKUP(N1689,Sheet2!$V$4:$W$7)</f>
        <v>0.4 - 0.69</v>
      </c>
      <c r="P1689" s="1">
        <v>26</v>
      </c>
      <c r="Q1689" t="str">
        <f>LOOKUP(P1689,Sheet2!$Z$4:$AA$7)</f>
        <v>26-35</v>
      </c>
      <c r="R1689" s="1">
        <v>0</v>
      </c>
      <c r="S1689" t="str">
        <f>IF(R1689=1,"Positive","Negative")</f>
        <v>Negative</v>
      </c>
      <c r="T1689" s="1" t="str">
        <f>IFERROR(VLOOKUP(A1689,[1]diabetes_Recognition!$A:$B,2,FALSE),"Not Sampled")</f>
        <v>Not Sampled</v>
      </c>
      <c r="U1689" t="str">
        <f>IF(T1689=1,"Positive",(IF(T1689=0,"Negative","Not Sampled")))</f>
        <v>Not Sampled</v>
      </c>
      <c r="V1689" s="1" t="str">
        <f>IF(U1689="Not Sampled","Not Sampled",IF(S1689=U1689,"Accurate Prediction","Inaccurate Prediction"))</f>
        <v>Not Sampled</v>
      </c>
    </row>
    <row r="1690" spans="1:22" x14ac:dyDescent="0.25">
      <c r="A1690" s="1">
        <v>1688</v>
      </c>
      <c r="B1690" s="1">
        <v>1</v>
      </c>
      <c r="C1690" s="1">
        <f>LOOKUP(B1690,Sheet2!$D$4:$E$9)</f>
        <v>1</v>
      </c>
      <c r="D1690" s="1">
        <v>108</v>
      </c>
      <c r="E1690" t="str">
        <f>LOOKUP(D1690,Sheet2!$G$4:$H$9)</f>
        <v>100-125</v>
      </c>
      <c r="F1690" s="1">
        <v>88</v>
      </c>
      <c r="G1690" t="str">
        <f>LOOKUP(F1690,Sheet2!$J$4:$K$8)</f>
        <v>80+</v>
      </c>
      <c r="H1690" s="1">
        <v>19</v>
      </c>
      <c r="I1690" t="str">
        <f>LOOKUP(H1690,Sheet2!$M$4:$N$8)</f>
        <v>10-30</v>
      </c>
      <c r="J1690" s="1">
        <v>0</v>
      </c>
      <c r="K1690" t="str">
        <f>LOOKUP(J1690,Sheet2!$P$4:$Q$9)</f>
        <v>Unknown</v>
      </c>
      <c r="L1690" s="1">
        <v>27.1</v>
      </c>
      <c r="M1690" t="str">
        <f>LOOKUP(L1690,Sheet2!$S$4:$T$8)</f>
        <v>26-30</v>
      </c>
      <c r="N1690" s="1">
        <v>0.4</v>
      </c>
      <c r="O1690" t="str">
        <f>LOOKUP(N1690,Sheet2!$V$4:$W$7)</f>
        <v>0.4 - 0.69</v>
      </c>
      <c r="P1690" s="1">
        <v>24</v>
      </c>
      <c r="Q1690" t="str">
        <f>LOOKUP(P1690,Sheet2!$Z$4:$AA$7)</f>
        <v>&lt;=25</v>
      </c>
      <c r="R1690" s="1">
        <v>0</v>
      </c>
      <c r="S1690" t="str">
        <f>IF(R1690=1,"Positive","Negative")</f>
        <v>Negative</v>
      </c>
      <c r="T1690" s="1">
        <f>IFERROR(VLOOKUP(A1690,[1]diabetes_Recognition!$A:$B,2,FALSE),"Not Sampled")</f>
        <v>0</v>
      </c>
      <c r="U1690" t="str">
        <f>IF(T1690=1,"Positive",(IF(T1690=0,"Negative","Not Sampled")))</f>
        <v>Negative</v>
      </c>
      <c r="V1690" s="1" t="str">
        <f>IF(U1690="Not Sampled","Not Sampled",IF(S1690=U1690,"Accurate Prediction","Inaccurate Prediction"))</f>
        <v>Accurate Prediction</v>
      </c>
    </row>
    <row r="1691" spans="1:22" x14ac:dyDescent="0.25">
      <c r="A1691" s="1">
        <v>1689</v>
      </c>
      <c r="B1691" s="1">
        <v>6</v>
      </c>
      <c r="C1691" s="1" t="str">
        <f>LOOKUP(B1691,Sheet2!$D$4:$E$9)</f>
        <v>5-7</v>
      </c>
      <c r="D1691" s="1">
        <v>96</v>
      </c>
      <c r="E1691" t="str">
        <f>LOOKUP(D1691,Sheet2!$G$4:$H$9)</f>
        <v>1-99</v>
      </c>
      <c r="F1691" s="1">
        <v>0</v>
      </c>
      <c r="G1691" t="str">
        <f>LOOKUP(F1691,Sheet2!$J$4:$K$8)</f>
        <v>Unknown</v>
      </c>
      <c r="H1691" s="1">
        <v>0</v>
      </c>
      <c r="I1691" t="str">
        <f>LOOKUP(H1691,Sheet2!$M$4:$N$8)</f>
        <v>Unknown</v>
      </c>
      <c r="J1691" s="1">
        <v>0</v>
      </c>
      <c r="K1691" t="str">
        <f>LOOKUP(J1691,Sheet2!$P$4:$Q$9)</f>
        <v>Unknown</v>
      </c>
      <c r="L1691" s="1">
        <v>23.7</v>
      </c>
      <c r="M1691" t="str">
        <f>LOOKUP(L1691,Sheet2!$S$4:$T$8)</f>
        <v>1-25</v>
      </c>
      <c r="N1691" s="1">
        <v>0.19</v>
      </c>
      <c r="O1691" t="str">
        <f>LOOKUP(N1691,Sheet2!$V$4:$W$7)</f>
        <v>0.0 - 0.249</v>
      </c>
      <c r="P1691" s="1">
        <v>28</v>
      </c>
      <c r="Q1691" t="str">
        <f>LOOKUP(P1691,Sheet2!$Z$4:$AA$7)</f>
        <v>26-35</v>
      </c>
      <c r="R1691" s="1">
        <v>0</v>
      </c>
      <c r="S1691" t="str">
        <f>IF(R1691=1,"Positive","Negative")</f>
        <v>Negative</v>
      </c>
      <c r="T1691" s="1" t="str">
        <f>IFERROR(VLOOKUP(A1691,[1]diabetes_Recognition!$A:$B,2,FALSE),"Not Sampled")</f>
        <v>Not Sampled</v>
      </c>
      <c r="U1691" t="str">
        <f>IF(T1691=1,"Positive",(IF(T1691=0,"Negative","Not Sampled")))</f>
        <v>Not Sampled</v>
      </c>
      <c r="V1691" s="1" t="str">
        <f>IF(U1691="Not Sampled","Not Sampled",IF(S1691=U1691,"Accurate Prediction","Inaccurate Prediction"))</f>
        <v>Not Sampled</v>
      </c>
    </row>
    <row r="1692" spans="1:22" x14ac:dyDescent="0.25">
      <c r="A1692" s="1">
        <v>1690</v>
      </c>
      <c r="B1692" s="1">
        <v>1</v>
      </c>
      <c r="C1692" s="1">
        <f>LOOKUP(B1692,Sheet2!$D$4:$E$9)</f>
        <v>1</v>
      </c>
      <c r="D1692" s="1">
        <v>124</v>
      </c>
      <c r="E1692" t="str">
        <f>LOOKUP(D1692,Sheet2!$G$4:$H$9)</f>
        <v>100-125</v>
      </c>
      <c r="F1692" s="1">
        <v>74</v>
      </c>
      <c r="G1692" t="str">
        <f>LOOKUP(F1692,Sheet2!$J$4:$K$8)</f>
        <v>70-79</v>
      </c>
      <c r="H1692" s="1">
        <v>36</v>
      </c>
      <c r="I1692" t="str">
        <f>LOOKUP(H1692,Sheet2!$M$4:$N$8)</f>
        <v>30-39</v>
      </c>
      <c r="J1692" s="1">
        <v>0</v>
      </c>
      <c r="K1692" t="str">
        <f>LOOKUP(J1692,Sheet2!$P$4:$Q$9)</f>
        <v>Unknown</v>
      </c>
      <c r="L1692" s="1">
        <v>27.8</v>
      </c>
      <c r="M1692" t="str">
        <f>LOOKUP(L1692,Sheet2!$S$4:$T$8)</f>
        <v>26-30</v>
      </c>
      <c r="N1692" s="1">
        <v>0.1</v>
      </c>
      <c r="O1692" t="str">
        <f>LOOKUP(N1692,Sheet2!$V$4:$W$7)</f>
        <v>0.0 - 0.249</v>
      </c>
      <c r="P1692" s="1">
        <v>30</v>
      </c>
      <c r="Q1692" t="str">
        <f>LOOKUP(P1692,Sheet2!$Z$4:$AA$7)</f>
        <v>26-35</v>
      </c>
      <c r="R1692" s="1">
        <v>0</v>
      </c>
      <c r="S1692" t="str">
        <f>IF(R1692=1,"Positive","Negative")</f>
        <v>Negative</v>
      </c>
      <c r="T1692" s="1" t="str">
        <f>IFERROR(VLOOKUP(A1692,[1]diabetes_Recognition!$A:$B,2,FALSE),"Not Sampled")</f>
        <v>Not Sampled</v>
      </c>
      <c r="U1692" t="str">
        <f>IF(T1692=1,"Positive",(IF(T1692=0,"Negative","Not Sampled")))</f>
        <v>Not Sampled</v>
      </c>
      <c r="V1692" s="1" t="str">
        <f>IF(U1692="Not Sampled","Not Sampled",IF(S1692=U1692,"Accurate Prediction","Inaccurate Prediction"))</f>
        <v>Not Sampled</v>
      </c>
    </row>
    <row r="1693" spans="1:22" x14ac:dyDescent="0.25">
      <c r="A1693" s="1">
        <v>1691</v>
      </c>
      <c r="B1693" s="1">
        <v>7</v>
      </c>
      <c r="C1693" s="1" t="str">
        <f>LOOKUP(B1693,Sheet2!$D$4:$E$9)</f>
        <v>5-7</v>
      </c>
      <c r="D1693" s="1">
        <v>150</v>
      </c>
      <c r="E1693" t="str">
        <f>LOOKUP(D1693,Sheet2!$G$4:$H$9)</f>
        <v>126-150</v>
      </c>
      <c r="F1693" s="1">
        <v>78</v>
      </c>
      <c r="G1693" t="str">
        <f>LOOKUP(F1693,Sheet2!$J$4:$K$8)</f>
        <v>70-79</v>
      </c>
      <c r="H1693" s="1">
        <v>29</v>
      </c>
      <c r="I1693" t="str">
        <f>LOOKUP(H1693,Sheet2!$M$4:$N$8)</f>
        <v>10-30</v>
      </c>
      <c r="J1693" s="1">
        <v>126</v>
      </c>
      <c r="K1693" t="str">
        <f>LOOKUP(J1693,Sheet2!$P$4:$Q$9)</f>
        <v>100-199</v>
      </c>
      <c r="L1693" s="1">
        <v>35.200000000000003</v>
      </c>
      <c r="M1693" t="str">
        <f>LOOKUP(L1693,Sheet2!$S$4:$T$8)</f>
        <v>31-35</v>
      </c>
      <c r="N1693" s="1">
        <v>0.69199999999999995</v>
      </c>
      <c r="O1693" t="str">
        <f>LOOKUP(N1693,Sheet2!$V$4:$W$7)</f>
        <v>0.4 - 0.69</v>
      </c>
      <c r="P1693" s="1">
        <v>54</v>
      </c>
      <c r="Q1693" t="str">
        <f>LOOKUP(P1693,Sheet2!$Z$4:$AA$7)</f>
        <v>46+</v>
      </c>
      <c r="R1693" s="1">
        <v>1</v>
      </c>
      <c r="S1693" t="str">
        <f>IF(R1693=1,"Positive","Negative")</f>
        <v>Positive</v>
      </c>
      <c r="T1693" s="1">
        <f>IFERROR(VLOOKUP(A1693,[1]diabetes_Recognition!$A:$B,2,FALSE),"Not Sampled")</f>
        <v>1</v>
      </c>
      <c r="U1693" t="str">
        <f>IF(T1693=1,"Positive",(IF(T1693=0,"Negative","Not Sampled")))</f>
        <v>Positive</v>
      </c>
      <c r="V1693" s="1" t="str">
        <f>IF(U1693="Not Sampled","Not Sampled",IF(S1693=U1693,"Accurate Prediction","Inaccurate Prediction"))</f>
        <v>Accurate Prediction</v>
      </c>
    </row>
    <row r="1694" spans="1:22" x14ac:dyDescent="0.25">
      <c r="A1694" s="1">
        <v>1692</v>
      </c>
      <c r="B1694" s="1">
        <v>4</v>
      </c>
      <c r="C1694" s="1" t="str">
        <f>LOOKUP(B1694,Sheet2!$D$4:$E$9)</f>
        <v>3-4</v>
      </c>
      <c r="D1694" s="1">
        <v>183</v>
      </c>
      <c r="E1694" t="str">
        <f>LOOKUP(D1694,Sheet2!$G$4:$H$9)</f>
        <v>176-200</v>
      </c>
      <c r="F1694" s="1">
        <v>0</v>
      </c>
      <c r="G1694" t="str">
        <f>LOOKUP(F1694,Sheet2!$J$4:$K$8)</f>
        <v>Unknown</v>
      </c>
      <c r="H1694" s="1">
        <v>0</v>
      </c>
      <c r="I1694" t="str">
        <f>LOOKUP(H1694,Sheet2!$M$4:$N$8)</f>
        <v>Unknown</v>
      </c>
      <c r="J1694" s="1">
        <v>0</v>
      </c>
      <c r="K1694" t="str">
        <f>LOOKUP(J1694,Sheet2!$P$4:$Q$9)</f>
        <v>Unknown</v>
      </c>
      <c r="L1694" s="1">
        <v>28.4</v>
      </c>
      <c r="M1694" t="str">
        <f>LOOKUP(L1694,Sheet2!$S$4:$T$8)</f>
        <v>26-30</v>
      </c>
      <c r="N1694" s="1">
        <v>0.21199999999999999</v>
      </c>
      <c r="O1694" t="str">
        <f>LOOKUP(N1694,Sheet2!$V$4:$W$7)</f>
        <v>0.0 - 0.249</v>
      </c>
      <c r="P1694" s="1">
        <v>36</v>
      </c>
      <c r="Q1694" t="str">
        <f>LOOKUP(P1694,Sheet2!$Z$4:$AA$7)</f>
        <v>36-45</v>
      </c>
      <c r="R1694" s="1">
        <v>1</v>
      </c>
      <c r="S1694" t="str">
        <f>IF(R1694=1,"Positive","Negative")</f>
        <v>Positive</v>
      </c>
      <c r="T1694" s="1" t="str">
        <f>IFERROR(VLOOKUP(A1694,[1]diabetes_Recognition!$A:$B,2,FALSE),"Not Sampled")</f>
        <v>Not Sampled</v>
      </c>
      <c r="U1694" t="str">
        <f>IF(T1694=1,"Positive",(IF(T1694=0,"Negative","Not Sampled")))</f>
        <v>Not Sampled</v>
      </c>
      <c r="V1694" s="1" t="str">
        <f>IF(U1694="Not Sampled","Not Sampled",IF(S1694=U1694,"Accurate Prediction","Inaccurate Prediction"))</f>
        <v>Not Sampled</v>
      </c>
    </row>
    <row r="1695" spans="1:22" x14ac:dyDescent="0.25">
      <c r="A1695" s="1">
        <v>1693</v>
      </c>
      <c r="B1695" s="1">
        <v>1</v>
      </c>
      <c r="C1695" s="1">
        <f>LOOKUP(B1695,Sheet2!$D$4:$E$9)</f>
        <v>1</v>
      </c>
      <c r="D1695" s="1">
        <v>124</v>
      </c>
      <c r="E1695" t="str">
        <f>LOOKUP(D1695,Sheet2!$G$4:$H$9)</f>
        <v>100-125</v>
      </c>
      <c r="F1695" s="1">
        <v>60</v>
      </c>
      <c r="G1695" t="str">
        <f>LOOKUP(F1695,Sheet2!$J$4:$K$8)</f>
        <v>60-69</v>
      </c>
      <c r="H1695" s="1">
        <v>32</v>
      </c>
      <c r="I1695" t="str">
        <f>LOOKUP(H1695,Sheet2!$M$4:$N$8)</f>
        <v>30-39</v>
      </c>
      <c r="J1695" s="1">
        <v>0</v>
      </c>
      <c r="K1695" t="str">
        <f>LOOKUP(J1695,Sheet2!$P$4:$Q$9)</f>
        <v>Unknown</v>
      </c>
      <c r="L1695" s="1">
        <v>35.799999999999997</v>
      </c>
      <c r="M1695" t="str">
        <f>LOOKUP(L1695,Sheet2!$S$4:$T$8)</f>
        <v>31-35</v>
      </c>
      <c r="N1695" s="1">
        <v>0.51400000000000001</v>
      </c>
      <c r="O1695" t="str">
        <f>LOOKUP(N1695,Sheet2!$V$4:$W$7)</f>
        <v>0.4 - 0.69</v>
      </c>
      <c r="P1695" s="1">
        <v>21</v>
      </c>
      <c r="Q1695" t="str">
        <f>LOOKUP(P1695,Sheet2!$Z$4:$AA$7)</f>
        <v>&lt;=25</v>
      </c>
      <c r="R1695" s="1">
        <v>0</v>
      </c>
      <c r="S1695" t="str">
        <f>IF(R1695=1,"Positive","Negative")</f>
        <v>Negative</v>
      </c>
      <c r="T1695" s="1" t="str">
        <f>IFERROR(VLOOKUP(A1695,[1]diabetes_Recognition!$A:$B,2,FALSE),"Not Sampled")</f>
        <v>Not Sampled</v>
      </c>
      <c r="U1695" t="str">
        <f>IF(T1695=1,"Positive",(IF(T1695=0,"Negative","Not Sampled")))</f>
        <v>Not Sampled</v>
      </c>
      <c r="V1695" s="1" t="str">
        <f>IF(U1695="Not Sampled","Not Sampled",IF(S1695=U1695,"Accurate Prediction","Inaccurate Prediction"))</f>
        <v>Not Sampled</v>
      </c>
    </row>
    <row r="1696" spans="1:22" x14ac:dyDescent="0.25">
      <c r="A1696" s="1">
        <v>1694</v>
      </c>
      <c r="B1696" s="1">
        <v>1</v>
      </c>
      <c r="C1696" s="1">
        <f>LOOKUP(B1696,Sheet2!$D$4:$E$9)</f>
        <v>1</v>
      </c>
      <c r="D1696" s="1">
        <v>181</v>
      </c>
      <c r="E1696" t="str">
        <f>LOOKUP(D1696,Sheet2!$G$4:$H$9)</f>
        <v>176-200</v>
      </c>
      <c r="F1696" s="1">
        <v>78</v>
      </c>
      <c r="G1696" t="str">
        <f>LOOKUP(F1696,Sheet2!$J$4:$K$8)</f>
        <v>70-79</v>
      </c>
      <c r="H1696" s="1">
        <v>42</v>
      </c>
      <c r="I1696" t="str">
        <f>LOOKUP(H1696,Sheet2!$M$4:$N$8)</f>
        <v>40+</v>
      </c>
      <c r="J1696" s="1">
        <v>293</v>
      </c>
      <c r="K1696" t="str">
        <f>LOOKUP(J1696,Sheet2!$P$4:$Q$9)</f>
        <v>200-399</v>
      </c>
      <c r="L1696" s="1">
        <v>40</v>
      </c>
      <c r="M1696" t="str">
        <f>LOOKUP(L1696,Sheet2!$S$4:$T$8)</f>
        <v>36+</v>
      </c>
      <c r="N1696" s="1">
        <v>1.258</v>
      </c>
      <c r="O1696" t="str">
        <f>LOOKUP(N1696,Sheet2!$V$4:$W$7)</f>
        <v>0.7+</v>
      </c>
      <c r="P1696" s="1">
        <v>22</v>
      </c>
      <c r="Q1696" t="str">
        <f>LOOKUP(P1696,Sheet2!$Z$4:$AA$7)</f>
        <v>&lt;=25</v>
      </c>
      <c r="R1696" s="1">
        <v>1</v>
      </c>
      <c r="S1696" t="str">
        <f>IF(R1696=1,"Positive","Negative")</f>
        <v>Positive</v>
      </c>
      <c r="T1696" s="1" t="str">
        <f>IFERROR(VLOOKUP(A1696,[1]diabetes_Recognition!$A:$B,2,FALSE),"Not Sampled")</f>
        <v>Not Sampled</v>
      </c>
      <c r="U1696" t="str">
        <f>IF(T1696=1,"Positive",(IF(T1696=0,"Negative","Not Sampled")))</f>
        <v>Not Sampled</v>
      </c>
      <c r="V1696" s="1" t="str">
        <f>IF(U1696="Not Sampled","Not Sampled",IF(S1696=U1696,"Accurate Prediction","Inaccurate Prediction"))</f>
        <v>Not Sampled</v>
      </c>
    </row>
    <row r="1697" spans="1:22" x14ac:dyDescent="0.25">
      <c r="A1697" s="1">
        <v>1695</v>
      </c>
      <c r="B1697" s="1">
        <v>1</v>
      </c>
      <c r="C1697" s="1">
        <f>LOOKUP(B1697,Sheet2!$D$4:$E$9)</f>
        <v>1</v>
      </c>
      <c r="D1697" s="1">
        <v>92</v>
      </c>
      <c r="E1697" t="str">
        <f>LOOKUP(D1697,Sheet2!$G$4:$H$9)</f>
        <v>1-99</v>
      </c>
      <c r="F1697" s="1">
        <v>62</v>
      </c>
      <c r="G1697" t="str">
        <f>LOOKUP(F1697,Sheet2!$J$4:$K$8)</f>
        <v>60-69</v>
      </c>
      <c r="H1697" s="1">
        <v>25</v>
      </c>
      <c r="I1697" t="str">
        <f>LOOKUP(H1697,Sheet2!$M$4:$N$8)</f>
        <v>10-30</v>
      </c>
      <c r="J1697" s="1">
        <v>41</v>
      </c>
      <c r="K1697" t="str">
        <f>LOOKUP(J1697,Sheet2!$P$4:$Q$9)</f>
        <v>1-99</v>
      </c>
      <c r="L1697" s="1">
        <v>19.5</v>
      </c>
      <c r="M1697" t="str">
        <f>LOOKUP(L1697,Sheet2!$S$4:$T$8)</f>
        <v>1-25</v>
      </c>
      <c r="N1697" s="1">
        <v>0.48199999999999998</v>
      </c>
      <c r="O1697" t="str">
        <f>LOOKUP(N1697,Sheet2!$V$4:$W$7)</f>
        <v>0.4 - 0.69</v>
      </c>
      <c r="P1697" s="1">
        <v>25</v>
      </c>
      <c r="Q1697" t="str">
        <f>LOOKUP(P1697,Sheet2!$Z$4:$AA$7)</f>
        <v>&lt;=25</v>
      </c>
      <c r="R1697" s="1">
        <v>0</v>
      </c>
      <c r="S1697" t="str">
        <f>IF(R1697=1,"Positive","Negative")</f>
        <v>Negative</v>
      </c>
      <c r="T1697" s="1" t="str">
        <f>IFERROR(VLOOKUP(A1697,[1]diabetes_Recognition!$A:$B,2,FALSE),"Not Sampled")</f>
        <v>Not Sampled</v>
      </c>
      <c r="U1697" t="str">
        <f>IF(T1697=1,"Positive",(IF(T1697=0,"Negative","Not Sampled")))</f>
        <v>Not Sampled</v>
      </c>
      <c r="V1697" s="1" t="str">
        <f>IF(U1697="Not Sampled","Not Sampled",IF(S1697=U1697,"Accurate Prediction","Inaccurate Prediction"))</f>
        <v>Not Sampled</v>
      </c>
    </row>
    <row r="1698" spans="1:22" x14ac:dyDescent="0.25">
      <c r="A1698" s="1">
        <v>1696</v>
      </c>
      <c r="B1698" s="1">
        <v>0</v>
      </c>
      <c r="C1698" s="1">
        <f>LOOKUP(B1698,Sheet2!$D$4:$E$9)</f>
        <v>0</v>
      </c>
      <c r="D1698" s="1">
        <v>152</v>
      </c>
      <c r="E1698" t="str">
        <f>LOOKUP(D1698,Sheet2!$G$4:$H$9)</f>
        <v>151-175</v>
      </c>
      <c r="F1698" s="1">
        <v>82</v>
      </c>
      <c r="G1698" t="str">
        <f>LOOKUP(F1698,Sheet2!$J$4:$K$8)</f>
        <v>80+</v>
      </c>
      <c r="H1698" s="1">
        <v>39</v>
      </c>
      <c r="I1698" t="str">
        <f>LOOKUP(H1698,Sheet2!$M$4:$N$8)</f>
        <v>30-39</v>
      </c>
      <c r="J1698" s="1">
        <v>272</v>
      </c>
      <c r="K1698" t="str">
        <f>LOOKUP(J1698,Sheet2!$P$4:$Q$9)</f>
        <v>200-399</v>
      </c>
      <c r="L1698" s="1">
        <v>41.5</v>
      </c>
      <c r="M1698" t="str">
        <f>LOOKUP(L1698,Sheet2!$S$4:$T$8)</f>
        <v>36+</v>
      </c>
      <c r="N1698" s="1">
        <v>0.27</v>
      </c>
      <c r="O1698" t="str">
        <f>LOOKUP(N1698,Sheet2!$V$4:$W$7)</f>
        <v>0.25 - 0.39</v>
      </c>
      <c r="P1698" s="1">
        <v>27</v>
      </c>
      <c r="Q1698" t="str">
        <f>LOOKUP(P1698,Sheet2!$Z$4:$AA$7)</f>
        <v>26-35</v>
      </c>
      <c r="R1698" s="1">
        <v>0</v>
      </c>
      <c r="S1698" t="str">
        <f>IF(R1698=1,"Positive","Negative")</f>
        <v>Negative</v>
      </c>
      <c r="T1698" s="1" t="str">
        <f>IFERROR(VLOOKUP(A1698,[1]diabetes_Recognition!$A:$B,2,FALSE),"Not Sampled")</f>
        <v>Not Sampled</v>
      </c>
      <c r="U1698" t="str">
        <f>IF(T1698=1,"Positive",(IF(T1698=0,"Negative","Not Sampled")))</f>
        <v>Not Sampled</v>
      </c>
      <c r="V1698" s="1" t="str">
        <f>IF(U1698="Not Sampled","Not Sampled",IF(S1698=U1698,"Accurate Prediction","Inaccurate Prediction"))</f>
        <v>Not Sampled</v>
      </c>
    </row>
    <row r="1699" spans="1:22" x14ac:dyDescent="0.25">
      <c r="A1699" s="1">
        <v>1697</v>
      </c>
      <c r="B1699" s="1">
        <v>1</v>
      </c>
      <c r="C1699" s="1">
        <f>LOOKUP(B1699,Sheet2!$D$4:$E$9)</f>
        <v>1</v>
      </c>
      <c r="D1699" s="1">
        <v>111</v>
      </c>
      <c r="E1699" t="str">
        <f>LOOKUP(D1699,Sheet2!$G$4:$H$9)</f>
        <v>100-125</v>
      </c>
      <c r="F1699" s="1">
        <v>62</v>
      </c>
      <c r="G1699" t="str">
        <f>LOOKUP(F1699,Sheet2!$J$4:$K$8)</f>
        <v>60-69</v>
      </c>
      <c r="H1699" s="1">
        <v>13</v>
      </c>
      <c r="I1699" t="str">
        <f>LOOKUP(H1699,Sheet2!$M$4:$N$8)</f>
        <v>10-30</v>
      </c>
      <c r="J1699" s="1">
        <v>182</v>
      </c>
      <c r="K1699" t="str">
        <f>LOOKUP(J1699,Sheet2!$P$4:$Q$9)</f>
        <v>100-199</v>
      </c>
      <c r="L1699" s="1">
        <v>24</v>
      </c>
      <c r="M1699" t="str">
        <f>LOOKUP(L1699,Sheet2!$S$4:$T$8)</f>
        <v>1-25</v>
      </c>
      <c r="N1699" s="1">
        <v>0.13800000000000001</v>
      </c>
      <c r="O1699" t="str">
        <f>LOOKUP(N1699,Sheet2!$V$4:$W$7)</f>
        <v>0.0 - 0.249</v>
      </c>
      <c r="P1699" s="1">
        <v>23</v>
      </c>
      <c r="Q1699" t="str">
        <f>LOOKUP(P1699,Sheet2!$Z$4:$AA$7)</f>
        <v>&lt;=25</v>
      </c>
      <c r="R1699" s="1">
        <v>0</v>
      </c>
      <c r="S1699" t="str">
        <f>IF(R1699=1,"Positive","Negative")</f>
        <v>Negative</v>
      </c>
      <c r="T1699" s="1" t="str">
        <f>IFERROR(VLOOKUP(A1699,[1]diabetes_Recognition!$A:$B,2,FALSE),"Not Sampled")</f>
        <v>Not Sampled</v>
      </c>
      <c r="U1699" t="str">
        <f>IF(T1699=1,"Positive",(IF(T1699=0,"Negative","Not Sampled")))</f>
        <v>Not Sampled</v>
      </c>
      <c r="V1699" s="1" t="str">
        <f>IF(U1699="Not Sampled","Not Sampled",IF(S1699=U1699,"Accurate Prediction","Inaccurate Prediction"))</f>
        <v>Not Sampled</v>
      </c>
    </row>
    <row r="1700" spans="1:22" x14ac:dyDescent="0.25">
      <c r="A1700" s="1">
        <v>1698</v>
      </c>
      <c r="B1700" s="1">
        <v>3</v>
      </c>
      <c r="C1700" s="1" t="str">
        <f>LOOKUP(B1700,Sheet2!$D$4:$E$9)</f>
        <v>3-4</v>
      </c>
      <c r="D1700" s="1">
        <v>106</v>
      </c>
      <c r="E1700" t="str">
        <f>LOOKUP(D1700,Sheet2!$G$4:$H$9)</f>
        <v>100-125</v>
      </c>
      <c r="F1700" s="1">
        <v>54</v>
      </c>
      <c r="G1700" t="str">
        <f>LOOKUP(F1700,Sheet2!$J$4:$K$8)</f>
        <v>1-59</v>
      </c>
      <c r="H1700" s="1">
        <v>21</v>
      </c>
      <c r="I1700" t="str">
        <f>LOOKUP(H1700,Sheet2!$M$4:$N$8)</f>
        <v>10-30</v>
      </c>
      <c r="J1700" s="1">
        <v>158</v>
      </c>
      <c r="K1700" t="str">
        <f>LOOKUP(J1700,Sheet2!$P$4:$Q$9)</f>
        <v>100-199</v>
      </c>
      <c r="L1700" s="1">
        <v>30.9</v>
      </c>
      <c r="M1700" t="str">
        <f>LOOKUP(L1700,Sheet2!$S$4:$T$8)</f>
        <v>26-30</v>
      </c>
      <c r="N1700" s="1">
        <v>0.29199999999999998</v>
      </c>
      <c r="O1700" t="str">
        <f>LOOKUP(N1700,Sheet2!$V$4:$W$7)</f>
        <v>0.25 - 0.39</v>
      </c>
      <c r="P1700" s="1">
        <v>24</v>
      </c>
      <c r="Q1700" t="str">
        <f>LOOKUP(P1700,Sheet2!$Z$4:$AA$7)</f>
        <v>&lt;=25</v>
      </c>
      <c r="R1700" s="1">
        <v>0</v>
      </c>
      <c r="S1700" t="str">
        <f>IF(R1700=1,"Positive","Negative")</f>
        <v>Negative</v>
      </c>
      <c r="T1700" s="1">
        <f>IFERROR(VLOOKUP(A1700,[1]diabetes_Recognition!$A:$B,2,FALSE),"Not Sampled")</f>
        <v>0</v>
      </c>
      <c r="U1700" t="str">
        <f>IF(T1700=1,"Positive",(IF(T1700=0,"Negative","Not Sampled")))</f>
        <v>Negative</v>
      </c>
      <c r="V1700" s="1" t="str">
        <f>IF(U1700="Not Sampled","Not Sampled",IF(S1700=U1700,"Accurate Prediction","Inaccurate Prediction"))</f>
        <v>Accurate Prediction</v>
      </c>
    </row>
    <row r="1701" spans="1:22" x14ac:dyDescent="0.25">
      <c r="A1701" s="1">
        <v>1699</v>
      </c>
      <c r="B1701" s="1">
        <v>3</v>
      </c>
      <c r="C1701" s="1" t="str">
        <f>LOOKUP(B1701,Sheet2!$D$4:$E$9)</f>
        <v>3-4</v>
      </c>
      <c r="D1701" s="1">
        <v>174</v>
      </c>
      <c r="E1701" t="str">
        <f>LOOKUP(D1701,Sheet2!$G$4:$H$9)</f>
        <v>151-175</v>
      </c>
      <c r="F1701" s="1">
        <v>58</v>
      </c>
      <c r="G1701" t="str">
        <f>LOOKUP(F1701,Sheet2!$J$4:$K$8)</f>
        <v>1-59</v>
      </c>
      <c r="H1701" s="1">
        <v>22</v>
      </c>
      <c r="I1701" t="str">
        <f>LOOKUP(H1701,Sheet2!$M$4:$N$8)</f>
        <v>10-30</v>
      </c>
      <c r="J1701" s="1">
        <v>194</v>
      </c>
      <c r="K1701" t="str">
        <f>LOOKUP(J1701,Sheet2!$P$4:$Q$9)</f>
        <v>100-199</v>
      </c>
      <c r="L1701" s="1">
        <v>32.9</v>
      </c>
      <c r="M1701" t="str">
        <f>LOOKUP(L1701,Sheet2!$S$4:$T$8)</f>
        <v>31-35</v>
      </c>
      <c r="N1701" s="1">
        <v>0.59299999999999997</v>
      </c>
      <c r="O1701" t="str">
        <f>LOOKUP(N1701,Sheet2!$V$4:$W$7)</f>
        <v>0.4 - 0.69</v>
      </c>
      <c r="P1701" s="1">
        <v>36</v>
      </c>
      <c r="Q1701" t="str">
        <f>LOOKUP(P1701,Sheet2!$Z$4:$AA$7)</f>
        <v>36-45</v>
      </c>
      <c r="R1701" s="1">
        <v>1</v>
      </c>
      <c r="S1701" t="str">
        <f>IF(R1701=1,"Positive","Negative")</f>
        <v>Positive</v>
      </c>
      <c r="T1701" s="1">
        <f>IFERROR(VLOOKUP(A1701,[1]diabetes_Recognition!$A:$B,2,FALSE),"Not Sampled")</f>
        <v>1</v>
      </c>
      <c r="U1701" t="str">
        <f>IF(T1701=1,"Positive",(IF(T1701=0,"Negative","Not Sampled")))</f>
        <v>Positive</v>
      </c>
      <c r="V1701" s="1" t="str">
        <f>IF(U1701="Not Sampled","Not Sampled",IF(S1701=U1701,"Accurate Prediction","Inaccurate Prediction"))</f>
        <v>Accurate Prediction</v>
      </c>
    </row>
    <row r="1702" spans="1:22" x14ac:dyDescent="0.25">
      <c r="A1702" s="1">
        <v>1700</v>
      </c>
      <c r="B1702" s="1">
        <v>7</v>
      </c>
      <c r="C1702" s="1" t="str">
        <f>LOOKUP(B1702,Sheet2!$D$4:$E$9)</f>
        <v>5-7</v>
      </c>
      <c r="D1702" s="1">
        <v>168</v>
      </c>
      <c r="E1702" t="str">
        <f>LOOKUP(D1702,Sheet2!$G$4:$H$9)</f>
        <v>151-175</v>
      </c>
      <c r="F1702" s="1">
        <v>88</v>
      </c>
      <c r="G1702" t="str">
        <f>LOOKUP(F1702,Sheet2!$J$4:$K$8)</f>
        <v>80+</v>
      </c>
      <c r="H1702" s="1">
        <v>42</v>
      </c>
      <c r="I1702" t="str">
        <f>LOOKUP(H1702,Sheet2!$M$4:$N$8)</f>
        <v>40+</v>
      </c>
      <c r="J1702" s="1">
        <v>321</v>
      </c>
      <c r="K1702" t="str">
        <f>LOOKUP(J1702,Sheet2!$P$4:$Q$9)</f>
        <v>300-499</v>
      </c>
      <c r="L1702" s="1">
        <v>38.200000000000003</v>
      </c>
      <c r="M1702" t="str">
        <f>LOOKUP(L1702,Sheet2!$S$4:$T$8)</f>
        <v>36+</v>
      </c>
      <c r="N1702" s="1">
        <v>0.78700000000000003</v>
      </c>
      <c r="O1702" t="str">
        <f>LOOKUP(N1702,Sheet2!$V$4:$W$7)</f>
        <v>0.7+</v>
      </c>
      <c r="P1702" s="1">
        <v>40</v>
      </c>
      <c r="Q1702" t="str">
        <f>LOOKUP(P1702,Sheet2!$Z$4:$AA$7)</f>
        <v>36-45</v>
      </c>
      <c r="R1702" s="1">
        <v>1</v>
      </c>
      <c r="S1702" t="str">
        <f>IF(R1702=1,"Positive","Negative")</f>
        <v>Positive</v>
      </c>
      <c r="T1702" s="1" t="str">
        <f>IFERROR(VLOOKUP(A1702,[1]diabetes_Recognition!$A:$B,2,FALSE),"Not Sampled")</f>
        <v>Not Sampled</v>
      </c>
      <c r="U1702" t="str">
        <f>IF(T1702=1,"Positive",(IF(T1702=0,"Negative","Not Sampled")))</f>
        <v>Not Sampled</v>
      </c>
      <c r="V1702" s="1" t="str">
        <f>IF(U1702="Not Sampled","Not Sampled",IF(S1702=U1702,"Accurate Prediction","Inaccurate Prediction"))</f>
        <v>Not Sampled</v>
      </c>
    </row>
    <row r="1703" spans="1:22" x14ac:dyDescent="0.25">
      <c r="A1703" s="1">
        <v>1701</v>
      </c>
      <c r="B1703" s="1">
        <v>6</v>
      </c>
      <c r="C1703" s="1" t="str">
        <f>LOOKUP(B1703,Sheet2!$D$4:$E$9)</f>
        <v>5-7</v>
      </c>
      <c r="D1703" s="1">
        <v>105</v>
      </c>
      <c r="E1703" t="str">
        <f>LOOKUP(D1703,Sheet2!$G$4:$H$9)</f>
        <v>100-125</v>
      </c>
      <c r="F1703" s="1">
        <v>80</v>
      </c>
      <c r="G1703" t="str">
        <f>LOOKUP(F1703,Sheet2!$J$4:$K$8)</f>
        <v>80+</v>
      </c>
      <c r="H1703" s="1">
        <v>28</v>
      </c>
      <c r="I1703" t="str">
        <f>LOOKUP(H1703,Sheet2!$M$4:$N$8)</f>
        <v>10-30</v>
      </c>
      <c r="J1703" s="1">
        <v>0</v>
      </c>
      <c r="K1703" t="str">
        <f>LOOKUP(J1703,Sheet2!$P$4:$Q$9)</f>
        <v>Unknown</v>
      </c>
      <c r="L1703" s="1">
        <v>32.5</v>
      </c>
      <c r="M1703" t="str">
        <f>LOOKUP(L1703,Sheet2!$S$4:$T$8)</f>
        <v>31-35</v>
      </c>
      <c r="N1703" s="1">
        <v>0.878</v>
      </c>
      <c r="O1703" t="str">
        <f>LOOKUP(N1703,Sheet2!$V$4:$W$7)</f>
        <v>0.7+</v>
      </c>
      <c r="P1703" s="1">
        <v>26</v>
      </c>
      <c r="Q1703" t="str">
        <f>LOOKUP(P1703,Sheet2!$Z$4:$AA$7)</f>
        <v>26-35</v>
      </c>
      <c r="R1703" s="1">
        <v>0</v>
      </c>
      <c r="S1703" t="str">
        <f>IF(R1703=1,"Positive","Negative")</f>
        <v>Negative</v>
      </c>
      <c r="T1703" s="1">
        <f>IFERROR(VLOOKUP(A1703,[1]diabetes_Recognition!$A:$B,2,FALSE),"Not Sampled")</f>
        <v>0</v>
      </c>
      <c r="U1703" t="str">
        <f>IF(T1703=1,"Positive",(IF(T1703=0,"Negative","Not Sampled")))</f>
        <v>Negative</v>
      </c>
      <c r="V1703" s="1" t="str">
        <f>IF(U1703="Not Sampled","Not Sampled",IF(S1703=U1703,"Accurate Prediction","Inaccurate Prediction"))</f>
        <v>Accurate Prediction</v>
      </c>
    </row>
    <row r="1704" spans="1:22" x14ac:dyDescent="0.25">
      <c r="A1704" s="1">
        <v>1702</v>
      </c>
      <c r="B1704" s="1">
        <v>11</v>
      </c>
      <c r="C1704" s="1" t="str">
        <f>LOOKUP(B1704,Sheet2!$D$4:$E$9)</f>
        <v>8+</v>
      </c>
      <c r="D1704" s="1">
        <v>138</v>
      </c>
      <c r="E1704" t="str">
        <f>LOOKUP(D1704,Sheet2!$G$4:$H$9)</f>
        <v>126-150</v>
      </c>
      <c r="F1704" s="1">
        <v>74</v>
      </c>
      <c r="G1704" t="str">
        <f>LOOKUP(F1704,Sheet2!$J$4:$K$8)</f>
        <v>70-79</v>
      </c>
      <c r="H1704" s="1">
        <v>26</v>
      </c>
      <c r="I1704" t="str">
        <f>LOOKUP(H1704,Sheet2!$M$4:$N$8)</f>
        <v>10-30</v>
      </c>
      <c r="J1704" s="1">
        <v>144</v>
      </c>
      <c r="K1704" t="str">
        <f>LOOKUP(J1704,Sheet2!$P$4:$Q$9)</f>
        <v>100-199</v>
      </c>
      <c r="L1704" s="1">
        <v>36.1</v>
      </c>
      <c r="M1704" t="str">
        <f>LOOKUP(L1704,Sheet2!$S$4:$T$8)</f>
        <v>36+</v>
      </c>
      <c r="N1704" s="1">
        <v>0.55700000000000005</v>
      </c>
      <c r="O1704" t="str">
        <f>LOOKUP(N1704,Sheet2!$V$4:$W$7)</f>
        <v>0.4 - 0.69</v>
      </c>
      <c r="P1704" s="1">
        <v>50</v>
      </c>
      <c r="Q1704" t="str">
        <f>LOOKUP(P1704,Sheet2!$Z$4:$AA$7)</f>
        <v>46+</v>
      </c>
      <c r="R1704" s="1">
        <v>1</v>
      </c>
      <c r="S1704" t="str">
        <f>IF(R1704=1,"Positive","Negative")</f>
        <v>Positive</v>
      </c>
      <c r="T1704" s="1" t="str">
        <f>IFERROR(VLOOKUP(A1704,[1]diabetes_Recognition!$A:$B,2,FALSE),"Not Sampled")</f>
        <v>Not Sampled</v>
      </c>
      <c r="U1704" t="str">
        <f>IF(T1704=1,"Positive",(IF(T1704=0,"Negative","Not Sampled")))</f>
        <v>Not Sampled</v>
      </c>
      <c r="V1704" s="1" t="str">
        <f>IF(U1704="Not Sampled","Not Sampled",IF(S1704=U1704,"Accurate Prediction","Inaccurate Prediction"))</f>
        <v>Not Sampled</v>
      </c>
    </row>
    <row r="1705" spans="1:22" x14ac:dyDescent="0.25">
      <c r="A1705" s="1">
        <v>1703</v>
      </c>
      <c r="B1705" s="1">
        <v>3</v>
      </c>
      <c r="C1705" s="1" t="str">
        <f>LOOKUP(B1705,Sheet2!$D$4:$E$9)</f>
        <v>3-4</v>
      </c>
      <c r="D1705" s="1">
        <v>106</v>
      </c>
      <c r="E1705" t="str">
        <f>LOOKUP(D1705,Sheet2!$G$4:$H$9)</f>
        <v>100-125</v>
      </c>
      <c r="F1705" s="1">
        <v>72</v>
      </c>
      <c r="G1705" t="str">
        <f>LOOKUP(F1705,Sheet2!$J$4:$K$8)</f>
        <v>70-79</v>
      </c>
      <c r="H1705" s="1">
        <v>0</v>
      </c>
      <c r="I1705" t="str">
        <f>LOOKUP(H1705,Sheet2!$M$4:$N$8)</f>
        <v>Unknown</v>
      </c>
      <c r="J1705" s="1">
        <v>0</v>
      </c>
      <c r="K1705" t="str">
        <f>LOOKUP(J1705,Sheet2!$P$4:$Q$9)</f>
        <v>Unknown</v>
      </c>
      <c r="L1705" s="1">
        <v>25.8</v>
      </c>
      <c r="M1705" t="str">
        <f>LOOKUP(L1705,Sheet2!$S$4:$T$8)</f>
        <v>1-25</v>
      </c>
      <c r="N1705" s="1">
        <v>0.20699999999999999</v>
      </c>
      <c r="O1705" t="str">
        <f>LOOKUP(N1705,Sheet2!$V$4:$W$7)</f>
        <v>0.0 - 0.249</v>
      </c>
      <c r="P1705" s="1">
        <v>27</v>
      </c>
      <c r="Q1705" t="str">
        <f>LOOKUP(P1705,Sheet2!$Z$4:$AA$7)</f>
        <v>26-35</v>
      </c>
      <c r="R1705" s="1">
        <v>0</v>
      </c>
      <c r="S1705" t="str">
        <f>IF(R1705=1,"Positive","Negative")</f>
        <v>Negative</v>
      </c>
      <c r="T1705" s="1" t="str">
        <f>IFERROR(VLOOKUP(A1705,[1]diabetes_Recognition!$A:$B,2,FALSE),"Not Sampled")</f>
        <v>Not Sampled</v>
      </c>
      <c r="U1705" t="str">
        <f>IF(T1705=1,"Positive",(IF(T1705=0,"Negative","Not Sampled")))</f>
        <v>Not Sampled</v>
      </c>
      <c r="V1705" s="1" t="str">
        <f>IF(U1705="Not Sampled","Not Sampled",IF(S1705=U1705,"Accurate Prediction","Inaccurate Prediction"))</f>
        <v>Not Sampled</v>
      </c>
    </row>
    <row r="1706" spans="1:22" x14ac:dyDescent="0.25">
      <c r="A1706" s="1">
        <v>1704</v>
      </c>
      <c r="B1706" s="1">
        <v>6</v>
      </c>
      <c r="C1706" s="1" t="str">
        <f>LOOKUP(B1706,Sheet2!$D$4:$E$9)</f>
        <v>5-7</v>
      </c>
      <c r="D1706" s="1">
        <v>117</v>
      </c>
      <c r="E1706" t="str">
        <f>LOOKUP(D1706,Sheet2!$G$4:$H$9)</f>
        <v>100-125</v>
      </c>
      <c r="F1706" s="1">
        <v>96</v>
      </c>
      <c r="G1706" t="str">
        <f>LOOKUP(F1706,Sheet2!$J$4:$K$8)</f>
        <v>80+</v>
      </c>
      <c r="H1706" s="1">
        <v>0</v>
      </c>
      <c r="I1706" t="str">
        <f>LOOKUP(H1706,Sheet2!$M$4:$N$8)</f>
        <v>Unknown</v>
      </c>
      <c r="J1706" s="1">
        <v>0</v>
      </c>
      <c r="K1706" t="str">
        <f>LOOKUP(J1706,Sheet2!$P$4:$Q$9)</f>
        <v>Unknown</v>
      </c>
      <c r="L1706" s="1">
        <v>28.7</v>
      </c>
      <c r="M1706" t="str">
        <f>LOOKUP(L1706,Sheet2!$S$4:$T$8)</f>
        <v>26-30</v>
      </c>
      <c r="N1706" s="1">
        <v>0.157</v>
      </c>
      <c r="O1706" t="str">
        <f>LOOKUP(N1706,Sheet2!$V$4:$W$7)</f>
        <v>0.0 - 0.249</v>
      </c>
      <c r="P1706" s="1">
        <v>30</v>
      </c>
      <c r="Q1706" t="str">
        <f>LOOKUP(P1706,Sheet2!$Z$4:$AA$7)</f>
        <v>26-35</v>
      </c>
      <c r="R1706" s="1">
        <v>0</v>
      </c>
      <c r="S1706" t="str">
        <f>IF(R1706=1,"Positive","Negative")</f>
        <v>Negative</v>
      </c>
      <c r="T1706" s="1" t="str">
        <f>IFERROR(VLOOKUP(A1706,[1]diabetes_Recognition!$A:$B,2,FALSE),"Not Sampled")</f>
        <v>Not Sampled</v>
      </c>
      <c r="U1706" t="str">
        <f>IF(T1706=1,"Positive",(IF(T1706=0,"Negative","Not Sampled")))</f>
        <v>Not Sampled</v>
      </c>
      <c r="V1706" s="1" t="str">
        <f>IF(U1706="Not Sampled","Not Sampled",IF(S1706=U1706,"Accurate Prediction","Inaccurate Prediction"))</f>
        <v>Not Sampled</v>
      </c>
    </row>
    <row r="1707" spans="1:22" x14ac:dyDescent="0.25">
      <c r="A1707" s="1">
        <v>1705</v>
      </c>
      <c r="B1707" s="1">
        <v>2</v>
      </c>
      <c r="C1707" s="1">
        <f>LOOKUP(B1707,Sheet2!$D$4:$E$9)</f>
        <v>2</v>
      </c>
      <c r="D1707" s="1">
        <v>68</v>
      </c>
      <c r="E1707" t="str">
        <f>LOOKUP(D1707,Sheet2!$G$4:$H$9)</f>
        <v>1-99</v>
      </c>
      <c r="F1707" s="1">
        <v>62</v>
      </c>
      <c r="G1707" t="str">
        <f>LOOKUP(F1707,Sheet2!$J$4:$K$8)</f>
        <v>60-69</v>
      </c>
      <c r="H1707" s="1">
        <v>13</v>
      </c>
      <c r="I1707" t="str">
        <f>LOOKUP(H1707,Sheet2!$M$4:$N$8)</f>
        <v>10-30</v>
      </c>
      <c r="J1707" s="1">
        <v>15</v>
      </c>
      <c r="K1707" t="str">
        <f>LOOKUP(J1707,Sheet2!$P$4:$Q$9)</f>
        <v>1-99</v>
      </c>
      <c r="L1707" s="1">
        <v>20.100000000000001</v>
      </c>
      <c r="M1707" t="str">
        <f>LOOKUP(L1707,Sheet2!$S$4:$T$8)</f>
        <v>1-25</v>
      </c>
      <c r="N1707" s="1">
        <v>0.25700000000000001</v>
      </c>
      <c r="O1707" t="str">
        <f>LOOKUP(N1707,Sheet2!$V$4:$W$7)</f>
        <v>0.25 - 0.39</v>
      </c>
      <c r="P1707" s="1">
        <v>23</v>
      </c>
      <c r="Q1707" t="str">
        <f>LOOKUP(P1707,Sheet2!$Z$4:$AA$7)</f>
        <v>&lt;=25</v>
      </c>
      <c r="R1707" s="1">
        <v>0</v>
      </c>
      <c r="S1707" t="str">
        <f>IF(R1707=1,"Positive","Negative")</f>
        <v>Negative</v>
      </c>
      <c r="T1707" s="1">
        <f>IFERROR(VLOOKUP(A1707,[1]diabetes_Recognition!$A:$B,2,FALSE),"Not Sampled")</f>
        <v>0</v>
      </c>
      <c r="U1707" t="str">
        <f>IF(T1707=1,"Positive",(IF(T1707=0,"Negative","Not Sampled")))</f>
        <v>Negative</v>
      </c>
      <c r="V1707" s="1" t="str">
        <f>IF(U1707="Not Sampled","Not Sampled",IF(S1707=U1707,"Accurate Prediction","Inaccurate Prediction"))</f>
        <v>Accurate Prediction</v>
      </c>
    </row>
    <row r="1708" spans="1:22" x14ac:dyDescent="0.25">
      <c r="A1708" s="1">
        <v>1706</v>
      </c>
      <c r="B1708" s="1">
        <v>9</v>
      </c>
      <c r="C1708" s="1" t="str">
        <f>LOOKUP(B1708,Sheet2!$D$4:$E$9)</f>
        <v>8+</v>
      </c>
      <c r="D1708" s="1">
        <v>112</v>
      </c>
      <c r="E1708" t="str">
        <f>LOOKUP(D1708,Sheet2!$G$4:$H$9)</f>
        <v>100-125</v>
      </c>
      <c r="F1708" s="1">
        <v>82</v>
      </c>
      <c r="G1708" t="str">
        <f>LOOKUP(F1708,Sheet2!$J$4:$K$8)</f>
        <v>80+</v>
      </c>
      <c r="H1708" s="1">
        <v>24</v>
      </c>
      <c r="I1708" t="str">
        <f>LOOKUP(H1708,Sheet2!$M$4:$N$8)</f>
        <v>10-30</v>
      </c>
      <c r="J1708" s="1">
        <v>0</v>
      </c>
      <c r="K1708" t="str">
        <f>LOOKUP(J1708,Sheet2!$P$4:$Q$9)</f>
        <v>Unknown</v>
      </c>
      <c r="L1708" s="1">
        <v>28.2</v>
      </c>
      <c r="M1708" t="str">
        <f>LOOKUP(L1708,Sheet2!$S$4:$T$8)</f>
        <v>26-30</v>
      </c>
      <c r="N1708" s="1">
        <v>1.282</v>
      </c>
      <c r="O1708" t="str">
        <f>LOOKUP(N1708,Sheet2!$V$4:$W$7)</f>
        <v>0.7+</v>
      </c>
      <c r="P1708" s="1">
        <v>50</v>
      </c>
      <c r="Q1708" t="str">
        <f>LOOKUP(P1708,Sheet2!$Z$4:$AA$7)</f>
        <v>46+</v>
      </c>
      <c r="R1708" s="1">
        <v>1</v>
      </c>
      <c r="S1708" t="str">
        <f>IF(R1708=1,"Positive","Negative")</f>
        <v>Positive</v>
      </c>
      <c r="T1708" s="1">
        <f>IFERROR(VLOOKUP(A1708,[1]diabetes_Recognition!$A:$B,2,FALSE),"Not Sampled")</f>
        <v>1</v>
      </c>
      <c r="U1708" t="str">
        <f>IF(T1708=1,"Positive",(IF(T1708=0,"Negative","Not Sampled")))</f>
        <v>Positive</v>
      </c>
      <c r="V1708" s="1" t="str">
        <f>IF(U1708="Not Sampled","Not Sampled",IF(S1708=U1708,"Accurate Prediction","Inaccurate Prediction"))</f>
        <v>Accurate Prediction</v>
      </c>
    </row>
    <row r="1709" spans="1:22" x14ac:dyDescent="0.25">
      <c r="A1709" s="1">
        <v>1707</v>
      </c>
      <c r="B1709" s="1">
        <v>0</v>
      </c>
      <c r="C1709" s="1">
        <f>LOOKUP(B1709,Sheet2!$D$4:$E$9)</f>
        <v>0</v>
      </c>
      <c r="D1709" s="1">
        <v>119</v>
      </c>
      <c r="E1709" t="str">
        <f>LOOKUP(D1709,Sheet2!$G$4:$H$9)</f>
        <v>100-125</v>
      </c>
      <c r="F1709" s="1">
        <v>0</v>
      </c>
      <c r="G1709" t="str">
        <f>LOOKUP(F1709,Sheet2!$J$4:$K$8)</f>
        <v>Unknown</v>
      </c>
      <c r="H1709" s="1">
        <v>0</v>
      </c>
      <c r="I1709" t="str">
        <f>LOOKUP(H1709,Sheet2!$M$4:$N$8)</f>
        <v>Unknown</v>
      </c>
      <c r="J1709" s="1">
        <v>0</v>
      </c>
      <c r="K1709" t="str">
        <f>LOOKUP(J1709,Sheet2!$P$4:$Q$9)</f>
        <v>Unknown</v>
      </c>
      <c r="L1709" s="1">
        <v>32.4</v>
      </c>
      <c r="M1709" t="str">
        <f>LOOKUP(L1709,Sheet2!$S$4:$T$8)</f>
        <v>31-35</v>
      </c>
      <c r="N1709" s="1">
        <v>0.14099999999999999</v>
      </c>
      <c r="O1709" t="str">
        <f>LOOKUP(N1709,Sheet2!$V$4:$W$7)</f>
        <v>0.0 - 0.249</v>
      </c>
      <c r="P1709" s="1">
        <v>24</v>
      </c>
      <c r="Q1709" t="str">
        <f>LOOKUP(P1709,Sheet2!$Z$4:$AA$7)</f>
        <v>&lt;=25</v>
      </c>
      <c r="R1709" s="1">
        <v>1</v>
      </c>
      <c r="S1709" t="str">
        <f>IF(R1709=1,"Positive","Negative")</f>
        <v>Positive</v>
      </c>
      <c r="T1709" s="1" t="str">
        <f>IFERROR(VLOOKUP(A1709,[1]diabetes_Recognition!$A:$B,2,FALSE),"Not Sampled")</f>
        <v>Not Sampled</v>
      </c>
      <c r="U1709" t="str">
        <f>IF(T1709=1,"Positive",(IF(T1709=0,"Negative","Not Sampled")))</f>
        <v>Not Sampled</v>
      </c>
      <c r="V1709" s="1" t="str">
        <f>IF(U1709="Not Sampled","Not Sampled",IF(S1709=U1709,"Accurate Prediction","Inaccurate Prediction"))</f>
        <v>Not Sampled</v>
      </c>
    </row>
    <row r="1710" spans="1:22" x14ac:dyDescent="0.25">
      <c r="A1710" s="1">
        <v>1708</v>
      </c>
      <c r="B1710" s="1">
        <v>2</v>
      </c>
      <c r="C1710" s="1">
        <f>LOOKUP(B1710,Sheet2!$D$4:$E$9)</f>
        <v>2</v>
      </c>
      <c r="D1710" s="1">
        <v>112</v>
      </c>
      <c r="E1710" t="str">
        <f>LOOKUP(D1710,Sheet2!$G$4:$H$9)</f>
        <v>100-125</v>
      </c>
      <c r="F1710" s="1">
        <v>86</v>
      </c>
      <c r="G1710" t="str">
        <f>LOOKUP(F1710,Sheet2!$J$4:$K$8)</f>
        <v>80+</v>
      </c>
      <c r="H1710" s="1">
        <v>42</v>
      </c>
      <c r="I1710" t="str">
        <f>LOOKUP(H1710,Sheet2!$M$4:$N$8)</f>
        <v>40+</v>
      </c>
      <c r="J1710" s="1">
        <v>160</v>
      </c>
      <c r="K1710" t="str">
        <f>LOOKUP(J1710,Sheet2!$P$4:$Q$9)</f>
        <v>100-199</v>
      </c>
      <c r="L1710" s="1">
        <v>38.4</v>
      </c>
      <c r="M1710" t="str">
        <f>LOOKUP(L1710,Sheet2!$S$4:$T$8)</f>
        <v>36+</v>
      </c>
      <c r="N1710" s="1">
        <v>0.246</v>
      </c>
      <c r="O1710" t="str">
        <f>LOOKUP(N1710,Sheet2!$V$4:$W$7)</f>
        <v>0.0 - 0.249</v>
      </c>
      <c r="P1710" s="1">
        <v>28</v>
      </c>
      <c r="Q1710" t="str">
        <f>LOOKUP(P1710,Sheet2!$Z$4:$AA$7)</f>
        <v>26-35</v>
      </c>
      <c r="R1710" s="1">
        <v>0</v>
      </c>
      <c r="S1710" t="str">
        <f>IF(R1710=1,"Positive","Negative")</f>
        <v>Negative</v>
      </c>
      <c r="T1710" s="1" t="str">
        <f>IFERROR(VLOOKUP(A1710,[1]diabetes_Recognition!$A:$B,2,FALSE),"Not Sampled")</f>
        <v>Not Sampled</v>
      </c>
      <c r="U1710" t="str">
        <f>IF(T1710=1,"Positive",(IF(T1710=0,"Negative","Not Sampled")))</f>
        <v>Not Sampled</v>
      </c>
      <c r="V1710" s="1" t="str">
        <f>IF(U1710="Not Sampled","Not Sampled",IF(S1710=U1710,"Accurate Prediction","Inaccurate Prediction"))</f>
        <v>Not Sampled</v>
      </c>
    </row>
    <row r="1711" spans="1:22" x14ac:dyDescent="0.25">
      <c r="A1711" s="1">
        <v>1709</v>
      </c>
      <c r="B1711" s="1">
        <v>2</v>
      </c>
      <c r="C1711" s="1">
        <f>LOOKUP(B1711,Sheet2!$D$4:$E$9)</f>
        <v>2</v>
      </c>
      <c r="D1711" s="1">
        <v>92</v>
      </c>
      <c r="E1711" t="str">
        <f>LOOKUP(D1711,Sheet2!$G$4:$H$9)</f>
        <v>1-99</v>
      </c>
      <c r="F1711" s="1">
        <v>76</v>
      </c>
      <c r="G1711" t="str">
        <f>LOOKUP(F1711,Sheet2!$J$4:$K$8)</f>
        <v>70-79</v>
      </c>
      <c r="H1711" s="1">
        <v>20</v>
      </c>
      <c r="I1711" t="str">
        <f>LOOKUP(H1711,Sheet2!$M$4:$N$8)</f>
        <v>10-30</v>
      </c>
      <c r="J1711" s="1">
        <v>0</v>
      </c>
      <c r="K1711" t="str">
        <f>LOOKUP(J1711,Sheet2!$P$4:$Q$9)</f>
        <v>Unknown</v>
      </c>
      <c r="L1711" s="1">
        <v>24.2</v>
      </c>
      <c r="M1711" t="str">
        <f>LOOKUP(L1711,Sheet2!$S$4:$T$8)</f>
        <v>1-25</v>
      </c>
      <c r="N1711" s="1">
        <v>1.698</v>
      </c>
      <c r="O1711" t="str">
        <f>LOOKUP(N1711,Sheet2!$V$4:$W$7)</f>
        <v>0.7+</v>
      </c>
      <c r="P1711" s="1">
        <v>28</v>
      </c>
      <c r="Q1711" t="str">
        <f>LOOKUP(P1711,Sheet2!$Z$4:$AA$7)</f>
        <v>26-35</v>
      </c>
      <c r="R1711" s="1">
        <v>0</v>
      </c>
      <c r="S1711" t="str">
        <f>IF(R1711=1,"Positive","Negative")</f>
        <v>Negative</v>
      </c>
      <c r="T1711" s="1" t="str">
        <f>IFERROR(VLOOKUP(A1711,[1]diabetes_Recognition!$A:$B,2,FALSE),"Not Sampled")</f>
        <v>Not Sampled</v>
      </c>
      <c r="U1711" t="str">
        <f>IF(T1711=1,"Positive",(IF(T1711=0,"Negative","Not Sampled")))</f>
        <v>Not Sampled</v>
      </c>
      <c r="V1711" s="1" t="str">
        <f>IF(U1711="Not Sampled","Not Sampled",IF(S1711=U1711,"Accurate Prediction","Inaccurate Prediction"))</f>
        <v>Not Sampled</v>
      </c>
    </row>
    <row r="1712" spans="1:22" x14ac:dyDescent="0.25">
      <c r="A1712" s="1">
        <v>1710</v>
      </c>
      <c r="B1712" s="1">
        <v>6</v>
      </c>
      <c r="C1712" s="1" t="str">
        <f>LOOKUP(B1712,Sheet2!$D$4:$E$9)</f>
        <v>5-7</v>
      </c>
      <c r="D1712" s="1">
        <v>183</v>
      </c>
      <c r="E1712" t="str">
        <f>LOOKUP(D1712,Sheet2!$G$4:$H$9)</f>
        <v>176-200</v>
      </c>
      <c r="F1712" s="1">
        <v>94</v>
      </c>
      <c r="G1712" t="str">
        <f>LOOKUP(F1712,Sheet2!$J$4:$K$8)</f>
        <v>80+</v>
      </c>
      <c r="H1712" s="1">
        <v>0</v>
      </c>
      <c r="I1712" t="str">
        <f>LOOKUP(H1712,Sheet2!$M$4:$N$8)</f>
        <v>Unknown</v>
      </c>
      <c r="J1712" s="1">
        <v>0</v>
      </c>
      <c r="K1712" t="str">
        <f>LOOKUP(J1712,Sheet2!$P$4:$Q$9)</f>
        <v>Unknown</v>
      </c>
      <c r="L1712" s="1">
        <v>40.799999999999997</v>
      </c>
      <c r="M1712" t="str">
        <f>LOOKUP(L1712,Sheet2!$S$4:$T$8)</f>
        <v>36+</v>
      </c>
      <c r="N1712" s="1">
        <v>1.4610000000000001</v>
      </c>
      <c r="O1712" t="str">
        <f>LOOKUP(N1712,Sheet2!$V$4:$W$7)</f>
        <v>0.7+</v>
      </c>
      <c r="P1712" s="1">
        <v>45</v>
      </c>
      <c r="Q1712" t="str">
        <f>LOOKUP(P1712,Sheet2!$Z$4:$AA$7)</f>
        <v>36-45</v>
      </c>
      <c r="R1712" s="1">
        <v>0</v>
      </c>
      <c r="S1712" t="str">
        <f>IF(R1712=1,"Positive","Negative")</f>
        <v>Negative</v>
      </c>
      <c r="T1712" s="1" t="str">
        <f>IFERROR(VLOOKUP(A1712,[1]diabetes_Recognition!$A:$B,2,FALSE),"Not Sampled")</f>
        <v>Not Sampled</v>
      </c>
      <c r="U1712" t="str">
        <f>IF(T1712=1,"Positive",(IF(T1712=0,"Negative","Not Sampled")))</f>
        <v>Not Sampled</v>
      </c>
      <c r="V1712" s="1" t="str">
        <f>IF(U1712="Not Sampled","Not Sampled",IF(S1712=U1712,"Accurate Prediction","Inaccurate Prediction"))</f>
        <v>Not Sampled</v>
      </c>
    </row>
    <row r="1713" spans="1:22" x14ac:dyDescent="0.25">
      <c r="A1713" s="1">
        <v>1711</v>
      </c>
      <c r="B1713" s="1">
        <v>0</v>
      </c>
      <c r="C1713" s="1">
        <f>LOOKUP(B1713,Sheet2!$D$4:$E$9)</f>
        <v>0</v>
      </c>
      <c r="D1713" s="1">
        <v>94</v>
      </c>
      <c r="E1713" t="str">
        <f>LOOKUP(D1713,Sheet2!$G$4:$H$9)</f>
        <v>1-99</v>
      </c>
      <c r="F1713" s="1">
        <v>70</v>
      </c>
      <c r="G1713" t="str">
        <f>LOOKUP(F1713,Sheet2!$J$4:$K$8)</f>
        <v>70-79</v>
      </c>
      <c r="H1713" s="1">
        <v>27</v>
      </c>
      <c r="I1713" t="str">
        <f>LOOKUP(H1713,Sheet2!$M$4:$N$8)</f>
        <v>10-30</v>
      </c>
      <c r="J1713" s="1">
        <v>115</v>
      </c>
      <c r="K1713" t="str">
        <f>LOOKUP(J1713,Sheet2!$P$4:$Q$9)</f>
        <v>100-199</v>
      </c>
      <c r="L1713" s="1">
        <v>43.5</v>
      </c>
      <c r="M1713" t="str">
        <f>LOOKUP(L1713,Sheet2!$S$4:$T$8)</f>
        <v>36+</v>
      </c>
      <c r="N1713" s="1">
        <v>0.34699999999999998</v>
      </c>
      <c r="O1713" t="str">
        <f>LOOKUP(N1713,Sheet2!$V$4:$W$7)</f>
        <v>0.25 - 0.39</v>
      </c>
      <c r="P1713" s="1">
        <v>21</v>
      </c>
      <c r="Q1713" t="str">
        <f>LOOKUP(P1713,Sheet2!$Z$4:$AA$7)</f>
        <v>&lt;=25</v>
      </c>
      <c r="R1713" s="1">
        <v>0</v>
      </c>
      <c r="S1713" t="str">
        <f>IF(R1713=1,"Positive","Negative")</f>
        <v>Negative</v>
      </c>
      <c r="T1713" s="1" t="str">
        <f>IFERROR(VLOOKUP(A1713,[1]diabetes_Recognition!$A:$B,2,FALSE),"Not Sampled")</f>
        <v>Not Sampled</v>
      </c>
      <c r="U1713" t="str">
        <f>IF(T1713=1,"Positive",(IF(T1713=0,"Negative","Not Sampled")))</f>
        <v>Not Sampled</v>
      </c>
      <c r="V1713" s="1" t="str">
        <f>IF(U1713="Not Sampled","Not Sampled",IF(S1713=U1713,"Accurate Prediction","Inaccurate Prediction"))</f>
        <v>Not Sampled</v>
      </c>
    </row>
    <row r="1714" spans="1:22" x14ac:dyDescent="0.25">
      <c r="A1714" s="1">
        <v>1712</v>
      </c>
      <c r="B1714" s="1">
        <v>2</v>
      </c>
      <c r="C1714" s="1">
        <f>LOOKUP(B1714,Sheet2!$D$4:$E$9)</f>
        <v>2</v>
      </c>
      <c r="D1714" s="1">
        <v>108</v>
      </c>
      <c r="E1714" t="str">
        <f>LOOKUP(D1714,Sheet2!$G$4:$H$9)</f>
        <v>100-125</v>
      </c>
      <c r="F1714" s="1">
        <v>64</v>
      </c>
      <c r="G1714" t="str">
        <f>LOOKUP(F1714,Sheet2!$J$4:$K$8)</f>
        <v>60-69</v>
      </c>
      <c r="H1714" s="1">
        <v>0</v>
      </c>
      <c r="I1714" t="str">
        <f>LOOKUP(H1714,Sheet2!$M$4:$N$8)</f>
        <v>Unknown</v>
      </c>
      <c r="J1714" s="1">
        <v>0</v>
      </c>
      <c r="K1714" t="str">
        <f>LOOKUP(J1714,Sheet2!$P$4:$Q$9)</f>
        <v>Unknown</v>
      </c>
      <c r="L1714" s="1">
        <v>30.8</v>
      </c>
      <c r="M1714" t="str">
        <f>LOOKUP(L1714,Sheet2!$S$4:$T$8)</f>
        <v>26-30</v>
      </c>
      <c r="N1714" s="1">
        <v>0.158</v>
      </c>
      <c r="O1714" t="str">
        <f>LOOKUP(N1714,Sheet2!$V$4:$W$7)</f>
        <v>0.0 - 0.249</v>
      </c>
      <c r="P1714" s="1">
        <v>21</v>
      </c>
      <c r="Q1714" t="str">
        <f>LOOKUP(P1714,Sheet2!$Z$4:$AA$7)</f>
        <v>&lt;=25</v>
      </c>
      <c r="R1714" s="1">
        <v>0</v>
      </c>
      <c r="S1714" t="str">
        <f>IF(R1714=1,"Positive","Negative")</f>
        <v>Negative</v>
      </c>
      <c r="T1714" s="1">
        <f>IFERROR(VLOOKUP(A1714,[1]diabetes_Recognition!$A:$B,2,FALSE),"Not Sampled")</f>
        <v>0</v>
      </c>
      <c r="U1714" t="str">
        <f>IF(T1714=1,"Positive",(IF(T1714=0,"Negative","Not Sampled")))</f>
        <v>Negative</v>
      </c>
      <c r="V1714" s="1" t="str">
        <f>IF(U1714="Not Sampled","Not Sampled",IF(S1714=U1714,"Accurate Prediction","Inaccurate Prediction"))</f>
        <v>Accurate Prediction</v>
      </c>
    </row>
    <row r="1715" spans="1:22" x14ac:dyDescent="0.25">
      <c r="A1715" s="1">
        <v>1713</v>
      </c>
      <c r="B1715" s="1">
        <v>4</v>
      </c>
      <c r="C1715" s="1" t="str">
        <f>LOOKUP(B1715,Sheet2!$D$4:$E$9)</f>
        <v>3-4</v>
      </c>
      <c r="D1715" s="1">
        <v>90</v>
      </c>
      <c r="E1715" t="str">
        <f>LOOKUP(D1715,Sheet2!$G$4:$H$9)</f>
        <v>1-99</v>
      </c>
      <c r="F1715" s="1">
        <v>88</v>
      </c>
      <c r="G1715" t="str">
        <f>LOOKUP(F1715,Sheet2!$J$4:$K$8)</f>
        <v>80+</v>
      </c>
      <c r="H1715" s="1">
        <v>47</v>
      </c>
      <c r="I1715" t="str">
        <f>LOOKUP(H1715,Sheet2!$M$4:$N$8)</f>
        <v>40+</v>
      </c>
      <c r="J1715" s="1">
        <v>54</v>
      </c>
      <c r="K1715" t="str">
        <f>LOOKUP(J1715,Sheet2!$P$4:$Q$9)</f>
        <v>1-99</v>
      </c>
      <c r="L1715" s="1">
        <v>37.700000000000003</v>
      </c>
      <c r="M1715" t="str">
        <f>LOOKUP(L1715,Sheet2!$S$4:$T$8)</f>
        <v>36+</v>
      </c>
      <c r="N1715" s="1">
        <v>0.36199999999999999</v>
      </c>
      <c r="O1715" t="str">
        <f>LOOKUP(N1715,Sheet2!$V$4:$W$7)</f>
        <v>0.25 - 0.39</v>
      </c>
      <c r="P1715" s="1">
        <v>29</v>
      </c>
      <c r="Q1715" t="str">
        <f>LOOKUP(P1715,Sheet2!$Z$4:$AA$7)</f>
        <v>26-35</v>
      </c>
      <c r="R1715" s="1">
        <v>0</v>
      </c>
      <c r="S1715" t="str">
        <f>IF(R1715=1,"Positive","Negative")</f>
        <v>Negative</v>
      </c>
      <c r="T1715" s="1" t="str">
        <f>IFERROR(VLOOKUP(A1715,[1]diabetes_Recognition!$A:$B,2,FALSE),"Not Sampled")</f>
        <v>Not Sampled</v>
      </c>
      <c r="U1715" t="str">
        <f>IF(T1715=1,"Positive",(IF(T1715=0,"Negative","Not Sampled")))</f>
        <v>Not Sampled</v>
      </c>
      <c r="V1715" s="1" t="str">
        <f>IF(U1715="Not Sampled","Not Sampled",IF(S1715=U1715,"Accurate Prediction","Inaccurate Prediction"))</f>
        <v>Not Sampled</v>
      </c>
    </row>
    <row r="1716" spans="1:22" x14ac:dyDescent="0.25">
      <c r="A1716" s="1">
        <v>1714</v>
      </c>
      <c r="B1716" s="1">
        <v>0</v>
      </c>
      <c r="C1716" s="1">
        <f>LOOKUP(B1716,Sheet2!$D$4:$E$9)</f>
        <v>0</v>
      </c>
      <c r="D1716" s="1">
        <v>125</v>
      </c>
      <c r="E1716" t="str">
        <f>LOOKUP(D1716,Sheet2!$G$4:$H$9)</f>
        <v>100-125</v>
      </c>
      <c r="F1716" s="1">
        <v>68</v>
      </c>
      <c r="G1716" t="str">
        <f>LOOKUP(F1716,Sheet2!$J$4:$K$8)</f>
        <v>60-69</v>
      </c>
      <c r="H1716" s="1">
        <v>0</v>
      </c>
      <c r="I1716" t="str">
        <f>LOOKUP(H1716,Sheet2!$M$4:$N$8)</f>
        <v>Unknown</v>
      </c>
      <c r="J1716" s="1">
        <v>0</v>
      </c>
      <c r="K1716" t="str">
        <f>LOOKUP(J1716,Sheet2!$P$4:$Q$9)</f>
        <v>Unknown</v>
      </c>
      <c r="L1716" s="1">
        <v>24.7</v>
      </c>
      <c r="M1716" t="str">
        <f>LOOKUP(L1716,Sheet2!$S$4:$T$8)</f>
        <v>1-25</v>
      </c>
      <c r="N1716" s="1">
        <v>0.20599999999999999</v>
      </c>
      <c r="O1716" t="str">
        <f>LOOKUP(N1716,Sheet2!$V$4:$W$7)</f>
        <v>0.0 - 0.249</v>
      </c>
      <c r="P1716" s="1">
        <v>21</v>
      </c>
      <c r="Q1716" t="str">
        <f>LOOKUP(P1716,Sheet2!$Z$4:$AA$7)</f>
        <v>&lt;=25</v>
      </c>
      <c r="R1716" s="1">
        <v>0</v>
      </c>
      <c r="S1716" t="str">
        <f>IF(R1716=1,"Positive","Negative")</f>
        <v>Negative</v>
      </c>
      <c r="T1716" s="1" t="str">
        <f>IFERROR(VLOOKUP(A1716,[1]diabetes_Recognition!$A:$B,2,FALSE),"Not Sampled")</f>
        <v>Not Sampled</v>
      </c>
      <c r="U1716" t="str">
        <f>IF(T1716=1,"Positive",(IF(T1716=0,"Negative","Not Sampled")))</f>
        <v>Not Sampled</v>
      </c>
      <c r="V1716" s="1" t="str">
        <f>IF(U1716="Not Sampled","Not Sampled",IF(S1716=U1716,"Accurate Prediction","Inaccurate Prediction"))</f>
        <v>Not Sampled</v>
      </c>
    </row>
    <row r="1717" spans="1:22" x14ac:dyDescent="0.25">
      <c r="A1717" s="1">
        <v>1715</v>
      </c>
      <c r="B1717" s="1">
        <v>0</v>
      </c>
      <c r="C1717" s="1">
        <f>LOOKUP(B1717,Sheet2!$D$4:$E$9)</f>
        <v>0</v>
      </c>
      <c r="D1717" s="1">
        <v>132</v>
      </c>
      <c r="E1717" t="str">
        <f>LOOKUP(D1717,Sheet2!$G$4:$H$9)</f>
        <v>126-150</v>
      </c>
      <c r="F1717" s="1">
        <v>78</v>
      </c>
      <c r="G1717" t="str">
        <f>LOOKUP(F1717,Sheet2!$J$4:$K$8)</f>
        <v>70-79</v>
      </c>
      <c r="H1717" s="1">
        <v>0</v>
      </c>
      <c r="I1717" t="str">
        <f>LOOKUP(H1717,Sheet2!$M$4:$N$8)</f>
        <v>Unknown</v>
      </c>
      <c r="J1717" s="1">
        <v>0</v>
      </c>
      <c r="K1717" t="str">
        <f>LOOKUP(J1717,Sheet2!$P$4:$Q$9)</f>
        <v>Unknown</v>
      </c>
      <c r="L1717" s="1">
        <v>32.4</v>
      </c>
      <c r="M1717" t="str">
        <f>LOOKUP(L1717,Sheet2!$S$4:$T$8)</f>
        <v>31-35</v>
      </c>
      <c r="N1717" s="1">
        <v>0.39300000000000002</v>
      </c>
      <c r="O1717" t="str">
        <f>LOOKUP(N1717,Sheet2!$V$4:$W$7)</f>
        <v>0.25 - 0.39</v>
      </c>
      <c r="P1717" s="1">
        <v>21</v>
      </c>
      <c r="Q1717" t="str">
        <f>LOOKUP(P1717,Sheet2!$Z$4:$AA$7)</f>
        <v>&lt;=25</v>
      </c>
      <c r="R1717" s="1">
        <v>0</v>
      </c>
      <c r="S1717" t="str">
        <f>IF(R1717=1,"Positive","Negative")</f>
        <v>Negative</v>
      </c>
      <c r="T1717" s="1" t="str">
        <f>IFERROR(VLOOKUP(A1717,[1]diabetes_Recognition!$A:$B,2,FALSE),"Not Sampled")</f>
        <v>Not Sampled</v>
      </c>
      <c r="U1717" t="str">
        <f>IF(T1717=1,"Positive",(IF(T1717=0,"Negative","Not Sampled")))</f>
        <v>Not Sampled</v>
      </c>
      <c r="V1717" s="1" t="str">
        <f>IF(U1717="Not Sampled","Not Sampled",IF(S1717=U1717,"Accurate Prediction","Inaccurate Prediction"))</f>
        <v>Not Sampled</v>
      </c>
    </row>
    <row r="1718" spans="1:22" x14ac:dyDescent="0.25">
      <c r="A1718" s="1">
        <v>1716</v>
      </c>
      <c r="B1718" s="1">
        <v>5</v>
      </c>
      <c r="C1718" s="1" t="str">
        <f>LOOKUP(B1718,Sheet2!$D$4:$E$9)</f>
        <v>5-7</v>
      </c>
      <c r="D1718" s="1">
        <v>128</v>
      </c>
      <c r="E1718" t="str">
        <f>LOOKUP(D1718,Sheet2!$G$4:$H$9)</f>
        <v>126-150</v>
      </c>
      <c r="F1718" s="1">
        <v>80</v>
      </c>
      <c r="G1718" t="str">
        <f>LOOKUP(F1718,Sheet2!$J$4:$K$8)</f>
        <v>80+</v>
      </c>
      <c r="H1718" s="1">
        <v>0</v>
      </c>
      <c r="I1718" t="str">
        <f>LOOKUP(H1718,Sheet2!$M$4:$N$8)</f>
        <v>Unknown</v>
      </c>
      <c r="J1718" s="1">
        <v>0</v>
      </c>
      <c r="K1718" t="str">
        <f>LOOKUP(J1718,Sheet2!$P$4:$Q$9)</f>
        <v>Unknown</v>
      </c>
      <c r="L1718" s="1">
        <v>34.6</v>
      </c>
      <c r="M1718" t="str">
        <f>LOOKUP(L1718,Sheet2!$S$4:$T$8)</f>
        <v>31-35</v>
      </c>
      <c r="N1718" s="1">
        <v>0.14399999999999999</v>
      </c>
      <c r="O1718" t="str">
        <f>LOOKUP(N1718,Sheet2!$V$4:$W$7)</f>
        <v>0.0 - 0.249</v>
      </c>
      <c r="P1718" s="1">
        <v>45</v>
      </c>
      <c r="Q1718" t="str">
        <f>LOOKUP(P1718,Sheet2!$Z$4:$AA$7)</f>
        <v>36-45</v>
      </c>
      <c r="R1718" s="1">
        <v>0</v>
      </c>
      <c r="S1718" t="str">
        <f>IF(R1718=1,"Positive","Negative")</f>
        <v>Negative</v>
      </c>
      <c r="T1718" s="1" t="str">
        <f>IFERROR(VLOOKUP(A1718,[1]diabetes_Recognition!$A:$B,2,FALSE),"Not Sampled")</f>
        <v>Not Sampled</v>
      </c>
      <c r="U1718" t="str">
        <f>IF(T1718=1,"Positive",(IF(T1718=0,"Negative","Not Sampled")))</f>
        <v>Not Sampled</v>
      </c>
      <c r="V1718" s="1" t="str">
        <f>IF(U1718="Not Sampled","Not Sampled",IF(S1718=U1718,"Accurate Prediction","Inaccurate Prediction"))</f>
        <v>Not Sampled</v>
      </c>
    </row>
    <row r="1719" spans="1:22" x14ac:dyDescent="0.25">
      <c r="A1719" s="1">
        <v>1717</v>
      </c>
      <c r="B1719" s="1">
        <v>4</v>
      </c>
      <c r="C1719" s="1" t="str">
        <f>LOOKUP(B1719,Sheet2!$D$4:$E$9)</f>
        <v>3-4</v>
      </c>
      <c r="D1719" s="1">
        <v>94</v>
      </c>
      <c r="E1719" t="str">
        <f>LOOKUP(D1719,Sheet2!$G$4:$H$9)</f>
        <v>1-99</v>
      </c>
      <c r="F1719" s="1">
        <v>65</v>
      </c>
      <c r="G1719" t="str">
        <f>LOOKUP(F1719,Sheet2!$J$4:$K$8)</f>
        <v>60-69</v>
      </c>
      <c r="H1719" s="1">
        <v>22</v>
      </c>
      <c r="I1719" t="str">
        <f>LOOKUP(H1719,Sheet2!$M$4:$N$8)</f>
        <v>10-30</v>
      </c>
      <c r="J1719" s="1">
        <v>0</v>
      </c>
      <c r="K1719" t="str">
        <f>LOOKUP(J1719,Sheet2!$P$4:$Q$9)</f>
        <v>Unknown</v>
      </c>
      <c r="L1719" s="1">
        <v>24.7</v>
      </c>
      <c r="M1719" t="str">
        <f>LOOKUP(L1719,Sheet2!$S$4:$T$8)</f>
        <v>1-25</v>
      </c>
      <c r="N1719" s="1">
        <v>0.14799999999999999</v>
      </c>
      <c r="O1719" t="str">
        <f>LOOKUP(N1719,Sheet2!$V$4:$W$7)</f>
        <v>0.0 - 0.249</v>
      </c>
      <c r="P1719" s="1">
        <v>21</v>
      </c>
      <c r="Q1719" t="str">
        <f>LOOKUP(P1719,Sheet2!$Z$4:$AA$7)</f>
        <v>&lt;=25</v>
      </c>
      <c r="R1719" s="1">
        <v>0</v>
      </c>
      <c r="S1719" t="str">
        <f>IF(R1719=1,"Positive","Negative")</f>
        <v>Negative</v>
      </c>
      <c r="T1719" s="1" t="str">
        <f>IFERROR(VLOOKUP(A1719,[1]diabetes_Recognition!$A:$B,2,FALSE),"Not Sampled")</f>
        <v>Not Sampled</v>
      </c>
      <c r="U1719" t="str">
        <f>IF(T1719=1,"Positive",(IF(T1719=0,"Negative","Not Sampled")))</f>
        <v>Not Sampled</v>
      </c>
      <c r="V1719" s="1" t="str">
        <f>IF(U1719="Not Sampled","Not Sampled",IF(S1719=U1719,"Accurate Prediction","Inaccurate Prediction"))</f>
        <v>Not Sampled</v>
      </c>
    </row>
    <row r="1720" spans="1:22" x14ac:dyDescent="0.25">
      <c r="A1720" s="1">
        <v>1718</v>
      </c>
      <c r="B1720" s="1">
        <v>7</v>
      </c>
      <c r="C1720" s="1" t="str">
        <f>LOOKUP(B1720,Sheet2!$D$4:$E$9)</f>
        <v>5-7</v>
      </c>
      <c r="D1720" s="1">
        <v>114</v>
      </c>
      <c r="E1720" t="str">
        <f>LOOKUP(D1720,Sheet2!$G$4:$H$9)</f>
        <v>100-125</v>
      </c>
      <c r="F1720" s="1">
        <v>64</v>
      </c>
      <c r="G1720" t="str">
        <f>LOOKUP(F1720,Sheet2!$J$4:$K$8)</f>
        <v>60-69</v>
      </c>
      <c r="H1720" s="1">
        <v>0</v>
      </c>
      <c r="I1720" t="str">
        <f>LOOKUP(H1720,Sheet2!$M$4:$N$8)</f>
        <v>Unknown</v>
      </c>
      <c r="J1720" s="1">
        <v>0</v>
      </c>
      <c r="K1720" t="str">
        <f>LOOKUP(J1720,Sheet2!$P$4:$Q$9)</f>
        <v>Unknown</v>
      </c>
      <c r="L1720" s="1">
        <v>27.4</v>
      </c>
      <c r="M1720" t="str">
        <f>LOOKUP(L1720,Sheet2!$S$4:$T$8)</f>
        <v>26-30</v>
      </c>
      <c r="N1720" s="1">
        <v>0.73199999999999998</v>
      </c>
      <c r="O1720" t="str">
        <f>LOOKUP(N1720,Sheet2!$V$4:$W$7)</f>
        <v>0.7+</v>
      </c>
      <c r="P1720" s="1">
        <v>34</v>
      </c>
      <c r="Q1720" t="str">
        <f>LOOKUP(P1720,Sheet2!$Z$4:$AA$7)</f>
        <v>26-35</v>
      </c>
      <c r="R1720" s="1">
        <v>1</v>
      </c>
      <c r="S1720" t="str">
        <f>IF(R1720=1,"Positive","Negative")</f>
        <v>Positive</v>
      </c>
      <c r="T1720" s="1" t="str">
        <f>IFERROR(VLOOKUP(A1720,[1]diabetes_Recognition!$A:$B,2,FALSE),"Not Sampled")</f>
        <v>Not Sampled</v>
      </c>
      <c r="U1720" t="str">
        <f>IF(T1720=1,"Positive",(IF(T1720=0,"Negative","Not Sampled")))</f>
        <v>Not Sampled</v>
      </c>
      <c r="V1720" s="1" t="str">
        <f>IF(U1720="Not Sampled","Not Sampled",IF(S1720=U1720,"Accurate Prediction","Inaccurate Prediction"))</f>
        <v>Not Sampled</v>
      </c>
    </row>
    <row r="1721" spans="1:22" x14ac:dyDescent="0.25">
      <c r="A1721" s="1">
        <v>1719</v>
      </c>
      <c r="B1721" s="1">
        <v>0</v>
      </c>
      <c r="C1721" s="1">
        <f>LOOKUP(B1721,Sheet2!$D$4:$E$9)</f>
        <v>0</v>
      </c>
      <c r="D1721" s="1">
        <v>102</v>
      </c>
      <c r="E1721" t="str">
        <f>LOOKUP(D1721,Sheet2!$G$4:$H$9)</f>
        <v>100-125</v>
      </c>
      <c r="F1721" s="1">
        <v>78</v>
      </c>
      <c r="G1721" t="str">
        <f>LOOKUP(F1721,Sheet2!$J$4:$K$8)</f>
        <v>70-79</v>
      </c>
      <c r="H1721" s="1">
        <v>40</v>
      </c>
      <c r="I1721" t="str">
        <f>LOOKUP(H1721,Sheet2!$M$4:$N$8)</f>
        <v>40+</v>
      </c>
      <c r="J1721" s="1">
        <v>90</v>
      </c>
      <c r="K1721" t="str">
        <f>LOOKUP(J1721,Sheet2!$P$4:$Q$9)</f>
        <v>1-99</v>
      </c>
      <c r="L1721" s="1">
        <v>34.5</v>
      </c>
      <c r="M1721" t="str">
        <f>LOOKUP(L1721,Sheet2!$S$4:$T$8)</f>
        <v>31-35</v>
      </c>
      <c r="N1721" s="1">
        <v>0.23799999999999999</v>
      </c>
      <c r="O1721" t="str">
        <f>LOOKUP(N1721,Sheet2!$V$4:$W$7)</f>
        <v>0.0 - 0.249</v>
      </c>
      <c r="P1721" s="1">
        <v>24</v>
      </c>
      <c r="Q1721" t="str">
        <f>LOOKUP(P1721,Sheet2!$Z$4:$AA$7)</f>
        <v>&lt;=25</v>
      </c>
      <c r="R1721" s="1">
        <v>0</v>
      </c>
      <c r="S1721" t="str">
        <f>IF(R1721=1,"Positive","Negative")</f>
        <v>Negative</v>
      </c>
      <c r="T1721" s="1" t="str">
        <f>IFERROR(VLOOKUP(A1721,[1]diabetes_Recognition!$A:$B,2,FALSE),"Not Sampled")</f>
        <v>Not Sampled</v>
      </c>
      <c r="U1721" t="str">
        <f>IF(T1721=1,"Positive",(IF(T1721=0,"Negative","Not Sampled")))</f>
        <v>Not Sampled</v>
      </c>
      <c r="V1721" s="1" t="str">
        <f>IF(U1721="Not Sampled","Not Sampled",IF(S1721=U1721,"Accurate Prediction","Inaccurate Prediction"))</f>
        <v>Not Sampled</v>
      </c>
    </row>
    <row r="1722" spans="1:22" x14ac:dyDescent="0.25">
      <c r="A1722" s="1">
        <v>1720</v>
      </c>
      <c r="B1722" s="1">
        <v>2</v>
      </c>
      <c r="C1722" s="1">
        <f>LOOKUP(B1722,Sheet2!$D$4:$E$9)</f>
        <v>2</v>
      </c>
      <c r="D1722" s="1">
        <v>111</v>
      </c>
      <c r="E1722" t="str">
        <f>LOOKUP(D1722,Sheet2!$G$4:$H$9)</f>
        <v>100-125</v>
      </c>
      <c r="F1722" s="1">
        <v>60</v>
      </c>
      <c r="G1722" t="str">
        <f>LOOKUP(F1722,Sheet2!$J$4:$K$8)</f>
        <v>60-69</v>
      </c>
      <c r="H1722" s="1">
        <v>0</v>
      </c>
      <c r="I1722" t="str">
        <f>LOOKUP(H1722,Sheet2!$M$4:$N$8)</f>
        <v>Unknown</v>
      </c>
      <c r="J1722" s="1">
        <v>0</v>
      </c>
      <c r="K1722" t="str">
        <f>LOOKUP(J1722,Sheet2!$P$4:$Q$9)</f>
        <v>Unknown</v>
      </c>
      <c r="L1722" s="1">
        <v>26.2</v>
      </c>
      <c r="M1722" t="str">
        <f>LOOKUP(L1722,Sheet2!$S$4:$T$8)</f>
        <v>26-30</v>
      </c>
      <c r="N1722" s="1">
        <v>0.34300000000000003</v>
      </c>
      <c r="O1722" t="str">
        <f>LOOKUP(N1722,Sheet2!$V$4:$W$7)</f>
        <v>0.25 - 0.39</v>
      </c>
      <c r="P1722" s="1">
        <v>23</v>
      </c>
      <c r="Q1722" t="str">
        <f>LOOKUP(P1722,Sheet2!$Z$4:$AA$7)</f>
        <v>&lt;=25</v>
      </c>
      <c r="R1722" s="1">
        <v>0</v>
      </c>
      <c r="S1722" t="str">
        <f>IF(R1722=1,"Positive","Negative")</f>
        <v>Negative</v>
      </c>
      <c r="T1722" s="1" t="str">
        <f>IFERROR(VLOOKUP(A1722,[1]diabetes_Recognition!$A:$B,2,FALSE),"Not Sampled")</f>
        <v>Not Sampled</v>
      </c>
      <c r="U1722" t="str">
        <f>IF(T1722=1,"Positive",(IF(T1722=0,"Negative","Not Sampled")))</f>
        <v>Not Sampled</v>
      </c>
      <c r="V1722" s="1" t="str">
        <f>IF(U1722="Not Sampled","Not Sampled",IF(S1722=U1722,"Accurate Prediction","Inaccurate Prediction"))</f>
        <v>Not Sampled</v>
      </c>
    </row>
    <row r="1723" spans="1:22" x14ac:dyDescent="0.25">
      <c r="A1723" s="1">
        <v>1721</v>
      </c>
      <c r="B1723" s="1">
        <v>1</v>
      </c>
      <c r="C1723" s="1">
        <f>LOOKUP(B1723,Sheet2!$D$4:$E$9)</f>
        <v>1</v>
      </c>
      <c r="D1723" s="1">
        <v>128</v>
      </c>
      <c r="E1723" t="str">
        <f>LOOKUP(D1723,Sheet2!$G$4:$H$9)</f>
        <v>126-150</v>
      </c>
      <c r="F1723" s="1">
        <v>82</v>
      </c>
      <c r="G1723" t="str">
        <f>LOOKUP(F1723,Sheet2!$J$4:$K$8)</f>
        <v>80+</v>
      </c>
      <c r="H1723" s="1">
        <v>17</v>
      </c>
      <c r="I1723" t="str">
        <f>LOOKUP(H1723,Sheet2!$M$4:$N$8)</f>
        <v>10-30</v>
      </c>
      <c r="J1723" s="1">
        <v>183</v>
      </c>
      <c r="K1723" t="str">
        <f>LOOKUP(J1723,Sheet2!$P$4:$Q$9)</f>
        <v>100-199</v>
      </c>
      <c r="L1723" s="1">
        <v>27.5</v>
      </c>
      <c r="M1723" t="str">
        <f>LOOKUP(L1723,Sheet2!$S$4:$T$8)</f>
        <v>26-30</v>
      </c>
      <c r="N1723" s="1">
        <v>0.115</v>
      </c>
      <c r="O1723" t="str">
        <f>LOOKUP(N1723,Sheet2!$V$4:$W$7)</f>
        <v>0.0 - 0.249</v>
      </c>
      <c r="P1723" s="1">
        <v>22</v>
      </c>
      <c r="Q1723" t="str">
        <f>LOOKUP(P1723,Sheet2!$Z$4:$AA$7)</f>
        <v>&lt;=25</v>
      </c>
      <c r="R1723" s="1">
        <v>0</v>
      </c>
      <c r="S1723" t="str">
        <f>IF(R1723=1,"Positive","Negative")</f>
        <v>Negative</v>
      </c>
      <c r="T1723" s="1" t="str">
        <f>IFERROR(VLOOKUP(A1723,[1]diabetes_Recognition!$A:$B,2,FALSE),"Not Sampled")</f>
        <v>Not Sampled</v>
      </c>
      <c r="U1723" t="str">
        <f>IF(T1723=1,"Positive",(IF(T1723=0,"Negative","Not Sampled")))</f>
        <v>Not Sampled</v>
      </c>
      <c r="V1723" s="1" t="str">
        <f>IF(U1723="Not Sampled","Not Sampled",IF(S1723=U1723,"Accurate Prediction","Inaccurate Prediction"))</f>
        <v>Not Sampled</v>
      </c>
    </row>
    <row r="1724" spans="1:22" x14ac:dyDescent="0.25">
      <c r="A1724" s="1">
        <v>1722</v>
      </c>
      <c r="B1724" s="1">
        <v>10</v>
      </c>
      <c r="C1724" s="1" t="str">
        <f>LOOKUP(B1724,Sheet2!$D$4:$E$9)</f>
        <v>8+</v>
      </c>
      <c r="D1724" s="1">
        <v>92</v>
      </c>
      <c r="E1724" t="str">
        <f>LOOKUP(D1724,Sheet2!$G$4:$H$9)</f>
        <v>1-99</v>
      </c>
      <c r="F1724" s="1">
        <v>62</v>
      </c>
      <c r="G1724" t="str">
        <f>LOOKUP(F1724,Sheet2!$J$4:$K$8)</f>
        <v>60-69</v>
      </c>
      <c r="H1724" s="1">
        <v>0</v>
      </c>
      <c r="I1724" t="str">
        <f>LOOKUP(H1724,Sheet2!$M$4:$N$8)</f>
        <v>Unknown</v>
      </c>
      <c r="J1724" s="1">
        <v>0</v>
      </c>
      <c r="K1724" t="str">
        <f>LOOKUP(J1724,Sheet2!$P$4:$Q$9)</f>
        <v>Unknown</v>
      </c>
      <c r="L1724" s="1">
        <v>25.9</v>
      </c>
      <c r="M1724" t="str">
        <f>LOOKUP(L1724,Sheet2!$S$4:$T$8)</f>
        <v>1-25</v>
      </c>
      <c r="N1724" s="1">
        <v>0.16700000000000001</v>
      </c>
      <c r="O1724" t="str">
        <f>LOOKUP(N1724,Sheet2!$V$4:$W$7)</f>
        <v>0.0 - 0.249</v>
      </c>
      <c r="P1724" s="1">
        <v>31</v>
      </c>
      <c r="Q1724" t="str">
        <f>LOOKUP(P1724,Sheet2!$Z$4:$AA$7)</f>
        <v>26-35</v>
      </c>
      <c r="R1724" s="1">
        <v>0</v>
      </c>
      <c r="S1724" t="str">
        <f>IF(R1724=1,"Positive","Negative")</f>
        <v>Negative</v>
      </c>
      <c r="T1724" s="1" t="str">
        <f>IFERROR(VLOOKUP(A1724,[1]diabetes_Recognition!$A:$B,2,FALSE),"Not Sampled")</f>
        <v>Not Sampled</v>
      </c>
      <c r="U1724" t="str">
        <f>IF(T1724=1,"Positive",(IF(T1724=0,"Negative","Not Sampled")))</f>
        <v>Not Sampled</v>
      </c>
      <c r="V1724" s="1" t="str">
        <f>IF(U1724="Not Sampled","Not Sampled",IF(S1724=U1724,"Accurate Prediction","Inaccurate Prediction"))</f>
        <v>Not Sampled</v>
      </c>
    </row>
    <row r="1725" spans="1:22" x14ac:dyDescent="0.25">
      <c r="A1725" s="1">
        <v>1723</v>
      </c>
      <c r="B1725" s="1">
        <v>13</v>
      </c>
      <c r="C1725" s="1" t="str">
        <f>LOOKUP(B1725,Sheet2!$D$4:$E$9)</f>
        <v>8+</v>
      </c>
      <c r="D1725" s="1">
        <v>104</v>
      </c>
      <c r="E1725" t="str">
        <f>LOOKUP(D1725,Sheet2!$G$4:$H$9)</f>
        <v>100-125</v>
      </c>
      <c r="F1725" s="1">
        <v>72</v>
      </c>
      <c r="G1725" t="str">
        <f>LOOKUP(F1725,Sheet2!$J$4:$K$8)</f>
        <v>70-79</v>
      </c>
      <c r="H1725" s="1">
        <v>0</v>
      </c>
      <c r="I1725" t="str">
        <f>LOOKUP(H1725,Sheet2!$M$4:$N$8)</f>
        <v>Unknown</v>
      </c>
      <c r="J1725" s="1">
        <v>0</v>
      </c>
      <c r="K1725" t="str">
        <f>LOOKUP(J1725,Sheet2!$P$4:$Q$9)</f>
        <v>Unknown</v>
      </c>
      <c r="L1725" s="1">
        <v>31.2</v>
      </c>
      <c r="M1725" t="str">
        <f>LOOKUP(L1725,Sheet2!$S$4:$T$8)</f>
        <v>31-35</v>
      </c>
      <c r="N1725" s="1">
        <v>0.46500000000000002</v>
      </c>
      <c r="O1725" t="str">
        <f>LOOKUP(N1725,Sheet2!$V$4:$W$7)</f>
        <v>0.4 - 0.69</v>
      </c>
      <c r="P1725" s="1">
        <v>38</v>
      </c>
      <c r="Q1725" t="str">
        <f>LOOKUP(P1725,Sheet2!$Z$4:$AA$7)</f>
        <v>36-45</v>
      </c>
      <c r="R1725" s="1">
        <v>1</v>
      </c>
      <c r="S1725" t="str">
        <f>IF(R1725=1,"Positive","Negative")</f>
        <v>Positive</v>
      </c>
      <c r="T1725" s="1" t="str">
        <f>IFERROR(VLOOKUP(A1725,[1]diabetes_Recognition!$A:$B,2,FALSE),"Not Sampled")</f>
        <v>Not Sampled</v>
      </c>
      <c r="U1725" t="str">
        <f>IF(T1725=1,"Positive",(IF(T1725=0,"Negative","Not Sampled")))</f>
        <v>Not Sampled</v>
      </c>
      <c r="V1725" s="1" t="str">
        <f>IF(U1725="Not Sampled","Not Sampled",IF(S1725=U1725,"Accurate Prediction","Inaccurate Prediction"))</f>
        <v>Not Sampled</v>
      </c>
    </row>
    <row r="1726" spans="1:22" x14ac:dyDescent="0.25">
      <c r="A1726" s="1">
        <v>1724</v>
      </c>
      <c r="B1726" s="1">
        <v>5</v>
      </c>
      <c r="C1726" s="1" t="str">
        <f>LOOKUP(B1726,Sheet2!$D$4:$E$9)</f>
        <v>5-7</v>
      </c>
      <c r="D1726" s="1">
        <v>104</v>
      </c>
      <c r="E1726" t="str">
        <f>LOOKUP(D1726,Sheet2!$G$4:$H$9)</f>
        <v>100-125</v>
      </c>
      <c r="F1726" s="1">
        <v>74</v>
      </c>
      <c r="G1726" t="str">
        <f>LOOKUP(F1726,Sheet2!$J$4:$K$8)</f>
        <v>70-79</v>
      </c>
      <c r="H1726" s="1">
        <v>0</v>
      </c>
      <c r="I1726" t="str">
        <f>LOOKUP(H1726,Sheet2!$M$4:$N$8)</f>
        <v>Unknown</v>
      </c>
      <c r="J1726" s="1">
        <v>0</v>
      </c>
      <c r="K1726" t="str">
        <f>LOOKUP(J1726,Sheet2!$P$4:$Q$9)</f>
        <v>Unknown</v>
      </c>
      <c r="L1726" s="1">
        <v>28.8</v>
      </c>
      <c r="M1726" t="str">
        <f>LOOKUP(L1726,Sheet2!$S$4:$T$8)</f>
        <v>26-30</v>
      </c>
      <c r="N1726" s="1">
        <v>0.153</v>
      </c>
      <c r="O1726" t="str">
        <f>LOOKUP(N1726,Sheet2!$V$4:$W$7)</f>
        <v>0.0 - 0.249</v>
      </c>
      <c r="P1726" s="1">
        <v>48</v>
      </c>
      <c r="Q1726" t="str">
        <f>LOOKUP(P1726,Sheet2!$Z$4:$AA$7)</f>
        <v>46+</v>
      </c>
      <c r="R1726" s="1">
        <v>0</v>
      </c>
      <c r="S1726" t="str">
        <f>IF(R1726=1,"Positive","Negative")</f>
        <v>Negative</v>
      </c>
      <c r="T1726" s="1" t="str">
        <f>IFERROR(VLOOKUP(A1726,[1]diabetes_Recognition!$A:$B,2,FALSE),"Not Sampled")</f>
        <v>Not Sampled</v>
      </c>
      <c r="U1726" t="str">
        <f>IF(T1726=1,"Positive",(IF(T1726=0,"Negative","Not Sampled")))</f>
        <v>Not Sampled</v>
      </c>
      <c r="V1726" s="1" t="str">
        <f>IF(U1726="Not Sampled","Not Sampled",IF(S1726=U1726,"Accurate Prediction","Inaccurate Prediction"))</f>
        <v>Not Sampled</v>
      </c>
    </row>
    <row r="1727" spans="1:22" x14ac:dyDescent="0.25">
      <c r="A1727" s="1">
        <v>1725</v>
      </c>
      <c r="B1727" s="1">
        <v>2</v>
      </c>
      <c r="C1727" s="1">
        <f>LOOKUP(B1727,Sheet2!$D$4:$E$9)</f>
        <v>2</v>
      </c>
      <c r="D1727" s="1">
        <v>94</v>
      </c>
      <c r="E1727" t="str">
        <f>LOOKUP(D1727,Sheet2!$G$4:$H$9)</f>
        <v>1-99</v>
      </c>
      <c r="F1727" s="1">
        <v>76</v>
      </c>
      <c r="G1727" t="str">
        <f>LOOKUP(F1727,Sheet2!$J$4:$K$8)</f>
        <v>70-79</v>
      </c>
      <c r="H1727" s="1">
        <v>18</v>
      </c>
      <c r="I1727" t="str">
        <f>LOOKUP(H1727,Sheet2!$M$4:$N$8)</f>
        <v>10-30</v>
      </c>
      <c r="J1727" s="1">
        <v>66</v>
      </c>
      <c r="K1727" t="str">
        <f>LOOKUP(J1727,Sheet2!$P$4:$Q$9)</f>
        <v>1-99</v>
      </c>
      <c r="L1727" s="1">
        <v>31.6</v>
      </c>
      <c r="M1727" t="str">
        <f>LOOKUP(L1727,Sheet2!$S$4:$T$8)</f>
        <v>31-35</v>
      </c>
      <c r="N1727" s="1">
        <v>0.64900000000000002</v>
      </c>
      <c r="O1727" t="str">
        <f>LOOKUP(N1727,Sheet2!$V$4:$W$7)</f>
        <v>0.4 - 0.69</v>
      </c>
      <c r="P1727" s="1">
        <v>23</v>
      </c>
      <c r="Q1727" t="str">
        <f>LOOKUP(P1727,Sheet2!$Z$4:$AA$7)</f>
        <v>&lt;=25</v>
      </c>
      <c r="R1727" s="1">
        <v>0</v>
      </c>
      <c r="S1727" t="str">
        <f>IF(R1727=1,"Positive","Negative")</f>
        <v>Negative</v>
      </c>
      <c r="T1727" s="1" t="str">
        <f>IFERROR(VLOOKUP(A1727,[1]diabetes_Recognition!$A:$B,2,FALSE),"Not Sampled")</f>
        <v>Not Sampled</v>
      </c>
      <c r="U1727" t="str">
        <f>IF(T1727=1,"Positive",(IF(T1727=0,"Negative","Not Sampled")))</f>
        <v>Not Sampled</v>
      </c>
      <c r="V1727" s="1" t="str">
        <f>IF(U1727="Not Sampled","Not Sampled",IF(S1727=U1727,"Accurate Prediction","Inaccurate Prediction"))</f>
        <v>Not Sampled</v>
      </c>
    </row>
    <row r="1728" spans="1:22" x14ac:dyDescent="0.25">
      <c r="A1728" s="1">
        <v>1726</v>
      </c>
      <c r="B1728" s="1">
        <v>7</v>
      </c>
      <c r="C1728" s="1" t="str">
        <f>LOOKUP(B1728,Sheet2!$D$4:$E$9)</f>
        <v>5-7</v>
      </c>
      <c r="D1728" s="1">
        <v>97</v>
      </c>
      <c r="E1728" t="str">
        <f>LOOKUP(D1728,Sheet2!$G$4:$H$9)</f>
        <v>1-99</v>
      </c>
      <c r="F1728" s="1">
        <v>76</v>
      </c>
      <c r="G1728" t="str">
        <f>LOOKUP(F1728,Sheet2!$J$4:$K$8)</f>
        <v>70-79</v>
      </c>
      <c r="H1728" s="1">
        <v>32</v>
      </c>
      <c r="I1728" t="str">
        <f>LOOKUP(H1728,Sheet2!$M$4:$N$8)</f>
        <v>30-39</v>
      </c>
      <c r="J1728" s="1">
        <v>91</v>
      </c>
      <c r="K1728" t="str">
        <f>LOOKUP(J1728,Sheet2!$P$4:$Q$9)</f>
        <v>1-99</v>
      </c>
      <c r="L1728" s="1">
        <v>40.9</v>
      </c>
      <c r="M1728" t="str">
        <f>LOOKUP(L1728,Sheet2!$S$4:$T$8)</f>
        <v>36+</v>
      </c>
      <c r="N1728" s="1">
        <v>0.871</v>
      </c>
      <c r="O1728" t="str">
        <f>LOOKUP(N1728,Sheet2!$V$4:$W$7)</f>
        <v>0.7+</v>
      </c>
      <c r="P1728" s="1">
        <v>32</v>
      </c>
      <c r="Q1728" t="str">
        <f>LOOKUP(P1728,Sheet2!$Z$4:$AA$7)</f>
        <v>26-35</v>
      </c>
      <c r="R1728" s="1">
        <v>1</v>
      </c>
      <c r="S1728" t="str">
        <f>IF(R1728=1,"Positive","Negative")</f>
        <v>Positive</v>
      </c>
      <c r="T1728" s="1" t="str">
        <f>IFERROR(VLOOKUP(A1728,[1]diabetes_Recognition!$A:$B,2,FALSE),"Not Sampled")</f>
        <v>Not Sampled</v>
      </c>
      <c r="U1728" t="str">
        <f>IF(T1728=1,"Positive",(IF(T1728=0,"Negative","Not Sampled")))</f>
        <v>Not Sampled</v>
      </c>
      <c r="V1728" s="1" t="str">
        <f>IF(U1728="Not Sampled","Not Sampled",IF(S1728=U1728,"Accurate Prediction","Inaccurate Prediction"))</f>
        <v>Not Sampled</v>
      </c>
    </row>
    <row r="1729" spans="1:22" x14ac:dyDescent="0.25">
      <c r="A1729" s="1">
        <v>1727</v>
      </c>
      <c r="B1729" s="1">
        <v>1</v>
      </c>
      <c r="C1729" s="1">
        <f>LOOKUP(B1729,Sheet2!$D$4:$E$9)</f>
        <v>1</v>
      </c>
      <c r="D1729" s="1">
        <v>100</v>
      </c>
      <c r="E1729" t="str">
        <f>LOOKUP(D1729,Sheet2!$G$4:$H$9)</f>
        <v>100-125</v>
      </c>
      <c r="F1729" s="1">
        <v>74</v>
      </c>
      <c r="G1729" t="str">
        <f>LOOKUP(F1729,Sheet2!$J$4:$K$8)</f>
        <v>70-79</v>
      </c>
      <c r="H1729" s="1">
        <v>12</v>
      </c>
      <c r="I1729" t="str">
        <f>LOOKUP(H1729,Sheet2!$M$4:$N$8)</f>
        <v>10-30</v>
      </c>
      <c r="J1729" s="1">
        <v>46</v>
      </c>
      <c r="K1729" t="str">
        <f>LOOKUP(J1729,Sheet2!$P$4:$Q$9)</f>
        <v>1-99</v>
      </c>
      <c r="L1729" s="1">
        <v>19.5</v>
      </c>
      <c r="M1729" t="str">
        <f>LOOKUP(L1729,Sheet2!$S$4:$T$8)</f>
        <v>1-25</v>
      </c>
      <c r="N1729" s="1">
        <v>0.14899999999999999</v>
      </c>
      <c r="O1729" t="str">
        <f>LOOKUP(N1729,Sheet2!$V$4:$W$7)</f>
        <v>0.0 - 0.249</v>
      </c>
      <c r="P1729" s="1">
        <v>28</v>
      </c>
      <c r="Q1729" t="str">
        <f>LOOKUP(P1729,Sheet2!$Z$4:$AA$7)</f>
        <v>26-35</v>
      </c>
      <c r="R1729" s="1">
        <v>0</v>
      </c>
      <c r="S1729" t="str">
        <f>IF(R1729=1,"Positive","Negative")</f>
        <v>Negative</v>
      </c>
      <c r="T1729" s="1" t="str">
        <f>IFERROR(VLOOKUP(A1729,[1]diabetes_Recognition!$A:$B,2,FALSE),"Not Sampled")</f>
        <v>Not Sampled</v>
      </c>
      <c r="U1729" t="str">
        <f>IF(T1729=1,"Positive",(IF(T1729=0,"Negative","Not Sampled")))</f>
        <v>Not Sampled</v>
      </c>
      <c r="V1729" s="1" t="str">
        <f>IF(U1729="Not Sampled","Not Sampled",IF(S1729=U1729,"Accurate Prediction","Inaccurate Prediction"))</f>
        <v>Not Sampled</v>
      </c>
    </row>
    <row r="1730" spans="1:22" x14ac:dyDescent="0.25">
      <c r="A1730" s="1">
        <v>1728</v>
      </c>
      <c r="B1730" s="1">
        <v>0</v>
      </c>
      <c r="C1730" s="1">
        <f>LOOKUP(B1730,Sheet2!$D$4:$E$9)</f>
        <v>0</v>
      </c>
      <c r="D1730" s="1">
        <v>102</v>
      </c>
      <c r="E1730" t="str">
        <f>LOOKUP(D1730,Sheet2!$G$4:$H$9)</f>
        <v>100-125</v>
      </c>
      <c r="F1730" s="1">
        <v>86</v>
      </c>
      <c r="G1730" t="str">
        <f>LOOKUP(F1730,Sheet2!$J$4:$K$8)</f>
        <v>80+</v>
      </c>
      <c r="H1730" s="1">
        <v>17</v>
      </c>
      <c r="I1730" t="str">
        <f>LOOKUP(H1730,Sheet2!$M$4:$N$8)</f>
        <v>10-30</v>
      </c>
      <c r="J1730" s="1">
        <v>105</v>
      </c>
      <c r="K1730" t="str">
        <f>LOOKUP(J1730,Sheet2!$P$4:$Q$9)</f>
        <v>100-199</v>
      </c>
      <c r="L1730" s="1">
        <v>29.3</v>
      </c>
      <c r="M1730" t="str">
        <f>LOOKUP(L1730,Sheet2!$S$4:$T$8)</f>
        <v>26-30</v>
      </c>
      <c r="N1730" s="1">
        <v>0.69499999999999995</v>
      </c>
      <c r="O1730" t="str">
        <f>LOOKUP(N1730,Sheet2!$V$4:$W$7)</f>
        <v>0.4 - 0.69</v>
      </c>
      <c r="P1730" s="1">
        <v>27</v>
      </c>
      <c r="Q1730" t="str">
        <f>LOOKUP(P1730,Sheet2!$Z$4:$AA$7)</f>
        <v>26-35</v>
      </c>
      <c r="R1730" s="1">
        <v>0</v>
      </c>
      <c r="S1730" t="str">
        <f>IF(R1730=1,"Positive","Negative")</f>
        <v>Negative</v>
      </c>
      <c r="T1730" s="1">
        <f>IFERROR(VLOOKUP(A1730,[1]diabetes_Recognition!$A:$B,2,FALSE),"Not Sampled")</f>
        <v>0</v>
      </c>
      <c r="U1730" t="str">
        <f>IF(T1730=1,"Positive",(IF(T1730=0,"Negative","Not Sampled")))</f>
        <v>Negative</v>
      </c>
      <c r="V1730" s="1" t="str">
        <f>IF(U1730="Not Sampled","Not Sampled",IF(S1730=U1730,"Accurate Prediction","Inaccurate Prediction"))</f>
        <v>Accurate Prediction</v>
      </c>
    </row>
    <row r="1731" spans="1:22" x14ac:dyDescent="0.25">
      <c r="A1731" s="1">
        <v>1729</v>
      </c>
      <c r="B1731" s="1">
        <v>4</v>
      </c>
      <c r="C1731" s="1" t="str">
        <f>LOOKUP(B1731,Sheet2!$D$4:$E$9)</f>
        <v>3-4</v>
      </c>
      <c r="D1731" s="1">
        <v>128</v>
      </c>
      <c r="E1731" t="str">
        <f>LOOKUP(D1731,Sheet2!$G$4:$H$9)</f>
        <v>126-150</v>
      </c>
      <c r="F1731" s="1">
        <v>70</v>
      </c>
      <c r="G1731" t="str">
        <f>LOOKUP(F1731,Sheet2!$J$4:$K$8)</f>
        <v>70-79</v>
      </c>
      <c r="H1731" s="1">
        <v>0</v>
      </c>
      <c r="I1731" t="str">
        <f>LOOKUP(H1731,Sheet2!$M$4:$N$8)</f>
        <v>Unknown</v>
      </c>
      <c r="J1731" s="1">
        <v>0</v>
      </c>
      <c r="K1731" t="str">
        <f>LOOKUP(J1731,Sheet2!$P$4:$Q$9)</f>
        <v>Unknown</v>
      </c>
      <c r="L1731" s="1">
        <v>34.299999999999997</v>
      </c>
      <c r="M1731" t="str">
        <f>LOOKUP(L1731,Sheet2!$S$4:$T$8)</f>
        <v>31-35</v>
      </c>
      <c r="N1731" s="1">
        <v>0.30299999999999999</v>
      </c>
      <c r="O1731" t="str">
        <f>LOOKUP(N1731,Sheet2!$V$4:$W$7)</f>
        <v>0.25 - 0.39</v>
      </c>
      <c r="P1731" s="1">
        <v>24</v>
      </c>
      <c r="Q1731" t="str">
        <f>LOOKUP(P1731,Sheet2!$Z$4:$AA$7)</f>
        <v>&lt;=25</v>
      </c>
      <c r="R1731" s="1">
        <v>0</v>
      </c>
      <c r="S1731" t="str">
        <f>IF(R1731=1,"Positive","Negative")</f>
        <v>Negative</v>
      </c>
      <c r="T1731" s="1">
        <f>IFERROR(VLOOKUP(A1731,[1]diabetes_Recognition!$A:$B,2,FALSE),"Not Sampled")</f>
        <v>0</v>
      </c>
      <c r="U1731" t="str">
        <f>IF(T1731=1,"Positive",(IF(T1731=0,"Negative","Not Sampled")))</f>
        <v>Negative</v>
      </c>
      <c r="V1731" s="1" t="str">
        <f>IF(U1731="Not Sampled","Not Sampled",IF(S1731=U1731,"Accurate Prediction","Inaccurate Prediction"))</f>
        <v>Accurate Prediction</v>
      </c>
    </row>
    <row r="1732" spans="1:22" x14ac:dyDescent="0.25">
      <c r="A1732" s="1">
        <v>1730</v>
      </c>
      <c r="B1732" s="1">
        <v>6</v>
      </c>
      <c r="C1732" s="1" t="str">
        <f>LOOKUP(B1732,Sheet2!$D$4:$E$9)</f>
        <v>5-7</v>
      </c>
      <c r="D1732" s="1">
        <v>147</v>
      </c>
      <c r="E1732" t="str">
        <f>LOOKUP(D1732,Sheet2!$G$4:$H$9)</f>
        <v>126-150</v>
      </c>
      <c r="F1732" s="1">
        <v>80</v>
      </c>
      <c r="G1732" t="str">
        <f>LOOKUP(F1732,Sheet2!$J$4:$K$8)</f>
        <v>80+</v>
      </c>
      <c r="H1732" s="1">
        <v>0</v>
      </c>
      <c r="I1732" t="str">
        <f>LOOKUP(H1732,Sheet2!$M$4:$N$8)</f>
        <v>Unknown</v>
      </c>
      <c r="J1732" s="1">
        <v>0</v>
      </c>
      <c r="K1732" t="str">
        <f>LOOKUP(J1732,Sheet2!$P$4:$Q$9)</f>
        <v>Unknown</v>
      </c>
      <c r="L1732" s="1">
        <v>29.5</v>
      </c>
      <c r="M1732" t="str">
        <f>LOOKUP(L1732,Sheet2!$S$4:$T$8)</f>
        <v>26-30</v>
      </c>
      <c r="N1732" s="1">
        <v>0.17799999999999999</v>
      </c>
      <c r="O1732" t="str">
        <f>LOOKUP(N1732,Sheet2!$V$4:$W$7)</f>
        <v>0.0 - 0.249</v>
      </c>
      <c r="P1732" s="1">
        <v>50</v>
      </c>
      <c r="Q1732" t="str">
        <f>LOOKUP(P1732,Sheet2!$Z$4:$AA$7)</f>
        <v>46+</v>
      </c>
      <c r="R1732" s="1">
        <v>1</v>
      </c>
      <c r="S1732" t="str">
        <f>IF(R1732=1,"Positive","Negative")</f>
        <v>Positive</v>
      </c>
      <c r="T1732" s="1">
        <f>IFERROR(VLOOKUP(A1732,[1]diabetes_Recognition!$A:$B,2,FALSE),"Not Sampled")</f>
        <v>1</v>
      </c>
      <c r="U1732" t="str">
        <f>IF(T1732=1,"Positive",(IF(T1732=0,"Negative","Not Sampled")))</f>
        <v>Positive</v>
      </c>
      <c r="V1732" s="1" t="str">
        <f>IF(U1732="Not Sampled","Not Sampled",IF(S1732=U1732,"Accurate Prediction","Inaccurate Prediction"))</f>
        <v>Accurate Prediction</v>
      </c>
    </row>
    <row r="1733" spans="1:22" x14ac:dyDescent="0.25">
      <c r="A1733" s="1">
        <v>1731</v>
      </c>
      <c r="B1733" s="1">
        <v>4</v>
      </c>
      <c r="C1733" s="1" t="str">
        <f>LOOKUP(B1733,Sheet2!$D$4:$E$9)</f>
        <v>3-4</v>
      </c>
      <c r="D1733" s="1">
        <v>90</v>
      </c>
      <c r="E1733" t="str">
        <f>LOOKUP(D1733,Sheet2!$G$4:$H$9)</f>
        <v>1-99</v>
      </c>
      <c r="F1733" s="1">
        <v>0</v>
      </c>
      <c r="G1733" t="str">
        <f>LOOKUP(F1733,Sheet2!$J$4:$K$8)</f>
        <v>Unknown</v>
      </c>
      <c r="H1733" s="1">
        <v>0</v>
      </c>
      <c r="I1733" t="str">
        <f>LOOKUP(H1733,Sheet2!$M$4:$N$8)</f>
        <v>Unknown</v>
      </c>
      <c r="J1733" s="1">
        <v>0</v>
      </c>
      <c r="K1733" t="str">
        <f>LOOKUP(J1733,Sheet2!$P$4:$Q$9)</f>
        <v>Unknown</v>
      </c>
      <c r="L1733" s="1">
        <v>28</v>
      </c>
      <c r="M1733" t="str">
        <f>LOOKUP(L1733,Sheet2!$S$4:$T$8)</f>
        <v>26-30</v>
      </c>
      <c r="N1733" s="1">
        <v>0.61</v>
      </c>
      <c r="O1733" t="str">
        <f>LOOKUP(N1733,Sheet2!$V$4:$W$7)</f>
        <v>0.4 - 0.69</v>
      </c>
      <c r="P1733" s="1">
        <v>31</v>
      </c>
      <c r="Q1733" t="str">
        <f>LOOKUP(P1733,Sheet2!$Z$4:$AA$7)</f>
        <v>26-35</v>
      </c>
      <c r="R1733" s="1">
        <v>0</v>
      </c>
      <c r="S1733" t="str">
        <f>IF(R1733=1,"Positive","Negative")</f>
        <v>Negative</v>
      </c>
      <c r="T1733" s="1" t="str">
        <f>IFERROR(VLOOKUP(A1733,[1]diabetes_Recognition!$A:$B,2,FALSE),"Not Sampled")</f>
        <v>Not Sampled</v>
      </c>
      <c r="U1733" t="str">
        <f>IF(T1733=1,"Positive",(IF(T1733=0,"Negative","Not Sampled")))</f>
        <v>Not Sampled</v>
      </c>
      <c r="V1733" s="1" t="str">
        <f>IF(U1733="Not Sampled","Not Sampled",IF(S1733=U1733,"Accurate Prediction","Inaccurate Prediction"))</f>
        <v>Not Sampled</v>
      </c>
    </row>
    <row r="1734" spans="1:22" x14ac:dyDescent="0.25">
      <c r="A1734" s="1">
        <v>1732</v>
      </c>
      <c r="B1734" s="1">
        <v>3</v>
      </c>
      <c r="C1734" s="1" t="str">
        <f>LOOKUP(B1734,Sheet2!$D$4:$E$9)</f>
        <v>3-4</v>
      </c>
      <c r="D1734" s="1">
        <v>103</v>
      </c>
      <c r="E1734" t="str">
        <f>LOOKUP(D1734,Sheet2!$G$4:$H$9)</f>
        <v>100-125</v>
      </c>
      <c r="F1734" s="1">
        <v>72</v>
      </c>
      <c r="G1734" t="str">
        <f>LOOKUP(F1734,Sheet2!$J$4:$K$8)</f>
        <v>70-79</v>
      </c>
      <c r="H1734" s="1">
        <v>30</v>
      </c>
      <c r="I1734" t="str">
        <f>LOOKUP(H1734,Sheet2!$M$4:$N$8)</f>
        <v>30-39</v>
      </c>
      <c r="J1734" s="1">
        <v>152</v>
      </c>
      <c r="K1734" t="str">
        <f>LOOKUP(J1734,Sheet2!$P$4:$Q$9)</f>
        <v>100-199</v>
      </c>
      <c r="L1734" s="1">
        <v>27.6</v>
      </c>
      <c r="M1734" t="str">
        <f>LOOKUP(L1734,Sheet2!$S$4:$T$8)</f>
        <v>26-30</v>
      </c>
      <c r="N1734" s="1">
        <v>0.73</v>
      </c>
      <c r="O1734" t="str">
        <f>LOOKUP(N1734,Sheet2!$V$4:$W$7)</f>
        <v>0.7+</v>
      </c>
      <c r="P1734" s="1">
        <v>27</v>
      </c>
      <c r="Q1734" t="str">
        <f>LOOKUP(P1734,Sheet2!$Z$4:$AA$7)</f>
        <v>26-35</v>
      </c>
      <c r="R1734" s="1">
        <v>0</v>
      </c>
      <c r="S1734" t="str">
        <f>IF(R1734=1,"Positive","Negative")</f>
        <v>Negative</v>
      </c>
      <c r="T1734" s="1" t="str">
        <f>IFERROR(VLOOKUP(A1734,[1]diabetes_Recognition!$A:$B,2,FALSE),"Not Sampled")</f>
        <v>Not Sampled</v>
      </c>
      <c r="U1734" t="str">
        <f>IF(T1734=1,"Positive",(IF(T1734=0,"Negative","Not Sampled")))</f>
        <v>Not Sampled</v>
      </c>
      <c r="V1734" s="1" t="str">
        <f>IF(U1734="Not Sampled","Not Sampled",IF(S1734=U1734,"Accurate Prediction","Inaccurate Prediction"))</f>
        <v>Not Sampled</v>
      </c>
    </row>
    <row r="1735" spans="1:22" x14ac:dyDescent="0.25">
      <c r="A1735" s="1">
        <v>1733</v>
      </c>
      <c r="B1735" s="1">
        <v>2</v>
      </c>
      <c r="C1735" s="1">
        <f>LOOKUP(B1735,Sheet2!$D$4:$E$9)</f>
        <v>2</v>
      </c>
      <c r="D1735" s="1">
        <v>157</v>
      </c>
      <c r="E1735" t="str">
        <f>LOOKUP(D1735,Sheet2!$G$4:$H$9)</f>
        <v>151-175</v>
      </c>
      <c r="F1735" s="1">
        <v>74</v>
      </c>
      <c r="G1735" t="str">
        <f>LOOKUP(F1735,Sheet2!$J$4:$K$8)</f>
        <v>70-79</v>
      </c>
      <c r="H1735" s="1">
        <v>35</v>
      </c>
      <c r="I1735" t="str">
        <f>LOOKUP(H1735,Sheet2!$M$4:$N$8)</f>
        <v>30-39</v>
      </c>
      <c r="J1735" s="1">
        <v>440</v>
      </c>
      <c r="K1735" t="str">
        <f>LOOKUP(J1735,Sheet2!$P$4:$Q$9)</f>
        <v>300-499</v>
      </c>
      <c r="L1735" s="1">
        <v>39.4</v>
      </c>
      <c r="M1735" t="str">
        <f>LOOKUP(L1735,Sheet2!$S$4:$T$8)</f>
        <v>36+</v>
      </c>
      <c r="N1735" s="1">
        <v>0.13400000000000001</v>
      </c>
      <c r="O1735" t="str">
        <f>LOOKUP(N1735,Sheet2!$V$4:$W$7)</f>
        <v>0.0 - 0.249</v>
      </c>
      <c r="P1735" s="1">
        <v>30</v>
      </c>
      <c r="Q1735" t="str">
        <f>LOOKUP(P1735,Sheet2!$Z$4:$AA$7)</f>
        <v>26-35</v>
      </c>
      <c r="R1735" s="1">
        <v>0</v>
      </c>
      <c r="S1735" t="str">
        <f>IF(R1735=1,"Positive","Negative")</f>
        <v>Negative</v>
      </c>
      <c r="T1735" s="1">
        <f>IFERROR(VLOOKUP(A1735,[1]diabetes_Recognition!$A:$B,2,FALSE),"Not Sampled")</f>
        <v>0</v>
      </c>
      <c r="U1735" t="str">
        <f>IF(T1735=1,"Positive",(IF(T1735=0,"Negative","Not Sampled")))</f>
        <v>Negative</v>
      </c>
      <c r="V1735" s="1" t="str">
        <f>IF(U1735="Not Sampled","Not Sampled",IF(S1735=U1735,"Accurate Prediction","Inaccurate Prediction"))</f>
        <v>Accurate Prediction</v>
      </c>
    </row>
    <row r="1736" spans="1:22" x14ac:dyDescent="0.25">
      <c r="A1736" s="1">
        <v>1734</v>
      </c>
      <c r="B1736" s="1">
        <v>1</v>
      </c>
      <c r="C1736" s="1">
        <f>LOOKUP(B1736,Sheet2!$D$4:$E$9)</f>
        <v>1</v>
      </c>
      <c r="D1736" s="1">
        <v>167</v>
      </c>
      <c r="E1736" t="str">
        <f>LOOKUP(D1736,Sheet2!$G$4:$H$9)</f>
        <v>151-175</v>
      </c>
      <c r="F1736" s="1">
        <v>74</v>
      </c>
      <c r="G1736" t="str">
        <f>LOOKUP(F1736,Sheet2!$J$4:$K$8)</f>
        <v>70-79</v>
      </c>
      <c r="H1736" s="1">
        <v>17</v>
      </c>
      <c r="I1736" t="str">
        <f>LOOKUP(H1736,Sheet2!$M$4:$N$8)</f>
        <v>10-30</v>
      </c>
      <c r="J1736" s="1">
        <v>144</v>
      </c>
      <c r="K1736" t="str">
        <f>LOOKUP(J1736,Sheet2!$P$4:$Q$9)</f>
        <v>100-199</v>
      </c>
      <c r="L1736" s="1">
        <v>23.4</v>
      </c>
      <c r="M1736" t="str">
        <f>LOOKUP(L1736,Sheet2!$S$4:$T$8)</f>
        <v>1-25</v>
      </c>
      <c r="N1736" s="1">
        <v>0.44700000000000001</v>
      </c>
      <c r="O1736" t="str">
        <f>LOOKUP(N1736,Sheet2!$V$4:$W$7)</f>
        <v>0.4 - 0.69</v>
      </c>
      <c r="P1736" s="1">
        <v>33</v>
      </c>
      <c r="Q1736" t="str">
        <f>LOOKUP(P1736,Sheet2!$Z$4:$AA$7)</f>
        <v>26-35</v>
      </c>
      <c r="R1736" s="1">
        <v>1</v>
      </c>
      <c r="S1736" t="str">
        <f>IF(R1736=1,"Positive","Negative")</f>
        <v>Positive</v>
      </c>
      <c r="T1736" s="1" t="str">
        <f>IFERROR(VLOOKUP(A1736,[1]diabetes_Recognition!$A:$B,2,FALSE),"Not Sampled")</f>
        <v>Not Sampled</v>
      </c>
      <c r="U1736" t="str">
        <f>IF(T1736=1,"Positive",(IF(T1736=0,"Negative","Not Sampled")))</f>
        <v>Not Sampled</v>
      </c>
      <c r="V1736" s="1" t="str">
        <f>IF(U1736="Not Sampled","Not Sampled",IF(S1736=U1736,"Accurate Prediction","Inaccurate Prediction"))</f>
        <v>Not Sampled</v>
      </c>
    </row>
    <row r="1737" spans="1:22" x14ac:dyDescent="0.25">
      <c r="A1737" s="1">
        <v>1735</v>
      </c>
      <c r="B1737" s="1">
        <v>0</v>
      </c>
      <c r="C1737" s="1">
        <f>LOOKUP(B1737,Sheet2!$D$4:$E$9)</f>
        <v>0</v>
      </c>
      <c r="D1737" s="1">
        <v>179</v>
      </c>
      <c r="E1737" t="str">
        <f>LOOKUP(D1737,Sheet2!$G$4:$H$9)</f>
        <v>176-200</v>
      </c>
      <c r="F1737" s="1">
        <v>50</v>
      </c>
      <c r="G1737" t="str">
        <f>LOOKUP(F1737,Sheet2!$J$4:$K$8)</f>
        <v>1-59</v>
      </c>
      <c r="H1737" s="1">
        <v>36</v>
      </c>
      <c r="I1737" t="str">
        <f>LOOKUP(H1737,Sheet2!$M$4:$N$8)</f>
        <v>30-39</v>
      </c>
      <c r="J1737" s="1">
        <v>159</v>
      </c>
      <c r="K1737" t="str">
        <f>LOOKUP(J1737,Sheet2!$P$4:$Q$9)</f>
        <v>100-199</v>
      </c>
      <c r="L1737" s="1">
        <v>37.799999999999997</v>
      </c>
      <c r="M1737" t="str">
        <f>LOOKUP(L1737,Sheet2!$S$4:$T$8)</f>
        <v>36+</v>
      </c>
      <c r="N1737" s="1">
        <v>0.45500000000000002</v>
      </c>
      <c r="O1737" t="str">
        <f>LOOKUP(N1737,Sheet2!$V$4:$W$7)</f>
        <v>0.4 - 0.69</v>
      </c>
      <c r="P1737" s="1">
        <v>22</v>
      </c>
      <c r="Q1737" t="str">
        <f>LOOKUP(P1737,Sheet2!$Z$4:$AA$7)</f>
        <v>&lt;=25</v>
      </c>
      <c r="R1737" s="1">
        <v>1</v>
      </c>
      <c r="S1737" t="str">
        <f>IF(R1737=1,"Positive","Negative")</f>
        <v>Positive</v>
      </c>
      <c r="T1737" s="1">
        <f>IFERROR(VLOOKUP(A1737,[1]diabetes_Recognition!$A:$B,2,FALSE),"Not Sampled")</f>
        <v>1</v>
      </c>
      <c r="U1737" t="str">
        <f>IF(T1737=1,"Positive",(IF(T1737=0,"Negative","Not Sampled")))</f>
        <v>Positive</v>
      </c>
      <c r="V1737" s="1" t="str">
        <f>IF(U1737="Not Sampled","Not Sampled",IF(S1737=U1737,"Accurate Prediction","Inaccurate Prediction"))</f>
        <v>Accurate Prediction</v>
      </c>
    </row>
    <row r="1738" spans="1:22" x14ac:dyDescent="0.25">
      <c r="A1738" s="1">
        <v>1736</v>
      </c>
      <c r="B1738" s="1">
        <v>11</v>
      </c>
      <c r="C1738" s="1" t="str">
        <f>LOOKUP(B1738,Sheet2!$D$4:$E$9)</f>
        <v>8+</v>
      </c>
      <c r="D1738" s="1">
        <v>136</v>
      </c>
      <c r="E1738" t="str">
        <f>LOOKUP(D1738,Sheet2!$G$4:$H$9)</f>
        <v>126-150</v>
      </c>
      <c r="F1738" s="1">
        <v>84</v>
      </c>
      <c r="G1738" t="str">
        <f>LOOKUP(F1738,Sheet2!$J$4:$K$8)</f>
        <v>80+</v>
      </c>
      <c r="H1738" s="1">
        <v>35</v>
      </c>
      <c r="I1738" t="str">
        <f>LOOKUP(H1738,Sheet2!$M$4:$N$8)</f>
        <v>30-39</v>
      </c>
      <c r="J1738" s="1">
        <v>130</v>
      </c>
      <c r="K1738" t="str">
        <f>LOOKUP(J1738,Sheet2!$P$4:$Q$9)</f>
        <v>100-199</v>
      </c>
      <c r="L1738" s="1">
        <v>28.3</v>
      </c>
      <c r="M1738" t="str">
        <f>LOOKUP(L1738,Sheet2!$S$4:$T$8)</f>
        <v>26-30</v>
      </c>
      <c r="N1738" s="1">
        <v>0.26</v>
      </c>
      <c r="O1738" t="str">
        <f>LOOKUP(N1738,Sheet2!$V$4:$W$7)</f>
        <v>0.25 - 0.39</v>
      </c>
      <c r="P1738" s="1">
        <v>42</v>
      </c>
      <c r="Q1738" t="str">
        <f>LOOKUP(P1738,Sheet2!$Z$4:$AA$7)</f>
        <v>36-45</v>
      </c>
      <c r="R1738" s="1">
        <v>1</v>
      </c>
      <c r="S1738" t="str">
        <f>IF(R1738=1,"Positive","Negative")</f>
        <v>Positive</v>
      </c>
      <c r="T1738" s="1" t="str">
        <f>IFERROR(VLOOKUP(A1738,[1]diabetes_Recognition!$A:$B,2,FALSE),"Not Sampled")</f>
        <v>Not Sampled</v>
      </c>
      <c r="U1738" t="str">
        <f>IF(T1738=1,"Positive",(IF(T1738=0,"Negative","Not Sampled")))</f>
        <v>Not Sampled</v>
      </c>
      <c r="V1738" s="1" t="str">
        <f>IF(U1738="Not Sampled","Not Sampled",IF(S1738=U1738,"Accurate Prediction","Inaccurate Prediction"))</f>
        <v>Not Sampled</v>
      </c>
    </row>
    <row r="1739" spans="1:22" x14ac:dyDescent="0.25">
      <c r="A1739" s="1">
        <v>1737</v>
      </c>
      <c r="B1739" s="1">
        <v>0</v>
      </c>
      <c r="C1739" s="1">
        <f>LOOKUP(B1739,Sheet2!$D$4:$E$9)</f>
        <v>0</v>
      </c>
      <c r="D1739" s="1">
        <v>107</v>
      </c>
      <c r="E1739" t="str">
        <f>LOOKUP(D1739,Sheet2!$G$4:$H$9)</f>
        <v>100-125</v>
      </c>
      <c r="F1739" s="1">
        <v>60</v>
      </c>
      <c r="G1739" t="str">
        <f>LOOKUP(F1739,Sheet2!$J$4:$K$8)</f>
        <v>60-69</v>
      </c>
      <c r="H1739" s="1">
        <v>25</v>
      </c>
      <c r="I1739" t="str">
        <f>LOOKUP(H1739,Sheet2!$M$4:$N$8)</f>
        <v>10-30</v>
      </c>
      <c r="J1739" s="1">
        <v>0</v>
      </c>
      <c r="K1739" t="str">
        <f>LOOKUP(J1739,Sheet2!$P$4:$Q$9)</f>
        <v>Unknown</v>
      </c>
      <c r="L1739" s="1">
        <v>26.4</v>
      </c>
      <c r="M1739" t="str">
        <f>LOOKUP(L1739,Sheet2!$S$4:$T$8)</f>
        <v>26-30</v>
      </c>
      <c r="N1739" s="1">
        <v>0.13300000000000001</v>
      </c>
      <c r="O1739" t="str">
        <f>LOOKUP(N1739,Sheet2!$V$4:$W$7)</f>
        <v>0.0 - 0.249</v>
      </c>
      <c r="P1739" s="1">
        <v>23</v>
      </c>
      <c r="Q1739" t="str">
        <f>LOOKUP(P1739,Sheet2!$Z$4:$AA$7)</f>
        <v>&lt;=25</v>
      </c>
      <c r="R1739" s="1">
        <v>0</v>
      </c>
      <c r="S1739" t="str">
        <f>IF(R1739=1,"Positive","Negative")</f>
        <v>Negative</v>
      </c>
      <c r="T1739" s="1" t="str">
        <f>IFERROR(VLOOKUP(A1739,[1]diabetes_Recognition!$A:$B,2,FALSE),"Not Sampled")</f>
        <v>Not Sampled</v>
      </c>
      <c r="U1739" t="str">
        <f>IF(T1739=1,"Positive",(IF(T1739=0,"Negative","Not Sampled")))</f>
        <v>Not Sampled</v>
      </c>
      <c r="V1739" s="1" t="str">
        <f>IF(U1739="Not Sampled","Not Sampled",IF(S1739=U1739,"Accurate Prediction","Inaccurate Prediction"))</f>
        <v>Not Sampled</v>
      </c>
    </row>
    <row r="1740" spans="1:22" x14ac:dyDescent="0.25">
      <c r="A1740" s="1">
        <v>1738</v>
      </c>
      <c r="B1740" s="1">
        <v>1</v>
      </c>
      <c r="C1740" s="1">
        <f>LOOKUP(B1740,Sheet2!$D$4:$E$9)</f>
        <v>1</v>
      </c>
      <c r="D1740" s="1">
        <v>91</v>
      </c>
      <c r="E1740" t="str">
        <f>LOOKUP(D1740,Sheet2!$G$4:$H$9)</f>
        <v>1-99</v>
      </c>
      <c r="F1740" s="1">
        <v>54</v>
      </c>
      <c r="G1740" t="str">
        <f>LOOKUP(F1740,Sheet2!$J$4:$K$8)</f>
        <v>1-59</v>
      </c>
      <c r="H1740" s="1">
        <v>25</v>
      </c>
      <c r="I1740" t="str">
        <f>LOOKUP(H1740,Sheet2!$M$4:$N$8)</f>
        <v>10-30</v>
      </c>
      <c r="J1740" s="1">
        <v>100</v>
      </c>
      <c r="K1740" t="str">
        <f>LOOKUP(J1740,Sheet2!$P$4:$Q$9)</f>
        <v>100-199</v>
      </c>
      <c r="L1740" s="1">
        <v>25.2</v>
      </c>
      <c r="M1740" t="str">
        <f>LOOKUP(L1740,Sheet2!$S$4:$T$8)</f>
        <v>1-25</v>
      </c>
      <c r="N1740" s="1">
        <v>0.23400000000000001</v>
      </c>
      <c r="O1740" t="str">
        <f>LOOKUP(N1740,Sheet2!$V$4:$W$7)</f>
        <v>0.0 - 0.249</v>
      </c>
      <c r="P1740" s="1">
        <v>23</v>
      </c>
      <c r="Q1740" t="str">
        <f>LOOKUP(P1740,Sheet2!$Z$4:$AA$7)</f>
        <v>&lt;=25</v>
      </c>
      <c r="R1740" s="1">
        <v>0</v>
      </c>
      <c r="S1740" t="str">
        <f>IF(R1740=1,"Positive","Negative")</f>
        <v>Negative</v>
      </c>
      <c r="T1740" s="1" t="str">
        <f>IFERROR(VLOOKUP(A1740,[1]diabetes_Recognition!$A:$B,2,FALSE),"Not Sampled")</f>
        <v>Not Sampled</v>
      </c>
      <c r="U1740" t="str">
        <f>IF(T1740=1,"Positive",(IF(T1740=0,"Negative","Not Sampled")))</f>
        <v>Not Sampled</v>
      </c>
      <c r="V1740" s="1" t="str">
        <f>IF(U1740="Not Sampled","Not Sampled",IF(S1740=U1740,"Accurate Prediction","Inaccurate Prediction"))</f>
        <v>Not Sampled</v>
      </c>
    </row>
    <row r="1741" spans="1:22" x14ac:dyDescent="0.25">
      <c r="A1741" s="1">
        <v>1739</v>
      </c>
      <c r="B1741" s="1">
        <v>1</v>
      </c>
      <c r="C1741" s="1">
        <f>LOOKUP(B1741,Sheet2!$D$4:$E$9)</f>
        <v>1</v>
      </c>
      <c r="D1741" s="1">
        <v>117</v>
      </c>
      <c r="E1741" t="str">
        <f>LOOKUP(D1741,Sheet2!$G$4:$H$9)</f>
        <v>100-125</v>
      </c>
      <c r="F1741" s="1">
        <v>60</v>
      </c>
      <c r="G1741" t="str">
        <f>LOOKUP(F1741,Sheet2!$J$4:$K$8)</f>
        <v>60-69</v>
      </c>
      <c r="H1741" s="1">
        <v>23</v>
      </c>
      <c r="I1741" t="str">
        <f>LOOKUP(H1741,Sheet2!$M$4:$N$8)</f>
        <v>10-30</v>
      </c>
      <c r="J1741" s="1">
        <v>106</v>
      </c>
      <c r="K1741" t="str">
        <f>LOOKUP(J1741,Sheet2!$P$4:$Q$9)</f>
        <v>100-199</v>
      </c>
      <c r="L1741" s="1">
        <v>33.799999999999997</v>
      </c>
      <c r="M1741" t="str">
        <f>LOOKUP(L1741,Sheet2!$S$4:$T$8)</f>
        <v>31-35</v>
      </c>
      <c r="N1741" s="1">
        <v>0.46600000000000003</v>
      </c>
      <c r="O1741" t="str">
        <f>LOOKUP(N1741,Sheet2!$V$4:$W$7)</f>
        <v>0.4 - 0.69</v>
      </c>
      <c r="P1741" s="1">
        <v>27</v>
      </c>
      <c r="Q1741" t="str">
        <f>LOOKUP(P1741,Sheet2!$Z$4:$AA$7)</f>
        <v>26-35</v>
      </c>
      <c r="R1741" s="1">
        <v>0</v>
      </c>
      <c r="S1741" t="str">
        <f>IF(R1741=1,"Positive","Negative")</f>
        <v>Negative</v>
      </c>
      <c r="T1741" s="1">
        <f>IFERROR(VLOOKUP(A1741,[1]diabetes_Recognition!$A:$B,2,FALSE),"Not Sampled")</f>
        <v>0</v>
      </c>
      <c r="U1741" t="str">
        <f>IF(T1741=1,"Positive",(IF(T1741=0,"Negative","Not Sampled")))</f>
        <v>Negative</v>
      </c>
      <c r="V1741" s="1" t="str">
        <f>IF(U1741="Not Sampled","Not Sampled",IF(S1741=U1741,"Accurate Prediction","Inaccurate Prediction"))</f>
        <v>Accurate Prediction</v>
      </c>
    </row>
    <row r="1742" spans="1:22" x14ac:dyDescent="0.25">
      <c r="A1742" s="1">
        <v>1740</v>
      </c>
      <c r="B1742" s="1">
        <v>5</v>
      </c>
      <c r="C1742" s="1" t="str">
        <f>LOOKUP(B1742,Sheet2!$D$4:$E$9)</f>
        <v>5-7</v>
      </c>
      <c r="D1742" s="1">
        <v>123</v>
      </c>
      <c r="E1742" t="str">
        <f>LOOKUP(D1742,Sheet2!$G$4:$H$9)</f>
        <v>100-125</v>
      </c>
      <c r="F1742" s="1">
        <v>74</v>
      </c>
      <c r="G1742" t="str">
        <f>LOOKUP(F1742,Sheet2!$J$4:$K$8)</f>
        <v>70-79</v>
      </c>
      <c r="H1742" s="1">
        <v>40</v>
      </c>
      <c r="I1742" t="str">
        <f>LOOKUP(H1742,Sheet2!$M$4:$N$8)</f>
        <v>40+</v>
      </c>
      <c r="J1742" s="1">
        <v>77</v>
      </c>
      <c r="K1742" t="str">
        <f>LOOKUP(J1742,Sheet2!$P$4:$Q$9)</f>
        <v>1-99</v>
      </c>
      <c r="L1742" s="1">
        <v>34.1</v>
      </c>
      <c r="M1742" t="str">
        <f>LOOKUP(L1742,Sheet2!$S$4:$T$8)</f>
        <v>31-35</v>
      </c>
      <c r="N1742" s="1">
        <v>0.26900000000000002</v>
      </c>
      <c r="O1742" t="str">
        <f>LOOKUP(N1742,Sheet2!$V$4:$W$7)</f>
        <v>0.25 - 0.39</v>
      </c>
      <c r="P1742" s="1">
        <v>28</v>
      </c>
      <c r="Q1742" t="str">
        <f>LOOKUP(P1742,Sheet2!$Z$4:$AA$7)</f>
        <v>26-35</v>
      </c>
      <c r="R1742" s="1">
        <v>0</v>
      </c>
      <c r="S1742" t="str">
        <f>IF(R1742=1,"Positive","Negative")</f>
        <v>Negative</v>
      </c>
      <c r="T1742" s="1" t="str">
        <f>IFERROR(VLOOKUP(A1742,[1]diabetes_Recognition!$A:$B,2,FALSE),"Not Sampled")</f>
        <v>Not Sampled</v>
      </c>
      <c r="U1742" t="str">
        <f>IF(T1742=1,"Positive",(IF(T1742=0,"Negative","Not Sampled")))</f>
        <v>Not Sampled</v>
      </c>
      <c r="V1742" s="1" t="str">
        <f>IF(U1742="Not Sampled","Not Sampled",IF(S1742=U1742,"Accurate Prediction","Inaccurate Prediction"))</f>
        <v>Not Sampled</v>
      </c>
    </row>
    <row r="1743" spans="1:22" x14ac:dyDescent="0.25">
      <c r="A1743" s="1">
        <v>1741</v>
      </c>
      <c r="B1743" s="1">
        <v>2</v>
      </c>
      <c r="C1743" s="1">
        <f>LOOKUP(B1743,Sheet2!$D$4:$E$9)</f>
        <v>2</v>
      </c>
      <c r="D1743" s="1">
        <v>120</v>
      </c>
      <c r="E1743" t="str">
        <f>LOOKUP(D1743,Sheet2!$G$4:$H$9)</f>
        <v>100-125</v>
      </c>
      <c r="F1743" s="1">
        <v>54</v>
      </c>
      <c r="G1743" t="str">
        <f>LOOKUP(F1743,Sheet2!$J$4:$K$8)</f>
        <v>1-59</v>
      </c>
      <c r="H1743" s="1">
        <v>0</v>
      </c>
      <c r="I1743" t="str">
        <f>LOOKUP(H1743,Sheet2!$M$4:$N$8)</f>
        <v>Unknown</v>
      </c>
      <c r="J1743" s="1">
        <v>0</v>
      </c>
      <c r="K1743" t="str">
        <f>LOOKUP(J1743,Sheet2!$P$4:$Q$9)</f>
        <v>Unknown</v>
      </c>
      <c r="L1743" s="1">
        <v>26.8</v>
      </c>
      <c r="M1743" t="str">
        <f>LOOKUP(L1743,Sheet2!$S$4:$T$8)</f>
        <v>26-30</v>
      </c>
      <c r="N1743" s="1">
        <v>0.45500000000000002</v>
      </c>
      <c r="O1743" t="str">
        <f>LOOKUP(N1743,Sheet2!$V$4:$W$7)</f>
        <v>0.4 - 0.69</v>
      </c>
      <c r="P1743" s="1">
        <v>27</v>
      </c>
      <c r="Q1743" t="str">
        <f>LOOKUP(P1743,Sheet2!$Z$4:$AA$7)</f>
        <v>26-35</v>
      </c>
      <c r="R1743" s="1">
        <v>0</v>
      </c>
      <c r="S1743" t="str">
        <f>IF(R1743=1,"Positive","Negative")</f>
        <v>Negative</v>
      </c>
      <c r="T1743" s="1" t="str">
        <f>IFERROR(VLOOKUP(A1743,[1]diabetes_Recognition!$A:$B,2,FALSE),"Not Sampled")</f>
        <v>Not Sampled</v>
      </c>
      <c r="U1743" t="str">
        <f>IF(T1743=1,"Positive",(IF(T1743=0,"Negative","Not Sampled")))</f>
        <v>Not Sampled</v>
      </c>
      <c r="V1743" s="1" t="str">
        <f>IF(U1743="Not Sampled","Not Sampled",IF(S1743=U1743,"Accurate Prediction","Inaccurate Prediction"))</f>
        <v>Not Sampled</v>
      </c>
    </row>
    <row r="1744" spans="1:22" x14ac:dyDescent="0.25">
      <c r="A1744" s="1">
        <v>1742</v>
      </c>
      <c r="B1744" s="1">
        <v>1</v>
      </c>
      <c r="C1744" s="1">
        <f>LOOKUP(B1744,Sheet2!$D$4:$E$9)</f>
        <v>1</v>
      </c>
      <c r="D1744" s="1">
        <v>106</v>
      </c>
      <c r="E1744" t="str">
        <f>LOOKUP(D1744,Sheet2!$G$4:$H$9)</f>
        <v>100-125</v>
      </c>
      <c r="F1744" s="1">
        <v>70</v>
      </c>
      <c r="G1744" t="str">
        <f>LOOKUP(F1744,Sheet2!$J$4:$K$8)</f>
        <v>70-79</v>
      </c>
      <c r="H1744" s="1">
        <v>28</v>
      </c>
      <c r="I1744" t="str">
        <f>LOOKUP(H1744,Sheet2!$M$4:$N$8)</f>
        <v>10-30</v>
      </c>
      <c r="J1744" s="1">
        <v>135</v>
      </c>
      <c r="K1744" t="str">
        <f>LOOKUP(J1744,Sheet2!$P$4:$Q$9)</f>
        <v>100-199</v>
      </c>
      <c r="L1744" s="1">
        <v>34.200000000000003</v>
      </c>
      <c r="M1744" t="str">
        <f>LOOKUP(L1744,Sheet2!$S$4:$T$8)</f>
        <v>31-35</v>
      </c>
      <c r="N1744" s="1">
        <v>0.14199999999999999</v>
      </c>
      <c r="O1744" t="str">
        <f>LOOKUP(N1744,Sheet2!$V$4:$W$7)</f>
        <v>0.0 - 0.249</v>
      </c>
      <c r="P1744" s="1">
        <v>22</v>
      </c>
      <c r="Q1744" t="str">
        <f>LOOKUP(P1744,Sheet2!$Z$4:$AA$7)</f>
        <v>&lt;=25</v>
      </c>
      <c r="R1744" s="1">
        <v>0</v>
      </c>
      <c r="S1744" t="str">
        <f>IF(R1744=1,"Positive","Negative")</f>
        <v>Negative</v>
      </c>
      <c r="T1744" s="1" t="str">
        <f>IFERROR(VLOOKUP(A1744,[1]diabetes_Recognition!$A:$B,2,FALSE),"Not Sampled")</f>
        <v>Not Sampled</v>
      </c>
      <c r="U1744" t="str">
        <f>IF(T1744=1,"Positive",(IF(T1744=0,"Negative","Not Sampled")))</f>
        <v>Not Sampled</v>
      </c>
      <c r="V1744" s="1" t="str">
        <f>IF(U1744="Not Sampled","Not Sampled",IF(S1744=U1744,"Accurate Prediction","Inaccurate Prediction"))</f>
        <v>Not Sampled</v>
      </c>
    </row>
    <row r="1745" spans="1:22" x14ac:dyDescent="0.25">
      <c r="A1745" s="1">
        <v>1743</v>
      </c>
      <c r="B1745" s="1">
        <v>2</v>
      </c>
      <c r="C1745" s="1">
        <f>LOOKUP(B1745,Sheet2!$D$4:$E$9)</f>
        <v>2</v>
      </c>
      <c r="D1745" s="1">
        <v>155</v>
      </c>
      <c r="E1745" t="str">
        <f>LOOKUP(D1745,Sheet2!$G$4:$H$9)</f>
        <v>151-175</v>
      </c>
      <c r="F1745" s="1">
        <v>52</v>
      </c>
      <c r="G1745" t="str">
        <f>LOOKUP(F1745,Sheet2!$J$4:$K$8)</f>
        <v>1-59</v>
      </c>
      <c r="H1745" s="1">
        <v>27</v>
      </c>
      <c r="I1745" t="str">
        <f>LOOKUP(H1745,Sheet2!$M$4:$N$8)</f>
        <v>10-30</v>
      </c>
      <c r="J1745" s="1">
        <v>540</v>
      </c>
      <c r="K1745" t="str">
        <f>LOOKUP(J1745,Sheet2!$P$4:$Q$9)</f>
        <v>500+</v>
      </c>
      <c r="L1745" s="1">
        <v>38.700000000000003</v>
      </c>
      <c r="M1745" t="str">
        <f>LOOKUP(L1745,Sheet2!$S$4:$T$8)</f>
        <v>36+</v>
      </c>
      <c r="N1745" s="1">
        <v>0.24</v>
      </c>
      <c r="O1745" t="str">
        <f>LOOKUP(N1745,Sheet2!$V$4:$W$7)</f>
        <v>0.0 - 0.249</v>
      </c>
      <c r="P1745" s="1">
        <v>25</v>
      </c>
      <c r="Q1745" t="str">
        <f>LOOKUP(P1745,Sheet2!$Z$4:$AA$7)</f>
        <v>&lt;=25</v>
      </c>
      <c r="R1745" s="1">
        <v>1</v>
      </c>
      <c r="S1745" t="str">
        <f>IF(R1745=1,"Positive","Negative")</f>
        <v>Positive</v>
      </c>
      <c r="T1745" s="1" t="str">
        <f>IFERROR(VLOOKUP(A1745,[1]diabetes_Recognition!$A:$B,2,FALSE),"Not Sampled")</f>
        <v>Not Sampled</v>
      </c>
      <c r="U1745" t="str">
        <f>IF(T1745=1,"Positive",(IF(T1745=0,"Negative","Not Sampled")))</f>
        <v>Not Sampled</v>
      </c>
      <c r="V1745" s="1" t="str">
        <f>IF(U1745="Not Sampled","Not Sampled",IF(S1745=U1745,"Accurate Prediction","Inaccurate Prediction"))</f>
        <v>Not Sampled</v>
      </c>
    </row>
    <row r="1746" spans="1:22" x14ac:dyDescent="0.25">
      <c r="A1746" s="1">
        <v>1744</v>
      </c>
      <c r="B1746" s="1">
        <v>2</v>
      </c>
      <c r="C1746" s="1">
        <f>LOOKUP(B1746,Sheet2!$D$4:$E$9)</f>
        <v>2</v>
      </c>
      <c r="D1746" s="1">
        <v>101</v>
      </c>
      <c r="E1746" t="str">
        <f>LOOKUP(D1746,Sheet2!$G$4:$H$9)</f>
        <v>100-125</v>
      </c>
      <c r="F1746" s="1">
        <v>58</v>
      </c>
      <c r="G1746" t="str">
        <f>LOOKUP(F1746,Sheet2!$J$4:$K$8)</f>
        <v>1-59</v>
      </c>
      <c r="H1746" s="1">
        <v>35</v>
      </c>
      <c r="I1746" t="str">
        <f>LOOKUP(H1746,Sheet2!$M$4:$N$8)</f>
        <v>30-39</v>
      </c>
      <c r="J1746" s="1">
        <v>90</v>
      </c>
      <c r="K1746" t="str">
        <f>LOOKUP(J1746,Sheet2!$P$4:$Q$9)</f>
        <v>1-99</v>
      </c>
      <c r="L1746" s="1">
        <v>21.8</v>
      </c>
      <c r="M1746" t="str">
        <f>LOOKUP(L1746,Sheet2!$S$4:$T$8)</f>
        <v>1-25</v>
      </c>
      <c r="N1746" s="1">
        <v>0.155</v>
      </c>
      <c r="O1746" t="str">
        <f>LOOKUP(N1746,Sheet2!$V$4:$W$7)</f>
        <v>0.0 - 0.249</v>
      </c>
      <c r="P1746" s="1">
        <v>22</v>
      </c>
      <c r="Q1746" t="str">
        <f>LOOKUP(P1746,Sheet2!$Z$4:$AA$7)</f>
        <v>&lt;=25</v>
      </c>
      <c r="R1746" s="1">
        <v>0</v>
      </c>
      <c r="S1746" t="str">
        <f>IF(R1746=1,"Positive","Negative")</f>
        <v>Negative</v>
      </c>
      <c r="T1746" s="1" t="str">
        <f>IFERROR(VLOOKUP(A1746,[1]diabetes_Recognition!$A:$B,2,FALSE),"Not Sampled")</f>
        <v>Not Sampled</v>
      </c>
      <c r="U1746" t="str">
        <f>IF(T1746=1,"Positive",(IF(T1746=0,"Negative","Not Sampled")))</f>
        <v>Not Sampled</v>
      </c>
      <c r="V1746" s="1" t="str">
        <f>IF(U1746="Not Sampled","Not Sampled",IF(S1746=U1746,"Accurate Prediction","Inaccurate Prediction"))</f>
        <v>Not Sampled</v>
      </c>
    </row>
    <row r="1747" spans="1:22" x14ac:dyDescent="0.25">
      <c r="A1747" s="1">
        <v>1745</v>
      </c>
      <c r="B1747" s="1">
        <v>1</v>
      </c>
      <c r="C1747" s="1">
        <f>LOOKUP(B1747,Sheet2!$D$4:$E$9)</f>
        <v>1</v>
      </c>
      <c r="D1747" s="1">
        <v>120</v>
      </c>
      <c r="E1747" t="str">
        <f>LOOKUP(D1747,Sheet2!$G$4:$H$9)</f>
        <v>100-125</v>
      </c>
      <c r="F1747" s="1">
        <v>80</v>
      </c>
      <c r="G1747" t="str">
        <f>LOOKUP(F1747,Sheet2!$J$4:$K$8)</f>
        <v>80+</v>
      </c>
      <c r="H1747" s="1">
        <v>48</v>
      </c>
      <c r="I1747" t="str">
        <f>LOOKUP(H1747,Sheet2!$M$4:$N$8)</f>
        <v>40+</v>
      </c>
      <c r="J1747" s="1">
        <v>200</v>
      </c>
      <c r="K1747" t="str">
        <f>LOOKUP(J1747,Sheet2!$P$4:$Q$9)</f>
        <v>200-399</v>
      </c>
      <c r="L1747" s="1">
        <v>38.9</v>
      </c>
      <c r="M1747" t="str">
        <f>LOOKUP(L1747,Sheet2!$S$4:$T$8)</f>
        <v>36+</v>
      </c>
      <c r="N1747" s="1">
        <v>1.1619999999999999</v>
      </c>
      <c r="O1747" t="str">
        <f>LOOKUP(N1747,Sheet2!$V$4:$W$7)</f>
        <v>0.7+</v>
      </c>
      <c r="P1747" s="1">
        <v>41</v>
      </c>
      <c r="Q1747" t="str">
        <f>LOOKUP(P1747,Sheet2!$Z$4:$AA$7)</f>
        <v>36-45</v>
      </c>
      <c r="R1747" s="1">
        <v>0</v>
      </c>
      <c r="S1747" t="str">
        <f>IF(R1747=1,"Positive","Negative")</f>
        <v>Negative</v>
      </c>
      <c r="T1747" s="1" t="str">
        <f>IFERROR(VLOOKUP(A1747,[1]diabetes_Recognition!$A:$B,2,FALSE),"Not Sampled")</f>
        <v>Not Sampled</v>
      </c>
      <c r="U1747" t="str">
        <f>IF(T1747=1,"Positive",(IF(T1747=0,"Negative","Not Sampled")))</f>
        <v>Not Sampled</v>
      </c>
      <c r="V1747" s="1" t="str">
        <f>IF(U1747="Not Sampled","Not Sampled",IF(S1747=U1747,"Accurate Prediction","Inaccurate Prediction"))</f>
        <v>Not Sampled</v>
      </c>
    </row>
    <row r="1748" spans="1:22" x14ac:dyDescent="0.25">
      <c r="A1748" s="1">
        <v>1746</v>
      </c>
      <c r="B1748" s="1">
        <v>11</v>
      </c>
      <c r="C1748" s="1" t="str">
        <f>LOOKUP(B1748,Sheet2!$D$4:$E$9)</f>
        <v>8+</v>
      </c>
      <c r="D1748" s="1">
        <v>127</v>
      </c>
      <c r="E1748" t="str">
        <f>LOOKUP(D1748,Sheet2!$G$4:$H$9)</f>
        <v>126-150</v>
      </c>
      <c r="F1748" s="1">
        <v>106</v>
      </c>
      <c r="G1748" t="str">
        <f>LOOKUP(F1748,Sheet2!$J$4:$K$8)</f>
        <v>80+</v>
      </c>
      <c r="H1748" s="1">
        <v>0</v>
      </c>
      <c r="I1748" t="str">
        <f>LOOKUP(H1748,Sheet2!$M$4:$N$8)</f>
        <v>Unknown</v>
      </c>
      <c r="J1748" s="1">
        <v>0</v>
      </c>
      <c r="K1748" t="str">
        <f>LOOKUP(J1748,Sheet2!$P$4:$Q$9)</f>
        <v>Unknown</v>
      </c>
      <c r="L1748" s="1">
        <v>39</v>
      </c>
      <c r="M1748" t="str">
        <f>LOOKUP(L1748,Sheet2!$S$4:$T$8)</f>
        <v>36+</v>
      </c>
      <c r="N1748" s="1">
        <v>0.19</v>
      </c>
      <c r="O1748" t="str">
        <f>LOOKUP(N1748,Sheet2!$V$4:$W$7)</f>
        <v>0.0 - 0.249</v>
      </c>
      <c r="P1748" s="1">
        <v>51</v>
      </c>
      <c r="Q1748" t="str">
        <f>LOOKUP(P1748,Sheet2!$Z$4:$AA$7)</f>
        <v>46+</v>
      </c>
      <c r="R1748" s="1">
        <v>0</v>
      </c>
      <c r="S1748" t="str">
        <f>IF(R1748=1,"Positive","Negative")</f>
        <v>Negative</v>
      </c>
      <c r="T1748" s="1" t="str">
        <f>IFERROR(VLOOKUP(A1748,[1]diabetes_Recognition!$A:$B,2,FALSE),"Not Sampled")</f>
        <v>Not Sampled</v>
      </c>
      <c r="U1748" t="str">
        <f>IF(T1748=1,"Positive",(IF(T1748=0,"Negative","Not Sampled")))</f>
        <v>Not Sampled</v>
      </c>
      <c r="V1748" s="1" t="str">
        <f>IF(U1748="Not Sampled","Not Sampled",IF(S1748=U1748,"Accurate Prediction","Inaccurate Prediction"))</f>
        <v>Not Sampled</v>
      </c>
    </row>
    <row r="1749" spans="1:22" x14ac:dyDescent="0.25">
      <c r="A1749" s="1">
        <v>1747</v>
      </c>
      <c r="B1749" s="1">
        <v>3</v>
      </c>
      <c r="C1749" s="1" t="str">
        <f>LOOKUP(B1749,Sheet2!$D$4:$E$9)</f>
        <v>3-4</v>
      </c>
      <c r="D1749" s="1">
        <v>80</v>
      </c>
      <c r="E1749" t="str">
        <f>LOOKUP(D1749,Sheet2!$G$4:$H$9)</f>
        <v>1-99</v>
      </c>
      <c r="F1749" s="1">
        <v>82</v>
      </c>
      <c r="G1749" t="str">
        <f>LOOKUP(F1749,Sheet2!$J$4:$K$8)</f>
        <v>80+</v>
      </c>
      <c r="H1749" s="1">
        <v>31</v>
      </c>
      <c r="I1749" t="str">
        <f>LOOKUP(H1749,Sheet2!$M$4:$N$8)</f>
        <v>30-39</v>
      </c>
      <c r="J1749" s="1">
        <v>70</v>
      </c>
      <c r="K1749" t="str">
        <f>LOOKUP(J1749,Sheet2!$P$4:$Q$9)</f>
        <v>1-99</v>
      </c>
      <c r="L1749" s="1">
        <v>34.200000000000003</v>
      </c>
      <c r="M1749" t="str">
        <f>LOOKUP(L1749,Sheet2!$S$4:$T$8)</f>
        <v>31-35</v>
      </c>
      <c r="N1749" s="1">
        <v>1.292</v>
      </c>
      <c r="O1749" t="str">
        <f>LOOKUP(N1749,Sheet2!$V$4:$W$7)</f>
        <v>0.7+</v>
      </c>
      <c r="P1749" s="1">
        <v>27</v>
      </c>
      <c r="Q1749" t="str">
        <f>LOOKUP(P1749,Sheet2!$Z$4:$AA$7)</f>
        <v>26-35</v>
      </c>
      <c r="R1749" s="1">
        <v>1</v>
      </c>
      <c r="S1749" t="str">
        <f>IF(R1749=1,"Positive","Negative")</f>
        <v>Positive</v>
      </c>
      <c r="T1749" s="1" t="str">
        <f>IFERROR(VLOOKUP(A1749,[1]diabetes_Recognition!$A:$B,2,FALSE),"Not Sampled")</f>
        <v>Not Sampled</v>
      </c>
      <c r="U1749" t="str">
        <f>IF(T1749=1,"Positive",(IF(T1749=0,"Negative","Not Sampled")))</f>
        <v>Not Sampled</v>
      </c>
      <c r="V1749" s="1" t="str">
        <f>IF(U1749="Not Sampled","Not Sampled",IF(S1749=U1749,"Accurate Prediction","Inaccurate Prediction"))</f>
        <v>Not Sampled</v>
      </c>
    </row>
    <row r="1750" spans="1:22" x14ac:dyDescent="0.25">
      <c r="A1750" s="1">
        <v>1748</v>
      </c>
      <c r="B1750" s="1">
        <v>10</v>
      </c>
      <c r="C1750" s="1" t="str">
        <f>LOOKUP(B1750,Sheet2!$D$4:$E$9)</f>
        <v>8+</v>
      </c>
      <c r="D1750" s="1">
        <v>162</v>
      </c>
      <c r="E1750" t="str">
        <f>LOOKUP(D1750,Sheet2!$G$4:$H$9)</f>
        <v>151-175</v>
      </c>
      <c r="F1750" s="1">
        <v>84</v>
      </c>
      <c r="G1750" t="str">
        <f>LOOKUP(F1750,Sheet2!$J$4:$K$8)</f>
        <v>80+</v>
      </c>
      <c r="H1750" s="1">
        <v>0</v>
      </c>
      <c r="I1750" t="str">
        <f>LOOKUP(H1750,Sheet2!$M$4:$N$8)</f>
        <v>Unknown</v>
      </c>
      <c r="J1750" s="1">
        <v>0</v>
      </c>
      <c r="K1750" t="str">
        <f>LOOKUP(J1750,Sheet2!$P$4:$Q$9)</f>
        <v>Unknown</v>
      </c>
      <c r="L1750" s="1">
        <v>27.7</v>
      </c>
      <c r="M1750" t="str">
        <f>LOOKUP(L1750,Sheet2!$S$4:$T$8)</f>
        <v>26-30</v>
      </c>
      <c r="N1750" s="1">
        <v>0.182</v>
      </c>
      <c r="O1750" t="str">
        <f>LOOKUP(N1750,Sheet2!$V$4:$W$7)</f>
        <v>0.0 - 0.249</v>
      </c>
      <c r="P1750" s="1">
        <v>54</v>
      </c>
      <c r="Q1750" t="str">
        <f>LOOKUP(P1750,Sheet2!$Z$4:$AA$7)</f>
        <v>46+</v>
      </c>
      <c r="R1750" s="1">
        <v>0</v>
      </c>
      <c r="S1750" t="str">
        <f>IF(R1750=1,"Positive","Negative")</f>
        <v>Negative</v>
      </c>
      <c r="T1750" s="1" t="str">
        <f>IFERROR(VLOOKUP(A1750,[1]diabetes_Recognition!$A:$B,2,FALSE),"Not Sampled")</f>
        <v>Not Sampled</v>
      </c>
      <c r="U1750" t="str">
        <f>IF(T1750=1,"Positive",(IF(T1750=0,"Negative","Not Sampled")))</f>
        <v>Not Sampled</v>
      </c>
      <c r="V1750" s="1" t="str">
        <f>IF(U1750="Not Sampled","Not Sampled",IF(S1750=U1750,"Accurate Prediction","Inaccurate Prediction"))</f>
        <v>Not Sampled</v>
      </c>
    </row>
    <row r="1751" spans="1:22" x14ac:dyDescent="0.25">
      <c r="A1751" s="1">
        <v>1749</v>
      </c>
      <c r="B1751" s="1">
        <v>1</v>
      </c>
      <c r="C1751" s="1">
        <f>LOOKUP(B1751,Sheet2!$D$4:$E$9)</f>
        <v>1</v>
      </c>
      <c r="D1751" s="1">
        <v>199</v>
      </c>
      <c r="E1751" t="str">
        <f>LOOKUP(D1751,Sheet2!$G$4:$H$9)</f>
        <v>176-200</v>
      </c>
      <c r="F1751" s="1">
        <v>76</v>
      </c>
      <c r="G1751" t="str">
        <f>LOOKUP(F1751,Sheet2!$J$4:$K$8)</f>
        <v>70-79</v>
      </c>
      <c r="H1751" s="1">
        <v>43</v>
      </c>
      <c r="I1751" t="str">
        <f>LOOKUP(H1751,Sheet2!$M$4:$N$8)</f>
        <v>40+</v>
      </c>
      <c r="J1751" s="1">
        <v>0</v>
      </c>
      <c r="K1751" t="str">
        <f>LOOKUP(J1751,Sheet2!$P$4:$Q$9)</f>
        <v>Unknown</v>
      </c>
      <c r="L1751" s="1">
        <v>42.9</v>
      </c>
      <c r="M1751" t="str">
        <f>LOOKUP(L1751,Sheet2!$S$4:$T$8)</f>
        <v>36+</v>
      </c>
      <c r="N1751" s="1">
        <v>1.3939999999999999</v>
      </c>
      <c r="O1751" t="str">
        <f>LOOKUP(N1751,Sheet2!$V$4:$W$7)</f>
        <v>0.7+</v>
      </c>
      <c r="P1751" s="1">
        <v>22</v>
      </c>
      <c r="Q1751" t="str">
        <f>LOOKUP(P1751,Sheet2!$Z$4:$AA$7)</f>
        <v>&lt;=25</v>
      </c>
      <c r="R1751" s="1">
        <v>1</v>
      </c>
      <c r="S1751" t="str">
        <f>IF(R1751=1,"Positive","Negative")</f>
        <v>Positive</v>
      </c>
      <c r="T1751" s="1" t="str">
        <f>IFERROR(VLOOKUP(A1751,[1]diabetes_Recognition!$A:$B,2,FALSE),"Not Sampled")</f>
        <v>Not Sampled</v>
      </c>
      <c r="U1751" t="str">
        <f>IF(T1751=1,"Positive",(IF(T1751=0,"Negative","Not Sampled")))</f>
        <v>Not Sampled</v>
      </c>
      <c r="V1751" s="1" t="str">
        <f>IF(U1751="Not Sampled","Not Sampled",IF(S1751=U1751,"Accurate Prediction","Inaccurate Prediction"))</f>
        <v>Not Sampled</v>
      </c>
    </row>
    <row r="1752" spans="1:22" x14ac:dyDescent="0.25">
      <c r="A1752" s="1">
        <v>1750</v>
      </c>
      <c r="B1752" s="1">
        <v>8</v>
      </c>
      <c r="C1752" s="1" t="str">
        <f>LOOKUP(B1752,Sheet2!$D$4:$E$9)</f>
        <v>8+</v>
      </c>
      <c r="D1752" s="1">
        <v>167</v>
      </c>
      <c r="E1752" t="str">
        <f>LOOKUP(D1752,Sheet2!$G$4:$H$9)</f>
        <v>151-175</v>
      </c>
      <c r="F1752" s="1">
        <v>106</v>
      </c>
      <c r="G1752" t="str">
        <f>LOOKUP(F1752,Sheet2!$J$4:$K$8)</f>
        <v>80+</v>
      </c>
      <c r="H1752" s="1">
        <v>46</v>
      </c>
      <c r="I1752" t="str">
        <f>LOOKUP(H1752,Sheet2!$M$4:$N$8)</f>
        <v>40+</v>
      </c>
      <c r="J1752" s="1">
        <v>231</v>
      </c>
      <c r="K1752" t="str">
        <f>LOOKUP(J1752,Sheet2!$P$4:$Q$9)</f>
        <v>200-399</v>
      </c>
      <c r="L1752" s="1">
        <v>37.6</v>
      </c>
      <c r="M1752" t="str">
        <f>LOOKUP(L1752,Sheet2!$S$4:$T$8)</f>
        <v>36+</v>
      </c>
      <c r="N1752" s="1">
        <v>0.16500000000000001</v>
      </c>
      <c r="O1752" t="str">
        <f>LOOKUP(N1752,Sheet2!$V$4:$W$7)</f>
        <v>0.0 - 0.249</v>
      </c>
      <c r="P1752" s="1">
        <v>43</v>
      </c>
      <c r="Q1752" t="str">
        <f>LOOKUP(P1752,Sheet2!$Z$4:$AA$7)</f>
        <v>36-45</v>
      </c>
      <c r="R1752" s="1">
        <v>1</v>
      </c>
      <c r="S1752" t="str">
        <f>IF(R1752=1,"Positive","Negative")</f>
        <v>Positive</v>
      </c>
      <c r="T1752" s="1">
        <f>IFERROR(VLOOKUP(A1752,[1]diabetes_Recognition!$A:$B,2,FALSE),"Not Sampled")</f>
        <v>1</v>
      </c>
      <c r="U1752" t="str">
        <f>IF(T1752=1,"Positive",(IF(T1752=0,"Negative","Not Sampled")))</f>
        <v>Positive</v>
      </c>
      <c r="V1752" s="1" t="str">
        <f>IF(U1752="Not Sampled","Not Sampled",IF(S1752=U1752,"Accurate Prediction","Inaccurate Prediction"))</f>
        <v>Accurate Prediction</v>
      </c>
    </row>
    <row r="1753" spans="1:22" x14ac:dyDescent="0.25">
      <c r="A1753" s="1">
        <v>1751</v>
      </c>
      <c r="B1753" s="1">
        <v>9</v>
      </c>
      <c r="C1753" s="1" t="str">
        <f>LOOKUP(B1753,Sheet2!$D$4:$E$9)</f>
        <v>8+</v>
      </c>
      <c r="D1753" s="1">
        <v>145</v>
      </c>
      <c r="E1753" t="str">
        <f>LOOKUP(D1753,Sheet2!$G$4:$H$9)</f>
        <v>126-150</v>
      </c>
      <c r="F1753" s="1">
        <v>80</v>
      </c>
      <c r="G1753" t="str">
        <f>LOOKUP(F1753,Sheet2!$J$4:$K$8)</f>
        <v>80+</v>
      </c>
      <c r="H1753" s="1">
        <v>46</v>
      </c>
      <c r="I1753" t="str">
        <f>LOOKUP(H1753,Sheet2!$M$4:$N$8)</f>
        <v>40+</v>
      </c>
      <c r="J1753" s="1">
        <v>130</v>
      </c>
      <c r="K1753" t="str">
        <f>LOOKUP(J1753,Sheet2!$P$4:$Q$9)</f>
        <v>100-199</v>
      </c>
      <c r="L1753" s="1">
        <v>37.9</v>
      </c>
      <c r="M1753" t="str">
        <f>LOOKUP(L1753,Sheet2!$S$4:$T$8)</f>
        <v>36+</v>
      </c>
      <c r="N1753" s="1">
        <v>0.63700000000000001</v>
      </c>
      <c r="O1753" t="str">
        <f>LOOKUP(N1753,Sheet2!$V$4:$W$7)</f>
        <v>0.4 - 0.69</v>
      </c>
      <c r="P1753" s="1">
        <v>40</v>
      </c>
      <c r="Q1753" t="str">
        <f>LOOKUP(P1753,Sheet2!$Z$4:$AA$7)</f>
        <v>36-45</v>
      </c>
      <c r="R1753" s="1">
        <v>1</v>
      </c>
      <c r="S1753" t="str">
        <f>IF(R1753=1,"Positive","Negative")</f>
        <v>Positive</v>
      </c>
      <c r="T1753" s="1" t="str">
        <f>IFERROR(VLOOKUP(A1753,[1]diabetes_Recognition!$A:$B,2,FALSE),"Not Sampled")</f>
        <v>Not Sampled</v>
      </c>
      <c r="U1753" t="str">
        <f>IF(T1753=1,"Positive",(IF(T1753=0,"Negative","Not Sampled")))</f>
        <v>Not Sampled</v>
      </c>
      <c r="V1753" s="1" t="str">
        <f>IF(U1753="Not Sampled","Not Sampled",IF(S1753=U1753,"Accurate Prediction","Inaccurate Prediction"))</f>
        <v>Not Sampled</v>
      </c>
    </row>
    <row r="1754" spans="1:22" x14ac:dyDescent="0.25">
      <c r="A1754" s="1">
        <v>1752</v>
      </c>
      <c r="B1754" s="1">
        <v>6</v>
      </c>
      <c r="C1754" s="1" t="str">
        <f>LOOKUP(B1754,Sheet2!$D$4:$E$9)</f>
        <v>5-7</v>
      </c>
      <c r="D1754" s="1">
        <v>115</v>
      </c>
      <c r="E1754" t="str">
        <f>LOOKUP(D1754,Sheet2!$G$4:$H$9)</f>
        <v>100-125</v>
      </c>
      <c r="F1754" s="1">
        <v>60</v>
      </c>
      <c r="G1754" t="str">
        <f>LOOKUP(F1754,Sheet2!$J$4:$K$8)</f>
        <v>60-69</v>
      </c>
      <c r="H1754" s="1">
        <v>39</v>
      </c>
      <c r="I1754" t="str">
        <f>LOOKUP(H1754,Sheet2!$M$4:$N$8)</f>
        <v>30-39</v>
      </c>
      <c r="J1754" s="1">
        <v>0</v>
      </c>
      <c r="K1754" t="str">
        <f>LOOKUP(J1754,Sheet2!$P$4:$Q$9)</f>
        <v>Unknown</v>
      </c>
      <c r="L1754" s="1">
        <v>33.700000000000003</v>
      </c>
      <c r="M1754" t="str">
        <f>LOOKUP(L1754,Sheet2!$S$4:$T$8)</f>
        <v>31-35</v>
      </c>
      <c r="N1754" s="1">
        <v>0.245</v>
      </c>
      <c r="O1754" t="str">
        <f>LOOKUP(N1754,Sheet2!$V$4:$W$7)</f>
        <v>0.0 - 0.249</v>
      </c>
      <c r="P1754" s="1">
        <v>40</v>
      </c>
      <c r="Q1754" t="str">
        <f>LOOKUP(P1754,Sheet2!$Z$4:$AA$7)</f>
        <v>36-45</v>
      </c>
      <c r="R1754" s="1">
        <v>1</v>
      </c>
      <c r="S1754" t="str">
        <f>IF(R1754=1,"Positive","Negative")</f>
        <v>Positive</v>
      </c>
      <c r="T1754" s="1" t="str">
        <f>IFERROR(VLOOKUP(A1754,[1]diabetes_Recognition!$A:$B,2,FALSE),"Not Sampled")</f>
        <v>Not Sampled</v>
      </c>
      <c r="U1754" t="str">
        <f>IF(T1754=1,"Positive",(IF(T1754=0,"Negative","Not Sampled")))</f>
        <v>Not Sampled</v>
      </c>
      <c r="V1754" s="1" t="str">
        <f>IF(U1754="Not Sampled","Not Sampled",IF(S1754=U1754,"Accurate Prediction","Inaccurate Prediction"))</f>
        <v>Not Sampled</v>
      </c>
    </row>
    <row r="1755" spans="1:22" x14ac:dyDescent="0.25">
      <c r="A1755" s="1">
        <v>1753</v>
      </c>
      <c r="B1755" s="1">
        <v>1</v>
      </c>
      <c r="C1755" s="1">
        <f>LOOKUP(B1755,Sheet2!$D$4:$E$9)</f>
        <v>1</v>
      </c>
      <c r="D1755" s="1">
        <v>112</v>
      </c>
      <c r="E1755" t="str">
        <f>LOOKUP(D1755,Sheet2!$G$4:$H$9)</f>
        <v>100-125</v>
      </c>
      <c r="F1755" s="1">
        <v>80</v>
      </c>
      <c r="G1755" t="str">
        <f>LOOKUP(F1755,Sheet2!$J$4:$K$8)</f>
        <v>80+</v>
      </c>
      <c r="H1755" s="1">
        <v>45</v>
      </c>
      <c r="I1755" t="str">
        <f>LOOKUP(H1755,Sheet2!$M$4:$N$8)</f>
        <v>40+</v>
      </c>
      <c r="J1755" s="1">
        <v>132</v>
      </c>
      <c r="K1755" t="str">
        <f>LOOKUP(J1755,Sheet2!$P$4:$Q$9)</f>
        <v>100-199</v>
      </c>
      <c r="L1755" s="1">
        <v>34.799999999999997</v>
      </c>
      <c r="M1755" t="str">
        <f>LOOKUP(L1755,Sheet2!$S$4:$T$8)</f>
        <v>31-35</v>
      </c>
      <c r="N1755" s="1">
        <v>0.217</v>
      </c>
      <c r="O1755" t="str">
        <f>LOOKUP(N1755,Sheet2!$V$4:$W$7)</f>
        <v>0.0 - 0.249</v>
      </c>
      <c r="P1755" s="1">
        <v>24</v>
      </c>
      <c r="Q1755" t="str">
        <f>LOOKUP(P1755,Sheet2!$Z$4:$AA$7)</f>
        <v>&lt;=25</v>
      </c>
      <c r="R1755" s="1">
        <v>0</v>
      </c>
      <c r="S1755" t="str">
        <f>IF(R1755=1,"Positive","Negative")</f>
        <v>Negative</v>
      </c>
      <c r="T1755" s="1" t="str">
        <f>IFERROR(VLOOKUP(A1755,[1]diabetes_Recognition!$A:$B,2,FALSE),"Not Sampled")</f>
        <v>Not Sampled</v>
      </c>
      <c r="U1755" t="str">
        <f>IF(T1755=1,"Positive",(IF(T1755=0,"Negative","Not Sampled")))</f>
        <v>Not Sampled</v>
      </c>
      <c r="V1755" s="1" t="str">
        <f>IF(U1755="Not Sampled","Not Sampled",IF(S1755=U1755,"Accurate Prediction","Inaccurate Prediction"))</f>
        <v>Not Sampled</v>
      </c>
    </row>
    <row r="1756" spans="1:22" x14ac:dyDescent="0.25">
      <c r="A1756" s="1">
        <v>1754</v>
      </c>
      <c r="B1756" s="1">
        <v>4</v>
      </c>
      <c r="C1756" s="1" t="str">
        <f>LOOKUP(B1756,Sheet2!$D$4:$E$9)</f>
        <v>3-4</v>
      </c>
      <c r="D1756" s="1">
        <v>145</v>
      </c>
      <c r="E1756" t="str">
        <f>LOOKUP(D1756,Sheet2!$G$4:$H$9)</f>
        <v>126-150</v>
      </c>
      <c r="F1756" s="1">
        <v>82</v>
      </c>
      <c r="G1756" t="str">
        <f>LOOKUP(F1756,Sheet2!$J$4:$K$8)</f>
        <v>80+</v>
      </c>
      <c r="H1756" s="1">
        <v>18</v>
      </c>
      <c r="I1756" t="str">
        <f>LOOKUP(H1756,Sheet2!$M$4:$N$8)</f>
        <v>10-30</v>
      </c>
      <c r="J1756" s="1">
        <v>0</v>
      </c>
      <c r="K1756" t="str">
        <f>LOOKUP(J1756,Sheet2!$P$4:$Q$9)</f>
        <v>Unknown</v>
      </c>
      <c r="L1756" s="1">
        <v>32.5</v>
      </c>
      <c r="M1756" t="str">
        <f>LOOKUP(L1756,Sheet2!$S$4:$T$8)</f>
        <v>31-35</v>
      </c>
      <c r="N1756" s="1">
        <v>0.23499999999999999</v>
      </c>
      <c r="O1756" t="str">
        <f>LOOKUP(N1756,Sheet2!$V$4:$W$7)</f>
        <v>0.0 - 0.249</v>
      </c>
      <c r="P1756" s="1">
        <v>70</v>
      </c>
      <c r="Q1756" t="str">
        <f>LOOKUP(P1756,Sheet2!$Z$4:$AA$7)</f>
        <v>46+</v>
      </c>
      <c r="R1756" s="1">
        <v>1</v>
      </c>
      <c r="S1756" t="str">
        <f>IF(R1756=1,"Positive","Negative")</f>
        <v>Positive</v>
      </c>
      <c r="T1756" s="1">
        <f>IFERROR(VLOOKUP(A1756,[1]diabetes_Recognition!$A:$B,2,FALSE),"Not Sampled")</f>
        <v>1</v>
      </c>
      <c r="U1756" t="str">
        <f>IF(T1756=1,"Positive",(IF(T1756=0,"Negative","Not Sampled")))</f>
        <v>Positive</v>
      </c>
      <c r="V1756" s="1" t="str">
        <f>IF(U1756="Not Sampled","Not Sampled",IF(S1756=U1756,"Accurate Prediction","Inaccurate Prediction"))</f>
        <v>Accurate Prediction</v>
      </c>
    </row>
    <row r="1757" spans="1:22" x14ac:dyDescent="0.25">
      <c r="A1757" s="1">
        <v>1755</v>
      </c>
      <c r="B1757" s="1">
        <v>10</v>
      </c>
      <c r="C1757" s="1" t="str">
        <f>LOOKUP(B1757,Sheet2!$D$4:$E$9)</f>
        <v>8+</v>
      </c>
      <c r="D1757" s="1">
        <v>111</v>
      </c>
      <c r="E1757" t="str">
        <f>LOOKUP(D1757,Sheet2!$G$4:$H$9)</f>
        <v>100-125</v>
      </c>
      <c r="F1757" s="1">
        <v>70</v>
      </c>
      <c r="G1757" t="str">
        <f>LOOKUP(F1757,Sheet2!$J$4:$K$8)</f>
        <v>70-79</v>
      </c>
      <c r="H1757" s="1">
        <v>27</v>
      </c>
      <c r="I1757" t="str">
        <f>LOOKUP(H1757,Sheet2!$M$4:$N$8)</f>
        <v>10-30</v>
      </c>
      <c r="J1757" s="1">
        <v>0</v>
      </c>
      <c r="K1757" t="str">
        <f>LOOKUP(J1757,Sheet2!$P$4:$Q$9)</f>
        <v>Unknown</v>
      </c>
      <c r="L1757" s="1">
        <v>27.5</v>
      </c>
      <c r="M1757" t="str">
        <f>LOOKUP(L1757,Sheet2!$S$4:$T$8)</f>
        <v>26-30</v>
      </c>
      <c r="N1757" s="1">
        <v>0.14099999999999999</v>
      </c>
      <c r="O1757" t="str">
        <f>LOOKUP(N1757,Sheet2!$V$4:$W$7)</f>
        <v>0.0 - 0.249</v>
      </c>
      <c r="P1757" s="1">
        <v>40</v>
      </c>
      <c r="Q1757" t="str">
        <f>LOOKUP(P1757,Sheet2!$Z$4:$AA$7)</f>
        <v>36-45</v>
      </c>
      <c r="R1757" s="1">
        <v>1</v>
      </c>
      <c r="S1757" t="str">
        <f>IF(R1757=1,"Positive","Negative")</f>
        <v>Positive</v>
      </c>
      <c r="T1757" s="1" t="str">
        <f>IFERROR(VLOOKUP(A1757,[1]diabetes_Recognition!$A:$B,2,FALSE),"Not Sampled")</f>
        <v>Not Sampled</v>
      </c>
      <c r="U1757" t="str">
        <f>IF(T1757=1,"Positive",(IF(T1757=0,"Negative","Not Sampled")))</f>
        <v>Not Sampled</v>
      </c>
      <c r="V1757" s="1" t="str">
        <f>IF(U1757="Not Sampled","Not Sampled",IF(S1757=U1757,"Accurate Prediction","Inaccurate Prediction"))</f>
        <v>Not Sampled</v>
      </c>
    </row>
    <row r="1758" spans="1:22" x14ac:dyDescent="0.25">
      <c r="A1758" s="1">
        <v>1756</v>
      </c>
      <c r="B1758" s="1">
        <v>6</v>
      </c>
      <c r="C1758" s="1" t="str">
        <f>LOOKUP(B1758,Sheet2!$D$4:$E$9)</f>
        <v>5-7</v>
      </c>
      <c r="D1758" s="1">
        <v>98</v>
      </c>
      <c r="E1758" t="str">
        <f>LOOKUP(D1758,Sheet2!$G$4:$H$9)</f>
        <v>1-99</v>
      </c>
      <c r="F1758" s="1">
        <v>58</v>
      </c>
      <c r="G1758" t="str">
        <f>LOOKUP(F1758,Sheet2!$J$4:$K$8)</f>
        <v>1-59</v>
      </c>
      <c r="H1758" s="1">
        <v>33</v>
      </c>
      <c r="I1758" t="str">
        <f>LOOKUP(H1758,Sheet2!$M$4:$N$8)</f>
        <v>30-39</v>
      </c>
      <c r="J1758" s="1">
        <v>190</v>
      </c>
      <c r="K1758" t="str">
        <f>LOOKUP(J1758,Sheet2!$P$4:$Q$9)</f>
        <v>100-199</v>
      </c>
      <c r="L1758" s="1">
        <v>34</v>
      </c>
      <c r="M1758" t="str">
        <f>LOOKUP(L1758,Sheet2!$S$4:$T$8)</f>
        <v>31-35</v>
      </c>
      <c r="N1758" s="1">
        <v>0.43</v>
      </c>
      <c r="O1758" t="str">
        <f>LOOKUP(N1758,Sheet2!$V$4:$W$7)</f>
        <v>0.4 - 0.69</v>
      </c>
      <c r="P1758" s="1">
        <v>43</v>
      </c>
      <c r="Q1758" t="str">
        <f>LOOKUP(P1758,Sheet2!$Z$4:$AA$7)</f>
        <v>36-45</v>
      </c>
      <c r="R1758" s="1">
        <v>0</v>
      </c>
      <c r="S1758" t="str">
        <f>IF(R1758=1,"Positive","Negative")</f>
        <v>Negative</v>
      </c>
      <c r="T1758" s="1" t="str">
        <f>IFERROR(VLOOKUP(A1758,[1]diabetes_Recognition!$A:$B,2,FALSE),"Not Sampled")</f>
        <v>Not Sampled</v>
      </c>
      <c r="U1758" t="str">
        <f>IF(T1758=1,"Positive",(IF(T1758=0,"Negative","Not Sampled")))</f>
        <v>Not Sampled</v>
      </c>
      <c r="V1758" s="1" t="str">
        <f>IF(U1758="Not Sampled","Not Sampled",IF(S1758=U1758,"Accurate Prediction","Inaccurate Prediction"))</f>
        <v>Not Sampled</v>
      </c>
    </row>
    <row r="1759" spans="1:22" x14ac:dyDescent="0.25">
      <c r="A1759" s="1">
        <v>1757</v>
      </c>
      <c r="B1759" s="1">
        <v>9</v>
      </c>
      <c r="C1759" s="1" t="str">
        <f>LOOKUP(B1759,Sheet2!$D$4:$E$9)</f>
        <v>8+</v>
      </c>
      <c r="D1759" s="1">
        <v>154</v>
      </c>
      <c r="E1759" t="str">
        <f>LOOKUP(D1759,Sheet2!$G$4:$H$9)</f>
        <v>151-175</v>
      </c>
      <c r="F1759" s="1">
        <v>78</v>
      </c>
      <c r="G1759" t="str">
        <f>LOOKUP(F1759,Sheet2!$J$4:$K$8)</f>
        <v>70-79</v>
      </c>
      <c r="H1759" s="1">
        <v>30</v>
      </c>
      <c r="I1759" t="str">
        <f>LOOKUP(H1759,Sheet2!$M$4:$N$8)</f>
        <v>30-39</v>
      </c>
      <c r="J1759" s="1">
        <v>100</v>
      </c>
      <c r="K1759" t="str">
        <f>LOOKUP(J1759,Sheet2!$P$4:$Q$9)</f>
        <v>100-199</v>
      </c>
      <c r="L1759" s="1">
        <v>30.9</v>
      </c>
      <c r="M1759" t="str">
        <f>LOOKUP(L1759,Sheet2!$S$4:$T$8)</f>
        <v>26-30</v>
      </c>
      <c r="N1759" s="1">
        <v>0.16400000000000001</v>
      </c>
      <c r="O1759" t="str">
        <f>LOOKUP(N1759,Sheet2!$V$4:$W$7)</f>
        <v>0.0 - 0.249</v>
      </c>
      <c r="P1759" s="1">
        <v>45</v>
      </c>
      <c r="Q1759" t="str">
        <f>LOOKUP(P1759,Sheet2!$Z$4:$AA$7)</f>
        <v>36-45</v>
      </c>
      <c r="R1759" s="1">
        <v>0</v>
      </c>
      <c r="S1759" t="str">
        <f>IF(R1759=1,"Positive","Negative")</f>
        <v>Negative</v>
      </c>
      <c r="T1759" s="1">
        <f>IFERROR(VLOOKUP(A1759,[1]diabetes_Recognition!$A:$B,2,FALSE),"Not Sampled")</f>
        <v>1</v>
      </c>
      <c r="U1759" t="str">
        <f>IF(T1759=1,"Positive",(IF(T1759=0,"Negative","Not Sampled")))</f>
        <v>Positive</v>
      </c>
      <c r="V1759" s="1" t="str">
        <f>IF(U1759="Not Sampled","Not Sampled",IF(S1759=U1759,"Accurate Prediction","Inaccurate Prediction"))</f>
        <v>Inaccurate Prediction</v>
      </c>
    </row>
    <row r="1760" spans="1:22" x14ac:dyDescent="0.25">
      <c r="A1760" s="1">
        <v>1758</v>
      </c>
      <c r="B1760" s="1">
        <v>6</v>
      </c>
      <c r="C1760" s="1" t="str">
        <f>LOOKUP(B1760,Sheet2!$D$4:$E$9)</f>
        <v>5-7</v>
      </c>
      <c r="D1760" s="1">
        <v>165</v>
      </c>
      <c r="E1760" t="str">
        <f>LOOKUP(D1760,Sheet2!$G$4:$H$9)</f>
        <v>151-175</v>
      </c>
      <c r="F1760" s="1">
        <v>68</v>
      </c>
      <c r="G1760" t="str">
        <f>LOOKUP(F1760,Sheet2!$J$4:$K$8)</f>
        <v>60-69</v>
      </c>
      <c r="H1760" s="1">
        <v>26</v>
      </c>
      <c r="I1760" t="str">
        <f>LOOKUP(H1760,Sheet2!$M$4:$N$8)</f>
        <v>10-30</v>
      </c>
      <c r="J1760" s="1">
        <v>168</v>
      </c>
      <c r="K1760" t="str">
        <f>LOOKUP(J1760,Sheet2!$P$4:$Q$9)</f>
        <v>100-199</v>
      </c>
      <c r="L1760" s="1">
        <v>33.6</v>
      </c>
      <c r="M1760" t="str">
        <f>LOOKUP(L1760,Sheet2!$S$4:$T$8)</f>
        <v>31-35</v>
      </c>
      <c r="N1760" s="1">
        <v>0.63100000000000001</v>
      </c>
      <c r="O1760" t="str">
        <f>LOOKUP(N1760,Sheet2!$V$4:$W$7)</f>
        <v>0.4 - 0.69</v>
      </c>
      <c r="P1760" s="1">
        <v>49</v>
      </c>
      <c r="Q1760" t="str">
        <f>LOOKUP(P1760,Sheet2!$Z$4:$AA$7)</f>
        <v>46+</v>
      </c>
      <c r="R1760" s="1">
        <v>0</v>
      </c>
      <c r="S1760" t="str">
        <f>IF(R1760=1,"Positive","Negative")</f>
        <v>Negative</v>
      </c>
      <c r="T1760" s="1" t="str">
        <f>IFERROR(VLOOKUP(A1760,[1]diabetes_Recognition!$A:$B,2,FALSE),"Not Sampled")</f>
        <v>Not Sampled</v>
      </c>
      <c r="U1760" t="str">
        <f>IF(T1760=1,"Positive",(IF(T1760=0,"Negative","Not Sampled")))</f>
        <v>Not Sampled</v>
      </c>
      <c r="V1760" s="1" t="str">
        <f>IF(U1760="Not Sampled","Not Sampled",IF(S1760=U1760,"Accurate Prediction","Inaccurate Prediction"))</f>
        <v>Not Sampled</v>
      </c>
    </row>
    <row r="1761" spans="1:22" x14ac:dyDescent="0.25">
      <c r="A1761" s="1">
        <v>1759</v>
      </c>
      <c r="B1761" s="1">
        <v>1</v>
      </c>
      <c r="C1761" s="1">
        <f>LOOKUP(B1761,Sheet2!$D$4:$E$9)</f>
        <v>1</v>
      </c>
      <c r="D1761" s="1">
        <v>99</v>
      </c>
      <c r="E1761" t="str">
        <f>LOOKUP(D1761,Sheet2!$G$4:$H$9)</f>
        <v>1-99</v>
      </c>
      <c r="F1761" s="1">
        <v>58</v>
      </c>
      <c r="G1761" t="str">
        <f>LOOKUP(F1761,Sheet2!$J$4:$K$8)</f>
        <v>1-59</v>
      </c>
      <c r="H1761" s="1">
        <v>10</v>
      </c>
      <c r="I1761" t="str">
        <f>LOOKUP(H1761,Sheet2!$M$4:$N$8)</f>
        <v>10-30</v>
      </c>
      <c r="J1761" s="1">
        <v>0</v>
      </c>
      <c r="K1761" t="str">
        <f>LOOKUP(J1761,Sheet2!$P$4:$Q$9)</f>
        <v>Unknown</v>
      </c>
      <c r="L1761" s="1">
        <v>25.4</v>
      </c>
      <c r="M1761" t="str">
        <f>LOOKUP(L1761,Sheet2!$S$4:$T$8)</f>
        <v>1-25</v>
      </c>
      <c r="N1761" s="1">
        <v>0.55100000000000005</v>
      </c>
      <c r="O1761" t="str">
        <f>LOOKUP(N1761,Sheet2!$V$4:$W$7)</f>
        <v>0.4 - 0.69</v>
      </c>
      <c r="P1761" s="1">
        <v>21</v>
      </c>
      <c r="Q1761" t="str">
        <f>LOOKUP(P1761,Sheet2!$Z$4:$AA$7)</f>
        <v>&lt;=25</v>
      </c>
      <c r="R1761" s="1">
        <v>0</v>
      </c>
      <c r="S1761" t="str">
        <f>IF(R1761=1,"Positive","Negative")</f>
        <v>Negative</v>
      </c>
      <c r="T1761" s="1" t="str">
        <f>IFERROR(VLOOKUP(A1761,[1]diabetes_Recognition!$A:$B,2,FALSE),"Not Sampled")</f>
        <v>Not Sampled</v>
      </c>
      <c r="U1761" t="str">
        <f>IF(T1761=1,"Positive",(IF(T1761=0,"Negative","Not Sampled")))</f>
        <v>Not Sampled</v>
      </c>
      <c r="V1761" s="1" t="str">
        <f>IF(U1761="Not Sampled","Not Sampled",IF(S1761=U1761,"Accurate Prediction","Inaccurate Prediction"))</f>
        <v>Not Sampled</v>
      </c>
    </row>
    <row r="1762" spans="1:22" x14ac:dyDescent="0.25">
      <c r="A1762" s="1">
        <v>1760</v>
      </c>
      <c r="B1762" s="1">
        <v>10</v>
      </c>
      <c r="C1762" s="1" t="str">
        <f>LOOKUP(B1762,Sheet2!$D$4:$E$9)</f>
        <v>8+</v>
      </c>
      <c r="D1762" s="1">
        <v>68</v>
      </c>
      <c r="E1762" t="str">
        <f>LOOKUP(D1762,Sheet2!$G$4:$H$9)</f>
        <v>1-99</v>
      </c>
      <c r="F1762" s="1">
        <v>106</v>
      </c>
      <c r="G1762" t="str">
        <f>LOOKUP(F1762,Sheet2!$J$4:$K$8)</f>
        <v>80+</v>
      </c>
      <c r="H1762" s="1">
        <v>23</v>
      </c>
      <c r="I1762" t="str">
        <f>LOOKUP(H1762,Sheet2!$M$4:$N$8)</f>
        <v>10-30</v>
      </c>
      <c r="J1762" s="1">
        <v>49</v>
      </c>
      <c r="K1762" t="str">
        <f>LOOKUP(J1762,Sheet2!$P$4:$Q$9)</f>
        <v>1-99</v>
      </c>
      <c r="L1762" s="1">
        <v>35.5</v>
      </c>
      <c r="M1762" t="str">
        <f>LOOKUP(L1762,Sheet2!$S$4:$T$8)</f>
        <v>31-35</v>
      </c>
      <c r="N1762" s="1">
        <v>0.28499999999999998</v>
      </c>
      <c r="O1762" t="str">
        <f>LOOKUP(N1762,Sheet2!$V$4:$W$7)</f>
        <v>0.25 - 0.39</v>
      </c>
      <c r="P1762" s="1">
        <v>47</v>
      </c>
      <c r="Q1762" t="str">
        <f>LOOKUP(P1762,Sheet2!$Z$4:$AA$7)</f>
        <v>46+</v>
      </c>
      <c r="R1762" s="1">
        <v>0</v>
      </c>
      <c r="S1762" t="str">
        <f>IF(R1762=1,"Positive","Negative")</f>
        <v>Negative</v>
      </c>
      <c r="T1762" s="1" t="str">
        <f>IFERROR(VLOOKUP(A1762,[1]diabetes_Recognition!$A:$B,2,FALSE),"Not Sampled")</f>
        <v>Not Sampled</v>
      </c>
      <c r="U1762" t="str">
        <f>IF(T1762=1,"Positive",(IF(T1762=0,"Negative","Not Sampled")))</f>
        <v>Not Sampled</v>
      </c>
      <c r="V1762" s="1" t="str">
        <f>IF(U1762="Not Sampled","Not Sampled",IF(S1762=U1762,"Accurate Prediction","Inaccurate Prediction"))</f>
        <v>Not Sampled</v>
      </c>
    </row>
    <row r="1763" spans="1:22" x14ac:dyDescent="0.25">
      <c r="A1763" s="1">
        <v>1761</v>
      </c>
      <c r="B1763" s="1">
        <v>3</v>
      </c>
      <c r="C1763" s="1" t="str">
        <f>LOOKUP(B1763,Sheet2!$D$4:$E$9)</f>
        <v>3-4</v>
      </c>
      <c r="D1763" s="1">
        <v>123</v>
      </c>
      <c r="E1763" t="str">
        <f>LOOKUP(D1763,Sheet2!$G$4:$H$9)</f>
        <v>100-125</v>
      </c>
      <c r="F1763" s="1">
        <v>100</v>
      </c>
      <c r="G1763" t="str">
        <f>LOOKUP(F1763,Sheet2!$J$4:$K$8)</f>
        <v>80+</v>
      </c>
      <c r="H1763" s="1">
        <v>35</v>
      </c>
      <c r="I1763" t="str">
        <f>LOOKUP(H1763,Sheet2!$M$4:$N$8)</f>
        <v>30-39</v>
      </c>
      <c r="J1763" s="1">
        <v>240</v>
      </c>
      <c r="K1763" t="str">
        <f>LOOKUP(J1763,Sheet2!$P$4:$Q$9)</f>
        <v>200-399</v>
      </c>
      <c r="L1763" s="1">
        <v>57.3</v>
      </c>
      <c r="M1763" t="str">
        <f>LOOKUP(L1763,Sheet2!$S$4:$T$8)</f>
        <v>36+</v>
      </c>
      <c r="N1763" s="1">
        <v>0.88</v>
      </c>
      <c r="O1763" t="str">
        <f>LOOKUP(N1763,Sheet2!$V$4:$W$7)</f>
        <v>0.7+</v>
      </c>
      <c r="P1763" s="1">
        <v>22</v>
      </c>
      <c r="Q1763" t="str">
        <f>LOOKUP(P1763,Sheet2!$Z$4:$AA$7)</f>
        <v>&lt;=25</v>
      </c>
      <c r="R1763" s="1">
        <v>0</v>
      </c>
      <c r="S1763" t="str">
        <f>IF(R1763=1,"Positive","Negative")</f>
        <v>Negative</v>
      </c>
      <c r="T1763" s="1">
        <f>IFERROR(VLOOKUP(A1763,[1]diabetes_Recognition!$A:$B,2,FALSE),"Not Sampled")</f>
        <v>1</v>
      </c>
      <c r="U1763" t="str">
        <f>IF(T1763=1,"Positive",(IF(T1763=0,"Negative","Not Sampled")))</f>
        <v>Positive</v>
      </c>
      <c r="V1763" s="1" t="str">
        <f>IF(U1763="Not Sampled","Not Sampled",IF(S1763=U1763,"Accurate Prediction","Inaccurate Prediction"))</f>
        <v>Inaccurate Prediction</v>
      </c>
    </row>
    <row r="1764" spans="1:22" x14ac:dyDescent="0.25">
      <c r="A1764" s="1">
        <v>1762</v>
      </c>
      <c r="B1764" s="1">
        <v>8</v>
      </c>
      <c r="C1764" s="1" t="str">
        <f>LOOKUP(B1764,Sheet2!$D$4:$E$9)</f>
        <v>8+</v>
      </c>
      <c r="D1764" s="1">
        <v>91</v>
      </c>
      <c r="E1764" t="str">
        <f>LOOKUP(D1764,Sheet2!$G$4:$H$9)</f>
        <v>1-99</v>
      </c>
      <c r="F1764" s="1">
        <v>82</v>
      </c>
      <c r="G1764" t="str">
        <f>LOOKUP(F1764,Sheet2!$J$4:$K$8)</f>
        <v>80+</v>
      </c>
      <c r="H1764" s="1">
        <v>0</v>
      </c>
      <c r="I1764" t="str">
        <f>LOOKUP(H1764,Sheet2!$M$4:$N$8)</f>
        <v>Unknown</v>
      </c>
      <c r="J1764" s="1">
        <v>0</v>
      </c>
      <c r="K1764" t="str">
        <f>LOOKUP(J1764,Sheet2!$P$4:$Q$9)</f>
        <v>Unknown</v>
      </c>
      <c r="L1764" s="1">
        <v>35.6</v>
      </c>
      <c r="M1764" t="str">
        <f>LOOKUP(L1764,Sheet2!$S$4:$T$8)</f>
        <v>31-35</v>
      </c>
      <c r="N1764" s="1">
        <v>0.58699999999999997</v>
      </c>
      <c r="O1764" t="str">
        <f>LOOKUP(N1764,Sheet2!$V$4:$W$7)</f>
        <v>0.4 - 0.69</v>
      </c>
      <c r="P1764" s="1">
        <v>68</v>
      </c>
      <c r="Q1764" t="str">
        <f>LOOKUP(P1764,Sheet2!$Z$4:$AA$7)</f>
        <v>46+</v>
      </c>
      <c r="R1764" s="1">
        <v>0</v>
      </c>
      <c r="S1764" t="str">
        <f>IF(R1764=1,"Positive","Negative")</f>
        <v>Negative</v>
      </c>
      <c r="T1764" s="1" t="str">
        <f>IFERROR(VLOOKUP(A1764,[1]diabetes_Recognition!$A:$B,2,FALSE),"Not Sampled")</f>
        <v>Not Sampled</v>
      </c>
      <c r="U1764" t="str">
        <f>IF(T1764=1,"Positive",(IF(T1764=0,"Negative","Not Sampled")))</f>
        <v>Not Sampled</v>
      </c>
      <c r="V1764" s="1" t="str">
        <f>IF(U1764="Not Sampled","Not Sampled",IF(S1764=U1764,"Accurate Prediction","Inaccurate Prediction"))</f>
        <v>Not Sampled</v>
      </c>
    </row>
    <row r="1765" spans="1:22" x14ac:dyDescent="0.25">
      <c r="A1765" s="1">
        <v>1763</v>
      </c>
      <c r="B1765" s="1">
        <v>6</v>
      </c>
      <c r="C1765" s="1" t="str">
        <f>LOOKUP(B1765,Sheet2!$D$4:$E$9)</f>
        <v>5-7</v>
      </c>
      <c r="D1765" s="1">
        <v>195</v>
      </c>
      <c r="E1765" t="str">
        <f>LOOKUP(D1765,Sheet2!$G$4:$H$9)</f>
        <v>176-200</v>
      </c>
      <c r="F1765" s="1">
        <v>70</v>
      </c>
      <c r="G1765" t="str">
        <f>LOOKUP(F1765,Sheet2!$J$4:$K$8)</f>
        <v>70-79</v>
      </c>
      <c r="H1765" s="1">
        <v>0</v>
      </c>
      <c r="I1765" t="str">
        <f>LOOKUP(H1765,Sheet2!$M$4:$N$8)</f>
        <v>Unknown</v>
      </c>
      <c r="J1765" s="1">
        <v>0</v>
      </c>
      <c r="K1765" t="str">
        <f>LOOKUP(J1765,Sheet2!$P$4:$Q$9)</f>
        <v>Unknown</v>
      </c>
      <c r="L1765" s="1">
        <v>30.9</v>
      </c>
      <c r="M1765" t="str">
        <f>LOOKUP(L1765,Sheet2!$S$4:$T$8)</f>
        <v>26-30</v>
      </c>
      <c r="N1765" s="1">
        <v>0.32800000000000001</v>
      </c>
      <c r="O1765" t="str">
        <f>LOOKUP(N1765,Sheet2!$V$4:$W$7)</f>
        <v>0.25 - 0.39</v>
      </c>
      <c r="P1765" s="1">
        <v>31</v>
      </c>
      <c r="Q1765" t="str">
        <f>LOOKUP(P1765,Sheet2!$Z$4:$AA$7)</f>
        <v>26-35</v>
      </c>
      <c r="R1765" s="1">
        <v>1</v>
      </c>
      <c r="S1765" t="str">
        <f>IF(R1765=1,"Positive","Negative")</f>
        <v>Positive</v>
      </c>
      <c r="T1765" s="1" t="str">
        <f>IFERROR(VLOOKUP(A1765,[1]diabetes_Recognition!$A:$B,2,FALSE),"Not Sampled")</f>
        <v>Not Sampled</v>
      </c>
      <c r="U1765" t="str">
        <f>IF(T1765=1,"Positive",(IF(T1765=0,"Negative","Not Sampled")))</f>
        <v>Not Sampled</v>
      </c>
      <c r="V1765" s="1" t="str">
        <f>IF(U1765="Not Sampled","Not Sampled",IF(S1765=U1765,"Accurate Prediction","Inaccurate Prediction"))</f>
        <v>Not Sampled</v>
      </c>
    </row>
    <row r="1766" spans="1:22" x14ac:dyDescent="0.25">
      <c r="A1766" s="1">
        <v>1764</v>
      </c>
      <c r="B1766" s="1">
        <v>9</v>
      </c>
      <c r="C1766" s="1" t="str">
        <f>LOOKUP(B1766,Sheet2!$D$4:$E$9)</f>
        <v>8+</v>
      </c>
      <c r="D1766" s="1">
        <v>156</v>
      </c>
      <c r="E1766" t="str">
        <f>LOOKUP(D1766,Sheet2!$G$4:$H$9)</f>
        <v>151-175</v>
      </c>
      <c r="F1766" s="1">
        <v>86</v>
      </c>
      <c r="G1766" t="str">
        <f>LOOKUP(F1766,Sheet2!$J$4:$K$8)</f>
        <v>80+</v>
      </c>
      <c r="H1766" s="1">
        <v>0</v>
      </c>
      <c r="I1766" t="str">
        <f>LOOKUP(H1766,Sheet2!$M$4:$N$8)</f>
        <v>Unknown</v>
      </c>
      <c r="J1766" s="1">
        <v>0</v>
      </c>
      <c r="K1766" t="str">
        <f>LOOKUP(J1766,Sheet2!$P$4:$Q$9)</f>
        <v>Unknown</v>
      </c>
      <c r="L1766" s="1">
        <v>24.8</v>
      </c>
      <c r="M1766" t="str">
        <f>LOOKUP(L1766,Sheet2!$S$4:$T$8)</f>
        <v>1-25</v>
      </c>
      <c r="N1766" s="1">
        <v>0.23</v>
      </c>
      <c r="O1766" t="str">
        <f>LOOKUP(N1766,Sheet2!$V$4:$W$7)</f>
        <v>0.0 - 0.249</v>
      </c>
      <c r="P1766" s="1">
        <v>53</v>
      </c>
      <c r="Q1766" t="str">
        <f>LOOKUP(P1766,Sheet2!$Z$4:$AA$7)</f>
        <v>46+</v>
      </c>
      <c r="R1766" s="1">
        <v>1</v>
      </c>
      <c r="S1766" t="str">
        <f>IF(R1766=1,"Positive","Negative")</f>
        <v>Positive</v>
      </c>
      <c r="T1766" s="1" t="str">
        <f>IFERROR(VLOOKUP(A1766,[1]diabetes_Recognition!$A:$B,2,FALSE),"Not Sampled")</f>
        <v>Not Sampled</v>
      </c>
      <c r="U1766" t="str">
        <f>IF(T1766=1,"Positive",(IF(T1766=0,"Negative","Not Sampled")))</f>
        <v>Not Sampled</v>
      </c>
      <c r="V1766" s="1" t="str">
        <f>IF(U1766="Not Sampled","Not Sampled",IF(S1766=U1766,"Accurate Prediction","Inaccurate Prediction"))</f>
        <v>Not Sampled</v>
      </c>
    </row>
    <row r="1767" spans="1:22" x14ac:dyDescent="0.25">
      <c r="A1767" s="1">
        <v>1765</v>
      </c>
      <c r="B1767" s="1">
        <v>0</v>
      </c>
      <c r="C1767" s="1">
        <f>LOOKUP(B1767,Sheet2!$D$4:$E$9)</f>
        <v>0</v>
      </c>
      <c r="D1767" s="1">
        <v>93</v>
      </c>
      <c r="E1767" t="str">
        <f>LOOKUP(D1767,Sheet2!$G$4:$H$9)</f>
        <v>1-99</v>
      </c>
      <c r="F1767" s="1">
        <v>60</v>
      </c>
      <c r="G1767" t="str">
        <f>LOOKUP(F1767,Sheet2!$J$4:$K$8)</f>
        <v>60-69</v>
      </c>
      <c r="H1767" s="1">
        <v>0</v>
      </c>
      <c r="I1767" t="str">
        <f>LOOKUP(H1767,Sheet2!$M$4:$N$8)</f>
        <v>Unknown</v>
      </c>
      <c r="J1767" s="1">
        <v>0</v>
      </c>
      <c r="K1767" t="str">
        <f>LOOKUP(J1767,Sheet2!$P$4:$Q$9)</f>
        <v>Unknown</v>
      </c>
      <c r="L1767" s="1">
        <v>35.299999999999997</v>
      </c>
      <c r="M1767" t="str">
        <f>LOOKUP(L1767,Sheet2!$S$4:$T$8)</f>
        <v>31-35</v>
      </c>
      <c r="N1767" s="1">
        <v>0.26300000000000001</v>
      </c>
      <c r="O1767" t="str">
        <f>LOOKUP(N1767,Sheet2!$V$4:$W$7)</f>
        <v>0.25 - 0.39</v>
      </c>
      <c r="P1767" s="1">
        <v>25</v>
      </c>
      <c r="Q1767" t="str">
        <f>LOOKUP(P1767,Sheet2!$Z$4:$AA$7)</f>
        <v>&lt;=25</v>
      </c>
      <c r="R1767" s="1">
        <v>0</v>
      </c>
      <c r="S1767" t="str">
        <f>IF(R1767=1,"Positive","Negative")</f>
        <v>Negative</v>
      </c>
      <c r="T1767" s="1" t="str">
        <f>IFERROR(VLOOKUP(A1767,[1]diabetes_Recognition!$A:$B,2,FALSE),"Not Sampled")</f>
        <v>Not Sampled</v>
      </c>
      <c r="U1767" t="str">
        <f>IF(T1767=1,"Positive",(IF(T1767=0,"Negative","Not Sampled")))</f>
        <v>Not Sampled</v>
      </c>
      <c r="V1767" s="1" t="str">
        <f>IF(U1767="Not Sampled","Not Sampled",IF(S1767=U1767,"Accurate Prediction","Inaccurate Prediction"))</f>
        <v>Not Sampled</v>
      </c>
    </row>
    <row r="1768" spans="1:22" x14ac:dyDescent="0.25">
      <c r="A1768" s="1">
        <v>1766</v>
      </c>
      <c r="B1768" s="1">
        <v>3</v>
      </c>
      <c r="C1768" s="1" t="str">
        <f>LOOKUP(B1768,Sheet2!$D$4:$E$9)</f>
        <v>3-4</v>
      </c>
      <c r="D1768" s="1">
        <v>121</v>
      </c>
      <c r="E1768" t="str">
        <f>LOOKUP(D1768,Sheet2!$G$4:$H$9)</f>
        <v>100-125</v>
      </c>
      <c r="F1768" s="1">
        <v>52</v>
      </c>
      <c r="G1768" t="str">
        <f>LOOKUP(F1768,Sheet2!$J$4:$K$8)</f>
        <v>1-59</v>
      </c>
      <c r="H1768" s="1">
        <v>0</v>
      </c>
      <c r="I1768" t="str">
        <f>LOOKUP(H1768,Sheet2!$M$4:$N$8)</f>
        <v>Unknown</v>
      </c>
      <c r="J1768" s="1">
        <v>0</v>
      </c>
      <c r="K1768" t="str">
        <f>LOOKUP(J1768,Sheet2!$P$4:$Q$9)</f>
        <v>Unknown</v>
      </c>
      <c r="L1768" s="1">
        <v>36</v>
      </c>
      <c r="M1768" t="str">
        <f>LOOKUP(L1768,Sheet2!$S$4:$T$8)</f>
        <v>36+</v>
      </c>
      <c r="N1768" s="1">
        <v>0.127</v>
      </c>
      <c r="O1768" t="str">
        <f>LOOKUP(N1768,Sheet2!$V$4:$W$7)</f>
        <v>0.0 - 0.249</v>
      </c>
      <c r="P1768" s="1">
        <v>25</v>
      </c>
      <c r="Q1768" t="str">
        <f>LOOKUP(P1768,Sheet2!$Z$4:$AA$7)</f>
        <v>&lt;=25</v>
      </c>
      <c r="R1768" s="1">
        <v>1</v>
      </c>
      <c r="S1768" t="str">
        <f>IF(R1768=1,"Positive","Negative")</f>
        <v>Positive</v>
      </c>
      <c r="T1768" s="1" t="str">
        <f>IFERROR(VLOOKUP(A1768,[1]diabetes_Recognition!$A:$B,2,FALSE),"Not Sampled")</f>
        <v>Not Sampled</v>
      </c>
      <c r="U1768" t="str">
        <f>IF(T1768=1,"Positive",(IF(T1768=0,"Negative","Not Sampled")))</f>
        <v>Not Sampled</v>
      </c>
      <c r="V1768" s="1" t="str">
        <f>IF(U1768="Not Sampled","Not Sampled",IF(S1768=U1768,"Accurate Prediction","Inaccurate Prediction"))</f>
        <v>Not Sampled</v>
      </c>
    </row>
    <row r="1769" spans="1:22" x14ac:dyDescent="0.25">
      <c r="A1769" s="1">
        <v>1767</v>
      </c>
      <c r="B1769" s="1">
        <v>2</v>
      </c>
      <c r="C1769" s="1">
        <f>LOOKUP(B1769,Sheet2!$D$4:$E$9)</f>
        <v>2</v>
      </c>
      <c r="D1769" s="1">
        <v>101</v>
      </c>
      <c r="E1769" t="str">
        <f>LOOKUP(D1769,Sheet2!$G$4:$H$9)</f>
        <v>100-125</v>
      </c>
      <c r="F1769" s="1">
        <v>58</v>
      </c>
      <c r="G1769" t="str">
        <f>LOOKUP(F1769,Sheet2!$J$4:$K$8)</f>
        <v>1-59</v>
      </c>
      <c r="H1769" s="1">
        <v>17</v>
      </c>
      <c r="I1769" t="str">
        <f>LOOKUP(H1769,Sheet2!$M$4:$N$8)</f>
        <v>10-30</v>
      </c>
      <c r="J1769" s="1">
        <v>265</v>
      </c>
      <c r="K1769" t="str">
        <f>LOOKUP(J1769,Sheet2!$P$4:$Q$9)</f>
        <v>200-399</v>
      </c>
      <c r="L1769" s="1">
        <v>24.2</v>
      </c>
      <c r="M1769" t="str">
        <f>LOOKUP(L1769,Sheet2!$S$4:$T$8)</f>
        <v>1-25</v>
      </c>
      <c r="N1769" s="1">
        <v>0.61399999999999999</v>
      </c>
      <c r="O1769" t="str">
        <f>LOOKUP(N1769,Sheet2!$V$4:$W$7)</f>
        <v>0.4 - 0.69</v>
      </c>
      <c r="P1769" s="1">
        <v>23</v>
      </c>
      <c r="Q1769" t="str">
        <f>LOOKUP(P1769,Sheet2!$Z$4:$AA$7)</f>
        <v>&lt;=25</v>
      </c>
      <c r="R1769" s="1">
        <v>0</v>
      </c>
      <c r="S1769" t="str">
        <f>IF(R1769=1,"Positive","Negative")</f>
        <v>Negative</v>
      </c>
      <c r="T1769" s="1" t="str">
        <f>IFERROR(VLOOKUP(A1769,[1]diabetes_Recognition!$A:$B,2,FALSE),"Not Sampled")</f>
        <v>Not Sampled</v>
      </c>
      <c r="U1769" t="str">
        <f>IF(T1769=1,"Positive",(IF(T1769=0,"Negative","Not Sampled")))</f>
        <v>Not Sampled</v>
      </c>
      <c r="V1769" s="1" t="str">
        <f>IF(U1769="Not Sampled","Not Sampled",IF(S1769=U1769,"Accurate Prediction","Inaccurate Prediction"))</f>
        <v>Not Sampled</v>
      </c>
    </row>
    <row r="1770" spans="1:22" x14ac:dyDescent="0.25">
      <c r="A1770" s="1">
        <v>1768</v>
      </c>
      <c r="B1770" s="1">
        <v>2</v>
      </c>
      <c r="C1770" s="1">
        <f>LOOKUP(B1770,Sheet2!$D$4:$E$9)</f>
        <v>2</v>
      </c>
      <c r="D1770" s="1">
        <v>56</v>
      </c>
      <c r="E1770" t="str">
        <f>LOOKUP(D1770,Sheet2!$G$4:$H$9)</f>
        <v>1-99</v>
      </c>
      <c r="F1770" s="1">
        <v>56</v>
      </c>
      <c r="G1770" t="str">
        <f>LOOKUP(F1770,Sheet2!$J$4:$K$8)</f>
        <v>1-59</v>
      </c>
      <c r="H1770" s="1">
        <v>28</v>
      </c>
      <c r="I1770" t="str">
        <f>LOOKUP(H1770,Sheet2!$M$4:$N$8)</f>
        <v>10-30</v>
      </c>
      <c r="J1770" s="1">
        <v>45</v>
      </c>
      <c r="K1770" t="str">
        <f>LOOKUP(J1770,Sheet2!$P$4:$Q$9)</f>
        <v>1-99</v>
      </c>
      <c r="L1770" s="1">
        <v>24.2</v>
      </c>
      <c r="M1770" t="str">
        <f>LOOKUP(L1770,Sheet2!$S$4:$T$8)</f>
        <v>1-25</v>
      </c>
      <c r="N1770" s="1">
        <v>0.33200000000000002</v>
      </c>
      <c r="O1770" t="str">
        <f>LOOKUP(N1770,Sheet2!$V$4:$W$7)</f>
        <v>0.25 - 0.39</v>
      </c>
      <c r="P1770" s="1">
        <v>22</v>
      </c>
      <c r="Q1770" t="str">
        <f>LOOKUP(P1770,Sheet2!$Z$4:$AA$7)</f>
        <v>&lt;=25</v>
      </c>
      <c r="R1770" s="1">
        <v>0</v>
      </c>
      <c r="S1770" t="str">
        <f>IF(R1770=1,"Positive","Negative")</f>
        <v>Negative</v>
      </c>
      <c r="T1770" s="1" t="str">
        <f>IFERROR(VLOOKUP(A1770,[1]diabetes_Recognition!$A:$B,2,FALSE),"Not Sampled")</f>
        <v>Not Sampled</v>
      </c>
      <c r="U1770" t="str">
        <f>IF(T1770=1,"Positive",(IF(T1770=0,"Negative","Not Sampled")))</f>
        <v>Not Sampled</v>
      </c>
      <c r="V1770" s="1" t="str">
        <f>IF(U1770="Not Sampled","Not Sampled",IF(S1770=U1770,"Accurate Prediction","Inaccurate Prediction"))</f>
        <v>Not Sampled</v>
      </c>
    </row>
    <row r="1771" spans="1:22" x14ac:dyDescent="0.25">
      <c r="A1771" s="1">
        <v>1769</v>
      </c>
      <c r="B1771" s="1">
        <v>0</v>
      </c>
      <c r="C1771" s="1">
        <f>LOOKUP(B1771,Sheet2!$D$4:$E$9)</f>
        <v>0</v>
      </c>
      <c r="D1771" s="1">
        <v>162</v>
      </c>
      <c r="E1771" t="str">
        <f>LOOKUP(D1771,Sheet2!$G$4:$H$9)</f>
        <v>151-175</v>
      </c>
      <c r="F1771" s="1">
        <v>76</v>
      </c>
      <c r="G1771" t="str">
        <f>LOOKUP(F1771,Sheet2!$J$4:$K$8)</f>
        <v>70-79</v>
      </c>
      <c r="H1771" s="1">
        <v>36</v>
      </c>
      <c r="I1771" t="str">
        <f>LOOKUP(H1771,Sheet2!$M$4:$N$8)</f>
        <v>30-39</v>
      </c>
      <c r="J1771" s="1">
        <v>0</v>
      </c>
      <c r="K1771" t="str">
        <f>LOOKUP(J1771,Sheet2!$P$4:$Q$9)</f>
        <v>Unknown</v>
      </c>
      <c r="L1771" s="1">
        <v>49.6</v>
      </c>
      <c r="M1771" t="str">
        <f>LOOKUP(L1771,Sheet2!$S$4:$T$8)</f>
        <v>36+</v>
      </c>
      <c r="N1771" s="1">
        <v>0.36399999999999999</v>
      </c>
      <c r="O1771" t="str">
        <f>LOOKUP(N1771,Sheet2!$V$4:$W$7)</f>
        <v>0.25 - 0.39</v>
      </c>
      <c r="P1771" s="1">
        <v>26</v>
      </c>
      <c r="Q1771" t="str">
        <f>LOOKUP(P1771,Sheet2!$Z$4:$AA$7)</f>
        <v>26-35</v>
      </c>
      <c r="R1771" s="1">
        <v>1</v>
      </c>
      <c r="S1771" t="str">
        <f>IF(R1771=1,"Positive","Negative")</f>
        <v>Positive</v>
      </c>
      <c r="T1771" s="1" t="str">
        <f>IFERROR(VLOOKUP(A1771,[1]diabetes_Recognition!$A:$B,2,FALSE),"Not Sampled")</f>
        <v>Not Sampled</v>
      </c>
      <c r="U1771" t="str">
        <f>IF(T1771=1,"Positive",(IF(T1771=0,"Negative","Not Sampled")))</f>
        <v>Not Sampled</v>
      </c>
      <c r="V1771" s="1" t="str">
        <f>IF(U1771="Not Sampled","Not Sampled",IF(S1771=U1771,"Accurate Prediction","Inaccurate Prediction"))</f>
        <v>Not Sampled</v>
      </c>
    </row>
    <row r="1772" spans="1:22" x14ac:dyDescent="0.25">
      <c r="A1772" s="1">
        <v>1770</v>
      </c>
      <c r="B1772" s="1">
        <v>0</v>
      </c>
      <c r="C1772" s="1">
        <f>LOOKUP(B1772,Sheet2!$D$4:$E$9)</f>
        <v>0</v>
      </c>
      <c r="D1772" s="1">
        <v>95</v>
      </c>
      <c r="E1772" t="str">
        <f>LOOKUP(D1772,Sheet2!$G$4:$H$9)</f>
        <v>1-99</v>
      </c>
      <c r="F1772" s="1">
        <v>64</v>
      </c>
      <c r="G1772" t="str">
        <f>LOOKUP(F1772,Sheet2!$J$4:$K$8)</f>
        <v>60-69</v>
      </c>
      <c r="H1772" s="1">
        <v>39</v>
      </c>
      <c r="I1772" t="str">
        <f>LOOKUP(H1772,Sheet2!$M$4:$N$8)</f>
        <v>30-39</v>
      </c>
      <c r="J1772" s="1">
        <v>105</v>
      </c>
      <c r="K1772" t="str">
        <f>LOOKUP(J1772,Sheet2!$P$4:$Q$9)</f>
        <v>100-199</v>
      </c>
      <c r="L1772" s="1">
        <v>44.6</v>
      </c>
      <c r="M1772" t="str">
        <f>LOOKUP(L1772,Sheet2!$S$4:$T$8)</f>
        <v>36+</v>
      </c>
      <c r="N1772" s="1">
        <v>0.36599999999999999</v>
      </c>
      <c r="O1772" t="str">
        <f>LOOKUP(N1772,Sheet2!$V$4:$W$7)</f>
        <v>0.25 - 0.39</v>
      </c>
      <c r="P1772" s="1">
        <v>22</v>
      </c>
      <c r="Q1772" t="str">
        <f>LOOKUP(P1772,Sheet2!$Z$4:$AA$7)</f>
        <v>&lt;=25</v>
      </c>
      <c r="R1772" s="1">
        <v>0</v>
      </c>
      <c r="S1772" t="str">
        <f>IF(R1772=1,"Positive","Negative")</f>
        <v>Negative</v>
      </c>
      <c r="T1772" s="1" t="str">
        <f>IFERROR(VLOOKUP(A1772,[1]diabetes_Recognition!$A:$B,2,FALSE),"Not Sampled")</f>
        <v>Not Sampled</v>
      </c>
      <c r="U1772" t="str">
        <f>IF(T1772=1,"Positive",(IF(T1772=0,"Negative","Not Sampled")))</f>
        <v>Not Sampled</v>
      </c>
      <c r="V1772" s="1" t="str">
        <f>IF(U1772="Not Sampled","Not Sampled",IF(S1772=U1772,"Accurate Prediction","Inaccurate Prediction"))</f>
        <v>Not Sampled</v>
      </c>
    </row>
    <row r="1773" spans="1:22" x14ac:dyDescent="0.25">
      <c r="A1773" s="1">
        <v>1771</v>
      </c>
      <c r="B1773" s="1">
        <v>4</v>
      </c>
      <c r="C1773" s="1" t="str">
        <f>LOOKUP(B1773,Sheet2!$D$4:$E$9)</f>
        <v>3-4</v>
      </c>
      <c r="D1773" s="1">
        <v>125</v>
      </c>
      <c r="E1773" t="str">
        <f>LOOKUP(D1773,Sheet2!$G$4:$H$9)</f>
        <v>100-125</v>
      </c>
      <c r="F1773" s="1">
        <v>80</v>
      </c>
      <c r="G1773" t="str">
        <f>LOOKUP(F1773,Sheet2!$J$4:$K$8)</f>
        <v>80+</v>
      </c>
      <c r="H1773" s="1">
        <v>0</v>
      </c>
      <c r="I1773" t="str">
        <f>LOOKUP(H1773,Sheet2!$M$4:$N$8)</f>
        <v>Unknown</v>
      </c>
      <c r="J1773" s="1">
        <v>0</v>
      </c>
      <c r="K1773" t="str">
        <f>LOOKUP(J1773,Sheet2!$P$4:$Q$9)</f>
        <v>Unknown</v>
      </c>
      <c r="L1773" s="1">
        <v>32.299999999999997</v>
      </c>
      <c r="M1773" t="str">
        <f>LOOKUP(L1773,Sheet2!$S$4:$T$8)</f>
        <v>31-35</v>
      </c>
      <c r="N1773" s="1">
        <v>0.53600000000000003</v>
      </c>
      <c r="O1773" t="str">
        <f>LOOKUP(N1773,Sheet2!$V$4:$W$7)</f>
        <v>0.4 - 0.69</v>
      </c>
      <c r="P1773" s="1">
        <v>27</v>
      </c>
      <c r="Q1773" t="str">
        <f>LOOKUP(P1773,Sheet2!$Z$4:$AA$7)</f>
        <v>26-35</v>
      </c>
      <c r="R1773" s="1">
        <v>1</v>
      </c>
      <c r="S1773" t="str">
        <f>IF(R1773=1,"Positive","Negative")</f>
        <v>Positive</v>
      </c>
      <c r="T1773" s="1" t="str">
        <f>IFERROR(VLOOKUP(A1773,[1]diabetes_Recognition!$A:$B,2,FALSE),"Not Sampled")</f>
        <v>Not Sampled</v>
      </c>
      <c r="U1773" t="str">
        <f>IF(T1773=1,"Positive",(IF(T1773=0,"Negative","Not Sampled")))</f>
        <v>Not Sampled</v>
      </c>
      <c r="V1773" s="1" t="str">
        <f>IF(U1773="Not Sampled","Not Sampled",IF(S1773=U1773,"Accurate Prediction","Inaccurate Prediction"))</f>
        <v>Not Sampled</v>
      </c>
    </row>
    <row r="1774" spans="1:22" x14ac:dyDescent="0.25">
      <c r="A1774" s="1">
        <v>1772</v>
      </c>
      <c r="B1774" s="1">
        <v>5</v>
      </c>
      <c r="C1774" s="1" t="str">
        <f>LOOKUP(B1774,Sheet2!$D$4:$E$9)</f>
        <v>5-7</v>
      </c>
      <c r="D1774" s="1">
        <v>136</v>
      </c>
      <c r="E1774" t="str">
        <f>LOOKUP(D1774,Sheet2!$G$4:$H$9)</f>
        <v>126-150</v>
      </c>
      <c r="F1774" s="1">
        <v>82</v>
      </c>
      <c r="G1774" t="str">
        <f>LOOKUP(F1774,Sheet2!$J$4:$K$8)</f>
        <v>80+</v>
      </c>
      <c r="H1774" s="1">
        <v>0</v>
      </c>
      <c r="I1774" t="str">
        <f>LOOKUP(H1774,Sheet2!$M$4:$N$8)</f>
        <v>Unknown</v>
      </c>
      <c r="J1774" s="1">
        <v>0</v>
      </c>
      <c r="K1774" t="str">
        <f>LOOKUP(J1774,Sheet2!$P$4:$Q$9)</f>
        <v>Unknown</v>
      </c>
      <c r="L1774" s="1">
        <v>0</v>
      </c>
      <c r="M1774" t="str">
        <f>LOOKUP(L1774,Sheet2!$S$4:$T$8)</f>
        <v>Unknown</v>
      </c>
      <c r="N1774" s="1">
        <v>0.64</v>
      </c>
      <c r="O1774" t="str">
        <f>LOOKUP(N1774,Sheet2!$V$4:$W$7)</f>
        <v>0.4 - 0.69</v>
      </c>
      <c r="P1774" s="1">
        <v>69</v>
      </c>
      <c r="Q1774" t="str">
        <f>LOOKUP(P1774,Sheet2!$Z$4:$AA$7)</f>
        <v>46+</v>
      </c>
      <c r="R1774" s="1">
        <v>0</v>
      </c>
      <c r="S1774" t="str">
        <f>IF(R1774=1,"Positive","Negative")</f>
        <v>Negative</v>
      </c>
      <c r="T1774" s="1" t="str">
        <f>IFERROR(VLOOKUP(A1774,[1]diabetes_Recognition!$A:$B,2,FALSE),"Not Sampled")</f>
        <v>Not Sampled</v>
      </c>
      <c r="U1774" t="str">
        <f>IF(T1774=1,"Positive",(IF(T1774=0,"Negative","Not Sampled")))</f>
        <v>Not Sampled</v>
      </c>
      <c r="V1774" s="1" t="str">
        <f>IF(U1774="Not Sampled","Not Sampled",IF(S1774=U1774,"Accurate Prediction","Inaccurate Prediction"))</f>
        <v>Not Sampled</v>
      </c>
    </row>
    <row r="1775" spans="1:22" x14ac:dyDescent="0.25">
      <c r="A1775" s="1">
        <v>1773</v>
      </c>
      <c r="B1775" s="1">
        <v>2</v>
      </c>
      <c r="C1775" s="1">
        <f>LOOKUP(B1775,Sheet2!$D$4:$E$9)</f>
        <v>2</v>
      </c>
      <c r="D1775" s="1">
        <v>129</v>
      </c>
      <c r="E1775" t="str">
        <f>LOOKUP(D1775,Sheet2!$G$4:$H$9)</f>
        <v>126-150</v>
      </c>
      <c r="F1775" s="1">
        <v>74</v>
      </c>
      <c r="G1775" t="str">
        <f>LOOKUP(F1775,Sheet2!$J$4:$K$8)</f>
        <v>70-79</v>
      </c>
      <c r="H1775" s="1">
        <v>26</v>
      </c>
      <c r="I1775" t="str">
        <f>LOOKUP(H1775,Sheet2!$M$4:$N$8)</f>
        <v>10-30</v>
      </c>
      <c r="J1775" s="1">
        <v>205</v>
      </c>
      <c r="K1775" t="str">
        <f>LOOKUP(J1775,Sheet2!$P$4:$Q$9)</f>
        <v>200-399</v>
      </c>
      <c r="L1775" s="1">
        <v>33.200000000000003</v>
      </c>
      <c r="M1775" t="str">
        <f>LOOKUP(L1775,Sheet2!$S$4:$T$8)</f>
        <v>31-35</v>
      </c>
      <c r="N1775" s="1">
        <v>0.59099999999999997</v>
      </c>
      <c r="O1775" t="str">
        <f>LOOKUP(N1775,Sheet2!$V$4:$W$7)</f>
        <v>0.4 - 0.69</v>
      </c>
      <c r="P1775" s="1">
        <v>25</v>
      </c>
      <c r="Q1775" t="str">
        <f>LOOKUP(P1775,Sheet2!$Z$4:$AA$7)</f>
        <v>&lt;=25</v>
      </c>
      <c r="R1775" s="1">
        <v>0</v>
      </c>
      <c r="S1775" t="str">
        <f>IF(R1775=1,"Positive","Negative")</f>
        <v>Negative</v>
      </c>
      <c r="T1775" s="1" t="str">
        <f>IFERROR(VLOOKUP(A1775,[1]diabetes_Recognition!$A:$B,2,FALSE),"Not Sampled")</f>
        <v>Not Sampled</v>
      </c>
      <c r="U1775" t="str">
        <f>IF(T1775=1,"Positive",(IF(T1775=0,"Negative","Not Sampled")))</f>
        <v>Not Sampled</v>
      </c>
      <c r="V1775" s="1" t="str">
        <f>IF(U1775="Not Sampled","Not Sampled",IF(S1775=U1775,"Accurate Prediction","Inaccurate Prediction"))</f>
        <v>Not Sampled</v>
      </c>
    </row>
    <row r="1776" spans="1:22" x14ac:dyDescent="0.25">
      <c r="A1776" s="1">
        <v>1774</v>
      </c>
      <c r="B1776" s="1">
        <v>3</v>
      </c>
      <c r="C1776" s="1" t="str">
        <f>LOOKUP(B1776,Sheet2!$D$4:$E$9)</f>
        <v>3-4</v>
      </c>
      <c r="D1776" s="1">
        <v>130</v>
      </c>
      <c r="E1776" t="str">
        <f>LOOKUP(D1776,Sheet2!$G$4:$H$9)</f>
        <v>126-150</v>
      </c>
      <c r="F1776" s="1">
        <v>64</v>
      </c>
      <c r="G1776" t="str">
        <f>LOOKUP(F1776,Sheet2!$J$4:$K$8)</f>
        <v>60-69</v>
      </c>
      <c r="H1776" s="1">
        <v>0</v>
      </c>
      <c r="I1776" t="str">
        <f>LOOKUP(H1776,Sheet2!$M$4:$N$8)</f>
        <v>Unknown</v>
      </c>
      <c r="J1776" s="1">
        <v>0</v>
      </c>
      <c r="K1776" t="str">
        <f>LOOKUP(J1776,Sheet2!$P$4:$Q$9)</f>
        <v>Unknown</v>
      </c>
      <c r="L1776" s="1">
        <v>23.1</v>
      </c>
      <c r="M1776" t="str">
        <f>LOOKUP(L1776,Sheet2!$S$4:$T$8)</f>
        <v>1-25</v>
      </c>
      <c r="N1776" s="1">
        <v>0.314</v>
      </c>
      <c r="O1776" t="str">
        <f>LOOKUP(N1776,Sheet2!$V$4:$W$7)</f>
        <v>0.25 - 0.39</v>
      </c>
      <c r="P1776" s="1">
        <v>22</v>
      </c>
      <c r="Q1776" t="str">
        <f>LOOKUP(P1776,Sheet2!$Z$4:$AA$7)</f>
        <v>&lt;=25</v>
      </c>
      <c r="R1776" s="1">
        <v>0</v>
      </c>
      <c r="S1776" t="str">
        <f>IF(R1776=1,"Positive","Negative")</f>
        <v>Negative</v>
      </c>
      <c r="T1776" s="1" t="str">
        <f>IFERROR(VLOOKUP(A1776,[1]diabetes_Recognition!$A:$B,2,FALSE),"Not Sampled")</f>
        <v>Not Sampled</v>
      </c>
      <c r="U1776" t="str">
        <f>IF(T1776=1,"Positive",(IF(T1776=0,"Negative","Not Sampled")))</f>
        <v>Not Sampled</v>
      </c>
      <c r="V1776" s="1" t="str">
        <f>IF(U1776="Not Sampled","Not Sampled",IF(S1776=U1776,"Accurate Prediction","Inaccurate Prediction"))</f>
        <v>Not Sampled</v>
      </c>
    </row>
    <row r="1777" spans="1:22" x14ac:dyDescent="0.25">
      <c r="A1777" s="1">
        <v>1775</v>
      </c>
      <c r="B1777" s="1">
        <v>1</v>
      </c>
      <c r="C1777" s="1">
        <f>LOOKUP(B1777,Sheet2!$D$4:$E$9)</f>
        <v>1</v>
      </c>
      <c r="D1777" s="1">
        <v>107</v>
      </c>
      <c r="E1777" t="str">
        <f>LOOKUP(D1777,Sheet2!$G$4:$H$9)</f>
        <v>100-125</v>
      </c>
      <c r="F1777" s="1">
        <v>50</v>
      </c>
      <c r="G1777" t="str">
        <f>LOOKUP(F1777,Sheet2!$J$4:$K$8)</f>
        <v>1-59</v>
      </c>
      <c r="H1777" s="1">
        <v>19</v>
      </c>
      <c r="I1777" t="str">
        <f>LOOKUP(H1777,Sheet2!$M$4:$N$8)</f>
        <v>10-30</v>
      </c>
      <c r="J1777" s="1">
        <v>0</v>
      </c>
      <c r="K1777" t="str">
        <f>LOOKUP(J1777,Sheet2!$P$4:$Q$9)</f>
        <v>Unknown</v>
      </c>
      <c r="L1777" s="1">
        <v>28.3</v>
      </c>
      <c r="M1777" t="str">
        <f>LOOKUP(L1777,Sheet2!$S$4:$T$8)</f>
        <v>26-30</v>
      </c>
      <c r="N1777" s="1">
        <v>0.18099999999999999</v>
      </c>
      <c r="O1777" t="str">
        <f>LOOKUP(N1777,Sheet2!$V$4:$W$7)</f>
        <v>0.0 - 0.249</v>
      </c>
      <c r="P1777" s="1">
        <v>29</v>
      </c>
      <c r="Q1777" t="str">
        <f>LOOKUP(P1777,Sheet2!$Z$4:$AA$7)</f>
        <v>26-35</v>
      </c>
      <c r="R1777" s="1">
        <v>0</v>
      </c>
      <c r="S1777" t="str">
        <f>IF(R1777=1,"Positive","Negative")</f>
        <v>Negative</v>
      </c>
      <c r="T1777" s="1" t="str">
        <f>IFERROR(VLOOKUP(A1777,[1]diabetes_Recognition!$A:$B,2,FALSE),"Not Sampled")</f>
        <v>Not Sampled</v>
      </c>
      <c r="U1777" t="str">
        <f>IF(T1777=1,"Positive",(IF(T1777=0,"Negative","Not Sampled")))</f>
        <v>Not Sampled</v>
      </c>
      <c r="V1777" s="1" t="str">
        <f>IF(U1777="Not Sampled","Not Sampled",IF(S1777=U1777,"Accurate Prediction","Inaccurate Prediction"))</f>
        <v>Not Sampled</v>
      </c>
    </row>
    <row r="1778" spans="1:22" x14ac:dyDescent="0.25">
      <c r="A1778" s="1">
        <v>1776</v>
      </c>
      <c r="B1778" s="1">
        <v>1</v>
      </c>
      <c r="C1778" s="1">
        <f>LOOKUP(B1778,Sheet2!$D$4:$E$9)</f>
        <v>1</v>
      </c>
      <c r="D1778" s="1">
        <v>140</v>
      </c>
      <c r="E1778" t="str">
        <f>LOOKUP(D1778,Sheet2!$G$4:$H$9)</f>
        <v>126-150</v>
      </c>
      <c r="F1778" s="1">
        <v>74</v>
      </c>
      <c r="G1778" t="str">
        <f>LOOKUP(F1778,Sheet2!$J$4:$K$8)</f>
        <v>70-79</v>
      </c>
      <c r="H1778" s="1">
        <v>26</v>
      </c>
      <c r="I1778" t="str">
        <f>LOOKUP(H1778,Sheet2!$M$4:$N$8)</f>
        <v>10-30</v>
      </c>
      <c r="J1778" s="1">
        <v>180</v>
      </c>
      <c r="K1778" t="str">
        <f>LOOKUP(J1778,Sheet2!$P$4:$Q$9)</f>
        <v>100-199</v>
      </c>
      <c r="L1778" s="1">
        <v>24.1</v>
      </c>
      <c r="M1778" t="str">
        <f>LOOKUP(L1778,Sheet2!$S$4:$T$8)</f>
        <v>1-25</v>
      </c>
      <c r="N1778" s="1">
        <v>0.82799999999999996</v>
      </c>
      <c r="O1778" t="str">
        <f>LOOKUP(N1778,Sheet2!$V$4:$W$7)</f>
        <v>0.7+</v>
      </c>
      <c r="P1778" s="1">
        <v>23</v>
      </c>
      <c r="Q1778" t="str">
        <f>LOOKUP(P1778,Sheet2!$Z$4:$AA$7)</f>
        <v>&lt;=25</v>
      </c>
      <c r="R1778" s="1">
        <v>0</v>
      </c>
      <c r="S1778" t="str">
        <f>IF(R1778=1,"Positive","Negative")</f>
        <v>Negative</v>
      </c>
      <c r="T1778" s="1" t="str">
        <f>IFERROR(VLOOKUP(A1778,[1]diabetes_Recognition!$A:$B,2,FALSE),"Not Sampled")</f>
        <v>Not Sampled</v>
      </c>
      <c r="U1778" t="str">
        <f>IF(T1778=1,"Positive",(IF(T1778=0,"Negative","Not Sampled")))</f>
        <v>Not Sampled</v>
      </c>
      <c r="V1778" s="1" t="str">
        <f>IF(U1778="Not Sampled","Not Sampled",IF(S1778=U1778,"Accurate Prediction","Inaccurate Prediction"))</f>
        <v>Not Sampled</v>
      </c>
    </row>
    <row r="1779" spans="1:22" x14ac:dyDescent="0.25">
      <c r="A1779" s="1">
        <v>1777</v>
      </c>
      <c r="B1779" s="1">
        <v>1</v>
      </c>
      <c r="C1779" s="1">
        <f>LOOKUP(B1779,Sheet2!$D$4:$E$9)</f>
        <v>1</v>
      </c>
      <c r="D1779" s="1">
        <v>144</v>
      </c>
      <c r="E1779" t="str">
        <f>LOOKUP(D1779,Sheet2!$G$4:$H$9)</f>
        <v>126-150</v>
      </c>
      <c r="F1779" s="1">
        <v>82</v>
      </c>
      <c r="G1779" t="str">
        <f>LOOKUP(F1779,Sheet2!$J$4:$K$8)</f>
        <v>80+</v>
      </c>
      <c r="H1779" s="1">
        <v>46</v>
      </c>
      <c r="I1779" t="str">
        <f>LOOKUP(H1779,Sheet2!$M$4:$N$8)</f>
        <v>40+</v>
      </c>
      <c r="J1779" s="1">
        <v>180</v>
      </c>
      <c r="K1779" t="str">
        <f>LOOKUP(J1779,Sheet2!$P$4:$Q$9)</f>
        <v>100-199</v>
      </c>
      <c r="L1779" s="1">
        <v>46.1</v>
      </c>
      <c r="M1779" t="str">
        <f>LOOKUP(L1779,Sheet2!$S$4:$T$8)</f>
        <v>36+</v>
      </c>
      <c r="N1779" s="1">
        <v>0.33500000000000002</v>
      </c>
      <c r="O1779" t="str">
        <f>LOOKUP(N1779,Sheet2!$V$4:$W$7)</f>
        <v>0.25 - 0.39</v>
      </c>
      <c r="P1779" s="1">
        <v>46</v>
      </c>
      <c r="Q1779" t="str">
        <f>LOOKUP(P1779,Sheet2!$Z$4:$AA$7)</f>
        <v>46+</v>
      </c>
      <c r="R1779" s="1">
        <v>1</v>
      </c>
      <c r="S1779" t="str">
        <f>IF(R1779=1,"Positive","Negative")</f>
        <v>Positive</v>
      </c>
      <c r="T1779" s="1" t="str">
        <f>IFERROR(VLOOKUP(A1779,[1]diabetes_Recognition!$A:$B,2,FALSE),"Not Sampled")</f>
        <v>Not Sampled</v>
      </c>
      <c r="U1779" t="str">
        <f>IF(T1779=1,"Positive",(IF(T1779=0,"Negative","Not Sampled")))</f>
        <v>Not Sampled</v>
      </c>
      <c r="V1779" s="1" t="str">
        <f>IF(U1779="Not Sampled","Not Sampled",IF(S1779=U1779,"Accurate Prediction","Inaccurate Prediction"))</f>
        <v>Not Sampled</v>
      </c>
    </row>
    <row r="1780" spans="1:22" x14ac:dyDescent="0.25">
      <c r="A1780" s="1">
        <v>1778</v>
      </c>
      <c r="B1780" s="1">
        <v>8</v>
      </c>
      <c r="C1780" s="1" t="str">
        <f>LOOKUP(B1780,Sheet2!$D$4:$E$9)</f>
        <v>8+</v>
      </c>
      <c r="D1780" s="1">
        <v>107</v>
      </c>
      <c r="E1780" t="str">
        <f>LOOKUP(D1780,Sheet2!$G$4:$H$9)</f>
        <v>100-125</v>
      </c>
      <c r="F1780" s="1">
        <v>80</v>
      </c>
      <c r="G1780" t="str">
        <f>LOOKUP(F1780,Sheet2!$J$4:$K$8)</f>
        <v>80+</v>
      </c>
      <c r="H1780" s="1">
        <v>0</v>
      </c>
      <c r="I1780" t="str">
        <f>LOOKUP(H1780,Sheet2!$M$4:$N$8)</f>
        <v>Unknown</v>
      </c>
      <c r="J1780" s="1">
        <v>0</v>
      </c>
      <c r="K1780" t="str">
        <f>LOOKUP(J1780,Sheet2!$P$4:$Q$9)</f>
        <v>Unknown</v>
      </c>
      <c r="L1780" s="1">
        <v>24.6</v>
      </c>
      <c r="M1780" t="str">
        <f>LOOKUP(L1780,Sheet2!$S$4:$T$8)</f>
        <v>1-25</v>
      </c>
      <c r="N1780" s="1">
        <v>0.85599999999999998</v>
      </c>
      <c r="O1780" t="str">
        <f>LOOKUP(N1780,Sheet2!$V$4:$W$7)</f>
        <v>0.7+</v>
      </c>
      <c r="P1780" s="1">
        <v>34</v>
      </c>
      <c r="Q1780" t="str">
        <f>LOOKUP(P1780,Sheet2!$Z$4:$AA$7)</f>
        <v>26-35</v>
      </c>
      <c r="R1780" s="1">
        <v>0</v>
      </c>
      <c r="S1780" t="str">
        <f>IF(R1780=1,"Positive","Negative")</f>
        <v>Negative</v>
      </c>
      <c r="T1780" s="1">
        <f>IFERROR(VLOOKUP(A1780,[1]diabetes_Recognition!$A:$B,2,FALSE),"Not Sampled")</f>
        <v>0</v>
      </c>
      <c r="U1780" t="str">
        <f>IF(T1780=1,"Positive",(IF(T1780=0,"Negative","Not Sampled")))</f>
        <v>Negative</v>
      </c>
      <c r="V1780" s="1" t="str">
        <f>IF(U1780="Not Sampled","Not Sampled",IF(S1780=U1780,"Accurate Prediction","Inaccurate Prediction"))</f>
        <v>Accurate Prediction</v>
      </c>
    </row>
    <row r="1781" spans="1:22" x14ac:dyDescent="0.25">
      <c r="A1781" s="1">
        <v>1779</v>
      </c>
      <c r="B1781" s="1">
        <v>13</v>
      </c>
      <c r="C1781" s="1" t="str">
        <f>LOOKUP(B1781,Sheet2!$D$4:$E$9)</f>
        <v>8+</v>
      </c>
      <c r="D1781" s="1">
        <v>158</v>
      </c>
      <c r="E1781" t="str">
        <f>LOOKUP(D1781,Sheet2!$G$4:$H$9)</f>
        <v>151-175</v>
      </c>
      <c r="F1781" s="1">
        <v>114</v>
      </c>
      <c r="G1781" t="str">
        <f>LOOKUP(F1781,Sheet2!$J$4:$K$8)</f>
        <v>80+</v>
      </c>
      <c r="H1781" s="1">
        <v>0</v>
      </c>
      <c r="I1781" t="str">
        <f>LOOKUP(H1781,Sheet2!$M$4:$N$8)</f>
        <v>Unknown</v>
      </c>
      <c r="J1781" s="1">
        <v>0</v>
      </c>
      <c r="K1781" t="str">
        <f>LOOKUP(J1781,Sheet2!$P$4:$Q$9)</f>
        <v>Unknown</v>
      </c>
      <c r="L1781" s="1">
        <v>42.3</v>
      </c>
      <c r="M1781" t="str">
        <f>LOOKUP(L1781,Sheet2!$S$4:$T$8)</f>
        <v>36+</v>
      </c>
      <c r="N1781" s="1">
        <v>0.25700000000000001</v>
      </c>
      <c r="O1781" t="str">
        <f>LOOKUP(N1781,Sheet2!$V$4:$W$7)</f>
        <v>0.25 - 0.39</v>
      </c>
      <c r="P1781" s="1">
        <v>44</v>
      </c>
      <c r="Q1781" t="str">
        <f>LOOKUP(P1781,Sheet2!$Z$4:$AA$7)</f>
        <v>36-45</v>
      </c>
      <c r="R1781" s="1">
        <v>1</v>
      </c>
      <c r="S1781" t="str">
        <f>IF(R1781=1,"Positive","Negative")</f>
        <v>Positive</v>
      </c>
      <c r="T1781" s="1" t="str">
        <f>IFERROR(VLOOKUP(A1781,[1]diabetes_Recognition!$A:$B,2,FALSE),"Not Sampled")</f>
        <v>Not Sampled</v>
      </c>
      <c r="U1781" t="str">
        <f>IF(T1781=1,"Positive",(IF(T1781=0,"Negative","Not Sampled")))</f>
        <v>Not Sampled</v>
      </c>
      <c r="V1781" s="1" t="str">
        <f>IF(U1781="Not Sampled","Not Sampled",IF(S1781=U1781,"Accurate Prediction","Inaccurate Prediction"))</f>
        <v>Not Sampled</v>
      </c>
    </row>
    <row r="1782" spans="1:22" x14ac:dyDescent="0.25">
      <c r="A1782" s="1">
        <v>1780</v>
      </c>
      <c r="B1782" s="1">
        <v>2</v>
      </c>
      <c r="C1782" s="1">
        <f>LOOKUP(B1782,Sheet2!$D$4:$E$9)</f>
        <v>2</v>
      </c>
      <c r="D1782" s="1">
        <v>121</v>
      </c>
      <c r="E1782" t="str">
        <f>LOOKUP(D1782,Sheet2!$G$4:$H$9)</f>
        <v>100-125</v>
      </c>
      <c r="F1782" s="1">
        <v>70</v>
      </c>
      <c r="G1782" t="str">
        <f>LOOKUP(F1782,Sheet2!$J$4:$K$8)</f>
        <v>70-79</v>
      </c>
      <c r="H1782" s="1">
        <v>32</v>
      </c>
      <c r="I1782" t="str">
        <f>LOOKUP(H1782,Sheet2!$M$4:$N$8)</f>
        <v>30-39</v>
      </c>
      <c r="J1782" s="1">
        <v>95</v>
      </c>
      <c r="K1782" t="str">
        <f>LOOKUP(J1782,Sheet2!$P$4:$Q$9)</f>
        <v>1-99</v>
      </c>
      <c r="L1782" s="1">
        <v>39.1</v>
      </c>
      <c r="M1782" t="str">
        <f>LOOKUP(L1782,Sheet2!$S$4:$T$8)</f>
        <v>36+</v>
      </c>
      <c r="N1782" s="1">
        <v>0.88600000000000001</v>
      </c>
      <c r="O1782" t="str">
        <f>LOOKUP(N1782,Sheet2!$V$4:$W$7)</f>
        <v>0.7+</v>
      </c>
      <c r="P1782" s="1">
        <v>23</v>
      </c>
      <c r="Q1782" t="str">
        <f>LOOKUP(P1782,Sheet2!$Z$4:$AA$7)</f>
        <v>&lt;=25</v>
      </c>
      <c r="R1782" s="1">
        <v>0</v>
      </c>
      <c r="S1782" t="str">
        <f>IF(R1782=1,"Positive","Negative")</f>
        <v>Negative</v>
      </c>
      <c r="T1782" s="1" t="str">
        <f>IFERROR(VLOOKUP(A1782,[1]diabetes_Recognition!$A:$B,2,FALSE),"Not Sampled")</f>
        <v>Not Sampled</v>
      </c>
      <c r="U1782" t="str">
        <f>IF(T1782=1,"Positive",(IF(T1782=0,"Negative","Not Sampled")))</f>
        <v>Not Sampled</v>
      </c>
      <c r="V1782" s="1" t="str">
        <f>IF(U1782="Not Sampled","Not Sampled",IF(S1782=U1782,"Accurate Prediction","Inaccurate Prediction"))</f>
        <v>Not Sampled</v>
      </c>
    </row>
    <row r="1783" spans="1:22" x14ac:dyDescent="0.25">
      <c r="A1783" s="1">
        <v>1781</v>
      </c>
      <c r="B1783" s="1">
        <v>7</v>
      </c>
      <c r="C1783" s="1" t="str">
        <f>LOOKUP(B1783,Sheet2!$D$4:$E$9)</f>
        <v>5-7</v>
      </c>
      <c r="D1783" s="1">
        <v>129</v>
      </c>
      <c r="E1783" t="str">
        <f>LOOKUP(D1783,Sheet2!$G$4:$H$9)</f>
        <v>126-150</v>
      </c>
      <c r="F1783" s="1">
        <v>68</v>
      </c>
      <c r="G1783" t="str">
        <f>LOOKUP(F1783,Sheet2!$J$4:$K$8)</f>
        <v>60-69</v>
      </c>
      <c r="H1783" s="1">
        <v>49</v>
      </c>
      <c r="I1783" t="str">
        <f>LOOKUP(H1783,Sheet2!$M$4:$N$8)</f>
        <v>40+</v>
      </c>
      <c r="J1783" s="1">
        <v>125</v>
      </c>
      <c r="K1783" t="str">
        <f>LOOKUP(J1783,Sheet2!$P$4:$Q$9)</f>
        <v>100-199</v>
      </c>
      <c r="L1783" s="1">
        <v>38.5</v>
      </c>
      <c r="M1783" t="str">
        <f>LOOKUP(L1783,Sheet2!$S$4:$T$8)</f>
        <v>36+</v>
      </c>
      <c r="N1783" s="1">
        <v>0.439</v>
      </c>
      <c r="O1783" t="str">
        <f>LOOKUP(N1783,Sheet2!$V$4:$W$7)</f>
        <v>0.4 - 0.69</v>
      </c>
      <c r="P1783" s="1">
        <v>43</v>
      </c>
      <c r="Q1783" t="str">
        <f>LOOKUP(P1783,Sheet2!$Z$4:$AA$7)</f>
        <v>36-45</v>
      </c>
      <c r="R1783" s="1">
        <v>1</v>
      </c>
      <c r="S1783" t="str">
        <f>IF(R1783=1,"Positive","Negative")</f>
        <v>Positive</v>
      </c>
      <c r="T1783" s="1">
        <f>IFERROR(VLOOKUP(A1783,[1]diabetes_Recognition!$A:$B,2,FALSE),"Not Sampled")</f>
        <v>1</v>
      </c>
      <c r="U1783" t="str">
        <f>IF(T1783=1,"Positive",(IF(T1783=0,"Negative","Not Sampled")))</f>
        <v>Positive</v>
      </c>
      <c r="V1783" s="1" t="str">
        <f>IF(U1783="Not Sampled","Not Sampled",IF(S1783=U1783,"Accurate Prediction","Inaccurate Prediction"))</f>
        <v>Accurate Prediction</v>
      </c>
    </row>
    <row r="1784" spans="1:22" x14ac:dyDescent="0.25">
      <c r="A1784" s="1">
        <v>1782</v>
      </c>
      <c r="B1784" s="1">
        <v>2</v>
      </c>
      <c r="C1784" s="1">
        <f>LOOKUP(B1784,Sheet2!$D$4:$E$9)</f>
        <v>2</v>
      </c>
      <c r="D1784" s="1">
        <v>90</v>
      </c>
      <c r="E1784" t="str">
        <f>LOOKUP(D1784,Sheet2!$G$4:$H$9)</f>
        <v>1-99</v>
      </c>
      <c r="F1784" s="1">
        <v>60</v>
      </c>
      <c r="G1784" t="str">
        <f>LOOKUP(F1784,Sheet2!$J$4:$K$8)</f>
        <v>60-69</v>
      </c>
      <c r="H1784" s="1">
        <v>0</v>
      </c>
      <c r="I1784" t="str">
        <f>LOOKUP(H1784,Sheet2!$M$4:$N$8)</f>
        <v>Unknown</v>
      </c>
      <c r="J1784" s="1">
        <v>0</v>
      </c>
      <c r="K1784" t="str">
        <f>LOOKUP(J1784,Sheet2!$P$4:$Q$9)</f>
        <v>Unknown</v>
      </c>
      <c r="L1784" s="1">
        <v>23.5</v>
      </c>
      <c r="M1784" t="str">
        <f>LOOKUP(L1784,Sheet2!$S$4:$T$8)</f>
        <v>1-25</v>
      </c>
      <c r="N1784" s="1">
        <v>0.191</v>
      </c>
      <c r="O1784" t="str">
        <f>LOOKUP(N1784,Sheet2!$V$4:$W$7)</f>
        <v>0.0 - 0.249</v>
      </c>
      <c r="P1784" s="1">
        <v>25</v>
      </c>
      <c r="Q1784" t="str">
        <f>LOOKUP(P1784,Sheet2!$Z$4:$AA$7)</f>
        <v>&lt;=25</v>
      </c>
      <c r="R1784" s="1">
        <v>0</v>
      </c>
      <c r="S1784" t="str">
        <f>IF(R1784=1,"Positive","Negative")</f>
        <v>Negative</v>
      </c>
      <c r="T1784" s="1" t="str">
        <f>IFERROR(VLOOKUP(A1784,[1]diabetes_Recognition!$A:$B,2,FALSE),"Not Sampled")</f>
        <v>Not Sampled</v>
      </c>
      <c r="U1784" t="str">
        <f>IF(T1784=1,"Positive",(IF(T1784=0,"Negative","Not Sampled")))</f>
        <v>Not Sampled</v>
      </c>
      <c r="V1784" s="1" t="str">
        <f>IF(U1784="Not Sampled","Not Sampled",IF(S1784=U1784,"Accurate Prediction","Inaccurate Prediction"))</f>
        <v>Not Sampled</v>
      </c>
    </row>
    <row r="1785" spans="1:22" x14ac:dyDescent="0.25">
      <c r="A1785" s="1">
        <v>1783</v>
      </c>
      <c r="B1785" s="1">
        <v>7</v>
      </c>
      <c r="C1785" s="1" t="str">
        <f>LOOKUP(B1785,Sheet2!$D$4:$E$9)</f>
        <v>5-7</v>
      </c>
      <c r="D1785" s="1">
        <v>142</v>
      </c>
      <c r="E1785" t="str">
        <f>LOOKUP(D1785,Sheet2!$G$4:$H$9)</f>
        <v>126-150</v>
      </c>
      <c r="F1785" s="1">
        <v>90</v>
      </c>
      <c r="G1785" t="str">
        <f>LOOKUP(F1785,Sheet2!$J$4:$K$8)</f>
        <v>80+</v>
      </c>
      <c r="H1785" s="1">
        <v>24</v>
      </c>
      <c r="I1785" t="str">
        <f>LOOKUP(H1785,Sheet2!$M$4:$N$8)</f>
        <v>10-30</v>
      </c>
      <c r="J1785" s="1">
        <v>480</v>
      </c>
      <c r="K1785" t="str">
        <f>LOOKUP(J1785,Sheet2!$P$4:$Q$9)</f>
        <v>300-499</v>
      </c>
      <c r="L1785" s="1">
        <v>30.4</v>
      </c>
      <c r="M1785" t="str">
        <f>LOOKUP(L1785,Sheet2!$S$4:$T$8)</f>
        <v>26-30</v>
      </c>
      <c r="N1785" s="1">
        <v>0.128</v>
      </c>
      <c r="O1785" t="str">
        <f>LOOKUP(N1785,Sheet2!$V$4:$W$7)</f>
        <v>0.0 - 0.249</v>
      </c>
      <c r="P1785" s="1">
        <v>43</v>
      </c>
      <c r="Q1785" t="str">
        <f>LOOKUP(P1785,Sheet2!$Z$4:$AA$7)</f>
        <v>36-45</v>
      </c>
      <c r="R1785" s="1">
        <v>1</v>
      </c>
      <c r="S1785" t="str">
        <f>IF(R1785=1,"Positive","Negative")</f>
        <v>Positive</v>
      </c>
      <c r="T1785" s="1" t="str">
        <f>IFERROR(VLOOKUP(A1785,[1]diabetes_Recognition!$A:$B,2,FALSE),"Not Sampled")</f>
        <v>Not Sampled</v>
      </c>
      <c r="U1785" t="str">
        <f>IF(T1785=1,"Positive",(IF(T1785=0,"Negative","Not Sampled")))</f>
        <v>Not Sampled</v>
      </c>
      <c r="V1785" s="1" t="str">
        <f>IF(U1785="Not Sampled","Not Sampled",IF(S1785=U1785,"Accurate Prediction","Inaccurate Prediction"))</f>
        <v>Not Sampled</v>
      </c>
    </row>
    <row r="1786" spans="1:22" x14ac:dyDescent="0.25">
      <c r="A1786" s="1">
        <v>1784</v>
      </c>
      <c r="B1786" s="1">
        <v>3</v>
      </c>
      <c r="C1786" s="1" t="str">
        <f>LOOKUP(B1786,Sheet2!$D$4:$E$9)</f>
        <v>3-4</v>
      </c>
      <c r="D1786" s="1">
        <v>169</v>
      </c>
      <c r="E1786" t="str">
        <f>LOOKUP(D1786,Sheet2!$G$4:$H$9)</f>
        <v>151-175</v>
      </c>
      <c r="F1786" s="1">
        <v>74</v>
      </c>
      <c r="G1786" t="str">
        <f>LOOKUP(F1786,Sheet2!$J$4:$K$8)</f>
        <v>70-79</v>
      </c>
      <c r="H1786" s="1">
        <v>19</v>
      </c>
      <c r="I1786" t="str">
        <f>LOOKUP(H1786,Sheet2!$M$4:$N$8)</f>
        <v>10-30</v>
      </c>
      <c r="J1786" s="1">
        <v>125</v>
      </c>
      <c r="K1786" t="str">
        <f>LOOKUP(J1786,Sheet2!$P$4:$Q$9)</f>
        <v>100-199</v>
      </c>
      <c r="L1786" s="1">
        <v>29.9</v>
      </c>
      <c r="M1786" t="str">
        <f>LOOKUP(L1786,Sheet2!$S$4:$T$8)</f>
        <v>26-30</v>
      </c>
      <c r="N1786" s="1">
        <v>0.26800000000000002</v>
      </c>
      <c r="O1786" t="str">
        <f>LOOKUP(N1786,Sheet2!$V$4:$W$7)</f>
        <v>0.25 - 0.39</v>
      </c>
      <c r="P1786" s="1">
        <v>31</v>
      </c>
      <c r="Q1786" t="str">
        <f>LOOKUP(P1786,Sheet2!$Z$4:$AA$7)</f>
        <v>26-35</v>
      </c>
      <c r="R1786" s="1">
        <v>1</v>
      </c>
      <c r="S1786" t="str">
        <f>IF(R1786=1,"Positive","Negative")</f>
        <v>Positive</v>
      </c>
      <c r="T1786" s="1" t="str">
        <f>IFERROR(VLOOKUP(A1786,[1]diabetes_Recognition!$A:$B,2,FALSE),"Not Sampled")</f>
        <v>Not Sampled</v>
      </c>
      <c r="U1786" t="str">
        <f>IF(T1786=1,"Positive",(IF(T1786=0,"Negative","Not Sampled")))</f>
        <v>Not Sampled</v>
      </c>
      <c r="V1786" s="1" t="str">
        <f>IF(U1786="Not Sampled","Not Sampled",IF(S1786=U1786,"Accurate Prediction","Inaccurate Prediction"))</f>
        <v>Not Sampled</v>
      </c>
    </row>
    <row r="1787" spans="1:22" x14ac:dyDescent="0.25">
      <c r="A1787" s="1">
        <v>1785</v>
      </c>
      <c r="B1787" s="1">
        <v>0</v>
      </c>
      <c r="C1787" s="1">
        <f>LOOKUP(B1787,Sheet2!$D$4:$E$9)</f>
        <v>0</v>
      </c>
      <c r="D1787" s="1">
        <v>99</v>
      </c>
      <c r="E1787" t="str">
        <f>LOOKUP(D1787,Sheet2!$G$4:$H$9)</f>
        <v>1-99</v>
      </c>
      <c r="F1787" s="1">
        <v>0</v>
      </c>
      <c r="G1787" t="str">
        <f>LOOKUP(F1787,Sheet2!$J$4:$K$8)</f>
        <v>Unknown</v>
      </c>
      <c r="H1787" s="1">
        <v>0</v>
      </c>
      <c r="I1787" t="str">
        <f>LOOKUP(H1787,Sheet2!$M$4:$N$8)</f>
        <v>Unknown</v>
      </c>
      <c r="J1787" s="1">
        <v>0</v>
      </c>
      <c r="K1787" t="str">
        <f>LOOKUP(J1787,Sheet2!$P$4:$Q$9)</f>
        <v>Unknown</v>
      </c>
      <c r="L1787" s="1">
        <v>25</v>
      </c>
      <c r="M1787" t="str">
        <f>LOOKUP(L1787,Sheet2!$S$4:$T$8)</f>
        <v>1-25</v>
      </c>
      <c r="N1787" s="1">
        <v>0.253</v>
      </c>
      <c r="O1787" t="str">
        <f>LOOKUP(N1787,Sheet2!$V$4:$W$7)</f>
        <v>0.25 - 0.39</v>
      </c>
      <c r="P1787" s="1">
        <v>22</v>
      </c>
      <c r="Q1787" t="str">
        <f>LOOKUP(P1787,Sheet2!$Z$4:$AA$7)</f>
        <v>&lt;=25</v>
      </c>
      <c r="R1787" s="1">
        <v>0</v>
      </c>
      <c r="S1787" t="str">
        <f>IF(R1787=1,"Positive","Negative")</f>
        <v>Negative</v>
      </c>
      <c r="T1787" s="1">
        <f>IFERROR(VLOOKUP(A1787,[1]diabetes_Recognition!$A:$B,2,FALSE),"Not Sampled")</f>
        <v>0</v>
      </c>
      <c r="U1787" t="str">
        <f>IF(T1787=1,"Positive",(IF(T1787=0,"Negative","Not Sampled")))</f>
        <v>Negative</v>
      </c>
      <c r="V1787" s="1" t="str">
        <f>IF(U1787="Not Sampled","Not Sampled",IF(S1787=U1787,"Accurate Prediction","Inaccurate Prediction"))</f>
        <v>Accurate Prediction</v>
      </c>
    </row>
    <row r="1788" spans="1:22" x14ac:dyDescent="0.25">
      <c r="A1788" s="1">
        <v>1786</v>
      </c>
      <c r="B1788" s="1">
        <v>4</v>
      </c>
      <c r="C1788" s="1" t="str">
        <f>LOOKUP(B1788,Sheet2!$D$4:$E$9)</f>
        <v>3-4</v>
      </c>
      <c r="D1788" s="1">
        <v>127</v>
      </c>
      <c r="E1788" t="str">
        <f>LOOKUP(D1788,Sheet2!$G$4:$H$9)</f>
        <v>126-150</v>
      </c>
      <c r="F1788" s="1">
        <v>88</v>
      </c>
      <c r="G1788" t="str">
        <f>LOOKUP(F1788,Sheet2!$J$4:$K$8)</f>
        <v>80+</v>
      </c>
      <c r="H1788" s="1">
        <v>11</v>
      </c>
      <c r="I1788" t="str">
        <f>LOOKUP(H1788,Sheet2!$M$4:$N$8)</f>
        <v>10-30</v>
      </c>
      <c r="J1788" s="1">
        <v>155</v>
      </c>
      <c r="K1788" t="str">
        <f>LOOKUP(J1788,Sheet2!$P$4:$Q$9)</f>
        <v>100-199</v>
      </c>
      <c r="L1788" s="1">
        <v>34.5</v>
      </c>
      <c r="M1788" t="str">
        <f>LOOKUP(L1788,Sheet2!$S$4:$T$8)</f>
        <v>31-35</v>
      </c>
      <c r="N1788" s="1">
        <v>0.59799999999999998</v>
      </c>
      <c r="O1788" t="str">
        <f>LOOKUP(N1788,Sheet2!$V$4:$W$7)</f>
        <v>0.4 - 0.69</v>
      </c>
      <c r="P1788" s="1">
        <v>28</v>
      </c>
      <c r="Q1788" t="str">
        <f>LOOKUP(P1788,Sheet2!$Z$4:$AA$7)</f>
        <v>26-35</v>
      </c>
      <c r="R1788" s="1">
        <v>0</v>
      </c>
      <c r="S1788" t="str">
        <f>IF(R1788=1,"Positive","Negative")</f>
        <v>Negative</v>
      </c>
      <c r="T1788" s="1">
        <f>IFERROR(VLOOKUP(A1788,[1]diabetes_Recognition!$A:$B,2,FALSE),"Not Sampled")</f>
        <v>0</v>
      </c>
      <c r="U1788" t="str">
        <f>IF(T1788=1,"Positive",(IF(T1788=0,"Negative","Not Sampled")))</f>
        <v>Negative</v>
      </c>
      <c r="V1788" s="1" t="str">
        <f>IF(U1788="Not Sampled","Not Sampled",IF(S1788=U1788,"Accurate Prediction","Inaccurate Prediction"))</f>
        <v>Accurate Prediction</v>
      </c>
    </row>
    <row r="1789" spans="1:22" x14ac:dyDescent="0.25">
      <c r="A1789" s="1">
        <v>1787</v>
      </c>
      <c r="B1789" s="1">
        <v>4</v>
      </c>
      <c r="C1789" s="1" t="str">
        <f>LOOKUP(B1789,Sheet2!$D$4:$E$9)</f>
        <v>3-4</v>
      </c>
      <c r="D1789" s="1">
        <v>118</v>
      </c>
      <c r="E1789" t="str">
        <f>LOOKUP(D1789,Sheet2!$G$4:$H$9)</f>
        <v>100-125</v>
      </c>
      <c r="F1789" s="1">
        <v>70</v>
      </c>
      <c r="G1789" t="str">
        <f>LOOKUP(F1789,Sheet2!$J$4:$K$8)</f>
        <v>70-79</v>
      </c>
      <c r="H1789" s="1">
        <v>0</v>
      </c>
      <c r="I1789" t="str">
        <f>LOOKUP(H1789,Sheet2!$M$4:$N$8)</f>
        <v>Unknown</v>
      </c>
      <c r="J1789" s="1">
        <v>0</v>
      </c>
      <c r="K1789" t="str">
        <f>LOOKUP(J1789,Sheet2!$P$4:$Q$9)</f>
        <v>Unknown</v>
      </c>
      <c r="L1789" s="1">
        <v>44.5</v>
      </c>
      <c r="M1789" t="str">
        <f>LOOKUP(L1789,Sheet2!$S$4:$T$8)</f>
        <v>36+</v>
      </c>
      <c r="N1789" s="1">
        <v>0.90400000000000003</v>
      </c>
      <c r="O1789" t="str">
        <f>LOOKUP(N1789,Sheet2!$V$4:$W$7)</f>
        <v>0.7+</v>
      </c>
      <c r="P1789" s="1">
        <v>26</v>
      </c>
      <c r="Q1789" t="str">
        <f>LOOKUP(P1789,Sheet2!$Z$4:$AA$7)</f>
        <v>26-35</v>
      </c>
      <c r="R1789" s="1">
        <v>0</v>
      </c>
      <c r="S1789" t="str">
        <f>IF(R1789=1,"Positive","Negative")</f>
        <v>Negative</v>
      </c>
      <c r="T1789" s="1">
        <f>IFERROR(VLOOKUP(A1789,[1]diabetes_Recognition!$A:$B,2,FALSE),"Not Sampled")</f>
        <v>1</v>
      </c>
      <c r="U1789" t="str">
        <f>IF(T1789=1,"Positive",(IF(T1789=0,"Negative","Not Sampled")))</f>
        <v>Positive</v>
      </c>
      <c r="V1789" s="1" t="str">
        <f>IF(U1789="Not Sampled","Not Sampled",IF(S1789=U1789,"Accurate Prediction","Inaccurate Prediction"))</f>
        <v>Inaccurate Prediction</v>
      </c>
    </row>
    <row r="1790" spans="1:22" x14ac:dyDescent="0.25">
      <c r="A1790" s="1">
        <v>1788</v>
      </c>
      <c r="B1790" s="1">
        <v>2</v>
      </c>
      <c r="C1790" s="1">
        <f>LOOKUP(B1790,Sheet2!$D$4:$E$9)</f>
        <v>2</v>
      </c>
      <c r="D1790" s="1">
        <v>122</v>
      </c>
      <c r="E1790" t="str">
        <f>LOOKUP(D1790,Sheet2!$G$4:$H$9)</f>
        <v>100-125</v>
      </c>
      <c r="F1790" s="1">
        <v>76</v>
      </c>
      <c r="G1790" t="str">
        <f>LOOKUP(F1790,Sheet2!$J$4:$K$8)</f>
        <v>70-79</v>
      </c>
      <c r="H1790" s="1">
        <v>27</v>
      </c>
      <c r="I1790" t="str">
        <f>LOOKUP(H1790,Sheet2!$M$4:$N$8)</f>
        <v>10-30</v>
      </c>
      <c r="J1790" s="1">
        <v>200</v>
      </c>
      <c r="K1790" t="str">
        <f>LOOKUP(J1790,Sheet2!$P$4:$Q$9)</f>
        <v>200-399</v>
      </c>
      <c r="L1790" s="1">
        <v>35.9</v>
      </c>
      <c r="M1790" t="str">
        <f>LOOKUP(L1790,Sheet2!$S$4:$T$8)</f>
        <v>31-35</v>
      </c>
      <c r="N1790" s="1">
        <v>0.48299999999999998</v>
      </c>
      <c r="O1790" t="str">
        <f>LOOKUP(N1790,Sheet2!$V$4:$W$7)</f>
        <v>0.4 - 0.69</v>
      </c>
      <c r="P1790" s="1">
        <v>26</v>
      </c>
      <c r="Q1790" t="str">
        <f>LOOKUP(P1790,Sheet2!$Z$4:$AA$7)</f>
        <v>26-35</v>
      </c>
      <c r="R1790" s="1">
        <v>0</v>
      </c>
      <c r="S1790" t="str">
        <f>IF(R1790=1,"Positive","Negative")</f>
        <v>Negative</v>
      </c>
      <c r="T1790" s="1" t="str">
        <f>IFERROR(VLOOKUP(A1790,[1]diabetes_Recognition!$A:$B,2,FALSE),"Not Sampled")</f>
        <v>Not Sampled</v>
      </c>
      <c r="U1790" t="str">
        <f>IF(T1790=1,"Positive",(IF(T1790=0,"Negative","Not Sampled")))</f>
        <v>Not Sampled</v>
      </c>
      <c r="V1790" s="1" t="str">
        <f>IF(U1790="Not Sampled","Not Sampled",IF(S1790=U1790,"Accurate Prediction","Inaccurate Prediction"))</f>
        <v>Not Sampled</v>
      </c>
    </row>
    <row r="1791" spans="1:22" x14ac:dyDescent="0.25">
      <c r="A1791" s="1">
        <v>1789</v>
      </c>
      <c r="B1791" s="1">
        <v>6</v>
      </c>
      <c r="C1791" s="1" t="str">
        <f>LOOKUP(B1791,Sheet2!$D$4:$E$9)</f>
        <v>5-7</v>
      </c>
      <c r="D1791" s="1">
        <v>125</v>
      </c>
      <c r="E1791" t="str">
        <f>LOOKUP(D1791,Sheet2!$G$4:$H$9)</f>
        <v>100-125</v>
      </c>
      <c r="F1791" s="1">
        <v>78</v>
      </c>
      <c r="G1791" t="str">
        <f>LOOKUP(F1791,Sheet2!$J$4:$K$8)</f>
        <v>70-79</v>
      </c>
      <c r="H1791" s="1">
        <v>31</v>
      </c>
      <c r="I1791" t="str">
        <f>LOOKUP(H1791,Sheet2!$M$4:$N$8)</f>
        <v>30-39</v>
      </c>
      <c r="J1791" s="1">
        <v>0</v>
      </c>
      <c r="K1791" t="str">
        <f>LOOKUP(J1791,Sheet2!$P$4:$Q$9)</f>
        <v>Unknown</v>
      </c>
      <c r="L1791" s="1">
        <v>27.6</v>
      </c>
      <c r="M1791" t="str">
        <f>LOOKUP(L1791,Sheet2!$S$4:$T$8)</f>
        <v>26-30</v>
      </c>
      <c r="N1791" s="1">
        <v>0.56499999999999995</v>
      </c>
      <c r="O1791" t="str">
        <f>LOOKUP(N1791,Sheet2!$V$4:$W$7)</f>
        <v>0.4 - 0.69</v>
      </c>
      <c r="P1791" s="1">
        <v>49</v>
      </c>
      <c r="Q1791" t="str">
        <f>LOOKUP(P1791,Sheet2!$Z$4:$AA$7)</f>
        <v>46+</v>
      </c>
      <c r="R1791" s="1">
        <v>1</v>
      </c>
      <c r="S1791" t="str">
        <f>IF(R1791=1,"Positive","Negative")</f>
        <v>Positive</v>
      </c>
      <c r="T1791" s="1" t="str">
        <f>IFERROR(VLOOKUP(A1791,[1]diabetes_Recognition!$A:$B,2,FALSE),"Not Sampled")</f>
        <v>Not Sampled</v>
      </c>
      <c r="U1791" t="str">
        <f>IF(T1791=1,"Positive",(IF(T1791=0,"Negative","Not Sampled")))</f>
        <v>Not Sampled</v>
      </c>
      <c r="V1791" s="1" t="str">
        <f>IF(U1791="Not Sampled","Not Sampled",IF(S1791=U1791,"Accurate Prediction","Inaccurate Prediction"))</f>
        <v>Not Sampled</v>
      </c>
    </row>
    <row r="1792" spans="1:22" x14ac:dyDescent="0.25">
      <c r="A1792" s="1">
        <v>1790</v>
      </c>
      <c r="B1792" s="1">
        <v>1</v>
      </c>
      <c r="C1792" s="1">
        <f>LOOKUP(B1792,Sheet2!$D$4:$E$9)</f>
        <v>1</v>
      </c>
      <c r="D1792" s="1">
        <v>168</v>
      </c>
      <c r="E1792" t="str">
        <f>LOOKUP(D1792,Sheet2!$G$4:$H$9)</f>
        <v>151-175</v>
      </c>
      <c r="F1792" s="1">
        <v>88</v>
      </c>
      <c r="G1792" t="str">
        <f>LOOKUP(F1792,Sheet2!$J$4:$K$8)</f>
        <v>80+</v>
      </c>
      <c r="H1792" s="1">
        <v>29</v>
      </c>
      <c r="I1792" t="str">
        <f>LOOKUP(H1792,Sheet2!$M$4:$N$8)</f>
        <v>10-30</v>
      </c>
      <c r="J1792" s="1">
        <v>0</v>
      </c>
      <c r="K1792" t="str">
        <f>LOOKUP(J1792,Sheet2!$P$4:$Q$9)</f>
        <v>Unknown</v>
      </c>
      <c r="L1792" s="1">
        <v>35</v>
      </c>
      <c r="M1792" t="str">
        <f>LOOKUP(L1792,Sheet2!$S$4:$T$8)</f>
        <v>31-35</v>
      </c>
      <c r="N1792" s="1">
        <v>0.90500000000000003</v>
      </c>
      <c r="O1792" t="str">
        <f>LOOKUP(N1792,Sheet2!$V$4:$W$7)</f>
        <v>0.7+</v>
      </c>
      <c r="P1792" s="1">
        <v>52</v>
      </c>
      <c r="Q1792" t="str">
        <f>LOOKUP(P1792,Sheet2!$Z$4:$AA$7)</f>
        <v>46+</v>
      </c>
      <c r="R1792" s="1">
        <v>1</v>
      </c>
      <c r="S1792" t="str">
        <f>IF(R1792=1,"Positive","Negative")</f>
        <v>Positive</v>
      </c>
      <c r="T1792" s="1" t="str">
        <f>IFERROR(VLOOKUP(A1792,[1]diabetes_Recognition!$A:$B,2,FALSE),"Not Sampled")</f>
        <v>Not Sampled</v>
      </c>
      <c r="U1792" t="str">
        <f>IF(T1792=1,"Positive",(IF(T1792=0,"Negative","Not Sampled")))</f>
        <v>Not Sampled</v>
      </c>
      <c r="V1792" s="1" t="str">
        <f>IF(U1792="Not Sampled","Not Sampled",IF(S1792=U1792,"Accurate Prediction","Inaccurate Prediction"))</f>
        <v>Not Sampled</v>
      </c>
    </row>
    <row r="1793" spans="1:22" x14ac:dyDescent="0.25">
      <c r="A1793" s="1">
        <v>1791</v>
      </c>
      <c r="B1793" s="1">
        <v>2</v>
      </c>
      <c r="C1793" s="1">
        <f>LOOKUP(B1793,Sheet2!$D$4:$E$9)</f>
        <v>2</v>
      </c>
      <c r="D1793" s="1">
        <v>129</v>
      </c>
      <c r="E1793" t="str">
        <f>LOOKUP(D1793,Sheet2!$G$4:$H$9)</f>
        <v>126-150</v>
      </c>
      <c r="F1793" s="1">
        <v>0</v>
      </c>
      <c r="G1793" t="str">
        <f>LOOKUP(F1793,Sheet2!$J$4:$K$8)</f>
        <v>Unknown</v>
      </c>
      <c r="H1793" s="1">
        <v>0</v>
      </c>
      <c r="I1793" t="str">
        <f>LOOKUP(H1793,Sheet2!$M$4:$N$8)</f>
        <v>Unknown</v>
      </c>
      <c r="J1793" s="1">
        <v>0</v>
      </c>
      <c r="K1793" t="str">
        <f>LOOKUP(J1793,Sheet2!$P$4:$Q$9)</f>
        <v>Unknown</v>
      </c>
      <c r="L1793" s="1">
        <v>38.5</v>
      </c>
      <c r="M1793" t="str">
        <f>LOOKUP(L1793,Sheet2!$S$4:$T$8)</f>
        <v>36+</v>
      </c>
      <c r="N1793" s="1">
        <v>0.30399999999999999</v>
      </c>
      <c r="O1793" t="str">
        <f>LOOKUP(N1793,Sheet2!$V$4:$W$7)</f>
        <v>0.25 - 0.39</v>
      </c>
      <c r="P1793" s="1">
        <v>41</v>
      </c>
      <c r="Q1793" t="str">
        <f>LOOKUP(P1793,Sheet2!$Z$4:$AA$7)</f>
        <v>36-45</v>
      </c>
      <c r="R1793" s="1">
        <v>0</v>
      </c>
      <c r="S1793" t="str">
        <f>IF(R1793=1,"Positive","Negative")</f>
        <v>Negative</v>
      </c>
      <c r="T1793" s="1" t="str">
        <f>IFERROR(VLOOKUP(A1793,[1]diabetes_Recognition!$A:$B,2,FALSE),"Not Sampled")</f>
        <v>Not Sampled</v>
      </c>
      <c r="U1793" t="str">
        <f>IF(T1793=1,"Positive",(IF(T1793=0,"Negative","Not Sampled")))</f>
        <v>Not Sampled</v>
      </c>
      <c r="V1793" s="1" t="str">
        <f>IF(U1793="Not Sampled","Not Sampled",IF(S1793=U1793,"Accurate Prediction","Inaccurate Prediction"))</f>
        <v>Not Sampled</v>
      </c>
    </row>
    <row r="1794" spans="1:22" x14ac:dyDescent="0.25">
      <c r="A1794" s="1">
        <v>1792</v>
      </c>
      <c r="B1794" s="1">
        <v>4</v>
      </c>
      <c r="C1794" s="1" t="str">
        <f>LOOKUP(B1794,Sheet2!$D$4:$E$9)</f>
        <v>3-4</v>
      </c>
      <c r="D1794" s="1">
        <v>110</v>
      </c>
      <c r="E1794" t="str">
        <f>LOOKUP(D1794,Sheet2!$G$4:$H$9)</f>
        <v>100-125</v>
      </c>
      <c r="F1794" s="1">
        <v>76</v>
      </c>
      <c r="G1794" t="str">
        <f>LOOKUP(F1794,Sheet2!$J$4:$K$8)</f>
        <v>70-79</v>
      </c>
      <c r="H1794" s="1">
        <v>20</v>
      </c>
      <c r="I1794" t="str">
        <f>LOOKUP(H1794,Sheet2!$M$4:$N$8)</f>
        <v>10-30</v>
      </c>
      <c r="J1794" s="1">
        <v>100</v>
      </c>
      <c r="K1794" t="str">
        <f>LOOKUP(J1794,Sheet2!$P$4:$Q$9)</f>
        <v>100-199</v>
      </c>
      <c r="L1794" s="1">
        <v>28.4</v>
      </c>
      <c r="M1794" t="str">
        <f>LOOKUP(L1794,Sheet2!$S$4:$T$8)</f>
        <v>26-30</v>
      </c>
      <c r="N1794" s="1">
        <v>0.11799999999999999</v>
      </c>
      <c r="O1794" t="str">
        <f>LOOKUP(N1794,Sheet2!$V$4:$W$7)</f>
        <v>0.0 - 0.249</v>
      </c>
      <c r="P1794" s="1">
        <v>27</v>
      </c>
      <c r="Q1794" t="str">
        <f>LOOKUP(P1794,Sheet2!$Z$4:$AA$7)</f>
        <v>26-35</v>
      </c>
      <c r="R1794" s="1">
        <v>0</v>
      </c>
      <c r="S1794" t="str">
        <f>IF(R1794=1,"Positive","Negative")</f>
        <v>Negative</v>
      </c>
      <c r="T1794" s="1" t="str">
        <f>IFERROR(VLOOKUP(A1794,[1]diabetes_Recognition!$A:$B,2,FALSE),"Not Sampled")</f>
        <v>Not Sampled</v>
      </c>
      <c r="U1794" t="str">
        <f>IF(T1794=1,"Positive",(IF(T1794=0,"Negative","Not Sampled")))</f>
        <v>Not Sampled</v>
      </c>
      <c r="V1794" s="1" t="str">
        <f>IF(U1794="Not Sampled","Not Sampled",IF(S1794=U1794,"Accurate Prediction","Inaccurate Prediction"))</f>
        <v>Not Sampled</v>
      </c>
    </row>
    <row r="1795" spans="1:22" x14ac:dyDescent="0.25">
      <c r="A1795" s="1">
        <v>1793</v>
      </c>
      <c r="B1795" s="1">
        <v>6</v>
      </c>
      <c r="C1795" s="1" t="str">
        <f>LOOKUP(B1795,Sheet2!$D$4:$E$9)</f>
        <v>5-7</v>
      </c>
      <c r="D1795" s="1">
        <v>80</v>
      </c>
      <c r="E1795" t="str">
        <f>LOOKUP(D1795,Sheet2!$G$4:$H$9)</f>
        <v>1-99</v>
      </c>
      <c r="F1795" s="1">
        <v>80</v>
      </c>
      <c r="G1795" t="str">
        <f>LOOKUP(F1795,Sheet2!$J$4:$K$8)</f>
        <v>80+</v>
      </c>
      <c r="H1795" s="1">
        <v>36</v>
      </c>
      <c r="I1795" t="str">
        <f>LOOKUP(H1795,Sheet2!$M$4:$N$8)</f>
        <v>30-39</v>
      </c>
      <c r="J1795" s="1">
        <v>0</v>
      </c>
      <c r="K1795" t="str">
        <f>LOOKUP(J1795,Sheet2!$P$4:$Q$9)</f>
        <v>Unknown</v>
      </c>
      <c r="L1795" s="1">
        <v>39.799999999999997</v>
      </c>
      <c r="M1795" t="str">
        <f>LOOKUP(L1795,Sheet2!$S$4:$T$8)</f>
        <v>36+</v>
      </c>
      <c r="N1795" s="1">
        <v>0.17699999999999999</v>
      </c>
      <c r="O1795" t="str">
        <f>LOOKUP(N1795,Sheet2!$V$4:$W$7)</f>
        <v>0.0 - 0.249</v>
      </c>
      <c r="P1795" s="1">
        <v>28</v>
      </c>
      <c r="Q1795" t="str">
        <f>LOOKUP(P1795,Sheet2!$Z$4:$AA$7)</f>
        <v>26-35</v>
      </c>
      <c r="R1795" s="1">
        <v>0</v>
      </c>
      <c r="S1795" t="str">
        <f>IF(R1795=1,"Positive","Negative")</f>
        <v>Negative</v>
      </c>
      <c r="T1795" s="1" t="str">
        <f>IFERROR(VLOOKUP(A1795,[1]diabetes_Recognition!$A:$B,2,FALSE),"Not Sampled")</f>
        <v>Not Sampled</v>
      </c>
      <c r="U1795" t="str">
        <f>IF(T1795=1,"Positive",(IF(T1795=0,"Negative","Not Sampled")))</f>
        <v>Not Sampled</v>
      </c>
      <c r="V1795" s="1" t="str">
        <f>IF(U1795="Not Sampled","Not Sampled",IF(S1795=U1795,"Accurate Prediction","Inaccurate Prediction"))</f>
        <v>Not Sampled</v>
      </c>
    </row>
    <row r="1796" spans="1:22" x14ac:dyDescent="0.25">
      <c r="A1796" s="1">
        <v>1794</v>
      </c>
      <c r="B1796" s="1">
        <v>10</v>
      </c>
      <c r="C1796" s="1" t="str">
        <f>LOOKUP(B1796,Sheet2!$D$4:$E$9)</f>
        <v>8+</v>
      </c>
      <c r="D1796" s="1">
        <v>115</v>
      </c>
      <c r="E1796" t="str">
        <f>LOOKUP(D1796,Sheet2!$G$4:$H$9)</f>
        <v>100-125</v>
      </c>
      <c r="F1796" s="1">
        <v>0</v>
      </c>
      <c r="G1796" t="str">
        <f>LOOKUP(F1796,Sheet2!$J$4:$K$8)</f>
        <v>Unknown</v>
      </c>
      <c r="H1796" s="1">
        <v>0</v>
      </c>
      <c r="I1796" t="str">
        <f>LOOKUP(H1796,Sheet2!$M$4:$N$8)</f>
        <v>Unknown</v>
      </c>
      <c r="J1796" s="1">
        <v>0</v>
      </c>
      <c r="K1796" t="str">
        <f>LOOKUP(J1796,Sheet2!$P$4:$Q$9)</f>
        <v>Unknown</v>
      </c>
      <c r="L1796" s="1">
        <v>0</v>
      </c>
      <c r="M1796" t="str">
        <f>LOOKUP(L1796,Sheet2!$S$4:$T$8)</f>
        <v>Unknown</v>
      </c>
      <c r="N1796" s="1">
        <v>0.26100000000000001</v>
      </c>
      <c r="O1796" t="str">
        <f>LOOKUP(N1796,Sheet2!$V$4:$W$7)</f>
        <v>0.25 - 0.39</v>
      </c>
      <c r="P1796" s="1">
        <v>30</v>
      </c>
      <c r="Q1796" t="str">
        <f>LOOKUP(P1796,Sheet2!$Z$4:$AA$7)</f>
        <v>26-35</v>
      </c>
      <c r="R1796" s="1">
        <v>1</v>
      </c>
      <c r="S1796" t="str">
        <f>IF(R1796=1,"Positive","Negative")</f>
        <v>Positive</v>
      </c>
      <c r="T1796" s="1" t="str">
        <f>IFERROR(VLOOKUP(A1796,[1]diabetes_Recognition!$A:$B,2,FALSE),"Not Sampled")</f>
        <v>Not Sampled</v>
      </c>
      <c r="U1796" t="str">
        <f>IF(T1796=1,"Positive",(IF(T1796=0,"Negative","Not Sampled")))</f>
        <v>Not Sampled</v>
      </c>
      <c r="V1796" s="1" t="str">
        <f>IF(U1796="Not Sampled","Not Sampled",IF(S1796=U1796,"Accurate Prediction","Inaccurate Prediction"))</f>
        <v>Not Sampled</v>
      </c>
    </row>
    <row r="1797" spans="1:22" x14ac:dyDescent="0.25">
      <c r="A1797" s="1">
        <v>1795</v>
      </c>
      <c r="B1797" s="1">
        <v>2</v>
      </c>
      <c r="C1797" s="1">
        <f>LOOKUP(B1797,Sheet2!$D$4:$E$9)</f>
        <v>2</v>
      </c>
      <c r="D1797" s="1">
        <v>127</v>
      </c>
      <c r="E1797" t="str">
        <f>LOOKUP(D1797,Sheet2!$G$4:$H$9)</f>
        <v>126-150</v>
      </c>
      <c r="F1797" s="1">
        <v>46</v>
      </c>
      <c r="G1797" t="str">
        <f>LOOKUP(F1797,Sheet2!$J$4:$K$8)</f>
        <v>1-59</v>
      </c>
      <c r="H1797" s="1">
        <v>21</v>
      </c>
      <c r="I1797" t="str">
        <f>LOOKUP(H1797,Sheet2!$M$4:$N$8)</f>
        <v>10-30</v>
      </c>
      <c r="J1797" s="1">
        <v>335</v>
      </c>
      <c r="K1797" t="str">
        <f>LOOKUP(J1797,Sheet2!$P$4:$Q$9)</f>
        <v>300-499</v>
      </c>
      <c r="L1797" s="1">
        <v>34.4</v>
      </c>
      <c r="M1797" t="str">
        <f>LOOKUP(L1797,Sheet2!$S$4:$T$8)</f>
        <v>31-35</v>
      </c>
      <c r="N1797" s="1">
        <v>0.17599999999999999</v>
      </c>
      <c r="O1797" t="str">
        <f>LOOKUP(N1797,Sheet2!$V$4:$W$7)</f>
        <v>0.0 - 0.249</v>
      </c>
      <c r="P1797" s="1">
        <v>22</v>
      </c>
      <c r="Q1797" t="str">
        <f>LOOKUP(P1797,Sheet2!$Z$4:$AA$7)</f>
        <v>&lt;=25</v>
      </c>
      <c r="R1797" s="1">
        <v>0</v>
      </c>
      <c r="S1797" t="str">
        <f>IF(R1797=1,"Positive","Negative")</f>
        <v>Negative</v>
      </c>
      <c r="T1797" s="1" t="str">
        <f>IFERROR(VLOOKUP(A1797,[1]diabetes_Recognition!$A:$B,2,FALSE),"Not Sampled")</f>
        <v>Not Sampled</v>
      </c>
      <c r="U1797" t="str">
        <f>IF(T1797=1,"Positive",(IF(T1797=0,"Negative","Not Sampled")))</f>
        <v>Not Sampled</v>
      </c>
      <c r="V1797" s="1" t="str">
        <f>IF(U1797="Not Sampled","Not Sampled",IF(S1797=U1797,"Accurate Prediction","Inaccurate Prediction"))</f>
        <v>Not Sampled</v>
      </c>
    </row>
    <row r="1798" spans="1:22" x14ac:dyDescent="0.25">
      <c r="A1798" s="1">
        <v>1796</v>
      </c>
      <c r="B1798" s="1">
        <v>9</v>
      </c>
      <c r="C1798" s="1" t="str">
        <f>LOOKUP(B1798,Sheet2!$D$4:$E$9)</f>
        <v>8+</v>
      </c>
      <c r="D1798" s="1">
        <v>164</v>
      </c>
      <c r="E1798" t="str">
        <f>LOOKUP(D1798,Sheet2!$G$4:$H$9)</f>
        <v>151-175</v>
      </c>
      <c r="F1798" s="1">
        <v>78</v>
      </c>
      <c r="G1798" t="str">
        <f>LOOKUP(F1798,Sheet2!$J$4:$K$8)</f>
        <v>70-79</v>
      </c>
      <c r="H1798" s="1">
        <v>0</v>
      </c>
      <c r="I1798" t="str">
        <f>LOOKUP(H1798,Sheet2!$M$4:$N$8)</f>
        <v>Unknown</v>
      </c>
      <c r="J1798" s="1">
        <v>0</v>
      </c>
      <c r="K1798" t="str">
        <f>LOOKUP(J1798,Sheet2!$P$4:$Q$9)</f>
        <v>Unknown</v>
      </c>
      <c r="L1798" s="1">
        <v>32.799999999999997</v>
      </c>
      <c r="M1798" t="str">
        <f>LOOKUP(L1798,Sheet2!$S$4:$T$8)</f>
        <v>31-35</v>
      </c>
      <c r="N1798" s="1">
        <v>0.14799999999999999</v>
      </c>
      <c r="O1798" t="str">
        <f>LOOKUP(N1798,Sheet2!$V$4:$W$7)</f>
        <v>0.0 - 0.249</v>
      </c>
      <c r="P1798" s="1">
        <v>45</v>
      </c>
      <c r="Q1798" t="str">
        <f>LOOKUP(P1798,Sheet2!$Z$4:$AA$7)</f>
        <v>36-45</v>
      </c>
      <c r="R1798" s="1">
        <v>1</v>
      </c>
      <c r="S1798" t="str">
        <f>IF(R1798=1,"Positive","Negative")</f>
        <v>Positive</v>
      </c>
      <c r="T1798" s="1" t="str">
        <f>IFERROR(VLOOKUP(A1798,[1]diabetes_Recognition!$A:$B,2,FALSE),"Not Sampled")</f>
        <v>Not Sampled</v>
      </c>
      <c r="U1798" t="str">
        <f>IF(T1798=1,"Positive",(IF(T1798=0,"Negative","Not Sampled")))</f>
        <v>Not Sampled</v>
      </c>
      <c r="V1798" s="1" t="str">
        <f>IF(U1798="Not Sampled","Not Sampled",IF(S1798=U1798,"Accurate Prediction","Inaccurate Prediction"))</f>
        <v>Not Sampled</v>
      </c>
    </row>
    <row r="1799" spans="1:22" x14ac:dyDescent="0.25">
      <c r="A1799" s="1">
        <v>1797</v>
      </c>
      <c r="B1799" s="1">
        <v>2</v>
      </c>
      <c r="C1799" s="1">
        <f>LOOKUP(B1799,Sheet2!$D$4:$E$9)</f>
        <v>2</v>
      </c>
      <c r="D1799" s="1">
        <v>93</v>
      </c>
      <c r="E1799" t="str">
        <f>LOOKUP(D1799,Sheet2!$G$4:$H$9)</f>
        <v>1-99</v>
      </c>
      <c r="F1799" s="1">
        <v>64</v>
      </c>
      <c r="G1799" t="str">
        <f>LOOKUP(F1799,Sheet2!$J$4:$K$8)</f>
        <v>60-69</v>
      </c>
      <c r="H1799" s="1">
        <v>32</v>
      </c>
      <c r="I1799" t="str">
        <f>LOOKUP(H1799,Sheet2!$M$4:$N$8)</f>
        <v>30-39</v>
      </c>
      <c r="J1799" s="1">
        <v>160</v>
      </c>
      <c r="K1799" t="str">
        <f>LOOKUP(J1799,Sheet2!$P$4:$Q$9)</f>
        <v>100-199</v>
      </c>
      <c r="L1799" s="1">
        <v>38</v>
      </c>
      <c r="M1799" t="str">
        <f>LOOKUP(L1799,Sheet2!$S$4:$T$8)</f>
        <v>36+</v>
      </c>
      <c r="N1799" s="1">
        <v>0.67400000000000004</v>
      </c>
      <c r="O1799" t="str">
        <f>LOOKUP(N1799,Sheet2!$V$4:$W$7)</f>
        <v>0.4 - 0.69</v>
      </c>
      <c r="P1799" s="1">
        <v>23</v>
      </c>
      <c r="Q1799" t="str">
        <f>LOOKUP(P1799,Sheet2!$Z$4:$AA$7)</f>
        <v>&lt;=25</v>
      </c>
      <c r="R1799" s="1">
        <v>1</v>
      </c>
      <c r="S1799" t="str">
        <f>IF(R1799=1,"Positive","Negative")</f>
        <v>Positive</v>
      </c>
      <c r="T1799" s="1">
        <f>IFERROR(VLOOKUP(A1799,[1]diabetes_Recognition!$A:$B,2,FALSE),"Not Sampled")</f>
        <v>0</v>
      </c>
      <c r="U1799" t="str">
        <f>IF(T1799=1,"Positive",(IF(T1799=0,"Negative","Not Sampled")))</f>
        <v>Negative</v>
      </c>
      <c r="V1799" s="1" t="str">
        <f>IF(U1799="Not Sampled","Not Sampled",IF(S1799=U1799,"Accurate Prediction","Inaccurate Prediction"))</f>
        <v>Inaccurate Prediction</v>
      </c>
    </row>
    <row r="1800" spans="1:22" x14ac:dyDescent="0.25">
      <c r="A1800" s="1">
        <v>1798</v>
      </c>
      <c r="B1800" s="1">
        <v>3</v>
      </c>
      <c r="C1800" s="1" t="str">
        <f>LOOKUP(B1800,Sheet2!$D$4:$E$9)</f>
        <v>3-4</v>
      </c>
      <c r="D1800" s="1">
        <v>158</v>
      </c>
      <c r="E1800" t="str">
        <f>LOOKUP(D1800,Sheet2!$G$4:$H$9)</f>
        <v>151-175</v>
      </c>
      <c r="F1800" s="1">
        <v>64</v>
      </c>
      <c r="G1800" t="str">
        <f>LOOKUP(F1800,Sheet2!$J$4:$K$8)</f>
        <v>60-69</v>
      </c>
      <c r="H1800" s="1">
        <v>13</v>
      </c>
      <c r="I1800" t="str">
        <f>LOOKUP(H1800,Sheet2!$M$4:$N$8)</f>
        <v>10-30</v>
      </c>
      <c r="J1800" s="1">
        <v>387</v>
      </c>
      <c r="K1800" t="str">
        <f>LOOKUP(J1800,Sheet2!$P$4:$Q$9)</f>
        <v>300-499</v>
      </c>
      <c r="L1800" s="1">
        <v>31.2</v>
      </c>
      <c r="M1800" t="str">
        <f>LOOKUP(L1800,Sheet2!$S$4:$T$8)</f>
        <v>31-35</v>
      </c>
      <c r="N1800" s="1">
        <v>0.29499999999999998</v>
      </c>
      <c r="O1800" t="str">
        <f>LOOKUP(N1800,Sheet2!$V$4:$W$7)</f>
        <v>0.25 - 0.39</v>
      </c>
      <c r="P1800" s="1">
        <v>24</v>
      </c>
      <c r="Q1800" t="str">
        <f>LOOKUP(P1800,Sheet2!$Z$4:$AA$7)</f>
        <v>&lt;=25</v>
      </c>
      <c r="R1800" s="1">
        <v>0</v>
      </c>
      <c r="S1800" t="str">
        <f>IF(R1800=1,"Positive","Negative")</f>
        <v>Negative</v>
      </c>
      <c r="T1800" s="1" t="str">
        <f>IFERROR(VLOOKUP(A1800,[1]diabetes_Recognition!$A:$B,2,FALSE),"Not Sampled")</f>
        <v>Not Sampled</v>
      </c>
      <c r="U1800" t="str">
        <f>IF(T1800=1,"Positive",(IF(T1800=0,"Negative","Not Sampled")))</f>
        <v>Not Sampled</v>
      </c>
      <c r="V1800" s="1" t="str">
        <f>IF(U1800="Not Sampled","Not Sampled",IF(S1800=U1800,"Accurate Prediction","Inaccurate Prediction"))</f>
        <v>Not Sampled</v>
      </c>
    </row>
    <row r="1801" spans="1:22" x14ac:dyDescent="0.25">
      <c r="A1801" s="1">
        <v>1799</v>
      </c>
      <c r="B1801" s="1">
        <v>5</v>
      </c>
      <c r="C1801" s="1" t="str">
        <f>LOOKUP(B1801,Sheet2!$D$4:$E$9)</f>
        <v>5-7</v>
      </c>
      <c r="D1801" s="1">
        <v>126</v>
      </c>
      <c r="E1801" t="str">
        <f>LOOKUP(D1801,Sheet2!$G$4:$H$9)</f>
        <v>126-150</v>
      </c>
      <c r="F1801" s="1">
        <v>78</v>
      </c>
      <c r="G1801" t="str">
        <f>LOOKUP(F1801,Sheet2!$J$4:$K$8)</f>
        <v>70-79</v>
      </c>
      <c r="H1801" s="1">
        <v>27</v>
      </c>
      <c r="I1801" t="str">
        <f>LOOKUP(H1801,Sheet2!$M$4:$N$8)</f>
        <v>10-30</v>
      </c>
      <c r="J1801" s="1">
        <v>22</v>
      </c>
      <c r="K1801" t="str">
        <f>LOOKUP(J1801,Sheet2!$P$4:$Q$9)</f>
        <v>1-99</v>
      </c>
      <c r="L1801" s="1">
        <v>29.6</v>
      </c>
      <c r="M1801" t="str">
        <f>LOOKUP(L1801,Sheet2!$S$4:$T$8)</f>
        <v>26-30</v>
      </c>
      <c r="N1801" s="1">
        <v>0.439</v>
      </c>
      <c r="O1801" t="str">
        <f>LOOKUP(N1801,Sheet2!$V$4:$W$7)</f>
        <v>0.4 - 0.69</v>
      </c>
      <c r="P1801" s="1">
        <v>40</v>
      </c>
      <c r="Q1801" t="str">
        <f>LOOKUP(P1801,Sheet2!$Z$4:$AA$7)</f>
        <v>36-45</v>
      </c>
      <c r="R1801" s="1">
        <v>0</v>
      </c>
      <c r="S1801" t="str">
        <f>IF(R1801=1,"Positive","Negative")</f>
        <v>Negative</v>
      </c>
      <c r="T1801" s="1" t="str">
        <f>IFERROR(VLOOKUP(A1801,[1]diabetes_Recognition!$A:$B,2,FALSE),"Not Sampled")</f>
        <v>Not Sampled</v>
      </c>
      <c r="U1801" t="str">
        <f>IF(T1801=1,"Positive",(IF(T1801=0,"Negative","Not Sampled")))</f>
        <v>Not Sampled</v>
      </c>
      <c r="V1801" s="1" t="str">
        <f>IF(U1801="Not Sampled","Not Sampled",IF(S1801=U1801,"Accurate Prediction","Inaccurate Prediction"))</f>
        <v>Not Sampled</v>
      </c>
    </row>
    <row r="1802" spans="1:22" x14ac:dyDescent="0.25">
      <c r="A1802" s="1">
        <v>1800</v>
      </c>
      <c r="B1802" s="1">
        <v>10</v>
      </c>
      <c r="C1802" s="1" t="str">
        <f>LOOKUP(B1802,Sheet2!$D$4:$E$9)</f>
        <v>8+</v>
      </c>
      <c r="D1802" s="1">
        <v>129</v>
      </c>
      <c r="E1802" t="str">
        <f>LOOKUP(D1802,Sheet2!$G$4:$H$9)</f>
        <v>126-150</v>
      </c>
      <c r="F1802" s="1">
        <v>62</v>
      </c>
      <c r="G1802" t="str">
        <f>LOOKUP(F1802,Sheet2!$J$4:$K$8)</f>
        <v>60-69</v>
      </c>
      <c r="H1802" s="1">
        <v>36</v>
      </c>
      <c r="I1802" t="str">
        <f>LOOKUP(H1802,Sheet2!$M$4:$N$8)</f>
        <v>30-39</v>
      </c>
      <c r="J1802" s="1">
        <v>0</v>
      </c>
      <c r="K1802" t="str">
        <f>LOOKUP(J1802,Sheet2!$P$4:$Q$9)</f>
        <v>Unknown</v>
      </c>
      <c r="L1802" s="1">
        <v>41.2</v>
      </c>
      <c r="M1802" t="str">
        <f>LOOKUP(L1802,Sheet2!$S$4:$T$8)</f>
        <v>36+</v>
      </c>
      <c r="N1802" s="1">
        <v>0.441</v>
      </c>
      <c r="O1802" t="str">
        <f>LOOKUP(N1802,Sheet2!$V$4:$W$7)</f>
        <v>0.4 - 0.69</v>
      </c>
      <c r="P1802" s="1">
        <v>38</v>
      </c>
      <c r="Q1802" t="str">
        <f>LOOKUP(P1802,Sheet2!$Z$4:$AA$7)</f>
        <v>36-45</v>
      </c>
      <c r="R1802" s="1">
        <v>1</v>
      </c>
      <c r="S1802" t="str">
        <f>IF(R1802=1,"Positive","Negative")</f>
        <v>Positive</v>
      </c>
      <c r="T1802" s="1" t="str">
        <f>IFERROR(VLOOKUP(A1802,[1]diabetes_Recognition!$A:$B,2,FALSE),"Not Sampled")</f>
        <v>Not Sampled</v>
      </c>
      <c r="U1802" t="str">
        <f>IF(T1802=1,"Positive",(IF(T1802=0,"Negative","Not Sampled")))</f>
        <v>Not Sampled</v>
      </c>
      <c r="V1802" s="1" t="str">
        <f>IF(U1802="Not Sampled","Not Sampled",IF(S1802=U1802,"Accurate Prediction","Inaccurate Prediction"))</f>
        <v>Not Sampled</v>
      </c>
    </row>
    <row r="1803" spans="1:22" x14ac:dyDescent="0.25">
      <c r="A1803" s="1">
        <v>1801</v>
      </c>
      <c r="B1803" s="1">
        <v>0</v>
      </c>
      <c r="C1803" s="1">
        <f>LOOKUP(B1803,Sheet2!$D$4:$E$9)</f>
        <v>0</v>
      </c>
      <c r="D1803" s="1">
        <v>134</v>
      </c>
      <c r="E1803" t="str">
        <f>LOOKUP(D1803,Sheet2!$G$4:$H$9)</f>
        <v>126-150</v>
      </c>
      <c r="F1803" s="1">
        <v>58</v>
      </c>
      <c r="G1803" t="str">
        <f>LOOKUP(F1803,Sheet2!$J$4:$K$8)</f>
        <v>1-59</v>
      </c>
      <c r="H1803" s="1">
        <v>20</v>
      </c>
      <c r="I1803" t="str">
        <f>LOOKUP(H1803,Sheet2!$M$4:$N$8)</f>
        <v>10-30</v>
      </c>
      <c r="J1803" s="1">
        <v>291</v>
      </c>
      <c r="K1803" t="str">
        <f>LOOKUP(J1803,Sheet2!$P$4:$Q$9)</f>
        <v>200-399</v>
      </c>
      <c r="L1803" s="1">
        <v>26.4</v>
      </c>
      <c r="M1803" t="str">
        <f>LOOKUP(L1803,Sheet2!$S$4:$T$8)</f>
        <v>26-30</v>
      </c>
      <c r="N1803" s="1">
        <v>0.35199999999999998</v>
      </c>
      <c r="O1803" t="str">
        <f>LOOKUP(N1803,Sheet2!$V$4:$W$7)</f>
        <v>0.25 - 0.39</v>
      </c>
      <c r="P1803" s="1">
        <v>21</v>
      </c>
      <c r="Q1803" t="str">
        <f>LOOKUP(P1803,Sheet2!$Z$4:$AA$7)</f>
        <v>&lt;=25</v>
      </c>
      <c r="R1803" s="1">
        <v>0</v>
      </c>
      <c r="S1803" t="str">
        <f>IF(R1803=1,"Positive","Negative")</f>
        <v>Negative</v>
      </c>
      <c r="T1803" s="1" t="str">
        <f>IFERROR(VLOOKUP(A1803,[1]diabetes_Recognition!$A:$B,2,FALSE),"Not Sampled")</f>
        <v>Not Sampled</v>
      </c>
      <c r="U1803" t="str">
        <f>IF(T1803=1,"Positive",(IF(T1803=0,"Negative","Not Sampled")))</f>
        <v>Not Sampled</v>
      </c>
      <c r="V1803" s="1" t="str">
        <f>IF(U1803="Not Sampled","Not Sampled",IF(S1803=U1803,"Accurate Prediction","Inaccurate Prediction"))</f>
        <v>Not Sampled</v>
      </c>
    </row>
    <row r="1804" spans="1:22" x14ac:dyDescent="0.25">
      <c r="A1804" s="1">
        <v>1802</v>
      </c>
      <c r="B1804" s="1">
        <v>3</v>
      </c>
      <c r="C1804" s="1" t="str">
        <f>LOOKUP(B1804,Sheet2!$D$4:$E$9)</f>
        <v>3-4</v>
      </c>
      <c r="D1804" s="1">
        <v>102</v>
      </c>
      <c r="E1804" t="str">
        <f>LOOKUP(D1804,Sheet2!$G$4:$H$9)</f>
        <v>100-125</v>
      </c>
      <c r="F1804" s="1">
        <v>74</v>
      </c>
      <c r="G1804" t="str">
        <f>LOOKUP(F1804,Sheet2!$J$4:$K$8)</f>
        <v>70-79</v>
      </c>
      <c r="H1804" s="1">
        <v>0</v>
      </c>
      <c r="I1804" t="str">
        <f>LOOKUP(H1804,Sheet2!$M$4:$N$8)</f>
        <v>Unknown</v>
      </c>
      <c r="J1804" s="1">
        <v>0</v>
      </c>
      <c r="K1804" t="str">
        <f>LOOKUP(J1804,Sheet2!$P$4:$Q$9)</f>
        <v>Unknown</v>
      </c>
      <c r="L1804" s="1">
        <v>29.5</v>
      </c>
      <c r="M1804" t="str">
        <f>LOOKUP(L1804,Sheet2!$S$4:$T$8)</f>
        <v>26-30</v>
      </c>
      <c r="N1804" s="1">
        <v>0.121</v>
      </c>
      <c r="O1804" t="str">
        <f>LOOKUP(N1804,Sheet2!$V$4:$W$7)</f>
        <v>0.0 - 0.249</v>
      </c>
      <c r="P1804" s="1">
        <v>32</v>
      </c>
      <c r="Q1804" t="str">
        <f>LOOKUP(P1804,Sheet2!$Z$4:$AA$7)</f>
        <v>26-35</v>
      </c>
      <c r="R1804" s="1">
        <v>0</v>
      </c>
      <c r="S1804" t="str">
        <f>IF(R1804=1,"Positive","Negative")</f>
        <v>Negative</v>
      </c>
      <c r="T1804" s="1" t="str">
        <f>IFERROR(VLOOKUP(A1804,[1]diabetes_Recognition!$A:$B,2,FALSE),"Not Sampled")</f>
        <v>Not Sampled</v>
      </c>
      <c r="U1804" t="str">
        <f>IF(T1804=1,"Positive",(IF(T1804=0,"Negative","Not Sampled")))</f>
        <v>Not Sampled</v>
      </c>
      <c r="V1804" s="1" t="str">
        <f>IF(U1804="Not Sampled","Not Sampled",IF(S1804=U1804,"Accurate Prediction","Inaccurate Prediction"))</f>
        <v>Not Sampled</v>
      </c>
    </row>
    <row r="1805" spans="1:22" x14ac:dyDescent="0.25">
      <c r="A1805" s="1">
        <v>1803</v>
      </c>
      <c r="B1805" s="1">
        <v>7</v>
      </c>
      <c r="C1805" s="1" t="str">
        <f>LOOKUP(B1805,Sheet2!$D$4:$E$9)</f>
        <v>5-7</v>
      </c>
      <c r="D1805" s="1">
        <v>187</v>
      </c>
      <c r="E1805" t="str">
        <f>LOOKUP(D1805,Sheet2!$G$4:$H$9)</f>
        <v>176-200</v>
      </c>
      <c r="F1805" s="1">
        <v>50</v>
      </c>
      <c r="G1805" t="str">
        <f>LOOKUP(F1805,Sheet2!$J$4:$K$8)</f>
        <v>1-59</v>
      </c>
      <c r="H1805" s="1">
        <v>33</v>
      </c>
      <c r="I1805" t="str">
        <f>LOOKUP(H1805,Sheet2!$M$4:$N$8)</f>
        <v>30-39</v>
      </c>
      <c r="J1805" s="1">
        <v>392</v>
      </c>
      <c r="K1805" t="str">
        <f>LOOKUP(J1805,Sheet2!$P$4:$Q$9)</f>
        <v>300-499</v>
      </c>
      <c r="L1805" s="1">
        <v>33.9</v>
      </c>
      <c r="M1805" t="str">
        <f>LOOKUP(L1805,Sheet2!$S$4:$T$8)</f>
        <v>31-35</v>
      </c>
      <c r="N1805" s="1">
        <v>0.82599999999999996</v>
      </c>
      <c r="O1805" t="str">
        <f>LOOKUP(N1805,Sheet2!$V$4:$W$7)</f>
        <v>0.7+</v>
      </c>
      <c r="P1805" s="1">
        <v>34</v>
      </c>
      <c r="Q1805" t="str">
        <f>LOOKUP(P1805,Sheet2!$Z$4:$AA$7)</f>
        <v>26-35</v>
      </c>
      <c r="R1805" s="1">
        <v>1</v>
      </c>
      <c r="S1805" t="str">
        <f>IF(R1805=1,"Positive","Negative")</f>
        <v>Positive</v>
      </c>
      <c r="T1805" s="1">
        <f>IFERROR(VLOOKUP(A1805,[1]diabetes_Recognition!$A:$B,2,FALSE),"Not Sampled")</f>
        <v>1</v>
      </c>
      <c r="U1805" t="str">
        <f>IF(T1805=1,"Positive",(IF(T1805=0,"Negative","Not Sampled")))</f>
        <v>Positive</v>
      </c>
      <c r="V1805" s="1" t="str">
        <f>IF(U1805="Not Sampled","Not Sampled",IF(S1805=U1805,"Accurate Prediction","Inaccurate Prediction"))</f>
        <v>Accurate Prediction</v>
      </c>
    </row>
    <row r="1806" spans="1:22" x14ac:dyDescent="0.25">
      <c r="A1806" s="1">
        <v>1804</v>
      </c>
      <c r="B1806" s="1">
        <v>3</v>
      </c>
      <c r="C1806" s="1" t="str">
        <f>LOOKUP(B1806,Sheet2!$D$4:$E$9)</f>
        <v>3-4</v>
      </c>
      <c r="D1806" s="1">
        <v>173</v>
      </c>
      <c r="E1806" t="str">
        <f>LOOKUP(D1806,Sheet2!$G$4:$H$9)</f>
        <v>151-175</v>
      </c>
      <c r="F1806" s="1">
        <v>78</v>
      </c>
      <c r="G1806" t="str">
        <f>LOOKUP(F1806,Sheet2!$J$4:$K$8)</f>
        <v>70-79</v>
      </c>
      <c r="H1806" s="1">
        <v>39</v>
      </c>
      <c r="I1806" t="str">
        <f>LOOKUP(H1806,Sheet2!$M$4:$N$8)</f>
        <v>30-39</v>
      </c>
      <c r="J1806" s="1">
        <v>185</v>
      </c>
      <c r="K1806" t="str">
        <f>LOOKUP(J1806,Sheet2!$P$4:$Q$9)</f>
        <v>100-199</v>
      </c>
      <c r="L1806" s="1">
        <v>33.799999999999997</v>
      </c>
      <c r="M1806" t="str">
        <f>LOOKUP(L1806,Sheet2!$S$4:$T$8)</f>
        <v>31-35</v>
      </c>
      <c r="N1806" s="1">
        <v>0.97</v>
      </c>
      <c r="O1806" t="str">
        <f>LOOKUP(N1806,Sheet2!$V$4:$W$7)</f>
        <v>0.7+</v>
      </c>
      <c r="P1806" s="1">
        <v>31</v>
      </c>
      <c r="Q1806" t="str">
        <f>LOOKUP(P1806,Sheet2!$Z$4:$AA$7)</f>
        <v>26-35</v>
      </c>
      <c r="R1806" s="1">
        <v>1</v>
      </c>
      <c r="S1806" t="str">
        <f>IF(R1806=1,"Positive","Negative")</f>
        <v>Positive</v>
      </c>
      <c r="T1806" s="1" t="str">
        <f>IFERROR(VLOOKUP(A1806,[1]diabetes_Recognition!$A:$B,2,FALSE),"Not Sampled")</f>
        <v>Not Sampled</v>
      </c>
      <c r="U1806" t="str">
        <f>IF(T1806=1,"Positive",(IF(T1806=0,"Negative","Not Sampled")))</f>
        <v>Not Sampled</v>
      </c>
      <c r="V1806" s="1" t="str">
        <f>IF(U1806="Not Sampled","Not Sampled",IF(S1806=U1806,"Accurate Prediction","Inaccurate Prediction"))</f>
        <v>Not Sampled</v>
      </c>
    </row>
    <row r="1807" spans="1:22" x14ac:dyDescent="0.25">
      <c r="A1807" s="1">
        <v>1805</v>
      </c>
      <c r="B1807" s="1">
        <v>10</v>
      </c>
      <c r="C1807" s="1" t="str">
        <f>LOOKUP(B1807,Sheet2!$D$4:$E$9)</f>
        <v>8+</v>
      </c>
      <c r="D1807" s="1">
        <v>94</v>
      </c>
      <c r="E1807" t="str">
        <f>LOOKUP(D1807,Sheet2!$G$4:$H$9)</f>
        <v>1-99</v>
      </c>
      <c r="F1807" s="1">
        <v>72</v>
      </c>
      <c r="G1807" t="str">
        <f>LOOKUP(F1807,Sheet2!$J$4:$K$8)</f>
        <v>70-79</v>
      </c>
      <c r="H1807" s="1">
        <v>18</v>
      </c>
      <c r="I1807" t="str">
        <f>LOOKUP(H1807,Sheet2!$M$4:$N$8)</f>
        <v>10-30</v>
      </c>
      <c r="J1807" s="1">
        <v>0</v>
      </c>
      <c r="K1807" t="str">
        <f>LOOKUP(J1807,Sheet2!$P$4:$Q$9)</f>
        <v>Unknown</v>
      </c>
      <c r="L1807" s="1">
        <v>23.1</v>
      </c>
      <c r="M1807" t="str">
        <f>LOOKUP(L1807,Sheet2!$S$4:$T$8)</f>
        <v>1-25</v>
      </c>
      <c r="N1807" s="1">
        <v>0.59499999999999997</v>
      </c>
      <c r="O1807" t="str">
        <f>LOOKUP(N1807,Sheet2!$V$4:$W$7)</f>
        <v>0.4 - 0.69</v>
      </c>
      <c r="P1807" s="1">
        <v>56</v>
      </c>
      <c r="Q1807" t="str">
        <f>LOOKUP(P1807,Sheet2!$Z$4:$AA$7)</f>
        <v>46+</v>
      </c>
      <c r="R1807" s="1">
        <v>0</v>
      </c>
      <c r="S1807" t="str">
        <f>IF(R1807=1,"Positive","Negative")</f>
        <v>Negative</v>
      </c>
      <c r="T1807" s="1">
        <f>IFERROR(VLOOKUP(A1807,[1]diabetes_Recognition!$A:$B,2,FALSE),"Not Sampled")</f>
        <v>0</v>
      </c>
      <c r="U1807" t="str">
        <f>IF(T1807=1,"Positive",(IF(T1807=0,"Negative","Not Sampled")))</f>
        <v>Negative</v>
      </c>
      <c r="V1807" s="1" t="str">
        <f>IF(U1807="Not Sampled","Not Sampled",IF(S1807=U1807,"Accurate Prediction","Inaccurate Prediction"))</f>
        <v>Accurate Prediction</v>
      </c>
    </row>
    <row r="1808" spans="1:22" x14ac:dyDescent="0.25">
      <c r="A1808" s="1">
        <v>1806</v>
      </c>
      <c r="B1808" s="1">
        <v>1</v>
      </c>
      <c r="C1808" s="1">
        <f>LOOKUP(B1808,Sheet2!$D$4:$E$9)</f>
        <v>1</v>
      </c>
      <c r="D1808" s="1">
        <v>108</v>
      </c>
      <c r="E1808" t="str">
        <f>LOOKUP(D1808,Sheet2!$G$4:$H$9)</f>
        <v>100-125</v>
      </c>
      <c r="F1808" s="1">
        <v>60</v>
      </c>
      <c r="G1808" t="str">
        <f>LOOKUP(F1808,Sheet2!$J$4:$K$8)</f>
        <v>60-69</v>
      </c>
      <c r="H1808" s="1">
        <v>46</v>
      </c>
      <c r="I1808" t="str">
        <f>LOOKUP(H1808,Sheet2!$M$4:$N$8)</f>
        <v>40+</v>
      </c>
      <c r="J1808" s="1">
        <v>178</v>
      </c>
      <c r="K1808" t="str">
        <f>LOOKUP(J1808,Sheet2!$P$4:$Q$9)</f>
        <v>100-199</v>
      </c>
      <c r="L1808" s="1">
        <v>35.5</v>
      </c>
      <c r="M1808" t="str">
        <f>LOOKUP(L1808,Sheet2!$S$4:$T$8)</f>
        <v>31-35</v>
      </c>
      <c r="N1808" s="1">
        <v>0.41499999999999998</v>
      </c>
      <c r="O1808" t="str">
        <f>LOOKUP(N1808,Sheet2!$V$4:$W$7)</f>
        <v>0.4 - 0.69</v>
      </c>
      <c r="P1808" s="1">
        <v>24</v>
      </c>
      <c r="Q1808" t="str">
        <f>LOOKUP(P1808,Sheet2!$Z$4:$AA$7)</f>
        <v>&lt;=25</v>
      </c>
      <c r="R1808" s="1">
        <v>0</v>
      </c>
      <c r="S1808" t="str">
        <f>IF(R1808=1,"Positive","Negative")</f>
        <v>Negative</v>
      </c>
      <c r="T1808" s="1" t="str">
        <f>IFERROR(VLOOKUP(A1808,[1]diabetes_Recognition!$A:$B,2,FALSE),"Not Sampled")</f>
        <v>Not Sampled</v>
      </c>
      <c r="U1808" t="str">
        <f>IF(T1808=1,"Positive",(IF(T1808=0,"Negative","Not Sampled")))</f>
        <v>Not Sampled</v>
      </c>
      <c r="V1808" s="1" t="str">
        <f>IF(U1808="Not Sampled","Not Sampled",IF(S1808=U1808,"Accurate Prediction","Inaccurate Prediction"))</f>
        <v>Not Sampled</v>
      </c>
    </row>
    <row r="1809" spans="1:22" x14ac:dyDescent="0.25">
      <c r="A1809" s="1">
        <v>1807</v>
      </c>
      <c r="B1809" s="1">
        <v>5</v>
      </c>
      <c r="C1809" s="1" t="str">
        <f>LOOKUP(B1809,Sheet2!$D$4:$E$9)</f>
        <v>5-7</v>
      </c>
      <c r="D1809" s="1">
        <v>97</v>
      </c>
      <c r="E1809" t="str">
        <f>LOOKUP(D1809,Sheet2!$G$4:$H$9)</f>
        <v>1-99</v>
      </c>
      <c r="F1809" s="1">
        <v>76</v>
      </c>
      <c r="G1809" t="str">
        <f>LOOKUP(F1809,Sheet2!$J$4:$K$8)</f>
        <v>70-79</v>
      </c>
      <c r="H1809" s="1">
        <v>27</v>
      </c>
      <c r="I1809" t="str">
        <f>LOOKUP(H1809,Sheet2!$M$4:$N$8)</f>
        <v>10-30</v>
      </c>
      <c r="J1809" s="1">
        <v>0</v>
      </c>
      <c r="K1809" t="str">
        <f>LOOKUP(J1809,Sheet2!$P$4:$Q$9)</f>
        <v>Unknown</v>
      </c>
      <c r="L1809" s="1">
        <v>35.6</v>
      </c>
      <c r="M1809" t="str">
        <f>LOOKUP(L1809,Sheet2!$S$4:$T$8)</f>
        <v>31-35</v>
      </c>
      <c r="N1809" s="1">
        <v>0.378</v>
      </c>
      <c r="O1809" t="str">
        <f>LOOKUP(N1809,Sheet2!$V$4:$W$7)</f>
        <v>0.25 - 0.39</v>
      </c>
      <c r="P1809" s="1">
        <v>52</v>
      </c>
      <c r="Q1809" t="str">
        <f>LOOKUP(P1809,Sheet2!$Z$4:$AA$7)</f>
        <v>46+</v>
      </c>
      <c r="R1809" s="1">
        <v>1</v>
      </c>
      <c r="S1809" t="str">
        <f>IF(R1809=1,"Positive","Negative")</f>
        <v>Positive</v>
      </c>
      <c r="T1809" s="1">
        <f>IFERROR(VLOOKUP(A1809,[1]diabetes_Recognition!$A:$B,2,FALSE),"Not Sampled")</f>
        <v>0</v>
      </c>
      <c r="U1809" t="str">
        <f>IF(T1809=1,"Positive",(IF(T1809=0,"Negative","Not Sampled")))</f>
        <v>Negative</v>
      </c>
      <c r="V1809" s="1" t="str">
        <f>IF(U1809="Not Sampled","Not Sampled",IF(S1809=U1809,"Accurate Prediction","Inaccurate Prediction"))</f>
        <v>Inaccurate Prediction</v>
      </c>
    </row>
    <row r="1810" spans="1:22" x14ac:dyDescent="0.25">
      <c r="A1810" s="1">
        <v>1808</v>
      </c>
      <c r="B1810" s="1">
        <v>4</v>
      </c>
      <c r="C1810" s="1" t="str">
        <f>LOOKUP(B1810,Sheet2!$D$4:$E$9)</f>
        <v>3-4</v>
      </c>
      <c r="D1810" s="1">
        <v>83</v>
      </c>
      <c r="E1810" t="str">
        <f>LOOKUP(D1810,Sheet2!$G$4:$H$9)</f>
        <v>1-99</v>
      </c>
      <c r="F1810" s="1">
        <v>86</v>
      </c>
      <c r="G1810" t="str">
        <f>LOOKUP(F1810,Sheet2!$J$4:$K$8)</f>
        <v>80+</v>
      </c>
      <c r="H1810" s="1">
        <v>19</v>
      </c>
      <c r="I1810" t="str">
        <f>LOOKUP(H1810,Sheet2!$M$4:$N$8)</f>
        <v>10-30</v>
      </c>
      <c r="J1810" s="1">
        <v>0</v>
      </c>
      <c r="K1810" t="str">
        <f>LOOKUP(J1810,Sheet2!$P$4:$Q$9)</f>
        <v>Unknown</v>
      </c>
      <c r="L1810" s="1">
        <v>29.3</v>
      </c>
      <c r="M1810" t="str">
        <f>LOOKUP(L1810,Sheet2!$S$4:$T$8)</f>
        <v>26-30</v>
      </c>
      <c r="N1810" s="1">
        <v>0.317</v>
      </c>
      <c r="O1810" t="str">
        <f>LOOKUP(N1810,Sheet2!$V$4:$W$7)</f>
        <v>0.25 - 0.39</v>
      </c>
      <c r="P1810" s="1">
        <v>34</v>
      </c>
      <c r="Q1810" t="str">
        <f>LOOKUP(P1810,Sheet2!$Z$4:$AA$7)</f>
        <v>26-35</v>
      </c>
      <c r="R1810" s="1">
        <v>0</v>
      </c>
      <c r="S1810" t="str">
        <f>IF(R1810=1,"Positive","Negative")</f>
        <v>Negative</v>
      </c>
      <c r="T1810" s="1" t="str">
        <f>IFERROR(VLOOKUP(A1810,[1]diabetes_Recognition!$A:$B,2,FALSE),"Not Sampled")</f>
        <v>Not Sampled</v>
      </c>
      <c r="U1810" t="str">
        <f>IF(T1810=1,"Positive",(IF(T1810=0,"Negative","Not Sampled")))</f>
        <v>Not Sampled</v>
      </c>
      <c r="V1810" s="1" t="str">
        <f>IF(U1810="Not Sampled","Not Sampled",IF(S1810=U1810,"Accurate Prediction","Inaccurate Prediction"))</f>
        <v>Not Sampled</v>
      </c>
    </row>
    <row r="1811" spans="1:22" x14ac:dyDescent="0.25">
      <c r="A1811" s="1">
        <v>1809</v>
      </c>
      <c r="B1811" s="1">
        <v>1</v>
      </c>
      <c r="C1811" s="1">
        <f>LOOKUP(B1811,Sheet2!$D$4:$E$9)</f>
        <v>1</v>
      </c>
      <c r="D1811" s="1">
        <v>114</v>
      </c>
      <c r="E1811" t="str">
        <f>LOOKUP(D1811,Sheet2!$G$4:$H$9)</f>
        <v>100-125</v>
      </c>
      <c r="F1811" s="1">
        <v>66</v>
      </c>
      <c r="G1811" t="str">
        <f>LOOKUP(F1811,Sheet2!$J$4:$K$8)</f>
        <v>60-69</v>
      </c>
      <c r="H1811" s="1">
        <v>36</v>
      </c>
      <c r="I1811" t="str">
        <f>LOOKUP(H1811,Sheet2!$M$4:$N$8)</f>
        <v>30-39</v>
      </c>
      <c r="J1811" s="1">
        <v>200</v>
      </c>
      <c r="K1811" t="str">
        <f>LOOKUP(J1811,Sheet2!$P$4:$Q$9)</f>
        <v>200-399</v>
      </c>
      <c r="L1811" s="1">
        <v>38.1</v>
      </c>
      <c r="M1811" t="str">
        <f>LOOKUP(L1811,Sheet2!$S$4:$T$8)</f>
        <v>36+</v>
      </c>
      <c r="N1811" s="1">
        <v>0.28899999999999998</v>
      </c>
      <c r="O1811" t="str">
        <f>LOOKUP(N1811,Sheet2!$V$4:$W$7)</f>
        <v>0.25 - 0.39</v>
      </c>
      <c r="P1811" s="1">
        <v>21</v>
      </c>
      <c r="Q1811" t="str">
        <f>LOOKUP(P1811,Sheet2!$Z$4:$AA$7)</f>
        <v>&lt;=25</v>
      </c>
      <c r="R1811" s="1">
        <v>0</v>
      </c>
      <c r="S1811" t="str">
        <f>IF(R1811=1,"Positive","Negative")</f>
        <v>Negative</v>
      </c>
      <c r="T1811" s="1" t="str">
        <f>IFERROR(VLOOKUP(A1811,[1]diabetes_Recognition!$A:$B,2,FALSE),"Not Sampled")</f>
        <v>Not Sampled</v>
      </c>
      <c r="U1811" t="str">
        <f>IF(T1811=1,"Positive",(IF(T1811=0,"Negative","Not Sampled")))</f>
        <v>Not Sampled</v>
      </c>
      <c r="V1811" s="1" t="str">
        <f>IF(U1811="Not Sampled","Not Sampled",IF(S1811=U1811,"Accurate Prediction","Inaccurate Prediction"))</f>
        <v>Not Sampled</v>
      </c>
    </row>
    <row r="1812" spans="1:22" x14ac:dyDescent="0.25">
      <c r="A1812" s="1">
        <v>1810</v>
      </c>
      <c r="B1812" s="1">
        <v>1</v>
      </c>
      <c r="C1812" s="1">
        <f>LOOKUP(B1812,Sheet2!$D$4:$E$9)</f>
        <v>1</v>
      </c>
      <c r="D1812" s="1">
        <v>149</v>
      </c>
      <c r="E1812" t="str">
        <f>LOOKUP(D1812,Sheet2!$G$4:$H$9)</f>
        <v>126-150</v>
      </c>
      <c r="F1812" s="1">
        <v>68</v>
      </c>
      <c r="G1812" t="str">
        <f>LOOKUP(F1812,Sheet2!$J$4:$K$8)</f>
        <v>60-69</v>
      </c>
      <c r="H1812" s="1">
        <v>29</v>
      </c>
      <c r="I1812" t="str">
        <f>LOOKUP(H1812,Sheet2!$M$4:$N$8)</f>
        <v>10-30</v>
      </c>
      <c r="J1812" s="1">
        <v>127</v>
      </c>
      <c r="K1812" t="str">
        <f>LOOKUP(J1812,Sheet2!$P$4:$Q$9)</f>
        <v>100-199</v>
      </c>
      <c r="L1812" s="1">
        <v>29.3</v>
      </c>
      <c r="M1812" t="str">
        <f>LOOKUP(L1812,Sheet2!$S$4:$T$8)</f>
        <v>26-30</v>
      </c>
      <c r="N1812" s="1">
        <v>0.34899999999999998</v>
      </c>
      <c r="O1812" t="str">
        <f>LOOKUP(N1812,Sheet2!$V$4:$W$7)</f>
        <v>0.25 - 0.39</v>
      </c>
      <c r="P1812" s="1">
        <v>42</v>
      </c>
      <c r="Q1812" t="str">
        <f>LOOKUP(P1812,Sheet2!$Z$4:$AA$7)</f>
        <v>36-45</v>
      </c>
      <c r="R1812" s="1">
        <v>1</v>
      </c>
      <c r="S1812" t="str">
        <f>IF(R1812=1,"Positive","Negative")</f>
        <v>Positive</v>
      </c>
      <c r="T1812" s="1" t="str">
        <f>IFERROR(VLOOKUP(A1812,[1]diabetes_Recognition!$A:$B,2,FALSE),"Not Sampled")</f>
        <v>Not Sampled</v>
      </c>
      <c r="U1812" t="str">
        <f>IF(T1812=1,"Positive",(IF(T1812=0,"Negative","Not Sampled")))</f>
        <v>Not Sampled</v>
      </c>
      <c r="V1812" s="1" t="str">
        <f>IF(U1812="Not Sampled","Not Sampled",IF(S1812=U1812,"Accurate Prediction","Inaccurate Prediction"))</f>
        <v>Not Sampled</v>
      </c>
    </row>
    <row r="1813" spans="1:22" x14ac:dyDescent="0.25">
      <c r="A1813" s="1">
        <v>1811</v>
      </c>
      <c r="B1813" s="1">
        <v>5</v>
      </c>
      <c r="C1813" s="1" t="str">
        <f>LOOKUP(B1813,Sheet2!$D$4:$E$9)</f>
        <v>5-7</v>
      </c>
      <c r="D1813" s="1">
        <v>117</v>
      </c>
      <c r="E1813" t="str">
        <f>LOOKUP(D1813,Sheet2!$G$4:$H$9)</f>
        <v>100-125</v>
      </c>
      <c r="F1813" s="1">
        <v>86</v>
      </c>
      <c r="G1813" t="str">
        <f>LOOKUP(F1813,Sheet2!$J$4:$K$8)</f>
        <v>80+</v>
      </c>
      <c r="H1813" s="1">
        <v>30</v>
      </c>
      <c r="I1813" t="str">
        <f>LOOKUP(H1813,Sheet2!$M$4:$N$8)</f>
        <v>30-39</v>
      </c>
      <c r="J1813" s="1">
        <v>105</v>
      </c>
      <c r="K1813" t="str">
        <f>LOOKUP(J1813,Sheet2!$P$4:$Q$9)</f>
        <v>100-199</v>
      </c>
      <c r="L1813" s="1">
        <v>39.1</v>
      </c>
      <c r="M1813" t="str">
        <f>LOOKUP(L1813,Sheet2!$S$4:$T$8)</f>
        <v>36+</v>
      </c>
      <c r="N1813" s="1">
        <v>0.251</v>
      </c>
      <c r="O1813" t="str">
        <f>LOOKUP(N1813,Sheet2!$V$4:$W$7)</f>
        <v>0.25 - 0.39</v>
      </c>
      <c r="P1813" s="1">
        <v>42</v>
      </c>
      <c r="Q1813" t="str">
        <f>LOOKUP(P1813,Sheet2!$Z$4:$AA$7)</f>
        <v>36-45</v>
      </c>
      <c r="R1813" s="1">
        <v>0</v>
      </c>
      <c r="S1813" t="str">
        <f>IF(R1813=1,"Positive","Negative")</f>
        <v>Negative</v>
      </c>
      <c r="T1813" s="1">
        <f>IFERROR(VLOOKUP(A1813,[1]diabetes_Recognition!$A:$B,2,FALSE),"Not Sampled")</f>
        <v>0</v>
      </c>
      <c r="U1813" t="str">
        <f>IF(T1813=1,"Positive",(IF(T1813=0,"Negative","Not Sampled")))</f>
        <v>Negative</v>
      </c>
      <c r="V1813" s="1" t="str">
        <f>IF(U1813="Not Sampled","Not Sampled",IF(S1813=U1813,"Accurate Prediction","Inaccurate Prediction"))</f>
        <v>Accurate Prediction</v>
      </c>
    </row>
    <row r="1814" spans="1:22" x14ac:dyDescent="0.25">
      <c r="A1814" s="1">
        <v>1812</v>
      </c>
      <c r="B1814" s="1">
        <v>1</v>
      </c>
      <c r="C1814" s="1">
        <f>LOOKUP(B1814,Sheet2!$D$4:$E$9)</f>
        <v>1</v>
      </c>
      <c r="D1814" s="1">
        <v>111</v>
      </c>
      <c r="E1814" t="str">
        <f>LOOKUP(D1814,Sheet2!$G$4:$H$9)</f>
        <v>100-125</v>
      </c>
      <c r="F1814" s="1">
        <v>94</v>
      </c>
      <c r="G1814" t="str">
        <f>LOOKUP(F1814,Sheet2!$J$4:$K$8)</f>
        <v>80+</v>
      </c>
      <c r="H1814" s="1">
        <v>0</v>
      </c>
      <c r="I1814" t="str">
        <f>LOOKUP(H1814,Sheet2!$M$4:$N$8)</f>
        <v>Unknown</v>
      </c>
      <c r="J1814" s="1">
        <v>0</v>
      </c>
      <c r="K1814" t="str">
        <f>LOOKUP(J1814,Sheet2!$P$4:$Q$9)</f>
        <v>Unknown</v>
      </c>
      <c r="L1814" s="1">
        <v>32.799999999999997</v>
      </c>
      <c r="M1814" t="str">
        <f>LOOKUP(L1814,Sheet2!$S$4:$T$8)</f>
        <v>31-35</v>
      </c>
      <c r="N1814" s="1">
        <v>0.26500000000000001</v>
      </c>
      <c r="O1814" t="str">
        <f>LOOKUP(N1814,Sheet2!$V$4:$W$7)</f>
        <v>0.25 - 0.39</v>
      </c>
      <c r="P1814" s="1">
        <v>45</v>
      </c>
      <c r="Q1814" t="str">
        <f>LOOKUP(P1814,Sheet2!$Z$4:$AA$7)</f>
        <v>36-45</v>
      </c>
      <c r="R1814" s="1">
        <v>0</v>
      </c>
      <c r="S1814" t="str">
        <f>IF(R1814=1,"Positive","Negative")</f>
        <v>Negative</v>
      </c>
      <c r="T1814" s="1" t="str">
        <f>IFERROR(VLOOKUP(A1814,[1]diabetes_Recognition!$A:$B,2,FALSE),"Not Sampled")</f>
        <v>Not Sampled</v>
      </c>
      <c r="U1814" t="str">
        <f>IF(T1814=1,"Positive",(IF(T1814=0,"Negative","Not Sampled")))</f>
        <v>Not Sampled</v>
      </c>
      <c r="V1814" s="1" t="str">
        <f>IF(U1814="Not Sampled","Not Sampled",IF(S1814=U1814,"Accurate Prediction","Inaccurate Prediction"))</f>
        <v>Not Sampled</v>
      </c>
    </row>
    <row r="1815" spans="1:22" x14ac:dyDescent="0.25">
      <c r="A1815" s="1">
        <v>1813</v>
      </c>
      <c r="B1815" s="1">
        <v>4</v>
      </c>
      <c r="C1815" s="1" t="str">
        <f>LOOKUP(B1815,Sheet2!$D$4:$E$9)</f>
        <v>3-4</v>
      </c>
      <c r="D1815" s="1">
        <v>112</v>
      </c>
      <c r="E1815" t="str">
        <f>LOOKUP(D1815,Sheet2!$G$4:$H$9)</f>
        <v>100-125</v>
      </c>
      <c r="F1815" s="1">
        <v>78</v>
      </c>
      <c r="G1815" t="str">
        <f>LOOKUP(F1815,Sheet2!$J$4:$K$8)</f>
        <v>70-79</v>
      </c>
      <c r="H1815" s="1">
        <v>40</v>
      </c>
      <c r="I1815" t="str">
        <f>LOOKUP(H1815,Sheet2!$M$4:$N$8)</f>
        <v>40+</v>
      </c>
      <c r="J1815" s="1">
        <v>0</v>
      </c>
      <c r="K1815" t="str">
        <f>LOOKUP(J1815,Sheet2!$P$4:$Q$9)</f>
        <v>Unknown</v>
      </c>
      <c r="L1815" s="1">
        <v>39.4</v>
      </c>
      <c r="M1815" t="str">
        <f>LOOKUP(L1815,Sheet2!$S$4:$T$8)</f>
        <v>36+</v>
      </c>
      <c r="N1815" s="1">
        <v>0.23599999999999999</v>
      </c>
      <c r="O1815" t="str">
        <f>LOOKUP(N1815,Sheet2!$V$4:$W$7)</f>
        <v>0.0 - 0.249</v>
      </c>
      <c r="P1815" s="1">
        <v>38</v>
      </c>
      <c r="Q1815" t="str">
        <f>LOOKUP(P1815,Sheet2!$Z$4:$AA$7)</f>
        <v>36-45</v>
      </c>
      <c r="R1815" s="1">
        <v>0</v>
      </c>
      <c r="S1815" t="str">
        <f>IF(R1815=1,"Positive","Negative")</f>
        <v>Negative</v>
      </c>
      <c r="T1815" s="1">
        <f>IFERROR(VLOOKUP(A1815,[1]diabetes_Recognition!$A:$B,2,FALSE),"Not Sampled")</f>
        <v>0</v>
      </c>
      <c r="U1815" t="str">
        <f>IF(T1815=1,"Positive",(IF(T1815=0,"Negative","Not Sampled")))</f>
        <v>Negative</v>
      </c>
      <c r="V1815" s="1" t="str">
        <f>IF(U1815="Not Sampled","Not Sampled",IF(S1815=U1815,"Accurate Prediction","Inaccurate Prediction"))</f>
        <v>Accurate Prediction</v>
      </c>
    </row>
    <row r="1816" spans="1:22" x14ac:dyDescent="0.25">
      <c r="A1816" s="1">
        <v>1814</v>
      </c>
      <c r="B1816" s="1">
        <v>1</v>
      </c>
      <c r="C1816" s="1">
        <f>LOOKUP(B1816,Sheet2!$D$4:$E$9)</f>
        <v>1</v>
      </c>
      <c r="D1816" s="1">
        <v>116</v>
      </c>
      <c r="E1816" t="str">
        <f>LOOKUP(D1816,Sheet2!$G$4:$H$9)</f>
        <v>100-125</v>
      </c>
      <c r="F1816" s="1">
        <v>78</v>
      </c>
      <c r="G1816" t="str">
        <f>LOOKUP(F1816,Sheet2!$J$4:$K$8)</f>
        <v>70-79</v>
      </c>
      <c r="H1816" s="1">
        <v>29</v>
      </c>
      <c r="I1816" t="str">
        <f>LOOKUP(H1816,Sheet2!$M$4:$N$8)</f>
        <v>10-30</v>
      </c>
      <c r="J1816" s="1">
        <v>180</v>
      </c>
      <c r="K1816" t="str">
        <f>LOOKUP(J1816,Sheet2!$P$4:$Q$9)</f>
        <v>100-199</v>
      </c>
      <c r="L1816" s="1">
        <v>36.1</v>
      </c>
      <c r="M1816" t="str">
        <f>LOOKUP(L1816,Sheet2!$S$4:$T$8)</f>
        <v>36+</v>
      </c>
      <c r="N1816" s="1">
        <v>0.496</v>
      </c>
      <c r="O1816" t="str">
        <f>LOOKUP(N1816,Sheet2!$V$4:$W$7)</f>
        <v>0.4 - 0.69</v>
      </c>
      <c r="P1816" s="1">
        <v>25</v>
      </c>
      <c r="Q1816" t="str">
        <f>LOOKUP(P1816,Sheet2!$Z$4:$AA$7)</f>
        <v>&lt;=25</v>
      </c>
      <c r="R1816" s="1">
        <v>0</v>
      </c>
      <c r="S1816" t="str">
        <f>IF(R1816=1,"Positive","Negative")</f>
        <v>Negative</v>
      </c>
      <c r="T1816" s="1" t="str">
        <f>IFERROR(VLOOKUP(A1816,[1]diabetes_Recognition!$A:$B,2,FALSE),"Not Sampled")</f>
        <v>Not Sampled</v>
      </c>
      <c r="U1816" t="str">
        <f>IF(T1816=1,"Positive",(IF(T1816=0,"Negative","Not Sampled")))</f>
        <v>Not Sampled</v>
      </c>
      <c r="V1816" s="1" t="str">
        <f>IF(U1816="Not Sampled","Not Sampled",IF(S1816=U1816,"Accurate Prediction","Inaccurate Prediction"))</f>
        <v>Not Sampled</v>
      </c>
    </row>
    <row r="1817" spans="1:22" x14ac:dyDescent="0.25">
      <c r="A1817" s="1">
        <v>1815</v>
      </c>
      <c r="B1817" s="1">
        <v>0</v>
      </c>
      <c r="C1817" s="1">
        <f>LOOKUP(B1817,Sheet2!$D$4:$E$9)</f>
        <v>0</v>
      </c>
      <c r="D1817" s="1">
        <v>141</v>
      </c>
      <c r="E1817" t="str">
        <f>LOOKUP(D1817,Sheet2!$G$4:$H$9)</f>
        <v>126-150</v>
      </c>
      <c r="F1817" s="1">
        <v>84</v>
      </c>
      <c r="G1817" t="str">
        <f>LOOKUP(F1817,Sheet2!$J$4:$K$8)</f>
        <v>80+</v>
      </c>
      <c r="H1817" s="1">
        <v>26</v>
      </c>
      <c r="I1817" t="str">
        <f>LOOKUP(H1817,Sheet2!$M$4:$N$8)</f>
        <v>10-30</v>
      </c>
      <c r="J1817" s="1">
        <v>0</v>
      </c>
      <c r="K1817" t="str">
        <f>LOOKUP(J1817,Sheet2!$P$4:$Q$9)</f>
        <v>Unknown</v>
      </c>
      <c r="L1817" s="1">
        <v>32.4</v>
      </c>
      <c r="M1817" t="str">
        <f>LOOKUP(L1817,Sheet2!$S$4:$T$8)</f>
        <v>31-35</v>
      </c>
      <c r="N1817" s="1">
        <v>0.433</v>
      </c>
      <c r="O1817" t="str">
        <f>LOOKUP(N1817,Sheet2!$V$4:$W$7)</f>
        <v>0.4 - 0.69</v>
      </c>
      <c r="P1817" s="1">
        <v>22</v>
      </c>
      <c r="Q1817" t="str">
        <f>LOOKUP(P1817,Sheet2!$Z$4:$AA$7)</f>
        <v>&lt;=25</v>
      </c>
      <c r="R1817" s="1">
        <v>0</v>
      </c>
      <c r="S1817" t="str">
        <f>IF(R1817=1,"Positive","Negative")</f>
        <v>Negative</v>
      </c>
      <c r="T1817" s="1" t="str">
        <f>IFERROR(VLOOKUP(A1817,[1]diabetes_Recognition!$A:$B,2,FALSE),"Not Sampled")</f>
        <v>Not Sampled</v>
      </c>
      <c r="U1817" t="str">
        <f>IF(T1817=1,"Positive",(IF(T1817=0,"Negative","Not Sampled")))</f>
        <v>Not Sampled</v>
      </c>
      <c r="V1817" s="1" t="str">
        <f>IF(U1817="Not Sampled","Not Sampled",IF(S1817=U1817,"Accurate Prediction","Inaccurate Prediction"))</f>
        <v>Not Sampled</v>
      </c>
    </row>
    <row r="1818" spans="1:22" x14ac:dyDescent="0.25">
      <c r="A1818" s="1">
        <v>1816</v>
      </c>
      <c r="B1818" s="1">
        <v>2</v>
      </c>
      <c r="C1818" s="1">
        <f>LOOKUP(B1818,Sheet2!$D$4:$E$9)</f>
        <v>2</v>
      </c>
      <c r="D1818" s="1">
        <v>175</v>
      </c>
      <c r="E1818" t="str">
        <f>LOOKUP(D1818,Sheet2!$G$4:$H$9)</f>
        <v>151-175</v>
      </c>
      <c r="F1818" s="1">
        <v>88</v>
      </c>
      <c r="G1818" t="str">
        <f>LOOKUP(F1818,Sheet2!$J$4:$K$8)</f>
        <v>80+</v>
      </c>
      <c r="H1818" s="1">
        <v>0</v>
      </c>
      <c r="I1818" t="str">
        <f>LOOKUP(H1818,Sheet2!$M$4:$N$8)</f>
        <v>Unknown</v>
      </c>
      <c r="J1818" s="1">
        <v>0</v>
      </c>
      <c r="K1818" t="str">
        <f>LOOKUP(J1818,Sheet2!$P$4:$Q$9)</f>
        <v>Unknown</v>
      </c>
      <c r="L1818" s="1">
        <v>22.9</v>
      </c>
      <c r="M1818" t="str">
        <f>LOOKUP(L1818,Sheet2!$S$4:$T$8)</f>
        <v>1-25</v>
      </c>
      <c r="N1818" s="1">
        <v>0.32600000000000001</v>
      </c>
      <c r="O1818" t="str">
        <f>LOOKUP(N1818,Sheet2!$V$4:$W$7)</f>
        <v>0.25 - 0.39</v>
      </c>
      <c r="P1818" s="1">
        <v>22</v>
      </c>
      <c r="Q1818" t="str">
        <f>LOOKUP(P1818,Sheet2!$Z$4:$AA$7)</f>
        <v>&lt;=25</v>
      </c>
      <c r="R1818" s="1">
        <v>0</v>
      </c>
      <c r="S1818" t="str">
        <f>IF(R1818=1,"Positive","Negative")</f>
        <v>Negative</v>
      </c>
      <c r="T1818" s="1" t="str">
        <f>IFERROR(VLOOKUP(A1818,[1]diabetes_Recognition!$A:$B,2,FALSE),"Not Sampled")</f>
        <v>Not Sampled</v>
      </c>
      <c r="U1818" t="str">
        <f>IF(T1818=1,"Positive",(IF(T1818=0,"Negative","Not Sampled")))</f>
        <v>Not Sampled</v>
      </c>
      <c r="V1818" s="1" t="str">
        <f>IF(U1818="Not Sampled","Not Sampled",IF(S1818=U1818,"Accurate Prediction","Inaccurate Prediction"))</f>
        <v>Not Sampled</v>
      </c>
    </row>
    <row r="1819" spans="1:22" x14ac:dyDescent="0.25">
      <c r="A1819" s="1">
        <v>1817</v>
      </c>
      <c r="B1819" s="1">
        <v>2</v>
      </c>
      <c r="C1819" s="1">
        <f>LOOKUP(B1819,Sheet2!$D$4:$E$9)</f>
        <v>2</v>
      </c>
      <c r="D1819" s="1">
        <v>92</v>
      </c>
      <c r="E1819" t="str">
        <f>LOOKUP(D1819,Sheet2!$G$4:$H$9)</f>
        <v>1-99</v>
      </c>
      <c r="F1819" s="1">
        <v>52</v>
      </c>
      <c r="G1819" t="str">
        <f>LOOKUP(F1819,Sheet2!$J$4:$K$8)</f>
        <v>1-59</v>
      </c>
      <c r="H1819" s="1">
        <v>0</v>
      </c>
      <c r="I1819" t="str">
        <f>LOOKUP(H1819,Sheet2!$M$4:$N$8)</f>
        <v>Unknown</v>
      </c>
      <c r="J1819" s="1">
        <v>0</v>
      </c>
      <c r="K1819" t="str">
        <f>LOOKUP(J1819,Sheet2!$P$4:$Q$9)</f>
        <v>Unknown</v>
      </c>
      <c r="L1819" s="1">
        <v>30.1</v>
      </c>
      <c r="M1819" t="str">
        <f>LOOKUP(L1819,Sheet2!$S$4:$T$8)</f>
        <v>26-30</v>
      </c>
      <c r="N1819" s="1">
        <v>0.14099999999999999</v>
      </c>
      <c r="O1819" t="str">
        <f>LOOKUP(N1819,Sheet2!$V$4:$W$7)</f>
        <v>0.0 - 0.249</v>
      </c>
      <c r="P1819" s="1">
        <v>22</v>
      </c>
      <c r="Q1819" t="str">
        <f>LOOKUP(P1819,Sheet2!$Z$4:$AA$7)</f>
        <v>&lt;=25</v>
      </c>
      <c r="R1819" s="1">
        <v>0</v>
      </c>
      <c r="S1819" t="str">
        <f>IF(R1819=1,"Positive","Negative")</f>
        <v>Negative</v>
      </c>
      <c r="T1819" s="1" t="str">
        <f>IFERROR(VLOOKUP(A1819,[1]diabetes_Recognition!$A:$B,2,FALSE),"Not Sampled")</f>
        <v>Not Sampled</v>
      </c>
      <c r="U1819" t="str">
        <f>IF(T1819=1,"Positive",(IF(T1819=0,"Negative","Not Sampled")))</f>
        <v>Not Sampled</v>
      </c>
      <c r="V1819" s="1" t="str">
        <f>IF(U1819="Not Sampled","Not Sampled",IF(S1819=U1819,"Accurate Prediction","Inaccurate Prediction"))</f>
        <v>Not Sampled</v>
      </c>
    </row>
    <row r="1820" spans="1:22" x14ac:dyDescent="0.25">
      <c r="A1820" s="1">
        <v>1818</v>
      </c>
      <c r="B1820" s="1">
        <v>3</v>
      </c>
      <c r="C1820" s="1" t="str">
        <f>LOOKUP(B1820,Sheet2!$D$4:$E$9)</f>
        <v>3-4</v>
      </c>
      <c r="D1820" s="1">
        <v>130</v>
      </c>
      <c r="E1820" t="str">
        <f>LOOKUP(D1820,Sheet2!$G$4:$H$9)</f>
        <v>126-150</v>
      </c>
      <c r="F1820" s="1">
        <v>78</v>
      </c>
      <c r="G1820" t="str">
        <f>LOOKUP(F1820,Sheet2!$J$4:$K$8)</f>
        <v>70-79</v>
      </c>
      <c r="H1820" s="1">
        <v>23</v>
      </c>
      <c r="I1820" t="str">
        <f>LOOKUP(H1820,Sheet2!$M$4:$N$8)</f>
        <v>10-30</v>
      </c>
      <c r="J1820" s="1">
        <v>79</v>
      </c>
      <c r="K1820" t="str">
        <f>LOOKUP(J1820,Sheet2!$P$4:$Q$9)</f>
        <v>1-99</v>
      </c>
      <c r="L1820" s="1">
        <v>28.4</v>
      </c>
      <c r="M1820" t="str">
        <f>LOOKUP(L1820,Sheet2!$S$4:$T$8)</f>
        <v>26-30</v>
      </c>
      <c r="N1820" s="1">
        <v>0.32300000000000001</v>
      </c>
      <c r="O1820" t="str">
        <f>LOOKUP(N1820,Sheet2!$V$4:$W$7)</f>
        <v>0.25 - 0.39</v>
      </c>
      <c r="P1820" s="1">
        <v>34</v>
      </c>
      <c r="Q1820" t="str">
        <f>LOOKUP(P1820,Sheet2!$Z$4:$AA$7)</f>
        <v>26-35</v>
      </c>
      <c r="R1820" s="1">
        <v>1</v>
      </c>
      <c r="S1820" t="str">
        <f>IF(R1820=1,"Positive","Negative")</f>
        <v>Positive</v>
      </c>
      <c r="T1820" s="1" t="str">
        <f>IFERROR(VLOOKUP(A1820,[1]diabetes_Recognition!$A:$B,2,FALSE),"Not Sampled")</f>
        <v>Not Sampled</v>
      </c>
      <c r="U1820" t="str">
        <f>IF(T1820=1,"Positive",(IF(T1820=0,"Negative","Not Sampled")))</f>
        <v>Not Sampled</v>
      </c>
      <c r="V1820" s="1" t="str">
        <f>IF(U1820="Not Sampled","Not Sampled",IF(S1820=U1820,"Accurate Prediction","Inaccurate Prediction"))</f>
        <v>Not Sampled</v>
      </c>
    </row>
    <row r="1821" spans="1:22" x14ac:dyDescent="0.25">
      <c r="A1821" s="1">
        <v>1819</v>
      </c>
      <c r="B1821" s="1">
        <v>8</v>
      </c>
      <c r="C1821" s="1" t="str">
        <f>LOOKUP(B1821,Sheet2!$D$4:$E$9)</f>
        <v>8+</v>
      </c>
      <c r="D1821" s="1">
        <v>120</v>
      </c>
      <c r="E1821" t="str">
        <f>LOOKUP(D1821,Sheet2!$G$4:$H$9)</f>
        <v>100-125</v>
      </c>
      <c r="F1821" s="1">
        <v>86</v>
      </c>
      <c r="G1821" t="str">
        <f>LOOKUP(F1821,Sheet2!$J$4:$K$8)</f>
        <v>80+</v>
      </c>
      <c r="H1821" s="1">
        <v>0</v>
      </c>
      <c r="I1821" t="str">
        <f>LOOKUP(H1821,Sheet2!$M$4:$N$8)</f>
        <v>Unknown</v>
      </c>
      <c r="J1821" s="1">
        <v>0</v>
      </c>
      <c r="K1821" t="str">
        <f>LOOKUP(J1821,Sheet2!$P$4:$Q$9)</f>
        <v>Unknown</v>
      </c>
      <c r="L1821" s="1">
        <v>28.4</v>
      </c>
      <c r="M1821" t="str">
        <f>LOOKUP(L1821,Sheet2!$S$4:$T$8)</f>
        <v>26-30</v>
      </c>
      <c r="N1821" s="1">
        <v>0.25900000000000001</v>
      </c>
      <c r="O1821" t="str">
        <f>LOOKUP(N1821,Sheet2!$V$4:$W$7)</f>
        <v>0.25 - 0.39</v>
      </c>
      <c r="P1821" s="1">
        <v>22</v>
      </c>
      <c r="Q1821" t="str">
        <f>LOOKUP(P1821,Sheet2!$Z$4:$AA$7)</f>
        <v>&lt;=25</v>
      </c>
      <c r="R1821" s="1">
        <v>1</v>
      </c>
      <c r="S1821" t="str">
        <f>IF(R1821=1,"Positive","Negative")</f>
        <v>Positive</v>
      </c>
      <c r="T1821" s="1" t="str">
        <f>IFERROR(VLOOKUP(A1821,[1]diabetes_Recognition!$A:$B,2,FALSE),"Not Sampled")</f>
        <v>Not Sampled</v>
      </c>
      <c r="U1821" t="str">
        <f>IF(T1821=1,"Positive",(IF(T1821=0,"Negative","Not Sampled")))</f>
        <v>Not Sampled</v>
      </c>
      <c r="V1821" s="1" t="str">
        <f>IF(U1821="Not Sampled","Not Sampled",IF(S1821=U1821,"Accurate Prediction","Inaccurate Prediction"))</f>
        <v>Not Sampled</v>
      </c>
    </row>
    <row r="1822" spans="1:22" x14ac:dyDescent="0.25">
      <c r="A1822" s="1">
        <v>1820</v>
      </c>
      <c r="B1822" s="1">
        <v>2</v>
      </c>
      <c r="C1822" s="1">
        <f>LOOKUP(B1822,Sheet2!$D$4:$E$9)</f>
        <v>2</v>
      </c>
      <c r="D1822" s="1">
        <v>174</v>
      </c>
      <c r="E1822" t="str">
        <f>LOOKUP(D1822,Sheet2!$G$4:$H$9)</f>
        <v>151-175</v>
      </c>
      <c r="F1822" s="1">
        <v>88</v>
      </c>
      <c r="G1822" t="str">
        <f>LOOKUP(F1822,Sheet2!$J$4:$K$8)</f>
        <v>80+</v>
      </c>
      <c r="H1822" s="1">
        <v>37</v>
      </c>
      <c r="I1822" t="str">
        <f>LOOKUP(H1822,Sheet2!$M$4:$N$8)</f>
        <v>30-39</v>
      </c>
      <c r="J1822" s="1">
        <v>120</v>
      </c>
      <c r="K1822" t="str">
        <f>LOOKUP(J1822,Sheet2!$P$4:$Q$9)</f>
        <v>100-199</v>
      </c>
      <c r="L1822" s="1">
        <v>44.5</v>
      </c>
      <c r="M1822" t="str">
        <f>LOOKUP(L1822,Sheet2!$S$4:$T$8)</f>
        <v>36+</v>
      </c>
      <c r="N1822" s="1">
        <v>0.64600000000000002</v>
      </c>
      <c r="O1822" t="str">
        <f>LOOKUP(N1822,Sheet2!$V$4:$W$7)</f>
        <v>0.4 - 0.69</v>
      </c>
      <c r="P1822" s="1">
        <v>24</v>
      </c>
      <c r="Q1822" t="str">
        <f>LOOKUP(P1822,Sheet2!$Z$4:$AA$7)</f>
        <v>&lt;=25</v>
      </c>
      <c r="R1822" s="1">
        <v>1</v>
      </c>
      <c r="S1822" t="str">
        <f>IF(R1822=1,"Positive","Negative")</f>
        <v>Positive</v>
      </c>
      <c r="T1822" s="1">
        <f>IFERROR(VLOOKUP(A1822,[1]diabetes_Recognition!$A:$B,2,FALSE),"Not Sampled")</f>
        <v>1</v>
      </c>
      <c r="U1822" t="str">
        <f>IF(T1822=1,"Positive",(IF(T1822=0,"Negative","Not Sampled")))</f>
        <v>Positive</v>
      </c>
      <c r="V1822" s="1" t="str">
        <f>IF(U1822="Not Sampled","Not Sampled",IF(S1822=U1822,"Accurate Prediction","Inaccurate Prediction"))</f>
        <v>Accurate Prediction</v>
      </c>
    </row>
    <row r="1823" spans="1:22" x14ac:dyDescent="0.25">
      <c r="A1823" s="1">
        <v>1821</v>
      </c>
      <c r="B1823" s="1">
        <v>2</v>
      </c>
      <c r="C1823" s="1">
        <f>LOOKUP(B1823,Sheet2!$D$4:$E$9)</f>
        <v>2</v>
      </c>
      <c r="D1823" s="1">
        <v>106</v>
      </c>
      <c r="E1823" t="str">
        <f>LOOKUP(D1823,Sheet2!$G$4:$H$9)</f>
        <v>100-125</v>
      </c>
      <c r="F1823" s="1">
        <v>56</v>
      </c>
      <c r="G1823" t="str">
        <f>LOOKUP(F1823,Sheet2!$J$4:$K$8)</f>
        <v>1-59</v>
      </c>
      <c r="H1823" s="1">
        <v>27</v>
      </c>
      <c r="I1823" t="str">
        <f>LOOKUP(H1823,Sheet2!$M$4:$N$8)</f>
        <v>10-30</v>
      </c>
      <c r="J1823" s="1">
        <v>165</v>
      </c>
      <c r="K1823" t="str">
        <f>LOOKUP(J1823,Sheet2!$P$4:$Q$9)</f>
        <v>100-199</v>
      </c>
      <c r="L1823" s="1">
        <v>29</v>
      </c>
      <c r="M1823" t="str">
        <f>LOOKUP(L1823,Sheet2!$S$4:$T$8)</f>
        <v>26-30</v>
      </c>
      <c r="N1823" s="1">
        <v>0.42599999999999999</v>
      </c>
      <c r="O1823" t="str">
        <f>LOOKUP(N1823,Sheet2!$V$4:$W$7)</f>
        <v>0.4 - 0.69</v>
      </c>
      <c r="P1823" s="1">
        <v>22</v>
      </c>
      <c r="Q1823" t="str">
        <f>LOOKUP(P1823,Sheet2!$Z$4:$AA$7)</f>
        <v>&lt;=25</v>
      </c>
      <c r="R1823" s="1">
        <v>0</v>
      </c>
      <c r="S1823" t="str">
        <f>IF(R1823=1,"Positive","Negative")</f>
        <v>Negative</v>
      </c>
      <c r="T1823" s="1">
        <f>IFERROR(VLOOKUP(A1823,[1]diabetes_Recognition!$A:$B,2,FALSE),"Not Sampled")</f>
        <v>0</v>
      </c>
      <c r="U1823" t="str">
        <f>IF(T1823=1,"Positive",(IF(T1823=0,"Negative","Not Sampled")))</f>
        <v>Negative</v>
      </c>
      <c r="V1823" s="1" t="str">
        <f>IF(U1823="Not Sampled","Not Sampled",IF(S1823=U1823,"Accurate Prediction","Inaccurate Prediction"))</f>
        <v>Accurate Prediction</v>
      </c>
    </row>
    <row r="1824" spans="1:22" x14ac:dyDescent="0.25">
      <c r="A1824" s="1">
        <v>1822</v>
      </c>
      <c r="B1824" s="1">
        <v>2</v>
      </c>
      <c r="C1824" s="1">
        <f>LOOKUP(B1824,Sheet2!$D$4:$E$9)</f>
        <v>2</v>
      </c>
      <c r="D1824" s="1">
        <v>105</v>
      </c>
      <c r="E1824" t="str">
        <f>LOOKUP(D1824,Sheet2!$G$4:$H$9)</f>
        <v>100-125</v>
      </c>
      <c r="F1824" s="1">
        <v>75</v>
      </c>
      <c r="G1824" t="str">
        <f>LOOKUP(F1824,Sheet2!$J$4:$K$8)</f>
        <v>70-79</v>
      </c>
      <c r="H1824" s="1">
        <v>0</v>
      </c>
      <c r="I1824" t="str">
        <f>LOOKUP(H1824,Sheet2!$M$4:$N$8)</f>
        <v>Unknown</v>
      </c>
      <c r="J1824" s="1">
        <v>0</v>
      </c>
      <c r="K1824" t="str">
        <f>LOOKUP(J1824,Sheet2!$P$4:$Q$9)</f>
        <v>Unknown</v>
      </c>
      <c r="L1824" s="1">
        <v>23.3</v>
      </c>
      <c r="M1824" t="str">
        <f>LOOKUP(L1824,Sheet2!$S$4:$T$8)</f>
        <v>1-25</v>
      </c>
      <c r="N1824" s="1">
        <v>0.56000000000000005</v>
      </c>
      <c r="O1824" t="str">
        <f>LOOKUP(N1824,Sheet2!$V$4:$W$7)</f>
        <v>0.4 - 0.69</v>
      </c>
      <c r="P1824" s="1">
        <v>53</v>
      </c>
      <c r="Q1824" t="str">
        <f>LOOKUP(P1824,Sheet2!$Z$4:$AA$7)</f>
        <v>46+</v>
      </c>
      <c r="R1824" s="1">
        <v>0</v>
      </c>
      <c r="S1824" t="str">
        <f>IF(R1824=1,"Positive","Negative")</f>
        <v>Negative</v>
      </c>
      <c r="T1824" s="1" t="str">
        <f>IFERROR(VLOOKUP(A1824,[1]diabetes_Recognition!$A:$B,2,FALSE),"Not Sampled")</f>
        <v>Not Sampled</v>
      </c>
      <c r="U1824" t="str">
        <f>IF(T1824=1,"Positive",(IF(T1824=0,"Negative","Not Sampled")))</f>
        <v>Not Sampled</v>
      </c>
      <c r="V1824" s="1" t="str">
        <f>IF(U1824="Not Sampled","Not Sampled",IF(S1824=U1824,"Accurate Prediction","Inaccurate Prediction"))</f>
        <v>Not Sampled</v>
      </c>
    </row>
    <row r="1825" spans="1:22" x14ac:dyDescent="0.25">
      <c r="A1825" s="1">
        <v>1823</v>
      </c>
      <c r="B1825" s="1">
        <v>4</v>
      </c>
      <c r="C1825" s="1" t="str">
        <f>LOOKUP(B1825,Sheet2!$D$4:$E$9)</f>
        <v>3-4</v>
      </c>
      <c r="D1825" s="1">
        <v>95</v>
      </c>
      <c r="E1825" t="str">
        <f>LOOKUP(D1825,Sheet2!$G$4:$H$9)</f>
        <v>1-99</v>
      </c>
      <c r="F1825" s="1">
        <v>60</v>
      </c>
      <c r="G1825" t="str">
        <f>LOOKUP(F1825,Sheet2!$J$4:$K$8)</f>
        <v>60-69</v>
      </c>
      <c r="H1825" s="1">
        <v>32</v>
      </c>
      <c r="I1825" t="str">
        <f>LOOKUP(H1825,Sheet2!$M$4:$N$8)</f>
        <v>30-39</v>
      </c>
      <c r="J1825" s="1">
        <v>0</v>
      </c>
      <c r="K1825" t="str">
        <f>LOOKUP(J1825,Sheet2!$P$4:$Q$9)</f>
        <v>Unknown</v>
      </c>
      <c r="L1825" s="1">
        <v>35.4</v>
      </c>
      <c r="M1825" t="str">
        <f>LOOKUP(L1825,Sheet2!$S$4:$T$8)</f>
        <v>31-35</v>
      </c>
      <c r="N1825" s="1">
        <v>0.28399999999999997</v>
      </c>
      <c r="O1825" t="str">
        <f>LOOKUP(N1825,Sheet2!$V$4:$W$7)</f>
        <v>0.25 - 0.39</v>
      </c>
      <c r="P1825" s="1">
        <v>28</v>
      </c>
      <c r="Q1825" t="str">
        <f>LOOKUP(P1825,Sheet2!$Z$4:$AA$7)</f>
        <v>26-35</v>
      </c>
      <c r="R1825" s="1">
        <v>0</v>
      </c>
      <c r="S1825" t="str">
        <f>IF(R1825=1,"Positive","Negative")</f>
        <v>Negative</v>
      </c>
      <c r="T1825" s="1" t="str">
        <f>IFERROR(VLOOKUP(A1825,[1]diabetes_Recognition!$A:$B,2,FALSE),"Not Sampled")</f>
        <v>Not Sampled</v>
      </c>
      <c r="U1825" t="str">
        <f>IF(T1825=1,"Positive",(IF(T1825=0,"Negative","Not Sampled")))</f>
        <v>Not Sampled</v>
      </c>
      <c r="V1825" s="1" t="str">
        <f>IF(U1825="Not Sampled","Not Sampled",IF(S1825=U1825,"Accurate Prediction","Inaccurate Prediction"))</f>
        <v>Not Sampled</v>
      </c>
    </row>
    <row r="1826" spans="1:22" x14ac:dyDescent="0.25">
      <c r="A1826" s="1">
        <v>1824</v>
      </c>
      <c r="B1826" s="1">
        <v>0</v>
      </c>
      <c r="C1826" s="1">
        <f>LOOKUP(B1826,Sheet2!$D$4:$E$9)</f>
        <v>0</v>
      </c>
      <c r="D1826" s="1">
        <v>126</v>
      </c>
      <c r="E1826" t="str">
        <f>LOOKUP(D1826,Sheet2!$G$4:$H$9)</f>
        <v>126-150</v>
      </c>
      <c r="F1826" s="1">
        <v>86</v>
      </c>
      <c r="G1826" t="str">
        <f>LOOKUP(F1826,Sheet2!$J$4:$K$8)</f>
        <v>80+</v>
      </c>
      <c r="H1826" s="1">
        <v>27</v>
      </c>
      <c r="I1826" t="str">
        <f>LOOKUP(H1826,Sheet2!$M$4:$N$8)</f>
        <v>10-30</v>
      </c>
      <c r="J1826" s="1">
        <v>120</v>
      </c>
      <c r="K1826" t="str">
        <f>LOOKUP(J1826,Sheet2!$P$4:$Q$9)</f>
        <v>100-199</v>
      </c>
      <c r="L1826" s="1">
        <v>27.4</v>
      </c>
      <c r="M1826" t="str">
        <f>LOOKUP(L1826,Sheet2!$S$4:$T$8)</f>
        <v>26-30</v>
      </c>
      <c r="N1826" s="1">
        <v>0.51500000000000001</v>
      </c>
      <c r="O1826" t="str">
        <f>LOOKUP(N1826,Sheet2!$V$4:$W$7)</f>
        <v>0.4 - 0.69</v>
      </c>
      <c r="P1826" s="1">
        <v>21</v>
      </c>
      <c r="Q1826" t="str">
        <f>LOOKUP(P1826,Sheet2!$Z$4:$AA$7)</f>
        <v>&lt;=25</v>
      </c>
      <c r="R1826" s="1">
        <v>0</v>
      </c>
      <c r="S1826" t="str">
        <f>IF(R1826=1,"Positive","Negative")</f>
        <v>Negative</v>
      </c>
      <c r="T1826" s="1">
        <f>IFERROR(VLOOKUP(A1826,[1]diabetes_Recognition!$A:$B,2,FALSE),"Not Sampled")</f>
        <v>0</v>
      </c>
      <c r="U1826" t="str">
        <f>IF(T1826=1,"Positive",(IF(T1826=0,"Negative","Not Sampled")))</f>
        <v>Negative</v>
      </c>
      <c r="V1826" s="1" t="str">
        <f>IF(U1826="Not Sampled","Not Sampled",IF(S1826=U1826,"Accurate Prediction","Inaccurate Prediction"))</f>
        <v>Accurate Prediction</v>
      </c>
    </row>
    <row r="1827" spans="1:22" x14ac:dyDescent="0.25">
      <c r="A1827" s="1">
        <v>1825</v>
      </c>
      <c r="B1827" s="1">
        <v>8</v>
      </c>
      <c r="C1827" s="1" t="str">
        <f>LOOKUP(B1827,Sheet2!$D$4:$E$9)</f>
        <v>8+</v>
      </c>
      <c r="D1827" s="1">
        <v>65</v>
      </c>
      <c r="E1827" t="str">
        <f>LOOKUP(D1827,Sheet2!$G$4:$H$9)</f>
        <v>1-99</v>
      </c>
      <c r="F1827" s="1">
        <v>72</v>
      </c>
      <c r="G1827" t="str">
        <f>LOOKUP(F1827,Sheet2!$J$4:$K$8)</f>
        <v>70-79</v>
      </c>
      <c r="H1827" s="1">
        <v>23</v>
      </c>
      <c r="I1827" t="str">
        <f>LOOKUP(H1827,Sheet2!$M$4:$N$8)</f>
        <v>10-30</v>
      </c>
      <c r="J1827" s="1">
        <v>0</v>
      </c>
      <c r="K1827" t="str">
        <f>LOOKUP(J1827,Sheet2!$P$4:$Q$9)</f>
        <v>Unknown</v>
      </c>
      <c r="L1827" s="1">
        <v>32</v>
      </c>
      <c r="M1827" t="str">
        <f>LOOKUP(L1827,Sheet2!$S$4:$T$8)</f>
        <v>31-35</v>
      </c>
      <c r="N1827" s="1">
        <v>0.6</v>
      </c>
      <c r="O1827" t="str">
        <f>LOOKUP(N1827,Sheet2!$V$4:$W$7)</f>
        <v>0.4 - 0.69</v>
      </c>
      <c r="P1827" s="1">
        <v>42</v>
      </c>
      <c r="Q1827" t="str">
        <f>LOOKUP(P1827,Sheet2!$Z$4:$AA$7)</f>
        <v>36-45</v>
      </c>
      <c r="R1827" s="1">
        <v>0</v>
      </c>
      <c r="S1827" t="str">
        <f>IF(R1827=1,"Positive","Negative")</f>
        <v>Negative</v>
      </c>
      <c r="T1827" s="1">
        <f>IFERROR(VLOOKUP(A1827,[1]diabetes_Recognition!$A:$B,2,FALSE),"Not Sampled")</f>
        <v>0</v>
      </c>
      <c r="U1827" t="str">
        <f>IF(T1827=1,"Positive",(IF(T1827=0,"Negative","Not Sampled")))</f>
        <v>Negative</v>
      </c>
      <c r="V1827" s="1" t="str">
        <f>IF(U1827="Not Sampled","Not Sampled",IF(S1827=U1827,"Accurate Prediction","Inaccurate Prediction"))</f>
        <v>Accurate Prediction</v>
      </c>
    </row>
    <row r="1828" spans="1:22" x14ac:dyDescent="0.25">
      <c r="A1828" s="1">
        <v>1826</v>
      </c>
      <c r="B1828" s="1">
        <v>2</v>
      </c>
      <c r="C1828" s="1">
        <f>LOOKUP(B1828,Sheet2!$D$4:$E$9)</f>
        <v>2</v>
      </c>
      <c r="D1828" s="1">
        <v>99</v>
      </c>
      <c r="E1828" t="str">
        <f>LOOKUP(D1828,Sheet2!$G$4:$H$9)</f>
        <v>1-99</v>
      </c>
      <c r="F1828" s="1">
        <v>60</v>
      </c>
      <c r="G1828" t="str">
        <f>LOOKUP(F1828,Sheet2!$J$4:$K$8)</f>
        <v>60-69</v>
      </c>
      <c r="H1828" s="1">
        <v>17</v>
      </c>
      <c r="I1828" t="str">
        <f>LOOKUP(H1828,Sheet2!$M$4:$N$8)</f>
        <v>10-30</v>
      </c>
      <c r="J1828" s="1">
        <v>160</v>
      </c>
      <c r="K1828" t="str">
        <f>LOOKUP(J1828,Sheet2!$P$4:$Q$9)</f>
        <v>100-199</v>
      </c>
      <c r="L1828" s="1">
        <v>36.6</v>
      </c>
      <c r="M1828" t="str">
        <f>LOOKUP(L1828,Sheet2!$S$4:$T$8)</f>
        <v>36+</v>
      </c>
      <c r="N1828" s="1">
        <v>0.45300000000000001</v>
      </c>
      <c r="O1828" t="str">
        <f>LOOKUP(N1828,Sheet2!$V$4:$W$7)</f>
        <v>0.4 - 0.69</v>
      </c>
      <c r="P1828" s="1">
        <v>21</v>
      </c>
      <c r="Q1828" t="str">
        <f>LOOKUP(P1828,Sheet2!$Z$4:$AA$7)</f>
        <v>&lt;=25</v>
      </c>
      <c r="R1828" s="1">
        <v>0</v>
      </c>
      <c r="S1828" t="str">
        <f>IF(R1828=1,"Positive","Negative")</f>
        <v>Negative</v>
      </c>
      <c r="T1828" s="1" t="str">
        <f>IFERROR(VLOOKUP(A1828,[1]diabetes_Recognition!$A:$B,2,FALSE),"Not Sampled")</f>
        <v>Not Sampled</v>
      </c>
      <c r="U1828" t="str">
        <f>IF(T1828=1,"Positive",(IF(T1828=0,"Negative","Not Sampled")))</f>
        <v>Not Sampled</v>
      </c>
      <c r="V1828" s="1" t="str">
        <f>IF(U1828="Not Sampled","Not Sampled",IF(S1828=U1828,"Accurate Prediction","Inaccurate Prediction"))</f>
        <v>Not Sampled</v>
      </c>
    </row>
    <row r="1829" spans="1:22" x14ac:dyDescent="0.25">
      <c r="A1829" s="1">
        <v>1827</v>
      </c>
      <c r="B1829" s="1">
        <v>1</v>
      </c>
      <c r="C1829" s="1">
        <f>LOOKUP(B1829,Sheet2!$D$4:$E$9)</f>
        <v>1</v>
      </c>
      <c r="D1829" s="1">
        <v>102</v>
      </c>
      <c r="E1829" t="str">
        <f>LOOKUP(D1829,Sheet2!$G$4:$H$9)</f>
        <v>100-125</v>
      </c>
      <c r="F1829" s="1">
        <v>74</v>
      </c>
      <c r="G1829" t="str">
        <f>LOOKUP(F1829,Sheet2!$J$4:$K$8)</f>
        <v>70-79</v>
      </c>
      <c r="H1829" s="1">
        <v>0</v>
      </c>
      <c r="I1829" t="str">
        <f>LOOKUP(H1829,Sheet2!$M$4:$N$8)</f>
        <v>Unknown</v>
      </c>
      <c r="J1829" s="1">
        <v>0</v>
      </c>
      <c r="K1829" t="str">
        <f>LOOKUP(J1829,Sheet2!$P$4:$Q$9)</f>
        <v>Unknown</v>
      </c>
      <c r="L1829" s="1">
        <v>39.5</v>
      </c>
      <c r="M1829" t="str">
        <f>LOOKUP(L1829,Sheet2!$S$4:$T$8)</f>
        <v>36+</v>
      </c>
      <c r="N1829" s="1">
        <v>0.29299999999999998</v>
      </c>
      <c r="O1829" t="str">
        <f>LOOKUP(N1829,Sheet2!$V$4:$W$7)</f>
        <v>0.25 - 0.39</v>
      </c>
      <c r="P1829" s="1">
        <v>42</v>
      </c>
      <c r="Q1829" t="str">
        <f>LOOKUP(P1829,Sheet2!$Z$4:$AA$7)</f>
        <v>36-45</v>
      </c>
      <c r="R1829" s="1">
        <v>1</v>
      </c>
      <c r="S1829" t="str">
        <f>IF(R1829=1,"Positive","Negative")</f>
        <v>Positive</v>
      </c>
      <c r="T1829" s="1" t="str">
        <f>IFERROR(VLOOKUP(A1829,[1]diabetes_Recognition!$A:$B,2,FALSE),"Not Sampled")</f>
        <v>Not Sampled</v>
      </c>
      <c r="U1829" t="str">
        <f>IF(T1829=1,"Positive",(IF(T1829=0,"Negative","Not Sampled")))</f>
        <v>Not Sampled</v>
      </c>
      <c r="V1829" s="1" t="str">
        <f>IF(U1829="Not Sampled","Not Sampled",IF(S1829=U1829,"Accurate Prediction","Inaccurate Prediction"))</f>
        <v>Not Sampled</v>
      </c>
    </row>
    <row r="1830" spans="1:22" x14ac:dyDescent="0.25">
      <c r="A1830" s="1">
        <v>1828</v>
      </c>
      <c r="B1830" s="1">
        <v>11</v>
      </c>
      <c r="C1830" s="1" t="str">
        <f>LOOKUP(B1830,Sheet2!$D$4:$E$9)</f>
        <v>8+</v>
      </c>
      <c r="D1830" s="1">
        <v>120</v>
      </c>
      <c r="E1830" t="str">
        <f>LOOKUP(D1830,Sheet2!$G$4:$H$9)</f>
        <v>100-125</v>
      </c>
      <c r="F1830" s="1">
        <v>80</v>
      </c>
      <c r="G1830" t="str">
        <f>LOOKUP(F1830,Sheet2!$J$4:$K$8)</f>
        <v>80+</v>
      </c>
      <c r="H1830" s="1">
        <v>37</v>
      </c>
      <c r="I1830" t="str">
        <f>LOOKUP(H1830,Sheet2!$M$4:$N$8)</f>
        <v>30-39</v>
      </c>
      <c r="J1830" s="1">
        <v>150</v>
      </c>
      <c r="K1830" t="str">
        <f>LOOKUP(J1830,Sheet2!$P$4:$Q$9)</f>
        <v>100-199</v>
      </c>
      <c r="L1830" s="1">
        <v>42.3</v>
      </c>
      <c r="M1830" t="str">
        <f>LOOKUP(L1830,Sheet2!$S$4:$T$8)</f>
        <v>36+</v>
      </c>
      <c r="N1830" s="1">
        <v>0.78500000000000003</v>
      </c>
      <c r="O1830" t="str">
        <f>LOOKUP(N1830,Sheet2!$V$4:$W$7)</f>
        <v>0.7+</v>
      </c>
      <c r="P1830" s="1">
        <v>48</v>
      </c>
      <c r="Q1830" t="str">
        <f>LOOKUP(P1830,Sheet2!$Z$4:$AA$7)</f>
        <v>46+</v>
      </c>
      <c r="R1830" s="1">
        <v>1</v>
      </c>
      <c r="S1830" t="str">
        <f>IF(R1830=1,"Positive","Negative")</f>
        <v>Positive</v>
      </c>
      <c r="T1830" s="1" t="str">
        <f>IFERROR(VLOOKUP(A1830,[1]diabetes_Recognition!$A:$B,2,FALSE),"Not Sampled")</f>
        <v>Not Sampled</v>
      </c>
      <c r="U1830" t="str">
        <f>IF(T1830=1,"Positive",(IF(T1830=0,"Negative","Not Sampled")))</f>
        <v>Not Sampled</v>
      </c>
      <c r="V1830" s="1" t="str">
        <f>IF(U1830="Not Sampled","Not Sampled",IF(S1830=U1830,"Accurate Prediction","Inaccurate Prediction"))</f>
        <v>Not Sampled</v>
      </c>
    </row>
    <row r="1831" spans="1:22" x14ac:dyDescent="0.25">
      <c r="A1831" s="1">
        <v>1829</v>
      </c>
      <c r="B1831" s="1">
        <v>3</v>
      </c>
      <c r="C1831" s="1" t="str">
        <f>LOOKUP(B1831,Sheet2!$D$4:$E$9)</f>
        <v>3-4</v>
      </c>
      <c r="D1831" s="1">
        <v>102</v>
      </c>
      <c r="E1831" t="str">
        <f>LOOKUP(D1831,Sheet2!$G$4:$H$9)</f>
        <v>100-125</v>
      </c>
      <c r="F1831" s="1">
        <v>44</v>
      </c>
      <c r="G1831" t="str">
        <f>LOOKUP(F1831,Sheet2!$J$4:$K$8)</f>
        <v>1-59</v>
      </c>
      <c r="H1831" s="1">
        <v>20</v>
      </c>
      <c r="I1831" t="str">
        <f>LOOKUP(H1831,Sheet2!$M$4:$N$8)</f>
        <v>10-30</v>
      </c>
      <c r="J1831" s="1">
        <v>94</v>
      </c>
      <c r="K1831" t="str">
        <f>LOOKUP(J1831,Sheet2!$P$4:$Q$9)</f>
        <v>1-99</v>
      </c>
      <c r="L1831" s="1">
        <v>30.8</v>
      </c>
      <c r="M1831" t="str">
        <f>LOOKUP(L1831,Sheet2!$S$4:$T$8)</f>
        <v>26-30</v>
      </c>
      <c r="N1831" s="1">
        <v>0.4</v>
      </c>
      <c r="O1831" t="str">
        <f>LOOKUP(N1831,Sheet2!$V$4:$W$7)</f>
        <v>0.4 - 0.69</v>
      </c>
      <c r="P1831" s="1">
        <v>26</v>
      </c>
      <c r="Q1831" t="str">
        <f>LOOKUP(P1831,Sheet2!$Z$4:$AA$7)</f>
        <v>26-35</v>
      </c>
      <c r="R1831" s="1">
        <v>0</v>
      </c>
      <c r="S1831" t="str">
        <f>IF(R1831=1,"Positive","Negative")</f>
        <v>Negative</v>
      </c>
      <c r="T1831" s="1" t="str">
        <f>IFERROR(VLOOKUP(A1831,[1]diabetes_Recognition!$A:$B,2,FALSE),"Not Sampled")</f>
        <v>Not Sampled</v>
      </c>
      <c r="U1831" t="str">
        <f>IF(T1831=1,"Positive",(IF(T1831=0,"Negative","Not Sampled")))</f>
        <v>Not Sampled</v>
      </c>
      <c r="V1831" s="1" t="str">
        <f>IF(U1831="Not Sampled","Not Sampled",IF(S1831=U1831,"Accurate Prediction","Inaccurate Prediction"))</f>
        <v>Not Sampled</v>
      </c>
    </row>
    <row r="1832" spans="1:22" x14ac:dyDescent="0.25">
      <c r="A1832" s="1">
        <v>1830</v>
      </c>
      <c r="B1832" s="1">
        <v>1</v>
      </c>
      <c r="C1832" s="1">
        <f>LOOKUP(B1832,Sheet2!$D$4:$E$9)</f>
        <v>1</v>
      </c>
      <c r="D1832" s="1">
        <v>109</v>
      </c>
      <c r="E1832" t="str">
        <f>LOOKUP(D1832,Sheet2!$G$4:$H$9)</f>
        <v>100-125</v>
      </c>
      <c r="F1832" s="1">
        <v>58</v>
      </c>
      <c r="G1832" t="str">
        <f>LOOKUP(F1832,Sheet2!$J$4:$K$8)</f>
        <v>1-59</v>
      </c>
      <c r="H1832" s="1">
        <v>18</v>
      </c>
      <c r="I1832" t="str">
        <f>LOOKUP(H1832,Sheet2!$M$4:$N$8)</f>
        <v>10-30</v>
      </c>
      <c r="J1832" s="1">
        <v>116</v>
      </c>
      <c r="K1832" t="str">
        <f>LOOKUP(J1832,Sheet2!$P$4:$Q$9)</f>
        <v>100-199</v>
      </c>
      <c r="L1832" s="1">
        <v>28.5</v>
      </c>
      <c r="M1832" t="str">
        <f>LOOKUP(L1832,Sheet2!$S$4:$T$8)</f>
        <v>26-30</v>
      </c>
      <c r="N1832" s="1">
        <v>0.219</v>
      </c>
      <c r="O1832" t="str">
        <f>LOOKUP(N1832,Sheet2!$V$4:$W$7)</f>
        <v>0.0 - 0.249</v>
      </c>
      <c r="P1832" s="1">
        <v>22</v>
      </c>
      <c r="Q1832" t="str">
        <f>LOOKUP(P1832,Sheet2!$Z$4:$AA$7)</f>
        <v>&lt;=25</v>
      </c>
      <c r="R1832" s="1">
        <v>0</v>
      </c>
      <c r="S1832" t="str">
        <f>IF(R1832=1,"Positive","Negative")</f>
        <v>Negative</v>
      </c>
      <c r="T1832" s="1">
        <f>IFERROR(VLOOKUP(A1832,[1]diabetes_Recognition!$A:$B,2,FALSE),"Not Sampled")</f>
        <v>0</v>
      </c>
      <c r="U1832" t="str">
        <f>IF(T1832=1,"Positive",(IF(T1832=0,"Negative","Not Sampled")))</f>
        <v>Negative</v>
      </c>
      <c r="V1832" s="1" t="str">
        <f>IF(U1832="Not Sampled","Not Sampled",IF(S1832=U1832,"Accurate Prediction","Inaccurate Prediction"))</f>
        <v>Accurate Prediction</v>
      </c>
    </row>
    <row r="1833" spans="1:22" x14ac:dyDescent="0.25">
      <c r="A1833" s="1">
        <v>1831</v>
      </c>
      <c r="B1833" s="1">
        <v>9</v>
      </c>
      <c r="C1833" s="1" t="str">
        <f>LOOKUP(B1833,Sheet2!$D$4:$E$9)</f>
        <v>8+</v>
      </c>
      <c r="D1833" s="1">
        <v>140</v>
      </c>
      <c r="E1833" t="str">
        <f>LOOKUP(D1833,Sheet2!$G$4:$H$9)</f>
        <v>126-150</v>
      </c>
      <c r="F1833" s="1">
        <v>94</v>
      </c>
      <c r="G1833" t="str">
        <f>LOOKUP(F1833,Sheet2!$J$4:$K$8)</f>
        <v>80+</v>
      </c>
      <c r="H1833" s="1">
        <v>0</v>
      </c>
      <c r="I1833" t="str">
        <f>LOOKUP(H1833,Sheet2!$M$4:$N$8)</f>
        <v>Unknown</v>
      </c>
      <c r="J1833" s="1">
        <v>0</v>
      </c>
      <c r="K1833" t="str">
        <f>LOOKUP(J1833,Sheet2!$P$4:$Q$9)</f>
        <v>Unknown</v>
      </c>
      <c r="L1833" s="1">
        <v>32.700000000000003</v>
      </c>
      <c r="M1833" t="str">
        <f>LOOKUP(L1833,Sheet2!$S$4:$T$8)</f>
        <v>31-35</v>
      </c>
      <c r="N1833" s="1">
        <v>0.73399999999999999</v>
      </c>
      <c r="O1833" t="str">
        <f>LOOKUP(N1833,Sheet2!$V$4:$W$7)</f>
        <v>0.7+</v>
      </c>
      <c r="P1833" s="1">
        <v>45</v>
      </c>
      <c r="Q1833" t="str">
        <f>LOOKUP(P1833,Sheet2!$Z$4:$AA$7)</f>
        <v>36-45</v>
      </c>
      <c r="R1833" s="1">
        <v>1</v>
      </c>
      <c r="S1833" t="str">
        <f>IF(R1833=1,"Positive","Negative")</f>
        <v>Positive</v>
      </c>
      <c r="T1833" s="1" t="str">
        <f>IFERROR(VLOOKUP(A1833,[1]diabetes_Recognition!$A:$B,2,FALSE),"Not Sampled")</f>
        <v>Not Sampled</v>
      </c>
      <c r="U1833" t="str">
        <f>IF(T1833=1,"Positive",(IF(T1833=0,"Negative","Not Sampled")))</f>
        <v>Not Sampled</v>
      </c>
      <c r="V1833" s="1" t="str">
        <f>IF(U1833="Not Sampled","Not Sampled",IF(S1833=U1833,"Accurate Prediction","Inaccurate Prediction"))</f>
        <v>Not Sampled</v>
      </c>
    </row>
    <row r="1834" spans="1:22" x14ac:dyDescent="0.25">
      <c r="A1834" s="1">
        <v>1832</v>
      </c>
      <c r="B1834" s="1">
        <v>13</v>
      </c>
      <c r="C1834" s="1" t="str">
        <f>LOOKUP(B1834,Sheet2!$D$4:$E$9)</f>
        <v>8+</v>
      </c>
      <c r="D1834" s="1">
        <v>153</v>
      </c>
      <c r="E1834" t="str">
        <f>LOOKUP(D1834,Sheet2!$G$4:$H$9)</f>
        <v>151-175</v>
      </c>
      <c r="F1834" s="1">
        <v>88</v>
      </c>
      <c r="G1834" t="str">
        <f>LOOKUP(F1834,Sheet2!$J$4:$K$8)</f>
        <v>80+</v>
      </c>
      <c r="H1834" s="1">
        <v>37</v>
      </c>
      <c r="I1834" t="str">
        <f>LOOKUP(H1834,Sheet2!$M$4:$N$8)</f>
        <v>30-39</v>
      </c>
      <c r="J1834" s="1">
        <v>140</v>
      </c>
      <c r="K1834" t="str">
        <f>LOOKUP(J1834,Sheet2!$P$4:$Q$9)</f>
        <v>100-199</v>
      </c>
      <c r="L1834" s="1">
        <v>40.6</v>
      </c>
      <c r="M1834" t="str">
        <f>LOOKUP(L1834,Sheet2!$S$4:$T$8)</f>
        <v>36+</v>
      </c>
      <c r="N1834" s="1">
        <v>1.1739999999999999</v>
      </c>
      <c r="O1834" t="str">
        <f>LOOKUP(N1834,Sheet2!$V$4:$W$7)</f>
        <v>0.7+</v>
      </c>
      <c r="P1834" s="1">
        <v>39</v>
      </c>
      <c r="Q1834" t="str">
        <f>LOOKUP(P1834,Sheet2!$Z$4:$AA$7)</f>
        <v>36-45</v>
      </c>
      <c r="R1834" s="1">
        <v>0</v>
      </c>
      <c r="S1834" t="str">
        <f>IF(R1834=1,"Positive","Negative")</f>
        <v>Negative</v>
      </c>
      <c r="T1834" s="1" t="str">
        <f>IFERROR(VLOOKUP(A1834,[1]diabetes_Recognition!$A:$B,2,FALSE),"Not Sampled")</f>
        <v>Not Sampled</v>
      </c>
      <c r="U1834" t="str">
        <f>IF(T1834=1,"Positive",(IF(T1834=0,"Negative","Not Sampled")))</f>
        <v>Not Sampled</v>
      </c>
      <c r="V1834" s="1" t="str">
        <f>IF(U1834="Not Sampled","Not Sampled",IF(S1834=U1834,"Accurate Prediction","Inaccurate Prediction"))</f>
        <v>Not Sampled</v>
      </c>
    </row>
    <row r="1835" spans="1:22" x14ac:dyDescent="0.25">
      <c r="A1835" s="1">
        <v>1833</v>
      </c>
      <c r="B1835" s="1">
        <v>12</v>
      </c>
      <c r="C1835" s="1" t="str">
        <f>LOOKUP(B1835,Sheet2!$D$4:$E$9)</f>
        <v>8+</v>
      </c>
      <c r="D1835" s="1">
        <v>100</v>
      </c>
      <c r="E1835" t="str">
        <f>LOOKUP(D1835,Sheet2!$G$4:$H$9)</f>
        <v>100-125</v>
      </c>
      <c r="F1835" s="1">
        <v>84</v>
      </c>
      <c r="G1835" t="str">
        <f>LOOKUP(F1835,Sheet2!$J$4:$K$8)</f>
        <v>80+</v>
      </c>
      <c r="H1835" s="1">
        <v>33</v>
      </c>
      <c r="I1835" t="str">
        <f>LOOKUP(H1835,Sheet2!$M$4:$N$8)</f>
        <v>30-39</v>
      </c>
      <c r="J1835" s="1">
        <v>105</v>
      </c>
      <c r="K1835" t="str">
        <f>LOOKUP(J1835,Sheet2!$P$4:$Q$9)</f>
        <v>100-199</v>
      </c>
      <c r="L1835" s="1">
        <v>30</v>
      </c>
      <c r="M1835" t="str">
        <f>LOOKUP(L1835,Sheet2!$S$4:$T$8)</f>
        <v>26-30</v>
      </c>
      <c r="N1835" s="1">
        <v>0.48799999999999999</v>
      </c>
      <c r="O1835" t="str">
        <f>LOOKUP(N1835,Sheet2!$V$4:$W$7)</f>
        <v>0.4 - 0.69</v>
      </c>
      <c r="P1835" s="1">
        <v>46</v>
      </c>
      <c r="Q1835" t="str">
        <f>LOOKUP(P1835,Sheet2!$Z$4:$AA$7)</f>
        <v>46+</v>
      </c>
      <c r="R1835" s="1">
        <v>0</v>
      </c>
      <c r="S1835" t="str">
        <f>IF(R1835=1,"Positive","Negative")</f>
        <v>Negative</v>
      </c>
      <c r="T1835" s="1" t="str">
        <f>IFERROR(VLOOKUP(A1835,[1]diabetes_Recognition!$A:$B,2,FALSE),"Not Sampled")</f>
        <v>Not Sampled</v>
      </c>
      <c r="U1835" t="str">
        <f>IF(T1835=1,"Positive",(IF(T1835=0,"Negative","Not Sampled")))</f>
        <v>Not Sampled</v>
      </c>
      <c r="V1835" s="1" t="str">
        <f>IF(U1835="Not Sampled","Not Sampled",IF(S1835=U1835,"Accurate Prediction","Inaccurate Prediction"))</f>
        <v>Not Sampled</v>
      </c>
    </row>
    <row r="1836" spans="1:22" x14ac:dyDescent="0.25">
      <c r="A1836" s="1">
        <v>1834</v>
      </c>
      <c r="B1836" s="1">
        <v>1</v>
      </c>
      <c r="C1836" s="1">
        <f>LOOKUP(B1836,Sheet2!$D$4:$E$9)</f>
        <v>1</v>
      </c>
      <c r="D1836" s="1">
        <v>147</v>
      </c>
      <c r="E1836" t="str">
        <f>LOOKUP(D1836,Sheet2!$G$4:$H$9)</f>
        <v>126-150</v>
      </c>
      <c r="F1836" s="1">
        <v>94</v>
      </c>
      <c r="G1836" t="str">
        <f>LOOKUP(F1836,Sheet2!$J$4:$K$8)</f>
        <v>80+</v>
      </c>
      <c r="H1836" s="1">
        <v>41</v>
      </c>
      <c r="I1836" t="str">
        <f>LOOKUP(H1836,Sheet2!$M$4:$N$8)</f>
        <v>40+</v>
      </c>
      <c r="J1836" s="1">
        <v>0</v>
      </c>
      <c r="K1836" t="str">
        <f>LOOKUP(J1836,Sheet2!$P$4:$Q$9)</f>
        <v>Unknown</v>
      </c>
      <c r="L1836" s="1">
        <v>49.3</v>
      </c>
      <c r="M1836" t="str">
        <f>LOOKUP(L1836,Sheet2!$S$4:$T$8)</f>
        <v>36+</v>
      </c>
      <c r="N1836" s="1">
        <v>0.35799999999999998</v>
      </c>
      <c r="O1836" t="str">
        <f>LOOKUP(N1836,Sheet2!$V$4:$W$7)</f>
        <v>0.25 - 0.39</v>
      </c>
      <c r="P1836" s="1">
        <v>27</v>
      </c>
      <c r="Q1836" t="str">
        <f>LOOKUP(P1836,Sheet2!$Z$4:$AA$7)</f>
        <v>26-35</v>
      </c>
      <c r="R1836" s="1">
        <v>1</v>
      </c>
      <c r="S1836" t="str">
        <f>IF(R1836=1,"Positive","Negative")</f>
        <v>Positive</v>
      </c>
      <c r="T1836" s="1" t="str">
        <f>IFERROR(VLOOKUP(A1836,[1]diabetes_Recognition!$A:$B,2,FALSE),"Not Sampled")</f>
        <v>Not Sampled</v>
      </c>
      <c r="U1836" t="str">
        <f>IF(T1836=1,"Positive",(IF(T1836=0,"Negative","Not Sampled")))</f>
        <v>Not Sampled</v>
      </c>
      <c r="V1836" s="1" t="str">
        <f>IF(U1836="Not Sampled","Not Sampled",IF(S1836=U1836,"Accurate Prediction","Inaccurate Prediction"))</f>
        <v>Not Sampled</v>
      </c>
    </row>
    <row r="1837" spans="1:22" x14ac:dyDescent="0.25">
      <c r="A1837" s="1">
        <v>1835</v>
      </c>
      <c r="B1837" s="1">
        <v>1</v>
      </c>
      <c r="C1837" s="1">
        <f>LOOKUP(B1837,Sheet2!$D$4:$E$9)</f>
        <v>1</v>
      </c>
      <c r="D1837" s="1">
        <v>81</v>
      </c>
      <c r="E1837" t="str">
        <f>LOOKUP(D1837,Sheet2!$G$4:$H$9)</f>
        <v>1-99</v>
      </c>
      <c r="F1837" s="1">
        <v>74</v>
      </c>
      <c r="G1837" t="str">
        <f>LOOKUP(F1837,Sheet2!$J$4:$K$8)</f>
        <v>70-79</v>
      </c>
      <c r="H1837" s="1">
        <v>41</v>
      </c>
      <c r="I1837" t="str">
        <f>LOOKUP(H1837,Sheet2!$M$4:$N$8)</f>
        <v>40+</v>
      </c>
      <c r="J1837" s="1">
        <v>57</v>
      </c>
      <c r="K1837" t="str">
        <f>LOOKUP(J1837,Sheet2!$P$4:$Q$9)</f>
        <v>1-99</v>
      </c>
      <c r="L1837" s="1">
        <v>46.3</v>
      </c>
      <c r="M1837" t="str">
        <f>LOOKUP(L1837,Sheet2!$S$4:$T$8)</f>
        <v>36+</v>
      </c>
      <c r="N1837" s="1">
        <v>1.0960000000000001</v>
      </c>
      <c r="O1837" t="str">
        <f>LOOKUP(N1837,Sheet2!$V$4:$W$7)</f>
        <v>0.7+</v>
      </c>
      <c r="P1837" s="1">
        <v>32</v>
      </c>
      <c r="Q1837" t="str">
        <f>LOOKUP(P1837,Sheet2!$Z$4:$AA$7)</f>
        <v>26-35</v>
      </c>
      <c r="R1837" s="1">
        <v>0</v>
      </c>
      <c r="S1837" t="str">
        <f>IF(R1837=1,"Positive","Negative")</f>
        <v>Negative</v>
      </c>
      <c r="T1837" s="1" t="str">
        <f>IFERROR(VLOOKUP(A1837,[1]diabetes_Recognition!$A:$B,2,FALSE),"Not Sampled")</f>
        <v>Not Sampled</v>
      </c>
      <c r="U1837" t="str">
        <f>IF(T1837=1,"Positive",(IF(T1837=0,"Negative","Not Sampled")))</f>
        <v>Not Sampled</v>
      </c>
      <c r="V1837" s="1" t="str">
        <f>IF(U1837="Not Sampled","Not Sampled",IF(S1837=U1837,"Accurate Prediction","Inaccurate Prediction"))</f>
        <v>Not Sampled</v>
      </c>
    </row>
    <row r="1838" spans="1:22" x14ac:dyDescent="0.25">
      <c r="A1838" s="1">
        <v>1836</v>
      </c>
      <c r="B1838" s="1">
        <v>3</v>
      </c>
      <c r="C1838" s="1" t="str">
        <f>LOOKUP(B1838,Sheet2!$D$4:$E$9)</f>
        <v>3-4</v>
      </c>
      <c r="D1838" s="1">
        <v>187</v>
      </c>
      <c r="E1838" t="str">
        <f>LOOKUP(D1838,Sheet2!$G$4:$H$9)</f>
        <v>176-200</v>
      </c>
      <c r="F1838" s="1">
        <v>70</v>
      </c>
      <c r="G1838" t="str">
        <f>LOOKUP(F1838,Sheet2!$J$4:$K$8)</f>
        <v>70-79</v>
      </c>
      <c r="H1838" s="1">
        <v>22</v>
      </c>
      <c r="I1838" t="str">
        <f>LOOKUP(H1838,Sheet2!$M$4:$N$8)</f>
        <v>10-30</v>
      </c>
      <c r="J1838" s="1">
        <v>200</v>
      </c>
      <c r="K1838" t="str">
        <f>LOOKUP(J1838,Sheet2!$P$4:$Q$9)</f>
        <v>200-399</v>
      </c>
      <c r="L1838" s="1">
        <v>36.4</v>
      </c>
      <c r="M1838" t="str">
        <f>LOOKUP(L1838,Sheet2!$S$4:$T$8)</f>
        <v>36+</v>
      </c>
      <c r="N1838" s="1">
        <v>0.40799999999999997</v>
      </c>
      <c r="O1838" t="str">
        <f>LOOKUP(N1838,Sheet2!$V$4:$W$7)</f>
        <v>0.4 - 0.69</v>
      </c>
      <c r="P1838" s="1">
        <v>36</v>
      </c>
      <c r="Q1838" t="str">
        <f>LOOKUP(P1838,Sheet2!$Z$4:$AA$7)</f>
        <v>36-45</v>
      </c>
      <c r="R1838" s="1">
        <v>1</v>
      </c>
      <c r="S1838" t="str">
        <f>IF(R1838=1,"Positive","Negative")</f>
        <v>Positive</v>
      </c>
      <c r="T1838" s="1" t="str">
        <f>IFERROR(VLOOKUP(A1838,[1]diabetes_Recognition!$A:$B,2,FALSE),"Not Sampled")</f>
        <v>Not Sampled</v>
      </c>
      <c r="U1838" t="str">
        <f>IF(T1838=1,"Positive",(IF(T1838=0,"Negative","Not Sampled")))</f>
        <v>Not Sampled</v>
      </c>
      <c r="V1838" s="1" t="str">
        <f>IF(U1838="Not Sampled","Not Sampled",IF(S1838=U1838,"Accurate Prediction","Inaccurate Prediction"))</f>
        <v>Not Sampled</v>
      </c>
    </row>
    <row r="1839" spans="1:22" x14ac:dyDescent="0.25">
      <c r="A1839" s="1">
        <v>1837</v>
      </c>
      <c r="B1839" s="1">
        <v>6</v>
      </c>
      <c r="C1839" s="1" t="str">
        <f>LOOKUP(B1839,Sheet2!$D$4:$E$9)</f>
        <v>5-7</v>
      </c>
      <c r="D1839" s="1">
        <v>162</v>
      </c>
      <c r="E1839" t="str">
        <f>LOOKUP(D1839,Sheet2!$G$4:$H$9)</f>
        <v>151-175</v>
      </c>
      <c r="F1839" s="1">
        <v>62</v>
      </c>
      <c r="G1839" t="str">
        <f>LOOKUP(F1839,Sheet2!$J$4:$K$8)</f>
        <v>60-69</v>
      </c>
      <c r="H1839" s="1">
        <v>0</v>
      </c>
      <c r="I1839" t="str">
        <f>LOOKUP(H1839,Sheet2!$M$4:$N$8)</f>
        <v>Unknown</v>
      </c>
      <c r="J1839" s="1">
        <v>0</v>
      </c>
      <c r="K1839" t="str">
        <f>LOOKUP(J1839,Sheet2!$P$4:$Q$9)</f>
        <v>Unknown</v>
      </c>
      <c r="L1839" s="1">
        <v>24.3</v>
      </c>
      <c r="M1839" t="str">
        <f>LOOKUP(L1839,Sheet2!$S$4:$T$8)</f>
        <v>1-25</v>
      </c>
      <c r="N1839" s="1">
        <v>0.17799999999999999</v>
      </c>
      <c r="O1839" t="str">
        <f>LOOKUP(N1839,Sheet2!$V$4:$W$7)</f>
        <v>0.0 - 0.249</v>
      </c>
      <c r="P1839" s="1">
        <v>50</v>
      </c>
      <c r="Q1839" t="str">
        <f>LOOKUP(P1839,Sheet2!$Z$4:$AA$7)</f>
        <v>46+</v>
      </c>
      <c r="R1839" s="1">
        <v>1</v>
      </c>
      <c r="S1839" t="str">
        <f>IF(R1839=1,"Positive","Negative")</f>
        <v>Positive</v>
      </c>
      <c r="T1839" s="1" t="str">
        <f>IFERROR(VLOOKUP(A1839,[1]diabetes_Recognition!$A:$B,2,FALSE),"Not Sampled")</f>
        <v>Not Sampled</v>
      </c>
      <c r="U1839" t="str">
        <f>IF(T1839=1,"Positive",(IF(T1839=0,"Negative","Not Sampled")))</f>
        <v>Not Sampled</v>
      </c>
      <c r="V1839" s="1" t="str">
        <f>IF(U1839="Not Sampled","Not Sampled",IF(S1839=U1839,"Accurate Prediction","Inaccurate Prediction"))</f>
        <v>Not Sampled</v>
      </c>
    </row>
    <row r="1840" spans="1:22" x14ac:dyDescent="0.25">
      <c r="A1840" s="1">
        <v>1838</v>
      </c>
      <c r="B1840" s="1">
        <v>4</v>
      </c>
      <c r="C1840" s="1" t="str">
        <f>LOOKUP(B1840,Sheet2!$D$4:$E$9)</f>
        <v>3-4</v>
      </c>
      <c r="D1840" s="1">
        <v>136</v>
      </c>
      <c r="E1840" t="str">
        <f>LOOKUP(D1840,Sheet2!$G$4:$H$9)</f>
        <v>126-150</v>
      </c>
      <c r="F1840" s="1">
        <v>70</v>
      </c>
      <c r="G1840" t="str">
        <f>LOOKUP(F1840,Sheet2!$J$4:$K$8)</f>
        <v>70-79</v>
      </c>
      <c r="H1840" s="1">
        <v>0</v>
      </c>
      <c r="I1840" t="str">
        <f>LOOKUP(H1840,Sheet2!$M$4:$N$8)</f>
        <v>Unknown</v>
      </c>
      <c r="J1840" s="1">
        <v>0</v>
      </c>
      <c r="K1840" t="str">
        <f>LOOKUP(J1840,Sheet2!$P$4:$Q$9)</f>
        <v>Unknown</v>
      </c>
      <c r="L1840" s="1">
        <v>31.2</v>
      </c>
      <c r="M1840" t="str">
        <f>LOOKUP(L1840,Sheet2!$S$4:$T$8)</f>
        <v>31-35</v>
      </c>
      <c r="N1840" s="1">
        <v>1.1819999999999999</v>
      </c>
      <c r="O1840" t="str">
        <f>LOOKUP(N1840,Sheet2!$V$4:$W$7)</f>
        <v>0.7+</v>
      </c>
      <c r="P1840" s="1">
        <v>22</v>
      </c>
      <c r="Q1840" t="str">
        <f>LOOKUP(P1840,Sheet2!$Z$4:$AA$7)</f>
        <v>&lt;=25</v>
      </c>
      <c r="R1840" s="1">
        <v>1</v>
      </c>
      <c r="S1840" t="str">
        <f>IF(R1840=1,"Positive","Negative")</f>
        <v>Positive</v>
      </c>
      <c r="T1840" s="1" t="str">
        <f>IFERROR(VLOOKUP(A1840,[1]diabetes_Recognition!$A:$B,2,FALSE),"Not Sampled")</f>
        <v>Not Sampled</v>
      </c>
      <c r="U1840" t="str">
        <f>IF(T1840=1,"Positive",(IF(T1840=0,"Negative","Not Sampled")))</f>
        <v>Not Sampled</v>
      </c>
      <c r="V1840" s="1" t="str">
        <f>IF(U1840="Not Sampled","Not Sampled",IF(S1840=U1840,"Accurate Prediction","Inaccurate Prediction"))</f>
        <v>Not Sampled</v>
      </c>
    </row>
    <row r="1841" spans="1:22" x14ac:dyDescent="0.25">
      <c r="A1841" s="1">
        <v>1839</v>
      </c>
      <c r="B1841" s="1">
        <v>1</v>
      </c>
      <c r="C1841" s="1">
        <f>LOOKUP(B1841,Sheet2!$D$4:$E$9)</f>
        <v>1</v>
      </c>
      <c r="D1841" s="1">
        <v>121</v>
      </c>
      <c r="E1841" t="str">
        <f>LOOKUP(D1841,Sheet2!$G$4:$H$9)</f>
        <v>100-125</v>
      </c>
      <c r="F1841" s="1">
        <v>78</v>
      </c>
      <c r="G1841" t="str">
        <f>LOOKUP(F1841,Sheet2!$J$4:$K$8)</f>
        <v>70-79</v>
      </c>
      <c r="H1841" s="1">
        <v>39</v>
      </c>
      <c r="I1841" t="str">
        <f>LOOKUP(H1841,Sheet2!$M$4:$N$8)</f>
        <v>30-39</v>
      </c>
      <c r="J1841" s="1">
        <v>74</v>
      </c>
      <c r="K1841" t="str">
        <f>LOOKUP(J1841,Sheet2!$P$4:$Q$9)</f>
        <v>1-99</v>
      </c>
      <c r="L1841" s="1">
        <v>39</v>
      </c>
      <c r="M1841" t="str">
        <f>LOOKUP(L1841,Sheet2!$S$4:$T$8)</f>
        <v>36+</v>
      </c>
      <c r="N1841" s="1">
        <v>0.26100000000000001</v>
      </c>
      <c r="O1841" t="str">
        <f>LOOKUP(N1841,Sheet2!$V$4:$W$7)</f>
        <v>0.25 - 0.39</v>
      </c>
      <c r="P1841" s="1">
        <v>28</v>
      </c>
      <c r="Q1841" t="str">
        <f>LOOKUP(P1841,Sheet2!$Z$4:$AA$7)</f>
        <v>26-35</v>
      </c>
      <c r="R1841" s="1">
        <v>0</v>
      </c>
      <c r="S1841" t="str">
        <f>IF(R1841=1,"Positive","Negative")</f>
        <v>Negative</v>
      </c>
      <c r="T1841" s="1">
        <f>IFERROR(VLOOKUP(A1841,[1]diabetes_Recognition!$A:$B,2,FALSE),"Not Sampled")</f>
        <v>0</v>
      </c>
      <c r="U1841" t="str">
        <f>IF(T1841=1,"Positive",(IF(T1841=0,"Negative","Not Sampled")))</f>
        <v>Negative</v>
      </c>
      <c r="V1841" s="1" t="str">
        <f>IF(U1841="Not Sampled","Not Sampled",IF(S1841=U1841,"Accurate Prediction","Inaccurate Prediction"))</f>
        <v>Accurate Prediction</v>
      </c>
    </row>
    <row r="1842" spans="1:22" x14ac:dyDescent="0.25">
      <c r="A1842" s="1">
        <v>1840</v>
      </c>
      <c r="B1842" s="1">
        <v>3</v>
      </c>
      <c r="C1842" s="1" t="str">
        <f>LOOKUP(B1842,Sheet2!$D$4:$E$9)</f>
        <v>3-4</v>
      </c>
      <c r="D1842" s="1">
        <v>108</v>
      </c>
      <c r="E1842" t="str">
        <f>LOOKUP(D1842,Sheet2!$G$4:$H$9)</f>
        <v>100-125</v>
      </c>
      <c r="F1842" s="1">
        <v>62</v>
      </c>
      <c r="G1842" t="str">
        <f>LOOKUP(F1842,Sheet2!$J$4:$K$8)</f>
        <v>60-69</v>
      </c>
      <c r="H1842" s="1">
        <v>24</v>
      </c>
      <c r="I1842" t="str">
        <f>LOOKUP(H1842,Sheet2!$M$4:$N$8)</f>
        <v>10-30</v>
      </c>
      <c r="J1842" s="1">
        <v>0</v>
      </c>
      <c r="K1842" t="str">
        <f>LOOKUP(J1842,Sheet2!$P$4:$Q$9)</f>
        <v>Unknown</v>
      </c>
      <c r="L1842" s="1">
        <v>26</v>
      </c>
      <c r="M1842" t="str">
        <f>LOOKUP(L1842,Sheet2!$S$4:$T$8)</f>
        <v>26-30</v>
      </c>
      <c r="N1842" s="1">
        <v>0.223</v>
      </c>
      <c r="O1842" t="str">
        <f>LOOKUP(N1842,Sheet2!$V$4:$W$7)</f>
        <v>0.0 - 0.249</v>
      </c>
      <c r="P1842" s="1">
        <v>25</v>
      </c>
      <c r="Q1842" t="str">
        <f>LOOKUP(P1842,Sheet2!$Z$4:$AA$7)</f>
        <v>&lt;=25</v>
      </c>
      <c r="R1842" s="1">
        <v>0</v>
      </c>
      <c r="S1842" t="str">
        <f>IF(R1842=1,"Positive","Negative")</f>
        <v>Negative</v>
      </c>
      <c r="T1842" s="1" t="str">
        <f>IFERROR(VLOOKUP(A1842,[1]diabetes_Recognition!$A:$B,2,FALSE),"Not Sampled")</f>
        <v>Not Sampled</v>
      </c>
      <c r="U1842" t="str">
        <f>IF(T1842=1,"Positive",(IF(T1842=0,"Negative","Not Sampled")))</f>
        <v>Not Sampled</v>
      </c>
      <c r="V1842" s="1" t="str">
        <f>IF(U1842="Not Sampled","Not Sampled",IF(S1842=U1842,"Accurate Prediction","Inaccurate Prediction"))</f>
        <v>Not Sampled</v>
      </c>
    </row>
    <row r="1843" spans="1:22" x14ac:dyDescent="0.25">
      <c r="A1843" s="1">
        <v>1841</v>
      </c>
      <c r="B1843" s="1">
        <v>0</v>
      </c>
      <c r="C1843" s="1">
        <f>LOOKUP(B1843,Sheet2!$D$4:$E$9)</f>
        <v>0</v>
      </c>
      <c r="D1843" s="1">
        <v>181</v>
      </c>
      <c r="E1843" t="str">
        <f>LOOKUP(D1843,Sheet2!$G$4:$H$9)</f>
        <v>176-200</v>
      </c>
      <c r="F1843" s="1">
        <v>88</v>
      </c>
      <c r="G1843" t="str">
        <f>LOOKUP(F1843,Sheet2!$J$4:$K$8)</f>
        <v>80+</v>
      </c>
      <c r="H1843" s="1">
        <v>44</v>
      </c>
      <c r="I1843" t="str">
        <f>LOOKUP(H1843,Sheet2!$M$4:$N$8)</f>
        <v>40+</v>
      </c>
      <c r="J1843" s="1">
        <v>510</v>
      </c>
      <c r="K1843" t="str">
        <f>LOOKUP(J1843,Sheet2!$P$4:$Q$9)</f>
        <v>500+</v>
      </c>
      <c r="L1843" s="1">
        <v>43.3</v>
      </c>
      <c r="M1843" t="str">
        <f>LOOKUP(L1843,Sheet2!$S$4:$T$8)</f>
        <v>36+</v>
      </c>
      <c r="N1843" s="1">
        <v>0.222</v>
      </c>
      <c r="O1843" t="str">
        <f>LOOKUP(N1843,Sheet2!$V$4:$W$7)</f>
        <v>0.0 - 0.249</v>
      </c>
      <c r="P1843" s="1">
        <v>26</v>
      </c>
      <c r="Q1843" t="str">
        <f>LOOKUP(P1843,Sheet2!$Z$4:$AA$7)</f>
        <v>26-35</v>
      </c>
      <c r="R1843" s="1">
        <v>1</v>
      </c>
      <c r="S1843" t="str">
        <f>IF(R1843=1,"Positive","Negative")</f>
        <v>Positive</v>
      </c>
      <c r="T1843" s="1" t="str">
        <f>IFERROR(VLOOKUP(A1843,[1]diabetes_Recognition!$A:$B,2,FALSE),"Not Sampled")</f>
        <v>Not Sampled</v>
      </c>
      <c r="U1843" t="str">
        <f>IF(T1843=1,"Positive",(IF(T1843=0,"Negative","Not Sampled")))</f>
        <v>Not Sampled</v>
      </c>
      <c r="V1843" s="1" t="str">
        <f>IF(U1843="Not Sampled","Not Sampled",IF(S1843=U1843,"Accurate Prediction","Inaccurate Prediction"))</f>
        <v>Not Sampled</v>
      </c>
    </row>
    <row r="1844" spans="1:22" x14ac:dyDescent="0.25">
      <c r="A1844" s="1">
        <v>1842</v>
      </c>
      <c r="B1844" s="1">
        <v>8</v>
      </c>
      <c r="C1844" s="1" t="str">
        <f>LOOKUP(B1844,Sheet2!$D$4:$E$9)</f>
        <v>8+</v>
      </c>
      <c r="D1844" s="1">
        <v>154</v>
      </c>
      <c r="E1844" t="str">
        <f>LOOKUP(D1844,Sheet2!$G$4:$H$9)</f>
        <v>151-175</v>
      </c>
      <c r="F1844" s="1">
        <v>78</v>
      </c>
      <c r="G1844" t="str">
        <f>LOOKUP(F1844,Sheet2!$J$4:$K$8)</f>
        <v>70-79</v>
      </c>
      <c r="H1844" s="1">
        <v>32</v>
      </c>
      <c r="I1844" t="str">
        <f>LOOKUP(H1844,Sheet2!$M$4:$N$8)</f>
        <v>30-39</v>
      </c>
      <c r="J1844" s="1">
        <v>0</v>
      </c>
      <c r="K1844" t="str">
        <f>LOOKUP(J1844,Sheet2!$P$4:$Q$9)</f>
        <v>Unknown</v>
      </c>
      <c r="L1844" s="1">
        <v>32.4</v>
      </c>
      <c r="M1844" t="str">
        <f>LOOKUP(L1844,Sheet2!$S$4:$T$8)</f>
        <v>31-35</v>
      </c>
      <c r="N1844" s="1">
        <v>0.443</v>
      </c>
      <c r="O1844" t="str">
        <f>LOOKUP(N1844,Sheet2!$V$4:$W$7)</f>
        <v>0.4 - 0.69</v>
      </c>
      <c r="P1844" s="1">
        <v>45</v>
      </c>
      <c r="Q1844" t="str">
        <f>LOOKUP(P1844,Sheet2!$Z$4:$AA$7)</f>
        <v>36-45</v>
      </c>
      <c r="R1844" s="1">
        <v>1</v>
      </c>
      <c r="S1844" t="str">
        <f>IF(R1844=1,"Positive","Negative")</f>
        <v>Positive</v>
      </c>
      <c r="T1844" s="1">
        <f>IFERROR(VLOOKUP(A1844,[1]diabetes_Recognition!$A:$B,2,FALSE),"Not Sampled")</f>
        <v>1</v>
      </c>
      <c r="U1844" t="str">
        <f>IF(T1844=1,"Positive",(IF(T1844=0,"Negative","Not Sampled")))</f>
        <v>Positive</v>
      </c>
      <c r="V1844" s="1" t="str">
        <f>IF(U1844="Not Sampled","Not Sampled",IF(S1844=U1844,"Accurate Prediction","Inaccurate Prediction"))</f>
        <v>Accurate Prediction</v>
      </c>
    </row>
    <row r="1845" spans="1:22" x14ac:dyDescent="0.25">
      <c r="A1845" s="1">
        <v>1843</v>
      </c>
      <c r="B1845" s="1">
        <v>1</v>
      </c>
      <c r="C1845" s="1">
        <f>LOOKUP(B1845,Sheet2!$D$4:$E$9)</f>
        <v>1</v>
      </c>
      <c r="D1845" s="1">
        <v>128</v>
      </c>
      <c r="E1845" t="str">
        <f>LOOKUP(D1845,Sheet2!$G$4:$H$9)</f>
        <v>126-150</v>
      </c>
      <c r="F1845" s="1">
        <v>88</v>
      </c>
      <c r="G1845" t="str">
        <f>LOOKUP(F1845,Sheet2!$J$4:$K$8)</f>
        <v>80+</v>
      </c>
      <c r="H1845" s="1">
        <v>39</v>
      </c>
      <c r="I1845" t="str">
        <f>LOOKUP(H1845,Sheet2!$M$4:$N$8)</f>
        <v>30-39</v>
      </c>
      <c r="J1845" s="1">
        <v>110</v>
      </c>
      <c r="K1845" t="str">
        <f>LOOKUP(J1845,Sheet2!$P$4:$Q$9)</f>
        <v>100-199</v>
      </c>
      <c r="L1845" s="1">
        <v>36.5</v>
      </c>
      <c r="M1845" t="str">
        <f>LOOKUP(L1845,Sheet2!$S$4:$T$8)</f>
        <v>36+</v>
      </c>
      <c r="N1845" s="1">
        <v>1.0569999999999999</v>
      </c>
      <c r="O1845" t="str">
        <f>LOOKUP(N1845,Sheet2!$V$4:$W$7)</f>
        <v>0.7+</v>
      </c>
      <c r="P1845" s="1">
        <v>37</v>
      </c>
      <c r="Q1845" t="str">
        <f>LOOKUP(P1845,Sheet2!$Z$4:$AA$7)</f>
        <v>36-45</v>
      </c>
      <c r="R1845" s="1">
        <v>1</v>
      </c>
      <c r="S1845" t="str">
        <f>IF(R1845=1,"Positive","Negative")</f>
        <v>Positive</v>
      </c>
      <c r="T1845" s="1" t="str">
        <f>IFERROR(VLOOKUP(A1845,[1]diabetes_Recognition!$A:$B,2,FALSE),"Not Sampled")</f>
        <v>Not Sampled</v>
      </c>
      <c r="U1845" t="str">
        <f>IF(T1845=1,"Positive",(IF(T1845=0,"Negative","Not Sampled")))</f>
        <v>Not Sampled</v>
      </c>
      <c r="V1845" s="1" t="str">
        <f>IF(U1845="Not Sampled","Not Sampled",IF(S1845=U1845,"Accurate Prediction","Inaccurate Prediction"))</f>
        <v>Not Sampled</v>
      </c>
    </row>
    <row r="1846" spans="1:22" x14ac:dyDescent="0.25">
      <c r="A1846" s="1">
        <v>1844</v>
      </c>
      <c r="B1846" s="1">
        <v>7</v>
      </c>
      <c r="C1846" s="1" t="str">
        <f>LOOKUP(B1846,Sheet2!$D$4:$E$9)</f>
        <v>5-7</v>
      </c>
      <c r="D1846" s="1">
        <v>137</v>
      </c>
      <c r="E1846" t="str">
        <f>LOOKUP(D1846,Sheet2!$G$4:$H$9)</f>
        <v>126-150</v>
      </c>
      <c r="F1846" s="1">
        <v>90</v>
      </c>
      <c r="G1846" t="str">
        <f>LOOKUP(F1846,Sheet2!$J$4:$K$8)</f>
        <v>80+</v>
      </c>
      <c r="H1846" s="1">
        <v>41</v>
      </c>
      <c r="I1846" t="str">
        <f>LOOKUP(H1846,Sheet2!$M$4:$N$8)</f>
        <v>40+</v>
      </c>
      <c r="J1846" s="1">
        <v>0</v>
      </c>
      <c r="K1846" t="str">
        <f>LOOKUP(J1846,Sheet2!$P$4:$Q$9)</f>
        <v>Unknown</v>
      </c>
      <c r="L1846" s="1">
        <v>32</v>
      </c>
      <c r="M1846" t="str">
        <f>LOOKUP(L1846,Sheet2!$S$4:$T$8)</f>
        <v>31-35</v>
      </c>
      <c r="N1846" s="1">
        <v>0.39100000000000001</v>
      </c>
      <c r="O1846" t="str">
        <f>LOOKUP(N1846,Sheet2!$V$4:$W$7)</f>
        <v>0.25 - 0.39</v>
      </c>
      <c r="P1846" s="1">
        <v>39</v>
      </c>
      <c r="Q1846" t="str">
        <f>LOOKUP(P1846,Sheet2!$Z$4:$AA$7)</f>
        <v>36-45</v>
      </c>
      <c r="R1846" s="1">
        <v>0</v>
      </c>
      <c r="S1846" t="str">
        <f>IF(R1846=1,"Positive","Negative")</f>
        <v>Negative</v>
      </c>
      <c r="T1846" s="1" t="str">
        <f>IFERROR(VLOOKUP(A1846,[1]diabetes_Recognition!$A:$B,2,FALSE),"Not Sampled")</f>
        <v>Not Sampled</v>
      </c>
      <c r="U1846" t="str">
        <f>IF(T1846=1,"Positive",(IF(T1846=0,"Negative","Not Sampled")))</f>
        <v>Not Sampled</v>
      </c>
      <c r="V1846" s="1" t="str">
        <f>IF(U1846="Not Sampled","Not Sampled",IF(S1846=U1846,"Accurate Prediction","Inaccurate Prediction"))</f>
        <v>Not Sampled</v>
      </c>
    </row>
    <row r="1847" spans="1:22" x14ac:dyDescent="0.25">
      <c r="A1847" s="1">
        <v>1845</v>
      </c>
      <c r="B1847" s="1">
        <v>0</v>
      </c>
      <c r="C1847" s="1">
        <f>LOOKUP(B1847,Sheet2!$D$4:$E$9)</f>
        <v>0</v>
      </c>
      <c r="D1847" s="1">
        <v>123</v>
      </c>
      <c r="E1847" t="str">
        <f>LOOKUP(D1847,Sheet2!$G$4:$H$9)</f>
        <v>100-125</v>
      </c>
      <c r="F1847" s="1">
        <v>72</v>
      </c>
      <c r="G1847" t="str">
        <f>LOOKUP(F1847,Sheet2!$J$4:$K$8)</f>
        <v>70-79</v>
      </c>
      <c r="H1847" s="1">
        <v>0</v>
      </c>
      <c r="I1847" t="str">
        <f>LOOKUP(H1847,Sheet2!$M$4:$N$8)</f>
        <v>Unknown</v>
      </c>
      <c r="J1847" s="1">
        <v>0</v>
      </c>
      <c r="K1847" t="str">
        <f>LOOKUP(J1847,Sheet2!$P$4:$Q$9)</f>
        <v>Unknown</v>
      </c>
      <c r="L1847" s="1">
        <v>36.299999999999997</v>
      </c>
      <c r="M1847" t="str">
        <f>LOOKUP(L1847,Sheet2!$S$4:$T$8)</f>
        <v>36+</v>
      </c>
      <c r="N1847" s="1">
        <v>0.25800000000000001</v>
      </c>
      <c r="O1847" t="str">
        <f>LOOKUP(N1847,Sheet2!$V$4:$W$7)</f>
        <v>0.25 - 0.39</v>
      </c>
      <c r="P1847" s="1">
        <v>52</v>
      </c>
      <c r="Q1847" t="str">
        <f>LOOKUP(P1847,Sheet2!$Z$4:$AA$7)</f>
        <v>46+</v>
      </c>
      <c r="R1847" s="1">
        <v>1</v>
      </c>
      <c r="S1847" t="str">
        <f>IF(R1847=1,"Positive","Negative")</f>
        <v>Positive</v>
      </c>
      <c r="T1847" s="1" t="str">
        <f>IFERROR(VLOOKUP(A1847,[1]diabetes_Recognition!$A:$B,2,FALSE),"Not Sampled")</f>
        <v>Not Sampled</v>
      </c>
      <c r="U1847" t="str">
        <f>IF(T1847=1,"Positive",(IF(T1847=0,"Negative","Not Sampled")))</f>
        <v>Not Sampled</v>
      </c>
      <c r="V1847" s="1" t="str">
        <f>IF(U1847="Not Sampled","Not Sampled",IF(S1847=U1847,"Accurate Prediction","Inaccurate Prediction"))</f>
        <v>Not Sampled</v>
      </c>
    </row>
    <row r="1848" spans="1:22" x14ac:dyDescent="0.25">
      <c r="A1848" s="1">
        <v>1846</v>
      </c>
      <c r="B1848" s="1">
        <v>1</v>
      </c>
      <c r="C1848" s="1">
        <f>LOOKUP(B1848,Sheet2!$D$4:$E$9)</f>
        <v>1</v>
      </c>
      <c r="D1848" s="1">
        <v>106</v>
      </c>
      <c r="E1848" t="str">
        <f>LOOKUP(D1848,Sheet2!$G$4:$H$9)</f>
        <v>100-125</v>
      </c>
      <c r="F1848" s="1">
        <v>76</v>
      </c>
      <c r="G1848" t="str">
        <f>LOOKUP(F1848,Sheet2!$J$4:$K$8)</f>
        <v>70-79</v>
      </c>
      <c r="H1848" s="1">
        <v>0</v>
      </c>
      <c r="I1848" t="str">
        <f>LOOKUP(H1848,Sheet2!$M$4:$N$8)</f>
        <v>Unknown</v>
      </c>
      <c r="J1848" s="1">
        <v>0</v>
      </c>
      <c r="K1848" t="str">
        <f>LOOKUP(J1848,Sheet2!$P$4:$Q$9)</f>
        <v>Unknown</v>
      </c>
      <c r="L1848" s="1">
        <v>37.5</v>
      </c>
      <c r="M1848" t="str">
        <f>LOOKUP(L1848,Sheet2!$S$4:$T$8)</f>
        <v>36+</v>
      </c>
      <c r="N1848" s="1">
        <v>0.19700000000000001</v>
      </c>
      <c r="O1848" t="str">
        <f>LOOKUP(N1848,Sheet2!$V$4:$W$7)</f>
        <v>0.0 - 0.249</v>
      </c>
      <c r="P1848" s="1">
        <v>26</v>
      </c>
      <c r="Q1848" t="str">
        <f>LOOKUP(P1848,Sheet2!$Z$4:$AA$7)</f>
        <v>26-35</v>
      </c>
      <c r="R1848" s="1">
        <v>0</v>
      </c>
      <c r="S1848" t="str">
        <f>IF(R1848=1,"Positive","Negative")</f>
        <v>Negative</v>
      </c>
      <c r="T1848" s="1" t="str">
        <f>IFERROR(VLOOKUP(A1848,[1]diabetes_Recognition!$A:$B,2,FALSE),"Not Sampled")</f>
        <v>Not Sampled</v>
      </c>
      <c r="U1848" t="str">
        <f>IF(T1848=1,"Positive",(IF(T1848=0,"Negative","Not Sampled")))</f>
        <v>Not Sampled</v>
      </c>
      <c r="V1848" s="1" t="str">
        <f>IF(U1848="Not Sampled","Not Sampled",IF(S1848=U1848,"Accurate Prediction","Inaccurate Prediction"))</f>
        <v>Not Sampled</v>
      </c>
    </row>
    <row r="1849" spans="1:22" x14ac:dyDescent="0.25">
      <c r="A1849" s="1">
        <v>1847</v>
      </c>
      <c r="B1849" s="1">
        <v>6</v>
      </c>
      <c r="C1849" s="1" t="str">
        <f>LOOKUP(B1849,Sheet2!$D$4:$E$9)</f>
        <v>5-7</v>
      </c>
      <c r="D1849" s="1">
        <v>190</v>
      </c>
      <c r="E1849" t="str">
        <f>LOOKUP(D1849,Sheet2!$G$4:$H$9)</f>
        <v>176-200</v>
      </c>
      <c r="F1849" s="1">
        <v>92</v>
      </c>
      <c r="G1849" t="str">
        <f>LOOKUP(F1849,Sheet2!$J$4:$K$8)</f>
        <v>80+</v>
      </c>
      <c r="H1849" s="1">
        <v>0</v>
      </c>
      <c r="I1849" t="str">
        <f>LOOKUP(H1849,Sheet2!$M$4:$N$8)</f>
        <v>Unknown</v>
      </c>
      <c r="J1849" s="1">
        <v>0</v>
      </c>
      <c r="K1849" t="str">
        <f>LOOKUP(J1849,Sheet2!$P$4:$Q$9)</f>
        <v>Unknown</v>
      </c>
      <c r="L1849" s="1">
        <v>35.5</v>
      </c>
      <c r="M1849" t="str">
        <f>LOOKUP(L1849,Sheet2!$S$4:$T$8)</f>
        <v>31-35</v>
      </c>
      <c r="N1849" s="1">
        <v>0.27800000000000002</v>
      </c>
      <c r="O1849" t="str">
        <f>LOOKUP(N1849,Sheet2!$V$4:$W$7)</f>
        <v>0.25 - 0.39</v>
      </c>
      <c r="P1849" s="1">
        <v>66</v>
      </c>
      <c r="Q1849" t="str">
        <f>LOOKUP(P1849,Sheet2!$Z$4:$AA$7)</f>
        <v>46+</v>
      </c>
      <c r="R1849" s="1">
        <v>1</v>
      </c>
      <c r="S1849" t="str">
        <f>IF(R1849=1,"Positive","Negative")</f>
        <v>Positive</v>
      </c>
      <c r="T1849" s="1" t="str">
        <f>IFERROR(VLOOKUP(A1849,[1]diabetes_Recognition!$A:$B,2,FALSE),"Not Sampled")</f>
        <v>Not Sampled</v>
      </c>
      <c r="U1849" t="str">
        <f>IF(T1849=1,"Positive",(IF(T1849=0,"Negative","Not Sampled")))</f>
        <v>Not Sampled</v>
      </c>
      <c r="V1849" s="1" t="str">
        <f>IF(U1849="Not Sampled","Not Sampled",IF(S1849=U1849,"Accurate Prediction","Inaccurate Prediction"))</f>
        <v>Not Sampled</v>
      </c>
    </row>
    <row r="1850" spans="1:22" x14ac:dyDescent="0.25">
      <c r="A1850" s="1">
        <v>1848</v>
      </c>
      <c r="B1850" s="1">
        <v>2</v>
      </c>
      <c r="C1850" s="1">
        <f>LOOKUP(B1850,Sheet2!$D$4:$E$9)</f>
        <v>2</v>
      </c>
      <c r="D1850" s="1">
        <v>88</v>
      </c>
      <c r="E1850" t="str">
        <f>LOOKUP(D1850,Sheet2!$G$4:$H$9)</f>
        <v>1-99</v>
      </c>
      <c r="F1850" s="1">
        <v>58</v>
      </c>
      <c r="G1850" t="str">
        <f>LOOKUP(F1850,Sheet2!$J$4:$K$8)</f>
        <v>1-59</v>
      </c>
      <c r="H1850" s="1">
        <v>26</v>
      </c>
      <c r="I1850" t="str">
        <f>LOOKUP(H1850,Sheet2!$M$4:$N$8)</f>
        <v>10-30</v>
      </c>
      <c r="J1850" s="1">
        <v>16</v>
      </c>
      <c r="K1850" t="str">
        <f>LOOKUP(J1850,Sheet2!$P$4:$Q$9)</f>
        <v>1-99</v>
      </c>
      <c r="L1850" s="1">
        <v>28.4</v>
      </c>
      <c r="M1850" t="str">
        <f>LOOKUP(L1850,Sheet2!$S$4:$T$8)</f>
        <v>26-30</v>
      </c>
      <c r="N1850" s="1">
        <v>0.76600000000000001</v>
      </c>
      <c r="O1850" t="str">
        <f>LOOKUP(N1850,Sheet2!$V$4:$W$7)</f>
        <v>0.7+</v>
      </c>
      <c r="P1850" s="1">
        <v>22</v>
      </c>
      <c r="Q1850" t="str">
        <f>LOOKUP(P1850,Sheet2!$Z$4:$AA$7)</f>
        <v>&lt;=25</v>
      </c>
      <c r="R1850" s="1">
        <v>0</v>
      </c>
      <c r="S1850" t="str">
        <f>IF(R1850=1,"Positive","Negative")</f>
        <v>Negative</v>
      </c>
      <c r="T1850" s="1" t="str">
        <f>IFERROR(VLOOKUP(A1850,[1]diabetes_Recognition!$A:$B,2,FALSE),"Not Sampled")</f>
        <v>Not Sampled</v>
      </c>
      <c r="U1850" t="str">
        <f>IF(T1850=1,"Positive",(IF(T1850=0,"Negative","Not Sampled")))</f>
        <v>Not Sampled</v>
      </c>
      <c r="V1850" s="1" t="str">
        <f>IF(U1850="Not Sampled","Not Sampled",IF(S1850=U1850,"Accurate Prediction","Inaccurate Prediction"))</f>
        <v>Not Sampled</v>
      </c>
    </row>
    <row r="1851" spans="1:22" x14ac:dyDescent="0.25">
      <c r="A1851" s="1">
        <v>1849</v>
      </c>
      <c r="B1851" s="1">
        <v>9</v>
      </c>
      <c r="C1851" s="1" t="str">
        <f>LOOKUP(B1851,Sheet2!$D$4:$E$9)</f>
        <v>8+</v>
      </c>
      <c r="D1851" s="1">
        <v>170</v>
      </c>
      <c r="E1851" t="str">
        <f>LOOKUP(D1851,Sheet2!$G$4:$H$9)</f>
        <v>151-175</v>
      </c>
      <c r="F1851" s="1">
        <v>74</v>
      </c>
      <c r="G1851" t="str">
        <f>LOOKUP(F1851,Sheet2!$J$4:$K$8)</f>
        <v>70-79</v>
      </c>
      <c r="H1851" s="1">
        <v>31</v>
      </c>
      <c r="I1851" t="str">
        <f>LOOKUP(H1851,Sheet2!$M$4:$N$8)</f>
        <v>30-39</v>
      </c>
      <c r="J1851" s="1">
        <v>0</v>
      </c>
      <c r="K1851" t="str">
        <f>LOOKUP(J1851,Sheet2!$P$4:$Q$9)</f>
        <v>Unknown</v>
      </c>
      <c r="L1851" s="1">
        <v>44</v>
      </c>
      <c r="M1851" t="str">
        <f>LOOKUP(L1851,Sheet2!$S$4:$T$8)</f>
        <v>36+</v>
      </c>
      <c r="N1851" s="1">
        <v>0.40300000000000002</v>
      </c>
      <c r="O1851" t="str">
        <f>LOOKUP(N1851,Sheet2!$V$4:$W$7)</f>
        <v>0.4 - 0.69</v>
      </c>
      <c r="P1851" s="1">
        <v>43</v>
      </c>
      <c r="Q1851" t="str">
        <f>LOOKUP(P1851,Sheet2!$Z$4:$AA$7)</f>
        <v>36-45</v>
      </c>
      <c r="R1851" s="1">
        <v>1</v>
      </c>
      <c r="S1851" t="str">
        <f>IF(R1851=1,"Positive","Negative")</f>
        <v>Positive</v>
      </c>
      <c r="T1851" s="1" t="str">
        <f>IFERROR(VLOOKUP(A1851,[1]diabetes_Recognition!$A:$B,2,FALSE),"Not Sampled")</f>
        <v>Not Sampled</v>
      </c>
      <c r="U1851" t="str">
        <f>IF(T1851=1,"Positive",(IF(T1851=0,"Negative","Not Sampled")))</f>
        <v>Not Sampled</v>
      </c>
      <c r="V1851" s="1" t="str">
        <f>IF(U1851="Not Sampled","Not Sampled",IF(S1851=U1851,"Accurate Prediction","Inaccurate Prediction"))</f>
        <v>Not Sampled</v>
      </c>
    </row>
    <row r="1852" spans="1:22" x14ac:dyDescent="0.25">
      <c r="A1852" s="1">
        <v>1850</v>
      </c>
      <c r="B1852" s="1">
        <v>9</v>
      </c>
      <c r="C1852" s="1" t="str">
        <f>LOOKUP(B1852,Sheet2!$D$4:$E$9)</f>
        <v>8+</v>
      </c>
      <c r="D1852" s="1">
        <v>89</v>
      </c>
      <c r="E1852" t="str">
        <f>LOOKUP(D1852,Sheet2!$G$4:$H$9)</f>
        <v>1-99</v>
      </c>
      <c r="F1852" s="1">
        <v>62</v>
      </c>
      <c r="G1852" t="str">
        <f>LOOKUP(F1852,Sheet2!$J$4:$K$8)</f>
        <v>60-69</v>
      </c>
      <c r="H1852" s="1">
        <v>0</v>
      </c>
      <c r="I1852" t="str">
        <f>LOOKUP(H1852,Sheet2!$M$4:$N$8)</f>
        <v>Unknown</v>
      </c>
      <c r="J1852" s="1">
        <v>0</v>
      </c>
      <c r="K1852" t="str">
        <f>LOOKUP(J1852,Sheet2!$P$4:$Q$9)</f>
        <v>Unknown</v>
      </c>
      <c r="L1852" s="1">
        <v>22.5</v>
      </c>
      <c r="M1852" t="str">
        <f>LOOKUP(L1852,Sheet2!$S$4:$T$8)</f>
        <v>1-25</v>
      </c>
      <c r="N1852" s="1">
        <v>0.14199999999999999</v>
      </c>
      <c r="O1852" t="str">
        <f>LOOKUP(N1852,Sheet2!$V$4:$W$7)</f>
        <v>0.0 - 0.249</v>
      </c>
      <c r="P1852" s="1">
        <v>33</v>
      </c>
      <c r="Q1852" t="str">
        <f>LOOKUP(P1852,Sheet2!$Z$4:$AA$7)</f>
        <v>26-35</v>
      </c>
      <c r="R1852" s="1">
        <v>0</v>
      </c>
      <c r="S1852" t="str">
        <f>IF(R1852=1,"Positive","Negative")</f>
        <v>Negative</v>
      </c>
      <c r="T1852" s="1" t="str">
        <f>IFERROR(VLOOKUP(A1852,[1]diabetes_Recognition!$A:$B,2,FALSE),"Not Sampled")</f>
        <v>Not Sampled</v>
      </c>
      <c r="U1852" t="str">
        <f>IF(T1852=1,"Positive",(IF(T1852=0,"Negative","Not Sampled")))</f>
        <v>Not Sampled</v>
      </c>
      <c r="V1852" s="1" t="str">
        <f>IF(U1852="Not Sampled","Not Sampled",IF(S1852=U1852,"Accurate Prediction","Inaccurate Prediction"))</f>
        <v>Not Sampled</v>
      </c>
    </row>
    <row r="1853" spans="1:22" x14ac:dyDescent="0.25">
      <c r="A1853" s="1">
        <v>1851</v>
      </c>
      <c r="B1853" s="1">
        <v>10</v>
      </c>
      <c r="C1853" s="1" t="str">
        <f>LOOKUP(B1853,Sheet2!$D$4:$E$9)</f>
        <v>8+</v>
      </c>
      <c r="D1853" s="1">
        <v>101</v>
      </c>
      <c r="E1853" t="str">
        <f>LOOKUP(D1853,Sheet2!$G$4:$H$9)</f>
        <v>100-125</v>
      </c>
      <c r="F1853" s="1">
        <v>76</v>
      </c>
      <c r="G1853" t="str">
        <f>LOOKUP(F1853,Sheet2!$J$4:$K$8)</f>
        <v>70-79</v>
      </c>
      <c r="H1853" s="1">
        <v>48</v>
      </c>
      <c r="I1853" t="str">
        <f>LOOKUP(H1853,Sheet2!$M$4:$N$8)</f>
        <v>40+</v>
      </c>
      <c r="J1853" s="1">
        <v>180</v>
      </c>
      <c r="K1853" t="str">
        <f>LOOKUP(J1853,Sheet2!$P$4:$Q$9)</f>
        <v>100-199</v>
      </c>
      <c r="L1853" s="1">
        <v>32.9</v>
      </c>
      <c r="M1853" t="str">
        <f>LOOKUP(L1853,Sheet2!$S$4:$T$8)</f>
        <v>31-35</v>
      </c>
      <c r="N1853" s="1">
        <v>0.17100000000000001</v>
      </c>
      <c r="O1853" t="str">
        <f>LOOKUP(N1853,Sheet2!$V$4:$W$7)</f>
        <v>0.0 - 0.249</v>
      </c>
      <c r="P1853" s="1">
        <v>63</v>
      </c>
      <c r="Q1853" t="str">
        <f>LOOKUP(P1853,Sheet2!$Z$4:$AA$7)</f>
        <v>46+</v>
      </c>
      <c r="R1853" s="1">
        <v>0</v>
      </c>
      <c r="S1853" t="str">
        <f>IF(R1853=1,"Positive","Negative")</f>
        <v>Negative</v>
      </c>
      <c r="T1853" s="1" t="str">
        <f>IFERROR(VLOOKUP(A1853,[1]diabetes_Recognition!$A:$B,2,FALSE),"Not Sampled")</f>
        <v>Not Sampled</v>
      </c>
      <c r="U1853" t="str">
        <f>IF(T1853=1,"Positive",(IF(T1853=0,"Negative","Not Sampled")))</f>
        <v>Not Sampled</v>
      </c>
      <c r="V1853" s="1" t="str">
        <f>IF(U1853="Not Sampled","Not Sampled",IF(S1853=U1853,"Accurate Prediction","Inaccurate Prediction"))</f>
        <v>Not Sampled</v>
      </c>
    </row>
    <row r="1854" spans="1:22" x14ac:dyDescent="0.25">
      <c r="A1854" s="1">
        <v>1852</v>
      </c>
      <c r="B1854" s="1">
        <v>2</v>
      </c>
      <c r="C1854" s="1">
        <f>LOOKUP(B1854,Sheet2!$D$4:$E$9)</f>
        <v>2</v>
      </c>
      <c r="D1854" s="1">
        <v>122</v>
      </c>
      <c r="E1854" t="str">
        <f>LOOKUP(D1854,Sheet2!$G$4:$H$9)</f>
        <v>100-125</v>
      </c>
      <c r="F1854" s="1">
        <v>70</v>
      </c>
      <c r="G1854" t="str">
        <f>LOOKUP(F1854,Sheet2!$J$4:$K$8)</f>
        <v>70-79</v>
      </c>
      <c r="H1854" s="1">
        <v>27</v>
      </c>
      <c r="I1854" t="str">
        <f>LOOKUP(H1854,Sheet2!$M$4:$N$8)</f>
        <v>10-30</v>
      </c>
      <c r="J1854" s="1">
        <v>0</v>
      </c>
      <c r="K1854" t="str">
        <f>LOOKUP(J1854,Sheet2!$P$4:$Q$9)</f>
        <v>Unknown</v>
      </c>
      <c r="L1854" s="1">
        <v>36.799999999999997</v>
      </c>
      <c r="M1854" t="str">
        <f>LOOKUP(L1854,Sheet2!$S$4:$T$8)</f>
        <v>36+</v>
      </c>
      <c r="N1854" s="1">
        <v>0.34</v>
      </c>
      <c r="O1854" t="str">
        <f>LOOKUP(N1854,Sheet2!$V$4:$W$7)</f>
        <v>0.25 - 0.39</v>
      </c>
      <c r="P1854" s="1">
        <v>27</v>
      </c>
      <c r="Q1854" t="str">
        <f>LOOKUP(P1854,Sheet2!$Z$4:$AA$7)</f>
        <v>26-35</v>
      </c>
      <c r="R1854" s="1">
        <v>0</v>
      </c>
      <c r="S1854" t="str">
        <f>IF(R1854=1,"Positive","Negative")</f>
        <v>Negative</v>
      </c>
      <c r="T1854" s="1">
        <f>IFERROR(VLOOKUP(A1854,[1]diabetes_Recognition!$A:$B,2,FALSE),"Not Sampled")</f>
        <v>0</v>
      </c>
      <c r="U1854" t="str">
        <f>IF(T1854=1,"Positive",(IF(T1854=0,"Negative","Not Sampled")))</f>
        <v>Negative</v>
      </c>
      <c r="V1854" s="1" t="str">
        <f>IF(U1854="Not Sampled","Not Sampled",IF(S1854=U1854,"Accurate Prediction","Inaccurate Prediction"))</f>
        <v>Accurate Prediction</v>
      </c>
    </row>
    <row r="1855" spans="1:22" x14ac:dyDescent="0.25">
      <c r="A1855" s="1">
        <v>1853</v>
      </c>
      <c r="B1855" s="1">
        <v>5</v>
      </c>
      <c r="C1855" s="1" t="str">
        <f>LOOKUP(B1855,Sheet2!$D$4:$E$9)</f>
        <v>5-7</v>
      </c>
      <c r="D1855" s="1">
        <v>121</v>
      </c>
      <c r="E1855" t="str">
        <f>LOOKUP(D1855,Sheet2!$G$4:$H$9)</f>
        <v>100-125</v>
      </c>
      <c r="F1855" s="1">
        <v>72</v>
      </c>
      <c r="G1855" t="str">
        <f>LOOKUP(F1855,Sheet2!$J$4:$K$8)</f>
        <v>70-79</v>
      </c>
      <c r="H1855" s="1">
        <v>23</v>
      </c>
      <c r="I1855" t="str">
        <f>LOOKUP(H1855,Sheet2!$M$4:$N$8)</f>
        <v>10-30</v>
      </c>
      <c r="J1855" s="1">
        <v>112</v>
      </c>
      <c r="K1855" t="str">
        <f>LOOKUP(J1855,Sheet2!$P$4:$Q$9)</f>
        <v>100-199</v>
      </c>
      <c r="L1855" s="1">
        <v>26.2</v>
      </c>
      <c r="M1855" t="str">
        <f>LOOKUP(L1855,Sheet2!$S$4:$T$8)</f>
        <v>26-30</v>
      </c>
      <c r="N1855" s="1">
        <v>0.245</v>
      </c>
      <c r="O1855" t="str">
        <f>LOOKUP(N1855,Sheet2!$V$4:$W$7)</f>
        <v>0.0 - 0.249</v>
      </c>
      <c r="P1855" s="1">
        <v>30</v>
      </c>
      <c r="Q1855" t="str">
        <f>LOOKUP(P1855,Sheet2!$Z$4:$AA$7)</f>
        <v>26-35</v>
      </c>
      <c r="R1855" s="1">
        <v>0</v>
      </c>
      <c r="S1855" t="str">
        <f>IF(R1855=1,"Positive","Negative")</f>
        <v>Negative</v>
      </c>
      <c r="T1855" s="1" t="str">
        <f>IFERROR(VLOOKUP(A1855,[1]diabetes_Recognition!$A:$B,2,FALSE),"Not Sampled")</f>
        <v>Not Sampled</v>
      </c>
      <c r="U1855" t="str">
        <f>IF(T1855=1,"Positive",(IF(T1855=0,"Negative","Not Sampled")))</f>
        <v>Not Sampled</v>
      </c>
      <c r="V1855" s="1" t="str">
        <f>IF(U1855="Not Sampled","Not Sampled",IF(S1855=U1855,"Accurate Prediction","Inaccurate Prediction"))</f>
        <v>Not Sampled</v>
      </c>
    </row>
    <row r="1856" spans="1:22" x14ac:dyDescent="0.25">
      <c r="A1856" s="1">
        <v>1854</v>
      </c>
      <c r="B1856" s="1">
        <v>1</v>
      </c>
      <c r="C1856" s="1">
        <f>LOOKUP(B1856,Sheet2!$D$4:$E$9)</f>
        <v>1</v>
      </c>
      <c r="D1856" s="1">
        <v>126</v>
      </c>
      <c r="E1856" t="str">
        <f>LOOKUP(D1856,Sheet2!$G$4:$H$9)</f>
        <v>126-150</v>
      </c>
      <c r="F1856" s="1">
        <v>60</v>
      </c>
      <c r="G1856" t="str">
        <f>LOOKUP(F1856,Sheet2!$J$4:$K$8)</f>
        <v>60-69</v>
      </c>
      <c r="H1856" s="1">
        <v>0</v>
      </c>
      <c r="I1856" t="str">
        <f>LOOKUP(H1856,Sheet2!$M$4:$N$8)</f>
        <v>Unknown</v>
      </c>
      <c r="J1856" s="1">
        <v>0</v>
      </c>
      <c r="K1856" t="str">
        <f>LOOKUP(J1856,Sheet2!$P$4:$Q$9)</f>
        <v>Unknown</v>
      </c>
      <c r="L1856" s="1">
        <v>30.1</v>
      </c>
      <c r="M1856" t="str">
        <f>LOOKUP(L1856,Sheet2!$S$4:$T$8)</f>
        <v>26-30</v>
      </c>
      <c r="N1856" s="1">
        <v>0.34899999999999998</v>
      </c>
      <c r="O1856" t="str">
        <f>LOOKUP(N1856,Sheet2!$V$4:$W$7)</f>
        <v>0.25 - 0.39</v>
      </c>
      <c r="P1856" s="1">
        <v>47</v>
      </c>
      <c r="Q1856" t="str">
        <f>LOOKUP(P1856,Sheet2!$Z$4:$AA$7)</f>
        <v>46+</v>
      </c>
      <c r="R1856" s="1">
        <v>1</v>
      </c>
      <c r="S1856" t="str">
        <f>IF(R1856=1,"Positive","Negative")</f>
        <v>Positive</v>
      </c>
      <c r="T1856" s="1" t="str">
        <f>IFERROR(VLOOKUP(A1856,[1]diabetes_Recognition!$A:$B,2,FALSE),"Not Sampled")</f>
        <v>Not Sampled</v>
      </c>
      <c r="U1856" t="str">
        <f>IF(T1856=1,"Positive",(IF(T1856=0,"Negative","Not Sampled")))</f>
        <v>Not Sampled</v>
      </c>
      <c r="V1856" s="1" t="str">
        <f>IF(U1856="Not Sampled","Not Sampled",IF(S1856=U1856,"Accurate Prediction","Inaccurate Prediction"))</f>
        <v>Not Sampled</v>
      </c>
    </row>
    <row r="1857" spans="1:22" x14ac:dyDescent="0.25">
      <c r="A1857" s="1">
        <v>1855</v>
      </c>
      <c r="B1857" s="1">
        <v>10</v>
      </c>
      <c r="C1857" s="1" t="str">
        <f>LOOKUP(B1857,Sheet2!$D$4:$E$9)</f>
        <v>8+</v>
      </c>
      <c r="D1857" s="1">
        <v>122</v>
      </c>
      <c r="E1857" t="str">
        <f>LOOKUP(D1857,Sheet2!$G$4:$H$9)</f>
        <v>100-125</v>
      </c>
      <c r="F1857" s="1">
        <v>78</v>
      </c>
      <c r="G1857" t="str">
        <f>LOOKUP(F1857,Sheet2!$J$4:$K$8)</f>
        <v>70-79</v>
      </c>
      <c r="H1857" s="1">
        <v>31</v>
      </c>
      <c r="I1857" t="str">
        <f>LOOKUP(H1857,Sheet2!$M$4:$N$8)</f>
        <v>30-39</v>
      </c>
      <c r="J1857" s="1">
        <v>0</v>
      </c>
      <c r="K1857" t="str">
        <f>LOOKUP(J1857,Sheet2!$P$4:$Q$9)</f>
        <v>Unknown</v>
      </c>
      <c r="L1857" s="1">
        <v>27.6</v>
      </c>
      <c r="M1857" t="str">
        <f>LOOKUP(L1857,Sheet2!$S$4:$T$8)</f>
        <v>26-30</v>
      </c>
      <c r="N1857" s="1">
        <v>0.51200000000000001</v>
      </c>
      <c r="O1857" t="str">
        <f>LOOKUP(N1857,Sheet2!$V$4:$W$7)</f>
        <v>0.4 - 0.69</v>
      </c>
      <c r="P1857" s="1">
        <v>45</v>
      </c>
      <c r="Q1857" t="str">
        <f>LOOKUP(P1857,Sheet2!$Z$4:$AA$7)</f>
        <v>36-45</v>
      </c>
      <c r="R1857" s="1">
        <v>0</v>
      </c>
      <c r="S1857" t="str">
        <f>IF(R1857=1,"Positive","Negative")</f>
        <v>Negative</v>
      </c>
      <c r="T1857" s="1" t="str">
        <f>IFERROR(VLOOKUP(A1857,[1]diabetes_Recognition!$A:$B,2,FALSE),"Not Sampled")</f>
        <v>Not Sampled</v>
      </c>
      <c r="U1857" t="str">
        <f>IF(T1857=1,"Positive",(IF(T1857=0,"Negative","Not Sampled")))</f>
        <v>Not Sampled</v>
      </c>
      <c r="V1857" s="1" t="str">
        <f>IF(U1857="Not Sampled","Not Sampled",IF(S1857=U1857,"Accurate Prediction","Inaccurate Prediction"))</f>
        <v>Not Sampled</v>
      </c>
    </row>
    <row r="1858" spans="1:22" x14ac:dyDescent="0.25">
      <c r="A1858" s="1">
        <v>1856</v>
      </c>
      <c r="B1858" s="1">
        <v>4</v>
      </c>
      <c r="C1858" s="1" t="str">
        <f>LOOKUP(B1858,Sheet2!$D$4:$E$9)</f>
        <v>3-4</v>
      </c>
      <c r="D1858" s="1">
        <v>103</v>
      </c>
      <c r="E1858" t="str">
        <f>LOOKUP(D1858,Sheet2!$G$4:$H$9)</f>
        <v>100-125</v>
      </c>
      <c r="F1858" s="1">
        <v>60</v>
      </c>
      <c r="G1858" t="str">
        <f>LOOKUP(F1858,Sheet2!$J$4:$K$8)</f>
        <v>60-69</v>
      </c>
      <c r="H1858" s="1">
        <v>33</v>
      </c>
      <c r="I1858" t="str">
        <f>LOOKUP(H1858,Sheet2!$M$4:$N$8)</f>
        <v>30-39</v>
      </c>
      <c r="J1858" s="1">
        <v>192</v>
      </c>
      <c r="K1858" t="str">
        <f>LOOKUP(J1858,Sheet2!$P$4:$Q$9)</f>
        <v>100-199</v>
      </c>
      <c r="L1858" s="1">
        <v>24</v>
      </c>
      <c r="M1858" t="str">
        <f>LOOKUP(L1858,Sheet2!$S$4:$T$8)</f>
        <v>1-25</v>
      </c>
      <c r="N1858" s="1">
        <v>0.96599999999999997</v>
      </c>
      <c r="O1858" t="str">
        <f>LOOKUP(N1858,Sheet2!$V$4:$W$7)</f>
        <v>0.7+</v>
      </c>
      <c r="P1858" s="1">
        <v>33</v>
      </c>
      <c r="Q1858" t="str">
        <f>LOOKUP(P1858,Sheet2!$Z$4:$AA$7)</f>
        <v>26-35</v>
      </c>
      <c r="R1858" s="1">
        <v>0</v>
      </c>
      <c r="S1858" t="str">
        <f>IF(R1858=1,"Positive","Negative")</f>
        <v>Negative</v>
      </c>
      <c r="T1858" s="1" t="str">
        <f>IFERROR(VLOOKUP(A1858,[1]diabetes_Recognition!$A:$B,2,FALSE),"Not Sampled")</f>
        <v>Not Sampled</v>
      </c>
      <c r="U1858" t="str">
        <f>IF(T1858=1,"Positive",(IF(T1858=0,"Negative","Not Sampled")))</f>
        <v>Not Sampled</v>
      </c>
      <c r="V1858" s="1" t="str">
        <f>IF(U1858="Not Sampled","Not Sampled",IF(S1858=U1858,"Accurate Prediction","Inaccurate Prediction"))</f>
        <v>Not Sampled</v>
      </c>
    </row>
    <row r="1859" spans="1:22" x14ac:dyDescent="0.25">
      <c r="A1859" s="1">
        <v>1857</v>
      </c>
      <c r="B1859" s="1">
        <v>11</v>
      </c>
      <c r="C1859" s="1" t="str">
        <f>LOOKUP(B1859,Sheet2!$D$4:$E$9)</f>
        <v>8+</v>
      </c>
      <c r="D1859" s="1">
        <v>138</v>
      </c>
      <c r="E1859" t="str">
        <f>LOOKUP(D1859,Sheet2!$G$4:$H$9)</f>
        <v>126-150</v>
      </c>
      <c r="F1859" s="1">
        <v>76</v>
      </c>
      <c r="G1859" t="str">
        <f>LOOKUP(F1859,Sheet2!$J$4:$K$8)</f>
        <v>70-79</v>
      </c>
      <c r="H1859" s="1">
        <v>0</v>
      </c>
      <c r="I1859" t="str">
        <f>LOOKUP(H1859,Sheet2!$M$4:$N$8)</f>
        <v>Unknown</v>
      </c>
      <c r="J1859" s="1">
        <v>0</v>
      </c>
      <c r="K1859" t="str">
        <f>LOOKUP(J1859,Sheet2!$P$4:$Q$9)</f>
        <v>Unknown</v>
      </c>
      <c r="L1859" s="1">
        <v>33.200000000000003</v>
      </c>
      <c r="M1859" t="str">
        <f>LOOKUP(L1859,Sheet2!$S$4:$T$8)</f>
        <v>31-35</v>
      </c>
      <c r="N1859" s="1">
        <v>0.42</v>
      </c>
      <c r="O1859" t="str">
        <f>LOOKUP(N1859,Sheet2!$V$4:$W$7)</f>
        <v>0.4 - 0.69</v>
      </c>
      <c r="P1859" s="1">
        <v>35</v>
      </c>
      <c r="Q1859" t="str">
        <f>LOOKUP(P1859,Sheet2!$Z$4:$AA$7)</f>
        <v>26-35</v>
      </c>
      <c r="R1859" s="1">
        <v>0</v>
      </c>
      <c r="S1859" t="str">
        <f>IF(R1859=1,"Positive","Negative")</f>
        <v>Negative</v>
      </c>
      <c r="T1859" s="1" t="str">
        <f>IFERROR(VLOOKUP(A1859,[1]diabetes_Recognition!$A:$B,2,FALSE),"Not Sampled")</f>
        <v>Not Sampled</v>
      </c>
      <c r="U1859" t="str">
        <f>IF(T1859=1,"Positive",(IF(T1859=0,"Negative","Not Sampled")))</f>
        <v>Not Sampled</v>
      </c>
      <c r="V1859" s="1" t="str">
        <f>IF(U1859="Not Sampled","Not Sampled",IF(S1859=U1859,"Accurate Prediction","Inaccurate Prediction"))</f>
        <v>Not Sampled</v>
      </c>
    </row>
    <row r="1860" spans="1:22" x14ac:dyDescent="0.25">
      <c r="A1860" s="1">
        <v>1858</v>
      </c>
      <c r="B1860" s="1">
        <v>9</v>
      </c>
      <c r="C1860" s="1" t="str">
        <f>LOOKUP(B1860,Sheet2!$D$4:$E$9)</f>
        <v>8+</v>
      </c>
      <c r="D1860" s="1">
        <v>102</v>
      </c>
      <c r="E1860" t="str">
        <f>LOOKUP(D1860,Sheet2!$G$4:$H$9)</f>
        <v>100-125</v>
      </c>
      <c r="F1860" s="1">
        <v>76</v>
      </c>
      <c r="G1860" t="str">
        <f>LOOKUP(F1860,Sheet2!$J$4:$K$8)</f>
        <v>70-79</v>
      </c>
      <c r="H1860" s="1">
        <v>37</v>
      </c>
      <c r="I1860" t="str">
        <f>LOOKUP(H1860,Sheet2!$M$4:$N$8)</f>
        <v>30-39</v>
      </c>
      <c r="J1860" s="1">
        <v>0</v>
      </c>
      <c r="K1860" t="str">
        <f>LOOKUP(J1860,Sheet2!$P$4:$Q$9)</f>
        <v>Unknown</v>
      </c>
      <c r="L1860" s="1">
        <v>32.9</v>
      </c>
      <c r="M1860" t="str">
        <f>LOOKUP(L1860,Sheet2!$S$4:$T$8)</f>
        <v>31-35</v>
      </c>
      <c r="N1860" s="1">
        <v>0.66500000000000004</v>
      </c>
      <c r="O1860" t="str">
        <f>LOOKUP(N1860,Sheet2!$V$4:$W$7)</f>
        <v>0.4 - 0.69</v>
      </c>
      <c r="P1860" s="1">
        <v>46</v>
      </c>
      <c r="Q1860" t="str">
        <f>LOOKUP(P1860,Sheet2!$Z$4:$AA$7)</f>
        <v>46+</v>
      </c>
      <c r="R1860" s="1">
        <v>1</v>
      </c>
      <c r="S1860" t="str">
        <f>IF(R1860=1,"Positive","Negative")</f>
        <v>Positive</v>
      </c>
      <c r="T1860" s="1" t="str">
        <f>IFERROR(VLOOKUP(A1860,[1]diabetes_Recognition!$A:$B,2,FALSE),"Not Sampled")</f>
        <v>Not Sampled</v>
      </c>
      <c r="U1860" t="str">
        <f>IF(T1860=1,"Positive",(IF(T1860=0,"Negative","Not Sampled")))</f>
        <v>Not Sampled</v>
      </c>
      <c r="V1860" s="1" t="str">
        <f>IF(U1860="Not Sampled","Not Sampled",IF(S1860=U1860,"Accurate Prediction","Inaccurate Prediction"))</f>
        <v>Not Sampled</v>
      </c>
    </row>
    <row r="1861" spans="1:22" x14ac:dyDescent="0.25">
      <c r="A1861" s="1">
        <v>1859</v>
      </c>
      <c r="B1861" s="1">
        <v>2</v>
      </c>
      <c r="C1861" s="1">
        <f>LOOKUP(B1861,Sheet2!$D$4:$E$9)</f>
        <v>2</v>
      </c>
      <c r="D1861" s="1">
        <v>90</v>
      </c>
      <c r="E1861" t="str">
        <f>LOOKUP(D1861,Sheet2!$G$4:$H$9)</f>
        <v>1-99</v>
      </c>
      <c r="F1861" s="1">
        <v>68</v>
      </c>
      <c r="G1861" t="str">
        <f>LOOKUP(F1861,Sheet2!$J$4:$K$8)</f>
        <v>60-69</v>
      </c>
      <c r="H1861" s="1">
        <v>42</v>
      </c>
      <c r="I1861" t="str">
        <f>LOOKUP(H1861,Sheet2!$M$4:$N$8)</f>
        <v>40+</v>
      </c>
      <c r="J1861" s="1">
        <v>0</v>
      </c>
      <c r="K1861" t="str">
        <f>LOOKUP(J1861,Sheet2!$P$4:$Q$9)</f>
        <v>Unknown</v>
      </c>
      <c r="L1861" s="1">
        <v>38.200000000000003</v>
      </c>
      <c r="M1861" t="str">
        <f>LOOKUP(L1861,Sheet2!$S$4:$T$8)</f>
        <v>36+</v>
      </c>
      <c r="N1861" s="1">
        <v>0.503</v>
      </c>
      <c r="O1861" t="str">
        <f>LOOKUP(N1861,Sheet2!$V$4:$W$7)</f>
        <v>0.4 - 0.69</v>
      </c>
      <c r="P1861" s="1">
        <v>27</v>
      </c>
      <c r="Q1861" t="str">
        <f>LOOKUP(P1861,Sheet2!$Z$4:$AA$7)</f>
        <v>26-35</v>
      </c>
      <c r="R1861" s="1">
        <v>1</v>
      </c>
      <c r="S1861" t="str">
        <f>IF(R1861=1,"Positive","Negative")</f>
        <v>Positive</v>
      </c>
      <c r="T1861" s="1" t="str">
        <f>IFERROR(VLOOKUP(A1861,[1]diabetes_Recognition!$A:$B,2,FALSE),"Not Sampled")</f>
        <v>Not Sampled</v>
      </c>
      <c r="U1861" t="str">
        <f>IF(T1861=1,"Positive",(IF(T1861=0,"Negative","Not Sampled")))</f>
        <v>Not Sampled</v>
      </c>
      <c r="V1861" s="1" t="str">
        <f>IF(U1861="Not Sampled","Not Sampled",IF(S1861=U1861,"Accurate Prediction","Inaccurate Prediction"))</f>
        <v>Not Sampled</v>
      </c>
    </row>
    <row r="1862" spans="1:22" x14ac:dyDescent="0.25">
      <c r="A1862" s="1">
        <v>1860</v>
      </c>
      <c r="B1862" s="1">
        <v>4</v>
      </c>
      <c r="C1862" s="1" t="str">
        <f>LOOKUP(B1862,Sheet2!$D$4:$E$9)</f>
        <v>3-4</v>
      </c>
      <c r="D1862" s="1">
        <v>111</v>
      </c>
      <c r="E1862" t="str">
        <f>LOOKUP(D1862,Sheet2!$G$4:$H$9)</f>
        <v>100-125</v>
      </c>
      <c r="F1862" s="1">
        <v>72</v>
      </c>
      <c r="G1862" t="str">
        <f>LOOKUP(F1862,Sheet2!$J$4:$K$8)</f>
        <v>70-79</v>
      </c>
      <c r="H1862" s="1">
        <v>47</v>
      </c>
      <c r="I1862" t="str">
        <f>LOOKUP(H1862,Sheet2!$M$4:$N$8)</f>
        <v>40+</v>
      </c>
      <c r="J1862" s="1">
        <v>207</v>
      </c>
      <c r="K1862" t="str">
        <f>LOOKUP(J1862,Sheet2!$P$4:$Q$9)</f>
        <v>200-399</v>
      </c>
      <c r="L1862" s="1">
        <v>37.1</v>
      </c>
      <c r="M1862" t="str">
        <f>LOOKUP(L1862,Sheet2!$S$4:$T$8)</f>
        <v>36+</v>
      </c>
      <c r="N1862" s="1">
        <v>1.39</v>
      </c>
      <c r="O1862" t="str">
        <f>LOOKUP(N1862,Sheet2!$V$4:$W$7)</f>
        <v>0.7+</v>
      </c>
      <c r="P1862" s="1">
        <v>56</v>
      </c>
      <c r="Q1862" t="str">
        <f>LOOKUP(P1862,Sheet2!$Z$4:$AA$7)</f>
        <v>46+</v>
      </c>
      <c r="R1862" s="1">
        <v>1</v>
      </c>
      <c r="S1862" t="str">
        <f>IF(R1862=1,"Positive","Negative")</f>
        <v>Positive</v>
      </c>
      <c r="T1862" s="1" t="str">
        <f>IFERROR(VLOOKUP(A1862,[1]diabetes_Recognition!$A:$B,2,FALSE),"Not Sampled")</f>
        <v>Not Sampled</v>
      </c>
      <c r="U1862" t="str">
        <f>IF(T1862=1,"Positive",(IF(T1862=0,"Negative","Not Sampled")))</f>
        <v>Not Sampled</v>
      </c>
      <c r="V1862" s="1" t="str">
        <f>IF(U1862="Not Sampled","Not Sampled",IF(S1862=U1862,"Accurate Prediction","Inaccurate Prediction"))</f>
        <v>Not Sampled</v>
      </c>
    </row>
    <row r="1863" spans="1:22" x14ac:dyDescent="0.25">
      <c r="A1863" s="1">
        <v>1861</v>
      </c>
      <c r="B1863" s="1">
        <v>3</v>
      </c>
      <c r="C1863" s="1" t="str">
        <f>LOOKUP(B1863,Sheet2!$D$4:$E$9)</f>
        <v>3-4</v>
      </c>
      <c r="D1863" s="1">
        <v>180</v>
      </c>
      <c r="E1863" t="str">
        <f>LOOKUP(D1863,Sheet2!$G$4:$H$9)</f>
        <v>176-200</v>
      </c>
      <c r="F1863" s="1">
        <v>64</v>
      </c>
      <c r="G1863" t="str">
        <f>LOOKUP(F1863,Sheet2!$J$4:$K$8)</f>
        <v>60-69</v>
      </c>
      <c r="H1863" s="1">
        <v>25</v>
      </c>
      <c r="I1863" t="str">
        <f>LOOKUP(H1863,Sheet2!$M$4:$N$8)</f>
        <v>10-30</v>
      </c>
      <c r="J1863" s="1">
        <v>70</v>
      </c>
      <c r="K1863" t="str">
        <f>LOOKUP(J1863,Sheet2!$P$4:$Q$9)</f>
        <v>1-99</v>
      </c>
      <c r="L1863" s="1">
        <v>34</v>
      </c>
      <c r="M1863" t="str">
        <f>LOOKUP(L1863,Sheet2!$S$4:$T$8)</f>
        <v>31-35</v>
      </c>
      <c r="N1863" s="1">
        <v>0.27100000000000002</v>
      </c>
      <c r="O1863" t="str">
        <f>LOOKUP(N1863,Sheet2!$V$4:$W$7)</f>
        <v>0.25 - 0.39</v>
      </c>
      <c r="P1863" s="1">
        <v>26</v>
      </c>
      <c r="Q1863" t="str">
        <f>LOOKUP(P1863,Sheet2!$Z$4:$AA$7)</f>
        <v>26-35</v>
      </c>
      <c r="R1863" s="1">
        <v>0</v>
      </c>
      <c r="S1863" t="str">
        <f>IF(R1863=1,"Positive","Negative")</f>
        <v>Negative</v>
      </c>
      <c r="T1863" s="1" t="str">
        <f>IFERROR(VLOOKUP(A1863,[1]diabetes_Recognition!$A:$B,2,FALSE),"Not Sampled")</f>
        <v>Not Sampled</v>
      </c>
      <c r="U1863" t="str">
        <f>IF(T1863=1,"Positive",(IF(T1863=0,"Negative","Not Sampled")))</f>
        <v>Not Sampled</v>
      </c>
      <c r="V1863" s="1" t="str">
        <f>IF(U1863="Not Sampled","Not Sampled",IF(S1863=U1863,"Accurate Prediction","Inaccurate Prediction"))</f>
        <v>Not Sampled</v>
      </c>
    </row>
    <row r="1864" spans="1:22" x14ac:dyDescent="0.25">
      <c r="A1864" s="1">
        <v>1862</v>
      </c>
      <c r="B1864" s="1">
        <v>7</v>
      </c>
      <c r="C1864" s="1" t="str">
        <f>LOOKUP(B1864,Sheet2!$D$4:$E$9)</f>
        <v>5-7</v>
      </c>
      <c r="D1864" s="1">
        <v>133</v>
      </c>
      <c r="E1864" t="str">
        <f>LOOKUP(D1864,Sheet2!$G$4:$H$9)</f>
        <v>126-150</v>
      </c>
      <c r="F1864" s="1">
        <v>84</v>
      </c>
      <c r="G1864" t="str">
        <f>LOOKUP(F1864,Sheet2!$J$4:$K$8)</f>
        <v>80+</v>
      </c>
      <c r="H1864" s="1">
        <v>0</v>
      </c>
      <c r="I1864" t="str">
        <f>LOOKUP(H1864,Sheet2!$M$4:$N$8)</f>
        <v>Unknown</v>
      </c>
      <c r="J1864" s="1">
        <v>0</v>
      </c>
      <c r="K1864" t="str">
        <f>LOOKUP(J1864,Sheet2!$P$4:$Q$9)</f>
        <v>Unknown</v>
      </c>
      <c r="L1864" s="1">
        <v>40.200000000000003</v>
      </c>
      <c r="M1864" t="str">
        <f>LOOKUP(L1864,Sheet2!$S$4:$T$8)</f>
        <v>36+</v>
      </c>
      <c r="N1864" s="1">
        <v>0.69599999999999995</v>
      </c>
      <c r="O1864" t="str">
        <f>LOOKUP(N1864,Sheet2!$V$4:$W$7)</f>
        <v>0.4 - 0.69</v>
      </c>
      <c r="P1864" s="1">
        <v>37</v>
      </c>
      <c r="Q1864" t="str">
        <f>LOOKUP(P1864,Sheet2!$Z$4:$AA$7)</f>
        <v>36-45</v>
      </c>
      <c r="R1864" s="1">
        <v>0</v>
      </c>
      <c r="S1864" t="str">
        <f>IF(R1864=1,"Positive","Negative")</f>
        <v>Negative</v>
      </c>
      <c r="T1864" s="1">
        <f>IFERROR(VLOOKUP(A1864,[1]diabetes_Recognition!$A:$B,2,FALSE),"Not Sampled")</f>
        <v>1</v>
      </c>
      <c r="U1864" t="str">
        <f>IF(T1864=1,"Positive",(IF(T1864=0,"Negative","Not Sampled")))</f>
        <v>Positive</v>
      </c>
      <c r="V1864" s="1" t="str">
        <f>IF(U1864="Not Sampled","Not Sampled",IF(S1864=U1864,"Accurate Prediction","Inaccurate Prediction"))</f>
        <v>Inaccurate Prediction</v>
      </c>
    </row>
    <row r="1865" spans="1:22" x14ac:dyDescent="0.25">
      <c r="A1865" s="1">
        <v>1863</v>
      </c>
      <c r="B1865" s="1">
        <v>7</v>
      </c>
      <c r="C1865" s="1" t="str">
        <f>LOOKUP(B1865,Sheet2!$D$4:$E$9)</f>
        <v>5-7</v>
      </c>
      <c r="D1865" s="1">
        <v>106</v>
      </c>
      <c r="E1865" t="str">
        <f>LOOKUP(D1865,Sheet2!$G$4:$H$9)</f>
        <v>100-125</v>
      </c>
      <c r="F1865" s="1">
        <v>92</v>
      </c>
      <c r="G1865" t="str">
        <f>LOOKUP(F1865,Sheet2!$J$4:$K$8)</f>
        <v>80+</v>
      </c>
      <c r="H1865" s="1">
        <v>18</v>
      </c>
      <c r="I1865" t="str">
        <f>LOOKUP(H1865,Sheet2!$M$4:$N$8)</f>
        <v>10-30</v>
      </c>
      <c r="J1865" s="1">
        <v>0</v>
      </c>
      <c r="K1865" t="str">
        <f>LOOKUP(J1865,Sheet2!$P$4:$Q$9)</f>
        <v>Unknown</v>
      </c>
      <c r="L1865" s="1">
        <v>22.7</v>
      </c>
      <c r="M1865" t="str">
        <f>LOOKUP(L1865,Sheet2!$S$4:$T$8)</f>
        <v>1-25</v>
      </c>
      <c r="N1865" s="1">
        <v>0.23499999999999999</v>
      </c>
      <c r="O1865" t="str">
        <f>LOOKUP(N1865,Sheet2!$V$4:$W$7)</f>
        <v>0.0 - 0.249</v>
      </c>
      <c r="P1865" s="1">
        <v>48</v>
      </c>
      <c r="Q1865" t="str">
        <f>LOOKUP(P1865,Sheet2!$Z$4:$AA$7)</f>
        <v>46+</v>
      </c>
      <c r="R1865" s="1">
        <v>0</v>
      </c>
      <c r="S1865" t="str">
        <f>IF(R1865=1,"Positive","Negative")</f>
        <v>Negative</v>
      </c>
      <c r="T1865" s="1" t="str">
        <f>IFERROR(VLOOKUP(A1865,[1]diabetes_Recognition!$A:$B,2,FALSE),"Not Sampled")</f>
        <v>Not Sampled</v>
      </c>
      <c r="U1865" t="str">
        <f>IF(T1865=1,"Positive",(IF(T1865=0,"Negative","Not Sampled")))</f>
        <v>Not Sampled</v>
      </c>
      <c r="V1865" s="1" t="str">
        <f>IF(U1865="Not Sampled","Not Sampled",IF(S1865=U1865,"Accurate Prediction","Inaccurate Prediction"))</f>
        <v>Not Sampled</v>
      </c>
    </row>
    <row r="1866" spans="1:22" x14ac:dyDescent="0.25">
      <c r="A1866" s="1">
        <v>1864</v>
      </c>
      <c r="B1866" s="1">
        <v>9</v>
      </c>
      <c r="C1866" s="1" t="str">
        <f>LOOKUP(B1866,Sheet2!$D$4:$E$9)</f>
        <v>8+</v>
      </c>
      <c r="D1866" s="1">
        <v>171</v>
      </c>
      <c r="E1866" t="str">
        <f>LOOKUP(D1866,Sheet2!$G$4:$H$9)</f>
        <v>151-175</v>
      </c>
      <c r="F1866" s="1">
        <v>110</v>
      </c>
      <c r="G1866" t="str">
        <f>LOOKUP(F1866,Sheet2!$J$4:$K$8)</f>
        <v>80+</v>
      </c>
      <c r="H1866" s="1">
        <v>24</v>
      </c>
      <c r="I1866" t="str">
        <f>LOOKUP(H1866,Sheet2!$M$4:$N$8)</f>
        <v>10-30</v>
      </c>
      <c r="J1866" s="1">
        <v>240</v>
      </c>
      <c r="K1866" t="str">
        <f>LOOKUP(J1866,Sheet2!$P$4:$Q$9)</f>
        <v>200-399</v>
      </c>
      <c r="L1866" s="1">
        <v>45.4</v>
      </c>
      <c r="M1866" t="str">
        <f>LOOKUP(L1866,Sheet2!$S$4:$T$8)</f>
        <v>36+</v>
      </c>
      <c r="N1866" s="1">
        <v>0.72099999999999997</v>
      </c>
      <c r="O1866" t="str">
        <f>LOOKUP(N1866,Sheet2!$V$4:$W$7)</f>
        <v>0.7+</v>
      </c>
      <c r="P1866" s="1">
        <v>54</v>
      </c>
      <c r="Q1866" t="str">
        <f>LOOKUP(P1866,Sheet2!$Z$4:$AA$7)</f>
        <v>46+</v>
      </c>
      <c r="R1866" s="1">
        <v>1</v>
      </c>
      <c r="S1866" t="str">
        <f>IF(R1866=1,"Positive","Negative")</f>
        <v>Positive</v>
      </c>
      <c r="T1866" s="1" t="str">
        <f>IFERROR(VLOOKUP(A1866,[1]diabetes_Recognition!$A:$B,2,FALSE),"Not Sampled")</f>
        <v>Not Sampled</v>
      </c>
      <c r="U1866" t="str">
        <f>IF(T1866=1,"Positive",(IF(T1866=0,"Negative","Not Sampled")))</f>
        <v>Not Sampled</v>
      </c>
      <c r="V1866" s="1" t="str">
        <f>IF(U1866="Not Sampled","Not Sampled",IF(S1866=U1866,"Accurate Prediction","Inaccurate Prediction"))</f>
        <v>Not Sampled</v>
      </c>
    </row>
    <row r="1867" spans="1:22" x14ac:dyDescent="0.25">
      <c r="A1867" s="1">
        <v>1865</v>
      </c>
      <c r="B1867" s="1">
        <v>7</v>
      </c>
      <c r="C1867" s="1" t="str">
        <f>LOOKUP(B1867,Sheet2!$D$4:$E$9)</f>
        <v>5-7</v>
      </c>
      <c r="D1867" s="1">
        <v>159</v>
      </c>
      <c r="E1867" t="str">
        <f>LOOKUP(D1867,Sheet2!$G$4:$H$9)</f>
        <v>151-175</v>
      </c>
      <c r="F1867" s="1">
        <v>64</v>
      </c>
      <c r="G1867" t="str">
        <f>LOOKUP(F1867,Sheet2!$J$4:$K$8)</f>
        <v>60-69</v>
      </c>
      <c r="H1867" s="1">
        <v>0</v>
      </c>
      <c r="I1867" t="str">
        <f>LOOKUP(H1867,Sheet2!$M$4:$N$8)</f>
        <v>Unknown</v>
      </c>
      <c r="J1867" s="1">
        <v>0</v>
      </c>
      <c r="K1867" t="str">
        <f>LOOKUP(J1867,Sheet2!$P$4:$Q$9)</f>
        <v>Unknown</v>
      </c>
      <c r="L1867" s="1">
        <v>27.4</v>
      </c>
      <c r="M1867" t="str">
        <f>LOOKUP(L1867,Sheet2!$S$4:$T$8)</f>
        <v>26-30</v>
      </c>
      <c r="N1867" s="1">
        <v>0.29399999999999998</v>
      </c>
      <c r="O1867" t="str">
        <f>LOOKUP(N1867,Sheet2!$V$4:$W$7)</f>
        <v>0.25 - 0.39</v>
      </c>
      <c r="P1867" s="1">
        <v>40</v>
      </c>
      <c r="Q1867" t="str">
        <f>LOOKUP(P1867,Sheet2!$Z$4:$AA$7)</f>
        <v>36-45</v>
      </c>
      <c r="R1867" s="1">
        <v>0</v>
      </c>
      <c r="S1867" t="str">
        <f>IF(R1867=1,"Positive","Negative")</f>
        <v>Negative</v>
      </c>
      <c r="T1867" s="1">
        <f>IFERROR(VLOOKUP(A1867,[1]diabetes_Recognition!$A:$B,2,FALSE),"Not Sampled")</f>
        <v>1</v>
      </c>
      <c r="U1867" t="str">
        <f>IF(T1867=1,"Positive",(IF(T1867=0,"Negative","Not Sampled")))</f>
        <v>Positive</v>
      </c>
      <c r="V1867" s="1" t="str">
        <f>IF(U1867="Not Sampled","Not Sampled",IF(S1867=U1867,"Accurate Prediction","Inaccurate Prediction"))</f>
        <v>Inaccurate Prediction</v>
      </c>
    </row>
    <row r="1868" spans="1:22" x14ac:dyDescent="0.25">
      <c r="A1868" s="1">
        <v>1866</v>
      </c>
      <c r="B1868" s="1">
        <v>0</v>
      </c>
      <c r="C1868" s="1">
        <f>LOOKUP(B1868,Sheet2!$D$4:$E$9)</f>
        <v>0</v>
      </c>
      <c r="D1868" s="1">
        <v>180</v>
      </c>
      <c r="E1868" t="str">
        <f>LOOKUP(D1868,Sheet2!$G$4:$H$9)</f>
        <v>176-200</v>
      </c>
      <c r="F1868" s="1">
        <v>66</v>
      </c>
      <c r="G1868" t="str">
        <f>LOOKUP(F1868,Sheet2!$J$4:$K$8)</f>
        <v>60-69</v>
      </c>
      <c r="H1868" s="1">
        <v>39</v>
      </c>
      <c r="I1868" t="str">
        <f>LOOKUP(H1868,Sheet2!$M$4:$N$8)</f>
        <v>30-39</v>
      </c>
      <c r="J1868" s="1">
        <v>0</v>
      </c>
      <c r="K1868" t="str">
        <f>LOOKUP(J1868,Sheet2!$P$4:$Q$9)</f>
        <v>Unknown</v>
      </c>
      <c r="L1868" s="1">
        <v>42</v>
      </c>
      <c r="M1868" t="str">
        <f>LOOKUP(L1868,Sheet2!$S$4:$T$8)</f>
        <v>36+</v>
      </c>
      <c r="N1868" s="1">
        <v>1.893</v>
      </c>
      <c r="O1868" t="str">
        <f>LOOKUP(N1868,Sheet2!$V$4:$W$7)</f>
        <v>0.7+</v>
      </c>
      <c r="P1868" s="1">
        <v>25</v>
      </c>
      <c r="Q1868" t="str">
        <f>LOOKUP(P1868,Sheet2!$Z$4:$AA$7)</f>
        <v>&lt;=25</v>
      </c>
      <c r="R1868" s="1">
        <v>1</v>
      </c>
      <c r="S1868" t="str">
        <f>IF(R1868=1,"Positive","Negative")</f>
        <v>Positive</v>
      </c>
      <c r="T1868" s="1" t="str">
        <f>IFERROR(VLOOKUP(A1868,[1]diabetes_Recognition!$A:$B,2,FALSE),"Not Sampled")</f>
        <v>Not Sampled</v>
      </c>
      <c r="U1868" t="str">
        <f>IF(T1868=1,"Positive",(IF(T1868=0,"Negative","Not Sampled")))</f>
        <v>Not Sampled</v>
      </c>
      <c r="V1868" s="1" t="str">
        <f>IF(U1868="Not Sampled","Not Sampled",IF(S1868=U1868,"Accurate Prediction","Inaccurate Prediction"))</f>
        <v>Not Sampled</v>
      </c>
    </row>
    <row r="1869" spans="1:22" x14ac:dyDescent="0.25">
      <c r="A1869" s="1">
        <v>1867</v>
      </c>
      <c r="B1869" s="1">
        <v>1</v>
      </c>
      <c r="C1869" s="1">
        <f>LOOKUP(B1869,Sheet2!$D$4:$E$9)</f>
        <v>1</v>
      </c>
      <c r="D1869" s="1">
        <v>146</v>
      </c>
      <c r="E1869" t="str">
        <f>LOOKUP(D1869,Sheet2!$G$4:$H$9)</f>
        <v>126-150</v>
      </c>
      <c r="F1869" s="1">
        <v>56</v>
      </c>
      <c r="G1869" t="str">
        <f>LOOKUP(F1869,Sheet2!$J$4:$K$8)</f>
        <v>1-59</v>
      </c>
      <c r="H1869" s="1">
        <v>0</v>
      </c>
      <c r="I1869" t="str">
        <f>LOOKUP(H1869,Sheet2!$M$4:$N$8)</f>
        <v>Unknown</v>
      </c>
      <c r="J1869" s="1">
        <v>0</v>
      </c>
      <c r="K1869" t="str">
        <f>LOOKUP(J1869,Sheet2!$P$4:$Q$9)</f>
        <v>Unknown</v>
      </c>
      <c r="L1869" s="1">
        <v>29.7</v>
      </c>
      <c r="M1869" t="str">
        <f>LOOKUP(L1869,Sheet2!$S$4:$T$8)</f>
        <v>26-30</v>
      </c>
      <c r="N1869" s="1">
        <v>0.56399999999999995</v>
      </c>
      <c r="O1869" t="str">
        <f>LOOKUP(N1869,Sheet2!$V$4:$W$7)</f>
        <v>0.4 - 0.69</v>
      </c>
      <c r="P1869" s="1">
        <v>29</v>
      </c>
      <c r="Q1869" t="str">
        <f>LOOKUP(P1869,Sheet2!$Z$4:$AA$7)</f>
        <v>26-35</v>
      </c>
      <c r="R1869" s="1">
        <v>0</v>
      </c>
      <c r="S1869" t="str">
        <f>IF(R1869=1,"Positive","Negative")</f>
        <v>Negative</v>
      </c>
      <c r="T1869" s="1" t="str">
        <f>IFERROR(VLOOKUP(A1869,[1]diabetes_Recognition!$A:$B,2,FALSE),"Not Sampled")</f>
        <v>Not Sampled</v>
      </c>
      <c r="U1869" t="str">
        <f>IF(T1869=1,"Positive",(IF(T1869=0,"Negative","Not Sampled")))</f>
        <v>Not Sampled</v>
      </c>
      <c r="V1869" s="1" t="str">
        <f>IF(U1869="Not Sampled","Not Sampled",IF(S1869=U1869,"Accurate Prediction","Inaccurate Prediction"))</f>
        <v>Not Sampled</v>
      </c>
    </row>
    <row r="1870" spans="1:22" x14ac:dyDescent="0.25">
      <c r="A1870" s="1">
        <v>1868</v>
      </c>
      <c r="B1870" s="1">
        <v>2</v>
      </c>
      <c r="C1870" s="1">
        <f>LOOKUP(B1870,Sheet2!$D$4:$E$9)</f>
        <v>2</v>
      </c>
      <c r="D1870" s="1">
        <v>71</v>
      </c>
      <c r="E1870" t="str">
        <f>LOOKUP(D1870,Sheet2!$G$4:$H$9)</f>
        <v>1-99</v>
      </c>
      <c r="F1870" s="1">
        <v>70</v>
      </c>
      <c r="G1870" t="str">
        <f>LOOKUP(F1870,Sheet2!$J$4:$K$8)</f>
        <v>70-79</v>
      </c>
      <c r="H1870" s="1">
        <v>27</v>
      </c>
      <c r="I1870" t="str">
        <f>LOOKUP(H1870,Sheet2!$M$4:$N$8)</f>
        <v>10-30</v>
      </c>
      <c r="J1870" s="1">
        <v>0</v>
      </c>
      <c r="K1870" t="str">
        <f>LOOKUP(J1870,Sheet2!$P$4:$Q$9)</f>
        <v>Unknown</v>
      </c>
      <c r="L1870" s="1">
        <v>28</v>
      </c>
      <c r="M1870" t="str">
        <f>LOOKUP(L1870,Sheet2!$S$4:$T$8)</f>
        <v>26-30</v>
      </c>
      <c r="N1870" s="1">
        <v>0.58599999999999997</v>
      </c>
      <c r="O1870" t="str">
        <f>LOOKUP(N1870,Sheet2!$V$4:$W$7)</f>
        <v>0.4 - 0.69</v>
      </c>
      <c r="P1870" s="1">
        <v>22</v>
      </c>
      <c r="Q1870" t="str">
        <f>LOOKUP(P1870,Sheet2!$Z$4:$AA$7)</f>
        <v>&lt;=25</v>
      </c>
      <c r="R1870" s="1">
        <v>0</v>
      </c>
      <c r="S1870" t="str">
        <f>IF(R1870=1,"Positive","Negative")</f>
        <v>Negative</v>
      </c>
      <c r="T1870" s="1" t="str">
        <f>IFERROR(VLOOKUP(A1870,[1]diabetes_Recognition!$A:$B,2,FALSE),"Not Sampled")</f>
        <v>Not Sampled</v>
      </c>
      <c r="U1870" t="str">
        <f>IF(T1870=1,"Positive",(IF(T1870=0,"Negative","Not Sampled")))</f>
        <v>Not Sampled</v>
      </c>
      <c r="V1870" s="1" t="str">
        <f>IF(U1870="Not Sampled","Not Sampled",IF(S1870=U1870,"Accurate Prediction","Inaccurate Prediction"))</f>
        <v>Not Sampled</v>
      </c>
    </row>
    <row r="1871" spans="1:22" x14ac:dyDescent="0.25">
      <c r="A1871" s="1">
        <v>1869</v>
      </c>
      <c r="B1871" s="1">
        <v>7</v>
      </c>
      <c r="C1871" s="1" t="str">
        <f>LOOKUP(B1871,Sheet2!$D$4:$E$9)</f>
        <v>5-7</v>
      </c>
      <c r="D1871" s="1">
        <v>103</v>
      </c>
      <c r="E1871" t="str">
        <f>LOOKUP(D1871,Sheet2!$G$4:$H$9)</f>
        <v>100-125</v>
      </c>
      <c r="F1871" s="1">
        <v>66</v>
      </c>
      <c r="G1871" t="str">
        <f>LOOKUP(F1871,Sheet2!$J$4:$K$8)</f>
        <v>60-69</v>
      </c>
      <c r="H1871" s="1">
        <v>32</v>
      </c>
      <c r="I1871" t="str">
        <f>LOOKUP(H1871,Sheet2!$M$4:$N$8)</f>
        <v>30-39</v>
      </c>
      <c r="J1871" s="1">
        <v>0</v>
      </c>
      <c r="K1871" t="str">
        <f>LOOKUP(J1871,Sheet2!$P$4:$Q$9)</f>
        <v>Unknown</v>
      </c>
      <c r="L1871" s="1">
        <v>39.1</v>
      </c>
      <c r="M1871" t="str">
        <f>LOOKUP(L1871,Sheet2!$S$4:$T$8)</f>
        <v>36+</v>
      </c>
      <c r="N1871" s="1">
        <v>0.34399999999999997</v>
      </c>
      <c r="O1871" t="str">
        <f>LOOKUP(N1871,Sheet2!$V$4:$W$7)</f>
        <v>0.25 - 0.39</v>
      </c>
      <c r="P1871" s="1">
        <v>31</v>
      </c>
      <c r="Q1871" t="str">
        <f>LOOKUP(P1871,Sheet2!$Z$4:$AA$7)</f>
        <v>26-35</v>
      </c>
      <c r="R1871" s="1">
        <v>1</v>
      </c>
      <c r="S1871" t="str">
        <f>IF(R1871=1,"Positive","Negative")</f>
        <v>Positive</v>
      </c>
      <c r="T1871" s="1" t="str">
        <f>IFERROR(VLOOKUP(A1871,[1]diabetes_Recognition!$A:$B,2,FALSE),"Not Sampled")</f>
        <v>Not Sampled</v>
      </c>
      <c r="U1871" t="str">
        <f>IF(T1871=1,"Positive",(IF(T1871=0,"Negative","Not Sampled")))</f>
        <v>Not Sampled</v>
      </c>
      <c r="V1871" s="1" t="str">
        <f>IF(U1871="Not Sampled","Not Sampled",IF(S1871=U1871,"Accurate Prediction","Inaccurate Prediction"))</f>
        <v>Not Sampled</v>
      </c>
    </row>
    <row r="1872" spans="1:22" x14ac:dyDescent="0.25">
      <c r="A1872" s="1">
        <v>1870</v>
      </c>
      <c r="B1872" s="1">
        <v>7</v>
      </c>
      <c r="C1872" s="1" t="str">
        <f>LOOKUP(B1872,Sheet2!$D$4:$E$9)</f>
        <v>5-7</v>
      </c>
      <c r="D1872" s="1">
        <v>105</v>
      </c>
      <c r="E1872" t="str">
        <f>LOOKUP(D1872,Sheet2!$G$4:$H$9)</f>
        <v>100-125</v>
      </c>
      <c r="F1872" s="1">
        <v>0</v>
      </c>
      <c r="G1872" t="str">
        <f>LOOKUP(F1872,Sheet2!$J$4:$K$8)</f>
        <v>Unknown</v>
      </c>
      <c r="H1872" s="1">
        <v>0</v>
      </c>
      <c r="I1872" t="str">
        <f>LOOKUP(H1872,Sheet2!$M$4:$N$8)</f>
        <v>Unknown</v>
      </c>
      <c r="J1872" s="1">
        <v>0</v>
      </c>
      <c r="K1872" t="str">
        <f>LOOKUP(J1872,Sheet2!$P$4:$Q$9)</f>
        <v>Unknown</v>
      </c>
      <c r="L1872" s="1">
        <v>0</v>
      </c>
      <c r="M1872" t="str">
        <f>LOOKUP(L1872,Sheet2!$S$4:$T$8)</f>
        <v>Unknown</v>
      </c>
      <c r="N1872" s="1">
        <v>0.30499999999999999</v>
      </c>
      <c r="O1872" t="str">
        <f>LOOKUP(N1872,Sheet2!$V$4:$W$7)</f>
        <v>0.25 - 0.39</v>
      </c>
      <c r="P1872" s="1">
        <v>24</v>
      </c>
      <c r="Q1872" t="str">
        <f>LOOKUP(P1872,Sheet2!$Z$4:$AA$7)</f>
        <v>&lt;=25</v>
      </c>
      <c r="R1872" s="1">
        <v>0</v>
      </c>
      <c r="S1872" t="str">
        <f>IF(R1872=1,"Positive","Negative")</f>
        <v>Negative</v>
      </c>
      <c r="T1872" s="1" t="str">
        <f>IFERROR(VLOOKUP(A1872,[1]diabetes_Recognition!$A:$B,2,FALSE),"Not Sampled")</f>
        <v>Not Sampled</v>
      </c>
      <c r="U1872" t="str">
        <f>IF(T1872=1,"Positive",(IF(T1872=0,"Negative","Not Sampled")))</f>
        <v>Not Sampled</v>
      </c>
      <c r="V1872" s="1" t="str">
        <f>IF(U1872="Not Sampled","Not Sampled",IF(S1872=U1872,"Accurate Prediction","Inaccurate Prediction"))</f>
        <v>Not Sampled</v>
      </c>
    </row>
    <row r="1873" spans="1:22" x14ac:dyDescent="0.25">
      <c r="A1873" s="1">
        <v>1871</v>
      </c>
      <c r="B1873" s="1">
        <v>1</v>
      </c>
      <c r="C1873" s="1">
        <f>LOOKUP(B1873,Sheet2!$D$4:$E$9)</f>
        <v>1</v>
      </c>
      <c r="D1873" s="1">
        <v>103</v>
      </c>
      <c r="E1873" t="str">
        <f>LOOKUP(D1873,Sheet2!$G$4:$H$9)</f>
        <v>100-125</v>
      </c>
      <c r="F1873" s="1">
        <v>80</v>
      </c>
      <c r="G1873" t="str">
        <f>LOOKUP(F1873,Sheet2!$J$4:$K$8)</f>
        <v>80+</v>
      </c>
      <c r="H1873" s="1">
        <v>11</v>
      </c>
      <c r="I1873" t="str">
        <f>LOOKUP(H1873,Sheet2!$M$4:$N$8)</f>
        <v>10-30</v>
      </c>
      <c r="J1873" s="1">
        <v>82</v>
      </c>
      <c r="K1873" t="str">
        <f>LOOKUP(J1873,Sheet2!$P$4:$Q$9)</f>
        <v>1-99</v>
      </c>
      <c r="L1873" s="1">
        <v>19.399999999999999</v>
      </c>
      <c r="M1873" t="str">
        <f>LOOKUP(L1873,Sheet2!$S$4:$T$8)</f>
        <v>1-25</v>
      </c>
      <c r="N1873" s="1">
        <v>0.49099999999999999</v>
      </c>
      <c r="O1873" t="str">
        <f>LOOKUP(N1873,Sheet2!$V$4:$W$7)</f>
        <v>0.4 - 0.69</v>
      </c>
      <c r="P1873" s="1">
        <v>22</v>
      </c>
      <c r="Q1873" t="str">
        <f>LOOKUP(P1873,Sheet2!$Z$4:$AA$7)</f>
        <v>&lt;=25</v>
      </c>
      <c r="R1873" s="1">
        <v>0</v>
      </c>
      <c r="S1873" t="str">
        <f>IF(R1873=1,"Positive","Negative")</f>
        <v>Negative</v>
      </c>
      <c r="T1873" s="1">
        <f>IFERROR(VLOOKUP(A1873,[1]diabetes_Recognition!$A:$B,2,FALSE),"Not Sampled")</f>
        <v>0</v>
      </c>
      <c r="U1873" t="str">
        <f>IF(T1873=1,"Positive",(IF(T1873=0,"Negative","Not Sampled")))</f>
        <v>Negative</v>
      </c>
      <c r="V1873" s="1" t="str">
        <f>IF(U1873="Not Sampled","Not Sampled",IF(S1873=U1873,"Accurate Prediction","Inaccurate Prediction"))</f>
        <v>Accurate Prediction</v>
      </c>
    </row>
    <row r="1874" spans="1:22" x14ac:dyDescent="0.25">
      <c r="A1874" s="1">
        <v>1872</v>
      </c>
      <c r="B1874" s="1">
        <v>1</v>
      </c>
      <c r="C1874" s="1">
        <f>LOOKUP(B1874,Sheet2!$D$4:$E$9)</f>
        <v>1</v>
      </c>
      <c r="D1874" s="1">
        <v>101</v>
      </c>
      <c r="E1874" t="str">
        <f>LOOKUP(D1874,Sheet2!$G$4:$H$9)</f>
        <v>100-125</v>
      </c>
      <c r="F1874" s="1">
        <v>50</v>
      </c>
      <c r="G1874" t="str">
        <f>LOOKUP(F1874,Sheet2!$J$4:$K$8)</f>
        <v>1-59</v>
      </c>
      <c r="H1874" s="1">
        <v>15</v>
      </c>
      <c r="I1874" t="str">
        <f>LOOKUP(H1874,Sheet2!$M$4:$N$8)</f>
        <v>10-30</v>
      </c>
      <c r="J1874" s="1">
        <v>36</v>
      </c>
      <c r="K1874" t="str">
        <f>LOOKUP(J1874,Sheet2!$P$4:$Q$9)</f>
        <v>1-99</v>
      </c>
      <c r="L1874" s="1">
        <v>24.2</v>
      </c>
      <c r="M1874" t="str">
        <f>LOOKUP(L1874,Sheet2!$S$4:$T$8)</f>
        <v>1-25</v>
      </c>
      <c r="N1874" s="1">
        <v>0.52600000000000002</v>
      </c>
      <c r="O1874" t="str">
        <f>LOOKUP(N1874,Sheet2!$V$4:$W$7)</f>
        <v>0.4 - 0.69</v>
      </c>
      <c r="P1874" s="1">
        <v>26</v>
      </c>
      <c r="Q1874" t="str">
        <f>LOOKUP(P1874,Sheet2!$Z$4:$AA$7)</f>
        <v>26-35</v>
      </c>
      <c r="R1874" s="1">
        <v>0</v>
      </c>
      <c r="S1874" t="str">
        <f>IF(R1874=1,"Positive","Negative")</f>
        <v>Negative</v>
      </c>
      <c r="T1874" s="1" t="str">
        <f>IFERROR(VLOOKUP(A1874,[1]diabetes_Recognition!$A:$B,2,FALSE),"Not Sampled")</f>
        <v>Not Sampled</v>
      </c>
      <c r="U1874" t="str">
        <f>IF(T1874=1,"Positive",(IF(T1874=0,"Negative","Not Sampled")))</f>
        <v>Not Sampled</v>
      </c>
      <c r="V1874" s="1" t="str">
        <f>IF(U1874="Not Sampled","Not Sampled",IF(S1874=U1874,"Accurate Prediction","Inaccurate Prediction"))</f>
        <v>Not Sampled</v>
      </c>
    </row>
    <row r="1875" spans="1:22" x14ac:dyDescent="0.25">
      <c r="A1875" s="1">
        <v>1873</v>
      </c>
      <c r="B1875" s="1">
        <v>5</v>
      </c>
      <c r="C1875" s="1" t="str">
        <f>LOOKUP(B1875,Sheet2!$D$4:$E$9)</f>
        <v>5-7</v>
      </c>
      <c r="D1875" s="1">
        <v>88</v>
      </c>
      <c r="E1875" t="str">
        <f>LOOKUP(D1875,Sheet2!$G$4:$H$9)</f>
        <v>1-99</v>
      </c>
      <c r="F1875" s="1">
        <v>66</v>
      </c>
      <c r="G1875" t="str">
        <f>LOOKUP(F1875,Sheet2!$J$4:$K$8)</f>
        <v>60-69</v>
      </c>
      <c r="H1875" s="1">
        <v>21</v>
      </c>
      <c r="I1875" t="str">
        <f>LOOKUP(H1875,Sheet2!$M$4:$N$8)</f>
        <v>10-30</v>
      </c>
      <c r="J1875" s="1">
        <v>23</v>
      </c>
      <c r="K1875" t="str">
        <f>LOOKUP(J1875,Sheet2!$P$4:$Q$9)</f>
        <v>1-99</v>
      </c>
      <c r="L1875" s="1">
        <v>24.4</v>
      </c>
      <c r="M1875" t="str">
        <f>LOOKUP(L1875,Sheet2!$S$4:$T$8)</f>
        <v>1-25</v>
      </c>
      <c r="N1875" s="1">
        <v>0.34200000000000003</v>
      </c>
      <c r="O1875" t="str">
        <f>LOOKUP(N1875,Sheet2!$V$4:$W$7)</f>
        <v>0.25 - 0.39</v>
      </c>
      <c r="P1875" s="1">
        <v>30</v>
      </c>
      <c r="Q1875" t="str">
        <f>LOOKUP(P1875,Sheet2!$Z$4:$AA$7)</f>
        <v>26-35</v>
      </c>
      <c r="R1875" s="1">
        <v>0</v>
      </c>
      <c r="S1875" t="str">
        <f>IF(R1875=1,"Positive","Negative")</f>
        <v>Negative</v>
      </c>
      <c r="T1875" s="1" t="str">
        <f>IFERROR(VLOOKUP(A1875,[1]diabetes_Recognition!$A:$B,2,FALSE),"Not Sampled")</f>
        <v>Not Sampled</v>
      </c>
      <c r="U1875" t="str">
        <f>IF(T1875=1,"Positive",(IF(T1875=0,"Negative","Not Sampled")))</f>
        <v>Not Sampled</v>
      </c>
      <c r="V1875" s="1" t="str">
        <f>IF(U1875="Not Sampled","Not Sampled",IF(S1875=U1875,"Accurate Prediction","Inaccurate Prediction"))</f>
        <v>Not Sampled</v>
      </c>
    </row>
    <row r="1876" spans="1:22" x14ac:dyDescent="0.25">
      <c r="A1876" s="1">
        <v>1874</v>
      </c>
      <c r="B1876" s="1">
        <v>8</v>
      </c>
      <c r="C1876" s="1" t="str">
        <f>LOOKUP(B1876,Sheet2!$D$4:$E$9)</f>
        <v>8+</v>
      </c>
      <c r="D1876" s="1">
        <v>176</v>
      </c>
      <c r="E1876" t="str">
        <f>LOOKUP(D1876,Sheet2!$G$4:$H$9)</f>
        <v>176-200</v>
      </c>
      <c r="F1876" s="1">
        <v>90</v>
      </c>
      <c r="G1876" t="str">
        <f>LOOKUP(F1876,Sheet2!$J$4:$K$8)</f>
        <v>80+</v>
      </c>
      <c r="H1876" s="1">
        <v>34</v>
      </c>
      <c r="I1876" t="str">
        <f>LOOKUP(H1876,Sheet2!$M$4:$N$8)</f>
        <v>30-39</v>
      </c>
      <c r="J1876" s="1">
        <v>300</v>
      </c>
      <c r="K1876" t="str">
        <f>LOOKUP(J1876,Sheet2!$P$4:$Q$9)</f>
        <v>300-499</v>
      </c>
      <c r="L1876" s="1">
        <v>33.700000000000003</v>
      </c>
      <c r="M1876" t="str">
        <f>LOOKUP(L1876,Sheet2!$S$4:$T$8)</f>
        <v>31-35</v>
      </c>
      <c r="N1876" s="1">
        <v>0.46700000000000003</v>
      </c>
      <c r="O1876" t="str">
        <f>LOOKUP(N1876,Sheet2!$V$4:$W$7)</f>
        <v>0.4 - 0.69</v>
      </c>
      <c r="P1876" s="1">
        <v>58</v>
      </c>
      <c r="Q1876" t="str">
        <f>LOOKUP(P1876,Sheet2!$Z$4:$AA$7)</f>
        <v>46+</v>
      </c>
      <c r="R1876" s="1">
        <v>1</v>
      </c>
      <c r="S1876" t="str">
        <f>IF(R1876=1,"Positive","Negative")</f>
        <v>Positive</v>
      </c>
      <c r="T1876" s="1">
        <f>IFERROR(VLOOKUP(A1876,[1]diabetes_Recognition!$A:$B,2,FALSE),"Not Sampled")</f>
        <v>1</v>
      </c>
      <c r="U1876" t="str">
        <f>IF(T1876=1,"Positive",(IF(T1876=0,"Negative","Not Sampled")))</f>
        <v>Positive</v>
      </c>
      <c r="V1876" s="1" t="str">
        <f>IF(U1876="Not Sampled","Not Sampled",IF(S1876=U1876,"Accurate Prediction","Inaccurate Prediction"))</f>
        <v>Accurate Prediction</v>
      </c>
    </row>
    <row r="1877" spans="1:22" x14ac:dyDescent="0.25">
      <c r="A1877" s="1">
        <v>1875</v>
      </c>
      <c r="B1877" s="1">
        <v>7</v>
      </c>
      <c r="C1877" s="1" t="str">
        <f>LOOKUP(B1877,Sheet2!$D$4:$E$9)</f>
        <v>5-7</v>
      </c>
      <c r="D1877" s="1">
        <v>150</v>
      </c>
      <c r="E1877" t="str">
        <f>LOOKUP(D1877,Sheet2!$G$4:$H$9)</f>
        <v>126-150</v>
      </c>
      <c r="F1877" s="1">
        <v>66</v>
      </c>
      <c r="G1877" t="str">
        <f>LOOKUP(F1877,Sheet2!$J$4:$K$8)</f>
        <v>60-69</v>
      </c>
      <c r="H1877" s="1">
        <v>42</v>
      </c>
      <c r="I1877" t="str">
        <f>LOOKUP(H1877,Sheet2!$M$4:$N$8)</f>
        <v>40+</v>
      </c>
      <c r="J1877" s="1">
        <v>342</v>
      </c>
      <c r="K1877" t="str">
        <f>LOOKUP(J1877,Sheet2!$P$4:$Q$9)</f>
        <v>300-499</v>
      </c>
      <c r="L1877" s="1">
        <v>34.700000000000003</v>
      </c>
      <c r="M1877" t="str">
        <f>LOOKUP(L1877,Sheet2!$S$4:$T$8)</f>
        <v>31-35</v>
      </c>
      <c r="N1877" s="1">
        <v>0.71799999999999997</v>
      </c>
      <c r="O1877" t="str">
        <f>LOOKUP(N1877,Sheet2!$V$4:$W$7)</f>
        <v>0.7+</v>
      </c>
      <c r="P1877" s="1">
        <v>42</v>
      </c>
      <c r="Q1877" t="str">
        <f>LOOKUP(P1877,Sheet2!$Z$4:$AA$7)</f>
        <v>36-45</v>
      </c>
      <c r="R1877" s="1">
        <v>0</v>
      </c>
      <c r="S1877" t="str">
        <f>IF(R1877=1,"Positive","Negative")</f>
        <v>Negative</v>
      </c>
      <c r="T1877" s="1" t="str">
        <f>IFERROR(VLOOKUP(A1877,[1]diabetes_Recognition!$A:$B,2,FALSE),"Not Sampled")</f>
        <v>Not Sampled</v>
      </c>
      <c r="U1877" t="str">
        <f>IF(T1877=1,"Positive",(IF(T1877=0,"Negative","Not Sampled")))</f>
        <v>Not Sampled</v>
      </c>
      <c r="V1877" s="1" t="str">
        <f>IF(U1877="Not Sampled","Not Sampled",IF(S1877=U1877,"Accurate Prediction","Inaccurate Prediction"))</f>
        <v>Not Sampled</v>
      </c>
    </row>
    <row r="1878" spans="1:22" x14ac:dyDescent="0.25">
      <c r="A1878" s="1">
        <v>1876</v>
      </c>
      <c r="B1878" s="1">
        <v>1</v>
      </c>
      <c r="C1878" s="1">
        <f>LOOKUP(B1878,Sheet2!$D$4:$E$9)</f>
        <v>1</v>
      </c>
      <c r="D1878" s="1">
        <v>73</v>
      </c>
      <c r="E1878" t="str">
        <f>LOOKUP(D1878,Sheet2!$G$4:$H$9)</f>
        <v>1-99</v>
      </c>
      <c r="F1878" s="1">
        <v>50</v>
      </c>
      <c r="G1878" t="str">
        <f>LOOKUP(F1878,Sheet2!$J$4:$K$8)</f>
        <v>1-59</v>
      </c>
      <c r="H1878" s="1">
        <v>10</v>
      </c>
      <c r="I1878" t="str">
        <f>LOOKUP(H1878,Sheet2!$M$4:$N$8)</f>
        <v>10-30</v>
      </c>
      <c r="J1878" s="1">
        <v>0</v>
      </c>
      <c r="K1878" t="str">
        <f>LOOKUP(J1878,Sheet2!$P$4:$Q$9)</f>
        <v>Unknown</v>
      </c>
      <c r="L1878" s="1">
        <v>23</v>
      </c>
      <c r="M1878" t="str">
        <f>LOOKUP(L1878,Sheet2!$S$4:$T$8)</f>
        <v>1-25</v>
      </c>
      <c r="N1878" s="1">
        <v>0.248</v>
      </c>
      <c r="O1878" t="str">
        <f>LOOKUP(N1878,Sheet2!$V$4:$W$7)</f>
        <v>0.0 - 0.249</v>
      </c>
      <c r="P1878" s="1">
        <v>21</v>
      </c>
      <c r="Q1878" t="str">
        <f>LOOKUP(P1878,Sheet2!$Z$4:$AA$7)</f>
        <v>&lt;=25</v>
      </c>
      <c r="R1878" s="1">
        <v>0</v>
      </c>
      <c r="S1878" t="str">
        <f>IF(R1878=1,"Positive","Negative")</f>
        <v>Negative</v>
      </c>
      <c r="T1878" s="1" t="str">
        <f>IFERROR(VLOOKUP(A1878,[1]diabetes_Recognition!$A:$B,2,FALSE),"Not Sampled")</f>
        <v>Not Sampled</v>
      </c>
      <c r="U1878" t="str">
        <f>IF(T1878=1,"Positive",(IF(T1878=0,"Negative","Not Sampled")))</f>
        <v>Not Sampled</v>
      </c>
      <c r="V1878" s="1" t="str">
        <f>IF(U1878="Not Sampled","Not Sampled",IF(S1878=U1878,"Accurate Prediction","Inaccurate Prediction"))</f>
        <v>Not Sampled</v>
      </c>
    </row>
    <row r="1879" spans="1:22" x14ac:dyDescent="0.25">
      <c r="A1879" s="1">
        <v>1877</v>
      </c>
      <c r="B1879" s="1">
        <v>7</v>
      </c>
      <c r="C1879" s="1" t="str">
        <f>LOOKUP(B1879,Sheet2!$D$4:$E$9)</f>
        <v>5-7</v>
      </c>
      <c r="D1879" s="1">
        <v>187</v>
      </c>
      <c r="E1879" t="str">
        <f>LOOKUP(D1879,Sheet2!$G$4:$H$9)</f>
        <v>176-200</v>
      </c>
      <c r="F1879" s="1">
        <v>68</v>
      </c>
      <c r="G1879" t="str">
        <f>LOOKUP(F1879,Sheet2!$J$4:$K$8)</f>
        <v>60-69</v>
      </c>
      <c r="H1879" s="1">
        <v>39</v>
      </c>
      <c r="I1879" t="str">
        <f>LOOKUP(H1879,Sheet2!$M$4:$N$8)</f>
        <v>30-39</v>
      </c>
      <c r="J1879" s="1">
        <v>304</v>
      </c>
      <c r="K1879" t="str">
        <f>LOOKUP(J1879,Sheet2!$P$4:$Q$9)</f>
        <v>300-499</v>
      </c>
      <c r="L1879" s="1">
        <v>37.700000000000003</v>
      </c>
      <c r="M1879" t="str">
        <f>LOOKUP(L1879,Sheet2!$S$4:$T$8)</f>
        <v>36+</v>
      </c>
      <c r="N1879" s="1">
        <v>0.254</v>
      </c>
      <c r="O1879" t="str">
        <f>LOOKUP(N1879,Sheet2!$V$4:$W$7)</f>
        <v>0.25 - 0.39</v>
      </c>
      <c r="P1879" s="1">
        <v>41</v>
      </c>
      <c r="Q1879" t="str">
        <f>LOOKUP(P1879,Sheet2!$Z$4:$AA$7)</f>
        <v>36-45</v>
      </c>
      <c r="R1879" s="1">
        <v>1</v>
      </c>
      <c r="S1879" t="str">
        <f>IF(R1879=1,"Positive","Negative")</f>
        <v>Positive</v>
      </c>
      <c r="T1879" s="1" t="str">
        <f>IFERROR(VLOOKUP(A1879,[1]diabetes_Recognition!$A:$B,2,FALSE),"Not Sampled")</f>
        <v>Not Sampled</v>
      </c>
      <c r="U1879" t="str">
        <f>IF(T1879=1,"Positive",(IF(T1879=0,"Negative","Not Sampled")))</f>
        <v>Not Sampled</v>
      </c>
      <c r="V1879" s="1" t="str">
        <f>IF(U1879="Not Sampled","Not Sampled",IF(S1879=U1879,"Accurate Prediction","Inaccurate Prediction"))</f>
        <v>Not Sampled</v>
      </c>
    </row>
    <row r="1880" spans="1:22" x14ac:dyDescent="0.25">
      <c r="A1880" s="1">
        <v>1878</v>
      </c>
      <c r="B1880" s="1">
        <v>0</v>
      </c>
      <c r="C1880" s="1">
        <f>LOOKUP(B1880,Sheet2!$D$4:$E$9)</f>
        <v>0</v>
      </c>
      <c r="D1880" s="1">
        <v>100</v>
      </c>
      <c r="E1880" t="str">
        <f>LOOKUP(D1880,Sheet2!$G$4:$H$9)</f>
        <v>100-125</v>
      </c>
      <c r="F1880" s="1">
        <v>88</v>
      </c>
      <c r="G1880" t="str">
        <f>LOOKUP(F1880,Sheet2!$J$4:$K$8)</f>
        <v>80+</v>
      </c>
      <c r="H1880" s="1">
        <v>60</v>
      </c>
      <c r="I1880" t="str">
        <f>LOOKUP(H1880,Sheet2!$M$4:$N$8)</f>
        <v>40+</v>
      </c>
      <c r="J1880" s="1">
        <v>110</v>
      </c>
      <c r="K1880" t="str">
        <f>LOOKUP(J1880,Sheet2!$P$4:$Q$9)</f>
        <v>100-199</v>
      </c>
      <c r="L1880" s="1">
        <v>46.8</v>
      </c>
      <c r="M1880" t="str">
        <f>LOOKUP(L1880,Sheet2!$S$4:$T$8)</f>
        <v>36+</v>
      </c>
      <c r="N1880" s="1">
        <v>0.96199999999999997</v>
      </c>
      <c r="O1880" t="str">
        <f>LOOKUP(N1880,Sheet2!$V$4:$W$7)</f>
        <v>0.7+</v>
      </c>
      <c r="P1880" s="1">
        <v>31</v>
      </c>
      <c r="Q1880" t="str">
        <f>LOOKUP(P1880,Sheet2!$Z$4:$AA$7)</f>
        <v>26-35</v>
      </c>
      <c r="R1880" s="1">
        <v>0</v>
      </c>
      <c r="S1880" t="str">
        <f>IF(R1880=1,"Positive","Negative")</f>
        <v>Negative</v>
      </c>
      <c r="T1880" s="1" t="str">
        <f>IFERROR(VLOOKUP(A1880,[1]diabetes_Recognition!$A:$B,2,FALSE),"Not Sampled")</f>
        <v>Not Sampled</v>
      </c>
      <c r="U1880" t="str">
        <f>IF(T1880=1,"Positive",(IF(T1880=0,"Negative","Not Sampled")))</f>
        <v>Not Sampled</v>
      </c>
      <c r="V1880" s="1" t="str">
        <f>IF(U1880="Not Sampled","Not Sampled",IF(S1880=U1880,"Accurate Prediction","Inaccurate Prediction"))</f>
        <v>Not Sampled</v>
      </c>
    </row>
    <row r="1881" spans="1:22" x14ac:dyDescent="0.25">
      <c r="A1881" s="1">
        <v>1879</v>
      </c>
      <c r="B1881" s="1">
        <v>0</v>
      </c>
      <c r="C1881" s="1">
        <f>LOOKUP(B1881,Sheet2!$D$4:$E$9)</f>
        <v>0</v>
      </c>
      <c r="D1881" s="1">
        <v>146</v>
      </c>
      <c r="E1881" t="str">
        <f>LOOKUP(D1881,Sheet2!$G$4:$H$9)</f>
        <v>126-150</v>
      </c>
      <c r="F1881" s="1">
        <v>82</v>
      </c>
      <c r="G1881" t="str">
        <f>LOOKUP(F1881,Sheet2!$J$4:$K$8)</f>
        <v>80+</v>
      </c>
      <c r="H1881" s="1">
        <v>0</v>
      </c>
      <c r="I1881" t="str">
        <f>LOOKUP(H1881,Sheet2!$M$4:$N$8)</f>
        <v>Unknown</v>
      </c>
      <c r="J1881" s="1">
        <v>0</v>
      </c>
      <c r="K1881" t="str">
        <f>LOOKUP(J1881,Sheet2!$P$4:$Q$9)</f>
        <v>Unknown</v>
      </c>
      <c r="L1881" s="1">
        <v>40.5</v>
      </c>
      <c r="M1881" t="str">
        <f>LOOKUP(L1881,Sheet2!$S$4:$T$8)</f>
        <v>36+</v>
      </c>
      <c r="N1881" s="1">
        <v>1.7809999999999999</v>
      </c>
      <c r="O1881" t="str">
        <f>LOOKUP(N1881,Sheet2!$V$4:$W$7)</f>
        <v>0.7+</v>
      </c>
      <c r="P1881" s="1">
        <v>44</v>
      </c>
      <c r="Q1881" t="str">
        <f>LOOKUP(P1881,Sheet2!$Z$4:$AA$7)</f>
        <v>36-45</v>
      </c>
      <c r="R1881" s="1">
        <v>0</v>
      </c>
      <c r="S1881" t="str">
        <f>IF(R1881=1,"Positive","Negative")</f>
        <v>Negative</v>
      </c>
      <c r="T1881" s="1" t="str">
        <f>IFERROR(VLOOKUP(A1881,[1]diabetes_Recognition!$A:$B,2,FALSE),"Not Sampled")</f>
        <v>Not Sampled</v>
      </c>
      <c r="U1881" t="str">
        <f>IF(T1881=1,"Positive",(IF(T1881=0,"Negative","Not Sampled")))</f>
        <v>Not Sampled</v>
      </c>
      <c r="V1881" s="1" t="str">
        <f>IF(U1881="Not Sampled","Not Sampled",IF(S1881=U1881,"Accurate Prediction","Inaccurate Prediction"))</f>
        <v>Not Sampled</v>
      </c>
    </row>
    <row r="1882" spans="1:22" x14ac:dyDescent="0.25">
      <c r="A1882" s="1">
        <v>1880</v>
      </c>
      <c r="B1882" s="1">
        <v>0</v>
      </c>
      <c r="C1882" s="1">
        <f>LOOKUP(B1882,Sheet2!$D$4:$E$9)</f>
        <v>0</v>
      </c>
      <c r="D1882" s="1">
        <v>105</v>
      </c>
      <c r="E1882" t="str">
        <f>LOOKUP(D1882,Sheet2!$G$4:$H$9)</f>
        <v>100-125</v>
      </c>
      <c r="F1882" s="1">
        <v>64</v>
      </c>
      <c r="G1882" t="str">
        <f>LOOKUP(F1882,Sheet2!$J$4:$K$8)</f>
        <v>60-69</v>
      </c>
      <c r="H1882" s="1">
        <v>41</v>
      </c>
      <c r="I1882" t="str">
        <f>LOOKUP(H1882,Sheet2!$M$4:$N$8)</f>
        <v>40+</v>
      </c>
      <c r="J1882" s="1">
        <v>142</v>
      </c>
      <c r="K1882" t="str">
        <f>LOOKUP(J1882,Sheet2!$P$4:$Q$9)</f>
        <v>100-199</v>
      </c>
      <c r="L1882" s="1">
        <v>41.5</v>
      </c>
      <c r="M1882" t="str">
        <f>LOOKUP(L1882,Sheet2!$S$4:$T$8)</f>
        <v>36+</v>
      </c>
      <c r="N1882" s="1">
        <v>0.17299999999999999</v>
      </c>
      <c r="O1882" t="str">
        <f>LOOKUP(N1882,Sheet2!$V$4:$W$7)</f>
        <v>0.0 - 0.249</v>
      </c>
      <c r="P1882" s="1">
        <v>22</v>
      </c>
      <c r="Q1882" t="str">
        <f>LOOKUP(P1882,Sheet2!$Z$4:$AA$7)</f>
        <v>&lt;=25</v>
      </c>
      <c r="R1882" s="1">
        <v>0</v>
      </c>
      <c r="S1882" t="str">
        <f>IF(R1882=1,"Positive","Negative")</f>
        <v>Negative</v>
      </c>
      <c r="T1882" s="1" t="str">
        <f>IFERROR(VLOOKUP(A1882,[1]diabetes_Recognition!$A:$B,2,FALSE),"Not Sampled")</f>
        <v>Not Sampled</v>
      </c>
      <c r="U1882" t="str">
        <f>IF(T1882=1,"Positive",(IF(T1882=0,"Negative","Not Sampled")))</f>
        <v>Not Sampled</v>
      </c>
      <c r="V1882" s="1" t="str">
        <f>IF(U1882="Not Sampled","Not Sampled",IF(S1882=U1882,"Accurate Prediction","Inaccurate Prediction"))</f>
        <v>Not Sampled</v>
      </c>
    </row>
    <row r="1883" spans="1:22" x14ac:dyDescent="0.25">
      <c r="A1883" s="1">
        <v>1881</v>
      </c>
      <c r="B1883" s="1">
        <v>2</v>
      </c>
      <c r="C1883" s="1">
        <f>LOOKUP(B1883,Sheet2!$D$4:$E$9)</f>
        <v>2</v>
      </c>
      <c r="D1883" s="1">
        <v>84</v>
      </c>
      <c r="E1883" t="str">
        <f>LOOKUP(D1883,Sheet2!$G$4:$H$9)</f>
        <v>1-99</v>
      </c>
      <c r="F1883" s="1">
        <v>0</v>
      </c>
      <c r="G1883" t="str">
        <f>LOOKUP(F1883,Sheet2!$J$4:$K$8)</f>
        <v>Unknown</v>
      </c>
      <c r="H1883" s="1">
        <v>0</v>
      </c>
      <c r="I1883" t="str">
        <f>LOOKUP(H1883,Sheet2!$M$4:$N$8)</f>
        <v>Unknown</v>
      </c>
      <c r="J1883" s="1">
        <v>0</v>
      </c>
      <c r="K1883" t="str">
        <f>LOOKUP(J1883,Sheet2!$P$4:$Q$9)</f>
        <v>Unknown</v>
      </c>
      <c r="L1883" s="1">
        <v>0</v>
      </c>
      <c r="M1883" t="str">
        <f>LOOKUP(L1883,Sheet2!$S$4:$T$8)</f>
        <v>Unknown</v>
      </c>
      <c r="N1883" s="1">
        <v>0.30399999999999999</v>
      </c>
      <c r="O1883" t="str">
        <f>LOOKUP(N1883,Sheet2!$V$4:$W$7)</f>
        <v>0.25 - 0.39</v>
      </c>
      <c r="P1883" s="1">
        <v>21</v>
      </c>
      <c r="Q1883" t="str">
        <f>LOOKUP(P1883,Sheet2!$Z$4:$AA$7)</f>
        <v>&lt;=25</v>
      </c>
      <c r="R1883" s="1">
        <v>0</v>
      </c>
      <c r="S1883" t="str">
        <f>IF(R1883=1,"Positive","Negative")</f>
        <v>Negative</v>
      </c>
      <c r="T1883" s="1" t="str">
        <f>IFERROR(VLOOKUP(A1883,[1]diabetes_Recognition!$A:$B,2,FALSE),"Not Sampled")</f>
        <v>Not Sampled</v>
      </c>
      <c r="U1883" t="str">
        <f>IF(T1883=1,"Positive",(IF(T1883=0,"Negative","Not Sampled")))</f>
        <v>Not Sampled</v>
      </c>
      <c r="V1883" s="1" t="str">
        <f>IF(U1883="Not Sampled","Not Sampled",IF(S1883=U1883,"Accurate Prediction","Inaccurate Prediction"))</f>
        <v>Not Sampled</v>
      </c>
    </row>
    <row r="1884" spans="1:22" x14ac:dyDescent="0.25">
      <c r="A1884" s="1">
        <v>1882</v>
      </c>
      <c r="B1884" s="1">
        <v>8</v>
      </c>
      <c r="C1884" s="1" t="str">
        <f>LOOKUP(B1884,Sheet2!$D$4:$E$9)</f>
        <v>8+</v>
      </c>
      <c r="D1884" s="1">
        <v>133</v>
      </c>
      <c r="E1884" t="str">
        <f>LOOKUP(D1884,Sheet2!$G$4:$H$9)</f>
        <v>126-150</v>
      </c>
      <c r="F1884" s="1">
        <v>72</v>
      </c>
      <c r="G1884" t="str">
        <f>LOOKUP(F1884,Sheet2!$J$4:$K$8)</f>
        <v>70-79</v>
      </c>
      <c r="H1884" s="1">
        <v>0</v>
      </c>
      <c r="I1884" t="str">
        <f>LOOKUP(H1884,Sheet2!$M$4:$N$8)</f>
        <v>Unknown</v>
      </c>
      <c r="J1884" s="1">
        <v>0</v>
      </c>
      <c r="K1884" t="str">
        <f>LOOKUP(J1884,Sheet2!$P$4:$Q$9)</f>
        <v>Unknown</v>
      </c>
      <c r="L1884" s="1">
        <v>32.9</v>
      </c>
      <c r="M1884" t="str">
        <f>LOOKUP(L1884,Sheet2!$S$4:$T$8)</f>
        <v>31-35</v>
      </c>
      <c r="N1884" s="1">
        <v>0.27</v>
      </c>
      <c r="O1884" t="str">
        <f>LOOKUP(N1884,Sheet2!$V$4:$W$7)</f>
        <v>0.25 - 0.39</v>
      </c>
      <c r="P1884" s="1">
        <v>39</v>
      </c>
      <c r="Q1884" t="str">
        <f>LOOKUP(P1884,Sheet2!$Z$4:$AA$7)</f>
        <v>36-45</v>
      </c>
      <c r="R1884" s="1">
        <v>1</v>
      </c>
      <c r="S1884" t="str">
        <f>IF(R1884=1,"Positive","Negative")</f>
        <v>Positive</v>
      </c>
      <c r="T1884" s="1">
        <f>IFERROR(VLOOKUP(A1884,[1]diabetes_Recognition!$A:$B,2,FALSE),"Not Sampled")</f>
        <v>1</v>
      </c>
      <c r="U1884" t="str">
        <f>IF(T1884=1,"Positive",(IF(T1884=0,"Negative","Not Sampled")))</f>
        <v>Positive</v>
      </c>
      <c r="V1884" s="1" t="str">
        <f>IF(U1884="Not Sampled","Not Sampled",IF(S1884=U1884,"Accurate Prediction","Inaccurate Prediction"))</f>
        <v>Accurate Prediction</v>
      </c>
    </row>
    <row r="1885" spans="1:22" x14ac:dyDescent="0.25">
      <c r="A1885" s="1">
        <v>1883</v>
      </c>
      <c r="B1885" s="1">
        <v>5</v>
      </c>
      <c r="C1885" s="1" t="str">
        <f>LOOKUP(B1885,Sheet2!$D$4:$E$9)</f>
        <v>5-7</v>
      </c>
      <c r="D1885" s="1">
        <v>44</v>
      </c>
      <c r="E1885" t="str">
        <f>LOOKUP(D1885,Sheet2!$G$4:$H$9)</f>
        <v>1-99</v>
      </c>
      <c r="F1885" s="1">
        <v>62</v>
      </c>
      <c r="G1885" t="str">
        <f>LOOKUP(F1885,Sheet2!$J$4:$K$8)</f>
        <v>60-69</v>
      </c>
      <c r="H1885" s="1">
        <v>0</v>
      </c>
      <c r="I1885" t="str">
        <f>LOOKUP(H1885,Sheet2!$M$4:$N$8)</f>
        <v>Unknown</v>
      </c>
      <c r="J1885" s="1">
        <v>0</v>
      </c>
      <c r="K1885" t="str">
        <f>LOOKUP(J1885,Sheet2!$P$4:$Q$9)</f>
        <v>Unknown</v>
      </c>
      <c r="L1885" s="1">
        <v>25</v>
      </c>
      <c r="M1885" t="str">
        <f>LOOKUP(L1885,Sheet2!$S$4:$T$8)</f>
        <v>1-25</v>
      </c>
      <c r="N1885" s="1">
        <v>0.58699999999999997</v>
      </c>
      <c r="O1885" t="str">
        <f>LOOKUP(N1885,Sheet2!$V$4:$W$7)</f>
        <v>0.4 - 0.69</v>
      </c>
      <c r="P1885" s="1">
        <v>36</v>
      </c>
      <c r="Q1885" t="str">
        <f>LOOKUP(P1885,Sheet2!$Z$4:$AA$7)</f>
        <v>36-45</v>
      </c>
      <c r="R1885" s="1">
        <v>0</v>
      </c>
      <c r="S1885" t="str">
        <f>IF(R1885=1,"Positive","Negative")</f>
        <v>Negative</v>
      </c>
      <c r="T1885" s="1" t="str">
        <f>IFERROR(VLOOKUP(A1885,[1]diabetes_Recognition!$A:$B,2,FALSE),"Not Sampled")</f>
        <v>Not Sampled</v>
      </c>
      <c r="U1885" t="str">
        <f>IF(T1885=1,"Positive",(IF(T1885=0,"Negative","Not Sampled")))</f>
        <v>Not Sampled</v>
      </c>
      <c r="V1885" s="1" t="str">
        <f>IF(U1885="Not Sampled","Not Sampled",IF(S1885=U1885,"Accurate Prediction","Inaccurate Prediction"))</f>
        <v>Not Sampled</v>
      </c>
    </row>
    <row r="1886" spans="1:22" x14ac:dyDescent="0.25">
      <c r="A1886" s="1">
        <v>1884</v>
      </c>
      <c r="B1886" s="1">
        <v>2</v>
      </c>
      <c r="C1886" s="1">
        <f>LOOKUP(B1886,Sheet2!$D$4:$E$9)</f>
        <v>2</v>
      </c>
      <c r="D1886" s="1">
        <v>141</v>
      </c>
      <c r="E1886" t="str">
        <f>LOOKUP(D1886,Sheet2!$G$4:$H$9)</f>
        <v>126-150</v>
      </c>
      <c r="F1886" s="1">
        <v>58</v>
      </c>
      <c r="G1886" t="str">
        <f>LOOKUP(F1886,Sheet2!$J$4:$K$8)</f>
        <v>1-59</v>
      </c>
      <c r="H1886" s="1">
        <v>34</v>
      </c>
      <c r="I1886" t="str">
        <f>LOOKUP(H1886,Sheet2!$M$4:$N$8)</f>
        <v>30-39</v>
      </c>
      <c r="J1886" s="1">
        <v>128</v>
      </c>
      <c r="K1886" t="str">
        <f>LOOKUP(J1886,Sheet2!$P$4:$Q$9)</f>
        <v>100-199</v>
      </c>
      <c r="L1886" s="1">
        <v>25.4</v>
      </c>
      <c r="M1886" t="str">
        <f>LOOKUP(L1886,Sheet2!$S$4:$T$8)</f>
        <v>1-25</v>
      </c>
      <c r="N1886" s="1">
        <v>0.69899999999999995</v>
      </c>
      <c r="O1886" t="str">
        <f>LOOKUP(N1886,Sheet2!$V$4:$W$7)</f>
        <v>0.4 - 0.69</v>
      </c>
      <c r="P1886" s="1">
        <v>24</v>
      </c>
      <c r="Q1886" t="str">
        <f>LOOKUP(P1886,Sheet2!$Z$4:$AA$7)</f>
        <v>&lt;=25</v>
      </c>
      <c r="R1886" s="1">
        <v>0</v>
      </c>
      <c r="S1886" t="str">
        <f>IF(R1886=1,"Positive","Negative")</f>
        <v>Negative</v>
      </c>
      <c r="T1886" s="1" t="str">
        <f>IFERROR(VLOOKUP(A1886,[1]diabetes_Recognition!$A:$B,2,FALSE),"Not Sampled")</f>
        <v>Not Sampled</v>
      </c>
      <c r="U1886" t="str">
        <f>IF(T1886=1,"Positive",(IF(T1886=0,"Negative","Not Sampled")))</f>
        <v>Not Sampled</v>
      </c>
      <c r="V1886" s="1" t="str">
        <f>IF(U1886="Not Sampled","Not Sampled",IF(S1886=U1886,"Accurate Prediction","Inaccurate Prediction"))</f>
        <v>Not Sampled</v>
      </c>
    </row>
    <row r="1887" spans="1:22" x14ac:dyDescent="0.25">
      <c r="A1887" s="1">
        <v>1885</v>
      </c>
      <c r="B1887" s="1">
        <v>7</v>
      </c>
      <c r="C1887" s="1" t="str">
        <f>LOOKUP(B1887,Sheet2!$D$4:$E$9)</f>
        <v>5-7</v>
      </c>
      <c r="D1887" s="1">
        <v>114</v>
      </c>
      <c r="E1887" t="str">
        <f>LOOKUP(D1887,Sheet2!$G$4:$H$9)</f>
        <v>100-125</v>
      </c>
      <c r="F1887" s="1">
        <v>66</v>
      </c>
      <c r="G1887" t="str">
        <f>LOOKUP(F1887,Sheet2!$J$4:$K$8)</f>
        <v>60-69</v>
      </c>
      <c r="H1887" s="1">
        <v>0</v>
      </c>
      <c r="I1887" t="str">
        <f>LOOKUP(H1887,Sheet2!$M$4:$N$8)</f>
        <v>Unknown</v>
      </c>
      <c r="J1887" s="1">
        <v>0</v>
      </c>
      <c r="K1887" t="str">
        <f>LOOKUP(J1887,Sheet2!$P$4:$Q$9)</f>
        <v>Unknown</v>
      </c>
      <c r="L1887" s="1">
        <v>32.799999999999997</v>
      </c>
      <c r="M1887" t="str">
        <f>LOOKUP(L1887,Sheet2!$S$4:$T$8)</f>
        <v>31-35</v>
      </c>
      <c r="N1887" s="1">
        <v>0.25800000000000001</v>
      </c>
      <c r="O1887" t="str">
        <f>LOOKUP(N1887,Sheet2!$V$4:$W$7)</f>
        <v>0.25 - 0.39</v>
      </c>
      <c r="P1887" s="1">
        <v>42</v>
      </c>
      <c r="Q1887" t="str">
        <f>LOOKUP(P1887,Sheet2!$Z$4:$AA$7)</f>
        <v>36-45</v>
      </c>
      <c r="R1887" s="1">
        <v>1</v>
      </c>
      <c r="S1887" t="str">
        <f>IF(R1887=1,"Positive","Negative")</f>
        <v>Positive</v>
      </c>
      <c r="T1887" s="1" t="str">
        <f>IFERROR(VLOOKUP(A1887,[1]diabetes_Recognition!$A:$B,2,FALSE),"Not Sampled")</f>
        <v>Not Sampled</v>
      </c>
      <c r="U1887" t="str">
        <f>IF(T1887=1,"Positive",(IF(T1887=0,"Negative","Not Sampled")))</f>
        <v>Not Sampled</v>
      </c>
      <c r="V1887" s="1" t="str">
        <f>IF(U1887="Not Sampled","Not Sampled",IF(S1887=U1887,"Accurate Prediction","Inaccurate Prediction"))</f>
        <v>Not Sampled</v>
      </c>
    </row>
    <row r="1888" spans="1:22" x14ac:dyDescent="0.25">
      <c r="A1888" s="1">
        <v>1886</v>
      </c>
      <c r="B1888" s="1">
        <v>5</v>
      </c>
      <c r="C1888" s="1" t="str">
        <f>LOOKUP(B1888,Sheet2!$D$4:$E$9)</f>
        <v>5-7</v>
      </c>
      <c r="D1888" s="1">
        <v>99</v>
      </c>
      <c r="E1888" t="str">
        <f>LOOKUP(D1888,Sheet2!$G$4:$H$9)</f>
        <v>1-99</v>
      </c>
      <c r="F1888" s="1">
        <v>74</v>
      </c>
      <c r="G1888" t="str">
        <f>LOOKUP(F1888,Sheet2!$J$4:$K$8)</f>
        <v>70-79</v>
      </c>
      <c r="H1888" s="1">
        <v>27</v>
      </c>
      <c r="I1888" t="str">
        <f>LOOKUP(H1888,Sheet2!$M$4:$N$8)</f>
        <v>10-30</v>
      </c>
      <c r="J1888" s="1">
        <v>0</v>
      </c>
      <c r="K1888" t="str">
        <f>LOOKUP(J1888,Sheet2!$P$4:$Q$9)</f>
        <v>Unknown</v>
      </c>
      <c r="L1888" s="1">
        <v>29</v>
      </c>
      <c r="M1888" t="str">
        <f>LOOKUP(L1888,Sheet2!$S$4:$T$8)</f>
        <v>26-30</v>
      </c>
      <c r="N1888" s="1">
        <v>0.20300000000000001</v>
      </c>
      <c r="O1888" t="str">
        <f>LOOKUP(N1888,Sheet2!$V$4:$W$7)</f>
        <v>0.0 - 0.249</v>
      </c>
      <c r="P1888" s="1">
        <v>32</v>
      </c>
      <c r="Q1888" t="str">
        <f>LOOKUP(P1888,Sheet2!$Z$4:$AA$7)</f>
        <v>26-35</v>
      </c>
      <c r="R1888" s="1">
        <v>0</v>
      </c>
      <c r="S1888" t="str">
        <f>IF(R1888=1,"Positive","Negative")</f>
        <v>Negative</v>
      </c>
      <c r="T1888" s="1">
        <f>IFERROR(VLOOKUP(A1888,[1]diabetes_Recognition!$A:$B,2,FALSE),"Not Sampled")</f>
        <v>0</v>
      </c>
      <c r="U1888" t="str">
        <f>IF(T1888=1,"Positive",(IF(T1888=0,"Negative","Not Sampled")))</f>
        <v>Negative</v>
      </c>
      <c r="V1888" s="1" t="str">
        <f>IF(U1888="Not Sampled","Not Sampled",IF(S1888=U1888,"Accurate Prediction","Inaccurate Prediction"))</f>
        <v>Accurate Prediction</v>
      </c>
    </row>
    <row r="1889" spans="1:22" x14ac:dyDescent="0.25">
      <c r="A1889" s="1">
        <v>1887</v>
      </c>
      <c r="B1889" s="1">
        <v>0</v>
      </c>
      <c r="C1889" s="1">
        <f>LOOKUP(B1889,Sheet2!$D$4:$E$9)</f>
        <v>0</v>
      </c>
      <c r="D1889" s="1">
        <v>109</v>
      </c>
      <c r="E1889" t="str">
        <f>LOOKUP(D1889,Sheet2!$G$4:$H$9)</f>
        <v>100-125</v>
      </c>
      <c r="F1889" s="1">
        <v>88</v>
      </c>
      <c r="G1889" t="str">
        <f>LOOKUP(F1889,Sheet2!$J$4:$K$8)</f>
        <v>80+</v>
      </c>
      <c r="H1889" s="1">
        <v>30</v>
      </c>
      <c r="I1889" t="str">
        <f>LOOKUP(H1889,Sheet2!$M$4:$N$8)</f>
        <v>30-39</v>
      </c>
      <c r="J1889" s="1">
        <v>0</v>
      </c>
      <c r="K1889" t="str">
        <f>LOOKUP(J1889,Sheet2!$P$4:$Q$9)</f>
        <v>Unknown</v>
      </c>
      <c r="L1889" s="1">
        <v>32.5</v>
      </c>
      <c r="M1889" t="str">
        <f>LOOKUP(L1889,Sheet2!$S$4:$T$8)</f>
        <v>31-35</v>
      </c>
      <c r="N1889" s="1">
        <v>0.85499999999999998</v>
      </c>
      <c r="O1889" t="str">
        <f>LOOKUP(N1889,Sheet2!$V$4:$W$7)</f>
        <v>0.7+</v>
      </c>
      <c r="P1889" s="1">
        <v>38</v>
      </c>
      <c r="Q1889" t="str">
        <f>LOOKUP(P1889,Sheet2!$Z$4:$AA$7)</f>
        <v>36-45</v>
      </c>
      <c r="R1889" s="1">
        <v>1</v>
      </c>
      <c r="S1889" t="str">
        <f>IF(R1889=1,"Positive","Negative")</f>
        <v>Positive</v>
      </c>
      <c r="T1889" s="1" t="str">
        <f>IFERROR(VLOOKUP(A1889,[1]diabetes_Recognition!$A:$B,2,FALSE),"Not Sampled")</f>
        <v>Not Sampled</v>
      </c>
      <c r="U1889" t="str">
        <f>IF(T1889=1,"Positive",(IF(T1889=0,"Negative","Not Sampled")))</f>
        <v>Not Sampled</v>
      </c>
      <c r="V1889" s="1" t="str">
        <f>IF(U1889="Not Sampled","Not Sampled",IF(S1889=U1889,"Accurate Prediction","Inaccurate Prediction"))</f>
        <v>Not Sampled</v>
      </c>
    </row>
    <row r="1890" spans="1:22" x14ac:dyDescent="0.25">
      <c r="A1890" s="1">
        <v>1888</v>
      </c>
      <c r="B1890" s="1">
        <v>2</v>
      </c>
      <c r="C1890" s="1">
        <f>LOOKUP(B1890,Sheet2!$D$4:$E$9)</f>
        <v>2</v>
      </c>
      <c r="D1890" s="1">
        <v>109</v>
      </c>
      <c r="E1890" t="str">
        <f>LOOKUP(D1890,Sheet2!$G$4:$H$9)</f>
        <v>100-125</v>
      </c>
      <c r="F1890" s="1">
        <v>92</v>
      </c>
      <c r="G1890" t="str">
        <f>LOOKUP(F1890,Sheet2!$J$4:$K$8)</f>
        <v>80+</v>
      </c>
      <c r="H1890" s="1">
        <v>0</v>
      </c>
      <c r="I1890" t="str">
        <f>LOOKUP(H1890,Sheet2!$M$4:$N$8)</f>
        <v>Unknown</v>
      </c>
      <c r="J1890" s="1">
        <v>0</v>
      </c>
      <c r="K1890" t="str">
        <f>LOOKUP(J1890,Sheet2!$P$4:$Q$9)</f>
        <v>Unknown</v>
      </c>
      <c r="L1890" s="1">
        <v>42.7</v>
      </c>
      <c r="M1890" t="str">
        <f>LOOKUP(L1890,Sheet2!$S$4:$T$8)</f>
        <v>36+</v>
      </c>
      <c r="N1890" s="1">
        <v>0.84499999999999997</v>
      </c>
      <c r="O1890" t="str">
        <f>LOOKUP(N1890,Sheet2!$V$4:$W$7)</f>
        <v>0.7+</v>
      </c>
      <c r="P1890" s="1">
        <v>54</v>
      </c>
      <c r="Q1890" t="str">
        <f>LOOKUP(P1890,Sheet2!$Z$4:$AA$7)</f>
        <v>46+</v>
      </c>
      <c r="R1890" s="1">
        <v>0</v>
      </c>
      <c r="S1890" t="str">
        <f>IF(R1890=1,"Positive","Negative")</f>
        <v>Negative</v>
      </c>
      <c r="T1890" s="1" t="str">
        <f>IFERROR(VLOOKUP(A1890,[1]diabetes_Recognition!$A:$B,2,FALSE),"Not Sampled")</f>
        <v>Not Sampled</v>
      </c>
      <c r="U1890" t="str">
        <f>IF(T1890=1,"Positive",(IF(T1890=0,"Negative","Not Sampled")))</f>
        <v>Not Sampled</v>
      </c>
      <c r="V1890" s="1" t="str">
        <f>IF(U1890="Not Sampled","Not Sampled",IF(S1890=U1890,"Accurate Prediction","Inaccurate Prediction"))</f>
        <v>Not Sampled</v>
      </c>
    </row>
    <row r="1891" spans="1:22" x14ac:dyDescent="0.25">
      <c r="A1891" s="1">
        <v>1889</v>
      </c>
      <c r="B1891" s="1">
        <v>1</v>
      </c>
      <c r="C1891" s="1">
        <f>LOOKUP(B1891,Sheet2!$D$4:$E$9)</f>
        <v>1</v>
      </c>
      <c r="D1891" s="1">
        <v>95</v>
      </c>
      <c r="E1891" t="str">
        <f>LOOKUP(D1891,Sheet2!$G$4:$H$9)</f>
        <v>1-99</v>
      </c>
      <c r="F1891" s="1">
        <v>66</v>
      </c>
      <c r="G1891" t="str">
        <f>LOOKUP(F1891,Sheet2!$J$4:$K$8)</f>
        <v>60-69</v>
      </c>
      <c r="H1891" s="1">
        <v>13</v>
      </c>
      <c r="I1891" t="str">
        <f>LOOKUP(H1891,Sheet2!$M$4:$N$8)</f>
        <v>10-30</v>
      </c>
      <c r="J1891" s="1">
        <v>38</v>
      </c>
      <c r="K1891" t="str">
        <f>LOOKUP(J1891,Sheet2!$P$4:$Q$9)</f>
        <v>1-99</v>
      </c>
      <c r="L1891" s="1">
        <v>19.600000000000001</v>
      </c>
      <c r="M1891" t="str">
        <f>LOOKUP(L1891,Sheet2!$S$4:$T$8)</f>
        <v>1-25</v>
      </c>
      <c r="N1891" s="1">
        <v>0.33400000000000002</v>
      </c>
      <c r="O1891" t="str">
        <f>LOOKUP(N1891,Sheet2!$V$4:$W$7)</f>
        <v>0.25 - 0.39</v>
      </c>
      <c r="P1891" s="1">
        <v>25</v>
      </c>
      <c r="Q1891" t="str">
        <f>LOOKUP(P1891,Sheet2!$Z$4:$AA$7)</f>
        <v>&lt;=25</v>
      </c>
      <c r="R1891" s="1">
        <v>0</v>
      </c>
      <c r="S1891" t="str">
        <f>IF(R1891=1,"Positive","Negative")</f>
        <v>Negative</v>
      </c>
      <c r="T1891" s="1" t="str">
        <f>IFERROR(VLOOKUP(A1891,[1]diabetes_Recognition!$A:$B,2,FALSE),"Not Sampled")</f>
        <v>Not Sampled</v>
      </c>
      <c r="U1891" t="str">
        <f>IF(T1891=1,"Positive",(IF(T1891=0,"Negative","Not Sampled")))</f>
        <v>Not Sampled</v>
      </c>
      <c r="V1891" s="1" t="str">
        <f>IF(U1891="Not Sampled","Not Sampled",IF(S1891=U1891,"Accurate Prediction","Inaccurate Prediction"))</f>
        <v>Not Sampled</v>
      </c>
    </row>
    <row r="1892" spans="1:22" x14ac:dyDescent="0.25">
      <c r="A1892" s="1">
        <v>1890</v>
      </c>
      <c r="B1892" s="1">
        <v>4</v>
      </c>
      <c r="C1892" s="1" t="str">
        <f>LOOKUP(B1892,Sheet2!$D$4:$E$9)</f>
        <v>3-4</v>
      </c>
      <c r="D1892" s="1">
        <v>146</v>
      </c>
      <c r="E1892" t="str">
        <f>LOOKUP(D1892,Sheet2!$G$4:$H$9)</f>
        <v>126-150</v>
      </c>
      <c r="F1892" s="1">
        <v>85</v>
      </c>
      <c r="G1892" t="str">
        <f>LOOKUP(F1892,Sheet2!$J$4:$K$8)</f>
        <v>80+</v>
      </c>
      <c r="H1892" s="1">
        <v>27</v>
      </c>
      <c r="I1892" t="str">
        <f>LOOKUP(H1892,Sheet2!$M$4:$N$8)</f>
        <v>10-30</v>
      </c>
      <c r="J1892" s="1">
        <v>100</v>
      </c>
      <c r="K1892" t="str">
        <f>LOOKUP(J1892,Sheet2!$P$4:$Q$9)</f>
        <v>100-199</v>
      </c>
      <c r="L1892" s="1">
        <v>28.9</v>
      </c>
      <c r="M1892" t="str">
        <f>LOOKUP(L1892,Sheet2!$S$4:$T$8)</f>
        <v>26-30</v>
      </c>
      <c r="N1892" s="1">
        <v>0.189</v>
      </c>
      <c r="O1892" t="str">
        <f>LOOKUP(N1892,Sheet2!$V$4:$W$7)</f>
        <v>0.0 - 0.249</v>
      </c>
      <c r="P1892" s="1">
        <v>27</v>
      </c>
      <c r="Q1892" t="str">
        <f>LOOKUP(P1892,Sheet2!$Z$4:$AA$7)</f>
        <v>26-35</v>
      </c>
      <c r="R1892" s="1">
        <v>0</v>
      </c>
      <c r="S1892" t="str">
        <f>IF(R1892=1,"Positive","Negative")</f>
        <v>Negative</v>
      </c>
      <c r="T1892" s="1">
        <f>IFERROR(VLOOKUP(A1892,[1]diabetes_Recognition!$A:$B,2,FALSE),"Not Sampled")</f>
        <v>0</v>
      </c>
      <c r="U1892" t="str">
        <f>IF(T1892=1,"Positive",(IF(T1892=0,"Negative","Not Sampled")))</f>
        <v>Negative</v>
      </c>
      <c r="V1892" s="1" t="str">
        <f>IF(U1892="Not Sampled","Not Sampled",IF(S1892=U1892,"Accurate Prediction","Inaccurate Prediction"))</f>
        <v>Accurate Prediction</v>
      </c>
    </row>
    <row r="1893" spans="1:22" x14ac:dyDescent="0.25">
      <c r="A1893" s="1">
        <v>1891</v>
      </c>
      <c r="B1893" s="1">
        <v>2</v>
      </c>
      <c r="C1893" s="1">
        <f>LOOKUP(B1893,Sheet2!$D$4:$E$9)</f>
        <v>2</v>
      </c>
      <c r="D1893" s="1">
        <v>100</v>
      </c>
      <c r="E1893" t="str">
        <f>LOOKUP(D1893,Sheet2!$G$4:$H$9)</f>
        <v>100-125</v>
      </c>
      <c r="F1893" s="1">
        <v>66</v>
      </c>
      <c r="G1893" t="str">
        <f>LOOKUP(F1893,Sheet2!$J$4:$K$8)</f>
        <v>60-69</v>
      </c>
      <c r="H1893" s="1">
        <v>20</v>
      </c>
      <c r="I1893" t="str">
        <f>LOOKUP(H1893,Sheet2!$M$4:$N$8)</f>
        <v>10-30</v>
      </c>
      <c r="J1893" s="1">
        <v>90</v>
      </c>
      <c r="K1893" t="str">
        <f>LOOKUP(J1893,Sheet2!$P$4:$Q$9)</f>
        <v>1-99</v>
      </c>
      <c r="L1893" s="1">
        <v>32.9</v>
      </c>
      <c r="M1893" t="str">
        <f>LOOKUP(L1893,Sheet2!$S$4:$T$8)</f>
        <v>31-35</v>
      </c>
      <c r="N1893" s="1">
        <v>0.86699999999999999</v>
      </c>
      <c r="O1893" t="str">
        <f>LOOKUP(N1893,Sheet2!$V$4:$W$7)</f>
        <v>0.7+</v>
      </c>
      <c r="P1893" s="1">
        <v>28</v>
      </c>
      <c r="Q1893" t="str">
        <f>LOOKUP(P1893,Sheet2!$Z$4:$AA$7)</f>
        <v>26-35</v>
      </c>
      <c r="R1893" s="1">
        <v>1</v>
      </c>
      <c r="S1893" t="str">
        <f>IF(R1893=1,"Positive","Negative")</f>
        <v>Positive</v>
      </c>
      <c r="T1893" s="1" t="str">
        <f>IFERROR(VLOOKUP(A1893,[1]diabetes_Recognition!$A:$B,2,FALSE),"Not Sampled")</f>
        <v>Not Sampled</v>
      </c>
      <c r="U1893" t="str">
        <f>IF(T1893=1,"Positive",(IF(T1893=0,"Negative","Not Sampled")))</f>
        <v>Not Sampled</v>
      </c>
      <c r="V1893" s="1" t="str">
        <f>IF(U1893="Not Sampled","Not Sampled",IF(S1893=U1893,"Accurate Prediction","Inaccurate Prediction"))</f>
        <v>Not Sampled</v>
      </c>
    </row>
    <row r="1894" spans="1:22" x14ac:dyDescent="0.25">
      <c r="A1894" s="1">
        <v>1892</v>
      </c>
      <c r="B1894" s="1">
        <v>5</v>
      </c>
      <c r="C1894" s="1" t="str">
        <f>LOOKUP(B1894,Sheet2!$D$4:$E$9)</f>
        <v>5-7</v>
      </c>
      <c r="D1894" s="1">
        <v>139</v>
      </c>
      <c r="E1894" t="str">
        <f>LOOKUP(D1894,Sheet2!$G$4:$H$9)</f>
        <v>126-150</v>
      </c>
      <c r="F1894" s="1">
        <v>64</v>
      </c>
      <c r="G1894" t="str">
        <f>LOOKUP(F1894,Sheet2!$J$4:$K$8)</f>
        <v>60-69</v>
      </c>
      <c r="H1894" s="1">
        <v>35</v>
      </c>
      <c r="I1894" t="str">
        <f>LOOKUP(H1894,Sheet2!$M$4:$N$8)</f>
        <v>30-39</v>
      </c>
      <c r="J1894" s="1">
        <v>140</v>
      </c>
      <c r="K1894" t="str">
        <f>LOOKUP(J1894,Sheet2!$P$4:$Q$9)</f>
        <v>100-199</v>
      </c>
      <c r="L1894" s="1">
        <v>28.6</v>
      </c>
      <c r="M1894" t="str">
        <f>LOOKUP(L1894,Sheet2!$S$4:$T$8)</f>
        <v>26-30</v>
      </c>
      <c r="N1894" s="1">
        <v>0.41099999999999998</v>
      </c>
      <c r="O1894" t="str">
        <f>LOOKUP(N1894,Sheet2!$V$4:$W$7)</f>
        <v>0.4 - 0.69</v>
      </c>
      <c r="P1894" s="1">
        <v>26</v>
      </c>
      <c r="Q1894" t="str">
        <f>LOOKUP(P1894,Sheet2!$Z$4:$AA$7)</f>
        <v>26-35</v>
      </c>
      <c r="R1894" s="1">
        <v>0</v>
      </c>
      <c r="S1894" t="str">
        <f>IF(R1894=1,"Positive","Negative")</f>
        <v>Negative</v>
      </c>
      <c r="T1894" s="1" t="str">
        <f>IFERROR(VLOOKUP(A1894,[1]diabetes_Recognition!$A:$B,2,FALSE),"Not Sampled")</f>
        <v>Not Sampled</v>
      </c>
      <c r="U1894" t="str">
        <f>IF(T1894=1,"Positive",(IF(T1894=0,"Negative","Not Sampled")))</f>
        <v>Not Sampled</v>
      </c>
      <c r="V1894" s="1" t="str">
        <f>IF(U1894="Not Sampled","Not Sampled",IF(S1894=U1894,"Accurate Prediction","Inaccurate Prediction"))</f>
        <v>Not Sampled</v>
      </c>
    </row>
    <row r="1895" spans="1:22" x14ac:dyDescent="0.25">
      <c r="A1895" s="1">
        <v>1893</v>
      </c>
      <c r="B1895" s="1">
        <v>13</v>
      </c>
      <c r="C1895" s="1" t="str">
        <f>LOOKUP(B1895,Sheet2!$D$4:$E$9)</f>
        <v>8+</v>
      </c>
      <c r="D1895" s="1">
        <v>126</v>
      </c>
      <c r="E1895" t="str">
        <f>LOOKUP(D1895,Sheet2!$G$4:$H$9)</f>
        <v>126-150</v>
      </c>
      <c r="F1895" s="1">
        <v>90</v>
      </c>
      <c r="G1895" t="str">
        <f>LOOKUP(F1895,Sheet2!$J$4:$K$8)</f>
        <v>80+</v>
      </c>
      <c r="H1895" s="1">
        <v>0</v>
      </c>
      <c r="I1895" t="str">
        <f>LOOKUP(H1895,Sheet2!$M$4:$N$8)</f>
        <v>Unknown</v>
      </c>
      <c r="J1895" s="1">
        <v>0</v>
      </c>
      <c r="K1895" t="str">
        <f>LOOKUP(J1895,Sheet2!$P$4:$Q$9)</f>
        <v>Unknown</v>
      </c>
      <c r="L1895" s="1">
        <v>43.4</v>
      </c>
      <c r="M1895" t="str">
        <f>LOOKUP(L1895,Sheet2!$S$4:$T$8)</f>
        <v>36+</v>
      </c>
      <c r="N1895" s="1">
        <v>0.58299999999999996</v>
      </c>
      <c r="O1895" t="str">
        <f>LOOKUP(N1895,Sheet2!$V$4:$W$7)</f>
        <v>0.4 - 0.69</v>
      </c>
      <c r="P1895" s="1">
        <v>42</v>
      </c>
      <c r="Q1895" t="str">
        <f>LOOKUP(P1895,Sheet2!$Z$4:$AA$7)</f>
        <v>36-45</v>
      </c>
      <c r="R1895" s="1">
        <v>1</v>
      </c>
      <c r="S1895" t="str">
        <f>IF(R1895=1,"Positive","Negative")</f>
        <v>Positive</v>
      </c>
      <c r="T1895" s="1" t="str">
        <f>IFERROR(VLOOKUP(A1895,[1]diabetes_Recognition!$A:$B,2,FALSE),"Not Sampled")</f>
        <v>Not Sampled</v>
      </c>
      <c r="U1895" t="str">
        <f>IF(T1895=1,"Positive",(IF(T1895=0,"Negative","Not Sampled")))</f>
        <v>Not Sampled</v>
      </c>
      <c r="V1895" s="1" t="str">
        <f>IF(U1895="Not Sampled","Not Sampled",IF(S1895=U1895,"Accurate Prediction","Inaccurate Prediction"))</f>
        <v>Not Sampled</v>
      </c>
    </row>
    <row r="1896" spans="1:22" x14ac:dyDescent="0.25">
      <c r="A1896" s="1">
        <v>1894</v>
      </c>
      <c r="B1896" s="1">
        <v>4</v>
      </c>
      <c r="C1896" s="1" t="str">
        <f>LOOKUP(B1896,Sheet2!$D$4:$E$9)</f>
        <v>3-4</v>
      </c>
      <c r="D1896" s="1">
        <v>129</v>
      </c>
      <c r="E1896" t="str">
        <f>LOOKUP(D1896,Sheet2!$G$4:$H$9)</f>
        <v>126-150</v>
      </c>
      <c r="F1896" s="1">
        <v>86</v>
      </c>
      <c r="G1896" t="str">
        <f>LOOKUP(F1896,Sheet2!$J$4:$K$8)</f>
        <v>80+</v>
      </c>
      <c r="H1896" s="1">
        <v>20</v>
      </c>
      <c r="I1896" t="str">
        <f>LOOKUP(H1896,Sheet2!$M$4:$N$8)</f>
        <v>10-30</v>
      </c>
      <c r="J1896" s="1">
        <v>270</v>
      </c>
      <c r="K1896" t="str">
        <f>LOOKUP(J1896,Sheet2!$P$4:$Q$9)</f>
        <v>200-399</v>
      </c>
      <c r="L1896" s="1">
        <v>35.1</v>
      </c>
      <c r="M1896" t="str">
        <f>LOOKUP(L1896,Sheet2!$S$4:$T$8)</f>
        <v>31-35</v>
      </c>
      <c r="N1896" s="1">
        <v>0.23100000000000001</v>
      </c>
      <c r="O1896" t="str">
        <f>LOOKUP(N1896,Sheet2!$V$4:$W$7)</f>
        <v>0.0 - 0.249</v>
      </c>
      <c r="P1896" s="1">
        <v>23</v>
      </c>
      <c r="Q1896" t="str">
        <f>LOOKUP(P1896,Sheet2!$Z$4:$AA$7)</f>
        <v>&lt;=25</v>
      </c>
      <c r="R1896" s="1">
        <v>0</v>
      </c>
      <c r="S1896" t="str">
        <f>IF(R1896=1,"Positive","Negative")</f>
        <v>Negative</v>
      </c>
      <c r="T1896" s="1" t="str">
        <f>IFERROR(VLOOKUP(A1896,[1]diabetes_Recognition!$A:$B,2,FALSE),"Not Sampled")</f>
        <v>Not Sampled</v>
      </c>
      <c r="U1896" t="str">
        <f>IF(T1896=1,"Positive",(IF(T1896=0,"Negative","Not Sampled")))</f>
        <v>Not Sampled</v>
      </c>
      <c r="V1896" s="1" t="str">
        <f>IF(U1896="Not Sampled","Not Sampled",IF(S1896=U1896,"Accurate Prediction","Inaccurate Prediction"))</f>
        <v>Not Sampled</v>
      </c>
    </row>
    <row r="1897" spans="1:22" x14ac:dyDescent="0.25">
      <c r="A1897" s="1">
        <v>1895</v>
      </c>
      <c r="B1897" s="1">
        <v>1</v>
      </c>
      <c r="C1897" s="1">
        <f>LOOKUP(B1897,Sheet2!$D$4:$E$9)</f>
        <v>1</v>
      </c>
      <c r="D1897" s="1">
        <v>79</v>
      </c>
      <c r="E1897" t="str">
        <f>LOOKUP(D1897,Sheet2!$G$4:$H$9)</f>
        <v>1-99</v>
      </c>
      <c r="F1897" s="1">
        <v>75</v>
      </c>
      <c r="G1897" t="str">
        <f>LOOKUP(F1897,Sheet2!$J$4:$K$8)</f>
        <v>70-79</v>
      </c>
      <c r="H1897" s="1">
        <v>30</v>
      </c>
      <c r="I1897" t="str">
        <f>LOOKUP(H1897,Sheet2!$M$4:$N$8)</f>
        <v>30-39</v>
      </c>
      <c r="J1897" s="1">
        <v>0</v>
      </c>
      <c r="K1897" t="str">
        <f>LOOKUP(J1897,Sheet2!$P$4:$Q$9)</f>
        <v>Unknown</v>
      </c>
      <c r="L1897" s="1">
        <v>32</v>
      </c>
      <c r="M1897" t="str">
        <f>LOOKUP(L1897,Sheet2!$S$4:$T$8)</f>
        <v>31-35</v>
      </c>
      <c r="N1897" s="1">
        <v>0.39600000000000002</v>
      </c>
      <c r="O1897" t="str">
        <f>LOOKUP(N1897,Sheet2!$V$4:$W$7)</f>
        <v>0.25 - 0.39</v>
      </c>
      <c r="P1897" s="1">
        <v>22</v>
      </c>
      <c r="Q1897" t="str">
        <f>LOOKUP(P1897,Sheet2!$Z$4:$AA$7)</f>
        <v>&lt;=25</v>
      </c>
      <c r="R1897" s="1">
        <v>0</v>
      </c>
      <c r="S1897" t="str">
        <f>IF(R1897=1,"Positive","Negative")</f>
        <v>Negative</v>
      </c>
      <c r="T1897" s="1" t="str">
        <f>IFERROR(VLOOKUP(A1897,[1]diabetes_Recognition!$A:$B,2,FALSE),"Not Sampled")</f>
        <v>Not Sampled</v>
      </c>
      <c r="U1897" t="str">
        <f>IF(T1897=1,"Positive",(IF(T1897=0,"Negative","Not Sampled")))</f>
        <v>Not Sampled</v>
      </c>
      <c r="V1897" s="1" t="str">
        <f>IF(U1897="Not Sampled","Not Sampled",IF(S1897=U1897,"Accurate Prediction","Inaccurate Prediction"))</f>
        <v>Not Sampled</v>
      </c>
    </row>
    <row r="1898" spans="1:22" x14ac:dyDescent="0.25">
      <c r="A1898" s="1">
        <v>1896</v>
      </c>
      <c r="B1898" s="1">
        <v>1</v>
      </c>
      <c r="C1898" s="1">
        <f>LOOKUP(B1898,Sheet2!$D$4:$E$9)</f>
        <v>1</v>
      </c>
      <c r="D1898" s="1">
        <v>0</v>
      </c>
      <c r="E1898" t="str">
        <f>LOOKUP(D1898,Sheet2!$G$4:$H$9)</f>
        <v>Unknown</v>
      </c>
      <c r="F1898" s="1">
        <v>48</v>
      </c>
      <c r="G1898" t="str">
        <f>LOOKUP(F1898,Sheet2!$J$4:$K$8)</f>
        <v>1-59</v>
      </c>
      <c r="H1898" s="1">
        <v>20</v>
      </c>
      <c r="I1898" t="str">
        <f>LOOKUP(H1898,Sheet2!$M$4:$N$8)</f>
        <v>10-30</v>
      </c>
      <c r="J1898" s="1">
        <v>0</v>
      </c>
      <c r="K1898" t="str">
        <f>LOOKUP(J1898,Sheet2!$P$4:$Q$9)</f>
        <v>Unknown</v>
      </c>
      <c r="L1898" s="1">
        <v>24.7</v>
      </c>
      <c r="M1898" t="str">
        <f>LOOKUP(L1898,Sheet2!$S$4:$T$8)</f>
        <v>1-25</v>
      </c>
      <c r="N1898" s="1">
        <v>0.14000000000000001</v>
      </c>
      <c r="O1898" t="str">
        <f>LOOKUP(N1898,Sheet2!$V$4:$W$7)</f>
        <v>0.0 - 0.249</v>
      </c>
      <c r="P1898" s="1">
        <v>22</v>
      </c>
      <c r="Q1898" t="str">
        <f>LOOKUP(P1898,Sheet2!$Z$4:$AA$7)</f>
        <v>&lt;=25</v>
      </c>
      <c r="R1898" s="1">
        <v>0</v>
      </c>
      <c r="S1898" t="str">
        <f>IF(R1898=1,"Positive","Negative")</f>
        <v>Negative</v>
      </c>
      <c r="T1898" s="1" t="str">
        <f>IFERROR(VLOOKUP(A1898,[1]diabetes_Recognition!$A:$B,2,FALSE),"Not Sampled")</f>
        <v>Not Sampled</v>
      </c>
      <c r="U1898" t="str">
        <f>IF(T1898=1,"Positive",(IF(T1898=0,"Negative","Not Sampled")))</f>
        <v>Not Sampled</v>
      </c>
      <c r="V1898" s="1" t="str">
        <f>IF(U1898="Not Sampled","Not Sampled",IF(S1898=U1898,"Accurate Prediction","Inaccurate Prediction"))</f>
        <v>Not Sampled</v>
      </c>
    </row>
    <row r="1899" spans="1:22" x14ac:dyDescent="0.25">
      <c r="A1899" s="1">
        <v>1897</v>
      </c>
      <c r="B1899" s="1">
        <v>7</v>
      </c>
      <c r="C1899" s="1" t="str">
        <f>LOOKUP(B1899,Sheet2!$D$4:$E$9)</f>
        <v>5-7</v>
      </c>
      <c r="D1899" s="1">
        <v>62</v>
      </c>
      <c r="E1899" t="str">
        <f>LOOKUP(D1899,Sheet2!$G$4:$H$9)</f>
        <v>1-99</v>
      </c>
      <c r="F1899" s="1">
        <v>78</v>
      </c>
      <c r="G1899" t="str">
        <f>LOOKUP(F1899,Sheet2!$J$4:$K$8)</f>
        <v>70-79</v>
      </c>
      <c r="H1899" s="1">
        <v>0</v>
      </c>
      <c r="I1899" t="str">
        <f>LOOKUP(H1899,Sheet2!$M$4:$N$8)</f>
        <v>Unknown</v>
      </c>
      <c r="J1899" s="1">
        <v>0</v>
      </c>
      <c r="K1899" t="str">
        <f>LOOKUP(J1899,Sheet2!$P$4:$Q$9)</f>
        <v>Unknown</v>
      </c>
      <c r="L1899" s="1">
        <v>32.6</v>
      </c>
      <c r="M1899" t="str">
        <f>LOOKUP(L1899,Sheet2!$S$4:$T$8)</f>
        <v>31-35</v>
      </c>
      <c r="N1899" s="1">
        <v>0.39100000000000001</v>
      </c>
      <c r="O1899" t="str">
        <f>LOOKUP(N1899,Sheet2!$V$4:$W$7)</f>
        <v>0.25 - 0.39</v>
      </c>
      <c r="P1899" s="1">
        <v>41</v>
      </c>
      <c r="Q1899" t="str">
        <f>LOOKUP(P1899,Sheet2!$Z$4:$AA$7)</f>
        <v>36-45</v>
      </c>
      <c r="R1899" s="1">
        <v>0</v>
      </c>
      <c r="S1899" t="str">
        <f>IF(R1899=1,"Positive","Negative")</f>
        <v>Negative</v>
      </c>
      <c r="T1899" s="1" t="str">
        <f>IFERROR(VLOOKUP(A1899,[1]diabetes_Recognition!$A:$B,2,FALSE),"Not Sampled")</f>
        <v>Not Sampled</v>
      </c>
      <c r="U1899" t="str">
        <f>IF(T1899=1,"Positive",(IF(T1899=0,"Negative","Not Sampled")))</f>
        <v>Not Sampled</v>
      </c>
      <c r="V1899" s="1" t="str">
        <f>IF(U1899="Not Sampled","Not Sampled",IF(S1899=U1899,"Accurate Prediction","Inaccurate Prediction"))</f>
        <v>Not Sampled</v>
      </c>
    </row>
    <row r="1900" spans="1:22" x14ac:dyDescent="0.25">
      <c r="A1900" s="1">
        <v>1898</v>
      </c>
      <c r="B1900" s="1">
        <v>5</v>
      </c>
      <c r="C1900" s="1" t="str">
        <f>LOOKUP(B1900,Sheet2!$D$4:$E$9)</f>
        <v>5-7</v>
      </c>
      <c r="D1900" s="1">
        <v>95</v>
      </c>
      <c r="E1900" t="str">
        <f>LOOKUP(D1900,Sheet2!$G$4:$H$9)</f>
        <v>1-99</v>
      </c>
      <c r="F1900" s="1">
        <v>72</v>
      </c>
      <c r="G1900" t="str">
        <f>LOOKUP(F1900,Sheet2!$J$4:$K$8)</f>
        <v>70-79</v>
      </c>
      <c r="H1900" s="1">
        <v>33</v>
      </c>
      <c r="I1900" t="str">
        <f>LOOKUP(H1900,Sheet2!$M$4:$N$8)</f>
        <v>30-39</v>
      </c>
      <c r="J1900" s="1">
        <v>0</v>
      </c>
      <c r="K1900" t="str">
        <f>LOOKUP(J1900,Sheet2!$P$4:$Q$9)</f>
        <v>Unknown</v>
      </c>
      <c r="L1900" s="1">
        <v>37.700000000000003</v>
      </c>
      <c r="M1900" t="str">
        <f>LOOKUP(L1900,Sheet2!$S$4:$T$8)</f>
        <v>36+</v>
      </c>
      <c r="N1900" s="1">
        <v>0.37</v>
      </c>
      <c r="O1900" t="str">
        <f>LOOKUP(N1900,Sheet2!$V$4:$W$7)</f>
        <v>0.25 - 0.39</v>
      </c>
      <c r="P1900" s="1">
        <v>27</v>
      </c>
      <c r="Q1900" t="str">
        <f>LOOKUP(P1900,Sheet2!$Z$4:$AA$7)</f>
        <v>26-35</v>
      </c>
      <c r="R1900" s="1">
        <v>0</v>
      </c>
      <c r="S1900" t="str">
        <f>IF(R1900=1,"Positive","Negative")</f>
        <v>Negative</v>
      </c>
      <c r="T1900" s="1">
        <f>IFERROR(VLOOKUP(A1900,[1]diabetes_Recognition!$A:$B,2,FALSE),"Not Sampled")</f>
        <v>0</v>
      </c>
      <c r="U1900" t="str">
        <f>IF(T1900=1,"Positive",(IF(T1900=0,"Negative","Not Sampled")))</f>
        <v>Negative</v>
      </c>
      <c r="V1900" s="1" t="str">
        <f>IF(U1900="Not Sampled","Not Sampled",IF(S1900=U1900,"Accurate Prediction","Inaccurate Prediction"))</f>
        <v>Accurate Prediction</v>
      </c>
    </row>
    <row r="1901" spans="1:22" x14ac:dyDescent="0.25">
      <c r="A1901" s="1">
        <v>1899</v>
      </c>
      <c r="B1901" s="1">
        <v>0</v>
      </c>
      <c r="C1901" s="1">
        <f>LOOKUP(B1901,Sheet2!$D$4:$E$9)</f>
        <v>0</v>
      </c>
      <c r="D1901" s="1">
        <v>131</v>
      </c>
      <c r="E1901" t="str">
        <f>LOOKUP(D1901,Sheet2!$G$4:$H$9)</f>
        <v>126-150</v>
      </c>
      <c r="F1901" s="1">
        <v>0</v>
      </c>
      <c r="G1901" t="str">
        <f>LOOKUP(F1901,Sheet2!$J$4:$K$8)</f>
        <v>Unknown</v>
      </c>
      <c r="H1901" s="1">
        <v>0</v>
      </c>
      <c r="I1901" t="str">
        <f>LOOKUP(H1901,Sheet2!$M$4:$N$8)</f>
        <v>Unknown</v>
      </c>
      <c r="J1901" s="1">
        <v>0</v>
      </c>
      <c r="K1901" t="str">
        <f>LOOKUP(J1901,Sheet2!$P$4:$Q$9)</f>
        <v>Unknown</v>
      </c>
      <c r="L1901" s="1">
        <v>43.2</v>
      </c>
      <c r="M1901" t="str">
        <f>LOOKUP(L1901,Sheet2!$S$4:$T$8)</f>
        <v>36+</v>
      </c>
      <c r="N1901" s="1">
        <v>0.27</v>
      </c>
      <c r="O1901" t="str">
        <f>LOOKUP(N1901,Sheet2!$V$4:$W$7)</f>
        <v>0.25 - 0.39</v>
      </c>
      <c r="P1901" s="1">
        <v>26</v>
      </c>
      <c r="Q1901" t="str">
        <f>LOOKUP(P1901,Sheet2!$Z$4:$AA$7)</f>
        <v>26-35</v>
      </c>
      <c r="R1901" s="1">
        <v>1</v>
      </c>
      <c r="S1901" t="str">
        <f>IF(R1901=1,"Positive","Negative")</f>
        <v>Positive</v>
      </c>
      <c r="T1901" s="1">
        <f>IFERROR(VLOOKUP(A1901,[1]diabetes_Recognition!$A:$B,2,FALSE),"Not Sampled")</f>
        <v>1</v>
      </c>
      <c r="U1901" t="str">
        <f>IF(T1901=1,"Positive",(IF(T1901=0,"Negative","Not Sampled")))</f>
        <v>Positive</v>
      </c>
      <c r="V1901" s="1" t="str">
        <f>IF(U1901="Not Sampled","Not Sampled",IF(S1901=U1901,"Accurate Prediction","Inaccurate Prediction"))</f>
        <v>Accurate Prediction</v>
      </c>
    </row>
    <row r="1902" spans="1:22" x14ac:dyDescent="0.25">
      <c r="A1902" s="1">
        <v>1900</v>
      </c>
      <c r="B1902" s="1">
        <v>2</v>
      </c>
      <c r="C1902" s="1">
        <f>LOOKUP(B1902,Sheet2!$D$4:$E$9)</f>
        <v>2</v>
      </c>
      <c r="D1902" s="1">
        <v>112</v>
      </c>
      <c r="E1902" t="str">
        <f>LOOKUP(D1902,Sheet2!$G$4:$H$9)</f>
        <v>100-125</v>
      </c>
      <c r="F1902" s="1">
        <v>66</v>
      </c>
      <c r="G1902" t="str">
        <f>LOOKUP(F1902,Sheet2!$J$4:$K$8)</f>
        <v>60-69</v>
      </c>
      <c r="H1902" s="1">
        <v>22</v>
      </c>
      <c r="I1902" t="str">
        <f>LOOKUP(H1902,Sheet2!$M$4:$N$8)</f>
        <v>10-30</v>
      </c>
      <c r="J1902" s="1">
        <v>0</v>
      </c>
      <c r="K1902" t="str">
        <f>LOOKUP(J1902,Sheet2!$P$4:$Q$9)</f>
        <v>Unknown</v>
      </c>
      <c r="L1902" s="1">
        <v>25</v>
      </c>
      <c r="M1902" t="str">
        <f>LOOKUP(L1902,Sheet2!$S$4:$T$8)</f>
        <v>1-25</v>
      </c>
      <c r="N1902" s="1">
        <v>0.307</v>
      </c>
      <c r="O1902" t="str">
        <f>LOOKUP(N1902,Sheet2!$V$4:$W$7)</f>
        <v>0.25 - 0.39</v>
      </c>
      <c r="P1902" s="1">
        <v>24</v>
      </c>
      <c r="Q1902" t="str">
        <f>LOOKUP(P1902,Sheet2!$Z$4:$AA$7)</f>
        <v>&lt;=25</v>
      </c>
      <c r="R1902" s="1">
        <v>0</v>
      </c>
      <c r="S1902" t="str">
        <f>IF(R1902=1,"Positive","Negative")</f>
        <v>Negative</v>
      </c>
      <c r="T1902" s="1" t="str">
        <f>IFERROR(VLOOKUP(A1902,[1]diabetes_Recognition!$A:$B,2,FALSE),"Not Sampled")</f>
        <v>Not Sampled</v>
      </c>
      <c r="U1902" t="str">
        <f>IF(T1902=1,"Positive",(IF(T1902=0,"Negative","Not Sampled")))</f>
        <v>Not Sampled</v>
      </c>
      <c r="V1902" s="1" t="str">
        <f>IF(U1902="Not Sampled","Not Sampled",IF(S1902=U1902,"Accurate Prediction","Inaccurate Prediction"))</f>
        <v>Not Sampled</v>
      </c>
    </row>
    <row r="1903" spans="1:22" x14ac:dyDescent="0.25">
      <c r="A1903" s="1">
        <v>1901</v>
      </c>
      <c r="B1903" s="1">
        <v>3</v>
      </c>
      <c r="C1903" s="1" t="str">
        <f>LOOKUP(B1903,Sheet2!$D$4:$E$9)</f>
        <v>3-4</v>
      </c>
      <c r="D1903" s="1">
        <v>113</v>
      </c>
      <c r="E1903" t="str">
        <f>LOOKUP(D1903,Sheet2!$G$4:$H$9)</f>
        <v>100-125</v>
      </c>
      <c r="F1903" s="1">
        <v>44</v>
      </c>
      <c r="G1903" t="str">
        <f>LOOKUP(F1903,Sheet2!$J$4:$K$8)</f>
        <v>1-59</v>
      </c>
      <c r="H1903" s="1">
        <v>13</v>
      </c>
      <c r="I1903" t="str">
        <f>LOOKUP(H1903,Sheet2!$M$4:$N$8)</f>
        <v>10-30</v>
      </c>
      <c r="J1903" s="1">
        <v>0</v>
      </c>
      <c r="K1903" t="str">
        <f>LOOKUP(J1903,Sheet2!$P$4:$Q$9)</f>
        <v>Unknown</v>
      </c>
      <c r="L1903" s="1">
        <v>22.4</v>
      </c>
      <c r="M1903" t="str">
        <f>LOOKUP(L1903,Sheet2!$S$4:$T$8)</f>
        <v>1-25</v>
      </c>
      <c r="N1903" s="1">
        <v>0.14000000000000001</v>
      </c>
      <c r="O1903" t="str">
        <f>LOOKUP(N1903,Sheet2!$V$4:$W$7)</f>
        <v>0.0 - 0.249</v>
      </c>
      <c r="P1903" s="1">
        <v>22</v>
      </c>
      <c r="Q1903" t="str">
        <f>LOOKUP(P1903,Sheet2!$Z$4:$AA$7)</f>
        <v>&lt;=25</v>
      </c>
      <c r="R1903" s="1">
        <v>0</v>
      </c>
      <c r="S1903" t="str">
        <f>IF(R1903=1,"Positive","Negative")</f>
        <v>Negative</v>
      </c>
      <c r="T1903" s="1" t="str">
        <f>IFERROR(VLOOKUP(A1903,[1]diabetes_Recognition!$A:$B,2,FALSE),"Not Sampled")</f>
        <v>Not Sampled</v>
      </c>
      <c r="U1903" t="str">
        <f>IF(T1903=1,"Positive",(IF(T1903=0,"Negative","Not Sampled")))</f>
        <v>Not Sampled</v>
      </c>
      <c r="V1903" s="1" t="str">
        <f>IF(U1903="Not Sampled","Not Sampled",IF(S1903=U1903,"Accurate Prediction","Inaccurate Prediction"))</f>
        <v>Not Sampled</v>
      </c>
    </row>
    <row r="1904" spans="1:22" x14ac:dyDescent="0.25">
      <c r="A1904" s="1">
        <v>1902</v>
      </c>
      <c r="B1904" s="1">
        <v>2</v>
      </c>
      <c r="C1904" s="1">
        <f>LOOKUP(B1904,Sheet2!$D$4:$E$9)</f>
        <v>2</v>
      </c>
      <c r="D1904" s="1">
        <v>74</v>
      </c>
      <c r="E1904" t="str">
        <f>LOOKUP(D1904,Sheet2!$G$4:$H$9)</f>
        <v>1-99</v>
      </c>
      <c r="F1904" s="1">
        <v>0</v>
      </c>
      <c r="G1904" t="str">
        <f>LOOKUP(F1904,Sheet2!$J$4:$K$8)</f>
        <v>Unknown</v>
      </c>
      <c r="H1904" s="1">
        <v>0</v>
      </c>
      <c r="I1904" t="str">
        <f>LOOKUP(H1904,Sheet2!$M$4:$N$8)</f>
        <v>Unknown</v>
      </c>
      <c r="J1904" s="1">
        <v>0</v>
      </c>
      <c r="K1904" t="str">
        <f>LOOKUP(J1904,Sheet2!$P$4:$Q$9)</f>
        <v>Unknown</v>
      </c>
      <c r="L1904" s="1">
        <v>0</v>
      </c>
      <c r="M1904" t="str">
        <f>LOOKUP(L1904,Sheet2!$S$4:$T$8)</f>
        <v>Unknown</v>
      </c>
      <c r="N1904" s="1">
        <v>0.10199999999999999</v>
      </c>
      <c r="O1904" t="str">
        <f>LOOKUP(N1904,Sheet2!$V$4:$W$7)</f>
        <v>0.0 - 0.249</v>
      </c>
      <c r="P1904" s="1">
        <v>22</v>
      </c>
      <c r="Q1904" t="str">
        <f>LOOKUP(P1904,Sheet2!$Z$4:$AA$7)</f>
        <v>&lt;=25</v>
      </c>
      <c r="R1904" s="1">
        <v>0</v>
      </c>
      <c r="S1904" t="str">
        <f>IF(R1904=1,"Positive","Negative")</f>
        <v>Negative</v>
      </c>
      <c r="T1904" s="1" t="str">
        <f>IFERROR(VLOOKUP(A1904,[1]diabetes_Recognition!$A:$B,2,FALSE),"Not Sampled")</f>
        <v>Not Sampled</v>
      </c>
      <c r="U1904" t="str">
        <f>IF(T1904=1,"Positive",(IF(T1904=0,"Negative","Not Sampled")))</f>
        <v>Not Sampled</v>
      </c>
      <c r="V1904" s="1" t="str">
        <f>IF(U1904="Not Sampled","Not Sampled",IF(S1904=U1904,"Accurate Prediction","Inaccurate Prediction"))</f>
        <v>Not Sampled</v>
      </c>
    </row>
    <row r="1905" spans="1:22" x14ac:dyDescent="0.25">
      <c r="A1905" s="1">
        <v>1903</v>
      </c>
      <c r="B1905" s="1">
        <v>7</v>
      </c>
      <c r="C1905" s="1" t="str">
        <f>LOOKUP(B1905,Sheet2!$D$4:$E$9)</f>
        <v>5-7</v>
      </c>
      <c r="D1905" s="1">
        <v>83</v>
      </c>
      <c r="E1905" t="str">
        <f>LOOKUP(D1905,Sheet2!$G$4:$H$9)</f>
        <v>1-99</v>
      </c>
      <c r="F1905" s="1">
        <v>78</v>
      </c>
      <c r="G1905" t="str">
        <f>LOOKUP(F1905,Sheet2!$J$4:$K$8)</f>
        <v>70-79</v>
      </c>
      <c r="H1905" s="1">
        <v>26</v>
      </c>
      <c r="I1905" t="str">
        <f>LOOKUP(H1905,Sheet2!$M$4:$N$8)</f>
        <v>10-30</v>
      </c>
      <c r="J1905" s="1">
        <v>71</v>
      </c>
      <c r="K1905" t="str">
        <f>LOOKUP(J1905,Sheet2!$P$4:$Q$9)</f>
        <v>1-99</v>
      </c>
      <c r="L1905" s="1">
        <v>29.3</v>
      </c>
      <c r="M1905" t="str">
        <f>LOOKUP(L1905,Sheet2!$S$4:$T$8)</f>
        <v>26-30</v>
      </c>
      <c r="N1905" s="1">
        <v>0.76700000000000002</v>
      </c>
      <c r="O1905" t="str">
        <f>LOOKUP(N1905,Sheet2!$V$4:$W$7)</f>
        <v>0.7+</v>
      </c>
      <c r="P1905" s="1">
        <v>36</v>
      </c>
      <c r="Q1905" t="str">
        <f>LOOKUP(P1905,Sheet2!$Z$4:$AA$7)</f>
        <v>36-45</v>
      </c>
      <c r="R1905" s="1">
        <v>0</v>
      </c>
      <c r="S1905" t="str">
        <f>IF(R1905=1,"Positive","Negative")</f>
        <v>Negative</v>
      </c>
      <c r="T1905" s="1" t="str">
        <f>IFERROR(VLOOKUP(A1905,[1]diabetes_Recognition!$A:$B,2,FALSE),"Not Sampled")</f>
        <v>Not Sampled</v>
      </c>
      <c r="U1905" t="str">
        <f>IF(T1905=1,"Positive",(IF(T1905=0,"Negative","Not Sampled")))</f>
        <v>Not Sampled</v>
      </c>
      <c r="V1905" s="1" t="str">
        <f>IF(U1905="Not Sampled","Not Sampled",IF(S1905=U1905,"Accurate Prediction","Inaccurate Prediction"))</f>
        <v>Not Sampled</v>
      </c>
    </row>
    <row r="1906" spans="1:22" x14ac:dyDescent="0.25">
      <c r="A1906" s="1">
        <v>1904</v>
      </c>
      <c r="B1906" s="1">
        <v>0</v>
      </c>
      <c r="C1906" s="1">
        <f>LOOKUP(B1906,Sheet2!$D$4:$E$9)</f>
        <v>0</v>
      </c>
      <c r="D1906" s="1">
        <v>101</v>
      </c>
      <c r="E1906" t="str">
        <f>LOOKUP(D1906,Sheet2!$G$4:$H$9)</f>
        <v>100-125</v>
      </c>
      <c r="F1906" s="1">
        <v>65</v>
      </c>
      <c r="G1906" t="str">
        <f>LOOKUP(F1906,Sheet2!$J$4:$K$8)</f>
        <v>60-69</v>
      </c>
      <c r="H1906" s="1">
        <v>28</v>
      </c>
      <c r="I1906" t="str">
        <f>LOOKUP(H1906,Sheet2!$M$4:$N$8)</f>
        <v>10-30</v>
      </c>
      <c r="J1906" s="1">
        <v>0</v>
      </c>
      <c r="K1906" t="str">
        <f>LOOKUP(J1906,Sheet2!$P$4:$Q$9)</f>
        <v>Unknown</v>
      </c>
      <c r="L1906" s="1">
        <v>24.6</v>
      </c>
      <c r="M1906" t="str">
        <f>LOOKUP(L1906,Sheet2!$S$4:$T$8)</f>
        <v>1-25</v>
      </c>
      <c r="N1906" s="1">
        <v>0.23699999999999999</v>
      </c>
      <c r="O1906" t="str">
        <f>LOOKUP(N1906,Sheet2!$V$4:$W$7)</f>
        <v>0.0 - 0.249</v>
      </c>
      <c r="P1906" s="1">
        <v>22</v>
      </c>
      <c r="Q1906" t="str">
        <f>LOOKUP(P1906,Sheet2!$Z$4:$AA$7)</f>
        <v>&lt;=25</v>
      </c>
      <c r="R1906" s="1">
        <v>0</v>
      </c>
      <c r="S1906" t="str">
        <f>IF(R1906=1,"Positive","Negative")</f>
        <v>Negative</v>
      </c>
      <c r="T1906" s="1">
        <f>IFERROR(VLOOKUP(A1906,[1]diabetes_Recognition!$A:$B,2,FALSE),"Not Sampled")</f>
        <v>0</v>
      </c>
      <c r="U1906" t="str">
        <f>IF(T1906=1,"Positive",(IF(T1906=0,"Negative","Not Sampled")))</f>
        <v>Negative</v>
      </c>
      <c r="V1906" s="1" t="str">
        <f>IF(U1906="Not Sampled","Not Sampled",IF(S1906=U1906,"Accurate Prediction","Inaccurate Prediction"))</f>
        <v>Accurate Prediction</v>
      </c>
    </row>
    <row r="1907" spans="1:22" x14ac:dyDescent="0.25">
      <c r="A1907" s="1">
        <v>1905</v>
      </c>
      <c r="B1907" s="1">
        <v>5</v>
      </c>
      <c r="C1907" s="1" t="str">
        <f>LOOKUP(B1907,Sheet2!$D$4:$E$9)</f>
        <v>5-7</v>
      </c>
      <c r="D1907" s="1">
        <v>137</v>
      </c>
      <c r="E1907" t="str">
        <f>LOOKUP(D1907,Sheet2!$G$4:$H$9)</f>
        <v>126-150</v>
      </c>
      <c r="F1907" s="1">
        <v>108</v>
      </c>
      <c r="G1907" t="str">
        <f>LOOKUP(F1907,Sheet2!$J$4:$K$8)</f>
        <v>80+</v>
      </c>
      <c r="H1907" s="1">
        <v>0</v>
      </c>
      <c r="I1907" t="str">
        <f>LOOKUP(H1907,Sheet2!$M$4:$N$8)</f>
        <v>Unknown</v>
      </c>
      <c r="J1907" s="1">
        <v>0</v>
      </c>
      <c r="K1907" t="str">
        <f>LOOKUP(J1907,Sheet2!$P$4:$Q$9)</f>
        <v>Unknown</v>
      </c>
      <c r="L1907" s="1">
        <v>48.8</v>
      </c>
      <c r="M1907" t="str">
        <f>LOOKUP(L1907,Sheet2!$S$4:$T$8)</f>
        <v>36+</v>
      </c>
      <c r="N1907" s="1">
        <v>0.22700000000000001</v>
      </c>
      <c r="O1907" t="str">
        <f>LOOKUP(N1907,Sheet2!$V$4:$W$7)</f>
        <v>0.0 - 0.249</v>
      </c>
      <c r="P1907" s="1">
        <v>37</v>
      </c>
      <c r="Q1907" t="str">
        <f>LOOKUP(P1907,Sheet2!$Z$4:$AA$7)</f>
        <v>36-45</v>
      </c>
      <c r="R1907" s="1">
        <v>1</v>
      </c>
      <c r="S1907" t="str">
        <f>IF(R1907=1,"Positive","Negative")</f>
        <v>Positive</v>
      </c>
      <c r="T1907" s="1" t="str">
        <f>IFERROR(VLOOKUP(A1907,[1]diabetes_Recognition!$A:$B,2,FALSE),"Not Sampled")</f>
        <v>Not Sampled</v>
      </c>
      <c r="U1907" t="str">
        <f>IF(T1907=1,"Positive",(IF(T1907=0,"Negative","Not Sampled")))</f>
        <v>Not Sampled</v>
      </c>
      <c r="V1907" s="1" t="str">
        <f>IF(U1907="Not Sampled","Not Sampled",IF(S1907=U1907,"Accurate Prediction","Inaccurate Prediction"))</f>
        <v>Not Sampled</v>
      </c>
    </row>
    <row r="1908" spans="1:22" x14ac:dyDescent="0.25">
      <c r="A1908" s="1">
        <v>1906</v>
      </c>
      <c r="B1908" s="1">
        <v>2</v>
      </c>
      <c r="C1908" s="1">
        <f>LOOKUP(B1908,Sheet2!$D$4:$E$9)</f>
        <v>2</v>
      </c>
      <c r="D1908" s="1">
        <v>110</v>
      </c>
      <c r="E1908" t="str">
        <f>LOOKUP(D1908,Sheet2!$G$4:$H$9)</f>
        <v>100-125</v>
      </c>
      <c r="F1908" s="1">
        <v>74</v>
      </c>
      <c r="G1908" t="str">
        <f>LOOKUP(F1908,Sheet2!$J$4:$K$8)</f>
        <v>70-79</v>
      </c>
      <c r="H1908" s="1">
        <v>29</v>
      </c>
      <c r="I1908" t="str">
        <f>LOOKUP(H1908,Sheet2!$M$4:$N$8)</f>
        <v>10-30</v>
      </c>
      <c r="J1908" s="1">
        <v>125</v>
      </c>
      <c r="K1908" t="str">
        <f>LOOKUP(J1908,Sheet2!$P$4:$Q$9)</f>
        <v>100-199</v>
      </c>
      <c r="L1908" s="1">
        <v>32.4</v>
      </c>
      <c r="M1908" t="str">
        <f>LOOKUP(L1908,Sheet2!$S$4:$T$8)</f>
        <v>31-35</v>
      </c>
      <c r="N1908" s="1">
        <v>0.69799999999999995</v>
      </c>
      <c r="O1908" t="str">
        <f>LOOKUP(N1908,Sheet2!$V$4:$W$7)</f>
        <v>0.4 - 0.69</v>
      </c>
      <c r="P1908" s="1">
        <v>27</v>
      </c>
      <c r="Q1908" t="str">
        <f>LOOKUP(P1908,Sheet2!$Z$4:$AA$7)</f>
        <v>26-35</v>
      </c>
      <c r="R1908" s="1">
        <v>0</v>
      </c>
      <c r="S1908" t="str">
        <f>IF(R1908=1,"Positive","Negative")</f>
        <v>Negative</v>
      </c>
      <c r="T1908" s="1" t="str">
        <f>IFERROR(VLOOKUP(A1908,[1]diabetes_Recognition!$A:$B,2,FALSE),"Not Sampled")</f>
        <v>Not Sampled</v>
      </c>
      <c r="U1908" t="str">
        <f>IF(T1908=1,"Positive",(IF(T1908=0,"Negative","Not Sampled")))</f>
        <v>Not Sampled</v>
      </c>
      <c r="V1908" s="1" t="str">
        <f>IF(U1908="Not Sampled","Not Sampled",IF(S1908=U1908,"Accurate Prediction","Inaccurate Prediction"))</f>
        <v>Not Sampled</v>
      </c>
    </row>
    <row r="1909" spans="1:22" x14ac:dyDescent="0.25">
      <c r="A1909" s="1">
        <v>1907</v>
      </c>
      <c r="B1909" s="1">
        <v>13</v>
      </c>
      <c r="C1909" s="1" t="str">
        <f>LOOKUP(B1909,Sheet2!$D$4:$E$9)</f>
        <v>8+</v>
      </c>
      <c r="D1909" s="1">
        <v>106</v>
      </c>
      <c r="E1909" t="str">
        <f>LOOKUP(D1909,Sheet2!$G$4:$H$9)</f>
        <v>100-125</v>
      </c>
      <c r="F1909" s="1">
        <v>72</v>
      </c>
      <c r="G1909" t="str">
        <f>LOOKUP(F1909,Sheet2!$J$4:$K$8)</f>
        <v>70-79</v>
      </c>
      <c r="H1909" s="1">
        <v>54</v>
      </c>
      <c r="I1909" t="str">
        <f>LOOKUP(H1909,Sheet2!$M$4:$N$8)</f>
        <v>40+</v>
      </c>
      <c r="J1909" s="1">
        <v>0</v>
      </c>
      <c r="K1909" t="str">
        <f>LOOKUP(J1909,Sheet2!$P$4:$Q$9)</f>
        <v>Unknown</v>
      </c>
      <c r="L1909" s="1">
        <v>36.6</v>
      </c>
      <c r="M1909" t="str">
        <f>LOOKUP(L1909,Sheet2!$S$4:$T$8)</f>
        <v>36+</v>
      </c>
      <c r="N1909" s="1">
        <v>0.17799999999999999</v>
      </c>
      <c r="O1909" t="str">
        <f>LOOKUP(N1909,Sheet2!$V$4:$W$7)</f>
        <v>0.0 - 0.249</v>
      </c>
      <c r="P1909" s="1">
        <v>45</v>
      </c>
      <c r="Q1909" t="str">
        <f>LOOKUP(P1909,Sheet2!$Z$4:$AA$7)</f>
        <v>36-45</v>
      </c>
      <c r="R1909" s="1">
        <v>0</v>
      </c>
      <c r="S1909" t="str">
        <f>IF(R1909=1,"Positive","Negative")</f>
        <v>Negative</v>
      </c>
      <c r="T1909" s="1" t="str">
        <f>IFERROR(VLOOKUP(A1909,[1]diabetes_Recognition!$A:$B,2,FALSE),"Not Sampled")</f>
        <v>Not Sampled</v>
      </c>
      <c r="U1909" t="str">
        <f>IF(T1909=1,"Positive",(IF(T1909=0,"Negative","Not Sampled")))</f>
        <v>Not Sampled</v>
      </c>
      <c r="V1909" s="1" t="str">
        <f>IF(U1909="Not Sampled","Not Sampled",IF(S1909=U1909,"Accurate Prediction","Inaccurate Prediction"))</f>
        <v>Not Sampled</v>
      </c>
    </row>
    <row r="1910" spans="1:22" x14ac:dyDescent="0.25">
      <c r="A1910" s="1">
        <v>1908</v>
      </c>
      <c r="B1910" s="1">
        <v>2</v>
      </c>
      <c r="C1910" s="1">
        <f>LOOKUP(B1910,Sheet2!$D$4:$E$9)</f>
        <v>2</v>
      </c>
      <c r="D1910" s="1">
        <v>100</v>
      </c>
      <c r="E1910" t="str">
        <f>LOOKUP(D1910,Sheet2!$G$4:$H$9)</f>
        <v>100-125</v>
      </c>
      <c r="F1910" s="1">
        <v>68</v>
      </c>
      <c r="G1910" t="str">
        <f>LOOKUP(F1910,Sheet2!$J$4:$K$8)</f>
        <v>60-69</v>
      </c>
      <c r="H1910" s="1">
        <v>25</v>
      </c>
      <c r="I1910" t="str">
        <f>LOOKUP(H1910,Sheet2!$M$4:$N$8)</f>
        <v>10-30</v>
      </c>
      <c r="J1910" s="1">
        <v>71</v>
      </c>
      <c r="K1910" t="str">
        <f>LOOKUP(J1910,Sheet2!$P$4:$Q$9)</f>
        <v>1-99</v>
      </c>
      <c r="L1910" s="1">
        <v>38.5</v>
      </c>
      <c r="M1910" t="str">
        <f>LOOKUP(L1910,Sheet2!$S$4:$T$8)</f>
        <v>36+</v>
      </c>
      <c r="N1910" s="1">
        <v>0.32400000000000001</v>
      </c>
      <c r="O1910" t="str">
        <f>LOOKUP(N1910,Sheet2!$V$4:$W$7)</f>
        <v>0.25 - 0.39</v>
      </c>
      <c r="P1910" s="1">
        <v>26</v>
      </c>
      <c r="Q1910" t="str">
        <f>LOOKUP(P1910,Sheet2!$Z$4:$AA$7)</f>
        <v>26-35</v>
      </c>
      <c r="R1910" s="1">
        <v>0</v>
      </c>
      <c r="S1910" t="str">
        <f>IF(R1910=1,"Positive","Negative")</f>
        <v>Negative</v>
      </c>
      <c r="T1910" s="1" t="str">
        <f>IFERROR(VLOOKUP(A1910,[1]diabetes_Recognition!$A:$B,2,FALSE),"Not Sampled")</f>
        <v>Not Sampled</v>
      </c>
      <c r="U1910" t="str">
        <f>IF(T1910=1,"Positive",(IF(T1910=0,"Negative","Not Sampled")))</f>
        <v>Not Sampled</v>
      </c>
      <c r="V1910" s="1" t="str">
        <f>IF(U1910="Not Sampled","Not Sampled",IF(S1910=U1910,"Accurate Prediction","Inaccurate Prediction"))</f>
        <v>Not Sampled</v>
      </c>
    </row>
    <row r="1911" spans="1:22" x14ac:dyDescent="0.25">
      <c r="A1911" s="1">
        <v>1909</v>
      </c>
      <c r="B1911" s="1">
        <v>15</v>
      </c>
      <c r="C1911" s="1" t="str">
        <f>LOOKUP(B1911,Sheet2!$D$4:$E$9)</f>
        <v>8+</v>
      </c>
      <c r="D1911" s="1">
        <v>136</v>
      </c>
      <c r="E1911" t="str">
        <f>LOOKUP(D1911,Sheet2!$G$4:$H$9)</f>
        <v>126-150</v>
      </c>
      <c r="F1911" s="1">
        <v>70</v>
      </c>
      <c r="G1911" t="str">
        <f>LOOKUP(F1911,Sheet2!$J$4:$K$8)</f>
        <v>70-79</v>
      </c>
      <c r="H1911" s="1">
        <v>32</v>
      </c>
      <c r="I1911" t="str">
        <f>LOOKUP(H1911,Sheet2!$M$4:$N$8)</f>
        <v>30-39</v>
      </c>
      <c r="J1911" s="1">
        <v>110</v>
      </c>
      <c r="K1911" t="str">
        <f>LOOKUP(J1911,Sheet2!$P$4:$Q$9)</f>
        <v>100-199</v>
      </c>
      <c r="L1911" s="1">
        <v>37.1</v>
      </c>
      <c r="M1911" t="str">
        <f>LOOKUP(L1911,Sheet2!$S$4:$T$8)</f>
        <v>36+</v>
      </c>
      <c r="N1911" s="1">
        <v>0.153</v>
      </c>
      <c r="O1911" t="str">
        <f>LOOKUP(N1911,Sheet2!$V$4:$W$7)</f>
        <v>0.0 - 0.249</v>
      </c>
      <c r="P1911" s="1">
        <v>43</v>
      </c>
      <c r="Q1911" t="str">
        <f>LOOKUP(P1911,Sheet2!$Z$4:$AA$7)</f>
        <v>36-45</v>
      </c>
      <c r="R1911" s="1">
        <v>1</v>
      </c>
      <c r="S1911" t="str">
        <f>IF(R1911=1,"Positive","Negative")</f>
        <v>Positive</v>
      </c>
      <c r="T1911" s="1" t="str">
        <f>IFERROR(VLOOKUP(A1911,[1]diabetes_Recognition!$A:$B,2,FALSE),"Not Sampled")</f>
        <v>Not Sampled</v>
      </c>
      <c r="U1911" t="str">
        <f>IF(T1911=1,"Positive",(IF(T1911=0,"Negative","Not Sampled")))</f>
        <v>Not Sampled</v>
      </c>
      <c r="V1911" s="1" t="str">
        <f>IF(U1911="Not Sampled","Not Sampled",IF(S1911=U1911,"Accurate Prediction","Inaccurate Prediction"))</f>
        <v>Not Sampled</v>
      </c>
    </row>
    <row r="1912" spans="1:22" x14ac:dyDescent="0.25">
      <c r="A1912" s="1">
        <v>1910</v>
      </c>
      <c r="B1912" s="1">
        <v>1</v>
      </c>
      <c r="C1912" s="1">
        <f>LOOKUP(B1912,Sheet2!$D$4:$E$9)</f>
        <v>1</v>
      </c>
      <c r="D1912" s="1">
        <v>107</v>
      </c>
      <c r="E1912" t="str">
        <f>LOOKUP(D1912,Sheet2!$G$4:$H$9)</f>
        <v>100-125</v>
      </c>
      <c r="F1912" s="1">
        <v>68</v>
      </c>
      <c r="G1912" t="str">
        <f>LOOKUP(F1912,Sheet2!$J$4:$K$8)</f>
        <v>60-69</v>
      </c>
      <c r="H1912" s="1">
        <v>19</v>
      </c>
      <c r="I1912" t="str">
        <f>LOOKUP(H1912,Sheet2!$M$4:$N$8)</f>
        <v>10-30</v>
      </c>
      <c r="J1912" s="1">
        <v>0</v>
      </c>
      <c r="K1912" t="str">
        <f>LOOKUP(J1912,Sheet2!$P$4:$Q$9)</f>
        <v>Unknown</v>
      </c>
      <c r="L1912" s="1">
        <v>26.5</v>
      </c>
      <c r="M1912" t="str">
        <f>LOOKUP(L1912,Sheet2!$S$4:$T$8)</f>
        <v>26-30</v>
      </c>
      <c r="N1912" s="1">
        <v>0.16500000000000001</v>
      </c>
      <c r="O1912" t="str">
        <f>LOOKUP(N1912,Sheet2!$V$4:$W$7)</f>
        <v>0.0 - 0.249</v>
      </c>
      <c r="P1912" s="1">
        <v>24</v>
      </c>
      <c r="Q1912" t="str">
        <f>LOOKUP(P1912,Sheet2!$Z$4:$AA$7)</f>
        <v>&lt;=25</v>
      </c>
      <c r="R1912" s="1">
        <v>0</v>
      </c>
      <c r="S1912" t="str">
        <f>IF(R1912=1,"Positive","Negative")</f>
        <v>Negative</v>
      </c>
      <c r="T1912" s="1">
        <f>IFERROR(VLOOKUP(A1912,[1]diabetes_Recognition!$A:$B,2,FALSE),"Not Sampled")</f>
        <v>0</v>
      </c>
      <c r="U1912" t="str">
        <f>IF(T1912=1,"Positive",(IF(T1912=0,"Negative","Not Sampled")))</f>
        <v>Negative</v>
      </c>
      <c r="V1912" s="1" t="str">
        <f>IF(U1912="Not Sampled","Not Sampled",IF(S1912=U1912,"Accurate Prediction","Inaccurate Prediction"))</f>
        <v>Accurate Prediction</v>
      </c>
    </row>
    <row r="1913" spans="1:22" x14ac:dyDescent="0.25">
      <c r="A1913" s="1">
        <v>1911</v>
      </c>
      <c r="B1913" s="1">
        <v>1</v>
      </c>
      <c r="C1913" s="1">
        <f>LOOKUP(B1913,Sheet2!$D$4:$E$9)</f>
        <v>1</v>
      </c>
      <c r="D1913" s="1">
        <v>80</v>
      </c>
      <c r="E1913" t="str">
        <f>LOOKUP(D1913,Sheet2!$G$4:$H$9)</f>
        <v>1-99</v>
      </c>
      <c r="F1913" s="1">
        <v>55</v>
      </c>
      <c r="G1913" t="str">
        <f>LOOKUP(F1913,Sheet2!$J$4:$K$8)</f>
        <v>1-59</v>
      </c>
      <c r="H1913" s="1">
        <v>0</v>
      </c>
      <c r="I1913" t="str">
        <f>LOOKUP(H1913,Sheet2!$M$4:$N$8)</f>
        <v>Unknown</v>
      </c>
      <c r="J1913" s="1">
        <v>0</v>
      </c>
      <c r="K1913" t="str">
        <f>LOOKUP(J1913,Sheet2!$P$4:$Q$9)</f>
        <v>Unknown</v>
      </c>
      <c r="L1913" s="1">
        <v>19.100000000000001</v>
      </c>
      <c r="M1913" t="str">
        <f>LOOKUP(L1913,Sheet2!$S$4:$T$8)</f>
        <v>1-25</v>
      </c>
      <c r="N1913" s="1">
        <v>0.25800000000000001</v>
      </c>
      <c r="O1913" t="str">
        <f>LOOKUP(N1913,Sheet2!$V$4:$W$7)</f>
        <v>0.25 - 0.39</v>
      </c>
      <c r="P1913" s="1">
        <v>21</v>
      </c>
      <c r="Q1913" t="str">
        <f>LOOKUP(P1913,Sheet2!$Z$4:$AA$7)</f>
        <v>&lt;=25</v>
      </c>
      <c r="R1913" s="1">
        <v>0</v>
      </c>
      <c r="S1913" t="str">
        <f>IF(R1913=1,"Positive","Negative")</f>
        <v>Negative</v>
      </c>
      <c r="T1913" s="1" t="str">
        <f>IFERROR(VLOOKUP(A1913,[1]diabetes_Recognition!$A:$B,2,FALSE),"Not Sampled")</f>
        <v>Not Sampled</v>
      </c>
      <c r="U1913" t="str">
        <f>IF(T1913=1,"Positive",(IF(T1913=0,"Negative","Not Sampled")))</f>
        <v>Not Sampled</v>
      </c>
      <c r="V1913" s="1" t="str">
        <f>IF(U1913="Not Sampled","Not Sampled",IF(S1913=U1913,"Accurate Prediction","Inaccurate Prediction"))</f>
        <v>Not Sampled</v>
      </c>
    </row>
    <row r="1914" spans="1:22" x14ac:dyDescent="0.25">
      <c r="A1914" s="1">
        <v>1912</v>
      </c>
      <c r="B1914" s="1">
        <v>4</v>
      </c>
      <c r="C1914" s="1" t="str">
        <f>LOOKUP(B1914,Sheet2!$D$4:$E$9)</f>
        <v>3-4</v>
      </c>
      <c r="D1914" s="1">
        <v>123</v>
      </c>
      <c r="E1914" t="str">
        <f>LOOKUP(D1914,Sheet2!$G$4:$H$9)</f>
        <v>100-125</v>
      </c>
      <c r="F1914" s="1">
        <v>80</v>
      </c>
      <c r="G1914" t="str">
        <f>LOOKUP(F1914,Sheet2!$J$4:$K$8)</f>
        <v>80+</v>
      </c>
      <c r="H1914" s="1">
        <v>15</v>
      </c>
      <c r="I1914" t="str">
        <f>LOOKUP(H1914,Sheet2!$M$4:$N$8)</f>
        <v>10-30</v>
      </c>
      <c r="J1914" s="1">
        <v>176</v>
      </c>
      <c r="K1914" t="str">
        <f>LOOKUP(J1914,Sheet2!$P$4:$Q$9)</f>
        <v>100-199</v>
      </c>
      <c r="L1914" s="1">
        <v>32</v>
      </c>
      <c r="M1914" t="str">
        <f>LOOKUP(L1914,Sheet2!$S$4:$T$8)</f>
        <v>31-35</v>
      </c>
      <c r="N1914" s="1">
        <v>0.443</v>
      </c>
      <c r="O1914" t="str">
        <f>LOOKUP(N1914,Sheet2!$V$4:$W$7)</f>
        <v>0.4 - 0.69</v>
      </c>
      <c r="P1914" s="1">
        <v>34</v>
      </c>
      <c r="Q1914" t="str">
        <f>LOOKUP(P1914,Sheet2!$Z$4:$AA$7)</f>
        <v>26-35</v>
      </c>
      <c r="R1914" s="1">
        <v>0</v>
      </c>
      <c r="S1914" t="str">
        <f>IF(R1914=1,"Positive","Negative")</f>
        <v>Negative</v>
      </c>
      <c r="T1914" s="1" t="str">
        <f>IFERROR(VLOOKUP(A1914,[1]diabetes_Recognition!$A:$B,2,FALSE),"Not Sampled")</f>
        <v>Not Sampled</v>
      </c>
      <c r="U1914" t="str">
        <f>IF(T1914=1,"Positive",(IF(T1914=0,"Negative","Not Sampled")))</f>
        <v>Not Sampled</v>
      </c>
      <c r="V1914" s="1" t="str">
        <f>IF(U1914="Not Sampled","Not Sampled",IF(S1914=U1914,"Accurate Prediction","Inaccurate Prediction"))</f>
        <v>Not Sampled</v>
      </c>
    </row>
    <row r="1915" spans="1:22" x14ac:dyDescent="0.25">
      <c r="A1915" s="1">
        <v>1913</v>
      </c>
      <c r="B1915" s="1">
        <v>7</v>
      </c>
      <c r="C1915" s="1" t="str">
        <f>LOOKUP(B1915,Sheet2!$D$4:$E$9)</f>
        <v>5-7</v>
      </c>
      <c r="D1915" s="1">
        <v>81</v>
      </c>
      <c r="E1915" t="str">
        <f>LOOKUP(D1915,Sheet2!$G$4:$H$9)</f>
        <v>1-99</v>
      </c>
      <c r="F1915" s="1">
        <v>78</v>
      </c>
      <c r="G1915" t="str">
        <f>LOOKUP(F1915,Sheet2!$J$4:$K$8)</f>
        <v>70-79</v>
      </c>
      <c r="H1915" s="1">
        <v>40</v>
      </c>
      <c r="I1915" t="str">
        <f>LOOKUP(H1915,Sheet2!$M$4:$N$8)</f>
        <v>40+</v>
      </c>
      <c r="J1915" s="1">
        <v>48</v>
      </c>
      <c r="K1915" t="str">
        <f>LOOKUP(J1915,Sheet2!$P$4:$Q$9)</f>
        <v>1-99</v>
      </c>
      <c r="L1915" s="1">
        <v>46.7</v>
      </c>
      <c r="M1915" t="str">
        <f>LOOKUP(L1915,Sheet2!$S$4:$T$8)</f>
        <v>36+</v>
      </c>
      <c r="N1915" s="1">
        <v>0.26100000000000001</v>
      </c>
      <c r="O1915" t="str">
        <f>LOOKUP(N1915,Sheet2!$V$4:$W$7)</f>
        <v>0.25 - 0.39</v>
      </c>
      <c r="P1915" s="1">
        <v>42</v>
      </c>
      <c r="Q1915" t="str">
        <f>LOOKUP(P1915,Sheet2!$Z$4:$AA$7)</f>
        <v>36-45</v>
      </c>
      <c r="R1915" s="1">
        <v>0</v>
      </c>
      <c r="S1915" t="str">
        <f>IF(R1915=1,"Positive","Negative")</f>
        <v>Negative</v>
      </c>
      <c r="T1915" s="1" t="str">
        <f>IFERROR(VLOOKUP(A1915,[1]diabetes_Recognition!$A:$B,2,FALSE),"Not Sampled")</f>
        <v>Not Sampled</v>
      </c>
      <c r="U1915" t="str">
        <f>IF(T1915=1,"Positive",(IF(T1915=0,"Negative","Not Sampled")))</f>
        <v>Not Sampled</v>
      </c>
      <c r="V1915" s="1" t="str">
        <f>IF(U1915="Not Sampled","Not Sampled",IF(S1915=U1915,"Accurate Prediction","Inaccurate Prediction"))</f>
        <v>Not Sampled</v>
      </c>
    </row>
    <row r="1916" spans="1:22" x14ac:dyDescent="0.25">
      <c r="A1916" s="1">
        <v>1914</v>
      </c>
      <c r="B1916" s="1">
        <v>4</v>
      </c>
      <c r="C1916" s="1" t="str">
        <f>LOOKUP(B1916,Sheet2!$D$4:$E$9)</f>
        <v>3-4</v>
      </c>
      <c r="D1916" s="1">
        <v>134</v>
      </c>
      <c r="E1916" t="str">
        <f>LOOKUP(D1916,Sheet2!$G$4:$H$9)</f>
        <v>126-150</v>
      </c>
      <c r="F1916" s="1">
        <v>72</v>
      </c>
      <c r="G1916" t="str">
        <f>LOOKUP(F1916,Sheet2!$J$4:$K$8)</f>
        <v>70-79</v>
      </c>
      <c r="H1916" s="1">
        <v>0</v>
      </c>
      <c r="I1916" t="str">
        <f>LOOKUP(H1916,Sheet2!$M$4:$N$8)</f>
        <v>Unknown</v>
      </c>
      <c r="J1916" s="1">
        <v>0</v>
      </c>
      <c r="K1916" t="str">
        <f>LOOKUP(J1916,Sheet2!$P$4:$Q$9)</f>
        <v>Unknown</v>
      </c>
      <c r="L1916" s="1">
        <v>23.8</v>
      </c>
      <c r="M1916" t="str">
        <f>LOOKUP(L1916,Sheet2!$S$4:$T$8)</f>
        <v>1-25</v>
      </c>
      <c r="N1916" s="1">
        <v>0.27700000000000002</v>
      </c>
      <c r="O1916" t="str">
        <f>LOOKUP(N1916,Sheet2!$V$4:$W$7)</f>
        <v>0.25 - 0.39</v>
      </c>
      <c r="P1916" s="1">
        <v>60</v>
      </c>
      <c r="Q1916" t="str">
        <f>LOOKUP(P1916,Sheet2!$Z$4:$AA$7)</f>
        <v>46+</v>
      </c>
      <c r="R1916" s="1">
        <v>1</v>
      </c>
      <c r="S1916" t="str">
        <f>IF(R1916=1,"Positive","Negative")</f>
        <v>Positive</v>
      </c>
      <c r="T1916" s="1" t="str">
        <f>IFERROR(VLOOKUP(A1916,[1]diabetes_Recognition!$A:$B,2,FALSE),"Not Sampled")</f>
        <v>Not Sampled</v>
      </c>
      <c r="U1916" t="str">
        <f>IF(T1916=1,"Positive",(IF(T1916=0,"Negative","Not Sampled")))</f>
        <v>Not Sampled</v>
      </c>
      <c r="V1916" s="1" t="str">
        <f>IF(U1916="Not Sampled","Not Sampled",IF(S1916=U1916,"Accurate Prediction","Inaccurate Prediction"))</f>
        <v>Not Sampled</v>
      </c>
    </row>
    <row r="1917" spans="1:22" x14ac:dyDescent="0.25">
      <c r="A1917" s="1">
        <v>1915</v>
      </c>
      <c r="B1917" s="1">
        <v>2</v>
      </c>
      <c r="C1917" s="1">
        <f>LOOKUP(B1917,Sheet2!$D$4:$E$9)</f>
        <v>2</v>
      </c>
      <c r="D1917" s="1">
        <v>142</v>
      </c>
      <c r="E1917" t="str">
        <f>LOOKUP(D1917,Sheet2!$G$4:$H$9)</f>
        <v>126-150</v>
      </c>
      <c r="F1917" s="1">
        <v>82</v>
      </c>
      <c r="G1917" t="str">
        <f>LOOKUP(F1917,Sheet2!$J$4:$K$8)</f>
        <v>80+</v>
      </c>
      <c r="H1917" s="1">
        <v>18</v>
      </c>
      <c r="I1917" t="str">
        <f>LOOKUP(H1917,Sheet2!$M$4:$N$8)</f>
        <v>10-30</v>
      </c>
      <c r="J1917" s="1">
        <v>64</v>
      </c>
      <c r="K1917" t="str">
        <f>LOOKUP(J1917,Sheet2!$P$4:$Q$9)</f>
        <v>1-99</v>
      </c>
      <c r="L1917" s="1">
        <v>24.7</v>
      </c>
      <c r="M1917" t="str">
        <f>LOOKUP(L1917,Sheet2!$S$4:$T$8)</f>
        <v>1-25</v>
      </c>
      <c r="N1917" s="1">
        <v>0.76100000000000001</v>
      </c>
      <c r="O1917" t="str">
        <f>LOOKUP(N1917,Sheet2!$V$4:$W$7)</f>
        <v>0.7+</v>
      </c>
      <c r="P1917" s="1">
        <v>21</v>
      </c>
      <c r="Q1917" t="str">
        <f>LOOKUP(P1917,Sheet2!$Z$4:$AA$7)</f>
        <v>&lt;=25</v>
      </c>
      <c r="R1917" s="1">
        <v>0</v>
      </c>
      <c r="S1917" t="str">
        <f>IF(R1917=1,"Positive","Negative")</f>
        <v>Negative</v>
      </c>
      <c r="T1917" s="1">
        <f>IFERROR(VLOOKUP(A1917,[1]diabetes_Recognition!$A:$B,2,FALSE),"Not Sampled")</f>
        <v>0</v>
      </c>
      <c r="U1917" t="str">
        <f>IF(T1917=1,"Positive",(IF(T1917=0,"Negative","Not Sampled")))</f>
        <v>Negative</v>
      </c>
      <c r="V1917" s="1" t="str">
        <f>IF(U1917="Not Sampled","Not Sampled",IF(S1917=U1917,"Accurate Prediction","Inaccurate Prediction"))</f>
        <v>Accurate Prediction</v>
      </c>
    </row>
    <row r="1918" spans="1:22" x14ac:dyDescent="0.25">
      <c r="A1918" s="1">
        <v>1916</v>
      </c>
      <c r="B1918" s="1">
        <v>6</v>
      </c>
      <c r="C1918" s="1" t="str">
        <f>LOOKUP(B1918,Sheet2!$D$4:$E$9)</f>
        <v>5-7</v>
      </c>
      <c r="D1918" s="1">
        <v>144</v>
      </c>
      <c r="E1918" t="str">
        <f>LOOKUP(D1918,Sheet2!$G$4:$H$9)</f>
        <v>126-150</v>
      </c>
      <c r="F1918" s="1">
        <v>72</v>
      </c>
      <c r="G1918" t="str">
        <f>LOOKUP(F1918,Sheet2!$J$4:$K$8)</f>
        <v>70-79</v>
      </c>
      <c r="H1918" s="1">
        <v>27</v>
      </c>
      <c r="I1918" t="str">
        <f>LOOKUP(H1918,Sheet2!$M$4:$N$8)</f>
        <v>10-30</v>
      </c>
      <c r="J1918" s="1">
        <v>228</v>
      </c>
      <c r="K1918" t="str">
        <f>LOOKUP(J1918,Sheet2!$P$4:$Q$9)</f>
        <v>200-399</v>
      </c>
      <c r="L1918" s="1">
        <v>33.9</v>
      </c>
      <c r="M1918" t="str">
        <f>LOOKUP(L1918,Sheet2!$S$4:$T$8)</f>
        <v>31-35</v>
      </c>
      <c r="N1918" s="1">
        <v>0.255</v>
      </c>
      <c r="O1918" t="str">
        <f>LOOKUP(N1918,Sheet2!$V$4:$W$7)</f>
        <v>0.25 - 0.39</v>
      </c>
      <c r="P1918" s="1">
        <v>40</v>
      </c>
      <c r="Q1918" t="str">
        <f>LOOKUP(P1918,Sheet2!$Z$4:$AA$7)</f>
        <v>36-45</v>
      </c>
      <c r="R1918" s="1">
        <v>0</v>
      </c>
      <c r="S1918" t="str">
        <f>IF(R1918=1,"Positive","Negative")</f>
        <v>Negative</v>
      </c>
      <c r="T1918" s="1" t="str">
        <f>IFERROR(VLOOKUP(A1918,[1]diabetes_Recognition!$A:$B,2,FALSE),"Not Sampled")</f>
        <v>Not Sampled</v>
      </c>
      <c r="U1918" t="str">
        <f>IF(T1918=1,"Positive",(IF(T1918=0,"Negative","Not Sampled")))</f>
        <v>Not Sampled</v>
      </c>
      <c r="V1918" s="1" t="str">
        <f>IF(U1918="Not Sampled","Not Sampled",IF(S1918=U1918,"Accurate Prediction","Inaccurate Prediction"))</f>
        <v>Not Sampled</v>
      </c>
    </row>
    <row r="1919" spans="1:22" x14ac:dyDescent="0.25">
      <c r="A1919" s="1">
        <v>1917</v>
      </c>
      <c r="B1919" s="1">
        <v>2</v>
      </c>
      <c r="C1919" s="1">
        <f>LOOKUP(B1919,Sheet2!$D$4:$E$9)</f>
        <v>2</v>
      </c>
      <c r="D1919" s="1">
        <v>92</v>
      </c>
      <c r="E1919" t="str">
        <f>LOOKUP(D1919,Sheet2!$G$4:$H$9)</f>
        <v>1-99</v>
      </c>
      <c r="F1919" s="1">
        <v>62</v>
      </c>
      <c r="G1919" t="str">
        <f>LOOKUP(F1919,Sheet2!$J$4:$K$8)</f>
        <v>60-69</v>
      </c>
      <c r="H1919" s="1">
        <v>28</v>
      </c>
      <c r="I1919" t="str">
        <f>LOOKUP(H1919,Sheet2!$M$4:$N$8)</f>
        <v>10-30</v>
      </c>
      <c r="J1919" s="1">
        <v>0</v>
      </c>
      <c r="K1919" t="str">
        <f>LOOKUP(J1919,Sheet2!$P$4:$Q$9)</f>
        <v>Unknown</v>
      </c>
      <c r="L1919" s="1">
        <v>31.6</v>
      </c>
      <c r="M1919" t="str">
        <f>LOOKUP(L1919,Sheet2!$S$4:$T$8)</f>
        <v>31-35</v>
      </c>
      <c r="N1919" s="1">
        <v>0.13</v>
      </c>
      <c r="O1919" t="str">
        <f>LOOKUP(N1919,Sheet2!$V$4:$W$7)</f>
        <v>0.0 - 0.249</v>
      </c>
      <c r="P1919" s="1">
        <v>24</v>
      </c>
      <c r="Q1919" t="str">
        <f>LOOKUP(P1919,Sheet2!$Z$4:$AA$7)</f>
        <v>&lt;=25</v>
      </c>
      <c r="R1919" s="1">
        <v>0</v>
      </c>
      <c r="S1919" t="str">
        <f>IF(R1919=1,"Positive","Negative")</f>
        <v>Negative</v>
      </c>
      <c r="T1919" s="1">
        <f>IFERROR(VLOOKUP(A1919,[1]diabetes_Recognition!$A:$B,2,FALSE),"Not Sampled")</f>
        <v>0</v>
      </c>
      <c r="U1919" t="str">
        <f>IF(T1919=1,"Positive",(IF(T1919=0,"Negative","Not Sampled")))</f>
        <v>Negative</v>
      </c>
      <c r="V1919" s="1" t="str">
        <f>IF(U1919="Not Sampled","Not Sampled",IF(S1919=U1919,"Accurate Prediction","Inaccurate Prediction"))</f>
        <v>Accurate Prediction</v>
      </c>
    </row>
    <row r="1920" spans="1:22" x14ac:dyDescent="0.25">
      <c r="A1920" s="1">
        <v>1918</v>
      </c>
      <c r="B1920" s="1">
        <v>1</v>
      </c>
      <c r="C1920" s="1">
        <f>LOOKUP(B1920,Sheet2!$D$4:$E$9)</f>
        <v>1</v>
      </c>
      <c r="D1920" s="1">
        <v>71</v>
      </c>
      <c r="E1920" t="str">
        <f>LOOKUP(D1920,Sheet2!$G$4:$H$9)</f>
        <v>1-99</v>
      </c>
      <c r="F1920" s="1">
        <v>48</v>
      </c>
      <c r="G1920" t="str">
        <f>LOOKUP(F1920,Sheet2!$J$4:$K$8)</f>
        <v>1-59</v>
      </c>
      <c r="H1920" s="1">
        <v>18</v>
      </c>
      <c r="I1920" t="str">
        <f>LOOKUP(H1920,Sheet2!$M$4:$N$8)</f>
        <v>10-30</v>
      </c>
      <c r="J1920" s="1">
        <v>76</v>
      </c>
      <c r="K1920" t="str">
        <f>LOOKUP(J1920,Sheet2!$P$4:$Q$9)</f>
        <v>1-99</v>
      </c>
      <c r="L1920" s="1">
        <v>20.399999999999999</v>
      </c>
      <c r="M1920" t="str">
        <f>LOOKUP(L1920,Sheet2!$S$4:$T$8)</f>
        <v>1-25</v>
      </c>
      <c r="N1920" s="1">
        <v>0.32300000000000001</v>
      </c>
      <c r="O1920" t="str">
        <f>LOOKUP(N1920,Sheet2!$V$4:$W$7)</f>
        <v>0.25 - 0.39</v>
      </c>
      <c r="P1920" s="1">
        <v>22</v>
      </c>
      <c r="Q1920" t="str">
        <f>LOOKUP(P1920,Sheet2!$Z$4:$AA$7)</f>
        <v>&lt;=25</v>
      </c>
      <c r="R1920" s="1">
        <v>0</v>
      </c>
      <c r="S1920" t="str">
        <f>IF(R1920=1,"Positive","Negative")</f>
        <v>Negative</v>
      </c>
      <c r="T1920" s="1" t="str">
        <f>IFERROR(VLOOKUP(A1920,[1]diabetes_Recognition!$A:$B,2,FALSE),"Not Sampled")</f>
        <v>Not Sampled</v>
      </c>
      <c r="U1920" t="str">
        <f>IF(T1920=1,"Positive",(IF(T1920=0,"Negative","Not Sampled")))</f>
        <v>Not Sampled</v>
      </c>
      <c r="V1920" s="1" t="str">
        <f>IF(U1920="Not Sampled","Not Sampled",IF(S1920=U1920,"Accurate Prediction","Inaccurate Prediction"))</f>
        <v>Not Sampled</v>
      </c>
    </row>
    <row r="1921" spans="1:22" x14ac:dyDescent="0.25">
      <c r="A1921" s="1">
        <v>1919</v>
      </c>
      <c r="B1921" s="1">
        <v>6</v>
      </c>
      <c r="C1921" s="1" t="str">
        <f>LOOKUP(B1921,Sheet2!$D$4:$E$9)</f>
        <v>5-7</v>
      </c>
      <c r="D1921" s="1">
        <v>93</v>
      </c>
      <c r="E1921" t="str">
        <f>LOOKUP(D1921,Sheet2!$G$4:$H$9)</f>
        <v>1-99</v>
      </c>
      <c r="F1921" s="1">
        <v>50</v>
      </c>
      <c r="G1921" t="str">
        <f>LOOKUP(F1921,Sheet2!$J$4:$K$8)</f>
        <v>1-59</v>
      </c>
      <c r="H1921" s="1">
        <v>30</v>
      </c>
      <c r="I1921" t="str">
        <f>LOOKUP(H1921,Sheet2!$M$4:$N$8)</f>
        <v>30-39</v>
      </c>
      <c r="J1921" s="1">
        <v>64</v>
      </c>
      <c r="K1921" t="str">
        <f>LOOKUP(J1921,Sheet2!$P$4:$Q$9)</f>
        <v>1-99</v>
      </c>
      <c r="L1921" s="1">
        <v>28.7</v>
      </c>
      <c r="M1921" t="str">
        <f>LOOKUP(L1921,Sheet2!$S$4:$T$8)</f>
        <v>26-30</v>
      </c>
      <c r="N1921" s="1">
        <v>0.35599999999999998</v>
      </c>
      <c r="O1921" t="str">
        <f>LOOKUP(N1921,Sheet2!$V$4:$W$7)</f>
        <v>0.25 - 0.39</v>
      </c>
      <c r="P1921" s="1">
        <v>23</v>
      </c>
      <c r="Q1921" t="str">
        <f>LOOKUP(P1921,Sheet2!$Z$4:$AA$7)</f>
        <v>&lt;=25</v>
      </c>
      <c r="R1921" s="1">
        <v>0</v>
      </c>
      <c r="S1921" t="str">
        <f>IF(R1921=1,"Positive","Negative")</f>
        <v>Negative</v>
      </c>
      <c r="T1921" s="1">
        <f>IFERROR(VLOOKUP(A1921,[1]diabetes_Recognition!$A:$B,2,FALSE),"Not Sampled")</f>
        <v>0</v>
      </c>
      <c r="U1921" t="str">
        <f>IF(T1921=1,"Positive",(IF(T1921=0,"Negative","Not Sampled")))</f>
        <v>Negative</v>
      </c>
      <c r="V1921" s="1" t="str">
        <f>IF(U1921="Not Sampled","Not Sampled",IF(S1921=U1921,"Accurate Prediction","Inaccurate Prediction"))</f>
        <v>Accurate Prediction</v>
      </c>
    </row>
    <row r="1922" spans="1:22" x14ac:dyDescent="0.25">
      <c r="A1922" s="1">
        <v>1920</v>
      </c>
      <c r="B1922" s="1">
        <v>1</v>
      </c>
      <c r="C1922" s="1">
        <f>LOOKUP(B1922,Sheet2!$D$4:$E$9)</f>
        <v>1</v>
      </c>
      <c r="D1922" s="1">
        <v>122</v>
      </c>
      <c r="E1922" t="str">
        <f>LOOKUP(D1922,Sheet2!$G$4:$H$9)</f>
        <v>100-125</v>
      </c>
      <c r="F1922" s="1">
        <v>90</v>
      </c>
      <c r="G1922" t="str">
        <f>LOOKUP(F1922,Sheet2!$J$4:$K$8)</f>
        <v>80+</v>
      </c>
      <c r="H1922" s="1">
        <v>51</v>
      </c>
      <c r="I1922" t="str">
        <f>LOOKUP(H1922,Sheet2!$M$4:$N$8)</f>
        <v>40+</v>
      </c>
      <c r="J1922" s="1">
        <v>220</v>
      </c>
      <c r="K1922" t="str">
        <f>LOOKUP(J1922,Sheet2!$P$4:$Q$9)</f>
        <v>200-399</v>
      </c>
      <c r="L1922" s="1">
        <v>49.7</v>
      </c>
      <c r="M1922" t="str">
        <f>LOOKUP(L1922,Sheet2!$S$4:$T$8)</f>
        <v>36+</v>
      </c>
      <c r="N1922" s="1">
        <v>0.32500000000000001</v>
      </c>
      <c r="O1922" t="str">
        <f>LOOKUP(N1922,Sheet2!$V$4:$W$7)</f>
        <v>0.25 - 0.39</v>
      </c>
      <c r="P1922" s="1">
        <v>31</v>
      </c>
      <c r="Q1922" t="str">
        <f>LOOKUP(P1922,Sheet2!$Z$4:$AA$7)</f>
        <v>26-35</v>
      </c>
      <c r="R1922" s="1">
        <v>1</v>
      </c>
      <c r="S1922" t="str">
        <f>IF(R1922=1,"Positive","Negative")</f>
        <v>Positive</v>
      </c>
      <c r="T1922" s="1" t="str">
        <f>IFERROR(VLOOKUP(A1922,[1]diabetes_Recognition!$A:$B,2,FALSE),"Not Sampled")</f>
        <v>Not Sampled</v>
      </c>
      <c r="U1922" t="str">
        <f>IF(T1922=1,"Positive",(IF(T1922=0,"Negative","Not Sampled")))</f>
        <v>Not Sampled</v>
      </c>
      <c r="V1922" s="1" t="str">
        <f>IF(U1922="Not Sampled","Not Sampled",IF(S1922=U1922,"Accurate Prediction","Inaccurate Prediction"))</f>
        <v>Not Sampled</v>
      </c>
    </row>
    <row r="1923" spans="1:22" x14ac:dyDescent="0.25">
      <c r="A1923" s="1">
        <v>1921</v>
      </c>
      <c r="B1923" s="1">
        <v>1</v>
      </c>
      <c r="C1923" s="1">
        <f>LOOKUP(B1923,Sheet2!$D$4:$E$9)</f>
        <v>1</v>
      </c>
      <c r="D1923" s="1">
        <v>163</v>
      </c>
      <c r="E1923" t="str">
        <f>LOOKUP(D1923,Sheet2!$G$4:$H$9)</f>
        <v>151-175</v>
      </c>
      <c r="F1923" s="1">
        <v>72</v>
      </c>
      <c r="G1923" t="str">
        <f>LOOKUP(F1923,Sheet2!$J$4:$K$8)</f>
        <v>70-79</v>
      </c>
      <c r="H1923" s="1">
        <v>0</v>
      </c>
      <c r="I1923" t="str">
        <f>LOOKUP(H1923,Sheet2!$M$4:$N$8)</f>
        <v>Unknown</v>
      </c>
      <c r="J1923" s="1">
        <v>0</v>
      </c>
      <c r="K1923" t="str">
        <f>LOOKUP(J1923,Sheet2!$P$4:$Q$9)</f>
        <v>Unknown</v>
      </c>
      <c r="L1923" s="1">
        <v>39</v>
      </c>
      <c r="M1923" t="str">
        <f>LOOKUP(L1923,Sheet2!$S$4:$T$8)</f>
        <v>36+</v>
      </c>
      <c r="N1923" s="1">
        <v>1.222</v>
      </c>
      <c r="O1923" t="str">
        <f>LOOKUP(N1923,Sheet2!$V$4:$W$7)</f>
        <v>0.7+</v>
      </c>
      <c r="P1923" s="1">
        <v>33</v>
      </c>
      <c r="Q1923" t="str">
        <f>LOOKUP(P1923,Sheet2!$Z$4:$AA$7)</f>
        <v>26-35</v>
      </c>
      <c r="R1923" s="1">
        <v>1</v>
      </c>
      <c r="S1923" t="str">
        <f>IF(R1923=1,"Positive","Negative")</f>
        <v>Positive</v>
      </c>
      <c r="T1923" s="1" t="str">
        <f>IFERROR(VLOOKUP(A1923,[1]diabetes_Recognition!$A:$B,2,FALSE),"Not Sampled")</f>
        <v>Not Sampled</v>
      </c>
      <c r="U1923" t="str">
        <f>IF(T1923=1,"Positive",(IF(T1923=0,"Negative","Not Sampled")))</f>
        <v>Not Sampled</v>
      </c>
      <c r="V1923" s="1" t="str">
        <f>IF(U1923="Not Sampled","Not Sampled",IF(S1923=U1923,"Accurate Prediction","Inaccurate Prediction"))</f>
        <v>Not Sampled</v>
      </c>
    </row>
    <row r="1924" spans="1:22" x14ac:dyDescent="0.25">
      <c r="A1924" s="1">
        <v>1922</v>
      </c>
      <c r="B1924" s="1">
        <v>1</v>
      </c>
      <c r="C1924" s="1">
        <f>LOOKUP(B1924,Sheet2!$D$4:$E$9)</f>
        <v>1</v>
      </c>
      <c r="D1924" s="1">
        <v>151</v>
      </c>
      <c r="E1924" t="str">
        <f>LOOKUP(D1924,Sheet2!$G$4:$H$9)</f>
        <v>151-175</v>
      </c>
      <c r="F1924" s="1">
        <v>60</v>
      </c>
      <c r="G1924" t="str">
        <f>LOOKUP(F1924,Sheet2!$J$4:$K$8)</f>
        <v>60-69</v>
      </c>
      <c r="H1924" s="1">
        <v>0</v>
      </c>
      <c r="I1924" t="str">
        <f>LOOKUP(H1924,Sheet2!$M$4:$N$8)</f>
        <v>Unknown</v>
      </c>
      <c r="J1924" s="1">
        <v>0</v>
      </c>
      <c r="K1924" t="str">
        <f>LOOKUP(J1924,Sheet2!$P$4:$Q$9)</f>
        <v>Unknown</v>
      </c>
      <c r="L1924" s="1">
        <v>26.1</v>
      </c>
      <c r="M1924" t="str">
        <f>LOOKUP(L1924,Sheet2!$S$4:$T$8)</f>
        <v>26-30</v>
      </c>
      <c r="N1924" s="1">
        <v>0.17899999999999999</v>
      </c>
      <c r="O1924" t="str">
        <f>LOOKUP(N1924,Sheet2!$V$4:$W$7)</f>
        <v>0.0 - 0.249</v>
      </c>
      <c r="P1924" s="1">
        <v>22</v>
      </c>
      <c r="Q1924" t="str">
        <f>LOOKUP(P1924,Sheet2!$Z$4:$AA$7)</f>
        <v>&lt;=25</v>
      </c>
      <c r="R1924" s="1">
        <v>0</v>
      </c>
      <c r="S1924" t="str">
        <f>IF(R1924=1,"Positive","Negative")</f>
        <v>Negative</v>
      </c>
      <c r="T1924" s="1" t="str">
        <f>IFERROR(VLOOKUP(A1924,[1]diabetes_Recognition!$A:$B,2,FALSE),"Not Sampled")</f>
        <v>Not Sampled</v>
      </c>
      <c r="U1924" t="str">
        <f>IF(T1924=1,"Positive",(IF(T1924=0,"Negative","Not Sampled")))</f>
        <v>Not Sampled</v>
      </c>
      <c r="V1924" s="1" t="str">
        <f>IF(U1924="Not Sampled","Not Sampled",IF(S1924=U1924,"Accurate Prediction","Inaccurate Prediction"))</f>
        <v>Not Sampled</v>
      </c>
    </row>
    <row r="1925" spans="1:22" x14ac:dyDescent="0.25">
      <c r="A1925" s="1">
        <v>1923</v>
      </c>
      <c r="B1925" s="1">
        <v>0</v>
      </c>
      <c r="C1925" s="1">
        <f>LOOKUP(B1925,Sheet2!$D$4:$E$9)</f>
        <v>0</v>
      </c>
      <c r="D1925" s="1">
        <v>125</v>
      </c>
      <c r="E1925" t="str">
        <f>LOOKUP(D1925,Sheet2!$G$4:$H$9)</f>
        <v>100-125</v>
      </c>
      <c r="F1925" s="1">
        <v>96</v>
      </c>
      <c r="G1925" t="str">
        <f>LOOKUP(F1925,Sheet2!$J$4:$K$8)</f>
        <v>80+</v>
      </c>
      <c r="H1925" s="1">
        <v>0</v>
      </c>
      <c r="I1925" t="str">
        <f>LOOKUP(H1925,Sheet2!$M$4:$N$8)</f>
        <v>Unknown</v>
      </c>
      <c r="J1925" s="1">
        <v>0</v>
      </c>
      <c r="K1925" t="str">
        <f>LOOKUP(J1925,Sheet2!$P$4:$Q$9)</f>
        <v>Unknown</v>
      </c>
      <c r="L1925" s="1">
        <v>22.5</v>
      </c>
      <c r="M1925" t="str">
        <f>LOOKUP(L1925,Sheet2!$S$4:$T$8)</f>
        <v>1-25</v>
      </c>
      <c r="N1925" s="1">
        <v>0.26200000000000001</v>
      </c>
      <c r="O1925" t="str">
        <f>LOOKUP(N1925,Sheet2!$V$4:$W$7)</f>
        <v>0.25 - 0.39</v>
      </c>
      <c r="P1925" s="1">
        <v>21</v>
      </c>
      <c r="Q1925" t="str">
        <f>LOOKUP(P1925,Sheet2!$Z$4:$AA$7)</f>
        <v>&lt;=25</v>
      </c>
      <c r="R1925" s="1">
        <v>0</v>
      </c>
      <c r="S1925" t="str">
        <f>IF(R1925=1,"Positive","Negative")</f>
        <v>Negative</v>
      </c>
      <c r="T1925" s="1" t="str">
        <f>IFERROR(VLOOKUP(A1925,[1]diabetes_Recognition!$A:$B,2,FALSE),"Not Sampled")</f>
        <v>Not Sampled</v>
      </c>
      <c r="U1925" t="str">
        <f>IF(T1925=1,"Positive",(IF(T1925=0,"Negative","Not Sampled")))</f>
        <v>Not Sampled</v>
      </c>
      <c r="V1925" s="1" t="str">
        <f>IF(U1925="Not Sampled","Not Sampled",IF(S1925=U1925,"Accurate Prediction","Inaccurate Prediction"))</f>
        <v>Not Sampled</v>
      </c>
    </row>
    <row r="1926" spans="1:22" x14ac:dyDescent="0.25">
      <c r="A1926" s="1">
        <v>1924</v>
      </c>
      <c r="B1926" s="1">
        <v>1</v>
      </c>
      <c r="C1926" s="1">
        <f>LOOKUP(B1926,Sheet2!$D$4:$E$9)</f>
        <v>1</v>
      </c>
      <c r="D1926" s="1">
        <v>81</v>
      </c>
      <c r="E1926" t="str">
        <f>LOOKUP(D1926,Sheet2!$G$4:$H$9)</f>
        <v>1-99</v>
      </c>
      <c r="F1926" s="1">
        <v>72</v>
      </c>
      <c r="G1926" t="str">
        <f>LOOKUP(F1926,Sheet2!$J$4:$K$8)</f>
        <v>70-79</v>
      </c>
      <c r="H1926" s="1">
        <v>18</v>
      </c>
      <c r="I1926" t="str">
        <f>LOOKUP(H1926,Sheet2!$M$4:$N$8)</f>
        <v>10-30</v>
      </c>
      <c r="J1926" s="1">
        <v>40</v>
      </c>
      <c r="K1926" t="str">
        <f>LOOKUP(J1926,Sheet2!$P$4:$Q$9)</f>
        <v>1-99</v>
      </c>
      <c r="L1926" s="1">
        <v>26.6</v>
      </c>
      <c r="M1926" t="str">
        <f>LOOKUP(L1926,Sheet2!$S$4:$T$8)</f>
        <v>26-30</v>
      </c>
      <c r="N1926" s="1">
        <v>0.28299999999999997</v>
      </c>
      <c r="O1926" t="str">
        <f>LOOKUP(N1926,Sheet2!$V$4:$W$7)</f>
        <v>0.25 - 0.39</v>
      </c>
      <c r="P1926" s="1">
        <v>24</v>
      </c>
      <c r="Q1926" t="str">
        <f>LOOKUP(P1926,Sheet2!$Z$4:$AA$7)</f>
        <v>&lt;=25</v>
      </c>
      <c r="R1926" s="1">
        <v>0</v>
      </c>
      <c r="S1926" t="str">
        <f>IF(R1926=1,"Positive","Negative")</f>
        <v>Negative</v>
      </c>
      <c r="T1926" s="1" t="str">
        <f>IFERROR(VLOOKUP(A1926,[1]diabetes_Recognition!$A:$B,2,FALSE),"Not Sampled")</f>
        <v>Not Sampled</v>
      </c>
      <c r="U1926" t="str">
        <f>IF(T1926=1,"Positive",(IF(T1926=0,"Negative","Not Sampled")))</f>
        <v>Not Sampled</v>
      </c>
      <c r="V1926" s="1" t="str">
        <f>IF(U1926="Not Sampled","Not Sampled",IF(S1926=U1926,"Accurate Prediction","Inaccurate Prediction"))</f>
        <v>Not Sampled</v>
      </c>
    </row>
    <row r="1927" spans="1:22" x14ac:dyDescent="0.25">
      <c r="A1927" s="1">
        <v>1925</v>
      </c>
      <c r="B1927" s="1">
        <v>2</v>
      </c>
      <c r="C1927" s="1">
        <f>LOOKUP(B1927,Sheet2!$D$4:$E$9)</f>
        <v>2</v>
      </c>
      <c r="D1927" s="1">
        <v>85</v>
      </c>
      <c r="E1927" t="str">
        <f>LOOKUP(D1927,Sheet2!$G$4:$H$9)</f>
        <v>1-99</v>
      </c>
      <c r="F1927" s="1">
        <v>65</v>
      </c>
      <c r="G1927" t="str">
        <f>LOOKUP(F1927,Sheet2!$J$4:$K$8)</f>
        <v>60-69</v>
      </c>
      <c r="H1927" s="1">
        <v>0</v>
      </c>
      <c r="I1927" t="str">
        <f>LOOKUP(H1927,Sheet2!$M$4:$N$8)</f>
        <v>Unknown</v>
      </c>
      <c r="J1927" s="1">
        <v>0</v>
      </c>
      <c r="K1927" t="str">
        <f>LOOKUP(J1927,Sheet2!$P$4:$Q$9)</f>
        <v>Unknown</v>
      </c>
      <c r="L1927" s="1">
        <v>39.6</v>
      </c>
      <c r="M1927" t="str">
        <f>LOOKUP(L1927,Sheet2!$S$4:$T$8)</f>
        <v>36+</v>
      </c>
      <c r="N1927" s="1">
        <v>0.93</v>
      </c>
      <c r="O1927" t="str">
        <f>LOOKUP(N1927,Sheet2!$V$4:$W$7)</f>
        <v>0.7+</v>
      </c>
      <c r="P1927" s="1">
        <v>27</v>
      </c>
      <c r="Q1927" t="str">
        <f>LOOKUP(P1927,Sheet2!$Z$4:$AA$7)</f>
        <v>26-35</v>
      </c>
      <c r="R1927" s="1">
        <v>0</v>
      </c>
      <c r="S1927" t="str">
        <f>IF(R1927=1,"Positive","Negative")</f>
        <v>Negative</v>
      </c>
      <c r="T1927" s="1" t="str">
        <f>IFERROR(VLOOKUP(A1927,[1]diabetes_Recognition!$A:$B,2,FALSE),"Not Sampled")</f>
        <v>Not Sampled</v>
      </c>
      <c r="U1927" t="str">
        <f>IF(T1927=1,"Positive",(IF(T1927=0,"Negative","Not Sampled")))</f>
        <v>Not Sampled</v>
      </c>
      <c r="V1927" s="1" t="str">
        <f>IF(U1927="Not Sampled","Not Sampled",IF(S1927=U1927,"Accurate Prediction","Inaccurate Prediction"))</f>
        <v>Not Sampled</v>
      </c>
    </row>
    <row r="1928" spans="1:22" x14ac:dyDescent="0.25">
      <c r="A1928" s="1">
        <v>1926</v>
      </c>
      <c r="B1928" s="1">
        <v>1</v>
      </c>
      <c r="C1928" s="1">
        <f>LOOKUP(B1928,Sheet2!$D$4:$E$9)</f>
        <v>1</v>
      </c>
      <c r="D1928" s="1">
        <v>126</v>
      </c>
      <c r="E1928" t="str">
        <f>LOOKUP(D1928,Sheet2!$G$4:$H$9)</f>
        <v>126-150</v>
      </c>
      <c r="F1928" s="1">
        <v>56</v>
      </c>
      <c r="G1928" t="str">
        <f>LOOKUP(F1928,Sheet2!$J$4:$K$8)</f>
        <v>1-59</v>
      </c>
      <c r="H1928" s="1">
        <v>29</v>
      </c>
      <c r="I1928" t="str">
        <f>LOOKUP(H1928,Sheet2!$M$4:$N$8)</f>
        <v>10-30</v>
      </c>
      <c r="J1928" s="1">
        <v>152</v>
      </c>
      <c r="K1928" t="str">
        <f>LOOKUP(J1928,Sheet2!$P$4:$Q$9)</f>
        <v>100-199</v>
      </c>
      <c r="L1928" s="1">
        <v>28.7</v>
      </c>
      <c r="M1928" t="str">
        <f>LOOKUP(L1928,Sheet2!$S$4:$T$8)</f>
        <v>26-30</v>
      </c>
      <c r="N1928" s="1">
        <v>0.80100000000000005</v>
      </c>
      <c r="O1928" t="str">
        <f>LOOKUP(N1928,Sheet2!$V$4:$W$7)</f>
        <v>0.7+</v>
      </c>
      <c r="P1928" s="1">
        <v>21</v>
      </c>
      <c r="Q1928" t="str">
        <f>LOOKUP(P1928,Sheet2!$Z$4:$AA$7)</f>
        <v>&lt;=25</v>
      </c>
      <c r="R1928" s="1">
        <v>0</v>
      </c>
      <c r="S1928" t="str">
        <f>IF(R1928=1,"Positive","Negative")</f>
        <v>Negative</v>
      </c>
      <c r="T1928" s="1">
        <f>IFERROR(VLOOKUP(A1928,[1]diabetes_Recognition!$A:$B,2,FALSE),"Not Sampled")</f>
        <v>0</v>
      </c>
      <c r="U1928" t="str">
        <f>IF(T1928=1,"Positive",(IF(T1928=0,"Negative","Not Sampled")))</f>
        <v>Negative</v>
      </c>
      <c r="V1928" s="1" t="str">
        <f>IF(U1928="Not Sampled","Not Sampled",IF(S1928=U1928,"Accurate Prediction","Inaccurate Prediction"))</f>
        <v>Accurate Prediction</v>
      </c>
    </row>
    <row r="1929" spans="1:22" x14ac:dyDescent="0.25">
      <c r="A1929" s="1">
        <v>1927</v>
      </c>
      <c r="B1929" s="1">
        <v>1</v>
      </c>
      <c r="C1929" s="1">
        <f>LOOKUP(B1929,Sheet2!$D$4:$E$9)</f>
        <v>1</v>
      </c>
      <c r="D1929" s="1">
        <v>96</v>
      </c>
      <c r="E1929" t="str">
        <f>LOOKUP(D1929,Sheet2!$G$4:$H$9)</f>
        <v>1-99</v>
      </c>
      <c r="F1929" s="1">
        <v>122</v>
      </c>
      <c r="G1929" t="str">
        <f>LOOKUP(F1929,Sheet2!$J$4:$K$8)</f>
        <v>80+</v>
      </c>
      <c r="H1929" s="1">
        <v>0</v>
      </c>
      <c r="I1929" t="str">
        <f>LOOKUP(H1929,Sheet2!$M$4:$N$8)</f>
        <v>Unknown</v>
      </c>
      <c r="J1929" s="1">
        <v>0</v>
      </c>
      <c r="K1929" t="str">
        <f>LOOKUP(J1929,Sheet2!$P$4:$Q$9)</f>
        <v>Unknown</v>
      </c>
      <c r="L1929" s="1">
        <v>22.4</v>
      </c>
      <c r="M1929" t="str">
        <f>LOOKUP(L1929,Sheet2!$S$4:$T$8)</f>
        <v>1-25</v>
      </c>
      <c r="N1929" s="1">
        <v>0.20699999999999999</v>
      </c>
      <c r="O1929" t="str">
        <f>LOOKUP(N1929,Sheet2!$V$4:$W$7)</f>
        <v>0.0 - 0.249</v>
      </c>
      <c r="P1929" s="1">
        <v>27</v>
      </c>
      <c r="Q1929" t="str">
        <f>LOOKUP(P1929,Sheet2!$Z$4:$AA$7)</f>
        <v>26-35</v>
      </c>
      <c r="R1929" s="1">
        <v>0</v>
      </c>
      <c r="S1929" t="str">
        <f>IF(R1929=1,"Positive","Negative")</f>
        <v>Negative</v>
      </c>
      <c r="T1929" s="1" t="str">
        <f>IFERROR(VLOOKUP(A1929,[1]diabetes_Recognition!$A:$B,2,FALSE),"Not Sampled")</f>
        <v>Not Sampled</v>
      </c>
      <c r="U1929" t="str">
        <f>IF(T1929=1,"Positive",(IF(T1929=0,"Negative","Not Sampled")))</f>
        <v>Not Sampled</v>
      </c>
      <c r="V1929" s="1" t="str">
        <f>IF(U1929="Not Sampled","Not Sampled",IF(S1929=U1929,"Accurate Prediction","Inaccurate Prediction"))</f>
        <v>Not Sampled</v>
      </c>
    </row>
    <row r="1930" spans="1:22" x14ac:dyDescent="0.25">
      <c r="A1930" s="1">
        <v>1928</v>
      </c>
      <c r="B1930" s="1">
        <v>4</v>
      </c>
      <c r="C1930" s="1" t="str">
        <f>LOOKUP(B1930,Sheet2!$D$4:$E$9)</f>
        <v>3-4</v>
      </c>
      <c r="D1930" s="1">
        <v>144</v>
      </c>
      <c r="E1930" t="str">
        <f>LOOKUP(D1930,Sheet2!$G$4:$H$9)</f>
        <v>126-150</v>
      </c>
      <c r="F1930" s="1">
        <v>58</v>
      </c>
      <c r="G1930" t="str">
        <f>LOOKUP(F1930,Sheet2!$J$4:$K$8)</f>
        <v>1-59</v>
      </c>
      <c r="H1930" s="1">
        <v>28</v>
      </c>
      <c r="I1930" t="str">
        <f>LOOKUP(H1930,Sheet2!$M$4:$N$8)</f>
        <v>10-30</v>
      </c>
      <c r="J1930" s="1">
        <v>140</v>
      </c>
      <c r="K1930" t="str">
        <f>LOOKUP(J1930,Sheet2!$P$4:$Q$9)</f>
        <v>100-199</v>
      </c>
      <c r="L1930" s="1">
        <v>29.5</v>
      </c>
      <c r="M1930" t="str">
        <f>LOOKUP(L1930,Sheet2!$S$4:$T$8)</f>
        <v>26-30</v>
      </c>
      <c r="N1930" s="1">
        <v>0.28699999999999998</v>
      </c>
      <c r="O1930" t="str">
        <f>LOOKUP(N1930,Sheet2!$V$4:$W$7)</f>
        <v>0.25 - 0.39</v>
      </c>
      <c r="P1930" s="1">
        <v>37</v>
      </c>
      <c r="Q1930" t="str">
        <f>LOOKUP(P1930,Sheet2!$Z$4:$AA$7)</f>
        <v>36-45</v>
      </c>
      <c r="R1930" s="1">
        <v>0</v>
      </c>
      <c r="S1930" t="str">
        <f>IF(R1930=1,"Positive","Negative")</f>
        <v>Negative</v>
      </c>
      <c r="T1930" s="1" t="str">
        <f>IFERROR(VLOOKUP(A1930,[1]diabetes_Recognition!$A:$B,2,FALSE),"Not Sampled")</f>
        <v>Not Sampled</v>
      </c>
      <c r="U1930" t="str">
        <f>IF(T1930=1,"Positive",(IF(T1930=0,"Negative","Not Sampled")))</f>
        <v>Not Sampled</v>
      </c>
      <c r="V1930" s="1" t="str">
        <f>IF(U1930="Not Sampled","Not Sampled",IF(S1930=U1930,"Accurate Prediction","Inaccurate Prediction"))</f>
        <v>Not Sampled</v>
      </c>
    </row>
    <row r="1931" spans="1:22" x14ac:dyDescent="0.25">
      <c r="A1931" s="1">
        <v>1929</v>
      </c>
      <c r="B1931" s="1">
        <v>3</v>
      </c>
      <c r="C1931" s="1" t="str">
        <f>LOOKUP(B1931,Sheet2!$D$4:$E$9)</f>
        <v>3-4</v>
      </c>
      <c r="D1931" s="1">
        <v>83</v>
      </c>
      <c r="E1931" t="str">
        <f>LOOKUP(D1931,Sheet2!$G$4:$H$9)</f>
        <v>1-99</v>
      </c>
      <c r="F1931" s="1">
        <v>58</v>
      </c>
      <c r="G1931" t="str">
        <f>LOOKUP(F1931,Sheet2!$J$4:$K$8)</f>
        <v>1-59</v>
      </c>
      <c r="H1931" s="1">
        <v>31</v>
      </c>
      <c r="I1931" t="str">
        <f>LOOKUP(H1931,Sheet2!$M$4:$N$8)</f>
        <v>30-39</v>
      </c>
      <c r="J1931" s="1">
        <v>18</v>
      </c>
      <c r="K1931" t="str">
        <f>LOOKUP(J1931,Sheet2!$P$4:$Q$9)</f>
        <v>1-99</v>
      </c>
      <c r="L1931" s="1">
        <v>34.299999999999997</v>
      </c>
      <c r="M1931" t="str">
        <f>LOOKUP(L1931,Sheet2!$S$4:$T$8)</f>
        <v>31-35</v>
      </c>
      <c r="N1931" s="1">
        <v>0.33600000000000002</v>
      </c>
      <c r="O1931" t="str">
        <f>LOOKUP(N1931,Sheet2!$V$4:$W$7)</f>
        <v>0.25 - 0.39</v>
      </c>
      <c r="P1931" s="1">
        <v>25</v>
      </c>
      <c r="Q1931" t="str">
        <f>LOOKUP(P1931,Sheet2!$Z$4:$AA$7)</f>
        <v>&lt;=25</v>
      </c>
      <c r="R1931" s="1">
        <v>0</v>
      </c>
      <c r="S1931" t="str">
        <f>IF(R1931=1,"Positive","Negative")</f>
        <v>Negative</v>
      </c>
      <c r="T1931" s="1" t="str">
        <f>IFERROR(VLOOKUP(A1931,[1]diabetes_Recognition!$A:$B,2,FALSE),"Not Sampled")</f>
        <v>Not Sampled</v>
      </c>
      <c r="U1931" t="str">
        <f>IF(T1931=1,"Positive",(IF(T1931=0,"Negative","Not Sampled")))</f>
        <v>Not Sampled</v>
      </c>
      <c r="V1931" s="1" t="str">
        <f>IF(U1931="Not Sampled","Not Sampled",IF(S1931=U1931,"Accurate Prediction","Inaccurate Prediction"))</f>
        <v>Not Sampled</v>
      </c>
    </row>
    <row r="1932" spans="1:22" x14ac:dyDescent="0.25">
      <c r="A1932" s="1">
        <v>1930</v>
      </c>
      <c r="B1932" s="1">
        <v>0</v>
      </c>
      <c r="C1932" s="1">
        <f>LOOKUP(B1932,Sheet2!$D$4:$E$9)</f>
        <v>0</v>
      </c>
      <c r="D1932" s="1">
        <v>95</v>
      </c>
      <c r="E1932" t="str">
        <f>LOOKUP(D1932,Sheet2!$G$4:$H$9)</f>
        <v>1-99</v>
      </c>
      <c r="F1932" s="1">
        <v>85</v>
      </c>
      <c r="G1932" t="str">
        <f>LOOKUP(F1932,Sheet2!$J$4:$K$8)</f>
        <v>80+</v>
      </c>
      <c r="H1932" s="1">
        <v>25</v>
      </c>
      <c r="I1932" t="str">
        <f>LOOKUP(H1932,Sheet2!$M$4:$N$8)</f>
        <v>10-30</v>
      </c>
      <c r="J1932" s="1">
        <v>36</v>
      </c>
      <c r="K1932" t="str">
        <f>LOOKUP(J1932,Sheet2!$P$4:$Q$9)</f>
        <v>1-99</v>
      </c>
      <c r="L1932" s="1">
        <v>37.4</v>
      </c>
      <c r="M1932" t="str">
        <f>LOOKUP(L1932,Sheet2!$S$4:$T$8)</f>
        <v>36+</v>
      </c>
      <c r="N1932" s="1">
        <v>0.247</v>
      </c>
      <c r="O1932" t="str">
        <f>LOOKUP(N1932,Sheet2!$V$4:$W$7)</f>
        <v>0.0 - 0.249</v>
      </c>
      <c r="P1932" s="1">
        <v>24</v>
      </c>
      <c r="Q1932" t="str">
        <f>LOOKUP(P1932,Sheet2!$Z$4:$AA$7)</f>
        <v>&lt;=25</v>
      </c>
      <c r="R1932" s="1">
        <v>1</v>
      </c>
      <c r="S1932" t="str">
        <f>IF(R1932=1,"Positive","Negative")</f>
        <v>Positive</v>
      </c>
      <c r="T1932" s="1">
        <f>IFERROR(VLOOKUP(A1932,[1]diabetes_Recognition!$A:$B,2,FALSE),"Not Sampled")</f>
        <v>0</v>
      </c>
      <c r="U1932" t="str">
        <f>IF(T1932=1,"Positive",(IF(T1932=0,"Negative","Not Sampled")))</f>
        <v>Negative</v>
      </c>
      <c r="V1932" s="1" t="str">
        <f>IF(U1932="Not Sampled","Not Sampled",IF(S1932=U1932,"Accurate Prediction","Inaccurate Prediction"))</f>
        <v>Inaccurate Prediction</v>
      </c>
    </row>
    <row r="1933" spans="1:22" x14ac:dyDescent="0.25">
      <c r="A1933" s="1">
        <v>1931</v>
      </c>
      <c r="B1933" s="1">
        <v>3</v>
      </c>
      <c r="C1933" s="1" t="str">
        <f>LOOKUP(B1933,Sheet2!$D$4:$E$9)</f>
        <v>3-4</v>
      </c>
      <c r="D1933" s="1">
        <v>171</v>
      </c>
      <c r="E1933" t="str">
        <f>LOOKUP(D1933,Sheet2!$G$4:$H$9)</f>
        <v>151-175</v>
      </c>
      <c r="F1933" s="1">
        <v>72</v>
      </c>
      <c r="G1933" t="str">
        <f>LOOKUP(F1933,Sheet2!$J$4:$K$8)</f>
        <v>70-79</v>
      </c>
      <c r="H1933" s="1">
        <v>33</v>
      </c>
      <c r="I1933" t="str">
        <f>LOOKUP(H1933,Sheet2!$M$4:$N$8)</f>
        <v>30-39</v>
      </c>
      <c r="J1933" s="1">
        <v>135</v>
      </c>
      <c r="K1933" t="str">
        <f>LOOKUP(J1933,Sheet2!$P$4:$Q$9)</f>
        <v>100-199</v>
      </c>
      <c r="L1933" s="1">
        <v>33.299999999999997</v>
      </c>
      <c r="M1933" t="str">
        <f>LOOKUP(L1933,Sheet2!$S$4:$T$8)</f>
        <v>31-35</v>
      </c>
      <c r="N1933" s="1">
        <v>0.19900000000000001</v>
      </c>
      <c r="O1933" t="str">
        <f>LOOKUP(N1933,Sheet2!$V$4:$W$7)</f>
        <v>0.0 - 0.249</v>
      </c>
      <c r="P1933" s="1">
        <v>24</v>
      </c>
      <c r="Q1933" t="str">
        <f>LOOKUP(P1933,Sheet2!$Z$4:$AA$7)</f>
        <v>&lt;=25</v>
      </c>
      <c r="R1933" s="1">
        <v>1</v>
      </c>
      <c r="S1933" t="str">
        <f>IF(R1933=1,"Positive","Negative")</f>
        <v>Positive</v>
      </c>
      <c r="T1933" s="1" t="str">
        <f>IFERROR(VLOOKUP(A1933,[1]diabetes_Recognition!$A:$B,2,FALSE),"Not Sampled")</f>
        <v>Not Sampled</v>
      </c>
      <c r="U1933" t="str">
        <f>IF(T1933=1,"Positive",(IF(T1933=0,"Negative","Not Sampled")))</f>
        <v>Not Sampled</v>
      </c>
      <c r="V1933" s="1" t="str">
        <f>IF(U1933="Not Sampled","Not Sampled",IF(S1933=U1933,"Accurate Prediction","Inaccurate Prediction"))</f>
        <v>Not Sampled</v>
      </c>
    </row>
    <row r="1934" spans="1:22" x14ac:dyDescent="0.25">
      <c r="A1934" s="1">
        <v>1932</v>
      </c>
      <c r="B1934" s="1">
        <v>8</v>
      </c>
      <c r="C1934" s="1" t="str">
        <f>LOOKUP(B1934,Sheet2!$D$4:$E$9)</f>
        <v>8+</v>
      </c>
      <c r="D1934" s="1">
        <v>155</v>
      </c>
      <c r="E1934" t="str">
        <f>LOOKUP(D1934,Sheet2!$G$4:$H$9)</f>
        <v>151-175</v>
      </c>
      <c r="F1934" s="1">
        <v>62</v>
      </c>
      <c r="G1934" t="str">
        <f>LOOKUP(F1934,Sheet2!$J$4:$K$8)</f>
        <v>60-69</v>
      </c>
      <c r="H1934" s="1">
        <v>26</v>
      </c>
      <c r="I1934" t="str">
        <f>LOOKUP(H1934,Sheet2!$M$4:$N$8)</f>
        <v>10-30</v>
      </c>
      <c r="J1934" s="1">
        <v>495</v>
      </c>
      <c r="K1934" t="str">
        <f>LOOKUP(J1934,Sheet2!$P$4:$Q$9)</f>
        <v>300-499</v>
      </c>
      <c r="L1934" s="1">
        <v>34</v>
      </c>
      <c r="M1934" t="str">
        <f>LOOKUP(L1934,Sheet2!$S$4:$T$8)</f>
        <v>31-35</v>
      </c>
      <c r="N1934" s="1">
        <v>0.54300000000000004</v>
      </c>
      <c r="O1934" t="str">
        <f>LOOKUP(N1934,Sheet2!$V$4:$W$7)</f>
        <v>0.4 - 0.69</v>
      </c>
      <c r="P1934" s="1">
        <v>46</v>
      </c>
      <c r="Q1934" t="str">
        <f>LOOKUP(P1934,Sheet2!$Z$4:$AA$7)</f>
        <v>46+</v>
      </c>
      <c r="R1934" s="1">
        <v>1</v>
      </c>
      <c r="S1934" t="str">
        <f>IF(R1934=1,"Positive","Negative")</f>
        <v>Positive</v>
      </c>
      <c r="T1934" s="1" t="str">
        <f>IFERROR(VLOOKUP(A1934,[1]diabetes_Recognition!$A:$B,2,FALSE),"Not Sampled")</f>
        <v>Not Sampled</v>
      </c>
      <c r="U1934" t="str">
        <f>IF(T1934=1,"Positive",(IF(T1934=0,"Negative","Not Sampled")))</f>
        <v>Not Sampled</v>
      </c>
      <c r="V1934" s="1" t="str">
        <f>IF(U1934="Not Sampled","Not Sampled",IF(S1934=U1934,"Accurate Prediction","Inaccurate Prediction"))</f>
        <v>Not Sampled</v>
      </c>
    </row>
    <row r="1935" spans="1:22" x14ac:dyDescent="0.25">
      <c r="A1935" s="1">
        <v>1933</v>
      </c>
      <c r="B1935" s="1">
        <v>1</v>
      </c>
      <c r="C1935" s="1">
        <f>LOOKUP(B1935,Sheet2!$D$4:$E$9)</f>
        <v>1</v>
      </c>
      <c r="D1935" s="1">
        <v>89</v>
      </c>
      <c r="E1935" t="str">
        <f>LOOKUP(D1935,Sheet2!$G$4:$H$9)</f>
        <v>1-99</v>
      </c>
      <c r="F1935" s="1">
        <v>76</v>
      </c>
      <c r="G1935" t="str">
        <f>LOOKUP(F1935,Sheet2!$J$4:$K$8)</f>
        <v>70-79</v>
      </c>
      <c r="H1935" s="1">
        <v>34</v>
      </c>
      <c r="I1935" t="str">
        <f>LOOKUP(H1935,Sheet2!$M$4:$N$8)</f>
        <v>30-39</v>
      </c>
      <c r="J1935" s="1">
        <v>37</v>
      </c>
      <c r="K1935" t="str">
        <f>LOOKUP(J1935,Sheet2!$P$4:$Q$9)</f>
        <v>1-99</v>
      </c>
      <c r="L1935" s="1">
        <v>31.2</v>
      </c>
      <c r="M1935" t="str">
        <f>LOOKUP(L1935,Sheet2!$S$4:$T$8)</f>
        <v>31-35</v>
      </c>
      <c r="N1935" s="1">
        <v>0.192</v>
      </c>
      <c r="O1935" t="str">
        <f>LOOKUP(N1935,Sheet2!$V$4:$W$7)</f>
        <v>0.0 - 0.249</v>
      </c>
      <c r="P1935" s="1">
        <v>23</v>
      </c>
      <c r="Q1935" t="str">
        <f>LOOKUP(P1935,Sheet2!$Z$4:$AA$7)</f>
        <v>&lt;=25</v>
      </c>
      <c r="R1935" s="1">
        <v>0</v>
      </c>
      <c r="S1935" t="str">
        <f>IF(R1935=1,"Positive","Negative")</f>
        <v>Negative</v>
      </c>
      <c r="T1935" s="1" t="str">
        <f>IFERROR(VLOOKUP(A1935,[1]diabetes_Recognition!$A:$B,2,FALSE),"Not Sampled")</f>
        <v>Not Sampled</v>
      </c>
      <c r="U1935" t="str">
        <f>IF(T1935=1,"Positive",(IF(T1935=0,"Negative","Not Sampled")))</f>
        <v>Not Sampled</v>
      </c>
      <c r="V1935" s="1" t="str">
        <f>IF(U1935="Not Sampled","Not Sampled",IF(S1935=U1935,"Accurate Prediction","Inaccurate Prediction"))</f>
        <v>Not Sampled</v>
      </c>
    </row>
    <row r="1936" spans="1:22" x14ac:dyDescent="0.25">
      <c r="A1936" s="1">
        <v>1934</v>
      </c>
      <c r="B1936" s="1">
        <v>4</v>
      </c>
      <c r="C1936" s="1" t="str">
        <f>LOOKUP(B1936,Sheet2!$D$4:$E$9)</f>
        <v>3-4</v>
      </c>
      <c r="D1936" s="1">
        <v>76</v>
      </c>
      <c r="E1936" t="str">
        <f>LOOKUP(D1936,Sheet2!$G$4:$H$9)</f>
        <v>1-99</v>
      </c>
      <c r="F1936" s="1">
        <v>62</v>
      </c>
      <c r="G1936" t="str">
        <f>LOOKUP(F1936,Sheet2!$J$4:$K$8)</f>
        <v>60-69</v>
      </c>
      <c r="H1936" s="1">
        <v>0</v>
      </c>
      <c r="I1936" t="str">
        <f>LOOKUP(H1936,Sheet2!$M$4:$N$8)</f>
        <v>Unknown</v>
      </c>
      <c r="J1936" s="1">
        <v>0</v>
      </c>
      <c r="K1936" t="str">
        <f>LOOKUP(J1936,Sheet2!$P$4:$Q$9)</f>
        <v>Unknown</v>
      </c>
      <c r="L1936" s="1">
        <v>34</v>
      </c>
      <c r="M1936" t="str">
        <f>LOOKUP(L1936,Sheet2!$S$4:$T$8)</f>
        <v>31-35</v>
      </c>
      <c r="N1936" s="1">
        <v>0.39100000000000001</v>
      </c>
      <c r="O1936" t="str">
        <f>LOOKUP(N1936,Sheet2!$V$4:$W$7)</f>
        <v>0.25 - 0.39</v>
      </c>
      <c r="P1936" s="1">
        <v>25</v>
      </c>
      <c r="Q1936" t="str">
        <f>LOOKUP(P1936,Sheet2!$Z$4:$AA$7)</f>
        <v>&lt;=25</v>
      </c>
      <c r="R1936" s="1">
        <v>0</v>
      </c>
      <c r="S1936" t="str">
        <f>IF(R1936=1,"Positive","Negative")</f>
        <v>Negative</v>
      </c>
      <c r="T1936" s="1" t="str">
        <f>IFERROR(VLOOKUP(A1936,[1]diabetes_Recognition!$A:$B,2,FALSE),"Not Sampled")</f>
        <v>Not Sampled</v>
      </c>
      <c r="U1936" t="str">
        <f>IF(T1936=1,"Positive",(IF(T1936=0,"Negative","Not Sampled")))</f>
        <v>Not Sampled</v>
      </c>
      <c r="V1936" s="1" t="str">
        <f>IF(U1936="Not Sampled","Not Sampled",IF(S1936=U1936,"Accurate Prediction","Inaccurate Prediction"))</f>
        <v>Not Sampled</v>
      </c>
    </row>
    <row r="1937" spans="1:22" x14ac:dyDescent="0.25">
      <c r="A1937" s="1">
        <v>1935</v>
      </c>
      <c r="B1937" s="1">
        <v>7</v>
      </c>
      <c r="C1937" s="1" t="str">
        <f>LOOKUP(B1937,Sheet2!$D$4:$E$9)</f>
        <v>5-7</v>
      </c>
      <c r="D1937" s="1">
        <v>160</v>
      </c>
      <c r="E1937" t="str">
        <f>LOOKUP(D1937,Sheet2!$G$4:$H$9)</f>
        <v>151-175</v>
      </c>
      <c r="F1937" s="1">
        <v>54</v>
      </c>
      <c r="G1937" t="str">
        <f>LOOKUP(F1937,Sheet2!$J$4:$K$8)</f>
        <v>1-59</v>
      </c>
      <c r="H1937" s="1">
        <v>32</v>
      </c>
      <c r="I1937" t="str">
        <f>LOOKUP(H1937,Sheet2!$M$4:$N$8)</f>
        <v>30-39</v>
      </c>
      <c r="J1937" s="1">
        <v>175</v>
      </c>
      <c r="K1937" t="str">
        <f>LOOKUP(J1937,Sheet2!$P$4:$Q$9)</f>
        <v>100-199</v>
      </c>
      <c r="L1937" s="1">
        <v>30.5</v>
      </c>
      <c r="M1937" t="str">
        <f>LOOKUP(L1937,Sheet2!$S$4:$T$8)</f>
        <v>26-30</v>
      </c>
      <c r="N1937" s="1">
        <v>0.58799999999999997</v>
      </c>
      <c r="O1937" t="str">
        <f>LOOKUP(N1937,Sheet2!$V$4:$W$7)</f>
        <v>0.4 - 0.69</v>
      </c>
      <c r="P1937" s="1">
        <v>39</v>
      </c>
      <c r="Q1937" t="str">
        <f>LOOKUP(P1937,Sheet2!$Z$4:$AA$7)</f>
        <v>36-45</v>
      </c>
      <c r="R1937" s="1">
        <v>1</v>
      </c>
      <c r="S1937" t="str">
        <f>IF(R1937=1,"Positive","Negative")</f>
        <v>Positive</v>
      </c>
      <c r="T1937" s="1" t="str">
        <f>IFERROR(VLOOKUP(A1937,[1]diabetes_Recognition!$A:$B,2,FALSE),"Not Sampled")</f>
        <v>Not Sampled</v>
      </c>
      <c r="U1937" t="str">
        <f>IF(T1937=1,"Positive",(IF(T1937=0,"Negative","Not Sampled")))</f>
        <v>Not Sampled</v>
      </c>
      <c r="V1937" s="1" t="str">
        <f>IF(U1937="Not Sampled","Not Sampled",IF(S1937=U1937,"Accurate Prediction","Inaccurate Prediction"))</f>
        <v>Not Sampled</v>
      </c>
    </row>
    <row r="1938" spans="1:22" x14ac:dyDescent="0.25">
      <c r="A1938" s="1">
        <v>1936</v>
      </c>
      <c r="B1938" s="1">
        <v>4</v>
      </c>
      <c r="C1938" s="1" t="str">
        <f>LOOKUP(B1938,Sheet2!$D$4:$E$9)</f>
        <v>3-4</v>
      </c>
      <c r="D1938" s="1">
        <v>146</v>
      </c>
      <c r="E1938" t="str">
        <f>LOOKUP(D1938,Sheet2!$G$4:$H$9)</f>
        <v>126-150</v>
      </c>
      <c r="F1938" s="1">
        <v>92</v>
      </c>
      <c r="G1938" t="str">
        <f>LOOKUP(F1938,Sheet2!$J$4:$K$8)</f>
        <v>80+</v>
      </c>
      <c r="H1938" s="1">
        <v>0</v>
      </c>
      <c r="I1938" t="str">
        <f>LOOKUP(H1938,Sheet2!$M$4:$N$8)</f>
        <v>Unknown</v>
      </c>
      <c r="J1938" s="1">
        <v>0</v>
      </c>
      <c r="K1938" t="str">
        <f>LOOKUP(J1938,Sheet2!$P$4:$Q$9)</f>
        <v>Unknown</v>
      </c>
      <c r="L1938" s="1">
        <v>31.2</v>
      </c>
      <c r="M1938" t="str">
        <f>LOOKUP(L1938,Sheet2!$S$4:$T$8)</f>
        <v>31-35</v>
      </c>
      <c r="N1938" s="1">
        <v>0.53900000000000003</v>
      </c>
      <c r="O1938" t="str">
        <f>LOOKUP(N1938,Sheet2!$V$4:$W$7)</f>
        <v>0.4 - 0.69</v>
      </c>
      <c r="P1938" s="1">
        <v>61</v>
      </c>
      <c r="Q1938" t="str">
        <f>LOOKUP(P1938,Sheet2!$Z$4:$AA$7)</f>
        <v>46+</v>
      </c>
      <c r="R1938" s="1">
        <v>1</v>
      </c>
      <c r="S1938" t="str">
        <f>IF(R1938=1,"Positive","Negative")</f>
        <v>Positive</v>
      </c>
      <c r="T1938" s="1" t="str">
        <f>IFERROR(VLOOKUP(A1938,[1]diabetes_Recognition!$A:$B,2,FALSE),"Not Sampled")</f>
        <v>Not Sampled</v>
      </c>
      <c r="U1938" t="str">
        <f>IF(T1938=1,"Positive",(IF(T1938=0,"Negative","Not Sampled")))</f>
        <v>Not Sampled</v>
      </c>
      <c r="V1938" s="1" t="str">
        <f>IF(U1938="Not Sampled","Not Sampled",IF(S1938=U1938,"Accurate Prediction","Inaccurate Prediction"))</f>
        <v>Not Sampled</v>
      </c>
    </row>
    <row r="1939" spans="1:22" x14ac:dyDescent="0.25">
      <c r="A1939" s="1">
        <v>1937</v>
      </c>
      <c r="B1939" s="1">
        <v>5</v>
      </c>
      <c r="C1939" s="1" t="str">
        <f>LOOKUP(B1939,Sheet2!$D$4:$E$9)</f>
        <v>5-7</v>
      </c>
      <c r="D1939" s="1">
        <v>124</v>
      </c>
      <c r="E1939" t="str">
        <f>LOOKUP(D1939,Sheet2!$G$4:$H$9)</f>
        <v>100-125</v>
      </c>
      <c r="F1939" s="1">
        <v>74</v>
      </c>
      <c r="G1939" t="str">
        <f>LOOKUP(F1939,Sheet2!$J$4:$K$8)</f>
        <v>70-79</v>
      </c>
      <c r="H1939" s="1">
        <v>0</v>
      </c>
      <c r="I1939" t="str">
        <f>LOOKUP(H1939,Sheet2!$M$4:$N$8)</f>
        <v>Unknown</v>
      </c>
      <c r="J1939" s="1">
        <v>0</v>
      </c>
      <c r="K1939" t="str">
        <f>LOOKUP(J1939,Sheet2!$P$4:$Q$9)</f>
        <v>Unknown</v>
      </c>
      <c r="L1939" s="1">
        <v>34</v>
      </c>
      <c r="M1939" t="str">
        <f>LOOKUP(L1939,Sheet2!$S$4:$T$8)</f>
        <v>31-35</v>
      </c>
      <c r="N1939" s="1">
        <v>0.22</v>
      </c>
      <c r="O1939" t="str">
        <f>LOOKUP(N1939,Sheet2!$V$4:$W$7)</f>
        <v>0.0 - 0.249</v>
      </c>
      <c r="P1939" s="1">
        <v>38</v>
      </c>
      <c r="Q1939" t="str">
        <f>LOOKUP(P1939,Sheet2!$Z$4:$AA$7)</f>
        <v>36-45</v>
      </c>
      <c r="R1939" s="1">
        <v>1</v>
      </c>
      <c r="S1939" t="str">
        <f>IF(R1939=1,"Positive","Negative")</f>
        <v>Positive</v>
      </c>
      <c r="T1939" s="1" t="str">
        <f>IFERROR(VLOOKUP(A1939,[1]diabetes_Recognition!$A:$B,2,FALSE),"Not Sampled")</f>
        <v>Not Sampled</v>
      </c>
      <c r="U1939" t="str">
        <f>IF(T1939=1,"Positive",(IF(T1939=0,"Negative","Not Sampled")))</f>
        <v>Not Sampled</v>
      </c>
      <c r="V1939" s="1" t="str">
        <f>IF(U1939="Not Sampled","Not Sampled",IF(S1939=U1939,"Accurate Prediction","Inaccurate Prediction"))</f>
        <v>Not Sampled</v>
      </c>
    </row>
    <row r="1940" spans="1:22" x14ac:dyDescent="0.25">
      <c r="A1940" s="1">
        <v>1938</v>
      </c>
      <c r="B1940" s="1">
        <v>5</v>
      </c>
      <c r="C1940" s="1" t="str">
        <f>LOOKUP(B1940,Sheet2!$D$4:$E$9)</f>
        <v>5-7</v>
      </c>
      <c r="D1940" s="1">
        <v>78</v>
      </c>
      <c r="E1940" t="str">
        <f>LOOKUP(D1940,Sheet2!$G$4:$H$9)</f>
        <v>1-99</v>
      </c>
      <c r="F1940" s="1">
        <v>48</v>
      </c>
      <c r="G1940" t="str">
        <f>LOOKUP(F1940,Sheet2!$J$4:$K$8)</f>
        <v>1-59</v>
      </c>
      <c r="H1940" s="1">
        <v>0</v>
      </c>
      <c r="I1940" t="str">
        <f>LOOKUP(H1940,Sheet2!$M$4:$N$8)</f>
        <v>Unknown</v>
      </c>
      <c r="J1940" s="1">
        <v>0</v>
      </c>
      <c r="K1940" t="str">
        <f>LOOKUP(J1940,Sheet2!$P$4:$Q$9)</f>
        <v>Unknown</v>
      </c>
      <c r="L1940" s="1">
        <v>33.700000000000003</v>
      </c>
      <c r="M1940" t="str">
        <f>LOOKUP(L1940,Sheet2!$S$4:$T$8)</f>
        <v>31-35</v>
      </c>
      <c r="N1940" s="1">
        <v>0.65400000000000003</v>
      </c>
      <c r="O1940" t="str">
        <f>LOOKUP(N1940,Sheet2!$V$4:$W$7)</f>
        <v>0.4 - 0.69</v>
      </c>
      <c r="P1940" s="1">
        <v>25</v>
      </c>
      <c r="Q1940" t="str">
        <f>LOOKUP(P1940,Sheet2!$Z$4:$AA$7)</f>
        <v>&lt;=25</v>
      </c>
      <c r="R1940" s="1">
        <v>0</v>
      </c>
      <c r="S1940" t="str">
        <f>IF(R1940=1,"Positive","Negative")</f>
        <v>Negative</v>
      </c>
      <c r="T1940" s="1" t="str">
        <f>IFERROR(VLOOKUP(A1940,[1]diabetes_Recognition!$A:$B,2,FALSE),"Not Sampled")</f>
        <v>Not Sampled</v>
      </c>
      <c r="U1940" t="str">
        <f>IF(T1940=1,"Positive",(IF(T1940=0,"Negative","Not Sampled")))</f>
        <v>Not Sampled</v>
      </c>
      <c r="V1940" s="1" t="str">
        <f>IF(U1940="Not Sampled","Not Sampled",IF(S1940=U1940,"Accurate Prediction","Inaccurate Prediction"))</f>
        <v>Not Sampled</v>
      </c>
    </row>
    <row r="1941" spans="1:22" x14ac:dyDescent="0.25">
      <c r="A1941" s="1">
        <v>1939</v>
      </c>
      <c r="B1941" s="1">
        <v>4</v>
      </c>
      <c r="C1941" s="1" t="str">
        <f>LOOKUP(B1941,Sheet2!$D$4:$E$9)</f>
        <v>3-4</v>
      </c>
      <c r="D1941" s="1">
        <v>97</v>
      </c>
      <c r="E1941" t="str">
        <f>LOOKUP(D1941,Sheet2!$G$4:$H$9)</f>
        <v>1-99</v>
      </c>
      <c r="F1941" s="1">
        <v>60</v>
      </c>
      <c r="G1941" t="str">
        <f>LOOKUP(F1941,Sheet2!$J$4:$K$8)</f>
        <v>60-69</v>
      </c>
      <c r="H1941" s="1">
        <v>23</v>
      </c>
      <c r="I1941" t="str">
        <f>LOOKUP(H1941,Sheet2!$M$4:$N$8)</f>
        <v>10-30</v>
      </c>
      <c r="J1941" s="1">
        <v>0</v>
      </c>
      <c r="K1941" t="str">
        <f>LOOKUP(J1941,Sheet2!$P$4:$Q$9)</f>
        <v>Unknown</v>
      </c>
      <c r="L1941" s="1">
        <v>28.2</v>
      </c>
      <c r="M1941" t="str">
        <f>LOOKUP(L1941,Sheet2!$S$4:$T$8)</f>
        <v>26-30</v>
      </c>
      <c r="N1941" s="1">
        <v>0.443</v>
      </c>
      <c r="O1941" t="str">
        <f>LOOKUP(N1941,Sheet2!$V$4:$W$7)</f>
        <v>0.4 - 0.69</v>
      </c>
      <c r="P1941" s="1">
        <v>22</v>
      </c>
      <c r="Q1941" t="str">
        <f>LOOKUP(P1941,Sheet2!$Z$4:$AA$7)</f>
        <v>&lt;=25</v>
      </c>
      <c r="R1941" s="1">
        <v>0</v>
      </c>
      <c r="S1941" t="str">
        <f>IF(R1941=1,"Positive","Negative")</f>
        <v>Negative</v>
      </c>
      <c r="T1941" s="1">
        <f>IFERROR(VLOOKUP(A1941,[1]diabetes_Recognition!$A:$B,2,FALSE),"Not Sampled")</f>
        <v>0</v>
      </c>
      <c r="U1941" t="str">
        <f>IF(T1941=1,"Positive",(IF(T1941=0,"Negative","Not Sampled")))</f>
        <v>Negative</v>
      </c>
      <c r="V1941" s="1" t="str">
        <f>IF(U1941="Not Sampled","Not Sampled",IF(S1941=U1941,"Accurate Prediction","Inaccurate Prediction"))</f>
        <v>Accurate Prediction</v>
      </c>
    </row>
    <row r="1942" spans="1:22" x14ac:dyDescent="0.25">
      <c r="A1942" s="1">
        <v>1940</v>
      </c>
      <c r="B1942" s="1">
        <v>4</v>
      </c>
      <c r="C1942" s="1" t="str">
        <f>LOOKUP(B1942,Sheet2!$D$4:$E$9)</f>
        <v>3-4</v>
      </c>
      <c r="D1942" s="1">
        <v>99</v>
      </c>
      <c r="E1942" t="str">
        <f>LOOKUP(D1942,Sheet2!$G$4:$H$9)</f>
        <v>1-99</v>
      </c>
      <c r="F1942" s="1">
        <v>76</v>
      </c>
      <c r="G1942" t="str">
        <f>LOOKUP(F1942,Sheet2!$J$4:$K$8)</f>
        <v>70-79</v>
      </c>
      <c r="H1942" s="1">
        <v>15</v>
      </c>
      <c r="I1942" t="str">
        <f>LOOKUP(H1942,Sheet2!$M$4:$N$8)</f>
        <v>10-30</v>
      </c>
      <c r="J1942" s="1">
        <v>51</v>
      </c>
      <c r="K1942" t="str">
        <f>LOOKUP(J1942,Sheet2!$P$4:$Q$9)</f>
        <v>1-99</v>
      </c>
      <c r="L1942" s="1">
        <v>23.2</v>
      </c>
      <c r="M1942" t="str">
        <f>LOOKUP(L1942,Sheet2!$S$4:$T$8)</f>
        <v>1-25</v>
      </c>
      <c r="N1942" s="1">
        <v>0.223</v>
      </c>
      <c r="O1942" t="str">
        <f>LOOKUP(N1942,Sheet2!$V$4:$W$7)</f>
        <v>0.0 - 0.249</v>
      </c>
      <c r="P1942" s="1">
        <v>21</v>
      </c>
      <c r="Q1942" t="str">
        <f>LOOKUP(P1942,Sheet2!$Z$4:$AA$7)</f>
        <v>&lt;=25</v>
      </c>
      <c r="R1942" s="1">
        <v>0</v>
      </c>
      <c r="S1942" t="str">
        <f>IF(R1942=1,"Positive","Negative")</f>
        <v>Negative</v>
      </c>
      <c r="T1942" s="1" t="str">
        <f>IFERROR(VLOOKUP(A1942,[1]diabetes_Recognition!$A:$B,2,FALSE),"Not Sampled")</f>
        <v>Not Sampled</v>
      </c>
      <c r="U1942" t="str">
        <f>IF(T1942=1,"Positive",(IF(T1942=0,"Negative","Not Sampled")))</f>
        <v>Not Sampled</v>
      </c>
      <c r="V1942" s="1" t="str">
        <f>IF(U1942="Not Sampled","Not Sampled",IF(S1942=U1942,"Accurate Prediction","Inaccurate Prediction"))</f>
        <v>Not Sampled</v>
      </c>
    </row>
    <row r="1943" spans="1:22" x14ac:dyDescent="0.25">
      <c r="A1943" s="1">
        <v>1941</v>
      </c>
      <c r="B1943" s="1">
        <v>0</v>
      </c>
      <c r="C1943" s="1">
        <f>LOOKUP(B1943,Sheet2!$D$4:$E$9)</f>
        <v>0</v>
      </c>
      <c r="D1943" s="1">
        <v>162</v>
      </c>
      <c r="E1943" t="str">
        <f>LOOKUP(D1943,Sheet2!$G$4:$H$9)</f>
        <v>151-175</v>
      </c>
      <c r="F1943" s="1">
        <v>76</v>
      </c>
      <c r="G1943" t="str">
        <f>LOOKUP(F1943,Sheet2!$J$4:$K$8)</f>
        <v>70-79</v>
      </c>
      <c r="H1943" s="1">
        <v>56</v>
      </c>
      <c r="I1943" t="str">
        <f>LOOKUP(H1943,Sheet2!$M$4:$N$8)</f>
        <v>40+</v>
      </c>
      <c r="J1943" s="1">
        <v>100</v>
      </c>
      <c r="K1943" t="str">
        <f>LOOKUP(J1943,Sheet2!$P$4:$Q$9)</f>
        <v>100-199</v>
      </c>
      <c r="L1943" s="1">
        <v>53.2</v>
      </c>
      <c r="M1943" t="str">
        <f>LOOKUP(L1943,Sheet2!$S$4:$T$8)</f>
        <v>36+</v>
      </c>
      <c r="N1943" s="1">
        <v>0.75900000000000001</v>
      </c>
      <c r="O1943" t="str">
        <f>LOOKUP(N1943,Sheet2!$V$4:$W$7)</f>
        <v>0.7+</v>
      </c>
      <c r="P1943" s="1">
        <v>25</v>
      </c>
      <c r="Q1943" t="str">
        <f>LOOKUP(P1943,Sheet2!$Z$4:$AA$7)</f>
        <v>&lt;=25</v>
      </c>
      <c r="R1943" s="1">
        <v>1</v>
      </c>
      <c r="S1943" t="str">
        <f>IF(R1943=1,"Positive","Negative")</f>
        <v>Positive</v>
      </c>
      <c r="T1943" s="1" t="str">
        <f>IFERROR(VLOOKUP(A1943,[1]diabetes_Recognition!$A:$B,2,FALSE),"Not Sampled")</f>
        <v>Not Sampled</v>
      </c>
      <c r="U1943" t="str">
        <f>IF(T1943=1,"Positive",(IF(T1943=0,"Negative","Not Sampled")))</f>
        <v>Not Sampled</v>
      </c>
      <c r="V1943" s="1" t="str">
        <f>IF(U1943="Not Sampled","Not Sampled",IF(S1943=U1943,"Accurate Prediction","Inaccurate Prediction"))</f>
        <v>Not Sampled</v>
      </c>
    </row>
    <row r="1944" spans="1:22" x14ac:dyDescent="0.25">
      <c r="A1944" s="1">
        <v>1942</v>
      </c>
      <c r="B1944" s="1">
        <v>6</v>
      </c>
      <c r="C1944" s="1" t="str">
        <f>LOOKUP(B1944,Sheet2!$D$4:$E$9)</f>
        <v>5-7</v>
      </c>
      <c r="D1944" s="1">
        <v>111</v>
      </c>
      <c r="E1944" t="str">
        <f>LOOKUP(D1944,Sheet2!$G$4:$H$9)</f>
        <v>100-125</v>
      </c>
      <c r="F1944" s="1">
        <v>64</v>
      </c>
      <c r="G1944" t="str">
        <f>LOOKUP(F1944,Sheet2!$J$4:$K$8)</f>
        <v>60-69</v>
      </c>
      <c r="H1944" s="1">
        <v>39</v>
      </c>
      <c r="I1944" t="str">
        <f>LOOKUP(H1944,Sheet2!$M$4:$N$8)</f>
        <v>30-39</v>
      </c>
      <c r="J1944" s="1">
        <v>0</v>
      </c>
      <c r="K1944" t="str">
        <f>LOOKUP(J1944,Sheet2!$P$4:$Q$9)</f>
        <v>Unknown</v>
      </c>
      <c r="L1944" s="1">
        <v>34.200000000000003</v>
      </c>
      <c r="M1944" t="str">
        <f>LOOKUP(L1944,Sheet2!$S$4:$T$8)</f>
        <v>31-35</v>
      </c>
      <c r="N1944" s="1">
        <v>0.26</v>
      </c>
      <c r="O1944" t="str">
        <f>LOOKUP(N1944,Sheet2!$V$4:$W$7)</f>
        <v>0.25 - 0.39</v>
      </c>
      <c r="P1944" s="1">
        <v>24</v>
      </c>
      <c r="Q1944" t="str">
        <f>LOOKUP(P1944,Sheet2!$Z$4:$AA$7)</f>
        <v>&lt;=25</v>
      </c>
      <c r="R1944" s="1">
        <v>0</v>
      </c>
      <c r="S1944" t="str">
        <f>IF(R1944=1,"Positive","Negative")</f>
        <v>Negative</v>
      </c>
      <c r="T1944" s="1">
        <f>IFERROR(VLOOKUP(A1944,[1]diabetes_Recognition!$A:$B,2,FALSE),"Not Sampled")</f>
        <v>0</v>
      </c>
      <c r="U1944" t="str">
        <f>IF(T1944=1,"Positive",(IF(T1944=0,"Negative","Not Sampled")))</f>
        <v>Negative</v>
      </c>
      <c r="V1944" s="1" t="str">
        <f>IF(U1944="Not Sampled","Not Sampled",IF(S1944=U1944,"Accurate Prediction","Inaccurate Prediction"))</f>
        <v>Accurate Prediction</v>
      </c>
    </row>
    <row r="1945" spans="1:22" x14ac:dyDescent="0.25">
      <c r="A1945" s="1">
        <v>1943</v>
      </c>
      <c r="B1945" s="1">
        <v>2</v>
      </c>
      <c r="C1945" s="1">
        <f>LOOKUP(B1945,Sheet2!$D$4:$E$9)</f>
        <v>2</v>
      </c>
      <c r="D1945" s="1">
        <v>107</v>
      </c>
      <c r="E1945" t="str">
        <f>LOOKUP(D1945,Sheet2!$G$4:$H$9)</f>
        <v>100-125</v>
      </c>
      <c r="F1945" s="1">
        <v>74</v>
      </c>
      <c r="G1945" t="str">
        <f>LOOKUP(F1945,Sheet2!$J$4:$K$8)</f>
        <v>70-79</v>
      </c>
      <c r="H1945" s="1">
        <v>30</v>
      </c>
      <c r="I1945" t="str">
        <f>LOOKUP(H1945,Sheet2!$M$4:$N$8)</f>
        <v>30-39</v>
      </c>
      <c r="J1945" s="1">
        <v>100</v>
      </c>
      <c r="K1945" t="str">
        <f>LOOKUP(J1945,Sheet2!$P$4:$Q$9)</f>
        <v>100-199</v>
      </c>
      <c r="L1945" s="1">
        <v>33.6</v>
      </c>
      <c r="M1945" t="str">
        <f>LOOKUP(L1945,Sheet2!$S$4:$T$8)</f>
        <v>31-35</v>
      </c>
      <c r="N1945" s="1">
        <v>0.40400000000000003</v>
      </c>
      <c r="O1945" t="str">
        <f>LOOKUP(N1945,Sheet2!$V$4:$W$7)</f>
        <v>0.4 - 0.69</v>
      </c>
      <c r="P1945" s="1">
        <v>23</v>
      </c>
      <c r="Q1945" t="str">
        <f>LOOKUP(P1945,Sheet2!$Z$4:$AA$7)</f>
        <v>&lt;=25</v>
      </c>
      <c r="R1945" s="1">
        <v>0</v>
      </c>
      <c r="S1945" t="str">
        <f>IF(R1945=1,"Positive","Negative")</f>
        <v>Negative</v>
      </c>
      <c r="T1945" s="1" t="str">
        <f>IFERROR(VLOOKUP(A1945,[1]diabetes_Recognition!$A:$B,2,FALSE),"Not Sampled")</f>
        <v>Not Sampled</v>
      </c>
      <c r="U1945" t="str">
        <f>IF(T1945=1,"Positive",(IF(T1945=0,"Negative","Not Sampled")))</f>
        <v>Not Sampled</v>
      </c>
      <c r="V1945" s="1" t="str">
        <f>IF(U1945="Not Sampled","Not Sampled",IF(S1945=U1945,"Accurate Prediction","Inaccurate Prediction"))</f>
        <v>Not Sampled</v>
      </c>
    </row>
    <row r="1946" spans="1:22" x14ac:dyDescent="0.25">
      <c r="A1946" s="1">
        <v>1944</v>
      </c>
      <c r="B1946" s="1">
        <v>5</v>
      </c>
      <c r="C1946" s="1" t="str">
        <f>LOOKUP(B1946,Sheet2!$D$4:$E$9)</f>
        <v>5-7</v>
      </c>
      <c r="D1946" s="1">
        <v>132</v>
      </c>
      <c r="E1946" t="str">
        <f>LOOKUP(D1946,Sheet2!$G$4:$H$9)</f>
        <v>126-150</v>
      </c>
      <c r="F1946" s="1">
        <v>80</v>
      </c>
      <c r="G1946" t="str">
        <f>LOOKUP(F1946,Sheet2!$J$4:$K$8)</f>
        <v>80+</v>
      </c>
      <c r="H1946" s="1">
        <v>0</v>
      </c>
      <c r="I1946" t="str">
        <f>LOOKUP(H1946,Sheet2!$M$4:$N$8)</f>
        <v>Unknown</v>
      </c>
      <c r="J1946" s="1">
        <v>0</v>
      </c>
      <c r="K1946" t="str">
        <f>LOOKUP(J1946,Sheet2!$P$4:$Q$9)</f>
        <v>Unknown</v>
      </c>
      <c r="L1946" s="1">
        <v>26.8</v>
      </c>
      <c r="M1946" t="str">
        <f>LOOKUP(L1946,Sheet2!$S$4:$T$8)</f>
        <v>26-30</v>
      </c>
      <c r="N1946" s="1">
        <v>0.186</v>
      </c>
      <c r="O1946" t="str">
        <f>LOOKUP(N1946,Sheet2!$V$4:$W$7)</f>
        <v>0.0 - 0.249</v>
      </c>
      <c r="P1946" s="1">
        <v>69</v>
      </c>
      <c r="Q1946" t="str">
        <f>LOOKUP(P1946,Sheet2!$Z$4:$AA$7)</f>
        <v>46+</v>
      </c>
      <c r="R1946" s="1">
        <v>0</v>
      </c>
      <c r="S1946" t="str">
        <f>IF(R1946=1,"Positive","Negative")</f>
        <v>Negative</v>
      </c>
      <c r="T1946" s="1">
        <f>IFERROR(VLOOKUP(A1946,[1]diabetes_Recognition!$A:$B,2,FALSE),"Not Sampled")</f>
        <v>0</v>
      </c>
      <c r="U1946" t="str">
        <f>IF(T1946=1,"Positive",(IF(T1946=0,"Negative","Not Sampled")))</f>
        <v>Negative</v>
      </c>
      <c r="V1946" s="1" t="str">
        <f>IF(U1946="Not Sampled","Not Sampled",IF(S1946=U1946,"Accurate Prediction","Inaccurate Prediction"))</f>
        <v>Accurate Prediction</v>
      </c>
    </row>
    <row r="1947" spans="1:22" x14ac:dyDescent="0.25">
      <c r="A1947" s="1">
        <v>1945</v>
      </c>
      <c r="B1947" s="1">
        <v>0</v>
      </c>
      <c r="C1947" s="1">
        <f>LOOKUP(B1947,Sheet2!$D$4:$E$9)</f>
        <v>0</v>
      </c>
      <c r="D1947" s="1">
        <v>113</v>
      </c>
      <c r="E1947" t="str">
        <f>LOOKUP(D1947,Sheet2!$G$4:$H$9)</f>
        <v>100-125</v>
      </c>
      <c r="F1947" s="1">
        <v>76</v>
      </c>
      <c r="G1947" t="str">
        <f>LOOKUP(F1947,Sheet2!$J$4:$K$8)</f>
        <v>70-79</v>
      </c>
      <c r="H1947" s="1">
        <v>0</v>
      </c>
      <c r="I1947" t="str">
        <f>LOOKUP(H1947,Sheet2!$M$4:$N$8)</f>
        <v>Unknown</v>
      </c>
      <c r="J1947" s="1">
        <v>0</v>
      </c>
      <c r="K1947" t="str">
        <f>LOOKUP(J1947,Sheet2!$P$4:$Q$9)</f>
        <v>Unknown</v>
      </c>
      <c r="L1947" s="1">
        <v>33.299999999999997</v>
      </c>
      <c r="M1947" t="str">
        <f>LOOKUP(L1947,Sheet2!$S$4:$T$8)</f>
        <v>31-35</v>
      </c>
      <c r="N1947" s="1">
        <v>0.27800000000000002</v>
      </c>
      <c r="O1947" t="str">
        <f>LOOKUP(N1947,Sheet2!$V$4:$W$7)</f>
        <v>0.25 - 0.39</v>
      </c>
      <c r="P1947" s="1">
        <v>23</v>
      </c>
      <c r="Q1947" t="str">
        <f>LOOKUP(P1947,Sheet2!$Z$4:$AA$7)</f>
        <v>&lt;=25</v>
      </c>
      <c r="R1947" s="1">
        <v>1</v>
      </c>
      <c r="S1947" t="str">
        <f>IF(R1947=1,"Positive","Negative")</f>
        <v>Positive</v>
      </c>
      <c r="T1947" s="1" t="str">
        <f>IFERROR(VLOOKUP(A1947,[1]diabetes_Recognition!$A:$B,2,FALSE),"Not Sampled")</f>
        <v>Not Sampled</v>
      </c>
      <c r="U1947" t="str">
        <f>IF(T1947=1,"Positive",(IF(T1947=0,"Negative","Not Sampled")))</f>
        <v>Not Sampled</v>
      </c>
      <c r="V1947" s="1" t="str">
        <f>IF(U1947="Not Sampled","Not Sampled",IF(S1947=U1947,"Accurate Prediction","Inaccurate Prediction"))</f>
        <v>Not Sampled</v>
      </c>
    </row>
    <row r="1948" spans="1:22" x14ac:dyDescent="0.25">
      <c r="A1948" s="1">
        <v>1946</v>
      </c>
      <c r="B1948" s="1">
        <v>1</v>
      </c>
      <c r="C1948" s="1">
        <f>LOOKUP(B1948,Sheet2!$D$4:$E$9)</f>
        <v>1</v>
      </c>
      <c r="D1948" s="1">
        <v>88</v>
      </c>
      <c r="E1948" t="str">
        <f>LOOKUP(D1948,Sheet2!$G$4:$H$9)</f>
        <v>1-99</v>
      </c>
      <c r="F1948" s="1">
        <v>30</v>
      </c>
      <c r="G1948" t="str">
        <f>LOOKUP(F1948,Sheet2!$J$4:$K$8)</f>
        <v>1-59</v>
      </c>
      <c r="H1948" s="1">
        <v>42</v>
      </c>
      <c r="I1948" t="str">
        <f>LOOKUP(H1948,Sheet2!$M$4:$N$8)</f>
        <v>40+</v>
      </c>
      <c r="J1948" s="1">
        <v>99</v>
      </c>
      <c r="K1948" t="str">
        <f>LOOKUP(J1948,Sheet2!$P$4:$Q$9)</f>
        <v>1-99</v>
      </c>
      <c r="L1948" s="1">
        <v>55</v>
      </c>
      <c r="M1948" t="str">
        <f>LOOKUP(L1948,Sheet2!$S$4:$T$8)</f>
        <v>36+</v>
      </c>
      <c r="N1948" s="1">
        <v>0.496</v>
      </c>
      <c r="O1948" t="str">
        <f>LOOKUP(N1948,Sheet2!$V$4:$W$7)</f>
        <v>0.4 - 0.69</v>
      </c>
      <c r="P1948" s="1">
        <v>26</v>
      </c>
      <c r="Q1948" t="str">
        <f>LOOKUP(P1948,Sheet2!$Z$4:$AA$7)</f>
        <v>26-35</v>
      </c>
      <c r="R1948" s="1">
        <v>1</v>
      </c>
      <c r="S1948" t="str">
        <f>IF(R1948=1,"Positive","Negative")</f>
        <v>Positive</v>
      </c>
      <c r="T1948" s="1">
        <f>IFERROR(VLOOKUP(A1948,[1]diabetes_Recognition!$A:$B,2,FALSE),"Not Sampled")</f>
        <v>0</v>
      </c>
      <c r="U1948" t="str">
        <f>IF(T1948=1,"Positive",(IF(T1948=0,"Negative","Not Sampled")))</f>
        <v>Negative</v>
      </c>
      <c r="V1948" s="1" t="str">
        <f>IF(U1948="Not Sampled","Not Sampled",IF(S1948=U1948,"Accurate Prediction","Inaccurate Prediction"))</f>
        <v>Inaccurate Prediction</v>
      </c>
    </row>
    <row r="1949" spans="1:22" x14ac:dyDescent="0.25">
      <c r="A1949" s="1">
        <v>1947</v>
      </c>
      <c r="B1949" s="1">
        <v>3</v>
      </c>
      <c r="C1949" s="1" t="str">
        <f>LOOKUP(B1949,Sheet2!$D$4:$E$9)</f>
        <v>3-4</v>
      </c>
      <c r="D1949" s="1">
        <v>120</v>
      </c>
      <c r="E1949" t="str">
        <f>LOOKUP(D1949,Sheet2!$G$4:$H$9)</f>
        <v>100-125</v>
      </c>
      <c r="F1949" s="1">
        <v>70</v>
      </c>
      <c r="G1949" t="str">
        <f>LOOKUP(F1949,Sheet2!$J$4:$K$8)</f>
        <v>70-79</v>
      </c>
      <c r="H1949" s="1">
        <v>30</v>
      </c>
      <c r="I1949" t="str">
        <f>LOOKUP(H1949,Sheet2!$M$4:$N$8)</f>
        <v>30-39</v>
      </c>
      <c r="J1949" s="1">
        <v>135</v>
      </c>
      <c r="K1949" t="str">
        <f>LOOKUP(J1949,Sheet2!$P$4:$Q$9)</f>
        <v>100-199</v>
      </c>
      <c r="L1949" s="1">
        <v>42.9</v>
      </c>
      <c r="M1949" t="str">
        <f>LOOKUP(L1949,Sheet2!$S$4:$T$8)</f>
        <v>36+</v>
      </c>
      <c r="N1949" s="1">
        <v>0.45200000000000001</v>
      </c>
      <c r="O1949" t="str">
        <f>LOOKUP(N1949,Sheet2!$V$4:$W$7)</f>
        <v>0.4 - 0.69</v>
      </c>
      <c r="P1949" s="1">
        <v>30</v>
      </c>
      <c r="Q1949" t="str">
        <f>LOOKUP(P1949,Sheet2!$Z$4:$AA$7)</f>
        <v>26-35</v>
      </c>
      <c r="R1949" s="1">
        <v>0</v>
      </c>
      <c r="S1949" t="str">
        <f>IF(R1949=1,"Positive","Negative")</f>
        <v>Negative</v>
      </c>
      <c r="T1949" s="1">
        <f>IFERROR(VLOOKUP(A1949,[1]diabetes_Recognition!$A:$B,2,FALSE),"Not Sampled")</f>
        <v>0</v>
      </c>
      <c r="U1949" t="str">
        <f>IF(T1949=1,"Positive",(IF(T1949=0,"Negative","Not Sampled")))</f>
        <v>Negative</v>
      </c>
      <c r="V1949" s="1" t="str">
        <f>IF(U1949="Not Sampled","Not Sampled",IF(S1949=U1949,"Accurate Prediction","Inaccurate Prediction"))</f>
        <v>Accurate Prediction</v>
      </c>
    </row>
    <row r="1950" spans="1:22" x14ac:dyDescent="0.25">
      <c r="A1950" s="1">
        <v>1948</v>
      </c>
      <c r="B1950" s="1">
        <v>1</v>
      </c>
      <c r="C1950" s="1">
        <f>LOOKUP(B1950,Sheet2!$D$4:$E$9)</f>
        <v>1</v>
      </c>
      <c r="D1950" s="1">
        <v>118</v>
      </c>
      <c r="E1950" t="str">
        <f>LOOKUP(D1950,Sheet2!$G$4:$H$9)</f>
        <v>100-125</v>
      </c>
      <c r="F1950" s="1">
        <v>58</v>
      </c>
      <c r="G1950" t="str">
        <f>LOOKUP(F1950,Sheet2!$J$4:$K$8)</f>
        <v>1-59</v>
      </c>
      <c r="H1950" s="1">
        <v>36</v>
      </c>
      <c r="I1950" t="str">
        <f>LOOKUP(H1950,Sheet2!$M$4:$N$8)</f>
        <v>30-39</v>
      </c>
      <c r="J1950" s="1">
        <v>94</v>
      </c>
      <c r="K1950" t="str">
        <f>LOOKUP(J1950,Sheet2!$P$4:$Q$9)</f>
        <v>1-99</v>
      </c>
      <c r="L1950" s="1">
        <v>33.299999999999997</v>
      </c>
      <c r="M1950" t="str">
        <f>LOOKUP(L1950,Sheet2!$S$4:$T$8)</f>
        <v>31-35</v>
      </c>
      <c r="N1950" s="1">
        <v>0.26100000000000001</v>
      </c>
      <c r="O1950" t="str">
        <f>LOOKUP(N1950,Sheet2!$V$4:$W$7)</f>
        <v>0.25 - 0.39</v>
      </c>
      <c r="P1950" s="1">
        <v>23</v>
      </c>
      <c r="Q1950" t="str">
        <f>LOOKUP(P1950,Sheet2!$Z$4:$AA$7)</f>
        <v>&lt;=25</v>
      </c>
      <c r="R1950" s="1">
        <v>0</v>
      </c>
      <c r="S1950" t="str">
        <f>IF(R1950=1,"Positive","Negative")</f>
        <v>Negative</v>
      </c>
      <c r="T1950" s="1" t="str">
        <f>IFERROR(VLOOKUP(A1950,[1]diabetes_Recognition!$A:$B,2,FALSE),"Not Sampled")</f>
        <v>Not Sampled</v>
      </c>
      <c r="U1950" t="str">
        <f>IF(T1950=1,"Positive",(IF(T1950=0,"Negative","Not Sampled")))</f>
        <v>Not Sampled</v>
      </c>
      <c r="V1950" s="1" t="str">
        <f>IF(U1950="Not Sampled","Not Sampled",IF(S1950=U1950,"Accurate Prediction","Inaccurate Prediction"))</f>
        <v>Not Sampled</v>
      </c>
    </row>
    <row r="1951" spans="1:22" x14ac:dyDescent="0.25">
      <c r="A1951" s="1">
        <v>1949</v>
      </c>
      <c r="B1951" s="1">
        <v>1</v>
      </c>
      <c r="C1951" s="1">
        <f>LOOKUP(B1951,Sheet2!$D$4:$E$9)</f>
        <v>1</v>
      </c>
      <c r="D1951" s="1">
        <v>117</v>
      </c>
      <c r="E1951" t="str">
        <f>LOOKUP(D1951,Sheet2!$G$4:$H$9)</f>
        <v>100-125</v>
      </c>
      <c r="F1951" s="1">
        <v>88</v>
      </c>
      <c r="G1951" t="str">
        <f>LOOKUP(F1951,Sheet2!$J$4:$K$8)</f>
        <v>80+</v>
      </c>
      <c r="H1951" s="1">
        <v>24</v>
      </c>
      <c r="I1951" t="str">
        <f>LOOKUP(H1951,Sheet2!$M$4:$N$8)</f>
        <v>10-30</v>
      </c>
      <c r="J1951" s="1">
        <v>145</v>
      </c>
      <c r="K1951" t="str">
        <f>LOOKUP(J1951,Sheet2!$P$4:$Q$9)</f>
        <v>100-199</v>
      </c>
      <c r="L1951" s="1">
        <v>34.5</v>
      </c>
      <c r="M1951" t="str">
        <f>LOOKUP(L1951,Sheet2!$S$4:$T$8)</f>
        <v>31-35</v>
      </c>
      <c r="N1951" s="1">
        <v>0.40300000000000002</v>
      </c>
      <c r="O1951" t="str">
        <f>LOOKUP(N1951,Sheet2!$V$4:$W$7)</f>
        <v>0.4 - 0.69</v>
      </c>
      <c r="P1951" s="1">
        <v>40</v>
      </c>
      <c r="Q1951" t="str">
        <f>LOOKUP(P1951,Sheet2!$Z$4:$AA$7)</f>
        <v>36-45</v>
      </c>
      <c r="R1951" s="1">
        <v>1</v>
      </c>
      <c r="S1951" t="str">
        <f>IF(R1951=1,"Positive","Negative")</f>
        <v>Positive</v>
      </c>
      <c r="T1951" s="1" t="str">
        <f>IFERROR(VLOOKUP(A1951,[1]diabetes_Recognition!$A:$B,2,FALSE),"Not Sampled")</f>
        <v>Not Sampled</v>
      </c>
      <c r="U1951" t="str">
        <f>IF(T1951=1,"Positive",(IF(T1951=0,"Negative","Not Sampled")))</f>
        <v>Not Sampled</v>
      </c>
      <c r="V1951" s="1" t="str">
        <f>IF(U1951="Not Sampled","Not Sampled",IF(S1951=U1951,"Accurate Prediction","Inaccurate Prediction"))</f>
        <v>Not Sampled</v>
      </c>
    </row>
    <row r="1952" spans="1:22" x14ac:dyDescent="0.25">
      <c r="A1952" s="1">
        <v>1950</v>
      </c>
      <c r="B1952" s="1">
        <v>0</v>
      </c>
      <c r="C1952" s="1">
        <f>LOOKUP(B1952,Sheet2!$D$4:$E$9)</f>
        <v>0</v>
      </c>
      <c r="D1952" s="1">
        <v>105</v>
      </c>
      <c r="E1952" t="str">
        <f>LOOKUP(D1952,Sheet2!$G$4:$H$9)</f>
        <v>100-125</v>
      </c>
      <c r="F1952" s="1">
        <v>84</v>
      </c>
      <c r="G1952" t="str">
        <f>LOOKUP(F1952,Sheet2!$J$4:$K$8)</f>
        <v>80+</v>
      </c>
      <c r="H1952" s="1">
        <v>0</v>
      </c>
      <c r="I1952" t="str">
        <f>LOOKUP(H1952,Sheet2!$M$4:$N$8)</f>
        <v>Unknown</v>
      </c>
      <c r="J1952" s="1">
        <v>0</v>
      </c>
      <c r="K1952" t="str">
        <f>LOOKUP(J1952,Sheet2!$P$4:$Q$9)</f>
        <v>Unknown</v>
      </c>
      <c r="L1952" s="1">
        <v>27.9</v>
      </c>
      <c r="M1952" t="str">
        <f>LOOKUP(L1952,Sheet2!$S$4:$T$8)</f>
        <v>26-30</v>
      </c>
      <c r="N1952" s="1">
        <v>0.74099999999999999</v>
      </c>
      <c r="O1952" t="str">
        <f>LOOKUP(N1952,Sheet2!$V$4:$W$7)</f>
        <v>0.7+</v>
      </c>
      <c r="P1952" s="1">
        <v>62</v>
      </c>
      <c r="Q1952" t="str">
        <f>LOOKUP(P1952,Sheet2!$Z$4:$AA$7)</f>
        <v>46+</v>
      </c>
      <c r="R1952" s="1">
        <v>1</v>
      </c>
      <c r="S1952" t="str">
        <f>IF(R1952=1,"Positive","Negative")</f>
        <v>Positive</v>
      </c>
      <c r="T1952" s="1">
        <f>IFERROR(VLOOKUP(A1952,[1]diabetes_Recognition!$A:$B,2,FALSE),"Not Sampled")</f>
        <v>0</v>
      </c>
      <c r="U1952" t="str">
        <f>IF(T1952=1,"Positive",(IF(T1952=0,"Negative","Not Sampled")))</f>
        <v>Negative</v>
      </c>
      <c r="V1952" s="1" t="str">
        <f>IF(U1952="Not Sampled","Not Sampled",IF(S1952=U1952,"Accurate Prediction","Inaccurate Prediction"))</f>
        <v>Inaccurate Prediction</v>
      </c>
    </row>
    <row r="1953" spans="1:22" x14ac:dyDescent="0.25">
      <c r="A1953" s="1">
        <v>1951</v>
      </c>
      <c r="B1953" s="1">
        <v>4</v>
      </c>
      <c r="C1953" s="1" t="str">
        <f>LOOKUP(B1953,Sheet2!$D$4:$E$9)</f>
        <v>3-4</v>
      </c>
      <c r="D1953" s="1">
        <v>173</v>
      </c>
      <c r="E1953" t="str">
        <f>LOOKUP(D1953,Sheet2!$G$4:$H$9)</f>
        <v>151-175</v>
      </c>
      <c r="F1953" s="1">
        <v>70</v>
      </c>
      <c r="G1953" t="str">
        <f>LOOKUP(F1953,Sheet2!$J$4:$K$8)</f>
        <v>70-79</v>
      </c>
      <c r="H1953" s="1">
        <v>14</v>
      </c>
      <c r="I1953" t="str">
        <f>LOOKUP(H1953,Sheet2!$M$4:$N$8)</f>
        <v>10-30</v>
      </c>
      <c r="J1953" s="1">
        <v>168</v>
      </c>
      <c r="K1953" t="str">
        <f>LOOKUP(J1953,Sheet2!$P$4:$Q$9)</f>
        <v>100-199</v>
      </c>
      <c r="L1953" s="1">
        <v>29.7</v>
      </c>
      <c r="M1953" t="str">
        <f>LOOKUP(L1953,Sheet2!$S$4:$T$8)</f>
        <v>26-30</v>
      </c>
      <c r="N1953" s="1">
        <v>0.36099999999999999</v>
      </c>
      <c r="O1953" t="str">
        <f>LOOKUP(N1953,Sheet2!$V$4:$W$7)</f>
        <v>0.25 - 0.39</v>
      </c>
      <c r="P1953" s="1">
        <v>33</v>
      </c>
      <c r="Q1953" t="str">
        <f>LOOKUP(P1953,Sheet2!$Z$4:$AA$7)</f>
        <v>26-35</v>
      </c>
      <c r="R1953" s="1">
        <v>1</v>
      </c>
      <c r="S1953" t="str">
        <f>IF(R1953=1,"Positive","Negative")</f>
        <v>Positive</v>
      </c>
      <c r="T1953" s="1" t="str">
        <f>IFERROR(VLOOKUP(A1953,[1]diabetes_Recognition!$A:$B,2,FALSE),"Not Sampled")</f>
        <v>Not Sampled</v>
      </c>
      <c r="U1953" t="str">
        <f>IF(T1953=1,"Positive",(IF(T1953=0,"Negative","Not Sampled")))</f>
        <v>Not Sampled</v>
      </c>
      <c r="V1953" s="1" t="str">
        <f>IF(U1953="Not Sampled","Not Sampled",IF(S1953=U1953,"Accurate Prediction","Inaccurate Prediction"))</f>
        <v>Not Sampled</v>
      </c>
    </row>
    <row r="1954" spans="1:22" x14ac:dyDescent="0.25">
      <c r="A1954" s="1">
        <v>1952</v>
      </c>
      <c r="B1954" s="1">
        <v>9</v>
      </c>
      <c r="C1954" s="1" t="str">
        <f>LOOKUP(B1954,Sheet2!$D$4:$E$9)</f>
        <v>8+</v>
      </c>
      <c r="D1954" s="1">
        <v>122</v>
      </c>
      <c r="E1954" t="str">
        <f>LOOKUP(D1954,Sheet2!$G$4:$H$9)</f>
        <v>100-125</v>
      </c>
      <c r="F1954" s="1">
        <v>56</v>
      </c>
      <c r="G1954" t="str">
        <f>LOOKUP(F1954,Sheet2!$J$4:$K$8)</f>
        <v>1-59</v>
      </c>
      <c r="H1954" s="1">
        <v>0</v>
      </c>
      <c r="I1954" t="str">
        <f>LOOKUP(H1954,Sheet2!$M$4:$N$8)</f>
        <v>Unknown</v>
      </c>
      <c r="J1954" s="1">
        <v>0</v>
      </c>
      <c r="K1954" t="str">
        <f>LOOKUP(J1954,Sheet2!$P$4:$Q$9)</f>
        <v>Unknown</v>
      </c>
      <c r="L1954" s="1">
        <v>33.299999999999997</v>
      </c>
      <c r="M1954" t="str">
        <f>LOOKUP(L1954,Sheet2!$S$4:$T$8)</f>
        <v>31-35</v>
      </c>
      <c r="N1954" s="1">
        <v>1.1140000000000001</v>
      </c>
      <c r="O1954" t="str">
        <f>LOOKUP(N1954,Sheet2!$V$4:$W$7)</f>
        <v>0.7+</v>
      </c>
      <c r="P1954" s="1">
        <v>33</v>
      </c>
      <c r="Q1954" t="str">
        <f>LOOKUP(P1954,Sheet2!$Z$4:$AA$7)</f>
        <v>26-35</v>
      </c>
      <c r="R1954" s="1">
        <v>1</v>
      </c>
      <c r="S1954" t="str">
        <f>IF(R1954=1,"Positive","Negative")</f>
        <v>Positive</v>
      </c>
      <c r="T1954" s="1" t="str">
        <f>IFERROR(VLOOKUP(A1954,[1]diabetes_Recognition!$A:$B,2,FALSE),"Not Sampled")</f>
        <v>Not Sampled</v>
      </c>
      <c r="U1954" t="str">
        <f>IF(T1954=1,"Positive",(IF(T1954=0,"Negative","Not Sampled")))</f>
        <v>Not Sampled</v>
      </c>
      <c r="V1954" s="1" t="str">
        <f>IF(U1954="Not Sampled","Not Sampled",IF(S1954=U1954,"Accurate Prediction","Inaccurate Prediction"))</f>
        <v>Not Sampled</v>
      </c>
    </row>
    <row r="1955" spans="1:22" x14ac:dyDescent="0.25">
      <c r="A1955" s="1">
        <v>1953</v>
      </c>
      <c r="B1955" s="1">
        <v>3</v>
      </c>
      <c r="C1955" s="1" t="str">
        <f>LOOKUP(B1955,Sheet2!$D$4:$E$9)</f>
        <v>3-4</v>
      </c>
      <c r="D1955" s="1">
        <v>170</v>
      </c>
      <c r="E1955" t="str">
        <f>LOOKUP(D1955,Sheet2!$G$4:$H$9)</f>
        <v>151-175</v>
      </c>
      <c r="F1955" s="1">
        <v>64</v>
      </c>
      <c r="G1955" t="str">
        <f>LOOKUP(F1955,Sheet2!$J$4:$K$8)</f>
        <v>60-69</v>
      </c>
      <c r="H1955" s="1">
        <v>37</v>
      </c>
      <c r="I1955" t="str">
        <f>LOOKUP(H1955,Sheet2!$M$4:$N$8)</f>
        <v>30-39</v>
      </c>
      <c r="J1955" s="1">
        <v>225</v>
      </c>
      <c r="K1955" t="str">
        <f>LOOKUP(J1955,Sheet2!$P$4:$Q$9)</f>
        <v>200-399</v>
      </c>
      <c r="L1955" s="1">
        <v>34.5</v>
      </c>
      <c r="M1955" t="str">
        <f>LOOKUP(L1955,Sheet2!$S$4:$T$8)</f>
        <v>31-35</v>
      </c>
      <c r="N1955" s="1">
        <v>0.35599999999999998</v>
      </c>
      <c r="O1955" t="str">
        <f>LOOKUP(N1955,Sheet2!$V$4:$W$7)</f>
        <v>0.25 - 0.39</v>
      </c>
      <c r="P1955" s="1">
        <v>30</v>
      </c>
      <c r="Q1955" t="str">
        <f>LOOKUP(P1955,Sheet2!$Z$4:$AA$7)</f>
        <v>26-35</v>
      </c>
      <c r="R1955" s="1">
        <v>1</v>
      </c>
      <c r="S1955" t="str">
        <f>IF(R1955=1,"Positive","Negative")</f>
        <v>Positive</v>
      </c>
      <c r="T1955" s="1" t="str">
        <f>IFERROR(VLOOKUP(A1955,[1]diabetes_Recognition!$A:$B,2,FALSE),"Not Sampled")</f>
        <v>Not Sampled</v>
      </c>
      <c r="U1955" t="str">
        <f>IF(T1955=1,"Positive",(IF(T1955=0,"Negative","Not Sampled")))</f>
        <v>Not Sampled</v>
      </c>
      <c r="V1955" s="1" t="str">
        <f>IF(U1955="Not Sampled","Not Sampled",IF(S1955=U1955,"Accurate Prediction","Inaccurate Prediction"))</f>
        <v>Not Sampled</v>
      </c>
    </row>
    <row r="1956" spans="1:22" x14ac:dyDescent="0.25">
      <c r="A1956" s="1">
        <v>1954</v>
      </c>
      <c r="B1956" s="1">
        <v>8</v>
      </c>
      <c r="C1956" s="1" t="str">
        <f>LOOKUP(B1956,Sheet2!$D$4:$E$9)</f>
        <v>8+</v>
      </c>
      <c r="D1956" s="1">
        <v>84</v>
      </c>
      <c r="E1956" t="str">
        <f>LOOKUP(D1956,Sheet2!$G$4:$H$9)</f>
        <v>1-99</v>
      </c>
      <c r="F1956" s="1">
        <v>74</v>
      </c>
      <c r="G1956" t="str">
        <f>LOOKUP(F1956,Sheet2!$J$4:$K$8)</f>
        <v>70-79</v>
      </c>
      <c r="H1956" s="1">
        <v>31</v>
      </c>
      <c r="I1956" t="str">
        <f>LOOKUP(H1956,Sheet2!$M$4:$N$8)</f>
        <v>30-39</v>
      </c>
      <c r="J1956" s="1">
        <v>0</v>
      </c>
      <c r="K1956" t="str">
        <f>LOOKUP(J1956,Sheet2!$P$4:$Q$9)</f>
        <v>Unknown</v>
      </c>
      <c r="L1956" s="1">
        <v>38.299999999999997</v>
      </c>
      <c r="M1956" t="str">
        <f>LOOKUP(L1956,Sheet2!$S$4:$T$8)</f>
        <v>36+</v>
      </c>
      <c r="N1956" s="1">
        <v>0.45700000000000002</v>
      </c>
      <c r="O1956" t="str">
        <f>LOOKUP(N1956,Sheet2!$V$4:$W$7)</f>
        <v>0.4 - 0.69</v>
      </c>
      <c r="P1956" s="1">
        <v>39</v>
      </c>
      <c r="Q1956" t="str">
        <f>LOOKUP(P1956,Sheet2!$Z$4:$AA$7)</f>
        <v>36-45</v>
      </c>
      <c r="R1956" s="1">
        <v>0</v>
      </c>
      <c r="S1956" t="str">
        <f>IF(R1956=1,"Positive","Negative")</f>
        <v>Negative</v>
      </c>
      <c r="T1956" s="1">
        <f>IFERROR(VLOOKUP(A1956,[1]diabetes_Recognition!$A:$B,2,FALSE),"Not Sampled")</f>
        <v>0</v>
      </c>
      <c r="U1956" t="str">
        <f>IF(T1956=1,"Positive",(IF(T1956=0,"Negative","Not Sampled")))</f>
        <v>Negative</v>
      </c>
      <c r="V1956" s="1" t="str">
        <f>IF(U1956="Not Sampled","Not Sampled",IF(S1956=U1956,"Accurate Prediction","Inaccurate Prediction"))</f>
        <v>Accurate Prediction</v>
      </c>
    </row>
    <row r="1957" spans="1:22" x14ac:dyDescent="0.25">
      <c r="A1957" s="1">
        <v>1955</v>
      </c>
      <c r="B1957" s="1">
        <v>2</v>
      </c>
      <c r="C1957" s="1">
        <f>LOOKUP(B1957,Sheet2!$D$4:$E$9)</f>
        <v>2</v>
      </c>
      <c r="D1957" s="1">
        <v>96</v>
      </c>
      <c r="E1957" t="str">
        <f>LOOKUP(D1957,Sheet2!$G$4:$H$9)</f>
        <v>1-99</v>
      </c>
      <c r="F1957" s="1">
        <v>68</v>
      </c>
      <c r="G1957" t="str">
        <f>LOOKUP(F1957,Sheet2!$J$4:$K$8)</f>
        <v>60-69</v>
      </c>
      <c r="H1957" s="1">
        <v>13</v>
      </c>
      <c r="I1957" t="str">
        <f>LOOKUP(H1957,Sheet2!$M$4:$N$8)</f>
        <v>10-30</v>
      </c>
      <c r="J1957" s="1">
        <v>49</v>
      </c>
      <c r="K1957" t="str">
        <f>LOOKUP(J1957,Sheet2!$P$4:$Q$9)</f>
        <v>1-99</v>
      </c>
      <c r="L1957" s="1">
        <v>21.1</v>
      </c>
      <c r="M1957" t="str">
        <f>LOOKUP(L1957,Sheet2!$S$4:$T$8)</f>
        <v>1-25</v>
      </c>
      <c r="N1957" s="1">
        <v>0.64700000000000002</v>
      </c>
      <c r="O1957" t="str">
        <f>LOOKUP(N1957,Sheet2!$V$4:$W$7)</f>
        <v>0.4 - 0.69</v>
      </c>
      <c r="P1957" s="1">
        <v>26</v>
      </c>
      <c r="Q1957" t="str">
        <f>LOOKUP(P1957,Sheet2!$Z$4:$AA$7)</f>
        <v>26-35</v>
      </c>
      <c r="R1957" s="1">
        <v>0</v>
      </c>
      <c r="S1957" t="str">
        <f>IF(R1957=1,"Positive","Negative")</f>
        <v>Negative</v>
      </c>
      <c r="T1957" s="1" t="str">
        <f>IFERROR(VLOOKUP(A1957,[1]diabetes_Recognition!$A:$B,2,FALSE),"Not Sampled")</f>
        <v>Not Sampled</v>
      </c>
      <c r="U1957" t="str">
        <f>IF(T1957=1,"Positive",(IF(T1957=0,"Negative","Not Sampled")))</f>
        <v>Not Sampled</v>
      </c>
      <c r="V1957" s="1" t="str">
        <f>IF(U1957="Not Sampled","Not Sampled",IF(S1957=U1957,"Accurate Prediction","Inaccurate Prediction"))</f>
        <v>Not Sampled</v>
      </c>
    </row>
    <row r="1958" spans="1:22" x14ac:dyDescent="0.25">
      <c r="A1958" s="1">
        <v>1956</v>
      </c>
      <c r="B1958" s="1">
        <v>2</v>
      </c>
      <c r="C1958" s="1">
        <f>LOOKUP(B1958,Sheet2!$D$4:$E$9)</f>
        <v>2</v>
      </c>
      <c r="D1958" s="1">
        <v>125</v>
      </c>
      <c r="E1958" t="str">
        <f>LOOKUP(D1958,Sheet2!$G$4:$H$9)</f>
        <v>100-125</v>
      </c>
      <c r="F1958" s="1">
        <v>60</v>
      </c>
      <c r="G1958" t="str">
        <f>LOOKUP(F1958,Sheet2!$J$4:$K$8)</f>
        <v>60-69</v>
      </c>
      <c r="H1958" s="1">
        <v>20</v>
      </c>
      <c r="I1958" t="str">
        <f>LOOKUP(H1958,Sheet2!$M$4:$N$8)</f>
        <v>10-30</v>
      </c>
      <c r="J1958" s="1">
        <v>140</v>
      </c>
      <c r="K1958" t="str">
        <f>LOOKUP(J1958,Sheet2!$P$4:$Q$9)</f>
        <v>100-199</v>
      </c>
      <c r="L1958" s="1">
        <v>33.799999999999997</v>
      </c>
      <c r="M1958" t="str">
        <f>LOOKUP(L1958,Sheet2!$S$4:$T$8)</f>
        <v>31-35</v>
      </c>
      <c r="N1958" s="1">
        <v>8.7999999999999995E-2</v>
      </c>
      <c r="O1958" t="str">
        <f>LOOKUP(N1958,Sheet2!$V$4:$W$7)</f>
        <v>0.0 - 0.249</v>
      </c>
      <c r="P1958" s="1">
        <v>31</v>
      </c>
      <c r="Q1958" t="str">
        <f>LOOKUP(P1958,Sheet2!$Z$4:$AA$7)</f>
        <v>26-35</v>
      </c>
      <c r="R1958" s="1">
        <v>0</v>
      </c>
      <c r="S1958" t="str">
        <f>IF(R1958=1,"Positive","Negative")</f>
        <v>Negative</v>
      </c>
      <c r="T1958" s="1">
        <f>IFERROR(VLOOKUP(A1958,[1]diabetes_Recognition!$A:$B,2,FALSE),"Not Sampled")</f>
        <v>0</v>
      </c>
      <c r="U1958" t="str">
        <f>IF(T1958=1,"Positive",(IF(T1958=0,"Negative","Not Sampled")))</f>
        <v>Negative</v>
      </c>
      <c r="V1958" s="1" t="str">
        <f>IF(U1958="Not Sampled","Not Sampled",IF(S1958=U1958,"Accurate Prediction","Inaccurate Prediction"))</f>
        <v>Accurate Prediction</v>
      </c>
    </row>
    <row r="1959" spans="1:22" x14ac:dyDescent="0.25">
      <c r="A1959" s="1">
        <v>1957</v>
      </c>
      <c r="B1959" s="1">
        <v>0</v>
      </c>
      <c r="C1959" s="1">
        <f>LOOKUP(B1959,Sheet2!$D$4:$E$9)</f>
        <v>0</v>
      </c>
      <c r="D1959" s="1">
        <v>100</v>
      </c>
      <c r="E1959" t="str">
        <f>LOOKUP(D1959,Sheet2!$G$4:$H$9)</f>
        <v>100-125</v>
      </c>
      <c r="F1959" s="1">
        <v>70</v>
      </c>
      <c r="G1959" t="str">
        <f>LOOKUP(F1959,Sheet2!$J$4:$K$8)</f>
        <v>70-79</v>
      </c>
      <c r="H1959" s="1">
        <v>26</v>
      </c>
      <c r="I1959" t="str">
        <f>LOOKUP(H1959,Sheet2!$M$4:$N$8)</f>
        <v>10-30</v>
      </c>
      <c r="J1959" s="1">
        <v>50</v>
      </c>
      <c r="K1959" t="str">
        <f>LOOKUP(J1959,Sheet2!$P$4:$Q$9)</f>
        <v>1-99</v>
      </c>
      <c r="L1959" s="1">
        <v>30.8</v>
      </c>
      <c r="M1959" t="str">
        <f>LOOKUP(L1959,Sheet2!$S$4:$T$8)</f>
        <v>26-30</v>
      </c>
      <c r="N1959" s="1">
        <v>0.59699999999999998</v>
      </c>
      <c r="O1959" t="str">
        <f>LOOKUP(N1959,Sheet2!$V$4:$W$7)</f>
        <v>0.4 - 0.69</v>
      </c>
      <c r="P1959" s="1">
        <v>21</v>
      </c>
      <c r="Q1959" t="str">
        <f>LOOKUP(P1959,Sheet2!$Z$4:$AA$7)</f>
        <v>&lt;=25</v>
      </c>
      <c r="R1959" s="1">
        <v>0</v>
      </c>
      <c r="S1959" t="str">
        <f>IF(R1959=1,"Positive","Negative")</f>
        <v>Negative</v>
      </c>
      <c r="T1959" s="1" t="str">
        <f>IFERROR(VLOOKUP(A1959,[1]diabetes_Recognition!$A:$B,2,FALSE),"Not Sampled")</f>
        <v>Not Sampled</v>
      </c>
      <c r="U1959" t="str">
        <f>IF(T1959=1,"Positive",(IF(T1959=0,"Negative","Not Sampled")))</f>
        <v>Not Sampled</v>
      </c>
      <c r="V1959" s="1" t="str">
        <f>IF(U1959="Not Sampled","Not Sampled",IF(S1959=U1959,"Accurate Prediction","Inaccurate Prediction"))</f>
        <v>Not Sampled</v>
      </c>
    </row>
    <row r="1960" spans="1:22" x14ac:dyDescent="0.25">
      <c r="A1960" s="1">
        <v>1958</v>
      </c>
      <c r="B1960" s="1">
        <v>0</v>
      </c>
      <c r="C1960" s="1">
        <f>LOOKUP(B1960,Sheet2!$D$4:$E$9)</f>
        <v>0</v>
      </c>
      <c r="D1960" s="1">
        <v>93</v>
      </c>
      <c r="E1960" t="str">
        <f>LOOKUP(D1960,Sheet2!$G$4:$H$9)</f>
        <v>1-99</v>
      </c>
      <c r="F1960" s="1">
        <v>60</v>
      </c>
      <c r="G1960" t="str">
        <f>LOOKUP(F1960,Sheet2!$J$4:$K$8)</f>
        <v>60-69</v>
      </c>
      <c r="H1960" s="1">
        <v>25</v>
      </c>
      <c r="I1960" t="str">
        <f>LOOKUP(H1960,Sheet2!$M$4:$N$8)</f>
        <v>10-30</v>
      </c>
      <c r="J1960" s="1">
        <v>92</v>
      </c>
      <c r="K1960" t="str">
        <f>LOOKUP(J1960,Sheet2!$P$4:$Q$9)</f>
        <v>1-99</v>
      </c>
      <c r="L1960" s="1">
        <v>28.7</v>
      </c>
      <c r="M1960" t="str">
        <f>LOOKUP(L1960,Sheet2!$S$4:$T$8)</f>
        <v>26-30</v>
      </c>
      <c r="N1960" s="1">
        <v>0.53200000000000003</v>
      </c>
      <c r="O1960" t="str">
        <f>LOOKUP(N1960,Sheet2!$V$4:$W$7)</f>
        <v>0.4 - 0.69</v>
      </c>
      <c r="P1960" s="1">
        <v>22</v>
      </c>
      <c r="Q1960" t="str">
        <f>LOOKUP(P1960,Sheet2!$Z$4:$AA$7)</f>
        <v>&lt;=25</v>
      </c>
      <c r="R1960" s="1">
        <v>0</v>
      </c>
      <c r="S1960" t="str">
        <f>IF(R1960=1,"Positive","Negative")</f>
        <v>Negative</v>
      </c>
      <c r="T1960" s="1" t="str">
        <f>IFERROR(VLOOKUP(A1960,[1]diabetes_Recognition!$A:$B,2,FALSE),"Not Sampled")</f>
        <v>Not Sampled</v>
      </c>
      <c r="U1960" t="str">
        <f>IF(T1960=1,"Positive",(IF(T1960=0,"Negative","Not Sampled")))</f>
        <v>Not Sampled</v>
      </c>
      <c r="V1960" s="1" t="str">
        <f>IF(U1960="Not Sampled","Not Sampled",IF(S1960=U1960,"Accurate Prediction","Inaccurate Prediction"))</f>
        <v>Not Sampled</v>
      </c>
    </row>
    <row r="1961" spans="1:22" x14ac:dyDescent="0.25">
      <c r="A1961" s="1">
        <v>1959</v>
      </c>
      <c r="B1961" s="1">
        <v>0</v>
      </c>
      <c r="C1961" s="1">
        <f>LOOKUP(B1961,Sheet2!$D$4:$E$9)</f>
        <v>0</v>
      </c>
      <c r="D1961" s="1">
        <v>129</v>
      </c>
      <c r="E1961" t="str">
        <f>LOOKUP(D1961,Sheet2!$G$4:$H$9)</f>
        <v>126-150</v>
      </c>
      <c r="F1961" s="1">
        <v>80</v>
      </c>
      <c r="G1961" t="str">
        <f>LOOKUP(F1961,Sheet2!$J$4:$K$8)</f>
        <v>80+</v>
      </c>
      <c r="H1961" s="1">
        <v>0</v>
      </c>
      <c r="I1961" t="str">
        <f>LOOKUP(H1961,Sheet2!$M$4:$N$8)</f>
        <v>Unknown</v>
      </c>
      <c r="J1961" s="1">
        <v>0</v>
      </c>
      <c r="K1961" t="str">
        <f>LOOKUP(J1961,Sheet2!$P$4:$Q$9)</f>
        <v>Unknown</v>
      </c>
      <c r="L1961" s="1">
        <v>31.2</v>
      </c>
      <c r="M1961" t="str">
        <f>LOOKUP(L1961,Sheet2!$S$4:$T$8)</f>
        <v>31-35</v>
      </c>
      <c r="N1961" s="1">
        <v>0.70299999999999996</v>
      </c>
      <c r="O1961" t="str">
        <f>LOOKUP(N1961,Sheet2!$V$4:$W$7)</f>
        <v>0.7+</v>
      </c>
      <c r="P1961" s="1">
        <v>29</v>
      </c>
      <c r="Q1961" t="str">
        <f>LOOKUP(P1961,Sheet2!$Z$4:$AA$7)</f>
        <v>26-35</v>
      </c>
      <c r="R1961" s="1">
        <v>0</v>
      </c>
      <c r="S1961" t="str">
        <f>IF(R1961=1,"Positive","Negative")</f>
        <v>Negative</v>
      </c>
      <c r="T1961" s="1" t="str">
        <f>IFERROR(VLOOKUP(A1961,[1]diabetes_Recognition!$A:$B,2,FALSE),"Not Sampled")</f>
        <v>Not Sampled</v>
      </c>
      <c r="U1961" t="str">
        <f>IF(T1961=1,"Positive",(IF(T1961=0,"Negative","Not Sampled")))</f>
        <v>Not Sampled</v>
      </c>
      <c r="V1961" s="1" t="str">
        <f>IF(U1961="Not Sampled","Not Sampled",IF(S1961=U1961,"Accurate Prediction","Inaccurate Prediction"))</f>
        <v>Not Sampled</v>
      </c>
    </row>
    <row r="1962" spans="1:22" x14ac:dyDescent="0.25">
      <c r="A1962" s="1">
        <v>1960</v>
      </c>
      <c r="B1962" s="1">
        <v>5</v>
      </c>
      <c r="C1962" s="1" t="str">
        <f>LOOKUP(B1962,Sheet2!$D$4:$E$9)</f>
        <v>5-7</v>
      </c>
      <c r="D1962" s="1">
        <v>105</v>
      </c>
      <c r="E1962" t="str">
        <f>LOOKUP(D1962,Sheet2!$G$4:$H$9)</f>
        <v>100-125</v>
      </c>
      <c r="F1962" s="1">
        <v>72</v>
      </c>
      <c r="G1962" t="str">
        <f>LOOKUP(F1962,Sheet2!$J$4:$K$8)</f>
        <v>70-79</v>
      </c>
      <c r="H1962" s="1">
        <v>29</v>
      </c>
      <c r="I1962" t="str">
        <f>LOOKUP(H1962,Sheet2!$M$4:$N$8)</f>
        <v>10-30</v>
      </c>
      <c r="J1962" s="1">
        <v>325</v>
      </c>
      <c r="K1962" t="str">
        <f>LOOKUP(J1962,Sheet2!$P$4:$Q$9)</f>
        <v>300-499</v>
      </c>
      <c r="L1962" s="1">
        <v>36.9</v>
      </c>
      <c r="M1962" t="str">
        <f>LOOKUP(L1962,Sheet2!$S$4:$T$8)</f>
        <v>36+</v>
      </c>
      <c r="N1962" s="1">
        <v>0.159</v>
      </c>
      <c r="O1962" t="str">
        <f>LOOKUP(N1962,Sheet2!$V$4:$W$7)</f>
        <v>0.0 - 0.249</v>
      </c>
      <c r="P1962" s="1">
        <v>28</v>
      </c>
      <c r="Q1962" t="str">
        <f>LOOKUP(P1962,Sheet2!$Z$4:$AA$7)</f>
        <v>26-35</v>
      </c>
      <c r="R1962" s="1">
        <v>0</v>
      </c>
      <c r="S1962" t="str">
        <f>IF(R1962=1,"Positive","Negative")</f>
        <v>Negative</v>
      </c>
      <c r="T1962" s="1">
        <f>IFERROR(VLOOKUP(A1962,[1]diabetes_Recognition!$A:$B,2,FALSE),"Not Sampled")</f>
        <v>0</v>
      </c>
      <c r="U1962" t="str">
        <f>IF(T1962=1,"Positive",(IF(T1962=0,"Negative","Not Sampled")))</f>
        <v>Negative</v>
      </c>
      <c r="V1962" s="1" t="str">
        <f>IF(U1962="Not Sampled","Not Sampled",IF(S1962=U1962,"Accurate Prediction","Inaccurate Prediction"))</f>
        <v>Accurate Prediction</v>
      </c>
    </row>
    <row r="1963" spans="1:22" x14ac:dyDescent="0.25">
      <c r="A1963" s="1">
        <v>1961</v>
      </c>
      <c r="B1963" s="1">
        <v>3</v>
      </c>
      <c r="C1963" s="1" t="str">
        <f>LOOKUP(B1963,Sheet2!$D$4:$E$9)</f>
        <v>3-4</v>
      </c>
      <c r="D1963" s="1">
        <v>128</v>
      </c>
      <c r="E1963" t="str">
        <f>LOOKUP(D1963,Sheet2!$G$4:$H$9)</f>
        <v>126-150</v>
      </c>
      <c r="F1963" s="1">
        <v>78</v>
      </c>
      <c r="G1963" t="str">
        <f>LOOKUP(F1963,Sheet2!$J$4:$K$8)</f>
        <v>70-79</v>
      </c>
      <c r="H1963" s="1">
        <v>0</v>
      </c>
      <c r="I1963" t="str">
        <f>LOOKUP(H1963,Sheet2!$M$4:$N$8)</f>
        <v>Unknown</v>
      </c>
      <c r="J1963" s="1">
        <v>0</v>
      </c>
      <c r="K1963" t="str">
        <f>LOOKUP(J1963,Sheet2!$P$4:$Q$9)</f>
        <v>Unknown</v>
      </c>
      <c r="L1963" s="1">
        <v>21.1</v>
      </c>
      <c r="M1963" t="str">
        <f>LOOKUP(L1963,Sheet2!$S$4:$T$8)</f>
        <v>1-25</v>
      </c>
      <c r="N1963" s="1">
        <v>0.26800000000000002</v>
      </c>
      <c r="O1963" t="str">
        <f>LOOKUP(N1963,Sheet2!$V$4:$W$7)</f>
        <v>0.25 - 0.39</v>
      </c>
      <c r="P1963" s="1">
        <v>55</v>
      </c>
      <c r="Q1963" t="str">
        <f>LOOKUP(P1963,Sheet2!$Z$4:$AA$7)</f>
        <v>46+</v>
      </c>
      <c r="R1963" s="1">
        <v>0</v>
      </c>
      <c r="S1963" t="str">
        <f>IF(R1963=1,"Positive","Negative")</f>
        <v>Negative</v>
      </c>
      <c r="T1963" s="1" t="str">
        <f>IFERROR(VLOOKUP(A1963,[1]diabetes_Recognition!$A:$B,2,FALSE),"Not Sampled")</f>
        <v>Not Sampled</v>
      </c>
      <c r="U1963" t="str">
        <f>IF(T1963=1,"Positive",(IF(T1963=0,"Negative","Not Sampled")))</f>
        <v>Not Sampled</v>
      </c>
      <c r="V1963" s="1" t="str">
        <f>IF(U1963="Not Sampled","Not Sampled",IF(S1963=U1963,"Accurate Prediction","Inaccurate Prediction"))</f>
        <v>Not Sampled</v>
      </c>
    </row>
    <row r="1964" spans="1:22" x14ac:dyDescent="0.25">
      <c r="A1964" s="1">
        <v>1962</v>
      </c>
      <c r="B1964" s="1">
        <v>5</v>
      </c>
      <c r="C1964" s="1" t="str">
        <f>LOOKUP(B1964,Sheet2!$D$4:$E$9)</f>
        <v>5-7</v>
      </c>
      <c r="D1964" s="1">
        <v>106</v>
      </c>
      <c r="E1964" t="str">
        <f>LOOKUP(D1964,Sheet2!$G$4:$H$9)</f>
        <v>100-125</v>
      </c>
      <c r="F1964" s="1">
        <v>82</v>
      </c>
      <c r="G1964" t="str">
        <f>LOOKUP(F1964,Sheet2!$J$4:$K$8)</f>
        <v>80+</v>
      </c>
      <c r="H1964" s="1">
        <v>30</v>
      </c>
      <c r="I1964" t="str">
        <f>LOOKUP(H1964,Sheet2!$M$4:$N$8)</f>
        <v>30-39</v>
      </c>
      <c r="J1964" s="1">
        <v>0</v>
      </c>
      <c r="K1964" t="str">
        <f>LOOKUP(J1964,Sheet2!$P$4:$Q$9)</f>
        <v>Unknown</v>
      </c>
      <c r="L1964" s="1">
        <v>39.5</v>
      </c>
      <c r="M1964" t="str">
        <f>LOOKUP(L1964,Sheet2!$S$4:$T$8)</f>
        <v>36+</v>
      </c>
      <c r="N1964" s="1">
        <v>0.28599999999999998</v>
      </c>
      <c r="O1964" t="str">
        <f>LOOKUP(N1964,Sheet2!$V$4:$W$7)</f>
        <v>0.25 - 0.39</v>
      </c>
      <c r="P1964" s="1">
        <v>38</v>
      </c>
      <c r="Q1964" t="str">
        <f>LOOKUP(P1964,Sheet2!$Z$4:$AA$7)</f>
        <v>36-45</v>
      </c>
      <c r="R1964" s="1">
        <v>0</v>
      </c>
      <c r="S1964" t="str">
        <f>IF(R1964=1,"Positive","Negative")</f>
        <v>Negative</v>
      </c>
      <c r="T1964" s="1" t="str">
        <f>IFERROR(VLOOKUP(A1964,[1]diabetes_Recognition!$A:$B,2,FALSE),"Not Sampled")</f>
        <v>Not Sampled</v>
      </c>
      <c r="U1964" t="str">
        <f>IF(T1964=1,"Positive",(IF(T1964=0,"Negative","Not Sampled")))</f>
        <v>Not Sampled</v>
      </c>
      <c r="V1964" s="1" t="str">
        <f>IF(U1964="Not Sampled","Not Sampled",IF(S1964=U1964,"Accurate Prediction","Inaccurate Prediction"))</f>
        <v>Not Sampled</v>
      </c>
    </row>
    <row r="1965" spans="1:22" x14ac:dyDescent="0.25">
      <c r="A1965" s="1">
        <v>1963</v>
      </c>
      <c r="B1965" s="1">
        <v>2</v>
      </c>
      <c r="C1965" s="1">
        <f>LOOKUP(B1965,Sheet2!$D$4:$E$9)</f>
        <v>2</v>
      </c>
      <c r="D1965" s="1">
        <v>108</v>
      </c>
      <c r="E1965" t="str">
        <f>LOOKUP(D1965,Sheet2!$G$4:$H$9)</f>
        <v>100-125</v>
      </c>
      <c r="F1965" s="1">
        <v>52</v>
      </c>
      <c r="G1965" t="str">
        <f>LOOKUP(F1965,Sheet2!$J$4:$K$8)</f>
        <v>1-59</v>
      </c>
      <c r="H1965" s="1">
        <v>26</v>
      </c>
      <c r="I1965" t="str">
        <f>LOOKUP(H1965,Sheet2!$M$4:$N$8)</f>
        <v>10-30</v>
      </c>
      <c r="J1965" s="1">
        <v>63</v>
      </c>
      <c r="K1965" t="str">
        <f>LOOKUP(J1965,Sheet2!$P$4:$Q$9)</f>
        <v>1-99</v>
      </c>
      <c r="L1965" s="1">
        <v>32.5</v>
      </c>
      <c r="M1965" t="str">
        <f>LOOKUP(L1965,Sheet2!$S$4:$T$8)</f>
        <v>31-35</v>
      </c>
      <c r="N1965" s="1">
        <v>0.318</v>
      </c>
      <c r="O1965" t="str">
        <f>LOOKUP(N1965,Sheet2!$V$4:$W$7)</f>
        <v>0.25 - 0.39</v>
      </c>
      <c r="P1965" s="1">
        <v>22</v>
      </c>
      <c r="Q1965" t="str">
        <f>LOOKUP(P1965,Sheet2!$Z$4:$AA$7)</f>
        <v>&lt;=25</v>
      </c>
      <c r="R1965" s="1">
        <v>0</v>
      </c>
      <c r="S1965" t="str">
        <f>IF(R1965=1,"Positive","Negative")</f>
        <v>Negative</v>
      </c>
      <c r="T1965" s="1" t="str">
        <f>IFERROR(VLOOKUP(A1965,[1]diabetes_Recognition!$A:$B,2,FALSE),"Not Sampled")</f>
        <v>Not Sampled</v>
      </c>
      <c r="U1965" t="str">
        <f>IF(T1965=1,"Positive",(IF(T1965=0,"Negative","Not Sampled")))</f>
        <v>Not Sampled</v>
      </c>
      <c r="V1965" s="1" t="str">
        <f>IF(U1965="Not Sampled","Not Sampled",IF(S1965=U1965,"Accurate Prediction","Inaccurate Prediction"))</f>
        <v>Not Sampled</v>
      </c>
    </row>
    <row r="1966" spans="1:22" x14ac:dyDescent="0.25">
      <c r="A1966" s="1">
        <v>1964</v>
      </c>
      <c r="B1966" s="1">
        <v>10</v>
      </c>
      <c r="C1966" s="1" t="str">
        <f>LOOKUP(B1966,Sheet2!$D$4:$E$9)</f>
        <v>8+</v>
      </c>
      <c r="D1966" s="1">
        <v>108</v>
      </c>
      <c r="E1966" t="str">
        <f>LOOKUP(D1966,Sheet2!$G$4:$H$9)</f>
        <v>100-125</v>
      </c>
      <c r="F1966" s="1">
        <v>66</v>
      </c>
      <c r="G1966" t="str">
        <f>LOOKUP(F1966,Sheet2!$J$4:$K$8)</f>
        <v>60-69</v>
      </c>
      <c r="H1966" s="1">
        <v>0</v>
      </c>
      <c r="I1966" t="str">
        <f>LOOKUP(H1966,Sheet2!$M$4:$N$8)</f>
        <v>Unknown</v>
      </c>
      <c r="J1966" s="1">
        <v>0</v>
      </c>
      <c r="K1966" t="str">
        <f>LOOKUP(J1966,Sheet2!$P$4:$Q$9)</f>
        <v>Unknown</v>
      </c>
      <c r="L1966" s="1">
        <v>32.4</v>
      </c>
      <c r="M1966" t="str">
        <f>LOOKUP(L1966,Sheet2!$S$4:$T$8)</f>
        <v>31-35</v>
      </c>
      <c r="N1966" s="1">
        <v>0.27200000000000002</v>
      </c>
      <c r="O1966" t="str">
        <f>LOOKUP(N1966,Sheet2!$V$4:$W$7)</f>
        <v>0.25 - 0.39</v>
      </c>
      <c r="P1966" s="1">
        <v>42</v>
      </c>
      <c r="Q1966" t="str">
        <f>LOOKUP(P1966,Sheet2!$Z$4:$AA$7)</f>
        <v>36-45</v>
      </c>
      <c r="R1966" s="1">
        <v>1</v>
      </c>
      <c r="S1966" t="str">
        <f>IF(R1966=1,"Positive","Negative")</f>
        <v>Positive</v>
      </c>
      <c r="T1966" s="1" t="str">
        <f>IFERROR(VLOOKUP(A1966,[1]diabetes_Recognition!$A:$B,2,FALSE),"Not Sampled")</f>
        <v>Not Sampled</v>
      </c>
      <c r="U1966" t="str">
        <f>IF(T1966=1,"Positive",(IF(T1966=0,"Negative","Not Sampled")))</f>
        <v>Not Sampled</v>
      </c>
      <c r="V1966" s="1" t="str">
        <f>IF(U1966="Not Sampled","Not Sampled",IF(S1966=U1966,"Accurate Prediction","Inaccurate Prediction"))</f>
        <v>Not Sampled</v>
      </c>
    </row>
    <row r="1967" spans="1:22" x14ac:dyDescent="0.25">
      <c r="A1967" s="1">
        <v>1965</v>
      </c>
      <c r="B1967" s="1">
        <v>4</v>
      </c>
      <c r="C1967" s="1" t="str">
        <f>LOOKUP(B1967,Sheet2!$D$4:$E$9)</f>
        <v>3-4</v>
      </c>
      <c r="D1967" s="1">
        <v>154</v>
      </c>
      <c r="E1967" t="str">
        <f>LOOKUP(D1967,Sheet2!$G$4:$H$9)</f>
        <v>151-175</v>
      </c>
      <c r="F1967" s="1">
        <v>62</v>
      </c>
      <c r="G1967" t="str">
        <f>LOOKUP(F1967,Sheet2!$J$4:$K$8)</f>
        <v>60-69</v>
      </c>
      <c r="H1967" s="1">
        <v>31</v>
      </c>
      <c r="I1967" t="str">
        <f>LOOKUP(H1967,Sheet2!$M$4:$N$8)</f>
        <v>30-39</v>
      </c>
      <c r="J1967" s="1">
        <v>284</v>
      </c>
      <c r="K1967" t="str">
        <f>LOOKUP(J1967,Sheet2!$P$4:$Q$9)</f>
        <v>200-399</v>
      </c>
      <c r="L1967" s="1">
        <v>32.799999999999997</v>
      </c>
      <c r="M1967" t="str">
        <f>LOOKUP(L1967,Sheet2!$S$4:$T$8)</f>
        <v>31-35</v>
      </c>
      <c r="N1967" s="1">
        <v>0.23699999999999999</v>
      </c>
      <c r="O1967" t="str">
        <f>LOOKUP(N1967,Sheet2!$V$4:$W$7)</f>
        <v>0.0 - 0.249</v>
      </c>
      <c r="P1967" s="1">
        <v>23</v>
      </c>
      <c r="Q1967" t="str">
        <f>LOOKUP(P1967,Sheet2!$Z$4:$AA$7)</f>
        <v>&lt;=25</v>
      </c>
      <c r="R1967" s="1">
        <v>0</v>
      </c>
      <c r="S1967" t="str">
        <f>IF(R1967=1,"Positive","Negative")</f>
        <v>Negative</v>
      </c>
      <c r="T1967" s="1" t="str">
        <f>IFERROR(VLOOKUP(A1967,[1]diabetes_Recognition!$A:$B,2,FALSE),"Not Sampled")</f>
        <v>Not Sampled</v>
      </c>
      <c r="U1967" t="str">
        <f>IF(T1967=1,"Positive",(IF(T1967=0,"Negative","Not Sampled")))</f>
        <v>Not Sampled</v>
      </c>
      <c r="V1967" s="1" t="str">
        <f>IF(U1967="Not Sampled","Not Sampled",IF(S1967=U1967,"Accurate Prediction","Inaccurate Prediction"))</f>
        <v>Not Sampled</v>
      </c>
    </row>
    <row r="1968" spans="1:22" x14ac:dyDescent="0.25">
      <c r="A1968" s="1">
        <v>1966</v>
      </c>
      <c r="B1968" s="1">
        <v>0</v>
      </c>
      <c r="C1968" s="1">
        <f>LOOKUP(B1968,Sheet2!$D$4:$E$9)</f>
        <v>0</v>
      </c>
      <c r="D1968" s="1">
        <v>102</v>
      </c>
      <c r="E1968" t="str">
        <f>LOOKUP(D1968,Sheet2!$G$4:$H$9)</f>
        <v>100-125</v>
      </c>
      <c r="F1968" s="1">
        <v>75</v>
      </c>
      <c r="G1968" t="str">
        <f>LOOKUP(F1968,Sheet2!$J$4:$K$8)</f>
        <v>70-79</v>
      </c>
      <c r="H1968" s="1">
        <v>23</v>
      </c>
      <c r="I1968" t="str">
        <f>LOOKUP(H1968,Sheet2!$M$4:$N$8)</f>
        <v>10-30</v>
      </c>
      <c r="J1968" s="1">
        <v>0</v>
      </c>
      <c r="K1968" t="str">
        <f>LOOKUP(J1968,Sheet2!$P$4:$Q$9)</f>
        <v>Unknown</v>
      </c>
      <c r="L1968" s="1">
        <v>0</v>
      </c>
      <c r="M1968" t="str">
        <f>LOOKUP(L1968,Sheet2!$S$4:$T$8)</f>
        <v>Unknown</v>
      </c>
      <c r="N1968" s="1">
        <v>0.57199999999999995</v>
      </c>
      <c r="O1968" t="str">
        <f>LOOKUP(N1968,Sheet2!$V$4:$W$7)</f>
        <v>0.4 - 0.69</v>
      </c>
      <c r="P1968" s="1">
        <v>21</v>
      </c>
      <c r="Q1968" t="str">
        <f>LOOKUP(P1968,Sheet2!$Z$4:$AA$7)</f>
        <v>&lt;=25</v>
      </c>
      <c r="R1968" s="1">
        <v>0</v>
      </c>
      <c r="S1968" t="str">
        <f>IF(R1968=1,"Positive","Negative")</f>
        <v>Negative</v>
      </c>
      <c r="T1968" s="1" t="str">
        <f>IFERROR(VLOOKUP(A1968,[1]diabetes_Recognition!$A:$B,2,FALSE),"Not Sampled")</f>
        <v>Not Sampled</v>
      </c>
      <c r="U1968" t="str">
        <f>IF(T1968=1,"Positive",(IF(T1968=0,"Negative","Not Sampled")))</f>
        <v>Not Sampled</v>
      </c>
      <c r="V1968" s="1" t="str">
        <f>IF(U1968="Not Sampled","Not Sampled",IF(S1968=U1968,"Accurate Prediction","Inaccurate Prediction"))</f>
        <v>Not Sampled</v>
      </c>
    </row>
    <row r="1969" spans="1:22" x14ac:dyDescent="0.25">
      <c r="A1969" s="1">
        <v>1967</v>
      </c>
      <c r="B1969" s="1">
        <v>9</v>
      </c>
      <c r="C1969" s="1" t="str">
        <f>LOOKUP(B1969,Sheet2!$D$4:$E$9)</f>
        <v>8+</v>
      </c>
      <c r="D1969" s="1">
        <v>57</v>
      </c>
      <c r="E1969" t="str">
        <f>LOOKUP(D1969,Sheet2!$G$4:$H$9)</f>
        <v>1-99</v>
      </c>
      <c r="F1969" s="1">
        <v>80</v>
      </c>
      <c r="G1969" t="str">
        <f>LOOKUP(F1969,Sheet2!$J$4:$K$8)</f>
        <v>80+</v>
      </c>
      <c r="H1969" s="1">
        <v>37</v>
      </c>
      <c r="I1969" t="str">
        <f>LOOKUP(H1969,Sheet2!$M$4:$N$8)</f>
        <v>30-39</v>
      </c>
      <c r="J1969" s="1">
        <v>0</v>
      </c>
      <c r="K1969" t="str">
        <f>LOOKUP(J1969,Sheet2!$P$4:$Q$9)</f>
        <v>Unknown</v>
      </c>
      <c r="L1969" s="1">
        <v>32.799999999999997</v>
      </c>
      <c r="M1969" t="str">
        <f>LOOKUP(L1969,Sheet2!$S$4:$T$8)</f>
        <v>31-35</v>
      </c>
      <c r="N1969" s="1">
        <v>9.6000000000000002E-2</v>
      </c>
      <c r="O1969" t="str">
        <f>LOOKUP(N1969,Sheet2!$V$4:$W$7)</f>
        <v>0.0 - 0.249</v>
      </c>
      <c r="P1969" s="1">
        <v>41</v>
      </c>
      <c r="Q1969" t="str">
        <f>LOOKUP(P1969,Sheet2!$Z$4:$AA$7)</f>
        <v>36-45</v>
      </c>
      <c r="R1969" s="1">
        <v>0</v>
      </c>
      <c r="S1969" t="str">
        <f>IF(R1969=1,"Positive","Negative")</f>
        <v>Negative</v>
      </c>
      <c r="T1969" s="1" t="str">
        <f>IFERROR(VLOOKUP(A1969,[1]diabetes_Recognition!$A:$B,2,FALSE),"Not Sampled")</f>
        <v>Not Sampled</v>
      </c>
      <c r="U1969" t="str">
        <f>IF(T1969=1,"Positive",(IF(T1969=0,"Negative","Not Sampled")))</f>
        <v>Not Sampled</v>
      </c>
      <c r="V1969" s="1" t="str">
        <f>IF(U1969="Not Sampled","Not Sampled",IF(S1969=U1969,"Accurate Prediction","Inaccurate Prediction"))</f>
        <v>Not Sampled</v>
      </c>
    </row>
    <row r="1970" spans="1:22" x14ac:dyDescent="0.25">
      <c r="A1970" s="1">
        <v>1968</v>
      </c>
      <c r="B1970" s="1">
        <v>2</v>
      </c>
      <c r="C1970" s="1">
        <f>LOOKUP(B1970,Sheet2!$D$4:$E$9)</f>
        <v>2</v>
      </c>
      <c r="D1970" s="1">
        <v>106</v>
      </c>
      <c r="E1970" t="str">
        <f>LOOKUP(D1970,Sheet2!$G$4:$H$9)</f>
        <v>100-125</v>
      </c>
      <c r="F1970" s="1">
        <v>64</v>
      </c>
      <c r="G1970" t="str">
        <f>LOOKUP(F1970,Sheet2!$J$4:$K$8)</f>
        <v>60-69</v>
      </c>
      <c r="H1970" s="1">
        <v>35</v>
      </c>
      <c r="I1970" t="str">
        <f>LOOKUP(H1970,Sheet2!$M$4:$N$8)</f>
        <v>30-39</v>
      </c>
      <c r="J1970" s="1">
        <v>119</v>
      </c>
      <c r="K1970" t="str">
        <f>LOOKUP(J1970,Sheet2!$P$4:$Q$9)</f>
        <v>100-199</v>
      </c>
      <c r="L1970" s="1">
        <v>30.5</v>
      </c>
      <c r="M1970" t="str">
        <f>LOOKUP(L1970,Sheet2!$S$4:$T$8)</f>
        <v>26-30</v>
      </c>
      <c r="N1970" s="1">
        <v>1.4</v>
      </c>
      <c r="O1970" t="str">
        <f>LOOKUP(N1970,Sheet2!$V$4:$W$7)</f>
        <v>0.7+</v>
      </c>
      <c r="P1970" s="1">
        <v>34</v>
      </c>
      <c r="Q1970" t="str">
        <f>LOOKUP(P1970,Sheet2!$Z$4:$AA$7)</f>
        <v>26-35</v>
      </c>
      <c r="R1970" s="1">
        <v>0</v>
      </c>
      <c r="S1970" t="str">
        <f>IF(R1970=1,"Positive","Negative")</f>
        <v>Negative</v>
      </c>
      <c r="T1970" s="1" t="str">
        <f>IFERROR(VLOOKUP(A1970,[1]diabetes_Recognition!$A:$B,2,FALSE),"Not Sampled")</f>
        <v>Not Sampled</v>
      </c>
      <c r="U1970" t="str">
        <f>IF(T1970=1,"Positive",(IF(T1970=0,"Negative","Not Sampled")))</f>
        <v>Not Sampled</v>
      </c>
      <c r="V1970" s="1" t="str">
        <f>IF(U1970="Not Sampled","Not Sampled",IF(S1970=U1970,"Accurate Prediction","Inaccurate Prediction"))</f>
        <v>Not Sampled</v>
      </c>
    </row>
    <row r="1971" spans="1:22" x14ac:dyDescent="0.25">
      <c r="A1971" s="1">
        <v>1969</v>
      </c>
      <c r="B1971" s="1">
        <v>5</v>
      </c>
      <c r="C1971" s="1" t="str">
        <f>LOOKUP(B1971,Sheet2!$D$4:$E$9)</f>
        <v>5-7</v>
      </c>
      <c r="D1971" s="1">
        <v>147</v>
      </c>
      <c r="E1971" t="str">
        <f>LOOKUP(D1971,Sheet2!$G$4:$H$9)</f>
        <v>126-150</v>
      </c>
      <c r="F1971" s="1">
        <v>78</v>
      </c>
      <c r="G1971" t="str">
        <f>LOOKUP(F1971,Sheet2!$J$4:$K$8)</f>
        <v>70-79</v>
      </c>
      <c r="H1971" s="1">
        <v>0</v>
      </c>
      <c r="I1971" t="str">
        <f>LOOKUP(H1971,Sheet2!$M$4:$N$8)</f>
        <v>Unknown</v>
      </c>
      <c r="J1971" s="1">
        <v>0</v>
      </c>
      <c r="K1971" t="str">
        <f>LOOKUP(J1971,Sheet2!$P$4:$Q$9)</f>
        <v>Unknown</v>
      </c>
      <c r="L1971" s="1">
        <v>33.700000000000003</v>
      </c>
      <c r="M1971" t="str">
        <f>LOOKUP(L1971,Sheet2!$S$4:$T$8)</f>
        <v>31-35</v>
      </c>
      <c r="N1971" s="1">
        <v>0.218</v>
      </c>
      <c r="O1971" t="str">
        <f>LOOKUP(N1971,Sheet2!$V$4:$W$7)</f>
        <v>0.0 - 0.249</v>
      </c>
      <c r="P1971" s="1">
        <v>65</v>
      </c>
      <c r="Q1971" t="str">
        <f>LOOKUP(P1971,Sheet2!$Z$4:$AA$7)</f>
        <v>46+</v>
      </c>
      <c r="R1971" s="1">
        <v>0</v>
      </c>
      <c r="S1971" t="str">
        <f>IF(R1971=1,"Positive","Negative")</f>
        <v>Negative</v>
      </c>
      <c r="T1971" s="1" t="str">
        <f>IFERROR(VLOOKUP(A1971,[1]diabetes_Recognition!$A:$B,2,FALSE),"Not Sampled")</f>
        <v>Not Sampled</v>
      </c>
      <c r="U1971" t="str">
        <f>IF(T1971=1,"Positive",(IF(T1971=0,"Negative","Not Sampled")))</f>
        <v>Not Sampled</v>
      </c>
      <c r="V1971" s="1" t="str">
        <f>IF(U1971="Not Sampled","Not Sampled",IF(S1971=U1971,"Accurate Prediction","Inaccurate Prediction"))</f>
        <v>Not Sampled</v>
      </c>
    </row>
    <row r="1972" spans="1:22" x14ac:dyDescent="0.25">
      <c r="A1972" s="1">
        <v>1970</v>
      </c>
      <c r="B1972" s="1">
        <v>2</v>
      </c>
      <c r="C1972" s="1">
        <f>LOOKUP(B1972,Sheet2!$D$4:$E$9)</f>
        <v>2</v>
      </c>
      <c r="D1972" s="1">
        <v>90</v>
      </c>
      <c r="E1972" t="str">
        <f>LOOKUP(D1972,Sheet2!$G$4:$H$9)</f>
        <v>1-99</v>
      </c>
      <c r="F1972" s="1">
        <v>70</v>
      </c>
      <c r="G1972" t="str">
        <f>LOOKUP(F1972,Sheet2!$J$4:$K$8)</f>
        <v>70-79</v>
      </c>
      <c r="H1972" s="1">
        <v>17</v>
      </c>
      <c r="I1972" t="str">
        <f>LOOKUP(H1972,Sheet2!$M$4:$N$8)</f>
        <v>10-30</v>
      </c>
      <c r="J1972" s="1">
        <v>0</v>
      </c>
      <c r="K1972" t="str">
        <f>LOOKUP(J1972,Sheet2!$P$4:$Q$9)</f>
        <v>Unknown</v>
      </c>
      <c r="L1972" s="1">
        <v>27.3</v>
      </c>
      <c r="M1972" t="str">
        <f>LOOKUP(L1972,Sheet2!$S$4:$T$8)</f>
        <v>26-30</v>
      </c>
      <c r="N1972" s="1">
        <v>8.5000000000000006E-2</v>
      </c>
      <c r="O1972" t="str">
        <f>LOOKUP(N1972,Sheet2!$V$4:$W$7)</f>
        <v>0.0 - 0.249</v>
      </c>
      <c r="P1972" s="1">
        <v>22</v>
      </c>
      <c r="Q1972" t="str">
        <f>LOOKUP(P1972,Sheet2!$Z$4:$AA$7)</f>
        <v>&lt;=25</v>
      </c>
      <c r="R1972" s="1">
        <v>0</v>
      </c>
      <c r="S1972" t="str">
        <f>IF(R1972=1,"Positive","Negative")</f>
        <v>Negative</v>
      </c>
      <c r="T1972" s="1" t="str">
        <f>IFERROR(VLOOKUP(A1972,[1]diabetes_Recognition!$A:$B,2,FALSE),"Not Sampled")</f>
        <v>Not Sampled</v>
      </c>
      <c r="U1972" t="str">
        <f>IF(T1972=1,"Positive",(IF(T1972=0,"Negative","Not Sampled")))</f>
        <v>Not Sampled</v>
      </c>
      <c r="V1972" s="1" t="str">
        <f>IF(U1972="Not Sampled","Not Sampled",IF(S1972=U1972,"Accurate Prediction","Inaccurate Prediction"))</f>
        <v>Not Sampled</v>
      </c>
    </row>
    <row r="1973" spans="1:22" x14ac:dyDescent="0.25">
      <c r="A1973" s="1">
        <v>1971</v>
      </c>
      <c r="B1973" s="1">
        <v>1</v>
      </c>
      <c r="C1973" s="1">
        <f>LOOKUP(B1973,Sheet2!$D$4:$E$9)</f>
        <v>1</v>
      </c>
      <c r="D1973" s="1">
        <v>136</v>
      </c>
      <c r="E1973" t="str">
        <f>LOOKUP(D1973,Sheet2!$G$4:$H$9)</f>
        <v>126-150</v>
      </c>
      <c r="F1973" s="1">
        <v>74</v>
      </c>
      <c r="G1973" t="str">
        <f>LOOKUP(F1973,Sheet2!$J$4:$K$8)</f>
        <v>70-79</v>
      </c>
      <c r="H1973" s="1">
        <v>50</v>
      </c>
      <c r="I1973" t="str">
        <f>LOOKUP(H1973,Sheet2!$M$4:$N$8)</f>
        <v>40+</v>
      </c>
      <c r="J1973" s="1">
        <v>204</v>
      </c>
      <c r="K1973" t="str">
        <f>LOOKUP(J1973,Sheet2!$P$4:$Q$9)</f>
        <v>200-399</v>
      </c>
      <c r="L1973" s="1">
        <v>37.4</v>
      </c>
      <c r="M1973" t="str">
        <f>LOOKUP(L1973,Sheet2!$S$4:$T$8)</f>
        <v>36+</v>
      </c>
      <c r="N1973" s="1">
        <v>0.39900000000000002</v>
      </c>
      <c r="O1973" t="str">
        <f>LOOKUP(N1973,Sheet2!$V$4:$W$7)</f>
        <v>0.25 - 0.39</v>
      </c>
      <c r="P1973" s="1">
        <v>24</v>
      </c>
      <c r="Q1973" t="str">
        <f>LOOKUP(P1973,Sheet2!$Z$4:$AA$7)</f>
        <v>&lt;=25</v>
      </c>
      <c r="R1973" s="1">
        <v>0</v>
      </c>
      <c r="S1973" t="str">
        <f>IF(R1973=1,"Positive","Negative")</f>
        <v>Negative</v>
      </c>
      <c r="T1973" s="1">
        <f>IFERROR(VLOOKUP(A1973,[1]diabetes_Recognition!$A:$B,2,FALSE),"Not Sampled")</f>
        <v>0</v>
      </c>
      <c r="U1973" t="str">
        <f>IF(T1973=1,"Positive",(IF(T1973=0,"Negative","Not Sampled")))</f>
        <v>Negative</v>
      </c>
      <c r="V1973" s="1" t="str">
        <f>IF(U1973="Not Sampled","Not Sampled",IF(S1973=U1973,"Accurate Prediction","Inaccurate Prediction"))</f>
        <v>Accurate Prediction</v>
      </c>
    </row>
    <row r="1974" spans="1:22" x14ac:dyDescent="0.25">
      <c r="A1974" s="1">
        <v>1972</v>
      </c>
      <c r="B1974" s="1">
        <v>4</v>
      </c>
      <c r="C1974" s="1" t="str">
        <f>LOOKUP(B1974,Sheet2!$D$4:$E$9)</f>
        <v>3-4</v>
      </c>
      <c r="D1974" s="1">
        <v>114</v>
      </c>
      <c r="E1974" t="str">
        <f>LOOKUP(D1974,Sheet2!$G$4:$H$9)</f>
        <v>100-125</v>
      </c>
      <c r="F1974" s="1">
        <v>65</v>
      </c>
      <c r="G1974" t="str">
        <f>LOOKUP(F1974,Sheet2!$J$4:$K$8)</f>
        <v>60-69</v>
      </c>
      <c r="H1974" s="1">
        <v>0</v>
      </c>
      <c r="I1974" t="str">
        <f>LOOKUP(H1974,Sheet2!$M$4:$N$8)</f>
        <v>Unknown</v>
      </c>
      <c r="J1974" s="1">
        <v>0</v>
      </c>
      <c r="K1974" t="str">
        <f>LOOKUP(J1974,Sheet2!$P$4:$Q$9)</f>
        <v>Unknown</v>
      </c>
      <c r="L1974" s="1">
        <v>21.9</v>
      </c>
      <c r="M1974" t="str">
        <f>LOOKUP(L1974,Sheet2!$S$4:$T$8)</f>
        <v>1-25</v>
      </c>
      <c r="N1974" s="1">
        <v>0.432</v>
      </c>
      <c r="O1974" t="str">
        <f>LOOKUP(N1974,Sheet2!$V$4:$W$7)</f>
        <v>0.4 - 0.69</v>
      </c>
      <c r="P1974" s="1">
        <v>37</v>
      </c>
      <c r="Q1974" t="str">
        <f>LOOKUP(P1974,Sheet2!$Z$4:$AA$7)</f>
        <v>36-45</v>
      </c>
      <c r="R1974" s="1">
        <v>0</v>
      </c>
      <c r="S1974" t="str">
        <f>IF(R1974=1,"Positive","Negative")</f>
        <v>Negative</v>
      </c>
      <c r="T1974" s="1">
        <f>IFERROR(VLOOKUP(A1974,[1]diabetes_Recognition!$A:$B,2,FALSE),"Not Sampled")</f>
        <v>0</v>
      </c>
      <c r="U1974" t="str">
        <f>IF(T1974=1,"Positive",(IF(T1974=0,"Negative","Not Sampled")))</f>
        <v>Negative</v>
      </c>
      <c r="V1974" s="1" t="str">
        <f>IF(U1974="Not Sampled","Not Sampled",IF(S1974=U1974,"Accurate Prediction","Inaccurate Prediction"))</f>
        <v>Accurate Prediction</v>
      </c>
    </row>
    <row r="1975" spans="1:22" x14ac:dyDescent="0.25">
      <c r="A1975" s="1">
        <v>1973</v>
      </c>
      <c r="B1975" s="1">
        <v>9</v>
      </c>
      <c r="C1975" s="1" t="str">
        <f>LOOKUP(B1975,Sheet2!$D$4:$E$9)</f>
        <v>8+</v>
      </c>
      <c r="D1975" s="1">
        <v>156</v>
      </c>
      <c r="E1975" t="str">
        <f>LOOKUP(D1975,Sheet2!$G$4:$H$9)</f>
        <v>151-175</v>
      </c>
      <c r="F1975" s="1">
        <v>86</v>
      </c>
      <c r="G1975" t="str">
        <f>LOOKUP(F1975,Sheet2!$J$4:$K$8)</f>
        <v>80+</v>
      </c>
      <c r="H1975" s="1">
        <v>28</v>
      </c>
      <c r="I1975" t="str">
        <f>LOOKUP(H1975,Sheet2!$M$4:$N$8)</f>
        <v>10-30</v>
      </c>
      <c r="J1975" s="1">
        <v>155</v>
      </c>
      <c r="K1975" t="str">
        <f>LOOKUP(J1975,Sheet2!$P$4:$Q$9)</f>
        <v>100-199</v>
      </c>
      <c r="L1975" s="1">
        <v>34.299999999999997</v>
      </c>
      <c r="M1975" t="str">
        <f>LOOKUP(L1975,Sheet2!$S$4:$T$8)</f>
        <v>31-35</v>
      </c>
      <c r="N1975" s="1">
        <v>1.1890000000000001</v>
      </c>
      <c r="O1975" t="str">
        <f>LOOKUP(N1975,Sheet2!$V$4:$W$7)</f>
        <v>0.7+</v>
      </c>
      <c r="P1975" s="1">
        <v>42</v>
      </c>
      <c r="Q1975" t="str">
        <f>LOOKUP(P1975,Sheet2!$Z$4:$AA$7)</f>
        <v>36-45</v>
      </c>
      <c r="R1975" s="1">
        <v>1</v>
      </c>
      <c r="S1975" t="str">
        <f>IF(R1975=1,"Positive","Negative")</f>
        <v>Positive</v>
      </c>
      <c r="T1975" s="1" t="str">
        <f>IFERROR(VLOOKUP(A1975,[1]diabetes_Recognition!$A:$B,2,FALSE),"Not Sampled")</f>
        <v>Not Sampled</v>
      </c>
      <c r="U1975" t="str">
        <f>IF(T1975=1,"Positive",(IF(T1975=0,"Negative","Not Sampled")))</f>
        <v>Not Sampled</v>
      </c>
      <c r="V1975" s="1" t="str">
        <f>IF(U1975="Not Sampled","Not Sampled",IF(S1975=U1975,"Accurate Prediction","Inaccurate Prediction"))</f>
        <v>Not Sampled</v>
      </c>
    </row>
    <row r="1976" spans="1:22" x14ac:dyDescent="0.25">
      <c r="A1976" s="1">
        <v>1974</v>
      </c>
      <c r="B1976" s="1">
        <v>1</v>
      </c>
      <c r="C1976" s="1">
        <f>LOOKUP(B1976,Sheet2!$D$4:$E$9)</f>
        <v>1</v>
      </c>
      <c r="D1976" s="1">
        <v>153</v>
      </c>
      <c r="E1976" t="str">
        <f>LOOKUP(D1976,Sheet2!$G$4:$H$9)</f>
        <v>151-175</v>
      </c>
      <c r="F1976" s="1">
        <v>82</v>
      </c>
      <c r="G1976" t="str">
        <f>LOOKUP(F1976,Sheet2!$J$4:$K$8)</f>
        <v>80+</v>
      </c>
      <c r="H1976" s="1">
        <v>42</v>
      </c>
      <c r="I1976" t="str">
        <f>LOOKUP(H1976,Sheet2!$M$4:$N$8)</f>
        <v>40+</v>
      </c>
      <c r="J1976" s="1">
        <v>485</v>
      </c>
      <c r="K1976" t="str">
        <f>LOOKUP(J1976,Sheet2!$P$4:$Q$9)</f>
        <v>300-499</v>
      </c>
      <c r="L1976" s="1">
        <v>40.6</v>
      </c>
      <c r="M1976" t="str">
        <f>LOOKUP(L1976,Sheet2!$S$4:$T$8)</f>
        <v>36+</v>
      </c>
      <c r="N1976" s="1">
        <v>0.68700000000000006</v>
      </c>
      <c r="O1976" t="str">
        <f>LOOKUP(N1976,Sheet2!$V$4:$W$7)</f>
        <v>0.4 - 0.69</v>
      </c>
      <c r="P1976" s="1">
        <v>23</v>
      </c>
      <c r="Q1976" t="str">
        <f>LOOKUP(P1976,Sheet2!$Z$4:$AA$7)</f>
        <v>&lt;=25</v>
      </c>
      <c r="R1976" s="1">
        <v>0</v>
      </c>
      <c r="S1976" t="str">
        <f>IF(R1976=1,"Positive","Negative")</f>
        <v>Negative</v>
      </c>
      <c r="T1976" s="1" t="str">
        <f>IFERROR(VLOOKUP(A1976,[1]diabetes_Recognition!$A:$B,2,FALSE),"Not Sampled")</f>
        <v>Not Sampled</v>
      </c>
      <c r="U1976" t="str">
        <f>IF(T1976=1,"Positive",(IF(T1976=0,"Negative","Not Sampled")))</f>
        <v>Not Sampled</v>
      </c>
      <c r="V1976" s="1" t="str">
        <f>IF(U1976="Not Sampled","Not Sampled",IF(S1976=U1976,"Accurate Prediction","Inaccurate Prediction"))</f>
        <v>Not Sampled</v>
      </c>
    </row>
    <row r="1977" spans="1:22" x14ac:dyDescent="0.25">
      <c r="A1977" s="1">
        <v>1975</v>
      </c>
      <c r="B1977" s="1">
        <v>8</v>
      </c>
      <c r="C1977" s="1" t="str">
        <f>LOOKUP(B1977,Sheet2!$D$4:$E$9)</f>
        <v>8+</v>
      </c>
      <c r="D1977" s="1">
        <v>188</v>
      </c>
      <c r="E1977" t="str">
        <f>LOOKUP(D1977,Sheet2!$G$4:$H$9)</f>
        <v>176-200</v>
      </c>
      <c r="F1977" s="1">
        <v>78</v>
      </c>
      <c r="G1977" t="str">
        <f>LOOKUP(F1977,Sheet2!$J$4:$K$8)</f>
        <v>70-79</v>
      </c>
      <c r="H1977" s="1">
        <v>0</v>
      </c>
      <c r="I1977" t="str">
        <f>LOOKUP(H1977,Sheet2!$M$4:$N$8)</f>
        <v>Unknown</v>
      </c>
      <c r="J1977" s="1">
        <v>0</v>
      </c>
      <c r="K1977" t="str">
        <f>LOOKUP(J1977,Sheet2!$P$4:$Q$9)</f>
        <v>Unknown</v>
      </c>
      <c r="L1977" s="1">
        <v>47.9</v>
      </c>
      <c r="M1977" t="str">
        <f>LOOKUP(L1977,Sheet2!$S$4:$T$8)</f>
        <v>36+</v>
      </c>
      <c r="N1977" s="1">
        <v>0.13700000000000001</v>
      </c>
      <c r="O1977" t="str">
        <f>LOOKUP(N1977,Sheet2!$V$4:$W$7)</f>
        <v>0.0 - 0.249</v>
      </c>
      <c r="P1977" s="1">
        <v>43</v>
      </c>
      <c r="Q1977" t="str">
        <f>LOOKUP(P1977,Sheet2!$Z$4:$AA$7)</f>
        <v>36-45</v>
      </c>
      <c r="R1977" s="1">
        <v>1</v>
      </c>
      <c r="S1977" t="str">
        <f>IF(R1977=1,"Positive","Negative")</f>
        <v>Positive</v>
      </c>
      <c r="T1977" s="1">
        <f>IFERROR(VLOOKUP(A1977,[1]diabetes_Recognition!$A:$B,2,FALSE),"Not Sampled")</f>
        <v>1</v>
      </c>
      <c r="U1977" t="str">
        <f>IF(T1977=1,"Positive",(IF(T1977=0,"Negative","Not Sampled")))</f>
        <v>Positive</v>
      </c>
      <c r="V1977" s="1" t="str">
        <f>IF(U1977="Not Sampled","Not Sampled",IF(S1977=U1977,"Accurate Prediction","Inaccurate Prediction"))</f>
        <v>Accurate Prediction</v>
      </c>
    </row>
    <row r="1978" spans="1:22" x14ac:dyDescent="0.25">
      <c r="A1978" s="1">
        <v>1976</v>
      </c>
      <c r="B1978" s="1">
        <v>7</v>
      </c>
      <c r="C1978" s="1" t="str">
        <f>LOOKUP(B1978,Sheet2!$D$4:$E$9)</f>
        <v>5-7</v>
      </c>
      <c r="D1978" s="1">
        <v>152</v>
      </c>
      <c r="E1978" t="str">
        <f>LOOKUP(D1978,Sheet2!$G$4:$H$9)</f>
        <v>151-175</v>
      </c>
      <c r="F1978" s="1">
        <v>88</v>
      </c>
      <c r="G1978" t="str">
        <f>LOOKUP(F1978,Sheet2!$J$4:$K$8)</f>
        <v>80+</v>
      </c>
      <c r="H1978" s="1">
        <v>44</v>
      </c>
      <c r="I1978" t="str">
        <f>LOOKUP(H1978,Sheet2!$M$4:$N$8)</f>
        <v>40+</v>
      </c>
      <c r="J1978" s="1">
        <v>0</v>
      </c>
      <c r="K1978" t="str">
        <f>LOOKUP(J1978,Sheet2!$P$4:$Q$9)</f>
        <v>Unknown</v>
      </c>
      <c r="L1978" s="1">
        <v>50</v>
      </c>
      <c r="M1978" t="str">
        <f>LOOKUP(L1978,Sheet2!$S$4:$T$8)</f>
        <v>36+</v>
      </c>
      <c r="N1978" s="1">
        <v>0.33700000000000002</v>
      </c>
      <c r="O1978" t="str">
        <f>LOOKUP(N1978,Sheet2!$V$4:$W$7)</f>
        <v>0.25 - 0.39</v>
      </c>
      <c r="P1978" s="1">
        <v>36</v>
      </c>
      <c r="Q1978" t="str">
        <f>LOOKUP(P1978,Sheet2!$Z$4:$AA$7)</f>
        <v>36-45</v>
      </c>
      <c r="R1978" s="1">
        <v>1</v>
      </c>
      <c r="S1978" t="str">
        <f>IF(R1978=1,"Positive","Negative")</f>
        <v>Positive</v>
      </c>
      <c r="T1978" s="1" t="str">
        <f>IFERROR(VLOOKUP(A1978,[1]diabetes_Recognition!$A:$B,2,FALSE),"Not Sampled")</f>
        <v>Not Sampled</v>
      </c>
      <c r="U1978" t="str">
        <f>IF(T1978=1,"Positive",(IF(T1978=0,"Negative","Not Sampled")))</f>
        <v>Not Sampled</v>
      </c>
      <c r="V1978" s="1" t="str">
        <f>IF(U1978="Not Sampled","Not Sampled",IF(S1978=U1978,"Accurate Prediction","Inaccurate Prediction"))</f>
        <v>Not Sampled</v>
      </c>
    </row>
    <row r="1979" spans="1:22" x14ac:dyDescent="0.25">
      <c r="A1979" s="1">
        <v>1977</v>
      </c>
      <c r="B1979" s="1">
        <v>2</v>
      </c>
      <c r="C1979" s="1">
        <f>LOOKUP(B1979,Sheet2!$D$4:$E$9)</f>
        <v>2</v>
      </c>
      <c r="D1979" s="1">
        <v>99</v>
      </c>
      <c r="E1979" t="str">
        <f>LOOKUP(D1979,Sheet2!$G$4:$H$9)</f>
        <v>1-99</v>
      </c>
      <c r="F1979" s="1">
        <v>52</v>
      </c>
      <c r="G1979" t="str">
        <f>LOOKUP(F1979,Sheet2!$J$4:$K$8)</f>
        <v>1-59</v>
      </c>
      <c r="H1979" s="1">
        <v>15</v>
      </c>
      <c r="I1979" t="str">
        <f>LOOKUP(H1979,Sheet2!$M$4:$N$8)</f>
        <v>10-30</v>
      </c>
      <c r="J1979" s="1">
        <v>94</v>
      </c>
      <c r="K1979" t="str">
        <f>LOOKUP(J1979,Sheet2!$P$4:$Q$9)</f>
        <v>1-99</v>
      </c>
      <c r="L1979" s="1">
        <v>24.6</v>
      </c>
      <c r="M1979" t="str">
        <f>LOOKUP(L1979,Sheet2!$S$4:$T$8)</f>
        <v>1-25</v>
      </c>
      <c r="N1979" s="1">
        <v>0.63700000000000001</v>
      </c>
      <c r="O1979" t="str">
        <f>LOOKUP(N1979,Sheet2!$V$4:$W$7)</f>
        <v>0.4 - 0.69</v>
      </c>
      <c r="P1979" s="1">
        <v>21</v>
      </c>
      <c r="Q1979" t="str">
        <f>LOOKUP(P1979,Sheet2!$Z$4:$AA$7)</f>
        <v>&lt;=25</v>
      </c>
      <c r="R1979" s="1">
        <v>0</v>
      </c>
      <c r="S1979" t="str">
        <f>IF(R1979=1,"Positive","Negative")</f>
        <v>Negative</v>
      </c>
      <c r="T1979" s="1">
        <f>IFERROR(VLOOKUP(A1979,[1]diabetes_Recognition!$A:$B,2,FALSE),"Not Sampled")</f>
        <v>0</v>
      </c>
      <c r="U1979" t="str">
        <f>IF(T1979=1,"Positive",(IF(T1979=0,"Negative","Not Sampled")))</f>
        <v>Negative</v>
      </c>
      <c r="V1979" s="1" t="str">
        <f>IF(U1979="Not Sampled","Not Sampled",IF(S1979=U1979,"Accurate Prediction","Inaccurate Prediction"))</f>
        <v>Accurate Prediction</v>
      </c>
    </row>
    <row r="1980" spans="1:22" x14ac:dyDescent="0.25">
      <c r="A1980" s="1">
        <v>1978</v>
      </c>
      <c r="B1980" s="1">
        <v>1</v>
      </c>
      <c r="C1980" s="1">
        <f>LOOKUP(B1980,Sheet2!$D$4:$E$9)</f>
        <v>1</v>
      </c>
      <c r="D1980" s="1">
        <v>109</v>
      </c>
      <c r="E1980" t="str">
        <f>LOOKUP(D1980,Sheet2!$G$4:$H$9)</f>
        <v>100-125</v>
      </c>
      <c r="F1980" s="1">
        <v>56</v>
      </c>
      <c r="G1980" t="str">
        <f>LOOKUP(F1980,Sheet2!$J$4:$K$8)</f>
        <v>1-59</v>
      </c>
      <c r="H1980" s="1">
        <v>21</v>
      </c>
      <c r="I1980" t="str">
        <f>LOOKUP(H1980,Sheet2!$M$4:$N$8)</f>
        <v>10-30</v>
      </c>
      <c r="J1980" s="1">
        <v>135</v>
      </c>
      <c r="K1980" t="str">
        <f>LOOKUP(J1980,Sheet2!$P$4:$Q$9)</f>
        <v>100-199</v>
      </c>
      <c r="L1980" s="1">
        <v>25.2</v>
      </c>
      <c r="M1980" t="str">
        <f>LOOKUP(L1980,Sheet2!$S$4:$T$8)</f>
        <v>1-25</v>
      </c>
      <c r="N1980" s="1">
        <v>0.83299999999999996</v>
      </c>
      <c r="O1980" t="str">
        <f>LOOKUP(N1980,Sheet2!$V$4:$W$7)</f>
        <v>0.7+</v>
      </c>
      <c r="P1980" s="1">
        <v>23</v>
      </c>
      <c r="Q1980" t="str">
        <f>LOOKUP(P1980,Sheet2!$Z$4:$AA$7)</f>
        <v>&lt;=25</v>
      </c>
      <c r="R1980" s="1">
        <v>0</v>
      </c>
      <c r="S1980" t="str">
        <f>IF(R1980=1,"Positive","Negative")</f>
        <v>Negative</v>
      </c>
      <c r="T1980" s="1" t="str">
        <f>IFERROR(VLOOKUP(A1980,[1]diabetes_Recognition!$A:$B,2,FALSE),"Not Sampled")</f>
        <v>Not Sampled</v>
      </c>
      <c r="U1980" t="str">
        <f>IF(T1980=1,"Positive",(IF(T1980=0,"Negative","Not Sampled")))</f>
        <v>Not Sampled</v>
      </c>
      <c r="V1980" s="1" t="str">
        <f>IF(U1980="Not Sampled","Not Sampled",IF(S1980=U1980,"Accurate Prediction","Inaccurate Prediction"))</f>
        <v>Not Sampled</v>
      </c>
    </row>
    <row r="1981" spans="1:22" x14ac:dyDescent="0.25">
      <c r="A1981" s="1">
        <v>1979</v>
      </c>
      <c r="B1981" s="1">
        <v>2</v>
      </c>
      <c r="C1981" s="1">
        <f>LOOKUP(B1981,Sheet2!$D$4:$E$9)</f>
        <v>2</v>
      </c>
      <c r="D1981" s="1">
        <v>88</v>
      </c>
      <c r="E1981" t="str">
        <f>LOOKUP(D1981,Sheet2!$G$4:$H$9)</f>
        <v>1-99</v>
      </c>
      <c r="F1981" s="1">
        <v>74</v>
      </c>
      <c r="G1981" t="str">
        <f>LOOKUP(F1981,Sheet2!$J$4:$K$8)</f>
        <v>70-79</v>
      </c>
      <c r="H1981" s="1">
        <v>19</v>
      </c>
      <c r="I1981" t="str">
        <f>LOOKUP(H1981,Sheet2!$M$4:$N$8)</f>
        <v>10-30</v>
      </c>
      <c r="J1981" s="1">
        <v>53</v>
      </c>
      <c r="K1981" t="str">
        <f>LOOKUP(J1981,Sheet2!$P$4:$Q$9)</f>
        <v>1-99</v>
      </c>
      <c r="L1981" s="1">
        <v>29</v>
      </c>
      <c r="M1981" t="str">
        <f>LOOKUP(L1981,Sheet2!$S$4:$T$8)</f>
        <v>26-30</v>
      </c>
      <c r="N1981" s="1">
        <v>0.22900000000000001</v>
      </c>
      <c r="O1981" t="str">
        <f>LOOKUP(N1981,Sheet2!$V$4:$W$7)</f>
        <v>0.0 - 0.249</v>
      </c>
      <c r="P1981" s="1">
        <v>22</v>
      </c>
      <c r="Q1981" t="str">
        <f>LOOKUP(P1981,Sheet2!$Z$4:$AA$7)</f>
        <v>&lt;=25</v>
      </c>
      <c r="R1981" s="1">
        <v>0</v>
      </c>
      <c r="S1981" t="str">
        <f>IF(R1981=1,"Positive","Negative")</f>
        <v>Negative</v>
      </c>
      <c r="T1981" s="1" t="str">
        <f>IFERROR(VLOOKUP(A1981,[1]diabetes_Recognition!$A:$B,2,FALSE),"Not Sampled")</f>
        <v>Not Sampled</v>
      </c>
      <c r="U1981" t="str">
        <f>IF(T1981=1,"Positive",(IF(T1981=0,"Negative","Not Sampled")))</f>
        <v>Not Sampled</v>
      </c>
      <c r="V1981" s="1" t="str">
        <f>IF(U1981="Not Sampled","Not Sampled",IF(S1981=U1981,"Accurate Prediction","Inaccurate Prediction"))</f>
        <v>Not Sampled</v>
      </c>
    </row>
    <row r="1982" spans="1:22" x14ac:dyDescent="0.25">
      <c r="A1982" s="1">
        <v>1980</v>
      </c>
      <c r="B1982" s="1">
        <v>17</v>
      </c>
      <c r="C1982" s="1" t="str">
        <f>LOOKUP(B1982,Sheet2!$D$4:$E$9)</f>
        <v>8+</v>
      </c>
      <c r="D1982" s="1">
        <v>163</v>
      </c>
      <c r="E1982" t="str">
        <f>LOOKUP(D1982,Sheet2!$G$4:$H$9)</f>
        <v>151-175</v>
      </c>
      <c r="F1982" s="1">
        <v>72</v>
      </c>
      <c r="G1982" t="str">
        <f>LOOKUP(F1982,Sheet2!$J$4:$K$8)</f>
        <v>70-79</v>
      </c>
      <c r="H1982" s="1">
        <v>41</v>
      </c>
      <c r="I1982" t="str">
        <f>LOOKUP(H1982,Sheet2!$M$4:$N$8)</f>
        <v>40+</v>
      </c>
      <c r="J1982" s="1">
        <v>114</v>
      </c>
      <c r="K1982" t="str">
        <f>LOOKUP(J1982,Sheet2!$P$4:$Q$9)</f>
        <v>100-199</v>
      </c>
      <c r="L1982" s="1">
        <v>40.9</v>
      </c>
      <c r="M1982" t="str">
        <f>LOOKUP(L1982,Sheet2!$S$4:$T$8)</f>
        <v>36+</v>
      </c>
      <c r="N1982" s="1">
        <v>0.81699999999999995</v>
      </c>
      <c r="O1982" t="str">
        <f>LOOKUP(N1982,Sheet2!$V$4:$W$7)</f>
        <v>0.7+</v>
      </c>
      <c r="P1982" s="1">
        <v>47</v>
      </c>
      <c r="Q1982" t="str">
        <f>LOOKUP(P1982,Sheet2!$Z$4:$AA$7)</f>
        <v>46+</v>
      </c>
      <c r="R1982" s="1">
        <v>1</v>
      </c>
      <c r="S1982" t="str">
        <f>IF(R1982=1,"Positive","Negative")</f>
        <v>Positive</v>
      </c>
      <c r="T1982" s="1" t="str">
        <f>IFERROR(VLOOKUP(A1982,[1]diabetes_Recognition!$A:$B,2,FALSE),"Not Sampled")</f>
        <v>Not Sampled</v>
      </c>
      <c r="U1982" t="str">
        <f>IF(T1982=1,"Positive",(IF(T1982=0,"Negative","Not Sampled")))</f>
        <v>Not Sampled</v>
      </c>
      <c r="V1982" s="1" t="str">
        <f>IF(U1982="Not Sampled","Not Sampled",IF(S1982=U1982,"Accurate Prediction","Inaccurate Prediction"))</f>
        <v>Not Sampled</v>
      </c>
    </row>
    <row r="1983" spans="1:22" x14ac:dyDescent="0.25">
      <c r="A1983" s="1">
        <v>1981</v>
      </c>
      <c r="B1983" s="1">
        <v>4</v>
      </c>
      <c r="C1983" s="1" t="str">
        <f>LOOKUP(B1983,Sheet2!$D$4:$E$9)</f>
        <v>3-4</v>
      </c>
      <c r="D1983" s="1">
        <v>151</v>
      </c>
      <c r="E1983" t="str">
        <f>LOOKUP(D1983,Sheet2!$G$4:$H$9)</f>
        <v>151-175</v>
      </c>
      <c r="F1983" s="1">
        <v>90</v>
      </c>
      <c r="G1983" t="str">
        <f>LOOKUP(F1983,Sheet2!$J$4:$K$8)</f>
        <v>80+</v>
      </c>
      <c r="H1983" s="1">
        <v>38</v>
      </c>
      <c r="I1983" t="str">
        <f>LOOKUP(H1983,Sheet2!$M$4:$N$8)</f>
        <v>30-39</v>
      </c>
      <c r="J1983" s="1">
        <v>0</v>
      </c>
      <c r="K1983" t="str">
        <f>LOOKUP(J1983,Sheet2!$P$4:$Q$9)</f>
        <v>Unknown</v>
      </c>
      <c r="L1983" s="1">
        <v>29.7</v>
      </c>
      <c r="M1983" t="str">
        <f>LOOKUP(L1983,Sheet2!$S$4:$T$8)</f>
        <v>26-30</v>
      </c>
      <c r="N1983" s="1">
        <v>0.29399999999999998</v>
      </c>
      <c r="O1983" t="str">
        <f>LOOKUP(N1983,Sheet2!$V$4:$W$7)</f>
        <v>0.25 - 0.39</v>
      </c>
      <c r="P1983" s="1">
        <v>36</v>
      </c>
      <c r="Q1983" t="str">
        <f>LOOKUP(P1983,Sheet2!$Z$4:$AA$7)</f>
        <v>36-45</v>
      </c>
      <c r="R1983" s="1">
        <v>0</v>
      </c>
      <c r="S1983" t="str">
        <f>IF(R1983=1,"Positive","Negative")</f>
        <v>Negative</v>
      </c>
      <c r="T1983" s="1" t="str">
        <f>IFERROR(VLOOKUP(A1983,[1]diabetes_Recognition!$A:$B,2,FALSE),"Not Sampled")</f>
        <v>Not Sampled</v>
      </c>
      <c r="U1983" t="str">
        <f>IF(T1983=1,"Positive",(IF(T1983=0,"Negative","Not Sampled")))</f>
        <v>Not Sampled</v>
      </c>
      <c r="V1983" s="1" t="str">
        <f>IF(U1983="Not Sampled","Not Sampled",IF(S1983=U1983,"Accurate Prediction","Inaccurate Prediction"))</f>
        <v>Not Sampled</v>
      </c>
    </row>
    <row r="1984" spans="1:22" x14ac:dyDescent="0.25">
      <c r="A1984" s="1">
        <v>1982</v>
      </c>
      <c r="B1984" s="1">
        <v>7</v>
      </c>
      <c r="C1984" s="1" t="str">
        <f>LOOKUP(B1984,Sheet2!$D$4:$E$9)</f>
        <v>5-7</v>
      </c>
      <c r="D1984" s="1">
        <v>102</v>
      </c>
      <c r="E1984" t="str">
        <f>LOOKUP(D1984,Sheet2!$G$4:$H$9)</f>
        <v>100-125</v>
      </c>
      <c r="F1984" s="1">
        <v>74</v>
      </c>
      <c r="G1984" t="str">
        <f>LOOKUP(F1984,Sheet2!$J$4:$K$8)</f>
        <v>70-79</v>
      </c>
      <c r="H1984" s="1">
        <v>40</v>
      </c>
      <c r="I1984" t="str">
        <f>LOOKUP(H1984,Sheet2!$M$4:$N$8)</f>
        <v>40+</v>
      </c>
      <c r="J1984" s="1">
        <v>105</v>
      </c>
      <c r="K1984" t="str">
        <f>LOOKUP(J1984,Sheet2!$P$4:$Q$9)</f>
        <v>100-199</v>
      </c>
      <c r="L1984" s="1">
        <v>37.200000000000003</v>
      </c>
      <c r="M1984" t="str">
        <f>LOOKUP(L1984,Sheet2!$S$4:$T$8)</f>
        <v>36+</v>
      </c>
      <c r="N1984" s="1">
        <v>0.20399999999999999</v>
      </c>
      <c r="O1984" t="str">
        <f>LOOKUP(N1984,Sheet2!$V$4:$W$7)</f>
        <v>0.0 - 0.249</v>
      </c>
      <c r="P1984" s="1">
        <v>45</v>
      </c>
      <c r="Q1984" t="str">
        <f>LOOKUP(P1984,Sheet2!$Z$4:$AA$7)</f>
        <v>36-45</v>
      </c>
      <c r="R1984" s="1">
        <v>0</v>
      </c>
      <c r="S1984" t="str">
        <f>IF(R1984=1,"Positive","Negative")</f>
        <v>Negative</v>
      </c>
      <c r="T1984" s="1" t="str">
        <f>IFERROR(VLOOKUP(A1984,[1]diabetes_Recognition!$A:$B,2,FALSE),"Not Sampled")</f>
        <v>Not Sampled</v>
      </c>
      <c r="U1984" t="str">
        <f>IF(T1984=1,"Positive",(IF(T1984=0,"Negative","Not Sampled")))</f>
        <v>Not Sampled</v>
      </c>
      <c r="V1984" s="1" t="str">
        <f>IF(U1984="Not Sampled","Not Sampled",IF(S1984=U1984,"Accurate Prediction","Inaccurate Prediction"))</f>
        <v>Not Sampled</v>
      </c>
    </row>
    <row r="1985" spans="1:22" x14ac:dyDescent="0.25">
      <c r="A1985" s="1">
        <v>1983</v>
      </c>
      <c r="B1985" s="1">
        <v>0</v>
      </c>
      <c r="C1985" s="1">
        <f>LOOKUP(B1985,Sheet2!$D$4:$E$9)</f>
        <v>0</v>
      </c>
      <c r="D1985" s="1">
        <v>114</v>
      </c>
      <c r="E1985" t="str">
        <f>LOOKUP(D1985,Sheet2!$G$4:$H$9)</f>
        <v>100-125</v>
      </c>
      <c r="F1985" s="1">
        <v>80</v>
      </c>
      <c r="G1985" t="str">
        <f>LOOKUP(F1985,Sheet2!$J$4:$K$8)</f>
        <v>80+</v>
      </c>
      <c r="H1985" s="1">
        <v>34</v>
      </c>
      <c r="I1985" t="str">
        <f>LOOKUP(H1985,Sheet2!$M$4:$N$8)</f>
        <v>30-39</v>
      </c>
      <c r="J1985" s="1">
        <v>285</v>
      </c>
      <c r="K1985" t="str">
        <f>LOOKUP(J1985,Sheet2!$P$4:$Q$9)</f>
        <v>200-399</v>
      </c>
      <c r="L1985" s="1">
        <v>44.2</v>
      </c>
      <c r="M1985" t="str">
        <f>LOOKUP(L1985,Sheet2!$S$4:$T$8)</f>
        <v>36+</v>
      </c>
      <c r="N1985" s="1">
        <v>0.16700000000000001</v>
      </c>
      <c r="O1985" t="str">
        <f>LOOKUP(N1985,Sheet2!$V$4:$W$7)</f>
        <v>0.0 - 0.249</v>
      </c>
      <c r="P1985" s="1">
        <v>27</v>
      </c>
      <c r="Q1985" t="str">
        <f>LOOKUP(P1985,Sheet2!$Z$4:$AA$7)</f>
        <v>26-35</v>
      </c>
      <c r="R1985" s="1">
        <v>0</v>
      </c>
      <c r="S1985" t="str">
        <f>IF(R1985=1,"Positive","Negative")</f>
        <v>Negative</v>
      </c>
      <c r="T1985" s="1">
        <f>IFERROR(VLOOKUP(A1985,[1]diabetes_Recognition!$A:$B,2,FALSE),"Not Sampled")</f>
        <v>0</v>
      </c>
      <c r="U1985" t="str">
        <f>IF(T1985=1,"Positive",(IF(T1985=0,"Negative","Not Sampled")))</f>
        <v>Negative</v>
      </c>
      <c r="V1985" s="1" t="str">
        <f>IF(U1985="Not Sampled","Not Sampled",IF(S1985=U1985,"Accurate Prediction","Inaccurate Prediction"))</f>
        <v>Accurate Prediction</v>
      </c>
    </row>
    <row r="1986" spans="1:22" x14ac:dyDescent="0.25">
      <c r="A1986" s="1">
        <v>1984</v>
      </c>
      <c r="B1986" s="1">
        <v>2</v>
      </c>
      <c r="C1986" s="1">
        <f>LOOKUP(B1986,Sheet2!$D$4:$E$9)</f>
        <v>2</v>
      </c>
      <c r="D1986" s="1">
        <v>100</v>
      </c>
      <c r="E1986" t="str">
        <f>LOOKUP(D1986,Sheet2!$G$4:$H$9)</f>
        <v>100-125</v>
      </c>
      <c r="F1986" s="1">
        <v>64</v>
      </c>
      <c r="G1986" t="str">
        <f>LOOKUP(F1986,Sheet2!$J$4:$K$8)</f>
        <v>60-69</v>
      </c>
      <c r="H1986" s="1">
        <v>23</v>
      </c>
      <c r="I1986" t="str">
        <f>LOOKUP(H1986,Sheet2!$M$4:$N$8)</f>
        <v>10-30</v>
      </c>
      <c r="J1986" s="1">
        <v>0</v>
      </c>
      <c r="K1986" t="str">
        <f>LOOKUP(J1986,Sheet2!$P$4:$Q$9)</f>
        <v>Unknown</v>
      </c>
      <c r="L1986" s="1">
        <v>29.7</v>
      </c>
      <c r="M1986" t="str">
        <f>LOOKUP(L1986,Sheet2!$S$4:$T$8)</f>
        <v>26-30</v>
      </c>
      <c r="N1986" s="1">
        <v>0.36799999999999999</v>
      </c>
      <c r="O1986" t="str">
        <f>LOOKUP(N1986,Sheet2!$V$4:$W$7)</f>
        <v>0.25 - 0.39</v>
      </c>
      <c r="P1986" s="1">
        <v>21</v>
      </c>
      <c r="Q1986" t="str">
        <f>LOOKUP(P1986,Sheet2!$Z$4:$AA$7)</f>
        <v>&lt;=25</v>
      </c>
      <c r="R1986" s="1">
        <v>0</v>
      </c>
      <c r="S1986" t="str">
        <f>IF(R1986=1,"Positive","Negative")</f>
        <v>Negative</v>
      </c>
      <c r="T1986" s="1" t="str">
        <f>IFERROR(VLOOKUP(A1986,[1]diabetes_Recognition!$A:$B,2,FALSE),"Not Sampled")</f>
        <v>Not Sampled</v>
      </c>
      <c r="U1986" t="str">
        <f>IF(T1986=1,"Positive",(IF(T1986=0,"Negative","Not Sampled")))</f>
        <v>Not Sampled</v>
      </c>
      <c r="V1986" s="1" t="str">
        <f>IF(U1986="Not Sampled","Not Sampled",IF(S1986=U1986,"Accurate Prediction","Inaccurate Prediction"))</f>
        <v>Not Sampled</v>
      </c>
    </row>
    <row r="1987" spans="1:22" x14ac:dyDescent="0.25">
      <c r="A1987" s="1">
        <v>1985</v>
      </c>
      <c r="B1987" s="1">
        <v>0</v>
      </c>
      <c r="C1987" s="1">
        <f>LOOKUP(B1987,Sheet2!$D$4:$E$9)</f>
        <v>0</v>
      </c>
      <c r="D1987" s="1">
        <v>131</v>
      </c>
      <c r="E1987" t="str">
        <f>LOOKUP(D1987,Sheet2!$G$4:$H$9)</f>
        <v>126-150</v>
      </c>
      <c r="F1987" s="1">
        <v>88</v>
      </c>
      <c r="G1987" t="str">
        <f>LOOKUP(F1987,Sheet2!$J$4:$K$8)</f>
        <v>80+</v>
      </c>
      <c r="H1987" s="1">
        <v>0</v>
      </c>
      <c r="I1987" t="str">
        <f>LOOKUP(H1987,Sheet2!$M$4:$N$8)</f>
        <v>Unknown</v>
      </c>
      <c r="J1987" s="1">
        <v>0</v>
      </c>
      <c r="K1987" t="str">
        <f>LOOKUP(J1987,Sheet2!$P$4:$Q$9)</f>
        <v>Unknown</v>
      </c>
      <c r="L1987" s="1">
        <v>31.6</v>
      </c>
      <c r="M1987" t="str">
        <f>LOOKUP(L1987,Sheet2!$S$4:$T$8)</f>
        <v>31-35</v>
      </c>
      <c r="N1987" s="1">
        <v>0.74299999999999999</v>
      </c>
      <c r="O1987" t="str">
        <f>LOOKUP(N1987,Sheet2!$V$4:$W$7)</f>
        <v>0.7+</v>
      </c>
      <c r="P1987" s="1">
        <v>32</v>
      </c>
      <c r="Q1987" t="str">
        <f>LOOKUP(P1987,Sheet2!$Z$4:$AA$7)</f>
        <v>26-35</v>
      </c>
      <c r="R1987" s="1">
        <v>1</v>
      </c>
      <c r="S1987" t="str">
        <f>IF(R1987=1,"Positive","Negative")</f>
        <v>Positive</v>
      </c>
      <c r="T1987" s="1">
        <f>IFERROR(VLOOKUP(A1987,[1]diabetes_Recognition!$A:$B,2,FALSE),"Not Sampled")</f>
        <v>0</v>
      </c>
      <c r="U1987" t="str">
        <f>IF(T1987=1,"Positive",(IF(T1987=0,"Negative","Not Sampled")))</f>
        <v>Negative</v>
      </c>
      <c r="V1987" s="1" t="str">
        <f>IF(U1987="Not Sampled","Not Sampled",IF(S1987=U1987,"Accurate Prediction","Inaccurate Prediction"))</f>
        <v>Inaccurate Prediction</v>
      </c>
    </row>
    <row r="1988" spans="1:22" x14ac:dyDescent="0.25">
      <c r="A1988" s="1">
        <v>1986</v>
      </c>
      <c r="B1988" s="1">
        <v>6</v>
      </c>
      <c r="C1988" s="1" t="str">
        <f>LOOKUP(B1988,Sheet2!$D$4:$E$9)</f>
        <v>5-7</v>
      </c>
      <c r="D1988" s="1">
        <v>104</v>
      </c>
      <c r="E1988" t="str">
        <f>LOOKUP(D1988,Sheet2!$G$4:$H$9)</f>
        <v>100-125</v>
      </c>
      <c r="F1988" s="1">
        <v>74</v>
      </c>
      <c r="G1988" t="str">
        <f>LOOKUP(F1988,Sheet2!$J$4:$K$8)</f>
        <v>70-79</v>
      </c>
      <c r="H1988" s="1">
        <v>18</v>
      </c>
      <c r="I1988" t="str">
        <f>LOOKUP(H1988,Sheet2!$M$4:$N$8)</f>
        <v>10-30</v>
      </c>
      <c r="J1988" s="1">
        <v>156</v>
      </c>
      <c r="K1988" t="str">
        <f>LOOKUP(J1988,Sheet2!$P$4:$Q$9)</f>
        <v>100-199</v>
      </c>
      <c r="L1988" s="1">
        <v>29.9</v>
      </c>
      <c r="M1988" t="str">
        <f>LOOKUP(L1988,Sheet2!$S$4:$T$8)</f>
        <v>26-30</v>
      </c>
      <c r="N1988" s="1">
        <v>0.72199999999999998</v>
      </c>
      <c r="O1988" t="str">
        <f>LOOKUP(N1988,Sheet2!$V$4:$W$7)</f>
        <v>0.7+</v>
      </c>
      <c r="P1988" s="1">
        <v>41</v>
      </c>
      <c r="Q1988" t="str">
        <f>LOOKUP(P1988,Sheet2!$Z$4:$AA$7)</f>
        <v>36-45</v>
      </c>
      <c r="R1988" s="1">
        <v>1</v>
      </c>
      <c r="S1988" t="str">
        <f>IF(R1988=1,"Positive","Negative")</f>
        <v>Positive</v>
      </c>
      <c r="T1988" s="1">
        <f>IFERROR(VLOOKUP(A1988,[1]diabetes_Recognition!$A:$B,2,FALSE),"Not Sampled")</f>
        <v>0</v>
      </c>
      <c r="U1988" t="str">
        <f>IF(T1988=1,"Positive",(IF(T1988=0,"Negative","Not Sampled")))</f>
        <v>Negative</v>
      </c>
      <c r="V1988" s="1" t="str">
        <f>IF(U1988="Not Sampled","Not Sampled",IF(S1988=U1988,"Accurate Prediction","Inaccurate Prediction"))</f>
        <v>Inaccurate Prediction</v>
      </c>
    </row>
    <row r="1989" spans="1:22" x14ac:dyDescent="0.25">
      <c r="A1989" s="1">
        <v>1987</v>
      </c>
      <c r="B1989" s="1">
        <v>3</v>
      </c>
      <c r="C1989" s="1" t="str">
        <f>LOOKUP(B1989,Sheet2!$D$4:$E$9)</f>
        <v>3-4</v>
      </c>
      <c r="D1989" s="1">
        <v>148</v>
      </c>
      <c r="E1989" t="str">
        <f>LOOKUP(D1989,Sheet2!$G$4:$H$9)</f>
        <v>126-150</v>
      </c>
      <c r="F1989" s="1">
        <v>66</v>
      </c>
      <c r="G1989" t="str">
        <f>LOOKUP(F1989,Sheet2!$J$4:$K$8)</f>
        <v>60-69</v>
      </c>
      <c r="H1989" s="1">
        <v>25</v>
      </c>
      <c r="I1989" t="str">
        <f>LOOKUP(H1989,Sheet2!$M$4:$N$8)</f>
        <v>10-30</v>
      </c>
      <c r="J1989" s="1">
        <v>0</v>
      </c>
      <c r="K1989" t="str">
        <f>LOOKUP(J1989,Sheet2!$P$4:$Q$9)</f>
        <v>Unknown</v>
      </c>
      <c r="L1989" s="1">
        <v>32.5</v>
      </c>
      <c r="M1989" t="str">
        <f>LOOKUP(L1989,Sheet2!$S$4:$T$8)</f>
        <v>31-35</v>
      </c>
      <c r="N1989" s="1">
        <v>0.25600000000000001</v>
      </c>
      <c r="O1989" t="str">
        <f>LOOKUP(N1989,Sheet2!$V$4:$W$7)</f>
        <v>0.25 - 0.39</v>
      </c>
      <c r="P1989" s="1">
        <v>22</v>
      </c>
      <c r="Q1989" t="str">
        <f>LOOKUP(P1989,Sheet2!$Z$4:$AA$7)</f>
        <v>&lt;=25</v>
      </c>
      <c r="R1989" s="1">
        <v>0</v>
      </c>
      <c r="S1989" t="str">
        <f>IF(R1989=1,"Positive","Negative")</f>
        <v>Negative</v>
      </c>
      <c r="T1989" s="1" t="str">
        <f>IFERROR(VLOOKUP(A1989,[1]diabetes_Recognition!$A:$B,2,FALSE),"Not Sampled")</f>
        <v>Not Sampled</v>
      </c>
      <c r="U1989" t="str">
        <f>IF(T1989=1,"Positive",(IF(T1989=0,"Negative","Not Sampled")))</f>
        <v>Not Sampled</v>
      </c>
      <c r="V1989" s="1" t="str">
        <f>IF(U1989="Not Sampled","Not Sampled",IF(S1989=U1989,"Accurate Prediction","Inaccurate Prediction"))</f>
        <v>Not Sampled</v>
      </c>
    </row>
    <row r="1990" spans="1:22" x14ac:dyDescent="0.25">
      <c r="A1990" s="1">
        <v>1988</v>
      </c>
      <c r="B1990" s="1">
        <v>4</v>
      </c>
      <c r="C1990" s="1" t="str">
        <f>LOOKUP(B1990,Sheet2!$D$4:$E$9)</f>
        <v>3-4</v>
      </c>
      <c r="D1990" s="1">
        <v>120</v>
      </c>
      <c r="E1990" t="str">
        <f>LOOKUP(D1990,Sheet2!$G$4:$H$9)</f>
        <v>100-125</v>
      </c>
      <c r="F1990" s="1">
        <v>68</v>
      </c>
      <c r="G1990" t="str">
        <f>LOOKUP(F1990,Sheet2!$J$4:$K$8)</f>
        <v>60-69</v>
      </c>
      <c r="H1990" s="1">
        <v>0</v>
      </c>
      <c r="I1990" t="str">
        <f>LOOKUP(H1990,Sheet2!$M$4:$N$8)</f>
        <v>Unknown</v>
      </c>
      <c r="J1990" s="1">
        <v>0</v>
      </c>
      <c r="K1990" t="str">
        <f>LOOKUP(J1990,Sheet2!$P$4:$Q$9)</f>
        <v>Unknown</v>
      </c>
      <c r="L1990" s="1">
        <v>29.6</v>
      </c>
      <c r="M1990" t="str">
        <f>LOOKUP(L1990,Sheet2!$S$4:$T$8)</f>
        <v>26-30</v>
      </c>
      <c r="N1990" s="1">
        <v>0.70899999999999996</v>
      </c>
      <c r="O1990" t="str">
        <f>LOOKUP(N1990,Sheet2!$V$4:$W$7)</f>
        <v>0.7+</v>
      </c>
      <c r="P1990" s="1">
        <v>34</v>
      </c>
      <c r="Q1990" t="str">
        <f>LOOKUP(P1990,Sheet2!$Z$4:$AA$7)</f>
        <v>26-35</v>
      </c>
      <c r="R1990" s="1">
        <v>0</v>
      </c>
      <c r="S1990" t="str">
        <f>IF(R1990=1,"Positive","Negative")</f>
        <v>Negative</v>
      </c>
      <c r="T1990" s="1">
        <f>IFERROR(VLOOKUP(A1990,[1]diabetes_Recognition!$A:$B,2,FALSE),"Not Sampled")</f>
        <v>0</v>
      </c>
      <c r="U1990" t="str">
        <f>IF(T1990=1,"Positive",(IF(T1990=0,"Negative","Not Sampled")))</f>
        <v>Negative</v>
      </c>
      <c r="V1990" s="1" t="str">
        <f>IF(U1990="Not Sampled","Not Sampled",IF(S1990=U1990,"Accurate Prediction","Inaccurate Prediction"))</f>
        <v>Accurate Prediction</v>
      </c>
    </row>
    <row r="1991" spans="1:22" x14ac:dyDescent="0.25">
      <c r="A1991" s="1">
        <v>1989</v>
      </c>
      <c r="B1991" s="1">
        <v>4</v>
      </c>
      <c r="C1991" s="1" t="str">
        <f>LOOKUP(B1991,Sheet2!$D$4:$E$9)</f>
        <v>3-4</v>
      </c>
      <c r="D1991" s="1">
        <v>110</v>
      </c>
      <c r="E1991" t="str">
        <f>LOOKUP(D1991,Sheet2!$G$4:$H$9)</f>
        <v>100-125</v>
      </c>
      <c r="F1991" s="1">
        <v>66</v>
      </c>
      <c r="G1991" t="str">
        <f>LOOKUP(F1991,Sheet2!$J$4:$K$8)</f>
        <v>60-69</v>
      </c>
      <c r="H1991" s="1">
        <v>0</v>
      </c>
      <c r="I1991" t="str">
        <f>LOOKUP(H1991,Sheet2!$M$4:$N$8)</f>
        <v>Unknown</v>
      </c>
      <c r="J1991" s="1">
        <v>0</v>
      </c>
      <c r="K1991" t="str">
        <f>LOOKUP(J1991,Sheet2!$P$4:$Q$9)</f>
        <v>Unknown</v>
      </c>
      <c r="L1991" s="1">
        <v>31.9</v>
      </c>
      <c r="M1991" t="str">
        <f>LOOKUP(L1991,Sheet2!$S$4:$T$8)</f>
        <v>31-35</v>
      </c>
      <c r="N1991" s="1">
        <v>0.47099999999999997</v>
      </c>
      <c r="O1991" t="str">
        <f>LOOKUP(N1991,Sheet2!$V$4:$W$7)</f>
        <v>0.4 - 0.69</v>
      </c>
      <c r="P1991" s="1">
        <v>29</v>
      </c>
      <c r="Q1991" t="str">
        <f>LOOKUP(P1991,Sheet2!$Z$4:$AA$7)</f>
        <v>26-35</v>
      </c>
      <c r="R1991" s="1">
        <v>0</v>
      </c>
      <c r="S1991" t="str">
        <f>IF(R1991=1,"Positive","Negative")</f>
        <v>Negative</v>
      </c>
      <c r="T1991" s="1" t="str">
        <f>IFERROR(VLOOKUP(A1991,[1]diabetes_Recognition!$A:$B,2,FALSE),"Not Sampled")</f>
        <v>Not Sampled</v>
      </c>
      <c r="U1991" t="str">
        <f>IF(T1991=1,"Positive",(IF(T1991=0,"Negative","Not Sampled")))</f>
        <v>Not Sampled</v>
      </c>
      <c r="V1991" s="1" t="str">
        <f>IF(U1991="Not Sampled","Not Sampled",IF(S1991=U1991,"Accurate Prediction","Inaccurate Prediction"))</f>
        <v>Not Sampled</v>
      </c>
    </row>
    <row r="1992" spans="1:22" x14ac:dyDescent="0.25">
      <c r="A1992" s="1">
        <v>1990</v>
      </c>
      <c r="B1992" s="1">
        <v>3</v>
      </c>
      <c r="C1992" s="1" t="str">
        <f>LOOKUP(B1992,Sheet2!$D$4:$E$9)</f>
        <v>3-4</v>
      </c>
      <c r="D1992" s="1">
        <v>111</v>
      </c>
      <c r="E1992" t="str">
        <f>LOOKUP(D1992,Sheet2!$G$4:$H$9)</f>
        <v>100-125</v>
      </c>
      <c r="F1992" s="1">
        <v>90</v>
      </c>
      <c r="G1992" t="str">
        <f>LOOKUP(F1992,Sheet2!$J$4:$K$8)</f>
        <v>80+</v>
      </c>
      <c r="H1992" s="1">
        <v>12</v>
      </c>
      <c r="I1992" t="str">
        <f>LOOKUP(H1992,Sheet2!$M$4:$N$8)</f>
        <v>10-30</v>
      </c>
      <c r="J1992" s="1">
        <v>78</v>
      </c>
      <c r="K1992" t="str">
        <f>LOOKUP(J1992,Sheet2!$P$4:$Q$9)</f>
        <v>1-99</v>
      </c>
      <c r="L1992" s="1">
        <v>28.4</v>
      </c>
      <c r="M1992" t="str">
        <f>LOOKUP(L1992,Sheet2!$S$4:$T$8)</f>
        <v>26-30</v>
      </c>
      <c r="N1992" s="1">
        <v>0.495</v>
      </c>
      <c r="O1992" t="str">
        <f>LOOKUP(N1992,Sheet2!$V$4:$W$7)</f>
        <v>0.4 - 0.69</v>
      </c>
      <c r="P1992" s="1">
        <v>29</v>
      </c>
      <c r="Q1992" t="str">
        <f>LOOKUP(P1992,Sheet2!$Z$4:$AA$7)</f>
        <v>26-35</v>
      </c>
      <c r="R1992" s="1">
        <v>0</v>
      </c>
      <c r="S1992" t="str">
        <f>IF(R1992=1,"Positive","Negative")</f>
        <v>Negative</v>
      </c>
      <c r="T1992" s="1">
        <f>IFERROR(VLOOKUP(A1992,[1]diabetes_Recognition!$A:$B,2,FALSE),"Not Sampled")</f>
        <v>0</v>
      </c>
      <c r="U1992" t="str">
        <f>IF(T1992=1,"Positive",(IF(T1992=0,"Negative","Not Sampled")))</f>
        <v>Negative</v>
      </c>
      <c r="V1992" s="1" t="str">
        <f>IF(U1992="Not Sampled","Not Sampled",IF(S1992=U1992,"Accurate Prediction","Inaccurate Prediction"))</f>
        <v>Accurate Prediction</v>
      </c>
    </row>
    <row r="1993" spans="1:22" x14ac:dyDescent="0.25">
      <c r="A1993" s="1">
        <v>1991</v>
      </c>
      <c r="B1993" s="1">
        <v>6</v>
      </c>
      <c r="C1993" s="1" t="str">
        <f>LOOKUP(B1993,Sheet2!$D$4:$E$9)</f>
        <v>5-7</v>
      </c>
      <c r="D1993" s="1">
        <v>102</v>
      </c>
      <c r="E1993" t="str">
        <f>LOOKUP(D1993,Sheet2!$G$4:$H$9)</f>
        <v>100-125</v>
      </c>
      <c r="F1993" s="1">
        <v>82</v>
      </c>
      <c r="G1993" t="str">
        <f>LOOKUP(F1993,Sheet2!$J$4:$K$8)</f>
        <v>80+</v>
      </c>
      <c r="H1993" s="1">
        <v>0</v>
      </c>
      <c r="I1993" t="str">
        <f>LOOKUP(H1993,Sheet2!$M$4:$N$8)</f>
        <v>Unknown</v>
      </c>
      <c r="J1993" s="1">
        <v>0</v>
      </c>
      <c r="K1993" t="str">
        <f>LOOKUP(J1993,Sheet2!$P$4:$Q$9)</f>
        <v>Unknown</v>
      </c>
      <c r="L1993" s="1">
        <v>30.8</v>
      </c>
      <c r="M1993" t="str">
        <f>LOOKUP(L1993,Sheet2!$S$4:$T$8)</f>
        <v>26-30</v>
      </c>
      <c r="N1993" s="1">
        <v>0.18</v>
      </c>
      <c r="O1993" t="str">
        <f>LOOKUP(N1993,Sheet2!$V$4:$W$7)</f>
        <v>0.0 - 0.249</v>
      </c>
      <c r="P1993" s="1">
        <v>36</v>
      </c>
      <c r="Q1993" t="str">
        <f>LOOKUP(P1993,Sheet2!$Z$4:$AA$7)</f>
        <v>36-45</v>
      </c>
      <c r="R1993" s="1">
        <v>1</v>
      </c>
      <c r="S1993" t="str">
        <f>IF(R1993=1,"Positive","Negative")</f>
        <v>Positive</v>
      </c>
      <c r="T1993" s="1">
        <f>IFERROR(VLOOKUP(A1993,[1]diabetes_Recognition!$A:$B,2,FALSE),"Not Sampled")</f>
        <v>0</v>
      </c>
      <c r="U1993" t="str">
        <f>IF(T1993=1,"Positive",(IF(T1993=0,"Negative","Not Sampled")))</f>
        <v>Negative</v>
      </c>
      <c r="V1993" s="1" t="str">
        <f>IF(U1993="Not Sampled","Not Sampled",IF(S1993=U1993,"Accurate Prediction","Inaccurate Prediction"))</f>
        <v>Inaccurate Prediction</v>
      </c>
    </row>
    <row r="1994" spans="1:22" x14ac:dyDescent="0.25">
      <c r="A1994" s="1">
        <v>1992</v>
      </c>
      <c r="B1994" s="1">
        <v>6</v>
      </c>
      <c r="C1994" s="1" t="str">
        <f>LOOKUP(B1994,Sheet2!$D$4:$E$9)</f>
        <v>5-7</v>
      </c>
      <c r="D1994" s="1">
        <v>134</v>
      </c>
      <c r="E1994" t="str">
        <f>LOOKUP(D1994,Sheet2!$G$4:$H$9)</f>
        <v>126-150</v>
      </c>
      <c r="F1994" s="1">
        <v>70</v>
      </c>
      <c r="G1994" t="str">
        <f>LOOKUP(F1994,Sheet2!$J$4:$K$8)</f>
        <v>70-79</v>
      </c>
      <c r="H1994" s="1">
        <v>23</v>
      </c>
      <c r="I1994" t="str">
        <f>LOOKUP(H1994,Sheet2!$M$4:$N$8)</f>
        <v>10-30</v>
      </c>
      <c r="J1994" s="1">
        <v>130</v>
      </c>
      <c r="K1994" t="str">
        <f>LOOKUP(J1994,Sheet2!$P$4:$Q$9)</f>
        <v>100-199</v>
      </c>
      <c r="L1994" s="1">
        <v>35.4</v>
      </c>
      <c r="M1994" t="str">
        <f>LOOKUP(L1994,Sheet2!$S$4:$T$8)</f>
        <v>31-35</v>
      </c>
      <c r="N1994" s="1">
        <v>0.54200000000000004</v>
      </c>
      <c r="O1994" t="str">
        <f>LOOKUP(N1994,Sheet2!$V$4:$W$7)</f>
        <v>0.4 - 0.69</v>
      </c>
      <c r="P1994" s="1">
        <v>29</v>
      </c>
      <c r="Q1994" t="str">
        <f>LOOKUP(P1994,Sheet2!$Z$4:$AA$7)</f>
        <v>26-35</v>
      </c>
      <c r="R1994" s="1">
        <v>1</v>
      </c>
      <c r="S1994" t="str">
        <f>IF(R1994=1,"Positive","Negative")</f>
        <v>Positive</v>
      </c>
      <c r="T1994" s="1" t="str">
        <f>IFERROR(VLOOKUP(A1994,[1]diabetes_Recognition!$A:$B,2,FALSE),"Not Sampled")</f>
        <v>Not Sampled</v>
      </c>
      <c r="U1994" t="str">
        <f>IF(T1994=1,"Positive",(IF(T1994=0,"Negative","Not Sampled")))</f>
        <v>Not Sampled</v>
      </c>
      <c r="V1994" s="1" t="str">
        <f>IF(U1994="Not Sampled","Not Sampled",IF(S1994=U1994,"Accurate Prediction","Inaccurate Prediction"))</f>
        <v>Not Sampled</v>
      </c>
    </row>
    <row r="1995" spans="1:22" x14ac:dyDescent="0.25">
      <c r="A1995" s="1">
        <v>1993</v>
      </c>
      <c r="B1995" s="1">
        <v>2</v>
      </c>
      <c r="C1995" s="1">
        <f>LOOKUP(B1995,Sheet2!$D$4:$E$9)</f>
        <v>2</v>
      </c>
      <c r="D1995" s="1">
        <v>87</v>
      </c>
      <c r="E1995" t="str">
        <f>LOOKUP(D1995,Sheet2!$G$4:$H$9)</f>
        <v>1-99</v>
      </c>
      <c r="F1995" s="1">
        <v>0</v>
      </c>
      <c r="G1995" t="str">
        <f>LOOKUP(F1995,Sheet2!$J$4:$K$8)</f>
        <v>Unknown</v>
      </c>
      <c r="H1995" s="1">
        <v>23</v>
      </c>
      <c r="I1995" t="str">
        <f>LOOKUP(H1995,Sheet2!$M$4:$N$8)</f>
        <v>10-30</v>
      </c>
      <c r="J1995" s="1">
        <v>0</v>
      </c>
      <c r="K1995" t="str">
        <f>LOOKUP(J1995,Sheet2!$P$4:$Q$9)</f>
        <v>Unknown</v>
      </c>
      <c r="L1995" s="1">
        <v>28.9</v>
      </c>
      <c r="M1995" t="str">
        <f>LOOKUP(L1995,Sheet2!$S$4:$T$8)</f>
        <v>26-30</v>
      </c>
      <c r="N1995" s="1">
        <v>0.77300000000000002</v>
      </c>
      <c r="O1995" t="str">
        <f>LOOKUP(N1995,Sheet2!$V$4:$W$7)</f>
        <v>0.7+</v>
      </c>
      <c r="P1995" s="1">
        <v>25</v>
      </c>
      <c r="Q1995" t="str">
        <f>LOOKUP(P1995,Sheet2!$Z$4:$AA$7)</f>
        <v>&lt;=25</v>
      </c>
      <c r="R1995" s="1">
        <v>0</v>
      </c>
      <c r="S1995" t="str">
        <f>IF(R1995=1,"Positive","Negative")</f>
        <v>Negative</v>
      </c>
      <c r="T1995" s="1" t="str">
        <f>IFERROR(VLOOKUP(A1995,[1]diabetes_Recognition!$A:$B,2,FALSE),"Not Sampled")</f>
        <v>Not Sampled</v>
      </c>
      <c r="U1995" t="str">
        <f>IF(T1995=1,"Positive",(IF(T1995=0,"Negative","Not Sampled")))</f>
        <v>Not Sampled</v>
      </c>
      <c r="V1995" s="1" t="str">
        <f>IF(U1995="Not Sampled","Not Sampled",IF(S1995=U1995,"Accurate Prediction","Inaccurate Prediction"))</f>
        <v>Not Sampled</v>
      </c>
    </row>
    <row r="1996" spans="1:22" x14ac:dyDescent="0.25">
      <c r="A1996" s="1">
        <v>1994</v>
      </c>
      <c r="B1996" s="1">
        <v>1</v>
      </c>
      <c r="C1996" s="1">
        <f>LOOKUP(B1996,Sheet2!$D$4:$E$9)</f>
        <v>1</v>
      </c>
      <c r="D1996" s="1">
        <v>79</v>
      </c>
      <c r="E1996" t="str">
        <f>LOOKUP(D1996,Sheet2!$G$4:$H$9)</f>
        <v>1-99</v>
      </c>
      <c r="F1996" s="1">
        <v>60</v>
      </c>
      <c r="G1996" t="str">
        <f>LOOKUP(F1996,Sheet2!$J$4:$K$8)</f>
        <v>60-69</v>
      </c>
      <c r="H1996" s="1">
        <v>42</v>
      </c>
      <c r="I1996" t="str">
        <f>LOOKUP(H1996,Sheet2!$M$4:$N$8)</f>
        <v>40+</v>
      </c>
      <c r="J1996" s="1">
        <v>48</v>
      </c>
      <c r="K1996" t="str">
        <f>LOOKUP(J1996,Sheet2!$P$4:$Q$9)</f>
        <v>1-99</v>
      </c>
      <c r="L1996" s="1">
        <v>43.5</v>
      </c>
      <c r="M1996" t="str">
        <f>LOOKUP(L1996,Sheet2!$S$4:$T$8)</f>
        <v>36+</v>
      </c>
      <c r="N1996" s="1">
        <v>0.67800000000000005</v>
      </c>
      <c r="O1996" t="str">
        <f>LOOKUP(N1996,Sheet2!$V$4:$W$7)</f>
        <v>0.4 - 0.69</v>
      </c>
      <c r="P1996" s="1">
        <v>23</v>
      </c>
      <c r="Q1996" t="str">
        <f>LOOKUP(P1996,Sheet2!$Z$4:$AA$7)</f>
        <v>&lt;=25</v>
      </c>
      <c r="R1996" s="1">
        <v>0</v>
      </c>
      <c r="S1996" t="str">
        <f>IF(R1996=1,"Positive","Negative")</f>
        <v>Negative</v>
      </c>
      <c r="T1996" s="1" t="str">
        <f>IFERROR(VLOOKUP(A1996,[1]diabetes_Recognition!$A:$B,2,FALSE),"Not Sampled")</f>
        <v>Not Sampled</v>
      </c>
      <c r="U1996" t="str">
        <f>IF(T1996=1,"Positive",(IF(T1996=0,"Negative","Not Sampled")))</f>
        <v>Not Sampled</v>
      </c>
      <c r="V1996" s="1" t="str">
        <f>IF(U1996="Not Sampled","Not Sampled",IF(S1996=U1996,"Accurate Prediction","Inaccurate Prediction"))</f>
        <v>Not Sampled</v>
      </c>
    </row>
    <row r="1997" spans="1:22" x14ac:dyDescent="0.25">
      <c r="A1997" s="1">
        <v>1995</v>
      </c>
      <c r="B1997" s="1">
        <v>2</v>
      </c>
      <c r="C1997" s="1">
        <f>LOOKUP(B1997,Sheet2!$D$4:$E$9)</f>
        <v>2</v>
      </c>
      <c r="D1997" s="1">
        <v>75</v>
      </c>
      <c r="E1997" t="str">
        <f>LOOKUP(D1997,Sheet2!$G$4:$H$9)</f>
        <v>1-99</v>
      </c>
      <c r="F1997" s="1">
        <v>64</v>
      </c>
      <c r="G1997" t="str">
        <f>LOOKUP(F1997,Sheet2!$J$4:$K$8)</f>
        <v>60-69</v>
      </c>
      <c r="H1997" s="1">
        <v>24</v>
      </c>
      <c r="I1997" t="str">
        <f>LOOKUP(H1997,Sheet2!$M$4:$N$8)</f>
        <v>10-30</v>
      </c>
      <c r="J1997" s="1">
        <v>55</v>
      </c>
      <c r="K1997" t="str">
        <f>LOOKUP(J1997,Sheet2!$P$4:$Q$9)</f>
        <v>1-99</v>
      </c>
      <c r="L1997" s="1">
        <v>29.7</v>
      </c>
      <c r="M1997" t="str">
        <f>LOOKUP(L1997,Sheet2!$S$4:$T$8)</f>
        <v>26-30</v>
      </c>
      <c r="N1997" s="1">
        <v>0.37</v>
      </c>
      <c r="O1997" t="str">
        <f>LOOKUP(N1997,Sheet2!$V$4:$W$7)</f>
        <v>0.25 - 0.39</v>
      </c>
      <c r="P1997" s="1">
        <v>33</v>
      </c>
      <c r="Q1997" t="str">
        <f>LOOKUP(P1997,Sheet2!$Z$4:$AA$7)</f>
        <v>26-35</v>
      </c>
      <c r="R1997" s="1">
        <v>0</v>
      </c>
      <c r="S1997" t="str">
        <f>IF(R1997=1,"Positive","Negative")</f>
        <v>Negative</v>
      </c>
      <c r="T1997" s="1" t="str">
        <f>IFERROR(VLOOKUP(A1997,[1]diabetes_Recognition!$A:$B,2,FALSE),"Not Sampled")</f>
        <v>Not Sampled</v>
      </c>
      <c r="U1997" t="str">
        <f>IF(T1997=1,"Positive",(IF(T1997=0,"Negative","Not Sampled")))</f>
        <v>Not Sampled</v>
      </c>
      <c r="V1997" s="1" t="str">
        <f>IF(U1997="Not Sampled","Not Sampled",IF(S1997=U1997,"Accurate Prediction","Inaccurate Prediction"))</f>
        <v>Not Sampled</v>
      </c>
    </row>
    <row r="1998" spans="1:22" x14ac:dyDescent="0.25">
      <c r="A1998" s="1">
        <v>1996</v>
      </c>
      <c r="B1998" s="1">
        <v>8</v>
      </c>
      <c r="C1998" s="1" t="str">
        <f>LOOKUP(B1998,Sheet2!$D$4:$E$9)</f>
        <v>8+</v>
      </c>
      <c r="D1998" s="1">
        <v>179</v>
      </c>
      <c r="E1998" t="str">
        <f>LOOKUP(D1998,Sheet2!$G$4:$H$9)</f>
        <v>176-200</v>
      </c>
      <c r="F1998" s="1">
        <v>72</v>
      </c>
      <c r="G1998" t="str">
        <f>LOOKUP(F1998,Sheet2!$J$4:$K$8)</f>
        <v>70-79</v>
      </c>
      <c r="H1998" s="1">
        <v>42</v>
      </c>
      <c r="I1998" t="str">
        <f>LOOKUP(H1998,Sheet2!$M$4:$N$8)</f>
        <v>40+</v>
      </c>
      <c r="J1998" s="1">
        <v>130</v>
      </c>
      <c r="K1998" t="str">
        <f>LOOKUP(J1998,Sheet2!$P$4:$Q$9)</f>
        <v>100-199</v>
      </c>
      <c r="L1998" s="1">
        <v>32.700000000000003</v>
      </c>
      <c r="M1998" t="str">
        <f>LOOKUP(L1998,Sheet2!$S$4:$T$8)</f>
        <v>31-35</v>
      </c>
      <c r="N1998" s="1">
        <v>0.71899999999999997</v>
      </c>
      <c r="O1998" t="str">
        <f>LOOKUP(N1998,Sheet2!$V$4:$W$7)</f>
        <v>0.7+</v>
      </c>
      <c r="P1998" s="1">
        <v>36</v>
      </c>
      <c r="Q1998" t="str">
        <f>LOOKUP(P1998,Sheet2!$Z$4:$AA$7)</f>
        <v>36-45</v>
      </c>
      <c r="R1998" s="1">
        <v>1</v>
      </c>
      <c r="S1998" t="str">
        <f>IF(R1998=1,"Positive","Negative")</f>
        <v>Positive</v>
      </c>
      <c r="T1998" s="1" t="str">
        <f>IFERROR(VLOOKUP(A1998,[1]diabetes_Recognition!$A:$B,2,FALSE),"Not Sampled")</f>
        <v>Not Sampled</v>
      </c>
      <c r="U1998" t="str">
        <f>IF(T1998=1,"Positive",(IF(T1998=0,"Negative","Not Sampled")))</f>
        <v>Not Sampled</v>
      </c>
      <c r="V1998" s="1" t="str">
        <f>IF(U1998="Not Sampled","Not Sampled",IF(S1998=U1998,"Accurate Prediction","Inaccurate Prediction"))</f>
        <v>Not Sampled</v>
      </c>
    </row>
    <row r="1999" spans="1:22" x14ac:dyDescent="0.25">
      <c r="A1999" s="1">
        <v>1997</v>
      </c>
      <c r="B1999" s="1">
        <v>6</v>
      </c>
      <c r="C1999" s="1" t="str">
        <f>LOOKUP(B1999,Sheet2!$D$4:$E$9)</f>
        <v>5-7</v>
      </c>
      <c r="D1999" s="1">
        <v>85</v>
      </c>
      <c r="E1999" t="str">
        <f>LOOKUP(D1999,Sheet2!$G$4:$H$9)</f>
        <v>1-99</v>
      </c>
      <c r="F1999" s="1">
        <v>78</v>
      </c>
      <c r="G1999" t="str">
        <f>LOOKUP(F1999,Sheet2!$J$4:$K$8)</f>
        <v>70-79</v>
      </c>
      <c r="H1999" s="1">
        <v>0</v>
      </c>
      <c r="I1999" t="str">
        <f>LOOKUP(H1999,Sheet2!$M$4:$N$8)</f>
        <v>Unknown</v>
      </c>
      <c r="J1999" s="1">
        <v>0</v>
      </c>
      <c r="K1999" t="str">
        <f>LOOKUP(J1999,Sheet2!$P$4:$Q$9)</f>
        <v>Unknown</v>
      </c>
      <c r="L1999" s="1">
        <v>31.2</v>
      </c>
      <c r="M1999" t="str">
        <f>LOOKUP(L1999,Sheet2!$S$4:$T$8)</f>
        <v>31-35</v>
      </c>
      <c r="N1999" s="1">
        <v>0.38200000000000001</v>
      </c>
      <c r="O1999" t="str">
        <f>LOOKUP(N1999,Sheet2!$V$4:$W$7)</f>
        <v>0.25 - 0.39</v>
      </c>
      <c r="P1999" s="1">
        <v>42</v>
      </c>
      <c r="Q1999" t="str">
        <f>LOOKUP(P1999,Sheet2!$Z$4:$AA$7)</f>
        <v>36-45</v>
      </c>
      <c r="R1999" s="1">
        <v>0</v>
      </c>
      <c r="S1999" t="str">
        <f>IF(R1999=1,"Positive","Negative")</f>
        <v>Negative</v>
      </c>
      <c r="T1999" s="1" t="str">
        <f>IFERROR(VLOOKUP(A1999,[1]diabetes_Recognition!$A:$B,2,FALSE),"Not Sampled")</f>
        <v>Not Sampled</v>
      </c>
      <c r="U1999" t="str">
        <f>IF(T1999=1,"Positive",(IF(T1999=0,"Negative","Not Sampled")))</f>
        <v>Not Sampled</v>
      </c>
      <c r="V1999" s="1" t="str">
        <f>IF(U1999="Not Sampled","Not Sampled",IF(S1999=U1999,"Accurate Prediction","Inaccurate Prediction"))</f>
        <v>Not Sampled</v>
      </c>
    </row>
    <row r="2000" spans="1:22" x14ac:dyDescent="0.25">
      <c r="A2000" s="1">
        <v>1998</v>
      </c>
      <c r="B2000" s="1">
        <v>0</v>
      </c>
      <c r="C2000" s="1">
        <f>LOOKUP(B2000,Sheet2!$D$4:$E$9)</f>
        <v>0</v>
      </c>
      <c r="D2000" s="1">
        <v>129</v>
      </c>
      <c r="E2000" t="str">
        <f>LOOKUP(D2000,Sheet2!$G$4:$H$9)</f>
        <v>126-150</v>
      </c>
      <c r="F2000" s="1">
        <v>110</v>
      </c>
      <c r="G2000" t="str">
        <f>LOOKUP(F2000,Sheet2!$J$4:$K$8)</f>
        <v>80+</v>
      </c>
      <c r="H2000" s="1">
        <v>46</v>
      </c>
      <c r="I2000" t="str">
        <f>LOOKUP(H2000,Sheet2!$M$4:$N$8)</f>
        <v>40+</v>
      </c>
      <c r="J2000" s="1">
        <v>130</v>
      </c>
      <c r="K2000" t="str">
        <f>LOOKUP(J2000,Sheet2!$P$4:$Q$9)</f>
        <v>100-199</v>
      </c>
      <c r="L2000" s="1">
        <v>67.099999999999994</v>
      </c>
      <c r="M2000" t="str">
        <f>LOOKUP(L2000,Sheet2!$S$4:$T$8)</f>
        <v>36+</v>
      </c>
      <c r="N2000" s="1">
        <v>0.31900000000000001</v>
      </c>
      <c r="O2000" t="str">
        <f>LOOKUP(N2000,Sheet2!$V$4:$W$7)</f>
        <v>0.25 - 0.39</v>
      </c>
      <c r="P2000" s="1">
        <v>26</v>
      </c>
      <c r="Q2000" t="str">
        <f>LOOKUP(P2000,Sheet2!$Z$4:$AA$7)</f>
        <v>26-35</v>
      </c>
      <c r="R2000" s="1">
        <v>1</v>
      </c>
      <c r="S2000" t="str">
        <f>IF(R2000=1,"Positive","Negative")</f>
        <v>Positive</v>
      </c>
      <c r="T2000" s="1" t="str">
        <f>IFERROR(VLOOKUP(A2000,[1]diabetes_Recognition!$A:$B,2,FALSE),"Not Sampled")</f>
        <v>Not Sampled</v>
      </c>
      <c r="U2000" t="str">
        <f>IF(T2000=1,"Positive",(IF(T2000=0,"Negative","Not Sampled")))</f>
        <v>Not Sampled</v>
      </c>
      <c r="V2000" s="1" t="str">
        <f>IF(U2000="Not Sampled","Not Sampled",IF(S2000=U2000,"Accurate Prediction","Inaccurate Prediction"))</f>
        <v>Not Sampled</v>
      </c>
    </row>
    <row r="2001" spans="1:22" x14ac:dyDescent="0.25">
      <c r="A2001" s="1">
        <v>1999</v>
      </c>
      <c r="B2001" s="1">
        <v>2</v>
      </c>
      <c r="C2001" s="1">
        <f>LOOKUP(B2001,Sheet2!$D$4:$E$9)</f>
        <v>2</v>
      </c>
      <c r="D2001" s="1">
        <v>81</v>
      </c>
      <c r="E2001" t="str">
        <f>LOOKUP(D2001,Sheet2!$G$4:$H$9)</f>
        <v>1-99</v>
      </c>
      <c r="F2001" s="1">
        <v>72</v>
      </c>
      <c r="G2001" t="str">
        <f>LOOKUP(F2001,Sheet2!$J$4:$K$8)</f>
        <v>70-79</v>
      </c>
      <c r="H2001" s="1">
        <v>15</v>
      </c>
      <c r="I2001" t="str">
        <f>LOOKUP(H2001,Sheet2!$M$4:$N$8)</f>
        <v>10-30</v>
      </c>
      <c r="J2001" s="1">
        <v>76</v>
      </c>
      <c r="K2001" t="str">
        <f>LOOKUP(J2001,Sheet2!$P$4:$Q$9)</f>
        <v>1-99</v>
      </c>
      <c r="L2001" s="1">
        <v>30.1</v>
      </c>
      <c r="M2001" t="str">
        <f>LOOKUP(L2001,Sheet2!$S$4:$T$8)</f>
        <v>26-30</v>
      </c>
      <c r="N2001" s="1">
        <v>0.54700000000000004</v>
      </c>
      <c r="O2001" t="str">
        <f>LOOKUP(N2001,Sheet2!$V$4:$W$7)</f>
        <v>0.4 - 0.69</v>
      </c>
      <c r="P2001" s="1">
        <v>25</v>
      </c>
      <c r="Q2001" t="str">
        <f>LOOKUP(P2001,Sheet2!$Z$4:$AA$7)</f>
        <v>&lt;=25</v>
      </c>
      <c r="R2001" s="1">
        <v>0</v>
      </c>
      <c r="S2001" t="str">
        <f>IF(R2001=1,"Positive","Negative")</f>
        <v>Negative</v>
      </c>
      <c r="T2001" s="1" t="str">
        <f>IFERROR(VLOOKUP(A2001,[1]diabetes_Recognition!$A:$B,2,FALSE),"Not Sampled")</f>
        <v>Not Sampled</v>
      </c>
      <c r="U2001" t="str">
        <f>IF(T2001=1,"Positive",(IF(T2001=0,"Negative","Not Sampled")))</f>
        <v>Not Sampled</v>
      </c>
      <c r="V2001" s="1" t="str">
        <f>IF(U2001="Not Sampled","Not Sampled",IF(S2001=U2001,"Accurate Prediction","Inaccurate Prediction"))</f>
        <v>Not Sampled</v>
      </c>
    </row>
  </sheetData>
  <autoFilter ref="B1:W2001" xr:uid="{00000000-0009-0000-0000-000001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diabetes_final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Mitesh Parekh</dc:creator>
  <cp:lastModifiedBy>Mitesh Parekh</cp:lastModifiedBy>
  <dcterms:created xsi:type="dcterms:W3CDTF">2020-08-07T02:13:52Z</dcterms:created>
  <dcterms:modified xsi:type="dcterms:W3CDTF">2020-08-08T15:35:03Z</dcterms:modified>
</cp:coreProperties>
</file>