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2e098c687f58b7/Documents/RU Data Science Bootcamp/diabetesML/"/>
    </mc:Choice>
  </mc:AlternateContent>
  <xr:revisionPtr revIDLastSave="1" documentId="13_ncr:40009_{7DB816BB-24BA-4578-9681-7DCF6AC5528F}" xr6:coauthVersionLast="45" xr6:coauthVersionMax="45" xr10:uidLastSave="{5879F18E-D768-42A4-8CD2-F4F59CD28DF1}"/>
  <bookViews>
    <workbookView xWindow="-120" yWindow="-120" windowWidth="20730" windowHeight="11160" activeTab="1" xr2:uid="{00000000-000D-0000-FFFF-FFFF00000000}"/>
  </bookViews>
  <sheets>
    <sheet name="Sheet2" sheetId="3" r:id="rId1"/>
    <sheet name="diabetes_final" sheetId="1" r:id="rId2"/>
  </sheets>
  <externalReferences>
    <externalReference r:id="rId3"/>
  </externalReferences>
  <definedNames>
    <definedName name="_xlnm._FilterDatabase" localSheetId="1" hidden="1">diabetes_final!$A$1:$W$2001</definedName>
  </definedNames>
  <calcPr calcId="191029"/>
  <pivotCaches>
    <pivotCache cacheId="3" r:id="rId4"/>
  </pivotCaches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" i="1"/>
  <c r="J2" i="1"/>
  <c r="U2" i="1" l="1"/>
  <c r="V2" i="1" s="1"/>
  <c r="J3" i="1"/>
  <c r="J4" i="1"/>
  <c r="U3" i="1" l="1"/>
  <c r="V3" i="1" s="1"/>
  <c r="U4" i="1"/>
  <c r="V4" i="1" s="1"/>
  <c r="J5" i="1"/>
  <c r="U5" i="1" l="1"/>
  <c r="V5" i="1" s="1"/>
  <c r="J6" i="1"/>
  <c r="U6" i="1" l="1"/>
  <c r="V6" i="1" s="1"/>
  <c r="J7" i="1"/>
  <c r="U7" i="1" l="1"/>
  <c r="V7" i="1" s="1"/>
  <c r="J8" i="1"/>
  <c r="U8" i="1" l="1"/>
  <c r="V8" i="1" s="1"/>
  <c r="J9" i="1"/>
  <c r="U9" i="1" l="1"/>
  <c r="V9" i="1" s="1"/>
  <c r="J10" i="1"/>
  <c r="U10" i="1" l="1"/>
  <c r="V10" i="1" s="1"/>
  <c r="J11" i="1"/>
  <c r="U11" i="1" l="1"/>
  <c r="V11" i="1" s="1"/>
  <c r="J12" i="1"/>
  <c r="U12" i="1" l="1"/>
  <c r="V12" i="1" s="1"/>
  <c r="J13" i="1"/>
  <c r="U13" i="1" l="1"/>
  <c r="V13" i="1" s="1"/>
  <c r="J14" i="1"/>
  <c r="U14" i="1" l="1"/>
  <c r="V14" i="1" s="1"/>
  <c r="J15" i="1"/>
  <c r="U15" i="1" l="1"/>
  <c r="V15" i="1" s="1"/>
  <c r="J16" i="1"/>
  <c r="U16" i="1" l="1"/>
  <c r="V16" i="1" s="1"/>
  <c r="J17" i="1"/>
  <c r="U17" i="1" l="1"/>
  <c r="V17" i="1" s="1"/>
  <c r="J18" i="1"/>
  <c r="U18" i="1" l="1"/>
  <c r="V18" i="1" s="1"/>
  <c r="J19" i="1"/>
  <c r="U19" i="1" l="1"/>
  <c r="V19" i="1" s="1"/>
  <c r="J20" i="1"/>
  <c r="U20" i="1" l="1"/>
  <c r="V20" i="1" s="1"/>
  <c r="J21" i="1"/>
  <c r="U21" i="1" l="1"/>
  <c r="V21" i="1" s="1"/>
  <c r="J22" i="1"/>
  <c r="U22" i="1" l="1"/>
  <c r="V22" i="1" s="1"/>
  <c r="J23" i="1"/>
  <c r="U23" i="1" l="1"/>
  <c r="V23" i="1" s="1"/>
  <c r="J24" i="1"/>
  <c r="U24" i="1" l="1"/>
  <c r="V24" i="1" s="1"/>
  <c r="J25" i="1"/>
  <c r="U25" i="1" l="1"/>
  <c r="V25" i="1" s="1"/>
  <c r="J26" i="1"/>
  <c r="U26" i="1" l="1"/>
  <c r="V26" i="1" s="1"/>
  <c r="J27" i="1"/>
  <c r="U27" i="1" l="1"/>
  <c r="V27" i="1" s="1"/>
  <c r="J28" i="1"/>
  <c r="U28" i="1" l="1"/>
  <c r="V28" i="1" s="1"/>
  <c r="J29" i="1"/>
  <c r="U29" i="1" l="1"/>
  <c r="V29" i="1" s="1"/>
  <c r="J30" i="1"/>
  <c r="U30" i="1" l="1"/>
  <c r="V30" i="1" s="1"/>
  <c r="J31" i="1"/>
  <c r="U31" i="1" l="1"/>
  <c r="V31" i="1" s="1"/>
  <c r="J32" i="1"/>
  <c r="U32" i="1" l="1"/>
  <c r="V32" i="1" s="1"/>
  <c r="J33" i="1"/>
  <c r="U33" i="1" l="1"/>
  <c r="V33" i="1" s="1"/>
  <c r="J34" i="1"/>
  <c r="U34" i="1" l="1"/>
  <c r="V34" i="1" s="1"/>
  <c r="J35" i="1"/>
  <c r="U35" i="1" l="1"/>
  <c r="V35" i="1" s="1"/>
  <c r="J36" i="1"/>
  <c r="U36" i="1" l="1"/>
  <c r="V36" i="1" s="1"/>
  <c r="J37" i="1"/>
  <c r="U37" i="1" l="1"/>
  <c r="V37" i="1" s="1"/>
  <c r="J38" i="1"/>
  <c r="U38" i="1" l="1"/>
  <c r="V38" i="1" s="1"/>
  <c r="J39" i="1"/>
  <c r="U39" i="1" l="1"/>
  <c r="V39" i="1" s="1"/>
  <c r="J40" i="1"/>
  <c r="U40" i="1" l="1"/>
  <c r="V40" i="1" s="1"/>
  <c r="J41" i="1"/>
  <c r="U41" i="1" l="1"/>
  <c r="V41" i="1" s="1"/>
  <c r="J42" i="1"/>
  <c r="U42" i="1" l="1"/>
  <c r="V42" i="1" s="1"/>
  <c r="J43" i="1"/>
  <c r="U43" i="1" l="1"/>
  <c r="V43" i="1" s="1"/>
  <c r="J44" i="1"/>
  <c r="U44" i="1" l="1"/>
  <c r="V44" i="1" s="1"/>
  <c r="J45" i="1"/>
  <c r="U45" i="1" l="1"/>
  <c r="V45" i="1" s="1"/>
  <c r="J46" i="1"/>
  <c r="U46" i="1" l="1"/>
  <c r="V46" i="1" s="1"/>
  <c r="J47" i="1"/>
  <c r="U47" i="1" l="1"/>
  <c r="V47" i="1" s="1"/>
  <c r="J48" i="1"/>
  <c r="U48" i="1" l="1"/>
  <c r="V48" i="1" s="1"/>
  <c r="J49" i="1"/>
  <c r="U49" i="1" l="1"/>
  <c r="V49" i="1" s="1"/>
  <c r="J50" i="1"/>
  <c r="U50" i="1" l="1"/>
  <c r="V50" i="1" s="1"/>
  <c r="J51" i="1"/>
  <c r="U51" i="1" l="1"/>
  <c r="V51" i="1" s="1"/>
  <c r="J52" i="1"/>
  <c r="U52" i="1" l="1"/>
  <c r="V52" i="1" s="1"/>
  <c r="J53" i="1"/>
  <c r="U53" i="1" l="1"/>
  <c r="V53" i="1" s="1"/>
  <c r="J54" i="1"/>
  <c r="U54" i="1" l="1"/>
  <c r="V54" i="1" s="1"/>
  <c r="J55" i="1"/>
  <c r="U55" i="1" l="1"/>
  <c r="V55" i="1" s="1"/>
  <c r="J56" i="1"/>
  <c r="U56" i="1" l="1"/>
  <c r="V56" i="1" s="1"/>
  <c r="J57" i="1"/>
  <c r="U57" i="1" l="1"/>
  <c r="V57" i="1" s="1"/>
  <c r="J58" i="1"/>
  <c r="U58" i="1" l="1"/>
  <c r="V58" i="1" s="1"/>
  <c r="J59" i="1"/>
  <c r="U59" i="1" l="1"/>
  <c r="V59" i="1" s="1"/>
  <c r="J60" i="1"/>
  <c r="U60" i="1" l="1"/>
  <c r="V60" i="1" s="1"/>
  <c r="J61" i="1"/>
  <c r="U61" i="1" l="1"/>
  <c r="V61" i="1" s="1"/>
  <c r="J62" i="1"/>
  <c r="U62" i="1" l="1"/>
  <c r="V62" i="1" s="1"/>
  <c r="J63" i="1"/>
  <c r="U63" i="1" l="1"/>
  <c r="V63" i="1" s="1"/>
  <c r="J64" i="1"/>
  <c r="U64" i="1" l="1"/>
  <c r="V64" i="1" s="1"/>
  <c r="J65" i="1"/>
  <c r="U65" i="1" l="1"/>
  <c r="V65" i="1" s="1"/>
  <c r="J66" i="1"/>
  <c r="U66" i="1" l="1"/>
  <c r="V66" i="1" s="1"/>
  <c r="J67" i="1"/>
  <c r="U67" i="1" l="1"/>
  <c r="V67" i="1" s="1"/>
  <c r="J68" i="1"/>
  <c r="U68" i="1" l="1"/>
  <c r="V68" i="1" s="1"/>
  <c r="J69" i="1"/>
  <c r="U69" i="1" l="1"/>
  <c r="V69" i="1" s="1"/>
  <c r="J70" i="1"/>
  <c r="U70" i="1" l="1"/>
  <c r="V70" i="1" s="1"/>
  <c r="J71" i="1"/>
  <c r="U71" i="1" l="1"/>
  <c r="V71" i="1" s="1"/>
  <c r="J72" i="1"/>
  <c r="U72" i="1" l="1"/>
  <c r="V72" i="1" s="1"/>
  <c r="J73" i="1"/>
  <c r="U73" i="1" l="1"/>
  <c r="V73" i="1" s="1"/>
  <c r="J74" i="1"/>
  <c r="U74" i="1" l="1"/>
  <c r="V74" i="1" s="1"/>
  <c r="J75" i="1"/>
  <c r="U75" i="1" l="1"/>
  <c r="V75" i="1" s="1"/>
  <c r="J76" i="1"/>
  <c r="U76" i="1" l="1"/>
  <c r="V76" i="1" s="1"/>
  <c r="J77" i="1"/>
  <c r="U77" i="1" l="1"/>
  <c r="V77" i="1" s="1"/>
  <c r="J78" i="1"/>
  <c r="U78" i="1" l="1"/>
  <c r="V78" i="1" s="1"/>
  <c r="J79" i="1"/>
  <c r="U79" i="1" l="1"/>
  <c r="V79" i="1" s="1"/>
  <c r="J80" i="1"/>
  <c r="U80" i="1" l="1"/>
  <c r="V80" i="1" s="1"/>
  <c r="J81" i="1"/>
  <c r="U81" i="1" l="1"/>
  <c r="V81" i="1" s="1"/>
  <c r="J82" i="1"/>
  <c r="U82" i="1" l="1"/>
  <c r="V82" i="1" s="1"/>
  <c r="J83" i="1"/>
  <c r="U83" i="1" l="1"/>
  <c r="V83" i="1" s="1"/>
  <c r="J84" i="1"/>
  <c r="U84" i="1" l="1"/>
  <c r="V84" i="1" s="1"/>
  <c r="J85" i="1"/>
  <c r="U85" i="1" l="1"/>
  <c r="V85" i="1" s="1"/>
  <c r="J86" i="1"/>
  <c r="U86" i="1" l="1"/>
  <c r="V86" i="1" s="1"/>
  <c r="J87" i="1"/>
  <c r="U87" i="1" l="1"/>
  <c r="V87" i="1" s="1"/>
  <c r="J88" i="1"/>
  <c r="U88" i="1" l="1"/>
  <c r="V88" i="1" s="1"/>
  <c r="J89" i="1"/>
  <c r="U89" i="1" l="1"/>
  <c r="V89" i="1" s="1"/>
  <c r="J90" i="1"/>
  <c r="U90" i="1" l="1"/>
  <c r="V90" i="1" s="1"/>
  <c r="J91" i="1"/>
  <c r="U91" i="1" l="1"/>
  <c r="V91" i="1" s="1"/>
  <c r="J92" i="1"/>
  <c r="U92" i="1" l="1"/>
  <c r="V92" i="1" s="1"/>
  <c r="J93" i="1"/>
  <c r="U93" i="1" l="1"/>
  <c r="V93" i="1" s="1"/>
  <c r="J94" i="1"/>
  <c r="U94" i="1" l="1"/>
  <c r="V94" i="1" s="1"/>
  <c r="J95" i="1"/>
  <c r="U95" i="1" l="1"/>
  <c r="V95" i="1" s="1"/>
  <c r="J96" i="1"/>
  <c r="U96" i="1" l="1"/>
  <c r="V96" i="1" s="1"/>
  <c r="J97" i="1"/>
  <c r="U97" i="1" l="1"/>
  <c r="V97" i="1" s="1"/>
  <c r="J98" i="1"/>
  <c r="U98" i="1" l="1"/>
  <c r="V98" i="1" s="1"/>
  <c r="J99" i="1"/>
  <c r="U99" i="1" l="1"/>
  <c r="V99" i="1" s="1"/>
  <c r="J100" i="1"/>
  <c r="U100" i="1" l="1"/>
  <c r="V100" i="1" s="1"/>
  <c r="J101" i="1"/>
  <c r="U101" i="1" l="1"/>
  <c r="V101" i="1" s="1"/>
  <c r="J102" i="1"/>
  <c r="U102" i="1" l="1"/>
  <c r="V102" i="1" s="1"/>
  <c r="J103" i="1"/>
  <c r="U103" i="1" l="1"/>
  <c r="V103" i="1" s="1"/>
  <c r="J104" i="1"/>
  <c r="U104" i="1" l="1"/>
  <c r="V104" i="1" s="1"/>
  <c r="J105" i="1"/>
  <c r="U105" i="1" l="1"/>
  <c r="V105" i="1" s="1"/>
  <c r="J106" i="1"/>
  <c r="U106" i="1" l="1"/>
  <c r="V106" i="1" s="1"/>
  <c r="J107" i="1"/>
  <c r="U107" i="1" l="1"/>
  <c r="V107" i="1" s="1"/>
  <c r="J108" i="1"/>
  <c r="U108" i="1" l="1"/>
  <c r="V108" i="1" s="1"/>
  <c r="J109" i="1"/>
  <c r="U109" i="1" l="1"/>
  <c r="V109" i="1" s="1"/>
  <c r="J110" i="1"/>
  <c r="U110" i="1" l="1"/>
  <c r="V110" i="1" s="1"/>
  <c r="J111" i="1"/>
  <c r="U111" i="1" l="1"/>
  <c r="V111" i="1" s="1"/>
  <c r="J112" i="1"/>
  <c r="U112" i="1" l="1"/>
  <c r="V112" i="1" s="1"/>
  <c r="J113" i="1"/>
  <c r="U113" i="1" l="1"/>
  <c r="V113" i="1" s="1"/>
  <c r="J114" i="1"/>
  <c r="U114" i="1" l="1"/>
  <c r="V114" i="1" s="1"/>
  <c r="J115" i="1"/>
  <c r="U115" i="1" l="1"/>
  <c r="V115" i="1" s="1"/>
  <c r="J116" i="1"/>
  <c r="U116" i="1" l="1"/>
  <c r="V116" i="1" s="1"/>
  <c r="J117" i="1"/>
  <c r="U117" i="1" l="1"/>
  <c r="V117" i="1" s="1"/>
  <c r="J118" i="1"/>
  <c r="U118" i="1" l="1"/>
  <c r="V118" i="1" s="1"/>
  <c r="J119" i="1"/>
  <c r="U119" i="1" l="1"/>
  <c r="V119" i="1" s="1"/>
  <c r="J120" i="1"/>
  <c r="U120" i="1" l="1"/>
  <c r="V120" i="1" s="1"/>
  <c r="J121" i="1"/>
  <c r="U121" i="1" l="1"/>
  <c r="V121" i="1" s="1"/>
  <c r="J122" i="1"/>
  <c r="U122" i="1" l="1"/>
  <c r="V122" i="1" s="1"/>
  <c r="J123" i="1"/>
  <c r="U123" i="1" l="1"/>
  <c r="V123" i="1" s="1"/>
  <c r="J124" i="1"/>
  <c r="U124" i="1" l="1"/>
  <c r="V124" i="1" s="1"/>
  <c r="J125" i="1"/>
  <c r="U125" i="1" l="1"/>
  <c r="V125" i="1" s="1"/>
  <c r="J126" i="1"/>
  <c r="U126" i="1" l="1"/>
  <c r="V126" i="1" s="1"/>
  <c r="J127" i="1"/>
  <c r="U127" i="1" l="1"/>
  <c r="V127" i="1" s="1"/>
  <c r="J128" i="1"/>
  <c r="U128" i="1" l="1"/>
  <c r="V128" i="1" s="1"/>
  <c r="J129" i="1"/>
  <c r="U129" i="1" l="1"/>
  <c r="V129" i="1" s="1"/>
  <c r="J130" i="1"/>
  <c r="U130" i="1" l="1"/>
  <c r="V130" i="1" s="1"/>
  <c r="J131" i="1"/>
  <c r="U131" i="1" l="1"/>
  <c r="V131" i="1" s="1"/>
  <c r="J132" i="1"/>
  <c r="U132" i="1" l="1"/>
  <c r="V132" i="1" s="1"/>
  <c r="J133" i="1"/>
  <c r="U133" i="1" l="1"/>
  <c r="V133" i="1" s="1"/>
  <c r="J134" i="1"/>
  <c r="U134" i="1" l="1"/>
  <c r="V134" i="1" s="1"/>
  <c r="J135" i="1"/>
  <c r="U135" i="1" l="1"/>
  <c r="V135" i="1" s="1"/>
  <c r="J136" i="1"/>
  <c r="U136" i="1" l="1"/>
  <c r="V136" i="1" s="1"/>
  <c r="J137" i="1"/>
  <c r="U137" i="1" l="1"/>
  <c r="V137" i="1" s="1"/>
  <c r="J138" i="1"/>
  <c r="U138" i="1" l="1"/>
  <c r="V138" i="1" s="1"/>
  <c r="J139" i="1"/>
  <c r="U139" i="1" l="1"/>
  <c r="V139" i="1" s="1"/>
  <c r="J140" i="1"/>
  <c r="U140" i="1" l="1"/>
  <c r="V140" i="1" s="1"/>
  <c r="J141" i="1"/>
  <c r="U141" i="1" l="1"/>
  <c r="V141" i="1" s="1"/>
  <c r="J142" i="1"/>
  <c r="U142" i="1" l="1"/>
  <c r="V142" i="1" s="1"/>
  <c r="J143" i="1"/>
  <c r="U143" i="1" l="1"/>
  <c r="V143" i="1" s="1"/>
  <c r="J144" i="1"/>
  <c r="U144" i="1" l="1"/>
  <c r="V144" i="1" s="1"/>
  <c r="J145" i="1"/>
  <c r="U145" i="1" l="1"/>
  <c r="V145" i="1" s="1"/>
  <c r="J146" i="1"/>
  <c r="U146" i="1" l="1"/>
  <c r="V146" i="1" s="1"/>
  <c r="J147" i="1"/>
  <c r="U147" i="1" l="1"/>
  <c r="V147" i="1" s="1"/>
  <c r="J148" i="1"/>
  <c r="U148" i="1" l="1"/>
  <c r="V148" i="1" s="1"/>
  <c r="J149" i="1"/>
  <c r="U149" i="1" l="1"/>
  <c r="V149" i="1" s="1"/>
  <c r="J150" i="1"/>
  <c r="U150" i="1" l="1"/>
  <c r="V150" i="1" s="1"/>
  <c r="J151" i="1"/>
  <c r="U151" i="1" l="1"/>
  <c r="V151" i="1" s="1"/>
  <c r="J152" i="1"/>
  <c r="U152" i="1" l="1"/>
  <c r="V152" i="1" s="1"/>
  <c r="J153" i="1"/>
  <c r="U153" i="1" l="1"/>
  <c r="V153" i="1" s="1"/>
  <c r="J154" i="1"/>
  <c r="U154" i="1" l="1"/>
  <c r="V154" i="1" s="1"/>
  <c r="J155" i="1"/>
  <c r="U155" i="1" l="1"/>
  <c r="V155" i="1" s="1"/>
  <c r="J156" i="1"/>
  <c r="U156" i="1" l="1"/>
  <c r="V156" i="1" s="1"/>
  <c r="J157" i="1"/>
  <c r="U157" i="1" l="1"/>
  <c r="V157" i="1" s="1"/>
  <c r="J158" i="1"/>
  <c r="U158" i="1" l="1"/>
  <c r="V158" i="1" s="1"/>
  <c r="J159" i="1"/>
  <c r="U159" i="1" l="1"/>
  <c r="V159" i="1" s="1"/>
  <c r="J160" i="1"/>
  <c r="U160" i="1" l="1"/>
  <c r="V160" i="1" s="1"/>
  <c r="J161" i="1"/>
  <c r="U161" i="1" l="1"/>
  <c r="V161" i="1" s="1"/>
  <c r="J162" i="1"/>
  <c r="U162" i="1" l="1"/>
  <c r="V162" i="1" s="1"/>
  <c r="J163" i="1"/>
  <c r="U163" i="1" l="1"/>
  <c r="V163" i="1" s="1"/>
  <c r="J164" i="1"/>
  <c r="U164" i="1" l="1"/>
  <c r="V164" i="1" s="1"/>
  <c r="J165" i="1"/>
  <c r="U165" i="1" l="1"/>
  <c r="V165" i="1" s="1"/>
  <c r="J166" i="1"/>
  <c r="U166" i="1" l="1"/>
  <c r="V166" i="1" s="1"/>
  <c r="J167" i="1"/>
  <c r="U167" i="1" l="1"/>
  <c r="V167" i="1" s="1"/>
  <c r="J168" i="1"/>
  <c r="U168" i="1" l="1"/>
  <c r="V168" i="1" s="1"/>
  <c r="J169" i="1"/>
  <c r="U169" i="1" l="1"/>
  <c r="V169" i="1" s="1"/>
  <c r="J170" i="1"/>
  <c r="U170" i="1" l="1"/>
  <c r="V170" i="1" s="1"/>
  <c r="J171" i="1"/>
  <c r="U171" i="1" l="1"/>
  <c r="V171" i="1" s="1"/>
  <c r="J172" i="1"/>
  <c r="U172" i="1" l="1"/>
  <c r="V172" i="1" s="1"/>
  <c r="J173" i="1"/>
  <c r="U173" i="1" l="1"/>
  <c r="V173" i="1" s="1"/>
  <c r="J174" i="1"/>
  <c r="U174" i="1" l="1"/>
  <c r="V174" i="1" s="1"/>
  <c r="J175" i="1"/>
  <c r="U175" i="1" l="1"/>
  <c r="V175" i="1" s="1"/>
  <c r="J176" i="1"/>
  <c r="U176" i="1" l="1"/>
  <c r="V176" i="1" s="1"/>
  <c r="J177" i="1"/>
  <c r="U177" i="1" l="1"/>
  <c r="V177" i="1" s="1"/>
  <c r="J178" i="1"/>
  <c r="U178" i="1" l="1"/>
  <c r="V178" i="1" s="1"/>
  <c r="J179" i="1"/>
  <c r="U179" i="1" l="1"/>
  <c r="V179" i="1" s="1"/>
  <c r="J180" i="1"/>
  <c r="U180" i="1" l="1"/>
  <c r="V180" i="1" s="1"/>
  <c r="J181" i="1"/>
  <c r="U181" i="1" l="1"/>
  <c r="V181" i="1" s="1"/>
  <c r="J182" i="1"/>
  <c r="U182" i="1" l="1"/>
  <c r="V182" i="1" s="1"/>
  <c r="J183" i="1"/>
  <c r="U183" i="1" l="1"/>
  <c r="V183" i="1" s="1"/>
  <c r="J184" i="1"/>
  <c r="U184" i="1" l="1"/>
  <c r="V184" i="1" s="1"/>
  <c r="J185" i="1"/>
  <c r="U185" i="1" l="1"/>
  <c r="V185" i="1" s="1"/>
  <c r="J186" i="1"/>
  <c r="U186" i="1" l="1"/>
  <c r="V186" i="1" s="1"/>
  <c r="J187" i="1"/>
  <c r="U187" i="1" l="1"/>
  <c r="V187" i="1" s="1"/>
  <c r="J188" i="1"/>
  <c r="U188" i="1" l="1"/>
  <c r="V188" i="1" s="1"/>
  <c r="J189" i="1"/>
  <c r="U189" i="1" l="1"/>
  <c r="V189" i="1" s="1"/>
  <c r="J190" i="1"/>
  <c r="U190" i="1" l="1"/>
  <c r="V190" i="1" s="1"/>
  <c r="J191" i="1"/>
  <c r="U191" i="1" l="1"/>
  <c r="V191" i="1" s="1"/>
  <c r="J192" i="1"/>
  <c r="U192" i="1" l="1"/>
  <c r="V192" i="1" s="1"/>
  <c r="J193" i="1"/>
  <c r="U193" i="1" l="1"/>
  <c r="V193" i="1" s="1"/>
  <c r="J194" i="1"/>
  <c r="U194" i="1" l="1"/>
  <c r="V194" i="1" s="1"/>
  <c r="J195" i="1"/>
  <c r="U195" i="1" l="1"/>
  <c r="V195" i="1" s="1"/>
  <c r="J196" i="1"/>
  <c r="U196" i="1" l="1"/>
  <c r="V196" i="1" s="1"/>
  <c r="J197" i="1"/>
  <c r="U197" i="1" l="1"/>
  <c r="V197" i="1" s="1"/>
  <c r="J198" i="1"/>
  <c r="U198" i="1" l="1"/>
  <c r="V198" i="1" s="1"/>
  <c r="J199" i="1"/>
  <c r="U199" i="1" l="1"/>
  <c r="V199" i="1" s="1"/>
  <c r="J200" i="1"/>
  <c r="U200" i="1" l="1"/>
  <c r="V200" i="1" s="1"/>
  <c r="J201" i="1"/>
  <c r="U201" i="1" l="1"/>
  <c r="V201" i="1" s="1"/>
  <c r="J202" i="1"/>
  <c r="U202" i="1" l="1"/>
  <c r="V202" i="1" s="1"/>
  <c r="J203" i="1"/>
  <c r="U203" i="1" l="1"/>
  <c r="V203" i="1" s="1"/>
  <c r="J204" i="1"/>
  <c r="U204" i="1" l="1"/>
  <c r="V204" i="1" s="1"/>
  <c r="J205" i="1"/>
  <c r="U205" i="1" l="1"/>
  <c r="V205" i="1" s="1"/>
  <c r="J206" i="1"/>
  <c r="U206" i="1" l="1"/>
  <c r="V206" i="1" s="1"/>
  <c r="J207" i="1"/>
  <c r="U207" i="1" l="1"/>
  <c r="V207" i="1" s="1"/>
  <c r="J208" i="1"/>
  <c r="U208" i="1" l="1"/>
  <c r="V208" i="1" s="1"/>
  <c r="J209" i="1"/>
  <c r="U209" i="1" l="1"/>
  <c r="V209" i="1" s="1"/>
  <c r="J210" i="1"/>
  <c r="U210" i="1" l="1"/>
  <c r="V210" i="1" s="1"/>
  <c r="J211" i="1"/>
  <c r="U211" i="1" l="1"/>
  <c r="V211" i="1" s="1"/>
  <c r="J212" i="1"/>
  <c r="U212" i="1" l="1"/>
  <c r="V212" i="1" s="1"/>
  <c r="J213" i="1"/>
  <c r="U213" i="1" l="1"/>
  <c r="V213" i="1" s="1"/>
  <c r="J214" i="1"/>
  <c r="U214" i="1" l="1"/>
  <c r="V214" i="1" s="1"/>
  <c r="J215" i="1"/>
  <c r="U215" i="1" l="1"/>
  <c r="V215" i="1" s="1"/>
  <c r="J216" i="1"/>
  <c r="U216" i="1" l="1"/>
  <c r="V216" i="1" s="1"/>
  <c r="J217" i="1"/>
  <c r="U217" i="1" l="1"/>
  <c r="V217" i="1" s="1"/>
  <c r="J218" i="1"/>
  <c r="U218" i="1" l="1"/>
  <c r="V218" i="1" s="1"/>
  <c r="J219" i="1"/>
  <c r="U219" i="1" l="1"/>
  <c r="V219" i="1" s="1"/>
  <c r="J220" i="1"/>
  <c r="U220" i="1" l="1"/>
  <c r="V220" i="1" s="1"/>
  <c r="J221" i="1"/>
  <c r="U221" i="1" l="1"/>
  <c r="V221" i="1" s="1"/>
  <c r="J222" i="1"/>
  <c r="U222" i="1" l="1"/>
  <c r="V222" i="1" s="1"/>
  <c r="J223" i="1"/>
  <c r="U223" i="1" l="1"/>
  <c r="V223" i="1" s="1"/>
  <c r="J224" i="1"/>
  <c r="U224" i="1" l="1"/>
  <c r="V224" i="1" s="1"/>
  <c r="J225" i="1"/>
  <c r="U225" i="1" l="1"/>
  <c r="V225" i="1" s="1"/>
  <c r="J226" i="1"/>
  <c r="U226" i="1" l="1"/>
  <c r="V226" i="1" s="1"/>
  <c r="J227" i="1"/>
  <c r="U227" i="1" l="1"/>
  <c r="V227" i="1" s="1"/>
  <c r="J228" i="1"/>
  <c r="U228" i="1" l="1"/>
  <c r="V228" i="1" s="1"/>
  <c r="J229" i="1"/>
  <c r="U229" i="1" l="1"/>
  <c r="V229" i="1" s="1"/>
  <c r="J230" i="1"/>
  <c r="U230" i="1" l="1"/>
  <c r="V230" i="1" s="1"/>
  <c r="J231" i="1"/>
  <c r="U231" i="1" l="1"/>
  <c r="V231" i="1" s="1"/>
  <c r="J232" i="1"/>
  <c r="U232" i="1" l="1"/>
  <c r="V232" i="1" s="1"/>
  <c r="J233" i="1"/>
  <c r="U233" i="1" l="1"/>
  <c r="V233" i="1" s="1"/>
  <c r="J234" i="1"/>
  <c r="U234" i="1" l="1"/>
  <c r="V234" i="1" s="1"/>
  <c r="J235" i="1"/>
  <c r="U235" i="1" l="1"/>
  <c r="V235" i="1" s="1"/>
  <c r="J236" i="1"/>
  <c r="U236" i="1" l="1"/>
  <c r="V236" i="1" s="1"/>
  <c r="J237" i="1"/>
  <c r="U237" i="1" l="1"/>
  <c r="V237" i="1" s="1"/>
  <c r="J238" i="1"/>
  <c r="U238" i="1" l="1"/>
  <c r="V238" i="1" s="1"/>
  <c r="J239" i="1"/>
  <c r="U239" i="1" l="1"/>
  <c r="V239" i="1" s="1"/>
  <c r="J240" i="1"/>
  <c r="U240" i="1" l="1"/>
  <c r="V240" i="1" s="1"/>
  <c r="J241" i="1"/>
  <c r="U241" i="1" l="1"/>
  <c r="V241" i="1" s="1"/>
  <c r="J242" i="1"/>
  <c r="U242" i="1" l="1"/>
  <c r="V242" i="1" s="1"/>
  <c r="J243" i="1"/>
  <c r="U243" i="1" l="1"/>
  <c r="V243" i="1" s="1"/>
  <c r="J244" i="1"/>
  <c r="U244" i="1" l="1"/>
  <c r="V244" i="1" s="1"/>
  <c r="J245" i="1"/>
  <c r="U245" i="1" l="1"/>
  <c r="V245" i="1" s="1"/>
  <c r="J246" i="1"/>
  <c r="U246" i="1" l="1"/>
  <c r="V246" i="1" s="1"/>
  <c r="J247" i="1"/>
  <c r="U247" i="1" l="1"/>
  <c r="V247" i="1" s="1"/>
  <c r="J248" i="1"/>
  <c r="U248" i="1" l="1"/>
  <c r="V248" i="1" s="1"/>
  <c r="J249" i="1"/>
  <c r="U249" i="1" l="1"/>
  <c r="V249" i="1" s="1"/>
  <c r="J250" i="1"/>
  <c r="U250" i="1" l="1"/>
  <c r="V250" i="1" s="1"/>
  <c r="J251" i="1"/>
  <c r="U251" i="1" l="1"/>
  <c r="V251" i="1" s="1"/>
  <c r="J252" i="1"/>
  <c r="U252" i="1" l="1"/>
  <c r="V252" i="1" s="1"/>
  <c r="J253" i="1"/>
  <c r="U253" i="1" l="1"/>
  <c r="V253" i="1" s="1"/>
  <c r="J254" i="1"/>
  <c r="U254" i="1" l="1"/>
  <c r="V254" i="1" s="1"/>
  <c r="J255" i="1"/>
  <c r="U255" i="1" l="1"/>
  <c r="V255" i="1" s="1"/>
  <c r="J256" i="1"/>
  <c r="U256" i="1" l="1"/>
  <c r="V256" i="1" s="1"/>
  <c r="J257" i="1"/>
  <c r="U257" i="1" l="1"/>
  <c r="V257" i="1" s="1"/>
  <c r="J258" i="1"/>
  <c r="U258" i="1" l="1"/>
  <c r="V258" i="1" s="1"/>
  <c r="J259" i="1"/>
  <c r="U259" i="1" l="1"/>
  <c r="V259" i="1" s="1"/>
  <c r="J260" i="1"/>
  <c r="U260" i="1" l="1"/>
  <c r="V260" i="1" s="1"/>
  <c r="J261" i="1"/>
  <c r="U261" i="1" l="1"/>
  <c r="V261" i="1" s="1"/>
  <c r="J262" i="1"/>
  <c r="U262" i="1" l="1"/>
  <c r="V262" i="1" s="1"/>
  <c r="J263" i="1"/>
  <c r="U263" i="1" l="1"/>
  <c r="V263" i="1" s="1"/>
  <c r="J264" i="1"/>
  <c r="U264" i="1" l="1"/>
  <c r="V264" i="1" s="1"/>
  <c r="J265" i="1"/>
  <c r="U265" i="1" l="1"/>
  <c r="V265" i="1" s="1"/>
  <c r="J266" i="1"/>
  <c r="U266" i="1" l="1"/>
  <c r="V266" i="1" s="1"/>
  <c r="J267" i="1"/>
  <c r="U267" i="1" l="1"/>
  <c r="V267" i="1" s="1"/>
  <c r="J268" i="1"/>
  <c r="U268" i="1" l="1"/>
  <c r="V268" i="1" s="1"/>
  <c r="J269" i="1"/>
  <c r="U269" i="1" l="1"/>
  <c r="V269" i="1" s="1"/>
  <c r="J270" i="1"/>
  <c r="U270" i="1" l="1"/>
  <c r="V270" i="1" s="1"/>
  <c r="J271" i="1"/>
  <c r="U271" i="1" l="1"/>
  <c r="V271" i="1" s="1"/>
  <c r="J272" i="1"/>
  <c r="U272" i="1" l="1"/>
  <c r="V272" i="1" s="1"/>
  <c r="J273" i="1"/>
  <c r="U273" i="1" l="1"/>
  <c r="V273" i="1" s="1"/>
  <c r="J274" i="1"/>
  <c r="U274" i="1" l="1"/>
  <c r="V274" i="1" s="1"/>
  <c r="J275" i="1"/>
  <c r="U275" i="1" l="1"/>
  <c r="V275" i="1" s="1"/>
  <c r="J276" i="1"/>
  <c r="U276" i="1" l="1"/>
  <c r="V276" i="1" s="1"/>
  <c r="J277" i="1"/>
  <c r="U277" i="1" l="1"/>
  <c r="V277" i="1" s="1"/>
  <c r="J278" i="1"/>
  <c r="U278" i="1" l="1"/>
  <c r="V278" i="1" s="1"/>
  <c r="J279" i="1"/>
  <c r="U279" i="1" l="1"/>
  <c r="V279" i="1" s="1"/>
  <c r="J280" i="1"/>
  <c r="U280" i="1" l="1"/>
  <c r="V280" i="1" s="1"/>
  <c r="J281" i="1"/>
  <c r="U281" i="1" l="1"/>
  <c r="V281" i="1" s="1"/>
  <c r="J282" i="1"/>
  <c r="U282" i="1" l="1"/>
  <c r="V282" i="1" s="1"/>
  <c r="J283" i="1"/>
  <c r="U283" i="1" l="1"/>
  <c r="V283" i="1" s="1"/>
  <c r="J284" i="1"/>
  <c r="U284" i="1" l="1"/>
  <c r="V284" i="1" s="1"/>
  <c r="J285" i="1"/>
  <c r="U285" i="1" l="1"/>
  <c r="V285" i="1" s="1"/>
  <c r="J286" i="1"/>
  <c r="U286" i="1" l="1"/>
  <c r="V286" i="1" s="1"/>
  <c r="J287" i="1"/>
  <c r="U287" i="1" l="1"/>
  <c r="V287" i="1" s="1"/>
  <c r="J288" i="1"/>
  <c r="U288" i="1" l="1"/>
  <c r="V288" i="1" s="1"/>
  <c r="J289" i="1"/>
  <c r="U289" i="1" l="1"/>
  <c r="V289" i="1" s="1"/>
  <c r="J290" i="1"/>
  <c r="U290" i="1" l="1"/>
  <c r="V290" i="1" s="1"/>
  <c r="J291" i="1"/>
  <c r="U291" i="1" l="1"/>
  <c r="V291" i="1" s="1"/>
  <c r="J292" i="1"/>
  <c r="U292" i="1" l="1"/>
  <c r="V292" i="1" s="1"/>
  <c r="J293" i="1"/>
  <c r="U293" i="1" l="1"/>
  <c r="V293" i="1" s="1"/>
  <c r="J294" i="1"/>
  <c r="U294" i="1" l="1"/>
  <c r="V294" i="1" s="1"/>
  <c r="J295" i="1"/>
  <c r="U295" i="1" l="1"/>
  <c r="V295" i="1" s="1"/>
  <c r="J296" i="1"/>
  <c r="U296" i="1" l="1"/>
  <c r="V296" i="1" s="1"/>
  <c r="J297" i="1"/>
  <c r="U297" i="1" l="1"/>
  <c r="V297" i="1" s="1"/>
  <c r="J298" i="1"/>
  <c r="U298" i="1" l="1"/>
  <c r="V298" i="1" s="1"/>
  <c r="J299" i="1"/>
  <c r="U299" i="1" l="1"/>
  <c r="V299" i="1" s="1"/>
  <c r="J300" i="1"/>
  <c r="U300" i="1" l="1"/>
  <c r="V300" i="1" s="1"/>
  <c r="J301" i="1"/>
  <c r="U301" i="1" l="1"/>
  <c r="V301" i="1" s="1"/>
  <c r="J302" i="1"/>
  <c r="U302" i="1" l="1"/>
  <c r="V302" i="1" s="1"/>
  <c r="J303" i="1"/>
  <c r="U303" i="1" l="1"/>
  <c r="V303" i="1" s="1"/>
  <c r="J304" i="1"/>
  <c r="U304" i="1" l="1"/>
  <c r="V304" i="1" s="1"/>
  <c r="J305" i="1"/>
  <c r="U305" i="1" l="1"/>
  <c r="V305" i="1" s="1"/>
  <c r="J306" i="1"/>
  <c r="U306" i="1" l="1"/>
  <c r="V306" i="1" s="1"/>
  <c r="J307" i="1"/>
  <c r="U307" i="1" l="1"/>
  <c r="V307" i="1" s="1"/>
  <c r="J308" i="1"/>
  <c r="U308" i="1" l="1"/>
  <c r="V308" i="1" s="1"/>
  <c r="J309" i="1"/>
  <c r="U309" i="1" l="1"/>
  <c r="V309" i="1" s="1"/>
  <c r="J310" i="1"/>
  <c r="U310" i="1" l="1"/>
  <c r="V310" i="1" s="1"/>
  <c r="J311" i="1"/>
  <c r="U311" i="1" l="1"/>
  <c r="V311" i="1" s="1"/>
  <c r="J312" i="1"/>
  <c r="U312" i="1" l="1"/>
  <c r="V312" i="1" s="1"/>
  <c r="J313" i="1"/>
  <c r="U313" i="1" l="1"/>
  <c r="V313" i="1" s="1"/>
  <c r="J314" i="1"/>
  <c r="U314" i="1" l="1"/>
  <c r="V314" i="1" s="1"/>
  <c r="J315" i="1"/>
  <c r="U315" i="1" l="1"/>
  <c r="V315" i="1" s="1"/>
  <c r="J316" i="1"/>
  <c r="U316" i="1" l="1"/>
  <c r="V316" i="1" s="1"/>
  <c r="J317" i="1"/>
  <c r="U317" i="1" l="1"/>
  <c r="V317" i="1" s="1"/>
  <c r="J318" i="1"/>
  <c r="U318" i="1" l="1"/>
  <c r="V318" i="1" s="1"/>
  <c r="J319" i="1"/>
  <c r="U319" i="1" l="1"/>
  <c r="V319" i="1" s="1"/>
  <c r="J320" i="1"/>
  <c r="U320" i="1" l="1"/>
  <c r="V320" i="1" s="1"/>
  <c r="J321" i="1"/>
  <c r="U321" i="1" l="1"/>
  <c r="V321" i="1" s="1"/>
  <c r="J322" i="1"/>
  <c r="U322" i="1" l="1"/>
  <c r="V322" i="1" s="1"/>
  <c r="J323" i="1"/>
  <c r="U323" i="1" l="1"/>
  <c r="V323" i="1" s="1"/>
  <c r="J324" i="1"/>
  <c r="U324" i="1" l="1"/>
  <c r="V324" i="1" s="1"/>
  <c r="J325" i="1"/>
  <c r="U325" i="1" l="1"/>
  <c r="V325" i="1" s="1"/>
  <c r="J326" i="1"/>
  <c r="U326" i="1" l="1"/>
  <c r="V326" i="1" s="1"/>
  <c r="J327" i="1"/>
  <c r="U327" i="1" l="1"/>
  <c r="V327" i="1" s="1"/>
  <c r="J328" i="1"/>
  <c r="U328" i="1" l="1"/>
  <c r="V328" i="1" s="1"/>
  <c r="J329" i="1"/>
  <c r="U329" i="1" l="1"/>
  <c r="V329" i="1" s="1"/>
  <c r="J330" i="1"/>
  <c r="U330" i="1" l="1"/>
  <c r="V330" i="1" s="1"/>
  <c r="J331" i="1"/>
  <c r="U331" i="1" l="1"/>
  <c r="V331" i="1" s="1"/>
  <c r="J332" i="1"/>
  <c r="U332" i="1" l="1"/>
  <c r="V332" i="1" s="1"/>
  <c r="J333" i="1"/>
  <c r="U333" i="1" l="1"/>
  <c r="V333" i="1" s="1"/>
  <c r="J334" i="1"/>
  <c r="U334" i="1" l="1"/>
  <c r="V334" i="1" s="1"/>
  <c r="J335" i="1"/>
  <c r="U335" i="1" l="1"/>
  <c r="V335" i="1" s="1"/>
  <c r="J336" i="1"/>
  <c r="U336" i="1" l="1"/>
  <c r="V336" i="1" s="1"/>
  <c r="J337" i="1"/>
  <c r="U337" i="1" l="1"/>
  <c r="V337" i="1" s="1"/>
  <c r="J338" i="1"/>
  <c r="U338" i="1" l="1"/>
  <c r="V338" i="1" s="1"/>
  <c r="J339" i="1"/>
  <c r="U339" i="1" l="1"/>
  <c r="V339" i="1" s="1"/>
  <c r="J340" i="1"/>
  <c r="U340" i="1" l="1"/>
  <c r="V340" i="1" s="1"/>
  <c r="J341" i="1"/>
  <c r="U341" i="1" l="1"/>
  <c r="V341" i="1" s="1"/>
  <c r="J342" i="1"/>
  <c r="U342" i="1" l="1"/>
  <c r="V342" i="1" s="1"/>
  <c r="J343" i="1"/>
  <c r="U343" i="1" l="1"/>
  <c r="V343" i="1" s="1"/>
  <c r="J344" i="1"/>
  <c r="U344" i="1" l="1"/>
  <c r="V344" i="1" s="1"/>
  <c r="J345" i="1"/>
  <c r="U345" i="1" l="1"/>
  <c r="V345" i="1" s="1"/>
  <c r="J346" i="1"/>
  <c r="U346" i="1" l="1"/>
  <c r="V346" i="1" s="1"/>
  <c r="J347" i="1"/>
  <c r="U347" i="1" l="1"/>
  <c r="V347" i="1" s="1"/>
  <c r="J348" i="1"/>
  <c r="U348" i="1" l="1"/>
  <c r="V348" i="1" s="1"/>
  <c r="J349" i="1"/>
  <c r="U349" i="1" l="1"/>
  <c r="V349" i="1" s="1"/>
  <c r="J350" i="1"/>
  <c r="U350" i="1" l="1"/>
  <c r="V350" i="1" s="1"/>
  <c r="J351" i="1"/>
  <c r="U351" i="1" l="1"/>
  <c r="V351" i="1" s="1"/>
  <c r="J352" i="1"/>
  <c r="U352" i="1" l="1"/>
  <c r="V352" i="1" s="1"/>
  <c r="J353" i="1"/>
  <c r="U353" i="1" l="1"/>
  <c r="V353" i="1" s="1"/>
  <c r="J354" i="1"/>
  <c r="U354" i="1" l="1"/>
  <c r="V354" i="1" s="1"/>
  <c r="J355" i="1"/>
  <c r="U355" i="1" l="1"/>
  <c r="V355" i="1" s="1"/>
  <c r="J356" i="1"/>
  <c r="U356" i="1" l="1"/>
  <c r="V356" i="1" s="1"/>
  <c r="J357" i="1"/>
  <c r="U357" i="1" l="1"/>
  <c r="V357" i="1" s="1"/>
  <c r="J358" i="1"/>
  <c r="U358" i="1" l="1"/>
  <c r="V358" i="1" s="1"/>
  <c r="J359" i="1"/>
  <c r="U359" i="1" l="1"/>
  <c r="V359" i="1" s="1"/>
  <c r="J360" i="1"/>
  <c r="U360" i="1" l="1"/>
  <c r="V360" i="1" s="1"/>
  <c r="J361" i="1"/>
  <c r="U361" i="1" l="1"/>
  <c r="V361" i="1" s="1"/>
  <c r="J362" i="1"/>
  <c r="U362" i="1" l="1"/>
  <c r="V362" i="1" s="1"/>
  <c r="J363" i="1"/>
  <c r="U363" i="1" l="1"/>
  <c r="V363" i="1" s="1"/>
  <c r="J364" i="1"/>
  <c r="U364" i="1" l="1"/>
  <c r="V364" i="1" s="1"/>
  <c r="J365" i="1"/>
  <c r="U365" i="1" l="1"/>
  <c r="V365" i="1" s="1"/>
  <c r="J366" i="1"/>
  <c r="U366" i="1" l="1"/>
  <c r="V366" i="1" s="1"/>
  <c r="J367" i="1"/>
  <c r="U367" i="1" l="1"/>
  <c r="V367" i="1" s="1"/>
  <c r="J368" i="1"/>
  <c r="U368" i="1" l="1"/>
  <c r="V368" i="1" s="1"/>
  <c r="J369" i="1"/>
  <c r="U369" i="1" l="1"/>
  <c r="V369" i="1" s="1"/>
  <c r="J370" i="1"/>
  <c r="U370" i="1" l="1"/>
  <c r="V370" i="1" s="1"/>
  <c r="J371" i="1"/>
  <c r="U371" i="1" l="1"/>
  <c r="V371" i="1" s="1"/>
  <c r="J372" i="1"/>
  <c r="U372" i="1" l="1"/>
  <c r="V372" i="1" s="1"/>
  <c r="J373" i="1"/>
  <c r="U373" i="1" l="1"/>
  <c r="V373" i="1" s="1"/>
  <c r="J374" i="1"/>
  <c r="U374" i="1" l="1"/>
  <c r="V374" i="1" s="1"/>
  <c r="J375" i="1"/>
  <c r="U375" i="1" l="1"/>
  <c r="V375" i="1" s="1"/>
  <c r="J376" i="1"/>
  <c r="U376" i="1" l="1"/>
  <c r="V376" i="1" s="1"/>
  <c r="J377" i="1"/>
  <c r="U377" i="1" l="1"/>
  <c r="V377" i="1" s="1"/>
  <c r="J378" i="1"/>
  <c r="U378" i="1" l="1"/>
  <c r="V378" i="1" s="1"/>
  <c r="J379" i="1"/>
  <c r="U379" i="1" l="1"/>
  <c r="V379" i="1" s="1"/>
  <c r="J380" i="1"/>
  <c r="U380" i="1" l="1"/>
  <c r="V380" i="1" s="1"/>
  <c r="J381" i="1"/>
  <c r="U381" i="1" l="1"/>
  <c r="V381" i="1" s="1"/>
  <c r="J382" i="1"/>
  <c r="U382" i="1" l="1"/>
  <c r="V382" i="1" s="1"/>
  <c r="J383" i="1"/>
  <c r="U383" i="1" l="1"/>
  <c r="V383" i="1" s="1"/>
  <c r="J384" i="1"/>
  <c r="U384" i="1" l="1"/>
  <c r="V384" i="1" s="1"/>
  <c r="J385" i="1"/>
  <c r="U385" i="1" l="1"/>
  <c r="V385" i="1" s="1"/>
  <c r="J386" i="1"/>
  <c r="U386" i="1" l="1"/>
  <c r="V386" i="1" s="1"/>
  <c r="J387" i="1"/>
  <c r="U387" i="1" l="1"/>
  <c r="V387" i="1" s="1"/>
  <c r="J388" i="1"/>
  <c r="U388" i="1" l="1"/>
  <c r="V388" i="1" s="1"/>
  <c r="J389" i="1"/>
  <c r="U389" i="1" l="1"/>
  <c r="V389" i="1" s="1"/>
  <c r="J390" i="1"/>
  <c r="U390" i="1" l="1"/>
  <c r="V390" i="1" s="1"/>
  <c r="J391" i="1"/>
  <c r="U391" i="1" l="1"/>
  <c r="V391" i="1" s="1"/>
  <c r="J392" i="1"/>
  <c r="U392" i="1" l="1"/>
  <c r="V392" i="1" s="1"/>
  <c r="J393" i="1"/>
  <c r="U393" i="1" l="1"/>
  <c r="V393" i="1" s="1"/>
  <c r="J394" i="1"/>
  <c r="U394" i="1" l="1"/>
  <c r="V394" i="1" s="1"/>
  <c r="J395" i="1"/>
  <c r="U395" i="1" l="1"/>
  <c r="V395" i="1" s="1"/>
  <c r="J396" i="1"/>
  <c r="U396" i="1" l="1"/>
  <c r="V396" i="1" s="1"/>
  <c r="J397" i="1"/>
  <c r="U397" i="1" l="1"/>
  <c r="V397" i="1" s="1"/>
  <c r="J398" i="1"/>
  <c r="U398" i="1" l="1"/>
  <c r="V398" i="1" s="1"/>
  <c r="J399" i="1"/>
  <c r="U399" i="1" l="1"/>
  <c r="V399" i="1" s="1"/>
  <c r="J400" i="1"/>
  <c r="U400" i="1" l="1"/>
  <c r="V400" i="1" s="1"/>
  <c r="J401" i="1"/>
  <c r="U401" i="1" l="1"/>
  <c r="V401" i="1" s="1"/>
  <c r="J402" i="1"/>
  <c r="U402" i="1" l="1"/>
  <c r="V402" i="1" s="1"/>
  <c r="J403" i="1"/>
  <c r="U403" i="1" l="1"/>
  <c r="V403" i="1" s="1"/>
  <c r="J404" i="1"/>
  <c r="U404" i="1" l="1"/>
  <c r="V404" i="1" s="1"/>
  <c r="J405" i="1"/>
  <c r="U405" i="1" l="1"/>
  <c r="V405" i="1" s="1"/>
  <c r="J406" i="1"/>
  <c r="U406" i="1" l="1"/>
  <c r="V406" i="1" s="1"/>
  <c r="J407" i="1"/>
  <c r="U407" i="1" l="1"/>
  <c r="V407" i="1" s="1"/>
  <c r="J408" i="1"/>
  <c r="U408" i="1" l="1"/>
  <c r="V408" i="1" s="1"/>
  <c r="J409" i="1"/>
  <c r="U409" i="1" l="1"/>
  <c r="V409" i="1" s="1"/>
  <c r="J410" i="1"/>
  <c r="U410" i="1" l="1"/>
  <c r="V410" i="1" s="1"/>
  <c r="J411" i="1"/>
  <c r="U411" i="1" l="1"/>
  <c r="V411" i="1" s="1"/>
  <c r="J412" i="1"/>
  <c r="U412" i="1" l="1"/>
  <c r="V412" i="1" s="1"/>
  <c r="J413" i="1"/>
  <c r="U413" i="1" l="1"/>
  <c r="V413" i="1" s="1"/>
  <c r="J414" i="1"/>
  <c r="U414" i="1" l="1"/>
  <c r="V414" i="1" s="1"/>
  <c r="J415" i="1"/>
  <c r="U415" i="1" l="1"/>
  <c r="V415" i="1" s="1"/>
  <c r="J416" i="1"/>
  <c r="U416" i="1" l="1"/>
  <c r="V416" i="1" s="1"/>
  <c r="J417" i="1"/>
  <c r="U417" i="1" l="1"/>
  <c r="V417" i="1" s="1"/>
  <c r="J418" i="1"/>
  <c r="U418" i="1" l="1"/>
  <c r="V418" i="1" s="1"/>
  <c r="J419" i="1"/>
  <c r="U419" i="1" l="1"/>
  <c r="V419" i="1" s="1"/>
  <c r="J420" i="1"/>
  <c r="U420" i="1" l="1"/>
  <c r="V420" i="1" s="1"/>
  <c r="J421" i="1"/>
  <c r="U421" i="1" l="1"/>
  <c r="V421" i="1" s="1"/>
  <c r="J422" i="1"/>
  <c r="U422" i="1" l="1"/>
  <c r="V422" i="1" s="1"/>
  <c r="J423" i="1"/>
  <c r="U423" i="1" l="1"/>
  <c r="V423" i="1" s="1"/>
  <c r="J424" i="1"/>
  <c r="U424" i="1" l="1"/>
  <c r="V424" i="1" s="1"/>
  <c r="J425" i="1"/>
  <c r="U425" i="1" l="1"/>
  <c r="V425" i="1" s="1"/>
  <c r="J426" i="1"/>
  <c r="U426" i="1" l="1"/>
  <c r="V426" i="1" s="1"/>
  <c r="J427" i="1"/>
  <c r="U427" i="1" l="1"/>
  <c r="V427" i="1" s="1"/>
  <c r="J428" i="1"/>
  <c r="U428" i="1" l="1"/>
  <c r="V428" i="1" s="1"/>
  <c r="J429" i="1"/>
  <c r="U429" i="1" l="1"/>
  <c r="V429" i="1" s="1"/>
  <c r="J430" i="1"/>
  <c r="U430" i="1" l="1"/>
  <c r="V430" i="1" s="1"/>
  <c r="J431" i="1"/>
  <c r="U431" i="1" l="1"/>
  <c r="V431" i="1" s="1"/>
  <c r="J432" i="1"/>
  <c r="U432" i="1" l="1"/>
  <c r="V432" i="1" s="1"/>
  <c r="J433" i="1"/>
  <c r="U433" i="1" l="1"/>
  <c r="V433" i="1" s="1"/>
  <c r="J434" i="1"/>
  <c r="U434" i="1" l="1"/>
  <c r="V434" i="1" s="1"/>
  <c r="J435" i="1"/>
  <c r="U435" i="1" l="1"/>
  <c r="V435" i="1" s="1"/>
  <c r="J436" i="1"/>
  <c r="U436" i="1" l="1"/>
  <c r="V436" i="1" s="1"/>
  <c r="J437" i="1"/>
  <c r="U437" i="1" l="1"/>
  <c r="V437" i="1" s="1"/>
  <c r="J438" i="1"/>
  <c r="U438" i="1" l="1"/>
  <c r="V438" i="1" s="1"/>
  <c r="J439" i="1"/>
  <c r="U439" i="1" l="1"/>
  <c r="V439" i="1" s="1"/>
  <c r="J440" i="1"/>
  <c r="U440" i="1" l="1"/>
  <c r="V440" i="1" s="1"/>
  <c r="J441" i="1"/>
  <c r="U441" i="1" l="1"/>
  <c r="V441" i="1" s="1"/>
  <c r="J442" i="1"/>
  <c r="U442" i="1" l="1"/>
  <c r="V442" i="1" s="1"/>
  <c r="J443" i="1"/>
  <c r="U443" i="1" l="1"/>
  <c r="V443" i="1" s="1"/>
  <c r="J444" i="1"/>
  <c r="U444" i="1" l="1"/>
  <c r="V444" i="1" s="1"/>
  <c r="J445" i="1"/>
  <c r="U445" i="1" l="1"/>
  <c r="V445" i="1" s="1"/>
  <c r="J446" i="1"/>
  <c r="U446" i="1" l="1"/>
  <c r="V446" i="1" s="1"/>
  <c r="J447" i="1"/>
  <c r="U447" i="1" l="1"/>
  <c r="V447" i="1" s="1"/>
  <c r="J448" i="1"/>
  <c r="U448" i="1" l="1"/>
  <c r="V448" i="1" s="1"/>
  <c r="J449" i="1"/>
  <c r="U449" i="1" l="1"/>
  <c r="V449" i="1" s="1"/>
  <c r="J450" i="1"/>
  <c r="U450" i="1" l="1"/>
  <c r="V450" i="1" s="1"/>
  <c r="J451" i="1"/>
  <c r="U451" i="1" l="1"/>
  <c r="V451" i="1" s="1"/>
  <c r="J452" i="1"/>
  <c r="U452" i="1" l="1"/>
  <c r="V452" i="1" s="1"/>
  <c r="J453" i="1"/>
  <c r="U453" i="1" l="1"/>
  <c r="V453" i="1" s="1"/>
  <c r="J454" i="1"/>
  <c r="U454" i="1" l="1"/>
  <c r="V454" i="1" s="1"/>
  <c r="J455" i="1"/>
  <c r="U455" i="1" l="1"/>
  <c r="V455" i="1" s="1"/>
  <c r="J456" i="1"/>
  <c r="U456" i="1" l="1"/>
  <c r="V456" i="1" s="1"/>
  <c r="J457" i="1"/>
  <c r="U457" i="1" l="1"/>
  <c r="V457" i="1" s="1"/>
  <c r="J458" i="1"/>
  <c r="U458" i="1" l="1"/>
  <c r="V458" i="1" s="1"/>
  <c r="J459" i="1"/>
  <c r="U459" i="1" l="1"/>
  <c r="V459" i="1" s="1"/>
  <c r="J460" i="1"/>
  <c r="U460" i="1" l="1"/>
  <c r="V460" i="1" s="1"/>
  <c r="J461" i="1"/>
  <c r="U461" i="1" l="1"/>
  <c r="V461" i="1" s="1"/>
  <c r="J462" i="1"/>
  <c r="U462" i="1" l="1"/>
  <c r="V462" i="1" s="1"/>
  <c r="J463" i="1"/>
  <c r="U463" i="1" l="1"/>
  <c r="V463" i="1" s="1"/>
  <c r="J464" i="1"/>
  <c r="U464" i="1" l="1"/>
  <c r="V464" i="1" s="1"/>
  <c r="J465" i="1"/>
  <c r="U465" i="1" l="1"/>
  <c r="V465" i="1" s="1"/>
  <c r="J466" i="1"/>
  <c r="U466" i="1" l="1"/>
  <c r="V466" i="1" s="1"/>
  <c r="J467" i="1"/>
  <c r="U467" i="1" l="1"/>
  <c r="V467" i="1" s="1"/>
  <c r="J468" i="1"/>
  <c r="U468" i="1" l="1"/>
  <c r="V468" i="1" s="1"/>
  <c r="J469" i="1"/>
  <c r="U469" i="1" l="1"/>
  <c r="V469" i="1" s="1"/>
  <c r="J470" i="1"/>
  <c r="U470" i="1" l="1"/>
  <c r="V470" i="1" s="1"/>
  <c r="J471" i="1"/>
  <c r="U471" i="1" l="1"/>
  <c r="V471" i="1" s="1"/>
  <c r="J472" i="1"/>
  <c r="U472" i="1" l="1"/>
  <c r="V472" i="1" s="1"/>
  <c r="J473" i="1"/>
  <c r="U473" i="1" l="1"/>
  <c r="V473" i="1" s="1"/>
  <c r="J474" i="1"/>
  <c r="U474" i="1" l="1"/>
  <c r="V474" i="1" s="1"/>
  <c r="J475" i="1"/>
  <c r="U475" i="1" l="1"/>
  <c r="V475" i="1" s="1"/>
  <c r="J476" i="1"/>
  <c r="U476" i="1" l="1"/>
  <c r="V476" i="1" s="1"/>
  <c r="J477" i="1"/>
  <c r="U477" i="1" l="1"/>
  <c r="V477" i="1" s="1"/>
  <c r="J478" i="1"/>
  <c r="U478" i="1" l="1"/>
  <c r="V478" i="1" s="1"/>
  <c r="J479" i="1"/>
  <c r="U479" i="1" l="1"/>
  <c r="V479" i="1" s="1"/>
  <c r="J480" i="1"/>
  <c r="U480" i="1" l="1"/>
  <c r="V480" i="1" s="1"/>
  <c r="J481" i="1"/>
  <c r="U481" i="1" l="1"/>
  <c r="V481" i="1" s="1"/>
  <c r="J482" i="1"/>
  <c r="U482" i="1" l="1"/>
  <c r="V482" i="1" s="1"/>
  <c r="J483" i="1"/>
  <c r="U483" i="1" l="1"/>
  <c r="V483" i="1" s="1"/>
  <c r="J484" i="1"/>
  <c r="U484" i="1" l="1"/>
  <c r="V484" i="1" s="1"/>
  <c r="J485" i="1"/>
  <c r="U485" i="1" l="1"/>
  <c r="V485" i="1" s="1"/>
  <c r="J486" i="1"/>
  <c r="U486" i="1" l="1"/>
  <c r="V486" i="1" s="1"/>
  <c r="J487" i="1"/>
  <c r="U487" i="1" l="1"/>
  <c r="V487" i="1" s="1"/>
  <c r="J488" i="1"/>
  <c r="U488" i="1" l="1"/>
  <c r="V488" i="1" s="1"/>
  <c r="J489" i="1"/>
  <c r="U489" i="1" l="1"/>
  <c r="V489" i="1" s="1"/>
  <c r="J490" i="1"/>
  <c r="U490" i="1" l="1"/>
  <c r="V490" i="1" s="1"/>
  <c r="J491" i="1"/>
  <c r="U491" i="1" l="1"/>
  <c r="V491" i="1" s="1"/>
  <c r="J492" i="1"/>
  <c r="U492" i="1" l="1"/>
  <c r="V492" i="1" s="1"/>
  <c r="J493" i="1"/>
  <c r="U493" i="1" l="1"/>
  <c r="V493" i="1" s="1"/>
  <c r="J494" i="1"/>
  <c r="U494" i="1" l="1"/>
  <c r="V494" i="1" s="1"/>
  <c r="J495" i="1"/>
  <c r="U495" i="1" l="1"/>
  <c r="V495" i="1" s="1"/>
  <c r="J496" i="1"/>
  <c r="U496" i="1" l="1"/>
  <c r="V496" i="1" s="1"/>
  <c r="J497" i="1"/>
  <c r="U497" i="1" l="1"/>
  <c r="V497" i="1" s="1"/>
  <c r="J498" i="1"/>
  <c r="U498" i="1" l="1"/>
  <c r="V498" i="1" s="1"/>
  <c r="J499" i="1"/>
  <c r="U499" i="1" l="1"/>
  <c r="V499" i="1" s="1"/>
  <c r="J500" i="1"/>
  <c r="U500" i="1" l="1"/>
  <c r="V500" i="1" s="1"/>
  <c r="J501" i="1"/>
  <c r="U501" i="1" l="1"/>
  <c r="V501" i="1" s="1"/>
  <c r="J502" i="1"/>
  <c r="U502" i="1" l="1"/>
  <c r="V502" i="1" s="1"/>
  <c r="J503" i="1"/>
  <c r="U503" i="1" l="1"/>
  <c r="V503" i="1" s="1"/>
  <c r="J504" i="1"/>
  <c r="U504" i="1" l="1"/>
  <c r="V504" i="1" s="1"/>
  <c r="J505" i="1"/>
  <c r="U505" i="1" l="1"/>
  <c r="V505" i="1" s="1"/>
  <c r="J506" i="1"/>
  <c r="U506" i="1" l="1"/>
  <c r="V506" i="1" s="1"/>
  <c r="J507" i="1"/>
  <c r="U507" i="1" l="1"/>
  <c r="V507" i="1" s="1"/>
  <c r="J508" i="1"/>
  <c r="U508" i="1" l="1"/>
  <c r="V508" i="1" s="1"/>
  <c r="J509" i="1"/>
  <c r="U509" i="1" l="1"/>
  <c r="V509" i="1" s="1"/>
  <c r="J510" i="1"/>
  <c r="U510" i="1" l="1"/>
  <c r="V510" i="1" s="1"/>
  <c r="J511" i="1"/>
  <c r="U511" i="1" l="1"/>
  <c r="V511" i="1" s="1"/>
  <c r="J512" i="1"/>
  <c r="U512" i="1" l="1"/>
  <c r="V512" i="1" s="1"/>
  <c r="J513" i="1"/>
  <c r="U513" i="1" l="1"/>
  <c r="V513" i="1" s="1"/>
  <c r="J514" i="1"/>
  <c r="U514" i="1" l="1"/>
  <c r="V514" i="1" s="1"/>
  <c r="J515" i="1"/>
  <c r="U515" i="1" l="1"/>
  <c r="V515" i="1" s="1"/>
  <c r="J516" i="1"/>
  <c r="U516" i="1" l="1"/>
  <c r="V516" i="1" s="1"/>
  <c r="J517" i="1"/>
  <c r="U517" i="1" l="1"/>
  <c r="V517" i="1" s="1"/>
  <c r="J518" i="1"/>
  <c r="U518" i="1" l="1"/>
  <c r="V518" i="1" s="1"/>
  <c r="J519" i="1"/>
  <c r="U519" i="1" l="1"/>
  <c r="V519" i="1" s="1"/>
  <c r="J520" i="1"/>
  <c r="U520" i="1" l="1"/>
  <c r="V520" i="1" s="1"/>
  <c r="J521" i="1"/>
  <c r="U521" i="1" l="1"/>
  <c r="V521" i="1" s="1"/>
  <c r="J522" i="1"/>
  <c r="U522" i="1" l="1"/>
  <c r="V522" i="1" s="1"/>
  <c r="J523" i="1"/>
  <c r="U523" i="1" l="1"/>
  <c r="V523" i="1" s="1"/>
  <c r="J524" i="1"/>
  <c r="U524" i="1" l="1"/>
  <c r="V524" i="1" s="1"/>
  <c r="J525" i="1"/>
  <c r="U525" i="1" l="1"/>
  <c r="V525" i="1" s="1"/>
  <c r="J526" i="1"/>
  <c r="U526" i="1" l="1"/>
  <c r="V526" i="1" s="1"/>
  <c r="J527" i="1"/>
  <c r="U527" i="1" l="1"/>
  <c r="V527" i="1" s="1"/>
  <c r="J528" i="1"/>
  <c r="U528" i="1" l="1"/>
  <c r="V528" i="1" s="1"/>
  <c r="J529" i="1"/>
  <c r="U529" i="1" l="1"/>
  <c r="V529" i="1" s="1"/>
  <c r="J530" i="1"/>
  <c r="U530" i="1" l="1"/>
  <c r="V530" i="1" s="1"/>
  <c r="J531" i="1"/>
  <c r="U531" i="1" l="1"/>
  <c r="V531" i="1" s="1"/>
  <c r="J532" i="1"/>
  <c r="U532" i="1" l="1"/>
  <c r="V532" i="1" s="1"/>
  <c r="J533" i="1"/>
  <c r="U533" i="1" l="1"/>
  <c r="V533" i="1" s="1"/>
  <c r="J534" i="1"/>
  <c r="U534" i="1" l="1"/>
  <c r="V534" i="1" s="1"/>
  <c r="J535" i="1"/>
  <c r="U535" i="1" l="1"/>
  <c r="V535" i="1" s="1"/>
  <c r="J536" i="1"/>
  <c r="U536" i="1" l="1"/>
  <c r="V536" i="1" s="1"/>
  <c r="J537" i="1"/>
  <c r="U537" i="1" l="1"/>
  <c r="V537" i="1" s="1"/>
  <c r="J538" i="1"/>
  <c r="U538" i="1" l="1"/>
  <c r="V538" i="1" s="1"/>
  <c r="J539" i="1"/>
  <c r="U539" i="1" l="1"/>
  <c r="V539" i="1" s="1"/>
  <c r="J540" i="1"/>
  <c r="U540" i="1" l="1"/>
  <c r="V540" i="1" s="1"/>
  <c r="J541" i="1"/>
  <c r="U541" i="1" l="1"/>
  <c r="V541" i="1" s="1"/>
  <c r="J542" i="1"/>
  <c r="U542" i="1" l="1"/>
  <c r="V542" i="1" s="1"/>
  <c r="J543" i="1"/>
  <c r="U543" i="1" l="1"/>
  <c r="V543" i="1" s="1"/>
  <c r="J544" i="1"/>
  <c r="U544" i="1" l="1"/>
  <c r="V544" i="1" s="1"/>
  <c r="J545" i="1"/>
  <c r="U545" i="1" l="1"/>
  <c r="V545" i="1" s="1"/>
  <c r="J546" i="1"/>
  <c r="U546" i="1" l="1"/>
  <c r="V546" i="1" s="1"/>
  <c r="J547" i="1"/>
  <c r="U547" i="1" l="1"/>
  <c r="V547" i="1" s="1"/>
  <c r="J548" i="1"/>
  <c r="U548" i="1" l="1"/>
  <c r="V548" i="1" s="1"/>
  <c r="J549" i="1"/>
  <c r="U549" i="1" l="1"/>
  <c r="V549" i="1" s="1"/>
  <c r="J550" i="1"/>
  <c r="U550" i="1" l="1"/>
  <c r="V550" i="1" s="1"/>
  <c r="J551" i="1"/>
  <c r="U551" i="1" l="1"/>
  <c r="V551" i="1" s="1"/>
  <c r="J552" i="1"/>
  <c r="U552" i="1" l="1"/>
  <c r="V552" i="1" s="1"/>
  <c r="J553" i="1"/>
  <c r="U553" i="1" l="1"/>
  <c r="V553" i="1" s="1"/>
  <c r="J554" i="1"/>
  <c r="U554" i="1" l="1"/>
  <c r="V554" i="1" s="1"/>
  <c r="J555" i="1"/>
  <c r="U555" i="1" l="1"/>
  <c r="V555" i="1" s="1"/>
  <c r="J556" i="1"/>
  <c r="U556" i="1" l="1"/>
  <c r="V556" i="1" s="1"/>
  <c r="J557" i="1"/>
  <c r="U557" i="1" l="1"/>
  <c r="V557" i="1" s="1"/>
  <c r="J558" i="1"/>
  <c r="U558" i="1" l="1"/>
  <c r="V558" i="1" s="1"/>
  <c r="J559" i="1"/>
  <c r="U559" i="1" l="1"/>
  <c r="V559" i="1" s="1"/>
  <c r="J560" i="1"/>
  <c r="U560" i="1" l="1"/>
  <c r="V560" i="1" s="1"/>
  <c r="J561" i="1"/>
  <c r="U561" i="1" l="1"/>
  <c r="V561" i="1" s="1"/>
  <c r="J562" i="1"/>
  <c r="U562" i="1" l="1"/>
  <c r="V562" i="1" s="1"/>
  <c r="J563" i="1"/>
  <c r="U563" i="1" l="1"/>
  <c r="V563" i="1" s="1"/>
  <c r="J564" i="1"/>
  <c r="U564" i="1" l="1"/>
  <c r="V564" i="1" s="1"/>
  <c r="J565" i="1"/>
  <c r="U565" i="1" l="1"/>
  <c r="V565" i="1" s="1"/>
  <c r="J566" i="1"/>
  <c r="U566" i="1" l="1"/>
  <c r="V566" i="1" s="1"/>
  <c r="J567" i="1"/>
  <c r="U567" i="1" l="1"/>
  <c r="V567" i="1" s="1"/>
  <c r="J568" i="1"/>
  <c r="U568" i="1" l="1"/>
  <c r="V568" i="1" s="1"/>
  <c r="J569" i="1"/>
  <c r="U569" i="1" l="1"/>
  <c r="V569" i="1" s="1"/>
  <c r="J570" i="1"/>
  <c r="U570" i="1" l="1"/>
  <c r="V570" i="1" s="1"/>
  <c r="J571" i="1"/>
  <c r="U571" i="1" l="1"/>
  <c r="V571" i="1" s="1"/>
  <c r="J572" i="1"/>
  <c r="U572" i="1" l="1"/>
  <c r="V572" i="1" s="1"/>
  <c r="J573" i="1"/>
  <c r="U573" i="1" l="1"/>
  <c r="V573" i="1" s="1"/>
  <c r="J574" i="1"/>
  <c r="U574" i="1" l="1"/>
  <c r="V574" i="1" s="1"/>
  <c r="J575" i="1"/>
  <c r="U575" i="1" l="1"/>
  <c r="V575" i="1" s="1"/>
  <c r="J576" i="1"/>
  <c r="U576" i="1" l="1"/>
  <c r="V576" i="1" s="1"/>
  <c r="J577" i="1"/>
  <c r="U577" i="1" l="1"/>
  <c r="V577" i="1" s="1"/>
  <c r="J578" i="1"/>
  <c r="U578" i="1" l="1"/>
  <c r="V578" i="1" s="1"/>
  <c r="J579" i="1"/>
  <c r="U579" i="1" l="1"/>
  <c r="V579" i="1" s="1"/>
  <c r="J580" i="1"/>
  <c r="U580" i="1" l="1"/>
  <c r="V580" i="1" s="1"/>
  <c r="J581" i="1"/>
  <c r="U581" i="1" l="1"/>
  <c r="V581" i="1" s="1"/>
  <c r="J582" i="1"/>
  <c r="U582" i="1" l="1"/>
  <c r="V582" i="1" s="1"/>
  <c r="J583" i="1"/>
  <c r="U583" i="1" l="1"/>
  <c r="V583" i="1" s="1"/>
  <c r="J584" i="1"/>
  <c r="U584" i="1" l="1"/>
  <c r="V584" i="1" s="1"/>
  <c r="J585" i="1"/>
  <c r="U585" i="1" l="1"/>
  <c r="V585" i="1" s="1"/>
  <c r="J586" i="1"/>
  <c r="U586" i="1" l="1"/>
  <c r="V586" i="1" s="1"/>
  <c r="J587" i="1"/>
  <c r="U587" i="1" l="1"/>
  <c r="V587" i="1" s="1"/>
  <c r="J588" i="1"/>
  <c r="U588" i="1" l="1"/>
  <c r="V588" i="1" s="1"/>
  <c r="J589" i="1"/>
  <c r="U589" i="1" l="1"/>
  <c r="V589" i="1" s="1"/>
  <c r="J590" i="1"/>
  <c r="U590" i="1" l="1"/>
  <c r="V590" i="1" s="1"/>
  <c r="J591" i="1"/>
  <c r="U591" i="1" l="1"/>
  <c r="V591" i="1" s="1"/>
  <c r="J592" i="1"/>
  <c r="U592" i="1" l="1"/>
  <c r="V592" i="1" s="1"/>
  <c r="J593" i="1"/>
  <c r="U593" i="1" l="1"/>
  <c r="V593" i="1" s="1"/>
  <c r="J594" i="1"/>
  <c r="U594" i="1" l="1"/>
  <c r="V594" i="1" s="1"/>
  <c r="J595" i="1"/>
  <c r="U595" i="1" l="1"/>
  <c r="V595" i="1" s="1"/>
  <c r="J596" i="1"/>
  <c r="U596" i="1" l="1"/>
  <c r="V596" i="1" s="1"/>
  <c r="J597" i="1"/>
  <c r="U597" i="1" l="1"/>
  <c r="V597" i="1" s="1"/>
  <c r="J598" i="1"/>
  <c r="U598" i="1" l="1"/>
  <c r="V598" i="1" s="1"/>
  <c r="J599" i="1"/>
  <c r="U599" i="1" l="1"/>
  <c r="V599" i="1" s="1"/>
  <c r="J600" i="1"/>
  <c r="U600" i="1" l="1"/>
  <c r="V600" i="1" s="1"/>
  <c r="J601" i="1"/>
  <c r="U601" i="1" l="1"/>
  <c r="V601" i="1" s="1"/>
  <c r="J602" i="1"/>
  <c r="U602" i="1" l="1"/>
  <c r="V602" i="1" s="1"/>
  <c r="J603" i="1"/>
  <c r="U603" i="1" l="1"/>
  <c r="V603" i="1" s="1"/>
  <c r="J604" i="1"/>
  <c r="U604" i="1" l="1"/>
  <c r="V604" i="1" s="1"/>
  <c r="J605" i="1"/>
  <c r="U605" i="1" l="1"/>
  <c r="V605" i="1" s="1"/>
  <c r="J606" i="1"/>
  <c r="U606" i="1" l="1"/>
  <c r="V606" i="1" s="1"/>
  <c r="J607" i="1"/>
  <c r="U607" i="1" l="1"/>
  <c r="V607" i="1" s="1"/>
  <c r="J608" i="1"/>
  <c r="U608" i="1" l="1"/>
  <c r="V608" i="1" s="1"/>
  <c r="J609" i="1"/>
  <c r="U609" i="1" l="1"/>
  <c r="V609" i="1" s="1"/>
  <c r="J610" i="1"/>
  <c r="U610" i="1" l="1"/>
  <c r="V610" i="1" s="1"/>
  <c r="J611" i="1"/>
  <c r="U611" i="1" l="1"/>
  <c r="V611" i="1" s="1"/>
  <c r="J612" i="1"/>
  <c r="U612" i="1" l="1"/>
  <c r="V612" i="1" s="1"/>
  <c r="J613" i="1"/>
  <c r="U613" i="1" l="1"/>
  <c r="V613" i="1" s="1"/>
  <c r="J614" i="1"/>
  <c r="U614" i="1" l="1"/>
  <c r="V614" i="1" s="1"/>
  <c r="J615" i="1"/>
  <c r="U615" i="1" l="1"/>
  <c r="V615" i="1" s="1"/>
  <c r="J616" i="1"/>
  <c r="U616" i="1" l="1"/>
  <c r="V616" i="1" s="1"/>
  <c r="J617" i="1"/>
  <c r="U617" i="1" l="1"/>
  <c r="V617" i="1" s="1"/>
  <c r="J618" i="1"/>
  <c r="U618" i="1" l="1"/>
  <c r="V618" i="1" s="1"/>
  <c r="J619" i="1"/>
  <c r="U619" i="1" l="1"/>
  <c r="V619" i="1" s="1"/>
  <c r="J620" i="1"/>
  <c r="U620" i="1" l="1"/>
  <c r="V620" i="1" s="1"/>
  <c r="J621" i="1"/>
  <c r="U621" i="1" l="1"/>
  <c r="V621" i="1" s="1"/>
  <c r="J622" i="1"/>
  <c r="U622" i="1" l="1"/>
  <c r="V622" i="1" s="1"/>
  <c r="J623" i="1"/>
  <c r="U623" i="1" l="1"/>
  <c r="V623" i="1" s="1"/>
  <c r="J624" i="1"/>
  <c r="U624" i="1" l="1"/>
  <c r="V624" i="1" s="1"/>
  <c r="J625" i="1"/>
  <c r="U625" i="1" l="1"/>
  <c r="V625" i="1" s="1"/>
  <c r="J626" i="1"/>
  <c r="U626" i="1" l="1"/>
  <c r="V626" i="1" s="1"/>
  <c r="J627" i="1"/>
  <c r="U627" i="1" l="1"/>
  <c r="V627" i="1" s="1"/>
  <c r="J628" i="1"/>
  <c r="U628" i="1" l="1"/>
  <c r="V628" i="1" s="1"/>
  <c r="J629" i="1"/>
  <c r="U629" i="1" l="1"/>
  <c r="V629" i="1" s="1"/>
  <c r="J630" i="1"/>
  <c r="U630" i="1" l="1"/>
  <c r="V630" i="1" s="1"/>
  <c r="J631" i="1"/>
  <c r="U631" i="1" l="1"/>
  <c r="V631" i="1" s="1"/>
  <c r="J632" i="1"/>
  <c r="U632" i="1" l="1"/>
  <c r="V632" i="1" s="1"/>
  <c r="J633" i="1"/>
  <c r="U633" i="1" l="1"/>
  <c r="V633" i="1" s="1"/>
  <c r="J634" i="1"/>
  <c r="U634" i="1" l="1"/>
  <c r="V634" i="1" s="1"/>
  <c r="J635" i="1"/>
  <c r="U635" i="1" l="1"/>
  <c r="V635" i="1" s="1"/>
  <c r="J636" i="1"/>
  <c r="U636" i="1" l="1"/>
  <c r="V636" i="1" s="1"/>
  <c r="J637" i="1"/>
  <c r="U637" i="1" l="1"/>
  <c r="V637" i="1" s="1"/>
  <c r="J638" i="1"/>
  <c r="U638" i="1" l="1"/>
  <c r="V638" i="1" s="1"/>
  <c r="J639" i="1"/>
  <c r="U639" i="1" l="1"/>
  <c r="V639" i="1" s="1"/>
  <c r="J640" i="1"/>
  <c r="U640" i="1" l="1"/>
  <c r="V640" i="1" s="1"/>
  <c r="J641" i="1"/>
  <c r="U641" i="1" l="1"/>
  <c r="V641" i="1" s="1"/>
  <c r="J642" i="1"/>
  <c r="U642" i="1" l="1"/>
  <c r="V642" i="1" s="1"/>
  <c r="J643" i="1"/>
  <c r="U643" i="1" l="1"/>
  <c r="V643" i="1" s="1"/>
  <c r="J644" i="1"/>
  <c r="U644" i="1" l="1"/>
  <c r="V644" i="1" s="1"/>
  <c r="J645" i="1"/>
  <c r="U645" i="1" l="1"/>
  <c r="V645" i="1" s="1"/>
  <c r="J646" i="1"/>
  <c r="U646" i="1" l="1"/>
  <c r="V646" i="1" s="1"/>
  <c r="J647" i="1"/>
  <c r="U647" i="1" l="1"/>
  <c r="V647" i="1" s="1"/>
  <c r="J648" i="1"/>
  <c r="U648" i="1" l="1"/>
  <c r="V648" i="1" s="1"/>
  <c r="J649" i="1"/>
  <c r="U649" i="1" l="1"/>
  <c r="V649" i="1" s="1"/>
  <c r="J650" i="1"/>
  <c r="U650" i="1" l="1"/>
  <c r="V650" i="1" s="1"/>
  <c r="J651" i="1"/>
  <c r="U651" i="1" l="1"/>
  <c r="V651" i="1" s="1"/>
  <c r="J652" i="1"/>
  <c r="U652" i="1" l="1"/>
  <c r="V652" i="1" s="1"/>
  <c r="J653" i="1"/>
  <c r="U653" i="1" l="1"/>
  <c r="V653" i="1" s="1"/>
  <c r="J654" i="1"/>
  <c r="U654" i="1" l="1"/>
  <c r="V654" i="1" s="1"/>
  <c r="J655" i="1"/>
  <c r="U655" i="1" l="1"/>
  <c r="V655" i="1" s="1"/>
  <c r="J656" i="1"/>
  <c r="U656" i="1" l="1"/>
  <c r="V656" i="1" s="1"/>
  <c r="J657" i="1"/>
  <c r="U657" i="1" l="1"/>
  <c r="V657" i="1" s="1"/>
  <c r="J658" i="1"/>
  <c r="U658" i="1" l="1"/>
  <c r="V658" i="1" s="1"/>
  <c r="J659" i="1"/>
  <c r="U659" i="1" l="1"/>
  <c r="V659" i="1" s="1"/>
  <c r="J660" i="1"/>
  <c r="U660" i="1" l="1"/>
  <c r="V660" i="1" s="1"/>
  <c r="J661" i="1"/>
  <c r="U661" i="1" l="1"/>
  <c r="V661" i="1" s="1"/>
  <c r="J662" i="1"/>
  <c r="U662" i="1" l="1"/>
  <c r="V662" i="1" s="1"/>
  <c r="J663" i="1"/>
  <c r="U663" i="1" l="1"/>
  <c r="V663" i="1" s="1"/>
  <c r="J664" i="1"/>
  <c r="U664" i="1" l="1"/>
  <c r="V664" i="1" s="1"/>
  <c r="J665" i="1"/>
  <c r="U665" i="1" l="1"/>
  <c r="V665" i="1" s="1"/>
  <c r="J666" i="1"/>
  <c r="U666" i="1" l="1"/>
  <c r="V666" i="1" s="1"/>
  <c r="J667" i="1"/>
  <c r="U667" i="1" l="1"/>
  <c r="V667" i="1" s="1"/>
  <c r="J668" i="1"/>
  <c r="U668" i="1" l="1"/>
  <c r="V668" i="1" s="1"/>
  <c r="J669" i="1"/>
  <c r="U669" i="1" l="1"/>
  <c r="V669" i="1" s="1"/>
  <c r="J670" i="1"/>
  <c r="U670" i="1" l="1"/>
  <c r="V670" i="1" s="1"/>
  <c r="J671" i="1"/>
  <c r="U671" i="1" l="1"/>
  <c r="V671" i="1" s="1"/>
  <c r="J672" i="1"/>
  <c r="U672" i="1" l="1"/>
  <c r="V672" i="1" s="1"/>
  <c r="J673" i="1"/>
  <c r="U673" i="1" l="1"/>
  <c r="V673" i="1" s="1"/>
  <c r="J674" i="1"/>
  <c r="U674" i="1" l="1"/>
  <c r="V674" i="1" s="1"/>
  <c r="J675" i="1"/>
  <c r="U675" i="1" l="1"/>
  <c r="V675" i="1" s="1"/>
  <c r="J676" i="1"/>
  <c r="U676" i="1" l="1"/>
  <c r="V676" i="1" s="1"/>
  <c r="J677" i="1"/>
  <c r="U677" i="1" l="1"/>
  <c r="V677" i="1" s="1"/>
  <c r="J678" i="1"/>
  <c r="U678" i="1" l="1"/>
  <c r="V678" i="1" s="1"/>
  <c r="J679" i="1"/>
  <c r="U679" i="1" l="1"/>
  <c r="V679" i="1" s="1"/>
  <c r="J680" i="1"/>
  <c r="U680" i="1" l="1"/>
  <c r="V680" i="1" s="1"/>
  <c r="J681" i="1"/>
  <c r="U681" i="1" l="1"/>
  <c r="V681" i="1" s="1"/>
  <c r="J682" i="1"/>
  <c r="U682" i="1" l="1"/>
  <c r="V682" i="1" s="1"/>
  <c r="J683" i="1"/>
  <c r="U683" i="1" l="1"/>
  <c r="V683" i="1" s="1"/>
  <c r="J684" i="1"/>
  <c r="U684" i="1" l="1"/>
  <c r="V684" i="1" s="1"/>
  <c r="J685" i="1"/>
  <c r="U685" i="1" l="1"/>
  <c r="V685" i="1" s="1"/>
  <c r="J686" i="1"/>
  <c r="U686" i="1" l="1"/>
  <c r="V686" i="1" s="1"/>
  <c r="J687" i="1"/>
  <c r="U687" i="1" l="1"/>
  <c r="V687" i="1" s="1"/>
  <c r="J688" i="1"/>
  <c r="U688" i="1" l="1"/>
  <c r="V688" i="1" s="1"/>
  <c r="J689" i="1"/>
  <c r="U689" i="1" l="1"/>
  <c r="V689" i="1" s="1"/>
  <c r="J690" i="1"/>
  <c r="U690" i="1" l="1"/>
  <c r="V690" i="1" s="1"/>
  <c r="J691" i="1"/>
  <c r="U691" i="1" l="1"/>
  <c r="V691" i="1" s="1"/>
  <c r="J692" i="1"/>
  <c r="U692" i="1" l="1"/>
  <c r="V692" i="1" s="1"/>
  <c r="J693" i="1"/>
  <c r="U693" i="1" l="1"/>
  <c r="V693" i="1" s="1"/>
  <c r="J694" i="1"/>
  <c r="U694" i="1" l="1"/>
  <c r="V694" i="1" s="1"/>
  <c r="J695" i="1"/>
  <c r="U695" i="1" l="1"/>
  <c r="V695" i="1" s="1"/>
  <c r="J696" i="1"/>
  <c r="U696" i="1" l="1"/>
  <c r="V696" i="1" s="1"/>
  <c r="J697" i="1"/>
  <c r="U697" i="1" l="1"/>
  <c r="V697" i="1" s="1"/>
  <c r="J698" i="1"/>
  <c r="U698" i="1" l="1"/>
  <c r="V698" i="1" s="1"/>
  <c r="J699" i="1"/>
  <c r="U699" i="1" l="1"/>
  <c r="V699" i="1" s="1"/>
  <c r="J700" i="1"/>
  <c r="U700" i="1" l="1"/>
  <c r="V700" i="1" s="1"/>
  <c r="J701" i="1"/>
  <c r="U701" i="1" l="1"/>
  <c r="V701" i="1" s="1"/>
  <c r="J702" i="1"/>
  <c r="U702" i="1" l="1"/>
  <c r="V702" i="1" s="1"/>
  <c r="J703" i="1"/>
  <c r="U703" i="1" l="1"/>
  <c r="V703" i="1" s="1"/>
  <c r="J704" i="1"/>
  <c r="U704" i="1" l="1"/>
  <c r="V704" i="1" s="1"/>
  <c r="J705" i="1"/>
  <c r="U705" i="1" l="1"/>
  <c r="V705" i="1" s="1"/>
  <c r="J706" i="1"/>
  <c r="U706" i="1" l="1"/>
  <c r="V706" i="1" s="1"/>
  <c r="J707" i="1"/>
  <c r="U707" i="1" l="1"/>
  <c r="V707" i="1" s="1"/>
  <c r="J708" i="1"/>
  <c r="U708" i="1" l="1"/>
  <c r="V708" i="1" s="1"/>
  <c r="J709" i="1"/>
  <c r="U709" i="1" l="1"/>
  <c r="V709" i="1" s="1"/>
  <c r="J710" i="1"/>
  <c r="U710" i="1" l="1"/>
  <c r="V710" i="1" s="1"/>
  <c r="J711" i="1"/>
  <c r="U711" i="1" l="1"/>
  <c r="V711" i="1" s="1"/>
  <c r="J712" i="1"/>
  <c r="U712" i="1" l="1"/>
  <c r="V712" i="1" s="1"/>
  <c r="J713" i="1"/>
  <c r="U713" i="1" l="1"/>
  <c r="V713" i="1" s="1"/>
  <c r="J714" i="1"/>
  <c r="U714" i="1" l="1"/>
  <c r="V714" i="1" s="1"/>
  <c r="J715" i="1"/>
  <c r="U715" i="1" l="1"/>
  <c r="V715" i="1" s="1"/>
  <c r="J716" i="1"/>
  <c r="U716" i="1" l="1"/>
  <c r="V716" i="1" s="1"/>
  <c r="J717" i="1"/>
  <c r="U717" i="1" l="1"/>
  <c r="V717" i="1" s="1"/>
  <c r="J718" i="1"/>
  <c r="U718" i="1" l="1"/>
  <c r="V718" i="1" s="1"/>
  <c r="J719" i="1"/>
  <c r="U719" i="1" l="1"/>
  <c r="V719" i="1" s="1"/>
  <c r="J720" i="1"/>
  <c r="U720" i="1" l="1"/>
  <c r="V720" i="1" s="1"/>
  <c r="J721" i="1"/>
  <c r="U721" i="1" l="1"/>
  <c r="V721" i="1" s="1"/>
  <c r="J722" i="1"/>
  <c r="U722" i="1" l="1"/>
  <c r="V722" i="1" s="1"/>
  <c r="J723" i="1"/>
  <c r="U723" i="1" l="1"/>
  <c r="V723" i="1" s="1"/>
  <c r="J724" i="1"/>
  <c r="U724" i="1" l="1"/>
  <c r="V724" i="1" s="1"/>
  <c r="J725" i="1"/>
  <c r="U725" i="1" l="1"/>
  <c r="V725" i="1" s="1"/>
  <c r="J726" i="1"/>
  <c r="U726" i="1" l="1"/>
  <c r="V726" i="1" s="1"/>
  <c r="J727" i="1"/>
  <c r="U727" i="1" l="1"/>
  <c r="V727" i="1" s="1"/>
  <c r="J728" i="1"/>
  <c r="U728" i="1" l="1"/>
  <c r="V728" i="1" s="1"/>
  <c r="J729" i="1"/>
  <c r="U729" i="1" l="1"/>
  <c r="V729" i="1" s="1"/>
  <c r="J730" i="1"/>
  <c r="U730" i="1" l="1"/>
  <c r="V730" i="1" s="1"/>
  <c r="J731" i="1"/>
  <c r="U731" i="1" l="1"/>
  <c r="V731" i="1" s="1"/>
  <c r="J732" i="1"/>
  <c r="U732" i="1" l="1"/>
  <c r="V732" i="1" s="1"/>
  <c r="J733" i="1"/>
  <c r="U733" i="1" l="1"/>
  <c r="V733" i="1" s="1"/>
  <c r="J734" i="1"/>
  <c r="U734" i="1" l="1"/>
  <c r="V734" i="1" s="1"/>
  <c r="J735" i="1"/>
  <c r="U735" i="1" l="1"/>
  <c r="V735" i="1" s="1"/>
  <c r="J736" i="1"/>
  <c r="U736" i="1" l="1"/>
  <c r="V736" i="1" s="1"/>
  <c r="J737" i="1"/>
  <c r="U737" i="1" l="1"/>
  <c r="V737" i="1" s="1"/>
  <c r="J738" i="1"/>
  <c r="U738" i="1" l="1"/>
  <c r="V738" i="1" s="1"/>
  <c r="J739" i="1"/>
  <c r="U739" i="1" l="1"/>
  <c r="V739" i="1" s="1"/>
  <c r="J740" i="1"/>
  <c r="U740" i="1" l="1"/>
  <c r="V740" i="1" s="1"/>
  <c r="J741" i="1"/>
  <c r="U741" i="1" l="1"/>
  <c r="V741" i="1" s="1"/>
  <c r="J742" i="1"/>
  <c r="U742" i="1" l="1"/>
  <c r="V742" i="1" s="1"/>
  <c r="J743" i="1"/>
  <c r="U743" i="1" l="1"/>
  <c r="V743" i="1" s="1"/>
  <c r="J744" i="1"/>
  <c r="U744" i="1" l="1"/>
  <c r="V744" i="1" s="1"/>
  <c r="J745" i="1"/>
  <c r="U745" i="1" l="1"/>
  <c r="V745" i="1" s="1"/>
  <c r="J746" i="1"/>
  <c r="U746" i="1" l="1"/>
  <c r="V746" i="1" s="1"/>
  <c r="J747" i="1"/>
  <c r="U747" i="1" l="1"/>
  <c r="V747" i="1" s="1"/>
  <c r="J748" i="1"/>
  <c r="U748" i="1" l="1"/>
  <c r="V748" i="1" s="1"/>
  <c r="J749" i="1"/>
  <c r="U749" i="1" l="1"/>
  <c r="V749" i="1" s="1"/>
  <c r="J750" i="1"/>
  <c r="U750" i="1" l="1"/>
  <c r="V750" i="1" s="1"/>
  <c r="J751" i="1"/>
  <c r="U751" i="1" l="1"/>
  <c r="V751" i="1" s="1"/>
  <c r="J752" i="1"/>
  <c r="U752" i="1" l="1"/>
  <c r="V752" i="1" s="1"/>
  <c r="J753" i="1"/>
  <c r="U753" i="1" l="1"/>
  <c r="V753" i="1" s="1"/>
  <c r="J754" i="1"/>
  <c r="U754" i="1" l="1"/>
  <c r="V754" i="1" s="1"/>
  <c r="J755" i="1"/>
  <c r="U755" i="1" l="1"/>
  <c r="V755" i="1" s="1"/>
  <c r="J756" i="1"/>
  <c r="U756" i="1" l="1"/>
  <c r="V756" i="1" s="1"/>
  <c r="J757" i="1"/>
  <c r="U757" i="1" l="1"/>
  <c r="V757" i="1" s="1"/>
  <c r="J758" i="1"/>
  <c r="U758" i="1" l="1"/>
  <c r="V758" i="1" s="1"/>
  <c r="J759" i="1"/>
  <c r="U759" i="1" l="1"/>
  <c r="V759" i="1" s="1"/>
  <c r="J760" i="1"/>
  <c r="U760" i="1" l="1"/>
  <c r="V760" i="1" s="1"/>
  <c r="J761" i="1"/>
  <c r="U761" i="1" l="1"/>
  <c r="V761" i="1" s="1"/>
  <c r="J762" i="1"/>
  <c r="U762" i="1" l="1"/>
  <c r="V762" i="1" s="1"/>
  <c r="J763" i="1"/>
  <c r="U763" i="1" l="1"/>
  <c r="V763" i="1" s="1"/>
  <c r="J764" i="1"/>
  <c r="U764" i="1" l="1"/>
  <c r="V764" i="1" s="1"/>
  <c r="J765" i="1"/>
  <c r="U765" i="1" l="1"/>
  <c r="V765" i="1" s="1"/>
  <c r="J766" i="1"/>
  <c r="U766" i="1" l="1"/>
  <c r="V766" i="1" s="1"/>
  <c r="J767" i="1"/>
  <c r="U767" i="1" l="1"/>
  <c r="V767" i="1" s="1"/>
  <c r="J768" i="1"/>
  <c r="U768" i="1" l="1"/>
  <c r="V768" i="1" s="1"/>
  <c r="J769" i="1"/>
  <c r="U769" i="1" l="1"/>
  <c r="V769" i="1" s="1"/>
  <c r="J770" i="1"/>
  <c r="U770" i="1" l="1"/>
  <c r="V770" i="1" s="1"/>
  <c r="J771" i="1"/>
  <c r="U771" i="1" l="1"/>
  <c r="V771" i="1" s="1"/>
  <c r="J772" i="1"/>
  <c r="U772" i="1" l="1"/>
  <c r="V772" i="1" s="1"/>
  <c r="J773" i="1"/>
  <c r="U773" i="1" l="1"/>
  <c r="V773" i="1" s="1"/>
  <c r="J774" i="1"/>
  <c r="U774" i="1" l="1"/>
  <c r="V774" i="1" s="1"/>
  <c r="J775" i="1"/>
  <c r="U775" i="1" l="1"/>
  <c r="V775" i="1" s="1"/>
  <c r="J776" i="1"/>
  <c r="U776" i="1" l="1"/>
  <c r="V776" i="1" s="1"/>
  <c r="J777" i="1"/>
  <c r="U777" i="1" l="1"/>
  <c r="V777" i="1" s="1"/>
  <c r="J778" i="1"/>
  <c r="U778" i="1" l="1"/>
  <c r="V778" i="1" s="1"/>
  <c r="J779" i="1"/>
  <c r="U779" i="1" l="1"/>
  <c r="V779" i="1" s="1"/>
  <c r="J780" i="1"/>
  <c r="U780" i="1" l="1"/>
  <c r="V780" i="1" s="1"/>
  <c r="J781" i="1"/>
  <c r="U781" i="1" l="1"/>
  <c r="V781" i="1" s="1"/>
  <c r="J782" i="1"/>
  <c r="U782" i="1" l="1"/>
  <c r="V782" i="1" s="1"/>
  <c r="J783" i="1"/>
  <c r="U783" i="1" l="1"/>
  <c r="V783" i="1" s="1"/>
  <c r="J784" i="1"/>
  <c r="U784" i="1" l="1"/>
  <c r="V784" i="1" s="1"/>
  <c r="J785" i="1"/>
  <c r="U785" i="1" l="1"/>
  <c r="V785" i="1" s="1"/>
  <c r="J786" i="1"/>
  <c r="U786" i="1" l="1"/>
  <c r="V786" i="1" s="1"/>
  <c r="J787" i="1"/>
  <c r="U787" i="1" l="1"/>
  <c r="V787" i="1" s="1"/>
  <c r="J788" i="1"/>
  <c r="U788" i="1" l="1"/>
  <c r="V788" i="1" s="1"/>
  <c r="J789" i="1"/>
  <c r="U789" i="1" l="1"/>
  <c r="V789" i="1" s="1"/>
  <c r="J790" i="1"/>
  <c r="U790" i="1" l="1"/>
  <c r="V790" i="1" s="1"/>
  <c r="J791" i="1"/>
  <c r="U791" i="1" l="1"/>
  <c r="V791" i="1" s="1"/>
  <c r="J792" i="1"/>
  <c r="U792" i="1" l="1"/>
  <c r="V792" i="1" s="1"/>
  <c r="J793" i="1"/>
  <c r="U793" i="1" l="1"/>
  <c r="V793" i="1" s="1"/>
  <c r="J794" i="1"/>
  <c r="U794" i="1" l="1"/>
  <c r="V794" i="1" s="1"/>
  <c r="J795" i="1"/>
  <c r="U795" i="1" l="1"/>
  <c r="V795" i="1" s="1"/>
  <c r="J796" i="1"/>
  <c r="U796" i="1" l="1"/>
  <c r="V796" i="1" s="1"/>
  <c r="J797" i="1"/>
  <c r="U797" i="1" l="1"/>
  <c r="V797" i="1" s="1"/>
  <c r="J798" i="1"/>
  <c r="U798" i="1" l="1"/>
  <c r="V798" i="1" s="1"/>
  <c r="J799" i="1"/>
  <c r="U799" i="1" l="1"/>
  <c r="V799" i="1" s="1"/>
  <c r="J800" i="1"/>
  <c r="U800" i="1" l="1"/>
  <c r="V800" i="1" s="1"/>
  <c r="J801" i="1"/>
  <c r="U801" i="1" l="1"/>
  <c r="V801" i="1" s="1"/>
  <c r="J802" i="1"/>
  <c r="U802" i="1" l="1"/>
  <c r="V802" i="1" s="1"/>
  <c r="J803" i="1"/>
  <c r="U803" i="1" l="1"/>
  <c r="V803" i="1" s="1"/>
  <c r="J804" i="1"/>
  <c r="U804" i="1" l="1"/>
  <c r="V804" i="1" s="1"/>
  <c r="J805" i="1"/>
  <c r="U805" i="1" l="1"/>
  <c r="V805" i="1" s="1"/>
  <c r="J806" i="1"/>
  <c r="U806" i="1" l="1"/>
  <c r="V806" i="1" s="1"/>
  <c r="J807" i="1"/>
  <c r="U807" i="1" l="1"/>
  <c r="V807" i="1" s="1"/>
  <c r="J808" i="1"/>
  <c r="U808" i="1" l="1"/>
  <c r="V808" i="1" s="1"/>
  <c r="J809" i="1"/>
  <c r="U809" i="1" l="1"/>
  <c r="V809" i="1" s="1"/>
  <c r="J810" i="1"/>
  <c r="U810" i="1" l="1"/>
  <c r="V810" i="1" s="1"/>
  <c r="J811" i="1"/>
  <c r="U811" i="1" l="1"/>
  <c r="V811" i="1" s="1"/>
  <c r="J812" i="1"/>
  <c r="U812" i="1" l="1"/>
  <c r="V812" i="1" s="1"/>
  <c r="J813" i="1"/>
  <c r="U813" i="1" l="1"/>
  <c r="V813" i="1" s="1"/>
  <c r="J814" i="1"/>
  <c r="U814" i="1" l="1"/>
  <c r="V814" i="1" s="1"/>
  <c r="J815" i="1"/>
  <c r="U815" i="1" l="1"/>
  <c r="V815" i="1" s="1"/>
  <c r="J816" i="1"/>
  <c r="U816" i="1" l="1"/>
  <c r="V816" i="1" s="1"/>
  <c r="J817" i="1"/>
  <c r="U817" i="1" l="1"/>
  <c r="V817" i="1" s="1"/>
  <c r="J818" i="1"/>
  <c r="U818" i="1" l="1"/>
  <c r="V818" i="1" s="1"/>
  <c r="J819" i="1"/>
  <c r="U819" i="1" l="1"/>
  <c r="V819" i="1" s="1"/>
  <c r="J820" i="1"/>
  <c r="U820" i="1" l="1"/>
  <c r="V820" i="1" s="1"/>
  <c r="J821" i="1"/>
  <c r="U821" i="1" l="1"/>
  <c r="V821" i="1" s="1"/>
  <c r="J822" i="1"/>
  <c r="U822" i="1" l="1"/>
  <c r="V822" i="1" s="1"/>
  <c r="J823" i="1"/>
  <c r="U823" i="1" l="1"/>
  <c r="V823" i="1" s="1"/>
  <c r="J824" i="1"/>
  <c r="U824" i="1" l="1"/>
  <c r="V824" i="1" s="1"/>
  <c r="J825" i="1"/>
  <c r="U825" i="1" l="1"/>
  <c r="V825" i="1" s="1"/>
  <c r="J826" i="1"/>
  <c r="U826" i="1" l="1"/>
  <c r="V826" i="1" s="1"/>
  <c r="J827" i="1"/>
  <c r="U827" i="1" l="1"/>
  <c r="V827" i="1" s="1"/>
  <c r="J828" i="1"/>
  <c r="U828" i="1" l="1"/>
  <c r="V828" i="1" s="1"/>
  <c r="J829" i="1"/>
  <c r="U829" i="1" l="1"/>
  <c r="V829" i="1" s="1"/>
  <c r="J830" i="1"/>
  <c r="U830" i="1" l="1"/>
  <c r="V830" i="1" s="1"/>
  <c r="J831" i="1"/>
  <c r="U831" i="1" l="1"/>
  <c r="V831" i="1" s="1"/>
  <c r="J832" i="1"/>
  <c r="U832" i="1" l="1"/>
  <c r="V832" i="1" s="1"/>
  <c r="J833" i="1"/>
  <c r="U833" i="1" l="1"/>
  <c r="V833" i="1" s="1"/>
  <c r="J834" i="1"/>
  <c r="U834" i="1" l="1"/>
  <c r="V834" i="1" s="1"/>
  <c r="J835" i="1"/>
  <c r="U835" i="1" l="1"/>
  <c r="V835" i="1" s="1"/>
  <c r="J836" i="1"/>
  <c r="U836" i="1" l="1"/>
  <c r="V836" i="1" s="1"/>
  <c r="J837" i="1"/>
  <c r="U837" i="1" l="1"/>
  <c r="V837" i="1" s="1"/>
  <c r="J838" i="1"/>
  <c r="U838" i="1" l="1"/>
  <c r="V838" i="1" s="1"/>
  <c r="J839" i="1"/>
  <c r="U839" i="1" l="1"/>
  <c r="V839" i="1" s="1"/>
  <c r="J840" i="1"/>
  <c r="U840" i="1" l="1"/>
  <c r="V840" i="1" s="1"/>
  <c r="J841" i="1"/>
  <c r="U841" i="1" l="1"/>
  <c r="V841" i="1" s="1"/>
  <c r="J842" i="1"/>
  <c r="U842" i="1" l="1"/>
  <c r="V842" i="1" s="1"/>
  <c r="J843" i="1"/>
  <c r="U843" i="1" l="1"/>
  <c r="V843" i="1" s="1"/>
  <c r="J844" i="1"/>
  <c r="U844" i="1" l="1"/>
  <c r="V844" i="1" s="1"/>
  <c r="J845" i="1"/>
  <c r="U845" i="1" l="1"/>
  <c r="V845" i="1" s="1"/>
  <c r="J846" i="1"/>
  <c r="U846" i="1" l="1"/>
  <c r="V846" i="1" s="1"/>
  <c r="J847" i="1"/>
  <c r="U847" i="1" l="1"/>
  <c r="V847" i="1" s="1"/>
  <c r="J848" i="1"/>
  <c r="U848" i="1" l="1"/>
  <c r="V848" i="1" s="1"/>
  <c r="J849" i="1"/>
  <c r="U849" i="1" l="1"/>
  <c r="V849" i="1" s="1"/>
  <c r="J850" i="1"/>
  <c r="U850" i="1" l="1"/>
  <c r="V850" i="1" s="1"/>
  <c r="J851" i="1"/>
  <c r="U851" i="1" l="1"/>
  <c r="V851" i="1" s="1"/>
  <c r="J852" i="1"/>
  <c r="U852" i="1" l="1"/>
  <c r="V852" i="1" s="1"/>
  <c r="J853" i="1"/>
  <c r="U853" i="1" l="1"/>
  <c r="V853" i="1" s="1"/>
  <c r="J854" i="1"/>
  <c r="U854" i="1" l="1"/>
  <c r="V854" i="1" s="1"/>
  <c r="J855" i="1"/>
  <c r="U855" i="1" l="1"/>
  <c r="V855" i="1" s="1"/>
  <c r="J856" i="1"/>
  <c r="U856" i="1" l="1"/>
  <c r="V856" i="1" s="1"/>
  <c r="J857" i="1"/>
  <c r="U857" i="1" l="1"/>
  <c r="V857" i="1" s="1"/>
  <c r="J858" i="1"/>
  <c r="U858" i="1" l="1"/>
  <c r="V858" i="1" s="1"/>
  <c r="J859" i="1"/>
  <c r="U859" i="1" l="1"/>
  <c r="V859" i="1" s="1"/>
  <c r="J860" i="1"/>
  <c r="U860" i="1" l="1"/>
  <c r="V860" i="1" s="1"/>
  <c r="J861" i="1"/>
  <c r="U861" i="1" l="1"/>
  <c r="V861" i="1" s="1"/>
  <c r="J862" i="1"/>
  <c r="U862" i="1" l="1"/>
  <c r="V862" i="1" s="1"/>
  <c r="J863" i="1"/>
  <c r="U863" i="1" l="1"/>
  <c r="V863" i="1" s="1"/>
  <c r="J864" i="1"/>
  <c r="U864" i="1" l="1"/>
  <c r="V864" i="1" s="1"/>
  <c r="J865" i="1"/>
  <c r="U865" i="1" l="1"/>
  <c r="V865" i="1" s="1"/>
  <c r="J866" i="1"/>
  <c r="U866" i="1" l="1"/>
  <c r="V866" i="1" s="1"/>
  <c r="J867" i="1"/>
  <c r="U867" i="1" l="1"/>
  <c r="V867" i="1" s="1"/>
  <c r="J868" i="1"/>
  <c r="U868" i="1" l="1"/>
  <c r="V868" i="1" s="1"/>
  <c r="J869" i="1"/>
  <c r="U869" i="1" l="1"/>
  <c r="V869" i="1" s="1"/>
  <c r="J870" i="1"/>
  <c r="U870" i="1" l="1"/>
  <c r="V870" i="1" s="1"/>
  <c r="J871" i="1"/>
  <c r="U871" i="1" l="1"/>
  <c r="V871" i="1" s="1"/>
  <c r="J872" i="1"/>
  <c r="U872" i="1" l="1"/>
  <c r="V872" i="1" s="1"/>
  <c r="J873" i="1"/>
  <c r="U873" i="1" l="1"/>
  <c r="V873" i="1" s="1"/>
  <c r="J874" i="1"/>
  <c r="U874" i="1" l="1"/>
  <c r="V874" i="1" s="1"/>
  <c r="J875" i="1"/>
  <c r="U875" i="1" l="1"/>
  <c r="V875" i="1" s="1"/>
  <c r="J876" i="1"/>
  <c r="U876" i="1" l="1"/>
  <c r="V876" i="1" s="1"/>
  <c r="J877" i="1"/>
  <c r="U877" i="1" l="1"/>
  <c r="V877" i="1" s="1"/>
  <c r="J878" i="1"/>
  <c r="U878" i="1" l="1"/>
  <c r="V878" i="1" s="1"/>
  <c r="J879" i="1"/>
  <c r="U879" i="1" l="1"/>
  <c r="V879" i="1" s="1"/>
  <c r="J880" i="1"/>
  <c r="U880" i="1" l="1"/>
  <c r="V880" i="1" s="1"/>
  <c r="J881" i="1"/>
  <c r="U881" i="1" l="1"/>
  <c r="V881" i="1" s="1"/>
  <c r="J882" i="1"/>
  <c r="U882" i="1" l="1"/>
  <c r="V882" i="1" s="1"/>
  <c r="J883" i="1"/>
  <c r="U883" i="1" l="1"/>
  <c r="V883" i="1" s="1"/>
  <c r="J884" i="1"/>
  <c r="U884" i="1" l="1"/>
  <c r="V884" i="1" s="1"/>
  <c r="J885" i="1"/>
  <c r="U885" i="1" l="1"/>
  <c r="V885" i="1" s="1"/>
  <c r="J886" i="1"/>
  <c r="U886" i="1" l="1"/>
  <c r="V886" i="1" s="1"/>
  <c r="J887" i="1"/>
  <c r="U887" i="1" l="1"/>
  <c r="V887" i="1" s="1"/>
  <c r="J888" i="1"/>
  <c r="U888" i="1" l="1"/>
  <c r="V888" i="1" s="1"/>
  <c r="J889" i="1"/>
  <c r="U889" i="1" l="1"/>
  <c r="V889" i="1" s="1"/>
  <c r="J890" i="1"/>
  <c r="U890" i="1" l="1"/>
  <c r="V890" i="1" s="1"/>
  <c r="J891" i="1"/>
  <c r="U891" i="1" l="1"/>
  <c r="V891" i="1" s="1"/>
  <c r="J892" i="1"/>
  <c r="U892" i="1" l="1"/>
  <c r="V892" i="1" s="1"/>
  <c r="J893" i="1"/>
  <c r="U893" i="1" l="1"/>
  <c r="V893" i="1" s="1"/>
  <c r="J894" i="1"/>
  <c r="U894" i="1" l="1"/>
  <c r="V894" i="1" s="1"/>
  <c r="J895" i="1"/>
  <c r="U895" i="1" l="1"/>
  <c r="V895" i="1" s="1"/>
  <c r="J896" i="1"/>
  <c r="U896" i="1" l="1"/>
  <c r="V896" i="1" s="1"/>
  <c r="J897" i="1"/>
  <c r="U897" i="1" l="1"/>
  <c r="V897" i="1" s="1"/>
  <c r="J898" i="1"/>
  <c r="U898" i="1" l="1"/>
  <c r="V898" i="1" s="1"/>
  <c r="J899" i="1"/>
  <c r="U899" i="1" l="1"/>
  <c r="V899" i="1" s="1"/>
  <c r="J900" i="1"/>
  <c r="U900" i="1" l="1"/>
  <c r="V900" i="1" s="1"/>
  <c r="J901" i="1"/>
  <c r="U901" i="1" l="1"/>
  <c r="V901" i="1" s="1"/>
  <c r="J902" i="1"/>
  <c r="U902" i="1" l="1"/>
  <c r="V902" i="1" s="1"/>
  <c r="J903" i="1"/>
  <c r="U903" i="1" l="1"/>
  <c r="V903" i="1" s="1"/>
  <c r="J904" i="1"/>
  <c r="U904" i="1" l="1"/>
  <c r="V904" i="1" s="1"/>
  <c r="J905" i="1"/>
  <c r="U905" i="1" l="1"/>
  <c r="V905" i="1" s="1"/>
  <c r="J906" i="1"/>
  <c r="U906" i="1" l="1"/>
  <c r="V906" i="1" s="1"/>
  <c r="J907" i="1"/>
  <c r="U907" i="1" l="1"/>
  <c r="V907" i="1" s="1"/>
  <c r="J908" i="1"/>
  <c r="U908" i="1" l="1"/>
  <c r="V908" i="1" s="1"/>
  <c r="J909" i="1"/>
  <c r="U909" i="1" l="1"/>
  <c r="V909" i="1" s="1"/>
  <c r="J910" i="1"/>
  <c r="U910" i="1" l="1"/>
  <c r="V910" i="1" s="1"/>
  <c r="J911" i="1"/>
  <c r="U911" i="1" l="1"/>
  <c r="V911" i="1" s="1"/>
  <c r="J912" i="1"/>
  <c r="U912" i="1" l="1"/>
  <c r="V912" i="1" s="1"/>
  <c r="J913" i="1"/>
  <c r="U913" i="1" l="1"/>
  <c r="V913" i="1" s="1"/>
  <c r="J914" i="1"/>
  <c r="U914" i="1" l="1"/>
  <c r="V914" i="1" s="1"/>
  <c r="J915" i="1"/>
  <c r="U915" i="1" l="1"/>
  <c r="V915" i="1" s="1"/>
  <c r="J916" i="1"/>
  <c r="U916" i="1" l="1"/>
  <c r="V916" i="1" s="1"/>
  <c r="J917" i="1"/>
  <c r="U917" i="1" l="1"/>
  <c r="V917" i="1" s="1"/>
  <c r="J918" i="1"/>
  <c r="U918" i="1" l="1"/>
  <c r="V918" i="1" s="1"/>
  <c r="J919" i="1"/>
  <c r="U919" i="1" l="1"/>
  <c r="V919" i="1" s="1"/>
  <c r="J920" i="1"/>
  <c r="U920" i="1" l="1"/>
  <c r="V920" i="1" s="1"/>
  <c r="J921" i="1"/>
  <c r="U921" i="1" l="1"/>
  <c r="V921" i="1" s="1"/>
  <c r="J922" i="1"/>
  <c r="U922" i="1" l="1"/>
  <c r="V922" i="1" s="1"/>
  <c r="J923" i="1"/>
  <c r="U923" i="1" l="1"/>
  <c r="V923" i="1" s="1"/>
  <c r="J924" i="1"/>
  <c r="U924" i="1" l="1"/>
  <c r="V924" i="1" s="1"/>
  <c r="J925" i="1"/>
  <c r="U925" i="1" l="1"/>
  <c r="V925" i="1" s="1"/>
  <c r="J926" i="1"/>
  <c r="U926" i="1" l="1"/>
  <c r="V926" i="1" s="1"/>
  <c r="J927" i="1"/>
  <c r="U927" i="1" l="1"/>
  <c r="V927" i="1" s="1"/>
  <c r="J928" i="1"/>
  <c r="U928" i="1" l="1"/>
  <c r="V928" i="1" s="1"/>
  <c r="J929" i="1"/>
  <c r="U929" i="1" l="1"/>
  <c r="V929" i="1" s="1"/>
  <c r="J930" i="1"/>
  <c r="U930" i="1" l="1"/>
  <c r="V930" i="1" s="1"/>
  <c r="J931" i="1"/>
  <c r="U931" i="1" l="1"/>
  <c r="V931" i="1" s="1"/>
  <c r="J932" i="1"/>
  <c r="U932" i="1" l="1"/>
  <c r="V932" i="1" s="1"/>
  <c r="J933" i="1"/>
  <c r="U933" i="1" l="1"/>
  <c r="V933" i="1" s="1"/>
  <c r="J934" i="1"/>
  <c r="U934" i="1" l="1"/>
  <c r="V934" i="1" s="1"/>
  <c r="J935" i="1"/>
  <c r="U935" i="1" l="1"/>
  <c r="V935" i="1" s="1"/>
  <c r="J936" i="1"/>
  <c r="U936" i="1" l="1"/>
  <c r="V936" i="1" s="1"/>
  <c r="J937" i="1"/>
  <c r="U937" i="1" l="1"/>
  <c r="V937" i="1" s="1"/>
  <c r="J938" i="1"/>
  <c r="U938" i="1" l="1"/>
  <c r="V938" i="1" s="1"/>
  <c r="J939" i="1"/>
  <c r="U939" i="1" l="1"/>
  <c r="V939" i="1" s="1"/>
  <c r="J940" i="1"/>
  <c r="U940" i="1" l="1"/>
  <c r="V940" i="1" s="1"/>
  <c r="J941" i="1"/>
  <c r="U941" i="1" l="1"/>
  <c r="V941" i="1" s="1"/>
  <c r="J942" i="1"/>
  <c r="U942" i="1" l="1"/>
  <c r="V942" i="1" s="1"/>
  <c r="J943" i="1"/>
  <c r="U943" i="1" l="1"/>
  <c r="V943" i="1" s="1"/>
  <c r="J944" i="1"/>
  <c r="U944" i="1" l="1"/>
  <c r="V944" i="1" s="1"/>
  <c r="J945" i="1"/>
  <c r="U945" i="1" l="1"/>
  <c r="V945" i="1" s="1"/>
  <c r="J946" i="1"/>
  <c r="U946" i="1" l="1"/>
  <c r="V946" i="1" s="1"/>
  <c r="J947" i="1"/>
  <c r="U947" i="1" l="1"/>
  <c r="V947" i="1" s="1"/>
  <c r="J948" i="1"/>
  <c r="U948" i="1" l="1"/>
  <c r="V948" i="1" s="1"/>
  <c r="J949" i="1"/>
  <c r="U949" i="1" l="1"/>
  <c r="V949" i="1" s="1"/>
  <c r="J950" i="1"/>
  <c r="U950" i="1" l="1"/>
  <c r="V950" i="1" s="1"/>
  <c r="J951" i="1"/>
  <c r="U951" i="1" l="1"/>
  <c r="V951" i="1" s="1"/>
  <c r="J952" i="1"/>
  <c r="U952" i="1" l="1"/>
  <c r="V952" i="1" s="1"/>
  <c r="J953" i="1"/>
  <c r="U953" i="1" l="1"/>
  <c r="V953" i="1" s="1"/>
  <c r="J954" i="1"/>
  <c r="U954" i="1" l="1"/>
  <c r="V954" i="1" s="1"/>
  <c r="J955" i="1"/>
  <c r="U955" i="1" l="1"/>
  <c r="V955" i="1" s="1"/>
  <c r="J956" i="1"/>
  <c r="U956" i="1" l="1"/>
  <c r="V956" i="1" s="1"/>
  <c r="J957" i="1"/>
  <c r="U957" i="1" l="1"/>
  <c r="V957" i="1" s="1"/>
  <c r="J958" i="1"/>
  <c r="U958" i="1" l="1"/>
  <c r="V958" i="1" s="1"/>
  <c r="J959" i="1"/>
  <c r="U959" i="1" l="1"/>
  <c r="V959" i="1" s="1"/>
  <c r="J960" i="1"/>
  <c r="U960" i="1" l="1"/>
  <c r="V960" i="1" s="1"/>
  <c r="J961" i="1"/>
  <c r="U961" i="1" l="1"/>
  <c r="V961" i="1" s="1"/>
  <c r="J962" i="1"/>
  <c r="U962" i="1" l="1"/>
  <c r="V962" i="1" s="1"/>
  <c r="J963" i="1"/>
  <c r="U963" i="1" l="1"/>
  <c r="V963" i="1" s="1"/>
  <c r="J964" i="1"/>
  <c r="U964" i="1" l="1"/>
  <c r="V964" i="1" s="1"/>
  <c r="J965" i="1"/>
  <c r="U965" i="1" l="1"/>
  <c r="V965" i="1" s="1"/>
  <c r="J966" i="1"/>
  <c r="U966" i="1" l="1"/>
  <c r="V966" i="1" s="1"/>
  <c r="J967" i="1"/>
  <c r="U967" i="1" l="1"/>
  <c r="V967" i="1" s="1"/>
  <c r="J968" i="1"/>
  <c r="U968" i="1" l="1"/>
  <c r="V968" i="1" s="1"/>
  <c r="J969" i="1"/>
  <c r="U969" i="1" l="1"/>
  <c r="V969" i="1" s="1"/>
  <c r="J970" i="1"/>
  <c r="U970" i="1" l="1"/>
  <c r="V970" i="1" s="1"/>
  <c r="J971" i="1"/>
  <c r="U971" i="1" l="1"/>
  <c r="V971" i="1" s="1"/>
  <c r="J972" i="1"/>
  <c r="U972" i="1" l="1"/>
  <c r="V972" i="1" s="1"/>
  <c r="J973" i="1"/>
  <c r="U973" i="1" l="1"/>
  <c r="V973" i="1" s="1"/>
  <c r="J974" i="1"/>
  <c r="U974" i="1" l="1"/>
  <c r="V974" i="1" s="1"/>
  <c r="J975" i="1"/>
  <c r="U975" i="1" l="1"/>
  <c r="V975" i="1" s="1"/>
  <c r="J976" i="1"/>
  <c r="U976" i="1" l="1"/>
  <c r="V976" i="1" s="1"/>
  <c r="J977" i="1"/>
  <c r="U977" i="1" l="1"/>
  <c r="V977" i="1" s="1"/>
  <c r="J978" i="1"/>
  <c r="U978" i="1" l="1"/>
  <c r="V978" i="1" s="1"/>
  <c r="J979" i="1"/>
  <c r="U979" i="1" l="1"/>
  <c r="V979" i="1" s="1"/>
  <c r="J980" i="1"/>
  <c r="U980" i="1" l="1"/>
  <c r="V980" i="1" s="1"/>
  <c r="J981" i="1"/>
  <c r="U981" i="1" l="1"/>
  <c r="V981" i="1" s="1"/>
  <c r="J982" i="1"/>
  <c r="U982" i="1" l="1"/>
  <c r="V982" i="1" s="1"/>
  <c r="J983" i="1"/>
  <c r="U983" i="1" l="1"/>
  <c r="V983" i="1" s="1"/>
  <c r="J984" i="1"/>
  <c r="U984" i="1" l="1"/>
  <c r="V984" i="1" s="1"/>
  <c r="J985" i="1"/>
  <c r="U985" i="1" l="1"/>
  <c r="V985" i="1" s="1"/>
  <c r="J986" i="1"/>
  <c r="U986" i="1" l="1"/>
  <c r="V986" i="1" s="1"/>
  <c r="J987" i="1"/>
  <c r="U987" i="1" l="1"/>
  <c r="V987" i="1" s="1"/>
  <c r="J988" i="1"/>
  <c r="U988" i="1" l="1"/>
  <c r="V988" i="1" s="1"/>
  <c r="J989" i="1"/>
  <c r="U989" i="1" l="1"/>
  <c r="V989" i="1" s="1"/>
  <c r="J990" i="1"/>
  <c r="U990" i="1" l="1"/>
  <c r="V990" i="1" s="1"/>
  <c r="J991" i="1"/>
  <c r="U991" i="1" l="1"/>
  <c r="V991" i="1" s="1"/>
  <c r="J992" i="1"/>
  <c r="U992" i="1" l="1"/>
  <c r="V992" i="1" s="1"/>
  <c r="J993" i="1"/>
  <c r="U993" i="1" l="1"/>
  <c r="V993" i="1" s="1"/>
  <c r="J994" i="1"/>
  <c r="U994" i="1" l="1"/>
  <c r="V994" i="1" s="1"/>
  <c r="J995" i="1"/>
  <c r="U995" i="1" l="1"/>
  <c r="V995" i="1" s="1"/>
  <c r="J996" i="1"/>
  <c r="U996" i="1" l="1"/>
  <c r="V996" i="1" s="1"/>
  <c r="J997" i="1"/>
  <c r="U997" i="1" l="1"/>
  <c r="V997" i="1" s="1"/>
  <c r="J998" i="1"/>
  <c r="U998" i="1" l="1"/>
  <c r="V998" i="1" s="1"/>
  <c r="J999" i="1"/>
  <c r="U999" i="1" l="1"/>
  <c r="V999" i="1" s="1"/>
  <c r="J1000" i="1"/>
  <c r="U1000" i="1" l="1"/>
  <c r="V1000" i="1" s="1"/>
  <c r="J1001" i="1"/>
  <c r="U1001" i="1" l="1"/>
  <c r="V1001" i="1" s="1"/>
  <c r="J1002" i="1"/>
  <c r="U1002" i="1" l="1"/>
  <c r="V1002" i="1" s="1"/>
  <c r="J1003" i="1"/>
  <c r="U1003" i="1" l="1"/>
  <c r="V1003" i="1" s="1"/>
  <c r="J1004" i="1"/>
  <c r="U1004" i="1" l="1"/>
  <c r="V1004" i="1" s="1"/>
  <c r="J1005" i="1"/>
  <c r="U1005" i="1" l="1"/>
  <c r="V1005" i="1" s="1"/>
  <c r="J1006" i="1"/>
  <c r="U1006" i="1" l="1"/>
  <c r="V1006" i="1" s="1"/>
  <c r="J1007" i="1"/>
  <c r="U1007" i="1" l="1"/>
  <c r="V1007" i="1" s="1"/>
  <c r="J1008" i="1"/>
  <c r="U1008" i="1" l="1"/>
  <c r="V1008" i="1" s="1"/>
  <c r="J1009" i="1"/>
  <c r="U1009" i="1" l="1"/>
  <c r="V1009" i="1" s="1"/>
  <c r="J1010" i="1"/>
  <c r="U1010" i="1" l="1"/>
  <c r="V1010" i="1" s="1"/>
  <c r="J1011" i="1"/>
  <c r="U1011" i="1" l="1"/>
  <c r="V1011" i="1" s="1"/>
  <c r="J1012" i="1"/>
  <c r="U1012" i="1" l="1"/>
  <c r="V1012" i="1" s="1"/>
  <c r="J1013" i="1"/>
  <c r="U1013" i="1" l="1"/>
  <c r="V1013" i="1" s="1"/>
  <c r="J1014" i="1"/>
  <c r="U1014" i="1" l="1"/>
  <c r="V1014" i="1" s="1"/>
  <c r="J1015" i="1"/>
  <c r="U1015" i="1" l="1"/>
  <c r="V1015" i="1" s="1"/>
  <c r="J1016" i="1"/>
  <c r="U1016" i="1" l="1"/>
  <c r="V1016" i="1" s="1"/>
  <c r="J1017" i="1"/>
  <c r="U1017" i="1" l="1"/>
  <c r="V1017" i="1" s="1"/>
  <c r="J1018" i="1"/>
  <c r="U1018" i="1" l="1"/>
  <c r="V1018" i="1" s="1"/>
  <c r="J1019" i="1"/>
  <c r="U1019" i="1" l="1"/>
  <c r="V1019" i="1" s="1"/>
  <c r="J1020" i="1"/>
  <c r="U1020" i="1" l="1"/>
  <c r="V1020" i="1" s="1"/>
  <c r="J1021" i="1"/>
  <c r="U1021" i="1" l="1"/>
  <c r="V1021" i="1" s="1"/>
  <c r="J1022" i="1"/>
  <c r="U1022" i="1" l="1"/>
  <c r="V1022" i="1" s="1"/>
  <c r="J1023" i="1"/>
  <c r="U1023" i="1" l="1"/>
  <c r="V1023" i="1" s="1"/>
  <c r="J1024" i="1"/>
  <c r="U1024" i="1" l="1"/>
  <c r="V1024" i="1" s="1"/>
  <c r="J1025" i="1"/>
  <c r="U1025" i="1" l="1"/>
  <c r="V1025" i="1" s="1"/>
  <c r="J1026" i="1"/>
  <c r="U1026" i="1" l="1"/>
  <c r="V1026" i="1" s="1"/>
  <c r="J1027" i="1"/>
  <c r="U1027" i="1" l="1"/>
  <c r="V1027" i="1" s="1"/>
  <c r="J1028" i="1"/>
  <c r="U1028" i="1" l="1"/>
  <c r="V1028" i="1" s="1"/>
  <c r="J1029" i="1"/>
  <c r="U1029" i="1" l="1"/>
  <c r="V1029" i="1" s="1"/>
  <c r="J1030" i="1"/>
  <c r="U1030" i="1" l="1"/>
  <c r="V1030" i="1" s="1"/>
  <c r="J1031" i="1"/>
  <c r="U1031" i="1" l="1"/>
  <c r="V1031" i="1" s="1"/>
  <c r="J1032" i="1"/>
  <c r="U1032" i="1" l="1"/>
  <c r="V1032" i="1" s="1"/>
  <c r="J1033" i="1"/>
  <c r="U1033" i="1" l="1"/>
  <c r="V1033" i="1" s="1"/>
  <c r="J1034" i="1"/>
  <c r="U1034" i="1" l="1"/>
  <c r="V1034" i="1" s="1"/>
  <c r="J1035" i="1"/>
  <c r="U1035" i="1" l="1"/>
  <c r="V1035" i="1" s="1"/>
  <c r="J1036" i="1"/>
  <c r="U1036" i="1" l="1"/>
  <c r="V1036" i="1" s="1"/>
  <c r="J1037" i="1"/>
  <c r="U1037" i="1" l="1"/>
  <c r="V1037" i="1" s="1"/>
  <c r="J1038" i="1"/>
  <c r="U1038" i="1" l="1"/>
  <c r="V1038" i="1" s="1"/>
  <c r="J1039" i="1"/>
  <c r="U1039" i="1" l="1"/>
  <c r="V1039" i="1" s="1"/>
  <c r="J1040" i="1"/>
  <c r="U1040" i="1" l="1"/>
  <c r="V1040" i="1" s="1"/>
  <c r="J1041" i="1"/>
  <c r="U1041" i="1" l="1"/>
  <c r="V1041" i="1" s="1"/>
  <c r="J1042" i="1"/>
  <c r="U1042" i="1" l="1"/>
  <c r="V1042" i="1" s="1"/>
  <c r="J1043" i="1"/>
  <c r="U1043" i="1" l="1"/>
  <c r="V1043" i="1" s="1"/>
  <c r="J1044" i="1"/>
  <c r="U1044" i="1" l="1"/>
  <c r="V1044" i="1" s="1"/>
  <c r="J1045" i="1"/>
  <c r="U1045" i="1" l="1"/>
  <c r="V1045" i="1" s="1"/>
  <c r="J1046" i="1"/>
  <c r="U1046" i="1" l="1"/>
  <c r="V1046" i="1" s="1"/>
  <c r="J1047" i="1"/>
  <c r="U1047" i="1" l="1"/>
  <c r="V1047" i="1" s="1"/>
  <c r="J1048" i="1"/>
  <c r="U1048" i="1" l="1"/>
  <c r="V1048" i="1" s="1"/>
  <c r="J1049" i="1"/>
  <c r="U1049" i="1" l="1"/>
  <c r="V1049" i="1" s="1"/>
  <c r="J1050" i="1"/>
  <c r="U1050" i="1" l="1"/>
  <c r="V1050" i="1" s="1"/>
  <c r="J1051" i="1"/>
  <c r="U1051" i="1" l="1"/>
  <c r="V1051" i="1" s="1"/>
  <c r="J1052" i="1"/>
  <c r="U1052" i="1" l="1"/>
  <c r="V1052" i="1" s="1"/>
  <c r="J1053" i="1"/>
  <c r="U1053" i="1" l="1"/>
  <c r="V1053" i="1" s="1"/>
  <c r="J1054" i="1"/>
  <c r="U1054" i="1" l="1"/>
  <c r="V1054" i="1" s="1"/>
  <c r="J1055" i="1"/>
  <c r="U1055" i="1" l="1"/>
  <c r="V1055" i="1" s="1"/>
  <c r="J1056" i="1"/>
  <c r="U1056" i="1" l="1"/>
  <c r="V1056" i="1" s="1"/>
  <c r="J1057" i="1"/>
  <c r="U1057" i="1" l="1"/>
  <c r="V1057" i="1" s="1"/>
  <c r="J1058" i="1"/>
  <c r="U1058" i="1" l="1"/>
  <c r="V1058" i="1" s="1"/>
  <c r="J1059" i="1"/>
  <c r="U1059" i="1" l="1"/>
  <c r="V1059" i="1" s="1"/>
  <c r="J1060" i="1"/>
  <c r="U1060" i="1" l="1"/>
  <c r="V1060" i="1" s="1"/>
  <c r="J1061" i="1"/>
  <c r="U1061" i="1" l="1"/>
  <c r="V1061" i="1" s="1"/>
  <c r="J1062" i="1"/>
  <c r="U1062" i="1" l="1"/>
  <c r="V1062" i="1" s="1"/>
  <c r="J1063" i="1"/>
  <c r="U1063" i="1" l="1"/>
  <c r="V1063" i="1" s="1"/>
  <c r="J1064" i="1"/>
  <c r="U1064" i="1" l="1"/>
  <c r="V1064" i="1" s="1"/>
  <c r="J1065" i="1"/>
  <c r="U1065" i="1" l="1"/>
  <c r="V1065" i="1" s="1"/>
  <c r="J1066" i="1"/>
  <c r="U1066" i="1" l="1"/>
  <c r="V1066" i="1" s="1"/>
  <c r="J1067" i="1"/>
  <c r="U1067" i="1" l="1"/>
  <c r="V1067" i="1" s="1"/>
  <c r="J1068" i="1"/>
  <c r="U1068" i="1" l="1"/>
  <c r="V1068" i="1" s="1"/>
  <c r="J1069" i="1"/>
  <c r="U1069" i="1" l="1"/>
  <c r="V1069" i="1" s="1"/>
  <c r="J1070" i="1"/>
  <c r="U1070" i="1" l="1"/>
  <c r="V1070" i="1" s="1"/>
  <c r="J1071" i="1"/>
  <c r="U1071" i="1" l="1"/>
  <c r="V1071" i="1" s="1"/>
  <c r="J1072" i="1"/>
  <c r="U1072" i="1" l="1"/>
  <c r="V1072" i="1" s="1"/>
  <c r="J1073" i="1"/>
  <c r="U1073" i="1" l="1"/>
  <c r="V1073" i="1" s="1"/>
  <c r="J1074" i="1"/>
  <c r="U1074" i="1" l="1"/>
  <c r="V1074" i="1" s="1"/>
  <c r="J1075" i="1"/>
  <c r="U1075" i="1" l="1"/>
  <c r="V1075" i="1" s="1"/>
  <c r="J1076" i="1"/>
  <c r="U1076" i="1" l="1"/>
  <c r="V1076" i="1" s="1"/>
  <c r="J1077" i="1"/>
  <c r="U1077" i="1" l="1"/>
  <c r="V1077" i="1" s="1"/>
  <c r="J1078" i="1"/>
  <c r="U1078" i="1" l="1"/>
  <c r="V1078" i="1" s="1"/>
  <c r="J1079" i="1"/>
  <c r="U1079" i="1" l="1"/>
  <c r="V1079" i="1" s="1"/>
  <c r="J1080" i="1"/>
  <c r="U1080" i="1" l="1"/>
  <c r="V1080" i="1" s="1"/>
  <c r="J1081" i="1"/>
  <c r="U1081" i="1" l="1"/>
  <c r="V1081" i="1" s="1"/>
  <c r="J1082" i="1"/>
  <c r="U1082" i="1" l="1"/>
  <c r="V1082" i="1" s="1"/>
  <c r="J1083" i="1"/>
  <c r="U1083" i="1" l="1"/>
  <c r="V1083" i="1" s="1"/>
  <c r="J1084" i="1"/>
  <c r="U1084" i="1" l="1"/>
  <c r="V1084" i="1" s="1"/>
  <c r="J1085" i="1"/>
  <c r="U1085" i="1" l="1"/>
  <c r="V1085" i="1" s="1"/>
  <c r="J1086" i="1"/>
  <c r="U1086" i="1" l="1"/>
  <c r="V1086" i="1" s="1"/>
  <c r="J1087" i="1"/>
  <c r="U1087" i="1" l="1"/>
  <c r="V1087" i="1" s="1"/>
  <c r="J1088" i="1"/>
  <c r="U1088" i="1" l="1"/>
  <c r="V1088" i="1" s="1"/>
  <c r="J1089" i="1"/>
  <c r="U1089" i="1" l="1"/>
  <c r="V1089" i="1" s="1"/>
  <c r="J1090" i="1"/>
  <c r="U1090" i="1" l="1"/>
  <c r="V1090" i="1" s="1"/>
  <c r="J1091" i="1"/>
  <c r="U1091" i="1" l="1"/>
  <c r="V1091" i="1" s="1"/>
  <c r="J1092" i="1"/>
  <c r="U1092" i="1" l="1"/>
  <c r="V1092" i="1" s="1"/>
  <c r="J1093" i="1"/>
  <c r="U1093" i="1" l="1"/>
  <c r="V1093" i="1" s="1"/>
  <c r="J1094" i="1"/>
  <c r="U1094" i="1" l="1"/>
  <c r="V1094" i="1" s="1"/>
  <c r="J1095" i="1"/>
  <c r="U1095" i="1" l="1"/>
  <c r="V1095" i="1" s="1"/>
  <c r="J1096" i="1"/>
  <c r="U1096" i="1" l="1"/>
  <c r="V1096" i="1" s="1"/>
  <c r="J1097" i="1"/>
  <c r="U1097" i="1" l="1"/>
  <c r="V1097" i="1" s="1"/>
  <c r="J1098" i="1"/>
  <c r="U1098" i="1" l="1"/>
  <c r="V1098" i="1" s="1"/>
  <c r="J1099" i="1"/>
  <c r="U1099" i="1" l="1"/>
  <c r="V1099" i="1" s="1"/>
  <c r="J1100" i="1"/>
  <c r="U1100" i="1" l="1"/>
  <c r="V1100" i="1" s="1"/>
  <c r="J1101" i="1"/>
  <c r="U1101" i="1" l="1"/>
  <c r="V1101" i="1" s="1"/>
  <c r="J1102" i="1"/>
  <c r="U1102" i="1" l="1"/>
  <c r="V1102" i="1" s="1"/>
  <c r="J1103" i="1"/>
  <c r="U1103" i="1" l="1"/>
  <c r="V1103" i="1" s="1"/>
  <c r="J1104" i="1"/>
  <c r="U1104" i="1" l="1"/>
  <c r="V1104" i="1" s="1"/>
  <c r="J1105" i="1"/>
  <c r="U1105" i="1" l="1"/>
  <c r="V1105" i="1" s="1"/>
  <c r="J1106" i="1"/>
  <c r="U1106" i="1" l="1"/>
  <c r="V1106" i="1" s="1"/>
  <c r="J1107" i="1"/>
  <c r="U1107" i="1" l="1"/>
  <c r="V1107" i="1" s="1"/>
  <c r="J1108" i="1"/>
  <c r="U1108" i="1" l="1"/>
  <c r="V1108" i="1" s="1"/>
  <c r="J1109" i="1"/>
  <c r="U1109" i="1" l="1"/>
  <c r="V1109" i="1" s="1"/>
  <c r="J1110" i="1"/>
  <c r="U1110" i="1" l="1"/>
  <c r="V1110" i="1" s="1"/>
  <c r="J1111" i="1"/>
  <c r="U1111" i="1" l="1"/>
  <c r="V1111" i="1" s="1"/>
  <c r="J1112" i="1"/>
  <c r="U1112" i="1" l="1"/>
  <c r="V1112" i="1" s="1"/>
  <c r="J1113" i="1"/>
  <c r="U1113" i="1" l="1"/>
  <c r="V1113" i="1" s="1"/>
  <c r="J1114" i="1"/>
  <c r="U1114" i="1" l="1"/>
  <c r="V1114" i="1" s="1"/>
  <c r="J1115" i="1"/>
  <c r="U1115" i="1" l="1"/>
  <c r="V1115" i="1" s="1"/>
  <c r="J1116" i="1"/>
  <c r="U1116" i="1" l="1"/>
  <c r="V1116" i="1" s="1"/>
  <c r="J1117" i="1"/>
  <c r="U1117" i="1" l="1"/>
  <c r="V1117" i="1" s="1"/>
  <c r="J1118" i="1"/>
  <c r="U1118" i="1" l="1"/>
  <c r="V1118" i="1" s="1"/>
  <c r="J1119" i="1"/>
  <c r="U1119" i="1" l="1"/>
  <c r="V1119" i="1" s="1"/>
  <c r="J1120" i="1"/>
  <c r="U1120" i="1" l="1"/>
  <c r="V1120" i="1" s="1"/>
  <c r="J1121" i="1"/>
  <c r="U1121" i="1" l="1"/>
  <c r="V1121" i="1" s="1"/>
  <c r="J1122" i="1"/>
  <c r="U1122" i="1" l="1"/>
  <c r="V1122" i="1" s="1"/>
  <c r="J1123" i="1"/>
  <c r="U1123" i="1" l="1"/>
  <c r="V1123" i="1" s="1"/>
  <c r="J1124" i="1"/>
  <c r="U1124" i="1" l="1"/>
  <c r="V1124" i="1" s="1"/>
  <c r="J1125" i="1"/>
  <c r="U1125" i="1" l="1"/>
  <c r="V1125" i="1" s="1"/>
  <c r="J1126" i="1"/>
  <c r="U1126" i="1" l="1"/>
  <c r="V1126" i="1" s="1"/>
  <c r="J1127" i="1"/>
  <c r="U1127" i="1" l="1"/>
  <c r="V1127" i="1" s="1"/>
  <c r="J1128" i="1"/>
  <c r="U1128" i="1" l="1"/>
  <c r="V1128" i="1" s="1"/>
  <c r="J1129" i="1"/>
  <c r="U1129" i="1" l="1"/>
  <c r="V1129" i="1" s="1"/>
  <c r="J1130" i="1"/>
  <c r="U1130" i="1" l="1"/>
  <c r="V1130" i="1" s="1"/>
  <c r="J1131" i="1"/>
  <c r="U1131" i="1" l="1"/>
  <c r="V1131" i="1" s="1"/>
  <c r="J1132" i="1"/>
  <c r="U1132" i="1" l="1"/>
  <c r="V1132" i="1" s="1"/>
  <c r="J1133" i="1"/>
  <c r="U1133" i="1" l="1"/>
  <c r="V1133" i="1" s="1"/>
  <c r="J1134" i="1"/>
  <c r="U1134" i="1" l="1"/>
  <c r="V1134" i="1" s="1"/>
  <c r="J1135" i="1"/>
  <c r="U1135" i="1" l="1"/>
  <c r="V1135" i="1" s="1"/>
  <c r="J1136" i="1"/>
  <c r="U1136" i="1" l="1"/>
  <c r="V1136" i="1" s="1"/>
  <c r="J1137" i="1"/>
  <c r="U1137" i="1" l="1"/>
  <c r="V1137" i="1" s="1"/>
  <c r="J1138" i="1"/>
  <c r="U1138" i="1" l="1"/>
  <c r="V1138" i="1" s="1"/>
  <c r="J1139" i="1"/>
  <c r="U1139" i="1" l="1"/>
  <c r="V1139" i="1" s="1"/>
  <c r="J1140" i="1"/>
  <c r="U1140" i="1" l="1"/>
  <c r="V1140" i="1" s="1"/>
  <c r="J1141" i="1"/>
  <c r="U1141" i="1" l="1"/>
  <c r="V1141" i="1" s="1"/>
  <c r="J1142" i="1"/>
  <c r="U1142" i="1" l="1"/>
  <c r="V1142" i="1" s="1"/>
  <c r="J1143" i="1"/>
  <c r="U1143" i="1" l="1"/>
  <c r="V1143" i="1" s="1"/>
  <c r="J1144" i="1"/>
  <c r="U1144" i="1" l="1"/>
  <c r="V1144" i="1" s="1"/>
  <c r="J1145" i="1"/>
  <c r="U1145" i="1" l="1"/>
  <c r="V1145" i="1" s="1"/>
  <c r="J1146" i="1"/>
  <c r="U1146" i="1" l="1"/>
  <c r="V1146" i="1" s="1"/>
  <c r="J1147" i="1"/>
  <c r="U1147" i="1" l="1"/>
  <c r="V1147" i="1" s="1"/>
  <c r="J1148" i="1"/>
  <c r="U1148" i="1" l="1"/>
  <c r="V1148" i="1" s="1"/>
  <c r="J1149" i="1"/>
  <c r="U1149" i="1" l="1"/>
  <c r="V1149" i="1" s="1"/>
  <c r="J1150" i="1"/>
  <c r="U1150" i="1" l="1"/>
  <c r="V1150" i="1" s="1"/>
  <c r="J1151" i="1"/>
  <c r="U1151" i="1" l="1"/>
  <c r="V1151" i="1" s="1"/>
  <c r="J1152" i="1"/>
  <c r="U1152" i="1" l="1"/>
  <c r="V1152" i="1" s="1"/>
  <c r="J1153" i="1"/>
  <c r="U1153" i="1" l="1"/>
  <c r="V1153" i="1" s="1"/>
  <c r="J1154" i="1"/>
  <c r="U1154" i="1" l="1"/>
  <c r="V1154" i="1" s="1"/>
  <c r="J1155" i="1"/>
  <c r="U1155" i="1" l="1"/>
  <c r="V1155" i="1" s="1"/>
  <c r="J1156" i="1"/>
  <c r="U1156" i="1" l="1"/>
  <c r="V1156" i="1" s="1"/>
  <c r="J1157" i="1"/>
  <c r="U1157" i="1" l="1"/>
  <c r="V1157" i="1" s="1"/>
  <c r="J1158" i="1"/>
  <c r="U1158" i="1" l="1"/>
  <c r="V1158" i="1" s="1"/>
  <c r="J1159" i="1"/>
  <c r="U1159" i="1" l="1"/>
  <c r="V1159" i="1" s="1"/>
  <c r="J1160" i="1"/>
  <c r="U1160" i="1" l="1"/>
  <c r="V1160" i="1" s="1"/>
  <c r="J1161" i="1"/>
  <c r="U1161" i="1" l="1"/>
  <c r="V1161" i="1" s="1"/>
  <c r="J1162" i="1"/>
  <c r="U1162" i="1" l="1"/>
  <c r="V1162" i="1" s="1"/>
  <c r="J1163" i="1"/>
  <c r="U1163" i="1" l="1"/>
  <c r="V1163" i="1" s="1"/>
  <c r="J1164" i="1"/>
  <c r="U1164" i="1" l="1"/>
  <c r="V1164" i="1" s="1"/>
  <c r="J1165" i="1"/>
  <c r="U1165" i="1" l="1"/>
  <c r="V1165" i="1" s="1"/>
  <c r="J1166" i="1"/>
  <c r="U1166" i="1" l="1"/>
  <c r="V1166" i="1" s="1"/>
  <c r="J1167" i="1"/>
  <c r="U1167" i="1" l="1"/>
  <c r="V1167" i="1" s="1"/>
  <c r="J1168" i="1"/>
  <c r="U1168" i="1" l="1"/>
  <c r="V1168" i="1" s="1"/>
  <c r="J1169" i="1"/>
  <c r="U1169" i="1" l="1"/>
  <c r="V1169" i="1" s="1"/>
  <c r="J1170" i="1"/>
  <c r="U1170" i="1" l="1"/>
  <c r="V1170" i="1" s="1"/>
  <c r="J1171" i="1"/>
  <c r="U1171" i="1" l="1"/>
  <c r="V1171" i="1" s="1"/>
  <c r="J1172" i="1"/>
  <c r="U1172" i="1" l="1"/>
  <c r="V1172" i="1" s="1"/>
  <c r="J1173" i="1"/>
  <c r="U1173" i="1" l="1"/>
  <c r="V1173" i="1" s="1"/>
  <c r="J1174" i="1"/>
  <c r="U1174" i="1" l="1"/>
  <c r="V1174" i="1" s="1"/>
  <c r="J1175" i="1"/>
  <c r="U1175" i="1" l="1"/>
  <c r="V1175" i="1" s="1"/>
  <c r="J1176" i="1"/>
  <c r="U1176" i="1" l="1"/>
  <c r="V1176" i="1" s="1"/>
  <c r="J1177" i="1"/>
  <c r="U1177" i="1" l="1"/>
  <c r="V1177" i="1" s="1"/>
  <c r="J1178" i="1"/>
  <c r="U1178" i="1" l="1"/>
  <c r="V1178" i="1" s="1"/>
  <c r="J1179" i="1"/>
  <c r="U1179" i="1" l="1"/>
  <c r="V1179" i="1" s="1"/>
  <c r="J1180" i="1"/>
  <c r="U1180" i="1" l="1"/>
  <c r="V1180" i="1" s="1"/>
  <c r="J1181" i="1"/>
  <c r="U1181" i="1" l="1"/>
  <c r="V1181" i="1" s="1"/>
  <c r="J1182" i="1"/>
  <c r="U1182" i="1" l="1"/>
  <c r="V1182" i="1" s="1"/>
  <c r="J1183" i="1"/>
  <c r="U1183" i="1" l="1"/>
  <c r="V1183" i="1" s="1"/>
  <c r="J1184" i="1"/>
  <c r="U1184" i="1" l="1"/>
  <c r="V1184" i="1" s="1"/>
  <c r="J1185" i="1"/>
  <c r="U1185" i="1" l="1"/>
  <c r="V1185" i="1" s="1"/>
  <c r="J1186" i="1"/>
  <c r="U1186" i="1" l="1"/>
  <c r="V1186" i="1" s="1"/>
  <c r="J1187" i="1"/>
  <c r="U1187" i="1" l="1"/>
  <c r="V1187" i="1" s="1"/>
  <c r="J1188" i="1"/>
  <c r="U1188" i="1" l="1"/>
  <c r="V1188" i="1" s="1"/>
  <c r="J1189" i="1"/>
  <c r="U1189" i="1" l="1"/>
  <c r="V1189" i="1" s="1"/>
  <c r="J1190" i="1"/>
  <c r="U1190" i="1" l="1"/>
  <c r="V1190" i="1" s="1"/>
  <c r="J1191" i="1"/>
  <c r="U1191" i="1" l="1"/>
  <c r="V1191" i="1" s="1"/>
  <c r="J1192" i="1"/>
  <c r="U1192" i="1" l="1"/>
  <c r="V1192" i="1" s="1"/>
  <c r="J1193" i="1"/>
  <c r="U1193" i="1" l="1"/>
  <c r="V1193" i="1" s="1"/>
  <c r="J1194" i="1"/>
  <c r="U1194" i="1" l="1"/>
  <c r="V1194" i="1" s="1"/>
  <c r="J1195" i="1"/>
  <c r="U1195" i="1" l="1"/>
  <c r="V1195" i="1" s="1"/>
  <c r="J1196" i="1"/>
  <c r="U1196" i="1" l="1"/>
  <c r="V1196" i="1" s="1"/>
  <c r="J1197" i="1"/>
  <c r="U1197" i="1" l="1"/>
  <c r="V1197" i="1" s="1"/>
  <c r="J1198" i="1"/>
  <c r="U1198" i="1" l="1"/>
  <c r="V1198" i="1" s="1"/>
  <c r="J1199" i="1"/>
  <c r="U1199" i="1" l="1"/>
  <c r="V1199" i="1" s="1"/>
  <c r="J1200" i="1"/>
  <c r="U1200" i="1" l="1"/>
  <c r="V1200" i="1" s="1"/>
  <c r="J1201" i="1"/>
  <c r="U1201" i="1" l="1"/>
  <c r="V1201" i="1" s="1"/>
  <c r="J1202" i="1"/>
  <c r="U1202" i="1" l="1"/>
  <c r="V1202" i="1" s="1"/>
  <c r="J1203" i="1"/>
  <c r="U1203" i="1" l="1"/>
  <c r="V1203" i="1" s="1"/>
  <c r="J1204" i="1"/>
  <c r="U1204" i="1" l="1"/>
  <c r="V1204" i="1" s="1"/>
  <c r="J1205" i="1"/>
  <c r="U1205" i="1" l="1"/>
  <c r="V1205" i="1" s="1"/>
  <c r="J1206" i="1"/>
  <c r="U1206" i="1" l="1"/>
  <c r="V1206" i="1" s="1"/>
  <c r="J1207" i="1"/>
  <c r="U1207" i="1" l="1"/>
  <c r="V1207" i="1" s="1"/>
  <c r="J1208" i="1"/>
  <c r="U1208" i="1" l="1"/>
  <c r="V1208" i="1" s="1"/>
  <c r="J1209" i="1"/>
  <c r="U1209" i="1" l="1"/>
  <c r="V1209" i="1" s="1"/>
  <c r="J1210" i="1"/>
  <c r="U1210" i="1" l="1"/>
  <c r="V1210" i="1" s="1"/>
  <c r="J1211" i="1"/>
  <c r="U1211" i="1" l="1"/>
  <c r="V1211" i="1" s="1"/>
  <c r="J1212" i="1"/>
  <c r="U1212" i="1" l="1"/>
  <c r="V1212" i="1" s="1"/>
  <c r="J1213" i="1"/>
  <c r="U1213" i="1" l="1"/>
  <c r="V1213" i="1" s="1"/>
  <c r="J1214" i="1"/>
  <c r="U1214" i="1" l="1"/>
  <c r="V1214" i="1" s="1"/>
  <c r="J1215" i="1"/>
  <c r="U1215" i="1" l="1"/>
  <c r="V1215" i="1" s="1"/>
  <c r="J1216" i="1"/>
  <c r="U1216" i="1" l="1"/>
  <c r="V1216" i="1" s="1"/>
  <c r="J1217" i="1"/>
  <c r="U1217" i="1" l="1"/>
  <c r="V1217" i="1" s="1"/>
  <c r="J1218" i="1"/>
  <c r="U1218" i="1" l="1"/>
  <c r="V1218" i="1" s="1"/>
  <c r="J1219" i="1"/>
  <c r="U1219" i="1" l="1"/>
  <c r="V1219" i="1" s="1"/>
  <c r="J1220" i="1"/>
  <c r="U1220" i="1" l="1"/>
  <c r="V1220" i="1" s="1"/>
  <c r="J1221" i="1"/>
  <c r="U1221" i="1" l="1"/>
  <c r="V1221" i="1" s="1"/>
  <c r="J1222" i="1"/>
  <c r="U1222" i="1" l="1"/>
  <c r="V1222" i="1" s="1"/>
  <c r="J1223" i="1"/>
  <c r="U1223" i="1" l="1"/>
  <c r="V1223" i="1" s="1"/>
  <c r="J1224" i="1"/>
  <c r="U1224" i="1" l="1"/>
  <c r="V1224" i="1" s="1"/>
  <c r="J1225" i="1"/>
  <c r="U1225" i="1" l="1"/>
  <c r="V1225" i="1" s="1"/>
  <c r="J1226" i="1"/>
  <c r="U1226" i="1" l="1"/>
  <c r="V1226" i="1" s="1"/>
  <c r="J1227" i="1"/>
  <c r="U1227" i="1" l="1"/>
  <c r="V1227" i="1" s="1"/>
  <c r="J1228" i="1"/>
  <c r="U1228" i="1" l="1"/>
  <c r="V1228" i="1" s="1"/>
  <c r="J1229" i="1"/>
  <c r="U1229" i="1" l="1"/>
  <c r="V1229" i="1" s="1"/>
  <c r="J1230" i="1"/>
  <c r="U1230" i="1" l="1"/>
  <c r="V1230" i="1" s="1"/>
  <c r="J1231" i="1"/>
  <c r="U1231" i="1" l="1"/>
  <c r="V1231" i="1" s="1"/>
  <c r="J1232" i="1"/>
  <c r="U1232" i="1" l="1"/>
  <c r="V1232" i="1" s="1"/>
  <c r="J1233" i="1"/>
  <c r="U1233" i="1" l="1"/>
  <c r="V1233" i="1" s="1"/>
  <c r="J1234" i="1"/>
  <c r="U1234" i="1" l="1"/>
  <c r="V1234" i="1" s="1"/>
  <c r="J1235" i="1"/>
  <c r="U1235" i="1" l="1"/>
  <c r="V1235" i="1" s="1"/>
  <c r="J1236" i="1"/>
  <c r="U1236" i="1" l="1"/>
  <c r="V1236" i="1" s="1"/>
  <c r="J1237" i="1"/>
  <c r="U1237" i="1" l="1"/>
  <c r="V1237" i="1" s="1"/>
  <c r="J1238" i="1"/>
  <c r="U1238" i="1" l="1"/>
  <c r="V1238" i="1" s="1"/>
  <c r="J1239" i="1"/>
  <c r="U1239" i="1" l="1"/>
  <c r="V1239" i="1" s="1"/>
  <c r="J1240" i="1"/>
  <c r="U1240" i="1" l="1"/>
  <c r="V1240" i="1" s="1"/>
  <c r="J1241" i="1"/>
  <c r="U1241" i="1" l="1"/>
  <c r="V1241" i="1" s="1"/>
  <c r="J1242" i="1"/>
  <c r="U1242" i="1" l="1"/>
  <c r="V1242" i="1" s="1"/>
  <c r="J1243" i="1"/>
  <c r="U1243" i="1" l="1"/>
  <c r="V1243" i="1" s="1"/>
  <c r="J1244" i="1"/>
  <c r="U1244" i="1" l="1"/>
  <c r="V1244" i="1" s="1"/>
  <c r="J1245" i="1"/>
  <c r="U1245" i="1" l="1"/>
  <c r="V1245" i="1" s="1"/>
  <c r="J1246" i="1"/>
  <c r="U1246" i="1" l="1"/>
  <c r="V1246" i="1" s="1"/>
  <c r="J1247" i="1"/>
  <c r="U1247" i="1" l="1"/>
  <c r="V1247" i="1" s="1"/>
  <c r="J1248" i="1"/>
  <c r="U1248" i="1" l="1"/>
  <c r="V1248" i="1" s="1"/>
  <c r="J1249" i="1"/>
  <c r="U1249" i="1" l="1"/>
  <c r="V1249" i="1" s="1"/>
  <c r="J1250" i="1"/>
  <c r="U1250" i="1" l="1"/>
  <c r="V1250" i="1" s="1"/>
  <c r="J1251" i="1"/>
  <c r="U1251" i="1" l="1"/>
  <c r="V1251" i="1" s="1"/>
  <c r="J1252" i="1"/>
  <c r="U1252" i="1" l="1"/>
  <c r="V1252" i="1" s="1"/>
  <c r="J1253" i="1"/>
  <c r="U1253" i="1" l="1"/>
  <c r="V1253" i="1" s="1"/>
  <c r="J1254" i="1"/>
  <c r="U1254" i="1" l="1"/>
  <c r="V1254" i="1" s="1"/>
  <c r="J1255" i="1"/>
  <c r="U1255" i="1" l="1"/>
  <c r="V1255" i="1" s="1"/>
  <c r="J1256" i="1"/>
  <c r="U1256" i="1" l="1"/>
  <c r="V1256" i="1" s="1"/>
  <c r="J1257" i="1"/>
  <c r="U1257" i="1" l="1"/>
  <c r="V1257" i="1" s="1"/>
  <c r="J1258" i="1"/>
  <c r="U1258" i="1" l="1"/>
  <c r="V1258" i="1" s="1"/>
  <c r="J1259" i="1"/>
  <c r="U1259" i="1" l="1"/>
  <c r="V1259" i="1" s="1"/>
  <c r="J1260" i="1"/>
  <c r="U1260" i="1" l="1"/>
  <c r="V1260" i="1" s="1"/>
  <c r="J1261" i="1"/>
  <c r="U1261" i="1" l="1"/>
  <c r="V1261" i="1" s="1"/>
  <c r="J1262" i="1"/>
  <c r="U1262" i="1" l="1"/>
  <c r="V1262" i="1" s="1"/>
  <c r="J1263" i="1"/>
  <c r="U1263" i="1" l="1"/>
  <c r="V1263" i="1" s="1"/>
  <c r="J1264" i="1"/>
  <c r="U1264" i="1" l="1"/>
  <c r="V1264" i="1" s="1"/>
  <c r="J1265" i="1"/>
  <c r="U1265" i="1" l="1"/>
  <c r="V1265" i="1" s="1"/>
  <c r="J1266" i="1"/>
  <c r="U1266" i="1" l="1"/>
  <c r="V1266" i="1" s="1"/>
  <c r="J1267" i="1"/>
  <c r="U1267" i="1" l="1"/>
  <c r="V1267" i="1" s="1"/>
  <c r="J1268" i="1"/>
  <c r="U1268" i="1" l="1"/>
  <c r="V1268" i="1" s="1"/>
  <c r="J1269" i="1"/>
  <c r="U1269" i="1" l="1"/>
  <c r="V1269" i="1" s="1"/>
  <c r="J1270" i="1"/>
  <c r="U1270" i="1" l="1"/>
  <c r="V1270" i="1" s="1"/>
  <c r="J1271" i="1"/>
  <c r="U1271" i="1" l="1"/>
  <c r="V1271" i="1" s="1"/>
  <c r="J1272" i="1"/>
  <c r="U1272" i="1" l="1"/>
  <c r="V1272" i="1" s="1"/>
  <c r="J1273" i="1"/>
  <c r="U1273" i="1" l="1"/>
  <c r="V1273" i="1" s="1"/>
  <c r="J1274" i="1"/>
  <c r="U1274" i="1" l="1"/>
  <c r="V1274" i="1" s="1"/>
  <c r="J1275" i="1"/>
  <c r="U1275" i="1" l="1"/>
  <c r="V1275" i="1" s="1"/>
  <c r="J1276" i="1"/>
  <c r="U1276" i="1" l="1"/>
  <c r="V1276" i="1" s="1"/>
  <c r="J1277" i="1"/>
  <c r="U1277" i="1" l="1"/>
  <c r="V1277" i="1" s="1"/>
  <c r="J1278" i="1"/>
  <c r="U1278" i="1" l="1"/>
  <c r="V1278" i="1" s="1"/>
  <c r="J1279" i="1"/>
  <c r="U1279" i="1" l="1"/>
  <c r="V1279" i="1" s="1"/>
  <c r="J1280" i="1"/>
  <c r="U1280" i="1" l="1"/>
  <c r="V1280" i="1" s="1"/>
  <c r="J1281" i="1"/>
  <c r="U1281" i="1" l="1"/>
  <c r="V1281" i="1" s="1"/>
  <c r="J1282" i="1"/>
  <c r="U1282" i="1" l="1"/>
  <c r="V1282" i="1" s="1"/>
  <c r="J1283" i="1"/>
  <c r="U1283" i="1" l="1"/>
  <c r="V1283" i="1" s="1"/>
  <c r="J1284" i="1"/>
  <c r="U1284" i="1" l="1"/>
  <c r="V1284" i="1" s="1"/>
  <c r="J1285" i="1"/>
  <c r="U1285" i="1" l="1"/>
  <c r="V1285" i="1" s="1"/>
  <c r="J1286" i="1"/>
  <c r="U1286" i="1" l="1"/>
  <c r="V1286" i="1" s="1"/>
  <c r="J1287" i="1"/>
  <c r="U1287" i="1" l="1"/>
  <c r="V1287" i="1" s="1"/>
  <c r="J1288" i="1"/>
  <c r="U1288" i="1" l="1"/>
  <c r="V1288" i="1" s="1"/>
  <c r="J1289" i="1"/>
  <c r="U1289" i="1" l="1"/>
  <c r="V1289" i="1" s="1"/>
  <c r="J1290" i="1"/>
  <c r="U1290" i="1" l="1"/>
  <c r="V1290" i="1" s="1"/>
  <c r="J1291" i="1"/>
  <c r="U1291" i="1" l="1"/>
  <c r="V1291" i="1" s="1"/>
  <c r="J1292" i="1"/>
  <c r="U1292" i="1" l="1"/>
  <c r="V1292" i="1" s="1"/>
  <c r="J1293" i="1"/>
  <c r="U1293" i="1" l="1"/>
  <c r="V1293" i="1" s="1"/>
  <c r="J1294" i="1"/>
  <c r="U1294" i="1" l="1"/>
  <c r="V1294" i="1" s="1"/>
  <c r="J1295" i="1"/>
  <c r="U1295" i="1" l="1"/>
  <c r="V1295" i="1" s="1"/>
  <c r="J1296" i="1"/>
  <c r="U1296" i="1" l="1"/>
  <c r="V1296" i="1" s="1"/>
  <c r="J1297" i="1"/>
  <c r="U1297" i="1" l="1"/>
  <c r="V1297" i="1" s="1"/>
  <c r="J1298" i="1"/>
  <c r="U1298" i="1" l="1"/>
  <c r="V1298" i="1" s="1"/>
  <c r="J1299" i="1"/>
  <c r="U1299" i="1" l="1"/>
  <c r="V1299" i="1" s="1"/>
  <c r="J1300" i="1"/>
  <c r="U1300" i="1" l="1"/>
  <c r="V1300" i="1" s="1"/>
  <c r="J1301" i="1"/>
  <c r="U1301" i="1" l="1"/>
  <c r="V1301" i="1" s="1"/>
  <c r="J1302" i="1"/>
  <c r="U1302" i="1" l="1"/>
  <c r="V1302" i="1" s="1"/>
  <c r="J1303" i="1"/>
  <c r="U1303" i="1" l="1"/>
  <c r="V1303" i="1" s="1"/>
  <c r="J1304" i="1"/>
  <c r="U1304" i="1" l="1"/>
  <c r="V1304" i="1" s="1"/>
  <c r="J1305" i="1"/>
  <c r="U1305" i="1" l="1"/>
  <c r="V1305" i="1" s="1"/>
  <c r="J1306" i="1"/>
  <c r="U1306" i="1" l="1"/>
  <c r="V1306" i="1" s="1"/>
  <c r="J1307" i="1"/>
  <c r="U1307" i="1" l="1"/>
  <c r="V1307" i="1" s="1"/>
  <c r="J1308" i="1"/>
  <c r="U1308" i="1" l="1"/>
  <c r="V1308" i="1" s="1"/>
  <c r="J1309" i="1"/>
  <c r="U1309" i="1" l="1"/>
  <c r="V1309" i="1" s="1"/>
  <c r="J1310" i="1"/>
  <c r="U1310" i="1" l="1"/>
  <c r="V1310" i="1" s="1"/>
  <c r="J1311" i="1"/>
  <c r="U1311" i="1" l="1"/>
  <c r="V1311" i="1" s="1"/>
  <c r="J1312" i="1"/>
  <c r="U1312" i="1" l="1"/>
  <c r="V1312" i="1" s="1"/>
  <c r="J1313" i="1"/>
  <c r="U1313" i="1" l="1"/>
  <c r="V1313" i="1" s="1"/>
  <c r="J1314" i="1"/>
  <c r="U1314" i="1" l="1"/>
  <c r="V1314" i="1" s="1"/>
  <c r="J1315" i="1"/>
  <c r="U1315" i="1" l="1"/>
  <c r="V1315" i="1" s="1"/>
  <c r="J1316" i="1"/>
  <c r="U1316" i="1" l="1"/>
  <c r="V1316" i="1" s="1"/>
  <c r="J1317" i="1"/>
  <c r="U1317" i="1" l="1"/>
  <c r="V1317" i="1" s="1"/>
  <c r="J1318" i="1"/>
  <c r="U1318" i="1" l="1"/>
  <c r="V1318" i="1" s="1"/>
  <c r="J1319" i="1"/>
  <c r="U1319" i="1" l="1"/>
  <c r="V1319" i="1" s="1"/>
  <c r="J1320" i="1"/>
  <c r="U1320" i="1" l="1"/>
  <c r="V1320" i="1" s="1"/>
  <c r="J1321" i="1"/>
  <c r="U1321" i="1" l="1"/>
  <c r="V1321" i="1" s="1"/>
  <c r="J1322" i="1"/>
  <c r="U1322" i="1" l="1"/>
  <c r="V1322" i="1" s="1"/>
  <c r="J1323" i="1"/>
  <c r="U1323" i="1" l="1"/>
  <c r="V1323" i="1" s="1"/>
  <c r="J1324" i="1"/>
  <c r="U1324" i="1" l="1"/>
  <c r="V1324" i="1" s="1"/>
  <c r="J1325" i="1"/>
  <c r="U1325" i="1" l="1"/>
  <c r="V1325" i="1" s="1"/>
  <c r="J1326" i="1"/>
  <c r="U1326" i="1" l="1"/>
  <c r="V1326" i="1" s="1"/>
  <c r="J1327" i="1"/>
  <c r="U1327" i="1" l="1"/>
  <c r="V1327" i="1" s="1"/>
  <c r="J1328" i="1"/>
  <c r="U1328" i="1" l="1"/>
  <c r="V1328" i="1" s="1"/>
  <c r="J1329" i="1"/>
  <c r="U1329" i="1" l="1"/>
  <c r="V1329" i="1" s="1"/>
  <c r="J1330" i="1"/>
  <c r="U1330" i="1" l="1"/>
  <c r="V1330" i="1" s="1"/>
  <c r="J1331" i="1"/>
  <c r="U1331" i="1" l="1"/>
  <c r="V1331" i="1" s="1"/>
  <c r="J1332" i="1"/>
  <c r="U1332" i="1" l="1"/>
  <c r="V1332" i="1" s="1"/>
  <c r="J1333" i="1"/>
  <c r="U1333" i="1" l="1"/>
  <c r="V1333" i="1" s="1"/>
  <c r="J1334" i="1"/>
  <c r="U1334" i="1" l="1"/>
  <c r="V1334" i="1" s="1"/>
  <c r="J1335" i="1"/>
  <c r="U1335" i="1" l="1"/>
  <c r="V1335" i="1" s="1"/>
  <c r="J1336" i="1"/>
  <c r="U1336" i="1" l="1"/>
  <c r="V1336" i="1" s="1"/>
  <c r="J1337" i="1"/>
  <c r="U1337" i="1" l="1"/>
  <c r="V1337" i="1" s="1"/>
  <c r="J1338" i="1"/>
  <c r="U1338" i="1" l="1"/>
  <c r="V1338" i="1" s="1"/>
  <c r="J1339" i="1"/>
  <c r="U1339" i="1" l="1"/>
  <c r="V1339" i="1" s="1"/>
  <c r="J1340" i="1"/>
  <c r="U1340" i="1" l="1"/>
  <c r="V1340" i="1" s="1"/>
  <c r="J1341" i="1"/>
  <c r="U1341" i="1" l="1"/>
  <c r="V1341" i="1" s="1"/>
  <c r="J1342" i="1"/>
  <c r="U1342" i="1" l="1"/>
  <c r="V1342" i="1" s="1"/>
  <c r="J1343" i="1"/>
  <c r="U1343" i="1" l="1"/>
  <c r="V1343" i="1" s="1"/>
  <c r="J1344" i="1"/>
  <c r="U1344" i="1" l="1"/>
  <c r="V1344" i="1" s="1"/>
  <c r="J1345" i="1"/>
  <c r="U1345" i="1" l="1"/>
  <c r="V1345" i="1" s="1"/>
  <c r="J1346" i="1"/>
  <c r="U1346" i="1" l="1"/>
  <c r="V1346" i="1" s="1"/>
  <c r="J1347" i="1"/>
  <c r="U1347" i="1" l="1"/>
  <c r="V1347" i="1" s="1"/>
  <c r="J1348" i="1"/>
  <c r="U1348" i="1" l="1"/>
  <c r="V1348" i="1" s="1"/>
  <c r="J1349" i="1"/>
  <c r="U1349" i="1" l="1"/>
  <c r="V1349" i="1" s="1"/>
  <c r="J1350" i="1"/>
  <c r="U1350" i="1" l="1"/>
  <c r="V1350" i="1" s="1"/>
  <c r="J1351" i="1"/>
  <c r="U1351" i="1" l="1"/>
  <c r="V1351" i="1" s="1"/>
  <c r="J1352" i="1"/>
  <c r="U1352" i="1" l="1"/>
  <c r="V1352" i="1" s="1"/>
  <c r="J1353" i="1"/>
  <c r="U1353" i="1" l="1"/>
  <c r="V1353" i="1" s="1"/>
  <c r="J1354" i="1"/>
  <c r="U1354" i="1" l="1"/>
  <c r="V1354" i="1" s="1"/>
  <c r="J1355" i="1"/>
  <c r="U1355" i="1" l="1"/>
  <c r="V1355" i="1" s="1"/>
  <c r="J1356" i="1"/>
  <c r="U1356" i="1" l="1"/>
  <c r="V1356" i="1" s="1"/>
  <c r="J1357" i="1"/>
  <c r="U1357" i="1" l="1"/>
  <c r="V1357" i="1" s="1"/>
  <c r="J1358" i="1"/>
  <c r="U1358" i="1" l="1"/>
  <c r="V1358" i="1" s="1"/>
  <c r="J1359" i="1"/>
  <c r="U1359" i="1" l="1"/>
  <c r="V1359" i="1" s="1"/>
  <c r="J1360" i="1"/>
  <c r="U1360" i="1" l="1"/>
  <c r="V1360" i="1" s="1"/>
  <c r="J1361" i="1"/>
  <c r="U1361" i="1" l="1"/>
  <c r="V1361" i="1" s="1"/>
  <c r="J1362" i="1"/>
  <c r="U1362" i="1" l="1"/>
  <c r="V1362" i="1" s="1"/>
  <c r="J1363" i="1"/>
  <c r="U1363" i="1" l="1"/>
  <c r="V1363" i="1" s="1"/>
  <c r="J1364" i="1"/>
  <c r="U1364" i="1" l="1"/>
  <c r="V1364" i="1" s="1"/>
  <c r="J1365" i="1"/>
  <c r="U1365" i="1" l="1"/>
  <c r="V1365" i="1" s="1"/>
  <c r="J1366" i="1"/>
  <c r="U1366" i="1" l="1"/>
  <c r="V1366" i="1" s="1"/>
  <c r="J1367" i="1"/>
  <c r="U1367" i="1" l="1"/>
  <c r="V1367" i="1" s="1"/>
  <c r="J1368" i="1"/>
  <c r="U1368" i="1" l="1"/>
  <c r="V1368" i="1" s="1"/>
  <c r="J1369" i="1"/>
  <c r="U1369" i="1" l="1"/>
  <c r="V1369" i="1" s="1"/>
  <c r="J1370" i="1"/>
  <c r="U1370" i="1" l="1"/>
  <c r="V1370" i="1" s="1"/>
  <c r="J1371" i="1"/>
  <c r="U1371" i="1" l="1"/>
  <c r="V1371" i="1" s="1"/>
  <c r="J1372" i="1"/>
  <c r="U1372" i="1" l="1"/>
  <c r="V1372" i="1" s="1"/>
  <c r="J1373" i="1"/>
  <c r="U1373" i="1" l="1"/>
  <c r="V1373" i="1" s="1"/>
  <c r="J1374" i="1"/>
  <c r="U1374" i="1" l="1"/>
  <c r="V1374" i="1" s="1"/>
  <c r="J1375" i="1"/>
  <c r="U1375" i="1" l="1"/>
  <c r="V1375" i="1" s="1"/>
  <c r="J1376" i="1"/>
  <c r="U1376" i="1" l="1"/>
  <c r="V1376" i="1" s="1"/>
  <c r="J1377" i="1"/>
  <c r="U1377" i="1" l="1"/>
  <c r="V1377" i="1" s="1"/>
  <c r="J1378" i="1"/>
  <c r="U1378" i="1" l="1"/>
  <c r="V1378" i="1" s="1"/>
  <c r="J1379" i="1"/>
  <c r="U1379" i="1" l="1"/>
  <c r="V1379" i="1" s="1"/>
  <c r="J1380" i="1"/>
  <c r="U1380" i="1" l="1"/>
  <c r="V1380" i="1" s="1"/>
  <c r="J1381" i="1"/>
  <c r="U1381" i="1" l="1"/>
  <c r="V1381" i="1" s="1"/>
  <c r="J1382" i="1"/>
  <c r="U1382" i="1" l="1"/>
  <c r="V1382" i="1" s="1"/>
  <c r="J1383" i="1"/>
  <c r="U1383" i="1" l="1"/>
  <c r="V1383" i="1" s="1"/>
  <c r="J1384" i="1"/>
  <c r="U1384" i="1" l="1"/>
  <c r="V1384" i="1" s="1"/>
  <c r="J1385" i="1"/>
  <c r="U1385" i="1" l="1"/>
  <c r="V1385" i="1" s="1"/>
  <c r="J1386" i="1"/>
  <c r="U1386" i="1" l="1"/>
  <c r="V1386" i="1" s="1"/>
  <c r="J1387" i="1"/>
  <c r="U1387" i="1" l="1"/>
  <c r="V1387" i="1" s="1"/>
  <c r="J1388" i="1"/>
  <c r="U1388" i="1" l="1"/>
  <c r="V1388" i="1" s="1"/>
  <c r="J1389" i="1"/>
  <c r="U1389" i="1" l="1"/>
  <c r="V1389" i="1" s="1"/>
  <c r="J1390" i="1"/>
  <c r="U1390" i="1" l="1"/>
  <c r="V1390" i="1" s="1"/>
  <c r="J1391" i="1"/>
  <c r="U1391" i="1" l="1"/>
  <c r="V1391" i="1" s="1"/>
  <c r="J1392" i="1"/>
  <c r="U1392" i="1" l="1"/>
  <c r="V1392" i="1" s="1"/>
  <c r="J1393" i="1"/>
  <c r="U1393" i="1" l="1"/>
  <c r="V1393" i="1" s="1"/>
  <c r="J1394" i="1"/>
  <c r="U1394" i="1" l="1"/>
  <c r="V1394" i="1" s="1"/>
  <c r="J1395" i="1"/>
  <c r="U1395" i="1" l="1"/>
  <c r="V1395" i="1" s="1"/>
  <c r="J1396" i="1"/>
  <c r="U1396" i="1" l="1"/>
  <c r="V1396" i="1" s="1"/>
  <c r="J1397" i="1"/>
  <c r="U1397" i="1" l="1"/>
  <c r="V1397" i="1" s="1"/>
  <c r="J1398" i="1"/>
  <c r="U1398" i="1" l="1"/>
  <c r="V1398" i="1" s="1"/>
  <c r="J1399" i="1"/>
  <c r="U1399" i="1" l="1"/>
  <c r="V1399" i="1" s="1"/>
  <c r="J1400" i="1"/>
  <c r="U1400" i="1" l="1"/>
  <c r="V1400" i="1" s="1"/>
  <c r="J1401" i="1"/>
  <c r="U1401" i="1" l="1"/>
  <c r="V1401" i="1" s="1"/>
  <c r="J1402" i="1"/>
  <c r="U1402" i="1" l="1"/>
  <c r="V1402" i="1" s="1"/>
  <c r="J1403" i="1"/>
  <c r="U1403" i="1" l="1"/>
  <c r="V1403" i="1" s="1"/>
  <c r="J1404" i="1"/>
  <c r="U1404" i="1" l="1"/>
  <c r="V1404" i="1" s="1"/>
  <c r="J1405" i="1"/>
  <c r="U1405" i="1" l="1"/>
  <c r="V1405" i="1" s="1"/>
  <c r="J1406" i="1"/>
  <c r="U1406" i="1" l="1"/>
  <c r="V1406" i="1" s="1"/>
  <c r="J1407" i="1"/>
  <c r="U1407" i="1" l="1"/>
  <c r="V1407" i="1" s="1"/>
  <c r="J1408" i="1"/>
  <c r="U1408" i="1" l="1"/>
  <c r="V1408" i="1" s="1"/>
  <c r="J1409" i="1"/>
  <c r="U1409" i="1" l="1"/>
  <c r="V1409" i="1" s="1"/>
  <c r="J1410" i="1"/>
  <c r="U1410" i="1" l="1"/>
  <c r="V1410" i="1" s="1"/>
  <c r="J1411" i="1"/>
  <c r="U1411" i="1" l="1"/>
  <c r="V1411" i="1" s="1"/>
  <c r="J1412" i="1"/>
  <c r="U1412" i="1" l="1"/>
  <c r="V1412" i="1" s="1"/>
  <c r="J1413" i="1"/>
  <c r="U1413" i="1" l="1"/>
  <c r="V1413" i="1" s="1"/>
  <c r="J1414" i="1"/>
  <c r="U1414" i="1" l="1"/>
  <c r="V1414" i="1" s="1"/>
  <c r="J1415" i="1"/>
  <c r="U1415" i="1" l="1"/>
  <c r="V1415" i="1" s="1"/>
  <c r="J1416" i="1"/>
  <c r="U1416" i="1" l="1"/>
  <c r="V1416" i="1" s="1"/>
  <c r="J1417" i="1"/>
  <c r="U1417" i="1" l="1"/>
  <c r="V1417" i="1" s="1"/>
  <c r="J1418" i="1"/>
  <c r="U1418" i="1" l="1"/>
  <c r="V1418" i="1" s="1"/>
  <c r="J1419" i="1"/>
  <c r="U1419" i="1" l="1"/>
  <c r="V1419" i="1" s="1"/>
  <c r="J1420" i="1"/>
  <c r="U1420" i="1" l="1"/>
  <c r="V1420" i="1" s="1"/>
  <c r="J1421" i="1"/>
  <c r="U1421" i="1" l="1"/>
  <c r="V1421" i="1" s="1"/>
  <c r="J1422" i="1"/>
  <c r="U1422" i="1" l="1"/>
  <c r="V1422" i="1" s="1"/>
  <c r="J1423" i="1"/>
  <c r="U1423" i="1" l="1"/>
  <c r="V1423" i="1" s="1"/>
  <c r="J1424" i="1"/>
  <c r="U1424" i="1" l="1"/>
  <c r="V1424" i="1" s="1"/>
  <c r="J1425" i="1"/>
  <c r="U1425" i="1" l="1"/>
  <c r="V1425" i="1" s="1"/>
  <c r="J1426" i="1"/>
  <c r="U1426" i="1" l="1"/>
  <c r="V1426" i="1" s="1"/>
  <c r="J1427" i="1"/>
  <c r="U1427" i="1" l="1"/>
  <c r="V1427" i="1" s="1"/>
  <c r="J1428" i="1"/>
  <c r="U1428" i="1" l="1"/>
  <c r="V1428" i="1" s="1"/>
  <c r="J1429" i="1"/>
  <c r="U1429" i="1" l="1"/>
  <c r="V1429" i="1" s="1"/>
  <c r="J1430" i="1"/>
  <c r="U1430" i="1" l="1"/>
  <c r="V1430" i="1" s="1"/>
  <c r="J1431" i="1"/>
  <c r="U1431" i="1" l="1"/>
  <c r="V1431" i="1" s="1"/>
  <c r="J1432" i="1"/>
  <c r="U1432" i="1" l="1"/>
  <c r="V1432" i="1" s="1"/>
  <c r="J1433" i="1"/>
  <c r="U1433" i="1" l="1"/>
  <c r="V1433" i="1" s="1"/>
  <c r="J1434" i="1"/>
  <c r="U1434" i="1" l="1"/>
  <c r="V1434" i="1" s="1"/>
  <c r="J1435" i="1"/>
  <c r="U1435" i="1" l="1"/>
  <c r="V1435" i="1" s="1"/>
  <c r="J1436" i="1"/>
  <c r="U1436" i="1" l="1"/>
  <c r="V1436" i="1" s="1"/>
  <c r="J1437" i="1"/>
  <c r="U1437" i="1" l="1"/>
  <c r="V1437" i="1" s="1"/>
  <c r="J1438" i="1"/>
  <c r="U1438" i="1" l="1"/>
  <c r="V1438" i="1" s="1"/>
  <c r="J1439" i="1"/>
  <c r="U1439" i="1" l="1"/>
  <c r="V1439" i="1" s="1"/>
  <c r="J1440" i="1"/>
  <c r="U1440" i="1" l="1"/>
  <c r="V1440" i="1" s="1"/>
  <c r="J1441" i="1"/>
  <c r="U1441" i="1" l="1"/>
  <c r="V1441" i="1" s="1"/>
  <c r="J1442" i="1"/>
  <c r="U1442" i="1" l="1"/>
  <c r="V1442" i="1" s="1"/>
  <c r="J1443" i="1"/>
  <c r="U1443" i="1" l="1"/>
  <c r="V1443" i="1" s="1"/>
  <c r="J1444" i="1"/>
  <c r="U1444" i="1" l="1"/>
  <c r="V1444" i="1" s="1"/>
  <c r="J1445" i="1"/>
  <c r="U1445" i="1" l="1"/>
  <c r="V1445" i="1" s="1"/>
  <c r="J1446" i="1"/>
  <c r="U1446" i="1" l="1"/>
  <c r="V1446" i="1" s="1"/>
  <c r="J1447" i="1"/>
  <c r="U1447" i="1" l="1"/>
  <c r="V1447" i="1" s="1"/>
  <c r="J1448" i="1"/>
  <c r="U1448" i="1" l="1"/>
  <c r="V1448" i="1" s="1"/>
  <c r="J1449" i="1"/>
  <c r="U1449" i="1" l="1"/>
  <c r="V1449" i="1" s="1"/>
  <c r="J1450" i="1"/>
  <c r="U1450" i="1" l="1"/>
  <c r="V1450" i="1" s="1"/>
  <c r="J1451" i="1"/>
  <c r="U1451" i="1" l="1"/>
  <c r="V1451" i="1" s="1"/>
  <c r="J1452" i="1"/>
  <c r="U1452" i="1" l="1"/>
  <c r="V1452" i="1" s="1"/>
  <c r="J1453" i="1"/>
  <c r="U1453" i="1" l="1"/>
  <c r="V1453" i="1" s="1"/>
  <c r="J1454" i="1"/>
  <c r="U1454" i="1" l="1"/>
  <c r="V1454" i="1" s="1"/>
  <c r="J1455" i="1"/>
  <c r="U1455" i="1" l="1"/>
  <c r="V1455" i="1" s="1"/>
  <c r="J1456" i="1"/>
  <c r="U1456" i="1" l="1"/>
  <c r="V1456" i="1" s="1"/>
  <c r="J1457" i="1"/>
  <c r="U1457" i="1" l="1"/>
  <c r="V1457" i="1" s="1"/>
  <c r="J1458" i="1"/>
  <c r="U1458" i="1" l="1"/>
  <c r="V1458" i="1" s="1"/>
  <c r="J1459" i="1"/>
  <c r="U1459" i="1" l="1"/>
  <c r="V1459" i="1" s="1"/>
  <c r="J1460" i="1"/>
  <c r="U1460" i="1" l="1"/>
  <c r="V1460" i="1" s="1"/>
  <c r="J1461" i="1"/>
  <c r="U1461" i="1" l="1"/>
  <c r="V1461" i="1" s="1"/>
  <c r="J1462" i="1"/>
  <c r="U1462" i="1" l="1"/>
  <c r="V1462" i="1" s="1"/>
  <c r="J1463" i="1"/>
  <c r="U1463" i="1" l="1"/>
  <c r="V1463" i="1" s="1"/>
  <c r="J1464" i="1"/>
  <c r="U1464" i="1" l="1"/>
  <c r="V1464" i="1" s="1"/>
  <c r="J1465" i="1"/>
  <c r="U1465" i="1" l="1"/>
  <c r="V1465" i="1" s="1"/>
  <c r="J1466" i="1"/>
  <c r="U1466" i="1" l="1"/>
  <c r="V1466" i="1" s="1"/>
  <c r="J1467" i="1"/>
  <c r="U1467" i="1" l="1"/>
  <c r="V1467" i="1" s="1"/>
  <c r="J1468" i="1"/>
  <c r="U1468" i="1" l="1"/>
  <c r="V1468" i="1" s="1"/>
  <c r="J1469" i="1"/>
  <c r="U1469" i="1" l="1"/>
  <c r="V1469" i="1" s="1"/>
  <c r="J1470" i="1"/>
  <c r="U1470" i="1" l="1"/>
  <c r="V1470" i="1" s="1"/>
  <c r="J1471" i="1"/>
  <c r="U1471" i="1" l="1"/>
  <c r="V1471" i="1" s="1"/>
  <c r="J1472" i="1"/>
  <c r="U1472" i="1" l="1"/>
  <c r="V1472" i="1" s="1"/>
  <c r="J1473" i="1"/>
  <c r="U1473" i="1" l="1"/>
  <c r="V1473" i="1" s="1"/>
  <c r="J1474" i="1"/>
  <c r="U1474" i="1" l="1"/>
  <c r="V1474" i="1" s="1"/>
  <c r="J1475" i="1"/>
  <c r="U1475" i="1" l="1"/>
  <c r="V1475" i="1" s="1"/>
  <c r="J1476" i="1"/>
  <c r="U1476" i="1" l="1"/>
  <c r="V1476" i="1" s="1"/>
  <c r="J1477" i="1"/>
  <c r="U1477" i="1" l="1"/>
  <c r="V1477" i="1" s="1"/>
  <c r="J1478" i="1"/>
  <c r="U1478" i="1" l="1"/>
  <c r="V1478" i="1" s="1"/>
  <c r="J1479" i="1"/>
  <c r="U1479" i="1" l="1"/>
  <c r="V1479" i="1" s="1"/>
  <c r="J1480" i="1"/>
  <c r="U1480" i="1" l="1"/>
  <c r="V1480" i="1" s="1"/>
  <c r="J1481" i="1"/>
  <c r="U1481" i="1" l="1"/>
  <c r="V1481" i="1" s="1"/>
  <c r="J1482" i="1"/>
  <c r="U1482" i="1" l="1"/>
  <c r="V1482" i="1" s="1"/>
  <c r="J1483" i="1"/>
  <c r="U1483" i="1" l="1"/>
  <c r="V1483" i="1" s="1"/>
  <c r="J1484" i="1"/>
  <c r="U1484" i="1" l="1"/>
  <c r="V1484" i="1" s="1"/>
  <c r="J1485" i="1"/>
  <c r="U1485" i="1" l="1"/>
  <c r="V1485" i="1" s="1"/>
  <c r="J1486" i="1"/>
  <c r="U1486" i="1" l="1"/>
  <c r="V1486" i="1" s="1"/>
  <c r="J1487" i="1"/>
  <c r="U1487" i="1" l="1"/>
  <c r="V1487" i="1" s="1"/>
  <c r="J1488" i="1"/>
  <c r="U1488" i="1" l="1"/>
  <c r="V1488" i="1" s="1"/>
  <c r="J1489" i="1"/>
  <c r="U1489" i="1" l="1"/>
  <c r="V1489" i="1" s="1"/>
  <c r="J1490" i="1"/>
  <c r="U1490" i="1" l="1"/>
  <c r="V1490" i="1" s="1"/>
  <c r="J1491" i="1"/>
  <c r="U1491" i="1" l="1"/>
  <c r="V1491" i="1" s="1"/>
  <c r="J1492" i="1"/>
  <c r="U1492" i="1" l="1"/>
  <c r="V1492" i="1" s="1"/>
  <c r="J1493" i="1"/>
  <c r="U1493" i="1" l="1"/>
  <c r="V1493" i="1" s="1"/>
  <c r="J1494" i="1"/>
  <c r="U1494" i="1" l="1"/>
  <c r="V1494" i="1" s="1"/>
  <c r="J1495" i="1"/>
  <c r="U1495" i="1" l="1"/>
  <c r="V1495" i="1" s="1"/>
  <c r="J1496" i="1"/>
  <c r="U1496" i="1" l="1"/>
  <c r="V1496" i="1" s="1"/>
  <c r="J1497" i="1"/>
  <c r="U1497" i="1" l="1"/>
  <c r="V1497" i="1" s="1"/>
  <c r="J1498" i="1"/>
  <c r="U1498" i="1" l="1"/>
  <c r="V1498" i="1" s="1"/>
  <c r="J1499" i="1"/>
  <c r="U1499" i="1" l="1"/>
  <c r="V1499" i="1" s="1"/>
  <c r="J1500" i="1"/>
  <c r="U1500" i="1" l="1"/>
  <c r="V1500" i="1" s="1"/>
  <c r="J1501" i="1"/>
  <c r="U1501" i="1" l="1"/>
  <c r="V1501" i="1" s="1"/>
  <c r="J1502" i="1"/>
  <c r="U1502" i="1" l="1"/>
  <c r="V1502" i="1" s="1"/>
  <c r="J1503" i="1"/>
  <c r="U1503" i="1" l="1"/>
  <c r="V1503" i="1" s="1"/>
  <c r="J1504" i="1"/>
  <c r="U1504" i="1" l="1"/>
  <c r="V1504" i="1" s="1"/>
  <c r="J1505" i="1"/>
  <c r="U1505" i="1" l="1"/>
  <c r="V1505" i="1" s="1"/>
  <c r="J1506" i="1"/>
  <c r="U1506" i="1" l="1"/>
  <c r="V1506" i="1" s="1"/>
  <c r="J1507" i="1"/>
  <c r="U1507" i="1" l="1"/>
  <c r="V1507" i="1" s="1"/>
  <c r="J1508" i="1"/>
  <c r="U1508" i="1" l="1"/>
  <c r="V1508" i="1" s="1"/>
  <c r="J1509" i="1"/>
  <c r="U1509" i="1" l="1"/>
  <c r="V1509" i="1" s="1"/>
  <c r="J1510" i="1"/>
  <c r="U1510" i="1" l="1"/>
  <c r="V1510" i="1" s="1"/>
  <c r="J1511" i="1"/>
  <c r="U1511" i="1" l="1"/>
  <c r="V1511" i="1" s="1"/>
  <c r="J1512" i="1"/>
  <c r="U1512" i="1" l="1"/>
  <c r="V1512" i="1" s="1"/>
  <c r="J1513" i="1"/>
  <c r="U1513" i="1" l="1"/>
  <c r="V1513" i="1" s="1"/>
  <c r="J1514" i="1"/>
  <c r="U1514" i="1" l="1"/>
  <c r="V1514" i="1" s="1"/>
  <c r="J1515" i="1"/>
  <c r="U1515" i="1" l="1"/>
  <c r="V1515" i="1" s="1"/>
  <c r="J1516" i="1"/>
  <c r="U1516" i="1" l="1"/>
  <c r="V1516" i="1" s="1"/>
  <c r="J1517" i="1"/>
  <c r="U1517" i="1" l="1"/>
  <c r="V1517" i="1" s="1"/>
  <c r="J1518" i="1"/>
  <c r="U1518" i="1" l="1"/>
  <c r="V1518" i="1" s="1"/>
  <c r="J1519" i="1"/>
  <c r="U1519" i="1" l="1"/>
  <c r="V1519" i="1" s="1"/>
  <c r="J1520" i="1"/>
  <c r="U1520" i="1" l="1"/>
  <c r="V1520" i="1" s="1"/>
  <c r="J1521" i="1"/>
  <c r="U1521" i="1" l="1"/>
  <c r="V1521" i="1" s="1"/>
  <c r="J1522" i="1"/>
  <c r="U1522" i="1" l="1"/>
  <c r="V1522" i="1" s="1"/>
  <c r="J1523" i="1"/>
  <c r="U1523" i="1" l="1"/>
  <c r="V1523" i="1" s="1"/>
  <c r="J1524" i="1"/>
  <c r="U1524" i="1" l="1"/>
  <c r="V1524" i="1" s="1"/>
  <c r="J1525" i="1"/>
  <c r="U1525" i="1" l="1"/>
  <c r="V1525" i="1" s="1"/>
  <c r="J1526" i="1"/>
  <c r="U1526" i="1" l="1"/>
  <c r="V1526" i="1" s="1"/>
  <c r="J1527" i="1"/>
  <c r="U1527" i="1" l="1"/>
  <c r="V1527" i="1" s="1"/>
  <c r="J1528" i="1"/>
  <c r="U1528" i="1" l="1"/>
  <c r="V1528" i="1" s="1"/>
  <c r="J1529" i="1"/>
  <c r="U1529" i="1" l="1"/>
  <c r="V1529" i="1" s="1"/>
  <c r="J1530" i="1"/>
  <c r="U1530" i="1" l="1"/>
  <c r="V1530" i="1" s="1"/>
  <c r="J1531" i="1"/>
  <c r="U1531" i="1" l="1"/>
  <c r="V1531" i="1" s="1"/>
  <c r="J1532" i="1"/>
  <c r="U1532" i="1" l="1"/>
  <c r="V1532" i="1" s="1"/>
  <c r="J1533" i="1"/>
  <c r="U1533" i="1" l="1"/>
  <c r="V1533" i="1" s="1"/>
  <c r="J1534" i="1"/>
  <c r="U1534" i="1" l="1"/>
  <c r="V1534" i="1" s="1"/>
  <c r="J1535" i="1"/>
  <c r="U1535" i="1" l="1"/>
  <c r="V1535" i="1" s="1"/>
  <c r="J1536" i="1"/>
  <c r="U1536" i="1" l="1"/>
  <c r="V1536" i="1" s="1"/>
  <c r="J1537" i="1"/>
  <c r="U1537" i="1" l="1"/>
  <c r="V1537" i="1" s="1"/>
  <c r="J1538" i="1"/>
  <c r="U1538" i="1" l="1"/>
  <c r="V1538" i="1" s="1"/>
  <c r="J1539" i="1"/>
  <c r="U1539" i="1" l="1"/>
  <c r="V1539" i="1" s="1"/>
  <c r="J1540" i="1"/>
  <c r="U1540" i="1" l="1"/>
  <c r="V1540" i="1" s="1"/>
  <c r="J1541" i="1"/>
  <c r="U1541" i="1" l="1"/>
  <c r="V1541" i="1" s="1"/>
  <c r="J1542" i="1"/>
  <c r="U1542" i="1" l="1"/>
  <c r="V1542" i="1" s="1"/>
  <c r="J1543" i="1"/>
  <c r="U1543" i="1" l="1"/>
  <c r="V1543" i="1" s="1"/>
  <c r="J1544" i="1"/>
  <c r="U1544" i="1" l="1"/>
  <c r="V1544" i="1" s="1"/>
  <c r="J1545" i="1"/>
  <c r="U1545" i="1" l="1"/>
  <c r="V1545" i="1" s="1"/>
  <c r="J1546" i="1"/>
  <c r="U1546" i="1" l="1"/>
  <c r="V1546" i="1" s="1"/>
  <c r="J1547" i="1"/>
  <c r="U1547" i="1" l="1"/>
  <c r="V1547" i="1" s="1"/>
  <c r="J1548" i="1"/>
  <c r="U1548" i="1" l="1"/>
  <c r="V1548" i="1" s="1"/>
  <c r="J1549" i="1"/>
  <c r="U1549" i="1" l="1"/>
  <c r="V1549" i="1" s="1"/>
  <c r="J1550" i="1"/>
  <c r="U1550" i="1" l="1"/>
  <c r="V1550" i="1" s="1"/>
  <c r="J1551" i="1"/>
  <c r="U1551" i="1" l="1"/>
  <c r="V1551" i="1" s="1"/>
  <c r="J1552" i="1"/>
  <c r="U1552" i="1" l="1"/>
  <c r="V1552" i="1" s="1"/>
  <c r="J1553" i="1"/>
  <c r="U1553" i="1" l="1"/>
  <c r="V1553" i="1" s="1"/>
  <c r="J1554" i="1"/>
  <c r="U1554" i="1" l="1"/>
  <c r="V1554" i="1" s="1"/>
  <c r="J1555" i="1"/>
  <c r="U1555" i="1" l="1"/>
  <c r="V1555" i="1" s="1"/>
  <c r="J1556" i="1"/>
  <c r="U1556" i="1" l="1"/>
  <c r="V1556" i="1" s="1"/>
  <c r="J1557" i="1"/>
  <c r="U1557" i="1" l="1"/>
  <c r="V1557" i="1" s="1"/>
  <c r="J1558" i="1"/>
  <c r="U1558" i="1" l="1"/>
  <c r="V1558" i="1" s="1"/>
  <c r="J1559" i="1"/>
  <c r="U1559" i="1" l="1"/>
  <c r="V1559" i="1" s="1"/>
  <c r="J1560" i="1"/>
  <c r="U1560" i="1" l="1"/>
  <c r="V1560" i="1" s="1"/>
  <c r="J1561" i="1"/>
  <c r="U1561" i="1" l="1"/>
  <c r="V1561" i="1" s="1"/>
  <c r="J1562" i="1"/>
  <c r="U1562" i="1" l="1"/>
  <c r="V1562" i="1" s="1"/>
  <c r="J1563" i="1"/>
  <c r="U1563" i="1" l="1"/>
  <c r="V1563" i="1" s="1"/>
  <c r="J1564" i="1"/>
  <c r="U1564" i="1" l="1"/>
  <c r="V1564" i="1" s="1"/>
  <c r="J1565" i="1"/>
  <c r="U1565" i="1" l="1"/>
  <c r="V1565" i="1" s="1"/>
  <c r="J1566" i="1"/>
  <c r="U1566" i="1" l="1"/>
  <c r="V1566" i="1" s="1"/>
  <c r="J1567" i="1"/>
  <c r="U1567" i="1" l="1"/>
  <c r="V1567" i="1" s="1"/>
  <c r="J1568" i="1"/>
  <c r="U1568" i="1" l="1"/>
  <c r="V1568" i="1" s="1"/>
  <c r="J1569" i="1"/>
  <c r="U1569" i="1" l="1"/>
  <c r="V1569" i="1" s="1"/>
  <c r="J1570" i="1"/>
  <c r="U1570" i="1" l="1"/>
  <c r="V1570" i="1" s="1"/>
  <c r="J1571" i="1"/>
  <c r="U1571" i="1" l="1"/>
  <c r="V1571" i="1" s="1"/>
  <c r="J1572" i="1"/>
  <c r="U1572" i="1" l="1"/>
  <c r="V1572" i="1" s="1"/>
  <c r="J1573" i="1"/>
  <c r="U1573" i="1" l="1"/>
  <c r="V1573" i="1" s="1"/>
  <c r="J1574" i="1"/>
  <c r="U1574" i="1" l="1"/>
  <c r="V1574" i="1" s="1"/>
  <c r="J1575" i="1"/>
  <c r="U1575" i="1" l="1"/>
  <c r="V1575" i="1" s="1"/>
  <c r="J1576" i="1"/>
  <c r="U1576" i="1" l="1"/>
  <c r="V1576" i="1" s="1"/>
  <c r="J1577" i="1"/>
  <c r="U1577" i="1" l="1"/>
  <c r="V1577" i="1" s="1"/>
  <c r="J1578" i="1"/>
  <c r="U1578" i="1" l="1"/>
  <c r="V1578" i="1" s="1"/>
  <c r="J1579" i="1"/>
  <c r="U1579" i="1" l="1"/>
  <c r="V1579" i="1" s="1"/>
  <c r="J1580" i="1"/>
  <c r="U1580" i="1" l="1"/>
  <c r="V1580" i="1" s="1"/>
  <c r="J1581" i="1"/>
  <c r="U1581" i="1" l="1"/>
  <c r="V1581" i="1" s="1"/>
  <c r="J1582" i="1"/>
  <c r="U1582" i="1" l="1"/>
  <c r="V1582" i="1" s="1"/>
  <c r="J1583" i="1"/>
  <c r="U1583" i="1" l="1"/>
  <c r="V1583" i="1" s="1"/>
  <c r="J1584" i="1"/>
  <c r="U1584" i="1" l="1"/>
  <c r="V1584" i="1" s="1"/>
  <c r="J1585" i="1"/>
  <c r="U1585" i="1" l="1"/>
  <c r="V1585" i="1" s="1"/>
  <c r="J1586" i="1"/>
  <c r="U1586" i="1" l="1"/>
  <c r="V1586" i="1" s="1"/>
  <c r="J1587" i="1"/>
  <c r="U1587" i="1" l="1"/>
  <c r="V1587" i="1" s="1"/>
  <c r="J1588" i="1"/>
  <c r="U1588" i="1" l="1"/>
  <c r="V1588" i="1" s="1"/>
  <c r="J1589" i="1"/>
  <c r="U1589" i="1" l="1"/>
  <c r="V1589" i="1" s="1"/>
  <c r="J1590" i="1"/>
  <c r="U1590" i="1" l="1"/>
  <c r="V1590" i="1" s="1"/>
  <c r="J1591" i="1"/>
  <c r="U1591" i="1" l="1"/>
  <c r="V1591" i="1" s="1"/>
  <c r="J1592" i="1"/>
  <c r="U1592" i="1" l="1"/>
  <c r="V1592" i="1" s="1"/>
  <c r="J1593" i="1"/>
  <c r="U1593" i="1" l="1"/>
  <c r="V1593" i="1" s="1"/>
  <c r="J1594" i="1"/>
  <c r="U1594" i="1" l="1"/>
  <c r="V1594" i="1" s="1"/>
  <c r="J1595" i="1"/>
  <c r="U1595" i="1" l="1"/>
  <c r="V1595" i="1" s="1"/>
  <c r="J1596" i="1"/>
  <c r="U1596" i="1" l="1"/>
  <c r="V1596" i="1" s="1"/>
  <c r="J1597" i="1"/>
  <c r="U1597" i="1" l="1"/>
  <c r="V1597" i="1" s="1"/>
  <c r="J1598" i="1"/>
  <c r="U1598" i="1" l="1"/>
  <c r="V1598" i="1" s="1"/>
  <c r="J1599" i="1"/>
  <c r="U1599" i="1" l="1"/>
  <c r="V1599" i="1" s="1"/>
  <c r="J1600" i="1"/>
  <c r="U1600" i="1" l="1"/>
  <c r="V1600" i="1" s="1"/>
  <c r="J1601" i="1"/>
  <c r="U1601" i="1" l="1"/>
  <c r="V1601" i="1" s="1"/>
  <c r="J1602" i="1"/>
  <c r="U1602" i="1" l="1"/>
  <c r="V1602" i="1" s="1"/>
  <c r="J1603" i="1"/>
  <c r="U1603" i="1" l="1"/>
  <c r="V1603" i="1" s="1"/>
  <c r="J1604" i="1"/>
  <c r="U1604" i="1" l="1"/>
  <c r="V1604" i="1" s="1"/>
  <c r="J1605" i="1"/>
  <c r="U1605" i="1" l="1"/>
  <c r="V1605" i="1" s="1"/>
  <c r="J1606" i="1"/>
  <c r="U1606" i="1" l="1"/>
  <c r="V1606" i="1" s="1"/>
  <c r="J1607" i="1"/>
  <c r="U1607" i="1" l="1"/>
  <c r="V1607" i="1" s="1"/>
  <c r="J1608" i="1"/>
  <c r="U1608" i="1" l="1"/>
  <c r="V1608" i="1" s="1"/>
  <c r="J1609" i="1"/>
  <c r="U1609" i="1" l="1"/>
  <c r="V1609" i="1" s="1"/>
  <c r="J1610" i="1"/>
  <c r="U1610" i="1" l="1"/>
  <c r="V1610" i="1" s="1"/>
  <c r="J1611" i="1"/>
  <c r="U1611" i="1" l="1"/>
  <c r="V1611" i="1" s="1"/>
  <c r="J1612" i="1"/>
  <c r="U1612" i="1" l="1"/>
  <c r="V1612" i="1" s="1"/>
  <c r="J1613" i="1"/>
  <c r="U1613" i="1" l="1"/>
  <c r="V1613" i="1" s="1"/>
  <c r="J1614" i="1"/>
  <c r="U1614" i="1" l="1"/>
  <c r="V1614" i="1" s="1"/>
  <c r="J1615" i="1"/>
  <c r="U1615" i="1" l="1"/>
  <c r="V1615" i="1" s="1"/>
  <c r="J1616" i="1"/>
  <c r="U1616" i="1" l="1"/>
  <c r="V1616" i="1" s="1"/>
  <c r="J1617" i="1"/>
  <c r="U1617" i="1" l="1"/>
  <c r="V1617" i="1" s="1"/>
  <c r="J1618" i="1"/>
  <c r="U1618" i="1" l="1"/>
  <c r="V1618" i="1" s="1"/>
  <c r="J1619" i="1"/>
  <c r="U1619" i="1" l="1"/>
  <c r="V1619" i="1" s="1"/>
  <c r="J1620" i="1"/>
  <c r="U1620" i="1" l="1"/>
  <c r="V1620" i="1" s="1"/>
  <c r="J1621" i="1"/>
  <c r="U1621" i="1" l="1"/>
  <c r="V1621" i="1" s="1"/>
  <c r="J1622" i="1"/>
  <c r="U1622" i="1" l="1"/>
  <c r="V1622" i="1" s="1"/>
  <c r="J1623" i="1"/>
  <c r="U1623" i="1" l="1"/>
  <c r="V1623" i="1" s="1"/>
  <c r="J1624" i="1"/>
  <c r="U1624" i="1" l="1"/>
  <c r="V1624" i="1" s="1"/>
  <c r="J1625" i="1"/>
  <c r="U1625" i="1" l="1"/>
  <c r="V1625" i="1" s="1"/>
  <c r="J1626" i="1"/>
  <c r="U1626" i="1" l="1"/>
  <c r="V1626" i="1" s="1"/>
  <c r="J1627" i="1"/>
  <c r="U1627" i="1" l="1"/>
  <c r="V1627" i="1" s="1"/>
  <c r="J1628" i="1"/>
  <c r="U1628" i="1" l="1"/>
  <c r="V1628" i="1" s="1"/>
  <c r="J1629" i="1"/>
  <c r="U1629" i="1" l="1"/>
  <c r="V1629" i="1" s="1"/>
  <c r="J1630" i="1"/>
  <c r="U1630" i="1" l="1"/>
  <c r="V1630" i="1" s="1"/>
  <c r="J1631" i="1"/>
  <c r="U1631" i="1" l="1"/>
  <c r="V1631" i="1" s="1"/>
  <c r="J1632" i="1"/>
  <c r="U1632" i="1" l="1"/>
  <c r="V1632" i="1" s="1"/>
  <c r="J1633" i="1"/>
  <c r="U1633" i="1" l="1"/>
  <c r="V1633" i="1" s="1"/>
  <c r="J1634" i="1"/>
  <c r="U1634" i="1" l="1"/>
  <c r="V1634" i="1" s="1"/>
  <c r="J1635" i="1"/>
  <c r="U1635" i="1" l="1"/>
  <c r="V1635" i="1" s="1"/>
  <c r="J1636" i="1"/>
  <c r="U1636" i="1" l="1"/>
  <c r="V1636" i="1" s="1"/>
  <c r="J1637" i="1"/>
  <c r="U1637" i="1" l="1"/>
  <c r="V1637" i="1" s="1"/>
  <c r="J1638" i="1"/>
  <c r="U1638" i="1" l="1"/>
  <c r="V1638" i="1" s="1"/>
  <c r="J1639" i="1"/>
  <c r="U1639" i="1" l="1"/>
  <c r="V1639" i="1" s="1"/>
  <c r="J1640" i="1"/>
  <c r="U1640" i="1" l="1"/>
  <c r="V1640" i="1" s="1"/>
  <c r="J1641" i="1"/>
  <c r="U1641" i="1" l="1"/>
  <c r="V1641" i="1" s="1"/>
  <c r="J1642" i="1"/>
  <c r="U1642" i="1" l="1"/>
  <c r="V1642" i="1" s="1"/>
  <c r="J1643" i="1"/>
  <c r="U1643" i="1" l="1"/>
  <c r="V1643" i="1" s="1"/>
  <c r="J1644" i="1"/>
  <c r="U1644" i="1" l="1"/>
  <c r="V1644" i="1" s="1"/>
  <c r="J1645" i="1"/>
  <c r="U1645" i="1" l="1"/>
  <c r="V1645" i="1" s="1"/>
  <c r="J1646" i="1"/>
  <c r="U1646" i="1" l="1"/>
  <c r="V1646" i="1" s="1"/>
  <c r="J1647" i="1"/>
  <c r="U1647" i="1" l="1"/>
  <c r="V1647" i="1" s="1"/>
  <c r="J1648" i="1"/>
  <c r="U1648" i="1" l="1"/>
  <c r="V1648" i="1" s="1"/>
  <c r="J1649" i="1"/>
  <c r="U1649" i="1" l="1"/>
  <c r="V1649" i="1" s="1"/>
  <c r="J1650" i="1"/>
  <c r="U1650" i="1" l="1"/>
  <c r="V1650" i="1" s="1"/>
  <c r="J1651" i="1"/>
  <c r="U1651" i="1" l="1"/>
  <c r="V1651" i="1" s="1"/>
  <c r="J1652" i="1"/>
  <c r="U1652" i="1" l="1"/>
  <c r="V1652" i="1" s="1"/>
  <c r="J1653" i="1"/>
  <c r="U1653" i="1" l="1"/>
  <c r="V1653" i="1" s="1"/>
  <c r="J1654" i="1"/>
  <c r="U1654" i="1" l="1"/>
  <c r="V1654" i="1" s="1"/>
  <c r="J1655" i="1"/>
  <c r="U1655" i="1" l="1"/>
  <c r="V1655" i="1" s="1"/>
  <c r="J1656" i="1"/>
  <c r="U1656" i="1" l="1"/>
  <c r="V1656" i="1" s="1"/>
  <c r="J1657" i="1"/>
  <c r="U1657" i="1" l="1"/>
  <c r="V1657" i="1" s="1"/>
  <c r="J1658" i="1"/>
  <c r="U1658" i="1" l="1"/>
  <c r="V1658" i="1" s="1"/>
  <c r="J1659" i="1"/>
  <c r="U1659" i="1" l="1"/>
  <c r="V1659" i="1" s="1"/>
  <c r="J1660" i="1"/>
  <c r="U1660" i="1" l="1"/>
  <c r="V1660" i="1" s="1"/>
  <c r="J1661" i="1"/>
  <c r="U1661" i="1" l="1"/>
  <c r="V1661" i="1" s="1"/>
  <c r="J1662" i="1"/>
  <c r="U1662" i="1" l="1"/>
  <c r="V1662" i="1" s="1"/>
  <c r="J1663" i="1"/>
  <c r="U1663" i="1" l="1"/>
  <c r="V1663" i="1" s="1"/>
  <c r="J1664" i="1"/>
  <c r="U1664" i="1" l="1"/>
  <c r="V1664" i="1" s="1"/>
  <c r="J1665" i="1"/>
  <c r="U1665" i="1" l="1"/>
  <c r="V1665" i="1" s="1"/>
  <c r="J1666" i="1"/>
  <c r="U1666" i="1" l="1"/>
  <c r="V1666" i="1" s="1"/>
  <c r="J1667" i="1"/>
  <c r="U1667" i="1" l="1"/>
  <c r="V1667" i="1" s="1"/>
  <c r="J1668" i="1"/>
  <c r="U1668" i="1" l="1"/>
  <c r="V1668" i="1" s="1"/>
  <c r="J1669" i="1"/>
  <c r="U1669" i="1" l="1"/>
  <c r="V1669" i="1" s="1"/>
  <c r="J1670" i="1"/>
  <c r="U1670" i="1" l="1"/>
  <c r="V1670" i="1" s="1"/>
  <c r="J1671" i="1"/>
  <c r="U1671" i="1" l="1"/>
  <c r="V1671" i="1" s="1"/>
  <c r="J1672" i="1"/>
  <c r="U1672" i="1" l="1"/>
  <c r="V1672" i="1" s="1"/>
  <c r="J1673" i="1"/>
  <c r="U1673" i="1" l="1"/>
  <c r="V1673" i="1" s="1"/>
  <c r="J1674" i="1"/>
  <c r="U1674" i="1" l="1"/>
  <c r="V1674" i="1" s="1"/>
  <c r="J1675" i="1"/>
  <c r="U1675" i="1" l="1"/>
  <c r="V1675" i="1" s="1"/>
  <c r="J1676" i="1"/>
  <c r="U1676" i="1" l="1"/>
  <c r="V1676" i="1" s="1"/>
  <c r="J1677" i="1"/>
  <c r="U1677" i="1" l="1"/>
  <c r="V1677" i="1" s="1"/>
  <c r="J1678" i="1"/>
  <c r="U1678" i="1" l="1"/>
  <c r="V1678" i="1" s="1"/>
  <c r="J1679" i="1"/>
  <c r="U1679" i="1" l="1"/>
  <c r="V1679" i="1" s="1"/>
  <c r="J1680" i="1"/>
  <c r="U1680" i="1" l="1"/>
  <c r="V1680" i="1" s="1"/>
  <c r="J1681" i="1"/>
  <c r="U1681" i="1" l="1"/>
  <c r="V1681" i="1" s="1"/>
  <c r="J1682" i="1"/>
  <c r="U1682" i="1" l="1"/>
  <c r="V1682" i="1" s="1"/>
  <c r="J1683" i="1"/>
  <c r="U1683" i="1" l="1"/>
  <c r="V1683" i="1" s="1"/>
  <c r="J1684" i="1"/>
  <c r="U1684" i="1" l="1"/>
  <c r="V1684" i="1" s="1"/>
  <c r="J1685" i="1"/>
  <c r="U1685" i="1" l="1"/>
  <c r="V1685" i="1" s="1"/>
  <c r="J1686" i="1"/>
  <c r="U1686" i="1" l="1"/>
  <c r="V1686" i="1" s="1"/>
  <c r="J1687" i="1"/>
  <c r="U1687" i="1" l="1"/>
  <c r="V1687" i="1" s="1"/>
  <c r="J1688" i="1"/>
  <c r="U1688" i="1" l="1"/>
  <c r="V1688" i="1" s="1"/>
  <c r="J1689" i="1"/>
  <c r="U1689" i="1" l="1"/>
  <c r="V1689" i="1" s="1"/>
  <c r="J1690" i="1"/>
  <c r="U1690" i="1" l="1"/>
  <c r="V1690" i="1" s="1"/>
  <c r="J1691" i="1"/>
  <c r="U1691" i="1" l="1"/>
  <c r="V1691" i="1" s="1"/>
  <c r="J1692" i="1"/>
  <c r="U1692" i="1" l="1"/>
  <c r="V1692" i="1" s="1"/>
  <c r="J1693" i="1"/>
  <c r="U1693" i="1" l="1"/>
  <c r="V1693" i="1" s="1"/>
  <c r="J1694" i="1"/>
  <c r="U1694" i="1" l="1"/>
  <c r="V1694" i="1" s="1"/>
  <c r="J1695" i="1"/>
  <c r="U1695" i="1" l="1"/>
  <c r="V1695" i="1" s="1"/>
  <c r="J1696" i="1"/>
  <c r="U1696" i="1" l="1"/>
  <c r="V1696" i="1" s="1"/>
  <c r="J1697" i="1"/>
  <c r="U1697" i="1" l="1"/>
  <c r="V1697" i="1" s="1"/>
  <c r="J1698" i="1"/>
  <c r="U1698" i="1" l="1"/>
  <c r="V1698" i="1" s="1"/>
  <c r="J1699" i="1"/>
  <c r="U1699" i="1" l="1"/>
  <c r="V1699" i="1" s="1"/>
  <c r="J1700" i="1"/>
  <c r="U1700" i="1" l="1"/>
  <c r="V1700" i="1" s="1"/>
  <c r="J1701" i="1"/>
  <c r="U1701" i="1" l="1"/>
  <c r="V1701" i="1" s="1"/>
  <c r="J1702" i="1"/>
  <c r="U1702" i="1" l="1"/>
  <c r="V1702" i="1" s="1"/>
  <c r="J1703" i="1"/>
  <c r="U1703" i="1" l="1"/>
  <c r="V1703" i="1" s="1"/>
  <c r="J1704" i="1"/>
  <c r="U1704" i="1" l="1"/>
  <c r="V1704" i="1" s="1"/>
  <c r="J1705" i="1"/>
  <c r="U1705" i="1" l="1"/>
  <c r="V1705" i="1" s="1"/>
  <c r="J1706" i="1"/>
  <c r="U1706" i="1" l="1"/>
  <c r="V1706" i="1" s="1"/>
  <c r="J1707" i="1"/>
  <c r="U1707" i="1" l="1"/>
  <c r="V1707" i="1" s="1"/>
  <c r="J1708" i="1"/>
  <c r="U1708" i="1" l="1"/>
  <c r="V1708" i="1" s="1"/>
  <c r="J1709" i="1"/>
  <c r="U1709" i="1" l="1"/>
  <c r="V1709" i="1" s="1"/>
  <c r="J1710" i="1"/>
  <c r="U1710" i="1" l="1"/>
  <c r="V1710" i="1" s="1"/>
  <c r="J1711" i="1"/>
  <c r="U1711" i="1" l="1"/>
  <c r="V1711" i="1" s="1"/>
  <c r="J1712" i="1"/>
  <c r="U1712" i="1" l="1"/>
  <c r="V1712" i="1" s="1"/>
  <c r="J1713" i="1"/>
  <c r="U1713" i="1" l="1"/>
  <c r="V1713" i="1" s="1"/>
  <c r="J1714" i="1"/>
  <c r="U1714" i="1" l="1"/>
  <c r="V1714" i="1" s="1"/>
  <c r="J1715" i="1"/>
  <c r="U1715" i="1" l="1"/>
  <c r="V1715" i="1" s="1"/>
  <c r="J1716" i="1"/>
  <c r="U1716" i="1" l="1"/>
  <c r="V1716" i="1" s="1"/>
  <c r="J1717" i="1"/>
  <c r="U1717" i="1" l="1"/>
  <c r="V1717" i="1" s="1"/>
  <c r="J1718" i="1"/>
  <c r="U1718" i="1" l="1"/>
  <c r="V1718" i="1" s="1"/>
  <c r="J1719" i="1"/>
  <c r="U1719" i="1" l="1"/>
  <c r="V1719" i="1" s="1"/>
  <c r="J1720" i="1"/>
  <c r="U1720" i="1" l="1"/>
  <c r="V1720" i="1" s="1"/>
  <c r="J1721" i="1"/>
  <c r="U1721" i="1" l="1"/>
  <c r="V1721" i="1" s="1"/>
  <c r="J1722" i="1"/>
  <c r="U1722" i="1" l="1"/>
  <c r="V1722" i="1" s="1"/>
  <c r="J1723" i="1"/>
  <c r="U1723" i="1" l="1"/>
  <c r="V1723" i="1" s="1"/>
  <c r="J1724" i="1"/>
  <c r="U1724" i="1" l="1"/>
  <c r="V1724" i="1" s="1"/>
  <c r="J1725" i="1"/>
  <c r="U1725" i="1" l="1"/>
  <c r="V1725" i="1" s="1"/>
  <c r="J1726" i="1"/>
  <c r="U1726" i="1" l="1"/>
  <c r="V1726" i="1" s="1"/>
  <c r="J1727" i="1"/>
  <c r="U1727" i="1" l="1"/>
  <c r="V1727" i="1" s="1"/>
  <c r="J1728" i="1"/>
  <c r="U1728" i="1" l="1"/>
  <c r="V1728" i="1" s="1"/>
  <c r="J1729" i="1"/>
  <c r="U1729" i="1" l="1"/>
  <c r="V1729" i="1" s="1"/>
  <c r="J1730" i="1"/>
  <c r="U1730" i="1" l="1"/>
  <c r="V1730" i="1" s="1"/>
  <c r="J1731" i="1"/>
  <c r="U1731" i="1" l="1"/>
  <c r="V1731" i="1" s="1"/>
  <c r="J1732" i="1"/>
  <c r="U1732" i="1" l="1"/>
  <c r="V1732" i="1" s="1"/>
  <c r="J1733" i="1"/>
  <c r="U1733" i="1" l="1"/>
  <c r="V1733" i="1" s="1"/>
  <c r="J1734" i="1"/>
  <c r="U1734" i="1" l="1"/>
  <c r="V1734" i="1" s="1"/>
  <c r="J1735" i="1"/>
  <c r="U1735" i="1" l="1"/>
  <c r="V1735" i="1" s="1"/>
  <c r="J1736" i="1"/>
  <c r="U1736" i="1" l="1"/>
  <c r="V1736" i="1" s="1"/>
  <c r="J1737" i="1"/>
  <c r="U1737" i="1" l="1"/>
  <c r="V1737" i="1" s="1"/>
  <c r="J1738" i="1"/>
  <c r="U1738" i="1" l="1"/>
  <c r="V1738" i="1" s="1"/>
  <c r="J1739" i="1"/>
  <c r="U1739" i="1" l="1"/>
  <c r="V1739" i="1" s="1"/>
  <c r="J1740" i="1"/>
  <c r="U1740" i="1" l="1"/>
  <c r="V1740" i="1" s="1"/>
  <c r="J1741" i="1"/>
  <c r="U1741" i="1" l="1"/>
  <c r="V1741" i="1" s="1"/>
  <c r="J1742" i="1"/>
  <c r="U1742" i="1" l="1"/>
  <c r="V1742" i="1" s="1"/>
  <c r="J1743" i="1"/>
  <c r="U1743" i="1" l="1"/>
  <c r="V1743" i="1" s="1"/>
  <c r="J1744" i="1"/>
  <c r="U1744" i="1" l="1"/>
  <c r="V1744" i="1" s="1"/>
  <c r="J1745" i="1"/>
  <c r="U1745" i="1" l="1"/>
  <c r="V1745" i="1" s="1"/>
  <c r="J1746" i="1"/>
  <c r="U1746" i="1" l="1"/>
  <c r="V1746" i="1" s="1"/>
  <c r="J1747" i="1"/>
  <c r="U1747" i="1" l="1"/>
  <c r="V1747" i="1" s="1"/>
  <c r="J1748" i="1"/>
  <c r="U1748" i="1" l="1"/>
  <c r="V1748" i="1" s="1"/>
  <c r="J1749" i="1"/>
  <c r="U1749" i="1" l="1"/>
  <c r="V1749" i="1" s="1"/>
  <c r="J1750" i="1"/>
  <c r="U1750" i="1" l="1"/>
  <c r="V1750" i="1" s="1"/>
  <c r="J1751" i="1"/>
  <c r="U1751" i="1" l="1"/>
  <c r="V1751" i="1" s="1"/>
  <c r="J1752" i="1"/>
  <c r="U1752" i="1" l="1"/>
  <c r="V1752" i="1" s="1"/>
  <c r="J1753" i="1"/>
  <c r="U1753" i="1" l="1"/>
  <c r="V1753" i="1" s="1"/>
  <c r="J1754" i="1"/>
  <c r="U1754" i="1" l="1"/>
  <c r="V1754" i="1" s="1"/>
  <c r="J1755" i="1"/>
  <c r="U1755" i="1" l="1"/>
  <c r="V1755" i="1" s="1"/>
  <c r="J1756" i="1"/>
  <c r="U1756" i="1" l="1"/>
  <c r="V1756" i="1" s="1"/>
  <c r="J1757" i="1"/>
  <c r="U1757" i="1" l="1"/>
  <c r="V1757" i="1" s="1"/>
  <c r="J1758" i="1"/>
  <c r="U1758" i="1" l="1"/>
  <c r="V1758" i="1" s="1"/>
  <c r="J1759" i="1"/>
  <c r="U1759" i="1" l="1"/>
  <c r="V1759" i="1" s="1"/>
  <c r="J1760" i="1"/>
  <c r="U1760" i="1" l="1"/>
  <c r="V1760" i="1" s="1"/>
  <c r="J1761" i="1"/>
  <c r="U1761" i="1" l="1"/>
  <c r="V1761" i="1" s="1"/>
  <c r="J1762" i="1"/>
  <c r="U1762" i="1" l="1"/>
  <c r="V1762" i="1" s="1"/>
  <c r="J1763" i="1"/>
  <c r="U1763" i="1" l="1"/>
  <c r="V1763" i="1" s="1"/>
  <c r="J1764" i="1"/>
  <c r="U1764" i="1" l="1"/>
  <c r="V1764" i="1" s="1"/>
  <c r="J1765" i="1"/>
  <c r="U1765" i="1" l="1"/>
  <c r="V1765" i="1" s="1"/>
  <c r="J1766" i="1"/>
  <c r="U1766" i="1" l="1"/>
  <c r="V1766" i="1" s="1"/>
  <c r="J1767" i="1"/>
  <c r="U1767" i="1" l="1"/>
  <c r="V1767" i="1" s="1"/>
  <c r="J1768" i="1"/>
  <c r="U1768" i="1" l="1"/>
  <c r="V1768" i="1" s="1"/>
  <c r="J1769" i="1"/>
  <c r="U1769" i="1" l="1"/>
  <c r="V1769" i="1" s="1"/>
  <c r="J1770" i="1"/>
  <c r="U1770" i="1" l="1"/>
  <c r="V1770" i="1" s="1"/>
  <c r="J1771" i="1"/>
  <c r="U1771" i="1" l="1"/>
  <c r="V1771" i="1" s="1"/>
  <c r="J1772" i="1"/>
  <c r="U1772" i="1" l="1"/>
  <c r="V1772" i="1" s="1"/>
  <c r="J1773" i="1"/>
  <c r="U1773" i="1" l="1"/>
  <c r="V1773" i="1" s="1"/>
  <c r="J1774" i="1"/>
  <c r="U1774" i="1" l="1"/>
  <c r="V1774" i="1" s="1"/>
  <c r="J1775" i="1"/>
  <c r="U1775" i="1" l="1"/>
  <c r="V1775" i="1" s="1"/>
  <c r="J1776" i="1"/>
  <c r="U1776" i="1" l="1"/>
  <c r="V1776" i="1" s="1"/>
  <c r="J1777" i="1"/>
  <c r="U1777" i="1" l="1"/>
  <c r="V1777" i="1" s="1"/>
  <c r="J1778" i="1"/>
  <c r="U1778" i="1" l="1"/>
  <c r="V1778" i="1" s="1"/>
  <c r="J1779" i="1"/>
  <c r="U1779" i="1" l="1"/>
  <c r="V1779" i="1" s="1"/>
  <c r="J1780" i="1"/>
  <c r="U1780" i="1" l="1"/>
  <c r="V1780" i="1" s="1"/>
  <c r="J1781" i="1"/>
  <c r="U1781" i="1" l="1"/>
  <c r="V1781" i="1" s="1"/>
  <c r="J1782" i="1"/>
  <c r="U1782" i="1" l="1"/>
  <c r="V1782" i="1" s="1"/>
  <c r="J1783" i="1"/>
  <c r="U1783" i="1" l="1"/>
  <c r="V1783" i="1" s="1"/>
  <c r="J1784" i="1"/>
  <c r="U1784" i="1" l="1"/>
  <c r="V1784" i="1" s="1"/>
  <c r="J1785" i="1"/>
  <c r="U1785" i="1" l="1"/>
  <c r="V1785" i="1" s="1"/>
  <c r="J1786" i="1"/>
  <c r="U1786" i="1" l="1"/>
  <c r="V1786" i="1" s="1"/>
  <c r="J1787" i="1"/>
  <c r="U1787" i="1" l="1"/>
  <c r="V1787" i="1" s="1"/>
  <c r="J1788" i="1"/>
  <c r="U1788" i="1" l="1"/>
  <c r="V1788" i="1" s="1"/>
  <c r="J1789" i="1"/>
  <c r="U1789" i="1" l="1"/>
  <c r="V1789" i="1" s="1"/>
  <c r="J1790" i="1"/>
  <c r="U1790" i="1" l="1"/>
  <c r="V1790" i="1" s="1"/>
  <c r="J1791" i="1"/>
  <c r="U1791" i="1" l="1"/>
  <c r="V1791" i="1" s="1"/>
  <c r="J1792" i="1"/>
  <c r="U1792" i="1" l="1"/>
  <c r="V1792" i="1" s="1"/>
  <c r="J1793" i="1"/>
  <c r="U1793" i="1" l="1"/>
  <c r="V1793" i="1" s="1"/>
  <c r="J1794" i="1"/>
  <c r="U1794" i="1" l="1"/>
  <c r="V1794" i="1" s="1"/>
  <c r="J1795" i="1"/>
  <c r="U1795" i="1" l="1"/>
  <c r="V1795" i="1" s="1"/>
  <c r="J1796" i="1"/>
  <c r="U1796" i="1" l="1"/>
  <c r="V1796" i="1" s="1"/>
  <c r="J1797" i="1"/>
  <c r="U1797" i="1" l="1"/>
  <c r="V1797" i="1" s="1"/>
  <c r="J1798" i="1"/>
  <c r="U1798" i="1" l="1"/>
  <c r="V1798" i="1" s="1"/>
  <c r="J1799" i="1"/>
  <c r="U1799" i="1" l="1"/>
  <c r="V1799" i="1" s="1"/>
  <c r="J1800" i="1"/>
  <c r="U1800" i="1" l="1"/>
  <c r="V1800" i="1" s="1"/>
  <c r="J1801" i="1"/>
  <c r="U1801" i="1" l="1"/>
  <c r="V1801" i="1" s="1"/>
  <c r="J1802" i="1"/>
  <c r="U1802" i="1" l="1"/>
  <c r="V1802" i="1" s="1"/>
  <c r="J1803" i="1"/>
  <c r="U1803" i="1" l="1"/>
  <c r="V1803" i="1" s="1"/>
  <c r="J1804" i="1"/>
  <c r="U1804" i="1" l="1"/>
  <c r="V1804" i="1" s="1"/>
  <c r="J1805" i="1"/>
  <c r="U1805" i="1" l="1"/>
  <c r="V1805" i="1" s="1"/>
  <c r="J1806" i="1"/>
  <c r="U1806" i="1" l="1"/>
  <c r="V1806" i="1" s="1"/>
  <c r="J1807" i="1"/>
  <c r="U1807" i="1" l="1"/>
  <c r="V1807" i="1" s="1"/>
  <c r="J1808" i="1"/>
  <c r="U1808" i="1" l="1"/>
  <c r="V1808" i="1" s="1"/>
  <c r="J1809" i="1"/>
  <c r="U1809" i="1" l="1"/>
  <c r="V1809" i="1" s="1"/>
  <c r="J1810" i="1"/>
  <c r="U1810" i="1" l="1"/>
  <c r="V1810" i="1" s="1"/>
  <c r="J1811" i="1"/>
  <c r="U1811" i="1" l="1"/>
  <c r="V1811" i="1" s="1"/>
  <c r="J1812" i="1"/>
  <c r="U1812" i="1" l="1"/>
  <c r="V1812" i="1" s="1"/>
  <c r="J1813" i="1"/>
  <c r="U1813" i="1" l="1"/>
  <c r="V1813" i="1" s="1"/>
  <c r="J1814" i="1"/>
  <c r="U1814" i="1" l="1"/>
  <c r="V1814" i="1" s="1"/>
  <c r="J1815" i="1"/>
  <c r="U1815" i="1" l="1"/>
  <c r="V1815" i="1" s="1"/>
  <c r="J1816" i="1"/>
  <c r="U1816" i="1" l="1"/>
  <c r="V1816" i="1" s="1"/>
  <c r="J1817" i="1"/>
  <c r="U1817" i="1" l="1"/>
  <c r="V1817" i="1" s="1"/>
  <c r="J1818" i="1"/>
  <c r="U1818" i="1" l="1"/>
  <c r="V1818" i="1" s="1"/>
  <c r="J1819" i="1"/>
  <c r="U1819" i="1" l="1"/>
  <c r="V1819" i="1" s="1"/>
  <c r="J1820" i="1"/>
  <c r="U1820" i="1" l="1"/>
  <c r="V1820" i="1" s="1"/>
  <c r="J1821" i="1"/>
  <c r="U1821" i="1" l="1"/>
  <c r="V1821" i="1" s="1"/>
  <c r="J1822" i="1"/>
  <c r="U1822" i="1" l="1"/>
  <c r="V1822" i="1" s="1"/>
  <c r="J1823" i="1"/>
  <c r="U1823" i="1" l="1"/>
  <c r="V1823" i="1" s="1"/>
  <c r="J1824" i="1"/>
  <c r="U1824" i="1" l="1"/>
  <c r="V1824" i="1" s="1"/>
  <c r="J1825" i="1"/>
  <c r="U1825" i="1" l="1"/>
  <c r="V1825" i="1" s="1"/>
  <c r="J1826" i="1"/>
  <c r="U1826" i="1" l="1"/>
  <c r="V1826" i="1" s="1"/>
  <c r="J1827" i="1"/>
  <c r="U1827" i="1" l="1"/>
  <c r="V1827" i="1" s="1"/>
  <c r="J1828" i="1"/>
  <c r="U1828" i="1" l="1"/>
  <c r="V1828" i="1" s="1"/>
  <c r="J1829" i="1"/>
  <c r="U1829" i="1" l="1"/>
  <c r="V1829" i="1" s="1"/>
  <c r="J1830" i="1"/>
  <c r="U1830" i="1" l="1"/>
  <c r="V1830" i="1" s="1"/>
  <c r="J1831" i="1"/>
  <c r="U1831" i="1" l="1"/>
  <c r="V1831" i="1" s="1"/>
  <c r="J1832" i="1"/>
  <c r="U1832" i="1" l="1"/>
  <c r="V1832" i="1" s="1"/>
  <c r="J1833" i="1"/>
  <c r="U1833" i="1" l="1"/>
  <c r="V1833" i="1" s="1"/>
  <c r="J1834" i="1"/>
  <c r="U1834" i="1" l="1"/>
  <c r="V1834" i="1" s="1"/>
  <c r="J1835" i="1"/>
  <c r="U1835" i="1" l="1"/>
  <c r="V1835" i="1" s="1"/>
  <c r="J1836" i="1"/>
  <c r="U1836" i="1" l="1"/>
  <c r="V1836" i="1" s="1"/>
  <c r="J1837" i="1"/>
  <c r="U1837" i="1" l="1"/>
  <c r="V1837" i="1" s="1"/>
  <c r="J1838" i="1"/>
  <c r="U1838" i="1" l="1"/>
  <c r="V1838" i="1" s="1"/>
  <c r="J1839" i="1"/>
  <c r="U1839" i="1" l="1"/>
  <c r="V1839" i="1" s="1"/>
  <c r="J1840" i="1"/>
  <c r="U1840" i="1" l="1"/>
  <c r="V1840" i="1" s="1"/>
  <c r="J1841" i="1"/>
  <c r="U1841" i="1" l="1"/>
  <c r="V1841" i="1" s="1"/>
  <c r="J1842" i="1"/>
  <c r="U1842" i="1" l="1"/>
  <c r="V1842" i="1" s="1"/>
  <c r="J1843" i="1"/>
  <c r="U1843" i="1" l="1"/>
  <c r="V1843" i="1" s="1"/>
  <c r="J1844" i="1"/>
  <c r="U1844" i="1" l="1"/>
  <c r="V1844" i="1" s="1"/>
  <c r="J1845" i="1"/>
  <c r="U1845" i="1" l="1"/>
  <c r="V1845" i="1" s="1"/>
  <c r="J1846" i="1"/>
  <c r="U1846" i="1" l="1"/>
  <c r="V1846" i="1" s="1"/>
  <c r="J1847" i="1"/>
  <c r="U1847" i="1" l="1"/>
  <c r="V1847" i="1" s="1"/>
  <c r="J1848" i="1"/>
  <c r="U1848" i="1" l="1"/>
  <c r="V1848" i="1" s="1"/>
  <c r="J1849" i="1"/>
  <c r="U1849" i="1" l="1"/>
  <c r="V1849" i="1" s="1"/>
  <c r="J1850" i="1"/>
  <c r="U1850" i="1" l="1"/>
  <c r="V1850" i="1" s="1"/>
  <c r="J1851" i="1"/>
  <c r="U1851" i="1" l="1"/>
  <c r="V1851" i="1" s="1"/>
  <c r="J1852" i="1"/>
  <c r="U1852" i="1" l="1"/>
  <c r="V1852" i="1" s="1"/>
  <c r="J1853" i="1"/>
  <c r="U1853" i="1" l="1"/>
  <c r="V1853" i="1" s="1"/>
  <c r="J1854" i="1"/>
  <c r="U1854" i="1" l="1"/>
  <c r="V1854" i="1" s="1"/>
  <c r="J1855" i="1"/>
  <c r="U1855" i="1" l="1"/>
  <c r="V1855" i="1" s="1"/>
  <c r="J1856" i="1"/>
  <c r="U1856" i="1" l="1"/>
  <c r="V1856" i="1" s="1"/>
  <c r="J1857" i="1"/>
  <c r="U1857" i="1" l="1"/>
  <c r="V1857" i="1" s="1"/>
  <c r="J1858" i="1"/>
  <c r="U1858" i="1" l="1"/>
  <c r="V1858" i="1" s="1"/>
  <c r="J1859" i="1"/>
  <c r="U1859" i="1" l="1"/>
  <c r="V1859" i="1" s="1"/>
  <c r="J1860" i="1"/>
  <c r="U1860" i="1" l="1"/>
  <c r="V1860" i="1" s="1"/>
  <c r="J1861" i="1"/>
  <c r="U1861" i="1" l="1"/>
  <c r="V1861" i="1" s="1"/>
  <c r="J1862" i="1"/>
  <c r="U1862" i="1" l="1"/>
  <c r="V1862" i="1" s="1"/>
  <c r="J1863" i="1"/>
  <c r="U1863" i="1" l="1"/>
  <c r="V1863" i="1" s="1"/>
  <c r="J1864" i="1"/>
  <c r="U1864" i="1" l="1"/>
  <c r="V1864" i="1" s="1"/>
  <c r="J1865" i="1"/>
  <c r="U1865" i="1" l="1"/>
  <c r="V1865" i="1" s="1"/>
  <c r="J1866" i="1"/>
  <c r="U1866" i="1" l="1"/>
  <c r="V1866" i="1" s="1"/>
  <c r="J1867" i="1"/>
  <c r="U1867" i="1" l="1"/>
  <c r="V1867" i="1" s="1"/>
  <c r="J1868" i="1"/>
  <c r="U1868" i="1" l="1"/>
  <c r="V1868" i="1" s="1"/>
  <c r="J1869" i="1"/>
  <c r="U1869" i="1" l="1"/>
  <c r="V1869" i="1" s="1"/>
  <c r="J1870" i="1"/>
  <c r="U1870" i="1" l="1"/>
  <c r="V1870" i="1" s="1"/>
  <c r="J1871" i="1"/>
  <c r="U1871" i="1" l="1"/>
  <c r="V1871" i="1" s="1"/>
  <c r="J1872" i="1"/>
  <c r="U1872" i="1" l="1"/>
  <c r="V1872" i="1" s="1"/>
  <c r="J1873" i="1"/>
  <c r="U1873" i="1" l="1"/>
  <c r="V1873" i="1" s="1"/>
  <c r="J1874" i="1"/>
  <c r="U1874" i="1" l="1"/>
  <c r="V1874" i="1" s="1"/>
  <c r="J1875" i="1"/>
  <c r="U1875" i="1" l="1"/>
  <c r="V1875" i="1" s="1"/>
  <c r="J1876" i="1"/>
  <c r="U1876" i="1" l="1"/>
  <c r="V1876" i="1" s="1"/>
  <c r="J1877" i="1"/>
  <c r="U1877" i="1" l="1"/>
  <c r="V1877" i="1" s="1"/>
  <c r="J1878" i="1"/>
  <c r="U1878" i="1" l="1"/>
  <c r="V1878" i="1" s="1"/>
  <c r="J1879" i="1"/>
  <c r="U1879" i="1" l="1"/>
  <c r="V1879" i="1" s="1"/>
  <c r="J1880" i="1"/>
  <c r="U1880" i="1" l="1"/>
  <c r="V1880" i="1" s="1"/>
  <c r="J1881" i="1"/>
  <c r="U1881" i="1" l="1"/>
  <c r="V1881" i="1" s="1"/>
  <c r="J1882" i="1"/>
  <c r="U1882" i="1" l="1"/>
  <c r="V1882" i="1" s="1"/>
  <c r="J1883" i="1"/>
  <c r="U1883" i="1" l="1"/>
  <c r="V1883" i="1" s="1"/>
  <c r="J1884" i="1"/>
  <c r="U1884" i="1" l="1"/>
  <c r="V1884" i="1" s="1"/>
  <c r="J1885" i="1"/>
  <c r="U1885" i="1" l="1"/>
  <c r="V1885" i="1" s="1"/>
  <c r="J1886" i="1"/>
  <c r="U1886" i="1" l="1"/>
  <c r="V1886" i="1" s="1"/>
  <c r="J1887" i="1"/>
  <c r="U1887" i="1" l="1"/>
  <c r="V1887" i="1" s="1"/>
  <c r="J1888" i="1"/>
  <c r="U1888" i="1" l="1"/>
  <c r="V1888" i="1" s="1"/>
  <c r="J1889" i="1"/>
  <c r="U1889" i="1" l="1"/>
  <c r="V1889" i="1" s="1"/>
  <c r="J1890" i="1"/>
  <c r="U1890" i="1" l="1"/>
  <c r="V1890" i="1" s="1"/>
  <c r="J1891" i="1"/>
  <c r="U1891" i="1" l="1"/>
  <c r="V1891" i="1" s="1"/>
  <c r="J1892" i="1"/>
  <c r="U1892" i="1" l="1"/>
  <c r="V1892" i="1" s="1"/>
  <c r="J1893" i="1"/>
  <c r="U1893" i="1" l="1"/>
  <c r="V1893" i="1" s="1"/>
  <c r="J1894" i="1"/>
  <c r="U1894" i="1" l="1"/>
  <c r="V1894" i="1" s="1"/>
  <c r="J1895" i="1"/>
  <c r="U1895" i="1" l="1"/>
  <c r="V1895" i="1" s="1"/>
  <c r="J1896" i="1"/>
  <c r="U1896" i="1" l="1"/>
  <c r="V1896" i="1" s="1"/>
  <c r="J1897" i="1"/>
  <c r="U1897" i="1" l="1"/>
  <c r="V1897" i="1" s="1"/>
  <c r="J1898" i="1"/>
  <c r="U1898" i="1" l="1"/>
  <c r="V1898" i="1" s="1"/>
  <c r="J1899" i="1"/>
  <c r="U1899" i="1" l="1"/>
  <c r="V1899" i="1" s="1"/>
  <c r="J1900" i="1"/>
  <c r="U1900" i="1" l="1"/>
  <c r="V1900" i="1" s="1"/>
  <c r="J1901" i="1"/>
  <c r="U1901" i="1" l="1"/>
  <c r="V1901" i="1" s="1"/>
  <c r="J1902" i="1"/>
  <c r="U1902" i="1" l="1"/>
  <c r="V1902" i="1" s="1"/>
  <c r="J1903" i="1"/>
  <c r="U1903" i="1" l="1"/>
  <c r="V1903" i="1" s="1"/>
  <c r="J1904" i="1"/>
  <c r="U1904" i="1" l="1"/>
  <c r="V1904" i="1" s="1"/>
  <c r="J1905" i="1"/>
  <c r="U1905" i="1" l="1"/>
  <c r="V1905" i="1" s="1"/>
  <c r="J1906" i="1"/>
  <c r="U1906" i="1" l="1"/>
  <c r="V1906" i="1" s="1"/>
  <c r="J1907" i="1"/>
  <c r="U1907" i="1" l="1"/>
  <c r="V1907" i="1" s="1"/>
  <c r="J1908" i="1"/>
  <c r="U1908" i="1" l="1"/>
  <c r="V1908" i="1" s="1"/>
  <c r="J1909" i="1"/>
  <c r="U1909" i="1" l="1"/>
  <c r="V1909" i="1" s="1"/>
  <c r="J1910" i="1"/>
  <c r="U1910" i="1" l="1"/>
  <c r="V1910" i="1" s="1"/>
  <c r="J1911" i="1"/>
  <c r="U1911" i="1" l="1"/>
  <c r="V1911" i="1" s="1"/>
  <c r="J1912" i="1"/>
  <c r="U1912" i="1" l="1"/>
  <c r="V1912" i="1" s="1"/>
  <c r="J1913" i="1"/>
  <c r="U1913" i="1" l="1"/>
  <c r="V1913" i="1" s="1"/>
  <c r="J1914" i="1"/>
  <c r="U1914" i="1" l="1"/>
  <c r="V1914" i="1" s="1"/>
  <c r="J1915" i="1"/>
  <c r="U1915" i="1" l="1"/>
  <c r="V1915" i="1" s="1"/>
  <c r="J1916" i="1"/>
  <c r="U1916" i="1" l="1"/>
  <c r="V1916" i="1" s="1"/>
  <c r="J1917" i="1"/>
  <c r="U1917" i="1" l="1"/>
  <c r="V1917" i="1" s="1"/>
  <c r="J1918" i="1"/>
  <c r="U1918" i="1" l="1"/>
  <c r="V1918" i="1" s="1"/>
  <c r="J1919" i="1"/>
  <c r="U1919" i="1" l="1"/>
  <c r="V1919" i="1" s="1"/>
  <c r="J1920" i="1"/>
  <c r="U1920" i="1" l="1"/>
  <c r="V1920" i="1" s="1"/>
  <c r="J1921" i="1"/>
  <c r="U1921" i="1" l="1"/>
  <c r="V1921" i="1" s="1"/>
  <c r="J1922" i="1"/>
  <c r="U1922" i="1" l="1"/>
  <c r="V1922" i="1" s="1"/>
  <c r="J1923" i="1"/>
  <c r="U1923" i="1" l="1"/>
  <c r="V1923" i="1" s="1"/>
  <c r="J1924" i="1"/>
  <c r="U1924" i="1" l="1"/>
  <c r="V1924" i="1" s="1"/>
  <c r="J1925" i="1"/>
  <c r="U1925" i="1" l="1"/>
  <c r="V1925" i="1" s="1"/>
  <c r="J1926" i="1"/>
  <c r="U1926" i="1" l="1"/>
  <c r="V1926" i="1" s="1"/>
  <c r="J1927" i="1"/>
  <c r="U1927" i="1" l="1"/>
  <c r="V1927" i="1" s="1"/>
  <c r="J1928" i="1"/>
  <c r="U1928" i="1" l="1"/>
  <c r="V1928" i="1" s="1"/>
  <c r="J1929" i="1"/>
  <c r="U1929" i="1" l="1"/>
  <c r="V1929" i="1" s="1"/>
  <c r="J1930" i="1"/>
  <c r="U1930" i="1" l="1"/>
  <c r="V1930" i="1" s="1"/>
  <c r="J1931" i="1"/>
  <c r="U1931" i="1" l="1"/>
  <c r="V1931" i="1" s="1"/>
  <c r="J1932" i="1"/>
  <c r="U1932" i="1" l="1"/>
  <c r="V1932" i="1" s="1"/>
  <c r="J1933" i="1"/>
  <c r="U1933" i="1" l="1"/>
  <c r="V1933" i="1" s="1"/>
  <c r="J1934" i="1"/>
  <c r="U1934" i="1" l="1"/>
  <c r="V1934" i="1" s="1"/>
  <c r="J1935" i="1"/>
  <c r="U1935" i="1" l="1"/>
  <c r="V1935" i="1" s="1"/>
  <c r="J1936" i="1"/>
  <c r="U1936" i="1" l="1"/>
  <c r="V1936" i="1" s="1"/>
  <c r="J1937" i="1"/>
  <c r="U1937" i="1" l="1"/>
  <c r="V1937" i="1" s="1"/>
  <c r="J1938" i="1"/>
  <c r="U1938" i="1" l="1"/>
  <c r="V1938" i="1" s="1"/>
  <c r="J1939" i="1"/>
  <c r="U1939" i="1" l="1"/>
  <c r="V1939" i="1" s="1"/>
  <c r="J1940" i="1"/>
  <c r="U1940" i="1" l="1"/>
  <c r="V1940" i="1" s="1"/>
  <c r="J1941" i="1"/>
  <c r="U1941" i="1" l="1"/>
  <c r="V1941" i="1" s="1"/>
  <c r="J1942" i="1"/>
  <c r="U1942" i="1" l="1"/>
  <c r="V1942" i="1" s="1"/>
  <c r="J1943" i="1"/>
  <c r="U1943" i="1" l="1"/>
  <c r="V1943" i="1" s="1"/>
  <c r="J1944" i="1"/>
  <c r="U1944" i="1" l="1"/>
  <c r="V1944" i="1" s="1"/>
  <c r="J1945" i="1"/>
  <c r="U1945" i="1" l="1"/>
  <c r="V1945" i="1" s="1"/>
  <c r="J1946" i="1"/>
  <c r="U1946" i="1" l="1"/>
  <c r="V1946" i="1" s="1"/>
  <c r="J1947" i="1"/>
  <c r="U1947" i="1" l="1"/>
  <c r="V1947" i="1" s="1"/>
  <c r="J1948" i="1"/>
  <c r="U1948" i="1" l="1"/>
  <c r="V1948" i="1" s="1"/>
  <c r="J1949" i="1"/>
  <c r="U1949" i="1" l="1"/>
  <c r="V1949" i="1" s="1"/>
  <c r="J1950" i="1"/>
  <c r="U1950" i="1" l="1"/>
  <c r="V1950" i="1" s="1"/>
  <c r="J1951" i="1"/>
  <c r="U1951" i="1" l="1"/>
  <c r="V1951" i="1" s="1"/>
  <c r="J1952" i="1"/>
  <c r="U1952" i="1" l="1"/>
  <c r="V1952" i="1" s="1"/>
  <c r="J1953" i="1"/>
  <c r="U1953" i="1" l="1"/>
  <c r="V1953" i="1" s="1"/>
  <c r="J1954" i="1"/>
  <c r="U1954" i="1" l="1"/>
  <c r="V1954" i="1" s="1"/>
  <c r="J1955" i="1"/>
  <c r="U1955" i="1" l="1"/>
  <c r="V1955" i="1" s="1"/>
  <c r="J1956" i="1"/>
  <c r="U1956" i="1" l="1"/>
  <c r="V1956" i="1" s="1"/>
  <c r="J1957" i="1"/>
  <c r="U1957" i="1" l="1"/>
  <c r="V1957" i="1" s="1"/>
  <c r="J1958" i="1"/>
  <c r="U1958" i="1" l="1"/>
  <c r="V1958" i="1" s="1"/>
  <c r="J1959" i="1"/>
  <c r="U1959" i="1" l="1"/>
  <c r="V1959" i="1" s="1"/>
  <c r="J1960" i="1"/>
  <c r="U1960" i="1" l="1"/>
  <c r="V1960" i="1" s="1"/>
  <c r="J1961" i="1"/>
  <c r="U1961" i="1" l="1"/>
  <c r="V1961" i="1" s="1"/>
  <c r="J1962" i="1"/>
  <c r="U1962" i="1" l="1"/>
  <c r="V1962" i="1" s="1"/>
  <c r="J1963" i="1"/>
  <c r="U1963" i="1" l="1"/>
  <c r="V1963" i="1" s="1"/>
  <c r="J1964" i="1"/>
  <c r="U1964" i="1" l="1"/>
  <c r="V1964" i="1" s="1"/>
  <c r="J1965" i="1"/>
  <c r="U1965" i="1" l="1"/>
  <c r="V1965" i="1" s="1"/>
  <c r="J1966" i="1"/>
  <c r="U1966" i="1" l="1"/>
  <c r="V1966" i="1" s="1"/>
  <c r="J1967" i="1"/>
  <c r="U1967" i="1" l="1"/>
  <c r="V1967" i="1" s="1"/>
  <c r="J1968" i="1"/>
  <c r="U1968" i="1" l="1"/>
  <c r="V1968" i="1" s="1"/>
  <c r="J1969" i="1"/>
  <c r="U1969" i="1" l="1"/>
  <c r="V1969" i="1" s="1"/>
  <c r="J1970" i="1"/>
  <c r="U1970" i="1" l="1"/>
  <c r="V1970" i="1" s="1"/>
  <c r="J1971" i="1"/>
  <c r="U1971" i="1" l="1"/>
  <c r="V1971" i="1" s="1"/>
  <c r="J1972" i="1"/>
  <c r="U1972" i="1" l="1"/>
  <c r="V1972" i="1" s="1"/>
  <c r="J1973" i="1"/>
  <c r="U1973" i="1" l="1"/>
  <c r="V1973" i="1" s="1"/>
  <c r="J1974" i="1"/>
  <c r="U1974" i="1" l="1"/>
  <c r="V1974" i="1" s="1"/>
  <c r="J1975" i="1"/>
  <c r="U1975" i="1" l="1"/>
  <c r="V1975" i="1" s="1"/>
  <c r="J1976" i="1"/>
  <c r="U1976" i="1" l="1"/>
  <c r="V1976" i="1" s="1"/>
  <c r="J1977" i="1"/>
  <c r="U1977" i="1" l="1"/>
  <c r="V1977" i="1" s="1"/>
  <c r="J1978" i="1"/>
  <c r="U1978" i="1" l="1"/>
  <c r="V1978" i="1" s="1"/>
  <c r="J1979" i="1"/>
  <c r="U1979" i="1" l="1"/>
  <c r="V1979" i="1" s="1"/>
  <c r="J1980" i="1"/>
  <c r="U1980" i="1" l="1"/>
  <c r="V1980" i="1" s="1"/>
  <c r="J1981" i="1"/>
  <c r="U1981" i="1" l="1"/>
  <c r="V1981" i="1" s="1"/>
  <c r="J1982" i="1"/>
  <c r="U1982" i="1" l="1"/>
  <c r="V1982" i="1" s="1"/>
  <c r="J1983" i="1"/>
  <c r="U1983" i="1" l="1"/>
  <c r="V1983" i="1" s="1"/>
  <c r="J1984" i="1"/>
  <c r="U1984" i="1" l="1"/>
  <c r="V1984" i="1" s="1"/>
  <c r="J1985" i="1"/>
  <c r="U1985" i="1" l="1"/>
  <c r="V1985" i="1" s="1"/>
  <c r="J1986" i="1"/>
  <c r="U1986" i="1" l="1"/>
  <c r="V1986" i="1" s="1"/>
  <c r="J1987" i="1"/>
  <c r="U1987" i="1" l="1"/>
  <c r="V1987" i="1" s="1"/>
  <c r="J1988" i="1"/>
  <c r="U1988" i="1" l="1"/>
  <c r="V1988" i="1" s="1"/>
  <c r="J1989" i="1"/>
  <c r="U1989" i="1" l="1"/>
  <c r="V1989" i="1" s="1"/>
  <c r="J1990" i="1"/>
  <c r="U1990" i="1" l="1"/>
  <c r="V1990" i="1" s="1"/>
  <c r="J1991" i="1"/>
  <c r="U1991" i="1" l="1"/>
  <c r="V1991" i="1" s="1"/>
  <c r="J1992" i="1"/>
  <c r="U1992" i="1" l="1"/>
  <c r="V1992" i="1" s="1"/>
  <c r="J1993" i="1"/>
  <c r="U1993" i="1" l="1"/>
  <c r="V1993" i="1" s="1"/>
  <c r="J1994" i="1"/>
  <c r="U1994" i="1" l="1"/>
  <c r="V1994" i="1" s="1"/>
  <c r="J1995" i="1"/>
  <c r="U1995" i="1" l="1"/>
  <c r="V1995" i="1" s="1"/>
  <c r="J1996" i="1"/>
  <c r="U1996" i="1" l="1"/>
  <c r="V1996" i="1" s="1"/>
  <c r="J1997" i="1"/>
  <c r="U1997" i="1" l="1"/>
  <c r="V1997" i="1" s="1"/>
  <c r="J1998" i="1"/>
  <c r="U1998" i="1" l="1"/>
  <c r="V1998" i="1" s="1"/>
  <c r="J1999" i="1"/>
  <c r="U1999" i="1" l="1"/>
  <c r="V1999" i="1" s="1"/>
  <c r="J2001" i="1"/>
  <c r="J2000" i="1"/>
  <c r="U2000" i="1" l="1"/>
  <c r="V2000" i="1" s="1"/>
  <c r="U2001" i="1"/>
  <c r="V2001" i="1" s="1"/>
</calcChain>
</file>

<file path=xl/sharedStrings.xml><?xml version="1.0" encoding="utf-8"?>
<sst xmlns="http://schemas.openxmlformats.org/spreadsheetml/2006/main" count="71" uniqueCount="62">
  <si>
    <t>Pregnancies</t>
  </si>
  <si>
    <t>Glucose</t>
  </si>
  <si>
    <t>BloodPressure</t>
  </si>
  <si>
    <t>SkinThickness</t>
  </si>
  <si>
    <t>Insulin</t>
  </si>
  <si>
    <t>BMI</t>
  </si>
  <si>
    <t>DiabetesPedigreeFunction</t>
  </si>
  <si>
    <t>Age</t>
  </si>
  <si>
    <t>Outcome</t>
  </si>
  <si>
    <t>Prediction</t>
  </si>
  <si>
    <t>Match?</t>
  </si>
  <si>
    <t>ID</t>
  </si>
  <si>
    <t>Pregnancy Group</t>
  </si>
  <si>
    <t>Glucose Group</t>
  </si>
  <si>
    <t>Blood Pressure Group</t>
  </si>
  <si>
    <t>Skin Thickness Group</t>
  </si>
  <si>
    <t>Insulin Group</t>
  </si>
  <si>
    <t>BMI Group</t>
  </si>
  <si>
    <t>Diabetes Pedigree Function Group</t>
  </si>
  <si>
    <t>Age Group</t>
  </si>
  <si>
    <t>Outcome Group</t>
  </si>
  <si>
    <t>Prediction Group</t>
  </si>
  <si>
    <t>Row Labels</t>
  </si>
  <si>
    <t>Grand Total</t>
  </si>
  <si>
    <t>Count of Outcome</t>
  </si>
  <si>
    <t>3-4</t>
  </si>
  <si>
    <t>5-7</t>
  </si>
  <si>
    <t>8+</t>
  </si>
  <si>
    <t>Pregnancy</t>
  </si>
  <si>
    <t>100-125</t>
  </si>
  <si>
    <t>126-150</t>
  </si>
  <si>
    <t>151-175</t>
  </si>
  <si>
    <t>176-200</t>
  </si>
  <si>
    <t>Blood Pressure</t>
  </si>
  <si>
    <t>60-69</t>
  </si>
  <si>
    <t>70-79</t>
  </si>
  <si>
    <t>80+</t>
  </si>
  <si>
    <t>Skin Thickness</t>
  </si>
  <si>
    <t>40+</t>
  </si>
  <si>
    <t>30-39</t>
  </si>
  <si>
    <t>10-30</t>
  </si>
  <si>
    <t>Unknown</t>
  </si>
  <si>
    <t>1-99</t>
  </si>
  <si>
    <t>1-59</t>
  </si>
  <si>
    <t>1-10</t>
  </si>
  <si>
    <t>100-199</t>
  </si>
  <si>
    <t>200-399</t>
  </si>
  <si>
    <t>500+</t>
  </si>
  <si>
    <t>300-499</t>
  </si>
  <si>
    <t>1-25</t>
  </si>
  <si>
    <t>26-30</t>
  </si>
  <si>
    <t>31-35</t>
  </si>
  <si>
    <t>36+</t>
  </si>
  <si>
    <t>Diabetes Pedigree Function</t>
  </si>
  <si>
    <t>0.0 - 0.249</t>
  </si>
  <si>
    <t>0.25 - 0.39</t>
  </si>
  <si>
    <t>0.4 - 0.69</t>
  </si>
  <si>
    <t>0.7+</t>
  </si>
  <si>
    <t>&lt;=25</t>
  </si>
  <si>
    <t>26-35</t>
  </si>
  <si>
    <t>36-45</t>
  </si>
  <si>
    <t>46+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</si>
</sst>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17" fontId="0" fillId="0" borderId="0" xfId="0" quotePrefix="1" applyNumberFormat="1" applyAlignment="1">
      <alignment horizontal="center"/>
    </xf>
    <xf numFmtId="17" fontId="0" fillId="0" borderId="0" xfId="0" quotePrefix="1" applyNumberFormat="1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tes\OneDrive\Documents\RU%20Data%20Science%20Bootcamp\diabetesML\resources\data\diabetes_Recognition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iabetes_Recognition"/>
    </sheetNames>
    <sheetDataSet>
      <sheetData sheetId="0"/>
      <sheetData sheetId="1">
        <row r="1">
          <cell r="A1" t="str">
            <v>ID</v>
          </cell>
          <cell r="B1" t="str">
            <v>Prediction</v>
          </cell>
        </row>
        <row r="2">
          <cell r="A2">
            <v>0</v>
          </cell>
          <cell r="B2">
            <v>0</v>
          </cell>
        </row>
        <row r="3">
          <cell r="A3">
            <v>3</v>
          </cell>
          <cell r="B3">
            <v>0</v>
          </cell>
        </row>
        <row r="4">
          <cell r="A4">
            <v>8</v>
          </cell>
          <cell r="B4">
            <v>0</v>
          </cell>
        </row>
        <row r="5">
          <cell r="A5">
            <v>11</v>
          </cell>
          <cell r="B5">
            <v>0</v>
          </cell>
        </row>
        <row r="6">
          <cell r="A6">
            <v>17</v>
          </cell>
          <cell r="B6">
            <v>1</v>
          </cell>
        </row>
        <row r="7">
          <cell r="A7">
            <v>30</v>
          </cell>
          <cell r="B7">
            <v>0</v>
          </cell>
        </row>
        <row r="8">
          <cell r="A8">
            <v>37</v>
          </cell>
          <cell r="B8">
            <v>0</v>
          </cell>
        </row>
        <row r="9">
          <cell r="A9">
            <v>39</v>
          </cell>
          <cell r="B9">
            <v>1</v>
          </cell>
        </row>
        <row r="10">
          <cell r="A10">
            <v>40</v>
          </cell>
          <cell r="B10">
            <v>1</v>
          </cell>
        </row>
        <row r="11">
          <cell r="A11">
            <v>47</v>
          </cell>
          <cell r="B11">
            <v>0</v>
          </cell>
        </row>
        <row r="12">
          <cell r="A12">
            <v>48</v>
          </cell>
          <cell r="B12">
            <v>0</v>
          </cell>
        </row>
        <row r="13">
          <cell r="A13">
            <v>49</v>
          </cell>
          <cell r="B13">
            <v>0</v>
          </cell>
        </row>
        <row r="14">
          <cell r="A14">
            <v>53</v>
          </cell>
          <cell r="B14">
            <v>1</v>
          </cell>
        </row>
        <row r="15">
          <cell r="A15">
            <v>56</v>
          </cell>
          <cell r="B15">
            <v>1</v>
          </cell>
        </row>
        <row r="16">
          <cell r="A16">
            <v>58</v>
          </cell>
          <cell r="B16">
            <v>1</v>
          </cell>
        </row>
        <row r="17">
          <cell r="A17">
            <v>60</v>
          </cell>
          <cell r="B17">
            <v>0</v>
          </cell>
        </row>
        <row r="18">
          <cell r="A18">
            <v>65</v>
          </cell>
          <cell r="B18">
            <v>0</v>
          </cell>
        </row>
        <row r="19">
          <cell r="A19">
            <v>75</v>
          </cell>
          <cell r="B19">
            <v>0</v>
          </cell>
        </row>
        <row r="20">
          <cell r="A20">
            <v>80</v>
          </cell>
          <cell r="B20">
            <v>0</v>
          </cell>
        </row>
        <row r="21">
          <cell r="A21">
            <v>82</v>
          </cell>
          <cell r="B21">
            <v>0</v>
          </cell>
        </row>
        <row r="22">
          <cell r="A22">
            <v>87</v>
          </cell>
          <cell r="B22">
            <v>0</v>
          </cell>
        </row>
        <row r="23">
          <cell r="A23">
            <v>91</v>
          </cell>
          <cell r="B23">
            <v>0</v>
          </cell>
        </row>
        <row r="24">
          <cell r="A24">
            <v>98</v>
          </cell>
          <cell r="B24">
            <v>0</v>
          </cell>
        </row>
        <row r="25">
          <cell r="A25">
            <v>101</v>
          </cell>
          <cell r="B25">
            <v>0</v>
          </cell>
        </row>
        <row r="26">
          <cell r="A26">
            <v>102</v>
          </cell>
          <cell r="B26">
            <v>0</v>
          </cell>
        </row>
        <row r="27">
          <cell r="A27">
            <v>104</v>
          </cell>
          <cell r="B27">
            <v>0</v>
          </cell>
        </row>
        <row r="28">
          <cell r="A28">
            <v>107</v>
          </cell>
          <cell r="B28">
            <v>0</v>
          </cell>
        </row>
        <row r="29">
          <cell r="A29">
            <v>108</v>
          </cell>
          <cell r="B29">
            <v>0</v>
          </cell>
        </row>
        <row r="30">
          <cell r="A30">
            <v>111</v>
          </cell>
          <cell r="B30">
            <v>1</v>
          </cell>
        </row>
        <row r="31">
          <cell r="A31">
            <v>115</v>
          </cell>
          <cell r="B31">
            <v>1</v>
          </cell>
        </row>
        <row r="32">
          <cell r="A32">
            <v>119</v>
          </cell>
          <cell r="B32">
            <v>0</v>
          </cell>
        </row>
        <row r="33">
          <cell r="A33">
            <v>120</v>
          </cell>
          <cell r="B33">
            <v>1</v>
          </cell>
        </row>
        <row r="34">
          <cell r="A34">
            <v>126</v>
          </cell>
          <cell r="B34">
            <v>0</v>
          </cell>
        </row>
        <row r="35">
          <cell r="A35">
            <v>133</v>
          </cell>
          <cell r="B35">
            <v>0</v>
          </cell>
        </row>
        <row r="36">
          <cell r="A36">
            <v>137</v>
          </cell>
          <cell r="B36">
            <v>0</v>
          </cell>
        </row>
        <row r="37">
          <cell r="A37">
            <v>140</v>
          </cell>
          <cell r="B37">
            <v>0</v>
          </cell>
        </row>
        <row r="38">
          <cell r="A38">
            <v>146</v>
          </cell>
          <cell r="B38">
            <v>0</v>
          </cell>
        </row>
        <row r="39">
          <cell r="A39">
            <v>158</v>
          </cell>
          <cell r="B39">
            <v>0</v>
          </cell>
        </row>
        <row r="40">
          <cell r="A40">
            <v>161</v>
          </cell>
          <cell r="B40">
            <v>0</v>
          </cell>
        </row>
        <row r="41">
          <cell r="A41">
            <v>165</v>
          </cell>
          <cell r="B41">
            <v>0</v>
          </cell>
        </row>
        <row r="42">
          <cell r="A42">
            <v>167</v>
          </cell>
          <cell r="B42">
            <v>0</v>
          </cell>
        </row>
        <row r="43">
          <cell r="A43">
            <v>169</v>
          </cell>
          <cell r="B43">
            <v>0</v>
          </cell>
        </row>
        <row r="44">
          <cell r="A44">
            <v>177</v>
          </cell>
          <cell r="B44">
            <v>1</v>
          </cell>
        </row>
        <row r="45">
          <cell r="A45">
            <v>181</v>
          </cell>
          <cell r="B45">
            <v>0</v>
          </cell>
        </row>
        <row r="46">
          <cell r="A46">
            <v>186</v>
          </cell>
          <cell r="B46">
            <v>1</v>
          </cell>
        </row>
        <row r="47">
          <cell r="A47">
            <v>190</v>
          </cell>
          <cell r="B47">
            <v>0</v>
          </cell>
        </row>
        <row r="48">
          <cell r="A48">
            <v>192</v>
          </cell>
          <cell r="B48">
            <v>1</v>
          </cell>
        </row>
        <row r="49">
          <cell r="A49">
            <v>194</v>
          </cell>
          <cell r="B49">
            <v>0</v>
          </cell>
        </row>
        <row r="50">
          <cell r="A50">
            <v>201</v>
          </cell>
          <cell r="B50">
            <v>0</v>
          </cell>
        </row>
        <row r="51">
          <cell r="A51">
            <v>202</v>
          </cell>
          <cell r="B51">
            <v>0</v>
          </cell>
        </row>
        <row r="52">
          <cell r="A52">
            <v>223</v>
          </cell>
          <cell r="B52">
            <v>1</v>
          </cell>
        </row>
        <row r="53">
          <cell r="A53">
            <v>227</v>
          </cell>
          <cell r="B53">
            <v>1</v>
          </cell>
        </row>
        <row r="54">
          <cell r="A54">
            <v>228</v>
          </cell>
          <cell r="B54">
            <v>1</v>
          </cell>
        </row>
        <row r="55">
          <cell r="A55">
            <v>231</v>
          </cell>
          <cell r="B55">
            <v>1</v>
          </cell>
        </row>
        <row r="56">
          <cell r="A56">
            <v>233</v>
          </cell>
          <cell r="B56">
            <v>0</v>
          </cell>
        </row>
        <row r="57">
          <cell r="A57">
            <v>236</v>
          </cell>
          <cell r="B57">
            <v>1</v>
          </cell>
        </row>
        <row r="58">
          <cell r="A58">
            <v>241</v>
          </cell>
          <cell r="B58">
            <v>0</v>
          </cell>
        </row>
        <row r="59">
          <cell r="A59">
            <v>248</v>
          </cell>
          <cell r="B59">
            <v>0</v>
          </cell>
        </row>
        <row r="60">
          <cell r="A60">
            <v>255</v>
          </cell>
          <cell r="B60">
            <v>0</v>
          </cell>
        </row>
        <row r="61">
          <cell r="A61">
            <v>258</v>
          </cell>
          <cell r="B61">
            <v>1</v>
          </cell>
        </row>
        <row r="62">
          <cell r="A62">
            <v>259</v>
          </cell>
          <cell r="B62">
            <v>1</v>
          </cell>
        </row>
        <row r="63">
          <cell r="A63">
            <v>260</v>
          </cell>
          <cell r="B63">
            <v>1</v>
          </cell>
        </row>
        <row r="64">
          <cell r="A64">
            <v>264</v>
          </cell>
          <cell r="B64">
            <v>0</v>
          </cell>
        </row>
        <row r="65">
          <cell r="A65">
            <v>267</v>
          </cell>
          <cell r="B65">
            <v>1</v>
          </cell>
        </row>
        <row r="66">
          <cell r="A66">
            <v>268</v>
          </cell>
          <cell r="B66">
            <v>0</v>
          </cell>
        </row>
        <row r="67">
          <cell r="A67">
            <v>270</v>
          </cell>
          <cell r="B67">
            <v>1</v>
          </cell>
        </row>
        <row r="68">
          <cell r="A68">
            <v>275</v>
          </cell>
          <cell r="B68">
            <v>0</v>
          </cell>
        </row>
        <row r="69">
          <cell r="A69">
            <v>281</v>
          </cell>
          <cell r="B69">
            <v>1</v>
          </cell>
        </row>
        <row r="70">
          <cell r="A70">
            <v>282</v>
          </cell>
          <cell r="B70">
            <v>0</v>
          </cell>
        </row>
        <row r="71">
          <cell r="A71">
            <v>283</v>
          </cell>
          <cell r="B71">
            <v>1</v>
          </cell>
        </row>
        <row r="72">
          <cell r="A72">
            <v>285</v>
          </cell>
          <cell r="B72">
            <v>0</v>
          </cell>
        </row>
        <row r="73">
          <cell r="A73">
            <v>292</v>
          </cell>
          <cell r="B73">
            <v>1</v>
          </cell>
        </row>
        <row r="74">
          <cell r="A74">
            <v>293</v>
          </cell>
          <cell r="B74">
            <v>0</v>
          </cell>
        </row>
        <row r="75">
          <cell r="A75">
            <v>297</v>
          </cell>
          <cell r="B75">
            <v>0</v>
          </cell>
        </row>
        <row r="76">
          <cell r="A76">
            <v>299</v>
          </cell>
          <cell r="B76">
            <v>0</v>
          </cell>
        </row>
        <row r="77">
          <cell r="A77">
            <v>301</v>
          </cell>
          <cell r="B77">
            <v>0</v>
          </cell>
        </row>
        <row r="78">
          <cell r="A78">
            <v>302</v>
          </cell>
          <cell r="B78">
            <v>0</v>
          </cell>
        </row>
        <row r="79">
          <cell r="A79">
            <v>303</v>
          </cell>
          <cell r="B79">
            <v>1</v>
          </cell>
        </row>
        <row r="80">
          <cell r="A80">
            <v>304</v>
          </cell>
          <cell r="B80">
            <v>0</v>
          </cell>
        </row>
        <row r="81">
          <cell r="A81">
            <v>305</v>
          </cell>
          <cell r="B81">
            <v>0</v>
          </cell>
        </row>
        <row r="82">
          <cell r="A82">
            <v>306</v>
          </cell>
          <cell r="B82">
            <v>1</v>
          </cell>
        </row>
        <row r="83">
          <cell r="A83">
            <v>309</v>
          </cell>
          <cell r="B83">
            <v>0</v>
          </cell>
        </row>
        <row r="84">
          <cell r="A84">
            <v>321</v>
          </cell>
          <cell r="B84">
            <v>0</v>
          </cell>
        </row>
        <row r="85">
          <cell r="A85">
            <v>325</v>
          </cell>
          <cell r="B85">
            <v>0</v>
          </cell>
        </row>
        <row r="86">
          <cell r="A86">
            <v>330</v>
          </cell>
          <cell r="B86">
            <v>1</v>
          </cell>
        </row>
        <row r="87">
          <cell r="A87">
            <v>331</v>
          </cell>
          <cell r="B87">
            <v>0</v>
          </cell>
        </row>
        <row r="88">
          <cell r="A88">
            <v>335</v>
          </cell>
          <cell r="B88">
            <v>1</v>
          </cell>
        </row>
        <row r="89">
          <cell r="A89">
            <v>336</v>
          </cell>
          <cell r="B89">
            <v>0</v>
          </cell>
        </row>
        <row r="90">
          <cell r="A90">
            <v>341</v>
          </cell>
          <cell r="B90">
            <v>0</v>
          </cell>
        </row>
        <row r="91">
          <cell r="A91">
            <v>348</v>
          </cell>
          <cell r="B91">
            <v>0</v>
          </cell>
        </row>
        <row r="92">
          <cell r="A92">
            <v>351</v>
          </cell>
          <cell r="B92">
            <v>0</v>
          </cell>
        </row>
        <row r="93">
          <cell r="A93">
            <v>353</v>
          </cell>
          <cell r="B93">
            <v>0</v>
          </cell>
        </row>
        <row r="94">
          <cell r="A94">
            <v>361</v>
          </cell>
          <cell r="B94">
            <v>1</v>
          </cell>
        </row>
        <row r="95">
          <cell r="A95">
            <v>366</v>
          </cell>
          <cell r="B95">
            <v>0</v>
          </cell>
        </row>
        <row r="96">
          <cell r="A96">
            <v>367</v>
          </cell>
          <cell r="B96">
            <v>0</v>
          </cell>
        </row>
        <row r="97">
          <cell r="A97">
            <v>368</v>
          </cell>
          <cell r="B97">
            <v>0</v>
          </cell>
        </row>
        <row r="98">
          <cell r="A98">
            <v>372</v>
          </cell>
          <cell r="B98">
            <v>0</v>
          </cell>
        </row>
        <row r="99">
          <cell r="A99">
            <v>375</v>
          </cell>
          <cell r="B99">
            <v>1</v>
          </cell>
        </row>
        <row r="100">
          <cell r="A100">
            <v>382</v>
          </cell>
          <cell r="B100">
            <v>0</v>
          </cell>
        </row>
        <row r="101">
          <cell r="A101">
            <v>385</v>
          </cell>
          <cell r="B101">
            <v>0</v>
          </cell>
        </row>
        <row r="102">
          <cell r="A102">
            <v>386</v>
          </cell>
          <cell r="B102">
            <v>0</v>
          </cell>
        </row>
        <row r="103">
          <cell r="A103">
            <v>389</v>
          </cell>
          <cell r="B103">
            <v>0</v>
          </cell>
        </row>
        <row r="104">
          <cell r="A104">
            <v>396</v>
          </cell>
          <cell r="B104">
            <v>0</v>
          </cell>
        </row>
        <row r="105">
          <cell r="A105">
            <v>400</v>
          </cell>
          <cell r="B105">
            <v>0</v>
          </cell>
        </row>
        <row r="106">
          <cell r="A106">
            <v>403</v>
          </cell>
          <cell r="B106">
            <v>0</v>
          </cell>
        </row>
        <row r="107">
          <cell r="A107">
            <v>406</v>
          </cell>
          <cell r="B107">
            <v>0</v>
          </cell>
        </row>
        <row r="108">
          <cell r="A108">
            <v>414</v>
          </cell>
          <cell r="B108">
            <v>0</v>
          </cell>
        </row>
        <row r="109">
          <cell r="A109">
            <v>415</v>
          </cell>
          <cell r="B109">
            <v>1</v>
          </cell>
        </row>
        <row r="110">
          <cell r="A110">
            <v>418</v>
          </cell>
          <cell r="B110">
            <v>0</v>
          </cell>
        </row>
        <row r="111">
          <cell r="A111">
            <v>421</v>
          </cell>
          <cell r="B111">
            <v>0</v>
          </cell>
        </row>
        <row r="112">
          <cell r="A112">
            <v>424</v>
          </cell>
          <cell r="B112">
            <v>1</v>
          </cell>
        </row>
        <row r="113">
          <cell r="A113">
            <v>428</v>
          </cell>
          <cell r="B113">
            <v>0</v>
          </cell>
        </row>
        <row r="114">
          <cell r="A114">
            <v>432</v>
          </cell>
          <cell r="B114">
            <v>0</v>
          </cell>
        </row>
        <row r="115">
          <cell r="A115">
            <v>434</v>
          </cell>
          <cell r="B115">
            <v>0</v>
          </cell>
        </row>
        <row r="116">
          <cell r="A116">
            <v>435</v>
          </cell>
          <cell r="B116">
            <v>1</v>
          </cell>
        </row>
        <row r="117">
          <cell r="A117">
            <v>442</v>
          </cell>
          <cell r="B117">
            <v>0</v>
          </cell>
        </row>
        <row r="118">
          <cell r="A118">
            <v>446</v>
          </cell>
          <cell r="B118">
            <v>0</v>
          </cell>
        </row>
        <row r="119">
          <cell r="A119">
            <v>447</v>
          </cell>
          <cell r="B119">
            <v>0</v>
          </cell>
        </row>
        <row r="120">
          <cell r="A120">
            <v>453</v>
          </cell>
          <cell r="B120">
            <v>0</v>
          </cell>
        </row>
        <row r="121">
          <cell r="A121">
            <v>464</v>
          </cell>
          <cell r="B121">
            <v>0</v>
          </cell>
        </row>
        <row r="122">
          <cell r="A122">
            <v>478</v>
          </cell>
          <cell r="B122">
            <v>0</v>
          </cell>
        </row>
        <row r="123">
          <cell r="A123">
            <v>480</v>
          </cell>
          <cell r="B123">
            <v>1</v>
          </cell>
        </row>
        <row r="124">
          <cell r="A124">
            <v>486</v>
          </cell>
          <cell r="B124">
            <v>0</v>
          </cell>
        </row>
        <row r="125">
          <cell r="A125">
            <v>507</v>
          </cell>
          <cell r="B125">
            <v>0</v>
          </cell>
        </row>
        <row r="126">
          <cell r="A126">
            <v>510</v>
          </cell>
          <cell r="B126">
            <v>0</v>
          </cell>
        </row>
        <row r="127">
          <cell r="A127">
            <v>512</v>
          </cell>
          <cell r="B127">
            <v>0</v>
          </cell>
        </row>
        <row r="128">
          <cell r="A128">
            <v>525</v>
          </cell>
          <cell r="B128">
            <v>0</v>
          </cell>
        </row>
        <row r="129">
          <cell r="A129">
            <v>527</v>
          </cell>
          <cell r="B129">
            <v>0</v>
          </cell>
        </row>
        <row r="130">
          <cell r="A130">
            <v>534</v>
          </cell>
          <cell r="B130">
            <v>0</v>
          </cell>
        </row>
        <row r="131">
          <cell r="A131">
            <v>535</v>
          </cell>
          <cell r="B131">
            <v>1</v>
          </cell>
        </row>
        <row r="132">
          <cell r="A132">
            <v>536</v>
          </cell>
          <cell r="B132">
            <v>0</v>
          </cell>
        </row>
        <row r="133">
          <cell r="A133">
            <v>537</v>
          </cell>
          <cell r="B133">
            <v>0</v>
          </cell>
        </row>
        <row r="134">
          <cell r="A134">
            <v>541</v>
          </cell>
          <cell r="B134">
            <v>0</v>
          </cell>
        </row>
        <row r="135">
          <cell r="A135">
            <v>546</v>
          </cell>
          <cell r="B135">
            <v>1</v>
          </cell>
        </row>
        <row r="136">
          <cell r="A136">
            <v>547</v>
          </cell>
          <cell r="B136">
            <v>0</v>
          </cell>
        </row>
        <row r="137">
          <cell r="A137">
            <v>553</v>
          </cell>
          <cell r="B137">
            <v>0</v>
          </cell>
        </row>
        <row r="138">
          <cell r="A138">
            <v>555</v>
          </cell>
          <cell r="B138">
            <v>0</v>
          </cell>
        </row>
        <row r="139">
          <cell r="A139">
            <v>556</v>
          </cell>
          <cell r="B139">
            <v>0</v>
          </cell>
        </row>
        <row r="140">
          <cell r="A140">
            <v>558</v>
          </cell>
          <cell r="B140">
            <v>1</v>
          </cell>
        </row>
        <row r="141">
          <cell r="A141">
            <v>560</v>
          </cell>
          <cell r="B141">
            <v>0</v>
          </cell>
        </row>
        <row r="142">
          <cell r="A142">
            <v>563</v>
          </cell>
          <cell r="B142">
            <v>0</v>
          </cell>
        </row>
        <row r="143">
          <cell r="A143">
            <v>572</v>
          </cell>
          <cell r="B143">
            <v>0</v>
          </cell>
        </row>
        <row r="144">
          <cell r="A144">
            <v>573</v>
          </cell>
          <cell r="B144">
            <v>0</v>
          </cell>
        </row>
        <row r="145">
          <cell r="A145">
            <v>577</v>
          </cell>
          <cell r="B145">
            <v>0</v>
          </cell>
        </row>
        <row r="146">
          <cell r="A146">
            <v>579</v>
          </cell>
          <cell r="B146">
            <v>1</v>
          </cell>
        </row>
        <row r="147">
          <cell r="A147">
            <v>585</v>
          </cell>
          <cell r="B147">
            <v>0</v>
          </cell>
        </row>
        <row r="148">
          <cell r="A148">
            <v>587</v>
          </cell>
          <cell r="B148">
            <v>0</v>
          </cell>
        </row>
        <row r="149">
          <cell r="A149">
            <v>589</v>
          </cell>
          <cell r="B149">
            <v>0</v>
          </cell>
        </row>
        <row r="150">
          <cell r="A150">
            <v>592</v>
          </cell>
          <cell r="B150">
            <v>0</v>
          </cell>
        </row>
        <row r="151">
          <cell r="A151">
            <v>596</v>
          </cell>
          <cell r="B151">
            <v>0</v>
          </cell>
        </row>
        <row r="152">
          <cell r="A152">
            <v>598</v>
          </cell>
          <cell r="B152">
            <v>1</v>
          </cell>
        </row>
        <row r="153">
          <cell r="A153">
            <v>602</v>
          </cell>
          <cell r="B153">
            <v>0</v>
          </cell>
        </row>
        <row r="154">
          <cell r="A154">
            <v>607</v>
          </cell>
          <cell r="B154">
            <v>0</v>
          </cell>
        </row>
        <row r="155">
          <cell r="A155">
            <v>608</v>
          </cell>
          <cell r="B155">
            <v>0</v>
          </cell>
        </row>
        <row r="156">
          <cell r="A156">
            <v>612</v>
          </cell>
          <cell r="B156">
            <v>1</v>
          </cell>
        </row>
        <row r="157">
          <cell r="A157">
            <v>613</v>
          </cell>
          <cell r="B157">
            <v>0</v>
          </cell>
        </row>
        <row r="158">
          <cell r="A158">
            <v>614</v>
          </cell>
          <cell r="B158">
            <v>1</v>
          </cell>
        </row>
        <row r="159">
          <cell r="A159">
            <v>619</v>
          </cell>
          <cell r="B159">
            <v>0</v>
          </cell>
        </row>
        <row r="160">
          <cell r="A160">
            <v>620</v>
          </cell>
          <cell r="B160">
            <v>0</v>
          </cell>
        </row>
        <row r="161">
          <cell r="A161">
            <v>622</v>
          </cell>
          <cell r="B161">
            <v>1</v>
          </cell>
        </row>
        <row r="162">
          <cell r="A162">
            <v>623</v>
          </cell>
          <cell r="B162">
            <v>0</v>
          </cell>
        </row>
        <row r="163">
          <cell r="A163">
            <v>625</v>
          </cell>
          <cell r="B163">
            <v>0</v>
          </cell>
        </row>
        <row r="164">
          <cell r="A164">
            <v>631</v>
          </cell>
          <cell r="B164">
            <v>0</v>
          </cell>
        </row>
        <row r="165">
          <cell r="A165">
            <v>641</v>
          </cell>
          <cell r="B165">
            <v>0</v>
          </cell>
        </row>
        <row r="166">
          <cell r="A166">
            <v>644</v>
          </cell>
          <cell r="B166">
            <v>0</v>
          </cell>
        </row>
        <row r="167">
          <cell r="A167">
            <v>653</v>
          </cell>
          <cell r="B167">
            <v>0</v>
          </cell>
        </row>
        <row r="168">
          <cell r="A168">
            <v>654</v>
          </cell>
          <cell r="B168">
            <v>0</v>
          </cell>
        </row>
        <row r="169">
          <cell r="A169">
            <v>655</v>
          </cell>
          <cell r="B169">
            <v>0</v>
          </cell>
        </row>
        <row r="170">
          <cell r="A170">
            <v>660</v>
          </cell>
          <cell r="B170">
            <v>1</v>
          </cell>
        </row>
        <row r="171">
          <cell r="A171">
            <v>661</v>
          </cell>
          <cell r="B171">
            <v>1</v>
          </cell>
        </row>
        <row r="172">
          <cell r="A172">
            <v>671</v>
          </cell>
          <cell r="B172">
            <v>0</v>
          </cell>
        </row>
        <row r="173">
          <cell r="A173">
            <v>674</v>
          </cell>
          <cell r="B173">
            <v>0</v>
          </cell>
        </row>
        <row r="174">
          <cell r="A174">
            <v>675</v>
          </cell>
          <cell r="B174">
            <v>1</v>
          </cell>
        </row>
        <row r="175">
          <cell r="A175">
            <v>679</v>
          </cell>
          <cell r="B175">
            <v>0</v>
          </cell>
        </row>
        <row r="176">
          <cell r="A176">
            <v>692</v>
          </cell>
          <cell r="B176">
            <v>0</v>
          </cell>
        </row>
        <row r="177">
          <cell r="A177">
            <v>693</v>
          </cell>
          <cell r="B177">
            <v>1</v>
          </cell>
        </row>
        <row r="178">
          <cell r="A178">
            <v>697</v>
          </cell>
          <cell r="B178">
            <v>0</v>
          </cell>
        </row>
        <row r="179">
          <cell r="A179">
            <v>698</v>
          </cell>
          <cell r="B179">
            <v>0</v>
          </cell>
        </row>
        <row r="180">
          <cell r="A180">
            <v>700</v>
          </cell>
          <cell r="B180">
            <v>0</v>
          </cell>
        </row>
        <row r="181">
          <cell r="A181">
            <v>701</v>
          </cell>
          <cell r="B181">
            <v>0</v>
          </cell>
        </row>
        <row r="182">
          <cell r="A182">
            <v>702</v>
          </cell>
          <cell r="B182">
            <v>1</v>
          </cell>
        </row>
        <row r="183">
          <cell r="A183">
            <v>705</v>
          </cell>
          <cell r="B183">
            <v>0</v>
          </cell>
        </row>
        <row r="184">
          <cell r="A184">
            <v>718</v>
          </cell>
          <cell r="B184">
            <v>0</v>
          </cell>
        </row>
        <row r="185">
          <cell r="A185">
            <v>724</v>
          </cell>
          <cell r="B185">
            <v>0</v>
          </cell>
        </row>
        <row r="186">
          <cell r="A186">
            <v>726</v>
          </cell>
          <cell r="B186">
            <v>0</v>
          </cell>
        </row>
        <row r="187">
          <cell r="A187">
            <v>729</v>
          </cell>
          <cell r="B187">
            <v>0</v>
          </cell>
        </row>
        <row r="188">
          <cell r="A188">
            <v>730</v>
          </cell>
          <cell r="B188">
            <v>0</v>
          </cell>
        </row>
        <row r="189">
          <cell r="A189">
            <v>737</v>
          </cell>
          <cell r="B189">
            <v>0</v>
          </cell>
        </row>
        <row r="190">
          <cell r="A190">
            <v>745</v>
          </cell>
          <cell r="B190">
            <v>0</v>
          </cell>
        </row>
        <row r="191">
          <cell r="A191">
            <v>748</v>
          </cell>
          <cell r="B191">
            <v>1</v>
          </cell>
        </row>
        <row r="192">
          <cell r="A192">
            <v>757</v>
          </cell>
          <cell r="B192">
            <v>0</v>
          </cell>
        </row>
        <row r="193">
          <cell r="A193">
            <v>761</v>
          </cell>
          <cell r="B193">
            <v>1</v>
          </cell>
        </row>
        <row r="194">
          <cell r="A194">
            <v>763</v>
          </cell>
          <cell r="B194">
            <v>0</v>
          </cell>
        </row>
        <row r="195">
          <cell r="A195">
            <v>764</v>
          </cell>
          <cell r="B195">
            <v>0</v>
          </cell>
        </row>
        <row r="196">
          <cell r="A196">
            <v>767</v>
          </cell>
          <cell r="B196">
            <v>0</v>
          </cell>
        </row>
        <row r="197">
          <cell r="A197">
            <v>769</v>
          </cell>
          <cell r="B197">
            <v>0</v>
          </cell>
        </row>
        <row r="198">
          <cell r="A198">
            <v>774</v>
          </cell>
          <cell r="B198">
            <v>0</v>
          </cell>
        </row>
        <row r="199">
          <cell r="A199">
            <v>779</v>
          </cell>
          <cell r="B199">
            <v>0</v>
          </cell>
        </row>
        <row r="200">
          <cell r="A200">
            <v>790</v>
          </cell>
          <cell r="B200">
            <v>0</v>
          </cell>
        </row>
        <row r="201">
          <cell r="A201">
            <v>793</v>
          </cell>
          <cell r="B201">
            <v>1</v>
          </cell>
        </row>
        <row r="202">
          <cell r="A202">
            <v>801</v>
          </cell>
          <cell r="B202">
            <v>0</v>
          </cell>
        </row>
        <row r="203">
          <cell r="A203">
            <v>802</v>
          </cell>
          <cell r="B203">
            <v>1</v>
          </cell>
        </row>
        <row r="204">
          <cell r="A204">
            <v>804</v>
          </cell>
          <cell r="B204">
            <v>0</v>
          </cell>
        </row>
        <row r="205">
          <cell r="A205">
            <v>808</v>
          </cell>
          <cell r="B205">
            <v>1</v>
          </cell>
        </row>
        <row r="206">
          <cell r="A206">
            <v>810</v>
          </cell>
          <cell r="B206">
            <v>0</v>
          </cell>
        </row>
        <row r="207">
          <cell r="A207">
            <v>816</v>
          </cell>
          <cell r="B207">
            <v>0</v>
          </cell>
        </row>
        <row r="208">
          <cell r="A208">
            <v>821</v>
          </cell>
          <cell r="B208">
            <v>0</v>
          </cell>
        </row>
        <row r="209">
          <cell r="A209">
            <v>824</v>
          </cell>
          <cell r="B209">
            <v>0</v>
          </cell>
        </row>
        <row r="210">
          <cell r="A210">
            <v>827</v>
          </cell>
          <cell r="B210">
            <v>1</v>
          </cell>
        </row>
        <row r="211">
          <cell r="A211">
            <v>828</v>
          </cell>
          <cell r="B211">
            <v>0</v>
          </cell>
        </row>
        <row r="212">
          <cell r="A212">
            <v>834</v>
          </cell>
          <cell r="B212">
            <v>0</v>
          </cell>
        </row>
        <row r="213">
          <cell r="A213">
            <v>840</v>
          </cell>
          <cell r="B213">
            <v>1</v>
          </cell>
        </row>
        <row r="214">
          <cell r="A214">
            <v>846</v>
          </cell>
          <cell r="B214">
            <v>0</v>
          </cell>
        </row>
        <row r="215">
          <cell r="A215">
            <v>857</v>
          </cell>
          <cell r="B215">
            <v>0</v>
          </cell>
        </row>
        <row r="216">
          <cell r="A216">
            <v>858</v>
          </cell>
          <cell r="B216">
            <v>0</v>
          </cell>
        </row>
        <row r="217">
          <cell r="A217">
            <v>860</v>
          </cell>
          <cell r="B217">
            <v>0</v>
          </cell>
        </row>
        <row r="218">
          <cell r="A218">
            <v>861</v>
          </cell>
          <cell r="B218">
            <v>1</v>
          </cell>
        </row>
        <row r="219">
          <cell r="A219">
            <v>868</v>
          </cell>
          <cell r="B219">
            <v>0</v>
          </cell>
        </row>
        <row r="220">
          <cell r="A220">
            <v>872</v>
          </cell>
          <cell r="B220">
            <v>0</v>
          </cell>
        </row>
        <row r="221">
          <cell r="A221">
            <v>874</v>
          </cell>
          <cell r="B221">
            <v>1</v>
          </cell>
        </row>
        <row r="222">
          <cell r="A222">
            <v>877</v>
          </cell>
          <cell r="B222">
            <v>0</v>
          </cell>
        </row>
        <row r="223">
          <cell r="A223">
            <v>881</v>
          </cell>
          <cell r="B223">
            <v>0</v>
          </cell>
        </row>
        <row r="224">
          <cell r="A224">
            <v>885</v>
          </cell>
          <cell r="B224">
            <v>1</v>
          </cell>
        </row>
        <row r="225">
          <cell r="A225">
            <v>887</v>
          </cell>
          <cell r="B225">
            <v>1</v>
          </cell>
        </row>
        <row r="226">
          <cell r="A226">
            <v>888</v>
          </cell>
          <cell r="B226">
            <v>0</v>
          </cell>
        </row>
        <row r="227">
          <cell r="A227">
            <v>899</v>
          </cell>
          <cell r="B227">
            <v>0</v>
          </cell>
        </row>
        <row r="228">
          <cell r="A228">
            <v>900</v>
          </cell>
          <cell r="B228">
            <v>0</v>
          </cell>
        </row>
        <row r="229">
          <cell r="A229">
            <v>902</v>
          </cell>
          <cell r="B229">
            <v>0</v>
          </cell>
        </row>
        <row r="230">
          <cell r="A230">
            <v>906</v>
          </cell>
          <cell r="B230">
            <v>1</v>
          </cell>
        </row>
        <row r="231">
          <cell r="A231">
            <v>913</v>
          </cell>
          <cell r="B231">
            <v>0</v>
          </cell>
        </row>
        <row r="232">
          <cell r="A232">
            <v>916</v>
          </cell>
          <cell r="B232">
            <v>0</v>
          </cell>
        </row>
        <row r="233">
          <cell r="A233">
            <v>922</v>
          </cell>
          <cell r="B233">
            <v>0</v>
          </cell>
        </row>
        <row r="234">
          <cell r="A234">
            <v>925</v>
          </cell>
          <cell r="B234">
            <v>1</v>
          </cell>
        </row>
        <row r="235">
          <cell r="A235">
            <v>926</v>
          </cell>
          <cell r="B235">
            <v>0</v>
          </cell>
        </row>
        <row r="236">
          <cell r="A236">
            <v>927</v>
          </cell>
          <cell r="B236">
            <v>0</v>
          </cell>
        </row>
        <row r="237">
          <cell r="A237">
            <v>931</v>
          </cell>
          <cell r="B237">
            <v>0</v>
          </cell>
        </row>
        <row r="238">
          <cell r="A238">
            <v>943</v>
          </cell>
          <cell r="B238">
            <v>0</v>
          </cell>
        </row>
        <row r="239">
          <cell r="A239">
            <v>950</v>
          </cell>
          <cell r="B239">
            <v>1</v>
          </cell>
        </row>
        <row r="240">
          <cell r="A240">
            <v>952</v>
          </cell>
          <cell r="B240">
            <v>0</v>
          </cell>
        </row>
        <row r="241">
          <cell r="A241">
            <v>957</v>
          </cell>
          <cell r="B241">
            <v>1</v>
          </cell>
        </row>
        <row r="242">
          <cell r="A242">
            <v>959</v>
          </cell>
          <cell r="B242">
            <v>1</v>
          </cell>
        </row>
        <row r="243">
          <cell r="A243">
            <v>966</v>
          </cell>
          <cell r="B243">
            <v>0</v>
          </cell>
        </row>
        <row r="244">
          <cell r="A244">
            <v>968</v>
          </cell>
          <cell r="B244">
            <v>1</v>
          </cell>
        </row>
        <row r="245">
          <cell r="A245">
            <v>969</v>
          </cell>
          <cell r="B245">
            <v>1</v>
          </cell>
        </row>
        <row r="246">
          <cell r="A246">
            <v>970</v>
          </cell>
          <cell r="B246">
            <v>0</v>
          </cell>
        </row>
        <row r="247">
          <cell r="A247">
            <v>972</v>
          </cell>
          <cell r="B247">
            <v>0</v>
          </cell>
        </row>
        <row r="248">
          <cell r="A248">
            <v>976</v>
          </cell>
          <cell r="B248">
            <v>1</v>
          </cell>
        </row>
        <row r="249">
          <cell r="A249">
            <v>982</v>
          </cell>
          <cell r="B249">
            <v>0</v>
          </cell>
        </row>
        <row r="250">
          <cell r="A250">
            <v>983</v>
          </cell>
          <cell r="B250">
            <v>0</v>
          </cell>
        </row>
        <row r="251">
          <cell r="A251">
            <v>984</v>
          </cell>
          <cell r="B251">
            <v>0</v>
          </cell>
        </row>
        <row r="252">
          <cell r="A252">
            <v>986</v>
          </cell>
          <cell r="B252">
            <v>1</v>
          </cell>
        </row>
        <row r="253">
          <cell r="A253">
            <v>987</v>
          </cell>
          <cell r="B253">
            <v>0</v>
          </cell>
        </row>
        <row r="254">
          <cell r="A254">
            <v>991</v>
          </cell>
          <cell r="B254">
            <v>0</v>
          </cell>
        </row>
        <row r="255">
          <cell r="A255">
            <v>993</v>
          </cell>
          <cell r="B255">
            <v>0</v>
          </cell>
        </row>
        <row r="256">
          <cell r="A256">
            <v>994</v>
          </cell>
          <cell r="B256">
            <v>0</v>
          </cell>
        </row>
        <row r="257">
          <cell r="A257">
            <v>1000</v>
          </cell>
          <cell r="B257">
            <v>0</v>
          </cell>
        </row>
        <row r="258">
          <cell r="A258">
            <v>1004</v>
          </cell>
          <cell r="B258">
            <v>0</v>
          </cell>
        </row>
        <row r="259">
          <cell r="A259">
            <v>1006</v>
          </cell>
          <cell r="B259">
            <v>1</v>
          </cell>
        </row>
        <row r="260">
          <cell r="A260">
            <v>1008</v>
          </cell>
          <cell r="B260">
            <v>0</v>
          </cell>
        </row>
        <row r="261">
          <cell r="A261">
            <v>1009</v>
          </cell>
          <cell r="B261">
            <v>0</v>
          </cell>
        </row>
        <row r="262">
          <cell r="A262">
            <v>1015</v>
          </cell>
          <cell r="B262">
            <v>1</v>
          </cell>
        </row>
        <row r="263">
          <cell r="A263">
            <v>1017</v>
          </cell>
          <cell r="B263">
            <v>0</v>
          </cell>
        </row>
        <row r="264">
          <cell r="A264">
            <v>1027</v>
          </cell>
          <cell r="B264">
            <v>0</v>
          </cell>
        </row>
        <row r="265">
          <cell r="A265">
            <v>1028</v>
          </cell>
          <cell r="B265">
            <v>0</v>
          </cell>
        </row>
        <row r="266">
          <cell r="A266">
            <v>1038</v>
          </cell>
          <cell r="B266">
            <v>0</v>
          </cell>
        </row>
        <row r="267">
          <cell r="A267">
            <v>1041</v>
          </cell>
          <cell r="B267">
            <v>0</v>
          </cell>
        </row>
        <row r="268">
          <cell r="A268">
            <v>1044</v>
          </cell>
          <cell r="B268">
            <v>0</v>
          </cell>
        </row>
        <row r="269">
          <cell r="A269">
            <v>1047</v>
          </cell>
          <cell r="B269">
            <v>1</v>
          </cell>
        </row>
        <row r="270">
          <cell r="A270">
            <v>1051</v>
          </cell>
          <cell r="B270">
            <v>0</v>
          </cell>
        </row>
        <row r="271">
          <cell r="A271">
            <v>1053</v>
          </cell>
          <cell r="B271">
            <v>0</v>
          </cell>
        </row>
        <row r="272">
          <cell r="A272">
            <v>1058</v>
          </cell>
          <cell r="B272">
            <v>0</v>
          </cell>
        </row>
        <row r="273">
          <cell r="A273">
            <v>1065</v>
          </cell>
          <cell r="B273">
            <v>0</v>
          </cell>
        </row>
        <row r="274">
          <cell r="A274">
            <v>1068</v>
          </cell>
          <cell r="B274">
            <v>1</v>
          </cell>
        </row>
        <row r="275">
          <cell r="A275">
            <v>1071</v>
          </cell>
          <cell r="B275">
            <v>1</v>
          </cell>
        </row>
        <row r="276">
          <cell r="A276">
            <v>1073</v>
          </cell>
          <cell r="B276">
            <v>0</v>
          </cell>
        </row>
        <row r="277">
          <cell r="A277">
            <v>1079</v>
          </cell>
          <cell r="B277">
            <v>1</v>
          </cell>
        </row>
        <row r="278">
          <cell r="A278">
            <v>1081</v>
          </cell>
          <cell r="B278">
            <v>0</v>
          </cell>
        </row>
        <row r="279">
          <cell r="A279">
            <v>1083</v>
          </cell>
          <cell r="B279">
            <v>0</v>
          </cell>
        </row>
        <row r="280">
          <cell r="A280">
            <v>1086</v>
          </cell>
          <cell r="B280">
            <v>0</v>
          </cell>
        </row>
        <row r="281">
          <cell r="A281">
            <v>1087</v>
          </cell>
          <cell r="B281">
            <v>0</v>
          </cell>
        </row>
        <row r="282">
          <cell r="A282">
            <v>1090</v>
          </cell>
          <cell r="B282">
            <v>0</v>
          </cell>
        </row>
        <row r="283">
          <cell r="A283">
            <v>1093</v>
          </cell>
          <cell r="B283">
            <v>0</v>
          </cell>
        </row>
        <row r="284">
          <cell r="A284">
            <v>1100</v>
          </cell>
          <cell r="B284">
            <v>0</v>
          </cell>
        </row>
        <row r="285">
          <cell r="A285">
            <v>1109</v>
          </cell>
          <cell r="B285">
            <v>0</v>
          </cell>
        </row>
        <row r="286">
          <cell r="A286">
            <v>1115</v>
          </cell>
          <cell r="B286">
            <v>1</v>
          </cell>
        </row>
        <row r="287">
          <cell r="A287">
            <v>1117</v>
          </cell>
          <cell r="B287">
            <v>1</v>
          </cell>
        </row>
        <row r="288">
          <cell r="A288">
            <v>1131</v>
          </cell>
          <cell r="B288">
            <v>0</v>
          </cell>
        </row>
        <row r="289">
          <cell r="A289">
            <v>1132</v>
          </cell>
          <cell r="B289">
            <v>1</v>
          </cell>
        </row>
        <row r="290">
          <cell r="A290">
            <v>1135</v>
          </cell>
          <cell r="B290">
            <v>0</v>
          </cell>
        </row>
        <row r="291">
          <cell r="A291">
            <v>1138</v>
          </cell>
          <cell r="B291">
            <v>1</v>
          </cell>
        </row>
        <row r="292">
          <cell r="A292">
            <v>1141</v>
          </cell>
          <cell r="B292">
            <v>0</v>
          </cell>
        </row>
        <row r="293">
          <cell r="A293">
            <v>1146</v>
          </cell>
          <cell r="B293">
            <v>1</v>
          </cell>
        </row>
        <row r="294">
          <cell r="A294">
            <v>1149</v>
          </cell>
          <cell r="B294">
            <v>0</v>
          </cell>
        </row>
        <row r="295">
          <cell r="A295">
            <v>1153</v>
          </cell>
          <cell r="B295">
            <v>1</v>
          </cell>
        </row>
        <row r="296">
          <cell r="A296">
            <v>1159</v>
          </cell>
          <cell r="B296">
            <v>1</v>
          </cell>
        </row>
        <row r="297">
          <cell r="A297">
            <v>1162</v>
          </cell>
          <cell r="B297">
            <v>0</v>
          </cell>
        </row>
        <row r="298">
          <cell r="A298">
            <v>1166</v>
          </cell>
          <cell r="B298">
            <v>0</v>
          </cell>
        </row>
        <row r="299">
          <cell r="A299">
            <v>1167</v>
          </cell>
          <cell r="B299">
            <v>0</v>
          </cell>
        </row>
        <row r="300">
          <cell r="A300">
            <v>1172</v>
          </cell>
          <cell r="B300">
            <v>1</v>
          </cell>
        </row>
        <row r="301">
          <cell r="A301">
            <v>1178</v>
          </cell>
          <cell r="B301">
            <v>0</v>
          </cell>
        </row>
        <row r="302">
          <cell r="A302">
            <v>1184</v>
          </cell>
          <cell r="B302">
            <v>0</v>
          </cell>
        </row>
        <row r="303">
          <cell r="A303">
            <v>1189</v>
          </cell>
          <cell r="B303">
            <v>1</v>
          </cell>
        </row>
        <row r="304">
          <cell r="A304">
            <v>1198</v>
          </cell>
          <cell r="B304">
            <v>0</v>
          </cell>
        </row>
        <row r="305">
          <cell r="A305">
            <v>1204</v>
          </cell>
          <cell r="B305">
            <v>0</v>
          </cell>
        </row>
        <row r="306">
          <cell r="A306">
            <v>1205</v>
          </cell>
          <cell r="B306">
            <v>1</v>
          </cell>
        </row>
        <row r="307">
          <cell r="A307">
            <v>1210</v>
          </cell>
          <cell r="B307">
            <v>1</v>
          </cell>
        </row>
        <row r="308">
          <cell r="A308">
            <v>1211</v>
          </cell>
          <cell r="B308">
            <v>1</v>
          </cell>
        </row>
        <row r="309">
          <cell r="A309">
            <v>1215</v>
          </cell>
          <cell r="B309">
            <v>0</v>
          </cell>
        </row>
        <row r="310">
          <cell r="A310">
            <v>1219</v>
          </cell>
          <cell r="B310">
            <v>0</v>
          </cell>
        </row>
        <row r="311">
          <cell r="A311">
            <v>1225</v>
          </cell>
          <cell r="B311">
            <v>0</v>
          </cell>
        </row>
        <row r="312">
          <cell r="A312">
            <v>1227</v>
          </cell>
          <cell r="B312">
            <v>1</v>
          </cell>
        </row>
        <row r="313">
          <cell r="A313">
            <v>1228</v>
          </cell>
          <cell r="B313">
            <v>0</v>
          </cell>
        </row>
        <row r="314">
          <cell r="A314">
            <v>1230</v>
          </cell>
          <cell r="B314">
            <v>1</v>
          </cell>
        </row>
        <row r="315">
          <cell r="A315">
            <v>1231</v>
          </cell>
          <cell r="B315">
            <v>0</v>
          </cell>
        </row>
        <row r="316">
          <cell r="A316">
            <v>1237</v>
          </cell>
          <cell r="B316">
            <v>0</v>
          </cell>
        </row>
        <row r="317">
          <cell r="A317">
            <v>1243</v>
          </cell>
          <cell r="B317">
            <v>0</v>
          </cell>
        </row>
        <row r="318">
          <cell r="A318">
            <v>1244</v>
          </cell>
          <cell r="B318">
            <v>1</v>
          </cell>
        </row>
        <row r="319">
          <cell r="A319">
            <v>1246</v>
          </cell>
          <cell r="B319">
            <v>1</v>
          </cell>
        </row>
        <row r="320">
          <cell r="A320">
            <v>1247</v>
          </cell>
          <cell r="B320">
            <v>0</v>
          </cell>
        </row>
        <row r="321">
          <cell r="A321">
            <v>1256</v>
          </cell>
          <cell r="B321">
            <v>0</v>
          </cell>
        </row>
        <row r="322">
          <cell r="A322">
            <v>1262</v>
          </cell>
          <cell r="B322">
            <v>0</v>
          </cell>
        </row>
        <row r="323">
          <cell r="A323">
            <v>1264</v>
          </cell>
          <cell r="B323">
            <v>0</v>
          </cell>
        </row>
        <row r="324">
          <cell r="A324">
            <v>1265</v>
          </cell>
          <cell r="B324">
            <v>0</v>
          </cell>
        </row>
        <row r="325">
          <cell r="A325">
            <v>1267</v>
          </cell>
          <cell r="B325">
            <v>0</v>
          </cell>
        </row>
        <row r="326">
          <cell r="A326">
            <v>1270</v>
          </cell>
          <cell r="B326">
            <v>0</v>
          </cell>
        </row>
        <row r="327">
          <cell r="A327">
            <v>1271</v>
          </cell>
          <cell r="B327">
            <v>0</v>
          </cell>
        </row>
        <row r="328">
          <cell r="A328">
            <v>1274</v>
          </cell>
          <cell r="B328">
            <v>0</v>
          </cell>
        </row>
        <row r="329">
          <cell r="A329">
            <v>1279</v>
          </cell>
          <cell r="B329">
            <v>0</v>
          </cell>
        </row>
        <row r="330">
          <cell r="A330">
            <v>1282</v>
          </cell>
          <cell r="B330">
            <v>0</v>
          </cell>
        </row>
        <row r="331">
          <cell r="A331">
            <v>1283</v>
          </cell>
          <cell r="B331">
            <v>0</v>
          </cell>
        </row>
        <row r="332">
          <cell r="A332">
            <v>1291</v>
          </cell>
          <cell r="B332">
            <v>0</v>
          </cell>
        </row>
        <row r="333">
          <cell r="A333">
            <v>1297</v>
          </cell>
          <cell r="B333">
            <v>0</v>
          </cell>
        </row>
        <row r="334">
          <cell r="A334">
            <v>1298</v>
          </cell>
          <cell r="B334">
            <v>0</v>
          </cell>
        </row>
        <row r="335">
          <cell r="A335">
            <v>1301</v>
          </cell>
          <cell r="B335">
            <v>0</v>
          </cell>
        </row>
        <row r="336">
          <cell r="A336">
            <v>1304</v>
          </cell>
          <cell r="B336">
            <v>0</v>
          </cell>
        </row>
        <row r="337">
          <cell r="A337">
            <v>1314</v>
          </cell>
          <cell r="B337">
            <v>0</v>
          </cell>
        </row>
        <row r="338">
          <cell r="A338">
            <v>1315</v>
          </cell>
          <cell r="B338">
            <v>0</v>
          </cell>
        </row>
        <row r="339">
          <cell r="A339">
            <v>1323</v>
          </cell>
          <cell r="B339">
            <v>0</v>
          </cell>
        </row>
        <row r="340">
          <cell r="A340">
            <v>1334</v>
          </cell>
          <cell r="B340">
            <v>0</v>
          </cell>
        </row>
        <row r="341">
          <cell r="A341">
            <v>1336</v>
          </cell>
          <cell r="B341">
            <v>1</v>
          </cell>
        </row>
        <row r="342">
          <cell r="A342">
            <v>1338</v>
          </cell>
          <cell r="B342">
            <v>0</v>
          </cell>
        </row>
        <row r="343">
          <cell r="A343">
            <v>1342</v>
          </cell>
          <cell r="B343">
            <v>0</v>
          </cell>
        </row>
        <row r="344">
          <cell r="A344">
            <v>1347</v>
          </cell>
          <cell r="B344">
            <v>0</v>
          </cell>
        </row>
        <row r="345">
          <cell r="A345">
            <v>1353</v>
          </cell>
          <cell r="B345">
            <v>1</v>
          </cell>
        </row>
        <row r="346">
          <cell r="A346">
            <v>1361</v>
          </cell>
          <cell r="B346">
            <v>0</v>
          </cell>
        </row>
        <row r="347">
          <cell r="A347">
            <v>1365</v>
          </cell>
          <cell r="B347">
            <v>1</v>
          </cell>
        </row>
        <row r="348">
          <cell r="A348">
            <v>1369</v>
          </cell>
          <cell r="B348">
            <v>1</v>
          </cell>
        </row>
        <row r="349">
          <cell r="A349">
            <v>1376</v>
          </cell>
          <cell r="B349">
            <v>0</v>
          </cell>
        </row>
        <row r="350">
          <cell r="A350">
            <v>1379</v>
          </cell>
          <cell r="B350">
            <v>1</v>
          </cell>
        </row>
        <row r="351">
          <cell r="A351">
            <v>1381</v>
          </cell>
          <cell r="B351">
            <v>1</v>
          </cell>
        </row>
        <row r="352">
          <cell r="A352">
            <v>1390</v>
          </cell>
          <cell r="B352">
            <v>0</v>
          </cell>
        </row>
        <row r="353">
          <cell r="A353">
            <v>1395</v>
          </cell>
          <cell r="B353">
            <v>1</v>
          </cell>
        </row>
        <row r="354">
          <cell r="A354">
            <v>1402</v>
          </cell>
          <cell r="B354">
            <v>0</v>
          </cell>
        </row>
        <row r="355">
          <cell r="A355">
            <v>1403</v>
          </cell>
          <cell r="B355">
            <v>1</v>
          </cell>
        </row>
        <row r="356">
          <cell r="A356">
            <v>1406</v>
          </cell>
          <cell r="B356">
            <v>0</v>
          </cell>
        </row>
        <row r="357">
          <cell r="A357">
            <v>1409</v>
          </cell>
          <cell r="B357">
            <v>0</v>
          </cell>
        </row>
        <row r="358">
          <cell r="A358">
            <v>1415</v>
          </cell>
          <cell r="B358">
            <v>0</v>
          </cell>
        </row>
        <row r="359">
          <cell r="A359">
            <v>1418</v>
          </cell>
          <cell r="B359">
            <v>1</v>
          </cell>
        </row>
        <row r="360">
          <cell r="A360">
            <v>1421</v>
          </cell>
          <cell r="B360">
            <v>0</v>
          </cell>
        </row>
        <row r="361">
          <cell r="A361">
            <v>1428</v>
          </cell>
          <cell r="B361">
            <v>1</v>
          </cell>
        </row>
        <row r="362">
          <cell r="A362">
            <v>1437</v>
          </cell>
          <cell r="B362">
            <v>0</v>
          </cell>
        </row>
        <row r="363">
          <cell r="A363">
            <v>1440</v>
          </cell>
          <cell r="B363">
            <v>0</v>
          </cell>
        </row>
        <row r="364">
          <cell r="A364">
            <v>1441</v>
          </cell>
          <cell r="B364">
            <v>1</v>
          </cell>
        </row>
        <row r="365">
          <cell r="A365">
            <v>1443</v>
          </cell>
          <cell r="B365">
            <v>0</v>
          </cell>
        </row>
        <row r="366">
          <cell r="A366">
            <v>1447</v>
          </cell>
          <cell r="B366">
            <v>0</v>
          </cell>
        </row>
        <row r="367">
          <cell r="A367">
            <v>1450</v>
          </cell>
          <cell r="B367">
            <v>1</v>
          </cell>
        </row>
        <row r="368">
          <cell r="A368">
            <v>1456</v>
          </cell>
          <cell r="B368">
            <v>0</v>
          </cell>
        </row>
        <row r="369">
          <cell r="A369">
            <v>1463</v>
          </cell>
          <cell r="B369">
            <v>1</v>
          </cell>
        </row>
        <row r="370">
          <cell r="A370">
            <v>1464</v>
          </cell>
          <cell r="B370">
            <v>0</v>
          </cell>
        </row>
        <row r="371">
          <cell r="A371">
            <v>1468</v>
          </cell>
          <cell r="B371">
            <v>1</v>
          </cell>
        </row>
        <row r="372">
          <cell r="A372">
            <v>1470</v>
          </cell>
          <cell r="B372">
            <v>0</v>
          </cell>
        </row>
        <row r="373">
          <cell r="A373">
            <v>1475</v>
          </cell>
          <cell r="B373">
            <v>0</v>
          </cell>
        </row>
        <row r="374">
          <cell r="A374">
            <v>1476</v>
          </cell>
          <cell r="B374">
            <v>1</v>
          </cell>
        </row>
        <row r="375">
          <cell r="A375">
            <v>1480</v>
          </cell>
          <cell r="B375">
            <v>0</v>
          </cell>
        </row>
        <row r="376">
          <cell r="A376">
            <v>1482</v>
          </cell>
          <cell r="B376">
            <v>0</v>
          </cell>
        </row>
        <row r="377">
          <cell r="A377">
            <v>1496</v>
          </cell>
          <cell r="B377">
            <v>1</v>
          </cell>
        </row>
        <row r="378">
          <cell r="A378">
            <v>1501</v>
          </cell>
          <cell r="B378">
            <v>0</v>
          </cell>
        </row>
        <row r="379">
          <cell r="A379">
            <v>1512</v>
          </cell>
          <cell r="B379">
            <v>0</v>
          </cell>
        </row>
        <row r="380">
          <cell r="A380">
            <v>1513</v>
          </cell>
          <cell r="B380">
            <v>0</v>
          </cell>
        </row>
        <row r="381">
          <cell r="A381">
            <v>1518</v>
          </cell>
          <cell r="B381">
            <v>1</v>
          </cell>
        </row>
        <row r="382">
          <cell r="A382">
            <v>1522</v>
          </cell>
          <cell r="B382">
            <v>0</v>
          </cell>
        </row>
        <row r="383">
          <cell r="A383">
            <v>1528</v>
          </cell>
          <cell r="B383">
            <v>1</v>
          </cell>
        </row>
        <row r="384">
          <cell r="A384">
            <v>1529</v>
          </cell>
          <cell r="B384">
            <v>1</v>
          </cell>
        </row>
        <row r="385">
          <cell r="A385">
            <v>1540</v>
          </cell>
          <cell r="B385">
            <v>0</v>
          </cell>
        </row>
        <row r="386">
          <cell r="A386">
            <v>1546</v>
          </cell>
          <cell r="B386">
            <v>1</v>
          </cell>
        </row>
        <row r="387">
          <cell r="A387">
            <v>1547</v>
          </cell>
          <cell r="B387">
            <v>0</v>
          </cell>
        </row>
        <row r="388">
          <cell r="A388">
            <v>1548</v>
          </cell>
          <cell r="B388">
            <v>1</v>
          </cell>
        </row>
        <row r="389">
          <cell r="A389">
            <v>1551</v>
          </cell>
          <cell r="B389">
            <v>0</v>
          </cell>
        </row>
        <row r="390">
          <cell r="A390">
            <v>1554</v>
          </cell>
          <cell r="B390">
            <v>1</v>
          </cell>
        </row>
        <row r="391">
          <cell r="A391">
            <v>1555</v>
          </cell>
          <cell r="B391">
            <v>0</v>
          </cell>
        </row>
        <row r="392">
          <cell r="A392">
            <v>1561</v>
          </cell>
          <cell r="B392">
            <v>0</v>
          </cell>
        </row>
        <row r="393">
          <cell r="A393">
            <v>1567</v>
          </cell>
          <cell r="B393">
            <v>1</v>
          </cell>
        </row>
        <row r="394">
          <cell r="A394">
            <v>1582</v>
          </cell>
          <cell r="B394">
            <v>0</v>
          </cell>
        </row>
        <row r="395">
          <cell r="A395">
            <v>1583</v>
          </cell>
          <cell r="B395">
            <v>0</v>
          </cell>
        </row>
        <row r="396">
          <cell r="A396">
            <v>1593</v>
          </cell>
          <cell r="B396">
            <v>0</v>
          </cell>
        </row>
        <row r="397">
          <cell r="A397">
            <v>1595</v>
          </cell>
          <cell r="B397">
            <v>0</v>
          </cell>
        </row>
        <row r="398">
          <cell r="A398">
            <v>1602</v>
          </cell>
          <cell r="B398">
            <v>0</v>
          </cell>
        </row>
        <row r="399">
          <cell r="A399">
            <v>1604</v>
          </cell>
          <cell r="B399">
            <v>0</v>
          </cell>
        </row>
        <row r="400">
          <cell r="A400">
            <v>1610</v>
          </cell>
          <cell r="B400">
            <v>1</v>
          </cell>
        </row>
        <row r="401">
          <cell r="A401">
            <v>1611</v>
          </cell>
          <cell r="B401">
            <v>0</v>
          </cell>
        </row>
        <row r="402">
          <cell r="A402">
            <v>1617</v>
          </cell>
          <cell r="B402">
            <v>0</v>
          </cell>
        </row>
        <row r="403">
          <cell r="A403">
            <v>1618</v>
          </cell>
          <cell r="B403">
            <v>0</v>
          </cell>
        </row>
        <row r="404">
          <cell r="A404">
            <v>1622</v>
          </cell>
          <cell r="B404">
            <v>0</v>
          </cell>
        </row>
        <row r="405">
          <cell r="A405">
            <v>1624</v>
          </cell>
          <cell r="B405">
            <v>0</v>
          </cell>
        </row>
        <row r="406">
          <cell r="A406">
            <v>1627</v>
          </cell>
          <cell r="B406">
            <v>0</v>
          </cell>
        </row>
        <row r="407">
          <cell r="A407">
            <v>1629</v>
          </cell>
          <cell r="B407">
            <v>0</v>
          </cell>
        </row>
        <row r="408">
          <cell r="A408">
            <v>1631</v>
          </cell>
          <cell r="B408">
            <v>1</v>
          </cell>
        </row>
        <row r="409">
          <cell r="A409">
            <v>1632</v>
          </cell>
          <cell r="B409">
            <v>0</v>
          </cell>
        </row>
        <row r="410">
          <cell r="A410">
            <v>1634</v>
          </cell>
          <cell r="B410">
            <v>0</v>
          </cell>
        </row>
        <row r="411">
          <cell r="A411">
            <v>1636</v>
          </cell>
          <cell r="B411">
            <v>0</v>
          </cell>
        </row>
        <row r="412">
          <cell r="A412">
            <v>1637</v>
          </cell>
          <cell r="B412">
            <v>0</v>
          </cell>
        </row>
        <row r="413">
          <cell r="A413">
            <v>1638</v>
          </cell>
          <cell r="B413">
            <v>0</v>
          </cell>
        </row>
        <row r="414">
          <cell r="A414">
            <v>1639</v>
          </cell>
          <cell r="B414">
            <v>0</v>
          </cell>
        </row>
        <row r="415">
          <cell r="A415">
            <v>1646</v>
          </cell>
          <cell r="B415">
            <v>0</v>
          </cell>
        </row>
        <row r="416">
          <cell r="A416">
            <v>1647</v>
          </cell>
          <cell r="B416">
            <v>1</v>
          </cell>
        </row>
        <row r="417">
          <cell r="A417">
            <v>1651</v>
          </cell>
          <cell r="B417">
            <v>0</v>
          </cell>
        </row>
        <row r="418">
          <cell r="A418">
            <v>1653</v>
          </cell>
          <cell r="B418">
            <v>0</v>
          </cell>
        </row>
        <row r="419">
          <cell r="A419">
            <v>1656</v>
          </cell>
          <cell r="B419">
            <v>0</v>
          </cell>
        </row>
        <row r="420">
          <cell r="A420">
            <v>1657</v>
          </cell>
          <cell r="B420">
            <v>1</v>
          </cell>
        </row>
        <row r="421">
          <cell r="A421">
            <v>1663</v>
          </cell>
          <cell r="B421">
            <v>0</v>
          </cell>
        </row>
        <row r="422">
          <cell r="A422">
            <v>1667</v>
          </cell>
          <cell r="B422">
            <v>0</v>
          </cell>
        </row>
        <row r="423">
          <cell r="A423">
            <v>1668</v>
          </cell>
          <cell r="B423">
            <v>1</v>
          </cell>
        </row>
        <row r="424">
          <cell r="A424">
            <v>1671</v>
          </cell>
          <cell r="B424">
            <v>0</v>
          </cell>
        </row>
        <row r="425">
          <cell r="A425">
            <v>1675</v>
          </cell>
          <cell r="B425">
            <v>0</v>
          </cell>
        </row>
        <row r="426">
          <cell r="A426">
            <v>1678</v>
          </cell>
          <cell r="B426">
            <v>1</v>
          </cell>
        </row>
        <row r="427">
          <cell r="A427">
            <v>1681</v>
          </cell>
          <cell r="B427">
            <v>0</v>
          </cell>
        </row>
        <row r="428">
          <cell r="A428">
            <v>1682</v>
          </cell>
          <cell r="B428">
            <v>0</v>
          </cell>
        </row>
        <row r="429">
          <cell r="A429">
            <v>1685</v>
          </cell>
          <cell r="B429">
            <v>0</v>
          </cell>
        </row>
        <row r="430">
          <cell r="A430">
            <v>1688</v>
          </cell>
          <cell r="B430">
            <v>0</v>
          </cell>
        </row>
        <row r="431">
          <cell r="A431">
            <v>1691</v>
          </cell>
          <cell r="B431">
            <v>1</v>
          </cell>
        </row>
        <row r="432">
          <cell r="A432">
            <v>1698</v>
          </cell>
          <cell r="B432">
            <v>0</v>
          </cell>
        </row>
        <row r="433">
          <cell r="A433">
            <v>1699</v>
          </cell>
          <cell r="B433">
            <v>1</v>
          </cell>
        </row>
        <row r="434">
          <cell r="A434">
            <v>1701</v>
          </cell>
          <cell r="B434">
            <v>0</v>
          </cell>
        </row>
        <row r="435">
          <cell r="A435">
            <v>1705</v>
          </cell>
          <cell r="B435">
            <v>0</v>
          </cell>
        </row>
        <row r="436">
          <cell r="A436">
            <v>1706</v>
          </cell>
          <cell r="B436">
            <v>1</v>
          </cell>
        </row>
        <row r="437">
          <cell r="A437">
            <v>1712</v>
          </cell>
          <cell r="B437">
            <v>0</v>
          </cell>
        </row>
        <row r="438">
          <cell r="A438">
            <v>1728</v>
          </cell>
          <cell r="B438">
            <v>0</v>
          </cell>
        </row>
        <row r="439">
          <cell r="A439">
            <v>1729</v>
          </cell>
          <cell r="B439">
            <v>0</v>
          </cell>
        </row>
        <row r="440">
          <cell r="A440">
            <v>1730</v>
          </cell>
          <cell r="B440">
            <v>1</v>
          </cell>
        </row>
        <row r="441">
          <cell r="A441">
            <v>1733</v>
          </cell>
          <cell r="B441">
            <v>0</v>
          </cell>
        </row>
        <row r="442">
          <cell r="A442">
            <v>1735</v>
          </cell>
          <cell r="B442">
            <v>1</v>
          </cell>
        </row>
        <row r="443">
          <cell r="A443">
            <v>1739</v>
          </cell>
          <cell r="B443">
            <v>0</v>
          </cell>
        </row>
        <row r="444">
          <cell r="A444">
            <v>1750</v>
          </cell>
          <cell r="B444">
            <v>1</v>
          </cell>
        </row>
        <row r="445">
          <cell r="A445">
            <v>1754</v>
          </cell>
          <cell r="B445">
            <v>1</v>
          </cell>
        </row>
        <row r="446">
          <cell r="A446">
            <v>1757</v>
          </cell>
          <cell r="B446">
            <v>1</v>
          </cell>
        </row>
        <row r="447">
          <cell r="A447">
            <v>1761</v>
          </cell>
          <cell r="B447">
            <v>1</v>
          </cell>
        </row>
        <row r="448">
          <cell r="A448">
            <v>1778</v>
          </cell>
          <cell r="B448">
            <v>0</v>
          </cell>
        </row>
        <row r="449">
          <cell r="A449">
            <v>1781</v>
          </cell>
          <cell r="B449">
            <v>1</v>
          </cell>
        </row>
        <row r="450">
          <cell r="A450">
            <v>1785</v>
          </cell>
          <cell r="B450">
            <v>0</v>
          </cell>
        </row>
        <row r="451">
          <cell r="A451">
            <v>1786</v>
          </cell>
          <cell r="B451">
            <v>0</v>
          </cell>
        </row>
        <row r="452">
          <cell r="A452">
            <v>1787</v>
          </cell>
          <cell r="B452">
            <v>1</v>
          </cell>
        </row>
        <row r="453">
          <cell r="A453">
            <v>1797</v>
          </cell>
          <cell r="B453">
            <v>0</v>
          </cell>
        </row>
        <row r="454">
          <cell r="A454">
            <v>1803</v>
          </cell>
          <cell r="B454">
            <v>1</v>
          </cell>
        </row>
        <row r="455">
          <cell r="A455">
            <v>1805</v>
          </cell>
          <cell r="B455">
            <v>0</v>
          </cell>
        </row>
        <row r="456">
          <cell r="A456">
            <v>1807</v>
          </cell>
          <cell r="B456">
            <v>0</v>
          </cell>
        </row>
        <row r="457">
          <cell r="A457">
            <v>1811</v>
          </cell>
          <cell r="B457">
            <v>0</v>
          </cell>
        </row>
        <row r="458">
          <cell r="A458">
            <v>1813</v>
          </cell>
          <cell r="B458">
            <v>0</v>
          </cell>
        </row>
        <row r="459">
          <cell r="A459">
            <v>1820</v>
          </cell>
          <cell r="B459">
            <v>1</v>
          </cell>
        </row>
        <row r="460">
          <cell r="A460">
            <v>1821</v>
          </cell>
          <cell r="B460">
            <v>0</v>
          </cell>
        </row>
        <row r="461">
          <cell r="A461">
            <v>1824</v>
          </cell>
          <cell r="B461">
            <v>0</v>
          </cell>
        </row>
        <row r="462">
          <cell r="A462">
            <v>1825</v>
          </cell>
          <cell r="B462">
            <v>0</v>
          </cell>
        </row>
        <row r="463">
          <cell r="A463">
            <v>1830</v>
          </cell>
          <cell r="B463">
            <v>0</v>
          </cell>
        </row>
        <row r="464">
          <cell r="A464">
            <v>1839</v>
          </cell>
          <cell r="B464">
            <v>0</v>
          </cell>
        </row>
        <row r="465">
          <cell r="A465">
            <v>1842</v>
          </cell>
          <cell r="B465">
            <v>1</v>
          </cell>
        </row>
        <row r="466">
          <cell r="A466">
            <v>1852</v>
          </cell>
          <cell r="B466">
            <v>0</v>
          </cell>
        </row>
        <row r="467">
          <cell r="A467">
            <v>1862</v>
          </cell>
          <cell r="B467">
            <v>1</v>
          </cell>
        </row>
        <row r="468">
          <cell r="A468">
            <v>1865</v>
          </cell>
          <cell r="B468">
            <v>1</v>
          </cell>
        </row>
        <row r="469">
          <cell r="A469">
            <v>1871</v>
          </cell>
          <cell r="B469">
            <v>0</v>
          </cell>
        </row>
        <row r="470">
          <cell r="A470">
            <v>1874</v>
          </cell>
          <cell r="B470">
            <v>1</v>
          </cell>
        </row>
        <row r="471">
          <cell r="A471">
            <v>1882</v>
          </cell>
          <cell r="B471">
            <v>1</v>
          </cell>
        </row>
        <row r="472">
          <cell r="A472">
            <v>1886</v>
          </cell>
          <cell r="B472">
            <v>0</v>
          </cell>
        </row>
        <row r="473">
          <cell r="A473">
            <v>1890</v>
          </cell>
          <cell r="B473">
            <v>0</v>
          </cell>
        </row>
        <row r="474">
          <cell r="A474">
            <v>1898</v>
          </cell>
          <cell r="B474">
            <v>0</v>
          </cell>
        </row>
        <row r="475">
          <cell r="A475">
            <v>1899</v>
          </cell>
          <cell r="B475">
            <v>1</v>
          </cell>
        </row>
        <row r="476">
          <cell r="A476">
            <v>1904</v>
          </cell>
          <cell r="B476">
            <v>0</v>
          </cell>
        </row>
        <row r="477">
          <cell r="A477">
            <v>1910</v>
          </cell>
          <cell r="B477">
            <v>0</v>
          </cell>
        </row>
        <row r="478">
          <cell r="A478">
            <v>1915</v>
          </cell>
          <cell r="B478">
            <v>0</v>
          </cell>
        </row>
        <row r="479">
          <cell r="A479">
            <v>1917</v>
          </cell>
          <cell r="B479">
            <v>0</v>
          </cell>
        </row>
        <row r="480">
          <cell r="A480">
            <v>1919</v>
          </cell>
          <cell r="B480">
            <v>0</v>
          </cell>
        </row>
        <row r="481">
          <cell r="A481">
            <v>1926</v>
          </cell>
          <cell r="B481">
            <v>0</v>
          </cell>
        </row>
        <row r="482">
          <cell r="A482">
            <v>1930</v>
          </cell>
          <cell r="B482">
            <v>0</v>
          </cell>
        </row>
        <row r="483">
          <cell r="A483">
            <v>1939</v>
          </cell>
          <cell r="B483">
            <v>0</v>
          </cell>
        </row>
        <row r="484">
          <cell r="A484">
            <v>1942</v>
          </cell>
          <cell r="B484">
            <v>0</v>
          </cell>
        </row>
        <row r="485">
          <cell r="A485">
            <v>1944</v>
          </cell>
          <cell r="B485">
            <v>0</v>
          </cell>
        </row>
        <row r="486">
          <cell r="A486">
            <v>1946</v>
          </cell>
          <cell r="B486">
            <v>0</v>
          </cell>
        </row>
        <row r="487">
          <cell r="A487">
            <v>1947</v>
          </cell>
          <cell r="B487">
            <v>0</v>
          </cell>
        </row>
        <row r="488">
          <cell r="A488">
            <v>1950</v>
          </cell>
          <cell r="B488">
            <v>0</v>
          </cell>
        </row>
        <row r="489">
          <cell r="A489">
            <v>1954</v>
          </cell>
          <cell r="B489">
            <v>0</v>
          </cell>
        </row>
        <row r="490">
          <cell r="A490">
            <v>1956</v>
          </cell>
          <cell r="B490">
            <v>0</v>
          </cell>
        </row>
        <row r="491">
          <cell r="A491">
            <v>1960</v>
          </cell>
          <cell r="B491">
            <v>0</v>
          </cell>
        </row>
        <row r="492">
          <cell r="A492">
            <v>1971</v>
          </cell>
          <cell r="B492">
            <v>0</v>
          </cell>
        </row>
        <row r="493">
          <cell r="A493">
            <v>1972</v>
          </cell>
          <cell r="B493">
            <v>0</v>
          </cell>
        </row>
        <row r="494">
          <cell r="A494">
            <v>1975</v>
          </cell>
          <cell r="B494">
            <v>1</v>
          </cell>
        </row>
        <row r="495">
          <cell r="A495">
            <v>1977</v>
          </cell>
          <cell r="B495">
            <v>0</v>
          </cell>
        </row>
        <row r="496">
          <cell r="A496">
            <v>1983</v>
          </cell>
          <cell r="B496">
            <v>0</v>
          </cell>
        </row>
        <row r="497">
          <cell r="A497">
            <v>1985</v>
          </cell>
          <cell r="B497">
            <v>0</v>
          </cell>
        </row>
        <row r="498">
          <cell r="A498">
            <v>1986</v>
          </cell>
          <cell r="B498">
            <v>0</v>
          </cell>
        </row>
        <row r="499">
          <cell r="A499">
            <v>1988</v>
          </cell>
          <cell r="B499">
            <v>0</v>
          </cell>
        </row>
        <row r="500">
          <cell r="A500">
            <v>1990</v>
          </cell>
          <cell r="B500">
            <v>0</v>
          </cell>
        </row>
        <row r="501">
          <cell r="A501">
            <v>1991</v>
          </cell>
          <cell r="B501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tesh Parekh" refreshedDate="44049.93397233796" createdVersion="6" refreshedVersion="6" minRefreshableVersion="3" recordCount="2000" xr:uid="{00000000-000A-0000-FFFF-FFFF0C000000}">
  <cacheSource type="worksheet">
    <worksheetSource ref="A1:V2001" sheet="diabetes_final"/>
  </cacheSource>
  <cacheFields count="22">
    <cacheField name="Pregnancies" numFmtId="0">
      <sharedItems containsSemiMixedTypes="0" containsString="0" containsNumber="1" containsInteger="1" minValue="0" maxValue="17" count="17">
        <n v="2"/>
        <n v="0"/>
        <n v="1"/>
        <n v="4"/>
        <n v="8"/>
        <n v="3"/>
        <n v="6"/>
        <n v="5"/>
        <n v="7"/>
        <n v="10"/>
        <n v="12"/>
        <n v="9"/>
        <n v="11"/>
        <n v="13"/>
        <n v="15"/>
        <n v="17"/>
        <n v="14"/>
      </sharedItems>
    </cacheField>
    <cacheField name="Glucose" numFmtId="0">
      <sharedItems containsSemiMixedTypes="0" containsString="0" containsNumber="1" containsInteger="1" minValue="0" maxValue="199" count="136">
        <n v="138"/>
        <n v="84"/>
        <n v="145"/>
        <n v="135"/>
        <n v="139"/>
        <n v="173"/>
        <n v="99"/>
        <n v="194"/>
        <n v="83"/>
        <n v="89"/>
        <n v="125"/>
        <n v="80"/>
        <n v="166"/>
        <n v="110"/>
        <n v="81"/>
        <n v="195"/>
        <n v="154"/>
        <n v="117"/>
        <n v="0"/>
        <n v="94"/>
        <n v="96"/>
        <n v="75"/>
        <n v="180"/>
        <n v="130"/>
        <n v="120"/>
        <n v="91"/>
        <n v="163"/>
        <n v="122"/>
        <n v="103"/>
        <n v="102"/>
        <n v="90"/>
        <n v="111"/>
        <n v="133"/>
        <n v="106"/>
        <n v="171"/>
        <n v="159"/>
        <n v="146"/>
        <n v="71"/>
        <n v="105"/>
        <n v="101"/>
        <n v="88"/>
        <n v="176"/>
        <n v="150"/>
        <n v="73"/>
        <n v="187"/>
        <n v="100"/>
        <n v="44"/>
        <n v="141"/>
        <n v="114"/>
        <n v="109"/>
        <n v="95"/>
        <n v="126"/>
        <n v="129"/>
        <n v="79"/>
        <n v="62"/>
        <n v="131"/>
        <n v="112"/>
        <n v="113"/>
        <n v="74"/>
        <n v="137"/>
        <n v="136"/>
        <n v="107"/>
        <n v="123"/>
        <n v="134"/>
        <n v="142"/>
        <n v="144"/>
        <n v="92"/>
        <n v="93"/>
        <n v="151"/>
        <n v="85"/>
        <n v="155"/>
        <n v="76"/>
        <n v="160"/>
        <n v="124"/>
        <n v="78"/>
        <n v="97"/>
        <n v="162"/>
        <n v="132"/>
        <n v="118"/>
        <n v="170"/>
        <n v="128"/>
        <n v="108"/>
        <n v="57"/>
        <n v="147"/>
        <n v="156"/>
        <n v="153"/>
        <n v="188"/>
        <n v="152"/>
        <n v="104"/>
        <n v="148"/>
        <n v="87"/>
        <n v="179"/>
        <n v="143"/>
        <n v="119"/>
        <n v="181"/>
        <n v="158"/>
        <n v="196"/>
        <n v="184"/>
        <n v="140"/>
        <n v="177"/>
        <n v="197"/>
        <n v="164"/>
        <n v="165"/>
        <n v="86"/>
        <n v="193"/>
        <n v="191"/>
        <n v="161"/>
        <n v="167"/>
        <n v="77"/>
        <n v="115"/>
        <n v="182"/>
        <n v="157"/>
        <n v="178"/>
        <n v="116"/>
        <n v="61"/>
        <n v="189"/>
        <n v="98"/>
        <n v="127"/>
        <n v="82"/>
        <n v="72"/>
        <n v="168"/>
        <n v="172"/>
        <n v="175"/>
        <n v="68"/>
        <n v="186"/>
        <n v="198"/>
        <n v="121"/>
        <n v="67"/>
        <n v="183"/>
        <n v="174"/>
        <n v="199"/>
        <n v="56"/>
        <n v="169"/>
        <n v="149"/>
        <n v="65"/>
        <n v="190"/>
      </sharedItems>
    </cacheField>
    <cacheField name="BloodPressure" numFmtId="0">
      <sharedItems containsSemiMixedTypes="0" containsString="0" containsNumber="1" containsInteger="1" minValue="0" maxValue="122" count="47">
        <n v="62"/>
        <n v="82"/>
        <n v="0"/>
        <n v="68"/>
        <n v="78"/>
        <n v="72"/>
        <n v="80"/>
        <n v="65"/>
        <n v="90"/>
        <n v="70"/>
        <n v="74"/>
        <n v="64"/>
        <n v="60"/>
        <n v="50"/>
        <n v="54"/>
        <n v="76"/>
        <n v="84"/>
        <n v="92"/>
        <n v="110"/>
        <n v="66"/>
        <n v="56"/>
        <n v="88"/>
        <n v="58"/>
        <n v="85"/>
        <n v="86"/>
        <n v="75"/>
        <n v="48"/>
        <n v="44"/>
        <n v="108"/>
        <n v="55"/>
        <n v="96"/>
        <n v="122"/>
        <n v="30"/>
        <n v="52"/>
        <n v="98"/>
        <n v="104"/>
        <n v="95"/>
        <n v="46"/>
        <n v="102"/>
        <n v="100"/>
        <n v="61"/>
        <n v="94"/>
        <n v="24"/>
        <n v="38"/>
        <n v="106"/>
        <n v="114"/>
        <n v="40"/>
      </sharedItems>
    </cacheField>
    <cacheField name="SkinThickness" numFmtId="0">
      <sharedItems containsSemiMixedTypes="0" containsString="0" containsNumber="1" containsInteger="1" minValue="0" maxValue="110" count="53">
        <n v="35"/>
        <n v="31"/>
        <n v="0"/>
        <n v="42"/>
        <n v="41"/>
        <n v="32"/>
        <n v="17"/>
        <n v="28"/>
        <n v="30"/>
        <n v="38"/>
        <n v="18"/>
        <n v="15"/>
        <n v="33"/>
        <n v="19"/>
        <n v="25"/>
        <n v="39"/>
        <n v="26"/>
        <n v="23"/>
        <n v="37"/>
        <n v="47"/>
        <n v="24"/>
        <n v="27"/>
        <n v="11"/>
        <n v="21"/>
        <n v="34"/>
        <n v="10"/>
        <n v="60"/>
        <n v="13"/>
        <n v="20"/>
        <n v="22"/>
        <n v="29"/>
        <n v="54"/>
        <n v="40"/>
        <n v="51"/>
        <n v="56"/>
        <n v="36"/>
        <n v="14"/>
        <n v="50"/>
        <n v="44"/>
        <n v="12"/>
        <n v="46"/>
        <n v="16"/>
        <n v="7"/>
        <n v="52"/>
        <n v="43"/>
        <n v="45"/>
        <n v="48"/>
        <n v="8"/>
        <n v="49"/>
        <n v="63"/>
        <n v="99"/>
        <n v="59"/>
        <n v="110"/>
      </sharedItems>
    </cacheField>
    <cacheField name="Insulin" numFmtId="0">
      <sharedItems containsSemiMixedTypes="0" containsString="0" containsNumber="1" containsInteger="1" minValue="0" maxValue="744" count="182">
        <n v="0"/>
        <n v="125"/>
        <n v="250"/>
        <n v="480"/>
        <n v="265"/>
        <n v="66"/>
        <n v="122"/>
        <n v="76"/>
        <n v="145"/>
        <n v="193"/>
        <n v="71"/>
        <n v="79"/>
        <n v="90"/>
        <n v="170"/>
        <n v="210"/>
        <n v="86"/>
        <n v="105"/>
        <n v="192"/>
        <n v="207"/>
        <n v="70"/>
        <n v="240"/>
        <n v="82"/>
        <n v="36"/>
        <n v="23"/>
        <n v="300"/>
        <n v="342"/>
        <n v="304"/>
        <n v="110"/>
        <n v="142"/>
        <n v="128"/>
        <n v="38"/>
        <n v="100"/>
        <n v="140"/>
        <n v="270"/>
        <n v="176"/>
        <n v="48"/>
        <n v="64"/>
        <n v="228"/>
        <n v="220"/>
        <n v="40"/>
        <n v="152"/>
        <n v="18"/>
        <n v="135"/>
        <n v="495"/>
        <n v="37"/>
        <n v="175"/>
        <n v="51"/>
        <n v="99"/>
        <n v="94"/>
        <n v="168"/>
        <n v="225"/>
        <n v="49"/>
        <n v="50"/>
        <n v="92"/>
        <n v="325"/>
        <n v="63"/>
        <n v="284"/>
        <n v="119"/>
        <n v="204"/>
        <n v="155"/>
        <n v="485"/>
        <n v="53"/>
        <n v="114"/>
        <n v="285"/>
        <n v="156"/>
        <n v="78"/>
        <n v="130"/>
        <n v="55"/>
        <n v="58"/>
        <n v="160"/>
        <n v="318"/>
        <n v="44"/>
        <n v="190"/>
        <n v="280"/>
        <n v="87"/>
        <n v="271"/>
        <n v="129"/>
        <n v="120"/>
        <n v="478"/>
        <n v="56"/>
        <n v="32"/>
        <n v="744"/>
        <n v="370"/>
        <n v="45"/>
        <n v="88"/>
        <n v="194"/>
        <n v="680"/>
        <n v="402"/>
        <n v="258"/>
        <n v="375"/>
        <n v="150"/>
        <n v="67"/>
        <n v="57"/>
        <n v="116"/>
        <n v="278"/>
        <n v="545"/>
        <n v="75"/>
        <n v="74"/>
        <n v="182"/>
        <n v="360"/>
        <n v="215"/>
        <n v="184"/>
        <n v="42"/>
        <n v="132"/>
        <n v="148"/>
        <n v="180"/>
        <n v="205"/>
        <n v="96"/>
        <n v="85"/>
        <n v="231"/>
        <n v="29"/>
        <n v="68"/>
        <n v="52"/>
        <n v="255"/>
        <n v="171"/>
        <n v="73"/>
        <n v="108"/>
        <n v="83"/>
        <n v="43"/>
        <n v="167"/>
        <n v="54"/>
        <n v="249"/>
        <n v="293"/>
        <n v="465"/>
        <n v="89"/>
        <n v="158"/>
        <n v="84"/>
        <n v="72"/>
        <n v="59"/>
        <n v="81"/>
        <n v="196"/>
        <n v="415"/>
        <n v="275"/>
        <n v="115"/>
        <n v="165"/>
        <n v="579"/>
        <n v="310"/>
        <n v="61"/>
        <n v="474"/>
        <n v="277"/>
        <n v="60"/>
        <n v="14"/>
        <n v="95"/>
        <n v="237"/>
        <n v="191"/>
        <n v="328"/>
        <n v="326"/>
        <n v="188"/>
        <n v="106"/>
        <n v="65"/>
        <n v="166"/>
        <n v="274"/>
        <n v="77"/>
        <n v="126"/>
        <n v="330"/>
        <n v="600"/>
        <n v="230"/>
        <n v="185"/>
        <n v="25"/>
        <n v="41"/>
        <n v="272"/>
        <n v="321"/>
        <n v="144"/>
        <n v="15"/>
        <n v="183"/>
        <n v="91"/>
        <n v="46"/>
        <n v="440"/>
        <n v="159"/>
        <n v="540"/>
        <n v="200"/>
        <n v="335"/>
        <n v="387"/>
        <n v="22"/>
        <n v="291"/>
        <n v="392"/>
        <n v="178"/>
        <n v="127"/>
        <n v="510"/>
        <n v="16"/>
        <n v="112"/>
        <n v="177"/>
      </sharedItems>
    </cacheField>
    <cacheField name="BMI" numFmtId="0">
      <sharedItems containsSemiMixedTypes="0" containsString="0" containsNumber="1" minValue="0" maxValue="80.599999999999994" count="247">
        <n v="33.6"/>
        <n v="38.200000000000003"/>
        <n v="44.2"/>
        <n v="42.3"/>
        <n v="40.700000000000003"/>
        <n v="46.5"/>
        <n v="25.6"/>
        <n v="26.1"/>
        <n v="36.799999999999997"/>
        <n v="33.5"/>
        <n v="32.799999999999997"/>
        <n v="28.9"/>
        <n v="0"/>
        <n v="26.6"/>
        <n v="26"/>
        <n v="30.1"/>
        <n v="25.1"/>
        <n v="29.3"/>
        <n v="25.2"/>
        <n v="37.200000000000003"/>
        <n v="39"/>
        <n v="33.299999999999997"/>
        <n v="37.299999999999997"/>
        <n v="36.5"/>
        <n v="28.6"/>
        <n v="30.4"/>
        <n v="25"/>
        <n v="29.7"/>
        <n v="22.1"/>
        <n v="24.2"/>
        <n v="27.3"/>
        <n v="31.6"/>
        <n v="27.6"/>
        <n v="24"/>
        <n v="33.200000000000003"/>
        <n v="32.9"/>
        <n v="37.1"/>
        <n v="34"/>
        <n v="40.200000000000003"/>
        <n v="22.7"/>
        <n v="45.4"/>
        <n v="27.4"/>
        <n v="42"/>
        <n v="28"/>
        <n v="39.1"/>
        <n v="19.399999999999999"/>
        <n v="24.4"/>
        <n v="33.700000000000003"/>
        <n v="34.700000000000003"/>
        <n v="23"/>
        <n v="37.700000000000003"/>
        <n v="46.8"/>
        <n v="40.5"/>
        <n v="41.5"/>
        <n v="25.4"/>
        <n v="29"/>
        <n v="32.5"/>
        <n v="42.7"/>
        <n v="19.600000000000001"/>
        <n v="43.4"/>
        <n v="35.1"/>
        <n v="32"/>
        <n v="24.7"/>
        <n v="32.6"/>
        <n v="43.2"/>
        <n v="22.4"/>
        <n v="24.6"/>
        <n v="48.8"/>
        <n v="32.4"/>
        <n v="36.6"/>
        <n v="38.5"/>
        <n v="26.5"/>
        <n v="19.100000000000001"/>
        <n v="46.7"/>
        <n v="23.8"/>
        <n v="33.9"/>
        <n v="20.399999999999999"/>
        <n v="28.7"/>
        <n v="49.7"/>
        <n v="22.5"/>
        <n v="39.6"/>
        <n v="29.5"/>
        <n v="34.299999999999997"/>
        <n v="37.4"/>
        <n v="31.2"/>
        <n v="30.5"/>
        <n v="28.2"/>
        <n v="23.2"/>
        <n v="53.2"/>
        <n v="34.200000000000003"/>
        <n v="26.8"/>
        <n v="55"/>
        <n v="42.9"/>
        <n v="34.5"/>
        <n v="27.9"/>
        <n v="38.299999999999997"/>
        <n v="21.1"/>
        <n v="33.799999999999997"/>
        <n v="30.8"/>
        <n v="36.9"/>
        <n v="39.5"/>
        <n v="21.9"/>
        <n v="40.6"/>
        <n v="47.9"/>
        <n v="50"/>
        <n v="40.9"/>
        <n v="29.9"/>
        <n v="29.6"/>
        <n v="31.9"/>
        <n v="28.4"/>
        <n v="35.4"/>
        <n v="43.5"/>
        <n v="32.700000000000003"/>
        <n v="67.099999999999994"/>
        <n v="45"/>
        <n v="34.9"/>
        <n v="27.7"/>
        <n v="35.9"/>
        <n v="22.6"/>
        <n v="33.1"/>
        <n v="52.3"/>
        <n v="39.4"/>
        <n v="24.3"/>
        <n v="22.9"/>
        <n v="34.799999999999997"/>
        <n v="30.9"/>
        <n v="31"/>
        <n v="40.1"/>
        <n v="23.9"/>
        <n v="37.5"/>
        <n v="35.5"/>
        <n v="42.8"/>
        <n v="42.6"/>
        <n v="41.8"/>
        <n v="35.799999999999997"/>
        <n v="30"/>
        <n v="37.799999999999997"/>
        <n v="34.6"/>
        <n v="28.8"/>
        <n v="23.6"/>
        <n v="35.700000000000003"/>
        <n v="36.700000000000003"/>
        <n v="45.2"/>
        <n v="44"/>
        <n v="46.2"/>
        <n v="35"/>
        <n v="43.6"/>
        <n v="44.1"/>
        <n v="18.399999999999999"/>
        <n v="29.2"/>
        <n v="27.1"/>
        <n v="25.9"/>
        <n v="32.1"/>
        <n v="36.299999999999997"/>
        <n v="40"/>
        <n v="27.5"/>
        <n v="45.6"/>
        <n v="27.8"/>
        <n v="24.9"/>
        <n v="25.3"/>
        <n v="37.9"/>
        <n v="27"/>
        <n v="38.700000000000003"/>
        <n v="20.8"/>
        <n v="36.1"/>
        <n v="43.3"/>
        <n v="30.7"/>
        <n v="32.299999999999997"/>
        <n v="52.9"/>
        <n v="21"/>
        <n v="39.700000000000003"/>
        <n v="25.5"/>
        <n v="24.8"/>
        <n v="26.2"/>
        <n v="34.1"/>
        <n v="19.3"/>
        <n v="38.1"/>
        <n v="23.5"/>
        <n v="45.5"/>
        <n v="23.1"/>
        <n v="39.9"/>
        <n v="21.8"/>
        <n v="41"/>
        <n v="42.2"/>
        <n v="34.4"/>
        <n v="27.2"/>
        <n v="35.299999999999997"/>
        <n v="29.8"/>
        <n v="39.200000000000003"/>
        <n v="38.4"/>
        <n v="36.200000000000003"/>
        <n v="48.3"/>
        <n v="20"/>
        <n v="22.3"/>
        <n v="45.7"/>
        <n v="23.7"/>
        <n v="42.1"/>
        <n v="42.4"/>
        <n v="18.2"/>
        <n v="26.4"/>
        <n v="45.3"/>
        <n v="37"/>
        <n v="22.2"/>
        <n v="24.5"/>
        <n v="32.200000000000003"/>
        <n v="59.4"/>
        <n v="21.2"/>
        <n v="26.7"/>
        <n v="30.2"/>
        <n v="37.6"/>
        <n v="46.1"/>
        <n v="41.3"/>
        <n v="38.799999999999997"/>
        <n v="35.200000000000003"/>
        <n v="30.3"/>
        <n v="26.3"/>
        <n v="21.7"/>
        <n v="36.4"/>
        <n v="28.5"/>
        <n v="26.9"/>
        <n v="38.6"/>
        <n v="31.3"/>
        <n v="19.5"/>
        <n v="25.8"/>
        <n v="20.100000000000001"/>
        <n v="40.799999999999997"/>
        <n v="23.4"/>
        <n v="28.3"/>
        <n v="38.9"/>
        <n v="57.3"/>
        <n v="35.6"/>
        <n v="36"/>
        <n v="49.6"/>
        <n v="44.6"/>
        <n v="24.1"/>
        <n v="44.5"/>
        <n v="39.799999999999997"/>
        <n v="38"/>
        <n v="41.2"/>
        <n v="23.3"/>
        <n v="49.3"/>
        <n v="46.3"/>
        <n v="80.599999999999994"/>
        <n v="64.400000000000006"/>
        <n v="50.7"/>
        <n v="52.7"/>
        <n v="48.7"/>
      </sharedItems>
    </cacheField>
    <cacheField name="DiabetesPedigreeFunction" numFmtId="0">
      <sharedItems containsSemiMixedTypes="0" containsString="0" containsNumber="1" minValue="7.8E-2" maxValue="2.42" count="505">
        <n v="0.127"/>
        <n v="0.23300000000000001"/>
        <n v="0.63"/>
        <n v="0.36499999999999999"/>
        <n v="0.53600000000000003"/>
        <n v="1.159"/>
        <n v="0.29399999999999998"/>
        <n v="0.55100000000000005"/>
        <n v="0.629"/>
        <n v="0.29199999999999998"/>
        <n v="0.14499999999999999"/>
        <n v="1.1439999999999999"/>
        <n v="0.17399999999999999"/>
        <n v="0.30399999999999999"/>
        <n v="0.54700000000000004"/>
        <n v="0.16300000000000001"/>
        <n v="0.83899999999999997"/>
        <n v="0.313"/>
        <n v="0.26700000000000002"/>
        <n v="0.72699999999999998"/>
        <n v="0.73799999999999999"/>
        <n v="0.23799999999999999"/>
        <n v="0.26300000000000001"/>
        <n v="0.314"/>
        <n v="0.69199999999999995"/>
        <n v="0.96799999999999997"/>
        <n v="0.40899999999999997"/>
        <n v="0.29699999999999999"/>
        <n v="0.20699999999999999"/>
        <n v="0.2"/>
        <n v="0.52500000000000002"/>
        <n v="0.154"/>
        <n v="0.26800000000000002"/>
        <n v="0.51200000000000001"/>
        <n v="0.96599999999999997"/>
        <n v="0.42"/>
        <n v="0.66500000000000004"/>
        <n v="0.503"/>
        <n v="1.39"/>
        <n v="0.27100000000000002"/>
        <n v="0.69599999999999995"/>
        <n v="0.23499999999999999"/>
        <n v="0.72099999999999997"/>
        <n v="1.893"/>
        <n v="0.56399999999999995"/>
        <n v="0.58599999999999997"/>
        <n v="0.34399999999999997"/>
        <n v="0.30499999999999999"/>
        <n v="0.49099999999999999"/>
        <n v="0.52600000000000002"/>
        <n v="0.34200000000000003"/>
        <n v="0.46700000000000003"/>
        <n v="0.71799999999999997"/>
        <n v="0.248"/>
        <n v="0.254"/>
        <n v="0.96199999999999997"/>
        <n v="1.7809999999999999"/>
        <n v="0.17299999999999999"/>
        <n v="0.27"/>
        <n v="0.58699999999999997"/>
        <n v="0.69899999999999995"/>
        <n v="0.25800000000000001"/>
        <n v="0.20300000000000001"/>
        <n v="0.85499999999999998"/>
        <n v="0.84499999999999997"/>
        <n v="0.33400000000000002"/>
        <n v="0.189"/>
        <n v="0.86699999999999999"/>
        <n v="0.41099999999999998"/>
        <n v="0.58299999999999996"/>
        <n v="0.23100000000000001"/>
        <n v="0.39600000000000002"/>
        <n v="0.14000000000000001"/>
        <n v="0.39100000000000001"/>
        <n v="0.37"/>
        <n v="0.307"/>
        <n v="0.10199999999999999"/>
        <n v="0.76700000000000002"/>
        <n v="0.23699999999999999"/>
        <n v="0.22700000000000001"/>
        <n v="0.69799999999999995"/>
        <n v="0.17799999999999999"/>
        <n v="0.32400000000000001"/>
        <n v="0.153"/>
        <n v="0.16500000000000001"/>
        <n v="0.443"/>
        <n v="0.26100000000000001"/>
        <n v="0.27700000000000002"/>
        <n v="0.76100000000000001"/>
        <n v="0.255"/>
        <n v="0.13"/>
        <n v="0.32300000000000001"/>
        <n v="0.35599999999999998"/>
        <n v="0.32500000000000001"/>
        <n v="1.222"/>
        <n v="0.17899999999999999"/>
        <n v="0.26200000000000001"/>
        <n v="0.28299999999999997"/>
        <n v="0.93"/>
        <n v="0.80100000000000005"/>
        <n v="0.28699999999999998"/>
        <n v="0.33600000000000002"/>
        <n v="0.247"/>
        <n v="0.19900000000000001"/>
        <n v="0.54300000000000004"/>
        <n v="0.192"/>
        <n v="0.58799999999999997"/>
        <n v="0.53900000000000003"/>
        <n v="0.22"/>
        <n v="0.65400000000000003"/>
        <n v="0.223"/>
        <n v="0.75900000000000001"/>
        <n v="0.26"/>
        <n v="0.40400000000000003"/>
        <n v="0.186"/>
        <n v="0.27800000000000002"/>
        <n v="0.496"/>
        <n v="0.45200000000000001"/>
        <n v="0.40300000000000002"/>
        <n v="0.74099999999999999"/>
        <n v="0.36099999999999999"/>
        <n v="1.1140000000000001"/>
        <n v="0.45700000000000002"/>
        <n v="0.64700000000000002"/>
        <n v="8.7999999999999995E-2"/>
        <n v="0.59699999999999998"/>
        <n v="0.53200000000000003"/>
        <n v="0.70299999999999996"/>
        <n v="0.159"/>
        <n v="0.28599999999999998"/>
        <n v="0.318"/>
        <n v="0.27200000000000002"/>
        <n v="0.57199999999999995"/>
        <n v="9.6000000000000002E-2"/>
        <n v="1.4"/>
        <n v="0.218"/>
        <n v="8.5000000000000006E-2"/>
        <n v="0.39900000000000002"/>
        <n v="0.432"/>
        <n v="1.1890000000000001"/>
        <n v="0.68700000000000006"/>
        <n v="0.13700000000000001"/>
        <n v="0.33700000000000002"/>
        <n v="0.63700000000000001"/>
        <n v="0.83299999999999996"/>
        <n v="0.22900000000000001"/>
        <n v="0.81699999999999995"/>
        <n v="0.20399999999999999"/>
        <n v="0.16700000000000001"/>
        <n v="0.36799999999999999"/>
        <n v="0.74299999999999999"/>
        <n v="0.72199999999999998"/>
        <n v="0.25600000000000001"/>
        <n v="0.70899999999999996"/>
        <n v="0.47099999999999997"/>
        <n v="0.495"/>
        <n v="0.18"/>
        <n v="0.54200000000000004"/>
        <n v="0.77300000000000002"/>
        <n v="0.67800000000000005"/>
        <n v="0.71899999999999997"/>
        <n v="0.38200000000000001"/>
        <n v="0.31900000000000001"/>
        <n v="0.19"/>
        <n v="0.95599999999999996"/>
        <n v="8.4000000000000005E-2"/>
        <n v="0.72499999999999998"/>
        <n v="0.29899999999999999"/>
        <n v="0.24399999999999999"/>
        <n v="0.745"/>
        <n v="0.61499999999999999"/>
        <n v="1.321"/>
        <n v="0.64"/>
        <n v="0.14199999999999999"/>
        <n v="0.374"/>
        <n v="0.38300000000000001"/>
        <n v="0.57799999999999996"/>
        <n v="0.13600000000000001"/>
        <n v="0.39500000000000002"/>
        <n v="0.187"/>
        <n v="0.90500000000000003"/>
        <n v="0.15"/>
        <n v="0.874"/>
        <n v="0.23599999999999999"/>
        <n v="0.78700000000000003"/>
        <n v="0.40699999999999997"/>
        <n v="0.60499999999999998"/>
        <n v="0.151"/>
        <n v="0.28899999999999998"/>
        <n v="0.35499999999999998"/>
        <n v="0.28999999999999998"/>
        <n v="0.375"/>
        <n v="0.16400000000000001"/>
        <n v="0.43099999999999999"/>
        <n v="0.74199999999999999"/>
        <n v="0.51400000000000001"/>
        <n v="0.46400000000000002"/>
        <n v="1.224"/>
        <n v="1.0720000000000001"/>
        <n v="0.80500000000000005"/>
        <n v="0.20899999999999999"/>
        <n v="0.66600000000000004"/>
        <n v="0.10100000000000001"/>
        <n v="0.19800000000000001"/>
        <n v="0.65200000000000002"/>
        <n v="2.3290000000000002"/>
        <n v="8.8999999999999996E-2"/>
        <n v="0.64500000000000002"/>
        <n v="0.39400000000000002"/>
        <n v="0.29299999999999998"/>
        <n v="0.47899999999999998"/>
        <n v="0.68600000000000005"/>
        <n v="0.83099999999999996"/>
        <n v="0.58199999999999996"/>
        <n v="0.44600000000000001"/>
        <n v="0.40200000000000002"/>
        <n v="1.3180000000000001"/>
        <n v="0.32900000000000001"/>
        <n v="1.2130000000000001"/>
        <n v="0.42699999999999999"/>
        <n v="0.28199999999999997"/>
        <n v="0.14299999999999999"/>
        <n v="0.38"/>
        <n v="0.28399999999999997"/>
        <n v="0.249"/>
        <n v="0.92600000000000005"/>
        <n v="0.55700000000000005"/>
        <n v="9.1999999999999998E-2"/>
        <n v="0.65500000000000003"/>
        <n v="1.353"/>
        <n v="0.61199999999999999"/>
        <n v="0.22600000000000001"/>
        <n v="0.997"/>
        <n v="0.93300000000000005"/>
        <n v="1.101"/>
        <n v="7.8E-2"/>
        <n v="0.24"/>
        <n v="1.1359999999999999"/>
        <n v="0.128"/>
        <n v="0.42199999999999999"/>
        <n v="0.251"/>
        <n v="0.67700000000000005"/>
        <n v="0.29599999999999999"/>
        <n v="0.45400000000000001"/>
        <n v="0.74399999999999999"/>
        <n v="0.88100000000000001"/>
        <n v="0.28000000000000003"/>
        <n v="0.25900000000000001"/>
        <n v="0.61899999999999999"/>
        <n v="0.80800000000000005"/>
        <n v="0.34"/>
        <n v="0.434"/>
        <n v="0.75700000000000001"/>
        <n v="0.61299999999999999"/>
        <n v="0.52"/>
        <n v="0.41199999999999998"/>
        <n v="0.84"/>
        <n v="0.156"/>
        <n v="0.215"/>
        <n v="0.32600000000000001"/>
        <n v="1.391"/>
        <n v="0.875"/>
        <n v="0.433"/>
        <n v="0.626"/>
        <n v="1.127"/>
        <n v="0.315"/>
        <n v="0.34499999999999997"/>
        <n v="0.129"/>
        <n v="0.52700000000000002"/>
        <n v="0.19700000000000001"/>
        <n v="0.73099999999999998"/>
        <n v="0.14799999999999999"/>
        <n v="0.123"/>
        <n v="0.122"/>
        <n v="1.476"/>
        <n v="0.16600000000000001"/>
        <n v="0.93200000000000005"/>
        <n v="0.34300000000000003"/>
        <n v="0.89300000000000002"/>
        <n v="0.33100000000000002"/>
        <n v="0.47199999999999998"/>
        <n v="0.67300000000000004"/>
        <n v="0.38900000000000001"/>
        <n v="0.48499999999999999"/>
        <n v="0.34899999999999998"/>
        <n v="0.27900000000000003"/>
        <n v="0.34599999999999997"/>
        <n v="0.252"/>
        <n v="0.24299999999999999"/>
        <n v="0.57999999999999996"/>
        <n v="0.55900000000000005"/>
        <n v="0.30199999999999999"/>
        <n v="0.56899999999999995"/>
        <n v="0.378"/>
        <n v="0.38500000000000001"/>
        <n v="0.499"/>
        <n v="0.30599999999999999"/>
        <n v="0.23400000000000001"/>
        <n v="2.137"/>
        <n v="1.7310000000000001"/>
        <n v="0.54500000000000004"/>
        <n v="0.22500000000000001"/>
        <n v="0.81599999999999995"/>
        <n v="0.52800000000000002"/>
        <n v="0.50900000000000001"/>
        <n v="1.0209999999999999"/>
        <n v="0.82099999999999995"/>
        <n v="0.94699999999999995"/>
        <n v="1.268"/>
        <n v="0.221"/>
        <n v="0.20499999999999999"/>
        <n v="0.66"/>
        <n v="0.23899999999999999"/>
        <n v="0.94899999999999995"/>
        <n v="0.44400000000000001"/>
        <n v="0.46300000000000002"/>
        <n v="0.80300000000000005"/>
        <n v="1.6"/>
        <n v="0.94399999999999995"/>
        <n v="0.19600000000000001"/>
        <n v="0.24099999999999999"/>
        <n v="0.161"/>
        <n v="0.13500000000000001"/>
        <n v="0.376"/>
        <n v="1.1910000000000001"/>
        <n v="0.70199999999999996"/>
        <n v="0.67400000000000004"/>
        <n v="1.0760000000000001"/>
        <n v="0.53400000000000003"/>
        <n v="1.095"/>
        <n v="0.55400000000000005"/>
        <n v="0.624"/>
        <n v="0.219"/>
        <n v="0.50700000000000001"/>
        <n v="0.56100000000000005"/>
        <n v="0.42099999999999999"/>
        <n v="0.51600000000000001"/>
        <n v="0.26400000000000001"/>
        <n v="0.32800000000000001"/>
        <n v="0.108"/>
        <n v="1.1379999999999999"/>
        <n v="0.14699999999999999"/>
        <n v="0.435"/>
        <n v="0.497"/>
        <n v="0.23"/>
        <n v="0.95499999999999996"/>
        <n v="2.42"/>
        <n v="0.65800000000000003"/>
        <n v="0.33"/>
        <n v="0.51"/>
        <n v="0.28499999999999998"/>
        <n v="0.41499999999999998"/>
        <n v="0.38100000000000001"/>
        <n v="0.83199999999999996"/>
        <n v="0.498"/>
        <n v="0.21199999999999999"/>
        <n v="0.36399999999999999"/>
        <n v="1.0009999999999999"/>
        <n v="0.46"/>
        <n v="0.73299999999999998"/>
        <n v="0.41599999999999998"/>
        <n v="0.70499999999999996"/>
        <n v="1.022"/>
        <n v="0.26900000000000002"/>
        <n v="0.6"/>
        <n v="0.183"/>
        <n v="0.57099999999999995"/>
        <n v="0.60699999999999998"/>
        <n v="0.17"/>
        <n v="0.21"/>
        <n v="0.126"/>
        <n v="0.71099999999999997"/>
        <n v="0.46600000000000003"/>
        <n v="0.16200000000000001"/>
        <n v="0.41899999999999998"/>
        <n v="0.77100000000000002"/>
        <n v="0.107"/>
        <n v="0.49299999999999999"/>
        <n v="0.71699999999999997"/>
        <n v="0.91700000000000004"/>
        <n v="0.501"/>
        <n v="1.2509999999999999"/>
        <n v="0.73499999999999999"/>
        <n v="0.80400000000000005"/>
        <n v="0.66100000000000003"/>
        <n v="0.54900000000000004"/>
        <n v="0.82499999999999996"/>
        <n v="0.42299999999999999"/>
        <n v="1.034"/>
        <n v="0.16"/>
        <n v="0.34100000000000003"/>
        <n v="0.68"/>
        <n v="0.59099999999999997"/>
        <n v="0.3"/>
        <n v="0.121"/>
        <n v="0.502"/>
        <n v="0.40100000000000002"/>
        <n v="0.60099999999999998"/>
        <n v="0.748"/>
        <n v="0.33800000000000002"/>
        <n v="0.43"/>
        <n v="0.89200000000000002"/>
        <n v="0.81299999999999994"/>
        <n v="0.69299999999999995"/>
        <n v="0.245"/>
        <n v="0.57499999999999996"/>
        <n v="0.371"/>
        <n v="0.20599999999999999"/>
        <n v="0.41699999999999998"/>
        <n v="1.1539999999999999"/>
        <n v="0.92500000000000004"/>
        <n v="0.17499999999999999"/>
        <n v="1.6990000000000001"/>
        <n v="0.68200000000000005"/>
        <n v="0.19400000000000001"/>
        <n v="0.4"/>
        <n v="0.1"/>
        <n v="1.258"/>
        <n v="0.48199999999999998"/>
        <n v="0.13800000000000001"/>
        <n v="0.59299999999999997"/>
        <n v="0.878"/>
        <n v="0.157"/>
        <n v="0.25700000000000001"/>
        <n v="1.282"/>
        <n v="0.14099999999999999"/>
        <n v="0.246"/>
        <n v="1.698"/>
        <n v="1.4610000000000001"/>
        <n v="0.34699999999999998"/>
        <n v="0.158"/>
        <n v="0.36199999999999999"/>
        <n v="0.39300000000000002"/>
        <n v="0.14399999999999999"/>
        <n v="0.73199999999999998"/>
        <n v="0.115"/>
        <n v="0.46500000000000002"/>
        <n v="0.64900000000000002"/>
        <n v="0.871"/>
        <n v="0.14899999999999999"/>
        <n v="0.69499999999999995"/>
        <n v="0.30299999999999999"/>
        <n v="0.61"/>
        <n v="0.73"/>
        <n v="0.13400000000000001"/>
        <n v="0.44700000000000001"/>
        <n v="0.45500000000000002"/>
        <n v="0.13300000000000001"/>
        <n v="0.155"/>
        <n v="1.1619999999999999"/>
        <n v="1.292"/>
        <n v="0.182"/>
        <n v="1.3939999999999999"/>
        <n v="0.217"/>
        <n v="0.63100000000000001"/>
        <n v="0.88"/>
        <n v="0.61399999999999999"/>
        <n v="0.33200000000000002"/>
        <n v="0.36599999999999999"/>
        <n v="0.18099999999999999"/>
        <n v="0.82799999999999996"/>
        <n v="0.33500000000000002"/>
        <n v="0.85599999999999998"/>
        <n v="0.88600000000000001"/>
        <n v="0.439"/>
        <n v="0.191"/>
        <n v="0.253"/>
        <n v="0.59799999999999998"/>
        <n v="0.90400000000000003"/>
        <n v="0.48299999999999998"/>
        <n v="0.56499999999999995"/>
        <n v="0.11799999999999999"/>
        <n v="0.17699999999999999"/>
        <n v="0.17599999999999999"/>
        <n v="0.29499999999999998"/>
        <n v="0.441"/>
        <n v="0.35199999999999998"/>
        <n v="0.82599999999999996"/>
        <n v="0.97"/>
        <n v="0.59499999999999997"/>
        <n v="0.317"/>
        <n v="0.26500000000000001"/>
        <n v="0.64600000000000002"/>
        <n v="0.42599999999999999"/>
        <n v="0.56000000000000005"/>
        <n v="0.51500000000000001"/>
        <n v="0.45300000000000001"/>
        <n v="0.78500000000000003"/>
        <n v="0.73399999999999999"/>
        <n v="1.1739999999999999"/>
        <n v="0.48799999999999999"/>
        <n v="0.35799999999999998"/>
        <n v="1.0960000000000001"/>
        <n v="0.40799999999999997"/>
        <n v="1.1819999999999999"/>
        <n v="0.222"/>
        <n v="1.0569999999999999"/>
        <n v="0.76600000000000001"/>
        <n v="0.17100000000000001"/>
        <n v="0.82"/>
        <n v="0.72"/>
        <n v="0.62"/>
        <n v="0.152"/>
        <n v="0.32200000000000001"/>
        <n v="0.32"/>
      </sharedItems>
    </cacheField>
    <cacheField name="Age" numFmtId="0">
      <sharedItems containsSemiMixedTypes="0" containsString="0" containsNumber="1" containsInteger="1" minValue="21" maxValue="81" count="52">
        <n v="47"/>
        <n v="23"/>
        <n v="31"/>
        <n v="24"/>
        <n v="21"/>
        <n v="58"/>
        <n v="28"/>
        <n v="67"/>
        <n v="42"/>
        <n v="33"/>
        <n v="45"/>
        <n v="22"/>
        <n v="66"/>
        <n v="30"/>
        <n v="25"/>
        <n v="55"/>
        <n v="39"/>
        <n v="41"/>
        <n v="40"/>
        <n v="38"/>
        <n v="35"/>
        <n v="64"/>
        <n v="46"/>
        <n v="27"/>
        <n v="56"/>
        <n v="26"/>
        <n v="37"/>
        <n v="48"/>
        <n v="54"/>
        <n v="29"/>
        <n v="44"/>
        <n v="36"/>
        <n v="32"/>
        <n v="43"/>
        <n v="34"/>
        <n v="60"/>
        <n v="61"/>
        <n v="69"/>
        <n v="62"/>
        <n v="65"/>
        <n v="57"/>
        <n v="52"/>
        <n v="51"/>
        <n v="49"/>
        <n v="63"/>
        <n v="59"/>
        <n v="72"/>
        <n v="81"/>
        <n v="50"/>
        <n v="53"/>
        <n v="70"/>
        <n v="68"/>
      </sharedItems>
    </cacheField>
    <cacheField name="Outcome" numFmtId="0">
      <sharedItems containsSemiMixedTypes="0" containsString="0" containsNumber="1" containsInteger="1" minValue="0" maxValue="1"/>
    </cacheField>
    <cacheField name="Prediction" numFmtId="0">
      <sharedItems containsMixedTypes="1" containsNumber="1" containsInteger="1" minValue="0" maxValue="1"/>
    </cacheField>
    <cacheField name="ID" numFmtId="0">
      <sharedItems containsSemiMixedTypes="0" containsString="0" containsNumber="1" containsInteger="1" minValue="0" maxValue="1999"/>
    </cacheField>
    <cacheField name="Pregnancy Group" numFmtId="0">
      <sharedItems containsNonDate="0" containsString="0" containsBlank="1"/>
    </cacheField>
    <cacheField name="Glucose Group" numFmtId="0">
      <sharedItems containsNonDate="0" containsString="0" containsBlank="1"/>
    </cacheField>
    <cacheField name="Blood Pressure Group" numFmtId="0">
      <sharedItems containsNonDate="0" containsString="0" containsBlank="1"/>
    </cacheField>
    <cacheField name="Skin Thickness Group" numFmtId="0">
      <sharedItems containsNonDate="0" containsString="0" containsBlank="1"/>
    </cacheField>
    <cacheField name="Insulin Group" numFmtId="0">
      <sharedItems containsNonDate="0" containsString="0" containsBlank="1"/>
    </cacheField>
    <cacheField name="BMI Group" numFmtId="0">
      <sharedItems containsNonDate="0" containsString="0" containsBlank="1"/>
    </cacheField>
    <cacheField name="Diabetes Pedigree Function Group" numFmtId="0">
      <sharedItems containsNonDate="0" containsString="0" containsBlank="1"/>
    </cacheField>
    <cacheField name="Age Group" numFmtId="0">
      <sharedItems containsNonDate="0" containsString="0" containsBlank="1"/>
    </cacheField>
    <cacheField name="Outcome Group" numFmtId="0">
      <sharedItems/>
    </cacheField>
    <cacheField name="Prediction Group" numFmtId="0">
      <sharedItems/>
    </cacheField>
    <cacheField name="Match?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x v="0"/>
    <x v="0"/>
    <x v="0"/>
    <x v="0"/>
    <x v="0"/>
    <x v="0"/>
    <x v="0"/>
    <n v="1"/>
    <n v="0"/>
    <n v="0"/>
    <m/>
    <m/>
    <m/>
    <m/>
    <m/>
    <m/>
    <m/>
    <m/>
    <s v="Positive"/>
    <s v="Negative"/>
    <s v="Inaccurate Prediction"/>
  </r>
  <r>
    <x v="1"/>
    <x v="1"/>
    <x v="1"/>
    <x v="1"/>
    <x v="1"/>
    <x v="1"/>
    <x v="1"/>
    <x v="1"/>
    <n v="0"/>
    <s v="Not Sampled"/>
    <n v="1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2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n v="0"/>
    <n v="3"/>
    <m/>
    <m/>
    <m/>
    <m/>
    <m/>
    <m/>
    <m/>
    <m/>
    <s v="Positive"/>
    <s v="Negative"/>
    <s v="Inaccurate Prediction"/>
  </r>
  <r>
    <x v="2"/>
    <x v="4"/>
    <x v="0"/>
    <x v="4"/>
    <x v="3"/>
    <x v="4"/>
    <x v="4"/>
    <x v="4"/>
    <n v="0"/>
    <s v="Not Sampled"/>
    <n v="4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s v="Not Sampled"/>
    <n v="5"/>
    <m/>
    <m/>
    <m/>
    <m/>
    <m/>
    <m/>
    <m/>
    <m/>
    <s v="Negative"/>
    <s v="Not Sampled"/>
    <s v="Not Sampled"/>
  </r>
  <r>
    <x v="3"/>
    <x v="6"/>
    <x v="5"/>
    <x v="6"/>
    <x v="0"/>
    <x v="6"/>
    <x v="6"/>
    <x v="6"/>
    <n v="0"/>
    <s v="Not Sampled"/>
    <n v="6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s v="Not Sampled"/>
    <n v="7"/>
    <m/>
    <m/>
    <m/>
    <m/>
    <m/>
    <m/>
    <m/>
    <m/>
    <s v="Negative"/>
    <s v="Not Sampled"/>
    <s v="Not Sampled"/>
  </r>
  <r>
    <x v="0"/>
    <x v="8"/>
    <x v="7"/>
    <x v="7"/>
    <x v="5"/>
    <x v="8"/>
    <x v="8"/>
    <x v="3"/>
    <n v="0"/>
    <n v="0"/>
    <n v="8"/>
    <m/>
    <m/>
    <m/>
    <m/>
    <m/>
    <m/>
    <m/>
    <m/>
    <s v="Negative"/>
    <s v="Negative"/>
    <s v="Accurate Prediction"/>
  </r>
  <r>
    <x v="0"/>
    <x v="9"/>
    <x v="8"/>
    <x v="8"/>
    <x v="0"/>
    <x v="9"/>
    <x v="9"/>
    <x v="8"/>
    <n v="0"/>
    <s v="Not Sampled"/>
    <n v="9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10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n v="0"/>
    <n v="11"/>
    <m/>
    <m/>
    <m/>
    <m/>
    <m/>
    <m/>
    <m/>
    <m/>
    <s v="Positive"/>
    <s v="Negative"/>
    <s v="Inaccurate Prediction"/>
  </r>
  <r>
    <x v="5"/>
    <x v="11"/>
    <x v="2"/>
    <x v="2"/>
    <x v="0"/>
    <x v="12"/>
    <x v="12"/>
    <x v="11"/>
    <n v="0"/>
    <s v="Not Sampled"/>
    <n v="12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13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s v="Not Sampled"/>
    <n v="14"/>
    <m/>
    <m/>
    <m/>
    <m/>
    <m/>
    <m/>
    <m/>
    <m/>
    <s v="Negative"/>
    <s v="Not Sampled"/>
    <s v="Not Sampled"/>
  </r>
  <r>
    <x v="0"/>
    <x v="14"/>
    <x v="5"/>
    <x v="11"/>
    <x v="7"/>
    <x v="15"/>
    <x v="14"/>
    <x v="14"/>
    <n v="0"/>
    <s v="Not Sampled"/>
    <n v="15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16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n v="1"/>
    <n v="17"/>
    <m/>
    <m/>
    <m/>
    <m/>
    <m/>
    <m/>
    <m/>
    <m/>
    <s v="Negative"/>
    <s v="Positive"/>
    <s v="Inaccurate Prediction"/>
  </r>
  <r>
    <x v="0"/>
    <x v="17"/>
    <x v="8"/>
    <x v="13"/>
    <x v="10"/>
    <x v="18"/>
    <x v="17"/>
    <x v="4"/>
    <n v="0"/>
    <s v="Not Sampled"/>
    <n v="18"/>
    <m/>
    <m/>
    <m/>
    <m/>
    <m/>
    <m/>
    <m/>
    <m/>
    <s v="Negative"/>
    <s v="Not Sampled"/>
    <s v="Not Sampled"/>
  </r>
  <r>
    <x v="5"/>
    <x v="1"/>
    <x v="5"/>
    <x v="5"/>
    <x v="0"/>
    <x v="19"/>
    <x v="18"/>
    <x v="6"/>
    <n v="0"/>
    <s v="Not Sampled"/>
    <n v="19"/>
    <m/>
    <m/>
    <m/>
    <m/>
    <m/>
    <m/>
    <m/>
    <m/>
    <s v="Negative"/>
    <s v="Not Sampled"/>
    <s v="Not Sampled"/>
  </r>
  <r>
    <x v="6"/>
    <x v="18"/>
    <x v="3"/>
    <x v="4"/>
    <x v="0"/>
    <x v="20"/>
    <x v="19"/>
    <x v="17"/>
    <n v="1"/>
    <s v="Not Sampled"/>
    <n v="20"/>
    <m/>
    <m/>
    <m/>
    <m/>
    <m/>
    <m/>
    <m/>
    <m/>
    <s v="Positive"/>
    <s v="Not Sampled"/>
    <s v="Not Sampled"/>
  </r>
  <r>
    <x v="8"/>
    <x v="19"/>
    <x v="11"/>
    <x v="14"/>
    <x v="11"/>
    <x v="21"/>
    <x v="20"/>
    <x v="17"/>
    <n v="0"/>
    <s v="Not Sampled"/>
    <n v="21"/>
    <m/>
    <m/>
    <m/>
    <m/>
    <m/>
    <m/>
    <m/>
    <m/>
    <s v="Negative"/>
    <s v="Not Sampled"/>
    <s v="Not Sampled"/>
  </r>
  <r>
    <x v="5"/>
    <x v="20"/>
    <x v="4"/>
    <x v="15"/>
    <x v="0"/>
    <x v="22"/>
    <x v="21"/>
    <x v="18"/>
    <n v="0"/>
    <s v="Not Sampled"/>
    <n v="22"/>
    <m/>
    <m/>
    <m/>
    <m/>
    <m/>
    <m/>
    <m/>
    <m/>
    <s v="Negative"/>
    <s v="Not Sampled"/>
    <s v="Not Sampled"/>
  </r>
  <r>
    <x v="9"/>
    <x v="21"/>
    <x v="1"/>
    <x v="2"/>
    <x v="0"/>
    <x v="21"/>
    <x v="22"/>
    <x v="19"/>
    <n v="0"/>
    <s v="Not Sampled"/>
    <n v="23"/>
    <m/>
    <m/>
    <m/>
    <m/>
    <m/>
    <m/>
    <m/>
    <m/>
    <s v="Negative"/>
    <s v="Not Sampled"/>
    <s v="Not Sampled"/>
  </r>
  <r>
    <x v="1"/>
    <x v="22"/>
    <x v="8"/>
    <x v="16"/>
    <x v="12"/>
    <x v="23"/>
    <x v="23"/>
    <x v="20"/>
    <n v="1"/>
    <s v="Not Sampled"/>
    <n v="24"/>
    <m/>
    <m/>
    <m/>
    <m/>
    <m/>
    <m/>
    <m/>
    <m/>
    <s v="Positive"/>
    <s v="Not Sampled"/>
    <s v="Not Sampled"/>
  </r>
  <r>
    <x v="2"/>
    <x v="23"/>
    <x v="12"/>
    <x v="17"/>
    <x v="13"/>
    <x v="24"/>
    <x v="24"/>
    <x v="4"/>
    <n v="0"/>
    <s v="Not Sampled"/>
    <n v="25"/>
    <m/>
    <m/>
    <m/>
    <m/>
    <m/>
    <m/>
    <m/>
    <m/>
    <s v="Negative"/>
    <s v="Not Sampled"/>
    <s v="Not Sampled"/>
  </r>
  <r>
    <x v="0"/>
    <x v="1"/>
    <x v="13"/>
    <x v="17"/>
    <x v="7"/>
    <x v="25"/>
    <x v="25"/>
    <x v="4"/>
    <n v="0"/>
    <s v="Not Sampled"/>
    <n v="26"/>
    <m/>
    <m/>
    <m/>
    <m/>
    <m/>
    <m/>
    <m/>
    <m/>
    <s v="Negative"/>
    <s v="Not Sampled"/>
    <s v="Not Sampled"/>
  </r>
  <r>
    <x v="4"/>
    <x v="24"/>
    <x v="4"/>
    <x v="2"/>
    <x v="0"/>
    <x v="26"/>
    <x v="26"/>
    <x v="21"/>
    <n v="0"/>
    <s v="Not Sampled"/>
    <n v="27"/>
    <m/>
    <m/>
    <m/>
    <m/>
    <m/>
    <m/>
    <m/>
    <m/>
    <s v="Negative"/>
    <s v="Not Sampled"/>
    <s v="Not Sampled"/>
  </r>
  <r>
    <x v="10"/>
    <x v="1"/>
    <x v="5"/>
    <x v="1"/>
    <x v="0"/>
    <x v="27"/>
    <x v="27"/>
    <x v="22"/>
    <n v="1"/>
    <s v="Not Sampled"/>
    <n v="28"/>
    <m/>
    <m/>
    <m/>
    <m/>
    <m/>
    <m/>
    <m/>
    <m/>
    <s v="Positive"/>
    <s v="Not Sampled"/>
    <s v="Not Sampled"/>
  </r>
  <r>
    <x v="1"/>
    <x v="4"/>
    <x v="0"/>
    <x v="6"/>
    <x v="14"/>
    <x v="28"/>
    <x v="28"/>
    <x v="4"/>
    <n v="0"/>
    <s v="Not Sampled"/>
    <n v="29"/>
    <m/>
    <m/>
    <m/>
    <m/>
    <m/>
    <m/>
    <m/>
    <m/>
    <s v="Negative"/>
    <s v="Not Sampled"/>
    <s v="Not Sampled"/>
  </r>
  <r>
    <x v="11"/>
    <x v="25"/>
    <x v="3"/>
    <x v="2"/>
    <x v="0"/>
    <x v="29"/>
    <x v="29"/>
    <x v="5"/>
    <n v="0"/>
    <n v="0"/>
    <n v="30"/>
    <m/>
    <m/>
    <m/>
    <m/>
    <m/>
    <m/>
    <m/>
    <m/>
    <s v="Negative"/>
    <s v="Negative"/>
    <s v="Accurate Prediction"/>
  </r>
  <r>
    <x v="0"/>
    <x v="25"/>
    <x v="0"/>
    <x v="2"/>
    <x v="0"/>
    <x v="30"/>
    <x v="30"/>
    <x v="11"/>
    <n v="0"/>
    <s v="Not Sampled"/>
    <n v="31"/>
    <m/>
    <m/>
    <m/>
    <m/>
    <m/>
    <m/>
    <m/>
    <m/>
    <s v="Negative"/>
    <s v="Not Sampled"/>
    <s v="Not Sampled"/>
  </r>
  <r>
    <x v="5"/>
    <x v="6"/>
    <x v="14"/>
    <x v="13"/>
    <x v="15"/>
    <x v="6"/>
    <x v="31"/>
    <x v="3"/>
    <n v="0"/>
    <s v="Not Sampled"/>
    <n v="32"/>
    <m/>
    <m/>
    <m/>
    <m/>
    <m/>
    <m/>
    <m/>
    <m/>
    <s v="Negative"/>
    <s v="Not Sampled"/>
    <s v="Not Sampled"/>
  </r>
  <r>
    <x v="5"/>
    <x v="26"/>
    <x v="9"/>
    <x v="10"/>
    <x v="16"/>
    <x v="31"/>
    <x v="32"/>
    <x v="6"/>
    <n v="1"/>
    <s v="Not Sampled"/>
    <n v="33"/>
    <m/>
    <m/>
    <m/>
    <m/>
    <m/>
    <m/>
    <m/>
    <m/>
    <s v="Positive"/>
    <s v="Not Sampled"/>
    <s v="Not Sampled"/>
  </r>
  <r>
    <x v="9"/>
    <x v="27"/>
    <x v="4"/>
    <x v="1"/>
    <x v="0"/>
    <x v="32"/>
    <x v="33"/>
    <x v="10"/>
    <n v="0"/>
    <s v="Not Sampled"/>
    <n v="34"/>
    <m/>
    <m/>
    <m/>
    <m/>
    <m/>
    <m/>
    <m/>
    <m/>
    <s v="Negative"/>
    <s v="Not Sampled"/>
    <s v="Not Sampled"/>
  </r>
  <r>
    <x v="3"/>
    <x v="28"/>
    <x v="12"/>
    <x v="12"/>
    <x v="17"/>
    <x v="33"/>
    <x v="34"/>
    <x v="9"/>
    <n v="0"/>
    <s v="Not Sampled"/>
    <n v="35"/>
    <m/>
    <m/>
    <m/>
    <m/>
    <m/>
    <m/>
    <m/>
    <m/>
    <s v="Negative"/>
    <s v="Not Sampled"/>
    <s v="Not Sampled"/>
  </r>
  <r>
    <x v="12"/>
    <x v="0"/>
    <x v="15"/>
    <x v="2"/>
    <x v="0"/>
    <x v="34"/>
    <x v="35"/>
    <x v="20"/>
    <n v="0"/>
    <s v="Not Sampled"/>
    <n v="36"/>
    <m/>
    <m/>
    <m/>
    <m/>
    <m/>
    <m/>
    <m/>
    <m/>
    <s v="Negative"/>
    <s v="Not Sampled"/>
    <s v="Not Sampled"/>
  </r>
  <r>
    <x v="11"/>
    <x v="29"/>
    <x v="15"/>
    <x v="18"/>
    <x v="0"/>
    <x v="35"/>
    <x v="36"/>
    <x v="22"/>
    <n v="1"/>
    <n v="0"/>
    <n v="37"/>
    <m/>
    <m/>
    <m/>
    <m/>
    <m/>
    <m/>
    <m/>
    <m/>
    <s v="Positive"/>
    <s v="Negative"/>
    <s v="Inaccurate Prediction"/>
  </r>
  <r>
    <x v="0"/>
    <x v="30"/>
    <x v="3"/>
    <x v="3"/>
    <x v="0"/>
    <x v="1"/>
    <x v="37"/>
    <x v="23"/>
    <n v="1"/>
    <s v="Not Sampled"/>
    <n v="38"/>
    <m/>
    <m/>
    <m/>
    <m/>
    <m/>
    <m/>
    <m/>
    <m/>
    <s v="Positive"/>
    <s v="Not Sampled"/>
    <s v="Not Sampled"/>
  </r>
  <r>
    <x v="3"/>
    <x v="31"/>
    <x v="5"/>
    <x v="19"/>
    <x v="18"/>
    <x v="36"/>
    <x v="38"/>
    <x v="24"/>
    <n v="1"/>
    <n v="1"/>
    <n v="39"/>
    <m/>
    <m/>
    <m/>
    <m/>
    <m/>
    <m/>
    <m/>
    <m/>
    <s v="Positive"/>
    <s v="Positive"/>
    <s v="Accurate Prediction"/>
  </r>
  <r>
    <x v="5"/>
    <x v="22"/>
    <x v="11"/>
    <x v="14"/>
    <x v="19"/>
    <x v="37"/>
    <x v="39"/>
    <x v="25"/>
    <n v="0"/>
    <n v="1"/>
    <n v="40"/>
    <m/>
    <m/>
    <m/>
    <m/>
    <m/>
    <m/>
    <m/>
    <m/>
    <s v="Negative"/>
    <s v="Positive"/>
    <s v="Inaccurate Prediction"/>
  </r>
  <r>
    <x v="8"/>
    <x v="32"/>
    <x v="16"/>
    <x v="2"/>
    <x v="0"/>
    <x v="38"/>
    <x v="40"/>
    <x v="26"/>
    <n v="0"/>
    <s v="Not Sampled"/>
    <n v="41"/>
    <m/>
    <m/>
    <m/>
    <m/>
    <m/>
    <m/>
    <m/>
    <m/>
    <s v="Negative"/>
    <s v="Not Sampled"/>
    <s v="Not Sampled"/>
  </r>
  <r>
    <x v="8"/>
    <x v="33"/>
    <x v="17"/>
    <x v="10"/>
    <x v="0"/>
    <x v="39"/>
    <x v="41"/>
    <x v="27"/>
    <n v="0"/>
    <s v="Not Sampled"/>
    <n v="42"/>
    <m/>
    <m/>
    <m/>
    <m/>
    <m/>
    <m/>
    <m/>
    <m/>
    <s v="Negative"/>
    <s v="Not Sampled"/>
    <s v="Not Sampled"/>
  </r>
  <r>
    <x v="11"/>
    <x v="34"/>
    <x v="18"/>
    <x v="20"/>
    <x v="20"/>
    <x v="40"/>
    <x v="42"/>
    <x v="28"/>
    <n v="1"/>
    <s v="Not Sampled"/>
    <n v="43"/>
    <m/>
    <m/>
    <m/>
    <m/>
    <m/>
    <m/>
    <m/>
    <m/>
    <s v="Positive"/>
    <s v="Not Sampled"/>
    <s v="Not Sampled"/>
  </r>
  <r>
    <x v="8"/>
    <x v="35"/>
    <x v="11"/>
    <x v="2"/>
    <x v="0"/>
    <x v="41"/>
    <x v="6"/>
    <x v="18"/>
    <n v="0"/>
    <s v="Not Sampled"/>
    <n v="44"/>
    <m/>
    <m/>
    <m/>
    <m/>
    <m/>
    <m/>
    <m/>
    <m/>
    <s v="Negative"/>
    <s v="Not Sampled"/>
    <s v="Not Sampled"/>
  </r>
  <r>
    <x v="1"/>
    <x v="22"/>
    <x v="19"/>
    <x v="15"/>
    <x v="0"/>
    <x v="42"/>
    <x v="43"/>
    <x v="14"/>
    <n v="1"/>
    <s v="Not Sampled"/>
    <n v="45"/>
    <m/>
    <m/>
    <m/>
    <m/>
    <m/>
    <m/>
    <m/>
    <m/>
    <s v="Positive"/>
    <s v="Not Sampled"/>
    <s v="Not Sampled"/>
  </r>
  <r>
    <x v="2"/>
    <x v="36"/>
    <x v="20"/>
    <x v="2"/>
    <x v="0"/>
    <x v="27"/>
    <x v="44"/>
    <x v="29"/>
    <n v="0"/>
    <s v="Not Sampled"/>
    <n v="46"/>
    <m/>
    <m/>
    <m/>
    <m/>
    <m/>
    <m/>
    <m/>
    <m/>
    <s v="Negative"/>
    <s v="Not Sampled"/>
    <s v="Not Sampled"/>
  </r>
  <r>
    <x v="0"/>
    <x v="37"/>
    <x v="9"/>
    <x v="21"/>
    <x v="0"/>
    <x v="43"/>
    <x v="45"/>
    <x v="11"/>
    <n v="0"/>
    <n v="0"/>
    <n v="47"/>
    <m/>
    <m/>
    <m/>
    <m/>
    <m/>
    <m/>
    <m/>
    <m/>
    <s v="Negative"/>
    <s v="Negative"/>
    <s v="Accurate Prediction"/>
  </r>
  <r>
    <x v="8"/>
    <x v="28"/>
    <x v="19"/>
    <x v="5"/>
    <x v="0"/>
    <x v="44"/>
    <x v="46"/>
    <x v="2"/>
    <n v="1"/>
    <n v="0"/>
    <n v="48"/>
    <m/>
    <m/>
    <m/>
    <m/>
    <m/>
    <m/>
    <m/>
    <m/>
    <s v="Positive"/>
    <s v="Negative"/>
    <s v="Inaccurate Prediction"/>
  </r>
  <r>
    <x v="8"/>
    <x v="38"/>
    <x v="2"/>
    <x v="2"/>
    <x v="0"/>
    <x v="12"/>
    <x v="47"/>
    <x v="3"/>
    <n v="0"/>
    <n v="0"/>
    <n v="49"/>
    <m/>
    <m/>
    <m/>
    <m/>
    <m/>
    <m/>
    <m/>
    <m/>
    <s v="Negative"/>
    <s v="Negative"/>
    <s v="Accurate Prediction"/>
  </r>
  <r>
    <x v="2"/>
    <x v="28"/>
    <x v="6"/>
    <x v="22"/>
    <x v="21"/>
    <x v="45"/>
    <x v="48"/>
    <x v="11"/>
    <n v="0"/>
    <s v="Not Sampled"/>
    <n v="50"/>
    <m/>
    <m/>
    <m/>
    <m/>
    <m/>
    <m/>
    <m/>
    <m/>
    <s v="Negative"/>
    <s v="Not Sampled"/>
    <s v="Not Sampled"/>
  </r>
  <r>
    <x v="2"/>
    <x v="39"/>
    <x v="13"/>
    <x v="11"/>
    <x v="22"/>
    <x v="29"/>
    <x v="49"/>
    <x v="25"/>
    <n v="0"/>
    <s v="Not Sampled"/>
    <n v="51"/>
    <m/>
    <m/>
    <m/>
    <m/>
    <m/>
    <m/>
    <m/>
    <m/>
    <s v="Negative"/>
    <s v="Not Sampled"/>
    <s v="Not Sampled"/>
  </r>
  <r>
    <x v="7"/>
    <x v="40"/>
    <x v="19"/>
    <x v="23"/>
    <x v="23"/>
    <x v="46"/>
    <x v="50"/>
    <x v="13"/>
    <n v="0"/>
    <s v="Not Sampled"/>
    <n v="52"/>
    <m/>
    <m/>
    <m/>
    <m/>
    <m/>
    <m/>
    <m/>
    <m/>
    <s v="Negative"/>
    <s v="Not Sampled"/>
    <s v="Not Sampled"/>
  </r>
  <r>
    <x v="4"/>
    <x v="41"/>
    <x v="8"/>
    <x v="24"/>
    <x v="24"/>
    <x v="47"/>
    <x v="51"/>
    <x v="5"/>
    <n v="1"/>
    <n v="1"/>
    <n v="53"/>
    <m/>
    <m/>
    <m/>
    <m/>
    <m/>
    <m/>
    <m/>
    <m/>
    <s v="Positive"/>
    <s v="Positive"/>
    <s v="Accurate Prediction"/>
  </r>
  <r>
    <x v="8"/>
    <x v="42"/>
    <x v="19"/>
    <x v="3"/>
    <x v="25"/>
    <x v="48"/>
    <x v="52"/>
    <x v="8"/>
    <n v="0"/>
    <s v="Not Sampled"/>
    <n v="54"/>
    <m/>
    <m/>
    <m/>
    <m/>
    <m/>
    <m/>
    <m/>
    <m/>
    <s v="Negative"/>
    <s v="Not Sampled"/>
    <s v="Not Sampled"/>
  </r>
  <r>
    <x v="2"/>
    <x v="43"/>
    <x v="13"/>
    <x v="25"/>
    <x v="0"/>
    <x v="49"/>
    <x v="53"/>
    <x v="4"/>
    <n v="0"/>
    <s v="Not Sampled"/>
    <n v="55"/>
    <m/>
    <m/>
    <m/>
    <m/>
    <m/>
    <m/>
    <m/>
    <m/>
    <s v="Negative"/>
    <s v="Not Sampled"/>
    <s v="Not Sampled"/>
  </r>
  <r>
    <x v="8"/>
    <x v="44"/>
    <x v="3"/>
    <x v="15"/>
    <x v="26"/>
    <x v="50"/>
    <x v="54"/>
    <x v="17"/>
    <n v="1"/>
    <n v="1"/>
    <n v="56"/>
    <m/>
    <m/>
    <m/>
    <m/>
    <m/>
    <m/>
    <m/>
    <m/>
    <s v="Positive"/>
    <s v="Positive"/>
    <s v="Accurate Prediction"/>
  </r>
  <r>
    <x v="1"/>
    <x v="45"/>
    <x v="21"/>
    <x v="26"/>
    <x v="27"/>
    <x v="51"/>
    <x v="55"/>
    <x v="2"/>
    <n v="0"/>
    <s v="Not Sampled"/>
    <n v="57"/>
    <m/>
    <m/>
    <m/>
    <m/>
    <m/>
    <m/>
    <m/>
    <m/>
    <s v="Negative"/>
    <s v="Not Sampled"/>
    <s v="Not Sampled"/>
  </r>
  <r>
    <x v="1"/>
    <x v="36"/>
    <x v="1"/>
    <x v="2"/>
    <x v="0"/>
    <x v="52"/>
    <x v="56"/>
    <x v="30"/>
    <n v="0"/>
    <n v="1"/>
    <n v="58"/>
    <m/>
    <m/>
    <m/>
    <m/>
    <m/>
    <m/>
    <m/>
    <m/>
    <s v="Negative"/>
    <s v="Positive"/>
    <s v="Inaccurate Prediction"/>
  </r>
  <r>
    <x v="1"/>
    <x v="38"/>
    <x v="11"/>
    <x v="4"/>
    <x v="28"/>
    <x v="53"/>
    <x v="57"/>
    <x v="11"/>
    <n v="0"/>
    <s v="Not Sampled"/>
    <n v="59"/>
    <m/>
    <m/>
    <m/>
    <m/>
    <m/>
    <m/>
    <m/>
    <m/>
    <s v="Negative"/>
    <s v="Not Sampled"/>
    <s v="Not Sampled"/>
  </r>
  <r>
    <x v="0"/>
    <x v="1"/>
    <x v="2"/>
    <x v="2"/>
    <x v="0"/>
    <x v="12"/>
    <x v="13"/>
    <x v="4"/>
    <n v="0"/>
    <n v="0"/>
    <n v="60"/>
    <m/>
    <m/>
    <m/>
    <m/>
    <m/>
    <m/>
    <m/>
    <m/>
    <s v="Negative"/>
    <s v="Negative"/>
    <s v="Accurate Prediction"/>
  </r>
  <r>
    <x v="4"/>
    <x v="32"/>
    <x v="5"/>
    <x v="2"/>
    <x v="0"/>
    <x v="35"/>
    <x v="58"/>
    <x v="16"/>
    <n v="1"/>
    <s v="Not Sampled"/>
    <n v="61"/>
    <m/>
    <m/>
    <m/>
    <m/>
    <m/>
    <m/>
    <m/>
    <m/>
    <s v="Positive"/>
    <s v="Not Sampled"/>
    <s v="Not Sampled"/>
  </r>
  <r>
    <x v="7"/>
    <x v="46"/>
    <x v="0"/>
    <x v="2"/>
    <x v="0"/>
    <x v="26"/>
    <x v="59"/>
    <x v="31"/>
    <n v="0"/>
    <s v="Not Sampled"/>
    <n v="62"/>
    <m/>
    <m/>
    <m/>
    <m/>
    <m/>
    <m/>
    <m/>
    <m/>
    <s v="Negative"/>
    <s v="Not Sampled"/>
    <s v="Not Sampled"/>
  </r>
  <r>
    <x v="0"/>
    <x v="47"/>
    <x v="22"/>
    <x v="24"/>
    <x v="29"/>
    <x v="54"/>
    <x v="60"/>
    <x v="3"/>
    <n v="0"/>
    <s v="Not Sampled"/>
    <n v="63"/>
    <m/>
    <m/>
    <m/>
    <m/>
    <m/>
    <m/>
    <m/>
    <m/>
    <s v="Negative"/>
    <s v="Not Sampled"/>
    <s v="Not Sampled"/>
  </r>
  <r>
    <x v="8"/>
    <x v="48"/>
    <x v="19"/>
    <x v="2"/>
    <x v="0"/>
    <x v="10"/>
    <x v="61"/>
    <x v="8"/>
    <n v="1"/>
    <s v="Not Sampled"/>
    <n v="64"/>
    <m/>
    <m/>
    <m/>
    <m/>
    <m/>
    <m/>
    <m/>
    <m/>
    <s v="Positive"/>
    <s v="Not Sampled"/>
    <s v="Not Sampled"/>
  </r>
  <r>
    <x v="7"/>
    <x v="6"/>
    <x v="10"/>
    <x v="21"/>
    <x v="0"/>
    <x v="55"/>
    <x v="62"/>
    <x v="32"/>
    <n v="0"/>
    <n v="0"/>
    <n v="65"/>
    <m/>
    <m/>
    <m/>
    <m/>
    <m/>
    <m/>
    <m/>
    <m/>
    <s v="Negative"/>
    <s v="Negative"/>
    <s v="Accurate Prediction"/>
  </r>
  <r>
    <x v="1"/>
    <x v="49"/>
    <x v="21"/>
    <x v="8"/>
    <x v="0"/>
    <x v="56"/>
    <x v="63"/>
    <x v="19"/>
    <n v="1"/>
    <s v="Not Sampled"/>
    <n v="66"/>
    <m/>
    <m/>
    <m/>
    <m/>
    <m/>
    <m/>
    <m/>
    <m/>
    <s v="Positive"/>
    <s v="Not Sampled"/>
    <s v="Not Sampled"/>
  </r>
  <r>
    <x v="0"/>
    <x v="49"/>
    <x v="17"/>
    <x v="2"/>
    <x v="0"/>
    <x v="57"/>
    <x v="64"/>
    <x v="28"/>
    <n v="0"/>
    <s v="Not Sampled"/>
    <n v="67"/>
    <m/>
    <m/>
    <m/>
    <m/>
    <m/>
    <m/>
    <m/>
    <m/>
    <s v="Negative"/>
    <s v="Not Sampled"/>
    <s v="Not Sampled"/>
  </r>
  <r>
    <x v="2"/>
    <x v="50"/>
    <x v="19"/>
    <x v="27"/>
    <x v="30"/>
    <x v="58"/>
    <x v="65"/>
    <x v="14"/>
    <n v="0"/>
    <s v="Not Sampled"/>
    <n v="68"/>
    <m/>
    <m/>
    <m/>
    <m/>
    <m/>
    <m/>
    <m/>
    <m/>
    <s v="Negative"/>
    <s v="Not Sampled"/>
    <s v="Not Sampled"/>
  </r>
  <r>
    <x v="3"/>
    <x v="36"/>
    <x v="23"/>
    <x v="21"/>
    <x v="31"/>
    <x v="11"/>
    <x v="66"/>
    <x v="23"/>
    <n v="0"/>
    <s v="Not Sampled"/>
    <n v="69"/>
    <m/>
    <m/>
    <m/>
    <m/>
    <m/>
    <m/>
    <m/>
    <m/>
    <s v="Negative"/>
    <s v="Not Sampled"/>
    <s v="Not Sampled"/>
  </r>
  <r>
    <x v="0"/>
    <x v="45"/>
    <x v="19"/>
    <x v="28"/>
    <x v="12"/>
    <x v="35"/>
    <x v="67"/>
    <x v="6"/>
    <n v="1"/>
    <s v="Not Sampled"/>
    <n v="70"/>
    <m/>
    <m/>
    <m/>
    <m/>
    <m/>
    <m/>
    <m/>
    <m/>
    <s v="Positive"/>
    <s v="Not Sampled"/>
    <s v="Not Sampled"/>
  </r>
  <r>
    <x v="7"/>
    <x v="4"/>
    <x v="11"/>
    <x v="0"/>
    <x v="32"/>
    <x v="24"/>
    <x v="68"/>
    <x v="25"/>
    <n v="0"/>
    <s v="Not Sampled"/>
    <n v="71"/>
    <m/>
    <m/>
    <m/>
    <m/>
    <m/>
    <m/>
    <m/>
    <m/>
    <s v="Negative"/>
    <s v="Not Sampled"/>
    <s v="Not Sampled"/>
  </r>
  <r>
    <x v="13"/>
    <x v="51"/>
    <x v="8"/>
    <x v="2"/>
    <x v="0"/>
    <x v="59"/>
    <x v="69"/>
    <x v="8"/>
    <n v="1"/>
    <s v="Not Sampled"/>
    <n v="72"/>
    <m/>
    <m/>
    <m/>
    <m/>
    <m/>
    <m/>
    <m/>
    <m/>
    <s v="Positive"/>
    <s v="Not Sampled"/>
    <s v="Not Sampled"/>
  </r>
  <r>
    <x v="3"/>
    <x v="52"/>
    <x v="24"/>
    <x v="28"/>
    <x v="33"/>
    <x v="60"/>
    <x v="70"/>
    <x v="1"/>
    <n v="0"/>
    <s v="Not Sampled"/>
    <n v="73"/>
    <m/>
    <m/>
    <m/>
    <m/>
    <m/>
    <m/>
    <m/>
    <m/>
    <s v="Negative"/>
    <s v="Not Sampled"/>
    <s v="Not Sampled"/>
  </r>
  <r>
    <x v="2"/>
    <x v="53"/>
    <x v="25"/>
    <x v="8"/>
    <x v="0"/>
    <x v="61"/>
    <x v="71"/>
    <x v="11"/>
    <n v="0"/>
    <s v="Not Sampled"/>
    <n v="74"/>
    <m/>
    <m/>
    <m/>
    <m/>
    <m/>
    <m/>
    <m/>
    <m/>
    <s v="Negative"/>
    <s v="Not Sampled"/>
    <s v="Not Sampled"/>
  </r>
  <r>
    <x v="2"/>
    <x v="18"/>
    <x v="26"/>
    <x v="28"/>
    <x v="0"/>
    <x v="62"/>
    <x v="72"/>
    <x v="11"/>
    <n v="0"/>
    <n v="0"/>
    <n v="75"/>
    <m/>
    <m/>
    <m/>
    <m/>
    <m/>
    <m/>
    <m/>
    <m/>
    <s v="Negative"/>
    <s v="Negative"/>
    <s v="Accurate Prediction"/>
  </r>
  <r>
    <x v="8"/>
    <x v="54"/>
    <x v="4"/>
    <x v="2"/>
    <x v="0"/>
    <x v="63"/>
    <x v="73"/>
    <x v="17"/>
    <n v="0"/>
    <s v="Not Sampled"/>
    <n v="76"/>
    <m/>
    <m/>
    <m/>
    <m/>
    <m/>
    <m/>
    <m/>
    <m/>
    <s v="Negative"/>
    <s v="Not Sampled"/>
    <s v="Not Sampled"/>
  </r>
  <r>
    <x v="7"/>
    <x v="50"/>
    <x v="5"/>
    <x v="12"/>
    <x v="0"/>
    <x v="50"/>
    <x v="74"/>
    <x v="23"/>
    <n v="0"/>
    <s v="Not Sampled"/>
    <n v="77"/>
    <m/>
    <m/>
    <m/>
    <m/>
    <m/>
    <m/>
    <m/>
    <m/>
    <s v="Negative"/>
    <s v="Not Sampled"/>
    <s v="Not Sampled"/>
  </r>
  <r>
    <x v="1"/>
    <x v="55"/>
    <x v="2"/>
    <x v="2"/>
    <x v="0"/>
    <x v="64"/>
    <x v="58"/>
    <x v="25"/>
    <n v="1"/>
    <s v="Not Sampled"/>
    <n v="78"/>
    <m/>
    <m/>
    <m/>
    <m/>
    <m/>
    <m/>
    <m/>
    <m/>
    <s v="Positive"/>
    <s v="Not Sampled"/>
    <s v="Not Sampled"/>
  </r>
  <r>
    <x v="0"/>
    <x v="56"/>
    <x v="19"/>
    <x v="29"/>
    <x v="0"/>
    <x v="26"/>
    <x v="75"/>
    <x v="3"/>
    <n v="0"/>
    <s v="Not Sampled"/>
    <n v="79"/>
    <m/>
    <m/>
    <m/>
    <m/>
    <m/>
    <m/>
    <m/>
    <m/>
    <s v="Negative"/>
    <s v="Not Sampled"/>
    <s v="Not Sampled"/>
  </r>
  <r>
    <x v="5"/>
    <x v="57"/>
    <x v="27"/>
    <x v="27"/>
    <x v="0"/>
    <x v="65"/>
    <x v="72"/>
    <x v="11"/>
    <n v="0"/>
    <n v="0"/>
    <n v="80"/>
    <m/>
    <m/>
    <m/>
    <m/>
    <m/>
    <m/>
    <m/>
    <m/>
    <s v="Negative"/>
    <s v="Negative"/>
    <s v="Accurate Prediction"/>
  </r>
  <r>
    <x v="0"/>
    <x v="58"/>
    <x v="2"/>
    <x v="2"/>
    <x v="0"/>
    <x v="12"/>
    <x v="76"/>
    <x v="11"/>
    <n v="0"/>
    <s v="Not Sampled"/>
    <n v="81"/>
    <m/>
    <m/>
    <m/>
    <m/>
    <m/>
    <m/>
    <m/>
    <m/>
    <s v="Negative"/>
    <s v="Not Sampled"/>
    <s v="Not Sampled"/>
  </r>
  <r>
    <x v="8"/>
    <x v="8"/>
    <x v="4"/>
    <x v="16"/>
    <x v="10"/>
    <x v="17"/>
    <x v="77"/>
    <x v="31"/>
    <n v="0"/>
    <n v="0"/>
    <n v="82"/>
    <m/>
    <m/>
    <m/>
    <m/>
    <m/>
    <m/>
    <m/>
    <m/>
    <s v="Negative"/>
    <s v="Negative"/>
    <s v="Accurate Prediction"/>
  </r>
  <r>
    <x v="1"/>
    <x v="39"/>
    <x v="7"/>
    <x v="7"/>
    <x v="0"/>
    <x v="66"/>
    <x v="78"/>
    <x v="11"/>
    <n v="0"/>
    <s v="Not Sampled"/>
    <n v="83"/>
    <m/>
    <m/>
    <m/>
    <m/>
    <m/>
    <m/>
    <m/>
    <m/>
    <s v="Negative"/>
    <s v="Not Sampled"/>
    <s v="Not Sampled"/>
  </r>
  <r>
    <x v="7"/>
    <x v="59"/>
    <x v="28"/>
    <x v="2"/>
    <x v="0"/>
    <x v="67"/>
    <x v="79"/>
    <x v="26"/>
    <n v="1"/>
    <s v="Not Sampled"/>
    <n v="84"/>
    <m/>
    <m/>
    <m/>
    <m/>
    <m/>
    <m/>
    <m/>
    <m/>
    <s v="Positive"/>
    <s v="Not Sampled"/>
    <s v="Not Sampled"/>
  </r>
  <r>
    <x v="0"/>
    <x v="13"/>
    <x v="10"/>
    <x v="30"/>
    <x v="1"/>
    <x v="68"/>
    <x v="80"/>
    <x v="23"/>
    <n v="0"/>
    <s v="Not Sampled"/>
    <n v="85"/>
    <m/>
    <m/>
    <m/>
    <m/>
    <m/>
    <m/>
    <m/>
    <m/>
    <s v="Negative"/>
    <s v="Not Sampled"/>
    <s v="Not Sampled"/>
  </r>
  <r>
    <x v="13"/>
    <x v="33"/>
    <x v="5"/>
    <x v="31"/>
    <x v="0"/>
    <x v="69"/>
    <x v="81"/>
    <x v="10"/>
    <n v="0"/>
    <s v="Not Sampled"/>
    <n v="86"/>
    <m/>
    <m/>
    <m/>
    <m/>
    <m/>
    <m/>
    <m/>
    <m/>
    <s v="Negative"/>
    <s v="Not Sampled"/>
    <s v="Not Sampled"/>
  </r>
  <r>
    <x v="0"/>
    <x v="45"/>
    <x v="3"/>
    <x v="14"/>
    <x v="10"/>
    <x v="70"/>
    <x v="82"/>
    <x v="25"/>
    <n v="0"/>
    <n v="0"/>
    <n v="87"/>
    <m/>
    <m/>
    <m/>
    <m/>
    <m/>
    <m/>
    <m/>
    <m/>
    <s v="Negative"/>
    <s v="Negative"/>
    <s v="Accurate Prediction"/>
  </r>
  <r>
    <x v="14"/>
    <x v="60"/>
    <x v="9"/>
    <x v="5"/>
    <x v="27"/>
    <x v="36"/>
    <x v="83"/>
    <x v="33"/>
    <n v="1"/>
    <s v="Not Sampled"/>
    <n v="88"/>
    <m/>
    <m/>
    <m/>
    <m/>
    <m/>
    <m/>
    <m/>
    <m/>
    <s v="Positive"/>
    <s v="Not Sampled"/>
    <s v="Not Sampled"/>
  </r>
  <r>
    <x v="2"/>
    <x v="61"/>
    <x v="3"/>
    <x v="13"/>
    <x v="0"/>
    <x v="71"/>
    <x v="84"/>
    <x v="3"/>
    <n v="0"/>
    <s v="Not Sampled"/>
    <n v="89"/>
    <m/>
    <m/>
    <m/>
    <m/>
    <m/>
    <m/>
    <m/>
    <m/>
    <s v="Negative"/>
    <s v="Not Sampled"/>
    <s v="Not Sampled"/>
  </r>
  <r>
    <x v="2"/>
    <x v="11"/>
    <x v="29"/>
    <x v="2"/>
    <x v="0"/>
    <x v="72"/>
    <x v="61"/>
    <x v="4"/>
    <n v="0"/>
    <s v="Not Sampled"/>
    <n v="90"/>
    <m/>
    <m/>
    <m/>
    <m/>
    <m/>
    <m/>
    <m/>
    <m/>
    <s v="Negative"/>
    <s v="Not Sampled"/>
    <s v="Not Sampled"/>
  </r>
  <r>
    <x v="3"/>
    <x v="62"/>
    <x v="6"/>
    <x v="11"/>
    <x v="34"/>
    <x v="61"/>
    <x v="85"/>
    <x v="34"/>
    <n v="0"/>
    <n v="0"/>
    <n v="91"/>
    <m/>
    <m/>
    <m/>
    <m/>
    <m/>
    <m/>
    <m/>
    <m/>
    <s v="Negative"/>
    <s v="Negative"/>
    <s v="Accurate Prediction"/>
  </r>
  <r>
    <x v="8"/>
    <x v="14"/>
    <x v="4"/>
    <x v="32"/>
    <x v="35"/>
    <x v="73"/>
    <x v="86"/>
    <x v="8"/>
    <n v="0"/>
    <s v="Not Sampled"/>
    <n v="92"/>
    <m/>
    <m/>
    <m/>
    <m/>
    <m/>
    <m/>
    <m/>
    <m/>
    <s v="Negative"/>
    <s v="Not Sampled"/>
    <s v="Not Sampled"/>
  </r>
  <r>
    <x v="3"/>
    <x v="63"/>
    <x v="5"/>
    <x v="2"/>
    <x v="0"/>
    <x v="74"/>
    <x v="87"/>
    <x v="35"/>
    <n v="1"/>
    <s v="Not Sampled"/>
    <n v="93"/>
    <m/>
    <m/>
    <m/>
    <m/>
    <m/>
    <m/>
    <m/>
    <m/>
    <s v="Positive"/>
    <s v="Not Sampled"/>
    <s v="Not Sampled"/>
  </r>
  <r>
    <x v="0"/>
    <x v="64"/>
    <x v="1"/>
    <x v="10"/>
    <x v="36"/>
    <x v="62"/>
    <x v="88"/>
    <x v="4"/>
    <n v="0"/>
    <s v="Not Sampled"/>
    <n v="94"/>
    <m/>
    <m/>
    <m/>
    <m/>
    <m/>
    <m/>
    <m/>
    <m/>
    <s v="Negative"/>
    <s v="Not Sampled"/>
    <s v="Not Sampled"/>
  </r>
  <r>
    <x v="6"/>
    <x v="65"/>
    <x v="5"/>
    <x v="21"/>
    <x v="37"/>
    <x v="75"/>
    <x v="89"/>
    <x v="18"/>
    <n v="0"/>
    <s v="Not Sampled"/>
    <n v="95"/>
    <m/>
    <m/>
    <m/>
    <m/>
    <m/>
    <m/>
    <m/>
    <m/>
    <s v="Negative"/>
    <s v="Not Sampled"/>
    <s v="Not Sampled"/>
  </r>
  <r>
    <x v="0"/>
    <x v="66"/>
    <x v="0"/>
    <x v="7"/>
    <x v="0"/>
    <x v="31"/>
    <x v="90"/>
    <x v="3"/>
    <n v="0"/>
    <s v="Not Sampled"/>
    <n v="96"/>
    <m/>
    <m/>
    <m/>
    <m/>
    <m/>
    <m/>
    <m/>
    <m/>
    <s v="Negative"/>
    <s v="Not Sampled"/>
    <s v="Not Sampled"/>
  </r>
  <r>
    <x v="2"/>
    <x v="37"/>
    <x v="26"/>
    <x v="10"/>
    <x v="7"/>
    <x v="76"/>
    <x v="91"/>
    <x v="11"/>
    <n v="0"/>
    <s v="Not Sampled"/>
    <n v="97"/>
    <m/>
    <m/>
    <m/>
    <m/>
    <m/>
    <m/>
    <m/>
    <m/>
    <s v="Negative"/>
    <s v="Not Sampled"/>
    <s v="Not Sampled"/>
  </r>
  <r>
    <x v="6"/>
    <x v="67"/>
    <x v="13"/>
    <x v="8"/>
    <x v="36"/>
    <x v="77"/>
    <x v="92"/>
    <x v="1"/>
    <n v="0"/>
    <n v="0"/>
    <n v="98"/>
    <m/>
    <m/>
    <m/>
    <m/>
    <m/>
    <m/>
    <m/>
    <m/>
    <s v="Negative"/>
    <s v="Negative"/>
    <s v="Accurate Prediction"/>
  </r>
  <r>
    <x v="2"/>
    <x v="27"/>
    <x v="8"/>
    <x v="33"/>
    <x v="38"/>
    <x v="78"/>
    <x v="93"/>
    <x v="2"/>
    <n v="1"/>
    <s v="Not Sampled"/>
    <n v="99"/>
    <m/>
    <m/>
    <m/>
    <m/>
    <m/>
    <m/>
    <m/>
    <m/>
    <s v="Positive"/>
    <s v="Not Sampled"/>
    <s v="Not Sampled"/>
  </r>
  <r>
    <x v="2"/>
    <x v="26"/>
    <x v="5"/>
    <x v="2"/>
    <x v="0"/>
    <x v="20"/>
    <x v="94"/>
    <x v="9"/>
    <n v="1"/>
    <s v="Not Sampled"/>
    <n v="100"/>
    <m/>
    <m/>
    <m/>
    <m/>
    <m/>
    <m/>
    <m/>
    <m/>
    <s v="Positive"/>
    <s v="Not Sampled"/>
    <s v="Not Sampled"/>
  </r>
  <r>
    <x v="2"/>
    <x v="68"/>
    <x v="12"/>
    <x v="2"/>
    <x v="0"/>
    <x v="7"/>
    <x v="95"/>
    <x v="11"/>
    <n v="0"/>
    <n v="0"/>
    <n v="101"/>
    <m/>
    <m/>
    <m/>
    <m/>
    <m/>
    <m/>
    <m/>
    <m/>
    <s v="Negative"/>
    <s v="Negative"/>
    <s v="Accurate Prediction"/>
  </r>
  <r>
    <x v="1"/>
    <x v="10"/>
    <x v="30"/>
    <x v="2"/>
    <x v="0"/>
    <x v="79"/>
    <x v="96"/>
    <x v="4"/>
    <n v="0"/>
    <n v="0"/>
    <n v="102"/>
    <m/>
    <m/>
    <m/>
    <m/>
    <m/>
    <m/>
    <m/>
    <m/>
    <s v="Negative"/>
    <s v="Negative"/>
    <s v="Accurate Prediction"/>
  </r>
  <r>
    <x v="2"/>
    <x v="14"/>
    <x v="5"/>
    <x v="10"/>
    <x v="39"/>
    <x v="13"/>
    <x v="97"/>
    <x v="3"/>
    <n v="0"/>
    <s v="Not Sampled"/>
    <n v="103"/>
    <m/>
    <m/>
    <m/>
    <m/>
    <m/>
    <m/>
    <m/>
    <m/>
    <s v="Negative"/>
    <s v="Not Sampled"/>
    <s v="Not Sampled"/>
  </r>
  <r>
    <x v="0"/>
    <x v="69"/>
    <x v="7"/>
    <x v="2"/>
    <x v="0"/>
    <x v="80"/>
    <x v="98"/>
    <x v="23"/>
    <n v="0"/>
    <n v="0"/>
    <n v="104"/>
    <m/>
    <m/>
    <m/>
    <m/>
    <m/>
    <m/>
    <m/>
    <m/>
    <s v="Negative"/>
    <s v="Negative"/>
    <s v="Accurate Prediction"/>
  </r>
  <r>
    <x v="2"/>
    <x v="51"/>
    <x v="20"/>
    <x v="30"/>
    <x v="40"/>
    <x v="77"/>
    <x v="99"/>
    <x v="4"/>
    <n v="0"/>
    <s v="Not Sampled"/>
    <n v="105"/>
    <m/>
    <m/>
    <m/>
    <m/>
    <m/>
    <m/>
    <m/>
    <m/>
    <s v="Negative"/>
    <s v="Not Sampled"/>
    <s v="Not Sampled"/>
  </r>
  <r>
    <x v="2"/>
    <x v="20"/>
    <x v="31"/>
    <x v="2"/>
    <x v="0"/>
    <x v="65"/>
    <x v="28"/>
    <x v="23"/>
    <n v="0"/>
    <s v="Not Sampled"/>
    <n v="106"/>
    <m/>
    <m/>
    <m/>
    <m/>
    <m/>
    <m/>
    <m/>
    <m/>
    <s v="Negative"/>
    <s v="Not Sampled"/>
    <s v="Not Sampled"/>
  </r>
  <r>
    <x v="3"/>
    <x v="65"/>
    <x v="22"/>
    <x v="7"/>
    <x v="32"/>
    <x v="81"/>
    <x v="100"/>
    <x v="26"/>
    <n v="0"/>
    <n v="0"/>
    <n v="107"/>
    <m/>
    <m/>
    <m/>
    <m/>
    <m/>
    <m/>
    <m/>
    <m/>
    <s v="Negative"/>
    <s v="Negative"/>
    <s v="Accurate Prediction"/>
  </r>
  <r>
    <x v="5"/>
    <x v="8"/>
    <x v="22"/>
    <x v="1"/>
    <x v="41"/>
    <x v="82"/>
    <x v="101"/>
    <x v="14"/>
    <n v="0"/>
    <n v="0"/>
    <n v="108"/>
    <m/>
    <m/>
    <m/>
    <m/>
    <m/>
    <m/>
    <m/>
    <m/>
    <s v="Negative"/>
    <s v="Negative"/>
    <s v="Accurate Prediction"/>
  </r>
  <r>
    <x v="1"/>
    <x v="50"/>
    <x v="23"/>
    <x v="14"/>
    <x v="22"/>
    <x v="83"/>
    <x v="102"/>
    <x v="3"/>
    <n v="1"/>
    <s v="Not Sampled"/>
    <n v="109"/>
    <m/>
    <m/>
    <m/>
    <m/>
    <m/>
    <m/>
    <m/>
    <m/>
    <s v="Positive"/>
    <s v="Not Sampled"/>
    <s v="Not Sampled"/>
  </r>
  <r>
    <x v="5"/>
    <x v="34"/>
    <x v="5"/>
    <x v="12"/>
    <x v="42"/>
    <x v="21"/>
    <x v="103"/>
    <x v="3"/>
    <n v="1"/>
    <s v="Not Sampled"/>
    <n v="110"/>
    <m/>
    <m/>
    <m/>
    <m/>
    <m/>
    <m/>
    <m/>
    <m/>
    <s v="Positive"/>
    <s v="Not Sampled"/>
    <s v="Not Sampled"/>
  </r>
  <r>
    <x v="4"/>
    <x v="70"/>
    <x v="0"/>
    <x v="16"/>
    <x v="43"/>
    <x v="37"/>
    <x v="104"/>
    <x v="22"/>
    <n v="1"/>
    <n v="1"/>
    <n v="111"/>
    <m/>
    <m/>
    <m/>
    <m/>
    <m/>
    <m/>
    <m/>
    <m/>
    <s v="Positive"/>
    <s v="Positive"/>
    <s v="Accurate Prediction"/>
  </r>
  <r>
    <x v="2"/>
    <x v="9"/>
    <x v="15"/>
    <x v="24"/>
    <x v="44"/>
    <x v="84"/>
    <x v="105"/>
    <x v="1"/>
    <n v="0"/>
    <s v="Not Sampled"/>
    <n v="112"/>
    <m/>
    <m/>
    <m/>
    <m/>
    <m/>
    <m/>
    <m/>
    <m/>
    <s v="Negative"/>
    <s v="Not Sampled"/>
    <s v="Not Sampled"/>
  </r>
  <r>
    <x v="3"/>
    <x v="71"/>
    <x v="0"/>
    <x v="2"/>
    <x v="0"/>
    <x v="37"/>
    <x v="73"/>
    <x v="14"/>
    <n v="0"/>
    <s v="Not Sampled"/>
    <n v="113"/>
    <m/>
    <m/>
    <m/>
    <m/>
    <m/>
    <m/>
    <m/>
    <m/>
    <s v="Negative"/>
    <s v="Not Sampled"/>
    <s v="Not Sampled"/>
  </r>
  <r>
    <x v="8"/>
    <x v="72"/>
    <x v="14"/>
    <x v="5"/>
    <x v="45"/>
    <x v="85"/>
    <x v="106"/>
    <x v="16"/>
    <n v="1"/>
    <s v="Not Sampled"/>
    <n v="114"/>
    <m/>
    <m/>
    <m/>
    <m/>
    <m/>
    <m/>
    <m/>
    <m/>
    <s v="Positive"/>
    <s v="Not Sampled"/>
    <s v="Not Sampled"/>
  </r>
  <r>
    <x v="3"/>
    <x v="36"/>
    <x v="17"/>
    <x v="2"/>
    <x v="0"/>
    <x v="84"/>
    <x v="107"/>
    <x v="36"/>
    <n v="1"/>
    <n v="1"/>
    <n v="115"/>
    <m/>
    <m/>
    <m/>
    <m/>
    <m/>
    <m/>
    <m/>
    <m/>
    <s v="Positive"/>
    <s v="Positive"/>
    <s v="Accurate Prediction"/>
  </r>
  <r>
    <x v="7"/>
    <x v="73"/>
    <x v="10"/>
    <x v="2"/>
    <x v="0"/>
    <x v="37"/>
    <x v="108"/>
    <x v="19"/>
    <n v="1"/>
    <s v="Not Sampled"/>
    <n v="116"/>
    <m/>
    <m/>
    <m/>
    <m/>
    <m/>
    <m/>
    <m/>
    <m/>
    <s v="Positive"/>
    <s v="Not Sampled"/>
    <s v="Not Sampled"/>
  </r>
  <r>
    <x v="7"/>
    <x v="74"/>
    <x v="26"/>
    <x v="2"/>
    <x v="0"/>
    <x v="47"/>
    <x v="109"/>
    <x v="14"/>
    <n v="0"/>
    <s v="Not Sampled"/>
    <n v="117"/>
    <m/>
    <m/>
    <m/>
    <m/>
    <m/>
    <m/>
    <m/>
    <m/>
    <s v="Negative"/>
    <s v="Not Sampled"/>
    <s v="Not Sampled"/>
  </r>
  <r>
    <x v="3"/>
    <x v="75"/>
    <x v="12"/>
    <x v="17"/>
    <x v="0"/>
    <x v="86"/>
    <x v="85"/>
    <x v="11"/>
    <n v="0"/>
    <s v="Not Sampled"/>
    <n v="118"/>
    <m/>
    <m/>
    <m/>
    <m/>
    <m/>
    <m/>
    <m/>
    <m/>
    <s v="Negative"/>
    <s v="Not Sampled"/>
    <s v="Not Sampled"/>
  </r>
  <r>
    <x v="3"/>
    <x v="6"/>
    <x v="15"/>
    <x v="11"/>
    <x v="46"/>
    <x v="87"/>
    <x v="110"/>
    <x v="4"/>
    <n v="0"/>
    <n v="0"/>
    <n v="119"/>
    <m/>
    <m/>
    <m/>
    <m/>
    <m/>
    <m/>
    <m/>
    <m/>
    <s v="Negative"/>
    <s v="Negative"/>
    <s v="Accurate Prediction"/>
  </r>
  <r>
    <x v="1"/>
    <x v="76"/>
    <x v="15"/>
    <x v="34"/>
    <x v="31"/>
    <x v="88"/>
    <x v="111"/>
    <x v="14"/>
    <n v="1"/>
    <n v="1"/>
    <n v="120"/>
    <m/>
    <m/>
    <m/>
    <m/>
    <m/>
    <m/>
    <m/>
    <m/>
    <s v="Positive"/>
    <s v="Positive"/>
    <s v="Accurate Prediction"/>
  </r>
  <r>
    <x v="6"/>
    <x v="31"/>
    <x v="11"/>
    <x v="15"/>
    <x v="0"/>
    <x v="89"/>
    <x v="112"/>
    <x v="3"/>
    <n v="0"/>
    <s v="Not Sampled"/>
    <n v="121"/>
    <m/>
    <m/>
    <m/>
    <m/>
    <m/>
    <m/>
    <m/>
    <m/>
    <s v="Negative"/>
    <s v="Not Sampled"/>
    <s v="Not Sampled"/>
  </r>
  <r>
    <x v="0"/>
    <x v="61"/>
    <x v="10"/>
    <x v="8"/>
    <x v="31"/>
    <x v="0"/>
    <x v="113"/>
    <x v="1"/>
    <n v="0"/>
    <s v="Not Sampled"/>
    <n v="122"/>
    <m/>
    <m/>
    <m/>
    <m/>
    <m/>
    <m/>
    <m/>
    <m/>
    <s v="Negative"/>
    <s v="Not Sampled"/>
    <s v="Not Sampled"/>
  </r>
  <r>
    <x v="7"/>
    <x v="77"/>
    <x v="6"/>
    <x v="2"/>
    <x v="0"/>
    <x v="90"/>
    <x v="114"/>
    <x v="37"/>
    <n v="0"/>
    <s v="Not Sampled"/>
    <n v="123"/>
    <m/>
    <m/>
    <m/>
    <m/>
    <m/>
    <m/>
    <m/>
    <m/>
    <s v="Negative"/>
    <s v="Not Sampled"/>
    <s v="Not Sampled"/>
  </r>
  <r>
    <x v="1"/>
    <x v="57"/>
    <x v="15"/>
    <x v="2"/>
    <x v="0"/>
    <x v="21"/>
    <x v="115"/>
    <x v="1"/>
    <n v="1"/>
    <s v="Not Sampled"/>
    <n v="124"/>
    <m/>
    <m/>
    <m/>
    <m/>
    <m/>
    <m/>
    <m/>
    <m/>
    <s v="Positive"/>
    <s v="Not Sampled"/>
    <s v="Not Sampled"/>
  </r>
  <r>
    <x v="2"/>
    <x v="40"/>
    <x v="32"/>
    <x v="3"/>
    <x v="47"/>
    <x v="91"/>
    <x v="116"/>
    <x v="25"/>
    <n v="1"/>
    <s v="Not Sampled"/>
    <n v="125"/>
    <m/>
    <m/>
    <m/>
    <m/>
    <m/>
    <m/>
    <m/>
    <m/>
    <s v="Positive"/>
    <s v="Not Sampled"/>
    <s v="Not Sampled"/>
  </r>
  <r>
    <x v="5"/>
    <x v="24"/>
    <x v="9"/>
    <x v="8"/>
    <x v="42"/>
    <x v="92"/>
    <x v="117"/>
    <x v="13"/>
    <n v="0"/>
    <n v="0"/>
    <n v="126"/>
    <m/>
    <m/>
    <m/>
    <m/>
    <m/>
    <m/>
    <m/>
    <m/>
    <s v="Negative"/>
    <s v="Negative"/>
    <s v="Accurate Prediction"/>
  </r>
  <r>
    <x v="2"/>
    <x v="78"/>
    <x v="22"/>
    <x v="35"/>
    <x v="48"/>
    <x v="21"/>
    <x v="86"/>
    <x v="1"/>
    <n v="0"/>
    <s v="Not Sampled"/>
    <n v="127"/>
    <m/>
    <m/>
    <m/>
    <m/>
    <m/>
    <m/>
    <m/>
    <m/>
    <s v="Negative"/>
    <s v="Not Sampled"/>
    <s v="Not Sampled"/>
  </r>
  <r>
    <x v="2"/>
    <x v="17"/>
    <x v="21"/>
    <x v="20"/>
    <x v="8"/>
    <x v="93"/>
    <x v="118"/>
    <x v="18"/>
    <n v="1"/>
    <s v="Not Sampled"/>
    <n v="128"/>
    <m/>
    <m/>
    <m/>
    <m/>
    <m/>
    <m/>
    <m/>
    <m/>
    <s v="Positive"/>
    <s v="Not Sampled"/>
    <s v="Not Sampled"/>
  </r>
  <r>
    <x v="1"/>
    <x v="38"/>
    <x v="16"/>
    <x v="2"/>
    <x v="0"/>
    <x v="94"/>
    <x v="119"/>
    <x v="38"/>
    <n v="1"/>
    <s v="Not Sampled"/>
    <n v="129"/>
    <m/>
    <m/>
    <m/>
    <m/>
    <m/>
    <m/>
    <m/>
    <m/>
    <s v="Positive"/>
    <s v="Not Sampled"/>
    <s v="Not Sampled"/>
  </r>
  <r>
    <x v="3"/>
    <x v="5"/>
    <x v="9"/>
    <x v="36"/>
    <x v="49"/>
    <x v="27"/>
    <x v="120"/>
    <x v="9"/>
    <n v="1"/>
    <s v="Not Sampled"/>
    <n v="130"/>
    <m/>
    <m/>
    <m/>
    <m/>
    <m/>
    <m/>
    <m/>
    <m/>
    <s v="Positive"/>
    <s v="Not Sampled"/>
    <s v="Not Sampled"/>
  </r>
  <r>
    <x v="11"/>
    <x v="27"/>
    <x v="20"/>
    <x v="2"/>
    <x v="0"/>
    <x v="21"/>
    <x v="121"/>
    <x v="9"/>
    <n v="1"/>
    <s v="Not Sampled"/>
    <n v="131"/>
    <m/>
    <m/>
    <m/>
    <m/>
    <m/>
    <m/>
    <m/>
    <m/>
    <s v="Positive"/>
    <s v="Not Sampled"/>
    <s v="Not Sampled"/>
  </r>
  <r>
    <x v="5"/>
    <x v="79"/>
    <x v="11"/>
    <x v="18"/>
    <x v="50"/>
    <x v="93"/>
    <x v="92"/>
    <x v="13"/>
    <n v="1"/>
    <s v="Not Sampled"/>
    <n v="132"/>
    <m/>
    <m/>
    <m/>
    <m/>
    <m/>
    <m/>
    <m/>
    <m/>
    <s v="Positive"/>
    <s v="Not Sampled"/>
    <s v="Not Sampled"/>
  </r>
  <r>
    <x v="4"/>
    <x v="1"/>
    <x v="10"/>
    <x v="1"/>
    <x v="0"/>
    <x v="95"/>
    <x v="122"/>
    <x v="16"/>
    <n v="0"/>
    <n v="0"/>
    <n v="133"/>
    <m/>
    <m/>
    <m/>
    <m/>
    <m/>
    <m/>
    <m/>
    <m/>
    <s v="Negative"/>
    <s v="Negative"/>
    <s v="Accurate Prediction"/>
  </r>
  <r>
    <x v="0"/>
    <x v="20"/>
    <x v="3"/>
    <x v="27"/>
    <x v="51"/>
    <x v="96"/>
    <x v="123"/>
    <x v="25"/>
    <n v="0"/>
    <s v="Not Sampled"/>
    <n v="134"/>
    <m/>
    <m/>
    <m/>
    <m/>
    <m/>
    <m/>
    <m/>
    <m/>
    <s v="Negative"/>
    <s v="Not Sampled"/>
    <s v="Not Sampled"/>
  </r>
  <r>
    <x v="0"/>
    <x v="10"/>
    <x v="12"/>
    <x v="28"/>
    <x v="32"/>
    <x v="97"/>
    <x v="124"/>
    <x v="2"/>
    <n v="0"/>
    <s v="Not Sampled"/>
    <n v="135"/>
    <m/>
    <m/>
    <m/>
    <m/>
    <m/>
    <m/>
    <m/>
    <m/>
    <s v="Negative"/>
    <s v="Not Sampled"/>
    <s v="Not Sampled"/>
  </r>
  <r>
    <x v="1"/>
    <x v="45"/>
    <x v="9"/>
    <x v="16"/>
    <x v="52"/>
    <x v="98"/>
    <x v="125"/>
    <x v="4"/>
    <n v="0"/>
    <s v="Not Sampled"/>
    <n v="136"/>
    <m/>
    <m/>
    <m/>
    <m/>
    <m/>
    <m/>
    <m/>
    <m/>
    <s v="Negative"/>
    <s v="Not Sampled"/>
    <s v="Not Sampled"/>
  </r>
  <r>
    <x v="1"/>
    <x v="67"/>
    <x v="12"/>
    <x v="14"/>
    <x v="53"/>
    <x v="77"/>
    <x v="126"/>
    <x v="11"/>
    <n v="0"/>
    <n v="0"/>
    <n v="137"/>
    <m/>
    <m/>
    <m/>
    <m/>
    <m/>
    <m/>
    <m/>
    <m/>
    <s v="Negative"/>
    <s v="Negative"/>
    <s v="Accurate Prediction"/>
  </r>
  <r>
    <x v="1"/>
    <x v="52"/>
    <x v="6"/>
    <x v="2"/>
    <x v="0"/>
    <x v="84"/>
    <x v="127"/>
    <x v="29"/>
    <n v="0"/>
    <s v="Not Sampled"/>
    <n v="138"/>
    <m/>
    <m/>
    <m/>
    <m/>
    <m/>
    <m/>
    <m/>
    <m/>
    <s v="Negative"/>
    <s v="Not Sampled"/>
    <s v="Not Sampled"/>
  </r>
  <r>
    <x v="7"/>
    <x v="38"/>
    <x v="5"/>
    <x v="30"/>
    <x v="54"/>
    <x v="99"/>
    <x v="128"/>
    <x v="6"/>
    <n v="0"/>
    <s v="Not Sampled"/>
    <n v="139"/>
    <m/>
    <m/>
    <m/>
    <m/>
    <m/>
    <m/>
    <m/>
    <m/>
    <s v="Negative"/>
    <s v="Not Sampled"/>
    <s v="Not Sampled"/>
  </r>
  <r>
    <x v="5"/>
    <x v="80"/>
    <x v="4"/>
    <x v="2"/>
    <x v="0"/>
    <x v="96"/>
    <x v="32"/>
    <x v="15"/>
    <n v="0"/>
    <n v="0"/>
    <n v="140"/>
    <m/>
    <m/>
    <m/>
    <m/>
    <m/>
    <m/>
    <m/>
    <m/>
    <s v="Negative"/>
    <s v="Negative"/>
    <s v="Accurate Prediction"/>
  </r>
  <r>
    <x v="7"/>
    <x v="33"/>
    <x v="1"/>
    <x v="8"/>
    <x v="0"/>
    <x v="100"/>
    <x v="129"/>
    <x v="19"/>
    <n v="0"/>
    <s v="Not Sampled"/>
    <n v="141"/>
    <m/>
    <m/>
    <m/>
    <m/>
    <m/>
    <m/>
    <m/>
    <m/>
    <s v="Negative"/>
    <s v="Not Sampled"/>
    <s v="Not Sampled"/>
  </r>
  <r>
    <x v="0"/>
    <x v="81"/>
    <x v="33"/>
    <x v="16"/>
    <x v="55"/>
    <x v="56"/>
    <x v="130"/>
    <x v="11"/>
    <n v="0"/>
    <s v="Not Sampled"/>
    <n v="142"/>
    <m/>
    <m/>
    <m/>
    <m/>
    <m/>
    <m/>
    <m/>
    <m/>
    <s v="Negative"/>
    <s v="Not Sampled"/>
    <s v="Not Sampled"/>
  </r>
  <r>
    <x v="9"/>
    <x v="81"/>
    <x v="19"/>
    <x v="2"/>
    <x v="0"/>
    <x v="68"/>
    <x v="131"/>
    <x v="8"/>
    <n v="1"/>
    <s v="Not Sampled"/>
    <n v="143"/>
    <m/>
    <m/>
    <m/>
    <m/>
    <m/>
    <m/>
    <m/>
    <m/>
    <s v="Positive"/>
    <s v="Not Sampled"/>
    <s v="Not Sampled"/>
  </r>
  <r>
    <x v="3"/>
    <x v="16"/>
    <x v="0"/>
    <x v="1"/>
    <x v="56"/>
    <x v="10"/>
    <x v="78"/>
    <x v="1"/>
    <n v="0"/>
    <s v="Not Sampled"/>
    <n v="144"/>
    <m/>
    <m/>
    <m/>
    <m/>
    <m/>
    <m/>
    <m/>
    <m/>
    <s v="Negative"/>
    <s v="Not Sampled"/>
    <s v="Not Sampled"/>
  </r>
  <r>
    <x v="1"/>
    <x v="29"/>
    <x v="25"/>
    <x v="17"/>
    <x v="0"/>
    <x v="12"/>
    <x v="132"/>
    <x v="4"/>
    <n v="0"/>
    <s v="Not Sampled"/>
    <n v="145"/>
    <m/>
    <m/>
    <m/>
    <m/>
    <m/>
    <m/>
    <m/>
    <m/>
    <s v="Negative"/>
    <s v="Not Sampled"/>
    <s v="Not Sampled"/>
  </r>
  <r>
    <x v="11"/>
    <x v="82"/>
    <x v="6"/>
    <x v="18"/>
    <x v="0"/>
    <x v="10"/>
    <x v="133"/>
    <x v="17"/>
    <n v="0"/>
    <n v="0"/>
    <n v="146"/>
    <m/>
    <m/>
    <m/>
    <m/>
    <m/>
    <m/>
    <m/>
    <m/>
    <s v="Negative"/>
    <s v="Negative"/>
    <s v="Accurate Prediction"/>
  </r>
  <r>
    <x v="0"/>
    <x v="33"/>
    <x v="11"/>
    <x v="0"/>
    <x v="57"/>
    <x v="85"/>
    <x v="134"/>
    <x v="34"/>
    <n v="0"/>
    <s v="Not Sampled"/>
    <n v="147"/>
    <m/>
    <m/>
    <m/>
    <m/>
    <m/>
    <m/>
    <m/>
    <m/>
    <s v="Negative"/>
    <s v="Not Sampled"/>
    <s v="Not Sampled"/>
  </r>
  <r>
    <x v="7"/>
    <x v="83"/>
    <x v="4"/>
    <x v="2"/>
    <x v="0"/>
    <x v="47"/>
    <x v="135"/>
    <x v="39"/>
    <n v="0"/>
    <s v="Not Sampled"/>
    <n v="148"/>
    <m/>
    <m/>
    <m/>
    <m/>
    <m/>
    <m/>
    <m/>
    <m/>
    <s v="Negative"/>
    <s v="Not Sampled"/>
    <s v="Not Sampled"/>
  </r>
  <r>
    <x v="0"/>
    <x v="30"/>
    <x v="9"/>
    <x v="6"/>
    <x v="0"/>
    <x v="30"/>
    <x v="136"/>
    <x v="11"/>
    <n v="0"/>
    <s v="Not Sampled"/>
    <n v="149"/>
    <m/>
    <m/>
    <m/>
    <m/>
    <m/>
    <m/>
    <m/>
    <m/>
    <s v="Negative"/>
    <s v="Not Sampled"/>
    <s v="Not Sampled"/>
  </r>
  <r>
    <x v="2"/>
    <x v="60"/>
    <x v="10"/>
    <x v="37"/>
    <x v="58"/>
    <x v="83"/>
    <x v="137"/>
    <x v="3"/>
    <n v="0"/>
    <s v="Not Sampled"/>
    <n v="150"/>
    <m/>
    <m/>
    <m/>
    <m/>
    <m/>
    <m/>
    <m/>
    <m/>
    <s v="Negative"/>
    <s v="Not Sampled"/>
    <s v="Not Sampled"/>
  </r>
  <r>
    <x v="3"/>
    <x v="48"/>
    <x v="7"/>
    <x v="2"/>
    <x v="0"/>
    <x v="101"/>
    <x v="138"/>
    <x v="26"/>
    <n v="0"/>
    <s v="Not Sampled"/>
    <n v="151"/>
    <m/>
    <m/>
    <m/>
    <m/>
    <m/>
    <m/>
    <m/>
    <m/>
    <s v="Negative"/>
    <s v="Not Sampled"/>
    <s v="Not Sampled"/>
  </r>
  <r>
    <x v="11"/>
    <x v="84"/>
    <x v="24"/>
    <x v="7"/>
    <x v="59"/>
    <x v="82"/>
    <x v="139"/>
    <x v="8"/>
    <n v="1"/>
    <s v="Not Sampled"/>
    <n v="152"/>
    <m/>
    <m/>
    <m/>
    <m/>
    <m/>
    <m/>
    <m/>
    <m/>
    <s v="Positive"/>
    <s v="Not Sampled"/>
    <s v="Not Sampled"/>
  </r>
  <r>
    <x v="2"/>
    <x v="85"/>
    <x v="1"/>
    <x v="3"/>
    <x v="60"/>
    <x v="102"/>
    <x v="140"/>
    <x v="1"/>
    <n v="0"/>
    <s v="Not Sampled"/>
    <n v="153"/>
    <m/>
    <m/>
    <m/>
    <m/>
    <m/>
    <m/>
    <m/>
    <m/>
    <s v="Negative"/>
    <s v="Not Sampled"/>
    <s v="Not Sampled"/>
  </r>
  <r>
    <x v="4"/>
    <x v="86"/>
    <x v="4"/>
    <x v="2"/>
    <x v="0"/>
    <x v="103"/>
    <x v="141"/>
    <x v="33"/>
    <n v="1"/>
    <s v="Not Sampled"/>
    <n v="154"/>
    <m/>
    <m/>
    <m/>
    <m/>
    <m/>
    <m/>
    <m/>
    <m/>
    <s v="Positive"/>
    <s v="Not Sampled"/>
    <s v="Not Sampled"/>
  </r>
  <r>
    <x v="8"/>
    <x v="87"/>
    <x v="21"/>
    <x v="38"/>
    <x v="0"/>
    <x v="104"/>
    <x v="142"/>
    <x v="31"/>
    <n v="1"/>
    <s v="Not Sampled"/>
    <n v="155"/>
    <m/>
    <m/>
    <m/>
    <m/>
    <m/>
    <m/>
    <m/>
    <m/>
    <s v="Positive"/>
    <s v="Not Sampled"/>
    <s v="Not Sampled"/>
  </r>
  <r>
    <x v="0"/>
    <x v="6"/>
    <x v="33"/>
    <x v="11"/>
    <x v="48"/>
    <x v="66"/>
    <x v="143"/>
    <x v="4"/>
    <n v="0"/>
    <s v="Not Sampled"/>
    <n v="156"/>
    <m/>
    <m/>
    <m/>
    <m/>
    <m/>
    <m/>
    <m/>
    <m/>
    <s v="Negative"/>
    <s v="Not Sampled"/>
    <s v="Not Sampled"/>
  </r>
  <r>
    <x v="2"/>
    <x v="49"/>
    <x v="20"/>
    <x v="23"/>
    <x v="42"/>
    <x v="18"/>
    <x v="144"/>
    <x v="1"/>
    <n v="0"/>
    <s v="Not Sampled"/>
    <n v="157"/>
    <m/>
    <m/>
    <m/>
    <m/>
    <m/>
    <m/>
    <m/>
    <m/>
    <s v="Negative"/>
    <s v="Not Sampled"/>
    <s v="Not Sampled"/>
  </r>
  <r>
    <x v="0"/>
    <x v="40"/>
    <x v="10"/>
    <x v="13"/>
    <x v="61"/>
    <x v="55"/>
    <x v="145"/>
    <x v="11"/>
    <n v="0"/>
    <n v="0"/>
    <n v="158"/>
    <m/>
    <m/>
    <m/>
    <m/>
    <m/>
    <m/>
    <m/>
    <m/>
    <s v="Negative"/>
    <s v="Negative"/>
    <s v="Accurate Prediction"/>
  </r>
  <r>
    <x v="15"/>
    <x v="26"/>
    <x v="5"/>
    <x v="4"/>
    <x v="62"/>
    <x v="105"/>
    <x v="146"/>
    <x v="0"/>
    <n v="1"/>
    <s v="Not Sampled"/>
    <n v="159"/>
    <m/>
    <m/>
    <m/>
    <m/>
    <m/>
    <m/>
    <m/>
    <m/>
    <s v="Positive"/>
    <s v="Not Sampled"/>
    <s v="Not Sampled"/>
  </r>
  <r>
    <x v="3"/>
    <x v="68"/>
    <x v="8"/>
    <x v="9"/>
    <x v="0"/>
    <x v="27"/>
    <x v="6"/>
    <x v="31"/>
    <n v="0"/>
    <s v="Not Sampled"/>
    <n v="160"/>
    <m/>
    <m/>
    <m/>
    <m/>
    <m/>
    <m/>
    <m/>
    <m/>
    <s v="Negative"/>
    <s v="Not Sampled"/>
    <s v="Not Sampled"/>
  </r>
  <r>
    <x v="8"/>
    <x v="29"/>
    <x v="10"/>
    <x v="32"/>
    <x v="16"/>
    <x v="19"/>
    <x v="147"/>
    <x v="10"/>
    <n v="0"/>
    <n v="0"/>
    <n v="161"/>
    <m/>
    <m/>
    <m/>
    <m/>
    <m/>
    <m/>
    <m/>
    <m/>
    <s v="Negative"/>
    <s v="Negative"/>
    <s v="Accurate Prediction"/>
  </r>
  <r>
    <x v="1"/>
    <x v="48"/>
    <x v="6"/>
    <x v="24"/>
    <x v="63"/>
    <x v="2"/>
    <x v="148"/>
    <x v="23"/>
    <n v="0"/>
    <s v="Not Sampled"/>
    <n v="162"/>
    <m/>
    <m/>
    <m/>
    <m/>
    <m/>
    <m/>
    <m/>
    <m/>
    <s v="Negative"/>
    <s v="Not Sampled"/>
    <s v="Not Sampled"/>
  </r>
  <r>
    <x v="0"/>
    <x v="45"/>
    <x v="11"/>
    <x v="17"/>
    <x v="0"/>
    <x v="27"/>
    <x v="149"/>
    <x v="4"/>
    <n v="0"/>
    <s v="Not Sampled"/>
    <n v="163"/>
    <m/>
    <m/>
    <m/>
    <m/>
    <m/>
    <m/>
    <m/>
    <m/>
    <s v="Negative"/>
    <s v="Not Sampled"/>
    <s v="Not Sampled"/>
  </r>
  <r>
    <x v="1"/>
    <x v="55"/>
    <x v="21"/>
    <x v="2"/>
    <x v="0"/>
    <x v="31"/>
    <x v="150"/>
    <x v="32"/>
    <n v="1"/>
    <s v="Not Sampled"/>
    <n v="164"/>
    <m/>
    <m/>
    <m/>
    <m/>
    <m/>
    <m/>
    <m/>
    <m/>
    <s v="Positive"/>
    <s v="Not Sampled"/>
    <s v="Not Sampled"/>
  </r>
  <r>
    <x v="6"/>
    <x v="88"/>
    <x v="10"/>
    <x v="10"/>
    <x v="64"/>
    <x v="106"/>
    <x v="151"/>
    <x v="17"/>
    <n v="1"/>
    <n v="0"/>
    <n v="165"/>
    <m/>
    <m/>
    <m/>
    <m/>
    <m/>
    <m/>
    <m/>
    <m/>
    <s v="Positive"/>
    <s v="Negative"/>
    <s v="Inaccurate Prediction"/>
  </r>
  <r>
    <x v="5"/>
    <x v="89"/>
    <x v="19"/>
    <x v="14"/>
    <x v="0"/>
    <x v="56"/>
    <x v="152"/>
    <x v="11"/>
    <n v="0"/>
    <s v="Not Sampled"/>
    <n v="166"/>
    <m/>
    <m/>
    <m/>
    <m/>
    <m/>
    <m/>
    <m/>
    <m/>
    <s v="Negative"/>
    <s v="Not Sampled"/>
    <s v="Not Sampled"/>
  </r>
  <r>
    <x v="3"/>
    <x v="24"/>
    <x v="3"/>
    <x v="2"/>
    <x v="0"/>
    <x v="107"/>
    <x v="153"/>
    <x v="34"/>
    <n v="0"/>
    <n v="0"/>
    <n v="167"/>
    <m/>
    <m/>
    <m/>
    <m/>
    <m/>
    <m/>
    <m/>
    <m/>
    <s v="Negative"/>
    <s v="Negative"/>
    <s v="Accurate Prediction"/>
  </r>
  <r>
    <x v="3"/>
    <x v="13"/>
    <x v="19"/>
    <x v="2"/>
    <x v="0"/>
    <x v="108"/>
    <x v="154"/>
    <x v="29"/>
    <n v="0"/>
    <s v="Not Sampled"/>
    <n v="168"/>
    <m/>
    <m/>
    <m/>
    <m/>
    <m/>
    <m/>
    <m/>
    <m/>
    <s v="Negative"/>
    <s v="Not Sampled"/>
    <s v="Not Sampled"/>
  </r>
  <r>
    <x v="5"/>
    <x v="31"/>
    <x v="8"/>
    <x v="39"/>
    <x v="65"/>
    <x v="109"/>
    <x v="155"/>
    <x v="29"/>
    <n v="0"/>
    <n v="0"/>
    <n v="169"/>
    <m/>
    <m/>
    <m/>
    <m/>
    <m/>
    <m/>
    <m/>
    <m/>
    <s v="Negative"/>
    <s v="Negative"/>
    <s v="Accurate Prediction"/>
  </r>
  <r>
    <x v="6"/>
    <x v="29"/>
    <x v="1"/>
    <x v="2"/>
    <x v="0"/>
    <x v="98"/>
    <x v="156"/>
    <x v="31"/>
    <n v="1"/>
    <s v="Not Sampled"/>
    <n v="170"/>
    <m/>
    <m/>
    <m/>
    <m/>
    <m/>
    <m/>
    <m/>
    <m/>
    <s v="Positive"/>
    <s v="Not Sampled"/>
    <s v="Not Sampled"/>
  </r>
  <r>
    <x v="6"/>
    <x v="63"/>
    <x v="9"/>
    <x v="17"/>
    <x v="66"/>
    <x v="110"/>
    <x v="157"/>
    <x v="29"/>
    <n v="1"/>
    <s v="Not Sampled"/>
    <n v="171"/>
    <m/>
    <m/>
    <m/>
    <m/>
    <m/>
    <m/>
    <m/>
    <m/>
    <s v="Positive"/>
    <s v="Not Sampled"/>
    <s v="Not Sampled"/>
  </r>
  <r>
    <x v="0"/>
    <x v="90"/>
    <x v="2"/>
    <x v="17"/>
    <x v="0"/>
    <x v="11"/>
    <x v="158"/>
    <x v="14"/>
    <n v="0"/>
    <s v="Not Sampled"/>
    <n v="172"/>
    <m/>
    <m/>
    <m/>
    <m/>
    <m/>
    <m/>
    <m/>
    <m/>
    <s v="Negative"/>
    <s v="Not Sampled"/>
    <s v="Not Sampled"/>
  </r>
  <r>
    <x v="2"/>
    <x v="53"/>
    <x v="12"/>
    <x v="3"/>
    <x v="35"/>
    <x v="111"/>
    <x v="159"/>
    <x v="1"/>
    <n v="0"/>
    <s v="Not Sampled"/>
    <n v="173"/>
    <m/>
    <m/>
    <m/>
    <m/>
    <m/>
    <m/>
    <m/>
    <m/>
    <s v="Negative"/>
    <s v="Not Sampled"/>
    <s v="Not Sampled"/>
  </r>
  <r>
    <x v="0"/>
    <x v="21"/>
    <x v="11"/>
    <x v="20"/>
    <x v="67"/>
    <x v="27"/>
    <x v="74"/>
    <x v="9"/>
    <n v="0"/>
    <s v="Not Sampled"/>
    <n v="174"/>
    <m/>
    <m/>
    <m/>
    <m/>
    <m/>
    <m/>
    <m/>
    <m/>
    <s v="Negative"/>
    <s v="Not Sampled"/>
    <s v="Not Sampled"/>
  </r>
  <r>
    <x v="4"/>
    <x v="91"/>
    <x v="5"/>
    <x v="3"/>
    <x v="66"/>
    <x v="112"/>
    <x v="160"/>
    <x v="31"/>
    <n v="1"/>
    <s v="Not Sampled"/>
    <n v="175"/>
    <m/>
    <m/>
    <m/>
    <m/>
    <m/>
    <m/>
    <m/>
    <m/>
    <s v="Positive"/>
    <s v="Not Sampled"/>
    <s v="Not Sampled"/>
  </r>
  <r>
    <x v="6"/>
    <x v="69"/>
    <x v="4"/>
    <x v="2"/>
    <x v="0"/>
    <x v="84"/>
    <x v="161"/>
    <x v="8"/>
    <n v="0"/>
    <s v="Not Sampled"/>
    <n v="176"/>
    <m/>
    <m/>
    <m/>
    <m/>
    <m/>
    <m/>
    <m/>
    <m/>
    <s v="Negative"/>
    <s v="Not Sampled"/>
    <s v="Not Sampled"/>
  </r>
  <r>
    <x v="1"/>
    <x v="52"/>
    <x v="18"/>
    <x v="40"/>
    <x v="66"/>
    <x v="113"/>
    <x v="162"/>
    <x v="25"/>
    <n v="1"/>
    <n v="1"/>
    <n v="177"/>
    <m/>
    <m/>
    <m/>
    <m/>
    <m/>
    <m/>
    <m/>
    <m/>
    <s v="Positive"/>
    <s v="Positive"/>
    <s v="Accurate Prediction"/>
  </r>
  <r>
    <x v="7"/>
    <x v="92"/>
    <x v="4"/>
    <x v="2"/>
    <x v="0"/>
    <x v="114"/>
    <x v="163"/>
    <x v="0"/>
    <n v="0"/>
    <s v="Not Sampled"/>
    <n v="178"/>
    <m/>
    <m/>
    <m/>
    <m/>
    <m/>
    <m/>
    <m/>
    <m/>
    <s v="Negative"/>
    <s v="Not Sampled"/>
    <s v="Not Sampled"/>
  </r>
  <r>
    <x v="7"/>
    <x v="23"/>
    <x v="1"/>
    <x v="2"/>
    <x v="0"/>
    <x v="44"/>
    <x v="164"/>
    <x v="26"/>
    <n v="1"/>
    <s v="Not Sampled"/>
    <n v="179"/>
    <m/>
    <m/>
    <m/>
    <m/>
    <m/>
    <m/>
    <m/>
    <m/>
    <s v="Positive"/>
    <s v="Not Sampled"/>
    <s v="Not Sampled"/>
  </r>
  <r>
    <x v="6"/>
    <x v="90"/>
    <x v="6"/>
    <x v="2"/>
    <x v="0"/>
    <x v="87"/>
    <x v="165"/>
    <x v="32"/>
    <n v="0"/>
    <s v="Not Sampled"/>
    <n v="180"/>
    <m/>
    <m/>
    <m/>
    <m/>
    <m/>
    <m/>
    <m/>
    <m/>
    <s v="Negative"/>
    <s v="Not Sampled"/>
    <s v="Not Sampled"/>
  </r>
  <r>
    <x v="1"/>
    <x v="93"/>
    <x v="11"/>
    <x v="10"/>
    <x v="53"/>
    <x v="115"/>
    <x v="166"/>
    <x v="1"/>
    <n v="0"/>
    <n v="0"/>
    <n v="181"/>
    <m/>
    <m/>
    <m/>
    <m/>
    <m/>
    <m/>
    <m/>
    <m/>
    <s v="Negative"/>
    <s v="Negative"/>
    <s v="Accurate Prediction"/>
  </r>
  <r>
    <x v="2"/>
    <x v="18"/>
    <x v="10"/>
    <x v="28"/>
    <x v="23"/>
    <x v="116"/>
    <x v="167"/>
    <x v="4"/>
    <n v="0"/>
    <s v="Not Sampled"/>
    <n v="182"/>
    <m/>
    <m/>
    <m/>
    <m/>
    <m/>
    <m/>
    <m/>
    <m/>
    <s v="Negative"/>
    <s v="Not Sampled"/>
    <s v="Not Sampled"/>
  </r>
  <r>
    <x v="7"/>
    <x v="43"/>
    <x v="12"/>
    <x v="2"/>
    <x v="0"/>
    <x v="90"/>
    <x v="32"/>
    <x v="23"/>
    <n v="0"/>
    <s v="Not Sampled"/>
    <n v="183"/>
    <m/>
    <m/>
    <m/>
    <m/>
    <m/>
    <m/>
    <m/>
    <m/>
    <s v="Negative"/>
    <s v="Not Sampled"/>
    <s v="Not Sampled"/>
  </r>
  <r>
    <x v="3"/>
    <x v="47"/>
    <x v="10"/>
    <x v="2"/>
    <x v="0"/>
    <x v="32"/>
    <x v="168"/>
    <x v="18"/>
    <n v="0"/>
    <s v="Not Sampled"/>
    <n v="184"/>
    <m/>
    <m/>
    <m/>
    <m/>
    <m/>
    <m/>
    <m/>
    <m/>
    <s v="Negative"/>
    <s v="Not Sampled"/>
    <s v="Not Sampled"/>
  </r>
  <r>
    <x v="8"/>
    <x v="7"/>
    <x v="3"/>
    <x v="7"/>
    <x v="0"/>
    <x v="117"/>
    <x v="169"/>
    <x v="17"/>
    <n v="1"/>
    <s v="Not Sampled"/>
    <n v="185"/>
    <m/>
    <m/>
    <m/>
    <m/>
    <m/>
    <m/>
    <m/>
    <m/>
    <s v="Positive"/>
    <s v="Not Sampled"/>
    <s v="Not Sampled"/>
  </r>
  <r>
    <x v="4"/>
    <x v="94"/>
    <x v="3"/>
    <x v="35"/>
    <x v="43"/>
    <x v="15"/>
    <x v="170"/>
    <x v="35"/>
    <n v="1"/>
    <n v="1"/>
    <n v="186"/>
    <m/>
    <m/>
    <m/>
    <m/>
    <m/>
    <m/>
    <m/>
    <m/>
    <s v="Positive"/>
    <s v="Positive"/>
    <s v="Accurate Prediction"/>
  </r>
  <r>
    <x v="2"/>
    <x v="80"/>
    <x v="34"/>
    <x v="4"/>
    <x v="68"/>
    <x v="61"/>
    <x v="171"/>
    <x v="9"/>
    <n v="1"/>
    <s v="Not Sampled"/>
    <n v="187"/>
    <m/>
    <m/>
    <m/>
    <m/>
    <m/>
    <m/>
    <m/>
    <m/>
    <s v="Positive"/>
    <s v="Not Sampled"/>
    <s v="Not Sampled"/>
  </r>
  <r>
    <x v="4"/>
    <x v="49"/>
    <x v="15"/>
    <x v="15"/>
    <x v="62"/>
    <x v="94"/>
    <x v="172"/>
    <x v="2"/>
    <n v="1"/>
    <s v="Not Sampled"/>
    <n v="188"/>
    <m/>
    <m/>
    <m/>
    <m/>
    <m/>
    <m/>
    <m/>
    <m/>
    <s v="Positive"/>
    <s v="Not Sampled"/>
    <s v="Not Sampled"/>
  </r>
  <r>
    <x v="7"/>
    <x v="4"/>
    <x v="6"/>
    <x v="0"/>
    <x v="69"/>
    <x v="31"/>
    <x v="120"/>
    <x v="14"/>
    <n v="1"/>
    <s v="Not Sampled"/>
    <n v="189"/>
    <m/>
    <m/>
    <m/>
    <m/>
    <m/>
    <m/>
    <m/>
    <m/>
    <s v="Positive"/>
    <s v="Not Sampled"/>
    <s v="Not Sampled"/>
  </r>
  <r>
    <x v="5"/>
    <x v="31"/>
    <x v="0"/>
    <x v="2"/>
    <x v="0"/>
    <x v="118"/>
    <x v="173"/>
    <x v="4"/>
    <n v="0"/>
    <n v="0"/>
    <n v="190"/>
    <m/>
    <m/>
    <m/>
    <m/>
    <m/>
    <m/>
    <m/>
    <m/>
    <s v="Negative"/>
    <s v="Negative"/>
    <s v="Accurate Prediction"/>
  </r>
  <r>
    <x v="11"/>
    <x v="62"/>
    <x v="9"/>
    <x v="38"/>
    <x v="48"/>
    <x v="119"/>
    <x v="174"/>
    <x v="18"/>
    <n v="0"/>
    <s v="Not Sampled"/>
    <n v="191"/>
    <m/>
    <m/>
    <m/>
    <m/>
    <m/>
    <m/>
    <m/>
    <m/>
    <s v="Negative"/>
    <s v="Not Sampled"/>
    <s v="Not Sampled"/>
  </r>
  <r>
    <x v="8"/>
    <x v="35"/>
    <x v="19"/>
    <x v="2"/>
    <x v="0"/>
    <x v="25"/>
    <x v="175"/>
    <x v="31"/>
    <n v="1"/>
    <n v="1"/>
    <n v="192"/>
    <m/>
    <m/>
    <m/>
    <m/>
    <m/>
    <m/>
    <m/>
    <m/>
    <s v="Positive"/>
    <s v="Positive"/>
    <s v="Accurate Prediction"/>
  </r>
  <r>
    <x v="12"/>
    <x v="3"/>
    <x v="2"/>
    <x v="2"/>
    <x v="0"/>
    <x v="120"/>
    <x v="176"/>
    <x v="18"/>
    <n v="1"/>
    <s v="Not Sampled"/>
    <n v="193"/>
    <m/>
    <m/>
    <m/>
    <m/>
    <m/>
    <m/>
    <m/>
    <m/>
    <s v="Positive"/>
    <s v="Not Sampled"/>
    <s v="Not Sampled"/>
  </r>
  <r>
    <x v="4"/>
    <x v="69"/>
    <x v="29"/>
    <x v="28"/>
    <x v="0"/>
    <x v="46"/>
    <x v="177"/>
    <x v="8"/>
    <n v="0"/>
    <n v="0"/>
    <n v="194"/>
    <m/>
    <m/>
    <m/>
    <m/>
    <m/>
    <m/>
    <m/>
    <m/>
    <s v="Negative"/>
    <s v="Negative"/>
    <s v="Accurate Prediction"/>
  </r>
  <r>
    <x v="7"/>
    <x v="95"/>
    <x v="16"/>
    <x v="4"/>
    <x v="14"/>
    <x v="121"/>
    <x v="178"/>
    <x v="29"/>
    <n v="1"/>
    <s v="Not Sampled"/>
    <n v="195"/>
    <m/>
    <m/>
    <m/>
    <m/>
    <m/>
    <m/>
    <m/>
    <m/>
    <s v="Positive"/>
    <s v="Not Sampled"/>
    <s v="Not Sampled"/>
  </r>
  <r>
    <x v="2"/>
    <x v="38"/>
    <x v="22"/>
    <x v="2"/>
    <x v="0"/>
    <x v="122"/>
    <x v="179"/>
    <x v="4"/>
    <n v="0"/>
    <s v="Not Sampled"/>
    <n v="196"/>
    <m/>
    <m/>
    <m/>
    <m/>
    <m/>
    <m/>
    <m/>
    <m/>
    <s v="Negative"/>
    <s v="Not Sampled"/>
    <s v="Not Sampled"/>
  </r>
  <r>
    <x v="5"/>
    <x v="61"/>
    <x v="0"/>
    <x v="27"/>
    <x v="35"/>
    <x v="123"/>
    <x v="159"/>
    <x v="1"/>
    <n v="1"/>
    <s v="Not Sampled"/>
    <n v="197"/>
    <m/>
    <m/>
    <m/>
    <m/>
    <m/>
    <m/>
    <m/>
    <m/>
    <s v="Positive"/>
    <s v="Not Sampled"/>
    <s v="Not Sampled"/>
  </r>
  <r>
    <x v="3"/>
    <x v="49"/>
    <x v="11"/>
    <x v="38"/>
    <x v="47"/>
    <x v="124"/>
    <x v="180"/>
    <x v="25"/>
    <n v="1"/>
    <s v="Not Sampled"/>
    <n v="198"/>
    <m/>
    <m/>
    <m/>
    <m/>
    <m/>
    <m/>
    <m/>
    <m/>
    <s v="Positive"/>
    <s v="Not Sampled"/>
    <s v="Not Sampled"/>
  </r>
  <r>
    <x v="3"/>
    <x v="89"/>
    <x v="12"/>
    <x v="21"/>
    <x v="70"/>
    <x v="125"/>
    <x v="181"/>
    <x v="29"/>
    <n v="1"/>
    <s v="Not Sampled"/>
    <n v="199"/>
    <m/>
    <m/>
    <m/>
    <m/>
    <m/>
    <m/>
    <m/>
    <m/>
    <s v="Positive"/>
    <s v="Not Sampled"/>
    <s v="Not Sampled"/>
  </r>
  <r>
    <x v="1"/>
    <x v="57"/>
    <x v="6"/>
    <x v="41"/>
    <x v="0"/>
    <x v="126"/>
    <x v="182"/>
    <x v="4"/>
    <n v="0"/>
    <s v="Not Sampled"/>
    <n v="200"/>
    <m/>
    <m/>
    <m/>
    <m/>
    <m/>
    <m/>
    <m/>
    <m/>
    <s v="Negative"/>
    <s v="Not Sampled"/>
    <s v="Not Sampled"/>
  </r>
  <r>
    <x v="2"/>
    <x v="0"/>
    <x v="1"/>
    <x v="2"/>
    <x v="0"/>
    <x v="127"/>
    <x v="183"/>
    <x v="6"/>
    <n v="0"/>
    <n v="0"/>
    <n v="201"/>
    <m/>
    <m/>
    <m/>
    <m/>
    <m/>
    <m/>
    <m/>
    <m/>
    <s v="Negative"/>
    <s v="Negative"/>
    <s v="Accurate Prediction"/>
  </r>
  <r>
    <x v="1"/>
    <x v="81"/>
    <x v="3"/>
    <x v="28"/>
    <x v="0"/>
    <x v="30"/>
    <x v="184"/>
    <x v="32"/>
    <n v="0"/>
    <n v="0"/>
    <n v="202"/>
    <m/>
    <m/>
    <m/>
    <m/>
    <m/>
    <m/>
    <m/>
    <m/>
    <s v="Negative"/>
    <s v="Negative"/>
    <s v="Accurate Prediction"/>
  </r>
  <r>
    <x v="0"/>
    <x v="6"/>
    <x v="9"/>
    <x v="41"/>
    <x v="71"/>
    <x v="76"/>
    <x v="41"/>
    <x v="23"/>
    <n v="0"/>
    <s v="Not Sampled"/>
    <n v="203"/>
    <m/>
    <m/>
    <m/>
    <m/>
    <m/>
    <m/>
    <m/>
    <m/>
    <s v="Negative"/>
    <s v="Not Sampled"/>
    <s v="Not Sampled"/>
  </r>
  <r>
    <x v="6"/>
    <x v="28"/>
    <x v="5"/>
    <x v="5"/>
    <x v="72"/>
    <x v="50"/>
    <x v="82"/>
    <x v="15"/>
    <n v="0"/>
    <s v="Not Sampled"/>
    <n v="204"/>
    <m/>
    <m/>
    <m/>
    <m/>
    <m/>
    <m/>
    <m/>
    <m/>
    <s v="Negative"/>
    <s v="Not Sampled"/>
    <s v="Not Sampled"/>
  </r>
  <r>
    <x v="7"/>
    <x v="31"/>
    <x v="5"/>
    <x v="7"/>
    <x v="0"/>
    <x v="128"/>
    <x v="185"/>
    <x v="23"/>
    <n v="0"/>
    <s v="Not Sampled"/>
    <n v="205"/>
    <m/>
    <m/>
    <m/>
    <m/>
    <m/>
    <m/>
    <m/>
    <m/>
    <s v="Negative"/>
    <s v="Not Sampled"/>
    <s v="Not Sampled"/>
  </r>
  <r>
    <x v="4"/>
    <x v="96"/>
    <x v="15"/>
    <x v="30"/>
    <x v="73"/>
    <x v="129"/>
    <x v="186"/>
    <x v="40"/>
    <n v="1"/>
    <s v="Not Sampled"/>
    <n v="206"/>
    <m/>
    <m/>
    <m/>
    <m/>
    <m/>
    <m/>
    <m/>
    <m/>
    <s v="Positive"/>
    <s v="Not Sampled"/>
    <s v="Not Sampled"/>
  </r>
  <r>
    <x v="7"/>
    <x v="76"/>
    <x v="35"/>
    <x v="2"/>
    <x v="0"/>
    <x v="50"/>
    <x v="187"/>
    <x v="41"/>
    <n v="1"/>
    <s v="Not Sampled"/>
    <n v="207"/>
    <m/>
    <m/>
    <m/>
    <m/>
    <m/>
    <m/>
    <m/>
    <m/>
    <s v="Positive"/>
    <s v="Not Sampled"/>
    <s v="Not Sampled"/>
  </r>
  <r>
    <x v="2"/>
    <x v="20"/>
    <x v="11"/>
    <x v="21"/>
    <x v="74"/>
    <x v="34"/>
    <x v="188"/>
    <x v="4"/>
    <n v="0"/>
    <s v="Not Sampled"/>
    <n v="208"/>
    <m/>
    <m/>
    <m/>
    <m/>
    <m/>
    <m/>
    <m/>
    <m/>
    <s v="Negative"/>
    <s v="Not Sampled"/>
    <s v="Not Sampled"/>
  </r>
  <r>
    <x v="8"/>
    <x v="97"/>
    <x v="16"/>
    <x v="12"/>
    <x v="0"/>
    <x v="130"/>
    <x v="189"/>
    <x v="17"/>
    <n v="1"/>
    <s v="Not Sampled"/>
    <n v="209"/>
    <m/>
    <m/>
    <m/>
    <m/>
    <m/>
    <m/>
    <m/>
    <m/>
    <s v="Positive"/>
    <s v="Not Sampled"/>
    <s v="Not Sampled"/>
  </r>
  <r>
    <x v="0"/>
    <x v="14"/>
    <x v="12"/>
    <x v="29"/>
    <x v="0"/>
    <x v="116"/>
    <x v="190"/>
    <x v="14"/>
    <n v="0"/>
    <s v="Not Sampled"/>
    <n v="210"/>
    <m/>
    <m/>
    <m/>
    <m/>
    <m/>
    <m/>
    <m/>
    <m/>
    <s v="Negative"/>
    <s v="Not Sampled"/>
    <s v="Not Sampled"/>
  </r>
  <r>
    <x v="1"/>
    <x v="83"/>
    <x v="23"/>
    <x v="31"/>
    <x v="0"/>
    <x v="131"/>
    <x v="191"/>
    <x v="3"/>
    <n v="0"/>
    <s v="Not Sampled"/>
    <n v="211"/>
    <m/>
    <m/>
    <m/>
    <m/>
    <m/>
    <m/>
    <m/>
    <m/>
    <s v="Negative"/>
    <s v="Not Sampled"/>
    <s v="Not Sampled"/>
  </r>
  <r>
    <x v="8"/>
    <x v="91"/>
    <x v="36"/>
    <x v="1"/>
    <x v="0"/>
    <x v="89"/>
    <x v="192"/>
    <x v="35"/>
    <n v="0"/>
    <s v="Not Sampled"/>
    <n v="212"/>
    <m/>
    <m/>
    <m/>
    <m/>
    <m/>
    <m/>
    <m/>
    <m/>
    <s v="Negative"/>
    <s v="Not Sampled"/>
    <s v="Not Sampled"/>
  </r>
  <r>
    <x v="1"/>
    <x v="98"/>
    <x v="7"/>
    <x v="16"/>
    <x v="66"/>
    <x v="132"/>
    <x v="193"/>
    <x v="3"/>
    <n v="1"/>
    <s v="Not Sampled"/>
    <n v="213"/>
    <m/>
    <m/>
    <m/>
    <m/>
    <m/>
    <m/>
    <m/>
    <m/>
    <s v="Positive"/>
    <s v="Not Sampled"/>
    <s v="Not Sampled"/>
  </r>
  <r>
    <x v="11"/>
    <x v="56"/>
    <x v="1"/>
    <x v="5"/>
    <x v="45"/>
    <x v="89"/>
    <x v="112"/>
    <x v="31"/>
    <n v="1"/>
    <s v="Not Sampled"/>
    <n v="214"/>
    <m/>
    <m/>
    <m/>
    <m/>
    <m/>
    <m/>
    <m/>
    <m/>
    <s v="Positive"/>
    <s v="Not Sampled"/>
    <s v="Not Sampled"/>
  </r>
  <r>
    <x v="10"/>
    <x v="68"/>
    <x v="9"/>
    <x v="32"/>
    <x v="75"/>
    <x v="133"/>
    <x v="194"/>
    <x v="19"/>
    <n v="1"/>
    <s v="Not Sampled"/>
    <n v="215"/>
    <m/>
    <m/>
    <m/>
    <m/>
    <m/>
    <m/>
    <m/>
    <m/>
    <s v="Positive"/>
    <s v="Not Sampled"/>
    <s v="Not Sampled"/>
  </r>
  <r>
    <x v="7"/>
    <x v="49"/>
    <x v="0"/>
    <x v="4"/>
    <x v="76"/>
    <x v="134"/>
    <x v="195"/>
    <x v="14"/>
    <n v="1"/>
    <s v="Not Sampled"/>
    <n v="216"/>
    <m/>
    <m/>
    <m/>
    <m/>
    <m/>
    <m/>
    <m/>
    <m/>
    <s v="Positive"/>
    <s v="Not Sampled"/>
    <s v="Not Sampled"/>
  </r>
  <r>
    <x v="6"/>
    <x v="10"/>
    <x v="3"/>
    <x v="8"/>
    <x v="77"/>
    <x v="135"/>
    <x v="196"/>
    <x v="32"/>
    <n v="0"/>
    <s v="Not Sampled"/>
    <n v="217"/>
    <m/>
    <m/>
    <m/>
    <m/>
    <m/>
    <m/>
    <m/>
    <m/>
    <s v="Negative"/>
    <s v="Not Sampled"/>
    <s v="Not Sampled"/>
  </r>
  <r>
    <x v="7"/>
    <x v="69"/>
    <x v="10"/>
    <x v="29"/>
    <x v="0"/>
    <x v="55"/>
    <x v="197"/>
    <x v="32"/>
    <n v="1"/>
    <s v="Not Sampled"/>
    <n v="218"/>
    <m/>
    <m/>
    <m/>
    <m/>
    <m/>
    <m/>
    <m/>
    <m/>
    <s v="Positive"/>
    <s v="Not Sampled"/>
    <s v="Not Sampled"/>
  </r>
  <r>
    <x v="7"/>
    <x v="56"/>
    <x v="19"/>
    <x v="2"/>
    <x v="0"/>
    <x v="136"/>
    <x v="86"/>
    <x v="17"/>
    <n v="1"/>
    <s v="Not Sampled"/>
    <n v="219"/>
    <m/>
    <m/>
    <m/>
    <m/>
    <m/>
    <m/>
    <m/>
    <m/>
    <s v="Positive"/>
    <s v="Not Sampled"/>
    <s v="Not Sampled"/>
  </r>
  <r>
    <x v="1"/>
    <x v="99"/>
    <x v="12"/>
    <x v="30"/>
    <x v="78"/>
    <x v="137"/>
    <x v="198"/>
    <x v="4"/>
    <n v="1"/>
    <s v="Not Sampled"/>
    <n v="220"/>
    <m/>
    <m/>
    <m/>
    <m/>
    <m/>
    <m/>
    <m/>
    <m/>
    <s v="Positive"/>
    <s v="Not Sampled"/>
    <s v="Not Sampled"/>
  </r>
  <r>
    <x v="0"/>
    <x v="95"/>
    <x v="8"/>
    <x v="2"/>
    <x v="0"/>
    <x v="31"/>
    <x v="199"/>
    <x v="12"/>
    <n v="1"/>
    <s v="Not Sampled"/>
    <n v="221"/>
    <m/>
    <m/>
    <m/>
    <m/>
    <m/>
    <m/>
    <m/>
    <m/>
    <s v="Positive"/>
    <s v="Not Sampled"/>
    <s v="Not Sampled"/>
  </r>
  <r>
    <x v="8"/>
    <x v="93"/>
    <x v="2"/>
    <x v="2"/>
    <x v="0"/>
    <x v="18"/>
    <x v="200"/>
    <x v="26"/>
    <n v="0"/>
    <s v="Not Sampled"/>
    <n v="222"/>
    <m/>
    <m/>
    <m/>
    <m/>
    <m/>
    <m/>
    <m/>
    <m/>
    <s v="Negative"/>
    <s v="Not Sampled"/>
    <s v="Not Sampled"/>
  </r>
  <r>
    <x v="8"/>
    <x v="64"/>
    <x v="12"/>
    <x v="12"/>
    <x v="72"/>
    <x v="138"/>
    <x v="140"/>
    <x v="36"/>
    <n v="0"/>
    <n v="1"/>
    <n v="223"/>
    <m/>
    <m/>
    <m/>
    <m/>
    <m/>
    <m/>
    <m/>
    <m/>
    <s v="Negative"/>
    <s v="Positive"/>
    <s v="Inaccurate Prediction"/>
  </r>
  <r>
    <x v="2"/>
    <x v="45"/>
    <x v="19"/>
    <x v="11"/>
    <x v="79"/>
    <x v="139"/>
    <x v="201"/>
    <x v="25"/>
    <n v="0"/>
    <s v="Not Sampled"/>
    <n v="224"/>
    <m/>
    <m/>
    <m/>
    <m/>
    <m/>
    <m/>
    <m/>
    <m/>
    <s v="Negative"/>
    <s v="Not Sampled"/>
    <s v="Not Sampled"/>
  </r>
  <r>
    <x v="2"/>
    <x v="90"/>
    <x v="4"/>
    <x v="21"/>
    <x v="80"/>
    <x v="137"/>
    <x v="202"/>
    <x v="11"/>
    <n v="0"/>
    <s v="Not Sampled"/>
    <n v="225"/>
    <m/>
    <m/>
    <m/>
    <m/>
    <m/>
    <m/>
    <m/>
    <m/>
    <s v="Negative"/>
    <s v="Not Sampled"/>
    <s v="Not Sampled"/>
  </r>
  <r>
    <x v="1"/>
    <x v="39"/>
    <x v="15"/>
    <x v="2"/>
    <x v="0"/>
    <x v="140"/>
    <x v="203"/>
    <x v="25"/>
    <n v="0"/>
    <s v="Not Sampled"/>
    <n v="226"/>
    <m/>
    <m/>
    <m/>
    <m/>
    <m/>
    <m/>
    <m/>
    <m/>
    <s v="Negative"/>
    <s v="Not Sampled"/>
    <s v="Not Sampled"/>
  </r>
  <r>
    <x v="5"/>
    <x v="76"/>
    <x v="33"/>
    <x v="9"/>
    <x v="0"/>
    <x v="19"/>
    <x v="204"/>
    <x v="3"/>
    <n v="1"/>
    <n v="1"/>
    <n v="227"/>
    <m/>
    <m/>
    <m/>
    <m/>
    <m/>
    <m/>
    <m/>
    <m/>
    <s v="Positive"/>
    <s v="Positive"/>
    <s v="Accurate Prediction"/>
  </r>
  <r>
    <x v="3"/>
    <x v="100"/>
    <x v="9"/>
    <x v="15"/>
    <x v="81"/>
    <x v="141"/>
    <x v="205"/>
    <x v="2"/>
    <n v="0"/>
    <n v="1"/>
    <n v="228"/>
    <m/>
    <m/>
    <m/>
    <m/>
    <m/>
    <m/>
    <m/>
    <m/>
    <s v="Negative"/>
    <s v="Positive"/>
    <s v="Inaccurate Prediction"/>
  </r>
  <r>
    <x v="1"/>
    <x v="17"/>
    <x v="6"/>
    <x v="1"/>
    <x v="61"/>
    <x v="142"/>
    <x v="206"/>
    <x v="3"/>
    <n v="0"/>
    <s v="Not Sampled"/>
    <n v="229"/>
    <m/>
    <m/>
    <m/>
    <m/>
    <m/>
    <m/>
    <m/>
    <m/>
    <s v="Negative"/>
    <s v="Not Sampled"/>
    <s v="Not Sampled"/>
  </r>
  <r>
    <x v="3"/>
    <x v="64"/>
    <x v="24"/>
    <x v="2"/>
    <x v="0"/>
    <x v="143"/>
    <x v="207"/>
    <x v="11"/>
    <n v="1"/>
    <s v="Not Sampled"/>
    <n v="230"/>
    <m/>
    <m/>
    <m/>
    <m/>
    <m/>
    <m/>
    <m/>
    <m/>
    <s v="Positive"/>
    <s v="Not Sampled"/>
    <s v="Not Sampled"/>
  </r>
  <r>
    <x v="6"/>
    <x v="63"/>
    <x v="6"/>
    <x v="18"/>
    <x v="82"/>
    <x v="144"/>
    <x v="21"/>
    <x v="22"/>
    <n v="1"/>
    <n v="1"/>
    <n v="231"/>
    <m/>
    <m/>
    <m/>
    <m/>
    <m/>
    <m/>
    <m/>
    <m/>
    <s v="Positive"/>
    <s v="Positive"/>
    <s v="Accurate Prediction"/>
  </r>
  <r>
    <x v="2"/>
    <x v="53"/>
    <x v="6"/>
    <x v="14"/>
    <x v="44"/>
    <x v="54"/>
    <x v="69"/>
    <x v="11"/>
    <n v="0"/>
    <s v="Not Sampled"/>
    <n v="232"/>
    <m/>
    <m/>
    <m/>
    <m/>
    <m/>
    <m/>
    <m/>
    <m/>
    <s v="Negative"/>
    <s v="Not Sampled"/>
    <s v="Not Sampled"/>
  </r>
  <r>
    <x v="3"/>
    <x v="27"/>
    <x v="3"/>
    <x v="2"/>
    <x v="0"/>
    <x v="145"/>
    <x v="208"/>
    <x v="29"/>
    <n v="0"/>
    <n v="0"/>
    <n v="233"/>
    <m/>
    <m/>
    <m/>
    <m/>
    <m/>
    <m/>
    <m/>
    <m/>
    <s v="Negative"/>
    <s v="Negative"/>
    <s v="Accurate Prediction"/>
  </r>
  <r>
    <x v="5"/>
    <x v="58"/>
    <x v="3"/>
    <x v="7"/>
    <x v="83"/>
    <x v="27"/>
    <x v="209"/>
    <x v="1"/>
    <n v="0"/>
    <s v="Not Sampled"/>
    <n v="234"/>
    <m/>
    <m/>
    <m/>
    <m/>
    <m/>
    <m/>
    <m/>
    <m/>
    <s v="Negative"/>
    <s v="Not Sampled"/>
    <s v="Not Sampled"/>
  </r>
  <r>
    <x v="3"/>
    <x v="34"/>
    <x v="5"/>
    <x v="2"/>
    <x v="0"/>
    <x v="146"/>
    <x v="210"/>
    <x v="25"/>
    <n v="1"/>
    <s v="Not Sampled"/>
    <n v="235"/>
    <m/>
    <m/>
    <m/>
    <m/>
    <m/>
    <m/>
    <m/>
    <m/>
    <s v="Positive"/>
    <s v="Not Sampled"/>
    <s v="Not Sampled"/>
  </r>
  <r>
    <x v="8"/>
    <x v="94"/>
    <x v="16"/>
    <x v="23"/>
    <x v="17"/>
    <x v="117"/>
    <x v="45"/>
    <x v="42"/>
    <n v="1"/>
    <n v="1"/>
    <n v="236"/>
    <m/>
    <m/>
    <m/>
    <m/>
    <m/>
    <m/>
    <m/>
    <m/>
    <s v="Positive"/>
    <s v="Positive"/>
    <s v="Accurate Prediction"/>
  </r>
  <r>
    <x v="1"/>
    <x v="91"/>
    <x v="8"/>
    <x v="21"/>
    <x v="0"/>
    <x v="147"/>
    <x v="211"/>
    <x v="1"/>
    <n v="1"/>
    <s v="Not Sampled"/>
    <n v="237"/>
    <m/>
    <m/>
    <m/>
    <m/>
    <m/>
    <m/>
    <m/>
    <m/>
    <s v="Positive"/>
    <s v="Not Sampled"/>
    <s v="Not Sampled"/>
  </r>
  <r>
    <x v="11"/>
    <x v="101"/>
    <x v="16"/>
    <x v="23"/>
    <x v="0"/>
    <x v="98"/>
    <x v="212"/>
    <x v="32"/>
    <n v="1"/>
    <s v="Not Sampled"/>
    <n v="238"/>
    <m/>
    <m/>
    <m/>
    <m/>
    <m/>
    <m/>
    <m/>
    <m/>
    <s v="Positive"/>
    <s v="Not Sampled"/>
    <s v="Not Sampled"/>
  </r>
  <r>
    <x v="1"/>
    <x v="88"/>
    <x v="15"/>
    <x v="2"/>
    <x v="0"/>
    <x v="148"/>
    <x v="213"/>
    <x v="23"/>
    <n v="0"/>
    <s v="Not Sampled"/>
    <n v="239"/>
    <m/>
    <m/>
    <m/>
    <m/>
    <m/>
    <m/>
    <m/>
    <m/>
    <s v="Negative"/>
    <s v="Not Sampled"/>
    <s v="Not Sampled"/>
  </r>
  <r>
    <x v="2"/>
    <x v="25"/>
    <x v="11"/>
    <x v="20"/>
    <x v="0"/>
    <x v="149"/>
    <x v="105"/>
    <x v="4"/>
    <n v="0"/>
    <s v="Not Sampled"/>
    <n v="240"/>
    <m/>
    <m/>
    <m/>
    <m/>
    <m/>
    <m/>
    <m/>
    <m/>
    <s v="Negative"/>
    <s v="Not Sampled"/>
    <s v="Not Sampled"/>
  </r>
  <r>
    <x v="3"/>
    <x v="25"/>
    <x v="9"/>
    <x v="5"/>
    <x v="84"/>
    <x v="119"/>
    <x v="214"/>
    <x v="11"/>
    <n v="0"/>
    <n v="0"/>
    <n v="241"/>
    <m/>
    <m/>
    <m/>
    <m/>
    <m/>
    <m/>
    <m/>
    <m/>
    <s v="Negative"/>
    <s v="Negative"/>
    <s v="Accurate Prediction"/>
  </r>
  <r>
    <x v="5"/>
    <x v="4"/>
    <x v="14"/>
    <x v="2"/>
    <x v="0"/>
    <x v="6"/>
    <x v="215"/>
    <x v="11"/>
    <n v="1"/>
    <s v="Not Sampled"/>
    <n v="242"/>
    <m/>
    <m/>
    <m/>
    <m/>
    <m/>
    <m/>
    <m/>
    <m/>
    <s v="Positive"/>
    <s v="Not Sampled"/>
    <s v="Not Sampled"/>
  </r>
  <r>
    <x v="6"/>
    <x v="93"/>
    <x v="13"/>
    <x v="29"/>
    <x v="34"/>
    <x v="150"/>
    <x v="216"/>
    <x v="9"/>
    <n v="1"/>
    <s v="Not Sampled"/>
    <n v="243"/>
    <m/>
    <m/>
    <m/>
    <m/>
    <m/>
    <m/>
    <m/>
    <m/>
    <s v="Positive"/>
    <s v="Not Sampled"/>
    <s v="Not Sampled"/>
  </r>
  <r>
    <x v="0"/>
    <x v="36"/>
    <x v="15"/>
    <x v="0"/>
    <x v="85"/>
    <x v="1"/>
    <x v="217"/>
    <x v="29"/>
    <n v="0"/>
    <s v="Not Sampled"/>
    <n v="244"/>
    <m/>
    <m/>
    <m/>
    <m/>
    <m/>
    <m/>
    <m/>
    <m/>
    <s v="Negative"/>
    <s v="Not Sampled"/>
    <s v="Not Sampled"/>
  </r>
  <r>
    <x v="11"/>
    <x v="97"/>
    <x v="23"/>
    <x v="11"/>
    <x v="0"/>
    <x v="135"/>
    <x v="218"/>
    <x v="43"/>
    <n v="1"/>
    <s v="Not Sampled"/>
    <n v="245"/>
    <m/>
    <m/>
    <m/>
    <m/>
    <m/>
    <m/>
    <m/>
    <m/>
    <s v="Positive"/>
    <s v="Not Sampled"/>
    <s v="Not Sampled"/>
  </r>
  <r>
    <x v="9"/>
    <x v="27"/>
    <x v="3"/>
    <x v="2"/>
    <x v="0"/>
    <x v="84"/>
    <x v="61"/>
    <x v="17"/>
    <n v="0"/>
    <s v="Not Sampled"/>
    <n v="246"/>
    <m/>
    <m/>
    <m/>
    <m/>
    <m/>
    <m/>
    <m/>
    <m/>
    <s v="Negative"/>
    <s v="Not Sampled"/>
    <s v="Not Sampled"/>
  </r>
  <r>
    <x v="1"/>
    <x v="102"/>
    <x v="8"/>
    <x v="12"/>
    <x v="86"/>
    <x v="120"/>
    <x v="219"/>
    <x v="1"/>
    <n v="0"/>
    <s v="Not Sampled"/>
    <n v="247"/>
    <m/>
    <m/>
    <m/>
    <m/>
    <m/>
    <m/>
    <m/>
    <m/>
    <s v="Negative"/>
    <s v="Not Sampled"/>
    <s v="Not Sampled"/>
  </r>
  <r>
    <x v="11"/>
    <x v="73"/>
    <x v="9"/>
    <x v="12"/>
    <x v="87"/>
    <x v="110"/>
    <x v="220"/>
    <x v="34"/>
    <n v="0"/>
    <n v="0"/>
    <n v="248"/>
    <m/>
    <m/>
    <m/>
    <m/>
    <m/>
    <m/>
    <m/>
    <m/>
    <s v="Negative"/>
    <s v="Negative"/>
    <s v="Accurate Prediction"/>
  </r>
  <r>
    <x v="2"/>
    <x v="31"/>
    <x v="24"/>
    <x v="13"/>
    <x v="0"/>
    <x v="15"/>
    <x v="221"/>
    <x v="1"/>
    <n v="0"/>
    <s v="Not Sampled"/>
    <n v="249"/>
    <m/>
    <m/>
    <m/>
    <m/>
    <m/>
    <m/>
    <m/>
    <m/>
    <s v="Negative"/>
    <s v="Not Sampled"/>
    <s v="Not Sampled"/>
  </r>
  <r>
    <x v="11"/>
    <x v="33"/>
    <x v="33"/>
    <x v="2"/>
    <x v="0"/>
    <x v="84"/>
    <x v="222"/>
    <x v="8"/>
    <n v="0"/>
    <s v="Not Sampled"/>
    <n v="250"/>
    <m/>
    <m/>
    <m/>
    <m/>
    <m/>
    <m/>
    <m/>
    <m/>
    <s v="Negative"/>
    <s v="Not Sampled"/>
    <s v="Not Sampled"/>
  </r>
  <r>
    <x v="0"/>
    <x v="52"/>
    <x v="16"/>
    <x v="2"/>
    <x v="0"/>
    <x v="43"/>
    <x v="223"/>
    <x v="23"/>
    <n v="0"/>
    <s v="Not Sampled"/>
    <n v="251"/>
    <m/>
    <m/>
    <m/>
    <m/>
    <m/>
    <m/>
    <m/>
    <m/>
    <s v="Negative"/>
    <s v="Not Sampled"/>
    <s v="Not Sampled"/>
  </r>
  <r>
    <x v="0"/>
    <x v="30"/>
    <x v="6"/>
    <x v="36"/>
    <x v="67"/>
    <x v="46"/>
    <x v="224"/>
    <x v="3"/>
    <n v="0"/>
    <s v="Not Sampled"/>
    <n v="252"/>
    <m/>
    <m/>
    <m/>
    <m/>
    <m/>
    <m/>
    <m/>
    <m/>
    <s v="Negative"/>
    <s v="Not Sampled"/>
    <s v="Not Sampled"/>
  </r>
  <r>
    <x v="1"/>
    <x v="103"/>
    <x v="3"/>
    <x v="5"/>
    <x v="0"/>
    <x v="134"/>
    <x v="21"/>
    <x v="14"/>
    <n v="0"/>
    <s v="Not Sampled"/>
    <n v="253"/>
    <m/>
    <m/>
    <m/>
    <m/>
    <m/>
    <m/>
    <m/>
    <m/>
    <s v="Negative"/>
    <s v="Not Sampled"/>
    <s v="Not Sampled"/>
  </r>
  <r>
    <x v="10"/>
    <x v="66"/>
    <x v="0"/>
    <x v="42"/>
    <x v="88"/>
    <x v="32"/>
    <x v="225"/>
    <x v="30"/>
    <n v="1"/>
    <s v="Not Sampled"/>
    <n v="254"/>
    <m/>
    <m/>
    <m/>
    <m/>
    <m/>
    <m/>
    <m/>
    <m/>
    <s v="Positive"/>
    <s v="Not Sampled"/>
    <s v="Not Sampled"/>
  </r>
  <r>
    <x v="2"/>
    <x v="57"/>
    <x v="11"/>
    <x v="0"/>
    <x v="0"/>
    <x v="0"/>
    <x v="104"/>
    <x v="4"/>
    <n v="1"/>
    <n v="0"/>
    <n v="255"/>
    <m/>
    <m/>
    <m/>
    <m/>
    <m/>
    <m/>
    <m/>
    <m/>
    <s v="Positive"/>
    <s v="Negative"/>
    <s v="Inaccurate Prediction"/>
  </r>
  <r>
    <x v="5"/>
    <x v="31"/>
    <x v="20"/>
    <x v="15"/>
    <x v="0"/>
    <x v="15"/>
    <x v="226"/>
    <x v="13"/>
    <n v="0"/>
    <s v="Not Sampled"/>
    <n v="256"/>
    <m/>
    <m/>
    <m/>
    <m/>
    <m/>
    <m/>
    <m/>
    <m/>
    <s v="Negative"/>
    <s v="Not Sampled"/>
    <s v="Not Sampled"/>
  </r>
  <r>
    <x v="0"/>
    <x v="48"/>
    <x v="3"/>
    <x v="29"/>
    <x v="0"/>
    <x v="77"/>
    <x v="227"/>
    <x v="14"/>
    <n v="0"/>
    <s v="Not Sampled"/>
    <n v="257"/>
    <m/>
    <m/>
    <m/>
    <m/>
    <m/>
    <m/>
    <m/>
    <m/>
    <s v="Negative"/>
    <s v="Not Sampled"/>
    <s v="Not Sampled"/>
  </r>
  <r>
    <x v="2"/>
    <x v="104"/>
    <x v="13"/>
    <x v="41"/>
    <x v="89"/>
    <x v="151"/>
    <x v="228"/>
    <x v="3"/>
    <n v="0"/>
    <n v="1"/>
    <n v="258"/>
    <m/>
    <m/>
    <m/>
    <m/>
    <m/>
    <m/>
    <m/>
    <m/>
    <s v="Negative"/>
    <s v="Positive"/>
    <s v="Inaccurate Prediction"/>
  </r>
  <r>
    <x v="12"/>
    <x v="70"/>
    <x v="15"/>
    <x v="7"/>
    <x v="90"/>
    <x v="21"/>
    <x v="229"/>
    <x v="42"/>
    <n v="1"/>
    <n v="1"/>
    <n v="259"/>
    <m/>
    <m/>
    <m/>
    <m/>
    <m/>
    <m/>
    <m/>
    <m/>
    <s v="Positive"/>
    <s v="Positive"/>
    <s v="Accurate Prediction"/>
  </r>
  <r>
    <x v="5"/>
    <x v="105"/>
    <x v="3"/>
    <x v="11"/>
    <x v="66"/>
    <x v="125"/>
    <x v="167"/>
    <x v="34"/>
    <n v="0"/>
    <n v="1"/>
    <n v="260"/>
    <m/>
    <m/>
    <m/>
    <m/>
    <m/>
    <m/>
    <m/>
    <m/>
    <s v="Negative"/>
    <s v="Positive"/>
    <s v="Inaccurate Prediction"/>
  </r>
  <r>
    <x v="5"/>
    <x v="47"/>
    <x v="2"/>
    <x v="2"/>
    <x v="0"/>
    <x v="135"/>
    <x v="88"/>
    <x v="23"/>
    <n v="1"/>
    <s v="Not Sampled"/>
    <n v="261"/>
    <m/>
    <m/>
    <m/>
    <m/>
    <m/>
    <m/>
    <m/>
    <m/>
    <s v="Positive"/>
    <s v="Not Sampled"/>
    <s v="Not Sampled"/>
  </r>
  <r>
    <x v="3"/>
    <x v="50"/>
    <x v="9"/>
    <x v="5"/>
    <x v="0"/>
    <x v="152"/>
    <x v="230"/>
    <x v="3"/>
    <n v="0"/>
    <s v="Not Sampled"/>
    <n v="262"/>
    <m/>
    <m/>
    <m/>
    <m/>
    <m/>
    <m/>
    <m/>
    <m/>
    <s v="Negative"/>
    <s v="Not Sampled"/>
    <s v="Not Sampled"/>
  </r>
  <r>
    <x v="5"/>
    <x v="64"/>
    <x v="6"/>
    <x v="11"/>
    <x v="0"/>
    <x v="68"/>
    <x v="29"/>
    <x v="44"/>
    <n v="0"/>
    <s v="Not Sampled"/>
    <n v="263"/>
    <m/>
    <m/>
    <m/>
    <m/>
    <m/>
    <m/>
    <m/>
    <m/>
    <s v="Negative"/>
    <s v="Not Sampled"/>
    <s v="Not Sampled"/>
  </r>
  <r>
    <x v="3"/>
    <x v="62"/>
    <x v="0"/>
    <x v="2"/>
    <x v="0"/>
    <x v="61"/>
    <x v="231"/>
    <x v="20"/>
    <n v="1"/>
    <n v="0"/>
    <n v="264"/>
    <m/>
    <m/>
    <m/>
    <m/>
    <m/>
    <m/>
    <m/>
    <m/>
    <s v="Positive"/>
    <s v="Negative"/>
    <s v="Inaccurate Prediction"/>
  </r>
  <r>
    <x v="7"/>
    <x v="20"/>
    <x v="10"/>
    <x v="10"/>
    <x v="91"/>
    <x v="0"/>
    <x v="232"/>
    <x v="33"/>
    <n v="0"/>
    <s v="Not Sampled"/>
    <n v="265"/>
    <m/>
    <m/>
    <m/>
    <m/>
    <m/>
    <m/>
    <m/>
    <m/>
    <s v="Negative"/>
    <s v="Not Sampled"/>
    <s v="Not Sampled"/>
  </r>
  <r>
    <x v="1"/>
    <x v="0"/>
    <x v="2"/>
    <x v="2"/>
    <x v="0"/>
    <x v="153"/>
    <x v="233"/>
    <x v="14"/>
    <n v="1"/>
    <s v="Not Sampled"/>
    <n v="266"/>
    <m/>
    <m/>
    <m/>
    <m/>
    <m/>
    <m/>
    <m/>
    <m/>
    <s v="Positive"/>
    <s v="Not Sampled"/>
    <s v="Not Sampled"/>
  </r>
  <r>
    <x v="0"/>
    <x v="80"/>
    <x v="11"/>
    <x v="3"/>
    <x v="0"/>
    <x v="154"/>
    <x v="234"/>
    <x v="3"/>
    <n v="0"/>
    <n v="1"/>
    <n v="267"/>
    <m/>
    <m/>
    <m/>
    <m/>
    <m/>
    <m/>
    <m/>
    <m/>
    <s v="Negative"/>
    <s v="Positive"/>
    <s v="Inaccurate Prediction"/>
  </r>
  <r>
    <x v="1"/>
    <x v="29"/>
    <x v="33"/>
    <x v="2"/>
    <x v="0"/>
    <x v="16"/>
    <x v="235"/>
    <x v="4"/>
    <n v="0"/>
    <n v="0"/>
    <n v="268"/>
    <m/>
    <m/>
    <m/>
    <m/>
    <m/>
    <m/>
    <m/>
    <m/>
    <s v="Negative"/>
    <s v="Negative"/>
    <s v="Accurate Prediction"/>
  </r>
  <r>
    <x v="0"/>
    <x v="36"/>
    <x v="2"/>
    <x v="2"/>
    <x v="0"/>
    <x v="155"/>
    <x v="236"/>
    <x v="6"/>
    <n v="1"/>
    <s v="Not Sampled"/>
    <n v="269"/>
    <m/>
    <m/>
    <m/>
    <m/>
    <m/>
    <m/>
    <m/>
    <m/>
    <s v="Positive"/>
    <s v="Not Sampled"/>
    <s v="Not Sampled"/>
  </r>
  <r>
    <x v="9"/>
    <x v="39"/>
    <x v="24"/>
    <x v="18"/>
    <x v="0"/>
    <x v="156"/>
    <x v="237"/>
    <x v="19"/>
    <n v="1"/>
    <n v="1"/>
    <n v="270"/>
    <m/>
    <m/>
    <m/>
    <m/>
    <m/>
    <m/>
    <m/>
    <m/>
    <s v="Positive"/>
    <s v="Positive"/>
    <s v="Accurate Prediction"/>
  </r>
  <r>
    <x v="0"/>
    <x v="81"/>
    <x v="0"/>
    <x v="5"/>
    <x v="79"/>
    <x v="18"/>
    <x v="238"/>
    <x v="4"/>
    <n v="0"/>
    <s v="Not Sampled"/>
    <n v="271"/>
    <m/>
    <m/>
    <m/>
    <m/>
    <m/>
    <m/>
    <m/>
    <m/>
    <s v="Negative"/>
    <s v="Not Sampled"/>
    <s v="Not Sampled"/>
  </r>
  <r>
    <x v="5"/>
    <x v="27"/>
    <x v="4"/>
    <x v="2"/>
    <x v="0"/>
    <x v="49"/>
    <x v="54"/>
    <x v="18"/>
    <n v="0"/>
    <s v="Not Sampled"/>
    <n v="272"/>
    <m/>
    <m/>
    <m/>
    <m/>
    <m/>
    <m/>
    <m/>
    <m/>
    <s v="Negative"/>
    <s v="Not Sampled"/>
    <s v="Not Sampled"/>
  </r>
  <r>
    <x v="2"/>
    <x v="37"/>
    <x v="4"/>
    <x v="37"/>
    <x v="83"/>
    <x v="34"/>
    <x v="239"/>
    <x v="4"/>
    <n v="0"/>
    <s v="Not Sampled"/>
    <n v="273"/>
    <m/>
    <m/>
    <m/>
    <m/>
    <m/>
    <m/>
    <m/>
    <m/>
    <s v="Negative"/>
    <s v="Not Sampled"/>
    <s v="Not Sampled"/>
  </r>
  <r>
    <x v="13"/>
    <x v="33"/>
    <x v="9"/>
    <x v="2"/>
    <x v="0"/>
    <x v="89"/>
    <x v="240"/>
    <x v="41"/>
    <n v="0"/>
    <s v="Not Sampled"/>
    <n v="274"/>
    <m/>
    <m/>
    <m/>
    <m/>
    <m/>
    <m/>
    <m/>
    <m/>
    <s v="Negative"/>
    <s v="Not Sampled"/>
    <s v="Not Sampled"/>
  </r>
  <r>
    <x v="0"/>
    <x v="45"/>
    <x v="9"/>
    <x v="43"/>
    <x v="92"/>
    <x v="52"/>
    <x v="241"/>
    <x v="14"/>
    <n v="0"/>
    <n v="0"/>
    <n v="275"/>
    <m/>
    <m/>
    <m/>
    <m/>
    <m/>
    <m/>
    <m/>
    <m/>
    <s v="Negative"/>
    <s v="Negative"/>
    <s v="Accurate Prediction"/>
  </r>
  <r>
    <x v="8"/>
    <x v="33"/>
    <x v="12"/>
    <x v="20"/>
    <x v="0"/>
    <x v="71"/>
    <x v="242"/>
    <x v="29"/>
    <n v="1"/>
    <s v="Not Sampled"/>
    <n v="276"/>
    <m/>
    <m/>
    <m/>
    <m/>
    <m/>
    <m/>
    <m/>
    <m/>
    <s v="Positive"/>
    <s v="Not Sampled"/>
    <s v="Not Sampled"/>
  </r>
  <r>
    <x v="1"/>
    <x v="88"/>
    <x v="11"/>
    <x v="17"/>
    <x v="93"/>
    <x v="157"/>
    <x v="243"/>
    <x v="1"/>
    <n v="0"/>
    <s v="Not Sampled"/>
    <n v="277"/>
    <m/>
    <m/>
    <m/>
    <m/>
    <m/>
    <m/>
    <m/>
    <m/>
    <s v="Negative"/>
    <s v="Not Sampled"/>
    <s v="Not Sampled"/>
  </r>
  <r>
    <x v="7"/>
    <x v="48"/>
    <x v="10"/>
    <x v="2"/>
    <x v="0"/>
    <x v="158"/>
    <x v="244"/>
    <x v="40"/>
    <n v="0"/>
    <s v="Not Sampled"/>
    <n v="278"/>
    <m/>
    <m/>
    <m/>
    <m/>
    <m/>
    <m/>
    <m/>
    <m/>
    <s v="Negative"/>
    <s v="Not Sampled"/>
    <s v="Not Sampled"/>
  </r>
  <r>
    <x v="0"/>
    <x v="81"/>
    <x v="0"/>
    <x v="25"/>
    <x v="94"/>
    <x v="159"/>
    <x v="245"/>
    <x v="11"/>
    <n v="0"/>
    <s v="Not Sampled"/>
    <n v="279"/>
    <m/>
    <m/>
    <m/>
    <m/>
    <m/>
    <m/>
    <m/>
    <m/>
    <s v="Negative"/>
    <s v="Not Sampled"/>
    <s v="Not Sampled"/>
  </r>
  <r>
    <x v="1"/>
    <x v="36"/>
    <x v="9"/>
    <x v="2"/>
    <x v="0"/>
    <x v="160"/>
    <x v="65"/>
    <x v="6"/>
    <n v="1"/>
    <s v="Not Sampled"/>
    <n v="280"/>
    <m/>
    <m/>
    <m/>
    <m/>
    <m/>
    <m/>
    <m/>
    <m/>
    <s v="Positive"/>
    <s v="Not Sampled"/>
    <s v="Not Sampled"/>
  </r>
  <r>
    <x v="9"/>
    <x v="52"/>
    <x v="15"/>
    <x v="7"/>
    <x v="6"/>
    <x v="117"/>
    <x v="246"/>
    <x v="16"/>
    <n v="0"/>
    <n v="1"/>
    <n v="281"/>
    <m/>
    <m/>
    <m/>
    <m/>
    <m/>
    <m/>
    <m/>
    <m/>
    <s v="Negative"/>
    <s v="Positive"/>
    <s v="Inaccurate Prediction"/>
  </r>
  <r>
    <x v="8"/>
    <x v="32"/>
    <x v="21"/>
    <x v="11"/>
    <x v="59"/>
    <x v="68"/>
    <x v="96"/>
    <x v="26"/>
    <n v="0"/>
    <n v="0"/>
    <n v="282"/>
    <m/>
    <m/>
    <m/>
    <m/>
    <m/>
    <m/>
    <m/>
    <m/>
    <s v="Negative"/>
    <s v="Negative"/>
    <s v="Accurate Prediction"/>
  </r>
  <r>
    <x v="8"/>
    <x v="106"/>
    <x v="24"/>
    <x v="2"/>
    <x v="0"/>
    <x v="25"/>
    <x v="84"/>
    <x v="0"/>
    <n v="1"/>
    <n v="1"/>
    <n v="283"/>
    <m/>
    <m/>
    <m/>
    <m/>
    <m/>
    <m/>
    <m/>
    <m/>
    <s v="Positive"/>
    <s v="Positive"/>
    <s v="Accurate Prediction"/>
  </r>
  <r>
    <x v="0"/>
    <x v="81"/>
    <x v="6"/>
    <x v="2"/>
    <x v="0"/>
    <x v="161"/>
    <x v="247"/>
    <x v="41"/>
    <n v="1"/>
    <s v="Not Sampled"/>
    <n v="284"/>
    <m/>
    <m/>
    <m/>
    <m/>
    <m/>
    <m/>
    <m/>
    <m/>
    <s v="Positive"/>
    <s v="Not Sampled"/>
    <s v="Not Sampled"/>
  </r>
  <r>
    <x v="8"/>
    <x v="60"/>
    <x v="10"/>
    <x v="16"/>
    <x v="42"/>
    <x v="14"/>
    <x v="123"/>
    <x v="42"/>
    <n v="0"/>
    <n v="0"/>
    <n v="285"/>
    <m/>
    <m/>
    <m/>
    <m/>
    <m/>
    <m/>
    <m/>
    <m/>
    <s v="Negative"/>
    <s v="Negative"/>
    <s v="Accurate Prediction"/>
  </r>
  <r>
    <x v="7"/>
    <x v="70"/>
    <x v="16"/>
    <x v="38"/>
    <x v="95"/>
    <x v="162"/>
    <x v="248"/>
    <x v="34"/>
    <n v="0"/>
    <s v="Not Sampled"/>
    <n v="286"/>
    <m/>
    <m/>
    <m/>
    <m/>
    <m/>
    <m/>
    <m/>
    <m/>
    <s v="Negative"/>
    <s v="Not Sampled"/>
    <s v="Not Sampled"/>
  </r>
  <r>
    <x v="2"/>
    <x v="93"/>
    <x v="24"/>
    <x v="15"/>
    <x v="38"/>
    <x v="156"/>
    <x v="249"/>
    <x v="29"/>
    <n v="1"/>
    <s v="Not Sampled"/>
    <n v="287"/>
    <m/>
    <m/>
    <m/>
    <m/>
    <m/>
    <m/>
    <m/>
    <m/>
    <s v="Positive"/>
    <s v="Not Sampled"/>
    <s v="Not Sampled"/>
  </r>
  <r>
    <x v="3"/>
    <x v="20"/>
    <x v="20"/>
    <x v="6"/>
    <x v="51"/>
    <x v="163"/>
    <x v="250"/>
    <x v="25"/>
    <n v="0"/>
    <s v="Not Sampled"/>
    <n v="288"/>
    <m/>
    <m/>
    <m/>
    <m/>
    <m/>
    <m/>
    <m/>
    <m/>
    <s v="Negative"/>
    <s v="Not Sampled"/>
    <s v="Not Sampled"/>
  </r>
  <r>
    <x v="7"/>
    <x v="81"/>
    <x v="5"/>
    <x v="44"/>
    <x v="96"/>
    <x v="164"/>
    <x v="22"/>
    <x v="9"/>
    <n v="0"/>
    <s v="Not Sampled"/>
    <n v="289"/>
    <m/>
    <m/>
    <m/>
    <m/>
    <m/>
    <m/>
    <m/>
    <m/>
    <s v="Negative"/>
    <s v="Not Sampled"/>
    <s v="Not Sampled"/>
  </r>
  <r>
    <x v="1"/>
    <x v="74"/>
    <x v="21"/>
    <x v="30"/>
    <x v="39"/>
    <x v="99"/>
    <x v="251"/>
    <x v="4"/>
    <n v="0"/>
    <s v="Not Sampled"/>
    <n v="290"/>
    <m/>
    <m/>
    <m/>
    <m/>
    <m/>
    <m/>
    <m/>
    <m/>
    <s v="Negative"/>
    <s v="Not Sampled"/>
    <s v="Not Sampled"/>
  </r>
  <r>
    <x v="1"/>
    <x v="61"/>
    <x v="0"/>
    <x v="8"/>
    <x v="97"/>
    <x v="69"/>
    <x v="252"/>
    <x v="14"/>
    <n v="1"/>
    <s v="Not Sampled"/>
    <n v="291"/>
    <m/>
    <m/>
    <m/>
    <m/>
    <m/>
    <m/>
    <m/>
    <m/>
    <s v="Positive"/>
    <s v="Not Sampled"/>
    <s v="Not Sampled"/>
  </r>
  <r>
    <x v="0"/>
    <x v="80"/>
    <x v="4"/>
    <x v="18"/>
    <x v="98"/>
    <x v="165"/>
    <x v="197"/>
    <x v="2"/>
    <n v="1"/>
    <n v="1"/>
    <n v="292"/>
    <m/>
    <m/>
    <m/>
    <m/>
    <m/>
    <m/>
    <m/>
    <m/>
    <s v="Positive"/>
    <s v="Positive"/>
    <s v="Accurate Prediction"/>
  </r>
  <r>
    <x v="2"/>
    <x v="80"/>
    <x v="26"/>
    <x v="45"/>
    <x v="85"/>
    <x v="52"/>
    <x v="253"/>
    <x v="3"/>
    <n v="1"/>
    <n v="0"/>
    <n v="293"/>
    <m/>
    <m/>
    <m/>
    <m/>
    <m/>
    <m/>
    <m/>
    <m/>
    <s v="Positive"/>
    <s v="Negative"/>
    <s v="Inaccurate Prediction"/>
  </r>
  <r>
    <x v="1"/>
    <x v="106"/>
    <x v="13"/>
    <x v="2"/>
    <x v="0"/>
    <x v="101"/>
    <x v="54"/>
    <x v="39"/>
    <n v="0"/>
    <s v="Not Sampled"/>
    <n v="294"/>
    <m/>
    <m/>
    <m/>
    <m/>
    <m/>
    <m/>
    <m/>
    <m/>
    <s v="Negative"/>
    <s v="Not Sampled"/>
    <s v="Not Sampled"/>
  </r>
  <r>
    <x v="6"/>
    <x v="68"/>
    <x v="0"/>
    <x v="1"/>
    <x v="77"/>
    <x v="130"/>
    <x v="24"/>
    <x v="6"/>
    <n v="0"/>
    <s v="Not Sampled"/>
    <n v="295"/>
    <m/>
    <m/>
    <m/>
    <m/>
    <m/>
    <m/>
    <m/>
    <m/>
    <s v="Negative"/>
    <s v="Not Sampled"/>
    <s v="Not Sampled"/>
  </r>
  <r>
    <x v="0"/>
    <x v="36"/>
    <x v="9"/>
    <x v="9"/>
    <x v="99"/>
    <x v="43"/>
    <x v="142"/>
    <x v="29"/>
    <n v="1"/>
    <s v="Not Sampled"/>
    <n v="296"/>
    <m/>
    <m/>
    <m/>
    <m/>
    <m/>
    <m/>
    <m/>
    <m/>
    <s v="Positive"/>
    <s v="Not Sampled"/>
    <s v="Not Sampled"/>
  </r>
  <r>
    <x v="1"/>
    <x v="51"/>
    <x v="16"/>
    <x v="30"/>
    <x v="100"/>
    <x v="166"/>
    <x v="254"/>
    <x v="3"/>
    <n v="0"/>
    <n v="0"/>
    <n v="297"/>
    <m/>
    <m/>
    <m/>
    <m/>
    <m/>
    <m/>
    <m/>
    <m/>
    <s v="Negative"/>
    <s v="Negative"/>
    <s v="Accurate Prediction"/>
  </r>
  <r>
    <x v="16"/>
    <x v="45"/>
    <x v="4"/>
    <x v="14"/>
    <x v="101"/>
    <x v="69"/>
    <x v="255"/>
    <x v="22"/>
    <n v="1"/>
    <s v="Not Sampled"/>
    <n v="298"/>
    <m/>
    <m/>
    <m/>
    <m/>
    <m/>
    <m/>
    <m/>
    <m/>
    <s v="Positive"/>
    <s v="Not Sampled"/>
    <s v="Not Sampled"/>
  </r>
  <r>
    <x v="4"/>
    <x v="56"/>
    <x v="5"/>
    <x v="2"/>
    <x v="0"/>
    <x v="139"/>
    <x v="256"/>
    <x v="5"/>
    <n v="0"/>
    <n v="0"/>
    <n v="299"/>
    <m/>
    <m/>
    <m/>
    <m/>
    <m/>
    <m/>
    <m/>
    <m/>
    <s v="Negative"/>
    <s v="Negative"/>
    <s v="Accurate Prediction"/>
  </r>
  <r>
    <x v="1"/>
    <x v="107"/>
    <x v="2"/>
    <x v="2"/>
    <x v="0"/>
    <x v="167"/>
    <x v="16"/>
    <x v="13"/>
    <n v="1"/>
    <s v="Not Sampled"/>
    <n v="300"/>
    <m/>
    <m/>
    <m/>
    <m/>
    <m/>
    <m/>
    <m/>
    <m/>
    <s v="Positive"/>
    <s v="Not Sampled"/>
    <s v="Not Sampled"/>
  </r>
  <r>
    <x v="0"/>
    <x v="65"/>
    <x v="22"/>
    <x v="12"/>
    <x v="42"/>
    <x v="31"/>
    <x v="239"/>
    <x v="14"/>
    <n v="1"/>
    <n v="0"/>
    <n v="301"/>
    <m/>
    <m/>
    <m/>
    <m/>
    <m/>
    <m/>
    <m/>
    <m/>
    <s v="Positive"/>
    <s v="Negative"/>
    <s v="Inaccurate Prediction"/>
  </r>
  <r>
    <x v="7"/>
    <x v="108"/>
    <x v="1"/>
    <x v="4"/>
    <x v="102"/>
    <x v="134"/>
    <x v="257"/>
    <x v="20"/>
    <n v="0"/>
    <n v="0"/>
    <n v="302"/>
    <m/>
    <m/>
    <m/>
    <m/>
    <m/>
    <m/>
    <m/>
    <m/>
    <s v="Negative"/>
    <s v="Negative"/>
    <s v="Accurate Prediction"/>
  </r>
  <r>
    <x v="7"/>
    <x v="109"/>
    <x v="34"/>
    <x v="2"/>
    <x v="0"/>
    <x v="168"/>
    <x v="200"/>
    <x v="6"/>
    <n v="1"/>
    <n v="1"/>
    <n v="303"/>
    <m/>
    <m/>
    <m/>
    <m/>
    <m/>
    <m/>
    <m/>
    <m/>
    <s v="Positive"/>
    <s v="Positive"/>
    <s v="Accurate Prediction"/>
  </r>
  <r>
    <x v="5"/>
    <x v="42"/>
    <x v="15"/>
    <x v="2"/>
    <x v="0"/>
    <x v="169"/>
    <x v="28"/>
    <x v="26"/>
    <n v="0"/>
    <n v="0"/>
    <n v="304"/>
    <m/>
    <m/>
    <m/>
    <m/>
    <m/>
    <m/>
    <m/>
    <m/>
    <s v="Negative"/>
    <s v="Negative"/>
    <s v="Accurate Prediction"/>
  </r>
  <r>
    <x v="0"/>
    <x v="24"/>
    <x v="15"/>
    <x v="18"/>
    <x v="16"/>
    <x v="170"/>
    <x v="258"/>
    <x v="29"/>
    <n v="0"/>
    <n v="0"/>
    <n v="305"/>
    <m/>
    <m/>
    <m/>
    <m/>
    <m/>
    <m/>
    <m/>
    <m/>
    <s v="Negative"/>
    <s v="Negative"/>
    <s v="Accurate Prediction"/>
  </r>
  <r>
    <x v="9"/>
    <x v="106"/>
    <x v="3"/>
    <x v="17"/>
    <x v="103"/>
    <x v="171"/>
    <x v="259"/>
    <x v="0"/>
    <n v="1"/>
    <n v="1"/>
    <n v="306"/>
    <m/>
    <m/>
    <m/>
    <m/>
    <m/>
    <m/>
    <m/>
    <m/>
    <s v="Positive"/>
    <s v="Positive"/>
    <s v="Accurate Prediction"/>
  </r>
  <r>
    <x v="1"/>
    <x v="59"/>
    <x v="3"/>
    <x v="36"/>
    <x v="104"/>
    <x v="172"/>
    <x v="221"/>
    <x v="4"/>
    <n v="0"/>
    <s v="Not Sampled"/>
    <n v="307"/>
    <m/>
    <m/>
    <m/>
    <m/>
    <m/>
    <m/>
    <m/>
    <m/>
    <s v="Negative"/>
    <s v="Not Sampled"/>
    <s v="Not Sampled"/>
  </r>
  <r>
    <x v="1"/>
    <x v="80"/>
    <x v="3"/>
    <x v="13"/>
    <x v="105"/>
    <x v="85"/>
    <x v="260"/>
    <x v="14"/>
    <n v="1"/>
    <s v="Not Sampled"/>
    <n v="308"/>
    <m/>
    <m/>
    <m/>
    <m/>
    <m/>
    <m/>
    <m/>
    <m/>
    <s v="Positive"/>
    <s v="Not Sampled"/>
    <s v="Not Sampled"/>
  </r>
  <r>
    <x v="0"/>
    <x v="73"/>
    <x v="3"/>
    <x v="7"/>
    <x v="106"/>
    <x v="35"/>
    <x v="261"/>
    <x v="13"/>
    <n v="1"/>
    <n v="0"/>
    <n v="309"/>
    <m/>
    <m/>
    <m/>
    <m/>
    <m/>
    <m/>
    <m/>
    <m/>
    <s v="Positive"/>
    <s v="Negative"/>
    <s v="Inaccurate Prediction"/>
  </r>
  <r>
    <x v="6"/>
    <x v="11"/>
    <x v="19"/>
    <x v="8"/>
    <x v="0"/>
    <x v="173"/>
    <x v="17"/>
    <x v="17"/>
    <n v="0"/>
    <s v="Not Sampled"/>
    <n v="310"/>
    <m/>
    <m/>
    <m/>
    <m/>
    <m/>
    <m/>
    <m/>
    <m/>
    <s v="Negative"/>
    <s v="Not Sampled"/>
    <s v="Not Sampled"/>
  </r>
  <r>
    <x v="1"/>
    <x v="33"/>
    <x v="9"/>
    <x v="18"/>
    <x v="104"/>
    <x v="121"/>
    <x v="186"/>
    <x v="11"/>
    <n v="0"/>
    <s v="Not Sampled"/>
    <n v="311"/>
    <m/>
    <m/>
    <m/>
    <m/>
    <m/>
    <m/>
    <m/>
    <m/>
    <s v="Negative"/>
    <s v="Not Sampled"/>
    <s v="Not Sampled"/>
  </r>
  <r>
    <x v="0"/>
    <x v="70"/>
    <x v="10"/>
    <x v="6"/>
    <x v="107"/>
    <x v="13"/>
    <x v="262"/>
    <x v="23"/>
    <n v="1"/>
    <s v="Not Sampled"/>
    <n v="312"/>
    <m/>
    <m/>
    <m/>
    <m/>
    <m/>
    <m/>
    <m/>
    <m/>
    <s v="Positive"/>
    <s v="Not Sampled"/>
    <s v="Not Sampled"/>
  </r>
  <r>
    <x v="5"/>
    <x v="57"/>
    <x v="13"/>
    <x v="25"/>
    <x v="108"/>
    <x v="81"/>
    <x v="263"/>
    <x v="14"/>
    <n v="0"/>
    <s v="Not Sampled"/>
    <n v="313"/>
    <m/>
    <m/>
    <m/>
    <m/>
    <m/>
    <m/>
    <m/>
    <m/>
    <s v="Negative"/>
    <s v="Not Sampled"/>
    <s v="Not Sampled"/>
  </r>
  <r>
    <x v="8"/>
    <x v="49"/>
    <x v="6"/>
    <x v="1"/>
    <x v="0"/>
    <x v="117"/>
    <x v="264"/>
    <x v="33"/>
    <n v="1"/>
    <s v="Not Sampled"/>
    <n v="314"/>
    <m/>
    <m/>
    <m/>
    <m/>
    <m/>
    <m/>
    <m/>
    <m/>
    <s v="Positive"/>
    <s v="Not Sampled"/>
    <s v="Not Sampled"/>
  </r>
  <r>
    <x v="0"/>
    <x v="56"/>
    <x v="3"/>
    <x v="29"/>
    <x v="48"/>
    <x v="174"/>
    <x v="265"/>
    <x v="25"/>
    <n v="0"/>
    <s v="Not Sampled"/>
    <n v="315"/>
    <m/>
    <m/>
    <m/>
    <m/>
    <m/>
    <m/>
    <m/>
    <m/>
    <s v="Negative"/>
    <s v="Not Sampled"/>
    <s v="Not Sampled"/>
  </r>
  <r>
    <x v="5"/>
    <x v="6"/>
    <x v="6"/>
    <x v="22"/>
    <x v="36"/>
    <x v="175"/>
    <x v="223"/>
    <x v="13"/>
    <n v="0"/>
    <s v="Not Sampled"/>
    <n v="316"/>
    <m/>
    <m/>
    <m/>
    <m/>
    <m/>
    <m/>
    <m/>
    <m/>
    <s v="Negative"/>
    <s v="Not Sampled"/>
    <s v="Not Sampled"/>
  </r>
  <r>
    <x v="5"/>
    <x v="110"/>
    <x v="10"/>
    <x v="2"/>
    <x v="0"/>
    <x v="85"/>
    <x v="266"/>
    <x v="29"/>
    <n v="1"/>
    <s v="Not Sampled"/>
    <n v="317"/>
    <m/>
    <m/>
    <m/>
    <m/>
    <m/>
    <m/>
    <m/>
    <m/>
    <s v="Positive"/>
    <s v="Not Sampled"/>
    <s v="Not Sampled"/>
  </r>
  <r>
    <x v="5"/>
    <x v="109"/>
    <x v="19"/>
    <x v="15"/>
    <x v="32"/>
    <x v="176"/>
    <x v="181"/>
    <x v="6"/>
    <n v="0"/>
    <s v="Not Sampled"/>
    <n v="318"/>
    <m/>
    <m/>
    <m/>
    <m/>
    <m/>
    <m/>
    <m/>
    <m/>
    <s v="Negative"/>
    <s v="Not Sampled"/>
    <s v="Not Sampled"/>
  </r>
  <r>
    <x v="6"/>
    <x v="7"/>
    <x v="4"/>
    <x v="2"/>
    <x v="0"/>
    <x v="177"/>
    <x v="267"/>
    <x v="45"/>
    <n v="1"/>
    <s v="Not Sampled"/>
    <n v="319"/>
    <m/>
    <m/>
    <m/>
    <m/>
    <m/>
    <m/>
    <m/>
    <m/>
    <s v="Positive"/>
    <s v="Not Sampled"/>
    <s v="Not Sampled"/>
  </r>
  <r>
    <x v="3"/>
    <x v="52"/>
    <x v="12"/>
    <x v="39"/>
    <x v="109"/>
    <x v="155"/>
    <x v="268"/>
    <x v="2"/>
    <n v="0"/>
    <s v="Not Sampled"/>
    <n v="320"/>
    <m/>
    <m/>
    <m/>
    <m/>
    <m/>
    <m/>
    <m/>
    <m/>
    <s v="Negative"/>
    <s v="Not Sampled"/>
    <s v="Not Sampled"/>
  </r>
  <r>
    <x v="5"/>
    <x v="56"/>
    <x v="10"/>
    <x v="8"/>
    <x v="0"/>
    <x v="31"/>
    <x v="269"/>
    <x v="14"/>
    <n v="1"/>
    <n v="0"/>
    <n v="321"/>
    <m/>
    <m/>
    <m/>
    <m/>
    <m/>
    <m/>
    <m/>
    <m/>
    <s v="Positive"/>
    <s v="Negative"/>
    <s v="Inaccurate Prediction"/>
  </r>
  <r>
    <x v="1"/>
    <x v="73"/>
    <x v="9"/>
    <x v="28"/>
    <x v="0"/>
    <x v="41"/>
    <x v="54"/>
    <x v="31"/>
    <n v="1"/>
    <s v="Not Sampled"/>
    <n v="322"/>
    <m/>
    <m/>
    <m/>
    <m/>
    <m/>
    <m/>
    <m/>
    <m/>
    <s v="Positive"/>
    <s v="Not Sampled"/>
    <s v="Not Sampled"/>
  </r>
  <r>
    <x v="13"/>
    <x v="87"/>
    <x v="8"/>
    <x v="12"/>
    <x v="110"/>
    <x v="90"/>
    <x v="270"/>
    <x v="33"/>
    <n v="1"/>
    <s v="Not Sampled"/>
    <n v="323"/>
    <m/>
    <m/>
    <m/>
    <m/>
    <m/>
    <m/>
    <m/>
    <m/>
    <s v="Positive"/>
    <s v="Not Sampled"/>
    <s v="Not Sampled"/>
  </r>
  <r>
    <x v="0"/>
    <x v="56"/>
    <x v="25"/>
    <x v="5"/>
    <x v="0"/>
    <x v="140"/>
    <x v="271"/>
    <x v="4"/>
    <n v="0"/>
    <s v="Not Sampled"/>
    <n v="324"/>
    <m/>
    <m/>
    <m/>
    <m/>
    <m/>
    <m/>
    <m/>
    <m/>
    <s v="Negative"/>
    <s v="Not Sampled"/>
    <s v="Not Sampled"/>
  </r>
  <r>
    <x v="2"/>
    <x v="111"/>
    <x v="5"/>
    <x v="23"/>
    <x v="49"/>
    <x v="6"/>
    <x v="272"/>
    <x v="3"/>
    <n v="0"/>
    <n v="0"/>
    <n v="325"/>
    <m/>
    <m/>
    <m/>
    <m/>
    <m/>
    <m/>
    <m/>
    <m/>
    <s v="Negative"/>
    <s v="Negative"/>
    <s v="Accurate Prediction"/>
  </r>
  <r>
    <x v="2"/>
    <x v="27"/>
    <x v="11"/>
    <x v="5"/>
    <x v="64"/>
    <x v="60"/>
    <x v="24"/>
    <x v="13"/>
    <n v="1"/>
    <s v="Not Sampled"/>
    <n v="326"/>
    <m/>
    <m/>
    <m/>
    <m/>
    <m/>
    <m/>
    <m/>
    <m/>
    <s v="Positive"/>
    <s v="Not Sampled"/>
    <s v="Not Sampled"/>
  </r>
  <r>
    <x v="9"/>
    <x v="91"/>
    <x v="9"/>
    <x v="2"/>
    <x v="0"/>
    <x v="60"/>
    <x v="29"/>
    <x v="26"/>
    <n v="0"/>
    <s v="Not Sampled"/>
    <n v="327"/>
    <m/>
    <m/>
    <m/>
    <m/>
    <m/>
    <m/>
    <m/>
    <m/>
    <s v="Negative"/>
    <s v="Not Sampled"/>
    <s v="Not Sampled"/>
  </r>
  <r>
    <x v="0"/>
    <x v="29"/>
    <x v="24"/>
    <x v="35"/>
    <x v="77"/>
    <x v="178"/>
    <x v="0"/>
    <x v="1"/>
    <n v="1"/>
    <s v="Not Sampled"/>
    <n v="328"/>
    <m/>
    <m/>
    <m/>
    <m/>
    <m/>
    <m/>
    <m/>
    <m/>
    <s v="Positive"/>
    <s v="Not Sampled"/>
    <s v="Not Sampled"/>
  </r>
  <r>
    <x v="6"/>
    <x v="38"/>
    <x v="9"/>
    <x v="5"/>
    <x v="111"/>
    <x v="98"/>
    <x v="273"/>
    <x v="26"/>
    <n v="0"/>
    <s v="Not Sampled"/>
    <n v="329"/>
    <m/>
    <m/>
    <m/>
    <m/>
    <m/>
    <m/>
    <m/>
    <m/>
    <s v="Negative"/>
    <s v="Not Sampled"/>
    <s v="Not Sampled"/>
  </r>
  <r>
    <x v="4"/>
    <x v="78"/>
    <x v="5"/>
    <x v="13"/>
    <x v="0"/>
    <x v="179"/>
    <x v="274"/>
    <x v="22"/>
    <n v="0"/>
    <n v="1"/>
    <n v="330"/>
    <m/>
    <m/>
    <m/>
    <m/>
    <m/>
    <m/>
    <m/>
    <m/>
    <s v="Negative"/>
    <s v="Positive"/>
    <s v="Inaccurate Prediction"/>
  </r>
  <r>
    <x v="0"/>
    <x v="90"/>
    <x v="22"/>
    <x v="41"/>
    <x v="112"/>
    <x v="112"/>
    <x v="275"/>
    <x v="14"/>
    <n v="0"/>
    <n v="0"/>
    <n v="331"/>
    <m/>
    <m/>
    <m/>
    <m/>
    <m/>
    <m/>
    <m/>
    <m/>
    <s v="Negative"/>
    <s v="Negative"/>
    <s v="Accurate Prediction"/>
  </r>
  <r>
    <x v="2"/>
    <x v="22"/>
    <x v="2"/>
    <x v="2"/>
    <x v="0"/>
    <x v="165"/>
    <x v="220"/>
    <x v="17"/>
    <n v="1"/>
    <s v="Not Sampled"/>
    <n v="332"/>
    <m/>
    <m/>
    <m/>
    <m/>
    <m/>
    <m/>
    <m/>
    <m/>
    <s v="Positive"/>
    <s v="Not Sampled"/>
    <s v="Not Sampled"/>
  </r>
  <r>
    <x v="10"/>
    <x v="33"/>
    <x v="6"/>
    <x v="2"/>
    <x v="0"/>
    <x v="139"/>
    <x v="141"/>
    <x v="30"/>
    <n v="0"/>
    <s v="Not Sampled"/>
    <n v="333"/>
    <m/>
    <m/>
    <m/>
    <m/>
    <m/>
    <m/>
    <m/>
    <m/>
    <s v="Negative"/>
    <s v="Not Sampled"/>
    <s v="Not Sampled"/>
  </r>
  <r>
    <x v="2"/>
    <x v="50"/>
    <x v="12"/>
    <x v="10"/>
    <x v="68"/>
    <x v="128"/>
    <x v="112"/>
    <x v="11"/>
    <n v="0"/>
    <s v="Not Sampled"/>
    <n v="334"/>
    <m/>
    <m/>
    <m/>
    <m/>
    <m/>
    <m/>
    <m/>
    <m/>
    <s v="Negative"/>
    <s v="Not Sampled"/>
    <s v="Not Sampled"/>
  </r>
  <r>
    <x v="1"/>
    <x v="102"/>
    <x v="15"/>
    <x v="44"/>
    <x v="113"/>
    <x v="103"/>
    <x v="247"/>
    <x v="25"/>
    <n v="0"/>
    <n v="1"/>
    <n v="335"/>
    <m/>
    <m/>
    <m/>
    <m/>
    <m/>
    <m/>
    <m/>
    <m/>
    <s v="Negative"/>
    <s v="Positive"/>
    <s v="Inaccurate Prediction"/>
  </r>
  <r>
    <x v="1"/>
    <x v="17"/>
    <x v="2"/>
    <x v="2"/>
    <x v="0"/>
    <x v="97"/>
    <x v="276"/>
    <x v="30"/>
    <n v="0"/>
    <n v="0"/>
    <n v="336"/>
    <m/>
    <m/>
    <m/>
    <m/>
    <m/>
    <m/>
    <m/>
    <m/>
    <s v="Negative"/>
    <s v="Negative"/>
    <s v="Accurate Prediction"/>
  </r>
  <r>
    <x v="7"/>
    <x v="109"/>
    <x v="15"/>
    <x v="2"/>
    <x v="0"/>
    <x v="84"/>
    <x v="277"/>
    <x v="30"/>
    <n v="1"/>
    <s v="Not Sampled"/>
    <n v="337"/>
    <m/>
    <m/>
    <m/>
    <m/>
    <m/>
    <m/>
    <m/>
    <m/>
    <s v="Positive"/>
    <s v="Not Sampled"/>
    <s v="Not Sampled"/>
  </r>
  <r>
    <x v="11"/>
    <x v="87"/>
    <x v="4"/>
    <x v="24"/>
    <x v="114"/>
    <x v="89"/>
    <x v="278"/>
    <x v="9"/>
    <n v="1"/>
    <s v="Not Sampled"/>
    <n v="338"/>
    <m/>
    <m/>
    <m/>
    <m/>
    <m/>
    <m/>
    <m/>
    <m/>
    <s v="Positive"/>
    <s v="Not Sampled"/>
    <s v="Not Sampled"/>
  </r>
  <r>
    <x v="8"/>
    <x v="112"/>
    <x v="16"/>
    <x v="2"/>
    <x v="0"/>
    <x v="180"/>
    <x v="279"/>
    <x v="17"/>
    <n v="1"/>
    <s v="Not Sampled"/>
    <n v="339"/>
    <m/>
    <m/>
    <m/>
    <m/>
    <m/>
    <m/>
    <m/>
    <m/>
    <s v="Positive"/>
    <s v="Not Sampled"/>
    <s v="Not Sampled"/>
  </r>
  <r>
    <x v="2"/>
    <x v="23"/>
    <x v="9"/>
    <x v="27"/>
    <x v="16"/>
    <x v="151"/>
    <x v="280"/>
    <x v="11"/>
    <n v="0"/>
    <s v="Not Sampled"/>
    <n v="340"/>
    <m/>
    <m/>
    <m/>
    <m/>
    <m/>
    <m/>
    <m/>
    <m/>
    <s v="Negative"/>
    <s v="Not Sampled"/>
    <s v="Not Sampled"/>
  </r>
  <r>
    <x v="2"/>
    <x v="50"/>
    <x v="10"/>
    <x v="23"/>
    <x v="115"/>
    <x v="151"/>
    <x v="281"/>
    <x v="31"/>
    <n v="0"/>
    <n v="0"/>
    <n v="341"/>
    <m/>
    <m/>
    <m/>
    <m/>
    <m/>
    <m/>
    <m/>
    <m/>
    <s v="Negative"/>
    <s v="Negative"/>
    <s v="Accurate Prediction"/>
  </r>
  <r>
    <x v="2"/>
    <x v="18"/>
    <x v="3"/>
    <x v="0"/>
    <x v="0"/>
    <x v="61"/>
    <x v="282"/>
    <x v="11"/>
    <n v="0"/>
    <s v="Not Sampled"/>
    <n v="342"/>
    <m/>
    <m/>
    <m/>
    <m/>
    <m/>
    <m/>
    <m/>
    <m/>
    <s v="Negative"/>
    <s v="Not Sampled"/>
    <s v="Not Sampled"/>
  </r>
  <r>
    <x v="7"/>
    <x v="27"/>
    <x v="24"/>
    <x v="2"/>
    <x v="0"/>
    <x v="48"/>
    <x v="190"/>
    <x v="9"/>
    <n v="0"/>
    <s v="Not Sampled"/>
    <n v="343"/>
    <m/>
    <m/>
    <m/>
    <m/>
    <m/>
    <m/>
    <m/>
    <m/>
    <s v="Negative"/>
    <s v="Not Sampled"/>
    <s v="Not Sampled"/>
  </r>
  <r>
    <x v="4"/>
    <x v="50"/>
    <x v="5"/>
    <x v="2"/>
    <x v="0"/>
    <x v="8"/>
    <x v="283"/>
    <x v="40"/>
    <n v="0"/>
    <s v="Not Sampled"/>
    <n v="344"/>
    <m/>
    <m/>
    <m/>
    <m/>
    <m/>
    <m/>
    <m/>
    <m/>
    <s v="Negative"/>
    <s v="Not Sampled"/>
    <s v="Not Sampled"/>
  </r>
  <r>
    <x v="4"/>
    <x v="51"/>
    <x v="21"/>
    <x v="35"/>
    <x v="116"/>
    <x v="70"/>
    <x v="284"/>
    <x v="43"/>
    <n v="0"/>
    <s v="Not Sampled"/>
    <n v="345"/>
    <m/>
    <m/>
    <m/>
    <m/>
    <m/>
    <m/>
    <m/>
    <m/>
    <s v="Negative"/>
    <s v="Not Sampled"/>
    <s v="Not Sampled"/>
  </r>
  <r>
    <x v="2"/>
    <x v="4"/>
    <x v="37"/>
    <x v="13"/>
    <x v="117"/>
    <x v="77"/>
    <x v="109"/>
    <x v="11"/>
    <n v="0"/>
    <s v="Not Sampled"/>
    <n v="346"/>
    <m/>
    <m/>
    <m/>
    <m/>
    <m/>
    <m/>
    <m/>
    <m/>
    <s v="Negative"/>
    <s v="Not Sampled"/>
    <s v="Not Sampled"/>
  </r>
  <r>
    <x v="5"/>
    <x v="113"/>
    <x v="2"/>
    <x v="2"/>
    <x v="0"/>
    <x v="177"/>
    <x v="179"/>
    <x v="1"/>
    <n v="0"/>
    <s v="Not Sampled"/>
    <n v="347"/>
    <m/>
    <m/>
    <m/>
    <m/>
    <m/>
    <m/>
    <m/>
    <m/>
    <s v="Negative"/>
    <s v="Not Sampled"/>
    <s v="Not Sampled"/>
  </r>
  <r>
    <x v="5"/>
    <x v="6"/>
    <x v="0"/>
    <x v="13"/>
    <x v="97"/>
    <x v="181"/>
    <x v="285"/>
    <x v="25"/>
    <n v="0"/>
    <n v="0"/>
    <n v="348"/>
    <m/>
    <m/>
    <m/>
    <m/>
    <m/>
    <m/>
    <m/>
    <m/>
    <s v="Negative"/>
    <s v="Negative"/>
    <s v="Accurate Prediction"/>
  </r>
  <r>
    <x v="7"/>
    <x v="18"/>
    <x v="6"/>
    <x v="5"/>
    <x v="0"/>
    <x v="182"/>
    <x v="286"/>
    <x v="26"/>
    <n v="1"/>
    <s v="Not Sampled"/>
    <n v="349"/>
    <m/>
    <m/>
    <m/>
    <m/>
    <m/>
    <m/>
    <m/>
    <m/>
    <s v="Positive"/>
    <s v="Not Sampled"/>
    <s v="Not Sampled"/>
  </r>
  <r>
    <x v="3"/>
    <x v="66"/>
    <x v="6"/>
    <x v="2"/>
    <x v="0"/>
    <x v="183"/>
    <x v="78"/>
    <x v="29"/>
    <n v="0"/>
    <s v="Not Sampled"/>
    <n v="350"/>
    <m/>
    <m/>
    <m/>
    <m/>
    <m/>
    <m/>
    <m/>
    <m/>
    <s v="Negative"/>
    <s v="Not Sampled"/>
    <s v="Not Sampled"/>
  </r>
  <r>
    <x v="3"/>
    <x v="59"/>
    <x v="16"/>
    <x v="2"/>
    <x v="0"/>
    <x v="84"/>
    <x v="287"/>
    <x v="13"/>
    <n v="0"/>
    <n v="0"/>
    <n v="351"/>
    <m/>
    <m/>
    <m/>
    <m/>
    <m/>
    <m/>
    <m/>
    <m/>
    <s v="Negative"/>
    <s v="Negative"/>
    <s v="Accurate Prediction"/>
  </r>
  <r>
    <x v="5"/>
    <x v="114"/>
    <x v="1"/>
    <x v="7"/>
    <x v="0"/>
    <x v="184"/>
    <x v="288"/>
    <x v="22"/>
    <n v="0"/>
    <s v="Not Sampled"/>
    <n v="352"/>
    <m/>
    <m/>
    <m/>
    <m/>
    <m/>
    <m/>
    <m/>
    <m/>
    <s v="Negative"/>
    <s v="Not Sampled"/>
    <s v="Not Sampled"/>
  </r>
  <r>
    <x v="2"/>
    <x v="30"/>
    <x v="0"/>
    <x v="39"/>
    <x v="118"/>
    <x v="185"/>
    <x v="289"/>
    <x v="3"/>
    <n v="0"/>
    <n v="0"/>
    <n v="353"/>
    <m/>
    <m/>
    <m/>
    <m/>
    <m/>
    <m/>
    <m/>
    <m/>
    <s v="Negative"/>
    <s v="Negative"/>
    <s v="Accurate Prediction"/>
  </r>
  <r>
    <x v="5"/>
    <x v="30"/>
    <x v="4"/>
    <x v="2"/>
    <x v="0"/>
    <x v="57"/>
    <x v="290"/>
    <x v="4"/>
    <n v="0"/>
    <s v="Not Sampled"/>
    <n v="354"/>
    <m/>
    <m/>
    <m/>
    <m/>
    <m/>
    <m/>
    <m/>
    <m/>
    <s v="Negative"/>
    <s v="Not Sampled"/>
    <s v="Not Sampled"/>
  </r>
  <r>
    <x v="11"/>
    <x v="102"/>
    <x v="21"/>
    <x v="2"/>
    <x v="0"/>
    <x v="25"/>
    <x v="291"/>
    <x v="43"/>
    <n v="1"/>
    <s v="Not Sampled"/>
    <n v="355"/>
    <m/>
    <m/>
    <m/>
    <m/>
    <m/>
    <m/>
    <m/>
    <m/>
    <s v="Positive"/>
    <s v="Not Sampled"/>
    <s v="Not Sampled"/>
  </r>
  <r>
    <x v="2"/>
    <x v="10"/>
    <x v="13"/>
    <x v="32"/>
    <x v="119"/>
    <x v="21"/>
    <x v="55"/>
    <x v="6"/>
    <n v="1"/>
    <s v="Not Sampled"/>
    <n v="356"/>
    <m/>
    <m/>
    <m/>
    <m/>
    <m/>
    <m/>
    <m/>
    <m/>
    <s v="Positive"/>
    <s v="Not Sampled"/>
    <s v="Not Sampled"/>
  </r>
  <r>
    <x v="13"/>
    <x v="52"/>
    <x v="2"/>
    <x v="8"/>
    <x v="0"/>
    <x v="180"/>
    <x v="292"/>
    <x v="30"/>
    <n v="1"/>
    <s v="Not Sampled"/>
    <n v="357"/>
    <m/>
    <m/>
    <m/>
    <m/>
    <m/>
    <m/>
    <m/>
    <m/>
    <s v="Positive"/>
    <s v="Not Sampled"/>
    <s v="Not Sampled"/>
  </r>
  <r>
    <x v="10"/>
    <x v="40"/>
    <x v="10"/>
    <x v="32"/>
    <x v="120"/>
    <x v="186"/>
    <x v="293"/>
    <x v="27"/>
    <n v="0"/>
    <s v="Not Sampled"/>
    <n v="358"/>
    <m/>
    <m/>
    <m/>
    <m/>
    <m/>
    <m/>
    <m/>
    <m/>
    <s v="Negative"/>
    <s v="Not Sampled"/>
    <s v="Not Sampled"/>
  </r>
  <r>
    <x v="2"/>
    <x v="96"/>
    <x v="15"/>
    <x v="35"/>
    <x v="121"/>
    <x v="23"/>
    <x v="261"/>
    <x v="29"/>
    <n v="1"/>
    <s v="Not Sampled"/>
    <n v="359"/>
    <m/>
    <m/>
    <m/>
    <m/>
    <m/>
    <m/>
    <m/>
    <m/>
    <s v="Positive"/>
    <s v="Not Sampled"/>
    <s v="Not Sampled"/>
  </r>
  <r>
    <x v="7"/>
    <x v="115"/>
    <x v="11"/>
    <x v="12"/>
    <x v="54"/>
    <x v="84"/>
    <x v="69"/>
    <x v="29"/>
    <n v="1"/>
    <s v="Not Sampled"/>
    <n v="360"/>
    <m/>
    <m/>
    <m/>
    <m/>
    <m/>
    <m/>
    <m/>
    <m/>
    <s v="Positive"/>
    <s v="Not Sampled"/>
    <s v="Not Sampled"/>
  </r>
  <r>
    <x v="7"/>
    <x v="95"/>
    <x v="9"/>
    <x v="2"/>
    <x v="0"/>
    <x v="187"/>
    <x v="28"/>
    <x v="44"/>
    <n v="0"/>
    <n v="1"/>
    <n v="361"/>
    <m/>
    <m/>
    <m/>
    <m/>
    <m/>
    <m/>
    <m/>
    <m/>
    <s v="Negative"/>
    <s v="Positive"/>
    <s v="Inaccurate Prediction"/>
  </r>
  <r>
    <x v="7"/>
    <x v="28"/>
    <x v="28"/>
    <x v="18"/>
    <x v="0"/>
    <x v="188"/>
    <x v="47"/>
    <x v="39"/>
    <n v="0"/>
    <s v="Not Sampled"/>
    <n v="362"/>
    <m/>
    <m/>
    <m/>
    <m/>
    <m/>
    <m/>
    <m/>
    <m/>
    <s v="Negative"/>
    <s v="Not Sampled"/>
    <s v="Not Sampled"/>
  </r>
  <r>
    <x v="3"/>
    <x v="36"/>
    <x v="4"/>
    <x v="2"/>
    <x v="0"/>
    <x v="70"/>
    <x v="254"/>
    <x v="7"/>
    <n v="1"/>
    <s v="Not Sampled"/>
    <n v="363"/>
    <m/>
    <m/>
    <m/>
    <m/>
    <m/>
    <m/>
    <m/>
    <m/>
    <s v="Positive"/>
    <s v="Not Sampled"/>
    <s v="Not Sampled"/>
  </r>
  <r>
    <x v="3"/>
    <x v="83"/>
    <x v="10"/>
    <x v="14"/>
    <x v="122"/>
    <x v="115"/>
    <x v="294"/>
    <x v="13"/>
    <n v="0"/>
    <s v="Not Sampled"/>
    <n v="364"/>
    <m/>
    <m/>
    <m/>
    <m/>
    <m/>
    <m/>
    <m/>
    <m/>
    <s v="Negative"/>
    <s v="Not Sampled"/>
    <s v="Not Sampled"/>
  </r>
  <r>
    <x v="7"/>
    <x v="6"/>
    <x v="14"/>
    <x v="7"/>
    <x v="117"/>
    <x v="37"/>
    <x v="295"/>
    <x v="13"/>
    <n v="0"/>
    <s v="Not Sampled"/>
    <n v="365"/>
    <m/>
    <m/>
    <m/>
    <m/>
    <m/>
    <m/>
    <m/>
    <m/>
    <s v="Negative"/>
    <s v="Not Sampled"/>
    <s v="Not Sampled"/>
  </r>
  <r>
    <x v="6"/>
    <x v="73"/>
    <x v="5"/>
    <x v="2"/>
    <x v="0"/>
    <x v="32"/>
    <x v="149"/>
    <x v="29"/>
    <n v="1"/>
    <n v="0"/>
    <n v="366"/>
    <m/>
    <m/>
    <m/>
    <m/>
    <m/>
    <m/>
    <m/>
    <m/>
    <s v="Positive"/>
    <s v="Negative"/>
    <s v="Inaccurate Prediction"/>
  </r>
  <r>
    <x v="1"/>
    <x v="39"/>
    <x v="11"/>
    <x v="6"/>
    <x v="0"/>
    <x v="169"/>
    <x v="287"/>
    <x v="4"/>
    <n v="0"/>
    <n v="0"/>
    <n v="367"/>
    <m/>
    <m/>
    <m/>
    <m/>
    <m/>
    <m/>
    <m/>
    <m/>
    <s v="Negative"/>
    <s v="Negative"/>
    <s v="Accurate Prediction"/>
  </r>
  <r>
    <x v="5"/>
    <x v="14"/>
    <x v="24"/>
    <x v="41"/>
    <x v="5"/>
    <x v="155"/>
    <x v="296"/>
    <x v="11"/>
    <n v="0"/>
    <n v="0"/>
    <n v="368"/>
    <m/>
    <m/>
    <m/>
    <m/>
    <m/>
    <m/>
    <m/>
    <m/>
    <s v="Negative"/>
    <s v="Negative"/>
    <s v="Accurate Prediction"/>
  </r>
  <r>
    <x v="2"/>
    <x v="32"/>
    <x v="38"/>
    <x v="7"/>
    <x v="32"/>
    <x v="10"/>
    <x v="297"/>
    <x v="10"/>
    <n v="1"/>
    <s v="Not Sampled"/>
    <n v="369"/>
    <m/>
    <m/>
    <m/>
    <m/>
    <m/>
    <m/>
    <m/>
    <m/>
    <s v="Positive"/>
    <s v="Not Sampled"/>
    <s v="Not Sampled"/>
  </r>
  <r>
    <x v="5"/>
    <x v="5"/>
    <x v="1"/>
    <x v="46"/>
    <x v="123"/>
    <x v="189"/>
    <x v="298"/>
    <x v="14"/>
    <n v="1"/>
    <s v="Not Sampled"/>
    <n v="370"/>
    <m/>
    <m/>
    <m/>
    <m/>
    <m/>
    <m/>
    <m/>
    <m/>
    <s v="Positive"/>
    <s v="Not Sampled"/>
    <s v="Not Sampled"/>
  </r>
  <r>
    <x v="1"/>
    <x v="78"/>
    <x v="11"/>
    <x v="17"/>
    <x v="124"/>
    <x v="12"/>
    <x v="299"/>
    <x v="4"/>
    <n v="0"/>
    <s v="Not Sampled"/>
    <n v="371"/>
    <m/>
    <m/>
    <m/>
    <m/>
    <m/>
    <m/>
    <m/>
    <m/>
    <s v="Negative"/>
    <s v="Not Sampled"/>
    <s v="Not Sampled"/>
  </r>
  <r>
    <x v="1"/>
    <x v="1"/>
    <x v="11"/>
    <x v="29"/>
    <x v="5"/>
    <x v="134"/>
    <x v="300"/>
    <x v="4"/>
    <n v="0"/>
    <n v="0"/>
    <n v="372"/>
    <m/>
    <m/>
    <m/>
    <m/>
    <m/>
    <m/>
    <m/>
    <m/>
    <s v="Negative"/>
    <s v="Negative"/>
    <s v="Accurate Prediction"/>
  </r>
  <r>
    <x v="0"/>
    <x v="38"/>
    <x v="22"/>
    <x v="32"/>
    <x v="48"/>
    <x v="115"/>
    <x v="301"/>
    <x v="14"/>
    <n v="0"/>
    <s v="Not Sampled"/>
    <n v="373"/>
    <m/>
    <m/>
    <m/>
    <m/>
    <m/>
    <m/>
    <m/>
    <m/>
    <s v="Negative"/>
    <s v="Not Sampled"/>
    <s v="Not Sampled"/>
  </r>
  <r>
    <x v="0"/>
    <x v="27"/>
    <x v="33"/>
    <x v="44"/>
    <x v="125"/>
    <x v="190"/>
    <x v="302"/>
    <x v="6"/>
    <n v="0"/>
    <s v="Not Sampled"/>
    <n v="374"/>
    <m/>
    <m/>
    <m/>
    <m/>
    <m/>
    <m/>
    <m/>
    <m/>
    <s v="Negative"/>
    <s v="Not Sampled"/>
    <s v="Not Sampled"/>
  </r>
  <r>
    <x v="10"/>
    <x v="98"/>
    <x v="1"/>
    <x v="44"/>
    <x v="54"/>
    <x v="188"/>
    <x v="303"/>
    <x v="5"/>
    <n v="1"/>
    <n v="1"/>
    <n v="375"/>
    <m/>
    <m/>
    <m/>
    <m/>
    <m/>
    <m/>
    <m/>
    <m/>
    <s v="Positive"/>
    <s v="Positive"/>
    <s v="Accurate Prediction"/>
  </r>
  <r>
    <x v="1"/>
    <x v="116"/>
    <x v="1"/>
    <x v="11"/>
    <x v="126"/>
    <x v="18"/>
    <x v="167"/>
    <x v="11"/>
    <n v="0"/>
    <s v="Not Sampled"/>
    <n v="376"/>
    <m/>
    <m/>
    <m/>
    <m/>
    <m/>
    <m/>
    <m/>
    <m/>
    <s v="Negative"/>
    <s v="Not Sampled"/>
    <s v="Not Sampled"/>
  </r>
  <r>
    <x v="2"/>
    <x v="90"/>
    <x v="12"/>
    <x v="18"/>
    <x v="96"/>
    <x v="19"/>
    <x v="304"/>
    <x v="11"/>
    <n v="0"/>
    <s v="Not Sampled"/>
    <n v="377"/>
    <m/>
    <m/>
    <m/>
    <m/>
    <m/>
    <m/>
    <m/>
    <m/>
    <s v="Negative"/>
    <s v="Not Sampled"/>
    <s v="Not Sampled"/>
  </r>
  <r>
    <x v="3"/>
    <x v="84"/>
    <x v="25"/>
    <x v="2"/>
    <x v="0"/>
    <x v="191"/>
    <x v="21"/>
    <x v="32"/>
    <n v="1"/>
    <s v="Not Sampled"/>
    <n v="378"/>
    <m/>
    <m/>
    <m/>
    <m/>
    <m/>
    <m/>
    <m/>
    <m/>
    <s v="Positive"/>
    <s v="Not Sampled"/>
    <s v="Not Sampled"/>
  </r>
  <r>
    <x v="1"/>
    <x v="67"/>
    <x v="39"/>
    <x v="15"/>
    <x v="127"/>
    <x v="59"/>
    <x v="305"/>
    <x v="20"/>
    <n v="0"/>
    <s v="Not Sampled"/>
    <n v="379"/>
    <m/>
    <m/>
    <m/>
    <m/>
    <m/>
    <m/>
    <m/>
    <m/>
    <s v="Negative"/>
    <s v="Not Sampled"/>
    <s v="Not Sampled"/>
  </r>
  <r>
    <x v="2"/>
    <x v="61"/>
    <x v="5"/>
    <x v="8"/>
    <x v="21"/>
    <x v="98"/>
    <x v="306"/>
    <x v="3"/>
    <n v="0"/>
    <s v="Not Sampled"/>
    <n v="380"/>
    <m/>
    <m/>
    <m/>
    <m/>
    <m/>
    <m/>
    <m/>
    <m/>
    <s v="Negative"/>
    <s v="Not Sampled"/>
    <s v="Not Sampled"/>
  </r>
  <r>
    <x v="1"/>
    <x v="38"/>
    <x v="3"/>
    <x v="29"/>
    <x v="0"/>
    <x v="192"/>
    <x v="183"/>
    <x v="11"/>
    <n v="0"/>
    <s v="Not Sampled"/>
    <n v="381"/>
    <m/>
    <m/>
    <m/>
    <m/>
    <m/>
    <m/>
    <m/>
    <m/>
    <s v="Negative"/>
    <s v="Not Sampled"/>
    <s v="Not Sampled"/>
  </r>
  <r>
    <x v="2"/>
    <x v="49"/>
    <x v="12"/>
    <x v="47"/>
    <x v="98"/>
    <x v="54"/>
    <x v="307"/>
    <x v="4"/>
    <n v="0"/>
    <n v="0"/>
    <n v="382"/>
    <m/>
    <m/>
    <m/>
    <m/>
    <m/>
    <m/>
    <m/>
    <m/>
    <s v="Negative"/>
    <s v="Negative"/>
    <s v="Accurate Prediction"/>
  </r>
  <r>
    <x v="2"/>
    <x v="30"/>
    <x v="0"/>
    <x v="10"/>
    <x v="128"/>
    <x v="16"/>
    <x v="308"/>
    <x v="14"/>
    <n v="0"/>
    <s v="Not Sampled"/>
    <n v="383"/>
    <m/>
    <m/>
    <m/>
    <m/>
    <m/>
    <m/>
    <m/>
    <m/>
    <s v="Negative"/>
    <s v="Not Sampled"/>
    <s v="Not Sampled"/>
  </r>
  <r>
    <x v="2"/>
    <x v="10"/>
    <x v="9"/>
    <x v="20"/>
    <x v="27"/>
    <x v="122"/>
    <x v="309"/>
    <x v="14"/>
    <n v="0"/>
    <s v="Not Sampled"/>
    <n v="384"/>
    <m/>
    <m/>
    <m/>
    <m/>
    <m/>
    <m/>
    <m/>
    <m/>
    <s v="Negative"/>
    <s v="Not Sampled"/>
    <s v="Not Sampled"/>
  </r>
  <r>
    <x v="2"/>
    <x v="93"/>
    <x v="14"/>
    <x v="27"/>
    <x v="52"/>
    <x v="193"/>
    <x v="310"/>
    <x v="3"/>
    <n v="0"/>
    <n v="0"/>
    <n v="385"/>
    <m/>
    <m/>
    <m/>
    <m/>
    <m/>
    <m/>
    <m/>
    <m/>
    <s v="Negative"/>
    <s v="Negative"/>
    <s v="Accurate Prediction"/>
  </r>
  <r>
    <x v="7"/>
    <x v="113"/>
    <x v="10"/>
    <x v="30"/>
    <x v="0"/>
    <x v="167"/>
    <x v="311"/>
    <x v="20"/>
    <n v="1"/>
    <n v="0"/>
    <n v="386"/>
    <m/>
    <m/>
    <m/>
    <m/>
    <m/>
    <m/>
    <m/>
    <m/>
    <s v="Positive"/>
    <s v="Negative"/>
    <s v="Inaccurate Prediction"/>
  </r>
  <r>
    <x v="4"/>
    <x v="38"/>
    <x v="39"/>
    <x v="35"/>
    <x v="0"/>
    <x v="165"/>
    <x v="312"/>
    <x v="10"/>
    <n v="1"/>
    <s v="Not Sampled"/>
    <n v="387"/>
    <m/>
    <m/>
    <m/>
    <m/>
    <m/>
    <m/>
    <m/>
    <m/>
    <s v="Positive"/>
    <s v="Not Sampled"/>
    <s v="Not Sampled"/>
  </r>
  <r>
    <x v="7"/>
    <x v="65"/>
    <x v="1"/>
    <x v="16"/>
    <x v="63"/>
    <x v="61"/>
    <x v="117"/>
    <x v="5"/>
    <n v="1"/>
    <s v="Not Sampled"/>
    <n v="388"/>
    <m/>
    <m/>
    <m/>
    <m/>
    <m/>
    <m/>
    <m/>
    <m/>
    <s v="Positive"/>
    <s v="Not Sampled"/>
    <s v="Not Sampled"/>
  </r>
  <r>
    <x v="5"/>
    <x v="45"/>
    <x v="3"/>
    <x v="17"/>
    <x v="129"/>
    <x v="31"/>
    <x v="313"/>
    <x v="6"/>
    <n v="0"/>
    <n v="0"/>
    <n v="389"/>
    <m/>
    <m/>
    <m/>
    <m/>
    <m/>
    <m/>
    <m/>
    <m/>
    <s v="Negative"/>
    <s v="Negative"/>
    <s v="Accurate Prediction"/>
  </r>
  <r>
    <x v="2"/>
    <x v="45"/>
    <x v="19"/>
    <x v="30"/>
    <x v="130"/>
    <x v="61"/>
    <x v="314"/>
    <x v="8"/>
    <n v="0"/>
    <s v="Not Sampled"/>
    <n v="390"/>
    <m/>
    <m/>
    <m/>
    <m/>
    <m/>
    <m/>
    <m/>
    <m/>
    <s v="Negative"/>
    <s v="Not Sampled"/>
    <s v="Not Sampled"/>
  </r>
  <r>
    <x v="7"/>
    <x v="12"/>
    <x v="15"/>
    <x v="2"/>
    <x v="0"/>
    <x v="194"/>
    <x v="250"/>
    <x v="23"/>
    <n v="1"/>
    <s v="Not Sampled"/>
    <n v="391"/>
    <m/>
    <m/>
    <m/>
    <m/>
    <m/>
    <m/>
    <m/>
    <m/>
    <s v="Positive"/>
    <s v="Not Sampled"/>
    <s v="Not Sampled"/>
  </r>
  <r>
    <x v="2"/>
    <x v="55"/>
    <x v="11"/>
    <x v="36"/>
    <x v="131"/>
    <x v="195"/>
    <x v="282"/>
    <x v="4"/>
    <n v="0"/>
    <s v="Not Sampled"/>
    <n v="392"/>
    <m/>
    <m/>
    <m/>
    <m/>
    <m/>
    <m/>
    <m/>
    <m/>
    <s v="Negative"/>
    <s v="Not Sampled"/>
    <s v="Not Sampled"/>
  </r>
  <r>
    <x v="3"/>
    <x v="113"/>
    <x v="5"/>
    <x v="39"/>
    <x v="74"/>
    <x v="28"/>
    <x v="315"/>
    <x v="26"/>
    <n v="0"/>
    <s v="Not Sampled"/>
    <n v="393"/>
    <m/>
    <m/>
    <m/>
    <m/>
    <m/>
    <m/>
    <m/>
    <m/>
    <s v="Negative"/>
    <s v="Not Sampled"/>
    <s v="Not Sampled"/>
  </r>
  <r>
    <x v="3"/>
    <x v="95"/>
    <x v="4"/>
    <x v="2"/>
    <x v="0"/>
    <x v="35"/>
    <x v="316"/>
    <x v="2"/>
    <n v="1"/>
    <s v="Not Sampled"/>
    <n v="394"/>
    <m/>
    <m/>
    <m/>
    <m/>
    <m/>
    <m/>
    <m/>
    <m/>
    <s v="Positive"/>
    <s v="Not Sampled"/>
    <s v="Not Sampled"/>
  </r>
  <r>
    <x v="0"/>
    <x v="117"/>
    <x v="22"/>
    <x v="20"/>
    <x v="132"/>
    <x v="116"/>
    <x v="317"/>
    <x v="14"/>
    <n v="0"/>
    <s v="Not Sampled"/>
    <n v="395"/>
    <m/>
    <m/>
    <m/>
    <m/>
    <m/>
    <m/>
    <m/>
    <m/>
    <s v="Negative"/>
    <s v="Not Sampled"/>
    <s v="Not Sampled"/>
  </r>
  <r>
    <x v="5"/>
    <x v="20"/>
    <x v="20"/>
    <x v="24"/>
    <x v="133"/>
    <x v="62"/>
    <x v="318"/>
    <x v="16"/>
    <n v="0"/>
    <n v="0"/>
    <n v="396"/>
    <m/>
    <m/>
    <m/>
    <m/>
    <m/>
    <m/>
    <m/>
    <m/>
    <s v="Negative"/>
    <s v="Negative"/>
    <s v="Accurate Prediction"/>
  </r>
  <r>
    <x v="1"/>
    <x v="55"/>
    <x v="19"/>
    <x v="32"/>
    <x v="0"/>
    <x v="82"/>
    <x v="319"/>
    <x v="11"/>
    <n v="1"/>
    <s v="Not Sampled"/>
    <n v="397"/>
    <m/>
    <m/>
    <m/>
    <m/>
    <m/>
    <m/>
    <m/>
    <m/>
    <s v="Positive"/>
    <s v="Not Sampled"/>
    <s v="Not Sampled"/>
  </r>
  <r>
    <x v="5"/>
    <x v="118"/>
    <x v="9"/>
    <x v="2"/>
    <x v="0"/>
    <x v="96"/>
    <x v="282"/>
    <x v="14"/>
    <n v="0"/>
    <s v="Not Sampled"/>
    <n v="398"/>
    <m/>
    <m/>
    <m/>
    <m/>
    <m/>
    <m/>
    <m/>
    <m/>
    <s v="Negative"/>
    <s v="Not Sampled"/>
    <s v="Not Sampled"/>
  </r>
  <r>
    <x v="5"/>
    <x v="104"/>
    <x v="9"/>
    <x v="1"/>
    <x v="0"/>
    <x v="115"/>
    <x v="320"/>
    <x v="14"/>
    <n v="1"/>
    <s v="Not Sampled"/>
    <n v="399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n v="0"/>
    <n v="400"/>
    <m/>
    <m/>
    <m/>
    <m/>
    <m/>
    <m/>
    <m/>
    <m/>
    <s v="Positive"/>
    <s v="Negative"/>
    <s v="Inaccurate Prediction"/>
  </r>
  <r>
    <x v="6"/>
    <x v="59"/>
    <x v="40"/>
    <x v="2"/>
    <x v="0"/>
    <x v="29"/>
    <x v="187"/>
    <x v="15"/>
    <n v="0"/>
    <s v="Not Sampled"/>
    <n v="401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s v="Not Sampled"/>
    <n v="402"/>
    <m/>
    <m/>
    <m/>
    <m/>
    <m/>
    <m/>
    <m/>
    <m/>
    <s v="Positive"/>
    <s v="Not Sampled"/>
    <s v="Not Sampled"/>
  </r>
  <r>
    <x v="11"/>
    <x v="119"/>
    <x v="4"/>
    <x v="14"/>
    <x v="0"/>
    <x v="31"/>
    <x v="246"/>
    <x v="19"/>
    <n v="0"/>
    <n v="0"/>
    <n v="403"/>
    <m/>
    <m/>
    <m/>
    <m/>
    <m/>
    <m/>
    <m/>
    <m/>
    <s v="Negative"/>
    <s v="Negative"/>
    <s v="Accurate Prediction"/>
  </r>
  <r>
    <x v="7"/>
    <x v="120"/>
    <x v="11"/>
    <x v="2"/>
    <x v="0"/>
    <x v="35"/>
    <x v="322"/>
    <x v="17"/>
    <n v="1"/>
    <s v="Not Sampled"/>
    <n v="404"/>
    <m/>
    <m/>
    <m/>
    <m/>
    <m/>
    <m/>
    <m/>
    <m/>
    <s v="Positive"/>
    <s v="Not Sampled"/>
    <s v="Not Sampled"/>
  </r>
  <r>
    <x v="0"/>
    <x v="62"/>
    <x v="26"/>
    <x v="5"/>
    <x v="134"/>
    <x v="196"/>
    <x v="254"/>
    <x v="25"/>
    <n v="0"/>
    <s v="Not Sampled"/>
    <n v="405"/>
    <m/>
    <m/>
    <m/>
    <m/>
    <m/>
    <m/>
    <m/>
    <m/>
    <s v="Negative"/>
    <s v="Not Sampled"/>
    <s v="Not Sampled"/>
  </r>
  <r>
    <x v="3"/>
    <x v="109"/>
    <x v="5"/>
    <x v="2"/>
    <x v="0"/>
    <x v="11"/>
    <x v="323"/>
    <x v="22"/>
    <n v="1"/>
    <n v="0"/>
    <n v="406"/>
    <m/>
    <m/>
    <m/>
    <m/>
    <m/>
    <m/>
    <m/>
    <m/>
    <s v="Positive"/>
    <s v="Negative"/>
    <s v="Inaccurate Prediction"/>
  </r>
  <r>
    <x v="1"/>
    <x v="39"/>
    <x v="0"/>
    <x v="2"/>
    <x v="0"/>
    <x v="101"/>
    <x v="101"/>
    <x v="14"/>
    <n v="0"/>
    <s v="Not Sampled"/>
    <n v="407"/>
    <m/>
    <m/>
    <m/>
    <m/>
    <m/>
    <m/>
    <m/>
    <m/>
    <s v="Negative"/>
    <s v="Not Sampled"/>
    <s v="Not Sampled"/>
  </r>
  <r>
    <x v="4"/>
    <x v="100"/>
    <x v="10"/>
    <x v="2"/>
    <x v="0"/>
    <x v="151"/>
    <x v="324"/>
    <x v="16"/>
    <n v="1"/>
    <s v="Not Sampled"/>
    <n v="408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s v="Not Sampled"/>
    <n v="409"/>
    <m/>
    <m/>
    <m/>
    <m/>
    <m/>
    <m/>
    <m/>
    <m/>
    <s v="Positive"/>
    <s v="Not Sampled"/>
    <s v="Not Sampled"/>
  </r>
  <r>
    <x v="6"/>
    <x v="29"/>
    <x v="8"/>
    <x v="15"/>
    <x v="0"/>
    <x v="140"/>
    <x v="326"/>
    <x v="6"/>
    <n v="0"/>
    <s v="Not Sampled"/>
    <n v="410"/>
    <m/>
    <m/>
    <m/>
    <m/>
    <m/>
    <m/>
    <m/>
    <m/>
    <s v="Negative"/>
    <s v="Not Sampled"/>
    <s v="Not Sampled"/>
  </r>
  <r>
    <x v="2"/>
    <x v="56"/>
    <x v="5"/>
    <x v="8"/>
    <x v="34"/>
    <x v="184"/>
    <x v="303"/>
    <x v="14"/>
    <n v="0"/>
    <s v="Not Sampled"/>
    <n v="411"/>
    <m/>
    <m/>
    <m/>
    <m/>
    <m/>
    <m/>
    <m/>
    <m/>
    <s v="Negative"/>
    <s v="Not Sampled"/>
    <s v="Not Sampled"/>
  </r>
  <r>
    <x v="2"/>
    <x v="92"/>
    <x v="16"/>
    <x v="17"/>
    <x v="136"/>
    <x v="197"/>
    <x v="327"/>
    <x v="11"/>
    <n v="0"/>
    <s v="Not Sampled"/>
    <n v="412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413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n v="0"/>
    <n v="414"/>
    <m/>
    <m/>
    <m/>
    <m/>
    <m/>
    <m/>
    <m/>
    <m/>
    <s v="Positive"/>
    <s v="Negative"/>
    <s v="Inaccurate Prediction"/>
  </r>
  <r>
    <x v="5"/>
    <x v="5"/>
    <x v="16"/>
    <x v="12"/>
    <x v="138"/>
    <x v="140"/>
    <x v="61"/>
    <x v="11"/>
    <n v="1"/>
    <n v="1"/>
    <n v="415"/>
    <m/>
    <m/>
    <m/>
    <m/>
    <m/>
    <m/>
    <m/>
    <m/>
    <s v="Positive"/>
    <s v="Positive"/>
    <s v="Accurate Prediction"/>
  </r>
  <r>
    <x v="2"/>
    <x v="75"/>
    <x v="3"/>
    <x v="23"/>
    <x v="0"/>
    <x v="185"/>
    <x v="329"/>
    <x v="11"/>
    <n v="0"/>
    <s v="Not Sampled"/>
    <n v="416"/>
    <m/>
    <m/>
    <m/>
    <m/>
    <m/>
    <m/>
    <m/>
    <m/>
    <s v="Negative"/>
    <s v="Not Sampled"/>
    <s v="Not Sampled"/>
  </r>
  <r>
    <x v="3"/>
    <x v="65"/>
    <x v="1"/>
    <x v="5"/>
    <x v="0"/>
    <x v="70"/>
    <x v="330"/>
    <x v="26"/>
    <n v="1"/>
    <s v="Not Sampled"/>
    <n v="417"/>
    <m/>
    <m/>
    <m/>
    <m/>
    <m/>
    <m/>
    <m/>
    <m/>
    <s v="Positive"/>
    <s v="Not Sampled"/>
    <s v="Not Sampled"/>
  </r>
  <r>
    <x v="2"/>
    <x v="8"/>
    <x v="3"/>
    <x v="2"/>
    <x v="0"/>
    <x v="198"/>
    <x v="331"/>
    <x v="23"/>
    <n v="0"/>
    <n v="0"/>
    <n v="418"/>
    <m/>
    <m/>
    <m/>
    <m/>
    <m/>
    <m/>
    <m/>
    <m/>
    <s v="Negative"/>
    <s v="Negative"/>
    <s v="Accurate Prediction"/>
  </r>
  <r>
    <x v="5"/>
    <x v="52"/>
    <x v="11"/>
    <x v="30"/>
    <x v="133"/>
    <x v="199"/>
    <x v="332"/>
    <x v="6"/>
    <n v="1"/>
    <s v="Not Sampled"/>
    <n v="419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420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n v="0"/>
    <n v="421"/>
    <m/>
    <m/>
    <m/>
    <m/>
    <m/>
    <m/>
    <m/>
    <m/>
    <s v="Negative"/>
    <s v="Negative"/>
    <s v="Accurate Prediction"/>
  </r>
  <r>
    <x v="1"/>
    <x v="29"/>
    <x v="11"/>
    <x v="40"/>
    <x v="65"/>
    <x v="102"/>
    <x v="116"/>
    <x v="4"/>
    <n v="0"/>
    <s v="Not Sampled"/>
    <n v="422"/>
    <m/>
    <m/>
    <m/>
    <m/>
    <m/>
    <m/>
    <m/>
    <m/>
    <s v="Negative"/>
    <s v="Not Sampled"/>
    <s v="Not Sampled"/>
  </r>
  <r>
    <x v="0"/>
    <x v="109"/>
    <x v="11"/>
    <x v="29"/>
    <x v="0"/>
    <x v="98"/>
    <x v="335"/>
    <x v="4"/>
    <n v="0"/>
    <s v="Not Sampled"/>
    <n v="423"/>
    <m/>
    <m/>
    <m/>
    <m/>
    <m/>
    <m/>
    <m/>
    <m/>
    <s v="Negative"/>
    <s v="Not Sampled"/>
    <s v="Not Sampled"/>
  </r>
  <r>
    <x v="4"/>
    <x v="68"/>
    <x v="4"/>
    <x v="5"/>
    <x v="14"/>
    <x v="92"/>
    <x v="336"/>
    <x v="31"/>
    <n v="1"/>
    <n v="1"/>
    <n v="424"/>
    <m/>
    <m/>
    <m/>
    <m/>
    <m/>
    <m/>
    <m/>
    <m/>
    <s v="Positive"/>
    <s v="Positive"/>
    <s v="Accurate Prediction"/>
  </r>
  <r>
    <x v="3"/>
    <x v="97"/>
    <x v="4"/>
    <x v="15"/>
    <x v="139"/>
    <x v="201"/>
    <x v="337"/>
    <x v="2"/>
    <n v="1"/>
    <s v="Not Sampled"/>
    <n v="425"/>
    <m/>
    <m/>
    <m/>
    <m/>
    <m/>
    <m/>
    <m/>
    <m/>
    <s v="Positive"/>
    <s v="Not Sampled"/>
    <s v="Not Sampled"/>
  </r>
  <r>
    <x v="1"/>
    <x v="19"/>
    <x v="2"/>
    <x v="2"/>
    <x v="0"/>
    <x v="12"/>
    <x v="152"/>
    <x v="14"/>
    <n v="0"/>
    <s v="Not Sampled"/>
    <n v="426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427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n v="0"/>
    <n v="428"/>
    <m/>
    <m/>
    <m/>
    <m/>
    <m/>
    <m/>
    <m/>
    <m/>
    <s v="Negative"/>
    <s v="Negative"/>
    <s v="Accurate Prediction"/>
  </r>
  <r>
    <x v="2"/>
    <x v="50"/>
    <x v="1"/>
    <x v="14"/>
    <x v="105"/>
    <x v="145"/>
    <x v="1"/>
    <x v="33"/>
    <n v="1"/>
    <s v="Not Sampled"/>
    <n v="429"/>
    <m/>
    <m/>
    <m/>
    <m/>
    <m/>
    <m/>
    <m/>
    <m/>
    <s v="Positive"/>
    <s v="Not Sampled"/>
    <s v="Not Sampled"/>
  </r>
  <r>
    <x v="0"/>
    <x v="6"/>
    <x v="2"/>
    <x v="2"/>
    <x v="0"/>
    <x v="202"/>
    <x v="339"/>
    <x v="1"/>
    <n v="0"/>
    <s v="Not Sampled"/>
    <n v="430"/>
    <m/>
    <m/>
    <m/>
    <m/>
    <m/>
    <m/>
    <m/>
    <m/>
    <s v="Negative"/>
    <s v="Not Sampled"/>
    <s v="Not Sampled"/>
  </r>
  <r>
    <x v="5"/>
    <x v="9"/>
    <x v="10"/>
    <x v="41"/>
    <x v="108"/>
    <x v="25"/>
    <x v="7"/>
    <x v="19"/>
    <n v="0"/>
    <s v="Not Sampled"/>
    <n v="431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n v="0"/>
    <n v="432"/>
    <m/>
    <m/>
    <m/>
    <m/>
    <m/>
    <m/>
    <m/>
    <m/>
    <s v="Negative"/>
    <s v="Negative"/>
    <s v="Accurate Prediction"/>
  </r>
  <r>
    <x v="0"/>
    <x v="4"/>
    <x v="25"/>
    <x v="2"/>
    <x v="0"/>
    <x v="6"/>
    <x v="148"/>
    <x v="29"/>
    <n v="0"/>
    <s v="Not Sampled"/>
    <n v="433"/>
    <m/>
    <m/>
    <m/>
    <m/>
    <m/>
    <m/>
    <m/>
    <m/>
    <s v="Negative"/>
    <s v="Not Sampled"/>
    <s v="Not Sampled"/>
  </r>
  <r>
    <x v="2"/>
    <x v="30"/>
    <x v="3"/>
    <x v="47"/>
    <x v="0"/>
    <x v="203"/>
    <x v="340"/>
    <x v="31"/>
    <n v="0"/>
    <n v="0"/>
    <n v="434"/>
    <m/>
    <m/>
    <m/>
    <m/>
    <m/>
    <m/>
    <m/>
    <m/>
    <s v="Negative"/>
    <s v="Negative"/>
    <s v="Accurate Prediction"/>
  </r>
  <r>
    <x v="1"/>
    <x v="47"/>
    <x v="2"/>
    <x v="2"/>
    <x v="0"/>
    <x v="197"/>
    <x v="310"/>
    <x v="29"/>
    <n v="1"/>
    <n v="1"/>
    <n v="435"/>
    <m/>
    <m/>
    <m/>
    <m/>
    <m/>
    <m/>
    <m/>
    <m/>
    <s v="Positive"/>
    <s v="Positive"/>
    <s v="Accurate Prediction"/>
  </r>
  <r>
    <x v="10"/>
    <x v="98"/>
    <x v="23"/>
    <x v="12"/>
    <x v="0"/>
    <x v="83"/>
    <x v="168"/>
    <x v="17"/>
    <n v="0"/>
    <s v="Not Sampled"/>
    <n v="436"/>
    <m/>
    <m/>
    <m/>
    <m/>
    <m/>
    <m/>
    <m/>
    <m/>
    <s v="Negative"/>
    <s v="Not Sampled"/>
    <s v="Not Sampled"/>
  </r>
  <r>
    <x v="7"/>
    <x v="83"/>
    <x v="25"/>
    <x v="2"/>
    <x v="0"/>
    <x v="106"/>
    <x v="251"/>
    <x v="6"/>
    <n v="0"/>
    <s v="Not Sampled"/>
    <n v="437"/>
    <m/>
    <m/>
    <m/>
    <m/>
    <m/>
    <m/>
    <m/>
    <m/>
    <s v="Negative"/>
    <s v="Not Sampled"/>
    <s v="Not Sampled"/>
  </r>
  <r>
    <x v="2"/>
    <x v="75"/>
    <x v="9"/>
    <x v="11"/>
    <x v="0"/>
    <x v="198"/>
    <x v="341"/>
    <x v="4"/>
    <n v="0"/>
    <s v="Not Sampled"/>
    <n v="438"/>
    <m/>
    <m/>
    <m/>
    <m/>
    <m/>
    <m/>
    <m/>
    <m/>
    <s v="Negative"/>
    <s v="Not Sampled"/>
    <s v="Not Sampled"/>
  </r>
  <r>
    <x v="6"/>
    <x v="61"/>
    <x v="21"/>
    <x v="2"/>
    <x v="0"/>
    <x v="8"/>
    <x v="19"/>
    <x v="2"/>
    <n v="0"/>
    <s v="Not Sampled"/>
    <n v="439"/>
    <m/>
    <m/>
    <m/>
    <m/>
    <m/>
    <m/>
    <m/>
    <m/>
    <s v="Negative"/>
    <s v="Not Sampled"/>
    <s v="Not Sampled"/>
  </r>
  <r>
    <x v="1"/>
    <x v="115"/>
    <x v="35"/>
    <x v="14"/>
    <x v="0"/>
    <x v="82"/>
    <x v="342"/>
    <x v="17"/>
    <n v="1"/>
    <s v="Not Sampled"/>
    <n v="440"/>
    <m/>
    <m/>
    <m/>
    <m/>
    <m/>
    <m/>
    <m/>
    <m/>
    <s v="Positive"/>
    <s v="Not Sampled"/>
    <s v="Not Sampled"/>
  </r>
  <r>
    <x v="0"/>
    <x v="8"/>
    <x v="19"/>
    <x v="17"/>
    <x v="52"/>
    <x v="204"/>
    <x v="343"/>
    <x v="11"/>
    <n v="0"/>
    <s v="Not Sampled"/>
    <n v="441"/>
    <m/>
    <m/>
    <m/>
    <m/>
    <m/>
    <m/>
    <m/>
    <m/>
    <s v="Negative"/>
    <s v="Not Sampled"/>
    <s v="Not Sampled"/>
  </r>
  <r>
    <x v="3"/>
    <x v="17"/>
    <x v="11"/>
    <x v="21"/>
    <x v="77"/>
    <x v="34"/>
    <x v="344"/>
    <x v="3"/>
    <n v="0"/>
    <n v="0"/>
    <n v="442"/>
    <m/>
    <m/>
    <m/>
    <m/>
    <m/>
    <m/>
    <m/>
    <m/>
    <s v="Negative"/>
    <s v="Negative"/>
    <s v="Accurate Prediction"/>
  </r>
  <r>
    <x v="4"/>
    <x v="81"/>
    <x v="9"/>
    <x v="2"/>
    <x v="0"/>
    <x v="85"/>
    <x v="345"/>
    <x v="9"/>
    <n v="1"/>
    <s v="Not Sampled"/>
    <n v="443"/>
    <m/>
    <m/>
    <m/>
    <m/>
    <m/>
    <m/>
    <m/>
    <m/>
    <s v="Positive"/>
    <s v="Not Sampled"/>
    <s v="Not Sampled"/>
  </r>
  <r>
    <x v="3"/>
    <x v="17"/>
    <x v="0"/>
    <x v="39"/>
    <x v="0"/>
    <x v="27"/>
    <x v="222"/>
    <x v="13"/>
    <n v="1"/>
    <s v="Not Sampled"/>
    <n v="444"/>
    <m/>
    <m/>
    <m/>
    <m/>
    <m/>
    <m/>
    <m/>
    <m/>
    <s v="Positive"/>
    <s v="Not Sampled"/>
    <s v="Not Sampled"/>
  </r>
  <r>
    <x v="1"/>
    <x v="22"/>
    <x v="4"/>
    <x v="49"/>
    <x v="141"/>
    <x v="205"/>
    <x v="346"/>
    <x v="14"/>
    <n v="1"/>
    <s v="Not Sampled"/>
    <n v="445"/>
    <m/>
    <m/>
    <m/>
    <m/>
    <m/>
    <m/>
    <m/>
    <m/>
    <s v="Positive"/>
    <s v="Not Sampled"/>
    <s v="Not Sampled"/>
  </r>
  <r>
    <x v="2"/>
    <x v="45"/>
    <x v="5"/>
    <x v="39"/>
    <x v="19"/>
    <x v="159"/>
    <x v="347"/>
    <x v="6"/>
    <n v="0"/>
    <n v="0"/>
    <n v="446"/>
    <m/>
    <m/>
    <m/>
    <m/>
    <m/>
    <m/>
    <m/>
    <m/>
    <s v="Negative"/>
    <s v="Negative"/>
    <s v="Accurate Prediction"/>
  </r>
  <r>
    <x v="1"/>
    <x v="50"/>
    <x v="6"/>
    <x v="45"/>
    <x v="53"/>
    <x v="23"/>
    <x v="348"/>
    <x v="25"/>
    <n v="0"/>
    <n v="0"/>
    <n v="447"/>
    <m/>
    <m/>
    <m/>
    <m/>
    <m/>
    <m/>
    <m/>
    <m/>
    <s v="Negative"/>
    <s v="Negative"/>
    <s v="Accurate Prediction"/>
  </r>
  <r>
    <x v="1"/>
    <x v="88"/>
    <x v="11"/>
    <x v="18"/>
    <x v="36"/>
    <x v="0"/>
    <x v="349"/>
    <x v="11"/>
    <n v="1"/>
    <s v="Not Sampled"/>
    <n v="448"/>
    <m/>
    <m/>
    <m/>
    <m/>
    <m/>
    <m/>
    <m/>
    <m/>
    <s v="Positive"/>
    <s v="Not Sampled"/>
    <s v="Not Sampled"/>
  </r>
  <r>
    <x v="1"/>
    <x v="24"/>
    <x v="10"/>
    <x v="10"/>
    <x v="55"/>
    <x v="85"/>
    <x v="350"/>
    <x v="25"/>
    <n v="0"/>
    <s v="Not Sampled"/>
    <n v="449"/>
    <m/>
    <m/>
    <m/>
    <m/>
    <m/>
    <m/>
    <m/>
    <m/>
    <s v="Negative"/>
    <s v="Not Sampled"/>
    <s v="Not Sampled"/>
  </r>
  <r>
    <x v="2"/>
    <x v="118"/>
    <x v="11"/>
    <x v="27"/>
    <x v="142"/>
    <x v="206"/>
    <x v="351"/>
    <x v="1"/>
    <n v="0"/>
    <s v="Not Sampled"/>
    <n v="450"/>
    <m/>
    <m/>
    <m/>
    <m/>
    <m/>
    <m/>
    <m/>
    <m/>
    <s v="Negative"/>
    <s v="Not Sampled"/>
    <s v="Not Sampled"/>
  </r>
  <r>
    <x v="0"/>
    <x v="63"/>
    <x v="9"/>
    <x v="2"/>
    <x v="0"/>
    <x v="11"/>
    <x v="157"/>
    <x v="1"/>
    <n v="1"/>
    <s v="Not Sampled"/>
    <n v="451"/>
    <m/>
    <m/>
    <m/>
    <m/>
    <m/>
    <m/>
    <m/>
    <m/>
    <s v="Positive"/>
    <s v="Not Sampled"/>
    <s v="Not Sampled"/>
  </r>
  <r>
    <x v="1"/>
    <x v="25"/>
    <x v="3"/>
    <x v="5"/>
    <x v="14"/>
    <x v="180"/>
    <x v="352"/>
    <x v="14"/>
    <n v="0"/>
    <s v="Not Sampled"/>
    <n v="452"/>
    <m/>
    <m/>
    <m/>
    <m/>
    <m/>
    <m/>
    <m/>
    <m/>
    <s v="Negative"/>
    <s v="Not Sampled"/>
    <s v="Not Sampled"/>
  </r>
  <r>
    <x v="0"/>
    <x v="93"/>
    <x v="2"/>
    <x v="2"/>
    <x v="0"/>
    <x v="58"/>
    <x v="353"/>
    <x v="46"/>
    <n v="0"/>
    <n v="0"/>
    <n v="453"/>
    <m/>
    <m/>
    <m/>
    <m/>
    <m/>
    <m/>
    <m/>
    <m/>
    <s v="Negative"/>
    <s v="Negative"/>
    <s v="Accurate Prediction"/>
  </r>
  <r>
    <x v="0"/>
    <x v="45"/>
    <x v="14"/>
    <x v="7"/>
    <x v="16"/>
    <x v="136"/>
    <x v="354"/>
    <x v="3"/>
    <n v="0"/>
    <s v="Not Sampled"/>
    <n v="454"/>
    <m/>
    <m/>
    <m/>
    <m/>
    <m/>
    <m/>
    <m/>
    <m/>
    <s v="Negative"/>
    <s v="Not Sampled"/>
    <s v="Not Sampled"/>
  </r>
  <r>
    <x v="16"/>
    <x v="122"/>
    <x v="0"/>
    <x v="8"/>
    <x v="0"/>
    <x v="0"/>
    <x v="355"/>
    <x v="19"/>
    <n v="1"/>
    <s v="Not Sampled"/>
    <n v="455"/>
    <m/>
    <m/>
    <m/>
    <m/>
    <m/>
    <m/>
    <m/>
    <m/>
    <s v="Positive"/>
    <s v="Not Sampled"/>
    <s v="Not Sampled"/>
  </r>
  <r>
    <x v="2"/>
    <x v="3"/>
    <x v="14"/>
    <x v="2"/>
    <x v="0"/>
    <x v="207"/>
    <x v="140"/>
    <x v="38"/>
    <n v="0"/>
    <s v="Not Sampled"/>
    <n v="456"/>
    <m/>
    <m/>
    <m/>
    <m/>
    <m/>
    <m/>
    <m/>
    <m/>
    <s v="Negative"/>
    <s v="Not Sampled"/>
    <s v="Not Sampled"/>
  </r>
  <r>
    <x v="7"/>
    <x v="103"/>
    <x v="3"/>
    <x v="7"/>
    <x v="10"/>
    <x v="208"/>
    <x v="356"/>
    <x v="3"/>
    <n v="0"/>
    <s v="Not Sampled"/>
    <n v="457"/>
    <m/>
    <m/>
    <m/>
    <m/>
    <m/>
    <m/>
    <m/>
    <m/>
    <s v="Negative"/>
    <s v="Not Sampled"/>
    <s v="Not Sampled"/>
  </r>
  <r>
    <x v="9"/>
    <x v="89"/>
    <x v="16"/>
    <x v="46"/>
    <x v="143"/>
    <x v="209"/>
    <x v="357"/>
    <x v="42"/>
    <n v="1"/>
    <s v="Not Sampled"/>
    <n v="458"/>
    <m/>
    <m/>
    <m/>
    <m/>
    <m/>
    <m/>
    <m/>
    <m/>
    <s v="Positive"/>
    <s v="Not Sampled"/>
    <s v="Not Sampled"/>
  </r>
  <r>
    <x v="11"/>
    <x v="63"/>
    <x v="10"/>
    <x v="12"/>
    <x v="140"/>
    <x v="151"/>
    <x v="358"/>
    <x v="47"/>
    <n v="0"/>
    <s v="Not Sampled"/>
    <n v="459"/>
    <m/>
    <m/>
    <m/>
    <m/>
    <m/>
    <m/>
    <m/>
    <m/>
    <s v="Negative"/>
    <s v="Not Sampled"/>
    <s v="Not Sampled"/>
  </r>
  <r>
    <x v="11"/>
    <x v="24"/>
    <x v="5"/>
    <x v="29"/>
    <x v="79"/>
    <x v="163"/>
    <x v="359"/>
    <x v="27"/>
    <n v="0"/>
    <s v="Not Sampled"/>
    <n v="460"/>
    <m/>
    <m/>
    <m/>
    <m/>
    <m/>
    <m/>
    <m/>
    <m/>
    <s v="Negative"/>
    <s v="Not Sampled"/>
    <s v="Not Sampled"/>
  </r>
  <r>
    <x v="2"/>
    <x v="37"/>
    <x v="0"/>
    <x v="2"/>
    <x v="0"/>
    <x v="181"/>
    <x v="360"/>
    <x v="25"/>
    <n v="0"/>
    <s v="Not Sampled"/>
    <n v="461"/>
    <m/>
    <m/>
    <m/>
    <m/>
    <m/>
    <m/>
    <m/>
    <m/>
    <s v="Negative"/>
    <s v="Not Sampled"/>
    <s v="Not Sampled"/>
  </r>
  <r>
    <x v="4"/>
    <x v="58"/>
    <x v="9"/>
    <x v="32"/>
    <x v="51"/>
    <x v="186"/>
    <x v="361"/>
    <x v="16"/>
    <n v="0"/>
    <s v="Not Sampled"/>
    <n v="462"/>
    <m/>
    <m/>
    <m/>
    <m/>
    <m/>
    <m/>
    <m/>
    <m/>
    <s v="Negative"/>
    <s v="Not Sampled"/>
    <s v="Not Sampled"/>
  </r>
  <r>
    <x v="7"/>
    <x v="40"/>
    <x v="4"/>
    <x v="8"/>
    <x v="0"/>
    <x v="32"/>
    <x v="61"/>
    <x v="26"/>
    <n v="0"/>
    <s v="Not Sampled"/>
    <n v="463"/>
    <m/>
    <m/>
    <m/>
    <m/>
    <m/>
    <m/>
    <m/>
    <m/>
    <s v="Negative"/>
    <s v="Not Sampled"/>
    <s v="Not Sampled"/>
  </r>
  <r>
    <x v="9"/>
    <x v="109"/>
    <x v="34"/>
    <x v="2"/>
    <x v="0"/>
    <x v="33"/>
    <x v="362"/>
    <x v="34"/>
    <n v="0"/>
    <n v="0"/>
    <n v="464"/>
    <m/>
    <m/>
    <m/>
    <m/>
    <m/>
    <m/>
    <m/>
    <m/>
    <s v="Negative"/>
    <s v="Negative"/>
    <s v="Accurate Prediction"/>
  </r>
  <r>
    <x v="1"/>
    <x v="73"/>
    <x v="20"/>
    <x v="27"/>
    <x v="16"/>
    <x v="181"/>
    <x v="117"/>
    <x v="4"/>
    <n v="0"/>
    <s v="Not Sampled"/>
    <n v="465"/>
    <m/>
    <m/>
    <m/>
    <m/>
    <m/>
    <m/>
    <m/>
    <m/>
    <s v="Negative"/>
    <s v="Not Sampled"/>
    <s v="Not Sampled"/>
  </r>
  <r>
    <x v="1"/>
    <x v="58"/>
    <x v="33"/>
    <x v="25"/>
    <x v="22"/>
    <x v="157"/>
    <x v="363"/>
    <x v="11"/>
    <n v="0"/>
    <s v="Not Sampled"/>
    <n v="466"/>
    <m/>
    <m/>
    <m/>
    <m/>
    <m/>
    <m/>
    <m/>
    <m/>
    <s v="Negative"/>
    <s v="Not Sampled"/>
    <s v="Not Sampled"/>
  </r>
  <r>
    <x v="1"/>
    <x v="75"/>
    <x v="11"/>
    <x v="35"/>
    <x v="31"/>
    <x v="8"/>
    <x v="364"/>
    <x v="14"/>
    <n v="0"/>
    <s v="Not Sampled"/>
    <n v="467"/>
    <m/>
    <m/>
    <m/>
    <m/>
    <m/>
    <m/>
    <m/>
    <m/>
    <s v="Negative"/>
    <s v="Not Sampled"/>
    <s v="Not Sampled"/>
  </r>
  <r>
    <x v="4"/>
    <x v="24"/>
    <x v="2"/>
    <x v="2"/>
    <x v="0"/>
    <x v="135"/>
    <x v="365"/>
    <x v="19"/>
    <n v="1"/>
    <s v="Not Sampled"/>
    <n v="468"/>
    <m/>
    <m/>
    <m/>
    <m/>
    <m/>
    <m/>
    <m/>
    <m/>
    <s v="Positive"/>
    <s v="Not Sampled"/>
    <s v="Not Sampled"/>
  </r>
  <r>
    <x v="6"/>
    <x v="16"/>
    <x v="4"/>
    <x v="4"/>
    <x v="32"/>
    <x v="210"/>
    <x v="366"/>
    <x v="23"/>
    <n v="0"/>
    <s v="Not Sampled"/>
    <n v="469"/>
    <m/>
    <m/>
    <m/>
    <m/>
    <m/>
    <m/>
    <m/>
    <m/>
    <s v="Negative"/>
    <s v="Not Sampled"/>
    <s v="Not Sampled"/>
  </r>
  <r>
    <x v="2"/>
    <x v="65"/>
    <x v="1"/>
    <x v="32"/>
    <x v="0"/>
    <x v="211"/>
    <x v="367"/>
    <x v="6"/>
    <n v="0"/>
    <s v="Not Sampled"/>
    <n v="470"/>
    <m/>
    <m/>
    <m/>
    <m/>
    <m/>
    <m/>
    <m/>
    <m/>
    <s v="Negative"/>
    <s v="Not Sampled"/>
    <s v="Not Sampled"/>
  </r>
  <r>
    <x v="1"/>
    <x v="59"/>
    <x v="9"/>
    <x v="9"/>
    <x v="0"/>
    <x v="34"/>
    <x v="368"/>
    <x v="11"/>
    <n v="0"/>
    <s v="Not Sampled"/>
    <n v="471"/>
    <m/>
    <m/>
    <m/>
    <m/>
    <m/>
    <m/>
    <m/>
    <m/>
    <s v="Negative"/>
    <s v="Not Sampled"/>
    <s v="Not Sampled"/>
  </r>
  <r>
    <x v="1"/>
    <x v="93"/>
    <x v="19"/>
    <x v="21"/>
    <x v="0"/>
    <x v="212"/>
    <x v="247"/>
    <x v="11"/>
    <n v="0"/>
    <s v="Not Sampled"/>
    <n v="472"/>
    <m/>
    <m/>
    <m/>
    <m/>
    <m/>
    <m/>
    <m/>
    <m/>
    <s v="Negative"/>
    <s v="Not Sampled"/>
    <s v="Not Sampled"/>
  </r>
  <r>
    <x v="8"/>
    <x v="60"/>
    <x v="8"/>
    <x v="2"/>
    <x v="0"/>
    <x v="106"/>
    <x v="369"/>
    <x v="48"/>
    <n v="0"/>
    <s v="Not Sampled"/>
    <n v="473"/>
    <m/>
    <m/>
    <m/>
    <m/>
    <m/>
    <m/>
    <m/>
    <m/>
    <s v="Negative"/>
    <s v="Not Sampled"/>
    <s v="Not Sampled"/>
  </r>
  <r>
    <x v="3"/>
    <x v="48"/>
    <x v="11"/>
    <x v="2"/>
    <x v="0"/>
    <x v="11"/>
    <x v="370"/>
    <x v="3"/>
    <n v="0"/>
    <s v="Not Sampled"/>
    <n v="474"/>
    <m/>
    <m/>
    <m/>
    <m/>
    <m/>
    <m/>
    <m/>
    <m/>
    <s v="Negative"/>
    <s v="Not Sampled"/>
    <s v="Not Sampled"/>
  </r>
  <r>
    <x v="1"/>
    <x v="59"/>
    <x v="16"/>
    <x v="21"/>
    <x v="0"/>
    <x v="30"/>
    <x v="70"/>
    <x v="45"/>
    <n v="0"/>
    <s v="Not Sampled"/>
    <n v="475"/>
    <m/>
    <m/>
    <m/>
    <m/>
    <m/>
    <m/>
    <m/>
    <m/>
    <s v="Negative"/>
    <s v="Not Sampled"/>
    <s v="Not Sampled"/>
  </r>
  <r>
    <x v="0"/>
    <x v="38"/>
    <x v="6"/>
    <x v="45"/>
    <x v="144"/>
    <x v="47"/>
    <x v="371"/>
    <x v="29"/>
    <n v="1"/>
    <s v="Not Sampled"/>
    <n v="476"/>
    <m/>
    <m/>
    <m/>
    <m/>
    <m/>
    <m/>
    <m/>
    <m/>
    <s v="Positive"/>
    <s v="Not Sampled"/>
    <s v="Not Sampled"/>
  </r>
  <r>
    <x v="8"/>
    <x v="48"/>
    <x v="15"/>
    <x v="6"/>
    <x v="27"/>
    <x v="74"/>
    <x v="372"/>
    <x v="2"/>
    <n v="0"/>
    <s v="Not Sampled"/>
    <n v="477"/>
    <m/>
    <m/>
    <m/>
    <m/>
    <m/>
    <m/>
    <m/>
    <m/>
    <s v="Negative"/>
    <s v="Not Sampled"/>
    <s v="Not Sampled"/>
  </r>
  <r>
    <x v="4"/>
    <x v="51"/>
    <x v="10"/>
    <x v="9"/>
    <x v="96"/>
    <x v="151"/>
    <x v="373"/>
    <x v="16"/>
    <n v="0"/>
    <n v="0"/>
    <n v="478"/>
    <m/>
    <m/>
    <m/>
    <m/>
    <m/>
    <m/>
    <m/>
    <m/>
    <s v="Negative"/>
    <s v="Negative"/>
    <s v="Accurate Prediction"/>
  </r>
  <r>
    <x v="3"/>
    <x v="77"/>
    <x v="24"/>
    <x v="1"/>
    <x v="0"/>
    <x v="43"/>
    <x v="374"/>
    <x v="44"/>
    <n v="0"/>
    <s v="Not Sampled"/>
    <n v="479"/>
    <m/>
    <m/>
    <m/>
    <m/>
    <m/>
    <m/>
    <m/>
    <m/>
    <s v="Negative"/>
    <s v="Not Sampled"/>
    <s v="Not Sampled"/>
  </r>
  <r>
    <x v="5"/>
    <x v="95"/>
    <x v="9"/>
    <x v="8"/>
    <x v="145"/>
    <x v="130"/>
    <x v="46"/>
    <x v="20"/>
    <n v="1"/>
    <n v="1"/>
    <n v="480"/>
    <m/>
    <m/>
    <m/>
    <m/>
    <m/>
    <m/>
    <m/>
    <m/>
    <s v="Positive"/>
    <s v="Positive"/>
    <s v="Accurate Prediction"/>
  </r>
  <r>
    <x v="1"/>
    <x v="62"/>
    <x v="21"/>
    <x v="18"/>
    <x v="0"/>
    <x v="213"/>
    <x v="269"/>
    <x v="29"/>
    <n v="0"/>
    <s v="Not Sampled"/>
    <n v="481"/>
    <m/>
    <m/>
    <m/>
    <m/>
    <m/>
    <m/>
    <m/>
    <m/>
    <s v="Negative"/>
    <s v="Not Sampled"/>
    <s v="Not Sampled"/>
  </r>
  <r>
    <x v="3"/>
    <x v="69"/>
    <x v="22"/>
    <x v="29"/>
    <x v="51"/>
    <x v="157"/>
    <x v="296"/>
    <x v="6"/>
    <n v="0"/>
    <s v="Not Sampled"/>
    <n v="482"/>
    <m/>
    <m/>
    <m/>
    <m/>
    <m/>
    <m/>
    <m/>
    <m/>
    <s v="Negative"/>
    <s v="Not Sampled"/>
    <s v="Not Sampled"/>
  </r>
  <r>
    <x v="1"/>
    <x v="1"/>
    <x v="1"/>
    <x v="1"/>
    <x v="1"/>
    <x v="1"/>
    <x v="1"/>
    <x v="1"/>
    <n v="0"/>
    <s v="Not Sampled"/>
    <n v="483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484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s v="Not Sampled"/>
    <n v="485"/>
    <m/>
    <m/>
    <m/>
    <m/>
    <m/>
    <m/>
    <m/>
    <m/>
    <s v="Positive"/>
    <s v="Not Sampled"/>
    <s v="Not Sampled"/>
  </r>
  <r>
    <x v="2"/>
    <x v="4"/>
    <x v="0"/>
    <x v="4"/>
    <x v="3"/>
    <x v="4"/>
    <x v="4"/>
    <x v="4"/>
    <n v="0"/>
    <n v="0"/>
    <n v="486"/>
    <m/>
    <m/>
    <m/>
    <m/>
    <m/>
    <m/>
    <m/>
    <m/>
    <s v="Negative"/>
    <s v="Negative"/>
    <s v="Accurate Prediction"/>
  </r>
  <r>
    <x v="1"/>
    <x v="5"/>
    <x v="4"/>
    <x v="5"/>
    <x v="4"/>
    <x v="5"/>
    <x v="5"/>
    <x v="5"/>
    <n v="0"/>
    <s v="Not Sampled"/>
    <n v="487"/>
    <m/>
    <m/>
    <m/>
    <m/>
    <m/>
    <m/>
    <m/>
    <m/>
    <s v="Negative"/>
    <s v="Not Sampled"/>
    <s v="Not Sampled"/>
  </r>
  <r>
    <x v="3"/>
    <x v="6"/>
    <x v="5"/>
    <x v="6"/>
    <x v="0"/>
    <x v="6"/>
    <x v="6"/>
    <x v="6"/>
    <n v="0"/>
    <s v="Not Sampled"/>
    <n v="488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s v="Not Sampled"/>
    <n v="489"/>
    <m/>
    <m/>
    <m/>
    <m/>
    <m/>
    <m/>
    <m/>
    <m/>
    <s v="Negative"/>
    <s v="Not Sampled"/>
    <s v="Not Sampled"/>
  </r>
  <r>
    <x v="0"/>
    <x v="8"/>
    <x v="7"/>
    <x v="7"/>
    <x v="5"/>
    <x v="8"/>
    <x v="8"/>
    <x v="3"/>
    <n v="0"/>
    <s v="Not Sampled"/>
    <n v="490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491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492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s v="Not Sampled"/>
    <n v="493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494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495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s v="Not Sampled"/>
    <n v="496"/>
    <m/>
    <m/>
    <m/>
    <m/>
    <m/>
    <m/>
    <m/>
    <m/>
    <s v="Negative"/>
    <s v="Not Sampled"/>
    <s v="Not Sampled"/>
  </r>
  <r>
    <x v="0"/>
    <x v="14"/>
    <x v="5"/>
    <x v="11"/>
    <x v="7"/>
    <x v="15"/>
    <x v="14"/>
    <x v="14"/>
    <n v="0"/>
    <s v="Not Sampled"/>
    <n v="497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498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s v="Not Sampled"/>
    <n v="499"/>
    <m/>
    <m/>
    <m/>
    <m/>
    <m/>
    <m/>
    <m/>
    <m/>
    <s v="Negative"/>
    <s v="Not Sampled"/>
    <s v="Not Sampled"/>
  </r>
  <r>
    <x v="0"/>
    <x v="17"/>
    <x v="8"/>
    <x v="13"/>
    <x v="10"/>
    <x v="18"/>
    <x v="17"/>
    <x v="4"/>
    <n v="0"/>
    <s v="Not Sampled"/>
    <n v="500"/>
    <m/>
    <m/>
    <m/>
    <m/>
    <m/>
    <m/>
    <m/>
    <m/>
    <s v="Negative"/>
    <s v="Not Sampled"/>
    <s v="Not Sampled"/>
  </r>
  <r>
    <x v="5"/>
    <x v="1"/>
    <x v="5"/>
    <x v="5"/>
    <x v="0"/>
    <x v="19"/>
    <x v="18"/>
    <x v="6"/>
    <n v="0"/>
    <s v="Not Sampled"/>
    <n v="501"/>
    <m/>
    <m/>
    <m/>
    <m/>
    <m/>
    <m/>
    <m/>
    <m/>
    <s v="Negative"/>
    <s v="Not Sampled"/>
    <s v="Not Sampled"/>
  </r>
  <r>
    <x v="6"/>
    <x v="18"/>
    <x v="3"/>
    <x v="4"/>
    <x v="0"/>
    <x v="20"/>
    <x v="19"/>
    <x v="17"/>
    <n v="1"/>
    <s v="Not Sampled"/>
    <n v="502"/>
    <m/>
    <m/>
    <m/>
    <m/>
    <m/>
    <m/>
    <m/>
    <m/>
    <s v="Positive"/>
    <s v="Not Sampled"/>
    <s v="Not Sampled"/>
  </r>
  <r>
    <x v="8"/>
    <x v="19"/>
    <x v="11"/>
    <x v="14"/>
    <x v="11"/>
    <x v="21"/>
    <x v="20"/>
    <x v="17"/>
    <n v="0"/>
    <s v="Not Sampled"/>
    <n v="503"/>
    <m/>
    <m/>
    <m/>
    <m/>
    <m/>
    <m/>
    <m/>
    <m/>
    <s v="Negative"/>
    <s v="Not Sampled"/>
    <s v="Not Sampled"/>
  </r>
  <r>
    <x v="5"/>
    <x v="20"/>
    <x v="4"/>
    <x v="15"/>
    <x v="0"/>
    <x v="22"/>
    <x v="21"/>
    <x v="18"/>
    <n v="0"/>
    <s v="Not Sampled"/>
    <n v="504"/>
    <m/>
    <m/>
    <m/>
    <m/>
    <m/>
    <m/>
    <m/>
    <m/>
    <s v="Negative"/>
    <s v="Not Sampled"/>
    <s v="Not Sampled"/>
  </r>
  <r>
    <x v="9"/>
    <x v="21"/>
    <x v="1"/>
    <x v="2"/>
    <x v="0"/>
    <x v="21"/>
    <x v="22"/>
    <x v="19"/>
    <n v="0"/>
    <s v="Not Sampled"/>
    <n v="505"/>
    <m/>
    <m/>
    <m/>
    <m/>
    <m/>
    <m/>
    <m/>
    <m/>
    <s v="Negative"/>
    <s v="Not Sampled"/>
    <s v="Not Sampled"/>
  </r>
  <r>
    <x v="1"/>
    <x v="22"/>
    <x v="8"/>
    <x v="16"/>
    <x v="12"/>
    <x v="23"/>
    <x v="23"/>
    <x v="20"/>
    <n v="1"/>
    <s v="Not Sampled"/>
    <n v="506"/>
    <m/>
    <m/>
    <m/>
    <m/>
    <m/>
    <m/>
    <m/>
    <m/>
    <s v="Positive"/>
    <s v="Not Sampled"/>
    <s v="Not Sampled"/>
  </r>
  <r>
    <x v="2"/>
    <x v="23"/>
    <x v="12"/>
    <x v="17"/>
    <x v="13"/>
    <x v="24"/>
    <x v="24"/>
    <x v="4"/>
    <n v="0"/>
    <n v="0"/>
    <n v="507"/>
    <m/>
    <m/>
    <m/>
    <m/>
    <m/>
    <m/>
    <m/>
    <m/>
    <s v="Negative"/>
    <s v="Negative"/>
    <s v="Accurate Prediction"/>
  </r>
  <r>
    <x v="0"/>
    <x v="1"/>
    <x v="13"/>
    <x v="17"/>
    <x v="7"/>
    <x v="25"/>
    <x v="25"/>
    <x v="4"/>
    <n v="0"/>
    <s v="Not Sampled"/>
    <n v="508"/>
    <m/>
    <m/>
    <m/>
    <m/>
    <m/>
    <m/>
    <m/>
    <m/>
    <s v="Negative"/>
    <s v="Not Sampled"/>
    <s v="Not Sampled"/>
  </r>
  <r>
    <x v="4"/>
    <x v="24"/>
    <x v="4"/>
    <x v="2"/>
    <x v="0"/>
    <x v="26"/>
    <x v="26"/>
    <x v="21"/>
    <n v="0"/>
    <s v="Not Sampled"/>
    <n v="509"/>
    <m/>
    <m/>
    <m/>
    <m/>
    <m/>
    <m/>
    <m/>
    <m/>
    <s v="Negative"/>
    <s v="Not Sampled"/>
    <s v="Not Sampled"/>
  </r>
  <r>
    <x v="10"/>
    <x v="1"/>
    <x v="5"/>
    <x v="1"/>
    <x v="0"/>
    <x v="27"/>
    <x v="27"/>
    <x v="22"/>
    <n v="1"/>
    <n v="0"/>
    <n v="510"/>
    <m/>
    <m/>
    <m/>
    <m/>
    <m/>
    <m/>
    <m/>
    <m/>
    <s v="Positive"/>
    <s v="Negative"/>
    <s v="Inaccurate Prediction"/>
  </r>
  <r>
    <x v="1"/>
    <x v="4"/>
    <x v="0"/>
    <x v="6"/>
    <x v="14"/>
    <x v="28"/>
    <x v="28"/>
    <x v="4"/>
    <n v="0"/>
    <s v="Not Sampled"/>
    <n v="511"/>
    <m/>
    <m/>
    <m/>
    <m/>
    <m/>
    <m/>
    <m/>
    <m/>
    <s v="Negative"/>
    <s v="Not Sampled"/>
    <s v="Not Sampled"/>
  </r>
  <r>
    <x v="11"/>
    <x v="25"/>
    <x v="3"/>
    <x v="2"/>
    <x v="0"/>
    <x v="29"/>
    <x v="29"/>
    <x v="5"/>
    <n v="0"/>
    <n v="0"/>
    <n v="512"/>
    <m/>
    <m/>
    <m/>
    <m/>
    <m/>
    <m/>
    <m/>
    <m/>
    <s v="Negative"/>
    <s v="Negative"/>
    <s v="Accurate Prediction"/>
  </r>
  <r>
    <x v="0"/>
    <x v="25"/>
    <x v="0"/>
    <x v="2"/>
    <x v="0"/>
    <x v="30"/>
    <x v="30"/>
    <x v="11"/>
    <n v="0"/>
    <s v="Not Sampled"/>
    <n v="513"/>
    <m/>
    <m/>
    <m/>
    <m/>
    <m/>
    <m/>
    <m/>
    <m/>
    <s v="Negative"/>
    <s v="Not Sampled"/>
    <s v="Not Sampled"/>
  </r>
  <r>
    <x v="5"/>
    <x v="6"/>
    <x v="14"/>
    <x v="13"/>
    <x v="15"/>
    <x v="6"/>
    <x v="31"/>
    <x v="3"/>
    <n v="0"/>
    <s v="Not Sampled"/>
    <n v="514"/>
    <m/>
    <m/>
    <m/>
    <m/>
    <m/>
    <m/>
    <m/>
    <m/>
    <s v="Negative"/>
    <s v="Not Sampled"/>
    <s v="Not Sampled"/>
  </r>
  <r>
    <x v="5"/>
    <x v="26"/>
    <x v="9"/>
    <x v="10"/>
    <x v="16"/>
    <x v="31"/>
    <x v="32"/>
    <x v="6"/>
    <n v="1"/>
    <s v="Not Sampled"/>
    <n v="515"/>
    <m/>
    <m/>
    <m/>
    <m/>
    <m/>
    <m/>
    <m/>
    <m/>
    <s v="Positive"/>
    <s v="Not Sampled"/>
    <s v="Not Sampled"/>
  </r>
  <r>
    <x v="11"/>
    <x v="2"/>
    <x v="21"/>
    <x v="24"/>
    <x v="134"/>
    <x v="214"/>
    <x v="375"/>
    <x v="49"/>
    <n v="1"/>
    <s v="Not Sampled"/>
    <n v="516"/>
    <m/>
    <m/>
    <m/>
    <m/>
    <m/>
    <m/>
    <m/>
    <m/>
    <s v="Positive"/>
    <s v="Not Sampled"/>
    <s v="Not Sampled"/>
  </r>
  <r>
    <x v="8"/>
    <x v="10"/>
    <x v="24"/>
    <x v="2"/>
    <x v="0"/>
    <x v="209"/>
    <x v="13"/>
    <x v="42"/>
    <n v="0"/>
    <s v="Not Sampled"/>
    <n v="517"/>
    <m/>
    <m/>
    <m/>
    <m/>
    <m/>
    <m/>
    <m/>
    <m/>
    <s v="Negative"/>
    <s v="Not Sampled"/>
    <s v="Not Sampled"/>
  </r>
  <r>
    <x v="13"/>
    <x v="71"/>
    <x v="12"/>
    <x v="2"/>
    <x v="0"/>
    <x v="10"/>
    <x v="156"/>
    <x v="17"/>
    <n v="0"/>
    <s v="Not Sampled"/>
    <n v="518"/>
    <m/>
    <m/>
    <m/>
    <m/>
    <m/>
    <m/>
    <m/>
    <m/>
    <s v="Negative"/>
    <s v="Not Sampled"/>
    <s v="Not Sampled"/>
  </r>
  <r>
    <x v="6"/>
    <x v="52"/>
    <x v="8"/>
    <x v="42"/>
    <x v="146"/>
    <x v="58"/>
    <x v="213"/>
    <x v="35"/>
    <n v="0"/>
    <s v="Not Sampled"/>
    <n v="519"/>
    <m/>
    <m/>
    <m/>
    <m/>
    <m/>
    <m/>
    <m/>
    <m/>
    <s v="Negative"/>
    <s v="Not Sampled"/>
    <s v="Not Sampled"/>
  </r>
  <r>
    <x v="0"/>
    <x v="123"/>
    <x v="9"/>
    <x v="5"/>
    <x v="5"/>
    <x v="26"/>
    <x v="179"/>
    <x v="14"/>
    <n v="0"/>
    <s v="Not Sampled"/>
    <n v="520"/>
    <m/>
    <m/>
    <m/>
    <m/>
    <m/>
    <m/>
    <m/>
    <m/>
    <s v="Negative"/>
    <s v="Not Sampled"/>
    <s v="Not Sampled"/>
  </r>
  <r>
    <x v="5"/>
    <x v="73"/>
    <x v="6"/>
    <x v="12"/>
    <x v="66"/>
    <x v="34"/>
    <x v="47"/>
    <x v="25"/>
    <n v="0"/>
    <s v="Not Sampled"/>
    <n v="521"/>
    <m/>
    <m/>
    <m/>
    <m/>
    <m/>
    <m/>
    <m/>
    <m/>
    <s v="Negative"/>
    <s v="Not Sampled"/>
    <s v="Not Sampled"/>
  </r>
  <r>
    <x v="6"/>
    <x v="48"/>
    <x v="2"/>
    <x v="2"/>
    <x v="0"/>
    <x v="12"/>
    <x v="66"/>
    <x v="25"/>
    <n v="0"/>
    <s v="Not Sampled"/>
    <n v="522"/>
    <m/>
    <m/>
    <m/>
    <m/>
    <m/>
    <m/>
    <m/>
    <m/>
    <s v="Negative"/>
    <s v="Not Sampled"/>
    <s v="Not Sampled"/>
  </r>
  <r>
    <x v="11"/>
    <x v="23"/>
    <x v="9"/>
    <x v="2"/>
    <x v="0"/>
    <x v="89"/>
    <x v="204"/>
    <x v="10"/>
    <n v="1"/>
    <s v="Not Sampled"/>
    <n v="523"/>
    <m/>
    <m/>
    <m/>
    <m/>
    <m/>
    <m/>
    <m/>
    <m/>
    <s v="Positive"/>
    <s v="Not Sampled"/>
    <s v="Not Sampled"/>
  </r>
  <r>
    <x v="5"/>
    <x v="10"/>
    <x v="22"/>
    <x v="2"/>
    <x v="0"/>
    <x v="31"/>
    <x v="187"/>
    <x v="3"/>
    <n v="0"/>
    <s v="Not Sampled"/>
    <n v="524"/>
    <m/>
    <m/>
    <m/>
    <m/>
    <m/>
    <m/>
    <m/>
    <m/>
    <s v="Negative"/>
    <s v="Not Sampled"/>
    <s v="Not Sampled"/>
  </r>
  <r>
    <x v="5"/>
    <x v="90"/>
    <x v="12"/>
    <x v="10"/>
    <x v="0"/>
    <x v="181"/>
    <x v="314"/>
    <x v="4"/>
    <n v="0"/>
    <n v="0"/>
    <n v="525"/>
    <m/>
    <m/>
    <m/>
    <m/>
    <m/>
    <m/>
    <m/>
    <m/>
    <s v="Negative"/>
    <s v="Negative"/>
    <s v="Accurate Prediction"/>
  </r>
  <r>
    <x v="2"/>
    <x v="75"/>
    <x v="11"/>
    <x v="13"/>
    <x v="21"/>
    <x v="198"/>
    <x v="167"/>
    <x v="4"/>
    <n v="0"/>
    <s v="Not Sampled"/>
    <n v="526"/>
    <m/>
    <m/>
    <m/>
    <m/>
    <m/>
    <m/>
    <m/>
    <m/>
    <s v="Negative"/>
    <s v="Not Sampled"/>
    <s v="Not Sampled"/>
  </r>
  <r>
    <x v="5"/>
    <x v="113"/>
    <x v="10"/>
    <x v="11"/>
    <x v="16"/>
    <x v="215"/>
    <x v="376"/>
    <x v="3"/>
    <n v="0"/>
    <n v="0"/>
    <n v="527"/>
    <m/>
    <m/>
    <m/>
    <m/>
    <m/>
    <m/>
    <m/>
    <m/>
    <s v="Negative"/>
    <s v="Negative"/>
    <s v="Accurate Prediction"/>
  </r>
  <r>
    <x v="1"/>
    <x v="17"/>
    <x v="19"/>
    <x v="1"/>
    <x v="147"/>
    <x v="98"/>
    <x v="377"/>
    <x v="11"/>
    <n v="0"/>
    <s v="Not Sampled"/>
    <n v="528"/>
    <m/>
    <m/>
    <m/>
    <m/>
    <m/>
    <m/>
    <m/>
    <m/>
    <s v="Negative"/>
    <s v="Not Sampled"/>
    <s v="Not Sampled"/>
  </r>
  <r>
    <x v="1"/>
    <x v="31"/>
    <x v="7"/>
    <x v="2"/>
    <x v="0"/>
    <x v="66"/>
    <x v="311"/>
    <x v="2"/>
    <n v="0"/>
    <s v="Not Sampled"/>
    <n v="529"/>
    <m/>
    <m/>
    <m/>
    <m/>
    <m/>
    <m/>
    <m/>
    <m/>
    <s v="Negative"/>
    <s v="Not Sampled"/>
    <s v="Not Sampled"/>
  </r>
  <r>
    <x v="0"/>
    <x v="27"/>
    <x v="12"/>
    <x v="10"/>
    <x v="148"/>
    <x v="187"/>
    <x v="378"/>
    <x v="11"/>
    <n v="0"/>
    <s v="Not Sampled"/>
    <n v="530"/>
    <m/>
    <m/>
    <m/>
    <m/>
    <m/>
    <m/>
    <m/>
    <m/>
    <s v="Negative"/>
    <s v="Not Sampled"/>
    <s v="Not Sampled"/>
  </r>
  <r>
    <x v="1"/>
    <x v="61"/>
    <x v="15"/>
    <x v="2"/>
    <x v="0"/>
    <x v="200"/>
    <x v="211"/>
    <x v="3"/>
    <n v="0"/>
    <s v="Not Sampled"/>
    <n v="531"/>
    <m/>
    <m/>
    <m/>
    <m/>
    <m/>
    <m/>
    <m/>
    <m/>
    <s v="Negative"/>
    <s v="Not Sampled"/>
    <s v="Not Sampled"/>
  </r>
  <r>
    <x v="2"/>
    <x v="103"/>
    <x v="19"/>
    <x v="43"/>
    <x v="149"/>
    <x v="211"/>
    <x v="379"/>
    <x v="29"/>
    <n v="0"/>
    <s v="Not Sampled"/>
    <n v="532"/>
    <m/>
    <m/>
    <m/>
    <m/>
    <m/>
    <m/>
    <m/>
    <m/>
    <s v="Negative"/>
    <s v="Not Sampled"/>
    <s v="Not Sampled"/>
  </r>
  <r>
    <x v="6"/>
    <x v="25"/>
    <x v="2"/>
    <x v="2"/>
    <x v="0"/>
    <x v="187"/>
    <x v="380"/>
    <x v="2"/>
    <n v="0"/>
    <s v="Not Sampled"/>
    <n v="533"/>
    <m/>
    <m/>
    <m/>
    <m/>
    <m/>
    <m/>
    <m/>
    <m/>
    <s v="Negative"/>
    <s v="Not Sampled"/>
    <s v="Not Sampled"/>
  </r>
  <r>
    <x v="2"/>
    <x v="108"/>
    <x v="20"/>
    <x v="8"/>
    <x v="79"/>
    <x v="21"/>
    <x v="381"/>
    <x v="3"/>
    <n v="0"/>
    <n v="0"/>
    <n v="534"/>
    <m/>
    <m/>
    <m/>
    <m/>
    <m/>
    <m/>
    <m/>
    <m/>
    <s v="Negative"/>
    <s v="Negative"/>
    <s v="Accurate Prediction"/>
  </r>
  <r>
    <x v="3"/>
    <x v="77"/>
    <x v="2"/>
    <x v="2"/>
    <x v="0"/>
    <x v="35"/>
    <x v="291"/>
    <x v="1"/>
    <n v="1"/>
    <n v="1"/>
    <n v="535"/>
    <m/>
    <m/>
    <m/>
    <m/>
    <m/>
    <m/>
    <m/>
    <m/>
    <s v="Positive"/>
    <s v="Positive"/>
    <s v="Accurate Prediction"/>
  </r>
  <r>
    <x v="1"/>
    <x v="38"/>
    <x v="8"/>
    <x v="2"/>
    <x v="0"/>
    <x v="107"/>
    <x v="269"/>
    <x v="22"/>
    <n v="0"/>
    <n v="0"/>
    <n v="536"/>
    <m/>
    <m/>
    <m/>
    <m/>
    <m/>
    <m/>
    <m/>
    <m/>
    <s v="Negative"/>
    <s v="Negative"/>
    <s v="Accurate Prediction"/>
  </r>
  <r>
    <x v="1"/>
    <x v="82"/>
    <x v="12"/>
    <x v="2"/>
    <x v="0"/>
    <x v="216"/>
    <x v="382"/>
    <x v="7"/>
    <n v="0"/>
    <n v="0"/>
    <n v="537"/>
    <m/>
    <m/>
    <m/>
    <m/>
    <m/>
    <m/>
    <m/>
    <m/>
    <s v="Negative"/>
    <s v="Negative"/>
    <s v="Accurate Prediction"/>
  </r>
  <r>
    <x v="1"/>
    <x v="117"/>
    <x v="6"/>
    <x v="18"/>
    <x v="14"/>
    <x v="153"/>
    <x v="383"/>
    <x v="1"/>
    <n v="0"/>
    <s v="Not Sampled"/>
    <n v="538"/>
    <m/>
    <m/>
    <m/>
    <m/>
    <m/>
    <m/>
    <m/>
    <m/>
    <s v="Negative"/>
    <s v="Not Sampled"/>
    <s v="Not Sampled"/>
  </r>
  <r>
    <x v="5"/>
    <x v="52"/>
    <x v="17"/>
    <x v="48"/>
    <x v="59"/>
    <x v="217"/>
    <x v="25"/>
    <x v="32"/>
    <n v="1"/>
    <s v="Not Sampled"/>
    <n v="539"/>
    <m/>
    <m/>
    <m/>
    <m/>
    <m/>
    <m/>
    <m/>
    <m/>
    <s v="Positive"/>
    <s v="Not Sampled"/>
    <s v="Not Sampled"/>
  </r>
  <r>
    <x v="4"/>
    <x v="45"/>
    <x v="10"/>
    <x v="32"/>
    <x v="100"/>
    <x v="121"/>
    <x v="384"/>
    <x v="33"/>
    <n v="1"/>
    <s v="Not Sampled"/>
    <n v="540"/>
    <m/>
    <m/>
    <m/>
    <m/>
    <m/>
    <m/>
    <m/>
    <m/>
    <s v="Positive"/>
    <s v="Not Sampled"/>
    <s v="Not Sampled"/>
  </r>
  <r>
    <x v="5"/>
    <x v="80"/>
    <x v="5"/>
    <x v="14"/>
    <x v="72"/>
    <x v="68"/>
    <x v="385"/>
    <x v="23"/>
    <n v="1"/>
    <n v="0"/>
    <n v="541"/>
    <m/>
    <m/>
    <m/>
    <m/>
    <m/>
    <m/>
    <m/>
    <m/>
    <s v="Positive"/>
    <s v="Negative"/>
    <s v="Inaccurate Prediction"/>
  </r>
  <r>
    <x v="9"/>
    <x v="30"/>
    <x v="23"/>
    <x v="5"/>
    <x v="0"/>
    <x v="115"/>
    <x v="386"/>
    <x v="24"/>
    <n v="1"/>
    <s v="Not Sampled"/>
    <n v="542"/>
    <m/>
    <m/>
    <m/>
    <m/>
    <m/>
    <m/>
    <m/>
    <m/>
    <s v="Positive"/>
    <s v="Not Sampled"/>
    <s v="Not Sampled"/>
  </r>
  <r>
    <x v="3"/>
    <x v="1"/>
    <x v="8"/>
    <x v="17"/>
    <x v="79"/>
    <x v="100"/>
    <x v="128"/>
    <x v="14"/>
    <n v="0"/>
    <s v="Not Sampled"/>
    <n v="543"/>
    <m/>
    <m/>
    <m/>
    <m/>
    <m/>
    <m/>
    <m/>
    <m/>
    <s v="Negative"/>
    <s v="Not Sampled"/>
    <s v="Not Sampled"/>
  </r>
  <r>
    <x v="2"/>
    <x v="40"/>
    <x v="4"/>
    <x v="30"/>
    <x v="7"/>
    <x v="61"/>
    <x v="3"/>
    <x v="29"/>
    <n v="0"/>
    <s v="Not Sampled"/>
    <n v="544"/>
    <m/>
    <m/>
    <m/>
    <m/>
    <m/>
    <m/>
    <m/>
    <m/>
    <s v="Negative"/>
    <s v="Not Sampled"/>
    <s v="Not Sampled"/>
  </r>
  <r>
    <x v="4"/>
    <x v="124"/>
    <x v="8"/>
    <x v="0"/>
    <x v="50"/>
    <x v="93"/>
    <x v="387"/>
    <x v="26"/>
    <n v="1"/>
    <s v="Not Sampled"/>
    <n v="545"/>
    <m/>
    <m/>
    <m/>
    <m/>
    <m/>
    <m/>
    <m/>
    <m/>
    <s v="Positive"/>
    <s v="Not Sampled"/>
    <s v="Not Sampled"/>
  </r>
  <r>
    <x v="7"/>
    <x v="44"/>
    <x v="15"/>
    <x v="21"/>
    <x v="18"/>
    <x v="146"/>
    <x v="388"/>
    <x v="49"/>
    <n v="1"/>
    <n v="1"/>
    <n v="546"/>
    <m/>
    <m/>
    <m/>
    <m/>
    <m/>
    <m/>
    <m/>
    <m/>
    <s v="Positive"/>
    <s v="Positive"/>
    <s v="Accurate Prediction"/>
  </r>
  <r>
    <x v="3"/>
    <x v="55"/>
    <x v="3"/>
    <x v="23"/>
    <x v="150"/>
    <x v="119"/>
    <x v="389"/>
    <x v="6"/>
    <n v="0"/>
    <n v="0"/>
    <n v="547"/>
    <m/>
    <m/>
    <m/>
    <m/>
    <m/>
    <m/>
    <m/>
    <m/>
    <s v="Negative"/>
    <s v="Negative"/>
    <s v="Accurate Prediction"/>
  </r>
  <r>
    <x v="2"/>
    <x v="101"/>
    <x v="1"/>
    <x v="44"/>
    <x v="91"/>
    <x v="10"/>
    <x v="390"/>
    <x v="48"/>
    <n v="0"/>
    <s v="Not Sampled"/>
    <n v="548"/>
    <m/>
    <m/>
    <m/>
    <m/>
    <m/>
    <m/>
    <m/>
    <m/>
    <s v="Negative"/>
    <s v="Not Sampled"/>
    <s v="Not Sampled"/>
  </r>
  <r>
    <x v="3"/>
    <x v="115"/>
    <x v="18"/>
    <x v="1"/>
    <x v="0"/>
    <x v="218"/>
    <x v="391"/>
    <x v="26"/>
    <n v="0"/>
    <s v="Not Sampled"/>
    <n v="549"/>
    <m/>
    <m/>
    <m/>
    <m/>
    <m/>
    <m/>
    <m/>
    <m/>
    <s v="Negative"/>
    <s v="Not Sampled"/>
    <s v="Not Sampled"/>
  </r>
  <r>
    <x v="2"/>
    <x v="113"/>
    <x v="9"/>
    <x v="7"/>
    <x v="0"/>
    <x v="41"/>
    <x v="147"/>
    <x v="4"/>
    <n v="0"/>
    <s v="Not Sampled"/>
    <n v="550"/>
    <m/>
    <m/>
    <m/>
    <m/>
    <m/>
    <m/>
    <m/>
    <m/>
    <s v="Negative"/>
    <s v="Not Sampled"/>
    <s v="Not Sampled"/>
  </r>
  <r>
    <x v="5"/>
    <x v="1"/>
    <x v="3"/>
    <x v="8"/>
    <x v="148"/>
    <x v="108"/>
    <x v="392"/>
    <x v="14"/>
    <n v="0"/>
    <s v="Not Sampled"/>
    <n v="551"/>
    <m/>
    <m/>
    <m/>
    <m/>
    <m/>
    <m/>
    <m/>
    <m/>
    <s v="Negative"/>
    <s v="Not Sampled"/>
    <s v="Not Sampled"/>
  </r>
  <r>
    <x v="6"/>
    <x v="48"/>
    <x v="21"/>
    <x v="2"/>
    <x v="0"/>
    <x v="157"/>
    <x v="102"/>
    <x v="12"/>
    <n v="0"/>
    <s v="Not Sampled"/>
    <n v="552"/>
    <m/>
    <m/>
    <m/>
    <m/>
    <m/>
    <m/>
    <m/>
    <m/>
    <s v="Negative"/>
    <s v="Not Sampled"/>
    <s v="Not Sampled"/>
  </r>
  <r>
    <x v="2"/>
    <x v="40"/>
    <x v="0"/>
    <x v="20"/>
    <x v="71"/>
    <x v="106"/>
    <x v="239"/>
    <x v="1"/>
    <n v="0"/>
    <n v="0"/>
    <n v="553"/>
    <m/>
    <m/>
    <m/>
    <m/>
    <m/>
    <m/>
    <m/>
    <m/>
    <s v="Negative"/>
    <s v="Negative"/>
    <s v="Accurate Prediction"/>
  </r>
  <r>
    <x v="2"/>
    <x v="1"/>
    <x v="11"/>
    <x v="17"/>
    <x v="133"/>
    <x v="99"/>
    <x v="154"/>
    <x v="6"/>
    <n v="0"/>
    <s v="Not Sampled"/>
    <n v="554"/>
    <m/>
    <m/>
    <m/>
    <m/>
    <m/>
    <m/>
    <m/>
    <m/>
    <s v="Negative"/>
    <s v="Not Sampled"/>
    <s v="Not Sampled"/>
  </r>
  <r>
    <x v="8"/>
    <x v="73"/>
    <x v="9"/>
    <x v="12"/>
    <x v="100"/>
    <x v="171"/>
    <x v="321"/>
    <x v="26"/>
    <n v="0"/>
    <n v="0"/>
    <n v="555"/>
    <m/>
    <m/>
    <m/>
    <m/>
    <m/>
    <m/>
    <m/>
    <m/>
    <s v="Negative"/>
    <s v="Negative"/>
    <s v="Accurate Prediction"/>
  </r>
  <r>
    <x v="2"/>
    <x v="75"/>
    <x v="9"/>
    <x v="32"/>
    <x v="0"/>
    <x v="176"/>
    <x v="135"/>
    <x v="13"/>
    <n v="0"/>
    <n v="0"/>
    <n v="556"/>
    <m/>
    <m/>
    <m/>
    <m/>
    <m/>
    <m/>
    <m/>
    <m/>
    <s v="Negative"/>
    <s v="Negative"/>
    <s v="Accurate Prediction"/>
  </r>
  <r>
    <x v="4"/>
    <x v="13"/>
    <x v="15"/>
    <x v="2"/>
    <x v="0"/>
    <x v="157"/>
    <x v="78"/>
    <x v="5"/>
    <n v="0"/>
    <s v="Not Sampled"/>
    <n v="557"/>
    <m/>
    <m/>
    <m/>
    <m/>
    <m/>
    <m/>
    <m/>
    <m/>
    <s v="Negative"/>
    <s v="Not Sampled"/>
    <s v="Not Sampled"/>
  </r>
  <r>
    <x v="12"/>
    <x v="28"/>
    <x v="3"/>
    <x v="32"/>
    <x v="0"/>
    <x v="144"/>
    <x v="370"/>
    <x v="8"/>
    <n v="0"/>
    <n v="1"/>
    <n v="558"/>
    <m/>
    <m/>
    <m/>
    <m/>
    <m/>
    <m/>
    <m/>
    <m/>
    <s v="Negative"/>
    <s v="Positive"/>
    <s v="Inaccurate Prediction"/>
  </r>
  <r>
    <x v="12"/>
    <x v="69"/>
    <x v="10"/>
    <x v="2"/>
    <x v="0"/>
    <x v="15"/>
    <x v="393"/>
    <x v="20"/>
    <n v="0"/>
    <s v="Not Sampled"/>
    <n v="559"/>
    <m/>
    <m/>
    <m/>
    <m/>
    <m/>
    <m/>
    <m/>
    <m/>
    <s v="Negative"/>
    <s v="Not Sampled"/>
    <s v="Not Sampled"/>
  </r>
  <r>
    <x v="6"/>
    <x v="10"/>
    <x v="15"/>
    <x v="2"/>
    <x v="0"/>
    <x v="97"/>
    <x v="394"/>
    <x v="28"/>
    <n v="1"/>
    <n v="0"/>
    <n v="560"/>
    <m/>
    <m/>
    <m/>
    <m/>
    <m/>
    <m/>
    <m/>
    <m/>
    <s v="Positive"/>
    <s v="Negative"/>
    <s v="Inaccurate Prediction"/>
  </r>
  <r>
    <x v="1"/>
    <x v="125"/>
    <x v="19"/>
    <x v="5"/>
    <x v="151"/>
    <x v="211"/>
    <x v="395"/>
    <x v="6"/>
    <n v="1"/>
    <s v="Not Sampled"/>
    <n v="561"/>
    <m/>
    <m/>
    <m/>
    <m/>
    <m/>
    <m/>
    <m/>
    <m/>
    <s v="Positive"/>
    <s v="Not Sampled"/>
    <s v="Not Sampled"/>
  </r>
  <r>
    <x v="2"/>
    <x v="90"/>
    <x v="3"/>
    <x v="24"/>
    <x v="152"/>
    <x v="209"/>
    <x v="396"/>
    <x v="3"/>
    <n v="0"/>
    <s v="Not Sampled"/>
    <n v="562"/>
    <m/>
    <m/>
    <m/>
    <m/>
    <m/>
    <m/>
    <m/>
    <m/>
    <s v="Negative"/>
    <s v="Not Sampled"/>
    <s v="Not Sampled"/>
  </r>
  <r>
    <x v="6"/>
    <x v="6"/>
    <x v="12"/>
    <x v="13"/>
    <x v="120"/>
    <x v="219"/>
    <x v="343"/>
    <x v="32"/>
    <n v="0"/>
    <n v="0"/>
    <n v="563"/>
    <m/>
    <m/>
    <m/>
    <m/>
    <m/>
    <m/>
    <m/>
    <m/>
    <s v="Negative"/>
    <s v="Negative"/>
    <s v="Accurate Prediction"/>
  </r>
  <r>
    <x v="1"/>
    <x v="25"/>
    <x v="6"/>
    <x v="2"/>
    <x v="0"/>
    <x v="68"/>
    <x v="397"/>
    <x v="23"/>
    <n v="0"/>
    <s v="Not Sampled"/>
    <n v="564"/>
    <m/>
    <m/>
    <m/>
    <m/>
    <m/>
    <m/>
    <m/>
    <m/>
    <s v="Negative"/>
    <s v="Not Sampled"/>
    <s v="Not Sampled"/>
  </r>
  <r>
    <x v="0"/>
    <x v="50"/>
    <x v="14"/>
    <x v="36"/>
    <x v="84"/>
    <x v="7"/>
    <x v="398"/>
    <x v="11"/>
    <n v="0"/>
    <s v="Not Sampled"/>
    <n v="565"/>
    <m/>
    <m/>
    <m/>
    <m/>
    <m/>
    <m/>
    <m/>
    <m/>
    <s v="Negative"/>
    <s v="Not Sampled"/>
    <s v="Not Sampled"/>
  </r>
  <r>
    <x v="2"/>
    <x v="6"/>
    <x v="5"/>
    <x v="8"/>
    <x v="41"/>
    <x v="220"/>
    <x v="255"/>
    <x v="4"/>
    <n v="0"/>
    <s v="Not Sampled"/>
    <n v="566"/>
    <m/>
    <m/>
    <m/>
    <m/>
    <m/>
    <m/>
    <m/>
    <m/>
    <s v="Negative"/>
    <s v="Not Sampled"/>
    <s v="Not Sampled"/>
  </r>
  <r>
    <x v="6"/>
    <x v="66"/>
    <x v="0"/>
    <x v="5"/>
    <x v="153"/>
    <x v="61"/>
    <x v="136"/>
    <x v="22"/>
    <n v="0"/>
    <s v="Not Sampled"/>
    <n v="567"/>
    <m/>
    <m/>
    <m/>
    <m/>
    <m/>
    <m/>
    <m/>
    <m/>
    <s v="Negative"/>
    <s v="Not Sampled"/>
    <s v="Not Sampled"/>
  </r>
  <r>
    <x v="3"/>
    <x v="16"/>
    <x v="5"/>
    <x v="30"/>
    <x v="153"/>
    <x v="221"/>
    <x v="399"/>
    <x v="26"/>
    <n v="0"/>
    <s v="Not Sampled"/>
    <n v="568"/>
    <m/>
    <m/>
    <m/>
    <m/>
    <m/>
    <m/>
    <m/>
    <m/>
    <s v="Negative"/>
    <s v="Not Sampled"/>
    <s v="Not Sampled"/>
  </r>
  <r>
    <x v="1"/>
    <x v="126"/>
    <x v="19"/>
    <x v="8"/>
    <x v="134"/>
    <x v="82"/>
    <x v="62"/>
    <x v="9"/>
    <n v="1"/>
    <s v="Not Sampled"/>
    <n v="569"/>
    <m/>
    <m/>
    <m/>
    <m/>
    <m/>
    <m/>
    <m/>
    <m/>
    <s v="Positive"/>
    <s v="Not Sampled"/>
    <s v="Not Sampled"/>
  </r>
  <r>
    <x v="5"/>
    <x v="74"/>
    <x v="9"/>
    <x v="2"/>
    <x v="0"/>
    <x v="56"/>
    <x v="58"/>
    <x v="16"/>
    <n v="0"/>
    <s v="Not Sampled"/>
    <n v="570"/>
    <m/>
    <m/>
    <m/>
    <m/>
    <m/>
    <m/>
    <m/>
    <m/>
    <s v="Negative"/>
    <s v="Not Sampled"/>
    <s v="Not Sampled"/>
  </r>
  <r>
    <x v="0"/>
    <x v="23"/>
    <x v="30"/>
    <x v="2"/>
    <x v="0"/>
    <x v="118"/>
    <x v="32"/>
    <x v="4"/>
    <n v="0"/>
    <s v="Not Sampled"/>
    <n v="571"/>
    <m/>
    <m/>
    <m/>
    <m/>
    <m/>
    <m/>
    <m/>
    <m/>
    <s v="Negative"/>
    <s v="Not Sampled"/>
    <s v="Not Sampled"/>
  </r>
  <r>
    <x v="5"/>
    <x v="31"/>
    <x v="22"/>
    <x v="1"/>
    <x v="71"/>
    <x v="81"/>
    <x v="400"/>
    <x v="11"/>
    <n v="0"/>
    <n v="0"/>
    <n v="572"/>
    <m/>
    <m/>
    <m/>
    <m/>
    <m/>
    <m/>
    <m/>
    <m/>
    <s v="Negative"/>
    <s v="Negative"/>
    <s v="Accurate Prediction"/>
  </r>
  <r>
    <x v="0"/>
    <x v="116"/>
    <x v="12"/>
    <x v="6"/>
    <x v="77"/>
    <x v="48"/>
    <x v="203"/>
    <x v="11"/>
    <n v="0"/>
    <n v="0"/>
    <n v="573"/>
    <m/>
    <m/>
    <m/>
    <m/>
    <m/>
    <m/>
    <m/>
    <m/>
    <s v="Negative"/>
    <s v="Negative"/>
    <s v="Accurate Prediction"/>
  </r>
  <r>
    <x v="2"/>
    <x v="92"/>
    <x v="24"/>
    <x v="8"/>
    <x v="154"/>
    <x v="15"/>
    <x v="401"/>
    <x v="1"/>
    <n v="0"/>
    <s v="Not Sampled"/>
    <n v="574"/>
    <m/>
    <m/>
    <m/>
    <m/>
    <m/>
    <m/>
    <m/>
    <m/>
    <s v="Negative"/>
    <s v="Not Sampled"/>
    <s v="Not Sampled"/>
  </r>
  <r>
    <x v="2"/>
    <x v="93"/>
    <x v="27"/>
    <x v="19"/>
    <x v="55"/>
    <x v="130"/>
    <x v="246"/>
    <x v="14"/>
    <n v="0"/>
    <s v="Not Sampled"/>
    <n v="575"/>
    <m/>
    <m/>
    <m/>
    <m/>
    <m/>
    <m/>
    <m/>
    <m/>
    <s v="Negative"/>
    <s v="Not Sampled"/>
    <s v="Not Sampled"/>
  </r>
  <r>
    <x v="6"/>
    <x v="81"/>
    <x v="27"/>
    <x v="28"/>
    <x v="66"/>
    <x v="33"/>
    <x v="402"/>
    <x v="20"/>
    <n v="0"/>
    <s v="Not Sampled"/>
    <n v="576"/>
    <m/>
    <m/>
    <m/>
    <m/>
    <m/>
    <m/>
    <m/>
    <m/>
    <s v="Negative"/>
    <s v="Not Sampled"/>
    <s v="Not Sampled"/>
  </r>
  <r>
    <x v="0"/>
    <x v="78"/>
    <x v="6"/>
    <x v="2"/>
    <x v="0"/>
    <x v="92"/>
    <x v="403"/>
    <x v="4"/>
    <n v="1"/>
    <n v="0"/>
    <n v="577"/>
    <m/>
    <m/>
    <m/>
    <m/>
    <m/>
    <m/>
    <m/>
    <m/>
    <s v="Positive"/>
    <s v="Negative"/>
    <s v="Inaccurate Prediction"/>
  </r>
  <r>
    <x v="9"/>
    <x v="32"/>
    <x v="3"/>
    <x v="2"/>
    <x v="0"/>
    <x v="161"/>
    <x v="404"/>
    <x v="31"/>
    <n v="0"/>
    <s v="Not Sampled"/>
    <n v="578"/>
    <m/>
    <m/>
    <m/>
    <m/>
    <m/>
    <m/>
    <m/>
    <m/>
    <s v="Negative"/>
    <s v="Not Sampled"/>
    <s v="Not Sampled"/>
  </r>
  <r>
    <x v="0"/>
    <x v="100"/>
    <x v="9"/>
    <x v="50"/>
    <x v="0"/>
    <x v="48"/>
    <x v="405"/>
    <x v="38"/>
    <n v="1"/>
    <n v="1"/>
    <n v="579"/>
    <m/>
    <m/>
    <m/>
    <m/>
    <m/>
    <m/>
    <m/>
    <m/>
    <s v="Positive"/>
    <s v="Positive"/>
    <s v="Accurate Prediction"/>
  </r>
  <r>
    <x v="1"/>
    <x v="68"/>
    <x v="8"/>
    <x v="40"/>
    <x v="0"/>
    <x v="196"/>
    <x v="406"/>
    <x v="4"/>
    <n v="1"/>
    <s v="Not Sampled"/>
    <n v="580"/>
    <m/>
    <m/>
    <m/>
    <m/>
    <m/>
    <m/>
    <m/>
    <m/>
    <s v="Positive"/>
    <s v="Not Sampled"/>
    <s v="Not Sampled"/>
  </r>
  <r>
    <x v="6"/>
    <x v="49"/>
    <x v="12"/>
    <x v="21"/>
    <x v="0"/>
    <x v="26"/>
    <x v="407"/>
    <x v="23"/>
    <n v="0"/>
    <s v="Not Sampled"/>
    <n v="581"/>
    <m/>
    <m/>
    <m/>
    <m/>
    <m/>
    <m/>
    <m/>
    <m/>
    <s v="Negative"/>
    <s v="Not Sampled"/>
    <s v="Not Sampled"/>
  </r>
  <r>
    <x v="10"/>
    <x v="126"/>
    <x v="4"/>
    <x v="6"/>
    <x v="0"/>
    <x v="71"/>
    <x v="247"/>
    <x v="38"/>
    <n v="0"/>
    <s v="Not Sampled"/>
    <n v="582"/>
    <m/>
    <m/>
    <m/>
    <m/>
    <m/>
    <m/>
    <m/>
    <m/>
    <s v="Negative"/>
    <s v="Not Sampled"/>
    <s v="Not Sampled"/>
  </r>
  <r>
    <x v="4"/>
    <x v="45"/>
    <x v="15"/>
    <x v="2"/>
    <x v="0"/>
    <x v="162"/>
    <x v="163"/>
    <x v="8"/>
    <n v="0"/>
    <s v="Not Sampled"/>
    <n v="583"/>
    <m/>
    <m/>
    <m/>
    <m/>
    <m/>
    <m/>
    <m/>
    <m/>
    <s v="Negative"/>
    <s v="Not Sampled"/>
    <s v="Not Sampled"/>
  </r>
  <r>
    <x v="4"/>
    <x v="73"/>
    <x v="15"/>
    <x v="20"/>
    <x v="155"/>
    <x v="77"/>
    <x v="140"/>
    <x v="41"/>
    <n v="1"/>
    <s v="Not Sampled"/>
    <n v="584"/>
    <m/>
    <m/>
    <m/>
    <m/>
    <m/>
    <m/>
    <m/>
    <m/>
    <s v="Positive"/>
    <s v="Not Sampled"/>
    <s v="Not Sampled"/>
  </r>
  <r>
    <x v="2"/>
    <x v="67"/>
    <x v="20"/>
    <x v="22"/>
    <x v="0"/>
    <x v="79"/>
    <x v="408"/>
    <x v="11"/>
    <n v="0"/>
    <n v="0"/>
    <n v="585"/>
    <m/>
    <m/>
    <m/>
    <m/>
    <m/>
    <m/>
    <m/>
    <m/>
    <s v="Negative"/>
    <s v="Negative"/>
    <s v="Accurate Prediction"/>
  </r>
  <r>
    <x v="4"/>
    <x v="92"/>
    <x v="19"/>
    <x v="2"/>
    <x v="0"/>
    <x v="115"/>
    <x v="267"/>
    <x v="17"/>
    <n v="1"/>
    <s v="Not Sampled"/>
    <n v="586"/>
    <m/>
    <m/>
    <m/>
    <m/>
    <m/>
    <m/>
    <m/>
    <m/>
    <s v="Positive"/>
    <s v="Not Sampled"/>
    <s v="Not Sampled"/>
  </r>
  <r>
    <x v="6"/>
    <x v="28"/>
    <x v="19"/>
    <x v="2"/>
    <x v="0"/>
    <x v="122"/>
    <x v="224"/>
    <x v="29"/>
    <n v="0"/>
    <n v="0"/>
    <n v="587"/>
    <m/>
    <m/>
    <m/>
    <m/>
    <m/>
    <m/>
    <m/>
    <m/>
    <s v="Negative"/>
    <s v="Negative"/>
    <s v="Accurate Prediction"/>
  </r>
  <r>
    <x v="5"/>
    <x v="41"/>
    <x v="24"/>
    <x v="21"/>
    <x v="64"/>
    <x v="21"/>
    <x v="409"/>
    <x v="41"/>
    <n v="1"/>
    <s v="Not Sampled"/>
    <n v="588"/>
    <m/>
    <m/>
    <m/>
    <m/>
    <m/>
    <m/>
    <m/>
    <m/>
    <s v="Positive"/>
    <s v="Not Sampled"/>
    <s v="Not Sampled"/>
  </r>
  <r>
    <x v="1"/>
    <x v="43"/>
    <x v="2"/>
    <x v="2"/>
    <x v="0"/>
    <x v="96"/>
    <x v="50"/>
    <x v="14"/>
    <n v="0"/>
    <n v="0"/>
    <n v="589"/>
    <m/>
    <m/>
    <m/>
    <m/>
    <m/>
    <m/>
    <m/>
    <m/>
    <s v="Negative"/>
    <s v="Negative"/>
    <s v="Accurate Prediction"/>
  </r>
  <r>
    <x v="12"/>
    <x v="31"/>
    <x v="16"/>
    <x v="32"/>
    <x v="0"/>
    <x v="51"/>
    <x v="410"/>
    <x v="10"/>
    <n v="1"/>
    <s v="Not Sampled"/>
    <n v="590"/>
    <m/>
    <m/>
    <m/>
    <m/>
    <m/>
    <m/>
    <m/>
    <m/>
    <s v="Positive"/>
    <s v="Not Sampled"/>
    <s v="Not Sampled"/>
  </r>
  <r>
    <x v="0"/>
    <x v="56"/>
    <x v="4"/>
    <x v="37"/>
    <x v="32"/>
    <x v="121"/>
    <x v="411"/>
    <x v="3"/>
    <n v="0"/>
    <s v="Not Sampled"/>
    <n v="591"/>
    <m/>
    <m/>
    <m/>
    <m/>
    <m/>
    <m/>
    <m/>
    <m/>
    <s v="Negative"/>
    <s v="Not Sampled"/>
    <s v="Not Sampled"/>
  </r>
  <r>
    <x v="5"/>
    <x v="77"/>
    <x v="6"/>
    <x v="2"/>
    <x v="0"/>
    <x v="184"/>
    <x v="215"/>
    <x v="30"/>
    <n v="1"/>
    <n v="0"/>
    <n v="592"/>
    <m/>
    <m/>
    <m/>
    <m/>
    <m/>
    <m/>
    <m/>
    <m/>
    <s v="Positive"/>
    <s v="Negative"/>
    <s v="Inaccurate Prediction"/>
  </r>
  <r>
    <x v="0"/>
    <x v="118"/>
    <x v="33"/>
    <x v="29"/>
    <x v="133"/>
    <x v="218"/>
    <x v="412"/>
    <x v="14"/>
    <n v="0"/>
    <s v="Not Sampled"/>
    <n v="593"/>
    <m/>
    <m/>
    <m/>
    <m/>
    <m/>
    <m/>
    <m/>
    <m/>
    <s v="Negative"/>
    <s v="Not Sampled"/>
    <s v="Not Sampled"/>
  </r>
  <r>
    <x v="6"/>
    <x v="62"/>
    <x v="5"/>
    <x v="45"/>
    <x v="156"/>
    <x v="0"/>
    <x v="359"/>
    <x v="34"/>
    <n v="0"/>
    <s v="Not Sampled"/>
    <n v="594"/>
    <m/>
    <m/>
    <m/>
    <m/>
    <m/>
    <m/>
    <m/>
    <m/>
    <s v="Negative"/>
    <s v="Not Sampled"/>
    <s v="Not Sampled"/>
  </r>
  <r>
    <x v="1"/>
    <x v="86"/>
    <x v="1"/>
    <x v="36"/>
    <x v="157"/>
    <x v="61"/>
    <x v="413"/>
    <x v="11"/>
    <n v="1"/>
    <s v="Not Sampled"/>
    <n v="595"/>
    <m/>
    <m/>
    <m/>
    <m/>
    <m/>
    <m/>
    <m/>
    <m/>
    <s v="Positive"/>
    <s v="Not Sampled"/>
    <s v="Not Sampled"/>
  </r>
  <r>
    <x v="1"/>
    <x v="127"/>
    <x v="15"/>
    <x v="2"/>
    <x v="0"/>
    <x v="200"/>
    <x v="414"/>
    <x v="22"/>
    <n v="0"/>
    <n v="0"/>
    <n v="596"/>
    <m/>
    <m/>
    <m/>
    <m/>
    <m/>
    <m/>
    <m/>
    <m/>
    <s v="Negative"/>
    <s v="Negative"/>
    <s v="Accurate Prediction"/>
  </r>
  <r>
    <x v="2"/>
    <x v="9"/>
    <x v="42"/>
    <x v="13"/>
    <x v="158"/>
    <x v="157"/>
    <x v="290"/>
    <x v="4"/>
    <n v="0"/>
    <s v="Not Sampled"/>
    <n v="597"/>
    <m/>
    <m/>
    <m/>
    <m/>
    <m/>
    <m/>
    <m/>
    <m/>
    <s v="Negative"/>
    <s v="Not Sampled"/>
    <s v="Not Sampled"/>
  </r>
  <r>
    <x v="2"/>
    <x v="5"/>
    <x v="10"/>
    <x v="2"/>
    <x v="0"/>
    <x v="8"/>
    <x v="124"/>
    <x v="19"/>
    <n v="1"/>
    <n v="1"/>
    <n v="598"/>
    <m/>
    <m/>
    <m/>
    <m/>
    <m/>
    <m/>
    <m/>
    <m/>
    <s v="Positive"/>
    <s v="Positive"/>
    <s v="Accurate Prediction"/>
  </r>
  <r>
    <x v="2"/>
    <x v="49"/>
    <x v="43"/>
    <x v="10"/>
    <x v="77"/>
    <x v="179"/>
    <x v="185"/>
    <x v="25"/>
    <n v="0"/>
    <s v="Not Sampled"/>
    <n v="599"/>
    <m/>
    <m/>
    <m/>
    <m/>
    <m/>
    <m/>
    <m/>
    <m/>
    <s v="Negative"/>
    <s v="Not Sampled"/>
    <s v="Not Sampled"/>
  </r>
  <r>
    <x v="2"/>
    <x v="81"/>
    <x v="21"/>
    <x v="13"/>
    <x v="0"/>
    <x v="150"/>
    <x v="415"/>
    <x v="3"/>
    <n v="0"/>
    <s v="Not Sampled"/>
    <n v="600"/>
    <m/>
    <m/>
    <m/>
    <m/>
    <m/>
    <m/>
    <m/>
    <m/>
    <s v="Negative"/>
    <s v="Not Sampled"/>
    <s v="Not Sampled"/>
  </r>
  <r>
    <x v="6"/>
    <x v="20"/>
    <x v="2"/>
    <x v="2"/>
    <x v="0"/>
    <x v="195"/>
    <x v="163"/>
    <x v="6"/>
    <n v="0"/>
    <s v="Not Sampled"/>
    <n v="601"/>
    <m/>
    <m/>
    <m/>
    <m/>
    <m/>
    <m/>
    <m/>
    <m/>
    <s v="Negative"/>
    <s v="Not Sampled"/>
    <s v="Not Sampled"/>
  </r>
  <r>
    <x v="2"/>
    <x v="73"/>
    <x v="10"/>
    <x v="35"/>
    <x v="0"/>
    <x v="157"/>
    <x v="416"/>
    <x v="13"/>
    <n v="0"/>
    <n v="0"/>
    <n v="602"/>
    <m/>
    <m/>
    <m/>
    <m/>
    <m/>
    <m/>
    <m/>
    <m/>
    <s v="Negative"/>
    <s v="Negative"/>
    <s v="Accurate Prediction"/>
  </r>
  <r>
    <x v="8"/>
    <x v="42"/>
    <x v="4"/>
    <x v="30"/>
    <x v="153"/>
    <x v="213"/>
    <x v="24"/>
    <x v="28"/>
    <n v="1"/>
    <s v="Not Sampled"/>
    <n v="603"/>
    <m/>
    <m/>
    <m/>
    <m/>
    <m/>
    <m/>
    <m/>
    <m/>
    <s v="Positive"/>
    <s v="Not Sampled"/>
    <s v="Not Sampled"/>
  </r>
  <r>
    <x v="3"/>
    <x v="128"/>
    <x v="2"/>
    <x v="2"/>
    <x v="0"/>
    <x v="109"/>
    <x v="355"/>
    <x v="31"/>
    <n v="1"/>
    <s v="Not Sampled"/>
    <n v="604"/>
    <m/>
    <m/>
    <m/>
    <m/>
    <m/>
    <m/>
    <m/>
    <m/>
    <s v="Positive"/>
    <s v="Not Sampled"/>
    <s v="Not Sampled"/>
  </r>
  <r>
    <x v="2"/>
    <x v="73"/>
    <x v="12"/>
    <x v="5"/>
    <x v="0"/>
    <x v="134"/>
    <x v="195"/>
    <x v="4"/>
    <n v="0"/>
    <s v="Not Sampled"/>
    <n v="605"/>
    <m/>
    <m/>
    <m/>
    <m/>
    <m/>
    <m/>
    <m/>
    <m/>
    <s v="Negative"/>
    <s v="Not Sampled"/>
    <s v="Not Sampled"/>
  </r>
  <r>
    <x v="2"/>
    <x v="94"/>
    <x v="4"/>
    <x v="3"/>
    <x v="122"/>
    <x v="154"/>
    <x v="417"/>
    <x v="11"/>
    <n v="1"/>
    <s v="Not Sampled"/>
    <n v="606"/>
    <m/>
    <m/>
    <m/>
    <m/>
    <m/>
    <m/>
    <m/>
    <m/>
    <s v="Positive"/>
    <s v="Not Sampled"/>
    <s v="Not Sampled"/>
  </r>
  <r>
    <x v="2"/>
    <x v="66"/>
    <x v="0"/>
    <x v="14"/>
    <x v="159"/>
    <x v="222"/>
    <x v="418"/>
    <x v="14"/>
    <n v="0"/>
    <n v="0"/>
    <n v="607"/>
    <m/>
    <m/>
    <m/>
    <m/>
    <m/>
    <m/>
    <m/>
    <m/>
    <s v="Negative"/>
    <s v="Negative"/>
    <s v="Accurate Prediction"/>
  </r>
  <r>
    <x v="1"/>
    <x v="87"/>
    <x v="1"/>
    <x v="15"/>
    <x v="160"/>
    <x v="53"/>
    <x v="58"/>
    <x v="23"/>
    <n v="0"/>
    <n v="0"/>
    <n v="608"/>
    <m/>
    <m/>
    <m/>
    <m/>
    <m/>
    <m/>
    <m/>
    <m/>
    <s v="Negative"/>
    <s v="Negative"/>
    <s v="Accurate Prediction"/>
  </r>
  <r>
    <x v="2"/>
    <x v="31"/>
    <x v="0"/>
    <x v="27"/>
    <x v="98"/>
    <x v="33"/>
    <x v="419"/>
    <x v="1"/>
    <n v="0"/>
    <s v="Not Sampled"/>
    <n v="609"/>
    <m/>
    <m/>
    <m/>
    <m/>
    <m/>
    <m/>
    <m/>
    <m/>
    <s v="Negative"/>
    <s v="Not Sampled"/>
    <s v="Not Sampled"/>
  </r>
  <r>
    <x v="5"/>
    <x v="33"/>
    <x v="14"/>
    <x v="23"/>
    <x v="125"/>
    <x v="125"/>
    <x v="9"/>
    <x v="3"/>
    <n v="0"/>
    <s v="Not Sampled"/>
    <n v="610"/>
    <m/>
    <m/>
    <m/>
    <m/>
    <m/>
    <m/>
    <m/>
    <m/>
    <s v="Negative"/>
    <s v="Not Sampled"/>
    <s v="Not Sampled"/>
  </r>
  <r>
    <x v="5"/>
    <x v="129"/>
    <x v="22"/>
    <x v="29"/>
    <x v="85"/>
    <x v="35"/>
    <x v="420"/>
    <x v="31"/>
    <n v="1"/>
    <s v="Not Sampled"/>
    <n v="611"/>
    <m/>
    <m/>
    <m/>
    <m/>
    <m/>
    <m/>
    <m/>
    <m/>
    <s v="Positive"/>
    <s v="Not Sampled"/>
    <s v="Not Sampled"/>
  </r>
  <r>
    <x v="8"/>
    <x v="120"/>
    <x v="21"/>
    <x v="3"/>
    <x v="161"/>
    <x v="1"/>
    <x v="184"/>
    <x v="18"/>
    <n v="1"/>
    <n v="1"/>
    <n v="612"/>
    <m/>
    <m/>
    <m/>
    <m/>
    <m/>
    <m/>
    <m/>
    <m/>
    <s v="Positive"/>
    <s v="Positive"/>
    <s v="Accurate Prediction"/>
  </r>
  <r>
    <x v="6"/>
    <x v="38"/>
    <x v="6"/>
    <x v="7"/>
    <x v="0"/>
    <x v="56"/>
    <x v="421"/>
    <x v="25"/>
    <n v="0"/>
    <n v="0"/>
    <n v="613"/>
    <m/>
    <m/>
    <m/>
    <m/>
    <m/>
    <m/>
    <m/>
    <m/>
    <s v="Negative"/>
    <s v="Negative"/>
    <s v="Accurate Prediction"/>
  </r>
  <r>
    <x v="12"/>
    <x v="0"/>
    <x v="10"/>
    <x v="16"/>
    <x v="162"/>
    <x v="164"/>
    <x v="226"/>
    <x v="48"/>
    <n v="1"/>
    <n v="1"/>
    <n v="614"/>
    <m/>
    <m/>
    <m/>
    <m/>
    <m/>
    <m/>
    <m/>
    <m/>
    <s v="Positive"/>
    <s v="Positive"/>
    <s v="Accurate Prediction"/>
  </r>
  <r>
    <x v="5"/>
    <x v="33"/>
    <x v="5"/>
    <x v="2"/>
    <x v="0"/>
    <x v="223"/>
    <x v="28"/>
    <x v="23"/>
    <n v="0"/>
    <s v="Not Sampled"/>
    <n v="615"/>
    <m/>
    <m/>
    <m/>
    <m/>
    <m/>
    <m/>
    <m/>
    <m/>
    <s v="Negative"/>
    <s v="Not Sampled"/>
    <s v="Not Sampled"/>
  </r>
  <r>
    <x v="6"/>
    <x v="17"/>
    <x v="30"/>
    <x v="2"/>
    <x v="0"/>
    <x v="77"/>
    <x v="422"/>
    <x v="13"/>
    <n v="0"/>
    <s v="Not Sampled"/>
    <n v="616"/>
    <m/>
    <m/>
    <m/>
    <m/>
    <m/>
    <m/>
    <m/>
    <m/>
    <s v="Negative"/>
    <s v="Not Sampled"/>
    <s v="Not Sampled"/>
  </r>
  <r>
    <x v="0"/>
    <x v="123"/>
    <x v="0"/>
    <x v="27"/>
    <x v="163"/>
    <x v="224"/>
    <x v="423"/>
    <x v="1"/>
    <n v="0"/>
    <s v="Not Sampled"/>
    <n v="617"/>
    <m/>
    <m/>
    <m/>
    <m/>
    <m/>
    <m/>
    <m/>
    <m/>
    <s v="Negative"/>
    <s v="Not Sampled"/>
    <s v="Not Sampled"/>
  </r>
  <r>
    <x v="11"/>
    <x v="56"/>
    <x v="1"/>
    <x v="20"/>
    <x v="0"/>
    <x v="86"/>
    <x v="424"/>
    <x v="48"/>
    <n v="1"/>
    <s v="Not Sampled"/>
    <n v="618"/>
    <m/>
    <m/>
    <m/>
    <m/>
    <m/>
    <m/>
    <m/>
    <m/>
    <s v="Positive"/>
    <s v="Not Sampled"/>
    <s v="Not Sampled"/>
  </r>
  <r>
    <x v="1"/>
    <x v="93"/>
    <x v="2"/>
    <x v="2"/>
    <x v="0"/>
    <x v="68"/>
    <x v="425"/>
    <x v="3"/>
    <n v="1"/>
    <n v="0"/>
    <n v="619"/>
    <m/>
    <m/>
    <m/>
    <m/>
    <m/>
    <m/>
    <m/>
    <m/>
    <s v="Positive"/>
    <s v="Negative"/>
    <s v="Inaccurate Prediction"/>
  </r>
  <r>
    <x v="0"/>
    <x v="56"/>
    <x v="24"/>
    <x v="3"/>
    <x v="69"/>
    <x v="189"/>
    <x v="426"/>
    <x v="6"/>
    <n v="0"/>
    <n v="0"/>
    <n v="620"/>
    <m/>
    <m/>
    <m/>
    <m/>
    <m/>
    <m/>
    <m/>
    <m/>
    <s v="Negative"/>
    <s v="Negative"/>
    <s v="Accurate Prediction"/>
  </r>
  <r>
    <x v="0"/>
    <x v="66"/>
    <x v="15"/>
    <x v="28"/>
    <x v="0"/>
    <x v="29"/>
    <x v="427"/>
    <x v="6"/>
    <n v="0"/>
    <s v="Not Sampled"/>
    <n v="621"/>
    <m/>
    <m/>
    <m/>
    <m/>
    <m/>
    <m/>
    <m/>
    <m/>
    <s v="Negative"/>
    <s v="Not Sampled"/>
    <s v="Not Sampled"/>
  </r>
  <r>
    <x v="6"/>
    <x v="128"/>
    <x v="41"/>
    <x v="2"/>
    <x v="0"/>
    <x v="225"/>
    <x v="428"/>
    <x v="10"/>
    <n v="0"/>
    <n v="1"/>
    <n v="622"/>
    <m/>
    <m/>
    <m/>
    <m/>
    <m/>
    <m/>
    <m/>
    <m/>
    <s v="Negative"/>
    <s v="Positive"/>
    <s v="Inaccurate Prediction"/>
  </r>
  <r>
    <x v="1"/>
    <x v="19"/>
    <x v="9"/>
    <x v="21"/>
    <x v="133"/>
    <x v="111"/>
    <x v="429"/>
    <x v="4"/>
    <n v="0"/>
    <n v="0"/>
    <n v="623"/>
    <m/>
    <m/>
    <m/>
    <m/>
    <m/>
    <m/>
    <m/>
    <m/>
    <s v="Negative"/>
    <s v="Negative"/>
    <s v="Accurate Prediction"/>
  </r>
  <r>
    <x v="0"/>
    <x v="81"/>
    <x v="11"/>
    <x v="2"/>
    <x v="0"/>
    <x v="98"/>
    <x v="430"/>
    <x v="4"/>
    <n v="0"/>
    <s v="Not Sampled"/>
    <n v="624"/>
    <m/>
    <m/>
    <m/>
    <m/>
    <m/>
    <m/>
    <m/>
    <m/>
    <s v="Negative"/>
    <s v="Not Sampled"/>
    <s v="Not Sampled"/>
  </r>
  <r>
    <x v="3"/>
    <x v="30"/>
    <x v="21"/>
    <x v="19"/>
    <x v="120"/>
    <x v="50"/>
    <x v="431"/>
    <x v="29"/>
    <n v="0"/>
    <n v="0"/>
    <n v="625"/>
    <m/>
    <m/>
    <m/>
    <m/>
    <m/>
    <m/>
    <m/>
    <m/>
    <s v="Negative"/>
    <s v="Negative"/>
    <s v="Accurate Prediction"/>
  </r>
  <r>
    <x v="1"/>
    <x v="10"/>
    <x v="3"/>
    <x v="2"/>
    <x v="0"/>
    <x v="62"/>
    <x v="407"/>
    <x v="4"/>
    <n v="0"/>
    <s v="Not Sampled"/>
    <n v="626"/>
    <m/>
    <m/>
    <m/>
    <m/>
    <m/>
    <m/>
    <m/>
    <m/>
    <s v="Negative"/>
    <s v="Not Sampled"/>
    <s v="Not Sampled"/>
  </r>
  <r>
    <x v="1"/>
    <x v="77"/>
    <x v="4"/>
    <x v="2"/>
    <x v="0"/>
    <x v="68"/>
    <x v="432"/>
    <x v="4"/>
    <n v="0"/>
    <s v="Not Sampled"/>
    <n v="627"/>
    <m/>
    <m/>
    <m/>
    <m/>
    <m/>
    <m/>
    <m/>
    <m/>
    <s v="Negative"/>
    <s v="Not Sampled"/>
    <s v="Not Sampled"/>
  </r>
  <r>
    <x v="7"/>
    <x v="80"/>
    <x v="6"/>
    <x v="2"/>
    <x v="0"/>
    <x v="137"/>
    <x v="433"/>
    <x v="10"/>
    <n v="0"/>
    <s v="Not Sampled"/>
    <n v="628"/>
    <m/>
    <m/>
    <m/>
    <m/>
    <m/>
    <m/>
    <m/>
    <m/>
    <s v="Negative"/>
    <s v="Not Sampled"/>
    <s v="Not Sampled"/>
  </r>
  <r>
    <x v="3"/>
    <x v="19"/>
    <x v="7"/>
    <x v="29"/>
    <x v="0"/>
    <x v="62"/>
    <x v="271"/>
    <x v="4"/>
    <n v="0"/>
    <s v="Not Sampled"/>
    <n v="629"/>
    <m/>
    <m/>
    <m/>
    <m/>
    <m/>
    <m/>
    <m/>
    <m/>
    <s v="Negative"/>
    <s v="Not Sampled"/>
    <s v="Not Sampled"/>
  </r>
  <r>
    <x v="8"/>
    <x v="48"/>
    <x v="11"/>
    <x v="2"/>
    <x v="0"/>
    <x v="41"/>
    <x v="434"/>
    <x v="34"/>
    <n v="1"/>
    <s v="Not Sampled"/>
    <n v="630"/>
    <m/>
    <m/>
    <m/>
    <m/>
    <m/>
    <m/>
    <m/>
    <m/>
    <s v="Positive"/>
    <s v="Not Sampled"/>
    <s v="Not Sampled"/>
  </r>
  <r>
    <x v="1"/>
    <x v="29"/>
    <x v="4"/>
    <x v="32"/>
    <x v="12"/>
    <x v="93"/>
    <x v="21"/>
    <x v="3"/>
    <n v="0"/>
    <n v="0"/>
    <n v="631"/>
    <m/>
    <m/>
    <m/>
    <m/>
    <m/>
    <m/>
    <m/>
    <m/>
    <s v="Negative"/>
    <s v="Negative"/>
    <s v="Accurate Prediction"/>
  </r>
  <r>
    <x v="0"/>
    <x v="31"/>
    <x v="12"/>
    <x v="2"/>
    <x v="0"/>
    <x v="173"/>
    <x v="277"/>
    <x v="1"/>
    <n v="0"/>
    <s v="Not Sampled"/>
    <n v="632"/>
    <m/>
    <m/>
    <m/>
    <m/>
    <m/>
    <m/>
    <m/>
    <m/>
    <s v="Negative"/>
    <s v="Not Sampled"/>
    <s v="Not Sampled"/>
  </r>
  <r>
    <x v="2"/>
    <x v="80"/>
    <x v="1"/>
    <x v="6"/>
    <x v="164"/>
    <x v="155"/>
    <x v="435"/>
    <x v="11"/>
    <n v="0"/>
    <s v="Not Sampled"/>
    <n v="633"/>
    <m/>
    <m/>
    <m/>
    <m/>
    <m/>
    <m/>
    <m/>
    <m/>
    <s v="Negative"/>
    <s v="Not Sampled"/>
    <s v="Not Sampled"/>
  </r>
  <r>
    <x v="9"/>
    <x v="66"/>
    <x v="0"/>
    <x v="2"/>
    <x v="0"/>
    <x v="151"/>
    <x v="148"/>
    <x v="2"/>
    <n v="0"/>
    <s v="Not Sampled"/>
    <n v="634"/>
    <m/>
    <m/>
    <m/>
    <m/>
    <m/>
    <m/>
    <m/>
    <m/>
    <s v="Negative"/>
    <s v="Not Sampled"/>
    <s v="Not Sampled"/>
  </r>
  <r>
    <x v="13"/>
    <x v="88"/>
    <x v="5"/>
    <x v="2"/>
    <x v="0"/>
    <x v="84"/>
    <x v="436"/>
    <x v="19"/>
    <n v="1"/>
    <s v="Not Sampled"/>
    <n v="635"/>
    <m/>
    <m/>
    <m/>
    <m/>
    <m/>
    <m/>
    <m/>
    <m/>
    <s v="Positive"/>
    <s v="Not Sampled"/>
    <s v="Not Sampled"/>
  </r>
  <r>
    <x v="7"/>
    <x v="88"/>
    <x v="10"/>
    <x v="2"/>
    <x v="0"/>
    <x v="138"/>
    <x v="83"/>
    <x v="27"/>
    <n v="0"/>
    <s v="Not Sampled"/>
    <n v="636"/>
    <m/>
    <m/>
    <m/>
    <m/>
    <m/>
    <m/>
    <m/>
    <m/>
    <s v="Negative"/>
    <s v="Not Sampled"/>
    <s v="Not Sampled"/>
  </r>
  <r>
    <x v="0"/>
    <x v="19"/>
    <x v="15"/>
    <x v="10"/>
    <x v="5"/>
    <x v="31"/>
    <x v="437"/>
    <x v="1"/>
    <n v="0"/>
    <s v="Not Sampled"/>
    <n v="637"/>
    <m/>
    <m/>
    <m/>
    <m/>
    <m/>
    <m/>
    <m/>
    <m/>
    <s v="Negative"/>
    <s v="Not Sampled"/>
    <s v="Not Sampled"/>
  </r>
  <r>
    <x v="8"/>
    <x v="75"/>
    <x v="15"/>
    <x v="5"/>
    <x v="165"/>
    <x v="105"/>
    <x v="438"/>
    <x v="32"/>
    <n v="1"/>
    <s v="Not Sampled"/>
    <n v="638"/>
    <m/>
    <m/>
    <m/>
    <m/>
    <m/>
    <m/>
    <m/>
    <m/>
    <s v="Positive"/>
    <s v="Not Sampled"/>
    <s v="Not Sampled"/>
  </r>
  <r>
    <x v="2"/>
    <x v="45"/>
    <x v="10"/>
    <x v="39"/>
    <x v="166"/>
    <x v="222"/>
    <x v="439"/>
    <x v="6"/>
    <n v="0"/>
    <s v="Not Sampled"/>
    <n v="639"/>
    <m/>
    <m/>
    <m/>
    <m/>
    <m/>
    <m/>
    <m/>
    <m/>
    <s v="Negative"/>
    <s v="Not Sampled"/>
    <s v="Not Sampled"/>
  </r>
  <r>
    <x v="1"/>
    <x v="29"/>
    <x v="24"/>
    <x v="6"/>
    <x v="16"/>
    <x v="17"/>
    <x v="440"/>
    <x v="23"/>
    <n v="0"/>
    <s v="Not Sampled"/>
    <n v="640"/>
    <m/>
    <m/>
    <m/>
    <m/>
    <m/>
    <m/>
    <m/>
    <m/>
    <s v="Negative"/>
    <s v="Not Sampled"/>
    <s v="Not Sampled"/>
  </r>
  <r>
    <x v="3"/>
    <x v="80"/>
    <x v="9"/>
    <x v="2"/>
    <x v="0"/>
    <x v="82"/>
    <x v="441"/>
    <x v="3"/>
    <n v="0"/>
    <n v="0"/>
    <n v="641"/>
    <m/>
    <m/>
    <m/>
    <m/>
    <m/>
    <m/>
    <m/>
    <m/>
    <s v="Negative"/>
    <s v="Negative"/>
    <s v="Accurate Prediction"/>
  </r>
  <r>
    <x v="6"/>
    <x v="83"/>
    <x v="6"/>
    <x v="2"/>
    <x v="0"/>
    <x v="81"/>
    <x v="81"/>
    <x v="48"/>
    <n v="1"/>
    <s v="Not Sampled"/>
    <n v="642"/>
    <m/>
    <m/>
    <m/>
    <m/>
    <m/>
    <m/>
    <m/>
    <m/>
    <s v="Positive"/>
    <s v="Not Sampled"/>
    <s v="Not Sampled"/>
  </r>
  <r>
    <x v="3"/>
    <x v="30"/>
    <x v="2"/>
    <x v="2"/>
    <x v="0"/>
    <x v="43"/>
    <x v="442"/>
    <x v="2"/>
    <n v="0"/>
    <s v="Not Sampled"/>
    <n v="643"/>
    <m/>
    <m/>
    <m/>
    <m/>
    <m/>
    <m/>
    <m/>
    <m/>
    <s v="Negative"/>
    <s v="Not Sampled"/>
    <s v="Not Sampled"/>
  </r>
  <r>
    <x v="5"/>
    <x v="28"/>
    <x v="5"/>
    <x v="8"/>
    <x v="40"/>
    <x v="32"/>
    <x v="443"/>
    <x v="23"/>
    <n v="0"/>
    <n v="0"/>
    <n v="644"/>
    <m/>
    <m/>
    <m/>
    <m/>
    <m/>
    <m/>
    <m/>
    <m/>
    <s v="Negative"/>
    <s v="Negative"/>
    <s v="Accurate Prediction"/>
  </r>
  <r>
    <x v="0"/>
    <x v="111"/>
    <x v="10"/>
    <x v="0"/>
    <x v="167"/>
    <x v="121"/>
    <x v="444"/>
    <x v="13"/>
    <n v="0"/>
    <s v="Not Sampled"/>
    <n v="645"/>
    <m/>
    <m/>
    <m/>
    <m/>
    <m/>
    <m/>
    <m/>
    <m/>
    <s v="Negative"/>
    <s v="Not Sampled"/>
    <s v="Not Sampled"/>
  </r>
  <r>
    <x v="2"/>
    <x v="107"/>
    <x v="10"/>
    <x v="6"/>
    <x v="162"/>
    <x v="226"/>
    <x v="445"/>
    <x v="9"/>
    <n v="1"/>
    <s v="Not Sampled"/>
    <n v="646"/>
    <m/>
    <m/>
    <m/>
    <m/>
    <m/>
    <m/>
    <m/>
    <m/>
    <s v="Positive"/>
    <s v="Not Sampled"/>
    <s v="Not Sampled"/>
  </r>
  <r>
    <x v="1"/>
    <x v="91"/>
    <x v="13"/>
    <x v="35"/>
    <x v="168"/>
    <x v="136"/>
    <x v="446"/>
    <x v="11"/>
    <n v="1"/>
    <s v="Not Sampled"/>
    <n v="647"/>
    <m/>
    <m/>
    <m/>
    <m/>
    <m/>
    <m/>
    <m/>
    <m/>
    <s v="Positive"/>
    <s v="Not Sampled"/>
    <s v="Not Sampled"/>
  </r>
  <r>
    <x v="12"/>
    <x v="60"/>
    <x v="16"/>
    <x v="0"/>
    <x v="66"/>
    <x v="227"/>
    <x v="112"/>
    <x v="8"/>
    <n v="1"/>
    <s v="Not Sampled"/>
    <n v="648"/>
    <m/>
    <m/>
    <m/>
    <m/>
    <m/>
    <m/>
    <m/>
    <m/>
    <s v="Positive"/>
    <s v="Not Sampled"/>
    <s v="Not Sampled"/>
  </r>
  <r>
    <x v="1"/>
    <x v="61"/>
    <x v="12"/>
    <x v="14"/>
    <x v="0"/>
    <x v="199"/>
    <x v="447"/>
    <x v="1"/>
    <n v="0"/>
    <s v="Not Sampled"/>
    <n v="649"/>
    <m/>
    <m/>
    <m/>
    <m/>
    <m/>
    <m/>
    <m/>
    <m/>
    <s v="Negative"/>
    <s v="Not Sampled"/>
    <s v="Not Sampled"/>
  </r>
  <r>
    <x v="2"/>
    <x v="25"/>
    <x v="14"/>
    <x v="14"/>
    <x v="31"/>
    <x v="18"/>
    <x v="297"/>
    <x v="1"/>
    <n v="0"/>
    <s v="Not Sampled"/>
    <n v="650"/>
    <m/>
    <m/>
    <m/>
    <m/>
    <m/>
    <m/>
    <m/>
    <m/>
    <s v="Negative"/>
    <s v="Not Sampled"/>
    <s v="Not Sampled"/>
  </r>
  <r>
    <x v="2"/>
    <x v="17"/>
    <x v="12"/>
    <x v="17"/>
    <x v="148"/>
    <x v="97"/>
    <x v="372"/>
    <x v="23"/>
    <n v="0"/>
    <s v="Not Sampled"/>
    <n v="651"/>
    <m/>
    <m/>
    <m/>
    <m/>
    <m/>
    <m/>
    <m/>
    <m/>
    <s v="Negative"/>
    <s v="Not Sampled"/>
    <s v="Not Sampled"/>
  </r>
  <r>
    <x v="7"/>
    <x v="62"/>
    <x v="10"/>
    <x v="32"/>
    <x v="152"/>
    <x v="174"/>
    <x v="363"/>
    <x v="6"/>
    <n v="0"/>
    <s v="Not Sampled"/>
    <n v="652"/>
    <m/>
    <m/>
    <m/>
    <m/>
    <m/>
    <m/>
    <m/>
    <m/>
    <s v="Negative"/>
    <s v="Not Sampled"/>
    <s v="Not Sampled"/>
  </r>
  <r>
    <x v="0"/>
    <x v="24"/>
    <x v="14"/>
    <x v="2"/>
    <x v="0"/>
    <x v="90"/>
    <x v="446"/>
    <x v="23"/>
    <n v="0"/>
    <n v="0"/>
    <n v="653"/>
    <m/>
    <m/>
    <m/>
    <m/>
    <m/>
    <m/>
    <m/>
    <m/>
    <s v="Negative"/>
    <s v="Negative"/>
    <s v="Accurate Prediction"/>
  </r>
  <r>
    <x v="2"/>
    <x v="33"/>
    <x v="9"/>
    <x v="7"/>
    <x v="42"/>
    <x v="89"/>
    <x v="173"/>
    <x v="11"/>
    <n v="0"/>
    <n v="0"/>
    <n v="654"/>
    <m/>
    <m/>
    <m/>
    <m/>
    <m/>
    <m/>
    <m/>
    <m/>
    <s v="Negative"/>
    <s v="Negative"/>
    <s v="Accurate Prediction"/>
  </r>
  <r>
    <x v="0"/>
    <x v="70"/>
    <x v="33"/>
    <x v="21"/>
    <x v="169"/>
    <x v="162"/>
    <x v="236"/>
    <x v="14"/>
    <n v="1"/>
    <n v="0"/>
    <n v="655"/>
    <m/>
    <m/>
    <m/>
    <m/>
    <m/>
    <m/>
    <m/>
    <m/>
    <s v="Positive"/>
    <s v="Negative"/>
    <s v="Inaccurate Prediction"/>
  </r>
  <r>
    <x v="0"/>
    <x v="39"/>
    <x v="22"/>
    <x v="0"/>
    <x v="12"/>
    <x v="181"/>
    <x v="448"/>
    <x v="11"/>
    <n v="0"/>
    <s v="Not Sampled"/>
    <n v="656"/>
    <m/>
    <m/>
    <m/>
    <m/>
    <m/>
    <m/>
    <m/>
    <m/>
    <s v="Negative"/>
    <s v="Not Sampled"/>
    <s v="Not Sampled"/>
  </r>
  <r>
    <x v="2"/>
    <x v="24"/>
    <x v="6"/>
    <x v="46"/>
    <x v="170"/>
    <x v="228"/>
    <x v="449"/>
    <x v="17"/>
    <n v="0"/>
    <s v="Not Sampled"/>
    <n v="657"/>
    <m/>
    <m/>
    <m/>
    <m/>
    <m/>
    <m/>
    <m/>
    <m/>
    <s v="Negative"/>
    <s v="Not Sampled"/>
    <s v="Not Sampled"/>
  </r>
  <r>
    <x v="12"/>
    <x v="117"/>
    <x v="44"/>
    <x v="2"/>
    <x v="0"/>
    <x v="20"/>
    <x v="163"/>
    <x v="42"/>
    <n v="0"/>
    <s v="Not Sampled"/>
    <n v="658"/>
    <m/>
    <m/>
    <m/>
    <m/>
    <m/>
    <m/>
    <m/>
    <m/>
    <s v="Negative"/>
    <s v="Not Sampled"/>
    <s v="Not Sampled"/>
  </r>
  <r>
    <x v="5"/>
    <x v="11"/>
    <x v="1"/>
    <x v="1"/>
    <x v="19"/>
    <x v="89"/>
    <x v="450"/>
    <x v="23"/>
    <n v="1"/>
    <s v="Not Sampled"/>
    <n v="659"/>
    <m/>
    <m/>
    <m/>
    <m/>
    <m/>
    <m/>
    <m/>
    <m/>
    <s v="Positive"/>
    <s v="Not Sampled"/>
    <s v="Not Sampled"/>
  </r>
  <r>
    <x v="9"/>
    <x v="76"/>
    <x v="16"/>
    <x v="2"/>
    <x v="0"/>
    <x v="116"/>
    <x v="451"/>
    <x v="28"/>
    <n v="0"/>
    <n v="1"/>
    <n v="660"/>
    <m/>
    <m/>
    <m/>
    <m/>
    <m/>
    <m/>
    <m/>
    <m/>
    <s v="Negative"/>
    <s v="Positive"/>
    <s v="Inaccurate Prediction"/>
  </r>
  <r>
    <x v="2"/>
    <x v="130"/>
    <x v="15"/>
    <x v="44"/>
    <x v="0"/>
    <x v="92"/>
    <x v="452"/>
    <x v="11"/>
    <n v="1"/>
    <n v="1"/>
    <n v="661"/>
    <m/>
    <m/>
    <m/>
    <m/>
    <m/>
    <m/>
    <m/>
    <m/>
    <s v="Positive"/>
    <s v="Positive"/>
    <s v="Accurate Prediction"/>
  </r>
  <r>
    <x v="4"/>
    <x v="107"/>
    <x v="44"/>
    <x v="40"/>
    <x v="109"/>
    <x v="209"/>
    <x v="84"/>
    <x v="33"/>
    <n v="1"/>
    <s v="Not Sampled"/>
    <n v="662"/>
    <m/>
    <m/>
    <m/>
    <m/>
    <m/>
    <m/>
    <m/>
    <m/>
    <s v="Positive"/>
    <s v="Not Sampled"/>
    <s v="Not Sampled"/>
  </r>
  <r>
    <x v="11"/>
    <x v="2"/>
    <x v="6"/>
    <x v="40"/>
    <x v="66"/>
    <x v="160"/>
    <x v="143"/>
    <x v="18"/>
    <n v="1"/>
    <s v="Not Sampled"/>
    <n v="663"/>
    <m/>
    <m/>
    <m/>
    <m/>
    <m/>
    <m/>
    <m/>
    <m/>
    <s v="Positive"/>
    <s v="Not Sampled"/>
    <s v="Not Sampled"/>
  </r>
  <r>
    <x v="6"/>
    <x v="109"/>
    <x v="12"/>
    <x v="15"/>
    <x v="0"/>
    <x v="47"/>
    <x v="404"/>
    <x v="18"/>
    <n v="1"/>
    <s v="Not Sampled"/>
    <n v="664"/>
    <m/>
    <m/>
    <m/>
    <m/>
    <m/>
    <m/>
    <m/>
    <m/>
    <s v="Positive"/>
    <s v="Not Sampled"/>
    <s v="Not Sampled"/>
  </r>
  <r>
    <x v="2"/>
    <x v="56"/>
    <x v="6"/>
    <x v="45"/>
    <x v="103"/>
    <x v="124"/>
    <x v="453"/>
    <x v="3"/>
    <n v="0"/>
    <s v="Not Sampled"/>
    <n v="665"/>
    <m/>
    <m/>
    <m/>
    <m/>
    <m/>
    <m/>
    <m/>
    <m/>
    <s v="Negative"/>
    <s v="Not Sampled"/>
    <s v="Not Sampled"/>
  </r>
  <r>
    <x v="3"/>
    <x v="2"/>
    <x v="1"/>
    <x v="10"/>
    <x v="0"/>
    <x v="56"/>
    <x v="41"/>
    <x v="50"/>
    <n v="1"/>
    <s v="Not Sampled"/>
    <n v="666"/>
    <m/>
    <m/>
    <m/>
    <m/>
    <m/>
    <m/>
    <m/>
    <m/>
    <s v="Positive"/>
    <s v="Not Sampled"/>
    <s v="Not Sampled"/>
  </r>
  <r>
    <x v="9"/>
    <x v="31"/>
    <x v="9"/>
    <x v="21"/>
    <x v="0"/>
    <x v="155"/>
    <x v="425"/>
    <x v="18"/>
    <n v="1"/>
    <s v="Not Sampled"/>
    <n v="667"/>
    <m/>
    <m/>
    <m/>
    <m/>
    <m/>
    <m/>
    <m/>
    <m/>
    <s v="Positive"/>
    <s v="Not Sampled"/>
    <s v="Not Sampled"/>
  </r>
  <r>
    <x v="6"/>
    <x v="116"/>
    <x v="22"/>
    <x v="12"/>
    <x v="72"/>
    <x v="37"/>
    <x v="400"/>
    <x v="33"/>
    <n v="0"/>
    <s v="Not Sampled"/>
    <n v="668"/>
    <m/>
    <m/>
    <m/>
    <m/>
    <m/>
    <m/>
    <m/>
    <m/>
    <s v="Negative"/>
    <s v="Not Sampled"/>
    <s v="Not Sampled"/>
  </r>
  <r>
    <x v="11"/>
    <x v="16"/>
    <x v="4"/>
    <x v="8"/>
    <x v="31"/>
    <x v="125"/>
    <x v="192"/>
    <x v="10"/>
    <n v="0"/>
    <s v="Not Sampled"/>
    <n v="669"/>
    <m/>
    <m/>
    <m/>
    <m/>
    <m/>
    <m/>
    <m/>
    <m/>
    <s v="Negative"/>
    <s v="Not Sampled"/>
    <s v="Not Sampled"/>
  </r>
  <r>
    <x v="6"/>
    <x v="102"/>
    <x v="3"/>
    <x v="16"/>
    <x v="49"/>
    <x v="0"/>
    <x v="454"/>
    <x v="43"/>
    <n v="0"/>
    <s v="Not Sampled"/>
    <n v="670"/>
    <m/>
    <m/>
    <m/>
    <m/>
    <m/>
    <m/>
    <m/>
    <m/>
    <s v="Negative"/>
    <s v="Not Sampled"/>
    <s v="Not Sampled"/>
  </r>
  <r>
    <x v="2"/>
    <x v="6"/>
    <x v="22"/>
    <x v="25"/>
    <x v="0"/>
    <x v="54"/>
    <x v="7"/>
    <x v="4"/>
    <n v="0"/>
    <n v="0"/>
    <n v="671"/>
    <m/>
    <m/>
    <m/>
    <m/>
    <m/>
    <m/>
    <m/>
    <m/>
    <s v="Negative"/>
    <s v="Negative"/>
    <s v="Accurate Prediction"/>
  </r>
  <r>
    <x v="9"/>
    <x v="123"/>
    <x v="44"/>
    <x v="17"/>
    <x v="51"/>
    <x v="130"/>
    <x v="350"/>
    <x v="0"/>
    <n v="0"/>
    <s v="Not Sampled"/>
    <n v="672"/>
    <m/>
    <m/>
    <m/>
    <m/>
    <m/>
    <m/>
    <m/>
    <m/>
    <s v="Negative"/>
    <s v="Not Sampled"/>
    <s v="Not Sampled"/>
  </r>
  <r>
    <x v="5"/>
    <x v="62"/>
    <x v="39"/>
    <x v="0"/>
    <x v="20"/>
    <x v="229"/>
    <x v="455"/>
    <x v="11"/>
    <n v="0"/>
    <s v="Not Sampled"/>
    <n v="673"/>
    <m/>
    <m/>
    <m/>
    <m/>
    <m/>
    <m/>
    <m/>
    <m/>
    <s v="Negative"/>
    <s v="Not Sampled"/>
    <s v="Not Sampled"/>
  </r>
  <r>
    <x v="4"/>
    <x v="25"/>
    <x v="1"/>
    <x v="2"/>
    <x v="0"/>
    <x v="230"/>
    <x v="59"/>
    <x v="51"/>
    <n v="0"/>
    <n v="0"/>
    <n v="674"/>
    <m/>
    <m/>
    <m/>
    <m/>
    <m/>
    <m/>
    <m/>
    <m/>
    <s v="Negative"/>
    <s v="Negative"/>
    <s v="Accurate Prediction"/>
  </r>
  <r>
    <x v="6"/>
    <x v="15"/>
    <x v="9"/>
    <x v="2"/>
    <x v="0"/>
    <x v="125"/>
    <x v="338"/>
    <x v="2"/>
    <n v="1"/>
    <n v="1"/>
    <n v="675"/>
    <m/>
    <m/>
    <m/>
    <m/>
    <m/>
    <m/>
    <m/>
    <m/>
    <s v="Positive"/>
    <s v="Positive"/>
    <s v="Accurate Prediction"/>
  </r>
  <r>
    <x v="11"/>
    <x v="84"/>
    <x v="24"/>
    <x v="2"/>
    <x v="0"/>
    <x v="172"/>
    <x v="344"/>
    <x v="49"/>
    <n v="1"/>
    <s v="Not Sampled"/>
    <n v="676"/>
    <m/>
    <m/>
    <m/>
    <m/>
    <m/>
    <m/>
    <m/>
    <m/>
    <s v="Positive"/>
    <s v="Not Sampled"/>
    <s v="Not Sampled"/>
  </r>
  <r>
    <x v="1"/>
    <x v="67"/>
    <x v="12"/>
    <x v="2"/>
    <x v="0"/>
    <x v="186"/>
    <x v="22"/>
    <x v="14"/>
    <n v="0"/>
    <s v="Not Sampled"/>
    <n v="677"/>
    <m/>
    <m/>
    <m/>
    <m/>
    <m/>
    <m/>
    <m/>
    <m/>
    <s v="Negative"/>
    <s v="Not Sampled"/>
    <s v="Not Sampled"/>
  </r>
  <r>
    <x v="5"/>
    <x v="126"/>
    <x v="33"/>
    <x v="2"/>
    <x v="0"/>
    <x v="231"/>
    <x v="0"/>
    <x v="14"/>
    <n v="1"/>
    <s v="Not Sampled"/>
    <n v="678"/>
    <m/>
    <m/>
    <m/>
    <m/>
    <m/>
    <m/>
    <m/>
    <m/>
    <s v="Positive"/>
    <s v="Not Sampled"/>
    <s v="Not Sampled"/>
  </r>
  <r>
    <x v="0"/>
    <x v="39"/>
    <x v="22"/>
    <x v="6"/>
    <x v="4"/>
    <x v="29"/>
    <x v="456"/>
    <x v="1"/>
    <n v="0"/>
    <n v="0"/>
    <n v="679"/>
    <m/>
    <m/>
    <m/>
    <m/>
    <m/>
    <m/>
    <m/>
    <m/>
    <s v="Negative"/>
    <s v="Negative"/>
    <s v="Accurate Prediction"/>
  </r>
  <r>
    <x v="0"/>
    <x v="131"/>
    <x v="20"/>
    <x v="7"/>
    <x v="83"/>
    <x v="29"/>
    <x v="457"/>
    <x v="11"/>
    <n v="0"/>
    <s v="Not Sampled"/>
    <n v="680"/>
    <m/>
    <m/>
    <m/>
    <m/>
    <m/>
    <m/>
    <m/>
    <m/>
    <s v="Negative"/>
    <s v="Not Sampled"/>
    <s v="Not Sampled"/>
  </r>
  <r>
    <x v="1"/>
    <x v="76"/>
    <x v="15"/>
    <x v="35"/>
    <x v="0"/>
    <x v="232"/>
    <x v="356"/>
    <x v="25"/>
    <n v="1"/>
    <s v="Not Sampled"/>
    <n v="681"/>
    <m/>
    <m/>
    <m/>
    <m/>
    <m/>
    <m/>
    <m/>
    <m/>
    <s v="Positive"/>
    <s v="Not Sampled"/>
    <s v="Not Sampled"/>
  </r>
  <r>
    <x v="1"/>
    <x v="50"/>
    <x v="11"/>
    <x v="15"/>
    <x v="16"/>
    <x v="233"/>
    <x v="458"/>
    <x v="11"/>
    <n v="0"/>
    <s v="Not Sampled"/>
    <n v="682"/>
    <m/>
    <m/>
    <m/>
    <m/>
    <m/>
    <m/>
    <m/>
    <m/>
    <s v="Negative"/>
    <s v="Not Sampled"/>
    <s v="Not Sampled"/>
  </r>
  <r>
    <x v="3"/>
    <x v="10"/>
    <x v="6"/>
    <x v="2"/>
    <x v="0"/>
    <x v="167"/>
    <x v="4"/>
    <x v="23"/>
    <n v="1"/>
    <s v="Not Sampled"/>
    <n v="683"/>
    <m/>
    <m/>
    <m/>
    <m/>
    <m/>
    <m/>
    <m/>
    <m/>
    <s v="Positive"/>
    <s v="Not Sampled"/>
    <s v="Not Sampled"/>
  </r>
  <r>
    <x v="7"/>
    <x v="60"/>
    <x v="1"/>
    <x v="2"/>
    <x v="0"/>
    <x v="12"/>
    <x v="172"/>
    <x v="37"/>
    <n v="0"/>
    <s v="Not Sampled"/>
    <n v="684"/>
    <m/>
    <m/>
    <m/>
    <m/>
    <m/>
    <m/>
    <m/>
    <m/>
    <s v="Negative"/>
    <s v="Not Sampled"/>
    <s v="Not Sampled"/>
  </r>
  <r>
    <x v="0"/>
    <x v="52"/>
    <x v="10"/>
    <x v="16"/>
    <x v="106"/>
    <x v="34"/>
    <x v="392"/>
    <x v="14"/>
    <n v="0"/>
    <s v="Not Sampled"/>
    <n v="685"/>
    <m/>
    <m/>
    <m/>
    <m/>
    <m/>
    <m/>
    <m/>
    <m/>
    <s v="Negative"/>
    <s v="Not Sampled"/>
    <s v="Not Sampled"/>
  </r>
  <r>
    <x v="5"/>
    <x v="23"/>
    <x v="11"/>
    <x v="2"/>
    <x v="0"/>
    <x v="179"/>
    <x v="23"/>
    <x v="11"/>
    <n v="0"/>
    <s v="Not Sampled"/>
    <n v="686"/>
    <m/>
    <m/>
    <m/>
    <m/>
    <m/>
    <m/>
    <m/>
    <m/>
    <s v="Negative"/>
    <s v="Not Sampled"/>
    <s v="Not Sampled"/>
  </r>
  <r>
    <x v="2"/>
    <x v="61"/>
    <x v="13"/>
    <x v="13"/>
    <x v="0"/>
    <x v="227"/>
    <x v="459"/>
    <x v="29"/>
    <n v="0"/>
    <s v="Not Sampled"/>
    <n v="687"/>
    <m/>
    <m/>
    <m/>
    <m/>
    <m/>
    <m/>
    <m/>
    <m/>
    <s v="Negative"/>
    <s v="Not Sampled"/>
    <s v="Not Sampled"/>
  </r>
  <r>
    <x v="2"/>
    <x v="98"/>
    <x v="10"/>
    <x v="16"/>
    <x v="105"/>
    <x v="234"/>
    <x v="460"/>
    <x v="1"/>
    <n v="0"/>
    <s v="Not Sampled"/>
    <n v="688"/>
    <m/>
    <m/>
    <m/>
    <m/>
    <m/>
    <m/>
    <m/>
    <m/>
    <s v="Negative"/>
    <s v="Not Sampled"/>
    <s v="Not Sampled"/>
  </r>
  <r>
    <x v="2"/>
    <x v="65"/>
    <x v="1"/>
    <x v="40"/>
    <x v="105"/>
    <x v="210"/>
    <x v="461"/>
    <x v="22"/>
    <n v="1"/>
    <s v="Not Sampled"/>
    <n v="689"/>
    <m/>
    <m/>
    <m/>
    <m/>
    <m/>
    <m/>
    <m/>
    <m/>
    <s v="Positive"/>
    <s v="Not Sampled"/>
    <s v="Not Sampled"/>
  </r>
  <r>
    <x v="4"/>
    <x v="61"/>
    <x v="6"/>
    <x v="2"/>
    <x v="0"/>
    <x v="66"/>
    <x v="462"/>
    <x v="34"/>
    <n v="0"/>
    <s v="Not Sampled"/>
    <n v="690"/>
    <m/>
    <m/>
    <m/>
    <m/>
    <m/>
    <m/>
    <m/>
    <m/>
    <s v="Negative"/>
    <s v="Not Sampled"/>
    <s v="Not Sampled"/>
  </r>
  <r>
    <x v="13"/>
    <x v="95"/>
    <x v="45"/>
    <x v="2"/>
    <x v="0"/>
    <x v="3"/>
    <x v="423"/>
    <x v="30"/>
    <n v="1"/>
    <s v="Not Sampled"/>
    <n v="691"/>
    <m/>
    <m/>
    <m/>
    <m/>
    <m/>
    <m/>
    <m/>
    <m/>
    <s v="Positive"/>
    <s v="Not Sampled"/>
    <s v="Not Sampled"/>
  </r>
  <r>
    <x v="0"/>
    <x v="126"/>
    <x v="9"/>
    <x v="5"/>
    <x v="142"/>
    <x v="44"/>
    <x v="463"/>
    <x v="1"/>
    <n v="0"/>
    <n v="0"/>
    <n v="692"/>
    <m/>
    <m/>
    <m/>
    <m/>
    <m/>
    <m/>
    <m/>
    <m/>
    <s v="Negative"/>
    <s v="Negative"/>
    <s v="Accurate Prediction"/>
  </r>
  <r>
    <x v="8"/>
    <x v="52"/>
    <x v="3"/>
    <x v="48"/>
    <x v="1"/>
    <x v="70"/>
    <x v="464"/>
    <x v="33"/>
    <n v="1"/>
    <n v="1"/>
    <n v="693"/>
    <m/>
    <m/>
    <m/>
    <m/>
    <m/>
    <m/>
    <m/>
    <m/>
    <s v="Positive"/>
    <s v="Positive"/>
    <s v="Accurate Prediction"/>
  </r>
  <r>
    <x v="0"/>
    <x v="30"/>
    <x v="12"/>
    <x v="2"/>
    <x v="0"/>
    <x v="177"/>
    <x v="465"/>
    <x v="14"/>
    <n v="0"/>
    <s v="Not Sampled"/>
    <n v="694"/>
    <m/>
    <m/>
    <m/>
    <m/>
    <m/>
    <m/>
    <m/>
    <m/>
    <s v="Negative"/>
    <s v="Not Sampled"/>
    <s v="Not Sampled"/>
  </r>
  <r>
    <x v="8"/>
    <x v="64"/>
    <x v="8"/>
    <x v="20"/>
    <x v="3"/>
    <x v="25"/>
    <x v="238"/>
    <x v="33"/>
    <n v="1"/>
    <s v="Not Sampled"/>
    <n v="695"/>
    <m/>
    <m/>
    <m/>
    <m/>
    <m/>
    <m/>
    <m/>
    <m/>
    <s v="Positive"/>
    <s v="Not Sampled"/>
    <s v="Not Sampled"/>
  </r>
  <r>
    <x v="5"/>
    <x v="132"/>
    <x v="10"/>
    <x v="13"/>
    <x v="1"/>
    <x v="106"/>
    <x v="32"/>
    <x v="2"/>
    <n v="1"/>
    <s v="Not Sampled"/>
    <n v="696"/>
    <m/>
    <m/>
    <m/>
    <m/>
    <m/>
    <m/>
    <m/>
    <m/>
    <s v="Positive"/>
    <s v="Not Sampled"/>
    <s v="Not Sampled"/>
  </r>
  <r>
    <x v="1"/>
    <x v="6"/>
    <x v="2"/>
    <x v="2"/>
    <x v="0"/>
    <x v="26"/>
    <x v="466"/>
    <x v="11"/>
    <n v="0"/>
    <n v="0"/>
    <n v="697"/>
    <m/>
    <m/>
    <m/>
    <m/>
    <m/>
    <m/>
    <m/>
    <m/>
    <s v="Negative"/>
    <s v="Negative"/>
    <s v="Accurate Prediction"/>
  </r>
  <r>
    <x v="3"/>
    <x v="117"/>
    <x v="21"/>
    <x v="22"/>
    <x v="59"/>
    <x v="93"/>
    <x v="467"/>
    <x v="6"/>
    <n v="0"/>
    <n v="0"/>
    <n v="698"/>
    <m/>
    <m/>
    <m/>
    <m/>
    <m/>
    <m/>
    <m/>
    <m/>
    <s v="Negative"/>
    <s v="Negative"/>
    <s v="Accurate Prediction"/>
  </r>
  <r>
    <x v="3"/>
    <x v="78"/>
    <x v="9"/>
    <x v="2"/>
    <x v="0"/>
    <x v="235"/>
    <x v="468"/>
    <x v="25"/>
    <n v="0"/>
    <s v="Not Sampled"/>
    <n v="699"/>
    <m/>
    <m/>
    <m/>
    <m/>
    <m/>
    <m/>
    <m/>
    <m/>
    <s v="Negative"/>
    <s v="Not Sampled"/>
    <s v="Not Sampled"/>
  </r>
  <r>
    <x v="0"/>
    <x v="27"/>
    <x v="15"/>
    <x v="21"/>
    <x v="170"/>
    <x v="117"/>
    <x v="469"/>
    <x v="25"/>
    <n v="0"/>
    <n v="0"/>
    <n v="700"/>
    <m/>
    <m/>
    <m/>
    <m/>
    <m/>
    <m/>
    <m/>
    <m/>
    <s v="Negative"/>
    <s v="Negative"/>
    <s v="Accurate Prediction"/>
  </r>
  <r>
    <x v="6"/>
    <x v="10"/>
    <x v="4"/>
    <x v="1"/>
    <x v="0"/>
    <x v="32"/>
    <x v="470"/>
    <x v="43"/>
    <n v="1"/>
    <n v="0"/>
    <n v="701"/>
    <m/>
    <m/>
    <m/>
    <m/>
    <m/>
    <m/>
    <m/>
    <m/>
    <s v="Positive"/>
    <s v="Negative"/>
    <s v="Inaccurate Prediction"/>
  </r>
  <r>
    <x v="2"/>
    <x v="120"/>
    <x v="21"/>
    <x v="30"/>
    <x v="0"/>
    <x v="145"/>
    <x v="180"/>
    <x v="41"/>
    <n v="1"/>
    <n v="1"/>
    <n v="702"/>
    <m/>
    <m/>
    <m/>
    <m/>
    <m/>
    <m/>
    <m/>
    <m/>
    <s v="Positive"/>
    <s v="Positive"/>
    <s v="Accurate Prediction"/>
  </r>
  <r>
    <x v="0"/>
    <x v="52"/>
    <x v="2"/>
    <x v="2"/>
    <x v="0"/>
    <x v="70"/>
    <x v="13"/>
    <x v="17"/>
    <n v="0"/>
    <s v="Not Sampled"/>
    <n v="703"/>
    <m/>
    <m/>
    <m/>
    <m/>
    <m/>
    <m/>
    <m/>
    <m/>
    <s v="Negative"/>
    <s v="Not Sampled"/>
    <s v="Not Sampled"/>
  </r>
  <r>
    <x v="3"/>
    <x v="13"/>
    <x v="15"/>
    <x v="28"/>
    <x v="31"/>
    <x v="109"/>
    <x v="471"/>
    <x v="23"/>
    <n v="0"/>
    <s v="Not Sampled"/>
    <n v="704"/>
    <m/>
    <m/>
    <m/>
    <m/>
    <m/>
    <m/>
    <m/>
    <m/>
    <s v="Negative"/>
    <s v="Not Sampled"/>
    <s v="Not Sampled"/>
  </r>
  <r>
    <x v="6"/>
    <x v="11"/>
    <x v="6"/>
    <x v="35"/>
    <x v="0"/>
    <x v="236"/>
    <x v="472"/>
    <x v="6"/>
    <n v="0"/>
    <n v="0"/>
    <n v="705"/>
    <m/>
    <m/>
    <m/>
    <m/>
    <m/>
    <m/>
    <m/>
    <m/>
    <s v="Negative"/>
    <s v="Negative"/>
    <s v="Accurate Prediction"/>
  </r>
  <r>
    <x v="9"/>
    <x v="109"/>
    <x v="2"/>
    <x v="2"/>
    <x v="0"/>
    <x v="12"/>
    <x v="86"/>
    <x v="13"/>
    <n v="1"/>
    <s v="Not Sampled"/>
    <n v="706"/>
    <m/>
    <m/>
    <m/>
    <m/>
    <m/>
    <m/>
    <m/>
    <m/>
    <s v="Positive"/>
    <s v="Not Sampled"/>
    <s v="Not Sampled"/>
  </r>
  <r>
    <x v="0"/>
    <x v="117"/>
    <x v="37"/>
    <x v="23"/>
    <x v="171"/>
    <x v="184"/>
    <x v="473"/>
    <x v="11"/>
    <n v="0"/>
    <s v="Not Sampled"/>
    <n v="707"/>
    <m/>
    <m/>
    <m/>
    <m/>
    <m/>
    <m/>
    <m/>
    <m/>
    <s v="Negative"/>
    <s v="Not Sampled"/>
    <s v="Not Sampled"/>
  </r>
  <r>
    <x v="11"/>
    <x v="101"/>
    <x v="4"/>
    <x v="2"/>
    <x v="0"/>
    <x v="10"/>
    <x v="271"/>
    <x v="10"/>
    <n v="1"/>
    <s v="Not Sampled"/>
    <n v="708"/>
    <m/>
    <m/>
    <m/>
    <m/>
    <m/>
    <m/>
    <m/>
    <m/>
    <s v="Positive"/>
    <s v="Not Sampled"/>
    <s v="Not Sampled"/>
  </r>
  <r>
    <x v="0"/>
    <x v="67"/>
    <x v="11"/>
    <x v="5"/>
    <x v="69"/>
    <x v="237"/>
    <x v="326"/>
    <x v="1"/>
    <n v="1"/>
    <s v="Not Sampled"/>
    <n v="709"/>
    <m/>
    <m/>
    <m/>
    <m/>
    <m/>
    <m/>
    <m/>
    <m/>
    <s v="Positive"/>
    <s v="Not Sampled"/>
    <s v="Not Sampled"/>
  </r>
  <r>
    <x v="5"/>
    <x v="95"/>
    <x v="11"/>
    <x v="27"/>
    <x v="172"/>
    <x v="84"/>
    <x v="474"/>
    <x v="3"/>
    <n v="0"/>
    <s v="Not Sampled"/>
    <n v="710"/>
    <m/>
    <m/>
    <m/>
    <m/>
    <m/>
    <m/>
    <m/>
    <m/>
    <s v="Negative"/>
    <s v="Not Sampled"/>
    <s v="Not Sampled"/>
  </r>
  <r>
    <x v="7"/>
    <x v="51"/>
    <x v="4"/>
    <x v="21"/>
    <x v="173"/>
    <x v="107"/>
    <x v="464"/>
    <x v="18"/>
    <n v="0"/>
    <s v="Not Sampled"/>
    <n v="711"/>
    <m/>
    <m/>
    <m/>
    <m/>
    <m/>
    <m/>
    <m/>
    <m/>
    <s v="Negative"/>
    <s v="Not Sampled"/>
    <s v="Not Sampled"/>
  </r>
  <r>
    <x v="9"/>
    <x v="52"/>
    <x v="0"/>
    <x v="35"/>
    <x v="0"/>
    <x v="238"/>
    <x v="475"/>
    <x v="19"/>
    <n v="1"/>
    <s v="Not Sampled"/>
    <n v="712"/>
    <m/>
    <m/>
    <m/>
    <m/>
    <m/>
    <m/>
    <m/>
    <m/>
    <s v="Positive"/>
    <s v="Not Sampled"/>
    <s v="Not Sampled"/>
  </r>
  <r>
    <x v="1"/>
    <x v="63"/>
    <x v="22"/>
    <x v="28"/>
    <x v="174"/>
    <x v="199"/>
    <x v="476"/>
    <x v="4"/>
    <n v="0"/>
    <s v="Not Sampled"/>
    <n v="713"/>
    <m/>
    <m/>
    <m/>
    <m/>
    <m/>
    <m/>
    <m/>
    <m/>
    <s v="Negative"/>
    <s v="Not Sampled"/>
    <s v="Not Sampled"/>
  </r>
  <r>
    <x v="5"/>
    <x v="29"/>
    <x v="10"/>
    <x v="2"/>
    <x v="0"/>
    <x v="81"/>
    <x v="394"/>
    <x v="32"/>
    <n v="0"/>
    <s v="Not Sampled"/>
    <n v="714"/>
    <m/>
    <m/>
    <m/>
    <m/>
    <m/>
    <m/>
    <m/>
    <m/>
    <s v="Negative"/>
    <s v="Not Sampled"/>
    <s v="Not Sampled"/>
  </r>
  <r>
    <x v="8"/>
    <x v="44"/>
    <x v="13"/>
    <x v="12"/>
    <x v="175"/>
    <x v="75"/>
    <x v="477"/>
    <x v="34"/>
    <n v="1"/>
    <s v="Not Sampled"/>
    <n v="715"/>
    <m/>
    <m/>
    <m/>
    <m/>
    <m/>
    <m/>
    <m/>
    <m/>
    <s v="Positive"/>
    <s v="Not Sampled"/>
    <s v="Not Sampled"/>
  </r>
  <r>
    <x v="5"/>
    <x v="5"/>
    <x v="4"/>
    <x v="15"/>
    <x v="157"/>
    <x v="97"/>
    <x v="478"/>
    <x v="2"/>
    <n v="1"/>
    <s v="Not Sampled"/>
    <n v="716"/>
    <m/>
    <m/>
    <m/>
    <m/>
    <m/>
    <m/>
    <m/>
    <m/>
    <s v="Positive"/>
    <s v="Not Sampled"/>
    <s v="Not Sampled"/>
  </r>
  <r>
    <x v="9"/>
    <x v="19"/>
    <x v="5"/>
    <x v="10"/>
    <x v="0"/>
    <x v="179"/>
    <x v="479"/>
    <x v="24"/>
    <n v="0"/>
    <s v="Not Sampled"/>
    <n v="717"/>
    <m/>
    <m/>
    <m/>
    <m/>
    <m/>
    <m/>
    <m/>
    <m/>
    <s v="Negative"/>
    <s v="Not Sampled"/>
    <s v="Not Sampled"/>
  </r>
  <r>
    <x v="2"/>
    <x v="81"/>
    <x v="12"/>
    <x v="40"/>
    <x v="176"/>
    <x v="130"/>
    <x v="351"/>
    <x v="3"/>
    <n v="0"/>
    <n v="0"/>
    <n v="718"/>
    <m/>
    <m/>
    <m/>
    <m/>
    <m/>
    <m/>
    <m/>
    <m/>
    <s v="Negative"/>
    <s v="Negative"/>
    <s v="Accurate Prediction"/>
  </r>
  <r>
    <x v="7"/>
    <x v="75"/>
    <x v="15"/>
    <x v="21"/>
    <x v="0"/>
    <x v="230"/>
    <x v="293"/>
    <x v="41"/>
    <n v="1"/>
    <s v="Not Sampled"/>
    <n v="719"/>
    <m/>
    <m/>
    <m/>
    <m/>
    <m/>
    <m/>
    <m/>
    <m/>
    <s v="Positive"/>
    <s v="Not Sampled"/>
    <s v="Not Sampled"/>
  </r>
  <r>
    <x v="3"/>
    <x v="8"/>
    <x v="24"/>
    <x v="13"/>
    <x v="0"/>
    <x v="17"/>
    <x v="480"/>
    <x v="34"/>
    <n v="0"/>
    <s v="Not Sampled"/>
    <n v="720"/>
    <m/>
    <m/>
    <m/>
    <m/>
    <m/>
    <m/>
    <m/>
    <m/>
    <s v="Negative"/>
    <s v="Not Sampled"/>
    <s v="Not Sampled"/>
  </r>
  <r>
    <x v="2"/>
    <x v="48"/>
    <x v="19"/>
    <x v="35"/>
    <x v="170"/>
    <x v="176"/>
    <x v="188"/>
    <x v="4"/>
    <n v="0"/>
    <s v="Not Sampled"/>
    <n v="721"/>
    <m/>
    <m/>
    <m/>
    <m/>
    <m/>
    <m/>
    <m/>
    <m/>
    <s v="Negative"/>
    <s v="Not Sampled"/>
    <s v="Not Sampled"/>
  </r>
  <r>
    <x v="2"/>
    <x v="133"/>
    <x v="3"/>
    <x v="30"/>
    <x v="177"/>
    <x v="17"/>
    <x v="284"/>
    <x v="8"/>
    <n v="1"/>
    <s v="Not Sampled"/>
    <n v="722"/>
    <m/>
    <m/>
    <m/>
    <m/>
    <m/>
    <m/>
    <m/>
    <m/>
    <s v="Positive"/>
    <s v="Not Sampled"/>
    <s v="Not Sampled"/>
  </r>
  <r>
    <x v="7"/>
    <x v="17"/>
    <x v="24"/>
    <x v="8"/>
    <x v="16"/>
    <x v="44"/>
    <x v="240"/>
    <x v="8"/>
    <n v="0"/>
    <s v="Not Sampled"/>
    <n v="723"/>
    <m/>
    <m/>
    <m/>
    <m/>
    <m/>
    <m/>
    <m/>
    <m/>
    <s v="Negative"/>
    <s v="Not Sampled"/>
    <s v="Not Sampled"/>
  </r>
  <r>
    <x v="2"/>
    <x v="31"/>
    <x v="41"/>
    <x v="2"/>
    <x v="0"/>
    <x v="10"/>
    <x v="481"/>
    <x v="10"/>
    <n v="0"/>
    <n v="0"/>
    <n v="724"/>
    <m/>
    <m/>
    <m/>
    <m/>
    <m/>
    <m/>
    <m/>
    <m/>
    <s v="Negative"/>
    <s v="Negative"/>
    <s v="Accurate Prediction"/>
  </r>
  <r>
    <x v="3"/>
    <x v="56"/>
    <x v="4"/>
    <x v="32"/>
    <x v="0"/>
    <x v="121"/>
    <x v="183"/>
    <x v="19"/>
    <n v="0"/>
    <s v="Not Sampled"/>
    <n v="725"/>
    <m/>
    <m/>
    <m/>
    <m/>
    <m/>
    <m/>
    <m/>
    <m/>
    <s v="Negative"/>
    <s v="Not Sampled"/>
    <s v="Not Sampled"/>
  </r>
  <r>
    <x v="2"/>
    <x v="113"/>
    <x v="4"/>
    <x v="30"/>
    <x v="105"/>
    <x v="164"/>
    <x v="116"/>
    <x v="14"/>
    <n v="0"/>
    <n v="0"/>
    <n v="726"/>
    <m/>
    <m/>
    <m/>
    <m/>
    <m/>
    <m/>
    <m/>
    <m/>
    <s v="Negative"/>
    <s v="Negative"/>
    <s v="Accurate Prediction"/>
  </r>
  <r>
    <x v="1"/>
    <x v="47"/>
    <x v="16"/>
    <x v="16"/>
    <x v="0"/>
    <x v="68"/>
    <x v="262"/>
    <x v="11"/>
    <n v="0"/>
    <s v="Not Sampled"/>
    <n v="727"/>
    <m/>
    <m/>
    <m/>
    <m/>
    <m/>
    <m/>
    <m/>
    <m/>
    <s v="Negative"/>
    <s v="Not Sampled"/>
    <s v="Not Sampled"/>
  </r>
  <r>
    <x v="0"/>
    <x v="122"/>
    <x v="21"/>
    <x v="2"/>
    <x v="0"/>
    <x v="123"/>
    <x v="259"/>
    <x v="11"/>
    <n v="0"/>
    <s v="Not Sampled"/>
    <n v="728"/>
    <m/>
    <m/>
    <m/>
    <m/>
    <m/>
    <m/>
    <m/>
    <m/>
    <s v="Negative"/>
    <s v="Not Sampled"/>
    <s v="Not Sampled"/>
  </r>
  <r>
    <x v="0"/>
    <x v="66"/>
    <x v="33"/>
    <x v="2"/>
    <x v="0"/>
    <x v="15"/>
    <x v="425"/>
    <x v="11"/>
    <n v="0"/>
    <n v="0"/>
    <n v="729"/>
    <m/>
    <m/>
    <m/>
    <m/>
    <m/>
    <m/>
    <m/>
    <m/>
    <s v="Negative"/>
    <s v="Negative"/>
    <s v="Accurate Prediction"/>
  </r>
  <r>
    <x v="5"/>
    <x v="23"/>
    <x v="4"/>
    <x v="17"/>
    <x v="11"/>
    <x v="109"/>
    <x v="91"/>
    <x v="34"/>
    <n v="1"/>
    <n v="0"/>
    <n v="730"/>
    <m/>
    <m/>
    <m/>
    <m/>
    <m/>
    <m/>
    <m/>
    <m/>
    <s v="Positive"/>
    <s v="Negative"/>
    <s v="Inaccurate Prediction"/>
  </r>
  <r>
    <x v="4"/>
    <x v="24"/>
    <x v="24"/>
    <x v="2"/>
    <x v="0"/>
    <x v="109"/>
    <x v="247"/>
    <x v="11"/>
    <n v="1"/>
    <s v="Not Sampled"/>
    <n v="731"/>
    <m/>
    <m/>
    <m/>
    <m/>
    <m/>
    <m/>
    <m/>
    <m/>
    <s v="Positive"/>
    <s v="Not Sampled"/>
    <s v="Not Sampled"/>
  </r>
  <r>
    <x v="0"/>
    <x v="129"/>
    <x v="21"/>
    <x v="18"/>
    <x v="77"/>
    <x v="235"/>
    <x v="482"/>
    <x v="3"/>
    <n v="1"/>
    <s v="Not Sampled"/>
    <n v="732"/>
    <m/>
    <m/>
    <m/>
    <m/>
    <m/>
    <m/>
    <m/>
    <m/>
    <s v="Positive"/>
    <s v="Not Sampled"/>
    <s v="Not Sampled"/>
  </r>
  <r>
    <x v="0"/>
    <x v="33"/>
    <x v="20"/>
    <x v="21"/>
    <x v="134"/>
    <x v="55"/>
    <x v="483"/>
    <x v="11"/>
    <n v="0"/>
    <s v="Not Sampled"/>
    <n v="733"/>
    <m/>
    <m/>
    <m/>
    <m/>
    <m/>
    <m/>
    <m/>
    <m/>
    <s v="Negative"/>
    <s v="Not Sampled"/>
    <s v="Not Sampled"/>
  </r>
  <r>
    <x v="0"/>
    <x v="38"/>
    <x v="25"/>
    <x v="2"/>
    <x v="0"/>
    <x v="239"/>
    <x v="484"/>
    <x v="49"/>
    <n v="0"/>
    <s v="Not Sampled"/>
    <n v="734"/>
    <m/>
    <m/>
    <m/>
    <m/>
    <m/>
    <m/>
    <m/>
    <m/>
    <s v="Negative"/>
    <s v="Not Sampled"/>
    <s v="Not Sampled"/>
  </r>
  <r>
    <x v="3"/>
    <x v="50"/>
    <x v="12"/>
    <x v="5"/>
    <x v="0"/>
    <x v="110"/>
    <x v="223"/>
    <x v="6"/>
    <n v="0"/>
    <s v="Not Sampled"/>
    <n v="735"/>
    <m/>
    <m/>
    <m/>
    <m/>
    <m/>
    <m/>
    <m/>
    <m/>
    <s v="Negative"/>
    <s v="Not Sampled"/>
    <s v="Not Sampled"/>
  </r>
  <r>
    <x v="1"/>
    <x v="51"/>
    <x v="24"/>
    <x v="21"/>
    <x v="77"/>
    <x v="41"/>
    <x v="485"/>
    <x v="4"/>
    <n v="0"/>
    <s v="Not Sampled"/>
    <n v="736"/>
    <m/>
    <m/>
    <m/>
    <m/>
    <m/>
    <m/>
    <m/>
    <m/>
    <s v="Negative"/>
    <s v="Not Sampled"/>
    <s v="Not Sampled"/>
  </r>
  <r>
    <x v="4"/>
    <x v="134"/>
    <x v="5"/>
    <x v="17"/>
    <x v="0"/>
    <x v="61"/>
    <x v="364"/>
    <x v="8"/>
    <n v="0"/>
    <n v="0"/>
    <n v="737"/>
    <m/>
    <m/>
    <m/>
    <m/>
    <m/>
    <m/>
    <m/>
    <m/>
    <s v="Negative"/>
    <s v="Negative"/>
    <s v="Accurate Prediction"/>
  </r>
  <r>
    <x v="0"/>
    <x v="6"/>
    <x v="12"/>
    <x v="6"/>
    <x v="69"/>
    <x v="69"/>
    <x v="486"/>
    <x v="4"/>
    <n v="0"/>
    <s v="Not Sampled"/>
    <n v="738"/>
    <m/>
    <m/>
    <m/>
    <m/>
    <m/>
    <m/>
    <m/>
    <m/>
    <s v="Negative"/>
    <s v="Not Sampled"/>
    <s v="Not Sampled"/>
  </r>
  <r>
    <x v="2"/>
    <x v="29"/>
    <x v="10"/>
    <x v="2"/>
    <x v="0"/>
    <x v="100"/>
    <x v="209"/>
    <x v="8"/>
    <n v="1"/>
    <s v="Not Sampled"/>
    <n v="739"/>
    <m/>
    <m/>
    <m/>
    <m/>
    <m/>
    <m/>
    <m/>
    <m/>
    <s v="Positive"/>
    <s v="Not Sampled"/>
    <s v="Not Sampled"/>
  </r>
  <r>
    <x v="12"/>
    <x v="24"/>
    <x v="6"/>
    <x v="18"/>
    <x v="90"/>
    <x v="3"/>
    <x v="487"/>
    <x v="27"/>
    <n v="1"/>
    <s v="Not Sampled"/>
    <n v="740"/>
    <m/>
    <m/>
    <m/>
    <m/>
    <m/>
    <m/>
    <m/>
    <m/>
    <s v="Positive"/>
    <s v="Not Sampled"/>
    <s v="Not Sampled"/>
  </r>
  <r>
    <x v="5"/>
    <x v="29"/>
    <x v="27"/>
    <x v="28"/>
    <x v="48"/>
    <x v="98"/>
    <x v="415"/>
    <x v="25"/>
    <n v="0"/>
    <s v="Not Sampled"/>
    <n v="741"/>
    <m/>
    <m/>
    <m/>
    <m/>
    <m/>
    <m/>
    <m/>
    <m/>
    <s v="Negative"/>
    <s v="Not Sampled"/>
    <s v="Not Sampled"/>
  </r>
  <r>
    <x v="2"/>
    <x v="49"/>
    <x v="22"/>
    <x v="10"/>
    <x v="93"/>
    <x v="218"/>
    <x v="332"/>
    <x v="11"/>
    <n v="0"/>
    <s v="Not Sampled"/>
    <n v="742"/>
    <m/>
    <m/>
    <m/>
    <m/>
    <m/>
    <m/>
    <m/>
    <m/>
    <s v="Negative"/>
    <s v="Not Sampled"/>
    <s v="Not Sampled"/>
  </r>
  <r>
    <x v="11"/>
    <x v="98"/>
    <x v="41"/>
    <x v="2"/>
    <x v="0"/>
    <x v="112"/>
    <x v="488"/>
    <x v="10"/>
    <n v="1"/>
    <s v="Not Sampled"/>
    <n v="743"/>
    <m/>
    <m/>
    <m/>
    <m/>
    <m/>
    <m/>
    <m/>
    <m/>
    <s v="Positive"/>
    <s v="Not Sampled"/>
    <s v="Not Sampled"/>
  </r>
  <r>
    <x v="13"/>
    <x v="85"/>
    <x v="21"/>
    <x v="18"/>
    <x v="32"/>
    <x v="102"/>
    <x v="489"/>
    <x v="16"/>
    <n v="0"/>
    <s v="Not Sampled"/>
    <n v="744"/>
    <m/>
    <m/>
    <m/>
    <m/>
    <m/>
    <m/>
    <m/>
    <m/>
    <s v="Negative"/>
    <s v="Not Sampled"/>
    <s v="Not Sampled"/>
  </r>
  <r>
    <x v="10"/>
    <x v="45"/>
    <x v="16"/>
    <x v="12"/>
    <x v="16"/>
    <x v="135"/>
    <x v="490"/>
    <x v="22"/>
    <n v="0"/>
    <n v="0"/>
    <n v="745"/>
    <m/>
    <m/>
    <m/>
    <m/>
    <m/>
    <m/>
    <m/>
    <m/>
    <s v="Negative"/>
    <s v="Negative"/>
    <s v="Accurate Prediction"/>
  </r>
  <r>
    <x v="2"/>
    <x v="83"/>
    <x v="41"/>
    <x v="4"/>
    <x v="0"/>
    <x v="240"/>
    <x v="491"/>
    <x v="23"/>
    <n v="1"/>
    <s v="Not Sampled"/>
    <n v="746"/>
    <m/>
    <m/>
    <m/>
    <m/>
    <m/>
    <m/>
    <m/>
    <m/>
    <s v="Positive"/>
    <s v="Not Sampled"/>
    <s v="Not Sampled"/>
  </r>
  <r>
    <x v="2"/>
    <x v="14"/>
    <x v="10"/>
    <x v="4"/>
    <x v="92"/>
    <x v="241"/>
    <x v="492"/>
    <x v="32"/>
    <n v="0"/>
    <s v="Not Sampled"/>
    <n v="747"/>
    <m/>
    <m/>
    <m/>
    <m/>
    <m/>
    <m/>
    <m/>
    <m/>
    <s v="Negative"/>
    <s v="Not Sampled"/>
    <s v="Not Sampled"/>
  </r>
  <r>
    <x v="5"/>
    <x v="44"/>
    <x v="9"/>
    <x v="29"/>
    <x v="170"/>
    <x v="217"/>
    <x v="493"/>
    <x v="31"/>
    <n v="1"/>
    <n v="1"/>
    <n v="748"/>
    <m/>
    <m/>
    <m/>
    <m/>
    <m/>
    <m/>
    <m/>
    <m/>
    <s v="Positive"/>
    <s v="Positive"/>
    <s v="Accurate Prediction"/>
  </r>
  <r>
    <x v="6"/>
    <x v="76"/>
    <x v="0"/>
    <x v="2"/>
    <x v="0"/>
    <x v="122"/>
    <x v="81"/>
    <x v="48"/>
    <n v="1"/>
    <s v="Not Sampled"/>
    <n v="749"/>
    <m/>
    <m/>
    <m/>
    <m/>
    <m/>
    <m/>
    <m/>
    <m/>
    <s v="Positive"/>
    <s v="Not Sampled"/>
    <s v="Not Sampled"/>
  </r>
  <r>
    <x v="3"/>
    <x v="60"/>
    <x v="9"/>
    <x v="2"/>
    <x v="0"/>
    <x v="84"/>
    <x v="494"/>
    <x v="11"/>
    <n v="1"/>
    <s v="Not Sampled"/>
    <n v="750"/>
    <m/>
    <m/>
    <m/>
    <m/>
    <m/>
    <m/>
    <m/>
    <m/>
    <s v="Positive"/>
    <s v="Not Sampled"/>
    <s v="Not Sampled"/>
  </r>
  <r>
    <x v="2"/>
    <x v="126"/>
    <x v="4"/>
    <x v="15"/>
    <x v="97"/>
    <x v="20"/>
    <x v="86"/>
    <x v="6"/>
    <n v="0"/>
    <s v="Not Sampled"/>
    <n v="751"/>
    <m/>
    <m/>
    <m/>
    <m/>
    <m/>
    <m/>
    <m/>
    <m/>
    <s v="Negative"/>
    <s v="Not Sampled"/>
    <s v="Not Sampled"/>
  </r>
  <r>
    <x v="5"/>
    <x v="81"/>
    <x v="0"/>
    <x v="20"/>
    <x v="0"/>
    <x v="14"/>
    <x v="110"/>
    <x v="14"/>
    <n v="0"/>
    <s v="Not Sampled"/>
    <n v="752"/>
    <m/>
    <m/>
    <m/>
    <m/>
    <m/>
    <m/>
    <m/>
    <m/>
    <s v="Negative"/>
    <s v="Not Sampled"/>
    <s v="Not Sampled"/>
  </r>
  <r>
    <x v="1"/>
    <x v="94"/>
    <x v="21"/>
    <x v="38"/>
    <x v="178"/>
    <x v="165"/>
    <x v="495"/>
    <x v="25"/>
    <n v="1"/>
    <s v="Not Sampled"/>
    <n v="753"/>
    <m/>
    <m/>
    <m/>
    <m/>
    <m/>
    <m/>
    <m/>
    <m/>
    <s v="Positive"/>
    <s v="Not Sampled"/>
    <s v="Not Sampled"/>
  </r>
  <r>
    <x v="4"/>
    <x v="16"/>
    <x v="4"/>
    <x v="5"/>
    <x v="0"/>
    <x v="68"/>
    <x v="85"/>
    <x v="10"/>
    <n v="1"/>
    <s v="Not Sampled"/>
    <n v="754"/>
    <m/>
    <m/>
    <m/>
    <m/>
    <m/>
    <m/>
    <m/>
    <m/>
    <s v="Positive"/>
    <s v="Not Sampled"/>
    <s v="Not Sampled"/>
  </r>
  <r>
    <x v="2"/>
    <x v="80"/>
    <x v="21"/>
    <x v="15"/>
    <x v="27"/>
    <x v="23"/>
    <x v="496"/>
    <x v="26"/>
    <n v="1"/>
    <s v="Not Sampled"/>
    <n v="755"/>
    <m/>
    <m/>
    <m/>
    <m/>
    <m/>
    <m/>
    <m/>
    <m/>
    <s v="Positive"/>
    <s v="Not Sampled"/>
    <s v="Not Sampled"/>
  </r>
  <r>
    <x v="8"/>
    <x v="59"/>
    <x v="8"/>
    <x v="4"/>
    <x v="0"/>
    <x v="61"/>
    <x v="73"/>
    <x v="16"/>
    <n v="0"/>
    <s v="Not Sampled"/>
    <n v="756"/>
    <m/>
    <m/>
    <m/>
    <m/>
    <m/>
    <m/>
    <m/>
    <m/>
    <s v="Negative"/>
    <s v="Not Sampled"/>
    <s v="Not Sampled"/>
  </r>
  <r>
    <x v="1"/>
    <x v="62"/>
    <x v="5"/>
    <x v="2"/>
    <x v="0"/>
    <x v="153"/>
    <x v="61"/>
    <x v="41"/>
    <n v="1"/>
    <n v="0"/>
    <n v="757"/>
    <m/>
    <m/>
    <m/>
    <m/>
    <m/>
    <m/>
    <m/>
    <m/>
    <s v="Positive"/>
    <s v="Negative"/>
    <s v="Inaccurate Prediction"/>
  </r>
  <r>
    <x v="2"/>
    <x v="33"/>
    <x v="15"/>
    <x v="2"/>
    <x v="0"/>
    <x v="129"/>
    <x v="269"/>
    <x v="25"/>
    <n v="0"/>
    <s v="Not Sampled"/>
    <n v="758"/>
    <m/>
    <m/>
    <m/>
    <m/>
    <m/>
    <m/>
    <m/>
    <m/>
    <s v="Negative"/>
    <s v="Not Sampled"/>
    <s v="Not Sampled"/>
  </r>
  <r>
    <x v="6"/>
    <x v="135"/>
    <x v="17"/>
    <x v="2"/>
    <x v="0"/>
    <x v="130"/>
    <x v="115"/>
    <x v="12"/>
    <n v="1"/>
    <s v="Not Sampled"/>
    <n v="759"/>
    <m/>
    <m/>
    <m/>
    <m/>
    <m/>
    <m/>
    <m/>
    <m/>
    <s v="Positive"/>
    <s v="Not Sampled"/>
    <s v="Not Sampled"/>
  </r>
  <r>
    <x v="0"/>
    <x v="40"/>
    <x v="22"/>
    <x v="16"/>
    <x v="179"/>
    <x v="109"/>
    <x v="497"/>
    <x v="11"/>
    <n v="0"/>
    <s v="Not Sampled"/>
    <n v="760"/>
    <m/>
    <m/>
    <m/>
    <m/>
    <m/>
    <m/>
    <m/>
    <m/>
    <s v="Negative"/>
    <s v="Not Sampled"/>
    <s v="Not Sampled"/>
  </r>
  <r>
    <x v="11"/>
    <x v="79"/>
    <x v="10"/>
    <x v="1"/>
    <x v="0"/>
    <x v="143"/>
    <x v="118"/>
    <x v="33"/>
    <n v="1"/>
    <n v="1"/>
    <n v="761"/>
    <m/>
    <m/>
    <m/>
    <m/>
    <m/>
    <m/>
    <m/>
    <m/>
    <s v="Positive"/>
    <s v="Positive"/>
    <s v="Accurate Prediction"/>
  </r>
  <r>
    <x v="11"/>
    <x v="9"/>
    <x v="0"/>
    <x v="2"/>
    <x v="0"/>
    <x v="79"/>
    <x v="173"/>
    <x v="9"/>
    <n v="0"/>
    <s v="Not Sampled"/>
    <n v="762"/>
    <m/>
    <m/>
    <m/>
    <m/>
    <m/>
    <m/>
    <m/>
    <m/>
    <s v="Negative"/>
    <s v="Not Sampled"/>
    <s v="Not Sampled"/>
  </r>
  <r>
    <x v="9"/>
    <x v="39"/>
    <x v="15"/>
    <x v="46"/>
    <x v="105"/>
    <x v="35"/>
    <x v="498"/>
    <x v="44"/>
    <n v="0"/>
    <n v="0"/>
    <n v="763"/>
    <m/>
    <m/>
    <m/>
    <m/>
    <m/>
    <m/>
    <m/>
    <m/>
    <s v="Negative"/>
    <s v="Negative"/>
    <s v="Accurate Prediction"/>
  </r>
  <r>
    <x v="0"/>
    <x v="27"/>
    <x v="9"/>
    <x v="21"/>
    <x v="0"/>
    <x v="8"/>
    <x v="250"/>
    <x v="23"/>
    <n v="0"/>
    <n v="0"/>
    <n v="764"/>
    <m/>
    <m/>
    <m/>
    <m/>
    <m/>
    <m/>
    <m/>
    <m/>
    <s v="Negative"/>
    <s v="Negative"/>
    <s v="Accurate Prediction"/>
  </r>
  <r>
    <x v="7"/>
    <x v="126"/>
    <x v="5"/>
    <x v="17"/>
    <x v="180"/>
    <x v="173"/>
    <x v="404"/>
    <x v="13"/>
    <n v="0"/>
    <s v="Not Sampled"/>
    <n v="765"/>
    <m/>
    <m/>
    <m/>
    <m/>
    <m/>
    <m/>
    <m/>
    <m/>
    <s v="Negative"/>
    <s v="Not Sampled"/>
    <s v="Not Sampled"/>
  </r>
  <r>
    <x v="2"/>
    <x v="51"/>
    <x v="12"/>
    <x v="2"/>
    <x v="0"/>
    <x v="15"/>
    <x v="284"/>
    <x v="0"/>
    <n v="1"/>
    <s v="Not Sampled"/>
    <n v="766"/>
    <m/>
    <m/>
    <m/>
    <m/>
    <m/>
    <m/>
    <m/>
    <m/>
    <s v="Positive"/>
    <s v="Not Sampled"/>
    <s v="Not Sampled"/>
  </r>
  <r>
    <x v="2"/>
    <x v="67"/>
    <x v="9"/>
    <x v="1"/>
    <x v="0"/>
    <x v="25"/>
    <x v="265"/>
    <x v="1"/>
    <n v="0"/>
    <n v="0"/>
    <n v="767"/>
    <m/>
    <m/>
    <m/>
    <m/>
    <m/>
    <m/>
    <m/>
    <m/>
    <s v="Negative"/>
    <s v="Negative"/>
    <s v="Accurate Prediction"/>
  </r>
  <r>
    <x v="16"/>
    <x v="45"/>
    <x v="4"/>
    <x v="14"/>
    <x v="101"/>
    <x v="69"/>
    <x v="255"/>
    <x v="22"/>
    <n v="1"/>
    <s v="Not Sampled"/>
    <n v="768"/>
    <m/>
    <m/>
    <m/>
    <m/>
    <m/>
    <m/>
    <m/>
    <m/>
    <s v="Positive"/>
    <s v="Not Sampled"/>
    <s v="Not Sampled"/>
  </r>
  <r>
    <x v="4"/>
    <x v="56"/>
    <x v="5"/>
    <x v="2"/>
    <x v="0"/>
    <x v="139"/>
    <x v="256"/>
    <x v="5"/>
    <n v="0"/>
    <n v="0"/>
    <n v="769"/>
    <m/>
    <m/>
    <m/>
    <m/>
    <m/>
    <m/>
    <m/>
    <m/>
    <s v="Negative"/>
    <s v="Negative"/>
    <s v="Accurate Prediction"/>
  </r>
  <r>
    <x v="1"/>
    <x v="107"/>
    <x v="2"/>
    <x v="2"/>
    <x v="0"/>
    <x v="167"/>
    <x v="16"/>
    <x v="13"/>
    <n v="1"/>
    <s v="Not Sampled"/>
    <n v="770"/>
    <m/>
    <m/>
    <m/>
    <m/>
    <m/>
    <m/>
    <m/>
    <m/>
    <s v="Positive"/>
    <s v="Not Sampled"/>
    <s v="Not Sampled"/>
  </r>
  <r>
    <x v="0"/>
    <x v="65"/>
    <x v="22"/>
    <x v="12"/>
    <x v="42"/>
    <x v="31"/>
    <x v="239"/>
    <x v="14"/>
    <n v="1"/>
    <s v="Not Sampled"/>
    <n v="771"/>
    <m/>
    <m/>
    <m/>
    <m/>
    <m/>
    <m/>
    <m/>
    <m/>
    <s v="Positive"/>
    <s v="Not Sampled"/>
    <s v="Not Sampled"/>
  </r>
  <r>
    <x v="7"/>
    <x v="108"/>
    <x v="1"/>
    <x v="4"/>
    <x v="102"/>
    <x v="134"/>
    <x v="257"/>
    <x v="20"/>
    <n v="0"/>
    <s v="Not Sampled"/>
    <n v="772"/>
    <m/>
    <m/>
    <m/>
    <m/>
    <m/>
    <m/>
    <m/>
    <m/>
    <s v="Negative"/>
    <s v="Not Sampled"/>
    <s v="Not Sampled"/>
  </r>
  <r>
    <x v="7"/>
    <x v="109"/>
    <x v="34"/>
    <x v="2"/>
    <x v="0"/>
    <x v="168"/>
    <x v="200"/>
    <x v="6"/>
    <n v="1"/>
    <s v="Not Sampled"/>
    <n v="773"/>
    <m/>
    <m/>
    <m/>
    <m/>
    <m/>
    <m/>
    <m/>
    <m/>
    <s v="Positive"/>
    <s v="Not Sampled"/>
    <s v="Not Sampled"/>
  </r>
  <r>
    <x v="5"/>
    <x v="42"/>
    <x v="15"/>
    <x v="2"/>
    <x v="0"/>
    <x v="169"/>
    <x v="28"/>
    <x v="26"/>
    <n v="0"/>
    <n v="0"/>
    <n v="774"/>
    <m/>
    <m/>
    <m/>
    <m/>
    <m/>
    <m/>
    <m/>
    <m/>
    <s v="Negative"/>
    <s v="Negative"/>
    <s v="Accurate Prediction"/>
  </r>
  <r>
    <x v="0"/>
    <x v="24"/>
    <x v="15"/>
    <x v="18"/>
    <x v="16"/>
    <x v="170"/>
    <x v="258"/>
    <x v="29"/>
    <n v="0"/>
    <s v="Not Sampled"/>
    <n v="775"/>
    <m/>
    <m/>
    <m/>
    <m/>
    <m/>
    <m/>
    <m/>
    <m/>
    <s v="Negative"/>
    <s v="Not Sampled"/>
    <s v="Not Sampled"/>
  </r>
  <r>
    <x v="9"/>
    <x v="106"/>
    <x v="3"/>
    <x v="17"/>
    <x v="103"/>
    <x v="171"/>
    <x v="259"/>
    <x v="0"/>
    <n v="1"/>
    <s v="Not Sampled"/>
    <n v="776"/>
    <m/>
    <m/>
    <m/>
    <m/>
    <m/>
    <m/>
    <m/>
    <m/>
    <s v="Positive"/>
    <s v="Not Sampled"/>
    <s v="Not Sampled"/>
  </r>
  <r>
    <x v="1"/>
    <x v="59"/>
    <x v="3"/>
    <x v="36"/>
    <x v="104"/>
    <x v="172"/>
    <x v="221"/>
    <x v="4"/>
    <n v="0"/>
    <s v="Not Sampled"/>
    <n v="777"/>
    <m/>
    <m/>
    <m/>
    <m/>
    <m/>
    <m/>
    <m/>
    <m/>
    <s v="Negative"/>
    <s v="Not Sampled"/>
    <s v="Not Sampled"/>
  </r>
  <r>
    <x v="1"/>
    <x v="80"/>
    <x v="3"/>
    <x v="13"/>
    <x v="105"/>
    <x v="85"/>
    <x v="260"/>
    <x v="14"/>
    <n v="1"/>
    <s v="Not Sampled"/>
    <n v="778"/>
    <m/>
    <m/>
    <m/>
    <m/>
    <m/>
    <m/>
    <m/>
    <m/>
    <s v="Positive"/>
    <s v="Not Sampled"/>
    <s v="Not Sampled"/>
  </r>
  <r>
    <x v="0"/>
    <x v="73"/>
    <x v="3"/>
    <x v="7"/>
    <x v="106"/>
    <x v="35"/>
    <x v="261"/>
    <x v="13"/>
    <n v="1"/>
    <n v="0"/>
    <n v="779"/>
    <m/>
    <m/>
    <m/>
    <m/>
    <m/>
    <m/>
    <m/>
    <m/>
    <s v="Positive"/>
    <s v="Negative"/>
    <s v="Inaccurate Prediction"/>
  </r>
  <r>
    <x v="6"/>
    <x v="11"/>
    <x v="19"/>
    <x v="8"/>
    <x v="0"/>
    <x v="173"/>
    <x v="17"/>
    <x v="17"/>
    <n v="0"/>
    <s v="Not Sampled"/>
    <n v="780"/>
    <m/>
    <m/>
    <m/>
    <m/>
    <m/>
    <m/>
    <m/>
    <m/>
    <s v="Negative"/>
    <s v="Not Sampled"/>
    <s v="Not Sampled"/>
  </r>
  <r>
    <x v="1"/>
    <x v="33"/>
    <x v="9"/>
    <x v="18"/>
    <x v="104"/>
    <x v="121"/>
    <x v="186"/>
    <x v="11"/>
    <n v="0"/>
    <s v="Not Sampled"/>
    <n v="781"/>
    <m/>
    <m/>
    <m/>
    <m/>
    <m/>
    <m/>
    <m/>
    <m/>
    <s v="Negative"/>
    <s v="Not Sampled"/>
    <s v="Not Sampled"/>
  </r>
  <r>
    <x v="0"/>
    <x v="70"/>
    <x v="10"/>
    <x v="6"/>
    <x v="107"/>
    <x v="13"/>
    <x v="262"/>
    <x v="23"/>
    <n v="1"/>
    <s v="Not Sampled"/>
    <n v="782"/>
    <m/>
    <m/>
    <m/>
    <m/>
    <m/>
    <m/>
    <m/>
    <m/>
    <s v="Positive"/>
    <s v="Not Sampled"/>
    <s v="Not Sampled"/>
  </r>
  <r>
    <x v="5"/>
    <x v="57"/>
    <x v="13"/>
    <x v="25"/>
    <x v="108"/>
    <x v="81"/>
    <x v="263"/>
    <x v="14"/>
    <n v="0"/>
    <s v="Not Sampled"/>
    <n v="783"/>
    <m/>
    <m/>
    <m/>
    <m/>
    <m/>
    <m/>
    <m/>
    <m/>
    <s v="Negative"/>
    <s v="Not Sampled"/>
    <s v="Not Sampled"/>
  </r>
  <r>
    <x v="8"/>
    <x v="49"/>
    <x v="6"/>
    <x v="1"/>
    <x v="0"/>
    <x v="117"/>
    <x v="264"/>
    <x v="33"/>
    <n v="1"/>
    <s v="Not Sampled"/>
    <n v="784"/>
    <m/>
    <m/>
    <m/>
    <m/>
    <m/>
    <m/>
    <m/>
    <m/>
    <s v="Positive"/>
    <s v="Not Sampled"/>
    <s v="Not Sampled"/>
  </r>
  <r>
    <x v="0"/>
    <x v="56"/>
    <x v="3"/>
    <x v="29"/>
    <x v="48"/>
    <x v="174"/>
    <x v="265"/>
    <x v="25"/>
    <n v="0"/>
    <s v="Not Sampled"/>
    <n v="785"/>
    <m/>
    <m/>
    <m/>
    <m/>
    <m/>
    <m/>
    <m/>
    <m/>
    <s v="Negative"/>
    <s v="Not Sampled"/>
    <s v="Not Sampled"/>
  </r>
  <r>
    <x v="5"/>
    <x v="6"/>
    <x v="6"/>
    <x v="22"/>
    <x v="36"/>
    <x v="175"/>
    <x v="223"/>
    <x v="13"/>
    <n v="0"/>
    <s v="Not Sampled"/>
    <n v="786"/>
    <m/>
    <m/>
    <m/>
    <m/>
    <m/>
    <m/>
    <m/>
    <m/>
    <s v="Negative"/>
    <s v="Not Sampled"/>
    <s v="Not Sampled"/>
  </r>
  <r>
    <x v="5"/>
    <x v="110"/>
    <x v="10"/>
    <x v="2"/>
    <x v="0"/>
    <x v="85"/>
    <x v="266"/>
    <x v="29"/>
    <n v="1"/>
    <s v="Not Sampled"/>
    <n v="787"/>
    <m/>
    <m/>
    <m/>
    <m/>
    <m/>
    <m/>
    <m/>
    <m/>
    <s v="Positive"/>
    <s v="Not Sampled"/>
    <s v="Not Sampled"/>
  </r>
  <r>
    <x v="5"/>
    <x v="109"/>
    <x v="19"/>
    <x v="15"/>
    <x v="32"/>
    <x v="176"/>
    <x v="181"/>
    <x v="6"/>
    <n v="0"/>
    <s v="Not Sampled"/>
    <n v="788"/>
    <m/>
    <m/>
    <m/>
    <m/>
    <m/>
    <m/>
    <m/>
    <m/>
    <s v="Negative"/>
    <s v="Not Sampled"/>
    <s v="Not Sampled"/>
  </r>
  <r>
    <x v="6"/>
    <x v="7"/>
    <x v="4"/>
    <x v="2"/>
    <x v="0"/>
    <x v="177"/>
    <x v="267"/>
    <x v="45"/>
    <n v="1"/>
    <s v="Not Sampled"/>
    <n v="789"/>
    <m/>
    <m/>
    <m/>
    <m/>
    <m/>
    <m/>
    <m/>
    <m/>
    <s v="Positive"/>
    <s v="Not Sampled"/>
    <s v="Not Sampled"/>
  </r>
  <r>
    <x v="3"/>
    <x v="52"/>
    <x v="12"/>
    <x v="39"/>
    <x v="109"/>
    <x v="155"/>
    <x v="268"/>
    <x v="2"/>
    <n v="0"/>
    <n v="0"/>
    <n v="790"/>
    <m/>
    <m/>
    <m/>
    <m/>
    <m/>
    <m/>
    <m/>
    <m/>
    <s v="Negative"/>
    <s v="Negative"/>
    <s v="Accurate Prediction"/>
  </r>
  <r>
    <x v="5"/>
    <x v="56"/>
    <x v="10"/>
    <x v="8"/>
    <x v="0"/>
    <x v="31"/>
    <x v="269"/>
    <x v="14"/>
    <n v="1"/>
    <s v="Not Sampled"/>
    <n v="791"/>
    <m/>
    <m/>
    <m/>
    <m/>
    <m/>
    <m/>
    <m/>
    <m/>
    <s v="Positive"/>
    <s v="Not Sampled"/>
    <s v="Not Sampled"/>
  </r>
  <r>
    <x v="1"/>
    <x v="73"/>
    <x v="9"/>
    <x v="28"/>
    <x v="0"/>
    <x v="41"/>
    <x v="54"/>
    <x v="31"/>
    <n v="1"/>
    <s v="Not Sampled"/>
    <n v="792"/>
    <m/>
    <m/>
    <m/>
    <m/>
    <m/>
    <m/>
    <m/>
    <m/>
    <s v="Positive"/>
    <s v="Not Sampled"/>
    <s v="Not Sampled"/>
  </r>
  <r>
    <x v="13"/>
    <x v="87"/>
    <x v="8"/>
    <x v="12"/>
    <x v="110"/>
    <x v="90"/>
    <x v="270"/>
    <x v="33"/>
    <n v="1"/>
    <n v="1"/>
    <n v="793"/>
    <m/>
    <m/>
    <m/>
    <m/>
    <m/>
    <m/>
    <m/>
    <m/>
    <s v="Positive"/>
    <s v="Positive"/>
    <s v="Accurate Prediction"/>
  </r>
  <r>
    <x v="0"/>
    <x v="56"/>
    <x v="25"/>
    <x v="5"/>
    <x v="0"/>
    <x v="140"/>
    <x v="271"/>
    <x v="4"/>
    <n v="0"/>
    <s v="Not Sampled"/>
    <n v="794"/>
    <m/>
    <m/>
    <m/>
    <m/>
    <m/>
    <m/>
    <m/>
    <m/>
    <s v="Negative"/>
    <s v="Not Sampled"/>
    <s v="Not Sampled"/>
  </r>
  <r>
    <x v="2"/>
    <x v="111"/>
    <x v="5"/>
    <x v="23"/>
    <x v="49"/>
    <x v="6"/>
    <x v="272"/>
    <x v="3"/>
    <n v="0"/>
    <s v="Not Sampled"/>
    <n v="795"/>
    <m/>
    <m/>
    <m/>
    <m/>
    <m/>
    <m/>
    <m/>
    <m/>
    <s v="Negative"/>
    <s v="Not Sampled"/>
    <s v="Not Sampled"/>
  </r>
  <r>
    <x v="2"/>
    <x v="27"/>
    <x v="11"/>
    <x v="5"/>
    <x v="64"/>
    <x v="60"/>
    <x v="24"/>
    <x v="13"/>
    <n v="1"/>
    <s v="Not Sampled"/>
    <n v="796"/>
    <m/>
    <m/>
    <m/>
    <m/>
    <m/>
    <m/>
    <m/>
    <m/>
    <s v="Positive"/>
    <s v="Not Sampled"/>
    <s v="Not Sampled"/>
  </r>
  <r>
    <x v="9"/>
    <x v="91"/>
    <x v="9"/>
    <x v="2"/>
    <x v="0"/>
    <x v="60"/>
    <x v="29"/>
    <x v="26"/>
    <n v="0"/>
    <s v="Not Sampled"/>
    <n v="797"/>
    <m/>
    <m/>
    <m/>
    <m/>
    <m/>
    <m/>
    <m/>
    <m/>
    <s v="Negative"/>
    <s v="Not Sampled"/>
    <s v="Not Sampled"/>
  </r>
  <r>
    <x v="0"/>
    <x v="29"/>
    <x v="24"/>
    <x v="35"/>
    <x v="77"/>
    <x v="178"/>
    <x v="0"/>
    <x v="1"/>
    <n v="1"/>
    <s v="Not Sampled"/>
    <n v="798"/>
    <m/>
    <m/>
    <m/>
    <m/>
    <m/>
    <m/>
    <m/>
    <m/>
    <s v="Positive"/>
    <s v="Not Sampled"/>
    <s v="Not Sampled"/>
  </r>
  <r>
    <x v="6"/>
    <x v="38"/>
    <x v="9"/>
    <x v="5"/>
    <x v="111"/>
    <x v="98"/>
    <x v="273"/>
    <x v="26"/>
    <n v="0"/>
    <s v="Not Sampled"/>
    <n v="799"/>
    <m/>
    <m/>
    <m/>
    <m/>
    <m/>
    <m/>
    <m/>
    <m/>
    <s v="Negative"/>
    <s v="Not Sampled"/>
    <s v="Not Sampled"/>
  </r>
  <r>
    <x v="4"/>
    <x v="78"/>
    <x v="5"/>
    <x v="13"/>
    <x v="0"/>
    <x v="179"/>
    <x v="274"/>
    <x v="22"/>
    <n v="0"/>
    <s v="Not Sampled"/>
    <n v="800"/>
    <m/>
    <m/>
    <m/>
    <m/>
    <m/>
    <m/>
    <m/>
    <m/>
    <s v="Negative"/>
    <s v="Not Sampled"/>
    <s v="Not Sampled"/>
  </r>
  <r>
    <x v="0"/>
    <x v="90"/>
    <x v="22"/>
    <x v="41"/>
    <x v="112"/>
    <x v="112"/>
    <x v="275"/>
    <x v="14"/>
    <n v="0"/>
    <n v="0"/>
    <n v="801"/>
    <m/>
    <m/>
    <m/>
    <m/>
    <m/>
    <m/>
    <m/>
    <m/>
    <s v="Negative"/>
    <s v="Negative"/>
    <s v="Accurate Prediction"/>
  </r>
  <r>
    <x v="2"/>
    <x v="22"/>
    <x v="2"/>
    <x v="2"/>
    <x v="0"/>
    <x v="165"/>
    <x v="220"/>
    <x v="17"/>
    <n v="1"/>
    <n v="1"/>
    <n v="802"/>
    <m/>
    <m/>
    <m/>
    <m/>
    <m/>
    <m/>
    <m/>
    <m/>
    <s v="Positive"/>
    <s v="Positive"/>
    <s v="Accurate Prediction"/>
  </r>
  <r>
    <x v="10"/>
    <x v="33"/>
    <x v="6"/>
    <x v="2"/>
    <x v="0"/>
    <x v="139"/>
    <x v="141"/>
    <x v="30"/>
    <n v="0"/>
    <s v="Not Sampled"/>
    <n v="803"/>
    <m/>
    <m/>
    <m/>
    <m/>
    <m/>
    <m/>
    <m/>
    <m/>
    <s v="Negative"/>
    <s v="Not Sampled"/>
    <s v="Not Sampled"/>
  </r>
  <r>
    <x v="2"/>
    <x v="50"/>
    <x v="12"/>
    <x v="10"/>
    <x v="68"/>
    <x v="128"/>
    <x v="112"/>
    <x v="11"/>
    <n v="0"/>
    <n v="0"/>
    <n v="804"/>
    <m/>
    <m/>
    <m/>
    <m/>
    <m/>
    <m/>
    <m/>
    <m/>
    <s v="Negative"/>
    <s v="Negative"/>
    <s v="Accurate Prediction"/>
  </r>
  <r>
    <x v="1"/>
    <x v="102"/>
    <x v="15"/>
    <x v="44"/>
    <x v="113"/>
    <x v="103"/>
    <x v="247"/>
    <x v="25"/>
    <n v="0"/>
    <s v="Not Sampled"/>
    <n v="805"/>
    <m/>
    <m/>
    <m/>
    <m/>
    <m/>
    <m/>
    <m/>
    <m/>
    <s v="Negative"/>
    <s v="Not Sampled"/>
    <s v="Not Sampled"/>
  </r>
  <r>
    <x v="1"/>
    <x v="17"/>
    <x v="2"/>
    <x v="2"/>
    <x v="0"/>
    <x v="97"/>
    <x v="276"/>
    <x v="30"/>
    <n v="0"/>
    <s v="Not Sampled"/>
    <n v="806"/>
    <m/>
    <m/>
    <m/>
    <m/>
    <m/>
    <m/>
    <m/>
    <m/>
    <s v="Negative"/>
    <s v="Not Sampled"/>
    <s v="Not Sampled"/>
  </r>
  <r>
    <x v="7"/>
    <x v="109"/>
    <x v="15"/>
    <x v="2"/>
    <x v="0"/>
    <x v="84"/>
    <x v="277"/>
    <x v="30"/>
    <n v="1"/>
    <s v="Not Sampled"/>
    <n v="807"/>
    <m/>
    <m/>
    <m/>
    <m/>
    <m/>
    <m/>
    <m/>
    <m/>
    <s v="Positive"/>
    <s v="Not Sampled"/>
    <s v="Not Sampled"/>
  </r>
  <r>
    <x v="11"/>
    <x v="87"/>
    <x v="4"/>
    <x v="24"/>
    <x v="114"/>
    <x v="89"/>
    <x v="278"/>
    <x v="9"/>
    <n v="1"/>
    <n v="1"/>
    <n v="808"/>
    <m/>
    <m/>
    <m/>
    <m/>
    <m/>
    <m/>
    <m/>
    <m/>
    <s v="Positive"/>
    <s v="Positive"/>
    <s v="Accurate Prediction"/>
  </r>
  <r>
    <x v="8"/>
    <x v="112"/>
    <x v="16"/>
    <x v="2"/>
    <x v="0"/>
    <x v="180"/>
    <x v="279"/>
    <x v="17"/>
    <n v="1"/>
    <s v="Not Sampled"/>
    <n v="809"/>
    <m/>
    <m/>
    <m/>
    <m/>
    <m/>
    <m/>
    <m/>
    <m/>
    <s v="Positive"/>
    <s v="Not Sampled"/>
    <s v="Not Sampled"/>
  </r>
  <r>
    <x v="2"/>
    <x v="23"/>
    <x v="9"/>
    <x v="27"/>
    <x v="16"/>
    <x v="151"/>
    <x v="280"/>
    <x v="11"/>
    <n v="0"/>
    <n v="0"/>
    <n v="810"/>
    <m/>
    <m/>
    <m/>
    <m/>
    <m/>
    <m/>
    <m/>
    <m/>
    <s v="Negative"/>
    <s v="Negative"/>
    <s v="Accurate Prediction"/>
  </r>
  <r>
    <x v="2"/>
    <x v="50"/>
    <x v="10"/>
    <x v="23"/>
    <x v="115"/>
    <x v="151"/>
    <x v="281"/>
    <x v="31"/>
    <n v="0"/>
    <s v="Not Sampled"/>
    <n v="811"/>
    <m/>
    <m/>
    <m/>
    <m/>
    <m/>
    <m/>
    <m/>
    <m/>
    <s v="Negative"/>
    <s v="Not Sampled"/>
    <s v="Not Sampled"/>
  </r>
  <r>
    <x v="2"/>
    <x v="18"/>
    <x v="3"/>
    <x v="0"/>
    <x v="0"/>
    <x v="61"/>
    <x v="282"/>
    <x v="11"/>
    <n v="0"/>
    <s v="Not Sampled"/>
    <n v="812"/>
    <m/>
    <m/>
    <m/>
    <m/>
    <m/>
    <m/>
    <m/>
    <m/>
    <s v="Negative"/>
    <s v="Not Sampled"/>
    <s v="Not Sampled"/>
  </r>
  <r>
    <x v="7"/>
    <x v="27"/>
    <x v="24"/>
    <x v="2"/>
    <x v="0"/>
    <x v="48"/>
    <x v="190"/>
    <x v="9"/>
    <n v="0"/>
    <s v="Not Sampled"/>
    <n v="813"/>
    <m/>
    <m/>
    <m/>
    <m/>
    <m/>
    <m/>
    <m/>
    <m/>
    <s v="Negative"/>
    <s v="Not Sampled"/>
    <s v="Not Sampled"/>
  </r>
  <r>
    <x v="4"/>
    <x v="50"/>
    <x v="5"/>
    <x v="2"/>
    <x v="0"/>
    <x v="8"/>
    <x v="283"/>
    <x v="40"/>
    <n v="0"/>
    <s v="Not Sampled"/>
    <n v="814"/>
    <m/>
    <m/>
    <m/>
    <m/>
    <m/>
    <m/>
    <m/>
    <m/>
    <s v="Negative"/>
    <s v="Not Sampled"/>
    <s v="Not Sampled"/>
  </r>
  <r>
    <x v="4"/>
    <x v="51"/>
    <x v="21"/>
    <x v="35"/>
    <x v="116"/>
    <x v="70"/>
    <x v="284"/>
    <x v="43"/>
    <n v="0"/>
    <s v="Not Sampled"/>
    <n v="815"/>
    <m/>
    <m/>
    <m/>
    <m/>
    <m/>
    <m/>
    <m/>
    <m/>
    <s v="Negative"/>
    <s v="Not Sampled"/>
    <s v="Not Sampled"/>
  </r>
  <r>
    <x v="2"/>
    <x v="4"/>
    <x v="37"/>
    <x v="13"/>
    <x v="117"/>
    <x v="77"/>
    <x v="109"/>
    <x v="11"/>
    <n v="0"/>
    <n v="0"/>
    <n v="816"/>
    <m/>
    <m/>
    <m/>
    <m/>
    <m/>
    <m/>
    <m/>
    <m/>
    <s v="Negative"/>
    <s v="Negative"/>
    <s v="Accurate Prediction"/>
  </r>
  <r>
    <x v="5"/>
    <x v="113"/>
    <x v="2"/>
    <x v="2"/>
    <x v="0"/>
    <x v="177"/>
    <x v="179"/>
    <x v="1"/>
    <n v="0"/>
    <s v="Not Sampled"/>
    <n v="817"/>
    <m/>
    <m/>
    <m/>
    <m/>
    <m/>
    <m/>
    <m/>
    <m/>
    <s v="Negative"/>
    <s v="Not Sampled"/>
    <s v="Not Sampled"/>
  </r>
  <r>
    <x v="5"/>
    <x v="6"/>
    <x v="0"/>
    <x v="13"/>
    <x v="97"/>
    <x v="181"/>
    <x v="285"/>
    <x v="25"/>
    <n v="0"/>
    <s v="Not Sampled"/>
    <n v="818"/>
    <m/>
    <m/>
    <m/>
    <m/>
    <m/>
    <m/>
    <m/>
    <m/>
    <s v="Negative"/>
    <s v="Not Sampled"/>
    <s v="Not Sampled"/>
  </r>
  <r>
    <x v="7"/>
    <x v="18"/>
    <x v="6"/>
    <x v="5"/>
    <x v="0"/>
    <x v="182"/>
    <x v="286"/>
    <x v="26"/>
    <n v="1"/>
    <s v="Not Sampled"/>
    <n v="819"/>
    <m/>
    <m/>
    <m/>
    <m/>
    <m/>
    <m/>
    <m/>
    <m/>
    <s v="Positive"/>
    <s v="Not Sampled"/>
    <s v="Not Sampled"/>
  </r>
  <r>
    <x v="3"/>
    <x v="66"/>
    <x v="6"/>
    <x v="2"/>
    <x v="0"/>
    <x v="183"/>
    <x v="78"/>
    <x v="29"/>
    <n v="0"/>
    <s v="Not Sampled"/>
    <n v="820"/>
    <m/>
    <m/>
    <m/>
    <m/>
    <m/>
    <m/>
    <m/>
    <m/>
    <s v="Negative"/>
    <s v="Not Sampled"/>
    <s v="Not Sampled"/>
  </r>
  <r>
    <x v="3"/>
    <x v="59"/>
    <x v="16"/>
    <x v="2"/>
    <x v="0"/>
    <x v="84"/>
    <x v="287"/>
    <x v="13"/>
    <n v="0"/>
    <n v="0"/>
    <n v="821"/>
    <m/>
    <m/>
    <m/>
    <m/>
    <m/>
    <m/>
    <m/>
    <m/>
    <s v="Negative"/>
    <s v="Negative"/>
    <s v="Accurate Prediction"/>
  </r>
  <r>
    <x v="5"/>
    <x v="114"/>
    <x v="1"/>
    <x v="7"/>
    <x v="0"/>
    <x v="184"/>
    <x v="288"/>
    <x v="22"/>
    <n v="0"/>
    <s v="Not Sampled"/>
    <n v="822"/>
    <m/>
    <m/>
    <m/>
    <m/>
    <m/>
    <m/>
    <m/>
    <m/>
    <s v="Negative"/>
    <s v="Not Sampled"/>
    <s v="Not Sampled"/>
  </r>
  <r>
    <x v="2"/>
    <x v="30"/>
    <x v="0"/>
    <x v="39"/>
    <x v="118"/>
    <x v="185"/>
    <x v="289"/>
    <x v="3"/>
    <n v="0"/>
    <s v="Not Sampled"/>
    <n v="823"/>
    <m/>
    <m/>
    <m/>
    <m/>
    <m/>
    <m/>
    <m/>
    <m/>
    <s v="Negative"/>
    <s v="Not Sampled"/>
    <s v="Not Sampled"/>
  </r>
  <r>
    <x v="5"/>
    <x v="30"/>
    <x v="4"/>
    <x v="2"/>
    <x v="0"/>
    <x v="57"/>
    <x v="290"/>
    <x v="4"/>
    <n v="0"/>
    <n v="0"/>
    <n v="824"/>
    <m/>
    <m/>
    <m/>
    <m/>
    <m/>
    <m/>
    <m/>
    <m/>
    <s v="Negative"/>
    <s v="Negative"/>
    <s v="Accurate Prediction"/>
  </r>
  <r>
    <x v="11"/>
    <x v="102"/>
    <x v="21"/>
    <x v="2"/>
    <x v="0"/>
    <x v="25"/>
    <x v="291"/>
    <x v="43"/>
    <n v="1"/>
    <s v="Not Sampled"/>
    <n v="825"/>
    <m/>
    <m/>
    <m/>
    <m/>
    <m/>
    <m/>
    <m/>
    <m/>
    <s v="Positive"/>
    <s v="Not Sampled"/>
    <s v="Not Sampled"/>
  </r>
  <r>
    <x v="2"/>
    <x v="10"/>
    <x v="13"/>
    <x v="32"/>
    <x v="119"/>
    <x v="21"/>
    <x v="55"/>
    <x v="6"/>
    <n v="1"/>
    <s v="Not Sampled"/>
    <n v="826"/>
    <m/>
    <m/>
    <m/>
    <m/>
    <m/>
    <m/>
    <m/>
    <m/>
    <s v="Positive"/>
    <s v="Not Sampled"/>
    <s v="Not Sampled"/>
  </r>
  <r>
    <x v="13"/>
    <x v="52"/>
    <x v="2"/>
    <x v="8"/>
    <x v="0"/>
    <x v="180"/>
    <x v="292"/>
    <x v="30"/>
    <n v="1"/>
    <n v="1"/>
    <n v="827"/>
    <m/>
    <m/>
    <m/>
    <m/>
    <m/>
    <m/>
    <m/>
    <m/>
    <s v="Positive"/>
    <s v="Positive"/>
    <s v="Accurate Prediction"/>
  </r>
  <r>
    <x v="10"/>
    <x v="40"/>
    <x v="10"/>
    <x v="32"/>
    <x v="120"/>
    <x v="186"/>
    <x v="293"/>
    <x v="27"/>
    <n v="0"/>
    <n v="0"/>
    <n v="828"/>
    <m/>
    <m/>
    <m/>
    <m/>
    <m/>
    <m/>
    <m/>
    <m/>
    <s v="Negative"/>
    <s v="Negative"/>
    <s v="Accurate Prediction"/>
  </r>
  <r>
    <x v="2"/>
    <x v="96"/>
    <x v="15"/>
    <x v="35"/>
    <x v="121"/>
    <x v="23"/>
    <x v="261"/>
    <x v="29"/>
    <n v="1"/>
    <s v="Not Sampled"/>
    <n v="829"/>
    <m/>
    <m/>
    <m/>
    <m/>
    <m/>
    <m/>
    <m/>
    <m/>
    <s v="Positive"/>
    <s v="Not Sampled"/>
    <s v="Not Sampled"/>
  </r>
  <r>
    <x v="7"/>
    <x v="115"/>
    <x v="11"/>
    <x v="12"/>
    <x v="54"/>
    <x v="84"/>
    <x v="69"/>
    <x v="29"/>
    <n v="1"/>
    <s v="Not Sampled"/>
    <n v="830"/>
    <m/>
    <m/>
    <m/>
    <m/>
    <m/>
    <m/>
    <m/>
    <m/>
    <s v="Positive"/>
    <s v="Not Sampled"/>
    <s v="Not Sampled"/>
  </r>
  <r>
    <x v="7"/>
    <x v="95"/>
    <x v="9"/>
    <x v="2"/>
    <x v="0"/>
    <x v="187"/>
    <x v="28"/>
    <x v="44"/>
    <n v="0"/>
    <s v="Not Sampled"/>
    <n v="831"/>
    <m/>
    <m/>
    <m/>
    <m/>
    <m/>
    <m/>
    <m/>
    <m/>
    <s v="Negative"/>
    <s v="Not Sampled"/>
    <s v="Not Sampled"/>
  </r>
  <r>
    <x v="7"/>
    <x v="28"/>
    <x v="28"/>
    <x v="18"/>
    <x v="0"/>
    <x v="188"/>
    <x v="47"/>
    <x v="39"/>
    <n v="0"/>
    <s v="Not Sampled"/>
    <n v="832"/>
    <m/>
    <m/>
    <m/>
    <m/>
    <m/>
    <m/>
    <m/>
    <m/>
    <s v="Negative"/>
    <s v="Not Sampled"/>
    <s v="Not Sampled"/>
  </r>
  <r>
    <x v="3"/>
    <x v="36"/>
    <x v="4"/>
    <x v="2"/>
    <x v="0"/>
    <x v="70"/>
    <x v="254"/>
    <x v="7"/>
    <n v="1"/>
    <s v="Not Sampled"/>
    <n v="833"/>
    <m/>
    <m/>
    <m/>
    <m/>
    <m/>
    <m/>
    <m/>
    <m/>
    <s v="Positive"/>
    <s v="Not Sampled"/>
    <s v="Not Sampled"/>
  </r>
  <r>
    <x v="3"/>
    <x v="83"/>
    <x v="10"/>
    <x v="14"/>
    <x v="122"/>
    <x v="115"/>
    <x v="294"/>
    <x v="13"/>
    <n v="0"/>
    <n v="0"/>
    <n v="834"/>
    <m/>
    <m/>
    <m/>
    <m/>
    <m/>
    <m/>
    <m/>
    <m/>
    <s v="Negative"/>
    <s v="Negative"/>
    <s v="Accurate Prediction"/>
  </r>
  <r>
    <x v="7"/>
    <x v="6"/>
    <x v="14"/>
    <x v="7"/>
    <x v="117"/>
    <x v="37"/>
    <x v="295"/>
    <x v="13"/>
    <n v="0"/>
    <s v="Not Sampled"/>
    <n v="835"/>
    <m/>
    <m/>
    <m/>
    <m/>
    <m/>
    <m/>
    <m/>
    <m/>
    <s v="Negative"/>
    <s v="Not Sampled"/>
    <s v="Not Sampled"/>
  </r>
  <r>
    <x v="6"/>
    <x v="73"/>
    <x v="5"/>
    <x v="2"/>
    <x v="0"/>
    <x v="32"/>
    <x v="149"/>
    <x v="29"/>
    <n v="1"/>
    <s v="Not Sampled"/>
    <n v="836"/>
    <m/>
    <m/>
    <m/>
    <m/>
    <m/>
    <m/>
    <m/>
    <m/>
    <s v="Positive"/>
    <s v="Not Sampled"/>
    <s v="Not Sampled"/>
  </r>
  <r>
    <x v="1"/>
    <x v="39"/>
    <x v="11"/>
    <x v="6"/>
    <x v="0"/>
    <x v="169"/>
    <x v="287"/>
    <x v="4"/>
    <n v="0"/>
    <s v="Not Sampled"/>
    <n v="837"/>
    <m/>
    <m/>
    <m/>
    <m/>
    <m/>
    <m/>
    <m/>
    <m/>
    <s v="Negative"/>
    <s v="Not Sampled"/>
    <s v="Not Sampled"/>
  </r>
  <r>
    <x v="5"/>
    <x v="14"/>
    <x v="24"/>
    <x v="41"/>
    <x v="5"/>
    <x v="155"/>
    <x v="296"/>
    <x v="11"/>
    <n v="0"/>
    <s v="Not Sampled"/>
    <n v="838"/>
    <m/>
    <m/>
    <m/>
    <m/>
    <m/>
    <m/>
    <m/>
    <m/>
    <s v="Negative"/>
    <s v="Not Sampled"/>
    <s v="Not Sampled"/>
  </r>
  <r>
    <x v="2"/>
    <x v="32"/>
    <x v="38"/>
    <x v="7"/>
    <x v="32"/>
    <x v="10"/>
    <x v="297"/>
    <x v="10"/>
    <n v="1"/>
    <s v="Not Sampled"/>
    <n v="839"/>
    <m/>
    <m/>
    <m/>
    <m/>
    <m/>
    <m/>
    <m/>
    <m/>
    <s v="Positive"/>
    <s v="Not Sampled"/>
    <s v="Not Sampled"/>
  </r>
  <r>
    <x v="5"/>
    <x v="5"/>
    <x v="1"/>
    <x v="46"/>
    <x v="123"/>
    <x v="189"/>
    <x v="298"/>
    <x v="14"/>
    <n v="1"/>
    <n v="1"/>
    <n v="840"/>
    <m/>
    <m/>
    <m/>
    <m/>
    <m/>
    <m/>
    <m/>
    <m/>
    <s v="Positive"/>
    <s v="Positive"/>
    <s v="Accurate Prediction"/>
  </r>
  <r>
    <x v="1"/>
    <x v="78"/>
    <x v="11"/>
    <x v="17"/>
    <x v="124"/>
    <x v="12"/>
    <x v="299"/>
    <x v="4"/>
    <n v="0"/>
    <s v="Not Sampled"/>
    <n v="841"/>
    <m/>
    <m/>
    <m/>
    <m/>
    <m/>
    <m/>
    <m/>
    <m/>
    <s v="Negative"/>
    <s v="Not Sampled"/>
    <s v="Not Sampled"/>
  </r>
  <r>
    <x v="1"/>
    <x v="1"/>
    <x v="11"/>
    <x v="29"/>
    <x v="5"/>
    <x v="134"/>
    <x v="300"/>
    <x v="4"/>
    <n v="0"/>
    <s v="Not Sampled"/>
    <n v="842"/>
    <m/>
    <m/>
    <m/>
    <m/>
    <m/>
    <m/>
    <m/>
    <m/>
    <s v="Negative"/>
    <s v="Not Sampled"/>
    <s v="Not Sampled"/>
  </r>
  <r>
    <x v="0"/>
    <x v="38"/>
    <x v="22"/>
    <x v="32"/>
    <x v="48"/>
    <x v="115"/>
    <x v="301"/>
    <x v="14"/>
    <n v="0"/>
    <s v="Not Sampled"/>
    <n v="843"/>
    <m/>
    <m/>
    <m/>
    <m/>
    <m/>
    <m/>
    <m/>
    <m/>
    <s v="Negative"/>
    <s v="Not Sampled"/>
    <s v="Not Sampled"/>
  </r>
  <r>
    <x v="0"/>
    <x v="27"/>
    <x v="33"/>
    <x v="44"/>
    <x v="125"/>
    <x v="190"/>
    <x v="302"/>
    <x v="6"/>
    <n v="0"/>
    <s v="Not Sampled"/>
    <n v="844"/>
    <m/>
    <m/>
    <m/>
    <m/>
    <m/>
    <m/>
    <m/>
    <m/>
    <s v="Negative"/>
    <s v="Not Sampled"/>
    <s v="Not Sampled"/>
  </r>
  <r>
    <x v="10"/>
    <x v="98"/>
    <x v="1"/>
    <x v="44"/>
    <x v="54"/>
    <x v="188"/>
    <x v="303"/>
    <x v="5"/>
    <n v="1"/>
    <s v="Not Sampled"/>
    <n v="845"/>
    <m/>
    <m/>
    <m/>
    <m/>
    <m/>
    <m/>
    <m/>
    <m/>
    <s v="Positive"/>
    <s v="Not Sampled"/>
    <s v="Not Sampled"/>
  </r>
  <r>
    <x v="1"/>
    <x v="116"/>
    <x v="1"/>
    <x v="11"/>
    <x v="126"/>
    <x v="18"/>
    <x v="167"/>
    <x v="11"/>
    <n v="0"/>
    <n v="0"/>
    <n v="846"/>
    <m/>
    <m/>
    <m/>
    <m/>
    <m/>
    <m/>
    <m/>
    <m/>
    <s v="Negative"/>
    <s v="Negative"/>
    <s v="Accurate Prediction"/>
  </r>
  <r>
    <x v="2"/>
    <x v="90"/>
    <x v="12"/>
    <x v="18"/>
    <x v="96"/>
    <x v="19"/>
    <x v="304"/>
    <x v="11"/>
    <n v="0"/>
    <s v="Not Sampled"/>
    <n v="847"/>
    <m/>
    <m/>
    <m/>
    <m/>
    <m/>
    <m/>
    <m/>
    <m/>
    <s v="Negative"/>
    <s v="Not Sampled"/>
    <s v="Not Sampled"/>
  </r>
  <r>
    <x v="3"/>
    <x v="84"/>
    <x v="25"/>
    <x v="2"/>
    <x v="0"/>
    <x v="191"/>
    <x v="21"/>
    <x v="32"/>
    <n v="1"/>
    <s v="Not Sampled"/>
    <n v="848"/>
    <m/>
    <m/>
    <m/>
    <m/>
    <m/>
    <m/>
    <m/>
    <m/>
    <s v="Positive"/>
    <s v="Not Sampled"/>
    <s v="Not Sampled"/>
  </r>
  <r>
    <x v="1"/>
    <x v="67"/>
    <x v="39"/>
    <x v="15"/>
    <x v="127"/>
    <x v="59"/>
    <x v="305"/>
    <x v="20"/>
    <n v="0"/>
    <s v="Not Sampled"/>
    <n v="849"/>
    <m/>
    <m/>
    <m/>
    <m/>
    <m/>
    <m/>
    <m/>
    <m/>
    <s v="Negative"/>
    <s v="Not Sampled"/>
    <s v="Not Sampled"/>
  </r>
  <r>
    <x v="2"/>
    <x v="61"/>
    <x v="5"/>
    <x v="8"/>
    <x v="21"/>
    <x v="98"/>
    <x v="306"/>
    <x v="3"/>
    <n v="0"/>
    <s v="Not Sampled"/>
    <n v="850"/>
    <m/>
    <m/>
    <m/>
    <m/>
    <m/>
    <m/>
    <m/>
    <m/>
    <s v="Negative"/>
    <s v="Not Sampled"/>
    <s v="Not Sampled"/>
  </r>
  <r>
    <x v="1"/>
    <x v="38"/>
    <x v="3"/>
    <x v="29"/>
    <x v="0"/>
    <x v="192"/>
    <x v="183"/>
    <x v="11"/>
    <n v="0"/>
    <s v="Not Sampled"/>
    <n v="851"/>
    <m/>
    <m/>
    <m/>
    <m/>
    <m/>
    <m/>
    <m/>
    <m/>
    <s v="Negative"/>
    <s v="Not Sampled"/>
    <s v="Not Sampled"/>
  </r>
  <r>
    <x v="2"/>
    <x v="49"/>
    <x v="12"/>
    <x v="47"/>
    <x v="98"/>
    <x v="54"/>
    <x v="307"/>
    <x v="4"/>
    <n v="0"/>
    <s v="Not Sampled"/>
    <n v="852"/>
    <m/>
    <m/>
    <m/>
    <m/>
    <m/>
    <m/>
    <m/>
    <m/>
    <s v="Negative"/>
    <s v="Not Sampled"/>
    <s v="Not Sampled"/>
  </r>
  <r>
    <x v="2"/>
    <x v="30"/>
    <x v="0"/>
    <x v="10"/>
    <x v="128"/>
    <x v="16"/>
    <x v="308"/>
    <x v="14"/>
    <n v="0"/>
    <s v="Not Sampled"/>
    <n v="853"/>
    <m/>
    <m/>
    <m/>
    <m/>
    <m/>
    <m/>
    <m/>
    <m/>
    <s v="Negative"/>
    <s v="Not Sampled"/>
    <s v="Not Sampled"/>
  </r>
  <r>
    <x v="2"/>
    <x v="10"/>
    <x v="9"/>
    <x v="20"/>
    <x v="27"/>
    <x v="122"/>
    <x v="309"/>
    <x v="14"/>
    <n v="0"/>
    <s v="Not Sampled"/>
    <n v="854"/>
    <m/>
    <m/>
    <m/>
    <m/>
    <m/>
    <m/>
    <m/>
    <m/>
    <s v="Negative"/>
    <s v="Not Sampled"/>
    <s v="Not Sampled"/>
  </r>
  <r>
    <x v="2"/>
    <x v="93"/>
    <x v="14"/>
    <x v="27"/>
    <x v="52"/>
    <x v="193"/>
    <x v="310"/>
    <x v="3"/>
    <n v="0"/>
    <s v="Not Sampled"/>
    <n v="855"/>
    <m/>
    <m/>
    <m/>
    <m/>
    <m/>
    <m/>
    <m/>
    <m/>
    <s v="Negative"/>
    <s v="Not Sampled"/>
    <s v="Not Sampled"/>
  </r>
  <r>
    <x v="7"/>
    <x v="113"/>
    <x v="10"/>
    <x v="30"/>
    <x v="0"/>
    <x v="167"/>
    <x v="311"/>
    <x v="20"/>
    <n v="1"/>
    <s v="Not Sampled"/>
    <n v="856"/>
    <m/>
    <m/>
    <m/>
    <m/>
    <m/>
    <m/>
    <m/>
    <m/>
    <s v="Positive"/>
    <s v="Not Sampled"/>
    <s v="Not Sampled"/>
  </r>
  <r>
    <x v="4"/>
    <x v="38"/>
    <x v="39"/>
    <x v="35"/>
    <x v="0"/>
    <x v="165"/>
    <x v="312"/>
    <x v="10"/>
    <n v="1"/>
    <n v="0"/>
    <n v="857"/>
    <m/>
    <m/>
    <m/>
    <m/>
    <m/>
    <m/>
    <m/>
    <m/>
    <s v="Positive"/>
    <s v="Negative"/>
    <s v="Inaccurate Prediction"/>
  </r>
  <r>
    <x v="7"/>
    <x v="65"/>
    <x v="1"/>
    <x v="16"/>
    <x v="63"/>
    <x v="61"/>
    <x v="117"/>
    <x v="5"/>
    <n v="1"/>
    <n v="0"/>
    <n v="858"/>
    <m/>
    <m/>
    <m/>
    <m/>
    <m/>
    <m/>
    <m/>
    <m/>
    <s v="Positive"/>
    <s v="Negative"/>
    <s v="Inaccurate Prediction"/>
  </r>
  <r>
    <x v="5"/>
    <x v="45"/>
    <x v="3"/>
    <x v="17"/>
    <x v="129"/>
    <x v="31"/>
    <x v="313"/>
    <x v="6"/>
    <n v="0"/>
    <s v="Not Sampled"/>
    <n v="859"/>
    <m/>
    <m/>
    <m/>
    <m/>
    <m/>
    <m/>
    <m/>
    <m/>
    <s v="Negative"/>
    <s v="Not Sampled"/>
    <s v="Not Sampled"/>
  </r>
  <r>
    <x v="2"/>
    <x v="45"/>
    <x v="19"/>
    <x v="30"/>
    <x v="130"/>
    <x v="61"/>
    <x v="314"/>
    <x v="8"/>
    <n v="0"/>
    <n v="0"/>
    <n v="860"/>
    <m/>
    <m/>
    <m/>
    <m/>
    <m/>
    <m/>
    <m/>
    <m/>
    <s v="Negative"/>
    <s v="Negative"/>
    <s v="Accurate Prediction"/>
  </r>
  <r>
    <x v="7"/>
    <x v="12"/>
    <x v="15"/>
    <x v="2"/>
    <x v="0"/>
    <x v="194"/>
    <x v="250"/>
    <x v="23"/>
    <n v="1"/>
    <n v="1"/>
    <n v="861"/>
    <m/>
    <m/>
    <m/>
    <m/>
    <m/>
    <m/>
    <m/>
    <m/>
    <s v="Positive"/>
    <s v="Positive"/>
    <s v="Accurate Prediction"/>
  </r>
  <r>
    <x v="2"/>
    <x v="55"/>
    <x v="11"/>
    <x v="36"/>
    <x v="131"/>
    <x v="195"/>
    <x v="282"/>
    <x v="4"/>
    <n v="0"/>
    <s v="Not Sampled"/>
    <n v="862"/>
    <m/>
    <m/>
    <m/>
    <m/>
    <m/>
    <m/>
    <m/>
    <m/>
    <s v="Negative"/>
    <s v="Not Sampled"/>
    <s v="Not Sampled"/>
  </r>
  <r>
    <x v="3"/>
    <x v="113"/>
    <x v="5"/>
    <x v="39"/>
    <x v="74"/>
    <x v="28"/>
    <x v="315"/>
    <x v="26"/>
    <n v="0"/>
    <s v="Not Sampled"/>
    <n v="863"/>
    <m/>
    <m/>
    <m/>
    <m/>
    <m/>
    <m/>
    <m/>
    <m/>
    <s v="Negative"/>
    <s v="Not Sampled"/>
    <s v="Not Sampled"/>
  </r>
  <r>
    <x v="3"/>
    <x v="95"/>
    <x v="4"/>
    <x v="2"/>
    <x v="0"/>
    <x v="35"/>
    <x v="316"/>
    <x v="2"/>
    <n v="1"/>
    <s v="Not Sampled"/>
    <n v="864"/>
    <m/>
    <m/>
    <m/>
    <m/>
    <m/>
    <m/>
    <m/>
    <m/>
    <s v="Positive"/>
    <s v="Not Sampled"/>
    <s v="Not Sampled"/>
  </r>
  <r>
    <x v="0"/>
    <x v="117"/>
    <x v="22"/>
    <x v="20"/>
    <x v="132"/>
    <x v="116"/>
    <x v="317"/>
    <x v="14"/>
    <n v="0"/>
    <s v="Not Sampled"/>
    <n v="865"/>
    <m/>
    <m/>
    <m/>
    <m/>
    <m/>
    <m/>
    <m/>
    <m/>
    <s v="Negative"/>
    <s v="Not Sampled"/>
    <s v="Not Sampled"/>
  </r>
  <r>
    <x v="5"/>
    <x v="20"/>
    <x v="20"/>
    <x v="24"/>
    <x v="133"/>
    <x v="62"/>
    <x v="318"/>
    <x v="16"/>
    <n v="0"/>
    <s v="Not Sampled"/>
    <n v="866"/>
    <m/>
    <m/>
    <m/>
    <m/>
    <m/>
    <m/>
    <m/>
    <m/>
    <s v="Negative"/>
    <s v="Not Sampled"/>
    <s v="Not Sampled"/>
  </r>
  <r>
    <x v="1"/>
    <x v="55"/>
    <x v="19"/>
    <x v="32"/>
    <x v="0"/>
    <x v="82"/>
    <x v="319"/>
    <x v="11"/>
    <n v="1"/>
    <s v="Not Sampled"/>
    <n v="867"/>
    <m/>
    <m/>
    <m/>
    <m/>
    <m/>
    <m/>
    <m/>
    <m/>
    <s v="Positive"/>
    <s v="Not Sampled"/>
    <s v="Not Sampled"/>
  </r>
  <r>
    <x v="5"/>
    <x v="118"/>
    <x v="9"/>
    <x v="2"/>
    <x v="0"/>
    <x v="96"/>
    <x v="282"/>
    <x v="14"/>
    <n v="0"/>
    <n v="0"/>
    <n v="868"/>
    <m/>
    <m/>
    <m/>
    <m/>
    <m/>
    <m/>
    <m/>
    <m/>
    <s v="Negative"/>
    <s v="Negative"/>
    <s v="Accurate Prediction"/>
  </r>
  <r>
    <x v="5"/>
    <x v="104"/>
    <x v="9"/>
    <x v="1"/>
    <x v="0"/>
    <x v="115"/>
    <x v="320"/>
    <x v="14"/>
    <n v="1"/>
    <s v="Not Sampled"/>
    <n v="869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s v="Not Sampled"/>
    <n v="870"/>
    <m/>
    <m/>
    <m/>
    <m/>
    <m/>
    <m/>
    <m/>
    <m/>
    <s v="Positive"/>
    <s v="Not Sampled"/>
    <s v="Not Sampled"/>
  </r>
  <r>
    <x v="6"/>
    <x v="59"/>
    <x v="40"/>
    <x v="2"/>
    <x v="0"/>
    <x v="29"/>
    <x v="187"/>
    <x v="15"/>
    <n v="0"/>
    <s v="Not Sampled"/>
    <n v="871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n v="0"/>
    <n v="872"/>
    <m/>
    <m/>
    <m/>
    <m/>
    <m/>
    <m/>
    <m/>
    <m/>
    <s v="Positive"/>
    <s v="Negative"/>
    <s v="Inaccurate Prediction"/>
  </r>
  <r>
    <x v="11"/>
    <x v="119"/>
    <x v="4"/>
    <x v="14"/>
    <x v="0"/>
    <x v="31"/>
    <x v="246"/>
    <x v="19"/>
    <n v="0"/>
    <s v="Not Sampled"/>
    <n v="873"/>
    <m/>
    <m/>
    <m/>
    <m/>
    <m/>
    <m/>
    <m/>
    <m/>
    <s v="Negative"/>
    <s v="Not Sampled"/>
    <s v="Not Sampled"/>
  </r>
  <r>
    <x v="7"/>
    <x v="120"/>
    <x v="11"/>
    <x v="2"/>
    <x v="0"/>
    <x v="35"/>
    <x v="322"/>
    <x v="17"/>
    <n v="1"/>
    <n v="1"/>
    <n v="874"/>
    <m/>
    <m/>
    <m/>
    <m/>
    <m/>
    <m/>
    <m/>
    <m/>
    <s v="Positive"/>
    <s v="Positive"/>
    <s v="Accurate Prediction"/>
  </r>
  <r>
    <x v="0"/>
    <x v="62"/>
    <x v="26"/>
    <x v="5"/>
    <x v="134"/>
    <x v="196"/>
    <x v="254"/>
    <x v="25"/>
    <n v="0"/>
    <s v="Not Sampled"/>
    <n v="875"/>
    <m/>
    <m/>
    <m/>
    <m/>
    <m/>
    <m/>
    <m/>
    <m/>
    <s v="Negative"/>
    <s v="Not Sampled"/>
    <s v="Not Sampled"/>
  </r>
  <r>
    <x v="3"/>
    <x v="109"/>
    <x v="5"/>
    <x v="2"/>
    <x v="0"/>
    <x v="11"/>
    <x v="323"/>
    <x v="22"/>
    <n v="1"/>
    <s v="Not Sampled"/>
    <n v="876"/>
    <m/>
    <m/>
    <m/>
    <m/>
    <m/>
    <m/>
    <m/>
    <m/>
    <s v="Positive"/>
    <s v="Not Sampled"/>
    <s v="Not Sampled"/>
  </r>
  <r>
    <x v="1"/>
    <x v="39"/>
    <x v="0"/>
    <x v="2"/>
    <x v="0"/>
    <x v="101"/>
    <x v="101"/>
    <x v="14"/>
    <n v="0"/>
    <n v="0"/>
    <n v="877"/>
    <m/>
    <m/>
    <m/>
    <m/>
    <m/>
    <m/>
    <m/>
    <m/>
    <s v="Negative"/>
    <s v="Negative"/>
    <s v="Accurate Prediction"/>
  </r>
  <r>
    <x v="4"/>
    <x v="100"/>
    <x v="10"/>
    <x v="2"/>
    <x v="0"/>
    <x v="151"/>
    <x v="324"/>
    <x v="16"/>
    <n v="1"/>
    <s v="Not Sampled"/>
    <n v="878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s v="Not Sampled"/>
    <n v="879"/>
    <m/>
    <m/>
    <m/>
    <m/>
    <m/>
    <m/>
    <m/>
    <m/>
    <s v="Positive"/>
    <s v="Not Sampled"/>
    <s v="Not Sampled"/>
  </r>
  <r>
    <x v="6"/>
    <x v="29"/>
    <x v="8"/>
    <x v="15"/>
    <x v="0"/>
    <x v="140"/>
    <x v="326"/>
    <x v="6"/>
    <n v="0"/>
    <s v="Not Sampled"/>
    <n v="880"/>
    <m/>
    <m/>
    <m/>
    <m/>
    <m/>
    <m/>
    <m/>
    <m/>
    <s v="Negative"/>
    <s v="Not Sampled"/>
    <s v="Not Sampled"/>
  </r>
  <r>
    <x v="2"/>
    <x v="56"/>
    <x v="5"/>
    <x v="8"/>
    <x v="34"/>
    <x v="184"/>
    <x v="303"/>
    <x v="14"/>
    <n v="0"/>
    <n v="0"/>
    <n v="881"/>
    <m/>
    <m/>
    <m/>
    <m/>
    <m/>
    <m/>
    <m/>
    <m/>
    <s v="Negative"/>
    <s v="Negative"/>
    <s v="Accurate Prediction"/>
  </r>
  <r>
    <x v="2"/>
    <x v="92"/>
    <x v="16"/>
    <x v="17"/>
    <x v="136"/>
    <x v="197"/>
    <x v="327"/>
    <x v="11"/>
    <n v="0"/>
    <s v="Not Sampled"/>
    <n v="882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883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s v="Not Sampled"/>
    <n v="884"/>
    <m/>
    <m/>
    <m/>
    <m/>
    <m/>
    <m/>
    <m/>
    <m/>
    <s v="Positive"/>
    <s v="Not Sampled"/>
    <s v="Not Sampled"/>
  </r>
  <r>
    <x v="5"/>
    <x v="5"/>
    <x v="16"/>
    <x v="12"/>
    <x v="138"/>
    <x v="140"/>
    <x v="61"/>
    <x v="11"/>
    <n v="1"/>
    <n v="1"/>
    <n v="885"/>
    <m/>
    <m/>
    <m/>
    <m/>
    <m/>
    <m/>
    <m/>
    <m/>
    <s v="Positive"/>
    <s v="Positive"/>
    <s v="Accurate Prediction"/>
  </r>
  <r>
    <x v="2"/>
    <x v="75"/>
    <x v="3"/>
    <x v="23"/>
    <x v="0"/>
    <x v="185"/>
    <x v="329"/>
    <x v="11"/>
    <n v="0"/>
    <s v="Not Sampled"/>
    <n v="886"/>
    <m/>
    <m/>
    <m/>
    <m/>
    <m/>
    <m/>
    <m/>
    <m/>
    <s v="Negative"/>
    <s v="Not Sampled"/>
    <s v="Not Sampled"/>
  </r>
  <r>
    <x v="3"/>
    <x v="65"/>
    <x v="1"/>
    <x v="5"/>
    <x v="0"/>
    <x v="70"/>
    <x v="330"/>
    <x v="26"/>
    <n v="1"/>
    <n v="1"/>
    <n v="887"/>
    <m/>
    <m/>
    <m/>
    <m/>
    <m/>
    <m/>
    <m/>
    <m/>
    <s v="Positive"/>
    <s v="Positive"/>
    <s v="Accurate Prediction"/>
  </r>
  <r>
    <x v="2"/>
    <x v="8"/>
    <x v="3"/>
    <x v="2"/>
    <x v="0"/>
    <x v="198"/>
    <x v="331"/>
    <x v="23"/>
    <n v="0"/>
    <n v="0"/>
    <n v="888"/>
    <m/>
    <m/>
    <m/>
    <m/>
    <m/>
    <m/>
    <m/>
    <m/>
    <s v="Negative"/>
    <s v="Negative"/>
    <s v="Accurate Prediction"/>
  </r>
  <r>
    <x v="5"/>
    <x v="52"/>
    <x v="11"/>
    <x v="30"/>
    <x v="133"/>
    <x v="199"/>
    <x v="332"/>
    <x v="6"/>
    <n v="1"/>
    <s v="Not Sampled"/>
    <n v="889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890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s v="Not Sampled"/>
    <n v="891"/>
    <m/>
    <m/>
    <m/>
    <m/>
    <m/>
    <m/>
    <m/>
    <m/>
    <s v="Negative"/>
    <s v="Not Sampled"/>
    <s v="Not Sampled"/>
  </r>
  <r>
    <x v="1"/>
    <x v="29"/>
    <x v="11"/>
    <x v="40"/>
    <x v="65"/>
    <x v="102"/>
    <x v="116"/>
    <x v="4"/>
    <n v="0"/>
    <s v="Not Sampled"/>
    <n v="892"/>
    <m/>
    <m/>
    <m/>
    <m/>
    <m/>
    <m/>
    <m/>
    <m/>
    <s v="Negative"/>
    <s v="Not Sampled"/>
    <s v="Not Sampled"/>
  </r>
  <r>
    <x v="0"/>
    <x v="109"/>
    <x v="11"/>
    <x v="29"/>
    <x v="0"/>
    <x v="98"/>
    <x v="335"/>
    <x v="4"/>
    <n v="0"/>
    <s v="Not Sampled"/>
    <n v="893"/>
    <m/>
    <m/>
    <m/>
    <m/>
    <m/>
    <m/>
    <m/>
    <m/>
    <s v="Negative"/>
    <s v="Not Sampled"/>
    <s v="Not Sampled"/>
  </r>
  <r>
    <x v="4"/>
    <x v="68"/>
    <x v="4"/>
    <x v="5"/>
    <x v="14"/>
    <x v="92"/>
    <x v="336"/>
    <x v="31"/>
    <n v="1"/>
    <s v="Not Sampled"/>
    <n v="894"/>
    <m/>
    <m/>
    <m/>
    <m/>
    <m/>
    <m/>
    <m/>
    <m/>
    <s v="Positive"/>
    <s v="Not Sampled"/>
    <s v="Not Sampled"/>
  </r>
  <r>
    <x v="3"/>
    <x v="97"/>
    <x v="4"/>
    <x v="15"/>
    <x v="139"/>
    <x v="201"/>
    <x v="337"/>
    <x v="2"/>
    <n v="1"/>
    <s v="Not Sampled"/>
    <n v="895"/>
    <m/>
    <m/>
    <m/>
    <m/>
    <m/>
    <m/>
    <m/>
    <m/>
    <s v="Positive"/>
    <s v="Not Sampled"/>
    <s v="Not Sampled"/>
  </r>
  <r>
    <x v="1"/>
    <x v="19"/>
    <x v="2"/>
    <x v="2"/>
    <x v="0"/>
    <x v="12"/>
    <x v="152"/>
    <x v="14"/>
    <n v="0"/>
    <s v="Not Sampled"/>
    <n v="896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897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s v="Not Sampled"/>
    <n v="898"/>
    <m/>
    <m/>
    <m/>
    <m/>
    <m/>
    <m/>
    <m/>
    <m/>
    <s v="Negative"/>
    <s v="Not Sampled"/>
    <s v="Not Sampled"/>
  </r>
  <r>
    <x v="2"/>
    <x v="50"/>
    <x v="1"/>
    <x v="14"/>
    <x v="105"/>
    <x v="145"/>
    <x v="1"/>
    <x v="33"/>
    <n v="1"/>
    <n v="0"/>
    <n v="899"/>
    <m/>
    <m/>
    <m/>
    <m/>
    <m/>
    <m/>
    <m/>
    <m/>
    <s v="Positive"/>
    <s v="Negative"/>
    <s v="Inaccurate Prediction"/>
  </r>
  <r>
    <x v="0"/>
    <x v="6"/>
    <x v="2"/>
    <x v="2"/>
    <x v="0"/>
    <x v="202"/>
    <x v="339"/>
    <x v="1"/>
    <n v="0"/>
    <n v="0"/>
    <n v="900"/>
    <m/>
    <m/>
    <m/>
    <m/>
    <m/>
    <m/>
    <m/>
    <m/>
    <s v="Negative"/>
    <s v="Negative"/>
    <s v="Accurate Prediction"/>
  </r>
  <r>
    <x v="5"/>
    <x v="9"/>
    <x v="10"/>
    <x v="41"/>
    <x v="108"/>
    <x v="25"/>
    <x v="7"/>
    <x v="19"/>
    <n v="0"/>
    <s v="Not Sampled"/>
    <n v="901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n v="0"/>
    <n v="902"/>
    <m/>
    <m/>
    <m/>
    <m/>
    <m/>
    <m/>
    <m/>
    <m/>
    <s v="Negative"/>
    <s v="Negative"/>
    <s v="Accurate Prediction"/>
  </r>
  <r>
    <x v="0"/>
    <x v="4"/>
    <x v="25"/>
    <x v="2"/>
    <x v="0"/>
    <x v="6"/>
    <x v="148"/>
    <x v="29"/>
    <n v="0"/>
    <s v="Not Sampled"/>
    <n v="903"/>
    <m/>
    <m/>
    <m/>
    <m/>
    <m/>
    <m/>
    <m/>
    <m/>
    <s v="Negative"/>
    <s v="Not Sampled"/>
    <s v="Not Sampled"/>
  </r>
  <r>
    <x v="2"/>
    <x v="30"/>
    <x v="3"/>
    <x v="47"/>
    <x v="0"/>
    <x v="203"/>
    <x v="340"/>
    <x v="31"/>
    <n v="0"/>
    <s v="Not Sampled"/>
    <n v="904"/>
    <m/>
    <m/>
    <m/>
    <m/>
    <m/>
    <m/>
    <m/>
    <m/>
    <s v="Negative"/>
    <s v="Not Sampled"/>
    <s v="Not Sampled"/>
  </r>
  <r>
    <x v="1"/>
    <x v="47"/>
    <x v="2"/>
    <x v="2"/>
    <x v="0"/>
    <x v="197"/>
    <x v="310"/>
    <x v="29"/>
    <n v="1"/>
    <s v="Not Sampled"/>
    <n v="905"/>
    <m/>
    <m/>
    <m/>
    <m/>
    <m/>
    <m/>
    <m/>
    <m/>
    <s v="Positive"/>
    <s v="Not Sampled"/>
    <s v="Not Sampled"/>
  </r>
  <r>
    <x v="10"/>
    <x v="98"/>
    <x v="23"/>
    <x v="12"/>
    <x v="0"/>
    <x v="83"/>
    <x v="168"/>
    <x v="17"/>
    <n v="0"/>
    <n v="1"/>
    <n v="906"/>
    <m/>
    <m/>
    <m/>
    <m/>
    <m/>
    <m/>
    <m/>
    <m/>
    <s v="Negative"/>
    <s v="Positive"/>
    <s v="Inaccurate Prediction"/>
  </r>
  <r>
    <x v="7"/>
    <x v="83"/>
    <x v="25"/>
    <x v="2"/>
    <x v="0"/>
    <x v="106"/>
    <x v="251"/>
    <x v="6"/>
    <n v="0"/>
    <s v="Not Sampled"/>
    <n v="907"/>
    <m/>
    <m/>
    <m/>
    <m/>
    <m/>
    <m/>
    <m/>
    <m/>
    <s v="Negative"/>
    <s v="Not Sampled"/>
    <s v="Not Sampled"/>
  </r>
  <r>
    <x v="2"/>
    <x v="75"/>
    <x v="9"/>
    <x v="11"/>
    <x v="0"/>
    <x v="198"/>
    <x v="341"/>
    <x v="4"/>
    <n v="0"/>
    <s v="Not Sampled"/>
    <n v="908"/>
    <m/>
    <m/>
    <m/>
    <m/>
    <m/>
    <m/>
    <m/>
    <m/>
    <s v="Negative"/>
    <s v="Not Sampled"/>
    <s v="Not Sampled"/>
  </r>
  <r>
    <x v="6"/>
    <x v="61"/>
    <x v="21"/>
    <x v="2"/>
    <x v="0"/>
    <x v="8"/>
    <x v="19"/>
    <x v="2"/>
    <n v="0"/>
    <s v="Not Sampled"/>
    <n v="909"/>
    <m/>
    <m/>
    <m/>
    <m/>
    <m/>
    <m/>
    <m/>
    <m/>
    <s v="Negative"/>
    <s v="Not Sampled"/>
    <s v="Not Sampled"/>
  </r>
  <r>
    <x v="1"/>
    <x v="115"/>
    <x v="35"/>
    <x v="14"/>
    <x v="0"/>
    <x v="82"/>
    <x v="342"/>
    <x v="17"/>
    <n v="1"/>
    <s v="Not Sampled"/>
    <n v="910"/>
    <m/>
    <m/>
    <m/>
    <m/>
    <m/>
    <m/>
    <m/>
    <m/>
    <s v="Positive"/>
    <s v="Not Sampled"/>
    <s v="Not Sampled"/>
  </r>
  <r>
    <x v="0"/>
    <x v="8"/>
    <x v="19"/>
    <x v="17"/>
    <x v="52"/>
    <x v="204"/>
    <x v="343"/>
    <x v="11"/>
    <n v="0"/>
    <s v="Not Sampled"/>
    <n v="911"/>
    <m/>
    <m/>
    <m/>
    <m/>
    <m/>
    <m/>
    <m/>
    <m/>
    <s v="Negative"/>
    <s v="Not Sampled"/>
    <s v="Not Sampled"/>
  </r>
  <r>
    <x v="3"/>
    <x v="17"/>
    <x v="11"/>
    <x v="21"/>
    <x v="77"/>
    <x v="34"/>
    <x v="344"/>
    <x v="3"/>
    <n v="0"/>
    <s v="Not Sampled"/>
    <n v="912"/>
    <m/>
    <m/>
    <m/>
    <m/>
    <m/>
    <m/>
    <m/>
    <m/>
    <s v="Negative"/>
    <s v="Not Sampled"/>
    <s v="Not Sampled"/>
  </r>
  <r>
    <x v="4"/>
    <x v="81"/>
    <x v="9"/>
    <x v="2"/>
    <x v="0"/>
    <x v="85"/>
    <x v="345"/>
    <x v="9"/>
    <n v="1"/>
    <n v="0"/>
    <n v="913"/>
    <m/>
    <m/>
    <m/>
    <m/>
    <m/>
    <m/>
    <m/>
    <m/>
    <s v="Positive"/>
    <s v="Negative"/>
    <s v="Inaccurate Prediction"/>
  </r>
  <r>
    <x v="3"/>
    <x v="17"/>
    <x v="0"/>
    <x v="39"/>
    <x v="0"/>
    <x v="27"/>
    <x v="222"/>
    <x v="13"/>
    <n v="1"/>
    <s v="Not Sampled"/>
    <n v="914"/>
    <m/>
    <m/>
    <m/>
    <m/>
    <m/>
    <m/>
    <m/>
    <m/>
    <s v="Positive"/>
    <s v="Not Sampled"/>
    <s v="Not Sampled"/>
  </r>
  <r>
    <x v="1"/>
    <x v="22"/>
    <x v="4"/>
    <x v="49"/>
    <x v="141"/>
    <x v="205"/>
    <x v="346"/>
    <x v="14"/>
    <n v="1"/>
    <s v="Not Sampled"/>
    <n v="915"/>
    <m/>
    <m/>
    <m/>
    <m/>
    <m/>
    <m/>
    <m/>
    <m/>
    <s v="Positive"/>
    <s v="Not Sampled"/>
    <s v="Not Sampled"/>
  </r>
  <r>
    <x v="2"/>
    <x v="45"/>
    <x v="5"/>
    <x v="39"/>
    <x v="19"/>
    <x v="159"/>
    <x v="347"/>
    <x v="6"/>
    <n v="0"/>
    <n v="0"/>
    <n v="916"/>
    <m/>
    <m/>
    <m/>
    <m/>
    <m/>
    <m/>
    <m/>
    <m/>
    <s v="Negative"/>
    <s v="Negative"/>
    <s v="Accurate Prediction"/>
  </r>
  <r>
    <x v="1"/>
    <x v="50"/>
    <x v="6"/>
    <x v="45"/>
    <x v="53"/>
    <x v="23"/>
    <x v="348"/>
    <x v="25"/>
    <n v="0"/>
    <s v="Not Sampled"/>
    <n v="917"/>
    <m/>
    <m/>
    <m/>
    <m/>
    <m/>
    <m/>
    <m/>
    <m/>
    <s v="Negative"/>
    <s v="Not Sampled"/>
    <s v="Not Sampled"/>
  </r>
  <r>
    <x v="1"/>
    <x v="88"/>
    <x v="11"/>
    <x v="18"/>
    <x v="36"/>
    <x v="0"/>
    <x v="349"/>
    <x v="11"/>
    <n v="1"/>
    <s v="Not Sampled"/>
    <n v="918"/>
    <m/>
    <m/>
    <m/>
    <m/>
    <m/>
    <m/>
    <m/>
    <m/>
    <s v="Positive"/>
    <s v="Not Sampled"/>
    <s v="Not Sampled"/>
  </r>
  <r>
    <x v="1"/>
    <x v="24"/>
    <x v="10"/>
    <x v="10"/>
    <x v="55"/>
    <x v="85"/>
    <x v="350"/>
    <x v="25"/>
    <n v="0"/>
    <s v="Not Sampled"/>
    <n v="919"/>
    <m/>
    <m/>
    <m/>
    <m/>
    <m/>
    <m/>
    <m/>
    <m/>
    <s v="Negative"/>
    <s v="Not Sampled"/>
    <s v="Not Sampled"/>
  </r>
  <r>
    <x v="2"/>
    <x v="118"/>
    <x v="11"/>
    <x v="27"/>
    <x v="142"/>
    <x v="206"/>
    <x v="351"/>
    <x v="1"/>
    <n v="0"/>
    <s v="Not Sampled"/>
    <n v="920"/>
    <m/>
    <m/>
    <m/>
    <m/>
    <m/>
    <m/>
    <m/>
    <m/>
    <s v="Negative"/>
    <s v="Not Sampled"/>
    <s v="Not Sampled"/>
  </r>
  <r>
    <x v="0"/>
    <x v="63"/>
    <x v="9"/>
    <x v="2"/>
    <x v="0"/>
    <x v="11"/>
    <x v="157"/>
    <x v="1"/>
    <n v="1"/>
    <s v="Not Sampled"/>
    <n v="921"/>
    <m/>
    <m/>
    <m/>
    <m/>
    <m/>
    <m/>
    <m/>
    <m/>
    <s v="Positive"/>
    <s v="Not Sampled"/>
    <s v="Not Sampled"/>
  </r>
  <r>
    <x v="1"/>
    <x v="25"/>
    <x v="3"/>
    <x v="5"/>
    <x v="14"/>
    <x v="180"/>
    <x v="352"/>
    <x v="14"/>
    <n v="0"/>
    <n v="0"/>
    <n v="922"/>
    <m/>
    <m/>
    <m/>
    <m/>
    <m/>
    <m/>
    <m/>
    <m/>
    <s v="Negative"/>
    <s v="Negative"/>
    <s v="Accurate Prediction"/>
  </r>
  <r>
    <x v="0"/>
    <x v="93"/>
    <x v="2"/>
    <x v="2"/>
    <x v="0"/>
    <x v="58"/>
    <x v="353"/>
    <x v="46"/>
    <n v="0"/>
    <s v="Not Sampled"/>
    <n v="923"/>
    <m/>
    <m/>
    <m/>
    <m/>
    <m/>
    <m/>
    <m/>
    <m/>
    <s v="Negative"/>
    <s v="Not Sampled"/>
    <s v="Not Sampled"/>
  </r>
  <r>
    <x v="0"/>
    <x v="45"/>
    <x v="14"/>
    <x v="7"/>
    <x v="16"/>
    <x v="136"/>
    <x v="354"/>
    <x v="3"/>
    <n v="0"/>
    <s v="Not Sampled"/>
    <n v="924"/>
    <m/>
    <m/>
    <m/>
    <m/>
    <m/>
    <m/>
    <m/>
    <m/>
    <s v="Negative"/>
    <s v="Not Sampled"/>
    <s v="Not Sampled"/>
  </r>
  <r>
    <x v="16"/>
    <x v="122"/>
    <x v="0"/>
    <x v="8"/>
    <x v="0"/>
    <x v="0"/>
    <x v="355"/>
    <x v="19"/>
    <n v="1"/>
    <n v="1"/>
    <n v="925"/>
    <m/>
    <m/>
    <m/>
    <m/>
    <m/>
    <m/>
    <m/>
    <m/>
    <s v="Positive"/>
    <s v="Positive"/>
    <s v="Accurate Prediction"/>
  </r>
  <r>
    <x v="2"/>
    <x v="3"/>
    <x v="14"/>
    <x v="2"/>
    <x v="0"/>
    <x v="207"/>
    <x v="140"/>
    <x v="38"/>
    <n v="0"/>
    <n v="0"/>
    <n v="926"/>
    <m/>
    <m/>
    <m/>
    <m/>
    <m/>
    <m/>
    <m/>
    <m/>
    <s v="Negative"/>
    <s v="Negative"/>
    <s v="Accurate Prediction"/>
  </r>
  <r>
    <x v="7"/>
    <x v="103"/>
    <x v="3"/>
    <x v="7"/>
    <x v="10"/>
    <x v="208"/>
    <x v="356"/>
    <x v="3"/>
    <n v="0"/>
    <n v="0"/>
    <n v="927"/>
    <m/>
    <m/>
    <m/>
    <m/>
    <m/>
    <m/>
    <m/>
    <m/>
    <s v="Negative"/>
    <s v="Negative"/>
    <s v="Accurate Prediction"/>
  </r>
  <r>
    <x v="9"/>
    <x v="89"/>
    <x v="16"/>
    <x v="46"/>
    <x v="143"/>
    <x v="209"/>
    <x v="357"/>
    <x v="42"/>
    <n v="1"/>
    <s v="Not Sampled"/>
    <n v="928"/>
    <m/>
    <m/>
    <m/>
    <m/>
    <m/>
    <m/>
    <m/>
    <m/>
    <s v="Positive"/>
    <s v="Not Sampled"/>
    <s v="Not Sampled"/>
  </r>
  <r>
    <x v="11"/>
    <x v="63"/>
    <x v="10"/>
    <x v="12"/>
    <x v="140"/>
    <x v="151"/>
    <x v="358"/>
    <x v="47"/>
    <n v="0"/>
    <s v="Not Sampled"/>
    <n v="929"/>
    <m/>
    <m/>
    <m/>
    <m/>
    <m/>
    <m/>
    <m/>
    <m/>
    <s v="Negative"/>
    <s v="Not Sampled"/>
    <s v="Not Sampled"/>
  </r>
  <r>
    <x v="11"/>
    <x v="24"/>
    <x v="5"/>
    <x v="29"/>
    <x v="79"/>
    <x v="163"/>
    <x v="359"/>
    <x v="27"/>
    <n v="0"/>
    <s v="Not Sampled"/>
    <n v="930"/>
    <m/>
    <m/>
    <m/>
    <m/>
    <m/>
    <m/>
    <m/>
    <m/>
    <s v="Negative"/>
    <s v="Not Sampled"/>
    <s v="Not Sampled"/>
  </r>
  <r>
    <x v="2"/>
    <x v="37"/>
    <x v="0"/>
    <x v="2"/>
    <x v="0"/>
    <x v="181"/>
    <x v="360"/>
    <x v="25"/>
    <n v="0"/>
    <n v="0"/>
    <n v="931"/>
    <m/>
    <m/>
    <m/>
    <m/>
    <m/>
    <m/>
    <m/>
    <m/>
    <s v="Negative"/>
    <s v="Negative"/>
    <s v="Accurate Prediction"/>
  </r>
  <r>
    <x v="4"/>
    <x v="58"/>
    <x v="9"/>
    <x v="32"/>
    <x v="51"/>
    <x v="186"/>
    <x v="361"/>
    <x v="16"/>
    <n v="0"/>
    <s v="Not Sampled"/>
    <n v="932"/>
    <m/>
    <m/>
    <m/>
    <m/>
    <m/>
    <m/>
    <m/>
    <m/>
    <s v="Negative"/>
    <s v="Not Sampled"/>
    <s v="Not Sampled"/>
  </r>
  <r>
    <x v="7"/>
    <x v="40"/>
    <x v="4"/>
    <x v="8"/>
    <x v="0"/>
    <x v="32"/>
    <x v="61"/>
    <x v="26"/>
    <n v="0"/>
    <s v="Not Sampled"/>
    <n v="933"/>
    <m/>
    <m/>
    <m/>
    <m/>
    <m/>
    <m/>
    <m/>
    <m/>
    <s v="Negative"/>
    <s v="Not Sampled"/>
    <s v="Not Sampled"/>
  </r>
  <r>
    <x v="9"/>
    <x v="109"/>
    <x v="34"/>
    <x v="2"/>
    <x v="0"/>
    <x v="33"/>
    <x v="362"/>
    <x v="34"/>
    <n v="0"/>
    <s v="Not Sampled"/>
    <n v="934"/>
    <m/>
    <m/>
    <m/>
    <m/>
    <m/>
    <m/>
    <m/>
    <m/>
    <s v="Negative"/>
    <s v="Not Sampled"/>
    <s v="Not Sampled"/>
  </r>
  <r>
    <x v="1"/>
    <x v="73"/>
    <x v="20"/>
    <x v="27"/>
    <x v="16"/>
    <x v="181"/>
    <x v="117"/>
    <x v="4"/>
    <n v="0"/>
    <s v="Not Sampled"/>
    <n v="935"/>
    <m/>
    <m/>
    <m/>
    <m/>
    <m/>
    <m/>
    <m/>
    <m/>
    <s v="Negative"/>
    <s v="Not Sampled"/>
    <s v="Not Sampled"/>
  </r>
  <r>
    <x v="1"/>
    <x v="58"/>
    <x v="33"/>
    <x v="25"/>
    <x v="22"/>
    <x v="157"/>
    <x v="363"/>
    <x v="11"/>
    <n v="0"/>
    <s v="Not Sampled"/>
    <n v="936"/>
    <m/>
    <m/>
    <m/>
    <m/>
    <m/>
    <m/>
    <m/>
    <m/>
    <s v="Negative"/>
    <s v="Not Sampled"/>
    <s v="Not Sampled"/>
  </r>
  <r>
    <x v="1"/>
    <x v="75"/>
    <x v="11"/>
    <x v="35"/>
    <x v="31"/>
    <x v="8"/>
    <x v="364"/>
    <x v="14"/>
    <n v="0"/>
    <s v="Not Sampled"/>
    <n v="937"/>
    <m/>
    <m/>
    <m/>
    <m/>
    <m/>
    <m/>
    <m/>
    <m/>
    <s v="Negative"/>
    <s v="Not Sampled"/>
    <s v="Not Sampled"/>
  </r>
  <r>
    <x v="4"/>
    <x v="24"/>
    <x v="2"/>
    <x v="2"/>
    <x v="0"/>
    <x v="135"/>
    <x v="365"/>
    <x v="19"/>
    <n v="1"/>
    <s v="Not Sampled"/>
    <n v="938"/>
    <m/>
    <m/>
    <m/>
    <m/>
    <m/>
    <m/>
    <m/>
    <m/>
    <s v="Positive"/>
    <s v="Not Sampled"/>
    <s v="Not Sampled"/>
  </r>
  <r>
    <x v="6"/>
    <x v="16"/>
    <x v="4"/>
    <x v="4"/>
    <x v="32"/>
    <x v="210"/>
    <x v="366"/>
    <x v="23"/>
    <n v="0"/>
    <s v="Not Sampled"/>
    <n v="939"/>
    <m/>
    <m/>
    <m/>
    <m/>
    <m/>
    <m/>
    <m/>
    <m/>
    <s v="Negative"/>
    <s v="Not Sampled"/>
    <s v="Not Sampled"/>
  </r>
  <r>
    <x v="2"/>
    <x v="65"/>
    <x v="1"/>
    <x v="32"/>
    <x v="0"/>
    <x v="211"/>
    <x v="367"/>
    <x v="6"/>
    <n v="0"/>
    <s v="Not Sampled"/>
    <n v="940"/>
    <m/>
    <m/>
    <m/>
    <m/>
    <m/>
    <m/>
    <m/>
    <m/>
    <s v="Negative"/>
    <s v="Not Sampled"/>
    <s v="Not Sampled"/>
  </r>
  <r>
    <x v="1"/>
    <x v="59"/>
    <x v="9"/>
    <x v="9"/>
    <x v="0"/>
    <x v="34"/>
    <x v="368"/>
    <x v="11"/>
    <n v="0"/>
    <s v="Not Sampled"/>
    <n v="941"/>
    <m/>
    <m/>
    <m/>
    <m/>
    <m/>
    <m/>
    <m/>
    <m/>
    <s v="Negative"/>
    <s v="Not Sampled"/>
    <s v="Not Sampled"/>
  </r>
  <r>
    <x v="1"/>
    <x v="93"/>
    <x v="19"/>
    <x v="21"/>
    <x v="0"/>
    <x v="212"/>
    <x v="247"/>
    <x v="11"/>
    <n v="0"/>
    <s v="Not Sampled"/>
    <n v="942"/>
    <m/>
    <m/>
    <m/>
    <m/>
    <m/>
    <m/>
    <m/>
    <m/>
    <s v="Negative"/>
    <s v="Not Sampled"/>
    <s v="Not Sampled"/>
  </r>
  <r>
    <x v="8"/>
    <x v="60"/>
    <x v="8"/>
    <x v="2"/>
    <x v="0"/>
    <x v="106"/>
    <x v="369"/>
    <x v="48"/>
    <n v="0"/>
    <n v="0"/>
    <n v="943"/>
    <m/>
    <m/>
    <m/>
    <m/>
    <m/>
    <m/>
    <m/>
    <m/>
    <s v="Negative"/>
    <s v="Negative"/>
    <s v="Accurate Prediction"/>
  </r>
  <r>
    <x v="3"/>
    <x v="48"/>
    <x v="11"/>
    <x v="2"/>
    <x v="0"/>
    <x v="11"/>
    <x v="370"/>
    <x v="3"/>
    <n v="0"/>
    <s v="Not Sampled"/>
    <n v="944"/>
    <m/>
    <m/>
    <m/>
    <m/>
    <m/>
    <m/>
    <m/>
    <m/>
    <s v="Negative"/>
    <s v="Not Sampled"/>
    <s v="Not Sampled"/>
  </r>
  <r>
    <x v="1"/>
    <x v="59"/>
    <x v="16"/>
    <x v="21"/>
    <x v="0"/>
    <x v="30"/>
    <x v="70"/>
    <x v="45"/>
    <n v="0"/>
    <s v="Not Sampled"/>
    <n v="945"/>
    <m/>
    <m/>
    <m/>
    <m/>
    <m/>
    <m/>
    <m/>
    <m/>
    <s v="Negative"/>
    <s v="Not Sampled"/>
    <s v="Not Sampled"/>
  </r>
  <r>
    <x v="0"/>
    <x v="38"/>
    <x v="6"/>
    <x v="45"/>
    <x v="144"/>
    <x v="47"/>
    <x v="371"/>
    <x v="29"/>
    <n v="1"/>
    <s v="Not Sampled"/>
    <n v="946"/>
    <m/>
    <m/>
    <m/>
    <m/>
    <m/>
    <m/>
    <m/>
    <m/>
    <s v="Positive"/>
    <s v="Not Sampled"/>
    <s v="Not Sampled"/>
  </r>
  <r>
    <x v="8"/>
    <x v="48"/>
    <x v="15"/>
    <x v="6"/>
    <x v="27"/>
    <x v="74"/>
    <x v="372"/>
    <x v="2"/>
    <n v="0"/>
    <s v="Not Sampled"/>
    <n v="947"/>
    <m/>
    <m/>
    <m/>
    <m/>
    <m/>
    <m/>
    <m/>
    <m/>
    <s v="Negative"/>
    <s v="Not Sampled"/>
    <s v="Not Sampled"/>
  </r>
  <r>
    <x v="4"/>
    <x v="51"/>
    <x v="10"/>
    <x v="9"/>
    <x v="96"/>
    <x v="151"/>
    <x v="373"/>
    <x v="16"/>
    <n v="0"/>
    <s v="Not Sampled"/>
    <n v="948"/>
    <m/>
    <m/>
    <m/>
    <m/>
    <m/>
    <m/>
    <m/>
    <m/>
    <s v="Negative"/>
    <s v="Not Sampled"/>
    <s v="Not Sampled"/>
  </r>
  <r>
    <x v="3"/>
    <x v="77"/>
    <x v="24"/>
    <x v="1"/>
    <x v="0"/>
    <x v="43"/>
    <x v="374"/>
    <x v="44"/>
    <n v="0"/>
    <s v="Not Sampled"/>
    <n v="949"/>
    <m/>
    <m/>
    <m/>
    <m/>
    <m/>
    <m/>
    <m/>
    <m/>
    <s v="Negative"/>
    <s v="Not Sampled"/>
    <s v="Not Sampled"/>
  </r>
  <r>
    <x v="5"/>
    <x v="95"/>
    <x v="9"/>
    <x v="8"/>
    <x v="145"/>
    <x v="130"/>
    <x v="46"/>
    <x v="20"/>
    <n v="1"/>
    <n v="1"/>
    <n v="950"/>
    <m/>
    <m/>
    <m/>
    <m/>
    <m/>
    <m/>
    <m/>
    <m/>
    <s v="Positive"/>
    <s v="Positive"/>
    <s v="Accurate Prediction"/>
  </r>
  <r>
    <x v="1"/>
    <x v="62"/>
    <x v="21"/>
    <x v="18"/>
    <x v="0"/>
    <x v="213"/>
    <x v="269"/>
    <x v="29"/>
    <n v="0"/>
    <s v="Not Sampled"/>
    <n v="951"/>
    <m/>
    <m/>
    <m/>
    <m/>
    <m/>
    <m/>
    <m/>
    <m/>
    <s v="Negative"/>
    <s v="Not Sampled"/>
    <s v="Not Sampled"/>
  </r>
  <r>
    <x v="3"/>
    <x v="69"/>
    <x v="22"/>
    <x v="29"/>
    <x v="51"/>
    <x v="157"/>
    <x v="296"/>
    <x v="6"/>
    <n v="0"/>
    <n v="0"/>
    <n v="952"/>
    <m/>
    <m/>
    <m/>
    <m/>
    <m/>
    <m/>
    <m/>
    <m/>
    <s v="Negative"/>
    <s v="Negative"/>
    <s v="Accurate Prediction"/>
  </r>
  <r>
    <x v="1"/>
    <x v="1"/>
    <x v="1"/>
    <x v="1"/>
    <x v="1"/>
    <x v="1"/>
    <x v="1"/>
    <x v="1"/>
    <n v="0"/>
    <s v="Not Sampled"/>
    <n v="953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954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s v="Not Sampled"/>
    <n v="955"/>
    <m/>
    <m/>
    <m/>
    <m/>
    <m/>
    <m/>
    <m/>
    <m/>
    <s v="Positive"/>
    <s v="Not Sampled"/>
    <s v="Not Sampled"/>
  </r>
  <r>
    <x v="2"/>
    <x v="4"/>
    <x v="0"/>
    <x v="4"/>
    <x v="3"/>
    <x v="4"/>
    <x v="4"/>
    <x v="4"/>
    <n v="0"/>
    <s v="Not Sampled"/>
    <n v="956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n v="1"/>
    <n v="957"/>
    <m/>
    <m/>
    <m/>
    <m/>
    <m/>
    <m/>
    <m/>
    <m/>
    <s v="Negative"/>
    <s v="Positive"/>
    <s v="Inaccurate Prediction"/>
  </r>
  <r>
    <x v="3"/>
    <x v="6"/>
    <x v="5"/>
    <x v="6"/>
    <x v="0"/>
    <x v="6"/>
    <x v="6"/>
    <x v="6"/>
    <n v="0"/>
    <s v="Not Sampled"/>
    <n v="958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n v="1"/>
    <n v="959"/>
    <m/>
    <m/>
    <m/>
    <m/>
    <m/>
    <m/>
    <m/>
    <m/>
    <s v="Negative"/>
    <s v="Positive"/>
    <s v="Inaccurate Prediction"/>
  </r>
  <r>
    <x v="0"/>
    <x v="8"/>
    <x v="7"/>
    <x v="7"/>
    <x v="5"/>
    <x v="8"/>
    <x v="8"/>
    <x v="3"/>
    <n v="0"/>
    <s v="Not Sampled"/>
    <n v="960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961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962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s v="Not Sampled"/>
    <n v="963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964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965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n v="0"/>
    <n v="966"/>
    <m/>
    <m/>
    <m/>
    <m/>
    <m/>
    <m/>
    <m/>
    <m/>
    <s v="Negative"/>
    <s v="Negative"/>
    <s v="Accurate Prediction"/>
  </r>
  <r>
    <x v="0"/>
    <x v="14"/>
    <x v="5"/>
    <x v="11"/>
    <x v="7"/>
    <x v="15"/>
    <x v="14"/>
    <x v="14"/>
    <n v="0"/>
    <s v="Not Sampled"/>
    <n v="967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n v="1"/>
    <n v="968"/>
    <m/>
    <m/>
    <m/>
    <m/>
    <m/>
    <m/>
    <m/>
    <m/>
    <s v="Positive"/>
    <s v="Positive"/>
    <s v="Accurate Prediction"/>
  </r>
  <r>
    <x v="6"/>
    <x v="16"/>
    <x v="10"/>
    <x v="5"/>
    <x v="9"/>
    <x v="17"/>
    <x v="16"/>
    <x v="16"/>
    <n v="0"/>
    <n v="1"/>
    <n v="969"/>
    <m/>
    <m/>
    <m/>
    <m/>
    <m/>
    <m/>
    <m/>
    <m/>
    <s v="Negative"/>
    <s v="Positive"/>
    <s v="Inaccurate Prediction"/>
  </r>
  <r>
    <x v="0"/>
    <x v="17"/>
    <x v="8"/>
    <x v="13"/>
    <x v="10"/>
    <x v="18"/>
    <x v="17"/>
    <x v="4"/>
    <n v="0"/>
    <n v="0"/>
    <n v="970"/>
    <m/>
    <m/>
    <m/>
    <m/>
    <m/>
    <m/>
    <m/>
    <m/>
    <s v="Negative"/>
    <s v="Negative"/>
    <s v="Accurate Prediction"/>
  </r>
  <r>
    <x v="5"/>
    <x v="1"/>
    <x v="5"/>
    <x v="5"/>
    <x v="0"/>
    <x v="19"/>
    <x v="18"/>
    <x v="6"/>
    <n v="0"/>
    <s v="Not Sampled"/>
    <n v="971"/>
    <m/>
    <m/>
    <m/>
    <m/>
    <m/>
    <m/>
    <m/>
    <m/>
    <s v="Negative"/>
    <s v="Not Sampled"/>
    <s v="Not Sampled"/>
  </r>
  <r>
    <x v="6"/>
    <x v="18"/>
    <x v="3"/>
    <x v="4"/>
    <x v="0"/>
    <x v="20"/>
    <x v="19"/>
    <x v="17"/>
    <n v="1"/>
    <n v="0"/>
    <n v="972"/>
    <m/>
    <m/>
    <m/>
    <m/>
    <m/>
    <m/>
    <m/>
    <m/>
    <s v="Positive"/>
    <s v="Negative"/>
    <s v="Inaccurate Prediction"/>
  </r>
  <r>
    <x v="8"/>
    <x v="19"/>
    <x v="11"/>
    <x v="14"/>
    <x v="11"/>
    <x v="21"/>
    <x v="20"/>
    <x v="17"/>
    <n v="0"/>
    <s v="Not Sampled"/>
    <n v="973"/>
    <m/>
    <m/>
    <m/>
    <m/>
    <m/>
    <m/>
    <m/>
    <m/>
    <s v="Negative"/>
    <s v="Not Sampled"/>
    <s v="Not Sampled"/>
  </r>
  <r>
    <x v="5"/>
    <x v="20"/>
    <x v="4"/>
    <x v="15"/>
    <x v="0"/>
    <x v="22"/>
    <x v="21"/>
    <x v="18"/>
    <n v="0"/>
    <s v="Not Sampled"/>
    <n v="974"/>
    <m/>
    <m/>
    <m/>
    <m/>
    <m/>
    <m/>
    <m/>
    <m/>
    <s v="Negative"/>
    <s v="Not Sampled"/>
    <s v="Not Sampled"/>
  </r>
  <r>
    <x v="9"/>
    <x v="21"/>
    <x v="1"/>
    <x v="2"/>
    <x v="0"/>
    <x v="21"/>
    <x v="22"/>
    <x v="19"/>
    <n v="0"/>
    <s v="Not Sampled"/>
    <n v="975"/>
    <m/>
    <m/>
    <m/>
    <m/>
    <m/>
    <m/>
    <m/>
    <m/>
    <s v="Negative"/>
    <s v="Not Sampled"/>
    <s v="Not Sampled"/>
  </r>
  <r>
    <x v="1"/>
    <x v="22"/>
    <x v="8"/>
    <x v="16"/>
    <x v="12"/>
    <x v="23"/>
    <x v="23"/>
    <x v="20"/>
    <n v="1"/>
    <n v="1"/>
    <n v="976"/>
    <m/>
    <m/>
    <m/>
    <m/>
    <m/>
    <m/>
    <m/>
    <m/>
    <s v="Positive"/>
    <s v="Positive"/>
    <s v="Accurate Prediction"/>
  </r>
  <r>
    <x v="2"/>
    <x v="23"/>
    <x v="12"/>
    <x v="17"/>
    <x v="13"/>
    <x v="24"/>
    <x v="24"/>
    <x v="4"/>
    <n v="0"/>
    <s v="Not Sampled"/>
    <n v="977"/>
    <m/>
    <m/>
    <m/>
    <m/>
    <m/>
    <m/>
    <m/>
    <m/>
    <s v="Negative"/>
    <s v="Not Sampled"/>
    <s v="Not Sampled"/>
  </r>
  <r>
    <x v="0"/>
    <x v="1"/>
    <x v="13"/>
    <x v="17"/>
    <x v="7"/>
    <x v="25"/>
    <x v="25"/>
    <x v="4"/>
    <n v="0"/>
    <s v="Not Sampled"/>
    <n v="978"/>
    <m/>
    <m/>
    <m/>
    <m/>
    <m/>
    <m/>
    <m/>
    <m/>
    <s v="Negative"/>
    <s v="Not Sampled"/>
    <s v="Not Sampled"/>
  </r>
  <r>
    <x v="4"/>
    <x v="24"/>
    <x v="4"/>
    <x v="2"/>
    <x v="0"/>
    <x v="26"/>
    <x v="26"/>
    <x v="21"/>
    <n v="0"/>
    <s v="Not Sampled"/>
    <n v="979"/>
    <m/>
    <m/>
    <m/>
    <m/>
    <m/>
    <m/>
    <m/>
    <m/>
    <s v="Negative"/>
    <s v="Not Sampled"/>
    <s v="Not Sampled"/>
  </r>
  <r>
    <x v="10"/>
    <x v="1"/>
    <x v="5"/>
    <x v="1"/>
    <x v="0"/>
    <x v="27"/>
    <x v="27"/>
    <x v="22"/>
    <n v="1"/>
    <s v="Not Sampled"/>
    <n v="980"/>
    <m/>
    <m/>
    <m/>
    <m/>
    <m/>
    <m/>
    <m/>
    <m/>
    <s v="Positive"/>
    <s v="Not Sampled"/>
    <s v="Not Sampled"/>
  </r>
  <r>
    <x v="1"/>
    <x v="4"/>
    <x v="0"/>
    <x v="6"/>
    <x v="14"/>
    <x v="28"/>
    <x v="28"/>
    <x v="4"/>
    <n v="0"/>
    <s v="Not Sampled"/>
    <n v="981"/>
    <m/>
    <m/>
    <m/>
    <m/>
    <m/>
    <m/>
    <m/>
    <m/>
    <s v="Negative"/>
    <s v="Not Sampled"/>
    <s v="Not Sampled"/>
  </r>
  <r>
    <x v="11"/>
    <x v="25"/>
    <x v="3"/>
    <x v="2"/>
    <x v="0"/>
    <x v="29"/>
    <x v="29"/>
    <x v="5"/>
    <n v="0"/>
    <n v="0"/>
    <n v="982"/>
    <m/>
    <m/>
    <m/>
    <m/>
    <m/>
    <m/>
    <m/>
    <m/>
    <s v="Negative"/>
    <s v="Negative"/>
    <s v="Accurate Prediction"/>
  </r>
  <r>
    <x v="0"/>
    <x v="25"/>
    <x v="0"/>
    <x v="2"/>
    <x v="0"/>
    <x v="30"/>
    <x v="30"/>
    <x v="11"/>
    <n v="0"/>
    <n v="0"/>
    <n v="983"/>
    <m/>
    <m/>
    <m/>
    <m/>
    <m/>
    <m/>
    <m/>
    <m/>
    <s v="Negative"/>
    <s v="Negative"/>
    <s v="Accurate Prediction"/>
  </r>
  <r>
    <x v="5"/>
    <x v="6"/>
    <x v="14"/>
    <x v="13"/>
    <x v="15"/>
    <x v="6"/>
    <x v="31"/>
    <x v="3"/>
    <n v="0"/>
    <n v="0"/>
    <n v="984"/>
    <m/>
    <m/>
    <m/>
    <m/>
    <m/>
    <m/>
    <m/>
    <m/>
    <s v="Negative"/>
    <s v="Negative"/>
    <s v="Accurate Prediction"/>
  </r>
  <r>
    <x v="5"/>
    <x v="26"/>
    <x v="9"/>
    <x v="10"/>
    <x v="16"/>
    <x v="31"/>
    <x v="32"/>
    <x v="6"/>
    <n v="1"/>
    <s v="Not Sampled"/>
    <n v="985"/>
    <m/>
    <m/>
    <m/>
    <m/>
    <m/>
    <m/>
    <m/>
    <m/>
    <s v="Positive"/>
    <s v="Not Sampled"/>
    <s v="Not Sampled"/>
  </r>
  <r>
    <x v="11"/>
    <x v="2"/>
    <x v="21"/>
    <x v="24"/>
    <x v="134"/>
    <x v="214"/>
    <x v="375"/>
    <x v="49"/>
    <n v="1"/>
    <n v="1"/>
    <n v="986"/>
    <m/>
    <m/>
    <m/>
    <m/>
    <m/>
    <m/>
    <m/>
    <m/>
    <s v="Positive"/>
    <s v="Positive"/>
    <s v="Accurate Prediction"/>
  </r>
  <r>
    <x v="0"/>
    <x v="27"/>
    <x v="12"/>
    <x v="10"/>
    <x v="148"/>
    <x v="187"/>
    <x v="378"/>
    <x v="11"/>
    <n v="0"/>
    <n v="0"/>
    <n v="987"/>
    <m/>
    <m/>
    <m/>
    <m/>
    <m/>
    <m/>
    <m/>
    <m/>
    <s v="Negative"/>
    <s v="Negative"/>
    <s v="Accurate Prediction"/>
  </r>
  <r>
    <x v="1"/>
    <x v="61"/>
    <x v="15"/>
    <x v="2"/>
    <x v="0"/>
    <x v="200"/>
    <x v="211"/>
    <x v="3"/>
    <n v="0"/>
    <s v="Not Sampled"/>
    <n v="988"/>
    <m/>
    <m/>
    <m/>
    <m/>
    <m/>
    <m/>
    <m/>
    <m/>
    <s v="Negative"/>
    <s v="Not Sampled"/>
    <s v="Not Sampled"/>
  </r>
  <r>
    <x v="2"/>
    <x v="103"/>
    <x v="19"/>
    <x v="43"/>
    <x v="149"/>
    <x v="211"/>
    <x v="379"/>
    <x v="29"/>
    <n v="0"/>
    <s v="Not Sampled"/>
    <n v="989"/>
    <m/>
    <m/>
    <m/>
    <m/>
    <m/>
    <m/>
    <m/>
    <m/>
    <s v="Negative"/>
    <s v="Not Sampled"/>
    <s v="Not Sampled"/>
  </r>
  <r>
    <x v="6"/>
    <x v="25"/>
    <x v="2"/>
    <x v="2"/>
    <x v="0"/>
    <x v="187"/>
    <x v="380"/>
    <x v="2"/>
    <n v="0"/>
    <s v="Not Sampled"/>
    <n v="990"/>
    <m/>
    <m/>
    <m/>
    <m/>
    <m/>
    <m/>
    <m/>
    <m/>
    <s v="Negative"/>
    <s v="Not Sampled"/>
    <s v="Not Sampled"/>
  </r>
  <r>
    <x v="2"/>
    <x v="108"/>
    <x v="20"/>
    <x v="8"/>
    <x v="79"/>
    <x v="21"/>
    <x v="381"/>
    <x v="3"/>
    <n v="0"/>
    <n v="0"/>
    <n v="991"/>
    <m/>
    <m/>
    <m/>
    <m/>
    <m/>
    <m/>
    <m/>
    <m/>
    <s v="Negative"/>
    <s v="Negative"/>
    <s v="Accurate Prediction"/>
  </r>
  <r>
    <x v="3"/>
    <x v="77"/>
    <x v="2"/>
    <x v="2"/>
    <x v="0"/>
    <x v="35"/>
    <x v="291"/>
    <x v="1"/>
    <n v="1"/>
    <s v="Not Sampled"/>
    <n v="992"/>
    <m/>
    <m/>
    <m/>
    <m/>
    <m/>
    <m/>
    <m/>
    <m/>
    <s v="Positive"/>
    <s v="Not Sampled"/>
    <s v="Not Sampled"/>
  </r>
  <r>
    <x v="1"/>
    <x v="38"/>
    <x v="8"/>
    <x v="2"/>
    <x v="0"/>
    <x v="107"/>
    <x v="269"/>
    <x v="22"/>
    <n v="0"/>
    <n v="0"/>
    <n v="993"/>
    <m/>
    <m/>
    <m/>
    <m/>
    <m/>
    <m/>
    <m/>
    <m/>
    <s v="Negative"/>
    <s v="Negative"/>
    <s v="Accurate Prediction"/>
  </r>
  <r>
    <x v="1"/>
    <x v="82"/>
    <x v="12"/>
    <x v="2"/>
    <x v="0"/>
    <x v="216"/>
    <x v="382"/>
    <x v="7"/>
    <n v="0"/>
    <n v="0"/>
    <n v="994"/>
    <m/>
    <m/>
    <m/>
    <m/>
    <m/>
    <m/>
    <m/>
    <m/>
    <s v="Negative"/>
    <s v="Negative"/>
    <s v="Accurate Prediction"/>
  </r>
  <r>
    <x v="1"/>
    <x v="117"/>
    <x v="6"/>
    <x v="18"/>
    <x v="14"/>
    <x v="153"/>
    <x v="383"/>
    <x v="1"/>
    <n v="0"/>
    <s v="Not Sampled"/>
    <n v="995"/>
    <m/>
    <m/>
    <m/>
    <m/>
    <m/>
    <m/>
    <m/>
    <m/>
    <s v="Negative"/>
    <s v="Not Sampled"/>
    <s v="Not Sampled"/>
  </r>
  <r>
    <x v="5"/>
    <x v="52"/>
    <x v="17"/>
    <x v="48"/>
    <x v="59"/>
    <x v="217"/>
    <x v="25"/>
    <x v="32"/>
    <n v="1"/>
    <s v="Not Sampled"/>
    <n v="996"/>
    <m/>
    <m/>
    <m/>
    <m/>
    <m/>
    <m/>
    <m/>
    <m/>
    <s v="Positive"/>
    <s v="Not Sampled"/>
    <s v="Not Sampled"/>
  </r>
  <r>
    <x v="4"/>
    <x v="45"/>
    <x v="10"/>
    <x v="32"/>
    <x v="100"/>
    <x v="121"/>
    <x v="384"/>
    <x v="33"/>
    <n v="1"/>
    <s v="Not Sampled"/>
    <n v="997"/>
    <m/>
    <m/>
    <m/>
    <m/>
    <m/>
    <m/>
    <m/>
    <m/>
    <s v="Positive"/>
    <s v="Not Sampled"/>
    <s v="Not Sampled"/>
  </r>
  <r>
    <x v="5"/>
    <x v="80"/>
    <x v="5"/>
    <x v="14"/>
    <x v="72"/>
    <x v="68"/>
    <x v="385"/>
    <x v="23"/>
    <n v="1"/>
    <s v="Not Sampled"/>
    <n v="998"/>
    <m/>
    <m/>
    <m/>
    <m/>
    <m/>
    <m/>
    <m/>
    <m/>
    <s v="Positive"/>
    <s v="Not Sampled"/>
    <s v="Not Sampled"/>
  </r>
  <r>
    <x v="9"/>
    <x v="30"/>
    <x v="23"/>
    <x v="5"/>
    <x v="0"/>
    <x v="115"/>
    <x v="386"/>
    <x v="24"/>
    <n v="1"/>
    <s v="Not Sampled"/>
    <n v="999"/>
    <m/>
    <m/>
    <m/>
    <m/>
    <m/>
    <m/>
    <m/>
    <m/>
    <s v="Positive"/>
    <s v="Not Sampled"/>
    <s v="Not Sampled"/>
  </r>
  <r>
    <x v="3"/>
    <x v="1"/>
    <x v="8"/>
    <x v="17"/>
    <x v="79"/>
    <x v="100"/>
    <x v="128"/>
    <x v="14"/>
    <n v="0"/>
    <n v="0"/>
    <n v="1000"/>
    <m/>
    <m/>
    <m/>
    <m/>
    <m/>
    <m/>
    <m/>
    <m/>
    <s v="Negative"/>
    <s v="Negative"/>
    <s v="Accurate Prediction"/>
  </r>
  <r>
    <x v="2"/>
    <x v="40"/>
    <x v="4"/>
    <x v="30"/>
    <x v="7"/>
    <x v="61"/>
    <x v="3"/>
    <x v="29"/>
    <n v="0"/>
    <s v="Not Sampled"/>
    <n v="1001"/>
    <m/>
    <m/>
    <m/>
    <m/>
    <m/>
    <m/>
    <m/>
    <m/>
    <s v="Negative"/>
    <s v="Not Sampled"/>
    <s v="Not Sampled"/>
  </r>
  <r>
    <x v="4"/>
    <x v="124"/>
    <x v="8"/>
    <x v="0"/>
    <x v="50"/>
    <x v="93"/>
    <x v="387"/>
    <x v="26"/>
    <n v="1"/>
    <s v="Not Sampled"/>
    <n v="1002"/>
    <m/>
    <m/>
    <m/>
    <m/>
    <m/>
    <m/>
    <m/>
    <m/>
    <s v="Positive"/>
    <s v="Not Sampled"/>
    <s v="Not Sampled"/>
  </r>
  <r>
    <x v="7"/>
    <x v="44"/>
    <x v="15"/>
    <x v="21"/>
    <x v="18"/>
    <x v="146"/>
    <x v="388"/>
    <x v="49"/>
    <n v="1"/>
    <s v="Not Sampled"/>
    <n v="1003"/>
    <m/>
    <m/>
    <m/>
    <m/>
    <m/>
    <m/>
    <m/>
    <m/>
    <s v="Positive"/>
    <s v="Not Sampled"/>
    <s v="Not Sampled"/>
  </r>
  <r>
    <x v="3"/>
    <x v="55"/>
    <x v="3"/>
    <x v="23"/>
    <x v="150"/>
    <x v="119"/>
    <x v="389"/>
    <x v="6"/>
    <n v="0"/>
    <n v="0"/>
    <n v="1004"/>
    <m/>
    <m/>
    <m/>
    <m/>
    <m/>
    <m/>
    <m/>
    <m/>
    <s v="Negative"/>
    <s v="Negative"/>
    <s v="Accurate Prediction"/>
  </r>
  <r>
    <x v="2"/>
    <x v="101"/>
    <x v="1"/>
    <x v="44"/>
    <x v="91"/>
    <x v="10"/>
    <x v="390"/>
    <x v="48"/>
    <n v="0"/>
    <s v="Not Sampled"/>
    <n v="1005"/>
    <m/>
    <m/>
    <m/>
    <m/>
    <m/>
    <m/>
    <m/>
    <m/>
    <s v="Negative"/>
    <s v="Not Sampled"/>
    <s v="Not Sampled"/>
  </r>
  <r>
    <x v="3"/>
    <x v="115"/>
    <x v="18"/>
    <x v="1"/>
    <x v="0"/>
    <x v="218"/>
    <x v="391"/>
    <x v="26"/>
    <n v="0"/>
    <n v="1"/>
    <n v="1006"/>
    <m/>
    <m/>
    <m/>
    <m/>
    <m/>
    <m/>
    <m/>
    <m/>
    <s v="Negative"/>
    <s v="Positive"/>
    <s v="Inaccurate Prediction"/>
  </r>
  <r>
    <x v="2"/>
    <x v="113"/>
    <x v="9"/>
    <x v="7"/>
    <x v="0"/>
    <x v="41"/>
    <x v="147"/>
    <x v="4"/>
    <n v="0"/>
    <s v="Not Sampled"/>
    <n v="1007"/>
    <m/>
    <m/>
    <m/>
    <m/>
    <m/>
    <m/>
    <m/>
    <m/>
    <s v="Negative"/>
    <s v="Not Sampled"/>
    <s v="Not Sampled"/>
  </r>
  <r>
    <x v="5"/>
    <x v="1"/>
    <x v="3"/>
    <x v="8"/>
    <x v="148"/>
    <x v="108"/>
    <x v="392"/>
    <x v="14"/>
    <n v="0"/>
    <n v="0"/>
    <n v="1008"/>
    <m/>
    <m/>
    <m/>
    <m/>
    <m/>
    <m/>
    <m/>
    <m/>
    <s v="Negative"/>
    <s v="Negative"/>
    <s v="Accurate Prediction"/>
  </r>
  <r>
    <x v="6"/>
    <x v="48"/>
    <x v="21"/>
    <x v="2"/>
    <x v="0"/>
    <x v="157"/>
    <x v="102"/>
    <x v="12"/>
    <n v="0"/>
    <n v="0"/>
    <n v="1009"/>
    <m/>
    <m/>
    <m/>
    <m/>
    <m/>
    <m/>
    <m/>
    <m/>
    <s v="Negative"/>
    <s v="Negative"/>
    <s v="Accurate Prediction"/>
  </r>
  <r>
    <x v="2"/>
    <x v="40"/>
    <x v="0"/>
    <x v="20"/>
    <x v="71"/>
    <x v="106"/>
    <x v="239"/>
    <x v="1"/>
    <n v="0"/>
    <s v="Not Sampled"/>
    <n v="1010"/>
    <m/>
    <m/>
    <m/>
    <m/>
    <m/>
    <m/>
    <m/>
    <m/>
    <s v="Negative"/>
    <s v="Not Sampled"/>
    <s v="Not Sampled"/>
  </r>
  <r>
    <x v="2"/>
    <x v="1"/>
    <x v="11"/>
    <x v="17"/>
    <x v="133"/>
    <x v="99"/>
    <x v="154"/>
    <x v="6"/>
    <n v="0"/>
    <s v="Not Sampled"/>
    <n v="1011"/>
    <m/>
    <m/>
    <m/>
    <m/>
    <m/>
    <m/>
    <m/>
    <m/>
    <s v="Negative"/>
    <s v="Not Sampled"/>
    <s v="Not Sampled"/>
  </r>
  <r>
    <x v="8"/>
    <x v="73"/>
    <x v="9"/>
    <x v="12"/>
    <x v="100"/>
    <x v="171"/>
    <x v="321"/>
    <x v="26"/>
    <n v="0"/>
    <s v="Not Sampled"/>
    <n v="1012"/>
    <m/>
    <m/>
    <m/>
    <m/>
    <m/>
    <m/>
    <m/>
    <m/>
    <s v="Negative"/>
    <s v="Not Sampled"/>
    <s v="Not Sampled"/>
  </r>
  <r>
    <x v="2"/>
    <x v="75"/>
    <x v="9"/>
    <x v="32"/>
    <x v="0"/>
    <x v="176"/>
    <x v="135"/>
    <x v="13"/>
    <n v="0"/>
    <s v="Not Sampled"/>
    <n v="1013"/>
    <m/>
    <m/>
    <m/>
    <m/>
    <m/>
    <m/>
    <m/>
    <m/>
    <s v="Negative"/>
    <s v="Not Sampled"/>
    <s v="Not Sampled"/>
  </r>
  <r>
    <x v="4"/>
    <x v="13"/>
    <x v="15"/>
    <x v="2"/>
    <x v="0"/>
    <x v="157"/>
    <x v="78"/>
    <x v="5"/>
    <n v="0"/>
    <s v="Not Sampled"/>
    <n v="1014"/>
    <m/>
    <m/>
    <m/>
    <m/>
    <m/>
    <m/>
    <m/>
    <m/>
    <s v="Negative"/>
    <s v="Not Sampled"/>
    <s v="Not Sampled"/>
  </r>
  <r>
    <x v="12"/>
    <x v="28"/>
    <x v="3"/>
    <x v="32"/>
    <x v="0"/>
    <x v="144"/>
    <x v="370"/>
    <x v="8"/>
    <n v="0"/>
    <n v="1"/>
    <n v="1015"/>
    <m/>
    <m/>
    <m/>
    <m/>
    <m/>
    <m/>
    <m/>
    <m/>
    <s v="Negative"/>
    <s v="Positive"/>
    <s v="Inaccurate Prediction"/>
  </r>
  <r>
    <x v="12"/>
    <x v="69"/>
    <x v="10"/>
    <x v="2"/>
    <x v="0"/>
    <x v="15"/>
    <x v="393"/>
    <x v="20"/>
    <n v="0"/>
    <s v="Not Sampled"/>
    <n v="1016"/>
    <m/>
    <m/>
    <m/>
    <m/>
    <m/>
    <m/>
    <m/>
    <m/>
    <s v="Negative"/>
    <s v="Not Sampled"/>
    <s v="Not Sampled"/>
  </r>
  <r>
    <x v="6"/>
    <x v="10"/>
    <x v="15"/>
    <x v="2"/>
    <x v="0"/>
    <x v="97"/>
    <x v="394"/>
    <x v="28"/>
    <n v="1"/>
    <n v="0"/>
    <n v="1017"/>
    <m/>
    <m/>
    <m/>
    <m/>
    <m/>
    <m/>
    <m/>
    <m/>
    <s v="Positive"/>
    <s v="Negative"/>
    <s v="Inaccurate Prediction"/>
  </r>
  <r>
    <x v="1"/>
    <x v="125"/>
    <x v="19"/>
    <x v="5"/>
    <x v="151"/>
    <x v="211"/>
    <x v="395"/>
    <x v="6"/>
    <n v="1"/>
    <s v="Not Sampled"/>
    <n v="1018"/>
    <m/>
    <m/>
    <m/>
    <m/>
    <m/>
    <m/>
    <m/>
    <m/>
    <s v="Positive"/>
    <s v="Not Sampled"/>
    <s v="Not Sampled"/>
  </r>
  <r>
    <x v="2"/>
    <x v="90"/>
    <x v="3"/>
    <x v="24"/>
    <x v="152"/>
    <x v="209"/>
    <x v="396"/>
    <x v="3"/>
    <n v="0"/>
    <s v="Not Sampled"/>
    <n v="1019"/>
    <m/>
    <m/>
    <m/>
    <m/>
    <m/>
    <m/>
    <m/>
    <m/>
    <s v="Negative"/>
    <s v="Not Sampled"/>
    <s v="Not Sampled"/>
  </r>
  <r>
    <x v="6"/>
    <x v="6"/>
    <x v="12"/>
    <x v="13"/>
    <x v="120"/>
    <x v="219"/>
    <x v="343"/>
    <x v="32"/>
    <n v="0"/>
    <s v="Not Sampled"/>
    <n v="1020"/>
    <m/>
    <m/>
    <m/>
    <m/>
    <m/>
    <m/>
    <m/>
    <m/>
    <s v="Negative"/>
    <s v="Not Sampled"/>
    <s v="Not Sampled"/>
  </r>
  <r>
    <x v="1"/>
    <x v="25"/>
    <x v="6"/>
    <x v="2"/>
    <x v="0"/>
    <x v="68"/>
    <x v="397"/>
    <x v="23"/>
    <n v="0"/>
    <s v="Not Sampled"/>
    <n v="1021"/>
    <m/>
    <m/>
    <m/>
    <m/>
    <m/>
    <m/>
    <m/>
    <m/>
    <s v="Negative"/>
    <s v="Not Sampled"/>
    <s v="Not Sampled"/>
  </r>
  <r>
    <x v="0"/>
    <x v="50"/>
    <x v="14"/>
    <x v="36"/>
    <x v="84"/>
    <x v="7"/>
    <x v="398"/>
    <x v="11"/>
    <n v="0"/>
    <s v="Not Sampled"/>
    <n v="1022"/>
    <m/>
    <m/>
    <m/>
    <m/>
    <m/>
    <m/>
    <m/>
    <m/>
    <s v="Negative"/>
    <s v="Not Sampled"/>
    <s v="Not Sampled"/>
  </r>
  <r>
    <x v="2"/>
    <x v="6"/>
    <x v="5"/>
    <x v="8"/>
    <x v="41"/>
    <x v="220"/>
    <x v="255"/>
    <x v="4"/>
    <n v="0"/>
    <s v="Not Sampled"/>
    <n v="1023"/>
    <m/>
    <m/>
    <m/>
    <m/>
    <m/>
    <m/>
    <m/>
    <m/>
    <s v="Negative"/>
    <s v="Not Sampled"/>
    <s v="Not Sampled"/>
  </r>
  <r>
    <x v="6"/>
    <x v="66"/>
    <x v="0"/>
    <x v="5"/>
    <x v="153"/>
    <x v="61"/>
    <x v="136"/>
    <x v="22"/>
    <n v="0"/>
    <s v="Not Sampled"/>
    <n v="1024"/>
    <m/>
    <m/>
    <m/>
    <m/>
    <m/>
    <m/>
    <m/>
    <m/>
    <s v="Negative"/>
    <s v="Not Sampled"/>
    <s v="Not Sampled"/>
  </r>
  <r>
    <x v="3"/>
    <x v="16"/>
    <x v="5"/>
    <x v="30"/>
    <x v="153"/>
    <x v="221"/>
    <x v="399"/>
    <x v="26"/>
    <n v="0"/>
    <s v="Not Sampled"/>
    <n v="1025"/>
    <m/>
    <m/>
    <m/>
    <m/>
    <m/>
    <m/>
    <m/>
    <m/>
    <s v="Negative"/>
    <s v="Not Sampled"/>
    <s v="Not Sampled"/>
  </r>
  <r>
    <x v="1"/>
    <x v="126"/>
    <x v="19"/>
    <x v="8"/>
    <x v="134"/>
    <x v="82"/>
    <x v="62"/>
    <x v="9"/>
    <n v="1"/>
    <s v="Not Sampled"/>
    <n v="1026"/>
    <m/>
    <m/>
    <m/>
    <m/>
    <m/>
    <m/>
    <m/>
    <m/>
    <s v="Positive"/>
    <s v="Not Sampled"/>
    <s v="Not Sampled"/>
  </r>
  <r>
    <x v="5"/>
    <x v="74"/>
    <x v="9"/>
    <x v="2"/>
    <x v="0"/>
    <x v="56"/>
    <x v="58"/>
    <x v="16"/>
    <n v="0"/>
    <n v="0"/>
    <n v="1027"/>
    <m/>
    <m/>
    <m/>
    <m/>
    <m/>
    <m/>
    <m/>
    <m/>
    <s v="Negative"/>
    <s v="Negative"/>
    <s v="Accurate Prediction"/>
  </r>
  <r>
    <x v="0"/>
    <x v="23"/>
    <x v="30"/>
    <x v="2"/>
    <x v="0"/>
    <x v="118"/>
    <x v="32"/>
    <x v="4"/>
    <n v="0"/>
    <n v="0"/>
    <n v="1028"/>
    <m/>
    <m/>
    <m/>
    <m/>
    <m/>
    <m/>
    <m/>
    <m/>
    <s v="Negative"/>
    <s v="Negative"/>
    <s v="Accurate Prediction"/>
  </r>
  <r>
    <x v="5"/>
    <x v="31"/>
    <x v="22"/>
    <x v="1"/>
    <x v="71"/>
    <x v="81"/>
    <x v="400"/>
    <x v="11"/>
    <n v="0"/>
    <s v="Not Sampled"/>
    <n v="1029"/>
    <m/>
    <m/>
    <m/>
    <m/>
    <m/>
    <m/>
    <m/>
    <m/>
    <s v="Negative"/>
    <s v="Not Sampled"/>
    <s v="Not Sampled"/>
  </r>
  <r>
    <x v="0"/>
    <x v="116"/>
    <x v="12"/>
    <x v="6"/>
    <x v="77"/>
    <x v="48"/>
    <x v="203"/>
    <x v="11"/>
    <n v="0"/>
    <s v="Not Sampled"/>
    <n v="1030"/>
    <m/>
    <m/>
    <m/>
    <m/>
    <m/>
    <m/>
    <m/>
    <m/>
    <s v="Negative"/>
    <s v="Not Sampled"/>
    <s v="Not Sampled"/>
  </r>
  <r>
    <x v="2"/>
    <x v="92"/>
    <x v="24"/>
    <x v="8"/>
    <x v="154"/>
    <x v="15"/>
    <x v="401"/>
    <x v="1"/>
    <n v="0"/>
    <s v="Not Sampled"/>
    <n v="1031"/>
    <m/>
    <m/>
    <m/>
    <m/>
    <m/>
    <m/>
    <m/>
    <m/>
    <s v="Negative"/>
    <s v="Not Sampled"/>
    <s v="Not Sampled"/>
  </r>
  <r>
    <x v="2"/>
    <x v="93"/>
    <x v="27"/>
    <x v="19"/>
    <x v="55"/>
    <x v="130"/>
    <x v="246"/>
    <x v="14"/>
    <n v="0"/>
    <s v="Not Sampled"/>
    <n v="1032"/>
    <m/>
    <m/>
    <m/>
    <m/>
    <m/>
    <m/>
    <m/>
    <m/>
    <s v="Negative"/>
    <s v="Not Sampled"/>
    <s v="Not Sampled"/>
  </r>
  <r>
    <x v="6"/>
    <x v="81"/>
    <x v="27"/>
    <x v="28"/>
    <x v="66"/>
    <x v="33"/>
    <x v="402"/>
    <x v="20"/>
    <n v="0"/>
    <s v="Not Sampled"/>
    <n v="1033"/>
    <m/>
    <m/>
    <m/>
    <m/>
    <m/>
    <m/>
    <m/>
    <m/>
    <s v="Negative"/>
    <s v="Not Sampled"/>
    <s v="Not Sampled"/>
  </r>
  <r>
    <x v="0"/>
    <x v="78"/>
    <x v="6"/>
    <x v="2"/>
    <x v="0"/>
    <x v="92"/>
    <x v="403"/>
    <x v="4"/>
    <n v="1"/>
    <s v="Not Sampled"/>
    <n v="1034"/>
    <m/>
    <m/>
    <m/>
    <m/>
    <m/>
    <m/>
    <m/>
    <m/>
    <s v="Positive"/>
    <s v="Not Sampled"/>
    <s v="Not Sampled"/>
  </r>
  <r>
    <x v="9"/>
    <x v="32"/>
    <x v="3"/>
    <x v="2"/>
    <x v="0"/>
    <x v="161"/>
    <x v="404"/>
    <x v="31"/>
    <n v="0"/>
    <s v="Not Sampled"/>
    <n v="1035"/>
    <m/>
    <m/>
    <m/>
    <m/>
    <m/>
    <m/>
    <m/>
    <m/>
    <s v="Negative"/>
    <s v="Not Sampled"/>
    <s v="Not Sampled"/>
  </r>
  <r>
    <x v="0"/>
    <x v="100"/>
    <x v="9"/>
    <x v="50"/>
    <x v="0"/>
    <x v="48"/>
    <x v="405"/>
    <x v="38"/>
    <n v="1"/>
    <s v="Not Sampled"/>
    <n v="1036"/>
    <m/>
    <m/>
    <m/>
    <m/>
    <m/>
    <m/>
    <m/>
    <m/>
    <s v="Positive"/>
    <s v="Not Sampled"/>
    <s v="Not Sampled"/>
  </r>
  <r>
    <x v="1"/>
    <x v="68"/>
    <x v="8"/>
    <x v="40"/>
    <x v="0"/>
    <x v="196"/>
    <x v="406"/>
    <x v="4"/>
    <n v="1"/>
    <s v="Not Sampled"/>
    <n v="1037"/>
    <m/>
    <m/>
    <m/>
    <m/>
    <m/>
    <m/>
    <m/>
    <m/>
    <s v="Positive"/>
    <s v="Not Sampled"/>
    <s v="Not Sampled"/>
  </r>
  <r>
    <x v="6"/>
    <x v="49"/>
    <x v="12"/>
    <x v="21"/>
    <x v="0"/>
    <x v="26"/>
    <x v="407"/>
    <x v="23"/>
    <n v="0"/>
    <n v="0"/>
    <n v="1038"/>
    <m/>
    <m/>
    <m/>
    <m/>
    <m/>
    <m/>
    <m/>
    <m/>
    <s v="Negative"/>
    <s v="Negative"/>
    <s v="Accurate Prediction"/>
  </r>
  <r>
    <x v="10"/>
    <x v="126"/>
    <x v="4"/>
    <x v="6"/>
    <x v="0"/>
    <x v="71"/>
    <x v="247"/>
    <x v="38"/>
    <n v="0"/>
    <s v="Not Sampled"/>
    <n v="1039"/>
    <m/>
    <m/>
    <m/>
    <m/>
    <m/>
    <m/>
    <m/>
    <m/>
    <s v="Negative"/>
    <s v="Not Sampled"/>
    <s v="Not Sampled"/>
  </r>
  <r>
    <x v="4"/>
    <x v="45"/>
    <x v="15"/>
    <x v="2"/>
    <x v="0"/>
    <x v="162"/>
    <x v="163"/>
    <x v="8"/>
    <n v="0"/>
    <s v="Not Sampled"/>
    <n v="1040"/>
    <m/>
    <m/>
    <m/>
    <m/>
    <m/>
    <m/>
    <m/>
    <m/>
    <s v="Negative"/>
    <s v="Not Sampled"/>
    <s v="Not Sampled"/>
  </r>
  <r>
    <x v="4"/>
    <x v="73"/>
    <x v="15"/>
    <x v="20"/>
    <x v="155"/>
    <x v="77"/>
    <x v="140"/>
    <x v="41"/>
    <n v="1"/>
    <n v="0"/>
    <n v="1041"/>
    <m/>
    <m/>
    <m/>
    <m/>
    <m/>
    <m/>
    <m/>
    <m/>
    <s v="Positive"/>
    <s v="Negative"/>
    <s v="Inaccurate Prediction"/>
  </r>
  <r>
    <x v="2"/>
    <x v="67"/>
    <x v="20"/>
    <x v="22"/>
    <x v="0"/>
    <x v="79"/>
    <x v="408"/>
    <x v="11"/>
    <n v="0"/>
    <s v="Not Sampled"/>
    <n v="1042"/>
    <m/>
    <m/>
    <m/>
    <m/>
    <m/>
    <m/>
    <m/>
    <m/>
    <s v="Negative"/>
    <s v="Not Sampled"/>
    <s v="Not Sampled"/>
  </r>
  <r>
    <x v="4"/>
    <x v="92"/>
    <x v="19"/>
    <x v="2"/>
    <x v="0"/>
    <x v="115"/>
    <x v="267"/>
    <x v="17"/>
    <n v="1"/>
    <s v="Not Sampled"/>
    <n v="1043"/>
    <m/>
    <m/>
    <m/>
    <m/>
    <m/>
    <m/>
    <m/>
    <m/>
    <s v="Positive"/>
    <s v="Not Sampled"/>
    <s v="Not Sampled"/>
  </r>
  <r>
    <x v="6"/>
    <x v="28"/>
    <x v="19"/>
    <x v="2"/>
    <x v="0"/>
    <x v="122"/>
    <x v="224"/>
    <x v="29"/>
    <n v="0"/>
    <n v="0"/>
    <n v="1044"/>
    <m/>
    <m/>
    <m/>
    <m/>
    <m/>
    <m/>
    <m/>
    <m/>
    <s v="Negative"/>
    <s v="Negative"/>
    <s v="Accurate Prediction"/>
  </r>
  <r>
    <x v="5"/>
    <x v="41"/>
    <x v="24"/>
    <x v="21"/>
    <x v="64"/>
    <x v="21"/>
    <x v="409"/>
    <x v="41"/>
    <n v="1"/>
    <s v="Not Sampled"/>
    <n v="1045"/>
    <m/>
    <m/>
    <m/>
    <m/>
    <m/>
    <m/>
    <m/>
    <m/>
    <s v="Positive"/>
    <s v="Not Sampled"/>
    <s v="Not Sampled"/>
  </r>
  <r>
    <x v="1"/>
    <x v="43"/>
    <x v="2"/>
    <x v="2"/>
    <x v="0"/>
    <x v="96"/>
    <x v="50"/>
    <x v="14"/>
    <n v="0"/>
    <s v="Not Sampled"/>
    <n v="1046"/>
    <m/>
    <m/>
    <m/>
    <m/>
    <m/>
    <m/>
    <m/>
    <m/>
    <s v="Negative"/>
    <s v="Not Sampled"/>
    <s v="Not Sampled"/>
  </r>
  <r>
    <x v="12"/>
    <x v="31"/>
    <x v="16"/>
    <x v="32"/>
    <x v="0"/>
    <x v="51"/>
    <x v="410"/>
    <x v="10"/>
    <n v="1"/>
    <n v="1"/>
    <n v="1047"/>
    <m/>
    <m/>
    <m/>
    <m/>
    <m/>
    <m/>
    <m/>
    <m/>
    <s v="Positive"/>
    <s v="Positive"/>
    <s v="Accurate Prediction"/>
  </r>
  <r>
    <x v="0"/>
    <x v="56"/>
    <x v="4"/>
    <x v="37"/>
    <x v="32"/>
    <x v="121"/>
    <x v="411"/>
    <x v="3"/>
    <n v="0"/>
    <s v="Not Sampled"/>
    <n v="1048"/>
    <m/>
    <m/>
    <m/>
    <m/>
    <m/>
    <m/>
    <m/>
    <m/>
    <s v="Negative"/>
    <s v="Not Sampled"/>
    <s v="Not Sampled"/>
  </r>
  <r>
    <x v="5"/>
    <x v="77"/>
    <x v="6"/>
    <x v="2"/>
    <x v="0"/>
    <x v="184"/>
    <x v="215"/>
    <x v="30"/>
    <n v="1"/>
    <s v="Not Sampled"/>
    <n v="1049"/>
    <m/>
    <m/>
    <m/>
    <m/>
    <m/>
    <m/>
    <m/>
    <m/>
    <s v="Positive"/>
    <s v="Not Sampled"/>
    <s v="Not Sampled"/>
  </r>
  <r>
    <x v="0"/>
    <x v="118"/>
    <x v="33"/>
    <x v="29"/>
    <x v="133"/>
    <x v="218"/>
    <x v="412"/>
    <x v="14"/>
    <n v="0"/>
    <s v="Not Sampled"/>
    <n v="1050"/>
    <m/>
    <m/>
    <m/>
    <m/>
    <m/>
    <m/>
    <m/>
    <m/>
    <s v="Negative"/>
    <s v="Not Sampled"/>
    <s v="Not Sampled"/>
  </r>
  <r>
    <x v="6"/>
    <x v="62"/>
    <x v="5"/>
    <x v="45"/>
    <x v="156"/>
    <x v="0"/>
    <x v="359"/>
    <x v="34"/>
    <n v="0"/>
    <n v="0"/>
    <n v="1051"/>
    <m/>
    <m/>
    <m/>
    <m/>
    <m/>
    <m/>
    <m/>
    <m/>
    <s v="Negative"/>
    <s v="Negative"/>
    <s v="Accurate Prediction"/>
  </r>
  <r>
    <x v="1"/>
    <x v="86"/>
    <x v="1"/>
    <x v="36"/>
    <x v="157"/>
    <x v="61"/>
    <x v="413"/>
    <x v="11"/>
    <n v="1"/>
    <s v="Not Sampled"/>
    <n v="1052"/>
    <m/>
    <m/>
    <m/>
    <m/>
    <m/>
    <m/>
    <m/>
    <m/>
    <s v="Positive"/>
    <s v="Not Sampled"/>
    <s v="Not Sampled"/>
  </r>
  <r>
    <x v="1"/>
    <x v="127"/>
    <x v="15"/>
    <x v="2"/>
    <x v="0"/>
    <x v="200"/>
    <x v="414"/>
    <x v="22"/>
    <n v="0"/>
    <n v="0"/>
    <n v="1053"/>
    <m/>
    <m/>
    <m/>
    <m/>
    <m/>
    <m/>
    <m/>
    <m/>
    <s v="Negative"/>
    <s v="Negative"/>
    <s v="Accurate Prediction"/>
  </r>
  <r>
    <x v="2"/>
    <x v="9"/>
    <x v="42"/>
    <x v="13"/>
    <x v="158"/>
    <x v="157"/>
    <x v="290"/>
    <x v="4"/>
    <n v="0"/>
    <s v="Not Sampled"/>
    <n v="1054"/>
    <m/>
    <m/>
    <m/>
    <m/>
    <m/>
    <m/>
    <m/>
    <m/>
    <s v="Negative"/>
    <s v="Not Sampled"/>
    <s v="Not Sampled"/>
  </r>
  <r>
    <x v="2"/>
    <x v="5"/>
    <x v="10"/>
    <x v="2"/>
    <x v="0"/>
    <x v="8"/>
    <x v="124"/>
    <x v="19"/>
    <n v="1"/>
    <s v="Not Sampled"/>
    <n v="1055"/>
    <m/>
    <m/>
    <m/>
    <m/>
    <m/>
    <m/>
    <m/>
    <m/>
    <s v="Positive"/>
    <s v="Not Sampled"/>
    <s v="Not Sampled"/>
  </r>
  <r>
    <x v="2"/>
    <x v="49"/>
    <x v="43"/>
    <x v="10"/>
    <x v="77"/>
    <x v="179"/>
    <x v="185"/>
    <x v="25"/>
    <n v="0"/>
    <s v="Not Sampled"/>
    <n v="1056"/>
    <m/>
    <m/>
    <m/>
    <m/>
    <m/>
    <m/>
    <m/>
    <m/>
    <s v="Negative"/>
    <s v="Not Sampled"/>
    <s v="Not Sampled"/>
  </r>
  <r>
    <x v="2"/>
    <x v="81"/>
    <x v="21"/>
    <x v="13"/>
    <x v="0"/>
    <x v="150"/>
    <x v="415"/>
    <x v="3"/>
    <n v="0"/>
    <s v="Not Sampled"/>
    <n v="1057"/>
    <m/>
    <m/>
    <m/>
    <m/>
    <m/>
    <m/>
    <m/>
    <m/>
    <s v="Negative"/>
    <s v="Not Sampled"/>
    <s v="Not Sampled"/>
  </r>
  <r>
    <x v="6"/>
    <x v="20"/>
    <x v="2"/>
    <x v="2"/>
    <x v="0"/>
    <x v="195"/>
    <x v="163"/>
    <x v="6"/>
    <n v="0"/>
    <n v="0"/>
    <n v="1058"/>
    <m/>
    <m/>
    <m/>
    <m/>
    <m/>
    <m/>
    <m/>
    <m/>
    <s v="Negative"/>
    <s v="Negative"/>
    <s v="Accurate Prediction"/>
  </r>
  <r>
    <x v="2"/>
    <x v="73"/>
    <x v="10"/>
    <x v="35"/>
    <x v="0"/>
    <x v="157"/>
    <x v="416"/>
    <x v="13"/>
    <n v="0"/>
    <s v="Not Sampled"/>
    <n v="1059"/>
    <m/>
    <m/>
    <m/>
    <m/>
    <m/>
    <m/>
    <m/>
    <m/>
    <s v="Negative"/>
    <s v="Not Sampled"/>
    <s v="Not Sampled"/>
  </r>
  <r>
    <x v="8"/>
    <x v="42"/>
    <x v="4"/>
    <x v="30"/>
    <x v="153"/>
    <x v="213"/>
    <x v="24"/>
    <x v="28"/>
    <n v="1"/>
    <s v="Not Sampled"/>
    <n v="1060"/>
    <m/>
    <m/>
    <m/>
    <m/>
    <m/>
    <m/>
    <m/>
    <m/>
    <s v="Positive"/>
    <s v="Not Sampled"/>
    <s v="Not Sampled"/>
  </r>
  <r>
    <x v="3"/>
    <x v="128"/>
    <x v="2"/>
    <x v="2"/>
    <x v="0"/>
    <x v="109"/>
    <x v="355"/>
    <x v="31"/>
    <n v="1"/>
    <s v="Not Sampled"/>
    <n v="1061"/>
    <m/>
    <m/>
    <m/>
    <m/>
    <m/>
    <m/>
    <m/>
    <m/>
    <s v="Positive"/>
    <s v="Not Sampled"/>
    <s v="Not Sampled"/>
  </r>
  <r>
    <x v="2"/>
    <x v="73"/>
    <x v="12"/>
    <x v="5"/>
    <x v="0"/>
    <x v="134"/>
    <x v="195"/>
    <x v="4"/>
    <n v="0"/>
    <s v="Not Sampled"/>
    <n v="1062"/>
    <m/>
    <m/>
    <m/>
    <m/>
    <m/>
    <m/>
    <m/>
    <m/>
    <s v="Negative"/>
    <s v="Not Sampled"/>
    <s v="Not Sampled"/>
  </r>
  <r>
    <x v="2"/>
    <x v="94"/>
    <x v="4"/>
    <x v="3"/>
    <x v="122"/>
    <x v="154"/>
    <x v="417"/>
    <x v="11"/>
    <n v="1"/>
    <s v="Not Sampled"/>
    <n v="1063"/>
    <m/>
    <m/>
    <m/>
    <m/>
    <m/>
    <m/>
    <m/>
    <m/>
    <s v="Positive"/>
    <s v="Not Sampled"/>
    <s v="Not Sampled"/>
  </r>
  <r>
    <x v="2"/>
    <x v="66"/>
    <x v="0"/>
    <x v="14"/>
    <x v="159"/>
    <x v="222"/>
    <x v="418"/>
    <x v="14"/>
    <n v="0"/>
    <s v="Not Sampled"/>
    <n v="1064"/>
    <m/>
    <m/>
    <m/>
    <m/>
    <m/>
    <m/>
    <m/>
    <m/>
    <s v="Negative"/>
    <s v="Not Sampled"/>
    <s v="Not Sampled"/>
  </r>
  <r>
    <x v="1"/>
    <x v="87"/>
    <x v="1"/>
    <x v="15"/>
    <x v="160"/>
    <x v="53"/>
    <x v="58"/>
    <x v="23"/>
    <n v="0"/>
    <n v="0"/>
    <n v="1065"/>
    <m/>
    <m/>
    <m/>
    <m/>
    <m/>
    <m/>
    <m/>
    <m/>
    <s v="Negative"/>
    <s v="Negative"/>
    <s v="Accurate Prediction"/>
  </r>
  <r>
    <x v="2"/>
    <x v="31"/>
    <x v="0"/>
    <x v="27"/>
    <x v="98"/>
    <x v="33"/>
    <x v="419"/>
    <x v="1"/>
    <n v="0"/>
    <s v="Not Sampled"/>
    <n v="1066"/>
    <m/>
    <m/>
    <m/>
    <m/>
    <m/>
    <m/>
    <m/>
    <m/>
    <s v="Negative"/>
    <s v="Not Sampled"/>
    <s v="Not Sampled"/>
  </r>
  <r>
    <x v="5"/>
    <x v="33"/>
    <x v="14"/>
    <x v="23"/>
    <x v="125"/>
    <x v="125"/>
    <x v="9"/>
    <x v="3"/>
    <n v="0"/>
    <s v="Not Sampled"/>
    <n v="1067"/>
    <m/>
    <m/>
    <m/>
    <m/>
    <m/>
    <m/>
    <m/>
    <m/>
    <s v="Negative"/>
    <s v="Not Sampled"/>
    <s v="Not Sampled"/>
  </r>
  <r>
    <x v="5"/>
    <x v="129"/>
    <x v="22"/>
    <x v="29"/>
    <x v="85"/>
    <x v="35"/>
    <x v="420"/>
    <x v="31"/>
    <n v="1"/>
    <n v="1"/>
    <n v="1068"/>
    <m/>
    <m/>
    <m/>
    <m/>
    <m/>
    <m/>
    <m/>
    <m/>
    <s v="Positive"/>
    <s v="Positive"/>
    <s v="Accurate Prediction"/>
  </r>
  <r>
    <x v="8"/>
    <x v="120"/>
    <x v="21"/>
    <x v="3"/>
    <x v="161"/>
    <x v="1"/>
    <x v="184"/>
    <x v="18"/>
    <n v="1"/>
    <s v="Not Sampled"/>
    <n v="1069"/>
    <m/>
    <m/>
    <m/>
    <m/>
    <m/>
    <m/>
    <m/>
    <m/>
    <s v="Positive"/>
    <s v="Not Sampled"/>
    <s v="Not Sampled"/>
  </r>
  <r>
    <x v="6"/>
    <x v="38"/>
    <x v="6"/>
    <x v="7"/>
    <x v="0"/>
    <x v="56"/>
    <x v="421"/>
    <x v="25"/>
    <n v="0"/>
    <s v="Not Sampled"/>
    <n v="1070"/>
    <m/>
    <m/>
    <m/>
    <m/>
    <m/>
    <m/>
    <m/>
    <m/>
    <s v="Negative"/>
    <s v="Not Sampled"/>
    <s v="Not Sampled"/>
  </r>
  <r>
    <x v="12"/>
    <x v="0"/>
    <x v="10"/>
    <x v="16"/>
    <x v="162"/>
    <x v="164"/>
    <x v="226"/>
    <x v="48"/>
    <n v="1"/>
    <n v="1"/>
    <n v="1071"/>
    <m/>
    <m/>
    <m/>
    <m/>
    <m/>
    <m/>
    <m/>
    <m/>
    <s v="Positive"/>
    <s v="Positive"/>
    <s v="Accurate Prediction"/>
  </r>
  <r>
    <x v="5"/>
    <x v="33"/>
    <x v="5"/>
    <x v="2"/>
    <x v="0"/>
    <x v="223"/>
    <x v="28"/>
    <x v="23"/>
    <n v="0"/>
    <s v="Not Sampled"/>
    <n v="1072"/>
    <m/>
    <m/>
    <m/>
    <m/>
    <m/>
    <m/>
    <m/>
    <m/>
    <s v="Negative"/>
    <s v="Not Sampled"/>
    <s v="Not Sampled"/>
  </r>
  <r>
    <x v="6"/>
    <x v="17"/>
    <x v="30"/>
    <x v="2"/>
    <x v="0"/>
    <x v="77"/>
    <x v="422"/>
    <x v="13"/>
    <n v="0"/>
    <n v="0"/>
    <n v="1073"/>
    <m/>
    <m/>
    <m/>
    <m/>
    <m/>
    <m/>
    <m/>
    <m/>
    <s v="Negative"/>
    <s v="Negative"/>
    <s v="Accurate Prediction"/>
  </r>
  <r>
    <x v="0"/>
    <x v="123"/>
    <x v="0"/>
    <x v="27"/>
    <x v="163"/>
    <x v="224"/>
    <x v="423"/>
    <x v="1"/>
    <n v="0"/>
    <s v="Not Sampled"/>
    <n v="1074"/>
    <m/>
    <m/>
    <m/>
    <m/>
    <m/>
    <m/>
    <m/>
    <m/>
    <s v="Negative"/>
    <s v="Not Sampled"/>
    <s v="Not Sampled"/>
  </r>
  <r>
    <x v="11"/>
    <x v="56"/>
    <x v="1"/>
    <x v="20"/>
    <x v="0"/>
    <x v="86"/>
    <x v="424"/>
    <x v="48"/>
    <n v="1"/>
    <s v="Not Sampled"/>
    <n v="1075"/>
    <m/>
    <m/>
    <m/>
    <m/>
    <m/>
    <m/>
    <m/>
    <m/>
    <s v="Positive"/>
    <s v="Not Sampled"/>
    <s v="Not Sampled"/>
  </r>
  <r>
    <x v="1"/>
    <x v="93"/>
    <x v="2"/>
    <x v="2"/>
    <x v="0"/>
    <x v="68"/>
    <x v="425"/>
    <x v="3"/>
    <n v="1"/>
    <s v="Not Sampled"/>
    <n v="1076"/>
    <m/>
    <m/>
    <m/>
    <m/>
    <m/>
    <m/>
    <m/>
    <m/>
    <s v="Positive"/>
    <s v="Not Sampled"/>
    <s v="Not Sampled"/>
  </r>
  <r>
    <x v="0"/>
    <x v="56"/>
    <x v="24"/>
    <x v="3"/>
    <x v="69"/>
    <x v="189"/>
    <x v="426"/>
    <x v="6"/>
    <n v="0"/>
    <s v="Not Sampled"/>
    <n v="1077"/>
    <m/>
    <m/>
    <m/>
    <m/>
    <m/>
    <m/>
    <m/>
    <m/>
    <s v="Negative"/>
    <s v="Not Sampled"/>
    <s v="Not Sampled"/>
  </r>
  <r>
    <x v="0"/>
    <x v="66"/>
    <x v="15"/>
    <x v="28"/>
    <x v="0"/>
    <x v="29"/>
    <x v="427"/>
    <x v="6"/>
    <n v="0"/>
    <s v="Not Sampled"/>
    <n v="1078"/>
    <m/>
    <m/>
    <m/>
    <m/>
    <m/>
    <m/>
    <m/>
    <m/>
    <s v="Negative"/>
    <s v="Not Sampled"/>
    <s v="Not Sampled"/>
  </r>
  <r>
    <x v="6"/>
    <x v="128"/>
    <x v="41"/>
    <x v="2"/>
    <x v="0"/>
    <x v="225"/>
    <x v="428"/>
    <x v="10"/>
    <n v="0"/>
    <n v="1"/>
    <n v="1079"/>
    <m/>
    <m/>
    <m/>
    <m/>
    <m/>
    <m/>
    <m/>
    <m/>
    <s v="Negative"/>
    <s v="Positive"/>
    <s v="Inaccurate Prediction"/>
  </r>
  <r>
    <x v="1"/>
    <x v="19"/>
    <x v="9"/>
    <x v="21"/>
    <x v="133"/>
    <x v="111"/>
    <x v="429"/>
    <x v="4"/>
    <n v="0"/>
    <s v="Not Sampled"/>
    <n v="1080"/>
    <m/>
    <m/>
    <m/>
    <m/>
    <m/>
    <m/>
    <m/>
    <m/>
    <s v="Negative"/>
    <s v="Not Sampled"/>
    <s v="Not Sampled"/>
  </r>
  <r>
    <x v="0"/>
    <x v="81"/>
    <x v="11"/>
    <x v="2"/>
    <x v="0"/>
    <x v="98"/>
    <x v="430"/>
    <x v="4"/>
    <n v="0"/>
    <n v="0"/>
    <n v="1081"/>
    <m/>
    <m/>
    <m/>
    <m/>
    <m/>
    <m/>
    <m/>
    <m/>
    <s v="Negative"/>
    <s v="Negative"/>
    <s v="Accurate Prediction"/>
  </r>
  <r>
    <x v="3"/>
    <x v="30"/>
    <x v="21"/>
    <x v="19"/>
    <x v="120"/>
    <x v="50"/>
    <x v="431"/>
    <x v="29"/>
    <n v="0"/>
    <s v="Not Sampled"/>
    <n v="1082"/>
    <m/>
    <m/>
    <m/>
    <m/>
    <m/>
    <m/>
    <m/>
    <m/>
    <s v="Negative"/>
    <s v="Not Sampled"/>
    <s v="Not Sampled"/>
  </r>
  <r>
    <x v="1"/>
    <x v="10"/>
    <x v="3"/>
    <x v="2"/>
    <x v="0"/>
    <x v="62"/>
    <x v="407"/>
    <x v="4"/>
    <n v="0"/>
    <n v="0"/>
    <n v="1083"/>
    <m/>
    <m/>
    <m/>
    <m/>
    <m/>
    <m/>
    <m/>
    <m/>
    <s v="Negative"/>
    <s v="Negative"/>
    <s v="Accurate Prediction"/>
  </r>
  <r>
    <x v="1"/>
    <x v="77"/>
    <x v="4"/>
    <x v="2"/>
    <x v="0"/>
    <x v="68"/>
    <x v="432"/>
    <x v="4"/>
    <n v="0"/>
    <s v="Not Sampled"/>
    <n v="1084"/>
    <m/>
    <m/>
    <m/>
    <m/>
    <m/>
    <m/>
    <m/>
    <m/>
    <s v="Negative"/>
    <s v="Not Sampled"/>
    <s v="Not Sampled"/>
  </r>
  <r>
    <x v="7"/>
    <x v="80"/>
    <x v="6"/>
    <x v="2"/>
    <x v="0"/>
    <x v="137"/>
    <x v="433"/>
    <x v="10"/>
    <n v="0"/>
    <s v="Not Sampled"/>
    <n v="1085"/>
    <m/>
    <m/>
    <m/>
    <m/>
    <m/>
    <m/>
    <m/>
    <m/>
    <s v="Negative"/>
    <s v="Not Sampled"/>
    <s v="Not Sampled"/>
  </r>
  <r>
    <x v="3"/>
    <x v="19"/>
    <x v="7"/>
    <x v="29"/>
    <x v="0"/>
    <x v="62"/>
    <x v="271"/>
    <x v="4"/>
    <n v="0"/>
    <n v="0"/>
    <n v="1086"/>
    <m/>
    <m/>
    <m/>
    <m/>
    <m/>
    <m/>
    <m/>
    <m/>
    <s v="Negative"/>
    <s v="Negative"/>
    <s v="Accurate Prediction"/>
  </r>
  <r>
    <x v="8"/>
    <x v="48"/>
    <x v="11"/>
    <x v="2"/>
    <x v="0"/>
    <x v="41"/>
    <x v="434"/>
    <x v="34"/>
    <n v="1"/>
    <n v="0"/>
    <n v="1087"/>
    <m/>
    <m/>
    <m/>
    <m/>
    <m/>
    <m/>
    <m/>
    <m/>
    <s v="Positive"/>
    <s v="Negative"/>
    <s v="Inaccurate Prediction"/>
  </r>
  <r>
    <x v="1"/>
    <x v="29"/>
    <x v="4"/>
    <x v="32"/>
    <x v="12"/>
    <x v="93"/>
    <x v="21"/>
    <x v="3"/>
    <n v="0"/>
    <s v="Not Sampled"/>
    <n v="1088"/>
    <m/>
    <m/>
    <m/>
    <m/>
    <m/>
    <m/>
    <m/>
    <m/>
    <s v="Negative"/>
    <s v="Not Sampled"/>
    <s v="Not Sampled"/>
  </r>
  <r>
    <x v="0"/>
    <x v="31"/>
    <x v="12"/>
    <x v="2"/>
    <x v="0"/>
    <x v="173"/>
    <x v="277"/>
    <x v="1"/>
    <n v="0"/>
    <s v="Not Sampled"/>
    <n v="1089"/>
    <m/>
    <m/>
    <m/>
    <m/>
    <m/>
    <m/>
    <m/>
    <m/>
    <s v="Negative"/>
    <s v="Not Sampled"/>
    <s v="Not Sampled"/>
  </r>
  <r>
    <x v="2"/>
    <x v="80"/>
    <x v="1"/>
    <x v="6"/>
    <x v="164"/>
    <x v="155"/>
    <x v="435"/>
    <x v="11"/>
    <n v="0"/>
    <n v="0"/>
    <n v="1090"/>
    <m/>
    <m/>
    <m/>
    <m/>
    <m/>
    <m/>
    <m/>
    <m/>
    <s v="Negative"/>
    <s v="Negative"/>
    <s v="Accurate Prediction"/>
  </r>
  <r>
    <x v="9"/>
    <x v="66"/>
    <x v="0"/>
    <x v="2"/>
    <x v="0"/>
    <x v="151"/>
    <x v="148"/>
    <x v="2"/>
    <n v="0"/>
    <s v="Not Sampled"/>
    <n v="1091"/>
    <m/>
    <m/>
    <m/>
    <m/>
    <m/>
    <m/>
    <m/>
    <m/>
    <s v="Negative"/>
    <s v="Not Sampled"/>
    <s v="Not Sampled"/>
  </r>
  <r>
    <x v="13"/>
    <x v="88"/>
    <x v="5"/>
    <x v="2"/>
    <x v="0"/>
    <x v="84"/>
    <x v="436"/>
    <x v="19"/>
    <n v="1"/>
    <s v="Not Sampled"/>
    <n v="1092"/>
    <m/>
    <m/>
    <m/>
    <m/>
    <m/>
    <m/>
    <m/>
    <m/>
    <s v="Positive"/>
    <s v="Not Sampled"/>
    <s v="Not Sampled"/>
  </r>
  <r>
    <x v="7"/>
    <x v="88"/>
    <x v="10"/>
    <x v="2"/>
    <x v="0"/>
    <x v="138"/>
    <x v="83"/>
    <x v="27"/>
    <n v="0"/>
    <n v="0"/>
    <n v="1093"/>
    <m/>
    <m/>
    <m/>
    <m/>
    <m/>
    <m/>
    <m/>
    <m/>
    <s v="Negative"/>
    <s v="Negative"/>
    <s v="Accurate Prediction"/>
  </r>
  <r>
    <x v="0"/>
    <x v="19"/>
    <x v="15"/>
    <x v="10"/>
    <x v="5"/>
    <x v="31"/>
    <x v="437"/>
    <x v="1"/>
    <n v="0"/>
    <s v="Not Sampled"/>
    <n v="1094"/>
    <m/>
    <m/>
    <m/>
    <m/>
    <m/>
    <m/>
    <m/>
    <m/>
    <s v="Negative"/>
    <s v="Not Sampled"/>
    <s v="Not Sampled"/>
  </r>
  <r>
    <x v="8"/>
    <x v="75"/>
    <x v="15"/>
    <x v="5"/>
    <x v="165"/>
    <x v="105"/>
    <x v="438"/>
    <x v="32"/>
    <n v="1"/>
    <s v="Not Sampled"/>
    <n v="1095"/>
    <m/>
    <m/>
    <m/>
    <m/>
    <m/>
    <m/>
    <m/>
    <m/>
    <s v="Positive"/>
    <s v="Not Sampled"/>
    <s v="Not Sampled"/>
  </r>
  <r>
    <x v="2"/>
    <x v="45"/>
    <x v="10"/>
    <x v="39"/>
    <x v="166"/>
    <x v="222"/>
    <x v="439"/>
    <x v="6"/>
    <n v="0"/>
    <s v="Not Sampled"/>
    <n v="1096"/>
    <m/>
    <m/>
    <m/>
    <m/>
    <m/>
    <m/>
    <m/>
    <m/>
    <s v="Negative"/>
    <s v="Not Sampled"/>
    <s v="Not Sampled"/>
  </r>
  <r>
    <x v="1"/>
    <x v="29"/>
    <x v="24"/>
    <x v="6"/>
    <x v="16"/>
    <x v="17"/>
    <x v="440"/>
    <x v="23"/>
    <n v="0"/>
    <s v="Not Sampled"/>
    <n v="1097"/>
    <m/>
    <m/>
    <m/>
    <m/>
    <m/>
    <m/>
    <m/>
    <m/>
    <s v="Negative"/>
    <s v="Not Sampled"/>
    <s v="Not Sampled"/>
  </r>
  <r>
    <x v="3"/>
    <x v="80"/>
    <x v="9"/>
    <x v="2"/>
    <x v="0"/>
    <x v="82"/>
    <x v="441"/>
    <x v="3"/>
    <n v="0"/>
    <s v="Not Sampled"/>
    <n v="1098"/>
    <m/>
    <m/>
    <m/>
    <m/>
    <m/>
    <m/>
    <m/>
    <m/>
    <s v="Negative"/>
    <s v="Not Sampled"/>
    <s v="Not Sampled"/>
  </r>
  <r>
    <x v="6"/>
    <x v="83"/>
    <x v="6"/>
    <x v="2"/>
    <x v="0"/>
    <x v="81"/>
    <x v="81"/>
    <x v="48"/>
    <n v="1"/>
    <s v="Not Sampled"/>
    <n v="1099"/>
    <m/>
    <m/>
    <m/>
    <m/>
    <m/>
    <m/>
    <m/>
    <m/>
    <s v="Positive"/>
    <s v="Not Sampled"/>
    <s v="Not Sampled"/>
  </r>
  <r>
    <x v="3"/>
    <x v="30"/>
    <x v="2"/>
    <x v="2"/>
    <x v="0"/>
    <x v="43"/>
    <x v="442"/>
    <x v="2"/>
    <n v="0"/>
    <n v="0"/>
    <n v="1100"/>
    <m/>
    <m/>
    <m/>
    <m/>
    <m/>
    <m/>
    <m/>
    <m/>
    <s v="Negative"/>
    <s v="Negative"/>
    <s v="Accurate Prediction"/>
  </r>
  <r>
    <x v="5"/>
    <x v="28"/>
    <x v="5"/>
    <x v="8"/>
    <x v="40"/>
    <x v="32"/>
    <x v="443"/>
    <x v="23"/>
    <n v="0"/>
    <s v="Not Sampled"/>
    <n v="1101"/>
    <m/>
    <m/>
    <m/>
    <m/>
    <m/>
    <m/>
    <m/>
    <m/>
    <s v="Negative"/>
    <s v="Not Sampled"/>
    <s v="Not Sampled"/>
  </r>
  <r>
    <x v="0"/>
    <x v="111"/>
    <x v="10"/>
    <x v="0"/>
    <x v="167"/>
    <x v="121"/>
    <x v="444"/>
    <x v="13"/>
    <n v="0"/>
    <s v="Not Sampled"/>
    <n v="1102"/>
    <m/>
    <m/>
    <m/>
    <m/>
    <m/>
    <m/>
    <m/>
    <m/>
    <s v="Negative"/>
    <s v="Not Sampled"/>
    <s v="Not Sampled"/>
  </r>
  <r>
    <x v="2"/>
    <x v="107"/>
    <x v="10"/>
    <x v="6"/>
    <x v="162"/>
    <x v="226"/>
    <x v="445"/>
    <x v="9"/>
    <n v="1"/>
    <s v="Not Sampled"/>
    <n v="1103"/>
    <m/>
    <m/>
    <m/>
    <m/>
    <m/>
    <m/>
    <m/>
    <m/>
    <s v="Positive"/>
    <s v="Not Sampled"/>
    <s v="Not Sampled"/>
  </r>
  <r>
    <x v="1"/>
    <x v="91"/>
    <x v="13"/>
    <x v="35"/>
    <x v="168"/>
    <x v="136"/>
    <x v="446"/>
    <x v="11"/>
    <n v="1"/>
    <s v="Not Sampled"/>
    <n v="1104"/>
    <m/>
    <m/>
    <m/>
    <m/>
    <m/>
    <m/>
    <m/>
    <m/>
    <s v="Positive"/>
    <s v="Not Sampled"/>
    <s v="Not Sampled"/>
  </r>
  <r>
    <x v="12"/>
    <x v="60"/>
    <x v="16"/>
    <x v="0"/>
    <x v="66"/>
    <x v="227"/>
    <x v="112"/>
    <x v="8"/>
    <n v="1"/>
    <s v="Not Sampled"/>
    <n v="1105"/>
    <m/>
    <m/>
    <m/>
    <m/>
    <m/>
    <m/>
    <m/>
    <m/>
    <s v="Positive"/>
    <s v="Not Sampled"/>
    <s v="Not Sampled"/>
  </r>
  <r>
    <x v="1"/>
    <x v="61"/>
    <x v="12"/>
    <x v="14"/>
    <x v="0"/>
    <x v="199"/>
    <x v="447"/>
    <x v="1"/>
    <n v="0"/>
    <s v="Not Sampled"/>
    <n v="1106"/>
    <m/>
    <m/>
    <m/>
    <m/>
    <m/>
    <m/>
    <m/>
    <m/>
    <s v="Negative"/>
    <s v="Not Sampled"/>
    <s v="Not Sampled"/>
  </r>
  <r>
    <x v="2"/>
    <x v="25"/>
    <x v="14"/>
    <x v="14"/>
    <x v="31"/>
    <x v="18"/>
    <x v="297"/>
    <x v="1"/>
    <n v="0"/>
    <s v="Not Sampled"/>
    <n v="1107"/>
    <m/>
    <m/>
    <m/>
    <m/>
    <m/>
    <m/>
    <m/>
    <m/>
    <s v="Negative"/>
    <s v="Not Sampled"/>
    <s v="Not Sampled"/>
  </r>
  <r>
    <x v="2"/>
    <x v="17"/>
    <x v="12"/>
    <x v="17"/>
    <x v="148"/>
    <x v="97"/>
    <x v="372"/>
    <x v="23"/>
    <n v="0"/>
    <s v="Not Sampled"/>
    <n v="1108"/>
    <m/>
    <m/>
    <m/>
    <m/>
    <m/>
    <m/>
    <m/>
    <m/>
    <s v="Negative"/>
    <s v="Not Sampled"/>
    <s v="Not Sampled"/>
  </r>
  <r>
    <x v="7"/>
    <x v="62"/>
    <x v="10"/>
    <x v="32"/>
    <x v="152"/>
    <x v="174"/>
    <x v="363"/>
    <x v="6"/>
    <n v="0"/>
    <n v="0"/>
    <n v="1109"/>
    <m/>
    <m/>
    <m/>
    <m/>
    <m/>
    <m/>
    <m/>
    <m/>
    <s v="Negative"/>
    <s v="Negative"/>
    <s v="Accurate Prediction"/>
  </r>
  <r>
    <x v="0"/>
    <x v="24"/>
    <x v="14"/>
    <x v="2"/>
    <x v="0"/>
    <x v="90"/>
    <x v="446"/>
    <x v="23"/>
    <n v="0"/>
    <s v="Not Sampled"/>
    <n v="1110"/>
    <m/>
    <m/>
    <m/>
    <m/>
    <m/>
    <m/>
    <m/>
    <m/>
    <s v="Negative"/>
    <s v="Not Sampled"/>
    <s v="Not Sampled"/>
  </r>
  <r>
    <x v="2"/>
    <x v="33"/>
    <x v="9"/>
    <x v="7"/>
    <x v="42"/>
    <x v="89"/>
    <x v="173"/>
    <x v="11"/>
    <n v="0"/>
    <s v="Not Sampled"/>
    <n v="1111"/>
    <m/>
    <m/>
    <m/>
    <m/>
    <m/>
    <m/>
    <m/>
    <m/>
    <s v="Negative"/>
    <s v="Not Sampled"/>
    <s v="Not Sampled"/>
  </r>
  <r>
    <x v="0"/>
    <x v="70"/>
    <x v="33"/>
    <x v="21"/>
    <x v="169"/>
    <x v="162"/>
    <x v="236"/>
    <x v="14"/>
    <n v="1"/>
    <s v="Not Sampled"/>
    <n v="1112"/>
    <m/>
    <m/>
    <m/>
    <m/>
    <m/>
    <m/>
    <m/>
    <m/>
    <s v="Positive"/>
    <s v="Not Sampled"/>
    <s v="Not Sampled"/>
  </r>
  <r>
    <x v="0"/>
    <x v="39"/>
    <x v="22"/>
    <x v="0"/>
    <x v="12"/>
    <x v="181"/>
    <x v="448"/>
    <x v="11"/>
    <n v="0"/>
    <s v="Not Sampled"/>
    <n v="1113"/>
    <m/>
    <m/>
    <m/>
    <m/>
    <m/>
    <m/>
    <m/>
    <m/>
    <s v="Negative"/>
    <s v="Not Sampled"/>
    <s v="Not Sampled"/>
  </r>
  <r>
    <x v="2"/>
    <x v="24"/>
    <x v="6"/>
    <x v="46"/>
    <x v="170"/>
    <x v="228"/>
    <x v="449"/>
    <x v="17"/>
    <n v="0"/>
    <s v="Not Sampled"/>
    <n v="1114"/>
    <m/>
    <m/>
    <m/>
    <m/>
    <m/>
    <m/>
    <m/>
    <m/>
    <s v="Negative"/>
    <s v="Not Sampled"/>
    <s v="Not Sampled"/>
  </r>
  <r>
    <x v="12"/>
    <x v="117"/>
    <x v="44"/>
    <x v="2"/>
    <x v="0"/>
    <x v="20"/>
    <x v="163"/>
    <x v="42"/>
    <n v="0"/>
    <n v="1"/>
    <n v="1115"/>
    <m/>
    <m/>
    <m/>
    <m/>
    <m/>
    <m/>
    <m/>
    <m/>
    <s v="Negative"/>
    <s v="Positive"/>
    <s v="Inaccurate Prediction"/>
  </r>
  <r>
    <x v="5"/>
    <x v="11"/>
    <x v="1"/>
    <x v="1"/>
    <x v="19"/>
    <x v="89"/>
    <x v="450"/>
    <x v="23"/>
    <n v="1"/>
    <s v="Not Sampled"/>
    <n v="1116"/>
    <m/>
    <m/>
    <m/>
    <m/>
    <m/>
    <m/>
    <m/>
    <m/>
    <s v="Positive"/>
    <s v="Not Sampled"/>
    <s v="Not Sampled"/>
  </r>
  <r>
    <x v="9"/>
    <x v="76"/>
    <x v="16"/>
    <x v="2"/>
    <x v="0"/>
    <x v="116"/>
    <x v="451"/>
    <x v="28"/>
    <n v="0"/>
    <n v="1"/>
    <n v="1117"/>
    <m/>
    <m/>
    <m/>
    <m/>
    <m/>
    <m/>
    <m/>
    <m/>
    <s v="Negative"/>
    <s v="Positive"/>
    <s v="Inaccurate Prediction"/>
  </r>
  <r>
    <x v="2"/>
    <x v="130"/>
    <x v="15"/>
    <x v="44"/>
    <x v="0"/>
    <x v="92"/>
    <x v="452"/>
    <x v="11"/>
    <n v="1"/>
    <s v="Not Sampled"/>
    <n v="1118"/>
    <m/>
    <m/>
    <m/>
    <m/>
    <m/>
    <m/>
    <m/>
    <m/>
    <s v="Positive"/>
    <s v="Not Sampled"/>
    <s v="Not Sampled"/>
  </r>
  <r>
    <x v="4"/>
    <x v="107"/>
    <x v="44"/>
    <x v="40"/>
    <x v="109"/>
    <x v="209"/>
    <x v="84"/>
    <x v="33"/>
    <n v="1"/>
    <s v="Not Sampled"/>
    <n v="1119"/>
    <m/>
    <m/>
    <m/>
    <m/>
    <m/>
    <m/>
    <m/>
    <m/>
    <s v="Positive"/>
    <s v="Not Sampled"/>
    <s v="Not Sampled"/>
  </r>
  <r>
    <x v="11"/>
    <x v="2"/>
    <x v="6"/>
    <x v="40"/>
    <x v="66"/>
    <x v="160"/>
    <x v="143"/>
    <x v="18"/>
    <n v="1"/>
    <s v="Not Sampled"/>
    <n v="1120"/>
    <m/>
    <m/>
    <m/>
    <m/>
    <m/>
    <m/>
    <m/>
    <m/>
    <s v="Positive"/>
    <s v="Not Sampled"/>
    <s v="Not Sampled"/>
  </r>
  <r>
    <x v="6"/>
    <x v="109"/>
    <x v="12"/>
    <x v="15"/>
    <x v="0"/>
    <x v="47"/>
    <x v="404"/>
    <x v="18"/>
    <n v="1"/>
    <s v="Not Sampled"/>
    <n v="1121"/>
    <m/>
    <m/>
    <m/>
    <m/>
    <m/>
    <m/>
    <m/>
    <m/>
    <s v="Positive"/>
    <s v="Not Sampled"/>
    <s v="Not Sampled"/>
  </r>
  <r>
    <x v="2"/>
    <x v="56"/>
    <x v="6"/>
    <x v="45"/>
    <x v="103"/>
    <x v="124"/>
    <x v="453"/>
    <x v="3"/>
    <n v="0"/>
    <s v="Not Sampled"/>
    <n v="1122"/>
    <m/>
    <m/>
    <m/>
    <m/>
    <m/>
    <m/>
    <m/>
    <m/>
    <s v="Negative"/>
    <s v="Not Sampled"/>
    <s v="Not Sampled"/>
  </r>
  <r>
    <x v="3"/>
    <x v="2"/>
    <x v="1"/>
    <x v="10"/>
    <x v="0"/>
    <x v="56"/>
    <x v="41"/>
    <x v="50"/>
    <n v="1"/>
    <s v="Not Sampled"/>
    <n v="1123"/>
    <m/>
    <m/>
    <m/>
    <m/>
    <m/>
    <m/>
    <m/>
    <m/>
    <s v="Positive"/>
    <s v="Not Sampled"/>
    <s v="Not Sampled"/>
  </r>
  <r>
    <x v="9"/>
    <x v="31"/>
    <x v="9"/>
    <x v="21"/>
    <x v="0"/>
    <x v="155"/>
    <x v="425"/>
    <x v="18"/>
    <n v="1"/>
    <s v="Not Sampled"/>
    <n v="1124"/>
    <m/>
    <m/>
    <m/>
    <m/>
    <m/>
    <m/>
    <m/>
    <m/>
    <s v="Positive"/>
    <s v="Not Sampled"/>
    <s v="Not Sampled"/>
  </r>
  <r>
    <x v="6"/>
    <x v="116"/>
    <x v="22"/>
    <x v="12"/>
    <x v="72"/>
    <x v="37"/>
    <x v="400"/>
    <x v="33"/>
    <n v="0"/>
    <s v="Not Sampled"/>
    <n v="1125"/>
    <m/>
    <m/>
    <m/>
    <m/>
    <m/>
    <m/>
    <m/>
    <m/>
    <s v="Negative"/>
    <s v="Not Sampled"/>
    <s v="Not Sampled"/>
  </r>
  <r>
    <x v="11"/>
    <x v="16"/>
    <x v="4"/>
    <x v="8"/>
    <x v="31"/>
    <x v="125"/>
    <x v="192"/>
    <x v="10"/>
    <n v="0"/>
    <s v="Not Sampled"/>
    <n v="1126"/>
    <m/>
    <m/>
    <m/>
    <m/>
    <m/>
    <m/>
    <m/>
    <m/>
    <s v="Negative"/>
    <s v="Not Sampled"/>
    <s v="Not Sampled"/>
  </r>
  <r>
    <x v="6"/>
    <x v="102"/>
    <x v="3"/>
    <x v="16"/>
    <x v="49"/>
    <x v="0"/>
    <x v="454"/>
    <x v="43"/>
    <n v="0"/>
    <s v="Not Sampled"/>
    <n v="1127"/>
    <m/>
    <m/>
    <m/>
    <m/>
    <m/>
    <m/>
    <m/>
    <m/>
    <s v="Negative"/>
    <s v="Not Sampled"/>
    <s v="Not Sampled"/>
  </r>
  <r>
    <x v="2"/>
    <x v="6"/>
    <x v="22"/>
    <x v="25"/>
    <x v="0"/>
    <x v="54"/>
    <x v="7"/>
    <x v="4"/>
    <n v="0"/>
    <s v="Not Sampled"/>
    <n v="1128"/>
    <m/>
    <m/>
    <m/>
    <m/>
    <m/>
    <m/>
    <m/>
    <m/>
    <s v="Negative"/>
    <s v="Not Sampled"/>
    <s v="Not Sampled"/>
  </r>
  <r>
    <x v="9"/>
    <x v="123"/>
    <x v="44"/>
    <x v="17"/>
    <x v="51"/>
    <x v="130"/>
    <x v="350"/>
    <x v="0"/>
    <n v="0"/>
    <s v="Not Sampled"/>
    <n v="1129"/>
    <m/>
    <m/>
    <m/>
    <m/>
    <m/>
    <m/>
    <m/>
    <m/>
    <s v="Negative"/>
    <s v="Not Sampled"/>
    <s v="Not Sampled"/>
  </r>
  <r>
    <x v="5"/>
    <x v="62"/>
    <x v="39"/>
    <x v="0"/>
    <x v="20"/>
    <x v="229"/>
    <x v="455"/>
    <x v="11"/>
    <n v="0"/>
    <s v="Not Sampled"/>
    <n v="1130"/>
    <m/>
    <m/>
    <m/>
    <m/>
    <m/>
    <m/>
    <m/>
    <m/>
    <s v="Negative"/>
    <s v="Not Sampled"/>
    <s v="Not Sampled"/>
  </r>
  <r>
    <x v="4"/>
    <x v="25"/>
    <x v="1"/>
    <x v="2"/>
    <x v="0"/>
    <x v="230"/>
    <x v="59"/>
    <x v="51"/>
    <n v="0"/>
    <n v="0"/>
    <n v="1131"/>
    <m/>
    <m/>
    <m/>
    <m/>
    <m/>
    <m/>
    <m/>
    <m/>
    <s v="Negative"/>
    <s v="Negative"/>
    <s v="Accurate Prediction"/>
  </r>
  <r>
    <x v="6"/>
    <x v="15"/>
    <x v="9"/>
    <x v="2"/>
    <x v="0"/>
    <x v="125"/>
    <x v="338"/>
    <x v="2"/>
    <n v="1"/>
    <n v="1"/>
    <n v="1132"/>
    <m/>
    <m/>
    <m/>
    <m/>
    <m/>
    <m/>
    <m/>
    <m/>
    <s v="Positive"/>
    <s v="Positive"/>
    <s v="Accurate Prediction"/>
  </r>
  <r>
    <x v="11"/>
    <x v="84"/>
    <x v="24"/>
    <x v="2"/>
    <x v="0"/>
    <x v="172"/>
    <x v="344"/>
    <x v="49"/>
    <n v="1"/>
    <s v="Not Sampled"/>
    <n v="1133"/>
    <m/>
    <m/>
    <m/>
    <m/>
    <m/>
    <m/>
    <m/>
    <m/>
    <s v="Positive"/>
    <s v="Not Sampled"/>
    <s v="Not Sampled"/>
  </r>
  <r>
    <x v="1"/>
    <x v="67"/>
    <x v="12"/>
    <x v="2"/>
    <x v="0"/>
    <x v="186"/>
    <x v="22"/>
    <x v="14"/>
    <n v="0"/>
    <s v="Not Sampled"/>
    <n v="1134"/>
    <m/>
    <m/>
    <m/>
    <m/>
    <m/>
    <m/>
    <m/>
    <m/>
    <s v="Negative"/>
    <s v="Not Sampled"/>
    <s v="Not Sampled"/>
  </r>
  <r>
    <x v="5"/>
    <x v="126"/>
    <x v="33"/>
    <x v="2"/>
    <x v="0"/>
    <x v="231"/>
    <x v="0"/>
    <x v="14"/>
    <n v="1"/>
    <n v="0"/>
    <n v="1135"/>
    <m/>
    <m/>
    <m/>
    <m/>
    <m/>
    <m/>
    <m/>
    <m/>
    <s v="Positive"/>
    <s v="Negative"/>
    <s v="Inaccurate Prediction"/>
  </r>
  <r>
    <x v="0"/>
    <x v="39"/>
    <x v="22"/>
    <x v="6"/>
    <x v="4"/>
    <x v="29"/>
    <x v="456"/>
    <x v="1"/>
    <n v="0"/>
    <s v="Not Sampled"/>
    <n v="1136"/>
    <m/>
    <m/>
    <m/>
    <m/>
    <m/>
    <m/>
    <m/>
    <m/>
    <s v="Negative"/>
    <s v="Not Sampled"/>
    <s v="Not Sampled"/>
  </r>
  <r>
    <x v="0"/>
    <x v="131"/>
    <x v="20"/>
    <x v="7"/>
    <x v="83"/>
    <x v="29"/>
    <x v="457"/>
    <x v="11"/>
    <n v="0"/>
    <s v="Not Sampled"/>
    <n v="1137"/>
    <m/>
    <m/>
    <m/>
    <m/>
    <m/>
    <m/>
    <m/>
    <m/>
    <s v="Negative"/>
    <s v="Not Sampled"/>
    <s v="Not Sampled"/>
  </r>
  <r>
    <x v="1"/>
    <x v="76"/>
    <x v="15"/>
    <x v="35"/>
    <x v="0"/>
    <x v="232"/>
    <x v="356"/>
    <x v="25"/>
    <n v="1"/>
    <n v="1"/>
    <n v="1138"/>
    <m/>
    <m/>
    <m/>
    <m/>
    <m/>
    <m/>
    <m/>
    <m/>
    <s v="Positive"/>
    <s v="Positive"/>
    <s v="Accurate Prediction"/>
  </r>
  <r>
    <x v="1"/>
    <x v="50"/>
    <x v="11"/>
    <x v="15"/>
    <x v="16"/>
    <x v="233"/>
    <x v="458"/>
    <x v="11"/>
    <n v="0"/>
    <s v="Not Sampled"/>
    <n v="1139"/>
    <m/>
    <m/>
    <m/>
    <m/>
    <m/>
    <m/>
    <m/>
    <m/>
    <s v="Negative"/>
    <s v="Not Sampled"/>
    <s v="Not Sampled"/>
  </r>
  <r>
    <x v="3"/>
    <x v="10"/>
    <x v="6"/>
    <x v="2"/>
    <x v="0"/>
    <x v="167"/>
    <x v="4"/>
    <x v="23"/>
    <n v="1"/>
    <s v="Not Sampled"/>
    <n v="1140"/>
    <m/>
    <m/>
    <m/>
    <m/>
    <m/>
    <m/>
    <m/>
    <m/>
    <s v="Positive"/>
    <s v="Not Sampled"/>
    <s v="Not Sampled"/>
  </r>
  <r>
    <x v="7"/>
    <x v="60"/>
    <x v="1"/>
    <x v="2"/>
    <x v="0"/>
    <x v="12"/>
    <x v="172"/>
    <x v="37"/>
    <n v="0"/>
    <n v="0"/>
    <n v="1141"/>
    <m/>
    <m/>
    <m/>
    <m/>
    <m/>
    <m/>
    <m/>
    <m/>
    <s v="Negative"/>
    <s v="Negative"/>
    <s v="Accurate Prediction"/>
  </r>
  <r>
    <x v="0"/>
    <x v="52"/>
    <x v="10"/>
    <x v="16"/>
    <x v="106"/>
    <x v="34"/>
    <x v="392"/>
    <x v="14"/>
    <n v="0"/>
    <s v="Not Sampled"/>
    <n v="1142"/>
    <m/>
    <m/>
    <m/>
    <m/>
    <m/>
    <m/>
    <m/>
    <m/>
    <s v="Negative"/>
    <s v="Not Sampled"/>
    <s v="Not Sampled"/>
  </r>
  <r>
    <x v="5"/>
    <x v="23"/>
    <x v="11"/>
    <x v="2"/>
    <x v="0"/>
    <x v="179"/>
    <x v="23"/>
    <x v="11"/>
    <n v="0"/>
    <s v="Not Sampled"/>
    <n v="1143"/>
    <m/>
    <m/>
    <m/>
    <m/>
    <m/>
    <m/>
    <m/>
    <m/>
    <s v="Negative"/>
    <s v="Not Sampled"/>
    <s v="Not Sampled"/>
  </r>
  <r>
    <x v="2"/>
    <x v="61"/>
    <x v="13"/>
    <x v="13"/>
    <x v="0"/>
    <x v="227"/>
    <x v="459"/>
    <x v="29"/>
    <n v="0"/>
    <s v="Not Sampled"/>
    <n v="1144"/>
    <m/>
    <m/>
    <m/>
    <m/>
    <m/>
    <m/>
    <m/>
    <m/>
    <s v="Negative"/>
    <s v="Not Sampled"/>
    <s v="Not Sampled"/>
  </r>
  <r>
    <x v="2"/>
    <x v="98"/>
    <x v="10"/>
    <x v="16"/>
    <x v="105"/>
    <x v="234"/>
    <x v="460"/>
    <x v="1"/>
    <n v="0"/>
    <s v="Not Sampled"/>
    <n v="1145"/>
    <m/>
    <m/>
    <m/>
    <m/>
    <m/>
    <m/>
    <m/>
    <m/>
    <s v="Negative"/>
    <s v="Not Sampled"/>
    <s v="Not Sampled"/>
  </r>
  <r>
    <x v="2"/>
    <x v="65"/>
    <x v="1"/>
    <x v="40"/>
    <x v="105"/>
    <x v="210"/>
    <x v="461"/>
    <x v="22"/>
    <n v="1"/>
    <n v="1"/>
    <n v="1146"/>
    <m/>
    <m/>
    <m/>
    <m/>
    <m/>
    <m/>
    <m/>
    <m/>
    <s v="Positive"/>
    <s v="Positive"/>
    <s v="Accurate Prediction"/>
  </r>
  <r>
    <x v="4"/>
    <x v="61"/>
    <x v="6"/>
    <x v="2"/>
    <x v="0"/>
    <x v="66"/>
    <x v="462"/>
    <x v="34"/>
    <n v="0"/>
    <s v="Not Sampled"/>
    <n v="1147"/>
    <m/>
    <m/>
    <m/>
    <m/>
    <m/>
    <m/>
    <m/>
    <m/>
    <s v="Negative"/>
    <s v="Not Sampled"/>
    <s v="Not Sampled"/>
  </r>
  <r>
    <x v="13"/>
    <x v="95"/>
    <x v="45"/>
    <x v="2"/>
    <x v="0"/>
    <x v="3"/>
    <x v="423"/>
    <x v="30"/>
    <n v="1"/>
    <s v="Not Sampled"/>
    <n v="1148"/>
    <m/>
    <m/>
    <m/>
    <m/>
    <m/>
    <m/>
    <m/>
    <m/>
    <s v="Positive"/>
    <s v="Not Sampled"/>
    <s v="Not Sampled"/>
  </r>
  <r>
    <x v="0"/>
    <x v="126"/>
    <x v="9"/>
    <x v="5"/>
    <x v="142"/>
    <x v="44"/>
    <x v="463"/>
    <x v="1"/>
    <n v="0"/>
    <n v="0"/>
    <n v="1149"/>
    <m/>
    <m/>
    <m/>
    <m/>
    <m/>
    <m/>
    <m/>
    <m/>
    <s v="Negative"/>
    <s v="Negative"/>
    <s v="Accurate Prediction"/>
  </r>
  <r>
    <x v="8"/>
    <x v="52"/>
    <x v="3"/>
    <x v="48"/>
    <x v="1"/>
    <x v="70"/>
    <x v="464"/>
    <x v="33"/>
    <n v="1"/>
    <s v="Not Sampled"/>
    <n v="1150"/>
    <m/>
    <m/>
    <m/>
    <m/>
    <m/>
    <m/>
    <m/>
    <m/>
    <s v="Positive"/>
    <s v="Not Sampled"/>
    <s v="Not Sampled"/>
  </r>
  <r>
    <x v="0"/>
    <x v="30"/>
    <x v="12"/>
    <x v="2"/>
    <x v="0"/>
    <x v="177"/>
    <x v="465"/>
    <x v="14"/>
    <n v="0"/>
    <s v="Not Sampled"/>
    <n v="1151"/>
    <m/>
    <m/>
    <m/>
    <m/>
    <m/>
    <m/>
    <m/>
    <m/>
    <s v="Negative"/>
    <s v="Not Sampled"/>
    <s v="Not Sampled"/>
  </r>
  <r>
    <x v="8"/>
    <x v="64"/>
    <x v="8"/>
    <x v="20"/>
    <x v="3"/>
    <x v="25"/>
    <x v="238"/>
    <x v="33"/>
    <n v="1"/>
    <s v="Not Sampled"/>
    <n v="1152"/>
    <m/>
    <m/>
    <m/>
    <m/>
    <m/>
    <m/>
    <m/>
    <m/>
    <s v="Positive"/>
    <s v="Not Sampled"/>
    <s v="Not Sampled"/>
  </r>
  <r>
    <x v="5"/>
    <x v="132"/>
    <x v="10"/>
    <x v="13"/>
    <x v="1"/>
    <x v="106"/>
    <x v="32"/>
    <x v="2"/>
    <n v="1"/>
    <n v="1"/>
    <n v="1153"/>
    <m/>
    <m/>
    <m/>
    <m/>
    <m/>
    <m/>
    <m/>
    <m/>
    <s v="Positive"/>
    <s v="Positive"/>
    <s v="Accurate Prediction"/>
  </r>
  <r>
    <x v="1"/>
    <x v="6"/>
    <x v="2"/>
    <x v="2"/>
    <x v="0"/>
    <x v="26"/>
    <x v="466"/>
    <x v="11"/>
    <n v="0"/>
    <s v="Not Sampled"/>
    <n v="1154"/>
    <m/>
    <m/>
    <m/>
    <m/>
    <m/>
    <m/>
    <m/>
    <m/>
    <s v="Negative"/>
    <s v="Not Sampled"/>
    <s v="Not Sampled"/>
  </r>
  <r>
    <x v="3"/>
    <x v="117"/>
    <x v="21"/>
    <x v="22"/>
    <x v="59"/>
    <x v="93"/>
    <x v="467"/>
    <x v="6"/>
    <n v="0"/>
    <s v="Not Sampled"/>
    <n v="1155"/>
    <m/>
    <m/>
    <m/>
    <m/>
    <m/>
    <m/>
    <m/>
    <m/>
    <s v="Negative"/>
    <s v="Not Sampled"/>
    <s v="Not Sampled"/>
  </r>
  <r>
    <x v="3"/>
    <x v="78"/>
    <x v="9"/>
    <x v="2"/>
    <x v="0"/>
    <x v="235"/>
    <x v="468"/>
    <x v="25"/>
    <n v="0"/>
    <s v="Not Sampled"/>
    <n v="1156"/>
    <m/>
    <m/>
    <m/>
    <m/>
    <m/>
    <m/>
    <m/>
    <m/>
    <s v="Negative"/>
    <s v="Not Sampled"/>
    <s v="Not Sampled"/>
  </r>
  <r>
    <x v="0"/>
    <x v="27"/>
    <x v="15"/>
    <x v="21"/>
    <x v="170"/>
    <x v="117"/>
    <x v="469"/>
    <x v="25"/>
    <n v="0"/>
    <s v="Not Sampled"/>
    <n v="1157"/>
    <m/>
    <m/>
    <m/>
    <m/>
    <m/>
    <m/>
    <m/>
    <m/>
    <s v="Negative"/>
    <s v="Not Sampled"/>
    <s v="Not Sampled"/>
  </r>
  <r>
    <x v="6"/>
    <x v="10"/>
    <x v="4"/>
    <x v="1"/>
    <x v="0"/>
    <x v="32"/>
    <x v="470"/>
    <x v="43"/>
    <n v="1"/>
    <s v="Not Sampled"/>
    <n v="1158"/>
    <m/>
    <m/>
    <m/>
    <m/>
    <m/>
    <m/>
    <m/>
    <m/>
    <s v="Positive"/>
    <s v="Not Sampled"/>
    <s v="Not Sampled"/>
  </r>
  <r>
    <x v="2"/>
    <x v="120"/>
    <x v="21"/>
    <x v="30"/>
    <x v="0"/>
    <x v="145"/>
    <x v="180"/>
    <x v="41"/>
    <n v="1"/>
    <n v="1"/>
    <n v="1159"/>
    <m/>
    <m/>
    <m/>
    <m/>
    <m/>
    <m/>
    <m/>
    <m/>
    <s v="Positive"/>
    <s v="Positive"/>
    <s v="Accurate Prediction"/>
  </r>
  <r>
    <x v="0"/>
    <x v="52"/>
    <x v="2"/>
    <x v="2"/>
    <x v="0"/>
    <x v="70"/>
    <x v="13"/>
    <x v="17"/>
    <n v="0"/>
    <s v="Not Sampled"/>
    <n v="1160"/>
    <m/>
    <m/>
    <m/>
    <m/>
    <m/>
    <m/>
    <m/>
    <m/>
    <s v="Negative"/>
    <s v="Not Sampled"/>
    <s v="Not Sampled"/>
  </r>
  <r>
    <x v="3"/>
    <x v="13"/>
    <x v="15"/>
    <x v="28"/>
    <x v="31"/>
    <x v="109"/>
    <x v="471"/>
    <x v="23"/>
    <n v="0"/>
    <s v="Not Sampled"/>
    <n v="1161"/>
    <m/>
    <m/>
    <m/>
    <m/>
    <m/>
    <m/>
    <m/>
    <m/>
    <s v="Negative"/>
    <s v="Not Sampled"/>
    <s v="Not Sampled"/>
  </r>
  <r>
    <x v="6"/>
    <x v="11"/>
    <x v="6"/>
    <x v="35"/>
    <x v="0"/>
    <x v="236"/>
    <x v="472"/>
    <x v="6"/>
    <n v="0"/>
    <n v="0"/>
    <n v="1162"/>
    <m/>
    <m/>
    <m/>
    <m/>
    <m/>
    <m/>
    <m/>
    <m/>
    <s v="Negative"/>
    <s v="Negative"/>
    <s v="Accurate Prediction"/>
  </r>
  <r>
    <x v="9"/>
    <x v="109"/>
    <x v="2"/>
    <x v="2"/>
    <x v="0"/>
    <x v="12"/>
    <x v="86"/>
    <x v="13"/>
    <n v="1"/>
    <s v="Not Sampled"/>
    <n v="1163"/>
    <m/>
    <m/>
    <m/>
    <m/>
    <m/>
    <m/>
    <m/>
    <m/>
    <s v="Positive"/>
    <s v="Not Sampled"/>
    <s v="Not Sampled"/>
  </r>
  <r>
    <x v="0"/>
    <x v="117"/>
    <x v="37"/>
    <x v="23"/>
    <x v="171"/>
    <x v="184"/>
    <x v="473"/>
    <x v="11"/>
    <n v="0"/>
    <s v="Not Sampled"/>
    <n v="1164"/>
    <m/>
    <m/>
    <m/>
    <m/>
    <m/>
    <m/>
    <m/>
    <m/>
    <s v="Negative"/>
    <s v="Not Sampled"/>
    <s v="Not Sampled"/>
  </r>
  <r>
    <x v="11"/>
    <x v="101"/>
    <x v="4"/>
    <x v="2"/>
    <x v="0"/>
    <x v="10"/>
    <x v="271"/>
    <x v="10"/>
    <n v="1"/>
    <s v="Not Sampled"/>
    <n v="1165"/>
    <m/>
    <m/>
    <m/>
    <m/>
    <m/>
    <m/>
    <m/>
    <m/>
    <s v="Positive"/>
    <s v="Not Sampled"/>
    <s v="Not Sampled"/>
  </r>
  <r>
    <x v="0"/>
    <x v="67"/>
    <x v="11"/>
    <x v="5"/>
    <x v="69"/>
    <x v="237"/>
    <x v="326"/>
    <x v="1"/>
    <n v="1"/>
    <n v="0"/>
    <n v="1166"/>
    <m/>
    <m/>
    <m/>
    <m/>
    <m/>
    <m/>
    <m/>
    <m/>
    <s v="Positive"/>
    <s v="Negative"/>
    <s v="Inaccurate Prediction"/>
  </r>
  <r>
    <x v="5"/>
    <x v="95"/>
    <x v="11"/>
    <x v="27"/>
    <x v="172"/>
    <x v="84"/>
    <x v="474"/>
    <x v="3"/>
    <n v="0"/>
    <n v="0"/>
    <n v="1167"/>
    <m/>
    <m/>
    <m/>
    <m/>
    <m/>
    <m/>
    <m/>
    <m/>
    <s v="Negative"/>
    <s v="Negative"/>
    <s v="Accurate Prediction"/>
  </r>
  <r>
    <x v="7"/>
    <x v="51"/>
    <x v="4"/>
    <x v="21"/>
    <x v="173"/>
    <x v="107"/>
    <x v="464"/>
    <x v="18"/>
    <n v="0"/>
    <s v="Not Sampled"/>
    <n v="1168"/>
    <m/>
    <m/>
    <m/>
    <m/>
    <m/>
    <m/>
    <m/>
    <m/>
    <s v="Negative"/>
    <s v="Not Sampled"/>
    <s v="Not Sampled"/>
  </r>
  <r>
    <x v="9"/>
    <x v="52"/>
    <x v="0"/>
    <x v="35"/>
    <x v="0"/>
    <x v="238"/>
    <x v="475"/>
    <x v="19"/>
    <n v="1"/>
    <s v="Not Sampled"/>
    <n v="1169"/>
    <m/>
    <m/>
    <m/>
    <m/>
    <m/>
    <m/>
    <m/>
    <m/>
    <s v="Positive"/>
    <s v="Not Sampled"/>
    <s v="Not Sampled"/>
  </r>
  <r>
    <x v="1"/>
    <x v="63"/>
    <x v="22"/>
    <x v="28"/>
    <x v="174"/>
    <x v="199"/>
    <x v="476"/>
    <x v="4"/>
    <n v="0"/>
    <s v="Not Sampled"/>
    <n v="1170"/>
    <m/>
    <m/>
    <m/>
    <m/>
    <m/>
    <m/>
    <m/>
    <m/>
    <s v="Negative"/>
    <s v="Not Sampled"/>
    <s v="Not Sampled"/>
  </r>
  <r>
    <x v="5"/>
    <x v="29"/>
    <x v="10"/>
    <x v="2"/>
    <x v="0"/>
    <x v="81"/>
    <x v="394"/>
    <x v="32"/>
    <n v="0"/>
    <s v="Not Sampled"/>
    <n v="1171"/>
    <m/>
    <m/>
    <m/>
    <m/>
    <m/>
    <m/>
    <m/>
    <m/>
    <s v="Negative"/>
    <s v="Not Sampled"/>
    <s v="Not Sampled"/>
  </r>
  <r>
    <x v="8"/>
    <x v="44"/>
    <x v="13"/>
    <x v="12"/>
    <x v="175"/>
    <x v="75"/>
    <x v="477"/>
    <x v="34"/>
    <n v="1"/>
    <n v="1"/>
    <n v="1172"/>
    <m/>
    <m/>
    <m/>
    <m/>
    <m/>
    <m/>
    <m/>
    <m/>
    <s v="Positive"/>
    <s v="Positive"/>
    <s v="Accurate Prediction"/>
  </r>
  <r>
    <x v="5"/>
    <x v="5"/>
    <x v="4"/>
    <x v="15"/>
    <x v="157"/>
    <x v="97"/>
    <x v="478"/>
    <x v="2"/>
    <n v="1"/>
    <s v="Not Sampled"/>
    <n v="1173"/>
    <m/>
    <m/>
    <m/>
    <m/>
    <m/>
    <m/>
    <m/>
    <m/>
    <s v="Positive"/>
    <s v="Not Sampled"/>
    <s v="Not Sampled"/>
  </r>
  <r>
    <x v="9"/>
    <x v="19"/>
    <x v="5"/>
    <x v="10"/>
    <x v="0"/>
    <x v="179"/>
    <x v="479"/>
    <x v="24"/>
    <n v="0"/>
    <s v="Not Sampled"/>
    <n v="1174"/>
    <m/>
    <m/>
    <m/>
    <m/>
    <m/>
    <m/>
    <m/>
    <m/>
    <s v="Negative"/>
    <s v="Not Sampled"/>
    <s v="Not Sampled"/>
  </r>
  <r>
    <x v="2"/>
    <x v="81"/>
    <x v="12"/>
    <x v="40"/>
    <x v="176"/>
    <x v="130"/>
    <x v="351"/>
    <x v="3"/>
    <n v="0"/>
    <s v="Not Sampled"/>
    <n v="1175"/>
    <m/>
    <m/>
    <m/>
    <m/>
    <m/>
    <m/>
    <m/>
    <m/>
    <s v="Negative"/>
    <s v="Not Sampled"/>
    <s v="Not Sampled"/>
  </r>
  <r>
    <x v="7"/>
    <x v="75"/>
    <x v="15"/>
    <x v="21"/>
    <x v="0"/>
    <x v="230"/>
    <x v="293"/>
    <x v="41"/>
    <n v="1"/>
    <s v="Not Sampled"/>
    <n v="1176"/>
    <m/>
    <m/>
    <m/>
    <m/>
    <m/>
    <m/>
    <m/>
    <m/>
    <s v="Positive"/>
    <s v="Not Sampled"/>
    <s v="Not Sampled"/>
  </r>
  <r>
    <x v="3"/>
    <x v="8"/>
    <x v="24"/>
    <x v="13"/>
    <x v="0"/>
    <x v="17"/>
    <x v="480"/>
    <x v="34"/>
    <n v="0"/>
    <s v="Not Sampled"/>
    <n v="1177"/>
    <m/>
    <m/>
    <m/>
    <m/>
    <m/>
    <m/>
    <m/>
    <m/>
    <s v="Negative"/>
    <s v="Not Sampled"/>
    <s v="Not Sampled"/>
  </r>
  <r>
    <x v="2"/>
    <x v="48"/>
    <x v="19"/>
    <x v="35"/>
    <x v="170"/>
    <x v="176"/>
    <x v="188"/>
    <x v="4"/>
    <n v="0"/>
    <n v="0"/>
    <n v="1178"/>
    <m/>
    <m/>
    <m/>
    <m/>
    <m/>
    <m/>
    <m/>
    <m/>
    <s v="Negative"/>
    <s v="Negative"/>
    <s v="Accurate Prediction"/>
  </r>
  <r>
    <x v="2"/>
    <x v="133"/>
    <x v="3"/>
    <x v="30"/>
    <x v="177"/>
    <x v="17"/>
    <x v="284"/>
    <x v="8"/>
    <n v="1"/>
    <s v="Not Sampled"/>
    <n v="1179"/>
    <m/>
    <m/>
    <m/>
    <m/>
    <m/>
    <m/>
    <m/>
    <m/>
    <s v="Positive"/>
    <s v="Not Sampled"/>
    <s v="Not Sampled"/>
  </r>
  <r>
    <x v="7"/>
    <x v="17"/>
    <x v="24"/>
    <x v="8"/>
    <x v="16"/>
    <x v="44"/>
    <x v="240"/>
    <x v="8"/>
    <n v="0"/>
    <s v="Not Sampled"/>
    <n v="1180"/>
    <m/>
    <m/>
    <m/>
    <m/>
    <m/>
    <m/>
    <m/>
    <m/>
    <s v="Negative"/>
    <s v="Not Sampled"/>
    <s v="Not Sampled"/>
  </r>
  <r>
    <x v="2"/>
    <x v="31"/>
    <x v="41"/>
    <x v="2"/>
    <x v="0"/>
    <x v="10"/>
    <x v="481"/>
    <x v="10"/>
    <n v="0"/>
    <s v="Not Sampled"/>
    <n v="1181"/>
    <m/>
    <m/>
    <m/>
    <m/>
    <m/>
    <m/>
    <m/>
    <m/>
    <s v="Negative"/>
    <s v="Not Sampled"/>
    <s v="Not Sampled"/>
  </r>
  <r>
    <x v="3"/>
    <x v="56"/>
    <x v="4"/>
    <x v="32"/>
    <x v="0"/>
    <x v="121"/>
    <x v="183"/>
    <x v="19"/>
    <n v="0"/>
    <s v="Not Sampled"/>
    <n v="1182"/>
    <m/>
    <m/>
    <m/>
    <m/>
    <m/>
    <m/>
    <m/>
    <m/>
    <s v="Negative"/>
    <s v="Not Sampled"/>
    <s v="Not Sampled"/>
  </r>
  <r>
    <x v="2"/>
    <x v="113"/>
    <x v="4"/>
    <x v="30"/>
    <x v="105"/>
    <x v="164"/>
    <x v="116"/>
    <x v="14"/>
    <n v="0"/>
    <s v="Not Sampled"/>
    <n v="1183"/>
    <m/>
    <m/>
    <m/>
    <m/>
    <m/>
    <m/>
    <m/>
    <m/>
    <s v="Negative"/>
    <s v="Not Sampled"/>
    <s v="Not Sampled"/>
  </r>
  <r>
    <x v="1"/>
    <x v="47"/>
    <x v="16"/>
    <x v="16"/>
    <x v="0"/>
    <x v="68"/>
    <x v="262"/>
    <x v="11"/>
    <n v="0"/>
    <n v="0"/>
    <n v="1184"/>
    <m/>
    <m/>
    <m/>
    <m/>
    <m/>
    <m/>
    <m/>
    <m/>
    <s v="Negative"/>
    <s v="Negative"/>
    <s v="Accurate Prediction"/>
  </r>
  <r>
    <x v="0"/>
    <x v="122"/>
    <x v="21"/>
    <x v="2"/>
    <x v="0"/>
    <x v="123"/>
    <x v="259"/>
    <x v="11"/>
    <n v="0"/>
    <s v="Not Sampled"/>
    <n v="1185"/>
    <m/>
    <m/>
    <m/>
    <m/>
    <m/>
    <m/>
    <m/>
    <m/>
    <s v="Negative"/>
    <s v="Not Sampled"/>
    <s v="Not Sampled"/>
  </r>
  <r>
    <x v="0"/>
    <x v="66"/>
    <x v="33"/>
    <x v="2"/>
    <x v="0"/>
    <x v="15"/>
    <x v="425"/>
    <x v="11"/>
    <n v="0"/>
    <s v="Not Sampled"/>
    <n v="1186"/>
    <m/>
    <m/>
    <m/>
    <m/>
    <m/>
    <m/>
    <m/>
    <m/>
    <s v="Negative"/>
    <s v="Not Sampled"/>
    <s v="Not Sampled"/>
  </r>
  <r>
    <x v="5"/>
    <x v="23"/>
    <x v="4"/>
    <x v="17"/>
    <x v="11"/>
    <x v="109"/>
    <x v="91"/>
    <x v="34"/>
    <n v="1"/>
    <s v="Not Sampled"/>
    <n v="1187"/>
    <m/>
    <m/>
    <m/>
    <m/>
    <m/>
    <m/>
    <m/>
    <m/>
    <s v="Positive"/>
    <s v="Not Sampled"/>
    <s v="Not Sampled"/>
  </r>
  <r>
    <x v="4"/>
    <x v="24"/>
    <x v="24"/>
    <x v="2"/>
    <x v="0"/>
    <x v="109"/>
    <x v="247"/>
    <x v="11"/>
    <n v="1"/>
    <s v="Not Sampled"/>
    <n v="1188"/>
    <m/>
    <m/>
    <m/>
    <m/>
    <m/>
    <m/>
    <m/>
    <m/>
    <s v="Positive"/>
    <s v="Not Sampled"/>
    <s v="Not Sampled"/>
  </r>
  <r>
    <x v="0"/>
    <x v="129"/>
    <x v="21"/>
    <x v="18"/>
    <x v="77"/>
    <x v="235"/>
    <x v="482"/>
    <x v="3"/>
    <n v="1"/>
    <n v="1"/>
    <n v="1189"/>
    <m/>
    <m/>
    <m/>
    <m/>
    <m/>
    <m/>
    <m/>
    <m/>
    <s v="Positive"/>
    <s v="Positive"/>
    <s v="Accurate Prediction"/>
  </r>
  <r>
    <x v="0"/>
    <x v="33"/>
    <x v="20"/>
    <x v="21"/>
    <x v="134"/>
    <x v="55"/>
    <x v="483"/>
    <x v="11"/>
    <n v="0"/>
    <s v="Not Sampled"/>
    <n v="1190"/>
    <m/>
    <m/>
    <m/>
    <m/>
    <m/>
    <m/>
    <m/>
    <m/>
    <s v="Negative"/>
    <s v="Not Sampled"/>
    <s v="Not Sampled"/>
  </r>
  <r>
    <x v="0"/>
    <x v="38"/>
    <x v="25"/>
    <x v="2"/>
    <x v="0"/>
    <x v="239"/>
    <x v="484"/>
    <x v="49"/>
    <n v="0"/>
    <s v="Not Sampled"/>
    <n v="1191"/>
    <m/>
    <m/>
    <m/>
    <m/>
    <m/>
    <m/>
    <m/>
    <m/>
    <s v="Negative"/>
    <s v="Not Sampled"/>
    <s v="Not Sampled"/>
  </r>
  <r>
    <x v="3"/>
    <x v="50"/>
    <x v="12"/>
    <x v="5"/>
    <x v="0"/>
    <x v="110"/>
    <x v="223"/>
    <x v="6"/>
    <n v="0"/>
    <s v="Not Sampled"/>
    <n v="1192"/>
    <m/>
    <m/>
    <m/>
    <m/>
    <m/>
    <m/>
    <m/>
    <m/>
    <s v="Negative"/>
    <s v="Not Sampled"/>
    <s v="Not Sampled"/>
  </r>
  <r>
    <x v="1"/>
    <x v="51"/>
    <x v="24"/>
    <x v="21"/>
    <x v="77"/>
    <x v="41"/>
    <x v="485"/>
    <x v="4"/>
    <n v="0"/>
    <s v="Not Sampled"/>
    <n v="1193"/>
    <m/>
    <m/>
    <m/>
    <m/>
    <m/>
    <m/>
    <m/>
    <m/>
    <s v="Negative"/>
    <s v="Not Sampled"/>
    <s v="Not Sampled"/>
  </r>
  <r>
    <x v="4"/>
    <x v="134"/>
    <x v="5"/>
    <x v="17"/>
    <x v="0"/>
    <x v="61"/>
    <x v="364"/>
    <x v="8"/>
    <n v="0"/>
    <s v="Not Sampled"/>
    <n v="1194"/>
    <m/>
    <m/>
    <m/>
    <m/>
    <m/>
    <m/>
    <m/>
    <m/>
    <s v="Negative"/>
    <s v="Not Sampled"/>
    <s v="Not Sampled"/>
  </r>
  <r>
    <x v="0"/>
    <x v="6"/>
    <x v="12"/>
    <x v="6"/>
    <x v="69"/>
    <x v="69"/>
    <x v="486"/>
    <x v="4"/>
    <n v="0"/>
    <s v="Not Sampled"/>
    <n v="1195"/>
    <m/>
    <m/>
    <m/>
    <m/>
    <m/>
    <m/>
    <m/>
    <m/>
    <s v="Negative"/>
    <s v="Not Sampled"/>
    <s v="Not Sampled"/>
  </r>
  <r>
    <x v="2"/>
    <x v="29"/>
    <x v="10"/>
    <x v="2"/>
    <x v="0"/>
    <x v="100"/>
    <x v="209"/>
    <x v="8"/>
    <n v="1"/>
    <s v="Not Sampled"/>
    <n v="1196"/>
    <m/>
    <m/>
    <m/>
    <m/>
    <m/>
    <m/>
    <m/>
    <m/>
    <s v="Positive"/>
    <s v="Not Sampled"/>
    <s v="Not Sampled"/>
  </r>
  <r>
    <x v="12"/>
    <x v="24"/>
    <x v="6"/>
    <x v="18"/>
    <x v="90"/>
    <x v="3"/>
    <x v="487"/>
    <x v="27"/>
    <n v="1"/>
    <s v="Not Sampled"/>
    <n v="1197"/>
    <m/>
    <m/>
    <m/>
    <m/>
    <m/>
    <m/>
    <m/>
    <m/>
    <s v="Positive"/>
    <s v="Not Sampled"/>
    <s v="Not Sampled"/>
  </r>
  <r>
    <x v="5"/>
    <x v="29"/>
    <x v="27"/>
    <x v="28"/>
    <x v="48"/>
    <x v="98"/>
    <x v="415"/>
    <x v="25"/>
    <n v="0"/>
    <n v="0"/>
    <n v="1198"/>
    <m/>
    <m/>
    <m/>
    <m/>
    <m/>
    <m/>
    <m/>
    <m/>
    <s v="Negative"/>
    <s v="Negative"/>
    <s v="Accurate Prediction"/>
  </r>
  <r>
    <x v="2"/>
    <x v="49"/>
    <x v="22"/>
    <x v="10"/>
    <x v="93"/>
    <x v="218"/>
    <x v="332"/>
    <x v="11"/>
    <n v="0"/>
    <s v="Not Sampled"/>
    <n v="1199"/>
    <m/>
    <m/>
    <m/>
    <m/>
    <m/>
    <m/>
    <m/>
    <m/>
    <s v="Negative"/>
    <s v="Not Sampled"/>
    <s v="Not Sampled"/>
  </r>
  <r>
    <x v="11"/>
    <x v="98"/>
    <x v="41"/>
    <x v="2"/>
    <x v="0"/>
    <x v="112"/>
    <x v="488"/>
    <x v="10"/>
    <n v="1"/>
    <s v="Not Sampled"/>
    <n v="1200"/>
    <m/>
    <m/>
    <m/>
    <m/>
    <m/>
    <m/>
    <m/>
    <m/>
    <s v="Positive"/>
    <s v="Not Sampled"/>
    <s v="Not Sampled"/>
  </r>
  <r>
    <x v="13"/>
    <x v="85"/>
    <x v="21"/>
    <x v="18"/>
    <x v="32"/>
    <x v="102"/>
    <x v="489"/>
    <x v="16"/>
    <n v="0"/>
    <s v="Not Sampled"/>
    <n v="1201"/>
    <m/>
    <m/>
    <m/>
    <m/>
    <m/>
    <m/>
    <m/>
    <m/>
    <s v="Negative"/>
    <s v="Not Sampled"/>
    <s v="Not Sampled"/>
  </r>
  <r>
    <x v="10"/>
    <x v="45"/>
    <x v="16"/>
    <x v="12"/>
    <x v="16"/>
    <x v="135"/>
    <x v="490"/>
    <x v="22"/>
    <n v="0"/>
    <s v="Not Sampled"/>
    <n v="1202"/>
    <m/>
    <m/>
    <m/>
    <m/>
    <m/>
    <m/>
    <m/>
    <m/>
    <s v="Negative"/>
    <s v="Not Sampled"/>
    <s v="Not Sampled"/>
  </r>
  <r>
    <x v="2"/>
    <x v="83"/>
    <x v="41"/>
    <x v="4"/>
    <x v="0"/>
    <x v="240"/>
    <x v="491"/>
    <x v="23"/>
    <n v="1"/>
    <s v="Not Sampled"/>
    <n v="1203"/>
    <m/>
    <m/>
    <m/>
    <m/>
    <m/>
    <m/>
    <m/>
    <m/>
    <s v="Positive"/>
    <s v="Not Sampled"/>
    <s v="Not Sampled"/>
  </r>
  <r>
    <x v="2"/>
    <x v="14"/>
    <x v="10"/>
    <x v="4"/>
    <x v="92"/>
    <x v="241"/>
    <x v="492"/>
    <x v="32"/>
    <n v="0"/>
    <n v="0"/>
    <n v="1204"/>
    <m/>
    <m/>
    <m/>
    <m/>
    <m/>
    <m/>
    <m/>
    <m/>
    <s v="Negative"/>
    <s v="Negative"/>
    <s v="Accurate Prediction"/>
  </r>
  <r>
    <x v="5"/>
    <x v="44"/>
    <x v="9"/>
    <x v="29"/>
    <x v="170"/>
    <x v="217"/>
    <x v="493"/>
    <x v="31"/>
    <n v="1"/>
    <n v="1"/>
    <n v="1205"/>
    <m/>
    <m/>
    <m/>
    <m/>
    <m/>
    <m/>
    <m/>
    <m/>
    <s v="Positive"/>
    <s v="Positive"/>
    <s v="Accurate Prediction"/>
  </r>
  <r>
    <x v="6"/>
    <x v="76"/>
    <x v="0"/>
    <x v="2"/>
    <x v="0"/>
    <x v="122"/>
    <x v="81"/>
    <x v="48"/>
    <n v="1"/>
    <s v="Not Sampled"/>
    <n v="1206"/>
    <m/>
    <m/>
    <m/>
    <m/>
    <m/>
    <m/>
    <m/>
    <m/>
    <s v="Positive"/>
    <s v="Not Sampled"/>
    <s v="Not Sampled"/>
  </r>
  <r>
    <x v="3"/>
    <x v="60"/>
    <x v="9"/>
    <x v="2"/>
    <x v="0"/>
    <x v="84"/>
    <x v="494"/>
    <x v="11"/>
    <n v="1"/>
    <s v="Not Sampled"/>
    <n v="1207"/>
    <m/>
    <m/>
    <m/>
    <m/>
    <m/>
    <m/>
    <m/>
    <m/>
    <s v="Positive"/>
    <s v="Not Sampled"/>
    <s v="Not Sampled"/>
  </r>
  <r>
    <x v="2"/>
    <x v="126"/>
    <x v="4"/>
    <x v="15"/>
    <x v="97"/>
    <x v="20"/>
    <x v="86"/>
    <x v="6"/>
    <n v="0"/>
    <s v="Not Sampled"/>
    <n v="1208"/>
    <m/>
    <m/>
    <m/>
    <m/>
    <m/>
    <m/>
    <m/>
    <m/>
    <s v="Negative"/>
    <s v="Not Sampled"/>
    <s v="Not Sampled"/>
  </r>
  <r>
    <x v="5"/>
    <x v="81"/>
    <x v="0"/>
    <x v="20"/>
    <x v="0"/>
    <x v="14"/>
    <x v="110"/>
    <x v="14"/>
    <n v="0"/>
    <s v="Not Sampled"/>
    <n v="1209"/>
    <m/>
    <m/>
    <m/>
    <m/>
    <m/>
    <m/>
    <m/>
    <m/>
    <s v="Negative"/>
    <s v="Not Sampled"/>
    <s v="Not Sampled"/>
  </r>
  <r>
    <x v="1"/>
    <x v="94"/>
    <x v="21"/>
    <x v="38"/>
    <x v="178"/>
    <x v="165"/>
    <x v="495"/>
    <x v="25"/>
    <n v="1"/>
    <n v="1"/>
    <n v="1210"/>
    <m/>
    <m/>
    <m/>
    <m/>
    <m/>
    <m/>
    <m/>
    <m/>
    <s v="Positive"/>
    <s v="Positive"/>
    <s v="Accurate Prediction"/>
  </r>
  <r>
    <x v="4"/>
    <x v="16"/>
    <x v="4"/>
    <x v="5"/>
    <x v="0"/>
    <x v="68"/>
    <x v="85"/>
    <x v="10"/>
    <n v="1"/>
    <n v="1"/>
    <n v="1211"/>
    <m/>
    <m/>
    <m/>
    <m/>
    <m/>
    <m/>
    <m/>
    <m/>
    <s v="Positive"/>
    <s v="Positive"/>
    <s v="Accurate Prediction"/>
  </r>
  <r>
    <x v="2"/>
    <x v="80"/>
    <x v="21"/>
    <x v="15"/>
    <x v="27"/>
    <x v="23"/>
    <x v="496"/>
    <x v="26"/>
    <n v="1"/>
    <s v="Not Sampled"/>
    <n v="1212"/>
    <m/>
    <m/>
    <m/>
    <m/>
    <m/>
    <m/>
    <m/>
    <m/>
    <s v="Positive"/>
    <s v="Not Sampled"/>
    <s v="Not Sampled"/>
  </r>
  <r>
    <x v="8"/>
    <x v="59"/>
    <x v="8"/>
    <x v="4"/>
    <x v="0"/>
    <x v="61"/>
    <x v="73"/>
    <x v="16"/>
    <n v="0"/>
    <s v="Not Sampled"/>
    <n v="1213"/>
    <m/>
    <m/>
    <m/>
    <m/>
    <m/>
    <m/>
    <m/>
    <m/>
    <s v="Negative"/>
    <s v="Not Sampled"/>
    <s v="Not Sampled"/>
  </r>
  <r>
    <x v="1"/>
    <x v="62"/>
    <x v="5"/>
    <x v="2"/>
    <x v="0"/>
    <x v="153"/>
    <x v="61"/>
    <x v="41"/>
    <n v="1"/>
    <s v="Not Sampled"/>
    <n v="1214"/>
    <m/>
    <m/>
    <m/>
    <m/>
    <m/>
    <m/>
    <m/>
    <m/>
    <s v="Positive"/>
    <s v="Not Sampled"/>
    <s v="Not Sampled"/>
  </r>
  <r>
    <x v="2"/>
    <x v="33"/>
    <x v="15"/>
    <x v="2"/>
    <x v="0"/>
    <x v="129"/>
    <x v="269"/>
    <x v="25"/>
    <n v="0"/>
    <n v="0"/>
    <n v="1215"/>
    <m/>
    <m/>
    <m/>
    <m/>
    <m/>
    <m/>
    <m/>
    <m/>
    <s v="Negative"/>
    <s v="Negative"/>
    <s v="Accurate Prediction"/>
  </r>
  <r>
    <x v="6"/>
    <x v="135"/>
    <x v="17"/>
    <x v="2"/>
    <x v="0"/>
    <x v="130"/>
    <x v="115"/>
    <x v="12"/>
    <n v="1"/>
    <s v="Not Sampled"/>
    <n v="1216"/>
    <m/>
    <m/>
    <m/>
    <m/>
    <m/>
    <m/>
    <m/>
    <m/>
    <s v="Positive"/>
    <s v="Not Sampled"/>
    <s v="Not Sampled"/>
  </r>
  <r>
    <x v="0"/>
    <x v="40"/>
    <x v="22"/>
    <x v="16"/>
    <x v="179"/>
    <x v="109"/>
    <x v="497"/>
    <x v="11"/>
    <n v="0"/>
    <s v="Not Sampled"/>
    <n v="1217"/>
    <m/>
    <m/>
    <m/>
    <m/>
    <m/>
    <m/>
    <m/>
    <m/>
    <s v="Negative"/>
    <s v="Not Sampled"/>
    <s v="Not Sampled"/>
  </r>
  <r>
    <x v="11"/>
    <x v="79"/>
    <x v="10"/>
    <x v="1"/>
    <x v="0"/>
    <x v="143"/>
    <x v="118"/>
    <x v="33"/>
    <n v="1"/>
    <s v="Not Sampled"/>
    <n v="1218"/>
    <m/>
    <m/>
    <m/>
    <m/>
    <m/>
    <m/>
    <m/>
    <m/>
    <s v="Positive"/>
    <s v="Not Sampled"/>
    <s v="Not Sampled"/>
  </r>
  <r>
    <x v="11"/>
    <x v="9"/>
    <x v="0"/>
    <x v="2"/>
    <x v="0"/>
    <x v="79"/>
    <x v="173"/>
    <x v="9"/>
    <n v="0"/>
    <n v="0"/>
    <n v="1219"/>
    <m/>
    <m/>
    <m/>
    <m/>
    <m/>
    <m/>
    <m/>
    <m/>
    <s v="Negative"/>
    <s v="Negative"/>
    <s v="Accurate Prediction"/>
  </r>
  <r>
    <x v="9"/>
    <x v="39"/>
    <x v="15"/>
    <x v="46"/>
    <x v="105"/>
    <x v="35"/>
    <x v="498"/>
    <x v="44"/>
    <n v="0"/>
    <s v="Not Sampled"/>
    <n v="1220"/>
    <m/>
    <m/>
    <m/>
    <m/>
    <m/>
    <m/>
    <m/>
    <m/>
    <s v="Negative"/>
    <s v="Not Sampled"/>
    <s v="Not Sampled"/>
  </r>
  <r>
    <x v="0"/>
    <x v="27"/>
    <x v="9"/>
    <x v="21"/>
    <x v="0"/>
    <x v="8"/>
    <x v="250"/>
    <x v="23"/>
    <n v="0"/>
    <s v="Not Sampled"/>
    <n v="1221"/>
    <m/>
    <m/>
    <m/>
    <m/>
    <m/>
    <m/>
    <m/>
    <m/>
    <s v="Negative"/>
    <s v="Not Sampled"/>
    <s v="Not Sampled"/>
  </r>
  <r>
    <x v="7"/>
    <x v="126"/>
    <x v="5"/>
    <x v="17"/>
    <x v="180"/>
    <x v="173"/>
    <x v="404"/>
    <x v="13"/>
    <n v="0"/>
    <s v="Not Sampled"/>
    <n v="1222"/>
    <m/>
    <m/>
    <m/>
    <m/>
    <m/>
    <m/>
    <m/>
    <m/>
    <s v="Negative"/>
    <s v="Not Sampled"/>
    <s v="Not Sampled"/>
  </r>
  <r>
    <x v="2"/>
    <x v="51"/>
    <x v="12"/>
    <x v="2"/>
    <x v="0"/>
    <x v="15"/>
    <x v="284"/>
    <x v="0"/>
    <n v="1"/>
    <s v="Not Sampled"/>
    <n v="1223"/>
    <m/>
    <m/>
    <m/>
    <m/>
    <m/>
    <m/>
    <m/>
    <m/>
    <s v="Positive"/>
    <s v="Not Sampled"/>
    <s v="Not Sampled"/>
  </r>
  <r>
    <x v="2"/>
    <x v="67"/>
    <x v="9"/>
    <x v="1"/>
    <x v="0"/>
    <x v="25"/>
    <x v="265"/>
    <x v="1"/>
    <n v="0"/>
    <s v="Not Sampled"/>
    <n v="1224"/>
    <m/>
    <m/>
    <m/>
    <m/>
    <m/>
    <m/>
    <m/>
    <m/>
    <s v="Negative"/>
    <s v="Not Sampled"/>
    <s v="Not Sampled"/>
  </r>
  <r>
    <x v="16"/>
    <x v="45"/>
    <x v="4"/>
    <x v="14"/>
    <x v="101"/>
    <x v="69"/>
    <x v="255"/>
    <x v="22"/>
    <n v="1"/>
    <n v="0"/>
    <n v="1225"/>
    <m/>
    <m/>
    <m/>
    <m/>
    <m/>
    <m/>
    <m/>
    <m/>
    <s v="Positive"/>
    <s v="Negative"/>
    <s v="Inaccurate Prediction"/>
  </r>
  <r>
    <x v="4"/>
    <x v="56"/>
    <x v="5"/>
    <x v="2"/>
    <x v="0"/>
    <x v="139"/>
    <x v="256"/>
    <x v="5"/>
    <n v="0"/>
    <s v="Not Sampled"/>
    <n v="1226"/>
    <m/>
    <m/>
    <m/>
    <m/>
    <m/>
    <m/>
    <m/>
    <m/>
    <s v="Negative"/>
    <s v="Not Sampled"/>
    <s v="Not Sampled"/>
  </r>
  <r>
    <x v="1"/>
    <x v="107"/>
    <x v="2"/>
    <x v="2"/>
    <x v="0"/>
    <x v="167"/>
    <x v="16"/>
    <x v="13"/>
    <n v="1"/>
    <n v="1"/>
    <n v="1227"/>
    <m/>
    <m/>
    <m/>
    <m/>
    <m/>
    <m/>
    <m/>
    <m/>
    <s v="Positive"/>
    <s v="Positive"/>
    <s v="Accurate Prediction"/>
  </r>
  <r>
    <x v="0"/>
    <x v="65"/>
    <x v="22"/>
    <x v="12"/>
    <x v="42"/>
    <x v="31"/>
    <x v="239"/>
    <x v="14"/>
    <n v="1"/>
    <n v="0"/>
    <n v="1228"/>
    <m/>
    <m/>
    <m/>
    <m/>
    <m/>
    <m/>
    <m/>
    <m/>
    <s v="Positive"/>
    <s v="Negative"/>
    <s v="Inaccurate Prediction"/>
  </r>
  <r>
    <x v="7"/>
    <x v="108"/>
    <x v="1"/>
    <x v="4"/>
    <x v="102"/>
    <x v="134"/>
    <x v="257"/>
    <x v="20"/>
    <n v="0"/>
    <s v="Not Sampled"/>
    <n v="1229"/>
    <m/>
    <m/>
    <m/>
    <m/>
    <m/>
    <m/>
    <m/>
    <m/>
    <s v="Negative"/>
    <s v="Not Sampled"/>
    <s v="Not Sampled"/>
  </r>
  <r>
    <x v="7"/>
    <x v="109"/>
    <x v="34"/>
    <x v="2"/>
    <x v="0"/>
    <x v="168"/>
    <x v="200"/>
    <x v="6"/>
    <n v="1"/>
    <n v="1"/>
    <n v="1230"/>
    <m/>
    <m/>
    <m/>
    <m/>
    <m/>
    <m/>
    <m/>
    <m/>
    <s v="Positive"/>
    <s v="Positive"/>
    <s v="Accurate Prediction"/>
  </r>
  <r>
    <x v="5"/>
    <x v="42"/>
    <x v="15"/>
    <x v="2"/>
    <x v="0"/>
    <x v="169"/>
    <x v="28"/>
    <x v="26"/>
    <n v="0"/>
    <n v="0"/>
    <n v="1231"/>
    <m/>
    <m/>
    <m/>
    <m/>
    <m/>
    <m/>
    <m/>
    <m/>
    <s v="Negative"/>
    <s v="Negative"/>
    <s v="Accurate Prediction"/>
  </r>
  <r>
    <x v="0"/>
    <x v="24"/>
    <x v="15"/>
    <x v="18"/>
    <x v="16"/>
    <x v="170"/>
    <x v="258"/>
    <x v="29"/>
    <n v="0"/>
    <s v="Not Sampled"/>
    <n v="1232"/>
    <m/>
    <m/>
    <m/>
    <m/>
    <m/>
    <m/>
    <m/>
    <m/>
    <s v="Negative"/>
    <s v="Not Sampled"/>
    <s v="Not Sampled"/>
  </r>
  <r>
    <x v="9"/>
    <x v="106"/>
    <x v="3"/>
    <x v="17"/>
    <x v="103"/>
    <x v="171"/>
    <x v="259"/>
    <x v="0"/>
    <n v="1"/>
    <s v="Not Sampled"/>
    <n v="1233"/>
    <m/>
    <m/>
    <m/>
    <m/>
    <m/>
    <m/>
    <m/>
    <m/>
    <s v="Positive"/>
    <s v="Not Sampled"/>
    <s v="Not Sampled"/>
  </r>
  <r>
    <x v="1"/>
    <x v="59"/>
    <x v="3"/>
    <x v="36"/>
    <x v="104"/>
    <x v="172"/>
    <x v="221"/>
    <x v="4"/>
    <n v="0"/>
    <s v="Not Sampled"/>
    <n v="1234"/>
    <m/>
    <m/>
    <m/>
    <m/>
    <m/>
    <m/>
    <m/>
    <m/>
    <s v="Negative"/>
    <s v="Not Sampled"/>
    <s v="Not Sampled"/>
  </r>
  <r>
    <x v="1"/>
    <x v="80"/>
    <x v="3"/>
    <x v="13"/>
    <x v="105"/>
    <x v="85"/>
    <x v="260"/>
    <x v="14"/>
    <n v="1"/>
    <s v="Not Sampled"/>
    <n v="1235"/>
    <m/>
    <m/>
    <m/>
    <m/>
    <m/>
    <m/>
    <m/>
    <m/>
    <s v="Positive"/>
    <s v="Not Sampled"/>
    <s v="Not Sampled"/>
  </r>
  <r>
    <x v="0"/>
    <x v="73"/>
    <x v="3"/>
    <x v="7"/>
    <x v="106"/>
    <x v="35"/>
    <x v="261"/>
    <x v="13"/>
    <n v="1"/>
    <s v="Not Sampled"/>
    <n v="1236"/>
    <m/>
    <m/>
    <m/>
    <m/>
    <m/>
    <m/>
    <m/>
    <m/>
    <s v="Positive"/>
    <s v="Not Sampled"/>
    <s v="Not Sampled"/>
  </r>
  <r>
    <x v="6"/>
    <x v="11"/>
    <x v="19"/>
    <x v="8"/>
    <x v="0"/>
    <x v="173"/>
    <x v="17"/>
    <x v="17"/>
    <n v="0"/>
    <n v="0"/>
    <n v="1237"/>
    <m/>
    <m/>
    <m/>
    <m/>
    <m/>
    <m/>
    <m/>
    <m/>
    <s v="Negative"/>
    <s v="Negative"/>
    <s v="Accurate Prediction"/>
  </r>
  <r>
    <x v="1"/>
    <x v="33"/>
    <x v="9"/>
    <x v="18"/>
    <x v="104"/>
    <x v="121"/>
    <x v="186"/>
    <x v="11"/>
    <n v="0"/>
    <s v="Not Sampled"/>
    <n v="1238"/>
    <m/>
    <m/>
    <m/>
    <m/>
    <m/>
    <m/>
    <m/>
    <m/>
    <s v="Negative"/>
    <s v="Not Sampled"/>
    <s v="Not Sampled"/>
  </r>
  <r>
    <x v="0"/>
    <x v="70"/>
    <x v="10"/>
    <x v="6"/>
    <x v="107"/>
    <x v="13"/>
    <x v="262"/>
    <x v="23"/>
    <n v="1"/>
    <s v="Not Sampled"/>
    <n v="1239"/>
    <m/>
    <m/>
    <m/>
    <m/>
    <m/>
    <m/>
    <m/>
    <m/>
    <s v="Positive"/>
    <s v="Not Sampled"/>
    <s v="Not Sampled"/>
  </r>
  <r>
    <x v="5"/>
    <x v="57"/>
    <x v="13"/>
    <x v="25"/>
    <x v="108"/>
    <x v="81"/>
    <x v="263"/>
    <x v="14"/>
    <n v="0"/>
    <s v="Not Sampled"/>
    <n v="1240"/>
    <m/>
    <m/>
    <m/>
    <m/>
    <m/>
    <m/>
    <m/>
    <m/>
    <s v="Negative"/>
    <s v="Not Sampled"/>
    <s v="Not Sampled"/>
  </r>
  <r>
    <x v="8"/>
    <x v="49"/>
    <x v="6"/>
    <x v="1"/>
    <x v="0"/>
    <x v="117"/>
    <x v="264"/>
    <x v="33"/>
    <n v="1"/>
    <s v="Not Sampled"/>
    <n v="1241"/>
    <m/>
    <m/>
    <m/>
    <m/>
    <m/>
    <m/>
    <m/>
    <m/>
    <s v="Positive"/>
    <s v="Not Sampled"/>
    <s v="Not Sampled"/>
  </r>
  <r>
    <x v="0"/>
    <x v="56"/>
    <x v="3"/>
    <x v="29"/>
    <x v="48"/>
    <x v="174"/>
    <x v="265"/>
    <x v="25"/>
    <n v="0"/>
    <s v="Not Sampled"/>
    <n v="1242"/>
    <m/>
    <m/>
    <m/>
    <m/>
    <m/>
    <m/>
    <m/>
    <m/>
    <s v="Negative"/>
    <s v="Not Sampled"/>
    <s v="Not Sampled"/>
  </r>
  <r>
    <x v="5"/>
    <x v="6"/>
    <x v="6"/>
    <x v="22"/>
    <x v="36"/>
    <x v="175"/>
    <x v="223"/>
    <x v="13"/>
    <n v="0"/>
    <n v="0"/>
    <n v="1243"/>
    <m/>
    <m/>
    <m/>
    <m/>
    <m/>
    <m/>
    <m/>
    <m/>
    <s v="Negative"/>
    <s v="Negative"/>
    <s v="Accurate Prediction"/>
  </r>
  <r>
    <x v="5"/>
    <x v="110"/>
    <x v="10"/>
    <x v="2"/>
    <x v="0"/>
    <x v="85"/>
    <x v="266"/>
    <x v="29"/>
    <n v="1"/>
    <n v="1"/>
    <n v="1244"/>
    <m/>
    <m/>
    <m/>
    <m/>
    <m/>
    <m/>
    <m/>
    <m/>
    <s v="Positive"/>
    <s v="Positive"/>
    <s v="Accurate Prediction"/>
  </r>
  <r>
    <x v="5"/>
    <x v="109"/>
    <x v="19"/>
    <x v="15"/>
    <x v="32"/>
    <x v="176"/>
    <x v="181"/>
    <x v="6"/>
    <n v="0"/>
    <s v="Not Sampled"/>
    <n v="1245"/>
    <m/>
    <m/>
    <m/>
    <m/>
    <m/>
    <m/>
    <m/>
    <m/>
    <s v="Negative"/>
    <s v="Not Sampled"/>
    <s v="Not Sampled"/>
  </r>
  <r>
    <x v="6"/>
    <x v="7"/>
    <x v="4"/>
    <x v="2"/>
    <x v="0"/>
    <x v="177"/>
    <x v="267"/>
    <x v="45"/>
    <n v="1"/>
    <n v="1"/>
    <n v="1246"/>
    <m/>
    <m/>
    <m/>
    <m/>
    <m/>
    <m/>
    <m/>
    <m/>
    <s v="Positive"/>
    <s v="Positive"/>
    <s v="Accurate Prediction"/>
  </r>
  <r>
    <x v="3"/>
    <x v="52"/>
    <x v="12"/>
    <x v="39"/>
    <x v="109"/>
    <x v="155"/>
    <x v="268"/>
    <x v="2"/>
    <n v="0"/>
    <n v="0"/>
    <n v="1247"/>
    <m/>
    <m/>
    <m/>
    <m/>
    <m/>
    <m/>
    <m/>
    <m/>
    <s v="Negative"/>
    <s v="Negative"/>
    <s v="Accurate Prediction"/>
  </r>
  <r>
    <x v="5"/>
    <x v="56"/>
    <x v="10"/>
    <x v="8"/>
    <x v="0"/>
    <x v="31"/>
    <x v="269"/>
    <x v="14"/>
    <n v="1"/>
    <s v="Not Sampled"/>
    <n v="1248"/>
    <m/>
    <m/>
    <m/>
    <m/>
    <m/>
    <m/>
    <m/>
    <m/>
    <s v="Positive"/>
    <s v="Not Sampled"/>
    <s v="Not Sampled"/>
  </r>
  <r>
    <x v="1"/>
    <x v="73"/>
    <x v="9"/>
    <x v="28"/>
    <x v="0"/>
    <x v="41"/>
    <x v="54"/>
    <x v="31"/>
    <n v="1"/>
    <s v="Not Sampled"/>
    <n v="1249"/>
    <m/>
    <m/>
    <m/>
    <m/>
    <m/>
    <m/>
    <m/>
    <m/>
    <s v="Positive"/>
    <s v="Not Sampled"/>
    <s v="Not Sampled"/>
  </r>
  <r>
    <x v="13"/>
    <x v="87"/>
    <x v="8"/>
    <x v="12"/>
    <x v="110"/>
    <x v="90"/>
    <x v="270"/>
    <x v="33"/>
    <n v="1"/>
    <s v="Not Sampled"/>
    <n v="1250"/>
    <m/>
    <m/>
    <m/>
    <m/>
    <m/>
    <m/>
    <m/>
    <m/>
    <s v="Positive"/>
    <s v="Not Sampled"/>
    <s v="Not Sampled"/>
  </r>
  <r>
    <x v="0"/>
    <x v="56"/>
    <x v="25"/>
    <x v="5"/>
    <x v="0"/>
    <x v="140"/>
    <x v="271"/>
    <x v="4"/>
    <n v="0"/>
    <s v="Not Sampled"/>
    <n v="1251"/>
    <m/>
    <m/>
    <m/>
    <m/>
    <m/>
    <m/>
    <m/>
    <m/>
    <s v="Negative"/>
    <s v="Not Sampled"/>
    <s v="Not Sampled"/>
  </r>
  <r>
    <x v="2"/>
    <x v="111"/>
    <x v="5"/>
    <x v="23"/>
    <x v="49"/>
    <x v="6"/>
    <x v="272"/>
    <x v="3"/>
    <n v="0"/>
    <s v="Not Sampled"/>
    <n v="1252"/>
    <m/>
    <m/>
    <m/>
    <m/>
    <m/>
    <m/>
    <m/>
    <m/>
    <s v="Negative"/>
    <s v="Not Sampled"/>
    <s v="Not Sampled"/>
  </r>
  <r>
    <x v="2"/>
    <x v="27"/>
    <x v="11"/>
    <x v="5"/>
    <x v="64"/>
    <x v="60"/>
    <x v="24"/>
    <x v="13"/>
    <n v="1"/>
    <s v="Not Sampled"/>
    <n v="1253"/>
    <m/>
    <m/>
    <m/>
    <m/>
    <m/>
    <m/>
    <m/>
    <m/>
    <s v="Positive"/>
    <s v="Not Sampled"/>
    <s v="Not Sampled"/>
  </r>
  <r>
    <x v="9"/>
    <x v="91"/>
    <x v="9"/>
    <x v="2"/>
    <x v="0"/>
    <x v="60"/>
    <x v="29"/>
    <x v="26"/>
    <n v="0"/>
    <s v="Not Sampled"/>
    <n v="1254"/>
    <m/>
    <m/>
    <m/>
    <m/>
    <m/>
    <m/>
    <m/>
    <m/>
    <s v="Negative"/>
    <s v="Not Sampled"/>
    <s v="Not Sampled"/>
  </r>
  <r>
    <x v="0"/>
    <x v="29"/>
    <x v="24"/>
    <x v="35"/>
    <x v="77"/>
    <x v="178"/>
    <x v="0"/>
    <x v="1"/>
    <n v="1"/>
    <s v="Not Sampled"/>
    <n v="1255"/>
    <m/>
    <m/>
    <m/>
    <m/>
    <m/>
    <m/>
    <m/>
    <m/>
    <s v="Positive"/>
    <s v="Not Sampled"/>
    <s v="Not Sampled"/>
  </r>
  <r>
    <x v="6"/>
    <x v="67"/>
    <x v="13"/>
    <x v="8"/>
    <x v="36"/>
    <x v="77"/>
    <x v="92"/>
    <x v="1"/>
    <n v="0"/>
    <n v="0"/>
    <n v="1256"/>
    <m/>
    <m/>
    <m/>
    <m/>
    <m/>
    <m/>
    <m/>
    <m/>
    <s v="Negative"/>
    <s v="Negative"/>
    <s v="Accurate Prediction"/>
  </r>
  <r>
    <x v="2"/>
    <x v="27"/>
    <x v="8"/>
    <x v="33"/>
    <x v="38"/>
    <x v="78"/>
    <x v="93"/>
    <x v="2"/>
    <n v="1"/>
    <s v="Not Sampled"/>
    <n v="1257"/>
    <m/>
    <m/>
    <m/>
    <m/>
    <m/>
    <m/>
    <m/>
    <m/>
    <s v="Positive"/>
    <s v="Not Sampled"/>
    <s v="Not Sampled"/>
  </r>
  <r>
    <x v="2"/>
    <x v="26"/>
    <x v="5"/>
    <x v="2"/>
    <x v="0"/>
    <x v="20"/>
    <x v="94"/>
    <x v="9"/>
    <n v="1"/>
    <s v="Not Sampled"/>
    <n v="1258"/>
    <m/>
    <m/>
    <m/>
    <m/>
    <m/>
    <m/>
    <m/>
    <m/>
    <s v="Positive"/>
    <s v="Not Sampled"/>
    <s v="Not Sampled"/>
  </r>
  <r>
    <x v="2"/>
    <x v="68"/>
    <x v="12"/>
    <x v="2"/>
    <x v="0"/>
    <x v="7"/>
    <x v="95"/>
    <x v="11"/>
    <n v="0"/>
    <s v="Not Sampled"/>
    <n v="1259"/>
    <m/>
    <m/>
    <m/>
    <m/>
    <m/>
    <m/>
    <m/>
    <m/>
    <s v="Negative"/>
    <s v="Not Sampled"/>
    <s v="Not Sampled"/>
  </r>
  <r>
    <x v="1"/>
    <x v="10"/>
    <x v="30"/>
    <x v="2"/>
    <x v="0"/>
    <x v="79"/>
    <x v="96"/>
    <x v="4"/>
    <n v="0"/>
    <s v="Not Sampled"/>
    <n v="1260"/>
    <m/>
    <m/>
    <m/>
    <m/>
    <m/>
    <m/>
    <m/>
    <m/>
    <s v="Negative"/>
    <s v="Not Sampled"/>
    <s v="Not Sampled"/>
  </r>
  <r>
    <x v="2"/>
    <x v="14"/>
    <x v="5"/>
    <x v="10"/>
    <x v="39"/>
    <x v="13"/>
    <x v="97"/>
    <x v="3"/>
    <n v="0"/>
    <s v="Not Sampled"/>
    <n v="1261"/>
    <m/>
    <m/>
    <m/>
    <m/>
    <m/>
    <m/>
    <m/>
    <m/>
    <s v="Negative"/>
    <s v="Not Sampled"/>
    <s v="Not Sampled"/>
  </r>
  <r>
    <x v="0"/>
    <x v="69"/>
    <x v="7"/>
    <x v="2"/>
    <x v="0"/>
    <x v="80"/>
    <x v="98"/>
    <x v="23"/>
    <n v="0"/>
    <n v="0"/>
    <n v="1262"/>
    <m/>
    <m/>
    <m/>
    <m/>
    <m/>
    <m/>
    <m/>
    <m/>
    <s v="Negative"/>
    <s v="Negative"/>
    <s v="Accurate Prediction"/>
  </r>
  <r>
    <x v="2"/>
    <x v="51"/>
    <x v="20"/>
    <x v="30"/>
    <x v="40"/>
    <x v="77"/>
    <x v="99"/>
    <x v="4"/>
    <n v="0"/>
    <s v="Not Sampled"/>
    <n v="1263"/>
    <m/>
    <m/>
    <m/>
    <m/>
    <m/>
    <m/>
    <m/>
    <m/>
    <s v="Negative"/>
    <s v="Not Sampled"/>
    <s v="Not Sampled"/>
  </r>
  <r>
    <x v="2"/>
    <x v="20"/>
    <x v="31"/>
    <x v="2"/>
    <x v="0"/>
    <x v="65"/>
    <x v="28"/>
    <x v="23"/>
    <n v="0"/>
    <n v="0"/>
    <n v="1264"/>
    <m/>
    <m/>
    <m/>
    <m/>
    <m/>
    <m/>
    <m/>
    <m/>
    <s v="Negative"/>
    <s v="Negative"/>
    <s v="Accurate Prediction"/>
  </r>
  <r>
    <x v="3"/>
    <x v="65"/>
    <x v="22"/>
    <x v="7"/>
    <x v="32"/>
    <x v="81"/>
    <x v="100"/>
    <x v="26"/>
    <n v="0"/>
    <n v="0"/>
    <n v="1265"/>
    <m/>
    <m/>
    <m/>
    <m/>
    <m/>
    <m/>
    <m/>
    <m/>
    <s v="Negative"/>
    <s v="Negative"/>
    <s v="Accurate Prediction"/>
  </r>
  <r>
    <x v="5"/>
    <x v="8"/>
    <x v="22"/>
    <x v="1"/>
    <x v="41"/>
    <x v="82"/>
    <x v="101"/>
    <x v="14"/>
    <n v="0"/>
    <s v="Not Sampled"/>
    <n v="1266"/>
    <m/>
    <m/>
    <m/>
    <m/>
    <m/>
    <m/>
    <m/>
    <m/>
    <s v="Negative"/>
    <s v="Not Sampled"/>
    <s v="Not Sampled"/>
  </r>
  <r>
    <x v="1"/>
    <x v="50"/>
    <x v="23"/>
    <x v="14"/>
    <x v="22"/>
    <x v="83"/>
    <x v="102"/>
    <x v="3"/>
    <n v="1"/>
    <n v="0"/>
    <n v="1267"/>
    <m/>
    <m/>
    <m/>
    <m/>
    <m/>
    <m/>
    <m/>
    <m/>
    <s v="Positive"/>
    <s v="Negative"/>
    <s v="Inaccurate Prediction"/>
  </r>
  <r>
    <x v="5"/>
    <x v="34"/>
    <x v="5"/>
    <x v="12"/>
    <x v="42"/>
    <x v="21"/>
    <x v="103"/>
    <x v="3"/>
    <n v="1"/>
    <s v="Not Sampled"/>
    <n v="1268"/>
    <m/>
    <m/>
    <m/>
    <m/>
    <m/>
    <m/>
    <m/>
    <m/>
    <s v="Positive"/>
    <s v="Not Sampled"/>
    <s v="Not Sampled"/>
  </r>
  <r>
    <x v="4"/>
    <x v="70"/>
    <x v="0"/>
    <x v="16"/>
    <x v="43"/>
    <x v="37"/>
    <x v="104"/>
    <x v="22"/>
    <n v="1"/>
    <s v="Not Sampled"/>
    <n v="1269"/>
    <m/>
    <m/>
    <m/>
    <m/>
    <m/>
    <m/>
    <m/>
    <m/>
    <s v="Positive"/>
    <s v="Not Sampled"/>
    <s v="Not Sampled"/>
  </r>
  <r>
    <x v="2"/>
    <x v="9"/>
    <x v="15"/>
    <x v="24"/>
    <x v="44"/>
    <x v="84"/>
    <x v="105"/>
    <x v="1"/>
    <n v="0"/>
    <n v="0"/>
    <n v="1270"/>
    <m/>
    <m/>
    <m/>
    <m/>
    <m/>
    <m/>
    <m/>
    <m/>
    <s v="Negative"/>
    <s v="Negative"/>
    <s v="Accurate Prediction"/>
  </r>
  <r>
    <x v="3"/>
    <x v="71"/>
    <x v="0"/>
    <x v="2"/>
    <x v="0"/>
    <x v="37"/>
    <x v="73"/>
    <x v="14"/>
    <n v="0"/>
    <n v="0"/>
    <n v="1271"/>
    <m/>
    <m/>
    <m/>
    <m/>
    <m/>
    <m/>
    <m/>
    <m/>
    <s v="Negative"/>
    <s v="Negative"/>
    <s v="Accurate Prediction"/>
  </r>
  <r>
    <x v="8"/>
    <x v="72"/>
    <x v="14"/>
    <x v="5"/>
    <x v="45"/>
    <x v="85"/>
    <x v="106"/>
    <x v="16"/>
    <n v="1"/>
    <s v="Not Sampled"/>
    <n v="1272"/>
    <m/>
    <m/>
    <m/>
    <m/>
    <m/>
    <m/>
    <m/>
    <m/>
    <s v="Positive"/>
    <s v="Not Sampled"/>
    <s v="Not Sampled"/>
  </r>
  <r>
    <x v="3"/>
    <x v="36"/>
    <x v="17"/>
    <x v="2"/>
    <x v="0"/>
    <x v="84"/>
    <x v="107"/>
    <x v="36"/>
    <n v="1"/>
    <s v="Not Sampled"/>
    <n v="1273"/>
    <m/>
    <m/>
    <m/>
    <m/>
    <m/>
    <m/>
    <m/>
    <m/>
    <s v="Positive"/>
    <s v="Not Sampled"/>
    <s v="Not Sampled"/>
  </r>
  <r>
    <x v="7"/>
    <x v="73"/>
    <x v="10"/>
    <x v="2"/>
    <x v="0"/>
    <x v="37"/>
    <x v="108"/>
    <x v="19"/>
    <n v="1"/>
    <n v="0"/>
    <n v="1274"/>
    <m/>
    <m/>
    <m/>
    <m/>
    <m/>
    <m/>
    <m/>
    <m/>
    <s v="Positive"/>
    <s v="Negative"/>
    <s v="Inaccurate Prediction"/>
  </r>
  <r>
    <x v="7"/>
    <x v="74"/>
    <x v="26"/>
    <x v="2"/>
    <x v="0"/>
    <x v="47"/>
    <x v="109"/>
    <x v="14"/>
    <n v="0"/>
    <s v="Not Sampled"/>
    <n v="1275"/>
    <m/>
    <m/>
    <m/>
    <m/>
    <m/>
    <m/>
    <m/>
    <m/>
    <s v="Negative"/>
    <s v="Not Sampled"/>
    <s v="Not Sampled"/>
  </r>
  <r>
    <x v="3"/>
    <x v="75"/>
    <x v="12"/>
    <x v="17"/>
    <x v="0"/>
    <x v="86"/>
    <x v="85"/>
    <x v="11"/>
    <n v="0"/>
    <s v="Not Sampled"/>
    <n v="1276"/>
    <m/>
    <m/>
    <m/>
    <m/>
    <m/>
    <m/>
    <m/>
    <m/>
    <s v="Negative"/>
    <s v="Not Sampled"/>
    <s v="Not Sampled"/>
  </r>
  <r>
    <x v="3"/>
    <x v="6"/>
    <x v="15"/>
    <x v="11"/>
    <x v="46"/>
    <x v="87"/>
    <x v="110"/>
    <x v="4"/>
    <n v="0"/>
    <s v="Not Sampled"/>
    <n v="1277"/>
    <m/>
    <m/>
    <m/>
    <m/>
    <m/>
    <m/>
    <m/>
    <m/>
    <s v="Negative"/>
    <s v="Not Sampled"/>
    <s v="Not Sampled"/>
  </r>
  <r>
    <x v="1"/>
    <x v="76"/>
    <x v="15"/>
    <x v="34"/>
    <x v="31"/>
    <x v="88"/>
    <x v="111"/>
    <x v="14"/>
    <n v="1"/>
    <s v="Not Sampled"/>
    <n v="1278"/>
    <m/>
    <m/>
    <m/>
    <m/>
    <m/>
    <m/>
    <m/>
    <m/>
    <s v="Positive"/>
    <s v="Not Sampled"/>
    <s v="Not Sampled"/>
  </r>
  <r>
    <x v="6"/>
    <x v="31"/>
    <x v="11"/>
    <x v="15"/>
    <x v="0"/>
    <x v="89"/>
    <x v="112"/>
    <x v="3"/>
    <n v="0"/>
    <n v="0"/>
    <n v="1279"/>
    <m/>
    <m/>
    <m/>
    <m/>
    <m/>
    <m/>
    <m/>
    <m/>
    <s v="Negative"/>
    <s v="Negative"/>
    <s v="Accurate Prediction"/>
  </r>
  <r>
    <x v="0"/>
    <x v="61"/>
    <x v="10"/>
    <x v="8"/>
    <x v="31"/>
    <x v="0"/>
    <x v="113"/>
    <x v="1"/>
    <n v="0"/>
    <s v="Not Sampled"/>
    <n v="1280"/>
    <m/>
    <m/>
    <m/>
    <m/>
    <m/>
    <m/>
    <m/>
    <m/>
    <s v="Negative"/>
    <s v="Not Sampled"/>
    <s v="Not Sampled"/>
  </r>
  <r>
    <x v="7"/>
    <x v="77"/>
    <x v="6"/>
    <x v="2"/>
    <x v="0"/>
    <x v="90"/>
    <x v="114"/>
    <x v="37"/>
    <n v="0"/>
    <s v="Not Sampled"/>
    <n v="1281"/>
    <m/>
    <m/>
    <m/>
    <m/>
    <m/>
    <m/>
    <m/>
    <m/>
    <s v="Negative"/>
    <s v="Not Sampled"/>
    <s v="Not Sampled"/>
  </r>
  <r>
    <x v="1"/>
    <x v="57"/>
    <x v="15"/>
    <x v="2"/>
    <x v="0"/>
    <x v="21"/>
    <x v="115"/>
    <x v="1"/>
    <n v="1"/>
    <n v="0"/>
    <n v="1282"/>
    <m/>
    <m/>
    <m/>
    <m/>
    <m/>
    <m/>
    <m/>
    <m/>
    <s v="Positive"/>
    <s v="Negative"/>
    <s v="Inaccurate Prediction"/>
  </r>
  <r>
    <x v="2"/>
    <x v="40"/>
    <x v="32"/>
    <x v="3"/>
    <x v="47"/>
    <x v="91"/>
    <x v="116"/>
    <x v="25"/>
    <n v="1"/>
    <n v="0"/>
    <n v="1283"/>
    <m/>
    <m/>
    <m/>
    <m/>
    <m/>
    <m/>
    <m/>
    <m/>
    <s v="Positive"/>
    <s v="Negative"/>
    <s v="Inaccurate Prediction"/>
  </r>
  <r>
    <x v="5"/>
    <x v="24"/>
    <x v="9"/>
    <x v="8"/>
    <x v="42"/>
    <x v="92"/>
    <x v="117"/>
    <x v="13"/>
    <n v="0"/>
    <s v="Not Sampled"/>
    <n v="1284"/>
    <m/>
    <m/>
    <m/>
    <m/>
    <m/>
    <m/>
    <m/>
    <m/>
    <s v="Negative"/>
    <s v="Not Sampled"/>
    <s v="Not Sampled"/>
  </r>
  <r>
    <x v="2"/>
    <x v="78"/>
    <x v="22"/>
    <x v="35"/>
    <x v="48"/>
    <x v="21"/>
    <x v="86"/>
    <x v="1"/>
    <n v="0"/>
    <s v="Not Sampled"/>
    <n v="1285"/>
    <m/>
    <m/>
    <m/>
    <m/>
    <m/>
    <m/>
    <m/>
    <m/>
    <s v="Negative"/>
    <s v="Not Sampled"/>
    <s v="Not Sampled"/>
  </r>
  <r>
    <x v="2"/>
    <x v="17"/>
    <x v="21"/>
    <x v="20"/>
    <x v="8"/>
    <x v="93"/>
    <x v="118"/>
    <x v="18"/>
    <n v="1"/>
    <s v="Not Sampled"/>
    <n v="1286"/>
    <m/>
    <m/>
    <m/>
    <m/>
    <m/>
    <m/>
    <m/>
    <m/>
    <s v="Positive"/>
    <s v="Not Sampled"/>
    <s v="Not Sampled"/>
  </r>
  <r>
    <x v="1"/>
    <x v="38"/>
    <x v="16"/>
    <x v="2"/>
    <x v="0"/>
    <x v="94"/>
    <x v="119"/>
    <x v="38"/>
    <n v="1"/>
    <s v="Not Sampled"/>
    <n v="1287"/>
    <m/>
    <m/>
    <m/>
    <m/>
    <m/>
    <m/>
    <m/>
    <m/>
    <s v="Positive"/>
    <s v="Not Sampled"/>
    <s v="Not Sampled"/>
  </r>
  <r>
    <x v="3"/>
    <x v="5"/>
    <x v="9"/>
    <x v="36"/>
    <x v="49"/>
    <x v="27"/>
    <x v="120"/>
    <x v="9"/>
    <n v="1"/>
    <s v="Not Sampled"/>
    <n v="1288"/>
    <m/>
    <m/>
    <m/>
    <m/>
    <m/>
    <m/>
    <m/>
    <m/>
    <s v="Positive"/>
    <s v="Not Sampled"/>
    <s v="Not Sampled"/>
  </r>
  <r>
    <x v="11"/>
    <x v="27"/>
    <x v="20"/>
    <x v="2"/>
    <x v="0"/>
    <x v="21"/>
    <x v="121"/>
    <x v="9"/>
    <n v="1"/>
    <s v="Not Sampled"/>
    <n v="1289"/>
    <m/>
    <m/>
    <m/>
    <m/>
    <m/>
    <m/>
    <m/>
    <m/>
    <s v="Positive"/>
    <s v="Not Sampled"/>
    <s v="Not Sampled"/>
  </r>
  <r>
    <x v="5"/>
    <x v="79"/>
    <x v="11"/>
    <x v="18"/>
    <x v="50"/>
    <x v="93"/>
    <x v="92"/>
    <x v="13"/>
    <n v="1"/>
    <s v="Not Sampled"/>
    <n v="1290"/>
    <m/>
    <m/>
    <m/>
    <m/>
    <m/>
    <m/>
    <m/>
    <m/>
    <s v="Positive"/>
    <s v="Not Sampled"/>
    <s v="Not Sampled"/>
  </r>
  <r>
    <x v="4"/>
    <x v="1"/>
    <x v="10"/>
    <x v="1"/>
    <x v="0"/>
    <x v="95"/>
    <x v="122"/>
    <x v="16"/>
    <n v="0"/>
    <n v="0"/>
    <n v="1291"/>
    <m/>
    <m/>
    <m/>
    <m/>
    <m/>
    <m/>
    <m/>
    <m/>
    <s v="Negative"/>
    <s v="Negative"/>
    <s v="Accurate Prediction"/>
  </r>
  <r>
    <x v="0"/>
    <x v="20"/>
    <x v="3"/>
    <x v="27"/>
    <x v="51"/>
    <x v="96"/>
    <x v="123"/>
    <x v="25"/>
    <n v="0"/>
    <s v="Not Sampled"/>
    <n v="1292"/>
    <m/>
    <m/>
    <m/>
    <m/>
    <m/>
    <m/>
    <m/>
    <m/>
    <s v="Negative"/>
    <s v="Not Sampled"/>
    <s v="Not Sampled"/>
  </r>
  <r>
    <x v="0"/>
    <x v="10"/>
    <x v="12"/>
    <x v="28"/>
    <x v="32"/>
    <x v="97"/>
    <x v="124"/>
    <x v="2"/>
    <n v="0"/>
    <s v="Not Sampled"/>
    <n v="1293"/>
    <m/>
    <m/>
    <m/>
    <m/>
    <m/>
    <m/>
    <m/>
    <m/>
    <s v="Negative"/>
    <s v="Not Sampled"/>
    <s v="Not Sampled"/>
  </r>
  <r>
    <x v="1"/>
    <x v="45"/>
    <x v="9"/>
    <x v="16"/>
    <x v="52"/>
    <x v="98"/>
    <x v="125"/>
    <x v="4"/>
    <n v="0"/>
    <s v="Not Sampled"/>
    <n v="1294"/>
    <m/>
    <m/>
    <m/>
    <m/>
    <m/>
    <m/>
    <m/>
    <m/>
    <s v="Negative"/>
    <s v="Not Sampled"/>
    <s v="Not Sampled"/>
  </r>
  <r>
    <x v="1"/>
    <x v="67"/>
    <x v="12"/>
    <x v="14"/>
    <x v="53"/>
    <x v="77"/>
    <x v="126"/>
    <x v="11"/>
    <n v="0"/>
    <s v="Not Sampled"/>
    <n v="1295"/>
    <m/>
    <m/>
    <m/>
    <m/>
    <m/>
    <m/>
    <m/>
    <m/>
    <s v="Negative"/>
    <s v="Not Sampled"/>
    <s v="Not Sampled"/>
  </r>
  <r>
    <x v="1"/>
    <x v="52"/>
    <x v="6"/>
    <x v="2"/>
    <x v="0"/>
    <x v="84"/>
    <x v="127"/>
    <x v="29"/>
    <n v="0"/>
    <s v="Not Sampled"/>
    <n v="1296"/>
    <m/>
    <m/>
    <m/>
    <m/>
    <m/>
    <m/>
    <m/>
    <m/>
    <s v="Negative"/>
    <s v="Not Sampled"/>
    <s v="Not Sampled"/>
  </r>
  <r>
    <x v="7"/>
    <x v="38"/>
    <x v="5"/>
    <x v="30"/>
    <x v="54"/>
    <x v="99"/>
    <x v="128"/>
    <x v="6"/>
    <n v="0"/>
    <n v="0"/>
    <n v="1297"/>
    <m/>
    <m/>
    <m/>
    <m/>
    <m/>
    <m/>
    <m/>
    <m/>
    <s v="Negative"/>
    <s v="Negative"/>
    <s v="Accurate Prediction"/>
  </r>
  <r>
    <x v="5"/>
    <x v="80"/>
    <x v="4"/>
    <x v="2"/>
    <x v="0"/>
    <x v="96"/>
    <x v="32"/>
    <x v="15"/>
    <n v="0"/>
    <n v="0"/>
    <n v="1298"/>
    <m/>
    <m/>
    <m/>
    <m/>
    <m/>
    <m/>
    <m/>
    <m/>
    <s v="Negative"/>
    <s v="Negative"/>
    <s v="Accurate Prediction"/>
  </r>
  <r>
    <x v="7"/>
    <x v="33"/>
    <x v="1"/>
    <x v="8"/>
    <x v="0"/>
    <x v="100"/>
    <x v="129"/>
    <x v="19"/>
    <n v="0"/>
    <s v="Not Sampled"/>
    <n v="1299"/>
    <m/>
    <m/>
    <m/>
    <m/>
    <m/>
    <m/>
    <m/>
    <m/>
    <s v="Negative"/>
    <s v="Not Sampled"/>
    <s v="Not Sampled"/>
  </r>
  <r>
    <x v="0"/>
    <x v="81"/>
    <x v="33"/>
    <x v="16"/>
    <x v="55"/>
    <x v="56"/>
    <x v="130"/>
    <x v="11"/>
    <n v="0"/>
    <s v="Not Sampled"/>
    <n v="1300"/>
    <m/>
    <m/>
    <m/>
    <m/>
    <m/>
    <m/>
    <m/>
    <m/>
    <s v="Negative"/>
    <s v="Not Sampled"/>
    <s v="Not Sampled"/>
  </r>
  <r>
    <x v="9"/>
    <x v="81"/>
    <x v="19"/>
    <x v="2"/>
    <x v="0"/>
    <x v="68"/>
    <x v="131"/>
    <x v="8"/>
    <n v="1"/>
    <n v="0"/>
    <n v="1301"/>
    <m/>
    <m/>
    <m/>
    <m/>
    <m/>
    <m/>
    <m/>
    <m/>
    <s v="Positive"/>
    <s v="Negative"/>
    <s v="Inaccurate Prediction"/>
  </r>
  <r>
    <x v="3"/>
    <x v="16"/>
    <x v="0"/>
    <x v="1"/>
    <x v="56"/>
    <x v="10"/>
    <x v="78"/>
    <x v="1"/>
    <n v="0"/>
    <s v="Not Sampled"/>
    <n v="1302"/>
    <m/>
    <m/>
    <m/>
    <m/>
    <m/>
    <m/>
    <m/>
    <m/>
    <s v="Negative"/>
    <s v="Not Sampled"/>
    <s v="Not Sampled"/>
  </r>
  <r>
    <x v="1"/>
    <x v="29"/>
    <x v="25"/>
    <x v="17"/>
    <x v="0"/>
    <x v="12"/>
    <x v="132"/>
    <x v="4"/>
    <n v="0"/>
    <s v="Not Sampled"/>
    <n v="1303"/>
    <m/>
    <m/>
    <m/>
    <m/>
    <m/>
    <m/>
    <m/>
    <m/>
    <s v="Negative"/>
    <s v="Not Sampled"/>
    <s v="Not Sampled"/>
  </r>
  <r>
    <x v="11"/>
    <x v="82"/>
    <x v="6"/>
    <x v="18"/>
    <x v="0"/>
    <x v="10"/>
    <x v="133"/>
    <x v="17"/>
    <n v="0"/>
    <n v="0"/>
    <n v="1304"/>
    <m/>
    <m/>
    <m/>
    <m/>
    <m/>
    <m/>
    <m/>
    <m/>
    <s v="Negative"/>
    <s v="Negative"/>
    <s v="Accurate Prediction"/>
  </r>
  <r>
    <x v="0"/>
    <x v="33"/>
    <x v="11"/>
    <x v="0"/>
    <x v="57"/>
    <x v="85"/>
    <x v="134"/>
    <x v="34"/>
    <n v="0"/>
    <s v="Not Sampled"/>
    <n v="1305"/>
    <m/>
    <m/>
    <m/>
    <m/>
    <m/>
    <m/>
    <m/>
    <m/>
    <s v="Negative"/>
    <s v="Not Sampled"/>
    <s v="Not Sampled"/>
  </r>
  <r>
    <x v="7"/>
    <x v="83"/>
    <x v="4"/>
    <x v="2"/>
    <x v="0"/>
    <x v="47"/>
    <x v="135"/>
    <x v="39"/>
    <n v="0"/>
    <s v="Not Sampled"/>
    <n v="1306"/>
    <m/>
    <m/>
    <m/>
    <m/>
    <m/>
    <m/>
    <m/>
    <m/>
    <s v="Negative"/>
    <s v="Not Sampled"/>
    <s v="Not Sampled"/>
  </r>
  <r>
    <x v="0"/>
    <x v="30"/>
    <x v="9"/>
    <x v="6"/>
    <x v="0"/>
    <x v="30"/>
    <x v="136"/>
    <x v="11"/>
    <n v="0"/>
    <s v="Not Sampled"/>
    <n v="1307"/>
    <m/>
    <m/>
    <m/>
    <m/>
    <m/>
    <m/>
    <m/>
    <m/>
    <s v="Negative"/>
    <s v="Not Sampled"/>
    <s v="Not Sampled"/>
  </r>
  <r>
    <x v="2"/>
    <x v="60"/>
    <x v="10"/>
    <x v="37"/>
    <x v="58"/>
    <x v="83"/>
    <x v="137"/>
    <x v="3"/>
    <n v="0"/>
    <s v="Not Sampled"/>
    <n v="1308"/>
    <m/>
    <m/>
    <m/>
    <m/>
    <m/>
    <m/>
    <m/>
    <m/>
    <s v="Negative"/>
    <s v="Not Sampled"/>
    <s v="Not Sampled"/>
  </r>
  <r>
    <x v="3"/>
    <x v="48"/>
    <x v="7"/>
    <x v="2"/>
    <x v="0"/>
    <x v="101"/>
    <x v="138"/>
    <x v="26"/>
    <n v="0"/>
    <s v="Not Sampled"/>
    <n v="1309"/>
    <m/>
    <m/>
    <m/>
    <m/>
    <m/>
    <m/>
    <m/>
    <m/>
    <s v="Negative"/>
    <s v="Not Sampled"/>
    <s v="Not Sampled"/>
  </r>
  <r>
    <x v="11"/>
    <x v="84"/>
    <x v="24"/>
    <x v="7"/>
    <x v="59"/>
    <x v="82"/>
    <x v="139"/>
    <x v="8"/>
    <n v="1"/>
    <s v="Not Sampled"/>
    <n v="1310"/>
    <m/>
    <m/>
    <m/>
    <m/>
    <m/>
    <m/>
    <m/>
    <m/>
    <s v="Positive"/>
    <s v="Not Sampled"/>
    <s v="Not Sampled"/>
  </r>
  <r>
    <x v="2"/>
    <x v="85"/>
    <x v="1"/>
    <x v="3"/>
    <x v="60"/>
    <x v="102"/>
    <x v="140"/>
    <x v="1"/>
    <n v="0"/>
    <s v="Not Sampled"/>
    <n v="1311"/>
    <m/>
    <m/>
    <m/>
    <m/>
    <m/>
    <m/>
    <m/>
    <m/>
    <s v="Negative"/>
    <s v="Not Sampled"/>
    <s v="Not Sampled"/>
  </r>
  <r>
    <x v="4"/>
    <x v="86"/>
    <x v="4"/>
    <x v="2"/>
    <x v="0"/>
    <x v="103"/>
    <x v="141"/>
    <x v="33"/>
    <n v="1"/>
    <s v="Not Sampled"/>
    <n v="1312"/>
    <m/>
    <m/>
    <m/>
    <m/>
    <m/>
    <m/>
    <m/>
    <m/>
    <s v="Positive"/>
    <s v="Not Sampled"/>
    <s v="Not Sampled"/>
  </r>
  <r>
    <x v="8"/>
    <x v="87"/>
    <x v="21"/>
    <x v="38"/>
    <x v="0"/>
    <x v="104"/>
    <x v="142"/>
    <x v="31"/>
    <n v="1"/>
    <s v="Not Sampled"/>
    <n v="1313"/>
    <m/>
    <m/>
    <m/>
    <m/>
    <m/>
    <m/>
    <m/>
    <m/>
    <s v="Positive"/>
    <s v="Not Sampled"/>
    <s v="Not Sampled"/>
  </r>
  <r>
    <x v="0"/>
    <x v="6"/>
    <x v="33"/>
    <x v="11"/>
    <x v="48"/>
    <x v="66"/>
    <x v="143"/>
    <x v="4"/>
    <n v="0"/>
    <n v="0"/>
    <n v="1314"/>
    <m/>
    <m/>
    <m/>
    <m/>
    <m/>
    <m/>
    <m/>
    <m/>
    <s v="Negative"/>
    <s v="Negative"/>
    <s v="Accurate Prediction"/>
  </r>
  <r>
    <x v="2"/>
    <x v="49"/>
    <x v="20"/>
    <x v="23"/>
    <x v="42"/>
    <x v="18"/>
    <x v="144"/>
    <x v="1"/>
    <n v="0"/>
    <n v="0"/>
    <n v="1315"/>
    <m/>
    <m/>
    <m/>
    <m/>
    <m/>
    <m/>
    <m/>
    <m/>
    <s v="Negative"/>
    <s v="Negative"/>
    <s v="Accurate Prediction"/>
  </r>
  <r>
    <x v="0"/>
    <x v="40"/>
    <x v="10"/>
    <x v="13"/>
    <x v="61"/>
    <x v="55"/>
    <x v="145"/>
    <x v="11"/>
    <n v="0"/>
    <s v="Not Sampled"/>
    <n v="1316"/>
    <m/>
    <m/>
    <m/>
    <m/>
    <m/>
    <m/>
    <m/>
    <m/>
    <s v="Negative"/>
    <s v="Not Sampled"/>
    <s v="Not Sampled"/>
  </r>
  <r>
    <x v="15"/>
    <x v="26"/>
    <x v="5"/>
    <x v="4"/>
    <x v="62"/>
    <x v="105"/>
    <x v="146"/>
    <x v="0"/>
    <n v="1"/>
    <s v="Not Sampled"/>
    <n v="1317"/>
    <m/>
    <m/>
    <m/>
    <m/>
    <m/>
    <m/>
    <m/>
    <m/>
    <s v="Positive"/>
    <s v="Not Sampled"/>
    <s v="Not Sampled"/>
  </r>
  <r>
    <x v="3"/>
    <x v="68"/>
    <x v="8"/>
    <x v="9"/>
    <x v="0"/>
    <x v="27"/>
    <x v="6"/>
    <x v="31"/>
    <n v="0"/>
    <s v="Not Sampled"/>
    <n v="1318"/>
    <m/>
    <m/>
    <m/>
    <m/>
    <m/>
    <m/>
    <m/>
    <m/>
    <s v="Negative"/>
    <s v="Not Sampled"/>
    <s v="Not Sampled"/>
  </r>
  <r>
    <x v="8"/>
    <x v="29"/>
    <x v="10"/>
    <x v="32"/>
    <x v="16"/>
    <x v="19"/>
    <x v="147"/>
    <x v="10"/>
    <n v="0"/>
    <s v="Not Sampled"/>
    <n v="1319"/>
    <m/>
    <m/>
    <m/>
    <m/>
    <m/>
    <m/>
    <m/>
    <m/>
    <s v="Negative"/>
    <s v="Not Sampled"/>
    <s v="Not Sampled"/>
  </r>
  <r>
    <x v="1"/>
    <x v="48"/>
    <x v="6"/>
    <x v="24"/>
    <x v="63"/>
    <x v="2"/>
    <x v="148"/>
    <x v="23"/>
    <n v="0"/>
    <s v="Not Sampled"/>
    <n v="1320"/>
    <m/>
    <m/>
    <m/>
    <m/>
    <m/>
    <m/>
    <m/>
    <m/>
    <s v="Negative"/>
    <s v="Not Sampled"/>
    <s v="Not Sampled"/>
  </r>
  <r>
    <x v="0"/>
    <x v="45"/>
    <x v="11"/>
    <x v="17"/>
    <x v="0"/>
    <x v="27"/>
    <x v="149"/>
    <x v="4"/>
    <n v="0"/>
    <s v="Not Sampled"/>
    <n v="1321"/>
    <m/>
    <m/>
    <m/>
    <m/>
    <m/>
    <m/>
    <m/>
    <m/>
    <s v="Negative"/>
    <s v="Not Sampled"/>
    <s v="Not Sampled"/>
  </r>
  <r>
    <x v="1"/>
    <x v="55"/>
    <x v="21"/>
    <x v="2"/>
    <x v="0"/>
    <x v="31"/>
    <x v="150"/>
    <x v="32"/>
    <n v="1"/>
    <s v="Not Sampled"/>
    <n v="1322"/>
    <m/>
    <m/>
    <m/>
    <m/>
    <m/>
    <m/>
    <m/>
    <m/>
    <s v="Positive"/>
    <s v="Not Sampled"/>
    <s v="Not Sampled"/>
  </r>
  <r>
    <x v="6"/>
    <x v="88"/>
    <x v="10"/>
    <x v="10"/>
    <x v="64"/>
    <x v="106"/>
    <x v="151"/>
    <x v="17"/>
    <n v="1"/>
    <n v="0"/>
    <n v="1323"/>
    <m/>
    <m/>
    <m/>
    <m/>
    <m/>
    <m/>
    <m/>
    <m/>
    <s v="Positive"/>
    <s v="Negative"/>
    <s v="Inaccurate Prediction"/>
  </r>
  <r>
    <x v="5"/>
    <x v="89"/>
    <x v="19"/>
    <x v="14"/>
    <x v="0"/>
    <x v="56"/>
    <x v="152"/>
    <x v="11"/>
    <n v="0"/>
    <s v="Not Sampled"/>
    <n v="1324"/>
    <m/>
    <m/>
    <m/>
    <m/>
    <m/>
    <m/>
    <m/>
    <m/>
    <s v="Negative"/>
    <s v="Not Sampled"/>
    <s v="Not Sampled"/>
  </r>
  <r>
    <x v="3"/>
    <x v="24"/>
    <x v="3"/>
    <x v="2"/>
    <x v="0"/>
    <x v="107"/>
    <x v="153"/>
    <x v="34"/>
    <n v="0"/>
    <s v="Not Sampled"/>
    <n v="1325"/>
    <m/>
    <m/>
    <m/>
    <m/>
    <m/>
    <m/>
    <m/>
    <m/>
    <s v="Negative"/>
    <s v="Not Sampled"/>
    <s v="Not Sampled"/>
  </r>
  <r>
    <x v="3"/>
    <x v="13"/>
    <x v="19"/>
    <x v="2"/>
    <x v="0"/>
    <x v="108"/>
    <x v="154"/>
    <x v="29"/>
    <n v="0"/>
    <s v="Not Sampled"/>
    <n v="1326"/>
    <m/>
    <m/>
    <m/>
    <m/>
    <m/>
    <m/>
    <m/>
    <m/>
    <s v="Negative"/>
    <s v="Not Sampled"/>
    <s v="Not Sampled"/>
  </r>
  <r>
    <x v="5"/>
    <x v="31"/>
    <x v="8"/>
    <x v="39"/>
    <x v="65"/>
    <x v="109"/>
    <x v="155"/>
    <x v="29"/>
    <n v="0"/>
    <s v="Not Sampled"/>
    <n v="1327"/>
    <m/>
    <m/>
    <m/>
    <m/>
    <m/>
    <m/>
    <m/>
    <m/>
    <s v="Negative"/>
    <s v="Not Sampled"/>
    <s v="Not Sampled"/>
  </r>
  <r>
    <x v="6"/>
    <x v="29"/>
    <x v="1"/>
    <x v="2"/>
    <x v="0"/>
    <x v="98"/>
    <x v="156"/>
    <x v="31"/>
    <n v="1"/>
    <s v="Not Sampled"/>
    <n v="1328"/>
    <m/>
    <m/>
    <m/>
    <m/>
    <m/>
    <m/>
    <m/>
    <m/>
    <s v="Positive"/>
    <s v="Not Sampled"/>
    <s v="Not Sampled"/>
  </r>
  <r>
    <x v="6"/>
    <x v="63"/>
    <x v="9"/>
    <x v="17"/>
    <x v="66"/>
    <x v="110"/>
    <x v="157"/>
    <x v="29"/>
    <n v="1"/>
    <s v="Not Sampled"/>
    <n v="1329"/>
    <m/>
    <m/>
    <m/>
    <m/>
    <m/>
    <m/>
    <m/>
    <m/>
    <s v="Positive"/>
    <s v="Not Sampled"/>
    <s v="Not Sampled"/>
  </r>
  <r>
    <x v="0"/>
    <x v="90"/>
    <x v="2"/>
    <x v="17"/>
    <x v="0"/>
    <x v="11"/>
    <x v="158"/>
    <x v="14"/>
    <n v="0"/>
    <s v="Not Sampled"/>
    <n v="1330"/>
    <m/>
    <m/>
    <m/>
    <m/>
    <m/>
    <m/>
    <m/>
    <m/>
    <s v="Negative"/>
    <s v="Not Sampled"/>
    <s v="Not Sampled"/>
  </r>
  <r>
    <x v="2"/>
    <x v="53"/>
    <x v="12"/>
    <x v="3"/>
    <x v="35"/>
    <x v="111"/>
    <x v="159"/>
    <x v="1"/>
    <n v="0"/>
    <s v="Not Sampled"/>
    <n v="1331"/>
    <m/>
    <m/>
    <m/>
    <m/>
    <m/>
    <m/>
    <m/>
    <m/>
    <s v="Negative"/>
    <s v="Not Sampled"/>
    <s v="Not Sampled"/>
  </r>
  <r>
    <x v="0"/>
    <x v="21"/>
    <x v="11"/>
    <x v="20"/>
    <x v="67"/>
    <x v="27"/>
    <x v="74"/>
    <x v="9"/>
    <n v="0"/>
    <s v="Not Sampled"/>
    <n v="1332"/>
    <m/>
    <m/>
    <m/>
    <m/>
    <m/>
    <m/>
    <m/>
    <m/>
    <s v="Negative"/>
    <s v="Not Sampled"/>
    <s v="Not Sampled"/>
  </r>
  <r>
    <x v="4"/>
    <x v="91"/>
    <x v="5"/>
    <x v="3"/>
    <x v="66"/>
    <x v="112"/>
    <x v="160"/>
    <x v="31"/>
    <n v="1"/>
    <s v="Not Sampled"/>
    <n v="1333"/>
    <m/>
    <m/>
    <m/>
    <m/>
    <m/>
    <m/>
    <m/>
    <m/>
    <s v="Positive"/>
    <s v="Not Sampled"/>
    <s v="Not Sampled"/>
  </r>
  <r>
    <x v="6"/>
    <x v="69"/>
    <x v="4"/>
    <x v="2"/>
    <x v="0"/>
    <x v="84"/>
    <x v="161"/>
    <x v="8"/>
    <n v="0"/>
    <n v="0"/>
    <n v="1334"/>
    <m/>
    <m/>
    <m/>
    <m/>
    <m/>
    <m/>
    <m/>
    <m/>
    <s v="Negative"/>
    <s v="Negative"/>
    <s v="Accurate Prediction"/>
  </r>
  <r>
    <x v="1"/>
    <x v="52"/>
    <x v="18"/>
    <x v="40"/>
    <x v="66"/>
    <x v="113"/>
    <x v="162"/>
    <x v="25"/>
    <n v="1"/>
    <s v="Not Sampled"/>
    <n v="1335"/>
    <m/>
    <m/>
    <m/>
    <m/>
    <m/>
    <m/>
    <m/>
    <m/>
    <s v="Positive"/>
    <s v="Not Sampled"/>
    <s v="Not Sampled"/>
  </r>
  <r>
    <x v="7"/>
    <x v="92"/>
    <x v="4"/>
    <x v="2"/>
    <x v="0"/>
    <x v="114"/>
    <x v="163"/>
    <x v="0"/>
    <n v="0"/>
    <n v="1"/>
    <n v="1336"/>
    <m/>
    <m/>
    <m/>
    <m/>
    <m/>
    <m/>
    <m/>
    <m/>
    <s v="Negative"/>
    <s v="Positive"/>
    <s v="Inaccurate Prediction"/>
  </r>
  <r>
    <x v="7"/>
    <x v="23"/>
    <x v="1"/>
    <x v="2"/>
    <x v="0"/>
    <x v="44"/>
    <x v="164"/>
    <x v="26"/>
    <n v="1"/>
    <s v="Not Sampled"/>
    <n v="1337"/>
    <m/>
    <m/>
    <m/>
    <m/>
    <m/>
    <m/>
    <m/>
    <m/>
    <s v="Positive"/>
    <s v="Not Sampled"/>
    <s v="Not Sampled"/>
  </r>
  <r>
    <x v="6"/>
    <x v="90"/>
    <x v="6"/>
    <x v="2"/>
    <x v="0"/>
    <x v="87"/>
    <x v="165"/>
    <x v="32"/>
    <n v="0"/>
    <n v="0"/>
    <n v="1338"/>
    <m/>
    <m/>
    <m/>
    <m/>
    <m/>
    <m/>
    <m/>
    <m/>
    <s v="Negative"/>
    <s v="Negative"/>
    <s v="Accurate Prediction"/>
  </r>
  <r>
    <x v="1"/>
    <x v="93"/>
    <x v="11"/>
    <x v="10"/>
    <x v="53"/>
    <x v="115"/>
    <x v="166"/>
    <x v="1"/>
    <n v="0"/>
    <s v="Not Sampled"/>
    <n v="1339"/>
    <m/>
    <m/>
    <m/>
    <m/>
    <m/>
    <m/>
    <m/>
    <m/>
    <s v="Negative"/>
    <s v="Not Sampled"/>
    <s v="Not Sampled"/>
  </r>
  <r>
    <x v="2"/>
    <x v="18"/>
    <x v="10"/>
    <x v="28"/>
    <x v="23"/>
    <x v="116"/>
    <x v="167"/>
    <x v="4"/>
    <n v="0"/>
    <s v="Not Sampled"/>
    <n v="1340"/>
    <m/>
    <m/>
    <m/>
    <m/>
    <m/>
    <m/>
    <m/>
    <m/>
    <s v="Negative"/>
    <s v="Not Sampled"/>
    <s v="Not Sampled"/>
  </r>
  <r>
    <x v="7"/>
    <x v="43"/>
    <x v="12"/>
    <x v="2"/>
    <x v="0"/>
    <x v="90"/>
    <x v="32"/>
    <x v="23"/>
    <n v="0"/>
    <s v="Not Sampled"/>
    <n v="1341"/>
    <m/>
    <m/>
    <m/>
    <m/>
    <m/>
    <m/>
    <m/>
    <m/>
    <s v="Negative"/>
    <s v="Not Sampled"/>
    <s v="Not Sampled"/>
  </r>
  <r>
    <x v="3"/>
    <x v="47"/>
    <x v="10"/>
    <x v="2"/>
    <x v="0"/>
    <x v="32"/>
    <x v="168"/>
    <x v="18"/>
    <n v="0"/>
    <n v="0"/>
    <n v="1342"/>
    <m/>
    <m/>
    <m/>
    <m/>
    <m/>
    <m/>
    <m/>
    <m/>
    <s v="Negative"/>
    <s v="Negative"/>
    <s v="Accurate Prediction"/>
  </r>
  <r>
    <x v="8"/>
    <x v="7"/>
    <x v="3"/>
    <x v="7"/>
    <x v="0"/>
    <x v="117"/>
    <x v="169"/>
    <x v="17"/>
    <n v="1"/>
    <s v="Not Sampled"/>
    <n v="1343"/>
    <m/>
    <m/>
    <m/>
    <m/>
    <m/>
    <m/>
    <m/>
    <m/>
    <s v="Positive"/>
    <s v="Not Sampled"/>
    <s v="Not Sampled"/>
  </r>
  <r>
    <x v="4"/>
    <x v="94"/>
    <x v="3"/>
    <x v="35"/>
    <x v="43"/>
    <x v="15"/>
    <x v="170"/>
    <x v="35"/>
    <n v="1"/>
    <s v="Not Sampled"/>
    <n v="1344"/>
    <m/>
    <m/>
    <m/>
    <m/>
    <m/>
    <m/>
    <m/>
    <m/>
    <s v="Positive"/>
    <s v="Not Sampled"/>
    <s v="Not Sampled"/>
  </r>
  <r>
    <x v="2"/>
    <x v="80"/>
    <x v="34"/>
    <x v="4"/>
    <x v="68"/>
    <x v="61"/>
    <x v="171"/>
    <x v="9"/>
    <n v="1"/>
    <s v="Not Sampled"/>
    <n v="1345"/>
    <m/>
    <m/>
    <m/>
    <m/>
    <m/>
    <m/>
    <m/>
    <m/>
    <s v="Positive"/>
    <s v="Not Sampled"/>
    <s v="Not Sampled"/>
  </r>
  <r>
    <x v="4"/>
    <x v="49"/>
    <x v="15"/>
    <x v="15"/>
    <x v="62"/>
    <x v="94"/>
    <x v="172"/>
    <x v="2"/>
    <n v="1"/>
    <s v="Not Sampled"/>
    <n v="1346"/>
    <m/>
    <m/>
    <m/>
    <m/>
    <m/>
    <m/>
    <m/>
    <m/>
    <s v="Positive"/>
    <s v="Not Sampled"/>
    <s v="Not Sampled"/>
  </r>
  <r>
    <x v="7"/>
    <x v="4"/>
    <x v="6"/>
    <x v="0"/>
    <x v="69"/>
    <x v="31"/>
    <x v="120"/>
    <x v="14"/>
    <n v="1"/>
    <n v="0"/>
    <n v="1347"/>
    <m/>
    <m/>
    <m/>
    <m/>
    <m/>
    <m/>
    <m/>
    <m/>
    <s v="Positive"/>
    <s v="Negative"/>
    <s v="Inaccurate Prediction"/>
  </r>
  <r>
    <x v="5"/>
    <x v="31"/>
    <x v="0"/>
    <x v="2"/>
    <x v="0"/>
    <x v="118"/>
    <x v="173"/>
    <x v="4"/>
    <n v="0"/>
    <s v="Not Sampled"/>
    <n v="1348"/>
    <m/>
    <m/>
    <m/>
    <m/>
    <m/>
    <m/>
    <m/>
    <m/>
    <s v="Negative"/>
    <s v="Not Sampled"/>
    <s v="Not Sampled"/>
  </r>
  <r>
    <x v="11"/>
    <x v="62"/>
    <x v="9"/>
    <x v="38"/>
    <x v="48"/>
    <x v="119"/>
    <x v="174"/>
    <x v="18"/>
    <n v="0"/>
    <s v="Not Sampled"/>
    <n v="1349"/>
    <m/>
    <m/>
    <m/>
    <m/>
    <m/>
    <m/>
    <m/>
    <m/>
    <s v="Negative"/>
    <s v="Not Sampled"/>
    <s v="Not Sampled"/>
  </r>
  <r>
    <x v="8"/>
    <x v="35"/>
    <x v="19"/>
    <x v="2"/>
    <x v="0"/>
    <x v="25"/>
    <x v="175"/>
    <x v="31"/>
    <n v="1"/>
    <s v="Not Sampled"/>
    <n v="1350"/>
    <m/>
    <m/>
    <m/>
    <m/>
    <m/>
    <m/>
    <m/>
    <m/>
    <s v="Positive"/>
    <s v="Not Sampled"/>
    <s v="Not Sampled"/>
  </r>
  <r>
    <x v="12"/>
    <x v="3"/>
    <x v="2"/>
    <x v="2"/>
    <x v="0"/>
    <x v="120"/>
    <x v="176"/>
    <x v="18"/>
    <n v="1"/>
    <s v="Not Sampled"/>
    <n v="1351"/>
    <m/>
    <m/>
    <m/>
    <m/>
    <m/>
    <m/>
    <m/>
    <m/>
    <s v="Positive"/>
    <s v="Not Sampled"/>
    <s v="Not Sampled"/>
  </r>
  <r>
    <x v="4"/>
    <x v="69"/>
    <x v="29"/>
    <x v="28"/>
    <x v="0"/>
    <x v="46"/>
    <x v="177"/>
    <x v="8"/>
    <n v="0"/>
    <s v="Not Sampled"/>
    <n v="1352"/>
    <m/>
    <m/>
    <m/>
    <m/>
    <m/>
    <m/>
    <m/>
    <m/>
    <s v="Negative"/>
    <s v="Not Sampled"/>
    <s v="Not Sampled"/>
  </r>
  <r>
    <x v="7"/>
    <x v="95"/>
    <x v="16"/>
    <x v="4"/>
    <x v="14"/>
    <x v="121"/>
    <x v="178"/>
    <x v="29"/>
    <n v="1"/>
    <n v="1"/>
    <n v="1353"/>
    <m/>
    <m/>
    <m/>
    <m/>
    <m/>
    <m/>
    <m/>
    <m/>
    <s v="Positive"/>
    <s v="Positive"/>
    <s v="Accurate Prediction"/>
  </r>
  <r>
    <x v="2"/>
    <x v="38"/>
    <x v="22"/>
    <x v="2"/>
    <x v="0"/>
    <x v="122"/>
    <x v="179"/>
    <x v="4"/>
    <n v="0"/>
    <s v="Not Sampled"/>
    <n v="1354"/>
    <m/>
    <m/>
    <m/>
    <m/>
    <m/>
    <m/>
    <m/>
    <m/>
    <s v="Negative"/>
    <s v="Not Sampled"/>
    <s v="Not Sampled"/>
  </r>
  <r>
    <x v="5"/>
    <x v="61"/>
    <x v="0"/>
    <x v="27"/>
    <x v="35"/>
    <x v="123"/>
    <x v="159"/>
    <x v="1"/>
    <n v="1"/>
    <s v="Not Sampled"/>
    <n v="1355"/>
    <m/>
    <m/>
    <m/>
    <m/>
    <m/>
    <m/>
    <m/>
    <m/>
    <s v="Positive"/>
    <s v="Not Sampled"/>
    <s v="Not Sampled"/>
  </r>
  <r>
    <x v="3"/>
    <x v="49"/>
    <x v="11"/>
    <x v="38"/>
    <x v="47"/>
    <x v="124"/>
    <x v="180"/>
    <x v="25"/>
    <n v="1"/>
    <s v="Not Sampled"/>
    <n v="1356"/>
    <m/>
    <m/>
    <m/>
    <m/>
    <m/>
    <m/>
    <m/>
    <m/>
    <s v="Positive"/>
    <s v="Not Sampled"/>
    <s v="Not Sampled"/>
  </r>
  <r>
    <x v="3"/>
    <x v="89"/>
    <x v="12"/>
    <x v="21"/>
    <x v="70"/>
    <x v="125"/>
    <x v="181"/>
    <x v="29"/>
    <n v="1"/>
    <s v="Not Sampled"/>
    <n v="1357"/>
    <m/>
    <m/>
    <m/>
    <m/>
    <m/>
    <m/>
    <m/>
    <m/>
    <s v="Positive"/>
    <s v="Not Sampled"/>
    <s v="Not Sampled"/>
  </r>
  <r>
    <x v="1"/>
    <x v="57"/>
    <x v="6"/>
    <x v="41"/>
    <x v="0"/>
    <x v="126"/>
    <x v="182"/>
    <x v="4"/>
    <n v="0"/>
    <s v="Not Sampled"/>
    <n v="1358"/>
    <m/>
    <m/>
    <m/>
    <m/>
    <m/>
    <m/>
    <m/>
    <m/>
    <s v="Negative"/>
    <s v="Not Sampled"/>
    <s v="Not Sampled"/>
  </r>
  <r>
    <x v="2"/>
    <x v="0"/>
    <x v="1"/>
    <x v="2"/>
    <x v="0"/>
    <x v="127"/>
    <x v="183"/>
    <x v="6"/>
    <n v="0"/>
    <s v="Not Sampled"/>
    <n v="1359"/>
    <m/>
    <m/>
    <m/>
    <m/>
    <m/>
    <m/>
    <m/>
    <m/>
    <s v="Negative"/>
    <s v="Not Sampled"/>
    <s v="Not Sampled"/>
  </r>
  <r>
    <x v="1"/>
    <x v="81"/>
    <x v="3"/>
    <x v="28"/>
    <x v="0"/>
    <x v="30"/>
    <x v="184"/>
    <x v="32"/>
    <n v="0"/>
    <s v="Not Sampled"/>
    <n v="1360"/>
    <m/>
    <m/>
    <m/>
    <m/>
    <m/>
    <m/>
    <m/>
    <m/>
    <s v="Negative"/>
    <s v="Not Sampled"/>
    <s v="Not Sampled"/>
  </r>
  <r>
    <x v="0"/>
    <x v="6"/>
    <x v="9"/>
    <x v="41"/>
    <x v="71"/>
    <x v="76"/>
    <x v="41"/>
    <x v="23"/>
    <n v="0"/>
    <n v="0"/>
    <n v="1361"/>
    <m/>
    <m/>
    <m/>
    <m/>
    <m/>
    <m/>
    <m/>
    <m/>
    <s v="Negative"/>
    <s v="Negative"/>
    <s v="Accurate Prediction"/>
  </r>
  <r>
    <x v="6"/>
    <x v="28"/>
    <x v="5"/>
    <x v="5"/>
    <x v="72"/>
    <x v="50"/>
    <x v="82"/>
    <x v="15"/>
    <n v="0"/>
    <s v="Not Sampled"/>
    <n v="1362"/>
    <m/>
    <m/>
    <m/>
    <m/>
    <m/>
    <m/>
    <m/>
    <m/>
    <s v="Negative"/>
    <s v="Not Sampled"/>
    <s v="Not Sampled"/>
  </r>
  <r>
    <x v="7"/>
    <x v="31"/>
    <x v="5"/>
    <x v="7"/>
    <x v="0"/>
    <x v="128"/>
    <x v="185"/>
    <x v="23"/>
    <n v="0"/>
    <s v="Not Sampled"/>
    <n v="1363"/>
    <m/>
    <m/>
    <m/>
    <m/>
    <m/>
    <m/>
    <m/>
    <m/>
    <s v="Negative"/>
    <s v="Not Sampled"/>
    <s v="Not Sampled"/>
  </r>
  <r>
    <x v="4"/>
    <x v="96"/>
    <x v="15"/>
    <x v="30"/>
    <x v="73"/>
    <x v="129"/>
    <x v="186"/>
    <x v="40"/>
    <n v="1"/>
    <s v="Not Sampled"/>
    <n v="1364"/>
    <m/>
    <m/>
    <m/>
    <m/>
    <m/>
    <m/>
    <m/>
    <m/>
    <s v="Positive"/>
    <s v="Not Sampled"/>
    <s v="Not Sampled"/>
  </r>
  <r>
    <x v="7"/>
    <x v="76"/>
    <x v="35"/>
    <x v="2"/>
    <x v="0"/>
    <x v="50"/>
    <x v="187"/>
    <x v="41"/>
    <n v="1"/>
    <n v="1"/>
    <n v="1365"/>
    <m/>
    <m/>
    <m/>
    <m/>
    <m/>
    <m/>
    <m/>
    <m/>
    <s v="Positive"/>
    <s v="Positive"/>
    <s v="Accurate Prediction"/>
  </r>
  <r>
    <x v="2"/>
    <x v="20"/>
    <x v="11"/>
    <x v="21"/>
    <x v="74"/>
    <x v="34"/>
    <x v="188"/>
    <x v="4"/>
    <n v="0"/>
    <s v="Not Sampled"/>
    <n v="1366"/>
    <m/>
    <m/>
    <m/>
    <m/>
    <m/>
    <m/>
    <m/>
    <m/>
    <s v="Negative"/>
    <s v="Not Sampled"/>
    <s v="Not Sampled"/>
  </r>
  <r>
    <x v="8"/>
    <x v="97"/>
    <x v="16"/>
    <x v="12"/>
    <x v="0"/>
    <x v="130"/>
    <x v="189"/>
    <x v="17"/>
    <n v="1"/>
    <s v="Not Sampled"/>
    <n v="1367"/>
    <m/>
    <m/>
    <m/>
    <m/>
    <m/>
    <m/>
    <m/>
    <m/>
    <s v="Positive"/>
    <s v="Not Sampled"/>
    <s v="Not Sampled"/>
  </r>
  <r>
    <x v="0"/>
    <x v="14"/>
    <x v="12"/>
    <x v="29"/>
    <x v="0"/>
    <x v="116"/>
    <x v="190"/>
    <x v="14"/>
    <n v="0"/>
    <s v="Not Sampled"/>
    <n v="1368"/>
    <m/>
    <m/>
    <m/>
    <m/>
    <m/>
    <m/>
    <m/>
    <m/>
    <s v="Negative"/>
    <s v="Not Sampled"/>
    <s v="Not Sampled"/>
  </r>
  <r>
    <x v="1"/>
    <x v="83"/>
    <x v="23"/>
    <x v="31"/>
    <x v="0"/>
    <x v="131"/>
    <x v="191"/>
    <x v="3"/>
    <n v="0"/>
    <n v="1"/>
    <n v="1369"/>
    <m/>
    <m/>
    <m/>
    <m/>
    <m/>
    <m/>
    <m/>
    <m/>
    <s v="Negative"/>
    <s v="Positive"/>
    <s v="Inaccurate Prediction"/>
  </r>
  <r>
    <x v="8"/>
    <x v="91"/>
    <x v="36"/>
    <x v="1"/>
    <x v="0"/>
    <x v="89"/>
    <x v="192"/>
    <x v="35"/>
    <n v="0"/>
    <s v="Not Sampled"/>
    <n v="1370"/>
    <m/>
    <m/>
    <m/>
    <m/>
    <m/>
    <m/>
    <m/>
    <m/>
    <s v="Negative"/>
    <s v="Not Sampled"/>
    <s v="Not Sampled"/>
  </r>
  <r>
    <x v="1"/>
    <x v="98"/>
    <x v="7"/>
    <x v="16"/>
    <x v="66"/>
    <x v="132"/>
    <x v="193"/>
    <x v="3"/>
    <n v="1"/>
    <s v="Not Sampled"/>
    <n v="1371"/>
    <m/>
    <m/>
    <m/>
    <m/>
    <m/>
    <m/>
    <m/>
    <m/>
    <s v="Positive"/>
    <s v="Not Sampled"/>
    <s v="Not Sampled"/>
  </r>
  <r>
    <x v="11"/>
    <x v="56"/>
    <x v="1"/>
    <x v="5"/>
    <x v="45"/>
    <x v="89"/>
    <x v="112"/>
    <x v="31"/>
    <n v="1"/>
    <s v="Not Sampled"/>
    <n v="1372"/>
    <m/>
    <m/>
    <m/>
    <m/>
    <m/>
    <m/>
    <m/>
    <m/>
    <s v="Positive"/>
    <s v="Not Sampled"/>
    <s v="Not Sampled"/>
  </r>
  <r>
    <x v="10"/>
    <x v="68"/>
    <x v="9"/>
    <x v="32"/>
    <x v="75"/>
    <x v="133"/>
    <x v="194"/>
    <x v="19"/>
    <n v="1"/>
    <s v="Not Sampled"/>
    <n v="1373"/>
    <m/>
    <m/>
    <m/>
    <m/>
    <m/>
    <m/>
    <m/>
    <m/>
    <s v="Positive"/>
    <s v="Not Sampled"/>
    <s v="Not Sampled"/>
  </r>
  <r>
    <x v="7"/>
    <x v="49"/>
    <x v="0"/>
    <x v="4"/>
    <x v="76"/>
    <x v="134"/>
    <x v="195"/>
    <x v="14"/>
    <n v="1"/>
    <s v="Not Sampled"/>
    <n v="1374"/>
    <m/>
    <m/>
    <m/>
    <m/>
    <m/>
    <m/>
    <m/>
    <m/>
    <s v="Positive"/>
    <s v="Not Sampled"/>
    <s v="Not Sampled"/>
  </r>
  <r>
    <x v="6"/>
    <x v="10"/>
    <x v="3"/>
    <x v="8"/>
    <x v="77"/>
    <x v="135"/>
    <x v="196"/>
    <x v="32"/>
    <n v="0"/>
    <s v="Not Sampled"/>
    <n v="1375"/>
    <m/>
    <m/>
    <m/>
    <m/>
    <m/>
    <m/>
    <m/>
    <m/>
    <s v="Negative"/>
    <s v="Not Sampled"/>
    <s v="Not Sampled"/>
  </r>
  <r>
    <x v="7"/>
    <x v="69"/>
    <x v="10"/>
    <x v="29"/>
    <x v="0"/>
    <x v="55"/>
    <x v="197"/>
    <x v="32"/>
    <n v="1"/>
    <n v="0"/>
    <n v="1376"/>
    <m/>
    <m/>
    <m/>
    <m/>
    <m/>
    <m/>
    <m/>
    <m/>
    <s v="Positive"/>
    <s v="Negative"/>
    <s v="Inaccurate Prediction"/>
  </r>
  <r>
    <x v="7"/>
    <x v="56"/>
    <x v="19"/>
    <x v="2"/>
    <x v="0"/>
    <x v="136"/>
    <x v="86"/>
    <x v="17"/>
    <n v="1"/>
    <s v="Not Sampled"/>
    <n v="1377"/>
    <m/>
    <m/>
    <m/>
    <m/>
    <m/>
    <m/>
    <m/>
    <m/>
    <s v="Positive"/>
    <s v="Not Sampled"/>
    <s v="Not Sampled"/>
  </r>
  <r>
    <x v="1"/>
    <x v="99"/>
    <x v="12"/>
    <x v="30"/>
    <x v="78"/>
    <x v="137"/>
    <x v="198"/>
    <x v="4"/>
    <n v="1"/>
    <s v="Not Sampled"/>
    <n v="1378"/>
    <m/>
    <m/>
    <m/>
    <m/>
    <m/>
    <m/>
    <m/>
    <m/>
    <s v="Positive"/>
    <s v="Not Sampled"/>
    <s v="Not Sampled"/>
  </r>
  <r>
    <x v="0"/>
    <x v="95"/>
    <x v="8"/>
    <x v="2"/>
    <x v="0"/>
    <x v="31"/>
    <x v="199"/>
    <x v="12"/>
    <n v="1"/>
    <n v="1"/>
    <n v="1379"/>
    <m/>
    <m/>
    <m/>
    <m/>
    <m/>
    <m/>
    <m/>
    <m/>
    <s v="Positive"/>
    <s v="Positive"/>
    <s v="Accurate Prediction"/>
  </r>
  <r>
    <x v="8"/>
    <x v="93"/>
    <x v="2"/>
    <x v="2"/>
    <x v="0"/>
    <x v="18"/>
    <x v="200"/>
    <x v="26"/>
    <n v="0"/>
    <s v="Not Sampled"/>
    <n v="1380"/>
    <m/>
    <m/>
    <m/>
    <m/>
    <m/>
    <m/>
    <m/>
    <m/>
    <s v="Negative"/>
    <s v="Not Sampled"/>
    <s v="Not Sampled"/>
  </r>
  <r>
    <x v="8"/>
    <x v="64"/>
    <x v="12"/>
    <x v="12"/>
    <x v="72"/>
    <x v="138"/>
    <x v="140"/>
    <x v="36"/>
    <n v="0"/>
    <n v="1"/>
    <n v="1381"/>
    <m/>
    <m/>
    <m/>
    <m/>
    <m/>
    <m/>
    <m/>
    <m/>
    <s v="Negative"/>
    <s v="Positive"/>
    <s v="Inaccurate Prediction"/>
  </r>
  <r>
    <x v="2"/>
    <x v="45"/>
    <x v="19"/>
    <x v="11"/>
    <x v="79"/>
    <x v="139"/>
    <x v="201"/>
    <x v="25"/>
    <n v="0"/>
    <s v="Not Sampled"/>
    <n v="1382"/>
    <m/>
    <m/>
    <m/>
    <m/>
    <m/>
    <m/>
    <m/>
    <m/>
    <s v="Negative"/>
    <s v="Not Sampled"/>
    <s v="Not Sampled"/>
  </r>
  <r>
    <x v="2"/>
    <x v="90"/>
    <x v="4"/>
    <x v="21"/>
    <x v="80"/>
    <x v="137"/>
    <x v="202"/>
    <x v="11"/>
    <n v="0"/>
    <s v="Not Sampled"/>
    <n v="1383"/>
    <m/>
    <m/>
    <m/>
    <m/>
    <m/>
    <m/>
    <m/>
    <m/>
    <s v="Negative"/>
    <s v="Not Sampled"/>
    <s v="Not Sampled"/>
  </r>
  <r>
    <x v="1"/>
    <x v="39"/>
    <x v="15"/>
    <x v="2"/>
    <x v="0"/>
    <x v="140"/>
    <x v="203"/>
    <x v="25"/>
    <n v="0"/>
    <s v="Not Sampled"/>
    <n v="1384"/>
    <m/>
    <m/>
    <m/>
    <m/>
    <m/>
    <m/>
    <m/>
    <m/>
    <s v="Negative"/>
    <s v="Not Sampled"/>
    <s v="Not Sampled"/>
  </r>
  <r>
    <x v="5"/>
    <x v="76"/>
    <x v="33"/>
    <x v="9"/>
    <x v="0"/>
    <x v="19"/>
    <x v="204"/>
    <x v="3"/>
    <n v="1"/>
    <s v="Not Sampled"/>
    <n v="1385"/>
    <m/>
    <m/>
    <m/>
    <m/>
    <m/>
    <m/>
    <m/>
    <m/>
    <s v="Positive"/>
    <s v="Not Sampled"/>
    <s v="Not Sampled"/>
  </r>
  <r>
    <x v="3"/>
    <x v="100"/>
    <x v="9"/>
    <x v="15"/>
    <x v="81"/>
    <x v="141"/>
    <x v="205"/>
    <x v="2"/>
    <n v="0"/>
    <s v="Not Sampled"/>
    <n v="1386"/>
    <m/>
    <m/>
    <m/>
    <m/>
    <m/>
    <m/>
    <m/>
    <m/>
    <s v="Negative"/>
    <s v="Not Sampled"/>
    <s v="Not Sampled"/>
  </r>
  <r>
    <x v="1"/>
    <x v="17"/>
    <x v="6"/>
    <x v="1"/>
    <x v="61"/>
    <x v="142"/>
    <x v="206"/>
    <x v="3"/>
    <n v="0"/>
    <s v="Not Sampled"/>
    <n v="1387"/>
    <m/>
    <m/>
    <m/>
    <m/>
    <m/>
    <m/>
    <m/>
    <m/>
    <s v="Negative"/>
    <s v="Not Sampled"/>
    <s v="Not Sampled"/>
  </r>
  <r>
    <x v="3"/>
    <x v="64"/>
    <x v="24"/>
    <x v="2"/>
    <x v="0"/>
    <x v="143"/>
    <x v="207"/>
    <x v="11"/>
    <n v="1"/>
    <s v="Not Sampled"/>
    <n v="1388"/>
    <m/>
    <m/>
    <m/>
    <m/>
    <m/>
    <m/>
    <m/>
    <m/>
    <s v="Positive"/>
    <s v="Not Sampled"/>
    <s v="Not Sampled"/>
  </r>
  <r>
    <x v="6"/>
    <x v="63"/>
    <x v="6"/>
    <x v="18"/>
    <x v="82"/>
    <x v="144"/>
    <x v="21"/>
    <x v="22"/>
    <n v="1"/>
    <s v="Not Sampled"/>
    <n v="1389"/>
    <m/>
    <m/>
    <m/>
    <m/>
    <m/>
    <m/>
    <m/>
    <m/>
    <s v="Positive"/>
    <s v="Not Sampled"/>
    <s v="Not Sampled"/>
  </r>
  <r>
    <x v="2"/>
    <x v="53"/>
    <x v="6"/>
    <x v="14"/>
    <x v="44"/>
    <x v="54"/>
    <x v="69"/>
    <x v="11"/>
    <n v="0"/>
    <n v="0"/>
    <n v="1390"/>
    <m/>
    <m/>
    <m/>
    <m/>
    <m/>
    <m/>
    <m/>
    <m/>
    <s v="Negative"/>
    <s v="Negative"/>
    <s v="Accurate Prediction"/>
  </r>
  <r>
    <x v="3"/>
    <x v="27"/>
    <x v="3"/>
    <x v="2"/>
    <x v="0"/>
    <x v="145"/>
    <x v="208"/>
    <x v="29"/>
    <n v="0"/>
    <s v="Not Sampled"/>
    <n v="1391"/>
    <m/>
    <m/>
    <m/>
    <m/>
    <m/>
    <m/>
    <m/>
    <m/>
    <s v="Negative"/>
    <s v="Not Sampled"/>
    <s v="Not Sampled"/>
  </r>
  <r>
    <x v="5"/>
    <x v="58"/>
    <x v="3"/>
    <x v="7"/>
    <x v="83"/>
    <x v="27"/>
    <x v="209"/>
    <x v="1"/>
    <n v="0"/>
    <s v="Not Sampled"/>
    <n v="1392"/>
    <m/>
    <m/>
    <m/>
    <m/>
    <m/>
    <m/>
    <m/>
    <m/>
    <s v="Negative"/>
    <s v="Not Sampled"/>
    <s v="Not Sampled"/>
  </r>
  <r>
    <x v="3"/>
    <x v="34"/>
    <x v="5"/>
    <x v="2"/>
    <x v="0"/>
    <x v="146"/>
    <x v="210"/>
    <x v="25"/>
    <n v="1"/>
    <s v="Not Sampled"/>
    <n v="1393"/>
    <m/>
    <m/>
    <m/>
    <m/>
    <m/>
    <m/>
    <m/>
    <m/>
    <s v="Positive"/>
    <s v="Not Sampled"/>
    <s v="Not Sampled"/>
  </r>
  <r>
    <x v="8"/>
    <x v="94"/>
    <x v="16"/>
    <x v="23"/>
    <x v="17"/>
    <x v="117"/>
    <x v="45"/>
    <x v="42"/>
    <n v="1"/>
    <s v="Not Sampled"/>
    <n v="1394"/>
    <m/>
    <m/>
    <m/>
    <m/>
    <m/>
    <m/>
    <m/>
    <m/>
    <s v="Positive"/>
    <s v="Not Sampled"/>
    <s v="Not Sampled"/>
  </r>
  <r>
    <x v="1"/>
    <x v="91"/>
    <x v="8"/>
    <x v="21"/>
    <x v="0"/>
    <x v="147"/>
    <x v="211"/>
    <x v="1"/>
    <n v="1"/>
    <n v="1"/>
    <n v="1395"/>
    <m/>
    <m/>
    <m/>
    <m/>
    <m/>
    <m/>
    <m/>
    <m/>
    <s v="Positive"/>
    <s v="Positive"/>
    <s v="Accurate Prediction"/>
  </r>
  <r>
    <x v="11"/>
    <x v="101"/>
    <x v="16"/>
    <x v="23"/>
    <x v="0"/>
    <x v="98"/>
    <x v="212"/>
    <x v="32"/>
    <n v="1"/>
    <s v="Not Sampled"/>
    <n v="1396"/>
    <m/>
    <m/>
    <m/>
    <m/>
    <m/>
    <m/>
    <m/>
    <m/>
    <s v="Positive"/>
    <s v="Not Sampled"/>
    <s v="Not Sampled"/>
  </r>
  <r>
    <x v="1"/>
    <x v="88"/>
    <x v="15"/>
    <x v="2"/>
    <x v="0"/>
    <x v="148"/>
    <x v="213"/>
    <x v="23"/>
    <n v="0"/>
    <s v="Not Sampled"/>
    <n v="1397"/>
    <m/>
    <m/>
    <m/>
    <m/>
    <m/>
    <m/>
    <m/>
    <m/>
    <s v="Negative"/>
    <s v="Not Sampled"/>
    <s v="Not Sampled"/>
  </r>
  <r>
    <x v="2"/>
    <x v="25"/>
    <x v="11"/>
    <x v="20"/>
    <x v="0"/>
    <x v="149"/>
    <x v="105"/>
    <x v="4"/>
    <n v="0"/>
    <s v="Not Sampled"/>
    <n v="1398"/>
    <m/>
    <m/>
    <m/>
    <m/>
    <m/>
    <m/>
    <m/>
    <m/>
    <s v="Negative"/>
    <s v="Not Sampled"/>
    <s v="Not Sampled"/>
  </r>
  <r>
    <x v="3"/>
    <x v="25"/>
    <x v="9"/>
    <x v="5"/>
    <x v="84"/>
    <x v="119"/>
    <x v="214"/>
    <x v="11"/>
    <n v="0"/>
    <s v="Not Sampled"/>
    <n v="1399"/>
    <m/>
    <m/>
    <m/>
    <m/>
    <m/>
    <m/>
    <m/>
    <m/>
    <s v="Negative"/>
    <s v="Not Sampled"/>
    <s v="Not Sampled"/>
  </r>
  <r>
    <x v="5"/>
    <x v="4"/>
    <x v="14"/>
    <x v="2"/>
    <x v="0"/>
    <x v="6"/>
    <x v="215"/>
    <x v="11"/>
    <n v="1"/>
    <s v="Not Sampled"/>
    <n v="1400"/>
    <m/>
    <m/>
    <m/>
    <m/>
    <m/>
    <m/>
    <m/>
    <m/>
    <s v="Positive"/>
    <s v="Not Sampled"/>
    <s v="Not Sampled"/>
  </r>
  <r>
    <x v="6"/>
    <x v="93"/>
    <x v="13"/>
    <x v="29"/>
    <x v="34"/>
    <x v="150"/>
    <x v="216"/>
    <x v="9"/>
    <n v="1"/>
    <s v="Not Sampled"/>
    <n v="1401"/>
    <m/>
    <m/>
    <m/>
    <m/>
    <m/>
    <m/>
    <m/>
    <m/>
    <s v="Positive"/>
    <s v="Not Sampled"/>
    <s v="Not Sampled"/>
  </r>
  <r>
    <x v="0"/>
    <x v="36"/>
    <x v="15"/>
    <x v="0"/>
    <x v="85"/>
    <x v="1"/>
    <x v="217"/>
    <x v="29"/>
    <n v="0"/>
    <n v="0"/>
    <n v="1402"/>
    <m/>
    <m/>
    <m/>
    <m/>
    <m/>
    <m/>
    <m/>
    <m/>
    <s v="Negative"/>
    <s v="Negative"/>
    <s v="Accurate Prediction"/>
  </r>
  <r>
    <x v="11"/>
    <x v="97"/>
    <x v="23"/>
    <x v="11"/>
    <x v="0"/>
    <x v="135"/>
    <x v="218"/>
    <x v="43"/>
    <n v="1"/>
    <n v="1"/>
    <n v="1403"/>
    <m/>
    <m/>
    <m/>
    <m/>
    <m/>
    <m/>
    <m/>
    <m/>
    <s v="Positive"/>
    <s v="Positive"/>
    <s v="Accurate Prediction"/>
  </r>
  <r>
    <x v="9"/>
    <x v="27"/>
    <x v="3"/>
    <x v="2"/>
    <x v="0"/>
    <x v="84"/>
    <x v="61"/>
    <x v="17"/>
    <n v="0"/>
    <s v="Not Sampled"/>
    <n v="1404"/>
    <m/>
    <m/>
    <m/>
    <m/>
    <m/>
    <m/>
    <m/>
    <m/>
    <s v="Negative"/>
    <s v="Not Sampled"/>
    <s v="Not Sampled"/>
  </r>
  <r>
    <x v="1"/>
    <x v="102"/>
    <x v="8"/>
    <x v="12"/>
    <x v="86"/>
    <x v="120"/>
    <x v="219"/>
    <x v="1"/>
    <n v="0"/>
    <s v="Not Sampled"/>
    <n v="1405"/>
    <m/>
    <m/>
    <m/>
    <m/>
    <m/>
    <m/>
    <m/>
    <m/>
    <s v="Negative"/>
    <s v="Not Sampled"/>
    <s v="Not Sampled"/>
  </r>
  <r>
    <x v="11"/>
    <x v="73"/>
    <x v="9"/>
    <x v="12"/>
    <x v="87"/>
    <x v="110"/>
    <x v="220"/>
    <x v="34"/>
    <n v="0"/>
    <n v="0"/>
    <n v="1406"/>
    <m/>
    <m/>
    <m/>
    <m/>
    <m/>
    <m/>
    <m/>
    <m/>
    <s v="Negative"/>
    <s v="Negative"/>
    <s v="Accurate Prediction"/>
  </r>
  <r>
    <x v="2"/>
    <x v="31"/>
    <x v="24"/>
    <x v="13"/>
    <x v="0"/>
    <x v="15"/>
    <x v="221"/>
    <x v="1"/>
    <n v="0"/>
    <s v="Not Sampled"/>
    <n v="1407"/>
    <m/>
    <m/>
    <m/>
    <m/>
    <m/>
    <m/>
    <m/>
    <m/>
    <s v="Negative"/>
    <s v="Not Sampled"/>
    <s v="Not Sampled"/>
  </r>
  <r>
    <x v="11"/>
    <x v="33"/>
    <x v="33"/>
    <x v="2"/>
    <x v="0"/>
    <x v="84"/>
    <x v="222"/>
    <x v="8"/>
    <n v="0"/>
    <s v="Not Sampled"/>
    <n v="1408"/>
    <m/>
    <m/>
    <m/>
    <m/>
    <m/>
    <m/>
    <m/>
    <m/>
    <s v="Negative"/>
    <s v="Not Sampled"/>
    <s v="Not Sampled"/>
  </r>
  <r>
    <x v="0"/>
    <x v="52"/>
    <x v="16"/>
    <x v="2"/>
    <x v="0"/>
    <x v="43"/>
    <x v="223"/>
    <x v="23"/>
    <n v="0"/>
    <n v="0"/>
    <n v="1409"/>
    <m/>
    <m/>
    <m/>
    <m/>
    <m/>
    <m/>
    <m/>
    <m/>
    <s v="Negative"/>
    <s v="Negative"/>
    <s v="Accurate Prediction"/>
  </r>
  <r>
    <x v="0"/>
    <x v="30"/>
    <x v="6"/>
    <x v="36"/>
    <x v="67"/>
    <x v="46"/>
    <x v="224"/>
    <x v="3"/>
    <n v="0"/>
    <s v="Not Sampled"/>
    <n v="1410"/>
    <m/>
    <m/>
    <m/>
    <m/>
    <m/>
    <m/>
    <m/>
    <m/>
    <s v="Negative"/>
    <s v="Not Sampled"/>
    <s v="Not Sampled"/>
  </r>
  <r>
    <x v="1"/>
    <x v="103"/>
    <x v="3"/>
    <x v="5"/>
    <x v="0"/>
    <x v="134"/>
    <x v="21"/>
    <x v="14"/>
    <n v="0"/>
    <s v="Not Sampled"/>
    <n v="1411"/>
    <m/>
    <m/>
    <m/>
    <m/>
    <m/>
    <m/>
    <m/>
    <m/>
    <s v="Negative"/>
    <s v="Not Sampled"/>
    <s v="Not Sampled"/>
  </r>
  <r>
    <x v="10"/>
    <x v="66"/>
    <x v="0"/>
    <x v="42"/>
    <x v="88"/>
    <x v="32"/>
    <x v="225"/>
    <x v="30"/>
    <n v="1"/>
    <s v="Not Sampled"/>
    <n v="1412"/>
    <m/>
    <m/>
    <m/>
    <m/>
    <m/>
    <m/>
    <m/>
    <m/>
    <s v="Positive"/>
    <s v="Not Sampled"/>
    <s v="Not Sampled"/>
  </r>
  <r>
    <x v="2"/>
    <x v="57"/>
    <x v="11"/>
    <x v="0"/>
    <x v="0"/>
    <x v="0"/>
    <x v="104"/>
    <x v="4"/>
    <n v="1"/>
    <s v="Not Sampled"/>
    <n v="1413"/>
    <m/>
    <m/>
    <m/>
    <m/>
    <m/>
    <m/>
    <m/>
    <m/>
    <s v="Positive"/>
    <s v="Not Sampled"/>
    <s v="Not Sampled"/>
  </r>
  <r>
    <x v="5"/>
    <x v="31"/>
    <x v="20"/>
    <x v="15"/>
    <x v="0"/>
    <x v="15"/>
    <x v="226"/>
    <x v="13"/>
    <n v="0"/>
    <s v="Not Sampled"/>
    <n v="1414"/>
    <m/>
    <m/>
    <m/>
    <m/>
    <m/>
    <m/>
    <m/>
    <m/>
    <s v="Negative"/>
    <s v="Not Sampled"/>
    <s v="Not Sampled"/>
  </r>
  <r>
    <x v="0"/>
    <x v="48"/>
    <x v="3"/>
    <x v="29"/>
    <x v="0"/>
    <x v="77"/>
    <x v="227"/>
    <x v="14"/>
    <n v="0"/>
    <n v="0"/>
    <n v="1415"/>
    <m/>
    <m/>
    <m/>
    <m/>
    <m/>
    <m/>
    <m/>
    <m/>
    <s v="Negative"/>
    <s v="Negative"/>
    <s v="Accurate Prediction"/>
  </r>
  <r>
    <x v="2"/>
    <x v="104"/>
    <x v="13"/>
    <x v="41"/>
    <x v="89"/>
    <x v="151"/>
    <x v="228"/>
    <x v="3"/>
    <n v="0"/>
    <s v="Not Sampled"/>
    <n v="1416"/>
    <m/>
    <m/>
    <m/>
    <m/>
    <m/>
    <m/>
    <m/>
    <m/>
    <s v="Negative"/>
    <s v="Not Sampled"/>
    <s v="Not Sampled"/>
  </r>
  <r>
    <x v="12"/>
    <x v="70"/>
    <x v="15"/>
    <x v="7"/>
    <x v="90"/>
    <x v="21"/>
    <x v="229"/>
    <x v="42"/>
    <n v="1"/>
    <s v="Not Sampled"/>
    <n v="1417"/>
    <m/>
    <m/>
    <m/>
    <m/>
    <m/>
    <m/>
    <m/>
    <m/>
    <s v="Positive"/>
    <s v="Not Sampled"/>
    <s v="Not Sampled"/>
  </r>
  <r>
    <x v="5"/>
    <x v="105"/>
    <x v="3"/>
    <x v="11"/>
    <x v="66"/>
    <x v="125"/>
    <x v="167"/>
    <x v="34"/>
    <n v="0"/>
    <n v="1"/>
    <n v="1418"/>
    <m/>
    <m/>
    <m/>
    <m/>
    <m/>
    <m/>
    <m/>
    <m/>
    <s v="Negative"/>
    <s v="Positive"/>
    <s v="Inaccurate Prediction"/>
  </r>
  <r>
    <x v="5"/>
    <x v="47"/>
    <x v="2"/>
    <x v="2"/>
    <x v="0"/>
    <x v="135"/>
    <x v="88"/>
    <x v="23"/>
    <n v="1"/>
    <s v="Not Sampled"/>
    <n v="1419"/>
    <m/>
    <m/>
    <m/>
    <m/>
    <m/>
    <m/>
    <m/>
    <m/>
    <s v="Positive"/>
    <s v="Not Sampled"/>
    <s v="Not Sampled"/>
  </r>
  <r>
    <x v="3"/>
    <x v="50"/>
    <x v="9"/>
    <x v="5"/>
    <x v="0"/>
    <x v="152"/>
    <x v="230"/>
    <x v="3"/>
    <n v="0"/>
    <s v="Not Sampled"/>
    <n v="1420"/>
    <m/>
    <m/>
    <m/>
    <m/>
    <m/>
    <m/>
    <m/>
    <m/>
    <s v="Negative"/>
    <s v="Not Sampled"/>
    <s v="Not Sampled"/>
  </r>
  <r>
    <x v="5"/>
    <x v="64"/>
    <x v="6"/>
    <x v="11"/>
    <x v="0"/>
    <x v="68"/>
    <x v="29"/>
    <x v="44"/>
    <n v="0"/>
    <n v="0"/>
    <n v="1421"/>
    <m/>
    <m/>
    <m/>
    <m/>
    <m/>
    <m/>
    <m/>
    <m/>
    <s v="Negative"/>
    <s v="Negative"/>
    <s v="Accurate Prediction"/>
  </r>
  <r>
    <x v="3"/>
    <x v="62"/>
    <x v="0"/>
    <x v="2"/>
    <x v="0"/>
    <x v="61"/>
    <x v="231"/>
    <x v="20"/>
    <n v="1"/>
    <s v="Not Sampled"/>
    <n v="1422"/>
    <m/>
    <m/>
    <m/>
    <m/>
    <m/>
    <m/>
    <m/>
    <m/>
    <s v="Positive"/>
    <s v="Not Sampled"/>
    <s v="Not Sampled"/>
  </r>
  <r>
    <x v="7"/>
    <x v="20"/>
    <x v="10"/>
    <x v="10"/>
    <x v="91"/>
    <x v="0"/>
    <x v="232"/>
    <x v="33"/>
    <n v="0"/>
    <s v="Not Sampled"/>
    <n v="1423"/>
    <m/>
    <m/>
    <m/>
    <m/>
    <m/>
    <m/>
    <m/>
    <m/>
    <s v="Negative"/>
    <s v="Not Sampled"/>
    <s v="Not Sampled"/>
  </r>
  <r>
    <x v="1"/>
    <x v="0"/>
    <x v="2"/>
    <x v="2"/>
    <x v="0"/>
    <x v="153"/>
    <x v="233"/>
    <x v="14"/>
    <n v="1"/>
    <s v="Not Sampled"/>
    <n v="1424"/>
    <m/>
    <m/>
    <m/>
    <m/>
    <m/>
    <m/>
    <m/>
    <m/>
    <s v="Positive"/>
    <s v="Not Sampled"/>
    <s v="Not Sampled"/>
  </r>
  <r>
    <x v="0"/>
    <x v="80"/>
    <x v="11"/>
    <x v="3"/>
    <x v="0"/>
    <x v="154"/>
    <x v="234"/>
    <x v="3"/>
    <n v="0"/>
    <s v="Not Sampled"/>
    <n v="1425"/>
    <m/>
    <m/>
    <m/>
    <m/>
    <m/>
    <m/>
    <m/>
    <m/>
    <s v="Negative"/>
    <s v="Not Sampled"/>
    <s v="Not Sampled"/>
  </r>
  <r>
    <x v="1"/>
    <x v="29"/>
    <x v="33"/>
    <x v="2"/>
    <x v="0"/>
    <x v="16"/>
    <x v="235"/>
    <x v="4"/>
    <n v="0"/>
    <s v="Not Sampled"/>
    <n v="1426"/>
    <m/>
    <m/>
    <m/>
    <m/>
    <m/>
    <m/>
    <m/>
    <m/>
    <s v="Negative"/>
    <s v="Not Sampled"/>
    <s v="Not Sampled"/>
  </r>
  <r>
    <x v="0"/>
    <x v="36"/>
    <x v="2"/>
    <x v="2"/>
    <x v="0"/>
    <x v="155"/>
    <x v="236"/>
    <x v="6"/>
    <n v="1"/>
    <s v="Not Sampled"/>
    <n v="1427"/>
    <m/>
    <m/>
    <m/>
    <m/>
    <m/>
    <m/>
    <m/>
    <m/>
    <s v="Positive"/>
    <s v="Not Sampled"/>
    <s v="Not Sampled"/>
  </r>
  <r>
    <x v="9"/>
    <x v="39"/>
    <x v="24"/>
    <x v="18"/>
    <x v="0"/>
    <x v="156"/>
    <x v="237"/>
    <x v="19"/>
    <n v="1"/>
    <n v="1"/>
    <n v="1428"/>
    <m/>
    <m/>
    <m/>
    <m/>
    <m/>
    <m/>
    <m/>
    <m/>
    <s v="Positive"/>
    <s v="Positive"/>
    <s v="Accurate Prediction"/>
  </r>
  <r>
    <x v="0"/>
    <x v="81"/>
    <x v="0"/>
    <x v="5"/>
    <x v="79"/>
    <x v="18"/>
    <x v="238"/>
    <x v="4"/>
    <n v="0"/>
    <s v="Not Sampled"/>
    <n v="1429"/>
    <m/>
    <m/>
    <m/>
    <m/>
    <m/>
    <m/>
    <m/>
    <m/>
    <s v="Negative"/>
    <s v="Not Sampled"/>
    <s v="Not Sampled"/>
  </r>
  <r>
    <x v="5"/>
    <x v="27"/>
    <x v="4"/>
    <x v="2"/>
    <x v="0"/>
    <x v="49"/>
    <x v="54"/>
    <x v="18"/>
    <n v="0"/>
    <s v="Not Sampled"/>
    <n v="1430"/>
    <m/>
    <m/>
    <m/>
    <m/>
    <m/>
    <m/>
    <m/>
    <m/>
    <s v="Negative"/>
    <s v="Not Sampled"/>
    <s v="Not Sampled"/>
  </r>
  <r>
    <x v="2"/>
    <x v="37"/>
    <x v="4"/>
    <x v="37"/>
    <x v="83"/>
    <x v="34"/>
    <x v="239"/>
    <x v="4"/>
    <n v="0"/>
    <s v="Not Sampled"/>
    <n v="1431"/>
    <m/>
    <m/>
    <m/>
    <m/>
    <m/>
    <m/>
    <m/>
    <m/>
    <s v="Negative"/>
    <s v="Not Sampled"/>
    <s v="Not Sampled"/>
  </r>
  <r>
    <x v="13"/>
    <x v="33"/>
    <x v="9"/>
    <x v="2"/>
    <x v="0"/>
    <x v="89"/>
    <x v="240"/>
    <x v="41"/>
    <n v="0"/>
    <s v="Not Sampled"/>
    <n v="1432"/>
    <m/>
    <m/>
    <m/>
    <m/>
    <m/>
    <m/>
    <m/>
    <m/>
    <s v="Negative"/>
    <s v="Not Sampled"/>
    <s v="Not Sampled"/>
  </r>
  <r>
    <x v="0"/>
    <x v="45"/>
    <x v="9"/>
    <x v="43"/>
    <x v="92"/>
    <x v="52"/>
    <x v="241"/>
    <x v="14"/>
    <n v="0"/>
    <s v="Not Sampled"/>
    <n v="1433"/>
    <m/>
    <m/>
    <m/>
    <m/>
    <m/>
    <m/>
    <m/>
    <m/>
    <s v="Negative"/>
    <s v="Not Sampled"/>
    <s v="Not Sampled"/>
  </r>
  <r>
    <x v="8"/>
    <x v="33"/>
    <x v="12"/>
    <x v="20"/>
    <x v="0"/>
    <x v="71"/>
    <x v="242"/>
    <x v="29"/>
    <n v="1"/>
    <s v="Not Sampled"/>
    <n v="1434"/>
    <m/>
    <m/>
    <m/>
    <m/>
    <m/>
    <m/>
    <m/>
    <m/>
    <s v="Positive"/>
    <s v="Not Sampled"/>
    <s v="Not Sampled"/>
  </r>
  <r>
    <x v="1"/>
    <x v="88"/>
    <x v="11"/>
    <x v="17"/>
    <x v="93"/>
    <x v="157"/>
    <x v="243"/>
    <x v="1"/>
    <n v="0"/>
    <s v="Not Sampled"/>
    <n v="1435"/>
    <m/>
    <m/>
    <m/>
    <m/>
    <m/>
    <m/>
    <m/>
    <m/>
    <s v="Negative"/>
    <s v="Not Sampled"/>
    <s v="Not Sampled"/>
  </r>
  <r>
    <x v="7"/>
    <x v="48"/>
    <x v="10"/>
    <x v="2"/>
    <x v="0"/>
    <x v="158"/>
    <x v="244"/>
    <x v="40"/>
    <n v="0"/>
    <s v="Not Sampled"/>
    <n v="1436"/>
    <m/>
    <m/>
    <m/>
    <m/>
    <m/>
    <m/>
    <m/>
    <m/>
    <s v="Negative"/>
    <s v="Not Sampled"/>
    <s v="Not Sampled"/>
  </r>
  <r>
    <x v="0"/>
    <x v="81"/>
    <x v="0"/>
    <x v="25"/>
    <x v="94"/>
    <x v="159"/>
    <x v="245"/>
    <x v="11"/>
    <n v="0"/>
    <n v="0"/>
    <n v="1437"/>
    <m/>
    <m/>
    <m/>
    <m/>
    <m/>
    <m/>
    <m/>
    <m/>
    <s v="Negative"/>
    <s v="Negative"/>
    <s v="Accurate Prediction"/>
  </r>
  <r>
    <x v="1"/>
    <x v="36"/>
    <x v="9"/>
    <x v="2"/>
    <x v="0"/>
    <x v="160"/>
    <x v="65"/>
    <x v="6"/>
    <n v="1"/>
    <s v="Not Sampled"/>
    <n v="1438"/>
    <m/>
    <m/>
    <m/>
    <m/>
    <m/>
    <m/>
    <m/>
    <m/>
    <s v="Positive"/>
    <s v="Not Sampled"/>
    <s v="Not Sampled"/>
  </r>
  <r>
    <x v="9"/>
    <x v="52"/>
    <x v="15"/>
    <x v="7"/>
    <x v="6"/>
    <x v="117"/>
    <x v="246"/>
    <x v="16"/>
    <n v="0"/>
    <s v="Not Sampled"/>
    <n v="1439"/>
    <m/>
    <m/>
    <m/>
    <m/>
    <m/>
    <m/>
    <m/>
    <m/>
    <s v="Negative"/>
    <s v="Not Sampled"/>
    <s v="Not Sampled"/>
  </r>
  <r>
    <x v="8"/>
    <x v="32"/>
    <x v="21"/>
    <x v="11"/>
    <x v="59"/>
    <x v="68"/>
    <x v="96"/>
    <x v="26"/>
    <n v="0"/>
    <n v="0"/>
    <n v="1440"/>
    <m/>
    <m/>
    <m/>
    <m/>
    <m/>
    <m/>
    <m/>
    <m/>
    <s v="Negative"/>
    <s v="Negative"/>
    <s v="Accurate Prediction"/>
  </r>
  <r>
    <x v="8"/>
    <x v="106"/>
    <x v="24"/>
    <x v="2"/>
    <x v="0"/>
    <x v="25"/>
    <x v="84"/>
    <x v="0"/>
    <n v="1"/>
    <n v="1"/>
    <n v="1441"/>
    <m/>
    <m/>
    <m/>
    <m/>
    <m/>
    <m/>
    <m/>
    <m/>
    <s v="Positive"/>
    <s v="Positive"/>
    <s v="Accurate Prediction"/>
  </r>
  <r>
    <x v="0"/>
    <x v="81"/>
    <x v="6"/>
    <x v="2"/>
    <x v="0"/>
    <x v="161"/>
    <x v="247"/>
    <x v="41"/>
    <n v="1"/>
    <s v="Not Sampled"/>
    <n v="1442"/>
    <m/>
    <m/>
    <m/>
    <m/>
    <m/>
    <m/>
    <m/>
    <m/>
    <s v="Positive"/>
    <s v="Not Sampled"/>
    <s v="Not Sampled"/>
  </r>
  <r>
    <x v="8"/>
    <x v="60"/>
    <x v="10"/>
    <x v="16"/>
    <x v="42"/>
    <x v="14"/>
    <x v="123"/>
    <x v="42"/>
    <n v="0"/>
    <n v="0"/>
    <n v="1443"/>
    <m/>
    <m/>
    <m/>
    <m/>
    <m/>
    <m/>
    <m/>
    <m/>
    <s v="Negative"/>
    <s v="Negative"/>
    <s v="Accurate Prediction"/>
  </r>
  <r>
    <x v="7"/>
    <x v="70"/>
    <x v="16"/>
    <x v="38"/>
    <x v="95"/>
    <x v="162"/>
    <x v="248"/>
    <x v="34"/>
    <n v="0"/>
    <s v="Not Sampled"/>
    <n v="1444"/>
    <m/>
    <m/>
    <m/>
    <m/>
    <m/>
    <m/>
    <m/>
    <m/>
    <s v="Negative"/>
    <s v="Not Sampled"/>
    <s v="Not Sampled"/>
  </r>
  <r>
    <x v="2"/>
    <x v="93"/>
    <x v="24"/>
    <x v="15"/>
    <x v="38"/>
    <x v="156"/>
    <x v="249"/>
    <x v="29"/>
    <n v="1"/>
    <s v="Not Sampled"/>
    <n v="1445"/>
    <m/>
    <m/>
    <m/>
    <m/>
    <m/>
    <m/>
    <m/>
    <m/>
    <s v="Positive"/>
    <s v="Not Sampled"/>
    <s v="Not Sampled"/>
  </r>
  <r>
    <x v="3"/>
    <x v="20"/>
    <x v="20"/>
    <x v="6"/>
    <x v="51"/>
    <x v="163"/>
    <x v="250"/>
    <x v="25"/>
    <n v="0"/>
    <s v="Not Sampled"/>
    <n v="1446"/>
    <m/>
    <m/>
    <m/>
    <m/>
    <m/>
    <m/>
    <m/>
    <m/>
    <s v="Negative"/>
    <s v="Not Sampled"/>
    <s v="Not Sampled"/>
  </r>
  <r>
    <x v="7"/>
    <x v="81"/>
    <x v="5"/>
    <x v="44"/>
    <x v="96"/>
    <x v="164"/>
    <x v="22"/>
    <x v="9"/>
    <n v="0"/>
    <n v="0"/>
    <n v="1447"/>
    <m/>
    <m/>
    <m/>
    <m/>
    <m/>
    <m/>
    <m/>
    <m/>
    <s v="Negative"/>
    <s v="Negative"/>
    <s v="Accurate Prediction"/>
  </r>
  <r>
    <x v="1"/>
    <x v="74"/>
    <x v="21"/>
    <x v="30"/>
    <x v="39"/>
    <x v="99"/>
    <x v="251"/>
    <x v="4"/>
    <n v="0"/>
    <s v="Not Sampled"/>
    <n v="1448"/>
    <m/>
    <m/>
    <m/>
    <m/>
    <m/>
    <m/>
    <m/>
    <m/>
    <s v="Negative"/>
    <s v="Not Sampled"/>
    <s v="Not Sampled"/>
  </r>
  <r>
    <x v="1"/>
    <x v="61"/>
    <x v="0"/>
    <x v="8"/>
    <x v="97"/>
    <x v="69"/>
    <x v="252"/>
    <x v="14"/>
    <n v="1"/>
    <s v="Not Sampled"/>
    <n v="1449"/>
    <m/>
    <m/>
    <m/>
    <m/>
    <m/>
    <m/>
    <m/>
    <m/>
    <s v="Positive"/>
    <s v="Not Sampled"/>
    <s v="Not Sampled"/>
  </r>
  <r>
    <x v="0"/>
    <x v="80"/>
    <x v="4"/>
    <x v="18"/>
    <x v="98"/>
    <x v="165"/>
    <x v="197"/>
    <x v="2"/>
    <n v="1"/>
    <n v="1"/>
    <n v="1450"/>
    <m/>
    <m/>
    <m/>
    <m/>
    <m/>
    <m/>
    <m/>
    <m/>
    <s v="Positive"/>
    <s v="Positive"/>
    <s v="Accurate Prediction"/>
  </r>
  <r>
    <x v="2"/>
    <x v="80"/>
    <x v="26"/>
    <x v="45"/>
    <x v="85"/>
    <x v="52"/>
    <x v="253"/>
    <x v="3"/>
    <n v="1"/>
    <s v="Not Sampled"/>
    <n v="1451"/>
    <m/>
    <m/>
    <m/>
    <m/>
    <m/>
    <m/>
    <m/>
    <m/>
    <s v="Positive"/>
    <s v="Not Sampled"/>
    <s v="Not Sampled"/>
  </r>
  <r>
    <x v="1"/>
    <x v="106"/>
    <x v="13"/>
    <x v="2"/>
    <x v="0"/>
    <x v="101"/>
    <x v="54"/>
    <x v="39"/>
    <n v="0"/>
    <s v="Not Sampled"/>
    <n v="1452"/>
    <m/>
    <m/>
    <m/>
    <m/>
    <m/>
    <m/>
    <m/>
    <m/>
    <s v="Negative"/>
    <s v="Not Sampled"/>
    <s v="Not Sampled"/>
  </r>
  <r>
    <x v="6"/>
    <x v="68"/>
    <x v="0"/>
    <x v="1"/>
    <x v="77"/>
    <x v="130"/>
    <x v="24"/>
    <x v="6"/>
    <n v="0"/>
    <s v="Not Sampled"/>
    <n v="1453"/>
    <m/>
    <m/>
    <m/>
    <m/>
    <m/>
    <m/>
    <m/>
    <m/>
    <s v="Negative"/>
    <s v="Not Sampled"/>
    <s v="Not Sampled"/>
  </r>
  <r>
    <x v="0"/>
    <x v="36"/>
    <x v="9"/>
    <x v="9"/>
    <x v="99"/>
    <x v="43"/>
    <x v="142"/>
    <x v="29"/>
    <n v="1"/>
    <s v="Not Sampled"/>
    <n v="1454"/>
    <m/>
    <m/>
    <m/>
    <m/>
    <m/>
    <m/>
    <m/>
    <m/>
    <s v="Positive"/>
    <s v="Not Sampled"/>
    <s v="Not Sampled"/>
  </r>
  <r>
    <x v="1"/>
    <x v="51"/>
    <x v="16"/>
    <x v="30"/>
    <x v="100"/>
    <x v="166"/>
    <x v="254"/>
    <x v="3"/>
    <n v="0"/>
    <s v="Not Sampled"/>
    <n v="1455"/>
    <m/>
    <m/>
    <m/>
    <m/>
    <m/>
    <m/>
    <m/>
    <m/>
    <s v="Negative"/>
    <s v="Not Sampled"/>
    <s v="Not Sampled"/>
  </r>
  <r>
    <x v="16"/>
    <x v="45"/>
    <x v="4"/>
    <x v="14"/>
    <x v="101"/>
    <x v="69"/>
    <x v="255"/>
    <x v="22"/>
    <n v="1"/>
    <n v="0"/>
    <n v="1456"/>
    <m/>
    <m/>
    <m/>
    <m/>
    <m/>
    <m/>
    <m/>
    <m/>
    <s v="Positive"/>
    <s v="Negative"/>
    <s v="Inaccurate Prediction"/>
  </r>
  <r>
    <x v="5"/>
    <x v="118"/>
    <x v="9"/>
    <x v="2"/>
    <x v="0"/>
    <x v="96"/>
    <x v="282"/>
    <x v="14"/>
    <n v="0"/>
    <s v="Not Sampled"/>
    <n v="1457"/>
    <m/>
    <m/>
    <m/>
    <m/>
    <m/>
    <m/>
    <m/>
    <m/>
    <s v="Negative"/>
    <s v="Not Sampled"/>
    <s v="Not Sampled"/>
  </r>
  <r>
    <x v="5"/>
    <x v="104"/>
    <x v="9"/>
    <x v="1"/>
    <x v="0"/>
    <x v="115"/>
    <x v="320"/>
    <x v="14"/>
    <n v="1"/>
    <s v="Not Sampled"/>
    <n v="1458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s v="Not Sampled"/>
    <n v="1459"/>
    <m/>
    <m/>
    <m/>
    <m/>
    <m/>
    <m/>
    <m/>
    <m/>
    <s v="Positive"/>
    <s v="Not Sampled"/>
    <s v="Not Sampled"/>
  </r>
  <r>
    <x v="6"/>
    <x v="59"/>
    <x v="40"/>
    <x v="2"/>
    <x v="0"/>
    <x v="29"/>
    <x v="187"/>
    <x v="15"/>
    <n v="0"/>
    <s v="Not Sampled"/>
    <n v="1460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s v="Not Sampled"/>
    <n v="1461"/>
    <m/>
    <m/>
    <m/>
    <m/>
    <m/>
    <m/>
    <m/>
    <m/>
    <s v="Positive"/>
    <s v="Not Sampled"/>
    <s v="Not Sampled"/>
  </r>
  <r>
    <x v="11"/>
    <x v="119"/>
    <x v="4"/>
    <x v="14"/>
    <x v="0"/>
    <x v="31"/>
    <x v="246"/>
    <x v="19"/>
    <n v="0"/>
    <s v="Not Sampled"/>
    <n v="1462"/>
    <m/>
    <m/>
    <m/>
    <m/>
    <m/>
    <m/>
    <m/>
    <m/>
    <s v="Negative"/>
    <s v="Not Sampled"/>
    <s v="Not Sampled"/>
  </r>
  <r>
    <x v="7"/>
    <x v="120"/>
    <x v="11"/>
    <x v="2"/>
    <x v="0"/>
    <x v="35"/>
    <x v="322"/>
    <x v="17"/>
    <n v="1"/>
    <n v="1"/>
    <n v="1463"/>
    <m/>
    <m/>
    <m/>
    <m/>
    <m/>
    <m/>
    <m/>
    <m/>
    <s v="Positive"/>
    <s v="Positive"/>
    <s v="Accurate Prediction"/>
  </r>
  <r>
    <x v="0"/>
    <x v="62"/>
    <x v="26"/>
    <x v="5"/>
    <x v="134"/>
    <x v="196"/>
    <x v="254"/>
    <x v="25"/>
    <n v="0"/>
    <n v="0"/>
    <n v="1464"/>
    <m/>
    <m/>
    <m/>
    <m/>
    <m/>
    <m/>
    <m/>
    <m/>
    <s v="Negative"/>
    <s v="Negative"/>
    <s v="Accurate Prediction"/>
  </r>
  <r>
    <x v="3"/>
    <x v="109"/>
    <x v="5"/>
    <x v="2"/>
    <x v="0"/>
    <x v="11"/>
    <x v="323"/>
    <x v="22"/>
    <n v="1"/>
    <s v="Not Sampled"/>
    <n v="1465"/>
    <m/>
    <m/>
    <m/>
    <m/>
    <m/>
    <m/>
    <m/>
    <m/>
    <s v="Positive"/>
    <s v="Not Sampled"/>
    <s v="Not Sampled"/>
  </r>
  <r>
    <x v="1"/>
    <x v="39"/>
    <x v="0"/>
    <x v="2"/>
    <x v="0"/>
    <x v="101"/>
    <x v="101"/>
    <x v="14"/>
    <n v="0"/>
    <s v="Not Sampled"/>
    <n v="1466"/>
    <m/>
    <m/>
    <m/>
    <m/>
    <m/>
    <m/>
    <m/>
    <m/>
    <s v="Negative"/>
    <s v="Not Sampled"/>
    <s v="Not Sampled"/>
  </r>
  <r>
    <x v="4"/>
    <x v="100"/>
    <x v="10"/>
    <x v="2"/>
    <x v="0"/>
    <x v="151"/>
    <x v="324"/>
    <x v="16"/>
    <n v="1"/>
    <s v="Not Sampled"/>
    <n v="1467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n v="1"/>
    <n v="1468"/>
    <m/>
    <m/>
    <m/>
    <m/>
    <m/>
    <m/>
    <m/>
    <m/>
    <s v="Positive"/>
    <s v="Positive"/>
    <s v="Accurate Prediction"/>
  </r>
  <r>
    <x v="6"/>
    <x v="29"/>
    <x v="8"/>
    <x v="15"/>
    <x v="0"/>
    <x v="140"/>
    <x v="326"/>
    <x v="6"/>
    <n v="0"/>
    <s v="Not Sampled"/>
    <n v="1469"/>
    <m/>
    <m/>
    <m/>
    <m/>
    <m/>
    <m/>
    <m/>
    <m/>
    <s v="Negative"/>
    <s v="Not Sampled"/>
    <s v="Not Sampled"/>
  </r>
  <r>
    <x v="2"/>
    <x v="56"/>
    <x v="5"/>
    <x v="8"/>
    <x v="34"/>
    <x v="184"/>
    <x v="303"/>
    <x v="14"/>
    <n v="0"/>
    <n v="0"/>
    <n v="1470"/>
    <m/>
    <m/>
    <m/>
    <m/>
    <m/>
    <m/>
    <m/>
    <m/>
    <s v="Negative"/>
    <s v="Negative"/>
    <s v="Accurate Prediction"/>
  </r>
  <r>
    <x v="2"/>
    <x v="92"/>
    <x v="16"/>
    <x v="17"/>
    <x v="136"/>
    <x v="197"/>
    <x v="327"/>
    <x v="11"/>
    <n v="0"/>
    <s v="Not Sampled"/>
    <n v="1471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1472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s v="Not Sampled"/>
    <n v="1473"/>
    <m/>
    <m/>
    <m/>
    <m/>
    <m/>
    <m/>
    <m/>
    <m/>
    <s v="Positive"/>
    <s v="Not Sampled"/>
    <s v="Not Sampled"/>
  </r>
  <r>
    <x v="5"/>
    <x v="5"/>
    <x v="16"/>
    <x v="12"/>
    <x v="138"/>
    <x v="140"/>
    <x v="61"/>
    <x v="11"/>
    <n v="1"/>
    <s v="Not Sampled"/>
    <n v="1474"/>
    <m/>
    <m/>
    <m/>
    <m/>
    <m/>
    <m/>
    <m/>
    <m/>
    <s v="Positive"/>
    <s v="Not Sampled"/>
    <s v="Not Sampled"/>
  </r>
  <r>
    <x v="2"/>
    <x v="75"/>
    <x v="3"/>
    <x v="23"/>
    <x v="0"/>
    <x v="185"/>
    <x v="329"/>
    <x v="11"/>
    <n v="0"/>
    <n v="0"/>
    <n v="1475"/>
    <m/>
    <m/>
    <m/>
    <m/>
    <m/>
    <m/>
    <m/>
    <m/>
    <s v="Negative"/>
    <s v="Negative"/>
    <s v="Accurate Prediction"/>
  </r>
  <r>
    <x v="3"/>
    <x v="65"/>
    <x v="1"/>
    <x v="5"/>
    <x v="0"/>
    <x v="70"/>
    <x v="330"/>
    <x v="26"/>
    <n v="1"/>
    <n v="1"/>
    <n v="1476"/>
    <m/>
    <m/>
    <m/>
    <m/>
    <m/>
    <m/>
    <m/>
    <m/>
    <s v="Positive"/>
    <s v="Positive"/>
    <s v="Accurate Prediction"/>
  </r>
  <r>
    <x v="2"/>
    <x v="8"/>
    <x v="3"/>
    <x v="2"/>
    <x v="0"/>
    <x v="198"/>
    <x v="331"/>
    <x v="23"/>
    <n v="0"/>
    <s v="Not Sampled"/>
    <n v="1477"/>
    <m/>
    <m/>
    <m/>
    <m/>
    <m/>
    <m/>
    <m/>
    <m/>
    <s v="Negative"/>
    <s v="Not Sampled"/>
    <s v="Not Sampled"/>
  </r>
  <r>
    <x v="5"/>
    <x v="52"/>
    <x v="11"/>
    <x v="30"/>
    <x v="133"/>
    <x v="199"/>
    <x v="332"/>
    <x v="6"/>
    <n v="1"/>
    <s v="Not Sampled"/>
    <n v="1478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1479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n v="0"/>
    <n v="1480"/>
    <m/>
    <m/>
    <m/>
    <m/>
    <m/>
    <m/>
    <m/>
    <m/>
    <s v="Negative"/>
    <s v="Negative"/>
    <s v="Accurate Prediction"/>
  </r>
  <r>
    <x v="1"/>
    <x v="29"/>
    <x v="11"/>
    <x v="40"/>
    <x v="65"/>
    <x v="102"/>
    <x v="116"/>
    <x v="4"/>
    <n v="0"/>
    <s v="Not Sampled"/>
    <n v="1481"/>
    <m/>
    <m/>
    <m/>
    <m/>
    <m/>
    <m/>
    <m/>
    <m/>
    <s v="Negative"/>
    <s v="Not Sampled"/>
    <s v="Not Sampled"/>
  </r>
  <r>
    <x v="0"/>
    <x v="109"/>
    <x v="11"/>
    <x v="29"/>
    <x v="0"/>
    <x v="98"/>
    <x v="335"/>
    <x v="4"/>
    <n v="0"/>
    <n v="0"/>
    <n v="1482"/>
    <m/>
    <m/>
    <m/>
    <m/>
    <m/>
    <m/>
    <m/>
    <m/>
    <s v="Negative"/>
    <s v="Negative"/>
    <s v="Accurate Prediction"/>
  </r>
  <r>
    <x v="4"/>
    <x v="68"/>
    <x v="4"/>
    <x v="5"/>
    <x v="14"/>
    <x v="92"/>
    <x v="336"/>
    <x v="31"/>
    <n v="1"/>
    <s v="Not Sampled"/>
    <n v="1483"/>
    <m/>
    <m/>
    <m/>
    <m/>
    <m/>
    <m/>
    <m/>
    <m/>
    <s v="Positive"/>
    <s v="Not Sampled"/>
    <s v="Not Sampled"/>
  </r>
  <r>
    <x v="3"/>
    <x v="97"/>
    <x v="4"/>
    <x v="15"/>
    <x v="139"/>
    <x v="201"/>
    <x v="337"/>
    <x v="2"/>
    <n v="1"/>
    <s v="Not Sampled"/>
    <n v="1484"/>
    <m/>
    <m/>
    <m/>
    <m/>
    <m/>
    <m/>
    <m/>
    <m/>
    <s v="Positive"/>
    <s v="Not Sampled"/>
    <s v="Not Sampled"/>
  </r>
  <r>
    <x v="1"/>
    <x v="19"/>
    <x v="2"/>
    <x v="2"/>
    <x v="0"/>
    <x v="12"/>
    <x v="152"/>
    <x v="14"/>
    <n v="0"/>
    <s v="Not Sampled"/>
    <n v="1485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1486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s v="Not Sampled"/>
    <n v="1487"/>
    <m/>
    <m/>
    <m/>
    <m/>
    <m/>
    <m/>
    <m/>
    <m/>
    <s v="Negative"/>
    <s v="Not Sampled"/>
    <s v="Not Sampled"/>
  </r>
  <r>
    <x v="2"/>
    <x v="50"/>
    <x v="1"/>
    <x v="14"/>
    <x v="105"/>
    <x v="145"/>
    <x v="1"/>
    <x v="33"/>
    <n v="1"/>
    <s v="Not Sampled"/>
    <n v="1488"/>
    <m/>
    <m/>
    <m/>
    <m/>
    <m/>
    <m/>
    <m/>
    <m/>
    <s v="Positive"/>
    <s v="Not Sampled"/>
    <s v="Not Sampled"/>
  </r>
  <r>
    <x v="0"/>
    <x v="6"/>
    <x v="2"/>
    <x v="2"/>
    <x v="0"/>
    <x v="202"/>
    <x v="339"/>
    <x v="1"/>
    <n v="0"/>
    <s v="Not Sampled"/>
    <n v="1489"/>
    <m/>
    <m/>
    <m/>
    <m/>
    <m/>
    <m/>
    <m/>
    <m/>
    <s v="Negative"/>
    <s v="Not Sampled"/>
    <s v="Not Sampled"/>
  </r>
  <r>
    <x v="5"/>
    <x v="9"/>
    <x v="10"/>
    <x v="41"/>
    <x v="108"/>
    <x v="25"/>
    <x v="7"/>
    <x v="19"/>
    <n v="0"/>
    <s v="Not Sampled"/>
    <n v="1490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s v="Not Sampled"/>
    <n v="1491"/>
    <m/>
    <m/>
    <m/>
    <m/>
    <m/>
    <m/>
    <m/>
    <m/>
    <s v="Negative"/>
    <s v="Not Sampled"/>
    <s v="Not Sampled"/>
  </r>
  <r>
    <x v="0"/>
    <x v="4"/>
    <x v="25"/>
    <x v="2"/>
    <x v="0"/>
    <x v="6"/>
    <x v="148"/>
    <x v="29"/>
    <n v="0"/>
    <s v="Not Sampled"/>
    <n v="1492"/>
    <m/>
    <m/>
    <m/>
    <m/>
    <m/>
    <m/>
    <m/>
    <m/>
    <s v="Negative"/>
    <s v="Not Sampled"/>
    <s v="Not Sampled"/>
  </r>
  <r>
    <x v="2"/>
    <x v="30"/>
    <x v="3"/>
    <x v="47"/>
    <x v="0"/>
    <x v="203"/>
    <x v="340"/>
    <x v="31"/>
    <n v="0"/>
    <s v="Not Sampled"/>
    <n v="1493"/>
    <m/>
    <m/>
    <m/>
    <m/>
    <m/>
    <m/>
    <m/>
    <m/>
    <s v="Negative"/>
    <s v="Not Sampled"/>
    <s v="Not Sampled"/>
  </r>
  <r>
    <x v="1"/>
    <x v="47"/>
    <x v="2"/>
    <x v="2"/>
    <x v="0"/>
    <x v="197"/>
    <x v="310"/>
    <x v="29"/>
    <n v="1"/>
    <s v="Not Sampled"/>
    <n v="1494"/>
    <m/>
    <m/>
    <m/>
    <m/>
    <m/>
    <m/>
    <m/>
    <m/>
    <s v="Positive"/>
    <s v="Not Sampled"/>
    <s v="Not Sampled"/>
  </r>
  <r>
    <x v="10"/>
    <x v="98"/>
    <x v="23"/>
    <x v="12"/>
    <x v="0"/>
    <x v="83"/>
    <x v="168"/>
    <x v="17"/>
    <n v="0"/>
    <s v="Not Sampled"/>
    <n v="1495"/>
    <m/>
    <m/>
    <m/>
    <m/>
    <m/>
    <m/>
    <m/>
    <m/>
    <s v="Negative"/>
    <s v="Not Sampled"/>
    <s v="Not Sampled"/>
  </r>
  <r>
    <x v="7"/>
    <x v="83"/>
    <x v="25"/>
    <x v="2"/>
    <x v="0"/>
    <x v="106"/>
    <x v="251"/>
    <x v="6"/>
    <n v="0"/>
    <n v="1"/>
    <n v="1496"/>
    <m/>
    <m/>
    <m/>
    <m/>
    <m/>
    <m/>
    <m/>
    <m/>
    <s v="Negative"/>
    <s v="Positive"/>
    <s v="Inaccurate Prediction"/>
  </r>
  <r>
    <x v="2"/>
    <x v="75"/>
    <x v="9"/>
    <x v="11"/>
    <x v="0"/>
    <x v="198"/>
    <x v="341"/>
    <x v="4"/>
    <n v="0"/>
    <s v="Not Sampled"/>
    <n v="1497"/>
    <m/>
    <m/>
    <m/>
    <m/>
    <m/>
    <m/>
    <m/>
    <m/>
    <s v="Negative"/>
    <s v="Not Sampled"/>
    <s v="Not Sampled"/>
  </r>
  <r>
    <x v="6"/>
    <x v="61"/>
    <x v="21"/>
    <x v="2"/>
    <x v="0"/>
    <x v="8"/>
    <x v="19"/>
    <x v="2"/>
    <n v="0"/>
    <s v="Not Sampled"/>
    <n v="1498"/>
    <m/>
    <m/>
    <m/>
    <m/>
    <m/>
    <m/>
    <m/>
    <m/>
    <s v="Negative"/>
    <s v="Not Sampled"/>
    <s v="Not Sampled"/>
  </r>
  <r>
    <x v="1"/>
    <x v="115"/>
    <x v="35"/>
    <x v="14"/>
    <x v="0"/>
    <x v="82"/>
    <x v="342"/>
    <x v="17"/>
    <n v="1"/>
    <s v="Not Sampled"/>
    <n v="1499"/>
    <m/>
    <m/>
    <m/>
    <m/>
    <m/>
    <m/>
    <m/>
    <m/>
    <s v="Positive"/>
    <s v="Not Sampled"/>
    <s v="Not Sampled"/>
  </r>
  <r>
    <x v="0"/>
    <x v="8"/>
    <x v="19"/>
    <x v="17"/>
    <x v="52"/>
    <x v="204"/>
    <x v="343"/>
    <x v="11"/>
    <n v="0"/>
    <s v="Not Sampled"/>
    <n v="1500"/>
    <m/>
    <m/>
    <m/>
    <m/>
    <m/>
    <m/>
    <m/>
    <m/>
    <s v="Negative"/>
    <s v="Not Sampled"/>
    <s v="Not Sampled"/>
  </r>
  <r>
    <x v="3"/>
    <x v="17"/>
    <x v="11"/>
    <x v="21"/>
    <x v="77"/>
    <x v="34"/>
    <x v="344"/>
    <x v="3"/>
    <n v="0"/>
    <n v="0"/>
    <n v="1501"/>
    <m/>
    <m/>
    <m/>
    <m/>
    <m/>
    <m/>
    <m/>
    <m/>
    <s v="Negative"/>
    <s v="Negative"/>
    <s v="Accurate Prediction"/>
  </r>
  <r>
    <x v="4"/>
    <x v="81"/>
    <x v="9"/>
    <x v="2"/>
    <x v="0"/>
    <x v="85"/>
    <x v="345"/>
    <x v="9"/>
    <n v="1"/>
    <s v="Not Sampled"/>
    <n v="1502"/>
    <m/>
    <m/>
    <m/>
    <m/>
    <m/>
    <m/>
    <m/>
    <m/>
    <s v="Positive"/>
    <s v="Not Sampled"/>
    <s v="Not Sampled"/>
  </r>
  <r>
    <x v="3"/>
    <x v="17"/>
    <x v="0"/>
    <x v="39"/>
    <x v="0"/>
    <x v="27"/>
    <x v="222"/>
    <x v="13"/>
    <n v="1"/>
    <s v="Not Sampled"/>
    <n v="1503"/>
    <m/>
    <m/>
    <m/>
    <m/>
    <m/>
    <m/>
    <m/>
    <m/>
    <s v="Positive"/>
    <s v="Not Sampled"/>
    <s v="Not Sampled"/>
  </r>
  <r>
    <x v="1"/>
    <x v="22"/>
    <x v="4"/>
    <x v="49"/>
    <x v="141"/>
    <x v="205"/>
    <x v="346"/>
    <x v="14"/>
    <n v="1"/>
    <s v="Not Sampled"/>
    <n v="1504"/>
    <m/>
    <m/>
    <m/>
    <m/>
    <m/>
    <m/>
    <m/>
    <m/>
    <s v="Positive"/>
    <s v="Not Sampled"/>
    <s v="Not Sampled"/>
  </r>
  <r>
    <x v="2"/>
    <x v="45"/>
    <x v="5"/>
    <x v="39"/>
    <x v="19"/>
    <x v="159"/>
    <x v="347"/>
    <x v="6"/>
    <n v="0"/>
    <s v="Not Sampled"/>
    <n v="1505"/>
    <m/>
    <m/>
    <m/>
    <m/>
    <m/>
    <m/>
    <m/>
    <m/>
    <s v="Negative"/>
    <s v="Not Sampled"/>
    <s v="Not Sampled"/>
  </r>
  <r>
    <x v="1"/>
    <x v="50"/>
    <x v="6"/>
    <x v="45"/>
    <x v="53"/>
    <x v="23"/>
    <x v="348"/>
    <x v="25"/>
    <n v="0"/>
    <s v="Not Sampled"/>
    <n v="1506"/>
    <m/>
    <m/>
    <m/>
    <m/>
    <m/>
    <m/>
    <m/>
    <m/>
    <s v="Negative"/>
    <s v="Not Sampled"/>
    <s v="Not Sampled"/>
  </r>
  <r>
    <x v="1"/>
    <x v="88"/>
    <x v="11"/>
    <x v="18"/>
    <x v="36"/>
    <x v="0"/>
    <x v="349"/>
    <x v="11"/>
    <n v="1"/>
    <s v="Not Sampled"/>
    <n v="1507"/>
    <m/>
    <m/>
    <m/>
    <m/>
    <m/>
    <m/>
    <m/>
    <m/>
    <s v="Positive"/>
    <s v="Not Sampled"/>
    <s v="Not Sampled"/>
  </r>
  <r>
    <x v="1"/>
    <x v="24"/>
    <x v="10"/>
    <x v="10"/>
    <x v="55"/>
    <x v="85"/>
    <x v="350"/>
    <x v="25"/>
    <n v="0"/>
    <s v="Not Sampled"/>
    <n v="1508"/>
    <m/>
    <m/>
    <m/>
    <m/>
    <m/>
    <m/>
    <m/>
    <m/>
    <s v="Negative"/>
    <s v="Not Sampled"/>
    <s v="Not Sampled"/>
  </r>
  <r>
    <x v="2"/>
    <x v="118"/>
    <x v="11"/>
    <x v="27"/>
    <x v="142"/>
    <x v="206"/>
    <x v="351"/>
    <x v="1"/>
    <n v="0"/>
    <s v="Not Sampled"/>
    <n v="1509"/>
    <m/>
    <m/>
    <m/>
    <m/>
    <m/>
    <m/>
    <m/>
    <m/>
    <s v="Negative"/>
    <s v="Not Sampled"/>
    <s v="Not Sampled"/>
  </r>
  <r>
    <x v="0"/>
    <x v="63"/>
    <x v="9"/>
    <x v="2"/>
    <x v="0"/>
    <x v="11"/>
    <x v="157"/>
    <x v="1"/>
    <n v="1"/>
    <s v="Not Sampled"/>
    <n v="1510"/>
    <m/>
    <m/>
    <m/>
    <m/>
    <m/>
    <m/>
    <m/>
    <m/>
    <s v="Positive"/>
    <s v="Not Sampled"/>
    <s v="Not Sampled"/>
  </r>
  <r>
    <x v="1"/>
    <x v="25"/>
    <x v="3"/>
    <x v="5"/>
    <x v="14"/>
    <x v="180"/>
    <x v="352"/>
    <x v="14"/>
    <n v="0"/>
    <s v="Not Sampled"/>
    <n v="1511"/>
    <m/>
    <m/>
    <m/>
    <m/>
    <m/>
    <m/>
    <m/>
    <m/>
    <s v="Negative"/>
    <s v="Not Sampled"/>
    <s v="Not Sampled"/>
  </r>
  <r>
    <x v="0"/>
    <x v="93"/>
    <x v="2"/>
    <x v="2"/>
    <x v="0"/>
    <x v="58"/>
    <x v="353"/>
    <x v="46"/>
    <n v="0"/>
    <n v="0"/>
    <n v="1512"/>
    <m/>
    <m/>
    <m/>
    <m/>
    <m/>
    <m/>
    <m/>
    <m/>
    <s v="Negative"/>
    <s v="Negative"/>
    <s v="Accurate Prediction"/>
  </r>
  <r>
    <x v="0"/>
    <x v="45"/>
    <x v="14"/>
    <x v="7"/>
    <x v="16"/>
    <x v="136"/>
    <x v="354"/>
    <x v="3"/>
    <n v="0"/>
    <n v="0"/>
    <n v="1513"/>
    <m/>
    <m/>
    <m/>
    <m/>
    <m/>
    <m/>
    <m/>
    <m/>
    <s v="Negative"/>
    <s v="Negative"/>
    <s v="Accurate Prediction"/>
  </r>
  <r>
    <x v="16"/>
    <x v="122"/>
    <x v="0"/>
    <x v="8"/>
    <x v="0"/>
    <x v="0"/>
    <x v="355"/>
    <x v="19"/>
    <n v="1"/>
    <s v="Not Sampled"/>
    <n v="1514"/>
    <m/>
    <m/>
    <m/>
    <m/>
    <m/>
    <m/>
    <m/>
    <m/>
    <s v="Positive"/>
    <s v="Not Sampled"/>
    <s v="Not Sampled"/>
  </r>
  <r>
    <x v="2"/>
    <x v="3"/>
    <x v="14"/>
    <x v="2"/>
    <x v="0"/>
    <x v="207"/>
    <x v="140"/>
    <x v="38"/>
    <n v="0"/>
    <s v="Not Sampled"/>
    <n v="1515"/>
    <m/>
    <m/>
    <m/>
    <m/>
    <m/>
    <m/>
    <m/>
    <m/>
    <s v="Negative"/>
    <s v="Not Sampled"/>
    <s v="Not Sampled"/>
  </r>
  <r>
    <x v="7"/>
    <x v="103"/>
    <x v="3"/>
    <x v="7"/>
    <x v="10"/>
    <x v="208"/>
    <x v="356"/>
    <x v="3"/>
    <n v="0"/>
    <s v="Not Sampled"/>
    <n v="1516"/>
    <m/>
    <m/>
    <m/>
    <m/>
    <m/>
    <m/>
    <m/>
    <m/>
    <s v="Negative"/>
    <s v="Not Sampled"/>
    <s v="Not Sampled"/>
  </r>
  <r>
    <x v="9"/>
    <x v="89"/>
    <x v="16"/>
    <x v="46"/>
    <x v="143"/>
    <x v="209"/>
    <x v="357"/>
    <x v="42"/>
    <n v="1"/>
    <s v="Not Sampled"/>
    <n v="1517"/>
    <m/>
    <m/>
    <m/>
    <m/>
    <m/>
    <m/>
    <m/>
    <m/>
    <s v="Positive"/>
    <s v="Not Sampled"/>
    <s v="Not Sampled"/>
  </r>
  <r>
    <x v="11"/>
    <x v="63"/>
    <x v="10"/>
    <x v="12"/>
    <x v="140"/>
    <x v="151"/>
    <x v="358"/>
    <x v="47"/>
    <n v="0"/>
    <n v="1"/>
    <n v="1518"/>
    <m/>
    <m/>
    <m/>
    <m/>
    <m/>
    <m/>
    <m/>
    <m/>
    <s v="Negative"/>
    <s v="Positive"/>
    <s v="Inaccurate Prediction"/>
  </r>
  <r>
    <x v="11"/>
    <x v="24"/>
    <x v="5"/>
    <x v="29"/>
    <x v="79"/>
    <x v="163"/>
    <x v="359"/>
    <x v="27"/>
    <n v="0"/>
    <s v="Not Sampled"/>
    <n v="1519"/>
    <m/>
    <m/>
    <m/>
    <m/>
    <m/>
    <m/>
    <m/>
    <m/>
    <s v="Negative"/>
    <s v="Not Sampled"/>
    <s v="Not Sampled"/>
  </r>
  <r>
    <x v="2"/>
    <x v="37"/>
    <x v="0"/>
    <x v="2"/>
    <x v="0"/>
    <x v="181"/>
    <x v="360"/>
    <x v="25"/>
    <n v="0"/>
    <s v="Not Sampled"/>
    <n v="1520"/>
    <m/>
    <m/>
    <m/>
    <m/>
    <m/>
    <m/>
    <m/>
    <m/>
    <s v="Negative"/>
    <s v="Not Sampled"/>
    <s v="Not Sampled"/>
  </r>
  <r>
    <x v="4"/>
    <x v="58"/>
    <x v="9"/>
    <x v="32"/>
    <x v="51"/>
    <x v="186"/>
    <x v="361"/>
    <x v="16"/>
    <n v="0"/>
    <s v="Not Sampled"/>
    <n v="1521"/>
    <m/>
    <m/>
    <m/>
    <m/>
    <m/>
    <m/>
    <m/>
    <m/>
    <s v="Negative"/>
    <s v="Not Sampled"/>
    <s v="Not Sampled"/>
  </r>
  <r>
    <x v="7"/>
    <x v="40"/>
    <x v="4"/>
    <x v="8"/>
    <x v="0"/>
    <x v="32"/>
    <x v="61"/>
    <x v="26"/>
    <n v="0"/>
    <n v="0"/>
    <n v="1522"/>
    <m/>
    <m/>
    <m/>
    <m/>
    <m/>
    <m/>
    <m/>
    <m/>
    <s v="Negative"/>
    <s v="Negative"/>
    <s v="Accurate Prediction"/>
  </r>
  <r>
    <x v="9"/>
    <x v="109"/>
    <x v="34"/>
    <x v="2"/>
    <x v="0"/>
    <x v="33"/>
    <x v="362"/>
    <x v="34"/>
    <n v="0"/>
    <s v="Not Sampled"/>
    <n v="1523"/>
    <m/>
    <m/>
    <m/>
    <m/>
    <m/>
    <m/>
    <m/>
    <m/>
    <s v="Negative"/>
    <s v="Not Sampled"/>
    <s v="Not Sampled"/>
  </r>
  <r>
    <x v="1"/>
    <x v="73"/>
    <x v="20"/>
    <x v="27"/>
    <x v="16"/>
    <x v="181"/>
    <x v="117"/>
    <x v="4"/>
    <n v="0"/>
    <s v="Not Sampled"/>
    <n v="1524"/>
    <m/>
    <m/>
    <m/>
    <m/>
    <m/>
    <m/>
    <m/>
    <m/>
    <s v="Negative"/>
    <s v="Not Sampled"/>
    <s v="Not Sampled"/>
  </r>
  <r>
    <x v="1"/>
    <x v="58"/>
    <x v="33"/>
    <x v="25"/>
    <x v="22"/>
    <x v="157"/>
    <x v="363"/>
    <x v="11"/>
    <n v="0"/>
    <s v="Not Sampled"/>
    <n v="1525"/>
    <m/>
    <m/>
    <m/>
    <m/>
    <m/>
    <m/>
    <m/>
    <m/>
    <s v="Negative"/>
    <s v="Not Sampled"/>
    <s v="Not Sampled"/>
  </r>
  <r>
    <x v="1"/>
    <x v="75"/>
    <x v="11"/>
    <x v="35"/>
    <x v="31"/>
    <x v="8"/>
    <x v="364"/>
    <x v="14"/>
    <n v="0"/>
    <s v="Not Sampled"/>
    <n v="1526"/>
    <m/>
    <m/>
    <m/>
    <m/>
    <m/>
    <m/>
    <m/>
    <m/>
    <s v="Negative"/>
    <s v="Not Sampled"/>
    <s v="Not Sampled"/>
  </r>
  <r>
    <x v="4"/>
    <x v="24"/>
    <x v="2"/>
    <x v="2"/>
    <x v="0"/>
    <x v="135"/>
    <x v="365"/>
    <x v="19"/>
    <n v="1"/>
    <s v="Not Sampled"/>
    <n v="1527"/>
    <m/>
    <m/>
    <m/>
    <m/>
    <m/>
    <m/>
    <m/>
    <m/>
    <s v="Positive"/>
    <s v="Not Sampled"/>
    <s v="Not Sampled"/>
  </r>
  <r>
    <x v="6"/>
    <x v="16"/>
    <x v="4"/>
    <x v="4"/>
    <x v="32"/>
    <x v="210"/>
    <x v="366"/>
    <x v="23"/>
    <n v="0"/>
    <n v="1"/>
    <n v="1528"/>
    <m/>
    <m/>
    <m/>
    <m/>
    <m/>
    <m/>
    <m/>
    <m/>
    <s v="Negative"/>
    <s v="Positive"/>
    <s v="Inaccurate Prediction"/>
  </r>
  <r>
    <x v="2"/>
    <x v="65"/>
    <x v="1"/>
    <x v="32"/>
    <x v="0"/>
    <x v="211"/>
    <x v="367"/>
    <x v="6"/>
    <n v="0"/>
    <n v="1"/>
    <n v="1529"/>
    <m/>
    <m/>
    <m/>
    <m/>
    <m/>
    <m/>
    <m/>
    <m/>
    <s v="Negative"/>
    <s v="Positive"/>
    <s v="Inaccurate Prediction"/>
  </r>
  <r>
    <x v="1"/>
    <x v="59"/>
    <x v="9"/>
    <x v="9"/>
    <x v="0"/>
    <x v="34"/>
    <x v="368"/>
    <x v="11"/>
    <n v="0"/>
    <s v="Not Sampled"/>
    <n v="1530"/>
    <m/>
    <m/>
    <m/>
    <m/>
    <m/>
    <m/>
    <m/>
    <m/>
    <s v="Negative"/>
    <s v="Not Sampled"/>
    <s v="Not Sampled"/>
  </r>
  <r>
    <x v="1"/>
    <x v="93"/>
    <x v="19"/>
    <x v="21"/>
    <x v="0"/>
    <x v="212"/>
    <x v="247"/>
    <x v="11"/>
    <n v="0"/>
    <s v="Not Sampled"/>
    <n v="1531"/>
    <m/>
    <m/>
    <m/>
    <m/>
    <m/>
    <m/>
    <m/>
    <m/>
    <s v="Negative"/>
    <s v="Not Sampled"/>
    <s v="Not Sampled"/>
  </r>
  <r>
    <x v="8"/>
    <x v="60"/>
    <x v="8"/>
    <x v="2"/>
    <x v="0"/>
    <x v="106"/>
    <x v="369"/>
    <x v="48"/>
    <n v="0"/>
    <s v="Not Sampled"/>
    <n v="1532"/>
    <m/>
    <m/>
    <m/>
    <m/>
    <m/>
    <m/>
    <m/>
    <m/>
    <s v="Negative"/>
    <s v="Not Sampled"/>
    <s v="Not Sampled"/>
  </r>
  <r>
    <x v="3"/>
    <x v="48"/>
    <x v="11"/>
    <x v="2"/>
    <x v="0"/>
    <x v="11"/>
    <x v="370"/>
    <x v="3"/>
    <n v="0"/>
    <s v="Not Sampled"/>
    <n v="1533"/>
    <m/>
    <m/>
    <m/>
    <m/>
    <m/>
    <m/>
    <m/>
    <m/>
    <s v="Negative"/>
    <s v="Not Sampled"/>
    <s v="Not Sampled"/>
  </r>
  <r>
    <x v="1"/>
    <x v="59"/>
    <x v="16"/>
    <x v="21"/>
    <x v="0"/>
    <x v="30"/>
    <x v="70"/>
    <x v="45"/>
    <n v="0"/>
    <s v="Not Sampled"/>
    <n v="1534"/>
    <m/>
    <m/>
    <m/>
    <m/>
    <m/>
    <m/>
    <m/>
    <m/>
    <s v="Negative"/>
    <s v="Not Sampled"/>
    <s v="Not Sampled"/>
  </r>
  <r>
    <x v="0"/>
    <x v="38"/>
    <x v="6"/>
    <x v="45"/>
    <x v="144"/>
    <x v="47"/>
    <x v="371"/>
    <x v="29"/>
    <n v="1"/>
    <s v="Not Sampled"/>
    <n v="1535"/>
    <m/>
    <m/>
    <m/>
    <m/>
    <m/>
    <m/>
    <m/>
    <m/>
    <s v="Positive"/>
    <s v="Not Sampled"/>
    <s v="Not Sampled"/>
  </r>
  <r>
    <x v="8"/>
    <x v="48"/>
    <x v="15"/>
    <x v="6"/>
    <x v="27"/>
    <x v="74"/>
    <x v="372"/>
    <x v="2"/>
    <n v="0"/>
    <s v="Not Sampled"/>
    <n v="1536"/>
    <m/>
    <m/>
    <m/>
    <m/>
    <m/>
    <m/>
    <m/>
    <m/>
    <s v="Negative"/>
    <s v="Not Sampled"/>
    <s v="Not Sampled"/>
  </r>
  <r>
    <x v="4"/>
    <x v="51"/>
    <x v="10"/>
    <x v="9"/>
    <x v="96"/>
    <x v="151"/>
    <x v="373"/>
    <x v="16"/>
    <n v="0"/>
    <s v="Not Sampled"/>
    <n v="1537"/>
    <m/>
    <m/>
    <m/>
    <m/>
    <m/>
    <m/>
    <m/>
    <m/>
    <s v="Negative"/>
    <s v="Not Sampled"/>
    <s v="Not Sampled"/>
  </r>
  <r>
    <x v="3"/>
    <x v="77"/>
    <x v="24"/>
    <x v="1"/>
    <x v="0"/>
    <x v="43"/>
    <x v="374"/>
    <x v="44"/>
    <n v="0"/>
    <s v="Not Sampled"/>
    <n v="1538"/>
    <m/>
    <m/>
    <m/>
    <m/>
    <m/>
    <m/>
    <m/>
    <m/>
    <s v="Negative"/>
    <s v="Not Sampled"/>
    <s v="Not Sampled"/>
  </r>
  <r>
    <x v="5"/>
    <x v="95"/>
    <x v="9"/>
    <x v="8"/>
    <x v="145"/>
    <x v="130"/>
    <x v="46"/>
    <x v="20"/>
    <n v="1"/>
    <s v="Not Sampled"/>
    <n v="1539"/>
    <m/>
    <m/>
    <m/>
    <m/>
    <m/>
    <m/>
    <m/>
    <m/>
    <s v="Positive"/>
    <s v="Not Sampled"/>
    <s v="Not Sampled"/>
  </r>
  <r>
    <x v="1"/>
    <x v="62"/>
    <x v="21"/>
    <x v="18"/>
    <x v="0"/>
    <x v="213"/>
    <x v="269"/>
    <x v="29"/>
    <n v="0"/>
    <n v="0"/>
    <n v="1540"/>
    <m/>
    <m/>
    <m/>
    <m/>
    <m/>
    <m/>
    <m/>
    <m/>
    <s v="Negative"/>
    <s v="Negative"/>
    <s v="Accurate Prediction"/>
  </r>
  <r>
    <x v="3"/>
    <x v="69"/>
    <x v="22"/>
    <x v="29"/>
    <x v="51"/>
    <x v="157"/>
    <x v="296"/>
    <x v="6"/>
    <n v="0"/>
    <s v="Not Sampled"/>
    <n v="1541"/>
    <m/>
    <m/>
    <m/>
    <m/>
    <m/>
    <m/>
    <m/>
    <m/>
    <s v="Negative"/>
    <s v="Not Sampled"/>
    <s v="Not Sampled"/>
  </r>
  <r>
    <x v="1"/>
    <x v="1"/>
    <x v="1"/>
    <x v="1"/>
    <x v="1"/>
    <x v="1"/>
    <x v="1"/>
    <x v="1"/>
    <n v="0"/>
    <s v="Not Sampled"/>
    <n v="1542"/>
    <m/>
    <m/>
    <m/>
    <m/>
    <m/>
    <m/>
    <m/>
    <m/>
    <s v="Negative"/>
    <s v="Not Sampled"/>
    <s v="Not Sampled"/>
  </r>
  <r>
    <x v="1"/>
    <x v="2"/>
    <x v="2"/>
    <x v="2"/>
    <x v="0"/>
    <x v="2"/>
    <x v="2"/>
    <x v="2"/>
    <n v="1"/>
    <s v="Not Sampled"/>
    <n v="1543"/>
    <m/>
    <m/>
    <m/>
    <m/>
    <m/>
    <m/>
    <m/>
    <m/>
    <s v="Positive"/>
    <s v="Not Sampled"/>
    <s v="Not Sampled"/>
  </r>
  <r>
    <x v="1"/>
    <x v="3"/>
    <x v="3"/>
    <x v="3"/>
    <x v="2"/>
    <x v="3"/>
    <x v="3"/>
    <x v="3"/>
    <n v="1"/>
    <s v="Not Sampled"/>
    <n v="1544"/>
    <m/>
    <m/>
    <m/>
    <m/>
    <m/>
    <m/>
    <m/>
    <m/>
    <s v="Positive"/>
    <s v="Not Sampled"/>
    <s v="Not Sampled"/>
  </r>
  <r>
    <x v="2"/>
    <x v="4"/>
    <x v="0"/>
    <x v="4"/>
    <x v="3"/>
    <x v="4"/>
    <x v="4"/>
    <x v="4"/>
    <n v="0"/>
    <s v="Not Sampled"/>
    <n v="1545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n v="1"/>
    <n v="1546"/>
    <m/>
    <m/>
    <m/>
    <m/>
    <m/>
    <m/>
    <m/>
    <m/>
    <s v="Negative"/>
    <s v="Positive"/>
    <s v="Inaccurate Prediction"/>
  </r>
  <r>
    <x v="3"/>
    <x v="6"/>
    <x v="5"/>
    <x v="6"/>
    <x v="0"/>
    <x v="6"/>
    <x v="6"/>
    <x v="6"/>
    <n v="0"/>
    <n v="0"/>
    <n v="1547"/>
    <m/>
    <m/>
    <m/>
    <m/>
    <m/>
    <m/>
    <m/>
    <m/>
    <s v="Negative"/>
    <s v="Negative"/>
    <s v="Accurate Prediction"/>
  </r>
  <r>
    <x v="4"/>
    <x v="7"/>
    <x v="6"/>
    <x v="2"/>
    <x v="0"/>
    <x v="7"/>
    <x v="7"/>
    <x v="7"/>
    <n v="0"/>
    <n v="1"/>
    <n v="1548"/>
    <m/>
    <m/>
    <m/>
    <m/>
    <m/>
    <m/>
    <m/>
    <m/>
    <s v="Negative"/>
    <s v="Positive"/>
    <s v="Inaccurate Prediction"/>
  </r>
  <r>
    <x v="0"/>
    <x v="8"/>
    <x v="7"/>
    <x v="7"/>
    <x v="5"/>
    <x v="8"/>
    <x v="8"/>
    <x v="3"/>
    <n v="0"/>
    <s v="Not Sampled"/>
    <n v="1549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1550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n v="0"/>
    <n v="1551"/>
    <m/>
    <m/>
    <m/>
    <m/>
    <m/>
    <m/>
    <m/>
    <m/>
    <s v="Negative"/>
    <s v="Negative"/>
    <s v="Accurate Prediction"/>
  </r>
  <r>
    <x v="3"/>
    <x v="10"/>
    <x v="9"/>
    <x v="10"/>
    <x v="6"/>
    <x v="11"/>
    <x v="11"/>
    <x v="10"/>
    <n v="1"/>
    <s v="Not Sampled"/>
    <n v="1552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1553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n v="1"/>
    <n v="1554"/>
    <m/>
    <m/>
    <m/>
    <m/>
    <m/>
    <m/>
    <m/>
    <m/>
    <s v="Negative"/>
    <s v="Positive"/>
    <s v="Inaccurate Prediction"/>
  </r>
  <r>
    <x v="7"/>
    <x v="13"/>
    <x v="3"/>
    <x v="2"/>
    <x v="0"/>
    <x v="14"/>
    <x v="9"/>
    <x v="13"/>
    <n v="0"/>
    <n v="0"/>
    <n v="1555"/>
    <m/>
    <m/>
    <m/>
    <m/>
    <m/>
    <m/>
    <m/>
    <m/>
    <s v="Negative"/>
    <s v="Negative"/>
    <s v="Accurate Prediction"/>
  </r>
  <r>
    <x v="0"/>
    <x v="14"/>
    <x v="5"/>
    <x v="11"/>
    <x v="7"/>
    <x v="15"/>
    <x v="14"/>
    <x v="14"/>
    <n v="0"/>
    <s v="Not Sampled"/>
    <n v="1556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1557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s v="Not Sampled"/>
    <n v="1558"/>
    <m/>
    <m/>
    <m/>
    <m/>
    <m/>
    <m/>
    <m/>
    <m/>
    <s v="Negative"/>
    <s v="Not Sampled"/>
    <s v="Not Sampled"/>
  </r>
  <r>
    <x v="1"/>
    <x v="60"/>
    <x v="10"/>
    <x v="48"/>
    <x v="38"/>
    <x v="224"/>
    <x v="499"/>
    <x v="30"/>
    <n v="1"/>
    <s v="Not Sampled"/>
    <n v="1559"/>
    <m/>
    <m/>
    <m/>
    <m/>
    <m/>
    <m/>
    <m/>
    <m/>
    <s v="Positive"/>
    <s v="Not Sampled"/>
    <s v="Not Sampled"/>
  </r>
  <r>
    <x v="1"/>
    <x v="51"/>
    <x v="16"/>
    <x v="30"/>
    <x v="100"/>
    <x v="166"/>
    <x v="254"/>
    <x v="3"/>
    <n v="0"/>
    <s v="Not Sampled"/>
    <n v="1560"/>
    <m/>
    <m/>
    <m/>
    <m/>
    <m/>
    <m/>
    <m/>
    <m/>
    <s v="Negative"/>
    <s v="Not Sampled"/>
    <s v="Not Sampled"/>
  </r>
  <r>
    <x v="1"/>
    <x v="113"/>
    <x v="11"/>
    <x v="15"/>
    <x v="50"/>
    <x v="38"/>
    <x v="500"/>
    <x v="48"/>
    <n v="0"/>
    <n v="0"/>
    <n v="1561"/>
    <m/>
    <m/>
    <m/>
    <m/>
    <m/>
    <m/>
    <m/>
    <m/>
    <s v="Negative"/>
    <s v="Negative"/>
    <s v="Accurate Prediction"/>
  </r>
  <r>
    <x v="0"/>
    <x v="64"/>
    <x v="41"/>
    <x v="51"/>
    <x v="181"/>
    <x v="95"/>
    <x v="501"/>
    <x v="44"/>
    <n v="1"/>
    <s v="Not Sampled"/>
    <n v="1562"/>
    <m/>
    <m/>
    <m/>
    <m/>
    <m/>
    <m/>
    <m/>
    <m/>
    <s v="Positive"/>
    <s v="Not Sampled"/>
    <s v="Not Sampled"/>
  </r>
  <r>
    <x v="3"/>
    <x v="128"/>
    <x v="19"/>
    <x v="2"/>
    <x v="100"/>
    <x v="242"/>
    <x v="109"/>
    <x v="18"/>
    <n v="0"/>
    <s v="Not Sampled"/>
    <n v="1563"/>
    <m/>
    <m/>
    <m/>
    <m/>
    <m/>
    <m/>
    <m/>
    <m/>
    <s v="Negative"/>
    <s v="Not Sampled"/>
    <s v="Not Sampled"/>
  </r>
  <r>
    <x v="2"/>
    <x v="45"/>
    <x v="0"/>
    <x v="2"/>
    <x v="0"/>
    <x v="243"/>
    <x v="502"/>
    <x v="31"/>
    <n v="0"/>
    <s v="Not Sampled"/>
    <n v="1564"/>
    <m/>
    <m/>
    <m/>
    <m/>
    <m/>
    <m/>
    <m/>
    <m/>
    <s v="Negative"/>
    <s v="Not Sampled"/>
    <s v="Not Sampled"/>
  </r>
  <r>
    <x v="1"/>
    <x v="26"/>
    <x v="46"/>
    <x v="17"/>
    <x v="36"/>
    <x v="4"/>
    <x v="503"/>
    <x v="9"/>
    <n v="0"/>
    <s v="Not Sampled"/>
    <n v="1565"/>
    <m/>
    <m/>
    <m/>
    <m/>
    <m/>
    <m/>
    <m/>
    <m/>
    <s v="Negative"/>
    <s v="Not Sampled"/>
    <s v="Not Sampled"/>
  </r>
  <r>
    <x v="6"/>
    <x v="4"/>
    <x v="16"/>
    <x v="18"/>
    <x v="0"/>
    <x v="244"/>
    <x v="504"/>
    <x v="48"/>
    <n v="1"/>
    <s v="Not Sampled"/>
    <n v="1566"/>
    <m/>
    <m/>
    <m/>
    <m/>
    <m/>
    <m/>
    <m/>
    <m/>
    <s v="Positive"/>
    <s v="Not Sampled"/>
    <s v="Not Sampled"/>
  </r>
  <r>
    <x v="0"/>
    <x v="107"/>
    <x v="27"/>
    <x v="8"/>
    <x v="32"/>
    <x v="245"/>
    <x v="117"/>
    <x v="6"/>
    <n v="0"/>
    <n v="1"/>
    <n v="1567"/>
    <m/>
    <m/>
    <m/>
    <m/>
    <m/>
    <m/>
    <m/>
    <m/>
    <s v="Negative"/>
    <s v="Positive"/>
    <s v="Inaccurate Prediction"/>
  </r>
  <r>
    <x v="5"/>
    <x v="76"/>
    <x v="2"/>
    <x v="52"/>
    <x v="100"/>
    <x v="246"/>
    <x v="254"/>
    <x v="3"/>
    <n v="0"/>
    <s v="Not Sampled"/>
    <n v="1568"/>
    <m/>
    <m/>
    <m/>
    <m/>
    <m/>
    <m/>
    <m/>
    <m/>
    <s v="Negative"/>
    <s v="Not Sampled"/>
    <s v="Not Sampled"/>
  </r>
  <r>
    <x v="1"/>
    <x v="5"/>
    <x v="4"/>
    <x v="5"/>
    <x v="4"/>
    <x v="5"/>
    <x v="5"/>
    <x v="5"/>
    <n v="0"/>
    <s v="Not Sampled"/>
    <n v="1569"/>
    <m/>
    <m/>
    <m/>
    <m/>
    <m/>
    <m/>
    <m/>
    <m/>
    <s v="Negative"/>
    <s v="Not Sampled"/>
    <s v="Not Sampled"/>
  </r>
  <r>
    <x v="3"/>
    <x v="6"/>
    <x v="5"/>
    <x v="6"/>
    <x v="0"/>
    <x v="6"/>
    <x v="6"/>
    <x v="6"/>
    <n v="0"/>
    <s v="Not Sampled"/>
    <n v="1570"/>
    <m/>
    <m/>
    <m/>
    <m/>
    <m/>
    <m/>
    <m/>
    <m/>
    <s v="Negative"/>
    <s v="Not Sampled"/>
    <s v="Not Sampled"/>
  </r>
  <r>
    <x v="4"/>
    <x v="7"/>
    <x v="6"/>
    <x v="2"/>
    <x v="0"/>
    <x v="7"/>
    <x v="7"/>
    <x v="7"/>
    <n v="0"/>
    <s v="Not Sampled"/>
    <n v="1571"/>
    <m/>
    <m/>
    <m/>
    <m/>
    <m/>
    <m/>
    <m/>
    <m/>
    <s v="Negative"/>
    <s v="Not Sampled"/>
    <s v="Not Sampled"/>
  </r>
  <r>
    <x v="0"/>
    <x v="8"/>
    <x v="7"/>
    <x v="7"/>
    <x v="5"/>
    <x v="8"/>
    <x v="8"/>
    <x v="3"/>
    <n v="0"/>
    <s v="Not Sampled"/>
    <n v="1572"/>
    <m/>
    <m/>
    <m/>
    <m/>
    <m/>
    <m/>
    <m/>
    <m/>
    <s v="Negative"/>
    <s v="Not Sampled"/>
    <s v="Not Sampled"/>
  </r>
  <r>
    <x v="0"/>
    <x v="9"/>
    <x v="8"/>
    <x v="8"/>
    <x v="0"/>
    <x v="9"/>
    <x v="9"/>
    <x v="8"/>
    <n v="0"/>
    <s v="Not Sampled"/>
    <n v="1573"/>
    <m/>
    <m/>
    <m/>
    <m/>
    <m/>
    <m/>
    <m/>
    <m/>
    <s v="Negative"/>
    <s v="Not Sampled"/>
    <s v="Not Sampled"/>
  </r>
  <r>
    <x v="3"/>
    <x v="6"/>
    <x v="3"/>
    <x v="9"/>
    <x v="0"/>
    <x v="10"/>
    <x v="10"/>
    <x v="9"/>
    <n v="0"/>
    <s v="Not Sampled"/>
    <n v="1574"/>
    <m/>
    <m/>
    <m/>
    <m/>
    <m/>
    <m/>
    <m/>
    <m/>
    <s v="Negative"/>
    <s v="Not Sampled"/>
    <s v="Not Sampled"/>
  </r>
  <r>
    <x v="3"/>
    <x v="10"/>
    <x v="9"/>
    <x v="10"/>
    <x v="6"/>
    <x v="11"/>
    <x v="11"/>
    <x v="10"/>
    <n v="1"/>
    <s v="Not Sampled"/>
    <n v="1575"/>
    <m/>
    <m/>
    <m/>
    <m/>
    <m/>
    <m/>
    <m/>
    <m/>
    <s v="Positive"/>
    <s v="Not Sampled"/>
    <s v="Not Sampled"/>
  </r>
  <r>
    <x v="5"/>
    <x v="11"/>
    <x v="2"/>
    <x v="2"/>
    <x v="0"/>
    <x v="12"/>
    <x v="12"/>
    <x v="11"/>
    <n v="0"/>
    <s v="Not Sampled"/>
    <n v="1576"/>
    <m/>
    <m/>
    <m/>
    <m/>
    <m/>
    <m/>
    <m/>
    <m/>
    <s v="Negative"/>
    <s v="Not Sampled"/>
    <s v="Not Sampled"/>
  </r>
  <r>
    <x v="6"/>
    <x v="12"/>
    <x v="10"/>
    <x v="2"/>
    <x v="0"/>
    <x v="13"/>
    <x v="13"/>
    <x v="12"/>
    <n v="0"/>
    <s v="Not Sampled"/>
    <n v="1577"/>
    <m/>
    <m/>
    <m/>
    <m/>
    <m/>
    <m/>
    <m/>
    <m/>
    <s v="Negative"/>
    <s v="Not Sampled"/>
    <s v="Not Sampled"/>
  </r>
  <r>
    <x v="7"/>
    <x v="13"/>
    <x v="3"/>
    <x v="2"/>
    <x v="0"/>
    <x v="14"/>
    <x v="9"/>
    <x v="13"/>
    <n v="0"/>
    <s v="Not Sampled"/>
    <n v="1578"/>
    <m/>
    <m/>
    <m/>
    <m/>
    <m/>
    <m/>
    <m/>
    <m/>
    <s v="Negative"/>
    <s v="Not Sampled"/>
    <s v="Not Sampled"/>
  </r>
  <r>
    <x v="0"/>
    <x v="14"/>
    <x v="5"/>
    <x v="11"/>
    <x v="7"/>
    <x v="15"/>
    <x v="14"/>
    <x v="14"/>
    <n v="0"/>
    <s v="Not Sampled"/>
    <n v="1579"/>
    <m/>
    <m/>
    <m/>
    <m/>
    <m/>
    <m/>
    <m/>
    <m/>
    <s v="Negative"/>
    <s v="Not Sampled"/>
    <s v="Not Sampled"/>
  </r>
  <r>
    <x v="8"/>
    <x v="15"/>
    <x v="9"/>
    <x v="12"/>
    <x v="8"/>
    <x v="16"/>
    <x v="15"/>
    <x v="15"/>
    <n v="1"/>
    <s v="Not Sampled"/>
    <n v="1580"/>
    <m/>
    <m/>
    <m/>
    <m/>
    <m/>
    <m/>
    <m/>
    <m/>
    <s v="Positive"/>
    <s v="Not Sampled"/>
    <s v="Not Sampled"/>
  </r>
  <r>
    <x v="6"/>
    <x v="16"/>
    <x v="10"/>
    <x v="5"/>
    <x v="9"/>
    <x v="17"/>
    <x v="16"/>
    <x v="16"/>
    <n v="0"/>
    <s v="Not Sampled"/>
    <n v="1581"/>
    <m/>
    <m/>
    <m/>
    <m/>
    <m/>
    <m/>
    <m/>
    <m/>
    <s v="Negative"/>
    <s v="Not Sampled"/>
    <s v="Not Sampled"/>
  </r>
  <r>
    <x v="1"/>
    <x v="60"/>
    <x v="10"/>
    <x v="48"/>
    <x v="38"/>
    <x v="224"/>
    <x v="499"/>
    <x v="30"/>
    <n v="1"/>
    <n v="0"/>
    <n v="1582"/>
    <m/>
    <m/>
    <m/>
    <m/>
    <m/>
    <m/>
    <m/>
    <m/>
    <s v="Positive"/>
    <s v="Negative"/>
    <s v="Inaccurate Prediction"/>
  </r>
  <r>
    <x v="1"/>
    <x v="51"/>
    <x v="16"/>
    <x v="30"/>
    <x v="100"/>
    <x v="166"/>
    <x v="254"/>
    <x v="3"/>
    <n v="0"/>
    <n v="0"/>
    <n v="1583"/>
    <m/>
    <m/>
    <m/>
    <m/>
    <m/>
    <m/>
    <m/>
    <m/>
    <s v="Negative"/>
    <s v="Negative"/>
    <s v="Accurate Prediction"/>
  </r>
  <r>
    <x v="1"/>
    <x v="113"/>
    <x v="11"/>
    <x v="15"/>
    <x v="50"/>
    <x v="38"/>
    <x v="500"/>
    <x v="48"/>
    <n v="0"/>
    <s v="Not Sampled"/>
    <n v="1584"/>
    <m/>
    <m/>
    <m/>
    <m/>
    <m/>
    <m/>
    <m/>
    <m/>
    <s v="Negative"/>
    <s v="Not Sampled"/>
    <s v="Not Sampled"/>
  </r>
  <r>
    <x v="0"/>
    <x v="64"/>
    <x v="41"/>
    <x v="51"/>
    <x v="181"/>
    <x v="95"/>
    <x v="501"/>
    <x v="44"/>
    <n v="1"/>
    <s v="Not Sampled"/>
    <n v="1585"/>
    <m/>
    <m/>
    <m/>
    <m/>
    <m/>
    <m/>
    <m/>
    <m/>
    <s v="Positive"/>
    <s v="Not Sampled"/>
    <s v="Not Sampled"/>
  </r>
  <r>
    <x v="3"/>
    <x v="128"/>
    <x v="19"/>
    <x v="2"/>
    <x v="100"/>
    <x v="242"/>
    <x v="109"/>
    <x v="18"/>
    <n v="0"/>
    <s v="Not Sampled"/>
    <n v="1586"/>
    <m/>
    <m/>
    <m/>
    <m/>
    <m/>
    <m/>
    <m/>
    <m/>
    <s v="Negative"/>
    <s v="Not Sampled"/>
    <s v="Not Sampled"/>
  </r>
  <r>
    <x v="2"/>
    <x v="45"/>
    <x v="0"/>
    <x v="2"/>
    <x v="0"/>
    <x v="243"/>
    <x v="502"/>
    <x v="31"/>
    <n v="0"/>
    <s v="Not Sampled"/>
    <n v="1587"/>
    <m/>
    <m/>
    <m/>
    <m/>
    <m/>
    <m/>
    <m/>
    <m/>
    <s v="Negative"/>
    <s v="Not Sampled"/>
    <s v="Not Sampled"/>
  </r>
  <r>
    <x v="1"/>
    <x v="26"/>
    <x v="46"/>
    <x v="17"/>
    <x v="36"/>
    <x v="4"/>
    <x v="503"/>
    <x v="9"/>
    <n v="0"/>
    <s v="Not Sampled"/>
    <n v="1588"/>
    <m/>
    <m/>
    <m/>
    <m/>
    <m/>
    <m/>
    <m/>
    <m/>
    <s v="Negative"/>
    <s v="Not Sampled"/>
    <s v="Not Sampled"/>
  </r>
  <r>
    <x v="6"/>
    <x v="4"/>
    <x v="16"/>
    <x v="18"/>
    <x v="0"/>
    <x v="244"/>
    <x v="504"/>
    <x v="48"/>
    <n v="1"/>
    <s v="Not Sampled"/>
    <n v="1589"/>
    <m/>
    <m/>
    <m/>
    <m/>
    <m/>
    <m/>
    <m/>
    <m/>
    <s v="Positive"/>
    <s v="Not Sampled"/>
    <s v="Not Sampled"/>
  </r>
  <r>
    <x v="0"/>
    <x v="107"/>
    <x v="27"/>
    <x v="8"/>
    <x v="32"/>
    <x v="245"/>
    <x v="117"/>
    <x v="6"/>
    <n v="0"/>
    <s v="Not Sampled"/>
    <n v="1590"/>
    <m/>
    <m/>
    <m/>
    <m/>
    <m/>
    <m/>
    <m/>
    <m/>
    <s v="Negative"/>
    <s v="Not Sampled"/>
    <s v="Not Sampled"/>
  </r>
  <r>
    <x v="5"/>
    <x v="76"/>
    <x v="2"/>
    <x v="52"/>
    <x v="100"/>
    <x v="246"/>
    <x v="254"/>
    <x v="3"/>
    <n v="0"/>
    <s v="Not Sampled"/>
    <n v="1591"/>
    <m/>
    <m/>
    <m/>
    <m/>
    <m/>
    <m/>
    <m/>
    <m/>
    <s v="Negative"/>
    <s v="Not Sampled"/>
    <s v="Not Sampled"/>
  </r>
  <r>
    <x v="8"/>
    <x v="112"/>
    <x v="16"/>
    <x v="2"/>
    <x v="0"/>
    <x v="180"/>
    <x v="279"/>
    <x v="17"/>
    <n v="1"/>
    <s v="Not Sampled"/>
    <n v="1592"/>
    <m/>
    <m/>
    <m/>
    <m/>
    <m/>
    <m/>
    <m/>
    <m/>
    <s v="Positive"/>
    <s v="Not Sampled"/>
    <s v="Not Sampled"/>
  </r>
  <r>
    <x v="2"/>
    <x v="23"/>
    <x v="9"/>
    <x v="27"/>
    <x v="16"/>
    <x v="151"/>
    <x v="280"/>
    <x v="11"/>
    <n v="0"/>
    <n v="0"/>
    <n v="1593"/>
    <m/>
    <m/>
    <m/>
    <m/>
    <m/>
    <m/>
    <m/>
    <m/>
    <s v="Negative"/>
    <s v="Negative"/>
    <s v="Accurate Prediction"/>
  </r>
  <r>
    <x v="2"/>
    <x v="50"/>
    <x v="10"/>
    <x v="23"/>
    <x v="115"/>
    <x v="151"/>
    <x v="281"/>
    <x v="31"/>
    <n v="0"/>
    <s v="Not Sampled"/>
    <n v="1594"/>
    <m/>
    <m/>
    <m/>
    <m/>
    <m/>
    <m/>
    <m/>
    <m/>
    <s v="Negative"/>
    <s v="Not Sampled"/>
    <s v="Not Sampled"/>
  </r>
  <r>
    <x v="2"/>
    <x v="18"/>
    <x v="3"/>
    <x v="0"/>
    <x v="0"/>
    <x v="61"/>
    <x v="282"/>
    <x v="11"/>
    <n v="0"/>
    <n v="0"/>
    <n v="1595"/>
    <m/>
    <m/>
    <m/>
    <m/>
    <m/>
    <m/>
    <m/>
    <m/>
    <s v="Negative"/>
    <s v="Negative"/>
    <s v="Accurate Prediction"/>
  </r>
  <r>
    <x v="7"/>
    <x v="27"/>
    <x v="24"/>
    <x v="2"/>
    <x v="0"/>
    <x v="48"/>
    <x v="190"/>
    <x v="9"/>
    <n v="0"/>
    <s v="Not Sampled"/>
    <n v="1596"/>
    <m/>
    <m/>
    <m/>
    <m/>
    <m/>
    <m/>
    <m/>
    <m/>
    <s v="Negative"/>
    <s v="Not Sampled"/>
    <s v="Not Sampled"/>
  </r>
  <r>
    <x v="4"/>
    <x v="50"/>
    <x v="5"/>
    <x v="2"/>
    <x v="0"/>
    <x v="8"/>
    <x v="283"/>
    <x v="40"/>
    <n v="0"/>
    <s v="Not Sampled"/>
    <n v="1597"/>
    <m/>
    <m/>
    <m/>
    <m/>
    <m/>
    <m/>
    <m/>
    <m/>
    <s v="Negative"/>
    <s v="Not Sampled"/>
    <s v="Not Sampled"/>
  </r>
  <r>
    <x v="4"/>
    <x v="51"/>
    <x v="21"/>
    <x v="35"/>
    <x v="116"/>
    <x v="70"/>
    <x v="284"/>
    <x v="43"/>
    <n v="0"/>
    <s v="Not Sampled"/>
    <n v="1598"/>
    <m/>
    <m/>
    <m/>
    <m/>
    <m/>
    <m/>
    <m/>
    <m/>
    <s v="Negative"/>
    <s v="Not Sampled"/>
    <s v="Not Sampled"/>
  </r>
  <r>
    <x v="2"/>
    <x v="4"/>
    <x v="37"/>
    <x v="13"/>
    <x v="117"/>
    <x v="77"/>
    <x v="109"/>
    <x v="11"/>
    <n v="0"/>
    <s v="Not Sampled"/>
    <n v="1599"/>
    <m/>
    <m/>
    <m/>
    <m/>
    <m/>
    <m/>
    <m/>
    <m/>
    <s v="Negative"/>
    <s v="Not Sampled"/>
    <s v="Not Sampled"/>
  </r>
  <r>
    <x v="5"/>
    <x v="113"/>
    <x v="2"/>
    <x v="2"/>
    <x v="0"/>
    <x v="177"/>
    <x v="179"/>
    <x v="1"/>
    <n v="0"/>
    <s v="Not Sampled"/>
    <n v="1600"/>
    <m/>
    <m/>
    <m/>
    <m/>
    <m/>
    <m/>
    <m/>
    <m/>
    <s v="Negative"/>
    <s v="Not Sampled"/>
    <s v="Not Sampled"/>
  </r>
  <r>
    <x v="5"/>
    <x v="6"/>
    <x v="0"/>
    <x v="13"/>
    <x v="97"/>
    <x v="181"/>
    <x v="285"/>
    <x v="25"/>
    <n v="0"/>
    <s v="Not Sampled"/>
    <n v="1601"/>
    <m/>
    <m/>
    <m/>
    <m/>
    <m/>
    <m/>
    <m/>
    <m/>
    <s v="Negative"/>
    <s v="Not Sampled"/>
    <s v="Not Sampled"/>
  </r>
  <r>
    <x v="7"/>
    <x v="18"/>
    <x v="6"/>
    <x v="5"/>
    <x v="0"/>
    <x v="182"/>
    <x v="286"/>
    <x v="26"/>
    <n v="1"/>
    <n v="0"/>
    <n v="1602"/>
    <m/>
    <m/>
    <m/>
    <m/>
    <m/>
    <m/>
    <m/>
    <m/>
    <s v="Positive"/>
    <s v="Negative"/>
    <s v="Inaccurate Prediction"/>
  </r>
  <r>
    <x v="3"/>
    <x v="66"/>
    <x v="6"/>
    <x v="2"/>
    <x v="0"/>
    <x v="183"/>
    <x v="78"/>
    <x v="29"/>
    <n v="0"/>
    <s v="Not Sampled"/>
    <n v="1603"/>
    <m/>
    <m/>
    <m/>
    <m/>
    <m/>
    <m/>
    <m/>
    <m/>
    <s v="Negative"/>
    <s v="Not Sampled"/>
    <s v="Not Sampled"/>
  </r>
  <r>
    <x v="3"/>
    <x v="59"/>
    <x v="16"/>
    <x v="2"/>
    <x v="0"/>
    <x v="84"/>
    <x v="287"/>
    <x v="13"/>
    <n v="0"/>
    <n v="0"/>
    <n v="1604"/>
    <m/>
    <m/>
    <m/>
    <m/>
    <m/>
    <m/>
    <m/>
    <m/>
    <s v="Negative"/>
    <s v="Negative"/>
    <s v="Accurate Prediction"/>
  </r>
  <r>
    <x v="5"/>
    <x v="114"/>
    <x v="1"/>
    <x v="7"/>
    <x v="0"/>
    <x v="184"/>
    <x v="288"/>
    <x v="22"/>
    <n v="0"/>
    <s v="Not Sampled"/>
    <n v="1605"/>
    <m/>
    <m/>
    <m/>
    <m/>
    <m/>
    <m/>
    <m/>
    <m/>
    <s v="Negative"/>
    <s v="Not Sampled"/>
    <s v="Not Sampled"/>
  </r>
  <r>
    <x v="2"/>
    <x v="30"/>
    <x v="0"/>
    <x v="39"/>
    <x v="118"/>
    <x v="185"/>
    <x v="289"/>
    <x v="3"/>
    <n v="0"/>
    <s v="Not Sampled"/>
    <n v="1606"/>
    <m/>
    <m/>
    <m/>
    <m/>
    <m/>
    <m/>
    <m/>
    <m/>
    <s v="Negative"/>
    <s v="Not Sampled"/>
    <s v="Not Sampled"/>
  </r>
  <r>
    <x v="5"/>
    <x v="30"/>
    <x v="4"/>
    <x v="2"/>
    <x v="0"/>
    <x v="57"/>
    <x v="290"/>
    <x v="4"/>
    <n v="0"/>
    <s v="Not Sampled"/>
    <n v="1607"/>
    <m/>
    <m/>
    <m/>
    <m/>
    <m/>
    <m/>
    <m/>
    <m/>
    <s v="Negative"/>
    <s v="Not Sampled"/>
    <s v="Not Sampled"/>
  </r>
  <r>
    <x v="11"/>
    <x v="102"/>
    <x v="21"/>
    <x v="2"/>
    <x v="0"/>
    <x v="25"/>
    <x v="291"/>
    <x v="43"/>
    <n v="1"/>
    <s v="Not Sampled"/>
    <n v="1608"/>
    <m/>
    <m/>
    <m/>
    <m/>
    <m/>
    <m/>
    <m/>
    <m/>
    <s v="Positive"/>
    <s v="Not Sampled"/>
    <s v="Not Sampled"/>
  </r>
  <r>
    <x v="2"/>
    <x v="10"/>
    <x v="13"/>
    <x v="32"/>
    <x v="119"/>
    <x v="21"/>
    <x v="55"/>
    <x v="6"/>
    <n v="1"/>
    <s v="Not Sampled"/>
    <n v="1609"/>
    <m/>
    <m/>
    <m/>
    <m/>
    <m/>
    <m/>
    <m/>
    <m/>
    <s v="Positive"/>
    <s v="Not Sampled"/>
    <s v="Not Sampled"/>
  </r>
  <r>
    <x v="13"/>
    <x v="52"/>
    <x v="2"/>
    <x v="8"/>
    <x v="0"/>
    <x v="180"/>
    <x v="292"/>
    <x v="30"/>
    <n v="1"/>
    <n v="1"/>
    <n v="1610"/>
    <m/>
    <m/>
    <m/>
    <m/>
    <m/>
    <m/>
    <m/>
    <m/>
    <s v="Positive"/>
    <s v="Positive"/>
    <s v="Accurate Prediction"/>
  </r>
  <r>
    <x v="10"/>
    <x v="40"/>
    <x v="10"/>
    <x v="32"/>
    <x v="120"/>
    <x v="186"/>
    <x v="293"/>
    <x v="27"/>
    <n v="0"/>
    <n v="0"/>
    <n v="1611"/>
    <m/>
    <m/>
    <m/>
    <m/>
    <m/>
    <m/>
    <m/>
    <m/>
    <s v="Negative"/>
    <s v="Negative"/>
    <s v="Accurate Prediction"/>
  </r>
  <r>
    <x v="2"/>
    <x v="96"/>
    <x v="15"/>
    <x v="35"/>
    <x v="121"/>
    <x v="23"/>
    <x v="261"/>
    <x v="29"/>
    <n v="1"/>
    <s v="Not Sampled"/>
    <n v="1612"/>
    <m/>
    <m/>
    <m/>
    <m/>
    <m/>
    <m/>
    <m/>
    <m/>
    <s v="Positive"/>
    <s v="Not Sampled"/>
    <s v="Not Sampled"/>
  </r>
  <r>
    <x v="7"/>
    <x v="115"/>
    <x v="11"/>
    <x v="12"/>
    <x v="54"/>
    <x v="84"/>
    <x v="69"/>
    <x v="29"/>
    <n v="1"/>
    <s v="Not Sampled"/>
    <n v="1613"/>
    <m/>
    <m/>
    <m/>
    <m/>
    <m/>
    <m/>
    <m/>
    <m/>
    <s v="Positive"/>
    <s v="Not Sampled"/>
    <s v="Not Sampled"/>
  </r>
  <r>
    <x v="7"/>
    <x v="95"/>
    <x v="9"/>
    <x v="2"/>
    <x v="0"/>
    <x v="187"/>
    <x v="28"/>
    <x v="44"/>
    <n v="0"/>
    <s v="Not Sampled"/>
    <n v="1614"/>
    <m/>
    <m/>
    <m/>
    <m/>
    <m/>
    <m/>
    <m/>
    <m/>
    <s v="Negative"/>
    <s v="Not Sampled"/>
    <s v="Not Sampled"/>
  </r>
  <r>
    <x v="7"/>
    <x v="28"/>
    <x v="28"/>
    <x v="18"/>
    <x v="0"/>
    <x v="188"/>
    <x v="47"/>
    <x v="39"/>
    <n v="0"/>
    <s v="Not Sampled"/>
    <n v="1615"/>
    <m/>
    <m/>
    <m/>
    <m/>
    <m/>
    <m/>
    <m/>
    <m/>
    <s v="Negative"/>
    <s v="Not Sampled"/>
    <s v="Not Sampled"/>
  </r>
  <r>
    <x v="3"/>
    <x v="36"/>
    <x v="4"/>
    <x v="2"/>
    <x v="0"/>
    <x v="70"/>
    <x v="254"/>
    <x v="7"/>
    <n v="1"/>
    <s v="Not Sampled"/>
    <n v="1616"/>
    <m/>
    <m/>
    <m/>
    <m/>
    <m/>
    <m/>
    <m/>
    <m/>
    <s v="Positive"/>
    <s v="Not Sampled"/>
    <s v="Not Sampled"/>
  </r>
  <r>
    <x v="3"/>
    <x v="83"/>
    <x v="10"/>
    <x v="14"/>
    <x v="122"/>
    <x v="115"/>
    <x v="294"/>
    <x v="13"/>
    <n v="0"/>
    <n v="0"/>
    <n v="1617"/>
    <m/>
    <m/>
    <m/>
    <m/>
    <m/>
    <m/>
    <m/>
    <m/>
    <s v="Negative"/>
    <s v="Negative"/>
    <s v="Accurate Prediction"/>
  </r>
  <r>
    <x v="7"/>
    <x v="6"/>
    <x v="14"/>
    <x v="7"/>
    <x v="117"/>
    <x v="37"/>
    <x v="295"/>
    <x v="13"/>
    <n v="0"/>
    <n v="0"/>
    <n v="1618"/>
    <m/>
    <m/>
    <m/>
    <m/>
    <m/>
    <m/>
    <m/>
    <m/>
    <s v="Negative"/>
    <s v="Negative"/>
    <s v="Accurate Prediction"/>
  </r>
  <r>
    <x v="6"/>
    <x v="73"/>
    <x v="5"/>
    <x v="2"/>
    <x v="0"/>
    <x v="32"/>
    <x v="149"/>
    <x v="29"/>
    <n v="1"/>
    <s v="Not Sampled"/>
    <n v="1619"/>
    <m/>
    <m/>
    <m/>
    <m/>
    <m/>
    <m/>
    <m/>
    <m/>
    <s v="Positive"/>
    <s v="Not Sampled"/>
    <s v="Not Sampled"/>
  </r>
  <r>
    <x v="1"/>
    <x v="39"/>
    <x v="11"/>
    <x v="6"/>
    <x v="0"/>
    <x v="169"/>
    <x v="287"/>
    <x v="4"/>
    <n v="0"/>
    <s v="Not Sampled"/>
    <n v="1620"/>
    <m/>
    <m/>
    <m/>
    <m/>
    <m/>
    <m/>
    <m/>
    <m/>
    <s v="Negative"/>
    <s v="Not Sampled"/>
    <s v="Not Sampled"/>
  </r>
  <r>
    <x v="5"/>
    <x v="14"/>
    <x v="24"/>
    <x v="41"/>
    <x v="5"/>
    <x v="155"/>
    <x v="296"/>
    <x v="11"/>
    <n v="0"/>
    <s v="Not Sampled"/>
    <n v="1621"/>
    <m/>
    <m/>
    <m/>
    <m/>
    <m/>
    <m/>
    <m/>
    <m/>
    <s v="Negative"/>
    <s v="Not Sampled"/>
    <s v="Not Sampled"/>
  </r>
  <r>
    <x v="2"/>
    <x v="32"/>
    <x v="38"/>
    <x v="7"/>
    <x v="32"/>
    <x v="10"/>
    <x v="297"/>
    <x v="10"/>
    <n v="1"/>
    <n v="0"/>
    <n v="1622"/>
    <m/>
    <m/>
    <m/>
    <m/>
    <m/>
    <m/>
    <m/>
    <m/>
    <s v="Positive"/>
    <s v="Negative"/>
    <s v="Inaccurate Prediction"/>
  </r>
  <r>
    <x v="5"/>
    <x v="5"/>
    <x v="1"/>
    <x v="46"/>
    <x v="123"/>
    <x v="189"/>
    <x v="298"/>
    <x v="14"/>
    <n v="1"/>
    <s v="Not Sampled"/>
    <n v="1623"/>
    <m/>
    <m/>
    <m/>
    <m/>
    <m/>
    <m/>
    <m/>
    <m/>
    <s v="Positive"/>
    <s v="Not Sampled"/>
    <s v="Not Sampled"/>
  </r>
  <r>
    <x v="1"/>
    <x v="78"/>
    <x v="11"/>
    <x v="17"/>
    <x v="124"/>
    <x v="12"/>
    <x v="299"/>
    <x v="4"/>
    <n v="0"/>
    <n v="0"/>
    <n v="1624"/>
    <m/>
    <m/>
    <m/>
    <m/>
    <m/>
    <m/>
    <m/>
    <m/>
    <s v="Negative"/>
    <s v="Negative"/>
    <s v="Accurate Prediction"/>
  </r>
  <r>
    <x v="1"/>
    <x v="1"/>
    <x v="11"/>
    <x v="29"/>
    <x v="5"/>
    <x v="134"/>
    <x v="300"/>
    <x v="4"/>
    <n v="0"/>
    <s v="Not Sampled"/>
    <n v="1625"/>
    <m/>
    <m/>
    <m/>
    <m/>
    <m/>
    <m/>
    <m/>
    <m/>
    <s v="Negative"/>
    <s v="Not Sampled"/>
    <s v="Not Sampled"/>
  </r>
  <r>
    <x v="0"/>
    <x v="38"/>
    <x v="22"/>
    <x v="32"/>
    <x v="48"/>
    <x v="115"/>
    <x v="301"/>
    <x v="14"/>
    <n v="0"/>
    <s v="Not Sampled"/>
    <n v="1626"/>
    <m/>
    <m/>
    <m/>
    <m/>
    <m/>
    <m/>
    <m/>
    <m/>
    <s v="Negative"/>
    <s v="Not Sampled"/>
    <s v="Not Sampled"/>
  </r>
  <r>
    <x v="0"/>
    <x v="27"/>
    <x v="33"/>
    <x v="44"/>
    <x v="125"/>
    <x v="190"/>
    <x v="302"/>
    <x v="6"/>
    <n v="0"/>
    <n v="0"/>
    <n v="1627"/>
    <m/>
    <m/>
    <m/>
    <m/>
    <m/>
    <m/>
    <m/>
    <m/>
    <s v="Negative"/>
    <s v="Negative"/>
    <s v="Accurate Prediction"/>
  </r>
  <r>
    <x v="10"/>
    <x v="98"/>
    <x v="1"/>
    <x v="44"/>
    <x v="54"/>
    <x v="188"/>
    <x v="303"/>
    <x v="5"/>
    <n v="1"/>
    <s v="Not Sampled"/>
    <n v="1628"/>
    <m/>
    <m/>
    <m/>
    <m/>
    <m/>
    <m/>
    <m/>
    <m/>
    <s v="Positive"/>
    <s v="Not Sampled"/>
    <s v="Not Sampled"/>
  </r>
  <r>
    <x v="1"/>
    <x v="116"/>
    <x v="1"/>
    <x v="11"/>
    <x v="126"/>
    <x v="18"/>
    <x v="167"/>
    <x v="11"/>
    <n v="0"/>
    <n v="0"/>
    <n v="1629"/>
    <m/>
    <m/>
    <m/>
    <m/>
    <m/>
    <m/>
    <m/>
    <m/>
    <s v="Negative"/>
    <s v="Negative"/>
    <s v="Accurate Prediction"/>
  </r>
  <r>
    <x v="2"/>
    <x v="90"/>
    <x v="12"/>
    <x v="18"/>
    <x v="96"/>
    <x v="19"/>
    <x v="304"/>
    <x v="11"/>
    <n v="0"/>
    <s v="Not Sampled"/>
    <n v="1630"/>
    <m/>
    <m/>
    <m/>
    <m/>
    <m/>
    <m/>
    <m/>
    <m/>
    <s v="Negative"/>
    <s v="Not Sampled"/>
    <s v="Not Sampled"/>
  </r>
  <r>
    <x v="3"/>
    <x v="84"/>
    <x v="25"/>
    <x v="2"/>
    <x v="0"/>
    <x v="191"/>
    <x v="21"/>
    <x v="32"/>
    <n v="1"/>
    <n v="1"/>
    <n v="1631"/>
    <m/>
    <m/>
    <m/>
    <m/>
    <m/>
    <m/>
    <m/>
    <m/>
    <s v="Positive"/>
    <s v="Positive"/>
    <s v="Accurate Prediction"/>
  </r>
  <r>
    <x v="1"/>
    <x v="67"/>
    <x v="39"/>
    <x v="15"/>
    <x v="127"/>
    <x v="59"/>
    <x v="305"/>
    <x v="20"/>
    <n v="0"/>
    <n v="0"/>
    <n v="1632"/>
    <m/>
    <m/>
    <m/>
    <m/>
    <m/>
    <m/>
    <m/>
    <m/>
    <s v="Negative"/>
    <s v="Negative"/>
    <s v="Accurate Prediction"/>
  </r>
  <r>
    <x v="2"/>
    <x v="61"/>
    <x v="5"/>
    <x v="8"/>
    <x v="21"/>
    <x v="98"/>
    <x v="306"/>
    <x v="3"/>
    <n v="0"/>
    <s v="Not Sampled"/>
    <n v="1633"/>
    <m/>
    <m/>
    <m/>
    <m/>
    <m/>
    <m/>
    <m/>
    <m/>
    <s v="Negative"/>
    <s v="Not Sampled"/>
    <s v="Not Sampled"/>
  </r>
  <r>
    <x v="1"/>
    <x v="38"/>
    <x v="3"/>
    <x v="29"/>
    <x v="0"/>
    <x v="192"/>
    <x v="183"/>
    <x v="11"/>
    <n v="0"/>
    <n v="0"/>
    <n v="1634"/>
    <m/>
    <m/>
    <m/>
    <m/>
    <m/>
    <m/>
    <m/>
    <m/>
    <s v="Negative"/>
    <s v="Negative"/>
    <s v="Accurate Prediction"/>
  </r>
  <r>
    <x v="2"/>
    <x v="49"/>
    <x v="12"/>
    <x v="47"/>
    <x v="98"/>
    <x v="54"/>
    <x v="307"/>
    <x v="4"/>
    <n v="0"/>
    <s v="Not Sampled"/>
    <n v="1635"/>
    <m/>
    <m/>
    <m/>
    <m/>
    <m/>
    <m/>
    <m/>
    <m/>
    <s v="Negative"/>
    <s v="Not Sampled"/>
    <s v="Not Sampled"/>
  </r>
  <r>
    <x v="2"/>
    <x v="30"/>
    <x v="0"/>
    <x v="10"/>
    <x v="128"/>
    <x v="16"/>
    <x v="308"/>
    <x v="14"/>
    <n v="0"/>
    <n v="0"/>
    <n v="1636"/>
    <m/>
    <m/>
    <m/>
    <m/>
    <m/>
    <m/>
    <m/>
    <m/>
    <s v="Negative"/>
    <s v="Negative"/>
    <s v="Accurate Prediction"/>
  </r>
  <r>
    <x v="2"/>
    <x v="10"/>
    <x v="9"/>
    <x v="20"/>
    <x v="27"/>
    <x v="122"/>
    <x v="309"/>
    <x v="14"/>
    <n v="0"/>
    <n v="0"/>
    <n v="1637"/>
    <m/>
    <m/>
    <m/>
    <m/>
    <m/>
    <m/>
    <m/>
    <m/>
    <s v="Negative"/>
    <s v="Negative"/>
    <s v="Accurate Prediction"/>
  </r>
  <r>
    <x v="2"/>
    <x v="93"/>
    <x v="14"/>
    <x v="27"/>
    <x v="52"/>
    <x v="193"/>
    <x v="310"/>
    <x v="3"/>
    <n v="0"/>
    <n v="0"/>
    <n v="1638"/>
    <m/>
    <m/>
    <m/>
    <m/>
    <m/>
    <m/>
    <m/>
    <m/>
    <s v="Negative"/>
    <s v="Negative"/>
    <s v="Accurate Prediction"/>
  </r>
  <r>
    <x v="7"/>
    <x v="113"/>
    <x v="10"/>
    <x v="30"/>
    <x v="0"/>
    <x v="167"/>
    <x v="311"/>
    <x v="20"/>
    <n v="1"/>
    <n v="0"/>
    <n v="1639"/>
    <m/>
    <m/>
    <m/>
    <m/>
    <m/>
    <m/>
    <m/>
    <m/>
    <s v="Positive"/>
    <s v="Negative"/>
    <s v="Inaccurate Prediction"/>
  </r>
  <r>
    <x v="4"/>
    <x v="38"/>
    <x v="39"/>
    <x v="35"/>
    <x v="0"/>
    <x v="165"/>
    <x v="312"/>
    <x v="10"/>
    <n v="1"/>
    <s v="Not Sampled"/>
    <n v="1640"/>
    <m/>
    <m/>
    <m/>
    <m/>
    <m/>
    <m/>
    <m/>
    <m/>
    <s v="Positive"/>
    <s v="Not Sampled"/>
    <s v="Not Sampled"/>
  </r>
  <r>
    <x v="7"/>
    <x v="65"/>
    <x v="1"/>
    <x v="16"/>
    <x v="63"/>
    <x v="61"/>
    <x v="117"/>
    <x v="5"/>
    <n v="1"/>
    <s v="Not Sampled"/>
    <n v="1641"/>
    <m/>
    <m/>
    <m/>
    <m/>
    <m/>
    <m/>
    <m/>
    <m/>
    <s v="Positive"/>
    <s v="Not Sampled"/>
    <s v="Not Sampled"/>
  </r>
  <r>
    <x v="5"/>
    <x v="45"/>
    <x v="3"/>
    <x v="17"/>
    <x v="129"/>
    <x v="31"/>
    <x v="313"/>
    <x v="6"/>
    <n v="0"/>
    <s v="Not Sampled"/>
    <n v="1642"/>
    <m/>
    <m/>
    <m/>
    <m/>
    <m/>
    <m/>
    <m/>
    <m/>
    <s v="Negative"/>
    <s v="Not Sampled"/>
    <s v="Not Sampled"/>
  </r>
  <r>
    <x v="2"/>
    <x v="45"/>
    <x v="19"/>
    <x v="30"/>
    <x v="130"/>
    <x v="61"/>
    <x v="314"/>
    <x v="8"/>
    <n v="0"/>
    <s v="Not Sampled"/>
    <n v="1643"/>
    <m/>
    <m/>
    <m/>
    <m/>
    <m/>
    <m/>
    <m/>
    <m/>
    <s v="Negative"/>
    <s v="Not Sampled"/>
    <s v="Not Sampled"/>
  </r>
  <r>
    <x v="7"/>
    <x v="12"/>
    <x v="15"/>
    <x v="2"/>
    <x v="0"/>
    <x v="194"/>
    <x v="250"/>
    <x v="23"/>
    <n v="1"/>
    <s v="Not Sampled"/>
    <n v="1644"/>
    <m/>
    <m/>
    <m/>
    <m/>
    <m/>
    <m/>
    <m/>
    <m/>
    <s v="Positive"/>
    <s v="Not Sampled"/>
    <s v="Not Sampled"/>
  </r>
  <r>
    <x v="2"/>
    <x v="55"/>
    <x v="11"/>
    <x v="36"/>
    <x v="131"/>
    <x v="195"/>
    <x v="282"/>
    <x v="4"/>
    <n v="0"/>
    <s v="Not Sampled"/>
    <n v="1645"/>
    <m/>
    <m/>
    <m/>
    <m/>
    <m/>
    <m/>
    <m/>
    <m/>
    <s v="Negative"/>
    <s v="Not Sampled"/>
    <s v="Not Sampled"/>
  </r>
  <r>
    <x v="3"/>
    <x v="113"/>
    <x v="5"/>
    <x v="39"/>
    <x v="74"/>
    <x v="28"/>
    <x v="315"/>
    <x v="26"/>
    <n v="0"/>
    <n v="0"/>
    <n v="1646"/>
    <m/>
    <m/>
    <m/>
    <m/>
    <m/>
    <m/>
    <m/>
    <m/>
    <s v="Negative"/>
    <s v="Negative"/>
    <s v="Accurate Prediction"/>
  </r>
  <r>
    <x v="3"/>
    <x v="95"/>
    <x v="4"/>
    <x v="2"/>
    <x v="0"/>
    <x v="35"/>
    <x v="316"/>
    <x v="2"/>
    <n v="1"/>
    <n v="1"/>
    <n v="1647"/>
    <m/>
    <m/>
    <m/>
    <m/>
    <m/>
    <m/>
    <m/>
    <m/>
    <s v="Positive"/>
    <s v="Positive"/>
    <s v="Accurate Prediction"/>
  </r>
  <r>
    <x v="0"/>
    <x v="117"/>
    <x v="22"/>
    <x v="20"/>
    <x v="132"/>
    <x v="116"/>
    <x v="317"/>
    <x v="14"/>
    <n v="0"/>
    <s v="Not Sampled"/>
    <n v="1648"/>
    <m/>
    <m/>
    <m/>
    <m/>
    <m/>
    <m/>
    <m/>
    <m/>
    <s v="Negative"/>
    <s v="Not Sampled"/>
    <s v="Not Sampled"/>
  </r>
  <r>
    <x v="5"/>
    <x v="20"/>
    <x v="20"/>
    <x v="24"/>
    <x v="133"/>
    <x v="62"/>
    <x v="318"/>
    <x v="16"/>
    <n v="0"/>
    <s v="Not Sampled"/>
    <n v="1649"/>
    <m/>
    <m/>
    <m/>
    <m/>
    <m/>
    <m/>
    <m/>
    <m/>
    <s v="Negative"/>
    <s v="Not Sampled"/>
    <s v="Not Sampled"/>
  </r>
  <r>
    <x v="1"/>
    <x v="55"/>
    <x v="19"/>
    <x v="32"/>
    <x v="0"/>
    <x v="82"/>
    <x v="319"/>
    <x v="11"/>
    <n v="1"/>
    <s v="Not Sampled"/>
    <n v="1650"/>
    <m/>
    <m/>
    <m/>
    <m/>
    <m/>
    <m/>
    <m/>
    <m/>
    <s v="Positive"/>
    <s v="Not Sampled"/>
    <s v="Not Sampled"/>
  </r>
  <r>
    <x v="5"/>
    <x v="118"/>
    <x v="9"/>
    <x v="2"/>
    <x v="0"/>
    <x v="96"/>
    <x v="282"/>
    <x v="14"/>
    <n v="0"/>
    <n v="0"/>
    <n v="1651"/>
    <m/>
    <m/>
    <m/>
    <m/>
    <m/>
    <m/>
    <m/>
    <m/>
    <s v="Negative"/>
    <s v="Negative"/>
    <s v="Accurate Prediction"/>
  </r>
  <r>
    <x v="5"/>
    <x v="104"/>
    <x v="9"/>
    <x v="1"/>
    <x v="0"/>
    <x v="115"/>
    <x v="320"/>
    <x v="14"/>
    <n v="1"/>
    <s v="Not Sampled"/>
    <n v="1652"/>
    <m/>
    <m/>
    <m/>
    <m/>
    <m/>
    <m/>
    <m/>
    <m/>
    <s v="Positive"/>
    <s v="Not Sampled"/>
    <s v="Not Sampled"/>
  </r>
  <r>
    <x v="3"/>
    <x v="50"/>
    <x v="11"/>
    <x v="2"/>
    <x v="0"/>
    <x v="61"/>
    <x v="321"/>
    <x v="2"/>
    <n v="1"/>
    <n v="0"/>
    <n v="1653"/>
    <m/>
    <m/>
    <m/>
    <m/>
    <m/>
    <m/>
    <m/>
    <m/>
    <s v="Positive"/>
    <s v="Negative"/>
    <s v="Inaccurate Prediction"/>
  </r>
  <r>
    <x v="6"/>
    <x v="59"/>
    <x v="40"/>
    <x v="2"/>
    <x v="0"/>
    <x v="29"/>
    <x v="187"/>
    <x v="15"/>
    <n v="0"/>
    <s v="Not Sampled"/>
    <n v="1654"/>
    <m/>
    <m/>
    <m/>
    <m/>
    <m/>
    <m/>
    <m/>
    <m/>
    <s v="Negative"/>
    <s v="Not Sampled"/>
    <s v="Not Sampled"/>
  </r>
  <r>
    <x v="7"/>
    <x v="60"/>
    <x v="16"/>
    <x v="4"/>
    <x v="84"/>
    <x v="145"/>
    <x v="129"/>
    <x v="20"/>
    <n v="1"/>
    <s v="Not Sampled"/>
    <n v="1655"/>
    <m/>
    <m/>
    <m/>
    <m/>
    <m/>
    <m/>
    <m/>
    <m/>
    <s v="Positive"/>
    <s v="Not Sampled"/>
    <s v="Not Sampled"/>
  </r>
  <r>
    <x v="11"/>
    <x v="119"/>
    <x v="4"/>
    <x v="14"/>
    <x v="0"/>
    <x v="31"/>
    <x v="246"/>
    <x v="19"/>
    <n v="0"/>
    <n v="0"/>
    <n v="1656"/>
    <m/>
    <m/>
    <m/>
    <m/>
    <m/>
    <m/>
    <m/>
    <m/>
    <s v="Negative"/>
    <s v="Negative"/>
    <s v="Accurate Prediction"/>
  </r>
  <r>
    <x v="7"/>
    <x v="120"/>
    <x v="11"/>
    <x v="2"/>
    <x v="0"/>
    <x v="35"/>
    <x v="322"/>
    <x v="17"/>
    <n v="1"/>
    <n v="1"/>
    <n v="1657"/>
    <m/>
    <m/>
    <m/>
    <m/>
    <m/>
    <m/>
    <m/>
    <m/>
    <s v="Positive"/>
    <s v="Positive"/>
    <s v="Accurate Prediction"/>
  </r>
  <r>
    <x v="0"/>
    <x v="62"/>
    <x v="26"/>
    <x v="5"/>
    <x v="134"/>
    <x v="196"/>
    <x v="254"/>
    <x v="25"/>
    <n v="0"/>
    <s v="Not Sampled"/>
    <n v="1658"/>
    <m/>
    <m/>
    <m/>
    <m/>
    <m/>
    <m/>
    <m/>
    <m/>
    <s v="Negative"/>
    <s v="Not Sampled"/>
    <s v="Not Sampled"/>
  </r>
  <r>
    <x v="3"/>
    <x v="109"/>
    <x v="5"/>
    <x v="2"/>
    <x v="0"/>
    <x v="11"/>
    <x v="323"/>
    <x v="22"/>
    <n v="1"/>
    <s v="Not Sampled"/>
    <n v="1659"/>
    <m/>
    <m/>
    <m/>
    <m/>
    <m/>
    <m/>
    <m/>
    <m/>
    <s v="Positive"/>
    <s v="Not Sampled"/>
    <s v="Not Sampled"/>
  </r>
  <r>
    <x v="1"/>
    <x v="39"/>
    <x v="0"/>
    <x v="2"/>
    <x v="0"/>
    <x v="101"/>
    <x v="101"/>
    <x v="14"/>
    <n v="0"/>
    <s v="Not Sampled"/>
    <n v="1660"/>
    <m/>
    <m/>
    <m/>
    <m/>
    <m/>
    <m/>
    <m/>
    <m/>
    <s v="Negative"/>
    <s v="Not Sampled"/>
    <s v="Not Sampled"/>
  </r>
  <r>
    <x v="4"/>
    <x v="100"/>
    <x v="10"/>
    <x v="2"/>
    <x v="0"/>
    <x v="151"/>
    <x v="324"/>
    <x v="16"/>
    <n v="1"/>
    <s v="Not Sampled"/>
    <n v="1661"/>
    <m/>
    <m/>
    <m/>
    <m/>
    <m/>
    <m/>
    <m/>
    <m/>
    <s v="Positive"/>
    <s v="Not Sampled"/>
    <s v="Not Sampled"/>
  </r>
  <r>
    <x v="2"/>
    <x v="121"/>
    <x v="3"/>
    <x v="48"/>
    <x v="135"/>
    <x v="197"/>
    <x v="325"/>
    <x v="6"/>
    <n v="1"/>
    <s v="Not Sampled"/>
    <n v="1662"/>
    <m/>
    <m/>
    <m/>
    <m/>
    <m/>
    <m/>
    <m/>
    <m/>
    <s v="Positive"/>
    <s v="Not Sampled"/>
    <s v="Not Sampled"/>
  </r>
  <r>
    <x v="6"/>
    <x v="29"/>
    <x v="8"/>
    <x v="15"/>
    <x v="0"/>
    <x v="140"/>
    <x v="326"/>
    <x v="6"/>
    <n v="0"/>
    <n v="0"/>
    <n v="1663"/>
    <m/>
    <m/>
    <m/>
    <m/>
    <m/>
    <m/>
    <m/>
    <m/>
    <s v="Negative"/>
    <s v="Negative"/>
    <s v="Accurate Prediction"/>
  </r>
  <r>
    <x v="2"/>
    <x v="56"/>
    <x v="5"/>
    <x v="8"/>
    <x v="34"/>
    <x v="184"/>
    <x v="303"/>
    <x v="14"/>
    <n v="0"/>
    <s v="Not Sampled"/>
    <n v="1664"/>
    <m/>
    <m/>
    <m/>
    <m/>
    <m/>
    <m/>
    <m/>
    <m/>
    <s v="Negative"/>
    <s v="Not Sampled"/>
    <s v="Not Sampled"/>
  </r>
  <r>
    <x v="2"/>
    <x v="92"/>
    <x v="16"/>
    <x v="17"/>
    <x v="136"/>
    <x v="197"/>
    <x v="327"/>
    <x v="11"/>
    <n v="0"/>
    <s v="Not Sampled"/>
    <n v="1665"/>
    <m/>
    <m/>
    <m/>
    <m/>
    <m/>
    <m/>
    <m/>
    <m/>
    <s v="Negative"/>
    <s v="Not Sampled"/>
    <s v="Not Sampled"/>
  </r>
  <r>
    <x v="2"/>
    <x v="92"/>
    <x v="10"/>
    <x v="29"/>
    <x v="137"/>
    <x v="173"/>
    <x v="152"/>
    <x v="4"/>
    <n v="0"/>
    <s v="Not Sampled"/>
    <n v="1666"/>
    <m/>
    <m/>
    <m/>
    <m/>
    <m/>
    <m/>
    <m/>
    <m/>
    <s v="Negative"/>
    <s v="Not Sampled"/>
    <s v="Not Sampled"/>
  </r>
  <r>
    <x v="1"/>
    <x v="0"/>
    <x v="12"/>
    <x v="0"/>
    <x v="119"/>
    <x v="137"/>
    <x v="328"/>
    <x v="4"/>
    <n v="1"/>
    <n v="0"/>
    <n v="1667"/>
    <m/>
    <m/>
    <m/>
    <m/>
    <m/>
    <m/>
    <m/>
    <m/>
    <s v="Positive"/>
    <s v="Negative"/>
    <s v="Inaccurate Prediction"/>
  </r>
  <r>
    <x v="5"/>
    <x v="5"/>
    <x v="16"/>
    <x v="12"/>
    <x v="138"/>
    <x v="140"/>
    <x v="61"/>
    <x v="11"/>
    <n v="1"/>
    <n v="1"/>
    <n v="1668"/>
    <m/>
    <m/>
    <m/>
    <m/>
    <m/>
    <m/>
    <m/>
    <m/>
    <s v="Positive"/>
    <s v="Positive"/>
    <s v="Accurate Prediction"/>
  </r>
  <r>
    <x v="2"/>
    <x v="75"/>
    <x v="3"/>
    <x v="23"/>
    <x v="0"/>
    <x v="185"/>
    <x v="329"/>
    <x v="11"/>
    <n v="0"/>
    <s v="Not Sampled"/>
    <n v="1669"/>
    <m/>
    <m/>
    <m/>
    <m/>
    <m/>
    <m/>
    <m/>
    <m/>
    <s v="Negative"/>
    <s v="Not Sampled"/>
    <s v="Not Sampled"/>
  </r>
  <r>
    <x v="3"/>
    <x v="65"/>
    <x v="1"/>
    <x v="5"/>
    <x v="0"/>
    <x v="70"/>
    <x v="330"/>
    <x v="26"/>
    <n v="1"/>
    <s v="Not Sampled"/>
    <n v="1670"/>
    <m/>
    <m/>
    <m/>
    <m/>
    <m/>
    <m/>
    <m/>
    <m/>
    <s v="Positive"/>
    <s v="Not Sampled"/>
    <s v="Not Sampled"/>
  </r>
  <r>
    <x v="2"/>
    <x v="8"/>
    <x v="3"/>
    <x v="2"/>
    <x v="0"/>
    <x v="198"/>
    <x v="331"/>
    <x v="23"/>
    <n v="0"/>
    <n v="0"/>
    <n v="1671"/>
    <m/>
    <m/>
    <m/>
    <m/>
    <m/>
    <m/>
    <m/>
    <m/>
    <s v="Negative"/>
    <s v="Negative"/>
    <s v="Accurate Prediction"/>
  </r>
  <r>
    <x v="5"/>
    <x v="52"/>
    <x v="11"/>
    <x v="30"/>
    <x v="133"/>
    <x v="199"/>
    <x v="332"/>
    <x v="6"/>
    <n v="1"/>
    <s v="Not Sampled"/>
    <n v="1672"/>
    <m/>
    <m/>
    <m/>
    <m/>
    <m/>
    <m/>
    <m/>
    <m/>
    <s v="Positive"/>
    <s v="Not Sampled"/>
    <s v="Not Sampled"/>
  </r>
  <r>
    <x v="2"/>
    <x v="93"/>
    <x v="21"/>
    <x v="4"/>
    <x v="13"/>
    <x v="200"/>
    <x v="333"/>
    <x v="25"/>
    <n v="0"/>
    <s v="Not Sampled"/>
    <n v="1673"/>
    <m/>
    <m/>
    <m/>
    <m/>
    <m/>
    <m/>
    <m/>
    <m/>
    <s v="Negative"/>
    <s v="Not Sampled"/>
    <s v="Not Sampled"/>
  </r>
  <r>
    <x v="0"/>
    <x v="19"/>
    <x v="3"/>
    <x v="10"/>
    <x v="7"/>
    <x v="14"/>
    <x v="334"/>
    <x v="4"/>
    <n v="0"/>
    <s v="Not Sampled"/>
    <n v="1674"/>
    <m/>
    <m/>
    <m/>
    <m/>
    <m/>
    <m/>
    <m/>
    <m/>
    <s v="Negative"/>
    <s v="Not Sampled"/>
    <s v="Not Sampled"/>
  </r>
  <r>
    <x v="1"/>
    <x v="29"/>
    <x v="11"/>
    <x v="40"/>
    <x v="65"/>
    <x v="102"/>
    <x v="116"/>
    <x v="4"/>
    <n v="0"/>
    <n v="0"/>
    <n v="1675"/>
    <m/>
    <m/>
    <m/>
    <m/>
    <m/>
    <m/>
    <m/>
    <m/>
    <s v="Negative"/>
    <s v="Negative"/>
    <s v="Accurate Prediction"/>
  </r>
  <r>
    <x v="0"/>
    <x v="109"/>
    <x v="11"/>
    <x v="29"/>
    <x v="0"/>
    <x v="98"/>
    <x v="335"/>
    <x v="4"/>
    <n v="0"/>
    <s v="Not Sampled"/>
    <n v="1676"/>
    <m/>
    <m/>
    <m/>
    <m/>
    <m/>
    <m/>
    <m/>
    <m/>
    <s v="Negative"/>
    <s v="Not Sampled"/>
    <s v="Not Sampled"/>
  </r>
  <r>
    <x v="4"/>
    <x v="68"/>
    <x v="4"/>
    <x v="5"/>
    <x v="14"/>
    <x v="92"/>
    <x v="336"/>
    <x v="31"/>
    <n v="1"/>
    <s v="Not Sampled"/>
    <n v="1677"/>
    <m/>
    <m/>
    <m/>
    <m/>
    <m/>
    <m/>
    <m/>
    <m/>
    <s v="Positive"/>
    <s v="Not Sampled"/>
    <s v="Not Sampled"/>
  </r>
  <r>
    <x v="3"/>
    <x v="97"/>
    <x v="4"/>
    <x v="15"/>
    <x v="139"/>
    <x v="201"/>
    <x v="337"/>
    <x v="2"/>
    <n v="1"/>
    <n v="1"/>
    <n v="1678"/>
    <m/>
    <m/>
    <m/>
    <m/>
    <m/>
    <m/>
    <m/>
    <m/>
    <s v="Positive"/>
    <s v="Positive"/>
    <s v="Accurate Prediction"/>
  </r>
  <r>
    <x v="1"/>
    <x v="19"/>
    <x v="2"/>
    <x v="2"/>
    <x v="0"/>
    <x v="12"/>
    <x v="152"/>
    <x v="14"/>
    <n v="0"/>
    <s v="Not Sampled"/>
    <n v="1679"/>
    <m/>
    <m/>
    <m/>
    <m/>
    <m/>
    <m/>
    <m/>
    <m/>
    <s v="Negative"/>
    <s v="Not Sampled"/>
    <s v="Not Sampled"/>
  </r>
  <r>
    <x v="2"/>
    <x v="94"/>
    <x v="11"/>
    <x v="8"/>
    <x v="105"/>
    <x v="174"/>
    <x v="338"/>
    <x v="19"/>
    <n v="1"/>
    <s v="Not Sampled"/>
    <n v="1680"/>
    <m/>
    <m/>
    <m/>
    <m/>
    <m/>
    <m/>
    <m/>
    <m/>
    <s v="Positive"/>
    <s v="Not Sampled"/>
    <s v="Not Sampled"/>
  </r>
  <r>
    <x v="1"/>
    <x v="3"/>
    <x v="41"/>
    <x v="40"/>
    <x v="8"/>
    <x v="102"/>
    <x v="223"/>
    <x v="25"/>
    <n v="0"/>
    <n v="0"/>
    <n v="1681"/>
    <m/>
    <m/>
    <m/>
    <m/>
    <m/>
    <m/>
    <m/>
    <m/>
    <s v="Negative"/>
    <s v="Negative"/>
    <s v="Accurate Prediction"/>
  </r>
  <r>
    <x v="2"/>
    <x v="50"/>
    <x v="1"/>
    <x v="14"/>
    <x v="105"/>
    <x v="145"/>
    <x v="1"/>
    <x v="33"/>
    <n v="1"/>
    <n v="0"/>
    <n v="1682"/>
    <m/>
    <m/>
    <m/>
    <m/>
    <m/>
    <m/>
    <m/>
    <m/>
    <s v="Positive"/>
    <s v="Negative"/>
    <s v="Inaccurate Prediction"/>
  </r>
  <r>
    <x v="0"/>
    <x v="6"/>
    <x v="2"/>
    <x v="2"/>
    <x v="0"/>
    <x v="202"/>
    <x v="339"/>
    <x v="1"/>
    <n v="0"/>
    <s v="Not Sampled"/>
    <n v="1683"/>
    <m/>
    <m/>
    <m/>
    <m/>
    <m/>
    <m/>
    <m/>
    <m/>
    <s v="Negative"/>
    <s v="Not Sampled"/>
    <s v="Not Sampled"/>
  </r>
  <r>
    <x v="5"/>
    <x v="9"/>
    <x v="10"/>
    <x v="41"/>
    <x v="108"/>
    <x v="25"/>
    <x v="7"/>
    <x v="19"/>
    <n v="0"/>
    <s v="Not Sampled"/>
    <n v="1684"/>
    <m/>
    <m/>
    <m/>
    <m/>
    <m/>
    <m/>
    <m/>
    <m/>
    <s v="Negative"/>
    <s v="Not Sampled"/>
    <s v="Not Sampled"/>
  </r>
  <r>
    <x v="2"/>
    <x v="11"/>
    <x v="10"/>
    <x v="22"/>
    <x v="140"/>
    <x v="135"/>
    <x v="268"/>
    <x v="11"/>
    <n v="0"/>
    <n v="0"/>
    <n v="1685"/>
    <m/>
    <m/>
    <m/>
    <m/>
    <m/>
    <m/>
    <m/>
    <m/>
    <s v="Negative"/>
    <s v="Negative"/>
    <s v="Accurate Prediction"/>
  </r>
  <r>
    <x v="2"/>
    <x v="5"/>
    <x v="10"/>
    <x v="2"/>
    <x v="0"/>
    <x v="8"/>
    <x v="124"/>
    <x v="19"/>
    <n v="1"/>
    <s v="Not Sampled"/>
    <n v="1686"/>
    <m/>
    <m/>
    <m/>
    <m/>
    <m/>
    <m/>
    <m/>
    <m/>
    <s v="Positive"/>
    <s v="Not Sampled"/>
    <s v="Not Sampled"/>
  </r>
  <r>
    <x v="2"/>
    <x v="49"/>
    <x v="43"/>
    <x v="10"/>
    <x v="77"/>
    <x v="179"/>
    <x v="185"/>
    <x v="25"/>
    <n v="0"/>
    <s v="Not Sampled"/>
    <n v="1687"/>
    <m/>
    <m/>
    <m/>
    <m/>
    <m/>
    <m/>
    <m/>
    <m/>
    <s v="Negative"/>
    <s v="Not Sampled"/>
    <s v="Not Sampled"/>
  </r>
  <r>
    <x v="2"/>
    <x v="81"/>
    <x v="21"/>
    <x v="13"/>
    <x v="0"/>
    <x v="150"/>
    <x v="415"/>
    <x v="3"/>
    <n v="0"/>
    <n v="0"/>
    <n v="1688"/>
    <m/>
    <m/>
    <m/>
    <m/>
    <m/>
    <m/>
    <m/>
    <m/>
    <s v="Negative"/>
    <s v="Negative"/>
    <s v="Accurate Prediction"/>
  </r>
  <r>
    <x v="6"/>
    <x v="20"/>
    <x v="2"/>
    <x v="2"/>
    <x v="0"/>
    <x v="195"/>
    <x v="163"/>
    <x v="6"/>
    <n v="0"/>
    <s v="Not Sampled"/>
    <n v="1689"/>
    <m/>
    <m/>
    <m/>
    <m/>
    <m/>
    <m/>
    <m/>
    <m/>
    <s v="Negative"/>
    <s v="Not Sampled"/>
    <s v="Not Sampled"/>
  </r>
  <r>
    <x v="2"/>
    <x v="73"/>
    <x v="10"/>
    <x v="35"/>
    <x v="0"/>
    <x v="157"/>
    <x v="416"/>
    <x v="13"/>
    <n v="0"/>
    <s v="Not Sampled"/>
    <n v="1690"/>
    <m/>
    <m/>
    <m/>
    <m/>
    <m/>
    <m/>
    <m/>
    <m/>
    <s v="Negative"/>
    <s v="Not Sampled"/>
    <s v="Not Sampled"/>
  </r>
  <r>
    <x v="8"/>
    <x v="42"/>
    <x v="4"/>
    <x v="30"/>
    <x v="153"/>
    <x v="213"/>
    <x v="24"/>
    <x v="28"/>
    <n v="1"/>
    <n v="1"/>
    <n v="1691"/>
    <m/>
    <m/>
    <m/>
    <m/>
    <m/>
    <m/>
    <m/>
    <m/>
    <s v="Positive"/>
    <s v="Positive"/>
    <s v="Accurate Prediction"/>
  </r>
  <r>
    <x v="3"/>
    <x v="128"/>
    <x v="2"/>
    <x v="2"/>
    <x v="0"/>
    <x v="109"/>
    <x v="355"/>
    <x v="31"/>
    <n v="1"/>
    <s v="Not Sampled"/>
    <n v="1692"/>
    <m/>
    <m/>
    <m/>
    <m/>
    <m/>
    <m/>
    <m/>
    <m/>
    <s v="Positive"/>
    <s v="Not Sampled"/>
    <s v="Not Sampled"/>
  </r>
  <r>
    <x v="2"/>
    <x v="73"/>
    <x v="12"/>
    <x v="5"/>
    <x v="0"/>
    <x v="134"/>
    <x v="195"/>
    <x v="4"/>
    <n v="0"/>
    <s v="Not Sampled"/>
    <n v="1693"/>
    <m/>
    <m/>
    <m/>
    <m/>
    <m/>
    <m/>
    <m/>
    <m/>
    <s v="Negative"/>
    <s v="Not Sampled"/>
    <s v="Not Sampled"/>
  </r>
  <r>
    <x v="2"/>
    <x v="94"/>
    <x v="4"/>
    <x v="3"/>
    <x v="122"/>
    <x v="154"/>
    <x v="417"/>
    <x v="11"/>
    <n v="1"/>
    <s v="Not Sampled"/>
    <n v="1694"/>
    <m/>
    <m/>
    <m/>
    <m/>
    <m/>
    <m/>
    <m/>
    <m/>
    <s v="Positive"/>
    <s v="Not Sampled"/>
    <s v="Not Sampled"/>
  </r>
  <r>
    <x v="2"/>
    <x v="66"/>
    <x v="0"/>
    <x v="14"/>
    <x v="159"/>
    <x v="222"/>
    <x v="418"/>
    <x v="14"/>
    <n v="0"/>
    <s v="Not Sampled"/>
    <n v="1695"/>
    <m/>
    <m/>
    <m/>
    <m/>
    <m/>
    <m/>
    <m/>
    <m/>
    <s v="Negative"/>
    <s v="Not Sampled"/>
    <s v="Not Sampled"/>
  </r>
  <r>
    <x v="1"/>
    <x v="87"/>
    <x v="1"/>
    <x v="15"/>
    <x v="160"/>
    <x v="53"/>
    <x v="58"/>
    <x v="23"/>
    <n v="0"/>
    <s v="Not Sampled"/>
    <n v="1696"/>
    <m/>
    <m/>
    <m/>
    <m/>
    <m/>
    <m/>
    <m/>
    <m/>
    <s v="Negative"/>
    <s v="Not Sampled"/>
    <s v="Not Sampled"/>
  </r>
  <r>
    <x v="2"/>
    <x v="31"/>
    <x v="0"/>
    <x v="27"/>
    <x v="98"/>
    <x v="33"/>
    <x v="419"/>
    <x v="1"/>
    <n v="0"/>
    <s v="Not Sampled"/>
    <n v="1697"/>
    <m/>
    <m/>
    <m/>
    <m/>
    <m/>
    <m/>
    <m/>
    <m/>
    <s v="Negative"/>
    <s v="Not Sampled"/>
    <s v="Not Sampled"/>
  </r>
  <r>
    <x v="5"/>
    <x v="33"/>
    <x v="14"/>
    <x v="23"/>
    <x v="125"/>
    <x v="125"/>
    <x v="9"/>
    <x v="3"/>
    <n v="0"/>
    <n v="0"/>
    <n v="1698"/>
    <m/>
    <m/>
    <m/>
    <m/>
    <m/>
    <m/>
    <m/>
    <m/>
    <s v="Negative"/>
    <s v="Negative"/>
    <s v="Accurate Prediction"/>
  </r>
  <r>
    <x v="5"/>
    <x v="129"/>
    <x v="22"/>
    <x v="29"/>
    <x v="85"/>
    <x v="35"/>
    <x v="420"/>
    <x v="31"/>
    <n v="1"/>
    <n v="1"/>
    <n v="1699"/>
    <m/>
    <m/>
    <m/>
    <m/>
    <m/>
    <m/>
    <m/>
    <m/>
    <s v="Positive"/>
    <s v="Positive"/>
    <s v="Accurate Prediction"/>
  </r>
  <r>
    <x v="8"/>
    <x v="120"/>
    <x v="21"/>
    <x v="3"/>
    <x v="161"/>
    <x v="1"/>
    <x v="184"/>
    <x v="18"/>
    <n v="1"/>
    <s v="Not Sampled"/>
    <n v="1700"/>
    <m/>
    <m/>
    <m/>
    <m/>
    <m/>
    <m/>
    <m/>
    <m/>
    <s v="Positive"/>
    <s v="Not Sampled"/>
    <s v="Not Sampled"/>
  </r>
  <r>
    <x v="6"/>
    <x v="38"/>
    <x v="6"/>
    <x v="7"/>
    <x v="0"/>
    <x v="56"/>
    <x v="421"/>
    <x v="25"/>
    <n v="0"/>
    <n v="0"/>
    <n v="1701"/>
    <m/>
    <m/>
    <m/>
    <m/>
    <m/>
    <m/>
    <m/>
    <m/>
    <s v="Negative"/>
    <s v="Negative"/>
    <s v="Accurate Prediction"/>
  </r>
  <r>
    <x v="12"/>
    <x v="0"/>
    <x v="10"/>
    <x v="16"/>
    <x v="162"/>
    <x v="164"/>
    <x v="226"/>
    <x v="48"/>
    <n v="1"/>
    <s v="Not Sampled"/>
    <n v="1702"/>
    <m/>
    <m/>
    <m/>
    <m/>
    <m/>
    <m/>
    <m/>
    <m/>
    <s v="Positive"/>
    <s v="Not Sampled"/>
    <s v="Not Sampled"/>
  </r>
  <r>
    <x v="5"/>
    <x v="33"/>
    <x v="5"/>
    <x v="2"/>
    <x v="0"/>
    <x v="223"/>
    <x v="28"/>
    <x v="23"/>
    <n v="0"/>
    <s v="Not Sampled"/>
    <n v="1703"/>
    <m/>
    <m/>
    <m/>
    <m/>
    <m/>
    <m/>
    <m/>
    <m/>
    <s v="Negative"/>
    <s v="Not Sampled"/>
    <s v="Not Sampled"/>
  </r>
  <r>
    <x v="6"/>
    <x v="17"/>
    <x v="30"/>
    <x v="2"/>
    <x v="0"/>
    <x v="77"/>
    <x v="422"/>
    <x v="13"/>
    <n v="0"/>
    <s v="Not Sampled"/>
    <n v="1704"/>
    <m/>
    <m/>
    <m/>
    <m/>
    <m/>
    <m/>
    <m/>
    <m/>
    <s v="Negative"/>
    <s v="Not Sampled"/>
    <s v="Not Sampled"/>
  </r>
  <r>
    <x v="0"/>
    <x v="123"/>
    <x v="0"/>
    <x v="27"/>
    <x v="163"/>
    <x v="224"/>
    <x v="423"/>
    <x v="1"/>
    <n v="0"/>
    <n v="0"/>
    <n v="1705"/>
    <m/>
    <m/>
    <m/>
    <m/>
    <m/>
    <m/>
    <m/>
    <m/>
    <s v="Negative"/>
    <s v="Negative"/>
    <s v="Accurate Prediction"/>
  </r>
  <r>
    <x v="11"/>
    <x v="56"/>
    <x v="1"/>
    <x v="20"/>
    <x v="0"/>
    <x v="86"/>
    <x v="424"/>
    <x v="48"/>
    <n v="1"/>
    <n v="1"/>
    <n v="1706"/>
    <m/>
    <m/>
    <m/>
    <m/>
    <m/>
    <m/>
    <m/>
    <m/>
    <s v="Positive"/>
    <s v="Positive"/>
    <s v="Accurate Prediction"/>
  </r>
  <r>
    <x v="1"/>
    <x v="93"/>
    <x v="2"/>
    <x v="2"/>
    <x v="0"/>
    <x v="68"/>
    <x v="425"/>
    <x v="3"/>
    <n v="1"/>
    <s v="Not Sampled"/>
    <n v="1707"/>
    <m/>
    <m/>
    <m/>
    <m/>
    <m/>
    <m/>
    <m/>
    <m/>
    <s v="Positive"/>
    <s v="Not Sampled"/>
    <s v="Not Sampled"/>
  </r>
  <r>
    <x v="0"/>
    <x v="56"/>
    <x v="24"/>
    <x v="3"/>
    <x v="69"/>
    <x v="189"/>
    <x v="426"/>
    <x v="6"/>
    <n v="0"/>
    <s v="Not Sampled"/>
    <n v="1708"/>
    <m/>
    <m/>
    <m/>
    <m/>
    <m/>
    <m/>
    <m/>
    <m/>
    <s v="Negative"/>
    <s v="Not Sampled"/>
    <s v="Not Sampled"/>
  </r>
  <r>
    <x v="0"/>
    <x v="66"/>
    <x v="15"/>
    <x v="28"/>
    <x v="0"/>
    <x v="29"/>
    <x v="427"/>
    <x v="6"/>
    <n v="0"/>
    <s v="Not Sampled"/>
    <n v="1709"/>
    <m/>
    <m/>
    <m/>
    <m/>
    <m/>
    <m/>
    <m/>
    <m/>
    <s v="Negative"/>
    <s v="Not Sampled"/>
    <s v="Not Sampled"/>
  </r>
  <r>
    <x v="6"/>
    <x v="128"/>
    <x v="41"/>
    <x v="2"/>
    <x v="0"/>
    <x v="225"/>
    <x v="428"/>
    <x v="10"/>
    <n v="0"/>
    <s v="Not Sampled"/>
    <n v="1710"/>
    <m/>
    <m/>
    <m/>
    <m/>
    <m/>
    <m/>
    <m/>
    <m/>
    <s v="Negative"/>
    <s v="Not Sampled"/>
    <s v="Not Sampled"/>
  </r>
  <r>
    <x v="1"/>
    <x v="19"/>
    <x v="9"/>
    <x v="21"/>
    <x v="133"/>
    <x v="111"/>
    <x v="429"/>
    <x v="4"/>
    <n v="0"/>
    <s v="Not Sampled"/>
    <n v="1711"/>
    <m/>
    <m/>
    <m/>
    <m/>
    <m/>
    <m/>
    <m/>
    <m/>
    <s v="Negative"/>
    <s v="Not Sampled"/>
    <s v="Not Sampled"/>
  </r>
  <r>
    <x v="0"/>
    <x v="81"/>
    <x v="11"/>
    <x v="2"/>
    <x v="0"/>
    <x v="98"/>
    <x v="430"/>
    <x v="4"/>
    <n v="0"/>
    <n v="0"/>
    <n v="1712"/>
    <m/>
    <m/>
    <m/>
    <m/>
    <m/>
    <m/>
    <m/>
    <m/>
    <s v="Negative"/>
    <s v="Negative"/>
    <s v="Accurate Prediction"/>
  </r>
  <r>
    <x v="3"/>
    <x v="30"/>
    <x v="21"/>
    <x v="19"/>
    <x v="120"/>
    <x v="50"/>
    <x v="431"/>
    <x v="29"/>
    <n v="0"/>
    <s v="Not Sampled"/>
    <n v="1713"/>
    <m/>
    <m/>
    <m/>
    <m/>
    <m/>
    <m/>
    <m/>
    <m/>
    <s v="Negative"/>
    <s v="Not Sampled"/>
    <s v="Not Sampled"/>
  </r>
  <r>
    <x v="1"/>
    <x v="10"/>
    <x v="3"/>
    <x v="2"/>
    <x v="0"/>
    <x v="62"/>
    <x v="407"/>
    <x v="4"/>
    <n v="0"/>
    <s v="Not Sampled"/>
    <n v="1714"/>
    <m/>
    <m/>
    <m/>
    <m/>
    <m/>
    <m/>
    <m/>
    <m/>
    <s v="Negative"/>
    <s v="Not Sampled"/>
    <s v="Not Sampled"/>
  </r>
  <r>
    <x v="1"/>
    <x v="77"/>
    <x v="4"/>
    <x v="2"/>
    <x v="0"/>
    <x v="68"/>
    <x v="432"/>
    <x v="4"/>
    <n v="0"/>
    <s v="Not Sampled"/>
    <n v="1715"/>
    <m/>
    <m/>
    <m/>
    <m/>
    <m/>
    <m/>
    <m/>
    <m/>
    <s v="Negative"/>
    <s v="Not Sampled"/>
    <s v="Not Sampled"/>
  </r>
  <r>
    <x v="7"/>
    <x v="80"/>
    <x v="6"/>
    <x v="2"/>
    <x v="0"/>
    <x v="137"/>
    <x v="433"/>
    <x v="10"/>
    <n v="0"/>
    <s v="Not Sampled"/>
    <n v="1716"/>
    <m/>
    <m/>
    <m/>
    <m/>
    <m/>
    <m/>
    <m/>
    <m/>
    <s v="Negative"/>
    <s v="Not Sampled"/>
    <s v="Not Sampled"/>
  </r>
  <r>
    <x v="3"/>
    <x v="19"/>
    <x v="7"/>
    <x v="29"/>
    <x v="0"/>
    <x v="62"/>
    <x v="271"/>
    <x v="4"/>
    <n v="0"/>
    <s v="Not Sampled"/>
    <n v="1717"/>
    <m/>
    <m/>
    <m/>
    <m/>
    <m/>
    <m/>
    <m/>
    <m/>
    <s v="Negative"/>
    <s v="Not Sampled"/>
    <s v="Not Sampled"/>
  </r>
  <r>
    <x v="8"/>
    <x v="48"/>
    <x v="11"/>
    <x v="2"/>
    <x v="0"/>
    <x v="41"/>
    <x v="434"/>
    <x v="34"/>
    <n v="1"/>
    <s v="Not Sampled"/>
    <n v="1718"/>
    <m/>
    <m/>
    <m/>
    <m/>
    <m/>
    <m/>
    <m/>
    <m/>
    <s v="Positive"/>
    <s v="Not Sampled"/>
    <s v="Not Sampled"/>
  </r>
  <r>
    <x v="1"/>
    <x v="29"/>
    <x v="4"/>
    <x v="32"/>
    <x v="12"/>
    <x v="93"/>
    <x v="21"/>
    <x v="3"/>
    <n v="0"/>
    <s v="Not Sampled"/>
    <n v="1719"/>
    <m/>
    <m/>
    <m/>
    <m/>
    <m/>
    <m/>
    <m/>
    <m/>
    <s v="Negative"/>
    <s v="Not Sampled"/>
    <s v="Not Sampled"/>
  </r>
  <r>
    <x v="0"/>
    <x v="31"/>
    <x v="12"/>
    <x v="2"/>
    <x v="0"/>
    <x v="173"/>
    <x v="277"/>
    <x v="1"/>
    <n v="0"/>
    <s v="Not Sampled"/>
    <n v="1720"/>
    <m/>
    <m/>
    <m/>
    <m/>
    <m/>
    <m/>
    <m/>
    <m/>
    <s v="Negative"/>
    <s v="Not Sampled"/>
    <s v="Not Sampled"/>
  </r>
  <r>
    <x v="2"/>
    <x v="80"/>
    <x v="1"/>
    <x v="6"/>
    <x v="164"/>
    <x v="155"/>
    <x v="435"/>
    <x v="11"/>
    <n v="0"/>
    <s v="Not Sampled"/>
    <n v="1721"/>
    <m/>
    <m/>
    <m/>
    <m/>
    <m/>
    <m/>
    <m/>
    <m/>
    <s v="Negative"/>
    <s v="Not Sampled"/>
    <s v="Not Sampled"/>
  </r>
  <r>
    <x v="9"/>
    <x v="66"/>
    <x v="0"/>
    <x v="2"/>
    <x v="0"/>
    <x v="151"/>
    <x v="148"/>
    <x v="2"/>
    <n v="0"/>
    <s v="Not Sampled"/>
    <n v="1722"/>
    <m/>
    <m/>
    <m/>
    <m/>
    <m/>
    <m/>
    <m/>
    <m/>
    <s v="Negative"/>
    <s v="Not Sampled"/>
    <s v="Not Sampled"/>
  </r>
  <r>
    <x v="13"/>
    <x v="88"/>
    <x v="5"/>
    <x v="2"/>
    <x v="0"/>
    <x v="84"/>
    <x v="436"/>
    <x v="19"/>
    <n v="1"/>
    <s v="Not Sampled"/>
    <n v="1723"/>
    <m/>
    <m/>
    <m/>
    <m/>
    <m/>
    <m/>
    <m/>
    <m/>
    <s v="Positive"/>
    <s v="Not Sampled"/>
    <s v="Not Sampled"/>
  </r>
  <r>
    <x v="7"/>
    <x v="88"/>
    <x v="10"/>
    <x v="2"/>
    <x v="0"/>
    <x v="138"/>
    <x v="83"/>
    <x v="27"/>
    <n v="0"/>
    <s v="Not Sampled"/>
    <n v="1724"/>
    <m/>
    <m/>
    <m/>
    <m/>
    <m/>
    <m/>
    <m/>
    <m/>
    <s v="Negative"/>
    <s v="Not Sampled"/>
    <s v="Not Sampled"/>
  </r>
  <r>
    <x v="0"/>
    <x v="19"/>
    <x v="15"/>
    <x v="10"/>
    <x v="5"/>
    <x v="31"/>
    <x v="437"/>
    <x v="1"/>
    <n v="0"/>
    <s v="Not Sampled"/>
    <n v="1725"/>
    <m/>
    <m/>
    <m/>
    <m/>
    <m/>
    <m/>
    <m/>
    <m/>
    <s v="Negative"/>
    <s v="Not Sampled"/>
    <s v="Not Sampled"/>
  </r>
  <r>
    <x v="8"/>
    <x v="75"/>
    <x v="15"/>
    <x v="5"/>
    <x v="165"/>
    <x v="105"/>
    <x v="438"/>
    <x v="32"/>
    <n v="1"/>
    <s v="Not Sampled"/>
    <n v="1726"/>
    <m/>
    <m/>
    <m/>
    <m/>
    <m/>
    <m/>
    <m/>
    <m/>
    <s v="Positive"/>
    <s v="Not Sampled"/>
    <s v="Not Sampled"/>
  </r>
  <r>
    <x v="2"/>
    <x v="45"/>
    <x v="10"/>
    <x v="39"/>
    <x v="166"/>
    <x v="222"/>
    <x v="439"/>
    <x v="6"/>
    <n v="0"/>
    <s v="Not Sampled"/>
    <n v="1727"/>
    <m/>
    <m/>
    <m/>
    <m/>
    <m/>
    <m/>
    <m/>
    <m/>
    <s v="Negative"/>
    <s v="Not Sampled"/>
    <s v="Not Sampled"/>
  </r>
  <r>
    <x v="1"/>
    <x v="29"/>
    <x v="24"/>
    <x v="6"/>
    <x v="16"/>
    <x v="17"/>
    <x v="440"/>
    <x v="23"/>
    <n v="0"/>
    <n v="0"/>
    <n v="1728"/>
    <m/>
    <m/>
    <m/>
    <m/>
    <m/>
    <m/>
    <m/>
    <m/>
    <s v="Negative"/>
    <s v="Negative"/>
    <s v="Accurate Prediction"/>
  </r>
  <r>
    <x v="3"/>
    <x v="80"/>
    <x v="9"/>
    <x v="2"/>
    <x v="0"/>
    <x v="82"/>
    <x v="441"/>
    <x v="3"/>
    <n v="0"/>
    <n v="0"/>
    <n v="1729"/>
    <m/>
    <m/>
    <m/>
    <m/>
    <m/>
    <m/>
    <m/>
    <m/>
    <s v="Negative"/>
    <s v="Negative"/>
    <s v="Accurate Prediction"/>
  </r>
  <r>
    <x v="6"/>
    <x v="83"/>
    <x v="6"/>
    <x v="2"/>
    <x v="0"/>
    <x v="81"/>
    <x v="81"/>
    <x v="48"/>
    <n v="1"/>
    <n v="1"/>
    <n v="1730"/>
    <m/>
    <m/>
    <m/>
    <m/>
    <m/>
    <m/>
    <m/>
    <m/>
    <s v="Positive"/>
    <s v="Positive"/>
    <s v="Accurate Prediction"/>
  </r>
  <r>
    <x v="3"/>
    <x v="30"/>
    <x v="2"/>
    <x v="2"/>
    <x v="0"/>
    <x v="43"/>
    <x v="442"/>
    <x v="2"/>
    <n v="0"/>
    <s v="Not Sampled"/>
    <n v="1731"/>
    <m/>
    <m/>
    <m/>
    <m/>
    <m/>
    <m/>
    <m/>
    <m/>
    <s v="Negative"/>
    <s v="Not Sampled"/>
    <s v="Not Sampled"/>
  </r>
  <r>
    <x v="5"/>
    <x v="28"/>
    <x v="5"/>
    <x v="8"/>
    <x v="40"/>
    <x v="32"/>
    <x v="443"/>
    <x v="23"/>
    <n v="0"/>
    <s v="Not Sampled"/>
    <n v="1732"/>
    <m/>
    <m/>
    <m/>
    <m/>
    <m/>
    <m/>
    <m/>
    <m/>
    <s v="Negative"/>
    <s v="Not Sampled"/>
    <s v="Not Sampled"/>
  </r>
  <r>
    <x v="0"/>
    <x v="111"/>
    <x v="10"/>
    <x v="0"/>
    <x v="167"/>
    <x v="121"/>
    <x v="444"/>
    <x v="13"/>
    <n v="0"/>
    <n v="0"/>
    <n v="1733"/>
    <m/>
    <m/>
    <m/>
    <m/>
    <m/>
    <m/>
    <m/>
    <m/>
    <s v="Negative"/>
    <s v="Negative"/>
    <s v="Accurate Prediction"/>
  </r>
  <r>
    <x v="2"/>
    <x v="107"/>
    <x v="10"/>
    <x v="6"/>
    <x v="162"/>
    <x v="226"/>
    <x v="445"/>
    <x v="9"/>
    <n v="1"/>
    <s v="Not Sampled"/>
    <n v="1734"/>
    <m/>
    <m/>
    <m/>
    <m/>
    <m/>
    <m/>
    <m/>
    <m/>
    <s v="Positive"/>
    <s v="Not Sampled"/>
    <s v="Not Sampled"/>
  </r>
  <r>
    <x v="1"/>
    <x v="91"/>
    <x v="13"/>
    <x v="35"/>
    <x v="168"/>
    <x v="136"/>
    <x v="446"/>
    <x v="11"/>
    <n v="1"/>
    <n v="1"/>
    <n v="1735"/>
    <m/>
    <m/>
    <m/>
    <m/>
    <m/>
    <m/>
    <m/>
    <m/>
    <s v="Positive"/>
    <s v="Positive"/>
    <s v="Accurate Prediction"/>
  </r>
  <r>
    <x v="12"/>
    <x v="60"/>
    <x v="16"/>
    <x v="0"/>
    <x v="66"/>
    <x v="227"/>
    <x v="112"/>
    <x v="8"/>
    <n v="1"/>
    <s v="Not Sampled"/>
    <n v="1736"/>
    <m/>
    <m/>
    <m/>
    <m/>
    <m/>
    <m/>
    <m/>
    <m/>
    <s v="Positive"/>
    <s v="Not Sampled"/>
    <s v="Not Sampled"/>
  </r>
  <r>
    <x v="1"/>
    <x v="61"/>
    <x v="12"/>
    <x v="14"/>
    <x v="0"/>
    <x v="199"/>
    <x v="447"/>
    <x v="1"/>
    <n v="0"/>
    <s v="Not Sampled"/>
    <n v="1737"/>
    <m/>
    <m/>
    <m/>
    <m/>
    <m/>
    <m/>
    <m/>
    <m/>
    <s v="Negative"/>
    <s v="Not Sampled"/>
    <s v="Not Sampled"/>
  </r>
  <r>
    <x v="2"/>
    <x v="25"/>
    <x v="14"/>
    <x v="14"/>
    <x v="31"/>
    <x v="18"/>
    <x v="297"/>
    <x v="1"/>
    <n v="0"/>
    <s v="Not Sampled"/>
    <n v="1738"/>
    <m/>
    <m/>
    <m/>
    <m/>
    <m/>
    <m/>
    <m/>
    <m/>
    <s v="Negative"/>
    <s v="Not Sampled"/>
    <s v="Not Sampled"/>
  </r>
  <r>
    <x v="2"/>
    <x v="17"/>
    <x v="12"/>
    <x v="17"/>
    <x v="148"/>
    <x v="97"/>
    <x v="372"/>
    <x v="23"/>
    <n v="0"/>
    <n v="0"/>
    <n v="1739"/>
    <m/>
    <m/>
    <m/>
    <m/>
    <m/>
    <m/>
    <m/>
    <m/>
    <s v="Negative"/>
    <s v="Negative"/>
    <s v="Accurate Prediction"/>
  </r>
  <r>
    <x v="7"/>
    <x v="62"/>
    <x v="10"/>
    <x v="32"/>
    <x v="152"/>
    <x v="174"/>
    <x v="363"/>
    <x v="6"/>
    <n v="0"/>
    <s v="Not Sampled"/>
    <n v="1740"/>
    <m/>
    <m/>
    <m/>
    <m/>
    <m/>
    <m/>
    <m/>
    <m/>
    <s v="Negative"/>
    <s v="Not Sampled"/>
    <s v="Not Sampled"/>
  </r>
  <r>
    <x v="0"/>
    <x v="24"/>
    <x v="14"/>
    <x v="2"/>
    <x v="0"/>
    <x v="90"/>
    <x v="446"/>
    <x v="23"/>
    <n v="0"/>
    <s v="Not Sampled"/>
    <n v="1741"/>
    <m/>
    <m/>
    <m/>
    <m/>
    <m/>
    <m/>
    <m/>
    <m/>
    <s v="Negative"/>
    <s v="Not Sampled"/>
    <s v="Not Sampled"/>
  </r>
  <r>
    <x v="2"/>
    <x v="33"/>
    <x v="9"/>
    <x v="7"/>
    <x v="42"/>
    <x v="89"/>
    <x v="173"/>
    <x v="11"/>
    <n v="0"/>
    <s v="Not Sampled"/>
    <n v="1742"/>
    <m/>
    <m/>
    <m/>
    <m/>
    <m/>
    <m/>
    <m/>
    <m/>
    <s v="Negative"/>
    <s v="Not Sampled"/>
    <s v="Not Sampled"/>
  </r>
  <r>
    <x v="0"/>
    <x v="70"/>
    <x v="33"/>
    <x v="21"/>
    <x v="169"/>
    <x v="162"/>
    <x v="236"/>
    <x v="14"/>
    <n v="1"/>
    <s v="Not Sampled"/>
    <n v="1743"/>
    <m/>
    <m/>
    <m/>
    <m/>
    <m/>
    <m/>
    <m/>
    <m/>
    <s v="Positive"/>
    <s v="Not Sampled"/>
    <s v="Not Sampled"/>
  </r>
  <r>
    <x v="0"/>
    <x v="39"/>
    <x v="22"/>
    <x v="0"/>
    <x v="12"/>
    <x v="181"/>
    <x v="448"/>
    <x v="11"/>
    <n v="0"/>
    <s v="Not Sampled"/>
    <n v="1744"/>
    <m/>
    <m/>
    <m/>
    <m/>
    <m/>
    <m/>
    <m/>
    <m/>
    <s v="Negative"/>
    <s v="Not Sampled"/>
    <s v="Not Sampled"/>
  </r>
  <r>
    <x v="2"/>
    <x v="24"/>
    <x v="6"/>
    <x v="46"/>
    <x v="170"/>
    <x v="228"/>
    <x v="449"/>
    <x v="17"/>
    <n v="0"/>
    <s v="Not Sampled"/>
    <n v="1745"/>
    <m/>
    <m/>
    <m/>
    <m/>
    <m/>
    <m/>
    <m/>
    <m/>
    <s v="Negative"/>
    <s v="Not Sampled"/>
    <s v="Not Sampled"/>
  </r>
  <r>
    <x v="12"/>
    <x v="117"/>
    <x v="44"/>
    <x v="2"/>
    <x v="0"/>
    <x v="20"/>
    <x v="163"/>
    <x v="42"/>
    <n v="0"/>
    <s v="Not Sampled"/>
    <n v="1746"/>
    <m/>
    <m/>
    <m/>
    <m/>
    <m/>
    <m/>
    <m/>
    <m/>
    <s v="Negative"/>
    <s v="Not Sampled"/>
    <s v="Not Sampled"/>
  </r>
  <r>
    <x v="5"/>
    <x v="11"/>
    <x v="1"/>
    <x v="1"/>
    <x v="19"/>
    <x v="89"/>
    <x v="450"/>
    <x v="23"/>
    <n v="1"/>
    <s v="Not Sampled"/>
    <n v="1747"/>
    <m/>
    <m/>
    <m/>
    <m/>
    <m/>
    <m/>
    <m/>
    <m/>
    <s v="Positive"/>
    <s v="Not Sampled"/>
    <s v="Not Sampled"/>
  </r>
  <r>
    <x v="9"/>
    <x v="76"/>
    <x v="16"/>
    <x v="2"/>
    <x v="0"/>
    <x v="116"/>
    <x v="451"/>
    <x v="28"/>
    <n v="0"/>
    <s v="Not Sampled"/>
    <n v="1748"/>
    <m/>
    <m/>
    <m/>
    <m/>
    <m/>
    <m/>
    <m/>
    <m/>
    <s v="Negative"/>
    <s v="Not Sampled"/>
    <s v="Not Sampled"/>
  </r>
  <r>
    <x v="2"/>
    <x v="130"/>
    <x v="15"/>
    <x v="44"/>
    <x v="0"/>
    <x v="92"/>
    <x v="452"/>
    <x v="11"/>
    <n v="1"/>
    <s v="Not Sampled"/>
    <n v="1749"/>
    <m/>
    <m/>
    <m/>
    <m/>
    <m/>
    <m/>
    <m/>
    <m/>
    <s v="Positive"/>
    <s v="Not Sampled"/>
    <s v="Not Sampled"/>
  </r>
  <r>
    <x v="4"/>
    <x v="107"/>
    <x v="44"/>
    <x v="40"/>
    <x v="109"/>
    <x v="209"/>
    <x v="84"/>
    <x v="33"/>
    <n v="1"/>
    <n v="1"/>
    <n v="1750"/>
    <m/>
    <m/>
    <m/>
    <m/>
    <m/>
    <m/>
    <m/>
    <m/>
    <s v="Positive"/>
    <s v="Positive"/>
    <s v="Accurate Prediction"/>
  </r>
  <r>
    <x v="11"/>
    <x v="2"/>
    <x v="6"/>
    <x v="40"/>
    <x v="66"/>
    <x v="160"/>
    <x v="143"/>
    <x v="18"/>
    <n v="1"/>
    <s v="Not Sampled"/>
    <n v="1751"/>
    <m/>
    <m/>
    <m/>
    <m/>
    <m/>
    <m/>
    <m/>
    <m/>
    <s v="Positive"/>
    <s v="Not Sampled"/>
    <s v="Not Sampled"/>
  </r>
  <r>
    <x v="6"/>
    <x v="109"/>
    <x v="12"/>
    <x v="15"/>
    <x v="0"/>
    <x v="47"/>
    <x v="404"/>
    <x v="18"/>
    <n v="1"/>
    <s v="Not Sampled"/>
    <n v="1752"/>
    <m/>
    <m/>
    <m/>
    <m/>
    <m/>
    <m/>
    <m/>
    <m/>
    <s v="Positive"/>
    <s v="Not Sampled"/>
    <s v="Not Sampled"/>
  </r>
  <r>
    <x v="2"/>
    <x v="56"/>
    <x v="6"/>
    <x v="45"/>
    <x v="103"/>
    <x v="124"/>
    <x v="453"/>
    <x v="3"/>
    <n v="0"/>
    <s v="Not Sampled"/>
    <n v="1753"/>
    <m/>
    <m/>
    <m/>
    <m/>
    <m/>
    <m/>
    <m/>
    <m/>
    <s v="Negative"/>
    <s v="Not Sampled"/>
    <s v="Not Sampled"/>
  </r>
  <r>
    <x v="3"/>
    <x v="2"/>
    <x v="1"/>
    <x v="10"/>
    <x v="0"/>
    <x v="56"/>
    <x v="41"/>
    <x v="50"/>
    <n v="1"/>
    <n v="1"/>
    <n v="1754"/>
    <m/>
    <m/>
    <m/>
    <m/>
    <m/>
    <m/>
    <m/>
    <m/>
    <s v="Positive"/>
    <s v="Positive"/>
    <s v="Accurate Prediction"/>
  </r>
  <r>
    <x v="9"/>
    <x v="31"/>
    <x v="9"/>
    <x v="21"/>
    <x v="0"/>
    <x v="155"/>
    <x v="425"/>
    <x v="18"/>
    <n v="1"/>
    <s v="Not Sampled"/>
    <n v="1755"/>
    <m/>
    <m/>
    <m/>
    <m/>
    <m/>
    <m/>
    <m/>
    <m/>
    <s v="Positive"/>
    <s v="Not Sampled"/>
    <s v="Not Sampled"/>
  </r>
  <r>
    <x v="6"/>
    <x v="116"/>
    <x v="22"/>
    <x v="12"/>
    <x v="72"/>
    <x v="37"/>
    <x v="400"/>
    <x v="33"/>
    <n v="0"/>
    <s v="Not Sampled"/>
    <n v="1756"/>
    <m/>
    <m/>
    <m/>
    <m/>
    <m/>
    <m/>
    <m/>
    <m/>
    <s v="Negative"/>
    <s v="Not Sampled"/>
    <s v="Not Sampled"/>
  </r>
  <r>
    <x v="11"/>
    <x v="16"/>
    <x v="4"/>
    <x v="8"/>
    <x v="31"/>
    <x v="125"/>
    <x v="192"/>
    <x v="10"/>
    <n v="0"/>
    <n v="1"/>
    <n v="1757"/>
    <m/>
    <m/>
    <m/>
    <m/>
    <m/>
    <m/>
    <m/>
    <m/>
    <s v="Negative"/>
    <s v="Positive"/>
    <s v="Inaccurate Prediction"/>
  </r>
  <r>
    <x v="6"/>
    <x v="102"/>
    <x v="3"/>
    <x v="16"/>
    <x v="49"/>
    <x v="0"/>
    <x v="454"/>
    <x v="43"/>
    <n v="0"/>
    <s v="Not Sampled"/>
    <n v="1758"/>
    <m/>
    <m/>
    <m/>
    <m/>
    <m/>
    <m/>
    <m/>
    <m/>
    <s v="Negative"/>
    <s v="Not Sampled"/>
    <s v="Not Sampled"/>
  </r>
  <r>
    <x v="2"/>
    <x v="6"/>
    <x v="22"/>
    <x v="25"/>
    <x v="0"/>
    <x v="54"/>
    <x v="7"/>
    <x v="4"/>
    <n v="0"/>
    <s v="Not Sampled"/>
    <n v="1759"/>
    <m/>
    <m/>
    <m/>
    <m/>
    <m/>
    <m/>
    <m/>
    <m/>
    <s v="Negative"/>
    <s v="Not Sampled"/>
    <s v="Not Sampled"/>
  </r>
  <r>
    <x v="9"/>
    <x v="123"/>
    <x v="44"/>
    <x v="17"/>
    <x v="51"/>
    <x v="130"/>
    <x v="350"/>
    <x v="0"/>
    <n v="0"/>
    <s v="Not Sampled"/>
    <n v="1760"/>
    <m/>
    <m/>
    <m/>
    <m/>
    <m/>
    <m/>
    <m/>
    <m/>
    <s v="Negative"/>
    <s v="Not Sampled"/>
    <s v="Not Sampled"/>
  </r>
  <r>
    <x v="5"/>
    <x v="62"/>
    <x v="39"/>
    <x v="0"/>
    <x v="20"/>
    <x v="229"/>
    <x v="455"/>
    <x v="11"/>
    <n v="0"/>
    <n v="1"/>
    <n v="1761"/>
    <m/>
    <m/>
    <m/>
    <m/>
    <m/>
    <m/>
    <m/>
    <m/>
    <s v="Negative"/>
    <s v="Positive"/>
    <s v="Inaccurate Prediction"/>
  </r>
  <r>
    <x v="4"/>
    <x v="25"/>
    <x v="1"/>
    <x v="2"/>
    <x v="0"/>
    <x v="230"/>
    <x v="59"/>
    <x v="51"/>
    <n v="0"/>
    <s v="Not Sampled"/>
    <n v="1762"/>
    <m/>
    <m/>
    <m/>
    <m/>
    <m/>
    <m/>
    <m/>
    <m/>
    <s v="Negative"/>
    <s v="Not Sampled"/>
    <s v="Not Sampled"/>
  </r>
  <r>
    <x v="6"/>
    <x v="15"/>
    <x v="9"/>
    <x v="2"/>
    <x v="0"/>
    <x v="125"/>
    <x v="338"/>
    <x v="2"/>
    <n v="1"/>
    <s v="Not Sampled"/>
    <n v="1763"/>
    <m/>
    <m/>
    <m/>
    <m/>
    <m/>
    <m/>
    <m/>
    <m/>
    <s v="Positive"/>
    <s v="Not Sampled"/>
    <s v="Not Sampled"/>
  </r>
  <r>
    <x v="11"/>
    <x v="84"/>
    <x v="24"/>
    <x v="2"/>
    <x v="0"/>
    <x v="172"/>
    <x v="344"/>
    <x v="49"/>
    <n v="1"/>
    <s v="Not Sampled"/>
    <n v="1764"/>
    <m/>
    <m/>
    <m/>
    <m/>
    <m/>
    <m/>
    <m/>
    <m/>
    <s v="Positive"/>
    <s v="Not Sampled"/>
    <s v="Not Sampled"/>
  </r>
  <r>
    <x v="1"/>
    <x v="67"/>
    <x v="12"/>
    <x v="2"/>
    <x v="0"/>
    <x v="186"/>
    <x v="22"/>
    <x v="14"/>
    <n v="0"/>
    <s v="Not Sampled"/>
    <n v="1765"/>
    <m/>
    <m/>
    <m/>
    <m/>
    <m/>
    <m/>
    <m/>
    <m/>
    <s v="Negative"/>
    <s v="Not Sampled"/>
    <s v="Not Sampled"/>
  </r>
  <r>
    <x v="5"/>
    <x v="126"/>
    <x v="33"/>
    <x v="2"/>
    <x v="0"/>
    <x v="231"/>
    <x v="0"/>
    <x v="14"/>
    <n v="1"/>
    <s v="Not Sampled"/>
    <n v="1766"/>
    <m/>
    <m/>
    <m/>
    <m/>
    <m/>
    <m/>
    <m/>
    <m/>
    <s v="Positive"/>
    <s v="Not Sampled"/>
    <s v="Not Sampled"/>
  </r>
  <r>
    <x v="0"/>
    <x v="39"/>
    <x v="22"/>
    <x v="6"/>
    <x v="4"/>
    <x v="29"/>
    <x v="456"/>
    <x v="1"/>
    <n v="0"/>
    <s v="Not Sampled"/>
    <n v="1767"/>
    <m/>
    <m/>
    <m/>
    <m/>
    <m/>
    <m/>
    <m/>
    <m/>
    <s v="Negative"/>
    <s v="Not Sampled"/>
    <s v="Not Sampled"/>
  </r>
  <r>
    <x v="0"/>
    <x v="131"/>
    <x v="20"/>
    <x v="7"/>
    <x v="83"/>
    <x v="29"/>
    <x v="457"/>
    <x v="11"/>
    <n v="0"/>
    <s v="Not Sampled"/>
    <n v="1768"/>
    <m/>
    <m/>
    <m/>
    <m/>
    <m/>
    <m/>
    <m/>
    <m/>
    <s v="Negative"/>
    <s v="Not Sampled"/>
    <s v="Not Sampled"/>
  </r>
  <r>
    <x v="1"/>
    <x v="76"/>
    <x v="15"/>
    <x v="35"/>
    <x v="0"/>
    <x v="232"/>
    <x v="356"/>
    <x v="25"/>
    <n v="1"/>
    <s v="Not Sampled"/>
    <n v="1769"/>
    <m/>
    <m/>
    <m/>
    <m/>
    <m/>
    <m/>
    <m/>
    <m/>
    <s v="Positive"/>
    <s v="Not Sampled"/>
    <s v="Not Sampled"/>
  </r>
  <r>
    <x v="1"/>
    <x v="50"/>
    <x v="11"/>
    <x v="15"/>
    <x v="16"/>
    <x v="233"/>
    <x v="458"/>
    <x v="11"/>
    <n v="0"/>
    <s v="Not Sampled"/>
    <n v="1770"/>
    <m/>
    <m/>
    <m/>
    <m/>
    <m/>
    <m/>
    <m/>
    <m/>
    <s v="Negative"/>
    <s v="Not Sampled"/>
    <s v="Not Sampled"/>
  </r>
  <r>
    <x v="3"/>
    <x v="10"/>
    <x v="6"/>
    <x v="2"/>
    <x v="0"/>
    <x v="167"/>
    <x v="4"/>
    <x v="23"/>
    <n v="1"/>
    <s v="Not Sampled"/>
    <n v="1771"/>
    <m/>
    <m/>
    <m/>
    <m/>
    <m/>
    <m/>
    <m/>
    <m/>
    <s v="Positive"/>
    <s v="Not Sampled"/>
    <s v="Not Sampled"/>
  </r>
  <r>
    <x v="7"/>
    <x v="60"/>
    <x v="1"/>
    <x v="2"/>
    <x v="0"/>
    <x v="12"/>
    <x v="172"/>
    <x v="37"/>
    <n v="0"/>
    <s v="Not Sampled"/>
    <n v="1772"/>
    <m/>
    <m/>
    <m/>
    <m/>
    <m/>
    <m/>
    <m/>
    <m/>
    <s v="Negative"/>
    <s v="Not Sampled"/>
    <s v="Not Sampled"/>
  </r>
  <r>
    <x v="0"/>
    <x v="52"/>
    <x v="10"/>
    <x v="16"/>
    <x v="106"/>
    <x v="34"/>
    <x v="392"/>
    <x v="14"/>
    <n v="0"/>
    <s v="Not Sampled"/>
    <n v="1773"/>
    <m/>
    <m/>
    <m/>
    <m/>
    <m/>
    <m/>
    <m/>
    <m/>
    <s v="Negative"/>
    <s v="Not Sampled"/>
    <s v="Not Sampled"/>
  </r>
  <r>
    <x v="5"/>
    <x v="23"/>
    <x v="11"/>
    <x v="2"/>
    <x v="0"/>
    <x v="179"/>
    <x v="23"/>
    <x v="11"/>
    <n v="0"/>
    <s v="Not Sampled"/>
    <n v="1774"/>
    <m/>
    <m/>
    <m/>
    <m/>
    <m/>
    <m/>
    <m/>
    <m/>
    <s v="Negative"/>
    <s v="Not Sampled"/>
    <s v="Not Sampled"/>
  </r>
  <r>
    <x v="2"/>
    <x v="61"/>
    <x v="13"/>
    <x v="13"/>
    <x v="0"/>
    <x v="227"/>
    <x v="459"/>
    <x v="29"/>
    <n v="0"/>
    <s v="Not Sampled"/>
    <n v="1775"/>
    <m/>
    <m/>
    <m/>
    <m/>
    <m/>
    <m/>
    <m/>
    <m/>
    <s v="Negative"/>
    <s v="Not Sampled"/>
    <s v="Not Sampled"/>
  </r>
  <r>
    <x v="2"/>
    <x v="98"/>
    <x v="10"/>
    <x v="16"/>
    <x v="105"/>
    <x v="234"/>
    <x v="460"/>
    <x v="1"/>
    <n v="0"/>
    <s v="Not Sampled"/>
    <n v="1776"/>
    <m/>
    <m/>
    <m/>
    <m/>
    <m/>
    <m/>
    <m/>
    <m/>
    <s v="Negative"/>
    <s v="Not Sampled"/>
    <s v="Not Sampled"/>
  </r>
  <r>
    <x v="2"/>
    <x v="65"/>
    <x v="1"/>
    <x v="40"/>
    <x v="105"/>
    <x v="210"/>
    <x v="461"/>
    <x v="22"/>
    <n v="1"/>
    <s v="Not Sampled"/>
    <n v="1777"/>
    <m/>
    <m/>
    <m/>
    <m/>
    <m/>
    <m/>
    <m/>
    <m/>
    <s v="Positive"/>
    <s v="Not Sampled"/>
    <s v="Not Sampled"/>
  </r>
  <r>
    <x v="4"/>
    <x v="61"/>
    <x v="6"/>
    <x v="2"/>
    <x v="0"/>
    <x v="66"/>
    <x v="462"/>
    <x v="34"/>
    <n v="0"/>
    <n v="0"/>
    <n v="1778"/>
    <m/>
    <m/>
    <m/>
    <m/>
    <m/>
    <m/>
    <m/>
    <m/>
    <s v="Negative"/>
    <s v="Negative"/>
    <s v="Accurate Prediction"/>
  </r>
  <r>
    <x v="13"/>
    <x v="95"/>
    <x v="45"/>
    <x v="2"/>
    <x v="0"/>
    <x v="3"/>
    <x v="423"/>
    <x v="30"/>
    <n v="1"/>
    <s v="Not Sampled"/>
    <n v="1779"/>
    <m/>
    <m/>
    <m/>
    <m/>
    <m/>
    <m/>
    <m/>
    <m/>
    <s v="Positive"/>
    <s v="Not Sampled"/>
    <s v="Not Sampled"/>
  </r>
  <r>
    <x v="0"/>
    <x v="126"/>
    <x v="9"/>
    <x v="5"/>
    <x v="142"/>
    <x v="44"/>
    <x v="463"/>
    <x v="1"/>
    <n v="0"/>
    <s v="Not Sampled"/>
    <n v="1780"/>
    <m/>
    <m/>
    <m/>
    <m/>
    <m/>
    <m/>
    <m/>
    <m/>
    <s v="Negative"/>
    <s v="Not Sampled"/>
    <s v="Not Sampled"/>
  </r>
  <r>
    <x v="8"/>
    <x v="52"/>
    <x v="3"/>
    <x v="48"/>
    <x v="1"/>
    <x v="70"/>
    <x v="464"/>
    <x v="33"/>
    <n v="1"/>
    <n v="1"/>
    <n v="1781"/>
    <m/>
    <m/>
    <m/>
    <m/>
    <m/>
    <m/>
    <m/>
    <m/>
    <s v="Positive"/>
    <s v="Positive"/>
    <s v="Accurate Prediction"/>
  </r>
  <r>
    <x v="0"/>
    <x v="30"/>
    <x v="12"/>
    <x v="2"/>
    <x v="0"/>
    <x v="177"/>
    <x v="465"/>
    <x v="14"/>
    <n v="0"/>
    <s v="Not Sampled"/>
    <n v="1782"/>
    <m/>
    <m/>
    <m/>
    <m/>
    <m/>
    <m/>
    <m/>
    <m/>
    <s v="Negative"/>
    <s v="Not Sampled"/>
    <s v="Not Sampled"/>
  </r>
  <r>
    <x v="8"/>
    <x v="64"/>
    <x v="8"/>
    <x v="20"/>
    <x v="3"/>
    <x v="25"/>
    <x v="238"/>
    <x v="33"/>
    <n v="1"/>
    <s v="Not Sampled"/>
    <n v="1783"/>
    <m/>
    <m/>
    <m/>
    <m/>
    <m/>
    <m/>
    <m/>
    <m/>
    <s v="Positive"/>
    <s v="Not Sampled"/>
    <s v="Not Sampled"/>
  </r>
  <r>
    <x v="5"/>
    <x v="132"/>
    <x v="10"/>
    <x v="13"/>
    <x v="1"/>
    <x v="106"/>
    <x v="32"/>
    <x v="2"/>
    <n v="1"/>
    <s v="Not Sampled"/>
    <n v="1784"/>
    <m/>
    <m/>
    <m/>
    <m/>
    <m/>
    <m/>
    <m/>
    <m/>
    <s v="Positive"/>
    <s v="Not Sampled"/>
    <s v="Not Sampled"/>
  </r>
  <r>
    <x v="1"/>
    <x v="6"/>
    <x v="2"/>
    <x v="2"/>
    <x v="0"/>
    <x v="26"/>
    <x v="466"/>
    <x v="11"/>
    <n v="0"/>
    <n v="0"/>
    <n v="1785"/>
    <m/>
    <m/>
    <m/>
    <m/>
    <m/>
    <m/>
    <m/>
    <m/>
    <s v="Negative"/>
    <s v="Negative"/>
    <s v="Accurate Prediction"/>
  </r>
  <r>
    <x v="3"/>
    <x v="117"/>
    <x v="21"/>
    <x v="22"/>
    <x v="59"/>
    <x v="93"/>
    <x v="467"/>
    <x v="6"/>
    <n v="0"/>
    <n v="0"/>
    <n v="1786"/>
    <m/>
    <m/>
    <m/>
    <m/>
    <m/>
    <m/>
    <m/>
    <m/>
    <s v="Negative"/>
    <s v="Negative"/>
    <s v="Accurate Prediction"/>
  </r>
  <r>
    <x v="3"/>
    <x v="78"/>
    <x v="9"/>
    <x v="2"/>
    <x v="0"/>
    <x v="235"/>
    <x v="468"/>
    <x v="25"/>
    <n v="0"/>
    <n v="1"/>
    <n v="1787"/>
    <m/>
    <m/>
    <m/>
    <m/>
    <m/>
    <m/>
    <m/>
    <m/>
    <s v="Negative"/>
    <s v="Positive"/>
    <s v="Inaccurate Prediction"/>
  </r>
  <r>
    <x v="0"/>
    <x v="27"/>
    <x v="15"/>
    <x v="21"/>
    <x v="170"/>
    <x v="117"/>
    <x v="469"/>
    <x v="25"/>
    <n v="0"/>
    <s v="Not Sampled"/>
    <n v="1788"/>
    <m/>
    <m/>
    <m/>
    <m/>
    <m/>
    <m/>
    <m/>
    <m/>
    <s v="Negative"/>
    <s v="Not Sampled"/>
    <s v="Not Sampled"/>
  </r>
  <r>
    <x v="6"/>
    <x v="10"/>
    <x v="4"/>
    <x v="1"/>
    <x v="0"/>
    <x v="32"/>
    <x v="470"/>
    <x v="43"/>
    <n v="1"/>
    <s v="Not Sampled"/>
    <n v="1789"/>
    <m/>
    <m/>
    <m/>
    <m/>
    <m/>
    <m/>
    <m/>
    <m/>
    <s v="Positive"/>
    <s v="Not Sampled"/>
    <s v="Not Sampled"/>
  </r>
  <r>
    <x v="2"/>
    <x v="120"/>
    <x v="21"/>
    <x v="30"/>
    <x v="0"/>
    <x v="145"/>
    <x v="180"/>
    <x v="41"/>
    <n v="1"/>
    <s v="Not Sampled"/>
    <n v="1790"/>
    <m/>
    <m/>
    <m/>
    <m/>
    <m/>
    <m/>
    <m/>
    <m/>
    <s v="Positive"/>
    <s v="Not Sampled"/>
    <s v="Not Sampled"/>
  </r>
  <r>
    <x v="0"/>
    <x v="52"/>
    <x v="2"/>
    <x v="2"/>
    <x v="0"/>
    <x v="70"/>
    <x v="13"/>
    <x v="17"/>
    <n v="0"/>
    <s v="Not Sampled"/>
    <n v="1791"/>
    <m/>
    <m/>
    <m/>
    <m/>
    <m/>
    <m/>
    <m/>
    <m/>
    <s v="Negative"/>
    <s v="Not Sampled"/>
    <s v="Not Sampled"/>
  </r>
  <r>
    <x v="3"/>
    <x v="13"/>
    <x v="15"/>
    <x v="28"/>
    <x v="31"/>
    <x v="109"/>
    <x v="471"/>
    <x v="23"/>
    <n v="0"/>
    <s v="Not Sampled"/>
    <n v="1792"/>
    <m/>
    <m/>
    <m/>
    <m/>
    <m/>
    <m/>
    <m/>
    <m/>
    <s v="Negative"/>
    <s v="Not Sampled"/>
    <s v="Not Sampled"/>
  </r>
  <r>
    <x v="6"/>
    <x v="11"/>
    <x v="6"/>
    <x v="35"/>
    <x v="0"/>
    <x v="236"/>
    <x v="472"/>
    <x v="6"/>
    <n v="0"/>
    <s v="Not Sampled"/>
    <n v="1793"/>
    <m/>
    <m/>
    <m/>
    <m/>
    <m/>
    <m/>
    <m/>
    <m/>
    <s v="Negative"/>
    <s v="Not Sampled"/>
    <s v="Not Sampled"/>
  </r>
  <r>
    <x v="9"/>
    <x v="109"/>
    <x v="2"/>
    <x v="2"/>
    <x v="0"/>
    <x v="12"/>
    <x v="86"/>
    <x v="13"/>
    <n v="1"/>
    <s v="Not Sampled"/>
    <n v="1794"/>
    <m/>
    <m/>
    <m/>
    <m/>
    <m/>
    <m/>
    <m/>
    <m/>
    <s v="Positive"/>
    <s v="Not Sampled"/>
    <s v="Not Sampled"/>
  </r>
  <r>
    <x v="0"/>
    <x v="117"/>
    <x v="37"/>
    <x v="23"/>
    <x v="171"/>
    <x v="184"/>
    <x v="473"/>
    <x v="11"/>
    <n v="0"/>
    <s v="Not Sampled"/>
    <n v="1795"/>
    <m/>
    <m/>
    <m/>
    <m/>
    <m/>
    <m/>
    <m/>
    <m/>
    <s v="Negative"/>
    <s v="Not Sampled"/>
    <s v="Not Sampled"/>
  </r>
  <r>
    <x v="11"/>
    <x v="101"/>
    <x v="4"/>
    <x v="2"/>
    <x v="0"/>
    <x v="10"/>
    <x v="271"/>
    <x v="10"/>
    <n v="1"/>
    <s v="Not Sampled"/>
    <n v="1796"/>
    <m/>
    <m/>
    <m/>
    <m/>
    <m/>
    <m/>
    <m/>
    <m/>
    <s v="Positive"/>
    <s v="Not Sampled"/>
    <s v="Not Sampled"/>
  </r>
  <r>
    <x v="0"/>
    <x v="67"/>
    <x v="11"/>
    <x v="5"/>
    <x v="69"/>
    <x v="237"/>
    <x v="326"/>
    <x v="1"/>
    <n v="1"/>
    <n v="0"/>
    <n v="1797"/>
    <m/>
    <m/>
    <m/>
    <m/>
    <m/>
    <m/>
    <m/>
    <m/>
    <s v="Positive"/>
    <s v="Negative"/>
    <s v="Inaccurate Prediction"/>
  </r>
  <r>
    <x v="5"/>
    <x v="95"/>
    <x v="11"/>
    <x v="27"/>
    <x v="172"/>
    <x v="84"/>
    <x v="474"/>
    <x v="3"/>
    <n v="0"/>
    <s v="Not Sampled"/>
    <n v="1798"/>
    <m/>
    <m/>
    <m/>
    <m/>
    <m/>
    <m/>
    <m/>
    <m/>
    <s v="Negative"/>
    <s v="Not Sampled"/>
    <s v="Not Sampled"/>
  </r>
  <r>
    <x v="7"/>
    <x v="51"/>
    <x v="4"/>
    <x v="21"/>
    <x v="173"/>
    <x v="107"/>
    <x v="464"/>
    <x v="18"/>
    <n v="0"/>
    <s v="Not Sampled"/>
    <n v="1799"/>
    <m/>
    <m/>
    <m/>
    <m/>
    <m/>
    <m/>
    <m/>
    <m/>
    <s v="Negative"/>
    <s v="Not Sampled"/>
    <s v="Not Sampled"/>
  </r>
  <r>
    <x v="9"/>
    <x v="52"/>
    <x v="0"/>
    <x v="35"/>
    <x v="0"/>
    <x v="238"/>
    <x v="475"/>
    <x v="19"/>
    <n v="1"/>
    <s v="Not Sampled"/>
    <n v="1800"/>
    <m/>
    <m/>
    <m/>
    <m/>
    <m/>
    <m/>
    <m/>
    <m/>
    <s v="Positive"/>
    <s v="Not Sampled"/>
    <s v="Not Sampled"/>
  </r>
  <r>
    <x v="1"/>
    <x v="63"/>
    <x v="22"/>
    <x v="28"/>
    <x v="174"/>
    <x v="199"/>
    <x v="476"/>
    <x v="4"/>
    <n v="0"/>
    <s v="Not Sampled"/>
    <n v="1801"/>
    <m/>
    <m/>
    <m/>
    <m/>
    <m/>
    <m/>
    <m/>
    <m/>
    <s v="Negative"/>
    <s v="Not Sampled"/>
    <s v="Not Sampled"/>
  </r>
  <r>
    <x v="5"/>
    <x v="29"/>
    <x v="10"/>
    <x v="2"/>
    <x v="0"/>
    <x v="81"/>
    <x v="394"/>
    <x v="32"/>
    <n v="0"/>
    <s v="Not Sampled"/>
    <n v="1802"/>
    <m/>
    <m/>
    <m/>
    <m/>
    <m/>
    <m/>
    <m/>
    <m/>
    <s v="Negative"/>
    <s v="Not Sampled"/>
    <s v="Not Sampled"/>
  </r>
  <r>
    <x v="8"/>
    <x v="44"/>
    <x v="13"/>
    <x v="12"/>
    <x v="175"/>
    <x v="75"/>
    <x v="477"/>
    <x v="34"/>
    <n v="1"/>
    <n v="1"/>
    <n v="1803"/>
    <m/>
    <m/>
    <m/>
    <m/>
    <m/>
    <m/>
    <m/>
    <m/>
    <s v="Positive"/>
    <s v="Positive"/>
    <s v="Accurate Prediction"/>
  </r>
  <r>
    <x v="5"/>
    <x v="5"/>
    <x v="4"/>
    <x v="15"/>
    <x v="157"/>
    <x v="97"/>
    <x v="478"/>
    <x v="2"/>
    <n v="1"/>
    <s v="Not Sampled"/>
    <n v="1804"/>
    <m/>
    <m/>
    <m/>
    <m/>
    <m/>
    <m/>
    <m/>
    <m/>
    <s v="Positive"/>
    <s v="Not Sampled"/>
    <s v="Not Sampled"/>
  </r>
  <r>
    <x v="9"/>
    <x v="19"/>
    <x v="5"/>
    <x v="10"/>
    <x v="0"/>
    <x v="179"/>
    <x v="479"/>
    <x v="24"/>
    <n v="0"/>
    <n v="0"/>
    <n v="1805"/>
    <m/>
    <m/>
    <m/>
    <m/>
    <m/>
    <m/>
    <m/>
    <m/>
    <s v="Negative"/>
    <s v="Negative"/>
    <s v="Accurate Prediction"/>
  </r>
  <r>
    <x v="2"/>
    <x v="81"/>
    <x v="12"/>
    <x v="40"/>
    <x v="176"/>
    <x v="130"/>
    <x v="351"/>
    <x v="3"/>
    <n v="0"/>
    <s v="Not Sampled"/>
    <n v="1806"/>
    <m/>
    <m/>
    <m/>
    <m/>
    <m/>
    <m/>
    <m/>
    <m/>
    <s v="Negative"/>
    <s v="Not Sampled"/>
    <s v="Not Sampled"/>
  </r>
  <r>
    <x v="7"/>
    <x v="75"/>
    <x v="15"/>
    <x v="21"/>
    <x v="0"/>
    <x v="230"/>
    <x v="293"/>
    <x v="41"/>
    <n v="1"/>
    <n v="0"/>
    <n v="1807"/>
    <m/>
    <m/>
    <m/>
    <m/>
    <m/>
    <m/>
    <m/>
    <m/>
    <s v="Positive"/>
    <s v="Negative"/>
    <s v="Inaccurate Prediction"/>
  </r>
  <r>
    <x v="3"/>
    <x v="8"/>
    <x v="24"/>
    <x v="13"/>
    <x v="0"/>
    <x v="17"/>
    <x v="480"/>
    <x v="34"/>
    <n v="0"/>
    <s v="Not Sampled"/>
    <n v="1808"/>
    <m/>
    <m/>
    <m/>
    <m/>
    <m/>
    <m/>
    <m/>
    <m/>
    <s v="Negative"/>
    <s v="Not Sampled"/>
    <s v="Not Sampled"/>
  </r>
  <r>
    <x v="2"/>
    <x v="48"/>
    <x v="19"/>
    <x v="35"/>
    <x v="170"/>
    <x v="176"/>
    <x v="188"/>
    <x v="4"/>
    <n v="0"/>
    <s v="Not Sampled"/>
    <n v="1809"/>
    <m/>
    <m/>
    <m/>
    <m/>
    <m/>
    <m/>
    <m/>
    <m/>
    <s v="Negative"/>
    <s v="Not Sampled"/>
    <s v="Not Sampled"/>
  </r>
  <r>
    <x v="2"/>
    <x v="133"/>
    <x v="3"/>
    <x v="30"/>
    <x v="177"/>
    <x v="17"/>
    <x v="284"/>
    <x v="8"/>
    <n v="1"/>
    <s v="Not Sampled"/>
    <n v="1810"/>
    <m/>
    <m/>
    <m/>
    <m/>
    <m/>
    <m/>
    <m/>
    <m/>
    <s v="Positive"/>
    <s v="Not Sampled"/>
    <s v="Not Sampled"/>
  </r>
  <r>
    <x v="7"/>
    <x v="17"/>
    <x v="24"/>
    <x v="8"/>
    <x v="16"/>
    <x v="44"/>
    <x v="240"/>
    <x v="8"/>
    <n v="0"/>
    <n v="0"/>
    <n v="1811"/>
    <m/>
    <m/>
    <m/>
    <m/>
    <m/>
    <m/>
    <m/>
    <m/>
    <s v="Negative"/>
    <s v="Negative"/>
    <s v="Accurate Prediction"/>
  </r>
  <r>
    <x v="2"/>
    <x v="31"/>
    <x v="41"/>
    <x v="2"/>
    <x v="0"/>
    <x v="10"/>
    <x v="481"/>
    <x v="10"/>
    <n v="0"/>
    <s v="Not Sampled"/>
    <n v="1812"/>
    <m/>
    <m/>
    <m/>
    <m/>
    <m/>
    <m/>
    <m/>
    <m/>
    <s v="Negative"/>
    <s v="Not Sampled"/>
    <s v="Not Sampled"/>
  </r>
  <r>
    <x v="3"/>
    <x v="56"/>
    <x v="4"/>
    <x v="32"/>
    <x v="0"/>
    <x v="121"/>
    <x v="183"/>
    <x v="19"/>
    <n v="0"/>
    <n v="0"/>
    <n v="1813"/>
    <m/>
    <m/>
    <m/>
    <m/>
    <m/>
    <m/>
    <m/>
    <m/>
    <s v="Negative"/>
    <s v="Negative"/>
    <s v="Accurate Prediction"/>
  </r>
  <r>
    <x v="2"/>
    <x v="113"/>
    <x v="4"/>
    <x v="30"/>
    <x v="105"/>
    <x v="164"/>
    <x v="116"/>
    <x v="14"/>
    <n v="0"/>
    <s v="Not Sampled"/>
    <n v="1814"/>
    <m/>
    <m/>
    <m/>
    <m/>
    <m/>
    <m/>
    <m/>
    <m/>
    <s v="Negative"/>
    <s v="Not Sampled"/>
    <s v="Not Sampled"/>
  </r>
  <r>
    <x v="1"/>
    <x v="47"/>
    <x v="16"/>
    <x v="16"/>
    <x v="0"/>
    <x v="68"/>
    <x v="262"/>
    <x v="11"/>
    <n v="0"/>
    <s v="Not Sampled"/>
    <n v="1815"/>
    <m/>
    <m/>
    <m/>
    <m/>
    <m/>
    <m/>
    <m/>
    <m/>
    <s v="Negative"/>
    <s v="Not Sampled"/>
    <s v="Not Sampled"/>
  </r>
  <r>
    <x v="0"/>
    <x v="122"/>
    <x v="21"/>
    <x v="2"/>
    <x v="0"/>
    <x v="123"/>
    <x v="259"/>
    <x v="11"/>
    <n v="0"/>
    <s v="Not Sampled"/>
    <n v="1816"/>
    <m/>
    <m/>
    <m/>
    <m/>
    <m/>
    <m/>
    <m/>
    <m/>
    <s v="Negative"/>
    <s v="Not Sampled"/>
    <s v="Not Sampled"/>
  </r>
  <r>
    <x v="0"/>
    <x v="66"/>
    <x v="33"/>
    <x v="2"/>
    <x v="0"/>
    <x v="15"/>
    <x v="425"/>
    <x v="11"/>
    <n v="0"/>
    <s v="Not Sampled"/>
    <n v="1817"/>
    <m/>
    <m/>
    <m/>
    <m/>
    <m/>
    <m/>
    <m/>
    <m/>
    <s v="Negative"/>
    <s v="Not Sampled"/>
    <s v="Not Sampled"/>
  </r>
  <r>
    <x v="5"/>
    <x v="23"/>
    <x v="4"/>
    <x v="17"/>
    <x v="11"/>
    <x v="109"/>
    <x v="91"/>
    <x v="34"/>
    <n v="1"/>
    <s v="Not Sampled"/>
    <n v="1818"/>
    <m/>
    <m/>
    <m/>
    <m/>
    <m/>
    <m/>
    <m/>
    <m/>
    <s v="Positive"/>
    <s v="Not Sampled"/>
    <s v="Not Sampled"/>
  </r>
  <r>
    <x v="4"/>
    <x v="24"/>
    <x v="24"/>
    <x v="2"/>
    <x v="0"/>
    <x v="109"/>
    <x v="247"/>
    <x v="11"/>
    <n v="1"/>
    <s v="Not Sampled"/>
    <n v="1819"/>
    <m/>
    <m/>
    <m/>
    <m/>
    <m/>
    <m/>
    <m/>
    <m/>
    <s v="Positive"/>
    <s v="Not Sampled"/>
    <s v="Not Sampled"/>
  </r>
  <r>
    <x v="0"/>
    <x v="129"/>
    <x v="21"/>
    <x v="18"/>
    <x v="77"/>
    <x v="235"/>
    <x v="482"/>
    <x v="3"/>
    <n v="1"/>
    <n v="1"/>
    <n v="1820"/>
    <m/>
    <m/>
    <m/>
    <m/>
    <m/>
    <m/>
    <m/>
    <m/>
    <s v="Positive"/>
    <s v="Positive"/>
    <s v="Accurate Prediction"/>
  </r>
  <r>
    <x v="0"/>
    <x v="33"/>
    <x v="20"/>
    <x v="21"/>
    <x v="134"/>
    <x v="55"/>
    <x v="483"/>
    <x v="11"/>
    <n v="0"/>
    <n v="0"/>
    <n v="1821"/>
    <m/>
    <m/>
    <m/>
    <m/>
    <m/>
    <m/>
    <m/>
    <m/>
    <s v="Negative"/>
    <s v="Negative"/>
    <s v="Accurate Prediction"/>
  </r>
  <r>
    <x v="0"/>
    <x v="38"/>
    <x v="25"/>
    <x v="2"/>
    <x v="0"/>
    <x v="239"/>
    <x v="484"/>
    <x v="49"/>
    <n v="0"/>
    <s v="Not Sampled"/>
    <n v="1822"/>
    <m/>
    <m/>
    <m/>
    <m/>
    <m/>
    <m/>
    <m/>
    <m/>
    <s v="Negative"/>
    <s v="Not Sampled"/>
    <s v="Not Sampled"/>
  </r>
  <r>
    <x v="3"/>
    <x v="50"/>
    <x v="12"/>
    <x v="5"/>
    <x v="0"/>
    <x v="110"/>
    <x v="223"/>
    <x v="6"/>
    <n v="0"/>
    <s v="Not Sampled"/>
    <n v="1823"/>
    <m/>
    <m/>
    <m/>
    <m/>
    <m/>
    <m/>
    <m/>
    <m/>
    <s v="Negative"/>
    <s v="Not Sampled"/>
    <s v="Not Sampled"/>
  </r>
  <r>
    <x v="1"/>
    <x v="51"/>
    <x v="24"/>
    <x v="21"/>
    <x v="77"/>
    <x v="41"/>
    <x v="485"/>
    <x v="4"/>
    <n v="0"/>
    <n v="0"/>
    <n v="1824"/>
    <m/>
    <m/>
    <m/>
    <m/>
    <m/>
    <m/>
    <m/>
    <m/>
    <s v="Negative"/>
    <s v="Negative"/>
    <s v="Accurate Prediction"/>
  </r>
  <r>
    <x v="4"/>
    <x v="134"/>
    <x v="5"/>
    <x v="17"/>
    <x v="0"/>
    <x v="61"/>
    <x v="364"/>
    <x v="8"/>
    <n v="0"/>
    <n v="0"/>
    <n v="1825"/>
    <m/>
    <m/>
    <m/>
    <m/>
    <m/>
    <m/>
    <m/>
    <m/>
    <s v="Negative"/>
    <s v="Negative"/>
    <s v="Accurate Prediction"/>
  </r>
  <r>
    <x v="0"/>
    <x v="6"/>
    <x v="12"/>
    <x v="6"/>
    <x v="69"/>
    <x v="69"/>
    <x v="486"/>
    <x v="4"/>
    <n v="0"/>
    <s v="Not Sampled"/>
    <n v="1826"/>
    <m/>
    <m/>
    <m/>
    <m/>
    <m/>
    <m/>
    <m/>
    <m/>
    <s v="Negative"/>
    <s v="Not Sampled"/>
    <s v="Not Sampled"/>
  </r>
  <r>
    <x v="2"/>
    <x v="29"/>
    <x v="10"/>
    <x v="2"/>
    <x v="0"/>
    <x v="100"/>
    <x v="209"/>
    <x v="8"/>
    <n v="1"/>
    <s v="Not Sampled"/>
    <n v="1827"/>
    <m/>
    <m/>
    <m/>
    <m/>
    <m/>
    <m/>
    <m/>
    <m/>
    <s v="Positive"/>
    <s v="Not Sampled"/>
    <s v="Not Sampled"/>
  </r>
  <r>
    <x v="12"/>
    <x v="24"/>
    <x v="6"/>
    <x v="18"/>
    <x v="90"/>
    <x v="3"/>
    <x v="487"/>
    <x v="27"/>
    <n v="1"/>
    <s v="Not Sampled"/>
    <n v="1828"/>
    <m/>
    <m/>
    <m/>
    <m/>
    <m/>
    <m/>
    <m/>
    <m/>
    <s v="Positive"/>
    <s v="Not Sampled"/>
    <s v="Not Sampled"/>
  </r>
  <r>
    <x v="5"/>
    <x v="29"/>
    <x v="27"/>
    <x v="28"/>
    <x v="48"/>
    <x v="98"/>
    <x v="415"/>
    <x v="25"/>
    <n v="0"/>
    <s v="Not Sampled"/>
    <n v="1829"/>
    <m/>
    <m/>
    <m/>
    <m/>
    <m/>
    <m/>
    <m/>
    <m/>
    <s v="Negative"/>
    <s v="Not Sampled"/>
    <s v="Not Sampled"/>
  </r>
  <r>
    <x v="2"/>
    <x v="49"/>
    <x v="22"/>
    <x v="10"/>
    <x v="93"/>
    <x v="218"/>
    <x v="332"/>
    <x v="11"/>
    <n v="0"/>
    <n v="0"/>
    <n v="1830"/>
    <m/>
    <m/>
    <m/>
    <m/>
    <m/>
    <m/>
    <m/>
    <m/>
    <s v="Negative"/>
    <s v="Negative"/>
    <s v="Accurate Prediction"/>
  </r>
  <r>
    <x v="11"/>
    <x v="98"/>
    <x v="41"/>
    <x v="2"/>
    <x v="0"/>
    <x v="112"/>
    <x v="488"/>
    <x v="10"/>
    <n v="1"/>
    <s v="Not Sampled"/>
    <n v="1831"/>
    <m/>
    <m/>
    <m/>
    <m/>
    <m/>
    <m/>
    <m/>
    <m/>
    <s v="Positive"/>
    <s v="Not Sampled"/>
    <s v="Not Sampled"/>
  </r>
  <r>
    <x v="13"/>
    <x v="85"/>
    <x v="21"/>
    <x v="18"/>
    <x v="32"/>
    <x v="102"/>
    <x v="489"/>
    <x v="16"/>
    <n v="0"/>
    <s v="Not Sampled"/>
    <n v="1832"/>
    <m/>
    <m/>
    <m/>
    <m/>
    <m/>
    <m/>
    <m/>
    <m/>
    <s v="Negative"/>
    <s v="Not Sampled"/>
    <s v="Not Sampled"/>
  </r>
  <r>
    <x v="10"/>
    <x v="45"/>
    <x v="16"/>
    <x v="12"/>
    <x v="16"/>
    <x v="135"/>
    <x v="490"/>
    <x v="22"/>
    <n v="0"/>
    <s v="Not Sampled"/>
    <n v="1833"/>
    <m/>
    <m/>
    <m/>
    <m/>
    <m/>
    <m/>
    <m/>
    <m/>
    <s v="Negative"/>
    <s v="Not Sampled"/>
    <s v="Not Sampled"/>
  </r>
  <r>
    <x v="2"/>
    <x v="83"/>
    <x v="41"/>
    <x v="4"/>
    <x v="0"/>
    <x v="240"/>
    <x v="491"/>
    <x v="23"/>
    <n v="1"/>
    <s v="Not Sampled"/>
    <n v="1834"/>
    <m/>
    <m/>
    <m/>
    <m/>
    <m/>
    <m/>
    <m/>
    <m/>
    <s v="Positive"/>
    <s v="Not Sampled"/>
    <s v="Not Sampled"/>
  </r>
  <r>
    <x v="2"/>
    <x v="14"/>
    <x v="10"/>
    <x v="4"/>
    <x v="92"/>
    <x v="241"/>
    <x v="492"/>
    <x v="32"/>
    <n v="0"/>
    <s v="Not Sampled"/>
    <n v="1835"/>
    <m/>
    <m/>
    <m/>
    <m/>
    <m/>
    <m/>
    <m/>
    <m/>
    <s v="Negative"/>
    <s v="Not Sampled"/>
    <s v="Not Sampled"/>
  </r>
  <r>
    <x v="5"/>
    <x v="44"/>
    <x v="9"/>
    <x v="29"/>
    <x v="170"/>
    <x v="217"/>
    <x v="493"/>
    <x v="31"/>
    <n v="1"/>
    <s v="Not Sampled"/>
    <n v="1836"/>
    <m/>
    <m/>
    <m/>
    <m/>
    <m/>
    <m/>
    <m/>
    <m/>
    <s v="Positive"/>
    <s v="Not Sampled"/>
    <s v="Not Sampled"/>
  </r>
  <r>
    <x v="6"/>
    <x v="76"/>
    <x v="0"/>
    <x v="2"/>
    <x v="0"/>
    <x v="122"/>
    <x v="81"/>
    <x v="48"/>
    <n v="1"/>
    <s v="Not Sampled"/>
    <n v="1837"/>
    <m/>
    <m/>
    <m/>
    <m/>
    <m/>
    <m/>
    <m/>
    <m/>
    <s v="Positive"/>
    <s v="Not Sampled"/>
    <s v="Not Sampled"/>
  </r>
  <r>
    <x v="3"/>
    <x v="60"/>
    <x v="9"/>
    <x v="2"/>
    <x v="0"/>
    <x v="84"/>
    <x v="494"/>
    <x v="11"/>
    <n v="1"/>
    <s v="Not Sampled"/>
    <n v="1838"/>
    <m/>
    <m/>
    <m/>
    <m/>
    <m/>
    <m/>
    <m/>
    <m/>
    <s v="Positive"/>
    <s v="Not Sampled"/>
    <s v="Not Sampled"/>
  </r>
  <r>
    <x v="2"/>
    <x v="126"/>
    <x v="4"/>
    <x v="15"/>
    <x v="97"/>
    <x v="20"/>
    <x v="86"/>
    <x v="6"/>
    <n v="0"/>
    <n v="0"/>
    <n v="1839"/>
    <m/>
    <m/>
    <m/>
    <m/>
    <m/>
    <m/>
    <m/>
    <m/>
    <s v="Negative"/>
    <s v="Negative"/>
    <s v="Accurate Prediction"/>
  </r>
  <r>
    <x v="5"/>
    <x v="81"/>
    <x v="0"/>
    <x v="20"/>
    <x v="0"/>
    <x v="14"/>
    <x v="110"/>
    <x v="14"/>
    <n v="0"/>
    <s v="Not Sampled"/>
    <n v="1840"/>
    <m/>
    <m/>
    <m/>
    <m/>
    <m/>
    <m/>
    <m/>
    <m/>
    <s v="Negative"/>
    <s v="Not Sampled"/>
    <s v="Not Sampled"/>
  </r>
  <r>
    <x v="1"/>
    <x v="94"/>
    <x v="21"/>
    <x v="38"/>
    <x v="178"/>
    <x v="165"/>
    <x v="495"/>
    <x v="25"/>
    <n v="1"/>
    <s v="Not Sampled"/>
    <n v="1841"/>
    <m/>
    <m/>
    <m/>
    <m/>
    <m/>
    <m/>
    <m/>
    <m/>
    <s v="Positive"/>
    <s v="Not Sampled"/>
    <s v="Not Sampled"/>
  </r>
  <r>
    <x v="4"/>
    <x v="16"/>
    <x v="4"/>
    <x v="5"/>
    <x v="0"/>
    <x v="68"/>
    <x v="85"/>
    <x v="10"/>
    <n v="1"/>
    <n v="1"/>
    <n v="1842"/>
    <m/>
    <m/>
    <m/>
    <m/>
    <m/>
    <m/>
    <m/>
    <m/>
    <s v="Positive"/>
    <s v="Positive"/>
    <s v="Accurate Prediction"/>
  </r>
  <r>
    <x v="2"/>
    <x v="80"/>
    <x v="21"/>
    <x v="15"/>
    <x v="27"/>
    <x v="23"/>
    <x v="496"/>
    <x v="26"/>
    <n v="1"/>
    <s v="Not Sampled"/>
    <n v="1843"/>
    <m/>
    <m/>
    <m/>
    <m/>
    <m/>
    <m/>
    <m/>
    <m/>
    <s v="Positive"/>
    <s v="Not Sampled"/>
    <s v="Not Sampled"/>
  </r>
  <r>
    <x v="8"/>
    <x v="59"/>
    <x v="8"/>
    <x v="4"/>
    <x v="0"/>
    <x v="61"/>
    <x v="73"/>
    <x v="16"/>
    <n v="0"/>
    <s v="Not Sampled"/>
    <n v="1844"/>
    <m/>
    <m/>
    <m/>
    <m/>
    <m/>
    <m/>
    <m/>
    <m/>
    <s v="Negative"/>
    <s v="Not Sampled"/>
    <s v="Not Sampled"/>
  </r>
  <r>
    <x v="1"/>
    <x v="62"/>
    <x v="5"/>
    <x v="2"/>
    <x v="0"/>
    <x v="153"/>
    <x v="61"/>
    <x v="41"/>
    <n v="1"/>
    <s v="Not Sampled"/>
    <n v="1845"/>
    <m/>
    <m/>
    <m/>
    <m/>
    <m/>
    <m/>
    <m/>
    <m/>
    <s v="Positive"/>
    <s v="Not Sampled"/>
    <s v="Not Sampled"/>
  </r>
  <r>
    <x v="2"/>
    <x v="33"/>
    <x v="15"/>
    <x v="2"/>
    <x v="0"/>
    <x v="129"/>
    <x v="269"/>
    <x v="25"/>
    <n v="0"/>
    <s v="Not Sampled"/>
    <n v="1846"/>
    <m/>
    <m/>
    <m/>
    <m/>
    <m/>
    <m/>
    <m/>
    <m/>
    <s v="Negative"/>
    <s v="Not Sampled"/>
    <s v="Not Sampled"/>
  </r>
  <r>
    <x v="6"/>
    <x v="135"/>
    <x v="17"/>
    <x v="2"/>
    <x v="0"/>
    <x v="130"/>
    <x v="115"/>
    <x v="12"/>
    <n v="1"/>
    <s v="Not Sampled"/>
    <n v="1847"/>
    <m/>
    <m/>
    <m/>
    <m/>
    <m/>
    <m/>
    <m/>
    <m/>
    <s v="Positive"/>
    <s v="Not Sampled"/>
    <s v="Not Sampled"/>
  </r>
  <r>
    <x v="0"/>
    <x v="40"/>
    <x v="22"/>
    <x v="16"/>
    <x v="179"/>
    <x v="109"/>
    <x v="497"/>
    <x v="11"/>
    <n v="0"/>
    <s v="Not Sampled"/>
    <n v="1848"/>
    <m/>
    <m/>
    <m/>
    <m/>
    <m/>
    <m/>
    <m/>
    <m/>
    <s v="Negative"/>
    <s v="Not Sampled"/>
    <s v="Not Sampled"/>
  </r>
  <r>
    <x v="11"/>
    <x v="79"/>
    <x v="10"/>
    <x v="1"/>
    <x v="0"/>
    <x v="143"/>
    <x v="118"/>
    <x v="33"/>
    <n v="1"/>
    <s v="Not Sampled"/>
    <n v="1849"/>
    <m/>
    <m/>
    <m/>
    <m/>
    <m/>
    <m/>
    <m/>
    <m/>
    <s v="Positive"/>
    <s v="Not Sampled"/>
    <s v="Not Sampled"/>
  </r>
  <r>
    <x v="11"/>
    <x v="9"/>
    <x v="0"/>
    <x v="2"/>
    <x v="0"/>
    <x v="79"/>
    <x v="173"/>
    <x v="9"/>
    <n v="0"/>
    <s v="Not Sampled"/>
    <n v="1850"/>
    <m/>
    <m/>
    <m/>
    <m/>
    <m/>
    <m/>
    <m/>
    <m/>
    <s v="Negative"/>
    <s v="Not Sampled"/>
    <s v="Not Sampled"/>
  </r>
  <r>
    <x v="9"/>
    <x v="39"/>
    <x v="15"/>
    <x v="46"/>
    <x v="105"/>
    <x v="35"/>
    <x v="498"/>
    <x v="44"/>
    <n v="0"/>
    <s v="Not Sampled"/>
    <n v="1851"/>
    <m/>
    <m/>
    <m/>
    <m/>
    <m/>
    <m/>
    <m/>
    <m/>
    <s v="Negative"/>
    <s v="Not Sampled"/>
    <s v="Not Sampled"/>
  </r>
  <r>
    <x v="0"/>
    <x v="27"/>
    <x v="9"/>
    <x v="21"/>
    <x v="0"/>
    <x v="8"/>
    <x v="250"/>
    <x v="23"/>
    <n v="0"/>
    <n v="0"/>
    <n v="1852"/>
    <m/>
    <m/>
    <m/>
    <m/>
    <m/>
    <m/>
    <m/>
    <m/>
    <s v="Negative"/>
    <s v="Negative"/>
    <s v="Accurate Prediction"/>
  </r>
  <r>
    <x v="7"/>
    <x v="126"/>
    <x v="5"/>
    <x v="17"/>
    <x v="180"/>
    <x v="173"/>
    <x v="404"/>
    <x v="13"/>
    <n v="0"/>
    <s v="Not Sampled"/>
    <n v="1853"/>
    <m/>
    <m/>
    <m/>
    <m/>
    <m/>
    <m/>
    <m/>
    <m/>
    <s v="Negative"/>
    <s v="Not Sampled"/>
    <s v="Not Sampled"/>
  </r>
  <r>
    <x v="2"/>
    <x v="51"/>
    <x v="12"/>
    <x v="2"/>
    <x v="0"/>
    <x v="15"/>
    <x v="284"/>
    <x v="0"/>
    <n v="1"/>
    <s v="Not Sampled"/>
    <n v="1854"/>
    <m/>
    <m/>
    <m/>
    <m/>
    <m/>
    <m/>
    <m/>
    <m/>
    <s v="Positive"/>
    <s v="Not Sampled"/>
    <s v="Not Sampled"/>
  </r>
  <r>
    <x v="9"/>
    <x v="27"/>
    <x v="4"/>
    <x v="1"/>
    <x v="0"/>
    <x v="32"/>
    <x v="33"/>
    <x v="10"/>
    <n v="0"/>
    <s v="Not Sampled"/>
    <n v="1855"/>
    <m/>
    <m/>
    <m/>
    <m/>
    <m/>
    <m/>
    <m/>
    <m/>
    <s v="Negative"/>
    <s v="Not Sampled"/>
    <s v="Not Sampled"/>
  </r>
  <r>
    <x v="3"/>
    <x v="28"/>
    <x v="12"/>
    <x v="12"/>
    <x v="17"/>
    <x v="33"/>
    <x v="34"/>
    <x v="9"/>
    <n v="0"/>
    <s v="Not Sampled"/>
    <n v="1856"/>
    <m/>
    <m/>
    <m/>
    <m/>
    <m/>
    <m/>
    <m/>
    <m/>
    <s v="Negative"/>
    <s v="Not Sampled"/>
    <s v="Not Sampled"/>
  </r>
  <r>
    <x v="12"/>
    <x v="0"/>
    <x v="15"/>
    <x v="2"/>
    <x v="0"/>
    <x v="34"/>
    <x v="35"/>
    <x v="20"/>
    <n v="0"/>
    <s v="Not Sampled"/>
    <n v="1857"/>
    <m/>
    <m/>
    <m/>
    <m/>
    <m/>
    <m/>
    <m/>
    <m/>
    <s v="Negative"/>
    <s v="Not Sampled"/>
    <s v="Not Sampled"/>
  </r>
  <r>
    <x v="11"/>
    <x v="29"/>
    <x v="15"/>
    <x v="18"/>
    <x v="0"/>
    <x v="35"/>
    <x v="36"/>
    <x v="22"/>
    <n v="1"/>
    <s v="Not Sampled"/>
    <n v="1858"/>
    <m/>
    <m/>
    <m/>
    <m/>
    <m/>
    <m/>
    <m/>
    <m/>
    <s v="Positive"/>
    <s v="Not Sampled"/>
    <s v="Not Sampled"/>
  </r>
  <r>
    <x v="0"/>
    <x v="30"/>
    <x v="3"/>
    <x v="3"/>
    <x v="0"/>
    <x v="1"/>
    <x v="37"/>
    <x v="23"/>
    <n v="1"/>
    <s v="Not Sampled"/>
    <n v="1859"/>
    <m/>
    <m/>
    <m/>
    <m/>
    <m/>
    <m/>
    <m/>
    <m/>
    <s v="Positive"/>
    <s v="Not Sampled"/>
    <s v="Not Sampled"/>
  </r>
  <r>
    <x v="3"/>
    <x v="31"/>
    <x v="5"/>
    <x v="19"/>
    <x v="18"/>
    <x v="36"/>
    <x v="38"/>
    <x v="24"/>
    <n v="1"/>
    <s v="Not Sampled"/>
    <n v="1860"/>
    <m/>
    <m/>
    <m/>
    <m/>
    <m/>
    <m/>
    <m/>
    <m/>
    <s v="Positive"/>
    <s v="Not Sampled"/>
    <s v="Not Sampled"/>
  </r>
  <r>
    <x v="5"/>
    <x v="22"/>
    <x v="11"/>
    <x v="14"/>
    <x v="19"/>
    <x v="37"/>
    <x v="39"/>
    <x v="25"/>
    <n v="0"/>
    <s v="Not Sampled"/>
    <n v="1861"/>
    <m/>
    <m/>
    <m/>
    <m/>
    <m/>
    <m/>
    <m/>
    <m/>
    <s v="Negative"/>
    <s v="Not Sampled"/>
    <s v="Not Sampled"/>
  </r>
  <r>
    <x v="8"/>
    <x v="32"/>
    <x v="16"/>
    <x v="2"/>
    <x v="0"/>
    <x v="38"/>
    <x v="40"/>
    <x v="26"/>
    <n v="0"/>
    <n v="1"/>
    <n v="1862"/>
    <m/>
    <m/>
    <m/>
    <m/>
    <m/>
    <m/>
    <m/>
    <m/>
    <s v="Negative"/>
    <s v="Positive"/>
    <s v="Inaccurate Prediction"/>
  </r>
  <r>
    <x v="8"/>
    <x v="33"/>
    <x v="17"/>
    <x v="10"/>
    <x v="0"/>
    <x v="39"/>
    <x v="41"/>
    <x v="27"/>
    <n v="0"/>
    <s v="Not Sampled"/>
    <n v="1863"/>
    <m/>
    <m/>
    <m/>
    <m/>
    <m/>
    <m/>
    <m/>
    <m/>
    <s v="Negative"/>
    <s v="Not Sampled"/>
    <s v="Not Sampled"/>
  </r>
  <r>
    <x v="11"/>
    <x v="34"/>
    <x v="18"/>
    <x v="20"/>
    <x v="20"/>
    <x v="40"/>
    <x v="42"/>
    <x v="28"/>
    <n v="1"/>
    <s v="Not Sampled"/>
    <n v="1864"/>
    <m/>
    <m/>
    <m/>
    <m/>
    <m/>
    <m/>
    <m/>
    <m/>
    <s v="Positive"/>
    <s v="Not Sampled"/>
    <s v="Not Sampled"/>
  </r>
  <r>
    <x v="8"/>
    <x v="35"/>
    <x v="11"/>
    <x v="2"/>
    <x v="0"/>
    <x v="41"/>
    <x v="6"/>
    <x v="18"/>
    <n v="0"/>
    <n v="1"/>
    <n v="1865"/>
    <m/>
    <m/>
    <m/>
    <m/>
    <m/>
    <m/>
    <m/>
    <m/>
    <s v="Negative"/>
    <s v="Positive"/>
    <s v="Inaccurate Prediction"/>
  </r>
  <r>
    <x v="1"/>
    <x v="22"/>
    <x v="19"/>
    <x v="15"/>
    <x v="0"/>
    <x v="42"/>
    <x v="43"/>
    <x v="14"/>
    <n v="1"/>
    <s v="Not Sampled"/>
    <n v="1866"/>
    <m/>
    <m/>
    <m/>
    <m/>
    <m/>
    <m/>
    <m/>
    <m/>
    <s v="Positive"/>
    <s v="Not Sampled"/>
    <s v="Not Sampled"/>
  </r>
  <r>
    <x v="2"/>
    <x v="36"/>
    <x v="20"/>
    <x v="2"/>
    <x v="0"/>
    <x v="27"/>
    <x v="44"/>
    <x v="29"/>
    <n v="0"/>
    <s v="Not Sampled"/>
    <n v="1867"/>
    <m/>
    <m/>
    <m/>
    <m/>
    <m/>
    <m/>
    <m/>
    <m/>
    <s v="Negative"/>
    <s v="Not Sampled"/>
    <s v="Not Sampled"/>
  </r>
  <r>
    <x v="0"/>
    <x v="37"/>
    <x v="9"/>
    <x v="21"/>
    <x v="0"/>
    <x v="43"/>
    <x v="45"/>
    <x v="11"/>
    <n v="0"/>
    <s v="Not Sampled"/>
    <n v="1868"/>
    <m/>
    <m/>
    <m/>
    <m/>
    <m/>
    <m/>
    <m/>
    <m/>
    <s v="Negative"/>
    <s v="Not Sampled"/>
    <s v="Not Sampled"/>
  </r>
  <r>
    <x v="8"/>
    <x v="28"/>
    <x v="19"/>
    <x v="5"/>
    <x v="0"/>
    <x v="44"/>
    <x v="46"/>
    <x v="2"/>
    <n v="1"/>
    <s v="Not Sampled"/>
    <n v="1869"/>
    <m/>
    <m/>
    <m/>
    <m/>
    <m/>
    <m/>
    <m/>
    <m/>
    <s v="Positive"/>
    <s v="Not Sampled"/>
    <s v="Not Sampled"/>
  </r>
  <r>
    <x v="8"/>
    <x v="38"/>
    <x v="2"/>
    <x v="2"/>
    <x v="0"/>
    <x v="12"/>
    <x v="47"/>
    <x v="3"/>
    <n v="0"/>
    <s v="Not Sampled"/>
    <n v="1870"/>
    <m/>
    <m/>
    <m/>
    <m/>
    <m/>
    <m/>
    <m/>
    <m/>
    <s v="Negative"/>
    <s v="Not Sampled"/>
    <s v="Not Sampled"/>
  </r>
  <r>
    <x v="2"/>
    <x v="28"/>
    <x v="6"/>
    <x v="22"/>
    <x v="21"/>
    <x v="45"/>
    <x v="48"/>
    <x v="11"/>
    <n v="0"/>
    <n v="0"/>
    <n v="1871"/>
    <m/>
    <m/>
    <m/>
    <m/>
    <m/>
    <m/>
    <m/>
    <m/>
    <s v="Negative"/>
    <s v="Negative"/>
    <s v="Accurate Prediction"/>
  </r>
  <r>
    <x v="2"/>
    <x v="39"/>
    <x v="13"/>
    <x v="11"/>
    <x v="22"/>
    <x v="29"/>
    <x v="49"/>
    <x v="25"/>
    <n v="0"/>
    <s v="Not Sampled"/>
    <n v="1872"/>
    <m/>
    <m/>
    <m/>
    <m/>
    <m/>
    <m/>
    <m/>
    <m/>
    <s v="Negative"/>
    <s v="Not Sampled"/>
    <s v="Not Sampled"/>
  </r>
  <r>
    <x v="7"/>
    <x v="40"/>
    <x v="19"/>
    <x v="23"/>
    <x v="23"/>
    <x v="46"/>
    <x v="50"/>
    <x v="13"/>
    <n v="0"/>
    <s v="Not Sampled"/>
    <n v="1873"/>
    <m/>
    <m/>
    <m/>
    <m/>
    <m/>
    <m/>
    <m/>
    <m/>
    <s v="Negative"/>
    <s v="Not Sampled"/>
    <s v="Not Sampled"/>
  </r>
  <r>
    <x v="4"/>
    <x v="41"/>
    <x v="8"/>
    <x v="24"/>
    <x v="24"/>
    <x v="47"/>
    <x v="51"/>
    <x v="5"/>
    <n v="1"/>
    <n v="1"/>
    <n v="1874"/>
    <m/>
    <m/>
    <m/>
    <m/>
    <m/>
    <m/>
    <m/>
    <m/>
    <s v="Positive"/>
    <s v="Positive"/>
    <s v="Accurate Prediction"/>
  </r>
  <r>
    <x v="8"/>
    <x v="42"/>
    <x v="19"/>
    <x v="3"/>
    <x v="25"/>
    <x v="48"/>
    <x v="52"/>
    <x v="8"/>
    <n v="0"/>
    <s v="Not Sampled"/>
    <n v="1875"/>
    <m/>
    <m/>
    <m/>
    <m/>
    <m/>
    <m/>
    <m/>
    <m/>
    <s v="Negative"/>
    <s v="Not Sampled"/>
    <s v="Not Sampled"/>
  </r>
  <r>
    <x v="2"/>
    <x v="43"/>
    <x v="13"/>
    <x v="25"/>
    <x v="0"/>
    <x v="49"/>
    <x v="53"/>
    <x v="4"/>
    <n v="0"/>
    <s v="Not Sampled"/>
    <n v="1876"/>
    <m/>
    <m/>
    <m/>
    <m/>
    <m/>
    <m/>
    <m/>
    <m/>
    <s v="Negative"/>
    <s v="Not Sampled"/>
    <s v="Not Sampled"/>
  </r>
  <r>
    <x v="8"/>
    <x v="44"/>
    <x v="3"/>
    <x v="15"/>
    <x v="26"/>
    <x v="50"/>
    <x v="54"/>
    <x v="17"/>
    <n v="1"/>
    <s v="Not Sampled"/>
    <n v="1877"/>
    <m/>
    <m/>
    <m/>
    <m/>
    <m/>
    <m/>
    <m/>
    <m/>
    <s v="Positive"/>
    <s v="Not Sampled"/>
    <s v="Not Sampled"/>
  </r>
  <r>
    <x v="1"/>
    <x v="45"/>
    <x v="21"/>
    <x v="26"/>
    <x v="27"/>
    <x v="51"/>
    <x v="55"/>
    <x v="2"/>
    <n v="0"/>
    <s v="Not Sampled"/>
    <n v="1878"/>
    <m/>
    <m/>
    <m/>
    <m/>
    <m/>
    <m/>
    <m/>
    <m/>
    <s v="Negative"/>
    <s v="Not Sampled"/>
    <s v="Not Sampled"/>
  </r>
  <r>
    <x v="1"/>
    <x v="36"/>
    <x v="1"/>
    <x v="2"/>
    <x v="0"/>
    <x v="52"/>
    <x v="56"/>
    <x v="30"/>
    <n v="0"/>
    <s v="Not Sampled"/>
    <n v="1879"/>
    <m/>
    <m/>
    <m/>
    <m/>
    <m/>
    <m/>
    <m/>
    <m/>
    <s v="Negative"/>
    <s v="Not Sampled"/>
    <s v="Not Sampled"/>
  </r>
  <r>
    <x v="1"/>
    <x v="38"/>
    <x v="11"/>
    <x v="4"/>
    <x v="28"/>
    <x v="53"/>
    <x v="57"/>
    <x v="11"/>
    <n v="0"/>
    <s v="Not Sampled"/>
    <n v="1880"/>
    <m/>
    <m/>
    <m/>
    <m/>
    <m/>
    <m/>
    <m/>
    <m/>
    <s v="Negative"/>
    <s v="Not Sampled"/>
    <s v="Not Sampled"/>
  </r>
  <r>
    <x v="0"/>
    <x v="1"/>
    <x v="2"/>
    <x v="2"/>
    <x v="0"/>
    <x v="12"/>
    <x v="13"/>
    <x v="4"/>
    <n v="0"/>
    <s v="Not Sampled"/>
    <n v="1881"/>
    <m/>
    <m/>
    <m/>
    <m/>
    <m/>
    <m/>
    <m/>
    <m/>
    <s v="Negative"/>
    <s v="Not Sampled"/>
    <s v="Not Sampled"/>
  </r>
  <r>
    <x v="4"/>
    <x v="32"/>
    <x v="5"/>
    <x v="2"/>
    <x v="0"/>
    <x v="35"/>
    <x v="58"/>
    <x v="16"/>
    <n v="1"/>
    <n v="1"/>
    <n v="1882"/>
    <m/>
    <m/>
    <m/>
    <m/>
    <m/>
    <m/>
    <m/>
    <m/>
    <s v="Positive"/>
    <s v="Positive"/>
    <s v="Accurate Prediction"/>
  </r>
  <r>
    <x v="7"/>
    <x v="46"/>
    <x v="0"/>
    <x v="2"/>
    <x v="0"/>
    <x v="26"/>
    <x v="59"/>
    <x v="31"/>
    <n v="0"/>
    <s v="Not Sampled"/>
    <n v="1883"/>
    <m/>
    <m/>
    <m/>
    <m/>
    <m/>
    <m/>
    <m/>
    <m/>
    <s v="Negative"/>
    <s v="Not Sampled"/>
    <s v="Not Sampled"/>
  </r>
  <r>
    <x v="0"/>
    <x v="47"/>
    <x v="22"/>
    <x v="24"/>
    <x v="29"/>
    <x v="54"/>
    <x v="60"/>
    <x v="3"/>
    <n v="0"/>
    <s v="Not Sampled"/>
    <n v="1884"/>
    <m/>
    <m/>
    <m/>
    <m/>
    <m/>
    <m/>
    <m/>
    <m/>
    <s v="Negative"/>
    <s v="Not Sampled"/>
    <s v="Not Sampled"/>
  </r>
  <r>
    <x v="8"/>
    <x v="48"/>
    <x v="19"/>
    <x v="2"/>
    <x v="0"/>
    <x v="10"/>
    <x v="61"/>
    <x v="8"/>
    <n v="1"/>
    <s v="Not Sampled"/>
    <n v="1885"/>
    <m/>
    <m/>
    <m/>
    <m/>
    <m/>
    <m/>
    <m/>
    <m/>
    <s v="Positive"/>
    <s v="Not Sampled"/>
    <s v="Not Sampled"/>
  </r>
  <r>
    <x v="7"/>
    <x v="6"/>
    <x v="10"/>
    <x v="21"/>
    <x v="0"/>
    <x v="55"/>
    <x v="62"/>
    <x v="32"/>
    <n v="0"/>
    <n v="0"/>
    <n v="1886"/>
    <m/>
    <m/>
    <m/>
    <m/>
    <m/>
    <m/>
    <m/>
    <m/>
    <s v="Negative"/>
    <s v="Negative"/>
    <s v="Accurate Prediction"/>
  </r>
  <r>
    <x v="1"/>
    <x v="49"/>
    <x v="21"/>
    <x v="8"/>
    <x v="0"/>
    <x v="56"/>
    <x v="63"/>
    <x v="19"/>
    <n v="1"/>
    <s v="Not Sampled"/>
    <n v="1887"/>
    <m/>
    <m/>
    <m/>
    <m/>
    <m/>
    <m/>
    <m/>
    <m/>
    <s v="Positive"/>
    <s v="Not Sampled"/>
    <s v="Not Sampled"/>
  </r>
  <r>
    <x v="0"/>
    <x v="49"/>
    <x v="17"/>
    <x v="2"/>
    <x v="0"/>
    <x v="57"/>
    <x v="64"/>
    <x v="28"/>
    <n v="0"/>
    <s v="Not Sampled"/>
    <n v="1888"/>
    <m/>
    <m/>
    <m/>
    <m/>
    <m/>
    <m/>
    <m/>
    <m/>
    <s v="Negative"/>
    <s v="Not Sampled"/>
    <s v="Not Sampled"/>
  </r>
  <r>
    <x v="2"/>
    <x v="50"/>
    <x v="19"/>
    <x v="27"/>
    <x v="30"/>
    <x v="58"/>
    <x v="65"/>
    <x v="14"/>
    <n v="0"/>
    <s v="Not Sampled"/>
    <n v="1889"/>
    <m/>
    <m/>
    <m/>
    <m/>
    <m/>
    <m/>
    <m/>
    <m/>
    <s v="Negative"/>
    <s v="Not Sampled"/>
    <s v="Not Sampled"/>
  </r>
  <r>
    <x v="3"/>
    <x v="36"/>
    <x v="23"/>
    <x v="21"/>
    <x v="31"/>
    <x v="11"/>
    <x v="66"/>
    <x v="23"/>
    <n v="0"/>
    <n v="0"/>
    <n v="1890"/>
    <m/>
    <m/>
    <m/>
    <m/>
    <m/>
    <m/>
    <m/>
    <m/>
    <s v="Negative"/>
    <s v="Negative"/>
    <s v="Accurate Prediction"/>
  </r>
  <r>
    <x v="0"/>
    <x v="45"/>
    <x v="19"/>
    <x v="28"/>
    <x v="12"/>
    <x v="35"/>
    <x v="67"/>
    <x v="6"/>
    <n v="1"/>
    <s v="Not Sampled"/>
    <n v="1891"/>
    <m/>
    <m/>
    <m/>
    <m/>
    <m/>
    <m/>
    <m/>
    <m/>
    <s v="Positive"/>
    <s v="Not Sampled"/>
    <s v="Not Sampled"/>
  </r>
  <r>
    <x v="7"/>
    <x v="4"/>
    <x v="11"/>
    <x v="0"/>
    <x v="32"/>
    <x v="24"/>
    <x v="68"/>
    <x v="25"/>
    <n v="0"/>
    <s v="Not Sampled"/>
    <n v="1892"/>
    <m/>
    <m/>
    <m/>
    <m/>
    <m/>
    <m/>
    <m/>
    <m/>
    <s v="Negative"/>
    <s v="Not Sampled"/>
    <s v="Not Sampled"/>
  </r>
  <r>
    <x v="13"/>
    <x v="51"/>
    <x v="8"/>
    <x v="2"/>
    <x v="0"/>
    <x v="59"/>
    <x v="69"/>
    <x v="8"/>
    <n v="1"/>
    <s v="Not Sampled"/>
    <n v="1893"/>
    <m/>
    <m/>
    <m/>
    <m/>
    <m/>
    <m/>
    <m/>
    <m/>
    <s v="Positive"/>
    <s v="Not Sampled"/>
    <s v="Not Sampled"/>
  </r>
  <r>
    <x v="3"/>
    <x v="52"/>
    <x v="24"/>
    <x v="28"/>
    <x v="33"/>
    <x v="60"/>
    <x v="70"/>
    <x v="1"/>
    <n v="0"/>
    <s v="Not Sampled"/>
    <n v="1894"/>
    <m/>
    <m/>
    <m/>
    <m/>
    <m/>
    <m/>
    <m/>
    <m/>
    <s v="Negative"/>
    <s v="Not Sampled"/>
    <s v="Not Sampled"/>
  </r>
  <r>
    <x v="2"/>
    <x v="53"/>
    <x v="25"/>
    <x v="8"/>
    <x v="0"/>
    <x v="61"/>
    <x v="71"/>
    <x v="11"/>
    <n v="0"/>
    <s v="Not Sampled"/>
    <n v="1895"/>
    <m/>
    <m/>
    <m/>
    <m/>
    <m/>
    <m/>
    <m/>
    <m/>
    <s v="Negative"/>
    <s v="Not Sampled"/>
    <s v="Not Sampled"/>
  </r>
  <r>
    <x v="2"/>
    <x v="18"/>
    <x v="26"/>
    <x v="28"/>
    <x v="0"/>
    <x v="62"/>
    <x v="72"/>
    <x v="11"/>
    <n v="0"/>
    <s v="Not Sampled"/>
    <n v="1896"/>
    <m/>
    <m/>
    <m/>
    <m/>
    <m/>
    <m/>
    <m/>
    <m/>
    <s v="Negative"/>
    <s v="Not Sampled"/>
    <s v="Not Sampled"/>
  </r>
  <r>
    <x v="8"/>
    <x v="54"/>
    <x v="4"/>
    <x v="2"/>
    <x v="0"/>
    <x v="63"/>
    <x v="73"/>
    <x v="17"/>
    <n v="0"/>
    <s v="Not Sampled"/>
    <n v="1897"/>
    <m/>
    <m/>
    <m/>
    <m/>
    <m/>
    <m/>
    <m/>
    <m/>
    <s v="Negative"/>
    <s v="Not Sampled"/>
    <s v="Not Sampled"/>
  </r>
  <r>
    <x v="7"/>
    <x v="50"/>
    <x v="5"/>
    <x v="12"/>
    <x v="0"/>
    <x v="50"/>
    <x v="74"/>
    <x v="23"/>
    <n v="0"/>
    <n v="0"/>
    <n v="1898"/>
    <m/>
    <m/>
    <m/>
    <m/>
    <m/>
    <m/>
    <m/>
    <m/>
    <s v="Negative"/>
    <s v="Negative"/>
    <s v="Accurate Prediction"/>
  </r>
  <r>
    <x v="1"/>
    <x v="55"/>
    <x v="2"/>
    <x v="2"/>
    <x v="0"/>
    <x v="64"/>
    <x v="58"/>
    <x v="25"/>
    <n v="1"/>
    <n v="1"/>
    <n v="1899"/>
    <m/>
    <m/>
    <m/>
    <m/>
    <m/>
    <m/>
    <m/>
    <m/>
    <s v="Positive"/>
    <s v="Positive"/>
    <s v="Accurate Prediction"/>
  </r>
  <r>
    <x v="0"/>
    <x v="56"/>
    <x v="19"/>
    <x v="29"/>
    <x v="0"/>
    <x v="26"/>
    <x v="75"/>
    <x v="3"/>
    <n v="0"/>
    <s v="Not Sampled"/>
    <n v="1900"/>
    <m/>
    <m/>
    <m/>
    <m/>
    <m/>
    <m/>
    <m/>
    <m/>
    <s v="Negative"/>
    <s v="Not Sampled"/>
    <s v="Not Sampled"/>
  </r>
  <r>
    <x v="5"/>
    <x v="57"/>
    <x v="27"/>
    <x v="27"/>
    <x v="0"/>
    <x v="65"/>
    <x v="72"/>
    <x v="11"/>
    <n v="0"/>
    <s v="Not Sampled"/>
    <n v="1901"/>
    <m/>
    <m/>
    <m/>
    <m/>
    <m/>
    <m/>
    <m/>
    <m/>
    <s v="Negative"/>
    <s v="Not Sampled"/>
    <s v="Not Sampled"/>
  </r>
  <r>
    <x v="0"/>
    <x v="58"/>
    <x v="2"/>
    <x v="2"/>
    <x v="0"/>
    <x v="12"/>
    <x v="76"/>
    <x v="11"/>
    <n v="0"/>
    <s v="Not Sampled"/>
    <n v="1902"/>
    <m/>
    <m/>
    <m/>
    <m/>
    <m/>
    <m/>
    <m/>
    <m/>
    <s v="Negative"/>
    <s v="Not Sampled"/>
    <s v="Not Sampled"/>
  </r>
  <r>
    <x v="8"/>
    <x v="8"/>
    <x v="4"/>
    <x v="16"/>
    <x v="10"/>
    <x v="17"/>
    <x v="77"/>
    <x v="31"/>
    <n v="0"/>
    <s v="Not Sampled"/>
    <n v="1903"/>
    <m/>
    <m/>
    <m/>
    <m/>
    <m/>
    <m/>
    <m/>
    <m/>
    <s v="Negative"/>
    <s v="Not Sampled"/>
    <s v="Not Sampled"/>
  </r>
  <r>
    <x v="1"/>
    <x v="39"/>
    <x v="7"/>
    <x v="7"/>
    <x v="0"/>
    <x v="66"/>
    <x v="78"/>
    <x v="11"/>
    <n v="0"/>
    <n v="0"/>
    <n v="1904"/>
    <m/>
    <m/>
    <m/>
    <m/>
    <m/>
    <m/>
    <m/>
    <m/>
    <s v="Negative"/>
    <s v="Negative"/>
    <s v="Accurate Prediction"/>
  </r>
  <r>
    <x v="7"/>
    <x v="59"/>
    <x v="28"/>
    <x v="2"/>
    <x v="0"/>
    <x v="67"/>
    <x v="79"/>
    <x v="26"/>
    <n v="1"/>
    <s v="Not Sampled"/>
    <n v="1905"/>
    <m/>
    <m/>
    <m/>
    <m/>
    <m/>
    <m/>
    <m/>
    <m/>
    <s v="Positive"/>
    <s v="Not Sampled"/>
    <s v="Not Sampled"/>
  </r>
  <r>
    <x v="0"/>
    <x v="13"/>
    <x v="10"/>
    <x v="30"/>
    <x v="1"/>
    <x v="68"/>
    <x v="80"/>
    <x v="23"/>
    <n v="0"/>
    <s v="Not Sampled"/>
    <n v="1906"/>
    <m/>
    <m/>
    <m/>
    <m/>
    <m/>
    <m/>
    <m/>
    <m/>
    <s v="Negative"/>
    <s v="Not Sampled"/>
    <s v="Not Sampled"/>
  </r>
  <r>
    <x v="13"/>
    <x v="33"/>
    <x v="5"/>
    <x v="31"/>
    <x v="0"/>
    <x v="69"/>
    <x v="81"/>
    <x v="10"/>
    <n v="0"/>
    <s v="Not Sampled"/>
    <n v="1907"/>
    <m/>
    <m/>
    <m/>
    <m/>
    <m/>
    <m/>
    <m/>
    <m/>
    <s v="Negative"/>
    <s v="Not Sampled"/>
    <s v="Not Sampled"/>
  </r>
  <r>
    <x v="0"/>
    <x v="45"/>
    <x v="3"/>
    <x v="14"/>
    <x v="10"/>
    <x v="70"/>
    <x v="82"/>
    <x v="25"/>
    <n v="0"/>
    <s v="Not Sampled"/>
    <n v="1908"/>
    <m/>
    <m/>
    <m/>
    <m/>
    <m/>
    <m/>
    <m/>
    <m/>
    <s v="Negative"/>
    <s v="Not Sampled"/>
    <s v="Not Sampled"/>
  </r>
  <r>
    <x v="14"/>
    <x v="60"/>
    <x v="9"/>
    <x v="5"/>
    <x v="27"/>
    <x v="36"/>
    <x v="83"/>
    <x v="33"/>
    <n v="1"/>
    <s v="Not Sampled"/>
    <n v="1909"/>
    <m/>
    <m/>
    <m/>
    <m/>
    <m/>
    <m/>
    <m/>
    <m/>
    <s v="Positive"/>
    <s v="Not Sampled"/>
    <s v="Not Sampled"/>
  </r>
  <r>
    <x v="2"/>
    <x v="61"/>
    <x v="3"/>
    <x v="13"/>
    <x v="0"/>
    <x v="71"/>
    <x v="84"/>
    <x v="3"/>
    <n v="0"/>
    <n v="0"/>
    <n v="1910"/>
    <m/>
    <m/>
    <m/>
    <m/>
    <m/>
    <m/>
    <m/>
    <m/>
    <s v="Negative"/>
    <s v="Negative"/>
    <s v="Accurate Prediction"/>
  </r>
  <r>
    <x v="2"/>
    <x v="11"/>
    <x v="29"/>
    <x v="2"/>
    <x v="0"/>
    <x v="72"/>
    <x v="61"/>
    <x v="4"/>
    <n v="0"/>
    <s v="Not Sampled"/>
    <n v="1911"/>
    <m/>
    <m/>
    <m/>
    <m/>
    <m/>
    <m/>
    <m/>
    <m/>
    <s v="Negative"/>
    <s v="Not Sampled"/>
    <s v="Not Sampled"/>
  </r>
  <r>
    <x v="3"/>
    <x v="62"/>
    <x v="6"/>
    <x v="11"/>
    <x v="34"/>
    <x v="61"/>
    <x v="85"/>
    <x v="34"/>
    <n v="0"/>
    <s v="Not Sampled"/>
    <n v="1912"/>
    <m/>
    <m/>
    <m/>
    <m/>
    <m/>
    <m/>
    <m/>
    <m/>
    <s v="Negative"/>
    <s v="Not Sampled"/>
    <s v="Not Sampled"/>
  </r>
  <r>
    <x v="8"/>
    <x v="14"/>
    <x v="4"/>
    <x v="32"/>
    <x v="35"/>
    <x v="73"/>
    <x v="86"/>
    <x v="8"/>
    <n v="0"/>
    <s v="Not Sampled"/>
    <n v="1913"/>
    <m/>
    <m/>
    <m/>
    <m/>
    <m/>
    <m/>
    <m/>
    <m/>
    <s v="Negative"/>
    <s v="Not Sampled"/>
    <s v="Not Sampled"/>
  </r>
  <r>
    <x v="3"/>
    <x v="63"/>
    <x v="5"/>
    <x v="2"/>
    <x v="0"/>
    <x v="74"/>
    <x v="87"/>
    <x v="35"/>
    <n v="1"/>
    <s v="Not Sampled"/>
    <n v="1914"/>
    <m/>
    <m/>
    <m/>
    <m/>
    <m/>
    <m/>
    <m/>
    <m/>
    <s v="Positive"/>
    <s v="Not Sampled"/>
    <s v="Not Sampled"/>
  </r>
  <r>
    <x v="0"/>
    <x v="64"/>
    <x v="1"/>
    <x v="10"/>
    <x v="36"/>
    <x v="62"/>
    <x v="88"/>
    <x v="4"/>
    <n v="0"/>
    <n v="0"/>
    <n v="1915"/>
    <m/>
    <m/>
    <m/>
    <m/>
    <m/>
    <m/>
    <m/>
    <m/>
    <s v="Negative"/>
    <s v="Negative"/>
    <s v="Accurate Prediction"/>
  </r>
  <r>
    <x v="6"/>
    <x v="65"/>
    <x v="5"/>
    <x v="21"/>
    <x v="37"/>
    <x v="75"/>
    <x v="89"/>
    <x v="18"/>
    <n v="0"/>
    <s v="Not Sampled"/>
    <n v="1916"/>
    <m/>
    <m/>
    <m/>
    <m/>
    <m/>
    <m/>
    <m/>
    <m/>
    <s v="Negative"/>
    <s v="Not Sampled"/>
    <s v="Not Sampled"/>
  </r>
  <r>
    <x v="0"/>
    <x v="66"/>
    <x v="0"/>
    <x v="7"/>
    <x v="0"/>
    <x v="31"/>
    <x v="90"/>
    <x v="3"/>
    <n v="0"/>
    <n v="0"/>
    <n v="1917"/>
    <m/>
    <m/>
    <m/>
    <m/>
    <m/>
    <m/>
    <m/>
    <m/>
    <s v="Negative"/>
    <s v="Negative"/>
    <s v="Accurate Prediction"/>
  </r>
  <r>
    <x v="2"/>
    <x v="37"/>
    <x v="26"/>
    <x v="10"/>
    <x v="7"/>
    <x v="76"/>
    <x v="91"/>
    <x v="11"/>
    <n v="0"/>
    <s v="Not Sampled"/>
    <n v="1918"/>
    <m/>
    <m/>
    <m/>
    <m/>
    <m/>
    <m/>
    <m/>
    <m/>
    <s v="Negative"/>
    <s v="Not Sampled"/>
    <s v="Not Sampled"/>
  </r>
  <r>
    <x v="6"/>
    <x v="67"/>
    <x v="13"/>
    <x v="8"/>
    <x v="36"/>
    <x v="77"/>
    <x v="92"/>
    <x v="1"/>
    <n v="0"/>
    <n v="0"/>
    <n v="1919"/>
    <m/>
    <m/>
    <m/>
    <m/>
    <m/>
    <m/>
    <m/>
    <m/>
    <s v="Negative"/>
    <s v="Negative"/>
    <s v="Accurate Prediction"/>
  </r>
  <r>
    <x v="2"/>
    <x v="27"/>
    <x v="8"/>
    <x v="33"/>
    <x v="38"/>
    <x v="78"/>
    <x v="93"/>
    <x v="2"/>
    <n v="1"/>
    <s v="Not Sampled"/>
    <n v="1920"/>
    <m/>
    <m/>
    <m/>
    <m/>
    <m/>
    <m/>
    <m/>
    <m/>
    <s v="Positive"/>
    <s v="Not Sampled"/>
    <s v="Not Sampled"/>
  </r>
  <r>
    <x v="2"/>
    <x v="26"/>
    <x v="5"/>
    <x v="2"/>
    <x v="0"/>
    <x v="20"/>
    <x v="94"/>
    <x v="9"/>
    <n v="1"/>
    <s v="Not Sampled"/>
    <n v="1921"/>
    <m/>
    <m/>
    <m/>
    <m/>
    <m/>
    <m/>
    <m/>
    <m/>
    <s v="Positive"/>
    <s v="Not Sampled"/>
    <s v="Not Sampled"/>
  </r>
  <r>
    <x v="2"/>
    <x v="68"/>
    <x v="12"/>
    <x v="2"/>
    <x v="0"/>
    <x v="7"/>
    <x v="95"/>
    <x v="11"/>
    <n v="0"/>
    <s v="Not Sampled"/>
    <n v="1922"/>
    <m/>
    <m/>
    <m/>
    <m/>
    <m/>
    <m/>
    <m/>
    <m/>
    <s v="Negative"/>
    <s v="Not Sampled"/>
    <s v="Not Sampled"/>
  </r>
  <r>
    <x v="1"/>
    <x v="10"/>
    <x v="30"/>
    <x v="2"/>
    <x v="0"/>
    <x v="79"/>
    <x v="96"/>
    <x v="4"/>
    <n v="0"/>
    <s v="Not Sampled"/>
    <n v="1923"/>
    <m/>
    <m/>
    <m/>
    <m/>
    <m/>
    <m/>
    <m/>
    <m/>
    <s v="Negative"/>
    <s v="Not Sampled"/>
    <s v="Not Sampled"/>
  </r>
  <r>
    <x v="2"/>
    <x v="14"/>
    <x v="5"/>
    <x v="10"/>
    <x v="39"/>
    <x v="13"/>
    <x v="97"/>
    <x v="3"/>
    <n v="0"/>
    <s v="Not Sampled"/>
    <n v="1924"/>
    <m/>
    <m/>
    <m/>
    <m/>
    <m/>
    <m/>
    <m/>
    <m/>
    <s v="Negative"/>
    <s v="Not Sampled"/>
    <s v="Not Sampled"/>
  </r>
  <r>
    <x v="0"/>
    <x v="69"/>
    <x v="7"/>
    <x v="2"/>
    <x v="0"/>
    <x v="80"/>
    <x v="98"/>
    <x v="23"/>
    <n v="0"/>
    <s v="Not Sampled"/>
    <n v="1925"/>
    <m/>
    <m/>
    <m/>
    <m/>
    <m/>
    <m/>
    <m/>
    <m/>
    <s v="Negative"/>
    <s v="Not Sampled"/>
    <s v="Not Sampled"/>
  </r>
  <r>
    <x v="2"/>
    <x v="51"/>
    <x v="20"/>
    <x v="30"/>
    <x v="40"/>
    <x v="77"/>
    <x v="99"/>
    <x v="4"/>
    <n v="0"/>
    <n v="0"/>
    <n v="1926"/>
    <m/>
    <m/>
    <m/>
    <m/>
    <m/>
    <m/>
    <m/>
    <m/>
    <s v="Negative"/>
    <s v="Negative"/>
    <s v="Accurate Prediction"/>
  </r>
  <r>
    <x v="2"/>
    <x v="20"/>
    <x v="31"/>
    <x v="2"/>
    <x v="0"/>
    <x v="65"/>
    <x v="28"/>
    <x v="23"/>
    <n v="0"/>
    <s v="Not Sampled"/>
    <n v="1927"/>
    <m/>
    <m/>
    <m/>
    <m/>
    <m/>
    <m/>
    <m/>
    <m/>
    <s v="Negative"/>
    <s v="Not Sampled"/>
    <s v="Not Sampled"/>
  </r>
  <r>
    <x v="3"/>
    <x v="65"/>
    <x v="22"/>
    <x v="7"/>
    <x v="32"/>
    <x v="81"/>
    <x v="100"/>
    <x v="26"/>
    <n v="0"/>
    <s v="Not Sampled"/>
    <n v="1928"/>
    <m/>
    <m/>
    <m/>
    <m/>
    <m/>
    <m/>
    <m/>
    <m/>
    <s v="Negative"/>
    <s v="Not Sampled"/>
    <s v="Not Sampled"/>
  </r>
  <r>
    <x v="5"/>
    <x v="8"/>
    <x v="22"/>
    <x v="1"/>
    <x v="41"/>
    <x v="82"/>
    <x v="101"/>
    <x v="14"/>
    <n v="0"/>
    <s v="Not Sampled"/>
    <n v="1929"/>
    <m/>
    <m/>
    <m/>
    <m/>
    <m/>
    <m/>
    <m/>
    <m/>
    <s v="Negative"/>
    <s v="Not Sampled"/>
    <s v="Not Sampled"/>
  </r>
  <r>
    <x v="1"/>
    <x v="50"/>
    <x v="23"/>
    <x v="14"/>
    <x v="22"/>
    <x v="83"/>
    <x v="102"/>
    <x v="3"/>
    <n v="1"/>
    <n v="0"/>
    <n v="1930"/>
    <m/>
    <m/>
    <m/>
    <m/>
    <m/>
    <m/>
    <m/>
    <m/>
    <s v="Positive"/>
    <s v="Negative"/>
    <s v="Inaccurate Prediction"/>
  </r>
  <r>
    <x v="5"/>
    <x v="34"/>
    <x v="5"/>
    <x v="12"/>
    <x v="42"/>
    <x v="21"/>
    <x v="103"/>
    <x v="3"/>
    <n v="1"/>
    <s v="Not Sampled"/>
    <n v="1931"/>
    <m/>
    <m/>
    <m/>
    <m/>
    <m/>
    <m/>
    <m/>
    <m/>
    <s v="Positive"/>
    <s v="Not Sampled"/>
    <s v="Not Sampled"/>
  </r>
  <r>
    <x v="4"/>
    <x v="70"/>
    <x v="0"/>
    <x v="16"/>
    <x v="43"/>
    <x v="37"/>
    <x v="104"/>
    <x v="22"/>
    <n v="1"/>
    <s v="Not Sampled"/>
    <n v="1932"/>
    <m/>
    <m/>
    <m/>
    <m/>
    <m/>
    <m/>
    <m/>
    <m/>
    <s v="Positive"/>
    <s v="Not Sampled"/>
    <s v="Not Sampled"/>
  </r>
  <r>
    <x v="2"/>
    <x v="9"/>
    <x v="15"/>
    <x v="24"/>
    <x v="44"/>
    <x v="84"/>
    <x v="105"/>
    <x v="1"/>
    <n v="0"/>
    <s v="Not Sampled"/>
    <n v="1933"/>
    <m/>
    <m/>
    <m/>
    <m/>
    <m/>
    <m/>
    <m/>
    <m/>
    <s v="Negative"/>
    <s v="Not Sampled"/>
    <s v="Not Sampled"/>
  </r>
  <r>
    <x v="3"/>
    <x v="71"/>
    <x v="0"/>
    <x v="2"/>
    <x v="0"/>
    <x v="37"/>
    <x v="73"/>
    <x v="14"/>
    <n v="0"/>
    <s v="Not Sampled"/>
    <n v="1934"/>
    <m/>
    <m/>
    <m/>
    <m/>
    <m/>
    <m/>
    <m/>
    <m/>
    <s v="Negative"/>
    <s v="Not Sampled"/>
    <s v="Not Sampled"/>
  </r>
  <r>
    <x v="8"/>
    <x v="72"/>
    <x v="14"/>
    <x v="5"/>
    <x v="45"/>
    <x v="85"/>
    <x v="106"/>
    <x v="16"/>
    <n v="1"/>
    <s v="Not Sampled"/>
    <n v="1935"/>
    <m/>
    <m/>
    <m/>
    <m/>
    <m/>
    <m/>
    <m/>
    <m/>
    <s v="Positive"/>
    <s v="Not Sampled"/>
    <s v="Not Sampled"/>
  </r>
  <r>
    <x v="3"/>
    <x v="36"/>
    <x v="17"/>
    <x v="2"/>
    <x v="0"/>
    <x v="84"/>
    <x v="107"/>
    <x v="36"/>
    <n v="1"/>
    <s v="Not Sampled"/>
    <n v="1936"/>
    <m/>
    <m/>
    <m/>
    <m/>
    <m/>
    <m/>
    <m/>
    <m/>
    <s v="Positive"/>
    <s v="Not Sampled"/>
    <s v="Not Sampled"/>
  </r>
  <r>
    <x v="7"/>
    <x v="73"/>
    <x v="10"/>
    <x v="2"/>
    <x v="0"/>
    <x v="37"/>
    <x v="108"/>
    <x v="19"/>
    <n v="1"/>
    <s v="Not Sampled"/>
    <n v="1937"/>
    <m/>
    <m/>
    <m/>
    <m/>
    <m/>
    <m/>
    <m/>
    <m/>
    <s v="Positive"/>
    <s v="Not Sampled"/>
    <s v="Not Sampled"/>
  </r>
  <r>
    <x v="7"/>
    <x v="74"/>
    <x v="26"/>
    <x v="2"/>
    <x v="0"/>
    <x v="47"/>
    <x v="109"/>
    <x v="14"/>
    <n v="0"/>
    <s v="Not Sampled"/>
    <n v="1938"/>
    <m/>
    <m/>
    <m/>
    <m/>
    <m/>
    <m/>
    <m/>
    <m/>
    <s v="Negative"/>
    <s v="Not Sampled"/>
    <s v="Not Sampled"/>
  </r>
  <r>
    <x v="3"/>
    <x v="75"/>
    <x v="12"/>
    <x v="17"/>
    <x v="0"/>
    <x v="86"/>
    <x v="85"/>
    <x v="11"/>
    <n v="0"/>
    <n v="0"/>
    <n v="1939"/>
    <m/>
    <m/>
    <m/>
    <m/>
    <m/>
    <m/>
    <m/>
    <m/>
    <s v="Negative"/>
    <s v="Negative"/>
    <s v="Accurate Prediction"/>
  </r>
  <r>
    <x v="3"/>
    <x v="6"/>
    <x v="15"/>
    <x v="11"/>
    <x v="46"/>
    <x v="87"/>
    <x v="110"/>
    <x v="4"/>
    <n v="0"/>
    <s v="Not Sampled"/>
    <n v="1940"/>
    <m/>
    <m/>
    <m/>
    <m/>
    <m/>
    <m/>
    <m/>
    <m/>
    <s v="Negative"/>
    <s v="Not Sampled"/>
    <s v="Not Sampled"/>
  </r>
  <r>
    <x v="1"/>
    <x v="76"/>
    <x v="15"/>
    <x v="34"/>
    <x v="31"/>
    <x v="88"/>
    <x v="111"/>
    <x v="14"/>
    <n v="1"/>
    <s v="Not Sampled"/>
    <n v="1941"/>
    <m/>
    <m/>
    <m/>
    <m/>
    <m/>
    <m/>
    <m/>
    <m/>
    <s v="Positive"/>
    <s v="Not Sampled"/>
    <s v="Not Sampled"/>
  </r>
  <r>
    <x v="6"/>
    <x v="31"/>
    <x v="11"/>
    <x v="15"/>
    <x v="0"/>
    <x v="89"/>
    <x v="112"/>
    <x v="3"/>
    <n v="0"/>
    <n v="0"/>
    <n v="1942"/>
    <m/>
    <m/>
    <m/>
    <m/>
    <m/>
    <m/>
    <m/>
    <m/>
    <s v="Negative"/>
    <s v="Negative"/>
    <s v="Accurate Prediction"/>
  </r>
  <r>
    <x v="0"/>
    <x v="61"/>
    <x v="10"/>
    <x v="8"/>
    <x v="31"/>
    <x v="0"/>
    <x v="113"/>
    <x v="1"/>
    <n v="0"/>
    <s v="Not Sampled"/>
    <n v="1943"/>
    <m/>
    <m/>
    <m/>
    <m/>
    <m/>
    <m/>
    <m/>
    <m/>
    <s v="Negative"/>
    <s v="Not Sampled"/>
    <s v="Not Sampled"/>
  </r>
  <r>
    <x v="7"/>
    <x v="77"/>
    <x v="6"/>
    <x v="2"/>
    <x v="0"/>
    <x v="90"/>
    <x v="114"/>
    <x v="37"/>
    <n v="0"/>
    <n v="0"/>
    <n v="1944"/>
    <m/>
    <m/>
    <m/>
    <m/>
    <m/>
    <m/>
    <m/>
    <m/>
    <s v="Negative"/>
    <s v="Negative"/>
    <s v="Accurate Prediction"/>
  </r>
  <r>
    <x v="1"/>
    <x v="57"/>
    <x v="15"/>
    <x v="2"/>
    <x v="0"/>
    <x v="21"/>
    <x v="115"/>
    <x v="1"/>
    <n v="1"/>
    <s v="Not Sampled"/>
    <n v="1945"/>
    <m/>
    <m/>
    <m/>
    <m/>
    <m/>
    <m/>
    <m/>
    <m/>
    <s v="Positive"/>
    <s v="Not Sampled"/>
    <s v="Not Sampled"/>
  </r>
  <r>
    <x v="2"/>
    <x v="40"/>
    <x v="32"/>
    <x v="3"/>
    <x v="47"/>
    <x v="91"/>
    <x v="116"/>
    <x v="25"/>
    <n v="1"/>
    <n v="0"/>
    <n v="1946"/>
    <m/>
    <m/>
    <m/>
    <m/>
    <m/>
    <m/>
    <m/>
    <m/>
    <s v="Positive"/>
    <s v="Negative"/>
    <s v="Inaccurate Prediction"/>
  </r>
  <r>
    <x v="5"/>
    <x v="24"/>
    <x v="9"/>
    <x v="8"/>
    <x v="42"/>
    <x v="92"/>
    <x v="117"/>
    <x v="13"/>
    <n v="0"/>
    <n v="0"/>
    <n v="1947"/>
    <m/>
    <m/>
    <m/>
    <m/>
    <m/>
    <m/>
    <m/>
    <m/>
    <s v="Negative"/>
    <s v="Negative"/>
    <s v="Accurate Prediction"/>
  </r>
  <r>
    <x v="2"/>
    <x v="78"/>
    <x v="22"/>
    <x v="35"/>
    <x v="48"/>
    <x v="21"/>
    <x v="86"/>
    <x v="1"/>
    <n v="0"/>
    <s v="Not Sampled"/>
    <n v="1948"/>
    <m/>
    <m/>
    <m/>
    <m/>
    <m/>
    <m/>
    <m/>
    <m/>
    <s v="Negative"/>
    <s v="Not Sampled"/>
    <s v="Not Sampled"/>
  </r>
  <r>
    <x v="2"/>
    <x v="17"/>
    <x v="21"/>
    <x v="20"/>
    <x v="8"/>
    <x v="93"/>
    <x v="118"/>
    <x v="18"/>
    <n v="1"/>
    <s v="Not Sampled"/>
    <n v="1949"/>
    <m/>
    <m/>
    <m/>
    <m/>
    <m/>
    <m/>
    <m/>
    <m/>
    <s v="Positive"/>
    <s v="Not Sampled"/>
    <s v="Not Sampled"/>
  </r>
  <r>
    <x v="1"/>
    <x v="38"/>
    <x v="16"/>
    <x v="2"/>
    <x v="0"/>
    <x v="94"/>
    <x v="119"/>
    <x v="38"/>
    <n v="1"/>
    <n v="0"/>
    <n v="1950"/>
    <m/>
    <m/>
    <m/>
    <m/>
    <m/>
    <m/>
    <m/>
    <m/>
    <s v="Positive"/>
    <s v="Negative"/>
    <s v="Inaccurate Prediction"/>
  </r>
  <r>
    <x v="3"/>
    <x v="5"/>
    <x v="9"/>
    <x v="36"/>
    <x v="49"/>
    <x v="27"/>
    <x v="120"/>
    <x v="9"/>
    <n v="1"/>
    <s v="Not Sampled"/>
    <n v="1951"/>
    <m/>
    <m/>
    <m/>
    <m/>
    <m/>
    <m/>
    <m/>
    <m/>
    <s v="Positive"/>
    <s v="Not Sampled"/>
    <s v="Not Sampled"/>
  </r>
  <r>
    <x v="11"/>
    <x v="27"/>
    <x v="20"/>
    <x v="2"/>
    <x v="0"/>
    <x v="21"/>
    <x v="121"/>
    <x v="9"/>
    <n v="1"/>
    <s v="Not Sampled"/>
    <n v="1952"/>
    <m/>
    <m/>
    <m/>
    <m/>
    <m/>
    <m/>
    <m/>
    <m/>
    <s v="Positive"/>
    <s v="Not Sampled"/>
    <s v="Not Sampled"/>
  </r>
  <r>
    <x v="5"/>
    <x v="79"/>
    <x v="11"/>
    <x v="18"/>
    <x v="50"/>
    <x v="93"/>
    <x v="92"/>
    <x v="13"/>
    <n v="1"/>
    <s v="Not Sampled"/>
    <n v="1953"/>
    <m/>
    <m/>
    <m/>
    <m/>
    <m/>
    <m/>
    <m/>
    <m/>
    <s v="Positive"/>
    <s v="Not Sampled"/>
    <s v="Not Sampled"/>
  </r>
  <r>
    <x v="4"/>
    <x v="1"/>
    <x v="10"/>
    <x v="1"/>
    <x v="0"/>
    <x v="95"/>
    <x v="122"/>
    <x v="16"/>
    <n v="0"/>
    <n v="0"/>
    <n v="1954"/>
    <m/>
    <m/>
    <m/>
    <m/>
    <m/>
    <m/>
    <m/>
    <m/>
    <s v="Negative"/>
    <s v="Negative"/>
    <s v="Accurate Prediction"/>
  </r>
  <r>
    <x v="0"/>
    <x v="20"/>
    <x v="3"/>
    <x v="27"/>
    <x v="51"/>
    <x v="96"/>
    <x v="123"/>
    <x v="25"/>
    <n v="0"/>
    <s v="Not Sampled"/>
    <n v="1955"/>
    <m/>
    <m/>
    <m/>
    <m/>
    <m/>
    <m/>
    <m/>
    <m/>
    <s v="Negative"/>
    <s v="Not Sampled"/>
    <s v="Not Sampled"/>
  </r>
  <r>
    <x v="0"/>
    <x v="10"/>
    <x v="12"/>
    <x v="28"/>
    <x v="32"/>
    <x v="97"/>
    <x v="124"/>
    <x v="2"/>
    <n v="0"/>
    <n v="0"/>
    <n v="1956"/>
    <m/>
    <m/>
    <m/>
    <m/>
    <m/>
    <m/>
    <m/>
    <m/>
    <s v="Negative"/>
    <s v="Negative"/>
    <s v="Accurate Prediction"/>
  </r>
  <r>
    <x v="1"/>
    <x v="45"/>
    <x v="9"/>
    <x v="16"/>
    <x v="52"/>
    <x v="98"/>
    <x v="125"/>
    <x v="4"/>
    <n v="0"/>
    <s v="Not Sampled"/>
    <n v="1957"/>
    <m/>
    <m/>
    <m/>
    <m/>
    <m/>
    <m/>
    <m/>
    <m/>
    <s v="Negative"/>
    <s v="Not Sampled"/>
    <s v="Not Sampled"/>
  </r>
  <r>
    <x v="1"/>
    <x v="67"/>
    <x v="12"/>
    <x v="14"/>
    <x v="53"/>
    <x v="77"/>
    <x v="126"/>
    <x v="11"/>
    <n v="0"/>
    <s v="Not Sampled"/>
    <n v="1958"/>
    <m/>
    <m/>
    <m/>
    <m/>
    <m/>
    <m/>
    <m/>
    <m/>
    <s v="Negative"/>
    <s v="Not Sampled"/>
    <s v="Not Sampled"/>
  </r>
  <r>
    <x v="1"/>
    <x v="52"/>
    <x v="6"/>
    <x v="2"/>
    <x v="0"/>
    <x v="84"/>
    <x v="127"/>
    <x v="29"/>
    <n v="0"/>
    <s v="Not Sampled"/>
    <n v="1959"/>
    <m/>
    <m/>
    <m/>
    <m/>
    <m/>
    <m/>
    <m/>
    <m/>
    <s v="Negative"/>
    <s v="Not Sampled"/>
    <s v="Not Sampled"/>
  </r>
  <r>
    <x v="7"/>
    <x v="38"/>
    <x v="5"/>
    <x v="30"/>
    <x v="54"/>
    <x v="99"/>
    <x v="128"/>
    <x v="6"/>
    <n v="0"/>
    <n v="0"/>
    <n v="1960"/>
    <m/>
    <m/>
    <m/>
    <m/>
    <m/>
    <m/>
    <m/>
    <m/>
    <s v="Negative"/>
    <s v="Negative"/>
    <s v="Accurate Prediction"/>
  </r>
  <r>
    <x v="5"/>
    <x v="80"/>
    <x v="4"/>
    <x v="2"/>
    <x v="0"/>
    <x v="96"/>
    <x v="32"/>
    <x v="15"/>
    <n v="0"/>
    <s v="Not Sampled"/>
    <n v="1961"/>
    <m/>
    <m/>
    <m/>
    <m/>
    <m/>
    <m/>
    <m/>
    <m/>
    <s v="Negative"/>
    <s v="Not Sampled"/>
    <s v="Not Sampled"/>
  </r>
  <r>
    <x v="7"/>
    <x v="33"/>
    <x v="1"/>
    <x v="8"/>
    <x v="0"/>
    <x v="100"/>
    <x v="129"/>
    <x v="19"/>
    <n v="0"/>
    <s v="Not Sampled"/>
    <n v="1962"/>
    <m/>
    <m/>
    <m/>
    <m/>
    <m/>
    <m/>
    <m/>
    <m/>
    <s v="Negative"/>
    <s v="Not Sampled"/>
    <s v="Not Sampled"/>
  </r>
  <r>
    <x v="0"/>
    <x v="81"/>
    <x v="33"/>
    <x v="16"/>
    <x v="55"/>
    <x v="56"/>
    <x v="130"/>
    <x v="11"/>
    <n v="0"/>
    <s v="Not Sampled"/>
    <n v="1963"/>
    <m/>
    <m/>
    <m/>
    <m/>
    <m/>
    <m/>
    <m/>
    <m/>
    <s v="Negative"/>
    <s v="Not Sampled"/>
    <s v="Not Sampled"/>
  </r>
  <r>
    <x v="9"/>
    <x v="81"/>
    <x v="19"/>
    <x v="2"/>
    <x v="0"/>
    <x v="68"/>
    <x v="131"/>
    <x v="8"/>
    <n v="1"/>
    <s v="Not Sampled"/>
    <n v="1964"/>
    <m/>
    <m/>
    <m/>
    <m/>
    <m/>
    <m/>
    <m/>
    <m/>
    <s v="Positive"/>
    <s v="Not Sampled"/>
    <s v="Not Sampled"/>
  </r>
  <r>
    <x v="3"/>
    <x v="16"/>
    <x v="0"/>
    <x v="1"/>
    <x v="56"/>
    <x v="10"/>
    <x v="78"/>
    <x v="1"/>
    <n v="0"/>
    <s v="Not Sampled"/>
    <n v="1965"/>
    <m/>
    <m/>
    <m/>
    <m/>
    <m/>
    <m/>
    <m/>
    <m/>
    <s v="Negative"/>
    <s v="Not Sampled"/>
    <s v="Not Sampled"/>
  </r>
  <r>
    <x v="1"/>
    <x v="29"/>
    <x v="25"/>
    <x v="17"/>
    <x v="0"/>
    <x v="12"/>
    <x v="132"/>
    <x v="4"/>
    <n v="0"/>
    <s v="Not Sampled"/>
    <n v="1966"/>
    <m/>
    <m/>
    <m/>
    <m/>
    <m/>
    <m/>
    <m/>
    <m/>
    <s v="Negative"/>
    <s v="Not Sampled"/>
    <s v="Not Sampled"/>
  </r>
  <r>
    <x v="11"/>
    <x v="82"/>
    <x v="6"/>
    <x v="18"/>
    <x v="0"/>
    <x v="10"/>
    <x v="133"/>
    <x v="17"/>
    <n v="0"/>
    <s v="Not Sampled"/>
    <n v="1967"/>
    <m/>
    <m/>
    <m/>
    <m/>
    <m/>
    <m/>
    <m/>
    <m/>
    <s v="Negative"/>
    <s v="Not Sampled"/>
    <s v="Not Sampled"/>
  </r>
  <r>
    <x v="0"/>
    <x v="33"/>
    <x v="11"/>
    <x v="0"/>
    <x v="57"/>
    <x v="85"/>
    <x v="134"/>
    <x v="34"/>
    <n v="0"/>
    <s v="Not Sampled"/>
    <n v="1968"/>
    <m/>
    <m/>
    <m/>
    <m/>
    <m/>
    <m/>
    <m/>
    <m/>
    <s v="Negative"/>
    <s v="Not Sampled"/>
    <s v="Not Sampled"/>
  </r>
  <r>
    <x v="7"/>
    <x v="83"/>
    <x v="4"/>
    <x v="2"/>
    <x v="0"/>
    <x v="47"/>
    <x v="135"/>
    <x v="39"/>
    <n v="0"/>
    <s v="Not Sampled"/>
    <n v="1969"/>
    <m/>
    <m/>
    <m/>
    <m/>
    <m/>
    <m/>
    <m/>
    <m/>
    <s v="Negative"/>
    <s v="Not Sampled"/>
    <s v="Not Sampled"/>
  </r>
  <r>
    <x v="0"/>
    <x v="30"/>
    <x v="9"/>
    <x v="6"/>
    <x v="0"/>
    <x v="30"/>
    <x v="136"/>
    <x v="11"/>
    <n v="0"/>
    <s v="Not Sampled"/>
    <n v="1970"/>
    <m/>
    <m/>
    <m/>
    <m/>
    <m/>
    <m/>
    <m/>
    <m/>
    <s v="Negative"/>
    <s v="Not Sampled"/>
    <s v="Not Sampled"/>
  </r>
  <r>
    <x v="2"/>
    <x v="60"/>
    <x v="10"/>
    <x v="37"/>
    <x v="58"/>
    <x v="83"/>
    <x v="137"/>
    <x v="3"/>
    <n v="0"/>
    <n v="0"/>
    <n v="1971"/>
    <m/>
    <m/>
    <m/>
    <m/>
    <m/>
    <m/>
    <m/>
    <m/>
    <s v="Negative"/>
    <s v="Negative"/>
    <s v="Accurate Prediction"/>
  </r>
  <r>
    <x v="3"/>
    <x v="48"/>
    <x v="7"/>
    <x v="2"/>
    <x v="0"/>
    <x v="101"/>
    <x v="138"/>
    <x v="26"/>
    <n v="0"/>
    <n v="0"/>
    <n v="1972"/>
    <m/>
    <m/>
    <m/>
    <m/>
    <m/>
    <m/>
    <m/>
    <m/>
    <s v="Negative"/>
    <s v="Negative"/>
    <s v="Accurate Prediction"/>
  </r>
  <r>
    <x v="11"/>
    <x v="84"/>
    <x v="24"/>
    <x v="7"/>
    <x v="59"/>
    <x v="82"/>
    <x v="139"/>
    <x v="8"/>
    <n v="1"/>
    <s v="Not Sampled"/>
    <n v="1973"/>
    <m/>
    <m/>
    <m/>
    <m/>
    <m/>
    <m/>
    <m/>
    <m/>
    <s v="Positive"/>
    <s v="Not Sampled"/>
    <s v="Not Sampled"/>
  </r>
  <r>
    <x v="2"/>
    <x v="85"/>
    <x v="1"/>
    <x v="3"/>
    <x v="60"/>
    <x v="102"/>
    <x v="140"/>
    <x v="1"/>
    <n v="0"/>
    <s v="Not Sampled"/>
    <n v="1974"/>
    <m/>
    <m/>
    <m/>
    <m/>
    <m/>
    <m/>
    <m/>
    <m/>
    <s v="Negative"/>
    <s v="Not Sampled"/>
    <s v="Not Sampled"/>
  </r>
  <r>
    <x v="4"/>
    <x v="86"/>
    <x v="4"/>
    <x v="2"/>
    <x v="0"/>
    <x v="103"/>
    <x v="141"/>
    <x v="33"/>
    <n v="1"/>
    <n v="1"/>
    <n v="1975"/>
    <m/>
    <m/>
    <m/>
    <m/>
    <m/>
    <m/>
    <m/>
    <m/>
    <s v="Positive"/>
    <s v="Positive"/>
    <s v="Accurate Prediction"/>
  </r>
  <r>
    <x v="8"/>
    <x v="87"/>
    <x v="21"/>
    <x v="38"/>
    <x v="0"/>
    <x v="104"/>
    <x v="142"/>
    <x v="31"/>
    <n v="1"/>
    <s v="Not Sampled"/>
    <n v="1976"/>
    <m/>
    <m/>
    <m/>
    <m/>
    <m/>
    <m/>
    <m/>
    <m/>
    <s v="Positive"/>
    <s v="Not Sampled"/>
    <s v="Not Sampled"/>
  </r>
  <r>
    <x v="0"/>
    <x v="6"/>
    <x v="33"/>
    <x v="11"/>
    <x v="48"/>
    <x v="66"/>
    <x v="143"/>
    <x v="4"/>
    <n v="0"/>
    <n v="0"/>
    <n v="1977"/>
    <m/>
    <m/>
    <m/>
    <m/>
    <m/>
    <m/>
    <m/>
    <m/>
    <s v="Negative"/>
    <s v="Negative"/>
    <s v="Accurate Prediction"/>
  </r>
  <r>
    <x v="2"/>
    <x v="49"/>
    <x v="20"/>
    <x v="23"/>
    <x v="42"/>
    <x v="18"/>
    <x v="144"/>
    <x v="1"/>
    <n v="0"/>
    <s v="Not Sampled"/>
    <n v="1978"/>
    <m/>
    <m/>
    <m/>
    <m/>
    <m/>
    <m/>
    <m/>
    <m/>
    <s v="Negative"/>
    <s v="Not Sampled"/>
    <s v="Not Sampled"/>
  </r>
  <r>
    <x v="0"/>
    <x v="40"/>
    <x v="10"/>
    <x v="13"/>
    <x v="61"/>
    <x v="55"/>
    <x v="145"/>
    <x v="11"/>
    <n v="0"/>
    <s v="Not Sampled"/>
    <n v="1979"/>
    <m/>
    <m/>
    <m/>
    <m/>
    <m/>
    <m/>
    <m/>
    <m/>
    <s v="Negative"/>
    <s v="Not Sampled"/>
    <s v="Not Sampled"/>
  </r>
  <r>
    <x v="15"/>
    <x v="26"/>
    <x v="5"/>
    <x v="4"/>
    <x v="62"/>
    <x v="105"/>
    <x v="146"/>
    <x v="0"/>
    <n v="1"/>
    <s v="Not Sampled"/>
    <n v="1980"/>
    <m/>
    <m/>
    <m/>
    <m/>
    <m/>
    <m/>
    <m/>
    <m/>
    <s v="Positive"/>
    <s v="Not Sampled"/>
    <s v="Not Sampled"/>
  </r>
  <r>
    <x v="3"/>
    <x v="68"/>
    <x v="8"/>
    <x v="9"/>
    <x v="0"/>
    <x v="27"/>
    <x v="6"/>
    <x v="31"/>
    <n v="0"/>
    <s v="Not Sampled"/>
    <n v="1981"/>
    <m/>
    <m/>
    <m/>
    <m/>
    <m/>
    <m/>
    <m/>
    <m/>
    <s v="Negative"/>
    <s v="Not Sampled"/>
    <s v="Not Sampled"/>
  </r>
  <r>
    <x v="8"/>
    <x v="29"/>
    <x v="10"/>
    <x v="32"/>
    <x v="16"/>
    <x v="19"/>
    <x v="147"/>
    <x v="10"/>
    <n v="0"/>
    <s v="Not Sampled"/>
    <n v="1982"/>
    <m/>
    <m/>
    <m/>
    <m/>
    <m/>
    <m/>
    <m/>
    <m/>
    <s v="Negative"/>
    <s v="Not Sampled"/>
    <s v="Not Sampled"/>
  </r>
  <r>
    <x v="1"/>
    <x v="48"/>
    <x v="6"/>
    <x v="24"/>
    <x v="63"/>
    <x v="2"/>
    <x v="148"/>
    <x v="23"/>
    <n v="0"/>
    <n v="0"/>
    <n v="1983"/>
    <m/>
    <m/>
    <m/>
    <m/>
    <m/>
    <m/>
    <m/>
    <m/>
    <s v="Negative"/>
    <s v="Negative"/>
    <s v="Accurate Prediction"/>
  </r>
  <r>
    <x v="0"/>
    <x v="45"/>
    <x v="11"/>
    <x v="17"/>
    <x v="0"/>
    <x v="27"/>
    <x v="149"/>
    <x v="4"/>
    <n v="0"/>
    <s v="Not Sampled"/>
    <n v="1984"/>
    <m/>
    <m/>
    <m/>
    <m/>
    <m/>
    <m/>
    <m/>
    <m/>
    <s v="Negative"/>
    <s v="Not Sampled"/>
    <s v="Not Sampled"/>
  </r>
  <r>
    <x v="1"/>
    <x v="55"/>
    <x v="21"/>
    <x v="2"/>
    <x v="0"/>
    <x v="31"/>
    <x v="150"/>
    <x v="32"/>
    <n v="1"/>
    <n v="0"/>
    <n v="1985"/>
    <m/>
    <m/>
    <m/>
    <m/>
    <m/>
    <m/>
    <m/>
    <m/>
    <s v="Positive"/>
    <s v="Negative"/>
    <s v="Inaccurate Prediction"/>
  </r>
  <r>
    <x v="6"/>
    <x v="88"/>
    <x v="10"/>
    <x v="10"/>
    <x v="64"/>
    <x v="106"/>
    <x v="151"/>
    <x v="17"/>
    <n v="1"/>
    <n v="0"/>
    <n v="1986"/>
    <m/>
    <m/>
    <m/>
    <m/>
    <m/>
    <m/>
    <m/>
    <m/>
    <s v="Positive"/>
    <s v="Negative"/>
    <s v="Inaccurate Prediction"/>
  </r>
  <r>
    <x v="5"/>
    <x v="89"/>
    <x v="19"/>
    <x v="14"/>
    <x v="0"/>
    <x v="56"/>
    <x v="152"/>
    <x v="11"/>
    <n v="0"/>
    <s v="Not Sampled"/>
    <n v="1987"/>
    <m/>
    <m/>
    <m/>
    <m/>
    <m/>
    <m/>
    <m/>
    <m/>
    <s v="Negative"/>
    <s v="Not Sampled"/>
    <s v="Not Sampled"/>
  </r>
  <r>
    <x v="3"/>
    <x v="24"/>
    <x v="3"/>
    <x v="2"/>
    <x v="0"/>
    <x v="107"/>
    <x v="153"/>
    <x v="34"/>
    <n v="0"/>
    <n v="0"/>
    <n v="1988"/>
    <m/>
    <m/>
    <m/>
    <m/>
    <m/>
    <m/>
    <m/>
    <m/>
    <s v="Negative"/>
    <s v="Negative"/>
    <s v="Accurate Prediction"/>
  </r>
  <r>
    <x v="3"/>
    <x v="13"/>
    <x v="19"/>
    <x v="2"/>
    <x v="0"/>
    <x v="108"/>
    <x v="154"/>
    <x v="29"/>
    <n v="0"/>
    <s v="Not Sampled"/>
    <n v="1989"/>
    <m/>
    <m/>
    <m/>
    <m/>
    <m/>
    <m/>
    <m/>
    <m/>
    <s v="Negative"/>
    <s v="Not Sampled"/>
    <s v="Not Sampled"/>
  </r>
  <r>
    <x v="5"/>
    <x v="31"/>
    <x v="8"/>
    <x v="39"/>
    <x v="65"/>
    <x v="109"/>
    <x v="155"/>
    <x v="29"/>
    <n v="0"/>
    <n v="0"/>
    <n v="1990"/>
    <m/>
    <m/>
    <m/>
    <m/>
    <m/>
    <m/>
    <m/>
    <m/>
    <s v="Negative"/>
    <s v="Negative"/>
    <s v="Accurate Prediction"/>
  </r>
  <r>
    <x v="6"/>
    <x v="29"/>
    <x v="1"/>
    <x v="2"/>
    <x v="0"/>
    <x v="98"/>
    <x v="156"/>
    <x v="31"/>
    <n v="1"/>
    <n v="0"/>
    <n v="1991"/>
    <m/>
    <m/>
    <m/>
    <m/>
    <m/>
    <m/>
    <m/>
    <m/>
    <s v="Positive"/>
    <s v="Negative"/>
    <s v="Inaccurate Prediction"/>
  </r>
  <r>
    <x v="6"/>
    <x v="63"/>
    <x v="9"/>
    <x v="17"/>
    <x v="66"/>
    <x v="110"/>
    <x v="157"/>
    <x v="29"/>
    <n v="1"/>
    <s v="Not Sampled"/>
    <n v="1992"/>
    <m/>
    <m/>
    <m/>
    <m/>
    <m/>
    <m/>
    <m/>
    <m/>
    <s v="Positive"/>
    <s v="Not Sampled"/>
    <s v="Not Sampled"/>
  </r>
  <r>
    <x v="0"/>
    <x v="90"/>
    <x v="2"/>
    <x v="17"/>
    <x v="0"/>
    <x v="11"/>
    <x v="158"/>
    <x v="14"/>
    <n v="0"/>
    <s v="Not Sampled"/>
    <n v="1993"/>
    <m/>
    <m/>
    <m/>
    <m/>
    <m/>
    <m/>
    <m/>
    <m/>
    <s v="Negative"/>
    <s v="Not Sampled"/>
    <s v="Not Sampled"/>
  </r>
  <r>
    <x v="2"/>
    <x v="53"/>
    <x v="12"/>
    <x v="3"/>
    <x v="35"/>
    <x v="111"/>
    <x v="159"/>
    <x v="1"/>
    <n v="0"/>
    <s v="Not Sampled"/>
    <n v="1994"/>
    <m/>
    <m/>
    <m/>
    <m/>
    <m/>
    <m/>
    <m/>
    <m/>
    <s v="Negative"/>
    <s v="Not Sampled"/>
    <s v="Not Sampled"/>
  </r>
  <r>
    <x v="0"/>
    <x v="21"/>
    <x v="11"/>
    <x v="20"/>
    <x v="67"/>
    <x v="27"/>
    <x v="74"/>
    <x v="9"/>
    <n v="0"/>
    <s v="Not Sampled"/>
    <n v="1995"/>
    <m/>
    <m/>
    <m/>
    <m/>
    <m/>
    <m/>
    <m/>
    <m/>
    <s v="Negative"/>
    <s v="Not Sampled"/>
    <s v="Not Sampled"/>
  </r>
  <r>
    <x v="4"/>
    <x v="91"/>
    <x v="5"/>
    <x v="3"/>
    <x v="66"/>
    <x v="112"/>
    <x v="160"/>
    <x v="31"/>
    <n v="1"/>
    <s v="Not Sampled"/>
    <n v="1996"/>
    <m/>
    <m/>
    <m/>
    <m/>
    <m/>
    <m/>
    <m/>
    <m/>
    <s v="Positive"/>
    <s v="Not Sampled"/>
    <s v="Not Sampled"/>
  </r>
  <r>
    <x v="6"/>
    <x v="69"/>
    <x v="4"/>
    <x v="2"/>
    <x v="0"/>
    <x v="84"/>
    <x v="161"/>
    <x v="8"/>
    <n v="0"/>
    <s v="Not Sampled"/>
    <n v="1997"/>
    <m/>
    <m/>
    <m/>
    <m/>
    <m/>
    <m/>
    <m/>
    <m/>
    <s v="Negative"/>
    <s v="Not Sampled"/>
    <s v="Not Sampled"/>
  </r>
  <r>
    <x v="1"/>
    <x v="52"/>
    <x v="18"/>
    <x v="40"/>
    <x v="66"/>
    <x v="113"/>
    <x v="162"/>
    <x v="25"/>
    <n v="1"/>
    <s v="Not Sampled"/>
    <n v="1998"/>
    <m/>
    <m/>
    <m/>
    <m/>
    <m/>
    <m/>
    <m/>
    <m/>
    <s v="Positive"/>
    <s v="Not Sampled"/>
    <s v="Not Sampled"/>
  </r>
  <r>
    <x v="0"/>
    <x v="14"/>
    <x v="5"/>
    <x v="11"/>
    <x v="7"/>
    <x v="15"/>
    <x v="14"/>
    <x v="14"/>
    <n v="0"/>
    <s v="Not Sampled"/>
    <n v="1999"/>
    <m/>
    <m/>
    <m/>
    <m/>
    <m/>
    <m/>
    <m/>
    <m/>
    <s v="Negative"/>
    <s v="Not Sampled"/>
    <s v="Not Sampl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6" firstHeaderRow="1" firstDataRow="1" firstDataCol="1"/>
  <pivotFields count="22">
    <pivotField showAll="0">
      <items count="18">
        <item x="1"/>
        <item x="2"/>
        <item x="0"/>
        <item x="5"/>
        <item x="3"/>
        <item x="7"/>
        <item x="6"/>
        <item x="8"/>
        <item x="4"/>
        <item x="11"/>
        <item x="9"/>
        <item x="12"/>
        <item x="10"/>
        <item x="13"/>
        <item x="16"/>
        <item x="14"/>
        <item x="15"/>
        <item t="default"/>
      </items>
    </pivotField>
    <pivotField showAll="0">
      <items count="137">
        <item x="18"/>
        <item x="46"/>
        <item x="131"/>
        <item x="82"/>
        <item x="114"/>
        <item x="54"/>
        <item x="134"/>
        <item x="127"/>
        <item x="123"/>
        <item x="37"/>
        <item x="119"/>
        <item x="43"/>
        <item x="58"/>
        <item x="21"/>
        <item x="71"/>
        <item x="108"/>
        <item x="74"/>
        <item x="53"/>
        <item x="11"/>
        <item x="14"/>
        <item x="118"/>
        <item x="8"/>
        <item x="1"/>
        <item x="69"/>
        <item x="103"/>
        <item x="90"/>
        <item x="40"/>
        <item x="9"/>
        <item x="30"/>
        <item x="25"/>
        <item x="66"/>
        <item x="67"/>
        <item x="19"/>
        <item x="50"/>
        <item x="20"/>
        <item x="75"/>
        <item x="116"/>
        <item x="6"/>
        <item x="45"/>
        <item x="39"/>
        <item x="29"/>
        <item x="28"/>
        <item x="88"/>
        <item x="38"/>
        <item x="33"/>
        <item x="61"/>
        <item x="81"/>
        <item x="49"/>
        <item x="13"/>
        <item x="31"/>
        <item x="56"/>
        <item x="57"/>
        <item x="48"/>
        <item x="109"/>
        <item x="113"/>
        <item x="17"/>
        <item x="78"/>
        <item x="93"/>
        <item x="24"/>
        <item x="126"/>
        <item x="27"/>
        <item x="62"/>
        <item x="73"/>
        <item x="10"/>
        <item x="51"/>
        <item x="117"/>
        <item x="80"/>
        <item x="52"/>
        <item x="23"/>
        <item x="55"/>
        <item x="77"/>
        <item x="32"/>
        <item x="63"/>
        <item x="3"/>
        <item x="60"/>
        <item x="59"/>
        <item x="0"/>
        <item x="4"/>
        <item x="98"/>
        <item x="47"/>
        <item x="64"/>
        <item x="92"/>
        <item x="65"/>
        <item x="2"/>
        <item x="36"/>
        <item x="83"/>
        <item x="89"/>
        <item x="133"/>
        <item x="42"/>
        <item x="68"/>
        <item x="87"/>
        <item x="85"/>
        <item x="16"/>
        <item x="70"/>
        <item x="84"/>
        <item x="111"/>
        <item x="95"/>
        <item x="35"/>
        <item x="72"/>
        <item x="106"/>
        <item x="76"/>
        <item x="26"/>
        <item x="101"/>
        <item x="102"/>
        <item x="12"/>
        <item x="107"/>
        <item x="120"/>
        <item x="132"/>
        <item x="79"/>
        <item x="34"/>
        <item x="121"/>
        <item x="5"/>
        <item x="129"/>
        <item x="122"/>
        <item x="41"/>
        <item x="99"/>
        <item x="112"/>
        <item x="91"/>
        <item x="22"/>
        <item x="94"/>
        <item x="110"/>
        <item x="128"/>
        <item x="97"/>
        <item x="124"/>
        <item x="44"/>
        <item x="86"/>
        <item x="115"/>
        <item x="135"/>
        <item x="105"/>
        <item x="104"/>
        <item x="7"/>
        <item x="15"/>
        <item x="96"/>
        <item x="100"/>
        <item x="125"/>
        <item x="130"/>
        <item t="default"/>
      </items>
    </pivotField>
    <pivotField showAll="0">
      <items count="48">
        <item x="2"/>
        <item x="42"/>
        <item x="32"/>
        <item x="43"/>
        <item x="46"/>
        <item x="27"/>
        <item x="37"/>
        <item x="26"/>
        <item x="13"/>
        <item x="33"/>
        <item x="14"/>
        <item x="29"/>
        <item x="20"/>
        <item x="22"/>
        <item x="12"/>
        <item x="40"/>
        <item x="0"/>
        <item x="11"/>
        <item x="7"/>
        <item x="19"/>
        <item x="3"/>
        <item x="9"/>
        <item x="5"/>
        <item x="10"/>
        <item x="25"/>
        <item x="15"/>
        <item x="4"/>
        <item x="6"/>
        <item x="1"/>
        <item x="16"/>
        <item x="23"/>
        <item x="24"/>
        <item x="21"/>
        <item x="8"/>
        <item x="17"/>
        <item x="41"/>
        <item x="36"/>
        <item x="30"/>
        <item x="34"/>
        <item x="39"/>
        <item x="38"/>
        <item x="35"/>
        <item x="44"/>
        <item x="28"/>
        <item x="18"/>
        <item x="45"/>
        <item x="31"/>
        <item t="default"/>
      </items>
    </pivotField>
    <pivotField showAll="0">
      <items count="54">
        <item x="2"/>
        <item x="42"/>
        <item x="47"/>
        <item x="25"/>
        <item x="22"/>
        <item x="39"/>
        <item x="27"/>
        <item x="36"/>
        <item x="11"/>
        <item x="41"/>
        <item x="6"/>
        <item x="10"/>
        <item x="13"/>
        <item x="28"/>
        <item x="23"/>
        <item x="29"/>
        <item x="17"/>
        <item x="20"/>
        <item x="14"/>
        <item x="16"/>
        <item x="21"/>
        <item x="7"/>
        <item x="30"/>
        <item x="8"/>
        <item x="1"/>
        <item x="5"/>
        <item x="12"/>
        <item x="24"/>
        <item x="0"/>
        <item x="35"/>
        <item x="18"/>
        <item x="9"/>
        <item x="15"/>
        <item x="32"/>
        <item x="4"/>
        <item x="3"/>
        <item x="44"/>
        <item x="38"/>
        <item x="45"/>
        <item x="40"/>
        <item x="19"/>
        <item x="46"/>
        <item x="48"/>
        <item x="37"/>
        <item x="33"/>
        <item x="43"/>
        <item x="31"/>
        <item x="34"/>
        <item x="51"/>
        <item x="26"/>
        <item x="49"/>
        <item x="50"/>
        <item x="52"/>
        <item t="default"/>
      </items>
    </pivotField>
    <pivotField showAll="0">
      <items count="183">
        <item x="0"/>
        <item x="141"/>
        <item x="163"/>
        <item x="179"/>
        <item x="41"/>
        <item x="173"/>
        <item x="23"/>
        <item x="158"/>
        <item x="110"/>
        <item x="80"/>
        <item x="22"/>
        <item x="44"/>
        <item x="30"/>
        <item x="39"/>
        <item x="159"/>
        <item x="102"/>
        <item x="118"/>
        <item x="71"/>
        <item x="83"/>
        <item x="166"/>
        <item x="35"/>
        <item x="51"/>
        <item x="52"/>
        <item x="46"/>
        <item x="112"/>
        <item x="61"/>
        <item x="120"/>
        <item x="67"/>
        <item x="79"/>
        <item x="92"/>
        <item x="68"/>
        <item x="128"/>
        <item x="140"/>
        <item x="137"/>
        <item x="55"/>
        <item x="36"/>
        <item x="149"/>
        <item x="5"/>
        <item x="91"/>
        <item x="111"/>
        <item x="19"/>
        <item x="10"/>
        <item x="127"/>
        <item x="115"/>
        <item x="97"/>
        <item x="96"/>
        <item x="7"/>
        <item x="152"/>
        <item x="65"/>
        <item x="11"/>
        <item x="129"/>
        <item x="21"/>
        <item x="117"/>
        <item x="126"/>
        <item x="108"/>
        <item x="15"/>
        <item x="74"/>
        <item x="84"/>
        <item x="124"/>
        <item x="12"/>
        <item x="165"/>
        <item x="53"/>
        <item x="48"/>
        <item x="142"/>
        <item x="107"/>
        <item x="47"/>
        <item x="31"/>
        <item x="16"/>
        <item x="148"/>
        <item x="116"/>
        <item x="27"/>
        <item x="180"/>
        <item x="62"/>
        <item x="133"/>
        <item x="93"/>
        <item x="57"/>
        <item x="77"/>
        <item x="6"/>
        <item x="1"/>
        <item x="153"/>
        <item x="177"/>
        <item x="29"/>
        <item x="76"/>
        <item x="66"/>
        <item x="103"/>
        <item x="42"/>
        <item x="32"/>
        <item x="28"/>
        <item x="162"/>
        <item x="8"/>
        <item x="104"/>
        <item x="90"/>
        <item x="40"/>
        <item x="59"/>
        <item x="64"/>
        <item x="125"/>
        <item x="168"/>
        <item x="69"/>
        <item x="134"/>
        <item x="150"/>
        <item x="119"/>
        <item x="49"/>
        <item x="13"/>
        <item x="114"/>
        <item x="45"/>
        <item x="34"/>
        <item x="181"/>
        <item x="176"/>
        <item x="105"/>
        <item x="98"/>
        <item x="164"/>
        <item x="101"/>
        <item x="157"/>
        <item x="147"/>
        <item x="72"/>
        <item x="144"/>
        <item x="17"/>
        <item x="9"/>
        <item x="85"/>
        <item x="130"/>
        <item x="170"/>
        <item x="58"/>
        <item x="106"/>
        <item x="18"/>
        <item x="14"/>
        <item x="100"/>
        <item x="38"/>
        <item x="50"/>
        <item x="37"/>
        <item x="156"/>
        <item x="109"/>
        <item x="143"/>
        <item x="20"/>
        <item x="121"/>
        <item x="2"/>
        <item x="113"/>
        <item x="88"/>
        <item x="4"/>
        <item x="33"/>
        <item x="75"/>
        <item x="160"/>
        <item x="151"/>
        <item x="132"/>
        <item x="139"/>
        <item x="94"/>
        <item x="73"/>
        <item x="56"/>
        <item x="63"/>
        <item x="174"/>
        <item x="122"/>
        <item x="24"/>
        <item x="26"/>
        <item x="136"/>
        <item x="70"/>
        <item x="161"/>
        <item x="54"/>
        <item x="146"/>
        <item x="145"/>
        <item x="154"/>
        <item x="171"/>
        <item x="25"/>
        <item x="99"/>
        <item x="82"/>
        <item x="89"/>
        <item x="172"/>
        <item x="175"/>
        <item x="87"/>
        <item x="131"/>
        <item x="167"/>
        <item x="123"/>
        <item x="138"/>
        <item x="78"/>
        <item x="3"/>
        <item x="60"/>
        <item x="43"/>
        <item x="178"/>
        <item x="169"/>
        <item x="95"/>
        <item x="135"/>
        <item x="155"/>
        <item x="86"/>
        <item x="81"/>
        <item t="default"/>
      </items>
    </pivotField>
    <pivotField showAll="0">
      <items count="248">
        <item x="12"/>
        <item x="198"/>
        <item x="148"/>
        <item x="72"/>
        <item x="175"/>
        <item x="45"/>
        <item x="222"/>
        <item x="58"/>
        <item x="192"/>
        <item x="224"/>
        <item x="76"/>
        <item x="163"/>
        <item x="169"/>
        <item x="96"/>
        <item x="206"/>
        <item x="216"/>
        <item x="181"/>
        <item x="101"/>
        <item x="28"/>
        <item x="202"/>
        <item x="193"/>
        <item x="65"/>
        <item x="79"/>
        <item x="118"/>
        <item x="39"/>
        <item x="123"/>
        <item x="49"/>
        <item x="179"/>
        <item x="87"/>
        <item x="239"/>
        <item x="226"/>
        <item x="177"/>
        <item x="139"/>
        <item x="195"/>
        <item x="74"/>
        <item x="128"/>
        <item x="33"/>
        <item x="234"/>
        <item x="29"/>
        <item x="122"/>
        <item x="46"/>
        <item x="203"/>
        <item x="66"/>
        <item x="62"/>
        <item x="172"/>
        <item x="158"/>
        <item x="26"/>
        <item x="16"/>
        <item x="18"/>
        <item x="159"/>
        <item x="54"/>
        <item x="171"/>
        <item x="6"/>
        <item x="223"/>
        <item x="151"/>
        <item x="14"/>
        <item x="7"/>
        <item x="173"/>
        <item x="215"/>
        <item x="199"/>
        <item x="71"/>
        <item x="13"/>
        <item x="207"/>
        <item x="90"/>
        <item x="219"/>
        <item x="161"/>
        <item x="150"/>
        <item x="185"/>
        <item x="30"/>
        <item x="41"/>
        <item x="155"/>
        <item x="32"/>
        <item x="116"/>
        <item x="157"/>
        <item x="94"/>
        <item x="43"/>
        <item x="86"/>
        <item x="227"/>
        <item x="109"/>
        <item x="218"/>
        <item x="24"/>
        <item x="77"/>
        <item x="138"/>
        <item x="11"/>
        <item x="55"/>
        <item x="149"/>
        <item x="17"/>
        <item x="81"/>
        <item x="107"/>
        <item x="27"/>
        <item x="187"/>
        <item x="106"/>
        <item x="135"/>
        <item x="15"/>
        <item x="208"/>
        <item x="214"/>
        <item x="25"/>
        <item x="85"/>
        <item x="166"/>
        <item x="98"/>
        <item x="125"/>
        <item x="126"/>
        <item x="84"/>
        <item x="221"/>
        <item x="31"/>
        <item x="108"/>
        <item x="61"/>
        <item x="152"/>
        <item x="204"/>
        <item x="167"/>
        <item x="68"/>
        <item x="56"/>
        <item x="63"/>
        <item x="112"/>
        <item x="10"/>
        <item x="35"/>
        <item x="119"/>
        <item x="34"/>
        <item x="21"/>
        <item x="9"/>
        <item x="0"/>
        <item x="47"/>
        <item x="97"/>
        <item x="75"/>
        <item x="37"/>
        <item x="174"/>
        <item x="89"/>
        <item x="82"/>
        <item x="184"/>
        <item x="93"/>
        <item x="137"/>
        <item x="48"/>
        <item x="124"/>
        <item x="115"/>
        <item x="145"/>
        <item x="60"/>
        <item x="213"/>
        <item x="186"/>
        <item x="110"/>
        <item x="130"/>
        <item x="230"/>
        <item x="140"/>
        <item x="134"/>
        <item x="117"/>
        <item x="231"/>
        <item x="164"/>
        <item x="190"/>
        <item x="153"/>
        <item x="217"/>
        <item x="23"/>
        <item x="69"/>
        <item x="141"/>
        <item x="8"/>
        <item x="99"/>
        <item x="201"/>
        <item x="36"/>
        <item x="19"/>
        <item x="22"/>
        <item x="83"/>
        <item x="129"/>
        <item x="209"/>
        <item x="50"/>
        <item x="136"/>
        <item x="160"/>
        <item x="237"/>
        <item x="176"/>
        <item x="1"/>
        <item x="95"/>
        <item x="189"/>
        <item x="70"/>
        <item x="220"/>
        <item x="162"/>
        <item x="212"/>
        <item x="228"/>
        <item x="20"/>
        <item x="44"/>
        <item x="188"/>
        <item x="121"/>
        <item x="100"/>
        <item x="80"/>
        <item x="170"/>
        <item x="236"/>
        <item x="180"/>
        <item x="154"/>
        <item x="127"/>
        <item x="38"/>
        <item x="52"/>
        <item x="102"/>
        <item x="4"/>
        <item x="225"/>
        <item x="105"/>
        <item x="182"/>
        <item x="238"/>
        <item x="211"/>
        <item x="53"/>
        <item x="133"/>
        <item x="42"/>
        <item x="196"/>
        <item x="183"/>
        <item x="3"/>
        <item x="197"/>
        <item x="132"/>
        <item x="57"/>
        <item x="131"/>
        <item x="92"/>
        <item x="64"/>
        <item x="165"/>
        <item x="59"/>
        <item x="111"/>
        <item x="146"/>
        <item x="143"/>
        <item x="147"/>
        <item x="2"/>
        <item x="235"/>
        <item x="233"/>
        <item x="114"/>
        <item x="142"/>
        <item x="200"/>
        <item x="40"/>
        <item x="178"/>
        <item x="156"/>
        <item x="194"/>
        <item x="210"/>
        <item x="144"/>
        <item x="241"/>
        <item x="5"/>
        <item x="73"/>
        <item x="51"/>
        <item x="103"/>
        <item x="191"/>
        <item x="246"/>
        <item x="67"/>
        <item x="240"/>
        <item x="232"/>
        <item x="78"/>
        <item x="104"/>
        <item x="244"/>
        <item x="120"/>
        <item x="245"/>
        <item x="168"/>
        <item x="88"/>
        <item x="91"/>
        <item x="229"/>
        <item x="205"/>
        <item x="243"/>
        <item x="113"/>
        <item x="242"/>
        <item t="default"/>
      </items>
    </pivotField>
    <pivotField showAll="0">
      <items count="506">
        <item x="235"/>
        <item x="165"/>
        <item x="136"/>
        <item x="124"/>
        <item x="206"/>
        <item x="227"/>
        <item x="133"/>
        <item x="416"/>
        <item x="202"/>
        <item x="76"/>
        <item x="376"/>
        <item x="339"/>
        <item x="435"/>
        <item x="471"/>
        <item x="394"/>
        <item x="273"/>
        <item x="272"/>
        <item x="370"/>
        <item x="0"/>
        <item x="238"/>
        <item x="267"/>
        <item x="90"/>
        <item x="447"/>
        <item x="444"/>
        <item x="322"/>
        <item x="177"/>
        <item x="141"/>
        <item x="419"/>
        <item x="72"/>
        <item x="425"/>
        <item x="173"/>
        <item x="221"/>
        <item x="433"/>
        <item x="10"/>
        <item x="341"/>
        <item x="271"/>
        <item x="439"/>
        <item x="181"/>
        <item x="187"/>
        <item x="502"/>
        <item x="83"/>
        <item x="31"/>
        <item x="448"/>
        <item x="257"/>
        <item x="422"/>
        <item x="430"/>
        <item x="128"/>
        <item x="389"/>
        <item x="321"/>
        <item x="373"/>
        <item x="15"/>
        <item x="192"/>
        <item x="84"/>
        <item x="275"/>
        <item x="148"/>
        <item x="368"/>
        <item x="498"/>
        <item x="57"/>
        <item x="12"/>
        <item x="411"/>
        <item x="473"/>
        <item x="472"/>
        <item x="81"/>
        <item x="95"/>
        <item x="156"/>
        <item x="459"/>
        <item x="451"/>
        <item x="365"/>
        <item x="114"/>
        <item x="179"/>
        <item x="66"/>
        <item x="163"/>
        <item x="465"/>
        <item x="105"/>
        <item x="414"/>
        <item x="319"/>
        <item x="269"/>
        <item x="203"/>
        <item x="103"/>
        <item x="29"/>
        <item x="62"/>
        <item x="147"/>
        <item x="310"/>
        <item x="407"/>
        <item x="28"/>
        <item x="200"/>
        <item x="369"/>
        <item x="355"/>
        <item x="258"/>
        <item x="453"/>
        <item x="135"/>
        <item x="332"/>
        <item x="108"/>
        <item x="309"/>
        <item x="495"/>
        <item x="110"/>
        <item x="301"/>
        <item x="231"/>
        <item x="79"/>
        <item x="145"/>
        <item x="344"/>
        <item x="70"/>
        <item x="1"/>
        <item x="297"/>
        <item x="41"/>
        <item x="183"/>
        <item x="78"/>
        <item x="21"/>
        <item x="312"/>
        <item x="236"/>
        <item x="320"/>
        <item x="288"/>
        <item x="168"/>
        <item x="404"/>
        <item x="426"/>
        <item x="102"/>
        <item x="53"/>
        <item x="224"/>
        <item x="240"/>
        <item x="287"/>
        <item x="466"/>
        <item x="54"/>
        <item x="89"/>
        <item x="152"/>
        <item x="423"/>
        <item x="61"/>
        <item x="247"/>
        <item x="112"/>
        <item x="86"/>
        <item x="96"/>
        <item x="22"/>
        <item x="337"/>
        <item x="481"/>
        <item x="18"/>
        <item x="32"/>
        <item x="363"/>
        <item x="58"/>
        <item x="39"/>
        <item x="131"/>
        <item x="87"/>
        <item x="115"/>
        <item x="285"/>
        <item x="246"/>
        <item x="220"/>
        <item x="97"/>
        <item x="223"/>
        <item x="350"/>
        <item x="129"/>
        <item x="100"/>
        <item x="188"/>
        <item x="190"/>
        <item x="9"/>
        <item x="209"/>
        <item x="6"/>
        <item x="474"/>
        <item x="242"/>
        <item x="27"/>
        <item x="167"/>
        <item x="393"/>
        <item x="291"/>
        <item x="441"/>
        <item x="13"/>
        <item x="47"/>
        <item x="296"/>
        <item x="75"/>
        <item x="17"/>
        <item x="23"/>
        <item x="265"/>
        <item x="480"/>
        <item x="130"/>
        <item x="162"/>
        <item x="504"/>
        <item x="503"/>
        <item x="91"/>
        <item x="82"/>
        <item x="93"/>
        <item x="259"/>
        <item x="338"/>
        <item x="217"/>
        <item x="348"/>
        <item x="279"/>
        <item x="457"/>
        <item x="65"/>
        <item x="461"/>
        <item x="101"/>
        <item x="142"/>
        <item x="399"/>
        <item x="250"/>
        <item x="390"/>
        <item x="50"/>
        <item x="277"/>
        <item x="46"/>
        <item x="266"/>
        <item x="286"/>
        <item x="429"/>
        <item x="284"/>
        <item x="476"/>
        <item x="189"/>
        <item x="92"/>
        <item x="491"/>
        <item x="120"/>
        <item x="431"/>
        <item x="356"/>
        <item x="3"/>
        <item x="458"/>
        <item x="149"/>
        <item x="74"/>
        <item x="406"/>
        <item x="174"/>
        <item x="191"/>
        <item x="323"/>
        <item x="293"/>
        <item x="222"/>
        <item x="352"/>
        <item x="161"/>
        <item x="175"/>
        <item x="294"/>
        <item x="282"/>
        <item x="73"/>
        <item x="432"/>
        <item x="208"/>
        <item x="178"/>
        <item x="71"/>
        <item x="137"/>
        <item x="415"/>
        <item x="396"/>
        <item x="215"/>
        <item x="118"/>
        <item x="113"/>
        <item x="185"/>
        <item x="493"/>
        <item x="26"/>
        <item x="68"/>
        <item x="255"/>
        <item x="351"/>
        <item x="360"/>
        <item x="408"/>
        <item x="374"/>
        <item x="35"/>
        <item x="335"/>
        <item x="239"/>
        <item x="387"/>
        <item x="483"/>
        <item x="219"/>
        <item x="400"/>
        <item x="193"/>
        <item x="138"/>
        <item x="262"/>
        <item x="251"/>
        <item x="342"/>
        <item x="464"/>
        <item x="475"/>
        <item x="85"/>
        <item x="314"/>
        <item x="214"/>
        <item x="445"/>
        <item x="117"/>
        <item x="486"/>
        <item x="243"/>
        <item x="446"/>
        <item x="122"/>
        <item x="358"/>
        <item x="315"/>
        <item x="196"/>
        <item x="436"/>
        <item x="372"/>
        <item x="51"/>
        <item x="154"/>
        <item x="280"/>
        <item x="210"/>
        <item x="418"/>
        <item x="469"/>
        <item x="283"/>
        <item x="490"/>
        <item x="48"/>
        <item x="377"/>
        <item x="155"/>
        <item x="116"/>
        <item x="343"/>
        <item x="354"/>
        <item x="295"/>
        <item x="380"/>
        <item x="395"/>
        <item x="37"/>
        <item x="333"/>
        <item x="304"/>
        <item x="349"/>
        <item x="33"/>
        <item x="195"/>
        <item x="485"/>
        <item x="336"/>
        <item x="254"/>
        <item x="30"/>
        <item x="49"/>
        <item x="268"/>
        <item x="303"/>
        <item x="126"/>
        <item x="328"/>
        <item x="4"/>
        <item x="107"/>
        <item x="157"/>
        <item x="104"/>
        <item x="300"/>
        <item x="14"/>
        <item x="385"/>
        <item x="7"/>
        <item x="330"/>
        <item x="226"/>
        <item x="290"/>
        <item x="484"/>
        <item x="334"/>
        <item x="44"/>
        <item x="470"/>
        <item x="292"/>
        <item x="366"/>
        <item x="132"/>
        <item x="405"/>
        <item x="176"/>
        <item x="289"/>
        <item x="213"/>
        <item x="69"/>
        <item x="45"/>
        <item x="59"/>
        <item x="106"/>
        <item x="392"/>
        <item x="420"/>
        <item x="479"/>
        <item x="125"/>
        <item x="467"/>
        <item x="364"/>
        <item x="397"/>
        <item x="186"/>
        <item x="367"/>
        <item x="442"/>
        <item x="230"/>
        <item x="253"/>
        <item x="456"/>
        <item x="170"/>
        <item x="248"/>
        <item x="501"/>
        <item x="331"/>
        <item x="263"/>
        <item x="8"/>
        <item x="2"/>
        <item x="454"/>
        <item x="143"/>
        <item x="172"/>
        <item x="207"/>
        <item x="482"/>
        <item x="123"/>
        <item x="437"/>
        <item x="204"/>
        <item x="109"/>
        <item x="228"/>
        <item x="347"/>
        <item x="311"/>
        <item x="384"/>
        <item x="36"/>
        <item x="201"/>
        <item x="281"/>
        <item x="326"/>
        <item x="241"/>
        <item x="159"/>
        <item x="391"/>
        <item x="413"/>
        <item x="211"/>
        <item x="140"/>
        <item x="24"/>
        <item x="403"/>
        <item x="440"/>
        <item x="40"/>
        <item x="80"/>
        <item x="60"/>
        <item x="325"/>
        <item x="127"/>
        <item x="361"/>
        <item x="153"/>
        <item x="371"/>
        <item x="378"/>
        <item x="52"/>
        <item x="160"/>
        <item x="500"/>
        <item x="42"/>
        <item x="151"/>
        <item x="166"/>
        <item x="19"/>
        <item x="443"/>
        <item x="270"/>
        <item x="434"/>
        <item x="359"/>
        <item x="488"/>
        <item x="382"/>
        <item x="20"/>
        <item x="119"/>
        <item x="194"/>
        <item x="150"/>
        <item x="244"/>
        <item x="169"/>
        <item x="398"/>
        <item x="252"/>
        <item x="111"/>
        <item x="88"/>
        <item x="497"/>
        <item x="77"/>
        <item x="375"/>
        <item x="158"/>
        <item x="487"/>
        <item x="184"/>
        <item x="99"/>
        <item x="316"/>
        <item x="383"/>
        <item x="199"/>
        <item x="249"/>
        <item x="402"/>
        <item x="302"/>
        <item x="146"/>
        <item x="499"/>
        <item x="306"/>
        <item x="386"/>
        <item x="477"/>
        <item x="460"/>
        <item x="212"/>
        <item x="353"/>
        <item x="144"/>
        <item x="16"/>
        <item x="256"/>
        <item x="64"/>
        <item x="63"/>
        <item x="462"/>
        <item x="67"/>
        <item x="438"/>
        <item x="182"/>
        <item x="261"/>
        <item x="421"/>
        <item x="455"/>
        <item x="245"/>
        <item x="463"/>
        <item x="401"/>
        <item x="278"/>
        <item x="468"/>
        <item x="180"/>
        <item x="379"/>
        <item x="410"/>
        <item x="225"/>
        <item x="98"/>
        <item x="276"/>
        <item x="233"/>
        <item x="318"/>
        <item x="307"/>
        <item x="313"/>
        <item x="345"/>
        <item x="164"/>
        <item x="55"/>
        <item x="34"/>
        <item x="25"/>
        <item x="478"/>
        <item x="232"/>
        <item x="357"/>
        <item x="305"/>
        <item x="362"/>
        <item x="388"/>
        <item x="496"/>
        <item x="198"/>
        <item x="327"/>
        <item x="329"/>
        <item x="492"/>
        <item x="234"/>
        <item x="121"/>
        <item x="264"/>
        <item x="237"/>
        <item x="340"/>
        <item x="11"/>
        <item x="409"/>
        <item x="5"/>
        <item x="449"/>
        <item x="489"/>
        <item x="494"/>
        <item x="139"/>
        <item x="324"/>
        <item x="218"/>
        <item x="94"/>
        <item x="197"/>
        <item x="381"/>
        <item x="417"/>
        <item x="308"/>
        <item x="424"/>
        <item x="450"/>
        <item x="216"/>
        <item x="171"/>
        <item x="229"/>
        <item x="38"/>
        <item x="260"/>
        <item x="452"/>
        <item x="134"/>
        <item x="428"/>
        <item x="274"/>
        <item x="317"/>
        <item x="427"/>
        <item x="412"/>
        <item x="299"/>
        <item x="56"/>
        <item x="43"/>
        <item x="298"/>
        <item x="205"/>
        <item x="346"/>
        <item t="default"/>
      </items>
    </pivotField>
    <pivotField axis="axisRow" showAll="0">
      <items count="53">
        <item x="4"/>
        <item x="11"/>
        <item x="1"/>
        <item x="3"/>
        <item x="14"/>
        <item x="25"/>
        <item x="23"/>
        <item x="6"/>
        <item x="29"/>
        <item x="13"/>
        <item x="2"/>
        <item x="32"/>
        <item x="9"/>
        <item x="34"/>
        <item x="20"/>
        <item x="31"/>
        <item x="26"/>
        <item x="19"/>
        <item x="16"/>
        <item x="18"/>
        <item x="17"/>
        <item x="8"/>
        <item x="33"/>
        <item x="30"/>
        <item x="10"/>
        <item x="22"/>
        <item x="0"/>
        <item x="27"/>
        <item x="43"/>
        <item x="48"/>
        <item x="42"/>
        <item x="41"/>
        <item x="49"/>
        <item x="28"/>
        <item x="15"/>
        <item x="24"/>
        <item x="40"/>
        <item x="5"/>
        <item x="45"/>
        <item x="35"/>
        <item x="36"/>
        <item x="38"/>
        <item x="44"/>
        <item x="21"/>
        <item x="39"/>
        <item x="12"/>
        <item x="7"/>
        <item x="51"/>
        <item x="37"/>
        <item x="50"/>
        <item x="46"/>
        <item x="4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Count of Outcome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AA56"/>
  <sheetViews>
    <sheetView topLeftCell="I1" workbookViewId="0">
      <selection activeCell="Z13" sqref="Z13"/>
    </sheetView>
  </sheetViews>
  <sheetFormatPr defaultRowHeight="15" x14ac:dyDescent="0.25"/>
  <cols>
    <col min="1" max="1" width="13.140625" bestFit="1" customWidth="1"/>
    <col min="2" max="2" width="17.42578125" bestFit="1" customWidth="1"/>
    <col min="4" max="5" width="9.140625" style="1"/>
    <col min="7" max="7" width="9.140625" style="1"/>
    <col min="8" max="8" width="12.140625" style="1" bestFit="1" customWidth="1"/>
    <col min="10" max="10" width="14.42578125" style="1" bestFit="1" customWidth="1"/>
    <col min="11" max="11" width="12.5703125" style="1" bestFit="1" customWidth="1"/>
    <col min="13" max="13" width="13.85546875" bestFit="1" customWidth="1"/>
    <col min="14" max="14" width="12.140625" bestFit="1" customWidth="1"/>
    <col min="21" max="21" width="3.140625" customWidth="1"/>
  </cols>
  <sheetData>
    <row r="3" spans="1:27" x14ac:dyDescent="0.25">
      <c r="A3" s="2" t="s">
        <v>22</v>
      </c>
      <c r="B3" t="s">
        <v>24</v>
      </c>
      <c r="D3" s="1" t="s">
        <v>28</v>
      </c>
      <c r="G3" s="1" t="s">
        <v>1</v>
      </c>
      <c r="J3" s="1" t="s">
        <v>33</v>
      </c>
      <c r="M3" t="s">
        <v>37</v>
      </c>
      <c r="P3" t="s">
        <v>4</v>
      </c>
      <c r="S3" t="s">
        <v>5</v>
      </c>
      <c r="V3" t="s">
        <v>53</v>
      </c>
      <c r="Z3" t="s">
        <v>7</v>
      </c>
    </row>
    <row r="4" spans="1:27" x14ac:dyDescent="0.25">
      <c r="A4" s="3">
        <v>21</v>
      </c>
      <c r="B4" s="4">
        <v>166</v>
      </c>
      <c r="D4" s="1">
        <v>-1000000</v>
      </c>
      <c r="E4" s="1">
        <v>0</v>
      </c>
      <c r="G4" s="1">
        <v>-100000</v>
      </c>
      <c r="H4" s="1" t="s">
        <v>41</v>
      </c>
      <c r="J4" s="1">
        <v>-10000</v>
      </c>
      <c r="K4" s="1" t="s">
        <v>41</v>
      </c>
      <c r="M4" s="1">
        <v>-10000</v>
      </c>
      <c r="N4" t="s">
        <v>41</v>
      </c>
      <c r="P4">
        <v>-100000</v>
      </c>
      <c r="Q4" t="s">
        <v>41</v>
      </c>
      <c r="S4">
        <v>-100000</v>
      </c>
      <c r="T4" t="s">
        <v>41</v>
      </c>
      <c r="V4">
        <v>-100000</v>
      </c>
      <c r="W4" t="s">
        <v>54</v>
      </c>
      <c r="Z4">
        <v>-100000</v>
      </c>
      <c r="AA4" t="s">
        <v>58</v>
      </c>
    </row>
    <row r="5" spans="1:27" x14ac:dyDescent="0.25">
      <c r="A5" s="3">
        <v>22</v>
      </c>
      <c r="B5" s="4">
        <v>192</v>
      </c>
      <c r="D5" s="1">
        <v>1</v>
      </c>
      <c r="E5" s="1">
        <v>1</v>
      </c>
      <c r="G5" s="1">
        <v>1</v>
      </c>
      <c r="H5" s="7" t="s">
        <v>42</v>
      </c>
      <c r="J5" s="1">
        <v>1</v>
      </c>
      <c r="K5" s="7" t="s">
        <v>43</v>
      </c>
      <c r="M5">
        <v>1</v>
      </c>
      <c r="N5" s="5" t="s">
        <v>44</v>
      </c>
      <c r="P5">
        <v>1</v>
      </c>
      <c r="Q5" s="8" t="s">
        <v>42</v>
      </c>
      <c r="S5">
        <v>1</v>
      </c>
      <c r="T5" s="9" t="s">
        <v>49</v>
      </c>
      <c r="V5">
        <v>0.25</v>
      </c>
      <c r="W5" t="s">
        <v>55</v>
      </c>
      <c r="Z5">
        <v>26</v>
      </c>
      <c r="AA5" t="s">
        <v>59</v>
      </c>
    </row>
    <row r="6" spans="1:27" x14ac:dyDescent="0.25">
      <c r="A6" s="3">
        <v>23</v>
      </c>
      <c r="B6" s="4">
        <v>103</v>
      </c>
      <c r="D6" s="1">
        <v>2</v>
      </c>
      <c r="E6" s="1">
        <v>2</v>
      </c>
      <c r="G6" s="1">
        <v>100</v>
      </c>
      <c r="H6" s="1" t="s">
        <v>29</v>
      </c>
      <c r="J6" s="1">
        <v>60</v>
      </c>
      <c r="K6" s="1" t="s">
        <v>34</v>
      </c>
      <c r="M6" s="1">
        <v>10</v>
      </c>
      <c r="N6" s="5" t="s">
        <v>40</v>
      </c>
      <c r="P6">
        <v>100</v>
      </c>
      <c r="Q6" t="s">
        <v>45</v>
      </c>
      <c r="S6">
        <v>26</v>
      </c>
      <c r="T6" t="s">
        <v>50</v>
      </c>
      <c r="V6">
        <v>0.4</v>
      </c>
      <c r="W6" t="s">
        <v>56</v>
      </c>
      <c r="Z6">
        <v>36</v>
      </c>
      <c r="AA6" t="s">
        <v>60</v>
      </c>
    </row>
    <row r="7" spans="1:27" x14ac:dyDescent="0.25">
      <c r="A7" s="3">
        <v>24</v>
      </c>
      <c r="B7" s="4">
        <v>122</v>
      </c>
      <c r="D7" s="1">
        <v>3</v>
      </c>
      <c r="E7" s="5" t="s">
        <v>25</v>
      </c>
      <c r="G7" s="1">
        <v>126</v>
      </c>
      <c r="H7" s="1" t="s">
        <v>30</v>
      </c>
      <c r="J7" s="1">
        <v>70</v>
      </c>
      <c r="K7" s="1" t="s">
        <v>35</v>
      </c>
      <c r="M7" s="1">
        <v>30</v>
      </c>
      <c r="N7" s="1" t="s">
        <v>39</v>
      </c>
      <c r="P7">
        <v>200</v>
      </c>
      <c r="Q7" t="s">
        <v>46</v>
      </c>
      <c r="S7">
        <v>31</v>
      </c>
      <c r="T7" t="s">
        <v>51</v>
      </c>
      <c r="V7">
        <v>0.7</v>
      </c>
      <c r="W7" t="s">
        <v>57</v>
      </c>
      <c r="Z7">
        <v>46</v>
      </c>
      <c r="AA7" t="s">
        <v>61</v>
      </c>
    </row>
    <row r="8" spans="1:27" x14ac:dyDescent="0.25">
      <c r="A8" s="3">
        <v>25</v>
      </c>
      <c r="B8" s="4">
        <v>134</v>
      </c>
      <c r="D8" s="1">
        <v>5</v>
      </c>
      <c r="E8" s="6" t="s">
        <v>26</v>
      </c>
      <c r="G8" s="1">
        <v>151</v>
      </c>
      <c r="H8" s="1" t="s">
        <v>31</v>
      </c>
      <c r="J8" s="1">
        <v>80</v>
      </c>
      <c r="K8" s="1" t="s">
        <v>36</v>
      </c>
      <c r="M8" s="1">
        <v>40</v>
      </c>
      <c r="N8" s="1" t="s">
        <v>38</v>
      </c>
      <c r="P8">
        <v>300</v>
      </c>
      <c r="Q8" t="s">
        <v>48</v>
      </c>
      <c r="S8">
        <v>36</v>
      </c>
      <c r="T8" t="s">
        <v>52</v>
      </c>
    </row>
    <row r="9" spans="1:27" x14ac:dyDescent="0.25">
      <c r="A9" s="3">
        <v>26</v>
      </c>
      <c r="B9" s="4">
        <v>84</v>
      </c>
      <c r="D9" s="1">
        <v>8</v>
      </c>
      <c r="E9" s="1" t="s">
        <v>27</v>
      </c>
      <c r="G9" s="1">
        <v>176</v>
      </c>
      <c r="H9" s="1" t="s">
        <v>32</v>
      </c>
      <c r="P9">
        <v>500</v>
      </c>
      <c r="Q9" t="s">
        <v>47</v>
      </c>
    </row>
    <row r="10" spans="1:27" x14ac:dyDescent="0.25">
      <c r="A10" s="3">
        <v>27</v>
      </c>
      <c r="B10" s="4">
        <v>81</v>
      </c>
    </row>
    <row r="11" spans="1:27" x14ac:dyDescent="0.25">
      <c r="A11" s="3">
        <v>28</v>
      </c>
      <c r="B11" s="4">
        <v>98</v>
      </c>
    </row>
    <row r="12" spans="1:27" x14ac:dyDescent="0.25">
      <c r="A12" s="3">
        <v>29</v>
      </c>
      <c r="B12" s="4">
        <v>70</v>
      </c>
    </row>
    <row r="13" spans="1:27" x14ac:dyDescent="0.25">
      <c r="A13" s="3">
        <v>30</v>
      </c>
      <c r="B13" s="4">
        <v>56</v>
      </c>
    </row>
    <row r="14" spans="1:27" x14ac:dyDescent="0.25">
      <c r="A14" s="3">
        <v>31</v>
      </c>
      <c r="B14" s="4">
        <v>58</v>
      </c>
    </row>
    <row r="15" spans="1:27" x14ac:dyDescent="0.25">
      <c r="A15" s="3">
        <v>32</v>
      </c>
      <c r="B15" s="4">
        <v>31</v>
      </c>
    </row>
    <row r="16" spans="1:27" x14ac:dyDescent="0.25">
      <c r="A16" s="3">
        <v>33</v>
      </c>
      <c r="B16" s="4">
        <v>43</v>
      </c>
    </row>
    <row r="17" spans="1:2" x14ac:dyDescent="0.25">
      <c r="A17" s="3">
        <v>34</v>
      </c>
      <c r="B17" s="4">
        <v>34</v>
      </c>
    </row>
    <row r="18" spans="1:2" x14ac:dyDescent="0.25">
      <c r="A18" s="3">
        <v>35</v>
      </c>
      <c r="B18" s="4">
        <v>27</v>
      </c>
    </row>
    <row r="19" spans="1:2" x14ac:dyDescent="0.25">
      <c r="A19" s="3">
        <v>36</v>
      </c>
      <c r="B19" s="4">
        <v>46</v>
      </c>
    </row>
    <row r="20" spans="1:2" x14ac:dyDescent="0.25">
      <c r="A20" s="3">
        <v>37</v>
      </c>
      <c r="B20" s="4">
        <v>48</v>
      </c>
    </row>
    <row r="21" spans="1:2" x14ac:dyDescent="0.25">
      <c r="A21" s="3">
        <v>38</v>
      </c>
      <c r="B21" s="4">
        <v>45</v>
      </c>
    </row>
    <row r="22" spans="1:2" x14ac:dyDescent="0.25">
      <c r="A22" s="3">
        <v>39</v>
      </c>
      <c r="B22" s="4">
        <v>36</v>
      </c>
    </row>
    <row r="23" spans="1:2" x14ac:dyDescent="0.25">
      <c r="A23" s="3">
        <v>40</v>
      </c>
      <c r="B23" s="4">
        <v>35</v>
      </c>
    </row>
    <row r="24" spans="1:2" x14ac:dyDescent="0.25">
      <c r="A24" s="3">
        <v>41</v>
      </c>
      <c r="B24" s="4">
        <v>51</v>
      </c>
    </row>
    <row r="25" spans="1:2" x14ac:dyDescent="0.25">
      <c r="A25" s="3">
        <v>42</v>
      </c>
      <c r="B25" s="4">
        <v>48</v>
      </c>
    </row>
    <row r="26" spans="1:2" x14ac:dyDescent="0.25">
      <c r="A26" s="3">
        <v>43</v>
      </c>
      <c r="B26" s="4">
        <v>34</v>
      </c>
    </row>
    <row r="27" spans="1:2" x14ac:dyDescent="0.25">
      <c r="A27" s="3">
        <v>44</v>
      </c>
      <c r="B27" s="4">
        <v>20</v>
      </c>
    </row>
    <row r="28" spans="1:2" x14ac:dyDescent="0.25">
      <c r="A28" s="3">
        <v>45</v>
      </c>
      <c r="B28" s="4">
        <v>42</v>
      </c>
    </row>
    <row r="29" spans="1:2" x14ac:dyDescent="0.25">
      <c r="A29" s="3">
        <v>46</v>
      </c>
      <c r="B29" s="4">
        <v>35</v>
      </c>
    </row>
    <row r="30" spans="1:2" x14ac:dyDescent="0.25">
      <c r="A30" s="3">
        <v>47</v>
      </c>
      <c r="B30" s="4">
        <v>17</v>
      </c>
    </row>
    <row r="31" spans="1:2" x14ac:dyDescent="0.25">
      <c r="A31" s="3">
        <v>48</v>
      </c>
      <c r="B31" s="4">
        <v>14</v>
      </c>
    </row>
    <row r="32" spans="1:2" x14ac:dyDescent="0.25">
      <c r="A32" s="3">
        <v>49</v>
      </c>
      <c r="B32" s="4">
        <v>14</v>
      </c>
    </row>
    <row r="33" spans="1:2" x14ac:dyDescent="0.25">
      <c r="A33" s="3">
        <v>50</v>
      </c>
      <c r="B33" s="4">
        <v>21</v>
      </c>
    </row>
    <row r="34" spans="1:2" x14ac:dyDescent="0.25">
      <c r="A34" s="3">
        <v>51</v>
      </c>
      <c r="B34" s="4">
        <v>13</v>
      </c>
    </row>
    <row r="35" spans="1:2" x14ac:dyDescent="0.25">
      <c r="A35" s="3">
        <v>52</v>
      </c>
      <c r="B35" s="4">
        <v>19</v>
      </c>
    </row>
    <row r="36" spans="1:2" x14ac:dyDescent="0.25">
      <c r="A36" s="3">
        <v>53</v>
      </c>
      <c r="B36" s="4">
        <v>10</v>
      </c>
    </row>
    <row r="37" spans="1:2" x14ac:dyDescent="0.25">
      <c r="A37" s="3">
        <v>54</v>
      </c>
      <c r="B37" s="4">
        <v>12</v>
      </c>
    </row>
    <row r="38" spans="1:2" x14ac:dyDescent="0.25">
      <c r="A38" s="3">
        <v>55</v>
      </c>
      <c r="B38" s="4">
        <v>14</v>
      </c>
    </row>
    <row r="39" spans="1:2" x14ac:dyDescent="0.25">
      <c r="A39" s="3">
        <v>56</v>
      </c>
      <c r="B39" s="4">
        <v>7</v>
      </c>
    </row>
    <row r="40" spans="1:2" x14ac:dyDescent="0.25">
      <c r="A40" s="3">
        <v>57</v>
      </c>
      <c r="B40" s="4">
        <v>7</v>
      </c>
    </row>
    <row r="41" spans="1:2" x14ac:dyDescent="0.25">
      <c r="A41" s="3">
        <v>58</v>
      </c>
      <c r="B41" s="4">
        <v>21</v>
      </c>
    </row>
    <row r="42" spans="1:2" x14ac:dyDescent="0.25">
      <c r="A42" s="3">
        <v>59</v>
      </c>
      <c r="B42" s="4">
        <v>6</v>
      </c>
    </row>
    <row r="43" spans="1:2" x14ac:dyDescent="0.25">
      <c r="A43" s="3">
        <v>60</v>
      </c>
      <c r="B43" s="4">
        <v>7</v>
      </c>
    </row>
    <row r="44" spans="1:2" x14ac:dyDescent="0.25">
      <c r="A44" s="3">
        <v>61</v>
      </c>
      <c r="B44" s="4">
        <v>5</v>
      </c>
    </row>
    <row r="45" spans="1:2" x14ac:dyDescent="0.25">
      <c r="A45" s="3">
        <v>62</v>
      </c>
      <c r="B45" s="4">
        <v>10</v>
      </c>
    </row>
    <row r="46" spans="1:2" x14ac:dyDescent="0.25">
      <c r="A46" s="3">
        <v>63</v>
      </c>
      <c r="B46" s="4">
        <v>13</v>
      </c>
    </row>
    <row r="47" spans="1:2" x14ac:dyDescent="0.25">
      <c r="A47" s="3">
        <v>64</v>
      </c>
      <c r="B47" s="4">
        <v>3</v>
      </c>
    </row>
    <row r="48" spans="1:2" x14ac:dyDescent="0.25">
      <c r="A48" s="3">
        <v>65</v>
      </c>
      <c r="B48" s="4">
        <v>8</v>
      </c>
    </row>
    <row r="49" spans="1:2" x14ac:dyDescent="0.25">
      <c r="A49" s="3">
        <v>66</v>
      </c>
      <c r="B49" s="4">
        <v>12</v>
      </c>
    </row>
    <row r="50" spans="1:2" x14ac:dyDescent="0.25">
      <c r="A50" s="3">
        <v>67</v>
      </c>
      <c r="B50" s="4">
        <v>10</v>
      </c>
    </row>
    <row r="51" spans="1:2" x14ac:dyDescent="0.25">
      <c r="A51" s="3">
        <v>68</v>
      </c>
      <c r="B51" s="4">
        <v>3</v>
      </c>
    </row>
    <row r="52" spans="1:2" x14ac:dyDescent="0.25">
      <c r="A52" s="3">
        <v>69</v>
      </c>
      <c r="B52" s="4">
        <v>6</v>
      </c>
    </row>
    <row r="53" spans="1:2" x14ac:dyDescent="0.25">
      <c r="A53" s="3">
        <v>70</v>
      </c>
      <c r="B53" s="4">
        <v>3</v>
      </c>
    </row>
    <row r="54" spans="1:2" x14ac:dyDescent="0.25">
      <c r="A54" s="3">
        <v>72</v>
      </c>
      <c r="B54" s="4">
        <v>3</v>
      </c>
    </row>
    <row r="55" spans="1:2" x14ac:dyDescent="0.25">
      <c r="A55" s="3">
        <v>81</v>
      </c>
      <c r="B55" s="4">
        <v>3</v>
      </c>
    </row>
    <row r="56" spans="1:2" x14ac:dyDescent="0.25">
      <c r="A56" s="3" t="s">
        <v>23</v>
      </c>
      <c r="B56" s="4">
        <v>2000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2001"/>
  <sheetViews>
    <sheetView tabSelected="1" topLeftCell="M1" workbookViewId="0">
      <selection activeCell="S2" sqref="S2:S2001"/>
    </sheetView>
  </sheetViews>
  <sheetFormatPr defaultRowHeight="15" x14ac:dyDescent="0.25"/>
  <cols>
    <col min="1" max="1" width="11.7109375" style="1" bestFit="1" customWidth="1"/>
    <col min="2" max="2" width="8" style="1" customWidth="1"/>
    <col min="3" max="3" width="14" style="1" bestFit="1" customWidth="1"/>
    <col min="4" max="4" width="13.42578125" style="1" customWidth="1"/>
    <col min="5" max="8" width="8" style="1" customWidth="1"/>
    <col min="9" max="9" width="13.140625" style="1" customWidth="1"/>
    <col min="10" max="10" width="12.42578125" style="1" bestFit="1" customWidth="1"/>
    <col min="11" max="11" width="9.140625" style="1"/>
    <col min="12" max="12" width="16.140625" style="1" bestFit="1" customWidth="1"/>
    <col min="13" max="13" width="14.42578125" customWidth="1"/>
    <col min="14" max="14" width="20.42578125" bestFit="1" customWidth="1"/>
    <col min="15" max="15" width="19.85546875" bestFit="1" customWidth="1"/>
    <col min="16" max="16" width="17.42578125" bestFit="1" customWidth="1"/>
    <col min="17" max="17" width="14.85546875" bestFit="1" customWidth="1"/>
    <col min="18" max="18" width="32" bestFit="1" customWidth="1"/>
    <col min="19" max="19" width="10.28515625" bestFit="1" customWidth="1"/>
    <col min="20" max="20" width="16.42578125" customWidth="1"/>
    <col min="21" max="21" width="18.140625" customWidth="1"/>
    <col min="22" max="22" width="20" style="1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10</v>
      </c>
    </row>
    <row r="2" spans="1:22" x14ac:dyDescent="0.25">
      <c r="A2" s="1">
        <v>2</v>
      </c>
      <c r="B2" s="1">
        <v>138</v>
      </c>
      <c r="C2" s="1">
        <v>62</v>
      </c>
      <c r="D2" s="1">
        <v>35</v>
      </c>
      <c r="E2" s="1">
        <v>0</v>
      </c>
      <c r="F2" s="1">
        <v>33.6</v>
      </c>
      <c r="G2" s="1">
        <v>0.127</v>
      </c>
      <c r="H2" s="1">
        <v>47</v>
      </c>
      <c r="I2" s="1">
        <v>1</v>
      </c>
      <c r="J2" s="1">
        <f>IFERROR(VLOOKUP(K2,[1]diabetes_Recognition!$A:$B,2,FALSE),"Not Sampled")</f>
        <v>0</v>
      </c>
      <c r="K2" s="1">
        <v>0</v>
      </c>
      <c r="L2" s="1">
        <f>LOOKUP(A2,Sheet2!$D$4:$E$9)</f>
        <v>2</v>
      </c>
      <c r="M2" t="str">
        <f>LOOKUP(B2,Sheet2!$G$4:$H$9)</f>
        <v>126-150</v>
      </c>
      <c r="N2" t="str">
        <f>LOOKUP(C2,Sheet2!$J$4:$K$8)</f>
        <v>60-69</v>
      </c>
      <c r="O2" t="str">
        <f>LOOKUP(D2,Sheet2!$M$4:$N$8)</f>
        <v>30-39</v>
      </c>
      <c r="P2" t="str">
        <f>LOOKUP(E2,Sheet2!$P$4:$Q$9)</f>
        <v>Unknown</v>
      </c>
      <c r="Q2" t="str">
        <f>LOOKUP(F2,Sheet2!$S$4:$T$8)</f>
        <v>31-35</v>
      </c>
      <c r="R2" t="str">
        <f>LOOKUP(G2,Sheet2!$V$4:$W$7)</f>
        <v>0.0 - 0.249</v>
      </c>
      <c r="S2" t="str">
        <f>LOOKUP(H2,Sheet2!$Z$4:$AA$7)</f>
        <v>46+</v>
      </c>
      <c r="T2" t="str">
        <f>IF(I2=1,"Positive","Negative")</f>
        <v>Positive</v>
      </c>
      <c r="U2" t="str">
        <f>IF(J2=1,"Positive",(IF(J2=0,"Negative","Not Sampled")))</f>
        <v>Negative</v>
      </c>
      <c r="V2" s="1" t="str">
        <f>IF(U2="Not Sampled","Not Sampled",IF(T2=U2,"Accurate Prediction","Inaccurate Prediction"))</f>
        <v>Inaccurate Prediction</v>
      </c>
    </row>
    <row r="3" spans="1:22" x14ac:dyDescent="0.25">
      <c r="A3" s="1">
        <v>0</v>
      </c>
      <c r="B3" s="1">
        <v>84</v>
      </c>
      <c r="C3" s="1">
        <v>82</v>
      </c>
      <c r="D3" s="1">
        <v>31</v>
      </c>
      <c r="E3" s="1">
        <v>125</v>
      </c>
      <c r="F3" s="1">
        <v>38.200000000000003</v>
      </c>
      <c r="G3" s="1">
        <v>0.23300000000000001</v>
      </c>
      <c r="H3" s="1">
        <v>23</v>
      </c>
      <c r="I3" s="1">
        <v>0</v>
      </c>
      <c r="J3" s="1" t="str">
        <f>IFERROR(VLOOKUP(K3,[1]diabetes_Recognition!$A:$B,2,FALSE),"Not Sampled")</f>
        <v>Not Sampled</v>
      </c>
      <c r="K3" s="1">
        <v>1</v>
      </c>
      <c r="L3" s="1">
        <f>LOOKUP(A3,Sheet2!$D$4:$E$9)</f>
        <v>0</v>
      </c>
      <c r="M3" t="str">
        <f>LOOKUP(B3,Sheet2!$G$4:$H$9)</f>
        <v>1-99</v>
      </c>
      <c r="N3" t="str">
        <f>LOOKUP(C3,Sheet2!$J$4:$K$8)</f>
        <v>80+</v>
      </c>
      <c r="O3" t="str">
        <f>LOOKUP(D3,Sheet2!$M$4:$N$8)</f>
        <v>30-39</v>
      </c>
      <c r="P3" t="str">
        <f>LOOKUP(E3,Sheet2!$P$4:$Q$9)</f>
        <v>100-199</v>
      </c>
      <c r="Q3" t="str">
        <f>LOOKUP(F3,Sheet2!$S$4:$T$8)</f>
        <v>36+</v>
      </c>
      <c r="R3" t="str">
        <f>LOOKUP(G3,Sheet2!$V$4:$W$7)</f>
        <v>0.0 - 0.249</v>
      </c>
      <c r="S3" t="str">
        <f>LOOKUP(H3,Sheet2!$Z$4:$AA$7)</f>
        <v>&lt;=25</v>
      </c>
      <c r="T3" t="str">
        <f t="shared" ref="T3:T66" si="0">IF(I3=1,"Positive","Negative")</f>
        <v>Negative</v>
      </c>
      <c r="U3" t="str">
        <f t="shared" ref="U3:U66" si="1">IF(J3=1,"Positive",(IF(J3=0,"Negative","Not Sampled")))</f>
        <v>Not Sampled</v>
      </c>
      <c r="V3" s="1" t="str">
        <f t="shared" ref="V3:V66" si="2">IF(U3="Not Sampled","Not Sampled",IF(T3=U3,"Accurate Prediction","Inaccurate Prediction"))</f>
        <v>Not Sampled</v>
      </c>
    </row>
    <row r="4" spans="1:22" x14ac:dyDescent="0.25">
      <c r="A4" s="1">
        <v>0</v>
      </c>
      <c r="B4" s="1">
        <v>145</v>
      </c>
      <c r="C4" s="1">
        <v>0</v>
      </c>
      <c r="D4" s="1">
        <v>0</v>
      </c>
      <c r="E4" s="1">
        <v>0</v>
      </c>
      <c r="F4" s="1">
        <v>44.2</v>
      </c>
      <c r="G4" s="1">
        <v>0.63</v>
      </c>
      <c r="H4" s="1">
        <v>31</v>
      </c>
      <c r="I4" s="1">
        <v>1</v>
      </c>
      <c r="J4" s="1" t="str">
        <f>IFERROR(VLOOKUP(K4,[1]diabetes_Recognition!$A:$B,2,FALSE),"Not Sampled")</f>
        <v>Not Sampled</v>
      </c>
      <c r="K4" s="1">
        <v>2</v>
      </c>
      <c r="L4" s="1">
        <f>LOOKUP(A4,Sheet2!$D$4:$E$9)</f>
        <v>0</v>
      </c>
      <c r="M4" t="str">
        <f>LOOKUP(B4,Sheet2!$G$4:$H$9)</f>
        <v>126-150</v>
      </c>
      <c r="N4" t="str">
        <f>LOOKUP(C4,Sheet2!$J$4:$K$8)</f>
        <v>Unknown</v>
      </c>
      <c r="O4" t="str">
        <f>LOOKUP(D4,Sheet2!$M$4:$N$8)</f>
        <v>Unknown</v>
      </c>
      <c r="P4" t="str">
        <f>LOOKUP(E4,Sheet2!$P$4:$Q$9)</f>
        <v>Unknown</v>
      </c>
      <c r="Q4" t="str">
        <f>LOOKUP(F4,Sheet2!$S$4:$T$8)</f>
        <v>36+</v>
      </c>
      <c r="R4" t="str">
        <f>LOOKUP(G4,Sheet2!$V$4:$W$7)</f>
        <v>0.4 - 0.69</v>
      </c>
      <c r="S4" t="str">
        <f>LOOKUP(H4,Sheet2!$Z$4:$AA$7)</f>
        <v>26-35</v>
      </c>
      <c r="T4" t="str">
        <f t="shared" si="0"/>
        <v>Positive</v>
      </c>
      <c r="U4" t="str">
        <f t="shared" si="1"/>
        <v>Not Sampled</v>
      </c>
      <c r="V4" s="1" t="str">
        <f t="shared" si="2"/>
        <v>Not Sampled</v>
      </c>
    </row>
    <row r="5" spans="1:22" x14ac:dyDescent="0.25">
      <c r="A5" s="1">
        <v>0</v>
      </c>
      <c r="B5" s="1">
        <v>135</v>
      </c>
      <c r="C5" s="1">
        <v>68</v>
      </c>
      <c r="D5" s="1">
        <v>42</v>
      </c>
      <c r="E5" s="1">
        <v>250</v>
      </c>
      <c r="F5" s="1">
        <v>42.3</v>
      </c>
      <c r="G5" s="1">
        <v>0.36499999999999999</v>
      </c>
      <c r="H5" s="1">
        <v>24</v>
      </c>
      <c r="I5" s="1">
        <v>1</v>
      </c>
      <c r="J5" s="1">
        <f>IFERROR(VLOOKUP(K5,[1]diabetes_Recognition!$A:$B,2,FALSE),"Not Sampled")</f>
        <v>0</v>
      </c>
      <c r="K5" s="1">
        <v>3</v>
      </c>
      <c r="L5" s="1">
        <f>LOOKUP(A5,Sheet2!$D$4:$E$9)</f>
        <v>0</v>
      </c>
      <c r="M5" t="str">
        <f>LOOKUP(B5,Sheet2!$G$4:$H$9)</f>
        <v>126-150</v>
      </c>
      <c r="N5" t="str">
        <f>LOOKUP(C5,Sheet2!$J$4:$K$8)</f>
        <v>60-69</v>
      </c>
      <c r="O5" t="str">
        <f>LOOKUP(D5,Sheet2!$M$4:$N$8)</f>
        <v>40+</v>
      </c>
      <c r="P5" t="str">
        <f>LOOKUP(E5,Sheet2!$P$4:$Q$9)</f>
        <v>200-399</v>
      </c>
      <c r="Q5" t="str">
        <f>LOOKUP(F5,Sheet2!$S$4:$T$8)</f>
        <v>36+</v>
      </c>
      <c r="R5" t="str">
        <f>LOOKUP(G5,Sheet2!$V$4:$W$7)</f>
        <v>0.25 - 0.39</v>
      </c>
      <c r="S5" t="str">
        <f>LOOKUP(H5,Sheet2!$Z$4:$AA$7)</f>
        <v>&lt;=25</v>
      </c>
      <c r="T5" t="str">
        <f t="shared" si="0"/>
        <v>Positive</v>
      </c>
      <c r="U5" t="str">
        <f t="shared" si="1"/>
        <v>Negative</v>
      </c>
      <c r="V5" s="1" t="str">
        <f t="shared" si="2"/>
        <v>Inaccurate Prediction</v>
      </c>
    </row>
    <row r="6" spans="1:22" x14ac:dyDescent="0.25">
      <c r="A6" s="1">
        <v>1</v>
      </c>
      <c r="B6" s="1">
        <v>139</v>
      </c>
      <c r="C6" s="1">
        <v>62</v>
      </c>
      <c r="D6" s="1">
        <v>41</v>
      </c>
      <c r="E6" s="1">
        <v>480</v>
      </c>
      <c r="F6" s="1">
        <v>40.700000000000003</v>
      </c>
      <c r="G6" s="1">
        <v>0.53600000000000003</v>
      </c>
      <c r="H6" s="1">
        <v>21</v>
      </c>
      <c r="I6" s="1">
        <v>0</v>
      </c>
      <c r="J6" s="1" t="str">
        <f>IFERROR(VLOOKUP(K6,[1]diabetes_Recognition!$A:$B,2,FALSE),"Not Sampled")</f>
        <v>Not Sampled</v>
      </c>
      <c r="K6" s="1">
        <v>4</v>
      </c>
      <c r="L6" s="1">
        <f>LOOKUP(A6,Sheet2!$D$4:$E$9)</f>
        <v>1</v>
      </c>
      <c r="M6" t="str">
        <f>LOOKUP(B6,Sheet2!$G$4:$H$9)</f>
        <v>126-150</v>
      </c>
      <c r="N6" t="str">
        <f>LOOKUP(C6,Sheet2!$J$4:$K$8)</f>
        <v>60-69</v>
      </c>
      <c r="O6" t="str">
        <f>LOOKUP(D6,Sheet2!$M$4:$N$8)</f>
        <v>40+</v>
      </c>
      <c r="P6" t="str">
        <f>LOOKUP(E6,Sheet2!$P$4:$Q$9)</f>
        <v>300-499</v>
      </c>
      <c r="Q6" t="str">
        <f>LOOKUP(F6,Sheet2!$S$4:$T$8)</f>
        <v>36+</v>
      </c>
      <c r="R6" t="str">
        <f>LOOKUP(G6,Sheet2!$V$4:$W$7)</f>
        <v>0.4 - 0.69</v>
      </c>
      <c r="S6" t="str">
        <f>LOOKUP(H6,Sheet2!$Z$4:$AA$7)</f>
        <v>&lt;=25</v>
      </c>
      <c r="T6" t="str">
        <f t="shared" si="0"/>
        <v>Negative</v>
      </c>
      <c r="U6" t="str">
        <f t="shared" si="1"/>
        <v>Not Sampled</v>
      </c>
      <c r="V6" s="1" t="str">
        <f t="shared" si="2"/>
        <v>Not Sampled</v>
      </c>
    </row>
    <row r="7" spans="1:22" x14ac:dyDescent="0.25">
      <c r="A7" s="1">
        <v>0</v>
      </c>
      <c r="B7" s="1">
        <v>173</v>
      </c>
      <c r="C7" s="1">
        <v>78</v>
      </c>
      <c r="D7" s="1">
        <v>32</v>
      </c>
      <c r="E7" s="1">
        <v>265</v>
      </c>
      <c r="F7" s="1">
        <v>46.5</v>
      </c>
      <c r="G7" s="1">
        <v>1.159</v>
      </c>
      <c r="H7" s="1">
        <v>58</v>
      </c>
      <c r="I7" s="1">
        <v>0</v>
      </c>
      <c r="J7" s="1" t="str">
        <f>IFERROR(VLOOKUP(K7,[1]diabetes_Recognition!$A:$B,2,FALSE),"Not Sampled")</f>
        <v>Not Sampled</v>
      </c>
      <c r="K7" s="1">
        <v>5</v>
      </c>
      <c r="L7" s="1">
        <f>LOOKUP(A7,Sheet2!$D$4:$E$9)</f>
        <v>0</v>
      </c>
      <c r="M7" t="str">
        <f>LOOKUP(B7,Sheet2!$G$4:$H$9)</f>
        <v>151-175</v>
      </c>
      <c r="N7" t="str">
        <f>LOOKUP(C7,Sheet2!$J$4:$K$8)</f>
        <v>70-79</v>
      </c>
      <c r="O7" t="str">
        <f>LOOKUP(D7,Sheet2!$M$4:$N$8)</f>
        <v>30-39</v>
      </c>
      <c r="P7" t="str">
        <f>LOOKUP(E7,Sheet2!$P$4:$Q$9)</f>
        <v>200-399</v>
      </c>
      <c r="Q7" t="str">
        <f>LOOKUP(F7,Sheet2!$S$4:$T$8)</f>
        <v>36+</v>
      </c>
      <c r="R7" t="str">
        <f>LOOKUP(G7,Sheet2!$V$4:$W$7)</f>
        <v>0.7+</v>
      </c>
      <c r="S7" t="str">
        <f>LOOKUP(H7,Sheet2!$Z$4:$AA$7)</f>
        <v>46+</v>
      </c>
      <c r="T7" t="str">
        <f t="shared" si="0"/>
        <v>Negative</v>
      </c>
      <c r="U7" t="str">
        <f t="shared" si="1"/>
        <v>Not Sampled</v>
      </c>
      <c r="V7" s="1" t="str">
        <f t="shared" si="2"/>
        <v>Not Sampled</v>
      </c>
    </row>
    <row r="8" spans="1:22" x14ac:dyDescent="0.25">
      <c r="A8" s="1">
        <v>4</v>
      </c>
      <c r="B8" s="1">
        <v>99</v>
      </c>
      <c r="C8" s="1">
        <v>72</v>
      </c>
      <c r="D8" s="1">
        <v>17</v>
      </c>
      <c r="E8" s="1">
        <v>0</v>
      </c>
      <c r="F8" s="1">
        <v>25.6</v>
      </c>
      <c r="G8" s="1">
        <v>0.29399999999999998</v>
      </c>
      <c r="H8" s="1">
        <v>28</v>
      </c>
      <c r="I8" s="1">
        <v>0</v>
      </c>
      <c r="J8" s="1" t="str">
        <f>IFERROR(VLOOKUP(K8,[1]diabetes_Recognition!$A:$B,2,FALSE),"Not Sampled")</f>
        <v>Not Sampled</v>
      </c>
      <c r="K8" s="1">
        <v>6</v>
      </c>
      <c r="L8" s="1" t="str">
        <f>LOOKUP(A8,Sheet2!$D$4:$E$9)</f>
        <v>3-4</v>
      </c>
      <c r="M8" t="str">
        <f>LOOKUP(B8,Sheet2!$G$4:$H$9)</f>
        <v>1-99</v>
      </c>
      <c r="N8" t="str">
        <f>LOOKUP(C8,Sheet2!$J$4:$K$8)</f>
        <v>70-79</v>
      </c>
      <c r="O8" t="str">
        <f>LOOKUP(D8,Sheet2!$M$4:$N$8)</f>
        <v>10-30</v>
      </c>
      <c r="P8" t="str">
        <f>LOOKUP(E8,Sheet2!$P$4:$Q$9)</f>
        <v>Unknown</v>
      </c>
      <c r="Q8" t="str">
        <f>LOOKUP(F8,Sheet2!$S$4:$T$8)</f>
        <v>1-25</v>
      </c>
      <c r="R8" t="str">
        <f>LOOKUP(G8,Sheet2!$V$4:$W$7)</f>
        <v>0.25 - 0.39</v>
      </c>
      <c r="S8" t="str">
        <f>LOOKUP(H8,Sheet2!$Z$4:$AA$7)</f>
        <v>26-35</v>
      </c>
      <c r="T8" t="str">
        <f t="shared" si="0"/>
        <v>Negative</v>
      </c>
      <c r="U8" t="str">
        <f t="shared" si="1"/>
        <v>Not Sampled</v>
      </c>
      <c r="V8" s="1" t="str">
        <f t="shared" si="2"/>
        <v>Not Sampled</v>
      </c>
    </row>
    <row r="9" spans="1:22" x14ac:dyDescent="0.25">
      <c r="A9" s="1">
        <v>8</v>
      </c>
      <c r="B9" s="1">
        <v>194</v>
      </c>
      <c r="C9" s="1">
        <v>80</v>
      </c>
      <c r="D9" s="1">
        <v>0</v>
      </c>
      <c r="E9" s="1">
        <v>0</v>
      </c>
      <c r="F9" s="1">
        <v>26.1</v>
      </c>
      <c r="G9" s="1">
        <v>0.55100000000000005</v>
      </c>
      <c r="H9" s="1">
        <v>67</v>
      </c>
      <c r="I9" s="1">
        <v>0</v>
      </c>
      <c r="J9" s="1" t="str">
        <f>IFERROR(VLOOKUP(K9,[1]diabetes_Recognition!$A:$B,2,FALSE),"Not Sampled")</f>
        <v>Not Sampled</v>
      </c>
      <c r="K9" s="1">
        <v>7</v>
      </c>
      <c r="L9" s="1" t="str">
        <f>LOOKUP(A9,Sheet2!$D$4:$E$9)</f>
        <v>8+</v>
      </c>
      <c r="M9" t="str">
        <f>LOOKUP(B9,Sheet2!$G$4:$H$9)</f>
        <v>176-200</v>
      </c>
      <c r="N9" t="str">
        <f>LOOKUP(C9,Sheet2!$J$4:$K$8)</f>
        <v>80+</v>
      </c>
      <c r="O9" t="str">
        <f>LOOKUP(D9,Sheet2!$M$4:$N$8)</f>
        <v>Unknown</v>
      </c>
      <c r="P9" t="str">
        <f>LOOKUP(E9,Sheet2!$P$4:$Q$9)</f>
        <v>Unknown</v>
      </c>
      <c r="Q9" t="str">
        <f>LOOKUP(F9,Sheet2!$S$4:$T$8)</f>
        <v>26-30</v>
      </c>
      <c r="R9" t="str">
        <f>LOOKUP(G9,Sheet2!$V$4:$W$7)</f>
        <v>0.4 - 0.69</v>
      </c>
      <c r="S9" t="str">
        <f>LOOKUP(H9,Sheet2!$Z$4:$AA$7)</f>
        <v>46+</v>
      </c>
      <c r="T9" t="str">
        <f t="shared" si="0"/>
        <v>Negative</v>
      </c>
      <c r="U9" t="str">
        <f t="shared" si="1"/>
        <v>Not Sampled</v>
      </c>
      <c r="V9" s="1" t="str">
        <f t="shared" si="2"/>
        <v>Not Sampled</v>
      </c>
    </row>
    <row r="10" spans="1:22" x14ac:dyDescent="0.25">
      <c r="A10" s="1">
        <v>2</v>
      </c>
      <c r="B10" s="1">
        <v>83</v>
      </c>
      <c r="C10" s="1">
        <v>65</v>
      </c>
      <c r="D10" s="1">
        <v>28</v>
      </c>
      <c r="E10" s="1">
        <v>66</v>
      </c>
      <c r="F10" s="1">
        <v>36.799999999999997</v>
      </c>
      <c r="G10" s="1">
        <v>0.629</v>
      </c>
      <c r="H10" s="1">
        <v>24</v>
      </c>
      <c r="I10" s="1">
        <v>0</v>
      </c>
      <c r="J10" s="1">
        <f>IFERROR(VLOOKUP(K10,[1]diabetes_Recognition!$A:$B,2,FALSE),"Not Sampled")</f>
        <v>0</v>
      </c>
      <c r="K10" s="1">
        <v>8</v>
      </c>
      <c r="L10" s="1">
        <f>LOOKUP(A10,Sheet2!$D$4:$E$9)</f>
        <v>2</v>
      </c>
      <c r="M10" t="str">
        <f>LOOKUP(B10,Sheet2!$G$4:$H$9)</f>
        <v>1-99</v>
      </c>
      <c r="N10" t="str">
        <f>LOOKUP(C10,Sheet2!$J$4:$K$8)</f>
        <v>60-69</v>
      </c>
      <c r="O10" t="str">
        <f>LOOKUP(D10,Sheet2!$M$4:$N$8)</f>
        <v>10-30</v>
      </c>
      <c r="P10" t="str">
        <f>LOOKUP(E10,Sheet2!$P$4:$Q$9)</f>
        <v>1-99</v>
      </c>
      <c r="Q10" t="str">
        <f>LOOKUP(F10,Sheet2!$S$4:$T$8)</f>
        <v>36+</v>
      </c>
      <c r="R10" t="str">
        <f>LOOKUP(G10,Sheet2!$V$4:$W$7)</f>
        <v>0.4 - 0.69</v>
      </c>
      <c r="S10" t="str">
        <f>LOOKUP(H10,Sheet2!$Z$4:$AA$7)</f>
        <v>&lt;=25</v>
      </c>
      <c r="T10" t="str">
        <f t="shared" si="0"/>
        <v>Negative</v>
      </c>
      <c r="U10" t="str">
        <f t="shared" si="1"/>
        <v>Negative</v>
      </c>
      <c r="V10" s="1" t="str">
        <f t="shared" si="2"/>
        <v>Accurate Prediction</v>
      </c>
    </row>
    <row r="11" spans="1:22" x14ac:dyDescent="0.25">
      <c r="A11" s="1">
        <v>2</v>
      </c>
      <c r="B11" s="1">
        <v>89</v>
      </c>
      <c r="C11" s="1">
        <v>90</v>
      </c>
      <c r="D11" s="1">
        <v>30</v>
      </c>
      <c r="E11" s="1">
        <v>0</v>
      </c>
      <c r="F11" s="1">
        <v>33.5</v>
      </c>
      <c r="G11" s="1">
        <v>0.29199999999999998</v>
      </c>
      <c r="H11" s="1">
        <v>42</v>
      </c>
      <c r="I11" s="1">
        <v>0</v>
      </c>
      <c r="J11" s="1" t="str">
        <f>IFERROR(VLOOKUP(K11,[1]diabetes_Recognition!$A:$B,2,FALSE),"Not Sampled")</f>
        <v>Not Sampled</v>
      </c>
      <c r="K11" s="1">
        <v>9</v>
      </c>
      <c r="L11" s="1">
        <f>LOOKUP(A11,Sheet2!$D$4:$E$9)</f>
        <v>2</v>
      </c>
      <c r="M11" t="str">
        <f>LOOKUP(B11,Sheet2!$G$4:$H$9)</f>
        <v>1-99</v>
      </c>
      <c r="N11" t="str">
        <f>LOOKUP(C11,Sheet2!$J$4:$K$8)</f>
        <v>80+</v>
      </c>
      <c r="O11" t="str">
        <f>LOOKUP(D11,Sheet2!$M$4:$N$8)</f>
        <v>30-39</v>
      </c>
      <c r="P11" t="str">
        <f>LOOKUP(E11,Sheet2!$P$4:$Q$9)</f>
        <v>Unknown</v>
      </c>
      <c r="Q11" t="str">
        <f>LOOKUP(F11,Sheet2!$S$4:$T$8)</f>
        <v>31-35</v>
      </c>
      <c r="R11" t="str">
        <f>LOOKUP(G11,Sheet2!$V$4:$W$7)</f>
        <v>0.25 - 0.39</v>
      </c>
      <c r="S11" t="str">
        <f>LOOKUP(H11,Sheet2!$Z$4:$AA$7)</f>
        <v>36-45</v>
      </c>
      <c r="T11" t="str">
        <f t="shared" si="0"/>
        <v>Negative</v>
      </c>
      <c r="U11" t="str">
        <f t="shared" si="1"/>
        <v>Not Sampled</v>
      </c>
      <c r="V11" s="1" t="str">
        <f t="shared" si="2"/>
        <v>Not Sampled</v>
      </c>
    </row>
    <row r="12" spans="1:22" x14ac:dyDescent="0.25">
      <c r="A12" s="1">
        <v>4</v>
      </c>
      <c r="B12" s="1">
        <v>99</v>
      </c>
      <c r="C12" s="1">
        <v>68</v>
      </c>
      <c r="D12" s="1">
        <v>38</v>
      </c>
      <c r="E12" s="1">
        <v>0</v>
      </c>
      <c r="F12" s="1">
        <v>32.799999999999997</v>
      </c>
      <c r="G12" s="1">
        <v>0.14499999999999999</v>
      </c>
      <c r="H12" s="1">
        <v>33</v>
      </c>
      <c r="I12" s="1">
        <v>0</v>
      </c>
      <c r="J12" s="1" t="str">
        <f>IFERROR(VLOOKUP(K12,[1]diabetes_Recognition!$A:$B,2,FALSE),"Not Sampled")</f>
        <v>Not Sampled</v>
      </c>
      <c r="K12" s="1">
        <v>10</v>
      </c>
      <c r="L12" s="1" t="str">
        <f>LOOKUP(A12,Sheet2!$D$4:$E$9)</f>
        <v>3-4</v>
      </c>
      <c r="M12" t="str">
        <f>LOOKUP(B12,Sheet2!$G$4:$H$9)</f>
        <v>1-99</v>
      </c>
      <c r="N12" t="str">
        <f>LOOKUP(C12,Sheet2!$J$4:$K$8)</f>
        <v>60-69</v>
      </c>
      <c r="O12" t="str">
        <f>LOOKUP(D12,Sheet2!$M$4:$N$8)</f>
        <v>30-39</v>
      </c>
      <c r="P12" t="str">
        <f>LOOKUP(E12,Sheet2!$P$4:$Q$9)</f>
        <v>Unknown</v>
      </c>
      <c r="Q12" t="str">
        <f>LOOKUP(F12,Sheet2!$S$4:$T$8)</f>
        <v>31-35</v>
      </c>
      <c r="R12" t="str">
        <f>LOOKUP(G12,Sheet2!$V$4:$W$7)</f>
        <v>0.0 - 0.249</v>
      </c>
      <c r="S12" t="str">
        <f>LOOKUP(H12,Sheet2!$Z$4:$AA$7)</f>
        <v>26-35</v>
      </c>
      <c r="T12" t="str">
        <f t="shared" si="0"/>
        <v>Negative</v>
      </c>
      <c r="U12" t="str">
        <f t="shared" si="1"/>
        <v>Not Sampled</v>
      </c>
      <c r="V12" s="1" t="str">
        <f t="shared" si="2"/>
        <v>Not Sampled</v>
      </c>
    </row>
    <row r="13" spans="1:22" x14ac:dyDescent="0.25">
      <c r="A13" s="1">
        <v>4</v>
      </c>
      <c r="B13" s="1">
        <v>125</v>
      </c>
      <c r="C13" s="1">
        <v>70</v>
      </c>
      <c r="D13" s="1">
        <v>18</v>
      </c>
      <c r="E13" s="1">
        <v>122</v>
      </c>
      <c r="F13" s="1">
        <v>28.9</v>
      </c>
      <c r="G13" s="1">
        <v>1.1439999999999999</v>
      </c>
      <c r="H13" s="1">
        <v>45</v>
      </c>
      <c r="I13" s="1">
        <v>1</v>
      </c>
      <c r="J13" s="1">
        <f>IFERROR(VLOOKUP(K13,[1]diabetes_Recognition!$A:$B,2,FALSE),"Not Sampled")</f>
        <v>0</v>
      </c>
      <c r="K13" s="1">
        <v>11</v>
      </c>
      <c r="L13" s="1" t="str">
        <f>LOOKUP(A13,Sheet2!$D$4:$E$9)</f>
        <v>3-4</v>
      </c>
      <c r="M13" t="str">
        <f>LOOKUP(B13,Sheet2!$G$4:$H$9)</f>
        <v>100-125</v>
      </c>
      <c r="N13" t="str">
        <f>LOOKUP(C13,Sheet2!$J$4:$K$8)</f>
        <v>70-79</v>
      </c>
      <c r="O13" t="str">
        <f>LOOKUP(D13,Sheet2!$M$4:$N$8)</f>
        <v>10-30</v>
      </c>
      <c r="P13" t="str">
        <f>LOOKUP(E13,Sheet2!$P$4:$Q$9)</f>
        <v>100-199</v>
      </c>
      <c r="Q13" t="str">
        <f>LOOKUP(F13,Sheet2!$S$4:$T$8)</f>
        <v>26-30</v>
      </c>
      <c r="R13" t="str">
        <f>LOOKUP(G13,Sheet2!$V$4:$W$7)</f>
        <v>0.7+</v>
      </c>
      <c r="S13" t="str">
        <f>LOOKUP(H13,Sheet2!$Z$4:$AA$7)</f>
        <v>36-45</v>
      </c>
      <c r="T13" t="str">
        <f t="shared" si="0"/>
        <v>Positive</v>
      </c>
      <c r="U13" t="str">
        <f t="shared" si="1"/>
        <v>Negative</v>
      </c>
      <c r="V13" s="1" t="str">
        <f t="shared" si="2"/>
        <v>Inaccurate Prediction</v>
      </c>
    </row>
    <row r="14" spans="1:22" x14ac:dyDescent="0.25">
      <c r="A14" s="1">
        <v>3</v>
      </c>
      <c r="B14" s="1">
        <v>80</v>
      </c>
      <c r="C14" s="1">
        <v>0</v>
      </c>
      <c r="D14" s="1">
        <v>0</v>
      </c>
      <c r="E14" s="1">
        <v>0</v>
      </c>
      <c r="F14" s="1">
        <v>0</v>
      </c>
      <c r="G14" s="1">
        <v>0.17399999999999999</v>
      </c>
      <c r="H14" s="1">
        <v>22</v>
      </c>
      <c r="I14" s="1">
        <v>0</v>
      </c>
      <c r="J14" s="1" t="str">
        <f>IFERROR(VLOOKUP(K14,[1]diabetes_Recognition!$A:$B,2,FALSE),"Not Sampled")</f>
        <v>Not Sampled</v>
      </c>
      <c r="K14" s="1">
        <v>12</v>
      </c>
      <c r="L14" s="1" t="str">
        <f>LOOKUP(A14,Sheet2!$D$4:$E$9)</f>
        <v>3-4</v>
      </c>
      <c r="M14" t="str">
        <f>LOOKUP(B14,Sheet2!$G$4:$H$9)</f>
        <v>1-99</v>
      </c>
      <c r="N14" t="str">
        <f>LOOKUP(C14,Sheet2!$J$4:$K$8)</f>
        <v>Unknown</v>
      </c>
      <c r="O14" t="str">
        <f>LOOKUP(D14,Sheet2!$M$4:$N$8)</f>
        <v>Unknown</v>
      </c>
      <c r="P14" t="str">
        <f>LOOKUP(E14,Sheet2!$P$4:$Q$9)</f>
        <v>Unknown</v>
      </c>
      <c r="Q14" t="str">
        <f>LOOKUP(F14,Sheet2!$S$4:$T$8)</f>
        <v>Unknown</v>
      </c>
      <c r="R14" t="str">
        <f>LOOKUP(G14,Sheet2!$V$4:$W$7)</f>
        <v>0.0 - 0.249</v>
      </c>
      <c r="S14" t="str">
        <f>LOOKUP(H14,Sheet2!$Z$4:$AA$7)</f>
        <v>&lt;=25</v>
      </c>
      <c r="T14" t="str">
        <f t="shared" si="0"/>
        <v>Negative</v>
      </c>
      <c r="U14" t="str">
        <f t="shared" si="1"/>
        <v>Not Sampled</v>
      </c>
      <c r="V14" s="1" t="str">
        <f t="shared" si="2"/>
        <v>Not Sampled</v>
      </c>
    </row>
    <row r="15" spans="1:22" x14ac:dyDescent="0.25">
      <c r="A15" s="1">
        <v>6</v>
      </c>
      <c r="B15" s="1">
        <v>166</v>
      </c>
      <c r="C15" s="1">
        <v>74</v>
      </c>
      <c r="D15" s="1">
        <v>0</v>
      </c>
      <c r="E15" s="1">
        <v>0</v>
      </c>
      <c r="F15" s="1">
        <v>26.6</v>
      </c>
      <c r="G15" s="1">
        <v>0.30399999999999999</v>
      </c>
      <c r="H15" s="1">
        <v>66</v>
      </c>
      <c r="I15" s="1">
        <v>0</v>
      </c>
      <c r="J15" s="1" t="str">
        <f>IFERROR(VLOOKUP(K15,[1]diabetes_Recognition!$A:$B,2,FALSE),"Not Sampled")</f>
        <v>Not Sampled</v>
      </c>
      <c r="K15" s="1">
        <v>13</v>
      </c>
      <c r="L15" s="1" t="str">
        <f>LOOKUP(A15,Sheet2!$D$4:$E$9)</f>
        <v>5-7</v>
      </c>
      <c r="M15" t="str">
        <f>LOOKUP(B15,Sheet2!$G$4:$H$9)</f>
        <v>151-175</v>
      </c>
      <c r="N15" t="str">
        <f>LOOKUP(C15,Sheet2!$J$4:$K$8)</f>
        <v>70-79</v>
      </c>
      <c r="O15" t="str">
        <f>LOOKUP(D15,Sheet2!$M$4:$N$8)</f>
        <v>Unknown</v>
      </c>
      <c r="P15" t="str">
        <f>LOOKUP(E15,Sheet2!$P$4:$Q$9)</f>
        <v>Unknown</v>
      </c>
      <c r="Q15" t="str">
        <f>LOOKUP(F15,Sheet2!$S$4:$T$8)</f>
        <v>26-30</v>
      </c>
      <c r="R15" t="str">
        <f>LOOKUP(G15,Sheet2!$V$4:$W$7)</f>
        <v>0.25 - 0.39</v>
      </c>
      <c r="S15" t="str">
        <f>LOOKUP(H15,Sheet2!$Z$4:$AA$7)</f>
        <v>46+</v>
      </c>
      <c r="T15" t="str">
        <f t="shared" si="0"/>
        <v>Negative</v>
      </c>
      <c r="U15" t="str">
        <f t="shared" si="1"/>
        <v>Not Sampled</v>
      </c>
      <c r="V15" s="1" t="str">
        <f t="shared" si="2"/>
        <v>Not Sampled</v>
      </c>
    </row>
    <row r="16" spans="1:22" x14ac:dyDescent="0.25">
      <c r="A16" s="1">
        <v>5</v>
      </c>
      <c r="B16" s="1">
        <v>110</v>
      </c>
      <c r="C16" s="1">
        <v>68</v>
      </c>
      <c r="D16" s="1">
        <v>0</v>
      </c>
      <c r="E16" s="1">
        <v>0</v>
      </c>
      <c r="F16" s="1">
        <v>26</v>
      </c>
      <c r="G16" s="1">
        <v>0.29199999999999998</v>
      </c>
      <c r="H16" s="1">
        <v>30</v>
      </c>
      <c r="I16" s="1">
        <v>0</v>
      </c>
      <c r="J16" s="1" t="str">
        <f>IFERROR(VLOOKUP(K16,[1]diabetes_Recognition!$A:$B,2,FALSE),"Not Sampled")</f>
        <v>Not Sampled</v>
      </c>
      <c r="K16" s="1">
        <v>14</v>
      </c>
      <c r="L16" s="1" t="str">
        <f>LOOKUP(A16,Sheet2!$D$4:$E$9)</f>
        <v>5-7</v>
      </c>
      <c r="M16" t="str">
        <f>LOOKUP(B16,Sheet2!$G$4:$H$9)</f>
        <v>100-125</v>
      </c>
      <c r="N16" t="str">
        <f>LOOKUP(C16,Sheet2!$J$4:$K$8)</f>
        <v>60-69</v>
      </c>
      <c r="O16" t="str">
        <f>LOOKUP(D16,Sheet2!$M$4:$N$8)</f>
        <v>Unknown</v>
      </c>
      <c r="P16" t="str">
        <f>LOOKUP(E16,Sheet2!$P$4:$Q$9)</f>
        <v>Unknown</v>
      </c>
      <c r="Q16" t="str">
        <f>LOOKUP(F16,Sheet2!$S$4:$T$8)</f>
        <v>26-30</v>
      </c>
      <c r="R16" t="str">
        <f>LOOKUP(G16,Sheet2!$V$4:$W$7)</f>
        <v>0.25 - 0.39</v>
      </c>
      <c r="S16" t="str">
        <f>LOOKUP(H16,Sheet2!$Z$4:$AA$7)</f>
        <v>26-35</v>
      </c>
      <c r="T16" t="str">
        <f t="shared" si="0"/>
        <v>Negative</v>
      </c>
      <c r="U16" t="str">
        <f t="shared" si="1"/>
        <v>Not Sampled</v>
      </c>
      <c r="V16" s="1" t="str">
        <f t="shared" si="2"/>
        <v>Not Sampled</v>
      </c>
    </row>
    <row r="17" spans="1:22" x14ac:dyDescent="0.25">
      <c r="A17" s="1">
        <v>2</v>
      </c>
      <c r="B17" s="1">
        <v>81</v>
      </c>
      <c r="C17" s="1">
        <v>72</v>
      </c>
      <c r="D17" s="1">
        <v>15</v>
      </c>
      <c r="E17" s="1">
        <v>76</v>
      </c>
      <c r="F17" s="1">
        <v>30.1</v>
      </c>
      <c r="G17" s="1">
        <v>0.54700000000000004</v>
      </c>
      <c r="H17" s="1">
        <v>25</v>
      </c>
      <c r="I17" s="1">
        <v>0</v>
      </c>
      <c r="J17" s="1" t="str">
        <f>IFERROR(VLOOKUP(K17,[1]diabetes_Recognition!$A:$B,2,FALSE),"Not Sampled")</f>
        <v>Not Sampled</v>
      </c>
      <c r="K17" s="1">
        <v>15</v>
      </c>
      <c r="L17" s="1">
        <f>LOOKUP(A17,Sheet2!$D$4:$E$9)</f>
        <v>2</v>
      </c>
      <c r="M17" t="str">
        <f>LOOKUP(B17,Sheet2!$G$4:$H$9)</f>
        <v>1-99</v>
      </c>
      <c r="N17" t="str">
        <f>LOOKUP(C17,Sheet2!$J$4:$K$8)</f>
        <v>70-79</v>
      </c>
      <c r="O17" t="str">
        <f>LOOKUP(D17,Sheet2!$M$4:$N$8)</f>
        <v>10-30</v>
      </c>
      <c r="P17" t="str">
        <f>LOOKUP(E17,Sheet2!$P$4:$Q$9)</f>
        <v>1-99</v>
      </c>
      <c r="Q17" t="str">
        <f>LOOKUP(F17,Sheet2!$S$4:$T$8)</f>
        <v>26-30</v>
      </c>
      <c r="R17" t="str">
        <f>LOOKUP(G17,Sheet2!$V$4:$W$7)</f>
        <v>0.4 - 0.69</v>
      </c>
      <c r="S17" t="str">
        <f>LOOKUP(H17,Sheet2!$Z$4:$AA$7)</f>
        <v>&lt;=25</v>
      </c>
      <c r="T17" t="str">
        <f t="shared" si="0"/>
        <v>Negative</v>
      </c>
      <c r="U17" t="str">
        <f t="shared" si="1"/>
        <v>Not Sampled</v>
      </c>
      <c r="V17" s="1" t="str">
        <f t="shared" si="2"/>
        <v>Not Sampled</v>
      </c>
    </row>
    <row r="18" spans="1:22" x14ac:dyDescent="0.25">
      <c r="A18" s="1">
        <v>7</v>
      </c>
      <c r="B18" s="1">
        <v>195</v>
      </c>
      <c r="C18" s="1">
        <v>70</v>
      </c>
      <c r="D18" s="1">
        <v>33</v>
      </c>
      <c r="E18" s="1">
        <v>145</v>
      </c>
      <c r="F18" s="1">
        <v>25.1</v>
      </c>
      <c r="G18" s="1">
        <v>0.16300000000000001</v>
      </c>
      <c r="H18" s="1">
        <v>55</v>
      </c>
      <c r="I18" s="1">
        <v>1</v>
      </c>
      <c r="J18" s="1" t="str">
        <f>IFERROR(VLOOKUP(K18,[1]diabetes_Recognition!$A:$B,2,FALSE),"Not Sampled")</f>
        <v>Not Sampled</v>
      </c>
      <c r="K18" s="1">
        <v>16</v>
      </c>
      <c r="L18" s="1" t="str">
        <f>LOOKUP(A18,Sheet2!$D$4:$E$9)</f>
        <v>5-7</v>
      </c>
      <c r="M18" t="str">
        <f>LOOKUP(B18,Sheet2!$G$4:$H$9)</f>
        <v>176-200</v>
      </c>
      <c r="N18" t="str">
        <f>LOOKUP(C18,Sheet2!$J$4:$K$8)</f>
        <v>70-79</v>
      </c>
      <c r="O18" t="str">
        <f>LOOKUP(D18,Sheet2!$M$4:$N$8)</f>
        <v>30-39</v>
      </c>
      <c r="P18" t="str">
        <f>LOOKUP(E18,Sheet2!$P$4:$Q$9)</f>
        <v>100-199</v>
      </c>
      <c r="Q18" t="str">
        <f>LOOKUP(F18,Sheet2!$S$4:$T$8)</f>
        <v>1-25</v>
      </c>
      <c r="R18" t="str">
        <f>LOOKUP(G18,Sheet2!$V$4:$W$7)</f>
        <v>0.0 - 0.249</v>
      </c>
      <c r="S18" t="str">
        <f>LOOKUP(H18,Sheet2!$Z$4:$AA$7)</f>
        <v>46+</v>
      </c>
      <c r="T18" t="str">
        <f t="shared" si="0"/>
        <v>Positive</v>
      </c>
      <c r="U18" t="str">
        <f t="shared" si="1"/>
        <v>Not Sampled</v>
      </c>
      <c r="V18" s="1" t="str">
        <f t="shared" si="2"/>
        <v>Not Sampled</v>
      </c>
    </row>
    <row r="19" spans="1:22" x14ac:dyDescent="0.25">
      <c r="A19" s="1">
        <v>6</v>
      </c>
      <c r="B19" s="1">
        <v>154</v>
      </c>
      <c r="C19" s="1">
        <v>74</v>
      </c>
      <c r="D19" s="1">
        <v>32</v>
      </c>
      <c r="E19" s="1">
        <v>193</v>
      </c>
      <c r="F19" s="1">
        <v>29.3</v>
      </c>
      <c r="G19" s="1">
        <v>0.83899999999999997</v>
      </c>
      <c r="H19" s="1">
        <v>39</v>
      </c>
      <c r="I19" s="1">
        <v>0</v>
      </c>
      <c r="J19" s="1">
        <f>IFERROR(VLOOKUP(K19,[1]diabetes_Recognition!$A:$B,2,FALSE),"Not Sampled")</f>
        <v>1</v>
      </c>
      <c r="K19" s="1">
        <v>17</v>
      </c>
      <c r="L19" s="1" t="str">
        <f>LOOKUP(A19,Sheet2!$D$4:$E$9)</f>
        <v>5-7</v>
      </c>
      <c r="M19" t="str">
        <f>LOOKUP(B19,Sheet2!$G$4:$H$9)</f>
        <v>151-175</v>
      </c>
      <c r="N19" t="str">
        <f>LOOKUP(C19,Sheet2!$J$4:$K$8)</f>
        <v>70-79</v>
      </c>
      <c r="O19" t="str">
        <f>LOOKUP(D19,Sheet2!$M$4:$N$8)</f>
        <v>30-39</v>
      </c>
      <c r="P19" t="str">
        <f>LOOKUP(E19,Sheet2!$P$4:$Q$9)</f>
        <v>100-199</v>
      </c>
      <c r="Q19" t="str">
        <f>LOOKUP(F19,Sheet2!$S$4:$T$8)</f>
        <v>26-30</v>
      </c>
      <c r="R19" t="str">
        <f>LOOKUP(G19,Sheet2!$V$4:$W$7)</f>
        <v>0.7+</v>
      </c>
      <c r="S19" t="str">
        <f>LOOKUP(H19,Sheet2!$Z$4:$AA$7)</f>
        <v>36-45</v>
      </c>
      <c r="T19" t="str">
        <f t="shared" si="0"/>
        <v>Negative</v>
      </c>
      <c r="U19" t="str">
        <f t="shared" si="1"/>
        <v>Positive</v>
      </c>
      <c r="V19" s="1" t="str">
        <f t="shared" si="2"/>
        <v>Inaccurate Prediction</v>
      </c>
    </row>
    <row r="20" spans="1:22" x14ac:dyDescent="0.25">
      <c r="A20" s="1">
        <v>2</v>
      </c>
      <c r="B20" s="1">
        <v>117</v>
      </c>
      <c r="C20" s="1">
        <v>90</v>
      </c>
      <c r="D20" s="1">
        <v>19</v>
      </c>
      <c r="E20" s="1">
        <v>71</v>
      </c>
      <c r="F20" s="1">
        <v>25.2</v>
      </c>
      <c r="G20" s="1">
        <v>0.313</v>
      </c>
      <c r="H20" s="1">
        <v>21</v>
      </c>
      <c r="I20" s="1">
        <v>0</v>
      </c>
      <c r="J20" s="1" t="str">
        <f>IFERROR(VLOOKUP(K20,[1]diabetes_Recognition!$A:$B,2,FALSE),"Not Sampled")</f>
        <v>Not Sampled</v>
      </c>
      <c r="K20" s="1">
        <v>18</v>
      </c>
      <c r="L20" s="1">
        <f>LOOKUP(A20,Sheet2!$D$4:$E$9)</f>
        <v>2</v>
      </c>
      <c r="M20" t="str">
        <f>LOOKUP(B20,Sheet2!$G$4:$H$9)</f>
        <v>100-125</v>
      </c>
      <c r="N20" t="str">
        <f>LOOKUP(C20,Sheet2!$J$4:$K$8)</f>
        <v>80+</v>
      </c>
      <c r="O20" t="str">
        <f>LOOKUP(D20,Sheet2!$M$4:$N$8)</f>
        <v>10-30</v>
      </c>
      <c r="P20" t="str">
        <f>LOOKUP(E20,Sheet2!$P$4:$Q$9)</f>
        <v>1-99</v>
      </c>
      <c r="Q20" t="str">
        <f>LOOKUP(F20,Sheet2!$S$4:$T$8)</f>
        <v>1-25</v>
      </c>
      <c r="R20" t="str">
        <f>LOOKUP(G20,Sheet2!$V$4:$W$7)</f>
        <v>0.25 - 0.39</v>
      </c>
      <c r="S20" t="str">
        <f>LOOKUP(H20,Sheet2!$Z$4:$AA$7)</f>
        <v>&lt;=25</v>
      </c>
      <c r="T20" t="str">
        <f t="shared" si="0"/>
        <v>Negative</v>
      </c>
      <c r="U20" t="str">
        <f t="shared" si="1"/>
        <v>Not Sampled</v>
      </c>
      <c r="V20" s="1" t="str">
        <f t="shared" si="2"/>
        <v>Not Sampled</v>
      </c>
    </row>
    <row r="21" spans="1:22" x14ac:dyDescent="0.25">
      <c r="A21" s="1">
        <v>3</v>
      </c>
      <c r="B21" s="1">
        <v>84</v>
      </c>
      <c r="C21" s="1">
        <v>72</v>
      </c>
      <c r="D21" s="1">
        <v>32</v>
      </c>
      <c r="E21" s="1">
        <v>0</v>
      </c>
      <c r="F21" s="1">
        <v>37.200000000000003</v>
      </c>
      <c r="G21" s="1">
        <v>0.26700000000000002</v>
      </c>
      <c r="H21" s="1">
        <v>28</v>
      </c>
      <c r="I21" s="1">
        <v>0</v>
      </c>
      <c r="J21" s="1" t="str">
        <f>IFERROR(VLOOKUP(K21,[1]diabetes_Recognition!$A:$B,2,FALSE),"Not Sampled")</f>
        <v>Not Sampled</v>
      </c>
      <c r="K21" s="1">
        <v>19</v>
      </c>
      <c r="L21" s="1" t="str">
        <f>LOOKUP(A21,Sheet2!$D$4:$E$9)</f>
        <v>3-4</v>
      </c>
      <c r="M21" t="str">
        <f>LOOKUP(B21,Sheet2!$G$4:$H$9)</f>
        <v>1-99</v>
      </c>
      <c r="N21" t="str">
        <f>LOOKUP(C21,Sheet2!$J$4:$K$8)</f>
        <v>70-79</v>
      </c>
      <c r="O21" t="str">
        <f>LOOKUP(D21,Sheet2!$M$4:$N$8)</f>
        <v>30-39</v>
      </c>
      <c r="P21" t="str">
        <f>LOOKUP(E21,Sheet2!$P$4:$Q$9)</f>
        <v>Unknown</v>
      </c>
      <c r="Q21" t="str">
        <f>LOOKUP(F21,Sheet2!$S$4:$T$8)</f>
        <v>36+</v>
      </c>
      <c r="R21" t="str">
        <f>LOOKUP(G21,Sheet2!$V$4:$W$7)</f>
        <v>0.25 - 0.39</v>
      </c>
      <c r="S21" t="str">
        <f>LOOKUP(H21,Sheet2!$Z$4:$AA$7)</f>
        <v>26-35</v>
      </c>
      <c r="T21" t="str">
        <f t="shared" si="0"/>
        <v>Negative</v>
      </c>
      <c r="U21" t="str">
        <f t="shared" si="1"/>
        <v>Not Sampled</v>
      </c>
      <c r="V21" s="1" t="str">
        <f t="shared" si="2"/>
        <v>Not Sampled</v>
      </c>
    </row>
    <row r="22" spans="1:22" x14ac:dyDescent="0.25">
      <c r="A22" s="1">
        <v>6</v>
      </c>
      <c r="B22" s="1">
        <v>0</v>
      </c>
      <c r="C22" s="1">
        <v>68</v>
      </c>
      <c r="D22" s="1">
        <v>41</v>
      </c>
      <c r="E22" s="1">
        <v>0</v>
      </c>
      <c r="F22" s="1">
        <v>39</v>
      </c>
      <c r="G22" s="1">
        <v>0.72699999999999998</v>
      </c>
      <c r="H22" s="1">
        <v>41</v>
      </c>
      <c r="I22" s="1">
        <v>1</v>
      </c>
      <c r="J22" s="1" t="str">
        <f>IFERROR(VLOOKUP(K22,[1]diabetes_Recognition!$A:$B,2,FALSE),"Not Sampled")</f>
        <v>Not Sampled</v>
      </c>
      <c r="K22" s="1">
        <v>20</v>
      </c>
      <c r="L22" s="1" t="str">
        <f>LOOKUP(A22,Sheet2!$D$4:$E$9)</f>
        <v>5-7</v>
      </c>
      <c r="M22" t="str">
        <f>LOOKUP(B22,Sheet2!$G$4:$H$9)</f>
        <v>Unknown</v>
      </c>
      <c r="N22" t="str">
        <f>LOOKUP(C22,Sheet2!$J$4:$K$8)</f>
        <v>60-69</v>
      </c>
      <c r="O22" t="str">
        <f>LOOKUP(D22,Sheet2!$M$4:$N$8)</f>
        <v>40+</v>
      </c>
      <c r="P22" t="str">
        <f>LOOKUP(E22,Sheet2!$P$4:$Q$9)</f>
        <v>Unknown</v>
      </c>
      <c r="Q22" t="str">
        <f>LOOKUP(F22,Sheet2!$S$4:$T$8)</f>
        <v>36+</v>
      </c>
      <c r="R22" t="str">
        <f>LOOKUP(G22,Sheet2!$V$4:$W$7)</f>
        <v>0.7+</v>
      </c>
      <c r="S22" t="str">
        <f>LOOKUP(H22,Sheet2!$Z$4:$AA$7)</f>
        <v>36-45</v>
      </c>
      <c r="T22" t="str">
        <f t="shared" si="0"/>
        <v>Positive</v>
      </c>
      <c r="U22" t="str">
        <f t="shared" si="1"/>
        <v>Not Sampled</v>
      </c>
      <c r="V22" s="1" t="str">
        <f t="shared" si="2"/>
        <v>Not Sampled</v>
      </c>
    </row>
    <row r="23" spans="1:22" x14ac:dyDescent="0.25">
      <c r="A23" s="1">
        <v>7</v>
      </c>
      <c r="B23" s="1">
        <v>94</v>
      </c>
      <c r="C23" s="1">
        <v>64</v>
      </c>
      <c r="D23" s="1">
        <v>25</v>
      </c>
      <c r="E23" s="1">
        <v>79</v>
      </c>
      <c r="F23" s="1">
        <v>33.299999999999997</v>
      </c>
      <c r="G23" s="1">
        <v>0.73799999999999999</v>
      </c>
      <c r="H23" s="1">
        <v>41</v>
      </c>
      <c r="I23" s="1">
        <v>0</v>
      </c>
      <c r="J23" s="1" t="str">
        <f>IFERROR(VLOOKUP(K23,[1]diabetes_Recognition!$A:$B,2,FALSE),"Not Sampled")</f>
        <v>Not Sampled</v>
      </c>
      <c r="K23" s="1">
        <v>21</v>
      </c>
      <c r="L23" s="1" t="str">
        <f>LOOKUP(A23,Sheet2!$D$4:$E$9)</f>
        <v>5-7</v>
      </c>
      <c r="M23" t="str">
        <f>LOOKUP(B23,Sheet2!$G$4:$H$9)</f>
        <v>1-99</v>
      </c>
      <c r="N23" t="str">
        <f>LOOKUP(C23,Sheet2!$J$4:$K$8)</f>
        <v>60-69</v>
      </c>
      <c r="O23" t="str">
        <f>LOOKUP(D23,Sheet2!$M$4:$N$8)</f>
        <v>10-30</v>
      </c>
      <c r="P23" t="str">
        <f>LOOKUP(E23,Sheet2!$P$4:$Q$9)</f>
        <v>1-99</v>
      </c>
      <c r="Q23" t="str">
        <f>LOOKUP(F23,Sheet2!$S$4:$T$8)</f>
        <v>31-35</v>
      </c>
      <c r="R23" t="str">
        <f>LOOKUP(G23,Sheet2!$V$4:$W$7)</f>
        <v>0.7+</v>
      </c>
      <c r="S23" t="str">
        <f>LOOKUP(H23,Sheet2!$Z$4:$AA$7)</f>
        <v>36-45</v>
      </c>
      <c r="T23" t="str">
        <f t="shared" si="0"/>
        <v>Negative</v>
      </c>
      <c r="U23" t="str">
        <f t="shared" si="1"/>
        <v>Not Sampled</v>
      </c>
      <c r="V23" s="1" t="str">
        <f t="shared" si="2"/>
        <v>Not Sampled</v>
      </c>
    </row>
    <row r="24" spans="1:22" x14ac:dyDescent="0.25">
      <c r="A24" s="1">
        <v>3</v>
      </c>
      <c r="B24" s="1">
        <v>96</v>
      </c>
      <c r="C24" s="1">
        <v>78</v>
      </c>
      <c r="D24" s="1">
        <v>39</v>
      </c>
      <c r="E24" s="1">
        <v>0</v>
      </c>
      <c r="F24" s="1">
        <v>37.299999999999997</v>
      </c>
      <c r="G24" s="1">
        <v>0.23799999999999999</v>
      </c>
      <c r="H24" s="1">
        <v>40</v>
      </c>
      <c r="I24" s="1">
        <v>0</v>
      </c>
      <c r="J24" s="1" t="str">
        <f>IFERROR(VLOOKUP(K24,[1]diabetes_Recognition!$A:$B,2,FALSE),"Not Sampled")</f>
        <v>Not Sampled</v>
      </c>
      <c r="K24" s="1">
        <v>22</v>
      </c>
      <c r="L24" s="1" t="str">
        <f>LOOKUP(A24,Sheet2!$D$4:$E$9)</f>
        <v>3-4</v>
      </c>
      <c r="M24" t="str">
        <f>LOOKUP(B24,Sheet2!$G$4:$H$9)</f>
        <v>1-99</v>
      </c>
      <c r="N24" t="str">
        <f>LOOKUP(C24,Sheet2!$J$4:$K$8)</f>
        <v>70-79</v>
      </c>
      <c r="O24" t="str">
        <f>LOOKUP(D24,Sheet2!$M$4:$N$8)</f>
        <v>30-39</v>
      </c>
      <c r="P24" t="str">
        <f>LOOKUP(E24,Sheet2!$P$4:$Q$9)</f>
        <v>Unknown</v>
      </c>
      <c r="Q24" t="str">
        <f>LOOKUP(F24,Sheet2!$S$4:$T$8)</f>
        <v>36+</v>
      </c>
      <c r="R24" t="str">
        <f>LOOKUP(G24,Sheet2!$V$4:$W$7)</f>
        <v>0.0 - 0.249</v>
      </c>
      <c r="S24" t="str">
        <f>LOOKUP(H24,Sheet2!$Z$4:$AA$7)</f>
        <v>36-45</v>
      </c>
      <c r="T24" t="str">
        <f t="shared" si="0"/>
        <v>Negative</v>
      </c>
      <c r="U24" t="str">
        <f t="shared" si="1"/>
        <v>Not Sampled</v>
      </c>
      <c r="V24" s="1" t="str">
        <f t="shared" si="2"/>
        <v>Not Sampled</v>
      </c>
    </row>
    <row r="25" spans="1:22" x14ac:dyDescent="0.25">
      <c r="A25" s="1">
        <v>10</v>
      </c>
      <c r="B25" s="1">
        <v>75</v>
      </c>
      <c r="C25" s="1">
        <v>82</v>
      </c>
      <c r="D25" s="1">
        <v>0</v>
      </c>
      <c r="E25" s="1">
        <v>0</v>
      </c>
      <c r="F25" s="1">
        <v>33.299999999999997</v>
      </c>
      <c r="G25" s="1">
        <v>0.26300000000000001</v>
      </c>
      <c r="H25" s="1">
        <v>38</v>
      </c>
      <c r="I25" s="1">
        <v>0</v>
      </c>
      <c r="J25" s="1" t="str">
        <f>IFERROR(VLOOKUP(K25,[1]diabetes_Recognition!$A:$B,2,FALSE),"Not Sampled")</f>
        <v>Not Sampled</v>
      </c>
      <c r="K25" s="1">
        <v>23</v>
      </c>
      <c r="L25" s="1" t="str">
        <f>LOOKUP(A25,Sheet2!$D$4:$E$9)</f>
        <v>8+</v>
      </c>
      <c r="M25" t="str">
        <f>LOOKUP(B25,Sheet2!$G$4:$H$9)</f>
        <v>1-99</v>
      </c>
      <c r="N25" t="str">
        <f>LOOKUP(C25,Sheet2!$J$4:$K$8)</f>
        <v>80+</v>
      </c>
      <c r="O25" t="str">
        <f>LOOKUP(D25,Sheet2!$M$4:$N$8)</f>
        <v>Unknown</v>
      </c>
      <c r="P25" t="str">
        <f>LOOKUP(E25,Sheet2!$P$4:$Q$9)</f>
        <v>Unknown</v>
      </c>
      <c r="Q25" t="str">
        <f>LOOKUP(F25,Sheet2!$S$4:$T$8)</f>
        <v>31-35</v>
      </c>
      <c r="R25" t="str">
        <f>LOOKUP(G25,Sheet2!$V$4:$W$7)</f>
        <v>0.25 - 0.39</v>
      </c>
      <c r="S25" t="str">
        <f>LOOKUP(H25,Sheet2!$Z$4:$AA$7)</f>
        <v>36-45</v>
      </c>
      <c r="T25" t="str">
        <f t="shared" si="0"/>
        <v>Negative</v>
      </c>
      <c r="U25" t="str">
        <f t="shared" si="1"/>
        <v>Not Sampled</v>
      </c>
      <c r="V25" s="1" t="str">
        <f t="shared" si="2"/>
        <v>Not Sampled</v>
      </c>
    </row>
    <row r="26" spans="1:22" x14ac:dyDescent="0.25">
      <c r="A26" s="1">
        <v>0</v>
      </c>
      <c r="B26" s="1">
        <v>180</v>
      </c>
      <c r="C26" s="1">
        <v>90</v>
      </c>
      <c r="D26" s="1">
        <v>26</v>
      </c>
      <c r="E26" s="1">
        <v>90</v>
      </c>
      <c r="F26" s="1">
        <v>36.5</v>
      </c>
      <c r="G26" s="1">
        <v>0.314</v>
      </c>
      <c r="H26" s="1">
        <v>35</v>
      </c>
      <c r="I26" s="1">
        <v>1</v>
      </c>
      <c r="J26" s="1" t="str">
        <f>IFERROR(VLOOKUP(K26,[1]diabetes_Recognition!$A:$B,2,FALSE),"Not Sampled")</f>
        <v>Not Sampled</v>
      </c>
      <c r="K26" s="1">
        <v>24</v>
      </c>
      <c r="L26" s="1">
        <f>LOOKUP(A26,Sheet2!$D$4:$E$9)</f>
        <v>0</v>
      </c>
      <c r="M26" t="str">
        <f>LOOKUP(B26,Sheet2!$G$4:$H$9)</f>
        <v>176-200</v>
      </c>
      <c r="N26" t="str">
        <f>LOOKUP(C26,Sheet2!$J$4:$K$8)</f>
        <v>80+</v>
      </c>
      <c r="O26" t="str">
        <f>LOOKUP(D26,Sheet2!$M$4:$N$8)</f>
        <v>10-30</v>
      </c>
      <c r="P26" t="str">
        <f>LOOKUP(E26,Sheet2!$P$4:$Q$9)</f>
        <v>1-99</v>
      </c>
      <c r="Q26" t="str">
        <f>LOOKUP(F26,Sheet2!$S$4:$T$8)</f>
        <v>36+</v>
      </c>
      <c r="R26" t="str">
        <f>LOOKUP(G26,Sheet2!$V$4:$W$7)</f>
        <v>0.25 - 0.39</v>
      </c>
      <c r="S26" t="str">
        <f>LOOKUP(H26,Sheet2!$Z$4:$AA$7)</f>
        <v>26-35</v>
      </c>
      <c r="T26" t="str">
        <f t="shared" si="0"/>
        <v>Positive</v>
      </c>
      <c r="U26" t="str">
        <f t="shared" si="1"/>
        <v>Not Sampled</v>
      </c>
      <c r="V26" s="1" t="str">
        <f t="shared" si="2"/>
        <v>Not Sampled</v>
      </c>
    </row>
    <row r="27" spans="1:22" x14ac:dyDescent="0.25">
      <c r="A27" s="1">
        <v>1</v>
      </c>
      <c r="B27" s="1">
        <v>130</v>
      </c>
      <c r="C27" s="1">
        <v>60</v>
      </c>
      <c r="D27" s="1">
        <v>23</v>
      </c>
      <c r="E27" s="1">
        <v>170</v>
      </c>
      <c r="F27" s="1">
        <v>28.6</v>
      </c>
      <c r="G27" s="1">
        <v>0.69199999999999995</v>
      </c>
      <c r="H27" s="1">
        <v>21</v>
      </c>
      <c r="I27" s="1">
        <v>0</v>
      </c>
      <c r="J27" s="1" t="str">
        <f>IFERROR(VLOOKUP(K27,[1]diabetes_Recognition!$A:$B,2,FALSE),"Not Sampled")</f>
        <v>Not Sampled</v>
      </c>
      <c r="K27" s="1">
        <v>25</v>
      </c>
      <c r="L27" s="1">
        <f>LOOKUP(A27,Sheet2!$D$4:$E$9)</f>
        <v>1</v>
      </c>
      <c r="M27" t="str">
        <f>LOOKUP(B27,Sheet2!$G$4:$H$9)</f>
        <v>126-150</v>
      </c>
      <c r="N27" t="str">
        <f>LOOKUP(C27,Sheet2!$J$4:$K$8)</f>
        <v>60-69</v>
      </c>
      <c r="O27" t="str">
        <f>LOOKUP(D27,Sheet2!$M$4:$N$8)</f>
        <v>10-30</v>
      </c>
      <c r="P27" t="str">
        <f>LOOKUP(E27,Sheet2!$P$4:$Q$9)</f>
        <v>100-199</v>
      </c>
      <c r="Q27" t="str">
        <f>LOOKUP(F27,Sheet2!$S$4:$T$8)</f>
        <v>26-30</v>
      </c>
      <c r="R27" t="str">
        <f>LOOKUP(G27,Sheet2!$V$4:$W$7)</f>
        <v>0.4 - 0.69</v>
      </c>
      <c r="S27" t="str">
        <f>LOOKUP(H27,Sheet2!$Z$4:$AA$7)</f>
        <v>&lt;=25</v>
      </c>
      <c r="T27" t="str">
        <f t="shared" si="0"/>
        <v>Negative</v>
      </c>
      <c r="U27" t="str">
        <f t="shared" si="1"/>
        <v>Not Sampled</v>
      </c>
      <c r="V27" s="1" t="str">
        <f t="shared" si="2"/>
        <v>Not Sampled</v>
      </c>
    </row>
    <row r="28" spans="1:22" x14ac:dyDescent="0.25">
      <c r="A28" s="1">
        <v>2</v>
      </c>
      <c r="B28" s="1">
        <v>84</v>
      </c>
      <c r="C28" s="1">
        <v>50</v>
      </c>
      <c r="D28" s="1">
        <v>23</v>
      </c>
      <c r="E28" s="1">
        <v>76</v>
      </c>
      <c r="F28" s="1">
        <v>30.4</v>
      </c>
      <c r="G28" s="1">
        <v>0.96799999999999997</v>
      </c>
      <c r="H28" s="1">
        <v>21</v>
      </c>
      <c r="I28" s="1">
        <v>0</v>
      </c>
      <c r="J28" s="1" t="str">
        <f>IFERROR(VLOOKUP(K28,[1]diabetes_Recognition!$A:$B,2,FALSE),"Not Sampled")</f>
        <v>Not Sampled</v>
      </c>
      <c r="K28" s="1">
        <v>26</v>
      </c>
      <c r="L28" s="1">
        <f>LOOKUP(A28,Sheet2!$D$4:$E$9)</f>
        <v>2</v>
      </c>
      <c r="M28" t="str">
        <f>LOOKUP(B28,Sheet2!$G$4:$H$9)</f>
        <v>1-99</v>
      </c>
      <c r="N28" t="str">
        <f>LOOKUP(C28,Sheet2!$J$4:$K$8)</f>
        <v>1-59</v>
      </c>
      <c r="O28" t="str">
        <f>LOOKUP(D28,Sheet2!$M$4:$N$8)</f>
        <v>10-30</v>
      </c>
      <c r="P28" t="str">
        <f>LOOKUP(E28,Sheet2!$P$4:$Q$9)</f>
        <v>1-99</v>
      </c>
      <c r="Q28" t="str">
        <f>LOOKUP(F28,Sheet2!$S$4:$T$8)</f>
        <v>26-30</v>
      </c>
      <c r="R28" t="str">
        <f>LOOKUP(G28,Sheet2!$V$4:$W$7)</f>
        <v>0.7+</v>
      </c>
      <c r="S28" t="str">
        <f>LOOKUP(H28,Sheet2!$Z$4:$AA$7)</f>
        <v>&lt;=25</v>
      </c>
      <c r="T28" t="str">
        <f t="shared" si="0"/>
        <v>Negative</v>
      </c>
      <c r="U28" t="str">
        <f t="shared" si="1"/>
        <v>Not Sampled</v>
      </c>
      <c r="V28" s="1" t="str">
        <f t="shared" si="2"/>
        <v>Not Sampled</v>
      </c>
    </row>
    <row r="29" spans="1:22" x14ac:dyDescent="0.25">
      <c r="A29" s="1">
        <v>8</v>
      </c>
      <c r="B29" s="1">
        <v>120</v>
      </c>
      <c r="C29" s="1">
        <v>78</v>
      </c>
      <c r="D29" s="1">
        <v>0</v>
      </c>
      <c r="E29" s="1">
        <v>0</v>
      </c>
      <c r="F29" s="1">
        <v>25</v>
      </c>
      <c r="G29" s="1">
        <v>0.40899999999999997</v>
      </c>
      <c r="H29" s="1">
        <v>64</v>
      </c>
      <c r="I29" s="1">
        <v>0</v>
      </c>
      <c r="J29" s="1" t="str">
        <f>IFERROR(VLOOKUP(K29,[1]diabetes_Recognition!$A:$B,2,FALSE),"Not Sampled")</f>
        <v>Not Sampled</v>
      </c>
      <c r="K29" s="1">
        <v>27</v>
      </c>
      <c r="L29" s="1" t="str">
        <f>LOOKUP(A29,Sheet2!$D$4:$E$9)</f>
        <v>8+</v>
      </c>
      <c r="M29" t="str">
        <f>LOOKUP(B29,Sheet2!$G$4:$H$9)</f>
        <v>100-125</v>
      </c>
      <c r="N29" t="str">
        <f>LOOKUP(C29,Sheet2!$J$4:$K$8)</f>
        <v>70-79</v>
      </c>
      <c r="O29" t="str">
        <f>LOOKUP(D29,Sheet2!$M$4:$N$8)</f>
        <v>Unknown</v>
      </c>
      <c r="P29" t="str">
        <f>LOOKUP(E29,Sheet2!$P$4:$Q$9)</f>
        <v>Unknown</v>
      </c>
      <c r="Q29" t="str">
        <f>LOOKUP(F29,Sheet2!$S$4:$T$8)</f>
        <v>1-25</v>
      </c>
      <c r="R29" t="str">
        <f>LOOKUP(G29,Sheet2!$V$4:$W$7)</f>
        <v>0.4 - 0.69</v>
      </c>
      <c r="S29" t="str">
        <f>LOOKUP(H29,Sheet2!$Z$4:$AA$7)</f>
        <v>46+</v>
      </c>
      <c r="T29" t="str">
        <f t="shared" si="0"/>
        <v>Negative</v>
      </c>
      <c r="U29" t="str">
        <f t="shared" si="1"/>
        <v>Not Sampled</v>
      </c>
      <c r="V29" s="1" t="str">
        <f t="shared" si="2"/>
        <v>Not Sampled</v>
      </c>
    </row>
    <row r="30" spans="1:22" x14ac:dyDescent="0.25">
      <c r="A30" s="1">
        <v>12</v>
      </c>
      <c r="B30" s="1">
        <v>84</v>
      </c>
      <c r="C30" s="1">
        <v>72</v>
      </c>
      <c r="D30" s="1">
        <v>31</v>
      </c>
      <c r="E30" s="1">
        <v>0</v>
      </c>
      <c r="F30" s="1">
        <v>29.7</v>
      </c>
      <c r="G30" s="1">
        <v>0.29699999999999999</v>
      </c>
      <c r="H30" s="1">
        <v>46</v>
      </c>
      <c r="I30" s="1">
        <v>1</v>
      </c>
      <c r="J30" s="1" t="str">
        <f>IFERROR(VLOOKUP(K30,[1]diabetes_Recognition!$A:$B,2,FALSE),"Not Sampled")</f>
        <v>Not Sampled</v>
      </c>
      <c r="K30" s="1">
        <v>28</v>
      </c>
      <c r="L30" s="1" t="str">
        <f>LOOKUP(A30,Sheet2!$D$4:$E$9)</f>
        <v>8+</v>
      </c>
      <c r="M30" t="str">
        <f>LOOKUP(B30,Sheet2!$G$4:$H$9)</f>
        <v>1-99</v>
      </c>
      <c r="N30" t="str">
        <f>LOOKUP(C30,Sheet2!$J$4:$K$8)</f>
        <v>70-79</v>
      </c>
      <c r="O30" t="str">
        <f>LOOKUP(D30,Sheet2!$M$4:$N$8)</f>
        <v>30-39</v>
      </c>
      <c r="P30" t="str">
        <f>LOOKUP(E30,Sheet2!$P$4:$Q$9)</f>
        <v>Unknown</v>
      </c>
      <c r="Q30" t="str">
        <f>LOOKUP(F30,Sheet2!$S$4:$T$8)</f>
        <v>26-30</v>
      </c>
      <c r="R30" t="str">
        <f>LOOKUP(G30,Sheet2!$V$4:$W$7)</f>
        <v>0.25 - 0.39</v>
      </c>
      <c r="S30" t="str">
        <f>LOOKUP(H30,Sheet2!$Z$4:$AA$7)</f>
        <v>46+</v>
      </c>
      <c r="T30" t="str">
        <f t="shared" si="0"/>
        <v>Positive</v>
      </c>
      <c r="U30" t="str">
        <f t="shared" si="1"/>
        <v>Not Sampled</v>
      </c>
      <c r="V30" s="1" t="str">
        <f t="shared" si="2"/>
        <v>Not Sampled</v>
      </c>
    </row>
    <row r="31" spans="1:22" x14ac:dyDescent="0.25">
      <c r="A31" s="1">
        <v>0</v>
      </c>
      <c r="B31" s="1">
        <v>139</v>
      </c>
      <c r="C31" s="1">
        <v>62</v>
      </c>
      <c r="D31" s="1">
        <v>17</v>
      </c>
      <c r="E31" s="1">
        <v>210</v>
      </c>
      <c r="F31" s="1">
        <v>22.1</v>
      </c>
      <c r="G31" s="1">
        <v>0.20699999999999999</v>
      </c>
      <c r="H31" s="1">
        <v>21</v>
      </c>
      <c r="I31" s="1">
        <v>0</v>
      </c>
      <c r="J31" s="1" t="str">
        <f>IFERROR(VLOOKUP(K31,[1]diabetes_Recognition!$A:$B,2,FALSE),"Not Sampled")</f>
        <v>Not Sampled</v>
      </c>
      <c r="K31" s="1">
        <v>29</v>
      </c>
      <c r="L31" s="1">
        <f>LOOKUP(A31,Sheet2!$D$4:$E$9)</f>
        <v>0</v>
      </c>
      <c r="M31" t="str">
        <f>LOOKUP(B31,Sheet2!$G$4:$H$9)</f>
        <v>126-150</v>
      </c>
      <c r="N31" t="str">
        <f>LOOKUP(C31,Sheet2!$J$4:$K$8)</f>
        <v>60-69</v>
      </c>
      <c r="O31" t="str">
        <f>LOOKUP(D31,Sheet2!$M$4:$N$8)</f>
        <v>10-30</v>
      </c>
      <c r="P31" t="str">
        <f>LOOKUP(E31,Sheet2!$P$4:$Q$9)</f>
        <v>200-399</v>
      </c>
      <c r="Q31" t="str">
        <f>LOOKUP(F31,Sheet2!$S$4:$T$8)</f>
        <v>1-25</v>
      </c>
      <c r="R31" t="str">
        <f>LOOKUP(G31,Sheet2!$V$4:$W$7)</f>
        <v>0.0 - 0.249</v>
      </c>
      <c r="S31" t="str">
        <f>LOOKUP(H31,Sheet2!$Z$4:$AA$7)</f>
        <v>&lt;=25</v>
      </c>
      <c r="T31" t="str">
        <f t="shared" si="0"/>
        <v>Negative</v>
      </c>
      <c r="U31" t="str">
        <f t="shared" si="1"/>
        <v>Not Sampled</v>
      </c>
      <c r="V31" s="1" t="str">
        <f t="shared" si="2"/>
        <v>Not Sampled</v>
      </c>
    </row>
    <row r="32" spans="1:22" x14ac:dyDescent="0.25">
      <c r="A32" s="1">
        <v>9</v>
      </c>
      <c r="B32" s="1">
        <v>91</v>
      </c>
      <c r="C32" s="1">
        <v>68</v>
      </c>
      <c r="D32" s="1">
        <v>0</v>
      </c>
      <c r="E32" s="1">
        <v>0</v>
      </c>
      <c r="F32" s="1">
        <v>24.2</v>
      </c>
      <c r="G32" s="1">
        <v>0.2</v>
      </c>
      <c r="H32" s="1">
        <v>58</v>
      </c>
      <c r="I32" s="1">
        <v>0</v>
      </c>
      <c r="J32" s="1">
        <f>IFERROR(VLOOKUP(K32,[1]diabetes_Recognition!$A:$B,2,FALSE),"Not Sampled")</f>
        <v>0</v>
      </c>
      <c r="K32" s="1">
        <v>30</v>
      </c>
      <c r="L32" s="1" t="str">
        <f>LOOKUP(A32,Sheet2!$D$4:$E$9)</f>
        <v>8+</v>
      </c>
      <c r="M32" t="str">
        <f>LOOKUP(B32,Sheet2!$G$4:$H$9)</f>
        <v>1-99</v>
      </c>
      <c r="N32" t="str">
        <f>LOOKUP(C32,Sheet2!$J$4:$K$8)</f>
        <v>60-69</v>
      </c>
      <c r="O32" t="str">
        <f>LOOKUP(D32,Sheet2!$M$4:$N$8)</f>
        <v>Unknown</v>
      </c>
      <c r="P32" t="str">
        <f>LOOKUP(E32,Sheet2!$P$4:$Q$9)</f>
        <v>Unknown</v>
      </c>
      <c r="Q32" t="str">
        <f>LOOKUP(F32,Sheet2!$S$4:$T$8)</f>
        <v>1-25</v>
      </c>
      <c r="R32" t="str">
        <f>LOOKUP(G32,Sheet2!$V$4:$W$7)</f>
        <v>0.0 - 0.249</v>
      </c>
      <c r="S32" t="str">
        <f>LOOKUP(H32,Sheet2!$Z$4:$AA$7)</f>
        <v>46+</v>
      </c>
      <c r="T32" t="str">
        <f t="shared" si="0"/>
        <v>Negative</v>
      </c>
      <c r="U32" t="str">
        <f t="shared" si="1"/>
        <v>Negative</v>
      </c>
      <c r="V32" s="1" t="str">
        <f t="shared" si="2"/>
        <v>Accurate Prediction</v>
      </c>
    </row>
    <row r="33" spans="1:22" x14ac:dyDescent="0.25">
      <c r="A33" s="1">
        <v>2</v>
      </c>
      <c r="B33" s="1">
        <v>91</v>
      </c>
      <c r="C33" s="1">
        <v>62</v>
      </c>
      <c r="D33" s="1">
        <v>0</v>
      </c>
      <c r="E33" s="1">
        <v>0</v>
      </c>
      <c r="F33" s="1">
        <v>27.3</v>
      </c>
      <c r="G33" s="1">
        <v>0.52500000000000002</v>
      </c>
      <c r="H33" s="1">
        <v>22</v>
      </c>
      <c r="I33" s="1">
        <v>0</v>
      </c>
      <c r="J33" s="1" t="str">
        <f>IFERROR(VLOOKUP(K33,[1]diabetes_Recognition!$A:$B,2,FALSE),"Not Sampled")</f>
        <v>Not Sampled</v>
      </c>
      <c r="K33" s="1">
        <v>31</v>
      </c>
      <c r="L33" s="1">
        <f>LOOKUP(A33,Sheet2!$D$4:$E$9)</f>
        <v>2</v>
      </c>
      <c r="M33" t="str">
        <f>LOOKUP(B33,Sheet2!$G$4:$H$9)</f>
        <v>1-99</v>
      </c>
      <c r="N33" t="str">
        <f>LOOKUP(C33,Sheet2!$J$4:$K$8)</f>
        <v>60-69</v>
      </c>
      <c r="O33" t="str">
        <f>LOOKUP(D33,Sheet2!$M$4:$N$8)</f>
        <v>Unknown</v>
      </c>
      <c r="P33" t="str">
        <f>LOOKUP(E33,Sheet2!$P$4:$Q$9)</f>
        <v>Unknown</v>
      </c>
      <c r="Q33" t="str">
        <f>LOOKUP(F33,Sheet2!$S$4:$T$8)</f>
        <v>26-30</v>
      </c>
      <c r="R33" t="str">
        <f>LOOKUP(G33,Sheet2!$V$4:$W$7)</f>
        <v>0.4 - 0.69</v>
      </c>
      <c r="S33" t="str">
        <f>LOOKUP(H33,Sheet2!$Z$4:$AA$7)</f>
        <v>&lt;=25</v>
      </c>
      <c r="T33" t="str">
        <f t="shared" si="0"/>
        <v>Negative</v>
      </c>
      <c r="U33" t="str">
        <f t="shared" si="1"/>
        <v>Not Sampled</v>
      </c>
      <c r="V33" s="1" t="str">
        <f t="shared" si="2"/>
        <v>Not Sampled</v>
      </c>
    </row>
    <row r="34" spans="1:22" x14ac:dyDescent="0.25">
      <c r="A34" s="1">
        <v>3</v>
      </c>
      <c r="B34" s="1">
        <v>99</v>
      </c>
      <c r="C34" s="1">
        <v>54</v>
      </c>
      <c r="D34" s="1">
        <v>19</v>
      </c>
      <c r="E34" s="1">
        <v>86</v>
      </c>
      <c r="F34" s="1">
        <v>25.6</v>
      </c>
      <c r="G34" s="1">
        <v>0.154</v>
      </c>
      <c r="H34" s="1">
        <v>24</v>
      </c>
      <c r="I34" s="1">
        <v>0</v>
      </c>
      <c r="J34" s="1" t="str">
        <f>IFERROR(VLOOKUP(K34,[1]diabetes_Recognition!$A:$B,2,FALSE),"Not Sampled")</f>
        <v>Not Sampled</v>
      </c>
      <c r="K34" s="1">
        <v>32</v>
      </c>
      <c r="L34" s="1" t="str">
        <f>LOOKUP(A34,Sheet2!$D$4:$E$9)</f>
        <v>3-4</v>
      </c>
      <c r="M34" t="str">
        <f>LOOKUP(B34,Sheet2!$G$4:$H$9)</f>
        <v>1-99</v>
      </c>
      <c r="N34" t="str">
        <f>LOOKUP(C34,Sheet2!$J$4:$K$8)</f>
        <v>1-59</v>
      </c>
      <c r="O34" t="str">
        <f>LOOKUP(D34,Sheet2!$M$4:$N$8)</f>
        <v>10-30</v>
      </c>
      <c r="P34" t="str">
        <f>LOOKUP(E34,Sheet2!$P$4:$Q$9)</f>
        <v>1-99</v>
      </c>
      <c r="Q34" t="str">
        <f>LOOKUP(F34,Sheet2!$S$4:$T$8)</f>
        <v>1-25</v>
      </c>
      <c r="R34" t="str">
        <f>LOOKUP(G34,Sheet2!$V$4:$W$7)</f>
        <v>0.0 - 0.249</v>
      </c>
      <c r="S34" t="str">
        <f>LOOKUP(H34,Sheet2!$Z$4:$AA$7)</f>
        <v>&lt;=25</v>
      </c>
      <c r="T34" t="str">
        <f t="shared" si="0"/>
        <v>Negative</v>
      </c>
      <c r="U34" t="str">
        <f t="shared" si="1"/>
        <v>Not Sampled</v>
      </c>
      <c r="V34" s="1" t="str">
        <f t="shared" si="2"/>
        <v>Not Sampled</v>
      </c>
    </row>
    <row r="35" spans="1:22" x14ac:dyDescent="0.25">
      <c r="A35" s="1">
        <v>3</v>
      </c>
      <c r="B35" s="1">
        <v>163</v>
      </c>
      <c r="C35" s="1">
        <v>70</v>
      </c>
      <c r="D35" s="1">
        <v>18</v>
      </c>
      <c r="E35" s="1">
        <v>105</v>
      </c>
      <c r="F35" s="1">
        <v>31.6</v>
      </c>
      <c r="G35" s="1">
        <v>0.26800000000000002</v>
      </c>
      <c r="H35" s="1">
        <v>28</v>
      </c>
      <c r="I35" s="1">
        <v>1</v>
      </c>
      <c r="J35" s="1" t="str">
        <f>IFERROR(VLOOKUP(K35,[1]diabetes_Recognition!$A:$B,2,FALSE),"Not Sampled")</f>
        <v>Not Sampled</v>
      </c>
      <c r="K35" s="1">
        <v>33</v>
      </c>
      <c r="L35" s="1" t="str">
        <f>LOOKUP(A35,Sheet2!$D$4:$E$9)</f>
        <v>3-4</v>
      </c>
      <c r="M35" t="str">
        <f>LOOKUP(B35,Sheet2!$G$4:$H$9)</f>
        <v>151-175</v>
      </c>
      <c r="N35" t="str">
        <f>LOOKUP(C35,Sheet2!$J$4:$K$8)</f>
        <v>70-79</v>
      </c>
      <c r="O35" t="str">
        <f>LOOKUP(D35,Sheet2!$M$4:$N$8)</f>
        <v>10-30</v>
      </c>
      <c r="P35" t="str">
        <f>LOOKUP(E35,Sheet2!$P$4:$Q$9)</f>
        <v>100-199</v>
      </c>
      <c r="Q35" t="str">
        <f>LOOKUP(F35,Sheet2!$S$4:$T$8)</f>
        <v>31-35</v>
      </c>
      <c r="R35" t="str">
        <f>LOOKUP(G35,Sheet2!$V$4:$W$7)</f>
        <v>0.25 - 0.39</v>
      </c>
      <c r="S35" t="str">
        <f>LOOKUP(H35,Sheet2!$Z$4:$AA$7)</f>
        <v>26-35</v>
      </c>
      <c r="T35" t="str">
        <f t="shared" si="0"/>
        <v>Positive</v>
      </c>
      <c r="U35" t="str">
        <f t="shared" si="1"/>
        <v>Not Sampled</v>
      </c>
      <c r="V35" s="1" t="str">
        <f t="shared" si="2"/>
        <v>Not Sampled</v>
      </c>
    </row>
    <row r="36" spans="1:22" x14ac:dyDescent="0.25">
      <c r="A36" s="1">
        <v>10</v>
      </c>
      <c r="B36" s="1">
        <v>122</v>
      </c>
      <c r="C36" s="1">
        <v>78</v>
      </c>
      <c r="D36" s="1">
        <v>31</v>
      </c>
      <c r="E36" s="1">
        <v>0</v>
      </c>
      <c r="F36" s="1">
        <v>27.6</v>
      </c>
      <c r="G36" s="1">
        <v>0.51200000000000001</v>
      </c>
      <c r="H36" s="1">
        <v>45</v>
      </c>
      <c r="I36" s="1">
        <v>0</v>
      </c>
      <c r="J36" s="1" t="str">
        <f>IFERROR(VLOOKUP(K36,[1]diabetes_Recognition!$A:$B,2,FALSE),"Not Sampled")</f>
        <v>Not Sampled</v>
      </c>
      <c r="K36" s="1">
        <v>34</v>
      </c>
      <c r="L36" s="1" t="str">
        <f>LOOKUP(A36,Sheet2!$D$4:$E$9)</f>
        <v>8+</v>
      </c>
      <c r="M36" t="str">
        <f>LOOKUP(B36,Sheet2!$G$4:$H$9)</f>
        <v>100-125</v>
      </c>
      <c r="N36" t="str">
        <f>LOOKUP(C36,Sheet2!$J$4:$K$8)</f>
        <v>70-79</v>
      </c>
      <c r="O36" t="str">
        <f>LOOKUP(D36,Sheet2!$M$4:$N$8)</f>
        <v>30-39</v>
      </c>
      <c r="P36" t="str">
        <f>LOOKUP(E36,Sheet2!$P$4:$Q$9)</f>
        <v>Unknown</v>
      </c>
      <c r="Q36" t="str">
        <f>LOOKUP(F36,Sheet2!$S$4:$T$8)</f>
        <v>26-30</v>
      </c>
      <c r="R36" t="str">
        <f>LOOKUP(G36,Sheet2!$V$4:$W$7)</f>
        <v>0.4 - 0.69</v>
      </c>
      <c r="S36" t="str">
        <f>LOOKUP(H36,Sheet2!$Z$4:$AA$7)</f>
        <v>36-45</v>
      </c>
      <c r="T36" t="str">
        <f t="shared" si="0"/>
        <v>Negative</v>
      </c>
      <c r="U36" t="str">
        <f t="shared" si="1"/>
        <v>Not Sampled</v>
      </c>
      <c r="V36" s="1" t="str">
        <f t="shared" si="2"/>
        <v>Not Sampled</v>
      </c>
    </row>
    <row r="37" spans="1:22" x14ac:dyDescent="0.25">
      <c r="A37" s="1">
        <v>4</v>
      </c>
      <c r="B37" s="1">
        <v>103</v>
      </c>
      <c r="C37" s="1">
        <v>60</v>
      </c>
      <c r="D37" s="1">
        <v>33</v>
      </c>
      <c r="E37" s="1">
        <v>192</v>
      </c>
      <c r="F37" s="1">
        <v>24</v>
      </c>
      <c r="G37" s="1">
        <v>0.96599999999999997</v>
      </c>
      <c r="H37" s="1">
        <v>33</v>
      </c>
      <c r="I37" s="1">
        <v>0</v>
      </c>
      <c r="J37" s="1" t="str">
        <f>IFERROR(VLOOKUP(K37,[1]diabetes_Recognition!$A:$B,2,FALSE),"Not Sampled")</f>
        <v>Not Sampled</v>
      </c>
      <c r="K37" s="1">
        <v>35</v>
      </c>
      <c r="L37" s="1" t="str">
        <f>LOOKUP(A37,Sheet2!$D$4:$E$9)</f>
        <v>3-4</v>
      </c>
      <c r="M37" t="str">
        <f>LOOKUP(B37,Sheet2!$G$4:$H$9)</f>
        <v>100-125</v>
      </c>
      <c r="N37" t="str">
        <f>LOOKUP(C37,Sheet2!$J$4:$K$8)</f>
        <v>60-69</v>
      </c>
      <c r="O37" t="str">
        <f>LOOKUP(D37,Sheet2!$M$4:$N$8)</f>
        <v>30-39</v>
      </c>
      <c r="P37" t="str">
        <f>LOOKUP(E37,Sheet2!$P$4:$Q$9)</f>
        <v>100-199</v>
      </c>
      <c r="Q37" t="str">
        <f>LOOKUP(F37,Sheet2!$S$4:$T$8)</f>
        <v>1-25</v>
      </c>
      <c r="R37" t="str">
        <f>LOOKUP(G37,Sheet2!$V$4:$W$7)</f>
        <v>0.7+</v>
      </c>
      <c r="S37" t="str">
        <f>LOOKUP(H37,Sheet2!$Z$4:$AA$7)</f>
        <v>26-35</v>
      </c>
      <c r="T37" t="str">
        <f t="shared" si="0"/>
        <v>Negative</v>
      </c>
      <c r="U37" t="str">
        <f t="shared" si="1"/>
        <v>Not Sampled</v>
      </c>
      <c r="V37" s="1" t="str">
        <f t="shared" si="2"/>
        <v>Not Sampled</v>
      </c>
    </row>
    <row r="38" spans="1:22" x14ac:dyDescent="0.25">
      <c r="A38" s="1">
        <v>11</v>
      </c>
      <c r="B38" s="1">
        <v>138</v>
      </c>
      <c r="C38" s="1">
        <v>76</v>
      </c>
      <c r="D38" s="1">
        <v>0</v>
      </c>
      <c r="E38" s="1">
        <v>0</v>
      </c>
      <c r="F38" s="1">
        <v>33.200000000000003</v>
      </c>
      <c r="G38" s="1">
        <v>0.42</v>
      </c>
      <c r="H38" s="1">
        <v>35</v>
      </c>
      <c r="I38" s="1">
        <v>0</v>
      </c>
      <c r="J38" s="1" t="str">
        <f>IFERROR(VLOOKUP(K38,[1]diabetes_Recognition!$A:$B,2,FALSE),"Not Sampled")</f>
        <v>Not Sampled</v>
      </c>
      <c r="K38" s="1">
        <v>36</v>
      </c>
      <c r="L38" s="1" t="str">
        <f>LOOKUP(A38,Sheet2!$D$4:$E$9)</f>
        <v>8+</v>
      </c>
      <c r="M38" t="str">
        <f>LOOKUP(B38,Sheet2!$G$4:$H$9)</f>
        <v>126-150</v>
      </c>
      <c r="N38" t="str">
        <f>LOOKUP(C38,Sheet2!$J$4:$K$8)</f>
        <v>70-79</v>
      </c>
      <c r="O38" t="str">
        <f>LOOKUP(D38,Sheet2!$M$4:$N$8)</f>
        <v>Unknown</v>
      </c>
      <c r="P38" t="str">
        <f>LOOKUP(E38,Sheet2!$P$4:$Q$9)</f>
        <v>Unknown</v>
      </c>
      <c r="Q38" t="str">
        <f>LOOKUP(F38,Sheet2!$S$4:$T$8)</f>
        <v>31-35</v>
      </c>
      <c r="R38" t="str">
        <f>LOOKUP(G38,Sheet2!$V$4:$W$7)</f>
        <v>0.4 - 0.69</v>
      </c>
      <c r="S38" t="str">
        <f>LOOKUP(H38,Sheet2!$Z$4:$AA$7)</f>
        <v>26-35</v>
      </c>
      <c r="T38" t="str">
        <f t="shared" si="0"/>
        <v>Negative</v>
      </c>
      <c r="U38" t="str">
        <f t="shared" si="1"/>
        <v>Not Sampled</v>
      </c>
      <c r="V38" s="1" t="str">
        <f t="shared" si="2"/>
        <v>Not Sampled</v>
      </c>
    </row>
    <row r="39" spans="1:22" x14ac:dyDescent="0.25">
      <c r="A39" s="1">
        <v>9</v>
      </c>
      <c r="B39" s="1">
        <v>102</v>
      </c>
      <c r="C39" s="1">
        <v>76</v>
      </c>
      <c r="D39" s="1">
        <v>37</v>
      </c>
      <c r="E39" s="1">
        <v>0</v>
      </c>
      <c r="F39" s="1">
        <v>32.9</v>
      </c>
      <c r="G39" s="1">
        <v>0.66500000000000004</v>
      </c>
      <c r="H39" s="1">
        <v>46</v>
      </c>
      <c r="I39" s="1">
        <v>1</v>
      </c>
      <c r="J39" s="1">
        <f>IFERROR(VLOOKUP(K39,[1]diabetes_Recognition!$A:$B,2,FALSE),"Not Sampled")</f>
        <v>0</v>
      </c>
      <c r="K39" s="1">
        <v>37</v>
      </c>
      <c r="L39" s="1" t="str">
        <f>LOOKUP(A39,Sheet2!$D$4:$E$9)</f>
        <v>8+</v>
      </c>
      <c r="M39" t="str">
        <f>LOOKUP(B39,Sheet2!$G$4:$H$9)</f>
        <v>100-125</v>
      </c>
      <c r="N39" t="str">
        <f>LOOKUP(C39,Sheet2!$J$4:$K$8)</f>
        <v>70-79</v>
      </c>
      <c r="O39" t="str">
        <f>LOOKUP(D39,Sheet2!$M$4:$N$8)</f>
        <v>30-39</v>
      </c>
      <c r="P39" t="str">
        <f>LOOKUP(E39,Sheet2!$P$4:$Q$9)</f>
        <v>Unknown</v>
      </c>
      <c r="Q39" t="str">
        <f>LOOKUP(F39,Sheet2!$S$4:$T$8)</f>
        <v>31-35</v>
      </c>
      <c r="R39" t="str">
        <f>LOOKUP(G39,Sheet2!$V$4:$W$7)</f>
        <v>0.4 - 0.69</v>
      </c>
      <c r="S39" t="str">
        <f>LOOKUP(H39,Sheet2!$Z$4:$AA$7)</f>
        <v>46+</v>
      </c>
      <c r="T39" t="str">
        <f t="shared" si="0"/>
        <v>Positive</v>
      </c>
      <c r="U39" t="str">
        <f t="shared" si="1"/>
        <v>Negative</v>
      </c>
      <c r="V39" s="1" t="str">
        <f t="shared" si="2"/>
        <v>Inaccurate Prediction</v>
      </c>
    </row>
    <row r="40" spans="1:22" x14ac:dyDescent="0.25">
      <c r="A40" s="1">
        <v>2</v>
      </c>
      <c r="B40" s="1">
        <v>90</v>
      </c>
      <c r="C40" s="1">
        <v>68</v>
      </c>
      <c r="D40" s="1">
        <v>42</v>
      </c>
      <c r="E40" s="1">
        <v>0</v>
      </c>
      <c r="F40" s="1">
        <v>38.200000000000003</v>
      </c>
      <c r="G40" s="1">
        <v>0.503</v>
      </c>
      <c r="H40" s="1">
        <v>27</v>
      </c>
      <c r="I40" s="1">
        <v>1</v>
      </c>
      <c r="J40" s="1" t="str">
        <f>IFERROR(VLOOKUP(K40,[1]diabetes_Recognition!$A:$B,2,FALSE),"Not Sampled")</f>
        <v>Not Sampled</v>
      </c>
      <c r="K40" s="1">
        <v>38</v>
      </c>
      <c r="L40" s="1">
        <f>LOOKUP(A40,Sheet2!$D$4:$E$9)</f>
        <v>2</v>
      </c>
      <c r="M40" t="str">
        <f>LOOKUP(B40,Sheet2!$G$4:$H$9)</f>
        <v>1-99</v>
      </c>
      <c r="N40" t="str">
        <f>LOOKUP(C40,Sheet2!$J$4:$K$8)</f>
        <v>60-69</v>
      </c>
      <c r="O40" t="str">
        <f>LOOKUP(D40,Sheet2!$M$4:$N$8)</f>
        <v>40+</v>
      </c>
      <c r="P40" t="str">
        <f>LOOKUP(E40,Sheet2!$P$4:$Q$9)</f>
        <v>Unknown</v>
      </c>
      <c r="Q40" t="str">
        <f>LOOKUP(F40,Sheet2!$S$4:$T$8)</f>
        <v>36+</v>
      </c>
      <c r="R40" t="str">
        <f>LOOKUP(G40,Sheet2!$V$4:$W$7)</f>
        <v>0.4 - 0.69</v>
      </c>
      <c r="S40" t="str">
        <f>LOOKUP(H40,Sheet2!$Z$4:$AA$7)</f>
        <v>26-35</v>
      </c>
      <c r="T40" t="str">
        <f t="shared" si="0"/>
        <v>Positive</v>
      </c>
      <c r="U40" t="str">
        <f t="shared" si="1"/>
        <v>Not Sampled</v>
      </c>
      <c r="V40" s="1" t="str">
        <f t="shared" si="2"/>
        <v>Not Sampled</v>
      </c>
    </row>
    <row r="41" spans="1:22" x14ac:dyDescent="0.25">
      <c r="A41" s="1">
        <v>4</v>
      </c>
      <c r="B41" s="1">
        <v>111</v>
      </c>
      <c r="C41" s="1">
        <v>72</v>
      </c>
      <c r="D41" s="1">
        <v>47</v>
      </c>
      <c r="E41" s="1">
        <v>207</v>
      </c>
      <c r="F41" s="1">
        <v>37.1</v>
      </c>
      <c r="G41" s="1">
        <v>1.39</v>
      </c>
      <c r="H41" s="1">
        <v>56</v>
      </c>
      <c r="I41" s="1">
        <v>1</v>
      </c>
      <c r="J41" s="1">
        <f>IFERROR(VLOOKUP(K41,[1]diabetes_Recognition!$A:$B,2,FALSE),"Not Sampled")</f>
        <v>1</v>
      </c>
      <c r="K41" s="1">
        <v>39</v>
      </c>
      <c r="L41" s="1" t="str">
        <f>LOOKUP(A41,Sheet2!$D$4:$E$9)</f>
        <v>3-4</v>
      </c>
      <c r="M41" t="str">
        <f>LOOKUP(B41,Sheet2!$G$4:$H$9)</f>
        <v>100-125</v>
      </c>
      <c r="N41" t="str">
        <f>LOOKUP(C41,Sheet2!$J$4:$K$8)</f>
        <v>70-79</v>
      </c>
      <c r="O41" t="str">
        <f>LOOKUP(D41,Sheet2!$M$4:$N$8)</f>
        <v>40+</v>
      </c>
      <c r="P41" t="str">
        <f>LOOKUP(E41,Sheet2!$P$4:$Q$9)</f>
        <v>200-399</v>
      </c>
      <c r="Q41" t="str">
        <f>LOOKUP(F41,Sheet2!$S$4:$T$8)</f>
        <v>36+</v>
      </c>
      <c r="R41" t="str">
        <f>LOOKUP(G41,Sheet2!$V$4:$W$7)</f>
        <v>0.7+</v>
      </c>
      <c r="S41" t="str">
        <f>LOOKUP(H41,Sheet2!$Z$4:$AA$7)</f>
        <v>46+</v>
      </c>
      <c r="T41" t="str">
        <f t="shared" si="0"/>
        <v>Positive</v>
      </c>
      <c r="U41" t="str">
        <f t="shared" si="1"/>
        <v>Positive</v>
      </c>
      <c r="V41" s="1" t="str">
        <f t="shared" si="2"/>
        <v>Accurate Prediction</v>
      </c>
    </row>
    <row r="42" spans="1:22" x14ac:dyDescent="0.25">
      <c r="A42" s="1">
        <v>3</v>
      </c>
      <c r="B42" s="1">
        <v>180</v>
      </c>
      <c r="C42" s="1">
        <v>64</v>
      </c>
      <c r="D42" s="1">
        <v>25</v>
      </c>
      <c r="E42" s="1">
        <v>70</v>
      </c>
      <c r="F42" s="1">
        <v>34</v>
      </c>
      <c r="G42" s="1">
        <v>0.27100000000000002</v>
      </c>
      <c r="H42" s="1">
        <v>26</v>
      </c>
      <c r="I42" s="1">
        <v>0</v>
      </c>
      <c r="J42" s="1">
        <f>IFERROR(VLOOKUP(K42,[1]diabetes_Recognition!$A:$B,2,FALSE),"Not Sampled")</f>
        <v>1</v>
      </c>
      <c r="K42" s="1">
        <v>40</v>
      </c>
      <c r="L42" s="1" t="str">
        <f>LOOKUP(A42,Sheet2!$D$4:$E$9)</f>
        <v>3-4</v>
      </c>
      <c r="M42" t="str">
        <f>LOOKUP(B42,Sheet2!$G$4:$H$9)</f>
        <v>176-200</v>
      </c>
      <c r="N42" t="str">
        <f>LOOKUP(C42,Sheet2!$J$4:$K$8)</f>
        <v>60-69</v>
      </c>
      <c r="O42" t="str">
        <f>LOOKUP(D42,Sheet2!$M$4:$N$8)</f>
        <v>10-30</v>
      </c>
      <c r="P42" t="str">
        <f>LOOKUP(E42,Sheet2!$P$4:$Q$9)</f>
        <v>1-99</v>
      </c>
      <c r="Q42" t="str">
        <f>LOOKUP(F42,Sheet2!$S$4:$T$8)</f>
        <v>31-35</v>
      </c>
      <c r="R42" t="str">
        <f>LOOKUP(G42,Sheet2!$V$4:$W$7)</f>
        <v>0.25 - 0.39</v>
      </c>
      <c r="S42" t="str">
        <f>LOOKUP(H42,Sheet2!$Z$4:$AA$7)</f>
        <v>26-35</v>
      </c>
      <c r="T42" t="str">
        <f t="shared" si="0"/>
        <v>Negative</v>
      </c>
      <c r="U42" t="str">
        <f t="shared" si="1"/>
        <v>Positive</v>
      </c>
      <c r="V42" s="1" t="str">
        <f t="shared" si="2"/>
        <v>Inaccurate Prediction</v>
      </c>
    </row>
    <row r="43" spans="1:22" x14ac:dyDescent="0.25">
      <c r="A43" s="1">
        <v>7</v>
      </c>
      <c r="B43" s="1">
        <v>133</v>
      </c>
      <c r="C43" s="1">
        <v>84</v>
      </c>
      <c r="D43" s="1">
        <v>0</v>
      </c>
      <c r="E43" s="1">
        <v>0</v>
      </c>
      <c r="F43" s="1">
        <v>40.200000000000003</v>
      </c>
      <c r="G43" s="1">
        <v>0.69599999999999995</v>
      </c>
      <c r="H43" s="1">
        <v>37</v>
      </c>
      <c r="I43" s="1">
        <v>0</v>
      </c>
      <c r="J43" s="1" t="str">
        <f>IFERROR(VLOOKUP(K43,[1]diabetes_Recognition!$A:$B,2,FALSE),"Not Sampled")</f>
        <v>Not Sampled</v>
      </c>
      <c r="K43" s="1">
        <v>41</v>
      </c>
      <c r="L43" s="1" t="str">
        <f>LOOKUP(A43,Sheet2!$D$4:$E$9)</f>
        <v>5-7</v>
      </c>
      <c r="M43" t="str">
        <f>LOOKUP(B43,Sheet2!$G$4:$H$9)</f>
        <v>126-150</v>
      </c>
      <c r="N43" t="str">
        <f>LOOKUP(C43,Sheet2!$J$4:$K$8)</f>
        <v>80+</v>
      </c>
      <c r="O43" t="str">
        <f>LOOKUP(D43,Sheet2!$M$4:$N$8)</f>
        <v>Unknown</v>
      </c>
      <c r="P43" t="str">
        <f>LOOKUP(E43,Sheet2!$P$4:$Q$9)</f>
        <v>Unknown</v>
      </c>
      <c r="Q43" t="str">
        <f>LOOKUP(F43,Sheet2!$S$4:$T$8)</f>
        <v>36+</v>
      </c>
      <c r="R43" t="str">
        <f>LOOKUP(G43,Sheet2!$V$4:$W$7)</f>
        <v>0.4 - 0.69</v>
      </c>
      <c r="S43" t="str">
        <f>LOOKUP(H43,Sheet2!$Z$4:$AA$7)</f>
        <v>36-45</v>
      </c>
      <c r="T43" t="str">
        <f t="shared" si="0"/>
        <v>Negative</v>
      </c>
      <c r="U43" t="str">
        <f t="shared" si="1"/>
        <v>Not Sampled</v>
      </c>
      <c r="V43" s="1" t="str">
        <f t="shared" si="2"/>
        <v>Not Sampled</v>
      </c>
    </row>
    <row r="44" spans="1:22" x14ac:dyDescent="0.25">
      <c r="A44" s="1">
        <v>7</v>
      </c>
      <c r="B44" s="1">
        <v>106</v>
      </c>
      <c r="C44" s="1">
        <v>92</v>
      </c>
      <c r="D44" s="1">
        <v>18</v>
      </c>
      <c r="E44" s="1">
        <v>0</v>
      </c>
      <c r="F44" s="1">
        <v>22.7</v>
      </c>
      <c r="G44" s="1">
        <v>0.23499999999999999</v>
      </c>
      <c r="H44" s="1">
        <v>48</v>
      </c>
      <c r="I44" s="1">
        <v>0</v>
      </c>
      <c r="J44" s="1" t="str">
        <f>IFERROR(VLOOKUP(K44,[1]diabetes_Recognition!$A:$B,2,FALSE),"Not Sampled")</f>
        <v>Not Sampled</v>
      </c>
      <c r="K44" s="1">
        <v>42</v>
      </c>
      <c r="L44" s="1" t="str">
        <f>LOOKUP(A44,Sheet2!$D$4:$E$9)</f>
        <v>5-7</v>
      </c>
      <c r="M44" t="str">
        <f>LOOKUP(B44,Sheet2!$G$4:$H$9)</f>
        <v>100-125</v>
      </c>
      <c r="N44" t="str">
        <f>LOOKUP(C44,Sheet2!$J$4:$K$8)</f>
        <v>80+</v>
      </c>
      <c r="O44" t="str">
        <f>LOOKUP(D44,Sheet2!$M$4:$N$8)</f>
        <v>10-30</v>
      </c>
      <c r="P44" t="str">
        <f>LOOKUP(E44,Sheet2!$P$4:$Q$9)</f>
        <v>Unknown</v>
      </c>
      <c r="Q44" t="str">
        <f>LOOKUP(F44,Sheet2!$S$4:$T$8)</f>
        <v>1-25</v>
      </c>
      <c r="R44" t="str">
        <f>LOOKUP(G44,Sheet2!$V$4:$W$7)</f>
        <v>0.0 - 0.249</v>
      </c>
      <c r="S44" t="str">
        <f>LOOKUP(H44,Sheet2!$Z$4:$AA$7)</f>
        <v>46+</v>
      </c>
      <c r="T44" t="str">
        <f t="shared" si="0"/>
        <v>Negative</v>
      </c>
      <c r="U44" t="str">
        <f t="shared" si="1"/>
        <v>Not Sampled</v>
      </c>
      <c r="V44" s="1" t="str">
        <f t="shared" si="2"/>
        <v>Not Sampled</v>
      </c>
    </row>
    <row r="45" spans="1:22" x14ac:dyDescent="0.25">
      <c r="A45" s="1">
        <v>9</v>
      </c>
      <c r="B45" s="1">
        <v>171</v>
      </c>
      <c r="C45" s="1">
        <v>110</v>
      </c>
      <c r="D45" s="1">
        <v>24</v>
      </c>
      <c r="E45" s="1">
        <v>240</v>
      </c>
      <c r="F45" s="1">
        <v>45.4</v>
      </c>
      <c r="G45" s="1">
        <v>0.72099999999999997</v>
      </c>
      <c r="H45" s="1">
        <v>54</v>
      </c>
      <c r="I45" s="1">
        <v>1</v>
      </c>
      <c r="J45" s="1" t="str">
        <f>IFERROR(VLOOKUP(K45,[1]diabetes_Recognition!$A:$B,2,FALSE),"Not Sampled")</f>
        <v>Not Sampled</v>
      </c>
      <c r="K45" s="1">
        <v>43</v>
      </c>
      <c r="L45" s="1" t="str">
        <f>LOOKUP(A45,Sheet2!$D$4:$E$9)</f>
        <v>8+</v>
      </c>
      <c r="M45" t="str">
        <f>LOOKUP(B45,Sheet2!$G$4:$H$9)</f>
        <v>151-175</v>
      </c>
      <c r="N45" t="str">
        <f>LOOKUP(C45,Sheet2!$J$4:$K$8)</f>
        <v>80+</v>
      </c>
      <c r="O45" t="str">
        <f>LOOKUP(D45,Sheet2!$M$4:$N$8)</f>
        <v>10-30</v>
      </c>
      <c r="P45" t="str">
        <f>LOOKUP(E45,Sheet2!$P$4:$Q$9)</f>
        <v>200-399</v>
      </c>
      <c r="Q45" t="str">
        <f>LOOKUP(F45,Sheet2!$S$4:$T$8)</f>
        <v>36+</v>
      </c>
      <c r="R45" t="str">
        <f>LOOKUP(G45,Sheet2!$V$4:$W$7)</f>
        <v>0.7+</v>
      </c>
      <c r="S45" t="str">
        <f>LOOKUP(H45,Sheet2!$Z$4:$AA$7)</f>
        <v>46+</v>
      </c>
      <c r="T45" t="str">
        <f t="shared" si="0"/>
        <v>Positive</v>
      </c>
      <c r="U45" t="str">
        <f t="shared" si="1"/>
        <v>Not Sampled</v>
      </c>
      <c r="V45" s="1" t="str">
        <f t="shared" si="2"/>
        <v>Not Sampled</v>
      </c>
    </row>
    <row r="46" spans="1:22" x14ac:dyDescent="0.25">
      <c r="A46" s="1">
        <v>7</v>
      </c>
      <c r="B46" s="1">
        <v>159</v>
      </c>
      <c r="C46" s="1">
        <v>64</v>
      </c>
      <c r="D46" s="1">
        <v>0</v>
      </c>
      <c r="E46" s="1">
        <v>0</v>
      </c>
      <c r="F46" s="1">
        <v>27.4</v>
      </c>
      <c r="G46" s="1">
        <v>0.29399999999999998</v>
      </c>
      <c r="H46" s="1">
        <v>40</v>
      </c>
      <c r="I46" s="1">
        <v>0</v>
      </c>
      <c r="J46" s="1" t="str">
        <f>IFERROR(VLOOKUP(K46,[1]diabetes_Recognition!$A:$B,2,FALSE),"Not Sampled")</f>
        <v>Not Sampled</v>
      </c>
      <c r="K46" s="1">
        <v>44</v>
      </c>
      <c r="L46" s="1" t="str">
        <f>LOOKUP(A46,Sheet2!$D$4:$E$9)</f>
        <v>5-7</v>
      </c>
      <c r="M46" t="str">
        <f>LOOKUP(B46,Sheet2!$G$4:$H$9)</f>
        <v>151-175</v>
      </c>
      <c r="N46" t="str">
        <f>LOOKUP(C46,Sheet2!$J$4:$K$8)</f>
        <v>60-69</v>
      </c>
      <c r="O46" t="str">
        <f>LOOKUP(D46,Sheet2!$M$4:$N$8)</f>
        <v>Unknown</v>
      </c>
      <c r="P46" t="str">
        <f>LOOKUP(E46,Sheet2!$P$4:$Q$9)</f>
        <v>Unknown</v>
      </c>
      <c r="Q46" t="str">
        <f>LOOKUP(F46,Sheet2!$S$4:$T$8)</f>
        <v>26-30</v>
      </c>
      <c r="R46" t="str">
        <f>LOOKUP(G46,Sheet2!$V$4:$W$7)</f>
        <v>0.25 - 0.39</v>
      </c>
      <c r="S46" t="str">
        <f>LOOKUP(H46,Sheet2!$Z$4:$AA$7)</f>
        <v>36-45</v>
      </c>
      <c r="T46" t="str">
        <f t="shared" si="0"/>
        <v>Negative</v>
      </c>
      <c r="U46" t="str">
        <f t="shared" si="1"/>
        <v>Not Sampled</v>
      </c>
      <c r="V46" s="1" t="str">
        <f t="shared" si="2"/>
        <v>Not Sampled</v>
      </c>
    </row>
    <row r="47" spans="1:22" x14ac:dyDescent="0.25">
      <c r="A47" s="1">
        <v>0</v>
      </c>
      <c r="B47" s="1">
        <v>180</v>
      </c>
      <c r="C47" s="1">
        <v>66</v>
      </c>
      <c r="D47" s="1">
        <v>39</v>
      </c>
      <c r="E47" s="1">
        <v>0</v>
      </c>
      <c r="F47" s="1">
        <v>42</v>
      </c>
      <c r="G47" s="1">
        <v>1.893</v>
      </c>
      <c r="H47" s="1">
        <v>25</v>
      </c>
      <c r="I47" s="1">
        <v>1</v>
      </c>
      <c r="J47" s="1" t="str">
        <f>IFERROR(VLOOKUP(K47,[1]diabetes_Recognition!$A:$B,2,FALSE),"Not Sampled")</f>
        <v>Not Sampled</v>
      </c>
      <c r="K47" s="1">
        <v>45</v>
      </c>
      <c r="L47" s="1">
        <f>LOOKUP(A47,Sheet2!$D$4:$E$9)</f>
        <v>0</v>
      </c>
      <c r="M47" t="str">
        <f>LOOKUP(B47,Sheet2!$G$4:$H$9)</f>
        <v>176-200</v>
      </c>
      <c r="N47" t="str">
        <f>LOOKUP(C47,Sheet2!$J$4:$K$8)</f>
        <v>60-69</v>
      </c>
      <c r="O47" t="str">
        <f>LOOKUP(D47,Sheet2!$M$4:$N$8)</f>
        <v>30-39</v>
      </c>
      <c r="P47" t="str">
        <f>LOOKUP(E47,Sheet2!$P$4:$Q$9)</f>
        <v>Unknown</v>
      </c>
      <c r="Q47" t="str">
        <f>LOOKUP(F47,Sheet2!$S$4:$T$8)</f>
        <v>36+</v>
      </c>
      <c r="R47" t="str">
        <f>LOOKUP(G47,Sheet2!$V$4:$W$7)</f>
        <v>0.7+</v>
      </c>
      <c r="S47" t="str">
        <f>LOOKUP(H47,Sheet2!$Z$4:$AA$7)</f>
        <v>&lt;=25</v>
      </c>
      <c r="T47" t="str">
        <f t="shared" si="0"/>
        <v>Positive</v>
      </c>
      <c r="U47" t="str">
        <f t="shared" si="1"/>
        <v>Not Sampled</v>
      </c>
      <c r="V47" s="1" t="str">
        <f t="shared" si="2"/>
        <v>Not Sampled</v>
      </c>
    </row>
    <row r="48" spans="1:22" x14ac:dyDescent="0.25">
      <c r="A48" s="1">
        <v>1</v>
      </c>
      <c r="B48" s="1">
        <v>146</v>
      </c>
      <c r="C48" s="1">
        <v>56</v>
      </c>
      <c r="D48" s="1">
        <v>0</v>
      </c>
      <c r="E48" s="1">
        <v>0</v>
      </c>
      <c r="F48" s="1">
        <v>29.7</v>
      </c>
      <c r="G48" s="1">
        <v>0.56399999999999995</v>
      </c>
      <c r="H48" s="1">
        <v>29</v>
      </c>
      <c r="I48" s="1">
        <v>0</v>
      </c>
      <c r="J48" s="1" t="str">
        <f>IFERROR(VLOOKUP(K48,[1]diabetes_Recognition!$A:$B,2,FALSE),"Not Sampled")</f>
        <v>Not Sampled</v>
      </c>
      <c r="K48" s="1">
        <v>46</v>
      </c>
      <c r="L48" s="1">
        <f>LOOKUP(A48,Sheet2!$D$4:$E$9)</f>
        <v>1</v>
      </c>
      <c r="M48" t="str">
        <f>LOOKUP(B48,Sheet2!$G$4:$H$9)</f>
        <v>126-150</v>
      </c>
      <c r="N48" t="str">
        <f>LOOKUP(C48,Sheet2!$J$4:$K$8)</f>
        <v>1-59</v>
      </c>
      <c r="O48" t="str">
        <f>LOOKUP(D48,Sheet2!$M$4:$N$8)</f>
        <v>Unknown</v>
      </c>
      <c r="P48" t="str">
        <f>LOOKUP(E48,Sheet2!$P$4:$Q$9)</f>
        <v>Unknown</v>
      </c>
      <c r="Q48" t="str">
        <f>LOOKUP(F48,Sheet2!$S$4:$T$8)</f>
        <v>26-30</v>
      </c>
      <c r="R48" t="str">
        <f>LOOKUP(G48,Sheet2!$V$4:$W$7)</f>
        <v>0.4 - 0.69</v>
      </c>
      <c r="S48" t="str">
        <f>LOOKUP(H48,Sheet2!$Z$4:$AA$7)</f>
        <v>26-35</v>
      </c>
      <c r="T48" t="str">
        <f t="shared" si="0"/>
        <v>Negative</v>
      </c>
      <c r="U48" t="str">
        <f t="shared" si="1"/>
        <v>Not Sampled</v>
      </c>
      <c r="V48" s="1" t="str">
        <f t="shared" si="2"/>
        <v>Not Sampled</v>
      </c>
    </row>
    <row r="49" spans="1:22" x14ac:dyDescent="0.25">
      <c r="A49" s="1">
        <v>2</v>
      </c>
      <c r="B49" s="1">
        <v>71</v>
      </c>
      <c r="C49" s="1">
        <v>70</v>
      </c>
      <c r="D49" s="1">
        <v>27</v>
      </c>
      <c r="E49" s="1">
        <v>0</v>
      </c>
      <c r="F49" s="1">
        <v>28</v>
      </c>
      <c r="G49" s="1">
        <v>0.58599999999999997</v>
      </c>
      <c r="H49" s="1">
        <v>22</v>
      </c>
      <c r="I49" s="1">
        <v>0</v>
      </c>
      <c r="J49" s="1">
        <f>IFERROR(VLOOKUP(K49,[1]diabetes_Recognition!$A:$B,2,FALSE),"Not Sampled")</f>
        <v>0</v>
      </c>
      <c r="K49" s="1">
        <v>47</v>
      </c>
      <c r="L49" s="1">
        <f>LOOKUP(A49,Sheet2!$D$4:$E$9)</f>
        <v>2</v>
      </c>
      <c r="M49" t="str">
        <f>LOOKUP(B49,Sheet2!$G$4:$H$9)</f>
        <v>1-99</v>
      </c>
      <c r="N49" t="str">
        <f>LOOKUP(C49,Sheet2!$J$4:$K$8)</f>
        <v>70-79</v>
      </c>
      <c r="O49" t="str">
        <f>LOOKUP(D49,Sheet2!$M$4:$N$8)</f>
        <v>10-30</v>
      </c>
      <c r="P49" t="str">
        <f>LOOKUP(E49,Sheet2!$P$4:$Q$9)</f>
        <v>Unknown</v>
      </c>
      <c r="Q49" t="str">
        <f>LOOKUP(F49,Sheet2!$S$4:$T$8)</f>
        <v>26-30</v>
      </c>
      <c r="R49" t="str">
        <f>LOOKUP(G49,Sheet2!$V$4:$W$7)</f>
        <v>0.4 - 0.69</v>
      </c>
      <c r="S49" t="str">
        <f>LOOKUP(H49,Sheet2!$Z$4:$AA$7)</f>
        <v>&lt;=25</v>
      </c>
      <c r="T49" t="str">
        <f t="shared" si="0"/>
        <v>Negative</v>
      </c>
      <c r="U49" t="str">
        <f t="shared" si="1"/>
        <v>Negative</v>
      </c>
      <c r="V49" s="1" t="str">
        <f t="shared" si="2"/>
        <v>Accurate Prediction</v>
      </c>
    </row>
    <row r="50" spans="1:22" x14ac:dyDescent="0.25">
      <c r="A50" s="1">
        <v>7</v>
      </c>
      <c r="B50" s="1">
        <v>103</v>
      </c>
      <c r="C50" s="1">
        <v>66</v>
      </c>
      <c r="D50" s="1">
        <v>32</v>
      </c>
      <c r="E50" s="1">
        <v>0</v>
      </c>
      <c r="F50" s="1">
        <v>39.1</v>
      </c>
      <c r="G50" s="1">
        <v>0.34399999999999997</v>
      </c>
      <c r="H50" s="1">
        <v>31</v>
      </c>
      <c r="I50" s="1">
        <v>1</v>
      </c>
      <c r="J50" s="1">
        <f>IFERROR(VLOOKUP(K50,[1]diabetes_Recognition!$A:$B,2,FALSE),"Not Sampled")</f>
        <v>0</v>
      </c>
      <c r="K50" s="1">
        <v>48</v>
      </c>
      <c r="L50" s="1" t="str">
        <f>LOOKUP(A50,Sheet2!$D$4:$E$9)</f>
        <v>5-7</v>
      </c>
      <c r="M50" t="str">
        <f>LOOKUP(B50,Sheet2!$G$4:$H$9)</f>
        <v>100-125</v>
      </c>
      <c r="N50" t="str">
        <f>LOOKUP(C50,Sheet2!$J$4:$K$8)</f>
        <v>60-69</v>
      </c>
      <c r="O50" t="str">
        <f>LOOKUP(D50,Sheet2!$M$4:$N$8)</f>
        <v>30-39</v>
      </c>
      <c r="P50" t="str">
        <f>LOOKUP(E50,Sheet2!$P$4:$Q$9)</f>
        <v>Unknown</v>
      </c>
      <c r="Q50" t="str">
        <f>LOOKUP(F50,Sheet2!$S$4:$T$8)</f>
        <v>36+</v>
      </c>
      <c r="R50" t="str">
        <f>LOOKUP(G50,Sheet2!$V$4:$W$7)</f>
        <v>0.25 - 0.39</v>
      </c>
      <c r="S50" t="str">
        <f>LOOKUP(H50,Sheet2!$Z$4:$AA$7)</f>
        <v>26-35</v>
      </c>
      <c r="T50" t="str">
        <f t="shared" si="0"/>
        <v>Positive</v>
      </c>
      <c r="U50" t="str">
        <f t="shared" si="1"/>
        <v>Negative</v>
      </c>
      <c r="V50" s="1" t="str">
        <f t="shared" si="2"/>
        <v>Inaccurate Prediction</v>
      </c>
    </row>
    <row r="51" spans="1:22" x14ac:dyDescent="0.25">
      <c r="A51" s="1">
        <v>7</v>
      </c>
      <c r="B51" s="1">
        <v>105</v>
      </c>
      <c r="C51" s="1">
        <v>0</v>
      </c>
      <c r="D51" s="1">
        <v>0</v>
      </c>
      <c r="E51" s="1">
        <v>0</v>
      </c>
      <c r="F51" s="1">
        <v>0</v>
      </c>
      <c r="G51" s="1">
        <v>0.30499999999999999</v>
      </c>
      <c r="H51" s="1">
        <v>24</v>
      </c>
      <c r="I51" s="1">
        <v>0</v>
      </c>
      <c r="J51" s="1">
        <f>IFERROR(VLOOKUP(K51,[1]diabetes_Recognition!$A:$B,2,FALSE),"Not Sampled")</f>
        <v>0</v>
      </c>
      <c r="K51" s="1">
        <v>49</v>
      </c>
      <c r="L51" s="1" t="str">
        <f>LOOKUP(A51,Sheet2!$D$4:$E$9)</f>
        <v>5-7</v>
      </c>
      <c r="M51" t="str">
        <f>LOOKUP(B51,Sheet2!$G$4:$H$9)</f>
        <v>100-125</v>
      </c>
      <c r="N51" t="str">
        <f>LOOKUP(C51,Sheet2!$J$4:$K$8)</f>
        <v>Unknown</v>
      </c>
      <c r="O51" t="str">
        <f>LOOKUP(D51,Sheet2!$M$4:$N$8)</f>
        <v>Unknown</v>
      </c>
      <c r="P51" t="str">
        <f>LOOKUP(E51,Sheet2!$P$4:$Q$9)</f>
        <v>Unknown</v>
      </c>
      <c r="Q51" t="str">
        <f>LOOKUP(F51,Sheet2!$S$4:$T$8)</f>
        <v>Unknown</v>
      </c>
      <c r="R51" t="str">
        <f>LOOKUP(G51,Sheet2!$V$4:$W$7)</f>
        <v>0.25 - 0.39</v>
      </c>
      <c r="S51" t="str">
        <f>LOOKUP(H51,Sheet2!$Z$4:$AA$7)</f>
        <v>&lt;=25</v>
      </c>
      <c r="T51" t="str">
        <f t="shared" si="0"/>
        <v>Negative</v>
      </c>
      <c r="U51" t="str">
        <f t="shared" si="1"/>
        <v>Negative</v>
      </c>
      <c r="V51" s="1" t="str">
        <f t="shared" si="2"/>
        <v>Accurate Prediction</v>
      </c>
    </row>
    <row r="52" spans="1:22" x14ac:dyDescent="0.25">
      <c r="A52" s="1">
        <v>1</v>
      </c>
      <c r="B52" s="1">
        <v>103</v>
      </c>
      <c r="C52" s="1">
        <v>80</v>
      </c>
      <c r="D52" s="1">
        <v>11</v>
      </c>
      <c r="E52" s="1">
        <v>82</v>
      </c>
      <c r="F52" s="1">
        <v>19.399999999999999</v>
      </c>
      <c r="G52" s="1">
        <v>0.49099999999999999</v>
      </c>
      <c r="H52" s="1">
        <v>22</v>
      </c>
      <c r="I52" s="1">
        <v>0</v>
      </c>
      <c r="J52" s="1" t="str">
        <f>IFERROR(VLOOKUP(K52,[1]diabetes_Recognition!$A:$B,2,FALSE),"Not Sampled")</f>
        <v>Not Sampled</v>
      </c>
      <c r="K52" s="1">
        <v>50</v>
      </c>
      <c r="L52" s="1">
        <f>LOOKUP(A52,Sheet2!$D$4:$E$9)</f>
        <v>1</v>
      </c>
      <c r="M52" t="str">
        <f>LOOKUP(B52,Sheet2!$G$4:$H$9)</f>
        <v>100-125</v>
      </c>
      <c r="N52" t="str">
        <f>LOOKUP(C52,Sheet2!$J$4:$K$8)</f>
        <v>80+</v>
      </c>
      <c r="O52" t="str">
        <f>LOOKUP(D52,Sheet2!$M$4:$N$8)</f>
        <v>10-30</v>
      </c>
      <c r="P52" t="str">
        <f>LOOKUP(E52,Sheet2!$P$4:$Q$9)</f>
        <v>1-99</v>
      </c>
      <c r="Q52" t="str">
        <f>LOOKUP(F52,Sheet2!$S$4:$T$8)</f>
        <v>1-25</v>
      </c>
      <c r="R52" t="str">
        <f>LOOKUP(G52,Sheet2!$V$4:$W$7)</f>
        <v>0.4 - 0.69</v>
      </c>
      <c r="S52" t="str">
        <f>LOOKUP(H52,Sheet2!$Z$4:$AA$7)</f>
        <v>&lt;=25</v>
      </c>
      <c r="T52" t="str">
        <f t="shared" si="0"/>
        <v>Negative</v>
      </c>
      <c r="U52" t="str">
        <f t="shared" si="1"/>
        <v>Not Sampled</v>
      </c>
      <c r="V52" s="1" t="str">
        <f t="shared" si="2"/>
        <v>Not Sampled</v>
      </c>
    </row>
    <row r="53" spans="1:22" x14ac:dyDescent="0.25">
      <c r="A53" s="1">
        <v>1</v>
      </c>
      <c r="B53" s="1">
        <v>101</v>
      </c>
      <c r="C53" s="1">
        <v>50</v>
      </c>
      <c r="D53" s="1">
        <v>15</v>
      </c>
      <c r="E53" s="1">
        <v>36</v>
      </c>
      <c r="F53" s="1">
        <v>24.2</v>
      </c>
      <c r="G53" s="1">
        <v>0.52600000000000002</v>
      </c>
      <c r="H53" s="1">
        <v>26</v>
      </c>
      <c r="I53" s="1">
        <v>0</v>
      </c>
      <c r="J53" s="1" t="str">
        <f>IFERROR(VLOOKUP(K53,[1]diabetes_Recognition!$A:$B,2,FALSE),"Not Sampled")</f>
        <v>Not Sampled</v>
      </c>
      <c r="K53" s="1">
        <v>51</v>
      </c>
      <c r="L53" s="1">
        <f>LOOKUP(A53,Sheet2!$D$4:$E$9)</f>
        <v>1</v>
      </c>
      <c r="M53" t="str">
        <f>LOOKUP(B53,Sheet2!$G$4:$H$9)</f>
        <v>100-125</v>
      </c>
      <c r="N53" t="str">
        <f>LOOKUP(C53,Sheet2!$J$4:$K$8)</f>
        <v>1-59</v>
      </c>
      <c r="O53" t="str">
        <f>LOOKUP(D53,Sheet2!$M$4:$N$8)</f>
        <v>10-30</v>
      </c>
      <c r="P53" t="str">
        <f>LOOKUP(E53,Sheet2!$P$4:$Q$9)</f>
        <v>1-99</v>
      </c>
      <c r="Q53" t="str">
        <f>LOOKUP(F53,Sheet2!$S$4:$T$8)</f>
        <v>1-25</v>
      </c>
      <c r="R53" t="str">
        <f>LOOKUP(G53,Sheet2!$V$4:$W$7)</f>
        <v>0.4 - 0.69</v>
      </c>
      <c r="S53" t="str">
        <f>LOOKUP(H53,Sheet2!$Z$4:$AA$7)</f>
        <v>26-35</v>
      </c>
      <c r="T53" t="str">
        <f t="shared" si="0"/>
        <v>Negative</v>
      </c>
      <c r="U53" t="str">
        <f t="shared" si="1"/>
        <v>Not Sampled</v>
      </c>
      <c r="V53" s="1" t="str">
        <f t="shared" si="2"/>
        <v>Not Sampled</v>
      </c>
    </row>
    <row r="54" spans="1:22" x14ac:dyDescent="0.25">
      <c r="A54" s="1">
        <v>5</v>
      </c>
      <c r="B54" s="1">
        <v>88</v>
      </c>
      <c r="C54" s="1">
        <v>66</v>
      </c>
      <c r="D54" s="1">
        <v>21</v>
      </c>
      <c r="E54" s="1">
        <v>23</v>
      </c>
      <c r="F54" s="1">
        <v>24.4</v>
      </c>
      <c r="G54" s="1">
        <v>0.34200000000000003</v>
      </c>
      <c r="H54" s="1">
        <v>30</v>
      </c>
      <c r="I54" s="1">
        <v>0</v>
      </c>
      <c r="J54" s="1" t="str">
        <f>IFERROR(VLOOKUP(K54,[1]diabetes_Recognition!$A:$B,2,FALSE),"Not Sampled")</f>
        <v>Not Sampled</v>
      </c>
      <c r="K54" s="1">
        <v>52</v>
      </c>
      <c r="L54" s="1" t="str">
        <f>LOOKUP(A54,Sheet2!$D$4:$E$9)</f>
        <v>5-7</v>
      </c>
      <c r="M54" t="str">
        <f>LOOKUP(B54,Sheet2!$G$4:$H$9)</f>
        <v>1-99</v>
      </c>
      <c r="N54" t="str">
        <f>LOOKUP(C54,Sheet2!$J$4:$K$8)</f>
        <v>60-69</v>
      </c>
      <c r="O54" t="str">
        <f>LOOKUP(D54,Sheet2!$M$4:$N$8)</f>
        <v>10-30</v>
      </c>
      <c r="P54" t="str">
        <f>LOOKUP(E54,Sheet2!$P$4:$Q$9)</f>
        <v>1-99</v>
      </c>
      <c r="Q54" t="str">
        <f>LOOKUP(F54,Sheet2!$S$4:$T$8)</f>
        <v>1-25</v>
      </c>
      <c r="R54" t="str">
        <f>LOOKUP(G54,Sheet2!$V$4:$W$7)</f>
        <v>0.25 - 0.39</v>
      </c>
      <c r="S54" t="str">
        <f>LOOKUP(H54,Sheet2!$Z$4:$AA$7)</f>
        <v>26-35</v>
      </c>
      <c r="T54" t="str">
        <f t="shared" si="0"/>
        <v>Negative</v>
      </c>
      <c r="U54" t="str">
        <f t="shared" si="1"/>
        <v>Not Sampled</v>
      </c>
      <c r="V54" s="1" t="str">
        <f t="shared" si="2"/>
        <v>Not Sampled</v>
      </c>
    </row>
    <row r="55" spans="1:22" x14ac:dyDescent="0.25">
      <c r="A55" s="1">
        <v>8</v>
      </c>
      <c r="B55" s="1">
        <v>176</v>
      </c>
      <c r="C55" s="1">
        <v>90</v>
      </c>
      <c r="D55" s="1">
        <v>34</v>
      </c>
      <c r="E55" s="1">
        <v>300</v>
      </c>
      <c r="F55" s="1">
        <v>33.700000000000003</v>
      </c>
      <c r="G55" s="1">
        <v>0.46700000000000003</v>
      </c>
      <c r="H55" s="1">
        <v>58</v>
      </c>
      <c r="I55" s="1">
        <v>1</v>
      </c>
      <c r="J55" s="1">
        <f>IFERROR(VLOOKUP(K55,[1]diabetes_Recognition!$A:$B,2,FALSE),"Not Sampled")</f>
        <v>1</v>
      </c>
      <c r="K55" s="1">
        <v>53</v>
      </c>
      <c r="L55" s="1" t="str">
        <f>LOOKUP(A55,Sheet2!$D$4:$E$9)</f>
        <v>8+</v>
      </c>
      <c r="M55" t="str">
        <f>LOOKUP(B55,Sheet2!$G$4:$H$9)</f>
        <v>176-200</v>
      </c>
      <c r="N55" t="str">
        <f>LOOKUP(C55,Sheet2!$J$4:$K$8)</f>
        <v>80+</v>
      </c>
      <c r="O55" t="str">
        <f>LOOKUP(D55,Sheet2!$M$4:$N$8)</f>
        <v>30-39</v>
      </c>
      <c r="P55" t="str">
        <f>LOOKUP(E55,Sheet2!$P$4:$Q$9)</f>
        <v>300-499</v>
      </c>
      <c r="Q55" t="str">
        <f>LOOKUP(F55,Sheet2!$S$4:$T$8)</f>
        <v>31-35</v>
      </c>
      <c r="R55" t="str">
        <f>LOOKUP(G55,Sheet2!$V$4:$W$7)</f>
        <v>0.4 - 0.69</v>
      </c>
      <c r="S55" t="str">
        <f>LOOKUP(H55,Sheet2!$Z$4:$AA$7)</f>
        <v>46+</v>
      </c>
      <c r="T55" t="str">
        <f t="shared" si="0"/>
        <v>Positive</v>
      </c>
      <c r="U55" t="str">
        <f t="shared" si="1"/>
        <v>Positive</v>
      </c>
      <c r="V55" s="1" t="str">
        <f t="shared" si="2"/>
        <v>Accurate Prediction</v>
      </c>
    </row>
    <row r="56" spans="1:22" x14ac:dyDescent="0.25">
      <c r="A56" s="1">
        <v>7</v>
      </c>
      <c r="B56" s="1">
        <v>150</v>
      </c>
      <c r="C56" s="1">
        <v>66</v>
      </c>
      <c r="D56" s="1">
        <v>42</v>
      </c>
      <c r="E56" s="1">
        <v>342</v>
      </c>
      <c r="F56" s="1">
        <v>34.700000000000003</v>
      </c>
      <c r="G56" s="1">
        <v>0.71799999999999997</v>
      </c>
      <c r="H56" s="1">
        <v>42</v>
      </c>
      <c r="I56" s="1">
        <v>0</v>
      </c>
      <c r="J56" s="1" t="str">
        <f>IFERROR(VLOOKUP(K56,[1]diabetes_Recognition!$A:$B,2,FALSE),"Not Sampled")</f>
        <v>Not Sampled</v>
      </c>
      <c r="K56" s="1">
        <v>54</v>
      </c>
      <c r="L56" s="1" t="str">
        <f>LOOKUP(A56,Sheet2!$D$4:$E$9)</f>
        <v>5-7</v>
      </c>
      <c r="M56" t="str">
        <f>LOOKUP(B56,Sheet2!$G$4:$H$9)</f>
        <v>126-150</v>
      </c>
      <c r="N56" t="str">
        <f>LOOKUP(C56,Sheet2!$J$4:$K$8)</f>
        <v>60-69</v>
      </c>
      <c r="O56" t="str">
        <f>LOOKUP(D56,Sheet2!$M$4:$N$8)</f>
        <v>40+</v>
      </c>
      <c r="P56" t="str">
        <f>LOOKUP(E56,Sheet2!$P$4:$Q$9)</f>
        <v>300-499</v>
      </c>
      <c r="Q56" t="str">
        <f>LOOKUP(F56,Sheet2!$S$4:$T$8)</f>
        <v>31-35</v>
      </c>
      <c r="R56" t="str">
        <f>LOOKUP(G56,Sheet2!$V$4:$W$7)</f>
        <v>0.7+</v>
      </c>
      <c r="S56" t="str">
        <f>LOOKUP(H56,Sheet2!$Z$4:$AA$7)</f>
        <v>36-45</v>
      </c>
      <c r="T56" t="str">
        <f t="shared" si="0"/>
        <v>Negative</v>
      </c>
      <c r="U56" t="str">
        <f t="shared" si="1"/>
        <v>Not Sampled</v>
      </c>
      <c r="V56" s="1" t="str">
        <f t="shared" si="2"/>
        <v>Not Sampled</v>
      </c>
    </row>
    <row r="57" spans="1:22" x14ac:dyDescent="0.25">
      <c r="A57" s="1">
        <v>1</v>
      </c>
      <c r="B57" s="1">
        <v>73</v>
      </c>
      <c r="C57" s="1">
        <v>50</v>
      </c>
      <c r="D57" s="1">
        <v>10</v>
      </c>
      <c r="E57" s="1">
        <v>0</v>
      </c>
      <c r="F57" s="1">
        <v>23</v>
      </c>
      <c r="G57" s="1">
        <v>0.248</v>
      </c>
      <c r="H57" s="1">
        <v>21</v>
      </c>
      <c r="I57" s="1">
        <v>0</v>
      </c>
      <c r="J57" s="1" t="str">
        <f>IFERROR(VLOOKUP(K57,[1]diabetes_Recognition!$A:$B,2,FALSE),"Not Sampled")</f>
        <v>Not Sampled</v>
      </c>
      <c r="K57" s="1">
        <v>55</v>
      </c>
      <c r="L57" s="1">
        <f>LOOKUP(A57,Sheet2!$D$4:$E$9)</f>
        <v>1</v>
      </c>
      <c r="M57" t="str">
        <f>LOOKUP(B57,Sheet2!$G$4:$H$9)</f>
        <v>1-99</v>
      </c>
      <c r="N57" t="str">
        <f>LOOKUP(C57,Sheet2!$J$4:$K$8)</f>
        <v>1-59</v>
      </c>
      <c r="O57" t="str">
        <f>LOOKUP(D57,Sheet2!$M$4:$N$8)</f>
        <v>10-30</v>
      </c>
      <c r="P57" t="str">
        <f>LOOKUP(E57,Sheet2!$P$4:$Q$9)</f>
        <v>Unknown</v>
      </c>
      <c r="Q57" t="str">
        <f>LOOKUP(F57,Sheet2!$S$4:$T$8)</f>
        <v>1-25</v>
      </c>
      <c r="R57" t="str">
        <f>LOOKUP(G57,Sheet2!$V$4:$W$7)</f>
        <v>0.0 - 0.249</v>
      </c>
      <c r="S57" t="str">
        <f>LOOKUP(H57,Sheet2!$Z$4:$AA$7)</f>
        <v>&lt;=25</v>
      </c>
      <c r="T57" t="str">
        <f t="shared" si="0"/>
        <v>Negative</v>
      </c>
      <c r="U57" t="str">
        <f t="shared" si="1"/>
        <v>Not Sampled</v>
      </c>
      <c r="V57" s="1" t="str">
        <f t="shared" si="2"/>
        <v>Not Sampled</v>
      </c>
    </row>
    <row r="58" spans="1:22" x14ac:dyDescent="0.25">
      <c r="A58" s="1">
        <v>7</v>
      </c>
      <c r="B58" s="1">
        <v>187</v>
      </c>
      <c r="C58" s="1">
        <v>68</v>
      </c>
      <c r="D58" s="1">
        <v>39</v>
      </c>
      <c r="E58" s="1">
        <v>304</v>
      </c>
      <c r="F58" s="1">
        <v>37.700000000000003</v>
      </c>
      <c r="G58" s="1">
        <v>0.254</v>
      </c>
      <c r="H58" s="1">
        <v>41</v>
      </c>
      <c r="I58" s="1">
        <v>1</v>
      </c>
      <c r="J58" s="1">
        <f>IFERROR(VLOOKUP(K58,[1]diabetes_Recognition!$A:$B,2,FALSE),"Not Sampled")</f>
        <v>1</v>
      </c>
      <c r="K58" s="1">
        <v>56</v>
      </c>
      <c r="L58" s="1" t="str">
        <f>LOOKUP(A58,Sheet2!$D$4:$E$9)</f>
        <v>5-7</v>
      </c>
      <c r="M58" t="str">
        <f>LOOKUP(B58,Sheet2!$G$4:$H$9)</f>
        <v>176-200</v>
      </c>
      <c r="N58" t="str">
        <f>LOOKUP(C58,Sheet2!$J$4:$K$8)</f>
        <v>60-69</v>
      </c>
      <c r="O58" t="str">
        <f>LOOKUP(D58,Sheet2!$M$4:$N$8)</f>
        <v>30-39</v>
      </c>
      <c r="P58" t="str">
        <f>LOOKUP(E58,Sheet2!$P$4:$Q$9)</f>
        <v>300-499</v>
      </c>
      <c r="Q58" t="str">
        <f>LOOKUP(F58,Sheet2!$S$4:$T$8)</f>
        <v>36+</v>
      </c>
      <c r="R58" t="str">
        <f>LOOKUP(G58,Sheet2!$V$4:$W$7)</f>
        <v>0.25 - 0.39</v>
      </c>
      <c r="S58" t="str">
        <f>LOOKUP(H58,Sheet2!$Z$4:$AA$7)</f>
        <v>36-45</v>
      </c>
      <c r="T58" t="str">
        <f t="shared" si="0"/>
        <v>Positive</v>
      </c>
      <c r="U58" t="str">
        <f t="shared" si="1"/>
        <v>Positive</v>
      </c>
      <c r="V58" s="1" t="str">
        <f t="shared" si="2"/>
        <v>Accurate Prediction</v>
      </c>
    </row>
    <row r="59" spans="1:22" x14ac:dyDescent="0.25">
      <c r="A59" s="1">
        <v>0</v>
      </c>
      <c r="B59" s="1">
        <v>100</v>
      </c>
      <c r="C59" s="1">
        <v>88</v>
      </c>
      <c r="D59" s="1">
        <v>60</v>
      </c>
      <c r="E59" s="1">
        <v>110</v>
      </c>
      <c r="F59" s="1">
        <v>46.8</v>
      </c>
      <c r="G59" s="1">
        <v>0.96199999999999997</v>
      </c>
      <c r="H59" s="1">
        <v>31</v>
      </c>
      <c r="I59" s="1">
        <v>0</v>
      </c>
      <c r="J59" s="1" t="str">
        <f>IFERROR(VLOOKUP(K59,[1]diabetes_Recognition!$A:$B,2,FALSE),"Not Sampled")</f>
        <v>Not Sampled</v>
      </c>
      <c r="K59" s="1">
        <v>57</v>
      </c>
      <c r="L59" s="1">
        <f>LOOKUP(A59,Sheet2!$D$4:$E$9)</f>
        <v>0</v>
      </c>
      <c r="M59" t="str">
        <f>LOOKUP(B59,Sheet2!$G$4:$H$9)</f>
        <v>100-125</v>
      </c>
      <c r="N59" t="str">
        <f>LOOKUP(C59,Sheet2!$J$4:$K$8)</f>
        <v>80+</v>
      </c>
      <c r="O59" t="str">
        <f>LOOKUP(D59,Sheet2!$M$4:$N$8)</f>
        <v>40+</v>
      </c>
      <c r="P59" t="str">
        <f>LOOKUP(E59,Sheet2!$P$4:$Q$9)</f>
        <v>100-199</v>
      </c>
      <c r="Q59" t="str">
        <f>LOOKUP(F59,Sheet2!$S$4:$T$8)</f>
        <v>36+</v>
      </c>
      <c r="R59" t="str">
        <f>LOOKUP(G59,Sheet2!$V$4:$W$7)</f>
        <v>0.7+</v>
      </c>
      <c r="S59" t="str">
        <f>LOOKUP(H59,Sheet2!$Z$4:$AA$7)</f>
        <v>26-35</v>
      </c>
      <c r="T59" t="str">
        <f t="shared" si="0"/>
        <v>Negative</v>
      </c>
      <c r="U59" t="str">
        <f t="shared" si="1"/>
        <v>Not Sampled</v>
      </c>
      <c r="V59" s="1" t="str">
        <f t="shared" si="2"/>
        <v>Not Sampled</v>
      </c>
    </row>
    <row r="60" spans="1:22" x14ac:dyDescent="0.25">
      <c r="A60" s="1">
        <v>0</v>
      </c>
      <c r="B60" s="1">
        <v>146</v>
      </c>
      <c r="C60" s="1">
        <v>82</v>
      </c>
      <c r="D60" s="1">
        <v>0</v>
      </c>
      <c r="E60" s="1">
        <v>0</v>
      </c>
      <c r="F60" s="1">
        <v>40.5</v>
      </c>
      <c r="G60" s="1">
        <v>1.7809999999999999</v>
      </c>
      <c r="H60" s="1">
        <v>44</v>
      </c>
      <c r="I60" s="1">
        <v>0</v>
      </c>
      <c r="J60" s="1">
        <f>IFERROR(VLOOKUP(K60,[1]diabetes_Recognition!$A:$B,2,FALSE),"Not Sampled")</f>
        <v>1</v>
      </c>
      <c r="K60" s="1">
        <v>58</v>
      </c>
      <c r="L60" s="1">
        <f>LOOKUP(A60,Sheet2!$D$4:$E$9)</f>
        <v>0</v>
      </c>
      <c r="M60" t="str">
        <f>LOOKUP(B60,Sheet2!$G$4:$H$9)</f>
        <v>126-150</v>
      </c>
      <c r="N60" t="str">
        <f>LOOKUP(C60,Sheet2!$J$4:$K$8)</f>
        <v>80+</v>
      </c>
      <c r="O60" t="str">
        <f>LOOKUP(D60,Sheet2!$M$4:$N$8)</f>
        <v>Unknown</v>
      </c>
      <c r="P60" t="str">
        <f>LOOKUP(E60,Sheet2!$P$4:$Q$9)</f>
        <v>Unknown</v>
      </c>
      <c r="Q60" t="str">
        <f>LOOKUP(F60,Sheet2!$S$4:$T$8)</f>
        <v>36+</v>
      </c>
      <c r="R60" t="str">
        <f>LOOKUP(G60,Sheet2!$V$4:$W$7)</f>
        <v>0.7+</v>
      </c>
      <c r="S60" t="str">
        <f>LOOKUP(H60,Sheet2!$Z$4:$AA$7)</f>
        <v>36-45</v>
      </c>
      <c r="T60" t="str">
        <f t="shared" si="0"/>
        <v>Negative</v>
      </c>
      <c r="U60" t="str">
        <f t="shared" si="1"/>
        <v>Positive</v>
      </c>
      <c r="V60" s="1" t="str">
        <f t="shared" si="2"/>
        <v>Inaccurate Prediction</v>
      </c>
    </row>
    <row r="61" spans="1:22" x14ac:dyDescent="0.25">
      <c r="A61" s="1">
        <v>0</v>
      </c>
      <c r="B61" s="1">
        <v>105</v>
      </c>
      <c r="C61" s="1">
        <v>64</v>
      </c>
      <c r="D61" s="1">
        <v>41</v>
      </c>
      <c r="E61" s="1">
        <v>142</v>
      </c>
      <c r="F61" s="1">
        <v>41.5</v>
      </c>
      <c r="G61" s="1">
        <v>0.17299999999999999</v>
      </c>
      <c r="H61" s="1">
        <v>22</v>
      </c>
      <c r="I61" s="1">
        <v>0</v>
      </c>
      <c r="J61" s="1" t="str">
        <f>IFERROR(VLOOKUP(K61,[1]diabetes_Recognition!$A:$B,2,FALSE),"Not Sampled")</f>
        <v>Not Sampled</v>
      </c>
      <c r="K61" s="1">
        <v>59</v>
      </c>
      <c r="L61" s="1">
        <f>LOOKUP(A61,Sheet2!$D$4:$E$9)</f>
        <v>0</v>
      </c>
      <c r="M61" t="str">
        <f>LOOKUP(B61,Sheet2!$G$4:$H$9)</f>
        <v>100-125</v>
      </c>
      <c r="N61" t="str">
        <f>LOOKUP(C61,Sheet2!$J$4:$K$8)</f>
        <v>60-69</v>
      </c>
      <c r="O61" t="str">
        <f>LOOKUP(D61,Sheet2!$M$4:$N$8)</f>
        <v>40+</v>
      </c>
      <c r="P61" t="str">
        <f>LOOKUP(E61,Sheet2!$P$4:$Q$9)</f>
        <v>100-199</v>
      </c>
      <c r="Q61" t="str">
        <f>LOOKUP(F61,Sheet2!$S$4:$T$8)</f>
        <v>36+</v>
      </c>
      <c r="R61" t="str">
        <f>LOOKUP(G61,Sheet2!$V$4:$W$7)</f>
        <v>0.0 - 0.249</v>
      </c>
      <c r="S61" t="str">
        <f>LOOKUP(H61,Sheet2!$Z$4:$AA$7)</f>
        <v>&lt;=25</v>
      </c>
      <c r="T61" t="str">
        <f t="shared" si="0"/>
        <v>Negative</v>
      </c>
      <c r="U61" t="str">
        <f t="shared" si="1"/>
        <v>Not Sampled</v>
      </c>
      <c r="V61" s="1" t="str">
        <f t="shared" si="2"/>
        <v>Not Sampled</v>
      </c>
    </row>
    <row r="62" spans="1:22" x14ac:dyDescent="0.25">
      <c r="A62" s="1">
        <v>2</v>
      </c>
      <c r="B62" s="1">
        <v>84</v>
      </c>
      <c r="C62" s="1">
        <v>0</v>
      </c>
      <c r="D62" s="1">
        <v>0</v>
      </c>
      <c r="E62" s="1">
        <v>0</v>
      </c>
      <c r="F62" s="1">
        <v>0</v>
      </c>
      <c r="G62" s="1">
        <v>0.30399999999999999</v>
      </c>
      <c r="H62" s="1">
        <v>21</v>
      </c>
      <c r="I62" s="1">
        <v>0</v>
      </c>
      <c r="J62" s="1">
        <f>IFERROR(VLOOKUP(K62,[1]diabetes_Recognition!$A:$B,2,FALSE),"Not Sampled")</f>
        <v>0</v>
      </c>
      <c r="K62" s="1">
        <v>60</v>
      </c>
      <c r="L62" s="1">
        <f>LOOKUP(A62,Sheet2!$D$4:$E$9)</f>
        <v>2</v>
      </c>
      <c r="M62" t="str">
        <f>LOOKUP(B62,Sheet2!$G$4:$H$9)</f>
        <v>1-99</v>
      </c>
      <c r="N62" t="str">
        <f>LOOKUP(C62,Sheet2!$J$4:$K$8)</f>
        <v>Unknown</v>
      </c>
      <c r="O62" t="str">
        <f>LOOKUP(D62,Sheet2!$M$4:$N$8)</f>
        <v>Unknown</v>
      </c>
      <c r="P62" t="str">
        <f>LOOKUP(E62,Sheet2!$P$4:$Q$9)</f>
        <v>Unknown</v>
      </c>
      <c r="Q62" t="str">
        <f>LOOKUP(F62,Sheet2!$S$4:$T$8)</f>
        <v>Unknown</v>
      </c>
      <c r="R62" t="str">
        <f>LOOKUP(G62,Sheet2!$V$4:$W$7)</f>
        <v>0.25 - 0.39</v>
      </c>
      <c r="S62" t="str">
        <f>LOOKUP(H62,Sheet2!$Z$4:$AA$7)</f>
        <v>&lt;=25</v>
      </c>
      <c r="T62" t="str">
        <f t="shared" si="0"/>
        <v>Negative</v>
      </c>
      <c r="U62" t="str">
        <f t="shared" si="1"/>
        <v>Negative</v>
      </c>
      <c r="V62" s="1" t="str">
        <f t="shared" si="2"/>
        <v>Accurate Prediction</v>
      </c>
    </row>
    <row r="63" spans="1:22" x14ac:dyDescent="0.25">
      <c r="A63" s="1">
        <v>8</v>
      </c>
      <c r="B63" s="1">
        <v>133</v>
      </c>
      <c r="C63" s="1">
        <v>72</v>
      </c>
      <c r="D63" s="1">
        <v>0</v>
      </c>
      <c r="E63" s="1">
        <v>0</v>
      </c>
      <c r="F63" s="1">
        <v>32.9</v>
      </c>
      <c r="G63" s="1">
        <v>0.27</v>
      </c>
      <c r="H63" s="1">
        <v>39</v>
      </c>
      <c r="I63" s="1">
        <v>1</v>
      </c>
      <c r="J63" s="1" t="str">
        <f>IFERROR(VLOOKUP(K63,[1]diabetes_Recognition!$A:$B,2,FALSE),"Not Sampled")</f>
        <v>Not Sampled</v>
      </c>
      <c r="K63" s="1">
        <v>61</v>
      </c>
      <c r="L63" s="1" t="str">
        <f>LOOKUP(A63,Sheet2!$D$4:$E$9)</f>
        <v>8+</v>
      </c>
      <c r="M63" t="str">
        <f>LOOKUP(B63,Sheet2!$G$4:$H$9)</f>
        <v>126-150</v>
      </c>
      <c r="N63" t="str">
        <f>LOOKUP(C63,Sheet2!$J$4:$K$8)</f>
        <v>70-79</v>
      </c>
      <c r="O63" t="str">
        <f>LOOKUP(D63,Sheet2!$M$4:$N$8)</f>
        <v>Unknown</v>
      </c>
      <c r="P63" t="str">
        <f>LOOKUP(E63,Sheet2!$P$4:$Q$9)</f>
        <v>Unknown</v>
      </c>
      <c r="Q63" t="str">
        <f>LOOKUP(F63,Sheet2!$S$4:$T$8)</f>
        <v>31-35</v>
      </c>
      <c r="R63" t="str">
        <f>LOOKUP(G63,Sheet2!$V$4:$W$7)</f>
        <v>0.25 - 0.39</v>
      </c>
      <c r="S63" t="str">
        <f>LOOKUP(H63,Sheet2!$Z$4:$AA$7)</f>
        <v>36-45</v>
      </c>
      <c r="T63" t="str">
        <f t="shared" si="0"/>
        <v>Positive</v>
      </c>
      <c r="U63" t="str">
        <f t="shared" si="1"/>
        <v>Not Sampled</v>
      </c>
      <c r="V63" s="1" t="str">
        <f t="shared" si="2"/>
        <v>Not Sampled</v>
      </c>
    </row>
    <row r="64" spans="1:22" x14ac:dyDescent="0.25">
      <c r="A64" s="1">
        <v>5</v>
      </c>
      <c r="B64" s="1">
        <v>44</v>
      </c>
      <c r="C64" s="1">
        <v>62</v>
      </c>
      <c r="D64" s="1">
        <v>0</v>
      </c>
      <c r="E64" s="1">
        <v>0</v>
      </c>
      <c r="F64" s="1">
        <v>25</v>
      </c>
      <c r="G64" s="1">
        <v>0.58699999999999997</v>
      </c>
      <c r="H64" s="1">
        <v>36</v>
      </c>
      <c r="I64" s="1">
        <v>0</v>
      </c>
      <c r="J64" s="1" t="str">
        <f>IFERROR(VLOOKUP(K64,[1]diabetes_Recognition!$A:$B,2,FALSE),"Not Sampled")</f>
        <v>Not Sampled</v>
      </c>
      <c r="K64" s="1">
        <v>62</v>
      </c>
      <c r="L64" s="1" t="str">
        <f>LOOKUP(A64,Sheet2!$D$4:$E$9)</f>
        <v>5-7</v>
      </c>
      <c r="M64" t="str">
        <f>LOOKUP(B64,Sheet2!$G$4:$H$9)</f>
        <v>1-99</v>
      </c>
      <c r="N64" t="str">
        <f>LOOKUP(C64,Sheet2!$J$4:$K$8)</f>
        <v>60-69</v>
      </c>
      <c r="O64" t="str">
        <f>LOOKUP(D64,Sheet2!$M$4:$N$8)</f>
        <v>Unknown</v>
      </c>
      <c r="P64" t="str">
        <f>LOOKUP(E64,Sheet2!$P$4:$Q$9)</f>
        <v>Unknown</v>
      </c>
      <c r="Q64" t="str">
        <f>LOOKUP(F64,Sheet2!$S$4:$T$8)</f>
        <v>1-25</v>
      </c>
      <c r="R64" t="str">
        <f>LOOKUP(G64,Sheet2!$V$4:$W$7)</f>
        <v>0.4 - 0.69</v>
      </c>
      <c r="S64" t="str">
        <f>LOOKUP(H64,Sheet2!$Z$4:$AA$7)</f>
        <v>36-45</v>
      </c>
      <c r="T64" t="str">
        <f t="shared" si="0"/>
        <v>Negative</v>
      </c>
      <c r="U64" t="str">
        <f t="shared" si="1"/>
        <v>Not Sampled</v>
      </c>
      <c r="V64" s="1" t="str">
        <f t="shared" si="2"/>
        <v>Not Sampled</v>
      </c>
    </row>
    <row r="65" spans="1:22" x14ac:dyDescent="0.25">
      <c r="A65" s="1">
        <v>2</v>
      </c>
      <c r="B65" s="1">
        <v>141</v>
      </c>
      <c r="C65" s="1">
        <v>58</v>
      </c>
      <c r="D65" s="1">
        <v>34</v>
      </c>
      <c r="E65" s="1">
        <v>128</v>
      </c>
      <c r="F65" s="1">
        <v>25.4</v>
      </c>
      <c r="G65" s="1">
        <v>0.69899999999999995</v>
      </c>
      <c r="H65" s="1">
        <v>24</v>
      </c>
      <c r="I65" s="1">
        <v>0</v>
      </c>
      <c r="J65" s="1" t="str">
        <f>IFERROR(VLOOKUP(K65,[1]diabetes_Recognition!$A:$B,2,FALSE),"Not Sampled")</f>
        <v>Not Sampled</v>
      </c>
      <c r="K65" s="1">
        <v>63</v>
      </c>
      <c r="L65" s="1">
        <f>LOOKUP(A65,Sheet2!$D$4:$E$9)</f>
        <v>2</v>
      </c>
      <c r="M65" t="str">
        <f>LOOKUP(B65,Sheet2!$G$4:$H$9)</f>
        <v>126-150</v>
      </c>
      <c r="N65" t="str">
        <f>LOOKUP(C65,Sheet2!$J$4:$K$8)</f>
        <v>1-59</v>
      </c>
      <c r="O65" t="str">
        <f>LOOKUP(D65,Sheet2!$M$4:$N$8)</f>
        <v>30-39</v>
      </c>
      <c r="P65" t="str">
        <f>LOOKUP(E65,Sheet2!$P$4:$Q$9)</f>
        <v>100-199</v>
      </c>
      <c r="Q65" t="str">
        <f>LOOKUP(F65,Sheet2!$S$4:$T$8)</f>
        <v>1-25</v>
      </c>
      <c r="R65" t="str">
        <f>LOOKUP(G65,Sheet2!$V$4:$W$7)</f>
        <v>0.4 - 0.69</v>
      </c>
      <c r="S65" t="str">
        <f>LOOKUP(H65,Sheet2!$Z$4:$AA$7)</f>
        <v>&lt;=25</v>
      </c>
      <c r="T65" t="str">
        <f t="shared" si="0"/>
        <v>Negative</v>
      </c>
      <c r="U65" t="str">
        <f t="shared" si="1"/>
        <v>Not Sampled</v>
      </c>
      <c r="V65" s="1" t="str">
        <f t="shared" si="2"/>
        <v>Not Sampled</v>
      </c>
    </row>
    <row r="66" spans="1:22" x14ac:dyDescent="0.25">
      <c r="A66" s="1">
        <v>7</v>
      </c>
      <c r="B66" s="1">
        <v>114</v>
      </c>
      <c r="C66" s="1">
        <v>66</v>
      </c>
      <c r="D66" s="1">
        <v>0</v>
      </c>
      <c r="E66" s="1">
        <v>0</v>
      </c>
      <c r="F66" s="1">
        <v>32.799999999999997</v>
      </c>
      <c r="G66" s="1">
        <v>0.25800000000000001</v>
      </c>
      <c r="H66" s="1">
        <v>42</v>
      </c>
      <c r="I66" s="1">
        <v>1</v>
      </c>
      <c r="J66" s="1" t="str">
        <f>IFERROR(VLOOKUP(K66,[1]diabetes_Recognition!$A:$B,2,FALSE),"Not Sampled")</f>
        <v>Not Sampled</v>
      </c>
      <c r="K66" s="1">
        <v>64</v>
      </c>
      <c r="L66" s="1" t="str">
        <f>LOOKUP(A66,Sheet2!$D$4:$E$9)</f>
        <v>5-7</v>
      </c>
      <c r="M66" t="str">
        <f>LOOKUP(B66,Sheet2!$G$4:$H$9)</f>
        <v>100-125</v>
      </c>
      <c r="N66" t="str">
        <f>LOOKUP(C66,Sheet2!$J$4:$K$8)</f>
        <v>60-69</v>
      </c>
      <c r="O66" t="str">
        <f>LOOKUP(D66,Sheet2!$M$4:$N$8)</f>
        <v>Unknown</v>
      </c>
      <c r="P66" t="str">
        <f>LOOKUP(E66,Sheet2!$P$4:$Q$9)</f>
        <v>Unknown</v>
      </c>
      <c r="Q66" t="str">
        <f>LOOKUP(F66,Sheet2!$S$4:$T$8)</f>
        <v>31-35</v>
      </c>
      <c r="R66" t="str">
        <f>LOOKUP(G66,Sheet2!$V$4:$W$7)</f>
        <v>0.25 - 0.39</v>
      </c>
      <c r="S66" t="str">
        <f>LOOKUP(H66,Sheet2!$Z$4:$AA$7)</f>
        <v>36-45</v>
      </c>
      <c r="T66" t="str">
        <f t="shared" si="0"/>
        <v>Positive</v>
      </c>
      <c r="U66" t="str">
        <f t="shared" si="1"/>
        <v>Not Sampled</v>
      </c>
      <c r="V66" s="1" t="str">
        <f t="shared" si="2"/>
        <v>Not Sampled</v>
      </c>
    </row>
    <row r="67" spans="1:22" x14ac:dyDescent="0.25">
      <c r="A67" s="1">
        <v>5</v>
      </c>
      <c r="B67" s="1">
        <v>99</v>
      </c>
      <c r="C67" s="1">
        <v>74</v>
      </c>
      <c r="D67" s="1">
        <v>27</v>
      </c>
      <c r="E67" s="1">
        <v>0</v>
      </c>
      <c r="F67" s="1">
        <v>29</v>
      </c>
      <c r="G67" s="1">
        <v>0.20300000000000001</v>
      </c>
      <c r="H67" s="1">
        <v>32</v>
      </c>
      <c r="I67" s="1">
        <v>0</v>
      </c>
      <c r="J67" s="1">
        <f>IFERROR(VLOOKUP(K67,[1]diabetes_Recognition!$A:$B,2,FALSE),"Not Sampled")</f>
        <v>0</v>
      </c>
      <c r="K67" s="1">
        <v>65</v>
      </c>
      <c r="L67" s="1" t="str">
        <f>LOOKUP(A67,Sheet2!$D$4:$E$9)</f>
        <v>5-7</v>
      </c>
      <c r="M67" t="str">
        <f>LOOKUP(B67,Sheet2!$G$4:$H$9)</f>
        <v>1-99</v>
      </c>
      <c r="N67" t="str">
        <f>LOOKUP(C67,Sheet2!$J$4:$K$8)</f>
        <v>70-79</v>
      </c>
      <c r="O67" t="str">
        <f>LOOKUP(D67,Sheet2!$M$4:$N$8)</f>
        <v>10-30</v>
      </c>
      <c r="P67" t="str">
        <f>LOOKUP(E67,Sheet2!$P$4:$Q$9)</f>
        <v>Unknown</v>
      </c>
      <c r="Q67" t="str">
        <f>LOOKUP(F67,Sheet2!$S$4:$T$8)</f>
        <v>26-30</v>
      </c>
      <c r="R67" t="str">
        <f>LOOKUP(G67,Sheet2!$V$4:$W$7)</f>
        <v>0.0 - 0.249</v>
      </c>
      <c r="S67" t="str">
        <f>LOOKUP(H67,Sheet2!$Z$4:$AA$7)</f>
        <v>26-35</v>
      </c>
      <c r="T67" t="str">
        <f t="shared" ref="T67:T130" si="3">IF(I67=1,"Positive","Negative")</f>
        <v>Negative</v>
      </c>
      <c r="U67" t="str">
        <f t="shared" ref="U67:U130" si="4">IF(J67=1,"Positive",(IF(J67=0,"Negative","Not Sampled")))</f>
        <v>Negative</v>
      </c>
      <c r="V67" s="1" t="str">
        <f t="shared" ref="V67:V130" si="5">IF(U67="Not Sampled","Not Sampled",IF(T67=U67,"Accurate Prediction","Inaccurate Prediction"))</f>
        <v>Accurate Prediction</v>
      </c>
    </row>
    <row r="68" spans="1:22" x14ac:dyDescent="0.25">
      <c r="A68" s="1">
        <v>0</v>
      </c>
      <c r="B68" s="1">
        <v>109</v>
      </c>
      <c r="C68" s="1">
        <v>88</v>
      </c>
      <c r="D68" s="1">
        <v>30</v>
      </c>
      <c r="E68" s="1">
        <v>0</v>
      </c>
      <c r="F68" s="1">
        <v>32.5</v>
      </c>
      <c r="G68" s="1">
        <v>0.85499999999999998</v>
      </c>
      <c r="H68" s="1">
        <v>38</v>
      </c>
      <c r="I68" s="1">
        <v>1</v>
      </c>
      <c r="J68" s="1" t="str">
        <f>IFERROR(VLOOKUP(K68,[1]diabetes_Recognition!$A:$B,2,FALSE),"Not Sampled")</f>
        <v>Not Sampled</v>
      </c>
      <c r="K68" s="1">
        <v>66</v>
      </c>
      <c r="L68" s="1">
        <f>LOOKUP(A68,Sheet2!$D$4:$E$9)</f>
        <v>0</v>
      </c>
      <c r="M68" t="str">
        <f>LOOKUP(B68,Sheet2!$G$4:$H$9)</f>
        <v>100-125</v>
      </c>
      <c r="N68" t="str">
        <f>LOOKUP(C68,Sheet2!$J$4:$K$8)</f>
        <v>80+</v>
      </c>
      <c r="O68" t="str">
        <f>LOOKUP(D68,Sheet2!$M$4:$N$8)</f>
        <v>30-39</v>
      </c>
      <c r="P68" t="str">
        <f>LOOKUP(E68,Sheet2!$P$4:$Q$9)</f>
        <v>Unknown</v>
      </c>
      <c r="Q68" t="str">
        <f>LOOKUP(F68,Sheet2!$S$4:$T$8)</f>
        <v>31-35</v>
      </c>
      <c r="R68" t="str">
        <f>LOOKUP(G68,Sheet2!$V$4:$W$7)</f>
        <v>0.7+</v>
      </c>
      <c r="S68" t="str">
        <f>LOOKUP(H68,Sheet2!$Z$4:$AA$7)</f>
        <v>36-45</v>
      </c>
      <c r="T68" t="str">
        <f t="shared" si="3"/>
        <v>Positive</v>
      </c>
      <c r="U68" t="str">
        <f t="shared" si="4"/>
        <v>Not Sampled</v>
      </c>
      <c r="V68" s="1" t="str">
        <f t="shared" si="5"/>
        <v>Not Sampled</v>
      </c>
    </row>
    <row r="69" spans="1:22" x14ac:dyDescent="0.25">
      <c r="A69" s="1">
        <v>2</v>
      </c>
      <c r="B69" s="1">
        <v>109</v>
      </c>
      <c r="C69" s="1">
        <v>92</v>
      </c>
      <c r="D69" s="1">
        <v>0</v>
      </c>
      <c r="E69" s="1">
        <v>0</v>
      </c>
      <c r="F69" s="1">
        <v>42.7</v>
      </c>
      <c r="G69" s="1">
        <v>0.84499999999999997</v>
      </c>
      <c r="H69" s="1">
        <v>54</v>
      </c>
      <c r="I69" s="1">
        <v>0</v>
      </c>
      <c r="J69" s="1" t="str">
        <f>IFERROR(VLOOKUP(K69,[1]diabetes_Recognition!$A:$B,2,FALSE),"Not Sampled")</f>
        <v>Not Sampled</v>
      </c>
      <c r="K69" s="1">
        <v>67</v>
      </c>
      <c r="L69" s="1">
        <f>LOOKUP(A69,Sheet2!$D$4:$E$9)</f>
        <v>2</v>
      </c>
      <c r="M69" t="str">
        <f>LOOKUP(B69,Sheet2!$G$4:$H$9)</f>
        <v>100-125</v>
      </c>
      <c r="N69" t="str">
        <f>LOOKUP(C69,Sheet2!$J$4:$K$8)</f>
        <v>80+</v>
      </c>
      <c r="O69" t="str">
        <f>LOOKUP(D69,Sheet2!$M$4:$N$8)</f>
        <v>Unknown</v>
      </c>
      <c r="P69" t="str">
        <f>LOOKUP(E69,Sheet2!$P$4:$Q$9)</f>
        <v>Unknown</v>
      </c>
      <c r="Q69" t="str">
        <f>LOOKUP(F69,Sheet2!$S$4:$T$8)</f>
        <v>36+</v>
      </c>
      <c r="R69" t="str">
        <f>LOOKUP(G69,Sheet2!$V$4:$W$7)</f>
        <v>0.7+</v>
      </c>
      <c r="S69" t="str">
        <f>LOOKUP(H69,Sheet2!$Z$4:$AA$7)</f>
        <v>46+</v>
      </c>
      <c r="T69" t="str">
        <f t="shared" si="3"/>
        <v>Negative</v>
      </c>
      <c r="U69" t="str">
        <f t="shared" si="4"/>
        <v>Not Sampled</v>
      </c>
      <c r="V69" s="1" t="str">
        <f t="shared" si="5"/>
        <v>Not Sampled</v>
      </c>
    </row>
    <row r="70" spans="1:22" x14ac:dyDescent="0.25">
      <c r="A70" s="1">
        <v>1</v>
      </c>
      <c r="B70" s="1">
        <v>95</v>
      </c>
      <c r="C70" s="1">
        <v>66</v>
      </c>
      <c r="D70" s="1">
        <v>13</v>
      </c>
      <c r="E70" s="1">
        <v>38</v>
      </c>
      <c r="F70" s="1">
        <v>19.600000000000001</v>
      </c>
      <c r="G70" s="1">
        <v>0.33400000000000002</v>
      </c>
      <c r="H70" s="1">
        <v>25</v>
      </c>
      <c r="I70" s="1">
        <v>0</v>
      </c>
      <c r="J70" s="1" t="str">
        <f>IFERROR(VLOOKUP(K70,[1]diabetes_Recognition!$A:$B,2,FALSE),"Not Sampled")</f>
        <v>Not Sampled</v>
      </c>
      <c r="K70" s="1">
        <v>68</v>
      </c>
      <c r="L70" s="1">
        <f>LOOKUP(A70,Sheet2!$D$4:$E$9)</f>
        <v>1</v>
      </c>
      <c r="M70" t="str">
        <f>LOOKUP(B70,Sheet2!$G$4:$H$9)</f>
        <v>1-99</v>
      </c>
      <c r="N70" t="str">
        <f>LOOKUP(C70,Sheet2!$J$4:$K$8)</f>
        <v>60-69</v>
      </c>
      <c r="O70" t="str">
        <f>LOOKUP(D70,Sheet2!$M$4:$N$8)</f>
        <v>10-30</v>
      </c>
      <c r="P70" t="str">
        <f>LOOKUP(E70,Sheet2!$P$4:$Q$9)</f>
        <v>1-99</v>
      </c>
      <c r="Q70" t="str">
        <f>LOOKUP(F70,Sheet2!$S$4:$T$8)</f>
        <v>1-25</v>
      </c>
      <c r="R70" t="str">
        <f>LOOKUP(G70,Sheet2!$V$4:$W$7)</f>
        <v>0.25 - 0.39</v>
      </c>
      <c r="S70" t="str">
        <f>LOOKUP(H70,Sheet2!$Z$4:$AA$7)</f>
        <v>&lt;=25</v>
      </c>
      <c r="T70" t="str">
        <f t="shared" si="3"/>
        <v>Negative</v>
      </c>
      <c r="U70" t="str">
        <f t="shared" si="4"/>
        <v>Not Sampled</v>
      </c>
      <c r="V70" s="1" t="str">
        <f t="shared" si="5"/>
        <v>Not Sampled</v>
      </c>
    </row>
    <row r="71" spans="1:22" x14ac:dyDescent="0.25">
      <c r="A71" s="1">
        <v>4</v>
      </c>
      <c r="B71" s="1">
        <v>146</v>
      </c>
      <c r="C71" s="1">
        <v>85</v>
      </c>
      <c r="D71" s="1">
        <v>27</v>
      </c>
      <c r="E71" s="1">
        <v>100</v>
      </c>
      <c r="F71" s="1">
        <v>28.9</v>
      </c>
      <c r="G71" s="1">
        <v>0.189</v>
      </c>
      <c r="H71" s="1">
        <v>27</v>
      </c>
      <c r="I71" s="1">
        <v>0</v>
      </c>
      <c r="J71" s="1" t="str">
        <f>IFERROR(VLOOKUP(K71,[1]diabetes_Recognition!$A:$B,2,FALSE),"Not Sampled")</f>
        <v>Not Sampled</v>
      </c>
      <c r="K71" s="1">
        <v>69</v>
      </c>
      <c r="L71" s="1" t="str">
        <f>LOOKUP(A71,Sheet2!$D$4:$E$9)</f>
        <v>3-4</v>
      </c>
      <c r="M71" t="str">
        <f>LOOKUP(B71,Sheet2!$G$4:$H$9)</f>
        <v>126-150</v>
      </c>
      <c r="N71" t="str">
        <f>LOOKUP(C71,Sheet2!$J$4:$K$8)</f>
        <v>80+</v>
      </c>
      <c r="O71" t="str">
        <f>LOOKUP(D71,Sheet2!$M$4:$N$8)</f>
        <v>10-30</v>
      </c>
      <c r="P71" t="str">
        <f>LOOKUP(E71,Sheet2!$P$4:$Q$9)</f>
        <v>100-199</v>
      </c>
      <c r="Q71" t="str">
        <f>LOOKUP(F71,Sheet2!$S$4:$T$8)</f>
        <v>26-30</v>
      </c>
      <c r="R71" t="str">
        <f>LOOKUP(G71,Sheet2!$V$4:$W$7)</f>
        <v>0.0 - 0.249</v>
      </c>
      <c r="S71" t="str">
        <f>LOOKUP(H71,Sheet2!$Z$4:$AA$7)</f>
        <v>26-35</v>
      </c>
      <c r="T71" t="str">
        <f t="shared" si="3"/>
        <v>Negative</v>
      </c>
      <c r="U71" t="str">
        <f t="shared" si="4"/>
        <v>Not Sampled</v>
      </c>
      <c r="V71" s="1" t="str">
        <f t="shared" si="5"/>
        <v>Not Sampled</v>
      </c>
    </row>
    <row r="72" spans="1:22" x14ac:dyDescent="0.25">
      <c r="A72" s="1">
        <v>2</v>
      </c>
      <c r="B72" s="1">
        <v>100</v>
      </c>
      <c r="C72" s="1">
        <v>66</v>
      </c>
      <c r="D72" s="1">
        <v>20</v>
      </c>
      <c r="E72" s="1">
        <v>90</v>
      </c>
      <c r="F72" s="1">
        <v>32.9</v>
      </c>
      <c r="G72" s="1">
        <v>0.86699999999999999</v>
      </c>
      <c r="H72" s="1">
        <v>28</v>
      </c>
      <c r="I72" s="1">
        <v>1</v>
      </c>
      <c r="J72" s="1" t="str">
        <f>IFERROR(VLOOKUP(K72,[1]diabetes_Recognition!$A:$B,2,FALSE),"Not Sampled")</f>
        <v>Not Sampled</v>
      </c>
      <c r="K72" s="1">
        <v>70</v>
      </c>
      <c r="L72" s="1">
        <f>LOOKUP(A72,Sheet2!$D$4:$E$9)</f>
        <v>2</v>
      </c>
      <c r="M72" t="str">
        <f>LOOKUP(B72,Sheet2!$G$4:$H$9)</f>
        <v>100-125</v>
      </c>
      <c r="N72" t="str">
        <f>LOOKUP(C72,Sheet2!$J$4:$K$8)</f>
        <v>60-69</v>
      </c>
      <c r="O72" t="str">
        <f>LOOKUP(D72,Sheet2!$M$4:$N$8)</f>
        <v>10-30</v>
      </c>
      <c r="P72" t="str">
        <f>LOOKUP(E72,Sheet2!$P$4:$Q$9)</f>
        <v>1-99</v>
      </c>
      <c r="Q72" t="str">
        <f>LOOKUP(F72,Sheet2!$S$4:$T$8)</f>
        <v>31-35</v>
      </c>
      <c r="R72" t="str">
        <f>LOOKUP(G72,Sheet2!$V$4:$W$7)</f>
        <v>0.7+</v>
      </c>
      <c r="S72" t="str">
        <f>LOOKUP(H72,Sheet2!$Z$4:$AA$7)</f>
        <v>26-35</v>
      </c>
      <c r="T72" t="str">
        <f t="shared" si="3"/>
        <v>Positive</v>
      </c>
      <c r="U72" t="str">
        <f t="shared" si="4"/>
        <v>Not Sampled</v>
      </c>
      <c r="V72" s="1" t="str">
        <f t="shared" si="5"/>
        <v>Not Sampled</v>
      </c>
    </row>
    <row r="73" spans="1:22" x14ac:dyDescent="0.25">
      <c r="A73" s="1">
        <v>5</v>
      </c>
      <c r="B73" s="1">
        <v>139</v>
      </c>
      <c r="C73" s="1">
        <v>64</v>
      </c>
      <c r="D73" s="1">
        <v>35</v>
      </c>
      <c r="E73" s="1">
        <v>140</v>
      </c>
      <c r="F73" s="1">
        <v>28.6</v>
      </c>
      <c r="G73" s="1">
        <v>0.41099999999999998</v>
      </c>
      <c r="H73" s="1">
        <v>26</v>
      </c>
      <c r="I73" s="1">
        <v>0</v>
      </c>
      <c r="J73" s="1" t="str">
        <f>IFERROR(VLOOKUP(K73,[1]diabetes_Recognition!$A:$B,2,FALSE),"Not Sampled")</f>
        <v>Not Sampled</v>
      </c>
      <c r="K73" s="1">
        <v>71</v>
      </c>
      <c r="L73" s="1" t="str">
        <f>LOOKUP(A73,Sheet2!$D$4:$E$9)</f>
        <v>5-7</v>
      </c>
      <c r="M73" t="str">
        <f>LOOKUP(B73,Sheet2!$G$4:$H$9)</f>
        <v>126-150</v>
      </c>
      <c r="N73" t="str">
        <f>LOOKUP(C73,Sheet2!$J$4:$K$8)</f>
        <v>60-69</v>
      </c>
      <c r="O73" t="str">
        <f>LOOKUP(D73,Sheet2!$M$4:$N$8)</f>
        <v>30-39</v>
      </c>
      <c r="P73" t="str">
        <f>LOOKUP(E73,Sheet2!$P$4:$Q$9)</f>
        <v>100-199</v>
      </c>
      <c r="Q73" t="str">
        <f>LOOKUP(F73,Sheet2!$S$4:$T$8)</f>
        <v>26-30</v>
      </c>
      <c r="R73" t="str">
        <f>LOOKUP(G73,Sheet2!$V$4:$W$7)</f>
        <v>0.4 - 0.69</v>
      </c>
      <c r="S73" t="str">
        <f>LOOKUP(H73,Sheet2!$Z$4:$AA$7)</f>
        <v>26-35</v>
      </c>
      <c r="T73" t="str">
        <f t="shared" si="3"/>
        <v>Negative</v>
      </c>
      <c r="U73" t="str">
        <f t="shared" si="4"/>
        <v>Not Sampled</v>
      </c>
      <c r="V73" s="1" t="str">
        <f t="shared" si="5"/>
        <v>Not Sampled</v>
      </c>
    </row>
    <row r="74" spans="1:22" x14ac:dyDescent="0.25">
      <c r="A74" s="1">
        <v>13</v>
      </c>
      <c r="B74" s="1">
        <v>126</v>
      </c>
      <c r="C74" s="1">
        <v>90</v>
      </c>
      <c r="D74" s="1">
        <v>0</v>
      </c>
      <c r="E74" s="1">
        <v>0</v>
      </c>
      <c r="F74" s="1">
        <v>43.4</v>
      </c>
      <c r="G74" s="1">
        <v>0.58299999999999996</v>
      </c>
      <c r="H74" s="1">
        <v>42</v>
      </c>
      <c r="I74" s="1">
        <v>1</v>
      </c>
      <c r="J74" s="1" t="str">
        <f>IFERROR(VLOOKUP(K74,[1]diabetes_Recognition!$A:$B,2,FALSE),"Not Sampled")</f>
        <v>Not Sampled</v>
      </c>
      <c r="K74" s="1">
        <v>72</v>
      </c>
      <c r="L74" s="1" t="str">
        <f>LOOKUP(A74,Sheet2!$D$4:$E$9)</f>
        <v>8+</v>
      </c>
      <c r="M74" t="str">
        <f>LOOKUP(B74,Sheet2!$G$4:$H$9)</f>
        <v>126-150</v>
      </c>
      <c r="N74" t="str">
        <f>LOOKUP(C74,Sheet2!$J$4:$K$8)</f>
        <v>80+</v>
      </c>
      <c r="O74" t="str">
        <f>LOOKUP(D74,Sheet2!$M$4:$N$8)</f>
        <v>Unknown</v>
      </c>
      <c r="P74" t="str">
        <f>LOOKUP(E74,Sheet2!$P$4:$Q$9)</f>
        <v>Unknown</v>
      </c>
      <c r="Q74" t="str">
        <f>LOOKUP(F74,Sheet2!$S$4:$T$8)</f>
        <v>36+</v>
      </c>
      <c r="R74" t="str">
        <f>LOOKUP(G74,Sheet2!$V$4:$W$7)</f>
        <v>0.4 - 0.69</v>
      </c>
      <c r="S74" t="str">
        <f>LOOKUP(H74,Sheet2!$Z$4:$AA$7)</f>
        <v>36-45</v>
      </c>
      <c r="T74" t="str">
        <f t="shared" si="3"/>
        <v>Positive</v>
      </c>
      <c r="U74" t="str">
        <f t="shared" si="4"/>
        <v>Not Sampled</v>
      </c>
      <c r="V74" s="1" t="str">
        <f t="shared" si="5"/>
        <v>Not Sampled</v>
      </c>
    </row>
    <row r="75" spans="1:22" x14ac:dyDescent="0.25">
      <c r="A75" s="1">
        <v>4</v>
      </c>
      <c r="B75" s="1">
        <v>129</v>
      </c>
      <c r="C75" s="1">
        <v>86</v>
      </c>
      <c r="D75" s="1">
        <v>20</v>
      </c>
      <c r="E75" s="1">
        <v>270</v>
      </c>
      <c r="F75" s="1">
        <v>35.1</v>
      </c>
      <c r="G75" s="1">
        <v>0.23100000000000001</v>
      </c>
      <c r="H75" s="1">
        <v>23</v>
      </c>
      <c r="I75" s="1">
        <v>0</v>
      </c>
      <c r="J75" s="1" t="str">
        <f>IFERROR(VLOOKUP(K75,[1]diabetes_Recognition!$A:$B,2,FALSE),"Not Sampled")</f>
        <v>Not Sampled</v>
      </c>
      <c r="K75" s="1">
        <v>73</v>
      </c>
      <c r="L75" s="1" t="str">
        <f>LOOKUP(A75,Sheet2!$D$4:$E$9)</f>
        <v>3-4</v>
      </c>
      <c r="M75" t="str">
        <f>LOOKUP(B75,Sheet2!$G$4:$H$9)</f>
        <v>126-150</v>
      </c>
      <c r="N75" t="str">
        <f>LOOKUP(C75,Sheet2!$J$4:$K$8)</f>
        <v>80+</v>
      </c>
      <c r="O75" t="str">
        <f>LOOKUP(D75,Sheet2!$M$4:$N$8)</f>
        <v>10-30</v>
      </c>
      <c r="P75" t="str">
        <f>LOOKUP(E75,Sheet2!$P$4:$Q$9)</f>
        <v>200-399</v>
      </c>
      <c r="Q75" t="str">
        <f>LOOKUP(F75,Sheet2!$S$4:$T$8)</f>
        <v>31-35</v>
      </c>
      <c r="R75" t="str">
        <f>LOOKUP(G75,Sheet2!$V$4:$W$7)</f>
        <v>0.0 - 0.249</v>
      </c>
      <c r="S75" t="str">
        <f>LOOKUP(H75,Sheet2!$Z$4:$AA$7)</f>
        <v>&lt;=25</v>
      </c>
      <c r="T75" t="str">
        <f t="shared" si="3"/>
        <v>Negative</v>
      </c>
      <c r="U75" t="str">
        <f t="shared" si="4"/>
        <v>Not Sampled</v>
      </c>
      <c r="V75" s="1" t="str">
        <f t="shared" si="5"/>
        <v>Not Sampled</v>
      </c>
    </row>
    <row r="76" spans="1:22" x14ac:dyDescent="0.25">
      <c r="A76" s="1">
        <v>1</v>
      </c>
      <c r="B76" s="1">
        <v>79</v>
      </c>
      <c r="C76" s="1">
        <v>75</v>
      </c>
      <c r="D76" s="1">
        <v>30</v>
      </c>
      <c r="E76" s="1">
        <v>0</v>
      </c>
      <c r="F76" s="1">
        <v>32</v>
      </c>
      <c r="G76" s="1">
        <v>0.39600000000000002</v>
      </c>
      <c r="H76" s="1">
        <v>22</v>
      </c>
      <c r="I76" s="1">
        <v>0</v>
      </c>
      <c r="J76" s="1" t="str">
        <f>IFERROR(VLOOKUP(K76,[1]diabetes_Recognition!$A:$B,2,FALSE),"Not Sampled")</f>
        <v>Not Sampled</v>
      </c>
      <c r="K76" s="1">
        <v>74</v>
      </c>
      <c r="L76" s="1">
        <f>LOOKUP(A76,Sheet2!$D$4:$E$9)</f>
        <v>1</v>
      </c>
      <c r="M76" t="str">
        <f>LOOKUP(B76,Sheet2!$G$4:$H$9)</f>
        <v>1-99</v>
      </c>
      <c r="N76" t="str">
        <f>LOOKUP(C76,Sheet2!$J$4:$K$8)</f>
        <v>70-79</v>
      </c>
      <c r="O76" t="str">
        <f>LOOKUP(D76,Sheet2!$M$4:$N$8)</f>
        <v>30-39</v>
      </c>
      <c r="P76" t="str">
        <f>LOOKUP(E76,Sheet2!$P$4:$Q$9)</f>
        <v>Unknown</v>
      </c>
      <c r="Q76" t="str">
        <f>LOOKUP(F76,Sheet2!$S$4:$T$8)</f>
        <v>31-35</v>
      </c>
      <c r="R76" t="str">
        <f>LOOKUP(G76,Sheet2!$V$4:$W$7)</f>
        <v>0.25 - 0.39</v>
      </c>
      <c r="S76" t="str">
        <f>LOOKUP(H76,Sheet2!$Z$4:$AA$7)</f>
        <v>&lt;=25</v>
      </c>
      <c r="T76" t="str">
        <f t="shared" si="3"/>
        <v>Negative</v>
      </c>
      <c r="U76" t="str">
        <f t="shared" si="4"/>
        <v>Not Sampled</v>
      </c>
      <c r="V76" s="1" t="str">
        <f t="shared" si="5"/>
        <v>Not Sampled</v>
      </c>
    </row>
    <row r="77" spans="1:22" x14ac:dyDescent="0.25">
      <c r="A77" s="1">
        <v>1</v>
      </c>
      <c r="B77" s="1">
        <v>0</v>
      </c>
      <c r="C77" s="1">
        <v>48</v>
      </c>
      <c r="D77" s="1">
        <v>20</v>
      </c>
      <c r="E77" s="1">
        <v>0</v>
      </c>
      <c r="F77" s="1">
        <v>24.7</v>
      </c>
      <c r="G77" s="1">
        <v>0.14000000000000001</v>
      </c>
      <c r="H77" s="1">
        <v>22</v>
      </c>
      <c r="I77" s="1">
        <v>0</v>
      </c>
      <c r="J77" s="1">
        <f>IFERROR(VLOOKUP(K77,[1]diabetes_Recognition!$A:$B,2,FALSE),"Not Sampled")</f>
        <v>0</v>
      </c>
      <c r="K77" s="1">
        <v>75</v>
      </c>
      <c r="L77" s="1">
        <f>LOOKUP(A77,Sheet2!$D$4:$E$9)</f>
        <v>1</v>
      </c>
      <c r="M77" t="str">
        <f>LOOKUP(B77,Sheet2!$G$4:$H$9)</f>
        <v>Unknown</v>
      </c>
      <c r="N77" t="str">
        <f>LOOKUP(C77,Sheet2!$J$4:$K$8)</f>
        <v>1-59</v>
      </c>
      <c r="O77" t="str">
        <f>LOOKUP(D77,Sheet2!$M$4:$N$8)</f>
        <v>10-30</v>
      </c>
      <c r="P77" t="str">
        <f>LOOKUP(E77,Sheet2!$P$4:$Q$9)</f>
        <v>Unknown</v>
      </c>
      <c r="Q77" t="str">
        <f>LOOKUP(F77,Sheet2!$S$4:$T$8)</f>
        <v>1-25</v>
      </c>
      <c r="R77" t="str">
        <f>LOOKUP(G77,Sheet2!$V$4:$W$7)</f>
        <v>0.0 - 0.249</v>
      </c>
      <c r="S77" t="str">
        <f>LOOKUP(H77,Sheet2!$Z$4:$AA$7)</f>
        <v>&lt;=25</v>
      </c>
      <c r="T77" t="str">
        <f t="shared" si="3"/>
        <v>Negative</v>
      </c>
      <c r="U77" t="str">
        <f t="shared" si="4"/>
        <v>Negative</v>
      </c>
      <c r="V77" s="1" t="str">
        <f t="shared" si="5"/>
        <v>Accurate Prediction</v>
      </c>
    </row>
    <row r="78" spans="1:22" x14ac:dyDescent="0.25">
      <c r="A78" s="1">
        <v>7</v>
      </c>
      <c r="B78" s="1">
        <v>62</v>
      </c>
      <c r="C78" s="1">
        <v>78</v>
      </c>
      <c r="D78" s="1">
        <v>0</v>
      </c>
      <c r="E78" s="1">
        <v>0</v>
      </c>
      <c r="F78" s="1">
        <v>32.6</v>
      </c>
      <c r="G78" s="1">
        <v>0.39100000000000001</v>
      </c>
      <c r="H78" s="1">
        <v>41</v>
      </c>
      <c r="I78" s="1">
        <v>0</v>
      </c>
      <c r="J78" s="1" t="str">
        <f>IFERROR(VLOOKUP(K78,[1]diabetes_Recognition!$A:$B,2,FALSE),"Not Sampled")</f>
        <v>Not Sampled</v>
      </c>
      <c r="K78" s="1">
        <v>76</v>
      </c>
      <c r="L78" s="1" t="str">
        <f>LOOKUP(A78,Sheet2!$D$4:$E$9)</f>
        <v>5-7</v>
      </c>
      <c r="M78" t="str">
        <f>LOOKUP(B78,Sheet2!$G$4:$H$9)</f>
        <v>1-99</v>
      </c>
      <c r="N78" t="str">
        <f>LOOKUP(C78,Sheet2!$J$4:$K$8)</f>
        <v>70-79</v>
      </c>
      <c r="O78" t="str">
        <f>LOOKUP(D78,Sheet2!$M$4:$N$8)</f>
        <v>Unknown</v>
      </c>
      <c r="P78" t="str">
        <f>LOOKUP(E78,Sheet2!$P$4:$Q$9)</f>
        <v>Unknown</v>
      </c>
      <c r="Q78" t="str">
        <f>LOOKUP(F78,Sheet2!$S$4:$T$8)</f>
        <v>31-35</v>
      </c>
      <c r="R78" t="str">
        <f>LOOKUP(G78,Sheet2!$V$4:$W$7)</f>
        <v>0.25 - 0.39</v>
      </c>
      <c r="S78" t="str">
        <f>LOOKUP(H78,Sheet2!$Z$4:$AA$7)</f>
        <v>36-45</v>
      </c>
      <c r="T78" t="str">
        <f t="shared" si="3"/>
        <v>Negative</v>
      </c>
      <c r="U78" t="str">
        <f t="shared" si="4"/>
        <v>Not Sampled</v>
      </c>
      <c r="V78" s="1" t="str">
        <f t="shared" si="5"/>
        <v>Not Sampled</v>
      </c>
    </row>
    <row r="79" spans="1:22" x14ac:dyDescent="0.25">
      <c r="A79" s="1">
        <v>5</v>
      </c>
      <c r="B79" s="1">
        <v>95</v>
      </c>
      <c r="C79" s="1">
        <v>72</v>
      </c>
      <c r="D79" s="1">
        <v>33</v>
      </c>
      <c r="E79" s="1">
        <v>0</v>
      </c>
      <c r="F79" s="1">
        <v>37.700000000000003</v>
      </c>
      <c r="G79" s="1">
        <v>0.37</v>
      </c>
      <c r="H79" s="1">
        <v>27</v>
      </c>
      <c r="I79" s="1">
        <v>0</v>
      </c>
      <c r="J79" s="1" t="str">
        <f>IFERROR(VLOOKUP(K79,[1]diabetes_Recognition!$A:$B,2,FALSE),"Not Sampled")</f>
        <v>Not Sampled</v>
      </c>
      <c r="K79" s="1">
        <v>77</v>
      </c>
      <c r="L79" s="1" t="str">
        <f>LOOKUP(A79,Sheet2!$D$4:$E$9)</f>
        <v>5-7</v>
      </c>
      <c r="M79" t="str">
        <f>LOOKUP(B79,Sheet2!$G$4:$H$9)</f>
        <v>1-99</v>
      </c>
      <c r="N79" t="str">
        <f>LOOKUP(C79,Sheet2!$J$4:$K$8)</f>
        <v>70-79</v>
      </c>
      <c r="O79" t="str">
        <f>LOOKUP(D79,Sheet2!$M$4:$N$8)</f>
        <v>30-39</v>
      </c>
      <c r="P79" t="str">
        <f>LOOKUP(E79,Sheet2!$P$4:$Q$9)</f>
        <v>Unknown</v>
      </c>
      <c r="Q79" t="str">
        <f>LOOKUP(F79,Sheet2!$S$4:$T$8)</f>
        <v>36+</v>
      </c>
      <c r="R79" t="str">
        <f>LOOKUP(G79,Sheet2!$V$4:$W$7)</f>
        <v>0.25 - 0.39</v>
      </c>
      <c r="S79" t="str">
        <f>LOOKUP(H79,Sheet2!$Z$4:$AA$7)</f>
        <v>26-35</v>
      </c>
      <c r="T79" t="str">
        <f t="shared" si="3"/>
        <v>Negative</v>
      </c>
      <c r="U79" t="str">
        <f t="shared" si="4"/>
        <v>Not Sampled</v>
      </c>
      <c r="V79" s="1" t="str">
        <f t="shared" si="5"/>
        <v>Not Sampled</v>
      </c>
    </row>
    <row r="80" spans="1:22" x14ac:dyDescent="0.25">
      <c r="A80" s="1">
        <v>0</v>
      </c>
      <c r="B80" s="1">
        <v>131</v>
      </c>
      <c r="C80" s="1">
        <v>0</v>
      </c>
      <c r="D80" s="1">
        <v>0</v>
      </c>
      <c r="E80" s="1">
        <v>0</v>
      </c>
      <c r="F80" s="1">
        <v>43.2</v>
      </c>
      <c r="G80" s="1">
        <v>0.27</v>
      </c>
      <c r="H80" s="1">
        <v>26</v>
      </c>
      <c r="I80" s="1">
        <v>1</v>
      </c>
      <c r="J80" s="1" t="str">
        <f>IFERROR(VLOOKUP(K80,[1]diabetes_Recognition!$A:$B,2,FALSE),"Not Sampled")</f>
        <v>Not Sampled</v>
      </c>
      <c r="K80" s="1">
        <v>78</v>
      </c>
      <c r="L80" s="1">
        <f>LOOKUP(A80,Sheet2!$D$4:$E$9)</f>
        <v>0</v>
      </c>
      <c r="M80" t="str">
        <f>LOOKUP(B80,Sheet2!$G$4:$H$9)</f>
        <v>126-150</v>
      </c>
      <c r="N80" t="str">
        <f>LOOKUP(C80,Sheet2!$J$4:$K$8)</f>
        <v>Unknown</v>
      </c>
      <c r="O80" t="str">
        <f>LOOKUP(D80,Sheet2!$M$4:$N$8)</f>
        <v>Unknown</v>
      </c>
      <c r="P80" t="str">
        <f>LOOKUP(E80,Sheet2!$P$4:$Q$9)</f>
        <v>Unknown</v>
      </c>
      <c r="Q80" t="str">
        <f>LOOKUP(F80,Sheet2!$S$4:$T$8)</f>
        <v>36+</v>
      </c>
      <c r="R80" t="str">
        <f>LOOKUP(G80,Sheet2!$V$4:$W$7)</f>
        <v>0.25 - 0.39</v>
      </c>
      <c r="S80" t="str">
        <f>LOOKUP(H80,Sheet2!$Z$4:$AA$7)</f>
        <v>26-35</v>
      </c>
      <c r="T80" t="str">
        <f t="shared" si="3"/>
        <v>Positive</v>
      </c>
      <c r="U80" t="str">
        <f t="shared" si="4"/>
        <v>Not Sampled</v>
      </c>
      <c r="V80" s="1" t="str">
        <f t="shared" si="5"/>
        <v>Not Sampled</v>
      </c>
    </row>
    <row r="81" spans="1:22" x14ac:dyDescent="0.25">
      <c r="A81" s="1">
        <v>2</v>
      </c>
      <c r="B81" s="1">
        <v>112</v>
      </c>
      <c r="C81" s="1">
        <v>66</v>
      </c>
      <c r="D81" s="1">
        <v>22</v>
      </c>
      <c r="E81" s="1">
        <v>0</v>
      </c>
      <c r="F81" s="1">
        <v>25</v>
      </c>
      <c r="G81" s="1">
        <v>0.307</v>
      </c>
      <c r="H81" s="1">
        <v>24</v>
      </c>
      <c r="I81" s="1">
        <v>0</v>
      </c>
      <c r="J81" s="1" t="str">
        <f>IFERROR(VLOOKUP(K81,[1]diabetes_Recognition!$A:$B,2,FALSE),"Not Sampled")</f>
        <v>Not Sampled</v>
      </c>
      <c r="K81" s="1">
        <v>79</v>
      </c>
      <c r="L81" s="1">
        <f>LOOKUP(A81,Sheet2!$D$4:$E$9)</f>
        <v>2</v>
      </c>
      <c r="M81" t="str">
        <f>LOOKUP(B81,Sheet2!$G$4:$H$9)</f>
        <v>100-125</v>
      </c>
      <c r="N81" t="str">
        <f>LOOKUP(C81,Sheet2!$J$4:$K$8)</f>
        <v>60-69</v>
      </c>
      <c r="O81" t="str">
        <f>LOOKUP(D81,Sheet2!$M$4:$N$8)</f>
        <v>10-30</v>
      </c>
      <c r="P81" t="str">
        <f>LOOKUP(E81,Sheet2!$P$4:$Q$9)</f>
        <v>Unknown</v>
      </c>
      <c r="Q81" t="str">
        <f>LOOKUP(F81,Sheet2!$S$4:$T$8)</f>
        <v>1-25</v>
      </c>
      <c r="R81" t="str">
        <f>LOOKUP(G81,Sheet2!$V$4:$W$7)</f>
        <v>0.25 - 0.39</v>
      </c>
      <c r="S81" t="str">
        <f>LOOKUP(H81,Sheet2!$Z$4:$AA$7)</f>
        <v>&lt;=25</v>
      </c>
      <c r="T81" t="str">
        <f t="shared" si="3"/>
        <v>Negative</v>
      </c>
      <c r="U81" t="str">
        <f t="shared" si="4"/>
        <v>Not Sampled</v>
      </c>
      <c r="V81" s="1" t="str">
        <f t="shared" si="5"/>
        <v>Not Sampled</v>
      </c>
    </row>
    <row r="82" spans="1:22" x14ac:dyDescent="0.25">
      <c r="A82" s="1">
        <v>3</v>
      </c>
      <c r="B82" s="1">
        <v>113</v>
      </c>
      <c r="C82" s="1">
        <v>44</v>
      </c>
      <c r="D82" s="1">
        <v>13</v>
      </c>
      <c r="E82" s="1">
        <v>0</v>
      </c>
      <c r="F82" s="1">
        <v>22.4</v>
      </c>
      <c r="G82" s="1">
        <v>0.14000000000000001</v>
      </c>
      <c r="H82" s="1">
        <v>22</v>
      </c>
      <c r="I82" s="1">
        <v>0</v>
      </c>
      <c r="J82" s="1">
        <f>IFERROR(VLOOKUP(K82,[1]diabetes_Recognition!$A:$B,2,FALSE),"Not Sampled")</f>
        <v>0</v>
      </c>
      <c r="K82" s="1">
        <v>80</v>
      </c>
      <c r="L82" s="1" t="str">
        <f>LOOKUP(A82,Sheet2!$D$4:$E$9)</f>
        <v>3-4</v>
      </c>
      <c r="M82" t="str">
        <f>LOOKUP(B82,Sheet2!$G$4:$H$9)</f>
        <v>100-125</v>
      </c>
      <c r="N82" t="str">
        <f>LOOKUP(C82,Sheet2!$J$4:$K$8)</f>
        <v>1-59</v>
      </c>
      <c r="O82" t="str">
        <f>LOOKUP(D82,Sheet2!$M$4:$N$8)</f>
        <v>10-30</v>
      </c>
      <c r="P82" t="str">
        <f>LOOKUP(E82,Sheet2!$P$4:$Q$9)</f>
        <v>Unknown</v>
      </c>
      <c r="Q82" t="str">
        <f>LOOKUP(F82,Sheet2!$S$4:$T$8)</f>
        <v>1-25</v>
      </c>
      <c r="R82" t="str">
        <f>LOOKUP(G82,Sheet2!$V$4:$W$7)</f>
        <v>0.0 - 0.249</v>
      </c>
      <c r="S82" t="str">
        <f>LOOKUP(H82,Sheet2!$Z$4:$AA$7)</f>
        <v>&lt;=25</v>
      </c>
      <c r="T82" t="str">
        <f t="shared" si="3"/>
        <v>Negative</v>
      </c>
      <c r="U82" t="str">
        <f t="shared" si="4"/>
        <v>Negative</v>
      </c>
      <c r="V82" s="1" t="str">
        <f t="shared" si="5"/>
        <v>Accurate Prediction</v>
      </c>
    </row>
    <row r="83" spans="1:22" x14ac:dyDescent="0.25">
      <c r="A83" s="1">
        <v>2</v>
      </c>
      <c r="B83" s="1">
        <v>74</v>
      </c>
      <c r="C83" s="1">
        <v>0</v>
      </c>
      <c r="D83" s="1">
        <v>0</v>
      </c>
      <c r="E83" s="1">
        <v>0</v>
      </c>
      <c r="F83" s="1">
        <v>0</v>
      </c>
      <c r="G83" s="1">
        <v>0.10199999999999999</v>
      </c>
      <c r="H83" s="1">
        <v>22</v>
      </c>
      <c r="I83" s="1">
        <v>0</v>
      </c>
      <c r="J83" s="1" t="str">
        <f>IFERROR(VLOOKUP(K83,[1]diabetes_Recognition!$A:$B,2,FALSE),"Not Sampled")</f>
        <v>Not Sampled</v>
      </c>
      <c r="K83" s="1">
        <v>81</v>
      </c>
      <c r="L83" s="1">
        <f>LOOKUP(A83,Sheet2!$D$4:$E$9)</f>
        <v>2</v>
      </c>
      <c r="M83" t="str">
        <f>LOOKUP(B83,Sheet2!$G$4:$H$9)</f>
        <v>1-99</v>
      </c>
      <c r="N83" t="str">
        <f>LOOKUP(C83,Sheet2!$J$4:$K$8)</f>
        <v>Unknown</v>
      </c>
      <c r="O83" t="str">
        <f>LOOKUP(D83,Sheet2!$M$4:$N$8)</f>
        <v>Unknown</v>
      </c>
      <c r="P83" t="str">
        <f>LOOKUP(E83,Sheet2!$P$4:$Q$9)</f>
        <v>Unknown</v>
      </c>
      <c r="Q83" t="str">
        <f>LOOKUP(F83,Sheet2!$S$4:$T$8)</f>
        <v>Unknown</v>
      </c>
      <c r="R83" t="str">
        <f>LOOKUP(G83,Sheet2!$V$4:$W$7)</f>
        <v>0.0 - 0.249</v>
      </c>
      <c r="S83" t="str">
        <f>LOOKUP(H83,Sheet2!$Z$4:$AA$7)</f>
        <v>&lt;=25</v>
      </c>
      <c r="T83" t="str">
        <f t="shared" si="3"/>
        <v>Negative</v>
      </c>
      <c r="U83" t="str">
        <f t="shared" si="4"/>
        <v>Not Sampled</v>
      </c>
      <c r="V83" s="1" t="str">
        <f t="shared" si="5"/>
        <v>Not Sampled</v>
      </c>
    </row>
    <row r="84" spans="1:22" x14ac:dyDescent="0.25">
      <c r="A84" s="1">
        <v>7</v>
      </c>
      <c r="B84" s="1">
        <v>83</v>
      </c>
      <c r="C84" s="1">
        <v>78</v>
      </c>
      <c r="D84" s="1">
        <v>26</v>
      </c>
      <c r="E84" s="1">
        <v>71</v>
      </c>
      <c r="F84" s="1">
        <v>29.3</v>
      </c>
      <c r="G84" s="1">
        <v>0.76700000000000002</v>
      </c>
      <c r="H84" s="1">
        <v>36</v>
      </c>
      <c r="I84" s="1">
        <v>0</v>
      </c>
      <c r="J84" s="1">
        <f>IFERROR(VLOOKUP(K84,[1]diabetes_Recognition!$A:$B,2,FALSE),"Not Sampled")</f>
        <v>0</v>
      </c>
      <c r="K84" s="1">
        <v>82</v>
      </c>
      <c r="L84" s="1" t="str">
        <f>LOOKUP(A84,Sheet2!$D$4:$E$9)</f>
        <v>5-7</v>
      </c>
      <c r="M84" t="str">
        <f>LOOKUP(B84,Sheet2!$G$4:$H$9)</f>
        <v>1-99</v>
      </c>
      <c r="N84" t="str">
        <f>LOOKUP(C84,Sheet2!$J$4:$K$8)</f>
        <v>70-79</v>
      </c>
      <c r="O84" t="str">
        <f>LOOKUP(D84,Sheet2!$M$4:$N$8)</f>
        <v>10-30</v>
      </c>
      <c r="P84" t="str">
        <f>LOOKUP(E84,Sheet2!$P$4:$Q$9)</f>
        <v>1-99</v>
      </c>
      <c r="Q84" t="str">
        <f>LOOKUP(F84,Sheet2!$S$4:$T$8)</f>
        <v>26-30</v>
      </c>
      <c r="R84" t="str">
        <f>LOOKUP(G84,Sheet2!$V$4:$W$7)</f>
        <v>0.7+</v>
      </c>
      <c r="S84" t="str">
        <f>LOOKUP(H84,Sheet2!$Z$4:$AA$7)</f>
        <v>36-45</v>
      </c>
      <c r="T84" t="str">
        <f t="shared" si="3"/>
        <v>Negative</v>
      </c>
      <c r="U84" t="str">
        <f t="shared" si="4"/>
        <v>Negative</v>
      </c>
      <c r="V84" s="1" t="str">
        <f t="shared" si="5"/>
        <v>Accurate Prediction</v>
      </c>
    </row>
    <row r="85" spans="1:22" x14ac:dyDescent="0.25">
      <c r="A85" s="1">
        <v>0</v>
      </c>
      <c r="B85" s="1">
        <v>101</v>
      </c>
      <c r="C85" s="1">
        <v>65</v>
      </c>
      <c r="D85" s="1">
        <v>28</v>
      </c>
      <c r="E85" s="1">
        <v>0</v>
      </c>
      <c r="F85" s="1">
        <v>24.6</v>
      </c>
      <c r="G85" s="1">
        <v>0.23699999999999999</v>
      </c>
      <c r="H85" s="1">
        <v>22</v>
      </c>
      <c r="I85" s="1">
        <v>0</v>
      </c>
      <c r="J85" s="1" t="str">
        <f>IFERROR(VLOOKUP(K85,[1]diabetes_Recognition!$A:$B,2,FALSE),"Not Sampled")</f>
        <v>Not Sampled</v>
      </c>
      <c r="K85" s="1">
        <v>83</v>
      </c>
      <c r="L85" s="1">
        <f>LOOKUP(A85,Sheet2!$D$4:$E$9)</f>
        <v>0</v>
      </c>
      <c r="M85" t="str">
        <f>LOOKUP(B85,Sheet2!$G$4:$H$9)</f>
        <v>100-125</v>
      </c>
      <c r="N85" t="str">
        <f>LOOKUP(C85,Sheet2!$J$4:$K$8)</f>
        <v>60-69</v>
      </c>
      <c r="O85" t="str">
        <f>LOOKUP(D85,Sheet2!$M$4:$N$8)</f>
        <v>10-30</v>
      </c>
      <c r="P85" t="str">
        <f>LOOKUP(E85,Sheet2!$P$4:$Q$9)</f>
        <v>Unknown</v>
      </c>
      <c r="Q85" t="str">
        <f>LOOKUP(F85,Sheet2!$S$4:$T$8)</f>
        <v>1-25</v>
      </c>
      <c r="R85" t="str">
        <f>LOOKUP(G85,Sheet2!$V$4:$W$7)</f>
        <v>0.0 - 0.249</v>
      </c>
      <c r="S85" t="str">
        <f>LOOKUP(H85,Sheet2!$Z$4:$AA$7)</f>
        <v>&lt;=25</v>
      </c>
      <c r="T85" t="str">
        <f t="shared" si="3"/>
        <v>Negative</v>
      </c>
      <c r="U85" t="str">
        <f t="shared" si="4"/>
        <v>Not Sampled</v>
      </c>
      <c r="V85" s="1" t="str">
        <f t="shared" si="5"/>
        <v>Not Sampled</v>
      </c>
    </row>
    <row r="86" spans="1:22" x14ac:dyDescent="0.25">
      <c r="A86" s="1">
        <v>5</v>
      </c>
      <c r="B86" s="1">
        <v>137</v>
      </c>
      <c r="C86" s="1">
        <v>108</v>
      </c>
      <c r="D86" s="1">
        <v>0</v>
      </c>
      <c r="E86" s="1">
        <v>0</v>
      </c>
      <c r="F86" s="1">
        <v>48.8</v>
      </c>
      <c r="G86" s="1">
        <v>0.22700000000000001</v>
      </c>
      <c r="H86" s="1">
        <v>37</v>
      </c>
      <c r="I86" s="1">
        <v>1</v>
      </c>
      <c r="J86" s="1" t="str">
        <f>IFERROR(VLOOKUP(K86,[1]diabetes_Recognition!$A:$B,2,FALSE),"Not Sampled")</f>
        <v>Not Sampled</v>
      </c>
      <c r="K86" s="1">
        <v>84</v>
      </c>
      <c r="L86" s="1" t="str">
        <f>LOOKUP(A86,Sheet2!$D$4:$E$9)</f>
        <v>5-7</v>
      </c>
      <c r="M86" t="str">
        <f>LOOKUP(B86,Sheet2!$G$4:$H$9)</f>
        <v>126-150</v>
      </c>
      <c r="N86" t="str">
        <f>LOOKUP(C86,Sheet2!$J$4:$K$8)</f>
        <v>80+</v>
      </c>
      <c r="O86" t="str">
        <f>LOOKUP(D86,Sheet2!$M$4:$N$8)</f>
        <v>Unknown</v>
      </c>
      <c r="P86" t="str">
        <f>LOOKUP(E86,Sheet2!$P$4:$Q$9)</f>
        <v>Unknown</v>
      </c>
      <c r="Q86" t="str">
        <f>LOOKUP(F86,Sheet2!$S$4:$T$8)</f>
        <v>36+</v>
      </c>
      <c r="R86" t="str">
        <f>LOOKUP(G86,Sheet2!$V$4:$W$7)</f>
        <v>0.0 - 0.249</v>
      </c>
      <c r="S86" t="str">
        <f>LOOKUP(H86,Sheet2!$Z$4:$AA$7)</f>
        <v>36-45</v>
      </c>
      <c r="T86" t="str">
        <f t="shared" si="3"/>
        <v>Positive</v>
      </c>
      <c r="U86" t="str">
        <f t="shared" si="4"/>
        <v>Not Sampled</v>
      </c>
      <c r="V86" s="1" t="str">
        <f t="shared" si="5"/>
        <v>Not Sampled</v>
      </c>
    </row>
    <row r="87" spans="1:22" x14ac:dyDescent="0.25">
      <c r="A87" s="1">
        <v>2</v>
      </c>
      <c r="B87" s="1">
        <v>110</v>
      </c>
      <c r="C87" s="1">
        <v>74</v>
      </c>
      <c r="D87" s="1">
        <v>29</v>
      </c>
      <c r="E87" s="1">
        <v>125</v>
      </c>
      <c r="F87" s="1">
        <v>32.4</v>
      </c>
      <c r="G87" s="1">
        <v>0.69799999999999995</v>
      </c>
      <c r="H87" s="1">
        <v>27</v>
      </c>
      <c r="I87" s="1">
        <v>0</v>
      </c>
      <c r="J87" s="1" t="str">
        <f>IFERROR(VLOOKUP(K87,[1]diabetes_Recognition!$A:$B,2,FALSE),"Not Sampled")</f>
        <v>Not Sampled</v>
      </c>
      <c r="K87" s="1">
        <v>85</v>
      </c>
      <c r="L87" s="1">
        <f>LOOKUP(A87,Sheet2!$D$4:$E$9)</f>
        <v>2</v>
      </c>
      <c r="M87" t="str">
        <f>LOOKUP(B87,Sheet2!$G$4:$H$9)</f>
        <v>100-125</v>
      </c>
      <c r="N87" t="str">
        <f>LOOKUP(C87,Sheet2!$J$4:$K$8)</f>
        <v>70-79</v>
      </c>
      <c r="O87" t="str">
        <f>LOOKUP(D87,Sheet2!$M$4:$N$8)</f>
        <v>10-30</v>
      </c>
      <c r="P87" t="str">
        <f>LOOKUP(E87,Sheet2!$P$4:$Q$9)</f>
        <v>100-199</v>
      </c>
      <c r="Q87" t="str">
        <f>LOOKUP(F87,Sheet2!$S$4:$T$8)</f>
        <v>31-35</v>
      </c>
      <c r="R87" t="str">
        <f>LOOKUP(G87,Sheet2!$V$4:$W$7)</f>
        <v>0.4 - 0.69</v>
      </c>
      <c r="S87" t="str">
        <f>LOOKUP(H87,Sheet2!$Z$4:$AA$7)</f>
        <v>26-35</v>
      </c>
      <c r="T87" t="str">
        <f t="shared" si="3"/>
        <v>Negative</v>
      </c>
      <c r="U87" t="str">
        <f t="shared" si="4"/>
        <v>Not Sampled</v>
      </c>
      <c r="V87" s="1" t="str">
        <f t="shared" si="5"/>
        <v>Not Sampled</v>
      </c>
    </row>
    <row r="88" spans="1:22" x14ac:dyDescent="0.25">
      <c r="A88" s="1">
        <v>13</v>
      </c>
      <c r="B88" s="1">
        <v>106</v>
      </c>
      <c r="C88" s="1">
        <v>72</v>
      </c>
      <c r="D88" s="1">
        <v>54</v>
      </c>
      <c r="E88" s="1">
        <v>0</v>
      </c>
      <c r="F88" s="1">
        <v>36.6</v>
      </c>
      <c r="G88" s="1">
        <v>0.17799999999999999</v>
      </c>
      <c r="H88" s="1">
        <v>45</v>
      </c>
      <c r="I88" s="1">
        <v>0</v>
      </c>
      <c r="J88" s="1" t="str">
        <f>IFERROR(VLOOKUP(K88,[1]diabetes_Recognition!$A:$B,2,FALSE),"Not Sampled")</f>
        <v>Not Sampled</v>
      </c>
      <c r="K88" s="1">
        <v>86</v>
      </c>
      <c r="L88" s="1" t="str">
        <f>LOOKUP(A88,Sheet2!$D$4:$E$9)</f>
        <v>8+</v>
      </c>
      <c r="M88" t="str">
        <f>LOOKUP(B88,Sheet2!$G$4:$H$9)</f>
        <v>100-125</v>
      </c>
      <c r="N88" t="str">
        <f>LOOKUP(C88,Sheet2!$J$4:$K$8)</f>
        <v>70-79</v>
      </c>
      <c r="O88" t="str">
        <f>LOOKUP(D88,Sheet2!$M$4:$N$8)</f>
        <v>40+</v>
      </c>
      <c r="P88" t="str">
        <f>LOOKUP(E88,Sheet2!$P$4:$Q$9)</f>
        <v>Unknown</v>
      </c>
      <c r="Q88" t="str">
        <f>LOOKUP(F88,Sheet2!$S$4:$T$8)</f>
        <v>36+</v>
      </c>
      <c r="R88" t="str">
        <f>LOOKUP(G88,Sheet2!$V$4:$W$7)</f>
        <v>0.0 - 0.249</v>
      </c>
      <c r="S88" t="str">
        <f>LOOKUP(H88,Sheet2!$Z$4:$AA$7)</f>
        <v>36-45</v>
      </c>
      <c r="T88" t="str">
        <f t="shared" si="3"/>
        <v>Negative</v>
      </c>
      <c r="U88" t="str">
        <f t="shared" si="4"/>
        <v>Not Sampled</v>
      </c>
      <c r="V88" s="1" t="str">
        <f t="shared" si="5"/>
        <v>Not Sampled</v>
      </c>
    </row>
    <row r="89" spans="1:22" x14ac:dyDescent="0.25">
      <c r="A89" s="1">
        <v>2</v>
      </c>
      <c r="B89" s="1">
        <v>100</v>
      </c>
      <c r="C89" s="1">
        <v>68</v>
      </c>
      <c r="D89" s="1">
        <v>25</v>
      </c>
      <c r="E89" s="1">
        <v>71</v>
      </c>
      <c r="F89" s="1">
        <v>38.5</v>
      </c>
      <c r="G89" s="1">
        <v>0.32400000000000001</v>
      </c>
      <c r="H89" s="1">
        <v>26</v>
      </c>
      <c r="I89" s="1">
        <v>0</v>
      </c>
      <c r="J89" s="1">
        <f>IFERROR(VLOOKUP(K89,[1]diabetes_Recognition!$A:$B,2,FALSE),"Not Sampled")</f>
        <v>0</v>
      </c>
      <c r="K89" s="1">
        <v>87</v>
      </c>
      <c r="L89" s="1">
        <f>LOOKUP(A89,Sheet2!$D$4:$E$9)</f>
        <v>2</v>
      </c>
      <c r="M89" t="str">
        <f>LOOKUP(B89,Sheet2!$G$4:$H$9)</f>
        <v>100-125</v>
      </c>
      <c r="N89" t="str">
        <f>LOOKUP(C89,Sheet2!$J$4:$K$8)</f>
        <v>60-69</v>
      </c>
      <c r="O89" t="str">
        <f>LOOKUP(D89,Sheet2!$M$4:$N$8)</f>
        <v>10-30</v>
      </c>
      <c r="P89" t="str">
        <f>LOOKUP(E89,Sheet2!$P$4:$Q$9)</f>
        <v>1-99</v>
      </c>
      <c r="Q89" t="str">
        <f>LOOKUP(F89,Sheet2!$S$4:$T$8)</f>
        <v>36+</v>
      </c>
      <c r="R89" t="str">
        <f>LOOKUP(G89,Sheet2!$V$4:$W$7)</f>
        <v>0.25 - 0.39</v>
      </c>
      <c r="S89" t="str">
        <f>LOOKUP(H89,Sheet2!$Z$4:$AA$7)</f>
        <v>26-35</v>
      </c>
      <c r="T89" t="str">
        <f t="shared" si="3"/>
        <v>Negative</v>
      </c>
      <c r="U89" t="str">
        <f t="shared" si="4"/>
        <v>Negative</v>
      </c>
      <c r="V89" s="1" t="str">
        <f t="shared" si="5"/>
        <v>Accurate Prediction</v>
      </c>
    </row>
    <row r="90" spans="1:22" x14ac:dyDescent="0.25">
      <c r="A90" s="1">
        <v>15</v>
      </c>
      <c r="B90" s="1">
        <v>136</v>
      </c>
      <c r="C90" s="1">
        <v>70</v>
      </c>
      <c r="D90" s="1">
        <v>32</v>
      </c>
      <c r="E90" s="1">
        <v>110</v>
      </c>
      <c r="F90" s="1">
        <v>37.1</v>
      </c>
      <c r="G90" s="1">
        <v>0.153</v>
      </c>
      <c r="H90" s="1">
        <v>43</v>
      </c>
      <c r="I90" s="1">
        <v>1</v>
      </c>
      <c r="J90" s="1" t="str">
        <f>IFERROR(VLOOKUP(K90,[1]diabetes_Recognition!$A:$B,2,FALSE),"Not Sampled")</f>
        <v>Not Sampled</v>
      </c>
      <c r="K90" s="1">
        <v>88</v>
      </c>
      <c r="L90" s="1" t="str">
        <f>LOOKUP(A90,Sheet2!$D$4:$E$9)</f>
        <v>8+</v>
      </c>
      <c r="M90" t="str">
        <f>LOOKUP(B90,Sheet2!$G$4:$H$9)</f>
        <v>126-150</v>
      </c>
      <c r="N90" t="str">
        <f>LOOKUP(C90,Sheet2!$J$4:$K$8)</f>
        <v>70-79</v>
      </c>
      <c r="O90" t="str">
        <f>LOOKUP(D90,Sheet2!$M$4:$N$8)</f>
        <v>30-39</v>
      </c>
      <c r="P90" t="str">
        <f>LOOKUP(E90,Sheet2!$P$4:$Q$9)</f>
        <v>100-199</v>
      </c>
      <c r="Q90" t="str">
        <f>LOOKUP(F90,Sheet2!$S$4:$T$8)</f>
        <v>36+</v>
      </c>
      <c r="R90" t="str">
        <f>LOOKUP(G90,Sheet2!$V$4:$W$7)</f>
        <v>0.0 - 0.249</v>
      </c>
      <c r="S90" t="str">
        <f>LOOKUP(H90,Sheet2!$Z$4:$AA$7)</f>
        <v>36-45</v>
      </c>
      <c r="T90" t="str">
        <f t="shared" si="3"/>
        <v>Positive</v>
      </c>
      <c r="U90" t="str">
        <f t="shared" si="4"/>
        <v>Not Sampled</v>
      </c>
      <c r="V90" s="1" t="str">
        <f t="shared" si="5"/>
        <v>Not Sampled</v>
      </c>
    </row>
    <row r="91" spans="1:22" x14ac:dyDescent="0.25">
      <c r="A91" s="1">
        <v>1</v>
      </c>
      <c r="B91" s="1">
        <v>107</v>
      </c>
      <c r="C91" s="1">
        <v>68</v>
      </c>
      <c r="D91" s="1">
        <v>19</v>
      </c>
      <c r="E91" s="1">
        <v>0</v>
      </c>
      <c r="F91" s="1">
        <v>26.5</v>
      </c>
      <c r="G91" s="1">
        <v>0.16500000000000001</v>
      </c>
      <c r="H91" s="1">
        <v>24</v>
      </c>
      <c r="I91" s="1">
        <v>0</v>
      </c>
      <c r="J91" s="1" t="str">
        <f>IFERROR(VLOOKUP(K91,[1]diabetes_Recognition!$A:$B,2,FALSE),"Not Sampled")</f>
        <v>Not Sampled</v>
      </c>
      <c r="K91" s="1">
        <v>89</v>
      </c>
      <c r="L91" s="1">
        <f>LOOKUP(A91,Sheet2!$D$4:$E$9)</f>
        <v>1</v>
      </c>
      <c r="M91" t="str">
        <f>LOOKUP(B91,Sheet2!$G$4:$H$9)</f>
        <v>100-125</v>
      </c>
      <c r="N91" t="str">
        <f>LOOKUP(C91,Sheet2!$J$4:$K$8)</f>
        <v>60-69</v>
      </c>
      <c r="O91" t="str">
        <f>LOOKUP(D91,Sheet2!$M$4:$N$8)</f>
        <v>10-30</v>
      </c>
      <c r="P91" t="str">
        <f>LOOKUP(E91,Sheet2!$P$4:$Q$9)</f>
        <v>Unknown</v>
      </c>
      <c r="Q91" t="str">
        <f>LOOKUP(F91,Sheet2!$S$4:$T$8)</f>
        <v>26-30</v>
      </c>
      <c r="R91" t="str">
        <f>LOOKUP(G91,Sheet2!$V$4:$W$7)</f>
        <v>0.0 - 0.249</v>
      </c>
      <c r="S91" t="str">
        <f>LOOKUP(H91,Sheet2!$Z$4:$AA$7)</f>
        <v>&lt;=25</v>
      </c>
      <c r="T91" t="str">
        <f t="shared" si="3"/>
        <v>Negative</v>
      </c>
      <c r="U91" t="str">
        <f t="shared" si="4"/>
        <v>Not Sampled</v>
      </c>
      <c r="V91" s="1" t="str">
        <f t="shared" si="5"/>
        <v>Not Sampled</v>
      </c>
    </row>
    <row r="92" spans="1:22" x14ac:dyDescent="0.25">
      <c r="A92" s="1">
        <v>1</v>
      </c>
      <c r="B92" s="1">
        <v>80</v>
      </c>
      <c r="C92" s="1">
        <v>55</v>
      </c>
      <c r="D92" s="1">
        <v>0</v>
      </c>
      <c r="E92" s="1">
        <v>0</v>
      </c>
      <c r="F92" s="1">
        <v>19.100000000000001</v>
      </c>
      <c r="G92" s="1">
        <v>0.25800000000000001</v>
      </c>
      <c r="H92" s="1">
        <v>21</v>
      </c>
      <c r="I92" s="1">
        <v>0</v>
      </c>
      <c r="J92" s="1" t="str">
        <f>IFERROR(VLOOKUP(K92,[1]diabetes_Recognition!$A:$B,2,FALSE),"Not Sampled")</f>
        <v>Not Sampled</v>
      </c>
      <c r="K92" s="1">
        <v>90</v>
      </c>
      <c r="L92" s="1">
        <f>LOOKUP(A92,Sheet2!$D$4:$E$9)</f>
        <v>1</v>
      </c>
      <c r="M92" t="str">
        <f>LOOKUP(B92,Sheet2!$G$4:$H$9)</f>
        <v>1-99</v>
      </c>
      <c r="N92" t="str">
        <f>LOOKUP(C92,Sheet2!$J$4:$K$8)</f>
        <v>1-59</v>
      </c>
      <c r="O92" t="str">
        <f>LOOKUP(D92,Sheet2!$M$4:$N$8)</f>
        <v>Unknown</v>
      </c>
      <c r="P92" t="str">
        <f>LOOKUP(E92,Sheet2!$P$4:$Q$9)</f>
        <v>Unknown</v>
      </c>
      <c r="Q92" t="str">
        <f>LOOKUP(F92,Sheet2!$S$4:$T$8)</f>
        <v>1-25</v>
      </c>
      <c r="R92" t="str">
        <f>LOOKUP(G92,Sheet2!$V$4:$W$7)</f>
        <v>0.25 - 0.39</v>
      </c>
      <c r="S92" t="str">
        <f>LOOKUP(H92,Sheet2!$Z$4:$AA$7)</f>
        <v>&lt;=25</v>
      </c>
      <c r="T92" t="str">
        <f t="shared" si="3"/>
        <v>Negative</v>
      </c>
      <c r="U92" t="str">
        <f t="shared" si="4"/>
        <v>Not Sampled</v>
      </c>
      <c r="V92" s="1" t="str">
        <f t="shared" si="5"/>
        <v>Not Sampled</v>
      </c>
    </row>
    <row r="93" spans="1:22" x14ac:dyDescent="0.25">
      <c r="A93" s="1">
        <v>4</v>
      </c>
      <c r="B93" s="1">
        <v>123</v>
      </c>
      <c r="C93" s="1">
        <v>80</v>
      </c>
      <c r="D93" s="1">
        <v>15</v>
      </c>
      <c r="E93" s="1">
        <v>176</v>
      </c>
      <c r="F93" s="1">
        <v>32</v>
      </c>
      <c r="G93" s="1">
        <v>0.443</v>
      </c>
      <c r="H93" s="1">
        <v>34</v>
      </c>
      <c r="I93" s="1">
        <v>0</v>
      </c>
      <c r="J93" s="1">
        <f>IFERROR(VLOOKUP(K93,[1]diabetes_Recognition!$A:$B,2,FALSE),"Not Sampled")</f>
        <v>0</v>
      </c>
      <c r="K93" s="1">
        <v>91</v>
      </c>
      <c r="L93" s="1" t="str">
        <f>LOOKUP(A93,Sheet2!$D$4:$E$9)</f>
        <v>3-4</v>
      </c>
      <c r="M93" t="str">
        <f>LOOKUP(B93,Sheet2!$G$4:$H$9)</f>
        <v>100-125</v>
      </c>
      <c r="N93" t="str">
        <f>LOOKUP(C93,Sheet2!$J$4:$K$8)</f>
        <v>80+</v>
      </c>
      <c r="O93" t="str">
        <f>LOOKUP(D93,Sheet2!$M$4:$N$8)</f>
        <v>10-30</v>
      </c>
      <c r="P93" t="str">
        <f>LOOKUP(E93,Sheet2!$P$4:$Q$9)</f>
        <v>100-199</v>
      </c>
      <c r="Q93" t="str">
        <f>LOOKUP(F93,Sheet2!$S$4:$T$8)</f>
        <v>31-35</v>
      </c>
      <c r="R93" t="str">
        <f>LOOKUP(G93,Sheet2!$V$4:$W$7)</f>
        <v>0.4 - 0.69</v>
      </c>
      <c r="S93" t="str">
        <f>LOOKUP(H93,Sheet2!$Z$4:$AA$7)</f>
        <v>26-35</v>
      </c>
      <c r="T93" t="str">
        <f t="shared" si="3"/>
        <v>Negative</v>
      </c>
      <c r="U93" t="str">
        <f t="shared" si="4"/>
        <v>Negative</v>
      </c>
      <c r="V93" s="1" t="str">
        <f t="shared" si="5"/>
        <v>Accurate Prediction</v>
      </c>
    </row>
    <row r="94" spans="1:22" x14ac:dyDescent="0.25">
      <c r="A94" s="1">
        <v>7</v>
      </c>
      <c r="B94" s="1">
        <v>81</v>
      </c>
      <c r="C94" s="1">
        <v>78</v>
      </c>
      <c r="D94" s="1">
        <v>40</v>
      </c>
      <c r="E94" s="1">
        <v>48</v>
      </c>
      <c r="F94" s="1">
        <v>46.7</v>
      </c>
      <c r="G94" s="1">
        <v>0.26100000000000001</v>
      </c>
      <c r="H94" s="1">
        <v>42</v>
      </c>
      <c r="I94" s="1">
        <v>0</v>
      </c>
      <c r="J94" s="1" t="str">
        <f>IFERROR(VLOOKUP(K94,[1]diabetes_Recognition!$A:$B,2,FALSE),"Not Sampled")</f>
        <v>Not Sampled</v>
      </c>
      <c r="K94" s="1">
        <v>92</v>
      </c>
      <c r="L94" s="1" t="str">
        <f>LOOKUP(A94,Sheet2!$D$4:$E$9)</f>
        <v>5-7</v>
      </c>
      <c r="M94" t="str">
        <f>LOOKUP(B94,Sheet2!$G$4:$H$9)</f>
        <v>1-99</v>
      </c>
      <c r="N94" t="str">
        <f>LOOKUP(C94,Sheet2!$J$4:$K$8)</f>
        <v>70-79</v>
      </c>
      <c r="O94" t="str">
        <f>LOOKUP(D94,Sheet2!$M$4:$N$8)</f>
        <v>40+</v>
      </c>
      <c r="P94" t="str">
        <f>LOOKUP(E94,Sheet2!$P$4:$Q$9)</f>
        <v>1-99</v>
      </c>
      <c r="Q94" t="str">
        <f>LOOKUP(F94,Sheet2!$S$4:$T$8)</f>
        <v>36+</v>
      </c>
      <c r="R94" t="str">
        <f>LOOKUP(G94,Sheet2!$V$4:$W$7)</f>
        <v>0.25 - 0.39</v>
      </c>
      <c r="S94" t="str">
        <f>LOOKUP(H94,Sheet2!$Z$4:$AA$7)</f>
        <v>36-45</v>
      </c>
      <c r="T94" t="str">
        <f t="shared" si="3"/>
        <v>Negative</v>
      </c>
      <c r="U94" t="str">
        <f t="shared" si="4"/>
        <v>Not Sampled</v>
      </c>
      <c r="V94" s="1" t="str">
        <f t="shared" si="5"/>
        <v>Not Sampled</v>
      </c>
    </row>
    <row r="95" spans="1:22" x14ac:dyDescent="0.25">
      <c r="A95" s="1">
        <v>4</v>
      </c>
      <c r="B95" s="1">
        <v>134</v>
      </c>
      <c r="C95" s="1">
        <v>72</v>
      </c>
      <c r="D95" s="1">
        <v>0</v>
      </c>
      <c r="E95" s="1">
        <v>0</v>
      </c>
      <c r="F95" s="1">
        <v>23.8</v>
      </c>
      <c r="G95" s="1">
        <v>0.27700000000000002</v>
      </c>
      <c r="H95" s="1">
        <v>60</v>
      </c>
      <c r="I95" s="1">
        <v>1</v>
      </c>
      <c r="J95" s="1" t="str">
        <f>IFERROR(VLOOKUP(K95,[1]diabetes_Recognition!$A:$B,2,FALSE),"Not Sampled")</f>
        <v>Not Sampled</v>
      </c>
      <c r="K95" s="1">
        <v>93</v>
      </c>
      <c r="L95" s="1" t="str">
        <f>LOOKUP(A95,Sheet2!$D$4:$E$9)</f>
        <v>3-4</v>
      </c>
      <c r="M95" t="str">
        <f>LOOKUP(B95,Sheet2!$G$4:$H$9)</f>
        <v>126-150</v>
      </c>
      <c r="N95" t="str">
        <f>LOOKUP(C95,Sheet2!$J$4:$K$8)</f>
        <v>70-79</v>
      </c>
      <c r="O95" t="str">
        <f>LOOKUP(D95,Sheet2!$M$4:$N$8)</f>
        <v>Unknown</v>
      </c>
      <c r="P95" t="str">
        <f>LOOKUP(E95,Sheet2!$P$4:$Q$9)</f>
        <v>Unknown</v>
      </c>
      <c r="Q95" t="str">
        <f>LOOKUP(F95,Sheet2!$S$4:$T$8)</f>
        <v>1-25</v>
      </c>
      <c r="R95" t="str">
        <f>LOOKUP(G95,Sheet2!$V$4:$W$7)</f>
        <v>0.25 - 0.39</v>
      </c>
      <c r="S95" t="str">
        <f>LOOKUP(H95,Sheet2!$Z$4:$AA$7)</f>
        <v>46+</v>
      </c>
      <c r="T95" t="str">
        <f t="shared" si="3"/>
        <v>Positive</v>
      </c>
      <c r="U95" t="str">
        <f t="shared" si="4"/>
        <v>Not Sampled</v>
      </c>
      <c r="V95" s="1" t="str">
        <f t="shared" si="5"/>
        <v>Not Sampled</v>
      </c>
    </row>
    <row r="96" spans="1:22" x14ac:dyDescent="0.25">
      <c r="A96" s="1">
        <v>2</v>
      </c>
      <c r="B96" s="1">
        <v>142</v>
      </c>
      <c r="C96" s="1">
        <v>82</v>
      </c>
      <c r="D96" s="1">
        <v>18</v>
      </c>
      <c r="E96" s="1">
        <v>64</v>
      </c>
      <c r="F96" s="1">
        <v>24.7</v>
      </c>
      <c r="G96" s="1">
        <v>0.76100000000000001</v>
      </c>
      <c r="H96" s="1">
        <v>21</v>
      </c>
      <c r="I96" s="1">
        <v>0</v>
      </c>
      <c r="J96" s="1" t="str">
        <f>IFERROR(VLOOKUP(K96,[1]diabetes_Recognition!$A:$B,2,FALSE),"Not Sampled")</f>
        <v>Not Sampled</v>
      </c>
      <c r="K96" s="1">
        <v>94</v>
      </c>
      <c r="L96" s="1">
        <f>LOOKUP(A96,Sheet2!$D$4:$E$9)</f>
        <v>2</v>
      </c>
      <c r="M96" t="str">
        <f>LOOKUP(B96,Sheet2!$G$4:$H$9)</f>
        <v>126-150</v>
      </c>
      <c r="N96" t="str">
        <f>LOOKUP(C96,Sheet2!$J$4:$K$8)</f>
        <v>80+</v>
      </c>
      <c r="O96" t="str">
        <f>LOOKUP(D96,Sheet2!$M$4:$N$8)</f>
        <v>10-30</v>
      </c>
      <c r="P96" t="str">
        <f>LOOKUP(E96,Sheet2!$P$4:$Q$9)</f>
        <v>1-99</v>
      </c>
      <c r="Q96" t="str">
        <f>LOOKUP(F96,Sheet2!$S$4:$T$8)</f>
        <v>1-25</v>
      </c>
      <c r="R96" t="str">
        <f>LOOKUP(G96,Sheet2!$V$4:$W$7)</f>
        <v>0.7+</v>
      </c>
      <c r="S96" t="str">
        <f>LOOKUP(H96,Sheet2!$Z$4:$AA$7)</f>
        <v>&lt;=25</v>
      </c>
      <c r="T96" t="str">
        <f t="shared" si="3"/>
        <v>Negative</v>
      </c>
      <c r="U96" t="str">
        <f t="shared" si="4"/>
        <v>Not Sampled</v>
      </c>
      <c r="V96" s="1" t="str">
        <f t="shared" si="5"/>
        <v>Not Sampled</v>
      </c>
    </row>
    <row r="97" spans="1:22" x14ac:dyDescent="0.25">
      <c r="A97" s="1">
        <v>6</v>
      </c>
      <c r="B97" s="1">
        <v>144</v>
      </c>
      <c r="C97" s="1">
        <v>72</v>
      </c>
      <c r="D97" s="1">
        <v>27</v>
      </c>
      <c r="E97" s="1">
        <v>228</v>
      </c>
      <c r="F97" s="1">
        <v>33.9</v>
      </c>
      <c r="G97" s="1">
        <v>0.255</v>
      </c>
      <c r="H97" s="1">
        <v>40</v>
      </c>
      <c r="I97" s="1">
        <v>0</v>
      </c>
      <c r="J97" s="1" t="str">
        <f>IFERROR(VLOOKUP(K97,[1]diabetes_Recognition!$A:$B,2,FALSE),"Not Sampled")</f>
        <v>Not Sampled</v>
      </c>
      <c r="K97" s="1">
        <v>95</v>
      </c>
      <c r="L97" s="1" t="str">
        <f>LOOKUP(A97,Sheet2!$D$4:$E$9)</f>
        <v>5-7</v>
      </c>
      <c r="M97" t="str">
        <f>LOOKUP(B97,Sheet2!$G$4:$H$9)</f>
        <v>126-150</v>
      </c>
      <c r="N97" t="str">
        <f>LOOKUP(C97,Sheet2!$J$4:$K$8)</f>
        <v>70-79</v>
      </c>
      <c r="O97" t="str">
        <f>LOOKUP(D97,Sheet2!$M$4:$N$8)</f>
        <v>10-30</v>
      </c>
      <c r="P97" t="str">
        <f>LOOKUP(E97,Sheet2!$P$4:$Q$9)</f>
        <v>200-399</v>
      </c>
      <c r="Q97" t="str">
        <f>LOOKUP(F97,Sheet2!$S$4:$T$8)</f>
        <v>31-35</v>
      </c>
      <c r="R97" t="str">
        <f>LOOKUP(G97,Sheet2!$V$4:$W$7)</f>
        <v>0.25 - 0.39</v>
      </c>
      <c r="S97" t="str">
        <f>LOOKUP(H97,Sheet2!$Z$4:$AA$7)</f>
        <v>36-45</v>
      </c>
      <c r="T97" t="str">
        <f t="shared" si="3"/>
        <v>Negative</v>
      </c>
      <c r="U97" t="str">
        <f t="shared" si="4"/>
        <v>Not Sampled</v>
      </c>
      <c r="V97" s="1" t="str">
        <f t="shared" si="5"/>
        <v>Not Sampled</v>
      </c>
    </row>
    <row r="98" spans="1:22" x14ac:dyDescent="0.25">
      <c r="A98" s="1">
        <v>2</v>
      </c>
      <c r="B98" s="1">
        <v>92</v>
      </c>
      <c r="C98" s="1">
        <v>62</v>
      </c>
      <c r="D98" s="1">
        <v>28</v>
      </c>
      <c r="E98" s="1">
        <v>0</v>
      </c>
      <c r="F98" s="1">
        <v>31.6</v>
      </c>
      <c r="G98" s="1">
        <v>0.13</v>
      </c>
      <c r="H98" s="1">
        <v>24</v>
      </c>
      <c r="I98" s="1">
        <v>0</v>
      </c>
      <c r="J98" s="1" t="str">
        <f>IFERROR(VLOOKUP(K98,[1]diabetes_Recognition!$A:$B,2,FALSE),"Not Sampled")</f>
        <v>Not Sampled</v>
      </c>
      <c r="K98" s="1">
        <v>96</v>
      </c>
      <c r="L98" s="1">
        <f>LOOKUP(A98,Sheet2!$D$4:$E$9)</f>
        <v>2</v>
      </c>
      <c r="M98" t="str">
        <f>LOOKUP(B98,Sheet2!$G$4:$H$9)</f>
        <v>1-99</v>
      </c>
      <c r="N98" t="str">
        <f>LOOKUP(C98,Sheet2!$J$4:$K$8)</f>
        <v>60-69</v>
      </c>
      <c r="O98" t="str">
        <f>LOOKUP(D98,Sheet2!$M$4:$N$8)</f>
        <v>10-30</v>
      </c>
      <c r="P98" t="str">
        <f>LOOKUP(E98,Sheet2!$P$4:$Q$9)</f>
        <v>Unknown</v>
      </c>
      <c r="Q98" t="str">
        <f>LOOKUP(F98,Sheet2!$S$4:$T$8)</f>
        <v>31-35</v>
      </c>
      <c r="R98" t="str">
        <f>LOOKUP(G98,Sheet2!$V$4:$W$7)</f>
        <v>0.0 - 0.249</v>
      </c>
      <c r="S98" t="str">
        <f>LOOKUP(H98,Sheet2!$Z$4:$AA$7)</f>
        <v>&lt;=25</v>
      </c>
      <c r="T98" t="str">
        <f t="shared" si="3"/>
        <v>Negative</v>
      </c>
      <c r="U98" t="str">
        <f t="shared" si="4"/>
        <v>Not Sampled</v>
      </c>
      <c r="V98" s="1" t="str">
        <f t="shared" si="5"/>
        <v>Not Sampled</v>
      </c>
    </row>
    <row r="99" spans="1:22" x14ac:dyDescent="0.25">
      <c r="A99" s="1">
        <v>1</v>
      </c>
      <c r="B99" s="1">
        <v>71</v>
      </c>
      <c r="C99" s="1">
        <v>48</v>
      </c>
      <c r="D99" s="1">
        <v>18</v>
      </c>
      <c r="E99" s="1">
        <v>76</v>
      </c>
      <c r="F99" s="1">
        <v>20.399999999999999</v>
      </c>
      <c r="G99" s="1">
        <v>0.32300000000000001</v>
      </c>
      <c r="H99" s="1">
        <v>22</v>
      </c>
      <c r="I99" s="1">
        <v>0</v>
      </c>
      <c r="J99" s="1" t="str">
        <f>IFERROR(VLOOKUP(K99,[1]diabetes_Recognition!$A:$B,2,FALSE),"Not Sampled")</f>
        <v>Not Sampled</v>
      </c>
      <c r="K99" s="1">
        <v>97</v>
      </c>
      <c r="L99" s="1">
        <f>LOOKUP(A99,Sheet2!$D$4:$E$9)</f>
        <v>1</v>
      </c>
      <c r="M99" t="str">
        <f>LOOKUP(B99,Sheet2!$G$4:$H$9)</f>
        <v>1-99</v>
      </c>
      <c r="N99" t="str">
        <f>LOOKUP(C99,Sheet2!$J$4:$K$8)</f>
        <v>1-59</v>
      </c>
      <c r="O99" t="str">
        <f>LOOKUP(D99,Sheet2!$M$4:$N$8)</f>
        <v>10-30</v>
      </c>
      <c r="P99" t="str">
        <f>LOOKUP(E99,Sheet2!$P$4:$Q$9)</f>
        <v>1-99</v>
      </c>
      <c r="Q99" t="str">
        <f>LOOKUP(F99,Sheet2!$S$4:$T$8)</f>
        <v>1-25</v>
      </c>
      <c r="R99" t="str">
        <f>LOOKUP(G99,Sheet2!$V$4:$W$7)</f>
        <v>0.25 - 0.39</v>
      </c>
      <c r="S99" t="str">
        <f>LOOKUP(H99,Sheet2!$Z$4:$AA$7)</f>
        <v>&lt;=25</v>
      </c>
      <c r="T99" t="str">
        <f t="shared" si="3"/>
        <v>Negative</v>
      </c>
      <c r="U99" t="str">
        <f t="shared" si="4"/>
        <v>Not Sampled</v>
      </c>
      <c r="V99" s="1" t="str">
        <f t="shared" si="5"/>
        <v>Not Sampled</v>
      </c>
    </row>
    <row r="100" spans="1:22" x14ac:dyDescent="0.25">
      <c r="A100" s="1">
        <v>6</v>
      </c>
      <c r="B100" s="1">
        <v>93</v>
      </c>
      <c r="C100" s="1">
        <v>50</v>
      </c>
      <c r="D100" s="1">
        <v>30</v>
      </c>
      <c r="E100" s="1">
        <v>64</v>
      </c>
      <c r="F100" s="1">
        <v>28.7</v>
      </c>
      <c r="G100" s="1">
        <v>0.35599999999999998</v>
      </c>
      <c r="H100" s="1">
        <v>23</v>
      </c>
      <c r="I100" s="1">
        <v>0</v>
      </c>
      <c r="J100" s="1">
        <f>IFERROR(VLOOKUP(K100,[1]diabetes_Recognition!$A:$B,2,FALSE),"Not Sampled")</f>
        <v>0</v>
      </c>
      <c r="K100" s="1">
        <v>98</v>
      </c>
      <c r="L100" s="1" t="str">
        <f>LOOKUP(A100,Sheet2!$D$4:$E$9)</f>
        <v>5-7</v>
      </c>
      <c r="M100" t="str">
        <f>LOOKUP(B100,Sheet2!$G$4:$H$9)</f>
        <v>1-99</v>
      </c>
      <c r="N100" t="str">
        <f>LOOKUP(C100,Sheet2!$J$4:$K$8)</f>
        <v>1-59</v>
      </c>
      <c r="O100" t="str">
        <f>LOOKUP(D100,Sheet2!$M$4:$N$8)</f>
        <v>30-39</v>
      </c>
      <c r="P100" t="str">
        <f>LOOKUP(E100,Sheet2!$P$4:$Q$9)</f>
        <v>1-99</v>
      </c>
      <c r="Q100" t="str">
        <f>LOOKUP(F100,Sheet2!$S$4:$T$8)</f>
        <v>26-30</v>
      </c>
      <c r="R100" t="str">
        <f>LOOKUP(G100,Sheet2!$V$4:$W$7)</f>
        <v>0.25 - 0.39</v>
      </c>
      <c r="S100" t="str">
        <f>LOOKUP(H100,Sheet2!$Z$4:$AA$7)</f>
        <v>&lt;=25</v>
      </c>
      <c r="T100" t="str">
        <f t="shared" si="3"/>
        <v>Negative</v>
      </c>
      <c r="U100" t="str">
        <f t="shared" si="4"/>
        <v>Negative</v>
      </c>
      <c r="V100" s="1" t="str">
        <f t="shared" si="5"/>
        <v>Accurate Prediction</v>
      </c>
    </row>
    <row r="101" spans="1:22" x14ac:dyDescent="0.25">
      <c r="A101" s="1">
        <v>1</v>
      </c>
      <c r="B101" s="1">
        <v>122</v>
      </c>
      <c r="C101" s="1">
        <v>90</v>
      </c>
      <c r="D101" s="1">
        <v>51</v>
      </c>
      <c r="E101" s="1">
        <v>220</v>
      </c>
      <c r="F101" s="1">
        <v>49.7</v>
      </c>
      <c r="G101" s="1">
        <v>0.32500000000000001</v>
      </c>
      <c r="H101" s="1">
        <v>31</v>
      </c>
      <c r="I101" s="1">
        <v>1</v>
      </c>
      <c r="J101" s="1" t="str">
        <f>IFERROR(VLOOKUP(K101,[1]diabetes_Recognition!$A:$B,2,FALSE),"Not Sampled")</f>
        <v>Not Sampled</v>
      </c>
      <c r="K101" s="1">
        <v>99</v>
      </c>
      <c r="L101" s="1">
        <f>LOOKUP(A101,Sheet2!$D$4:$E$9)</f>
        <v>1</v>
      </c>
      <c r="M101" t="str">
        <f>LOOKUP(B101,Sheet2!$G$4:$H$9)</f>
        <v>100-125</v>
      </c>
      <c r="N101" t="str">
        <f>LOOKUP(C101,Sheet2!$J$4:$K$8)</f>
        <v>80+</v>
      </c>
      <c r="O101" t="str">
        <f>LOOKUP(D101,Sheet2!$M$4:$N$8)</f>
        <v>40+</v>
      </c>
      <c r="P101" t="str">
        <f>LOOKUP(E101,Sheet2!$P$4:$Q$9)</f>
        <v>200-399</v>
      </c>
      <c r="Q101" t="str">
        <f>LOOKUP(F101,Sheet2!$S$4:$T$8)</f>
        <v>36+</v>
      </c>
      <c r="R101" t="str">
        <f>LOOKUP(G101,Sheet2!$V$4:$W$7)</f>
        <v>0.25 - 0.39</v>
      </c>
      <c r="S101" t="str">
        <f>LOOKUP(H101,Sheet2!$Z$4:$AA$7)</f>
        <v>26-35</v>
      </c>
      <c r="T101" t="str">
        <f t="shared" si="3"/>
        <v>Positive</v>
      </c>
      <c r="U101" t="str">
        <f t="shared" si="4"/>
        <v>Not Sampled</v>
      </c>
      <c r="V101" s="1" t="str">
        <f t="shared" si="5"/>
        <v>Not Sampled</v>
      </c>
    </row>
    <row r="102" spans="1:22" x14ac:dyDescent="0.25">
      <c r="A102" s="1">
        <v>1</v>
      </c>
      <c r="B102" s="1">
        <v>163</v>
      </c>
      <c r="C102" s="1">
        <v>72</v>
      </c>
      <c r="D102" s="1">
        <v>0</v>
      </c>
      <c r="E102" s="1">
        <v>0</v>
      </c>
      <c r="F102" s="1">
        <v>39</v>
      </c>
      <c r="G102" s="1">
        <v>1.222</v>
      </c>
      <c r="H102" s="1">
        <v>33</v>
      </c>
      <c r="I102" s="1">
        <v>1</v>
      </c>
      <c r="J102" s="1" t="str">
        <f>IFERROR(VLOOKUP(K102,[1]diabetes_Recognition!$A:$B,2,FALSE),"Not Sampled")</f>
        <v>Not Sampled</v>
      </c>
      <c r="K102" s="1">
        <v>100</v>
      </c>
      <c r="L102" s="1">
        <f>LOOKUP(A102,Sheet2!$D$4:$E$9)</f>
        <v>1</v>
      </c>
      <c r="M102" t="str">
        <f>LOOKUP(B102,Sheet2!$G$4:$H$9)</f>
        <v>151-175</v>
      </c>
      <c r="N102" t="str">
        <f>LOOKUP(C102,Sheet2!$J$4:$K$8)</f>
        <v>70-79</v>
      </c>
      <c r="O102" t="str">
        <f>LOOKUP(D102,Sheet2!$M$4:$N$8)</f>
        <v>Unknown</v>
      </c>
      <c r="P102" t="str">
        <f>LOOKUP(E102,Sheet2!$P$4:$Q$9)</f>
        <v>Unknown</v>
      </c>
      <c r="Q102" t="str">
        <f>LOOKUP(F102,Sheet2!$S$4:$T$8)</f>
        <v>36+</v>
      </c>
      <c r="R102" t="str">
        <f>LOOKUP(G102,Sheet2!$V$4:$W$7)</f>
        <v>0.7+</v>
      </c>
      <c r="S102" t="str">
        <f>LOOKUP(H102,Sheet2!$Z$4:$AA$7)</f>
        <v>26-35</v>
      </c>
      <c r="T102" t="str">
        <f t="shared" si="3"/>
        <v>Positive</v>
      </c>
      <c r="U102" t="str">
        <f t="shared" si="4"/>
        <v>Not Sampled</v>
      </c>
      <c r="V102" s="1" t="str">
        <f t="shared" si="5"/>
        <v>Not Sampled</v>
      </c>
    </row>
    <row r="103" spans="1:22" x14ac:dyDescent="0.25">
      <c r="A103" s="1">
        <v>1</v>
      </c>
      <c r="B103" s="1">
        <v>151</v>
      </c>
      <c r="C103" s="1">
        <v>60</v>
      </c>
      <c r="D103" s="1">
        <v>0</v>
      </c>
      <c r="E103" s="1">
        <v>0</v>
      </c>
      <c r="F103" s="1">
        <v>26.1</v>
      </c>
      <c r="G103" s="1">
        <v>0.17899999999999999</v>
      </c>
      <c r="H103" s="1">
        <v>22</v>
      </c>
      <c r="I103" s="1">
        <v>0</v>
      </c>
      <c r="J103" s="1">
        <f>IFERROR(VLOOKUP(K103,[1]diabetes_Recognition!$A:$B,2,FALSE),"Not Sampled")</f>
        <v>0</v>
      </c>
      <c r="K103" s="1">
        <v>101</v>
      </c>
      <c r="L103" s="1">
        <f>LOOKUP(A103,Sheet2!$D$4:$E$9)</f>
        <v>1</v>
      </c>
      <c r="M103" t="str">
        <f>LOOKUP(B103,Sheet2!$G$4:$H$9)</f>
        <v>151-175</v>
      </c>
      <c r="N103" t="str">
        <f>LOOKUP(C103,Sheet2!$J$4:$K$8)</f>
        <v>60-69</v>
      </c>
      <c r="O103" t="str">
        <f>LOOKUP(D103,Sheet2!$M$4:$N$8)</f>
        <v>Unknown</v>
      </c>
      <c r="P103" t="str">
        <f>LOOKUP(E103,Sheet2!$P$4:$Q$9)</f>
        <v>Unknown</v>
      </c>
      <c r="Q103" t="str">
        <f>LOOKUP(F103,Sheet2!$S$4:$T$8)</f>
        <v>26-30</v>
      </c>
      <c r="R103" t="str">
        <f>LOOKUP(G103,Sheet2!$V$4:$W$7)</f>
        <v>0.0 - 0.249</v>
      </c>
      <c r="S103" t="str">
        <f>LOOKUP(H103,Sheet2!$Z$4:$AA$7)</f>
        <v>&lt;=25</v>
      </c>
      <c r="T103" t="str">
        <f t="shared" si="3"/>
        <v>Negative</v>
      </c>
      <c r="U103" t="str">
        <f t="shared" si="4"/>
        <v>Negative</v>
      </c>
      <c r="V103" s="1" t="str">
        <f t="shared" si="5"/>
        <v>Accurate Prediction</v>
      </c>
    </row>
    <row r="104" spans="1:22" x14ac:dyDescent="0.25">
      <c r="A104" s="1">
        <v>0</v>
      </c>
      <c r="B104" s="1">
        <v>125</v>
      </c>
      <c r="C104" s="1">
        <v>96</v>
      </c>
      <c r="D104" s="1">
        <v>0</v>
      </c>
      <c r="E104" s="1">
        <v>0</v>
      </c>
      <c r="F104" s="1">
        <v>22.5</v>
      </c>
      <c r="G104" s="1">
        <v>0.26200000000000001</v>
      </c>
      <c r="H104" s="1">
        <v>21</v>
      </c>
      <c r="I104" s="1">
        <v>0</v>
      </c>
      <c r="J104" s="1">
        <f>IFERROR(VLOOKUP(K104,[1]diabetes_Recognition!$A:$B,2,FALSE),"Not Sampled")</f>
        <v>0</v>
      </c>
      <c r="K104" s="1">
        <v>102</v>
      </c>
      <c r="L104" s="1">
        <f>LOOKUP(A104,Sheet2!$D$4:$E$9)</f>
        <v>0</v>
      </c>
      <c r="M104" t="str">
        <f>LOOKUP(B104,Sheet2!$G$4:$H$9)</f>
        <v>100-125</v>
      </c>
      <c r="N104" t="str">
        <f>LOOKUP(C104,Sheet2!$J$4:$K$8)</f>
        <v>80+</v>
      </c>
      <c r="O104" t="str">
        <f>LOOKUP(D104,Sheet2!$M$4:$N$8)</f>
        <v>Unknown</v>
      </c>
      <c r="P104" t="str">
        <f>LOOKUP(E104,Sheet2!$P$4:$Q$9)</f>
        <v>Unknown</v>
      </c>
      <c r="Q104" t="str">
        <f>LOOKUP(F104,Sheet2!$S$4:$T$8)</f>
        <v>1-25</v>
      </c>
      <c r="R104" t="str">
        <f>LOOKUP(G104,Sheet2!$V$4:$W$7)</f>
        <v>0.25 - 0.39</v>
      </c>
      <c r="S104" t="str">
        <f>LOOKUP(H104,Sheet2!$Z$4:$AA$7)</f>
        <v>&lt;=25</v>
      </c>
      <c r="T104" t="str">
        <f t="shared" si="3"/>
        <v>Negative</v>
      </c>
      <c r="U104" t="str">
        <f t="shared" si="4"/>
        <v>Negative</v>
      </c>
      <c r="V104" s="1" t="str">
        <f t="shared" si="5"/>
        <v>Accurate Prediction</v>
      </c>
    </row>
    <row r="105" spans="1:22" x14ac:dyDescent="0.25">
      <c r="A105" s="1">
        <v>1</v>
      </c>
      <c r="B105" s="1">
        <v>81</v>
      </c>
      <c r="C105" s="1">
        <v>72</v>
      </c>
      <c r="D105" s="1">
        <v>18</v>
      </c>
      <c r="E105" s="1">
        <v>40</v>
      </c>
      <c r="F105" s="1">
        <v>26.6</v>
      </c>
      <c r="G105" s="1">
        <v>0.28299999999999997</v>
      </c>
      <c r="H105" s="1">
        <v>24</v>
      </c>
      <c r="I105" s="1">
        <v>0</v>
      </c>
      <c r="J105" s="1" t="str">
        <f>IFERROR(VLOOKUP(K105,[1]diabetes_Recognition!$A:$B,2,FALSE),"Not Sampled")</f>
        <v>Not Sampled</v>
      </c>
      <c r="K105" s="1">
        <v>103</v>
      </c>
      <c r="L105" s="1">
        <f>LOOKUP(A105,Sheet2!$D$4:$E$9)</f>
        <v>1</v>
      </c>
      <c r="M105" t="str">
        <f>LOOKUP(B105,Sheet2!$G$4:$H$9)</f>
        <v>1-99</v>
      </c>
      <c r="N105" t="str">
        <f>LOOKUP(C105,Sheet2!$J$4:$K$8)</f>
        <v>70-79</v>
      </c>
      <c r="O105" t="str">
        <f>LOOKUP(D105,Sheet2!$M$4:$N$8)</f>
        <v>10-30</v>
      </c>
      <c r="P105" t="str">
        <f>LOOKUP(E105,Sheet2!$P$4:$Q$9)</f>
        <v>1-99</v>
      </c>
      <c r="Q105" t="str">
        <f>LOOKUP(F105,Sheet2!$S$4:$T$8)</f>
        <v>26-30</v>
      </c>
      <c r="R105" t="str">
        <f>LOOKUP(G105,Sheet2!$V$4:$W$7)</f>
        <v>0.25 - 0.39</v>
      </c>
      <c r="S105" t="str">
        <f>LOOKUP(H105,Sheet2!$Z$4:$AA$7)</f>
        <v>&lt;=25</v>
      </c>
      <c r="T105" t="str">
        <f t="shared" si="3"/>
        <v>Negative</v>
      </c>
      <c r="U105" t="str">
        <f t="shared" si="4"/>
        <v>Not Sampled</v>
      </c>
      <c r="V105" s="1" t="str">
        <f t="shared" si="5"/>
        <v>Not Sampled</v>
      </c>
    </row>
    <row r="106" spans="1:22" x14ac:dyDescent="0.25">
      <c r="A106" s="1">
        <v>2</v>
      </c>
      <c r="B106" s="1">
        <v>85</v>
      </c>
      <c r="C106" s="1">
        <v>65</v>
      </c>
      <c r="D106" s="1">
        <v>0</v>
      </c>
      <c r="E106" s="1">
        <v>0</v>
      </c>
      <c r="F106" s="1">
        <v>39.6</v>
      </c>
      <c r="G106" s="1">
        <v>0.93</v>
      </c>
      <c r="H106" s="1">
        <v>27</v>
      </c>
      <c r="I106" s="1">
        <v>0</v>
      </c>
      <c r="J106" s="1">
        <f>IFERROR(VLOOKUP(K106,[1]diabetes_Recognition!$A:$B,2,FALSE),"Not Sampled")</f>
        <v>0</v>
      </c>
      <c r="K106" s="1">
        <v>104</v>
      </c>
      <c r="L106" s="1">
        <f>LOOKUP(A106,Sheet2!$D$4:$E$9)</f>
        <v>2</v>
      </c>
      <c r="M106" t="str">
        <f>LOOKUP(B106,Sheet2!$G$4:$H$9)</f>
        <v>1-99</v>
      </c>
      <c r="N106" t="str">
        <f>LOOKUP(C106,Sheet2!$J$4:$K$8)</f>
        <v>60-69</v>
      </c>
      <c r="O106" t="str">
        <f>LOOKUP(D106,Sheet2!$M$4:$N$8)</f>
        <v>Unknown</v>
      </c>
      <c r="P106" t="str">
        <f>LOOKUP(E106,Sheet2!$P$4:$Q$9)</f>
        <v>Unknown</v>
      </c>
      <c r="Q106" t="str">
        <f>LOOKUP(F106,Sheet2!$S$4:$T$8)</f>
        <v>36+</v>
      </c>
      <c r="R106" t="str">
        <f>LOOKUP(G106,Sheet2!$V$4:$W$7)</f>
        <v>0.7+</v>
      </c>
      <c r="S106" t="str">
        <f>LOOKUP(H106,Sheet2!$Z$4:$AA$7)</f>
        <v>26-35</v>
      </c>
      <c r="T106" t="str">
        <f t="shared" si="3"/>
        <v>Negative</v>
      </c>
      <c r="U106" t="str">
        <f t="shared" si="4"/>
        <v>Negative</v>
      </c>
      <c r="V106" s="1" t="str">
        <f t="shared" si="5"/>
        <v>Accurate Prediction</v>
      </c>
    </row>
    <row r="107" spans="1:22" x14ac:dyDescent="0.25">
      <c r="A107" s="1">
        <v>1</v>
      </c>
      <c r="B107" s="1">
        <v>126</v>
      </c>
      <c r="C107" s="1">
        <v>56</v>
      </c>
      <c r="D107" s="1">
        <v>29</v>
      </c>
      <c r="E107" s="1">
        <v>152</v>
      </c>
      <c r="F107" s="1">
        <v>28.7</v>
      </c>
      <c r="G107" s="1">
        <v>0.80100000000000005</v>
      </c>
      <c r="H107" s="1">
        <v>21</v>
      </c>
      <c r="I107" s="1">
        <v>0</v>
      </c>
      <c r="J107" s="1" t="str">
        <f>IFERROR(VLOOKUP(K107,[1]diabetes_Recognition!$A:$B,2,FALSE),"Not Sampled")</f>
        <v>Not Sampled</v>
      </c>
      <c r="K107" s="1">
        <v>105</v>
      </c>
      <c r="L107" s="1">
        <f>LOOKUP(A107,Sheet2!$D$4:$E$9)</f>
        <v>1</v>
      </c>
      <c r="M107" t="str">
        <f>LOOKUP(B107,Sheet2!$G$4:$H$9)</f>
        <v>126-150</v>
      </c>
      <c r="N107" t="str">
        <f>LOOKUP(C107,Sheet2!$J$4:$K$8)</f>
        <v>1-59</v>
      </c>
      <c r="O107" t="str">
        <f>LOOKUP(D107,Sheet2!$M$4:$N$8)</f>
        <v>10-30</v>
      </c>
      <c r="P107" t="str">
        <f>LOOKUP(E107,Sheet2!$P$4:$Q$9)</f>
        <v>100-199</v>
      </c>
      <c r="Q107" t="str">
        <f>LOOKUP(F107,Sheet2!$S$4:$T$8)</f>
        <v>26-30</v>
      </c>
      <c r="R107" t="str">
        <f>LOOKUP(G107,Sheet2!$V$4:$W$7)</f>
        <v>0.7+</v>
      </c>
      <c r="S107" t="str">
        <f>LOOKUP(H107,Sheet2!$Z$4:$AA$7)</f>
        <v>&lt;=25</v>
      </c>
      <c r="T107" t="str">
        <f t="shared" si="3"/>
        <v>Negative</v>
      </c>
      <c r="U107" t="str">
        <f t="shared" si="4"/>
        <v>Not Sampled</v>
      </c>
      <c r="V107" s="1" t="str">
        <f t="shared" si="5"/>
        <v>Not Sampled</v>
      </c>
    </row>
    <row r="108" spans="1:22" x14ac:dyDescent="0.25">
      <c r="A108" s="1">
        <v>1</v>
      </c>
      <c r="B108" s="1">
        <v>96</v>
      </c>
      <c r="C108" s="1">
        <v>122</v>
      </c>
      <c r="D108" s="1">
        <v>0</v>
      </c>
      <c r="E108" s="1">
        <v>0</v>
      </c>
      <c r="F108" s="1">
        <v>22.4</v>
      </c>
      <c r="G108" s="1">
        <v>0.20699999999999999</v>
      </c>
      <c r="H108" s="1">
        <v>27</v>
      </c>
      <c r="I108" s="1">
        <v>0</v>
      </c>
      <c r="J108" s="1" t="str">
        <f>IFERROR(VLOOKUP(K108,[1]diabetes_Recognition!$A:$B,2,FALSE),"Not Sampled")</f>
        <v>Not Sampled</v>
      </c>
      <c r="K108" s="1">
        <v>106</v>
      </c>
      <c r="L108" s="1">
        <f>LOOKUP(A108,Sheet2!$D$4:$E$9)</f>
        <v>1</v>
      </c>
      <c r="M108" t="str">
        <f>LOOKUP(B108,Sheet2!$G$4:$H$9)</f>
        <v>1-99</v>
      </c>
      <c r="N108" t="str">
        <f>LOOKUP(C108,Sheet2!$J$4:$K$8)</f>
        <v>80+</v>
      </c>
      <c r="O108" t="str">
        <f>LOOKUP(D108,Sheet2!$M$4:$N$8)</f>
        <v>Unknown</v>
      </c>
      <c r="P108" t="str">
        <f>LOOKUP(E108,Sheet2!$P$4:$Q$9)</f>
        <v>Unknown</v>
      </c>
      <c r="Q108" t="str">
        <f>LOOKUP(F108,Sheet2!$S$4:$T$8)</f>
        <v>1-25</v>
      </c>
      <c r="R108" t="str">
        <f>LOOKUP(G108,Sheet2!$V$4:$W$7)</f>
        <v>0.0 - 0.249</v>
      </c>
      <c r="S108" t="str">
        <f>LOOKUP(H108,Sheet2!$Z$4:$AA$7)</f>
        <v>26-35</v>
      </c>
      <c r="T108" t="str">
        <f t="shared" si="3"/>
        <v>Negative</v>
      </c>
      <c r="U108" t="str">
        <f t="shared" si="4"/>
        <v>Not Sampled</v>
      </c>
      <c r="V108" s="1" t="str">
        <f t="shared" si="5"/>
        <v>Not Sampled</v>
      </c>
    </row>
    <row r="109" spans="1:22" x14ac:dyDescent="0.25">
      <c r="A109" s="1">
        <v>4</v>
      </c>
      <c r="B109" s="1">
        <v>144</v>
      </c>
      <c r="C109" s="1">
        <v>58</v>
      </c>
      <c r="D109" s="1">
        <v>28</v>
      </c>
      <c r="E109" s="1">
        <v>140</v>
      </c>
      <c r="F109" s="1">
        <v>29.5</v>
      </c>
      <c r="G109" s="1">
        <v>0.28699999999999998</v>
      </c>
      <c r="H109" s="1">
        <v>37</v>
      </c>
      <c r="I109" s="1">
        <v>0</v>
      </c>
      <c r="J109" s="1">
        <f>IFERROR(VLOOKUP(K109,[1]diabetes_Recognition!$A:$B,2,FALSE),"Not Sampled")</f>
        <v>0</v>
      </c>
      <c r="K109" s="1">
        <v>107</v>
      </c>
      <c r="L109" s="1" t="str">
        <f>LOOKUP(A109,Sheet2!$D$4:$E$9)</f>
        <v>3-4</v>
      </c>
      <c r="M109" t="str">
        <f>LOOKUP(B109,Sheet2!$G$4:$H$9)</f>
        <v>126-150</v>
      </c>
      <c r="N109" t="str">
        <f>LOOKUP(C109,Sheet2!$J$4:$K$8)</f>
        <v>1-59</v>
      </c>
      <c r="O109" t="str">
        <f>LOOKUP(D109,Sheet2!$M$4:$N$8)</f>
        <v>10-30</v>
      </c>
      <c r="P109" t="str">
        <f>LOOKUP(E109,Sheet2!$P$4:$Q$9)</f>
        <v>100-199</v>
      </c>
      <c r="Q109" t="str">
        <f>LOOKUP(F109,Sheet2!$S$4:$T$8)</f>
        <v>26-30</v>
      </c>
      <c r="R109" t="str">
        <f>LOOKUP(G109,Sheet2!$V$4:$W$7)</f>
        <v>0.25 - 0.39</v>
      </c>
      <c r="S109" t="str">
        <f>LOOKUP(H109,Sheet2!$Z$4:$AA$7)</f>
        <v>36-45</v>
      </c>
      <c r="T109" t="str">
        <f t="shared" si="3"/>
        <v>Negative</v>
      </c>
      <c r="U109" t="str">
        <f t="shared" si="4"/>
        <v>Negative</v>
      </c>
      <c r="V109" s="1" t="str">
        <f t="shared" si="5"/>
        <v>Accurate Prediction</v>
      </c>
    </row>
    <row r="110" spans="1:22" x14ac:dyDescent="0.25">
      <c r="A110" s="1">
        <v>3</v>
      </c>
      <c r="B110" s="1">
        <v>83</v>
      </c>
      <c r="C110" s="1">
        <v>58</v>
      </c>
      <c r="D110" s="1">
        <v>31</v>
      </c>
      <c r="E110" s="1">
        <v>18</v>
      </c>
      <c r="F110" s="1">
        <v>34.299999999999997</v>
      </c>
      <c r="G110" s="1">
        <v>0.33600000000000002</v>
      </c>
      <c r="H110" s="1">
        <v>25</v>
      </c>
      <c r="I110" s="1">
        <v>0</v>
      </c>
      <c r="J110" s="1">
        <f>IFERROR(VLOOKUP(K110,[1]diabetes_Recognition!$A:$B,2,FALSE),"Not Sampled")</f>
        <v>0</v>
      </c>
      <c r="K110" s="1">
        <v>108</v>
      </c>
      <c r="L110" s="1" t="str">
        <f>LOOKUP(A110,Sheet2!$D$4:$E$9)</f>
        <v>3-4</v>
      </c>
      <c r="M110" t="str">
        <f>LOOKUP(B110,Sheet2!$G$4:$H$9)</f>
        <v>1-99</v>
      </c>
      <c r="N110" t="str">
        <f>LOOKUP(C110,Sheet2!$J$4:$K$8)</f>
        <v>1-59</v>
      </c>
      <c r="O110" t="str">
        <f>LOOKUP(D110,Sheet2!$M$4:$N$8)</f>
        <v>30-39</v>
      </c>
      <c r="P110" t="str">
        <f>LOOKUP(E110,Sheet2!$P$4:$Q$9)</f>
        <v>1-99</v>
      </c>
      <c r="Q110" t="str">
        <f>LOOKUP(F110,Sheet2!$S$4:$T$8)</f>
        <v>31-35</v>
      </c>
      <c r="R110" t="str">
        <f>LOOKUP(G110,Sheet2!$V$4:$W$7)</f>
        <v>0.25 - 0.39</v>
      </c>
      <c r="S110" t="str">
        <f>LOOKUP(H110,Sheet2!$Z$4:$AA$7)</f>
        <v>&lt;=25</v>
      </c>
      <c r="T110" t="str">
        <f t="shared" si="3"/>
        <v>Negative</v>
      </c>
      <c r="U110" t="str">
        <f t="shared" si="4"/>
        <v>Negative</v>
      </c>
      <c r="V110" s="1" t="str">
        <f t="shared" si="5"/>
        <v>Accurate Prediction</v>
      </c>
    </row>
    <row r="111" spans="1:22" x14ac:dyDescent="0.25">
      <c r="A111" s="1">
        <v>0</v>
      </c>
      <c r="B111" s="1">
        <v>95</v>
      </c>
      <c r="C111" s="1">
        <v>85</v>
      </c>
      <c r="D111" s="1">
        <v>25</v>
      </c>
      <c r="E111" s="1">
        <v>36</v>
      </c>
      <c r="F111" s="1">
        <v>37.4</v>
      </c>
      <c r="G111" s="1">
        <v>0.247</v>
      </c>
      <c r="H111" s="1">
        <v>24</v>
      </c>
      <c r="I111" s="1">
        <v>1</v>
      </c>
      <c r="J111" s="1" t="str">
        <f>IFERROR(VLOOKUP(K111,[1]diabetes_Recognition!$A:$B,2,FALSE),"Not Sampled")</f>
        <v>Not Sampled</v>
      </c>
      <c r="K111" s="1">
        <v>109</v>
      </c>
      <c r="L111" s="1">
        <f>LOOKUP(A111,Sheet2!$D$4:$E$9)</f>
        <v>0</v>
      </c>
      <c r="M111" t="str">
        <f>LOOKUP(B111,Sheet2!$G$4:$H$9)</f>
        <v>1-99</v>
      </c>
      <c r="N111" t="str">
        <f>LOOKUP(C111,Sheet2!$J$4:$K$8)</f>
        <v>80+</v>
      </c>
      <c r="O111" t="str">
        <f>LOOKUP(D111,Sheet2!$M$4:$N$8)</f>
        <v>10-30</v>
      </c>
      <c r="P111" t="str">
        <f>LOOKUP(E111,Sheet2!$P$4:$Q$9)</f>
        <v>1-99</v>
      </c>
      <c r="Q111" t="str">
        <f>LOOKUP(F111,Sheet2!$S$4:$T$8)</f>
        <v>36+</v>
      </c>
      <c r="R111" t="str">
        <f>LOOKUP(G111,Sheet2!$V$4:$W$7)</f>
        <v>0.0 - 0.249</v>
      </c>
      <c r="S111" t="str">
        <f>LOOKUP(H111,Sheet2!$Z$4:$AA$7)</f>
        <v>&lt;=25</v>
      </c>
      <c r="T111" t="str">
        <f t="shared" si="3"/>
        <v>Positive</v>
      </c>
      <c r="U111" t="str">
        <f t="shared" si="4"/>
        <v>Not Sampled</v>
      </c>
      <c r="V111" s="1" t="str">
        <f t="shared" si="5"/>
        <v>Not Sampled</v>
      </c>
    </row>
    <row r="112" spans="1:22" x14ac:dyDescent="0.25">
      <c r="A112" s="1">
        <v>3</v>
      </c>
      <c r="B112" s="1">
        <v>171</v>
      </c>
      <c r="C112" s="1">
        <v>72</v>
      </c>
      <c r="D112" s="1">
        <v>33</v>
      </c>
      <c r="E112" s="1">
        <v>135</v>
      </c>
      <c r="F112" s="1">
        <v>33.299999999999997</v>
      </c>
      <c r="G112" s="1">
        <v>0.19900000000000001</v>
      </c>
      <c r="H112" s="1">
        <v>24</v>
      </c>
      <c r="I112" s="1">
        <v>1</v>
      </c>
      <c r="J112" s="1" t="str">
        <f>IFERROR(VLOOKUP(K112,[1]diabetes_Recognition!$A:$B,2,FALSE),"Not Sampled")</f>
        <v>Not Sampled</v>
      </c>
      <c r="K112" s="1">
        <v>110</v>
      </c>
      <c r="L112" s="1" t="str">
        <f>LOOKUP(A112,Sheet2!$D$4:$E$9)</f>
        <v>3-4</v>
      </c>
      <c r="M112" t="str">
        <f>LOOKUP(B112,Sheet2!$G$4:$H$9)</f>
        <v>151-175</v>
      </c>
      <c r="N112" t="str">
        <f>LOOKUP(C112,Sheet2!$J$4:$K$8)</f>
        <v>70-79</v>
      </c>
      <c r="O112" t="str">
        <f>LOOKUP(D112,Sheet2!$M$4:$N$8)</f>
        <v>30-39</v>
      </c>
      <c r="P112" t="str">
        <f>LOOKUP(E112,Sheet2!$P$4:$Q$9)</f>
        <v>100-199</v>
      </c>
      <c r="Q112" t="str">
        <f>LOOKUP(F112,Sheet2!$S$4:$T$8)</f>
        <v>31-35</v>
      </c>
      <c r="R112" t="str">
        <f>LOOKUP(G112,Sheet2!$V$4:$W$7)</f>
        <v>0.0 - 0.249</v>
      </c>
      <c r="S112" t="str">
        <f>LOOKUP(H112,Sheet2!$Z$4:$AA$7)</f>
        <v>&lt;=25</v>
      </c>
      <c r="T112" t="str">
        <f t="shared" si="3"/>
        <v>Positive</v>
      </c>
      <c r="U112" t="str">
        <f t="shared" si="4"/>
        <v>Not Sampled</v>
      </c>
      <c r="V112" s="1" t="str">
        <f t="shared" si="5"/>
        <v>Not Sampled</v>
      </c>
    </row>
    <row r="113" spans="1:22" x14ac:dyDescent="0.25">
      <c r="A113" s="1">
        <v>8</v>
      </c>
      <c r="B113" s="1">
        <v>155</v>
      </c>
      <c r="C113" s="1">
        <v>62</v>
      </c>
      <c r="D113" s="1">
        <v>26</v>
      </c>
      <c r="E113" s="1">
        <v>495</v>
      </c>
      <c r="F113" s="1">
        <v>34</v>
      </c>
      <c r="G113" s="1">
        <v>0.54300000000000004</v>
      </c>
      <c r="H113" s="1">
        <v>46</v>
      </c>
      <c r="I113" s="1">
        <v>1</v>
      </c>
      <c r="J113" s="1">
        <f>IFERROR(VLOOKUP(K113,[1]diabetes_Recognition!$A:$B,2,FALSE),"Not Sampled")</f>
        <v>1</v>
      </c>
      <c r="K113" s="1">
        <v>111</v>
      </c>
      <c r="L113" s="1" t="str">
        <f>LOOKUP(A113,Sheet2!$D$4:$E$9)</f>
        <v>8+</v>
      </c>
      <c r="M113" t="str">
        <f>LOOKUP(B113,Sheet2!$G$4:$H$9)</f>
        <v>151-175</v>
      </c>
      <c r="N113" t="str">
        <f>LOOKUP(C113,Sheet2!$J$4:$K$8)</f>
        <v>60-69</v>
      </c>
      <c r="O113" t="str">
        <f>LOOKUP(D113,Sheet2!$M$4:$N$8)</f>
        <v>10-30</v>
      </c>
      <c r="P113" t="str">
        <f>LOOKUP(E113,Sheet2!$P$4:$Q$9)</f>
        <v>300-499</v>
      </c>
      <c r="Q113" t="str">
        <f>LOOKUP(F113,Sheet2!$S$4:$T$8)</f>
        <v>31-35</v>
      </c>
      <c r="R113" t="str">
        <f>LOOKUP(G113,Sheet2!$V$4:$W$7)</f>
        <v>0.4 - 0.69</v>
      </c>
      <c r="S113" t="str">
        <f>LOOKUP(H113,Sheet2!$Z$4:$AA$7)</f>
        <v>46+</v>
      </c>
      <c r="T113" t="str">
        <f t="shared" si="3"/>
        <v>Positive</v>
      </c>
      <c r="U113" t="str">
        <f t="shared" si="4"/>
        <v>Positive</v>
      </c>
      <c r="V113" s="1" t="str">
        <f t="shared" si="5"/>
        <v>Accurate Prediction</v>
      </c>
    </row>
    <row r="114" spans="1:22" x14ac:dyDescent="0.25">
      <c r="A114" s="1">
        <v>1</v>
      </c>
      <c r="B114" s="1">
        <v>89</v>
      </c>
      <c r="C114" s="1">
        <v>76</v>
      </c>
      <c r="D114" s="1">
        <v>34</v>
      </c>
      <c r="E114" s="1">
        <v>37</v>
      </c>
      <c r="F114" s="1">
        <v>31.2</v>
      </c>
      <c r="G114" s="1">
        <v>0.192</v>
      </c>
      <c r="H114" s="1">
        <v>23</v>
      </c>
      <c r="I114" s="1">
        <v>0</v>
      </c>
      <c r="J114" s="1" t="str">
        <f>IFERROR(VLOOKUP(K114,[1]diabetes_Recognition!$A:$B,2,FALSE),"Not Sampled")</f>
        <v>Not Sampled</v>
      </c>
      <c r="K114" s="1">
        <v>112</v>
      </c>
      <c r="L114" s="1">
        <f>LOOKUP(A114,Sheet2!$D$4:$E$9)</f>
        <v>1</v>
      </c>
      <c r="M114" t="str">
        <f>LOOKUP(B114,Sheet2!$G$4:$H$9)</f>
        <v>1-99</v>
      </c>
      <c r="N114" t="str">
        <f>LOOKUP(C114,Sheet2!$J$4:$K$8)</f>
        <v>70-79</v>
      </c>
      <c r="O114" t="str">
        <f>LOOKUP(D114,Sheet2!$M$4:$N$8)</f>
        <v>30-39</v>
      </c>
      <c r="P114" t="str">
        <f>LOOKUP(E114,Sheet2!$P$4:$Q$9)</f>
        <v>1-99</v>
      </c>
      <c r="Q114" t="str">
        <f>LOOKUP(F114,Sheet2!$S$4:$T$8)</f>
        <v>31-35</v>
      </c>
      <c r="R114" t="str">
        <f>LOOKUP(G114,Sheet2!$V$4:$W$7)</f>
        <v>0.0 - 0.249</v>
      </c>
      <c r="S114" t="str">
        <f>LOOKUP(H114,Sheet2!$Z$4:$AA$7)</f>
        <v>&lt;=25</v>
      </c>
      <c r="T114" t="str">
        <f t="shared" si="3"/>
        <v>Negative</v>
      </c>
      <c r="U114" t="str">
        <f t="shared" si="4"/>
        <v>Not Sampled</v>
      </c>
      <c r="V114" s="1" t="str">
        <f t="shared" si="5"/>
        <v>Not Sampled</v>
      </c>
    </row>
    <row r="115" spans="1:22" x14ac:dyDescent="0.25">
      <c r="A115" s="1">
        <v>4</v>
      </c>
      <c r="B115" s="1">
        <v>76</v>
      </c>
      <c r="C115" s="1">
        <v>62</v>
      </c>
      <c r="D115" s="1">
        <v>0</v>
      </c>
      <c r="E115" s="1">
        <v>0</v>
      </c>
      <c r="F115" s="1">
        <v>34</v>
      </c>
      <c r="G115" s="1">
        <v>0.39100000000000001</v>
      </c>
      <c r="H115" s="1">
        <v>25</v>
      </c>
      <c r="I115" s="1">
        <v>0</v>
      </c>
      <c r="J115" s="1" t="str">
        <f>IFERROR(VLOOKUP(K115,[1]diabetes_Recognition!$A:$B,2,FALSE),"Not Sampled")</f>
        <v>Not Sampled</v>
      </c>
      <c r="K115" s="1">
        <v>113</v>
      </c>
      <c r="L115" s="1" t="str">
        <f>LOOKUP(A115,Sheet2!$D$4:$E$9)</f>
        <v>3-4</v>
      </c>
      <c r="M115" t="str">
        <f>LOOKUP(B115,Sheet2!$G$4:$H$9)</f>
        <v>1-99</v>
      </c>
      <c r="N115" t="str">
        <f>LOOKUP(C115,Sheet2!$J$4:$K$8)</f>
        <v>60-69</v>
      </c>
      <c r="O115" t="str">
        <f>LOOKUP(D115,Sheet2!$M$4:$N$8)</f>
        <v>Unknown</v>
      </c>
      <c r="P115" t="str">
        <f>LOOKUP(E115,Sheet2!$P$4:$Q$9)</f>
        <v>Unknown</v>
      </c>
      <c r="Q115" t="str">
        <f>LOOKUP(F115,Sheet2!$S$4:$T$8)</f>
        <v>31-35</v>
      </c>
      <c r="R115" t="str">
        <f>LOOKUP(G115,Sheet2!$V$4:$W$7)</f>
        <v>0.25 - 0.39</v>
      </c>
      <c r="S115" t="str">
        <f>LOOKUP(H115,Sheet2!$Z$4:$AA$7)</f>
        <v>&lt;=25</v>
      </c>
      <c r="T115" t="str">
        <f t="shared" si="3"/>
        <v>Negative</v>
      </c>
      <c r="U115" t="str">
        <f t="shared" si="4"/>
        <v>Not Sampled</v>
      </c>
      <c r="V115" s="1" t="str">
        <f t="shared" si="5"/>
        <v>Not Sampled</v>
      </c>
    </row>
    <row r="116" spans="1:22" x14ac:dyDescent="0.25">
      <c r="A116" s="1">
        <v>7</v>
      </c>
      <c r="B116" s="1">
        <v>160</v>
      </c>
      <c r="C116" s="1">
        <v>54</v>
      </c>
      <c r="D116" s="1">
        <v>32</v>
      </c>
      <c r="E116" s="1">
        <v>175</v>
      </c>
      <c r="F116" s="1">
        <v>30.5</v>
      </c>
      <c r="G116" s="1">
        <v>0.58799999999999997</v>
      </c>
      <c r="H116" s="1">
        <v>39</v>
      </c>
      <c r="I116" s="1">
        <v>1</v>
      </c>
      <c r="J116" s="1" t="str">
        <f>IFERROR(VLOOKUP(K116,[1]diabetes_Recognition!$A:$B,2,FALSE),"Not Sampled")</f>
        <v>Not Sampled</v>
      </c>
      <c r="K116" s="1">
        <v>114</v>
      </c>
      <c r="L116" s="1" t="str">
        <f>LOOKUP(A116,Sheet2!$D$4:$E$9)</f>
        <v>5-7</v>
      </c>
      <c r="M116" t="str">
        <f>LOOKUP(B116,Sheet2!$G$4:$H$9)</f>
        <v>151-175</v>
      </c>
      <c r="N116" t="str">
        <f>LOOKUP(C116,Sheet2!$J$4:$K$8)</f>
        <v>1-59</v>
      </c>
      <c r="O116" t="str">
        <f>LOOKUP(D116,Sheet2!$M$4:$N$8)</f>
        <v>30-39</v>
      </c>
      <c r="P116" t="str">
        <f>LOOKUP(E116,Sheet2!$P$4:$Q$9)</f>
        <v>100-199</v>
      </c>
      <c r="Q116" t="str">
        <f>LOOKUP(F116,Sheet2!$S$4:$T$8)</f>
        <v>26-30</v>
      </c>
      <c r="R116" t="str">
        <f>LOOKUP(G116,Sheet2!$V$4:$W$7)</f>
        <v>0.4 - 0.69</v>
      </c>
      <c r="S116" t="str">
        <f>LOOKUP(H116,Sheet2!$Z$4:$AA$7)</f>
        <v>36-45</v>
      </c>
      <c r="T116" t="str">
        <f t="shared" si="3"/>
        <v>Positive</v>
      </c>
      <c r="U116" t="str">
        <f t="shared" si="4"/>
        <v>Not Sampled</v>
      </c>
      <c r="V116" s="1" t="str">
        <f t="shared" si="5"/>
        <v>Not Sampled</v>
      </c>
    </row>
    <row r="117" spans="1:22" x14ac:dyDescent="0.25">
      <c r="A117" s="1">
        <v>4</v>
      </c>
      <c r="B117" s="1">
        <v>146</v>
      </c>
      <c r="C117" s="1">
        <v>92</v>
      </c>
      <c r="D117" s="1">
        <v>0</v>
      </c>
      <c r="E117" s="1">
        <v>0</v>
      </c>
      <c r="F117" s="1">
        <v>31.2</v>
      </c>
      <c r="G117" s="1">
        <v>0.53900000000000003</v>
      </c>
      <c r="H117" s="1">
        <v>61</v>
      </c>
      <c r="I117" s="1">
        <v>1</v>
      </c>
      <c r="J117" s="1">
        <f>IFERROR(VLOOKUP(K117,[1]diabetes_Recognition!$A:$B,2,FALSE),"Not Sampled")</f>
        <v>1</v>
      </c>
      <c r="K117" s="1">
        <v>115</v>
      </c>
      <c r="L117" s="1" t="str">
        <f>LOOKUP(A117,Sheet2!$D$4:$E$9)</f>
        <v>3-4</v>
      </c>
      <c r="M117" t="str">
        <f>LOOKUP(B117,Sheet2!$G$4:$H$9)</f>
        <v>126-150</v>
      </c>
      <c r="N117" t="str">
        <f>LOOKUP(C117,Sheet2!$J$4:$K$8)</f>
        <v>80+</v>
      </c>
      <c r="O117" t="str">
        <f>LOOKUP(D117,Sheet2!$M$4:$N$8)</f>
        <v>Unknown</v>
      </c>
      <c r="P117" t="str">
        <f>LOOKUP(E117,Sheet2!$P$4:$Q$9)</f>
        <v>Unknown</v>
      </c>
      <c r="Q117" t="str">
        <f>LOOKUP(F117,Sheet2!$S$4:$T$8)</f>
        <v>31-35</v>
      </c>
      <c r="R117" t="str">
        <f>LOOKUP(G117,Sheet2!$V$4:$W$7)</f>
        <v>0.4 - 0.69</v>
      </c>
      <c r="S117" t="str">
        <f>LOOKUP(H117,Sheet2!$Z$4:$AA$7)</f>
        <v>46+</v>
      </c>
      <c r="T117" t="str">
        <f t="shared" si="3"/>
        <v>Positive</v>
      </c>
      <c r="U117" t="str">
        <f t="shared" si="4"/>
        <v>Positive</v>
      </c>
      <c r="V117" s="1" t="str">
        <f t="shared" si="5"/>
        <v>Accurate Prediction</v>
      </c>
    </row>
    <row r="118" spans="1:22" x14ac:dyDescent="0.25">
      <c r="A118" s="1">
        <v>5</v>
      </c>
      <c r="B118" s="1">
        <v>124</v>
      </c>
      <c r="C118" s="1">
        <v>74</v>
      </c>
      <c r="D118" s="1">
        <v>0</v>
      </c>
      <c r="E118" s="1">
        <v>0</v>
      </c>
      <c r="F118" s="1">
        <v>34</v>
      </c>
      <c r="G118" s="1">
        <v>0.22</v>
      </c>
      <c r="H118" s="1">
        <v>38</v>
      </c>
      <c r="I118" s="1">
        <v>1</v>
      </c>
      <c r="J118" s="1" t="str">
        <f>IFERROR(VLOOKUP(K118,[1]diabetes_Recognition!$A:$B,2,FALSE),"Not Sampled")</f>
        <v>Not Sampled</v>
      </c>
      <c r="K118" s="1">
        <v>116</v>
      </c>
      <c r="L118" s="1" t="str">
        <f>LOOKUP(A118,Sheet2!$D$4:$E$9)</f>
        <v>5-7</v>
      </c>
      <c r="M118" t="str">
        <f>LOOKUP(B118,Sheet2!$G$4:$H$9)</f>
        <v>100-125</v>
      </c>
      <c r="N118" t="str">
        <f>LOOKUP(C118,Sheet2!$J$4:$K$8)</f>
        <v>70-79</v>
      </c>
      <c r="O118" t="str">
        <f>LOOKUP(D118,Sheet2!$M$4:$N$8)</f>
        <v>Unknown</v>
      </c>
      <c r="P118" t="str">
        <f>LOOKUP(E118,Sheet2!$P$4:$Q$9)</f>
        <v>Unknown</v>
      </c>
      <c r="Q118" t="str">
        <f>LOOKUP(F118,Sheet2!$S$4:$T$8)</f>
        <v>31-35</v>
      </c>
      <c r="R118" t="str">
        <f>LOOKUP(G118,Sheet2!$V$4:$W$7)</f>
        <v>0.0 - 0.249</v>
      </c>
      <c r="S118" t="str">
        <f>LOOKUP(H118,Sheet2!$Z$4:$AA$7)</f>
        <v>36-45</v>
      </c>
      <c r="T118" t="str">
        <f t="shared" si="3"/>
        <v>Positive</v>
      </c>
      <c r="U118" t="str">
        <f t="shared" si="4"/>
        <v>Not Sampled</v>
      </c>
      <c r="V118" s="1" t="str">
        <f t="shared" si="5"/>
        <v>Not Sampled</v>
      </c>
    </row>
    <row r="119" spans="1:22" x14ac:dyDescent="0.25">
      <c r="A119" s="1">
        <v>5</v>
      </c>
      <c r="B119" s="1">
        <v>78</v>
      </c>
      <c r="C119" s="1">
        <v>48</v>
      </c>
      <c r="D119" s="1">
        <v>0</v>
      </c>
      <c r="E119" s="1">
        <v>0</v>
      </c>
      <c r="F119" s="1">
        <v>33.700000000000003</v>
      </c>
      <c r="G119" s="1">
        <v>0.65400000000000003</v>
      </c>
      <c r="H119" s="1">
        <v>25</v>
      </c>
      <c r="I119" s="1">
        <v>0</v>
      </c>
      <c r="J119" s="1" t="str">
        <f>IFERROR(VLOOKUP(K119,[1]diabetes_Recognition!$A:$B,2,FALSE),"Not Sampled")</f>
        <v>Not Sampled</v>
      </c>
      <c r="K119" s="1">
        <v>117</v>
      </c>
      <c r="L119" s="1" t="str">
        <f>LOOKUP(A119,Sheet2!$D$4:$E$9)</f>
        <v>5-7</v>
      </c>
      <c r="M119" t="str">
        <f>LOOKUP(B119,Sheet2!$G$4:$H$9)</f>
        <v>1-99</v>
      </c>
      <c r="N119" t="str">
        <f>LOOKUP(C119,Sheet2!$J$4:$K$8)</f>
        <v>1-59</v>
      </c>
      <c r="O119" t="str">
        <f>LOOKUP(D119,Sheet2!$M$4:$N$8)</f>
        <v>Unknown</v>
      </c>
      <c r="P119" t="str">
        <f>LOOKUP(E119,Sheet2!$P$4:$Q$9)</f>
        <v>Unknown</v>
      </c>
      <c r="Q119" t="str">
        <f>LOOKUP(F119,Sheet2!$S$4:$T$8)</f>
        <v>31-35</v>
      </c>
      <c r="R119" t="str">
        <f>LOOKUP(G119,Sheet2!$V$4:$W$7)</f>
        <v>0.4 - 0.69</v>
      </c>
      <c r="S119" t="str">
        <f>LOOKUP(H119,Sheet2!$Z$4:$AA$7)</f>
        <v>&lt;=25</v>
      </c>
      <c r="T119" t="str">
        <f t="shared" si="3"/>
        <v>Negative</v>
      </c>
      <c r="U119" t="str">
        <f t="shared" si="4"/>
        <v>Not Sampled</v>
      </c>
      <c r="V119" s="1" t="str">
        <f t="shared" si="5"/>
        <v>Not Sampled</v>
      </c>
    </row>
    <row r="120" spans="1:22" x14ac:dyDescent="0.25">
      <c r="A120" s="1">
        <v>4</v>
      </c>
      <c r="B120" s="1">
        <v>97</v>
      </c>
      <c r="C120" s="1">
        <v>60</v>
      </c>
      <c r="D120" s="1">
        <v>23</v>
      </c>
      <c r="E120" s="1">
        <v>0</v>
      </c>
      <c r="F120" s="1">
        <v>28.2</v>
      </c>
      <c r="G120" s="1">
        <v>0.443</v>
      </c>
      <c r="H120" s="1">
        <v>22</v>
      </c>
      <c r="I120" s="1">
        <v>0</v>
      </c>
      <c r="J120" s="1" t="str">
        <f>IFERROR(VLOOKUP(K120,[1]diabetes_Recognition!$A:$B,2,FALSE),"Not Sampled")</f>
        <v>Not Sampled</v>
      </c>
      <c r="K120" s="1">
        <v>118</v>
      </c>
      <c r="L120" s="1" t="str">
        <f>LOOKUP(A120,Sheet2!$D$4:$E$9)</f>
        <v>3-4</v>
      </c>
      <c r="M120" t="str">
        <f>LOOKUP(B120,Sheet2!$G$4:$H$9)</f>
        <v>1-99</v>
      </c>
      <c r="N120" t="str">
        <f>LOOKUP(C120,Sheet2!$J$4:$K$8)</f>
        <v>60-69</v>
      </c>
      <c r="O120" t="str">
        <f>LOOKUP(D120,Sheet2!$M$4:$N$8)</f>
        <v>10-30</v>
      </c>
      <c r="P120" t="str">
        <f>LOOKUP(E120,Sheet2!$P$4:$Q$9)</f>
        <v>Unknown</v>
      </c>
      <c r="Q120" t="str">
        <f>LOOKUP(F120,Sheet2!$S$4:$T$8)</f>
        <v>26-30</v>
      </c>
      <c r="R120" t="str">
        <f>LOOKUP(G120,Sheet2!$V$4:$W$7)</f>
        <v>0.4 - 0.69</v>
      </c>
      <c r="S120" t="str">
        <f>LOOKUP(H120,Sheet2!$Z$4:$AA$7)</f>
        <v>&lt;=25</v>
      </c>
      <c r="T120" t="str">
        <f t="shared" si="3"/>
        <v>Negative</v>
      </c>
      <c r="U120" t="str">
        <f t="shared" si="4"/>
        <v>Not Sampled</v>
      </c>
      <c r="V120" s="1" t="str">
        <f t="shared" si="5"/>
        <v>Not Sampled</v>
      </c>
    </row>
    <row r="121" spans="1:22" x14ac:dyDescent="0.25">
      <c r="A121" s="1">
        <v>4</v>
      </c>
      <c r="B121" s="1">
        <v>99</v>
      </c>
      <c r="C121" s="1">
        <v>76</v>
      </c>
      <c r="D121" s="1">
        <v>15</v>
      </c>
      <c r="E121" s="1">
        <v>51</v>
      </c>
      <c r="F121" s="1">
        <v>23.2</v>
      </c>
      <c r="G121" s="1">
        <v>0.223</v>
      </c>
      <c r="H121" s="1">
        <v>21</v>
      </c>
      <c r="I121" s="1">
        <v>0</v>
      </c>
      <c r="J121" s="1">
        <f>IFERROR(VLOOKUP(K121,[1]diabetes_Recognition!$A:$B,2,FALSE),"Not Sampled")</f>
        <v>0</v>
      </c>
      <c r="K121" s="1">
        <v>119</v>
      </c>
      <c r="L121" s="1" t="str">
        <f>LOOKUP(A121,Sheet2!$D$4:$E$9)</f>
        <v>3-4</v>
      </c>
      <c r="M121" t="str">
        <f>LOOKUP(B121,Sheet2!$G$4:$H$9)</f>
        <v>1-99</v>
      </c>
      <c r="N121" t="str">
        <f>LOOKUP(C121,Sheet2!$J$4:$K$8)</f>
        <v>70-79</v>
      </c>
      <c r="O121" t="str">
        <f>LOOKUP(D121,Sheet2!$M$4:$N$8)</f>
        <v>10-30</v>
      </c>
      <c r="P121" t="str">
        <f>LOOKUP(E121,Sheet2!$P$4:$Q$9)</f>
        <v>1-99</v>
      </c>
      <c r="Q121" t="str">
        <f>LOOKUP(F121,Sheet2!$S$4:$T$8)</f>
        <v>1-25</v>
      </c>
      <c r="R121" t="str">
        <f>LOOKUP(G121,Sheet2!$V$4:$W$7)</f>
        <v>0.0 - 0.249</v>
      </c>
      <c r="S121" t="str">
        <f>LOOKUP(H121,Sheet2!$Z$4:$AA$7)</f>
        <v>&lt;=25</v>
      </c>
      <c r="T121" t="str">
        <f t="shared" si="3"/>
        <v>Negative</v>
      </c>
      <c r="U121" t="str">
        <f t="shared" si="4"/>
        <v>Negative</v>
      </c>
      <c r="V121" s="1" t="str">
        <f t="shared" si="5"/>
        <v>Accurate Prediction</v>
      </c>
    </row>
    <row r="122" spans="1:22" x14ac:dyDescent="0.25">
      <c r="A122" s="1">
        <v>0</v>
      </c>
      <c r="B122" s="1">
        <v>162</v>
      </c>
      <c r="C122" s="1">
        <v>76</v>
      </c>
      <c r="D122" s="1">
        <v>56</v>
      </c>
      <c r="E122" s="1">
        <v>100</v>
      </c>
      <c r="F122" s="1">
        <v>53.2</v>
      </c>
      <c r="G122" s="1">
        <v>0.75900000000000001</v>
      </c>
      <c r="H122" s="1">
        <v>25</v>
      </c>
      <c r="I122" s="1">
        <v>1</v>
      </c>
      <c r="J122" s="1">
        <f>IFERROR(VLOOKUP(K122,[1]diabetes_Recognition!$A:$B,2,FALSE),"Not Sampled")</f>
        <v>1</v>
      </c>
      <c r="K122" s="1">
        <v>120</v>
      </c>
      <c r="L122" s="1">
        <f>LOOKUP(A122,Sheet2!$D$4:$E$9)</f>
        <v>0</v>
      </c>
      <c r="M122" t="str">
        <f>LOOKUP(B122,Sheet2!$G$4:$H$9)</f>
        <v>151-175</v>
      </c>
      <c r="N122" t="str">
        <f>LOOKUP(C122,Sheet2!$J$4:$K$8)</f>
        <v>70-79</v>
      </c>
      <c r="O122" t="str">
        <f>LOOKUP(D122,Sheet2!$M$4:$N$8)</f>
        <v>40+</v>
      </c>
      <c r="P122" t="str">
        <f>LOOKUP(E122,Sheet2!$P$4:$Q$9)</f>
        <v>100-199</v>
      </c>
      <c r="Q122" t="str">
        <f>LOOKUP(F122,Sheet2!$S$4:$T$8)</f>
        <v>36+</v>
      </c>
      <c r="R122" t="str">
        <f>LOOKUP(G122,Sheet2!$V$4:$W$7)</f>
        <v>0.7+</v>
      </c>
      <c r="S122" t="str">
        <f>LOOKUP(H122,Sheet2!$Z$4:$AA$7)</f>
        <v>&lt;=25</v>
      </c>
      <c r="T122" t="str">
        <f t="shared" si="3"/>
        <v>Positive</v>
      </c>
      <c r="U122" t="str">
        <f t="shared" si="4"/>
        <v>Positive</v>
      </c>
      <c r="V122" s="1" t="str">
        <f t="shared" si="5"/>
        <v>Accurate Prediction</v>
      </c>
    </row>
    <row r="123" spans="1:22" x14ac:dyDescent="0.25">
      <c r="A123" s="1">
        <v>6</v>
      </c>
      <c r="B123" s="1">
        <v>111</v>
      </c>
      <c r="C123" s="1">
        <v>64</v>
      </c>
      <c r="D123" s="1">
        <v>39</v>
      </c>
      <c r="E123" s="1">
        <v>0</v>
      </c>
      <c r="F123" s="1">
        <v>34.200000000000003</v>
      </c>
      <c r="G123" s="1">
        <v>0.26</v>
      </c>
      <c r="H123" s="1">
        <v>24</v>
      </c>
      <c r="I123" s="1">
        <v>0</v>
      </c>
      <c r="J123" s="1" t="str">
        <f>IFERROR(VLOOKUP(K123,[1]diabetes_Recognition!$A:$B,2,FALSE),"Not Sampled")</f>
        <v>Not Sampled</v>
      </c>
      <c r="K123" s="1">
        <v>121</v>
      </c>
      <c r="L123" s="1" t="str">
        <f>LOOKUP(A123,Sheet2!$D$4:$E$9)</f>
        <v>5-7</v>
      </c>
      <c r="M123" t="str">
        <f>LOOKUP(B123,Sheet2!$G$4:$H$9)</f>
        <v>100-125</v>
      </c>
      <c r="N123" t="str">
        <f>LOOKUP(C123,Sheet2!$J$4:$K$8)</f>
        <v>60-69</v>
      </c>
      <c r="O123" t="str">
        <f>LOOKUP(D123,Sheet2!$M$4:$N$8)</f>
        <v>30-39</v>
      </c>
      <c r="P123" t="str">
        <f>LOOKUP(E123,Sheet2!$P$4:$Q$9)</f>
        <v>Unknown</v>
      </c>
      <c r="Q123" t="str">
        <f>LOOKUP(F123,Sheet2!$S$4:$T$8)</f>
        <v>31-35</v>
      </c>
      <c r="R123" t="str">
        <f>LOOKUP(G123,Sheet2!$V$4:$W$7)</f>
        <v>0.25 - 0.39</v>
      </c>
      <c r="S123" t="str">
        <f>LOOKUP(H123,Sheet2!$Z$4:$AA$7)</f>
        <v>&lt;=25</v>
      </c>
      <c r="T123" t="str">
        <f t="shared" si="3"/>
        <v>Negative</v>
      </c>
      <c r="U123" t="str">
        <f t="shared" si="4"/>
        <v>Not Sampled</v>
      </c>
      <c r="V123" s="1" t="str">
        <f t="shared" si="5"/>
        <v>Not Sampled</v>
      </c>
    </row>
    <row r="124" spans="1:22" x14ac:dyDescent="0.25">
      <c r="A124" s="1">
        <v>2</v>
      </c>
      <c r="B124" s="1">
        <v>107</v>
      </c>
      <c r="C124" s="1">
        <v>74</v>
      </c>
      <c r="D124" s="1">
        <v>30</v>
      </c>
      <c r="E124" s="1">
        <v>100</v>
      </c>
      <c r="F124" s="1">
        <v>33.6</v>
      </c>
      <c r="G124" s="1">
        <v>0.40400000000000003</v>
      </c>
      <c r="H124" s="1">
        <v>23</v>
      </c>
      <c r="I124" s="1">
        <v>0</v>
      </c>
      <c r="J124" s="1" t="str">
        <f>IFERROR(VLOOKUP(K124,[1]diabetes_Recognition!$A:$B,2,FALSE),"Not Sampled")</f>
        <v>Not Sampled</v>
      </c>
      <c r="K124" s="1">
        <v>122</v>
      </c>
      <c r="L124" s="1">
        <f>LOOKUP(A124,Sheet2!$D$4:$E$9)</f>
        <v>2</v>
      </c>
      <c r="M124" t="str">
        <f>LOOKUP(B124,Sheet2!$G$4:$H$9)</f>
        <v>100-125</v>
      </c>
      <c r="N124" t="str">
        <f>LOOKUP(C124,Sheet2!$J$4:$K$8)</f>
        <v>70-79</v>
      </c>
      <c r="O124" t="str">
        <f>LOOKUP(D124,Sheet2!$M$4:$N$8)</f>
        <v>30-39</v>
      </c>
      <c r="P124" t="str">
        <f>LOOKUP(E124,Sheet2!$P$4:$Q$9)</f>
        <v>100-199</v>
      </c>
      <c r="Q124" t="str">
        <f>LOOKUP(F124,Sheet2!$S$4:$T$8)</f>
        <v>31-35</v>
      </c>
      <c r="R124" t="str">
        <f>LOOKUP(G124,Sheet2!$V$4:$W$7)</f>
        <v>0.4 - 0.69</v>
      </c>
      <c r="S124" t="str">
        <f>LOOKUP(H124,Sheet2!$Z$4:$AA$7)</f>
        <v>&lt;=25</v>
      </c>
      <c r="T124" t="str">
        <f t="shared" si="3"/>
        <v>Negative</v>
      </c>
      <c r="U124" t="str">
        <f t="shared" si="4"/>
        <v>Not Sampled</v>
      </c>
      <c r="V124" s="1" t="str">
        <f t="shared" si="5"/>
        <v>Not Sampled</v>
      </c>
    </row>
    <row r="125" spans="1:22" x14ac:dyDescent="0.25">
      <c r="A125" s="1">
        <v>5</v>
      </c>
      <c r="B125" s="1">
        <v>132</v>
      </c>
      <c r="C125" s="1">
        <v>80</v>
      </c>
      <c r="D125" s="1">
        <v>0</v>
      </c>
      <c r="E125" s="1">
        <v>0</v>
      </c>
      <c r="F125" s="1">
        <v>26.8</v>
      </c>
      <c r="G125" s="1">
        <v>0.186</v>
      </c>
      <c r="H125" s="1">
        <v>69</v>
      </c>
      <c r="I125" s="1">
        <v>0</v>
      </c>
      <c r="J125" s="1" t="str">
        <f>IFERROR(VLOOKUP(K125,[1]diabetes_Recognition!$A:$B,2,FALSE),"Not Sampled")</f>
        <v>Not Sampled</v>
      </c>
      <c r="K125" s="1">
        <v>123</v>
      </c>
      <c r="L125" s="1" t="str">
        <f>LOOKUP(A125,Sheet2!$D$4:$E$9)</f>
        <v>5-7</v>
      </c>
      <c r="M125" t="str">
        <f>LOOKUP(B125,Sheet2!$G$4:$H$9)</f>
        <v>126-150</v>
      </c>
      <c r="N125" t="str">
        <f>LOOKUP(C125,Sheet2!$J$4:$K$8)</f>
        <v>80+</v>
      </c>
      <c r="O125" t="str">
        <f>LOOKUP(D125,Sheet2!$M$4:$N$8)</f>
        <v>Unknown</v>
      </c>
      <c r="P125" t="str">
        <f>LOOKUP(E125,Sheet2!$P$4:$Q$9)</f>
        <v>Unknown</v>
      </c>
      <c r="Q125" t="str">
        <f>LOOKUP(F125,Sheet2!$S$4:$T$8)</f>
        <v>26-30</v>
      </c>
      <c r="R125" t="str">
        <f>LOOKUP(G125,Sheet2!$V$4:$W$7)</f>
        <v>0.0 - 0.249</v>
      </c>
      <c r="S125" t="str">
        <f>LOOKUP(H125,Sheet2!$Z$4:$AA$7)</f>
        <v>46+</v>
      </c>
      <c r="T125" t="str">
        <f t="shared" si="3"/>
        <v>Negative</v>
      </c>
      <c r="U125" t="str">
        <f t="shared" si="4"/>
        <v>Not Sampled</v>
      </c>
      <c r="V125" s="1" t="str">
        <f t="shared" si="5"/>
        <v>Not Sampled</v>
      </c>
    </row>
    <row r="126" spans="1:22" x14ac:dyDescent="0.25">
      <c r="A126" s="1">
        <v>0</v>
      </c>
      <c r="B126" s="1">
        <v>113</v>
      </c>
      <c r="C126" s="1">
        <v>76</v>
      </c>
      <c r="D126" s="1">
        <v>0</v>
      </c>
      <c r="E126" s="1">
        <v>0</v>
      </c>
      <c r="F126" s="1">
        <v>33.299999999999997</v>
      </c>
      <c r="G126" s="1">
        <v>0.27800000000000002</v>
      </c>
      <c r="H126" s="1">
        <v>23</v>
      </c>
      <c r="I126" s="1">
        <v>1</v>
      </c>
      <c r="J126" s="1" t="str">
        <f>IFERROR(VLOOKUP(K126,[1]diabetes_Recognition!$A:$B,2,FALSE),"Not Sampled")</f>
        <v>Not Sampled</v>
      </c>
      <c r="K126" s="1">
        <v>124</v>
      </c>
      <c r="L126" s="1">
        <f>LOOKUP(A126,Sheet2!$D$4:$E$9)</f>
        <v>0</v>
      </c>
      <c r="M126" t="str">
        <f>LOOKUP(B126,Sheet2!$G$4:$H$9)</f>
        <v>100-125</v>
      </c>
      <c r="N126" t="str">
        <f>LOOKUP(C126,Sheet2!$J$4:$K$8)</f>
        <v>70-79</v>
      </c>
      <c r="O126" t="str">
        <f>LOOKUP(D126,Sheet2!$M$4:$N$8)</f>
        <v>Unknown</v>
      </c>
      <c r="P126" t="str">
        <f>LOOKUP(E126,Sheet2!$P$4:$Q$9)</f>
        <v>Unknown</v>
      </c>
      <c r="Q126" t="str">
        <f>LOOKUP(F126,Sheet2!$S$4:$T$8)</f>
        <v>31-35</v>
      </c>
      <c r="R126" t="str">
        <f>LOOKUP(G126,Sheet2!$V$4:$W$7)</f>
        <v>0.25 - 0.39</v>
      </c>
      <c r="S126" t="str">
        <f>LOOKUP(H126,Sheet2!$Z$4:$AA$7)</f>
        <v>&lt;=25</v>
      </c>
      <c r="T126" t="str">
        <f t="shared" si="3"/>
        <v>Positive</v>
      </c>
      <c r="U126" t="str">
        <f t="shared" si="4"/>
        <v>Not Sampled</v>
      </c>
      <c r="V126" s="1" t="str">
        <f t="shared" si="5"/>
        <v>Not Sampled</v>
      </c>
    </row>
    <row r="127" spans="1:22" x14ac:dyDescent="0.25">
      <c r="A127" s="1">
        <v>1</v>
      </c>
      <c r="B127" s="1">
        <v>88</v>
      </c>
      <c r="C127" s="1">
        <v>30</v>
      </c>
      <c r="D127" s="1">
        <v>42</v>
      </c>
      <c r="E127" s="1">
        <v>99</v>
      </c>
      <c r="F127" s="1">
        <v>55</v>
      </c>
      <c r="G127" s="1">
        <v>0.496</v>
      </c>
      <c r="H127" s="1">
        <v>26</v>
      </c>
      <c r="I127" s="1">
        <v>1</v>
      </c>
      <c r="J127" s="1" t="str">
        <f>IFERROR(VLOOKUP(K127,[1]diabetes_Recognition!$A:$B,2,FALSE),"Not Sampled")</f>
        <v>Not Sampled</v>
      </c>
      <c r="K127" s="1">
        <v>125</v>
      </c>
      <c r="L127" s="1">
        <f>LOOKUP(A127,Sheet2!$D$4:$E$9)</f>
        <v>1</v>
      </c>
      <c r="M127" t="str">
        <f>LOOKUP(B127,Sheet2!$G$4:$H$9)</f>
        <v>1-99</v>
      </c>
      <c r="N127" t="str">
        <f>LOOKUP(C127,Sheet2!$J$4:$K$8)</f>
        <v>1-59</v>
      </c>
      <c r="O127" t="str">
        <f>LOOKUP(D127,Sheet2!$M$4:$N$8)</f>
        <v>40+</v>
      </c>
      <c r="P127" t="str">
        <f>LOOKUP(E127,Sheet2!$P$4:$Q$9)</f>
        <v>1-99</v>
      </c>
      <c r="Q127" t="str">
        <f>LOOKUP(F127,Sheet2!$S$4:$T$8)</f>
        <v>36+</v>
      </c>
      <c r="R127" t="str">
        <f>LOOKUP(G127,Sheet2!$V$4:$W$7)</f>
        <v>0.4 - 0.69</v>
      </c>
      <c r="S127" t="str">
        <f>LOOKUP(H127,Sheet2!$Z$4:$AA$7)</f>
        <v>26-35</v>
      </c>
      <c r="T127" t="str">
        <f t="shared" si="3"/>
        <v>Positive</v>
      </c>
      <c r="U127" t="str">
        <f t="shared" si="4"/>
        <v>Not Sampled</v>
      </c>
      <c r="V127" s="1" t="str">
        <f t="shared" si="5"/>
        <v>Not Sampled</v>
      </c>
    </row>
    <row r="128" spans="1:22" x14ac:dyDescent="0.25">
      <c r="A128" s="1">
        <v>3</v>
      </c>
      <c r="B128" s="1">
        <v>120</v>
      </c>
      <c r="C128" s="1">
        <v>70</v>
      </c>
      <c r="D128" s="1">
        <v>30</v>
      </c>
      <c r="E128" s="1">
        <v>135</v>
      </c>
      <c r="F128" s="1">
        <v>42.9</v>
      </c>
      <c r="G128" s="1">
        <v>0.45200000000000001</v>
      </c>
      <c r="H128" s="1">
        <v>30</v>
      </c>
      <c r="I128" s="1">
        <v>0</v>
      </c>
      <c r="J128" s="1">
        <f>IFERROR(VLOOKUP(K128,[1]diabetes_Recognition!$A:$B,2,FALSE),"Not Sampled")</f>
        <v>0</v>
      </c>
      <c r="K128" s="1">
        <v>126</v>
      </c>
      <c r="L128" s="1" t="str">
        <f>LOOKUP(A128,Sheet2!$D$4:$E$9)</f>
        <v>3-4</v>
      </c>
      <c r="M128" t="str">
        <f>LOOKUP(B128,Sheet2!$G$4:$H$9)</f>
        <v>100-125</v>
      </c>
      <c r="N128" t="str">
        <f>LOOKUP(C128,Sheet2!$J$4:$K$8)</f>
        <v>70-79</v>
      </c>
      <c r="O128" t="str">
        <f>LOOKUP(D128,Sheet2!$M$4:$N$8)</f>
        <v>30-39</v>
      </c>
      <c r="P128" t="str">
        <f>LOOKUP(E128,Sheet2!$P$4:$Q$9)</f>
        <v>100-199</v>
      </c>
      <c r="Q128" t="str">
        <f>LOOKUP(F128,Sheet2!$S$4:$T$8)</f>
        <v>36+</v>
      </c>
      <c r="R128" t="str">
        <f>LOOKUP(G128,Sheet2!$V$4:$W$7)</f>
        <v>0.4 - 0.69</v>
      </c>
      <c r="S128" t="str">
        <f>LOOKUP(H128,Sheet2!$Z$4:$AA$7)</f>
        <v>26-35</v>
      </c>
      <c r="T128" t="str">
        <f t="shared" si="3"/>
        <v>Negative</v>
      </c>
      <c r="U128" t="str">
        <f t="shared" si="4"/>
        <v>Negative</v>
      </c>
      <c r="V128" s="1" t="str">
        <f t="shared" si="5"/>
        <v>Accurate Prediction</v>
      </c>
    </row>
    <row r="129" spans="1:22" x14ac:dyDescent="0.25">
      <c r="A129" s="1">
        <v>1</v>
      </c>
      <c r="B129" s="1">
        <v>118</v>
      </c>
      <c r="C129" s="1">
        <v>58</v>
      </c>
      <c r="D129" s="1">
        <v>36</v>
      </c>
      <c r="E129" s="1">
        <v>94</v>
      </c>
      <c r="F129" s="1">
        <v>33.299999999999997</v>
      </c>
      <c r="G129" s="1">
        <v>0.26100000000000001</v>
      </c>
      <c r="H129" s="1">
        <v>23</v>
      </c>
      <c r="I129" s="1">
        <v>0</v>
      </c>
      <c r="J129" s="1" t="str">
        <f>IFERROR(VLOOKUP(K129,[1]diabetes_Recognition!$A:$B,2,FALSE),"Not Sampled")</f>
        <v>Not Sampled</v>
      </c>
      <c r="K129" s="1">
        <v>127</v>
      </c>
      <c r="L129" s="1">
        <f>LOOKUP(A129,Sheet2!$D$4:$E$9)</f>
        <v>1</v>
      </c>
      <c r="M129" t="str">
        <f>LOOKUP(B129,Sheet2!$G$4:$H$9)</f>
        <v>100-125</v>
      </c>
      <c r="N129" t="str">
        <f>LOOKUP(C129,Sheet2!$J$4:$K$8)</f>
        <v>1-59</v>
      </c>
      <c r="O129" t="str">
        <f>LOOKUP(D129,Sheet2!$M$4:$N$8)</f>
        <v>30-39</v>
      </c>
      <c r="P129" t="str">
        <f>LOOKUP(E129,Sheet2!$P$4:$Q$9)</f>
        <v>1-99</v>
      </c>
      <c r="Q129" t="str">
        <f>LOOKUP(F129,Sheet2!$S$4:$T$8)</f>
        <v>31-35</v>
      </c>
      <c r="R129" t="str">
        <f>LOOKUP(G129,Sheet2!$V$4:$W$7)</f>
        <v>0.25 - 0.39</v>
      </c>
      <c r="S129" t="str">
        <f>LOOKUP(H129,Sheet2!$Z$4:$AA$7)</f>
        <v>&lt;=25</v>
      </c>
      <c r="T129" t="str">
        <f t="shared" si="3"/>
        <v>Negative</v>
      </c>
      <c r="U129" t="str">
        <f t="shared" si="4"/>
        <v>Not Sampled</v>
      </c>
      <c r="V129" s="1" t="str">
        <f t="shared" si="5"/>
        <v>Not Sampled</v>
      </c>
    </row>
    <row r="130" spans="1:22" x14ac:dyDescent="0.25">
      <c r="A130" s="1">
        <v>1</v>
      </c>
      <c r="B130" s="1">
        <v>117</v>
      </c>
      <c r="C130" s="1">
        <v>88</v>
      </c>
      <c r="D130" s="1">
        <v>24</v>
      </c>
      <c r="E130" s="1">
        <v>145</v>
      </c>
      <c r="F130" s="1">
        <v>34.5</v>
      </c>
      <c r="G130" s="1">
        <v>0.40300000000000002</v>
      </c>
      <c r="H130" s="1">
        <v>40</v>
      </c>
      <c r="I130" s="1">
        <v>1</v>
      </c>
      <c r="J130" s="1" t="str">
        <f>IFERROR(VLOOKUP(K130,[1]diabetes_Recognition!$A:$B,2,FALSE),"Not Sampled")</f>
        <v>Not Sampled</v>
      </c>
      <c r="K130" s="1">
        <v>128</v>
      </c>
      <c r="L130" s="1">
        <f>LOOKUP(A130,Sheet2!$D$4:$E$9)</f>
        <v>1</v>
      </c>
      <c r="M130" t="str">
        <f>LOOKUP(B130,Sheet2!$G$4:$H$9)</f>
        <v>100-125</v>
      </c>
      <c r="N130" t="str">
        <f>LOOKUP(C130,Sheet2!$J$4:$K$8)</f>
        <v>80+</v>
      </c>
      <c r="O130" t="str">
        <f>LOOKUP(D130,Sheet2!$M$4:$N$8)</f>
        <v>10-30</v>
      </c>
      <c r="P130" t="str">
        <f>LOOKUP(E130,Sheet2!$P$4:$Q$9)</f>
        <v>100-199</v>
      </c>
      <c r="Q130" t="str">
        <f>LOOKUP(F130,Sheet2!$S$4:$T$8)</f>
        <v>31-35</v>
      </c>
      <c r="R130" t="str">
        <f>LOOKUP(G130,Sheet2!$V$4:$W$7)</f>
        <v>0.4 - 0.69</v>
      </c>
      <c r="S130" t="str">
        <f>LOOKUP(H130,Sheet2!$Z$4:$AA$7)</f>
        <v>36-45</v>
      </c>
      <c r="T130" t="str">
        <f t="shared" si="3"/>
        <v>Positive</v>
      </c>
      <c r="U130" t="str">
        <f t="shared" si="4"/>
        <v>Not Sampled</v>
      </c>
      <c r="V130" s="1" t="str">
        <f t="shared" si="5"/>
        <v>Not Sampled</v>
      </c>
    </row>
    <row r="131" spans="1:22" x14ac:dyDescent="0.25">
      <c r="A131" s="1">
        <v>0</v>
      </c>
      <c r="B131" s="1">
        <v>105</v>
      </c>
      <c r="C131" s="1">
        <v>84</v>
      </c>
      <c r="D131" s="1">
        <v>0</v>
      </c>
      <c r="E131" s="1">
        <v>0</v>
      </c>
      <c r="F131" s="1">
        <v>27.9</v>
      </c>
      <c r="G131" s="1">
        <v>0.74099999999999999</v>
      </c>
      <c r="H131" s="1">
        <v>62</v>
      </c>
      <c r="I131" s="1">
        <v>1</v>
      </c>
      <c r="J131" s="1" t="str">
        <f>IFERROR(VLOOKUP(K131,[1]diabetes_Recognition!$A:$B,2,FALSE),"Not Sampled")</f>
        <v>Not Sampled</v>
      </c>
      <c r="K131" s="1">
        <v>129</v>
      </c>
      <c r="L131" s="1">
        <f>LOOKUP(A131,Sheet2!$D$4:$E$9)</f>
        <v>0</v>
      </c>
      <c r="M131" t="str">
        <f>LOOKUP(B131,Sheet2!$G$4:$H$9)</f>
        <v>100-125</v>
      </c>
      <c r="N131" t="str">
        <f>LOOKUP(C131,Sheet2!$J$4:$K$8)</f>
        <v>80+</v>
      </c>
      <c r="O131" t="str">
        <f>LOOKUP(D131,Sheet2!$M$4:$N$8)</f>
        <v>Unknown</v>
      </c>
      <c r="P131" t="str">
        <f>LOOKUP(E131,Sheet2!$P$4:$Q$9)</f>
        <v>Unknown</v>
      </c>
      <c r="Q131" t="str">
        <f>LOOKUP(F131,Sheet2!$S$4:$T$8)</f>
        <v>26-30</v>
      </c>
      <c r="R131" t="str">
        <f>LOOKUP(G131,Sheet2!$V$4:$W$7)</f>
        <v>0.7+</v>
      </c>
      <c r="S131" t="str">
        <f>LOOKUP(H131,Sheet2!$Z$4:$AA$7)</f>
        <v>46+</v>
      </c>
      <c r="T131" t="str">
        <f t="shared" ref="T131:T194" si="6">IF(I131=1,"Positive","Negative")</f>
        <v>Positive</v>
      </c>
      <c r="U131" t="str">
        <f t="shared" ref="U131:U194" si="7">IF(J131=1,"Positive",(IF(J131=0,"Negative","Not Sampled")))</f>
        <v>Not Sampled</v>
      </c>
      <c r="V131" s="1" t="str">
        <f t="shared" ref="V131:V194" si="8">IF(U131="Not Sampled","Not Sampled",IF(T131=U131,"Accurate Prediction","Inaccurate Prediction"))</f>
        <v>Not Sampled</v>
      </c>
    </row>
    <row r="132" spans="1:22" x14ac:dyDescent="0.25">
      <c r="A132" s="1">
        <v>4</v>
      </c>
      <c r="B132" s="1">
        <v>173</v>
      </c>
      <c r="C132" s="1">
        <v>70</v>
      </c>
      <c r="D132" s="1">
        <v>14</v>
      </c>
      <c r="E132" s="1">
        <v>168</v>
      </c>
      <c r="F132" s="1">
        <v>29.7</v>
      </c>
      <c r="G132" s="1">
        <v>0.36099999999999999</v>
      </c>
      <c r="H132" s="1">
        <v>33</v>
      </c>
      <c r="I132" s="1">
        <v>1</v>
      </c>
      <c r="J132" s="1" t="str">
        <f>IFERROR(VLOOKUP(K132,[1]diabetes_Recognition!$A:$B,2,FALSE),"Not Sampled")</f>
        <v>Not Sampled</v>
      </c>
      <c r="K132" s="1">
        <v>130</v>
      </c>
      <c r="L132" s="1" t="str">
        <f>LOOKUP(A132,Sheet2!$D$4:$E$9)</f>
        <v>3-4</v>
      </c>
      <c r="M132" t="str">
        <f>LOOKUP(B132,Sheet2!$G$4:$H$9)</f>
        <v>151-175</v>
      </c>
      <c r="N132" t="str">
        <f>LOOKUP(C132,Sheet2!$J$4:$K$8)</f>
        <v>70-79</v>
      </c>
      <c r="O132" t="str">
        <f>LOOKUP(D132,Sheet2!$M$4:$N$8)</f>
        <v>10-30</v>
      </c>
      <c r="P132" t="str">
        <f>LOOKUP(E132,Sheet2!$P$4:$Q$9)</f>
        <v>100-199</v>
      </c>
      <c r="Q132" t="str">
        <f>LOOKUP(F132,Sheet2!$S$4:$T$8)</f>
        <v>26-30</v>
      </c>
      <c r="R132" t="str">
        <f>LOOKUP(G132,Sheet2!$V$4:$W$7)</f>
        <v>0.25 - 0.39</v>
      </c>
      <c r="S132" t="str">
        <f>LOOKUP(H132,Sheet2!$Z$4:$AA$7)</f>
        <v>26-35</v>
      </c>
      <c r="T132" t="str">
        <f t="shared" si="6"/>
        <v>Positive</v>
      </c>
      <c r="U132" t="str">
        <f t="shared" si="7"/>
        <v>Not Sampled</v>
      </c>
      <c r="V132" s="1" t="str">
        <f t="shared" si="8"/>
        <v>Not Sampled</v>
      </c>
    </row>
    <row r="133" spans="1:22" x14ac:dyDescent="0.25">
      <c r="A133" s="1">
        <v>9</v>
      </c>
      <c r="B133" s="1">
        <v>122</v>
      </c>
      <c r="C133" s="1">
        <v>56</v>
      </c>
      <c r="D133" s="1">
        <v>0</v>
      </c>
      <c r="E133" s="1">
        <v>0</v>
      </c>
      <c r="F133" s="1">
        <v>33.299999999999997</v>
      </c>
      <c r="G133" s="1">
        <v>1.1140000000000001</v>
      </c>
      <c r="H133" s="1">
        <v>33</v>
      </c>
      <c r="I133" s="1">
        <v>1</v>
      </c>
      <c r="J133" s="1" t="str">
        <f>IFERROR(VLOOKUP(K133,[1]diabetes_Recognition!$A:$B,2,FALSE),"Not Sampled")</f>
        <v>Not Sampled</v>
      </c>
      <c r="K133" s="1">
        <v>131</v>
      </c>
      <c r="L133" s="1" t="str">
        <f>LOOKUP(A133,Sheet2!$D$4:$E$9)</f>
        <v>8+</v>
      </c>
      <c r="M133" t="str">
        <f>LOOKUP(B133,Sheet2!$G$4:$H$9)</f>
        <v>100-125</v>
      </c>
      <c r="N133" t="str">
        <f>LOOKUP(C133,Sheet2!$J$4:$K$8)</f>
        <v>1-59</v>
      </c>
      <c r="O133" t="str">
        <f>LOOKUP(D133,Sheet2!$M$4:$N$8)</f>
        <v>Unknown</v>
      </c>
      <c r="P133" t="str">
        <f>LOOKUP(E133,Sheet2!$P$4:$Q$9)</f>
        <v>Unknown</v>
      </c>
      <c r="Q133" t="str">
        <f>LOOKUP(F133,Sheet2!$S$4:$T$8)</f>
        <v>31-35</v>
      </c>
      <c r="R133" t="str">
        <f>LOOKUP(G133,Sheet2!$V$4:$W$7)</f>
        <v>0.7+</v>
      </c>
      <c r="S133" t="str">
        <f>LOOKUP(H133,Sheet2!$Z$4:$AA$7)</f>
        <v>26-35</v>
      </c>
      <c r="T133" t="str">
        <f t="shared" si="6"/>
        <v>Positive</v>
      </c>
      <c r="U133" t="str">
        <f t="shared" si="7"/>
        <v>Not Sampled</v>
      </c>
      <c r="V133" s="1" t="str">
        <f t="shared" si="8"/>
        <v>Not Sampled</v>
      </c>
    </row>
    <row r="134" spans="1:22" x14ac:dyDescent="0.25">
      <c r="A134" s="1">
        <v>3</v>
      </c>
      <c r="B134" s="1">
        <v>170</v>
      </c>
      <c r="C134" s="1">
        <v>64</v>
      </c>
      <c r="D134" s="1">
        <v>37</v>
      </c>
      <c r="E134" s="1">
        <v>225</v>
      </c>
      <c r="F134" s="1">
        <v>34.5</v>
      </c>
      <c r="G134" s="1">
        <v>0.35599999999999998</v>
      </c>
      <c r="H134" s="1">
        <v>30</v>
      </c>
      <c r="I134" s="1">
        <v>1</v>
      </c>
      <c r="J134" s="1" t="str">
        <f>IFERROR(VLOOKUP(K134,[1]diabetes_Recognition!$A:$B,2,FALSE),"Not Sampled")</f>
        <v>Not Sampled</v>
      </c>
      <c r="K134" s="1">
        <v>132</v>
      </c>
      <c r="L134" s="1" t="str">
        <f>LOOKUP(A134,Sheet2!$D$4:$E$9)</f>
        <v>3-4</v>
      </c>
      <c r="M134" t="str">
        <f>LOOKUP(B134,Sheet2!$G$4:$H$9)</f>
        <v>151-175</v>
      </c>
      <c r="N134" t="str">
        <f>LOOKUP(C134,Sheet2!$J$4:$K$8)</f>
        <v>60-69</v>
      </c>
      <c r="O134" t="str">
        <f>LOOKUP(D134,Sheet2!$M$4:$N$8)</f>
        <v>30-39</v>
      </c>
      <c r="P134" t="str">
        <f>LOOKUP(E134,Sheet2!$P$4:$Q$9)</f>
        <v>200-399</v>
      </c>
      <c r="Q134" t="str">
        <f>LOOKUP(F134,Sheet2!$S$4:$T$8)</f>
        <v>31-35</v>
      </c>
      <c r="R134" t="str">
        <f>LOOKUP(G134,Sheet2!$V$4:$W$7)</f>
        <v>0.25 - 0.39</v>
      </c>
      <c r="S134" t="str">
        <f>LOOKUP(H134,Sheet2!$Z$4:$AA$7)</f>
        <v>26-35</v>
      </c>
      <c r="T134" t="str">
        <f t="shared" si="6"/>
        <v>Positive</v>
      </c>
      <c r="U134" t="str">
        <f t="shared" si="7"/>
        <v>Not Sampled</v>
      </c>
      <c r="V134" s="1" t="str">
        <f t="shared" si="8"/>
        <v>Not Sampled</v>
      </c>
    </row>
    <row r="135" spans="1:22" x14ac:dyDescent="0.25">
      <c r="A135" s="1">
        <v>8</v>
      </c>
      <c r="B135" s="1">
        <v>84</v>
      </c>
      <c r="C135" s="1">
        <v>74</v>
      </c>
      <c r="D135" s="1">
        <v>31</v>
      </c>
      <c r="E135" s="1">
        <v>0</v>
      </c>
      <c r="F135" s="1">
        <v>38.299999999999997</v>
      </c>
      <c r="G135" s="1">
        <v>0.45700000000000002</v>
      </c>
      <c r="H135" s="1">
        <v>39</v>
      </c>
      <c r="I135" s="1">
        <v>0</v>
      </c>
      <c r="J135" s="1">
        <f>IFERROR(VLOOKUP(K135,[1]diabetes_Recognition!$A:$B,2,FALSE),"Not Sampled")</f>
        <v>0</v>
      </c>
      <c r="K135" s="1">
        <v>133</v>
      </c>
      <c r="L135" s="1" t="str">
        <f>LOOKUP(A135,Sheet2!$D$4:$E$9)</f>
        <v>8+</v>
      </c>
      <c r="M135" t="str">
        <f>LOOKUP(B135,Sheet2!$G$4:$H$9)</f>
        <v>1-99</v>
      </c>
      <c r="N135" t="str">
        <f>LOOKUP(C135,Sheet2!$J$4:$K$8)</f>
        <v>70-79</v>
      </c>
      <c r="O135" t="str">
        <f>LOOKUP(D135,Sheet2!$M$4:$N$8)</f>
        <v>30-39</v>
      </c>
      <c r="P135" t="str">
        <f>LOOKUP(E135,Sheet2!$P$4:$Q$9)</f>
        <v>Unknown</v>
      </c>
      <c r="Q135" t="str">
        <f>LOOKUP(F135,Sheet2!$S$4:$T$8)</f>
        <v>36+</v>
      </c>
      <c r="R135" t="str">
        <f>LOOKUP(G135,Sheet2!$V$4:$W$7)</f>
        <v>0.4 - 0.69</v>
      </c>
      <c r="S135" t="str">
        <f>LOOKUP(H135,Sheet2!$Z$4:$AA$7)</f>
        <v>36-45</v>
      </c>
      <c r="T135" t="str">
        <f t="shared" si="6"/>
        <v>Negative</v>
      </c>
      <c r="U135" t="str">
        <f t="shared" si="7"/>
        <v>Negative</v>
      </c>
      <c r="V135" s="1" t="str">
        <f t="shared" si="8"/>
        <v>Accurate Prediction</v>
      </c>
    </row>
    <row r="136" spans="1:22" x14ac:dyDescent="0.25">
      <c r="A136" s="1">
        <v>2</v>
      </c>
      <c r="B136" s="1">
        <v>96</v>
      </c>
      <c r="C136" s="1">
        <v>68</v>
      </c>
      <c r="D136" s="1">
        <v>13</v>
      </c>
      <c r="E136" s="1">
        <v>49</v>
      </c>
      <c r="F136" s="1">
        <v>21.1</v>
      </c>
      <c r="G136" s="1">
        <v>0.64700000000000002</v>
      </c>
      <c r="H136" s="1">
        <v>26</v>
      </c>
      <c r="I136" s="1">
        <v>0</v>
      </c>
      <c r="J136" s="1" t="str">
        <f>IFERROR(VLOOKUP(K136,[1]diabetes_Recognition!$A:$B,2,FALSE),"Not Sampled")</f>
        <v>Not Sampled</v>
      </c>
      <c r="K136" s="1">
        <v>134</v>
      </c>
      <c r="L136" s="1">
        <f>LOOKUP(A136,Sheet2!$D$4:$E$9)</f>
        <v>2</v>
      </c>
      <c r="M136" t="str">
        <f>LOOKUP(B136,Sheet2!$G$4:$H$9)</f>
        <v>1-99</v>
      </c>
      <c r="N136" t="str">
        <f>LOOKUP(C136,Sheet2!$J$4:$K$8)</f>
        <v>60-69</v>
      </c>
      <c r="O136" t="str">
        <f>LOOKUP(D136,Sheet2!$M$4:$N$8)</f>
        <v>10-30</v>
      </c>
      <c r="P136" t="str">
        <f>LOOKUP(E136,Sheet2!$P$4:$Q$9)</f>
        <v>1-99</v>
      </c>
      <c r="Q136" t="str">
        <f>LOOKUP(F136,Sheet2!$S$4:$T$8)</f>
        <v>1-25</v>
      </c>
      <c r="R136" t="str">
        <f>LOOKUP(G136,Sheet2!$V$4:$W$7)</f>
        <v>0.4 - 0.69</v>
      </c>
      <c r="S136" t="str">
        <f>LOOKUP(H136,Sheet2!$Z$4:$AA$7)</f>
        <v>26-35</v>
      </c>
      <c r="T136" t="str">
        <f t="shared" si="6"/>
        <v>Negative</v>
      </c>
      <c r="U136" t="str">
        <f t="shared" si="7"/>
        <v>Not Sampled</v>
      </c>
      <c r="V136" s="1" t="str">
        <f t="shared" si="8"/>
        <v>Not Sampled</v>
      </c>
    </row>
    <row r="137" spans="1:22" x14ac:dyDescent="0.25">
      <c r="A137" s="1">
        <v>2</v>
      </c>
      <c r="B137" s="1">
        <v>125</v>
      </c>
      <c r="C137" s="1">
        <v>60</v>
      </c>
      <c r="D137" s="1">
        <v>20</v>
      </c>
      <c r="E137" s="1">
        <v>140</v>
      </c>
      <c r="F137" s="1">
        <v>33.799999999999997</v>
      </c>
      <c r="G137" s="1">
        <v>8.7999999999999995E-2</v>
      </c>
      <c r="H137" s="1">
        <v>31</v>
      </c>
      <c r="I137" s="1">
        <v>0</v>
      </c>
      <c r="J137" s="1" t="str">
        <f>IFERROR(VLOOKUP(K137,[1]diabetes_Recognition!$A:$B,2,FALSE),"Not Sampled")</f>
        <v>Not Sampled</v>
      </c>
      <c r="K137" s="1">
        <v>135</v>
      </c>
      <c r="L137" s="1">
        <f>LOOKUP(A137,Sheet2!$D$4:$E$9)</f>
        <v>2</v>
      </c>
      <c r="M137" t="str">
        <f>LOOKUP(B137,Sheet2!$G$4:$H$9)</f>
        <v>100-125</v>
      </c>
      <c r="N137" t="str">
        <f>LOOKUP(C137,Sheet2!$J$4:$K$8)</f>
        <v>60-69</v>
      </c>
      <c r="O137" t="str">
        <f>LOOKUP(D137,Sheet2!$M$4:$N$8)</f>
        <v>10-30</v>
      </c>
      <c r="P137" t="str">
        <f>LOOKUP(E137,Sheet2!$P$4:$Q$9)</f>
        <v>100-199</v>
      </c>
      <c r="Q137" t="str">
        <f>LOOKUP(F137,Sheet2!$S$4:$T$8)</f>
        <v>31-35</v>
      </c>
      <c r="R137" t="str">
        <f>LOOKUP(G137,Sheet2!$V$4:$W$7)</f>
        <v>0.0 - 0.249</v>
      </c>
      <c r="S137" t="str">
        <f>LOOKUP(H137,Sheet2!$Z$4:$AA$7)</f>
        <v>26-35</v>
      </c>
      <c r="T137" t="str">
        <f t="shared" si="6"/>
        <v>Negative</v>
      </c>
      <c r="U137" t="str">
        <f t="shared" si="7"/>
        <v>Not Sampled</v>
      </c>
      <c r="V137" s="1" t="str">
        <f t="shared" si="8"/>
        <v>Not Sampled</v>
      </c>
    </row>
    <row r="138" spans="1:22" x14ac:dyDescent="0.25">
      <c r="A138" s="1">
        <v>0</v>
      </c>
      <c r="B138" s="1">
        <v>100</v>
      </c>
      <c r="C138" s="1">
        <v>70</v>
      </c>
      <c r="D138" s="1">
        <v>26</v>
      </c>
      <c r="E138" s="1">
        <v>50</v>
      </c>
      <c r="F138" s="1">
        <v>30.8</v>
      </c>
      <c r="G138" s="1">
        <v>0.59699999999999998</v>
      </c>
      <c r="H138" s="1">
        <v>21</v>
      </c>
      <c r="I138" s="1">
        <v>0</v>
      </c>
      <c r="J138" s="1" t="str">
        <f>IFERROR(VLOOKUP(K138,[1]diabetes_Recognition!$A:$B,2,FALSE),"Not Sampled")</f>
        <v>Not Sampled</v>
      </c>
      <c r="K138" s="1">
        <v>136</v>
      </c>
      <c r="L138" s="1">
        <f>LOOKUP(A138,Sheet2!$D$4:$E$9)</f>
        <v>0</v>
      </c>
      <c r="M138" t="str">
        <f>LOOKUP(B138,Sheet2!$G$4:$H$9)</f>
        <v>100-125</v>
      </c>
      <c r="N138" t="str">
        <f>LOOKUP(C138,Sheet2!$J$4:$K$8)</f>
        <v>70-79</v>
      </c>
      <c r="O138" t="str">
        <f>LOOKUP(D138,Sheet2!$M$4:$N$8)</f>
        <v>10-30</v>
      </c>
      <c r="P138" t="str">
        <f>LOOKUP(E138,Sheet2!$P$4:$Q$9)</f>
        <v>1-99</v>
      </c>
      <c r="Q138" t="str">
        <f>LOOKUP(F138,Sheet2!$S$4:$T$8)</f>
        <v>26-30</v>
      </c>
      <c r="R138" t="str">
        <f>LOOKUP(G138,Sheet2!$V$4:$W$7)</f>
        <v>0.4 - 0.69</v>
      </c>
      <c r="S138" t="str">
        <f>LOOKUP(H138,Sheet2!$Z$4:$AA$7)</f>
        <v>&lt;=25</v>
      </c>
      <c r="T138" t="str">
        <f t="shared" si="6"/>
        <v>Negative</v>
      </c>
      <c r="U138" t="str">
        <f t="shared" si="7"/>
        <v>Not Sampled</v>
      </c>
      <c r="V138" s="1" t="str">
        <f t="shared" si="8"/>
        <v>Not Sampled</v>
      </c>
    </row>
    <row r="139" spans="1:22" x14ac:dyDescent="0.25">
      <c r="A139" s="1">
        <v>0</v>
      </c>
      <c r="B139" s="1">
        <v>93</v>
      </c>
      <c r="C139" s="1">
        <v>60</v>
      </c>
      <c r="D139" s="1">
        <v>25</v>
      </c>
      <c r="E139" s="1">
        <v>92</v>
      </c>
      <c r="F139" s="1">
        <v>28.7</v>
      </c>
      <c r="G139" s="1">
        <v>0.53200000000000003</v>
      </c>
      <c r="H139" s="1">
        <v>22</v>
      </c>
      <c r="I139" s="1">
        <v>0</v>
      </c>
      <c r="J139" s="1">
        <f>IFERROR(VLOOKUP(K139,[1]diabetes_Recognition!$A:$B,2,FALSE),"Not Sampled")</f>
        <v>0</v>
      </c>
      <c r="K139" s="1">
        <v>137</v>
      </c>
      <c r="L139" s="1">
        <f>LOOKUP(A139,Sheet2!$D$4:$E$9)</f>
        <v>0</v>
      </c>
      <c r="M139" t="str">
        <f>LOOKUP(B139,Sheet2!$G$4:$H$9)</f>
        <v>1-99</v>
      </c>
      <c r="N139" t="str">
        <f>LOOKUP(C139,Sheet2!$J$4:$K$8)</f>
        <v>60-69</v>
      </c>
      <c r="O139" t="str">
        <f>LOOKUP(D139,Sheet2!$M$4:$N$8)</f>
        <v>10-30</v>
      </c>
      <c r="P139" t="str">
        <f>LOOKUP(E139,Sheet2!$P$4:$Q$9)</f>
        <v>1-99</v>
      </c>
      <c r="Q139" t="str">
        <f>LOOKUP(F139,Sheet2!$S$4:$T$8)</f>
        <v>26-30</v>
      </c>
      <c r="R139" t="str">
        <f>LOOKUP(G139,Sheet2!$V$4:$W$7)</f>
        <v>0.4 - 0.69</v>
      </c>
      <c r="S139" t="str">
        <f>LOOKUP(H139,Sheet2!$Z$4:$AA$7)</f>
        <v>&lt;=25</v>
      </c>
      <c r="T139" t="str">
        <f t="shared" si="6"/>
        <v>Negative</v>
      </c>
      <c r="U139" t="str">
        <f t="shared" si="7"/>
        <v>Negative</v>
      </c>
      <c r="V139" s="1" t="str">
        <f t="shared" si="8"/>
        <v>Accurate Prediction</v>
      </c>
    </row>
    <row r="140" spans="1:22" x14ac:dyDescent="0.25">
      <c r="A140" s="1">
        <v>0</v>
      </c>
      <c r="B140" s="1">
        <v>129</v>
      </c>
      <c r="C140" s="1">
        <v>80</v>
      </c>
      <c r="D140" s="1">
        <v>0</v>
      </c>
      <c r="E140" s="1">
        <v>0</v>
      </c>
      <c r="F140" s="1">
        <v>31.2</v>
      </c>
      <c r="G140" s="1">
        <v>0.70299999999999996</v>
      </c>
      <c r="H140" s="1">
        <v>29</v>
      </c>
      <c r="I140" s="1">
        <v>0</v>
      </c>
      <c r="J140" s="1" t="str">
        <f>IFERROR(VLOOKUP(K140,[1]diabetes_Recognition!$A:$B,2,FALSE),"Not Sampled")</f>
        <v>Not Sampled</v>
      </c>
      <c r="K140" s="1">
        <v>138</v>
      </c>
      <c r="L140" s="1">
        <f>LOOKUP(A140,Sheet2!$D$4:$E$9)</f>
        <v>0</v>
      </c>
      <c r="M140" t="str">
        <f>LOOKUP(B140,Sheet2!$G$4:$H$9)</f>
        <v>126-150</v>
      </c>
      <c r="N140" t="str">
        <f>LOOKUP(C140,Sheet2!$J$4:$K$8)</f>
        <v>80+</v>
      </c>
      <c r="O140" t="str">
        <f>LOOKUP(D140,Sheet2!$M$4:$N$8)</f>
        <v>Unknown</v>
      </c>
      <c r="P140" t="str">
        <f>LOOKUP(E140,Sheet2!$P$4:$Q$9)</f>
        <v>Unknown</v>
      </c>
      <c r="Q140" t="str">
        <f>LOOKUP(F140,Sheet2!$S$4:$T$8)</f>
        <v>31-35</v>
      </c>
      <c r="R140" t="str">
        <f>LOOKUP(G140,Sheet2!$V$4:$W$7)</f>
        <v>0.7+</v>
      </c>
      <c r="S140" t="str">
        <f>LOOKUP(H140,Sheet2!$Z$4:$AA$7)</f>
        <v>26-35</v>
      </c>
      <c r="T140" t="str">
        <f t="shared" si="6"/>
        <v>Negative</v>
      </c>
      <c r="U140" t="str">
        <f t="shared" si="7"/>
        <v>Not Sampled</v>
      </c>
      <c r="V140" s="1" t="str">
        <f t="shared" si="8"/>
        <v>Not Sampled</v>
      </c>
    </row>
    <row r="141" spans="1:22" x14ac:dyDescent="0.25">
      <c r="A141" s="1">
        <v>5</v>
      </c>
      <c r="B141" s="1">
        <v>105</v>
      </c>
      <c r="C141" s="1">
        <v>72</v>
      </c>
      <c r="D141" s="1">
        <v>29</v>
      </c>
      <c r="E141" s="1">
        <v>325</v>
      </c>
      <c r="F141" s="1">
        <v>36.9</v>
      </c>
      <c r="G141" s="1">
        <v>0.159</v>
      </c>
      <c r="H141" s="1">
        <v>28</v>
      </c>
      <c r="I141" s="1">
        <v>0</v>
      </c>
      <c r="J141" s="1" t="str">
        <f>IFERROR(VLOOKUP(K141,[1]diabetes_Recognition!$A:$B,2,FALSE),"Not Sampled")</f>
        <v>Not Sampled</v>
      </c>
      <c r="K141" s="1">
        <v>139</v>
      </c>
      <c r="L141" s="1" t="str">
        <f>LOOKUP(A141,Sheet2!$D$4:$E$9)</f>
        <v>5-7</v>
      </c>
      <c r="M141" t="str">
        <f>LOOKUP(B141,Sheet2!$G$4:$H$9)</f>
        <v>100-125</v>
      </c>
      <c r="N141" t="str">
        <f>LOOKUP(C141,Sheet2!$J$4:$K$8)</f>
        <v>70-79</v>
      </c>
      <c r="O141" t="str">
        <f>LOOKUP(D141,Sheet2!$M$4:$N$8)</f>
        <v>10-30</v>
      </c>
      <c r="P141" t="str">
        <f>LOOKUP(E141,Sheet2!$P$4:$Q$9)</f>
        <v>300-499</v>
      </c>
      <c r="Q141" t="str">
        <f>LOOKUP(F141,Sheet2!$S$4:$T$8)</f>
        <v>36+</v>
      </c>
      <c r="R141" t="str">
        <f>LOOKUP(G141,Sheet2!$V$4:$W$7)</f>
        <v>0.0 - 0.249</v>
      </c>
      <c r="S141" t="str">
        <f>LOOKUP(H141,Sheet2!$Z$4:$AA$7)</f>
        <v>26-35</v>
      </c>
      <c r="T141" t="str">
        <f t="shared" si="6"/>
        <v>Negative</v>
      </c>
      <c r="U141" t="str">
        <f t="shared" si="7"/>
        <v>Not Sampled</v>
      </c>
      <c r="V141" s="1" t="str">
        <f t="shared" si="8"/>
        <v>Not Sampled</v>
      </c>
    </row>
    <row r="142" spans="1:22" x14ac:dyDescent="0.25">
      <c r="A142" s="1">
        <v>3</v>
      </c>
      <c r="B142" s="1">
        <v>128</v>
      </c>
      <c r="C142" s="1">
        <v>78</v>
      </c>
      <c r="D142" s="1">
        <v>0</v>
      </c>
      <c r="E142" s="1">
        <v>0</v>
      </c>
      <c r="F142" s="1">
        <v>21.1</v>
      </c>
      <c r="G142" s="1">
        <v>0.26800000000000002</v>
      </c>
      <c r="H142" s="1">
        <v>55</v>
      </c>
      <c r="I142" s="1">
        <v>0</v>
      </c>
      <c r="J142" s="1">
        <f>IFERROR(VLOOKUP(K142,[1]diabetes_Recognition!$A:$B,2,FALSE),"Not Sampled")</f>
        <v>0</v>
      </c>
      <c r="K142" s="1">
        <v>140</v>
      </c>
      <c r="L142" s="1" t="str">
        <f>LOOKUP(A142,Sheet2!$D$4:$E$9)</f>
        <v>3-4</v>
      </c>
      <c r="M142" t="str">
        <f>LOOKUP(B142,Sheet2!$G$4:$H$9)</f>
        <v>126-150</v>
      </c>
      <c r="N142" t="str">
        <f>LOOKUP(C142,Sheet2!$J$4:$K$8)</f>
        <v>70-79</v>
      </c>
      <c r="O142" t="str">
        <f>LOOKUP(D142,Sheet2!$M$4:$N$8)</f>
        <v>Unknown</v>
      </c>
      <c r="P142" t="str">
        <f>LOOKUP(E142,Sheet2!$P$4:$Q$9)</f>
        <v>Unknown</v>
      </c>
      <c r="Q142" t="str">
        <f>LOOKUP(F142,Sheet2!$S$4:$T$8)</f>
        <v>1-25</v>
      </c>
      <c r="R142" t="str">
        <f>LOOKUP(G142,Sheet2!$V$4:$W$7)</f>
        <v>0.25 - 0.39</v>
      </c>
      <c r="S142" t="str">
        <f>LOOKUP(H142,Sheet2!$Z$4:$AA$7)</f>
        <v>46+</v>
      </c>
      <c r="T142" t="str">
        <f t="shared" si="6"/>
        <v>Negative</v>
      </c>
      <c r="U142" t="str">
        <f t="shared" si="7"/>
        <v>Negative</v>
      </c>
      <c r="V142" s="1" t="str">
        <f t="shared" si="8"/>
        <v>Accurate Prediction</v>
      </c>
    </row>
    <row r="143" spans="1:22" x14ac:dyDescent="0.25">
      <c r="A143" s="1">
        <v>5</v>
      </c>
      <c r="B143" s="1">
        <v>106</v>
      </c>
      <c r="C143" s="1">
        <v>82</v>
      </c>
      <c r="D143" s="1">
        <v>30</v>
      </c>
      <c r="E143" s="1">
        <v>0</v>
      </c>
      <c r="F143" s="1">
        <v>39.5</v>
      </c>
      <c r="G143" s="1">
        <v>0.28599999999999998</v>
      </c>
      <c r="H143" s="1">
        <v>38</v>
      </c>
      <c r="I143" s="1">
        <v>0</v>
      </c>
      <c r="J143" s="1" t="str">
        <f>IFERROR(VLOOKUP(K143,[1]diabetes_Recognition!$A:$B,2,FALSE),"Not Sampled")</f>
        <v>Not Sampled</v>
      </c>
      <c r="K143" s="1">
        <v>141</v>
      </c>
      <c r="L143" s="1" t="str">
        <f>LOOKUP(A143,Sheet2!$D$4:$E$9)</f>
        <v>5-7</v>
      </c>
      <c r="M143" t="str">
        <f>LOOKUP(B143,Sheet2!$G$4:$H$9)</f>
        <v>100-125</v>
      </c>
      <c r="N143" t="str">
        <f>LOOKUP(C143,Sheet2!$J$4:$K$8)</f>
        <v>80+</v>
      </c>
      <c r="O143" t="str">
        <f>LOOKUP(D143,Sheet2!$M$4:$N$8)</f>
        <v>30-39</v>
      </c>
      <c r="P143" t="str">
        <f>LOOKUP(E143,Sheet2!$P$4:$Q$9)</f>
        <v>Unknown</v>
      </c>
      <c r="Q143" t="str">
        <f>LOOKUP(F143,Sheet2!$S$4:$T$8)</f>
        <v>36+</v>
      </c>
      <c r="R143" t="str">
        <f>LOOKUP(G143,Sheet2!$V$4:$W$7)</f>
        <v>0.25 - 0.39</v>
      </c>
      <c r="S143" t="str">
        <f>LOOKUP(H143,Sheet2!$Z$4:$AA$7)</f>
        <v>36-45</v>
      </c>
      <c r="T143" t="str">
        <f t="shared" si="6"/>
        <v>Negative</v>
      </c>
      <c r="U143" t="str">
        <f t="shared" si="7"/>
        <v>Not Sampled</v>
      </c>
      <c r="V143" s="1" t="str">
        <f t="shared" si="8"/>
        <v>Not Sampled</v>
      </c>
    </row>
    <row r="144" spans="1:22" x14ac:dyDescent="0.25">
      <c r="A144" s="1">
        <v>2</v>
      </c>
      <c r="B144" s="1">
        <v>108</v>
      </c>
      <c r="C144" s="1">
        <v>52</v>
      </c>
      <c r="D144" s="1">
        <v>26</v>
      </c>
      <c r="E144" s="1">
        <v>63</v>
      </c>
      <c r="F144" s="1">
        <v>32.5</v>
      </c>
      <c r="G144" s="1">
        <v>0.318</v>
      </c>
      <c r="H144" s="1">
        <v>22</v>
      </c>
      <c r="I144" s="1">
        <v>0</v>
      </c>
      <c r="J144" s="1" t="str">
        <f>IFERROR(VLOOKUP(K144,[1]diabetes_Recognition!$A:$B,2,FALSE),"Not Sampled")</f>
        <v>Not Sampled</v>
      </c>
      <c r="K144" s="1">
        <v>142</v>
      </c>
      <c r="L144" s="1">
        <f>LOOKUP(A144,Sheet2!$D$4:$E$9)</f>
        <v>2</v>
      </c>
      <c r="M144" t="str">
        <f>LOOKUP(B144,Sheet2!$G$4:$H$9)</f>
        <v>100-125</v>
      </c>
      <c r="N144" t="str">
        <f>LOOKUP(C144,Sheet2!$J$4:$K$8)</f>
        <v>1-59</v>
      </c>
      <c r="O144" t="str">
        <f>LOOKUP(D144,Sheet2!$M$4:$N$8)</f>
        <v>10-30</v>
      </c>
      <c r="P144" t="str">
        <f>LOOKUP(E144,Sheet2!$P$4:$Q$9)</f>
        <v>1-99</v>
      </c>
      <c r="Q144" t="str">
        <f>LOOKUP(F144,Sheet2!$S$4:$T$8)</f>
        <v>31-35</v>
      </c>
      <c r="R144" t="str">
        <f>LOOKUP(G144,Sheet2!$V$4:$W$7)</f>
        <v>0.25 - 0.39</v>
      </c>
      <c r="S144" t="str">
        <f>LOOKUP(H144,Sheet2!$Z$4:$AA$7)</f>
        <v>&lt;=25</v>
      </c>
      <c r="T144" t="str">
        <f t="shared" si="6"/>
        <v>Negative</v>
      </c>
      <c r="U144" t="str">
        <f t="shared" si="7"/>
        <v>Not Sampled</v>
      </c>
      <c r="V144" s="1" t="str">
        <f t="shared" si="8"/>
        <v>Not Sampled</v>
      </c>
    </row>
    <row r="145" spans="1:22" x14ac:dyDescent="0.25">
      <c r="A145" s="1">
        <v>10</v>
      </c>
      <c r="B145" s="1">
        <v>108</v>
      </c>
      <c r="C145" s="1">
        <v>66</v>
      </c>
      <c r="D145" s="1">
        <v>0</v>
      </c>
      <c r="E145" s="1">
        <v>0</v>
      </c>
      <c r="F145" s="1">
        <v>32.4</v>
      </c>
      <c r="G145" s="1">
        <v>0.27200000000000002</v>
      </c>
      <c r="H145" s="1">
        <v>42</v>
      </c>
      <c r="I145" s="1">
        <v>1</v>
      </c>
      <c r="J145" s="1" t="str">
        <f>IFERROR(VLOOKUP(K145,[1]diabetes_Recognition!$A:$B,2,FALSE),"Not Sampled")</f>
        <v>Not Sampled</v>
      </c>
      <c r="K145" s="1">
        <v>143</v>
      </c>
      <c r="L145" s="1" t="str">
        <f>LOOKUP(A145,Sheet2!$D$4:$E$9)</f>
        <v>8+</v>
      </c>
      <c r="M145" t="str">
        <f>LOOKUP(B145,Sheet2!$G$4:$H$9)</f>
        <v>100-125</v>
      </c>
      <c r="N145" t="str">
        <f>LOOKUP(C145,Sheet2!$J$4:$K$8)</f>
        <v>60-69</v>
      </c>
      <c r="O145" t="str">
        <f>LOOKUP(D145,Sheet2!$M$4:$N$8)</f>
        <v>Unknown</v>
      </c>
      <c r="P145" t="str">
        <f>LOOKUP(E145,Sheet2!$P$4:$Q$9)</f>
        <v>Unknown</v>
      </c>
      <c r="Q145" t="str">
        <f>LOOKUP(F145,Sheet2!$S$4:$T$8)</f>
        <v>31-35</v>
      </c>
      <c r="R145" t="str">
        <f>LOOKUP(G145,Sheet2!$V$4:$W$7)</f>
        <v>0.25 - 0.39</v>
      </c>
      <c r="S145" t="str">
        <f>LOOKUP(H145,Sheet2!$Z$4:$AA$7)</f>
        <v>36-45</v>
      </c>
      <c r="T145" t="str">
        <f t="shared" si="6"/>
        <v>Positive</v>
      </c>
      <c r="U145" t="str">
        <f t="shared" si="7"/>
        <v>Not Sampled</v>
      </c>
      <c r="V145" s="1" t="str">
        <f t="shared" si="8"/>
        <v>Not Sampled</v>
      </c>
    </row>
    <row r="146" spans="1:22" x14ac:dyDescent="0.25">
      <c r="A146" s="1">
        <v>4</v>
      </c>
      <c r="B146" s="1">
        <v>154</v>
      </c>
      <c r="C146" s="1">
        <v>62</v>
      </c>
      <c r="D146" s="1">
        <v>31</v>
      </c>
      <c r="E146" s="1">
        <v>284</v>
      </c>
      <c r="F146" s="1">
        <v>32.799999999999997</v>
      </c>
      <c r="G146" s="1">
        <v>0.23699999999999999</v>
      </c>
      <c r="H146" s="1">
        <v>23</v>
      </c>
      <c r="I146" s="1">
        <v>0</v>
      </c>
      <c r="J146" s="1" t="str">
        <f>IFERROR(VLOOKUP(K146,[1]diabetes_Recognition!$A:$B,2,FALSE),"Not Sampled")</f>
        <v>Not Sampled</v>
      </c>
      <c r="K146" s="1">
        <v>144</v>
      </c>
      <c r="L146" s="1" t="str">
        <f>LOOKUP(A146,Sheet2!$D$4:$E$9)</f>
        <v>3-4</v>
      </c>
      <c r="M146" t="str">
        <f>LOOKUP(B146,Sheet2!$G$4:$H$9)</f>
        <v>151-175</v>
      </c>
      <c r="N146" t="str">
        <f>LOOKUP(C146,Sheet2!$J$4:$K$8)</f>
        <v>60-69</v>
      </c>
      <c r="O146" t="str">
        <f>LOOKUP(D146,Sheet2!$M$4:$N$8)</f>
        <v>30-39</v>
      </c>
      <c r="P146" t="str">
        <f>LOOKUP(E146,Sheet2!$P$4:$Q$9)</f>
        <v>200-399</v>
      </c>
      <c r="Q146" t="str">
        <f>LOOKUP(F146,Sheet2!$S$4:$T$8)</f>
        <v>31-35</v>
      </c>
      <c r="R146" t="str">
        <f>LOOKUP(G146,Sheet2!$V$4:$W$7)</f>
        <v>0.0 - 0.249</v>
      </c>
      <c r="S146" t="str">
        <f>LOOKUP(H146,Sheet2!$Z$4:$AA$7)</f>
        <v>&lt;=25</v>
      </c>
      <c r="T146" t="str">
        <f t="shared" si="6"/>
        <v>Negative</v>
      </c>
      <c r="U146" t="str">
        <f t="shared" si="7"/>
        <v>Not Sampled</v>
      </c>
      <c r="V146" s="1" t="str">
        <f t="shared" si="8"/>
        <v>Not Sampled</v>
      </c>
    </row>
    <row r="147" spans="1:22" x14ac:dyDescent="0.25">
      <c r="A147" s="1">
        <v>0</v>
      </c>
      <c r="B147" s="1">
        <v>102</v>
      </c>
      <c r="C147" s="1">
        <v>75</v>
      </c>
      <c r="D147" s="1">
        <v>23</v>
      </c>
      <c r="E147" s="1">
        <v>0</v>
      </c>
      <c r="F147" s="1">
        <v>0</v>
      </c>
      <c r="G147" s="1">
        <v>0.57199999999999995</v>
      </c>
      <c r="H147" s="1">
        <v>21</v>
      </c>
      <c r="I147" s="1">
        <v>0</v>
      </c>
      <c r="J147" s="1" t="str">
        <f>IFERROR(VLOOKUP(K147,[1]diabetes_Recognition!$A:$B,2,FALSE),"Not Sampled")</f>
        <v>Not Sampled</v>
      </c>
      <c r="K147" s="1">
        <v>145</v>
      </c>
      <c r="L147" s="1">
        <f>LOOKUP(A147,Sheet2!$D$4:$E$9)</f>
        <v>0</v>
      </c>
      <c r="M147" t="str">
        <f>LOOKUP(B147,Sheet2!$G$4:$H$9)</f>
        <v>100-125</v>
      </c>
      <c r="N147" t="str">
        <f>LOOKUP(C147,Sheet2!$J$4:$K$8)</f>
        <v>70-79</v>
      </c>
      <c r="O147" t="str">
        <f>LOOKUP(D147,Sheet2!$M$4:$N$8)</f>
        <v>10-30</v>
      </c>
      <c r="P147" t="str">
        <f>LOOKUP(E147,Sheet2!$P$4:$Q$9)</f>
        <v>Unknown</v>
      </c>
      <c r="Q147" t="str">
        <f>LOOKUP(F147,Sheet2!$S$4:$T$8)</f>
        <v>Unknown</v>
      </c>
      <c r="R147" t="str">
        <f>LOOKUP(G147,Sheet2!$V$4:$W$7)</f>
        <v>0.4 - 0.69</v>
      </c>
      <c r="S147" t="str">
        <f>LOOKUP(H147,Sheet2!$Z$4:$AA$7)</f>
        <v>&lt;=25</v>
      </c>
      <c r="T147" t="str">
        <f t="shared" si="6"/>
        <v>Negative</v>
      </c>
      <c r="U147" t="str">
        <f t="shared" si="7"/>
        <v>Not Sampled</v>
      </c>
      <c r="V147" s="1" t="str">
        <f t="shared" si="8"/>
        <v>Not Sampled</v>
      </c>
    </row>
    <row r="148" spans="1:22" x14ac:dyDescent="0.25">
      <c r="A148" s="1">
        <v>9</v>
      </c>
      <c r="B148" s="1">
        <v>57</v>
      </c>
      <c r="C148" s="1">
        <v>80</v>
      </c>
      <c r="D148" s="1">
        <v>37</v>
      </c>
      <c r="E148" s="1">
        <v>0</v>
      </c>
      <c r="F148" s="1">
        <v>32.799999999999997</v>
      </c>
      <c r="G148" s="1">
        <v>9.6000000000000002E-2</v>
      </c>
      <c r="H148" s="1">
        <v>41</v>
      </c>
      <c r="I148" s="1">
        <v>0</v>
      </c>
      <c r="J148" s="1">
        <f>IFERROR(VLOOKUP(K148,[1]diabetes_Recognition!$A:$B,2,FALSE),"Not Sampled")</f>
        <v>0</v>
      </c>
      <c r="K148" s="1">
        <v>146</v>
      </c>
      <c r="L148" s="1" t="str">
        <f>LOOKUP(A148,Sheet2!$D$4:$E$9)</f>
        <v>8+</v>
      </c>
      <c r="M148" t="str">
        <f>LOOKUP(B148,Sheet2!$G$4:$H$9)</f>
        <v>1-99</v>
      </c>
      <c r="N148" t="str">
        <f>LOOKUP(C148,Sheet2!$J$4:$K$8)</f>
        <v>80+</v>
      </c>
      <c r="O148" t="str">
        <f>LOOKUP(D148,Sheet2!$M$4:$N$8)</f>
        <v>30-39</v>
      </c>
      <c r="P148" t="str">
        <f>LOOKUP(E148,Sheet2!$P$4:$Q$9)</f>
        <v>Unknown</v>
      </c>
      <c r="Q148" t="str">
        <f>LOOKUP(F148,Sheet2!$S$4:$T$8)</f>
        <v>31-35</v>
      </c>
      <c r="R148" t="str">
        <f>LOOKUP(G148,Sheet2!$V$4:$W$7)</f>
        <v>0.0 - 0.249</v>
      </c>
      <c r="S148" t="str">
        <f>LOOKUP(H148,Sheet2!$Z$4:$AA$7)</f>
        <v>36-45</v>
      </c>
      <c r="T148" t="str">
        <f t="shared" si="6"/>
        <v>Negative</v>
      </c>
      <c r="U148" t="str">
        <f t="shared" si="7"/>
        <v>Negative</v>
      </c>
      <c r="V148" s="1" t="str">
        <f t="shared" si="8"/>
        <v>Accurate Prediction</v>
      </c>
    </row>
    <row r="149" spans="1:22" x14ac:dyDescent="0.25">
      <c r="A149" s="1">
        <v>2</v>
      </c>
      <c r="B149" s="1">
        <v>106</v>
      </c>
      <c r="C149" s="1">
        <v>64</v>
      </c>
      <c r="D149" s="1">
        <v>35</v>
      </c>
      <c r="E149" s="1">
        <v>119</v>
      </c>
      <c r="F149" s="1">
        <v>30.5</v>
      </c>
      <c r="G149" s="1">
        <v>1.4</v>
      </c>
      <c r="H149" s="1">
        <v>34</v>
      </c>
      <c r="I149" s="1">
        <v>0</v>
      </c>
      <c r="J149" s="1" t="str">
        <f>IFERROR(VLOOKUP(K149,[1]diabetes_Recognition!$A:$B,2,FALSE),"Not Sampled")</f>
        <v>Not Sampled</v>
      </c>
      <c r="K149" s="1">
        <v>147</v>
      </c>
      <c r="L149" s="1">
        <f>LOOKUP(A149,Sheet2!$D$4:$E$9)</f>
        <v>2</v>
      </c>
      <c r="M149" t="str">
        <f>LOOKUP(B149,Sheet2!$G$4:$H$9)</f>
        <v>100-125</v>
      </c>
      <c r="N149" t="str">
        <f>LOOKUP(C149,Sheet2!$J$4:$K$8)</f>
        <v>60-69</v>
      </c>
      <c r="O149" t="str">
        <f>LOOKUP(D149,Sheet2!$M$4:$N$8)</f>
        <v>30-39</v>
      </c>
      <c r="P149" t="str">
        <f>LOOKUP(E149,Sheet2!$P$4:$Q$9)</f>
        <v>100-199</v>
      </c>
      <c r="Q149" t="str">
        <f>LOOKUP(F149,Sheet2!$S$4:$T$8)</f>
        <v>26-30</v>
      </c>
      <c r="R149" t="str">
        <f>LOOKUP(G149,Sheet2!$V$4:$W$7)</f>
        <v>0.7+</v>
      </c>
      <c r="S149" t="str">
        <f>LOOKUP(H149,Sheet2!$Z$4:$AA$7)</f>
        <v>26-35</v>
      </c>
      <c r="T149" t="str">
        <f t="shared" si="6"/>
        <v>Negative</v>
      </c>
      <c r="U149" t="str">
        <f t="shared" si="7"/>
        <v>Not Sampled</v>
      </c>
      <c r="V149" s="1" t="str">
        <f t="shared" si="8"/>
        <v>Not Sampled</v>
      </c>
    </row>
    <row r="150" spans="1:22" x14ac:dyDescent="0.25">
      <c r="A150" s="1">
        <v>5</v>
      </c>
      <c r="B150" s="1">
        <v>147</v>
      </c>
      <c r="C150" s="1">
        <v>78</v>
      </c>
      <c r="D150" s="1">
        <v>0</v>
      </c>
      <c r="E150" s="1">
        <v>0</v>
      </c>
      <c r="F150" s="1">
        <v>33.700000000000003</v>
      </c>
      <c r="G150" s="1">
        <v>0.218</v>
      </c>
      <c r="H150" s="1">
        <v>65</v>
      </c>
      <c r="I150" s="1">
        <v>0</v>
      </c>
      <c r="J150" s="1" t="str">
        <f>IFERROR(VLOOKUP(K150,[1]diabetes_Recognition!$A:$B,2,FALSE),"Not Sampled")</f>
        <v>Not Sampled</v>
      </c>
      <c r="K150" s="1">
        <v>148</v>
      </c>
      <c r="L150" s="1" t="str">
        <f>LOOKUP(A150,Sheet2!$D$4:$E$9)</f>
        <v>5-7</v>
      </c>
      <c r="M150" t="str">
        <f>LOOKUP(B150,Sheet2!$G$4:$H$9)</f>
        <v>126-150</v>
      </c>
      <c r="N150" t="str">
        <f>LOOKUP(C150,Sheet2!$J$4:$K$8)</f>
        <v>70-79</v>
      </c>
      <c r="O150" t="str">
        <f>LOOKUP(D150,Sheet2!$M$4:$N$8)</f>
        <v>Unknown</v>
      </c>
      <c r="P150" t="str">
        <f>LOOKUP(E150,Sheet2!$P$4:$Q$9)</f>
        <v>Unknown</v>
      </c>
      <c r="Q150" t="str">
        <f>LOOKUP(F150,Sheet2!$S$4:$T$8)</f>
        <v>31-35</v>
      </c>
      <c r="R150" t="str">
        <f>LOOKUP(G150,Sheet2!$V$4:$W$7)</f>
        <v>0.0 - 0.249</v>
      </c>
      <c r="S150" t="str">
        <f>LOOKUP(H150,Sheet2!$Z$4:$AA$7)</f>
        <v>46+</v>
      </c>
      <c r="T150" t="str">
        <f t="shared" si="6"/>
        <v>Negative</v>
      </c>
      <c r="U150" t="str">
        <f t="shared" si="7"/>
        <v>Not Sampled</v>
      </c>
      <c r="V150" s="1" t="str">
        <f t="shared" si="8"/>
        <v>Not Sampled</v>
      </c>
    </row>
    <row r="151" spans="1:22" x14ac:dyDescent="0.25">
      <c r="A151" s="1">
        <v>2</v>
      </c>
      <c r="B151" s="1">
        <v>90</v>
      </c>
      <c r="C151" s="1">
        <v>70</v>
      </c>
      <c r="D151" s="1">
        <v>17</v>
      </c>
      <c r="E151" s="1">
        <v>0</v>
      </c>
      <c r="F151" s="1">
        <v>27.3</v>
      </c>
      <c r="G151" s="1">
        <v>8.5000000000000006E-2</v>
      </c>
      <c r="H151" s="1">
        <v>22</v>
      </c>
      <c r="I151" s="1">
        <v>0</v>
      </c>
      <c r="J151" s="1" t="str">
        <f>IFERROR(VLOOKUP(K151,[1]diabetes_Recognition!$A:$B,2,FALSE),"Not Sampled")</f>
        <v>Not Sampled</v>
      </c>
      <c r="K151" s="1">
        <v>149</v>
      </c>
      <c r="L151" s="1">
        <f>LOOKUP(A151,Sheet2!$D$4:$E$9)</f>
        <v>2</v>
      </c>
      <c r="M151" t="str">
        <f>LOOKUP(B151,Sheet2!$G$4:$H$9)</f>
        <v>1-99</v>
      </c>
      <c r="N151" t="str">
        <f>LOOKUP(C151,Sheet2!$J$4:$K$8)</f>
        <v>70-79</v>
      </c>
      <c r="O151" t="str">
        <f>LOOKUP(D151,Sheet2!$M$4:$N$8)</f>
        <v>10-30</v>
      </c>
      <c r="P151" t="str">
        <f>LOOKUP(E151,Sheet2!$P$4:$Q$9)</f>
        <v>Unknown</v>
      </c>
      <c r="Q151" t="str">
        <f>LOOKUP(F151,Sheet2!$S$4:$T$8)</f>
        <v>26-30</v>
      </c>
      <c r="R151" t="str">
        <f>LOOKUP(G151,Sheet2!$V$4:$W$7)</f>
        <v>0.0 - 0.249</v>
      </c>
      <c r="S151" t="str">
        <f>LOOKUP(H151,Sheet2!$Z$4:$AA$7)</f>
        <v>&lt;=25</v>
      </c>
      <c r="T151" t="str">
        <f t="shared" si="6"/>
        <v>Negative</v>
      </c>
      <c r="U151" t="str">
        <f t="shared" si="7"/>
        <v>Not Sampled</v>
      </c>
      <c r="V151" s="1" t="str">
        <f t="shared" si="8"/>
        <v>Not Sampled</v>
      </c>
    </row>
    <row r="152" spans="1:22" x14ac:dyDescent="0.25">
      <c r="A152" s="1">
        <v>1</v>
      </c>
      <c r="B152" s="1">
        <v>136</v>
      </c>
      <c r="C152" s="1">
        <v>74</v>
      </c>
      <c r="D152" s="1">
        <v>50</v>
      </c>
      <c r="E152" s="1">
        <v>204</v>
      </c>
      <c r="F152" s="1">
        <v>37.4</v>
      </c>
      <c r="G152" s="1">
        <v>0.39900000000000002</v>
      </c>
      <c r="H152" s="1">
        <v>24</v>
      </c>
      <c r="I152" s="1">
        <v>0</v>
      </c>
      <c r="J152" s="1" t="str">
        <f>IFERROR(VLOOKUP(K152,[1]diabetes_Recognition!$A:$B,2,FALSE),"Not Sampled")</f>
        <v>Not Sampled</v>
      </c>
      <c r="K152" s="1">
        <v>150</v>
      </c>
      <c r="L152" s="1">
        <f>LOOKUP(A152,Sheet2!$D$4:$E$9)</f>
        <v>1</v>
      </c>
      <c r="M152" t="str">
        <f>LOOKUP(B152,Sheet2!$G$4:$H$9)</f>
        <v>126-150</v>
      </c>
      <c r="N152" t="str">
        <f>LOOKUP(C152,Sheet2!$J$4:$K$8)</f>
        <v>70-79</v>
      </c>
      <c r="O152" t="str">
        <f>LOOKUP(D152,Sheet2!$M$4:$N$8)</f>
        <v>40+</v>
      </c>
      <c r="P152" t="str">
        <f>LOOKUP(E152,Sheet2!$P$4:$Q$9)</f>
        <v>200-399</v>
      </c>
      <c r="Q152" t="str">
        <f>LOOKUP(F152,Sheet2!$S$4:$T$8)</f>
        <v>36+</v>
      </c>
      <c r="R152" t="str">
        <f>LOOKUP(G152,Sheet2!$V$4:$W$7)</f>
        <v>0.25 - 0.39</v>
      </c>
      <c r="S152" t="str">
        <f>LOOKUP(H152,Sheet2!$Z$4:$AA$7)</f>
        <v>&lt;=25</v>
      </c>
      <c r="T152" t="str">
        <f t="shared" si="6"/>
        <v>Negative</v>
      </c>
      <c r="U152" t="str">
        <f t="shared" si="7"/>
        <v>Not Sampled</v>
      </c>
      <c r="V152" s="1" t="str">
        <f t="shared" si="8"/>
        <v>Not Sampled</v>
      </c>
    </row>
    <row r="153" spans="1:22" x14ac:dyDescent="0.25">
      <c r="A153" s="1">
        <v>4</v>
      </c>
      <c r="B153" s="1">
        <v>114</v>
      </c>
      <c r="C153" s="1">
        <v>65</v>
      </c>
      <c r="D153" s="1">
        <v>0</v>
      </c>
      <c r="E153" s="1">
        <v>0</v>
      </c>
      <c r="F153" s="1">
        <v>21.9</v>
      </c>
      <c r="G153" s="1">
        <v>0.432</v>
      </c>
      <c r="H153" s="1">
        <v>37</v>
      </c>
      <c r="I153" s="1">
        <v>0</v>
      </c>
      <c r="J153" s="1" t="str">
        <f>IFERROR(VLOOKUP(K153,[1]diabetes_Recognition!$A:$B,2,FALSE),"Not Sampled")</f>
        <v>Not Sampled</v>
      </c>
      <c r="K153" s="1">
        <v>151</v>
      </c>
      <c r="L153" s="1" t="str">
        <f>LOOKUP(A153,Sheet2!$D$4:$E$9)</f>
        <v>3-4</v>
      </c>
      <c r="M153" t="str">
        <f>LOOKUP(B153,Sheet2!$G$4:$H$9)</f>
        <v>100-125</v>
      </c>
      <c r="N153" t="str">
        <f>LOOKUP(C153,Sheet2!$J$4:$K$8)</f>
        <v>60-69</v>
      </c>
      <c r="O153" t="str">
        <f>LOOKUP(D153,Sheet2!$M$4:$N$8)</f>
        <v>Unknown</v>
      </c>
      <c r="P153" t="str">
        <f>LOOKUP(E153,Sheet2!$P$4:$Q$9)</f>
        <v>Unknown</v>
      </c>
      <c r="Q153" t="str">
        <f>LOOKUP(F153,Sheet2!$S$4:$T$8)</f>
        <v>1-25</v>
      </c>
      <c r="R153" t="str">
        <f>LOOKUP(G153,Sheet2!$V$4:$W$7)</f>
        <v>0.4 - 0.69</v>
      </c>
      <c r="S153" t="str">
        <f>LOOKUP(H153,Sheet2!$Z$4:$AA$7)</f>
        <v>36-45</v>
      </c>
      <c r="T153" t="str">
        <f t="shared" si="6"/>
        <v>Negative</v>
      </c>
      <c r="U153" t="str">
        <f t="shared" si="7"/>
        <v>Not Sampled</v>
      </c>
      <c r="V153" s="1" t="str">
        <f t="shared" si="8"/>
        <v>Not Sampled</v>
      </c>
    </row>
    <row r="154" spans="1:22" x14ac:dyDescent="0.25">
      <c r="A154" s="1">
        <v>9</v>
      </c>
      <c r="B154" s="1">
        <v>156</v>
      </c>
      <c r="C154" s="1">
        <v>86</v>
      </c>
      <c r="D154" s="1">
        <v>28</v>
      </c>
      <c r="E154" s="1">
        <v>155</v>
      </c>
      <c r="F154" s="1">
        <v>34.299999999999997</v>
      </c>
      <c r="G154" s="1">
        <v>1.1890000000000001</v>
      </c>
      <c r="H154" s="1">
        <v>42</v>
      </c>
      <c r="I154" s="1">
        <v>1</v>
      </c>
      <c r="J154" s="1" t="str">
        <f>IFERROR(VLOOKUP(K154,[1]diabetes_Recognition!$A:$B,2,FALSE),"Not Sampled")</f>
        <v>Not Sampled</v>
      </c>
      <c r="K154" s="1">
        <v>152</v>
      </c>
      <c r="L154" s="1" t="str">
        <f>LOOKUP(A154,Sheet2!$D$4:$E$9)</f>
        <v>8+</v>
      </c>
      <c r="M154" t="str">
        <f>LOOKUP(B154,Sheet2!$G$4:$H$9)</f>
        <v>151-175</v>
      </c>
      <c r="N154" t="str">
        <f>LOOKUP(C154,Sheet2!$J$4:$K$8)</f>
        <v>80+</v>
      </c>
      <c r="O154" t="str">
        <f>LOOKUP(D154,Sheet2!$M$4:$N$8)</f>
        <v>10-30</v>
      </c>
      <c r="P154" t="str">
        <f>LOOKUP(E154,Sheet2!$P$4:$Q$9)</f>
        <v>100-199</v>
      </c>
      <c r="Q154" t="str">
        <f>LOOKUP(F154,Sheet2!$S$4:$T$8)</f>
        <v>31-35</v>
      </c>
      <c r="R154" t="str">
        <f>LOOKUP(G154,Sheet2!$V$4:$W$7)</f>
        <v>0.7+</v>
      </c>
      <c r="S154" t="str">
        <f>LOOKUP(H154,Sheet2!$Z$4:$AA$7)</f>
        <v>36-45</v>
      </c>
      <c r="T154" t="str">
        <f t="shared" si="6"/>
        <v>Positive</v>
      </c>
      <c r="U154" t="str">
        <f t="shared" si="7"/>
        <v>Not Sampled</v>
      </c>
      <c r="V154" s="1" t="str">
        <f t="shared" si="8"/>
        <v>Not Sampled</v>
      </c>
    </row>
    <row r="155" spans="1:22" x14ac:dyDescent="0.25">
      <c r="A155" s="1">
        <v>1</v>
      </c>
      <c r="B155" s="1">
        <v>153</v>
      </c>
      <c r="C155" s="1">
        <v>82</v>
      </c>
      <c r="D155" s="1">
        <v>42</v>
      </c>
      <c r="E155" s="1">
        <v>485</v>
      </c>
      <c r="F155" s="1">
        <v>40.6</v>
      </c>
      <c r="G155" s="1">
        <v>0.68700000000000006</v>
      </c>
      <c r="H155" s="1">
        <v>23</v>
      </c>
      <c r="I155" s="1">
        <v>0</v>
      </c>
      <c r="J155" s="1" t="str">
        <f>IFERROR(VLOOKUP(K155,[1]diabetes_Recognition!$A:$B,2,FALSE),"Not Sampled")</f>
        <v>Not Sampled</v>
      </c>
      <c r="K155" s="1">
        <v>153</v>
      </c>
      <c r="L155" s="1">
        <f>LOOKUP(A155,Sheet2!$D$4:$E$9)</f>
        <v>1</v>
      </c>
      <c r="M155" t="str">
        <f>LOOKUP(B155,Sheet2!$G$4:$H$9)</f>
        <v>151-175</v>
      </c>
      <c r="N155" t="str">
        <f>LOOKUP(C155,Sheet2!$J$4:$K$8)</f>
        <v>80+</v>
      </c>
      <c r="O155" t="str">
        <f>LOOKUP(D155,Sheet2!$M$4:$N$8)</f>
        <v>40+</v>
      </c>
      <c r="P155" t="str">
        <f>LOOKUP(E155,Sheet2!$P$4:$Q$9)</f>
        <v>300-499</v>
      </c>
      <c r="Q155" t="str">
        <f>LOOKUP(F155,Sheet2!$S$4:$T$8)</f>
        <v>36+</v>
      </c>
      <c r="R155" t="str">
        <f>LOOKUP(G155,Sheet2!$V$4:$W$7)</f>
        <v>0.4 - 0.69</v>
      </c>
      <c r="S155" t="str">
        <f>LOOKUP(H155,Sheet2!$Z$4:$AA$7)</f>
        <v>&lt;=25</v>
      </c>
      <c r="T155" t="str">
        <f t="shared" si="6"/>
        <v>Negative</v>
      </c>
      <c r="U155" t="str">
        <f t="shared" si="7"/>
        <v>Not Sampled</v>
      </c>
      <c r="V155" s="1" t="str">
        <f t="shared" si="8"/>
        <v>Not Sampled</v>
      </c>
    </row>
    <row r="156" spans="1:22" x14ac:dyDescent="0.25">
      <c r="A156" s="1">
        <v>8</v>
      </c>
      <c r="B156" s="1">
        <v>188</v>
      </c>
      <c r="C156" s="1">
        <v>78</v>
      </c>
      <c r="D156" s="1">
        <v>0</v>
      </c>
      <c r="E156" s="1">
        <v>0</v>
      </c>
      <c r="F156" s="1">
        <v>47.9</v>
      </c>
      <c r="G156" s="1">
        <v>0.13700000000000001</v>
      </c>
      <c r="H156" s="1">
        <v>43</v>
      </c>
      <c r="I156" s="1">
        <v>1</v>
      </c>
      <c r="J156" s="1" t="str">
        <f>IFERROR(VLOOKUP(K156,[1]diabetes_Recognition!$A:$B,2,FALSE),"Not Sampled")</f>
        <v>Not Sampled</v>
      </c>
      <c r="K156" s="1">
        <v>154</v>
      </c>
      <c r="L156" s="1" t="str">
        <f>LOOKUP(A156,Sheet2!$D$4:$E$9)</f>
        <v>8+</v>
      </c>
      <c r="M156" t="str">
        <f>LOOKUP(B156,Sheet2!$G$4:$H$9)</f>
        <v>176-200</v>
      </c>
      <c r="N156" t="str">
        <f>LOOKUP(C156,Sheet2!$J$4:$K$8)</f>
        <v>70-79</v>
      </c>
      <c r="O156" t="str">
        <f>LOOKUP(D156,Sheet2!$M$4:$N$8)</f>
        <v>Unknown</v>
      </c>
      <c r="P156" t="str">
        <f>LOOKUP(E156,Sheet2!$P$4:$Q$9)</f>
        <v>Unknown</v>
      </c>
      <c r="Q156" t="str">
        <f>LOOKUP(F156,Sheet2!$S$4:$T$8)</f>
        <v>36+</v>
      </c>
      <c r="R156" t="str">
        <f>LOOKUP(G156,Sheet2!$V$4:$W$7)</f>
        <v>0.0 - 0.249</v>
      </c>
      <c r="S156" t="str">
        <f>LOOKUP(H156,Sheet2!$Z$4:$AA$7)</f>
        <v>36-45</v>
      </c>
      <c r="T156" t="str">
        <f t="shared" si="6"/>
        <v>Positive</v>
      </c>
      <c r="U156" t="str">
        <f t="shared" si="7"/>
        <v>Not Sampled</v>
      </c>
      <c r="V156" s="1" t="str">
        <f t="shared" si="8"/>
        <v>Not Sampled</v>
      </c>
    </row>
    <row r="157" spans="1:22" x14ac:dyDescent="0.25">
      <c r="A157" s="1">
        <v>7</v>
      </c>
      <c r="B157" s="1">
        <v>152</v>
      </c>
      <c r="C157" s="1">
        <v>88</v>
      </c>
      <c r="D157" s="1">
        <v>44</v>
      </c>
      <c r="E157" s="1">
        <v>0</v>
      </c>
      <c r="F157" s="1">
        <v>50</v>
      </c>
      <c r="G157" s="1">
        <v>0.33700000000000002</v>
      </c>
      <c r="H157" s="1">
        <v>36</v>
      </c>
      <c r="I157" s="1">
        <v>1</v>
      </c>
      <c r="J157" s="1" t="str">
        <f>IFERROR(VLOOKUP(K157,[1]diabetes_Recognition!$A:$B,2,FALSE),"Not Sampled")</f>
        <v>Not Sampled</v>
      </c>
      <c r="K157" s="1">
        <v>155</v>
      </c>
      <c r="L157" s="1" t="str">
        <f>LOOKUP(A157,Sheet2!$D$4:$E$9)</f>
        <v>5-7</v>
      </c>
      <c r="M157" t="str">
        <f>LOOKUP(B157,Sheet2!$G$4:$H$9)</f>
        <v>151-175</v>
      </c>
      <c r="N157" t="str">
        <f>LOOKUP(C157,Sheet2!$J$4:$K$8)</f>
        <v>80+</v>
      </c>
      <c r="O157" t="str">
        <f>LOOKUP(D157,Sheet2!$M$4:$N$8)</f>
        <v>40+</v>
      </c>
      <c r="P157" t="str">
        <f>LOOKUP(E157,Sheet2!$P$4:$Q$9)</f>
        <v>Unknown</v>
      </c>
      <c r="Q157" t="str">
        <f>LOOKUP(F157,Sheet2!$S$4:$T$8)</f>
        <v>36+</v>
      </c>
      <c r="R157" t="str">
        <f>LOOKUP(G157,Sheet2!$V$4:$W$7)</f>
        <v>0.25 - 0.39</v>
      </c>
      <c r="S157" t="str">
        <f>LOOKUP(H157,Sheet2!$Z$4:$AA$7)</f>
        <v>36-45</v>
      </c>
      <c r="T157" t="str">
        <f t="shared" si="6"/>
        <v>Positive</v>
      </c>
      <c r="U157" t="str">
        <f t="shared" si="7"/>
        <v>Not Sampled</v>
      </c>
      <c r="V157" s="1" t="str">
        <f t="shared" si="8"/>
        <v>Not Sampled</v>
      </c>
    </row>
    <row r="158" spans="1:22" x14ac:dyDescent="0.25">
      <c r="A158" s="1">
        <v>2</v>
      </c>
      <c r="B158" s="1">
        <v>99</v>
      </c>
      <c r="C158" s="1">
        <v>52</v>
      </c>
      <c r="D158" s="1">
        <v>15</v>
      </c>
      <c r="E158" s="1">
        <v>94</v>
      </c>
      <c r="F158" s="1">
        <v>24.6</v>
      </c>
      <c r="G158" s="1">
        <v>0.63700000000000001</v>
      </c>
      <c r="H158" s="1">
        <v>21</v>
      </c>
      <c r="I158" s="1">
        <v>0</v>
      </c>
      <c r="J158" s="1" t="str">
        <f>IFERROR(VLOOKUP(K158,[1]diabetes_Recognition!$A:$B,2,FALSE),"Not Sampled")</f>
        <v>Not Sampled</v>
      </c>
      <c r="K158" s="1">
        <v>156</v>
      </c>
      <c r="L158" s="1">
        <f>LOOKUP(A158,Sheet2!$D$4:$E$9)</f>
        <v>2</v>
      </c>
      <c r="M158" t="str">
        <f>LOOKUP(B158,Sheet2!$G$4:$H$9)</f>
        <v>1-99</v>
      </c>
      <c r="N158" t="str">
        <f>LOOKUP(C158,Sheet2!$J$4:$K$8)</f>
        <v>1-59</v>
      </c>
      <c r="O158" t="str">
        <f>LOOKUP(D158,Sheet2!$M$4:$N$8)</f>
        <v>10-30</v>
      </c>
      <c r="P158" t="str">
        <f>LOOKUP(E158,Sheet2!$P$4:$Q$9)</f>
        <v>1-99</v>
      </c>
      <c r="Q158" t="str">
        <f>LOOKUP(F158,Sheet2!$S$4:$T$8)</f>
        <v>1-25</v>
      </c>
      <c r="R158" t="str">
        <f>LOOKUP(G158,Sheet2!$V$4:$W$7)</f>
        <v>0.4 - 0.69</v>
      </c>
      <c r="S158" t="str">
        <f>LOOKUP(H158,Sheet2!$Z$4:$AA$7)</f>
        <v>&lt;=25</v>
      </c>
      <c r="T158" t="str">
        <f t="shared" si="6"/>
        <v>Negative</v>
      </c>
      <c r="U158" t="str">
        <f t="shared" si="7"/>
        <v>Not Sampled</v>
      </c>
      <c r="V158" s="1" t="str">
        <f t="shared" si="8"/>
        <v>Not Sampled</v>
      </c>
    </row>
    <row r="159" spans="1:22" x14ac:dyDescent="0.25">
      <c r="A159" s="1">
        <v>1</v>
      </c>
      <c r="B159" s="1">
        <v>109</v>
      </c>
      <c r="C159" s="1">
        <v>56</v>
      </c>
      <c r="D159" s="1">
        <v>21</v>
      </c>
      <c r="E159" s="1">
        <v>135</v>
      </c>
      <c r="F159" s="1">
        <v>25.2</v>
      </c>
      <c r="G159" s="1">
        <v>0.83299999999999996</v>
      </c>
      <c r="H159" s="1">
        <v>23</v>
      </c>
      <c r="I159" s="1">
        <v>0</v>
      </c>
      <c r="J159" s="1" t="str">
        <f>IFERROR(VLOOKUP(K159,[1]diabetes_Recognition!$A:$B,2,FALSE),"Not Sampled")</f>
        <v>Not Sampled</v>
      </c>
      <c r="K159" s="1">
        <v>157</v>
      </c>
      <c r="L159" s="1">
        <f>LOOKUP(A159,Sheet2!$D$4:$E$9)</f>
        <v>1</v>
      </c>
      <c r="M159" t="str">
        <f>LOOKUP(B159,Sheet2!$G$4:$H$9)</f>
        <v>100-125</v>
      </c>
      <c r="N159" t="str">
        <f>LOOKUP(C159,Sheet2!$J$4:$K$8)</f>
        <v>1-59</v>
      </c>
      <c r="O159" t="str">
        <f>LOOKUP(D159,Sheet2!$M$4:$N$8)</f>
        <v>10-30</v>
      </c>
      <c r="P159" t="str">
        <f>LOOKUP(E159,Sheet2!$P$4:$Q$9)</f>
        <v>100-199</v>
      </c>
      <c r="Q159" t="str">
        <f>LOOKUP(F159,Sheet2!$S$4:$T$8)</f>
        <v>1-25</v>
      </c>
      <c r="R159" t="str">
        <f>LOOKUP(G159,Sheet2!$V$4:$W$7)</f>
        <v>0.7+</v>
      </c>
      <c r="S159" t="str">
        <f>LOOKUP(H159,Sheet2!$Z$4:$AA$7)</f>
        <v>&lt;=25</v>
      </c>
      <c r="T159" t="str">
        <f t="shared" si="6"/>
        <v>Negative</v>
      </c>
      <c r="U159" t="str">
        <f t="shared" si="7"/>
        <v>Not Sampled</v>
      </c>
      <c r="V159" s="1" t="str">
        <f t="shared" si="8"/>
        <v>Not Sampled</v>
      </c>
    </row>
    <row r="160" spans="1:22" x14ac:dyDescent="0.25">
      <c r="A160" s="1">
        <v>2</v>
      </c>
      <c r="B160" s="1">
        <v>88</v>
      </c>
      <c r="C160" s="1">
        <v>74</v>
      </c>
      <c r="D160" s="1">
        <v>19</v>
      </c>
      <c r="E160" s="1">
        <v>53</v>
      </c>
      <c r="F160" s="1">
        <v>29</v>
      </c>
      <c r="G160" s="1">
        <v>0.22900000000000001</v>
      </c>
      <c r="H160" s="1">
        <v>22</v>
      </c>
      <c r="I160" s="1">
        <v>0</v>
      </c>
      <c r="J160" s="1">
        <f>IFERROR(VLOOKUP(K160,[1]diabetes_Recognition!$A:$B,2,FALSE),"Not Sampled")</f>
        <v>0</v>
      </c>
      <c r="K160" s="1">
        <v>158</v>
      </c>
      <c r="L160" s="1">
        <f>LOOKUP(A160,Sheet2!$D$4:$E$9)</f>
        <v>2</v>
      </c>
      <c r="M160" t="str">
        <f>LOOKUP(B160,Sheet2!$G$4:$H$9)</f>
        <v>1-99</v>
      </c>
      <c r="N160" t="str">
        <f>LOOKUP(C160,Sheet2!$J$4:$K$8)</f>
        <v>70-79</v>
      </c>
      <c r="O160" t="str">
        <f>LOOKUP(D160,Sheet2!$M$4:$N$8)</f>
        <v>10-30</v>
      </c>
      <c r="P160" t="str">
        <f>LOOKUP(E160,Sheet2!$P$4:$Q$9)</f>
        <v>1-99</v>
      </c>
      <c r="Q160" t="str">
        <f>LOOKUP(F160,Sheet2!$S$4:$T$8)</f>
        <v>26-30</v>
      </c>
      <c r="R160" t="str">
        <f>LOOKUP(G160,Sheet2!$V$4:$W$7)</f>
        <v>0.0 - 0.249</v>
      </c>
      <c r="S160" t="str">
        <f>LOOKUP(H160,Sheet2!$Z$4:$AA$7)</f>
        <v>&lt;=25</v>
      </c>
      <c r="T160" t="str">
        <f t="shared" si="6"/>
        <v>Negative</v>
      </c>
      <c r="U160" t="str">
        <f t="shared" si="7"/>
        <v>Negative</v>
      </c>
      <c r="V160" s="1" t="str">
        <f t="shared" si="8"/>
        <v>Accurate Prediction</v>
      </c>
    </row>
    <row r="161" spans="1:22" x14ac:dyDescent="0.25">
      <c r="A161" s="1">
        <v>17</v>
      </c>
      <c r="B161" s="1">
        <v>163</v>
      </c>
      <c r="C161" s="1">
        <v>72</v>
      </c>
      <c r="D161" s="1">
        <v>41</v>
      </c>
      <c r="E161" s="1">
        <v>114</v>
      </c>
      <c r="F161" s="1">
        <v>40.9</v>
      </c>
      <c r="G161" s="1">
        <v>0.81699999999999995</v>
      </c>
      <c r="H161" s="1">
        <v>47</v>
      </c>
      <c r="I161" s="1">
        <v>1</v>
      </c>
      <c r="J161" s="1" t="str">
        <f>IFERROR(VLOOKUP(K161,[1]diabetes_Recognition!$A:$B,2,FALSE),"Not Sampled")</f>
        <v>Not Sampled</v>
      </c>
      <c r="K161" s="1">
        <v>159</v>
      </c>
      <c r="L161" s="1" t="str">
        <f>LOOKUP(A161,Sheet2!$D$4:$E$9)</f>
        <v>8+</v>
      </c>
      <c r="M161" t="str">
        <f>LOOKUP(B161,Sheet2!$G$4:$H$9)</f>
        <v>151-175</v>
      </c>
      <c r="N161" t="str">
        <f>LOOKUP(C161,Sheet2!$J$4:$K$8)</f>
        <v>70-79</v>
      </c>
      <c r="O161" t="str">
        <f>LOOKUP(D161,Sheet2!$M$4:$N$8)</f>
        <v>40+</v>
      </c>
      <c r="P161" t="str">
        <f>LOOKUP(E161,Sheet2!$P$4:$Q$9)</f>
        <v>100-199</v>
      </c>
      <c r="Q161" t="str">
        <f>LOOKUP(F161,Sheet2!$S$4:$T$8)</f>
        <v>36+</v>
      </c>
      <c r="R161" t="str">
        <f>LOOKUP(G161,Sheet2!$V$4:$W$7)</f>
        <v>0.7+</v>
      </c>
      <c r="S161" t="str">
        <f>LOOKUP(H161,Sheet2!$Z$4:$AA$7)</f>
        <v>46+</v>
      </c>
      <c r="T161" t="str">
        <f t="shared" si="6"/>
        <v>Positive</v>
      </c>
      <c r="U161" t="str">
        <f t="shared" si="7"/>
        <v>Not Sampled</v>
      </c>
      <c r="V161" s="1" t="str">
        <f t="shared" si="8"/>
        <v>Not Sampled</v>
      </c>
    </row>
    <row r="162" spans="1:22" x14ac:dyDescent="0.25">
      <c r="A162" s="1">
        <v>4</v>
      </c>
      <c r="B162" s="1">
        <v>151</v>
      </c>
      <c r="C162" s="1">
        <v>90</v>
      </c>
      <c r="D162" s="1">
        <v>38</v>
      </c>
      <c r="E162" s="1">
        <v>0</v>
      </c>
      <c r="F162" s="1">
        <v>29.7</v>
      </c>
      <c r="G162" s="1">
        <v>0.29399999999999998</v>
      </c>
      <c r="H162" s="1">
        <v>36</v>
      </c>
      <c r="I162" s="1">
        <v>0</v>
      </c>
      <c r="J162" s="1" t="str">
        <f>IFERROR(VLOOKUP(K162,[1]diabetes_Recognition!$A:$B,2,FALSE),"Not Sampled")</f>
        <v>Not Sampled</v>
      </c>
      <c r="K162" s="1">
        <v>160</v>
      </c>
      <c r="L162" s="1" t="str">
        <f>LOOKUP(A162,Sheet2!$D$4:$E$9)</f>
        <v>3-4</v>
      </c>
      <c r="M162" t="str">
        <f>LOOKUP(B162,Sheet2!$G$4:$H$9)</f>
        <v>151-175</v>
      </c>
      <c r="N162" t="str">
        <f>LOOKUP(C162,Sheet2!$J$4:$K$8)</f>
        <v>80+</v>
      </c>
      <c r="O162" t="str">
        <f>LOOKUP(D162,Sheet2!$M$4:$N$8)</f>
        <v>30-39</v>
      </c>
      <c r="P162" t="str">
        <f>LOOKUP(E162,Sheet2!$P$4:$Q$9)</f>
        <v>Unknown</v>
      </c>
      <c r="Q162" t="str">
        <f>LOOKUP(F162,Sheet2!$S$4:$T$8)</f>
        <v>26-30</v>
      </c>
      <c r="R162" t="str">
        <f>LOOKUP(G162,Sheet2!$V$4:$W$7)</f>
        <v>0.25 - 0.39</v>
      </c>
      <c r="S162" t="str">
        <f>LOOKUP(H162,Sheet2!$Z$4:$AA$7)</f>
        <v>36-45</v>
      </c>
      <c r="T162" t="str">
        <f t="shared" si="6"/>
        <v>Negative</v>
      </c>
      <c r="U162" t="str">
        <f t="shared" si="7"/>
        <v>Not Sampled</v>
      </c>
      <c r="V162" s="1" t="str">
        <f t="shared" si="8"/>
        <v>Not Sampled</v>
      </c>
    </row>
    <row r="163" spans="1:22" x14ac:dyDescent="0.25">
      <c r="A163" s="1">
        <v>7</v>
      </c>
      <c r="B163" s="1">
        <v>102</v>
      </c>
      <c r="C163" s="1">
        <v>74</v>
      </c>
      <c r="D163" s="1">
        <v>40</v>
      </c>
      <c r="E163" s="1">
        <v>105</v>
      </c>
      <c r="F163" s="1">
        <v>37.200000000000003</v>
      </c>
      <c r="G163" s="1">
        <v>0.20399999999999999</v>
      </c>
      <c r="H163" s="1">
        <v>45</v>
      </c>
      <c r="I163" s="1">
        <v>0</v>
      </c>
      <c r="J163" s="1">
        <f>IFERROR(VLOOKUP(K163,[1]diabetes_Recognition!$A:$B,2,FALSE),"Not Sampled")</f>
        <v>0</v>
      </c>
      <c r="K163" s="1">
        <v>161</v>
      </c>
      <c r="L163" s="1" t="str">
        <f>LOOKUP(A163,Sheet2!$D$4:$E$9)</f>
        <v>5-7</v>
      </c>
      <c r="M163" t="str">
        <f>LOOKUP(B163,Sheet2!$G$4:$H$9)</f>
        <v>100-125</v>
      </c>
      <c r="N163" t="str">
        <f>LOOKUP(C163,Sheet2!$J$4:$K$8)</f>
        <v>70-79</v>
      </c>
      <c r="O163" t="str">
        <f>LOOKUP(D163,Sheet2!$M$4:$N$8)</f>
        <v>40+</v>
      </c>
      <c r="P163" t="str">
        <f>LOOKUP(E163,Sheet2!$P$4:$Q$9)</f>
        <v>100-199</v>
      </c>
      <c r="Q163" t="str">
        <f>LOOKUP(F163,Sheet2!$S$4:$T$8)</f>
        <v>36+</v>
      </c>
      <c r="R163" t="str">
        <f>LOOKUP(G163,Sheet2!$V$4:$W$7)</f>
        <v>0.0 - 0.249</v>
      </c>
      <c r="S163" t="str">
        <f>LOOKUP(H163,Sheet2!$Z$4:$AA$7)</f>
        <v>36-45</v>
      </c>
      <c r="T163" t="str">
        <f t="shared" si="6"/>
        <v>Negative</v>
      </c>
      <c r="U163" t="str">
        <f t="shared" si="7"/>
        <v>Negative</v>
      </c>
      <c r="V163" s="1" t="str">
        <f t="shared" si="8"/>
        <v>Accurate Prediction</v>
      </c>
    </row>
    <row r="164" spans="1:22" x14ac:dyDescent="0.25">
      <c r="A164" s="1">
        <v>0</v>
      </c>
      <c r="B164" s="1">
        <v>114</v>
      </c>
      <c r="C164" s="1">
        <v>80</v>
      </c>
      <c r="D164" s="1">
        <v>34</v>
      </c>
      <c r="E164" s="1">
        <v>285</v>
      </c>
      <c r="F164" s="1">
        <v>44.2</v>
      </c>
      <c r="G164" s="1">
        <v>0.16700000000000001</v>
      </c>
      <c r="H164" s="1">
        <v>27</v>
      </c>
      <c r="I164" s="1">
        <v>0</v>
      </c>
      <c r="J164" s="1" t="str">
        <f>IFERROR(VLOOKUP(K164,[1]diabetes_Recognition!$A:$B,2,FALSE),"Not Sampled")</f>
        <v>Not Sampled</v>
      </c>
      <c r="K164" s="1">
        <v>162</v>
      </c>
      <c r="L164" s="1">
        <f>LOOKUP(A164,Sheet2!$D$4:$E$9)</f>
        <v>0</v>
      </c>
      <c r="M164" t="str">
        <f>LOOKUP(B164,Sheet2!$G$4:$H$9)</f>
        <v>100-125</v>
      </c>
      <c r="N164" t="str">
        <f>LOOKUP(C164,Sheet2!$J$4:$K$8)</f>
        <v>80+</v>
      </c>
      <c r="O164" t="str">
        <f>LOOKUP(D164,Sheet2!$M$4:$N$8)</f>
        <v>30-39</v>
      </c>
      <c r="P164" t="str">
        <f>LOOKUP(E164,Sheet2!$P$4:$Q$9)</f>
        <v>200-399</v>
      </c>
      <c r="Q164" t="str">
        <f>LOOKUP(F164,Sheet2!$S$4:$T$8)</f>
        <v>36+</v>
      </c>
      <c r="R164" t="str">
        <f>LOOKUP(G164,Sheet2!$V$4:$W$7)</f>
        <v>0.0 - 0.249</v>
      </c>
      <c r="S164" t="str">
        <f>LOOKUP(H164,Sheet2!$Z$4:$AA$7)</f>
        <v>26-35</v>
      </c>
      <c r="T164" t="str">
        <f t="shared" si="6"/>
        <v>Negative</v>
      </c>
      <c r="U164" t="str">
        <f t="shared" si="7"/>
        <v>Not Sampled</v>
      </c>
      <c r="V164" s="1" t="str">
        <f t="shared" si="8"/>
        <v>Not Sampled</v>
      </c>
    </row>
    <row r="165" spans="1:22" x14ac:dyDescent="0.25">
      <c r="A165" s="1">
        <v>2</v>
      </c>
      <c r="B165" s="1">
        <v>100</v>
      </c>
      <c r="C165" s="1">
        <v>64</v>
      </c>
      <c r="D165" s="1">
        <v>23</v>
      </c>
      <c r="E165" s="1">
        <v>0</v>
      </c>
      <c r="F165" s="1">
        <v>29.7</v>
      </c>
      <c r="G165" s="1">
        <v>0.36799999999999999</v>
      </c>
      <c r="H165" s="1">
        <v>21</v>
      </c>
      <c r="I165" s="1">
        <v>0</v>
      </c>
      <c r="J165" s="1" t="str">
        <f>IFERROR(VLOOKUP(K165,[1]diabetes_Recognition!$A:$B,2,FALSE),"Not Sampled")</f>
        <v>Not Sampled</v>
      </c>
      <c r="K165" s="1">
        <v>163</v>
      </c>
      <c r="L165" s="1">
        <f>LOOKUP(A165,Sheet2!$D$4:$E$9)</f>
        <v>2</v>
      </c>
      <c r="M165" t="str">
        <f>LOOKUP(B165,Sheet2!$G$4:$H$9)</f>
        <v>100-125</v>
      </c>
      <c r="N165" t="str">
        <f>LOOKUP(C165,Sheet2!$J$4:$K$8)</f>
        <v>60-69</v>
      </c>
      <c r="O165" t="str">
        <f>LOOKUP(D165,Sheet2!$M$4:$N$8)</f>
        <v>10-30</v>
      </c>
      <c r="P165" t="str">
        <f>LOOKUP(E165,Sheet2!$P$4:$Q$9)</f>
        <v>Unknown</v>
      </c>
      <c r="Q165" t="str">
        <f>LOOKUP(F165,Sheet2!$S$4:$T$8)</f>
        <v>26-30</v>
      </c>
      <c r="R165" t="str">
        <f>LOOKUP(G165,Sheet2!$V$4:$W$7)</f>
        <v>0.25 - 0.39</v>
      </c>
      <c r="S165" t="str">
        <f>LOOKUP(H165,Sheet2!$Z$4:$AA$7)</f>
        <v>&lt;=25</v>
      </c>
      <c r="T165" t="str">
        <f t="shared" si="6"/>
        <v>Negative</v>
      </c>
      <c r="U165" t="str">
        <f t="shared" si="7"/>
        <v>Not Sampled</v>
      </c>
      <c r="V165" s="1" t="str">
        <f t="shared" si="8"/>
        <v>Not Sampled</v>
      </c>
    </row>
    <row r="166" spans="1:22" x14ac:dyDescent="0.25">
      <c r="A166" s="1">
        <v>0</v>
      </c>
      <c r="B166" s="1">
        <v>131</v>
      </c>
      <c r="C166" s="1">
        <v>88</v>
      </c>
      <c r="D166" s="1">
        <v>0</v>
      </c>
      <c r="E166" s="1">
        <v>0</v>
      </c>
      <c r="F166" s="1">
        <v>31.6</v>
      </c>
      <c r="G166" s="1">
        <v>0.74299999999999999</v>
      </c>
      <c r="H166" s="1">
        <v>32</v>
      </c>
      <c r="I166" s="1">
        <v>1</v>
      </c>
      <c r="J166" s="1" t="str">
        <f>IFERROR(VLOOKUP(K166,[1]diabetes_Recognition!$A:$B,2,FALSE),"Not Sampled")</f>
        <v>Not Sampled</v>
      </c>
      <c r="K166" s="1">
        <v>164</v>
      </c>
      <c r="L166" s="1">
        <f>LOOKUP(A166,Sheet2!$D$4:$E$9)</f>
        <v>0</v>
      </c>
      <c r="M166" t="str">
        <f>LOOKUP(B166,Sheet2!$G$4:$H$9)</f>
        <v>126-150</v>
      </c>
      <c r="N166" t="str">
        <f>LOOKUP(C166,Sheet2!$J$4:$K$8)</f>
        <v>80+</v>
      </c>
      <c r="O166" t="str">
        <f>LOOKUP(D166,Sheet2!$M$4:$N$8)</f>
        <v>Unknown</v>
      </c>
      <c r="P166" t="str">
        <f>LOOKUP(E166,Sheet2!$P$4:$Q$9)</f>
        <v>Unknown</v>
      </c>
      <c r="Q166" t="str">
        <f>LOOKUP(F166,Sheet2!$S$4:$T$8)</f>
        <v>31-35</v>
      </c>
      <c r="R166" t="str">
        <f>LOOKUP(G166,Sheet2!$V$4:$W$7)</f>
        <v>0.7+</v>
      </c>
      <c r="S166" t="str">
        <f>LOOKUP(H166,Sheet2!$Z$4:$AA$7)</f>
        <v>26-35</v>
      </c>
      <c r="T166" t="str">
        <f t="shared" si="6"/>
        <v>Positive</v>
      </c>
      <c r="U166" t="str">
        <f t="shared" si="7"/>
        <v>Not Sampled</v>
      </c>
      <c r="V166" s="1" t="str">
        <f t="shared" si="8"/>
        <v>Not Sampled</v>
      </c>
    </row>
    <row r="167" spans="1:22" x14ac:dyDescent="0.25">
      <c r="A167" s="1">
        <v>6</v>
      </c>
      <c r="B167" s="1">
        <v>104</v>
      </c>
      <c r="C167" s="1">
        <v>74</v>
      </c>
      <c r="D167" s="1">
        <v>18</v>
      </c>
      <c r="E167" s="1">
        <v>156</v>
      </c>
      <c r="F167" s="1">
        <v>29.9</v>
      </c>
      <c r="G167" s="1">
        <v>0.72199999999999998</v>
      </c>
      <c r="H167" s="1">
        <v>41</v>
      </c>
      <c r="I167" s="1">
        <v>1</v>
      </c>
      <c r="J167" s="1">
        <f>IFERROR(VLOOKUP(K167,[1]diabetes_Recognition!$A:$B,2,FALSE),"Not Sampled")</f>
        <v>0</v>
      </c>
      <c r="K167" s="1">
        <v>165</v>
      </c>
      <c r="L167" s="1" t="str">
        <f>LOOKUP(A167,Sheet2!$D$4:$E$9)</f>
        <v>5-7</v>
      </c>
      <c r="M167" t="str">
        <f>LOOKUP(B167,Sheet2!$G$4:$H$9)</f>
        <v>100-125</v>
      </c>
      <c r="N167" t="str">
        <f>LOOKUP(C167,Sheet2!$J$4:$K$8)</f>
        <v>70-79</v>
      </c>
      <c r="O167" t="str">
        <f>LOOKUP(D167,Sheet2!$M$4:$N$8)</f>
        <v>10-30</v>
      </c>
      <c r="P167" t="str">
        <f>LOOKUP(E167,Sheet2!$P$4:$Q$9)</f>
        <v>100-199</v>
      </c>
      <c r="Q167" t="str">
        <f>LOOKUP(F167,Sheet2!$S$4:$T$8)</f>
        <v>26-30</v>
      </c>
      <c r="R167" t="str">
        <f>LOOKUP(G167,Sheet2!$V$4:$W$7)</f>
        <v>0.7+</v>
      </c>
      <c r="S167" t="str">
        <f>LOOKUP(H167,Sheet2!$Z$4:$AA$7)</f>
        <v>36-45</v>
      </c>
      <c r="T167" t="str">
        <f t="shared" si="6"/>
        <v>Positive</v>
      </c>
      <c r="U167" t="str">
        <f t="shared" si="7"/>
        <v>Negative</v>
      </c>
      <c r="V167" s="1" t="str">
        <f t="shared" si="8"/>
        <v>Inaccurate Prediction</v>
      </c>
    </row>
    <row r="168" spans="1:22" x14ac:dyDescent="0.25">
      <c r="A168" s="1">
        <v>3</v>
      </c>
      <c r="B168" s="1">
        <v>148</v>
      </c>
      <c r="C168" s="1">
        <v>66</v>
      </c>
      <c r="D168" s="1">
        <v>25</v>
      </c>
      <c r="E168" s="1">
        <v>0</v>
      </c>
      <c r="F168" s="1">
        <v>32.5</v>
      </c>
      <c r="G168" s="1">
        <v>0.25600000000000001</v>
      </c>
      <c r="H168" s="1">
        <v>22</v>
      </c>
      <c r="I168" s="1">
        <v>0</v>
      </c>
      <c r="J168" s="1" t="str">
        <f>IFERROR(VLOOKUP(K168,[1]diabetes_Recognition!$A:$B,2,FALSE),"Not Sampled")</f>
        <v>Not Sampled</v>
      </c>
      <c r="K168" s="1">
        <v>166</v>
      </c>
      <c r="L168" s="1" t="str">
        <f>LOOKUP(A168,Sheet2!$D$4:$E$9)</f>
        <v>3-4</v>
      </c>
      <c r="M168" t="str">
        <f>LOOKUP(B168,Sheet2!$G$4:$H$9)</f>
        <v>126-150</v>
      </c>
      <c r="N168" t="str">
        <f>LOOKUP(C168,Sheet2!$J$4:$K$8)</f>
        <v>60-69</v>
      </c>
      <c r="O168" t="str">
        <f>LOOKUP(D168,Sheet2!$M$4:$N$8)</f>
        <v>10-30</v>
      </c>
      <c r="P168" t="str">
        <f>LOOKUP(E168,Sheet2!$P$4:$Q$9)</f>
        <v>Unknown</v>
      </c>
      <c r="Q168" t="str">
        <f>LOOKUP(F168,Sheet2!$S$4:$T$8)</f>
        <v>31-35</v>
      </c>
      <c r="R168" t="str">
        <f>LOOKUP(G168,Sheet2!$V$4:$W$7)</f>
        <v>0.25 - 0.39</v>
      </c>
      <c r="S168" t="str">
        <f>LOOKUP(H168,Sheet2!$Z$4:$AA$7)</f>
        <v>&lt;=25</v>
      </c>
      <c r="T168" t="str">
        <f t="shared" si="6"/>
        <v>Negative</v>
      </c>
      <c r="U168" t="str">
        <f t="shared" si="7"/>
        <v>Not Sampled</v>
      </c>
      <c r="V168" s="1" t="str">
        <f t="shared" si="8"/>
        <v>Not Sampled</v>
      </c>
    </row>
    <row r="169" spans="1:22" x14ac:dyDescent="0.25">
      <c r="A169" s="1">
        <v>4</v>
      </c>
      <c r="B169" s="1">
        <v>120</v>
      </c>
      <c r="C169" s="1">
        <v>68</v>
      </c>
      <c r="D169" s="1">
        <v>0</v>
      </c>
      <c r="E169" s="1">
        <v>0</v>
      </c>
      <c r="F169" s="1">
        <v>29.6</v>
      </c>
      <c r="G169" s="1">
        <v>0.70899999999999996</v>
      </c>
      <c r="H169" s="1">
        <v>34</v>
      </c>
      <c r="I169" s="1">
        <v>0</v>
      </c>
      <c r="J169" s="1">
        <f>IFERROR(VLOOKUP(K169,[1]diabetes_Recognition!$A:$B,2,FALSE),"Not Sampled")</f>
        <v>0</v>
      </c>
      <c r="K169" s="1">
        <v>167</v>
      </c>
      <c r="L169" s="1" t="str">
        <f>LOOKUP(A169,Sheet2!$D$4:$E$9)</f>
        <v>3-4</v>
      </c>
      <c r="M169" t="str">
        <f>LOOKUP(B169,Sheet2!$G$4:$H$9)</f>
        <v>100-125</v>
      </c>
      <c r="N169" t="str">
        <f>LOOKUP(C169,Sheet2!$J$4:$K$8)</f>
        <v>60-69</v>
      </c>
      <c r="O169" t="str">
        <f>LOOKUP(D169,Sheet2!$M$4:$N$8)</f>
        <v>Unknown</v>
      </c>
      <c r="P169" t="str">
        <f>LOOKUP(E169,Sheet2!$P$4:$Q$9)</f>
        <v>Unknown</v>
      </c>
      <c r="Q169" t="str">
        <f>LOOKUP(F169,Sheet2!$S$4:$T$8)</f>
        <v>26-30</v>
      </c>
      <c r="R169" t="str">
        <f>LOOKUP(G169,Sheet2!$V$4:$W$7)</f>
        <v>0.7+</v>
      </c>
      <c r="S169" t="str">
        <f>LOOKUP(H169,Sheet2!$Z$4:$AA$7)</f>
        <v>26-35</v>
      </c>
      <c r="T169" t="str">
        <f t="shared" si="6"/>
        <v>Negative</v>
      </c>
      <c r="U169" t="str">
        <f t="shared" si="7"/>
        <v>Negative</v>
      </c>
      <c r="V169" s="1" t="str">
        <f t="shared" si="8"/>
        <v>Accurate Prediction</v>
      </c>
    </row>
    <row r="170" spans="1:22" x14ac:dyDescent="0.25">
      <c r="A170" s="1">
        <v>4</v>
      </c>
      <c r="B170" s="1">
        <v>110</v>
      </c>
      <c r="C170" s="1">
        <v>66</v>
      </c>
      <c r="D170" s="1">
        <v>0</v>
      </c>
      <c r="E170" s="1">
        <v>0</v>
      </c>
      <c r="F170" s="1">
        <v>31.9</v>
      </c>
      <c r="G170" s="1">
        <v>0.47099999999999997</v>
      </c>
      <c r="H170" s="1">
        <v>29</v>
      </c>
      <c r="I170" s="1">
        <v>0</v>
      </c>
      <c r="J170" s="1" t="str">
        <f>IFERROR(VLOOKUP(K170,[1]diabetes_Recognition!$A:$B,2,FALSE),"Not Sampled")</f>
        <v>Not Sampled</v>
      </c>
      <c r="K170" s="1">
        <v>168</v>
      </c>
      <c r="L170" s="1" t="str">
        <f>LOOKUP(A170,Sheet2!$D$4:$E$9)</f>
        <v>3-4</v>
      </c>
      <c r="M170" t="str">
        <f>LOOKUP(B170,Sheet2!$G$4:$H$9)</f>
        <v>100-125</v>
      </c>
      <c r="N170" t="str">
        <f>LOOKUP(C170,Sheet2!$J$4:$K$8)</f>
        <v>60-69</v>
      </c>
      <c r="O170" t="str">
        <f>LOOKUP(D170,Sheet2!$M$4:$N$8)</f>
        <v>Unknown</v>
      </c>
      <c r="P170" t="str">
        <f>LOOKUP(E170,Sheet2!$P$4:$Q$9)</f>
        <v>Unknown</v>
      </c>
      <c r="Q170" t="str">
        <f>LOOKUP(F170,Sheet2!$S$4:$T$8)</f>
        <v>31-35</v>
      </c>
      <c r="R170" t="str">
        <f>LOOKUP(G170,Sheet2!$V$4:$W$7)</f>
        <v>0.4 - 0.69</v>
      </c>
      <c r="S170" t="str">
        <f>LOOKUP(H170,Sheet2!$Z$4:$AA$7)</f>
        <v>26-35</v>
      </c>
      <c r="T170" t="str">
        <f t="shared" si="6"/>
        <v>Negative</v>
      </c>
      <c r="U170" t="str">
        <f t="shared" si="7"/>
        <v>Not Sampled</v>
      </c>
      <c r="V170" s="1" t="str">
        <f t="shared" si="8"/>
        <v>Not Sampled</v>
      </c>
    </row>
    <row r="171" spans="1:22" x14ac:dyDescent="0.25">
      <c r="A171" s="1">
        <v>3</v>
      </c>
      <c r="B171" s="1">
        <v>111</v>
      </c>
      <c r="C171" s="1">
        <v>90</v>
      </c>
      <c r="D171" s="1">
        <v>12</v>
      </c>
      <c r="E171" s="1">
        <v>78</v>
      </c>
      <c r="F171" s="1">
        <v>28.4</v>
      </c>
      <c r="G171" s="1">
        <v>0.495</v>
      </c>
      <c r="H171" s="1">
        <v>29</v>
      </c>
      <c r="I171" s="1">
        <v>0</v>
      </c>
      <c r="J171" s="1">
        <f>IFERROR(VLOOKUP(K171,[1]diabetes_Recognition!$A:$B,2,FALSE),"Not Sampled")</f>
        <v>0</v>
      </c>
      <c r="K171" s="1">
        <v>169</v>
      </c>
      <c r="L171" s="1" t="str">
        <f>LOOKUP(A171,Sheet2!$D$4:$E$9)</f>
        <v>3-4</v>
      </c>
      <c r="M171" t="str">
        <f>LOOKUP(B171,Sheet2!$G$4:$H$9)</f>
        <v>100-125</v>
      </c>
      <c r="N171" t="str">
        <f>LOOKUP(C171,Sheet2!$J$4:$K$8)</f>
        <v>80+</v>
      </c>
      <c r="O171" t="str">
        <f>LOOKUP(D171,Sheet2!$M$4:$N$8)</f>
        <v>10-30</v>
      </c>
      <c r="P171" t="str">
        <f>LOOKUP(E171,Sheet2!$P$4:$Q$9)</f>
        <v>1-99</v>
      </c>
      <c r="Q171" t="str">
        <f>LOOKUP(F171,Sheet2!$S$4:$T$8)</f>
        <v>26-30</v>
      </c>
      <c r="R171" t="str">
        <f>LOOKUP(G171,Sheet2!$V$4:$W$7)</f>
        <v>0.4 - 0.69</v>
      </c>
      <c r="S171" t="str">
        <f>LOOKUP(H171,Sheet2!$Z$4:$AA$7)</f>
        <v>26-35</v>
      </c>
      <c r="T171" t="str">
        <f t="shared" si="6"/>
        <v>Negative</v>
      </c>
      <c r="U171" t="str">
        <f t="shared" si="7"/>
        <v>Negative</v>
      </c>
      <c r="V171" s="1" t="str">
        <f t="shared" si="8"/>
        <v>Accurate Prediction</v>
      </c>
    </row>
    <row r="172" spans="1:22" x14ac:dyDescent="0.25">
      <c r="A172" s="1">
        <v>6</v>
      </c>
      <c r="B172" s="1">
        <v>102</v>
      </c>
      <c r="C172" s="1">
        <v>82</v>
      </c>
      <c r="D172" s="1">
        <v>0</v>
      </c>
      <c r="E172" s="1">
        <v>0</v>
      </c>
      <c r="F172" s="1">
        <v>30.8</v>
      </c>
      <c r="G172" s="1">
        <v>0.18</v>
      </c>
      <c r="H172" s="1">
        <v>36</v>
      </c>
      <c r="I172" s="1">
        <v>1</v>
      </c>
      <c r="J172" s="1" t="str">
        <f>IFERROR(VLOOKUP(K172,[1]diabetes_Recognition!$A:$B,2,FALSE),"Not Sampled")</f>
        <v>Not Sampled</v>
      </c>
      <c r="K172" s="1">
        <v>170</v>
      </c>
      <c r="L172" s="1" t="str">
        <f>LOOKUP(A172,Sheet2!$D$4:$E$9)</f>
        <v>5-7</v>
      </c>
      <c r="M172" t="str">
        <f>LOOKUP(B172,Sheet2!$G$4:$H$9)</f>
        <v>100-125</v>
      </c>
      <c r="N172" t="str">
        <f>LOOKUP(C172,Sheet2!$J$4:$K$8)</f>
        <v>80+</v>
      </c>
      <c r="O172" t="str">
        <f>LOOKUP(D172,Sheet2!$M$4:$N$8)</f>
        <v>Unknown</v>
      </c>
      <c r="P172" t="str">
        <f>LOOKUP(E172,Sheet2!$P$4:$Q$9)</f>
        <v>Unknown</v>
      </c>
      <c r="Q172" t="str">
        <f>LOOKUP(F172,Sheet2!$S$4:$T$8)</f>
        <v>26-30</v>
      </c>
      <c r="R172" t="str">
        <f>LOOKUP(G172,Sheet2!$V$4:$W$7)</f>
        <v>0.0 - 0.249</v>
      </c>
      <c r="S172" t="str">
        <f>LOOKUP(H172,Sheet2!$Z$4:$AA$7)</f>
        <v>36-45</v>
      </c>
      <c r="T172" t="str">
        <f t="shared" si="6"/>
        <v>Positive</v>
      </c>
      <c r="U172" t="str">
        <f t="shared" si="7"/>
        <v>Not Sampled</v>
      </c>
      <c r="V172" s="1" t="str">
        <f t="shared" si="8"/>
        <v>Not Sampled</v>
      </c>
    </row>
    <row r="173" spans="1:22" x14ac:dyDescent="0.25">
      <c r="A173" s="1">
        <v>6</v>
      </c>
      <c r="B173" s="1">
        <v>134</v>
      </c>
      <c r="C173" s="1">
        <v>70</v>
      </c>
      <c r="D173" s="1">
        <v>23</v>
      </c>
      <c r="E173" s="1">
        <v>130</v>
      </c>
      <c r="F173" s="1">
        <v>35.4</v>
      </c>
      <c r="G173" s="1">
        <v>0.54200000000000004</v>
      </c>
      <c r="H173" s="1">
        <v>29</v>
      </c>
      <c r="I173" s="1">
        <v>1</v>
      </c>
      <c r="J173" s="1" t="str">
        <f>IFERROR(VLOOKUP(K173,[1]diabetes_Recognition!$A:$B,2,FALSE),"Not Sampled")</f>
        <v>Not Sampled</v>
      </c>
      <c r="K173" s="1">
        <v>171</v>
      </c>
      <c r="L173" s="1" t="str">
        <f>LOOKUP(A173,Sheet2!$D$4:$E$9)</f>
        <v>5-7</v>
      </c>
      <c r="M173" t="str">
        <f>LOOKUP(B173,Sheet2!$G$4:$H$9)</f>
        <v>126-150</v>
      </c>
      <c r="N173" t="str">
        <f>LOOKUP(C173,Sheet2!$J$4:$K$8)</f>
        <v>70-79</v>
      </c>
      <c r="O173" t="str">
        <f>LOOKUP(D173,Sheet2!$M$4:$N$8)</f>
        <v>10-30</v>
      </c>
      <c r="P173" t="str">
        <f>LOOKUP(E173,Sheet2!$P$4:$Q$9)</f>
        <v>100-199</v>
      </c>
      <c r="Q173" t="str">
        <f>LOOKUP(F173,Sheet2!$S$4:$T$8)</f>
        <v>31-35</v>
      </c>
      <c r="R173" t="str">
        <f>LOOKUP(G173,Sheet2!$V$4:$W$7)</f>
        <v>0.4 - 0.69</v>
      </c>
      <c r="S173" t="str">
        <f>LOOKUP(H173,Sheet2!$Z$4:$AA$7)</f>
        <v>26-35</v>
      </c>
      <c r="T173" t="str">
        <f t="shared" si="6"/>
        <v>Positive</v>
      </c>
      <c r="U173" t="str">
        <f t="shared" si="7"/>
        <v>Not Sampled</v>
      </c>
      <c r="V173" s="1" t="str">
        <f t="shared" si="8"/>
        <v>Not Sampled</v>
      </c>
    </row>
    <row r="174" spans="1:22" x14ac:dyDescent="0.25">
      <c r="A174" s="1">
        <v>2</v>
      </c>
      <c r="B174" s="1">
        <v>87</v>
      </c>
      <c r="C174" s="1">
        <v>0</v>
      </c>
      <c r="D174" s="1">
        <v>23</v>
      </c>
      <c r="E174" s="1">
        <v>0</v>
      </c>
      <c r="F174" s="1">
        <v>28.9</v>
      </c>
      <c r="G174" s="1">
        <v>0.77300000000000002</v>
      </c>
      <c r="H174" s="1">
        <v>25</v>
      </c>
      <c r="I174" s="1">
        <v>0</v>
      </c>
      <c r="J174" s="1" t="str">
        <f>IFERROR(VLOOKUP(K174,[1]diabetes_Recognition!$A:$B,2,FALSE),"Not Sampled")</f>
        <v>Not Sampled</v>
      </c>
      <c r="K174" s="1">
        <v>172</v>
      </c>
      <c r="L174" s="1">
        <f>LOOKUP(A174,Sheet2!$D$4:$E$9)</f>
        <v>2</v>
      </c>
      <c r="M174" t="str">
        <f>LOOKUP(B174,Sheet2!$G$4:$H$9)</f>
        <v>1-99</v>
      </c>
      <c r="N174" t="str">
        <f>LOOKUP(C174,Sheet2!$J$4:$K$8)</f>
        <v>Unknown</v>
      </c>
      <c r="O174" t="str">
        <f>LOOKUP(D174,Sheet2!$M$4:$N$8)</f>
        <v>10-30</v>
      </c>
      <c r="P174" t="str">
        <f>LOOKUP(E174,Sheet2!$P$4:$Q$9)</f>
        <v>Unknown</v>
      </c>
      <c r="Q174" t="str">
        <f>LOOKUP(F174,Sheet2!$S$4:$T$8)</f>
        <v>26-30</v>
      </c>
      <c r="R174" t="str">
        <f>LOOKUP(G174,Sheet2!$V$4:$W$7)</f>
        <v>0.7+</v>
      </c>
      <c r="S174" t="str">
        <f>LOOKUP(H174,Sheet2!$Z$4:$AA$7)</f>
        <v>&lt;=25</v>
      </c>
      <c r="T174" t="str">
        <f t="shared" si="6"/>
        <v>Negative</v>
      </c>
      <c r="U174" t="str">
        <f t="shared" si="7"/>
        <v>Not Sampled</v>
      </c>
      <c r="V174" s="1" t="str">
        <f t="shared" si="8"/>
        <v>Not Sampled</v>
      </c>
    </row>
    <row r="175" spans="1:22" x14ac:dyDescent="0.25">
      <c r="A175" s="1">
        <v>1</v>
      </c>
      <c r="B175" s="1">
        <v>79</v>
      </c>
      <c r="C175" s="1">
        <v>60</v>
      </c>
      <c r="D175" s="1">
        <v>42</v>
      </c>
      <c r="E175" s="1">
        <v>48</v>
      </c>
      <c r="F175" s="1">
        <v>43.5</v>
      </c>
      <c r="G175" s="1">
        <v>0.67800000000000005</v>
      </c>
      <c r="H175" s="1">
        <v>23</v>
      </c>
      <c r="I175" s="1">
        <v>0</v>
      </c>
      <c r="J175" s="1" t="str">
        <f>IFERROR(VLOOKUP(K175,[1]diabetes_Recognition!$A:$B,2,FALSE),"Not Sampled")</f>
        <v>Not Sampled</v>
      </c>
      <c r="K175" s="1">
        <v>173</v>
      </c>
      <c r="L175" s="1">
        <f>LOOKUP(A175,Sheet2!$D$4:$E$9)</f>
        <v>1</v>
      </c>
      <c r="M175" t="str">
        <f>LOOKUP(B175,Sheet2!$G$4:$H$9)</f>
        <v>1-99</v>
      </c>
      <c r="N175" t="str">
        <f>LOOKUP(C175,Sheet2!$J$4:$K$8)</f>
        <v>60-69</v>
      </c>
      <c r="O175" t="str">
        <f>LOOKUP(D175,Sheet2!$M$4:$N$8)</f>
        <v>40+</v>
      </c>
      <c r="P175" t="str">
        <f>LOOKUP(E175,Sheet2!$P$4:$Q$9)</f>
        <v>1-99</v>
      </c>
      <c r="Q175" t="str">
        <f>LOOKUP(F175,Sheet2!$S$4:$T$8)</f>
        <v>36+</v>
      </c>
      <c r="R175" t="str">
        <f>LOOKUP(G175,Sheet2!$V$4:$W$7)</f>
        <v>0.4 - 0.69</v>
      </c>
      <c r="S175" t="str">
        <f>LOOKUP(H175,Sheet2!$Z$4:$AA$7)</f>
        <v>&lt;=25</v>
      </c>
      <c r="T175" t="str">
        <f t="shared" si="6"/>
        <v>Negative</v>
      </c>
      <c r="U175" t="str">
        <f t="shared" si="7"/>
        <v>Not Sampled</v>
      </c>
      <c r="V175" s="1" t="str">
        <f t="shared" si="8"/>
        <v>Not Sampled</v>
      </c>
    </row>
    <row r="176" spans="1:22" x14ac:dyDescent="0.25">
      <c r="A176" s="1">
        <v>2</v>
      </c>
      <c r="B176" s="1">
        <v>75</v>
      </c>
      <c r="C176" s="1">
        <v>64</v>
      </c>
      <c r="D176" s="1">
        <v>24</v>
      </c>
      <c r="E176" s="1">
        <v>55</v>
      </c>
      <c r="F176" s="1">
        <v>29.7</v>
      </c>
      <c r="G176" s="1">
        <v>0.37</v>
      </c>
      <c r="H176" s="1">
        <v>33</v>
      </c>
      <c r="I176" s="1">
        <v>0</v>
      </c>
      <c r="J176" s="1" t="str">
        <f>IFERROR(VLOOKUP(K176,[1]diabetes_Recognition!$A:$B,2,FALSE),"Not Sampled")</f>
        <v>Not Sampled</v>
      </c>
      <c r="K176" s="1">
        <v>174</v>
      </c>
      <c r="L176" s="1">
        <f>LOOKUP(A176,Sheet2!$D$4:$E$9)</f>
        <v>2</v>
      </c>
      <c r="M176" t="str">
        <f>LOOKUP(B176,Sheet2!$G$4:$H$9)</f>
        <v>1-99</v>
      </c>
      <c r="N176" t="str">
        <f>LOOKUP(C176,Sheet2!$J$4:$K$8)</f>
        <v>60-69</v>
      </c>
      <c r="O176" t="str">
        <f>LOOKUP(D176,Sheet2!$M$4:$N$8)</f>
        <v>10-30</v>
      </c>
      <c r="P176" t="str">
        <f>LOOKUP(E176,Sheet2!$P$4:$Q$9)</f>
        <v>1-99</v>
      </c>
      <c r="Q176" t="str">
        <f>LOOKUP(F176,Sheet2!$S$4:$T$8)</f>
        <v>26-30</v>
      </c>
      <c r="R176" t="str">
        <f>LOOKUP(G176,Sheet2!$V$4:$W$7)</f>
        <v>0.25 - 0.39</v>
      </c>
      <c r="S176" t="str">
        <f>LOOKUP(H176,Sheet2!$Z$4:$AA$7)</f>
        <v>26-35</v>
      </c>
      <c r="T176" t="str">
        <f t="shared" si="6"/>
        <v>Negative</v>
      </c>
      <c r="U176" t="str">
        <f t="shared" si="7"/>
        <v>Not Sampled</v>
      </c>
      <c r="V176" s="1" t="str">
        <f t="shared" si="8"/>
        <v>Not Sampled</v>
      </c>
    </row>
    <row r="177" spans="1:22" x14ac:dyDescent="0.25">
      <c r="A177" s="1">
        <v>8</v>
      </c>
      <c r="B177" s="1">
        <v>179</v>
      </c>
      <c r="C177" s="1">
        <v>72</v>
      </c>
      <c r="D177" s="1">
        <v>42</v>
      </c>
      <c r="E177" s="1">
        <v>130</v>
      </c>
      <c r="F177" s="1">
        <v>32.700000000000003</v>
      </c>
      <c r="G177" s="1">
        <v>0.71899999999999997</v>
      </c>
      <c r="H177" s="1">
        <v>36</v>
      </c>
      <c r="I177" s="1">
        <v>1</v>
      </c>
      <c r="J177" s="1" t="str">
        <f>IFERROR(VLOOKUP(K177,[1]diabetes_Recognition!$A:$B,2,FALSE),"Not Sampled")</f>
        <v>Not Sampled</v>
      </c>
      <c r="K177" s="1">
        <v>175</v>
      </c>
      <c r="L177" s="1" t="str">
        <f>LOOKUP(A177,Sheet2!$D$4:$E$9)</f>
        <v>8+</v>
      </c>
      <c r="M177" t="str">
        <f>LOOKUP(B177,Sheet2!$G$4:$H$9)</f>
        <v>176-200</v>
      </c>
      <c r="N177" t="str">
        <f>LOOKUP(C177,Sheet2!$J$4:$K$8)</f>
        <v>70-79</v>
      </c>
      <c r="O177" t="str">
        <f>LOOKUP(D177,Sheet2!$M$4:$N$8)</f>
        <v>40+</v>
      </c>
      <c r="P177" t="str">
        <f>LOOKUP(E177,Sheet2!$P$4:$Q$9)</f>
        <v>100-199</v>
      </c>
      <c r="Q177" t="str">
        <f>LOOKUP(F177,Sheet2!$S$4:$T$8)</f>
        <v>31-35</v>
      </c>
      <c r="R177" t="str">
        <f>LOOKUP(G177,Sheet2!$V$4:$W$7)</f>
        <v>0.7+</v>
      </c>
      <c r="S177" t="str">
        <f>LOOKUP(H177,Sheet2!$Z$4:$AA$7)</f>
        <v>36-45</v>
      </c>
      <c r="T177" t="str">
        <f t="shared" si="6"/>
        <v>Positive</v>
      </c>
      <c r="U177" t="str">
        <f t="shared" si="7"/>
        <v>Not Sampled</v>
      </c>
      <c r="V177" s="1" t="str">
        <f t="shared" si="8"/>
        <v>Not Sampled</v>
      </c>
    </row>
    <row r="178" spans="1:22" x14ac:dyDescent="0.25">
      <c r="A178" s="1">
        <v>6</v>
      </c>
      <c r="B178" s="1">
        <v>85</v>
      </c>
      <c r="C178" s="1">
        <v>78</v>
      </c>
      <c r="D178" s="1">
        <v>0</v>
      </c>
      <c r="E178" s="1">
        <v>0</v>
      </c>
      <c r="F178" s="1">
        <v>31.2</v>
      </c>
      <c r="G178" s="1">
        <v>0.38200000000000001</v>
      </c>
      <c r="H178" s="1">
        <v>42</v>
      </c>
      <c r="I178" s="1">
        <v>0</v>
      </c>
      <c r="J178" s="1" t="str">
        <f>IFERROR(VLOOKUP(K178,[1]diabetes_Recognition!$A:$B,2,FALSE),"Not Sampled")</f>
        <v>Not Sampled</v>
      </c>
      <c r="K178" s="1">
        <v>176</v>
      </c>
      <c r="L178" s="1" t="str">
        <f>LOOKUP(A178,Sheet2!$D$4:$E$9)</f>
        <v>5-7</v>
      </c>
      <c r="M178" t="str">
        <f>LOOKUP(B178,Sheet2!$G$4:$H$9)</f>
        <v>1-99</v>
      </c>
      <c r="N178" t="str">
        <f>LOOKUP(C178,Sheet2!$J$4:$K$8)</f>
        <v>70-79</v>
      </c>
      <c r="O178" t="str">
        <f>LOOKUP(D178,Sheet2!$M$4:$N$8)</f>
        <v>Unknown</v>
      </c>
      <c r="P178" t="str">
        <f>LOOKUP(E178,Sheet2!$P$4:$Q$9)</f>
        <v>Unknown</v>
      </c>
      <c r="Q178" t="str">
        <f>LOOKUP(F178,Sheet2!$S$4:$T$8)</f>
        <v>31-35</v>
      </c>
      <c r="R178" t="str">
        <f>LOOKUP(G178,Sheet2!$V$4:$W$7)</f>
        <v>0.25 - 0.39</v>
      </c>
      <c r="S178" t="str">
        <f>LOOKUP(H178,Sheet2!$Z$4:$AA$7)</f>
        <v>36-45</v>
      </c>
      <c r="T178" t="str">
        <f t="shared" si="6"/>
        <v>Negative</v>
      </c>
      <c r="U178" t="str">
        <f t="shared" si="7"/>
        <v>Not Sampled</v>
      </c>
      <c r="V178" s="1" t="str">
        <f t="shared" si="8"/>
        <v>Not Sampled</v>
      </c>
    </row>
    <row r="179" spans="1:22" x14ac:dyDescent="0.25">
      <c r="A179" s="1">
        <v>0</v>
      </c>
      <c r="B179" s="1">
        <v>129</v>
      </c>
      <c r="C179" s="1">
        <v>110</v>
      </c>
      <c r="D179" s="1">
        <v>46</v>
      </c>
      <c r="E179" s="1">
        <v>130</v>
      </c>
      <c r="F179" s="1">
        <v>67.099999999999994</v>
      </c>
      <c r="G179" s="1">
        <v>0.31900000000000001</v>
      </c>
      <c r="H179" s="1">
        <v>26</v>
      </c>
      <c r="I179" s="1">
        <v>1</v>
      </c>
      <c r="J179" s="1">
        <f>IFERROR(VLOOKUP(K179,[1]diabetes_Recognition!$A:$B,2,FALSE),"Not Sampled")</f>
        <v>1</v>
      </c>
      <c r="K179" s="1">
        <v>177</v>
      </c>
      <c r="L179" s="1">
        <f>LOOKUP(A179,Sheet2!$D$4:$E$9)</f>
        <v>0</v>
      </c>
      <c r="M179" t="str">
        <f>LOOKUP(B179,Sheet2!$G$4:$H$9)</f>
        <v>126-150</v>
      </c>
      <c r="N179" t="str">
        <f>LOOKUP(C179,Sheet2!$J$4:$K$8)</f>
        <v>80+</v>
      </c>
      <c r="O179" t="str">
        <f>LOOKUP(D179,Sheet2!$M$4:$N$8)</f>
        <v>40+</v>
      </c>
      <c r="P179" t="str">
        <f>LOOKUP(E179,Sheet2!$P$4:$Q$9)</f>
        <v>100-199</v>
      </c>
      <c r="Q179" t="str">
        <f>LOOKUP(F179,Sheet2!$S$4:$T$8)</f>
        <v>36+</v>
      </c>
      <c r="R179" t="str">
        <f>LOOKUP(G179,Sheet2!$V$4:$W$7)</f>
        <v>0.25 - 0.39</v>
      </c>
      <c r="S179" t="str">
        <f>LOOKUP(H179,Sheet2!$Z$4:$AA$7)</f>
        <v>26-35</v>
      </c>
      <c r="T179" t="str">
        <f t="shared" si="6"/>
        <v>Positive</v>
      </c>
      <c r="U179" t="str">
        <f t="shared" si="7"/>
        <v>Positive</v>
      </c>
      <c r="V179" s="1" t="str">
        <f t="shared" si="8"/>
        <v>Accurate Prediction</v>
      </c>
    </row>
    <row r="180" spans="1:22" x14ac:dyDescent="0.25">
      <c r="A180" s="1">
        <v>5</v>
      </c>
      <c r="B180" s="1">
        <v>143</v>
      </c>
      <c r="C180" s="1">
        <v>78</v>
      </c>
      <c r="D180" s="1">
        <v>0</v>
      </c>
      <c r="E180" s="1">
        <v>0</v>
      </c>
      <c r="F180" s="1">
        <v>45</v>
      </c>
      <c r="G180" s="1">
        <v>0.19</v>
      </c>
      <c r="H180" s="1">
        <v>47</v>
      </c>
      <c r="I180" s="1">
        <v>0</v>
      </c>
      <c r="J180" s="1" t="str">
        <f>IFERROR(VLOOKUP(K180,[1]diabetes_Recognition!$A:$B,2,FALSE),"Not Sampled")</f>
        <v>Not Sampled</v>
      </c>
      <c r="K180" s="1">
        <v>178</v>
      </c>
      <c r="L180" s="1" t="str">
        <f>LOOKUP(A180,Sheet2!$D$4:$E$9)</f>
        <v>5-7</v>
      </c>
      <c r="M180" t="str">
        <f>LOOKUP(B180,Sheet2!$G$4:$H$9)</f>
        <v>126-150</v>
      </c>
      <c r="N180" t="str">
        <f>LOOKUP(C180,Sheet2!$J$4:$K$8)</f>
        <v>70-79</v>
      </c>
      <c r="O180" t="str">
        <f>LOOKUP(D180,Sheet2!$M$4:$N$8)</f>
        <v>Unknown</v>
      </c>
      <c r="P180" t="str">
        <f>LOOKUP(E180,Sheet2!$P$4:$Q$9)</f>
        <v>Unknown</v>
      </c>
      <c r="Q180" t="str">
        <f>LOOKUP(F180,Sheet2!$S$4:$T$8)</f>
        <v>36+</v>
      </c>
      <c r="R180" t="str">
        <f>LOOKUP(G180,Sheet2!$V$4:$W$7)</f>
        <v>0.0 - 0.249</v>
      </c>
      <c r="S180" t="str">
        <f>LOOKUP(H180,Sheet2!$Z$4:$AA$7)</f>
        <v>46+</v>
      </c>
      <c r="T180" t="str">
        <f t="shared" si="6"/>
        <v>Negative</v>
      </c>
      <c r="U180" t="str">
        <f t="shared" si="7"/>
        <v>Not Sampled</v>
      </c>
      <c r="V180" s="1" t="str">
        <f t="shared" si="8"/>
        <v>Not Sampled</v>
      </c>
    </row>
    <row r="181" spans="1:22" x14ac:dyDescent="0.25">
      <c r="A181" s="1">
        <v>5</v>
      </c>
      <c r="B181" s="1">
        <v>130</v>
      </c>
      <c r="C181" s="1">
        <v>82</v>
      </c>
      <c r="D181" s="1">
        <v>0</v>
      </c>
      <c r="E181" s="1">
        <v>0</v>
      </c>
      <c r="F181" s="1">
        <v>39.1</v>
      </c>
      <c r="G181" s="1">
        <v>0.95599999999999996</v>
      </c>
      <c r="H181" s="1">
        <v>37</v>
      </c>
      <c r="I181" s="1">
        <v>1</v>
      </c>
      <c r="J181" s="1" t="str">
        <f>IFERROR(VLOOKUP(K181,[1]diabetes_Recognition!$A:$B,2,FALSE),"Not Sampled")</f>
        <v>Not Sampled</v>
      </c>
      <c r="K181" s="1">
        <v>179</v>
      </c>
      <c r="L181" s="1" t="str">
        <f>LOOKUP(A181,Sheet2!$D$4:$E$9)</f>
        <v>5-7</v>
      </c>
      <c r="M181" t="str">
        <f>LOOKUP(B181,Sheet2!$G$4:$H$9)</f>
        <v>126-150</v>
      </c>
      <c r="N181" t="str">
        <f>LOOKUP(C181,Sheet2!$J$4:$K$8)</f>
        <v>80+</v>
      </c>
      <c r="O181" t="str">
        <f>LOOKUP(D181,Sheet2!$M$4:$N$8)</f>
        <v>Unknown</v>
      </c>
      <c r="P181" t="str">
        <f>LOOKUP(E181,Sheet2!$P$4:$Q$9)</f>
        <v>Unknown</v>
      </c>
      <c r="Q181" t="str">
        <f>LOOKUP(F181,Sheet2!$S$4:$T$8)</f>
        <v>36+</v>
      </c>
      <c r="R181" t="str">
        <f>LOOKUP(G181,Sheet2!$V$4:$W$7)</f>
        <v>0.7+</v>
      </c>
      <c r="S181" t="str">
        <f>LOOKUP(H181,Sheet2!$Z$4:$AA$7)</f>
        <v>36-45</v>
      </c>
      <c r="T181" t="str">
        <f t="shared" si="6"/>
        <v>Positive</v>
      </c>
      <c r="U181" t="str">
        <f t="shared" si="7"/>
        <v>Not Sampled</v>
      </c>
      <c r="V181" s="1" t="str">
        <f t="shared" si="8"/>
        <v>Not Sampled</v>
      </c>
    </row>
    <row r="182" spans="1:22" x14ac:dyDescent="0.25">
      <c r="A182" s="1">
        <v>6</v>
      </c>
      <c r="B182" s="1">
        <v>87</v>
      </c>
      <c r="C182" s="1">
        <v>80</v>
      </c>
      <c r="D182" s="1">
        <v>0</v>
      </c>
      <c r="E182" s="1">
        <v>0</v>
      </c>
      <c r="F182" s="1">
        <v>23.2</v>
      </c>
      <c r="G182" s="1">
        <v>8.4000000000000005E-2</v>
      </c>
      <c r="H182" s="1">
        <v>32</v>
      </c>
      <c r="I182" s="1">
        <v>0</v>
      </c>
      <c r="J182" s="1" t="str">
        <f>IFERROR(VLOOKUP(K182,[1]diabetes_Recognition!$A:$B,2,FALSE),"Not Sampled")</f>
        <v>Not Sampled</v>
      </c>
      <c r="K182" s="1">
        <v>180</v>
      </c>
      <c r="L182" s="1" t="str">
        <f>LOOKUP(A182,Sheet2!$D$4:$E$9)</f>
        <v>5-7</v>
      </c>
      <c r="M182" t="str">
        <f>LOOKUP(B182,Sheet2!$G$4:$H$9)</f>
        <v>1-99</v>
      </c>
      <c r="N182" t="str">
        <f>LOOKUP(C182,Sheet2!$J$4:$K$8)</f>
        <v>80+</v>
      </c>
      <c r="O182" t="str">
        <f>LOOKUP(D182,Sheet2!$M$4:$N$8)</f>
        <v>Unknown</v>
      </c>
      <c r="P182" t="str">
        <f>LOOKUP(E182,Sheet2!$P$4:$Q$9)</f>
        <v>Unknown</v>
      </c>
      <c r="Q182" t="str">
        <f>LOOKUP(F182,Sheet2!$S$4:$T$8)</f>
        <v>1-25</v>
      </c>
      <c r="R182" t="str">
        <f>LOOKUP(G182,Sheet2!$V$4:$W$7)</f>
        <v>0.0 - 0.249</v>
      </c>
      <c r="S182" t="str">
        <f>LOOKUP(H182,Sheet2!$Z$4:$AA$7)</f>
        <v>26-35</v>
      </c>
      <c r="T182" t="str">
        <f t="shared" si="6"/>
        <v>Negative</v>
      </c>
      <c r="U182" t="str">
        <f t="shared" si="7"/>
        <v>Not Sampled</v>
      </c>
      <c r="V182" s="1" t="str">
        <f t="shared" si="8"/>
        <v>Not Sampled</v>
      </c>
    </row>
    <row r="183" spans="1:22" x14ac:dyDescent="0.25">
      <c r="A183" s="1">
        <v>0</v>
      </c>
      <c r="B183" s="1">
        <v>119</v>
      </c>
      <c r="C183" s="1">
        <v>64</v>
      </c>
      <c r="D183" s="1">
        <v>18</v>
      </c>
      <c r="E183" s="1">
        <v>92</v>
      </c>
      <c r="F183" s="1">
        <v>34.9</v>
      </c>
      <c r="G183" s="1">
        <v>0.72499999999999998</v>
      </c>
      <c r="H183" s="1">
        <v>23</v>
      </c>
      <c r="I183" s="1">
        <v>0</v>
      </c>
      <c r="J183" s="1">
        <f>IFERROR(VLOOKUP(K183,[1]diabetes_Recognition!$A:$B,2,FALSE),"Not Sampled")</f>
        <v>0</v>
      </c>
      <c r="K183" s="1">
        <v>181</v>
      </c>
      <c r="L183" s="1">
        <f>LOOKUP(A183,Sheet2!$D$4:$E$9)</f>
        <v>0</v>
      </c>
      <c r="M183" t="str">
        <f>LOOKUP(B183,Sheet2!$G$4:$H$9)</f>
        <v>100-125</v>
      </c>
      <c r="N183" t="str">
        <f>LOOKUP(C183,Sheet2!$J$4:$K$8)</f>
        <v>60-69</v>
      </c>
      <c r="O183" t="str">
        <f>LOOKUP(D183,Sheet2!$M$4:$N$8)</f>
        <v>10-30</v>
      </c>
      <c r="P183" t="str">
        <f>LOOKUP(E183,Sheet2!$P$4:$Q$9)</f>
        <v>1-99</v>
      </c>
      <c r="Q183" t="str">
        <f>LOOKUP(F183,Sheet2!$S$4:$T$8)</f>
        <v>31-35</v>
      </c>
      <c r="R183" t="str">
        <f>LOOKUP(G183,Sheet2!$V$4:$W$7)</f>
        <v>0.7+</v>
      </c>
      <c r="S183" t="str">
        <f>LOOKUP(H183,Sheet2!$Z$4:$AA$7)</f>
        <v>&lt;=25</v>
      </c>
      <c r="T183" t="str">
        <f t="shared" si="6"/>
        <v>Negative</v>
      </c>
      <c r="U183" t="str">
        <f t="shared" si="7"/>
        <v>Negative</v>
      </c>
      <c r="V183" s="1" t="str">
        <f t="shared" si="8"/>
        <v>Accurate Prediction</v>
      </c>
    </row>
    <row r="184" spans="1:22" x14ac:dyDescent="0.25">
      <c r="A184" s="1">
        <v>1</v>
      </c>
      <c r="B184" s="1">
        <v>0</v>
      </c>
      <c r="C184" s="1">
        <v>74</v>
      </c>
      <c r="D184" s="1">
        <v>20</v>
      </c>
      <c r="E184" s="1">
        <v>23</v>
      </c>
      <c r="F184" s="1">
        <v>27.7</v>
      </c>
      <c r="G184" s="1">
        <v>0.29899999999999999</v>
      </c>
      <c r="H184" s="1">
        <v>21</v>
      </c>
      <c r="I184" s="1">
        <v>0</v>
      </c>
      <c r="J184" s="1" t="str">
        <f>IFERROR(VLOOKUP(K184,[1]diabetes_Recognition!$A:$B,2,FALSE),"Not Sampled")</f>
        <v>Not Sampled</v>
      </c>
      <c r="K184" s="1">
        <v>182</v>
      </c>
      <c r="L184" s="1">
        <f>LOOKUP(A184,Sheet2!$D$4:$E$9)</f>
        <v>1</v>
      </c>
      <c r="M184" t="str">
        <f>LOOKUP(B184,Sheet2!$G$4:$H$9)</f>
        <v>Unknown</v>
      </c>
      <c r="N184" t="str">
        <f>LOOKUP(C184,Sheet2!$J$4:$K$8)</f>
        <v>70-79</v>
      </c>
      <c r="O184" t="str">
        <f>LOOKUP(D184,Sheet2!$M$4:$N$8)</f>
        <v>10-30</v>
      </c>
      <c r="P184" t="str">
        <f>LOOKUP(E184,Sheet2!$P$4:$Q$9)</f>
        <v>1-99</v>
      </c>
      <c r="Q184" t="str">
        <f>LOOKUP(F184,Sheet2!$S$4:$T$8)</f>
        <v>26-30</v>
      </c>
      <c r="R184" t="str">
        <f>LOOKUP(G184,Sheet2!$V$4:$W$7)</f>
        <v>0.25 - 0.39</v>
      </c>
      <c r="S184" t="str">
        <f>LOOKUP(H184,Sheet2!$Z$4:$AA$7)</f>
        <v>&lt;=25</v>
      </c>
      <c r="T184" t="str">
        <f t="shared" si="6"/>
        <v>Negative</v>
      </c>
      <c r="U184" t="str">
        <f t="shared" si="7"/>
        <v>Not Sampled</v>
      </c>
      <c r="V184" s="1" t="str">
        <f t="shared" si="8"/>
        <v>Not Sampled</v>
      </c>
    </row>
    <row r="185" spans="1:22" x14ac:dyDescent="0.25">
      <c r="A185" s="1">
        <v>5</v>
      </c>
      <c r="B185" s="1">
        <v>73</v>
      </c>
      <c r="C185" s="1">
        <v>60</v>
      </c>
      <c r="D185" s="1">
        <v>0</v>
      </c>
      <c r="E185" s="1">
        <v>0</v>
      </c>
      <c r="F185" s="1">
        <v>26.8</v>
      </c>
      <c r="G185" s="1">
        <v>0.26800000000000002</v>
      </c>
      <c r="H185" s="1">
        <v>27</v>
      </c>
      <c r="I185" s="1">
        <v>0</v>
      </c>
      <c r="J185" s="1" t="str">
        <f>IFERROR(VLOOKUP(K185,[1]diabetes_Recognition!$A:$B,2,FALSE),"Not Sampled")</f>
        <v>Not Sampled</v>
      </c>
      <c r="K185" s="1">
        <v>183</v>
      </c>
      <c r="L185" s="1" t="str">
        <f>LOOKUP(A185,Sheet2!$D$4:$E$9)</f>
        <v>5-7</v>
      </c>
      <c r="M185" t="str">
        <f>LOOKUP(B185,Sheet2!$G$4:$H$9)</f>
        <v>1-99</v>
      </c>
      <c r="N185" t="str">
        <f>LOOKUP(C185,Sheet2!$J$4:$K$8)</f>
        <v>60-69</v>
      </c>
      <c r="O185" t="str">
        <f>LOOKUP(D185,Sheet2!$M$4:$N$8)</f>
        <v>Unknown</v>
      </c>
      <c r="P185" t="str">
        <f>LOOKUP(E185,Sheet2!$P$4:$Q$9)</f>
        <v>Unknown</v>
      </c>
      <c r="Q185" t="str">
        <f>LOOKUP(F185,Sheet2!$S$4:$T$8)</f>
        <v>26-30</v>
      </c>
      <c r="R185" t="str">
        <f>LOOKUP(G185,Sheet2!$V$4:$W$7)</f>
        <v>0.25 - 0.39</v>
      </c>
      <c r="S185" t="str">
        <f>LOOKUP(H185,Sheet2!$Z$4:$AA$7)</f>
        <v>26-35</v>
      </c>
      <c r="T185" t="str">
        <f t="shared" si="6"/>
        <v>Negative</v>
      </c>
      <c r="U185" t="str">
        <f t="shared" si="7"/>
        <v>Not Sampled</v>
      </c>
      <c r="V185" s="1" t="str">
        <f t="shared" si="8"/>
        <v>Not Sampled</v>
      </c>
    </row>
    <row r="186" spans="1:22" x14ac:dyDescent="0.25">
      <c r="A186" s="1">
        <v>4</v>
      </c>
      <c r="B186" s="1">
        <v>141</v>
      </c>
      <c r="C186" s="1">
        <v>74</v>
      </c>
      <c r="D186" s="1">
        <v>0</v>
      </c>
      <c r="E186" s="1">
        <v>0</v>
      </c>
      <c r="F186" s="1">
        <v>27.6</v>
      </c>
      <c r="G186" s="1">
        <v>0.24399999999999999</v>
      </c>
      <c r="H186" s="1">
        <v>40</v>
      </c>
      <c r="I186" s="1">
        <v>0</v>
      </c>
      <c r="J186" s="1" t="str">
        <f>IFERROR(VLOOKUP(K186,[1]diabetes_Recognition!$A:$B,2,FALSE),"Not Sampled")</f>
        <v>Not Sampled</v>
      </c>
      <c r="K186" s="1">
        <v>184</v>
      </c>
      <c r="L186" s="1" t="str">
        <f>LOOKUP(A186,Sheet2!$D$4:$E$9)</f>
        <v>3-4</v>
      </c>
      <c r="M186" t="str">
        <f>LOOKUP(B186,Sheet2!$G$4:$H$9)</f>
        <v>126-150</v>
      </c>
      <c r="N186" t="str">
        <f>LOOKUP(C186,Sheet2!$J$4:$K$8)</f>
        <v>70-79</v>
      </c>
      <c r="O186" t="str">
        <f>LOOKUP(D186,Sheet2!$M$4:$N$8)</f>
        <v>Unknown</v>
      </c>
      <c r="P186" t="str">
        <f>LOOKUP(E186,Sheet2!$P$4:$Q$9)</f>
        <v>Unknown</v>
      </c>
      <c r="Q186" t="str">
        <f>LOOKUP(F186,Sheet2!$S$4:$T$8)</f>
        <v>26-30</v>
      </c>
      <c r="R186" t="str">
        <f>LOOKUP(G186,Sheet2!$V$4:$W$7)</f>
        <v>0.0 - 0.249</v>
      </c>
      <c r="S186" t="str">
        <f>LOOKUP(H186,Sheet2!$Z$4:$AA$7)</f>
        <v>36-45</v>
      </c>
      <c r="T186" t="str">
        <f t="shared" si="6"/>
        <v>Negative</v>
      </c>
      <c r="U186" t="str">
        <f t="shared" si="7"/>
        <v>Not Sampled</v>
      </c>
      <c r="V186" s="1" t="str">
        <f t="shared" si="8"/>
        <v>Not Sampled</v>
      </c>
    </row>
    <row r="187" spans="1:22" x14ac:dyDescent="0.25">
      <c r="A187" s="1">
        <v>7</v>
      </c>
      <c r="B187" s="1">
        <v>194</v>
      </c>
      <c r="C187" s="1">
        <v>68</v>
      </c>
      <c r="D187" s="1">
        <v>28</v>
      </c>
      <c r="E187" s="1">
        <v>0</v>
      </c>
      <c r="F187" s="1">
        <v>35.9</v>
      </c>
      <c r="G187" s="1">
        <v>0.745</v>
      </c>
      <c r="H187" s="1">
        <v>41</v>
      </c>
      <c r="I187" s="1">
        <v>1</v>
      </c>
      <c r="J187" s="1" t="str">
        <f>IFERROR(VLOOKUP(K187,[1]diabetes_Recognition!$A:$B,2,FALSE),"Not Sampled")</f>
        <v>Not Sampled</v>
      </c>
      <c r="K187" s="1">
        <v>185</v>
      </c>
      <c r="L187" s="1" t="str">
        <f>LOOKUP(A187,Sheet2!$D$4:$E$9)</f>
        <v>5-7</v>
      </c>
      <c r="M187" t="str">
        <f>LOOKUP(B187,Sheet2!$G$4:$H$9)</f>
        <v>176-200</v>
      </c>
      <c r="N187" t="str">
        <f>LOOKUP(C187,Sheet2!$J$4:$K$8)</f>
        <v>60-69</v>
      </c>
      <c r="O187" t="str">
        <f>LOOKUP(D187,Sheet2!$M$4:$N$8)</f>
        <v>10-30</v>
      </c>
      <c r="P187" t="str">
        <f>LOOKUP(E187,Sheet2!$P$4:$Q$9)</f>
        <v>Unknown</v>
      </c>
      <c r="Q187" t="str">
        <f>LOOKUP(F187,Sheet2!$S$4:$T$8)</f>
        <v>31-35</v>
      </c>
      <c r="R187" t="str">
        <f>LOOKUP(G187,Sheet2!$V$4:$W$7)</f>
        <v>0.7+</v>
      </c>
      <c r="S187" t="str">
        <f>LOOKUP(H187,Sheet2!$Z$4:$AA$7)</f>
        <v>36-45</v>
      </c>
      <c r="T187" t="str">
        <f t="shared" si="6"/>
        <v>Positive</v>
      </c>
      <c r="U187" t="str">
        <f t="shared" si="7"/>
        <v>Not Sampled</v>
      </c>
      <c r="V187" s="1" t="str">
        <f t="shared" si="8"/>
        <v>Not Sampled</v>
      </c>
    </row>
    <row r="188" spans="1:22" x14ac:dyDescent="0.25">
      <c r="A188" s="1">
        <v>8</v>
      </c>
      <c r="B188" s="1">
        <v>181</v>
      </c>
      <c r="C188" s="1">
        <v>68</v>
      </c>
      <c r="D188" s="1">
        <v>36</v>
      </c>
      <c r="E188" s="1">
        <v>495</v>
      </c>
      <c r="F188" s="1">
        <v>30.1</v>
      </c>
      <c r="G188" s="1">
        <v>0.61499999999999999</v>
      </c>
      <c r="H188" s="1">
        <v>60</v>
      </c>
      <c r="I188" s="1">
        <v>1</v>
      </c>
      <c r="J188" s="1">
        <f>IFERROR(VLOOKUP(K188,[1]diabetes_Recognition!$A:$B,2,FALSE),"Not Sampled")</f>
        <v>1</v>
      </c>
      <c r="K188" s="1">
        <v>186</v>
      </c>
      <c r="L188" s="1" t="str">
        <f>LOOKUP(A188,Sheet2!$D$4:$E$9)</f>
        <v>8+</v>
      </c>
      <c r="M188" t="str">
        <f>LOOKUP(B188,Sheet2!$G$4:$H$9)</f>
        <v>176-200</v>
      </c>
      <c r="N188" t="str">
        <f>LOOKUP(C188,Sheet2!$J$4:$K$8)</f>
        <v>60-69</v>
      </c>
      <c r="O188" t="str">
        <f>LOOKUP(D188,Sheet2!$M$4:$N$8)</f>
        <v>30-39</v>
      </c>
      <c r="P188" t="str">
        <f>LOOKUP(E188,Sheet2!$P$4:$Q$9)</f>
        <v>300-499</v>
      </c>
      <c r="Q188" t="str">
        <f>LOOKUP(F188,Sheet2!$S$4:$T$8)</f>
        <v>26-30</v>
      </c>
      <c r="R188" t="str">
        <f>LOOKUP(G188,Sheet2!$V$4:$W$7)</f>
        <v>0.4 - 0.69</v>
      </c>
      <c r="S188" t="str">
        <f>LOOKUP(H188,Sheet2!$Z$4:$AA$7)</f>
        <v>46+</v>
      </c>
      <c r="T188" t="str">
        <f t="shared" si="6"/>
        <v>Positive</v>
      </c>
      <c r="U188" t="str">
        <f t="shared" si="7"/>
        <v>Positive</v>
      </c>
      <c r="V188" s="1" t="str">
        <f t="shared" si="8"/>
        <v>Accurate Prediction</v>
      </c>
    </row>
    <row r="189" spans="1:22" x14ac:dyDescent="0.25">
      <c r="A189" s="1">
        <v>1</v>
      </c>
      <c r="B189" s="1">
        <v>128</v>
      </c>
      <c r="C189" s="1">
        <v>98</v>
      </c>
      <c r="D189" s="1">
        <v>41</v>
      </c>
      <c r="E189" s="1">
        <v>58</v>
      </c>
      <c r="F189" s="1">
        <v>32</v>
      </c>
      <c r="G189" s="1">
        <v>1.321</v>
      </c>
      <c r="H189" s="1">
        <v>33</v>
      </c>
      <c r="I189" s="1">
        <v>1</v>
      </c>
      <c r="J189" s="1" t="str">
        <f>IFERROR(VLOOKUP(K189,[1]diabetes_Recognition!$A:$B,2,FALSE),"Not Sampled")</f>
        <v>Not Sampled</v>
      </c>
      <c r="K189" s="1">
        <v>187</v>
      </c>
      <c r="L189" s="1">
        <f>LOOKUP(A189,Sheet2!$D$4:$E$9)</f>
        <v>1</v>
      </c>
      <c r="M189" t="str">
        <f>LOOKUP(B189,Sheet2!$G$4:$H$9)</f>
        <v>126-150</v>
      </c>
      <c r="N189" t="str">
        <f>LOOKUP(C189,Sheet2!$J$4:$K$8)</f>
        <v>80+</v>
      </c>
      <c r="O189" t="str">
        <f>LOOKUP(D189,Sheet2!$M$4:$N$8)</f>
        <v>40+</v>
      </c>
      <c r="P189" t="str">
        <f>LOOKUP(E189,Sheet2!$P$4:$Q$9)</f>
        <v>1-99</v>
      </c>
      <c r="Q189" t="str">
        <f>LOOKUP(F189,Sheet2!$S$4:$T$8)</f>
        <v>31-35</v>
      </c>
      <c r="R189" t="str">
        <f>LOOKUP(G189,Sheet2!$V$4:$W$7)</f>
        <v>0.7+</v>
      </c>
      <c r="S189" t="str">
        <f>LOOKUP(H189,Sheet2!$Z$4:$AA$7)</f>
        <v>26-35</v>
      </c>
      <c r="T189" t="str">
        <f t="shared" si="6"/>
        <v>Positive</v>
      </c>
      <c r="U189" t="str">
        <f t="shared" si="7"/>
        <v>Not Sampled</v>
      </c>
      <c r="V189" s="1" t="str">
        <f t="shared" si="8"/>
        <v>Not Sampled</v>
      </c>
    </row>
    <row r="190" spans="1:22" x14ac:dyDescent="0.25">
      <c r="A190" s="1">
        <v>8</v>
      </c>
      <c r="B190" s="1">
        <v>109</v>
      </c>
      <c r="C190" s="1">
        <v>76</v>
      </c>
      <c r="D190" s="1">
        <v>39</v>
      </c>
      <c r="E190" s="1">
        <v>114</v>
      </c>
      <c r="F190" s="1">
        <v>27.9</v>
      </c>
      <c r="G190" s="1">
        <v>0.64</v>
      </c>
      <c r="H190" s="1">
        <v>31</v>
      </c>
      <c r="I190" s="1">
        <v>1</v>
      </c>
      <c r="J190" s="1" t="str">
        <f>IFERROR(VLOOKUP(K190,[1]diabetes_Recognition!$A:$B,2,FALSE),"Not Sampled")</f>
        <v>Not Sampled</v>
      </c>
      <c r="K190" s="1">
        <v>188</v>
      </c>
      <c r="L190" s="1" t="str">
        <f>LOOKUP(A190,Sheet2!$D$4:$E$9)</f>
        <v>8+</v>
      </c>
      <c r="M190" t="str">
        <f>LOOKUP(B190,Sheet2!$G$4:$H$9)</f>
        <v>100-125</v>
      </c>
      <c r="N190" t="str">
        <f>LOOKUP(C190,Sheet2!$J$4:$K$8)</f>
        <v>70-79</v>
      </c>
      <c r="O190" t="str">
        <f>LOOKUP(D190,Sheet2!$M$4:$N$8)</f>
        <v>30-39</v>
      </c>
      <c r="P190" t="str">
        <f>LOOKUP(E190,Sheet2!$P$4:$Q$9)</f>
        <v>100-199</v>
      </c>
      <c r="Q190" t="str">
        <f>LOOKUP(F190,Sheet2!$S$4:$T$8)</f>
        <v>26-30</v>
      </c>
      <c r="R190" t="str">
        <f>LOOKUP(G190,Sheet2!$V$4:$W$7)</f>
        <v>0.4 - 0.69</v>
      </c>
      <c r="S190" t="str">
        <f>LOOKUP(H190,Sheet2!$Z$4:$AA$7)</f>
        <v>26-35</v>
      </c>
      <c r="T190" t="str">
        <f t="shared" si="6"/>
        <v>Positive</v>
      </c>
      <c r="U190" t="str">
        <f t="shared" si="7"/>
        <v>Not Sampled</v>
      </c>
      <c r="V190" s="1" t="str">
        <f t="shared" si="8"/>
        <v>Not Sampled</v>
      </c>
    </row>
    <row r="191" spans="1:22" x14ac:dyDescent="0.25">
      <c r="A191" s="1">
        <v>5</v>
      </c>
      <c r="B191" s="1">
        <v>139</v>
      </c>
      <c r="C191" s="1">
        <v>80</v>
      </c>
      <c r="D191" s="1">
        <v>35</v>
      </c>
      <c r="E191" s="1">
        <v>160</v>
      </c>
      <c r="F191" s="1">
        <v>31.6</v>
      </c>
      <c r="G191" s="1">
        <v>0.36099999999999999</v>
      </c>
      <c r="H191" s="1">
        <v>25</v>
      </c>
      <c r="I191" s="1">
        <v>1</v>
      </c>
      <c r="J191" s="1" t="str">
        <f>IFERROR(VLOOKUP(K191,[1]diabetes_Recognition!$A:$B,2,FALSE),"Not Sampled")</f>
        <v>Not Sampled</v>
      </c>
      <c r="K191" s="1">
        <v>189</v>
      </c>
      <c r="L191" s="1" t="str">
        <f>LOOKUP(A191,Sheet2!$D$4:$E$9)</f>
        <v>5-7</v>
      </c>
      <c r="M191" t="str">
        <f>LOOKUP(B191,Sheet2!$G$4:$H$9)</f>
        <v>126-150</v>
      </c>
      <c r="N191" t="str">
        <f>LOOKUP(C191,Sheet2!$J$4:$K$8)</f>
        <v>80+</v>
      </c>
      <c r="O191" t="str">
        <f>LOOKUP(D191,Sheet2!$M$4:$N$8)</f>
        <v>30-39</v>
      </c>
      <c r="P191" t="str">
        <f>LOOKUP(E191,Sheet2!$P$4:$Q$9)</f>
        <v>100-199</v>
      </c>
      <c r="Q191" t="str">
        <f>LOOKUP(F191,Sheet2!$S$4:$T$8)</f>
        <v>31-35</v>
      </c>
      <c r="R191" t="str">
        <f>LOOKUP(G191,Sheet2!$V$4:$W$7)</f>
        <v>0.25 - 0.39</v>
      </c>
      <c r="S191" t="str">
        <f>LOOKUP(H191,Sheet2!$Z$4:$AA$7)</f>
        <v>&lt;=25</v>
      </c>
      <c r="T191" t="str">
        <f t="shared" si="6"/>
        <v>Positive</v>
      </c>
      <c r="U191" t="str">
        <f t="shared" si="7"/>
        <v>Not Sampled</v>
      </c>
      <c r="V191" s="1" t="str">
        <f t="shared" si="8"/>
        <v>Not Sampled</v>
      </c>
    </row>
    <row r="192" spans="1:22" x14ac:dyDescent="0.25">
      <c r="A192" s="1">
        <v>3</v>
      </c>
      <c r="B192" s="1">
        <v>111</v>
      </c>
      <c r="C192" s="1">
        <v>62</v>
      </c>
      <c r="D192" s="1">
        <v>0</v>
      </c>
      <c r="E192" s="1">
        <v>0</v>
      </c>
      <c r="F192" s="1">
        <v>22.6</v>
      </c>
      <c r="G192" s="1">
        <v>0.14199999999999999</v>
      </c>
      <c r="H192" s="1">
        <v>21</v>
      </c>
      <c r="I192" s="1">
        <v>0</v>
      </c>
      <c r="J192" s="1">
        <f>IFERROR(VLOOKUP(K192,[1]diabetes_Recognition!$A:$B,2,FALSE),"Not Sampled")</f>
        <v>0</v>
      </c>
      <c r="K192" s="1">
        <v>190</v>
      </c>
      <c r="L192" s="1" t="str">
        <f>LOOKUP(A192,Sheet2!$D$4:$E$9)</f>
        <v>3-4</v>
      </c>
      <c r="M192" t="str">
        <f>LOOKUP(B192,Sheet2!$G$4:$H$9)</f>
        <v>100-125</v>
      </c>
      <c r="N192" t="str">
        <f>LOOKUP(C192,Sheet2!$J$4:$K$8)</f>
        <v>60-69</v>
      </c>
      <c r="O192" t="str">
        <f>LOOKUP(D192,Sheet2!$M$4:$N$8)</f>
        <v>Unknown</v>
      </c>
      <c r="P192" t="str">
        <f>LOOKUP(E192,Sheet2!$P$4:$Q$9)</f>
        <v>Unknown</v>
      </c>
      <c r="Q192" t="str">
        <f>LOOKUP(F192,Sheet2!$S$4:$T$8)</f>
        <v>1-25</v>
      </c>
      <c r="R192" t="str">
        <f>LOOKUP(G192,Sheet2!$V$4:$W$7)</f>
        <v>0.0 - 0.249</v>
      </c>
      <c r="S192" t="str">
        <f>LOOKUP(H192,Sheet2!$Z$4:$AA$7)</f>
        <v>&lt;=25</v>
      </c>
      <c r="T192" t="str">
        <f t="shared" si="6"/>
        <v>Negative</v>
      </c>
      <c r="U192" t="str">
        <f t="shared" si="7"/>
        <v>Negative</v>
      </c>
      <c r="V192" s="1" t="str">
        <f t="shared" si="8"/>
        <v>Accurate Prediction</v>
      </c>
    </row>
    <row r="193" spans="1:22" x14ac:dyDescent="0.25">
      <c r="A193" s="1">
        <v>9</v>
      </c>
      <c r="B193" s="1">
        <v>123</v>
      </c>
      <c r="C193" s="1">
        <v>70</v>
      </c>
      <c r="D193" s="1">
        <v>44</v>
      </c>
      <c r="E193" s="1">
        <v>94</v>
      </c>
      <c r="F193" s="1">
        <v>33.1</v>
      </c>
      <c r="G193" s="1">
        <v>0.374</v>
      </c>
      <c r="H193" s="1">
        <v>40</v>
      </c>
      <c r="I193" s="1">
        <v>0</v>
      </c>
      <c r="J193" s="1" t="str">
        <f>IFERROR(VLOOKUP(K193,[1]diabetes_Recognition!$A:$B,2,FALSE),"Not Sampled")</f>
        <v>Not Sampled</v>
      </c>
      <c r="K193" s="1">
        <v>191</v>
      </c>
      <c r="L193" s="1" t="str">
        <f>LOOKUP(A193,Sheet2!$D$4:$E$9)</f>
        <v>8+</v>
      </c>
      <c r="M193" t="str">
        <f>LOOKUP(B193,Sheet2!$G$4:$H$9)</f>
        <v>100-125</v>
      </c>
      <c r="N193" t="str">
        <f>LOOKUP(C193,Sheet2!$J$4:$K$8)</f>
        <v>70-79</v>
      </c>
      <c r="O193" t="str">
        <f>LOOKUP(D193,Sheet2!$M$4:$N$8)</f>
        <v>40+</v>
      </c>
      <c r="P193" t="str">
        <f>LOOKUP(E193,Sheet2!$P$4:$Q$9)</f>
        <v>1-99</v>
      </c>
      <c r="Q193" t="str">
        <f>LOOKUP(F193,Sheet2!$S$4:$T$8)</f>
        <v>31-35</v>
      </c>
      <c r="R193" t="str">
        <f>LOOKUP(G193,Sheet2!$V$4:$W$7)</f>
        <v>0.25 - 0.39</v>
      </c>
      <c r="S193" t="str">
        <f>LOOKUP(H193,Sheet2!$Z$4:$AA$7)</f>
        <v>36-45</v>
      </c>
      <c r="T193" t="str">
        <f t="shared" si="6"/>
        <v>Negative</v>
      </c>
      <c r="U193" t="str">
        <f t="shared" si="7"/>
        <v>Not Sampled</v>
      </c>
      <c r="V193" s="1" t="str">
        <f t="shared" si="8"/>
        <v>Not Sampled</v>
      </c>
    </row>
    <row r="194" spans="1:22" x14ac:dyDescent="0.25">
      <c r="A194" s="1">
        <v>7</v>
      </c>
      <c r="B194" s="1">
        <v>159</v>
      </c>
      <c r="C194" s="1">
        <v>66</v>
      </c>
      <c r="D194" s="1">
        <v>0</v>
      </c>
      <c r="E194" s="1">
        <v>0</v>
      </c>
      <c r="F194" s="1">
        <v>30.4</v>
      </c>
      <c r="G194" s="1">
        <v>0.38300000000000001</v>
      </c>
      <c r="H194" s="1">
        <v>36</v>
      </c>
      <c r="I194" s="1">
        <v>1</v>
      </c>
      <c r="J194" s="1">
        <f>IFERROR(VLOOKUP(K194,[1]diabetes_Recognition!$A:$B,2,FALSE),"Not Sampled")</f>
        <v>1</v>
      </c>
      <c r="K194" s="1">
        <v>192</v>
      </c>
      <c r="L194" s="1" t="str">
        <f>LOOKUP(A194,Sheet2!$D$4:$E$9)</f>
        <v>5-7</v>
      </c>
      <c r="M194" t="str">
        <f>LOOKUP(B194,Sheet2!$G$4:$H$9)</f>
        <v>151-175</v>
      </c>
      <c r="N194" t="str">
        <f>LOOKUP(C194,Sheet2!$J$4:$K$8)</f>
        <v>60-69</v>
      </c>
      <c r="O194" t="str">
        <f>LOOKUP(D194,Sheet2!$M$4:$N$8)</f>
        <v>Unknown</v>
      </c>
      <c r="P194" t="str">
        <f>LOOKUP(E194,Sheet2!$P$4:$Q$9)</f>
        <v>Unknown</v>
      </c>
      <c r="Q194" t="str">
        <f>LOOKUP(F194,Sheet2!$S$4:$T$8)</f>
        <v>26-30</v>
      </c>
      <c r="R194" t="str">
        <f>LOOKUP(G194,Sheet2!$V$4:$W$7)</f>
        <v>0.25 - 0.39</v>
      </c>
      <c r="S194" t="str">
        <f>LOOKUP(H194,Sheet2!$Z$4:$AA$7)</f>
        <v>36-45</v>
      </c>
      <c r="T194" t="str">
        <f t="shared" si="6"/>
        <v>Positive</v>
      </c>
      <c r="U194" t="str">
        <f t="shared" si="7"/>
        <v>Positive</v>
      </c>
      <c r="V194" s="1" t="str">
        <f t="shared" si="8"/>
        <v>Accurate Prediction</v>
      </c>
    </row>
    <row r="195" spans="1:22" x14ac:dyDescent="0.25">
      <c r="A195" s="1">
        <v>11</v>
      </c>
      <c r="B195" s="1">
        <v>135</v>
      </c>
      <c r="C195" s="1">
        <v>0</v>
      </c>
      <c r="D195" s="1">
        <v>0</v>
      </c>
      <c r="E195" s="1">
        <v>0</v>
      </c>
      <c r="F195" s="1">
        <v>52.3</v>
      </c>
      <c r="G195" s="1">
        <v>0.57799999999999996</v>
      </c>
      <c r="H195" s="1">
        <v>40</v>
      </c>
      <c r="I195" s="1">
        <v>1</v>
      </c>
      <c r="J195" s="1" t="str">
        <f>IFERROR(VLOOKUP(K195,[1]diabetes_Recognition!$A:$B,2,FALSE),"Not Sampled")</f>
        <v>Not Sampled</v>
      </c>
      <c r="K195" s="1">
        <v>193</v>
      </c>
      <c r="L195" s="1" t="str">
        <f>LOOKUP(A195,Sheet2!$D$4:$E$9)</f>
        <v>8+</v>
      </c>
      <c r="M195" t="str">
        <f>LOOKUP(B195,Sheet2!$G$4:$H$9)</f>
        <v>126-150</v>
      </c>
      <c r="N195" t="str">
        <f>LOOKUP(C195,Sheet2!$J$4:$K$8)</f>
        <v>Unknown</v>
      </c>
      <c r="O195" t="str">
        <f>LOOKUP(D195,Sheet2!$M$4:$N$8)</f>
        <v>Unknown</v>
      </c>
      <c r="P195" t="str">
        <f>LOOKUP(E195,Sheet2!$P$4:$Q$9)</f>
        <v>Unknown</v>
      </c>
      <c r="Q195" t="str">
        <f>LOOKUP(F195,Sheet2!$S$4:$T$8)</f>
        <v>36+</v>
      </c>
      <c r="R195" t="str">
        <f>LOOKUP(G195,Sheet2!$V$4:$W$7)</f>
        <v>0.4 - 0.69</v>
      </c>
      <c r="S195" t="str">
        <f>LOOKUP(H195,Sheet2!$Z$4:$AA$7)</f>
        <v>36-45</v>
      </c>
      <c r="T195" t="str">
        <f t="shared" ref="T195:T258" si="9">IF(I195=1,"Positive","Negative")</f>
        <v>Positive</v>
      </c>
      <c r="U195" t="str">
        <f t="shared" ref="U195:U258" si="10">IF(J195=1,"Positive",(IF(J195=0,"Negative","Not Sampled")))</f>
        <v>Not Sampled</v>
      </c>
      <c r="V195" s="1" t="str">
        <f t="shared" ref="V195:V258" si="11">IF(U195="Not Sampled","Not Sampled",IF(T195=U195,"Accurate Prediction","Inaccurate Prediction"))</f>
        <v>Not Sampled</v>
      </c>
    </row>
    <row r="196" spans="1:22" x14ac:dyDescent="0.25">
      <c r="A196" s="1">
        <v>8</v>
      </c>
      <c r="B196" s="1">
        <v>85</v>
      </c>
      <c r="C196" s="1">
        <v>55</v>
      </c>
      <c r="D196" s="1">
        <v>20</v>
      </c>
      <c r="E196" s="1">
        <v>0</v>
      </c>
      <c r="F196" s="1">
        <v>24.4</v>
      </c>
      <c r="G196" s="1">
        <v>0.13600000000000001</v>
      </c>
      <c r="H196" s="1">
        <v>42</v>
      </c>
      <c r="I196" s="1">
        <v>0</v>
      </c>
      <c r="J196" s="1">
        <f>IFERROR(VLOOKUP(K196,[1]diabetes_Recognition!$A:$B,2,FALSE),"Not Sampled")</f>
        <v>0</v>
      </c>
      <c r="K196" s="1">
        <v>194</v>
      </c>
      <c r="L196" s="1" t="str">
        <f>LOOKUP(A196,Sheet2!$D$4:$E$9)</f>
        <v>8+</v>
      </c>
      <c r="M196" t="str">
        <f>LOOKUP(B196,Sheet2!$G$4:$H$9)</f>
        <v>1-99</v>
      </c>
      <c r="N196" t="str">
        <f>LOOKUP(C196,Sheet2!$J$4:$K$8)</f>
        <v>1-59</v>
      </c>
      <c r="O196" t="str">
        <f>LOOKUP(D196,Sheet2!$M$4:$N$8)</f>
        <v>10-30</v>
      </c>
      <c r="P196" t="str">
        <f>LOOKUP(E196,Sheet2!$P$4:$Q$9)</f>
        <v>Unknown</v>
      </c>
      <c r="Q196" t="str">
        <f>LOOKUP(F196,Sheet2!$S$4:$T$8)</f>
        <v>1-25</v>
      </c>
      <c r="R196" t="str">
        <f>LOOKUP(G196,Sheet2!$V$4:$W$7)</f>
        <v>0.0 - 0.249</v>
      </c>
      <c r="S196" t="str">
        <f>LOOKUP(H196,Sheet2!$Z$4:$AA$7)</f>
        <v>36-45</v>
      </c>
      <c r="T196" t="str">
        <f t="shared" si="9"/>
        <v>Negative</v>
      </c>
      <c r="U196" t="str">
        <f t="shared" si="10"/>
        <v>Negative</v>
      </c>
      <c r="V196" s="1" t="str">
        <f t="shared" si="11"/>
        <v>Accurate Prediction</v>
      </c>
    </row>
    <row r="197" spans="1:22" x14ac:dyDescent="0.25">
      <c r="A197" s="1">
        <v>5</v>
      </c>
      <c r="B197" s="1">
        <v>158</v>
      </c>
      <c r="C197" s="1">
        <v>84</v>
      </c>
      <c r="D197" s="1">
        <v>41</v>
      </c>
      <c r="E197" s="1">
        <v>210</v>
      </c>
      <c r="F197" s="1">
        <v>39.4</v>
      </c>
      <c r="G197" s="1">
        <v>0.39500000000000002</v>
      </c>
      <c r="H197" s="1">
        <v>29</v>
      </c>
      <c r="I197" s="1">
        <v>1</v>
      </c>
      <c r="J197" s="1" t="str">
        <f>IFERROR(VLOOKUP(K197,[1]diabetes_Recognition!$A:$B,2,FALSE),"Not Sampled")</f>
        <v>Not Sampled</v>
      </c>
      <c r="K197" s="1">
        <v>195</v>
      </c>
      <c r="L197" s="1" t="str">
        <f>LOOKUP(A197,Sheet2!$D$4:$E$9)</f>
        <v>5-7</v>
      </c>
      <c r="M197" t="str">
        <f>LOOKUP(B197,Sheet2!$G$4:$H$9)</f>
        <v>151-175</v>
      </c>
      <c r="N197" t="str">
        <f>LOOKUP(C197,Sheet2!$J$4:$K$8)</f>
        <v>80+</v>
      </c>
      <c r="O197" t="str">
        <f>LOOKUP(D197,Sheet2!$M$4:$N$8)</f>
        <v>40+</v>
      </c>
      <c r="P197" t="str">
        <f>LOOKUP(E197,Sheet2!$P$4:$Q$9)</f>
        <v>200-399</v>
      </c>
      <c r="Q197" t="str">
        <f>LOOKUP(F197,Sheet2!$S$4:$T$8)</f>
        <v>36+</v>
      </c>
      <c r="R197" t="str">
        <f>LOOKUP(G197,Sheet2!$V$4:$W$7)</f>
        <v>0.25 - 0.39</v>
      </c>
      <c r="S197" t="str">
        <f>LOOKUP(H197,Sheet2!$Z$4:$AA$7)</f>
        <v>26-35</v>
      </c>
      <c r="T197" t="str">
        <f t="shared" si="9"/>
        <v>Positive</v>
      </c>
      <c r="U197" t="str">
        <f t="shared" si="10"/>
        <v>Not Sampled</v>
      </c>
      <c r="V197" s="1" t="str">
        <f t="shared" si="11"/>
        <v>Not Sampled</v>
      </c>
    </row>
    <row r="198" spans="1:22" x14ac:dyDescent="0.25">
      <c r="A198" s="1">
        <v>1</v>
      </c>
      <c r="B198" s="1">
        <v>105</v>
      </c>
      <c r="C198" s="1">
        <v>58</v>
      </c>
      <c r="D198" s="1">
        <v>0</v>
      </c>
      <c r="E198" s="1">
        <v>0</v>
      </c>
      <c r="F198" s="1">
        <v>24.3</v>
      </c>
      <c r="G198" s="1">
        <v>0.187</v>
      </c>
      <c r="H198" s="1">
        <v>21</v>
      </c>
      <c r="I198" s="1">
        <v>0</v>
      </c>
      <c r="J198" s="1" t="str">
        <f>IFERROR(VLOOKUP(K198,[1]diabetes_Recognition!$A:$B,2,FALSE),"Not Sampled")</f>
        <v>Not Sampled</v>
      </c>
      <c r="K198" s="1">
        <v>196</v>
      </c>
      <c r="L198" s="1">
        <f>LOOKUP(A198,Sheet2!$D$4:$E$9)</f>
        <v>1</v>
      </c>
      <c r="M198" t="str">
        <f>LOOKUP(B198,Sheet2!$G$4:$H$9)</f>
        <v>100-125</v>
      </c>
      <c r="N198" t="str">
        <f>LOOKUP(C198,Sheet2!$J$4:$K$8)</f>
        <v>1-59</v>
      </c>
      <c r="O198" t="str">
        <f>LOOKUP(D198,Sheet2!$M$4:$N$8)</f>
        <v>Unknown</v>
      </c>
      <c r="P198" t="str">
        <f>LOOKUP(E198,Sheet2!$P$4:$Q$9)</f>
        <v>Unknown</v>
      </c>
      <c r="Q198" t="str">
        <f>LOOKUP(F198,Sheet2!$S$4:$T$8)</f>
        <v>1-25</v>
      </c>
      <c r="R198" t="str">
        <f>LOOKUP(G198,Sheet2!$V$4:$W$7)</f>
        <v>0.0 - 0.249</v>
      </c>
      <c r="S198" t="str">
        <f>LOOKUP(H198,Sheet2!$Z$4:$AA$7)</f>
        <v>&lt;=25</v>
      </c>
      <c r="T198" t="str">
        <f t="shared" si="9"/>
        <v>Negative</v>
      </c>
      <c r="U198" t="str">
        <f t="shared" si="10"/>
        <v>Not Sampled</v>
      </c>
      <c r="V198" s="1" t="str">
        <f t="shared" si="11"/>
        <v>Not Sampled</v>
      </c>
    </row>
    <row r="199" spans="1:22" x14ac:dyDescent="0.25">
      <c r="A199" s="1">
        <v>3</v>
      </c>
      <c r="B199" s="1">
        <v>107</v>
      </c>
      <c r="C199" s="1">
        <v>62</v>
      </c>
      <c r="D199" s="1">
        <v>13</v>
      </c>
      <c r="E199" s="1">
        <v>48</v>
      </c>
      <c r="F199" s="1">
        <v>22.9</v>
      </c>
      <c r="G199" s="1">
        <v>0.67800000000000005</v>
      </c>
      <c r="H199" s="1">
        <v>23</v>
      </c>
      <c r="I199" s="1">
        <v>1</v>
      </c>
      <c r="J199" s="1" t="str">
        <f>IFERROR(VLOOKUP(K199,[1]diabetes_Recognition!$A:$B,2,FALSE),"Not Sampled")</f>
        <v>Not Sampled</v>
      </c>
      <c r="K199" s="1">
        <v>197</v>
      </c>
      <c r="L199" s="1" t="str">
        <f>LOOKUP(A199,Sheet2!$D$4:$E$9)</f>
        <v>3-4</v>
      </c>
      <c r="M199" t="str">
        <f>LOOKUP(B199,Sheet2!$G$4:$H$9)</f>
        <v>100-125</v>
      </c>
      <c r="N199" t="str">
        <f>LOOKUP(C199,Sheet2!$J$4:$K$8)</f>
        <v>60-69</v>
      </c>
      <c r="O199" t="str">
        <f>LOOKUP(D199,Sheet2!$M$4:$N$8)</f>
        <v>10-30</v>
      </c>
      <c r="P199" t="str">
        <f>LOOKUP(E199,Sheet2!$P$4:$Q$9)</f>
        <v>1-99</v>
      </c>
      <c r="Q199" t="str">
        <f>LOOKUP(F199,Sheet2!$S$4:$T$8)</f>
        <v>1-25</v>
      </c>
      <c r="R199" t="str">
        <f>LOOKUP(G199,Sheet2!$V$4:$W$7)</f>
        <v>0.4 - 0.69</v>
      </c>
      <c r="S199" t="str">
        <f>LOOKUP(H199,Sheet2!$Z$4:$AA$7)</f>
        <v>&lt;=25</v>
      </c>
      <c r="T199" t="str">
        <f t="shared" si="9"/>
        <v>Positive</v>
      </c>
      <c r="U199" t="str">
        <f t="shared" si="10"/>
        <v>Not Sampled</v>
      </c>
      <c r="V199" s="1" t="str">
        <f t="shared" si="11"/>
        <v>Not Sampled</v>
      </c>
    </row>
    <row r="200" spans="1:22" x14ac:dyDescent="0.25">
      <c r="A200" s="1">
        <v>4</v>
      </c>
      <c r="B200" s="1">
        <v>109</v>
      </c>
      <c r="C200" s="1">
        <v>64</v>
      </c>
      <c r="D200" s="1">
        <v>44</v>
      </c>
      <c r="E200" s="1">
        <v>99</v>
      </c>
      <c r="F200" s="1">
        <v>34.799999999999997</v>
      </c>
      <c r="G200" s="1">
        <v>0.90500000000000003</v>
      </c>
      <c r="H200" s="1">
        <v>26</v>
      </c>
      <c r="I200" s="1">
        <v>1</v>
      </c>
      <c r="J200" s="1" t="str">
        <f>IFERROR(VLOOKUP(K200,[1]diabetes_Recognition!$A:$B,2,FALSE),"Not Sampled")</f>
        <v>Not Sampled</v>
      </c>
      <c r="K200" s="1">
        <v>198</v>
      </c>
      <c r="L200" s="1" t="str">
        <f>LOOKUP(A200,Sheet2!$D$4:$E$9)</f>
        <v>3-4</v>
      </c>
      <c r="M200" t="str">
        <f>LOOKUP(B200,Sheet2!$G$4:$H$9)</f>
        <v>100-125</v>
      </c>
      <c r="N200" t="str">
        <f>LOOKUP(C200,Sheet2!$J$4:$K$8)</f>
        <v>60-69</v>
      </c>
      <c r="O200" t="str">
        <f>LOOKUP(D200,Sheet2!$M$4:$N$8)</f>
        <v>40+</v>
      </c>
      <c r="P200" t="str">
        <f>LOOKUP(E200,Sheet2!$P$4:$Q$9)</f>
        <v>1-99</v>
      </c>
      <c r="Q200" t="str">
        <f>LOOKUP(F200,Sheet2!$S$4:$T$8)</f>
        <v>31-35</v>
      </c>
      <c r="R200" t="str">
        <f>LOOKUP(G200,Sheet2!$V$4:$W$7)</f>
        <v>0.7+</v>
      </c>
      <c r="S200" t="str">
        <f>LOOKUP(H200,Sheet2!$Z$4:$AA$7)</f>
        <v>26-35</v>
      </c>
      <c r="T200" t="str">
        <f t="shared" si="9"/>
        <v>Positive</v>
      </c>
      <c r="U200" t="str">
        <f t="shared" si="10"/>
        <v>Not Sampled</v>
      </c>
      <c r="V200" s="1" t="str">
        <f t="shared" si="11"/>
        <v>Not Sampled</v>
      </c>
    </row>
    <row r="201" spans="1:22" x14ac:dyDescent="0.25">
      <c r="A201" s="1">
        <v>4</v>
      </c>
      <c r="B201" s="1">
        <v>148</v>
      </c>
      <c r="C201" s="1">
        <v>60</v>
      </c>
      <c r="D201" s="1">
        <v>27</v>
      </c>
      <c r="E201" s="1">
        <v>318</v>
      </c>
      <c r="F201" s="1">
        <v>30.9</v>
      </c>
      <c r="G201" s="1">
        <v>0.15</v>
      </c>
      <c r="H201" s="1">
        <v>29</v>
      </c>
      <c r="I201" s="1">
        <v>1</v>
      </c>
      <c r="J201" s="1" t="str">
        <f>IFERROR(VLOOKUP(K201,[1]diabetes_Recognition!$A:$B,2,FALSE),"Not Sampled")</f>
        <v>Not Sampled</v>
      </c>
      <c r="K201" s="1">
        <v>199</v>
      </c>
      <c r="L201" s="1" t="str">
        <f>LOOKUP(A201,Sheet2!$D$4:$E$9)</f>
        <v>3-4</v>
      </c>
      <c r="M201" t="str">
        <f>LOOKUP(B201,Sheet2!$G$4:$H$9)</f>
        <v>126-150</v>
      </c>
      <c r="N201" t="str">
        <f>LOOKUP(C201,Sheet2!$J$4:$K$8)</f>
        <v>60-69</v>
      </c>
      <c r="O201" t="str">
        <f>LOOKUP(D201,Sheet2!$M$4:$N$8)</f>
        <v>10-30</v>
      </c>
      <c r="P201" t="str">
        <f>LOOKUP(E201,Sheet2!$P$4:$Q$9)</f>
        <v>300-499</v>
      </c>
      <c r="Q201" t="str">
        <f>LOOKUP(F201,Sheet2!$S$4:$T$8)</f>
        <v>26-30</v>
      </c>
      <c r="R201" t="str">
        <f>LOOKUP(G201,Sheet2!$V$4:$W$7)</f>
        <v>0.0 - 0.249</v>
      </c>
      <c r="S201" t="str">
        <f>LOOKUP(H201,Sheet2!$Z$4:$AA$7)</f>
        <v>26-35</v>
      </c>
      <c r="T201" t="str">
        <f t="shared" si="9"/>
        <v>Positive</v>
      </c>
      <c r="U201" t="str">
        <f t="shared" si="10"/>
        <v>Not Sampled</v>
      </c>
      <c r="V201" s="1" t="str">
        <f t="shared" si="11"/>
        <v>Not Sampled</v>
      </c>
    </row>
    <row r="202" spans="1:22" x14ac:dyDescent="0.25">
      <c r="A202" s="1">
        <v>0</v>
      </c>
      <c r="B202" s="1">
        <v>113</v>
      </c>
      <c r="C202" s="1">
        <v>80</v>
      </c>
      <c r="D202" s="1">
        <v>16</v>
      </c>
      <c r="E202" s="1">
        <v>0</v>
      </c>
      <c r="F202" s="1">
        <v>31</v>
      </c>
      <c r="G202" s="1">
        <v>0.874</v>
      </c>
      <c r="H202" s="1">
        <v>21</v>
      </c>
      <c r="I202" s="1">
        <v>0</v>
      </c>
      <c r="J202" s="1" t="str">
        <f>IFERROR(VLOOKUP(K202,[1]diabetes_Recognition!$A:$B,2,FALSE),"Not Sampled")</f>
        <v>Not Sampled</v>
      </c>
      <c r="K202" s="1">
        <v>200</v>
      </c>
      <c r="L202" s="1">
        <f>LOOKUP(A202,Sheet2!$D$4:$E$9)</f>
        <v>0</v>
      </c>
      <c r="M202" t="str">
        <f>LOOKUP(B202,Sheet2!$G$4:$H$9)</f>
        <v>100-125</v>
      </c>
      <c r="N202" t="str">
        <f>LOOKUP(C202,Sheet2!$J$4:$K$8)</f>
        <v>80+</v>
      </c>
      <c r="O202" t="str">
        <f>LOOKUP(D202,Sheet2!$M$4:$N$8)</f>
        <v>10-30</v>
      </c>
      <c r="P202" t="str">
        <f>LOOKUP(E202,Sheet2!$P$4:$Q$9)</f>
        <v>Unknown</v>
      </c>
      <c r="Q202" t="str">
        <f>LOOKUP(F202,Sheet2!$S$4:$T$8)</f>
        <v>31-35</v>
      </c>
      <c r="R202" t="str">
        <f>LOOKUP(G202,Sheet2!$V$4:$W$7)</f>
        <v>0.7+</v>
      </c>
      <c r="S202" t="str">
        <f>LOOKUP(H202,Sheet2!$Z$4:$AA$7)</f>
        <v>&lt;=25</v>
      </c>
      <c r="T202" t="str">
        <f t="shared" si="9"/>
        <v>Negative</v>
      </c>
      <c r="U202" t="str">
        <f t="shared" si="10"/>
        <v>Not Sampled</v>
      </c>
      <c r="V202" s="1" t="str">
        <f t="shared" si="11"/>
        <v>Not Sampled</v>
      </c>
    </row>
    <row r="203" spans="1:22" x14ac:dyDescent="0.25">
      <c r="A203" s="1">
        <v>1</v>
      </c>
      <c r="B203" s="1">
        <v>138</v>
      </c>
      <c r="C203" s="1">
        <v>82</v>
      </c>
      <c r="D203" s="1">
        <v>0</v>
      </c>
      <c r="E203" s="1">
        <v>0</v>
      </c>
      <c r="F203" s="1">
        <v>40.1</v>
      </c>
      <c r="G203" s="1">
        <v>0.23599999999999999</v>
      </c>
      <c r="H203" s="1">
        <v>28</v>
      </c>
      <c r="I203" s="1">
        <v>0</v>
      </c>
      <c r="J203" s="1">
        <f>IFERROR(VLOOKUP(K203,[1]diabetes_Recognition!$A:$B,2,FALSE),"Not Sampled")</f>
        <v>0</v>
      </c>
      <c r="K203" s="1">
        <v>201</v>
      </c>
      <c r="L203" s="1">
        <f>LOOKUP(A203,Sheet2!$D$4:$E$9)</f>
        <v>1</v>
      </c>
      <c r="M203" t="str">
        <f>LOOKUP(B203,Sheet2!$G$4:$H$9)</f>
        <v>126-150</v>
      </c>
      <c r="N203" t="str">
        <f>LOOKUP(C203,Sheet2!$J$4:$K$8)</f>
        <v>80+</v>
      </c>
      <c r="O203" t="str">
        <f>LOOKUP(D203,Sheet2!$M$4:$N$8)</f>
        <v>Unknown</v>
      </c>
      <c r="P203" t="str">
        <f>LOOKUP(E203,Sheet2!$P$4:$Q$9)</f>
        <v>Unknown</v>
      </c>
      <c r="Q203" t="str">
        <f>LOOKUP(F203,Sheet2!$S$4:$T$8)</f>
        <v>36+</v>
      </c>
      <c r="R203" t="str">
        <f>LOOKUP(G203,Sheet2!$V$4:$W$7)</f>
        <v>0.0 - 0.249</v>
      </c>
      <c r="S203" t="str">
        <f>LOOKUP(H203,Sheet2!$Z$4:$AA$7)</f>
        <v>26-35</v>
      </c>
      <c r="T203" t="str">
        <f t="shared" si="9"/>
        <v>Negative</v>
      </c>
      <c r="U203" t="str">
        <f t="shared" si="10"/>
        <v>Negative</v>
      </c>
      <c r="V203" s="1" t="str">
        <f t="shared" si="11"/>
        <v>Accurate Prediction</v>
      </c>
    </row>
    <row r="204" spans="1:22" x14ac:dyDescent="0.25">
      <c r="A204" s="1">
        <v>0</v>
      </c>
      <c r="B204" s="1">
        <v>108</v>
      </c>
      <c r="C204" s="1">
        <v>68</v>
      </c>
      <c r="D204" s="1">
        <v>20</v>
      </c>
      <c r="E204" s="1">
        <v>0</v>
      </c>
      <c r="F204" s="1">
        <v>27.3</v>
      </c>
      <c r="G204" s="1">
        <v>0.78700000000000003</v>
      </c>
      <c r="H204" s="1">
        <v>32</v>
      </c>
      <c r="I204" s="1">
        <v>0</v>
      </c>
      <c r="J204" s="1">
        <f>IFERROR(VLOOKUP(K204,[1]diabetes_Recognition!$A:$B,2,FALSE),"Not Sampled")</f>
        <v>0</v>
      </c>
      <c r="K204" s="1">
        <v>202</v>
      </c>
      <c r="L204" s="1">
        <f>LOOKUP(A204,Sheet2!$D$4:$E$9)</f>
        <v>0</v>
      </c>
      <c r="M204" t="str">
        <f>LOOKUP(B204,Sheet2!$G$4:$H$9)</f>
        <v>100-125</v>
      </c>
      <c r="N204" t="str">
        <f>LOOKUP(C204,Sheet2!$J$4:$K$8)</f>
        <v>60-69</v>
      </c>
      <c r="O204" t="str">
        <f>LOOKUP(D204,Sheet2!$M$4:$N$8)</f>
        <v>10-30</v>
      </c>
      <c r="P204" t="str">
        <f>LOOKUP(E204,Sheet2!$P$4:$Q$9)</f>
        <v>Unknown</v>
      </c>
      <c r="Q204" t="str">
        <f>LOOKUP(F204,Sheet2!$S$4:$T$8)</f>
        <v>26-30</v>
      </c>
      <c r="R204" t="str">
        <f>LOOKUP(G204,Sheet2!$V$4:$W$7)</f>
        <v>0.7+</v>
      </c>
      <c r="S204" t="str">
        <f>LOOKUP(H204,Sheet2!$Z$4:$AA$7)</f>
        <v>26-35</v>
      </c>
      <c r="T204" t="str">
        <f t="shared" si="9"/>
        <v>Negative</v>
      </c>
      <c r="U204" t="str">
        <f t="shared" si="10"/>
        <v>Negative</v>
      </c>
      <c r="V204" s="1" t="str">
        <f t="shared" si="11"/>
        <v>Accurate Prediction</v>
      </c>
    </row>
    <row r="205" spans="1:22" x14ac:dyDescent="0.25">
      <c r="A205" s="1">
        <v>2</v>
      </c>
      <c r="B205" s="1">
        <v>99</v>
      </c>
      <c r="C205" s="1">
        <v>70</v>
      </c>
      <c r="D205" s="1">
        <v>16</v>
      </c>
      <c r="E205" s="1">
        <v>44</v>
      </c>
      <c r="F205" s="1">
        <v>20.399999999999999</v>
      </c>
      <c r="G205" s="1">
        <v>0.23499999999999999</v>
      </c>
      <c r="H205" s="1">
        <v>27</v>
      </c>
      <c r="I205" s="1">
        <v>0</v>
      </c>
      <c r="J205" s="1" t="str">
        <f>IFERROR(VLOOKUP(K205,[1]diabetes_Recognition!$A:$B,2,FALSE),"Not Sampled")</f>
        <v>Not Sampled</v>
      </c>
      <c r="K205" s="1">
        <v>203</v>
      </c>
      <c r="L205" s="1">
        <f>LOOKUP(A205,Sheet2!$D$4:$E$9)</f>
        <v>2</v>
      </c>
      <c r="M205" t="str">
        <f>LOOKUP(B205,Sheet2!$G$4:$H$9)</f>
        <v>1-99</v>
      </c>
      <c r="N205" t="str">
        <f>LOOKUP(C205,Sheet2!$J$4:$K$8)</f>
        <v>70-79</v>
      </c>
      <c r="O205" t="str">
        <f>LOOKUP(D205,Sheet2!$M$4:$N$8)</f>
        <v>10-30</v>
      </c>
      <c r="P205" t="str">
        <f>LOOKUP(E205,Sheet2!$P$4:$Q$9)</f>
        <v>1-99</v>
      </c>
      <c r="Q205" t="str">
        <f>LOOKUP(F205,Sheet2!$S$4:$T$8)</f>
        <v>1-25</v>
      </c>
      <c r="R205" t="str">
        <f>LOOKUP(G205,Sheet2!$V$4:$W$7)</f>
        <v>0.0 - 0.249</v>
      </c>
      <c r="S205" t="str">
        <f>LOOKUP(H205,Sheet2!$Z$4:$AA$7)</f>
        <v>26-35</v>
      </c>
      <c r="T205" t="str">
        <f t="shared" si="9"/>
        <v>Negative</v>
      </c>
      <c r="U205" t="str">
        <f t="shared" si="10"/>
        <v>Not Sampled</v>
      </c>
      <c r="V205" s="1" t="str">
        <f t="shared" si="11"/>
        <v>Not Sampled</v>
      </c>
    </row>
    <row r="206" spans="1:22" x14ac:dyDescent="0.25">
      <c r="A206" s="1">
        <v>6</v>
      </c>
      <c r="B206" s="1">
        <v>103</v>
      </c>
      <c r="C206" s="1">
        <v>72</v>
      </c>
      <c r="D206" s="1">
        <v>32</v>
      </c>
      <c r="E206" s="1">
        <v>190</v>
      </c>
      <c r="F206" s="1">
        <v>37.700000000000003</v>
      </c>
      <c r="G206" s="1">
        <v>0.32400000000000001</v>
      </c>
      <c r="H206" s="1">
        <v>55</v>
      </c>
      <c r="I206" s="1">
        <v>0</v>
      </c>
      <c r="J206" s="1" t="str">
        <f>IFERROR(VLOOKUP(K206,[1]diabetes_Recognition!$A:$B,2,FALSE),"Not Sampled")</f>
        <v>Not Sampled</v>
      </c>
      <c r="K206" s="1">
        <v>204</v>
      </c>
      <c r="L206" s="1" t="str">
        <f>LOOKUP(A206,Sheet2!$D$4:$E$9)</f>
        <v>5-7</v>
      </c>
      <c r="M206" t="str">
        <f>LOOKUP(B206,Sheet2!$G$4:$H$9)</f>
        <v>100-125</v>
      </c>
      <c r="N206" t="str">
        <f>LOOKUP(C206,Sheet2!$J$4:$K$8)</f>
        <v>70-79</v>
      </c>
      <c r="O206" t="str">
        <f>LOOKUP(D206,Sheet2!$M$4:$N$8)</f>
        <v>30-39</v>
      </c>
      <c r="P206" t="str">
        <f>LOOKUP(E206,Sheet2!$P$4:$Q$9)</f>
        <v>100-199</v>
      </c>
      <c r="Q206" t="str">
        <f>LOOKUP(F206,Sheet2!$S$4:$T$8)</f>
        <v>36+</v>
      </c>
      <c r="R206" t="str">
        <f>LOOKUP(G206,Sheet2!$V$4:$W$7)</f>
        <v>0.25 - 0.39</v>
      </c>
      <c r="S206" t="str">
        <f>LOOKUP(H206,Sheet2!$Z$4:$AA$7)</f>
        <v>46+</v>
      </c>
      <c r="T206" t="str">
        <f t="shared" si="9"/>
        <v>Negative</v>
      </c>
      <c r="U206" t="str">
        <f t="shared" si="10"/>
        <v>Not Sampled</v>
      </c>
      <c r="V206" s="1" t="str">
        <f t="shared" si="11"/>
        <v>Not Sampled</v>
      </c>
    </row>
    <row r="207" spans="1:22" x14ac:dyDescent="0.25">
      <c r="A207" s="1">
        <v>5</v>
      </c>
      <c r="B207" s="1">
        <v>111</v>
      </c>
      <c r="C207" s="1">
        <v>72</v>
      </c>
      <c r="D207" s="1">
        <v>28</v>
      </c>
      <c r="E207" s="1">
        <v>0</v>
      </c>
      <c r="F207" s="1">
        <v>23.9</v>
      </c>
      <c r="G207" s="1">
        <v>0.40699999999999997</v>
      </c>
      <c r="H207" s="1">
        <v>27</v>
      </c>
      <c r="I207" s="1">
        <v>0</v>
      </c>
      <c r="J207" s="1" t="str">
        <f>IFERROR(VLOOKUP(K207,[1]diabetes_Recognition!$A:$B,2,FALSE),"Not Sampled")</f>
        <v>Not Sampled</v>
      </c>
      <c r="K207" s="1">
        <v>205</v>
      </c>
      <c r="L207" s="1" t="str">
        <f>LOOKUP(A207,Sheet2!$D$4:$E$9)</f>
        <v>5-7</v>
      </c>
      <c r="M207" t="str">
        <f>LOOKUP(B207,Sheet2!$G$4:$H$9)</f>
        <v>100-125</v>
      </c>
      <c r="N207" t="str">
        <f>LOOKUP(C207,Sheet2!$J$4:$K$8)</f>
        <v>70-79</v>
      </c>
      <c r="O207" t="str">
        <f>LOOKUP(D207,Sheet2!$M$4:$N$8)</f>
        <v>10-30</v>
      </c>
      <c r="P207" t="str">
        <f>LOOKUP(E207,Sheet2!$P$4:$Q$9)</f>
        <v>Unknown</v>
      </c>
      <c r="Q207" t="str">
        <f>LOOKUP(F207,Sheet2!$S$4:$T$8)</f>
        <v>1-25</v>
      </c>
      <c r="R207" t="str">
        <f>LOOKUP(G207,Sheet2!$V$4:$W$7)</f>
        <v>0.4 - 0.69</v>
      </c>
      <c r="S207" t="str">
        <f>LOOKUP(H207,Sheet2!$Z$4:$AA$7)</f>
        <v>26-35</v>
      </c>
      <c r="T207" t="str">
        <f t="shared" si="9"/>
        <v>Negative</v>
      </c>
      <c r="U207" t="str">
        <f t="shared" si="10"/>
        <v>Not Sampled</v>
      </c>
      <c r="V207" s="1" t="str">
        <f t="shared" si="11"/>
        <v>Not Sampled</v>
      </c>
    </row>
    <row r="208" spans="1:22" x14ac:dyDescent="0.25">
      <c r="A208" s="1">
        <v>8</v>
      </c>
      <c r="B208" s="1">
        <v>196</v>
      </c>
      <c r="C208" s="1">
        <v>76</v>
      </c>
      <c r="D208" s="1">
        <v>29</v>
      </c>
      <c r="E208" s="1">
        <v>280</v>
      </c>
      <c r="F208" s="1">
        <v>37.5</v>
      </c>
      <c r="G208" s="1">
        <v>0.60499999999999998</v>
      </c>
      <c r="H208" s="1">
        <v>57</v>
      </c>
      <c r="I208" s="1">
        <v>1</v>
      </c>
      <c r="J208" s="1" t="str">
        <f>IFERROR(VLOOKUP(K208,[1]diabetes_Recognition!$A:$B,2,FALSE),"Not Sampled")</f>
        <v>Not Sampled</v>
      </c>
      <c r="K208" s="1">
        <v>206</v>
      </c>
      <c r="L208" s="1" t="str">
        <f>LOOKUP(A208,Sheet2!$D$4:$E$9)</f>
        <v>8+</v>
      </c>
      <c r="M208" t="str">
        <f>LOOKUP(B208,Sheet2!$G$4:$H$9)</f>
        <v>176-200</v>
      </c>
      <c r="N208" t="str">
        <f>LOOKUP(C208,Sheet2!$J$4:$K$8)</f>
        <v>70-79</v>
      </c>
      <c r="O208" t="str">
        <f>LOOKUP(D208,Sheet2!$M$4:$N$8)</f>
        <v>10-30</v>
      </c>
      <c r="P208" t="str">
        <f>LOOKUP(E208,Sheet2!$P$4:$Q$9)</f>
        <v>200-399</v>
      </c>
      <c r="Q208" t="str">
        <f>LOOKUP(F208,Sheet2!$S$4:$T$8)</f>
        <v>36+</v>
      </c>
      <c r="R208" t="str">
        <f>LOOKUP(G208,Sheet2!$V$4:$W$7)</f>
        <v>0.4 - 0.69</v>
      </c>
      <c r="S208" t="str">
        <f>LOOKUP(H208,Sheet2!$Z$4:$AA$7)</f>
        <v>46+</v>
      </c>
      <c r="T208" t="str">
        <f t="shared" si="9"/>
        <v>Positive</v>
      </c>
      <c r="U208" t="str">
        <f t="shared" si="10"/>
        <v>Not Sampled</v>
      </c>
      <c r="V208" s="1" t="str">
        <f t="shared" si="11"/>
        <v>Not Sampled</v>
      </c>
    </row>
    <row r="209" spans="1:22" x14ac:dyDescent="0.25">
      <c r="A209" s="1">
        <v>5</v>
      </c>
      <c r="B209" s="1">
        <v>162</v>
      </c>
      <c r="C209" s="1">
        <v>104</v>
      </c>
      <c r="D209" s="1">
        <v>0</v>
      </c>
      <c r="E209" s="1">
        <v>0</v>
      </c>
      <c r="F209" s="1">
        <v>37.700000000000003</v>
      </c>
      <c r="G209" s="1">
        <v>0.151</v>
      </c>
      <c r="H209" s="1">
        <v>52</v>
      </c>
      <c r="I209" s="1">
        <v>1</v>
      </c>
      <c r="J209" s="1" t="str">
        <f>IFERROR(VLOOKUP(K209,[1]diabetes_Recognition!$A:$B,2,FALSE),"Not Sampled")</f>
        <v>Not Sampled</v>
      </c>
      <c r="K209" s="1">
        <v>207</v>
      </c>
      <c r="L209" s="1" t="str">
        <f>LOOKUP(A209,Sheet2!$D$4:$E$9)</f>
        <v>5-7</v>
      </c>
      <c r="M209" t="str">
        <f>LOOKUP(B209,Sheet2!$G$4:$H$9)</f>
        <v>151-175</v>
      </c>
      <c r="N209" t="str">
        <f>LOOKUP(C209,Sheet2!$J$4:$K$8)</f>
        <v>80+</v>
      </c>
      <c r="O209" t="str">
        <f>LOOKUP(D209,Sheet2!$M$4:$N$8)</f>
        <v>Unknown</v>
      </c>
      <c r="P209" t="str">
        <f>LOOKUP(E209,Sheet2!$P$4:$Q$9)</f>
        <v>Unknown</v>
      </c>
      <c r="Q209" t="str">
        <f>LOOKUP(F209,Sheet2!$S$4:$T$8)</f>
        <v>36+</v>
      </c>
      <c r="R209" t="str">
        <f>LOOKUP(G209,Sheet2!$V$4:$W$7)</f>
        <v>0.0 - 0.249</v>
      </c>
      <c r="S209" t="str">
        <f>LOOKUP(H209,Sheet2!$Z$4:$AA$7)</f>
        <v>46+</v>
      </c>
      <c r="T209" t="str">
        <f t="shared" si="9"/>
        <v>Positive</v>
      </c>
      <c r="U209" t="str">
        <f t="shared" si="10"/>
        <v>Not Sampled</v>
      </c>
      <c r="V209" s="1" t="str">
        <f t="shared" si="11"/>
        <v>Not Sampled</v>
      </c>
    </row>
    <row r="210" spans="1:22" x14ac:dyDescent="0.25">
      <c r="A210" s="1">
        <v>1</v>
      </c>
      <c r="B210" s="1">
        <v>96</v>
      </c>
      <c r="C210" s="1">
        <v>64</v>
      </c>
      <c r="D210" s="1">
        <v>27</v>
      </c>
      <c r="E210" s="1">
        <v>87</v>
      </c>
      <c r="F210" s="1">
        <v>33.200000000000003</v>
      </c>
      <c r="G210" s="1">
        <v>0.28899999999999998</v>
      </c>
      <c r="H210" s="1">
        <v>21</v>
      </c>
      <c r="I210" s="1">
        <v>0</v>
      </c>
      <c r="J210" s="1" t="str">
        <f>IFERROR(VLOOKUP(K210,[1]diabetes_Recognition!$A:$B,2,FALSE),"Not Sampled")</f>
        <v>Not Sampled</v>
      </c>
      <c r="K210" s="1">
        <v>208</v>
      </c>
      <c r="L210" s="1">
        <f>LOOKUP(A210,Sheet2!$D$4:$E$9)</f>
        <v>1</v>
      </c>
      <c r="M210" t="str">
        <f>LOOKUP(B210,Sheet2!$G$4:$H$9)</f>
        <v>1-99</v>
      </c>
      <c r="N210" t="str">
        <f>LOOKUP(C210,Sheet2!$J$4:$K$8)</f>
        <v>60-69</v>
      </c>
      <c r="O210" t="str">
        <f>LOOKUP(D210,Sheet2!$M$4:$N$8)</f>
        <v>10-30</v>
      </c>
      <c r="P210" t="str">
        <f>LOOKUP(E210,Sheet2!$P$4:$Q$9)</f>
        <v>1-99</v>
      </c>
      <c r="Q210" t="str">
        <f>LOOKUP(F210,Sheet2!$S$4:$T$8)</f>
        <v>31-35</v>
      </c>
      <c r="R210" t="str">
        <f>LOOKUP(G210,Sheet2!$V$4:$W$7)</f>
        <v>0.25 - 0.39</v>
      </c>
      <c r="S210" t="str">
        <f>LOOKUP(H210,Sheet2!$Z$4:$AA$7)</f>
        <v>&lt;=25</v>
      </c>
      <c r="T210" t="str">
        <f t="shared" si="9"/>
        <v>Negative</v>
      </c>
      <c r="U210" t="str">
        <f t="shared" si="10"/>
        <v>Not Sampled</v>
      </c>
      <c r="V210" s="1" t="str">
        <f t="shared" si="11"/>
        <v>Not Sampled</v>
      </c>
    </row>
    <row r="211" spans="1:22" x14ac:dyDescent="0.25">
      <c r="A211" s="1">
        <v>7</v>
      </c>
      <c r="B211" s="1">
        <v>184</v>
      </c>
      <c r="C211" s="1">
        <v>84</v>
      </c>
      <c r="D211" s="1">
        <v>33</v>
      </c>
      <c r="E211" s="1">
        <v>0</v>
      </c>
      <c r="F211" s="1">
        <v>35.5</v>
      </c>
      <c r="G211" s="1">
        <v>0.35499999999999998</v>
      </c>
      <c r="H211" s="1">
        <v>41</v>
      </c>
      <c r="I211" s="1">
        <v>1</v>
      </c>
      <c r="J211" s="1" t="str">
        <f>IFERROR(VLOOKUP(K211,[1]diabetes_Recognition!$A:$B,2,FALSE),"Not Sampled")</f>
        <v>Not Sampled</v>
      </c>
      <c r="K211" s="1">
        <v>209</v>
      </c>
      <c r="L211" s="1" t="str">
        <f>LOOKUP(A211,Sheet2!$D$4:$E$9)</f>
        <v>5-7</v>
      </c>
      <c r="M211" t="str">
        <f>LOOKUP(B211,Sheet2!$G$4:$H$9)</f>
        <v>176-200</v>
      </c>
      <c r="N211" t="str">
        <f>LOOKUP(C211,Sheet2!$J$4:$K$8)</f>
        <v>80+</v>
      </c>
      <c r="O211" t="str">
        <f>LOOKUP(D211,Sheet2!$M$4:$N$8)</f>
        <v>30-39</v>
      </c>
      <c r="P211" t="str">
        <f>LOOKUP(E211,Sheet2!$P$4:$Q$9)</f>
        <v>Unknown</v>
      </c>
      <c r="Q211" t="str">
        <f>LOOKUP(F211,Sheet2!$S$4:$T$8)</f>
        <v>31-35</v>
      </c>
      <c r="R211" t="str">
        <f>LOOKUP(G211,Sheet2!$V$4:$W$7)</f>
        <v>0.25 - 0.39</v>
      </c>
      <c r="S211" t="str">
        <f>LOOKUP(H211,Sheet2!$Z$4:$AA$7)</f>
        <v>36-45</v>
      </c>
      <c r="T211" t="str">
        <f t="shared" si="9"/>
        <v>Positive</v>
      </c>
      <c r="U211" t="str">
        <f t="shared" si="10"/>
        <v>Not Sampled</v>
      </c>
      <c r="V211" s="1" t="str">
        <f t="shared" si="11"/>
        <v>Not Sampled</v>
      </c>
    </row>
    <row r="212" spans="1:22" x14ac:dyDescent="0.25">
      <c r="A212" s="1">
        <v>2</v>
      </c>
      <c r="B212" s="1">
        <v>81</v>
      </c>
      <c r="C212" s="1">
        <v>60</v>
      </c>
      <c r="D212" s="1">
        <v>22</v>
      </c>
      <c r="E212" s="1">
        <v>0</v>
      </c>
      <c r="F212" s="1">
        <v>27.7</v>
      </c>
      <c r="G212" s="1">
        <v>0.28999999999999998</v>
      </c>
      <c r="H212" s="1">
        <v>25</v>
      </c>
      <c r="I212" s="1">
        <v>0</v>
      </c>
      <c r="J212" s="1" t="str">
        <f>IFERROR(VLOOKUP(K212,[1]diabetes_Recognition!$A:$B,2,FALSE),"Not Sampled")</f>
        <v>Not Sampled</v>
      </c>
      <c r="K212" s="1">
        <v>210</v>
      </c>
      <c r="L212" s="1">
        <f>LOOKUP(A212,Sheet2!$D$4:$E$9)</f>
        <v>2</v>
      </c>
      <c r="M212" t="str">
        <f>LOOKUP(B212,Sheet2!$G$4:$H$9)</f>
        <v>1-99</v>
      </c>
      <c r="N212" t="str">
        <f>LOOKUP(C212,Sheet2!$J$4:$K$8)</f>
        <v>60-69</v>
      </c>
      <c r="O212" t="str">
        <f>LOOKUP(D212,Sheet2!$M$4:$N$8)</f>
        <v>10-30</v>
      </c>
      <c r="P212" t="str">
        <f>LOOKUP(E212,Sheet2!$P$4:$Q$9)</f>
        <v>Unknown</v>
      </c>
      <c r="Q212" t="str">
        <f>LOOKUP(F212,Sheet2!$S$4:$T$8)</f>
        <v>26-30</v>
      </c>
      <c r="R212" t="str">
        <f>LOOKUP(G212,Sheet2!$V$4:$W$7)</f>
        <v>0.25 - 0.39</v>
      </c>
      <c r="S212" t="str">
        <f>LOOKUP(H212,Sheet2!$Z$4:$AA$7)</f>
        <v>&lt;=25</v>
      </c>
      <c r="T212" t="str">
        <f t="shared" si="9"/>
        <v>Negative</v>
      </c>
      <c r="U212" t="str">
        <f t="shared" si="10"/>
        <v>Not Sampled</v>
      </c>
      <c r="V212" s="1" t="str">
        <f t="shared" si="11"/>
        <v>Not Sampled</v>
      </c>
    </row>
    <row r="213" spans="1:22" x14ac:dyDescent="0.25">
      <c r="A213" s="1">
        <v>0</v>
      </c>
      <c r="B213" s="1">
        <v>147</v>
      </c>
      <c r="C213" s="1">
        <v>85</v>
      </c>
      <c r="D213" s="1">
        <v>54</v>
      </c>
      <c r="E213" s="1">
        <v>0</v>
      </c>
      <c r="F213" s="1">
        <v>42.8</v>
      </c>
      <c r="G213" s="1">
        <v>0.375</v>
      </c>
      <c r="H213" s="1">
        <v>24</v>
      </c>
      <c r="I213" s="1">
        <v>0</v>
      </c>
      <c r="J213" s="1" t="str">
        <f>IFERROR(VLOOKUP(K213,[1]diabetes_Recognition!$A:$B,2,FALSE),"Not Sampled")</f>
        <v>Not Sampled</v>
      </c>
      <c r="K213" s="1">
        <v>211</v>
      </c>
      <c r="L213" s="1">
        <f>LOOKUP(A213,Sheet2!$D$4:$E$9)</f>
        <v>0</v>
      </c>
      <c r="M213" t="str">
        <f>LOOKUP(B213,Sheet2!$G$4:$H$9)</f>
        <v>126-150</v>
      </c>
      <c r="N213" t="str">
        <f>LOOKUP(C213,Sheet2!$J$4:$K$8)</f>
        <v>80+</v>
      </c>
      <c r="O213" t="str">
        <f>LOOKUP(D213,Sheet2!$M$4:$N$8)</f>
        <v>40+</v>
      </c>
      <c r="P213" t="str">
        <f>LOOKUP(E213,Sheet2!$P$4:$Q$9)</f>
        <v>Unknown</v>
      </c>
      <c r="Q213" t="str">
        <f>LOOKUP(F213,Sheet2!$S$4:$T$8)</f>
        <v>36+</v>
      </c>
      <c r="R213" t="str">
        <f>LOOKUP(G213,Sheet2!$V$4:$W$7)</f>
        <v>0.25 - 0.39</v>
      </c>
      <c r="S213" t="str">
        <f>LOOKUP(H213,Sheet2!$Z$4:$AA$7)</f>
        <v>&lt;=25</v>
      </c>
      <c r="T213" t="str">
        <f t="shared" si="9"/>
        <v>Negative</v>
      </c>
      <c r="U213" t="str">
        <f t="shared" si="10"/>
        <v>Not Sampled</v>
      </c>
      <c r="V213" s="1" t="str">
        <f t="shared" si="11"/>
        <v>Not Sampled</v>
      </c>
    </row>
    <row r="214" spans="1:22" x14ac:dyDescent="0.25">
      <c r="A214" s="1">
        <v>7</v>
      </c>
      <c r="B214" s="1">
        <v>179</v>
      </c>
      <c r="C214" s="1">
        <v>95</v>
      </c>
      <c r="D214" s="1">
        <v>31</v>
      </c>
      <c r="E214" s="1">
        <v>0</v>
      </c>
      <c r="F214" s="1">
        <v>34.200000000000003</v>
      </c>
      <c r="G214" s="1">
        <v>0.16400000000000001</v>
      </c>
      <c r="H214" s="1">
        <v>60</v>
      </c>
      <c r="I214" s="1">
        <v>0</v>
      </c>
      <c r="J214" s="1" t="str">
        <f>IFERROR(VLOOKUP(K214,[1]diabetes_Recognition!$A:$B,2,FALSE),"Not Sampled")</f>
        <v>Not Sampled</v>
      </c>
      <c r="K214" s="1">
        <v>212</v>
      </c>
      <c r="L214" s="1" t="str">
        <f>LOOKUP(A214,Sheet2!$D$4:$E$9)</f>
        <v>5-7</v>
      </c>
      <c r="M214" t="str">
        <f>LOOKUP(B214,Sheet2!$G$4:$H$9)</f>
        <v>176-200</v>
      </c>
      <c r="N214" t="str">
        <f>LOOKUP(C214,Sheet2!$J$4:$K$8)</f>
        <v>80+</v>
      </c>
      <c r="O214" t="str">
        <f>LOOKUP(D214,Sheet2!$M$4:$N$8)</f>
        <v>30-39</v>
      </c>
      <c r="P214" t="str">
        <f>LOOKUP(E214,Sheet2!$P$4:$Q$9)</f>
        <v>Unknown</v>
      </c>
      <c r="Q214" t="str">
        <f>LOOKUP(F214,Sheet2!$S$4:$T$8)</f>
        <v>31-35</v>
      </c>
      <c r="R214" t="str">
        <f>LOOKUP(G214,Sheet2!$V$4:$W$7)</f>
        <v>0.0 - 0.249</v>
      </c>
      <c r="S214" t="str">
        <f>LOOKUP(H214,Sheet2!$Z$4:$AA$7)</f>
        <v>46+</v>
      </c>
      <c r="T214" t="str">
        <f t="shared" si="9"/>
        <v>Negative</v>
      </c>
      <c r="U214" t="str">
        <f t="shared" si="10"/>
        <v>Not Sampled</v>
      </c>
      <c r="V214" s="1" t="str">
        <f t="shared" si="11"/>
        <v>Not Sampled</v>
      </c>
    </row>
    <row r="215" spans="1:22" x14ac:dyDescent="0.25">
      <c r="A215" s="1">
        <v>0</v>
      </c>
      <c r="B215" s="1">
        <v>140</v>
      </c>
      <c r="C215" s="1">
        <v>65</v>
      </c>
      <c r="D215" s="1">
        <v>26</v>
      </c>
      <c r="E215" s="1">
        <v>130</v>
      </c>
      <c r="F215" s="1">
        <v>42.6</v>
      </c>
      <c r="G215" s="1">
        <v>0.43099999999999999</v>
      </c>
      <c r="H215" s="1">
        <v>24</v>
      </c>
      <c r="I215" s="1">
        <v>1</v>
      </c>
      <c r="J215" s="1" t="str">
        <f>IFERROR(VLOOKUP(K215,[1]diabetes_Recognition!$A:$B,2,FALSE),"Not Sampled")</f>
        <v>Not Sampled</v>
      </c>
      <c r="K215" s="1">
        <v>213</v>
      </c>
      <c r="L215" s="1">
        <f>LOOKUP(A215,Sheet2!$D$4:$E$9)</f>
        <v>0</v>
      </c>
      <c r="M215" t="str">
        <f>LOOKUP(B215,Sheet2!$G$4:$H$9)</f>
        <v>126-150</v>
      </c>
      <c r="N215" t="str">
        <f>LOOKUP(C215,Sheet2!$J$4:$K$8)</f>
        <v>60-69</v>
      </c>
      <c r="O215" t="str">
        <f>LOOKUP(D215,Sheet2!$M$4:$N$8)</f>
        <v>10-30</v>
      </c>
      <c r="P215" t="str">
        <f>LOOKUP(E215,Sheet2!$P$4:$Q$9)</f>
        <v>100-199</v>
      </c>
      <c r="Q215" t="str">
        <f>LOOKUP(F215,Sheet2!$S$4:$T$8)</f>
        <v>36+</v>
      </c>
      <c r="R215" t="str">
        <f>LOOKUP(G215,Sheet2!$V$4:$W$7)</f>
        <v>0.4 - 0.69</v>
      </c>
      <c r="S215" t="str">
        <f>LOOKUP(H215,Sheet2!$Z$4:$AA$7)</f>
        <v>&lt;=25</v>
      </c>
      <c r="T215" t="str">
        <f t="shared" si="9"/>
        <v>Positive</v>
      </c>
      <c r="U215" t="str">
        <f t="shared" si="10"/>
        <v>Not Sampled</v>
      </c>
      <c r="V215" s="1" t="str">
        <f t="shared" si="11"/>
        <v>Not Sampled</v>
      </c>
    </row>
    <row r="216" spans="1:22" x14ac:dyDescent="0.25">
      <c r="A216" s="1">
        <v>9</v>
      </c>
      <c r="B216" s="1">
        <v>112</v>
      </c>
      <c r="C216" s="1">
        <v>82</v>
      </c>
      <c r="D216" s="1">
        <v>32</v>
      </c>
      <c r="E216" s="1">
        <v>175</v>
      </c>
      <c r="F216" s="1">
        <v>34.200000000000003</v>
      </c>
      <c r="G216" s="1">
        <v>0.26</v>
      </c>
      <c r="H216" s="1">
        <v>36</v>
      </c>
      <c r="I216" s="1">
        <v>1</v>
      </c>
      <c r="J216" s="1" t="str">
        <f>IFERROR(VLOOKUP(K216,[1]diabetes_Recognition!$A:$B,2,FALSE),"Not Sampled")</f>
        <v>Not Sampled</v>
      </c>
      <c r="K216" s="1">
        <v>214</v>
      </c>
      <c r="L216" s="1" t="str">
        <f>LOOKUP(A216,Sheet2!$D$4:$E$9)</f>
        <v>8+</v>
      </c>
      <c r="M216" t="str">
        <f>LOOKUP(B216,Sheet2!$G$4:$H$9)</f>
        <v>100-125</v>
      </c>
      <c r="N216" t="str">
        <f>LOOKUP(C216,Sheet2!$J$4:$K$8)</f>
        <v>80+</v>
      </c>
      <c r="O216" t="str">
        <f>LOOKUP(D216,Sheet2!$M$4:$N$8)</f>
        <v>30-39</v>
      </c>
      <c r="P216" t="str">
        <f>LOOKUP(E216,Sheet2!$P$4:$Q$9)</f>
        <v>100-199</v>
      </c>
      <c r="Q216" t="str">
        <f>LOOKUP(F216,Sheet2!$S$4:$T$8)</f>
        <v>31-35</v>
      </c>
      <c r="R216" t="str">
        <f>LOOKUP(G216,Sheet2!$V$4:$W$7)</f>
        <v>0.25 - 0.39</v>
      </c>
      <c r="S216" t="str">
        <f>LOOKUP(H216,Sheet2!$Z$4:$AA$7)</f>
        <v>36-45</v>
      </c>
      <c r="T216" t="str">
        <f t="shared" si="9"/>
        <v>Positive</v>
      </c>
      <c r="U216" t="str">
        <f t="shared" si="10"/>
        <v>Not Sampled</v>
      </c>
      <c r="V216" s="1" t="str">
        <f t="shared" si="11"/>
        <v>Not Sampled</v>
      </c>
    </row>
    <row r="217" spans="1:22" x14ac:dyDescent="0.25">
      <c r="A217" s="1">
        <v>12</v>
      </c>
      <c r="B217" s="1">
        <v>151</v>
      </c>
      <c r="C217" s="1">
        <v>70</v>
      </c>
      <c r="D217" s="1">
        <v>40</v>
      </c>
      <c r="E217" s="1">
        <v>271</v>
      </c>
      <c r="F217" s="1">
        <v>41.8</v>
      </c>
      <c r="G217" s="1">
        <v>0.74199999999999999</v>
      </c>
      <c r="H217" s="1">
        <v>38</v>
      </c>
      <c r="I217" s="1">
        <v>1</v>
      </c>
      <c r="J217" s="1" t="str">
        <f>IFERROR(VLOOKUP(K217,[1]diabetes_Recognition!$A:$B,2,FALSE),"Not Sampled")</f>
        <v>Not Sampled</v>
      </c>
      <c r="K217" s="1">
        <v>215</v>
      </c>
      <c r="L217" s="1" t="str">
        <f>LOOKUP(A217,Sheet2!$D$4:$E$9)</f>
        <v>8+</v>
      </c>
      <c r="M217" t="str">
        <f>LOOKUP(B217,Sheet2!$G$4:$H$9)</f>
        <v>151-175</v>
      </c>
      <c r="N217" t="str">
        <f>LOOKUP(C217,Sheet2!$J$4:$K$8)</f>
        <v>70-79</v>
      </c>
      <c r="O217" t="str">
        <f>LOOKUP(D217,Sheet2!$M$4:$N$8)</f>
        <v>40+</v>
      </c>
      <c r="P217" t="str">
        <f>LOOKUP(E217,Sheet2!$P$4:$Q$9)</f>
        <v>200-399</v>
      </c>
      <c r="Q217" t="str">
        <f>LOOKUP(F217,Sheet2!$S$4:$T$8)</f>
        <v>36+</v>
      </c>
      <c r="R217" t="str">
        <f>LOOKUP(G217,Sheet2!$V$4:$W$7)</f>
        <v>0.7+</v>
      </c>
      <c r="S217" t="str">
        <f>LOOKUP(H217,Sheet2!$Z$4:$AA$7)</f>
        <v>36-45</v>
      </c>
      <c r="T217" t="str">
        <f t="shared" si="9"/>
        <v>Positive</v>
      </c>
      <c r="U217" t="str">
        <f t="shared" si="10"/>
        <v>Not Sampled</v>
      </c>
      <c r="V217" s="1" t="str">
        <f t="shared" si="11"/>
        <v>Not Sampled</v>
      </c>
    </row>
    <row r="218" spans="1:22" x14ac:dyDescent="0.25">
      <c r="A218" s="1">
        <v>5</v>
      </c>
      <c r="B218" s="1">
        <v>109</v>
      </c>
      <c r="C218" s="1">
        <v>62</v>
      </c>
      <c r="D218" s="1">
        <v>41</v>
      </c>
      <c r="E218" s="1">
        <v>129</v>
      </c>
      <c r="F218" s="1">
        <v>35.799999999999997</v>
      </c>
      <c r="G218" s="1">
        <v>0.51400000000000001</v>
      </c>
      <c r="H218" s="1">
        <v>25</v>
      </c>
      <c r="I218" s="1">
        <v>1</v>
      </c>
      <c r="J218" s="1" t="str">
        <f>IFERROR(VLOOKUP(K218,[1]diabetes_Recognition!$A:$B,2,FALSE),"Not Sampled")</f>
        <v>Not Sampled</v>
      </c>
      <c r="K218" s="1">
        <v>216</v>
      </c>
      <c r="L218" s="1" t="str">
        <f>LOOKUP(A218,Sheet2!$D$4:$E$9)</f>
        <v>5-7</v>
      </c>
      <c r="M218" t="str">
        <f>LOOKUP(B218,Sheet2!$G$4:$H$9)</f>
        <v>100-125</v>
      </c>
      <c r="N218" t="str">
        <f>LOOKUP(C218,Sheet2!$J$4:$K$8)</f>
        <v>60-69</v>
      </c>
      <c r="O218" t="str">
        <f>LOOKUP(D218,Sheet2!$M$4:$N$8)</f>
        <v>40+</v>
      </c>
      <c r="P218" t="str">
        <f>LOOKUP(E218,Sheet2!$P$4:$Q$9)</f>
        <v>100-199</v>
      </c>
      <c r="Q218" t="str">
        <f>LOOKUP(F218,Sheet2!$S$4:$T$8)</f>
        <v>31-35</v>
      </c>
      <c r="R218" t="str">
        <f>LOOKUP(G218,Sheet2!$V$4:$W$7)</f>
        <v>0.4 - 0.69</v>
      </c>
      <c r="S218" t="str">
        <f>LOOKUP(H218,Sheet2!$Z$4:$AA$7)</f>
        <v>&lt;=25</v>
      </c>
      <c r="T218" t="str">
        <f t="shared" si="9"/>
        <v>Positive</v>
      </c>
      <c r="U218" t="str">
        <f t="shared" si="10"/>
        <v>Not Sampled</v>
      </c>
      <c r="V218" s="1" t="str">
        <f t="shared" si="11"/>
        <v>Not Sampled</v>
      </c>
    </row>
    <row r="219" spans="1:22" x14ac:dyDescent="0.25">
      <c r="A219" s="1">
        <v>6</v>
      </c>
      <c r="B219" s="1">
        <v>125</v>
      </c>
      <c r="C219" s="1">
        <v>68</v>
      </c>
      <c r="D219" s="1">
        <v>30</v>
      </c>
      <c r="E219" s="1">
        <v>120</v>
      </c>
      <c r="F219" s="1">
        <v>30</v>
      </c>
      <c r="G219" s="1">
        <v>0.46400000000000002</v>
      </c>
      <c r="H219" s="1">
        <v>32</v>
      </c>
      <c r="I219" s="1">
        <v>0</v>
      </c>
      <c r="J219" s="1" t="str">
        <f>IFERROR(VLOOKUP(K219,[1]diabetes_Recognition!$A:$B,2,FALSE),"Not Sampled")</f>
        <v>Not Sampled</v>
      </c>
      <c r="K219" s="1">
        <v>217</v>
      </c>
      <c r="L219" s="1" t="str">
        <f>LOOKUP(A219,Sheet2!$D$4:$E$9)</f>
        <v>5-7</v>
      </c>
      <c r="M219" t="str">
        <f>LOOKUP(B219,Sheet2!$G$4:$H$9)</f>
        <v>100-125</v>
      </c>
      <c r="N219" t="str">
        <f>LOOKUP(C219,Sheet2!$J$4:$K$8)</f>
        <v>60-69</v>
      </c>
      <c r="O219" t="str">
        <f>LOOKUP(D219,Sheet2!$M$4:$N$8)</f>
        <v>30-39</v>
      </c>
      <c r="P219" t="str">
        <f>LOOKUP(E219,Sheet2!$P$4:$Q$9)</f>
        <v>100-199</v>
      </c>
      <c r="Q219" t="str">
        <f>LOOKUP(F219,Sheet2!$S$4:$T$8)</f>
        <v>26-30</v>
      </c>
      <c r="R219" t="str">
        <f>LOOKUP(G219,Sheet2!$V$4:$W$7)</f>
        <v>0.4 - 0.69</v>
      </c>
      <c r="S219" t="str">
        <f>LOOKUP(H219,Sheet2!$Z$4:$AA$7)</f>
        <v>26-35</v>
      </c>
      <c r="T219" t="str">
        <f t="shared" si="9"/>
        <v>Negative</v>
      </c>
      <c r="U219" t="str">
        <f t="shared" si="10"/>
        <v>Not Sampled</v>
      </c>
      <c r="V219" s="1" t="str">
        <f t="shared" si="11"/>
        <v>Not Sampled</v>
      </c>
    </row>
    <row r="220" spans="1:22" x14ac:dyDescent="0.25">
      <c r="A220" s="1">
        <v>5</v>
      </c>
      <c r="B220" s="1">
        <v>85</v>
      </c>
      <c r="C220" s="1">
        <v>74</v>
      </c>
      <c r="D220" s="1">
        <v>22</v>
      </c>
      <c r="E220" s="1">
        <v>0</v>
      </c>
      <c r="F220" s="1">
        <v>29</v>
      </c>
      <c r="G220" s="1">
        <v>1.224</v>
      </c>
      <c r="H220" s="1">
        <v>32</v>
      </c>
      <c r="I220" s="1">
        <v>1</v>
      </c>
      <c r="J220" s="1" t="str">
        <f>IFERROR(VLOOKUP(K220,[1]diabetes_Recognition!$A:$B,2,FALSE),"Not Sampled")</f>
        <v>Not Sampled</v>
      </c>
      <c r="K220" s="1">
        <v>218</v>
      </c>
      <c r="L220" s="1" t="str">
        <f>LOOKUP(A220,Sheet2!$D$4:$E$9)</f>
        <v>5-7</v>
      </c>
      <c r="M220" t="str">
        <f>LOOKUP(B220,Sheet2!$G$4:$H$9)</f>
        <v>1-99</v>
      </c>
      <c r="N220" t="str">
        <f>LOOKUP(C220,Sheet2!$J$4:$K$8)</f>
        <v>70-79</v>
      </c>
      <c r="O220" t="str">
        <f>LOOKUP(D220,Sheet2!$M$4:$N$8)</f>
        <v>10-30</v>
      </c>
      <c r="P220" t="str">
        <f>LOOKUP(E220,Sheet2!$P$4:$Q$9)</f>
        <v>Unknown</v>
      </c>
      <c r="Q220" t="str">
        <f>LOOKUP(F220,Sheet2!$S$4:$T$8)</f>
        <v>26-30</v>
      </c>
      <c r="R220" t="str">
        <f>LOOKUP(G220,Sheet2!$V$4:$W$7)</f>
        <v>0.7+</v>
      </c>
      <c r="S220" t="str">
        <f>LOOKUP(H220,Sheet2!$Z$4:$AA$7)</f>
        <v>26-35</v>
      </c>
      <c r="T220" t="str">
        <f t="shared" si="9"/>
        <v>Positive</v>
      </c>
      <c r="U220" t="str">
        <f t="shared" si="10"/>
        <v>Not Sampled</v>
      </c>
      <c r="V220" s="1" t="str">
        <f t="shared" si="11"/>
        <v>Not Sampled</v>
      </c>
    </row>
    <row r="221" spans="1:22" x14ac:dyDescent="0.25">
      <c r="A221" s="1">
        <v>5</v>
      </c>
      <c r="B221" s="1">
        <v>112</v>
      </c>
      <c r="C221" s="1">
        <v>66</v>
      </c>
      <c r="D221" s="1">
        <v>0</v>
      </c>
      <c r="E221" s="1">
        <v>0</v>
      </c>
      <c r="F221" s="1">
        <v>37.799999999999997</v>
      </c>
      <c r="G221" s="1">
        <v>0.26100000000000001</v>
      </c>
      <c r="H221" s="1">
        <v>41</v>
      </c>
      <c r="I221" s="1">
        <v>1</v>
      </c>
      <c r="J221" s="1" t="str">
        <f>IFERROR(VLOOKUP(K221,[1]diabetes_Recognition!$A:$B,2,FALSE),"Not Sampled")</f>
        <v>Not Sampled</v>
      </c>
      <c r="K221" s="1">
        <v>219</v>
      </c>
      <c r="L221" s="1" t="str">
        <f>LOOKUP(A221,Sheet2!$D$4:$E$9)</f>
        <v>5-7</v>
      </c>
      <c r="M221" t="str">
        <f>LOOKUP(B221,Sheet2!$G$4:$H$9)</f>
        <v>100-125</v>
      </c>
      <c r="N221" t="str">
        <f>LOOKUP(C221,Sheet2!$J$4:$K$8)</f>
        <v>60-69</v>
      </c>
      <c r="O221" t="str">
        <f>LOOKUP(D221,Sheet2!$M$4:$N$8)</f>
        <v>Unknown</v>
      </c>
      <c r="P221" t="str">
        <f>LOOKUP(E221,Sheet2!$P$4:$Q$9)</f>
        <v>Unknown</v>
      </c>
      <c r="Q221" t="str">
        <f>LOOKUP(F221,Sheet2!$S$4:$T$8)</f>
        <v>36+</v>
      </c>
      <c r="R221" t="str">
        <f>LOOKUP(G221,Sheet2!$V$4:$W$7)</f>
        <v>0.25 - 0.39</v>
      </c>
      <c r="S221" t="str">
        <f>LOOKUP(H221,Sheet2!$Z$4:$AA$7)</f>
        <v>36-45</v>
      </c>
      <c r="T221" t="str">
        <f t="shared" si="9"/>
        <v>Positive</v>
      </c>
      <c r="U221" t="str">
        <f t="shared" si="10"/>
        <v>Not Sampled</v>
      </c>
      <c r="V221" s="1" t="str">
        <f t="shared" si="11"/>
        <v>Not Sampled</v>
      </c>
    </row>
    <row r="222" spans="1:22" x14ac:dyDescent="0.25">
      <c r="A222" s="1">
        <v>0</v>
      </c>
      <c r="B222" s="1">
        <v>177</v>
      </c>
      <c r="C222" s="1">
        <v>60</v>
      </c>
      <c r="D222" s="1">
        <v>29</v>
      </c>
      <c r="E222" s="1">
        <v>478</v>
      </c>
      <c r="F222" s="1">
        <v>34.6</v>
      </c>
      <c r="G222" s="1">
        <v>1.0720000000000001</v>
      </c>
      <c r="H222" s="1">
        <v>21</v>
      </c>
      <c r="I222" s="1">
        <v>1</v>
      </c>
      <c r="J222" s="1" t="str">
        <f>IFERROR(VLOOKUP(K222,[1]diabetes_Recognition!$A:$B,2,FALSE),"Not Sampled")</f>
        <v>Not Sampled</v>
      </c>
      <c r="K222" s="1">
        <v>220</v>
      </c>
      <c r="L222" s="1">
        <f>LOOKUP(A222,Sheet2!$D$4:$E$9)</f>
        <v>0</v>
      </c>
      <c r="M222" t="str">
        <f>LOOKUP(B222,Sheet2!$G$4:$H$9)</f>
        <v>176-200</v>
      </c>
      <c r="N222" t="str">
        <f>LOOKUP(C222,Sheet2!$J$4:$K$8)</f>
        <v>60-69</v>
      </c>
      <c r="O222" t="str">
        <f>LOOKUP(D222,Sheet2!$M$4:$N$8)</f>
        <v>10-30</v>
      </c>
      <c r="P222" t="str">
        <f>LOOKUP(E222,Sheet2!$P$4:$Q$9)</f>
        <v>300-499</v>
      </c>
      <c r="Q222" t="str">
        <f>LOOKUP(F222,Sheet2!$S$4:$T$8)</f>
        <v>31-35</v>
      </c>
      <c r="R222" t="str">
        <f>LOOKUP(G222,Sheet2!$V$4:$W$7)</f>
        <v>0.7+</v>
      </c>
      <c r="S222" t="str">
        <f>LOOKUP(H222,Sheet2!$Z$4:$AA$7)</f>
        <v>&lt;=25</v>
      </c>
      <c r="T222" t="str">
        <f t="shared" si="9"/>
        <v>Positive</v>
      </c>
      <c r="U222" t="str">
        <f t="shared" si="10"/>
        <v>Not Sampled</v>
      </c>
      <c r="V222" s="1" t="str">
        <f t="shared" si="11"/>
        <v>Not Sampled</v>
      </c>
    </row>
    <row r="223" spans="1:22" x14ac:dyDescent="0.25">
      <c r="A223" s="1">
        <v>2</v>
      </c>
      <c r="B223" s="1">
        <v>158</v>
      </c>
      <c r="C223" s="1">
        <v>90</v>
      </c>
      <c r="D223" s="1">
        <v>0</v>
      </c>
      <c r="E223" s="1">
        <v>0</v>
      </c>
      <c r="F223" s="1">
        <v>31.6</v>
      </c>
      <c r="G223" s="1">
        <v>0.80500000000000005</v>
      </c>
      <c r="H223" s="1">
        <v>66</v>
      </c>
      <c r="I223" s="1">
        <v>1</v>
      </c>
      <c r="J223" s="1" t="str">
        <f>IFERROR(VLOOKUP(K223,[1]diabetes_Recognition!$A:$B,2,FALSE),"Not Sampled")</f>
        <v>Not Sampled</v>
      </c>
      <c r="K223" s="1">
        <v>221</v>
      </c>
      <c r="L223" s="1">
        <f>LOOKUP(A223,Sheet2!$D$4:$E$9)</f>
        <v>2</v>
      </c>
      <c r="M223" t="str">
        <f>LOOKUP(B223,Sheet2!$G$4:$H$9)</f>
        <v>151-175</v>
      </c>
      <c r="N223" t="str">
        <f>LOOKUP(C223,Sheet2!$J$4:$K$8)</f>
        <v>80+</v>
      </c>
      <c r="O223" t="str">
        <f>LOOKUP(D223,Sheet2!$M$4:$N$8)</f>
        <v>Unknown</v>
      </c>
      <c r="P223" t="str">
        <f>LOOKUP(E223,Sheet2!$P$4:$Q$9)</f>
        <v>Unknown</v>
      </c>
      <c r="Q223" t="str">
        <f>LOOKUP(F223,Sheet2!$S$4:$T$8)</f>
        <v>31-35</v>
      </c>
      <c r="R223" t="str">
        <f>LOOKUP(G223,Sheet2!$V$4:$W$7)</f>
        <v>0.7+</v>
      </c>
      <c r="S223" t="str">
        <f>LOOKUP(H223,Sheet2!$Z$4:$AA$7)</f>
        <v>46+</v>
      </c>
      <c r="T223" t="str">
        <f t="shared" si="9"/>
        <v>Positive</v>
      </c>
      <c r="U223" t="str">
        <f t="shared" si="10"/>
        <v>Not Sampled</v>
      </c>
      <c r="V223" s="1" t="str">
        <f t="shared" si="11"/>
        <v>Not Sampled</v>
      </c>
    </row>
    <row r="224" spans="1:22" x14ac:dyDescent="0.25">
      <c r="A224" s="1">
        <v>7</v>
      </c>
      <c r="B224" s="1">
        <v>119</v>
      </c>
      <c r="C224" s="1">
        <v>0</v>
      </c>
      <c r="D224" s="1">
        <v>0</v>
      </c>
      <c r="E224" s="1">
        <v>0</v>
      </c>
      <c r="F224" s="1">
        <v>25.2</v>
      </c>
      <c r="G224" s="1">
        <v>0.20899999999999999</v>
      </c>
      <c r="H224" s="1">
        <v>37</v>
      </c>
      <c r="I224" s="1">
        <v>0</v>
      </c>
      <c r="J224" s="1" t="str">
        <f>IFERROR(VLOOKUP(K224,[1]diabetes_Recognition!$A:$B,2,FALSE),"Not Sampled")</f>
        <v>Not Sampled</v>
      </c>
      <c r="K224" s="1">
        <v>222</v>
      </c>
      <c r="L224" s="1" t="str">
        <f>LOOKUP(A224,Sheet2!$D$4:$E$9)</f>
        <v>5-7</v>
      </c>
      <c r="M224" t="str">
        <f>LOOKUP(B224,Sheet2!$G$4:$H$9)</f>
        <v>100-125</v>
      </c>
      <c r="N224" t="str">
        <f>LOOKUP(C224,Sheet2!$J$4:$K$8)</f>
        <v>Unknown</v>
      </c>
      <c r="O224" t="str">
        <f>LOOKUP(D224,Sheet2!$M$4:$N$8)</f>
        <v>Unknown</v>
      </c>
      <c r="P224" t="str">
        <f>LOOKUP(E224,Sheet2!$P$4:$Q$9)</f>
        <v>Unknown</v>
      </c>
      <c r="Q224" t="str">
        <f>LOOKUP(F224,Sheet2!$S$4:$T$8)</f>
        <v>1-25</v>
      </c>
      <c r="R224" t="str">
        <f>LOOKUP(G224,Sheet2!$V$4:$W$7)</f>
        <v>0.0 - 0.249</v>
      </c>
      <c r="S224" t="str">
        <f>LOOKUP(H224,Sheet2!$Z$4:$AA$7)</f>
        <v>36-45</v>
      </c>
      <c r="T224" t="str">
        <f t="shared" si="9"/>
        <v>Negative</v>
      </c>
      <c r="U224" t="str">
        <f t="shared" si="10"/>
        <v>Not Sampled</v>
      </c>
      <c r="V224" s="1" t="str">
        <f t="shared" si="11"/>
        <v>Not Sampled</v>
      </c>
    </row>
    <row r="225" spans="1:22" x14ac:dyDescent="0.25">
      <c r="A225" s="1">
        <v>7</v>
      </c>
      <c r="B225" s="1">
        <v>142</v>
      </c>
      <c r="C225" s="1">
        <v>60</v>
      </c>
      <c r="D225" s="1">
        <v>33</v>
      </c>
      <c r="E225" s="1">
        <v>190</v>
      </c>
      <c r="F225" s="1">
        <v>28.8</v>
      </c>
      <c r="G225" s="1">
        <v>0.68700000000000006</v>
      </c>
      <c r="H225" s="1">
        <v>61</v>
      </c>
      <c r="I225" s="1">
        <v>0</v>
      </c>
      <c r="J225" s="1">
        <f>IFERROR(VLOOKUP(K225,[1]diabetes_Recognition!$A:$B,2,FALSE),"Not Sampled")</f>
        <v>1</v>
      </c>
      <c r="K225" s="1">
        <v>223</v>
      </c>
      <c r="L225" s="1" t="str">
        <f>LOOKUP(A225,Sheet2!$D$4:$E$9)</f>
        <v>5-7</v>
      </c>
      <c r="M225" t="str">
        <f>LOOKUP(B225,Sheet2!$G$4:$H$9)</f>
        <v>126-150</v>
      </c>
      <c r="N225" t="str">
        <f>LOOKUP(C225,Sheet2!$J$4:$K$8)</f>
        <v>60-69</v>
      </c>
      <c r="O225" t="str">
        <f>LOOKUP(D225,Sheet2!$M$4:$N$8)</f>
        <v>30-39</v>
      </c>
      <c r="P225" t="str">
        <f>LOOKUP(E225,Sheet2!$P$4:$Q$9)</f>
        <v>100-199</v>
      </c>
      <c r="Q225" t="str">
        <f>LOOKUP(F225,Sheet2!$S$4:$T$8)</f>
        <v>26-30</v>
      </c>
      <c r="R225" t="str">
        <f>LOOKUP(G225,Sheet2!$V$4:$W$7)</f>
        <v>0.4 - 0.69</v>
      </c>
      <c r="S225" t="str">
        <f>LOOKUP(H225,Sheet2!$Z$4:$AA$7)</f>
        <v>46+</v>
      </c>
      <c r="T225" t="str">
        <f t="shared" si="9"/>
        <v>Negative</v>
      </c>
      <c r="U225" t="str">
        <f t="shared" si="10"/>
        <v>Positive</v>
      </c>
      <c r="V225" s="1" t="str">
        <f t="shared" si="11"/>
        <v>Inaccurate Prediction</v>
      </c>
    </row>
    <row r="226" spans="1:22" x14ac:dyDescent="0.25">
      <c r="A226" s="1">
        <v>1</v>
      </c>
      <c r="B226" s="1">
        <v>100</v>
      </c>
      <c r="C226" s="1">
        <v>66</v>
      </c>
      <c r="D226" s="1">
        <v>15</v>
      </c>
      <c r="E226" s="1">
        <v>56</v>
      </c>
      <c r="F226" s="1">
        <v>23.6</v>
      </c>
      <c r="G226" s="1">
        <v>0.66600000000000004</v>
      </c>
      <c r="H226" s="1">
        <v>26</v>
      </c>
      <c r="I226" s="1">
        <v>0</v>
      </c>
      <c r="J226" s="1" t="str">
        <f>IFERROR(VLOOKUP(K226,[1]diabetes_Recognition!$A:$B,2,FALSE),"Not Sampled")</f>
        <v>Not Sampled</v>
      </c>
      <c r="K226" s="1">
        <v>224</v>
      </c>
      <c r="L226" s="1">
        <f>LOOKUP(A226,Sheet2!$D$4:$E$9)</f>
        <v>1</v>
      </c>
      <c r="M226" t="str">
        <f>LOOKUP(B226,Sheet2!$G$4:$H$9)</f>
        <v>100-125</v>
      </c>
      <c r="N226" t="str">
        <f>LOOKUP(C226,Sheet2!$J$4:$K$8)</f>
        <v>60-69</v>
      </c>
      <c r="O226" t="str">
        <f>LOOKUP(D226,Sheet2!$M$4:$N$8)</f>
        <v>10-30</v>
      </c>
      <c r="P226" t="str">
        <f>LOOKUP(E226,Sheet2!$P$4:$Q$9)</f>
        <v>1-99</v>
      </c>
      <c r="Q226" t="str">
        <f>LOOKUP(F226,Sheet2!$S$4:$T$8)</f>
        <v>1-25</v>
      </c>
      <c r="R226" t="str">
        <f>LOOKUP(G226,Sheet2!$V$4:$W$7)</f>
        <v>0.4 - 0.69</v>
      </c>
      <c r="S226" t="str">
        <f>LOOKUP(H226,Sheet2!$Z$4:$AA$7)</f>
        <v>26-35</v>
      </c>
      <c r="T226" t="str">
        <f t="shared" si="9"/>
        <v>Negative</v>
      </c>
      <c r="U226" t="str">
        <f t="shared" si="10"/>
        <v>Not Sampled</v>
      </c>
      <c r="V226" s="1" t="str">
        <f t="shared" si="11"/>
        <v>Not Sampled</v>
      </c>
    </row>
    <row r="227" spans="1:22" x14ac:dyDescent="0.25">
      <c r="A227" s="1">
        <v>1</v>
      </c>
      <c r="B227" s="1">
        <v>87</v>
      </c>
      <c r="C227" s="1">
        <v>78</v>
      </c>
      <c r="D227" s="1">
        <v>27</v>
      </c>
      <c r="E227" s="1">
        <v>32</v>
      </c>
      <c r="F227" s="1">
        <v>34.6</v>
      </c>
      <c r="G227" s="1">
        <v>0.10100000000000001</v>
      </c>
      <c r="H227" s="1">
        <v>22</v>
      </c>
      <c r="I227" s="1">
        <v>0</v>
      </c>
      <c r="J227" s="1" t="str">
        <f>IFERROR(VLOOKUP(K227,[1]diabetes_Recognition!$A:$B,2,FALSE),"Not Sampled")</f>
        <v>Not Sampled</v>
      </c>
      <c r="K227" s="1">
        <v>225</v>
      </c>
      <c r="L227" s="1">
        <f>LOOKUP(A227,Sheet2!$D$4:$E$9)</f>
        <v>1</v>
      </c>
      <c r="M227" t="str">
        <f>LOOKUP(B227,Sheet2!$G$4:$H$9)</f>
        <v>1-99</v>
      </c>
      <c r="N227" t="str">
        <f>LOOKUP(C227,Sheet2!$J$4:$K$8)</f>
        <v>70-79</v>
      </c>
      <c r="O227" t="str">
        <f>LOOKUP(D227,Sheet2!$M$4:$N$8)</f>
        <v>10-30</v>
      </c>
      <c r="P227" t="str">
        <f>LOOKUP(E227,Sheet2!$P$4:$Q$9)</f>
        <v>1-99</v>
      </c>
      <c r="Q227" t="str">
        <f>LOOKUP(F227,Sheet2!$S$4:$T$8)</f>
        <v>31-35</v>
      </c>
      <c r="R227" t="str">
        <f>LOOKUP(G227,Sheet2!$V$4:$W$7)</f>
        <v>0.0 - 0.249</v>
      </c>
      <c r="S227" t="str">
        <f>LOOKUP(H227,Sheet2!$Z$4:$AA$7)</f>
        <v>&lt;=25</v>
      </c>
      <c r="T227" t="str">
        <f t="shared" si="9"/>
        <v>Negative</v>
      </c>
      <c r="U227" t="str">
        <f t="shared" si="10"/>
        <v>Not Sampled</v>
      </c>
      <c r="V227" s="1" t="str">
        <f t="shared" si="11"/>
        <v>Not Sampled</v>
      </c>
    </row>
    <row r="228" spans="1:22" x14ac:dyDescent="0.25">
      <c r="A228" s="1">
        <v>0</v>
      </c>
      <c r="B228" s="1">
        <v>101</v>
      </c>
      <c r="C228" s="1">
        <v>76</v>
      </c>
      <c r="D228" s="1">
        <v>0</v>
      </c>
      <c r="E228" s="1">
        <v>0</v>
      </c>
      <c r="F228" s="1">
        <v>35.700000000000003</v>
      </c>
      <c r="G228" s="1">
        <v>0.19800000000000001</v>
      </c>
      <c r="H228" s="1">
        <v>26</v>
      </c>
      <c r="I228" s="1">
        <v>0</v>
      </c>
      <c r="J228" s="1" t="str">
        <f>IFERROR(VLOOKUP(K228,[1]diabetes_Recognition!$A:$B,2,FALSE),"Not Sampled")</f>
        <v>Not Sampled</v>
      </c>
      <c r="K228" s="1">
        <v>226</v>
      </c>
      <c r="L228" s="1">
        <f>LOOKUP(A228,Sheet2!$D$4:$E$9)</f>
        <v>0</v>
      </c>
      <c r="M228" t="str">
        <f>LOOKUP(B228,Sheet2!$G$4:$H$9)</f>
        <v>100-125</v>
      </c>
      <c r="N228" t="str">
        <f>LOOKUP(C228,Sheet2!$J$4:$K$8)</f>
        <v>70-79</v>
      </c>
      <c r="O228" t="str">
        <f>LOOKUP(D228,Sheet2!$M$4:$N$8)</f>
        <v>Unknown</v>
      </c>
      <c r="P228" t="str">
        <f>LOOKUP(E228,Sheet2!$P$4:$Q$9)</f>
        <v>Unknown</v>
      </c>
      <c r="Q228" t="str">
        <f>LOOKUP(F228,Sheet2!$S$4:$T$8)</f>
        <v>31-35</v>
      </c>
      <c r="R228" t="str">
        <f>LOOKUP(G228,Sheet2!$V$4:$W$7)</f>
        <v>0.0 - 0.249</v>
      </c>
      <c r="S228" t="str">
        <f>LOOKUP(H228,Sheet2!$Z$4:$AA$7)</f>
        <v>26-35</v>
      </c>
      <c r="T228" t="str">
        <f t="shared" si="9"/>
        <v>Negative</v>
      </c>
      <c r="U228" t="str">
        <f t="shared" si="10"/>
        <v>Not Sampled</v>
      </c>
      <c r="V228" s="1" t="str">
        <f t="shared" si="11"/>
        <v>Not Sampled</v>
      </c>
    </row>
    <row r="229" spans="1:22" x14ac:dyDescent="0.25">
      <c r="A229" s="1">
        <v>3</v>
      </c>
      <c r="B229" s="1">
        <v>162</v>
      </c>
      <c r="C229" s="1">
        <v>52</v>
      </c>
      <c r="D229" s="1">
        <v>38</v>
      </c>
      <c r="E229" s="1">
        <v>0</v>
      </c>
      <c r="F229" s="1">
        <v>37.200000000000003</v>
      </c>
      <c r="G229" s="1">
        <v>0.65200000000000002</v>
      </c>
      <c r="H229" s="1">
        <v>24</v>
      </c>
      <c r="I229" s="1">
        <v>1</v>
      </c>
      <c r="J229" s="1">
        <f>IFERROR(VLOOKUP(K229,[1]diabetes_Recognition!$A:$B,2,FALSE),"Not Sampled")</f>
        <v>1</v>
      </c>
      <c r="K229" s="1">
        <v>227</v>
      </c>
      <c r="L229" s="1" t="str">
        <f>LOOKUP(A229,Sheet2!$D$4:$E$9)</f>
        <v>3-4</v>
      </c>
      <c r="M229" t="str">
        <f>LOOKUP(B229,Sheet2!$G$4:$H$9)</f>
        <v>151-175</v>
      </c>
      <c r="N229" t="str">
        <f>LOOKUP(C229,Sheet2!$J$4:$K$8)</f>
        <v>1-59</v>
      </c>
      <c r="O229" t="str">
        <f>LOOKUP(D229,Sheet2!$M$4:$N$8)</f>
        <v>30-39</v>
      </c>
      <c r="P229" t="str">
        <f>LOOKUP(E229,Sheet2!$P$4:$Q$9)</f>
        <v>Unknown</v>
      </c>
      <c r="Q229" t="str">
        <f>LOOKUP(F229,Sheet2!$S$4:$T$8)</f>
        <v>36+</v>
      </c>
      <c r="R229" t="str">
        <f>LOOKUP(G229,Sheet2!$V$4:$W$7)</f>
        <v>0.4 - 0.69</v>
      </c>
      <c r="S229" t="str">
        <f>LOOKUP(H229,Sheet2!$Z$4:$AA$7)</f>
        <v>&lt;=25</v>
      </c>
      <c r="T229" t="str">
        <f t="shared" si="9"/>
        <v>Positive</v>
      </c>
      <c r="U229" t="str">
        <f t="shared" si="10"/>
        <v>Positive</v>
      </c>
      <c r="V229" s="1" t="str">
        <f t="shared" si="11"/>
        <v>Accurate Prediction</v>
      </c>
    </row>
    <row r="230" spans="1:22" x14ac:dyDescent="0.25">
      <c r="A230" s="1">
        <v>4</v>
      </c>
      <c r="B230" s="1">
        <v>197</v>
      </c>
      <c r="C230" s="1">
        <v>70</v>
      </c>
      <c r="D230" s="1">
        <v>39</v>
      </c>
      <c r="E230" s="1">
        <v>744</v>
      </c>
      <c r="F230" s="1">
        <v>36.700000000000003</v>
      </c>
      <c r="G230" s="1">
        <v>2.3290000000000002</v>
      </c>
      <c r="H230" s="1">
        <v>31</v>
      </c>
      <c r="I230" s="1">
        <v>0</v>
      </c>
      <c r="J230" s="1">
        <f>IFERROR(VLOOKUP(K230,[1]diabetes_Recognition!$A:$B,2,FALSE),"Not Sampled")</f>
        <v>1</v>
      </c>
      <c r="K230" s="1">
        <v>228</v>
      </c>
      <c r="L230" s="1" t="str">
        <f>LOOKUP(A230,Sheet2!$D$4:$E$9)</f>
        <v>3-4</v>
      </c>
      <c r="M230" t="str">
        <f>LOOKUP(B230,Sheet2!$G$4:$H$9)</f>
        <v>176-200</v>
      </c>
      <c r="N230" t="str">
        <f>LOOKUP(C230,Sheet2!$J$4:$K$8)</f>
        <v>70-79</v>
      </c>
      <c r="O230" t="str">
        <f>LOOKUP(D230,Sheet2!$M$4:$N$8)</f>
        <v>30-39</v>
      </c>
      <c r="P230" t="str">
        <f>LOOKUP(E230,Sheet2!$P$4:$Q$9)</f>
        <v>500+</v>
      </c>
      <c r="Q230" t="str">
        <f>LOOKUP(F230,Sheet2!$S$4:$T$8)</f>
        <v>36+</v>
      </c>
      <c r="R230" t="str">
        <f>LOOKUP(G230,Sheet2!$V$4:$W$7)</f>
        <v>0.7+</v>
      </c>
      <c r="S230" t="str">
        <f>LOOKUP(H230,Sheet2!$Z$4:$AA$7)</f>
        <v>26-35</v>
      </c>
      <c r="T230" t="str">
        <f t="shared" si="9"/>
        <v>Negative</v>
      </c>
      <c r="U230" t="str">
        <f t="shared" si="10"/>
        <v>Positive</v>
      </c>
      <c r="V230" s="1" t="str">
        <f t="shared" si="11"/>
        <v>Inaccurate Prediction</v>
      </c>
    </row>
    <row r="231" spans="1:22" x14ac:dyDescent="0.25">
      <c r="A231" s="1">
        <v>0</v>
      </c>
      <c r="B231" s="1">
        <v>117</v>
      </c>
      <c r="C231" s="1">
        <v>80</v>
      </c>
      <c r="D231" s="1">
        <v>31</v>
      </c>
      <c r="E231" s="1">
        <v>53</v>
      </c>
      <c r="F231" s="1">
        <v>45.2</v>
      </c>
      <c r="G231" s="1">
        <v>8.8999999999999996E-2</v>
      </c>
      <c r="H231" s="1">
        <v>24</v>
      </c>
      <c r="I231" s="1">
        <v>0</v>
      </c>
      <c r="J231" s="1" t="str">
        <f>IFERROR(VLOOKUP(K231,[1]diabetes_Recognition!$A:$B,2,FALSE),"Not Sampled")</f>
        <v>Not Sampled</v>
      </c>
      <c r="K231" s="1">
        <v>229</v>
      </c>
      <c r="L231" s="1">
        <f>LOOKUP(A231,Sheet2!$D$4:$E$9)</f>
        <v>0</v>
      </c>
      <c r="M231" t="str">
        <f>LOOKUP(B231,Sheet2!$G$4:$H$9)</f>
        <v>100-125</v>
      </c>
      <c r="N231" t="str">
        <f>LOOKUP(C231,Sheet2!$J$4:$K$8)</f>
        <v>80+</v>
      </c>
      <c r="O231" t="str">
        <f>LOOKUP(D231,Sheet2!$M$4:$N$8)</f>
        <v>30-39</v>
      </c>
      <c r="P231" t="str">
        <f>LOOKUP(E231,Sheet2!$P$4:$Q$9)</f>
        <v>1-99</v>
      </c>
      <c r="Q231" t="str">
        <f>LOOKUP(F231,Sheet2!$S$4:$T$8)</f>
        <v>36+</v>
      </c>
      <c r="R231" t="str">
        <f>LOOKUP(G231,Sheet2!$V$4:$W$7)</f>
        <v>0.0 - 0.249</v>
      </c>
      <c r="S231" t="str">
        <f>LOOKUP(H231,Sheet2!$Z$4:$AA$7)</f>
        <v>&lt;=25</v>
      </c>
      <c r="T231" t="str">
        <f t="shared" si="9"/>
        <v>Negative</v>
      </c>
      <c r="U231" t="str">
        <f t="shared" si="10"/>
        <v>Not Sampled</v>
      </c>
      <c r="V231" s="1" t="str">
        <f t="shared" si="11"/>
        <v>Not Sampled</v>
      </c>
    </row>
    <row r="232" spans="1:22" x14ac:dyDescent="0.25">
      <c r="A232" s="1">
        <v>4</v>
      </c>
      <c r="B232" s="1">
        <v>142</v>
      </c>
      <c r="C232" s="1">
        <v>86</v>
      </c>
      <c r="D232" s="1">
        <v>0</v>
      </c>
      <c r="E232" s="1">
        <v>0</v>
      </c>
      <c r="F232" s="1">
        <v>44</v>
      </c>
      <c r="G232" s="1">
        <v>0.64500000000000002</v>
      </c>
      <c r="H232" s="1">
        <v>22</v>
      </c>
      <c r="I232" s="1">
        <v>1</v>
      </c>
      <c r="J232" s="1" t="str">
        <f>IFERROR(VLOOKUP(K232,[1]diabetes_Recognition!$A:$B,2,FALSE),"Not Sampled")</f>
        <v>Not Sampled</v>
      </c>
      <c r="K232" s="1">
        <v>230</v>
      </c>
      <c r="L232" s="1" t="str">
        <f>LOOKUP(A232,Sheet2!$D$4:$E$9)</f>
        <v>3-4</v>
      </c>
      <c r="M232" t="str">
        <f>LOOKUP(B232,Sheet2!$G$4:$H$9)</f>
        <v>126-150</v>
      </c>
      <c r="N232" t="str">
        <f>LOOKUP(C232,Sheet2!$J$4:$K$8)</f>
        <v>80+</v>
      </c>
      <c r="O232" t="str">
        <f>LOOKUP(D232,Sheet2!$M$4:$N$8)</f>
        <v>Unknown</v>
      </c>
      <c r="P232" t="str">
        <f>LOOKUP(E232,Sheet2!$P$4:$Q$9)</f>
        <v>Unknown</v>
      </c>
      <c r="Q232" t="str">
        <f>LOOKUP(F232,Sheet2!$S$4:$T$8)</f>
        <v>36+</v>
      </c>
      <c r="R232" t="str">
        <f>LOOKUP(G232,Sheet2!$V$4:$W$7)</f>
        <v>0.4 - 0.69</v>
      </c>
      <c r="S232" t="str">
        <f>LOOKUP(H232,Sheet2!$Z$4:$AA$7)</f>
        <v>&lt;=25</v>
      </c>
      <c r="T232" t="str">
        <f t="shared" si="9"/>
        <v>Positive</v>
      </c>
      <c r="U232" t="str">
        <f t="shared" si="10"/>
        <v>Not Sampled</v>
      </c>
      <c r="V232" s="1" t="str">
        <f t="shared" si="11"/>
        <v>Not Sampled</v>
      </c>
    </row>
    <row r="233" spans="1:22" x14ac:dyDescent="0.25">
      <c r="A233" s="1">
        <v>6</v>
      </c>
      <c r="B233" s="1">
        <v>134</v>
      </c>
      <c r="C233" s="1">
        <v>80</v>
      </c>
      <c r="D233" s="1">
        <v>37</v>
      </c>
      <c r="E233" s="1">
        <v>370</v>
      </c>
      <c r="F233" s="1">
        <v>46.2</v>
      </c>
      <c r="G233" s="1">
        <v>0.23799999999999999</v>
      </c>
      <c r="H233" s="1">
        <v>46</v>
      </c>
      <c r="I233" s="1">
        <v>1</v>
      </c>
      <c r="J233" s="1">
        <f>IFERROR(VLOOKUP(K233,[1]diabetes_Recognition!$A:$B,2,FALSE),"Not Sampled")</f>
        <v>1</v>
      </c>
      <c r="K233" s="1">
        <v>231</v>
      </c>
      <c r="L233" s="1" t="str">
        <f>LOOKUP(A233,Sheet2!$D$4:$E$9)</f>
        <v>5-7</v>
      </c>
      <c r="M233" t="str">
        <f>LOOKUP(B233,Sheet2!$G$4:$H$9)</f>
        <v>126-150</v>
      </c>
      <c r="N233" t="str">
        <f>LOOKUP(C233,Sheet2!$J$4:$K$8)</f>
        <v>80+</v>
      </c>
      <c r="O233" t="str">
        <f>LOOKUP(D233,Sheet2!$M$4:$N$8)</f>
        <v>30-39</v>
      </c>
      <c r="P233" t="str">
        <f>LOOKUP(E233,Sheet2!$P$4:$Q$9)</f>
        <v>300-499</v>
      </c>
      <c r="Q233" t="str">
        <f>LOOKUP(F233,Sheet2!$S$4:$T$8)</f>
        <v>36+</v>
      </c>
      <c r="R233" t="str">
        <f>LOOKUP(G233,Sheet2!$V$4:$W$7)</f>
        <v>0.0 - 0.249</v>
      </c>
      <c r="S233" t="str">
        <f>LOOKUP(H233,Sheet2!$Z$4:$AA$7)</f>
        <v>46+</v>
      </c>
      <c r="T233" t="str">
        <f t="shared" si="9"/>
        <v>Positive</v>
      </c>
      <c r="U233" t="str">
        <f t="shared" si="10"/>
        <v>Positive</v>
      </c>
      <c r="V233" s="1" t="str">
        <f t="shared" si="11"/>
        <v>Accurate Prediction</v>
      </c>
    </row>
    <row r="234" spans="1:22" x14ac:dyDescent="0.25">
      <c r="A234" s="1">
        <v>1</v>
      </c>
      <c r="B234" s="1">
        <v>79</v>
      </c>
      <c r="C234" s="1">
        <v>80</v>
      </c>
      <c r="D234" s="1">
        <v>25</v>
      </c>
      <c r="E234" s="1">
        <v>37</v>
      </c>
      <c r="F234" s="1">
        <v>25.4</v>
      </c>
      <c r="G234" s="1">
        <v>0.58299999999999996</v>
      </c>
      <c r="H234" s="1">
        <v>22</v>
      </c>
      <c r="I234" s="1">
        <v>0</v>
      </c>
      <c r="J234" s="1" t="str">
        <f>IFERROR(VLOOKUP(K234,[1]diabetes_Recognition!$A:$B,2,FALSE),"Not Sampled")</f>
        <v>Not Sampled</v>
      </c>
      <c r="K234" s="1">
        <v>232</v>
      </c>
      <c r="L234" s="1">
        <f>LOOKUP(A234,Sheet2!$D$4:$E$9)</f>
        <v>1</v>
      </c>
      <c r="M234" t="str">
        <f>LOOKUP(B234,Sheet2!$G$4:$H$9)</f>
        <v>1-99</v>
      </c>
      <c r="N234" t="str">
        <f>LOOKUP(C234,Sheet2!$J$4:$K$8)</f>
        <v>80+</v>
      </c>
      <c r="O234" t="str">
        <f>LOOKUP(D234,Sheet2!$M$4:$N$8)</f>
        <v>10-30</v>
      </c>
      <c r="P234" t="str">
        <f>LOOKUP(E234,Sheet2!$P$4:$Q$9)</f>
        <v>1-99</v>
      </c>
      <c r="Q234" t="str">
        <f>LOOKUP(F234,Sheet2!$S$4:$T$8)</f>
        <v>1-25</v>
      </c>
      <c r="R234" t="str">
        <f>LOOKUP(G234,Sheet2!$V$4:$W$7)</f>
        <v>0.4 - 0.69</v>
      </c>
      <c r="S234" t="str">
        <f>LOOKUP(H234,Sheet2!$Z$4:$AA$7)</f>
        <v>&lt;=25</v>
      </c>
      <c r="T234" t="str">
        <f t="shared" si="9"/>
        <v>Negative</v>
      </c>
      <c r="U234" t="str">
        <f t="shared" si="10"/>
        <v>Not Sampled</v>
      </c>
      <c r="V234" s="1" t="str">
        <f t="shared" si="11"/>
        <v>Not Sampled</v>
      </c>
    </row>
    <row r="235" spans="1:22" x14ac:dyDescent="0.25">
      <c r="A235" s="1">
        <v>4</v>
      </c>
      <c r="B235" s="1">
        <v>122</v>
      </c>
      <c r="C235" s="1">
        <v>68</v>
      </c>
      <c r="D235" s="1">
        <v>0</v>
      </c>
      <c r="E235" s="1">
        <v>0</v>
      </c>
      <c r="F235" s="1">
        <v>35</v>
      </c>
      <c r="G235" s="1">
        <v>0.39400000000000002</v>
      </c>
      <c r="H235" s="1">
        <v>29</v>
      </c>
      <c r="I235" s="1">
        <v>0</v>
      </c>
      <c r="J235" s="1">
        <f>IFERROR(VLOOKUP(K235,[1]diabetes_Recognition!$A:$B,2,FALSE),"Not Sampled")</f>
        <v>0</v>
      </c>
      <c r="K235" s="1">
        <v>233</v>
      </c>
      <c r="L235" s="1" t="str">
        <f>LOOKUP(A235,Sheet2!$D$4:$E$9)</f>
        <v>3-4</v>
      </c>
      <c r="M235" t="str">
        <f>LOOKUP(B235,Sheet2!$G$4:$H$9)</f>
        <v>100-125</v>
      </c>
      <c r="N235" t="str">
        <f>LOOKUP(C235,Sheet2!$J$4:$K$8)</f>
        <v>60-69</v>
      </c>
      <c r="O235" t="str">
        <f>LOOKUP(D235,Sheet2!$M$4:$N$8)</f>
        <v>Unknown</v>
      </c>
      <c r="P235" t="str">
        <f>LOOKUP(E235,Sheet2!$P$4:$Q$9)</f>
        <v>Unknown</v>
      </c>
      <c r="Q235" t="str">
        <f>LOOKUP(F235,Sheet2!$S$4:$T$8)</f>
        <v>31-35</v>
      </c>
      <c r="R235" t="str">
        <f>LOOKUP(G235,Sheet2!$V$4:$W$7)</f>
        <v>0.25 - 0.39</v>
      </c>
      <c r="S235" t="str">
        <f>LOOKUP(H235,Sheet2!$Z$4:$AA$7)</f>
        <v>26-35</v>
      </c>
      <c r="T235" t="str">
        <f t="shared" si="9"/>
        <v>Negative</v>
      </c>
      <c r="U235" t="str">
        <f t="shared" si="10"/>
        <v>Negative</v>
      </c>
      <c r="V235" s="1" t="str">
        <f t="shared" si="11"/>
        <v>Accurate Prediction</v>
      </c>
    </row>
    <row r="236" spans="1:22" x14ac:dyDescent="0.25">
      <c r="A236" s="1">
        <v>3</v>
      </c>
      <c r="B236" s="1">
        <v>74</v>
      </c>
      <c r="C236" s="1">
        <v>68</v>
      </c>
      <c r="D236" s="1">
        <v>28</v>
      </c>
      <c r="E236" s="1">
        <v>45</v>
      </c>
      <c r="F236" s="1">
        <v>29.7</v>
      </c>
      <c r="G236" s="1">
        <v>0.29299999999999998</v>
      </c>
      <c r="H236" s="1">
        <v>23</v>
      </c>
      <c r="I236" s="1">
        <v>0</v>
      </c>
      <c r="J236" s="1" t="str">
        <f>IFERROR(VLOOKUP(K236,[1]diabetes_Recognition!$A:$B,2,FALSE),"Not Sampled")</f>
        <v>Not Sampled</v>
      </c>
      <c r="K236" s="1">
        <v>234</v>
      </c>
      <c r="L236" s="1" t="str">
        <f>LOOKUP(A236,Sheet2!$D$4:$E$9)</f>
        <v>3-4</v>
      </c>
      <c r="M236" t="str">
        <f>LOOKUP(B236,Sheet2!$G$4:$H$9)</f>
        <v>1-99</v>
      </c>
      <c r="N236" t="str">
        <f>LOOKUP(C236,Sheet2!$J$4:$K$8)</f>
        <v>60-69</v>
      </c>
      <c r="O236" t="str">
        <f>LOOKUP(D236,Sheet2!$M$4:$N$8)</f>
        <v>10-30</v>
      </c>
      <c r="P236" t="str">
        <f>LOOKUP(E236,Sheet2!$P$4:$Q$9)</f>
        <v>1-99</v>
      </c>
      <c r="Q236" t="str">
        <f>LOOKUP(F236,Sheet2!$S$4:$T$8)</f>
        <v>26-30</v>
      </c>
      <c r="R236" t="str">
        <f>LOOKUP(G236,Sheet2!$V$4:$W$7)</f>
        <v>0.25 - 0.39</v>
      </c>
      <c r="S236" t="str">
        <f>LOOKUP(H236,Sheet2!$Z$4:$AA$7)</f>
        <v>&lt;=25</v>
      </c>
      <c r="T236" t="str">
        <f t="shared" si="9"/>
        <v>Negative</v>
      </c>
      <c r="U236" t="str">
        <f t="shared" si="10"/>
        <v>Not Sampled</v>
      </c>
      <c r="V236" s="1" t="str">
        <f t="shared" si="11"/>
        <v>Not Sampled</v>
      </c>
    </row>
    <row r="237" spans="1:22" x14ac:dyDescent="0.25">
      <c r="A237" s="1">
        <v>4</v>
      </c>
      <c r="B237" s="1">
        <v>171</v>
      </c>
      <c r="C237" s="1">
        <v>72</v>
      </c>
      <c r="D237" s="1">
        <v>0</v>
      </c>
      <c r="E237" s="1">
        <v>0</v>
      </c>
      <c r="F237" s="1">
        <v>43.6</v>
      </c>
      <c r="G237" s="1">
        <v>0.47899999999999998</v>
      </c>
      <c r="H237" s="1">
        <v>26</v>
      </c>
      <c r="I237" s="1">
        <v>1</v>
      </c>
      <c r="J237" s="1" t="str">
        <f>IFERROR(VLOOKUP(K237,[1]diabetes_Recognition!$A:$B,2,FALSE),"Not Sampled")</f>
        <v>Not Sampled</v>
      </c>
      <c r="K237" s="1">
        <v>235</v>
      </c>
      <c r="L237" s="1" t="str">
        <f>LOOKUP(A237,Sheet2!$D$4:$E$9)</f>
        <v>3-4</v>
      </c>
      <c r="M237" t="str">
        <f>LOOKUP(B237,Sheet2!$G$4:$H$9)</f>
        <v>151-175</v>
      </c>
      <c r="N237" t="str">
        <f>LOOKUP(C237,Sheet2!$J$4:$K$8)</f>
        <v>70-79</v>
      </c>
      <c r="O237" t="str">
        <f>LOOKUP(D237,Sheet2!$M$4:$N$8)</f>
        <v>Unknown</v>
      </c>
      <c r="P237" t="str">
        <f>LOOKUP(E237,Sheet2!$P$4:$Q$9)</f>
        <v>Unknown</v>
      </c>
      <c r="Q237" t="str">
        <f>LOOKUP(F237,Sheet2!$S$4:$T$8)</f>
        <v>36+</v>
      </c>
      <c r="R237" t="str">
        <f>LOOKUP(G237,Sheet2!$V$4:$W$7)</f>
        <v>0.4 - 0.69</v>
      </c>
      <c r="S237" t="str">
        <f>LOOKUP(H237,Sheet2!$Z$4:$AA$7)</f>
        <v>26-35</v>
      </c>
      <c r="T237" t="str">
        <f t="shared" si="9"/>
        <v>Positive</v>
      </c>
      <c r="U237" t="str">
        <f t="shared" si="10"/>
        <v>Not Sampled</v>
      </c>
      <c r="V237" s="1" t="str">
        <f t="shared" si="11"/>
        <v>Not Sampled</v>
      </c>
    </row>
    <row r="238" spans="1:22" x14ac:dyDescent="0.25">
      <c r="A238" s="1">
        <v>7</v>
      </c>
      <c r="B238" s="1">
        <v>181</v>
      </c>
      <c r="C238" s="1">
        <v>84</v>
      </c>
      <c r="D238" s="1">
        <v>21</v>
      </c>
      <c r="E238" s="1">
        <v>192</v>
      </c>
      <c r="F238" s="1">
        <v>35.9</v>
      </c>
      <c r="G238" s="1">
        <v>0.58599999999999997</v>
      </c>
      <c r="H238" s="1">
        <v>51</v>
      </c>
      <c r="I238" s="1">
        <v>1</v>
      </c>
      <c r="J238" s="1">
        <f>IFERROR(VLOOKUP(K238,[1]diabetes_Recognition!$A:$B,2,FALSE),"Not Sampled")</f>
        <v>1</v>
      </c>
      <c r="K238" s="1">
        <v>236</v>
      </c>
      <c r="L238" s="1" t="str">
        <f>LOOKUP(A238,Sheet2!$D$4:$E$9)</f>
        <v>5-7</v>
      </c>
      <c r="M238" t="str">
        <f>LOOKUP(B238,Sheet2!$G$4:$H$9)</f>
        <v>176-200</v>
      </c>
      <c r="N238" t="str">
        <f>LOOKUP(C238,Sheet2!$J$4:$K$8)</f>
        <v>80+</v>
      </c>
      <c r="O238" t="str">
        <f>LOOKUP(D238,Sheet2!$M$4:$N$8)</f>
        <v>10-30</v>
      </c>
      <c r="P238" t="str">
        <f>LOOKUP(E238,Sheet2!$P$4:$Q$9)</f>
        <v>100-199</v>
      </c>
      <c r="Q238" t="str">
        <f>LOOKUP(F238,Sheet2!$S$4:$T$8)</f>
        <v>31-35</v>
      </c>
      <c r="R238" t="str">
        <f>LOOKUP(G238,Sheet2!$V$4:$W$7)</f>
        <v>0.4 - 0.69</v>
      </c>
      <c r="S238" t="str">
        <f>LOOKUP(H238,Sheet2!$Z$4:$AA$7)</f>
        <v>46+</v>
      </c>
      <c r="T238" t="str">
        <f t="shared" si="9"/>
        <v>Positive</v>
      </c>
      <c r="U238" t="str">
        <f t="shared" si="10"/>
        <v>Positive</v>
      </c>
      <c r="V238" s="1" t="str">
        <f t="shared" si="11"/>
        <v>Accurate Prediction</v>
      </c>
    </row>
    <row r="239" spans="1:22" x14ac:dyDescent="0.25">
      <c r="A239" s="1">
        <v>0</v>
      </c>
      <c r="B239" s="1">
        <v>179</v>
      </c>
      <c r="C239" s="1">
        <v>90</v>
      </c>
      <c r="D239" s="1">
        <v>27</v>
      </c>
      <c r="E239" s="1">
        <v>0</v>
      </c>
      <c r="F239" s="1">
        <v>44.1</v>
      </c>
      <c r="G239" s="1">
        <v>0.68600000000000005</v>
      </c>
      <c r="H239" s="1">
        <v>23</v>
      </c>
      <c r="I239" s="1">
        <v>1</v>
      </c>
      <c r="J239" s="1" t="str">
        <f>IFERROR(VLOOKUP(K239,[1]diabetes_Recognition!$A:$B,2,FALSE),"Not Sampled")</f>
        <v>Not Sampled</v>
      </c>
      <c r="K239" s="1">
        <v>237</v>
      </c>
      <c r="L239" s="1">
        <f>LOOKUP(A239,Sheet2!$D$4:$E$9)</f>
        <v>0</v>
      </c>
      <c r="M239" t="str">
        <f>LOOKUP(B239,Sheet2!$G$4:$H$9)</f>
        <v>176-200</v>
      </c>
      <c r="N239" t="str">
        <f>LOOKUP(C239,Sheet2!$J$4:$K$8)</f>
        <v>80+</v>
      </c>
      <c r="O239" t="str">
        <f>LOOKUP(D239,Sheet2!$M$4:$N$8)</f>
        <v>10-30</v>
      </c>
      <c r="P239" t="str">
        <f>LOOKUP(E239,Sheet2!$P$4:$Q$9)</f>
        <v>Unknown</v>
      </c>
      <c r="Q239" t="str">
        <f>LOOKUP(F239,Sheet2!$S$4:$T$8)</f>
        <v>36+</v>
      </c>
      <c r="R239" t="str">
        <f>LOOKUP(G239,Sheet2!$V$4:$W$7)</f>
        <v>0.4 - 0.69</v>
      </c>
      <c r="S239" t="str">
        <f>LOOKUP(H239,Sheet2!$Z$4:$AA$7)</f>
        <v>&lt;=25</v>
      </c>
      <c r="T239" t="str">
        <f t="shared" si="9"/>
        <v>Positive</v>
      </c>
      <c r="U239" t="str">
        <f t="shared" si="10"/>
        <v>Not Sampled</v>
      </c>
      <c r="V239" s="1" t="str">
        <f t="shared" si="11"/>
        <v>Not Sampled</v>
      </c>
    </row>
    <row r="240" spans="1:22" x14ac:dyDescent="0.25">
      <c r="A240" s="1">
        <v>9</v>
      </c>
      <c r="B240" s="1">
        <v>164</v>
      </c>
      <c r="C240" s="1">
        <v>84</v>
      </c>
      <c r="D240" s="1">
        <v>21</v>
      </c>
      <c r="E240" s="1">
        <v>0</v>
      </c>
      <c r="F240" s="1">
        <v>30.8</v>
      </c>
      <c r="G240" s="1">
        <v>0.83099999999999996</v>
      </c>
      <c r="H240" s="1">
        <v>32</v>
      </c>
      <c r="I240" s="1">
        <v>1</v>
      </c>
      <c r="J240" s="1" t="str">
        <f>IFERROR(VLOOKUP(K240,[1]diabetes_Recognition!$A:$B,2,FALSE),"Not Sampled")</f>
        <v>Not Sampled</v>
      </c>
      <c r="K240" s="1">
        <v>238</v>
      </c>
      <c r="L240" s="1" t="str">
        <f>LOOKUP(A240,Sheet2!$D$4:$E$9)</f>
        <v>8+</v>
      </c>
      <c r="M240" t="str">
        <f>LOOKUP(B240,Sheet2!$G$4:$H$9)</f>
        <v>151-175</v>
      </c>
      <c r="N240" t="str">
        <f>LOOKUP(C240,Sheet2!$J$4:$K$8)</f>
        <v>80+</v>
      </c>
      <c r="O240" t="str">
        <f>LOOKUP(D240,Sheet2!$M$4:$N$8)</f>
        <v>10-30</v>
      </c>
      <c r="P240" t="str">
        <f>LOOKUP(E240,Sheet2!$P$4:$Q$9)</f>
        <v>Unknown</v>
      </c>
      <c r="Q240" t="str">
        <f>LOOKUP(F240,Sheet2!$S$4:$T$8)</f>
        <v>26-30</v>
      </c>
      <c r="R240" t="str">
        <f>LOOKUP(G240,Sheet2!$V$4:$W$7)</f>
        <v>0.7+</v>
      </c>
      <c r="S240" t="str">
        <f>LOOKUP(H240,Sheet2!$Z$4:$AA$7)</f>
        <v>26-35</v>
      </c>
      <c r="T240" t="str">
        <f t="shared" si="9"/>
        <v>Positive</v>
      </c>
      <c r="U240" t="str">
        <f t="shared" si="10"/>
        <v>Not Sampled</v>
      </c>
      <c r="V240" s="1" t="str">
        <f t="shared" si="11"/>
        <v>Not Sampled</v>
      </c>
    </row>
    <row r="241" spans="1:22" x14ac:dyDescent="0.25">
      <c r="A241" s="1">
        <v>0</v>
      </c>
      <c r="B241" s="1">
        <v>104</v>
      </c>
      <c r="C241" s="1">
        <v>76</v>
      </c>
      <c r="D241" s="1">
        <v>0</v>
      </c>
      <c r="E241" s="1">
        <v>0</v>
      </c>
      <c r="F241" s="1">
        <v>18.399999999999999</v>
      </c>
      <c r="G241" s="1">
        <v>0.58199999999999996</v>
      </c>
      <c r="H241" s="1">
        <v>27</v>
      </c>
      <c r="I241" s="1">
        <v>0</v>
      </c>
      <c r="J241" s="1" t="str">
        <f>IFERROR(VLOOKUP(K241,[1]diabetes_Recognition!$A:$B,2,FALSE),"Not Sampled")</f>
        <v>Not Sampled</v>
      </c>
      <c r="K241" s="1">
        <v>239</v>
      </c>
      <c r="L241" s="1">
        <f>LOOKUP(A241,Sheet2!$D$4:$E$9)</f>
        <v>0</v>
      </c>
      <c r="M241" t="str">
        <f>LOOKUP(B241,Sheet2!$G$4:$H$9)</f>
        <v>100-125</v>
      </c>
      <c r="N241" t="str">
        <f>LOOKUP(C241,Sheet2!$J$4:$K$8)</f>
        <v>70-79</v>
      </c>
      <c r="O241" t="str">
        <f>LOOKUP(D241,Sheet2!$M$4:$N$8)</f>
        <v>Unknown</v>
      </c>
      <c r="P241" t="str">
        <f>LOOKUP(E241,Sheet2!$P$4:$Q$9)</f>
        <v>Unknown</v>
      </c>
      <c r="Q241" t="str">
        <f>LOOKUP(F241,Sheet2!$S$4:$T$8)</f>
        <v>1-25</v>
      </c>
      <c r="R241" t="str">
        <f>LOOKUP(G241,Sheet2!$V$4:$W$7)</f>
        <v>0.4 - 0.69</v>
      </c>
      <c r="S241" t="str">
        <f>LOOKUP(H241,Sheet2!$Z$4:$AA$7)</f>
        <v>26-35</v>
      </c>
      <c r="T241" t="str">
        <f t="shared" si="9"/>
        <v>Negative</v>
      </c>
      <c r="U241" t="str">
        <f t="shared" si="10"/>
        <v>Not Sampled</v>
      </c>
      <c r="V241" s="1" t="str">
        <f t="shared" si="11"/>
        <v>Not Sampled</v>
      </c>
    </row>
    <row r="242" spans="1:22" x14ac:dyDescent="0.25">
      <c r="A242" s="1">
        <v>1</v>
      </c>
      <c r="B242" s="1">
        <v>91</v>
      </c>
      <c r="C242" s="1">
        <v>64</v>
      </c>
      <c r="D242" s="1">
        <v>24</v>
      </c>
      <c r="E242" s="1">
        <v>0</v>
      </c>
      <c r="F242" s="1">
        <v>29.2</v>
      </c>
      <c r="G242" s="1">
        <v>0.192</v>
      </c>
      <c r="H242" s="1">
        <v>21</v>
      </c>
      <c r="I242" s="1">
        <v>0</v>
      </c>
      <c r="J242" s="1" t="str">
        <f>IFERROR(VLOOKUP(K242,[1]diabetes_Recognition!$A:$B,2,FALSE),"Not Sampled")</f>
        <v>Not Sampled</v>
      </c>
      <c r="K242" s="1">
        <v>240</v>
      </c>
      <c r="L242" s="1">
        <f>LOOKUP(A242,Sheet2!$D$4:$E$9)</f>
        <v>1</v>
      </c>
      <c r="M242" t="str">
        <f>LOOKUP(B242,Sheet2!$G$4:$H$9)</f>
        <v>1-99</v>
      </c>
      <c r="N242" t="str">
        <f>LOOKUP(C242,Sheet2!$J$4:$K$8)</f>
        <v>60-69</v>
      </c>
      <c r="O242" t="str">
        <f>LOOKUP(D242,Sheet2!$M$4:$N$8)</f>
        <v>10-30</v>
      </c>
      <c r="P242" t="str">
        <f>LOOKUP(E242,Sheet2!$P$4:$Q$9)</f>
        <v>Unknown</v>
      </c>
      <c r="Q242" t="str">
        <f>LOOKUP(F242,Sheet2!$S$4:$T$8)</f>
        <v>26-30</v>
      </c>
      <c r="R242" t="str">
        <f>LOOKUP(G242,Sheet2!$V$4:$W$7)</f>
        <v>0.0 - 0.249</v>
      </c>
      <c r="S242" t="str">
        <f>LOOKUP(H242,Sheet2!$Z$4:$AA$7)</f>
        <v>&lt;=25</v>
      </c>
      <c r="T242" t="str">
        <f t="shared" si="9"/>
        <v>Negative</v>
      </c>
      <c r="U242" t="str">
        <f t="shared" si="10"/>
        <v>Not Sampled</v>
      </c>
      <c r="V242" s="1" t="str">
        <f t="shared" si="11"/>
        <v>Not Sampled</v>
      </c>
    </row>
    <row r="243" spans="1:22" x14ac:dyDescent="0.25">
      <c r="A243" s="1">
        <v>4</v>
      </c>
      <c r="B243" s="1">
        <v>91</v>
      </c>
      <c r="C243" s="1">
        <v>70</v>
      </c>
      <c r="D243" s="1">
        <v>32</v>
      </c>
      <c r="E243" s="1">
        <v>88</v>
      </c>
      <c r="F243" s="1">
        <v>33.1</v>
      </c>
      <c r="G243" s="1">
        <v>0.44600000000000001</v>
      </c>
      <c r="H243" s="1">
        <v>22</v>
      </c>
      <c r="I243" s="1">
        <v>0</v>
      </c>
      <c r="J243" s="1">
        <f>IFERROR(VLOOKUP(K243,[1]diabetes_Recognition!$A:$B,2,FALSE),"Not Sampled")</f>
        <v>0</v>
      </c>
      <c r="K243" s="1">
        <v>241</v>
      </c>
      <c r="L243" s="1" t="str">
        <f>LOOKUP(A243,Sheet2!$D$4:$E$9)</f>
        <v>3-4</v>
      </c>
      <c r="M243" t="str">
        <f>LOOKUP(B243,Sheet2!$G$4:$H$9)</f>
        <v>1-99</v>
      </c>
      <c r="N243" t="str">
        <f>LOOKUP(C243,Sheet2!$J$4:$K$8)</f>
        <v>70-79</v>
      </c>
      <c r="O243" t="str">
        <f>LOOKUP(D243,Sheet2!$M$4:$N$8)</f>
        <v>30-39</v>
      </c>
      <c r="P243" t="str">
        <f>LOOKUP(E243,Sheet2!$P$4:$Q$9)</f>
        <v>1-99</v>
      </c>
      <c r="Q243" t="str">
        <f>LOOKUP(F243,Sheet2!$S$4:$T$8)</f>
        <v>31-35</v>
      </c>
      <c r="R243" t="str">
        <f>LOOKUP(G243,Sheet2!$V$4:$W$7)</f>
        <v>0.4 - 0.69</v>
      </c>
      <c r="S243" t="str">
        <f>LOOKUP(H243,Sheet2!$Z$4:$AA$7)</f>
        <v>&lt;=25</v>
      </c>
      <c r="T243" t="str">
        <f t="shared" si="9"/>
        <v>Negative</v>
      </c>
      <c r="U243" t="str">
        <f t="shared" si="10"/>
        <v>Negative</v>
      </c>
      <c r="V243" s="1" t="str">
        <f t="shared" si="11"/>
        <v>Accurate Prediction</v>
      </c>
    </row>
    <row r="244" spans="1:22" x14ac:dyDescent="0.25">
      <c r="A244" s="1">
        <v>3</v>
      </c>
      <c r="B244" s="1">
        <v>139</v>
      </c>
      <c r="C244" s="1">
        <v>54</v>
      </c>
      <c r="D244" s="1">
        <v>0</v>
      </c>
      <c r="E244" s="1">
        <v>0</v>
      </c>
      <c r="F244" s="1">
        <v>25.6</v>
      </c>
      <c r="G244" s="1">
        <v>0.40200000000000002</v>
      </c>
      <c r="H244" s="1">
        <v>22</v>
      </c>
      <c r="I244" s="1">
        <v>1</v>
      </c>
      <c r="J244" s="1" t="str">
        <f>IFERROR(VLOOKUP(K244,[1]diabetes_Recognition!$A:$B,2,FALSE),"Not Sampled")</f>
        <v>Not Sampled</v>
      </c>
      <c r="K244" s="1">
        <v>242</v>
      </c>
      <c r="L244" s="1" t="str">
        <f>LOOKUP(A244,Sheet2!$D$4:$E$9)</f>
        <v>3-4</v>
      </c>
      <c r="M244" t="str">
        <f>LOOKUP(B244,Sheet2!$G$4:$H$9)</f>
        <v>126-150</v>
      </c>
      <c r="N244" t="str">
        <f>LOOKUP(C244,Sheet2!$J$4:$K$8)</f>
        <v>1-59</v>
      </c>
      <c r="O244" t="str">
        <f>LOOKUP(D244,Sheet2!$M$4:$N$8)</f>
        <v>Unknown</v>
      </c>
      <c r="P244" t="str">
        <f>LOOKUP(E244,Sheet2!$P$4:$Q$9)</f>
        <v>Unknown</v>
      </c>
      <c r="Q244" t="str">
        <f>LOOKUP(F244,Sheet2!$S$4:$T$8)</f>
        <v>1-25</v>
      </c>
      <c r="R244" t="str">
        <f>LOOKUP(G244,Sheet2!$V$4:$W$7)</f>
        <v>0.4 - 0.69</v>
      </c>
      <c r="S244" t="str">
        <f>LOOKUP(H244,Sheet2!$Z$4:$AA$7)</f>
        <v>&lt;=25</v>
      </c>
      <c r="T244" t="str">
        <f t="shared" si="9"/>
        <v>Positive</v>
      </c>
      <c r="U244" t="str">
        <f t="shared" si="10"/>
        <v>Not Sampled</v>
      </c>
      <c r="V244" s="1" t="str">
        <f t="shared" si="11"/>
        <v>Not Sampled</v>
      </c>
    </row>
    <row r="245" spans="1:22" x14ac:dyDescent="0.25">
      <c r="A245" s="1">
        <v>6</v>
      </c>
      <c r="B245" s="1">
        <v>119</v>
      </c>
      <c r="C245" s="1">
        <v>50</v>
      </c>
      <c r="D245" s="1">
        <v>22</v>
      </c>
      <c r="E245" s="1">
        <v>176</v>
      </c>
      <c r="F245" s="1">
        <v>27.1</v>
      </c>
      <c r="G245" s="1">
        <v>1.3180000000000001</v>
      </c>
      <c r="H245" s="1">
        <v>33</v>
      </c>
      <c r="I245" s="1">
        <v>1</v>
      </c>
      <c r="J245" s="1" t="str">
        <f>IFERROR(VLOOKUP(K245,[1]diabetes_Recognition!$A:$B,2,FALSE),"Not Sampled")</f>
        <v>Not Sampled</v>
      </c>
      <c r="K245" s="1">
        <v>243</v>
      </c>
      <c r="L245" s="1" t="str">
        <f>LOOKUP(A245,Sheet2!$D$4:$E$9)</f>
        <v>5-7</v>
      </c>
      <c r="M245" t="str">
        <f>LOOKUP(B245,Sheet2!$G$4:$H$9)</f>
        <v>100-125</v>
      </c>
      <c r="N245" t="str">
        <f>LOOKUP(C245,Sheet2!$J$4:$K$8)</f>
        <v>1-59</v>
      </c>
      <c r="O245" t="str">
        <f>LOOKUP(D245,Sheet2!$M$4:$N$8)</f>
        <v>10-30</v>
      </c>
      <c r="P245" t="str">
        <f>LOOKUP(E245,Sheet2!$P$4:$Q$9)</f>
        <v>100-199</v>
      </c>
      <c r="Q245" t="str">
        <f>LOOKUP(F245,Sheet2!$S$4:$T$8)</f>
        <v>26-30</v>
      </c>
      <c r="R245" t="str">
        <f>LOOKUP(G245,Sheet2!$V$4:$W$7)</f>
        <v>0.7+</v>
      </c>
      <c r="S245" t="str">
        <f>LOOKUP(H245,Sheet2!$Z$4:$AA$7)</f>
        <v>26-35</v>
      </c>
      <c r="T245" t="str">
        <f t="shared" si="9"/>
        <v>Positive</v>
      </c>
      <c r="U245" t="str">
        <f t="shared" si="10"/>
        <v>Not Sampled</v>
      </c>
      <c r="V245" s="1" t="str">
        <f t="shared" si="11"/>
        <v>Not Sampled</v>
      </c>
    </row>
    <row r="246" spans="1:22" x14ac:dyDescent="0.25">
      <c r="A246" s="1">
        <v>2</v>
      </c>
      <c r="B246" s="1">
        <v>146</v>
      </c>
      <c r="C246" s="1">
        <v>76</v>
      </c>
      <c r="D246" s="1">
        <v>35</v>
      </c>
      <c r="E246" s="1">
        <v>194</v>
      </c>
      <c r="F246" s="1">
        <v>38.200000000000003</v>
      </c>
      <c r="G246" s="1">
        <v>0.32900000000000001</v>
      </c>
      <c r="H246" s="1">
        <v>29</v>
      </c>
      <c r="I246" s="1">
        <v>0</v>
      </c>
      <c r="J246" s="1" t="str">
        <f>IFERROR(VLOOKUP(K246,[1]diabetes_Recognition!$A:$B,2,FALSE),"Not Sampled")</f>
        <v>Not Sampled</v>
      </c>
      <c r="K246" s="1">
        <v>244</v>
      </c>
      <c r="L246" s="1">
        <f>LOOKUP(A246,Sheet2!$D$4:$E$9)</f>
        <v>2</v>
      </c>
      <c r="M246" t="str">
        <f>LOOKUP(B246,Sheet2!$G$4:$H$9)</f>
        <v>126-150</v>
      </c>
      <c r="N246" t="str">
        <f>LOOKUP(C246,Sheet2!$J$4:$K$8)</f>
        <v>70-79</v>
      </c>
      <c r="O246" t="str">
        <f>LOOKUP(D246,Sheet2!$M$4:$N$8)</f>
        <v>30-39</v>
      </c>
      <c r="P246" t="str">
        <f>LOOKUP(E246,Sheet2!$P$4:$Q$9)</f>
        <v>100-199</v>
      </c>
      <c r="Q246" t="str">
        <f>LOOKUP(F246,Sheet2!$S$4:$T$8)</f>
        <v>36+</v>
      </c>
      <c r="R246" t="str">
        <f>LOOKUP(G246,Sheet2!$V$4:$W$7)</f>
        <v>0.25 - 0.39</v>
      </c>
      <c r="S246" t="str">
        <f>LOOKUP(H246,Sheet2!$Z$4:$AA$7)</f>
        <v>26-35</v>
      </c>
      <c r="T246" t="str">
        <f t="shared" si="9"/>
        <v>Negative</v>
      </c>
      <c r="U246" t="str">
        <f t="shared" si="10"/>
        <v>Not Sampled</v>
      </c>
      <c r="V246" s="1" t="str">
        <f t="shared" si="11"/>
        <v>Not Sampled</v>
      </c>
    </row>
    <row r="247" spans="1:22" x14ac:dyDescent="0.25">
      <c r="A247" s="1">
        <v>9</v>
      </c>
      <c r="B247" s="1">
        <v>184</v>
      </c>
      <c r="C247" s="1">
        <v>85</v>
      </c>
      <c r="D247" s="1">
        <v>15</v>
      </c>
      <c r="E247" s="1">
        <v>0</v>
      </c>
      <c r="F247" s="1">
        <v>30</v>
      </c>
      <c r="G247" s="1">
        <v>1.2130000000000001</v>
      </c>
      <c r="H247" s="1">
        <v>49</v>
      </c>
      <c r="I247" s="1">
        <v>1</v>
      </c>
      <c r="J247" s="1" t="str">
        <f>IFERROR(VLOOKUP(K247,[1]diabetes_Recognition!$A:$B,2,FALSE),"Not Sampled")</f>
        <v>Not Sampled</v>
      </c>
      <c r="K247" s="1">
        <v>245</v>
      </c>
      <c r="L247" s="1" t="str">
        <f>LOOKUP(A247,Sheet2!$D$4:$E$9)</f>
        <v>8+</v>
      </c>
      <c r="M247" t="str">
        <f>LOOKUP(B247,Sheet2!$G$4:$H$9)</f>
        <v>176-200</v>
      </c>
      <c r="N247" t="str">
        <f>LOOKUP(C247,Sheet2!$J$4:$K$8)</f>
        <v>80+</v>
      </c>
      <c r="O247" t="str">
        <f>LOOKUP(D247,Sheet2!$M$4:$N$8)</f>
        <v>10-30</v>
      </c>
      <c r="P247" t="str">
        <f>LOOKUP(E247,Sheet2!$P$4:$Q$9)</f>
        <v>Unknown</v>
      </c>
      <c r="Q247" t="str">
        <f>LOOKUP(F247,Sheet2!$S$4:$T$8)</f>
        <v>26-30</v>
      </c>
      <c r="R247" t="str">
        <f>LOOKUP(G247,Sheet2!$V$4:$W$7)</f>
        <v>0.7+</v>
      </c>
      <c r="S247" t="str">
        <f>LOOKUP(H247,Sheet2!$Z$4:$AA$7)</f>
        <v>46+</v>
      </c>
      <c r="T247" t="str">
        <f t="shared" si="9"/>
        <v>Positive</v>
      </c>
      <c r="U247" t="str">
        <f t="shared" si="10"/>
        <v>Not Sampled</v>
      </c>
      <c r="V247" s="1" t="str">
        <f t="shared" si="11"/>
        <v>Not Sampled</v>
      </c>
    </row>
    <row r="248" spans="1:22" x14ac:dyDescent="0.25">
      <c r="A248" s="1">
        <v>10</v>
      </c>
      <c r="B248" s="1">
        <v>122</v>
      </c>
      <c r="C248" s="1">
        <v>68</v>
      </c>
      <c r="D248" s="1">
        <v>0</v>
      </c>
      <c r="E248" s="1">
        <v>0</v>
      </c>
      <c r="F248" s="1">
        <v>31.2</v>
      </c>
      <c r="G248" s="1">
        <v>0.25800000000000001</v>
      </c>
      <c r="H248" s="1">
        <v>41</v>
      </c>
      <c r="I248" s="1">
        <v>0</v>
      </c>
      <c r="J248" s="1" t="str">
        <f>IFERROR(VLOOKUP(K248,[1]diabetes_Recognition!$A:$B,2,FALSE),"Not Sampled")</f>
        <v>Not Sampled</v>
      </c>
      <c r="K248" s="1">
        <v>246</v>
      </c>
      <c r="L248" s="1" t="str">
        <f>LOOKUP(A248,Sheet2!$D$4:$E$9)</f>
        <v>8+</v>
      </c>
      <c r="M248" t="str">
        <f>LOOKUP(B248,Sheet2!$G$4:$H$9)</f>
        <v>100-125</v>
      </c>
      <c r="N248" t="str">
        <f>LOOKUP(C248,Sheet2!$J$4:$K$8)</f>
        <v>60-69</v>
      </c>
      <c r="O248" t="str">
        <f>LOOKUP(D248,Sheet2!$M$4:$N$8)</f>
        <v>Unknown</v>
      </c>
      <c r="P248" t="str">
        <f>LOOKUP(E248,Sheet2!$P$4:$Q$9)</f>
        <v>Unknown</v>
      </c>
      <c r="Q248" t="str">
        <f>LOOKUP(F248,Sheet2!$S$4:$T$8)</f>
        <v>31-35</v>
      </c>
      <c r="R248" t="str">
        <f>LOOKUP(G248,Sheet2!$V$4:$W$7)</f>
        <v>0.25 - 0.39</v>
      </c>
      <c r="S248" t="str">
        <f>LOOKUP(H248,Sheet2!$Z$4:$AA$7)</f>
        <v>36-45</v>
      </c>
      <c r="T248" t="str">
        <f t="shared" si="9"/>
        <v>Negative</v>
      </c>
      <c r="U248" t="str">
        <f t="shared" si="10"/>
        <v>Not Sampled</v>
      </c>
      <c r="V248" s="1" t="str">
        <f t="shared" si="11"/>
        <v>Not Sampled</v>
      </c>
    </row>
    <row r="249" spans="1:22" x14ac:dyDescent="0.25">
      <c r="A249" s="1">
        <v>0</v>
      </c>
      <c r="B249" s="1">
        <v>165</v>
      </c>
      <c r="C249" s="1">
        <v>90</v>
      </c>
      <c r="D249" s="1">
        <v>33</v>
      </c>
      <c r="E249" s="1">
        <v>680</v>
      </c>
      <c r="F249" s="1">
        <v>52.3</v>
      </c>
      <c r="G249" s="1">
        <v>0.42699999999999999</v>
      </c>
      <c r="H249" s="1">
        <v>23</v>
      </c>
      <c r="I249" s="1">
        <v>0</v>
      </c>
      <c r="J249" s="1" t="str">
        <f>IFERROR(VLOOKUP(K249,[1]diabetes_Recognition!$A:$B,2,FALSE),"Not Sampled")</f>
        <v>Not Sampled</v>
      </c>
      <c r="K249" s="1">
        <v>247</v>
      </c>
      <c r="L249" s="1">
        <f>LOOKUP(A249,Sheet2!$D$4:$E$9)</f>
        <v>0</v>
      </c>
      <c r="M249" t="str">
        <f>LOOKUP(B249,Sheet2!$G$4:$H$9)</f>
        <v>151-175</v>
      </c>
      <c r="N249" t="str">
        <f>LOOKUP(C249,Sheet2!$J$4:$K$8)</f>
        <v>80+</v>
      </c>
      <c r="O249" t="str">
        <f>LOOKUP(D249,Sheet2!$M$4:$N$8)</f>
        <v>30-39</v>
      </c>
      <c r="P249" t="str">
        <f>LOOKUP(E249,Sheet2!$P$4:$Q$9)</f>
        <v>500+</v>
      </c>
      <c r="Q249" t="str">
        <f>LOOKUP(F249,Sheet2!$S$4:$T$8)</f>
        <v>36+</v>
      </c>
      <c r="R249" t="str">
        <f>LOOKUP(G249,Sheet2!$V$4:$W$7)</f>
        <v>0.4 - 0.69</v>
      </c>
      <c r="S249" t="str">
        <f>LOOKUP(H249,Sheet2!$Z$4:$AA$7)</f>
        <v>&lt;=25</v>
      </c>
      <c r="T249" t="str">
        <f t="shared" si="9"/>
        <v>Negative</v>
      </c>
      <c r="U249" t="str">
        <f t="shared" si="10"/>
        <v>Not Sampled</v>
      </c>
      <c r="V249" s="1" t="str">
        <f t="shared" si="11"/>
        <v>Not Sampled</v>
      </c>
    </row>
    <row r="250" spans="1:22" x14ac:dyDescent="0.25">
      <c r="A250" s="1">
        <v>9</v>
      </c>
      <c r="B250" s="1">
        <v>124</v>
      </c>
      <c r="C250" s="1">
        <v>70</v>
      </c>
      <c r="D250" s="1">
        <v>33</v>
      </c>
      <c r="E250" s="1">
        <v>402</v>
      </c>
      <c r="F250" s="1">
        <v>35.4</v>
      </c>
      <c r="G250" s="1">
        <v>0.28199999999999997</v>
      </c>
      <c r="H250" s="1">
        <v>34</v>
      </c>
      <c r="I250" s="1">
        <v>0</v>
      </c>
      <c r="J250" s="1">
        <f>IFERROR(VLOOKUP(K250,[1]diabetes_Recognition!$A:$B,2,FALSE),"Not Sampled")</f>
        <v>0</v>
      </c>
      <c r="K250" s="1">
        <v>248</v>
      </c>
      <c r="L250" s="1" t="str">
        <f>LOOKUP(A250,Sheet2!$D$4:$E$9)</f>
        <v>8+</v>
      </c>
      <c r="M250" t="str">
        <f>LOOKUP(B250,Sheet2!$G$4:$H$9)</f>
        <v>100-125</v>
      </c>
      <c r="N250" t="str">
        <f>LOOKUP(C250,Sheet2!$J$4:$K$8)</f>
        <v>70-79</v>
      </c>
      <c r="O250" t="str">
        <f>LOOKUP(D250,Sheet2!$M$4:$N$8)</f>
        <v>30-39</v>
      </c>
      <c r="P250" t="str">
        <f>LOOKUP(E250,Sheet2!$P$4:$Q$9)</f>
        <v>300-499</v>
      </c>
      <c r="Q250" t="str">
        <f>LOOKUP(F250,Sheet2!$S$4:$T$8)</f>
        <v>31-35</v>
      </c>
      <c r="R250" t="str">
        <f>LOOKUP(G250,Sheet2!$V$4:$W$7)</f>
        <v>0.25 - 0.39</v>
      </c>
      <c r="S250" t="str">
        <f>LOOKUP(H250,Sheet2!$Z$4:$AA$7)</f>
        <v>26-35</v>
      </c>
      <c r="T250" t="str">
        <f t="shared" si="9"/>
        <v>Negative</v>
      </c>
      <c r="U250" t="str">
        <f t="shared" si="10"/>
        <v>Negative</v>
      </c>
      <c r="V250" s="1" t="str">
        <f t="shared" si="11"/>
        <v>Accurate Prediction</v>
      </c>
    </row>
    <row r="251" spans="1:22" x14ac:dyDescent="0.25">
      <c r="A251" s="1">
        <v>1</v>
      </c>
      <c r="B251" s="1">
        <v>111</v>
      </c>
      <c r="C251" s="1">
        <v>86</v>
      </c>
      <c r="D251" s="1">
        <v>19</v>
      </c>
      <c r="E251" s="1">
        <v>0</v>
      </c>
      <c r="F251" s="1">
        <v>30.1</v>
      </c>
      <c r="G251" s="1">
        <v>0.14299999999999999</v>
      </c>
      <c r="H251" s="1">
        <v>23</v>
      </c>
      <c r="I251" s="1">
        <v>0</v>
      </c>
      <c r="J251" s="1" t="str">
        <f>IFERROR(VLOOKUP(K251,[1]diabetes_Recognition!$A:$B,2,FALSE),"Not Sampled")</f>
        <v>Not Sampled</v>
      </c>
      <c r="K251" s="1">
        <v>249</v>
      </c>
      <c r="L251" s="1">
        <f>LOOKUP(A251,Sheet2!$D$4:$E$9)</f>
        <v>1</v>
      </c>
      <c r="M251" t="str">
        <f>LOOKUP(B251,Sheet2!$G$4:$H$9)</f>
        <v>100-125</v>
      </c>
      <c r="N251" t="str">
        <f>LOOKUP(C251,Sheet2!$J$4:$K$8)</f>
        <v>80+</v>
      </c>
      <c r="O251" t="str">
        <f>LOOKUP(D251,Sheet2!$M$4:$N$8)</f>
        <v>10-30</v>
      </c>
      <c r="P251" t="str">
        <f>LOOKUP(E251,Sheet2!$P$4:$Q$9)</f>
        <v>Unknown</v>
      </c>
      <c r="Q251" t="str">
        <f>LOOKUP(F251,Sheet2!$S$4:$T$8)</f>
        <v>26-30</v>
      </c>
      <c r="R251" t="str">
        <f>LOOKUP(G251,Sheet2!$V$4:$W$7)</f>
        <v>0.0 - 0.249</v>
      </c>
      <c r="S251" t="str">
        <f>LOOKUP(H251,Sheet2!$Z$4:$AA$7)</f>
        <v>&lt;=25</v>
      </c>
      <c r="T251" t="str">
        <f t="shared" si="9"/>
        <v>Negative</v>
      </c>
      <c r="U251" t="str">
        <f t="shared" si="10"/>
        <v>Not Sampled</v>
      </c>
      <c r="V251" s="1" t="str">
        <f t="shared" si="11"/>
        <v>Not Sampled</v>
      </c>
    </row>
    <row r="252" spans="1:22" x14ac:dyDescent="0.25">
      <c r="A252" s="1">
        <v>9</v>
      </c>
      <c r="B252" s="1">
        <v>106</v>
      </c>
      <c r="C252" s="1">
        <v>52</v>
      </c>
      <c r="D252" s="1">
        <v>0</v>
      </c>
      <c r="E252" s="1">
        <v>0</v>
      </c>
      <c r="F252" s="1">
        <v>31.2</v>
      </c>
      <c r="G252" s="1">
        <v>0.38</v>
      </c>
      <c r="H252" s="1">
        <v>42</v>
      </c>
      <c r="I252" s="1">
        <v>0</v>
      </c>
      <c r="J252" s="1" t="str">
        <f>IFERROR(VLOOKUP(K252,[1]diabetes_Recognition!$A:$B,2,FALSE),"Not Sampled")</f>
        <v>Not Sampled</v>
      </c>
      <c r="K252" s="1">
        <v>250</v>
      </c>
      <c r="L252" s="1" t="str">
        <f>LOOKUP(A252,Sheet2!$D$4:$E$9)</f>
        <v>8+</v>
      </c>
      <c r="M252" t="str">
        <f>LOOKUP(B252,Sheet2!$G$4:$H$9)</f>
        <v>100-125</v>
      </c>
      <c r="N252" t="str">
        <f>LOOKUP(C252,Sheet2!$J$4:$K$8)</f>
        <v>1-59</v>
      </c>
      <c r="O252" t="str">
        <f>LOOKUP(D252,Sheet2!$M$4:$N$8)</f>
        <v>Unknown</v>
      </c>
      <c r="P252" t="str">
        <f>LOOKUP(E252,Sheet2!$P$4:$Q$9)</f>
        <v>Unknown</v>
      </c>
      <c r="Q252" t="str">
        <f>LOOKUP(F252,Sheet2!$S$4:$T$8)</f>
        <v>31-35</v>
      </c>
      <c r="R252" t="str">
        <f>LOOKUP(G252,Sheet2!$V$4:$W$7)</f>
        <v>0.25 - 0.39</v>
      </c>
      <c r="S252" t="str">
        <f>LOOKUP(H252,Sheet2!$Z$4:$AA$7)</f>
        <v>36-45</v>
      </c>
      <c r="T252" t="str">
        <f t="shared" si="9"/>
        <v>Negative</v>
      </c>
      <c r="U252" t="str">
        <f t="shared" si="10"/>
        <v>Not Sampled</v>
      </c>
      <c r="V252" s="1" t="str">
        <f t="shared" si="11"/>
        <v>Not Sampled</v>
      </c>
    </row>
    <row r="253" spans="1:22" x14ac:dyDescent="0.25">
      <c r="A253" s="1">
        <v>2</v>
      </c>
      <c r="B253" s="1">
        <v>129</v>
      </c>
      <c r="C253" s="1">
        <v>84</v>
      </c>
      <c r="D253" s="1">
        <v>0</v>
      </c>
      <c r="E253" s="1">
        <v>0</v>
      </c>
      <c r="F253" s="1">
        <v>28</v>
      </c>
      <c r="G253" s="1">
        <v>0.28399999999999997</v>
      </c>
      <c r="H253" s="1">
        <v>27</v>
      </c>
      <c r="I253" s="1">
        <v>0</v>
      </c>
      <c r="J253" s="1" t="str">
        <f>IFERROR(VLOOKUP(K253,[1]diabetes_Recognition!$A:$B,2,FALSE),"Not Sampled")</f>
        <v>Not Sampled</v>
      </c>
      <c r="K253" s="1">
        <v>251</v>
      </c>
      <c r="L253" s="1">
        <f>LOOKUP(A253,Sheet2!$D$4:$E$9)</f>
        <v>2</v>
      </c>
      <c r="M253" t="str">
        <f>LOOKUP(B253,Sheet2!$G$4:$H$9)</f>
        <v>126-150</v>
      </c>
      <c r="N253" t="str">
        <f>LOOKUP(C253,Sheet2!$J$4:$K$8)</f>
        <v>80+</v>
      </c>
      <c r="O253" t="str">
        <f>LOOKUP(D253,Sheet2!$M$4:$N$8)</f>
        <v>Unknown</v>
      </c>
      <c r="P253" t="str">
        <f>LOOKUP(E253,Sheet2!$P$4:$Q$9)</f>
        <v>Unknown</v>
      </c>
      <c r="Q253" t="str">
        <f>LOOKUP(F253,Sheet2!$S$4:$T$8)</f>
        <v>26-30</v>
      </c>
      <c r="R253" t="str">
        <f>LOOKUP(G253,Sheet2!$V$4:$W$7)</f>
        <v>0.25 - 0.39</v>
      </c>
      <c r="S253" t="str">
        <f>LOOKUP(H253,Sheet2!$Z$4:$AA$7)</f>
        <v>26-35</v>
      </c>
      <c r="T253" t="str">
        <f t="shared" si="9"/>
        <v>Negative</v>
      </c>
      <c r="U253" t="str">
        <f t="shared" si="10"/>
        <v>Not Sampled</v>
      </c>
      <c r="V253" s="1" t="str">
        <f t="shared" si="11"/>
        <v>Not Sampled</v>
      </c>
    </row>
    <row r="254" spans="1:22" x14ac:dyDescent="0.25">
      <c r="A254" s="1">
        <v>2</v>
      </c>
      <c r="B254" s="1">
        <v>90</v>
      </c>
      <c r="C254" s="1">
        <v>80</v>
      </c>
      <c r="D254" s="1">
        <v>14</v>
      </c>
      <c r="E254" s="1">
        <v>55</v>
      </c>
      <c r="F254" s="1">
        <v>24.4</v>
      </c>
      <c r="G254" s="1">
        <v>0.249</v>
      </c>
      <c r="H254" s="1">
        <v>24</v>
      </c>
      <c r="I254" s="1">
        <v>0</v>
      </c>
      <c r="J254" s="1" t="str">
        <f>IFERROR(VLOOKUP(K254,[1]diabetes_Recognition!$A:$B,2,FALSE),"Not Sampled")</f>
        <v>Not Sampled</v>
      </c>
      <c r="K254" s="1">
        <v>252</v>
      </c>
      <c r="L254" s="1">
        <f>LOOKUP(A254,Sheet2!$D$4:$E$9)</f>
        <v>2</v>
      </c>
      <c r="M254" t="str">
        <f>LOOKUP(B254,Sheet2!$G$4:$H$9)</f>
        <v>1-99</v>
      </c>
      <c r="N254" t="str">
        <f>LOOKUP(C254,Sheet2!$J$4:$K$8)</f>
        <v>80+</v>
      </c>
      <c r="O254" t="str">
        <f>LOOKUP(D254,Sheet2!$M$4:$N$8)</f>
        <v>10-30</v>
      </c>
      <c r="P254" t="str">
        <f>LOOKUP(E254,Sheet2!$P$4:$Q$9)</f>
        <v>1-99</v>
      </c>
      <c r="Q254" t="str">
        <f>LOOKUP(F254,Sheet2!$S$4:$T$8)</f>
        <v>1-25</v>
      </c>
      <c r="R254" t="str">
        <f>LOOKUP(G254,Sheet2!$V$4:$W$7)</f>
        <v>0.0 - 0.249</v>
      </c>
      <c r="S254" t="str">
        <f>LOOKUP(H254,Sheet2!$Z$4:$AA$7)</f>
        <v>&lt;=25</v>
      </c>
      <c r="T254" t="str">
        <f t="shared" si="9"/>
        <v>Negative</v>
      </c>
      <c r="U254" t="str">
        <f t="shared" si="10"/>
        <v>Not Sampled</v>
      </c>
      <c r="V254" s="1" t="str">
        <f t="shared" si="11"/>
        <v>Not Sampled</v>
      </c>
    </row>
    <row r="255" spans="1:22" x14ac:dyDescent="0.25">
      <c r="A255" s="1">
        <v>0</v>
      </c>
      <c r="B255" s="1">
        <v>86</v>
      </c>
      <c r="C255" s="1">
        <v>68</v>
      </c>
      <c r="D255" s="1">
        <v>32</v>
      </c>
      <c r="E255" s="1">
        <v>0</v>
      </c>
      <c r="F255" s="1">
        <v>35.799999999999997</v>
      </c>
      <c r="G255" s="1">
        <v>0.23799999999999999</v>
      </c>
      <c r="H255" s="1">
        <v>25</v>
      </c>
      <c r="I255" s="1">
        <v>0</v>
      </c>
      <c r="J255" s="1" t="str">
        <f>IFERROR(VLOOKUP(K255,[1]diabetes_Recognition!$A:$B,2,FALSE),"Not Sampled")</f>
        <v>Not Sampled</v>
      </c>
      <c r="K255" s="1">
        <v>253</v>
      </c>
      <c r="L255" s="1">
        <f>LOOKUP(A255,Sheet2!$D$4:$E$9)</f>
        <v>0</v>
      </c>
      <c r="M255" t="str">
        <f>LOOKUP(B255,Sheet2!$G$4:$H$9)</f>
        <v>1-99</v>
      </c>
      <c r="N255" t="str">
        <f>LOOKUP(C255,Sheet2!$J$4:$K$8)</f>
        <v>60-69</v>
      </c>
      <c r="O255" t="str">
        <f>LOOKUP(D255,Sheet2!$M$4:$N$8)</f>
        <v>30-39</v>
      </c>
      <c r="P255" t="str">
        <f>LOOKUP(E255,Sheet2!$P$4:$Q$9)</f>
        <v>Unknown</v>
      </c>
      <c r="Q255" t="str">
        <f>LOOKUP(F255,Sheet2!$S$4:$T$8)</f>
        <v>31-35</v>
      </c>
      <c r="R255" t="str">
        <f>LOOKUP(G255,Sheet2!$V$4:$W$7)</f>
        <v>0.0 - 0.249</v>
      </c>
      <c r="S255" t="str">
        <f>LOOKUP(H255,Sheet2!$Z$4:$AA$7)</f>
        <v>&lt;=25</v>
      </c>
      <c r="T255" t="str">
        <f t="shared" si="9"/>
        <v>Negative</v>
      </c>
      <c r="U255" t="str">
        <f t="shared" si="10"/>
        <v>Not Sampled</v>
      </c>
      <c r="V255" s="1" t="str">
        <f t="shared" si="11"/>
        <v>Not Sampled</v>
      </c>
    </row>
    <row r="256" spans="1:22" x14ac:dyDescent="0.25">
      <c r="A256" s="1">
        <v>12</v>
      </c>
      <c r="B256" s="1">
        <v>92</v>
      </c>
      <c r="C256" s="1">
        <v>62</v>
      </c>
      <c r="D256" s="1">
        <v>7</v>
      </c>
      <c r="E256" s="1">
        <v>258</v>
      </c>
      <c r="F256" s="1">
        <v>27.6</v>
      </c>
      <c r="G256" s="1">
        <v>0.92600000000000005</v>
      </c>
      <c r="H256" s="1">
        <v>44</v>
      </c>
      <c r="I256" s="1">
        <v>1</v>
      </c>
      <c r="J256" s="1" t="str">
        <f>IFERROR(VLOOKUP(K256,[1]diabetes_Recognition!$A:$B,2,FALSE),"Not Sampled")</f>
        <v>Not Sampled</v>
      </c>
      <c r="K256" s="1">
        <v>254</v>
      </c>
      <c r="L256" s="1" t="str">
        <f>LOOKUP(A256,Sheet2!$D$4:$E$9)</f>
        <v>8+</v>
      </c>
      <c r="M256" t="str">
        <f>LOOKUP(B256,Sheet2!$G$4:$H$9)</f>
        <v>1-99</v>
      </c>
      <c r="N256" t="str">
        <f>LOOKUP(C256,Sheet2!$J$4:$K$8)</f>
        <v>60-69</v>
      </c>
      <c r="O256" t="str">
        <f>LOOKUP(D256,Sheet2!$M$4:$N$8)</f>
        <v>1-10</v>
      </c>
      <c r="P256" t="str">
        <f>LOOKUP(E256,Sheet2!$P$4:$Q$9)</f>
        <v>200-399</v>
      </c>
      <c r="Q256" t="str">
        <f>LOOKUP(F256,Sheet2!$S$4:$T$8)</f>
        <v>26-30</v>
      </c>
      <c r="R256" t="str">
        <f>LOOKUP(G256,Sheet2!$V$4:$W$7)</f>
        <v>0.7+</v>
      </c>
      <c r="S256" t="str">
        <f>LOOKUP(H256,Sheet2!$Z$4:$AA$7)</f>
        <v>36-45</v>
      </c>
      <c r="T256" t="str">
        <f t="shared" si="9"/>
        <v>Positive</v>
      </c>
      <c r="U256" t="str">
        <f t="shared" si="10"/>
        <v>Not Sampled</v>
      </c>
      <c r="V256" s="1" t="str">
        <f t="shared" si="11"/>
        <v>Not Sampled</v>
      </c>
    </row>
    <row r="257" spans="1:22" x14ac:dyDescent="0.25">
      <c r="A257" s="1">
        <v>1</v>
      </c>
      <c r="B257" s="1">
        <v>113</v>
      </c>
      <c r="C257" s="1">
        <v>64</v>
      </c>
      <c r="D257" s="1">
        <v>35</v>
      </c>
      <c r="E257" s="1">
        <v>0</v>
      </c>
      <c r="F257" s="1">
        <v>33.6</v>
      </c>
      <c r="G257" s="1">
        <v>0.54300000000000004</v>
      </c>
      <c r="H257" s="1">
        <v>21</v>
      </c>
      <c r="I257" s="1">
        <v>1</v>
      </c>
      <c r="J257" s="1">
        <f>IFERROR(VLOOKUP(K257,[1]diabetes_Recognition!$A:$B,2,FALSE),"Not Sampled")</f>
        <v>0</v>
      </c>
      <c r="K257" s="1">
        <v>255</v>
      </c>
      <c r="L257" s="1">
        <f>LOOKUP(A257,Sheet2!$D$4:$E$9)</f>
        <v>1</v>
      </c>
      <c r="M257" t="str">
        <f>LOOKUP(B257,Sheet2!$G$4:$H$9)</f>
        <v>100-125</v>
      </c>
      <c r="N257" t="str">
        <f>LOOKUP(C257,Sheet2!$J$4:$K$8)</f>
        <v>60-69</v>
      </c>
      <c r="O257" t="str">
        <f>LOOKUP(D257,Sheet2!$M$4:$N$8)</f>
        <v>30-39</v>
      </c>
      <c r="P257" t="str">
        <f>LOOKUP(E257,Sheet2!$P$4:$Q$9)</f>
        <v>Unknown</v>
      </c>
      <c r="Q257" t="str">
        <f>LOOKUP(F257,Sheet2!$S$4:$T$8)</f>
        <v>31-35</v>
      </c>
      <c r="R257" t="str">
        <f>LOOKUP(G257,Sheet2!$V$4:$W$7)</f>
        <v>0.4 - 0.69</v>
      </c>
      <c r="S257" t="str">
        <f>LOOKUP(H257,Sheet2!$Z$4:$AA$7)</f>
        <v>&lt;=25</v>
      </c>
      <c r="T257" t="str">
        <f t="shared" si="9"/>
        <v>Positive</v>
      </c>
      <c r="U257" t="str">
        <f t="shared" si="10"/>
        <v>Negative</v>
      </c>
      <c r="V257" s="1" t="str">
        <f t="shared" si="11"/>
        <v>Inaccurate Prediction</v>
      </c>
    </row>
    <row r="258" spans="1:22" x14ac:dyDescent="0.25">
      <c r="A258" s="1">
        <v>3</v>
      </c>
      <c r="B258" s="1">
        <v>111</v>
      </c>
      <c r="C258" s="1">
        <v>56</v>
      </c>
      <c r="D258" s="1">
        <v>39</v>
      </c>
      <c r="E258" s="1">
        <v>0</v>
      </c>
      <c r="F258" s="1">
        <v>30.1</v>
      </c>
      <c r="G258" s="1">
        <v>0.55700000000000005</v>
      </c>
      <c r="H258" s="1">
        <v>30</v>
      </c>
      <c r="I258" s="1">
        <v>0</v>
      </c>
      <c r="J258" s="1" t="str">
        <f>IFERROR(VLOOKUP(K258,[1]diabetes_Recognition!$A:$B,2,FALSE),"Not Sampled")</f>
        <v>Not Sampled</v>
      </c>
      <c r="K258" s="1">
        <v>256</v>
      </c>
      <c r="L258" s="1" t="str">
        <f>LOOKUP(A258,Sheet2!$D$4:$E$9)</f>
        <v>3-4</v>
      </c>
      <c r="M258" t="str">
        <f>LOOKUP(B258,Sheet2!$G$4:$H$9)</f>
        <v>100-125</v>
      </c>
      <c r="N258" t="str">
        <f>LOOKUP(C258,Sheet2!$J$4:$K$8)</f>
        <v>1-59</v>
      </c>
      <c r="O258" t="str">
        <f>LOOKUP(D258,Sheet2!$M$4:$N$8)</f>
        <v>30-39</v>
      </c>
      <c r="P258" t="str">
        <f>LOOKUP(E258,Sheet2!$P$4:$Q$9)</f>
        <v>Unknown</v>
      </c>
      <c r="Q258" t="str">
        <f>LOOKUP(F258,Sheet2!$S$4:$T$8)</f>
        <v>26-30</v>
      </c>
      <c r="R258" t="str">
        <f>LOOKUP(G258,Sheet2!$V$4:$W$7)</f>
        <v>0.4 - 0.69</v>
      </c>
      <c r="S258" t="str">
        <f>LOOKUP(H258,Sheet2!$Z$4:$AA$7)</f>
        <v>26-35</v>
      </c>
      <c r="T258" t="str">
        <f t="shared" si="9"/>
        <v>Negative</v>
      </c>
      <c r="U258" t="str">
        <f t="shared" si="10"/>
        <v>Not Sampled</v>
      </c>
      <c r="V258" s="1" t="str">
        <f t="shared" si="11"/>
        <v>Not Sampled</v>
      </c>
    </row>
    <row r="259" spans="1:22" x14ac:dyDescent="0.25">
      <c r="A259" s="1">
        <v>2</v>
      </c>
      <c r="B259" s="1">
        <v>114</v>
      </c>
      <c r="C259" s="1">
        <v>68</v>
      </c>
      <c r="D259" s="1">
        <v>22</v>
      </c>
      <c r="E259" s="1">
        <v>0</v>
      </c>
      <c r="F259" s="1">
        <v>28.7</v>
      </c>
      <c r="G259" s="1">
        <v>9.1999999999999998E-2</v>
      </c>
      <c r="H259" s="1">
        <v>25</v>
      </c>
      <c r="I259" s="1">
        <v>0</v>
      </c>
      <c r="J259" s="1" t="str">
        <f>IFERROR(VLOOKUP(K259,[1]diabetes_Recognition!$A:$B,2,FALSE),"Not Sampled")</f>
        <v>Not Sampled</v>
      </c>
      <c r="K259" s="1">
        <v>257</v>
      </c>
      <c r="L259" s="1">
        <f>LOOKUP(A259,Sheet2!$D$4:$E$9)</f>
        <v>2</v>
      </c>
      <c r="M259" t="str">
        <f>LOOKUP(B259,Sheet2!$G$4:$H$9)</f>
        <v>100-125</v>
      </c>
      <c r="N259" t="str">
        <f>LOOKUP(C259,Sheet2!$J$4:$K$8)</f>
        <v>60-69</v>
      </c>
      <c r="O259" t="str">
        <f>LOOKUP(D259,Sheet2!$M$4:$N$8)</f>
        <v>10-30</v>
      </c>
      <c r="P259" t="str">
        <f>LOOKUP(E259,Sheet2!$P$4:$Q$9)</f>
        <v>Unknown</v>
      </c>
      <c r="Q259" t="str">
        <f>LOOKUP(F259,Sheet2!$S$4:$T$8)</f>
        <v>26-30</v>
      </c>
      <c r="R259" t="str">
        <f>LOOKUP(G259,Sheet2!$V$4:$W$7)</f>
        <v>0.0 - 0.249</v>
      </c>
      <c r="S259" t="str">
        <f>LOOKUP(H259,Sheet2!$Z$4:$AA$7)</f>
        <v>&lt;=25</v>
      </c>
      <c r="T259" t="str">
        <f t="shared" ref="T259:T322" si="12">IF(I259=1,"Positive","Negative")</f>
        <v>Negative</v>
      </c>
      <c r="U259" t="str">
        <f t="shared" ref="U259:U322" si="13">IF(J259=1,"Positive",(IF(J259=0,"Negative","Not Sampled")))</f>
        <v>Not Sampled</v>
      </c>
      <c r="V259" s="1" t="str">
        <f t="shared" ref="V259:V322" si="14">IF(U259="Not Sampled","Not Sampled",IF(T259=U259,"Accurate Prediction","Inaccurate Prediction"))</f>
        <v>Not Sampled</v>
      </c>
    </row>
    <row r="260" spans="1:22" x14ac:dyDescent="0.25">
      <c r="A260" s="1">
        <v>1</v>
      </c>
      <c r="B260" s="1">
        <v>193</v>
      </c>
      <c r="C260" s="1">
        <v>50</v>
      </c>
      <c r="D260" s="1">
        <v>16</v>
      </c>
      <c r="E260" s="1">
        <v>375</v>
      </c>
      <c r="F260" s="1">
        <v>25.9</v>
      </c>
      <c r="G260" s="1">
        <v>0.65500000000000003</v>
      </c>
      <c r="H260" s="1">
        <v>24</v>
      </c>
      <c r="I260" s="1">
        <v>0</v>
      </c>
      <c r="J260" s="1">
        <f>IFERROR(VLOOKUP(K260,[1]diabetes_Recognition!$A:$B,2,FALSE),"Not Sampled")</f>
        <v>1</v>
      </c>
      <c r="K260" s="1">
        <v>258</v>
      </c>
      <c r="L260" s="1">
        <f>LOOKUP(A260,Sheet2!$D$4:$E$9)</f>
        <v>1</v>
      </c>
      <c r="M260" t="str">
        <f>LOOKUP(B260,Sheet2!$G$4:$H$9)</f>
        <v>176-200</v>
      </c>
      <c r="N260" t="str">
        <f>LOOKUP(C260,Sheet2!$J$4:$K$8)</f>
        <v>1-59</v>
      </c>
      <c r="O260" t="str">
        <f>LOOKUP(D260,Sheet2!$M$4:$N$8)</f>
        <v>10-30</v>
      </c>
      <c r="P260" t="str">
        <f>LOOKUP(E260,Sheet2!$P$4:$Q$9)</f>
        <v>300-499</v>
      </c>
      <c r="Q260" t="str">
        <f>LOOKUP(F260,Sheet2!$S$4:$T$8)</f>
        <v>1-25</v>
      </c>
      <c r="R260" t="str">
        <f>LOOKUP(G260,Sheet2!$V$4:$W$7)</f>
        <v>0.4 - 0.69</v>
      </c>
      <c r="S260" t="str">
        <f>LOOKUP(H260,Sheet2!$Z$4:$AA$7)</f>
        <v>&lt;=25</v>
      </c>
      <c r="T260" t="str">
        <f t="shared" si="12"/>
        <v>Negative</v>
      </c>
      <c r="U260" t="str">
        <f t="shared" si="13"/>
        <v>Positive</v>
      </c>
      <c r="V260" s="1" t="str">
        <f t="shared" si="14"/>
        <v>Inaccurate Prediction</v>
      </c>
    </row>
    <row r="261" spans="1:22" x14ac:dyDescent="0.25">
      <c r="A261" s="1">
        <v>11</v>
      </c>
      <c r="B261" s="1">
        <v>155</v>
      </c>
      <c r="C261" s="1">
        <v>76</v>
      </c>
      <c r="D261" s="1">
        <v>28</v>
      </c>
      <c r="E261" s="1">
        <v>150</v>
      </c>
      <c r="F261" s="1">
        <v>33.299999999999997</v>
      </c>
      <c r="G261" s="1">
        <v>1.353</v>
      </c>
      <c r="H261" s="1">
        <v>51</v>
      </c>
      <c r="I261" s="1">
        <v>1</v>
      </c>
      <c r="J261" s="1">
        <f>IFERROR(VLOOKUP(K261,[1]diabetes_Recognition!$A:$B,2,FALSE),"Not Sampled")</f>
        <v>1</v>
      </c>
      <c r="K261" s="1">
        <v>259</v>
      </c>
      <c r="L261" s="1" t="str">
        <f>LOOKUP(A261,Sheet2!$D$4:$E$9)</f>
        <v>8+</v>
      </c>
      <c r="M261" t="str">
        <f>LOOKUP(B261,Sheet2!$G$4:$H$9)</f>
        <v>151-175</v>
      </c>
      <c r="N261" t="str">
        <f>LOOKUP(C261,Sheet2!$J$4:$K$8)</f>
        <v>70-79</v>
      </c>
      <c r="O261" t="str">
        <f>LOOKUP(D261,Sheet2!$M$4:$N$8)</f>
        <v>10-30</v>
      </c>
      <c r="P261" t="str">
        <f>LOOKUP(E261,Sheet2!$P$4:$Q$9)</f>
        <v>100-199</v>
      </c>
      <c r="Q261" t="str">
        <f>LOOKUP(F261,Sheet2!$S$4:$T$8)</f>
        <v>31-35</v>
      </c>
      <c r="R261" t="str">
        <f>LOOKUP(G261,Sheet2!$V$4:$W$7)</f>
        <v>0.7+</v>
      </c>
      <c r="S261" t="str">
        <f>LOOKUP(H261,Sheet2!$Z$4:$AA$7)</f>
        <v>46+</v>
      </c>
      <c r="T261" t="str">
        <f t="shared" si="12"/>
        <v>Positive</v>
      </c>
      <c r="U261" t="str">
        <f t="shared" si="13"/>
        <v>Positive</v>
      </c>
      <c r="V261" s="1" t="str">
        <f t="shared" si="14"/>
        <v>Accurate Prediction</v>
      </c>
    </row>
    <row r="262" spans="1:22" x14ac:dyDescent="0.25">
      <c r="A262" s="1">
        <v>3</v>
      </c>
      <c r="B262" s="1">
        <v>191</v>
      </c>
      <c r="C262" s="1">
        <v>68</v>
      </c>
      <c r="D262" s="1">
        <v>15</v>
      </c>
      <c r="E262" s="1">
        <v>130</v>
      </c>
      <c r="F262" s="1">
        <v>30.9</v>
      </c>
      <c r="G262" s="1">
        <v>0.29899999999999999</v>
      </c>
      <c r="H262" s="1">
        <v>34</v>
      </c>
      <c r="I262" s="1">
        <v>0</v>
      </c>
      <c r="J262" s="1">
        <f>IFERROR(VLOOKUP(K262,[1]diabetes_Recognition!$A:$B,2,FALSE),"Not Sampled")</f>
        <v>1</v>
      </c>
      <c r="K262" s="1">
        <v>260</v>
      </c>
      <c r="L262" s="1" t="str">
        <f>LOOKUP(A262,Sheet2!$D$4:$E$9)</f>
        <v>3-4</v>
      </c>
      <c r="M262" t="str">
        <f>LOOKUP(B262,Sheet2!$G$4:$H$9)</f>
        <v>176-200</v>
      </c>
      <c r="N262" t="str">
        <f>LOOKUP(C262,Sheet2!$J$4:$K$8)</f>
        <v>60-69</v>
      </c>
      <c r="O262" t="str">
        <f>LOOKUP(D262,Sheet2!$M$4:$N$8)</f>
        <v>10-30</v>
      </c>
      <c r="P262" t="str">
        <f>LOOKUP(E262,Sheet2!$P$4:$Q$9)</f>
        <v>100-199</v>
      </c>
      <c r="Q262" t="str">
        <f>LOOKUP(F262,Sheet2!$S$4:$T$8)</f>
        <v>26-30</v>
      </c>
      <c r="R262" t="str">
        <f>LOOKUP(G262,Sheet2!$V$4:$W$7)</f>
        <v>0.25 - 0.39</v>
      </c>
      <c r="S262" t="str">
        <f>LOOKUP(H262,Sheet2!$Z$4:$AA$7)</f>
        <v>26-35</v>
      </c>
      <c r="T262" t="str">
        <f t="shared" si="12"/>
        <v>Negative</v>
      </c>
      <c r="U262" t="str">
        <f t="shared" si="13"/>
        <v>Positive</v>
      </c>
      <c r="V262" s="1" t="str">
        <f t="shared" si="14"/>
        <v>Inaccurate Prediction</v>
      </c>
    </row>
    <row r="263" spans="1:22" x14ac:dyDescent="0.25">
      <c r="A263" s="1">
        <v>3</v>
      </c>
      <c r="B263" s="1">
        <v>141</v>
      </c>
      <c r="C263" s="1">
        <v>0</v>
      </c>
      <c r="D263" s="1">
        <v>0</v>
      </c>
      <c r="E263" s="1">
        <v>0</v>
      </c>
      <c r="F263" s="1">
        <v>30</v>
      </c>
      <c r="G263" s="1">
        <v>0.76100000000000001</v>
      </c>
      <c r="H263" s="1">
        <v>27</v>
      </c>
      <c r="I263" s="1">
        <v>1</v>
      </c>
      <c r="J263" s="1" t="str">
        <f>IFERROR(VLOOKUP(K263,[1]diabetes_Recognition!$A:$B,2,FALSE),"Not Sampled")</f>
        <v>Not Sampled</v>
      </c>
      <c r="K263" s="1">
        <v>261</v>
      </c>
      <c r="L263" s="1" t="str">
        <f>LOOKUP(A263,Sheet2!$D$4:$E$9)</f>
        <v>3-4</v>
      </c>
      <c r="M263" t="str">
        <f>LOOKUP(B263,Sheet2!$G$4:$H$9)</f>
        <v>126-150</v>
      </c>
      <c r="N263" t="str">
        <f>LOOKUP(C263,Sheet2!$J$4:$K$8)</f>
        <v>Unknown</v>
      </c>
      <c r="O263" t="str">
        <f>LOOKUP(D263,Sheet2!$M$4:$N$8)</f>
        <v>Unknown</v>
      </c>
      <c r="P263" t="str">
        <f>LOOKUP(E263,Sheet2!$P$4:$Q$9)</f>
        <v>Unknown</v>
      </c>
      <c r="Q263" t="str">
        <f>LOOKUP(F263,Sheet2!$S$4:$T$8)</f>
        <v>26-30</v>
      </c>
      <c r="R263" t="str">
        <f>LOOKUP(G263,Sheet2!$V$4:$W$7)</f>
        <v>0.7+</v>
      </c>
      <c r="S263" t="str">
        <f>LOOKUP(H263,Sheet2!$Z$4:$AA$7)</f>
        <v>26-35</v>
      </c>
      <c r="T263" t="str">
        <f t="shared" si="12"/>
        <v>Positive</v>
      </c>
      <c r="U263" t="str">
        <f t="shared" si="13"/>
        <v>Not Sampled</v>
      </c>
      <c r="V263" s="1" t="str">
        <f t="shared" si="14"/>
        <v>Not Sampled</v>
      </c>
    </row>
    <row r="264" spans="1:22" x14ac:dyDescent="0.25">
      <c r="A264" s="1">
        <v>4</v>
      </c>
      <c r="B264" s="1">
        <v>95</v>
      </c>
      <c r="C264" s="1">
        <v>70</v>
      </c>
      <c r="D264" s="1">
        <v>32</v>
      </c>
      <c r="E264" s="1">
        <v>0</v>
      </c>
      <c r="F264" s="1">
        <v>32.1</v>
      </c>
      <c r="G264" s="1">
        <v>0.61199999999999999</v>
      </c>
      <c r="H264" s="1">
        <v>24</v>
      </c>
      <c r="I264" s="1">
        <v>0</v>
      </c>
      <c r="J264" s="1" t="str">
        <f>IFERROR(VLOOKUP(K264,[1]diabetes_Recognition!$A:$B,2,FALSE),"Not Sampled")</f>
        <v>Not Sampled</v>
      </c>
      <c r="K264" s="1">
        <v>262</v>
      </c>
      <c r="L264" s="1" t="str">
        <f>LOOKUP(A264,Sheet2!$D$4:$E$9)</f>
        <v>3-4</v>
      </c>
      <c r="M264" t="str">
        <f>LOOKUP(B264,Sheet2!$G$4:$H$9)</f>
        <v>1-99</v>
      </c>
      <c r="N264" t="str">
        <f>LOOKUP(C264,Sheet2!$J$4:$K$8)</f>
        <v>70-79</v>
      </c>
      <c r="O264" t="str">
        <f>LOOKUP(D264,Sheet2!$M$4:$N$8)</f>
        <v>30-39</v>
      </c>
      <c r="P264" t="str">
        <f>LOOKUP(E264,Sheet2!$P$4:$Q$9)</f>
        <v>Unknown</v>
      </c>
      <c r="Q264" t="str">
        <f>LOOKUP(F264,Sheet2!$S$4:$T$8)</f>
        <v>31-35</v>
      </c>
      <c r="R264" t="str">
        <f>LOOKUP(G264,Sheet2!$V$4:$W$7)</f>
        <v>0.4 - 0.69</v>
      </c>
      <c r="S264" t="str">
        <f>LOOKUP(H264,Sheet2!$Z$4:$AA$7)</f>
        <v>&lt;=25</v>
      </c>
      <c r="T264" t="str">
        <f t="shared" si="12"/>
        <v>Negative</v>
      </c>
      <c r="U264" t="str">
        <f t="shared" si="13"/>
        <v>Not Sampled</v>
      </c>
      <c r="V264" s="1" t="str">
        <f t="shared" si="14"/>
        <v>Not Sampled</v>
      </c>
    </row>
    <row r="265" spans="1:22" x14ac:dyDescent="0.25">
      <c r="A265" s="1">
        <v>3</v>
      </c>
      <c r="B265" s="1">
        <v>142</v>
      </c>
      <c r="C265" s="1">
        <v>80</v>
      </c>
      <c r="D265" s="1">
        <v>15</v>
      </c>
      <c r="E265" s="1">
        <v>0</v>
      </c>
      <c r="F265" s="1">
        <v>32.4</v>
      </c>
      <c r="G265" s="1">
        <v>0.2</v>
      </c>
      <c r="H265" s="1">
        <v>63</v>
      </c>
      <c r="I265" s="1">
        <v>0</v>
      </c>
      <c r="J265" s="1" t="str">
        <f>IFERROR(VLOOKUP(K265,[1]diabetes_Recognition!$A:$B,2,FALSE),"Not Sampled")</f>
        <v>Not Sampled</v>
      </c>
      <c r="K265" s="1">
        <v>263</v>
      </c>
      <c r="L265" s="1" t="str">
        <f>LOOKUP(A265,Sheet2!$D$4:$E$9)</f>
        <v>3-4</v>
      </c>
      <c r="M265" t="str">
        <f>LOOKUP(B265,Sheet2!$G$4:$H$9)</f>
        <v>126-150</v>
      </c>
      <c r="N265" t="str">
        <f>LOOKUP(C265,Sheet2!$J$4:$K$8)</f>
        <v>80+</v>
      </c>
      <c r="O265" t="str">
        <f>LOOKUP(D265,Sheet2!$M$4:$N$8)</f>
        <v>10-30</v>
      </c>
      <c r="P265" t="str">
        <f>LOOKUP(E265,Sheet2!$P$4:$Q$9)</f>
        <v>Unknown</v>
      </c>
      <c r="Q265" t="str">
        <f>LOOKUP(F265,Sheet2!$S$4:$T$8)</f>
        <v>31-35</v>
      </c>
      <c r="R265" t="str">
        <f>LOOKUP(G265,Sheet2!$V$4:$W$7)</f>
        <v>0.0 - 0.249</v>
      </c>
      <c r="S265" t="str">
        <f>LOOKUP(H265,Sheet2!$Z$4:$AA$7)</f>
        <v>46+</v>
      </c>
      <c r="T265" t="str">
        <f t="shared" si="12"/>
        <v>Negative</v>
      </c>
      <c r="U265" t="str">
        <f t="shared" si="13"/>
        <v>Not Sampled</v>
      </c>
      <c r="V265" s="1" t="str">
        <f t="shared" si="14"/>
        <v>Not Sampled</v>
      </c>
    </row>
    <row r="266" spans="1:22" x14ac:dyDescent="0.25">
      <c r="A266" s="1">
        <v>4</v>
      </c>
      <c r="B266" s="1">
        <v>123</v>
      </c>
      <c r="C266" s="1">
        <v>62</v>
      </c>
      <c r="D266" s="1">
        <v>0</v>
      </c>
      <c r="E266" s="1">
        <v>0</v>
      </c>
      <c r="F266" s="1">
        <v>32</v>
      </c>
      <c r="G266" s="1">
        <v>0.22600000000000001</v>
      </c>
      <c r="H266" s="1">
        <v>35</v>
      </c>
      <c r="I266" s="1">
        <v>1</v>
      </c>
      <c r="J266" s="1">
        <f>IFERROR(VLOOKUP(K266,[1]diabetes_Recognition!$A:$B,2,FALSE),"Not Sampled")</f>
        <v>0</v>
      </c>
      <c r="K266" s="1">
        <v>264</v>
      </c>
      <c r="L266" s="1" t="str">
        <f>LOOKUP(A266,Sheet2!$D$4:$E$9)</f>
        <v>3-4</v>
      </c>
      <c r="M266" t="str">
        <f>LOOKUP(B266,Sheet2!$G$4:$H$9)</f>
        <v>100-125</v>
      </c>
      <c r="N266" t="str">
        <f>LOOKUP(C266,Sheet2!$J$4:$K$8)</f>
        <v>60-69</v>
      </c>
      <c r="O266" t="str">
        <f>LOOKUP(D266,Sheet2!$M$4:$N$8)</f>
        <v>Unknown</v>
      </c>
      <c r="P266" t="str">
        <f>LOOKUP(E266,Sheet2!$P$4:$Q$9)</f>
        <v>Unknown</v>
      </c>
      <c r="Q266" t="str">
        <f>LOOKUP(F266,Sheet2!$S$4:$T$8)</f>
        <v>31-35</v>
      </c>
      <c r="R266" t="str">
        <f>LOOKUP(G266,Sheet2!$V$4:$W$7)</f>
        <v>0.0 - 0.249</v>
      </c>
      <c r="S266" t="str">
        <f>LOOKUP(H266,Sheet2!$Z$4:$AA$7)</f>
        <v>26-35</v>
      </c>
      <c r="T266" t="str">
        <f t="shared" si="12"/>
        <v>Positive</v>
      </c>
      <c r="U266" t="str">
        <f t="shared" si="13"/>
        <v>Negative</v>
      </c>
      <c r="V266" s="1" t="str">
        <f t="shared" si="14"/>
        <v>Inaccurate Prediction</v>
      </c>
    </row>
    <row r="267" spans="1:22" x14ac:dyDescent="0.25">
      <c r="A267" s="1">
        <v>5</v>
      </c>
      <c r="B267" s="1">
        <v>96</v>
      </c>
      <c r="C267" s="1">
        <v>74</v>
      </c>
      <c r="D267" s="1">
        <v>18</v>
      </c>
      <c r="E267" s="1">
        <v>67</v>
      </c>
      <c r="F267" s="1">
        <v>33.6</v>
      </c>
      <c r="G267" s="1">
        <v>0.997</v>
      </c>
      <c r="H267" s="1">
        <v>43</v>
      </c>
      <c r="I267" s="1">
        <v>0</v>
      </c>
      <c r="J267" s="1" t="str">
        <f>IFERROR(VLOOKUP(K267,[1]diabetes_Recognition!$A:$B,2,FALSE),"Not Sampled")</f>
        <v>Not Sampled</v>
      </c>
      <c r="K267" s="1">
        <v>265</v>
      </c>
      <c r="L267" s="1" t="str">
        <f>LOOKUP(A267,Sheet2!$D$4:$E$9)</f>
        <v>5-7</v>
      </c>
      <c r="M267" t="str">
        <f>LOOKUP(B267,Sheet2!$G$4:$H$9)</f>
        <v>1-99</v>
      </c>
      <c r="N267" t="str">
        <f>LOOKUP(C267,Sheet2!$J$4:$K$8)</f>
        <v>70-79</v>
      </c>
      <c r="O267" t="str">
        <f>LOOKUP(D267,Sheet2!$M$4:$N$8)</f>
        <v>10-30</v>
      </c>
      <c r="P267" t="str">
        <f>LOOKUP(E267,Sheet2!$P$4:$Q$9)</f>
        <v>1-99</v>
      </c>
      <c r="Q267" t="str">
        <f>LOOKUP(F267,Sheet2!$S$4:$T$8)</f>
        <v>31-35</v>
      </c>
      <c r="R267" t="str">
        <f>LOOKUP(G267,Sheet2!$V$4:$W$7)</f>
        <v>0.7+</v>
      </c>
      <c r="S267" t="str">
        <f>LOOKUP(H267,Sheet2!$Z$4:$AA$7)</f>
        <v>36-45</v>
      </c>
      <c r="T267" t="str">
        <f t="shared" si="12"/>
        <v>Negative</v>
      </c>
      <c r="U267" t="str">
        <f t="shared" si="13"/>
        <v>Not Sampled</v>
      </c>
      <c r="V267" s="1" t="str">
        <f t="shared" si="14"/>
        <v>Not Sampled</v>
      </c>
    </row>
    <row r="268" spans="1:22" x14ac:dyDescent="0.25">
      <c r="A268" s="1">
        <v>0</v>
      </c>
      <c r="B268" s="1">
        <v>138</v>
      </c>
      <c r="C268" s="1">
        <v>0</v>
      </c>
      <c r="D268" s="1">
        <v>0</v>
      </c>
      <c r="E268" s="1">
        <v>0</v>
      </c>
      <c r="F268" s="1">
        <v>36.299999999999997</v>
      </c>
      <c r="G268" s="1">
        <v>0.93300000000000005</v>
      </c>
      <c r="H268" s="1">
        <v>25</v>
      </c>
      <c r="I268" s="1">
        <v>1</v>
      </c>
      <c r="J268" s="1" t="str">
        <f>IFERROR(VLOOKUP(K268,[1]diabetes_Recognition!$A:$B,2,FALSE),"Not Sampled")</f>
        <v>Not Sampled</v>
      </c>
      <c r="K268" s="1">
        <v>266</v>
      </c>
      <c r="L268" s="1">
        <f>LOOKUP(A268,Sheet2!$D$4:$E$9)</f>
        <v>0</v>
      </c>
      <c r="M268" t="str">
        <f>LOOKUP(B268,Sheet2!$G$4:$H$9)</f>
        <v>126-150</v>
      </c>
      <c r="N268" t="str">
        <f>LOOKUP(C268,Sheet2!$J$4:$K$8)</f>
        <v>Unknown</v>
      </c>
      <c r="O268" t="str">
        <f>LOOKUP(D268,Sheet2!$M$4:$N$8)</f>
        <v>Unknown</v>
      </c>
      <c r="P268" t="str">
        <f>LOOKUP(E268,Sheet2!$P$4:$Q$9)</f>
        <v>Unknown</v>
      </c>
      <c r="Q268" t="str">
        <f>LOOKUP(F268,Sheet2!$S$4:$T$8)</f>
        <v>36+</v>
      </c>
      <c r="R268" t="str">
        <f>LOOKUP(G268,Sheet2!$V$4:$W$7)</f>
        <v>0.7+</v>
      </c>
      <c r="S268" t="str">
        <f>LOOKUP(H268,Sheet2!$Z$4:$AA$7)</f>
        <v>&lt;=25</v>
      </c>
      <c r="T268" t="str">
        <f t="shared" si="12"/>
        <v>Positive</v>
      </c>
      <c r="U268" t="str">
        <f t="shared" si="13"/>
        <v>Not Sampled</v>
      </c>
      <c r="V268" s="1" t="str">
        <f t="shared" si="14"/>
        <v>Not Sampled</v>
      </c>
    </row>
    <row r="269" spans="1:22" x14ac:dyDescent="0.25">
      <c r="A269" s="1">
        <v>2</v>
      </c>
      <c r="B269" s="1">
        <v>128</v>
      </c>
      <c r="C269" s="1">
        <v>64</v>
      </c>
      <c r="D269" s="1">
        <v>42</v>
      </c>
      <c r="E269" s="1">
        <v>0</v>
      </c>
      <c r="F269" s="1">
        <v>40</v>
      </c>
      <c r="G269" s="1">
        <v>1.101</v>
      </c>
      <c r="H269" s="1">
        <v>24</v>
      </c>
      <c r="I269" s="1">
        <v>0</v>
      </c>
      <c r="J269" s="1">
        <f>IFERROR(VLOOKUP(K269,[1]diabetes_Recognition!$A:$B,2,FALSE),"Not Sampled")</f>
        <v>1</v>
      </c>
      <c r="K269" s="1">
        <v>267</v>
      </c>
      <c r="L269" s="1">
        <f>LOOKUP(A269,Sheet2!$D$4:$E$9)</f>
        <v>2</v>
      </c>
      <c r="M269" t="str">
        <f>LOOKUP(B269,Sheet2!$G$4:$H$9)</f>
        <v>126-150</v>
      </c>
      <c r="N269" t="str">
        <f>LOOKUP(C269,Sheet2!$J$4:$K$8)</f>
        <v>60-69</v>
      </c>
      <c r="O269" t="str">
        <f>LOOKUP(D269,Sheet2!$M$4:$N$8)</f>
        <v>40+</v>
      </c>
      <c r="P269" t="str">
        <f>LOOKUP(E269,Sheet2!$P$4:$Q$9)</f>
        <v>Unknown</v>
      </c>
      <c r="Q269" t="str">
        <f>LOOKUP(F269,Sheet2!$S$4:$T$8)</f>
        <v>36+</v>
      </c>
      <c r="R269" t="str">
        <f>LOOKUP(G269,Sheet2!$V$4:$W$7)</f>
        <v>0.7+</v>
      </c>
      <c r="S269" t="str">
        <f>LOOKUP(H269,Sheet2!$Z$4:$AA$7)</f>
        <v>&lt;=25</v>
      </c>
      <c r="T269" t="str">
        <f t="shared" si="12"/>
        <v>Negative</v>
      </c>
      <c r="U269" t="str">
        <f t="shared" si="13"/>
        <v>Positive</v>
      </c>
      <c r="V269" s="1" t="str">
        <f t="shared" si="14"/>
        <v>Inaccurate Prediction</v>
      </c>
    </row>
    <row r="270" spans="1:22" x14ac:dyDescent="0.25">
      <c r="A270" s="1">
        <v>0</v>
      </c>
      <c r="B270" s="1">
        <v>102</v>
      </c>
      <c r="C270" s="1">
        <v>52</v>
      </c>
      <c r="D270" s="1">
        <v>0</v>
      </c>
      <c r="E270" s="1">
        <v>0</v>
      </c>
      <c r="F270" s="1">
        <v>25.1</v>
      </c>
      <c r="G270" s="1">
        <v>7.8E-2</v>
      </c>
      <c r="H270" s="1">
        <v>21</v>
      </c>
      <c r="I270" s="1">
        <v>0</v>
      </c>
      <c r="J270" s="1">
        <f>IFERROR(VLOOKUP(K270,[1]diabetes_Recognition!$A:$B,2,FALSE),"Not Sampled")</f>
        <v>0</v>
      </c>
      <c r="K270" s="1">
        <v>268</v>
      </c>
      <c r="L270" s="1">
        <f>LOOKUP(A270,Sheet2!$D$4:$E$9)</f>
        <v>0</v>
      </c>
      <c r="M270" t="str">
        <f>LOOKUP(B270,Sheet2!$G$4:$H$9)</f>
        <v>100-125</v>
      </c>
      <c r="N270" t="str">
        <f>LOOKUP(C270,Sheet2!$J$4:$K$8)</f>
        <v>1-59</v>
      </c>
      <c r="O270" t="str">
        <f>LOOKUP(D270,Sheet2!$M$4:$N$8)</f>
        <v>Unknown</v>
      </c>
      <c r="P270" t="str">
        <f>LOOKUP(E270,Sheet2!$P$4:$Q$9)</f>
        <v>Unknown</v>
      </c>
      <c r="Q270" t="str">
        <f>LOOKUP(F270,Sheet2!$S$4:$T$8)</f>
        <v>1-25</v>
      </c>
      <c r="R270" t="str">
        <f>LOOKUP(G270,Sheet2!$V$4:$W$7)</f>
        <v>0.0 - 0.249</v>
      </c>
      <c r="S270" t="str">
        <f>LOOKUP(H270,Sheet2!$Z$4:$AA$7)</f>
        <v>&lt;=25</v>
      </c>
      <c r="T270" t="str">
        <f t="shared" si="12"/>
        <v>Negative</v>
      </c>
      <c r="U270" t="str">
        <f t="shared" si="13"/>
        <v>Negative</v>
      </c>
      <c r="V270" s="1" t="str">
        <f t="shared" si="14"/>
        <v>Accurate Prediction</v>
      </c>
    </row>
    <row r="271" spans="1:22" x14ac:dyDescent="0.25">
      <c r="A271" s="1">
        <v>2</v>
      </c>
      <c r="B271" s="1">
        <v>146</v>
      </c>
      <c r="C271" s="1">
        <v>0</v>
      </c>
      <c r="D271" s="1">
        <v>0</v>
      </c>
      <c r="E271" s="1">
        <v>0</v>
      </c>
      <c r="F271" s="1">
        <v>27.5</v>
      </c>
      <c r="G271" s="1">
        <v>0.24</v>
      </c>
      <c r="H271" s="1">
        <v>28</v>
      </c>
      <c r="I271" s="1">
        <v>1</v>
      </c>
      <c r="J271" s="1" t="str">
        <f>IFERROR(VLOOKUP(K271,[1]diabetes_Recognition!$A:$B,2,FALSE),"Not Sampled")</f>
        <v>Not Sampled</v>
      </c>
      <c r="K271" s="1">
        <v>269</v>
      </c>
      <c r="L271" s="1">
        <f>LOOKUP(A271,Sheet2!$D$4:$E$9)</f>
        <v>2</v>
      </c>
      <c r="M271" t="str">
        <f>LOOKUP(B271,Sheet2!$G$4:$H$9)</f>
        <v>126-150</v>
      </c>
      <c r="N271" t="str">
        <f>LOOKUP(C271,Sheet2!$J$4:$K$8)</f>
        <v>Unknown</v>
      </c>
      <c r="O271" t="str">
        <f>LOOKUP(D271,Sheet2!$M$4:$N$8)</f>
        <v>Unknown</v>
      </c>
      <c r="P271" t="str">
        <f>LOOKUP(E271,Sheet2!$P$4:$Q$9)</f>
        <v>Unknown</v>
      </c>
      <c r="Q271" t="str">
        <f>LOOKUP(F271,Sheet2!$S$4:$T$8)</f>
        <v>26-30</v>
      </c>
      <c r="R271" t="str">
        <f>LOOKUP(G271,Sheet2!$V$4:$W$7)</f>
        <v>0.0 - 0.249</v>
      </c>
      <c r="S271" t="str">
        <f>LOOKUP(H271,Sheet2!$Z$4:$AA$7)</f>
        <v>26-35</v>
      </c>
      <c r="T271" t="str">
        <f t="shared" si="12"/>
        <v>Positive</v>
      </c>
      <c r="U271" t="str">
        <f t="shared" si="13"/>
        <v>Not Sampled</v>
      </c>
      <c r="V271" s="1" t="str">
        <f t="shared" si="14"/>
        <v>Not Sampled</v>
      </c>
    </row>
    <row r="272" spans="1:22" x14ac:dyDescent="0.25">
      <c r="A272" s="1">
        <v>10</v>
      </c>
      <c r="B272" s="1">
        <v>101</v>
      </c>
      <c r="C272" s="1">
        <v>86</v>
      </c>
      <c r="D272" s="1">
        <v>37</v>
      </c>
      <c r="E272" s="1">
        <v>0</v>
      </c>
      <c r="F272" s="1">
        <v>45.6</v>
      </c>
      <c r="G272" s="1">
        <v>1.1359999999999999</v>
      </c>
      <c r="H272" s="1">
        <v>38</v>
      </c>
      <c r="I272" s="1">
        <v>1</v>
      </c>
      <c r="J272" s="1">
        <f>IFERROR(VLOOKUP(K272,[1]diabetes_Recognition!$A:$B,2,FALSE),"Not Sampled")</f>
        <v>1</v>
      </c>
      <c r="K272" s="1">
        <v>270</v>
      </c>
      <c r="L272" s="1" t="str">
        <f>LOOKUP(A272,Sheet2!$D$4:$E$9)</f>
        <v>8+</v>
      </c>
      <c r="M272" t="str">
        <f>LOOKUP(B272,Sheet2!$G$4:$H$9)</f>
        <v>100-125</v>
      </c>
      <c r="N272" t="str">
        <f>LOOKUP(C272,Sheet2!$J$4:$K$8)</f>
        <v>80+</v>
      </c>
      <c r="O272" t="str">
        <f>LOOKUP(D272,Sheet2!$M$4:$N$8)</f>
        <v>30-39</v>
      </c>
      <c r="P272" t="str">
        <f>LOOKUP(E272,Sheet2!$P$4:$Q$9)</f>
        <v>Unknown</v>
      </c>
      <c r="Q272" t="str">
        <f>LOOKUP(F272,Sheet2!$S$4:$T$8)</f>
        <v>36+</v>
      </c>
      <c r="R272" t="str">
        <f>LOOKUP(G272,Sheet2!$V$4:$W$7)</f>
        <v>0.7+</v>
      </c>
      <c r="S272" t="str">
        <f>LOOKUP(H272,Sheet2!$Z$4:$AA$7)</f>
        <v>36-45</v>
      </c>
      <c r="T272" t="str">
        <f t="shared" si="12"/>
        <v>Positive</v>
      </c>
      <c r="U272" t="str">
        <f t="shared" si="13"/>
        <v>Positive</v>
      </c>
      <c r="V272" s="1" t="str">
        <f t="shared" si="14"/>
        <v>Accurate Prediction</v>
      </c>
    </row>
    <row r="273" spans="1:22" x14ac:dyDescent="0.25">
      <c r="A273" s="1">
        <v>2</v>
      </c>
      <c r="B273" s="1">
        <v>108</v>
      </c>
      <c r="C273" s="1">
        <v>62</v>
      </c>
      <c r="D273" s="1">
        <v>32</v>
      </c>
      <c r="E273" s="1">
        <v>56</v>
      </c>
      <c r="F273" s="1">
        <v>25.2</v>
      </c>
      <c r="G273" s="1">
        <v>0.128</v>
      </c>
      <c r="H273" s="1">
        <v>21</v>
      </c>
      <c r="I273" s="1">
        <v>0</v>
      </c>
      <c r="J273" s="1" t="str">
        <f>IFERROR(VLOOKUP(K273,[1]diabetes_Recognition!$A:$B,2,FALSE),"Not Sampled")</f>
        <v>Not Sampled</v>
      </c>
      <c r="K273" s="1">
        <v>271</v>
      </c>
      <c r="L273" s="1">
        <f>LOOKUP(A273,Sheet2!$D$4:$E$9)</f>
        <v>2</v>
      </c>
      <c r="M273" t="str">
        <f>LOOKUP(B273,Sheet2!$G$4:$H$9)</f>
        <v>100-125</v>
      </c>
      <c r="N273" t="str">
        <f>LOOKUP(C273,Sheet2!$J$4:$K$8)</f>
        <v>60-69</v>
      </c>
      <c r="O273" t="str">
        <f>LOOKUP(D273,Sheet2!$M$4:$N$8)</f>
        <v>30-39</v>
      </c>
      <c r="P273" t="str">
        <f>LOOKUP(E273,Sheet2!$P$4:$Q$9)</f>
        <v>1-99</v>
      </c>
      <c r="Q273" t="str">
        <f>LOOKUP(F273,Sheet2!$S$4:$T$8)</f>
        <v>1-25</v>
      </c>
      <c r="R273" t="str">
        <f>LOOKUP(G273,Sheet2!$V$4:$W$7)</f>
        <v>0.0 - 0.249</v>
      </c>
      <c r="S273" t="str">
        <f>LOOKUP(H273,Sheet2!$Z$4:$AA$7)</f>
        <v>&lt;=25</v>
      </c>
      <c r="T273" t="str">
        <f t="shared" si="12"/>
        <v>Negative</v>
      </c>
      <c r="U273" t="str">
        <f t="shared" si="13"/>
        <v>Not Sampled</v>
      </c>
      <c r="V273" s="1" t="str">
        <f t="shared" si="14"/>
        <v>Not Sampled</v>
      </c>
    </row>
    <row r="274" spans="1:22" x14ac:dyDescent="0.25">
      <c r="A274" s="1">
        <v>3</v>
      </c>
      <c r="B274" s="1">
        <v>122</v>
      </c>
      <c r="C274" s="1">
        <v>78</v>
      </c>
      <c r="D274" s="1">
        <v>0</v>
      </c>
      <c r="E274" s="1">
        <v>0</v>
      </c>
      <c r="F274" s="1">
        <v>23</v>
      </c>
      <c r="G274" s="1">
        <v>0.254</v>
      </c>
      <c r="H274" s="1">
        <v>40</v>
      </c>
      <c r="I274" s="1">
        <v>0</v>
      </c>
      <c r="J274" s="1" t="str">
        <f>IFERROR(VLOOKUP(K274,[1]diabetes_Recognition!$A:$B,2,FALSE),"Not Sampled")</f>
        <v>Not Sampled</v>
      </c>
      <c r="K274" s="1">
        <v>272</v>
      </c>
      <c r="L274" s="1" t="str">
        <f>LOOKUP(A274,Sheet2!$D$4:$E$9)</f>
        <v>3-4</v>
      </c>
      <c r="M274" t="str">
        <f>LOOKUP(B274,Sheet2!$G$4:$H$9)</f>
        <v>100-125</v>
      </c>
      <c r="N274" t="str">
        <f>LOOKUP(C274,Sheet2!$J$4:$K$8)</f>
        <v>70-79</v>
      </c>
      <c r="O274" t="str">
        <f>LOOKUP(D274,Sheet2!$M$4:$N$8)</f>
        <v>Unknown</v>
      </c>
      <c r="P274" t="str">
        <f>LOOKUP(E274,Sheet2!$P$4:$Q$9)</f>
        <v>Unknown</v>
      </c>
      <c r="Q274" t="str">
        <f>LOOKUP(F274,Sheet2!$S$4:$T$8)</f>
        <v>1-25</v>
      </c>
      <c r="R274" t="str">
        <f>LOOKUP(G274,Sheet2!$V$4:$W$7)</f>
        <v>0.25 - 0.39</v>
      </c>
      <c r="S274" t="str">
        <f>LOOKUP(H274,Sheet2!$Z$4:$AA$7)</f>
        <v>36-45</v>
      </c>
      <c r="T274" t="str">
        <f t="shared" si="12"/>
        <v>Negative</v>
      </c>
      <c r="U274" t="str">
        <f t="shared" si="13"/>
        <v>Not Sampled</v>
      </c>
      <c r="V274" s="1" t="str">
        <f t="shared" si="14"/>
        <v>Not Sampled</v>
      </c>
    </row>
    <row r="275" spans="1:22" x14ac:dyDescent="0.25">
      <c r="A275" s="1">
        <v>1</v>
      </c>
      <c r="B275" s="1">
        <v>71</v>
      </c>
      <c r="C275" s="1">
        <v>78</v>
      </c>
      <c r="D275" s="1">
        <v>50</v>
      </c>
      <c r="E275" s="1">
        <v>45</v>
      </c>
      <c r="F275" s="1">
        <v>33.200000000000003</v>
      </c>
      <c r="G275" s="1">
        <v>0.42199999999999999</v>
      </c>
      <c r="H275" s="1">
        <v>21</v>
      </c>
      <c r="I275" s="1">
        <v>0</v>
      </c>
      <c r="J275" s="1" t="str">
        <f>IFERROR(VLOOKUP(K275,[1]diabetes_Recognition!$A:$B,2,FALSE),"Not Sampled")</f>
        <v>Not Sampled</v>
      </c>
      <c r="K275" s="1">
        <v>273</v>
      </c>
      <c r="L275" s="1">
        <f>LOOKUP(A275,Sheet2!$D$4:$E$9)</f>
        <v>1</v>
      </c>
      <c r="M275" t="str">
        <f>LOOKUP(B275,Sheet2!$G$4:$H$9)</f>
        <v>1-99</v>
      </c>
      <c r="N275" t="str">
        <f>LOOKUP(C275,Sheet2!$J$4:$K$8)</f>
        <v>70-79</v>
      </c>
      <c r="O275" t="str">
        <f>LOOKUP(D275,Sheet2!$M$4:$N$8)</f>
        <v>40+</v>
      </c>
      <c r="P275" t="str">
        <f>LOOKUP(E275,Sheet2!$P$4:$Q$9)</f>
        <v>1-99</v>
      </c>
      <c r="Q275" t="str">
        <f>LOOKUP(F275,Sheet2!$S$4:$T$8)</f>
        <v>31-35</v>
      </c>
      <c r="R275" t="str">
        <f>LOOKUP(G275,Sheet2!$V$4:$W$7)</f>
        <v>0.4 - 0.69</v>
      </c>
      <c r="S275" t="str">
        <f>LOOKUP(H275,Sheet2!$Z$4:$AA$7)</f>
        <v>&lt;=25</v>
      </c>
      <c r="T275" t="str">
        <f t="shared" si="12"/>
        <v>Negative</v>
      </c>
      <c r="U275" t="str">
        <f t="shared" si="13"/>
        <v>Not Sampled</v>
      </c>
      <c r="V275" s="1" t="str">
        <f t="shared" si="14"/>
        <v>Not Sampled</v>
      </c>
    </row>
    <row r="276" spans="1:22" x14ac:dyDescent="0.25">
      <c r="A276" s="1">
        <v>13</v>
      </c>
      <c r="B276" s="1">
        <v>106</v>
      </c>
      <c r="C276" s="1">
        <v>70</v>
      </c>
      <c r="D276" s="1">
        <v>0</v>
      </c>
      <c r="E276" s="1">
        <v>0</v>
      </c>
      <c r="F276" s="1">
        <v>34.200000000000003</v>
      </c>
      <c r="G276" s="1">
        <v>0.251</v>
      </c>
      <c r="H276" s="1">
        <v>52</v>
      </c>
      <c r="I276" s="1">
        <v>0</v>
      </c>
      <c r="J276" s="1" t="str">
        <f>IFERROR(VLOOKUP(K276,[1]diabetes_Recognition!$A:$B,2,FALSE),"Not Sampled")</f>
        <v>Not Sampled</v>
      </c>
      <c r="K276" s="1">
        <v>274</v>
      </c>
      <c r="L276" s="1" t="str">
        <f>LOOKUP(A276,Sheet2!$D$4:$E$9)</f>
        <v>8+</v>
      </c>
      <c r="M276" t="str">
        <f>LOOKUP(B276,Sheet2!$G$4:$H$9)</f>
        <v>100-125</v>
      </c>
      <c r="N276" t="str">
        <f>LOOKUP(C276,Sheet2!$J$4:$K$8)</f>
        <v>70-79</v>
      </c>
      <c r="O276" t="str">
        <f>LOOKUP(D276,Sheet2!$M$4:$N$8)</f>
        <v>Unknown</v>
      </c>
      <c r="P276" t="str">
        <f>LOOKUP(E276,Sheet2!$P$4:$Q$9)</f>
        <v>Unknown</v>
      </c>
      <c r="Q276" t="str">
        <f>LOOKUP(F276,Sheet2!$S$4:$T$8)</f>
        <v>31-35</v>
      </c>
      <c r="R276" t="str">
        <f>LOOKUP(G276,Sheet2!$V$4:$W$7)</f>
        <v>0.25 - 0.39</v>
      </c>
      <c r="S276" t="str">
        <f>LOOKUP(H276,Sheet2!$Z$4:$AA$7)</f>
        <v>46+</v>
      </c>
      <c r="T276" t="str">
        <f t="shared" si="12"/>
        <v>Negative</v>
      </c>
      <c r="U276" t="str">
        <f t="shared" si="13"/>
        <v>Not Sampled</v>
      </c>
      <c r="V276" s="1" t="str">
        <f t="shared" si="14"/>
        <v>Not Sampled</v>
      </c>
    </row>
    <row r="277" spans="1:22" x14ac:dyDescent="0.25">
      <c r="A277" s="1">
        <v>2</v>
      </c>
      <c r="B277" s="1">
        <v>100</v>
      </c>
      <c r="C277" s="1">
        <v>70</v>
      </c>
      <c r="D277" s="1">
        <v>52</v>
      </c>
      <c r="E277" s="1">
        <v>57</v>
      </c>
      <c r="F277" s="1">
        <v>40.5</v>
      </c>
      <c r="G277" s="1">
        <v>0.67700000000000005</v>
      </c>
      <c r="H277" s="1">
        <v>25</v>
      </c>
      <c r="I277" s="1">
        <v>0</v>
      </c>
      <c r="J277" s="1">
        <f>IFERROR(VLOOKUP(K277,[1]diabetes_Recognition!$A:$B,2,FALSE),"Not Sampled")</f>
        <v>0</v>
      </c>
      <c r="K277" s="1">
        <v>275</v>
      </c>
      <c r="L277" s="1">
        <f>LOOKUP(A277,Sheet2!$D$4:$E$9)</f>
        <v>2</v>
      </c>
      <c r="M277" t="str">
        <f>LOOKUP(B277,Sheet2!$G$4:$H$9)</f>
        <v>100-125</v>
      </c>
      <c r="N277" t="str">
        <f>LOOKUP(C277,Sheet2!$J$4:$K$8)</f>
        <v>70-79</v>
      </c>
      <c r="O277" t="str">
        <f>LOOKUP(D277,Sheet2!$M$4:$N$8)</f>
        <v>40+</v>
      </c>
      <c r="P277" t="str">
        <f>LOOKUP(E277,Sheet2!$P$4:$Q$9)</f>
        <v>1-99</v>
      </c>
      <c r="Q277" t="str">
        <f>LOOKUP(F277,Sheet2!$S$4:$T$8)</f>
        <v>36+</v>
      </c>
      <c r="R277" t="str">
        <f>LOOKUP(G277,Sheet2!$V$4:$W$7)</f>
        <v>0.4 - 0.69</v>
      </c>
      <c r="S277" t="str">
        <f>LOOKUP(H277,Sheet2!$Z$4:$AA$7)</f>
        <v>&lt;=25</v>
      </c>
      <c r="T277" t="str">
        <f t="shared" si="12"/>
        <v>Negative</v>
      </c>
      <c r="U277" t="str">
        <f t="shared" si="13"/>
        <v>Negative</v>
      </c>
      <c r="V277" s="1" t="str">
        <f t="shared" si="14"/>
        <v>Accurate Prediction</v>
      </c>
    </row>
    <row r="278" spans="1:22" x14ac:dyDescent="0.25">
      <c r="A278" s="1">
        <v>7</v>
      </c>
      <c r="B278" s="1">
        <v>106</v>
      </c>
      <c r="C278" s="1">
        <v>60</v>
      </c>
      <c r="D278" s="1">
        <v>24</v>
      </c>
      <c r="E278" s="1">
        <v>0</v>
      </c>
      <c r="F278" s="1">
        <v>26.5</v>
      </c>
      <c r="G278" s="1">
        <v>0.29599999999999999</v>
      </c>
      <c r="H278" s="1">
        <v>29</v>
      </c>
      <c r="I278" s="1">
        <v>1</v>
      </c>
      <c r="J278" s="1" t="str">
        <f>IFERROR(VLOOKUP(K278,[1]diabetes_Recognition!$A:$B,2,FALSE),"Not Sampled")</f>
        <v>Not Sampled</v>
      </c>
      <c r="K278" s="1">
        <v>276</v>
      </c>
      <c r="L278" s="1" t="str">
        <f>LOOKUP(A278,Sheet2!$D$4:$E$9)</f>
        <v>5-7</v>
      </c>
      <c r="M278" t="str">
        <f>LOOKUP(B278,Sheet2!$G$4:$H$9)</f>
        <v>100-125</v>
      </c>
      <c r="N278" t="str">
        <f>LOOKUP(C278,Sheet2!$J$4:$K$8)</f>
        <v>60-69</v>
      </c>
      <c r="O278" t="str">
        <f>LOOKUP(D278,Sheet2!$M$4:$N$8)</f>
        <v>10-30</v>
      </c>
      <c r="P278" t="str">
        <f>LOOKUP(E278,Sheet2!$P$4:$Q$9)</f>
        <v>Unknown</v>
      </c>
      <c r="Q278" t="str">
        <f>LOOKUP(F278,Sheet2!$S$4:$T$8)</f>
        <v>26-30</v>
      </c>
      <c r="R278" t="str">
        <f>LOOKUP(G278,Sheet2!$V$4:$W$7)</f>
        <v>0.25 - 0.39</v>
      </c>
      <c r="S278" t="str">
        <f>LOOKUP(H278,Sheet2!$Z$4:$AA$7)</f>
        <v>26-35</v>
      </c>
      <c r="T278" t="str">
        <f t="shared" si="12"/>
        <v>Positive</v>
      </c>
      <c r="U278" t="str">
        <f t="shared" si="13"/>
        <v>Not Sampled</v>
      </c>
      <c r="V278" s="1" t="str">
        <f t="shared" si="14"/>
        <v>Not Sampled</v>
      </c>
    </row>
    <row r="279" spans="1:22" x14ac:dyDescent="0.25">
      <c r="A279" s="1">
        <v>0</v>
      </c>
      <c r="B279" s="1">
        <v>104</v>
      </c>
      <c r="C279" s="1">
        <v>64</v>
      </c>
      <c r="D279" s="1">
        <v>23</v>
      </c>
      <c r="E279" s="1">
        <v>116</v>
      </c>
      <c r="F279" s="1">
        <v>27.8</v>
      </c>
      <c r="G279" s="1">
        <v>0.45400000000000001</v>
      </c>
      <c r="H279" s="1">
        <v>23</v>
      </c>
      <c r="I279" s="1">
        <v>0</v>
      </c>
      <c r="J279" s="1" t="str">
        <f>IFERROR(VLOOKUP(K279,[1]diabetes_Recognition!$A:$B,2,FALSE),"Not Sampled")</f>
        <v>Not Sampled</v>
      </c>
      <c r="K279" s="1">
        <v>277</v>
      </c>
      <c r="L279" s="1">
        <f>LOOKUP(A279,Sheet2!$D$4:$E$9)</f>
        <v>0</v>
      </c>
      <c r="M279" t="str">
        <f>LOOKUP(B279,Sheet2!$G$4:$H$9)</f>
        <v>100-125</v>
      </c>
      <c r="N279" t="str">
        <f>LOOKUP(C279,Sheet2!$J$4:$K$8)</f>
        <v>60-69</v>
      </c>
      <c r="O279" t="str">
        <f>LOOKUP(D279,Sheet2!$M$4:$N$8)</f>
        <v>10-30</v>
      </c>
      <c r="P279" t="str">
        <f>LOOKUP(E279,Sheet2!$P$4:$Q$9)</f>
        <v>100-199</v>
      </c>
      <c r="Q279" t="str">
        <f>LOOKUP(F279,Sheet2!$S$4:$T$8)</f>
        <v>26-30</v>
      </c>
      <c r="R279" t="str">
        <f>LOOKUP(G279,Sheet2!$V$4:$W$7)</f>
        <v>0.4 - 0.69</v>
      </c>
      <c r="S279" t="str">
        <f>LOOKUP(H279,Sheet2!$Z$4:$AA$7)</f>
        <v>&lt;=25</v>
      </c>
      <c r="T279" t="str">
        <f t="shared" si="12"/>
        <v>Negative</v>
      </c>
      <c r="U279" t="str">
        <f t="shared" si="13"/>
        <v>Not Sampled</v>
      </c>
      <c r="V279" s="1" t="str">
        <f t="shared" si="14"/>
        <v>Not Sampled</v>
      </c>
    </row>
    <row r="280" spans="1:22" x14ac:dyDescent="0.25">
      <c r="A280" s="1">
        <v>5</v>
      </c>
      <c r="B280" s="1">
        <v>114</v>
      </c>
      <c r="C280" s="1">
        <v>74</v>
      </c>
      <c r="D280" s="1">
        <v>0</v>
      </c>
      <c r="E280" s="1">
        <v>0</v>
      </c>
      <c r="F280" s="1">
        <v>24.9</v>
      </c>
      <c r="G280" s="1">
        <v>0.74399999999999999</v>
      </c>
      <c r="H280" s="1">
        <v>57</v>
      </c>
      <c r="I280" s="1">
        <v>0</v>
      </c>
      <c r="J280" s="1" t="str">
        <f>IFERROR(VLOOKUP(K280,[1]diabetes_Recognition!$A:$B,2,FALSE),"Not Sampled")</f>
        <v>Not Sampled</v>
      </c>
      <c r="K280" s="1">
        <v>278</v>
      </c>
      <c r="L280" s="1" t="str">
        <f>LOOKUP(A280,Sheet2!$D$4:$E$9)</f>
        <v>5-7</v>
      </c>
      <c r="M280" t="str">
        <f>LOOKUP(B280,Sheet2!$G$4:$H$9)</f>
        <v>100-125</v>
      </c>
      <c r="N280" t="str">
        <f>LOOKUP(C280,Sheet2!$J$4:$K$8)</f>
        <v>70-79</v>
      </c>
      <c r="O280" t="str">
        <f>LOOKUP(D280,Sheet2!$M$4:$N$8)</f>
        <v>Unknown</v>
      </c>
      <c r="P280" t="str">
        <f>LOOKUP(E280,Sheet2!$P$4:$Q$9)</f>
        <v>Unknown</v>
      </c>
      <c r="Q280" t="str">
        <f>LOOKUP(F280,Sheet2!$S$4:$T$8)</f>
        <v>1-25</v>
      </c>
      <c r="R280" t="str">
        <f>LOOKUP(G280,Sheet2!$V$4:$W$7)</f>
        <v>0.7+</v>
      </c>
      <c r="S280" t="str">
        <f>LOOKUP(H280,Sheet2!$Z$4:$AA$7)</f>
        <v>46+</v>
      </c>
      <c r="T280" t="str">
        <f t="shared" si="12"/>
        <v>Negative</v>
      </c>
      <c r="U280" t="str">
        <f t="shared" si="13"/>
        <v>Not Sampled</v>
      </c>
      <c r="V280" s="1" t="str">
        <f t="shared" si="14"/>
        <v>Not Sampled</v>
      </c>
    </row>
    <row r="281" spans="1:22" x14ac:dyDescent="0.25">
      <c r="A281" s="1">
        <v>2</v>
      </c>
      <c r="B281" s="1">
        <v>108</v>
      </c>
      <c r="C281" s="1">
        <v>62</v>
      </c>
      <c r="D281" s="1">
        <v>10</v>
      </c>
      <c r="E281" s="1">
        <v>278</v>
      </c>
      <c r="F281" s="1">
        <v>25.3</v>
      </c>
      <c r="G281" s="1">
        <v>0.88100000000000001</v>
      </c>
      <c r="H281" s="1">
        <v>22</v>
      </c>
      <c r="I281" s="1">
        <v>0</v>
      </c>
      <c r="J281" s="1" t="str">
        <f>IFERROR(VLOOKUP(K281,[1]diabetes_Recognition!$A:$B,2,FALSE),"Not Sampled")</f>
        <v>Not Sampled</v>
      </c>
      <c r="K281" s="1">
        <v>279</v>
      </c>
      <c r="L281" s="1">
        <f>LOOKUP(A281,Sheet2!$D$4:$E$9)</f>
        <v>2</v>
      </c>
      <c r="M281" t="str">
        <f>LOOKUP(B281,Sheet2!$G$4:$H$9)</f>
        <v>100-125</v>
      </c>
      <c r="N281" t="str">
        <f>LOOKUP(C281,Sheet2!$J$4:$K$8)</f>
        <v>60-69</v>
      </c>
      <c r="O281" t="str">
        <f>LOOKUP(D281,Sheet2!$M$4:$N$8)</f>
        <v>10-30</v>
      </c>
      <c r="P281" t="str">
        <f>LOOKUP(E281,Sheet2!$P$4:$Q$9)</f>
        <v>200-399</v>
      </c>
      <c r="Q281" t="str">
        <f>LOOKUP(F281,Sheet2!$S$4:$T$8)</f>
        <v>1-25</v>
      </c>
      <c r="R281" t="str">
        <f>LOOKUP(G281,Sheet2!$V$4:$W$7)</f>
        <v>0.7+</v>
      </c>
      <c r="S281" t="str">
        <f>LOOKUP(H281,Sheet2!$Z$4:$AA$7)</f>
        <v>&lt;=25</v>
      </c>
      <c r="T281" t="str">
        <f t="shared" si="12"/>
        <v>Negative</v>
      </c>
      <c r="U281" t="str">
        <f t="shared" si="13"/>
        <v>Not Sampled</v>
      </c>
      <c r="V281" s="1" t="str">
        <f t="shared" si="14"/>
        <v>Not Sampled</v>
      </c>
    </row>
    <row r="282" spans="1:22" x14ac:dyDescent="0.25">
      <c r="A282" s="1">
        <v>0</v>
      </c>
      <c r="B282" s="1">
        <v>146</v>
      </c>
      <c r="C282" s="1">
        <v>70</v>
      </c>
      <c r="D282" s="1">
        <v>0</v>
      </c>
      <c r="E282" s="1">
        <v>0</v>
      </c>
      <c r="F282" s="1">
        <v>37.9</v>
      </c>
      <c r="G282" s="1">
        <v>0.33400000000000002</v>
      </c>
      <c r="H282" s="1">
        <v>28</v>
      </c>
      <c r="I282" s="1">
        <v>1</v>
      </c>
      <c r="J282" s="1" t="str">
        <f>IFERROR(VLOOKUP(K282,[1]diabetes_Recognition!$A:$B,2,FALSE),"Not Sampled")</f>
        <v>Not Sampled</v>
      </c>
      <c r="K282" s="1">
        <v>280</v>
      </c>
      <c r="L282" s="1">
        <f>LOOKUP(A282,Sheet2!$D$4:$E$9)</f>
        <v>0</v>
      </c>
      <c r="M282" t="str">
        <f>LOOKUP(B282,Sheet2!$G$4:$H$9)</f>
        <v>126-150</v>
      </c>
      <c r="N282" t="str">
        <f>LOOKUP(C282,Sheet2!$J$4:$K$8)</f>
        <v>70-79</v>
      </c>
      <c r="O282" t="str">
        <f>LOOKUP(D282,Sheet2!$M$4:$N$8)</f>
        <v>Unknown</v>
      </c>
      <c r="P282" t="str">
        <f>LOOKUP(E282,Sheet2!$P$4:$Q$9)</f>
        <v>Unknown</v>
      </c>
      <c r="Q282" t="str">
        <f>LOOKUP(F282,Sheet2!$S$4:$T$8)</f>
        <v>36+</v>
      </c>
      <c r="R282" t="str">
        <f>LOOKUP(G282,Sheet2!$V$4:$W$7)</f>
        <v>0.25 - 0.39</v>
      </c>
      <c r="S282" t="str">
        <f>LOOKUP(H282,Sheet2!$Z$4:$AA$7)</f>
        <v>26-35</v>
      </c>
      <c r="T282" t="str">
        <f t="shared" si="12"/>
        <v>Positive</v>
      </c>
      <c r="U282" t="str">
        <f t="shared" si="13"/>
        <v>Not Sampled</v>
      </c>
      <c r="V282" s="1" t="str">
        <f t="shared" si="14"/>
        <v>Not Sampled</v>
      </c>
    </row>
    <row r="283" spans="1:22" x14ac:dyDescent="0.25">
      <c r="A283" s="1">
        <v>10</v>
      </c>
      <c r="B283" s="1">
        <v>129</v>
      </c>
      <c r="C283" s="1">
        <v>76</v>
      </c>
      <c r="D283" s="1">
        <v>28</v>
      </c>
      <c r="E283" s="1">
        <v>122</v>
      </c>
      <c r="F283" s="1">
        <v>35.9</v>
      </c>
      <c r="G283" s="1">
        <v>0.28000000000000003</v>
      </c>
      <c r="H283" s="1">
        <v>39</v>
      </c>
      <c r="I283" s="1">
        <v>0</v>
      </c>
      <c r="J283" s="1">
        <f>IFERROR(VLOOKUP(K283,[1]diabetes_Recognition!$A:$B,2,FALSE),"Not Sampled")</f>
        <v>1</v>
      </c>
      <c r="K283" s="1">
        <v>281</v>
      </c>
      <c r="L283" s="1" t="str">
        <f>LOOKUP(A283,Sheet2!$D$4:$E$9)</f>
        <v>8+</v>
      </c>
      <c r="M283" t="str">
        <f>LOOKUP(B283,Sheet2!$G$4:$H$9)</f>
        <v>126-150</v>
      </c>
      <c r="N283" t="str">
        <f>LOOKUP(C283,Sheet2!$J$4:$K$8)</f>
        <v>70-79</v>
      </c>
      <c r="O283" t="str">
        <f>LOOKUP(D283,Sheet2!$M$4:$N$8)</f>
        <v>10-30</v>
      </c>
      <c r="P283" t="str">
        <f>LOOKUP(E283,Sheet2!$P$4:$Q$9)</f>
        <v>100-199</v>
      </c>
      <c r="Q283" t="str">
        <f>LOOKUP(F283,Sheet2!$S$4:$T$8)</f>
        <v>31-35</v>
      </c>
      <c r="R283" t="str">
        <f>LOOKUP(G283,Sheet2!$V$4:$W$7)</f>
        <v>0.25 - 0.39</v>
      </c>
      <c r="S283" t="str">
        <f>LOOKUP(H283,Sheet2!$Z$4:$AA$7)</f>
        <v>36-45</v>
      </c>
      <c r="T283" t="str">
        <f t="shared" si="12"/>
        <v>Negative</v>
      </c>
      <c r="U283" t="str">
        <f t="shared" si="13"/>
        <v>Positive</v>
      </c>
      <c r="V283" s="1" t="str">
        <f t="shared" si="14"/>
        <v>Inaccurate Prediction</v>
      </c>
    </row>
    <row r="284" spans="1:22" x14ac:dyDescent="0.25">
      <c r="A284" s="1">
        <v>7</v>
      </c>
      <c r="B284" s="1">
        <v>133</v>
      </c>
      <c r="C284" s="1">
        <v>88</v>
      </c>
      <c r="D284" s="1">
        <v>15</v>
      </c>
      <c r="E284" s="1">
        <v>155</v>
      </c>
      <c r="F284" s="1">
        <v>32.4</v>
      </c>
      <c r="G284" s="1">
        <v>0.26200000000000001</v>
      </c>
      <c r="H284" s="1">
        <v>37</v>
      </c>
      <c r="I284" s="1">
        <v>0</v>
      </c>
      <c r="J284" s="1">
        <f>IFERROR(VLOOKUP(K284,[1]diabetes_Recognition!$A:$B,2,FALSE),"Not Sampled")</f>
        <v>0</v>
      </c>
      <c r="K284" s="1">
        <v>282</v>
      </c>
      <c r="L284" s="1" t="str">
        <f>LOOKUP(A284,Sheet2!$D$4:$E$9)</f>
        <v>5-7</v>
      </c>
      <c r="M284" t="str">
        <f>LOOKUP(B284,Sheet2!$G$4:$H$9)</f>
        <v>126-150</v>
      </c>
      <c r="N284" t="str">
        <f>LOOKUP(C284,Sheet2!$J$4:$K$8)</f>
        <v>80+</v>
      </c>
      <c r="O284" t="str">
        <f>LOOKUP(D284,Sheet2!$M$4:$N$8)</f>
        <v>10-30</v>
      </c>
      <c r="P284" t="str">
        <f>LOOKUP(E284,Sheet2!$P$4:$Q$9)</f>
        <v>100-199</v>
      </c>
      <c r="Q284" t="str">
        <f>LOOKUP(F284,Sheet2!$S$4:$T$8)</f>
        <v>31-35</v>
      </c>
      <c r="R284" t="str">
        <f>LOOKUP(G284,Sheet2!$V$4:$W$7)</f>
        <v>0.25 - 0.39</v>
      </c>
      <c r="S284" t="str">
        <f>LOOKUP(H284,Sheet2!$Z$4:$AA$7)</f>
        <v>36-45</v>
      </c>
      <c r="T284" t="str">
        <f t="shared" si="12"/>
        <v>Negative</v>
      </c>
      <c r="U284" t="str">
        <f t="shared" si="13"/>
        <v>Negative</v>
      </c>
      <c r="V284" s="1" t="str">
        <f t="shared" si="14"/>
        <v>Accurate Prediction</v>
      </c>
    </row>
    <row r="285" spans="1:22" x14ac:dyDescent="0.25">
      <c r="A285" s="1">
        <v>7</v>
      </c>
      <c r="B285" s="1">
        <v>161</v>
      </c>
      <c r="C285" s="1">
        <v>86</v>
      </c>
      <c r="D285" s="1">
        <v>0</v>
      </c>
      <c r="E285" s="1">
        <v>0</v>
      </c>
      <c r="F285" s="1">
        <v>30.4</v>
      </c>
      <c r="G285" s="1">
        <v>0.16500000000000001</v>
      </c>
      <c r="H285" s="1">
        <v>47</v>
      </c>
      <c r="I285" s="1">
        <v>1</v>
      </c>
      <c r="J285" s="1">
        <f>IFERROR(VLOOKUP(K285,[1]diabetes_Recognition!$A:$B,2,FALSE),"Not Sampled")</f>
        <v>1</v>
      </c>
      <c r="K285" s="1">
        <v>283</v>
      </c>
      <c r="L285" s="1" t="str">
        <f>LOOKUP(A285,Sheet2!$D$4:$E$9)</f>
        <v>5-7</v>
      </c>
      <c r="M285" t="str">
        <f>LOOKUP(B285,Sheet2!$G$4:$H$9)</f>
        <v>151-175</v>
      </c>
      <c r="N285" t="str">
        <f>LOOKUP(C285,Sheet2!$J$4:$K$8)</f>
        <v>80+</v>
      </c>
      <c r="O285" t="str">
        <f>LOOKUP(D285,Sheet2!$M$4:$N$8)</f>
        <v>Unknown</v>
      </c>
      <c r="P285" t="str">
        <f>LOOKUP(E285,Sheet2!$P$4:$Q$9)</f>
        <v>Unknown</v>
      </c>
      <c r="Q285" t="str">
        <f>LOOKUP(F285,Sheet2!$S$4:$T$8)</f>
        <v>26-30</v>
      </c>
      <c r="R285" t="str">
        <f>LOOKUP(G285,Sheet2!$V$4:$W$7)</f>
        <v>0.0 - 0.249</v>
      </c>
      <c r="S285" t="str">
        <f>LOOKUP(H285,Sheet2!$Z$4:$AA$7)</f>
        <v>46+</v>
      </c>
      <c r="T285" t="str">
        <f t="shared" si="12"/>
        <v>Positive</v>
      </c>
      <c r="U285" t="str">
        <f t="shared" si="13"/>
        <v>Positive</v>
      </c>
      <c r="V285" s="1" t="str">
        <f t="shared" si="14"/>
        <v>Accurate Prediction</v>
      </c>
    </row>
    <row r="286" spans="1:22" x14ac:dyDescent="0.25">
      <c r="A286" s="1">
        <v>2</v>
      </c>
      <c r="B286" s="1">
        <v>108</v>
      </c>
      <c r="C286" s="1">
        <v>80</v>
      </c>
      <c r="D286" s="1">
        <v>0</v>
      </c>
      <c r="E286" s="1">
        <v>0</v>
      </c>
      <c r="F286" s="1">
        <v>27</v>
      </c>
      <c r="G286" s="1">
        <v>0.25900000000000001</v>
      </c>
      <c r="H286" s="1">
        <v>52</v>
      </c>
      <c r="I286" s="1">
        <v>1</v>
      </c>
      <c r="J286" s="1" t="str">
        <f>IFERROR(VLOOKUP(K286,[1]diabetes_Recognition!$A:$B,2,FALSE),"Not Sampled")</f>
        <v>Not Sampled</v>
      </c>
      <c r="K286" s="1">
        <v>284</v>
      </c>
      <c r="L286" s="1">
        <f>LOOKUP(A286,Sheet2!$D$4:$E$9)</f>
        <v>2</v>
      </c>
      <c r="M286" t="str">
        <f>LOOKUP(B286,Sheet2!$G$4:$H$9)</f>
        <v>100-125</v>
      </c>
      <c r="N286" t="str">
        <f>LOOKUP(C286,Sheet2!$J$4:$K$8)</f>
        <v>80+</v>
      </c>
      <c r="O286" t="str">
        <f>LOOKUP(D286,Sheet2!$M$4:$N$8)</f>
        <v>Unknown</v>
      </c>
      <c r="P286" t="str">
        <f>LOOKUP(E286,Sheet2!$P$4:$Q$9)</f>
        <v>Unknown</v>
      </c>
      <c r="Q286" t="str">
        <f>LOOKUP(F286,Sheet2!$S$4:$T$8)</f>
        <v>26-30</v>
      </c>
      <c r="R286" t="str">
        <f>LOOKUP(G286,Sheet2!$V$4:$W$7)</f>
        <v>0.25 - 0.39</v>
      </c>
      <c r="S286" t="str">
        <f>LOOKUP(H286,Sheet2!$Z$4:$AA$7)</f>
        <v>46+</v>
      </c>
      <c r="T286" t="str">
        <f t="shared" si="12"/>
        <v>Positive</v>
      </c>
      <c r="U286" t="str">
        <f t="shared" si="13"/>
        <v>Not Sampled</v>
      </c>
      <c r="V286" s="1" t="str">
        <f t="shared" si="14"/>
        <v>Not Sampled</v>
      </c>
    </row>
    <row r="287" spans="1:22" x14ac:dyDescent="0.25">
      <c r="A287" s="1">
        <v>7</v>
      </c>
      <c r="B287" s="1">
        <v>136</v>
      </c>
      <c r="C287" s="1">
        <v>74</v>
      </c>
      <c r="D287" s="1">
        <v>26</v>
      </c>
      <c r="E287" s="1">
        <v>135</v>
      </c>
      <c r="F287" s="1">
        <v>26</v>
      </c>
      <c r="G287" s="1">
        <v>0.64700000000000002</v>
      </c>
      <c r="H287" s="1">
        <v>51</v>
      </c>
      <c r="I287" s="1">
        <v>0</v>
      </c>
      <c r="J287" s="1">
        <f>IFERROR(VLOOKUP(K287,[1]diabetes_Recognition!$A:$B,2,FALSE),"Not Sampled")</f>
        <v>0</v>
      </c>
      <c r="K287" s="1">
        <v>285</v>
      </c>
      <c r="L287" s="1" t="str">
        <f>LOOKUP(A287,Sheet2!$D$4:$E$9)</f>
        <v>5-7</v>
      </c>
      <c r="M287" t="str">
        <f>LOOKUP(B287,Sheet2!$G$4:$H$9)</f>
        <v>126-150</v>
      </c>
      <c r="N287" t="str">
        <f>LOOKUP(C287,Sheet2!$J$4:$K$8)</f>
        <v>70-79</v>
      </c>
      <c r="O287" t="str">
        <f>LOOKUP(D287,Sheet2!$M$4:$N$8)</f>
        <v>10-30</v>
      </c>
      <c r="P287" t="str">
        <f>LOOKUP(E287,Sheet2!$P$4:$Q$9)</f>
        <v>100-199</v>
      </c>
      <c r="Q287" t="str">
        <f>LOOKUP(F287,Sheet2!$S$4:$T$8)</f>
        <v>26-30</v>
      </c>
      <c r="R287" t="str">
        <f>LOOKUP(G287,Sheet2!$V$4:$W$7)</f>
        <v>0.4 - 0.69</v>
      </c>
      <c r="S287" t="str">
        <f>LOOKUP(H287,Sheet2!$Z$4:$AA$7)</f>
        <v>46+</v>
      </c>
      <c r="T287" t="str">
        <f t="shared" si="12"/>
        <v>Negative</v>
      </c>
      <c r="U287" t="str">
        <f t="shared" si="13"/>
        <v>Negative</v>
      </c>
      <c r="V287" s="1" t="str">
        <f t="shared" si="14"/>
        <v>Accurate Prediction</v>
      </c>
    </row>
    <row r="288" spans="1:22" x14ac:dyDescent="0.25">
      <c r="A288" s="1">
        <v>5</v>
      </c>
      <c r="B288" s="1">
        <v>155</v>
      </c>
      <c r="C288" s="1">
        <v>84</v>
      </c>
      <c r="D288" s="1">
        <v>44</v>
      </c>
      <c r="E288" s="1">
        <v>545</v>
      </c>
      <c r="F288" s="1">
        <v>38.700000000000003</v>
      </c>
      <c r="G288" s="1">
        <v>0.61899999999999999</v>
      </c>
      <c r="H288" s="1">
        <v>34</v>
      </c>
      <c r="I288" s="1">
        <v>0</v>
      </c>
      <c r="J288" s="1" t="str">
        <f>IFERROR(VLOOKUP(K288,[1]diabetes_Recognition!$A:$B,2,FALSE),"Not Sampled")</f>
        <v>Not Sampled</v>
      </c>
      <c r="K288" s="1">
        <v>286</v>
      </c>
      <c r="L288" s="1" t="str">
        <f>LOOKUP(A288,Sheet2!$D$4:$E$9)</f>
        <v>5-7</v>
      </c>
      <c r="M288" t="str">
        <f>LOOKUP(B288,Sheet2!$G$4:$H$9)</f>
        <v>151-175</v>
      </c>
      <c r="N288" t="str">
        <f>LOOKUP(C288,Sheet2!$J$4:$K$8)</f>
        <v>80+</v>
      </c>
      <c r="O288" t="str">
        <f>LOOKUP(D288,Sheet2!$M$4:$N$8)</f>
        <v>40+</v>
      </c>
      <c r="P288" t="str">
        <f>LOOKUP(E288,Sheet2!$P$4:$Q$9)</f>
        <v>500+</v>
      </c>
      <c r="Q288" t="str">
        <f>LOOKUP(F288,Sheet2!$S$4:$T$8)</f>
        <v>36+</v>
      </c>
      <c r="R288" t="str">
        <f>LOOKUP(G288,Sheet2!$V$4:$W$7)</f>
        <v>0.4 - 0.69</v>
      </c>
      <c r="S288" t="str">
        <f>LOOKUP(H288,Sheet2!$Z$4:$AA$7)</f>
        <v>26-35</v>
      </c>
      <c r="T288" t="str">
        <f t="shared" si="12"/>
        <v>Negative</v>
      </c>
      <c r="U288" t="str">
        <f t="shared" si="13"/>
        <v>Not Sampled</v>
      </c>
      <c r="V288" s="1" t="str">
        <f t="shared" si="14"/>
        <v>Not Sampled</v>
      </c>
    </row>
    <row r="289" spans="1:22" x14ac:dyDescent="0.25">
      <c r="A289" s="1">
        <v>1</v>
      </c>
      <c r="B289" s="1">
        <v>119</v>
      </c>
      <c r="C289" s="1">
        <v>86</v>
      </c>
      <c r="D289" s="1">
        <v>39</v>
      </c>
      <c r="E289" s="1">
        <v>220</v>
      </c>
      <c r="F289" s="1">
        <v>45.6</v>
      </c>
      <c r="G289" s="1">
        <v>0.80800000000000005</v>
      </c>
      <c r="H289" s="1">
        <v>29</v>
      </c>
      <c r="I289" s="1">
        <v>1</v>
      </c>
      <c r="J289" s="1" t="str">
        <f>IFERROR(VLOOKUP(K289,[1]diabetes_Recognition!$A:$B,2,FALSE),"Not Sampled")</f>
        <v>Not Sampled</v>
      </c>
      <c r="K289" s="1">
        <v>287</v>
      </c>
      <c r="L289" s="1">
        <f>LOOKUP(A289,Sheet2!$D$4:$E$9)</f>
        <v>1</v>
      </c>
      <c r="M289" t="str">
        <f>LOOKUP(B289,Sheet2!$G$4:$H$9)</f>
        <v>100-125</v>
      </c>
      <c r="N289" t="str">
        <f>LOOKUP(C289,Sheet2!$J$4:$K$8)</f>
        <v>80+</v>
      </c>
      <c r="O289" t="str">
        <f>LOOKUP(D289,Sheet2!$M$4:$N$8)</f>
        <v>30-39</v>
      </c>
      <c r="P289" t="str">
        <f>LOOKUP(E289,Sheet2!$P$4:$Q$9)</f>
        <v>200-399</v>
      </c>
      <c r="Q289" t="str">
        <f>LOOKUP(F289,Sheet2!$S$4:$T$8)</f>
        <v>36+</v>
      </c>
      <c r="R289" t="str">
        <f>LOOKUP(G289,Sheet2!$V$4:$W$7)</f>
        <v>0.7+</v>
      </c>
      <c r="S289" t="str">
        <f>LOOKUP(H289,Sheet2!$Z$4:$AA$7)</f>
        <v>26-35</v>
      </c>
      <c r="T289" t="str">
        <f t="shared" si="12"/>
        <v>Positive</v>
      </c>
      <c r="U289" t="str">
        <f t="shared" si="13"/>
        <v>Not Sampled</v>
      </c>
      <c r="V289" s="1" t="str">
        <f t="shared" si="14"/>
        <v>Not Sampled</v>
      </c>
    </row>
    <row r="290" spans="1:22" x14ac:dyDescent="0.25">
      <c r="A290" s="1">
        <v>4</v>
      </c>
      <c r="B290" s="1">
        <v>96</v>
      </c>
      <c r="C290" s="1">
        <v>56</v>
      </c>
      <c r="D290" s="1">
        <v>17</v>
      </c>
      <c r="E290" s="1">
        <v>49</v>
      </c>
      <c r="F290" s="1">
        <v>20.8</v>
      </c>
      <c r="G290" s="1">
        <v>0.34</v>
      </c>
      <c r="H290" s="1">
        <v>26</v>
      </c>
      <c r="I290" s="1">
        <v>0</v>
      </c>
      <c r="J290" s="1" t="str">
        <f>IFERROR(VLOOKUP(K290,[1]diabetes_Recognition!$A:$B,2,FALSE),"Not Sampled")</f>
        <v>Not Sampled</v>
      </c>
      <c r="K290" s="1">
        <v>288</v>
      </c>
      <c r="L290" s="1" t="str">
        <f>LOOKUP(A290,Sheet2!$D$4:$E$9)</f>
        <v>3-4</v>
      </c>
      <c r="M290" t="str">
        <f>LOOKUP(B290,Sheet2!$G$4:$H$9)</f>
        <v>1-99</v>
      </c>
      <c r="N290" t="str">
        <f>LOOKUP(C290,Sheet2!$J$4:$K$8)</f>
        <v>1-59</v>
      </c>
      <c r="O290" t="str">
        <f>LOOKUP(D290,Sheet2!$M$4:$N$8)</f>
        <v>10-30</v>
      </c>
      <c r="P290" t="str">
        <f>LOOKUP(E290,Sheet2!$P$4:$Q$9)</f>
        <v>1-99</v>
      </c>
      <c r="Q290" t="str">
        <f>LOOKUP(F290,Sheet2!$S$4:$T$8)</f>
        <v>1-25</v>
      </c>
      <c r="R290" t="str">
        <f>LOOKUP(G290,Sheet2!$V$4:$W$7)</f>
        <v>0.25 - 0.39</v>
      </c>
      <c r="S290" t="str">
        <f>LOOKUP(H290,Sheet2!$Z$4:$AA$7)</f>
        <v>26-35</v>
      </c>
      <c r="T290" t="str">
        <f t="shared" si="12"/>
        <v>Negative</v>
      </c>
      <c r="U290" t="str">
        <f t="shared" si="13"/>
        <v>Not Sampled</v>
      </c>
      <c r="V290" s="1" t="str">
        <f t="shared" si="14"/>
        <v>Not Sampled</v>
      </c>
    </row>
    <row r="291" spans="1:22" x14ac:dyDescent="0.25">
      <c r="A291" s="1">
        <v>5</v>
      </c>
      <c r="B291" s="1">
        <v>108</v>
      </c>
      <c r="C291" s="1">
        <v>72</v>
      </c>
      <c r="D291" s="1">
        <v>43</v>
      </c>
      <c r="E291" s="1">
        <v>75</v>
      </c>
      <c r="F291" s="1">
        <v>36.1</v>
      </c>
      <c r="G291" s="1">
        <v>0.26300000000000001</v>
      </c>
      <c r="H291" s="1">
        <v>33</v>
      </c>
      <c r="I291" s="1">
        <v>0</v>
      </c>
      <c r="J291" s="1" t="str">
        <f>IFERROR(VLOOKUP(K291,[1]diabetes_Recognition!$A:$B,2,FALSE),"Not Sampled")</f>
        <v>Not Sampled</v>
      </c>
      <c r="K291" s="1">
        <v>289</v>
      </c>
      <c r="L291" s="1" t="str">
        <f>LOOKUP(A291,Sheet2!$D$4:$E$9)</f>
        <v>5-7</v>
      </c>
      <c r="M291" t="str">
        <f>LOOKUP(B291,Sheet2!$G$4:$H$9)</f>
        <v>100-125</v>
      </c>
      <c r="N291" t="str">
        <f>LOOKUP(C291,Sheet2!$J$4:$K$8)</f>
        <v>70-79</v>
      </c>
      <c r="O291" t="str">
        <f>LOOKUP(D291,Sheet2!$M$4:$N$8)</f>
        <v>40+</v>
      </c>
      <c r="P291" t="str">
        <f>LOOKUP(E291,Sheet2!$P$4:$Q$9)</f>
        <v>1-99</v>
      </c>
      <c r="Q291" t="str">
        <f>LOOKUP(F291,Sheet2!$S$4:$T$8)</f>
        <v>36+</v>
      </c>
      <c r="R291" t="str">
        <f>LOOKUP(G291,Sheet2!$V$4:$W$7)</f>
        <v>0.25 - 0.39</v>
      </c>
      <c r="S291" t="str">
        <f>LOOKUP(H291,Sheet2!$Z$4:$AA$7)</f>
        <v>26-35</v>
      </c>
      <c r="T291" t="str">
        <f t="shared" si="12"/>
        <v>Negative</v>
      </c>
      <c r="U291" t="str">
        <f t="shared" si="13"/>
        <v>Not Sampled</v>
      </c>
      <c r="V291" s="1" t="str">
        <f t="shared" si="14"/>
        <v>Not Sampled</v>
      </c>
    </row>
    <row r="292" spans="1:22" x14ac:dyDescent="0.25">
      <c r="A292" s="1">
        <v>0</v>
      </c>
      <c r="B292" s="1">
        <v>78</v>
      </c>
      <c r="C292" s="1">
        <v>88</v>
      </c>
      <c r="D292" s="1">
        <v>29</v>
      </c>
      <c r="E292" s="1">
        <v>40</v>
      </c>
      <c r="F292" s="1">
        <v>36.9</v>
      </c>
      <c r="G292" s="1">
        <v>0.434</v>
      </c>
      <c r="H292" s="1">
        <v>21</v>
      </c>
      <c r="I292" s="1">
        <v>0</v>
      </c>
      <c r="J292" s="1" t="str">
        <f>IFERROR(VLOOKUP(K292,[1]diabetes_Recognition!$A:$B,2,FALSE),"Not Sampled")</f>
        <v>Not Sampled</v>
      </c>
      <c r="K292" s="1">
        <v>290</v>
      </c>
      <c r="L292" s="1">
        <f>LOOKUP(A292,Sheet2!$D$4:$E$9)</f>
        <v>0</v>
      </c>
      <c r="M292" t="str">
        <f>LOOKUP(B292,Sheet2!$G$4:$H$9)</f>
        <v>1-99</v>
      </c>
      <c r="N292" t="str">
        <f>LOOKUP(C292,Sheet2!$J$4:$K$8)</f>
        <v>80+</v>
      </c>
      <c r="O292" t="str">
        <f>LOOKUP(D292,Sheet2!$M$4:$N$8)</f>
        <v>10-30</v>
      </c>
      <c r="P292" t="str">
        <f>LOOKUP(E292,Sheet2!$P$4:$Q$9)</f>
        <v>1-99</v>
      </c>
      <c r="Q292" t="str">
        <f>LOOKUP(F292,Sheet2!$S$4:$T$8)</f>
        <v>36+</v>
      </c>
      <c r="R292" t="str">
        <f>LOOKUP(G292,Sheet2!$V$4:$W$7)</f>
        <v>0.4 - 0.69</v>
      </c>
      <c r="S292" t="str">
        <f>LOOKUP(H292,Sheet2!$Z$4:$AA$7)</f>
        <v>&lt;=25</v>
      </c>
      <c r="T292" t="str">
        <f t="shared" si="12"/>
        <v>Negative</v>
      </c>
      <c r="U292" t="str">
        <f t="shared" si="13"/>
        <v>Not Sampled</v>
      </c>
      <c r="V292" s="1" t="str">
        <f t="shared" si="14"/>
        <v>Not Sampled</v>
      </c>
    </row>
    <row r="293" spans="1:22" x14ac:dyDescent="0.25">
      <c r="A293" s="1">
        <v>0</v>
      </c>
      <c r="B293" s="1">
        <v>107</v>
      </c>
      <c r="C293" s="1">
        <v>62</v>
      </c>
      <c r="D293" s="1">
        <v>30</v>
      </c>
      <c r="E293" s="1">
        <v>74</v>
      </c>
      <c r="F293" s="1">
        <v>36.6</v>
      </c>
      <c r="G293" s="1">
        <v>0.75700000000000001</v>
      </c>
      <c r="H293" s="1">
        <v>25</v>
      </c>
      <c r="I293" s="1">
        <v>1</v>
      </c>
      <c r="J293" s="1" t="str">
        <f>IFERROR(VLOOKUP(K293,[1]diabetes_Recognition!$A:$B,2,FALSE),"Not Sampled")</f>
        <v>Not Sampled</v>
      </c>
      <c r="K293" s="1">
        <v>291</v>
      </c>
      <c r="L293" s="1">
        <f>LOOKUP(A293,Sheet2!$D$4:$E$9)</f>
        <v>0</v>
      </c>
      <c r="M293" t="str">
        <f>LOOKUP(B293,Sheet2!$G$4:$H$9)</f>
        <v>100-125</v>
      </c>
      <c r="N293" t="str">
        <f>LOOKUP(C293,Sheet2!$J$4:$K$8)</f>
        <v>60-69</v>
      </c>
      <c r="O293" t="str">
        <f>LOOKUP(D293,Sheet2!$M$4:$N$8)</f>
        <v>30-39</v>
      </c>
      <c r="P293" t="str">
        <f>LOOKUP(E293,Sheet2!$P$4:$Q$9)</f>
        <v>1-99</v>
      </c>
      <c r="Q293" t="str">
        <f>LOOKUP(F293,Sheet2!$S$4:$T$8)</f>
        <v>36+</v>
      </c>
      <c r="R293" t="str">
        <f>LOOKUP(G293,Sheet2!$V$4:$W$7)</f>
        <v>0.7+</v>
      </c>
      <c r="S293" t="str">
        <f>LOOKUP(H293,Sheet2!$Z$4:$AA$7)</f>
        <v>&lt;=25</v>
      </c>
      <c r="T293" t="str">
        <f t="shared" si="12"/>
        <v>Positive</v>
      </c>
      <c r="U293" t="str">
        <f t="shared" si="13"/>
        <v>Not Sampled</v>
      </c>
      <c r="V293" s="1" t="str">
        <f t="shared" si="14"/>
        <v>Not Sampled</v>
      </c>
    </row>
    <row r="294" spans="1:22" x14ac:dyDescent="0.25">
      <c r="A294" s="1">
        <v>2</v>
      </c>
      <c r="B294" s="1">
        <v>128</v>
      </c>
      <c r="C294" s="1">
        <v>78</v>
      </c>
      <c r="D294" s="1">
        <v>37</v>
      </c>
      <c r="E294" s="1">
        <v>182</v>
      </c>
      <c r="F294" s="1">
        <v>43.3</v>
      </c>
      <c r="G294" s="1">
        <v>1.224</v>
      </c>
      <c r="H294" s="1">
        <v>31</v>
      </c>
      <c r="I294" s="1">
        <v>1</v>
      </c>
      <c r="J294" s="1">
        <f>IFERROR(VLOOKUP(K294,[1]diabetes_Recognition!$A:$B,2,FALSE),"Not Sampled")</f>
        <v>1</v>
      </c>
      <c r="K294" s="1">
        <v>292</v>
      </c>
      <c r="L294" s="1">
        <f>LOOKUP(A294,Sheet2!$D$4:$E$9)</f>
        <v>2</v>
      </c>
      <c r="M294" t="str">
        <f>LOOKUP(B294,Sheet2!$G$4:$H$9)</f>
        <v>126-150</v>
      </c>
      <c r="N294" t="str">
        <f>LOOKUP(C294,Sheet2!$J$4:$K$8)</f>
        <v>70-79</v>
      </c>
      <c r="O294" t="str">
        <f>LOOKUP(D294,Sheet2!$M$4:$N$8)</f>
        <v>30-39</v>
      </c>
      <c r="P294" t="str">
        <f>LOOKUP(E294,Sheet2!$P$4:$Q$9)</f>
        <v>100-199</v>
      </c>
      <c r="Q294" t="str">
        <f>LOOKUP(F294,Sheet2!$S$4:$T$8)</f>
        <v>36+</v>
      </c>
      <c r="R294" t="str">
        <f>LOOKUP(G294,Sheet2!$V$4:$W$7)</f>
        <v>0.7+</v>
      </c>
      <c r="S294" t="str">
        <f>LOOKUP(H294,Sheet2!$Z$4:$AA$7)</f>
        <v>26-35</v>
      </c>
      <c r="T294" t="str">
        <f t="shared" si="12"/>
        <v>Positive</v>
      </c>
      <c r="U294" t="str">
        <f t="shared" si="13"/>
        <v>Positive</v>
      </c>
      <c r="V294" s="1" t="str">
        <f t="shared" si="14"/>
        <v>Accurate Prediction</v>
      </c>
    </row>
    <row r="295" spans="1:22" x14ac:dyDescent="0.25">
      <c r="A295" s="1">
        <v>1</v>
      </c>
      <c r="B295" s="1">
        <v>128</v>
      </c>
      <c r="C295" s="1">
        <v>48</v>
      </c>
      <c r="D295" s="1">
        <v>45</v>
      </c>
      <c r="E295" s="1">
        <v>194</v>
      </c>
      <c r="F295" s="1">
        <v>40.5</v>
      </c>
      <c r="G295" s="1">
        <v>0.61299999999999999</v>
      </c>
      <c r="H295" s="1">
        <v>24</v>
      </c>
      <c r="I295" s="1">
        <v>1</v>
      </c>
      <c r="J295" s="1">
        <f>IFERROR(VLOOKUP(K295,[1]diabetes_Recognition!$A:$B,2,FALSE),"Not Sampled")</f>
        <v>0</v>
      </c>
      <c r="K295" s="1">
        <v>293</v>
      </c>
      <c r="L295" s="1">
        <f>LOOKUP(A295,Sheet2!$D$4:$E$9)</f>
        <v>1</v>
      </c>
      <c r="M295" t="str">
        <f>LOOKUP(B295,Sheet2!$G$4:$H$9)</f>
        <v>126-150</v>
      </c>
      <c r="N295" t="str">
        <f>LOOKUP(C295,Sheet2!$J$4:$K$8)</f>
        <v>1-59</v>
      </c>
      <c r="O295" t="str">
        <f>LOOKUP(D295,Sheet2!$M$4:$N$8)</f>
        <v>40+</v>
      </c>
      <c r="P295" t="str">
        <f>LOOKUP(E295,Sheet2!$P$4:$Q$9)</f>
        <v>100-199</v>
      </c>
      <c r="Q295" t="str">
        <f>LOOKUP(F295,Sheet2!$S$4:$T$8)</f>
        <v>36+</v>
      </c>
      <c r="R295" t="str">
        <f>LOOKUP(G295,Sheet2!$V$4:$W$7)</f>
        <v>0.4 - 0.69</v>
      </c>
      <c r="S295" t="str">
        <f>LOOKUP(H295,Sheet2!$Z$4:$AA$7)</f>
        <v>&lt;=25</v>
      </c>
      <c r="T295" t="str">
        <f t="shared" si="12"/>
        <v>Positive</v>
      </c>
      <c r="U295" t="str">
        <f t="shared" si="13"/>
        <v>Negative</v>
      </c>
      <c r="V295" s="1" t="str">
        <f t="shared" si="14"/>
        <v>Inaccurate Prediction</v>
      </c>
    </row>
    <row r="296" spans="1:22" x14ac:dyDescent="0.25">
      <c r="A296" s="1">
        <v>0</v>
      </c>
      <c r="B296" s="1">
        <v>161</v>
      </c>
      <c r="C296" s="1">
        <v>50</v>
      </c>
      <c r="D296" s="1">
        <v>0</v>
      </c>
      <c r="E296" s="1">
        <v>0</v>
      </c>
      <c r="F296" s="1">
        <v>21.9</v>
      </c>
      <c r="G296" s="1">
        <v>0.254</v>
      </c>
      <c r="H296" s="1">
        <v>65</v>
      </c>
      <c r="I296" s="1">
        <v>0</v>
      </c>
      <c r="J296" s="1" t="str">
        <f>IFERROR(VLOOKUP(K296,[1]diabetes_Recognition!$A:$B,2,FALSE),"Not Sampled")</f>
        <v>Not Sampled</v>
      </c>
      <c r="K296" s="1">
        <v>294</v>
      </c>
      <c r="L296" s="1">
        <f>LOOKUP(A296,Sheet2!$D$4:$E$9)</f>
        <v>0</v>
      </c>
      <c r="M296" t="str">
        <f>LOOKUP(B296,Sheet2!$G$4:$H$9)</f>
        <v>151-175</v>
      </c>
      <c r="N296" t="str">
        <f>LOOKUP(C296,Sheet2!$J$4:$K$8)</f>
        <v>1-59</v>
      </c>
      <c r="O296" t="str">
        <f>LOOKUP(D296,Sheet2!$M$4:$N$8)</f>
        <v>Unknown</v>
      </c>
      <c r="P296" t="str">
        <f>LOOKUP(E296,Sheet2!$P$4:$Q$9)</f>
        <v>Unknown</v>
      </c>
      <c r="Q296" t="str">
        <f>LOOKUP(F296,Sheet2!$S$4:$T$8)</f>
        <v>1-25</v>
      </c>
      <c r="R296" t="str">
        <f>LOOKUP(G296,Sheet2!$V$4:$W$7)</f>
        <v>0.25 - 0.39</v>
      </c>
      <c r="S296" t="str">
        <f>LOOKUP(H296,Sheet2!$Z$4:$AA$7)</f>
        <v>46+</v>
      </c>
      <c r="T296" t="str">
        <f t="shared" si="12"/>
        <v>Negative</v>
      </c>
      <c r="U296" t="str">
        <f t="shared" si="13"/>
        <v>Not Sampled</v>
      </c>
      <c r="V296" s="1" t="str">
        <f t="shared" si="14"/>
        <v>Not Sampled</v>
      </c>
    </row>
    <row r="297" spans="1:22" x14ac:dyDescent="0.25">
      <c r="A297" s="1">
        <v>6</v>
      </c>
      <c r="B297" s="1">
        <v>151</v>
      </c>
      <c r="C297" s="1">
        <v>62</v>
      </c>
      <c r="D297" s="1">
        <v>31</v>
      </c>
      <c r="E297" s="1">
        <v>120</v>
      </c>
      <c r="F297" s="1">
        <v>35.5</v>
      </c>
      <c r="G297" s="1">
        <v>0.69199999999999995</v>
      </c>
      <c r="H297" s="1">
        <v>28</v>
      </c>
      <c r="I297" s="1">
        <v>0</v>
      </c>
      <c r="J297" s="1" t="str">
        <f>IFERROR(VLOOKUP(K297,[1]diabetes_Recognition!$A:$B,2,FALSE),"Not Sampled")</f>
        <v>Not Sampled</v>
      </c>
      <c r="K297" s="1">
        <v>295</v>
      </c>
      <c r="L297" s="1" t="str">
        <f>LOOKUP(A297,Sheet2!$D$4:$E$9)</f>
        <v>5-7</v>
      </c>
      <c r="M297" t="str">
        <f>LOOKUP(B297,Sheet2!$G$4:$H$9)</f>
        <v>151-175</v>
      </c>
      <c r="N297" t="str">
        <f>LOOKUP(C297,Sheet2!$J$4:$K$8)</f>
        <v>60-69</v>
      </c>
      <c r="O297" t="str">
        <f>LOOKUP(D297,Sheet2!$M$4:$N$8)</f>
        <v>30-39</v>
      </c>
      <c r="P297" t="str">
        <f>LOOKUP(E297,Sheet2!$P$4:$Q$9)</f>
        <v>100-199</v>
      </c>
      <c r="Q297" t="str">
        <f>LOOKUP(F297,Sheet2!$S$4:$T$8)</f>
        <v>31-35</v>
      </c>
      <c r="R297" t="str">
        <f>LOOKUP(G297,Sheet2!$V$4:$W$7)</f>
        <v>0.4 - 0.69</v>
      </c>
      <c r="S297" t="str">
        <f>LOOKUP(H297,Sheet2!$Z$4:$AA$7)</f>
        <v>26-35</v>
      </c>
      <c r="T297" t="str">
        <f t="shared" si="12"/>
        <v>Negative</v>
      </c>
      <c r="U297" t="str">
        <f t="shared" si="13"/>
        <v>Not Sampled</v>
      </c>
      <c r="V297" s="1" t="str">
        <f t="shared" si="14"/>
        <v>Not Sampled</v>
      </c>
    </row>
    <row r="298" spans="1:22" x14ac:dyDescent="0.25">
      <c r="A298" s="1">
        <v>2</v>
      </c>
      <c r="B298" s="1">
        <v>146</v>
      </c>
      <c r="C298" s="1">
        <v>70</v>
      </c>
      <c r="D298" s="1">
        <v>38</v>
      </c>
      <c r="E298" s="1">
        <v>360</v>
      </c>
      <c r="F298" s="1">
        <v>28</v>
      </c>
      <c r="G298" s="1">
        <v>0.33700000000000002</v>
      </c>
      <c r="H298" s="1">
        <v>29</v>
      </c>
      <c r="I298" s="1">
        <v>1</v>
      </c>
      <c r="J298" s="1" t="str">
        <f>IFERROR(VLOOKUP(K298,[1]diabetes_Recognition!$A:$B,2,FALSE),"Not Sampled")</f>
        <v>Not Sampled</v>
      </c>
      <c r="K298" s="1">
        <v>296</v>
      </c>
      <c r="L298" s="1">
        <f>LOOKUP(A298,Sheet2!$D$4:$E$9)</f>
        <v>2</v>
      </c>
      <c r="M298" t="str">
        <f>LOOKUP(B298,Sheet2!$G$4:$H$9)</f>
        <v>126-150</v>
      </c>
      <c r="N298" t="str">
        <f>LOOKUP(C298,Sheet2!$J$4:$K$8)</f>
        <v>70-79</v>
      </c>
      <c r="O298" t="str">
        <f>LOOKUP(D298,Sheet2!$M$4:$N$8)</f>
        <v>30-39</v>
      </c>
      <c r="P298" t="str">
        <f>LOOKUP(E298,Sheet2!$P$4:$Q$9)</f>
        <v>300-499</v>
      </c>
      <c r="Q298" t="str">
        <f>LOOKUP(F298,Sheet2!$S$4:$T$8)</f>
        <v>26-30</v>
      </c>
      <c r="R298" t="str">
        <f>LOOKUP(G298,Sheet2!$V$4:$W$7)</f>
        <v>0.25 - 0.39</v>
      </c>
      <c r="S298" t="str">
        <f>LOOKUP(H298,Sheet2!$Z$4:$AA$7)</f>
        <v>26-35</v>
      </c>
      <c r="T298" t="str">
        <f t="shared" si="12"/>
        <v>Positive</v>
      </c>
      <c r="U298" t="str">
        <f t="shared" si="13"/>
        <v>Not Sampled</v>
      </c>
      <c r="V298" s="1" t="str">
        <f t="shared" si="14"/>
        <v>Not Sampled</v>
      </c>
    </row>
    <row r="299" spans="1:22" x14ac:dyDescent="0.25">
      <c r="A299" s="1">
        <v>0</v>
      </c>
      <c r="B299" s="1">
        <v>126</v>
      </c>
      <c r="C299" s="1">
        <v>84</v>
      </c>
      <c r="D299" s="1">
        <v>29</v>
      </c>
      <c r="E299" s="1">
        <v>215</v>
      </c>
      <c r="F299" s="1">
        <v>30.7</v>
      </c>
      <c r="G299" s="1">
        <v>0.52</v>
      </c>
      <c r="H299" s="1">
        <v>24</v>
      </c>
      <c r="I299" s="1">
        <v>0</v>
      </c>
      <c r="J299" s="1">
        <f>IFERROR(VLOOKUP(K299,[1]diabetes_Recognition!$A:$B,2,FALSE),"Not Sampled")</f>
        <v>0</v>
      </c>
      <c r="K299" s="1">
        <v>297</v>
      </c>
      <c r="L299" s="1">
        <f>LOOKUP(A299,Sheet2!$D$4:$E$9)</f>
        <v>0</v>
      </c>
      <c r="M299" t="str">
        <f>LOOKUP(B299,Sheet2!$G$4:$H$9)</f>
        <v>126-150</v>
      </c>
      <c r="N299" t="str">
        <f>LOOKUP(C299,Sheet2!$J$4:$K$8)</f>
        <v>80+</v>
      </c>
      <c r="O299" t="str">
        <f>LOOKUP(D299,Sheet2!$M$4:$N$8)</f>
        <v>10-30</v>
      </c>
      <c r="P299" t="str">
        <f>LOOKUP(E299,Sheet2!$P$4:$Q$9)</f>
        <v>200-399</v>
      </c>
      <c r="Q299" t="str">
        <f>LOOKUP(F299,Sheet2!$S$4:$T$8)</f>
        <v>26-30</v>
      </c>
      <c r="R299" t="str">
        <f>LOOKUP(G299,Sheet2!$V$4:$W$7)</f>
        <v>0.4 - 0.69</v>
      </c>
      <c r="S299" t="str">
        <f>LOOKUP(H299,Sheet2!$Z$4:$AA$7)</f>
        <v>&lt;=25</v>
      </c>
      <c r="T299" t="str">
        <f t="shared" si="12"/>
        <v>Negative</v>
      </c>
      <c r="U299" t="str">
        <f t="shared" si="13"/>
        <v>Negative</v>
      </c>
      <c r="V299" s="1" t="str">
        <f t="shared" si="14"/>
        <v>Accurate Prediction</v>
      </c>
    </row>
    <row r="300" spans="1:22" x14ac:dyDescent="0.25">
      <c r="A300" s="1">
        <v>14</v>
      </c>
      <c r="B300" s="1">
        <v>100</v>
      </c>
      <c r="C300" s="1">
        <v>78</v>
      </c>
      <c r="D300" s="1">
        <v>25</v>
      </c>
      <c r="E300" s="1">
        <v>184</v>
      </c>
      <c r="F300" s="1">
        <v>36.6</v>
      </c>
      <c r="G300" s="1">
        <v>0.41199999999999998</v>
      </c>
      <c r="H300" s="1">
        <v>46</v>
      </c>
      <c r="I300" s="1">
        <v>1</v>
      </c>
      <c r="J300" s="1" t="str">
        <f>IFERROR(VLOOKUP(K300,[1]diabetes_Recognition!$A:$B,2,FALSE),"Not Sampled")</f>
        <v>Not Sampled</v>
      </c>
      <c r="K300" s="1">
        <v>298</v>
      </c>
      <c r="L300" s="1" t="str">
        <f>LOOKUP(A300,Sheet2!$D$4:$E$9)</f>
        <v>8+</v>
      </c>
      <c r="M300" t="str">
        <f>LOOKUP(B300,Sheet2!$G$4:$H$9)</f>
        <v>100-125</v>
      </c>
      <c r="N300" t="str">
        <f>LOOKUP(C300,Sheet2!$J$4:$K$8)</f>
        <v>70-79</v>
      </c>
      <c r="O300" t="str">
        <f>LOOKUP(D300,Sheet2!$M$4:$N$8)</f>
        <v>10-30</v>
      </c>
      <c r="P300" t="str">
        <f>LOOKUP(E300,Sheet2!$P$4:$Q$9)</f>
        <v>100-199</v>
      </c>
      <c r="Q300" t="str">
        <f>LOOKUP(F300,Sheet2!$S$4:$T$8)</f>
        <v>36+</v>
      </c>
      <c r="R300" t="str">
        <f>LOOKUP(G300,Sheet2!$V$4:$W$7)</f>
        <v>0.4 - 0.69</v>
      </c>
      <c r="S300" t="str">
        <f>LOOKUP(H300,Sheet2!$Z$4:$AA$7)</f>
        <v>46+</v>
      </c>
      <c r="T300" t="str">
        <f t="shared" si="12"/>
        <v>Positive</v>
      </c>
      <c r="U300" t="str">
        <f t="shared" si="13"/>
        <v>Not Sampled</v>
      </c>
      <c r="V300" s="1" t="str">
        <f t="shared" si="14"/>
        <v>Not Sampled</v>
      </c>
    </row>
    <row r="301" spans="1:22" x14ac:dyDescent="0.25">
      <c r="A301" s="1">
        <v>8</v>
      </c>
      <c r="B301" s="1">
        <v>112</v>
      </c>
      <c r="C301" s="1">
        <v>72</v>
      </c>
      <c r="D301" s="1">
        <v>0</v>
      </c>
      <c r="E301" s="1">
        <v>0</v>
      </c>
      <c r="F301" s="1">
        <v>23.6</v>
      </c>
      <c r="G301" s="1">
        <v>0.84</v>
      </c>
      <c r="H301" s="1">
        <v>58</v>
      </c>
      <c r="I301" s="1">
        <v>0</v>
      </c>
      <c r="J301" s="1">
        <f>IFERROR(VLOOKUP(K301,[1]diabetes_Recognition!$A:$B,2,FALSE),"Not Sampled")</f>
        <v>0</v>
      </c>
      <c r="K301" s="1">
        <v>299</v>
      </c>
      <c r="L301" s="1" t="str">
        <f>LOOKUP(A301,Sheet2!$D$4:$E$9)</f>
        <v>8+</v>
      </c>
      <c r="M301" t="str">
        <f>LOOKUP(B301,Sheet2!$G$4:$H$9)</f>
        <v>100-125</v>
      </c>
      <c r="N301" t="str">
        <f>LOOKUP(C301,Sheet2!$J$4:$K$8)</f>
        <v>70-79</v>
      </c>
      <c r="O301" t="str">
        <f>LOOKUP(D301,Sheet2!$M$4:$N$8)</f>
        <v>Unknown</v>
      </c>
      <c r="P301" t="str">
        <f>LOOKUP(E301,Sheet2!$P$4:$Q$9)</f>
        <v>Unknown</v>
      </c>
      <c r="Q301" t="str">
        <f>LOOKUP(F301,Sheet2!$S$4:$T$8)</f>
        <v>1-25</v>
      </c>
      <c r="R301" t="str">
        <f>LOOKUP(G301,Sheet2!$V$4:$W$7)</f>
        <v>0.7+</v>
      </c>
      <c r="S301" t="str">
        <f>LOOKUP(H301,Sheet2!$Z$4:$AA$7)</f>
        <v>46+</v>
      </c>
      <c r="T301" t="str">
        <f t="shared" si="12"/>
        <v>Negative</v>
      </c>
      <c r="U301" t="str">
        <f t="shared" si="13"/>
        <v>Negative</v>
      </c>
      <c r="V301" s="1" t="str">
        <f t="shared" si="14"/>
        <v>Accurate Prediction</v>
      </c>
    </row>
    <row r="302" spans="1:22" x14ac:dyDescent="0.25">
      <c r="A302" s="1">
        <v>0</v>
      </c>
      <c r="B302" s="1">
        <v>167</v>
      </c>
      <c r="C302" s="1">
        <v>0</v>
      </c>
      <c r="D302" s="1">
        <v>0</v>
      </c>
      <c r="E302" s="1">
        <v>0</v>
      </c>
      <c r="F302" s="1">
        <v>32.299999999999997</v>
      </c>
      <c r="G302" s="1">
        <v>0.83899999999999997</v>
      </c>
      <c r="H302" s="1">
        <v>30</v>
      </c>
      <c r="I302" s="1">
        <v>1</v>
      </c>
      <c r="J302" s="1" t="str">
        <f>IFERROR(VLOOKUP(K302,[1]diabetes_Recognition!$A:$B,2,FALSE),"Not Sampled")</f>
        <v>Not Sampled</v>
      </c>
      <c r="K302" s="1">
        <v>300</v>
      </c>
      <c r="L302" s="1">
        <f>LOOKUP(A302,Sheet2!$D$4:$E$9)</f>
        <v>0</v>
      </c>
      <c r="M302" t="str">
        <f>LOOKUP(B302,Sheet2!$G$4:$H$9)</f>
        <v>151-175</v>
      </c>
      <c r="N302" t="str">
        <f>LOOKUP(C302,Sheet2!$J$4:$K$8)</f>
        <v>Unknown</v>
      </c>
      <c r="O302" t="str">
        <f>LOOKUP(D302,Sheet2!$M$4:$N$8)</f>
        <v>Unknown</v>
      </c>
      <c r="P302" t="str">
        <f>LOOKUP(E302,Sheet2!$P$4:$Q$9)</f>
        <v>Unknown</v>
      </c>
      <c r="Q302" t="str">
        <f>LOOKUP(F302,Sheet2!$S$4:$T$8)</f>
        <v>31-35</v>
      </c>
      <c r="R302" t="str">
        <f>LOOKUP(G302,Sheet2!$V$4:$W$7)</f>
        <v>0.7+</v>
      </c>
      <c r="S302" t="str">
        <f>LOOKUP(H302,Sheet2!$Z$4:$AA$7)</f>
        <v>26-35</v>
      </c>
      <c r="T302" t="str">
        <f t="shared" si="12"/>
        <v>Positive</v>
      </c>
      <c r="U302" t="str">
        <f t="shared" si="13"/>
        <v>Not Sampled</v>
      </c>
      <c r="V302" s="1" t="str">
        <f t="shared" si="14"/>
        <v>Not Sampled</v>
      </c>
    </row>
    <row r="303" spans="1:22" x14ac:dyDescent="0.25">
      <c r="A303" s="1">
        <v>2</v>
      </c>
      <c r="B303" s="1">
        <v>144</v>
      </c>
      <c r="C303" s="1">
        <v>58</v>
      </c>
      <c r="D303" s="1">
        <v>33</v>
      </c>
      <c r="E303" s="1">
        <v>135</v>
      </c>
      <c r="F303" s="1">
        <v>31.6</v>
      </c>
      <c r="G303" s="1">
        <v>0.42199999999999999</v>
      </c>
      <c r="H303" s="1">
        <v>25</v>
      </c>
      <c r="I303" s="1">
        <v>1</v>
      </c>
      <c r="J303" s="1">
        <f>IFERROR(VLOOKUP(K303,[1]diabetes_Recognition!$A:$B,2,FALSE),"Not Sampled")</f>
        <v>0</v>
      </c>
      <c r="K303" s="1">
        <v>301</v>
      </c>
      <c r="L303" s="1">
        <f>LOOKUP(A303,Sheet2!$D$4:$E$9)</f>
        <v>2</v>
      </c>
      <c r="M303" t="str">
        <f>LOOKUP(B303,Sheet2!$G$4:$H$9)</f>
        <v>126-150</v>
      </c>
      <c r="N303" t="str">
        <f>LOOKUP(C303,Sheet2!$J$4:$K$8)</f>
        <v>1-59</v>
      </c>
      <c r="O303" t="str">
        <f>LOOKUP(D303,Sheet2!$M$4:$N$8)</f>
        <v>30-39</v>
      </c>
      <c r="P303" t="str">
        <f>LOOKUP(E303,Sheet2!$P$4:$Q$9)</f>
        <v>100-199</v>
      </c>
      <c r="Q303" t="str">
        <f>LOOKUP(F303,Sheet2!$S$4:$T$8)</f>
        <v>31-35</v>
      </c>
      <c r="R303" t="str">
        <f>LOOKUP(G303,Sheet2!$V$4:$W$7)</f>
        <v>0.4 - 0.69</v>
      </c>
      <c r="S303" t="str">
        <f>LOOKUP(H303,Sheet2!$Z$4:$AA$7)</f>
        <v>&lt;=25</v>
      </c>
      <c r="T303" t="str">
        <f t="shared" si="12"/>
        <v>Positive</v>
      </c>
      <c r="U303" t="str">
        <f t="shared" si="13"/>
        <v>Negative</v>
      </c>
      <c r="V303" s="1" t="str">
        <f t="shared" si="14"/>
        <v>Inaccurate Prediction</v>
      </c>
    </row>
    <row r="304" spans="1:22" x14ac:dyDescent="0.25">
      <c r="A304" s="1">
        <v>5</v>
      </c>
      <c r="B304" s="1">
        <v>77</v>
      </c>
      <c r="C304" s="1">
        <v>82</v>
      </c>
      <c r="D304" s="1">
        <v>41</v>
      </c>
      <c r="E304" s="1">
        <v>42</v>
      </c>
      <c r="F304" s="1">
        <v>35.799999999999997</v>
      </c>
      <c r="G304" s="1">
        <v>0.156</v>
      </c>
      <c r="H304" s="1">
        <v>35</v>
      </c>
      <c r="I304" s="1">
        <v>0</v>
      </c>
      <c r="J304" s="1">
        <f>IFERROR(VLOOKUP(K304,[1]diabetes_Recognition!$A:$B,2,FALSE),"Not Sampled")</f>
        <v>0</v>
      </c>
      <c r="K304" s="1">
        <v>302</v>
      </c>
      <c r="L304" s="1" t="str">
        <f>LOOKUP(A304,Sheet2!$D$4:$E$9)</f>
        <v>5-7</v>
      </c>
      <c r="M304" t="str">
        <f>LOOKUP(B304,Sheet2!$G$4:$H$9)</f>
        <v>1-99</v>
      </c>
      <c r="N304" t="str">
        <f>LOOKUP(C304,Sheet2!$J$4:$K$8)</f>
        <v>80+</v>
      </c>
      <c r="O304" t="str">
        <f>LOOKUP(D304,Sheet2!$M$4:$N$8)</f>
        <v>40+</v>
      </c>
      <c r="P304" t="str">
        <f>LOOKUP(E304,Sheet2!$P$4:$Q$9)</f>
        <v>1-99</v>
      </c>
      <c r="Q304" t="str">
        <f>LOOKUP(F304,Sheet2!$S$4:$T$8)</f>
        <v>31-35</v>
      </c>
      <c r="R304" t="str">
        <f>LOOKUP(G304,Sheet2!$V$4:$W$7)</f>
        <v>0.0 - 0.249</v>
      </c>
      <c r="S304" t="str">
        <f>LOOKUP(H304,Sheet2!$Z$4:$AA$7)</f>
        <v>26-35</v>
      </c>
      <c r="T304" t="str">
        <f t="shared" si="12"/>
        <v>Negative</v>
      </c>
      <c r="U304" t="str">
        <f t="shared" si="13"/>
        <v>Negative</v>
      </c>
      <c r="V304" s="1" t="str">
        <f t="shared" si="14"/>
        <v>Accurate Prediction</v>
      </c>
    </row>
    <row r="305" spans="1:22" x14ac:dyDescent="0.25">
      <c r="A305" s="1">
        <v>5</v>
      </c>
      <c r="B305" s="1">
        <v>115</v>
      </c>
      <c r="C305" s="1">
        <v>98</v>
      </c>
      <c r="D305" s="1">
        <v>0</v>
      </c>
      <c r="E305" s="1">
        <v>0</v>
      </c>
      <c r="F305" s="1">
        <v>52.9</v>
      </c>
      <c r="G305" s="1">
        <v>0.20899999999999999</v>
      </c>
      <c r="H305" s="1">
        <v>28</v>
      </c>
      <c r="I305" s="1">
        <v>1</v>
      </c>
      <c r="J305" s="1">
        <f>IFERROR(VLOOKUP(K305,[1]diabetes_Recognition!$A:$B,2,FALSE),"Not Sampled")</f>
        <v>1</v>
      </c>
      <c r="K305" s="1">
        <v>303</v>
      </c>
      <c r="L305" s="1" t="str">
        <f>LOOKUP(A305,Sheet2!$D$4:$E$9)</f>
        <v>5-7</v>
      </c>
      <c r="M305" t="str">
        <f>LOOKUP(B305,Sheet2!$G$4:$H$9)</f>
        <v>100-125</v>
      </c>
      <c r="N305" t="str">
        <f>LOOKUP(C305,Sheet2!$J$4:$K$8)</f>
        <v>80+</v>
      </c>
      <c r="O305" t="str">
        <f>LOOKUP(D305,Sheet2!$M$4:$N$8)</f>
        <v>Unknown</v>
      </c>
      <c r="P305" t="str">
        <f>LOOKUP(E305,Sheet2!$P$4:$Q$9)</f>
        <v>Unknown</v>
      </c>
      <c r="Q305" t="str">
        <f>LOOKUP(F305,Sheet2!$S$4:$T$8)</f>
        <v>36+</v>
      </c>
      <c r="R305" t="str">
        <f>LOOKUP(G305,Sheet2!$V$4:$W$7)</f>
        <v>0.0 - 0.249</v>
      </c>
      <c r="S305" t="str">
        <f>LOOKUP(H305,Sheet2!$Z$4:$AA$7)</f>
        <v>26-35</v>
      </c>
      <c r="T305" t="str">
        <f t="shared" si="12"/>
        <v>Positive</v>
      </c>
      <c r="U305" t="str">
        <f t="shared" si="13"/>
        <v>Positive</v>
      </c>
      <c r="V305" s="1" t="str">
        <f t="shared" si="14"/>
        <v>Accurate Prediction</v>
      </c>
    </row>
    <row r="306" spans="1:22" x14ac:dyDescent="0.25">
      <c r="A306" s="1">
        <v>3</v>
      </c>
      <c r="B306" s="1">
        <v>150</v>
      </c>
      <c r="C306" s="1">
        <v>76</v>
      </c>
      <c r="D306" s="1">
        <v>0</v>
      </c>
      <c r="E306" s="1">
        <v>0</v>
      </c>
      <c r="F306" s="1">
        <v>21</v>
      </c>
      <c r="G306" s="1">
        <v>0.20699999999999999</v>
      </c>
      <c r="H306" s="1">
        <v>37</v>
      </c>
      <c r="I306" s="1">
        <v>0</v>
      </c>
      <c r="J306" s="1">
        <f>IFERROR(VLOOKUP(K306,[1]diabetes_Recognition!$A:$B,2,FALSE),"Not Sampled")</f>
        <v>0</v>
      </c>
      <c r="K306" s="1">
        <v>304</v>
      </c>
      <c r="L306" s="1" t="str">
        <f>LOOKUP(A306,Sheet2!$D$4:$E$9)</f>
        <v>3-4</v>
      </c>
      <c r="M306" t="str">
        <f>LOOKUP(B306,Sheet2!$G$4:$H$9)</f>
        <v>126-150</v>
      </c>
      <c r="N306" t="str">
        <f>LOOKUP(C306,Sheet2!$J$4:$K$8)</f>
        <v>70-79</v>
      </c>
      <c r="O306" t="str">
        <f>LOOKUP(D306,Sheet2!$M$4:$N$8)</f>
        <v>Unknown</v>
      </c>
      <c r="P306" t="str">
        <f>LOOKUP(E306,Sheet2!$P$4:$Q$9)</f>
        <v>Unknown</v>
      </c>
      <c r="Q306" t="str">
        <f>LOOKUP(F306,Sheet2!$S$4:$T$8)</f>
        <v>1-25</v>
      </c>
      <c r="R306" t="str">
        <f>LOOKUP(G306,Sheet2!$V$4:$W$7)</f>
        <v>0.0 - 0.249</v>
      </c>
      <c r="S306" t="str">
        <f>LOOKUP(H306,Sheet2!$Z$4:$AA$7)</f>
        <v>36-45</v>
      </c>
      <c r="T306" t="str">
        <f t="shared" si="12"/>
        <v>Negative</v>
      </c>
      <c r="U306" t="str">
        <f t="shared" si="13"/>
        <v>Negative</v>
      </c>
      <c r="V306" s="1" t="str">
        <f t="shared" si="14"/>
        <v>Accurate Prediction</v>
      </c>
    </row>
    <row r="307" spans="1:22" x14ac:dyDescent="0.25">
      <c r="A307" s="1">
        <v>2</v>
      </c>
      <c r="B307" s="1">
        <v>120</v>
      </c>
      <c r="C307" s="1">
        <v>76</v>
      </c>
      <c r="D307" s="1">
        <v>37</v>
      </c>
      <c r="E307" s="1">
        <v>105</v>
      </c>
      <c r="F307" s="1">
        <v>39.700000000000003</v>
      </c>
      <c r="G307" s="1">
        <v>0.215</v>
      </c>
      <c r="H307" s="1">
        <v>29</v>
      </c>
      <c r="I307" s="1">
        <v>0</v>
      </c>
      <c r="J307" s="1">
        <f>IFERROR(VLOOKUP(K307,[1]diabetes_Recognition!$A:$B,2,FALSE),"Not Sampled")</f>
        <v>0</v>
      </c>
      <c r="K307" s="1">
        <v>305</v>
      </c>
      <c r="L307" s="1">
        <f>LOOKUP(A307,Sheet2!$D$4:$E$9)</f>
        <v>2</v>
      </c>
      <c r="M307" t="str">
        <f>LOOKUP(B307,Sheet2!$G$4:$H$9)</f>
        <v>100-125</v>
      </c>
      <c r="N307" t="str">
        <f>LOOKUP(C307,Sheet2!$J$4:$K$8)</f>
        <v>70-79</v>
      </c>
      <c r="O307" t="str">
        <f>LOOKUP(D307,Sheet2!$M$4:$N$8)</f>
        <v>30-39</v>
      </c>
      <c r="P307" t="str">
        <f>LOOKUP(E307,Sheet2!$P$4:$Q$9)</f>
        <v>100-199</v>
      </c>
      <c r="Q307" t="str">
        <f>LOOKUP(F307,Sheet2!$S$4:$T$8)</f>
        <v>36+</v>
      </c>
      <c r="R307" t="str">
        <f>LOOKUP(G307,Sheet2!$V$4:$W$7)</f>
        <v>0.0 - 0.249</v>
      </c>
      <c r="S307" t="str">
        <f>LOOKUP(H307,Sheet2!$Z$4:$AA$7)</f>
        <v>26-35</v>
      </c>
      <c r="T307" t="str">
        <f t="shared" si="12"/>
        <v>Negative</v>
      </c>
      <c r="U307" t="str">
        <f t="shared" si="13"/>
        <v>Negative</v>
      </c>
      <c r="V307" s="1" t="str">
        <f t="shared" si="14"/>
        <v>Accurate Prediction</v>
      </c>
    </row>
    <row r="308" spans="1:22" x14ac:dyDescent="0.25">
      <c r="A308" s="1">
        <v>10</v>
      </c>
      <c r="B308" s="1">
        <v>161</v>
      </c>
      <c r="C308" s="1">
        <v>68</v>
      </c>
      <c r="D308" s="1">
        <v>23</v>
      </c>
      <c r="E308" s="1">
        <v>132</v>
      </c>
      <c r="F308" s="1">
        <v>25.5</v>
      </c>
      <c r="G308" s="1">
        <v>0.32600000000000001</v>
      </c>
      <c r="H308" s="1">
        <v>47</v>
      </c>
      <c r="I308" s="1">
        <v>1</v>
      </c>
      <c r="J308" s="1">
        <f>IFERROR(VLOOKUP(K308,[1]diabetes_Recognition!$A:$B,2,FALSE),"Not Sampled")</f>
        <v>1</v>
      </c>
      <c r="K308" s="1">
        <v>306</v>
      </c>
      <c r="L308" s="1" t="str">
        <f>LOOKUP(A308,Sheet2!$D$4:$E$9)</f>
        <v>8+</v>
      </c>
      <c r="M308" t="str">
        <f>LOOKUP(B308,Sheet2!$G$4:$H$9)</f>
        <v>151-175</v>
      </c>
      <c r="N308" t="str">
        <f>LOOKUP(C308,Sheet2!$J$4:$K$8)</f>
        <v>60-69</v>
      </c>
      <c r="O308" t="str">
        <f>LOOKUP(D308,Sheet2!$M$4:$N$8)</f>
        <v>10-30</v>
      </c>
      <c r="P308" t="str">
        <f>LOOKUP(E308,Sheet2!$P$4:$Q$9)</f>
        <v>100-199</v>
      </c>
      <c r="Q308" t="str">
        <f>LOOKUP(F308,Sheet2!$S$4:$T$8)</f>
        <v>1-25</v>
      </c>
      <c r="R308" t="str">
        <f>LOOKUP(G308,Sheet2!$V$4:$W$7)</f>
        <v>0.25 - 0.39</v>
      </c>
      <c r="S308" t="str">
        <f>LOOKUP(H308,Sheet2!$Z$4:$AA$7)</f>
        <v>46+</v>
      </c>
      <c r="T308" t="str">
        <f t="shared" si="12"/>
        <v>Positive</v>
      </c>
      <c r="U308" t="str">
        <f t="shared" si="13"/>
        <v>Positive</v>
      </c>
      <c r="V308" s="1" t="str">
        <f t="shared" si="14"/>
        <v>Accurate Prediction</v>
      </c>
    </row>
    <row r="309" spans="1:22" x14ac:dyDescent="0.25">
      <c r="A309" s="1">
        <v>0</v>
      </c>
      <c r="B309" s="1">
        <v>137</v>
      </c>
      <c r="C309" s="1">
        <v>68</v>
      </c>
      <c r="D309" s="1">
        <v>14</v>
      </c>
      <c r="E309" s="1">
        <v>148</v>
      </c>
      <c r="F309" s="1">
        <v>24.8</v>
      </c>
      <c r="G309" s="1">
        <v>0.14299999999999999</v>
      </c>
      <c r="H309" s="1">
        <v>21</v>
      </c>
      <c r="I309" s="1">
        <v>0</v>
      </c>
      <c r="J309" s="1" t="str">
        <f>IFERROR(VLOOKUP(K309,[1]diabetes_Recognition!$A:$B,2,FALSE),"Not Sampled")</f>
        <v>Not Sampled</v>
      </c>
      <c r="K309" s="1">
        <v>307</v>
      </c>
      <c r="L309" s="1">
        <f>LOOKUP(A309,Sheet2!$D$4:$E$9)</f>
        <v>0</v>
      </c>
      <c r="M309" t="str">
        <f>LOOKUP(B309,Sheet2!$G$4:$H$9)</f>
        <v>126-150</v>
      </c>
      <c r="N309" t="str">
        <f>LOOKUP(C309,Sheet2!$J$4:$K$8)</f>
        <v>60-69</v>
      </c>
      <c r="O309" t="str">
        <f>LOOKUP(D309,Sheet2!$M$4:$N$8)</f>
        <v>10-30</v>
      </c>
      <c r="P309" t="str">
        <f>LOOKUP(E309,Sheet2!$P$4:$Q$9)</f>
        <v>100-199</v>
      </c>
      <c r="Q309" t="str">
        <f>LOOKUP(F309,Sheet2!$S$4:$T$8)</f>
        <v>1-25</v>
      </c>
      <c r="R309" t="str">
        <f>LOOKUP(G309,Sheet2!$V$4:$W$7)</f>
        <v>0.0 - 0.249</v>
      </c>
      <c r="S309" t="str">
        <f>LOOKUP(H309,Sheet2!$Z$4:$AA$7)</f>
        <v>&lt;=25</v>
      </c>
      <c r="T309" t="str">
        <f t="shared" si="12"/>
        <v>Negative</v>
      </c>
      <c r="U309" t="str">
        <f t="shared" si="13"/>
        <v>Not Sampled</v>
      </c>
      <c r="V309" s="1" t="str">
        <f t="shared" si="14"/>
        <v>Not Sampled</v>
      </c>
    </row>
    <row r="310" spans="1:22" x14ac:dyDescent="0.25">
      <c r="A310" s="1">
        <v>0</v>
      </c>
      <c r="B310" s="1">
        <v>128</v>
      </c>
      <c r="C310" s="1">
        <v>68</v>
      </c>
      <c r="D310" s="1">
        <v>19</v>
      </c>
      <c r="E310" s="1">
        <v>180</v>
      </c>
      <c r="F310" s="1">
        <v>30.5</v>
      </c>
      <c r="G310" s="1">
        <v>1.391</v>
      </c>
      <c r="H310" s="1">
        <v>25</v>
      </c>
      <c r="I310" s="1">
        <v>1</v>
      </c>
      <c r="J310" s="1" t="str">
        <f>IFERROR(VLOOKUP(K310,[1]diabetes_Recognition!$A:$B,2,FALSE),"Not Sampled")</f>
        <v>Not Sampled</v>
      </c>
      <c r="K310" s="1">
        <v>308</v>
      </c>
      <c r="L310" s="1">
        <f>LOOKUP(A310,Sheet2!$D$4:$E$9)</f>
        <v>0</v>
      </c>
      <c r="M310" t="str">
        <f>LOOKUP(B310,Sheet2!$G$4:$H$9)</f>
        <v>126-150</v>
      </c>
      <c r="N310" t="str">
        <f>LOOKUP(C310,Sheet2!$J$4:$K$8)</f>
        <v>60-69</v>
      </c>
      <c r="O310" t="str">
        <f>LOOKUP(D310,Sheet2!$M$4:$N$8)</f>
        <v>10-30</v>
      </c>
      <c r="P310" t="str">
        <f>LOOKUP(E310,Sheet2!$P$4:$Q$9)</f>
        <v>100-199</v>
      </c>
      <c r="Q310" t="str">
        <f>LOOKUP(F310,Sheet2!$S$4:$T$8)</f>
        <v>26-30</v>
      </c>
      <c r="R310" t="str">
        <f>LOOKUP(G310,Sheet2!$V$4:$W$7)</f>
        <v>0.7+</v>
      </c>
      <c r="S310" t="str">
        <f>LOOKUP(H310,Sheet2!$Z$4:$AA$7)</f>
        <v>&lt;=25</v>
      </c>
      <c r="T310" t="str">
        <f t="shared" si="12"/>
        <v>Positive</v>
      </c>
      <c r="U310" t="str">
        <f t="shared" si="13"/>
        <v>Not Sampled</v>
      </c>
      <c r="V310" s="1" t="str">
        <f t="shared" si="14"/>
        <v>Not Sampled</v>
      </c>
    </row>
    <row r="311" spans="1:22" x14ac:dyDescent="0.25">
      <c r="A311" s="1">
        <v>2</v>
      </c>
      <c r="B311" s="1">
        <v>124</v>
      </c>
      <c r="C311" s="1">
        <v>68</v>
      </c>
      <c r="D311" s="1">
        <v>28</v>
      </c>
      <c r="E311" s="1">
        <v>205</v>
      </c>
      <c r="F311" s="1">
        <v>32.9</v>
      </c>
      <c r="G311" s="1">
        <v>0.875</v>
      </c>
      <c r="H311" s="1">
        <v>30</v>
      </c>
      <c r="I311" s="1">
        <v>1</v>
      </c>
      <c r="J311" s="1">
        <f>IFERROR(VLOOKUP(K311,[1]diabetes_Recognition!$A:$B,2,FALSE),"Not Sampled")</f>
        <v>0</v>
      </c>
      <c r="K311" s="1">
        <v>309</v>
      </c>
      <c r="L311" s="1">
        <f>LOOKUP(A311,Sheet2!$D$4:$E$9)</f>
        <v>2</v>
      </c>
      <c r="M311" t="str">
        <f>LOOKUP(B311,Sheet2!$G$4:$H$9)</f>
        <v>100-125</v>
      </c>
      <c r="N311" t="str">
        <f>LOOKUP(C311,Sheet2!$J$4:$K$8)</f>
        <v>60-69</v>
      </c>
      <c r="O311" t="str">
        <f>LOOKUP(D311,Sheet2!$M$4:$N$8)</f>
        <v>10-30</v>
      </c>
      <c r="P311" t="str">
        <f>LOOKUP(E311,Sheet2!$P$4:$Q$9)</f>
        <v>200-399</v>
      </c>
      <c r="Q311" t="str">
        <f>LOOKUP(F311,Sheet2!$S$4:$T$8)</f>
        <v>31-35</v>
      </c>
      <c r="R311" t="str">
        <f>LOOKUP(G311,Sheet2!$V$4:$W$7)</f>
        <v>0.7+</v>
      </c>
      <c r="S311" t="str">
        <f>LOOKUP(H311,Sheet2!$Z$4:$AA$7)</f>
        <v>26-35</v>
      </c>
      <c r="T311" t="str">
        <f t="shared" si="12"/>
        <v>Positive</v>
      </c>
      <c r="U311" t="str">
        <f t="shared" si="13"/>
        <v>Negative</v>
      </c>
      <c r="V311" s="1" t="str">
        <f t="shared" si="14"/>
        <v>Inaccurate Prediction</v>
      </c>
    </row>
    <row r="312" spans="1:22" x14ac:dyDescent="0.25">
      <c r="A312" s="1">
        <v>6</v>
      </c>
      <c r="B312" s="1">
        <v>80</v>
      </c>
      <c r="C312" s="1">
        <v>66</v>
      </c>
      <c r="D312" s="1">
        <v>30</v>
      </c>
      <c r="E312" s="1">
        <v>0</v>
      </c>
      <c r="F312" s="1">
        <v>26.2</v>
      </c>
      <c r="G312" s="1">
        <v>0.313</v>
      </c>
      <c r="H312" s="1">
        <v>41</v>
      </c>
      <c r="I312" s="1">
        <v>0</v>
      </c>
      <c r="J312" s="1" t="str">
        <f>IFERROR(VLOOKUP(K312,[1]diabetes_Recognition!$A:$B,2,FALSE),"Not Sampled")</f>
        <v>Not Sampled</v>
      </c>
      <c r="K312" s="1">
        <v>310</v>
      </c>
      <c r="L312" s="1" t="str">
        <f>LOOKUP(A312,Sheet2!$D$4:$E$9)</f>
        <v>5-7</v>
      </c>
      <c r="M312" t="str">
        <f>LOOKUP(B312,Sheet2!$G$4:$H$9)</f>
        <v>1-99</v>
      </c>
      <c r="N312" t="str">
        <f>LOOKUP(C312,Sheet2!$J$4:$K$8)</f>
        <v>60-69</v>
      </c>
      <c r="O312" t="str">
        <f>LOOKUP(D312,Sheet2!$M$4:$N$8)</f>
        <v>30-39</v>
      </c>
      <c r="P312" t="str">
        <f>LOOKUP(E312,Sheet2!$P$4:$Q$9)</f>
        <v>Unknown</v>
      </c>
      <c r="Q312" t="str">
        <f>LOOKUP(F312,Sheet2!$S$4:$T$8)</f>
        <v>26-30</v>
      </c>
      <c r="R312" t="str">
        <f>LOOKUP(G312,Sheet2!$V$4:$W$7)</f>
        <v>0.25 - 0.39</v>
      </c>
      <c r="S312" t="str">
        <f>LOOKUP(H312,Sheet2!$Z$4:$AA$7)</f>
        <v>36-45</v>
      </c>
      <c r="T312" t="str">
        <f t="shared" si="12"/>
        <v>Negative</v>
      </c>
      <c r="U312" t="str">
        <f t="shared" si="13"/>
        <v>Not Sampled</v>
      </c>
      <c r="V312" s="1" t="str">
        <f t="shared" si="14"/>
        <v>Not Sampled</v>
      </c>
    </row>
    <row r="313" spans="1:22" x14ac:dyDescent="0.25">
      <c r="A313" s="1">
        <v>0</v>
      </c>
      <c r="B313" s="1">
        <v>106</v>
      </c>
      <c r="C313" s="1">
        <v>70</v>
      </c>
      <c r="D313" s="1">
        <v>37</v>
      </c>
      <c r="E313" s="1">
        <v>148</v>
      </c>
      <c r="F313" s="1">
        <v>39.4</v>
      </c>
      <c r="G313" s="1">
        <v>0.60499999999999998</v>
      </c>
      <c r="H313" s="1">
        <v>22</v>
      </c>
      <c r="I313" s="1">
        <v>0</v>
      </c>
      <c r="J313" s="1" t="str">
        <f>IFERROR(VLOOKUP(K313,[1]diabetes_Recognition!$A:$B,2,FALSE),"Not Sampled")</f>
        <v>Not Sampled</v>
      </c>
      <c r="K313" s="1">
        <v>311</v>
      </c>
      <c r="L313" s="1">
        <f>LOOKUP(A313,Sheet2!$D$4:$E$9)</f>
        <v>0</v>
      </c>
      <c r="M313" t="str">
        <f>LOOKUP(B313,Sheet2!$G$4:$H$9)</f>
        <v>100-125</v>
      </c>
      <c r="N313" t="str">
        <f>LOOKUP(C313,Sheet2!$J$4:$K$8)</f>
        <v>70-79</v>
      </c>
      <c r="O313" t="str">
        <f>LOOKUP(D313,Sheet2!$M$4:$N$8)</f>
        <v>30-39</v>
      </c>
      <c r="P313" t="str">
        <f>LOOKUP(E313,Sheet2!$P$4:$Q$9)</f>
        <v>100-199</v>
      </c>
      <c r="Q313" t="str">
        <f>LOOKUP(F313,Sheet2!$S$4:$T$8)</f>
        <v>36+</v>
      </c>
      <c r="R313" t="str">
        <f>LOOKUP(G313,Sheet2!$V$4:$W$7)</f>
        <v>0.4 - 0.69</v>
      </c>
      <c r="S313" t="str">
        <f>LOOKUP(H313,Sheet2!$Z$4:$AA$7)</f>
        <v>&lt;=25</v>
      </c>
      <c r="T313" t="str">
        <f t="shared" si="12"/>
        <v>Negative</v>
      </c>
      <c r="U313" t="str">
        <f t="shared" si="13"/>
        <v>Not Sampled</v>
      </c>
      <c r="V313" s="1" t="str">
        <f t="shared" si="14"/>
        <v>Not Sampled</v>
      </c>
    </row>
    <row r="314" spans="1:22" x14ac:dyDescent="0.25">
      <c r="A314" s="1">
        <v>2</v>
      </c>
      <c r="B314" s="1">
        <v>155</v>
      </c>
      <c r="C314" s="1">
        <v>74</v>
      </c>
      <c r="D314" s="1">
        <v>17</v>
      </c>
      <c r="E314" s="1">
        <v>96</v>
      </c>
      <c r="F314" s="1">
        <v>26.6</v>
      </c>
      <c r="G314" s="1">
        <v>0.433</v>
      </c>
      <c r="H314" s="1">
        <v>27</v>
      </c>
      <c r="I314" s="1">
        <v>1</v>
      </c>
      <c r="J314" s="1" t="str">
        <f>IFERROR(VLOOKUP(K314,[1]diabetes_Recognition!$A:$B,2,FALSE),"Not Sampled")</f>
        <v>Not Sampled</v>
      </c>
      <c r="K314" s="1">
        <v>312</v>
      </c>
      <c r="L314" s="1">
        <f>LOOKUP(A314,Sheet2!$D$4:$E$9)</f>
        <v>2</v>
      </c>
      <c r="M314" t="str">
        <f>LOOKUP(B314,Sheet2!$G$4:$H$9)</f>
        <v>151-175</v>
      </c>
      <c r="N314" t="str">
        <f>LOOKUP(C314,Sheet2!$J$4:$K$8)</f>
        <v>70-79</v>
      </c>
      <c r="O314" t="str">
        <f>LOOKUP(D314,Sheet2!$M$4:$N$8)</f>
        <v>10-30</v>
      </c>
      <c r="P314" t="str">
        <f>LOOKUP(E314,Sheet2!$P$4:$Q$9)</f>
        <v>1-99</v>
      </c>
      <c r="Q314" t="str">
        <f>LOOKUP(F314,Sheet2!$S$4:$T$8)</f>
        <v>26-30</v>
      </c>
      <c r="R314" t="str">
        <f>LOOKUP(G314,Sheet2!$V$4:$W$7)</f>
        <v>0.4 - 0.69</v>
      </c>
      <c r="S314" t="str">
        <f>LOOKUP(H314,Sheet2!$Z$4:$AA$7)</f>
        <v>26-35</v>
      </c>
      <c r="T314" t="str">
        <f t="shared" si="12"/>
        <v>Positive</v>
      </c>
      <c r="U314" t="str">
        <f t="shared" si="13"/>
        <v>Not Sampled</v>
      </c>
      <c r="V314" s="1" t="str">
        <f t="shared" si="14"/>
        <v>Not Sampled</v>
      </c>
    </row>
    <row r="315" spans="1:22" x14ac:dyDescent="0.25">
      <c r="A315" s="1">
        <v>3</v>
      </c>
      <c r="B315" s="1">
        <v>113</v>
      </c>
      <c r="C315" s="1">
        <v>50</v>
      </c>
      <c r="D315" s="1">
        <v>10</v>
      </c>
      <c r="E315" s="1">
        <v>85</v>
      </c>
      <c r="F315" s="1">
        <v>29.5</v>
      </c>
      <c r="G315" s="1">
        <v>0.626</v>
      </c>
      <c r="H315" s="1">
        <v>25</v>
      </c>
      <c r="I315" s="1">
        <v>0</v>
      </c>
      <c r="J315" s="1" t="str">
        <f>IFERROR(VLOOKUP(K315,[1]diabetes_Recognition!$A:$B,2,FALSE),"Not Sampled")</f>
        <v>Not Sampled</v>
      </c>
      <c r="K315" s="1">
        <v>313</v>
      </c>
      <c r="L315" s="1" t="str">
        <f>LOOKUP(A315,Sheet2!$D$4:$E$9)</f>
        <v>3-4</v>
      </c>
      <c r="M315" t="str">
        <f>LOOKUP(B315,Sheet2!$G$4:$H$9)</f>
        <v>100-125</v>
      </c>
      <c r="N315" t="str">
        <f>LOOKUP(C315,Sheet2!$J$4:$K$8)</f>
        <v>1-59</v>
      </c>
      <c r="O315" t="str">
        <f>LOOKUP(D315,Sheet2!$M$4:$N$8)</f>
        <v>10-30</v>
      </c>
      <c r="P315" t="str">
        <f>LOOKUP(E315,Sheet2!$P$4:$Q$9)</f>
        <v>1-99</v>
      </c>
      <c r="Q315" t="str">
        <f>LOOKUP(F315,Sheet2!$S$4:$T$8)</f>
        <v>26-30</v>
      </c>
      <c r="R315" t="str">
        <f>LOOKUP(G315,Sheet2!$V$4:$W$7)</f>
        <v>0.4 - 0.69</v>
      </c>
      <c r="S315" t="str">
        <f>LOOKUP(H315,Sheet2!$Z$4:$AA$7)</f>
        <v>&lt;=25</v>
      </c>
      <c r="T315" t="str">
        <f t="shared" si="12"/>
        <v>Negative</v>
      </c>
      <c r="U315" t="str">
        <f t="shared" si="13"/>
        <v>Not Sampled</v>
      </c>
      <c r="V315" s="1" t="str">
        <f t="shared" si="14"/>
        <v>Not Sampled</v>
      </c>
    </row>
    <row r="316" spans="1:22" x14ac:dyDescent="0.25">
      <c r="A316" s="1">
        <v>7</v>
      </c>
      <c r="B316" s="1">
        <v>109</v>
      </c>
      <c r="C316" s="1">
        <v>80</v>
      </c>
      <c r="D316" s="1">
        <v>31</v>
      </c>
      <c r="E316" s="1">
        <v>0</v>
      </c>
      <c r="F316" s="1">
        <v>35.9</v>
      </c>
      <c r="G316" s="1">
        <v>1.127</v>
      </c>
      <c r="H316" s="1">
        <v>43</v>
      </c>
      <c r="I316" s="1">
        <v>1</v>
      </c>
      <c r="J316" s="1" t="str">
        <f>IFERROR(VLOOKUP(K316,[1]diabetes_Recognition!$A:$B,2,FALSE),"Not Sampled")</f>
        <v>Not Sampled</v>
      </c>
      <c r="K316" s="1">
        <v>314</v>
      </c>
      <c r="L316" s="1" t="str">
        <f>LOOKUP(A316,Sheet2!$D$4:$E$9)</f>
        <v>5-7</v>
      </c>
      <c r="M316" t="str">
        <f>LOOKUP(B316,Sheet2!$G$4:$H$9)</f>
        <v>100-125</v>
      </c>
      <c r="N316" t="str">
        <f>LOOKUP(C316,Sheet2!$J$4:$K$8)</f>
        <v>80+</v>
      </c>
      <c r="O316" t="str">
        <f>LOOKUP(D316,Sheet2!$M$4:$N$8)</f>
        <v>30-39</v>
      </c>
      <c r="P316" t="str">
        <f>LOOKUP(E316,Sheet2!$P$4:$Q$9)</f>
        <v>Unknown</v>
      </c>
      <c r="Q316" t="str">
        <f>LOOKUP(F316,Sheet2!$S$4:$T$8)</f>
        <v>31-35</v>
      </c>
      <c r="R316" t="str">
        <f>LOOKUP(G316,Sheet2!$V$4:$W$7)</f>
        <v>0.7+</v>
      </c>
      <c r="S316" t="str">
        <f>LOOKUP(H316,Sheet2!$Z$4:$AA$7)</f>
        <v>36-45</v>
      </c>
      <c r="T316" t="str">
        <f t="shared" si="12"/>
        <v>Positive</v>
      </c>
      <c r="U316" t="str">
        <f t="shared" si="13"/>
        <v>Not Sampled</v>
      </c>
      <c r="V316" s="1" t="str">
        <f t="shared" si="14"/>
        <v>Not Sampled</v>
      </c>
    </row>
    <row r="317" spans="1:22" x14ac:dyDescent="0.25">
      <c r="A317" s="1">
        <v>2</v>
      </c>
      <c r="B317" s="1">
        <v>112</v>
      </c>
      <c r="C317" s="1">
        <v>68</v>
      </c>
      <c r="D317" s="1">
        <v>22</v>
      </c>
      <c r="E317" s="1">
        <v>94</v>
      </c>
      <c r="F317" s="1">
        <v>34.1</v>
      </c>
      <c r="G317" s="1">
        <v>0.315</v>
      </c>
      <c r="H317" s="1">
        <v>26</v>
      </c>
      <c r="I317" s="1">
        <v>0</v>
      </c>
      <c r="J317" s="1" t="str">
        <f>IFERROR(VLOOKUP(K317,[1]diabetes_Recognition!$A:$B,2,FALSE),"Not Sampled")</f>
        <v>Not Sampled</v>
      </c>
      <c r="K317" s="1">
        <v>315</v>
      </c>
      <c r="L317" s="1">
        <f>LOOKUP(A317,Sheet2!$D$4:$E$9)</f>
        <v>2</v>
      </c>
      <c r="M317" t="str">
        <f>LOOKUP(B317,Sheet2!$G$4:$H$9)</f>
        <v>100-125</v>
      </c>
      <c r="N317" t="str">
        <f>LOOKUP(C317,Sheet2!$J$4:$K$8)</f>
        <v>60-69</v>
      </c>
      <c r="O317" t="str">
        <f>LOOKUP(D317,Sheet2!$M$4:$N$8)</f>
        <v>10-30</v>
      </c>
      <c r="P317" t="str">
        <f>LOOKUP(E317,Sheet2!$P$4:$Q$9)</f>
        <v>1-99</v>
      </c>
      <c r="Q317" t="str">
        <f>LOOKUP(F317,Sheet2!$S$4:$T$8)</f>
        <v>31-35</v>
      </c>
      <c r="R317" t="str">
        <f>LOOKUP(G317,Sheet2!$V$4:$W$7)</f>
        <v>0.25 - 0.39</v>
      </c>
      <c r="S317" t="str">
        <f>LOOKUP(H317,Sheet2!$Z$4:$AA$7)</f>
        <v>26-35</v>
      </c>
      <c r="T317" t="str">
        <f t="shared" si="12"/>
        <v>Negative</v>
      </c>
      <c r="U317" t="str">
        <f t="shared" si="13"/>
        <v>Not Sampled</v>
      </c>
      <c r="V317" s="1" t="str">
        <f t="shared" si="14"/>
        <v>Not Sampled</v>
      </c>
    </row>
    <row r="318" spans="1:22" x14ac:dyDescent="0.25">
      <c r="A318" s="1">
        <v>3</v>
      </c>
      <c r="B318" s="1">
        <v>99</v>
      </c>
      <c r="C318" s="1">
        <v>80</v>
      </c>
      <c r="D318" s="1">
        <v>11</v>
      </c>
      <c r="E318" s="1">
        <v>64</v>
      </c>
      <c r="F318" s="1">
        <v>19.3</v>
      </c>
      <c r="G318" s="1">
        <v>0.28399999999999997</v>
      </c>
      <c r="H318" s="1">
        <v>30</v>
      </c>
      <c r="I318" s="1">
        <v>0</v>
      </c>
      <c r="J318" s="1" t="str">
        <f>IFERROR(VLOOKUP(K318,[1]diabetes_Recognition!$A:$B,2,FALSE),"Not Sampled")</f>
        <v>Not Sampled</v>
      </c>
      <c r="K318" s="1">
        <v>316</v>
      </c>
      <c r="L318" s="1" t="str">
        <f>LOOKUP(A318,Sheet2!$D$4:$E$9)</f>
        <v>3-4</v>
      </c>
      <c r="M318" t="str">
        <f>LOOKUP(B318,Sheet2!$G$4:$H$9)</f>
        <v>1-99</v>
      </c>
      <c r="N318" t="str">
        <f>LOOKUP(C318,Sheet2!$J$4:$K$8)</f>
        <v>80+</v>
      </c>
      <c r="O318" t="str">
        <f>LOOKUP(D318,Sheet2!$M$4:$N$8)</f>
        <v>10-30</v>
      </c>
      <c r="P318" t="str">
        <f>LOOKUP(E318,Sheet2!$P$4:$Q$9)</f>
        <v>1-99</v>
      </c>
      <c r="Q318" t="str">
        <f>LOOKUP(F318,Sheet2!$S$4:$T$8)</f>
        <v>1-25</v>
      </c>
      <c r="R318" t="str">
        <f>LOOKUP(G318,Sheet2!$V$4:$W$7)</f>
        <v>0.25 - 0.39</v>
      </c>
      <c r="S318" t="str">
        <f>LOOKUP(H318,Sheet2!$Z$4:$AA$7)</f>
        <v>26-35</v>
      </c>
      <c r="T318" t="str">
        <f t="shared" si="12"/>
        <v>Negative</v>
      </c>
      <c r="U318" t="str">
        <f t="shared" si="13"/>
        <v>Not Sampled</v>
      </c>
      <c r="V318" s="1" t="str">
        <f t="shared" si="14"/>
        <v>Not Sampled</v>
      </c>
    </row>
    <row r="319" spans="1:22" x14ac:dyDescent="0.25">
      <c r="A319" s="1">
        <v>3</v>
      </c>
      <c r="B319" s="1">
        <v>182</v>
      </c>
      <c r="C319" s="1">
        <v>74</v>
      </c>
      <c r="D319" s="1">
        <v>0</v>
      </c>
      <c r="E319" s="1">
        <v>0</v>
      </c>
      <c r="F319" s="1">
        <v>30.5</v>
      </c>
      <c r="G319" s="1">
        <v>0.34499999999999997</v>
      </c>
      <c r="H319" s="1">
        <v>29</v>
      </c>
      <c r="I319" s="1">
        <v>1</v>
      </c>
      <c r="J319" s="1" t="str">
        <f>IFERROR(VLOOKUP(K319,[1]diabetes_Recognition!$A:$B,2,FALSE),"Not Sampled")</f>
        <v>Not Sampled</v>
      </c>
      <c r="K319" s="1">
        <v>317</v>
      </c>
      <c r="L319" s="1" t="str">
        <f>LOOKUP(A319,Sheet2!$D$4:$E$9)</f>
        <v>3-4</v>
      </c>
      <c r="M319" t="str">
        <f>LOOKUP(B319,Sheet2!$G$4:$H$9)</f>
        <v>176-200</v>
      </c>
      <c r="N319" t="str">
        <f>LOOKUP(C319,Sheet2!$J$4:$K$8)</f>
        <v>70-79</v>
      </c>
      <c r="O319" t="str">
        <f>LOOKUP(D319,Sheet2!$M$4:$N$8)</f>
        <v>Unknown</v>
      </c>
      <c r="P319" t="str">
        <f>LOOKUP(E319,Sheet2!$P$4:$Q$9)</f>
        <v>Unknown</v>
      </c>
      <c r="Q319" t="str">
        <f>LOOKUP(F319,Sheet2!$S$4:$T$8)</f>
        <v>26-30</v>
      </c>
      <c r="R319" t="str">
        <f>LOOKUP(G319,Sheet2!$V$4:$W$7)</f>
        <v>0.25 - 0.39</v>
      </c>
      <c r="S319" t="str">
        <f>LOOKUP(H319,Sheet2!$Z$4:$AA$7)</f>
        <v>26-35</v>
      </c>
      <c r="T319" t="str">
        <f t="shared" si="12"/>
        <v>Positive</v>
      </c>
      <c r="U319" t="str">
        <f t="shared" si="13"/>
        <v>Not Sampled</v>
      </c>
      <c r="V319" s="1" t="str">
        <f t="shared" si="14"/>
        <v>Not Sampled</v>
      </c>
    </row>
    <row r="320" spans="1:22" x14ac:dyDescent="0.25">
      <c r="A320" s="1">
        <v>3</v>
      </c>
      <c r="B320" s="1">
        <v>115</v>
      </c>
      <c r="C320" s="1">
        <v>66</v>
      </c>
      <c r="D320" s="1">
        <v>39</v>
      </c>
      <c r="E320" s="1">
        <v>140</v>
      </c>
      <c r="F320" s="1">
        <v>38.1</v>
      </c>
      <c r="G320" s="1">
        <v>0.15</v>
      </c>
      <c r="H320" s="1">
        <v>28</v>
      </c>
      <c r="I320" s="1">
        <v>0</v>
      </c>
      <c r="J320" s="1" t="str">
        <f>IFERROR(VLOOKUP(K320,[1]diabetes_Recognition!$A:$B,2,FALSE),"Not Sampled")</f>
        <v>Not Sampled</v>
      </c>
      <c r="K320" s="1">
        <v>318</v>
      </c>
      <c r="L320" s="1" t="str">
        <f>LOOKUP(A320,Sheet2!$D$4:$E$9)</f>
        <v>3-4</v>
      </c>
      <c r="M320" t="str">
        <f>LOOKUP(B320,Sheet2!$G$4:$H$9)</f>
        <v>100-125</v>
      </c>
      <c r="N320" t="str">
        <f>LOOKUP(C320,Sheet2!$J$4:$K$8)</f>
        <v>60-69</v>
      </c>
      <c r="O320" t="str">
        <f>LOOKUP(D320,Sheet2!$M$4:$N$8)</f>
        <v>30-39</v>
      </c>
      <c r="P320" t="str">
        <f>LOOKUP(E320,Sheet2!$P$4:$Q$9)</f>
        <v>100-199</v>
      </c>
      <c r="Q320" t="str">
        <f>LOOKUP(F320,Sheet2!$S$4:$T$8)</f>
        <v>36+</v>
      </c>
      <c r="R320" t="str">
        <f>LOOKUP(G320,Sheet2!$V$4:$W$7)</f>
        <v>0.0 - 0.249</v>
      </c>
      <c r="S320" t="str">
        <f>LOOKUP(H320,Sheet2!$Z$4:$AA$7)</f>
        <v>26-35</v>
      </c>
      <c r="T320" t="str">
        <f t="shared" si="12"/>
        <v>Negative</v>
      </c>
      <c r="U320" t="str">
        <f t="shared" si="13"/>
        <v>Not Sampled</v>
      </c>
      <c r="V320" s="1" t="str">
        <f t="shared" si="14"/>
        <v>Not Sampled</v>
      </c>
    </row>
    <row r="321" spans="1:22" x14ac:dyDescent="0.25">
      <c r="A321" s="1">
        <v>6</v>
      </c>
      <c r="B321" s="1">
        <v>194</v>
      </c>
      <c r="C321" s="1">
        <v>78</v>
      </c>
      <c r="D321" s="1">
        <v>0</v>
      </c>
      <c r="E321" s="1">
        <v>0</v>
      </c>
      <c r="F321" s="1">
        <v>23.5</v>
      </c>
      <c r="G321" s="1">
        <v>0.129</v>
      </c>
      <c r="H321" s="1">
        <v>59</v>
      </c>
      <c r="I321" s="1">
        <v>1</v>
      </c>
      <c r="J321" s="1" t="str">
        <f>IFERROR(VLOOKUP(K321,[1]diabetes_Recognition!$A:$B,2,FALSE),"Not Sampled")</f>
        <v>Not Sampled</v>
      </c>
      <c r="K321" s="1">
        <v>319</v>
      </c>
      <c r="L321" s="1" t="str">
        <f>LOOKUP(A321,Sheet2!$D$4:$E$9)</f>
        <v>5-7</v>
      </c>
      <c r="M321" t="str">
        <f>LOOKUP(B321,Sheet2!$G$4:$H$9)</f>
        <v>176-200</v>
      </c>
      <c r="N321" t="str">
        <f>LOOKUP(C321,Sheet2!$J$4:$K$8)</f>
        <v>70-79</v>
      </c>
      <c r="O321" t="str">
        <f>LOOKUP(D321,Sheet2!$M$4:$N$8)</f>
        <v>Unknown</v>
      </c>
      <c r="P321" t="str">
        <f>LOOKUP(E321,Sheet2!$P$4:$Q$9)</f>
        <v>Unknown</v>
      </c>
      <c r="Q321" t="str">
        <f>LOOKUP(F321,Sheet2!$S$4:$T$8)</f>
        <v>1-25</v>
      </c>
      <c r="R321" t="str">
        <f>LOOKUP(G321,Sheet2!$V$4:$W$7)</f>
        <v>0.0 - 0.249</v>
      </c>
      <c r="S321" t="str">
        <f>LOOKUP(H321,Sheet2!$Z$4:$AA$7)</f>
        <v>46+</v>
      </c>
      <c r="T321" t="str">
        <f t="shared" si="12"/>
        <v>Positive</v>
      </c>
      <c r="U321" t="str">
        <f t="shared" si="13"/>
        <v>Not Sampled</v>
      </c>
      <c r="V321" s="1" t="str">
        <f t="shared" si="14"/>
        <v>Not Sampled</v>
      </c>
    </row>
    <row r="322" spans="1:22" x14ac:dyDescent="0.25">
      <c r="A322" s="1">
        <v>4</v>
      </c>
      <c r="B322" s="1">
        <v>129</v>
      </c>
      <c r="C322" s="1">
        <v>60</v>
      </c>
      <c r="D322" s="1">
        <v>12</v>
      </c>
      <c r="E322" s="1">
        <v>231</v>
      </c>
      <c r="F322" s="1">
        <v>27.5</v>
      </c>
      <c r="G322" s="1">
        <v>0.52700000000000002</v>
      </c>
      <c r="H322" s="1">
        <v>31</v>
      </c>
      <c r="I322" s="1">
        <v>0</v>
      </c>
      <c r="J322" s="1" t="str">
        <f>IFERROR(VLOOKUP(K322,[1]diabetes_Recognition!$A:$B,2,FALSE),"Not Sampled")</f>
        <v>Not Sampled</v>
      </c>
      <c r="K322" s="1">
        <v>320</v>
      </c>
      <c r="L322" s="1" t="str">
        <f>LOOKUP(A322,Sheet2!$D$4:$E$9)</f>
        <v>3-4</v>
      </c>
      <c r="M322" t="str">
        <f>LOOKUP(B322,Sheet2!$G$4:$H$9)</f>
        <v>126-150</v>
      </c>
      <c r="N322" t="str">
        <f>LOOKUP(C322,Sheet2!$J$4:$K$8)</f>
        <v>60-69</v>
      </c>
      <c r="O322" t="str">
        <f>LOOKUP(D322,Sheet2!$M$4:$N$8)</f>
        <v>10-30</v>
      </c>
      <c r="P322" t="str">
        <f>LOOKUP(E322,Sheet2!$P$4:$Q$9)</f>
        <v>200-399</v>
      </c>
      <c r="Q322" t="str">
        <f>LOOKUP(F322,Sheet2!$S$4:$T$8)</f>
        <v>26-30</v>
      </c>
      <c r="R322" t="str">
        <f>LOOKUP(G322,Sheet2!$V$4:$W$7)</f>
        <v>0.4 - 0.69</v>
      </c>
      <c r="S322" t="str">
        <f>LOOKUP(H322,Sheet2!$Z$4:$AA$7)</f>
        <v>26-35</v>
      </c>
      <c r="T322" t="str">
        <f t="shared" si="12"/>
        <v>Negative</v>
      </c>
      <c r="U322" t="str">
        <f t="shared" si="13"/>
        <v>Not Sampled</v>
      </c>
      <c r="V322" s="1" t="str">
        <f t="shared" si="14"/>
        <v>Not Sampled</v>
      </c>
    </row>
    <row r="323" spans="1:22" x14ac:dyDescent="0.25">
      <c r="A323" s="1">
        <v>3</v>
      </c>
      <c r="B323" s="1">
        <v>112</v>
      </c>
      <c r="C323" s="1">
        <v>74</v>
      </c>
      <c r="D323" s="1">
        <v>30</v>
      </c>
      <c r="E323" s="1">
        <v>0</v>
      </c>
      <c r="F323" s="1">
        <v>31.6</v>
      </c>
      <c r="G323" s="1">
        <v>0.19700000000000001</v>
      </c>
      <c r="H323" s="1">
        <v>25</v>
      </c>
      <c r="I323" s="1">
        <v>1</v>
      </c>
      <c r="J323" s="1">
        <f>IFERROR(VLOOKUP(K323,[1]diabetes_Recognition!$A:$B,2,FALSE),"Not Sampled")</f>
        <v>0</v>
      </c>
      <c r="K323" s="1">
        <v>321</v>
      </c>
      <c r="L323" s="1" t="str">
        <f>LOOKUP(A323,Sheet2!$D$4:$E$9)</f>
        <v>3-4</v>
      </c>
      <c r="M323" t="str">
        <f>LOOKUP(B323,Sheet2!$G$4:$H$9)</f>
        <v>100-125</v>
      </c>
      <c r="N323" t="str">
        <f>LOOKUP(C323,Sheet2!$J$4:$K$8)</f>
        <v>70-79</v>
      </c>
      <c r="O323" t="str">
        <f>LOOKUP(D323,Sheet2!$M$4:$N$8)</f>
        <v>30-39</v>
      </c>
      <c r="P323" t="str">
        <f>LOOKUP(E323,Sheet2!$P$4:$Q$9)</f>
        <v>Unknown</v>
      </c>
      <c r="Q323" t="str">
        <f>LOOKUP(F323,Sheet2!$S$4:$T$8)</f>
        <v>31-35</v>
      </c>
      <c r="R323" t="str">
        <f>LOOKUP(G323,Sheet2!$V$4:$W$7)</f>
        <v>0.0 - 0.249</v>
      </c>
      <c r="S323" t="str">
        <f>LOOKUP(H323,Sheet2!$Z$4:$AA$7)</f>
        <v>&lt;=25</v>
      </c>
      <c r="T323" t="str">
        <f t="shared" ref="T323:T386" si="15">IF(I323=1,"Positive","Negative")</f>
        <v>Positive</v>
      </c>
      <c r="U323" t="str">
        <f t="shared" ref="U323:U386" si="16">IF(J323=1,"Positive",(IF(J323=0,"Negative","Not Sampled")))</f>
        <v>Negative</v>
      </c>
      <c r="V323" s="1" t="str">
        <f t="shared" ref="V323:V386" si="17">IF(U323="Not Sampled","Not Sampled",IF(T323=U323,"Accurate Prediction","Inaccurate Prediction"))</f>
        <v>Inaccurate Prediction</v>
      </c>
    </row>
    <row r="324" spans="1:22" x14ac:dyDescent="0.25">
      <c r="A324" s="1">
        <v>0</v>
      </c>
      <c r="B324" s="1">
        <v>124</v>
      </c>
      <c r="C324" s="1">
        <v>70</v>
      </c>
      <c r="D324" s="1">
        <v>20</v>
      </c>
      <c r="E324" s="1">
        <v>0</v>
      </c>
      <c r="F324" s="1">
        <v>27.4</v>
      </c>
      <c r="G324" s="1">
        <v>0.254</v>
      </c>
      <c r="H324" s="1">
        <v>36</v>
      </c>
      <c r="I324" s="1">
        <v>1</v>
      </c>
      <c r="J324" s="1" t="str">
        <f>IFERROR(VLOOKUP(K324,[1]diabetes_Recognition!$A:$B,2,FALSE),"Not Sampled")</f>
        <v>Not Sampled</v>
      </c>
      <c r="K324" s="1">
        <v>322</v>
      </c>
      <c r="L324" s="1">
        <f>LOOKUP(A324,Sheet2!$D$4:$E$9)</f>
        <v>0</v>
      </c>
      <c r="M324" t="str">
        <f>LOOKUP(B324,Sheet2!$G$4:$H$9)</f>
        <v>100-125</v>
      </c>
      <c r="N324" t="str">
        <f>LOOKUP(C324,Sheet2!$J$4:$K$8)</f>
        <v>70-79</v>
      </c>
      <c r="O324" t="str">
        <f>LOOKUP(D324,Sheet2!$M$4:$N$8)</f>
        <v>10-30</v>
      </c>
      <c r="P324" t="str">
        <f>LOOKUP(E324,Sheet2!$P$4:$Q$9)</f>
        <v>Unknown</v>
      </c>
      <c r="Q324" t="str">
        <f>LOOKUP(F324,Sheet2!$S$4:$T$8)</f>
        <v>26-30</v>
      </c>
      <c r="R324" t="str">
        <f>LOOKUP(G324,Sheet2!$V$4:$W$7)</f>
        <v>0.25 - 0.39</v>
      </c>
      <c r="S324" t="str">
        <f>LOOKUP(H324,Sheet2!$Z$4:$AA$7)</f>
        <v>36-45</v>
      </c>
      <c r="T324" t="str">
        <f t="shared" si="15"/>
        <v>Positive</v>
      </c>
      <c r="U324" t="str">
        <f t="shared" si="16"/>
        <v>Not Sampled</v>
      </c>
      <c r="V324" s="1" t="str">
        <f t="shared" si="17"/>
        <v>Not Sampled</v>
      </c>
    </row>
    <row r="325" spans="1:22" x14ac:dyDescent="0.25">
      <c r="A325" s="1">
        <v>13</v>
      </c>
      <c r="B325" s="1">
        <v>152</v>
      </c>
      <c r="C325" s="1">
        <v>90</v>
      </c>
      <c r="D325" s="1">
        <v>33</v>
      </c>
      <c r="E325" s="1">
        <v>29</v>
      </c>
      <c r="F325" s="1">
        <v>26.8</v>
      </c>
      <c r="G325" s="1">
        <v>0.73099999999999998</v>
      </c>
      <c r="H325" s="1">
        <v>43</v>
      </c>
      <c r="I325" s="1">
        <v>1</v>
      </c>
      <c r="J325" s="1" t="str">
        <f>IFERROR(VLOOKUP(K325,[1]diabetes_Recognition!$A:$B,2,FALSE),"Not Sampled")</f>
        <v>Not Sampled</v>
      </c>
      <c r="K325" s="1">
        <v>323</v>
      </c>
      <c r="L325" s="1" t="str">
        <f>LOOKUP(A325,Sheet2!$D$4:$E$9)</f>
        <v>8+</v>
      </c>
      <c r="M325" t="str">
        <f>LOOKUP(B325,Sheet2!$G$4:$H$9)</f>
        <v>151-175</v>
      </c>
      <c r="N325" t="str">
        <f>LOOKUP(C325,Sheet2!$J$4:$K$8)</f>
        <v>80+</v>
      </c>
      <c r="O325" t="str">
        <f>LOOKUP(D325,Sheet2!$M$4:$N$8)</f>
        <v>30-39</v>
      </c>
      <c r="P325" t="str">
        <f>LOOKUP(E325,Sheet2!$P$4:$Q$9)</f>
        <v>1-99</v>
      </c>
      <c r="Q325" t="str">
        <f>LOOKUP(F325,Sheet2!$S$4:$T$8)</f>
        <v>26-30</v>
      </c>
      <c r="R325" t="str">
        <f>LOOKUP(G325,Sheet2!$V$4:$W$7)</f>
        <v>0.7+</v>
      </c>
      <c r="S325" t="str">
        <f>LOOKUP(H325,Sheet2!$Z$4:$AA$7)</f>
        <v>36-45</v>
      </c>
      <c r="T325" t="str">
        <f t="shared" si="15"/>
        <v>Positive</v>
      </c>
      <c r="U325" t="str">
        <f t="shared" si="16"/>
        <v>Not Sampled</v>
      </c>
      <c r="V325" s="1" t="str">
        <f t="shared" si="17"/>
        <v>Not Sampled</v>
      </c>
    </row>
    <row r="326" spans="1:22" x14ac:dyDescent="0.25">
      <c r="A326" s="1">
        <v>2</v>
      </c>
      <c r="B326" s="1">
        <v>112</v>
      </c>
      <c r="C326" s="1">
        <v>75</v>
      </c>
      <c r="D326" s="1">
        <v>32</v>
      </c>
      <c r="E326" s="1">
        <v>0</v>
      </c>
      <c r="F326" s="1">
        <v>35.700000000000003</v>
      </c>
      <c r="G326" s="1">
        <v>0.14799999999999999</v>
      </c>
      <c r="H326" s="1">
        <v>21</v>
      </c>
      <c r="I326" s="1">
        <v>0</v>
      </c>
      <c r="J326" s="1" t="str">
        <f>IFERROR(VLOOKUP(K326,[1]diabetes_Recognition!$A:$B,2,FALSE),"Not Sampled")</f>
        <v>Not Sampled</v>
      </c>
      <c r="K326" s="1">
        <v>324</v>
      </c>
      <c r="L326" s="1">
        <f>LOOKUP(A326,Sheet2!$D$4:$E$9)</f>
        <v>2</v>
      </c>
      <c r="M326" t="str">
        <f>LOOKUP(B326,Sheet2!$G$4:$H$9)</f>
        <v>100-125</v>
      </c>
      <c r="N326" t="str">
        <f>LOOKUP(C326,Sheet2!$J$4:$K$8)</f>
        <v>70-79</v>
      </c>
      <c r="O326" t="str">
        <f>LOOKUP(D326,Sheet2!$M$4:$N$8)</f>
        <v>30-39</v>
      </c>
      <c r="P326" t="str">
        <f>LOOKUP(E326,Sheet2!$P$4:$Q$9)</f>
        <v>Unknown</v>
      </c>
      <c r="Q326" t="str">
        <f>LOOKUP(F326,Sheet2!$S$4:$T$8)</f>
        <v>31-35</v>
      </c>
      <c r="R326" t="str">
        <f>LOOKUP(G326,Sheet2!$V$4:$W$7)</f>
        <v>0.0 - 0.249</v>
      </c>
      <c r="S326" t="str">
        <f>LOOKUP(H326,Sheet2!$Z$4:$AA$7)</f>
        <v>&lt;=25</v>
      </c>
      <c r="T326" t="str">
        <f t="shared" si="15"/>
        <v>Negative</v>
      </c>
      <c r="U326" t="str">
        <f t="shared" si="16"/>
        <v>Not Sampled</v>
      </c>
      <c r="V326" s="1" t="str">
        <f t="shared" si="17"/>
        <v>Not Sampled</v>
      </c>
    </row>
    <row r="327" spans="1:22" x14ac:dyDescent="0.25">
      <c r="A327" s="1">
        <v>1</v>
      </c>
      <c r="B327" s="1">
        <v>157</v>
      </c>
      <c r="C327" s="1">
        <v>72</v>
      </c>
      <c r="D327" s="1">
        <v>21</v>
      </c>
      <c r="E327" s="1">
        <v>168</v>
      </c>
      <c r="F327" s="1">
        <v>25.6</v>
      </c>
      <c r="G327" s="1">
        <v>0.123</v>
      </c>
      <c r="H327" s="1">
        <v>24</v>
      </c>
      <c r="I327" s="1">
        <v>0</v>
      </c>
      <c r="J327" s="1">
        <f>IFERROR(VLOOKUP(K327,[1]diabetes_Recognition!$A:$B,2,FALSE),"Not Sampled")</f>
        <v>0</v>
      </c>
      <c r="K327" s="1">
        <v>325</v>
      </c>
      <c r="L327" s="1">
        <f>LOOKUP(A327,Sheet2!$D$4:$E$9)</f>
        <v>1</v>
      </c>
      <c r="M327" t="str">
        <f>LOOKUP(B327,Sheet2!$G$4:$H$9)</f>
        <v>151-175</v>
      </c>
      <c r="N327" t="str">
        <f>LOOKUP(C327,Sheet2!$J$4:$K$8)</f>
        <v>70-79</v>
      </c>
      <c r="O327" t="str">
        <f>LOOKUP(D327,Sheet2!$M$4:$N$8)</f>
        <v>10-30</v>
      </c>
      <c r="P327" t="str">
        <f>LOOKUP(E327,Sheet2!$P$4:$Q$9)</f>
        <v>100-199</v>
      </c>
      <c r="Q327" t="str">
        <f>LOOKUP(F327,Sheet2!$S$4:$T$8)</f>
        <v>1-25</v>
      </c>
      <c r="R327" t="str">
        <f>LOOKUP(G327,Sheet2!$V$4:$W$7)</f>
        <v>0.0 - 0.249</v>
      </c>
      <c r="S327" t="str">
        <f>LOOKUP(H327,Sheet2!$Z$4:$AA$7)</f>
        <v>&lt;=25</v>
      </c>
      <c r="T327" t="str">
        <f t="shared" si="15"/>
        <v>Negative</v>
      </c>
      <c r="U327" t="str">
        <f t="shared" si="16"/>
        <v>Negative</v>
      </c>
      <c r="V327" s="1" t="str">
        <f t="shared" si="17"/>
        <v>Accurate Prediction</v>
      </c>
    </row>
    <row r="328" spans="1:22" x14ac:dyDescent="0.25">
      <c r="A328" s="1">
        <v>1</v>
      </c>
      <c r="B328" s="1">
        <v>122</v>
      </c>
      <c r="C328" s="1">
        <v>64</v>
      </c>
      <c r="D328" s="1">
        <v>32</v>
      </c>
      <c r="E328" s="1">
        <v>156</v>
      </c>
      <c r="F328" s="1">
        <v>35.1</v>
      </c>
      <c r="G328" s="1">
        <v>0.69199999999999995</v>
      </c>
      <c r="H328" s="1">
        <v>30</v>
      </c>
      <c r="I328" s="1">
        <v>1</v>
      </c>
      <c r="J328" s="1" t="str">
        <f>IFERROR(VLOOKUP(K328,[1]diabetes_Recognition!$A:$B,2,FALSE),"Not Sampled")</f>
        <v>Not Sampled</v>
      </c>
      <c r="K328" s="1">
        <v>326</v>
      </c>
      <c r="L328" s="1">
        <f>LOOKUP(A328,Sheet2!$D$4:$E$9)</f>
        <v>1</v>
      </c>
      <c r="M328" t="str">
        <f>LOOKUP(B328,Sheet2!$G$4:$H$9)</f>
        <v>100-125</v>
      </c>
      <c r="N328" t="str">
        <f>LOOKUP(C328,Sheet2!$J$4:$K$8)</f>
        <v>60-69</v>
      </c>
      <c r="O328" t="str">
        <f>LOOKUP(D328,Sheet2!$M$4:$N$8)</f>
        <v>30-39</v>
      </c>
      <c r="P328" t="str">
        <f>LOOKUP(E328,Sheet2!$P$4:$Q$9)</f>
        <v>100-199</v>
      </c>
      <c r="Q328" t="str">
        <f>LOOKUP(F328,Sheet2!$S$4:$T$8)</f>
        <v>31-35</v>
      </c>
      <c r="R328" t="str">
        <f>LOOKUP(G328,Sheet2!$V$4:$W$7)</f>
        <v>0.4 - 0.69</v>
      </c>
      <c r="S328" t="str">
        <f>LOOKUP(H328,Sheet2!$Z$4:$AA$7)</f>
        <v>26-35</v>
      </c>
      <c r="T328" t="str">
        <f t="shared" si="15"/>
        <v>Positive</v>
      </c>
      <c r="U328" t="str">
        <f t="shared" si="16"/>
        <v>Not Sampled</v>
      </c>
      <c r="V328" s="1" t="str">
        <f t="shared" si="17"/>
        <v>Not Sampled</v>
      </c>
    </row>
    <row r="329" spans="1:22" x14ac:dyDescent="0.25">
      <c r="A329" s="1">
        <v>10</v>
      </c>
      <c r="B329" s="1">
        <v>179</v>
      </c>
      <c r="C329" s="1">
        <v>70</v>
      </c>
      <c r="D329" s="1">
        <v>0</v>
      </c>
      <c r="E329" s="1">
        <v>0</v>
      </c>
      <c r="F329" s="1">
        <v>35.1</v>
      </c>
      <c r="G329" s="1">
        <v>0.2</v>
      </c>
      <c r="H329" s="1">
        <v>37</v>
      </c>
      <c r="I329" s="1">
        <v>0</v>
      </c>
      <c r="J329" s="1" t="str">
        <f>IFERROR(VLOOKUP(K329,[1]diabetes_Recognition!$A:$B,2,FALSE),"Not Sampled")</f>
        <v>Not Sampled</v>
      </c>
      <c r="K329" s="1">
        <v>327</v>
      </c>
      <c r="L329" s="1" t="str">
        <f>LOOKUP(A329,Sheet2!$D$4:$E$9)</f>
        <v>8+</v>
      </c>
      <c r="M329" t="str">
        <f>LOOKUP(B329,Sheet2!$G$4:$H$9)</f>
        <v>176-200</v>
      </c>
      <c r="N329" t="str">
        <f>LOOKUP(C329,Sheet2!$J$4:$K$8)</f>
        <v>70-79</v>
      </c>
      <c r="O329" t="str">
        <f>LOOKUP(D329,Sheet2!$M$4:$N$8)</f>
        <v>Unknown</v>
      </c>
      <c r="P329" t="str">
        <f>LOOKUP(E329,Sheet2!$P$4:$Q$9)</f>
        <v>Unknown</v>
      </c>
      <c r="Q329" t="str">
        <f>LOOKUP(F329,Sheet2!$S$4:$T$8)</f>
        <v>31-35</v>
      </c>
      <c r="R329" t="str">
        <f>LOOKUP(G329,Sheet2!$V$4:$W$7)</f>
        <v>0.0 - 0.249</v>
      </c>
      <c r="S329" t="str">
        <f>LOOKUP(H329,Sheet2!$Z$4:$AA$7)</f>
        <v>36-45</v>
      </c>
      <c r="T329" t="str">
        <f t="shared" si="15"/>
        <v>Negative</v>
      </c>
      <c r="U329" t="str">
        <f t="shared" si="16"/>
        <v>Not Sampled</v>
      </c>
      <c r="V329" s="1" t="str">
        <f t="shared" si="17"/>
        <v>Not Sampled</v>
      </c>
    </row>
    <row r="330" spans="1:22" x14ac:dyDescent="0.25">
      <c r="A330" s="1">
        <v>2</v>
      </c>
      <c r="B330" s="1">
        <v>102</v>
      </c>
      <c r="C330" s="1">
        <v>86</v>
      </c>
      <c r="D330" s="1">
        <v>36</v>
      </c>
      <c r="E330" s="1">
        <v>120</v>
      </c>
      <c r="F330" s="1">
        <v>45.5</v>
      </c>
      <c r="G330" s="1">
        <v>0.127</v>
      </c>
      <c r="H330" s="1">
        <v>23</v>
      </c>
      <c r="I330" s="1">
        <v>1</v>
      </c>
      <c r="J330" s="1" t="str">
        <f>IFERROR(VLOOKUP(K330,[1]diabetes_Recognition!$A:$B,2,FALSE),"Not Sampled")</f>
        <v>Not Sampled</v>
      </c>
      <c r="K330" s="1">
        <v>328</v>
      </c>
      <c r="L330" s="1">
        <f>LOOKUP(A330,Sheet2!$D$4:$E$9)</f>
        <v>2</v>
      </c>
      <c r="M330" t="str">
        <f>LOOKUP(B330,Sheet2!$G$4:$H$9)</f>
        <v>100-125</v>
      </c>
      <c r="N330" t="str">
        <f>LOOKUP(C330,Sheet2!$J$4:$K$8)</f>
        <v>80+</v>
      </c>
      <c r="O330" t="str">
        <f>LOOKUP(D330,Sheet2!$M$4:$N$8)</f>
        <v>30-39</v>
      </c>
      <c r="P330" t="str">
        <f>LOOKUP(E330,Sheet2!$P$4:$Q$9)</f>
        <v>100-199</v>
      </c>
      <c r="Q330" t="str">
        <f>LOOKUP(F330,Sheet2!$S$4:$T$8)</f>
        <v>36+</v>
      </c>
      <c r="R330" t="str">
        <f>LOOKUP(G330,Sheet2!$V$4:$W$7)</f>
        <v>0.0 - 0.249</v>
      </c>
      <c r="S330" t="str">
        <f>LOOKUP(H330,Sheet2!$Z$4:$AA$7)</f>
        <v>&lt;=25</v>
      </c>
      <c r="T330" t="str">
        <f t="shared" si="15"/>
        <v>Positive</v>
      </c>
      <c r="U330" t="str">
        <f t="shared" si="16"/>
        <v>Not Sampled</v>
      </c>
      <c r="V330" s="1" t="str">
        <f t="shared" si="17"/>
        <v>Not Sampled</v>
      </c>
    </row>
    <row r="331" spans="1:22" x14ac:dyDescent="0.25">
      <c r="A331" s="1">
        <v>6</v>
      </c>
      <c r="B331" s="1">
        <v>105</v>
      </c>
      <c r="C331" s="1">
        <v>70</v>
      </c>
      <c r="D331" s="1">
        <v>32</v>
      </c>
      <c r="E331" s="1">
        <v>68</v>
      </c>
      <c r="F331" s="1">
        <v>30.8</v>
      </c>
      <c r="G331" s="1">
        <v>0.122</v>
      </c>
      <c r="H331" s="1">
        <v>37</v>
      </c>
      <c r="I331" s="1">
        <v>0</v>
      </c>
      <c r="J331" s="1" t="str">
        <f>IFERROR(VLOOKUP(K331,[1]diabetes_Recognition!$A:$B,2,FALSE),"Not Sampled")</f>
        <v>Not Sampled</v>
      </c>
      <c r="K331" s="1">
        <v>329</v>
      </c>
      <c r="L331" s="1" t="str">
        <f>LOOKUP(A331,Sheet2!$D$4:$E$9)</f>
        <v>5-7</v>
      </c>
      <c r="M331" t="str">
        <f>LOOKUP(B331,Sheet2!$G$4:$H$9)</f>
        <v>100-125</v>
      </c>
      <c r="N331" t="str">
        <f>LOOKUP(C331,Sheet2!$J$4:$K$8)</f>
        <v>70-79</v>
      </c>
      <c r="O331" t="str">
        <f>LOOKUP(D331,Sheet2!$M$4:$N$8)</f>
        <v>30-39</v>
      </c>
      <c r="P331" t="str">
        <f>LOOKUP(E331,Sheet2!$P$4:$Q$9)</f>
        <v>1-99</v>
      </c>
      <c r="Q331" t="str">
        <f>LOOKUP(F331,Sheet2!$S$4:$T$8)</f>
        <v>26-30</v>
      </c>
      <c r="R331" t="str">
        <f>LOOKUP(G331,Sheet2!$V$4:$W$7)</f>
        <v>0.0 - 0.249</v>
      </c>
      <c r="S331" t="str">
        <f>LOOKUP(H331,Sheet2!$Z$4:$AA$7)</f>
        <v>36-45</v>
      </c>
      <c r="T331" t="str">
        <f t="shared" si="15"/>
        <v>Negative</v>
      </c>
      <c r="U331" t="str">
        <f t="shared" si="16"/>
        <v>Not Sampled</v>
      </c>
      <c r="V331" s="1" t="str">
        <f t="shared" si="17"/>
        <v>Not Sampled</v>
      </c>
    </row>
    <row r="332" spans="1:22" x14ac:dyDescent="0.25">
      <c r="A332" s="1">
        <v>8</v>
      </c>
      <c r="B332" s="1">
        <v>118</v>
      </c>
      <c r="C332" s="1">
        <v>72</v>
      </c>
      <c r="D332" s="1">
        <v>19</v>
      </c>
      <c r="E332" s="1">
        <v>0</v>
      </c>
      <c r="F332" s="1">
        <v>23.1</v>
      </c>
      <c r="G332" s="1">
        <v>1.476</v>
      </c>
      <c r="H332" s="1">
        <v>46</v>
      </c>
      <c r="I332" s="1">
        <v>0</v>
      </c>
      <c r="J332" s="1">
        <f>IFERROR(VLOOKUP(K332,[1]diabetes_Recognition!$A:$B,2,FALSE),"Not Sampled")</f>
        <v>1</v>
      </c>
      <c r="K332" s="1">
        <v>330</v>
      </c>
      <c r="L332" s="1" t="str">
        <f>LOOKUP(A332,Sheet2!$D$4:$E$9)</f>
        <v>8+</v>
      </c>
      <c r="M332" t="str">
        <f>LOOKUP(B332,Sheet2!$G$4:$H$9)</f>
        <v>100-125</v>
      </c>
      <c r="N332" t="str">
        <f>LOOKUP(C332,Sheet2!$J$4:$K$8)</f>
        <v>70-79</v>
      </c>
      <c r="O332" t="str">
        <f>LOOKUP(D332,Sheet2!$M$4:$N$8)</f>
        <v>10-30</v>
      </c>
      <c r="P332" t="str">
        <f>LOOKUP(E332,Sheet2!$P$4:$Q$9)</f>
        <v>Unknown</v>
      </c>
      <c r="Q332" t="str">
        <f>LOOKUP(F332,Sheet2!$S$4:$T$8)</f>
        <v>1-25</v>
      </c>
      <c r="R332" t="str">
        <f>LOOKUP(G332,Sheet2!$V$4:$W$7)</f>
        <v>0.7+</v>
      </c>
      <c r="S332" t="str">
        <f>LOOKUP(H332,Sheet2!$Z$4:$AA$7)</f>
        <v>46+</v>
      </c>
      <c r="T332" t="str">
        <f t="shared" si="15"/>
        <v>Negative</v>
      </c>
      <c r="U332" t="str">
        <f t="shared" si="16"/>
        <v>Positive</v>
      </c>
      <c r="V332" s="1" t="str">
        <f t="shared" si="17"/>
        <v>Inaccurate Prediction</v>
      </c>
    </row>
    <row r="333" spans="1:22" x14ac:dyDescent="0.25">
      <c r="A333" s="1">
        <v>2</v>
      </c>
      <c r="B333" s="1">
        <v>87</v>
      </c>
      <c r="C333" s="1">
        <v>58</v>
      </c>
      <c r="D333" s="1">
        <v>16</v>
      </c>
      <c r="E333" s="1">
        <v>52</v>
      </c>
      <c r="F333" s="1">
        <v>32.700000000000003</v>
      </c>
      <c r="G333" s="1">
        <v>0.16600000000000001</v>
      </c>
      <c r="H333" s="1">
        <v>25</v>
      </c>
      <c r="I333" s="1">
        <v>0</v>
      </c>
      <c r="J333" s="1">
        <f>IFERROR(VLOOKUP(K333,[1]diabetes_Recognition!$A:$B,2,FALSE),"Not Sampled")</f>
        <v>0</v>
      </c>
      <c r="K333" s="1">
        <v>331</v>
      </c>
      <c r="L333" s="1">
        <f>LOOKUP(A333,Sheet2!$D$4:$E$9)</f>
        <v>2</v>
      </c>
      <c r="M333" t="str">
        <f>LOOKUP(B333,Sheet2!$G$4:$H$9)</f>
        <v>1-99</v>
      </c>
      <c r="N333" t="str">
        <f>LOOKUP(C333,Sheet2!$J$4:$K$8)</f>
        <v>1-59</v>
      </c>
      <c r="O333" t="str">
        <f>LOOKUP(D333,Sheet2!$M$4:$N$8)</f>
        <v>10-30</v>
      </c>
      <c r="P333" t="str">
        <f>LOOKUP(E333,Sheet2!$P$4:$Q$9)</f>
        <v>1-99</v>
      </c>
      <c r="Q333" t="str">
        <f>LOOKUP(F333,Sheet2!$S$4:$T$8)</f>
        <v>31-35</v>
      </c>
      <c r="R333" t="str">
        <f>LOOKUP(G333,Sheet2!$V$4:$W$7)</f>
        <v>0.0 - 0.249</v>
      </c>
      <c r="S333" t="str">
        <f>LOOKUP(H333,Sheet2!$Z$4:$AA$7)</f>
        <v>&lt;=25</v>
      </c>
      <c r="T333" t="str">
        <f t="shared" si="15"/>
        <v>Negative</v>
      </c>
      <c r="U333" t="str">
        <f t="shared" si="16"/>
        <v>Negative</v>
      </c>
      <c r="V333" s="1" t="str">
        <f t="shared" si="17"/>
        <v>Accurate Prediction</v>
      </c>
    </row>
    <row r="334" spans="1:22" x14ac:dyDescent="0.25">
      <c r="A334" s="1">
        <v>1</v>
      </c>
      <c r="B334" s="1">
        <v>180</v>
      </c>
      <c r="C334" s="1">
        <v>0</v>
      </c>
      <c r="D334" s="1">
        <v>0</v>
      </c>
      <c r="E334" s="1">
        <v>0</v>
      </c>
      <c r="F334" s="1">
        <v>43.3</v>
      </c>
      <c r="G334" s="1">
        <v>0.28199999999999997</v>
      </c>
      <c r="H334" s="1">
        <v>41</v>
      </c>
      <c r="I334" s="1">
        <v>1</v>
      </c>
      <c r="J334" s="1" t="str">
        <f>IFERROR(VLOOKUP(K334,[1]diabetes_Recognition!$A:$B,2,FALSE),"Not Sampled")</f>
        <v>Not Sampled</v>
      </c>
      <c r="K334" s="1">
        <v>332</v>
      </c>
      <c r="L334" s="1">
        <f>LOOKUP(A334,Sheet2!$D$4:$E$9)</f>
        <v>1</v>
      </c>
      <c r="M334" t="str">
        <f>LOOKUP(B334,Sheet2!$G$4:$H$9)</f>
        <v>176-200</v>
      </c>
      <c r="N334" t="str">
        <f>LOOKUP(C334,Sheet2!$J$4:$K$8)</f>
        <v>Unknown</v>
      </c>
      <c r="O334" t="str">
        <f>LOOKUP(D334,Sheet2!$M$4:$N$8)</f>
        <v>Unknown</v>
      </c>
      <c r="P334" t="str">
        <f>LOOKUP(E334,Sheet2!$P$4:$Q$9)</f>
        <v>Unknown</v>
      </c>
      <c r="Q334" t="str">
        <f>LOOKUP(F334,Sheet2!$S$4:$T$8)</f>
        <v>36+</v>
      </c>
      <c r="R334" t="str">
        <f>LOOKUP(G334,Sheet2!$V$4:$W$7)</f>
        <v>0.25 - 0.39</v>
      </c>
      <c r="S334" t="str">
        <f>LOOKUP(H334,Sheet2!$Z$4:$AA$7)</f>
        <v>36-45</v>
      </c>
      <c r="T334" t="str">
        <f t="shared" si="15"/>
        <v>Positive</v>
      </c>
      <c r="U334" t="str">
        <f t="shared" si="16"/>
        <v>Not Sampled</v>
      </c>
      <c r="V334" s="1" t="str">
        <f t="shared" si="17"/>
        <v>Not Sampled</v>
      </c>
    </row>
    <row r="335" spans="1:22" x14ac:dyDescent="0.25">
      <c r="A335" s="1">
        <v>12</v>
      </c>
      <c r="B335" s="1">
        <v>106</v>
      </c>
      <c r="C335" s="1">
        <v>80</v>
      </c>
      <c r="D335" s="1">
        <v>0</v>
      </c>
      <c r="E335" s="1">
        <v>0</v>
      </c>
      <c r="F335" s="1">
        <v>23.6</v>
      </c>
      <c r="G335" s="1">
        <v>0.13700000000000001</v>
      </c>
      <c r="H335" s="1">
        <v>44</v>
      </c>
      <c r="I335" s="1">
        <v>0</v>
      </c>
      <c r="J335" s="1" t="str">
        <f>IFERROR(VLOOKUP(K335,[1]diabetes_Recognition!$A:$B,2,FALSE),"Not Sampled")</f>
        <v>Not Sampled</v>
      </c>
      <c r="K335" s="1">
        <v>333</v>
      </c>
      <c r="L335" s="1" t="str">
        <f>LOOKUP(A335,Sheet2!$D$4:$E$9)</f>
        <v>8+</v>
      </c>
      <c r="M335" t="str">
        <f>LOOKUP(B335,Sheet2!$G$4:$H$9)</f>
        <v>100-125</v>
      </c>
      <c r="N335" t="str">
        <f>LOOKUP(C335,Sheet2!$J$4:$K$8)</f>
        <v>80+</v>
      </c>
      <c r="O335" t="str">
        <f>LOOKUP(D335,Sheet2!$M$4:$N$8)</f>
        <v>Unknown</v>
      </c>
      <c r="P335" t="str">
        <f>LOOKUP(E335,Sheet2!$P$4:$Q$9)</f>
        <v>Unknown</v>
      </c>
      <c r="Q335" t="str">
        <f>LOOKUP(F335,Sheet2!$S$4:$T$8)</f>
        <v>1-25</v>
      </c>
      <c r="R335" t="str">
        <f>LOOKUP(G335,Sheet2!$V$4:$W$7)</f>
        <v>0.0 - 0.249</v>
      </c>
      <c r="S335" t="str">
        <f>LOOKUP(H335,Sheet2!$Z$4:$AA$7)</f>
        <v>36-45</v>
      </c>
      <c r="T335" t="str">
        <f t="shared" si="15"/>
        <v>Negative</v>
      </c>
      <c r="U335" t="str">
        <f t="shared" si="16"/>
        <v>Not Sampled</v>
      </c>
      <c r="V335" s="1" t="str">
        <f t="shared" si="17"/>
        <v>Not Sampled</v>
      </c>
    </row>
    <row r="336" spans="1:22" x14ac:dyDescent="0.25">
      <c r="A336" s="1">
        <v>1</v>
      </c>
      <c r="B336" s="1">
        <v>95</v>
      </c>
      <c r="C336" s="1">
        <v>60</v>
      </c>
      <c r="D336" s="1">
        <v>18</v>
      </c>
      <c r="E336" s="1">
        <v>58</v>
      </c>
      <c r="F336" s="1">
        <v>23.9</v>
      </c>
      <c r="G336" s="1">
        <v>0.26</v>
      </c>
      <c r="H336" s="1">
        <v>22</v>
      </c>
      <c r="I336" s="1">
        <v>0</v>
      </c>
      <c r="J336" s="1" t="str">
        <f>IFERROR(VLOOKUP(K336,[1]diabetes_Recognition!$A:$B,2,FALSE),"Not Sampled")</f>
        <v>Not Sampled</v>
      </c>
      <c r="K336" s="1">
        <v>334</v>
      </c>
      <c r="L336" s="1">
        <f>LOOKUP(A336,Sheet2!$D$4:$E$9)</f>
        <v>1</v>
      </c>
      <c r="M336" t="str">
        <f>LOOKUP(B336,Sheet2!$G$4:$H$9)</f>
        <v>1-99</v>
      </c>
      <c r="N336" t="str">
        <f>LOOKUP(C336,Sheet2!$J$4:$K$8)</f>
        <v>60-69</v>
      </c>
      <c r="O336" t="str">
        <f>LOOKUP(D336,Sheet2!$M$4:$N$8)</f>
        <v>10-30</v>
      </c>
      <c r="P336" t="str">
        <f>LOOKUP(E336,Sheet2!$P$4:$Q$9)</f>
        <v>1-99</v>
      </c>
      <c r="Q336" t="str">
        <f>LOOKUP(F336,Sheet2!$S$4:$T$8)</f>
        <v>1-25</v>
      </c>
      <c r="R336" t="str">
        <f>LOOKUP(G336,Sheet2!$V$4:$W$7)</f>
        <v>0.25 - 0.39</v>
      </c>
      <c r="S336" t="str">
        <f>LOOKUP(H336,Sheet2!$Z$4:$AA$7)</f>
        <v>&lt;=25</v>
      </c>
      <c r="T336" t="str">
        <f t="shared" si="15"/>
        <v>Negative</v>
      </c>
      <c r="U336" t="str">
        <f t="shared" si="16"/>
        <v>Not Sampled</v>
      </c>
      <c r="V336" s="1" t="str">
        <f t="shared" si="17"/>
        <v>Not Sampled</v>
      </c>
    </row>
    <row r="337" spans="1:22" x14ac:dyDescent="0.25">
      <c r="A337" s="1">
        <v>0</v>
      </c>
      <c r="B337" s="1">
        <v>165</v>
      </c>
      <c r="C337" s="1">
        <v>76</v>
      </c>
      <c r="D337" s="1">
        <v>43</v>
      </c>
      <c r="E337" s="1">
        <v>255</v>
      </c>
      <c r="F337" s="1">
        <v>47.9</v>
      </c>
      <c r="G337" s="1">
        <v>0.25900000000000001</v>
      </c>
      <c r="H337" s="1">
        <v>26</v>
      </c>
      <c r="I337" s="1">
        <v>0</v>
      </c>
      <c r="J337" s="1">
        <f>IFERROR(VLOOKUP(K337,[1]diabetes_Recognition!$A:$B,2,FALSE),"Not Sampled")</f>
        <v>1</v>
      </c>
      <c r="K337" s="1">
        <v>335</v>
      </c>
      <c r="L337" s="1">
        <f>LOOKUP(A337,Sheet2!$D$4:$E$9)</f>
        <v>0</v>
      </c>
      <c r="M337" t="str">
        <f>LOOKUP(B337,Sheet2!$G$4:$H$9)</f>
        <v>151-175</v>
      </c>
      <c r="N337" t="str">
        <f>LOOKUP(C337,Sheet2!$J$4:$K$8)</f>
        <v>70-79</v>
      </c>
      <c r="O337" t="str">
        <f>LOOKUP(D337,Sheet2!$M$4:$N$8)</f>
        <v>40+</v>
      </c>
      <c r="P337" t="str">
        <f>LOOKUP(E337,Sheet2!$P$4:$Q$9)</f>
        <v>200-399</v>
      </c>
      <c r="Q337" t="str">
        <f>LOOKUP(F337,Sheet2!$S$4:$T$8)</f>
        <v>36+</v>
      </c>
      <c r="R337" t="str">
        <f>LOOKUP(G337,Sheet2!$V$4:$W$7)</f>
        <v>0.25 - 0.39</v>
      </c>
      <c r="S337" t="str">
        <f>LOOKUP(H337,Sheet2!$Z$4:$AA$7)</f>
        <v>26-35</v>
      </c>
      <c r="T337" t="str">
        <f t="shared" si="15"/>
        <v>Negative</v>
      </c>
      <c r="U337" t="str">
        <f t="shared" si="16"/>
        <v>Positive</v>
      </c>
      <c r="V337" s="1" t="str">
        <f t="shared" si="17"/>
        <v>Inaccurate Prediction</v>
      </c>
    </row>
    <row r="338" spans="1:22" x14ac:dyDescent="0.25">
      <c r="A338" s="1">
        <v>0</v>
      </c>
      <c r="B338" s="1">
        <v>117</v>
      </c>
      <c r="C338" s="1">
        <v>0</v>
      </c>
      <c r="D338" s="1">
        <v>0</v>
      </c>
      <c r="E338" s="1">
        <v>0</v>
      </c>
      <c r="F338" s="1">
        <v>33.799999999999997</v>
      </c>
      <c r="G338" s="1">
        <v>0.93200000000000005</v>
      </c>
      <c r="H338" s="1">
        <v>44</v>
      </c>
      <c r="I338" s="1">
        <v>0</v>
      </c>
      <c r="J338" s="1">
        <f>IFERROR(VLOOKUP(K338,[1]diabetes_Recognition!$A:$B,2,FALSE),"Not Sampled")</f>
        <v>0</v>
      </c>
      <c r="K338" s="1">
        <v>336</v>
      </c>
      <c r="L338" s="1">
        <f>LOOKUP(A338,Sheet2!$D$4:$E$9)</f>
        <v>0</v>
      </c>
      <c r="M338" t="str">
        <f>LOOKUP(B338,Sheet2!$G$4:$H$9)</f>
        <v>100-125</v>
      </c>
      <c r="N338" t="str">
        <f>LOOKUP(C338,Sheet2!$J$4:$K$8)</f>
        <v>Unknown</v>
      </c>
      <c r="O338" t="str">
        <f>LOOKUP(D338,Sheet2!$M$4:$N$8)</f>
        <v>Unknown</v>
      </c>
      <c r="P338" t="str">
        <f>LOOKUP(E338,Sheet2!$P$4:$Q$9)</f>
        <v>Unknown</v>
      </c>
      <c r="Q338" t="str">
        <f>LOOKUP(F338,Sheet2!$S$4:$T$8)</f>
        <v>31-35</v>
      </c>
      <c r="R338" t="str">
        <f>LOOKUP(G338,Sheet2!$V$4:$W$7)</f>
        <v>0.7+</v>
      </c>
      <c r="S338" t="str">
        <f>LOOKUP(H338,Sheet2!$Z$4:$AA$7)</f>
        <v>36-45</v>
      </c>
      <c r="T338" t="str">
        <f t="shared" si="15"/>
        <v>Negative</v>
      </c>
      <c r="U338" t="str">
        <f t="shared" si="16"/>
        <v>Negative</v>
      </c>
      <c r="V338" s="1" t="str">
        <f t="shared" si="17"/>
        <v>Accurate Prediction</v>
      </c>
    </row>
    <row r="339" spans="1:22" x14ac:dyDescent="0.25">
      <c r="A339" s="1">
        <v>5</v>
      </c>
      <c r="B339" s="1">
        <v>115</v>
      </c>
      <c r="C339" s="1">
        <v>76</v>
      </c>
      <c r="D339" s="1">
        <v>0</v>
      </c>
      <c r="E339" s="1">
        <v>0</v>
      </c>
      <c r="F339" s="1">
        <v>31.2</v>
      </c>
      <c r="G339" s="1">
        <v>0.34300000000000003</v>
      </c>
      <c r="H339" s="1">
        <v>44</v>
      </c>
      <c r="I339" s="1">
        <v>1</v>
      </c>
      <c r="J339" s="1" t="str">
        <f>IFERROR(VLOOKUP(K339,[1]diabetes_Recognition!$A:$B,2,FALSE),"Not Sampled")</f>
        <v>Not Sampled</v>
      </c>
      <c r="K339" s="1">
        <v>337</v>
      </c>
      <c r="L339" s="1" t="str">
        <f>LOOKUP(A339,Sheet2!$D$4:$E$9)</f>
        <v>5-7</v>
      </c>
      <c r="M339" t="str">
        <f>LOOKUP(B339,Sheet2!$G$4:$H$9)</f>
        <v>100-125</v>
      </c>
      <c r="N339" t="str">
        <f>LOOKUP(C339,Sheet2!$J$4:$K$8)</f>
        <v>70-79</v>
      </c>
      <c r="O339" t="str">
        <f>LOOKUP(D339,Sheet2!$M$4:$N$8)</f>
        <v>Unknown</v>
      </c>
      <c r="P339" t="str">
        <f>LOOKUP(E339,Sheet2!$P$4:$Q$9)</f>
        <v>Unknown</v>
      </c>
      <c r="Q339" t="str">
        <f>LOOKUP(F339,Sheet2!$S$4:$T$8)</f>
        <v>31-35</v>
      </c>
      <c r="R339" t="str">
        <f>LOOKUP(G339,Sheet2!$V$4:$W$7)</f>
        <v>0.25 - 0.39</v>
      </c>
      <c r="S339" t="str">
        <f>LOOKUP(H339,Sheet2!$Z$4:$AA$7)</f>
        <v>36-45</v>
      </c>
      <c r="T339" t="str">
        <f t="shared" si="15"/>
        <v>Positive</v>
      </c>
      <c r="U339" t="str">
        <f t="shared" si="16"/>
        <v>Not Sampled</v>
      </c>
      <c r="V339" s="1" t="str">
        <f t="shared" si="17"/>
        <v>Not Sampled</v>
      </c>
    </row>
    <row r="340" spans="1:22" x14ac:dyDescent="0.25">
      <c r="A340" s="1">
        <v>9</v>
      </c>
      <c r="B340" s="1">
        <v>152</v>
      </c>
      <c r="C340" s="1">
        <v>78</v>
      </c>
      <c r="D340" s="1">
        <v>34</v>
      </c>
      <c r="E340" s="1">
        <v>171</v>
      </c>
      <c r="F340" s="1">
        <v>34.200000000000003</v>
      </c>
      <c r="G340" s="1">
        <v>0.89300000000000002</v>
      </c>
      <c r="H340" s="1">
        <v>33</v>
      </c>
      <c r="I340" s="1">
        <v>1</v>
      </c>
      <c r="J340" s="1" t="str">
        <f>IFERROR(VLOOKUP(K340,[1]diabetes_Recognition!$A:$B,2,FALSE),"Not Sampled")</f>
        <v>Not Sampled</v>
      </c>
      <c r="K340" s="1">
        <v>338</v>
      </c>
      <c r="L340" s="1" t="str">
        <f>LOOKUP(A340,Sheet2!$D$4:$E$9)</f>
        <v>8+</v>
      </c>
      <c r="M340" t="str">
        <f>LOOKUP(B340,Sheet2!$G$4:$H$9)</f>
        <v>151-175</v>
      </c>
      <c r="N340" t="str">
        <f>LOOKUP(C340,Sheet2!$J$4:$K$8)</f>
        <v>70-79</v>
      </c>
      <c r="O340" t="str">
        <f>LOOKUP(D340,Sheet2!$M$4:$N$8)</f>
        <v>30-39</v>
      </c>
      <c r="P340" t="str">
        <f>LOOKUP(E340,Sheet2!$P$4:$Q$9)</f>
        <v>100-199</v>
      </c>
      <c r="Q340" t="str">
        <f>LOOKUP(F340,Sheet2!$S$4:$T$8)</f>
        <v>31-35</v>
      </c>
      <c r="R340" t="str">
        <f>LOOKUP(G340,Sheet2!$V$4:$W$7)</f>
        <v>0.7+</v>
      </c>
      <c r="S340" t="str">
        <f>LOOKUP(H340,Sheet2!$Z$4:$AA$7)</f>
        <v>26-35</v>
      </c>
      <c r="T340" t="str">
        <f t="shared" si="15"/>
        <v>Positive</v>
      </c>
      <c r="U340" t="str">
        <f t="shared" si="16"/>
        <v>Not Sampled</v>
      </c>
      <c r="V340" s="1" t="str">
        <f t="shared" si="17"/>
        <v>Not Sampled</v>
      </c>
    </row>
    <row r="341" spans="1:22" x14ac:dyDescent="0.25">
      <c r="A341" s="1">
        <v>7</v>
      </c>
      <c r="B341" s="1">
        <v>178</v>
      </c>
      <c r="C341" s="1">
        <v>84</v>
      </c>
      <c r="D341" s="1">
        <v>0</v>
      </c>
      <c r="E341" s="1">
        <v>0</v>
      </c>
      <c r="F341" s="1">
        <v>39.9</v>
      </c>
      <c r="G341" s="1">
        <v>0.33100000000000002</v>
      </c>
      <c r="H341" s="1">
        <v>41</v>
      </c>
      <c r="I341" s="1">
        <v>1</v>
      </c>
      <c r="J341" s="1" t="str">
        <f>IFERROR(VLOOKUP(K341,[1]diabetes_Recognition!$A:$B,2,FALSE),"Not Sampled")</f>
        <v>Not Sampled</v>
      </c>
      <c r="K341" s="1">
        <v>339</v>
      </c>
      <c r="L341" s="1" t="str">
        <f>LOOKUP(A341,Sheet2!$D$4:$E$9)</f>
        <v>5-7</v>
      </c>
      <c r="M341" t="str">
        <f>LOOKUP(B341,Sheet2!$G$4:$H$9)</f>
        <v>176-200</v>
      </c>
      <c r="N341" t="str">
        <f>LOOKUP(C341,Sheet2!$J$4:$K$8)</f>
        <v>80+</v>
      </c>
      <c r="O341" t="str">
        <f>LOOKUP(D341,Sheet2!$M$4:$N$8)</f>
        <v>Unknown</v>
      </c>
      <c r="P341" t="str">
        <f>LOOKUP(E341,Sheet2!$P$4:$Q$9)</f>
        <v>Unknown</v>
      </c>
      <c r="Q341" t="str">
        <f>LOOKUP(F341,Sheet2!$S$4:$T$8)</f>
        <v>36+</v>
      </c>
      <c r="R341" t="str">
        <f>LOOKUP(G341,Sheet2!$V$4:$W$7)</f>
        <v>0.25 - 0.39</v>
      </c>
      <c r="S341" t="str">
        <f>LOOKUP(H341,Sheet2!$Z$4:$AA$7)</f>
        <v>36-45</v>
      </c>
      <c r="T341" t="str">
        <f t="shared" si="15"/>
        <v>Positive</v>
      </c>
      <c r="U341" t="str">
        <f t="shared" si="16"/>
        <v>Not Sampled</v>
      </c>
      <c r="V341" s="1" t="str">
        <f t="shared" si="17"/>
        <v>Not Sampled</v>
      </c>
    </row>
    <row r="342" spans="1:22" x14ac:dyDescent="0.25">
      <c r="A342" s="1">
        <v>1</v>
      </c>
      <c r="B342" s="1">
        <v>130</v>
      </c>
      <c r="C342" s="1">
        <v>70</v>
      </c>
      <c r="D342" s="1">
        <v>13</v>
      </c>
      <c r="E342" s="1">
        <v>105</v>
      </c>
      <c r="F342" s="1">
        <v>25.9</v>
      </c>
      <c r="G342" s="1">
        <v>0.47199999999999998</v>
      </c>
      <c r="H342" s="1">
        <v>22</v>
      </c>
      <c r="I342" s="1">
        <v>0</v>
      </c>
      <c r="J342" s="1" t="str">
        <f>IFERROR(VLOOKUP(K342,[1]diabetes_Recognition!$A:$B,2,FALSE),"Not Sampled")</f>
        <v>Not Sampled</v>
      </c>
      <c r="K342" s="1">
        <v>340</v>
      </c>
      <c r="L342" s="1">
        <f>LOOKUP(A342,Sheet2!$D$4:$E$9)</f>
        <v>1</v>
      </c>
      <c r="M342" t="str">
        <f>LOOKUP(B342,Sheet2!$G$4:$H$9)</f>
        <v>126-150</v>
      </c>
      <c r="N342" t="str">
        <f>LOOKUP(C342,Sheet2!$J$4:$K$8)</f>
        <v>70-79</v>
      </c>
      <c r="O342" t="str">
        <f>LOOKUP(D342,Sheet2!$M$4:$N$8)</f>
        <v>10-30</v>
      </c>
      <c r="P342" t="str">
        <f>LOOKUP(E342,Sheet2!$P$4:$Q$9)</f>
        <v>100-199</v>
      </c>
      <c r="Q342" t="str">
        <f>LOOKUP(F342,Sheet2!$S$4:$T$8)</f>
        <v>1-25</v>
      </c>
      <c r="R342" t="str">
        <f>LOOKUP(G342,Sheet2!$V$4:$W$7)</f>
        <v>0.4 - 0.69</v>
      </c>
      <c r="S342" t="str">
        <f>LOOKUP(H342,Sheet2!$Z$4:$AA$7)</f>
        <v>&lt;=25</v>
      </c>
      <c r="T342" t="str">
        <f t="shared" si="15"/>
        <v>Negative</v>
      </c>
      <c r="U342" t="str">
        <f t="shared" si="16"/>
        <v>Not Sampled</v>
      </c>
      <c r="V342" s="1" t="str">
        <f t="shared" si="17"/>
        <v>Not Sampled</v>
      </c>
    </row>
    <row r="343" spans="1:22" x14ac:dyDescent="0.25">
      <c r="A343" s="1">
        <v>1</v>
      </c>
      <c r="B343" s="1">
        <v>95</v>
      </c>
      <c r="C343" s="1">
        <v>74</v>
      </c>
      <c r="D343" s="1">
        <v>21</v>
      </c>
      <c r="E343" s="1">
        <v>73</v>
      </c>
      <c r="F343" s="1">
        <v>25.9</v>
      </c>
      <c r="G343" s="1">
        <v>0.67300000000000004</v>
      </c>
      <c r="H343" s="1">
        <v>36</v>
      </c>
      <c r="I343" s="1">
        <v>0</v>
      </c>
      <c r="J343" s="1">
        <f>IFERROR(VLOOKUP(K343,[1]diabetes_Recognition!$A:$B,2,FALSE),"Not Sampled")</f>
        <v>0</v>
      </c>
      <c r="K343" s="1">
        <v>341</v>
      </c>
      <c r="L343" s="1">
        <f>LOOKUP(A343,Sheet2!$D$4:$E$9)</f>
        <v>1</v>
      </c>
      <c r="M343" t="str">
        <f>LOOKUP(B343,Sheet2!$G$4:$H$9)</f>
        <v>1-99</v>
      </c>
      <c r="N343" t="str">
        <f>LOOKUP(C343,Sheet2!$J$4:$K$8)</f>
        <v>70-79</v>
      </c>
      <c r="O343" t="str">
        <f>LOOKUP(D343,Sheet2!$M$4:$N$8)</f>
        <v>10-30</v>
      </c>
      <c r="P343" t="str">
        <f>LOOKUP(E343,Sheet2!$P$4:$Q$9)</f>
        <v>1-99</v>
      </c>
      <c r="Q343" t="str">
        <f>LOOKUP(F343,Sheet2!$S$4:$T$8)</f>
        <v>1-25</v>
      </c>
      <c r="R343" t="str">
        <f>LOOKUP(G343,Sheet2!$V$4:$W$7)</f>
        <v>0.4 - 0.69</v>
      </c>
      <c r="S343" t="str">
        <f>LOOKUP(H343,Sheet2!$Z$4:$AA$7)</f>
        <v>36-45</v>
      </c>
      <c r="T343" t="str">
        <f t="shared" si="15"/>
        <v>Negative</v>
      </c>
      <c r="U343" t="str">
        <f t="shared" si="16"/>
        <v>Negative</v>
      </c>
      <c r="V343" s="1" t="str">
        <f t="shared" si="17"/>
        <v>Accurate Prediction</v>
      </c>
    </row>
    <row r="344" spans="1:22" x14ac:dyDescent="0.25">
      <c r="A344" s="1">
        <v>1</v>
      </c>
      <c r="B344" s="1">
        <v>0</v>
      </c>
      <c r="C344" s="1">
        <v>68</v>
      </c>
      <c r="D344" s="1">
        <v>35</v>
      </c>
      <c r="E344" s="1">
        <v>0</v>
      </c>
      <c r="F344" s="1">
        <v>32</v>
      </c>
      <c r="G344" s="1">
        <v>0.38900000000000001</v>
      </c>
      <c r="H344" s="1">
        <v>22</v>
      </c>
      <c r="I344" s="1">
        <v>0</v>
      </c>
      <c r="J344" s="1" t="str">
        <f>IFERROR(VLOOKUP(K344,[1]diabetes_Recognition!$A:$B,2,FALSE),"Not Sampled")</f>
        <v>Not Sampled</v>
      </c>
      <c r="K344" s="1">
        <v>342</v>
      </c>
      <c r="L344" s="1">
        <f>LOOKUP(A344,Sheet2!$D$4:$E$9)</f>
        <v>1</v>
      </c>
      <c r="M344" t="str">
        <f>LOOKUP(B344,Sheet2!$G$4:$H$9)</f>
        <v>Unknown</v>
      </c>
      <c r="N344" t="str">
        <f>LOOKUP(C344,Sheet2!$J$4:$K$8)</f>
        <v>60-69</v>
      </c>
      <c r="O344" t="str">
        <f>LOOKUP(D344,Sheet2!$M$4:$N$8)</f>
        <v>30-39</v>
      </c>
      <c r="P344" t="str">
        <f>LOOKUP(E344,Sheet2!$P$4:$Q$9)</f>
        <v>Unknown</v>
      </c>
      <c r="Q344" t="str">
        <f>LOOKUP(F344,Sheet2!$S$4:$T$8)</f>
        <v>31-35</v>
      </c>
      <c r="R344" t="str">
        <f>LOOKUP(G344,Sheet2!$V$4:$W$7)</f>
        <v>0.25 - 0.39</v>
      </c>
      <c r="S344" t="str">
        <f>LOOKUP(H344,Sheet2!$Z$4:$AA$7)</f>
        <v>&lt;=25</v>
      </c>
      <c r="T344" t="str">
        <f t="shared" si="15"/>
        <v>Negative</v>
      </c>
      <c r="U344" t="str">
        <f t="shared" si="16"/>
        <v>Not Sampled</v>
      </c>
      <c r="V344" s="1" t="str">
        <f t="shared" si="17"/>
        <v>Not Sampled</v>
      </c>
    </row>
    <row r="345" spans="1:22" x14ac:dyDescent="0.25">
      <c r="A345" s="1">
        <v>5</v>
      </c>
      <c r="B345" s="1">
        <v>122</v>
      </c>
      <c r="C345" s="1">
        <v>86</v>
      </c>
      <c r="D345" s="1">
        <v>0</v>
      </c>
      <c r="E345" s="1">
        <v>0</v>
      </c>
      <c r="F345" s="1">
        <v>34.700000000000003</v>
      </c>
      <c r="G345" s="1">
        <v>0.28999999999999998</v>
      </c>
      <c r="H345" s="1">
        <v>33</v>
      </c>
      <c r="I345" s="1">
        <v>0</v>
      </c>
      <c r="J345" s="1" t="str">
        <f>IFERROR(VLOOKUP(K345,[1]diabetes_Recognition!$A:$B,2,FALSE),"Not Sampled")</f>
        <v>Not Sampled</v>
      </c>
      <c r="K345" s="1">
        <v>343</v>
      </c>
      <c r="L345" s="1" t="str">
        <f>LOOKUP(A345,Sheet2!$D$4:$E$9)</f>
        <v>5-7</v>
      </c>
      <c r="M345" t="str">
        <f>LOOKUP(B345,Sheet2!$G$4:$H$9)</f>
        <v>100-125</v>
      </c>
      <c r="N345" t="str">
        <f>LOOKUP(C345,Sheet2!$J$4:$K$8)</f>
        <v>80+</v>
      </c>
      <c r="O345" t="str">
        <f>LOOKUP(D345,Sheet2!$M$4:$N$8)</f>
        <v>Unknown</v>
      </c>
      <c r="P345" t="str">
        <f>LOOKUP(E345,Sheet2!$P$4:$Q$9)</f>
        <v>Unknown</v>
      </c>
      <c r="Q345" t="str">
        <f>LOOKUP(F345,Sheet2!$S$4:$T$8)</f>
        <v>31-35</v>
      </c>
      <c r="R345" t="str">
        <f>LOOKUP(G345,Sheet2!$V$4:$W$7)</f>
        <v>0.25 - 0.39</v>
      </c>
      <c r="S345" t="str">
        <f>LOOKUP(H345,Sheet2!$Z$4:$AA$7)</f>
        <v>26-35</v>
      </c>
      <c r="T345" t="str">
        <f t="shared" si="15"/>
        <v>Negative</v>
      </c>
      <c r="U345" t="str">
        <f t="shared" si="16"/>
        <v>Not Sampled</v>
      </c>
      <c r="V345" s="1" t="str">
        <f t="shared" si="17"/>
        <v>Not Sampled</v>
      </c>
    </row>
    <row r="346" spans="1:22" x14ac:dyDescent="0.25">
      <c r="A346" s="1">
        <v>8</v>
      </c>
      <c r="B346" s="1">
        <v>95</v>
      </c>
      <c r="C346" s="1">
        <v>72</v>
      </c>
      <c r="D346" s="1">
        <v>0</v>
      </c>
      <c r="E346" s="1">
        <v>0</v>
      </c>
      <c r="F346" s="1">
        <v>36.799999999999997</v>
      </c>
      <c r="G346" s="1">
        <v>0.48499999999999999</v>
      </c>
      <c r="H346" s="1">
        <v>57</v>
      </c>
      <c r="I346" s="1">
        <v>0</v>
      </c>
      <c r="J346" s="1" t="str">
        <f>IFERROR(VLOOKUP(K346,[1]diabetes_Recognition!$A:$B,2,FALSE),"Not Sampled")</f>
        <v>Not Sampled</v>
      </c>
      <c r="K346" s="1">
        <v>344</v>
      </c>
      <c r="L346" s="1" t="str">
        <f>LOOKUP(A346,Sheet2!$D$4:$E$9)</f>
        <v>8+</v>
      </c>
      <c r="M346" t="str">
        <f>LOOKUP(B346,Sheet2!$G$4:$H$9)</f>
        <v>1-99</v>
      </c>
      <c r="N346" t="str">
        <f>LOOKUP(C346,Sheet2!$J$4:$K$8)</f>
        <v>70-79</v>
      </c>
      <c r="O346" t="str">
        <f>LOOKUP(D346,Sheet2!$M$4:$N$8)</f>
        <v>Unknown</v>
      </c>
      <c r="P346" t="str">
        <f>LOOKUP(E346,Sheet2!$P$4:$Q$9)</f>
        <v>Unknown</v>
      </c>
      <c r="Q346" t="str">
        <f>LOOKUP(F346,Sheet2!$S$4:$T$8)</f>
        <v>36+</v>
      </c>
      <c r="R346" t="str">
        <f>LOOKUP(G346,Sheet2!$V$4:$W$7)</f>
        <v>0.4 - 0.69</v>
      </c>
      <c r="S346" t="str">
        <f>LOOKUP(H346,Sheet2!$Z$4:$AA$7)</f>
        <v>46+</v>
      </c>
      <c r="T346" t="str">
        <f t="shared" si="15"/>
        <v>Negative</v>
      </c>
      <c r="U346" t="str">
        <f t="shared" si="16"/>
        <v>Not Sampled</v>
      </c>
      <c r="V346" s="1" t="str">
        <f t="shared" si="17"/>
        <v>Not Sampled</v>
      </c>
    </row>
    <row r="347" spans="1:22" x14ac:dyDescent="0.25">
      <c r="A347" s="1">
        <v>8</v>
      </c>
      <c r="B347" s="1">
        <v>126</v>
      </c>
      <c r="C347" s="1">
        <v>88</v>
      </c>
      <c r="D347" s="1">
        <v>36</v>
      </c>
      <c r="E347" s="1">
        <v>108</v>
      </c>
      <c r="F347" s="1">
        <v>38.5</v>
      </c>
      <c r="G347" s="1">
        <v>0.34899999999999998</v>
      </c>
      <c r="H347" s="1">
        <v>49</v>
      </c>
      <c r="I347" s="1">
        <v>0</v>
      </c>
      <c r="J347" s="1" t="str">
        <f>IFERROR(VLOOKUP(K347,[1]diabetes_Recognition!$A:$B,2,FALSE),"Not Sampled")</f>
        <v>Not Sampled</v>
      </c>
      <c r="K347" s="1">
        <v>345</v>
      </c>
      <c r="L347" s="1" t="str">
        <f>LOOKUP(A347,Sheet2!$D$4:$E$9)</f>
        <v>8+</v>
      </c>
      <c r="M347" t="str">
        <f>LOOKUP(B347,Sheet2!$G$4:$H$9)</f>
        <v>126-150</v>
      </c>
      <c r="N347" t="str">
        <f>LOOKUP(C347,Sheet2!$J$4:$K$8)</f>
        <v>80+</v>
      </c>
      <c r="O347" t="str">
        <f>LOOKUP(D347,Sheet2!$M$4:$N$8)</f>
        <v>30-39</v>
      </c>
      <c r="P347" t="str">
        <f>LOOKUP(E347,Sheet2!$P$4:$Q$9)</f>
        <v>100-199</v>
      </c>
      <c r="Q347" t="str">
        <f>LOOKUP(F347,Sheet2!$S$4:$T$8)</f>
        <v>36+</v>
      </c>
      <c r="R347" t="str">
        <f>LOOKUP(G347,Sheet2!$V$4:$W$7)</f>
        <v>0.25 - 0.39</v>
      </c>
      <c r="S347" t="str">
        <f>LOOKUP(H347,Sheet2!$Z$4:$AA$7)</f>
        <v>46+</v>
      </c>
      <c r="T347" t="str">
        <f t="shared" si="15"/>
        <v>Negative</v>
      </c>
      <c r="U347" t="str">
        <f t="shared" si="16"/>
        <v>Not Sampled</v>
      </c>
      <c r="V347" s="1" t="str">
        <f t="shared" si="17"/>
        <v>Not Sampled</v>
      </c>
    </row>
    <row r="348" spans="1:22" x14ac:dyDescent="0.25">
      <c r="A348" s="1">
        <v>1</v>
      </c>
      <c r="B348" s="1">
        <v>139</v>
      </c>
      <c r="C348" s="1">
        <v>46</v>
      </c>
      <c r="D348" s="1">
        <v>19</v>
      </c>
      <c r="E348" s="1">
        <v>83</v>
      </c>
      <c r="F348" s="1">
        <v>28.7</v>
      </c>
      <c r="G348" s="1">
        <v>0.65400000000000003</v>
      </c>
      <c r="H348" s="1">
        <v>22</v>
      </c>
      <c r="I348" s="1">
        <v>0</v>
      </c>
      <c r="J348" s="1" t="str">
        <f>IFERROR(VLOOKUP(K348,[1]diabetes_Recognition!$A:$B,2,FALSE),"Not Sampled")</f>
        <v>Not Sampled</v>
      </c>
      <c r="K348" s="1">
        <v>346</v>
      </c>
      <c r="L348" s="1">
        <f>LOOKUP(A348,Sheet2!$D$4:$E$9)</f>
        <v>1</v>
      </c>
      <c r="M348" t="str">
        <f>LOOKUP(B348,Sheet2!$G$4:$H$9)</f>
        <v>126-150</v>
      </c>
      <c r="N348" t="str">
        <f>LOOKUP(C348,Sheet2!$J$4:$K$8)</f>
        <v>1-59</v>
      </c>
      <c r="O348" t="str">
        <f>LOOKUP(D348,Sheet2!$M$4:$N$8)</f>
        <v>10-30</v>
      </c>
      <c r="P348" t="str">
        <f>LOOKUP(E348,Sheet2!$P$4:$Q$9)</f>
        <v>1-99</v>
      </c>
      <c r="Q348" t="str">
        <f>LOOKUP(F348,Sheet2!$S$4:$T$8)</f>
        <v>26-30</v>
      </c>
      <c r="R348" t="str">
        <f>LOOKUP(G348,Sheet2!$V$4:$W$7)</f>
        <v>0.4 - 0.69</v>
      </c>
      <c r="S348" t="str">
        <f>LOOKUP(H348,Sheet2!$Z$4:$AA$7)</f>
        <v>&lt;=25</v>
      </c>
      <c r="T348" t="str">
        <f t="shared" si="15"/>
        <v>Negative</v>
      </c>
      <c r="U348" t="str">
        <f t="shared" si="16"/>
        <v>Not Sampled</v>
      </c>
      <c r="V348" s="1" t="str">
        <f t="shared" si="17"/>
        <v>Not Sampled</v>
      </c>
    </row>
    <row r="349" spans="1:22" x14ac:dyDescent="0.25">
      <c r="A349" s="1">
        <v>3</v>
      </c>
      <c r="B349" s="1">
        <v>116</v>
      </c>
      <c r="C349" s="1">
        <v>0</v>
      </c>
      <c r="D349" s="1">
        <v>0</v>
      </c>
      <c r="E349" s="1">
        <v>0</v>
      </c>
      <c r="F349" s="1">
        <v>23.5</v>
      </c>
      <c r="G349" s="1">
        <v>0.187</v>
      </c>
      <c r="H349" s="1">
        <v>23</v>
      </c>
      <c r="I349" s="1">
        <v>0</v>
      </c>
      <c r="J349" s="1" t="str">
        <f>IFERROR(VLOOKUP(K349,[1]diabetes_Recognition!$A:$B,2,FALSE),"Not Sampled")</f>
        <v>Not Sampled</v>
      </c>
      <c r="K349" s="1">
        <v>347</v>
      </c>
      <c r="L349" s="1" t="str">
        <f>LOOKUP(A349,Sheet2!$D$4:$E$9)</f>
        <v>3-4</v>
      </c>
      <c r="M349" t="str">
        <f>LOOKUP(B349,Sheet2!$G$4:$H$9)</f>
        <v>100-125</v>
      </c>
      <c r="N349" t="str">
        <f>LOOKUP(C349,Sheet2!$J$4:$K$8)</f>
        <v>Unknown</v>
      </c>
      <c r="O349" t="str">
        <f>LOOKUP(D349,Sheet2!$M$4:$N$8)</f>
        <v>Unknown</v>
      </c>
      <c r="P349" t="str">
        <f>LOOKUP(E349,Sheet2!$P$4:$Q$9)</f>
        <v>Unknown</v>
      </c>
      <c r="Q349" t="str">
        <f>LOOKUP(F349,Sheet2!$S$4:$T$8)</f>
        <v>1-25</v>
      </c>
      <c r="R349" t="str">
        <f>LOOKUP(G349,Sheet2!$V$4:$W$7)</f>
        <v>0.0 - 0.249</v>
      </c>
      <c r="S349" t="str">
        <f>LOOKUP(H349,Sheet2!$Z$4:$AA$7)</f>
        <v>&lt;=25</v>
      </c>
      <c r="T349" t="str">
        <f t="shared" si="15"/>
        <v>Negative</v>
      </c>
      <c r="U349" t="str">
        <f t="shared" si="16"/>
        <v>Not Sampled</v>
      </c>
      <c r="V349" s="1" t="str">
        <f t="shared" si="17"/>
        <v>Not Sampled</v>
      </c>
    </row>
    <row r="350" spans="1:22" x14ac:dyDescent="0.25">
      <c r="A350" s="1">
        <v>3</v>
      </c>
      <c r="B350" s="1">
        <v>99</v>
      </c>
      <c r="C350" s="1">
        <v>62</v>
      </c>
      <c r="D350" s="1">
        <v>19</v>
      </c>
      <c r="E350" s="1">
        <v>74</v>
      </c>
      <c r="F350" s="1">
        <v>21.8</v>
      </c>
      <c r="G350" s="1">
        <v>0.27900000000000003</v>
      </c>
      <c r="H350" s="1">
        <v>26</v>
      </c>
      <c r="I350" s="1">
        <v>0</v>
      </c>
      <c r="J350" s="1">
        <f>IFERROR(VLOOKUP(K350,[1]diabetes_Recognition!$A:$B,2,FALSE),"Not Sampled")</f>
        <v>0</v>
      </c>
      <c r="K350" s="1">
        <v>348</v>
      </c>
      <c r="L350" s="1" t="str">
        <f>LOOKUP(A350,Sheet2!$D$4:$E$9)</f>
        <v>3-4</v>
      </c>
      <c r="M350" t="str">
        <f>LOOKUP(B350,Sheet2!$G$4:$H$9)</f>
        <v>1-99</v>
      </c>
      <c r="N350" t="str">
        <f>LOOKUP(C350,Sheet2!$J$4:$K$8)</f>
        <v>60-69</v>
      </c>
      <c r="O350" t="str">
        <f>LOOKUP(D350,Sheet2!$M$4:$N$8)</f>
        <v>10-30</v>
      </c>
      <c r="P350" t="str">
        <f>LOOKUP(E350,Sheet2!$P$4:$Q$9)</f>
        <v>1-99</v>
      </c>
      <c r="Q350" t="str">
        <f>LOOKUP(F350,Sheet2!$S$4:$T$8)</f>
        <v>1-25</v>
      </c>
      <c r="R350" t="str">
        <f>LOOKUP(G350,Sheet2!$V$4:$W$7)</f>
        <v>0.25 - 0.39</v>
      </c>
      <c r="S350" t="str">
        <f>LOOKUP(H350,Sheet2!$Z$4:$AA$7)</f>
        <v>26-35</v>
      </c>
      <c r="T350" t="str">
        <f t="shared" si="15"/>
        <v>Negative</v>
      </c>
      <c r="U350" t="str">
        <f t="shared" si="16"/>
        <v>Negative</v>
      </c>
      <c r="V350" s="1" t="str">
        <f t="shared" si="17"/>
        <v>Accurate Prediction</v>
      </c>
    </row>
    <row r="351" spans="1:22" x14ac:dyDescent="0.25">
      <c r="A351" s="1">
        <v>5</v>
      </c>
      <c r="B351" s="1">
        <v>0</v>
      </c>
      <c r="C351" s="1">
        <v>80</v>
      </c>
      <c r="D351" s="1">
        <v>32</v>
      </c>
      <c r="E351" s="1">
        <v>0</v>
      </c>
      <c r="F351" s="1">
        <v>41</v>
      </c>
      <c r="G351" s="1">
        <v>0.34599999999999997</v>
      </c>
      <c r="H351" s="1">
        <v>37</v>
      </c>
      <c r="I351" s="1">
        <v>1</v>
      </c>
      <c r="J351" s="1" t="str">
        <f>IFERROR(VLOOKUP(K351,[1]diabetes_Recognition!$A:$B,2,FALSE),"Not Sampled")</f>
        <v>Not Sampled</v>
      </c>
      <c r="K351" s="1">
        <v>349</v>
      </c>
      <c r="L351" s="1" t="str">
        <f>LOOKUP(A351,Sheet2!$D$4:$E$9)</f>
        <v>5-7</v>
      </c>
      <c r="M351" t="str">
        <f>LOOKUP(B351,Sheet2!$G$4:$H$9)</f>
        <v>Unknown</v>
      </c>
      <c r="N351" t="str">
        <f>LOOKUP(C351,Sheet2!$J$4:$K$8)</f>
        <v>80+</v>
      </c>
      <c r="O351" t="str">
        <f>LOOKUP(D351,Sheet2!$M$4:$N$8)</f>
        <v>30-39</v>
      </c>
      <c r="P351" t="str">
        <f>LOOKUP(E351,Sheet2!$P$4:$Q$9)</f>
        <v>Unknown</v>
      </c>
      <c r="Q351" t="str">
        <f>LOOKUP(F351,Sheet2!$S$4:$T$8)</f>
        <v>36+</v>
      </c>
      <c r="R351" t="str">
        <f>LOOKUP(G351,Sheet2!$V$4:$W$7)</f>
        <v>0.25 - 0.39</v>
      </c>
      <c r="S351" t="str">
        <f>LOOKUP(H351,Sheet2!$Z$4:$AA$7)</f>
        <v>36-45</v>
      </c>
      <c r="T351" t="str">
        <f t="shared" si="15"/>
        <v>Positive</v>
      </c>
      <c r="U351" t="str">
        <f t="shared" si="16"/>
        <v>Not Sampled</v>
      </c>
      <c r="V351" s="1" t="str">
        <f t="shared" si="17"/>
        <v>Not Sampled</v>
      </c>
    </row>
    <row r="352" spans="1:22" x14ac:dyDescent="0.25">
      <c r="A352" s="1">
        <v>4</v>
      </c>
      <c r="B352" s="1">
        <v>92</v>
      </c>
      <c r="C352" s="1">
        <v>80</v>
      </c>
      <c r="D352" s="1">
        <v>0</v>
      </c>
      <c r="E352" s="1">
        <v>0</v>
      </c>
      <c r="F352" s="1">
        <v>42.2</v>
      </c>
      <c r="G352" s="1">
        <v>0.23699999999999999</v>
      </c>
      <c r="H352" s="1">
        <v>29</v>
      </c>
      <c r="I352" s="1">
        <v>0</v>
      </c>
      <c r="J352" s="1" t="str">
        <f>IFERROR(VLOOKUP(K352,[1]diabetes_Recognition!$A:$B,2,FALSE),"Not Sampled")</f>
        <v>Not Sampled</v>
      </c>
      <c r="K352" s="1">
        <v>350</v>
      </c>
      <c r="L352" s="1" t="str">
        <f>LOOKUP(A352,Sheet2!$D$4:$E$9)</f>
        <v>3-4</v>
      </c>
      <c r="M352" t="str">
        <f>LOOKUP(B352,Sheet2!$G$4:$H$9)</f>
        <v>1-99</v>
      </c>
      <c r="N352" t="str">
        <f>LOOKUP(C352,Sheet2!$J$4:$K$8)</f>
        <v>80+</v>
      </c>
      <c r="O352" t="str">
        <f>LOOKUP(D352,Sheet2!$M$4:$N$8)</f>
        <v>Unknown</v>
      </c>
      <c r="P352" t="str">
        <f>LOOKUP(E352,Sheet2!$P$4:$Q$9)</f>
        <v>Unknown</v>
      </c>
      <c r="Q352" t="str">
        <f>LOOKUP(F352,Sheet2!$S$4:$T$8)</f>
        <v>36+</v>
      </c>
      <c r="R352" t="str">
        <f>LOOKUP(G352,Sheet2!$V$4:$W$7)</f>
        <v>0.0 - 0.249</v>
      </c>
      <c r="S352" t="str">
        <f>LOOKUP(H352,Sheet2!$Z$4:$AA$7)</f>
        <v>26-35</v>
      </c>
      <c r="T352" t="str">
        <f t="shared" si="15"/>
        <v>Negative</v>
      </c>
      <c r="U352" t="str">
        <f t="shared" si="16"/>
        <v>Not Sampled</v>
      </c>
      <c r="V352" s="1" t="str">
        <f t="shared" si="17"/>
        <v>Not Sampled</v>
      </c>
    </row>
    <row r="353" spans="1:22" x14ac:dyDescent="0.25">
      <c r="A353" s="1">
        <v>4</v>
      </c>
      <c r="B353" s="1">
        <v>137</v>
      </c>
      <c r="C353" s="1">
        <v>84</v>
      </c>
      <c r="D353" s="1">
        <v>0</v>
      </c>
      <c r="E353" s="1">
        <v>0</v>
      </c>
      <c r="F353" s="1">
        <v>31.2</v>
      </c>
      <c r="G353" s="1">
        <v>0.252</v>
      </c>
      <c r="H353" s="1">
        <v>30</v>
      </c>
      <c r="I353" s="1">
        <v>0</v>
      </c>
      <c r="J353" s="1">
        <f>IFERROR(VLOOKUP(K353,[1]diabetes_Recognition!$A:$B,2,FALSE),"Not Sampled")</f>
        <v>0</v>
      </c>
      <c r="K353" s="1">
        <v>351</v>
      </c>
      <c r="L353" s="1" t="str">
        <f>LOOKUP(A353,Sheet2!$D$4:$E$9)</f>
        <v>3-4</v>
      </c>
      <c r="M353" t="str">
        <f>LOOKUP(B353,Sheet2!$G$4:$H$9)</f>
        <v>126-150</v>
      </c>
      <c r="N353" t="str">
        <f>LOOKUP(C353,Sheet2!$J$4:$K$8)</f>
        <v>80+</v>
      </c>
      <c r="O353" t="str">
        <f>LOOKUP(D353,Sheet2!$M$4:$N$8)</f>
        <v>Unknown</v>
      </c>
      <c r="P353" t="str">
        <f>LOOKUP(E353,Sheet2!$P$4:$Q$9)</f>
        <v>Unknown</v>
      </c>
      <c r="Q353" t="str">
        <f>LOOKUP(F353,Sheet2!$S$4:$T$8)</f>
        <v>31-35</v>
      </c>
      <c r="R353" t="str">
        <f>LOOKUP(G353,Sheet2!$V$4:$W$7)</f>
        <v>0.25 - 0.39</v>
      </c>
      <c r="S353" t="str">
        <f>LOOKUP(H353,Sheet2!$Z$4:$AA$7)</f>
        <v>26-35</v>
      </c>
      <c r="T353" t="str">
        <f t="shared" si="15"/>
        <v>Negative</v>
      </c>
      <c r="U353" t="str">
        <f t="shared" si="16"/>
        <v>Negative</v>
      </c>
      <c r="V353" s="1" t="str">
        <f t="shared" si="17"/>
        <v>Accurate Prediction</v>
      </c>
    </row>
    <row r="354" spans="1:22" x14ac:dyDescent="0.25">
      <c r="A354" s="1">
        <v>3</v>
      </c>
      <c r="B354" s="1">
        <v>61</v>
      </c>
      <c r="C354" s="1">
        <v>82</v>
      </c>
      <c r="D354" s="1">
        <v>28</v>
      </c>
      <c r="E354" s="1">
        <v>0</v>
      </c>
      <c r="F354" s="1">
        <v>34.4</v>
      </c>
      <c r="G354" s="1">
        <v>0.24299999999999999</v>
      </c>
      <c r="H354" s="1">
        <v>46</v>
      </c>
      <c r="I354" s="1">
        <v>0</v>
      </c>
      <c r="J354" s="1" t="str">
        <f>IFERROR(VLOOKUP(K354,[1]diabetes_Recognition!$A:$B,2,FALSE),"Not Sampled")</f>
        <v>Not Sampled</v>
      </c>
      <c r="K354" s="1">
        <v>352</v>
      </c>
      <c r="L354" s="1" t="str">
        <f>LOOKUP(A354,Sheet2!$D$4:$E$9)</f>
        <v>3-4</v>
      </c>
      <c r="M354" t="str">
        <f>LOOKUP(B354,Sheet2!$G$4:$H$9)</f>
        <v>1-99</v>
      </c>
      <c r="N354" t="str">
        <f>LOOKUP(C354,Sheet2!$J$4:$K$8)</f>
        <v>80+</v>
      </c>
      <c r="O354" t="str">
        <f>LOOKUP(D354,Sheet2!$M$4:$N$8)</f>
        <v>10-30</v>
      </c>
      <c r="P354" t="str">
        <f>LOOKUP(E354,Sheet2!$P$4:$Q$9)</f>
        <v>Unknown</v>
      </c>
      <c r="Q354" t="str">
        <f>LOOKUP(F354,Sheet2!$S$4:$T$8)</f>
        <v>31-35</v>
      </c>
      <c r="R354" t="str">
        <f>LOOKUP(G354,Sheet2!$V$4:$W$7)</f>
        <v>0.0 - 0.249</v>
      </c>
      <c r="S354" t="str">
        <f>LOOKUP(H354,Sheet2!$Z$4:$AA$7)</f>
        <v>46+</v>
      </c>
      <c r="T354" t="str">
        <f t="shared" si="15"/>
        <v>Negative</v>
      </c>
      <c r="U354" t="str">
        <f t="shared" si="16"/>
        <v>Not Sampled</v>
      </c>
      <c r="V354" s="1" t="str">
        <f t="shared" si="17"/>
        <v>Not Sampled</v>
      </c>
    </row>
    <row r="355" spans="1:22" x14ac:dyDescent="0.25">
      <c r="A355" s="1">
        <v>1</v>
      </c>
      <c r="B355" s="1">
        <v>90</v>
      </c>
      <c r="C355" s="1">
        <v>62</v>
      </c>
      <c r="D355" s="1">
        <v>12</v>
      </c>
      <c r="E355" s="1">
        <v>43</v>
      </c>
      <c r="F355" s="1">
        <v>27.2</v>
      </c>
      <c r="G355" s="1">
        <v>0.57999999999999996</v>
      </c>
      <c r="H355" s="1">
        <v>24</v>
      </c>
      <c r="I355" s="1">
        <v>0</v>
      </c>
      <c r="J355" s="1">
        <f>IFERROR(VLOOKUP(K355,[1]diabetes_Recognition!$A:$B,2,FALSE),"Not Sampled")</f>
        <v>0</v>
      </c>
      <c r="K355" s="1">
        <v>353</v>
      </c>
      <c r="L355" s="1">
        <f>LOOKUP(A355,Sheet2!$D$4:$E$9)</f>
        <v>1</v>
      </c>
      <c r="M355" t="str">
        <f>LOOKUP(B355,Sheet2!$G$4:$H$9)</f>
        <v>1-99</v>
      </c>
      <c r="N355" t="str">
        <f>LOOKUP(C355,Sheet2!$J$4:$K$8)</f>
        <v>60-69</v>
      </c>
      <c r="O355" t="str">
        <f>LOOKUP(D355,Sheet2!$M$4:$N$8)</f>
        <v>10-30</v>
      </c>
      <c r="P355" t="str">
        <f>LOOKUP(E355,Sheet2!$P$4:$Q$9)</f>
        <v>1-99</v>
      </c>
      <c r="Q355" t="str">
        <f>LOOKUP(F355,Sheet2!$S$4:$T$8)</f>
        <v>26-30</v>
      </c>
      <c r="R355" t="str">
        <f>LOOKUP(G355,Sheet2!$V$4:$W$7)</f>
        <v>0.4 - 0.69</v>
      </c>
      <c r="S355" t="str">
        <f>LOOKUP(H355,Sheet2!$Z$4:$AA$7)</f>
        <v>&lt;=25</v>
      </c>
      <c r="T355" t="str">
        <f t="shared" si="15"/>
        <v>Negative</v>
      </c>
      <c r="U355" t="str">
        <f t="shared" si="16"/>
        <v>Negative</v>
      </c>
      <c r="V355" s="1" t="str">
        <f t="shared" si="17"/>
        <v>Accurate Prediction</v>
      </c>
    </row>
    <row r="356" spans="1:22" x14ac:dyDescent="0.25">
      <c r="A356" s="1">
        <v>3</v>
      </c>
      <c r="B356" s="1">
        <v>90</v>
      </c>
      <c r="C356" s="1">
        <v>78</v>
      </c>
      <c r="D356" s="1">
        <v>0</v>
      </c>
      <c r="E356" s="1">
        <v>0</v>
      </c>
      <c r="F356" s="1">
        <v>42.7</v>
      </c>
      <c r="G356" s="1">
        <v>0.55900000000000005</v>
      </c>
      <c r="H356" s="1">
        <v>21</v>
      </c>
      <c r="I356" s="1">
        <v>0</v>
      </c>
      <c r="J356" s="1" t="str">
        <f>IFERROR(VLOOKUP(K356,[1]diabetes_Recognition!$A:$B,2,FALSE),"Not Sampled")</f>
        <v>Not Sampled</v>
      </c>
      <c r="K356" s="1">
        <v>354</v>
      </c>
      <c r="L356" s="1" t="str">
        <f>LOOKUP(A356,Sheet2!$D$4:$E$9)</f>
        <v>3-4</v>
      </c>
      <c r="M356" t="str">
        <f>LOOKUP(B356,Sheet2!$G$4:$H$9)</f>
        <v>1-99</v>
      </c>
      <c r="N356" t="str">
        <f>LOOKUP(C356,Sheet2!$J$4:$K$8)</f>
        <v>70-79</v>
      </c>
      <c r="O356" t="str">
        <f>LOOKUP(D356,Sheet2!$M$4:$N$8)</f>
        <v>Unknown</v>
      </c>
      <c r="P356" t="str">
        <f>LOOKUP(E356,Sheet2!$P$4:$Q$9)</f>
        <v>Unknown</v>
      </c>
      <c r="Q356" t="str">
        <f>LOOKUP(F356,Sheet2!$S$4:$T$8)</f>
        <v>36+</v>
      </c>
      <c r="R356" t="str">
        <f>LOOKUP(G356,Sheet2!$V$4:$W$7)</f>
        <v>0.4 - 0.69</v>
      </c>
      <c r="S356" t="str">
        <f>LOOKUP(H356,Sheet2!$Z$4:$AA$7)</f>
        <v>&lt;=25</v>
      </c>
      <c r="T356" t="str">
        <f t="shared" si="15"/>
        <v>Negative</v>
      </c>
      <c r="U356" t="str">
        <f t="shared" si="16"/>
        <v>Not Sampled</v>
      </c>
      <c r="V356" s="1" t="str">
        <f t="shared" si="17"/>
        <v>Not Sampled</v>
      </c>
    </row>
    <row r="357" spans="1:22" x14ac:dyDescent="0.25">
      <c r="A357" s="1">
        <v>9</v>
      </c>
      <c r="B357" s="1">
        <v>165</v>
      </c>
      <c r="C357" s="1">
        <v>88</v>
      </c>
      <c r="D357" s="1">
        <v>0</v>
      </c>
      <c r="E357" s="1">
        <v>0</v>
      </c>
      <c r="F357" s="1">
        <v>30.4</v>
      </c>
      <c r="G357" s="1">
        <v>0.30199999999999999</v>
      </c>
      <c r="H357" s="1">
        <v>49</v>
      </c>
      <c r="I357" s="1">
        <v>1</v>
      </c>
      <c r="J357" s="1" t="str">
        <f>IFERROR(VLOOKUP(K357,[1]diabetes_Recognition!$A:$B,2,FALSE),"Not Sampled")</f>
        <v>Not Sampled</v>
      </c>
      <c r="K357" s="1">
        <v>355</v>
      </c>
      <c r="L357" s="1" t="str">
        <f>LOOKUP(A357,Sheet2!$D$4:$E$9)</f>
        <v>8+</v>
      </c>
      <c r="M357" t="str">
        <f>LOOKUP(B357,Sheet2!$G$4:$H$9)</f>
        <v>151-175</v>
      </c>
      <c r="N357" t="str">
        <f>LOOKUP(C357,Sheet2!$J$4:$K$8)</f>
        <v>80+</v>
      </c>
      <c r="O357" t="str">
        <f>LOOKUP(D357,Sheet2!$M$4:$N$8)</f>
        <v>Unknown</v>
      </c>
      <c r="P357" t="str">
        <f>LOOKUP(E357,Sheet2!$P$4:$Q$9)</f>
        <v>Unknown</v>
      </c>
      <c r="Q357" t="str">
        <f>LOOKUP(F357,Sheet2!$S$4:$T$8)</f>
        <v>26-30</v>
      </c>
      <c r="R357" t="str">
        <f>LOOKUP(G357,Sheet2!$V$4:$W$7)</f>
        <v>0.25 - 0.39</v>
      </c>
      <c r="S357" t="str">
        <f>LOOKUP(H357,Sheet2!$Z$4:$AA$7)</f>
        <v>46+</v>
      </c>
      <c r="T357" t="str">
        <f t="shared" si="15"/>
        <v>Positive</v>
      </c>
      <c r="U357" t="str">
        <f t="shared" si="16"/>
        <v>Not Sampled</v>
      </c>
      <c r="V357" s="1" t="str">
        <f t="shared" si="17"/>
        <v>Not Sampled</v>
      </c>
    </row>
    <row r="358" spans="1:22" x14ac:dyDescent="0.25">
      <c r="A358" s="1">
        <v>1</v>
      </c>
      <c r="B358" s="1">
        <v>125</v>
      </c>
      <c r="C358" s="1">
        <v>50</v>
      </c>
      <c r="D358" s="1">
        <v>40</v>
      </c>
      <c r="E358" s="1">
        <v>167</v>
      </c>
      <c r="F358" s="1">
        <v>33.299999999999997</v>
      </c>
      <c r="G358" s="1">
        <v>0.96199999999999997</v>
      </c>
      <c r="H358" s="1">
        <v>28</v>
      </c>
      <c r="I358" s="1">
        <v>1</v>
      </c>
      <c r="J358" s="1" t="str">
        <f>IFERROR(VLOOKUP(K358,[1]diabetes_Recognition!$A:$B,2,FALSE),"Not Sampled")</f>
        <v>Not Sampled</v>
      </c>
      <c r="K358" s="1">
        <v>356</v>
      </c>
      <c r="L358" s="1">
        <f>LOOKUP(A358,Sheet2!$D$4:$E$9)</f>
        <v>1</v>
      </c>
      <c r="M358" t="str">
        <f>LOOKUP(B358,Sheet2!$G$4:$H$9)</f>
        <v>100-125</v>
      </c>
      <c r="N358" t="str">
        <f>LOOKUP(C358,Sheet2!$J$4:$K$8)</f>
        <v>1-59</v>
      </c>
      <c r="O358" t="str">
        <f>LOOKUP(D358,Sheet2!$M$4:$N$8)</f>
        <v>40+</v>
      </c>
      <c r="P358" t="str">
        <f>LOOKUP(E358,Sheet2!$P$4:$Q$9)</f>
        <v>100-199</v>
      </c>
      <c r="Q358" t="str">
        <f>LOOKUP(F358,Sheet2!$S$4:$T$8)</f>
        <v>31-35</v>
      </c>
      <c r="R358" t="str">
        <f>LOOKUP(G358,Sheet2!$V$4:$W$7)</f>
        <v>0.7+</v>
      </c>
      <c r="S358" t="str">
        <f>LOOKUP(H358,Sheet2!$Z$4:$AA$7)</f>
        <v>26-35</v>
      </c>
      <c r="T358" t="str">
        <f t="shared" si="15"/>
        <v>Positive</v>
      </c>
      <c r="U358" t="str">
        <f t="shared" si="16"/>
        <v>Not Sampled</v>
      </c>
      <c r="V358" s="1" t="str">
        <f t="shared" si="17"/>
        <v>Not Sampled</v>
      </c>
    </row>
    <row r="359" spans="1:22" x14ac:dyDescent="0.25">
      <c r="A359" s="1">
        <v>13</v>
      </c>
      <c r="B359" s="1">
        <v>129</v>
      </c>
      <c r="C359" s="1">
        <v>0</v>
      </c>
      <c r="D359" s="1">
        <v>30</v>
      </c>
      <c r="E359" s="1">
        <v>0</v>
      </c>
      <c r="F359" s="1">
        <v>39.9</v>
      </c>
      <c r="G359" s="1">
        <v>0.56899999999999995</v>
      </c>
      <c r="H359" s="1">
        <v>44</v>
      </c>
      <c r="I359" s="1">
        <v>1</v>
      </c>
      <c r="J359" s="1" t="str">
        <f>IFERROR(VLOOKUP(K359,[1]diabetes_Recognition!$A:$B,2,FALSE),"Not Sampled")</f>
        <v>Not Sampled</v>
      </c>
      <c r="K359" s="1">
        <v>357</v>
      </c>
      <c r="L359" s="1" t="str">
        <f>LOOKUP(A359,Sheet2!$D$4:$E$9)</f>
        <v>8+</v>
      </c>
      <c r="M359" t="str">
        <f>LOOKUP(B359,Sheet2!$G$4:$H$9)</f>
        <v>126-150</v>
      </c>
      <c r="N359" t="str">
        <f>LOOKUP(C359,Sheet2!$J$4:$K$8)</f>
        <v>Unknown</v>
      </c>
      <c r="O359" t="str">
        <f>LOOKUP(D359,Sheet2!$M$4:$N$8)</f>
        <v>30-39</v>
      </c>
      <c r="P359" t="str">
        <f>LOOKUP(E359,Sheet2!$P$4:$Q$9)</f>
        <v>Unknown</v>
      </c>
      <c r="Q359" t="str">
        <f>LOOKUP(F359,Sheet2!$S$4:$T$8)</f>
        <v>36+</v>
      </c>
      <c r="R359" t="str">
        <f>LOOKUP(G359,Sheet2!$V$4:$W$7)</f>
        <v>0.4 - 0.69</v>
      </c>
      <c r="S359" t="str">
        <f>LOOKUP(H359,Sheet2!$Z$4:$AA$7)</f>
        <v>36-45</v>
      </c>
      <c r="T359" t="str">
        <f t="shared" si="15"/>
        <v>Positive</v>
      </c>
      <c r="U359" t="str">
        <f t="shared" si="16"/>
        <v>Not Sampled</v>
      </c>
      <c r="V359" s="1" t="str">
        <f t="shared" si="17"/>
        <v>Not Sampled</v>
      </c>
    </row>
    <row r="360" spans="1:22" x14ac:dyDescent="0.25">
      <c r="A360" s="1">
        <v>12</v>
      </c>
      <c r="B360" s="1">
        <v>88</v>
      </c>
      <c r="C360" s="1">
        <v>74</v>
      </c>
      <c r="D360" s="1">
        <v>40</v>
      </c>
      <c r="E360" s="1">
        <v>54</v>
      </c>
      <c r="F360" s="1">
        <v>35.299999999999997</v>
      </c>
      <c r="G360" s="1">
        <v>0.378</v>
      </c>
      <c r="H360" s="1">
        <v>48</v>
      </c>
      <c r="I360" s="1">
        <v>0</v>
      </c>
      <c r="J360" s="1" t="str">
        <f>IFERROR(VLOOKUP(K360,[1]diabetes_Recognition!$A:$B,2,FALSE),"Not Sampled")</f>
        <v>Not Sampled</v>
      </c>
      <c r="K360" s="1">
        <v>358</v>
      </c>
      <c r="L360" s="1" t="str">
        <f>LOOKUP(A360,Sheet2!$D$4:$E$9)</f>
        <v>8+</v>
      </c>
      <c r="M360" t="str">
        <f>LOOKUP(B360,Sheet2!$G$4:$H$9)</f>
        <v>1-99</v>
      </c>
      <c r="N360" t="str">
        <f>LOOKUP(C360,Sheet2!$J$4:$K$8)</f>
        <v>70-79</v>
      </c>
      <c r="O360" t="str">
        <f>LOOKUP(D360,Sheet2!$M$4:$N$8)</f>
        <v>40+</v>
      </c>
      <c r="P360" t="str">
        <f>LOOKUP(E360,Sheet2!$P$4:$Q$9)</f>
        <v>1-99</v>
      </c>
      <c r="Q360" t="str">
        <f>LOOKUP(F360,Sheet2!$S$4:$T$8)</f>
        <v>31-35</v>
      </c>
      <c r="R360" t="str">
        <f>LOOKUP(G360,Sheet2!$V$4:$W$7)</f>
        <v>0.25 - 0.39</v>
      </c>
      <c r="S360" t="str">
        <f>LOOKUP(H360,Sheet2!$Z$4:$AA$7)</f>
        <v>46+</v>
      </c>
      <c r="T360" t="str">
        <f t="shared" si="15"/>
        <v>Negative</v>
      </c>
      <c r="U360" t="str">
        <f t="shared" si="16"/>
        <v>Not Sampled</v>
      </c>
      <c r="V360" s="1" t="str">
        <f t="shared" si="17"/>
        <v>Not Sampled</v>
      </c>
    </row>
    <row r="361" spans="1:22" x14ac:dyDescent="0.25">
      <c r="A361" s="1">
        <v>1</v>
      </c>
      <c r="B361" s="1">
        <v>196</v>
      </c>
      <c r="C361" s="1">
        <v>76</v>
      </c>
      <c r="D361" s="1">
        <v>36</v>
      </c>
      <c r="E361" s="1">
        <v>249</v>
      </c>
      <c r="F361" s="1">
        <v>36.5</v>
      </c>
      <c r="G361" s="1">
        <v>0.875</v>
      </c>
      <c r="H361" s="1">
        <v>29</v>
      </c>
      <c r="I361" s="1">
        <v>1</v>
      </c>
      <c r="J361" s="1" t="str">
        <f>IFERROR(VLOOKUP(K361,[1]diabetes_Recognition!$A:$B,2,FALSE),"Not Sampled")</f>
        <v>Not Sampled</v>
      </c>
      <c r="K361" s="1">
        <v>359</v>
      </c>
      <c r="L361" s="1">
        <f>LOOKUP(A361,Sheet2!$D$4:$E$9)</f>
        <v>1</v>
      </c>
      <c r="M361" t="str">
        <f>LOOKUP(B361,Sheet2!$G$4:$H$9)</f>
        <v>176-200</v>
      </c>
      <c r="N361" t="str">
        <f>LOOKUP(C361,Sheet2!$J$4:$K$8)</f>
        <v>70-79</v>
      </c>
      <c r="O361" t="str">
        <f>LOOKUP(D361,Sheet2!$M$4:$N$8)</f>
        <v>30-39</v>
      </c>
      <c r="P361" t="str">
        <f>LOOKUP(E361,Sheet2!$P$4:$Q$9)</f>
        <v>200-399</v>
      </c>
      <c r="Q361" t="str">
        <f>LOOKUP(F361,Sheet2!$S$4:$T$8)</f>
        <v>36+</v>
      </c>
      <c r="R361" t="str">
        <f>LOOKUP(G361,Sheet2!$V$4:$W$7)</f>
        <v>0.7+</v>
      </c>
      <c r="S361" t="str">
        <f>LOOKUP(H361,Sheet2!$Z$4:$AA$7)</f>
        <v>26-35</v>
      </c>
      <c r="T361" t="str">
        <f t="shared" si="15"/>
        <v>Positive</v>
      </c>
      <c r="U361" t="str">
        <f t="shared" si="16"/>
        <v>Not Sampled</v>
      </c>
      <c r="V361" s="1" t="str">
        <f t="shared" si="17"/>
        <v>Not Sampled</v>
      </c>
    </row>
    <row r="362" spans="1:22" x14ac:dyDescent="0.25">
      <c r="A362" s="1">
        <v>5</v>
      </c>
      <c r="B362" s="1">
        <v>189</v>
      </c>
      <c r="C362" s="1">
        <v>64</v>
      </c>
      <c r="D362" s="1">
        <v>33</v>
      </c>
      <c r="E362" s="1">
        <v>325</v>
      </c>
      <c r="F362" s="1">
        <v>31.2</v>
      </c>
      <c r="G362" s="1">
        <v>0.58299999999999996</v>
      </c>
      <c r="H362" s="1">
        <v>29</v>
      </c>
      <c r="I362" s="1">
        <v>1</v>
      </c>
      <c r="J362" s="1" t="str">
        <f>IFERROR(VLOOKUP(K362,[1]diabetes_Recognition!$A:$B,2,FALSE),"Not Sampled")</f>
        <v>Not Sampled</v>
      </c>
      <c r="K362" s="1">
        <v>360</v>
      </c>
      <c r="L362" s="1" t="str">
        <f>LOOKUP(A362,Sheet2!$D$4:$E$9)</f>
        <v>5-7</v>
      </c>
      <c r="M362" t="str">
        <f>LOOKUP(B362,Sheet2!$G$4:$H$9)</f>
        <v>176-200</v>
      </c>
      <c r="N362" t="str">
        <f>LOOKUP(C362,Sheet2!$J$4:$K$8)</f>
        <v>60-69</v>
      </c>
      <c r="O362" t="str">
        <f>LOOKUP(D362,Sheet2!$M$4:$N$8)</f>
        <v>30-39</v>
      </c>
      <c r="P362" t="str">
        <f>LOOKUP(E362,Sheet2!$P$4:$Q$9)</f>
        <v>300-499</v>
      </c>
      <c r="Q362" t="str">
        <f>LOOKUP(F362,Sheet2!$S$4:$T$8)</f>
        <v>31-35</v>
      </c>
      <c r="R362" t="str">
        <f>LOOKUP(G362,Sheet2!$V$4:$W$7)</f>
        <v>0.4 - 0.69</v>
      </c>
      <c r="S362" t="str">
        <f>LOOKUP(H362,Sheet2!$Z$4:$AA$7)</f>
        <v>26-35</v>
      </c>
      <c r="T362" t="str">
        <f t="shared" si="15"/>
        <v>Positive</v>
      </c>
      <c r="U362" t="str">
        <f t="shared" si="16"/>
        <v>Not Sampled</v>
      </c>
      <c r="V362" s="1" t="str">
        <f t="shared" si="17"/>
        <v>Not Sampled</v>
      </c>
    </row>
    <row r="363" spans="1:22" x14ac:dyDescent="0.25">
      <c r="A363" s="1">
        <v>5</v>
      </c>
      <c r="B363" s="1">
        <v>158</v>
      </c>
      <c r="C363" s="1">
        <v>70</v>
      </c>
      <c r="D363" s="1">
        <v>0</v>
      </c>
      <c r="E363" s="1">
        <v>0</v>
      </c>
      <c r="F363" s="1">
        <v>29.8</v>
      </c>
      <c r="G363" s="1">
        <v>0.20699999999999999</v>
      </c>
      <c r="H363" s="1">
        <v>63</v>
      </c>
      <c r="I363" s="1">
        <v>0</v>
      </c>
      <c r="J363" s="1">
        <f>IFERROR(VLOOKUP(K363,[1]diabetes_Recognition!$A:$B,2,FALSE),"Not Sampled")</f>
        <v>1</v>
      </c>
      <c r="K363" s="1">
        <v>361</v>
      </c>
      <c r="L363" s="1" t="str">
        <f>LOOKUP(A363,Sheet2!$D$4:$E$9)</f>
        <v>5-7</v>
      </c>
      <c r="M363" t="str">
        <f>LOOKUP(B363,Sheet2!$G$4:$H$9)</f>
        <v>151-175</v>
      </c>
      <c r="N363" t="str">
        <f>LOOKUP(C363,Sheet2!$J$4:$K$8)</f>
        <v>70-79</v>
      </c>
      <c r="O363" t="str">
        <f>LOOKUP(D363,Sheet2!$M$4:$N$8)</f>
        <v>Unknown</v>
      </c>
      <c r="P363" t="str">
        <f>LOOKUP(E363,Sheet2!$P$4:$Q$9)</f>
        <v>Unknown</v>
      </c>
      <c r="Q363" t="str">
        <f>LOOKUP(F363,Sheet2!$S$4:$T$8)</f>
        <v>26-30</v>
      </c>
      <c r="R363" t="str">
        <f>LOOKUP(G363,Sheet2!$V$4:$W$7)</f>
        <v>0.0 - 0.249</v>
      </c>
      <c r="S363" t="str">
        <f>LOOKUP(H363,Sheet2!$Z$4:$AA$7)</f>
        <v>46+</v>
      </c>
      <c r="T363" t="str">
        <f t="shared" si="15"/>
        <v>Negative</v>
      </c>
      <c r="U363" t="str">
        <f t="shared" si="16"/>
        <v>Positive</v>
      </c>
      <c r="V363" s="1" t="str">
        <f t="shared" si="17"/>
        <v>Inaccurate Prediction</v>
      </c>
    </row>
    <row r="364" spans="1:22" x14ac:dyDescent="0.25">
      <c r="A364" s="1">
        <v>5</v>
      </c>
      <c r="B364" s="1">
        <v>103</v>
      </c>
      <c r="C364" s="1">
        <v>108</v>
      </c>
      <c r="D364" s="1">
        <v>37</v>
      </c>
      <c r="E364" s="1">
        <v>0</v>
      </c>
      <c r="F364" s="1">
        <v>39.200000000000003</v>
      </c>
      <c r="G364" s="1">
        <v>0.30499999999999999</v>
      </c>
      <c r="H364" s="1">
        <v>65</v>
      </c>
      <c r="I364" s="1">
        <v>0</v>
      </c>
      <c r="J364" s="1" t="str">
        <f>IFERROR(VLOOKUP(K364,[1]diabetes_Recognition!$A:$B,2,FALSE),"Not Sampled")</f>
        <v>Not Sampled</v>
      </c>
      <c r="K364" s="1">
        <v>362</v>
      </c>
      <c r="L364" s="1" t="str">
        <f>LOOKUP(A364,Sheet2!$D$4:$E$9)</f>
        <v>5-7</v>
      </c>
      <c r="M364" t="str">
        <f>LOOKUP(B364,Sheet2!$G$4:$H$9)</f>
        <v>100-125</v>
      </c>
      <c r="N364" t="str">
        <f>LOOKUP(C364,Sheet2!$J$4:$K$8)</f>
        <v>80+</v>
      </c>
      <c r="O364" t="str">
        <f>LOOKUP(D364,Sheet2!$M$4:$N$8)</f>
        <v>30-39</v>
      </c>
      <c r="P364" t="str">
        <f>LOOKUP(E364,Sheet2!$P$4:$Q$9)</f>
        <v>Unknown</v>
      </c>
      <c r="Q364" t="str">
        <f>LOOKUP(F364,Sheet2!$S$4:$T$8)</f>
        <v>36+</v>
      </c>
      <c r="R364" t="str">
        <f>LOOKUP(G364,Sheet2!$V$4:$W$7)</f>
        <v>0.25 - 0.39</v>
      </c>
      <c r="S364" t="str">
        <f>LOOKUP(H364,Sheet2!$Z$4:$AA$7)</f>
        <v>46+</v>
      </c>
      <c r="T364" t="str">
        <f t="shared" si="15"/>
        <v>Negative</v>
      </c>
      <c r="U364" t="str">
        <f t="shared" si="16"/>
        <v>Not Sampled</v>
      </c>
      <c r="V364" s="1" t="str">
        <f t="shared" si="17"/>
        <v>Not Sampled</v>
      </c>
    </row>
    <row r="365" spans="1:22" x14ac:dyDescent="0.25">
      <c r="A365" s="1">
        <v>4</v>
      </c>
      <c r="B365" s="1">
        <v>146</v>
      </c>
      <c r="C365" s="1">
        <v>78</v>
      </c>
      <c r="D365" s="1">
        <v>0</v>
      </c>
      <c r="E365" s="1">
        <v>0</v>
      </c>
      <c r="F365" s="1">
        <v>38.5</v>
      </c>
      <c r="G365" s="1">
        <v>0.52</v>
      </c>
      <c r="H365" s="1">
        <v>67</v>
      </c>
      <c r="I365" s="1">
        <v>1</v>
      </c>
      <c r="J365" s="1" t="str">
        <f>IFERROR(VLOOKUP(K365,[1]diabetes_Recognition!$A:$B,2,FALSE),"Not Sampled")</f>
        <v>Not Sampled</v>
      </c>
      <c r="K365" s="1">
        <v>363</v>
      </c>
      <c r="L365" s="1" t="str">
        <f>LOOKUP(A365,Sheet2!$D$4:$E$9)</f>
        <v>3-4</v>
      </c>
      <c r="M365" t="str">
        <f>LOOKUP(B365,Sheet2!$G$4:$H$9)</f>
        <v>126-150</v>
      </c>
      <c r="N365" t="str">
        <f>LOOKUP(C365,Sheet2!$J$4:$K$8)</f>
        <v>70-79</v>
      </c>
      <c r="O365" t="str">
        <f>LOOKUP(D365,Sheet2!$M$4:$N$8)</f>
        <v>Unknown</v>
      </c>
      <c r="P365" t="str">
        <f>LOOKUP(E365,Sheet2!$P$4:$Q$9)</f>
        <v>Unknown</v>
      </c>
      <c r="Q365" t="str">
        <f>LOOKUP(F365,Sheet2!$S$4:$T$8)</f>
        <v>36+</v>
      </c>
      <c r="R365" t="str">
        <f>LOOKUP(G365,Sheet2!$V$4:$W$7)</f>
        <v>0.4 - 0.69</v>
      </c>
      <c r="S365" t="str">
        <f>LOOKUP(H365,Sheet2!$Z$4:$AA$7)</f>
        <v>46+</v>
      </c>
      <c r="T365" t="str">
        <f t="shared" si="15"/>
        <v>Positive</v>
      </c>
      <c r="U365" t="str">
        <f t="shared" si="16"/>
        <v>Not Sampled</v>
      </c>
      <c r="V365" s="1" t="str">
        <f t="shared" si="17"/>
        <v>Not Sampled</v>
      </c>
    </row>
    <row r="366" spans="1:22" x14ac:dyDescent="0.25">
      <c r="A366" s="1">
        <v>4</v>
      </c>
      <c r="B366" s="1">
        <v>147</v>
      </c>
      <c r="C366" s="1">
        <v>74</v>
      </c>
      <c r="D366" s="1">
        <v>25</v>
      </c>
      <c r="E366" s="1">
        <v>293</v>
      </c>
      <c r="F366" s="1">
        <v>34.9</v>
      </c>
      <c r="G366" s="1">
        <v>0.38500000000000001</v>
      </c>
      <c r="H366" s="1">
        <v>30</v>
      </c>
      <c r="I366" s="1">
        <v>0</v>
      </c>
      <c r="J366" s="1" t="str">
        <f>IFERROR(VLOOKUP(K366,[1]diabetes_Recognition!$A:$B,2,FALSE),"Not Sampled")</f>
        <v>Not Sampled</v>
      </c>
      <c r="K366" s="1">
        <v>364</v>
      </c>
      <c r="L366" s="1" t="str">
        <f>LOOKUP(A366,Sheet2!$D$4:$E$9)</f>
        <v>3-4</v>
      </c>
      <c r="M366" t="str">
        <f>LOOKUP(B366,Sheet2!$G$4:$H$9)</f>
        <v>126-150</v>
      </c>
      <c r="N366" t="str">
        <f>LOOKUP(C366,Sheet2!$J$4:$K$8)</f>
        <v>70-79</v>
      </c>
      <c r="O366" t="str">
        <f>LOOKUP(D366,Sheet2!$M$4:$N$8)</f>
        <v>10-30</v>
      </c>
      <c r="P366" t="str">
        <f>LOOKUP(E366,Sheet2!$P$4:$Q$9)</f>
        <v>200-399</v>
      </c>
      <c r="Q366" t="str">
        <f>LOOKUP(F366,Sheet2!$S$4:$T$8)</f>
        <v>31-35</v>
      </c>
      <c r="R366" t="str">
        <f>LOOKUP(G366,Sheet2!$V$4:$W$7)</f>
        <v>0.25 - 0.39</v>
      </c>
      <c r="S366" t="str">
        <f>LOOKUP(H366,Sheet2!$Z$4:$AA$7)</f>
        <v>26-35</v>
      </c>
      <c r="T366" t="str">
        <f t="shared" si="15"/>
        <v>Negative</v>
      </c>
      <c r="U366" t="str">
        <f t="shared" si="16"/>
        <v>Not Sampled</v>
      </c>
      <c r="V366" s="1" t="str">
        <f t="shared" si="17"/>
        <v>Not Sampled</v>
      </c>
    </row>
    <row r="367" spans="1:22" x14ac:dyDescent="0.25">
      <c r="A367" s="1">
        <v>5</v>
      </c>
      <c r="B367" s="1">
        <v>99</v>
      </c>
      <c r="C367" s="1">
        <v>54</v>
      </c>
      <c r="D367" s="1">
        <v>28</v>
      </c>
      <c r="E367" s="1">
        <v>83</v>
      </c>
      <c r="F367" s="1">
        <v>34</v>
      </c>
      <c r="G367" s="1">
        <v>0.499</v>
      </c>
      <c r="H367" s="1">
        <v>30</v>
      </c>
      <c r="I367" s="1">
        <v>0</v>
      </c>
      <c r="J367" s="1" t="str">
        <f>IFERROR(VLOOKUP(K367,[1]diabetes_Recognition!$A:$B,2,FALSE),"Not Sampled")</f>
        <v>Not Sampled</v>
      </c>
      <c r="K367" s="1">
        <v>365</v>
      </c>
      <c r="L367" s="1" t="str">
        <f>LOOKUP(A367,Sheet2!$D$4:$E$9)</f>
        <v>5-7</v>
      </c>
      <c r="M367" t="str">
        <f>LOOKUP(B367,Sheet2!$G$4:$H$9)</f>
        <v>1-99</v>
      </c>
      <c r="N367" t="str">
        <f>LOOKUP(C367,Sheet2!$J$4:$K$8)</f>
        <v>1-59</v>
      </c>
      <c r="O367" t="str">
        <f>LOOKUP(D367,Sheet2!$M$4:$N$8)</f>
        <v>10-30</v>
      </c>
      <c r="P367" t="str">
        <f>LOOKUP(E367,Sheet2!$P$4:$Q$9)</f>
        <v>1-99</v>
      </c>
      <c r="Q367" t="str">
        <f>LOOKUP(F367,Sheet2!$S$4:$T$8)</f>
        <v>31-35</v>
      </c>
      <c r="R367" t="str">
        <f>LOOKUP(G367,Sheet2!$V$4:$W$7)</f>
        <v>0.4 - 0.69</v>
      </c>
      <c r="S367" t="str">
        <f>LOOKUP(H367,Sheet2!$Z$4:$AA$7)</f>
        <v>26-35</v>
      </c>
      <c r="T367" t="str">
        <f t="shared" si="15"/>
        <v>Negative</v>
      </c>
      <c r="U367" t="str">
        <f t="shared" si="16"/>
        <v>Not Sampled</v>
      </c>
      <c r="V367" s="1" t="str">
        <f t="shared" si="17"/>
        <v>Not Sampled</v>
      </c>
    </row>
    <row r="368" spans="1:22" x14ac:dyDescent="0.25">
      <c r="A368" s="1">
        <v>6</v>
      </c>
      <c r="B368" s="1">
        <v>124</v>
      </c>
      <c r="C368" s="1">
        <v>72</v>
      </c>
      <c r="D368" s="1">
        <v>0</v>
      </c>
      <c r="E368" s="1">
        <v>0</v>
      </c>
      <c r="F368" s="1">
        <v>27.6</v>
      </c>
      <c r="G368" s="1">
        <v>0.36799999999999999</v>
      </c>
      <c r="H368" s="1">
        <v>29</v>
      </c>
      <c r="I368" s="1">
        <v>1</v>
      </c>
      <c r="J368" s="1">
        <f>IFERROR(VLOOKUP(K368,[1]diabetes_Recognition!$A:$B,2,FALSE),"Not Sampled")</f>
        <v>0</v>
      </c>
      <c r="K368" s="1">
        <v>366</v>
      </c>
      <c r="L368" s="1" t="str">
        <f>LOOKUP(A368,Sheet2!$D$4:$E$9)</f>
        <v>5-7</v>
      </c>
      <c r="M368" t="str">
        <f>LOOKUP(B368,Sheet2!$G$4:$H$9)</f>
        <v>100-125</v>
      </c>
      <c r="N368" t="str">
        <f>LOOKUP(C368,Sheet2!$J$4:$K$8)</f>
        <v>70-79</v>
      </c>
      <c r="O368" t="str">
        <f>LOOKUP(D368,Sheet2!$M$4:$N$8)</f>
        <v>Unknown</v>
      </c>
      <c r="P368" t="str">
        <f>LOOKUP(E368,Sheet2!$P$4:$Q$9)</f>
        <v>Unknown</v>
      </c>
      <c r="Q368" t="str">
        <f>LOOKUP(F368,Sheet2!$S$4:$T$8)</f>
        <v>26-30</v>
      </c>
      <c r="R368" t="str">
        <f>LOOKUP(G368,Sheet2!$V$4:$W$7)</f>
        <v>0.25 - 0.39</v>
      </c>
      <c r="S368" t="str">
        <f>LOOKUP(H368,Sheet2!$Z$4:$AA$7)</f>
        <v>26-35</v>
      </c>
      <c r="T368" t="str">
        <f t="shared" si="15"/>
        <v>Positive</v>
      </c>
      <c r="U368" t="str">
        <f t="shared" si="16"/>
        <v>Negative</v>
      </c>
      <c r="V368" s="1" t="str">
        <f t="shared" si="17"/>
        <v>Inaccurate Prediction</v>
      </c>
    </row>
    <row r="369" spans="1:22" x14ac:dyDescent="0.25">
      <c r="A369" s="1">
        <v>0</v>
      </c>
      <c r="B369" s="1">
        <v>101</v>
      </c>
      <c r="C369" s="1">
        <v>64</v>
      </c>
      <c r="D369" s="1">
        <v>17</v>
      </c>
      <c r="E369" s="1">
        <v>0</v>
      </c>
      <c r="F369" s="1">
        <v>21</v>
      </c>
      <c r="G369" s="1">
        <v>0.252</v>
      </c>
      <c r="H369" s="1">
        <v>21</v>
      </c>
      <c r="I369" s="1">
        <v>0</v>
      </c>
      <c r="J369" s="1">
        <f>IFERROR(VLOOKUP(K369,[1]diabetes_Recognition!$A:$B,2,FALSE),"Not Sampled")</f>
        <v>0</v>
      </c>
      <c r="K369" s="1">
        <v>367</v>
      </c>
      <c r="L369" s="1">
        <f>LOOKUP(A369,Sheet2!$D$4:$E$9)</f>
        <v>0</v>
      </c>
      <c r="M369" t="str">
        <f>LOOKUP(B369,Sheet2!$G$4:$H$9)</f>
        <v>100-125</v>
      </c>
      <c r="N369" t="str">
        <f>LOOKUP(C369,Sheet2!$J$4:$K$8)</f>
        <v>60-69</v>
      </c>
      <c r="O369" t="str">
        <f>LOOKUP(D369,Sheet2!$M$4:$N$8)</f>
        <v>10-30</v>
      </c>
      <c r="P369" t="str">
        <f>LOOKUP(E369,Sheet2!$P$4:$Q$9)</f>
        <v>Unknown</v>
      </c>
      <c r="Q369" t="str">
        <f>LOOKUP(F369,Sheet2!$S$4:$T$8)</f>
        <v>1-25</v>
      </c>
      <c r="R369" t="str">
        <f>LOOKUP(G369,Sheet2!$V$4:$W$7)</f>
        <v>0.25 - 0.39</v>
      </c>
      <c r="S369" t="str">
        <f>LOOKUP(H369,Sheet2!$Z$4:$AA$7)</f>
        <v>&lt;=25</v>
      </c>
      <c r="T369" t="str">
        <f t="shared" si="15"/>
        <v>Negative</v>
      </c>
      <c r="U369" t="str">
        <f t="shared" si="16"/>
        <v>Negative</v>
      </c>
      <c r="V369" s="1" t="str">
        <f t="shared" si="17"/>
        <v>Accurate Prediction</v>
      </c>
    </row>
    <row r="370" spans="1:22" x14ac:dyDescent="0.25">
      <c r="A370" s="1">
        <v>3</v>
      </c>
      <c r="B370" s="1">
        <v>81</v>
      </c>
      <c r="C370" s="1">
        <v>86</v>
      </c>
      <c r="D370" s="1">
        <v>16</v>
      </c>
      <c r="E370" s="1">
        <v>66</v>
      </c>
      <c r="F370" s="1">
        <v>27.5</v>
      </c>
      <c r="G370" s="1">
        <v>0.30599999999999999</v>
      </c>
      <c r="H370" s="1">
        <v>22</v>
      </c>
      <c r="I370" s="1">
        <v>0</v>
      </c>
      <c r="J370" s="1">
        <f>IFERROR(VLOOKUP(K370,[1]diabetes_Recognition!$A:$B,2,FALSE),"Not Sampled")</f>
        <v>0</v>
      </c>
      <c r="K370" s="1">
        <v>368</v>
      </c>
      <c r="L370" s="1" t="str">
        <f>LOOKUP(A370,Sheet2!$D$4:$E$9)</f>
        <v>3-4</v>
      </c>
      <c r="M370" t="str">
        <f>LOOKUP(B370,Sheet2!$G$4:$H$9)</f>
        <v>1-99</v>
      </c>
      <c r="N370" t="str">
        <f>LOOKUP(C370,Sheet2!$J$4:$K$8)</f>
        <v>80+</v>
      </c>
      <c r="O370" t="str">
        <f>LOOKUP(D370,Sheet2!$M$4:$N$8)</f>
        <v>10-30</v>
      </c>
      <c r="P370" t="str">
        <f>LOOKUP(E370,Sheet2!$P$4:$Q$9)</f>
        <v>1-99</v>
      </c>
      <c r="Q370" t="str">
        <f>LOOKUP(F370,Sheet2!$S$4:$T$8)</f>
        <v>26-30</v>
      </c>
      <c r="R370" t="str">
        <f>LOOKUP(G370,Sheet2!$V$4:$W$7)</f>
        <v>0.25 - 0.39</v>
      </c>
      <c r="S370" t="str">
        <f>LOOKUP(H370,Sheet2!$Z$4:$AA$7)</f>
        <v>&lt;=25</v>
      </c>
      <c r="T370" t="str">
        <f t="shared" si="15"/>
        <v>Negative</v>
      </c>
      <c r="U370" t="str">
        <f t="shared" si="16"/>
        <v>Negative</v>
      </c>
      <c r="V370" s="1" t="str">
        <f t="shared" si="17"/>
        <v>Accurate Prediction</v>
      </c>
    </row>
    <row r="371" spans="1:22" x14ac:dyDescent="0.25">
      <c r="A371" s="1">
        <v>1</v>
      </c>
      <c r="B371" s="1">
        <v>133</v>
      </c>
      <c r="C371" s="1">
        <v>102</v>
      </c>
      <c r="D371" s="1">
        <v>28</v>
      </c>
      <c r="E371" s="1">
        <v>140</v>
      </c>
      <c r="F371" s="1">
        <v>32.799999999999997</v>
      </c>
      <c r="G371" s="1">
        <v>0.23400000000000001</v>
      </c>
      <c r="H371" s="1">
        <v>45</v>
      </c>
      <c r="I371" s="1">
        <v>1</v>
      </c>
      <c r="J371" s="1" t="str">
        <f>IFERROR(VLOOKUP(K371,[1]diabetes_Recognition!$A:$B,2,FALSE),"Not Sampled")</f>
        <v>Not Sampled</v>
      </c>
      <c r="K371" s="1">
        <v>369</v>
      </c>
      <c r="L371" s="1">
        <f>LOOKUP(A371,Sheet2!$D$4:$E$9)</f>
        <v>1</v>
      </c>
      <c r="M371" t="str">
        <f>LOOKUP(B371,Sheet2!$G$4:$H$9)</f>
        <v>126-150</v>
      </c>
      <c r="N371" t="str">
        <f>LOOKUP(C371,Sheet2!$J$4:$K$8)</f>
        <v>80+</v>
      </c>
      <c r="O371" t="str">
        <f>LOOKUP(D371,Sheet2!$M$4:$N$8)</f>
        <v>10-30</v>
      </c>
      <c r="P371" t="str">
        <f>LOOKUP(E371,Sheet2!$P$4:$Q$9)</f>
        <v>100-199</v>
      </c>
      <c r="Q371" t="str">
        <f>LOOKUP(F371,Sheet2!$S$4:$T$8)</f>
        <v>31-35</v>
      </c>
      <c r="R371" t="str">
        <f>LOOKUP(G371,Sheet2!$V$4:$W$7)</f>
        <v>0.0 - 0.249</v>
      </c>
      <c r="S371" t="str">
        <f>LOOKUP(H371,Sheet2!$Z$4:$AA$7)</f>
        <v>36-45</v>
      </c>
      <c r="T371" t="str">
        <f t="shared" si="15"/>
        <v>Positive</v>
      </c>
      <c r="U371" t="str">
        <f t="shared" si="16"/>
        <v>Not Sampled</v>
      </c>
      <c r="V371" s="1" t="str">
        <f t="shared" si="17"/>
        <v>Not Sampled</v>
      </c>
    </row>
    <row r="372" spans="1:22" x14ac:dyDescent="0.25">
      <c r="A372" s="1">
        <v>3</v>
      </c>
      <c r="B372" s="1">
        <v>173</v>
      </c>
      <c r="C372" s="1">
        <v>82</v>
      </c>
      <c r="D372" s="1">
        <v>48</v>
      </c>
      <c r="E372" s="1">
        <v>465</v>
      </c>
      <c r="F372" s="1">
        <v>38.4</v>
      </c>
      <c r="G372" s="1">
        <v>2.137</v>
      </c>
      <c r="H372" s="1">
        <v>25</v>
      </c>
      <c r="I372" s="1">
        <v>1</v>
      </c>
      <c r="J372" s="1" t="str">
        <f>IFERROR(VLOOKUP(K372,[1]diabetes_Recognition!$A:$B,2,FALSE),"Not Sampled")</f>
        <v>Not Sampled</v>
      </c>
      <c r="K372" s="1">
        <v>370</v>
      </c>
      <c r="L372" s="1" t="str">
        <f>LOOKUP(A372,Sheet2!$D$4:$E$9)</f>
        <v>3-4</v>
      </c>
      <c r="M372" t="str">
        <f>LOOKUP(B372,Sheet2!$G$4:$H$9)</f>
        <v>151-175</v>
      </c>
      <c r="N372" t="str">
        <f>LOOKUP(C372,Sheet2!$J$4:$K$8)</f>
        <v>80+</v>
      </c>
      <c r="O372" t="str">
        <f>LOOKUP(D372,Sheet2!$M$4:$N$8)</f>
        <v>40+</v>
      </c>
      <c r="P372" t="str">
        <f>LOOKUP(E372,Sheet2!$P$4:$Q$9)</f>
        <v>300-499</v>
      </c>
      <c r="Q372" t="str">
        <f>LOOKUP(F372,Sheet2!$S$4:$T$8)</f>
        <v>36+</v>
      </c>
      <c r="R372" t="str">
        <f>LOOKUP(G372,Sheet2!$V$4:$W$7)</f>
        <v>0.7+</v>
      </c>
      <c r="S372" t="str">
        <f>LOOKUP(H372,Sheet2!$Z$4:$AA$7)</f>
        <v>&lt;=25</v>
      </c>
      <c r="T372" t="str">
        <f t="shared" si="15"/>
        <v>Positive</v>
      </c>
      <c r="U372" t="str">
        <f t="shared" si="16"/>
        <v>Not Sampled</v>
      </c>
      <c r="V372" s="1" t="str">
        <f t="shared" si="17"/>
        <v>Not Sampled</v>
      </c>
    </row>
    <row r="373" spans="1:22" x14ac:dyDescent="0.25">
      <c r="A373" s="1">
        <v>0</v>
      </c>
      <c r="B373" s="1">
        <v>118</v>
      </c>
      <c r="C373" s="1">
        <v>64</v>
      </c>
      <c r="D373" s="1">
        <v>23</v>
      </c>
      <c r="E373" s="1">
        <v>89</v>
      </c>
      <c r="F373" s="1">
        <v>0</v>
      </c>
      <c r="G373" s="1">
        <v>1.7310000000000001</v>
      </c>
      <c r="H373" s="1">
        <v>21</v>
      </c>
      <c r="I373" s="1">
        <v>0</v>
      </c>
      <c r="J373" s="1" t="str">
        <f>IFERROR(VLOOKUP(K373,[1]diabetes_Recognition!$A:$B,2,FALSE),"Not Sampled")</f>
        <v>Not Sampled</v>
      </c>
      <c r="K373" s="1">
        <v>371</v>
      </c>
      <c r="L373" s="1">
        <f>LOOKUP(A373,Sheet2!$D$4:$E$9)</f>
        <v>0</v>
      </c>
      <c r="M373" t="str">
        <f>LOOKUP(B373,Sheet2!$G$4:$H$9)</f>
        <v>100-125</v>
      </c>
      <c r="N373" t="str">
        <f>LOOKUP(C373,Sheet2!$J$4:$K$8)</f>
        <v>60-69</v>
      </c>
      <c r="O373" t="str">
        <f>LOOKUP(D373,Sheet2!$M$4:$N$8)</f>
        <v>10-30</v>
      </c>
      <c r="P373" t="str">
        <f>LOOKUP(E373,Sheet2!$P$4:$Q$9)</f>
        <v>1-99</v>
      </c>
      <c r="Q373" t="str">
        <f>LOOKUP(F373,Sheet2!$S$4:$T$8)</f>
        <v>Unknown</v>
      </c>
      <c r="R373" t="str">
        <f>LOOKUP(G373,Sheet2!$V$4:$W$7)</f>
        <v>0.7+</v>
      </c>
      <c r="S373" t="str">
        <f>LOOKUP(H373,Sheet2!$Z$4:$AA$7)</f>
        <v>&lt;=25</v>
      </c>
      <c r="T373" t="str">
        <f t="shared" si="15"/>
        <v>Negative</v>
      </c>
      <c r="U373" t="str">
        <f t="shared" si="16"/>
        <v>Not Sampled</v>
      </c>
      <c r="V373" s="1" t="str">
        <f t="shared" si="17"/>
        <v>Not Sampled</v>
      </c>
    </row>
    <row r="374" spans="1:22" x14ac:dyDescent="0.25">
      <c r="A374" s="1">
        <v>0</v>
      </c>
      <c r="B374" s="1">
        <v>84</v>
      </c>
      <c r="C374" s="1">
        <v>64</v>
      </c>
      <c r="D374" s="1">
        <v>22</v>
      </c>
      <c r="E374" s="1">
        <v>66</v>
      </c>
      <c r="F374" s="1">
        <v>35.799999999999997</v>
      </c>
      <c r="G374" s="1">
        <v>0.54500000000000004</v>
      </c>
      <c r="H374" s="1">
        <v>21</v>
      </c>
      <c r="I374" s="1">
        <v>0</v>
      </c>
      <c r="J374" s="1">
        <f>IFERROR(VLOOKUP(K374,[1]diabetes_Recognition!$A:$B,2,FALSE),"Not Sampled")</f>
        <v>0</v>
      </c>
      <c r="K374" s="1">
        <v>372</v>
      </c>
      <c r="L374" s="1">
        <f>LOOKUP(A374,Sheet2!$D$4:$E$9)</f>
        <v>0</v>
      </c>
      <c r="M374" t="str">
        <f>LOOKUP(B374,Sheet2!$G$4:$H$9)</f>
        <v>1-99</v>
      </c>
      <c r="N374" t="str">
        <f>LOOKUP(C374,Sheet2!$J$4:$K$8)</f>
        <v>60-69</v>
      </c>
      <c r="O374" t="str">
        <f>LOOKUP(D374,Sheet2!$M$4:$N$8)</f>
        <v>10-30</v>
      </c>
      <c r="P374" t="str">
        <f>LOOKUP(E374,Sheet2!$P$4:$Q$9)</f>
        <v>1-99</v>
      </c>
      <c r="Q374" t="str">
        <f>LOOKUP(F374,Sheet2!$S$4:$T$8)</f>
        <v>31-35</v>
      </c>
      <c r="R374" t="str">
        <f>LOOKUP(G374,Sheet2!$V$4:$W$7)</f>
        <v>0.4 - 0.69</v>
      </c>
      <c r="S374" t="str">
        <f>LOOKUP(H374,Sheet2!$Z$4:$AA$7)</f>
        <v>&lt;=25</v>
      </c>
      <c r="T374" t="str">
        <f t="shared" si="15"/>
        <v>Negative</v>
      </c>
      <c r="U374" t="str">
        <f t="shared" si="16"/>
        <v>Negative</v>
      </c>
      <c r="V374" s="1" t="str">
        <f t="shared" si="17"/>
        <v>Accurate Prediction</v>
      </c>
    </row>
    <row r="375" spans="1:22" x14ac:dyDescent="0.25">
      <c r="A375" s="1">
        <v>2</v>
      </c>
      <c r="B375" s="1">
        <v>105</v>
      </c>
      <c r="C375" s="1">
        <v>58</v>
      </c>
      <c r="D375" s="1">
        <v>40</v>
      </c>
      <c r="E375" s="1">
        <v>94</v>
      </c>
      <c r="F375" s="1">
        <v>34.9</v>
      </c>
      <c r="G375" s="1">
        <v>0.22500000000000001</v>
      </c>
      <c r="H375" s="1">
        <v>25</v>
      </c>
      <c r="I375" s="1">
        <v>0</v>
      </c>
      <c r="J375" s="1" t="str">
        <f>IFERROR(VLOOKUP(K375,[1]diabetes_Recognition!$A:$B,2,FALSE),"Not Sampled")</f>
        <v>Not Sampled</v>
      </c>
      <c r="K375" s="1">
        <v>373</v>
      </c>
      <c r="L375" s="1">
        <f>LOOKUP(A375,Sheet2!$D$4:$E$9)</f>
        <v>2</v>
      </c>
      <c r="M375" t="str">
        <f>LOOKUP(B375,Sheet2!$G$4:$H$9)</f>
        <v>100-125</v>
      </c>
      <c r="N375" t="str">
        <f>LOOKUP(C375,Sheet2!$J$4:$K$8)</f>
        <v>1-59</v>
      </c>
      <c r="O375" t="str">
        <f>LOOKUP(D375,Sheet2!$M$4:$N$8)</f>
        <v>40+</v>
      </c>
      <c r="P375" t="str">
        <f>LOOKUP(E375,Sheet2!$P$4:$Q$9)</f>
        <v>1-99</v>
      </c>
      <c r="Q375" t="str">
        <f>LOOKUP(F375,Sheet2!$S$4:$T$8)</f>
        <v>31-35</v>
      </c>
      <c r="R375" t="str">
        <f>LOOKUP(G375,Sheet2!$V$4:$W$7)</f>
        <v>0.0 - 0.249</v>
      </c>
      <c r="S375" t="str">
        <f>LOOKUP(H375,Sheet2!$Z$4:$AA$7)</f>
        <v>&lt;=25</v>
      </c>
      <c r="T375" t="str">
        <f t="shared" si="15"/>
        <v>Negative</v>
      </c>
      <c r="U375" t="str">
        <f t="shared" si="16"/>
        <v>Not Sampled</v>
      </c>
      <c r="V375" s="1" t="str">
        <f t="shared" si="17"/>
        <v>Not Sampled</v>
      </c>
    </row>
    <row r="376" spans="1:22" x14ac:dyDescent="0.25">
      <c r="A376" s="1">
        <v>2</v>
      </c>
      <c r="B376" s="1">
        <v>122</v>
      </c>
      <c r="C376" s="1">
        <v>52</v>
      </c>
      <c r="D376" s="1">
        <v>43</v>
      </c>
      <c r="E376" s="1">
        <v>158</v>
      </c>
      <c r="F376" s="1">
        <v>36.200000000000003</v>
      </c>
      <c r="G376" s="1">
        <v>0.81599999999999995</v>
      </c>
      <c r="H376" s="1">
        <v>28</v>
      </c>
      <c r="I376" s="1">
        <v>0</v>
      </c>
      <c r="J376" s="1" t="str">
        <f>IFERROR(VLOOKUP(K376,[1]diabetes_Recognition!$A:$B,2,FALSE),"Not Sampled")</f>
        <v>Not Sampled</v>
      </c>
      <c r="K376" s="1">
        <v>374</v>
      </c>
      <c r="L376" s="1">
        <f>LOOKUP(A376,Sheet2!$D$4:$E$9)</f>
        <v>2</v>
      </c>
      <c r="M376" t="str">
        <f>LOOKUP(B376,Sheet2!$G$4:$H$9)</f>
        <v>100-125</v>
      </c>
      <c r="N376" t="str">
        <f>LOOKUP(C376,Sheet2!$J$4:$K$8)</f>
        <v>1-59</v>
      </c>
      <c r="O376" t="str">
        <f>LOOKUP(D376,Sheet2!$M$4:$N$8)</f>
        <v>40+</v>
      </c>
      <c r="P376" t="str">
        <f>LOOKUP(E376,Sheet2!$P$4:$Q$9)</f>
        <v>100-199</v>
      </c>
      <c r="Q376" t="str">
        <f>LOOKUP(F376,Sheet2!$S$4:$T$8)</f>
        <v>36+</v>
      </c>
      <c r="R376" t="str">
        <f>LOOKUP(G376,Sheet2!$V$4:$W$7)</f>
        <v>0.7+</v>
      </c>
      <c r="S376" t="str">
        <f>LOOKUP(H376,Sheet2!$Z$4:$AA$7)</f>
        <v>26-35</v>
      </c>
      <c r="T376" t="str">
        <f t="shared" si="15"/>
        <v>Negative</v>
      </c>
      <c r="U376" t="str">
        <f t="shared" si="16"/>
        <v>Not Sampled</v>
      </c>
      <c r="V376" s="1" t="str">
        <f t="shared" si="17"/>
        <v>Not Sampled</v>
      </c>
    </row>
    <row r="377" spans="1:22" x14ac:dyDescent="0.25">
      <c r="A377" s="1">
        <v>12</v>
      </c>
      <c r="B377" s="1">
        <v>140</v>
      </c>
      <c r="C377" s="1">
        <v>82</v>
      </c>
      <c r="D377" s="1">
        <v>43</v>
      </c>
      <c r="E377" s="1">
        <v>325</v>
      </c>
      <c r="F377" s="1">
        <v>39.200000000000003</v>
      </c>
      <c r="G377" s="1">
        <v>0.52800000000000002</v>
      </c>
      <c r="H377" s="1">
        <v>58</v>
      </c>
      <c r="I377" s="1">
        <v>1</v>
      </c>
      <c r="J377" s="1">
        <f>IFERROR(VLOOKUP(K377,[1]diabetes_Recognition!$A:$B,2,FALSE),"Not Sampled")</f>
        <v>1</v>
      </c>
      <c r="K377" s="1">
        <v>375</v>
      </c>
      <c r="L377" s="1" t="str">
        <f>LOOKUP(A377,Sheet2!$D$4:$E$9)</f>
        <v>8+</v>
      </c>
      <c r="M377" t="str">
        <f>LOOKUP(B377,Sheet2!$G$4:$H$9)</f>
        <v>126-150</v>
      </c>
      <c r="N377" t="str">
        <f>LOOKUP(C377,Sheet2!$J$4:$K$8)</f>
        <v>80+</v>
      </c>
      <c r="O377" t="str">
        <f>LOOKUP(D377,Sheet2!$M$4:$N$8)</f>
        <v>40+</v>
      </c>
      <c r="P377" t="str">
        <f>LOOKUP(E377,Sheet2!$P$4:$Q$9)</f>
        <v>300-499</v>
      </c>
      <c r="Q377" t="str">
        <f>LOOKUP(F377,Sheet2!$S$4:$T$8)</f>
        <v>36+</v>
      </c>
      <c r="R377" t="str">
        <f>LOOKUP(G377,Sheet2!$V$4:$W$7)</f>
        <v>0.4 - 0.69</v>
      </c>
      <c r="S377" t="str">
        <f>LOOKUP(H377,Sheet2!$Z$4:$AA$7)</f>
        <v>46+</v>
      </c>
      <c r="T377" t="str">
        <f t="shared" si="15"/>
        <v>Positive</v>
      </c>
      <c r="U377" t="str">
        <f t="shared" si="16"/>
        <v>Positive</v>
      </c>
      <c r="V377" s="1" t="str">
        <f t="shared" si="17"/>
        <v>Accurate Prediction</v>
      </c>
    </row>
    <row r="378" spans="1:22" x14ac:dyDescent="0.25">
      <c r="A378" s="1">
        <v>0</v>
      </c>
      <c r="B378" s="1">
        <v>98</v>
      </c>
      <c r="C378" s="1">
        <v>82</v>
      </c>
      <c r="D378" s="1">
        <v>15</v>
      </c>
      <c r="E378" s="1">
        <v>84</v>
      </c>
      <c r="F378" s="1">
        <v>25.2</v>
      </c>
      <c r="G378" s="1">
        <v>0.29899999999999999</v>
      </c>
      <c r="H378" s="1">
        <v>22</v>
      </c>
      <c r="I378" s="1">
        <v>0</v>
      </c>
      <c r="J378" s="1" t="str">
        <f>IFERROR(VLOOKUP(K378,[1]diabetes_Recognition!$A:$B,2,FALSE),"Not Sampled")</f>
        <v>Not Sampled</v>
      </c>
      <c r="K378" s="1">
        <v>376</v>
      </c>
      <c r="L378" s="1">
        <f>LOOKUP(A378,Sheet2!$D$4:$E$9)</f>
        <v>0</v>
      </c>
      <c r="M378" t="str">
        <f>LOOKUP(B378,Sheet2!$G$4:$H$9)</f>
        <v>1-99</v>
      </c>
      <c r="N378" t="str">
        <f>LOOKUP(C378,Sheet2!$J$4:$K$8)</f>
        <v>80+</v>
      </c>
      <c r="O378" t="str">
        <f>LOOKUP(D378,Sheet2!$M$4:$N$8)</f>
        <v>10-30</v>
      </c>
      <c r="P378" t="str">
        <f>LOOKUP(E378,Sheet2!$P$4:$Q$9)</f>
        <v>1-99</v>
      </c>
      <c r="Q378" t="str">
        <f>LOOKUP(F378,Sheet2!$S$4:$T$8)</f>
        <v>1-25</v>
      </c>
      <c r="R378" t="str">
        <f>LOOKUP(G378,Sheet2!$V$4:$W$7)</f>
        <v>0.25 - 0.39</v>
      </c>
      <c r="S378" t="str">
        <f>LOOKUP(H378,Sheet2!$Z$4:$AA$7)</f>
        <v>&lt;=25</v>
      </c>
      <c r="T378" t="str">
        <f t="shared" si="15"/>
        <v>Negative</v>
      </c>
      <c r="U378" t="str">
        <f t="shared" si="16"/>
        <v>Not Sampled</v>
      </c>
      <c r="V378" s="1" t="str">
        <f t="shared" si="17"/>
        <v>Not Sampled</v>
      </c>
    </row>
    <row r="379" spans="1:22" x14ac:dyDescent="0.25">
      <c r="A379" s="1">
        <v>1</v>
      </c>
      <c r="B379" s="1">
        <v>87</v>
      </c>
      <c r="C379" s="1">
        <v>60</v>
      </c>
      <c r="D379" s="1">
        <v>37</v>
      </c>
      <c r="E379" s="1">
        <v>75</v>
      </c>
      <c r="F379" s="1">
        <v>37.200000000000003</v>
      </c>
      <c r="G379" s="1">
        <v>0.50900000000000001</v>
      </c>
      <c r="H379" s="1">
        <v>22</v>
      </c>
      <c r="I379" s="1">
        <v>0</v>
      </c>
      <c r="J379" s="1" t="str">
        <f>IFERROR(VLOOKUP(K379,[1]diabetes_Recognition!$A:$B,2,FALSE),"Not Sampled")</f>
        <v>Not Sampled</v>
      </c>
      <c r="K379" s="1">
        <v>377</v>
      </c>
      <c r="L379" s="1">
        <f>LOOKUP(A379,Sheet2!$D$4:$E$9)</f>
        <v>1</v>
      </c>
      <c r="M379" t="str">
        <f>LOOKUP(B379,Sheet2!$G$4:$H$9)</f>
        <v>1-99</v>
      </c>
      <c r="N379" t="str">
        <f>LOOKUP(C379,Sheet2!$J$4:$K$8)</f>
        <v>60-69</v>
      </c>
      <c r="O379" t="str">
        <f>LOOKUP(D379,Sheet2!$M$4:$N$8)</f>
        <v>30-39</v>
      </c>
      <c r="P379" t="str">
        <f>LOOKUP(E379,Sheet2!$P$4:$Q$9)</f>
        <v>1-99</v>
      </c>
      <c r="Q379" t="str">
        <f>LOOKUP(F379,Sheet2!$S$4:$T$8)</f>
        <v>36+</v>
      </c>
      <c r="R379" t="str">
        <f>LOOKUP(G379,Sheet2!$V$4:$W$7)</f>
        <v>0.4 - 0.69</v>
      </c>
      <c r="S379" t="str">
        <f>LOOKUP(H379,Sheet2!$Z$4:$AA$7)</f>
        <v>&lt;=25</v>
      </c>
      <c r="T379" t="str">
        <f t="shared" si="15"/>
        <v>Negative</v>
      </c>
      <c r="U379" t="str">
        <f t="shared" si="16"/>
        <v>Not Sampled</v>
      </c>
      <c r="V379" s="1" t="str">
        <f t="shared" si="17"/>
        <v>Not Sampled</v>
      </c>
    </row>
    <row r="380" spans="1:22" x14ac:dyDescent="0.25">
      <c r="A380" s="1">
        <v>4</v>
      </c>
      <c r="B380" s="1">
        <v>156</v>
      </c>
      <c r="C380" s="1">
        <v>75</v>
      </c>
      <c r="D380" s="1">
        <v>0</v>
      </c>
      <c r="E380" s="1">
        <v>0</v>
      </c>
      <c r="F380" s="1">
        <v>48.3</v>
      </c>
      <c r="G380" s="1">
        <v>0.23799999999999999</v>
      </c>
      <c r="H380" s="1">
        <v>32</v>
      </c>
      <c r="I380" s="1">
        <v>1</v>
      </c>
      <c r="J380" s="1" t="str">
        <f>IFERROR(VLOOKUP(K380,[1]diabetes_Recognition!$A:$B,2,FALSE),"Not Sampled")</f>
        <v>Not Sampled</v>
      </c>
      <c r="K380" s="1">
        <v>378</v>
      </c>
      <c r="L380" s="1" t="str">
        <f>LOOKUP(A380,Sheet2!$D$4:$E$9)</f>
        <v>3-4</v>
      </c>
      <c r="M380" t="str">
        <f>LOOKUP(B380,Sheet2!$G$4:$H$9)</f>
        <v>151-175</v>
      </c>
      <c r="N380" t="str">
        <f>LOOKUP(C380,Sheet2!$J$4:$K$8)</f>
        <v>70-79</v>
      </c>
      <c r="O380" t="str">
        <f>LOOKUP(D380,Sheet2!$M$4:$N$8)</f>
        <v>Unknown</v>
      </c>
      <c r="P380" t="str">
        <f>LOOKUP(E380,Sheet2!$P$4:$Q$9)</f>
        <v>Unknown</v>
      </c>
      <c r="Q380" t="str">
        <f>LOOKUP(F380,Sheet2!$S$4:$T$8)</f>
        <v>36+</v>
      </c>
      <c r="R380" t="str">
        <f>LOOKUP(G380,Sheet2!$V$4:$W$7)</f>
        <v>0.0 - 0.249</v>
      </c>
      <c r="S380" t="str">
        <f>LOOKUP(H380,Sheet2!$Z$4:$AA$7)</f>
        <v>26-35</v>
      </c>
      <c r="T380" t="str">
        <f t="shared" si="15"/>
        <v>Positive</v>
      </c>
      <c r="U380" t="str">
        <f t="shared" si="16"/>
        <v>Not Sampled</v>
      </c>
      <c r="V380" s="1" t="str">
        <f t="shared" si="17"/>
        <v>Not Sampled</v>
      </c>
    </row>
    <row r="381" spans="1:22" x14ac:dyDescent="0.25">
      <c r="A381" s="1">
        <v>0</v>
      </c>
      <c r="B381" s="1">
        <v>93</v>
      </c>
      <c r="C381" s="1">
        <v>100</v>
      </c>
      <c r="D381" s="1">
        <v>39</v>
      </c>
      <c r="E381" s="1">
        <v>72</v>
      </c>
      <c r="F381" s="1">
        <v>43.4</v>
      </c>
      <c r="G381" s="1">
        <v>1.0209999999999999</v>
      </c>
      <c r="H381" s="1">
        <v>35</v>
      </c>
      <c r="I381" s="1">
        <v>0</v>
      </c>
      <c r="J381" s="1" t="str">
        <f>IFERROR(VLOOKUP(K381,[1]diabetes_Recognition!$A:$B,2,FALSE),"Not Sampled")</f>
        <v>Not Sampled</v>
      </c>
      <c r="K381" s="1">
        <v>379</v>
      </c>
      <c r="L381" s="1">
        <f>LOOKUP(A381,Sheet2!$D$4:$E$9)</f>
        <v>0</v>
      </c>
      <c r="M381" t="str">
        <f>LOOKUP(B381,Sheet2!$G$4:$H$9)</f>
        <v>1-99</v>
      </c>
      <c r="N381" t="str">
        <f>LOOKUP(C381,Sheet2!$J$4:$K$8)</f>
        <v>80+</v>
      </c>
      <c r="O381" t="str">
        <f>LOOKUP(D381,Sheet2!$M$4:$N$8)</f>
        <v>30-39</v>
      </c>
      <c r="P381" t="str">
        <f>LOOKUP(E381,Sheet2!$P$4:$Q$9)</f>
        <v>1-99</v>
      </c>
      <c r="Q381" t="str">
        <f>LOOKUP(F381,Sheet2!$S$4:$T$8)</f>
        <v>36+</v>
      </c>
      <c r="R381" t="str">
        <f>LOOKUP(G381,Sheet2!$V$4:$W$7)</f>
        <v>0.7+</v>
      </c>
      <c r="S381" t="str">
        <f>LOOKUP(H381,Sheet2!$Z$4:$AA$7)</f>
        <v>26-35</v>
      </c>
      <c r="T381" t="str">
        <f t="shared" si="15"/>
        <v>Negative</v>
      </c>
      <c r="U381" t="str">
        <f t="shared" si="16"/>
        <v>Not Sampled</v>
      </c>
      <c r="V381" s="1" t="str">
        <f t="shared" si="17"/>
        <v>Not Sampled</v>
      </c>
    </row>
    <row r="382" spans="1:22" x14ac:dyDescent="0.25">
      <c r="A382" s="1">
        <v>1</v>
      </c>
      <c r="B382" s="1">
        <v>107</v>
      </c>
      <c r="C382" s="1">
        <v>72</v>
      </c>
      <c r="D382" s="1">
        <v>30</v>
      </c>
      <c r="E382" s="1">
        <v>82</v>
      </c>
      <c r="F382" s="1">
        <v>30.8</v>
      </c>
      <c r="G382" s="1">
        <v>0.82099999999999995</v>
      </c>
      <c r="H382" s="1">
        <v>24</v>
      </c>
      <c r="I382" s="1">
        <v>0</v>
      </c>
      <c r="J382" s="1" t="str">
        <f>IFERROR(VLOOKUP(K382,[1]diabetes_Recognition!$A:$B,2,FALSE),"Not Sampled")</f>
        <v>Not Sampled</v>
      </c>
      <c r="K382" s="1">
        <v>380</v>
      </c>
      <c r="L382" s="1">
        <f>LOOKUP(A382,Sheet2!$D$4:$E$9)</f>
        <v>1</v>
      </c>
      <c r="M382" t="str">
        <f>LOOKUP(B382,Sheet2!$G$4:$H$9)</f>
        <v>100-125</v>
      </c>
      <c r="N382" t="str">
        <f>LOOKUP(C382,Sheet2!$J$4:$K$8)</f>
        <v>70-79</v>
      </c>
      <c r="O382" t="str">
        <f>LOOKUP(D382,Sheet2!$M$4:$N$8)</f>
        <v>30-39</v>
      </c>
      <c r="P382" t="str">
        <f>LOOKUP(E382,Sheet2!$P$4:$Q$9)</f>
        <v>1-99</v>
      </c>
      <c r="Q382" t="str">
        <f>LOOKUP(F382,Sheet2!$S$4:$T$8)</f>
        <v>26-30</v>
      </c>
      <c r="R382" t="str">
        <f>LOOKUP(G382,Sheet2!$V$4:$W$7)</f>
        <v>0.7+</v>
      </c>
      <c r="S382" t="str">
        <f>LOOKUP(H382,Sheet2!$Z$4:$AA$7)</f>
        <v>&lt;=25</v>
      </c>
      <c r="T382" t="str">
        <f t="shared" si="15"/>
        <v>Negative</v>
      </c>
      <c r="U382" t="str">
        <f t="shared" si="16"/>
        <v>Not Sampled</v>
      </c>
      <c r="V382" s="1" t="str">
        <f t="shared" si="17"/>
        <v>Not Sampled</v>
      </c>
    </row>
    <row r="383" spans="1:22" x14ac:dyDescent="0.25">
      <c r="A383" s="1">
        <v>0</v>
      </c>
      <c r="B383" s="1">
        <v>105</v>
      </c>
      <c r="C383" s="1">
        <v>68</v>
      </c>
      <c r="D383" s="1">
        <v>22</v>
      </c>
      <c r="E383" s="1">
        <v>0</v>
      </c>
      <c r="F383" s="1">
        <v>20</v>
      </c>
      <c r="G383" s="1">
        <v>0.23599999999999999</v>
      </c>
      <c r="H383" s="1">
        <v>22</v>
      </c>
      <c r="I383" s="1">
        <v>0</v>
      </c>
      <c r="J383" s="1" t="str">
        <f>IFERROR(VLOOKUP(K383,[1]diabetes_Recognition!$A:$B,2,FALSE),"Not Sampled")</f>
        <v>Not Sampled</v>
      </c>
      <c r="K383" s="1">
        <v>381</v>
      </c>
      <c r="L383" s="1">
        <f>LOOKUP(A383,Sheet2!$D$4:$E$9)</f>
        <v>0</v>
      </c>
      <c r="M383" t="str">
        <f>LOOKUP(B383,Sheet2!$G$4:$H$9)</f>
        <v>100-125</v>
      </c>
      <c r="N383" t="str">
        <f>LOOKUP(C383,Sheet2!$J$4:$K$8)</f>
        <v>60-69</v>
      </c>
      <c r="O383" t="str">
        <f>LOOKUP(D383,Sheet2!$M$4:$N$8)</f>
        <v>10-30</v>
      </c>
      <c r="P383" t="str">
        <f>LOOKUP(E383,Sheet2!$P$4:$Q$9)</f>
        <v>Unknown</v>
      </c>
      <c r="Q383" t="str">
        <f>LOOKUP(F383,Sheet2!$S$4:$T$8)</f>
        <v>1-25</v>
      </c>
      <c r="R383" t="str">
        <f>LOOKUP(G383,Sheet2!$V$4:$W$7)</f>
        <v>0.0 - 0.249</v>
      </c>
      <c r="S383" t="str">
        <f>LOOKUP(H383,Sheet2!$Z$4:$AA$7)</f>
        <v>&lt;=25</v>
      </c>
      <c r="T383" t="str">
        <f t="shared" si="15"/>
        <v>Negative</v>
      </c>
      <c r="U383" t="str">
        <f t="shared" si="16"/>
        <v>Not Sampled</v>
      </c>
      <c r="V383" s="1" t="str">
        <f t="shared" si="17"/>
        <v>Not Sampled</v>
      </c>
    </row>
    <row r="384" spans="1:22" x14ac:dyDescent="0.25">
      <c r="A384" s="1">
        <v>1</v>
      </c>
      <c r="B384" s="1">
        <v>109</v>
      </c>
      <c r="C384" s="1">
        <v>60</v>
      </c>
      <c r="D384" s="1">
        <v>8</v>
      </c>
      <c r="E384" s="1">
        <v>182</v>
      </c>
      <c r="F384" s="1">
        <v>25.4</v>
      </c>
      <c r="G384" s="1">
        <v>0.94699999999999995</v>
      </c>
      <c r="H384" s="1">
        <v>21</v>
      </c>
      <c r="I384" s="1">
        <v>0</v>
      </c>
      <c r="J384" s="1">
        <f>IFERROR(VLOOKUP(K384,[1]diabetes_Recognition!$A:$B,2,FALSE),"Not Sampled")</f>
        <v>0</v>
      </c>
      <c r="K384" s="1">
        <v>382</v>
      </c>
      <c r="L384" s="1">
        <f>LOOKUP(A384,Sheet2!$D$4:$E$9)</f>
        <v>1</v>
      </c>
      <c r="M384" t="str">
        <f>LOOKUP(B384,Sheet2!$G$4:$H$9)</f>
        <v>100-125</v>
      </c>
      <c r="N384" t="str">
        <f>LOOKUP(C384,Sheet2!$J$4:$K$8)</f>
        <v>60-69</v>
      </c>
      <c r="O384" t="str">
        <f>LOOKUP(D384,Sheet2!$M$4:$N$8)</f>
        <v>1-10</v>
      </c>
      <c r="P384" t="str">
        <f>LOOKUP(E384,Sheet2!$P$4:$Q$9)</f>
        <v>100-199</v>
      </c>
      <c r="Q384" t="str">
        <f>LOOKUP(F384,Sheet2!$S$4:$T$8)</f>
        <v>1-25</v>
      </c>
      <c r="R384" t="str">
        <f>LOOKUP(G384,Sheet2!$V$4:$W$7)</f>
        <v>0.7+</v>
      </c>
      <c r="S384" t="str">
        <f>LOOKUP(H384,Sheet2!$Z$4:$AA$7)</f>
        <v>&lt;=25</v>
      </c>
      <c r="T384" t="str">
        <f t="shared" si="15"/>
        <v>Negative</v>
      </c>
      <c r="U384" t="str">
        <f t="shared" si="16"/>
        <v>Negative</v>
      </c>
      <c r="V384" s="1" t="str">
        <f t="shared" si="17"/>
        <v>Accurate Prediction</v>
      </c>
    </row>
    <row r="385" spans="1:22" x14ac:dyDescent="0.25">
      <c r="A385" s="1">
        <v>1</v>
      </c>
      <c r="B385" s="1">
        <v>90</v>
      </c>
      <c r="C385" s="1">
        <v>62</v>
      </c>
      <c r="D385" s="1">
        <v>18</v>
      </c>
      <c r="E385" s="1">
        <v>59</v>
      </c>
      <c r="F385" s="1">
        <v>25.1</v>
      </c>
      <c r="G385" s="1">
        <v>1.268</v>
      </c>
      <c r="H385" s="1">
        <v>25</v>
      </c>
      <c r="I385" s="1">
        <v>0</v>
      </c>
      <c r="J385" s="1" t="str">
        <f>IFERROR(VLOOKUP(K385,[1]diabetes_Recognition!$A:$B,2,FALSE),"Not Sampled")</f>
        <v>Not Sampled</v>
      </c>
      <c r="K385" s="1">
        <v>383</v>
      </c>
      <c r="L385" s="1">
        <f>LOOKUP(A385,Sheet2!$D$4:$E$9)</f>
        <v>1</v>
      </c>
      <c r="M385" t="str">
        <f>LOOKUP(B385,Sheet2!$G$4:$H$9)</f>
        <v>1-99</v>
      </c>
      <c r="N385" t="str">
        <f>LOOKUP(C385,Sheet2!$J$4:$K$8)</f>
        <v>60-69</v>
      </c>
      <c r="O385" t="str">
        <f>LOOKUP(D385,Sheet2!$M$4:$N$8)</f>
        <v>10-30</v>
      </c>
      <c r="P385" t="str">
        <f>LOOKUP(E385,Sheet2!$P$4:$Q$9)</f>
        <v>1-99</v>
      </c>
      <c r="Q385" t="str">
        <f>LOOKUP(F385,Sheet2!$S$4:$T$8)</f>
        <v>1-25</v>
      </c>
      <c r="R385" t="str">
        <f>LOOKUP(G385,Sheet2!$V$4:$W$7)</f>
        <v>0.7+</v>
      </c>
      <c r="S385" t="str">
        <f>LOOKUP(H385,Sheet2!$Z$4:$AA$7)</f>
        <v>&lt;=25</v>
      </c>
      <c r="T385" t="str">
        <f t="shared" si="15"/>
        <v>Negative</v>
      </c>
      <c r="U385" t="str">
        <f t="shared" si="16"/>
        <v>Not Sampled</v>
      </c>
      <c r="V385" s="1" t="str">
        <f t="shared" si="17"/>
        <v>Not Sampled</v>
      </c>
    </row>
    <row r="386" spans="1:22" x14ac:dyDescent="0.25">
      <c r="A386" s="1">
        <v>1</v>
      </c>
      <c r="B386" s="1">
        <v>125</v>
      </c>
      <c r="C386" s="1">
        <v>70</v>
      </c>
      <c r="D386" s="1">
        <v>24</v>
      </c>
      <c r="E386" s="1">
        <v>110</v>
      </c>
      <c r="F386" s="1">
        <v>24.3</v>
      </c>
      <c r="G386" s="1">
        <v>0.221</v>
      </c>
      <c r="H386" s="1">
        <v>25</v>
      </c>
      <c r="I386" s="1">
        <v>0</v>
      </c>
      <c r="J386" s="1" t="str">
        <f>IFERROR(VLOOKUP(K386,[1]diabetes_Recognition!$A:$B,2,FALSE),"Not Sampled")</f>
        <v>Not Sampled</v>
      </c>
      <c r="K386" s="1">
        <v>384</v>
      </c>
      <c r="L386" s="1">
        <f>LOOKUP(A386,Sheet2!$D$4:$E$9)</f>
        <v>1</v>
      </c>
      <c r="M386" t="str">
        <f>LOOKUP(B386,Sheet2!$G$4:$H$9)</f>
        <v>100-125</v>
      </c>
      <c r="N386" t="str">
        <f>LOOKUP(C386,Sheet2!$J$4:$K$8)</f>
        <v>70-79</v>
      </c>
      <c r="O386" t="str">
        <f>LOOKUP(D386,Sheet2!$M$4:$N$8)</f>
        <v>10-30</v>
      </c>
      <c r="P386" t="str">
        <f>LOOKUP(E386,Sheet2!$P$4:$Q$9)</f>
        <v>100-199</v>
      </c>
      <c r="Q386" t="str">
        <f>LOOKUP(F386,Sheet2!$S$4:$T$8)</f>
        <v>1-25</v>
      </c>
      <c r="R386" t="str">
        <f>LOOKUP(G386,Sheet2!$V$4:$W$7)</f>
        <v>0.0 - 0.249</v>
      </c>
      <c r="S386" t="str">
        <f>LOOKUP(H386,Sheet2!$Z$4:$AA$7)</f>
        <v>&lt;=25</v>
      </c>
      <c r="T386" t="str">
        <f t="shared" si="15"/>
        <v>Negative</v>
      </c>
      <c r="U386" t="str">
        <f t="shared" si="16"/>
        <v>Not Sampled</v>
      </c>
      <c r="V386" s="1" t="str">
        <f t="shared" si="17"/>
        <v>Not Sampled</v>
      </c>
    </row>
    <row r="387" spans="1:22" x14ac:dyDescent="0.25">
      <c r="A387" s="1">
        <v>1</v>
      </c>
      <c r="B387" s="1">
        <v>119</v>
      </c>
      <c r="C387" s="1">
        <v>54</v>
      </c>
      <c r="D387" s="1">
        <v>13</v>
      </c>
      <c r="E387" s="1">
        <v>50</v>
      </c>
      <c r="F387" s="1">
        <v>22.3</v>
      </c>
      <c r="G387" s="1">
        <v>0.20499999999999999</v>
      </c>
      <c r="H387" s="1">
        <v>24</v>
      </c>
      <c r="I387" s="1">
        <v>0</v>
      </c>
      <c r="J387" s="1">
        <f>IFERROR(VLOOKUP(K387,[1]diabetes_Recognition!$A:$B,2,FALSE),"Not Sampled")</f>
        <v>0</v>
      </c>
      <c r="K387" s="1">
        <v>385</v>
      </c>
      <c r="L387" s="1">
        <f>LOOKUP(A387,Sheet2!$D$4:$E$9)</f>
        <v>1</v>
      </c>
      <c r="M387" t="str">
        <f>LOOKUP(B387,Sheet2!$G$4:$H$9)</f>
        <v>100-125</v>
      </c>
      <c r="N387" t="str">
        <f>LOOKUP(C387,Sheet2!$J$4:$K$8)</f>
        <v>1-59</v>
      </c>
      <c r="O387" t="str">
        <f>LOOKUP(D387,Sheet2!$M$4:$N$8)</f>
        <v>10-30</v>
      </c>
      <c r="P387" t="str">
        <f>LOOKUP(E387,Sheet2!$P$4:$Q$9)</f>
        <v>1-99</v>
      </c>
      <c r="Q387" t="str">
        <f>LOOKUP(F387,Sheet2!$S$4:$T$8)</f>
        <v>1-25</v>
      </c>
      <c r="R387" t="str">
        <f>LOOKUP(G387,Sheet2!$V$4:$W$7)</f>
        <v>0.0 - 0.249</v>
      </c>
      <c r="S387" t="str">
        <f>LOOKUP(H387,Sheet2!$Z$4:$AA$7)</f>
        <v>&lt;=25</v>
      </c>
      <c r="T387" t="str">
        <f t="shared" ref="T387:T450" si="18">IF(I387=1,"Positive","Negative")</f>
        <v>Negative</v>
      </c>
      <c r="U387" t="str">
        <f t="shared" ref="U387:U450" si="19">IF(J387=1,"Positive",(IF(J387=0,"Negative","Not Sampled")))</f>
        <v>Negative</v>
      </c>
      <c r="V387" s="1" t="str">
        <f t="shared" ref="V387:V450" si="20">IF(U387="Not Sampled","Not Sampled",IF(T387=U387,"Accurate Prediction","Inaccurate Prediction"))</f>
        <v>Accurate Prediction</v>
      </c>
    </row>
    <row r="388" spans="1:22" x14ac:dyDescent="0.25">
      <c r="A388" s="1">
        <v>5</v>
      </c>
      <c r="B388" s="1">
        <v>116</v>
      </c>
      <c r="C388" s="1">
        <v>74</v>
      </c>
      <c r="D388" s="1">
        <v>29</v>
      </c>
      <c r="E388" s="1">
        <v>0</v>
      </c>
      <c r="F388" s="1">
        <v>32.299999999999997</v>
      </c>
      <c r="G388" s="1">
        <v>0.66</v>
      </c>
      <c r="H388" s="1">
        <v>35</v>
      </c>
      <c r="I388" s="1">
        <v>1</v>
      </c>
      <c r="J388" s="1">
        <f>IFERROR(VLOOKUP(K388,[1]diabetes_Recognition!$A:$B,2,FALSE),"Not Sampled")</f>
        <v>0</v>
      </c>
      <c r="K388" s="1">
        <v>386</v>
      </c>
      <c r="L388" s="1" t="str">
        <f>LOOKUP(A388,Sheet2!$D$4:$E$9)</f>
        <v>5-7</v>
      </c>
      <c r="M388" t="str">
        <f>LOOKUP(B388,Sheet2!$G$4:$H$9)</f>
        <v>100-125</v>
      </c>
      <c r="N388" t="str">
        <f>LOOKUP(C388,Sheet2!$J$4:$K$8)</f>
        <v>70-79</v>
      </c>
      <c r="O388" t="str">
        <f>LOOKUP(D388,Sheet2!$M$4:$N$8)</f>
        <v>10-30</v>
      </c>
      <c r="P388" t="str">
        <f>LOOKUP(E388,Sheet2!$P$4:$Q$9)</f>
        <v>Unknown</v>
      </c>
      <c r="Q388" t="str">
        <f>LOOKUP(F388,Sheet2!$S$4:$T$8)</f>
        <v>31-35</v>
      </c>
      <c r="R388" t="str">
        <f>LOOKUP(G388,Sheet2!$V$4:$W$7)</f>
        <v>0.4 - 0.69</v>
      </c>
      <c r="S388" t="str">
        <f>LOOKUP(H388,Sheet2!$Z$4:$AA$7)</f>
        <v>26-35</v>
      </c>
      <c r="T388" t="str">
        <f t="shared" si="18"/>
        <v>Positive</v>
      </c>
      <c r="U388" t="str">
        <f t="shared" si="19"/>
        <v>Negative</v>
      </c>
      <c r="V388" s="1" t="str">
        <f t="shared" si="20"/>
        <v>Inaccurate Prediction</v>
      </c>
    </row>
    <row r="389" spans="1:22" x14ac:dyDescent="0.25">
      <c r="A389" s="1">
        <v>8</v>
      </c>
      <c r="B389" s="1">
        <v>105</v>
      </c>
      <c r="C389" s="1">
        <v>100</v>
      </c>
      <c r="D389" s="1">
        <v>36</v>
      </c>
      <c r="E389" s="1">
        <v>0</v>
      </c>
      <c r="F389" s="1">
        <v>43.3</v>
      </c>
      <c r="G389" s="1">
        <v>0.23899999999999999</v>
      </c>
      <c r="H389" s="1">
        <v>45</v>
      </c>
      <c r="I389" s="1">
        <v>1</v>
      </c>
      <c r="J389" s="1" t="str">
        <f>IFERROR(VLOOKUP(K389,[1]diabetes_Recognition!$A:$B,2,FALSE),"Not Sampled")</f>
        <v>Not Sampled</v>
      </c>
      <c r="K389" s="1">
        <v>387</v>
      </c>
      <c r="L389" s="1" t="str">
        <f>LOOKUP(A389,Sheet2!$D$4:$E$9)</f>
        <v>8+</v>
      </c>
      <c r="M389" t="str">
        <f>LOOKUP(B389,Sheet2!$G$4:$H$9)</f>
        <v>100-125</v>
      </c>
      <c r="N389" t="str">
        <f>LOOKUP(C389,Sheet2!$J$4:$K$8)</f>
        <v>80+</v>
      </c>
      <c r="O389" t="str">
        <f>LOOKUP(D389,Sheet2!$M$4:$N$8)</f>
        <v>30-39</v>
      </c>
      <c r="P389" t="str">
        <f>LOOKUP(E389,Sheet2!$P$4:$Q$9)</f>
        <v>Unknown</v>
      </c>
      <c r="Q389" t="str">
        <f>LOOKUP(F389,Sheet2!$S$4:$T$8)</f>
        <v>36+</v>
      </c>
      <c r="R389" t="str">
        <f>LOOKUP(G389,Sheet2!$V$4:$W$7)</f>
        <v>0.0 - 0.249</v>
      </c>
      <c r="S389" t="str">
        <f>LOOKUP(H389,Sheet2!$Z$4:$AA$7)</f>
        <v>36-45</v>
      </c>
      <c r="T389" t="str">
        <f t="shared" si="18"/>
        <v>Positive</v>
      </c>
      <c r="U389" t="str">
        <f t="shared" si="19"/>
        <v>Not Sampled</v>
      </c>
      <c r="V389" s="1" t="str">
        <f t="shared" si="20"/>
        <v>Not Sampled</v>
      </c>
    </row>
    <row r="390" spans="1:22" x14ac:dyDescent="0.25">
      <c r="A390" s="1">
        <v>5</v>
      </c>
      <c r="B390" s="1">
        <v>144</v>
      </c>
      <c r="C390" s="1">
        <v>82</v>
      </c>
      <c r="D390" s="1">
        <v>26</v>
      </c>
      <c r="E390" s="1">
        <v>285</v>
      </c>
      <c r="F390" s="1">
        <v>32</v>
      </c>
      <c r="G390" s="1">
        <v>0.45200000000000001</v>
      </c>
      <c r="H390" s="1">
        <v>58</v>
      </c>
      <c r="I390" s="1">
        <v>1</v>
      </c>
      <c r="J390" s="1" t="str">
        <f>IFERROR(VLOOKUP(K390,[1]diabetes_Recognition!$A:$B,2,FALSE),"Not Sampled")</f>
        <v>Not Sampled</v>
      </c>
      <c r="K390" s="1">
        <v>388</v>
      </c>
      <c r="L390" s="1" t="str">
        <f>LOOKUP(A390,Sheet2!$D$4:$E$9)</f>
        <v>5-7</v>
      </c>
      <c r="M390" t="str">
        <f>LOOKUP(B390,Sheet2!$G$4:$H$9)</f>
        <v>126-150</v>
      </c>
      <c r="N390" t="str">
        <f>LOOKUP(C390,Sheet2!$J$4:$K$8)</f>
        <v>80+</v>
      </c>
      <c r="O390" t="str">
        <f>LOOKUP(D390,Sheet2!$M$4:$N$8)</f>
        <v>10-30</v>
      </c>
      <c r="P390" t="str">
        <f>LOOKUP(E390,Sheet2!$P$4:$Q$9)</f>
        <v>200-399</v>
      </c>
      <c r="Q390" t="str">
        <f>LOOKUP(F390,Sheet2!$S$4:$T$8)</f>
        <v>31-35</v>
      </c>
      <c r="R390" t="str">
        <f>LOOKUP(G390,Sheet2!$V$4:$W$7)</f>
        <v>0.4 - 0.69</v>
      </c>
      <c r="S390" t="str">
        <f>LOOKUP(H390,Sheet2!$Z$4:$AA$7)</f>
        <v>46+</v>
      </c>
      <c r="T390" t="str">
        <f t="shared" si="18"/>
        <v>Positive</v>
      </c>
      <c r="U390" t="str">
        <f t="shared" si="19"/>
        <v>Not Sampled</v>
      </c>
      <c r="V390" s="1" t="str">
        <f t="shared" si="20"/>
        <v>Not Sampled</v>
      </c>
    </row>
    <row r="391" spans="1:22" x14ac:dyDescent="0.25">
      <c r="A391" s="1">
        <v>3</v>
      </c>
      <c r="B391" s="1">
        <v>100</v>
      </c>
      <c r="C391" s="1">
        <v>68</v>
      </c>
      <c r="D391" s="1">
        <v>23</v>
      </c>
      <c r="E391" s="1">
        <v>81</v>
      </c>
      <c r="F391" s="1">
        <v>31.6</v>
      </c>
      <c r="G391" s="1">
        <v>0.94899999999999995</v>
      </c>
      <c r="H391" s="1">
        <v>28</v>
      </c>
      <c r="I391" s="1">
        <v>0</v>
      </c>
      <c r="J391" s="1">
        <f>IFERROR(VLOOKUP(K391,[1]diabetes_Recognition!$A:$B,2,FALSE),"Not Sampled")</f>
        <v>0</v>
      </c>
      <c r="K391" s="1">
        <v>389</v>
      </c>
      <c r="L391" s="1" t="str">
        <f>LOOKUP(A391,Sheet2!$D$4:$E$9)</f>
        <v>3-4</v>
      </c>
      <c r="M391" t="str">
        <f>LOOKUP(B391,Sheet2!$G$4:$H$9)</f>
        <v>100-125</v>
      </c>
      <c r="N391" t="str">
        <f>LOOKUP(C391,Sheet2!$J$4:$K$8)</f>
        <v>60-69</v>
      </c>
      <c r="O391" t="str">
        <f>LOOKUP(D391,Sheet2!$M$4:$N$8)</f>
        <v>10-30</v>
      </c>
      <c r="P391" t="str">
        <f>LOOKUP(E391,Sheet2!$P$4:$Q$9)</f>
        <v>1-99</v>
      </c>
      <c r="Q391" t="str">
        <f>LOOKUP(F391,Sheet2!$S$4:$T$8)</f>
        <v>31-35</v>
      </c>
      <c r="R391" t="str">
        <f>LOOKUP(G391,Sheet2!$V$4:$W$7)</f>
        <v>0.7+</v>
      </c>
      <c r="S391" t="str">
        <f>LOOKUP(H391,Sheet2!$Z$4:$AA$7)</f>
        <v>26-35</v>
      </c>
      <c r="T391" t="str">
        <f t="shared" si="18"/>
        <v>Negative</v>
      </c>
      <c r="U391" t="str">
        <f t="shared" si="19"/>
        <v>Negative</v>
      </c>
      <c r="V391" s="1" t="str">
        <f t="shared" si="20"/>
        <v>Accurate Prediction</v>
      </c>
    </row>
    <row r="392" spans="1:22" x14ac:dyDescent="0.25">
      <c r="A392" s="1">
        <v>1</v>
      </c>
      <c r="B392" s="1">
        <v>100</v>
      </c>
      <c r="C392" s="1">
        <v>66</v>
      </c>
      <c r="D392" s="1">
        <v>29</v>
      </c>
      <c r="E392" s="1">
        <v>196</v>
      </c>
      <c r="F392" s="1">
        <v>32</v>
      </c>
      <c r="G392" s="1">
        <v>0.44400000000000001</v>
      </c>
      <c r="H392" s="1">
        <v>42</v>
      </c>
      <c r="I392" s="1">
        <v>0</v>
      </c>
      <c r="J392" s="1" t="str">
        <f>IFERROR(VLOOKUP(K392,[1]diabetes_Recognition!$A:$B,2,FALSE),"Not Sampled")</f>
        <v>Not Sampled</v>
      </c>
      <c r="K392" s="1">
        <v>390</v>
      </c>
      <c r="L392" s="1">
        <f>LOOKUP(A392,Sheet2!$D$4:$E$9)</f>
        <v>1</v>
      </c>
      <c r="M392" t="str">
        <f>LOOKUP(B392,Sheet2!$G$4:$H$9)</f>
        <v>100-125</v>
      </c>
      <c r="N392" t="str">
        <f>LOOKUP(C392,Sheet2!$J$4:$K$8)</f>
        <v>60-69</v>
      </c>
      <c r="O392" t="str">
        <f>LOOKUP(D392,Sheet2!$M$4:$N$8)</f>
        <v>10-30</v>
      </c>
      <c r="P392" t="str">
        <f>LOOKUP(E392,Sheet2!$P$4:$Q$9)</f>
        <v>100-199</v>
      </c>
      <c r="Q392" t="str">
        <f>LOOKUP(F392,Sheet2!$S$4:$T$8)</f>
        <v>31-35</v>
      </c>
      <c r="R392" t="str">
        <f>LOOKUP(G392,Sheet2!$V$4:$W$7)</f>
        <v>0.4 - 0.69</v>
      </c>
      <c r="S392" t="str">
        <f>LOOKUP(H392,Sheet2!$Z$4:$AA$7)</f>
        <v>36-45</v>
      </c>
      <c r="T392" t="str">
        <f t="shared" si="18"/>
        <v>Negative</v>
      </c>
      <c r="U392" t="str">
        <f t="shared" si="19"/>
        <v>Not Sampled</v>
      </c>
      <c r="V392" s="1" t="str">
        <f t="shared" si="20"/>
        <v>Not Sampled</v>
      </c>
    </row>
    <row r="393" spans="1:22" x14ac:dyDescent="0.25">
      <c r="A393" s="1">
        <v>5</v>
      </c>
      <c r="B393" s="1">
        <v>166</v>
      </c>
      <c r="C393" s="1">
        <v>76</v>
      </c>
      <c r="D393" s="1">
        <v>0</v>
      </c>
      <c r="E393" s="1">
        <v>0</v>
      </c>
      <c r="F393" s="1">
        <v>45.7</v>
      </c>
      <c r="G393" s="1">
        <v>0.34</v>
      </c>
      <c r="H393" s="1">
        <v>27</v>
      </c>
      <c r="I393" s="1">
        <v>1</v>
      </c>
      <c r="J393" s="1" t="str">
        <f>IFERROR(VLOOKUP(K393,[1]diabetes_Recognition!$A:$B,2,FALSE),"Not Sampled")</f>
        <v>Not Sampled</v>
      </c>
      <c r="K393" s="1">
        <v>391</v>
      </c>
      <c r="L393" s="1" t="str">
        <f>LOOKUP(A393,Sheet2!$D$4:$E$9)</f>
        <v>5-7</v>
      </c>
      <c r="M393" t="str">
        <f>LOOKUP(B393,Sheet2!$G$4:$H$9)</f>
        <v>151-175</v>
      </c>
      <c r="N393" t="str">
        <f>LOOKUP(C393,Sheet2!$J$4:$K$8)</f>
        <v>70-79</v>
      </c>
      <c r="O393" t="str">
        <f>LOOKUP(D393,Sheet2!$M$4:$N$8)</f>
        <v>Unknown</v>
      </c>
      <c r="P393" t="str">
        <f>LOOKUP(E393,Sheet2!$P$4:$Q$9)</f>
        <v>Unknown</v>
      </c>
      <c r="Q393" t="str">
        <f>LOOKUP(F393,Sheet2!$S$4:$T$8)</f>
        <v>36+</v>
      </c>
      <c r="R393" t="str">
        <f>LOOKUP(G393,Sheet2!$V$4:$W$7)</f>
        <v>0.25 - 0.39</v>
      </c>
      <c r="S393" t="str">
        <f>LOOKUP(H393,Sheet2!$Z$4:$AA$7)</f>
        <v>26-35</v>
      </c>
      <c r="T393" t="str">
        <f t="shared" si="18"/>
        <v>Positive</v>
      </c>
      <c r="U393" t="str">
        <f t="shared" si="19"/>
        <v>Not Sampled</v>
      </c>
      <c r="V393" s="1" t="str">
        <f t="shared" si="20"/>
        <v>Not Sampled</v>
      </c>
    </row>
    <row r="394" spans="1:22" x14ac:dyDescent="0.25">
      <c r="A394" s="1">
        <v>1</v>
      </c>
      <c r="B394" s="1">
        <v>131</v>
      </c>
      <c r="C394" s="1">
        <v>64</v>
      </c>
      <c r="D394" s="1">
        <v>14</v>
      </c>
      <c r="E394" s="1">
        <v>415</v>
      </c>
      <c r="F394" s="1">
        <v>23.7</v>
      </c>
      <c r="G394" s="1">
        <v>0.38900000000000001</v>
      </c>
      <c r="H394" s="1">
        <v>21</v>
      </c>
      <c r="I394" s="1">
        <v>0</v>
      </c>
      <c r="J394" s="1" t="str">
        <f>IFERROR(VLOOKUP(K394,[1]diabetes_Recognition!$A:$B,2,FALSE),"Not Sampled")</f>
        <v>Not Sampled</v>
      </c>
      <c r="K394" s="1">
        <v>392</v>
      </c>
      <c r="L394" s="1">
        <f>LOOKUP(A394,Sheet2!$D$4:$E$9)</f>
        <v>1</v>
      </c>
      <c r="M394" t="str">
        <f>LOOKUP(B394,Sheet2!$G$4:$H$9)</f>
        <v>126-150</v>
      </c>
      <c r="N394" t="str">
        <f>LOOKUP(C394,Sheet2!$J$4:$K$8)</f>
        <v>60-69</v>
      </c>
      <c r="O394" t="str">
        <f>LOOKUP(D394,Sheet2!$M$4:$N$8)</f>
        <v>10-30</v>
      </c>
      <c r="P394" t="str">
        <f>LOOKUP(E394,Sheet2!$P$4:$Q$9)</f>
        <v>300-499</v>
      </c>
      <c r="Q394" t="str">
        <f>LOOKUP(F394,Sheet2!$S$4:$T$8)</f>
        <v>1-25</v>
      </c>
      <c r="R394" t="str">
        <f>LOOKUP(G394,Sheet2!$V$4:$W$7)</f>
        <v>0.25 - 0.39</v>
      </c>
      <c r="S394" t="str">
        <f>LOOKUP(H394,Sheet2!$Z$4:$AA$7)</f>
        <v>&lt;=25</v>
      </c>
      <c r="T394" t="str">
        <f t="shared" si="18"/>
        <v>Negative</v>
      </c>
      <c r="U394" t="str">
        <f t="shared" si="19"/>
        <v>Not Sampled</v>
      </c>
      <c r="V394" s="1" t="str">
        <f t="shared" si="20"/>
        <v>Not Sampled</v>
      </c>
    </row>
    <row r="395" spans="1:22" x14ac:dyDescent="0.25">
      <c r="A395" s="1">
        <v>4</v>
      </c>
      <c r="B395" s="1">
        <v>116</v>
      </c>
      <c r="C395" s="1">
        <v>72</v>
      </c>
      <c r="D395" s="1">
        <v>12</v>
      </c>
      <c r="E395" s="1">
        <v>87</v>
      </c>
      <c r="F395" s="1">
        <v>22.1</v>
      </c>
      <c r="G395" s="1">
        <v>0.46300000000000002</v>
      </c>
      <c r="H395" s="1">
        <v>37</v>
      </c>
      <c r="I395" s="1">
        <v>0</v>
      </c>
      <c r="J395" s="1" t="str">
        <f>IFERROR(VLOOKUP(K395,[1]diabetes_Recognition!$A:$B,2,FALSE),"Not Sampled")</f>
        <v>Not Sampled</v>
      </c>
      <c r="K395" s="1">
        <v>393</v>
      </c>
      <c r="L395" s="1" t="str">
        <f>LOOKUP(A395,Sheet2!$D$4:$E$9)</f>
        <v>3-4</v>
      </c>
      <c r="M395" t="str">
        <f>LOOKUP(B395,Sheet2!$G$4:$H$9)</f>
        <v>100-125</v>
      </c>
      <c r="N395" t="str">
        <f>LOOKUP(C395,Sheet2!$J$4:$K$8)</f>
        <v>70-79</v>
      </c>
      <c r="O395" t="str">
        <f>LOOKUP(D395,Sheet2!$M$4:$N$8)</f>
        <v>10-30</v>
      </c>
      <c r="P395" t="str">
        <f>LOOKUP(E395,Sheet2!$P$4:$Q$9)</f>
        <v>1-99</v>
      </c>
      <c r="Q395" t="str">
        <f>LOOKUP(F395,Sheet2!$S$4:$T$8)</f>
        <v>1-25</v>
      </c>
      <c r="R395" t="str">
        <f>LOOKUP(G395,Sheet2!$V$4:$W$7)</f>
        <v>0.4 - 0.69</v>
      </c>
      <c r="S395" t="str">
        <f>LOOKUP(H395,Sheet2!$Z$4:$AA$7)</f>
        <v>36-45</v>
      </c>
      <c r="T395" t="str">
        <f t="shared" si="18"/>
        <v>Negative</v>
      </c>
      <c r="U395" t="str">
        <f t="shared" si="19"/>
        <v>Not Sampled</v>
      </c>
      <c r="V395" s="1" t="str">
        <f t="shared" si="20"/>
        <v>Not Sampled</v>
      </c>
    </row>
    <row r="396" spans="1:22" x14ac:dyDescent="0.25">
      <c r="A396" s="1">
        <v>4</v>
      </c>
      <c r="B396" s="1">
        <v>158</v>
      </c>
      <c r="C396" s="1">
        <v>78</v>
      </c>
      <c r="D396" s="1">
        <v>0</v>
      </c>
      <c r="E396" s="1">
        <v>0</v>
      </c>
      <c r="F396" s="1">
        <v>32.9</v>
      </c>
      <c r="G396" s="1">
        <v>0.80300000000000005</v>
      </c>
      <c r="H396" s="1">
        <v>31</v>
      </c>
      <c r="I396" s="1">
        <v>1</v>
      </c>
      <c r="J396" s="1" t="str">
        <f>IFERROR(VLOOKUP(K396,[1]diabetes_Recognition!$A:$B,2,FALSE),"Not Sampled")</f>
        <v>Not Sampled</v>
      </c>
      <c r="K396" s="1">
        <v>394</v>
      </c>
      <c r="L396" s="1" t="str">
        <f>LOOKUP(A396,Sheet2!$D$4:$E$9)</f>
        <v>3-4</v>
      </c>
      <c r="M396" t="str">
        <f>LOOKUP(B396,Sheet2!$G$4:$H$9)</f>
        <v>151-175</v>
      </c>
      <c r="N396" t="str">
        <f>LOOKUP(C396,Sheet2!$J$4:$K$8)</f>
        <v>70-79</v>
      </c>
      <c r="O396" t="str">
        <f>LOOKUP(D396,Sheet2!$M$4:$N$8)</f>
        <v>Unknown</v>
      </c>
      <c r="P396" t="str">
        <f>LOOKUP(E396,Sheet2!$P$4:$Q$9)</f>
        <v>Unknown</v>
      </c>
      <c r="Q396" t="str">
        <f>LOOKUP(F396,Sheet2!$S$4:$T$8)</f>
        <v>31-35</v>
      </c>
      <c r="R396" t="str">
        <f>LOOKUP(G396,Sheet2!$V$4:$W$7)</f>
        <v>0.7+</v>
      </c>
      <c r="S396" t="str">
        <f>LOOKUP(H396,Sheet2!$Z$4:$AA$7)</f>
        <v>26-35</v>
      </c>
      <c r="T396" t="str">
        <f t="shared" si="18"/>
        <v>Positive</v>
      </c>
      <c r="U396" t="str">
        <f t="shared" si="19"/>
        <v>Not Sampled</v>
      </c>
      <c r="V396" s="1" t="str">
        <f t="shared" si="20"/>
        <v>Not Sampled</v>
      </c>
    </row>
    <row r="397" spans="1:22" x14ac:dyDescent="0.25">
      <c r="A397" s="1">
        <v>2</v>
      </c>
      <c r="B397" s="1">
        <v>127</v>
      </c>
      <c r="C397" s="1">
        <v>58</v>
      </c>
      <c r="D397" s="1">
        <v>24</v>
      </c>
      <c r="E397" s="1">
        <v>275</v>
      </c>
      <c r="F397" s="1">
        <v>27.7</v>
      </c>
      <c r="G397" s="1">
        <v>1.6</v>
      </c>
      <c r="H397" s="1">
        <v>25</v>
      </c>
      <c r="I397" s="1">
        <v>0</v>
      </c>
      <c r="J397" s="1" t="str">
        <f>IFERROR(VLOOKUP(K397,[1]diabetes_Recognition!$A:$B,2,FALSE),"Not Sampled")</f>
        <v>Not Sampled</v>
      </c>
      <c r="K397" s="1">
        <v>395</v>
      </c>
      <c r="L397" s="1">
        <f>LOOKUP(A397,Sheet2!$D$4:$E$9)</f>
        <v>2</v>
      </c>
      <c r="M397" t="str">
        <f>LOOKUP(B397,Sheet2!$G$4:$H$9)</f>
        <v>126-150</v>
      </c>
      <c r="N397" t="str">
        <f>LOOKUP(C397,Sheet2!$J$4:$K$8)</f>
        <v>1-59</v>
      </c>
      <c r="O397" t="str">
        <f>LOOKUP(D397,Sheet2!$M$4:$N$8)</f>
        <v>10-30</v>
      </c>
      <c r="P397" t="str">
        <f>LOOKUP(E397,Sheet2!$P$4:$Q$9)</f>
        <v>200-399</v>
      </c>
      <c r="Q397" t="str">
        <f>LOOKUP(F397,Sheet2!$S$4:$T$8)</f>
        <v>26-30</v>
      </c>
      <c r="R397" t="str">
        <f>LOOKUP(G397,Sheet2!$V$4:$W$7)</f>
        <v>0.7+</v>
      </c>
      <c r="S397" t="str">
        <f>LOOKUP(H397,Sheet2!$Z$4:$AA$7)</f>
        <v>&lt;=25</v>
      </c>
      <c r="T397" t="str">
        <f t="shared" si="18"/>
        <v>Negative</v>
      </c>
      <c r="U397" t="str">
        <f t="shared" si="19"/>
        <v>Not Sampled</v>
      </c>
      <c r="V397" s="1" t="str">
        <f t="shared" si="20"/>
        <v>Not Sampled</v>
      </c>
    </row>
    <row r="398" spans="1:22" x14ac:dyDescent="0.25">
      <c r="A398" s="1">
        <v>3</v>
      </c>
      <c r="B398" s="1">
        <v>96</v>
      </c>
      <c r="C398" s="1">
        <v>56</v>
      </c>
      <c r="D398" s="1">
        <v>34</v>
      </c>
      <c r="E398" s="1">
        <v>115</v>
      </c>
      <c r="F398" s="1">
        <v>24.7</v>
      </c>
      <c r="G398" s="1">
        <v>0.94399999999999995</v>
      </c>
      <c r="H398" s="1">
        <v>39</v>
      </c>
      <c r="I398" s="1">
        <v>0</v>
      </c>
      <c r="J398" s="1">
        <f>IFERROR(VLOOKUP(K398,[1]diabetes_Recognition!$A:$B,2,FALSE),"Not Sampled")</f>
        <v>0</v>
      </c>
      <c r="K398" s="1">
        <v>396</v>
      </c>
      <c r="L398" s="1" t="str">
        <f>LOOKUP(A398,Sheet2!$D$4:$E$9)</f>
        <v>3-4</v>
      </c>
      <c r="M398" t="str">
        <f>LOOKUP(B398,Sheet2!$G$4:$H$9)</f>
        <v>1-99</v>
      </c>
      <c r="N398" t="str">
        <f>LOOKUP(C398,Sheet2!$J$4:$K$8)</f>
        <v>1-59</v>
      </c>
      <c r="O398" t="str">
        <f>LOOKUP(D398,Sheet2!$M$4:$N$8)</f>
        <v>30-39</v>
      </c>
      <c r="P398" t="str">
        <f>LOOKUP(E398,Sheet2!$P$4:$Q$9)</f>
        <v>100-199</v>
      </c>
      <c r="Q398" t="str">
        <f>LOOKUP(F398,Sheet2!$S$4:$T$8)</f>
        <v>1-25</v>
      </c>
      <c r="R398" t="str">
        <f>LOOKUP(G398,Sheet2!$V$4:$W$7)</f>
        <v>0.7+</v>
      </c>
      <c r="S398" t="str">
        <f>LOOKUP(H398,Sheet2!$Z$4:$AA$7)</f>
        <v>36-45</v>
      </c>
      <c r="T398" t="str">
        <f t="shared" si="18"/>
        <v>Negative</v>
      </c>
      <c r="U398" t="str">
        <f t="shared" si="19"/>
        <v>Negative</v>
      </c>
      <c r="V398" s="1" t="str">
        <f t="shared" si="20"/>
        <v>Accurate Prediction</v>
      </c>
    </row>
    <row r="399" spans="1:22" x14ac:dyDescent="0.25">
      <c r="A399" s="1">
        <v>0</v>
      </c>
      <c r="B399" s="1">
        <v>131</v>
      </c>
      <c r="C399" s="1">
        <v>66</v>
      </c>
      <c r="D399" s="1">
        <v>40</v>
      </c>
      <c r="E399" s="1">
        <v>0</v>
      </c>
      <c r="F399" s="1">
        <v>34.299999999999997</v>
      </c>
      <c r="G399" s="1">
        <v>0.19600000000000001</v>
      </c>
      <c r="H399" s="1">
        <v>22</v>
      </c>
      <c r="I399" s="1">
        <v>1</v>
      </c>
      <c r="J399" s="1" t="str">
        <f>IFERROR(VLOOKUP(K399,[1]diabetes_Recognition!$A:$B,2,FALSE),"Not Sampled")</f>
        <v>Not Sampled</v>
      </c>
      <c r="K399" s="1">
        <v>397</v>
      </c>
      <c r="L399" s="1">
        <f>LOOKUP(A399,Sheet2!$D$4:$E$9)</f>
        <v>0</v>
      </c>
      <c r="M399" t="str">
        <f>LOOKUP(B399,Sheet2!$G$4:$H$9)</f>
        <v>126-150</v>
      </c>
      <c r="N399" t="str">
        <f>LOOKUP(C399,Sheet2!$J$4:$K$8)</f>
        <v>60-69</v>
      </c>
      <c r="O399" t="str">
        <f>LOOKUP(D399,Sheet2!$M$4:$N$8)</f>
        <v>40+</v>
      </c>
      <c r="P399" t="str">
        <f>LOOKUP(E399,Sheet2!$P$4:$Q$9)</f>
        <v>Unknown</v>
      </c>
      <c r="Q399" t="str">
        <f>LOOKUP(F399,Sheet2!$S$4:$T$8)</f>
        <v>31-35</v>
      </c>
      <c r="R399" t="str">
        <f>LOOKUP(G399,Sheet2!$V$4:$W$7)</f>
        <v>0.0 - 0.249</v>
      </c>
      <c r="S399" t="str">
        <f>LOOKUP(H399,Sheet2!$Z$4:$AA$7)</f>
        <v>&lt;=25</v>
      </c>
      <c r="T399" t="str">
        <f t="shared" si="18"/>
        <v>Positive</v>
      </c>
      <c r="U399" t="str">
        <f t="shared" si="19"/>
        <v>Not Sampled</v>
      </c>
      <c r="V399" s="1" t="str">
        <f t="shared" si="20"/>
        <v>Not Sampled</v>
      </c>
    </row>
    <row r="400" spans="1:22" x14ac:dyDescent="0.25">
      <c r="A400" s="1">
        <v>3</v>
      </c>
      <c r="B400" s="1">
        <v>82</v>
      </c>
      <c r="C400" s="1">
        <v>70</v>
      </c>
      <c r="D400" s="1">
        <v>0</v>
      </c>
      <c r="E400" s="1">
        <v>0</v>
      </c>
      <c r="F400" s="1">
        <v>21.1</v>
      </c>
      <c r="G400" s="1">
        <v>0.38900000000000001</v>
      </c>
      <c r="H400" s="1">
        <v>25</v>
      </c>
      <c r="I400" s="1">
        <v>0</v>
      </c>
      <c r="J400" s="1" t="str">
        <f>IFERROR(VLOOKUP(K400,[1]diabetes_Recognition!$A:$B,2,FALSE),"Not Sampled")</f>
        <v>Not Sampled</v>
      </c>
      <c r="K400" s="1">
        <v>398</v>
      </c>
      <c r="L400" s="1" t="str">
        <f>LOOKUP(A400,Sheet2!$D$4:$E$9)</f>
        <v>3-4</v>
      </c>
      <c r="M400" t="str">
        <f>LOOKUP(B400,Sheet2!$G$4:$H$9)</f>
        <v>1-99</v>
      </c>
      <c r="N400" t="str">
        <f>LOOKUP(C400,Sheet2!$J$4:$K$8)</f>
        <v>70-79</v>
      </c>
      <c r="O400" t="str">
        <f>LOOKUP(D400,Sheet2!$M$4:$N$8)</f>
        <v>Unknown</v>
      </c>
      <c r="P400" t="str">
        <f>LOOKUP(E400,Sheet2!$P$4:$Q$9)</f>
        <v>Unknown</v>
      </c>
      <c r="Q400" t="str">
        <f>LOOKUP(F400,Sheet2!$S$4:$T$8)</f>
        <v>1-25</v>
      </c>
      <c r="R400" t="str">
        <f>LOOKUP(G400,Sheet2!$V$4:$W$7)</f>
        <v>0.25 - 0.39</v>
      </c>
      <c r="S400" t="str">
        <f>LOOKUP(H400,Sheet2!$Z$4:$AA$7)</f>
        <v>&lt;=25</v>
      </c>
      <c r="T400" t="str">
        <f t="shared" si="18"/>
        <v>Negative</v>
      </c>
      <c r="U400" t="str">
        <f t="shared" si="19"/>
        <v>Not Sampled</v>
      </c>
      <c r="V400" s="1" t="str">
        <f t="shared" si="20"/>
        <v>Not Sampled</v>
      </c>
    </row>
    <row r="401" spans="1:22" x14ac:dyDescent="0.25">
      <c r="A401" s="1">
        <v>3</v>
      </c>
      <c r="B401" s="1">
        <v>193</v>
      </c>
      <c r="C401" s="1">
        <v>70</v>
      </c>
      <c r="D401" s="1">
        <v>31</v>
      </c>
      <c r="E401" s="1">
        <v>0</v>
      </c>
      <c r="F401" s="1">
        <v>34.9</v>
      </c>
      <c r="G401" s="1">
        <v>0.24099999999999999</v>
      </c>
      <c r="H401" s="1">
        <v>25</v>
      </c>
      <c r="I401" s="1">
        <v>1</v>
      </c>
      <c r="J401" s="1" t="str">
        <f>IFERROR(VLOOKUP(K401,[1]diabetes_Recognition!$A:$B,2,FALSE),"Not Sampled")</f>
        <v>Not Sampled</v>
      </c>
      <c r="K401" s="1">
        <v>399</v>
      </c>
      <c r="L401" s="1" t="str">
        <f>LOOKUP(A401,Sheet2!$D$4:$E$9)</f>
        <v>3-4</v>
      </c>
      <c r="M401" t="str">
        <f>LOOKUP(B401,Sheet2!$G$4:$H$9)</f>
        <v>176-200</v>
      </c>
      <c r="N401" t="str">
        <f>LOOKUP(C401,Sheet2!$J$4:$K$8)</f>
        <v>70-79</v>
      </c>
      <c r="O401" t="str">
        <f>LOOKUP(D401,Sheet2!$M$4:$N$8)</f>
        <v>30-39</v>
      </c>
      <c r="P401" t="str">
        <f>LOOKUP(E401,Sheet2!$P$4:$Q$9)</f>
        <v>Unknown</v>
      </c>
      <c r="Q401" t="str">
        <f>LOOKUP(F401,Sheet2!$S$4:$T$8)</f>
        <v>31-35</v>
      </c>
      <c r="R401" t="str">
        <f>LOOKUP(G401,Sheet2!$V$4:$W$7)</f>
        <v>0.0 - 0.249</v>
      </c>
      <c r="S401" t="str">
        <f>LOOKUP(H401,Sheet2!$Z$4:$AA$7)</f>
        <v>&lt;=25</v>
      </c>
      <c r="T401" t="str">
        <f t="shared" si="18"/>
        <v>Positive</v>
      </c>
      <c r="U401" t="str">
        <f t="shared" si="19"/>
        <v>Not Sampled</v>
      </c>
      <c r="V401" s="1" t="str">
        <f t="shared" si="20"/>
        <v>Not Sampled</v>
      </c>
    </row>
    <row r="402" spans="1:22" x14ac:dyDescent="0.25">
      <c r="A402" s="1">
        <v>4</v>
      </c>
      <c r="B402" s="1">
        <v>95</v>
      </c>
      <c r="C402" s="1">
        <v>64</v>
      </c>
      <c r="D402" s="1">
        <v>0</v>
      </c>
      <c r="E402" s="1">
        <v>0</v>
      </c>
      <c r="F402" s="1">
        <v>32</v>
      </c>
      <c r="G402" s="1">
        <v>0.161</v>
      </c>
      <c r="H402" s="1">
        <v>31</v>
      </c>
      <c r="I402" s="1">
        <v>1</v>
      </c>
      <c r="J402" s="1">
        <f>IFERROR(VLOOKUP(K402,[1]diabetes_Recognition!$A:$B,2,FALSE),"Not Sampled")</f>
        <v>0</v>
      </c>
      <c r="K402" s="1">
        <v>400</v>
      </c>
      <c r="L402" s="1" t="str">
        <f>LOOKUP(A402,Sheet2!$D$4:$E$9)</f>
        <v>3-4</v>
      </c>
      <c r="M402" t="str">
        <f>LOOKUP(B402,Sheet2!$G$4:$H$9)</f>
        <v>1-99</v>
      </c>
      <c r="N402" t="str">
        <f>LOOKUP(C402,Sheet2!$J$4:$K$8)</f>
        <v>60-69</v>
      </c>
      <c r="O402" t="str">
        <f>LOOKUP(D402,Sheet2!$M$4:$N$8)</f>
        <v>Unknown</v>
      </c>
      <c r="P402" t="str">
        <f>LOOKUP(E402,Sheet2!$P$4:$Q$9)</f>
        <v>Unknown</v>
      </c>
      <c r="Q402" t="str">
        <f>LOOKUP(F402,Sheet2!$S$4:$T$8)</f>
        <v>31-35</v>
      </c>
      <c r="R402" t="str">
        <f>LOOKUP(G402,Sheet2!$V$4:$W$7)</f>
        <v>0.0 - 0.249</v>
      </c>
      <c r="S402" t="str">
        <f>LOOKUP(H402,Sheet2!$Z$4:$AA$7)</f>
        <v>26-35</v>
      </c>
      <c r="T402" t="str">
        <f t="shared" si="18"/>
        <v>Positive</v>
      </c>
      <c r="U402" t="str">
        <f t="shared" si="19"/>
        <v>Negative</v>
      </c>
      <c r="V402" s="1" t="str">
        <f t="shared" si="20"/>
        <v>Inaccurate Prediction</v>
      </c>
    </row>
    <row r="403" spans="1:22" x14ac:dyDescent="0.25">
      <c r="A403" s="1">
        <v>6</v>
      </c>
      <c r="B403" s="1">
        <v>137</v>
      </c>
      <c r="C403" s="1">
        <v>61</v>
      </c>
      <c r="D403" s="1">
        <v>0</v>
      </c>
      <c r="E403" s="1">
        <v>0</v>
      </c>
      <c r="F403" s="1">
        <v>24.2</v>
      </c>
      <c r="G403" s="1">
        <v>0.151</v>
      </c>
      <c r="H403" s="1">
        <v>55</v>
      </c>
      <c r="I403" s="1">
        <v>0</v>
      </c>
      <c r="J403" s="1" t="str">
        <f>IFERROR(VLOOKUP(K403,[1]diabetes_Recognition!$A:$B,2,FALSE),"Not Sampled")</f>
        <v>Not Sampled</v>
      </c>
      <c r="K403" s="1">
        <v>401</v>
      </c>
      <c r="L403" s="1" t="str">
        <f>LOOKUP(A403,Sheet2!$D$4:$E$9)</f>
        <v>5-7</v>
      </c>
      <c r="M403" t="str">
        <f>LOOKUP(B403,Sheet2!$G$4:$H$9)</f>
        <v>126-150</v>
      </c>
      <c r="N403" t="str">
        <f>LOOKUP(C403,Sheet2!$J$4:$K$8)</f>
        <v>60-69</v>
      </c>
      <c r="O403" t="str">
        <f>LOOKUP(D403,Sheet2!$M$4:$N$8)</f>
        <v>Unknown</v>
      </c>
      <c r="P403" t="str">
        <f>LOOKUP(E403,Sheet2!$P$4:$Q$9)</f>
        <v>Unknown</v>
      </c>
      <c r="Q403" t="str">
        <f>LOOKUP(F403,Sheet2!$S$4:$T$8)</f>
        <v>1-25</v>
      </c>
      <c r="R403" t="str">
        <f>LOOKUP(G403,Sheet2!$V$4:$W$7)</f>
        <v>0.0 - 0.249</v>
      </c>
      <c r="S403" t="str">
        <f>LOOKUP(H403,Sheet2!$Z$4:$AA$7)</f>
        <v>46+</v>
      </c>
      <c r="T403" t="str">
        <f t="shared" si="18"/>
        <v>Negative</v>
      </c>
      <c r="U403" t="str">
        <f t="shared" si="19"/>
        <v>Not Sampled</v>
      </c>
      <c r="V403" s="1" t="str">
        <f t="shared" si="20"/>
        <v>Not Sampled</v>
      </c>
    </row>
    <row r="404" spans="1:22" x14ac:dyDescent="0.25">
      <c r="A404" s="1">
        <v>5</v>
      </c>
      <c r="B404" s="1">
        <v>136</v>
      </c>
      <c r="C404" s="1">
        <v>84</v>
      </c>
      <c r="D404" s="1">
        <v>41</v>
      </c>
      <c r="E404" s="1">
        <v>88</v>
      </c>
      <c r="F404" s="1">
        <v>35</v>
      </c>
      <c r="G404" s="1">
        <v>0.28599999999999998</v>
      </c>
      <c r="H404" s="1">
        <v>35</v>
      </c>
      <c r="I404" s="1">
        <v>1</v>
      </c>
      <c r="J404" s="1" t="str">
        <f>IFERROR(VLOOKUP(K404,[1]diabetes_Recognition!$A:$B,2,FALSE),"Not Sampled")</f>
        <v>Not Sampled</v>
      </c>
      <c r="K404" s="1">
        <v>402</v>
      </c>
      <c r="L404" s="1" t="str">
        <f>LOOKUP(A404,Sheet2!$D$4:$E$9)</f>
        <v>5-7</v>
      </c>
      <c r="M404" t="str">
        <f>LOOKUP(B404,Sheet2!$G$4:$H$9)</f>
        <v>126-150</v>
      </c>
      <c r="N404" t="str">
        <f>LOOKUP(C404,Sheet2!$J$4:$K$8)</f>
        <v>80+</v>
      </c>
      <c r="O404" t="str">
        <f>LOOKUP(D404,Sheet2!$M$4:$N$8)</f>
        <v>40+</v>
      </c>
      <c r="P404" t="str">
        <f>LOOKUP(E404,Sheet2!$P$4:$Q$9)</f>
        <v>1-99</v>
      </c>
      <c r="Q404" t="str">
        <f>LOOKUP(F404,Sheet2!$S$4:$T$8)</f>
        <v>31-35</v>
      </c>
      <c r="R404" t="str">
        <f>LOOKUP(G404,Sheet2!$V$4:$W$7)</f>
        <v>0.25 - 0.39</v>
      </c>
      <c r="S404" t="str">
        <f>LOOKUP(H404,Sheet2!$Z$4:$AA$7)</f>
        <v>26-35</v>
      </c>
      <c r="T404" t="str">
        <f t="shared" si="18"/>
        <v>Positive</v>
      </c>
      <c r="U404" t="str">
        <f t="shared" si="19"/>
        <v>Not Sampled</v>
      </c>
      <c r="V404" s="1" t="str">
        <f t="shared" si="20"/>
        <v>Not Sampled</v>
      </c>
    </row>
    <row r="405" spans="1:22" x14ac:dyDescent="0.25">
      <c r="A405" s="1">
        <v>9</v>
      </c>
      <c r="B405" s="1">
        <v>72</v>
      </c>
      <c r="C405" s="1">
        <v>78</v>
      </c>
      <c r="D405" s="1">
        <v>25</v>
      </c>
      <c r="E405" s="1">
        <v>0</v>
      </c>
      <c r="F405" s="1">
        <v>31.6</v>
      </c>
      <c r="G405" s="1">
        <v>0.28000000000000003</v>
      </c>
      <c r="H405" s="1">
        <v>38</v>
      </c>
      <c r="I405" s="1">
        <v>0</v>
      </c>
      <c r="J405" s="1">
        <f>IFERROR(VLOOKUP(K405,[1]diabetes_Recognition!$A:$B,2,FALSE),"Not Sampled")</f>
        <v>0</v>
      </c>
      <c r="K405" s="1">
        <v>403</v>
      </c>
      <c r="L405" s="1" t="str">
        <f>LOOKUP(A405,Sheet2!$D$4:$E$9)</f>
        <v>8+</v>
      </c>
      <c r="M405" t="str">
        <f>LOOKUP(B405,Sheet2!$G$4:$H$9)</f>
        <v>1-99</v>
      </c>
      <c r="N405" t="str">
        <f>LOOKUP(C405,Sheet2!$J$4:$K$8)</f>
        <v>70-79</v>
      </c>
      <c r="O405" t="str">
        <f>LOOKUP(D405,Sheet2!$M$4:$N$8)</f>
        <v>10-30</v>
      </c>
      <c r="P405" t="str">
        <f>LOOKUP(E405,Sheet2!$P$4:$Q$9)</f>
        <v>Unknown</v>
      </c>
      <c r="Q405" t="str">
        <f>LOOKUP(F405,Sheet2!$S$4:$T$8)</f>
        <v>31-35</v>
      </c>
      <c r="R405" t="str">
        <f>LOOKUP(G405,Sheet2!$V$4:$W$7)</f>
        <v>0.25 - 0.39</v>
      </c>
      <c r="S405" t="str">
        <f>LOOKUP(H405,Sheet2!$Z$4:$AA$7)</f>
        <v>36-45</v>
      </c>
      <c r="T405" t="str">
        <f t="shared" si="18"/>
        <v>Negative</v>
      </c>
      <c r="U405" t="str">
        <f t="shared" si="19"/>
        <v>Negative</v>
      </c>
      <c r="V405" s="1" t="str">
        <f t="shared" si="20"/>
        <v>Accurate Prediction</v>
      </c>
    </row>
    <row r="406" spans="1:22" x14ac:dyDescent="0.25">
      <c r="A406" s="1">
        <v>5</v>
      </c>
      <c r="B406" s="1">
        <v>168</v>
      </c>
      <c r="C406" s="1">
        <v>64</v>
      </c>
      <c r="D406" s="1">
        <v>0</v>
      </c>
      <c r="E406" s="1">
        <v>0</v>
      </c>
      <c r="F406" s="1">
        <v>32.9</v>
      </c>
      <c r="G406" s="1">
        <v>0.13500000000000001</v>
      </c>
      <c r="H406" s="1">
        <v>41</v>
      </c>
      <c r="I406" s="1">
        <v>1</v>
      </c>
      <c r="J406" s="1" t="str">
        <f>IFERROR(VLOOKUP(K406,[1]diabetes_Recognition!$A:$B,2,FALSE),"Not Sampled")</f>
        <v>Not Sampled</v>
      </c>
      <c r="K406" s="1">
        <v>404</v>
      </c>
      <c r="L406" s="1" t="str">
        <f>LOOKUP(A406,Sheet2!$D$4:$E$9)</f>
        <v>5-7</v>
      </c>
      <c r="M406" t="str">
        <f>LOOKUP(B406,Sheet2!$G$4:$H$9)</f>
        <v>151-175</v>
      </c>
      <c r="N406" t="str">
        <f>LOOKUP(C406,Sheet2!$J$4:$K$8)</f>
        <v>60-69</v>
      </c>
      <c r="O406" t="str">
        <f>LOOKUP(D406,Sheet2!$M$4:$N$8)</f>
        <v>Unknown</v>
      </c>
      <c r="P406" t="str">
        <f>LOOKUP(E406,Sheet2!$P$4:$Q$9)</f>
        <v>Unknown</v>
      </c>
      <c r="Q406" t="str">
        <f>LOOKUP(F406,Sheet2!$S$4:$T$8)</f>
        <v>31-35</v>
      </c>
      <c r="R406" t="str">
        <f>LOOKUP(G406,Sheet2!$V$4:$W$7)</f>
        <v>0.0 - 0.249</v>
      </c>
      <c r="S406" t="str">
        <f>LOOKUP(H406,Sheet2!$Z$4:$AA$7)</f>
        <v>36-45</v>
      </c>
      <c r="T406" t="str">
        <f t="shared" si="18"/>
        <v>Positive</v>
      </c>
      <c r="U406" t="str">
        <f t="shared" si="19"/>
        <v>Not Sampled</v>
      </c>
      <c r="V406" s="1" t="str">
        <f t="shared" si="20"/>
        <v>Not Sampled</v>
      </c>
    </row>
    <row r="407" spans="1:22" x14ac:dyDescent="0.25">
      <c r="A407" s="1">
        <v>2</v>
      </c>
      <c r="B407" s="1">
        <v>123</v>
      </c>
      <c r="C407" s="1">
        <v>48</v>
      </c>
      <c r="D407" s="1">
        <v>32</v>
      </c>
      <c r="E407" s="1">
        <v>165</v>
      </c>
      <c r="F407" s="1">
        <v>42.1</v>
      </c>
      <c r="G407" s="1">
        <v>0.52</v>
      </c>
      <c r="H407" s="1">
        <v>26</v>
      </c>
      <c r="I407" s="1">
        <v>0</v>
      </c>
      <c r="J407" s="1" t="str">
        <f>IFERROR(VLOOKUP(K407,[1]diabetes_Recognition!$A:$B,2,FALSE),"Not Sampled")</f>
        <v>Not Sampled</v>
      </c>
      <c r="K407" s="1">
        <v>405</v>
      </c>
      <c r="L407" s="1">
        <f>LOOKUP(A407,Sheet2!$D$4:$E$9)</f>
        <v>2</v>
      </c>
      <c r="M407" t="str">
        <f>LOOKUP(B407,Sheet2!$G$4:$H$9)</f>
        <v>100-125</v>
      </c>
      <c r="N407" t="str">
        <f>LOOKUP(C407,Sheet2!$J$4:$K$8)</f>
        <v>1-59</v>
      </c>
      <c r="O407" t="str">
        <f>LOOKUP(D407,Sheet2!$M$4:$N$8)</f>
        <v>30-39</v>
      </c>
      <c r="P407" t="str">
        <f>LOOKUP(E407,Sheet2!$P$4:$Q$9)</f>
        <v>100-199</v>
      </c>
      <c r="Q407" t="str">
        <f>LOOKUP(F407,Sheet2!$S$4:$T$8)</f>
        <v>36+</v>
      </c>
      <c r="R407" t="str">
        <f>LOOKUP(G407,Sheet2!$V$4:$W$7)</f>
        <v>0.4 - 0.69</v>
      </c>
      <c r="S407" t="str">
        <f>LOOKUP(H407,Sheet2!$Z$4:$AA$7)</f>
        <v>26-35</v>
      </c>
      <c r="T407" t="str">
        <f t="shared" si="18"/>
        <v>Negative</v>
      </c>
      <c r="U407" t="str">
        <f t="shared" si="19"/>
        <v>Not Sampled</v>
      </c>
      <c r="V407" s="1" t="str">
        <f t="shared" si="20"/>
        <v>Not Sampled</v>
      </c>
    </row>
    <row r="408" spans="1:22" x14ac:dyDescent="0.25">
      <c r="A408" s="1">
        <v>4</v>
      </c>
      <c r="B408" s="1">
        <v>115</v>
      </c>
      <c r="C408" s="1">
        <v>72</v>
      </c>
      <c r="D408" s="1">
        <v>0</v>
      </c>
      <c r="E408" s="1">
        <v>0</v>
      </c>
      <c r="F408" s="1">
        <v>28.9</v>
      </c>
      <c r="G408" s="1">
        <v>0.376</v>
      </c>
      <c r="H408" s="1">
        <v>46</v>
      </c>
      <c r="I408" s="1">
        <v>1</v>
      </c>
      <c r="J408" s="1">
        <f>IFERROR(VLOOKUP(K408,[1]diabetes_Recognition!$A:$B,2,FALSE),"Not Sampled")</f>
        <v>0</v>
      </c>
      <c r="K408" s="1">
        <v>406</v>
      </c>
      <c r="L408" s="1" t="str">
        <f>LOOKUP(A408,Sheet2!$D$4:$E$9)</f>
        <v>3-4</v>
      </c>
      <c r="M408" t="str">
        <f>LOOKUP(B408,Sheet2!$G$4:$H$9)</f>
        <v>100-125</v>
      </c>
      <c r="N408" t="str">
        <f>LOOKUP(C408,Sheet2!$J$4:$K$8)</f>
        <v>70-79</v>
      </c>
      <c r="O408" t="str">
        <f>LOOKUP(D408,Sheet2!$M$4:$N$8)</f>
        <v>Unknown</v>
      </c>
      <c r="P408" t="str">
        <f>LOOKUP(E408,Sheet2!$P$4:$Q$9)</f>
        <v>Unknown</v>
      </c>
      <c r="Q408" t="str">
        <f>LOOKUP(F408,Sheet2!$S$4:$T$8)</f>
        <v>26-30</v>
      </c>
      <c r="R408" t="str">
        <f>LOOKUP(G408,Sheet2!$V$4:$W$7)</f>
        <v>0.25 - 0.39</v>
      </c>
      <c r="S408" t="str">
        <f>LOOKUP(H408,Sheet2!$Z$4:$AA$7)</f>
        <v>46+</v>
      </c>
      <c r="T408" t="str">
        <f t="shared" si="18"/>
        <v>Positive</v>
      </c>
      <c r="U408" t="str">
        <f t="shared" si="19"/>
        <v>Negative</v>
      </c>
      <c r="V408" s="1" t="str">
        <f t="shared" si="20"/>
        <v>Inaccurate Prediction</v>
      </c>
    </row>
    <row r="409" spans="1:22" x14ac:dyDescent="0.25">
      <c r="A409" s="1">
        <v>0</v>
      </c>
      <c r="B409" s="1">
        <v>101</v>
      </c>
      <c r="C409" s="1">
        <v>62</v>
      </c>
      <c r="D409" s="1">
        <v>0</v>
      </c>
      <c r="E409" s="1">
        <v>0</v>
      </c>
      <c r="F409" s="1">
        <v>21.9</v>
      </c>
      <c r="G409" s="1">
        <v>0.33600000000000002</v>
      </c>
      <c r="H409" s="1">
        <v>25</v>
      </c>
      <c r="I409" s="1">
        <v>0</v>
      </c>
      <c r="J409" s="1" t="str">
        <f>IFERROR(VLOOKUP(K409,[1]diabetes_Recognition!$A:$B,2,FALSE),"Not Sampled")</f>
        <v>Not Sampled</v>
      </c>
      <c r="K409" s="1">
        <v>407</v>
      </c>
      <c r="L409" s="1">
        <f>LOOKUP(A409,Sheet2!$D$4:$E$9)</f>
        <v>0</v>
      </c>
      <c r="M409" t="str">
        <f>LOOKUP(B409,Sheet2!$G$4:$H$9)</f>
        <v>100-125</v>
      </c>
      <c r="N409" t="str">
        <f>LOOKUP(C409,Sheet2!$J$4:$K$8)</f>
        <v>60-69</v>
      </c>
      <c r="O409" t="str">
        <f>LOOKUP(D409,Sheet2!$M$4:$N$8)</f>
        <v>Unknown</v>
      </c>
      <c r="P409" t="str">
        <f>LOOKUP(E409,Sheet2!$P$4:$Q$9)</f>
        <v>Unknown</v>
      </c>
      <c r="Q409" t="str">
        <f>LOOKUP(F409,Sheet2!$S$4:$T$8)</f>
        <v>1-25</v>
      </c>
      <c r="R409" t="str">
        <f>LOOKUP(G409,Sheet2!$V$4:$W$7)</f>
        <v>0.25 - 0.39</v>
      </c>
      <c r="S409" t="str">
        <f>LOOKUP(H409,Sheet2!$Z$4:$AA$7)</f>
        <v>&lt;=25</v>
      </c>
      <c r="T409" t="str">
        <f t="shared" si="18"/>
        <v>Negative</v>
      </c>
      <c r="U409" t="str">
        <f t="shared" si="19"/>
        <v>Not Sampled</v>
      </c>
      <c r="V409" s="1" t="str">
        <f t="shared" si="20"/>
        <v>Not Sampled</v>
      </c>
    </row>
    <row r="410" spans="1:22" x14ac:dyDescent="0.25">
      <c r="A410" s="1">
        <v>8</v>
      </c>
      <c r="B410" s="1">
        <v>197</v>
      </c>
      <c r="C410" s="1">
        <v>74</v>
      </c>
      <c r="D410" s="1">
        <v>0</v>
      </c>
      <c r="E410" s="1">
        <v>0</v>
      </c>
      <c r="F410" s="1">
        <v>25.9</v>
      </c>
      <c r="G410" s="1">
        <v>1.1910000000000001</v>
      </c>
      <c r="H410" s="1">
        <v>39</v>
      </c>
      <c r="I410" s="1">
        <v>1</v>
      </c>
      <c r="J410" s="1" t="str">
        <f>IFERROR(VLOOKUP(K410,[1]diabetes_Recognition!$A:$B,2,FALSE),"Not Sampled")</f>
        <v>Not Sampled</v>
      </c>
      <c r="K410" s="1">
        <v>408</v>
      </c>
      <c r="L410" s="1" t="str">
        <f>LOOKUP(A410,Sheet2!$D$4:$E$9)</f>
        <v>8+</v>
      </c>
      <c r="M410" t="str">
        <f>LOOKUP(B410,Sheet2!$G$4:$H$9)</f>
        <v>176-200</v>
      </c>
      <c r="N410" t="str">
        <f>LOOKUP(C410,Sheet2!$J$4:$K$8)</f>
        <v>70-79</v>
      </c>
      <c r="O410" t="str">
        <f>LOOKUP(D410,Sheet2!$M$4:$N$8)</f>
        <v>Unknown</v>
      </c>
      <c r="P410" t="str">
        <f>LOOKUP(E410,Sheet2!$P$4:$Q$9)</f>
        <v>Unknown</v>
      </c>
      <c r="Q410" t="str">
        <f>LOOKUP(F410,Sheet2!$S$4:$T$8)</f>
        <v>1-25</v>
      </c>
      <c r="R410" t="str">
        <f>LOOKUP(G410,Sheet2!$V$4:$W$7)</f>
        <v>0.7+</v>
      </c>
      <c r="S410" t="str">
        <f>LOOKUP(H410,Sheet2!$Z$4:$AA$7)</f>
        <v>36-45</v>
      </c>
      <c r="T410" t="str">
        <f t="shared" si="18"/>
        <v>Positive</v>
      </c>
      <c r="U410" t="str">
        <f t="shared" si="19"/>
        <v>Not Sampled</v>
      </c>
      <c r="V410" s="1" t="str">
        <f t="shared" si="20"/>
        <v>Not Sampled</v>
      </c>
    </row>
    <row r="411" spans="1:22" x14ac:dyDescent="0.25">
      <c r="A411" s="1">
        <v>1</v>
      </c>
      <c r="B411" s="1">
        <v>172</v>
      </c>
      <c r="C411" s="1">
        <v>68</v>
      </c>
      <c r="D411" s="1">
        <v>49</v>
      </c>
      <c r="E411" s="1">
        <v>579</v>
      </c>
      <c r="F411" s="1">
        <v>42.4</v>
      </c>
      <c r="G411" s="1">
        <v>0.70199999999999996</v>
      </c>
      <c r="H411" s="1">
        <v>28</v>
      </c>
      <c r="I411" s="1">
        <v>1</v>
      </c>
      <c r="J411" s="1" t="str">
        <f>IFERROR(VLOOKUP(K411,[1]diabetes_Recognition!$A:$B,2,FALSE),"Not Sampled")</f>
        <v>Not Sampled</v>
      </c>
      <c r="K411" s="1">
        <v>409</v>
      </c>
      <c r="L411" s="1">
        <f>LOOKUP(A411,Sheet2!$D$4:$E$9)</f>
        <v>1</v>
      </c>
      <c r="M411" t="str">
        <f>LOOKUP(B411,Sheet2!$G$4:$H$9)</f>
        <v>151-175</v>
      </c>
      <c r="N411" t="str">
        <f>LOOKUP(C411,Sheet2!$J$4:$K$8)</f>
        <v>60-69</v>
      </c>
      <c r="O411" t="str">
        <f>LOOKUP(D411,Sheet2!$M$4:$N$8)</f>
        <v>40+</v>
      </c>
      <c r="P411" t="str">
        <f>LOOKUP(E411,Sheet2!$P$4:$Q$9)</f>
        <v>500+</v>
      </c>
      <c r="Q411" t="str">
        <f>LOOKUP(F411,Sheet2!$S$4:$T$8)</f>
        <v>36+</v>
      </c>
      <c r="R411" t="str">
        <f>LOOKUP(G411,Sheet2!$V$4:$W$7)</f>
        <v>0.7+</v>
      </c>
      <c r="S411" t="str">
        <f>LOOKUP(H411,Sheet2!$Z$4:$AA$7)</f>
        <v>26-35</v>
      </c>
      <c r="T411" t="str">
        <f t="shared" si="18"/>
        <v>Positive</v>
      </c>
      <c r="U411" t="str">
        <f t="shared" si="19"/>
        <v>Not Sampled</v>
      </c>
      <c r="V411" s="1" t="str">
        <f t="shared" si="20"/>
        <v>Not Sampled</v>
      </c>
    </row>
    <row r="412" spans="1:22" x14ac:dyDescent="0.25">
      <c r="A412" s="1">
        <v>6</v>
      </c>
      <c r="B412" s="1">
        <v>102</v>
      </c>
      <c r="C412" s="1">
        <v>90</v>
      </c>
      <c r="D412" s="1">
        <v>39</v>
      </c>
      <c r="E412" s="1">
        <v>0</v>
      </c>
      <c r="F412" s="1">
        <v>35.700000000000003</v>
      </c>
      <c r="G412" s="1">
        <v>0.67400000000000004</v>
      </c>
      <c r="H412" s="1">
        <v>28</v>
      </c>
      <c r="I412" s="1">
        <v>0</v>
      </c>
      <c r="J412" s="1" t="str">
        <f>IFERROR(VLOOKUP(K412,[1]diabetes_Recognition!$A:$B,2,FALSE),"Not Sampled")</f>
        <v>Not Sampled</v>
      </c>
      <c r="K412" s="1">
        <v>410</v>
      </c>
      <c r="L412" s="1" t="str">
        <f>LOOKUP(A412,Sheet2!$D$4:$E$9)</f>
        <v>5-7</v>
      </c>
      <c r="M412" t="str">
        <f>LOOKUP(B412,Sheet2!$G$4:$H$9)</f>
        <v>100-125</v>
      </c>
      <c r="N412" t="str">
        <f>LOOKUP(C412,Sheet2!$J$4:$K$8)</f>
        <v>80+</v>
      </c>
      <c r="O412" t="str">
        <f>LOOKUP(D412,Sheet2!$M$4:$N$8)</f>
        <v>30-39</v>
      </c>
      <c r="P412" t="str">
        <f>LOOKUP(E412,Sheet2!$P$4:$Q$9)</f>
        <v>Unknown</v>
      </c>
      <c r="Q412" t="str">
        <f>LOOKUP(F412,Sheet2!$S$4:$T$8)</f>
        <v>31-35</v>
      </c>
      <c r="R412" t="str">
        <f>LOOKUP(G412,Sheet2!$V$4:$W$7)</f>
        <v>0.4 - 0.69</v>
      </c>
      <c r="S412" t="str">
        <f>LOOKUP(H412,Sheet2!$Z$4:$AA$7)</f>
        <v>26-35</v>
      </c>
      <c r="T412" t="str">
        <f t="shared" si="18"/>
        <v>Negative</v>
      </c>
      <c r="U412" t="str">
        <f t="shared" si="19"/>
        <v>Not Sampled</v>
      </c>
      <c r="V412" s="1" t="str">
        <f t="shared" si="20"/>
        <v>Not Sampled</v>
      </c>
    </row>
    <row r="413" spans="1:22" x14ac:dyDescent="0.25">
      <c r="A413" s="1">
        <v>1</v>
      </c>
      <c r="B413" s="1">
        <v>112</v>
      </c>
      <c r="C413" s="1">
        <v>72</v>
      </c>
      <c r="D413" s="1">
        <v>30</v>
      </c>
      <c r="E413" s="1">
        <v>176</v>
      </c>
      <c r="F413" s="1">
        <v>34.4</v>
      </c>
      <c r="G413" s="1">
        <v>0.52800000000000002</v>
      </c>
      <c r="H413" s="1">
        <v>25</v>
      </c>
      <c r="I413" s="1">
        <v>0</v>
      </c>
      <c r="J413" s="1" t="str">
        <f>IFERROR(VLOOKUP(K413,[1]diabetes_Recognition!$A:$B,2,FALSE),"Not Sampled")</f>
        <v>Not Sampled</v>
      </c>
      <c r="K413" s="1">
        <v>411</v>
      </c>
      <c r="L413" s="1">
        <f>LOOKUP(A413,Sheet2!$D$4:$E$9)</f>
        <v>1</v>
      </c>
      <c r="M413" t="str">
        <f>LOOKUP(B413,Sheet2!$G$4:$H$9)</f>
        <v>100-125</v>
      </c>
      <c r="N413" t="str">
        <f>LOOKUP(C413,Sheet2!$J$4:$K$8)</f>
        <v>70-79</v>
      </c>
      <c r="O413" t="str">
        <f>LOOKUP(D413,Sheet2!$M$4:$N$8)</f>
        <v>30-39</v>
      </c>
      <c r="P413" t="str">
        <f>LOOKUP(E413,Sheet2!$P$4:$Q$9)</f>
        <v>100-199</v>
      </c>
      <c r="Q413" t="str">
        <f>LOOKUP(F413,Sheet2!$S$4:$T$8)</f>
        <v>31-35</v>
      </c>
      <c r="R413" t="str">
        <f>LOOKUP(G413,Sheet2!$V$4:$W$7)</f>
        <v>0.4 - 0.69</v>
      </c>
      <c r="S413" t="str">
        <f>LOOKUP(H413,Sheet2!$Z$4:$AA$7)</f>
        <v>&lt;=25</v>
      </c>
      <c r="T413" t="str">
        <f t="shared" si="18"/>
        <v>Negative</v>
      </c>
      <c r="U413" t="str">
        <f t="shared" si="19"/>
        <v>Not Sampled</v>
      </c>
      <c r="V413" s="1" t="str">
        <f t="shared" si="20"/>
        <v>Not Sampled</v>
      </c>
    </row>
    <row r="414" spans="1:22" x14ac:dyDescent="0.25">
      <c r="A414" s="1">
        <v>1</v>
      </c>
      <c r="B414" s="1">
        <v>143</v>
      </c>
      <c r="C414" s="1">
        <v>84</v>
      </c>
      <c r="D414" s="1">
        <v>23</v>
      </c>
      <c r="E414" s="1">
        <v>310</v>
      </c>
      <c r="F414" s="1">
        <v>42.4</v>
      </c>
      <c r="G414" s="1">
        <v>1.0760000000000001</v>
      </c>
      <c r="H414" s="1">
        <v>22</v>
      </c>
      <c r="I414" s="1">
        <v>0</v>
      </c>
      <c r="J414" s="1" t="str">
        <f>IFERROR(VLOOKUP(K414,[1]diabetes_Recognition!$A:$B,2,FALSE),"Not Sampled")</f>
        <v>Not Sampled</v>
      </c>
      <c r="K414" s="1">
        <v>412</v>
      </c>
      <c r="L414" s="1">
        <f>LOOKUP(A414,Sheet2!$D$4:$E$9)</f>
        <v>1</v>
      </c>
      <c r="M414" t="str">
        <f>LOOKUP(B414,Sheet2!$G$4:$H$9)</f>
        <v>126-150</v>
      </c>
      <c r="N414" t="str">
        <f>LOOKUP(C414,Sheet2!$J$4:$K$8)</f>
        <v>80+</v>
      </c>
      <c r="O414" t="str">
        <f>LOOKUP(D414,Sheet2!$M$4:$N$8)</f>
        <v>10-30</v>
      </c>
      <c r="P414" t="str">
        <f>LOOKUP(E414,Sheet2!$P$4:$Q$9)</f>
        <v>300-499</v>
      </c>
      <c r="Q414" t="str">
        <f>LOOKUP(F414,Sheet2!$S$4:$T$8)</f>
        <v>36+</v>
      </c>
      <c r="R414" t="str">
        <f>LOOKUP(G414,Sheet2!$V$4:$W$7)</f>
        <v>0.7+</v>
      </c>
      <c r="S414" t="str">
        <f>LOOKUP(H414,Sheet2!$Z$4:$AA$7)</f>
        <v>&lt;=25</v>
      </c>
      <c r="T414" t="str">
        <f t="shared" si="18"/>
        <v>Negative</v>
      </c>
      <c r="U414" t="str">
        <f t="shared" si="19"/>
        <v>Not Sampled</v>
      </c>
      <c r="V414" s="1" t="str">
        <f t="shared" si="20"/>
        <v>Not Sampled</v>
      </c>
    </row>
    <row r="415" spans="1:22" x14ac:dyDescent="0.25">
      <c r="A415" s="1">
        <v>1</v>
      </c>
      <c r="B415" s="1">
        <v>143</v>
      </c>
      <c r="C415" s="1">
        <v>74</v>
      </c>
      <c r="D415" s="1">
        <v>22</v>
      </c>
      <c r="E415" s="1">
        <v>61</v>
      </c>
      <c r="F415" s="1">
        <v>26.2</v>
      </c>
      <c r="G415" s="1">
        <v>0.25600000000000001</v>
      </c>
      <c r="H415" s="1">
        <v>21</v>
      </c>
      <c r="I415" s="1">
        <v>0</v>
      </c>
      <c r="J415" s="1" t="str">
        <f>IFERROR(VLOOKUP(K415,[1]diabetes_Recognition!$A:$B,2,FALSE),"Not Sampled")</f>
        <v>Not Sampled</v>
      </c>
      <c r="K415" s="1">
        <v>413</v>
      </c>
      <c r="L415" s="1">
        <f>LOOKUP(A415,Sheet2!$D$4:$E$9)</f>
        <v>1</v>
      </c>
      <c r="M415" t="str">
        <f>LOOKUP(B415,Sheet2!$G$4:$H$9)</f>
        <v>126-150</v>
      </c>
      <c r="N415" t="str">
        <f>LOOKUP(C415,Sheet2!$J$4:$K$8)</f>
        <v>70-79</v>
      </c>
      <c r="O415" t="str">
        <f>LOOKUP(D415,Sheet2!$M$4:$N$8)</f>
        <v>10-30</v>
      </c>
      <c r="P415" t="str">
        <f>LOOKUP(E415,Sheet2!$P$4:$Q$9)</f>
        <v>1-99</v>
      </c>
      <c r="Q415" t="str">
        <f>LOOKUP(F415,Sheet2!$S$4:$T$8)</f>
        <v>26-30</v>
      </c>
      <c r="R415" t="str">
        <f>LOOKUP(G415,Sheet2!$V$4:$W$7)</f>
        <v>0.25 - 0.39</v>
      </c>
      <c r="S415" t="str">
        <f>LOOKUP(H415,Sheet2!$Z$4:$AA$7)</f>
        <v>&lt;=25</v>
      </c>
      <c r="T415" t="str">
        <f t="shared" si="18"/>
        <v>Negative</v>
      </c>
      <c r="U415" t="str">
        <f t="shared" si="19"/>
        <v>Not Sampled</v>
      </c>
      <c r="V415" s="1" t="str">
        <f t="shared" si="20"/>
        <v>Not Sampled</v>
      </c>
    </row>
    <row r="416" spans="1:22" x14ac:dyDescent="0.25">
      <c r="A416" s="1">
        <v>0</v>
      </c>
      <c r="B416" s="1">
        <v>138</v>
      </c>
      <c r="C416" s="1">
        <v>60</v>
      </c>
      <c r="D416" s="1">
        <v>35</v>
      </c>
      <c r="E416" s="1">
        <v>167</v>
      </c>
      <c r="F416" s="1">
        <v>34.6</v>
      </c>
      <c r="G416" s="1">
        <v>0.53400000000000003</v>
      </c>
      <c r="H416" s="1">
        <v>21</v>
      </c>
      <c r="I416" s="1">
        <v>1</v>
      </c>
      <c r="J416" s="1">
        <f>IFERROR(VLOOKUP(K416,[1]diabetes_Recognition!$A:$B,2,FALSE),"Not Sampled")</f>
        <v>0</v>
      </c>
      <c r="K416" s="1">
        <v>414</v>
      </c>
      <c r="L416" s="1">
        <f>LOOKUP(A416,Sheet2!$D$4:$E$9)</f>
        <v>0</v>
      </c>
      <c r="M416" t="str">
        <f>LOOKUP(B416,Sheet2!$G$4:$H$9)</f>
        <v>126-150</v>
      </c>
      <c r="N416" t="str">
        <f>LOOKUP(C416,Sheet2!$J$4:$K$8)</f>
        <v>60-69</v>
      </c>
      <c r="O416" t="str">
        <f>LOOKUP(D416,Sheet2!$M$4:$N$8)</f>
        <v>30-39</v>
      </c>
      <c r="P416" t="str">
        <f>LOOKUP(E416,Sheet2!$P$4:$Q$9)</f>
        <v>100-199</v>
      </c>
      <c r="Q416" t="str">
        <f>LOOKUP(F416,Sheet2!$S$4:$T$8)</f>
        <v>31-35</v>
      </c>
      <c r="R416" t="str">
        <f>LOOKUP(G416,Sheet2!$V$4:$W$7)</f>
        <v>0.4 - 0.69</v>
      </c>
      <c r="S416" t="str">
        <f>LOOKUP(H416,Sheet2!$Z$4:$AA$7)</f>
        <v>&lt;=25</v>
      </c>
      <c r="T416" t="str">
        <f t="shared" si="18"/>
        <v>Positive</v>
      </c>
      <c r="U416" t="str">
        <f t="shared" si="19"/>
        <v>Negative</v>
      </c>
      <c r="V416" s="1" t="str">
        <f t="shared" si="20"/>
        <v>Inaccurate Prediction</v>
      </c>
    </row>
    <row r="417" spans="1:22" x14ac:dyDescent="0.25">
      <c r="A417" s="1">
        <v>3</v>
      </c>
      <c r="B417" s="1">
        <v>173</v>
      </c>
      <c r="C417" s="1">
        <v>84</v>
      </c>
      <c r="D417" s="1">
        <v>33</v>
      </c>
      <c r="E417" s="1">
        <v>474</v>
      </c>
      <c r="F417" s="1">
        <v>35.700000000000003</v>
      </c>
      <c r="G417" s="1">
        <v>0.25800000000000001</v>
      </c>
      <c r="H417" s="1">
        <v>22</v>
      </c>
      <c r="I417" s="1">
        <v>1</v>
      </c>
      <c r="J417" s="1">
        <f>IFERROR(VLOOKUP(K417,[1]diabetes_Recognition!$A:$B,2,FALSE),"Not Sampled")</f>
        <v>1</v>
      </c>
      <c r="K417" s="1">
        <v>415</v>
      </c>
      <c r="L417" s="1" t="str">
        <f>LOOKUP(A417,Sheet2!$D$4:$E$9)</f>
        <v>3-4</v>
      </c>
      <c r="M417" t="str">
        <f>LOOKUP(B417,Sheet2!$G$4:$H$9)</f>
        <v>151-175</v>
      </c>
      <c r="N417" t="str">
        <f>LOOKUP(C417,Sheet2!$J$4:$K$8)</f>
        <v>80+</v>
      </c>
      <c r="O417" t="str">
        <f>LOOKUP(D417,Sheet2!$M$4:$N$8)</f>
        <v>30-39</v>
      </c>
      <c r="P417" t="str">
        <f>LOOKUP(E417,Sheet2!$P$4:$Q$9)</f>
        <v>300-499</v>
      </c>
      <c r="Q417" t="str">
        <f>LOOKUP(F417,Sheet2!$S$4:$T$8)</f>
        <v>31-35</v>
      </c>
      <c r="R417" t="str">
        <f>LOOKUP(G417,Sheet2!$V$4:$W$7)</f>
        <v>0.25 - 0.39</v>
      </c>
      <c r="S417" t="str">
        <f>LOOKUP(H417,Sheet2!$Z$4:$AA$7)</f>
        <v>&lt;=25</v>
      </c>
      <c r="T417" t="str">
        <f t="shared" si="18"/>
        <v>Positive</v>
      </c>
      <c r="U417" t="str">
        <f t="shared" si="19"/>
        <v>Positive</v>
      </c>
      <c r="V417" s="1" t="str">
        <f t="shared" si="20"/>
        <v>Accurate Prediction</v>
      </c>
    </row>
    <row r="418" spans="1:22" x14ac:dyDescent="0.25">
      <c r="A418" s="1">
        <v>1</v>
      </c>
      <c r="B418" s="1">
        <v>97</v>
      </c>
      <c r="C418" s="1">
        <v>68</v>
      </c>
      <c r="D418" s="1">
        <v>21</v>
      </c>
      <c r="E418" s="1">
        <v>0</v>
      </c>
      <c r="F418" s="1">
        <v>27.2</v>
      </c>
      <c r="G418" s="1">
        <v>1.095</v>
      </c>
      <c r="H418" s="1">
        <v>22</v>
      </c>
      <c r="I418" s="1">
        <v>0</v>
      </c>
      <c r="J418" s="1" t="str">
        <f>IFERROR(VLOOKUP(K418,[1]diabetes_Recognition!$A:$B,2,FALSE),"Not Sampled")</f>
        <v>Not Sampled</v>
      </c>
      <c r="K418" s="1">
        <v>416</v>
      </c>
      <c r="L418" s="1">
        <f>LOOKUP(A418,Sheet2!$D$4:$E$9)</f>
        <v>1</v>
      </c>
      <c r="M418" t="str">
        <f>LOOKUP(B418,Sheet2!$G$4:$H$9)</f>
        <v>1-99</v>
      </c>
      <c r="N418" t="str">
        <f>LOOKUP(C418,Sheet2!$J$4:$K$8)</f>
        <v>60-69</v>
      </c>
      <c r="O418" t="str">
        <f>LOOKUP(D418,Sheet2!$M$4:$N$8)</f>
        <v>10-30</v>
      </c>
      <c r="P418" t="str">
        <f>LOOKUP(E418,Sheet2!$P$4:$Q$9)</f>
        <v>Unknown</v>
      </c>
      <c r="Q418" t="str">
        <f>LOOKUP(F418,Sheet2!$S$4:$T$8)</f>
        <v>26-30</v>
      </c>
      <c r="R418" t="str">
        <f>LOOKUP(G418,Sheet2!$V$4:$W$7)</f>
        <v>0.7+</v>
      </c>
      <c r="S418" t="str">
        <f>LOOKUP(H418,Sheet2!$Z$4:$AA$7)</f>
        <v>&lt;=25</v>
      </c>
      <c r="T418" t="str">
        <f t="shared" si="18"/>
        <v>Negative</v>
      </c>
      <c r="U418" t="str">
        <f t="shared" si="19"/>
        <v>Not Sampled</v>
      </c>
      <c r="V418" s="1" t="str">
        <f t="shared" si="20"/>
        <v>Not Sampled</v>
      </c>
    </row>
    <row r="419" spans="1:22" x14ac:dyDescent="0.25">
      <c r="A419" s="1">
        <v>4</v>
      </c>
      <c r="B419" s="1">
        <v>144</v>
      </c>
      <c r="C419" s="1">
        <v>82</v>
      </c>
      <c r="D419" s="1">
        <v>32</v>
      </c>
      <c r="E419" s="1">
        <v>0</v>
      </c>
      <c r="F419" s="1">
        <v>38.5</v>
      </c>
      <c r="G419" s="1">
        <v>0.55400000000000005</v>
      </c>
      <c r="H419" s="1">
        <v>37</v>
      </c>
      <c r="I419" s="1">
        <v>1</v>
      </c>
      <c r="J419" s="1" t="str">
        <f>IFERROR(VLOOKUP(K419,[1]diabetes_Recognition!$A:$B,2,FALSE),"Not Sampled")</f>
        <v>Not Sampled</v>
      </c>
      <c r="K419" s="1">
        <v>417</v>
      </c>
      <c r="L419" s="1" t="str">
        <f>LOOKUP(A419,Sheet2!$D$4:$E$9)</f>
        <v>3-4</v>
      </c>
      <c r="M419" t="str">
        <f>LOOKUP(B419,Sheet2!$G$4:$H$9)</f>
        <v>126-150</v>
      </c>
      <c r="N419" t="str">
        <f>LOOKUP(C419,Sheet2!$J$4:$K$8)</f>
        <v>80+</v>
      </c>
      <c r="O419" t="str">
        <f>LOOKUP(D419,Sheet2!$M$4:$N$8)</f>
        <v>30-39</v>
      </c>
      <c r="P419" t="str">
        <f>LOOKUP(E419,Sheet2!$P$4:$Q$9)</f>
        <v>Unknown</v>
      </c>
      <c r="Q419" t="str">
        <f>LOOKUP(F419,Sheet2!$S$4:$T$8)</f>
        <v>36+</v>
      </c>
      <c r="R419" t="str">
        <f>LOOKUP(G419,Sheet2!$V$4:$W$7)</f>
        <v>0.4 - 0.69</v>
      </c>
      <c r="S419" t="str">
        <f>LOOKUP(H419,Sheet2!$Z$4:$AA$7)</f>
        <v>36-45</v>
      </c>
      <c r="T419" t="str">
        <f t="shared" si="18"/>
        <v>Positive</v>
      </c>
      <c r="U419" t="str">
        <f t="shared" si="19"/>
        <v>Not Sampled</v>
      </c>
      <c r="V419" s="1" t="str">
        <f t="shared" si="20"/>
        <v>Not Sampled</v>
      </c>
    </row>
    <row r="420" spans="1:22" x14ac:dyDescent="0.25">
      <c r="A420" s="1">
        <v>1</v>
      </c>
      <c r="B420" s="1">
        <v>83</v>
      </c>
      <c r="C420" s="1">
        <v>68</v>
      </c>
      <c r="D420" s="1">
        <v>0</v>
      </c>
      <c r="E420" s="1">
        <v>0</v>
      </c>
      <c r="F420" s="1">
        <v>18.2</v>
      </c>
      <c r="G420" s="1">
        <v>0.624</v>
      </c>
      <c r="H420" s="1">
        <v>27</v>
      </c>
      <c r="I420" s="1">
        <v>0</v>
      </c>
      <c r="J420" s="1">
        <f>IFERROR(VLOOKUP(K420,[1]diabetes_Recognition!$A:$B,2,FALSE),"Not Sampled")</f>
        <v>0</v>
      </c>
      <c r="K420" s="1">
        <v>418</v>
      </c>
      <c r="L420" s="1">
        <f>LOOKUP(A420,Sheet2!$D$4:$E$9)</f>
        <v>1</v>
      </c>
      <c r="M420" t="str">
        <f>LOOKUP(B420,Sheet2!$G$4:$H$9)</f>
        <v>1-99</v>
      </c>
      <c r="N420" t="str">
        <f>LOOKUP(C420,Sheet2!$J$4:$K$8)</f>
        <v>60-69</v>
      </c>
      <c r="O420" t="str">
        <f>LOOKUP(D420,Sheet2!$M$4:$N$8)</f>
        <v>Unknown</v>
      </c>
      <c r="P420" t="str">
        <f>LOOKUP(E420,Sheet2!$P$4:$Q$9)</f>
        <v>Unknown</v>
      </c>
      <c r="Q420" t="str">
        <f>LOOKUP(F420,Sheet2!$S$4:$T$8)</f>
        <v>1-25</v>
      </c>
      <c r="R420" t="str">
        <f>LOOKUP(G420,Sheet2!$V$4:$W$7)</f>
        <v>0.4 - 0.69</v>
      </c>
      <c r="S420" t="str">
        <f>LOOKUP(H420,Sheet2!$Z$4:$AA$7)</f>
        <v>26-35</v>
      </c>
      <c r="T420" t="str">
        <f t="shared" si="18"/>
        <v>Negative</v>
      </c>
      <c r="U420" t="str">
        <f t="shared" si="19"/>
        <v>Negative</v>
      </c>
      <c r="V420" s="1" t="str">
        <f t="shared" si="20"/>
        <v>Accurate Prediction</v>
      </c>
    </row>
    <row r="421" spans="1:22" x14ac:dyDescent="0.25">
      <c r="A421" s="1">
        <v>3</v>
      </c>
      <c r="B421" s="1">
        <v>129</v>
      </c>
      <c r="C421" s="1">
        <v>64</v>
      </c>
      <c r="D421" s="1">
        <v>29</v>
      </c>
      <c r="E421" s="1">
        <v>115</v>
      </c>
      <c r="F421" s="1">
        <v>26.4</v>
      </c>
      <c r="G421" s="1">
        <v>0.219</v>
      </c>
      <c r="H421" s="1">
        <v>28</v>
      </c>
      <c r="I421" s="1">
        <v>1</v>
      </c>
      <c r="J421" s="1" t="str">
        <f>IFERROR(VLOOKUP(K421,[1]diabetes_Recognition!$A:$B,2,FALSE),"Not Sampled")</f>
        <v>Not Sampled</v>
      </c>
      <c r="K421" s="1">
        <v>419</v>
      </c>
      <c r="L421" s="1" t="str">
        <f>LOOKUP(A421,Sheet2!$D$4:$E$9)</f>
        <v>3-4</v>
      </c>
      <c r="M421" t="str">
        <f>LOOKUP(B421,Sheet2!$G$4:$H$9)</f>
        <v>126-150</v>
      </c>
      <c r="N421" t="str">
        <f>LOOKUP(C421,Sheet2!$J$4:$K$8)</f>
        <v>60-69</v>
      </c>
      <c r="O421" t="str">
        <f>LOOKUP(D421,Sheet2!$M$4:$N$8)</f>
        <v>10-30</v>
      </c>
      <c r="P421" t="str">
        <f>LOOKUP(E421,Sheet2!$P$4:$Q$9)</f>
        <v>100-199</v>
      </c>
      <c r="Q421" t="str">
        <f>LOOKUP(F421,Sheet2!$S$4:$T$8)</f>
        <v>26-30</v>
      </c>
      <c r="R421" t="str">
        <f>LOOKUP(G421,Sheet2!$V$4:$W$7)</f>
        <v>0.0 - 0.249</v>
      </c>
      <c r="S421" t="str">
        <f>LOOKUP(H421,Sheet2!$Z$4:$AA$7)</f>
        <v>26-35</v>
      </c>
      <c r="T421" t="str">
        <f t="shared" si="18"/>
        <v>Positive</v>
      </c>
      <c r="U421" t="str">
        <f t="shared" si="19"/>
        <v>Not Sampled</v>
      </c>
      <c r="V421" s="1" t="str">
        <f t="shared" si="20"/>
        <v>Not Sampled</v>
      </c>
    </row>
    <row r="422" spans="1:22" x14ac:dyDescent="0.25">
      <c r="A422" s="1">
        <v>1</v>
      </c>
      <c r="B422" s="1">
        <v>119</v>
      </c>
      <c r="C422" s="1">
        <v>88</v>
      </c>
      <c r="D422" s="1">
        <v>41</v>
      </c>
      <c r="E422" s="1">
        <v>170</v>
      </c>
      <c r="F422" s="1">
        <v>45.3</v>
      </c>
      <c r="G422" s="1">
        <v>0.50700000000000001</v>
      </c>
      <c r="H422" s="1">
        <v>26</v>
      </c>
      <c r="I422" s="1">
        <v>0</v>
      </c>
      <c r="J422" s="1" t="str">
        <f>IFERROR(VLOOKUP(K422,[1]diabetes_Recognition!$A:$B,2,FALSE),"Not Sampled")</f>
        <v>Not Sampled</v>
      </c>
      <c r="K422" s="1">
        <v>420</v>
      </c>
      <c r="L422" s="1">
        <f>LOOKUP(A422,Sheet2!$D$4:$E$9)</f>
        <v>1</v>
      </c>
      <c r="M422" t="str">
        <f>LOOKUP(B422,Sheet2!$G$4:$H$9)</f>
        <v>100-125</v>
      </c>
      <c r="N422" t="str">
        <f>LOOKUP(C422,Sheet2!$J$4:$K$8)</f>
        <v>80+</v>
      </c>
      <c r="O422" t="str">
        <f>LOOKUP(D422,Sheet2!$M$4:$N$8)</f>
        <v>40+</v>
      </c>
      <c r="P422" t="str">
        <f>LOOKUP(E422,Sheet2!$P$4:$Q$9)</f>
        <v>100-199</v>
      </c>
      <c r="Q422" t="str">
        <f>LOOKUP(F422,Sheet2!$S$4:$T$8)</f>
        <v>36+</v>
      </c>
      <c r="R422" t="str">
        <f>LOOKUP(G422,Sheet2!$V$4:$W$7)</f>
        <v>0.4 - 0.69</v>
      </c>
      <c r="S422" t="str">
        <f>LOOKUP(H422,Sheet2!$Z$4:$AA$7)</f>
        <v>26-35</v>
      </c>
      <c r="T422" t="str">
        <f t="shared" si="18"/>
        <v>Negative</v>
      </c>
      <c r="U422" t="str">
        <f t="shared" si="19"/>
        <v>Not Sampled</v>
      </c>
      <c r="V422" s="1" t="str">
        <f t="shared" si="20"/>
        <v>Not Sampled</v>
      </c>
    </row>
    <row r="423" spans="1:22" x14ac:dyDescent="0.25">
      <c r="A423" s="1">
        <v>2</v>
      </c>
      <c r="B423" s="1">
        <v>94</v>
      </c>
      <c r="C423" s="1">
        <v>68</v>
      </c>
      <c r="D423" s="1">
        <v>18</v>
      </c>
      <c r="E423" s="1">
        <v>76</v>
      </c>
      <c r="F423" s="1">
        <v>26</v>
      </c>
      <c r="G423" s="1">
        <v>0.56100000000000005</v>
      </c>
      <c r="H423" s="1">
        <v>21</v>
      </c>
      <c r="I423" s="1">
        <v>0</v>
      </c>
      <c r="J423" s="1">
        <f>IFERROR(VLOOKUP(K423,[1]diabetes_Recognition!$A:$B,2,FALSE),"Not Sampled")</f>
        <v>0</v>
      </c>
      <c r="K423" s="1">
        <v>421</v>
      </c>
      <c r="L423" s="1">
        <f>LOOKUP(A423,Sheet2!$D$4:$E$9)</f>
        <v>2</v>
      </c>
      <c r="M423" t="str">
        <f>LOOKUP(B423,Sheet2!$G$4:$H$9)</f>
        <v>1-99</v>
      </c>
      <c r="N423" t="str">
        <f>LOOKUP(C423,Sheet2!$J$4:$K$8)</f>
        <v>60-69</v>
      </c>
      <c r="O423" t="str">
        <f>LOOKUP(D423,Sheet2!$M$4:$N$8)</f>
        <v>10-30</v>
      </c>
      <c r="P423" t="str">
        <f>LOOKUP(E423,Sheet2!$P$4:$Q$9)</f>
        <v>1-99</v>
      </c>
      <c r="Q423" t="str">
        <f>LOOKUP(F423,Sheet2!$S$4:$T$8)</f>
        <v>26-30</v>
      </c>
      <c r="R423" t="str">
        <f>LOOKUP(G423,Sheet2!$V$4:$W$7)</f>
        <v>0.4 - 0.69</v>
      </c>
      <c r="S423" t="str">
        <f>LOOKUP(H423,Sheet2!$Z$4:$AA$7)</f>
        <v>&lt;=25</v>
      </c>
      <c r="T423" t="str">
        <f t="shared" si="18"/>
        <v>Negative</v>
      </c>
      <c r="U423" t="str">
        <f t="shared" si="19"/>
        <v>Negative</v>
      </c>
      <c r="V423" s="1" t="str">
        <f t="shared" si="20"/>
        <v>Accurate Prediction</v>
      </c>
    </row>
    <row r="424" spans="1:22" x14ac:dyDescent="0.25">
      <c r="A424" s="1">
        <v>0</v>
      </c>
      <c r="B424" s="1">
        <v>102</v>
      </c>
      <c r="C424" s="1">
        <v>64</v>
      </c>
      <c r="D424" s="1">
        <v>46</v>
      </c>
      <c r="E424" s="1">
        <v>78</v>
      </c>
      <c r="F424" s="1">
        <v>40.6</v>
      </c>
      <c r="G424" s="1">
        <v>0.496</v>
      </c>
      <c r="H424" s="1">
        <v>21</v>
      </c>
      <c r="I424" s="1">
        <v>0</v>
      </c>
      <c r="J424" s="1" t="str">
        <f>IFERROR(VLOOKUP(K424,[1]diabetes_Recognition!$A:$B,2,FALSE),"Not Sampled")</f>
        <v>Not Sampled</v>
      </c>
      <c r="K424" s="1">
        <v>422</v>
      </c>
      <c r="L424" s="1">
        <f>LOOKUP(A424,Sheet2!$D$4:$E$9)</f>
        <v>0</v>
      </c>
      <c r="M424" t="str">
        <f>LOOKUP(B424,Sheet2!$G$4:$H$9)</f>
        <v>100-125</v>
      </c>
      <c r="N424" t="str">
        <f>LOOKUP(C424,Sheet2!$J$4:$K$8)</f>
        <v>60-69</v>
      </c>
      <c r="O424" t="str">
        <f>LOOKUP(D424,Sheet2!$M$4:$N$8)</f>
        <v>40+</v>
      </c>
      <c r="P424" t="str">
        <f>LOOKUP(E424,Sheet2!$P$4:$Q$9)</f>
        <v>1-99</v>
      </c>
      <c r="Q424" t="str">
        <f>LOOKUP(F424,Sheet2!$S$4:$T$8)</f>
        <v>36+</v>
      </c>
      <c r="R424" t="str">
        <f>LOOKUP(G424,Sheet2!$V$4:$W$7)</f>
        <v>0.4 - 0.69</v>
      </c>
      <c r="S424" t="str">
        <f>LOOKUP(H424,Sheet2!$Z$4:$AA$7)</f>
        <v>&lt;=25</v>
      </c>
      <c r="T424" t="str">
        <f t="shared" si="18"/>
        <v>Negative</v>
      </c>
      <c r="U424" t="str">
        <f t="shared" si="19"/>
        <v>Not Sampled</v>
      </c>
      <c r="V424" s="1" t="str">
        <f t="shared" si="20"/>
        <v>Not Sampled</v>
      </c>
    </row>
    <row r="425" spans="1:22" x14ac:dyDescent="0.25">
      <c r="A425" s="1">
        <v>2</v>
      </c>
      <c r="B425" s="1">
        <v>115</v>
      </c>
      <c r="C425" s="1">
        <v>64</v>
      </c>
      <c r="D425" s="1">
        <v>22</v>
      </c>
      <c r="E425" s="1">
        <v>0</v>
      </c>
      <c r="F425" s="1">
        <v>30.8</v>
      </c>
      <c r="G425" s="1">
        <v>0.42099999999999999</v>
      </c>
      <c r="H425" s="1">
        <v>21</v>
      </c>
      <c r="I425" s="1">
        <v>0</v>
      </c>
      <c r="J425" s="1" t="str">
        <f>IFERROR(VLOOKUP(K425,[1]diabetes_Recognition!$A:$B,2,FALSE),"Not Sampled")</f>
        <v>Not Sampled</v>
      </c>
      <c r="K425" s="1">
        <v>423</v>
      </c>
      <c r="L425" s="1">
        <f>LOOKUP(A425,Sheet2!$D$4:$E$9)</f>
        <v>2</v>
      </c>
      <c r="M425" t="str">
        <f>LOOKUP(B425,Sheet2!$G$4:$H$9)</f>
        <v>100-125</v>
      </c>
      <c r="N425" t="str">
        <f>LOOKUP(C425,Sheet2!$J$4:$K$8)</f>
        <v>60-69</v>
      </c>
      <c r="O425" t="str">
        <f>LOOKUP(D425,Sheet2!$M$4:$N$8)</f>
        <v>10-30</v>
      </c>
      <c r="P425" t="str">
        <f>LOOKUP(E425,Sheet2!$P$4:$Q$9)</f>
        <v>Unknown</v>
      </c>
      <c r="Q425" t="str">
        <f>LOOKUP(F425,Sheet2!$S$4:$T$8)</f>
        <v>26-30</v>
      </c>
      <c r="R425" t="str">
        <f>LOOKUP(G425,Sheet2!$V$4:$W$7)</f>
        <v>0.4 - 0.69</v>
      </c>
      <c r="S425" t="str">
        <f>LOOKUP(H425,Sheet2!$Z$4:$AA$7)</f>
        <v>&lt;=25</v>
      </c>
      <c r="T425" t="str">
        <f t="shared" si="18"/>
        <v>Negative</v>
      </c>
      <c r="U425" t="str">
        <f t="shared" si="19"/>
        <v>Not Sampled</v>
      </c>
      <c r="V425" s="1" t="str">
        <f t="shared" si="20"/>
        <v>Not Sampled</v>
      </c>
    </row>
    <row r="426" spans="1:22" x14ac:dyDescent="0.25">
      <c r="A426" s="1">
        <v>8</v>
      </c>
      <c r="B426" s="1">
        <v>151</v>
      </c>
      <c r="C426" s="1">
        <v>78</v>
      </c>
      <c r="D426" s="1">
        <v>32</v>
      </c>
      <c r="E426" s="1">
        <v>210</v>
      </c>
      <c r="F426" s="1">
        <v>42.9</v>
      </c>
      <c r="G426" s="1">
        <v>0.51600000000000001</v>
      </c>
      <c r="H426" s="1">
        <v>36</v>
      </c>
      <c r="I426" s="1">
        <v>1</v>
      </c>
      <c r="J426" s="1">
        <f>IFERROR(VLOOKUP(K426,[1]diabetes_Recognition!$A:$B,2,FALSE),"Not Sampled")</f>
        <v>1</v>
      </c>
      <c r="K426" s="1">
        <v>424</v>
      </c>
      <c r="L426" s="1" t="str">
        <f>LOOKUP(A426,Sheet2!$D$4:$E$9)</f>
        <v>8+</v>
      </c>
      <c r="M426" t="str">
        <f>LOOKUP(B426,Sheet2!$G$4:$H$9)</f>
        <v>151-175</v>
      </c>
      <c r="N426" t="str">
        <f>LOOKUP(C426,Sheet2!$J$4:$K$8)</f>
        <v>70-79</v>
      </c>
      <c r="O426" t="str">
        <f>LOOKUP(D426,Sheet2!$M$4:$N$8)</f>
        <v>30-39</v>
      </c>
      <c r="P426" t="str">
        <f>LOOKUP(E426,Sheet2!$P$4:$Q$9)</f>
        <v>200-399</v>
      </c>
      <c r="Q426" t="str">
        <f>LOOKUP(F426,Sheet2!$S$4:$T$8)</f>
        <v>36+</v>
      </c>
      <c r="R426" t="str">
        <f>LOOKUP(G426,Sheet2!$V$4:$W$7)</f>
        <v>0.4 - 0.69</v>
      </c>
      <c r="S426" t="str">
        <f>LOOKUP(H426,Sheet2!$Z$4:$AA$7)</f>
        <v>36-45</v>
      </c>
      <c r="T426" t="str">
        <f t="shared" si="18"/>
        <v>Positive</v>
      </c>
      <c r="U426" t="str">
        <f t="shared" si="19"/>
        <v>Positive</v>
      </c>
      <c r="V426" s="1" t="str">
        <f t="shared" si="20"/>
        <v>Accurate Prediction</v>
      </c>
    </row>
    <row r="427" spans="1:22" x14ac:dyDescent="0.25">
      <c r="A427" s="1">
        <v>4</v>
      </c>
      <c r="B427" s="1">
        <v>184</v>
      </c>
      <c r="C427" s="1">
        <v>78</v>
      </c>
      <c r="D427" s="1">
        <v>39</v>
      </c>
      <c r="E427" s="1">
        <v>277</v>
      </c>
      <c r="F427" s="1">
        <v>37</v>
      </c>
      <c r="G427" s="1">
        <v>0.26400000000000001</v>
      </c>
      <c r="H427" s="1">
        <v>31</v>
      </c>
      <c r="I427" s="1">
        <v>1</v>
      </c>
      <c r="J427" s="1" t="str">
        <f>IFERROR(VLOOKUP(K427,[1]diabetes_Recognition!$A:$B,2,FALSE),"Not Sampled")</f>
        <v>Not Sampled</v>
      </c>
      <c r="K427" s="1">
        <v>425</v>
      </c>
      <c r="L427" s="1" t="str">
        <f>LOOKUP(A427,Sheet2!$D$4:$E$9)</f>
        <v>3-4</v>
      </c>
      <c r="M427" t="str">
        <f>LOOKUP(B427,Sheet2!$G$4:$H$9)</f>
        <v>176-200</v>
      </c>
      <c r="N427" t="str">
        <f>LOOKUP(C427,Sheet2!$J$4:$K$8)</f>
        <v>70-79</v>
      </c>
      <c r="O427" t="str">
        <f>LOOKUP(D427,Sheet2!$M$4:$N$8)</f>
        <v>30-39</v>
      </c>
      <c r="P427" t="str">
        <f>LOOKUP(E427,Sheet2!$P$4:$Q$9)</f>
        <v>200-399</v>
      </c>
      <c r="Q427" t="str">
        <f>LOOKUP(F427,Sheet2!$S$4:$T$8)</f>
        <v>36+</v>
      </c>
      <c r="R427" t="str">
        <f>LOOKUP(G427,Sheet2!$V$4:$W$7)</f>
        <v>0.25 - 0.39</v>
      </c>
      <c r="S427" t="str">
        <f>LOOKUP(H427,Sheet2!$Z$4:$AA$7)</f>
        <v>26-35</v>
      </c>
      <c r="T427" t="str">
        <f t="shared" si="18"/>
        <v>Positive</v>
      </c>
      <c r="U427" t="str">
        <f t="shared" si="19"/>
        <v>Not Sampled</v>
      </c>
      <c r="V427" s="1" t="str">
        <f t="shared" si="20"/>
        <v>Not Sampled</v>
      </c>
    </row>
    <row r="428" spans="1:22" x14ac:dyDescent="0.25">
      <c r="A428" s="1">
        <v>0</v>
      </c>
      <c r="B428" s="1">
        <v>94</v>
      </c>
      <c r="C428" s="1">
        <v>0</v>
      </c>
      <c r="D428" s="1">
        <v>0</v>
      </c>
      <c r="E428" s="1">
        <v>0</v>
      </c>
      <c r="F428" s="1">
        <v>0</v>
      </c>
      <c r="G428" s="1">
        <v>0.25600000000000001</v>
      </c>
      <c r="H428" s="1">
        <v>25</v>
      </c>
      <c r="I428" s="1">
        <v>0</v>
      </c>
      <c r="J428" s="1" t="str">
        <f>IFERROR(VLOOKUP(K428,[1]diabetes_Recognition!$A:$B,2,FALSE),"Not Sampled")</f>
        <v>Not Sampled</v>
      </c>
      <c r="K428" s="1">
        <v>426</v>
      </c>
      <c r="L428" s="1">
        <f>LOOKUP(A428,Sheet2!$D$4:$E$9)</f>
        <v>0</v>
      </c>
      <c r="M428" t="str">
        <f>LOOKUP(B428,Sheet2!$G$4:$H$9)</f>
        <v>1-99</v>
      </c>
      <c r="N428" t="str">
        <f>LOOKUP(C428,Sheet2!$J$4:$K$8)</f>
        <v>Unknown</v>
      </c>
      <c r="O428" t="str">
        <f>LOOKUP(D428,Sheet2!$M$4:$N$8)</f>
        <v>Unknown</v>
      </c>
      <c r="P428" t="str">
        <f>LOOKUP(E428,Sheet2!$P$4:$Q$9)</f>
        <v>Unknown</v>
      </c>
      <c r="Q428" t="str">
        <f>LOOKUP(F428,Sheet2!$S$4:$T$8)</f>
        <v>Unknown</v>
      </c>
      <c r="R428" t="str">
        <f>LOOKUP(G428,Sheet2!$V$4:$W$7)</f>
        <v>0.25 - 0.39</v>
      </c>
      <c r="S428" t="str">
        <f>LOOKUP(H428,Sheet2!$Z$4:$AA$7)</f>
        <v>&lt;=25</v>
      </c>
      <c r="T428" t="str">
        <f t="shared" si="18"/>
        <v>Negative</v>
      </c>
      <c r="U428" t="str">
        <f t="shared" si="19"/>
        <v>Not Sampled</v>
      </c>
      <c r="V428" s="1" t="str">
        <f t="shared" si="20"/>
        <v>Not Sampled</v>
      </c>
    </row>
    <row r="429" spans="1:22" x14ac:dyDescent="0.25">
      <c r="A429" s="1">
        <v>1</v>
      </c>
      <c r="B429" s="1">
        <v>181</v>
      </c>
      <c r="C429" s="1">
        <v>64</v>
      </c>
      <c r="D429" s="1">
        <v>30</v>
      </c>
      <c r="E429" s="1">
        <v>180</v>
      </c>
      <c r="F429" s="1">
        <v>34.1</v>
      </c>
      <c r="G429" s="1">
        <v>0.32800000000000001</v>
      </c>
      <c r="H429" s="1">
        <v>38</v>
      </c>
      <c r="I429" s="1">
        <v>1</v>
      </c>
      <c r="J429" s="1" t="str">
        <f>IFERROR(VLOOKUP(K429,[1]diabetes_Recognition!$A:$B,2,FALSE),"Not Sampled")</f>
        <v>Not Sampled</v>
      </c>
      <c r="K429" s="1">
        <v>427</v>
      </c>
      <c r="L429" s="1">
        <f>LOOKUP(A429,Sheet2!$D$4:$E$9)</f>
        <v>1</v>
      </c>
      <c r="M429" t="str">
        <f>LOOKUP(B429,Sheet2!$G$4:$H$9)</f>
        <v>176-200</v>
      </c>
      <c r="N429" t="str">
        <f>LOOKUP(C429,Sheet2!$J$4:$K$8)</f>
        <v>60-69</v>
      </c>
      <c r="O429" t="str">
        <f>LOOKUP(D429,Sheet2!$M$4:$N$8)</f>
        <v>30-39</v>
      </c>
      <c r="P429" t="str">
        <f>LOOKUP(E429,Sheet2!$P$4:$Q$9)</f>
        <v>100-199</v>
      </c>
      <c r="Q429" t="str">
        <f>LOOKUP(F429,Sheet2!$S$4:$T$8)</f>
        <v>31-35</v>
      </c>
      <c r="R429" t="str">
        <f>LOOKUP(G429,Sheet2!$V$4:$W$7)</f>
        <v>0.25 - 0.39</v>
      </c>
      <c r="S429" t="str">
        <f>LOOKUP(H429,Sheet2!$Z$4:$AA$7)</f>
        <v>36-45</v>
      </c>
      <c r="T429" t="str">
        <f t="shared" si="18"/>
        <v>Positive</v>
      </c>
      <c r="U429" t="str">
        <f t="shared" si="19"/>
        <v>Not Sampled</v>
      </c>
      <c r="V429" s="1" t="str">
        <f t="shared" si="20"/>
        <v>Not Sampled</v>
      </c>
    </row>
    <row r="430" spans="1:22" x14ac:dyDescent="0.25">
      <c r="A430" s="1">
        <v>0</v>
      </c>
      <c r="B430" s="1">
        <v>135</v>
      </c>
      <c r="C430" s="1">
        <v>94</v>
      </c>
      <c r="D430" s="1">
        <v>46</v>
      </c>
      <c r="E430" s="1">
        <v>145</v>
      </c>
      <c r="F430" s="1">
        <v>40.6</v>
      </c>
      <c r="G430" s="1">
        <v>0.28399999999999997</v>
      </c>
      <c r="H430" s="1">
        <v>26</v>
      </c>
      <c r="I430" s="1">
        <v>0</v>
      </c>
      <c r="J430" s="1">
        <f>IFERROR(VLOOKUP(K430,[1]diabetes_Recognition!$A:$B,2,FALSE),"Not Sampled")</f>
        <v>0</v>
      </c>
      <c r="K430" s="1">
        <v>428</v>
      </c>
      <c r="L430" s="1">
        <f>LOOKUP(A430,Sheet2!$D$4:$E$9)</f>
        <v>0</v>
      </c>
      <c r="M430" t="str">
        <f>LOOKUP(B430,Sheet2!$G$4:$H$9)</f>
        <v>126-150</v>
      </c>
      <c r="N430" t="str">
        <f>LOOKUP(C430,Sheet2!$J$4:$K$8)</f>
        <v>80+</v>
      </c>
      <c r="O430" t="str">
        <f>LOOKUP(D430,Sheet2!$M$4:$N$8)</f>
        <v>40+</v>
      </c>
      <c r="P430" t="str">
        <f>LOOKUP(E430,Sheet2!$P$4:$Q$9)</f>
        <v>100-199</v>
      </c>
      <c r="Q430" t="str">
        <f>LOOKUP(F430,Sheet2!$S$4:$T$8)</f>
        <v>36+</v>
      </c>
      <c r="R430" t="str">
        <f>LOOKUP(G430,Sheet2!$V$4:$W$7)</f>
        <v>0.25 - 0.39</v>
      </c>
      <c r="S430" t="str">
        <f>LOOKUP(H430,Sheet2!$Z$4:$AA$7)</f>
        <v>26-35</v>
      </c>
      <c r="T430" t="str">
        <f t="shared" si="18"/>
        <v>Negative</v>
      </c>
      <c r="U430" t="str">
        <f t="shared" si="19"/>
        <v>Negative</v>
      </c>
      <c r="V430" s="1" t="str">
        <f t="shared" si="20"/>
        <v>Accurate Prediction</v>
      </c>
    </row>
    <row r="431" spans="1:22" x14ac:dyDescent="0.25">
      <c r="A431" s="1">
        <v>1</v>
      </c>
      <c r="B431" s="1">
        <v>95</v>
      </c>
      <c r="C431" s="1">
        <v>82</v>
      </c>
      <c r="D431" s="1">
        <v>25</v>
      </c>
      <c r="E431" s="1">
        <v>180</v>
      </c>
      <c r="F431" s="1">
        <v>35</v>
      </c>
      <c r="G431" s="1">
        <v>0.23300000000000001</v>
      </c>
      <c r="H431" s="1">
        <v>43</v>
      </c>
      <c r="I431" s="1">
        <v>1</v>
      </c>
      <c r="J431" s="1" t="str">
        <f>IFERROR(VLOOKUP(K431,[1]diabetes_Recognition!$A:$B,2,FALSE),"Not Sampled")</f>
        <v>Not Sampled</v>
      </c>
      <c r="K431" s="1">
        <v>429</v>
      </c>
      <c r="L431" s="1">
        <f>LOOKUP(A431,Sheet2!$D$4:$E$9)</f>
        <v>1</v>
      </c>
      <c r="M431" t="str">
        <f>LOOKUP(B431,Sheet2!$G$4:$H$9)</f>
        <v>1-99</v>
      </c>
      <c r="N431" t="str">
        <f>LOOKUP(C431,Sheet2!$J$4:$K$8)</f>
        <v>80+</v>
      </c>
      <c r="O431" t="str">
        <f>LOOKUP(D431,Sheet2!$M$4:$N$8)</f>
        <v>10-30</v>
      </c>
      <c r="P431" t="str">
        <f>LOOKUP(E431,Sheet2!$P$4:$Q$9)</f>
        <v>100-199</v>
      </c>
      <c r="Q431" t="str">
        <f>LOOKUP(F431,Sheet2!$S$4:$T$8)</f>
        <v>31-35</v>
      </c>
      <c r="R431" t="str">
        <f>LOOKUP(G431,Sheet2!$V$4:$W$7)</f>
        <v>0.0 - 0.249</v>
      </c>
      <c r="S431" t="str">
        <f>LOOKUP(H431,Sheet2!$Z$4:$AA$7)</f>
        <v>36-45</v>
      </c>
      <c r="T431" t="str">
        <f t="shared" si="18"/>
        <v>Positive</v>
      </c>
      <c r="U431" t="str">
        <f t="shared" si="19"/>
        <v>Not Sampled</v>
      </c>
      <c r="V431" s="1" t="str">
        <f t="shared" si="20"/>
        <v>Not Sampled</v>
      </c>
    </row>
    <row r="432" spans="1:22" x14ac:dyDescent="0.25">
      <c r="A432" s="1">
        <v>2</v>
      </c>
      <c r="B432" s="1">
        <v>99</v>
      </c>
      <c r="C432" s="1">
        <v>0</v>
      </c>
      <c r="D432" s="1">
        <v>0</v>
      </c>
      <c r="E432" s="1">
        <v>0</v>
      </c>
      <c r="F432" s="1">
        <v>22.2</v>
      </c>
      <c r="G432" s="1">
        <v>0.108</v>
      </c>
      <c r="H432" s="1">
        <v>23</v>
      </c>
      <c r="I432" s="1">
        <v>0</v>
      </c>
      <c r="J432" s="1" t="str">
        <f>IFERROR(VLOOKUP(K432,[1]diabetes_Recognition!$A:$B,2,FALSE),"Not Sampled")</f>
        <v>Not Sampled</v>
      </c>
      <c r="K432" s="1">
        <v>430</v>
      </c>
      <c r="L432" s="1">
        <f>LOOKUP(A432,Sheet2!$D$4:$E$9)</f>
        <v>2</v>
      </c>
      <c r="M432" t="str">
        <f>LOOKUP(B432,Sheet2!$G$4:$H$9)</f>
        <v>1-99</v>
      </c>
      <c r="N432" t="str">
        <f>LOOKUP(C432,Sheet2!$J$4:$K$8)</f>
        <v>Unknown</v>
      </c>
      <c r="O432" t="str">
        <f>LOOKUP(D432,Sheet2!$M$4:$N$8)</f>
        <v>Unknown</v>
      </c>
      <c r="P432" t="str">
        <f>LOOKUP(E432,Sheet2!$P$4:$Q$9)</f>
        <v>Unknown</v>
      </c>
      <c r="Q432" t="str">
        <f>LOOKUP(F432,Sheet2!$S$4:$T$8)</f>
        <v>1-25</v>
      </c>
      <c r="R432" t="str">
        <f>LOOKUP(G432,Sheet2!$V$4:$W$7)</f>
        <v>0.0 - 0.249</v>
      </c>
      <c r="S432" t="str">
        <f>LOOKUP(H432,Sheet2!$Z$4:$AA$7)</f>
        <v>&lt;=25</v>
      </c>
      <c r="T432" t="str">
        <f t="shared" si="18"/>
        <v>Negative</v>
      </c>
      <c r="U432" t="str">
        <f t="shared" si="19"/>
        <v>Not Sampled</v>
      </c>
      <c r="V432" s="1" t="str">
        <f t="shared" si="20"/>
        <v>Not Sampled</v>
      </c>
    </row>
    <row r="433" spans="1:22" x14ac:dyDescent="0.25">
      <c r="A433" s="1">
        <v>3</v>
      </c>
      <c r="B433" s="1">
        <v>89</v>
      </c>
      <c r="C433" s="1">
        <v>74</v>
      </c>
      <c r="D433" s="1">
        <v>16</v>
      </c>
      <c r="E433" s="1">
        <v>85</v>
      </c>
      <c r="F433" s="1">
        <v>30.4</v>
      </c>
      <c r="G433" s="1">
        <v>0.55100000000000005</v>
      </c>
      <c r="H433" s="1">
        <v>38</v>
      </c>
      <c r="I433" s="1">
        <v>0</v>
      </c>
      <c r="J433" s="1" t="str">
        <f>IFERROR(VLOOKUP(K433,[1]diabetes_Recognition!$A:$B,2,FALSE),"Not Sampled")</f>
        <v>Not Sampled</v>
      </c>
      <c r="K433" s="1">
        <v>431</v>
      </c>
      <c r="L433" s="1" t="str">
        <f>LOOKUP(A433,Sheet2!$D$4:$E$9)</f>
        <v>3-4</v>
      </c>
      <c r="M433" t="str">
        <f>LOOKUP(B433,Sheet2!$G$4:$H$9)</f>
        <v>1-99</v>
      </c>
      <c r="N433" t="str">
        <f>LOOKUP(C433,Sheet2!$J$4:$K$8)</f>
        <v>70-79</v>
      </c>
      <c r="O433" t="str">
        <f>LOOKUP(D433,Sheet2!$M$4:$N$8)</f>
        <v>10-30</v>
      </c>
      <c r="P433" t="str">
        <f>LOOKUP(E433,Sheet2!$P$4:$Q$9)</f>
        <v>1-99</v>
      </c>
      <c r="Q433" t="str">
        <f>LOOKUP(F433,Sheet2!$S$4:$T$8)</f>
        <v>26-30</v>
      </c>
      <c r="R433" t="str">
        <f>LOOKUP(G433,Sheet2!$V$4:$W$7)</f>
        <v>0.4 - 0.69</v>
      </c>
      <c r="S433" t="str">
        <f>LOOKUP(H433,Sheet2!$Z$4:$AA$7)</f>
        <v>36-45</v>
      </c>
      <c r="T433" t="str">
        <f t="shared" si="18"/>
        <v>Negative</v>
      </c>
      <c r="U433" t="str">
        <f t="shared" si="19"/>
        <v>Not Sampled</v>
      </c>
      <c r="V433" s="1" t="str">
        <f t="shared" si="20"/>
        <v>Not Sampled</v>
      </c>
    </row>
    <row r="434" spans="1:22" x14ac:dyDescent="0.25">
      <c r="A434" s="1">
        <v>1</v>
      </c>
      <c r="B434" s="1">
        <v>80</v>
      </c>
      <c r="C434" s="1">
        <v>74</v>
      </c>
      <c r="D434" s="1">
        <v>11</v>
      </c>
      <c r="E434" s="1">
        <v>60</v>
      </c>
      <c r="F434" s="1">
        <v>30</v>
      </c>
      <c r="G434" s="1">
        <v>0.52700000000000002</v>
      </c>
      <c r="H434" s="1">
        <v>22</v>
      </c>
      <c r="I434" s="1">
        <v>0</v>
      </c>
      <c r="J434" s="1">
        <f>IFERROR(VLOOKUP(K434,[1]diabetes_Recognition!$A:$B,2,FALSE),"Not Sampled")</f>
        <v>0</v>
      </c>
      <c r="K434" s="1">
        <v>432</v>
      </c>
      <c r="L434" s="1">
        <f>LOOKUP(A434,Sheet2!$D$4:$E$9)</f>
        <v>1</v>
      </c>
      <c r="M434" t="str">
        <f>LOOKUP(B434,Sheet2!$G$4:$H$9)</f>
        <v>1-99</v>
      </c>
      <c r="N434" t="str">
        <f>LOOKUP(C434,Sheet2!$J$4:$K$8)</f>
        <v>70-79</v>
      </c>
      <c r="O434" t="str">
        <f>LOOKUP(D434,Sheet2!$M$4:$N$8)</f>
        <v>10-30</v>
      </c>
      <c r="P434" t="str">
        <f>LOOKUP(E434,Sheet2!$P$4:$Q$9)</f>
        <v>1-99</v>
      </c>
      <c r="Q434" t="str">
        <f>LOOKUP(F434,Sheet2!$S$4:$T$8)</f>
        <v>26-30</v>
      </c>
      <c r="R434" t="str">
        <f>LOOKUP(G434,Sheet2!$V$4:$W$7)</f>
        <v>0.4 - 0.69</v>
      </c>
      <c r="S434" t="str">
        <f>LOOKUP(H434,Sheet2!$Z$4:$AA$7)</f>
        <v>&lt;=25</v>
      </c>
      <c r="T434" t="str">
        <f t="shared" si="18"/>
        <v>Negative</v>
      </c>
      <c r="U434" t="str">
        <f t="shared" si="19"/>
        <v>Negative</v>
      </c>
      <c r="V434" s="1" t="str">
        <f t="shared" si="20"/>
        <v>Accurate Prediction</v>
      </c>
    </row>
    <row r="435" spans="1:22" x14ac:dyDescent="0.25">
      <c r="A435" s="1">
        <v>2</v>
      </c>
      <c r="B435" s="1">
        <v>139</v>
      </c>
      <c r="C435" s="1">
        <v>75</v>
      </c>
      <c r="D435" s="1">
        <v>0</v>
      </c>
      <c r="E435" s="1">
        <v>0</v>
      </c>
      <c r="F435" s="1">
        <v>25.6</v>
      </c>
      <c r="G435" s="1">
        <v>0.16700000000000001</v>
      </c>
      <c r="H435" s="1">
        <v>29</v>
      </c>
      <c r="I435" s="1">
        <v>0</v>
      </c>
      <c r="J435" s="1" t="str">
        <f>IFERROR(VLOOKUP(K435,[1]diabetes_Recognition!$A:$B,2,FALSE),"Not Sampled")</f>
        <v>Not Sampled</v>
      </c>
      <c r="K435" s="1">
        <v>433</v>
      </c>
      <c r="L435" s="1">
        <f>LOOKUP(A435,Sheet2!$D$4:$E$9)</f>
        <v>2</v>
      </c>
      <c r="M435" t="str">
        <f>LOOKUP(B435,Sheet2!$G$4:$H$9)</f>
        <v>126-150</v>
      </c>
      <c r="N435" t="str">
        <f>LOOKUP(C435,Sheet2!$J$4:$K$8)</f>
        <v>70-79</v>
      </c>
      <c r="O435" t="str">
        <f>LOOKUP(D435,Sheet2!$M$4:$N$8)</f>
        <v>Unknown</v>
      </c>
      <c r="P435" t="str">
        <f>LOOKUP(E435,Sheet2!$P$4:$Q$9)</f>
        <v>Unknown</v>
      </c>
      <c r="Q435" t="str">
        <f>LOOKUP(F435,Sheet2!$S$4:$T$8)</f>
        <v>1-25</v>
      </c>
      <c r="R435" t="str">
        <f>LOOKUP(G435,Sheet2!$V$4:$W$7)</f>
        <v>0.0 - 0.249</v>
      </c>
      <c r="S435" t="str">
        <f>LOOKUP(H435,Sheet2!$Z$4:$AA$7)</f>
        <v>26-35</v>
      </c>
      <c r="T435" t="str">
        <f t="shared" si="18"/>
        <v>Negative</v>
      </c>
      <c r="U435" t="str">
        <f t="shared" si="19"/>
        <v>Not Sampled</v>
      </c>
      <c r="V435" s="1" t="str">
        <f t="shared" si="20"/>
        <v>Not Sampled</v>
      </c>
    </row>
    <row r="436" spans="1:22" x14ac:dyDescent="0.25">
      <c r="A436" s="1">
        <v>1</v>
      </c>
      <c r="B436" s="1">
        <v>90</v>
      </c>
      <c r="C436" s="1">
        <v>68</v>
      </c>
      <c r="D436" s="1">
        <v>8</v>
      </c>
      <c r="E436" s="1">
        <v>0</v>
      </c>
      <c r="F436" s="1">
        <v>24.5</v>
      </c>
      <c r="G436" s="1">
        <v>1.1379999999999999</v>
      </c>
      <c r="H436" s="1">
        <v>36</v>
      </c>
      <c r="I436" s="1">
        <v>0</v>
      </c>
      <c r="J436" s="1">
        <f>IFERROR(VLOOKUP(K436,[1]diabetes_Recognition!$A:$B,2,FALSE),"Not Sampled")</f>
        <v>0</v>
      </c>
      <c r="K436" s="1">
        <v>434</v>
      </c>
      <c r="L436" s="1">
        <f>LOOKUP(A436,Sheet2!$D$4:$E$9)</f>
        <v>1</v>
      </c>
      <c r="M436" t="str">
        <f>LOOKUP(B436,Sheet2!$G$4:$H$9)</f>
        <v>1-99</v>
      </c>
      <c r="N436" t="str">
        <f>LOOKUP(C436,Sheet2!$J$4:$K$8)</f>
        <v>60-69</v>
      </c>
      <c r="O436" t="str">
        <f>LOOKUP(D436,Sheet2!$M$4:$N$8)</f>
        <v>1-10</v>
      </c>
      <c r="P436" t="str">
        <f>LOOKUP(E436,Sheet2!$P$4:$Q$9)</f>
        <v>Unknown</v>
      </c>
      <c r="Q436" t="str">
        <f>LOOKUP(F436,Sheet2!$S$4:$T$8)</f>
        <v>1-25</v>
      </c>
      <c r="R436" t="str">
        <f>LOOKUP(G436,Sheet2!$V$4:$W$7)</f>
        <v>0.7+</v>
      </c>
      <c r="S436" t="str">
        <f>LOOKUP(H436,Sheet2!$Z$4:$AA$7)</f>
        <v>36-45</v>
      </c>
      <c r="T436" t="str">
        <f t="shared" si="18"/>
        <v>Negative</v>
      </c>
      <c r="U436" t="str">
        <f t="shared" si="19"/>
        <v>Negative</v>
      </c>
      <c r="V436" s="1" t="str">
        <f t="shared" si="20"/>
        <v>Accurate Prediction</v>
      </c>
    </row>
    <row r="437" spans="1:22" x14ac:dyDescent="0.25">
      <c r="A437" s="1">
        <v>0</v>
      </c>
      <c r="B437" s="1">
        <v>141</v>
      </c>
      <c r="C437" s="1">
        <v>0</v>
      </c>
      <c r="D437" s="1">
        <v>0</v>
      </c>
      <c r="E437" s="1">
        <v>0</v>
      </c>
      <c r="F437" s="1">
        <v>42.4</v>
      </c>
      <c r="G437" s="1">
        <v>0.20499999999999999</v>
      </c>
      <c r="H437" s="1">
        <v>29</v>
      </c>
      <c r="I437" s="1">
        <v>1</v>
      </c>
      <c r="J437" s="1">
        <f>IFERROR(VLOOKUP(K437,[1]diabetes_Recognition!$A:$B,2,FALSE),"Not Sampled")</f>
        <v>1</v>
      </c>
      <c r="K437" s="1">
        <v>435</v>
      </c>
      <c r="L437" s="1">
        <f>LOOKUP(A437,Sheet2!$D$4:$E$9)</f>
        <v>0</v>
      </c>
      <c r="M437" t="str">
        <f>LOOKUP(B437,Sheet2!$G$4:$H$9)</f>
        <v>126-150</v>
      </c>
      <c r="N437" t="str">
        <f>LOOKUP(C437,Sheet2!$J$4:$K$8)</f>
        <v>Unknown</v>
      </c>
      <c r="O437" t="str">
        <f>LOOKUP(D437,Sheet2!$M$4:$N$8)</f>
        <v>Unknown</v>
      </c>
      <c r="P437" t="str">
        <f>LOOKUP(E437,Sheet2!$P$4:$Q$9)</f>
        <v>Unknown</v>
      </c>
      <c r="Q437" t="str">
        <f>LOOKUP(F437,Sheet2!$S$4:$T$8)</f>
        <v>36+</v>
      </c>
      <c r="R437" t="str">
        <f>LOOKUP(G437,Sheet2!$V$4:$W$7)</f>
        <v>0.0 - 0.249</v>
      </c>
      <c r="S437" t="str">
        <f>LOOKUP(H437,Sheet2!$Z$4:$AA$7)</f>
        <v>26-35</v>
      </c>
      <c r="T437" t="str">
        <f t="shared" si="18"/>
        <v>Positive</v>
      </c>
      <c r="U437" t="str">
        <f t="shared" si="19"/>
        <v>Positive</v>
      </c>
      <c r="V437" s="1" t="str">
        <f t="shared" si="20"/>
        <v>Accurate Prediction</v>
      </c>
    </row>
    <row r="438" spans="1:22" x14ac:dyDescent="0.25">
      <c r="A438" s="1">
        <v>12</v>
      </c>
      <c r="B438" s="1">
        <v>140</v>
      </c>
      <c r="C438" s="1">
        <v>85</v>
      </c>
      <c r="D438" s="1">
        <v>33</v>
      </c>
      <c r="E438" s="1">
        <v>0</v>
      </c>
      <c r="F438" s="1">
        <v>37.4</v>
      </c>
      <c r="G438" s="1">
        <v>0.24399999999999999</v>
      </c>
      <c r="H438" s="1">
        <v>41</v>
      </c>
      <c r="I438" s="1">
        <v>0</v>
      </c>
      <c r="J438" s="1" t="str">
        <f>IFERROR(VLOOKUP(K438,[1]diabetes_Recognition!$A:$B,2,FALSE),"Not Sampled")</f>
        <v>Not Sampled</v>
      </c>
      <c r="K438" s="1">
        <v>436</v>
      </c>
      <c r="L438" s="1" t="str">
        <f>LOOKUP(A438,Sheet2!$D$4:$E$9)</f>
        <v>8+</v>
      </c>
      <c r="M438" t="str">
        <f>LOOKUP(B438,Sheet2!$G$4:$H$9)</f>
        <v>126-150</v>
      </c>
      <c r="N438" t="str">
        <f>LOOKUP(C438,Sheet2!$J$4:$K$8)</f>
        <v>80+</v>
      </c>
      <c r="O438" t="str">
        <f>LOOKUP(D438,Sheet2!$M$4:$N$8)</f>
        <v>30-39</v>
      </c>
      <c r="P438" t="str">
        <f>LOOKUP(E438,Sheet2!$P$4:$Q$9)</f>
        <v>Unknown</v>
      </c>
      <c r="Q438" t="str">
        <f>LOOKUP(F438,Sheet2!$S$4:$T$8)</f>
        <v>36+</v>
      </c>
      <c r="R438" t="str">
        <f>LOOKUP(G438,Sheet2!$V$4:$W$7)</f>
        <v>0.0 - 0.249</v>
      </c>
      <c r="S438" t="str">
        <f>LOOKUP(H438,Sheet2!$Z$4:$AA$7)</f>
        <v>36-45</v>
      </c>
      <c r="T438" t="str">
        <f t="shared" si="18"/>
        <v>Negative</v>
      </c>
      <c r="U438" t="str">
        <f t="shared" si="19"/>
        <v>Not Sampled</v>
      </c>
      <c r="V438" s="1" t="str">
        <f t="shared" si="20"/>
        <v>Not Sampled</v>
      </c>
    </row>
    <row r="439" spans="1:22" x14ac:dyDescent="0.25">
      <c r="A439" s="1">
        <v>5</v>
      </c>
      <c r="B439" s="1">
        <v>147</v>
      </c>
      <c r="C439" s="1">
        <v>75</v>
      </c>
      <c r="D439" s="1">
        <v>0</v>
      </c>
      <c r="E439" s="1">
        <v>0</v>
      </c>
      <c r="F439" s="1">
        <v>29.9</v>
      </c>
      <c r="G439" s="1">
        <v>0.434</v>
      </c>
      <c r="H439" s="1">
        <v>28</v>
      </c>
      <c r="I439" s="1">
        <v>0</v>
      </c>
      <c r="J439" s="1" t="str">
        <f>IFERROR(VLOOKUP(K439,[1]diabetes_Recognition!$A:$B,2,FALSE),"Not Sampled")</f>
        <v>Not Sampled</v>
      </c>
      <c r="K439" s="1">
        <v>437</v>
      </c>
      <c r="L439" s="1" t="str">
        <f>LOOKUP(A439,Sheet2!$D$4:$E$9)</f>
        <v>5-7</v>
      </c>
      <c r="M439" t="str">
        <f>LOOKUP(B439,Sheet2!$G$4:$H$9)</f>
        <v>126-150</v>
      </c>
      <c r="N439" t="str">
        <f>LOOKUP(C439,Sheet2!$J$4:$K$8)</f>
        <v>70-79</v>
      </c>
      <c r="O439" t="str">
        <f>LOOKUP(D439,Sheet2!$M$4:$N$8)</f>
        <v>Unknown</v>
      </c>
      <c r="P439" t="str">
        <f>LOOKUP(E439,Sheet2!$P$4:$Q$9)</f>
        <v>Unknown</v>
      </c>
      <c r="Q439" t="str">
        <f>LOOKUP(F439,Sheet2!$S$4:$T$8)</f>
        <v>26-30</v>
      </c>
      <c r="R439" t="str">
        <f>LOOKUP(G439,Sheet2!$V$4:$W$7)</f>
        <v>0.4 - 0.69</v>
      </c>
      <c r="S439" t="str">
        <f>LOOKUP(H439,Sheet2!$Z$4:$AA$7)</f>
        <v>26-35</v>
      </c>
      <c r="T439" t="str">
        <f t="shared" si="18"/>
        <v>Negative</v>
      </c>
      <c r="U439" t="str">
        <f t="shared" si="19"/>
        <v>Not Sampled</v>
      </c>
      <c r="V439" s="1" t="str">
        <f t="shared" si="20"/>
        <v>Not Sampled</v>
      </c>
    </row>
    <row r="440" spans="1:22" x14ac:dyDescent="0.25">
      <c r="A440" s="1">
        <v>1</v>
      </c>
      <c r="B440" s="1">
        <v>97</v>
      </c>
      <c r="C440" s="1">
        <v>70</v>
      </c>
      <c r="D440" s="1">
        <v>15</v>
      </c>
      <c r="E440" s="1">
        <v>0</v>
      </c>
      <c r="F440" s="1">
        <v>18.2</v>
      </c>
      <c r="G440" s="1">
        <v>0.14699999999999999</v>
      </c>
      <c r="H440" s="1">
        <v>21</v>
      </c>
      <c r="I440" s="1">
        <v>0</v>
      </c>
      <c r="J440" s="1" t="str">
        <f>IFERROR(VLOOKUP(K440,[1]diabetes_Recognition!$A:$B,2,FALSE),"Not Sampled")</f>
        <v>Not Sampled</v>
      </c>
      <c r="K440" s="1">
        <v>438</v>
      </c>
      <c r="L440" s="1">
        <f>LOOKUP(A440,Sheet2!$D$4:$E$9)</f>
        <v>1</v>
      </c>
      <c r="M440" t="str">
        <f>LOOKUP(B440,Sheet2!$G$4:$H$9)</f>
        <v>1-99</v>
      </c>
      <c r="N440" t="str">
        <f>LOOKUP(C440,Sheet2!$J$4:$K$8)</f>
        <v>70-79</v>
      </c>
      <c r="O440" t="str">
        <f>LOOKUP(D440,Sheet2!$M$4:$N$8)</f>
        <v>10-30</v>
      </c>
      <c r="P440" t="str">
        <f>LOOKUP(E440,Sheet2!$P$4:$Q$9)</f>
        <v>Unknown</v>
      </c>
      <c r="Q440" t="str">
        <f>LOOKUP(F440,Sheet2!$S$4:$T$8)</f>
        <v>1-25</v>
      </c>
      <c r="R440" t="str">
        <f>LOOKUP(G440,Sheet2!$V$4:$W$7)</f>
        <v>0.0 - 0.249</v>
      </c>
      <c r="S440" t="str">
        <f>LOOKUP(H440,Sheet2!$Z$4:$AA$7)</f>
        <v>&lt;=25</v>
      </c>
      <c r="T440" t="str">
        <f t="shared" si="18"/>
        <v>Negative</v>
      </c>
      <c r="U440" t="str">
        <f t="shared" si="19"/>
        <v>Not Sampled</v>
      </c>
      <c r="V440" s="1" t="str">
        <f t="shared" si="20"/>
        <v>Not Sampled</v>
      </c>
    </row>
    <row r="441" spans="1:22" x14ac:dyDescent="0.25">
      <c r="A441" s="1">
        <v>6</v>
      </c>
      <c r="B441" s="1">
        <v>107</v>
      </c>
      <c r="C441" s="1">
        <v>88</v>
      </c>
      <c r="D441" s="1">
        <v>0</v>
      </c>
      <c r="E441" s="1">
        <v>0</v>
      </c>
      <c r="F441" s="1">
        <v>36.799999999999997</v>
      </c>
      <c r="G441" s="1">
        <v>0.72699999999999998</v>
      </c>
      <c r="H441" s="1">
        <v>31</v>
      </c>
      <c r="I441" s="1">
        <v>0</v>
      </c>
      <c r="J441" s="1" t="str">
        <f>IFERROR(VLOOKUP(K441,[1]diabetes_Recognition!$A:$B,2,FALSE),"Not Sampled")</f>
        <v>Not Sampled</v>
      </c>
      <c r="K441" s="1">
        <v>439</v>
      </c>
      <c r="L441" s="1" t="str">
        <f>LOOKUP(A441,Sheet2!$D$4:$E$9)</f>
        <v>5-7</v>
      </c>
      <c r="M441" t="str">
        <f>LOOKUP(B441,Sheet2!$G$4:$H$9)</f>
        <v>100-125</v>
      </c>
      <c r="N441" t="str">
        <f>LOOKUP(C441,Sheet2!$J$4:$K$8)</f>
        <v>80+</v>
      </c>
      <c r="O441" t="str">
        <f>LOOKUP(D441,Sheet2!$M$4:$N$8)</f>
        <v>Unknown</v>
      </c>
      <c r="P441" t="str">
        <f>LOOKUP(E441,Sheet2!$P$4:$Q$9)</f>
        <v>Unknown</v>
      </c>
      <c r="Q441" t="str">
        <f>LOOKUP(F441,Sheet2!$S$4:$T$8)</f>
        <v>36+</v>
      </c>
      <c r="R441" t="str">
        <f>LOOKUP(G441,Sheet2!$V$4:$W$7)</f>
        <v>0.7+</v>
      </c>
      <c r="S441" t="str">
        <f>LOOKUP(H441,Sheet2!$Z$4:$AA$7)</f>
        <v>26-35</v>
      </c>
      <c r="T441" t="str">
        <f t="shared" si="18"/>
        <v>Negative</v>
      </c>
      <c r="U441" t="str">
        <f t="shared" si="19"/>
        <v>Not Sampled</v>
      </c>
      <c r="V441" s="1" t="str">
        <f t="shared" si="20"/>
        <v>Not Sampled</v>
      </c>
    </row>
    <row r="442" spans="1:22" x14ac:dyDescent="0.25">
      <c r="A442" s="1">
        <v>0</v>
      </c>
      <c r="B442" s="1">
        <v>189</v>
      </c>
      <c r="C442" s="1">
        <v>104</v>
      </c>
      <c r="D442" s="1">
        <v>25</v>
      </c>
      <c r="E442" s="1">
        <v>0</v>
      </c>
      <c r="F442" s="1">
        <v>34.299999999999997</v>
      </c>
      <c r="G442" s="1">
        <v>0.435</v>
      </c>
      <c r="H442" s="1">
        <v>41</v>
      </c>
      <c r="I442" s="1">
        <v>1</v>
      </c>
      <c r="J442" s="1" t="str">
        <f>IFERROR(VLOOKUP(K442,[1]diabetes_Recognition!$A:$B,2,FALSE),"Not Sampled")</f>
        <v>Not Sampled</v>
      </c>
      <c r="K442" s="1">
        <v>440</v>
      </c>
      <c r="L442" s="1">
        <f>LOOKUP(A442,Sheet2!$D$4:$E$9)</f>
        <v>0</v>
      </c>
      <c r="M442" t="str">
        <f>LOOKUP(B442,Sheet2!$G$4:$H$9)</f>
        <v>176-200</v>
      </c>
      <c r="N442" t="str">
        <f>LOOKUP(C442,Sheet2!$J$4:$K$8)</f>
        <v>80+</v>
      </c>
      <c r="O442" t="str">
        <f>LOOKUP(D442,Sheet2!$M$4:$N$8)</f>
        <v>10-30</v>
      </c>
      <c r="P442" t="str">
        <f>LOOKUP(E442,Sheet2!$P$4:$Q$9)</f>
        <v>Unknown</v>
      </c>
      <c r="Q442" t="str">
        <f>LOOKUP(F442,Sheet2!$S$4:$T$8)</f>
        <v>31-35</v>
      </c>
      <c r="R442" t="str">
        <f>LOOKUP(G442,Sheet2!$V$4:$W$7)</f>
        <v>0.4 - 0.69</v>
      </c>
      <c r="S442" t="str">
        <f>LOOKUP(H442,Sheet2!$Z$4:$AA$7)</f>
        <v>36-45</v>
      </c>
      <c r="T442" t="str">
        <f t="shared" si="18"/>
        <v>Positive</v>
      </c>
      <c r="U442" t="str">
        <f t="shared" si="19"/>
        <v>Not Sampled</v>
      </c>
      <c r="V442" s="1" t="str">
        <f t="shared" si="20"/>
        <v>Not Sampled</v>
      </c>
    </row>
    <row r="443" spans="1:22" x14ac:dyDescent="0.25">
      <c r="A443" s="1">
        <v>2</v>
      </c>
      <c r="B443" s="1">
        <v>83</v>
      </c>
      <c r="C443" s="1">
        <v>66</v>
      </c>
      <c r="D443" s="1">
        <v>23</v>
      </c>
      <c r="E443" s="1">
        <v>50</v>
      </c>
      <c r="F443" s="1">
        <v>32.200000000000003</v>
      </c>
      <c r="G443" s="1">
        <v>0.497</v>
      </c>
      <c r="H443" s="1">
        <v>22</v>
      </c>
      <c r="I443" s="1">
        <v>0</v>
      </c>
      <c r="J443" s="1" t="str">
        <f>IFERROR(VLOOKUP(K443,[1]diabetes_Recognition!$A:$B,2,FALSE),"Not Sampled")</f>
        <v>Not Sampled</v>
      </c>
      <c r="K443" s="1">
        <v>441</v>
      </c>
      <c r="L443" s="1">
        <f>LOOKUP(A443,Sheet2!$D$4:$E$9)</f>
        <v>2</v>
      </c>
      <c r="M443" t="str">
        <f>LOOKUP(B443,Sheet2!$G$4:$H$9)</f>
        <v>1-99</v>
      </c>
      <c r="N443" t="str">
        <f>LOOKUP(C443,Sheet2!$J$4:$K$8)</f>
        <v>60-69</v>
      </c>
      <c r="O443" t="str">
        <f>LOOKUP(D443,Sheet2!$M$4:$N$8)</f>
        <v>10-30</v>
      </c>
      <c r="P443" t="str">
        <f>LOOKUP(E443,Sheet2!$P$4:$Q$9)</f>
        <v>1-99</v>
      </c>
      <c r="Q443" t="str">
        <f>LOOKUP(F443,Sheet2!$S$4:$T$8)</f>
        <v>31-35</v>
      </c>
      <c r="R443" t="str">
        <f>LOOKUP(G443,Sheet2!$V$4:$W$7)</f>
        <v>0.4 - 0.69</v>
      </c>
      <c r="S443" t="str">
        <f>LOOKUP(H443,Sheet2!$Z$4:$AA$7)</f>
        <v>&lt;=25</v>
      </c>
      <c r="T443" t="str">
        <f t="shared" si="18"/>
        <v>Negative</v>
      </c>
      <c r="U443" t="str">
        <f t="shared" si="19"/>
        <v>Not Sampled</v>
      </c>
      <c r="V443" s="1" t="str">
        <f t="shared" si="20"/>
        <v>Not Sampled</v>
      </c>
    </row>
    <row r="444" spans="1:22" x14ac:dyDescent="0.25">
      <c r="A444" s="1">
        <v>4</v>
      </c>
      <c r="B444" s="1">
        <v>117</v>
      </c>
      <c r="C444" s="1">
        <v>64</v>
      </c>
      <c r="D444" s="1">
        <v>27</v>
      </c>
      <c r="E444" s="1">
        <v>120</v>
      </c>
      <c r="F444" s="1">
        <v>33.200000000000003</v>
      </c>
      <c r="G444" s="1">
        <v>0.23</v>
      </c>
      <c r="H444" s="1">
        <v>24</v>
      </c>
      <c r="I444" s="1">
        <v>0</v>
      </c>
      <c r="J444" s="1">
        <f>IFERROR(VLOOKUP(K444,[1]diabetes_Recognition!$A:$B,2,FALSE),"Not Sampled")</f>
        <v>0</v>
      </c>
      <c r="K444" s="1">
        <v>442</v>
      </c>
      <c r="L444" s="1" t="str">
        <f>LOOKUP(A444,Sheet2!$D$4:$E$9)</f>
        <v>3-4</v>
      </c>
      <c r="M444" t="str">
        <f>LOOKUP(B444,Sheet2!$G$4:$H$9)</f>
        <v>100-125</v>
      </c>
      <c r="N444" t="str">
        <f>LOOKUP(C444,Sheet2!$J$4:$K$8)</f>
        <v>60-69</v>
      </c>
      <c r="O444" t="str">
        <f>LOOKUP(D444,Sheet2!$M$4:$N$8)</f>
        <v>10-30</v>
      </c>
      <c r="P444" t="str">
        <f>LOOKUP(E444,Sheet2!$P$4:$Q$9)</f>
        <v>100-199</v>
      </c>
      <c r="Q444" t="str">
        <f>LOOKUP(F444,Sheet2!$S$4:$T$8)</f>
        <v>31-35</v>
      </c>
      <c r="R444" t="str">
        <f>LOOKUP(G444,Sheet2!$V$4:$W$7)</f>
        <v>0.0 - 0.249</v>
      </c>
      <c r="S444" t="str">
        <f>LOOKUP(H444,Sheet2!$Z$4:$AA$7)</f>
        <v>&lt;=25</v>
      </c>
      <c r="T444" t="str">
        <f t="shared" si="18"/>
        <v>Negative</v>
      </c>
      <c r="U444" t="str">
        <f t="shared" si="19"/>
        <v>Negative</v>
      </c>
      <c r="V444" s="1" t="str">
        <f t="shared" si="20"/>
        <v>Accurate Prediction</v>
      </c>
    </row>
    <row r="445" spans="1:22" x14ac:dyDescent="0.25">
      <c r="A445" s="1">
        <v>8</v>
      </c>
      <c r="B445" s="1">
        <v>108</v>
      </c>
      <c r="C445" s="1">
        <v>70</v>
      </c>
      <c r="D445" s="1">
        <v>0</v>
      </c>
      <c r="E445" s="1">
        <v>0</v>
      </c>
      <c r="F445" s="1">
        <v>30.5</v>
      </c>
      <c r="G445" s="1">
        <v>0.95499999999999996</v>
      </c>
      <c r="H445" s="1">
        <v>33</v>
      </c>
      <c r="I445" s="1">
        <v>1</v>
      </c>
      <c r="J445" s="1" t="str">
        <f>IFERROR(VLOOKUP(K445,[1]diabetes_Recognition!$A:$B,2,FALSE),"Not Sampled")</f>
        <v>Not Sampled</v>
      </c>
      <c r="K445" s="1">
        <v>443</v>
      </c>
      <c r="L445" s="1" t="str">
        <f>LOOKUP(A445,Sheet2!$D$4:$E$9)</f>
        <v>8+</v>
      </c>
      <c r="M445" t="str">
        <f>LOOKUP(B445,Sheet2!$G$4:$H$9)</f>
        <v>100-125</v>
      </c>
      <c r="N445" t="str">
        <f>LOOKUP(C445,Sheet2!$J$4:$K$8)</f>
        <v>70-79</v>
      </c>
      <c r="O445" t="str">
        <f>LOOKUP(D445,Sheet2!$M$4:$N$8)</f>
        <v>Unknown</v>
      </c>
      <c r="P445" t="str">
        <f>LOOKUP(E445,Sheet2!$P$4:$Q$9)</f>
        <v>Unknown</v>
      </c>
      <c r="Q445" t="str">
        <f>LOOKUP(F445,Sheet2!$S$4:$T$8)</f>
        <v>26-30</v>
      </c>
      <c r="R445" t="str">
        <f>LOOKUP(G445,Sheet2!$V$4:$W$7)</f>
        <v>0.7+</v>
      </c>
      <c r="S445" t="str">
        <f>LOOKUP(H445,Sheet2!$Z$4:$AA$7)</f>
        <v>26-35</v>
      </c>
      <c r="T445" t="str">
        <f t="shared" si="18"/>
        <v>Positive</v>
      </c>
      <c r="U445" t="str">
        <f t="shared" si="19"/>
        <v>Not Sampled</v>
      </c>
      <c r="V445" s="1" t="str">
        <f t="shared" si="20"/>
        <v>Not Sampled</v>
      </c>
    </row>
    <row r="446" spans="1:22" x14ac:dyDescent="0.25">
      <c r="A446" s="1">
        <v>4</v>
      </c>
      <c r="B446" s="1">
        <v>117</v>
      </c>
      <c r="C446" s="1">
        <v>62</v>
      </c>
      <c r="D446" s="1">
        <v>12</v>
      </c>
      <c r="E446" s="1">
        <v>0</v>
      </c>
      <c r="F446" s="1">
        <v>29.7</v>
      </c>
      <c r="G446" s="1">
        <v>0.38</v>
      </c>
      <c r="H446" s="1">
        <v>30</v>
      </c>
      <c r="I446" s="1">
        <v>1</v>
      </c>
      <c r="J446" s="1" t="str">
        <f>IFERROR(VLOOKUP(K446,[1]diabetes_Recognition!$A:$B,2,FALSE),"Not Sampled")</f>
        <v>Not Sampled</v>
      </c>
      <c r="K446" s="1">
        <v>444</v>
      </c>
      <c r="L446" s="1" t="str">
        <f>LOOKUP(A446,Sheet2!$D$4:$E$9)</f>
        <v>3-4</v>
      </c>
      <c r="M446" t="str">
        <f>LOOKUP(B446,Sheet2!$G$4:$H$9)</f>
        <v>100-125</v>
      </c>
      <c r="N446" t="str">
        <f>LOOKUP(C446,Sheet2!$J$4:$K$8)</f>
        <v>60-69</v>
      </c>
      <c r="O446" t="str">
        <f>LOOKUP(D446,Sheet2!$M$4:$N$8)</f>
        <v>10-30</v>
      </c>
      <c r="P446" t="str">
        <f>LOOKUP(E446,Sheet2!$P$4:$Q$9)</f>
        <v>Unknown</v>
      </c>
      <c r="Q446" t="str">
        <f>LOOKUP(F446,Sheet2!$S$4:$T$8)</f>
        <v>26-30</v>
      </c>
      <c r="R446" t="str">
        <f>LOOKUP(G446,Sheet2!$V$4:$W$7)</f>
        <v>0.25 - 0.39</v>
      </c>
      <c r="S446" t="str">
        <f>LOOKUP(H446,Sheet2!$Z$4:$AA$7)</f>
        <v>26-35</v>
      </c>
      <c r="T446" t="str">
        <f t="shared" si="18"/>
        <v>Positive</v>
      </c>
      <c r="U446" t="str">
        <f t="shared" si="19"/>
        <v>Not Sampled</v>
      </c>
      <c r="V446" s="1" t="str">
        <f t="shared" si="20"/>
        <v>Not Sampled</v>
      </c>
    </row>
    <row r="447" spans="1:22" x14ac:dyDescent="0.25">
      <c r="A447" s="1">
        <v>0</v>
      </c>
      <c r="B447" s="1">
        <v>180</v>
      </c>
      <c r="C447" s="1">
        <v>78</v>
      </c>
      <c r="D447" s="1">
        <v>63</v>
      </c>
      <c r="E447" s="1">
        <v>14</v>
      </c>
      <c r="F447" s="1">
        <v>59.4</v>
      </c>
      <c r="G447" s="1">
        <v>2.42</v>
      </c>
      <c r="H447" s="1">
        <v>25</v>
      </c>
      <c r="I447" s="1">
        <v>1</v>
      </c>
      <c r="J447" s="1" t="str">
        <f>IFERROR(VLOOKUP(K447,[1]diabetes_Recognition!$A:$B,2,FALSE),"Not Sampled")</f>
        <v>Not Sampled</v>
      </c>
      <c r="K447" s="1">
        <v>445</v>
      </c>
      <c r="L447" s="1">
        <f>LOOKUP(A447,Sheet2!$D$4:$E$9)</f>
        <v>0</v>
      </c>
      <c r="M447" t="str">
        <f>LOOKUP(B447,Sheet2!$G$4:$H$9)</f>
        <v>176-200</v>
      </c>
      <c r="N447" t="str">
        <f>LOOKUP(C447,Sheet2!$J$4:$K$8)</f>
        <v>70-79</v>
      </c>
      <c r="O447" t="str">
        <f>LOOKUP(D447,Sheet2!$M$4:$N$8)</f>
        <v>40+</v>
      </c>
      <c r="P447" t="str">
        <f>LOOKUP(E447,Sheet2!$P$4:$Q$9)</f>
        <v>1-99</v>
      </c>
      <c r="Q447" t="str">
        <f>LOOKUP(F447,Sheet2!$S$4:$T$8)</f>
        <v>36+</v>
      </c>
      <c r="R447" t="str">
        <f>LOOKUP(G447,Sheet2!$V$4:$W$7)</f>
        <v>0.7+</v>
      </c>
      <c r="S447" t="str">
        <f>LOOKUP(H447,Sheet2!$Z$4:$AA$7)</f>
        <v>&lt;=25</v>
      </c>
      <c r="T447" t="str">
        <f t="shared" si="18"/>
        <v>Positive</v>
      </c>
      <c r="U447" t="str">
        <f t="shared" si="19"/>
        <v>Not Sampled</v>
      </c>
      <c r="V447" s="1" t="str">
        <f t="shared" si="20"/>
        <v>Not Sampled</v>
      </c>
    </row>
    <row r="448" spans="1:22" x14ac:dyDescent="0.25">
      <c r="A448" s="1">
        <v>1</v>
      </c>
      <c r="B448" s="1">
        <v>100</v>
      </c>
      <c r="C448" s="1">
        <v>72</v>
      </c>
      <c r="D448" s="1">
        <v>12</v>
      </c>
      <c r="E448" s="1">
        <v>70</v>
      </c>
      <c r="F448" s="1">
        <v>25.3</v>
      </c>
      <c r="G448" s="1">
        <v>0.65800000000000003</v>
      </c>
      <c r="H448" s="1">
        <v>28</v>
      </c>
      <c r="I448" s="1">
        <v>0</v>
      </c>
      <c r="J448" s="1">
        <f>IFERROR(VLOOKUP(K448,[1]diabetes_Recognition!$A:$B,2,FALSE),"Not Sampled")</f>
        <v>0</v>
      </c>
      <c r="K448" s="1">
        <v>446</v>
      </c>
      <c r="L448" s="1">
        <f>LOOKUP(A448,Sheet2!$D$4:$E$9)</f>
        <v>1</v>
      </c>
      <c r="M448" t="str">
        <f>LOOKUP(B448,Sheet2!$G$4:$H$9)</f>
        <v>100-125</v>
      </c>
      <c r="N448" t="str">
        <f>LOOKUP(C448,Sheet2!$J$4:$K$8)</f>
        <v>70-79</v>
      </c>
      <c r="O448" t="str">
        <f>LOOKUP(D448,Sheet2!$M$4:$N$8)</f>
        <v>10-30</v>
      </c>
      <c r="P448" t="str">
        <f>LOOKUP(E448,Sheet2!$P$4:$Q$9)</f>
        <v>1-99</v>
      </c>
      <c r="Q448" t="str">
        <f>LOOKUP(F448,Sheet2!$S$4:$T$8)</f>
        <v>1-25</v>
      </c>
      <c r="R448" t="str">
        <f>LOOKUP(G448,Sheet2!$V$4:$W$7)</f>
        <v>0.4 - 0.69</v>
      </c>
      <c r="S448" t="str">
        <f>LOOKUP(H448,Sheet2!$Z$4:$AA$7)</f>
        <v>26-35</v>
      </c>
      <c r="T448" t="str">
        <f t="shared" si="18"/>
        <v>Negative</v>
      </c>
      <c r="U448" t="str">
        <f t="shared" si="19"/>
        <v>Negative</v>
      </c>
      <c r="V448" s="1" t="str">
        <f t="shared" si="20"/>
        <v>Accurate Prediction</v>
      </c>
    </row>
    <row r="449" spans="1:22" x14ac:dyDescent="0.25">
      <c r="A449" s="1">
        <v>0</v>
      </c>
      <c r="B449" s="1">
        <v>95</v>
      </c>
      <c r="C449" s="1">
        <v>80</v>
      </c>
      <c r="D449" s="1">
        <v>45</v>
      </c>
      <c r="E449" s="1">
        <v>92</v>
      </c>
      <c r="F449" s="1">
        <v>36.5</v>
      </c>
      <c r="G449" s="1">
        <v>0.33</v>
      </c>
      <c r="H449" s="1">
        <v>26</v>
      </c>
      <c r="I449" s="1">
        <v>0</v>
      </c>
      <c r="J449" s="1">
        <f>IFERROR(VLOOKUP(K449,[1]diabetes_Recognition!$A:$B,2,FALSE),"Not Sampled")</f>
        <v>0</v>
      </c>
      <c r="K449" s="1">
        <v>447</v>
      </c>
      <c r="L449" s="1">
        <f>LOOKUP(A449,Sheet2!$D$4:$E$9)</f>
        <v>0</v>
      </c>
      <c r="M449" t="str">
        <f>LOOKUP(B449,Sheet2!$G$4:$H$9)</f>
        <v>1-99</v>
      </c>
      <c r="N449" t="str">
        <f>LOOKUP(C449,Sheet2!$J$4:$K$8)</f>
        <v>80+</v>
      </c>
      <c r="O449" t="str">
        <f>LOOKUP(D449,Sheet2!$M$4:$N$8)</f>
        <v>40+</v>
      </c>
      <c r="P449" t="str">
        <f>LOOKUP(E449,Sheet2!$P$4:$Q$9)</f>
        <v>1-99</v>
      </c>
      <c r="Q449" t="str">
        <f>LOOKUP(F449,Sheet2!$S$4:$T$8)</f>
        <v>36+</v>
      </c>
      <c r="R449" t="str">
        <f>LOOKUP(G449,Sheet2!$V$4:$W$7)</f>
        <v>0.25 - 0.39</v>
      </c>
      <c r="S449" t="str">
        <f>LOOKUP(H449,Sheet2!$Z$4:$AA$7)</f>
        <v>26-35</v>
      </c>
      <c r="T449" t="str">
        <f t="shared" si="18"/>
        <v>Negative</v>
      </c>
      <c r="U449" t="str">
        <f t="shared" si="19"/>
        <v>Negative</v>
      </c>
      <c r="V449" s="1" t="str">
        <f t="shared" si="20"/>
        <v>Accurate Prediction</v>
      </c>
    </row>
    <row r="450" spans="1:22" x14ac:dyDescent="0.25">
      <c r="A450" s="1">
        <v>0</v>
      </c>
      <c r="B450" s="1">
        <v>104</v>
      </c>
      <c r="C450" s="1">
        <v>64</v>
      </c>
      <c r="D450" s="1">
        <v>37</v>
      </c>
      <c r="E450" s="1">
        <v>64</v>
      </c>
      <c r="F450" s="1">
        <v>33.6</v>
      </c>
      <c r="G450" s="1">
        <v>0.51</v>
      </c>
      <c r="H450" s="1">
        <v>22</v>
      </c>
      <c r="I450" s="1">
        <v>1</v>
      </c>
      <c r="J450" s="1" t="str">
        <f>IFERROR(VLOOKUP(K450,[1]diabetes_Recognition!$A:$B,2,FALSE),"Not Sampled")</f>
        <v>Not Sampled</v>
      </c>
      <c r="K450" s="1">
        <v>448</v>
      </c>
      <c r="L450" s="1">
        <f>LOOKUP(A450,Sheet2!$D$4:$E$9)</f>
        <v>0</v>
      </c>
      <c r="M450" t="str">
        <f>LOOKUP(B450,Sheet2!$G$4:$H$9)</f>
        <v>100-125</v>
      </c>
      <c r="N450" t="str">
        <f>LOOKUP(C450,Sheet2!$J$4:$K$8)</f>
        <v>60-69</v>
      </c>
      <c r="O450" t="str">
        <f>LOOKUP(D450,Sheet2!$M$4:$N$8)</f>
        <v>30-39</v>
      </c>
      <c r="P450" t="str">
        <f>LOOKUP(E450,Sheet2!$P$4:$Q$9)</f>
        <v>1-99</v>
      </c>
      <c r="Q450" t="str">
        <f>LOOKUP(F450,Sheet2!$S$4:$T$8)</f>
        <v>31-35</v>
      </c>
      <c r="R450" t="str">
        <f>LOOKUP(G450,Sheet2!$V$4:$W$7)</f>
        <v>0.4 - 0.69</v>
      </c>
      <c r="S450" t="str">
        <f>LOOKUP(H450,Sheet2!$Z$4:$AA$7)</f>
        <v>&lt;=25</v>
      </c>
      <c r="T450" t="str">
        <f t="shared" si="18"/>
        <v>Positive</v>
      </c>
      <c r="U450" t="str">
        <f t="shared" si="19"/>
        <v>Not Sampled</v>
      </c>
      <c r="V450" s="1" t="str">
        <f t="shared" si="20"/>
        <v>Not Sampled</v>
      </c>
    </row>
    <row r="451" spans="1:22" x14ac:dyDescent="0.25">
      <c r="A451" s="1">
        <v>0</v>
      </c>
      <c r="B451" s="1">
        <v>120</v>
      </c>
      <c r="C451" s="1">
        <v>74</v>
      </c>
      <c r="D451" s="1">
        <v>18</v>
      </c>
      <c r="E451" s="1">
        <v>63</v>
      </c>
      <c r="F451" s="1">
        <v>30.5</v>
      </c>
      <c r="G451" s="1">
        <v>0.28499999999999998</v>
      </c>
      <c r="H451" s="1">
        <v>26</v>
      </c>
      <c r="I451" s="1">
        <v>0</v>
      </c>
      <c r="J451" s="1" t="str">
        <f>IFERROR(VLOOKUP(K451,[1]diabetes_Recognition!$A:$B,2,FALSE),"Not Sampled")</f>
        <v>Not Sampled</v>
      </c>
      <c r="K451" s="1">
        <v>449</v>
      </c>
      <c r="L451" s="1">
        <f>LOOKUP(A451,Sheet2!$D$4:$E$9)</f>
        <v>0</v>
      </c>
      <c r="M451" t="str">
        <f>LOOKUP(B451,Sheet2!$G$4:$H$9)</f>
        <v>100-125</v>
      </c>
      <c r="N451" t="str">
        <f>LOOKUP(C451,Sheet2!$J$4:$K$8)</f>
        <v>70-79</v>
      </c>
      <c r="O451" t="str">
        <f>LOOKUP(D451,Sheet2!$M$4:$N$8)</f>
        <v>10-30</v>
      </c>
      <c r="P451" t="str">
        <f>LOOKUP(E451,Sheet2!$P$4:$Q$9)</f>
        <v>1-99</v>
      </c>
      <c r="Q451" t="str">
        <f>LOOKUP(F451,Sheet2!$S$4:$T$8)</f>
        <v>26-30</v>
      </c>
      <c r="R451" t="str">
        <f>LOOKUP(G451,Sheet2!$V$4:$W$7)</f>
        <v>0.25 - 0.39</v>
      </c>
      <c r="S451" t="str">
        <f>LOOKUP(H451,Sheet2!$Z$4:$AA$7)</f>
        <v>26-35</v>
      </c>
      <c r="T451" t="str">
        <f t="shared" ref="T451:T514" si="21">IF(I451=1,"Positive","Negative")</f>
        <v>Negative</v>
      </c>
      <c r="U451" t="str">
        <f t="shared" ref="U451:U514" si="22">IF(J451=1,"Positive",(IF(J451=0,"Negative","Not Sampled")))</f>
        <v>Not Sampled</v>
      </c>
      <c r="V451" s="1" t="str">
        <f t="shared" ref="V451:V514" si="23">IF(U451="Not Sampled","Not Sampled",IF(T451=U451,"Accurate Prediction","Inaccurate Prediction"))</f>
        <v>Not Sampled</v>
      </c>
    </row>
    <row r="452" spans="1:22" x14ac:dyDescent="0.25">
      <c r="A452" s="1">
        <v>1</v>
      </c>
      <c r="B452" s="1">
        <v>82</v>
      </c>
      <c r="C452" s="1">
        <v>64</v>
      </c>
      <c r="D452" s="1">
        <v>13</v>
      </c>
      <c r="E452" s="1">
        <v>95</v>
      </c>
      <c r="F452" s="1">
        <v>21.2</v>
      </c>
      <c r="G452" s="1">
        <v>0.41499999999999998</v>
      </c>
      <c r="H452" s="1">
        <v>23</v>
      </c>
      <c r="I452" s="1">
        <v>0</v>
      </c>
      <c r="J452" s="1" t="str">
        <f>IFERROR(VLOOKUP(K452,[1]diabetes_Recognition!$A:$B,2,FALSE),"Not Sampled")</f>
        <v>Not Sampled</v>
      </c>
      <c r="K452" s="1">
        <v>450</v>
      </c>
      <c r="L452" s="1">
        <f>LOOKUP(A452,Sheet2!$D$4:$E$9)</f>
        <v>1</v>
      </c>
      <c r="M452" t="str">
        <f>LOOKUP(B452,Sheet2!$G$4:$H$9)</f>
        <v>1-99</v>
      </c>
      <c r="N452" t="str">
        <f>LOOKUP(C452,Sheet2!$J$4:$K$8)</f>
        <v>60-69</v>
      </c>
      <c r="O452" t="str">
        <f>LOOKUP(D452,Sheet2!$M$4:$N$8)</f>
        <v>10-30</v>
      </c>
      <c r="P452" t="str">
        <f>LOOKUP(E452,Sheet2!$P$4:$Q$9)</f>
        <v>1-99</v>
      </c>
      <c r="Q452" t="str">
        <f>LOOKUP(F452,Sheet2!$S$4:$T$8)</f>
        <v>1-25</v>
      </c>
      <c r="R452" t="str">
        <f>LOOKUP(G452,Sheet2!$V$4:$W$7)</f>
        <v>0.4 - 0.69</v>
      </c>
      <c r="S452" t="str">
        <f>LOOKUP(H452,Sheet2!$Z$4:$AA$7)</f>
        <v>&lt;=25</v>
      </c>
      <c r="T452" t="str">
        <f t="shared" si="21"/>
        <v>Negative</v>
      </c>
      <c r="U452" t="str">
        <f t="shared" si="22"/>
        <v>Not Sampled</v>
      </c>
      <c r="V452" s="1" t="str">
        <f t="shared" si="23"/>
        <v>Not Sampled</v>
      </c>
    </row>
    <row r="453" spans="1:22" x14ac:dyDescent="0.25">
      <c r="A453" s="1">
        <v>2</v>
      </c>
      <c r="B453" s="1">
        <v>134</v>
      </c>
      <c r="C453" s="1">
        <v>70</v>
      </c>
      <c r="D453" s="1">
        <v>0</v>
      </c>
      <c r="E453" s="1">
        <v>0</v>
      </c>
      <c r="F453" s="1">
        <v>28.9</v>
      </c>
      <c r="G453" s="1">
        <v>0.54200000000000004</v>
      </c>
      <c r="H453" s="1">
        <v>23</v>
      </c>
      <c r="I453" s="1">
        <v>1</v>
      </c>
      <c r="J453" s="1" t="str">
        <f>IFERROR(VLOOKUP(K453,[1]diabetes_Recognition!$A:$B,2,FALSE),"Not Sampled")</f>
        <v>Not Sampled</v>
      </c>
      <c r="K453" s="1">
        <v>451</v>
      </c>
      <c r="L453" s="1">
        <f>LOOKUP(A453,Sheet2!$D$4:$E$9)</f>
        <v>2</v>
      </c>
      <c r="M453" t="str">
        <f>LOOKUP(B453,Sheet2!$G$4:$H$9)</f>
        <v>126-150</v>
      </c>
      <c r="N453" t="str">
        <f>LOOKUP(C453,Sheet2!$J$4:$K$8)</f>
        <v>70-79</v>
      </c>
      <c r="O453" t="str">
        <f>LOOKUP(D453,Sheet2!$M$4:$N$8)</f>
        <v>Unknown</v>
      </c>
      <c r="P453" t="str">
        <f>LOOKUP(E453,Sheet2!$P$4:$Q$9)</f>
        <v>Unknown</v>
      </c>
      <c r="Q453" t="str">
        <f>LOOKUP(F453,Sheet2!$S$4:$T$8)</f>
        <v>26-30</v>
      </c>
      <c r="R453" t="str">
        <f>LOOKUP(G453,Sheet2!$V$4:$W$7)</f>
        <v>0.4 - 0.69</v>
      </c>
      <c r="S453" t="str">
        <f>LOOKUP(H453,Sheet2!$Z$4:$AA$7)</f>
        <v>&lt;=25</v>
      </c>
      <c r="T453" t="str">
        <f t="shared" si="21"/>
        <v>Positive</v>
      </c>
      <c r="U453" t="str">
        <f t="shared" si="22"/>
        <v>Not Sampled</v>
      </c>
      <c r="V453" s="1" t="str">
        <f t="shared" si="23"/>
        <v>Not Sampled</v>
      </c>
    </row>
    <row r="454" spans="1:22" x14ac:dyDescent="0.25">
      <c r="A454" s="1">
        <v>0</v>
      </c>
      <c r="B454" s="1">
        <v>91</v>
      </c>
      <c r="C454" s="1">
        <v>68</v>
      </c>
      <c r="D454" s="1">
        <v>32</v>
      </c>
      <c r="E454" s="1">
        <v>210</v>
      </c>
      <c r="F454" s="1">
        <v>39.9</v>
      </c>
      <c r="G454" s="1">
        <v>0.38100000000000001</v>
      </c>
      <c r="H454" s="1">
        <v>25</v>
      </c>
      <c r="I454" s="1">
        <v>0</v>
      </c>
      <c r="J454" s="1" t="str">
        <f>IFERROR(VLOOKUP(K454,[1]diabetes_Recognition!$A:$B,2,FALSE),"Not Sampled")</f>
        <v>Not Sampled</v>
      </c>
      <c r="K454" s="1">
        <v>452</v>
      </c>
      <c r="L454" s="1">
        <f>LOOKUP(A454,Sheet2!$D$4:$E$9)</f>
        <v>0</v>
      </c>
      <c r="M454" t="str">
        <f>LOOKUP(B454,Sheet2!$G$4:$H$9)</f>
        <v>1-99</v>
      </c>
      <c r="N454" t="str">
        <f>LOOKUP(C454,Sheet2!$J$4:$K$8)</f>
        <v>60-69</v>
      </c>
      <c r="O454" t="str">
        <f>LOOKUP(D454,Sheet2!$M$4:$N$8)</f>
        <v>30-39</v>
      </c>
      <c r="P454" t="str">
        <f>LOOKUP(E454,Sheet2!$P$4:$Q$9)</f>
        <v>200-399</v>
      </c>
      <c r="Q454" t="str">
        <f>LOOKUP(F454,Sheet2!$S$4:$T$8)</f>
        <v>36+</v>
      </c>
      <c r="R454" t="str">
        <f>LOOKUP(G454,Sheet2!$V$4:$W$7)</f>
        <v>0.25 - 0.39</v>
      </c>
      <c r="S454" t="str">
        <f>LOOKUP(H454,Sheet2!$Z$4:$AA$7)</f>
        <v>&lt;=25</v>
      </c>
      <c r="T454" t="str">
        <f t="shared" si="21"/>
        <v>Negative</v>
      </c>
      <c r="U454" t="str">
        <f t="shared" si="22"/>
        <v>Not Sampled</v>
      </c>
      <c r="V454" s="1" t="str">
        <f t="shared" si="23"/>
        <v>Not Sampled</v>
      </c>
    </row>
    <row r="455" spans="1:22" x14ac:dyDescent="0.25">
      <c r="A455" s="1">
        <v>2</v>
      </c>
      <c r="B455" s="1">
        <v>119</v>
      </c>
      <c r="C455" s="1">
        <v>0</v>
      </c>
      <c r="D455" s="1">
        <v>0</v>
      </c>
      <c r="E455" s="1">
        <v>0</v>
      </c>
      <c r="F455" s="1">
        <v>19.600000000000001</v>
      </c>
      <c r="G455" s="1">
        <v>0.83199999999999996</v>
      </c>
      <c r="H455" s="1">
        <v>72</v>
      </c>
      <c r="I455" s="1">
        <v>0</v>
      </c>
      <c r="J455" s="1">
        <f>IFERROR(VLOOKUP(K455,[1]diabetes_Recognition!$A:$B,2,FALSE),"Not Sampled")</f>
        <v>0</v>
      </c>
      <c r="K455" s="1">
        <v>453</v>
      </c>
      <c r="L455" s="1">
        <f>LOOKUP(A455,Sheet2!$D$4:$E$9)</f>
        <v>2</v>
      </c>
      <c r="M455" t="str">
        <f>LOOKUP(B455,Sheet2!$G$4:$H$9)</f>
        <v>100-125</v>
      </c>
      <c r="N455" t="str">
        <f>LOOKUP(C455,Sheet2!$J$4:$K$8)</f>
        <v>Unknown</v>
      </c>
      <c r="O455" t="str">
        <f>LOOKUP(D455,Sheet2!$M$4:$N$8)</f>
        <v>Unknown</v>
      </c>
      <c r="P455" t="str">
        <f>LOOKUP(E455,Sheet2!$P$4:$Q$9)</f>
        <v>Unknown</v>
      </c>
      <c r="Q455" t="str">
        <f>LOOKUP(F455,Sheet2!$S$4:$T$8)</f>
        <v>1-25</v>
      </c>
      <c r="R455" t="str">
        <f>LOOKUP(G455,Sheet2!$V$4:$W$7)</f>
        <v>0.7+</v>
      </c>
      <c r="S455" t="str">
        <f>LOOKUP(H455,Sheet2!$Z$4:$AA$7)</f>
        <v>46+</v>
      </c>
      <c r="T455" t="str">
        <f t="shared" si="21"/>
        <v>Negative</v>
      </c>
      <c r="U455" t="str">
        <f t="shared" si="22"/>
        <v>Negative</v>
      </c>
      <c r="V455" s="1" t="str">
        <f t="shared" si="23"/>
        <v>Accurate Prediction</v>
      </c>
    </row>
    <row r="456" spans="1:22" x14ac:dyDescent="0.25">
      <c r="A456" s="1">
        <v>2</v>
      </c>
      <c r="B456" s="1">
        <v>100</v>
      </c>
      <c r="C456" s="1">
        <v>54</v>
      </c>
      <c r="D456" s="1">
        <v>28</v>
      </c>
      <c r="E456" s="1">
        <v>105</v>
      </c>
      <c r="F456" s="1">
        <v>37.799999999999997</v>
      </c>
      <c r="G456" s="1">
        <v>0.498</v>
      </c>
      <c r="H456" s="1">
        <v>24</v>
      </c>
      <c r="I456" s="1">
        <v>0</v>
      </c>
      <c r="J456" s="1" t="str">
        <f>IFERROR(VLOOKUP(K456,[1]diabetes_Recognition!$A:$B,2,FALSE),"Not Sampled")</f>
        <v>Not Sampled</v>
      </c>
      <c r="K456" s="1">
        <v>454</v>
      </c>
      <c r="L456" s="1">
        <f>LOOKUP(A456,Sheet2!$D$4:$E$9)</f>
        <v>2</v>
      </c>
      <c r="M456" t="str">
        <f>LOOKUP(B456,Sheet2!$G$4:$H$9)</f>
        <v>100-125</v>
      </c>
      <c r="N456" t="str">
        <f>LOOKUP(C456,Sheet2!$J$4:$K$8)</f>
        <v>1-59</v>
      </c>
      <c r="O456" t="str">
        <f>LOOKUP(D456,Sheet2!$M$4:$N$8)</f>
        <v>10-30</v>
      </c>
      <c r="P456" t="str">
        <f>LOOKUP(E456,Sheet2!$P$4:$Q$9)</f>
        <v>100-199</v>
      </c>
      <c r="Q456" t="str">
        <f>LOOKUP(F456,Sheet2!$S$4:$T$8)</f>
        <v>36+</v>
      </c>
      <c r="R456" t="str">
        <f>LOOKUP(G456,Sheet2!$V$4:$W$7)</f>
        <v>0.4 - 0.69</v>
      </c>
      <c r="S456" t="str">
        <f>LOOKUP(H456,Sheet2!$Z$4:$AA$7)</f>
        <v>&lt;=25</v>
      </c>
      <c r="T456" t="str">
        <f t="shared" si="21"/>
        <v>Negative</v>
      </c>
      <c r="U456" t="str">
        <f t="shared" si="22"/>
        <v>Not Sampled</v>
      </c>
      <c r="V456" s="1" t="str">
        <f t="shared" si="23"/>
        <v>Not Sampled</v>
      </c>
    </row>
    <row r="457" spans="1:22" x14ac:dyDescent="0.25">
      <c r="A457" s="1">
        <v>14</v>
      </c>
      <c r="B457" s="1">
        <v>175</v>
      </c>
      <c r="C457" s="1">
        <v>62</v>
      </c>
      <c r="D457" s="1">
        <v>30</v>
      </c>
      <c r="E457" s="1">
        <v>0</v>
      </c>
      <c r="F457" s="1">
        <v>33.6</v>
      </c>
      <c r="G457" s="1">
        <v>0.21199999999999999</v>
      </c>
      <c r="H457" s="1">
        <v>38</v>
      </c>
      <c r="I457" s="1">
        <v>1</v>
      </c>
      <c r="J457" s="1" t="str">
        <f>IFERROR(VLOOKUP(K457,[1]diabetes_Recognition!$A:$B,2,FALSE),"Not Sampled")</f>
        <v>Not Sampled</v>
      </c>
      <c r="K457" s="1">
        <v>455</v>
      </c>
      <c r="L457" s="1" t="str">
        <f>LOOKUP(A457,Sheet2!$D$4:$E$9)</f>
        <v>8+</v>
      </c>
      <c r="M457" t="str">
        <f>LOOKUP(B457,Sheet2!$G$4:$H$9)</f>
        <v>151-175</v>
      </c>
      <c r="N457" t="str">
        <f>LOOKUP(C457,Sheet2!$J$4:$K$8)</f>
        <v>60-69</v>
      </c>
      <c r="O457" t="str">
        <f>LOOKUP(D457,Sheet2!$M$4:$N$8)</f>
        <v>30-39</v>
      </c>
      <c r="P457" t="str">
        <f>LOOKUP(E457,Sheet2!$P$4:$Q$9)</f>
        <v>Unknown</v>
      </c>
      <c r="Q457" t="str">
        <f>LOOKUP(F457,Sheet2!$S$4:$T$8)</f>
        <v>31-35</v>
      </c>
      <c r="R457" t="str">
        <f>LOOKUP(G457,Sheet2!$V$4:$W$7)</f>
        <v>0.0 - 0.249</v>
      </c>
      <c r="S457" t="str">
        <f>LOOKUP(H457,Sheet2!$Z$4:$AA$7)</f>
        <v>36-45</v>
      </c>
      <c r="T457" t="str">
        <f t="shared" si="21"/>
        <v>Positive</v>
      </c>
      <c r="U457" t="str">
        <f t="shared" si="22"/>
        <v>Not Sampled</v>
      </c>
      <c r="V457" s="1" t="str">
        <f t="shared" si="23"/>
        <v>Not Sampled</v>
      </c>
    </row>
    <row r="458" spans="1:22" x14ac:dyDescent="0.25">
      <c r="A458" s="1">
        <v>1</v>
      </c>
      <c r="B458" s="1">
        <v>135</v>
      </c>
      <c r="C458" s="1">
        <v>54</v>
      </c>
      <c r="D458" s="1">
        <v>0</v>
      </c>
      <c r="E458" s="1">
        <v>0</v>
      </c>
      <c r="F458" s="1">
        <v>26.7</v>
      </c>
      <c r="G458" s="1">
        <v>0.68700000000000006</v>
      </c>
      <c r="H458" s="1">
        <v>62</v>
      </c>
      <c r="I458" s="1">
        <v>0</v>
      </c>
      <c r="J458" s="1" t="str">
        <f>IFERROR(VLOOKUP(K458,[1]diabetes_Recognition!$A:$B,2,FALSE),"Not Sampled")</f>
        <v>Not Sampled</v>
      </c>
      <c r="K458" s="1">
        <v>456</v>
      </c>
      <c r="L458" s="1">
        <f>LOOKUP(A458,Sheet2!$D$4:$E$9)</f>
        <v>1</v>
      </c>
      <c r="M458" t="str">
        <f>LOOKUP(B458,Sheet2!$G$4:$H$9)</f>
        <v>126-150</v>
      </c>
      <c r="N458" t="str">
        <f>LOOKUP(C458,Sheet2!$J$4:$K$8)</f>
        <v>1-59</v>
      </c>
      <c r="O458" t="str">
        <f>LOOKUP(D458,Sheet2!$M$4:$N$8)</f>
        <v>Unknown</v>
      </c>
      <c r="P458" t="str">
        <f>LOOKUP(E458,Sheet2!$P$4:$Q$9)</f>
        <v>Unknown</v>
      </c>
      <c r="Q458" t="str">
        <f>LOOKUP(F458,Sheet2!$S$4:$T$8)</f>
        <v>26-30</v>
      </c>
      <c r="R458" t="str">
        <f>LOOKUP(G458,Sheet2!$V$4:$W$7)</f>
        <v>0.4 - 0.69</v>
      </c>
      <c r="S458" t="str">
        <f>LOOKUP(H458,Sheet2!$Z$4:$AA$7)</f>
        <v>46+</v>
      </c>
      <c r="T458" t="str">
        <f t="shared" si="21"/>
        <v>Negative</v>
      </c>
      <c r="U458" t="str">
        <f t="shared" si="22"/>
        <v>Not Sampled</v>
      </c>
      <c r="V458" s="1" t="str">
        <f t="shared" si="23"/>
        <v>Not Sampled</v>
      </c>
    </row>
    <row r="459" spans="1:22" x14ac:dyDescent="0.25">
      <c r="A459" s="1">
        <v>5</v>
      </c>
      <c r="B459" s="1">
        <v>86</v>
      </c>
      <c r="C459" s="1">
        <v>68</v>
      </c>
      <c r="D459" s="1">
        <v>28</v>
      </c>
      <c r="E459" s="1">
        <v>71</v>
      </c>
      <c r="F459" s="1">
        <v>30.2</v>
      </c>
      <c r="G459" s="1">
        <v>0.36399999999999999</v>
      </c>
      <c r="H459" s="1">
        <v>24</v>
      </c>
      <c r="I459" s="1">
        <v>0</v>
      </c>
      <c r="J459" s="1" t="str">
        <f>IFERROR(VLOOKUP(K459,[1]diabetes_Recognition!$A:$B,2,FALSE),"Not Sampled")</f>
        <v>Not Sampled</v>
      </c>
      <c r="K459" s="1">
        <v>457</v>
      </c>
      <c r="L459" s="1" t="str">
        <f>LOOKUP(A459,Sheet2!$D$4:$E$9)</f>
        <v>5-7</v>
      </c>
      <c r="M459" t="str">
        <f>LOOKUP(B459,Sheet2!$G$4:$H$9)</f>
        <v>1-99</v>
      </c>
      <c r="N459" t="str">
        <f>LOOKUP(C459,Sheet2!$J$4:$K$8)</f>
        <v>60-69</v>
      </c>
      <c r="O459" t="str">
        <f>LOOKUP(D459,Sheet2!$M$4:$N$8)</f>
        <v>10-30</v>
      </c>
      <c r="P459" t="str">
        <f>LOOKUP(E459,Sheet2!$P$4:$Q$9)</f>
        <v>1-99</v>
      </c>
      <c r="Q459" t="str">
        <f>LOOKUP(F459,Sheet2!$S$4:$T$8)</f>
        <v>26-30</v>
      </c>
      <c r="R459" t="str">
        <f>LOOKUP(G459,Sheet2!$V$4:$W$7)</f>
        <v>0.25 - 0.39</v>
      </c>
      <c r="S459" t="str">
        <f>LOOKUP(H459,Sheet2!$Z$4:$AA$7)</f>
        <v>&lt;=25</v>
      </c>
      <c r="T459" t="str">
        <f t="shared" si="21"/>
        <v>Negative</v>
      </c>
      <c r="U459" t="str">
        <f t="shared" si="22"/>
        <v>Not Sampled</v>
      </c>
      <c r="V459" s="1" t="str">
        <f t="shared" si="23"/>
        <v>Not Sampled</v>
      </c>
    </row>
    <row r="460" spans="1:22" x14ac:dyDescent="0.25">
      <c r="A460" s="1">
        <v>10</v>
      </c>
      <c r="B460" s="1">
        <v>148</v>
      </c>
      <c r="C460" s="1">
        <v>84</v>
      </c>
      <c r="D460" s="1">
        <v>48</v>
      </c>
      <c r="E460" s="1">
        <v>237</v>
      </c>
      <c r="F460" s="1">
        <v>37.6</v>
      </c>
      <c r="G460" s="1">
        <v>1.0009999999999999</v>
      </c>
      <c r="H460" s="1">
        <v>51</v>
      </c>
      <c r="I460" s="1">
        <v>1</v>
      </c>
      <c r="J460" s="1" t="str">
        <f>IFERROR(VLOOKUP(K460,[1]diabetes_Recognition!$A:$B,2,FALSE),"Not Sampled")</f>
        <v>Not Sampled</v>
      </c>
      <c r="K460" s="1">
        <v>458</v>
      </c>
      <c r="L460" s="1" t="str">
        <f>LOOKUP(A460,Sheet2!$D$4:$E$9)</f>
        <v>8+</v>
      </c>
      <c r="M460" t="str">
        <f>LOOKUP(B460,Sheet2!$G$4:$H$9)</f>
        <v>126-150</v>
      </c>
      <c r="N460" t="str">
        <f>LOOKUP(C460,Sheet2!$J$4:$K$8)</f>
        <v>80+</v>
      </c>
      <c r="O460" t="str">
        <f>LOOKUP(D460,Sheet2!$M$4:$N$8)</f>
        <v>40+</v>
      </c>
      <c r="P460" t="str">
        <f>LOOKUP(E460,Sheet2!$P$4:$Q$9)</f>
        <v>200-399</v>
      </c>
      <c r="Q460" t="str">
        <f>LOOKUP(F460,Sheet2!$S$4:$T$8)</f>
        <v>36+</v>
      </c>
      <c r="R460" t="str">
        <f>LOOKUP(G460,Sheet2!$V$4:$W$7)</f>
        <v>0.7+</v>
      </c>
      <c r="S460" t="str">
        <f>LOOKUP(H460,Sheet2!$Z$4:$AA$7)</f>
        <v>46+</v>
      </c>
      <c r="T460" t="str">
        <f t="shared" si="21"/>
        <v>Positive</v>
      </c>
      <c r="U460" t="str">
        <f t="shared" si="22"/>
        <v>Not Sampled</v>
      </c>
      <c r="V460" s="1" t="str">
        <f t="shared" si="23"/>
        <v>Not Sampled</v>
      </c>
    </row>
    <row r="461" spans="1:22" x14ac:dyDescent="0.25">
      <c r="A461" s="1">
        <v>9</v>
      </c>
      <c r="B461" s="1">
        <v>134</v>
      </c>
      <c r="C461" s="1">
        <v>74</v>
      </c>
      <c r="D461" s="1">
        <v>33</v>
      </c>
      <c r="E461" s="1">
        <v>60</v>
      </c>
      <c r="F461" s="1">
        <v>25.9</v>
      </c>
      <c r="G461" s="1">
        <v>0.46</v>
      </c>
      <c r="H461" s="1">
        <v>81</v>
      </c>
      <c r="I461" s="1">
        <v>0</v>
      </c>
      <c r="J461" s="1" t="str">
        <f>IFERROR(VLOOKUP(K461,[1]diabetes_Recognition!$A:$B,2,FALSE),"Not Sampled")</f>
        <v>Not Sampled</v>
      </c>
      <c r="K461" s="1">
        <v>459</v>
      </c>
      <c r="L461" s="1" t="str">
        <f>LOOKUP(A461,Sheet2!$D$4:$E$9)</f>
        <v>8+</v>
      </c>
      <c r="M461" t="str">
        <f>LOOKUP(B461,Sheet2!$G$4:$H$9)</f>
        <v>126-150</v>
      </c>
      <c r="N461" t="str">
        <f>LOOKUP(C461,Sheet2!$J$4:$K$8)</f>
        <v>70-79</v>
      </c>
      <c r="O461" t="str">
        <f>LOOKUP(D461,Sheet2!$M$4:$N$8)</f>
        <v>30-39</v>
      </c>
      <c r="P461" t="str">
        <f>LOOKUP(E461,Sheet2!$P$4:$Q$9)</f>
        <v>1-99</v>
      </c>
      <c r="Q461" t="str">
        <f>LOOKUP(F461,Sheet2!$S$4:$T$8)</f>
        <v>1-25</v>
      </c>
      <c r="R461" t="str">
        <f>LOOKUP(G461,Sheet2!$V$4:$W$7)</f>
        <v>0.4 - 0.69</v>
      </c>
      <c r="S461" t="str">
        <f>LOOKUP(H461,Sheet2!$Z$4:$AA$7)</f>
        <v>46+</v>
      </c>
      <c r="T461" t="str">
        <f t="shared" si="21"/>
        <v>Negative</v>
      </c>
      <c r="U461" t="str">
        <f t="shared" si="22"/>
        <v>Not Sampled</v>
      </c>
      <c r="V461" s="1" t="str">
        <f t="shared" si="23"/>
        <v>Not Sampled</v>
      </c>
    </row>
    <row r="462" spans="1:22" x14ac:dyDescent="0.25">
      <c r="A462" s="1">
        <v>9</v>
      </c>
      <c r="B462" s="1">
        <v>120</v>
      </c>
      <c r="C462" s="1">
        <v>72</v>
      </c>
      <c r="D462" s="1">
        <v>22</v>
      </c>
      <c r="E462" s="1">
        <v>56</v>
      </c>
      <c r="F462" s="1">
        <v>20.8</v>
      </c>
      <c r="G462" s="1">
        <v>0.73299999999999998</v>
      </c>
      <c r="H462" s="1">
        <v>48</v>
      </c>
      <c r="I462" s="1">
        <v>0</v>
      </c>
      <c r="J462" s="1" t="str">
        <f>IFERROR(VLOOKUP(K462,[1]diabetes_Recognition!$A:$B,2,FALSE),"Not Sampled")</f>
        <v>Not Sampled</v>
      </c>
      <c r="K462" s="1">
        <v>460</v>
      </c>
      <c r="L462" s="1" t="str">
        <f>LOOKUP(A462,Sheet2!$D$4:$E$9)</f>
        <v>8+</v>
      </c>
      <c r="M462" t="str">
        <f>LOOKUP(B462,Sheet2!$G$4:$H$9)</f>
        <v>100-125</v>
      </c>
      <c r="N462" t="str">
        <f>LOOKUP(C462,Sheet2!$J$4:$K$8)</f>
        <v>70-79</v>
      </c>
      <c r="O462" t="str">
        <f>LOOKUP(D462,Sheet2!$M$4:$N$8)</f>
        <v>10-30</v>
      </c>
      <c r="P462" t="str">
        <f>LOOKUP(E462,Sheet2!$P$4:$Q$9)</f>
        <v>1-99</v>
      </c>
      <c r="Q462" t="str">
        <f>LOOKUP(F462,Sheet2!$S$4:$T$8)</f>
        <v>1-25</v>
      </c>
      <c r="R462" t="str">
        <f>LOOKUP(G462,Sheet2!$V$4:$W$7)</f>
        <v>0.7+</v>
      </c>
      <c r="S462" t="str">
        <f>LOOKUP(H462,Sheet2!$Z$4:$AA$7)</f>
        <v>46+</v>
      </c>
      <c r="T462" t="str">
        <f t="shared" si="21"/>
        <v>Negative</v>
      </c>
      <c r="U462" t="str">
        <f t="shared" si="22"/>
        <v>Not Sampled</v>
      </c>
      <c r="V462" s="1" t="str">
        <f t="shared" si="23"/>
        <v>Not Sampled</v>
      </c>
    </row>
    <row r="463" spans="1:22" x14ac:dyDescent="0.25">
      <c r="A463" s="1">
        <v>1</v>
      </c>
      <c r="B463" s="1">
        <v>71</v>
      </c>
      <c r="C463" s="1">
        <v>62</v>
      </c>
      <c r="D463" s="1">
        <v>0</v>
      </c>
      <c r="E463" s="1">
        <v>0</v>
      </c>
      <c r="F463" s="1">
        <v>21.8</v>
      </c>
      <c r="G463" s="1">
        <v>0.41599999999999998</v>
      </c>
      <c r="H463" s="1">
        <v>26</v>
      </c>
      <c r="I463" s="1">
        <v>0</v>
      </c>
      <c r="J463" s="1" t="str">
        <f>IFERROR(VLOOKUP(K463,[1]diabetes_Recognition!$A:$B,2,FALSE),"Not Sampled")</f>
        <v>Not Sampled</v>
      </c>
      <c r="K463" s="1">
        <v>461</v>
      </c>
      <c r="L463" s="1">
        <f>LOOKUP(A463,Sheet2!$D$4:$E$9)</f>
        <v>1</v>
      </c>
      <c r="M463" t="str">
        <f>LOOKUP(B463,Sheet2!$G$4:$H$9)</f>
        <v>1-99</v>
      </c>
      <c r="N463" t="str">
        <f>LOOKUP(C463,Sheet2!$J$4:$K$8)</f>
        <v>60-69</v>
      </c>
      <c r="O463" t="str">
        <f>LOOKUP(D463,Sheet2!$M$4:$N$8)</f>
        <v>Unknown</v>
      </c>
      <c r="P463" t="str">
        <f>LOOKUP(E463,Sheet2!$P$4:$Q$9)</f>
        <v>Unknown</v>
      </c>
      <c r="Q463" t="str">
        <f>LOOKUP(F463,Sheet2!$S$4:$T$8)</f>
        <v>1-25</v>
      </c>
      <c r="R463" t="str">
        <f>LOOKUP(G463,Sheet2!$V$4:$W$7)</f>
        <v>0.4 - 0.69</v>
      </c>
      <c r="S463" t="str">
        <f>LOOKUP(H463,Sheet2!$Z$4:$AA$7)</f>
        <v>26-35</v>
      </c>
      <c r="T463" t="str">
        <f t="shared" si="21"/>
        <v>Negative</v>
      </c>
      <c r="U463" t="str">
        <f t="shared" si="22"/>
        <v>Not Sampled</v>
      </c>
      <c r="V463" s="1" t="str">
        <f t="shared" si="23"/>
        <v>Not Sampled</v>
      </c>
    </row>
    <row r="464" spans="1:22" x14ac:dyDescent="0.25">
      <c r="A464" s="1">
        <v>8</v>
      </c>
      <c r="B464" s="1">
        <v>74</v>
      </c>
      <c r="C464" s="1">
        <v>70</v>
      </c>
      <c r="D464" s="1">
        <v>40</v>
      </c>
      <c r="E464" s="1">
        <v>49</v>
      </c>
      <c r="F464" s="1">
        <v>35.299999999999997</v>
      </c>
      <c r="G464" s="1">
        <v>0.70499999999999996</v>
      </c>
      <c r="H464" s="1">
        <v>39</v>
      </c>
      <c r="I464" s="1">
        <v>0</v>
      </c>
      <c r="J464" s="1" t="str">
        <f>IFERROR(VLOOKUP(K464,[1]diabetes_Recognition!$A:$B,2,FALSE),"Not Sampled")</f>
        <v>Not Sampled</v>
      </c>
      <c r="K464" s="1">
        <v>462</v>
      </c>
      <c r="L464" s="1" t="str">
        <f>LOOKUP(A464,Sheet2!$D$4:$E$9)</f>
        <v>8+</v>
      </c>
      <c r="M464" t="str">
        <f>LOOKUP(B464,Sheet2!$G$4:$H$9)</f>
        <v>1-99</v>
      </c>
      <c r="N464" t="str">
        <f>LOOKUP(C464,Sheet2!$J$4:$K$8)</f>
        <v>70-79</v>
      </c>
      <c r="O464" t="str">
        <f>LOOKUP(D464,Sheet2!$M$4:$N$8)</f>
        <v>40+</v>
      </c>
      <c r="P464" t="str">
        <f>LOOKUP(E464,Sheet2!$P$4:$Q$9)</f>
        <v>1-99</v>
      </c>
      <c r="Q464" t="str">
        <f>LOOKUP(F464,Sheet2!$S$4:$T$8)</f>
        <v>31-35</v>
      </c>
      <c r="R464" t="str">
        <f>LOOKUP(G464,Sheet2!$V$4:$W$7)</f>
        <v>0.7+</v>
      </c>
      <c r="S464" t="str">
        <f>LOOKUP(H464,Sheet2!$Z$4:$AA$7)</f>
        <v>36-45</v>
      </c>
      <c r="T464" t="str">
        <f t="shared" si="21"/>
        <v>Negative</v>
      </c>
      <c r="U464" t="str">
        <f t="shared" si="22"/>
        <v>Not Sampled</v>
      </c>
      <c r="V464" s="1" t="str">
        <f t="shared" si="23"/>
        <v>Not Sampled</v>
      </c>
    </row>
    <row r="465" spans="1:22" x14ac:dyDescent="0.25">
      <c r="A465" s="1">
        <v>5</v>
      </c>
      <c r="B465" s="1">
        <v>88</v>
      </c>
      <c r="C465" s="1">
        <v>78</v>
      </c>
      <c r="D465" s="1">
        <v>30</v>
      </c>
      <c r="E465" s="1">
        <v>0</v>
      </c>
      <c r="F465" s="1">
        <v>27.6</v>
      </c>
      <c r="G465" s="1">
        <v>0.25800000000000001</v>
      </c>
      <c r="H465" s="1">
        <v>37</v>
      </c>
      <c r="I465" s="1">
        <v>0</v>
      </c>
      <c r="J465" s="1" t="str">
        <f>IFERROR(VLOOKUP(K465,[1]diabetes_Recognition!$A:$B,2,FALSE),"Not Sampled")</f>
        <v>Not Sampled</v>
      </c>
      <c r="K465" s="1">
        <v>463</v>
      </c>
      <c r="L465" s="1" t="str">
        <f>LOOKUP(A465,Sheet2!$D$4:$E$9)</f>
        <v>5-7</v>
      </c>
      <c r="M465" t="str">
        <f>LOOKUP(B465,Sheet2!$G$4:$H$9)</f>
        <v>1-99</v>
      </c>
      <c r="N465" t="str">
        <f>LOOKUP(C465,Sheet2!$J$4:$K$8)</f>
        <v>70-79</v>
      </c>
      <c r="O465" t="str">
        <f>LOOKUP(D465,Sheet2!$M$4:$N$8)</f>
        <v>30-39</v>
      </c>
      <c r="P465" t="str">
        <f>LOOKUP(E465,Sheet2!$P$4:$Q$9)</f>
        <v>Unknown</v>
      </c>
      <c r="Q465" t="str">
        <f>LOOKUP(F465,Sheet2!$S$4:$T$8)</f>
        <v>26-30</v>
      </c>
      <c r="R465" t="str">
        <f>LOOKUP(G465,Sheet2!$V$4:$W$7)</f>
        <v>0.25 - 0.39</v>
      </c>
      <c r="S465" t="str">
        <f>LOOKUP(H465,Sheet2!$Z$4:$AA$7)</f>
        <v>36-45</v>
      </c>
      <c r="T465" t="str">
        <f t="shared" si="21"/>
        <v>Negative</v>
      </c>
      <c r="U465" t="str">
        <f t="shared" si="22"/>
        <v>Not Sampled</v>
      </c>
      <c r="V465" s="1" t="str">
        <f t="shared" si="23"/>
        <v>Not Sampled</v>
      </c>
    </row>
    <row r="466" spans="1:22" x14ac:dyDescent="0.25">
      <c r="A466" s="1">
        <v>10</v>
      </c>
      <c r="B466" s="1">
        <v>115</v>
      </c>
      <c r="C466" s="1">
        <v>98</v>
      </c>
      <c r="D466" s="1">
        <v>0</v>
      </c>
      <c r="E466" s="1">
        <v>0</v>
      </c>
      <c r="F466" s="1">
        <v>24</v>
      </c>
      <c r="G466" s="1">
        <v>1.022</v>
      </c>
      <c r="H466" s="1">
        <v>34</v>
      </c>
      <c r="I466" s="1">
        <v>0</v>
      </c>
      <c r="J466" s="1">
        <f>IFERROR(VLOOKUP(K466,[1]diabetes_Recognition!$A:$B,2,FALSE),"Not Sampled")</f>
        <v>0</v>
      </c>
      <c r="K466" s="1">
        <v>464</v>
      </c>
      <c r="L466" s="1" t="str">
        <f>LOOKUP(A466,Sheet2!$D$4:$E$9)</f>
        <v>8+</v>
      </c>
      <c r="M466" t="str">
        <f>LOOKUP(B466,Sheet2!$G$4:$H$9)</f>
        <v>100-125</v>
      </c>
      <c r="N466" t="str">
        <f>LOOKUP(C466,Sheet2!$J$4:$K$8)</f>
        <v>80+</v>
      </c>
      <c r="O466" t="str">
        <f>LOOKUP(D466,Sheet2!$M$4:$N$8)</f>
        <v>Unknown</v>
      </c>
      <c r="P466" t="str">
        <f>LOOKUP(E466,Sheet2!$P$4:$Q$9)</f>
        <v>Unknown</v>
      </c>
      <c r="Q466" t="str">
        <f>LOOKUP(F466,Sheet2!$S$4:$T$8)</f>
        <v>1-25</v>
      </c>
      <c r="R466" t="str">
        <f>LOOKUP(G466,Sheet2!$V$4:$W$7)</f>
        <v>0.7+</v>
      </c>
      <c r="S466" t="str">
        <f>LOOKUP(H466,Sheet2!$Z$4:$AA$7)</f>
        <v>26-35</v>
      </c>
      <c r="T466" t="str">
        <f t="shared" si="21"/>
        <v>Negative</v>
      </c>
      <c r="U466" t="str">
        <f t="shared" si="22"/>
        <v>Negative</v>
      </c>
      <c r="V466" s="1" t="str">
        <f t="shared" si="23"/>
        <v>Accurate Prediction</v>
      </c>
    </row>
    <row r="467" spans="1:22" x14ac:dyDescent="0.25">
      <c r="A467" s="1">
        <v>0</v>
      </c>
      <c r="B467" s="1">
        <v>124</v>
      </c>
      <c r="C467" s="1">
        <v>56</v>
      </c>
      <c r="D467" s="1">
        <v>13</v>
      </c>
      <c r="E467" s="1">
        <v>105</v>
      </c>
      <c r="F467" s="1">
        <v>21.8</v>
      </c>
      <c r="G467" s="1">
        <v>0.45200000000000001</v>
      </c>
      <c r="H467" s="1">
        <v>21</v>
      </c>
      <c r="I467" s="1">
        <v>0</v>
      </c>
      <c r="J467" s="1" t="str">
        <f>IFERROR(VLOOKUP(K467,[1]diabetes_Recognition!$A:$B,2,FALSE),"Not Sampled")</f>
        <v>Not Sampled</v>
      </c>
      <c r="K467" s="1">
        <v>465</v>
      </c>
      <c r="L467" s="1">
        <f>LOOKUP(A467,Sheet2!$D$4:$E$9)</f>
        <v>0</v>
      </c>
      <c r="M467" t="str">
        <f>LOOKUP(B467,Sheet2!$G$4:$H$9)</f>
        <v>100-125</v>
      </c>
      <c r="N467" t="str">
        <f>LOOKUP(C467,Sheet2!$J$4:$K$8)</f>
        <v>1-59</v>
      </c>
      <c r="O467" t="str">
        <f>LOOKUP(D467,Sheet2!$M$4:$N$8)</f>
        <v>10-30</v>
      </c>
      <c r="P467" t="str">
        <f>LOOKUP(E467,Sheet2!$P$4:$Q$9)</f>
        <v>100-199</v>
      </c>
      <c r="Q467" t="str">
        <f>LOOKUP(F467,Sheet2!$S$4:$T$8)</f>
        <v>1-25</v>
      </c>
      <c r="R467" t="str">
        <f>LOOKUP(G467,Sheet2!$V$4:$W$7)</f>
        <v>0.4 - 0.69</v>
      </c>
      <c r="S467" t="str">
        <f>LOOKUP(H467,Sheet2!$Z$4:$AA$7)</f>
        <v>&lt;=25</v>
      </c>
      <c r="T467" t="str">
        <f t="shared" si="21"/>
        <v>Negative</v>
      </c>
      <c r="U467" t="str">
        <f t="shared" si="22"/>
        <v>Not Sampled</v>
      </c>
      <c r="V467" s="1" t="str">
        <f t="shared" si="23"/>
        <v>Not Sampled</v>
      </c>
    </row>
    <row r="468" spans="1:22" x14ac:dyDescent="0.25">
      <c r="A468" s="1">
        <v>0</v>
      </c>
      <c r="B468" s="1">
        <v>74</v>
      </c>
      <c r="C468" s="1">
        <v>52</v>
      </c>
      <c r="D468" s="1">
        <v>10</v>
      </c>
      <c r="E468" s="1">
        <v>36</v>
      </c>
      <c r="F468" s="1">
        <v>27.8</v>
      </c>
      <c r="G468" s="1">
        <v>0.26900000000000002</v>
      </c>
      <c r="H468" s="1">
        <v>22</v>
      </c>
      <c r="I468" s="1">
        <v>0</v>
      </c>
      <c r="J468" s="1" t="str">
        <f>IFERROR(VLOOKUP(K468,[1]diabetes_Recognition!$A:$B,2,FALSE),"Not Sampled")</f>
        <v>Not Sampled</v>
      </c>
      <c r="K468" s="1">
        <v>466</v>
      </c>
      <c r="L468" s="1">
        <f>LOOKUP(A468,Sheet2!$D$4:$E$9)</f>
        <v>0</v>
      </c>
      <c r="M468" t="str">
        <f>LOOKUP(B468,Sheet2!$G$4:$H$9)</f>
        <v>1-99</v>
      </c>
      <c r="N468" t="str">
        <f>LOOKUP(C468,Sheet2!$J$4:$K$8)</f>
        <v>1-59</v>
      </c>
      <c r="O468" t="str">
        <f>LOOKUP(D468,Sheet2!$M$4:$N$8)</f>
        <v>10-30</v>
      </c>
      <c r="P468" t="str">
        <f>LOOKUP(E468,Sheet2!$P$4:$Q$9)</f>
        <v>1-99</v>
      </c>
      <c r="Q468" t="str">
        <f>LOOKUP(F468,Sheet2!$S$4:$T$8)</f>
        <v>26-30</v>
      </c>
      <c r="R468" t="str">
        <f>LOOKUP(G468,Sheet2!$V$4:$W$7)</f>
        <v>0.25 - 0.39</v>
      </c>
      <c r="S468" t="str">
        <f>LOOKUP(H468,Sheet2!$Z$4:$AA$7)</f>
        <v>&lt;=25</v>
      </c>
      <c r="T468" t="str">
        <f t="shared" si="21"/>
        <v>Negative</v>
      </c>
      <c r="U468" t="str">
        <f t="shared" si="22"/>
        <v>Not Sampled</v>
      </c>
      <c r="V468" s="1" t="str">
        <f t="shared" si="23"/>
        <v>Not Sampled</v>
      </c>
    </row>
    <row r="469" spans="1:22" x14ac:dyDescent="0.25">
      <c r="A469" s="1">
        <v>0</v>
      </c>
      <c r="B469" s="1">
        <v>97</v>
      </c>
      <c r="C469" s="1">
        <v>64</v>
      </c>
      <c r="D469" s="1">
        <v>36</v>
      </c>
      <c r="E469" s="1">
        <v>100</v>
      </c>
      <c r="F469" s="1">
        <v>36.799999999999997</v>
      </c>
      <c r="G469" s="1">
        <v>0.6</v>
      </c>
      <c r="H469" s="1">
        <v>25</v>
      </c>
      <c r="I469" s="1">
        <v>0</v>
      </c>
      <c r="J469" s="1" t="str">
        <f>IFERROR(VLOOKUP(K469,[1]diabetes_Recognition!$A:$B,2,FALSE),"Not Sampled")</f>
        <v>Not Sampled</v>
      </c>
      <c r="K469" s="1">
        <v>467</v>
      </c>
      <c r="L469" s="1">
        <f>LOOKUP(A469,Sheet2!$D$4:$E$9)</f>
        <v>0</v>
      </c>
      <c r="M469" t="str">
        <f>LOOKUP(B469,Sheet2!$G$4:$H$9)</f>
        <v>1-99</v>
      </c>
      <c r="N469" t="str">
        <f>LOOKUP(C469,Sheet2!$J$4:$K$8)</f>
        <v>60-69</v>
      </c>
      <c r="O469" t="str">
        <f>LOOKUP(D469,Sheet2!$M$4:$N$8)</f>
        <v>30-39</v>
      </c>
      <c r="P469" t="str">
        <f>LOOKUP(E469,Sheet2!$P$4:$Q$9)</f>
        <v>100-199</v>
      </c>
      <c r="Q469" t="str">
        <f>LOOKUP(F469,Sheet2!$S$4:$T$8)</f>
        <v>36+</v>
      </c>
      <c r="R469" t="str">
        <f>LOOKUP(G469,Sheet2!$V$4:$W$7)</f>
        <v>0.4 - 0.69</v>
      </c>
      <c r="S469" t="str">
        <f>LOOKUP(H469,Sheet2!$Z$4:$AA$7)</f>
        <v>&lt;=25</v>
      </c>
      <c r="T469" t="str">
        <f t="shared" si="21"/>
        <v>Negative</v>
      </c>
      <c r="U469" t="str">
        <f t="shared" si="22"/>
        <v>Not Sampled</v>
      </c>
      <c r="V469" s="1" t="str">
        <f t="shared" si="23"/>
        <v>Not Sampled</v>
      </c>
    </row>
    <row r="470" spans="1:22" x14ac:dyDescent="0.25">
      <c r="A470" s="1">
        <v>8</v>
      </c>
      <c r="B470" s="1">
        <v>120</v>
      </c>
      <c r="C470" s="1">
        <v>0</v>
      </c>
      <c r="D470" s="1">
        <v>0</v>
      </c>
      <c r="E470" s="1">
        <v>0</v>
      </c>
      <c r="F470" s="1">
        <v>30</v>
      </c>
      <c r="G470" s="1">
        <v>0.183</v>
      </c>
      <c r="H470" s="1">
        <v>38</v>
      </c>
      <c r="I470" s="1">
        <v>1</v>
      </c>
      <c r="J470" s="1" t="str">
        <f>IFERROR(VLOOKUP(K470,[1]diabetes_Recognition!$A:$B,2,FALSE),"Not Sampled")</f>
        <v>Not Sampled</v>
      </c>
      <c r="K470" s="1">
        <v>468</v>
      </c>
      <c r="L470" s="1" t="str">
        <f>LOOKUP(A470,Sheet2!$D$4:$E$9)</f>
        <v>8+</v>
      </c>
      <c r="M470" t="str">
        <f>LOOKUP(B470,Sheet2!$G$4:$H$9)</f>
        <v>100-125</v>
      </c>
      <c r="N470" t="str">
        <f>LOOKUP(C470,Sheet2!$J$4:$K$8)</f>
        <v>Unknown</v>
      </c>
      <c r="O470" t="str">
        <f>LOOKUP(D470,Sheet2!$M$4:$N$8)</f>
        <v>Unknown</v>
      </c>
      <c r="P470" t="str">
        <f>LOOKUP(E470,Sheet2!$P$4:$Q$9)</f>
        <v>Unknown</v>
      </c>
      <c r="Q470" t="str">
        <f>LOOKUP(F470,Sheet2!$S$4:$T$8)</f>
        <v>26-30</v>
      </c>
      <c r="R470" t="str">
        <f>LOOKUP(G470,Sheet2!$V$4:$W$7)</f>
        <v>0.0 - 0.249</v>
      </c>
      <c r="S470" t="str">
        <f>LOOKUP(H470,Sheet2!$Z$4:$AA$7)</f>
        <v>36-45</v>
      </c>
      <c r="T470" t="str">
        <f t="shared" si="21"/>
        <v>Positive</v>
      </c>
      <c r="U470" t="str">
        <f t="shared" si="22"/>
        <v>Not Sampled</v>
      </c>
      <c r="V470" s="1" t="str">
        <f t="shared" si="23"/>
        <v>Not Sampled</v>
      </c>
    </row>
    <row r="471" spans="1:22" x14ac:dyDescent="0.25">
      <c r="A471" s="1">
        <v>6</v>
      </c>
      <c r="B471" s="1">
        <v>154</v>
      </c>
      <c r="C471" s="1">
        <v>78</v>
      </c>
      <c r="D471" s="1">
        <v>41</v>
      </c>
      <c r="E471" s="1">
        <v>140</v>
      </c>
      <c r="F471" s="1">
        <v>46.1</v>
      </c>
      <c r="G471" s="1">
        <v>0.57099999999999995</v>
      </c>
      <c r="H471" s="1">
        <v>27</v>
      </c>
      <c r="I471" s="1">
        <v>0</v>
      </c>
      <c r="J471" s="1" t="str">
        <f>IFERROR(VLOOKUP(K471,[1]diabetes_Recognition!$A:$B,2,FALSE),"Not Sampled")</f>
        <v>Not Sampled</v>
      </c>
      <c r="K471" s="1">
        <v>469</v>
      </c>
      <c r="L471" s="1" t="str">
        <f>LOOKUP(A471,Sheet2!$D$4:$E$9)</f>
        <v>5-7</v>
      </c>
      <c r="M471" t="str">
        <f>LOOKUP(B471,Sheet2!$G$4:$H$9)</f>
        <v>151-175</v>
      </c>
      <c r="N471" t="str">
        <f>LOOKUP(C471,Sheet2!$J$4:$K$8)</f>
        <v>70-79</v>
      </c>
      <c r="O471" t="str">
        <f>LOOKUP(D471,Sheet2!$M$4:$N$8)</f>
        <v>40+</v>
      </c>
      <c r="P471" t="str">
        <f>LOOKUP(E471,Sheet2!$P$4:$Q$9)</f>
        <v>100-199</v>
      </c>
      <c r="Q471" t="str">
        <f>LOOKUP(F471,Sheet2!$S$4:$T$8)</f>
        <v>36+</v>
      </c>
      <c r="R471" t="str">
        <f>LOOKUP(G471,Sheet2!$V$4:$W$7)</f>
        <v>0.4 - 0.69</v>
      </c>
      <c r="S471" t="str">
        <f>LOOKUP(H471,Sheet2!$Z$4:$AA$7)</f>
        <v>26-35</v>
      </c>
      <c r="T471" t="str">
        <f t="shared" si="21"/>
        <v>Negative</v>
      </c>
      <c r="U471" t="str">
        <f t="shared" si="22"/>
        <v>Not Sampled</v>
      </c>
      <c r="V471" s="1" t="str">
        <f t="shared" si="23"/>
        <v>Not Sampled</v>
      </c>
    </row>
    <row r="472" spans="1:22" x14ac:dyDescent="0.25">
      <c r="A472" s="1">
        <v>1</v>
      </c>
      <c r="B472" s="1">
        <v>144</v>
      </c>
      <c r="C472" s="1">
        <v>82</v>
      </c>
      <c r="D472" s="1">
        <v>40</v>
      </c>
      <c r="E472" s="1">
        <v>0</v>
      </c>
      <c r="F472" s="1">
        <v>41.3</v>
      </c>
      <c r="G472" s="1">
        <v>0.60699999999999998</v>
      </c>
      <c r="H472" s="1">
        <v>28</v>
      </c>
      <c r="I472" s="1">
        <v>0</v>
      </c>
      <c r="J472" s="1" t="str">
        <f>IFERROR(VLOOKUP(K472,[1]diabetes_Recognition!$A:$B,2,FALSE),"Not Sampled")</f>
        <v>Not Sampled</v>
      </c>
      <c r="K472" s="1">
        <v>470</v>
      </c>
      <c r="L472" s="1">
        <f>LOOKUP(A472,Sheet2!$D$4:$E$9)</f>
        <v>1</v>
      </c>
      <c r="M472" t="str">
        <f>LOOKUP(B472,Sheet2!$G$4:$H$9)</f>
        <v>126-150</v>
      </c>
      <c r="N472" t="str">
        <f>LOOKUP(C472,Sheet2!$J$4:$K$8)</f>
        <v>80+</v>
      </c>
      <c r="O472" t="str">
        <f>LOOKUP(D472,Sheet2!$M$4:$N$8)</f>
        <v>40+</v>
      </c>
      <c r="P472" t="str">
        <f>LOOKUP(E472,Sheet2!$P$4:$Q$9)</f>
        <v>Unknown</v>
      </c>
      <c r="Q472" t="str">
        <f>LOOKUP(F472,Sheet2!$S$4:$T$8)</f>
        <v>36+</v>
      </c>
      <c r="R472" t="str">
        <f>LOOKUP(G472,Sheet2!$V$4:$W$7)</f>
        <v>0.4 - 0.69</v>
      </c>
      <c r="S472" t="str">
        <f>LOOKUP(H472,Sheet2!$Z$4:$AA$7)</f>
        <v>26-35</v>
      </c>
      <c r="T472" t="str">
        <f t="shared" si="21"/>
        <v>Negative</v>
      </c>
      <c r="U472" t="str">
        <f t="shared" si="22"/>
        <v>Not Sampled</v>
      </c>
      <c r="V472" s="1" t="str">
        <f t="shared" si="23"/>
        <v>Not Sampled</v>
      </c>
    </row>
    <row r="473" spans="1:22" x14ac:dyDescent="0.25">
      <c r="A473" s="1">
        <v>0</v>
      </c>
      <c r="B473" s="1">
        <v>137</v>
      </c>
      <c r="C473" s="1">
        <v>70</v>
      </c>
      <c r="D473" s="1">
        <v>38</v>
      </c>
      <c r="E473" s="1">
        <v>0</v>
      </c>
      <c r="F473" s="1">
        <v>33.200000000000003</v>
      </c>
      <c r="G473" s="1">
        <v>0.17</v>
      </c>
      <c r="H473" s="1">
        <v>22</v>
      </c>
      <c r="I473" s="1">
        <v>0</v>
      </c>
      <c r="J473" s="1" t="str">
        <f>IFERROR(VLOOKUP(K473,[1]diabetes_Recognition!$A:$B,2,FALSE),"Not Sampled")</f>
        <v>Not Sampled</v>
      </c>
      <c r="K473" s="1">
        <v>471</v>
      </c>
      <c r="L473" s="1">
        <f>LOOKUP(A473,Sheet2!$D$4:$E$9)</f>
        <v>0</v>
      </c>
      <c r="M473" t="str">
        <f>LOOKUP(B473,Sheet2!$G$4:$H$9)</f>
        <v>126-150</v>
      </c>
      <c r="N473" t="str">
        <f>LOOKUP(C473,Sheet2!$J$4:$K$8)</f>
        <v>70-79</v>
      </c>
      <c r="O473" t="str">
        <f>LOOKUP(D473,Sheet2!$M$4:$N$8)</f>
        <v>30-39</v>
      </c>
      <c r="P473" t="str">
        <f>LOOKUP(E473,Sheet2!$P$4:$Q$9)</f>
        <v>Unknown</v>
      </c>
      <c r="Q473" t="str">
        <f>LOOKUP(F473,Sheet2!$S$4:$T$8)</f>
        <v>31-35</v>
      </c>
      <c r="R473" t="str">
        <f>LOOKUP(G473,Sheet2!$V$4:$W$7)</f>
        <v>0.0 - 0.249</v>
      </c>
      <c r="S473" t="str">
        <f>LOOKUP(H473,Sheet2!$Z$4:$AA$7)</f>
        <v>&lt;=25</v>
      </c>
      <c r="T473" t="str">
        <f t="shared" si="21"/>
        <v>Negative</v>
      </c>
      <c r="U473" t="str">
        <f t="shared" si="22"/>
        <v>Not Sampled</v>
      </c>
      <c r="V473" s="1" t="str">
        <f t="shared" si="23"/>
        <v>Not Sampled</v>
      </c>
    </row>
    <row r="474" spans="1:22" x14ac:dyDescent="0.25">
      <c r="A474" s="1">
        <v>0</v>
      </c>
      <c r="B474" s="1">
        <v>119</v>
      </c>
      <c r="C474" s="1">
        <v>66</v>
      </c>
      <c r="D474" s="1">
        <v>27</v>
      </c>
      <c r="E474" s="1">
        <v>0</v>
      </c>
      <c r="F474" s="1">
        <v>38.799999999999997</v>
      </c>
      <c r="G474" s="1">
        <v>0.25900000000000001</v>
      </c>
      <c r="H474" s="1">
        <v>22</v>
      </c>
      <c r="I474" s="1">
        <v>0</v>
      </c>
      <c r="J474" s="1" t="str">
        <f>IFERROR(VLOOKUP(K474,[1]diabetes_Recognition!$A:$B,2,FALSE),"Not Sampled")</f>
        <v>Not Sampled</v>
      </c>
      <c r="K474" s="1">
        <v>472</v>
      </c>
      <c r="L474" s="1">
        <f>LOOKUP(A474,Sheet2!$D$4:$E$9)</f>
        <v>0</v>
      </c>
      <c r="M474" t="str">
        <f>LOOKUP(B474,Sheet2!$G$4:$H$9)</f>
        <v>100-125</v>
      </c>
      <c r="N474" t="str">
        <f>LOOKUP(C474,Sheet2!$J$4:$K$8)</f>
        <v>60-69</v>
      </c>
      <c r="O474" t="str">
        <f>LOOKUP(D474,Sheet2!$M$4:$N$8)</f>
        <v>10-30</v>
      </c>
      <c r="P474" t="str">
        <f>LOOKUP(E474,Sheet2!$P$4:$Q$9)</f>
        <v>Unknown</v>
      </c>
      <c r="Q474" t="str">
        <f>LOOKUP(F474,Sheet2!$S$4:$T$8)</f>
        <v>36+</v>
      </c>
      <c r="R474" t="str">
        <f>LOOKUP(G474,Sheet2!$V$4:$W$7)</f>
        <v>0.25 - 0.39</v>
      </c>
      <c r="S474" t="str">
        <f>LOOKUP(H474,Sheet2!$Z$4:$AA$7)</f>
        <v>&lt;=25</v>
      </c>
      <c r="T474" t="str">
        <f t="shared" si="21"/>
        <v>Negative</v>
      </c>
      <c r="U474" t="str">
        <f t="shared" si="22"/>
        <v>Not Sampled</v>
      </c>
      <c r="V474" s="1" t="str">
        <f t="shared" si="23"/>
        <v>Not Sampled</v>
      </c>
    </row>
    <row r="475" spans="1:22" x14ac:dyDescent="0.25">
      <c r="A475" s="1">
        <v>7</v>
      </c>
      <c r="B475" s="1">
        <v>136</v>
      </c>
      <c r="C475" s="1">
        <v>90</v>
      </c>
      <c r="D475" s="1">
        <v>0</v>
      </c>
      <c r="E475" s="1">
        <v>0</v>
      </c>
      <c r="F475" s="1">
        <v>29.9</v>
      </c>
      <c r="G475" s="1">
        <v>0.21</v>
      </c>
      <c r="H475" s="1">
        <v>50</v>
      </c>
      <c r="I475" s="1">
        <v>0</v>
      </c>
      <c r="J475" s="1" t="str">
        <f>IFERROR(VLOOKUP(K475,[1]diabetes_Recognition!$A:$B,2,FALSE),"Not Sampled")</f>
        <v>Not Sampled</v>
      </c>
      <c r="K475" s="1">
        <v>473</v>
      </c>
      <c r="L475" s="1" t="str">
        <f>LOOKUP(A475,Sheet2!$D$4:$E$9)</f>
        <v>5-7</v>
      </c>
      <c r="M475" t="str">
        <f>LOOKUP(B475,Sheet2!$G$4:$H$9)</f>
        <v>126-150</v>
      </c>
      <c r="N475" t="str">
        <f>LOOKUP(C475,Sheet2!$J$4:$K$8)</f>
        <v>80+</v>
      </c>
      <c r="O475" t="str">
        <f>LOOKUP(D475,Sheet2!$M$4:$N$8)</f>
        <v>Unknown</v>
      </c>
      <c r="P475" t="str">
        <f>LOOKUP(E475,Sheet2!$P$4:$Q$9)</f>
        <v>Unknown</v>
      </c>
      <c r="Q475" t="str">
        <f>LOOKUP(F475,Sheet2!$S$4:$T$8)</f>
        <v>26-30</v>
      </c>
      <c r="R475" t="str">
        <f>LOOKUP(G475,Sheet2!$V$4:$W$7)</f>
        <v>0.0 - 0.249</v>
      </c>
      <c r="S475" t="str">
        <f>LOOKUP(H475,Sheet2!$Z$4:$AA$7)</f>
        <v>46+</v>
      </c>
      <c r="T475" t="str">
        <f t="shared" si="21"/>
        <v>Negative</v>
      </c>
      <c r="U475" t="str">
        <f t="shared" si="22"/>
        <v>Not Sampled</v>
      </c>
      <c r="V475" s="1" t="str">
        <f t="shared" si="23"/>
        <v>Not Sampled</v>
      </c>
    </row>
    <row r="476" spans="1:22" x14ac:dyDescent="0.25">
      <c r="A476" s="1">
        <v>4</v>
      </c>
      <c r="B476" s="1">
        <v>114</v>
      </c>
      <c r="C476" s="1">
        <v>64</v>
      </c>
      <c r="D476" s="1">
        <v>0</v>
      </c>
      <c r="E476" s="1">
        <v>0</v>
      </c>
      <c r="F476" s="1">
        <v>28.9</v>
      </c>
      <c r="G476" s="1">
        <v>0.126</v>
      </c>
      <c r="H476" s="1">
        <v>24</v>
      </c>
      <c r="I476" s="1">
        <v>0</v>
      </c>
      <c r="J476" s="1" t="str">
        <f>IFERROR(VLOOKUP(K476,[1]diabetes_Recognition!$A:$B,2,FALSE),"Not Sampled")</f>
        <v>Not Sampled</v>
      </c>
      <c r="K476" s="1">
        <v>474</v>
      </c>
      <c r="L476" s="1" t="str">
        <f>LOOKUP(A476,Sheet2!$D$4:$E$9)</f>
        <v>3-4</v>
      </c>
      <c r="M476" t="str">
        <f>LOOKUP(B476,Sheet2!$G$4:$H$9)</f>
        <v>100-125</v>
      </c>
      <c r="N476" t="str">
        <f>LOOKUP(C476,Sheet2!$J$4:$K$8)</f>
        <v>60-69</v>
      </c>
      <c r="O476" t="str">
        <f>LOOKUP(D476,Sheet2!$M$4:$N$8)</f>
        <v>Unknown</v>
      </c>
      <c r="P476" t="str">
        <f>LOOKUP(E476,Sheet2!$P$4:$Q$9)</f>
        <v>Unknown</v>
      </c>
      <c r="Q476" t="str">
        <f>LOOKUP(F476,Sheet2!$S$4:$T$8)</f>
        <v>26-30</v>
      </c>
      <c r="R476" t="str">
        <f>LOOKUP(G476,Sheet2!$V$4:$W$7)</f>
        <v>0.0 - 0.249</v>
      </c>
      <c r="S476" t="str">
        <f>LOOKUP(H476,Sheet2!$Z$4:$AA$7)</f>
        <v>&lt;=25</v>
      </c>
      <c r="T476" t="str">
        <f t="shared" si="21"/>
        <v>Negative</v>
      </c>
      <c r="U476" t="str">
        <f t="shared" si="22"/>
        <v>Not Sampled</v>
      </c>
      <c r="V476" s="1" t="str">
        <f t="shared" si="23"/>
        <v>Not Sampled</v>
      </c>
    </row>
    <row r="477" spans="1:22" x14ac:dyDescent="0.25">
      <c r="A477" s="1">
        <v>0</v>
      </c>
      <c r="B477" s="1">
        <v>137</v>
      </c>
      <c r="C477" s="1">
        <v>84</v>
      </c>
      <c r="D477" s="1">
        <v>27</v>
      </c>
      <c r="E477" s="1">
        <v>0</v>
      </c>
      <c r="F477" s="1">
        <v>27.3</v>
      </c>
      <c r="G477" s="1">
        <v>0.23100000000000001</v>
      </c>
      <c r="H477" s="1">
        <v>59</v>
      </c>
      <c r="I477" s="1">
        <v>0</v>
      </c>
      <c r="J477" s="1" t="str">
        <f>IFERROR(VLOOKUP(K477,[1]diabetes_Recognition!$A:$B,2,FALSE),"Not Sampled")</f>
        <v>Not Sampled</v>
      </c>
      <c r="K477" s="1">
        <v>475</v>
      </c>
      <c r="L477" s="1">
        <f>LOOKUP(A477,Sheet2!$D$4:$E$9)</f>
        <v>0</v>
      </c>
      <c r="M477" t="str">
        <f>LOOKUP(B477,Sheet2!$G$4:$H$9)</f>
        <v>126-150</v>
      </c>
      <c r="N477" t="str">
        <f>LOOKUP(C477,Sheet2!$J$4:$K$8)</f>
        <v>80+</v>
      </c>
      <c r="O477" t="str">
        <f>LOOKUP(D477,Sheet2!$M$4:$N$8)</f>
        <v>10-30</v>
      </c>
      <c r="P477" t="str">
        <f>LOOKUP(E477,Sheet2!$P$4:$Q$9)</f>
        <v>Unknown</v>
      </c>
      <c r="Q477" t="str">
        <f>LOOKUP(F477,Sheet2!$S$4:$T$8)</f>
        <v>26-30</v>
      </c>
      <c r="R477" t="str">
        <f>LOOKUP(G477,Sheet2!$V$4:$W$7)</f>
        <v>0.0 - 0.249</v>
      </c>
      <c r="S477" t="str">
        <f>LOOKUP(H477,Sheet2!$Z$4:$AA$7)</f>
        <v>46+</v>
      </c>
      <c r="T477" t="str">
        <f t="shared" si="21"/>
        <v>Negative</v>
      </c>
      <c r="U477" t="str">
        <f t="shared" si="22"/>
        <v>Not Sampled</v>
      </c>
      <c r="V477" s="1" t="str">
        <f t="shared" si="23"/>
        <v>Not Sampled</v>
      </c>
    </row>
    <row r="478" spans="1:22" x14ac:dyDescent="0.25">
      <c r="A478" s="1">
        <v>2</v>
      </c>
      <c r="B478" s="1">
        <v>105</v>
      </c>
      <c r="C478" s="1">
        <v>80</v>
      </c>
      <c r="D478" s="1">
        <v>45</v>
      </c>
      <c r="E478" s="1">
        <v>191</v>
      </c>
      <c r="F478" s="1">
        <v>33.700000000000003</v>
      </c>
      <c r="G478" s="1">
        <v>0.71099999999999997</v>
      </c>
      <c r="H478" s="1">
        <v>29</v>
      </c>
      <c r="I478" s="1">
        <v>1</v>
      </c>
      <c r="J478" s="1" t="str">
        <f>IFERROR(VLOOKUP(K478,[1]diabetes_Recognition!$A:$B,2,FALSE),"Not Sampled")</f>
        <v>Not Sampled</v>
      </c>
      <c r="K478" s="1">
        <v>476</v>
      </c>
      <c r="L478" s="1">
        <f>LOOKUP(A478,Sheet2!$D$4:$E$9)</f>
        <v>2</v>
      </c>
      <c r="M478" t="str">
        <f>LOOKUP(B478,Sheet2!$G$4:$H$9)</f>
        <v>100-125</v>
      </c>
      <c r="N478" t="str">
        <f>LOOKUP(C478,Sheet2!$J$4:$K$8)</f>
        <v>80+</v>
      </c>
      <c r="O478" t="str">
        <f>LOOKUP(D478,Sheet2!$M$4:$N$8)</f>
        <v>40+</v>
      </c>
      <c r="P478" t="str">
        <f>LOOKUP(E478,Sheet2!$P$4:$Q$9)</f>
        <v>100-199</v>
      </c>
      <c r="Q478" t="str">
        <f>LOOKUP(F478,Sheet2!$S$4:$T$8)</f>
        <v>31-35</v>
      </c>
      <c r="R478" t="str">
        <f>LOOKUP(G478,Sheet2!$V$4:$W$7)</f>
        <v>0.7+</v>
      </c>
      <c r="S478" t="str">
        <f>LOOKUP(H478,Sheet2!$Z$4:$AA$7)</f>
        <v>26-35</v>
      </c>
      <c r="T478" t="str">
        <f t="shared" si="21"/>
        <v>Positive</v>
      </c>
      <c r="U478" t="str">
        <f t="shared" si="22"/>
        <v>Not Sampled</v>
      </c>
      <c r="V478" s="1" t="str">
        <f t="shared" si="23"/>
        <v>Not Sampled</v>
      </c>
    </row>
    <row r="479" spans="1:22" x14ac:dyDescent="0.25">
      <c r="A479" s="1">
        <v>7</v>
      </c>
      <c r="B479" s="1">
        <v>114</v>
      </c>
      <c r="C479" s="1">
        <v>76</v>
      </c>
      <c r="D479" s="1">
        <v>17</v>
      </c>
      <c r="E479" s="1">
        <v>110</v>
      </c>
      <c r="F479" s="1">
        <v>23.8</v>
      </c>
      <c r="G479" s="1">
        <v>0.46600000000000003</v>
      </c>
      <c r="H479" s="1">
        <v>31</v>
      </c>
      <c r="I479" s="1">
        <v>0</v>
      </c>
      <c r="J479" s="1" t="str">
        <f>IFERROR(VLOOKUP(K479,[1]diabetes_Recognition!$A:$B,2,FALSE),"Not Sampled")</f>
        <v>Not Sampled</v>
      </c>
      <c r="K479" s="1">
        <v>477</v>
      </c>
      <c r="L479" s="1" t="str">
        <f>LOOKUP(A479,Sheet2!$D$4:$E$9)</f>
        <v>5-7</v>
      </c>
      <c r="M479" t="str">
        <f>LOOKUP(B479,Sheet2!$G$4:$H$9)</f>
        <v>100-125</v>
      </c>
      <c r="N479" t="str">
        <f>LOOKUP(C479,Sheet2!$J$4:$K$8)</f>
        <v>70-79</v>
      </c>
      <c r="O479" t="str">
        <f>LOOKUP(D479,Sheet2!$M$4:$N$8)</f>
        <v>10-30</v>
      </c>
      <c r="P479" t="str">
        <f>LOOKUP(E479,Sheet2!$P$4:$Q$9)</f>
        <v>100-199</v>
      </c>
      <c r="Q479" t="str">
        <f>LOOKUP(F479,Sheet2!$S$4:$T$8)</f>
        <v>1-25</v>
      </c>
      <c r="R479" t="str">
        <f>LOOKUP(G479,Sheet2!$V$4:$W$7)</f>
        <v>0.4 - 0.69</v>
      </c>
      <c r="S479" t="str">
        <f>LOOKUP(H479,Sheet2!$Z$4:$AA$7)</f>
        <v>26-35</v>
      </c>
      <c r="T479" t="str">
        <f t="shared" si="21"/>
        <v>Negative</v>
      </c>
      <c r="U479" t="str">
        <f t="shared" si="22"/>
        <v>Not Sampled</v>
      </c>
      <c r="V479" s="1" t="str">
        <f t="shared" si="23"/>
        <v>Not Sampled</v>
      </c>
    </row>
    <row r="480" spans="1:22" x14ac:dyDescent="0.25">
      <c r="A480" s="1">
        <v>8</v>
      </c>
      <c r="B480" s="1">
        <v>126</v>
      </c>
      <c r="C480" s="1">
        <v>74</v>
      </c>
      <c r="D480" s="1">
        <v>38</v>
      </c>
      <c r="E480" s="1">
        <v>75</v>
      </c>
      <c r="F480" s="1">
        <v>25.9</v>
      </c>
      <c r="G480" s="1">
        <v>0.16200000000000001</v>
      </c>
      <c r="H480" s="1">
        <v>39</v>
      </c>
      <c r="I480" s="1">
        <v>0</v>
      </c>
      <c r="J480" s="1">
        <f>IFERROR(VLOOKUP(K480,[1]diabetes_Recognition!$A:$B,2,FALSE),"Not Sampled")</f>
        <v>0</v>
      </c>
      <c r="K480" s="1">
        <v>478</v>
      </c>
      <c r="L480" s="1" t="str">
        <f>LOOKUP(A480,Sheet2!$D$4:$E$9)</f>
        <v>8+</v>
      </c>
      <c r="M480" t="str">
        <f>LOOKUP(B480,Sheet2!$G$4:$H$9)</f>
        <v>126-150</v>
      </c>
      <c r="N480" t="str">
        <f>LOOKUP(C480,Sheet2!$J$4:$K$8)</f>
        <v>70-79</v>
      </c>
      <c r="O480" t="str">
        <f>LOOKUP(D480,Sheet2!$M$4:$N$8)</f>
        <v>30-39</v>
      </c>
      <c r="P480" t="str">
        <f>LOOKUP(E480,Sheet2!$P$4:$Q$9)</f>
        <v>1-99</v>
      </c>
      <c r="Q480" t="str">
        <f>LOOKUP(F480,Sheet2!$S$4:$T$8)</f>
        <v>1-25</v>
      </c>
      <c r="R480" t="str">
        <f>LOOKUP(G480,Sheet2!$V$4:$W$7)</f>
        <v>0.0 - 0.249</v>
      </c>
      <c r="S480" t="str">
        <f>LOOKUP(H480,Sheet2!$Z$4:$AA$7)</f>
        <v>36-45</v>
      </c>
      <c r="T480" t="str">
        <f t="shared" si="21"/>
        <v>Negative</v>
      </c>
      <c r="U480" t="str">
        <f t="shared" si="22"/>
        <v>Negative</v>
      </c>
      <c r="V480" s="1" t="str">
        <f t="shared" si="23"/>
        <v>Accurate Prediction</v>
      </c>
    </row>
    <row r="481" spans="1:22" x14ac:dyDescent="0.25">
      <c r="A481" s="1">
        <v>4</v>
      </c>
      <c r="B481" s="1">
        <v>132</v>
      </c>
      <c r="C481" s="1">
        <v>86</v>
      </c>
      <c r="D481" s="1">
        <v>31</v>
      </c>
      <c r="E481" s="1">
        <v>0</v>
      </c>
      <c r="F481" s="1">
        <v>28</v>
      </c>
      <c r="G481" s="1">
        <v>0.41899999999999998</v>
      </c>
      <c r="H481" s="1">
        <v>63</v>
      </c>
      <c r="I481" s="1">
        <v>0</v>
      </c>
      <c r="J481" s="1" t="str">
        <f>IFERROR(VLOOKUP(K481,[1]diabetes_Recognition!$A:$B,2,FALSE),"Not Sampled")</f>
        <v>Not Sampled</v>
      </c>
      <c r="K481" s="1">
        <v>479</v>
      </c>
      <c r="L481" s="1" t="str">
        <f>LOOKUP(A481,Sheet2!$D$4:$E$9)</f>
        <v>3-4</v>
      </c>
      <c r="M481" t="str">
        <f>LOOKUP(B481,Sheet2!$G$4:$H$9)</f>
        <v>126-150</v>
      </c>
      <c r="N481" t="str">
        <f>LOOKUP(C481,Sheet2!$J$4:$K$8)</f>
        <v>80+</v>
      </c>
      <c r="O481" t="str">
        <f>LOOKUP(D481,Sheet2!$M$4:$N$8)</f>
        <v>30-39</v>
      </c>
      <c r="P481" t="str">
        <f>LOOKUP(E481,Sheet2!$P$4:$Q$9)</f>
        <v>Unknown</v>
      </c>
      <c r="Q481" t="str">
        <f>LOOKUP(F481,Sheet2!$S$4:$T$8)</f>
        <v>26-30</v>
      </c>
      <c r="R481" t="str">
        <f>LOOKUP(G481,Sheet2!$V$4:$W$7)</f>
        <v>0.4 - 0.69</v>
      </c>
      <c r="S481" t="str">
        <f>LOOKUP(H481,Sheet2!$Z$4:$AA$7)</f>
        <v>46+</v>
      </c>
      <c r="T481" t="str">
        <f t="shared" si="21"/>
        <v>Negative</v>
      </c>
      <c r="U481" t="str">
        <f t="shared" si="22"/>
        <v>Not Sampled</v>
      </c>
      <c r="V481" s="1" t="str">
        <f t="shared" si="23"/>
        <v>Not Sampled</v>
      </c>
    </row>
    <row r="482" spans="1:22" x14ac:dyDescent="0.25">
      <c r="A482" s="1">
        <v>3</v>
      </c>
      <c r="B482" s="1">
        <v>158</v>
      </c>
      <c r="C482" s="1">
        <v>70</v>
      </c>
      <c r="D482" s="1">
        <v>30</v>
      </c>
      <c r="E482" s="1">
        <v>328</v>
      </c>
      <c r="F482" s="1">
        <v>35.5</v>
      </c>
      <c r="G482" s="1">
        <v>0.34399999999999997</v>
      </c>
      <c r="H482" s="1">
        <v>35</v>
      </c>
      <c r="I482" s="1">
        <v>1</v>
      </c>
      <c r="J482" s="1">
        <f>IFERROR(VLOOKUP(K482,[1]diabetes_Recognition!$A:$B,2,FALSE),"Not Sampled")</f>
        <v>1</v>
      </c>
      <c r="K482" s="1">
        <v>480</v>
      </c>
      <c r="L482" s="1" t="str">
        <f>LOOKUP(A482,Sheet2!$D$4:$E$9)</f>
        <v>3-4</v>
      </c>
      <c r="M482" t="str">
        <f>LOOKUP(B482,Sheet2!$G$4:$H$9)</f>
        <v>151-175</v>
      </c>
      <c r="N482" t="str">
        <f>LOOKUP(C482,Sheet2!$J$4:$K$8)</f>
        <v>70-79</v>
      </c>
      <c r="O482" t="str">
        <f>LOOKUP(D482,Sheet2!$M$4:$N$8)</f>
        <v>30-39</v>
      </c>
      <c r="P482" t="str">
        <f>LOOKUP(E482,Sheet2!$P$4:$Q$9)</f>
        <v>300-499</v>
      </c>
      <c r="Q482" t="str">
        <f>LOOKUP(F482,Sheet2!$S$4:$T$8)</f>
        <v>31-35</v>
      </c>
      <c r="R482" t="str">
        <f>LOOKUP(G482,Sheet2!$V$4:$W$7)</f>
        <v>0.25 - 0.39</v>
      </c>
      <c r="S482" t="str">
        <f>LOOKUP(H482,Sheet2!$Z$4:$AA$7)</f>
        <v>26-35</v>
      </c>
      <c r="T482" t="str">
        <f t="shared" si="21"/>
        <v>Positive</v>
      </c>
      <c r="U482" t="str">
        <f t="shared" si="22"/>
        <v>Positive</v>
      </c>
      <c r="V482" s="1" t="str">
        <f t="shared" si="23"/>
        <v>Accurate Prediction</v>
      </c>
    </row>
    <row r="483" spans="1:22" x14ac:dyDescent="0.25">
      <c r="A483" s="1">
        <v>0</v>
      </c>
      <c r="B483" s="1">
        <v>123</v>
      </c>
      <c r="C483" s="1">
        <v>88</v>
      </c>
      <c r="D483" s="1">
        <v>37</v>
      </c>
      <c r="E483" s="1">
        <v>0</v>
      </c>
      <c r="F483" s="1">
        <v>35.200000000000003</v>
      </c>
      <c r="G483" s="1">
        <v>0.19700000000000001</v>
      </c>
      <c r="H483" s="1">
        <v>29</v>
      </c>
      <c r="I483" s="1">
        <v>0</v>
      </c>
      <c r="J483" s="1" t="str">
        <f>IFERROR(VLOOKUP(K483,[1]diabetes_Recognition!$A:$B,2,FALSE),"Not Sampled")</f>
        <v>Not Sampled</v>
      </c>
      <c r="K483" s="1">
        <v>481</v>
      </c>
      <c r="L483" s="1">
        <f>LOOKUP(A483,Sheet2!$D$4:$E$9)</f>
        <v>0</v>
      </c>
      <c r="M483" t="str">
        <f>LOOKUP(B483,Sheet2!$G$4:$H$9)</f>
        <v>100-125</v>
      </c>
      <c r="N483" t="str">
        <f>LOOKUP(C483,Sheet2!$J$4:$K$8)</f>
        <v>80+</v>
      </c>
      <c r="O483" t="str">
        <f>LOOKUP(D483,Sheet2!$M$4:$N$8)</f>
        <v>30-39</v>
      </c>
      <c r="P483" t="str">
        <f>LOOKUP(E483,Sheet2!$P$4:$Q$9)</f>
        <v>Unknown</v>
      </c>
      <c r="Q483" t="str">
        <f>LOOKUP(F483,Sheet2!$S$4:$T$8)</f>
        <v>31-35</v>
      </c>
      <c r="R483" t="str">
        <f>LOOKUP(G483,Sheet2!$V$4:$W$7)</f>
        <v>0.0 - 0.249</v>
      </c>
      <c r="S483" t="str">
        <f>LOOKUP(H483,Sheet2!$Z$4:$AA$7)</f>
        <v>26-35</v>
      </c>
      <c r="T483" t="str">
        <f t="shared" si="21"/>
        <v>Negative</v>
      </c>
      <c r="U483" t="str">
        <f t="shared" si="22"/>
        <v>Not Sampled</v>
      </c>
      <c r="V483" s="1" t="str">
        <f t="shared" si="23"/>
        <v>Not Sampled</v>
      </c>
    </row>
    <row r="484" spans="1:22" x14ac:dyDescent="0.25">
      <c r="A484" s="1">
        <v>4</v>
      </c>
      <c r="B484" s="1">
        <v>85</v>
      </c>
      <c r="C484" s="1">
        <v>58</v>
      </c>
      <c r="D484" s="1">
        <v>22</v>
      </c>
      <c r="E484" s="1">
        <v>49</v>
      </c>
      <c r="F484" s="1">
        <v>27.8</v>
      </c>
      <c r="G484" s="1">
        <v>0.30599999999999999</v>
      </c>
      <c r="H484" s="1">
        <v>28</v>
      </c>
      <c r="I484" s="1">
        <v>0</v>
      </c>
      <c r="J484" s="1" t="str">
        <f>IFERROR(VLOOKUP(K484,[1]diabetes_Recognition!$A:$B,2,FALSE),"Not Sampled")</f>
        <v>Not Sampled</v>
      </c>
      <c r="K484" s="1">
        <v>482</v>
      </c>
      <c r="L484" s="1" t="str">
        <f>LOOKUP(A484,Sheet2!$D$4:$E$9)</f>
        <v>3-4</v>
      </c>
      <c r="M484" t="str">
        <f>LOOKUP(B484,Sheet2!$G$4:$H$9)</f>
        <v>1-99</v>
      </c>
      <c r="N484" t="str">
        <f>LOOKUP(C484,Sheet2!$J$4:$K$8)</f>
        <v>1-59</v>
      </c>
      <c r="O484" t="str">
        <f>LOOKUP(D484,Sheet2!$M$4:$N$8)</f>
        <v>10-30</v>
      </c>
      <c r="P484" t="str">
        <f>LOOKUP(E484,Sheet2!$P$4:$Q$9)</f>
        <v>1-99</v>
      </c>
      <c r="Q484" t="str">
        <f>LOOKUP(F484,Sheet2!$S$4:$T$8)</f>
        <v>26-30</v>
      </c>
      <c r="R484" t="str">
        <f>LOOKUP(G484,Sheet2!$V$4:$W$7)</f>
        <v>0.25 - 0.39</v>
      </c>
      <c r="S484" t="str">
        <f>LOOKUP(H484,Sheet2!$Z$4:$AA$7)</f>
        <v>26-35</v>
      </c>
      <c r="T484" t="str">
        <f t="shared" si="21"/>
        <v>Negative</v>
      </c>
      <c r="U484" t="str">
        <f t="shared" si="22"/>
        <v>Not Sampled</v>
      </c>
      <c r="V484" s="1" t="str">
        <f t="shared" si="23"/>
        <v>Not Sampled</v>
      </c>
    </row>
    <row r="485" spans="1:22" x14ac:dyDescent="0.25">
      <c r="A485" s="1">
        <v>0</v>
      </c>
      <c r="B485" s="1">
        <v>84</v>
      </c>
      <c r="C485" s="1">
        <v>82</v>
      </c>
      <c r="D485" s="1">
        <v>31</v>
      </c>
      <c r="E485" s="1">
        <v>125</v>
      </c>
      <c r="F485" s="1">
        <v>38.200000000000003</v>
      </c>
      <c r="G485" s="1">
        <v>0.23300000000000001</v>
      </c>
      <c r="H485" s="1">
        <v>23</v>
      </c>
      <c r="I485" s="1">
        <v>0</v>
      </c>
      <c r="J485" s="1" t="str">
        <f>IFERROR(VLOOKUP(K485,[1]diabetes_Recognition!$A:$B,2,FALSE),"Not Sampled")</f>
        <v>Not Sampled</v>
      </c>
      <c r="K485" s="1">
        <v>483</v>
      </c>
      <c r="L485" s="1">
        <f>LOOKUP(A485,Sheet2!$D$4:$E$9)</f>
        <v>0</v>
      </c>
      <c r="M485" t="str">
        <f>LOOKUP(B485,Sheet2!$G$4:$H$9)</f>
        <v>1-99</v>
      </c>
      <c r="N485" t="str">
        <f>LOOKUP(C485,Sheet2!$J$4:$K$8)</f>
        <v>80+</v>
      </c>
      <c r="O485" t="str">
        <f>LOOKUP(D485,Sheet2!$M$4:$N$8)</f>
        <v>30-39</v>
      </c>
      <c r="P485" t="str">
        <f>LOOKUP(E485,Sheet2!$P$4:$Q$9)</f>
        <v>100-199</v>
      </c>
      <c r="Q485" t="str">
        <f>LOOKUP(F485,Sheet2!$S$4:$T$8)</f>
        <v>36+</v>
      </c>
      <c r="R485" t="str">
        <f>LOOKUP(G485,Sheet2!$V$4:$W$7)</f>
        <v>0.0 - 0.249</v>
      </c>
      <c r="S485" t="str">
        <f>LOOKUP(H485,Sheet2!$Z$4:$AA$7)</f>
        <v>&lt;=25</v>
      </c>
      <c r="T485" t="str">
        <f t="shared" si="21"/>
        <v>Negative</v>
      </c>
      <c r="U485" t="str">
        <f t="shared" si="22"/>
        <v>Not Sampled</v>
      </c>
      <c r="V485" s="1" t="str">
        <f t="shared" si="23"/>
        <v>Not Sampled</v>
      </c>
    </row>
    <row r="486" spans="1:22" x14ac:dyDescent="0.25">
      <c r="A486" s="1">
        <v>0</v>
      </c>
      <c r="B486" s="1">
        <v>145</v>
      </c>
      <c r="C486" s="1">
        <v>0</v>
      </c>
      <c r="D486" s="1">
        <v>0</v>
      </c>
      <c r="E486" s="1">
        <v>0</v>
      </c>
      <c r="F486" s="1">
        <v>44.2</v>
      </c>
      <c r="G486" s="1">
        <v>0.63</v>
      </c>
      <c r="H486" s="1">
        <v>31</v>
      </c>
      <c r="I486" s="1">
        <v>1</v>
      </c>
      <c r="J486" s="1" t="str">
        <f>IFERROR(VLOOKUP(K486,[1]diabetes_Recognition!$A:$B,2,FALSE),"Not Sampled")</f>
        <v>Not Sampled</v>
      </c>
      <c r="K486" s="1">
        <v>484</v>
      </c>
      <c r="L486" s="1">
        <f>LOOKUP(A486,Sheet2!$D$4:$E$9)</f>
        <v>0</v>
      </c>
      <c r="M486" t="str">
        <f>LOOKUP(B486,Sheet2!$G$4:$H$9)</f>
        <v>126-150</v>
      </c>
      <c r="N486" t="str">
        <f>LOOKUP(C486,Sheet2!$J$4:$K$8)</f>
        <v>Unknown</v>
      </c>
      <c r="O486" t="str">
        <f>LOOKUP(D486,Sheet2!$M$4:$N$8)</f>
        <v>Unknown</v>
      </c>
      <c r="P486" t="str">
        <f>LOOKUP(E486,Sheet2!$P$4:$Q$9)</f>
        <v>Unknown</v>
      </c>
      <c r="Q486" t="str">
        <f>LOOKUP(F486,Sheet2!$S$4:$T$8)</f>
        <v>36+</v>
      </c>
      <c r="R486" t="str">
        <f>LOOKUP(G486,Sheet2!$V$4:$W$7)</f>
        <v>0.4 - 0.69</v>
      </c>
      <c r="S486" t="str">
        <f>LOOKUP(H486,Sheet2!$Z$4:$AA$7)</f>
        <v>26-35</v>
      </c>
      <c r="T486" t="str">
        <f t="shared" si="21"/>
        <v>Positive</v>
      </c>
      <c r="U486" t="str">
        <f t="shared" si="22"/>
        <v>Not Sampled</v>
      </c>
      <c r="V486" s="1" t="str">
        <f t="shared" si="23"/>
        <v>Not Sampled</v>
      </c>
    </row>
    <row r="487" spans="1:22" x14ac:dyDescent="0.25">
      <c r="A487" s="1">
        <v>0</v>
      </c>
      <c r="B487" s="1">
        <v>135</v>
      </c>
      <c r="C487" s="1">
        <v>68</v>
      </c>
      <c r="D487" s="1">
        <v>42</v>
      </c>
      <c r="E487" s="1">
        <v>250</v>
      </c>
      <c r="F487" s="1">
        <v>42.3</v>
      </c>
      <c r="G487" s="1">
        <v>0.36499999999999999</v>
      </c>
      <c r="H487" s="1">
        <v>24</v>
      </c>
      <c r="I487" s="1">
        <v>1</v>
      </c>
      <c r="J487" s="1" t="str">
        <f>IFERROR(VLOOKUP(K487,[1]diabetes_Recognition!$A:$B,2,FALSE),"Not Sampled")</f>
        <v>Not Sampled</v>
      </c>
      <c r="K487" s="1">
        <v>485</v>
      </c>
      <c r="L487" s="1">
        <f>LOOKUP(A487,Sheet2!$D$4:$E$9)</f>
        <v>0</v>
      </c>
      <c r="M487" t="str">
        <f>LOOKUP(B487,Sheet2!$G$4:$H$9)</f>
        <v>126-150</v>
      </c>
      <c r="N487" t="str">
        <f>LOOKUP(C487,Sheet2!$J$4:$K$8)</f>
        <v>60-69</v>
      </c>
      <c r="O487" t="str">
        <f>LOOKUP(D487,Sheet2!$M$4:$N$8)</f>
        <v>40+</v>
      </c>
      <c r="P487" t="str">
        <f>LOOKUP(E487,Sheet2!$P$4:$Q$9)</f>
        <v>200-399</v>
      </c>
      <c r="Q487" t="str">
        <f>LOOKUP(F487,Sheet2!$S$4:$T$8)</f>
        <v>36+</v>
      </c>
      <c r="R487" t="str">
        <f>LOOKUP(G487,Sheet2!$V$4:$W$7)</f>
        <v>0.25 - 0.39</v>
      </c>
      <c r="S487" t="str">
        <f>LOOKUP(H487,Sheet2!$Z$4:$AA$7)</f>
        <v>&lt;=25</v>
      </c>
      <c r="T487" t="str">
        <f t="shared" si="21"/>
        <v>Positive</v>
      </c>
      <c r="U487" t="str">
        <f t="shared" si="22"/>
        <v>Not Sampled</v>
      </c>
      <c r="V487" s="1" t="str">
        <f t="shared" si="23"/>
        <v>Not Sampled</v>
      </c>
    </row>
    <row r="488" spans="1:22" x14ac:dyDescent="0.25">
      <c r="A488" s="1">
        <v>1</v>
      </c>
      <c r="B488" s="1">
        <v>139</v>
      </c>
      <c r="C488" s="1">
        <v>62</v>
      </c>
      <c r="D488" s="1">
        <v>41</v>
      </c>
      <c r="E488" s="1">
        <v>480</v>
      </c>
      <c r="F488" s="1">
        <v>40.700000000000003</v>
      </c>
      <c r="G488" s="1">
        <v>0.53600000000000003</v>
      </c>
      <c r="H488" s="1">
        <v>21</v>
      </c>
      <c r="I488" s="1">
        <v>0</v>
      </c>
      <c r="J488" s="1">
        <f>IFERROR(VLOOKUP(K488,[1]diabetes_Recognition!$A:$B,2,FALSE),"Not Sampled")</f>
        <v>0</v>
      </c>
      <c r="K488" s="1">
        <v>486</v>
      </c>
      <c r="L488" s="1">
        <f>LOOKUP(A488,Sheet2!$D$4:$E$9)</f>
        <v>1</v>
      </c>
      <c r="M488" t="str">
        <f>LOOKUP(B488,Sheet2!$G$4:$H$9)</f>
        <v>126-150</v>
      </c>
      <c r="N488" t="str">
        <f>LOOKUP(C488,Sheet2!$J$4:$K$8)</f>
        <v>60-69</v>
      </c>
      <c r="O488" t="str">
        <f>LOOKUP(D488,Sheet2!$M$4:$N$8)</f>
        <v>40+</v>
      </c>
      <c r="P488" t="str">
        <f>LOOKUP(E488,Sheet2!$P$4:$Q$9)</f>
        <v>300-499</v>
      </c>
      <c r="Q488" t="str">
        <f>LOOKUP(F488,Sheet2!$S$4:$T$8)</f>
        <v>36+</v>
      </c>
      <c r="R488" t="str">
        <f>LOOKUP(G488,Sheet2!$V$4:$W$7)</f>
        <v>0.4 - 0.69</v>
      </c>
      <c r="S488" t="str">
        <f>LOOKUP(H488,Sheet2!$Z$4:$AA$7)</f>
        <v>&lt;=25</v>
      </c>
      <c r="T488" t="str">
        <f t="shared" si="21"/>
        <v>Negative</v>
      </c>
      <c r="U488" t="str">
        <f t="shared" si="22"/>
        <v>Negative</v>
      </c>
      <c r="V488" s="1" t="str">
        <f t="shared" si="23"/>
        <v>Accurate Prediction</v>
      </c>
    </row>
    <row r="489" spans="1:22" x14ac:dyDescent="0.25">
      <c r="A489" s="1">
        <v>0</v>
      </c>
      <c r="B489" s="1">
        <v>173</v>
      </c>
      <c r="C489" s="1">
        <v>78</v>
      </c>
      <c r="D489" s="1">
        <v>32</v>
      </c>
      <c r="E489" s="1">
        <v>265</v>
      </c>
      <c r="F489" s="1">
        <v>46.5</v>
      </c>
      <c r="G489" s="1">
        <v>1.159</v>
      </c>
      <c r="H489" s="1">
        <v>58</v>
      </c>
      <c r="I489" s="1">
        <v>0</v>
      </c>
      <c r="J489" s="1" t="str">
        <f>IFERROR(VLOOKUP(K489,[1]diabetes_Recognition!$A:$B,2,FALSE),"Not Sampled")</f>
        <v>Not Sampled</v>
      </c>
      <c r="K489" s="1">
        <v>487</v>
      </c>
      <c r="L489" s="1">
        <f>LOOKUP(A489,Sheet2!$D$4:$E$9)</f>
        <v>0</v>
      </c>
      <c r="M489" t="str">
        <f>LOOKUP(B489,Sheet2!$G$4:$H$9)</f>
        <v>151-175</v>
      </c>
      <c r="N489" t="str">
        <f>LOOKUP(C489,Sheet2!$J$4:$K$8)</f>
        <v>70-79</v>
      </c>
      <c r="O489" t="str">
        <f>LOOKUP(D489,Sheet2!$M$4:$N$8)</f>
        <v>30-39</v>
      </c>
      <c r="P489" t="str">
        <f>LOOKUP(E489,Sheet2!$P$4:$Q$9)</f>
        <v>200-399</v>
      </c>
      <c r="Q489" t="str">
        <f>LOOKUP(F489,Sheet2!$S$4:$T$8)</f>
        <v>36+</v>
      </c>
      <c r="R489" t="str">
        <f>LOOKUP(G489,Sheet2!$V$4:$W$7)</f>
        <v>0.7+</v>
      </c>
      <c r="S489" t="str">
        <f>LOOKUP(H489,Sheet2!$Z$4:$AA$7)</f>
        <v>46+</v>
      </c>
      <c r="T489" t="str">
        <f t="shared" si="21"/>
        <v>Negative</v>
      </c>
      <c r="U489" t="str">
        <f t="shared" si="22"/>
        <v>Not Sampled</v>
      </c>
      <c r="V489" s="1" t="str">
        <f t="shared" si="23"/>
        <v>Not Sampled</v>
      </c>
    </row>
    <row r="490" spans="1:22" x14ac:dyDescent="0.25">
      <c r="A490" s="1">
        <v>4</v>
      </c>
      <c r="B490" s="1">
        <v>99</v>
      </c>
      <c r="C490" s="1">
        <v>72</v>
      </c>
      <c r="D490" s="1">
        <v>17</v>
      </c>
      <c r="E490" s="1">
        <v>0</v>
      </c>
      <c r="F490" s="1">
        <v>25.6</v>
      </c>
      <c r="G490" s="1">
        <v>0.29399999999999998</v>
      </c>
      <c r="H490" s="1">
        <v>28</v>
      </c>
      <c r="I490" s="1">
        <v>0</v>
      </c>
      <c r="J490" s="1" t="str">
        <f>IFERROR(VLOOKUP(K490,[1]diabetes_Recognition!$A:$B,2,FALSE),"Not Sampled")</f>
        <v>Not Sampled</v>
      </c>
      <c r="K490" s="1">
        <v>488</v>
      </c>
      <c r="L490" s="1" t="str">
        <f>LOOKUP(A490,Sheet2!$D$4:$E$9)</f>
        <v>3-4</v>
      </c>
      <c r="M490" t="str">
        <f>LOOKUP(B490,Sheet2!$G$4:$H$9)</f>
        <v>1-99</v>
      </c>
      <c r="N490" t="str">
        <f>LOOKUP(C490,Sheet2!$J$4:$K$8)</f>
        <v>70-79</v>
      </c>
      <c r="O490" t="str">
        <f>LOOKUP(D490,Sheet2!$M$4:$N$8)</f>
        <v>10-30</v>
      </c>
      <c r="P490" t="str">
        <f>LOOKUP(E490,Sheet2!$P$4:$Q$9)</f>
        <v>Unknown</v>
      </c>
      <c r="Q490" t="str">
        <f>LOOKUP(F490,Sheet2!$S$4:$T$8)</f>
        <v>1-25</v>
      </c>
      <c r="R490" t="str">
        <f>LOOKUP(G490,Sheet2!$V$4:$W$7)</f>
        <v>0.25 - 0.39</v>
      </c>
      <c r="S490" t="str">
        <f>LOOKUP(H490,Sheet2!$Z$4:$AA$7)</f>
        <v>26-35</v>
      </c>
      <c r="T490" t="str">
        <f t="shared" si="21"/>
        <v>Negative</v>
      </c>
      <c r="U490" t="str">
        <f t="shared" si="22"/>
        <v>Not Sampled</v>
      </c>
      <c r="V490" s="1" t="str">
        <f t="shared" si="23"/>
        <v>Not Sampled</v>
      </c>
    </row>
    <row r="491" spans="1:22" x14ac:dyDescent="0.25">
      <c r="A491" s="1">
        <v>8</v>
      </c>
      <c r="B491" s="1">
        <v>194</v>
      </c>
      <c r="C491" s="1">
        <v>80</v>
      </c>
      <c r="D491" s="1">
        <v>0</v>
      </c>
      <c r="E491" s="1">
        <v>0</v>
      </c>
      <c r="F491" s="1">
        <v>26.1</v>
      </c>
      <c r="G491" s="1">
        <v>0.55100000000000005</v>
      </c>
      <c r="H491" s="1">
        <v>67</v>
      </c>
      <c r="I491" s="1">
        <v>0</v>
      </c>
      <c r="J491" s="1" t="str">
        <f>IFERROR(VLOOKUP(K491,[1]diabetes_Recognition!$A:$B,2,FALSE),"Not Sampled")</f>
        <v>Not Sampled</v>
      </c>
      <c r="K491" s="1">
        <v>489</v>
      </c>
      <c r="L491" s="1" t="str">
        <f>LOOKUP(A491,Sheet2!$D$4:$E$9)</f>
        <v>8+</v>
      </c>
      <c r="M491" t="str">
        <f>LOOKUP(B491,Sheet2!$G$4:$H$9)</f>
        <v>176-200</v>
      </c>
      <c r="N491" t="str">
        <f>LOOKUP(C491,Sheet2!$J$4:$K$8)</f>
        <v>80+</v>
      </c>
      <c r="O491" t="str">
        <f>LOOKUP(D491,Sheet2!$M$4:$N$8)</f>
        <v>Unknown</v>
      </c>
      <c r="P491" t="str">
        <f>LOOKUP(E491,Sheet2!$P$4:$Q$9)</f>
        <v>Unknown</v>
      </c>
      <c r="Q491" t="str">
        <f>LOOKUP(F491,Sheet2!$S$4:$T$8)</f>
        <v>26-30</v>
      </c>
      <c r="R491" t="str">
        <f>LOOKUP(G491,Sheet2!$V$4:$W$7)</f>
        <v>0.4 - 0.69</v>
      </c>
      <c r="S491" t="str">
        <f>LOOKUP(H491,Sheet2!$Z$4:$AA$7)</f>
        <v>46+</v>
      </c>
      <c r="T491" t="str">
        <f t="shared" si="21"/>
        <v>Negative</v>
      </c>
      <c r="U491" t="str">
        <f t="shared" si="22"/>
        <v>Not Sampled</v>
      </c>
      <c r="V491" s="1" t="str">
        <f t="shared" si="23"/>
        <v>Not Sampled</v>
      </c>
    </row>
    <row r="492" spans="1:22" x14ac:dyDescent="0.25">
      <c r="A492" s="1">
        <v>2</v>
      </c>
      <c r="B492" s="1">
        <v>83</v>
      </c>
      <c r="C492" s="1">
        <v>65</v>
      </c>
      <c r="D492" s="1">
        <v>28</v>
      </c>
      <c r="E492" s="1">
        <v>66</v>
      </c>
      <c r="F492" s="1">
        <v>36.799999999999997</v>
      </c>
      <c r="G492" s="1">
        <v>0.629</v>
      </c>
      <c r="H492" s="1">
        <v>24</v>
      </c>
      <c r="I492" s="1">
        <v>0</v>
      </c>
      <c r="J492" s="1" t="str">
        <f>IFERROR(VLOOKUP(K492,[1]diabetes_Recognition!$A:$B,2,FALSE),"Not Sampled")</f>
        <v>Not Sampled</v>
      </c>
      <c r="K492" s="1">
        <v>490</v>
      </c>
      <c r="L492" s="1">
        <f>LOOKUP(A492,Sheet2!$D$4:$E$9)</f>
        <v>2</v>
      </c>
      <c r="M492" t="str">
        <f>LOOKUP(B492,Sheet2!$G$4:$H$9)</f>
        <v>1-99</v>
      </c>
      <c r="N492" t="str">
        <f>LOOKUP(C492,Sheet2!$J$4:$K$8)</f>
        <v>60-69</v>
      </c>
      <c r="O492" t="str">
        <f>LOOKUP(D492,Sheet2!$M$4:$N$8)</f>
        <v>10-30</v>
      </c>
      <c r="P492" t="str">
        <f>LOOKUP(E492,Sheet2!$P$4:$Q$9)</f>
        <v>1-99</v>
      </c>
      <c r="Q492" t="str">
        <f>LOOKUP(F492,Sheet2!$S$4:$T$8)</f>
        <v>36+</v>
      </c>
      <c r="R492" t="str">
        <f>LOOKUP(G492,Sheet2!$V$4:$W$7)</f>
        <v>0.4 - 0.69</v>
      </c>
      <c r="S492" t="str">
        <f>LOOKUP(H492,Sheet2!$Z$4:$AA$7)</f>
        <v>&lt;=25</v>
      </c>
      <c r="T492" t="str">
        <f t="shared" si="21"/>
        <v>Negative</v>
      </c>
      <c r="U492" t="str">
        <f t="shared" si="22"/>
        <v>Not Sampled</v>
      </c>
      <c r="V492" s="1" t="str">
        <f t="shared" si="23"/>
        <v>Not Sampled</v>
      </c>
    </row>
    <row r="493" spans="1:22" x14ac:dyDescent="0.25">
      <c r="A493" s="1">
        <v>2</v>
      </c>
      <c r="B493" s="1">
        <v>89</v>
      </c>
      <c r="C493" s="1">
        <v>90</v>
      </c>
      <c r="D493" s="1">
        <v>30</v>
      </c>
      <c r="E493" s="1">
        <v>0</v>
      </c>
      <c r="F493" s="1">
        <v>33.5</v>
      </c>
      <c r="G493" s="1">
        <v>0.29199999999999998</v>
      </c>
      <c r="H493" s="1">
        <v>42</v>
      </c>
      <c r="I493" s="1">
        <v>0</v>
      </c>
      <c r="J493" s="1" t="str">
        <f>IFERROR(VLOOKUP(K493,[1]diabetes_Recognition!$A:$B,2,FALSE),"Not Sampled")</f>
        <v>Not Sampled</v>
      </c>
      <c r="K493" s="1">
        <v>491</v>
      </c>
      <c r="L493" s="1">
        <f>LOOKUP(A493,Sheet2!$D$4:$E$9)</f>
        <v>2</v>
      </c>
      <c r="M493" t="str">
        <f>LOOKUP(B493,Sheet2!$G$4:$H$9)</f>
        <v>1-99</v>
      </c>
      <c r="N493" t="str">
        <f>LOOKUP(C493,Sheet2!$J$4:$K$8)</f>
        <v>80+</v>
      </c>
      <c r="O493" t="str">
        <f>LOOKUP(D493,Sheet2!$M$4:$N$8)</f>
        <v>30-39</v>
      </c>
      <c r="P493" t="str">
        <f>LOOKUP(E493,Sheet2!$P$4:$Q$9)</f>
        <v>Unknown</v>
      </c>
      <c r="Q493" t="str">
        <f>LOOKUP(F493,Sheet2!$S$4:$T$8)</f>
        <v>31-35</v>
      </c>
      <c r="R493" t="str">
        <f>LOOKUP(G493,Sheet2!$V$4:$W$7)</f>
        <v>0.25 - 0.39</v>
      </c>
      <c r="S493" t="str">
        <f>LOOKUP(H493,Sheet2!$Z$4:$AA$7)</f>
        <v>36-45</v>
      </c>
      <c r="T493" t="str">
        <f t="shared" si="21"/>
        <v>Negative</v>
      </c>
      <c r="U493" t="str">
        <f t="shared" si="22"/>
        <v>Not Sampled</v>
      </c>
      <c r="V493" s="1" t="str">
        <f t="shared" si="23"/>
        <v>Not Sampled</v>
      </c>
    </row>
    <row r="494" spans="1:22" x14ac:dyDescent="0.25">
      <c r="A494" s="1">
        <v>4</v>
      </c>
      <c r="B494" s="1">
        <v>99</v>
      </c>
      <c r="C494" s="1">
        <v>68</v>
      </c>
      <c r="D494" s="1">
        <v>38</v>
      </c>
      <c r="E494" s="1">
        <v>0</v>
      </c>
      <c r="F494" s="1">
        <v>32.799999999999997</v>
      </c>
      <c r="G494" s="1">
        <v>0.14499999999999999</v>
      </c>
      <c r="H494" s="1">
        <v>33</v>
      </c>
      <c r="I494" s="1">
        <v>0</v>
      </c>
      <c r="J494" s="1" t="str">
        <f>IFERROR(VLOOKUP(K494,[1]diabetes_Recognition!$A:$B,2,FALSE),"Not Sampled")</f>
        <v>Not Sampled</v>
      </c>
      <c r="K494" s="1">
        <v>492</v>
      </c>
      <c r="L494" s="1" t="str">
        <f>LOOKUP(A494,Sheet2!$D$4:$E$9)</f>
        <v>3-4</v>
      </c>
      <c r="M494" t="str">
        <f>LOOKUP(B494,Sheet2!$G$4:$H$9)</f>
        <v>1-99</v>
      </c>
      <c r="N494" t="str">
        <f>LOOKUP(C494,Sheet2!$J$4:$K$8)</f>
        <v>60-69</v>
      </c>
      <c r="O494" t="str">
        <f>LOOKUP(D494,Sheet2!$M$4:$N$8)</f>
        <v>30-39</v>
      </c>
      <c r="P494" t="str">
        <f>LOOKUP(E494,Sheet2!$P$4:$Q$9)</f>
        <v>Unknown</v>
      </c>
      <c r="Q494" t="str">
        <f>LOOKUP(F494,Sheet2!$S$4:$T$8)</f>
        <v>31-35</v>
      </c>
      <c r="R494" t="str">
        <f>LOOKUP(G494,Sheet2!$V$4:$W$7)</f>
        <v>0.0 - 0.249</v>
      </c>
      <c r="S494" t="str">
        <f>LOOKUP(H494,Sheet2!$Z$4:$AA$7)</f>
        <v>26-35</v>
      </c>
      <c r="T494" t="str">
        <f t="shared" si="21"/>
        <v>Negative</v>
      </c>
      <c r="U494" t="str">
        <f t="shared" si="22"/>
        <v>Not Sampled</v>
      </c>
      <c r="V494" s="1" t="str">
        <f t="shared" si="23"/>
        <v>Not Sampled</v>
      </c>
    </row>
    <row r="495" spans="1:22" x14ac:dyDescent="0.25">
      <c r="A495" s="1">
        <v>4</v>
      </c>
      <c r="B495" s="1">
        <v>125</v>
      </c>
      <c r="C495" s="1">
        <v>70</v>
      </c>
      <c r="D495" s="1">
        <v>18</v>
      </c>
      <c r="E495" s="1">
        <v>122</v>
      </c>
      <c r="F495" s="1">
        <v>28.9</v>
      </c>
      <c r="G495" s="1">
        <v>1.1439999999999999</v>
      </c>
      <c r="H495" s="1">
        <v>45</v>
      </c>
      <c r="I495" s="1">
        <v>1</v>
      </c>
      <c r="J495" s="1" t="str">
        <f>IFERROR(VLOOKUP(K495,[1]diabetes_Recognition!$A:$B,2,FALSE),"Not Sampled")</f>
        <v>Not Sampled</v>
      </c>
      <c r="K495" s="1">
        <v>493</v>
      </c>
      <c r="L495" s="1" t="str">
        <f>LOOKUP(A495,Sheet2!$D$4:$E$9)</f>
        <v>3-4</v>
      </c>
      <c r="M495" t="str">
        <f>LOOKUP(B495,Sheet2!$G$4:$H$9)</f>
        <v>100-125</v>
      </c>
      <c r="N495" t="str">
        <f>LOOKUP(C495,Sheet2!$J$4:$K$8)</f>
        <v>70-79</v>
      </c>
      <c r="O495" t="str">
        <f>LOOKUP(D495,Sheet2!$M$4:$N$8)</f>
        <v>10-30</v>
      </c>
      <c r="P495" t="str">
        <f>LOOKUP(E495,Sheet2!$P$4:$Q$9)</f>
        <v>100-199</v>
      </c>
      <c r="Q495" t="str">
        <f>LOOKUP(F495,Sheet2!$S$4:$T$8)</f>
        <v>26-30</v>
      </c>
      <c r="R495" t="str">
        <f>LOOKUP(G495,Sheet2!$V$4:$W$7)</f>
        <v>0.7+</v>
      </c>
      <c r="S495" t="str">
        <f>LOOKUP(H495,Sheet2!$Z$4:$AA$7)</f>
        <v>36-45</v>
      </c>
      <c r="T495" t="str">
        <f t="shared" si="21"/>
        <v>Positive</v>
      </c>
      <c r="U495" t="str">
        <f t="shared" si="22"/>
        <v>Not Sampled</v>
      </c>
      <c r="V495" s="1" t="str">
        <f t="shared" si="23"/>
        <v>Not Sampled</v>
      </c>
    </row>
    <row r="496" spans="1:22" x14ac:dyDescent="0.25">
      <c r="A496" s="1">
        <v>3</v>
      </c>
      <c r="B496" s="1">
        <v>80</v>
      </c>
      <c r="C496" s="1">
        <v>0</v>
      </c>
      <c r="D496" s="1">
        <v>0</v>
      </c>
      <c r="E496" s="1">
        <v>0</v>
      </c>
      <c r="F496" s="1">
        <v>0</v>
      </c>
      <c r="G496" s="1">
        <v>0.17399999999999999</v>
      </c>
      <c r="H496" s="1">
        <v>22</v>
      </c>
      <c r="I496" s="1">
        <v>0</v>
      </c>
      <c r="J496" s="1" t="str">
        <f>IFERROR(VLOOKUP(K496,[1]diabetes_Recognition!$A:$B,2,FALSE),"Not Sampled")</f>
        <v>Not Sampled</v>
      </c>
      <c r="K496" s="1">
        <v>494</v>
      </c>
      <c r="L496" s="1" t="str">
        <f>LOOKUP(A496,Sheet2!$D$4:$E$9)</f>
        <v>3-4</v>
      </c>
      <c r="M496" t="str">
        <f>LOOKUP(B496,Sheet2!$G$4:$H$9)</f>
        <v>1-99</v>
      </c>
      <c r="N496" t="str">
        <f>LOOKUP(C496,Sheet2!$J$4:$K$8)</f>
        <v>Unknown</v>
      </c>
      <c r="O496" t="str">
        <f>LOOKUP(D496,Sheet2!$M$4:$N$8)</f>
        <v>Unknown</v>
      </c>
      <c r="P496" t="str">
        <f>LOOKUP(E496,Sheet2!$P$4:$Q$9)</f>
        <v>Unknown</v>
      </c>
      <c r="Q496" t="str">
        <f>LOOKUP(F496,Sheet2!$S$4:$T$8)</f>
        <v>Unknown</v>
      </c>
      <c r="R496" t="str">
        <f>LOOKUP(G496,Sheet2!$V$4:$W$7)</f>
        <v>0.0 - 0.249</v>
      </c>
      <c r="S496" t="str">
        <f>LOOKUP(H496,Sheet2!$Z$4:$AA$7)</f>
        <v>&lt;=25</v>
      </c>
      <c r="T496" t="str">
        <f t="shared" si="21"/>
        <v>Negative</v>
      </c>
      <c r="U496" t="str">
        <f t="shared" si="22"/>
        <v>Not Sampled</v>
      </c>
      <c r="V496" s="1" t="str">
        <f t="shared" si="23"/>
        <v>Not Sampled</v>
      </c>
    </row>
    <row r="497" spans="1:22" x14ac:dyDescent="0.25">
      <c r="A497" s="1">
        <v>6</v>
      </c>
      <c r="B497" s="1">
        <v>166</v>
      </c>
      <c r="C497" s="1">
        <v>74</v>
      </c>
      <c r="D497" s="1">
        <v>0</v>
      </c>
      <c r="E497" s="1">
        <v>0</v>
      </c>
      <c r="F497" s="1">
        <v>26.6</v>
      </c>
      <c r="G497" s="1">
        <v>0.30399999999999999</v>
      </c>
      <c r="H497" s="1">
        <v>66</v>
      </c>
      <c r="I497" s="1">
        <v>0</v>
      </c>
      <c r="J497" s="1" t="str">
        <f>IFERROR(VLOOKUP(K497,[1]diabetes_Recognition!$A:$B,2,FALSE),"Not Sampled")</f>
        <v>Not Sampled</v>
      </c>
      <c r="K497" s="1">
        <v>495</v>
      </c>
      <c r="L497" s="1" t="str">
        <f>LOOKUP(A497,Sheet2!$D$4:$E$9)</f>
        <v>5-7</v>
      </c>
      <c r="M497" t="str">
        <f>LOOKUP(B497,Sheet2!$G$4:$H$9)</f>
        <v>151-175</v>
      </c>
      <c r="N497" t="str">
        <f>LOOKUP(C497,Sheet2!$J$4:$K$8)</f>
        <v>70-79</v>
      </c>
      <c r="O497" t="str">
        <f>LOOKUP(D497,Sheet2!$M$4:$N$8)</f>
        <v>Unknown</v>
      </c>
      <c r="P497" t="str">
        <f>LOOKUP(E497,Sheet2!$P$4:$Q$9)</f>
        <v>Unknown</v>
      </c>
      <c r="Q497" t="str">
        <f>LOOKUP(F497,Sheet2!$S$4:$T$8)</f>
        <v>26-30</v>
      </c>
      <c r="R497" t="str">
        <f>LOOKUP(G497,Sheet2!$V$4:$W$7)</f>
        <v>0.25 - 0.39</v>
      </c>
      <c r="S497" t="str">
        <f>LOOKUP(H497,Sheet2!$Z$4:$AA$7)</f>
        <v>46+</v>
      </c>
      <c r="T497" t="str">
        <f t="shared" si="21"/>
        <v>Negative</v>
      </c>
      <c r="U497" t="str">
        <f t="shared" si="22"/>
        <v>Not Sampled</v>
      </c>
      <c r="V497" s="1" t="str">
        <f t="shared" si="23"/>
        <v>Not Sampled</v>
      </c>
    </row>
    <row r="498" spans="1:22" x14ac:dyDescent="0.25">
      <c r="A498" s="1">
        <v>5</v>
      </c>
      <c r="B498" s="1">
        <v>110</v>
      </c>
      <c r="C498" s="1">
        <v>68</v>
      </c>
      <c r="D498" s="1">
        <v>0</v>
      </c>
      <c r="E498" s="1">
        <v>0</v>
      </c>
      <c r="F498" s="1">
        <v>26</v>
      </c>
      <c r="G498" s="1">
        <v>0.29199999999999998</v>
      </c>
      <c r="H498" s="1">
        <v>30</v>
      </c>
      <c r="I498" s="1">
        <v>0</v>
      </c>
      <c r="J498" s="1" t="str">
        <f>IFERROR(VLOOKUP(K498,[1]diabetes_Recognition!$A:$B,2,FALSE),"Not Sampled")</f>
        <v>Not Sampled</v>
      </c>
      <c r="K498" s="1">
        <v>496</v>
      </c>
      <c r="L498" s="1" t="str">
        <f>LOOKUP(A498,Sheet2!$D$4:$E$9)</f>
        <v>5-7</v>
      </c>
      <c r="M498" t="str">
        <f>LOOKUP(B498,Sheet2!$G$4:$H$9)</f>
        <v>100-125</v>
      </c>
      <c r="N498" t="str">
        <f>LOOKUP(C498,Sheet2!$J$4:$K$8)</f>
        <v>60-69</v>
      </c>
      <c r="O498" t="str">
        <f>LOOKUP(D498,Sheet2!$M$4:$N$8)</f>
        <v>Unknown</v>
      </c>
      <c r="P498" t="str">
        <f>LOOKUP(E498,Sheet2!$P$4:$Q$9)</f>
        <v>Unknown</v>
      </c>
      <c r="Q498" t="str">
        <f>LOOKUP(F498,Sheet2!$S$4:$T$8)</f>
        <v>26-30</v>
      </c>
      <c r="R498" t="str">
        <f>LOOKUP(G498,Sheet2!$V$4:$W$7)</f>
        <v>0.25 - 0.39</v>
      </c>
      <c r="S498" t="str">
        <f>LOOKUP(H498,Sheet2!$Z$4:$AA$7)</f>
        <v>26-35</v>
      </c>
      <c r="T498" t="str">
        <f t="shared" si="21"/>
        <v>Negative</v>
      </c>
      <c r="U498" t="str">
        <f t="shared" si="22"/>
        <v>Not Sampled</v>
      </c>
      <c r="V498" s="1" t="str">
        <f t="shared" si="23"/>
        <v>Not Sampled</v>
      </c>
    </row>
    <row r="499" spans="1:22" x14ac:dyDescent="0.25">
      <c r="A499" s="1">
        <v>2</v>
      </c>
      <c r="B499" s="1">
        <v>81</v>
      </c>
      <c r="C499" s="1">
        <v>72</v>
      </c>
      <c r="D499" s="1">
        <v>15</v>
      </c>
      <c r="E499" s="1">
        <v>76</v>
      </c>
      <c r="F499" s="1">
        <v>30.1</v>
      </c>
      <c r="G499" s="1">
        <v>0.54700000000000004</v>
      </c>
      <c r="H499" s="1">
        <v>25</v>
      </c>
      <c r="I499" s="1">
        <v>0</v>
      </c>
      <c r="J499" s="1" t="str">
        <f>IFERROR(VLOOKUP(K499,[1]diabetes_Recognition!$A:$B,2,FALSE),"Not Sampled")</f>
        <v>Not Sampled</v>
      </c>
      <c r="K499" s="1">
        <v>497</v>
      </c>
      <c r="L499" s="1">
        <f>LOOKUP(A499,Sheet2!$D$4:$E$9)</f>
        <v>2</v>
      </c>
      <c r="M499" t="str">
        <f>LOOKUP(B499,Sheet2!$G$4:$H$9)</f>
        <v>1-99</v>
      </c>
      <c r="N499" t="str">
        <f>LOOKUP(C499,Sheet2!$J$4:$K$8)</f>
        <v>70-79</v>
      </c>
      <c r="O499" t="str">
        <f>LOOKUP(D499,Sheet2!$M$4:$N$8)</f>
        <v>10-30</v>
      </c>
      <c r="P499" t="str">
        <f>LOOKUP(E499,Sheet2!$P$4:$Q$9)</f>
        <v>1-99</v>
      </c>
      <c r="Q499" t="str">
        <f>LOOKUP(F499,Sheet2!$S$4:$T$8)</f>
        <v>26-30</v>
      </c>
      <c r="R499" t="str">
        <f>LOOKUP(G499,Sheet2!$V$4:$W$7)</f>
        <v>0.4 - 0.69</v>
      </c>
      <c r="S499" t="str">
        <f>LOOKUP(H499,Sheet2!$Z$4:$AA$7)</f>
        <v>&lt;=25</v>
      </c>
      <c r="T499" t="str">
        <f t="shared" si="21"/>
        <v>Negative</v>
      </c>
      <c r="U499" t="str">
        <f t="shared" si="22"/>
        <v>Not Sampled</v>
      </c>
      <c r="V499" s="1" t="str">
        <f t="shared" si="23"/>
        <v>Not Sampled</v>
      </c>
    </row>
    <row r="500" spans="1:22" x14ac:dyDescent="0.25">
      <c r="A500" s="1">
        <v>7</v>
      </c>
      <c r="B500" s="1">
        <v>195</v>
      </c>
      <c r="C500" s="1">
        <v>70</v>
      </c>
      <c r="D500" s="1">
        <v>33</v>
      </c>
      <c r="E500" s="1">
        <v>145</v>
      </c>
      <c r="F500" s="1">
        <v>25.1</v>
      </c>
      <c r="G500" s="1">
        <v>0.16300000000000001</v>
      </c>
      <c r="H500" s="1">
        <v>55</v>
      </c>
      <c r="I500" s="1">
        <v>1</v>
      </c>
      <c r="J500" s="1" t="str">
        <f>IFERROR(VLOOKUP(K500,[1]diabetes_Recognition!$A:$B,2,FALSE),"Not Sampled")</f>
        <v>Not Sampled</v>
      </c>
      <c r="K500" s="1">
        <v>498</v>
      </c>
      <c r="L500" s="1" t="str">
        <f>LOOKUP(A500,Sheet2!$D$4:$E$9)</f>
        <v>5-7</v>
      </c>
      <c r="M500" t="str">
        <f>LOOKUP(B500,Sheet2!$G$4:$H$9)</f>
        <v>176-200</v>
      </c>
      <c r="N500" t="str">
        <f>LOOKUP(C500,Sheet2!$J$4:$K$8)</f>
        <v>70-79</v>
      </c>
      <c r="O500" t="str">
        <f>LOOKUP(D500,Sheet2!$M$4:$N$8)</f>
        <v>30-39</v>
      </c>
      <c r="P500" t="str">
        <f>LOOKUP(E500,Sheet2!$P$4:$Q$9)</f>
        <v>100-199</v>
      </c>
      <c r="Q500" t="str">
        <f>LOOKUP(F500,Sheet2!$S$4:$T$8)</f>
        <v>1-25</v>
      </c>
      <c r="R500" t="str">
        <f>LOOKUP(G500,Sheet2!$V$4:$W$7)</f>
        <v>0.0 - 0.249</v>
      </c>
      <c r="S500" t="str">
        <f>LOOKUP(H500,Sheet2!$Z$4:$AA$7)</f>
        <v>46+</v>
      </c>
      <c r="T500" t="str">
        <f t="shared" si="21"/>
        <v>Positive</v>
      </c>
      <c r="U500" t="str">
        <f t="shared" si="22"/>
        <v>Not Sampled</v>
      </c>
      <c r="V500" s="1" t="str">
        <f t="shared" si="23"/>
        <v>Not Sampled</v>
      </c>
    </row>
    <row r="501" spans="1:22" x14ac:dyDescent="0.25">
      <c r="A501" s="1">
        <v>6</v>
      </c>
      <c r="B501" s="1">
        <v>154</v>
      </c>
      <c r="C501" s="1">
        <v>74</v>
      </c>
      <c r="D501" s="1">
        <v>32</v>
      </c>
      <c r="E501" s="1">
        <v>193</v>
      </c>
      <c r="F501" s="1">
        <v>29.3</v>
      </c>
      <c r="G501" s="1">
        <v>0.83899999999999997</v>
      </c>
      <c r="H501" s="1">
        <v>39</v>
      </c>
      <c r="I501" s="1">
        <v>0</v>
      </c>
      <c r="J501" s="1" t="str">
        <f>IFERROR(VLOOKUP(K501,[1]diabetes_Recognition!$A:$B,2,FALSE),"Not Sampled")</f>
        <v>Not Sampled</v>
      </c>
      <c r="K501" s="1">
        <v>499</v>
      </c>
      <c r="L501" s="1" t="str">
        <f>LOOKUP(A501,Sheet2!$D$4:$E$9)</f>
        <v>5-7</v>
      </c>
      <c r="M501" t="str">
        <f>LOOKUP(B501,Sheet2!$G$4:$H$9)</f>
        <v>151-175</v>
      </c>
      <c r="N501" t="str">
        <f>LOOKUP(C501,Sheet2!$J$4:$K$8)</f>
        <v>70-79</v>
      </c>
      <c r="O501" t="str">
        <f>LOOKUP(D501,Sheet2!$M$4:$N$8)</f>
        <v>30-39</v>
      </c>
      <c r="P501" t="str">
        <f>LOOKUP(E501,Sheet2!$P$4:$Q$9)</f>
        <v>100-199</v>
      </c>
      <c r="Q501" t="str">
        <f>LOOKUP(F501,Sheet2!$S$4:$T$8)</f>
        <v>26-30</v>
      </c>
      <c r="R501" t="str">
        <f>LOOKUP(G501,Sheet2!$V$4:$W$7)</f>
        <v>0.7+</v>
      </c>
      <c r="S501" t="str">
        <f>LOOKUP(H501,Sheet2!$Z$4:$AA$7)</f>
        <v>36-45</v>
      </c>
      <c r="T501" t="str">
        <f t="shared" si="21"/>
        <v>Negative</v>
      </c>
      <c r="U501" t="str">
        <f t="shared" si="22"/>
        <v>Not Sampled</v>
      </c>
      <c r="V501" s="1" t="str">
        <f t="shared" si="23"/>
        <v>Not Sampled</v>
      </c>
    </row>
    <row r="502" spans="1:22" x14ac:dyDescent="0.25">
      <c r="A502" s="1">
        <v>2</v>
      </c>
      <c r="B502" s="1">
        <v>117</v>
      </c>
      <c r="C502" s="1">
        <v>90</v>
      </c>
      <c r="D502" s="1">
        <v>19</v>
      </c>
      <c r="E502" s="1">
        <v>71</v>
      </c>
      <c r="F502" s="1">
        <v>25.2</v>
      </c>
      <c r="G502" s="1">
        <v>0.313</v>
      </c>
      <c r="H502" s="1">
        <v>21</v>
      </c>
      <c r="I502" s="1">
        <v>0</v>
      </c>
      <c r="J502" s="1" t="str">
        <f>IFERROR(VLOOKUP(K502,[1]diabetes_Recognition!$A:$B,2,FALSE),"Not Sampled")</f>
        <v>Not Sampled</v>
      </c>
      <c r="K502" s="1">
        <v>500</v>
      </c>
      <c r="L502" s="1">
        <f>LOOKUP(A502,Sheet2!$D$4:$E$9)</f>
        <v>2</v>
      </c>
      <c r="M502" t="str">
        <f>LOOKUP(B502,Sheet2!$G$4:$H$9)</f>
        <v>100-125</v>
      </c>
      <c r="N502" t="str">
        <f>LOOKUP(C502,Sheet2!$J$4:$K$8)</f>
        <v>80+</v>
      </c>
      <c r="O502" t="str">
        <f>LOOKUP(D502,Sheet2!$M$4:$N$8)</f>
        <v>10-30</v>
      </c>
      <c r="P502" t="str">
        <f>LOOKUP(E502,Sheet2!$P$4:$Q$9)</f>
        <v>1-99</v>
      </c>
      <c r="Q502" t="str">
        <f>LOOKUP(F502,Sheet2!$S$4:$T$8)</f>
        <v>1-25</v>
      </c>
      <c r="R502" t="str">
        <f>LOOKUP(G502,Sheet2!$V$4:$W$7)</f>
        <v>0.25 - 0.39</v>
      </c>
      <c r="S502" t="str">
        <f>LOOKUP(H502,Sheet2!$Z$4:$AA$7)</f>
        <v>&lt;=25</v>
      </c>
      <c r="T502" t="str">
        <f t="shared" si="21"/>
        <v>Negative</v>
      </c>
      <c r="U502" t="str">
        <f t="shared" si="22"/>
        <v>Not Sampled</v>
      </c>
      <c r="V502" s="1" t="str">
        <f t="shared" si="23"/>
        <v>Not Sampled</v>
      </c>
    </row>
    <row r="503" spans="1:22" x14ac:dyDescent="0.25">
      <c r="A503" s="1">
        <v>3</v>
      </c>
      <c r="B503" s="1">
        <v>84</v>
      </c>
      <c r="C503" s="1">
        <v>72</v>
      </c>
      <c r="D503" s="1">
        <v>32</v>
      </c>
      <c r="E503" s="1">
        <v>0</v>
      </c>
      <c r="F503" s="1">
        <v>37.200000000000003</v>
      </c>
      <c r="G503" s="1">
        <v>0.26700000000000002</v>
      </c>
      <c r="H503" s="1">
        <v>28</v>
      </c>
      <c r="I503" s="1">
        <v>0</v>
      </c>
      <c r="J503" s="1" t="str">
        <f>IFERROR(VLOOKUP(K503,[1]diabetes_Recognition!$A:$B,2,FALSE),"Not Sampled")</f>
        <v>Not Sampled</v>
      </c>
      <c r="K503" s="1">
        <v>501</v>
      </c>
      <c r="L503" s="1" t="str">
        <f>LOOKUP(A503,Sheet2!$D$4:$E$9)</f>
        <v>3-4</v>
      </c>
      <c r="M503" t="str">
        <f>LOOKUP(B503,Sheet2!$G$4:$H$9)</f>
        <v>1-99</v>
      </c>
      <c r="N503" t="str">
        <f>LOOKUP(C503,Sheet2!$J$4:$K$8)</f>
        <v>70-79</v>
      </c>
      <c r="O503" t="str">
        <f>LOOKUP(D503,Sheet2!$M$4:$N$8)</f>
        <v>30-39</v>
      </c>
      <c r="P503" t="str">
        <f>LOOKUP(E503,Sheet2!$P$4:$Q$9)</f>
        <v>Unknown</v>
      </c>
      <c r="Q503" t="str">
        <f>LOOKUP(F503,Sheet2!$S$4:$T$8)</f>
        <v>36+</v>
      </c>
      <c r="R503" t="str">
        <f>LOOKUP(G503,Sheet2!$V$4:$W$7)</f>
        <v>0.25 - 0.39</v>
      </c>
      <c r="S503" t="str">
        <f>LOOKUP(H503,Sheet2!$Z$4:$AA$7)</f>
        <v>26-35</v>
      </c>
      <c r="T503" t="str">
        <f t="shared" si="21"/>
        <v>Negative</v>
      </c>
      <c r="U503" t="str">
        <f t="shared" si="22"/>
        <v>Not Sampled</v>
      </c>
      <c r="V503" s="1" t="str">
        <f t="shared" si="23"/>
        <v>Not Sampled</v>
      </c>
    </row>
    <row r="504" spans="1:22" x14ac:dyDescent="0.25">
      <c r="A504" s="1">
        <v>6</v>
      </c>
      <c r="B504" s="1">
        <v>0</v>
      </c>
      <c r="C504" s="1">
        <v>68</v>
      </c>
      <c r="D504" s="1">
        <v>41</v>
      </c>
      <c r="E504" s="1">
        <v>0</v>
      </c>
      <c r="F504" s="1">
        <v>39</v>
      </c>
      <c r="G504" s="1">
        <v>0.72699999999999998</v>
      </c>
      <c r="H504" s="1">
        <v>41</v>
      </c>
      <c r="I504" s="1">
        <v>1</v>
      </c>
      <c r="J504" s="1" t="str">
        <f>IFERROR(VLOOKUP(K504,[1]diabetes_Recognition!$A:$B,2,FALSE),"Not Sampled")</f>
        <v>Not Sampled</v>
      </c>
      <c r="K504" s="1">
        <v>502</v>
      </c>
      <c r="L504" s="1" t="str">
        <f>LOOKUP(A504,Sheet2!$D$4:$E$9)</f>
        <v>5-7</v>
      </c>
      <c r="M504" t="str">
        <f>LOOKUP(B504,Sheet2!$G$4:$H$9)</f>
        <v>Unknown</v>
      </c>
      <c r="N504" t="str">
        <f>LOOKUP(C504,Sheet2!$J$4:$K$8)</f>
        <v>60-69</v>
      </c>
      <c r="O504" t="str">
        <f>LOOKUP(D504,Sheet2!$M$4:$N$8)</f>
        <v>40+</v>
      </c>
      <c r="P504" t="str">
        <f>LOOKUP(E504,Sheet2!$P$4:$Q$9)</f>
        <v>Unknown</v>
      </c>
      <c r="Q504" t="str">
        <f>LOOKUP(F504,Sheet2!$S$4:$T$8)</f>
        <v>36+</v>
      </c>
      <c r="R504" t="str">
        <f>LOOKUP(G504,Sheet2!$V$4:$W$7)</f>
        <v>0.7+</v>
      </c>
      <c r="S504" t="str">
        <f>LOOKUP(H504,Sheet2!$Z$4:$AA$7)</f>
        <v>36-45</v>
      </c>
      <c r="T504" t="str">
        <f t="shared" si="21"/>
        <v>Positive</v>
      </c>
      <c r="U504" t="str">
        <f t="shared" si="22"/>
        <v>Not Sampled</v>
      </c>
      <c r="V504" s="1" t="str">
        <f t="shared" si="23"/>
        <v>Not Sampled</v>
      </c>
    </row>
    <row r="505" spans="1:22" x14ac:dyDescent="0.25">
      <c r="A505" s="1">
        <v>7</v>
      </c>
      <c r="B505" s="1">
        <v>94</v>
      </c>
      <c r="C505" s="1">
        <v>64</v>
      </c>
      <c r="D505" s="1">
        <v>25</v>
      </c>
      <c r="E505" s="1">
        <v>79</v>
      </c>
      <c r="F505" s="1">
        <v>33.299999999999997</v>
      </c>
      <c r="G505" s="1">
        <v>0.73799999999999999</v>
      </c>
      <c r="H505" s="1">
        <v>41</v>
      </c>
      <c r="I505" s="1">
        <v>0</v>
      </c>
      <c r="J505" s="1" t="str">
        <f>IFERROR(VLOOKUP(K505,[1]diabetes_Recognition!$A:$B,2,FALSE),"Not Sampled")</f>
        <v>Not Sampled</v>
      </c>
      <c r="K505" s="1">
        <v>503</v>
      </c>
      <c r="L505" s="1" t="str">
        <f>LOOKUP(A505,Sheet2!$D$4:$E$9)</f>
        <v>5-7</v>
      </c>
      <c r="M505" t="str">
        <f>LOOKUP(B505,Sheet2!$G$4:$H$9)</f>
        <v>1-99</v>
      </c>
      <c r="N505" t="str">
        <f>LOOKUP(C505,Sheet2!$J$4:$K$8)</f>
        <v>60-69</v>
      </c>
      <c r="O505" t="str">
        <f>LOOKUP(D505,Sheet2!$M$4:$N$8)</f>
        <v>10-30</v>
      </c>
      <c r="P505" t="str">
        <f>LOOKUP(E505,Sheet2!$P$4:$Q$9)</f>
        <v>1-99</v>
      </c>
      <c r="Q505" t="str">
        <f>LOOKUP(F505,Sheet2!$S$4:$T$8)</f>
        <v>31-35</v>
      </c>
      <c r="R505" t="str">
        <f>LOOKUP(G505,Sheet2!$V$4:$W$7)</f>
        <v>0.7+</v>
      </c>
      <c r="S505" t="str">
        <f>LOOKUP(H505,Sheet2!$Z$4:$AA$7)</f>
        <v>36-45</v>
      </c>
      <c r="T505" t="str">
        <f t="shared" si="21"/>
        <v>Negative</v>
      </c>
      <c r="U505" t="str">
        <f t="shared" si="22"/>
        <v>Not Sampled</v>
      </c>
      <c r="V505" s="1" t="str">
        <f t="shared" si="23"/>
        <v>Not Sampled</v>
      </c>
    </row>
    <row r="506" spans="1:22" x14ac:dyDescent="0.25">
      <c r="A506" s="1">
        <v>3</v>
      </c>
      <c r="B506" s="1">
        <v>96</v>
      </c>
      <c r="C506" s="1">
        <v>78</v>
      </c>
      <c r="D506" s="1">
        <v>39</v>
      </c>
      <c r="E506" s="1">
        <v>0</v>
      </c>
      <c r="F506" s="1">
        <v>37.299999999999997</v>
      </c>
      <c r="G506" s="1">
        <v>0.23799999999999999</v>
      </c>
      <c r="H506" s="1">
        <v>40</v>
      </c>
      <c r="I506" s="1">
        <v>0</v>
      </c>
      <c r="J506" s="1" t="str">
        <f>IFERROR(VLOOKUP(K506,[1]diabetes_Recognition!$A:$B,2,FALSE),"Not Sampled")</f>
        <v>Not Sampled</v>
      </c>
      <c r="K506" s="1">
        <v>504</v>
      </c>
      <c r="L506" s="1" t="str">
        <f>LOOKUP(A506,Sheet2!$D$4:$E$9)</f>
        <v>3-4</v>
      </c>
      <c r="M506" t="str">
        <f>LOOKUP(B506,Sheet2!$G$4:$H$9)</f>
        <v>1-99</v>
      </c>
      <c r="N506" t="str">
        <f>LOOKUP(C506,Sheet2!$J$4:$K$8)</f>
        <v>70-79</v>
      </c>
      <c r="O506" t="str">
        <f>LOOKUP(D506,Sheet2!$M$4:$N$8)</f>
        <v>30-39</v>
      </c>
      <c r="P506" t="str">
        <f>LOOKUP(E506,Sheet2!$P$4:$Q$9)</f>
        <v>Unknown</v>
      </c>
      <c r="Q506" t="str">
        <f>LOOKUP(F506,Sheet2!$S$4:$T$8)</f>
        <v>36+</v>
      </c>
      <c r="R506" t="str">
        <f>LOOKUP(G506,Sheet2!$V$4:$W$7)</f>
        <v>0.0 - 0.249</v>
      </c>
      <c r="S506" t="str">
        <f>LOOKUP(H506,Sheet2!$Z$4:$AA$7)</f>
        <v>36-45</v>
      </c>
      <c r="T506" t="str">
        <f t="shared" si="21"/>
        <v>Negative</v>
      </c>
      <c r="U506" t="str">
        <f t="shared" si="22"/>
        <v>Not Sampled</v>
      </c>
      <c r="V506" s="1" t="str">
        <f t="shared" si="23"/>
        <v>Not Sampled</v>
      </c>
    </row>
    <row r="507" spans="1:22" x14ac:dyDescent="0.25">
      <c r="A507" s="1">
        <v>10</v>
      </c>
      <c r="B507" s="1">
        <v>75</v>
      </c>
      <c r="C507" s="1">
        <v>82</v>
      </c>
      <c r="D507" s="1">
        <v>0</v>
      </c>
      <c r="E507" s="1">
        <v>0</v>
      </c>
      <c r="F507" s="1">
        <v>33.299999999999997</v>
      </c>
      <c r="G507" s="1">
        <v>0.26300000000000001</v>
      </c>
      <c r="H507" s="1">
        <v>38</v>
      </c>
      <c r="I507" s="1">
        <v>0</v>
      </c>
      <c r="J507" s="1" t="str">
        <f>IFERROR(VLOOKUP(K507,[1]diabetes_Recognition!$A:$B,2,FALSE),"Not Sampled")</f>
        <v>Not Sampled</v>
      </c>
      <c r="K507" s="1">
        <v>505</v>
      </c>
      <c r="L507" s="1" t="str">
        <f>LOOKUP(A507,Sheet2!$D$4:$E$9)</f>
        <v>8+</v>
      </c>
      <c r="M507" t="str">
        <f>LOOKUP(B507,Sheet2!$G$4:$H$9)</f>
        <v>1-99</v>
      </c>
      <c r="N507" t="str">
        <f>LOOKUP(C507,Sheet2!$J$4:$K$8)</f>
        <v>80+</v>
      </c>
      <c r="O507" t="str">
        <f>LOOKUP(D507,Sheet2!$M$4:$N$8)</f>
        <v>Unknown</v>
      </c>
      <c r="P507" t="str">
        <f>LOOKUP(E507,Sheet2!$P$4:$Q$9)</f>
        <v>Unknown</v>
      </c>
      <c r="Q507" t="str">
        <f>LOOKUP(F507,Sheet2!$S$4:$T$8)</f>
        <v>31-35</v>
      </c>
      <c r="R507" t="str">
        <f>LOOKUP(G507,Sheet2!$V$4:$W$7)</f>
        <v>0.25 - 0.39</v>
      </c>
      <c r="S507" t="str">
        <f>LOOKUP(H507,Sheet2!$Z$4:$AA$7)</f>
        <v>36-45</v>
      </c>
      <c r="T507" t="str">
        <f t="shared" si="21"/>
        <v>Negative</v>
      </c>
      <c r="U507" t="str">
        <f t="shared" si="22"/>
        <v>Not Sampled</v>
      </c>
      <c r="V507" s="1" t="str">
        <f t="shared" si="23"/>
        <v>Not Sampled</v>
      </c>
    </row>
    <row r="508" spans="1:22" x14ac:dyDescent="0.25">
      <c r="A508" s="1">
        <v>0</v>
      </c>
      <c r="B508" s="1">
        <v>180</v>
      </c>
      <c r="C508" s="1">
        <v>90</v>
      </c>
      <c r="D508" s="1">
        <v>26</v>
      </c>
      <c r="E508" s="1">
        <v>90</v>
      </c>
      <c r="F508" s="1">
        <v>36.5</v>
      </c>
      <c r="G508" s="1">
        <v>0.314</v>
      </c>
      <c r="H508" s="1">
        <v>35</v>
      </c>
      <c r="I508" s="1">
        <v>1</v>
      </c>
      <c r="J508" s="1" t="str">
        <f>IFERROR(VLOOKUP(K508,[1]diabetes_Recognition!$A:$B,2,FALSE),"Not Sampled")</f>
        <v>Not Sampled</v>
      </c>
      <c r="K508" s="1">
        <v>506</v>
      </c>
      <c r="L508" s="1">
        <f>LOOKUP(A508,Sheet2!$D$4:$E$9)</f>
        <v>0</v>
      </c>
      <c r="M508" t="str">
        <f>LOOKUP(B508,Sheet2!$G$4:$H$9)</f>
        <v>176-200</v>
      </c>
      <c r="N508" t="str">
        <f>LOOKUP(C508,Sheet2!$J$4:$K$8)</f>
        <v>80+</v>
      </c>
      <c r="O508" t="str">
        <f>LOOKUP(D508,Sheet2!$M$4:$N$8)</f>
        <v>10-30</v>
      </c>
      <c r="P508" t="str">
        <f>LOOKUP(E508,Sheet2!$P$4:$Q$9)</f>
        <v>1-99</v>
      </c>
      <c r="Q508" t="str">
        <f>LOOKUP(F508,Sheet2!$S$4:$T$8)</f>
        <v>36+</v>
      </c>
      <c r="R508" t="str">
        <f>LOOKUP(G508,Sheet2!$V$4:$W$7)</f>
        <v>0.25 - 0.39</v>
      </c>
      <c r="S508" t="str">
        <f>LOOKUP(H508,Sheet2!$Z$4:$AA$7)</f>
        <v>26-35</v>
      </c>
      <c r="T508" t="str">
        <f t="shared" si="21"/>
        <v>Positive</v>
      </c>
      <c r="U508" t="str">
        <f t="shared" si="22"/>
        <v>Not Sampled</v>
      </c>
      <c r="V508" s="1" t="str">
        <f t="shared" si="23"/>
        <v>Not Sampled</v>
      </c>
    </row>
    <row r="509" spans="1:22" x14ac:dyDescent="0.25">
      <c r="A509" s="1">
        <v>1</v>
      </c>
      <c r="B509" s="1">
        <v>130</v>
      </c>
      <c r="C509" s="1">
        <v>60</v>
      </c>
      <c r="D509" s="1">
        <v>23</v>
      </c>
      <c r="E509" s="1">
        <v>170</v>
      </c>
      <c r="F509" s="1">
        <v>28.6</v>
      </c>
      <c r="G509" s="1">
        <v>0.69199999999999995</v>
      </c>
      <c r="H509" s="1">
        <v>21</v>
      </c>
      <c r="I509" s="1">
        <v>0</v>
      </c>
      <c r="J509" s="1">
        <f>IFERROR(VLOOKUP(K509,[1]diabetes_Recognition!$A:$B,2,FALSE),"Not Sampled")</f>
        <v>0</v>
      </c>
      <c r="K509" s="1">
        <v>507</v>
      </c>
      <c r="L509" s="1">
        <f>LOOKUP(A509,Sheet2!$D$4:$E$9)</f>
        <v>1</v>
      </c>
      <c r="M509" t="str">
        <f>LOOKUP(B509,Sheet2!$G$4:$H$9)</f>
        <v>126-150</v>
      </c>
      <c r="N509" t="str">
        <f>LOOKUP(C509,Sheet2!$J$4:$K$8)</f>
        <v>60-69</v>
      </c>
      <c r="O509" t="str">
        <f>LOOKUP(D509,Sheet2!$M$4:$N$8)</f>
        <v>10-30</v>
      </c>
      <c r="P509" t="str">
        <f>LOOKUP(E509,Sheet2!$P$4:$Q$9)</f>
        <v>100-199</v>
      </c>
      <c r="Q509" t="str">
        <f>LOOKUP(F509,Sheet2!$S$4:$T$8)</f>
        <v>26-30</v>
      </c>
      <c r="R509" t="str">
        <f>LOOKUP(G509,Sheet2!$V$4:$W$7)</f>
        <v>0.4 - 0.69</v>
      </c>
      <c r="S509" t="str">
        <f>LOOKUP(H509,Sheet2!$Z$4:$AA$7)</f>
        <v>&lt;=25</v>
      </c>
      <c r="T509" t="str">
        <f t="shared" si="21"/>
        <v>Negative</v>
      </c>
      <c r="U509" t="str">
        <f t="shared" si="22"/>
        <v>Negative</v>
      </c>
      <c r="V509" s="1" t="str">
        <f t="shared" si="23"/>
        <v>Accurate Prediction</v>
      </c>
    </row>
    <row r="510" spans="1:22" x14ac:dyDescent="0.25">
      <c r="A510" s="1">
        <v>2</v>
      </c>
      <c r="B510" s="1">
        <v>84</v>
      </c>
      <c r="C510" s="1">
        <v>50</v>
      </c>
      <c r="D510" s="1">
        <v>23</v>
      </c>
      <c r="E510" s="1">
        <v>76</v>
      </c>
      <c r="F510" s="1">
        <v>30.4</v>
      </c>
      <c r="G510" s="1">
        <v>0.96799999999999997</v>
      </c>
      <c r="H510" s="1">
        <v>21</v>
      </c>
      <c r="I510" s="1">
        <v>0</v>
      </c>
      <c r="J510" s="1" t="str">
        <f>IFERROR(VLOOKUP(K510,[1]diabetes_Recognition!$A:$B,2,FALSE),"Not Sampled")</f>
        <v>Not Sampled</v>
      </c>
      <c r="K510" s="1">
        <v>508</v>
      </c>
      <c r="L510" s="1">
        <f>LOOKUP(A510,Sheet2!$D$4:$E$9)</f>
        <v>2</v>
      </c>
      <c r="M510" t="str">
        <f>LOOKUP(B510,Sheet2!$G$4:$H$9)</f>
        <v>1-99</v>
      </c>
      <c r="N510" t="str">
        <f>LOOKUP(C510,Sheet2!$J$4:$K$8)</f>
        <v>1-59</v>
      </c>
      <c r="O510" t="str">
        <f>LOOKUP(D510,Sheet2!$M$4:$N$8)</f>
        <v>10-30</v>
      </c>
      <c r="P510" t="str">
        <f>LOOKUP(E510,Sheet2!$P$4:$Q$9)</f>
        <v>1-99</v>
      </c>
      <c r="Q510" t="str">
        <f>LOOKUP(F510,Sheet2!$S$4:$T$8)</f>
        <v>26-30</v>
      </c>
      <c r="R510" t="str">
        <f>LOOKUP(G510,Sheet2!$V$4:$W$7)</f>
        <v>0.7+</v>
      </c>
      <c r="S510" t="str">
        <f>LOOKUP(H510,Sheet2!$Z$4:$AA$7)</f>
        <v>&lt;=25</v>
      </c>
      <c r="T510" t="str">
        <f t="shared" si="21"/>
        <v>Negative</v>
      </c>
      <c r="U510" t="str">
        <f t="shared" si="22"/>
        <v>Not Sampled</v>
      </c>
      <c r="V510" s="1" t="str">
        <f t="shared" si="23"/>
        <v>Not Sampled</v>
      </c>
    </row>
    <row r="511" spans="1:22" x14ac:dyDescent="0.25">
      <c r="A511" s="1">
        <v>8</v>
      </c>
      <c r="B511" s="1">
        <v>120</v>
      </c>
      <c r="C511" s="1">
        <v>78</v>
      </c>
      <c r="D511" s="1">
        <v>0</v>
      </c>
      <c r="E511" s="1">
        <v>0</v>
      </c>
      <c r="F511" s="1">
        <v>25</v>
      </c>
      <c r="G511" s="1">
        <v>0.40899999999999997</v>
      </c>
      <c r="H511" s="1">
        <v>64</v>
      </c>
      <c r="I511" s="1">
        <v>0</v>
      </c>
      <c r="J511" s="1" t="str">
        <f>IFERROR(VLOOKUP(K511,[1]diabetes_Recognition!$A:$B,2,FALSE),"Not Sampled")</f>
        <v>Not Sampled</v>
      </c>
      <c r="K511" s="1">
        <v>509</v>
      </c>
      <c r="L511" s="1" t="str">
        <f>LOOKUP(A511,Sheet2!$D$4:$E$9)</f>
        <v>8+</v>
      </c>
      <c r="M511" t="str">
        <f>LOOKUP(B511,Sheet2!$G$4:$H$9)</f>
        <v>100-125</v>
      </c>
      <c r="N511" t="str">
        <f>LOOKUP(C511,Sheet2!$J$4:$K$8)</f>
        <v>70-79</v>
      </c>
      <c r="O511" t="str">
        <f>LOOKUP(D511,Sheet2!$M$4:$N$8)</f>
        <v>Unknown</v>
      </c>
      <c r="P511" t="str">
        <f>LOOKUP(E511,Sheet2!$P$4:$Q$9)</f>
        <v>Unknown</v>
      </c>
      <c r="Q511" t="str">
        <f>LOOKUP(F511,Sheet2!$S$4:$T$8)</f>
        <v>1-25</v>
      </c>
      <c r="R511" t="str">
        <f>LOOKUP(G511,Sheet2!$V$4:$W$7)</f>
        <v>0.4 - 0.69</v>
      </c>
      <c r="S511" t="str">
        <f>LOOKUP(H511,Sheet2!$Z$4:$AA$7)</f>
        <v>46+</v>
      </c>
      <c r="T511" t="str">
        <f t="shared" si="21"/>
        <v>Negative</v>
      </c>
      <c r="U511" t="str">
        <f t="shared" si="22"/>
        <v>Not Sampled</v>
      </c>
      <c r="V511" s="1" t="str">
        <f t="shared" si="23"/>
        <v>Not Sampled</v>
      </c>
    </row>
    <row r="512" spans="1:22" x14ac:dyDescent="0.25">
      <c r="A512" s="1">
        <v>12</v>
      </c>
      <c r="B512" s="1">
        <v>84</v>
      </c>
      <c r="C512" s="1">
        <v>72</v>
      </c>
      <c r="D512" s="1">
        <v>31</v>
      </c>
      <c r="E512" s="1">
        <v>0</v>
      </c>
      <c r="F512" s="1">
        <v>29.7</v>
      </c>
      <c r="G512" s="1">
        <v>0.29699999999999999</v>
      </c>
      <c r="H512" s="1">
        <v>46</v>
      </c>
      <c r="I512" s="1">
        <v>1</v>
      </c>
      <c r="J512" s="1">
        <f>IFERROR(VLOOKUP(K512,[1]diabetes_Recognition!$A:$B,2,FALSE),"Not Sampled")</f>
        <v>0</v>
      </c>
      <c r="K512" s="1">
        <v>510</v>
      </c>
      <c r="L512" s="1" t="str">
        <f>LOOKUP(A512,Sheet2!$D$4:$E$9)</f>
        <v>8+</v>
      </c>
      <c r="M512" t="str">
        <f>LOOKUP(B512,Sheet2!$G$4:$H$9)</f>
        <v>1-99</v>
      </c>
      <c r="N512" t="str">
        <f>LOOKUP(C512,Sheet2!$J$4:$K$8)</f>
        <v>70-79</v>
      </c>
      <c r="O512" t="str">
        <f>LOOKUP(D512,Sheet2!$M$4:$N$8)</f>
        <v>30-39</v>
      </c>
      <c r="P512" t="str">
        <f>LOOKUP(E512,Sheet2!$P$4:$Q$9)</f>
        <v>Unknown</v>
      </c>
      <c r="Q512" t="str">
        <f>LOOKUP(F512,Sheet2!$S$4:$T$8)</f>
        <v>26-30</v>
      </c>
      <c r="R512" t="str">
        <f>LOOKUP(G512,Sheet2!$V$4:$W$7)</f>
        <v>0.25 - 0.39</v>
      </c>
      <c r="S512" t="str">
        <f>LOOKUP(H512,Sheet2!$Z$4:$AA$7)</f>
        <v>46+</v>
      </c>
      <c r="T512" t="str">
        <f t="shared" si="21"/>
        <v>Positive</v>
      </c>
      <c r="U512" t="str">
        <f t="shared" si="22"/>
        <v>Negative</v>
      </c>
      <c r="V512" s="1" t="str">
        <f t="shared" si="23"/>
        <v>Inaccurate Prediction</v>
      </c>
    </row>
    <row r="513" spans="1:22" x14ac:dyDescent="0.25">
      <c r="A513" s="1">
        <v>0</v>
      </c>
      <c r="B513" s="1">
        <v>139</v>
      </c>
      <c r="C513" s="1">
        <v>62</v>
      </c>
      <c r="D513" s="1">
        <v>17</v>
      </c>
      <c r="E513" s="1">
        <v>210</v>
      </c>
      <c r="F513" s="1">
        <v>22.1</v>
      </c>
      <c r="G513" s="1">
        <v>0.20699999999999999</v>
      </c>
      <c r="H513" s="1">
        <v>21</v>
      </c>
      <c r="I513" s="1">
        <v>0</v>
      </c>
      <c r="J513" s="1" t="str">
        <f>IFERROR(VLOOKUP(K513,[1]diabetes_Recognition!$A:$B,2,FALSE),"Not Sampled")</f>
        <v>Not Sampled</v>
      </c>
      <c r="K513" s="1">
        <v>511</v>
      </c>
      <c r="L513" s="1">
        <f>LOOKUP(A513,Sheet2!$D$4:$E$9)</f>
        <v>0</v>
      </c>
      <c r="M513" t="str">
        <f>LOOKUP(B513,Sheet2!$G$4:$H$9)</f>
        <v>126-150</v>
      </c>
      <c r="N513" t="str">
        <f>LOOKUP(C513,Sheet2!$J$4:$K$8)</f>
        <v>60-69</v>
      </c>
      <c r="O513" t="str">
        <f>LOOKUP(D513,Sheet2!$M$4:$N$8)</f>
        <v>10-30</v>
      </c>
      <c r="P513" t="str">
        <f>LOOKUP(E513,Sheet2!$P$4:$Q$9)</f>
        <v>200-399</v>
      </c>
      <c r="Q513" t="str">
        <f>LOOKUP(F513,Sheet2!$S$4:$T$8)</f>
        <v>1-25</v>
      </c>
      <c r="R513" t="str">
        <f>LOOKUP(G513,Sheet2!$V$4:$W$7)</f>
        <v>0.0 - 0.249</v>
      </c>
      <c r="S513" t="str">
        <f>LOOKUP(H513,Sheet2!$Z$4:$AA$7)</f>
        <v>&lt;=25</v>
      </c>
      <c r="T513" t="str">
        <f t="shared" si="21"/>
        <v>Negative</v>
      </c>
      <c r="U513" t="str">
        <f t="shared" si="22"/>
        <v>Not Sampled</v>
      </c>
      <c r="V513" s="1" t="str">
        <f t="shared" si="23"/>
        <v>Not Sampled</v>
      </c>
    </row>
    <row r="514" spans="1:22" x14ac:dyDescent="0.25">
      <c r="A514" s="1">
        <v>9</v>
      </c>
      <c r="B514" s="1">
        <v>91</v>
      </c>
      <c r="C514" s="1">
        <v>68</v>
      </c>
      <c r="D514" s="1">
        <v>0</v>
      </c>
      <c r="E514" s="1">
        <v>0</v>
      </c>
      <c r="F514" s="1">
        <v>24.2</v>
      </c>
      <c r="G514" s="1">
        <v>0.2</v>
      </c>
      <c r="H514" s="1">
        <v>58</v>
      </c>
      <c r="I514" s="1">
        <v>0</v>
      </c>
      <c r="J514" s="1">
        <f>IFERROR(VLOOKUP(K514,[1]diabetes_Recognition!$A:$B,2,FALSE),"Not Sampled")</f>
        <v>0</v>
      </c>
      <c r="K514" s="1">
        <v>512</v>
      </c>
      <c r="L514" s="1" t="str">
        <f>LOOKUP(A514,Sheet2!$D$4:$E$9)</f>
        <v>8+</v>
      </c>
      <c r="M514" t="str">
        <f>LOOKUP(B514,Sheet2!$G$4:$H$9)</f>
        <v>1-99</v>
      </c>
      <c r="N514" t="str">
        <f>LOOKUP(C514,Sheet2!$J$4:$K$8)</f>
        <v>60-69</v>
      </c>
      <c r="O514" t="str">
        <f>LOOKUP(D514,Sheet2!$M$4:$N$8)</f>
        <v>Unknown</v>
      </c>
      <c r="P514" t="str">
        <f>LOOKUP(E514,Sheet2!$P$4:$Q$9)</f>
        <v>Unknown</v>
      </c>
      <c r="Q514" t="str">
        <f>LOOKUP(F514,Sheet2!$S$4:$T$8)</f>
        <v>1-25</v>
      </c>
      <c r="R514" t="str">
        <f>LOOKUP(G514,Sheet2!$V$4:$W$7)</f>
        <v>0.0 - 0.249</v>
      </c>
      <c r="S514" t="str">
        <f>LOOKUP(H514,Sheet2!$Z$4:$AA$7)</f>
        <v>46+</v>
      </c>
      <c r="T514" t="str">
        <f t="shared" si="21"/>
        <v>Negative</v>
      </c>
      <c r="U514" t="str">
        <f t="shared" si="22"/>
        <v>Negative</v>
      </c>
      <c r="V514" s="1" t="str">
        <f t="shared" si="23"/>
        <v>Accurate Prediction</v>
      </c>
    </row>
    <row r="515" spans="1:22" x14ac:dyDescent="0.25">
      <c r="A515" s="1">
        <v>2</v>
      </c>
      <c r="B515" s="1">
        <v>91</v>
      </c>
      <c r="C515" s="1">
        <v>62</v>
      </c>
      <c r="D515" s="1">
        <v>0</v>
      </c>
      <c r="E515" s="1">
        <v>0</v>
      </c>
      <c r="F515" s="1">
        <v>27.3</v>
      </c>
      <c r="G515" s="1">
        <v>0.52500000000000002</v>
      </c>
      <c r="H515" s="1">
        <v>22</v>
      </c>
      <c r="I515" s="1">
        <v>0</v>
      </c>
      <c r="J515" s="1" t="str">
        <f>IFERROR(VLOOKUP(K515,[1]diabetes_Recognition!$A:$B,2,FALSE),"Not Sampled")</f>
        <v>Not Sampled</v>
      </c>
      <c r="K515" s="1">
        <v>513</v>
      </c>
      <c r="L515" s="1">
        <f>LOOKUP(A515,Sheet2!$D$4:$E$9)</f>
        <v>2</v>
      </c>
      <c r="M515" t="str">
        <f>LOOKUP(B515,Sheet2!$G$4:$H$9)</f>
        <v>1-99</v>
      </c>
      <c r="N515" t="str">
        <f>LOOKUP(C515,Sheet2!$J$4:$K$8)</f>
        <v>60-69</v>
      </c>
      <c r="O515" t="str">
        <f>LOOKUP(D515,Sheet2!$M$4:$N$8)</f>
        <v>Unknown</v>
      </c>
      <c r="P515" t="str">
        <f>LOOKUP(E515,Sheet2!$P$4:$Q$9)</f>
        <v>Unknown</v>
      </c>
      <c r="Q515" t="str">
        <f>LOOKUP(F515,Sheet2!$S$4:$T$8)</f>
        <v>26-30</v>
      </c>
      <c r="R515" t="str">
        <f>LOOKUP(G515,Sheet2!$V$4:$W$7)</f>
        <v>0.4 - 0.69</v>
      </c>
      <c r="S515" t="str">
        <f>LOOKUP(H515,Sheet2!$Z$4:$AA$7)</f>
        <v>&lt;=25</v>
      </c>
      <c r="T515" t="str">
        <f t="shared" ref="T515:T578" si="24">IF(I515=1,"Positive","Negative")</f>
        <v>Negative</v>
      </c>
      <c r="U515" t="str">
        <f t="shared" ref="U515:U578" si="25">IF(J515=1,"Positive",(IF(J515=0,"Negative","Not Sampled")))</f>
        <v>Not Sampled</v>
      </c>
      <c r="V515" s="1" t="str">
        <f t="shared" ref="V515:V578" si="26">IF(U515="Not Sampled","Not Sampled",IF(T515=U515,"Accurate Prediction","Inaccurate Prediction"))</f>
        <v>Not Sampled</v>
      </c>
    </row>
    <row r="516" spans="1:22" x14ac:dyDescent="0.25">
      <c r="A516" s="1">
        <v>3</v>
      </c>
      <c r="B516" s="1">
        <v>99</v>
      </c>
      <c r="C516" s="1">
        <v>54</v>
      </c>
      <c r="D516" s="1">
        <v>19</v>
      </c>
      <c r="E516" s="1">
        <v>86</v>
      </c>
      <c r="F516" s="1">
        <v>25.6</v>
      </c>
      <c r="G516" s="1">
        <v>0.154</v>
      </c>
      <c r="H516" s="1">
        <v>24</v>
      </c>
      <c r="I516" s="1">
        <v>0</v>
      </c>
      <c r="J516" s="1" t="str">
        <f>IFERROR(VLOOKUP(K516,[1]diabetes_Recognition!$A:$B,2,FALSE),"Not Sampled")</f>
        <v>Not Sampled</v>
      </c>
      <c r="K516" s="1">
        <v>514</v>
      </c>
      <c r="L516" s="1" t="str">
        <f>LOOKUP(A516,Sheet2!$D$4:$E$9)</f>
        <v>3-4</v>
      </c>
      <c r="M516" t="str">
        <f>LOOKUP(B516,Sheet2!$G$4:$H$9)</f>
        <v>1-99</v>
      </c>
      <c r="N516" t="str">
        <f>LOOKUP(C516,Sheet2!$J$4:$K$8)</f>
        <v>1-59</v>
      </c>
      <c r="O516" t="str">
        <f>LOOKUP(D516,Sheet2!$M$4:$N$8)</f>
        <v>10-30</v>
      </c>
      <c r="P516" t="str">
        <f>LOOKUP(E516,Sheet2!$P$4:$Q$9)</f>
        <v>1-99</v>
      </c>
      <c r="Q516" t="str">
        <f>LOOKUP(F516,Sheet2!$S$4:$T$8)</f>
        <v>1-25</v>
      </c>
      <c r="R516" t="str">
        <f>LOOKUP(G516,Sheet2!$V$4:$W$7)</f>
        <v>0.0 - 0.249</v>
      </c>
      <c r="S516" t="str">
        <f>LOOKUP(H516,Sheet2!$Z$4:$AA$7)</f>
        <v>&lt;=25</v>
      </c>
      <c r="T516" t="str">
        <f t="shared" si="24"/>
        <v>Negative</v>
      </c>
      <c r="U516" t="str">
        <f t="shared" si="25"/>
        <v>Not Sampled</v>
      </c>
      <c r="V516" s="1" t="str">
        <f t="shared" si="26"/>
        <v>Not Sampled</v>
      </c>
    </row>
    <row r="517" spans="1:22" x14ac:dyDescent="0.25">
      <c r="A517" s="1">
        <v>3</v>
      </c>
      <c r="B517" s="1">
        <v>163</v>
      </c>
      <c r="C517" s="1">
        <v>70</v>
      </c>
      <c r="D517" s="1">
        <v>18</v>
      </c>
      <c r="E517" s="1">
        <v>105</v>
      </c>
      <c r="F517" s="1">
        <v>31.6</v>
      </c>
      <c r="G517" s="1">
        <v>0.26800000000000002</v>
      </c>
      <c r="H517" s="1">
        <v>28</v>
      </c>
      <c r="I517" s="1">
        <v>1</v>
      </c>
      <c r="J517" s="1" t="str">
        <f>IFERROR(VLOOKUP(K517,[1]diabetes_Recognition!$A:$B,2,FALSE),"Not Sampled")</f>
        <v>Not Sampled</v>
      </c>
      <c r="K517" s="1">
        <v>515</v>
      </c>
      <c r="L517" s="1" t="str">
        <f>LOOKUP(A517,Sheet2!$D$4:$E$9)</f>
        <v>3-4</v>
      </c>
      <c r="M517" t="str">
        <f>LOOKUP(B517,Sheet2!$G$4:$H$9)</f>
        <v>151-175</v>
      </c>
      <c r="N517" t="str">
        <f>LOOKUP(C517,Sheet2!$J$4:$K$8)</f>
        <v>70-79</v>
      </c>
      <c r="O517" t="str">
        <f>LOOKUP(D517,Sheet2!$M$4:$N$8)</f>
        <v>10-30</v>
      </c>
      <c r="P517" t="str">
        <f>LOOKUP(E517,Sheet2!$P$4:$Q$9)</f>
        <v>100-199</v>
      </c>
      <c r="Q517" t="str">
        <f>LOOKUP(F517,Sheet2!$S$4:$T$8)</f>
        <v>31-35</v>
      </c>
      <c r="R517" t="str">
        <f>LOOKUP(G517,Sheet2!$V$4:$W$7)</f>
        <v>0.25 - 0.39</v>
      </c>
      <c r="S517" t="str">
        <f>LOOKUP(H517,Sheet2!$Z$4:$AA$7)</f>
        <v>26-35</v>
      </c>
      <c r="T517" t="str">
        <f t="shared" si="24"/>
        <v>Positive</v>
      </c>
      <c r="U517" t="str">
        <f t="shared" si="25"/>
        <v>Not Sampled</v>
      </c>
      <c r="V517" s="1" t="str">
        <f t="shared" si="26"/>
        <v>Not Sampled</v>
      </c>
    </row>
    <row r="518" spans="1:22" x14ac:dyDescent="0.25">
      <c r="A518" s="1">
        <v>9</v>
      </c>
      <c r="B518" s="1">
        <v>145</v>
      </c>
      <c r="C518" s="1">
        <v>88</v>
      </c>
      <c r="D518" s="1">
        <v>34</v>
      </c>
      <c r="E518" s="1">
        <v>165</v>
      </c>
      <c r="F518" s="1">
        <v>30.3</v>
      </c>
      <c r="G518" s="1">
        <v>0.77100000000000002</v>
      </c>
      <c r="H518" s="1">
        <v>53</v>
      </c>
      <c r="I518" s="1">
        <v>1</v>
      </c>
      <c r="J518" s="1" t="str">
        <f>IFERROR(VLOOKUP(K518,[1]diabetes_Recognition!$A:$B,2,FALSE),"Not Sampled")</f>
        <v>Not Sampled</v>
      </c>
      <c r="K518" s="1">
        <v>516</v>
      </c>
      <c r="L518" s="1" t="str">
        <f>LOOKUP(A518,Sheet2!$D$4:$E$9)</f>
        <v>8+</v>
      </c>
      <c r="M518" t="str">
        <f>LOOKUP(B518,Sheet2!$G$4:$H$9)</f>
        <v>126-150</v>
      </c>
      <c r="N518" t="str">
        <f>LOOKUP(C518,Sheet2!$J$4:$K$8)</f>
        <v>80+</v>
      </c>
      <c r="O518" t="str">
        <f>LOOKUP(D518,Sheet2!$M$4:$N$8)</f>
        <v>30-39</v>
      </c>
      <c r="P518" t="str">
        <f>LOOKUP(E518,Sheet2!$P$4:$Q$9)</f>
        <v>100-199</v>
      </c>
      <c r="Q518" t="str">
        <f>LOOKUP(F518,Sheet2!$S$4:$T$8)</f>
        <v>26-30</v>
      </c>
      <c r="R518" t="str">
        <f>LOOKUP(G518,Sheet2!$V$4:$W$7)</f>
        <v>0.7+</v>
      </c>
      <c r="S518" t="str">
        <f>LOOKUP(H518,Sheet2!$Z$4:$AA$7)</f>
        <v>46+</v>
      </c>
      <c r="T518" t="str">
        <f t="shared" si="24"/>
        <v>Positive</v>
      </c>
      <c r="U518" t="str">
        <f t="shared" si="25"/>
        <v>Not Sampled</v>
      </c>
      <c r="V518" s="1" t="str">
        <f t="shared" si="26"/>
        <v>Not Sampled</v>
      </c>
    </row>
    <row r="519" spans="1:22" x14ac:dyDescent="0.25">
      <c r="A519" s="1">
        <v>7</v>
      </c>
      <c r="B519" s="1">
        <v>125</v>
      </c>
      <c r="C519" s="1">
        <v>86</v>
      </c>
      <c r="D519" s="1">
        <v>0</v>
      </c>
      <c r="E519" s="1">
        <v>0</v>
      </c>
      <c r="F519" s="1">
        <v>37.6</v>
      </c>
      <c r="G519" s="1">
        <v>0.30399999999999999</v>
      </c>
      <c r="H519" s="1">
        <v>51</v>
      </c>
      <c r="I519" s="1">
        <v>0</v>
      </c>
      <c r="J519" s="1" t="str">
        <f>IFERROR(VLOOKUP(K519,[1]diabetes_Recognition!$A:$B,2,FALSE),"Not Sampled")</f>
        <v>Not Sampled</v>
      </c>
      <c r="K519" s="1">
        <v>517</v>
      </c>
      <c r="L519" s="1" t="str">
        <f>LOOKUP(A519,Sheet2!$D$4:$E$9)</f>
        <v>5-7</v>
      </c>
      <c r="M519" t="str">
        <f>LOOKUP(B519,Sheet2!$G$4:$H$9)</f>
        <v>100-125</v>
      </c>
      <c r="N519" t="str">
        <f>LOOKUP(C519,Sheet2!$J$4:$K$8)</f>
        <v>80+</v>
      </c>
      <c r="O519" t="str">
        <f>LOOKUP(D519,Sheet2!$M$4:$N$8)</f>
        <v>Unknown</v>
      </c>
      <c r="P519" t="str">
        <f>LOOKUP(E519,Sheet2!$P$4:$Q$9)</f>
        <v>Unknown</v>
      </c>
      <c r="Q519" t="str">
        <f>LOOKUP(F519,Sheet2!$S$4:$T$8)</f>
        <v>36+</v>
      </c>
      <c r="R519" t="str">
        <f>LOOKUP(G519,Sheet2!$V$4:$W$7)</f>
        <v>0.25 - 0.39</v>
      </c>
      <c r="S519" t="str">
        <f>LOOKUP(H519,Sheet2!$Z$4:$AA$7)</f>
        <v>46+</v>
      </c>
      <c r="T519" t="str">
        <f t="shared" si="24"/>
        <v>Negative</v>
      </c>
      <c r="U519" t="str">
        <f t="shared" si="25"/>
        <v>Not Sampled</v>
      </c>
      <c r="V519" s="1" t="str">
        <f t="shared" si="26"/>
        <v>Not Sampled</v>
      </c>
    </row>
    <row r="520" spans="1:22" x14ac:dyDescent="0.25">
      <c r="A520" s="1">
        <v>13</v>
      </c>
      <c r="B520" s="1">
        <v>76</v>
      </c>
      <c r="C520" s="1">
        <v>60</v>
      </c>
      <c r="D520" s="1">
        <v>0</v>
      </c>
      <c r="E520" s="1">
        <v>0</v>
      </c>
      <c r="F520" s="1">
        <v>32.799999999999997</v>
      </c>
      <c r="G520" s="1">
        <v>0.18</v>
      </c>
      <c r="H520" s="1">
        <v>41</v>
      </c>
      <c r="I520" s="1">
        <v>0</v>
      </c>
      <c r="J520" s="1" t="str">
        <f>IFERROR(VLOOKUP(K520,[1]diabetes_Recognition!$A:$B,2,FALSE),"Not Sampled")</f>
        <v>Not Sampled</v>
      </c>
      <c r="K520" s="1">
        <v>518</v>
      </c>
      <c r="L520" s="1" t="str">
        <f>LOOKUP(A520,Sheet2!$D$4:$E$9)</f>
        <v>8+</v>
      </c>
      <c r="M520" t="str">
        <f>LOOKUP(B520,Sheet2!$G$4:$H$9)</f>
        <v>1-99</v>
      </c>
      <c r="N520" t="str">
        <f>LOOKUP(C520,Sheet2!$J$4:$K$8)</f>
        <v>60-69</v>
      </c>
      <c r="O520" t="str">
        <f>LOOKUP(D520,Sheet2!$M$4:$N$8)</f>
        <v>Unknown</v>
      </c>
      <c r="P520" t="str">
        <f>LOOKUP(E520,Sheet2!$P$4:$Q$9)</f>
        <v>Unknown</v>
      </c>
      <c r="Q520" t="str">
        <f>LOOKUP(F520,Sheet2!$S$4:$T$8)</f>
        <v>31-35</v>
      </c>
      <c r="R520" t="str">
        <f>LOOKUP(G520,Sheet2!$V$4:$W$7)</f>
        <v>0.0 - 0.249</v>
      </c>
      <c r="S520" t="str">
        <f>LOOKUP(H520,Sheet2!$Z$4:$AA$7)</f>
        <v>36-45</v>
      </c>
      <c r="T520" t="str">
        <f t="shared" si="24"/>
        <v>Negative</v>
      </c>
      <c r="U520" t="str">
        <f t="shared" si="25"/>
        <v>Not Sampled</v>
      </c>
      <c r="V520" s="1" t="str">
        <f t="shared" si="26"/>
        <v>Not Sampled</v>
      </c>
    </row>
    <row r="521" spans="1:22" x14ac:dyDescent="0.25">
      <c r="A521" s="1">
        <v>6</v>
      </c>
      <c r="B521" s="1">
        <v>129</v>
      </c>
      <c r="C521" s="1">
        <v>90</v>
      </c>
      <c r="D521" s="1">
        <v>7</v>
      </c>
      <c r="E521" s="1">
        <v>326</v>
      </c>
      <c r="F521" s="1">
        <v>19.600000000000001</v>
      </c>
      <c r="G521" s="1">
        <v>0.58199999999999996</v>
      </c>
      <c r="H521" s="1">
        <v>60</v>
      </c>
      <c r="I521" s="1">
        <v>0</v>
      </c>
      <c r="J521" s="1" t="str">
        <f>IFERROR(VLOOKUP(K521,[1]diabetes_Recognition!$A:$B,2,FALSE),"Not Sampled")</f>
        <v>Not Sampled</v>
      </c>
      <c r="K521" s="1">
        <v>519</v>
      </c>
      <c r="L521" s="1" t="str">
        <f>LOOKUP(A521,Sheet2!$D$4:$E$9)</f>
        <v>5-7</v>
      </c>
      <c r="M521" t="str">
        <f>LOOKUP(B521,Sheet2!$G$4:$H$9)</f>
        <v>126-150</v>
      </c>
      <c r="N521" t="str">
        <f>LOOKUP(C521,Sheet2!$J$4:$K$8)</f>
        <v>80+</v>
      </c>
      <c r="O521" t="str">
        <f>LOOKUP(D521,Sheet2!$M$4:$N$8)</f>
        <v>1-10</v>
      </c>
      <c r="P521" t="str">
        <f>LOOKUP(E521,Sheet2!$P$4:$Q$9)</f>
        <v>300-499</v>
      </c>
      <c r="Q521" t="str">
        <f>LOOKUP(F521,Sheet2!$S$4:$T$8)</f>
        <v>1-25</v>
      </c>
      <c r="R521" t="str">
        <f>LOOKUP(G521,Sheet2!$V$4:$W$7)</f>
        <v>0.4 - 0.69</v>
      </c>
      <c r="S521" t="str">
        <f>LOOKUP(H521,Sheet2!$Z$4:$AA$7)</f>
        <v>46+</v>
      </c>
      <c r="T521" t="str">
        <f t="shared" si="24"/>
        <v>Negative</v>
      </c>
      <c r="U521" t="str">
        <f t="shared" si="25"/>
        <v>Not Sampled</v>
      </c>
      <c r="V521" s="1" t="str">
        <f t="shared" si="26"/>
        <v>Not Sampled</v>
      </c>
    </row>
    <row r="522" spans="1:22" x14ac:dyDescent="0.25">
      <c r="A522" s="1">
        <v>2</v>
      </c>
      <c r="B522" s="1">
        <v>68</v>
      </c>
      <c r="C522" s="1">
        <v>70</v>
      </c>
      <c r="D522" s="1">
        <v>32</v>
      </c>
      <c r="E522" s="1">
        <v>66</v>
      </c>
      <c r="F522" s="1">
        <v>25</v>
      </c>
      <c r="G522" s="1">
        <v>0.187</v>
      </c>
      <c r="H522" s="1">
        <v>25</v>
      </c>
      <c r="I522" s="1">
        <v>0</v>
      </c>
      <c r="J522" s="1" t="str">
        <f>IFERROR(VLOOKUP(K522,[1]diabetes_Recognition!$A:$B,2,FALSE),"Not Sampled")</f>
        <v>Not Sampled</v>
      </c>
      <c r="K522" s="1">
        <v>520</v>
      </c>
      <c r="L522" s="1">
        <f>LOOKUP(A522,Sheet2!$D$4:$E$9)</f>
        <v>2</v>
      </c>
      <c r="M522" t="str">
        <f>LOOKUP(B522,Sheet2!$G$4:$H$9)</f>
        <v>1-99</v>
      </c>
      <c r="N522" t="str">
        <f>LOOKUP(C522,Sheet2!$J$4:$K$8)</f>
        <v>70-79</v>
      </c>
      <c r="O522" t="str">
        <f>LOOKUP(D522,Sheet2!$M$4:$N$8)</f>
        <v>30-39</v>
      </c>
      <c r="P522" t="str">
        <f>LOOKUP(E522,Sheet2!$P$4:$Q$9)</f>
        <v>1-99</v>
      </c>
      <c r="Q522" t="str">
        <f>LOOKUP(F522,Sheet2!$S$4:$T$8)</f>
        <v>1-25</v>
      </c>
      <c r="R522" t="str">
        <f>LOOKUP(G522,Sheet2!$V$4:$W$7)</f>
        <v>0.0 - 0.249</v>
      </c>
      <c r="S522" t="str">
        <f>LOOKUP(H522,Sheet2!$Z$4:$AA$7)</f>
        <v>&lt;=25</v>
      </c>
      <c r="T522" t="str">
        <f t="shared" si="24"/>
        <v>Negative</v>
      </c>
      <c r="U522" t="str">
        <f t="shared" si="25"/>
        <v>Not Sampled</v>
      </c>
      <c r="V522" s="1" t="str">
        <f t="shared" si="26"/>
        <v>Not Sampled</v>
      </c>
    </row>
    <row r="523" spans="1:22" x14ac:dyDescent="0.25">
      <c r="A523" s="1">
        <v>3</v>
      </c>
      <c r="B523" s="1">
        <v>124</v>
      </c>
      <c r="C523" s="1">
        <v>80</v>
      </c>
      <c r="D523" s="1">
        <v>33</v>
      </c>
      <c r="E523" s="1">
        <v>130</v>
      </c>
      <c r="F523" s="1">
        <v>33.200000000000003</v>
      </c>
      <c r="G523" s="1">
        <v>0.30499999999999999</v>
      </c>
      <c r="H523" s="1">
        <v>26</v>
      </c>
      <c r="I523" s="1">
        <v>0</v>
      </c>
      <c r="J523" s="1" t="str">
        <f>IFERROR(VLOOKUP(K523,[1]diabetes_Recognition!$A:$B,2,FALSE),"Not Sampled")</f>
        <v>Not Sampled</v>
      </c>
      <c r="K523" s="1">
        <v>521</v>
      </c>
      <c r="L523" s="1" t="str">
        <f>LOOKUP(A523,Sheet2!$D$4:$E$9)</f>
        <v>3-4</v>
      </c>
      <c r="M523" t="str">
        <f>LOOKUP(B523,Sheet2!$G$4:$H$9)</f>
        <v>100-125</v>
      </c>
      <c r="N523" t="str">
        <f>LOOKUP(C523,Sheet2!$J$4:$K$8)</f>
        <v>80+</v>
      </c>
      <c r="O523" t="str">
        <f>LOOKUP(D523,Sheet2!$M$4:$N$8)</f>
        <v>30-39</v>
      </c>
      <c r="P523" t="str">
        <f>LOOKUP(E523,Sheet2!$P$4:$Q$9)</f>
        <v>100-199</v>
      </c>
      <c r="Q523" t="str">
        <f>LOOKUP(F523,Sheet2!$S$4:$T$8)</f>
        <v>31-35</v>
      </c>
      <c r="R523" t="str">
        <f>LOOKUP(G523,Sheet2!$V$4:$W$7)</f>
        <v>0.25 - 0.39</v>
      </c>
      <c r="S523" t="str">
        <f>LOOKUP(H523,Sheet2!$Z$4:$AA$7)</f>
        <v>26-35</v>
      </c>
      <c r="T523" t="str">
        <f t="shared" si="24"/>
        <v>Negative</v>
      </c>
      <c r="U523" t="str">
        <f t="shared" si="25"/>
        <v>Not Sampled</v>
      </c>
      <c r="V523" s="1" t="str">
        <f t="shared" si="26"/>
        <v>Not Sampled</v>
      </c>
    </row>
    <row r="524" spans="1:22" x14ac:dyDescent="0.25">
      <c r="A524" s="1">
        <v>6</v>
      </c>
      <c r="B524" s="1">
        <v>114</v>
      </c>
      <c r="C524" s="1">
        <v>0</v>
      </c>
      <c r="D524" s="1">
        <v>0</v>
      </c>
      <c r="E524" s="1">
        <v>0</v>
      </c>
      <c r="F524" s="1">
        <v>0</v>
      </c>
      <c r="G524" s="1">
        <v>0.189</v>
      </c>
      <c r="H524" s="1">
        <v>26</v>
      </c>
      <c r="I524" s="1">
        <v>0</v>
      </c>
      <c r="J524" s="1" t="str">
        <f>IFERROR(VLOOKUP(K524,[1]diabetes_Recognition!$A:$B,2,FALSE),"Not Sampled")</f>
        <v>Not Sampled</v>
      </c>
      <c r="K524" s="1">
        <v>522</v>
      </c>
      <c r="L524" s="1" t="str">
        <f>LOOKUP(A524,Sheet2!$D$4:$E$9)</f>
        <v>5-7</v>
      </c>
      <c r="M524" t="str">
        <f>LOOKUP(B524,Sheet2!$G$4:$H$9)</f>
        <v>100-125</v>
      </c>
      <c r="N524" t="str">
        <f>LOOKUP(C524,Sheet2!$J$4:$K$8)</f>
        <v>Unknown</v>
      </c>
      <c r="O524" t="str">
        <f>LOOKUP(D524,Sheet2!$M$4:$N$8)</f>
        <v>Unknown</v>
      </c>
      <c r="P524" t="str">
        <f>LOOKUP(E524,Sheet2!$P$4:$Q$9)</f>
        <v>Unknown</v>
      </c>
      <c r="Q524" t="str">
        <f>LOOKUP(F524,Sheet2!$S$4:$T$8)</f>
        <v>Unknown</v>
      </c>
      <c r="R524" t="str">
        <f>LOOKUP(G524,Sheet2!$V$4:$W$7)</f>
        <v>0.0 - 0.249</v>
      </c>
      <c r="S524" t="str">
        <f>LOOKUP(H524,Sheet2!$Z$4:$AA$7)</f>
        <v>26-35</v>
      </c>
      <c r="T524" t="str">
        <f t="shared" si="24"/>
        <v>Negative</v>
      </c>
      <c r="U524" t="str">
        <f t="shared" si="25"/>
        <v>Not Sampled</v>
      </c>
      <c r="V524" s="1" t="str">
        <f t="shared" si="26"/>
        <v>Not Sampled</v>
      </c>
    </row>
    <row r="525" spans="1:22" x14ac:dyDescent="0.25">
      <c r="A525" s="1">
        <v>9</v>
      </c>
      <c r="B525" s="1">
        <v>130</v>
      </c>
      <c r="C525" s="1">
        <v>70</v>
      </c>
      <c r="D525" s="1">
        <v>0</v>
      </c>
      <c r="E525" s="1">
        <v>0</v>
      </c>
      <c r="F525" s="1">
        <v>34.200000000000003</v>
      </c>
      <c r="G525" s="1">
        <v>0.65200000000000002</v>
      </c>
      <c r="H525" s="1">
        <v>45</v>
      </c>
      <c r="I525" s="1">
        <v>1</v>
      </c>
      <c r="J525" s="1" t="str">
        <f>IFERROR(VLOOKUP(K525,[1]diabetes_Recognition!$A:$B,2,FALSE),"Not Sampled")</f>
        <v>Not Sampled</v>
      </c>
      <c r="K525" s="1">
        <v>523</v>
      </c>
      <c r="L525" s="1" t="str">
        <f>LOOKUP(A525,Sheet2!$D$4:$E$9)</f>
        <v>8+</v>
      </c>
      <c r="M525" t="str">
        <f>LOOKUP(B525,Sheet2!$G$4:$H$9)</f>
        <v>126-150</v>
      </c>
      <c r="N525" t="str">
        <f>LOOKUP(C525,Sheet2!$J$4:$K$8)</f>
        <v>70-79</v>
      </c>
      <c r="O525" t="str">
        <f>LOOKUP(D525,Sheet2!$M$4:$N$8)</f>
        <v>Unknown</v>
      </c>
      <c r="P525" t="str">
        <f>LOOKUP(E525,Sheet2!$P$4:$Q$9)</f>
        <v>Unknown</v>
      </c>
      <c r="Q525" t="str">
        <f>LOOKUP(F525,Sheet2!$S$4:$T$8)</f>
        <v>31-35</v>
      </c>
      <c r="R525" t="str">
        <f>LOOKUP(G525,Sheet2!$V$4:$W$7)</f>
        <v>0.4 - 0.69</v>
      </c>
      <c r="S525" t="str">
        <f>LOOKUP(H525,Sheet2!$Z$4:$AA$7)</f>
        <v>36-45</v>
      </c>
      <c r="T525" t="str">
        <f t="shared" si="24"/>
        <v>Positive</v>
      </c>
      <c r="U525" t="str">
        <f t="shared" si="25"/>
        <v>Not Sampled</v>
      </c>
      <c r="V525" s="1" t="str">
        <f t="shared" si="26"/>
        <v>Not Sampled</v>
      </c>
    </row>
    <row r="526" spans="1:22" x14ac:dyDescent="0.25">
      <c r="A526" s="1">
        <v>3</v>
      </c>
      <c r="B526" s="1">
        <v>125</v>
      </c>
      <c r="C526" s="1">
        <v>58</v>
      </c>
      <c r="D526" s="1">
        <v>0</v>
      </c>
      <c r="E526" s="1">
        <v>0</v>
      </c>
      <c r="F526" s="1">
        <v>31.6</v>
      </c>
      <c r="G526" s="1">
        <v>0.151</v>
      </c>
      <c r="H526" s="1">
        <v>24</v>
      </c>
      <c r="I526" s="1">
        <v>0</v>
      </c>
      <c r="J526" s="1" t="str">
        <f>IFERROR(VLOOKUP(K526,[1]diabetes_Recognition!$A:$B,2,FALSE),"Not Sampled")</f>
        <v>Not Sampled</v>
      </c>
      <c r="K526" s="1">
        <v>524</v>
      </c>
      <c r="L526" s="1" t="str">
        <f>LOOKUP(A526,Sheet2!$D$4:$E$9)</f>
        <v>3-4</v>
      </c>
      <c r="M526" t="str">
        <f>LOOKUP(B526,Sheet2!$G$4:$H$9)</f>
        <v>100-125</v>
      </c>
      <c r="N526" t="str">
        <f>LOOKUP(C526,Sheet2!$J$4:$K$8)</f>
        <v>1-59</v>
      </c>
      <c r="O526" t="str">
        <f>LOOKUP(D526,Sheet2!$M$4:$N$8)</f>
        <v>Unknown</v>
      </c>
      <c r="P526" t="str">
        <f>LOOKUP(E526,Sheet2!$P$4:$Q$9)</f>
        <v>Unknown</v>
      </c>
      <c r="Q526" t="str">
        <f>LOOKUP(F526,Sheet2!$S$4:$T$8)</f>
        <v>31-35</v>
      </c>
      <c r="R526" t="str">
        <f>LOOKUP(G526,Sheet2!$V$4:$W$7)</f>
        <v>0.0 - 0.249</v>
      </c>
      <c r="S526" t="str">
        <f>LOOKUP(H526,Sheet2!$Z$4:$AA$7)</f>
        <v>&lt;=25</v>
      </c>
      <c r="T526" t="str">
        <f t="shared" si="24"/>
        <v>Negative</v>
      </c>
      <c r="U526" t="str">
        <f t="shared" si="25"/>
        <v>Not Sampled</v>
      </c>
      <c r="V526" s="1" t="str">
        <f t="shared" si="26"/>
        <v>Not Sampled</v>
      </c>
    </row>
    <row r="527" spans="1:22" x14ac:dyDescent="0.25">
      <c r="A527" s="1">
        <v>3</v>
      </c>
      <c r="B527" s="1">
        <v>87</v>
      </c>
      <c r="C527" s="1">
        <v>60</v>
      </c>
      <c r="D527" s="1">
        <v>18</v>
      </c>
      <c r="E527" s="1">
        <v>0</v>
      </c>
      <c r="F527" s="1">
        <v>21.8</v>
      </c>
      <c r="G527" s="1">
        <v>0.44400000000000001</v>
      </c>
      <c r="H527" s="1">
        <v>21</v>
      </c>
      <c r="I527" s="1">
        <v>0</v>
      </c>
      <c r="J527" s="1">
        <f>IFERROR(VLOOKUP(K527,[1]diabetes_Recognition!$A:$B,2,FALSE),"Not Sampled")</f>
        <v>0</v>
      </c>
      <c r="K527" s="1">
        <v>525</v>
      </c>
      <c r="L527" s="1" t="str">
        <f>LOOKUP(A527,Sheet2!$D$4:$E$9)</f>
        <v>3-4</v>
      </c>
      <c r="M527" t="str">
        <f>LOOKUP(B527,Sheet2!$G$4:$H$9)</f>
        <v>1-99</v>
      </c>
      <c r="N527" t="str">
        <f>LOOKUP(C527,Sheet2!$J$4:$K$8)</f>
        <v>60-69</v>
      </c>
      <c r="O527" t="str">
        <f>LOOKUP(D527,Sheet2!$M$4:$N$8)</f>
        <v>10-30</v>
      </c>
      <c r="P527" t="str">
        <f>LOOKUP(E527,Sheet2!$P$4:$Q$9)</f>
        <v>Unknown</v>
      </c>
      <c r="Q527" t="str">
        <f>LOOKUP(F527,Sheet2!$S$4:$T$8)</f>
        <v>1-25</v>
      </c>
      <c r="R527" t="str">
        <f>LOOKUP(G527,Sheet2!$V$4:$W$7)</f>
        <v>0.4 - 0.69</v>
      </c>
      <c r="S527" t="str">
        <f>LOOKUP(H527,Sheet2!$Z$4:$AA$7)</f>
        <v>&lt;=25</v>
      </c>
      <c r="T527" t="str">
        <f t="shared" si="24"/>
        <v>Negative</v>
      </c>
      <c r="U527" t="str">
        <f t="shared" si="25"/>
        <v>Negative</v>
      </c>
      <c r="V527" s="1" t="str">
        <f t="shared" si="26"/>
        <v>Accurate Prediction</v>
      </c>
    </row>
    <row r="528" spans="1:22" x14ac:dyDescent="0.25">
      <c r="A528" s="1">
        <v>1</v>
      </c>
      <c r="B528" s="1">
        <v>97</v>
      </c>
      <c r="C528" s="1">
        <v>64</v>
      </c>
      <c r="D528" s="1">
        <v>19</v>
      </c>
      <c r="E528" s="1">
        <v>82</v>
      </c>
      <c r="F528" s="1">
        <v>18.2</v>
      </c>
      <c r="G528" s="1">
        <v>0.29899999999999999</v>
      </c>
      <c r="H528" s="1">
        <v>21</v>
      </c>
      <c r="I528" s="1">
        <v>0</v>
      </c>
      <c r="J528" s="1" t="str">
        <f>IFERROR(VLOOKUP(K528,[1]diabetes_Recognition!$A:$B,2,FALSE),"Not Sampled")</f>
        <v>Not Sampled</v>
      </c>
      <c r="K528" s="1">
        <v>526</v>
      </c>
      <c r="L528" s="1">
        <f>LOOKUP(A528,Sheet2!$D$4:$E$9)</f>
        <v>1</v>
      </c>
      <c r="M528" t="str">
        <f>LOOKUP(B528,Sheet2!$G$4:$H$9)</f>
        <v>1-99</v>
      </c>
      <c r="N528" t="str">
        <f>LOOKUP(C528,Sheet2!$J$4:$K$8)</f>
        <v>60-69</v>
      </c>
      <c r="O528" t="str">
        <f>LOOKUP(D528,Sheet2!$M$4:$N$8)</f>
        <v>10-30</v>
      </c>
      <c r="P528" t="str">
        <f>LOOKUP(E528,Sheet2!$P$4:$Q$9)</f>
        <v>1-99</v>
      </c>
      <c r="Q528" t="str">
        <f>LOOKUP(F528,Sheet2!$S$4:$T$8)</f>
        <v>1-25</v>
      </c>
      <c r="R528" t="str">
        <f>LOOKUP(G528,Sheet2!$V$4:$W$7)</f>
        <v>0.25 - 0.39</v>
      </c>
      <c r="S528" t="str">
        <f>LOOKUP(H528,Sheet2!$Z$4:$AA$7)</f>
        <v>&lt;=25</v>
      </c>
      <c r="T528" t="str">
        <f t="shared" si="24"/>
        <v>Negative</v>
      </c>
      <c r="U528" t="str">
        <f t="shared" si="25"/>
        <v>Not Sampled</v>
      </c>
      <c r="V528" s="1" t="str">
        <f t="shared" si="26"/>
        <v>Not Sampled</v>
      </c>
    </row>
    <row r="529" spans="1:22" x14ac:dyDescent="0.25">
      <c r="A529" s="1">
        <v>3</v>
      </c>
      <c r="B529" s="1">
        <v>116</v>
      </c>
      <c r="C529" s="1">
        <v>74</v>
      </c>
      <c r="D529" s="1">
        <v>15</v>
      </c>
      <c r="E529" s="1">
        <v>105</v>
      </c>
      <c r="F529" s="1">
        <v>26.3</v>
      </c>
      <c r="G529" s="1">
        <v>0.107</v>
      </c>
      <c r="H529" s="1">
        <v>24</v>
      </c>
      <c r="I529" s="1">
        <v>0</v>
      </c>
      <c r="J529" s="1">
        <f>IFERROR(VLOOKUP(K529,[1]diabetes_Recognition!$A:$B,2,FALSE),"Not Sampled")</f>
        <v>0</v>
      </c>
      <c r="K529" s="1">
        <v>527</v>
      </c>
      <c r="L529" s="1" t="str">
        <f>LOOKUP(A529,Sheet2!$D$4:$E$9)</f>
        <v>3-4</v>
      </c>
      <c r="M529" t="str">
        <f>LOOKUP(B529,Sheet2!$G$4:$H$9)</f>
        <v>100-125</v>
      </c>
      <c r="N529" t="str">
        <f>LOOKUP(C529,Sheet2!$J$4:$K$8)</f>
        <v>70-79</v>
      </c>
      <c r="O529" t="str">
        <f>LOOKUP(D529,Sheet2!$M$4:$N$8)</f>
        <v>10-30</v>
      </c>
      <c r="P529" t="str">
        <f>LOOKUP(E529,Sheet2!$P$4:$Q$9)</f>
        <v>100-199</v>
      </c>
      <c r="Q529" t="str">
        <f>LOOKUP(F529,Sheet2!$S$4:$T$8)</f>
        <v>26-30</v>
      </c>
      <c r="R529" t="str">
        <f>LOOKUP(G529,Sheet2!$V$4:$W$7)</f>
        <v>0.0 - 0.249</v>
      </c>
      <c r="S529" t="str">
        <f>LOOKUP(H529,Sheet2!$Z$4:$AA$7)</f>
        <v>&lt;=25</v>
      </c>
      <c r="T529" t="str">
        <f t="shared" si="24"/>
        <v>Negative</v>
      </c>
      <c r="U529" t="str">
        <f t="shared" si="25"/>
        <v>Negative</v>
      </c>
      <c r="V529" s="1" t="str">
        <f t="shared" si="26"/>
        <v>Accurate Prediction</v>
      </c>
    </row>
    <row r="530" spans="1:22" x14ac:dyDescent="0.25">
      <c r="A530" s="1">
        <v>0</v>
      </c>
      <c r="B530" s="1">
        <v>117</v>
      </c>
      <c r="C530" s="1">
        <v>66</v>
      </c>
      <c r="D530" s="1">
        <v>31</v>
      </c>
      <c r="E530" s="1">
        <v>188</v>
      </c>
      <c r="F530" s="1">
        <v>30.8</v>
      </c>
      <c r="G530" s="1">
        <v>0.49299999999999999</v>
      </c>
      <c r="H530" s="1">
        <v>22</v>
      </c>
      <c r="I530" s="1">
        <v>0</v>
      </c>
      <c r="J530" s="1" t="str">
        <f>IFERROR(VLOOKUP(K530,[1]diabetes_Recognition!$A:$B,2,FALSE),"Not Sampled")</f>
        <v>Not Sampled</v>
      </c>
      <c r="K530" s="1">
        <v>528</v>
      </c>
      <c r="L530" s="1">
        <f>LOOKUP(A530,Sheet2!$D$4:$E$9)</f>
        <v>0</v>
      </c>
      <c r="M530" t="str">
        <f>LOOKUP(B530,Sheet2!$G$4:$H$9)</f>
        <v>100-125</v>
      </c>
      <c r="N530" t="str">
        <f>LOOKUP(C530,Sheet2!$J$4:$K$8)</f>
        <v>60-69</v>
      </c>
      <c r="O530" t="str">
        <f>LOOKUP(D530,Sheet2!$M$4:$N$8)</f>
        <v>30-39</v>
      </c>
      <c r="P530" t="str">
        <f>LOOKUP(E530,Sheet2!$P$4:$Q$9)</f>
        <v>100-199</v>
      </c>
      <c r="Q530" t="str">
        <f>LOOKUP(F530,Sheet2!$S$4:$T$8)</f>
        <v>26-30</v>
      </c>
      <c r="R530" t="str">
        <f>LOOKUP(G530,Sheet2!$V$4:$W$7)</f>
        <v>0.4 - 0.69</v>
      </c>
      <c r="S530" t="str">
        <f>LOOKUP(H530,Sheet2!$Z$4:$AA$7)</f>
        <v>&lt;=25</v>
      </c>
      <c r="T530" t="str">
        <f t="shared" si="24"/>
        <v>Negative</v>
      </c>
      <c r="U530" t="str">
        <f t="shared" si="25"/>
        <v>Not Sampled</v>
      </c>
      <c r="V530" s="1" t="str">
        <f t="shared" si="26"/>
        <v>Not Sampled</v>
      </c>
    </row>
    <row r="531" spans="1:22" x14ac:dyDescent="0.25">
      <c r="A531" s="1">
        <v>0</v>
      </c>
      <c r="B531" s="1">
        <v>111</v>
      </c>
      <c r="C531" s="1">
        <v>65</v>
      </c>
      <c r="D531" s="1">
        <v>0</v>
      </c>
      <c r="E531" s="1">
        <v>0</v>
      </c>
      <c r="F531" s="1">
        <v>24.6</v>
      </c>
      <c r="G531" s="1">
        <v>0.66</v>
      </c>
      <c r="H531" s="1">
        <v>31</v>
      </c>
      <c r="I531" s="1">
        <v>0</v>
      </c>
      <c r="J531" s="1" t="str">
        <f>IFERROR(VLOOKUP(K531,[1]diabetes_Recognition!$A:$B,2,FALSE),"Not Sampled")</f>
        <v>Not Sampled</v>
      </c>
      <c r="K531" s="1">
        <v>529</v>
      </c>
      <c r="L531" s="1">
        <f>LOOKUP(A531,Sheet2!$D$4:$E$9)</f>
        <v>0</v>
      </c>
      <c r="M531" t="str">
        <f>LOOKUP(B531,Sheet2!$G$4:$H$9)</f>
        <v>100-125</v>
      </c>
      <c r="N531" t="str">
        <f>LOOKUP(C531,Sheet2!$J$4:$K$8)</f>
        <v>60-69</v>
      </c>
      <c r="O531" t="str">
        <f>LOOKUP(D531,Sheet2!$M$4:$N$8)</f>
        <v>Unknown</v>
      </c>
      <c r="P531" t="str">
        <f>LOOKUP(E531,Sheet2!$P$4:$Q$9)</f>
        <v>Unknown</v>
      </c>
      <c r="Q531" t="str">
        <f>LOOKUP(F531,Sheet2!$S$4:$T$8)</f>
        <v>1-25</v>
      </c>
      <c r="R531" t="str">
        <f>LOOKUP(G531,Sheet2!$V$4:$W$7)</f>
        <v>0.4 - 0.69</v>
      </c>
      <c r="S531" t="str">
        <f>LOOKUP(H531,Sheet2!$Z$4:$AA$7)</f>
        <v>26-35</v>
      </c>
      <c r="T531" t="str">
        <f t="shared" si="24"/>
        <v>Negative</v>
      </c>
      <c r="U531" t="str">
        <f t="shared" si="25"/>
        <v>Not Sampled</v>
      </c>
      <c r="V531" s="1" t="str">
        <f t="shared" si="26"/>
        <v>Not Sampled</v>
      </c>
    </row>
    <row r="532" spans="1:22" x14ac:dyDescent="0.25">
      <c r="A532" s="1">
        <v>2</v>
      </c>
      <c r="B532" s="1">
        <v>122</v>
      </c>
      <c r="C532" s="1">
        <v>60</v>
      </c>
      <c r="D532" s="1">
        <v>18</v>
      </c>
      <c r="E532" s="1">
        <v>106</v>
      </c>
      <c r="F532" s="1">
        <v>29.8</v>
      </c>
      <c r="G532" s="1">
        <v>0.71699999999999997</v>
      </c>
      <c r="H532" s="1">
        <v>22</v>
      </c>
      <c r="I532" s="1">
        <v>0</v>
      </c>
      <c r="J532" s="1" t="str">
        <f>IFERROR(VLOOKUP(K532,[1]diabetes_Recognition!$A:$B,2,FALSE),"Not Sampled")</f>
        <v>Not Sampled</v>
      </c>
      <c r="K532" s="1">
        <v>530</v>
      </c>
      <c r="L532" s="1">
        <f>LOOKUP(A532,Sheet2!$D$4:$E$9)</f>
        <v>2</v>
      </c>
      <c r="M532" t="str">
        <f>LOOKUP(B532,Sheet2!$G$4:$H$9)</f>
        <v>100-125</v>
      </c>
      <c r="N532" t="str">
        <f>LOOKUP(C532,Sheet2!$J$4:$K$8)</f>
        <v>60-69</v>
      </c>
      <c r="O532" t="str">
        <f>LOOKUP(D532,Sheet2!$M$4:$N$8)</f>
        <v>10-30</v>
      </c>
      <c r="P532" t="str">
        <f>LOOKUP(E532,Sheet2!$P$4:$Q$9)</f>
        <v>100-199</v>
      </c>
      <c r="Q532" t="str">
        <f>LOOKUP(F532,Sheet2!$S$4:$T$8)</f>
        <v>26-30</v>
      </c>
      <c r="R532" t="str">
        <f>LOOKUP(G532,Sheet2!$V$4:$W$7)</f>
        <v>0.7+</v>
      </c>
      <c r="S532" t="str">
        <f>LOOKUP(H532,Sheet2!$Z$4:$AA$7)</f>
        <v>&lt;=25</v>
      </c>
      <c r="T532" t="str">
        <f t="shared" si="24"/>
        <v>Negative</v>
      </c>
      <c r="U532" t="str">
        <f t="shared" si="25"/>
        <v>Not Sampled</v>
      </c>
      <c r="V532" s="1" t="str">
        <f t="shared" si="26"/>
        <v>Not Sampled</v>
      </c>
    </row>
    <row r="533" spans="1:22" x14ac:dyDescent="0.25">
      <c r="A533" s="1">
        <v>0</v>
      </c>
      <c r="B533" s="1">
        <v>107</v>
      </c>
      <c r="C533" s="1">
        <v>76</v>
      </c>
      <c r="D533" s="1">
        <v>0</v>
      </c>
      <c r="E533" s="1">
        <v>0</v>
      </c>
      <c r="F533" s="1">
        <v>45.3</v>
      </c>
      <c r="G533" s="1">
        <v>0.68600000000000005</v>
      </c>
      <c r="H533" s="1">
        <v>24</v>
      </c>
      <c r="I533" s="1">
        <v>0</v>
      </c>
      <c r="J533" s="1" t="str">
        <f>IFERROR(VLOOKUP(K533,[1]diabetes_Recognition!$A:$B,2,FALSE),"Not Sampled")</f>
        <v>Not Sampled</v>
      </c>
      <c r="K533" s="1">
        <v>531</v>
      </c>
      <c r="L533" s="1">
        <f>LOOKUP(A533,Sheet2!$D$4:$E$9)</f>
        <v>0</v>
      </c>
      <c r="M533" t="str">
        <f>LOOKUP(B533,Sheet2!$G$4:$H$9)</f>
        <v>100-125</v>
      </c>
      <c r="N533" t="str">
        <f>LOOKUP(C533,Sheet2!$J$4:$K$8)</f>
        <v>70-79</v>
      </c>
      <c r="O533" t="str">
        <f>LOOKUP(D533,Sheet2!$M$4:$N$8)</f>
        <v>Unknown</v>
      </c>
      <c r="P533" t="str">
        <f>LOOKUP(E533,Sheet2!$P$4:$Q$9)</f>
        <v>Unknown</v>
      </c>
      <c r="Q533" t="str">
        <f>LOOKUP(F533,Sheet2!$S$4:$T$8)</f>
        <v>36+</v>
      </c>
      <c r="R533" t="str">
        <f>LOOKUP(G533,Sheet2!$V$4:$W$7)</f>
        <v>0.4 - 0.69</v>
      </c>
      <c r="S533" t="str">
        <f>LOOKUP(H533,Sheet2!$Z$4:$AA$7)</f>
        <v>&lt;=25</v>
      </c>
      <c r="T533" t="str">
        <f t="shared" si="24"/>
        <v>Negative</v>
      </c>
      <c r="U533" t="str">
        <f t="shared" si="25"/>
        <v>Not Sampled</v>
      </c>
      <c r="V533" s="1" t="str">
        <f t="shared" si="26"/>
        <v>Not Sampled</v>
      </c>
    </row>
    <row r="534" spans="1:22" x14ac:dyDescent="0.25">
      <c r="A534" s="1">
        <v>1</v>
      </c>
      <c r="B534" s="1">
        <v>86</v>
      </c>
      <c r="C534" s="1">
        <v>66</v>
      </c>
      <c r="D534" s="1">
        <v>52</v>
      </c>
      <c r="E534" s="1">
        <v>65</v>
      </c>
      <c r="F534" s="1">
        <v>41.3</v>
      </c>
      <c r="G534" s="1">
        <v>0.91700000000000004</v>
      </c>
      <c r="H534" s="1">
        <v>29</v>
      </c>
      <c r="I534" s="1">
        <v>0</v>
      </c>
      <c r="J534" s="1" t="str">
        <f>IFERROR(VLOOKUP(K534,[1]diabetes_Recognition!$A:$B,2,FALSE),"Not Sampled")</f>
        <v>Not Sampled</v>
      </c>
      <c r="K534" s="1">
        <v>532</v>
      </c>
      <c r="L534" s="1">
        <f>LOOKUP(A534,Sheet2!$D$4:$E$9)</f>
        <v>1</v>
      </c>
      <c r="M534" t="str">
        <f>LOOKUP(B534,Sheet2!$G$4:$H$9)</f>
        <v>1-99</v>
      </c>
      <c r="N534" t="str">
        <f>LOOKUP(C534,Sheet2!$J$4:$K$8)</f>
        <v>60-69</v>
      </c>
      <c r="O534" t="str">
        <f>LOOKUP(D534,Sheet2!$M$4:$N$8)</f>
        <v>40+</v>
      </c>
      <c r="P534" t="str">
        <f>LOOKUP(E534,Sheet2!$P$4:$Q$9)</f>
        <v>1-99</v>
      </c>
      <c r="Q534" t="str">
        <f>LOOKUP(F534,Sheet2!$S$4:$T$8)</f>
        <v>36+</v>
      </c>
      <c r="R534" t="str">
        <f>LOOKUP(G534,Sheet2!$V$4:$W$7)</f>
        <v>0.7+</v>
      </c>
      <c r="S534" t="str">
        <f>LOOKUP(H534,Sheet2!$Z$4:$AA$7)</f>
        <v>26-35</v>
      </c>
      <c r="T534" t="str">
        <f t="shared" si="24"/>
        <v>Negative</v>
      </c>
      <c r="U534" t="str">
        <f t="shared" si="25"/>
        <v>Not Sampled</v>
      </c>
      <c r="V534" s="1" t="str">
        <f t="shared" si="26"/>
        <v>Not Sampled</v>
      </c>
    </row>
    <row r="535" spans="1:22" x14ac:dyDescent="0.25">
      <c r="A535" s="1">
        <v>6</v>
      </c>
      <c r="B535" s="1">
        <v>91</v>
      </c>
      <c r="C535" s="1">
        <v>0</v>
      </c>
      <c r="D535" s="1">
        <v>0</v>
      </c>
      <c r="E535" s="1">
        <v>0</v>
      </c>
      <c r="F535" s="1">
        <v>29.8</v>
      </c>
      <c r="G535" s="1">
        <v>0.501</v>
      </c>
      <c r="H535" s="1">
        <v>31</v>
      </c>
      <c r="I535" s="1">
        <v>0</v>
      </c>
      <c r="J535" s="1" t="str">
        <f>IFERROR(VLOOKUP(K535,[1]diabetes_Recognition!$A:$B,2,FALSE),"Not Sampled")</f>
        <v>Not Sampled</v>
      </c>
      <c r="K535" s="1">
        <v>533</v>
      </c>
      <c r="L535" s="1" t="str">
        <f>LOOKUP(A535,Sheet2!$D$4:$E$9)</f>
        <v>5-7</v>
      </c>
      <c r="M535" t="str">
        <f>LOOKUP(B535,Sheet2!$G$4:$H$9)</f>
        <v>1-99</v>
      </c>
      <c r="N535" t="str">
        <f>LOOKUP(C535,Sheet2!$J$4:$K$8)</f>
        <v>Unknown</v>
      </c>
      <c r="O535" t="str">
        <f>LOOKUP(D535,Sheet2!$M$4:$N$8)</f>
        <v>Unknown</v>
      </c>
      <c r="P535" t="str">
        <f>LOOKUP(E535,Sheet2!$P$4:$Q$9)</f>
        <v>Unknown</v>
      </c>
      <c r="Q535" t="str">
        <f>LOOKUP(F535,Sheet2!$S$4:$T$8)</f>
        <v>26-30</v>
      </c>
      <c r="R535" t="str">
        <f>LOOKUP(G535,Sheet2!$V$4:$W$7)</f>
        <v>0.4 - 0.69</v>
      </c>
      <c r="S535" t="str">
        <f>LOOKUP(H535,Sheet2!$Z$4:$AA$7)</f>
        <v>26-35</v>
      </c>
      <c r="T535" t="str">
        <f t="shared" si="24"/>
        <v>Negative</v>
      </c>
      <c r="U535" t="str">
        <f t="shared" si="25"/>
        <v>Not Sampled</v>
      </c>
      <c r="V535" s="1" t="str">
        <f t="shared" si="26"/>
        <v>Not Sampled</v>
      </c>
    </row>
    <row r="536" spans="1:22" x14ac:dyDescent="0.25">
      <c r="A536" s="1">
        <v>1</v>
      </c>
      <c r="B536" s="1">
        <v>77</v>
      </c>
      <c r="C536" s="1">
        <v>56</v>
      </c>
      <c r="D536" s="1">
        <v>30</v>
      </c>
      <c r="E536" s="1">
        <v>56</v>
      </c>
      <c r="F536" s="1">
        <v>33.299999999999997</v>
      </c>
      <c r="G536" s="1">
        <v>1.2509999999999999</v>
      </c>
      <c r="H536" s="1">
        <v>24</v>
      </c>
      <c r="I536" s="1">
        <v>0</v>
      </c>
      <c r="J536" s="1">
        <f>IFERROR(VLOOKUP(K536,[1]diabetes_Recognition!$A:$B,2,FALSE),"Not Sampled")</f>
        <v>0</v>
      </c>
      <c r="K536" s="1">
        <v>534</v>
      </c>
      <c r="L536" s="1">
        <f>LOOKUP(A536,Sheet2!$D$4:$E$9)</f>
        <v>1</v>
      </c>
      <c r="M536" t="str">
        <f>LOOKUP(B536,Sheet2!$G$4:$H$9)</f>
        <v>1-99</v>
      </c>
      <c r="N536" t="str">
        <f>LOOKUP(C536,Sheet2!$J$4:$K$8)</f>
        <v>1-59</v>
      </c>
      <c r="O536" t="str">
        <f>LOOKUP(D536,Sheet2!$M$4:$N$8)</f>
        <v>30-39</v>
      </c>
      <c r="P536" t="str">
        <f>LOOKUP(E536,Sheet2!$P$4:$Q$9)</f>
        <v>1-99</v>
      </c>
      <c r="Q536" t="str">
        <f>LOOKUP(F536,Sheet2!$S$4:$T$8)</f>
        <v>31-35</v>
      </c>
      <c r="R536" t="str">
        <f>LOOKUP(G536,Sheet2!$V$4:$W$7)</f>
        <v>0.7+</v>
      </c>
      <c r="S536" t="str">
        <f>LOOKUP(H536,Sheet2!$Z$4:$AA$7)</f>
        <v>&lt;=25</v>
      </c>
      <c r="T536" t="str">
        <f t="shared" si="24"/>
        <v>Negative</v>
      </c>
      <c r="U536" t="str">
        <f t="shared" si="25"/>
        <v>Negative</v>
      </c>
      <c r="V536" s="1" t="str">
        <f t="shared" si="26"/>
        <v>Accurate Prediction</v>
      </c>
    </row>
    <row r="537" spans="1:22" x14ac:dyDescent="0.25">
      <c r="A537" s="1">
        <v>4</v>
      </c>
      <c r="B537" s="1">
        <v>132</v>
      </c>
      <c r="C537" s="1">
        <v>0</v>
      </c>
      <c r="D537" s="1">
        <v>0</v>
      </c>
      <c r="E537" s="1">
        <v>0</v>
      </c>
      <c r="F537" s="1">
        <v>32.9</v>
      </c>
      <c r="G537" s="1">
        <v>0.30199999999999999</v>
      </c>
      <c r="H537" s="1">
        <v>23</v>
      </c>
      <c r="I537" s="1">
        <v>1</v>
      </c>
      <c r="J537" s="1">
        <f>IFERROR(VLOOKUP(K537,[1]diabetes_Recognition!$A:$B,2,FALSE),"Not Sampled")</f>
        <v>1</v>
      </c>
      <c r="K537" s="1">
        <v>535</v>
      </c>
      <c r="L537" s="1" t="str">
        <f>LOOKUP(A537,Sheet2!$D$4:$E$9)</f>
        <v>3-4</v>
      </c>
      <c r="M537" t="str">
        <f>LOOKUP(B537,Sheet2!$G$4:$H$9)</f>
        <v>126-150</v>
      </c>
      <c r="N537" t="str">
        <f>LOOKUP(C537,Sheet2!$J$4:$K$8)</f>
        <v>Unknown</v>
      </c>
      <c r="O537" t="str">
        <f>LOOKUP(D537,Sheet2!$M$4:$N$8)</f>
        <v>Unknown</v>
      </c>
      <c r="P537" t="str">
        <f>LOOKUP(E537,Sheet2!$P$4:$Q$9)</f>
        <v>Unknown</v>
      </c>
      <c r="Q537" t="str">
        <f>LOOKUP(F537,Sheet2!$S$4:$T$8)</f>
        <v>31-35</v>
      </c>
      <c r="R537" t="str">
        <f>LOOKUP(G537,Sheet2!$V$4:$W$7)</f>
        <v>0.25 - 0.39</v>
      </c>
      <c r="S537" t="str">
        <f>LOOKUP(H537,Sheet2!$Z$4:$AA$7)</f>
        <v>&lt;=25</v>
      </c>
      <c r="T537" t="str">
        <f t="shared" si="24"/>
        <v>Positive</v>
      </c>
      <c r="U537" t="str">
        <f t="shared" si="25"/>
        <v>Positive</v>
      </c>
      <c r="V537" s="1" t="str">
        <f t="shared" si="26"/>
        <v>Accurate Prediction</v>
      </c>
    </row>
    <row r="538" spans="1:22" x14ac:dyDescent="0.25">
      <c r="A538" s="1">
        <v>0</v>
      </c>
      <c r="B538" s="1">
        <v>105</v>
      </c>
      <c r="C538" s="1">
        <v>90</v>
      </c>
      <c r="D538" s="1">
        <v>0</v>
      </c>
      <c r="E538" s="1">
        <v>0</v>
      </c>
      <c r="F538" s="1">
        <v>29.6</v>
      </c>
      <c r="G538" s="1">
        <v>0.19700000000000001</v>
      </c>
      <c r="H538" s="1">
        <v>46</v>
      </c>
      <c r="I538" s="1">
        <v>0</v>
      </c>
      <c r="J538" s="1">
        <f>IFERROR(VLOOKUP(K538,[1]diabetes_Recognition!$A:$B,2,FALSE),"Not Sampled")</f>
        <v>0</v>
      </c>
      <c r="K538" s="1">
        <v>536</v>
      </c>
      <c r="L538" s="1">
        <f>LOOKUP(A538,Sheet2!$D$4:$E$9)</f>
        <v>0</v>
      </c>
      <c r="M538" t="str">
        <f>LOOKUP(B538,Sheet2!$G$4:$H$9)</f>
        <v>100-125</v>
      </c>
      <c r="N538" t="str">
        <f>LOOKUP(C538,Sheet2!$J$4:$K$8)</f>
        <v>80+</v>
      </c>
      <c r="O538" t="str">
        <f>LOOKUP(D538,Sheet2!$M$4:$N$8)</f>
        <v>Unknown</v>
      </c>
      <c r="P538" t="str">
        <f>LOOKUP(E538,Sheet2!$P$4:$Q$9)</f>
        <v>Unknown</v>
      </c>
      <c r="Q538" t="str">
        <f>LOOKUP(F538,Sheet2!$S$4:$T$8)</f>
        <v>26-30</v>
      </c>
      <c r="R538" t="str">
        <f>LOOKUP(G538,Sheet2!$V$4:$W$7)</f>
        <v>0.0 - 0.249</v>
      </c>
      <c r="S538" t="str">
        <f>LOOKUP(H538,Sheet2!$Z$4:$AA$7)</f>
        <v>46+</v>
      </c>
      <c r="T538" t="str">
        <f t="shared" si="24"/>
        <v>Negative</v>
      </c>
      <c r="U538" t="str">
        <f t="shared" si="25"/>
        <v>Negative</v>
      </c>
      <c r="V538" s="1" t="str">
        <f t="shared" si="26"/>
        <v>Accurate Prediction</v>
      </c>
    </row>
    <row r="539" spans="1:22" x14ac:dyDescent="0.25">
      <c r="A539" s="1">
        <v>0</v>
      </c>
      <c r="B539" s="1">
        <v>57</v>
      </c>
      <c r="C539" s="1">
        <v>60</v>
      </c>
      <c r="D539" s="1">
        <v>0</v>
      </c>
      <c r="E539" s="1">
        <v>0</v>
      </c>
      <c r="F539" s="1">
        <v>21.7</v>
      </c>
      <c r="G539" s="1">
        <v>0.73499999999999999</v>
      </c>
      <c r="H539" s="1">
        <v>67</v>
      </c>
      <c r="I539" s="1">
        <v>0</v>
      </c>
      <c r="J539" s="1">
        <f>IFERROR(VLOOKUP(K539,[1]diabetes_Recognition!$A:$B,2,FALSE),"Not Sampled")</f>
        <v>0</v>
      </c>
      <c r="K539" s="1">
        <v>537</v>
      </c>
      <c r="L539" s="1">
        <f>LOOKUP(A539,Sheet2!$D$4:$E$9)</f>
        <v>0</v>
      </c>
      <c r="M539" t="str">
        <f>LOOKUP(B539,Sheet2!$G$4:$H$9)</f>
        <v>1-99</v>
      </c>
      <c r="N539" t="str">
        <f>LOOKUP(C539,Sheet2!$J$4:$K$8)</f>
        <v>60-69</v>
      </c>
      <c r="O539" t="str">
        <f>LOOKUP(D539,Sheet2!$M$4:$N$8)</f>
        <v>Unknown</v>
      </c>
      <c r="P539" t="str">
        <f>LOOKUP(E539,Sheet2!$P$4:$Q$9)</f>
        <v>Unknown</v>
      </c>
      <c r="Q539" t="str">
        <f>LOOKUP(F539,Sheet2!$S$4:$T$8)</f>
        <v>1-25</v>
      </c>
      <c r="R539" t="str">
        <f>LOOKUP(G539,Sheet2!$V$4:$W$7)</f>
        <v>0.7+</v>
      </c>
      <c r="S539" t="str">
        <f>LOOKUP(H539,Sheet2!$Z$4:$AA$7)</f>
        <v>46+</v>
      </c>
      <c r="T539" t="str">
        <f t="shared" si="24"/>
        <v>Negative</v>
      </c>
      <c r="U539" t="str">
        <f t="shared" si="25"/>
        <v>Negative</v>
      </c>
      <c r="V539" s="1" t="str">
        <f t="shared" si="26"/>
        <v>Accurate Prediction</v>
      </c>
    </row>
    <row r="540" spans="1:22" x14ac:dyDescent="0.25">
      <c r="A540" s="1">
        <v>0</v>
      </c>
      <c r="B540" s="1">
        <v>127</v>
      </c>
      <c r="C540" s="1">
        <v>80</v>
      </c>
      <c r="D540" s="1">
        <v>37</v>
      </c>
      <c r="E540" s="1">
        <v>210</v>
      </c>
      <c r="F540" s="1">
        <v>36.299999999999997</v>
      </c>
      <c r="G540" s="1">
        <v>0.80400000000000005</v>
      </c>
      <c r="H540" s="1">
        <v>23</v>
      </c>
      <c r="I540" s="1">
        <v>0</v>
      </c>
      <c r="J540" s="1" t="str">
        <f>IFERROR(VLOOKUP(K540,[1]diabetes_Recognition!$A:$B,2,FALSE),"Not Sampled")</f>
        <v>Not Sampled</v>
      </c>
      <c r="K540" s="1">
        <v>538</v>
      </c>
      <c r="L540" s="1">
        <f>LOOKUP(A540,Sheet2!$D$4:$E$9)</f>
        <v>0</v>
      </c>
      <c r="M540" t="str">
        <f>LOOKUP(B540,Sheet2!$G$4:$H$9)</f>
        <v>126-150</v>
      </c>
      <c r="N540" t="str">
        <f>LOOKUP(C540,Sheet2!$J$4:$K$8)</f>
        <v>80+</v>
      </c>
      <c r="O540" t="str">
        <f>LOOKUP(D540,Sheet2!$M$4:$N$8)</f>
        <v>30-39</v>
      </c>
      <c r="P540" t="str">
        <f>LOOKUP(E540,Sheet2!$P$4:$Q$9)</f>
        <v>200-399</v>
      </c>
      <c r="Q540" t="str">
        <f>LOOKUP(F540,Sheet2!$S$4:$T$8)</f>
        <v>36+</v>
      </c>
      <c r="R540" t="str">
        <f>LOOKUP(G540,Sheet2!$V$4:$W$7)</f>
        <v>0.7+</v>
      </c>
      <c r="S540" t="str">
        <f>LOOKUP(H540,Sheet2!$Z$4:$AA$7)</f>
        <v>&lt;=25</v>
      </c>
      <c r="T540" t="str">
        <f t="shared" si="24"/>
        <v>Negative</v>
      </c>
      <c r="U540" t="str">
        <f t="shared" si="25"/>
        <v>Not Sampled</v>
      </c>
      <c r="V540" s="1" t="str">
        <f t="shared" si="26"/>
        <v>Not Sampled</v>
      </c>
    </row>
    <row r="541" spans="1:22" x14ac:dyDescent="0.25">
      <c r="A541" s="1">
        <v>3</v>
      </c>
      <c r="B541" s="1">
        <v>129</v>
      </c>
      <c r="C541" s="1">
        <v>92</v>
      </c>
      <c r="D541" s="1">
        <v>49</v>
      </c>
      <c r="E541" s="1">
        <v>155</v>
      </c>
      <c r="F541" s="1">
        <v>36.4</v>
      </c>
      <c r="G541" s="1">
        <v>0.96799999999999997</v>
      </c>
      <c r="H541" s="1">
        <v>32</v>
      </c>
      <c r="I541" s="1">
        <v>1</v>
      </c>
      <c r="J541" s="1" t="str">
        <f>IFERROR(VLOOKUP(K541,[1]diabetes_Recognition!$A:$B,2,FALSE),"Not Sampled")</f>
        <v>Not Sampled</v>
      </c>
      <c r="K541" s="1">
        <v>539</v>
      </c>
      <c r="L541" s="1" t="str">
        <f>LOOKUP(A541,Sheet2!$D$4:$E$9)</f>
        <v>3-4</v>
      </c>
      <c r="M541" t="str">
        <f>LOOKUP(B541,Sheet2!$G$4:$H$9)</f>
        <v>126-150</v>
      </c>
      <c r="N541" t="str">
        <f>LOOKUP(C541,Sheet2!$J$4:$K$8)</f>
        <v>80+</v>
      </c>
      <c r="O541" t="str">
        <f>LOOKUP(D541,Sheet2!$M$4:$N$8)</f>
        <v>40+</v>
      </c>
      <c r="P541" t="str">
        <f>LOOKUP(E541,Sheet2!$P$4:$Q$9)</f>
        <v>100-199</v>
      </c>
      <c r="Q541" t="str">
        <f>LOOKUP(F541,Sheet2!$S$4:$T$8)</f>
        <v>36+</v>
      </c>
      <c r="R541" t="str">
        <f>LOOKUP(G541,Sheet2!$V$4:$W$7)</f>
        <v>0.7+</v>
      </c>
      <c r="S541" t="str">
        <f>LOOKUP(H541,Sheet2!$Z$4:$AA$7)</f>
        <v>26-35</v>
      </c>
      <c r="T541" t="str">
        <f t="shared" si="24"/>
        <v>Positive</v>
      </c>
      <c r="U541" t="str">
        <f t="shared" si="25"/>
        <v>Not Sampled</v>
      </c>
      <c r="V541" s="1" t="str">
        <f t="shared" si="26"/>
        <v>Not Sampled</v>
      </c>
    </row>
    <row r="542" spans="1:22" x14ac:dyDescent="0.25">
      <c r="A542" s="1">
        <v>8</v>
      </c>
      <c r="B542" s="1">
        <v>100</v>
      </c>
      <c r="C542" s="1">
        <v>74</v>
      </c>
      <c r="D542" s="1">
        <v>40</v>
      </c>
      <c r="E542" s="1">
        <v>215</v>
      </c>
      <c r="F542" s="1">
        <v>39.4</v>
      </c>
      <c r="G542" s="1">
        <v>0.66100000000000003</v>
      </c>
      <c r="H542" s="1">
        <v>43</v>
      </c>
      <c r="I542" s="1">
        <v>1</v>
      </c>
      <c r="J542" s="1" t="str">
        <f>IFERROR(VLOOKUP(K542,[1]diabetes_Recognition!$A:$B,2,FALSE),"Not Sampled")</f>
        <v>Not Sampled</v>
      </c>
      <c r="K542" s="1">
        <v>540</v>
      </c>
      <c r="L542" s="1" t="str">
        <f>LOOKUP(A542,Sheet2!$D$4:$E$9)</f>
        <v>8+</v>
      </c>
      <c r="M542" t="str">
        <f>LOOKUP(B542,Sheet2!$G$4:$H$9)</f>
        <v>100-125</v>
      </c>
      <c r="N542" t="str">
        <f>LOOKUP(C542,Sheet2!$J$4:$K$8)</f>
        <v>70-79</v>
      </c>
      <c r="O542" t="str">
        <f>LOOKUP(D542,Sheet2!$M$4:$N$8)</f>
        <v>40+</v>
      </c>
      <c r="P542" t="str">
        <f>LOOKUP(E542,Sheet2!$P$4:$Q$9)</f>
        <v>200-399</v>
      </c>
      <c r="Q542" t="str">
        <f>LOOKUP(F542,Sheet2!$S$4:$T$8)</f>
        <v>36+</v>
      </c>
      <c r="R542" t="str">
        <f>LOOKUP(G542,Sheet2!$V$4:$W$7)</f>
        <v>0.4 - 0.69</v>
      </c>
      <c r="S542" t="str">
        <f>LOOKUP(H542,Sheet2!$Z$4:$AA$7)</f>
        <v>36-45</v>
      </c>
      <c r="T542" t="str">
        <f t="shared" si="24"/>
        <v>Positive</v>
      </c>
      <c r="U542" t="str">
        <f t="shared" si="25"/>
        <v>Not Sampled</v>
      </c>
      <c r="V542" s="1" t="str">
        <f t="shared" si="26"/>
        <v>Not Sampled</v>
      </c>
    </row>
    <row r="543" spans="1:22" x14ac:dyDescent="0.25">
      <c r="A543" s="1">
        <v>3</v>
      </c>
      <c r="B543" s="1">
        <v>128</v>
      </c>
      <c r="C543" s="1">
        <v>72</v>
      </c>
      <c r="D543" s="1">
        <v>25</v>
      </c>
      <c r="E543" s="1">
        <v>190</v>
      </c>
      <c r="F543" s="1">
        <v>32.4</v>
      </c>
      <c r="G543" s="1">
        <v>0.54900000000000004</v>
      </c>
      <c r="H543" s="1">
        <v>27</v>
      </c>
      <c r="I543" s="1">
        <v>1</v>
      </c>
      <c r="J543" s="1">
        <f>IFERROR(VLOOKUP(K543,[1]diabetes_Recognition!$A:$B,2,FALSE),"Not Sampled")</f>
        <v>0</v>
      </c>
      <c r="K543" s="1">
        <v>541</v>
      </c>
      <c r="L543" s="1" t="str">
        <f>LOOKUP(A543,Sheet2!$D$4:$E$9)</f>
        <v>3-4</v>
      </c>
      <c r="M543" t="str">
        <f>LOOKUP(B543,Sheet2!$G$4:$H$9)</f>
        <v>126-150</v>
      </c>
      <c r="N543" t="str">
        <f>LOOKUP(C543,Sheet2!$J$4:$K$8)</f>
        <v>70-79</v>
      </c>
      <c r="O543" t="str">
        <f>LOOKUP(D543,Sheet2!$M$4:$N$8)</f>
        <v>10-30</v>
      </c>
      <c r="P543" t="str">
        <f>LOOKUP(E543,Sheet2!$P$4:$Q$9)</f>
        <v>100-199</v>
      </c>
      <c r="Q543" t="str">
        <f>LOOKUP(F543,Sheet2!$S$4:$T$8)</f>
        <v>31-35</v>
      </c>
      <c r="R543" t="str">
        <f>LOOKUP(G543,Sheet2!$V$4:$W$7)</f>
        <v>0.4 - 0.69</v>
      </c>
      <c r="S543" t="str">
        <f>LOOKUP(H543,Sheet2!$Z$4:$AA$7)</f>
        <v>26-35</v>
      </c>
      <c r="T543" t="str">
        <f t="shared" si="24"/>
        <v>Positive</v>
      </c>
      <c r="U543" t="str">
        <f t="shared" si="25"/>
        <v>Negative</v>
      </c>
      <c r="V543" s="1" t="str">
        <f t="shared" si="26"/>
        <v>Inaccurate Prediction</v>
      </c>
    </row>
    <row r="544" spans="1:22" x14ac:dyDescent="0.25">
      <c r="A544" s="1">
        <v>10</v>
      </c>
      <c r="B544" s="1">
        <v>90</v>
      </c>
      <c r="C544" s="1">
        <v>85</v>
      </c>
      <c r="D544" s="1">
        <v>32</v>
      </c>
      <c r="E544" s="1">
        <v>0</v>
      </c>
      <c r="F544" s="1">
        <v>34.9</v>
      </c>
      <c r="G544" s="1">
        <v>0.82499999999999996</v>
      </c>
      <c r="H544" s="1">
        <v>56</v>
      </c>
      <c r="I544" s="1">
        <v>1</v>
      </c>
      <c r="J544" s="1" t="str">
        <f>IFERROR(VLOOKUP(K544,[1]diabetes_Recognition!$A:$B,2,FALSE),"Not Sampled")</f>
        <v>Not Sampled</v>
      </c>
      <c r="K544" s="1">
        <v>542</v>
      </c>
      <c r="L544" s="1" t="str">
        <f>LOOKUP(A544,Sheet2!$D$4:$E$9)</f>
        <v>8+</v>
      </c>
      <c r="M544" t="str">
        <f>LOOKUP(B544,Sheet2!$G$4:$H$9)</f>
        <v>1-99</v>
      </c>
      <c r="N544" t="str">
        <f>LOOKUP(C544,Sheet2!$J$4:$K$8)</f>
        <v>80+</v>
      </c>
      <c r="O544" t="str">
        <f>LOOKUP(D544,Sheet2!$M$4:$N$8)</f>
        <v>30-39</v>
      </c>
      <c r="P544" t="str">
        <f>LOOKUP(E544,Sheet2!$P$4:$Q$9)</f>
        <v>Unknown</v>
      </c>
      <c r="Q544" t="str">
        <f>LOOKUP(F544,Sheet2!$S$4:$T$8)</f>
        <v>31-35</v>
      </c>
      <c r="R544" t="str">
        <f>LOOKUP(G544,Sheet2!$V$4:$W$7)</f>
        <v>0.7+</v>
      </c>
      <c r="S544" t="str">
        <f>LOOKUP(H544,Sheet2!$Z$4:$AA$7)</f>
        <v>46+</v>
      </c>
      <c r="T544" t="str">
        <f t="shared" si="24"/>
        <v>Positive</v>
      </c>
      <c r="U544" t="str">
        <f t="shared" si="25"/>
        <v>Not Sampled</v>
      </c>
      <c r="V544" s="1" t="str">
        <f t="shared" si="26"/>
        <v>Not Sampled</v>
      </c>
    </row>
    <row r="545" spans="1:22" x14ac:dyDescent="0.25">
      <c r="A545" s="1">
        <v>4</v>
      </c>
      <c r="B545" s="1">
        <v>84</v>
      </c>
      <c r="C545" s="1">
        <v>90</v>
      </c>
      <c r="D545" s="1">
        <v>23</v>
      </c>
      <c r="E545" s="1">
        <v>56</v>
      </c>
      <c r="F545" s="1">
        <v>39.5</v>
      </c>
      <c r="G545" s="1">
        <v>0.159</v>
      </c>
      <c r="H545" s="1">
        <v>25</v>
      </c>
      <c r="I545" s="1">
        <v>0</v>
      </c>
      <c r="J545" s="1" t="str">
        <f>IFERROR(VLOOKUP(K545,[1]diabetes_Recognition!$A:$B,2,FALSE),"Not Sampled")</f>
        <v>Not Sampled</v>
      </c>
      <c r="K545" s="1">
        <v>543</v>
      </c>
      <c r="L545" s="1" t="str">
        <f>LOOKUP(A545,Sheet2!$D$4:$E$9)</f>
        <v>3-4</v>
      </c>
      <c r="M545" t="str">
        <f>LOOKUP(B545,Sheet2!$G$4:$H$9)</f>
        <v>1-99</v>
      </c>
      <c r="N545" t="str">
        <f>LOOKUP(C545,Sheet2!$J$4:$K$8)</f>
        <v>80+</v>
      </c>
      <c r="O545" t="str">
        <f>LOOKUP(D545,Sheet2!$M$4:$N$8)</f>
        <v>10-30</v>
      </c>
      <c r="P545" t="str">
        <f>LOOKUP(E545,Sheet2!$P$4:$Q$9)</f>
        <v>1-99</v>
      </c>
      <c r="Q545" t="str">
        <f>LOOKUP(F545,Sheet2!$S$4:$T$8)</f>
        <v>36+</v>
      </c>
      <c r="R545" t="str">
        <f>LOOKUP(G545,Sheet2!$V$4:$W$7)</f>
        <v>0.0 - 0.249</v>
      </c>
      <c r="S545" t="str">
        <f>LOOKUP(H545,Sheet2!$Z$4:$AA$7)</f>
        <v>&lt;=25</v>
      </c>
      <c r="T545" t="str">
        <f t="shared" si="24"/>
        <v>Negative</v>
      </c>
      <c r="U545" t="str">
        <f t="shared" si="25"/>
        <v>Not Sampled</v>
      </c>
      <c r="V545" s="1" t="str">
        <f t="shared" si="26"/>
        <v>Not Sampled</v>
      </c>
    </row>
    <row r="546" spans="1:22" x14ac:dyDescent="0.25">
      <c r="A546" s="1">
        <v>1</v>
      </c>
      <c r="B546" s="1">
        <v>88</v>
      </c>
      <c r="C546" s="1">
        <v>78</v>
      </c>
      <c r="D546" s="1">
        <v>29</v>
      </c>
      <c r="E546" s="1">
        <v>76</v>
      </c>
      <c r="F546" s="1">
        <v>32</v>
      </c>
      <c r="G546" s="1">
        <v>0.36499999999999999</v>
      </c>
      <c r="H546" s="1">
        <v>29</v>
      </c>
      <c r="I546" s="1">
        <v>0</v>
      </c>
      <c r="J546" s="1" t="str">
        <f>IFERROR(VLOOKUP(K546,[1]diabetes_Recognition!$A:$B,2,FALSE),"Not Sampled")</f>
        <v>Not Sampled</v>
      </c>
      <c r="K546" s="1">
        <v>544</v>
      </c>
      <c r="L546" s="1">
        <f>LOOKUP(A546,Sheet2!$D$4:$E$9)</f>
        <v>1</v>
      </c>
      <c r="M546" t="str">
        <f>LOOKUP(B546,Sheet2!$G$4:$H$9)</f>
        <v>1-99</v>
      </c>
      <c r="N546" t="str">
        <f>LOOKUP(C546,Sheet2!$J$4:$K$8)</f>
        <v>70-79</v>
      </c>
      <c r="O546" t="str">
        <f>LOOKUP(D546,Sheet2!$M$4:$N$8)</f>
        <v>10-30</v>
      </c>
      <c r="P546" t="str">
        <f>LOOKUP(E546,Sheet2!$P$4:$Q$9)</f>
        <v>1-99</v>
      </c>
      <c r="Q546" t="str">
        <f>LOOKUP(F546,Sheet2!$S$4:$T$8)</f>
        <v>31-35</v>
      </c>
      <c r="R546" t="str">
        <f>LOOKUP(G546,Sheet2!$V$4:$W$7)</f>
        <v>0.25 - 0.39</v>
      </c>
      <c r="S546" t="str">
        <f>LOOKUP(H546,Sheet2!$Z$4:$AA$7)</f>
        <v>26-35</v>
      </c>
      <c r="T546" t="str">
        <f t="shared" si="24"/>
        <v>Negative</v>
      </c>
      <c r="U546" t="str">
        <f t="shared" si="25"/>
        <v>Not Sampled</v>
      </c>
      <c r="V546" s="1" t="str">
        <f t="shared" si="26"/>
        <v>Not Sampled</v>
      </c>
    </row>
    <row r="547" spans="1:22" x14ac:dyDescent="0.25">
      <c r="A547" s="1">
        <v>8</v>
      </c>
      <c r="B547" s="1">
        <v>186</v>
      </c>
      <c r="C547" s="1">
        <v>90</v>
      </c>
      <c r="D547" s="1">
        <v>35</v>
      </c>
      <c r="E547" s="1">
        <v>225</v>
      </c>
      <c r="F547" s="1">
        <v>34.5</v>
      </c>
      <c r="G547" s="1">
        <v>0.42299999999999999</v>
      </c>
      <c r="H547" s="1">
        <v>37</v>
      </c>
      <c r="I547" s="1">
        <v>1</v>
      </c>
      <c r="J547" s="1" t="str">
        <f>IFERROR(VLOOKUP(K547,[1]diabetes_Recognition!$A:$B,2,FALSE),"Not Sampled")</f>
        <v>Not Sampled</v>
      </c>
      <c r="K547" s="1">
        <v>545</v>
      </c>
      <c r="L547" s="1" t="str">
        <f>LOOKUP(A547,Sheet2!$D$4:$E$9)</f>
        <v>8+</v>
      </c>
      <c r="M547" t="str">
        <f>LOOKUP(B547,Sheet2!$G$4:$H$9)</f>
        <v>176-200</v>
      </c>
      <c r="N547" t="str">
        <f>LOOKUP(C547,Sheet2!$J$4:$K$8)</f>
        <v>80+</v>
      </c>
      <c r="O547" t="str">
        <f>LOOKUP(D547,Sheet2!$M$4:$N$8)</f>
        <v>30-39</v>
      </c>
      <c r="P547" t="str">
        <f>LOOKUP(E547,Sheet2!$P$4:$Q$9)</f>
        <v>200-399</v>
      </c>
      <c r="Q547" t="str">
        <f>LOOKUP(F547,Sheet2!$S$4:$T$8)</f>
        <v>31-35</v>
      </c>
      <c r="R547" t="str">
        <f>LOOKUP(G547,Sheet2!$V$4:$W$7)</f>
        <v>0.4 - 0.69</v>
      </c>
      <c r="S547" t="str">
        <f>LOOKUP(H547,Sheet2!$Z$4:$AA$7)</f>
        <v>36-45</v>
      </c>
      <c r="T547" t="str">
        <f t="shared" si="24"/>
        <v>Positive</v>
      </c>
      <c r="U547" t="str">
        <f t="shared" si="25"/>
        <v>Not Sampled</v>
      </c>
      <c r="V547" s="1" t="str">
        <f t="shared" si="26"/>
        <v>Not Sampled</v>
      </c>
    </row>
    <row r="548" spans="1:22" x14ac:dyDescent="0.25">
      <c r="A548" s="1">
        <v>5</v>
      </c>
      <c r="B548" s="1">
        <v>187</v>
      </c>
      <c r="C548" s="1">
        <v>76</v>
      </c>
      <c r="D548" s="1">
        <v>27</v>
      </c>
      <c r="E548" s="1">
        <v>207</v>
      </c>
      <c r="F548" s="1">
        <v>43.6</v>
      </c>
      <c r="G548" s="1">
        <v>1.034</v>
      </c>
      <c r="H548" s="1">
        <v>53</v>
      </c>
      <c r="I548" s="1">
        <v>1</v>
      </c>
      <c r="J548" s="1">
        <f>IFERROR(VLOOKUP(K548,[1]diabetes_Recognition!$A:$B,2,FALSE),"Not Sampled")</f>
        <v>1</v>
      </c>
      <c r="K548" s="1">
        <v>546</v>
      </c>
      <c r="L548" s="1" t="str">
        <f>LOOKUP(A548,Sheet2!$D$4:$E$9)</f>
        <v>5-7</v>
      </c>
      <c r="M548" t="str">
        <f>LOOKUP(B548,Sheet2!$G$4:$H$9)</f>
        <v>176-200</v>
      </c>
      <c r="N548" t="str">
        <f>LOOKUP(C548,Sheet2!$J$4:$K$8)</f>
        <v>70-79</v>
      </c>
      <c r="O548" t="str">
        <f>LOOKUP(D548,Sheet2!$M$4:$N$8)</f>
        <v>10-30</v>
      </c>
      <c r="P548" t="str">
        <f>LOOKUP(E548,Sheet2!$P$4:$Q$9)</f>
        <v>200-399</v>
      </c>
      <c r="Q548" t="str">
        <f>LOOKUP(F548,Sheet2!$S$4:$T$8)</f>
        <v>36+</v>
      </c>
      <c r="R548" t="str">
        <f>LOOKUP(G548,Sheet2!$V$4:$W$7)</f>
        <v>0.7+</v>
      </c>
      <c r="S548" t="str">
        <f>LOOKUP(H548,Sheet2!$Z$4:$AA$7)</f>
        <v>46+</v>
      </c>
      <c r="T548" t="str">
        <f t="shared" si="24"/>
        <v>Positive</v>
      </c>
      <c r="U548" t="str">
        <f t="shared" si="25"/>
        <v>Positive</v>
      </c>
      <c r="V548" s="1" t="str">
        <f t="shared" si="26"/>
        <v>Accurate Prediction</v>
      </c>
    </row>
    <row r="549" spans="1:22" x14ac:dyDescent="0.25">
      <c r="A549" s="1">
        <v>4</v>
      </c>
      <c r="B549" s="1">
        <v>131</v>
      </c>
      <c r="C549" s="1">
        <v>68</v>
      </c>
      <c r="D549" s="1">
        <v>21</v>
      </c>
      <c r="E549" s="1">
        <v>166</v>
      </c>
      <c r="F549" s="1">
        <v>33.1</v>
      </c>
      <c r="G549" s="1">
        <v>0.16</v>
      </c>
      <c r="H549" s="1">
        <v>28</v>
      </c>
      <c r="I549" s="1">
        <v>0</v>
      </c>
      <c r="J549" s="1">
        <f>IFERROR(VLOOKUP(K549,[1]diabetes_Recognition!$A:$B,2,FALSE),"Not Sampled")</f>
        <v>0</v>
      </c>
      <c r="K549" s="1">
        <v>547</v>
      </c>
      <c r="L549" s="1" t="str">
        <f>LOOKUP(A549,Sheet2!$D$4:$E$9)</f>
        <v>3-4</v>
      </c>
      <c r="M549" t="str">
        <f>LOOKUP(B549,Sheet2!$G$4:$H$9)</f>
        <v>126-150</v>
      </c>
      <c r="N549" t="str">
        <f>LOOKUP(C549,Sheet2!$J$4:$K$8)</f>
        <v>60-69</v>
      </c>
      <c r="O549" t="str">
        <f>LOOKUP(D549,Sheet2!$M$4:$N$8)</f>
        <v>10-30</v>
      </c>
      <c r="P549" t="str">
        <f>LOOKUP(E549,Sheet2!$P$4:$Q$9)</f>
        <v>100-199</v>
      </c>
      <c r="Q549" t="str">
        <f>LOOKUP(F549,Sheet2!$S$4:$T$8)</f>
        <v>31-35</v>
      </c>
      <c r="R549" t="str">
        <f>LOOKUP(G549,Sheet2!$V$4:$W$7)</f>
        <v>0.0 - 0.249</v>
      </c>
      <c r="S549" t="str">
        <f>LOOKUP(H549,Sheet2!$Z$4:$AA$7)</f>
        <v>26-35</v>
      </c>
      <c r="T549" t="str">
        <f t="shared" si="24"/>
        <v>Negative</v>
      </c>
      <c r="U549" t="str">
        <f t="shared" si="25"/>
        <v>Negative</v>
      </c>
      <c r="V549" s="1" t="str">
        <f t="shared" si="26"/>
        <v>Accurate Prediction</v>
      </c>
    </row>
    <row r="550" spans="1:22" x14ac:dyDescent="0.25">
      <c r="A550" s="1">
        <v>1</v>
      </c>
      <c r="B550" s="1">
        <v>164</v>
      </c>
      <c r="C550" s="1">
        <v>82</v>
      </c>
      <c r="D550" s="1">
        <v>43</v>
      </c>
      <c r="E550" s="1">
        <v>67</v>
      </c>
      <c r="F550" s="1">
        <v>32.799999999999997</v>
      </c>
      <c r="G550" s="1">
        <v>0.34100000000000003</v>
      </c>
      <c r="H550" s="1">
        <v>50</v>
      </c>
      <c r="I550" s="1">
        <v>0</v>
      </c>
      <c r="J550" s="1" t="str">
        <f>IFERROR(VLOOKUP(K550,[1]diabetes_Recognition!$A:$B,2,FALSE),"Not Sampled")</f>
        <v>Not Sampled</v>
      </c>
      <c r="K550" s="1">
        <v>548</v>
      </c>
      <c r="L550" s="1">
        <f>LOOKUP(A550,Sheet2!$D$4:$E$9)</f>
        <v>1</v>
      </c>
      <c r="M550" t="str">
        <f>LOOKUP(B550,Sheet2!$G$4:$H$9)</f>
        <v>151-175</v>
      </c>
      <c r="N550" t="str">
        <f>LOOKUP(C550,Sheet2!$J$4:$K$8)</f>
        <v>80+</v>
      </c>
      <c r="O550" t="str">
        <f>LOOKUP(D550,Sheet2!$M$4:$N$8)</f>
        <v>40+</v>
      </c>
      <c r="P550" t="str">
        <f>LOOKUP(E550,Sheet2!$P$4:$Q$9)</f>
        <v>1-99</v>
      </c>
      <c r="Q550" t="str">
        <f>LOOKUP(F550,Sheet2!$S$4:$T$8)</f>
        <v>31-35</v>
      </c>
      <c r="R550" t="str">
        <f>LOOKUP(G550,Sheet2!$V$4:$W$7)</f>
        <v>0.25 - 0.39</v>
      </c>
      <c r="S550" t="str">
        <f>LOOKUP(H550,Sheet2!$Z$4:$AA$7)</f>
        <v>46+</v>
      </c>
      <c r="T550" t="str">
        <f t="shared" si="24"/>
        <v>Negative</v>
      </c>
      <c r="U550" t="str">
        <f t="shared" si="25"/>
        <v>Not Sampled</v>
      </c>
      <c r="V550" s="1" t="str">
        <f t="shared" si="26"/>
        <v>Not Sampled</v>
      </c>
    </row>
    <row r="551" spans="1:22" x14ac:dyDescent="0.25">
      <c r="A551" s="1">
        <v>4</v>
      </c>
      <c r="B551" s="1">
        <v>189</v>
      </c>
      <c r="C551" s="1">
        <v>110</v>
      </c>
      <c r="D551" s="1">
        <v>31</v>
      </c>
      <c r="E551" s="1">
        <v>0</v>
      </c>
      <c r="F551" s="1">
        <v>28.5</v>
      </c>
      <c r="G551" s="1">
        <v>0.68</v>
      </c>
      <c r="H551" s="1">
        <v>37</v>
      </c>
      <c r="I551" s="1">
        <v>0</v>
      </c>
      <c r="J551" s="1" t="str">
        <f>IFERROR(VLOOKUP(K551,[1]diabetes_Recognition!$A:$B,2,FALSE),"Not Sampled")</f>
        <v>Not Sampled</v>
      </c>
      <c r="K551" s="1">
        <v>549</v>
      </c>
      <c r="L551" s="1" t="str">
        <f>LOOKUP(A551,Sheet2!$D$4:$E$9)</f>
        <v>3-4</v>
      </c>
      <c r="M551" t="str">
        <f>LOOKUP(B551,Sheet2!$G$4:$H$9)</f>
        <v>176-200</v>
      </c>
      <c r="N551" t="str">
        <f>LOOKUP(C551,Sheet2!$J$4:$K$8)</f>
        <v>80+</v>
      </c>
      <c r="O551" t="str">
        <f>LOOKUP(D551,Sheet2!$M$4:$N$8)</f>
        <v>30-39</v>
      </c>
      <c r="P551" t="str">
        <f>LOOKUP(E551,Sheet2!$P$4:$Q$9)</f>
        <v>Unknown</v>
      </c>
      <c r="Q551" t="str">
        <f>LOOKUP(F551,Sheet2!$S$4:$T$8)</f>
        <v>26-30</v>
      </c>
      <c r="R551" t="str">
        <f>LOOKUP(G551,Sheet2!$V$4:$W$7)</f>
        <v>0.4 - 0.69</v>
      </c>
      <c r="S551" t="str">
        <f>LOOKUP(H551,Sheet2!$Z$4:$AA$7)</f>
        <v>36-45</v>
      </c>
      <c r="T551" t="str">
        <f t="shared" si="24"/>
        <v>Negative</v>
      </c>
      <c r="U551" t="str">
        <f t="shared" si="25"/>
        <v>Not Sampled</v>
      </c>
      <c r="V551" s="1" t="str">
        <f t="shared" si="26"/>
        <v>Not Sampled</v>
      </c>
    </row>
    <row r="552" spans="1:22" x14ac:dyDescent="0.25">
      <c r="A552" s="1">
        <v>1</v>
      </c>
      <c r="B552" s="1">
        <v>116</v>
      </c>
      <c r="C552" s="1">
        <v>70</v>
      </c>
      <c r="D552" s="1">
        <v>28</v>
      </c>
      <c r="E552" s="1">
        <v>0</v>
      </c>
      <c r="F552" s="1">
        <v>27.4</v>
      </c>
      <c r="G552" s="1">
        <v>0.20399999999999999</v>
      </c>
      <c r="H552" s="1">
        <v>21</v>
      </c>
      <c r="I552" s="1">
        <v>0</v>
      </c>
      <c r="J552" s="1" t="str">
        <f>IFERROR(VLOOKUP(K552,[1]diabetes_Recognition!$A:$B,2,FALSE),"Not Sampled")</f>
        <v>Not Sampled</v>
      </c>
      <c r="K552" s="1">
        <v>550</v>
      </c>
      <c r="L552" s="1">
        <f>LOOKUP(A552,Sheet2!$D$4:$E$9)</f>
        <v>1</v>
      </c>
      <c r="M552" t="str">
        <f>LOOKUP(B552,Sheet2!$G$4:$H$9)</f>
        <v>100-125</v>
      </c>
      <c r="N552" t="str">
        <f>LOOKUP(C552,Sheet2!$J$4:$K$8)</f>
        <v>70-79</v>
      </c>
      <c r="O552" t="str">
        <f>LOOKUP(D552,Sheet2!$M$4:$N$8)</f>
        <v>10-30</v>
      </c>
      <c r="P552" t="str">
        <f>LOOKUP(E552,Sheet2!$P$4:$Q$9)</f>
        <v>Unknown</v>
      </c>
      <c r="Q552" t="str">
        <f>LOOKUP(F552,Sheet2!$S$4:$T$8)</f>
        <v>26-30</v>
      </c>
      <c r="R552" t="str">
        <f>LOOKUP(G552,Sheet2!$V$4:$W$7)</f>
        <v>0.0 - 0.249</v>
      </c>
      <c r="S552" t="str">
        <f>LOOKUP(H552,Sheet2!$Z$4:$AA$7)</f>
        <v>&lt;=25</v>
      </c>
      <c r="T552" t="str">
        <f t="shared" si="24"/>
        <v>Negative</v>
      </c>
      <c r="U552" t="str">
        <f t="shared" si="25"/>
        <v>Not Sampled</v>
      </c>
      <c r="V552" s="1" t="str">
        <f t="shared" si="26"/>
        <v>Not Sampled</v>
      </c>
    </row>
    <row r="553" spans="1:22" x14ac:dyDescent="0.25">
      <c r="A553" s="1">
        <v>3</v>
      </c>
      <c r="B553" s="1">
        <v>84</v>
      </c>
      <c r="C553" s="1">
        <v>68</v>
      </c>
      <c r="D553" s="1">
        <v>30</v>
      </c>
      <c r="E553" s="1">
        <v>106</v>
      </c>
      <c r="F553" s="1">
        <v>31.9</v>
      </c>
      <c r="G553" s="1">
        <v>0.59099999999999997</v>
      </c>
      <c r="H553" s="1">
        <v>25</v>
      </c>
      <c r="I553" s="1">
        <v>0</v>
      </c>
      <c r="J553" s="1" t="str">
        <f>IFERROR(VLOOKUP(K553,[1]diabetes_Recognition!$A:$B,2,FALSE),"Not Sampled")</f>
        <v>Not Sampled</v>
      </c>
      <c r="K553" s="1">
        <v>551</v>
      </c>
      <c r="L553" s="1" t="str">
        <f>LOOKUP(A553,Sheet2!$D$4:$E$9)</f>
        <v>3-4</v>
      </c>
      <c r="M553" t="str">
        <f>LOOKUP(B553,Sheet2!$G$4:$H$9)</f>
        <v>1-99</v>
      </c>
      <c r="N553" t="str">
        <f>LOOKUP(C553,Sheet2!$J$4:$K$8)</f>
        <v>60-69</v>
      </c>
      <c r="O553" t="str">
        <f>LOOKUP(D553,Sheet2!$M$4:$N$8)</f>
        <v>30-39</v>
      </c>
      <c r="P553" t="str">
        <f>LOOKUP(E553,Sheet2!$P$4:$Q$9)</f>
        <v>100-199</v>
      </c>
      <c r="Q553" t="str">
        <f>LOOKUP(F553,Sheet2!$S$4:$T$8)</f>
        <v>31-35</v>
      </c>
      <c r="R553" t="str">
        <f>LOOKUP(G553,Sheet2!$V$4:$W$7)</f>
        <v>0.4 - 0.69</v>
      </c>
      <c r="S553" t="str">
        <f>LOOKUP(H553,Sheet2!$Z$4:$AA$7)</f>
        <v>&lt;=25</v>
      </c>
      <c r="T553" t="str">
        <f t="shared" si="24"/>
        <v>Negative</v>
      </c>
      <c r="U553" t="str">
        <f t="shared" si="25"/>
        <v>Not Sampled</v>
      </c>
      <c r="V553" s="1" t="str">
        <f t="shared" si="26"/>
        <v>Not Sampled</v>
      </c>
    </row>
    <row r="554" spans="1:22" x14ac:dyDescent="0.25">
      <c r="A554" s="1">
        <v>6</v>
      </c>
      <c r="B554" s="1">
        <v>114</v>
      </c>
      <c r="C554" s="1">
        <v>88</v>
      </c>
      <c r="D554" s="1">
        <v>0</v>
      </c>
      <c r="E554" s="1">
        <v>0</v>
      </c>
      <c r="F554" s="1">
        <v>27.8</v>
      </c>
      <c r="G554" s="1">
        <v>0.247</v>
      </c>
      <c r="H554" s="1">
        <v>66</v>
      </c>
      <c r="I554" s="1">
        <v>0</v>
      </c>
      <c r="J554" s="1" t="str">
        <f>IFERROR(VLOOKUP(K554,[1]diabetes_Recognition!$A:$B,2,FALSE),"Not Sampled")</f>
        <v>Not Sampled</v>
      </c>
      <c r="K554" s="1">
        <v>552</v>
      </c>
      <c r="L554" s="1" t="str">
        <f>LOOKUP(A554,Sheet2!$D$4:$E$9)</f>
        <v>5-7</v>
      </c>
      <c r="M554" t="str">
        <f>LOOKUP(B554,Sheet2!$G$4:$H$9)</f>
        <v>100-125</v>
      </c>
      <c r="N554" t="str">
        <f>LOOKUP(C554,Sheet2!$J$4:$K$8)</f>
        <v>80+</v>
      </c>
      <c r="O554" t="str">
        <f>LOOKUP(D554,Sheet2!$M$4:$N$8)</f>
        <v>Unknown</v>
      </c>
      <c r="P554" t="str">
        <f>LOOKUP(E554,Sheet2!$P$4:$Q$9)</f>
        <v>Unknown</v>
      </c>
      <c r="Q554" t="str">
        <f>LOOKUP(F554,Sheet2!$S$4:$T$8)</f>
        <v>26-30</v>
      </c>
      <c r="R554" t="str">
        <f>LOOKUP(G554,Sheet2!$V$4:$W$7)</f>
        <v>0.0 - 0.249</v>
      </c>
      <c r="S554" t="str">
        <f>LOOKUP(H554,Sheet2!$Z$4:$AA$7)</f>
        <v>46+</v>
      </c>
      <c r="T554" t="str">
        <f t="shared" si="24"/>
        <v>Negative</v>
      </c>
      <c r="U554" t="str">
        <f t="shared" si="25"/>
        <v>Not Sampled</v>
      </c>
      <c r="V554" s="1" t="str">
        <f t="shared" si="26"/>
        <v>Not Sampled</v>
      </c>
    </row>
    <row r="555" spans="1:22" x14ac:dyDescent="0.25">
      <c r="A555" s="1">
        <v>1</v>
      </c>
      <c r="B555" s="1">
        <v>88</v>
      </c>
      <c r="C555" s="1">
        <v>62</v>
      </c>
      <c r="D555" s="1">
        <v>24</v>
      </c>
      <c r="E555" s="1">
        <v>44</v>
      </c>
      <c r="F555" s="1">
        <v>29.9</v>
      </c>
      <c r="G555" s="1">
        <v>0.42199999999999999</v>
      </c>
      <c r="H555" s="1">
        <v>23</v>
      </c>
      <c r="I555" s="1">
        <v>0</v>
      </c>
      <c r="J555" s="1">
        <f>IFERROR(VLOOKUP(K555,[1]diabetes_Recognition!$A:$B,2,FALSE),"Not Sampled")</f>
        <v>0</v>
      </c>
      <c r="K555" s="1">
        <v>553</v>
      </c>
      <c r="L555" s="1">
        <f>LOOKUP(A555,Sheet2!$D$4:$E$9)</f>
        <v>1</v>
      </c>
      <c r="M555" t="str">
        <f>LOOKUP(B555,Sheet2!$G$4:$H$9)</f>
        <v>1-99</v>
      </c>
      <c r="N555" t="str">
        <f>LOOKUP(C555,Sheet2!$J$4:$K$8)</f>
        <v>60-69</v>
      </c>
      <c r="O555" t="str">
        <f>LOOKUP(D555,Sheet2!$M$4:$N$8)</f>
        <v>10-30</v>
      </c>
      <c r="P555" t="str">
        <f>LOOKUP(E555,Sheet2!$P$4:$Q$9)</f>
        <v>1-99</v>
      </c>
      <c r="Q555" t="str">
        <f>LOOKUP(F555,Sheet2!$S$4:$T$8)</f>
        <v>26-30</v>
      </c>
      <c r="R555" t="str">
        <f>LOOKUP(G555,Sheet2!$V$4:$W$7)</f>
        <v>0.4 - 0.69</v>
      </c>
      <c r="S555" t="str">
        <f>LOOKUP(H555,Sheet2!$Z$4:$AA$7)</f>
        <v>&lt;=25</v>
      </c>
      <c r="T555" t="str">
        <f t="shared" si="24"/>
        <v>Negative</v>
      </c>
      <c r="U555" t="str">
        <f t="shared" si="25"/>
        <v>Negative</v>
      </c>
      <c r="V555" s="1" t="str">
        <f t="shared" si="26"/>
        <v>Accurate Prediction</v>
      </c>
    </row>
    <row r="556" spans="1:22" x14ac:dyDescent="0.25">
      <c r="A556" s="1">
        <v>1</v>
      </c>
      <c r="B556" s="1">
        <v>84</v>
      </c>
      <c r="C556" s="1">
        <v>64</v>
      </c>
      <c r="D556" s="1">
        <v>23</v>
      </c>
      <c r="E556" s="1">
        <v>115</v>
      </c>
      <c r="F556" s="1">
        <v>36.9</v>
      </c>
      <c r="G556" s="1">
        <v>0.47099999999999997</v>
      </c>
      <c r="H556" s="1">
        <v>28</v>
      </c>
      <c r="I556" s="1">
        <v>0</v>
      </c>
      <c r="J556" s="1" t="str">
        <f>IFERROR(VLOOKUP(K556,[1]diabetes_Recognition!$A:$B,2,FALSE),"Not Sampled")</f>
        <v>Not Sampled</v>
      </c>
      <c r="K556" s="1">
        <v>554</v>
      </c>
      <c r="L556" s="1">
        <f>LOOKUP(A556,Sheet2!$D$4:$E$9)</f>
        <v>1</v>
      </c>
      <c r="M556" t="str">
        <f>LOOKUP(B556,Sheet2!$G$4:$H$9)</f>
        <v>1-99</v>
      </c>
      <c r="N556" t="str">
        <f>LOOKUP(C556,Sheet2!$J$4:$K$8)</f>
        <v>60-69</v>
      </c>
      <c r="O556" t="str">
        <f>LOOKUP(D556,Sheet2!$M$4:$N$8)</f>
        <v>10-30</v>
      </c>
      <c r="P556" t="str">
        <f>LOOKUP(E556,Sheet2!$P$4:$Q$9)</f>
        <v>100-199</v>
      </c>
      <c r="Q556" t="str">
        <f>LOOKUP(F556,Sheet2!$S$4:$T$8)</f>
        <v>36+</v>
      </c>
      <c r="R556" t="str">
        <f>LOOKUP(G556,Sheet2!$V$4:$W$7)</f>
        <v>0.4 - 0.69</v>
      </c>
      <c r="S556" t="str">
        <f>LOOKUP(H556,Sheet2!$Z$4:$AA$7)</f>
        <v>26-35</v>
      </c>
      <c r="T556" t="str">
        <f t="shared" si="24"/>
        <v>Negative</v>
      </c>
      <c r="U556" t="str">
        <f t="shared" si="25"/>
        <v>Not Sampled</v>
      </c>
      <c r="V556" s="1" t="str">
        <f t="shared" si="26"/>
        <v>Not Sampled</v>
      </c>
    </row>
    <row r="557" spans="1:22" x14ac:dyDescent="0.25">
      <c r="A557" s="1">
        <v>7</v>
      </c>
      <c r="B557" s="1">
        <v>124</v>
      </c>
      <c r="C557" s="1">
        <v>70</v>
      </c>
      <c r="D557" s="1">
        <v>33</v>
      </c>
      <c r="E557" s="1">
        <v>215</v>
      </c>
      <c r="F557" s="1">
        <v>25.5</v>
      </c>
      <c r="G557" s="1">
        <v>0.161</v>
      </c>
      <c r="H557" s="1">
        <v>37</v>
      </c>
      <c r="I557" s="1">
        <v>0</v>
      </c>
      <c r="J557" s="1">
        <f>IFERROR(VLOOKUP(K557,[1]diabetes_Recognition!$A:$B,2,FALSE),"Not Sampled")</f>
        <v>0</v>
      </c>
      <c r="K557" s="1">
        <v>555</v>
      </c>
      <c r="L557" s="1" t="str">
        <f>LOOKUP(A557,Sheet2!$D$4:$E$9)</f>
        <v>5-7</v>
      </c>
      <c r="M557" t="str">
        <f>LOOKUP(B557,Sheet2!$G$4:$H$9)</f>
        <v>100-125</v>
      </c>
      <c r="N557" t="str">
        <f>LOOKUP(C557,Sheet2!$J$4:$K$8)</f>
        <v>70-79</v>
      </c>
      <c r="O557" t="str">
        <f>LOOKUP(D557,Sheet2!$M$4:$N$8)</f>
        <v>30-39</v>
      </c>
      <c r="P557" t="str">
        <f>LOOKUP(E557,Sheet2!$P$4:$Q$9)</f>
        <v>200-399</v>
      </c>
      <c r="Q557" t="str">
        <f>LOOKUP(F557,Sheet2!$S$4:$T$8)</f>
        <v>1-25</v>
      </c>
      <c r="R557" t="str">
        <f>LOOKUP(G557,Sheet2!$V$4:$W$7)</f>
        <v>0.0 - 0.249</v>
      </c>
      <c r="S557" t="str">
        <f>LOOKUP(H557,Sheet2!$Z$4:$AA$7)</f>
        <v>36-45</v>
      </c>
      <c r="T557" t="str">
        <f t="shared" si="24"/>
        <v>Negative</v>
      </c>
      <c r="U557" t="str">
        <f t="shared" si="25"/>
        <v>Negative</v>
      </c>
      <c r="V557" s="1" t="str">
        <f t="shared" si="26"/>
        <v>Accurate Prediction</v>
      </c>
    </row>
    <row r="558" spans="1:22" x14ac:dyDescent="0.25">
      <c r="A558" s="1">
        <v>1</v>
      </c>
      <c r="B558" s="1">
        <v>97</v>
      </c>
      <c r="C558" s="1">
        <v>70</v>
      </c>
      <c r="D558" s="1">
        <v>40</v>
      </c>
      <c r="E558" s="1">
        <v>0</v>
      </c>
      <c r="F558" s="1">
        <v>38.1</v>
      </c>
      <c r="G558" s="1">
        <v>0.218</v>
      </c>
      <c r="H558" s="1">
        <v>30</v>
      </c>
      <c r="I558" s="1">
        <v>0</v>
      </c>
      <c r="J558" s="1">
        <f>IFERROR(VLOOKUP(K558,[1]diabetes_Recognition!$A:$B,2,FALSE),"Not Sampled")</f>
        <v>0</v>
      </c>
      <c r="K558" s="1">
        <v>556</v>
      </c>
      <c r="L558" s="1">
        <f>LOOKUP(A558,Sheet2!$D$4:$E$9)</f>
        <v>1</v>
      </c>
      <c r="M558" t="str">
        <f>LOOKUP(B558,Sheet2!$G$4:$H$9)</f>
        <v>1-99</v>
      </c>
      <c r="N558" t="str">
        <f>LOOKUP(C558,Sheet2!$J$4:$K$8)</f>
        <v>70-79</v>
      </c>
      <c r="O558" t="str">
        <f>LOOKUP(D558,Sheet2!$M$4:$N$8)</f>
        <v>40+</v>
      </c>
      <c r="P558" t="str">
        <f>LOOKUP(E558,Sheet2!$P$4:$Q$9)</f>
        <v>Unknown</v>
      </c>
      <c r="Q558" t="str">
        <f>LOOKUP(F558,Sheet2!$S$4:$T$8)</f>
        <v>36+</v>
      </c>
      <c r="R558" t="str">
        <f>LOOKUP(G558,Sheet2!$V$4:$W$7)</f>
        <v>0.0 - 0.249</v>
      </c>
      <c r="S558" t="str">
        <f>LOOKUP(H558,Sheet2!$Z$4:$AA$7)</f>
        <v>26-35</v>
      </c>
      <c r="T558" t="str">
        <f t="shared" si="24"/>
        <v>Negative</v>
      </c>
      <c r="U558" t="str">
        <f t="shared" si="25"/>
        <v>Negative</v>
      </c>
      <c r="V558" s="1" t="str">
        <f t="shared" si="26"/>
        <v>Accurate Prediction</v>
      </c>
    </row>
    <row r="559" spans="1:22" x14ac:dyDescent="0.25">
      <c r="A559" s="1">
        <v>8</v>
      </c>
      <c r="B559" s="1">
        <v>110</v>
      </c>
      <c r="C559" s="1">
        <v>76</v>
      </c>
      <c r="D559" s="1">
        <v>0</v>
      </c>
      <c r="E559" s="1">
        <v>0</v>
      </c>
      <c r="F559" s="1">
        <v>27.8</v>
      </c>
      <c r="G559" s="1">
        <v>0.23699999999999999</v>
      </c>
      <c r="H559" s="1">
        <v>58</v>
      </c>
      <c r="I559" s="1">
        <v>0</v>
      </c>
      <c r="J559" s="1" t="str">
        <f>IFERROR(VLOOKUP(K559,[1]diabetes_Recognition!$A:$B,2,FALSE),"Not Sampled")</f>
        <v>Not Sampled</v>
      </c>
      <c r="K559" s="1">
        <v>557</v>
      </c>
      <c r="L559" s="1" t="str">
        <f>LOOKUP(A559,Sheet2!$D$4:$E$9)</f>
        <v>8+</v>
      </c>
      <c r="M559" t="str">
        <f>LOOKUP(B559,Sheet2!$G$4:$H$9)</f>
        <v>100-125</v>
      </c>
      <c r="N559" t="str">
        <f>LOOKUP(C559,Sheet2!$J$4:$K$8)</f>
        <v>70-79</v>
      </c>
      <c r="O559" t="str">
        <f>LOOKUP(D559,Sheet2!$M$4:$N$8)</f>
        <v>Unknown</v>
      </c>
      <c r="P559" t="str">
        <f>LOOKUP(E559,Sheet2!$P$4:$Q$9)</f>
        <v>Unknown</v>
      </c>
      <c r="Q559" t="str">
        <f>LOOKUP(F559,Sheet2!$S$4:$T$8)</f>
        <v>26-30</v>
      </c>
      <c r="R559" t="str">
        <f>LOOKUP(G559,Sheet2!$V$4:$W$7)</f>
        <v>0.0 - 0.249</v>
      </c>
      <c r="S559" t="str">
        <f>LOOKUP(H559,Sheet2!$Z$4:$AA$7)</f>
        <v>46+</v>
      </c>
      <c r="T559" t="str">
        <f t="shared" si="24"/>
        <v>Negative</v>
      </c>
      <c r="U559" t="str">
        <f t="shared" si="25"/>
        <v>Not Sampled</v>
      </c>
      <c r="V559" s="1" t="str">
        <f t="shared" si="26"/>
        <v>Not Sampled</v>
      </c>
    </row>
    <row r="560" spans="1:22" x14ac:dyDescent="0.25">
      <c r="A560" s="1">
        <v>11</v>
      </c>
      <c r="B560" s="1">
        <v>103</v>
      </c>
      <c r="C560" s="1">
        <v>68</v>
      </c>
      <c r="D560" s="1">
        <v>40</v>
      </c>
      <c r="E560" s="1">
        <v>0</v>
      </c>
      <c r="F560" s="1">
        <v>46.2</v>
      </c>
      <c r="G560" s="1">
        <v>0.126</v>
      </c>
      <c r="H560" s="1">
        <v>42</v>
      </c>
      <c r="I560" s="1">
        <v>0</v>
      </c>
      <c r="J560" s="1">
        <f>IFERROR(VLOOKUP(K560,[1]diabetes_Recognition!$A:$B,2,FALSE),"Not Sampled")</f>
        <v>1</v>
      </c>
      <c r="K560" s="1">
        <v>558</v>
      </c>
      <c r="L560" s="1" t="str">
        <f>LOOKUP(A560,Sheet2!$D$4:$E$9)</f>
        <v>8+</v>
      </c>
      <c r="M560" t="str">
        <f>LOOKUP(B560,Sheet2!$G$4:$H$9)</f>
        <v>100-125</v>
      </c>
      <c r="N560" t="str">
        <f>LOOKUP(C560,Sheet2!$J$4:$K$8)</f>
        <v>60-69</v>
      </c>
      <c r="O560" t="str">
        <f>LOOKUP(D560,Sheet2!$M$4:$N$8)</f>
        <v>40+</v>
      </c>
      <c r="P560" t="str">
        <f>LOOKUP(E560,Sheet2!$P$4:$Q$9)</f>
        <v>Unknown</v>
      </c>
      <c r="Q560" t="str">
        <f>LOOKUP(F560,Sheet2!$S$4:$T$8)</f>
        <v>36+</v>
      </c>
      <c r="R560" t="str">
        <f>LOOKUP(G560,Sheet2!$V$4:$W$7)</f>
        <v>0.0 - 0.249</v>
      </c>
      <c r="S560" t="str">
        <f>LOOKUP(H560,Sheet2!$Z$4:$AA$7)</f>
        <v>36-45</v>
      </c>
      <c r="T560" t="str">
        <f t="shared" si="24"/>
        <v>Negative</v>
      </c>
      <c r="U560" t="str">
        <f t="shared" si="25"/>
        <v>Positive</v>
      </c>
      <c r="V560" s="1" t="str">
        <f t="shared" si="26"/>
        <v>Inaccurate Prediction</v>
      </c>
    </row>
    <row r="561" spans="1:22" x14ac:dyDescent="0.25">
      <c r="A561" s="1">
        <v>11</v>
      </c>
      <c r="B561" s="1">
        <v>85</v>
      </c>
      <c r="C561" s="1">
        <v>74</v>
      </c>
      <c r="D561" s="1">
        <v>0</v>
      </c>
      <c r="E561" s="1">
        <v>0</v>
      </c>
      <c r="F561" s="1">
        <v>30.1</v>
      </c>
      <c r="G561" s="1">
        <v>0.3</v>
      </c>
      <c r="H561" s="1">
        <v>35</v>
      </c>
      <c r="I561" s="1">
        <v>0</v>
      </c>
      <c r="J561" s="1" t="str">
        <f>IFERROR(VLOOKUP(K561,[1]diabetes_Recognition!$A:$B,2,FALSE),"Not Sampled")</f>
        <v>Not Sampled</v>
      </c>
      <c r="K561" s="1">
        <v>559</v>
      </c>
      <c r="L561" s="1" t="str">
        <f>LOOKUP(A561,Sheet2!$D$4:$E$9)</f>
        <v>8+</v>
      </c>
      <c r="M561" t="str">
        <f>LOOKUP(B561,Sheet2!$G$4:$H$9)</f>
        <v>1-99</v>
      </c>
      <c r="N561" t="str">
        <f>LOOKUP(C561,Sheet2!$J$4:$K$8)</f>
        <v>70-79</v>
      </c>
      <c r="O561" t="str">
        <f>LOOKUP(D561,Sheet2!$M$4:$N$8)</f>
        <v>Unknown</v>
      </c>
      <c r="P561" t="str">
        <f>LOOKUP(E561,Sheet2!$P$4:$Q$9)</f>
        <v>Unknown</v>
      </c>
      <c r="Q561" t="str">
        <f>LOOKUP(F561,Sheet2!$S$4:$T$8)</f>
        <v>26-30</v>
      </c>
      <c r="R561" t="str">
        <f>LOOKUP(G561,Sheet2!$V$4:$W$7)</f>
        <v>0.25 - 0.39</v>
      </c>
      <c r="S561" t="str">
        <f>LOOKUP(H561,Sheet2!$Z$4:$AA$7)</f>
        <v>26-35</v>
      </c>
      <c r="T561" t="str">
        <f t="shared" si="24"/>
        <v>Negative</v>
      </c>
      <c r="U561" t="str">
        <f t="shared" si="25"/>
        <v>Not Sampled</v>
      </c>
      <c r="V561" s="1" t="str">
        <f t="shared" si="26"/>
        <v>Not Sampled</v>
      </c>
    </row>
    <row r="562" spans="1:22" x14ac:dyDescent="0.25">
      <c r="A562" s="1">
        <v>6</v>
      </c>
      <c r="B562" s="1">
        <v>125</v>
      </c>
      <c r="C562" s="1">
        <v>76</v>
      </c>
      <c r="D562" s="1">
        <v>0</v>
      </c>
      <c r="E562" s="1">
        <v>0</v>
      </c>
      <c r="F562" s="1">
        <v>33.799999999999997</v>
      </c>
      <c r="G562" s="1">
        <v>0.121</v>
      </c>
      <c r="H562" s="1">
        <v>54</v>
      </c>
      <c r="I562" s="1">
        <v>1</v>
      </c>
      <c r="J562" s="1">
        <f>IFERROR(VLOOKUP(K562,[1]diabetes_Recognition!$A:$B,2,FALSE),"Not Sampled")</f>
        <v>0</v>
      </c>
      <c r="K562" s="1">
        <v>560</v>
      </c>
      <c r="L562" s="1" t="str">
        <f>LOOKUP(A562,Sheet2!$D$4:$E$9)</f>
        <v>5-7</v>
      </c>
      <c r="M562" t="str">
        <f>LOOKUP(B562,Sheet2!$G$4:$H$9)</f>
        <v>100-125</v>
      </c>
      <c r="N562" t="str">
        <f>LOOKUP(C562,Sheet2!$J$4:$K$8)</f>
        <v>70-79</v>
      </c>
      <c r="O562" t="str">
        <f>LOOKUP(D562,Sheet2!$M$4:$N$8)</f>
        <v>Unknown</v>
      </c>
      <c r="P562" t="str">
        <f>LOOKUP(E562,Sheet2!$P$4:$Q$9)</f>
        <v>Unknown</v>
      </c>
      <c r="Q562" t="str">
        <f>LOOKUP(F562,Sheet2!$S$4:$T$8)</f>
        <v>31-35</v>
      </c>
      <c r="R562" t="str">
        <f>LOOKUP(G562,Sheet2!$V$4:$W$7)</f>
        <v>0.0 - 0.249</v>
      </c>
      <c r="S562" t="str">
        <f>LOOKUP(H562,Sheet2!$Z$4:$AA$7)</f>
        <v>46+</v>
      </c>
      <c r="T562" t="str">
        <f t="shared" si="24"/>
        <v>Positive</v>
      </c>
      <c r="U562" t="str">
        <f t="shared" si="25"/>
        <v>Negative</v>
      </c>
      <c r="V562" s="1" t="str">
        <f t="shared" si="26"/>
        <v>Inaccurate Prediction</v>
      </c>
    </row>
    <row r="563" spans="1:22" x14ac:dyDescent="0.25">
      <c r="A563" s="1">
        <v>0</v>
      </c>
      <c r="B563" s="1">
        <v>198</v>
      </c>
      <c r="C563" s="1">
        <v>66</v>
      </c>
      <c r="D563" s="1">
        <v>32</v>
      </c>
      <c r="E563" s="1">
        <v>274</v>
      </c>
      <c r="F563" s="1">
        <v>41.3</v>
      </c>
      <c r="G563" s="1">
        <v>0.502</v>
      </c>
      <c r="H563" s="1">
        <v>28</v>
      </c>
      <c r="I563" s="1">
        <v>1</v>
      </c>
      <c r="J563" s="1" t="str">
        <f>IFERROR(VLOOKUP(K563,[1]diabetes_Recognition!$A:$B,2,FALSE),"Not Sampled")</f>
        <v>Not Sampled</v>
      </c>
      <c r="K563" s="1">
        <v>561</v>
      </c>
      <c r="L563" s="1">
        <f>LOOKUP(A563,Sheet2!$D$4:$E$9)</f>
        <v>0</v>
      </c>
      <c r="M563" t="str">
        <f>LOOKUP(B563,Sheet2!$G$4:$H$9)</f>
        <v>176-200</v>
      </c>
      <c r="N563" t="str">
        <f>LOOKUP(C563,Sheet2!$J$4:$K$8)</f>
        <v>60-69</v>
      </c>
      <c r="O563" t="str">
        <f>LOOKUP(D563,Sheet2!$M$4:$N$8)</f>
        <v>30-39</v>
      </c>
      <c r="P563" t="str">
        <f>LOOKUP(E563,Sheet2!$P$4:$Q$9)</f>
        <v>200-399</v>
      </c>
      <c r="Q563" t="str">
        <f>LOOKUP(F563,Sheet2!$S$4:$T$8)</f>
        <v>36+</v>
      </c>
      <c r="R563" t="str">
        <f>LOOKUP(G563,Sheet2!$V$4:$W$7)</f>
        <v>0.4 - 0.69</v>
      </c>
      <c r="S563" t="str">
        <f>LOOKUP(H563,Sheet2!$Z$4:$AA$7)</f>
        <v>26-35</v>
      </c>
      <c r="T563" t="str">
        <f t="shared" si="24"/>
        <v>Positive</v>
      </c>
      <c r="U563" t="str">
        <f t="shared" si="25"/>
        <v>Not Sampled</v>
      </c>
      <c r="V563" s="1" t="str">
        <f t="shared" si="26"/>
        <v>Not Sampled</v>
      </c>
    </row>
    <row r="564" spans="1:22" x14ac:dyDescent="0.25">
      <c r="A564" s="1">
        <v>1</v>
      </c>
      <c r="B564" s="1">
        <v>87</v>
      </c>
      <c r="C564" s="1">
        <v>68</v>
      </c>
      <c r="D564" s="1">
        <v>34</v>
      </c>
      <c r="E564" s="1">
        <v>77</v>
      </c>
      <c r="F564" s="1">
        <v>37.6</v>
      </c>
      <c r="G564" s="1">
        <v>0.40100000000000002</v>
      </c>
      <c r="H564" s="1">
        <v>24</v>
      </c>
      <c r="I564" s="1">
        <v>0</v>
      </c>
      <c r="J564" s="1" t="str">
        <f>IFERROR(VLOOKUP(K564,[1]diabetes_Recognition!$A:$B,2,FALSE),"Not Sampled")</f>
        <v>Not Sampled</v>
      </c>
      <c r="K564" s="1">
        <v>562</v>
      </c>
      <c r="L564" s="1">
        <f>LOOKUP(A564,Sheet2!$D$4:$E$9)</f>
        <v>1</v>
      </c>
      <c r="M564" t="str">
        <f>LOOKUP(B564,Sheet2!$G$4:$H$9)</f>
        <v>1-99</v>
      </c>
      <c r="N564" t="str">
        <f>LOOKUP(C564,Sheet2!$J$4:$K$8)</f>
        <v>60-69</v>
      </c>
      <c r="O564" t="str">
        <f>LOOKUP(D564,Sheet2!$M$4:$N$8)</f>
        <v>30-39</v>
      </c>
      <c r="P564" t="str">
        <f>LOOKUP(E564,Sheet2!$P$4:$Q$9)</f>
        <v>1-99</v>
      </c>
      <c r="Q564" t="str">
        <f>LOOKUP(F564,Sheet2!$S$4:$T$8)</f>
        <v>36+</v>
      </c>
      <c r="R564" t="str">
        <f>LOOKUP(G564,Sheet2!$V$4:$W$7)</f>
        <v>0.4 - 0.69</v>
      </c>
      <c r="S564" t="str">
        <f>LOOKUP(H564,Sheet2!$Z$4:$AA$7)</f>
        <v>&lt;=25</v>
      </c>
      <c r="T564" t="str">
        <f t="shared" si="24"/>
        <v>Negative</v>
      </c>
      <c r="U564" t="str">
        <f t="shared" si="25"/>
        <v>Not Sampled</v>
      </c>
      <c r="V564" s="1" t="str">
        <f t="shared" si="26"/>
        <v>Not Sampled</v>
      </c>
    </row>
    <row r="565" spans="1:22" x14ac:dyDescent="0.25">
      <c r="A565" s="1">
        <v>6</v>
      </c>
      <c r="B565" s="1">
        <v>99</v>
      </c>
      <c r="C565" s="1">
        <v>60</v>
      </c>
      <c r="D565" s="1">
        <v>19</v>
      </c>
      <c r="E565" s="1">
        <v>54</v>
      </c>
      <c r="F565" s="1">
        <v>26.9</v>
      </c>
      <c r="G565" s="1">
        <v>0.497</v>
      </c>
      <c r="H565" s="1">
        <v>32</v>
      </c>
      <c r="I565" s="1">
        <v>0</v>
      </c>
      <c r="J565" s="1">
        <f>IFERROR(VLOOKUP(K565,[1]diabetes_Recognition!$A:$B,2,FALSE),"Not Sampled")</f>
        <v>0</v>
      </c>
      <c r="K565" s="1">
        <v>563</v>
      </c>
      <c r="L565" s="1" t="str">
        <f>LOOKUP(A565,Sheet2!$D$4:$E$9)</f>
        <v>5-7</v>
      </c>
      <c r="M565" t="str">
        <f>LOOKUP(B565,Sheet2!$G$4:$H$9)</f>
        <v>1-99</v>
      </c>
      <c r="N565" t="str">
        <f>LOOKUP(C565,Sheet2!$J$4:$K$8)</f>
        <v>60-69</v>
      </c>
      <c r="O565" t="str">
        <f>LOOKUP(D565,Sheet2!$M$4:$N$8)</f>
        <v>10-30</v>
      </c>
      <c r="P565" t="str">
        <f>LOOKUP(E565,Sheet2!$P$4:$Q$9)</f>
        <v>1-99</v>
      </c>
      <c r="Q565" t="str">
        <f>LOOKUP(F565,Sheet2!$S$4:$T$8)</f>
        <v>26-30</v>
      </c>
      <c r="R565" t="str">
        <f>LOOKUP(G565,Sheet2!$V$4:$W$7)</f>
        <v>0.4 - 0.69</v>
      </c>
      <c r="S565" t="str">
        <f>LOOKUP(H565,Sheet2!$Z$4:$AA$7)</f>
        <v>26-35</v>
      </c>
      <c r="T565" t="str">
        <f t="shared" si="24"/>
        <v>Negative</v>
      </c>
      <c r="U565" t="str">
        <f t="shared" si="25"/>
        <v>Negative</v>
      </c>
      <c r="V565" s="1" t="str">
        <f t="shared" si="26"/>
        <v>Accurate Prediction</v>
      </c>
    </row>
    <row r="566" spans="1:22" x14ac:dyDescent="0.25">
      <c r="A566" s="1">
        <v>0</v>
      </c>
      <c r="B566" s="1">
        <v>91</v>
      </c>
      <c r="C566" s="1">
        <v>80</v>
      </c>
      <c r="D566" s="1">
        <v>0</v>
      </c>
      <c r="E566" s="1">
        <v>0</v>
      </c>
      <c r="F566" s="1">
        <v>32.4</v>
      </c>
      <c r="G566" s="1">
        <v>0.60099999999999998</v>
      </c>
      <c r="H566" s="1">
        <v>27</v>
      </c>
      <c r="I566" s="1">
        <v>0</v>
      </c>
      <c r="J566" s="1" t="str">
        <f>IFERROR(VLOOKUP(K566,[1]diabetes_Recognition!$A:$B,2,FALSE),"Not Sampled")</f>
        <v>Not Sampled</v>
      </c>
      <c r="K566" s="1">
        <v>564</v>
      </c>
      <c r="L566" s="1">
        <f>LOOKUP(A566,Sheet2!$D$4:$E$9)</f>
        <v>0</v>
      </c>
      <c r="M566" t="str">
        <f>LOOKUP(B566,Sheet2!$G$4:$H$9)</f>
        <v>1-99</v>
      </c>
      <c r="N566" t="str">
        <f>LOOKUP(C566,Sheet2!$J$4:$K$8)</f>
        <v>80+</v>
      </c>
      <c r="O566" t="str">
        <f>LOOKUP(D566,Sheet2!$M$4:$N$8)</f>
        <v>Unknown</v>
      </c>
      <c r="P566" t="str">
        <f>LOOKUP(E566,Sheet2!$P$4:$Q$9)</f>
        <v>Unknown</v>
      </c>
      <c r="Q566" t="str">
        <f>LOOKUP(F566,Sheet2!$S$4:$T$8)</f>
        <v>31-35</v>
      </c>
      <c r="R566" t="str">
        <f>LOOKUP(G566,Sheet2!$V$4:$W$7)</f>
        <v>0.4 - 0.69</v>
      </c>
      <c r="S566" t="str">
        <f>LOOKUP(H566,Sheet2!$Z$4:$AA$7)</f>
        <v>26-35</v>
      </c>
      <c r="T566" t="str">
        <f t="shared" si="24"/>
        <v>Negative</v>
      </c>
      <c r="U566" t="str">
        <f t="shared" si="25"/>
        <v>Not Sampled</v>
      </c>
      <c r="V566" s="1" t="str">
        <f t="shared" si="26"/>
        <v>Not Sampled</v>
      </c>
    </row>
    <row r="567" spans="1:22" x14ac:dyDescent="0.25">
      <c r="A567" s="1">
        <v>2</v>
      </c>
      <c r="B567" s="1">
        <v>95</v>
      </c>
      <c r="C567" s="1">
        <v>54</v>
      </c>
      <c r="D567" s="1">
        <v>14</v>
      </c>
      <c r="E567" s="1">
        <v>88</v>
      </c>
      <c r="F567" s="1">
        <v>26.1</v>
      </c>
      <c r="G567" s="1">
        <v>0.748</v>
      </c>
      <c r="H567" s="1">
        <v>22</v>
      </c>
      <c r="I567" s="1">
        <v>0</v>
      </c>
      <c r="J567" s="1" t="str">
        <f>IFERROR(VLOOKUP(K567,[1]diabetes_Recognition!$A:$B,2,FALSE),"Not Sampled")</f>
        <v>Not Sampled</v>
      </c>
      <c r="K567" s="1">
        <v>565</v>
      </c>
      <c r="L567" s="1">
        <f>LOOKUP(A567,Sheet2!$D$4:$E$9)</f>
        <v>2</v>
      </c>
      <c r="M567" t="str">
        <f>LOOKUP(B567,Sheet2!$G$4:$H$9)</f>
        <v>1-99</v>
      </c>
      <c r="N567" t="str">
        <f>LOOKUP(C567,Sheet2!$J$4:$K$8)</f>
        <v>1-59</v>
      </c>
      <c r="O567" t="str">
        <f>LOOKUP(D567,Sheet2!$M$4:$N$8)</f>
        <v>10-30</v>
      </c>
      <c r="P567" t="str">
        <f>LOOKUP(E567,Sheet2!$P$4:$Q$9)</f>
        <v>1-99</v>
      </c>
      <c r="Q567" t="str">
        <f>LOOKUP(F567,Sheet2!$S$4:$T$8)</f>
        <v>26-30</v>
      </c>
      <c r="R567" t="str">
        <f>LOOKUP(G567,Sheet2!$V$4:$W$7)</f>
        <v>0.7+</v>
      </c>
      <c r="S567" t="str">
        <f>LOOKUP(H567,Sheet2!$Z$4:$AA$7)</f>
        <v>&lt;=25</v>
      </c>
      <c r="T567" t="str">
        <f t="shared" si="24"/>
        <v>Negative</v>
      </c>
      <c r="U567" t="str">
        <f t="shared" si="25"/>
        <v>Not Sampled</v>
      </c>
      <c r="V567" s="1" t="str">
        <f t="shared" si="26"/>
        <v>Not Sampled</v>
      </c>
    </row>
    <row r="568" spans="1:22" x14ac:dyDescent="0.25">
      <c r="A568" s="1">
        <v>1</v>
      </c>
      <c r="B568" s="1">
        <v>99</v>
      </c>
      <c r="C568" s="1">
        <v>72</v>
      </c>
      <c r="D568" s="1">
        <v>30</v>
      </c>
      <c r="E568" s="1">
        <v>18</v>
      </c>
      <c r="F568" s="1">
        <v>38.6</v>
      </c>
      <c r="G568" s="1">
        <v>0.41199999999999998</v>
      </c>
      <c r="H568" s="1">
        <v>21</v>
      </c>
      <c r="I568" s="1">
        <v>0</v>
      </c>
      <c r="J568" s="1" t="str">
        <f>IFERROR(VLOOKUP(K568,[1]diabetes_Recognition!$A:$B,2,FALSE),"Not Sampled")</f>
        <v>Not Sampled</v>
      </c>
      <c r="K568" s="1">
        <v>566</v>
      </c>
      <c r="L568" s="1">
        <f>LOOKUP(A568,Sheet2!$D$4:$E$9)</f>
        <v>1</v>
      </c>
      <c r="M568" t="str">
        <f>LOOKUP(B568,Sheet2!$G$4:$H$9)</f>
        <v>1-99</v>
      </c>
      <c r="N568" t="str">
        <f>LOOKUP(C568,Sheet2!$J$4:$K$8)</f>
        <v>70-79</v>
      </c>
      <c r="O568" t="str">
        <f>LOOKUP(D568,Sheet2!$M$4:$N$8)</f>
        <v>30-39</v>
      </c>
      <c r="P568" t="str">
        <f>LOOKUP(E568,Sheet2!$P$4:$Q$9)</f>
        <v>1-99</v>
      </c>
      <c r="Q568" t="str">
        <f>LOOKUP(F568,Sheet2!$S$4:$T$8)</f>
        <v>36+</v>
      </c>
      <c r="R568" t="str">
        <f>LOOKUP(G568,Sheet2!$V$4:$W$7)</f>
        <v>0.4 - 0.69</v>
      </c>
      <c r="S568" t="str">
        <f>LOOKUP(H568,Sheet2!$Z$4:$AA$7)</f>
        <v>&lt;=25</v>
      </c>
      <c r="T568" t="str">
        <f t="shared" si="24"/>
        <v>Negative</v>
      </c>
      <c r="U568" t="str">
        <f t="shared" si="25"/>
        <v>Not Sampled</v>
      </c>
      <c r="V568" s="1" t="str">
        <f t="shared" si="26"/>
        <v>Not Sampled</v>
      </c>
    </row>
    <row r="569" spans="1:22" x14ac:dyDescent="0.25">
      <c r="A569" s="1">
        <v>6</v>
      </c>
      <c r="B569" s="1">
        <v>92</v>
      </c>
      <c r="C569" s="1">
        <v>62</v>
      </c>
      <c r="D569" s="1">
        <v>32</v>
      </c>
      <c r="E569" s="1">
        <v>126</v>
      </c>
      <c r="F569" s="1">
        <v>32</v>
      </c>
      <c r="G569" s="1">
        <v>8.5000000000000006E-2</v>
      </c>
      <c r="H569" s="1">
        <v>46</v>
      </c>
      <c r="I569" s="1">
        <v>0</v>
      </c>
      <c r="J569" s="1" t="str">
        <f>IFERROR(VLOOKUP(K569,[1]diabetes_Recognition!$A:$B,2,FALSE),"Not Sampled")</f>
        <v>Not Sampled</v>
      </c>
      <c r="K569" s="1">
        <v>567</v>
      </c>
      <c r="L569" s="1" t="str">
        <f>LOOKUP(A569,Sheet2!$D$4:$E$9)</f>
        <v>5-7</v>
      </c>
      <c r="M569" t="str">
        <f>LOOKUP(B569,Sheet2!$G$4:$H$9)</f>
        <v>1-99</v>
      </c>
      <c r="N569" t="str">
        <f>LOOKUP(C569,Sheet2!$J$4:$K$8)</f>
        <v>60-69</v>
      </c>
      <c r="O569" t="str">
        <f>LOOKUP(D569,Sheet2!$M$4:$N$8)</f>
        <v>30-39</v>
      </c>
      <c r="P569" t="str">
        <f>LOOKUP(E569,Sheet2!$P$4:$Q$9)</f>
        <v>100-199</v>
      </c>
      <c r="Q569" t="str">
        <f>LOOKUP(F569,Sheet2!$S$4:$T$8)</f>
        <v>31-35</v>
      </c>
      <c r="R569" t="str">
        <f>LOOKUP(G569,Sheet2!$V$4:$W$7)</f>
        <v>0.0 - 0.249</v>
      </c>
      <c r="S569" t="str">
        <f>LOOKUP(H569,Sheet2!$Z$4:$AA$7)</f>
        <v>46+</v>
      </c>
      <c r="T569" t="str">
        <f t="shared" si="24"/>
        <v>Negative</v>
      </c>
      <c r="U569" t="str">
        <f t="shared" si="25"/>
        <v>Not Sampled</v>
      </c>
      <c r="V569" s="1" t="str">
        <f t="shared" si="26"/>
        <v>Not Sampled</v>
      </c>
    </row>
    <row r="570" spans="1:22" x14ac:dyDescent="0.25">
      <c r="A570" s="1">
        <v>4</v>
      </c>
      <c r="B570" s="1">
        <v>154</v>
      </c>
      <c r="C570" s="1">
        <v>72</v>
      </c>
      <c r="D570" s="1">
        <v>29</v>
      </c>
      <c r="E570" s="1">
        <v>126</v>
      </c>
      <c r="F570" s="1">
        <v>31.3</v>
      </c>
      <c r="G570" s="1">
        <v>0.33800000000000002</v>
      </c>
      <c r="H570" s="1">
        <v>37</v>
      </c>
      <c r="I570" s="1">
        <v>0</v>
      </c>
      <c r="J570" s="1" t="str">
        <f>IFERROR(VLOOKUP(K570,[1]diabetes_Recognition!$A:$B,2,FALSE),"Not Sampled")</f>
        <v>Not Sampled</v>
      </c>
      <c r="K570" s="1">
        <v>568</v>
      </c>
      <c r="L570" s="1" t="str">
        <f>LOOKUP(A570,Sheet2!$D$4:$E$9)</f>
        <v>3-4</v>
      </c>
      <c r="M570" t="str">
        <f>LOOKUP(B570,Sheet2!$G$4:$H$9)</f>
        <v>151-175</v>
      </c>
      <c r="N570" t="str">
        <f>LOOKUP(C570,Sheet2!$J$4:$K$8)</f>
        <v>70-79</v>
      </c>
      <c r="O570" t="str">
        <f>LOOKUP(D570,Sheet2!$M$4:$N$8)</f>
        <v>10-30</v>
      </c>
      <c r="P570" t="str">
        <f>LOOKUP(E570,Sheet2!$P$4:$Q$9)</f>
        <v>100-199</v>
      </c>
      <c r="Q570" t="str">
        <f>LOOKUP(F570,Sheet2!$S$4:$T$8)</f>
        <v>31-35</v>
      </c>
      <c r="R570" t="str">
        <f>LOOKUP(G570,Sheet2!$V$4:$W$7)</f>
        <v>0.25 - 0.39</v>
      </c>
      <c r="S570" t="str">
        <f>LOOKUP(H570,Sheet2!$Z$4:$AA$7)</f>
        <v>36-45</v>
      </c>
      <c r="T570" t="str">
        <f t="shared" si="24"/>
        <v>Negative</v>
      </c>
      <c r="U570" t="str">
        <f t="shared" si="25"/>
        <v>Not Sampled</v>
      </c>
      <c r="V570" s="1" t="str">
        <f t="shared" si="26"/>
        <v>Not Sampled</v>
      </c>
    </row>
    <row r="571" spans="1:22" x14ac:dyDescent="0.25">
      <c r="A571" s="1">
        <v>0</v>
      </c>
      <c r="B571" s="1">
        <v>121</v>
      </c>
      <c r="C571" s="1">
        <v>66</v>
      </c>
      <c r="D571" s="1">
        <v>30</v>
      </c>
      <c r="E571" s="1">
        <v>165</v>
      </c>
      <c r="F571" s="1">
        <v>34.299999999999997</v>
      </c>
      <c r="G571" s="1">
        <v>0.20300000000000001</v>
      </c>
      <c r="H571" s="1">
        <v>33</v>
      </c>
      <c r="I571" s="1">
        <v>1</v>
      </c>
      <c r="J571" s="1" t="str">
        <f>IFERROR(VLOOKUP(K571,[1]diabetes_Recognition!$A:$B,2,FALSE),"Not Sampled")</f>
        <v>Not Sampled</v>
      </c>
      <c r="K571" s="1">
        <v>569</v>
      </c>
      <c r="L571" s="1">
        <f>LOOKUP(A571,Sheet2!$D$4:$E$9)</f>
        <v>0</v>
      </c>
      <c r="M571" t="str">
        <f>LOOKUP(B571,Sheet2!$G$4:$H$9)</f>
        <v>100-125</v>
      </c>
      <c r="N571" t="str">
        <f>LOOKUP(C571,Sheet2!$J$4:$K$8)</f>
        <v>60-69</v>
      </c>
      <c r="O571" t="str">
        <f>LOOKUP(D571,Sheet2!$M$4:$N$8)</f>
        <v>30-39</v>
      </c>
      <c r="P571" t="str">
        <f>LOOKUP(E571,Sheet2!$P$4:$Q$9)</f>
        <v>100-199</v>
      </c>
      <c r="Q571" t="str">
        <f>LOOKUP(F571,Sheet2!$S$4:$T$8)</f>
        <v>31-35</v>
      </c>
      <c r="R571" t="str">
        <f>LOOKUP(G571,Sheet2!$V$4:$W$7)</f>
        <v>0.0 - 0.249</v>
      </c>
      <c r="S571" t="str">
        <f>LOOKUP(H571,Sheet2!$Z$4:$AA$7)</f>
        <v>26-35</v>
      </c>
      <c r="T571" t="str">
        <f t="shared" si="24"/>
        <v>Positive</v>
      </c>
      <c r="U571" t="str">
        <f t="shared" si="25"/>
        <v>Not Sampled</v>
      </c>
      <c r="V571" s="1" t="str">
        <f t="shared" si="26"/>
        <v>Not Sampled</v>
      </c>
    </row>
    <row r="572" spans="1:22" x14ac:dyDescent="0.25">
      <c r="A572" s="1">
        <v>3</v>
      </c>
      <c r="B572" s="1">
        <v>78</v>
      </c>
      <c r="C572" s="1">
        <v>70</v>
      </c>
      <c r="D572" s="1">
        <v>0</v>
      </c>
      <c r="E572" s="1">
        <v>0</v>
      </c>
      <c r="F572" s="1">
        <v>32.5</v>
      </c>
      <c r="G572" s="1">
        <v>0.27</v>
      </c>
      <c r="H572" s="1">
        <v>39</v>
      </c>
      <c r="I572" s="1">
        <v>0</v>
      </c>
      <c r="J572" s="1" t="str">
        <f>IFERROR(VLOOKUP(K572,[1]diabetes_Recognition!$A:$B,2,FALSE),"Not Sampled")</f>
        <v>Not Sampled</v>
      </c>
      <c r="K572" s="1">
        <v>570</v>
      </c>
      <c r="L572" s="1" t="str">
        <f>LOOKUP(A572,Sheet2!$D$4:$E$9)</f>
        <v>3-4</v>
      </c>
      <c r="M572" t="str">
        <f>LOOKUP(B572,Sheet2!$G$4:$H$9)</f>
        <v>1-99</v>
      </c>
      <c r="N572" t="str">
        <f>LOOKUP(C572,Sheet2!$J$4:$K$8)</f>
        <v>70-79</v>
      </c>
      <c r="O572" t="str">
        <f>LOOKUP(D572,Sheet2!$M$4:$N$8)</f>
        <v>Unknown</v>
      </c>
      <c r="P572" t="str">
        <f>LOOKUP(E572,Sheet2!$P$4:$Q$9)</f>
        <v>Unknown</v>
      </c>
      <c r="Q572" t="str">
        <f>LOOKUP(F572,Sheet2!$S$4:$T$8)</f>
        <v>31-35</v>
      </c>
      <c r="R572" t="str">
        <f>LOOKUP(G572,Sheet2!$V$4:$W$7)</f>
        <v>0.25 - 0.39</v>
      </c>
      <c r="S572" t="str">
        <f>LOOKUP(H572,Sheet2!$Z$4:$AA$7)</f>
        <v>36-45</v>
      </c>
      <c r="T572" t="str">
        <f t="shared" si="24"/>
        <v>Negative</v>
      </c>
      <c r="U572" t="str">
        <f t="shared" si="25"/>
        <v>Not Sampled</v>
      </c>
      <c r="V572" s="1" t="str">
        <f t="shared" si="26"/>
        <v>Not Sampled</v>
      </c>
    </row>
    <row r="573" spans="1:22" x14ac:dyDescent="0.25">
      <c r="A573" s="1">
        <v>2</v>
      </c>
      <c r="B573" s="1">
        <v>130</v>
      </c>
      <c r="C573" s="1">
        <v>96</v>
      </c>
      <c r="D573" s="1">
        <v>0</v>
      </c>
      <c r="E573" s="1">
        <v>0</v>
      </c>
      <c r="F573" s="1">
        <v>22.6</v>
      </c>
      <c r="G573" s="1">
        <v>0.26800000000000002</v>
      </c>
      <c r="H573" s="1">
        <v>21</v>
      </c>
      <c r="I573" s="1">
        <v>0</v>
      </c>
      <c r="J573" s="1" t="str">
        <f>IFERROR(VLOOKUP(K573,[1]diabetes_Recognition!$A:$B,2,FALSE),"Not Sampled")</f>
        <v>Not Sampled</v>
      </c>
      <c r="K573" s="1">
        <v>571</v>
      </c>
      <c r="L573" s="1">
        <f>LOOKUP(A573,Sheet2!$D$4:$E$9)</f>
        <v>2</v>
      </c>
      <c r="M573" t="str">
        <f>LOOKUP(B573,Sheet2!$G$4:$H$9)</f>
        <v>126-150</v>
      </c>
      <c r="N573" t="str">
        <f>LOOKUP(C573,Sheet2!$J$4:$K$8)</f>
        <v>80+</v>
      </c>
      <c r="O573" t="str">
        <f>LOOKUP(D573,Sheet2!$M$4:$N$8)</f>
        <v>Unknown</v>
      </c>
      <c r="P573" t="str">
        <f>LOOKUP(E573,Sheet2!$P$4:$Q$9)</f>
        <v>Unknown</v>
      </c>
      <c r="Q573" t="str">
        <f>LOOKUP(F573,Sheet2!$S$4:$T$8)</f>
        <v>1-25</v>
      </c>
      <c r="R573" t="str">
        <f>LOOKUP(G573,Sheet2!$V$4:$W$7)</f>
        <v>0.25 - 0.39</v>
      </c>
      <c r="S573" t="str">
        <f>LOOKUP(H573,Sheet2!$Z$4:$AA$7)</f>
        <v>&lt;=25</v>
      </c>
      <c r="T573" t="str">
        <f t="shared" si="24"/>
        <v>Negative</v>
      </c>
      <c r="U573" t="str">
        <f t="shared" si="25"/>
        <v>Not Sampled</v>
      </c>
      <c r="V573" s="1" t="str">
        <f t="shared" si="26"/>
        <v>Not Sampled</v>
      </c>
    </row>
    <row r="574" spans="1:22" x14ac:dyDescent="0.25">
      <c r="A574" s="1">
        <v>3</v>
      </c>
      <c r="B574" s="1">
        <v>111</v>
      </c>
      <c r="C574" s="1">
        <v>58</v>
      </c>
      <c r="D574" s="1">
        <v>31</v>
      </c>
      <c r="E574" s="1">
        <v>44</v>
      </c>
      <c r="F574" s="1">
        <v>29.5</v>
      </c>
      <c r="G574" s="1">
        <v>0.43</v>
      </c>
      <c r="H574" s="1">
        <v>22</v>
      </c>
      <c r="I574" s="1">
        <v>0</v>
      </c>
      <c r="J574" s="1">
        <f>IFERROR(VLOOKUP(K574,[1]diabetes_Recognition!$A:$B,2,FALSE),"Not Sampled")</f>
        <v>0</v>
      </c>
      <c r="K574" s="1">
        <v>572</v>
      </c>
      <c r="L574" s="1" t="str">
        <f>LOOKUP(A574,Sheet2!$D$4:$E$9)</f>
        <v>3-4</v>
      </c>
      <c r="M574" t="str">
        <f>LOOKUP(B574,Sheet2!$G$4:$H$9)</f>
        <v>100-125</v>
      </c>
      <c r="N574" t="str">
        <f>LOOKUP(C574,Sheet2!$J$4:$K$8)</f>
        <v>1-59</v>
      </c>
      <c r="O574" t="str">
        <f>LOOKUP(D574,Sheet2!$M$4:$N$8)</f>
        <v>30-39</v>
      </c>
      <c r="P574" t="str">
        <f>LOOKUP(E574,Sheet2!$P$4:$Q$9)</f>
        <v>1-99</v>
      </c>
      <c r="Q574" t="str">
        <f>LOOKUP(F574,Sheet2!$S$4:$T$8)</f>
        <v>26-30</v>
      </c>
      <c r="R574" t="str">
        <f>LOOKUP(G574,Sheet2!$V$4:$W$7)</f>
        <v>0.4 - 0.69</v>
      </c>
      <c r="S574" t="str">
        <f>LOOKUP(H574,Sheet2!$Z$4:$AA$7)</f>
        <v>&lt;=25</v>
      </c>
      <c r="T574" t="str">
        <f t="shared" si="24"/>
        <v>Negative</v>
      </c>
      <c r="U574" t="str">
        <f t="shared" si="25"/>
        <v>Negative</v>
      </c>
      <c r="V574" s="1" t="str">
        <f t="shared" si="26"/>
        <v>Accurate Prediction</v>
      </c>
    </row>
    <row r="575" spans="1:22" x14ac:dyDescent="0.25">
      <c r="A575" s="1">
        <v>2</v>
      </c>
      <c r="B575" s="1">
        <v>98</v>
      </c>
      <c r="C575" s="1">
        <v>60</v>
      </c>
      <c r="D575" s="1">
        <v>17</v>
      </c>
      <c r="E575" s="1">
        <v>120</v>
      </c>
      <c r="F575" s="1">
        <v>34.700000000000003</v>
      </c>
      <c r="G575" s="1">
        <v>0.19800000000000001</v>
      </c>
      <c r="H575" s="1">
        <v>22</v>
      </c>
      <c r="I575" s="1">
        <v>0</v>
      </c>
      <c r="J575" s="1">
        <f>IFERROR(VLOOKUP(K575,[1]diabetes_Recognition!$A:$B,2,FALSE),"Not Sampled")</f>
        <v>0</v>
      </c>
      <c r="K575" s="1">
        <v>573</v>
      </c>
      <c r="L575" s="1">
        <f>LOOKUP(A575,Sheet2!$D$4:$E$9)</f>
        <v>2</v>
      </c>
      <c r="M575" t="str">
        <f>LOOKUP(B575,Sheet2!$G$4:$H$9)</f>
        <v>1-99</v>
      </c>
      <c r="N575" t="str">
        <f>LOOKUP(C575,Sheet2!$J$4:$K$8)</f>
        <v>60-69</v>
      </c>
      <c r="O575" t="str">
        <f>LOOKUP(D575,Sheet2!$M$4:$N$8)</f>
        <v>10-30</v>
      </c>
      <c r="P575" t="str">
        <f>LOOKUP(E575,Sheet2!$P$4:$Q$9)</f>
        <v>100-199</v>
      </c>
      <c r="Q575" t="str">
        <f>LOOKUP(F575,Sheet2!$S$4:$T$8)</f>
        <v>31-35</v>
      </c>
      <c r="R575" t="str">
        <f>LOOKUP(G575,Sheet2!$V$4:$W$7)</f>
        <v>0.0 - 0.249</v>
      </c>
      <c r="S575" t="str">
        <f>LOOKUP(H575,Sheet2!$Z$4:$AA$7)</f>
        <v>&lt;=25</v>
      </c>
      <c r="T575" t="str">
        <f t="shared" si="24"/>
        <v>Negative</v>
      </c>
      <c r="U575" t="str">
        <f t="shared" si="25"/>
        <v>Negative</v>
      </c>
      <c r="V575" s="1" t="str">
        <f t="shared" si="26"/>
        <v>Accurate Prediction</v>
      </c>
    </row>
    <row r="576" spans="1:22" x14ac:dyDescent="0.25">
      <c r="A576" s="1">
        <v>1</v>
      </c>
      <c r="B576" s="1">
        <v>143</v>
      </c>
      <c r="C576" s="1">
        <v>86</v>
      </c>
      <c r="D576" s="1">
        <v>30</v>
      </c>
      <c r="E576" s="1">
        <v>330</v>
      </c>
      <c r="F576" s="1">
        <v>30.1</v>
      </c>
      <c r="G576" s="1">
        <v>0.89200000000000002</v>
      </c>
      <c r="H576" s="1">
        <v>23</v>
      </c>
      <c r="I576" s="1">
        <v>0</v>
      </c>
      <c r="J576" s="1" t="str">
        <f>IFERROR(VLOOKUP(K576,[1]diabetes_Recognition!$A:$B,2,FALSE),"Not Sampled")</f>
        <v>Not Sampled</v>
      </c>
      <c r="K576" s="1">
        <v>574</v>
      </c>
      <c r="L576" s="1">
        <f>LOOKUP(A576,Sheet2!$D$4:$E$9)</f>
        <v>1</v>
      </c>
      <c r="M576" t="str">
        <f>LOOKUP(B576,Sheet2!$G$4:$H$9)</f>
        <v>126-150</v>
      </c>
      <c r="N576" t="str">
        <f>LOOKUP(C576,Sheet2!$J$4:$K$8)</f>
        <v>80+</v>
      </c>
      <c r="O576" t="str">
        <f>LOOKUP(D576,Sheet2!$M$4:$N$8)</f>
        <v>30-39</v>
      </c>
      <c r="P576" t="str">
        <f>LOOKUP(E576,Sheet2!$P$4:$Q$9)</f>
        <v>300-499</v>
      </c>
      <c r="Q576" t="str">
        <f>LOOKUP(F576,Sheet2!$S$4:$T$8)</f>
        <v>26-30</v>
      </c>
      <c r="R576" t="str">
        <f>LOOKUP(G576,Sheet2!$V$4:$W$7)</f>
        <v>0.7+</v>
      </c>
      <c r="S576" t="str">
        <f>LOOKUP(H576,Sheet2!$Z$4:$AA$7)</f>
        <v>&lt;=25</v>
      </c>
      <c r="T576" t="str">
        <f t="shared" si="24"/>
        <v>Negative</v>
      </c>
      <c r="U576" t="str">
        <f t="shared" si="25"/>
        <v>Not Sampled</v>
      </c>
      <c r="V576" s="1" t="str">
        <f t="shared" si="26"/>
        <v>Not Sampled</v>
      </c>
    </row>
    <row r="577" spans="1:22" x14ac:dyDescent="0.25">
      <c r="A577" s="1">
        <v>1</v>
      </c>
      <c r="B577" s="1">
        <v>119</v>
      </c>
      <c r="C577" s="1">
        <v>44</v>
      </c>
      <c r="D577" s="1">
        <v>47</v>
      </c>
      <c r="E577" s="1">
        <v>63</v>
      </c>
      <c r="F577" s="1">
        <v>35.5</v>
      </c>
      <c r="G577" s="1">
        <v>0.28000000000000003</v>
      </c>
      <c r="H577" s="1">
        <v>25</v>
      </c>
      <c r="I577" s="1">
        <v>0</v>
      </c>
      <c r="J577" s="1" t="str">
        <f>IFERROR(VLOOKUP(K577,[1]diabetes_Recognition!$A:$B,2,FALSE),"Not Sampled")</f>
        <v>Not Sampled</v>
      </c>
      <c r="K577" s="1">
        <v>575</v>
      </c>
      <c r="L577" s="1">
        <f>LOOKUP(A577,Sheet2!$D$4:$E$9)</f>
        <v>1</v>
      </c>
      <c r="M577" t="str">
        <f>LOOKUP(B577,Sheet2!$G$4:$H$9)</f>
        <v>100-125</v>
      </c>
      <c r="N577" t="str">
        <f>LOOKUP(C577,Sheet2!$J$4:$K$8)</f>
        <v>1-59</v>
      </c>
      <c r="O577" t="str">
        <f>LOOKUP(D577,Sheet2!$M$4:$N$8)</f>
        <v>40+</v>
      </c>
      <c r="P577" t="str">
        <f>LOOKUP(E577,Sheet2!$P$4:$Q$9)</f>
        <v>1-99</v>
      </c>
      <c r="Q577" t="str">
        <f>LOOKUP(F577,Sheet2!$S$4:$T$8)</f>
        <v>31-35</v>
      </c>
      <c r="R577" t="str">
        <f>LOOKUP(G577,Sheet2!$V$4:$W$7)</f>
        <v>0.25 - 0.39</v>
      </c>
      <c r="S577" t="str">
        <f>LOOKUP(H577,Sheet2!$Z$4:$AA$7)</f>
        <v>&lt;=25</v>
      </c>
      <c r="T577" t="str">
        <f t="shared" si="24"/>
        <v>Negative</v>
      </c>
      <c r="U577" t="str">
        <f t="shared" si="25"/>
        <v>Not Sampled</v>
      </c>
      <c r="V577" s="1" t="str">
        <f t="shared" si="26"/>
        <v>Not Sampled</v>
      </c>
    </row>
    <row r="578" spans="1:22" x14ac:dyDescent="0.25">
      <c r="A578" s="1">
        <v>6</v>
      </c>
      <c r="B578" s="1">
        <v>108</v>
      </c>
      <c r="C578" s="1">
        <v>44</v>
      </c>
      <c r="D578" s="1">
        <v>20</v>
      </c>
      <c r="E578" s="1">
        <v>130</v>
      </c>
      <c r="F578" s="1">
        <v>24</v>
      </c>
      <c r="G578" s="1">
        <v>0.81299999999999994</v>
      </c>
      <c r="H578" s="1">
        <v>35</v>
      </c>
      <c r="I578" s="1">
        <v>0</v>
      </c>
      <c r="J578" s="1" t="str">
        <f>IFERROR(VLOOKUP(K578,[1]diabetes_Recognition!$A:$B,2,FALSE),"Not Sampled")</f>
        <v>Not Sampled</v>
      </c>
      <c r="K578" s="1">
        <v>576</v>
      </c>
      <c r="L578" s="1" t="str">
        <f>LOOKUP(A578,Sheet2!$D$4:$E$9)</f>
        <v>5-7</v>
      </c>
      <c r="M578" t="str">
        <f>LOOKUP(B578,Sheet2!$G$4:$H$9)</f>
        <v>100-125</v>
      </c>
      <c r="N578" t="str">
        <f>LOOKUP(C578,Sheet2!$J$4:$K$8)</f>
        <v>1-59</v>
      </c>
      <c r="O578" t="str">
        <f>LOOKUP(D578,Sheet2!$M$4:$N$8)</f>
        <v>10-30</v>
      </c>
      <c r="P578" t="str">
        <f>LOOKUP(E578,Sheet2!$P$4:$Q$9)</f>
        <v>100-199</v>
      </c>
      <c r="Q578" t="str">
        <f>LOOKUP(F578,Sheet2!$S$4:$T$8)</f>
        <v>1-25</v>
      </c>
      <c r="R578" t="str">
        <f>LOOKUP(G578,Sheet2!$V$4:$W$7)</f>
        <v>0.7+</v>
      </c>
      <c r="S578" t="str">
        <f>LOOKUP(H578,Sheet2!$Z$4:$AA$7)</f>
        <v>26-35</v>
      </c>
      <c r="T578" t="str">
        <f t="shared" si="24"/>
        <v>Negative</v>
      </c>
      <c r="U578" t="str">
        <f t="shared" si="25"/>
        <v>Not Sampled</v>
      </c>
      <c r="V578" s="1" t="str">
        <f t="shared" si="26"/>
        <v>Not Sampled</v>
      </c>
    </row>
    <row r="579" spans="1:22" x14ac:dyDescent="0.25">
      <c r="A579" s="1">
        <v>2</v>
      </c>
      <c r="B579" s="1">
        <v>118</v>
      </c>
      <c r="C579" s="1">
        <v>80</v>
      </c>
      <c r="D579" s="1">
        <v>0</v>
      </c>
      <c r="E579" s="1">
        <v>0</v>
      </c>
      <c r="F579" s="1">
        <v>42.9</v>
      </c>
      <c r="G579" s="1">
        <v>0.69299999999999995</v>
      </c>
      <c r="H579" s="1">
        <v>21</v>
      </c>
      <c r="I579" s="1">
        <v>1</v>
      </c>
      <c r="J579" s="1">
        <f>IFERROR(VLOOKUP(K579,[1]diabetes_Recognition!$A:$B,2,FALSE),"Not Sampled")</f>
        <v>0</v>
      </c>
      <c r="K579" s="1">
        <v>577</v>
      </c>
      <c r="L579" s="1">
        <f>LOOKUP(A579,Sheet2!$D$4:$E$9)</f>
        <v>2</v>
      </c>
      <c r="M579" t="str">
        <f>LOOKUP(B579,Sheet2!$G$4:$H$9)</f>
        <v>100-125</v>
      </c>
      <c r="N579" t="str">
        <f>LOOKUP(C579,Sheet2!$J$4:$K$8)</f>
        <v>80+</v>
      </c>
      <c r="O579" t="str">
        <f>LOOKUP(D579,Sheet2!$M$4:$N$8)</f>
        <v>Unknown</v>
      </c>
      <c r="P579" t="str">
        <f>LOOKUP(E579,Sheet2!$P$4:$Q$9)</f>
        <v>Unknown</v>
      </c>
      <c r="Q579" t="str">
        <f>LOOKUP(F579,Sheet2!$S$4:$T$8)</f>
        <v>36+</v>
      </c>
      <c r="R579" t="str">
        <f>LOOKUP(G579,Sheet2!$V$4:$W$7)</f>
        <v>0.4 - 0.69</v>
      </c>
      <c r="S579" t="str">
        <f>LOOKUP(H579,Sheet2!$Z$4:$AA$7)</f>
        <v>&lt;=25</v>
      </c>
      <c r="T579" t="str">
        <f t="shared" ref="T579:T642" si="27">IF(I579=1,"Positive","Negative")</f>
        <v>Positive</v>
      </c>
      <c r="U579" t="str">
        <f t="shared" ref="U579:U642" si="28">IF(J579=1,"Positive",(IF(J579=0,"Negative","Not Sampled")))</f>
        <v>Negative</v>
      </c>
      <c r="V579" s="1" t="str">
        <f t="shared" ref="V579:V642" si="29">IF(U579="Not Sampled","Not Sampled",IF(T579=U579,"Accurate Prediction","Inaccurate Prediction"))</f>
        <v>Inaccurate Prediction</v>
      </c>
    </row>
    <row r="580" spans="1:22" x14ac:dyDescent="0.25">
      <c r="A580" s="1">
        <v>10</v>
      </c>
      <c r="B580" s="1">
        <v>133</v>
      </c>
      <c r="C580" s="1">
        <v>68</v>
      </c>
      <c r="D580" s="1">
        <v>0</v>
      </c>
      <c r="E580" s="1">
        <v>0</v>
      </c>
      <c r="F580" s="1">
        <v>27</v>
      </c>
      <c r="G580" s="1">
        <v>0.245</v>
      </c>
      <c r="H580" s="1">
        <v>36</v>
      </c>
      <c r="I580" s="1">
        <v>0</v>
      </c>
      <c r="J580" s="1" t="str">
        <f>IFERROR(VLOOKUP(K580,[1]diabetes_Recognition!$A:$B,2,FALSE),"Not Sampled")</f>
        <v>Not Sampled</v>
      </c>
      <c r="K580" s="1">
        <v>578</v>
      </c>
      <c r="L580" s="1" t="str">
        <f>LOOKUP(A580,Sheet2!$D$4:$E$9)</f>
        <v>8+</v>
      </c>
      <c r="M580" t="str">
        <f>LOOKUP(B580,Sheet2!$G$4:$H$9)</f>
        <v>126-150</v>
      </c>
      <c r="N580" t="str">
        <f>LOOKUP(C580,Sheet2!$J$4:$K$8)</f>
        <v>60-69</v>
      </c>
      <c r="O580" t="str">
        <f>LOOKUP(D580,Sheet2!$M$4:$N$8)</f>
        <v>Unknown</v>
      </c>
      <c r="P580" t="str">
        <f>LOOKUP(E580,Sheet2!$P$4:$Q$9)</f>
        <v>Unknown</v>
      </c>
      <c r="Q580" t="str">
        <f>LOOKUP(F580,Sheet2!$S$4:$T$8)</f>
        <v>26-30</v>
      </c>
      <c r="R580" t="str">
        <f>LOOKUP(G580,Sheet2!$V$4:$W$7)</f>
        <v>0.0 - 0.249</v>
      </c>
      <c r="S580" t="str">
        <f>LOOKUP(H580,Sheet2!$Z$4:$AA$7)</f>
        <v>36-45</v>
      </c>
      <c r="T580" t="str">
        <f t="shared" si="27"/>
        <v>Negative</v>
      </c>
      <c r="U580" t="str">
        <f t="shared" si="28"/>
        <v>Not Sampled</v>
      </c>
      <c r="V580" s="1" t="str">
        <f t="shared" si="29"/>
        <v>Not Sampled</v>
      </c>
    </row>
    <row r="581" spans="1:22" x14ac:dyDescent="0.25">
      <c r="A581" s="1">
        <v>2</v>
      </c>
      <c r="B581" s="1">
        <v>197</v>
      </c>
      <c r="C581" s="1">
        <v>70</v>
      </c>
      <c r="D581" s="1">
        <v>99</v>
      </c>
      <c r="E581" s="1">
        <v>0</v>
      </c>
      <c r="F581" s="1">
        <v>34.700000000000003</v>
      </c>
      <c r="G581" s="1">
        <v>0.57499999999999996</v>
      </c>
      <c r="H581" s="1">
        <v>62</v>
      </c>
      <c r="I581" s="1">
        <v>1</v>
      </c>
      <c r="J581" s="1">
        <f>IFERROR(VLOOKUP(K581,[1]diabetes_Recognition!$A:$B,2,FALSE),"Not Sampled")</f>
        <v>1</v>
      </c>
      <c r="K581" s="1">
        <v>579</v>
      </c>
      <c r="L581" s="1">
        <f>LOOKUP(A581,Sheet2!$D$4:$E$9)</f>
        <v>2</v>
      </c>
      <c r="M581" t="str">
        <f>LOOKUP(B581,Sheet2!$G$4:$H$9)</f>
        <v>176-200</v>
      </c>
      <c r="N581" t="str">
        <f>LOOKUP(C581,Sheet2!$J$4:$K$8)</f>
        <v>70-79</v>
      </c>
      <c r="O581" t="str">
        <f>LOOKUP(D581,Sheet2!$M$4:$N$8)</f>
        <v>40+</v>
      </c>
      <c r="P581" t="str">
        <f>LOOKUP(E581,Sheet2!$P$4:$Q$9)</f>
        <v>Unknown</v>
      </c>
      <c r="Q581" t="str">
        <f>LOOKUP(F581,Sheet2!$S$4:$T$8)</f>
        <v>31-35</v>
      </c>
      <c r="R581" t="str">
        <f>LOOKUP(G581,Sheet2!$V$4:$W$7)</f>
        <v>0.4 - 0.69</v>
      </c>
      <c r="S581" t="str">
        <f>LOOKUP(H581,Sheet2!$Z$4:$AA$7)</f>
        <v>46+</v>
      </c>
      <c r="T581" t="str">
        <f t="shared" si="27"/>
        <v>Positive</v>
      </c>
      <c r="U581" t="str">
        <f t="shared" si="28"/>
        <v>Positive</v>
      </c>
      <c r="V581" s="1" t="str">
        <f t="shared" si="29"/>
        <v>Accurate Prediction</v>
      </c>
    </row>
    <row r="582" spans="1:22" x14ac:dyDescent="0.25">
      <c r="A582" s="1">
        <v>0</v>
      </c>
      <c r="B582" s="1">
        <v>151</v>
      </c>
      <c r="C582" s="1">
        <v>90</v>
      </c>
      <c r="D582" s="1">
        <v>46</v>
      </c>
      <c r="E582" s="1">
        <v>0</v>
      </c>
      <c r="F582" s="1">
        <v>42.1</v>
      </c>
      <c r="G582" s="1">
        <v>0.371</v>
      </c>
      <c r="H582" s="1">
        <v>21</v>
      </c>
      <c r="I582" s="1">
        <v>1</v>
      </c>
      <c r="J582" s="1" t="str">
        <f>IFERROR(VLOOKUP(K582,[1]diabetes_Recognition!$A:$B,2,FALSE),"Not Sampled")</f>
        <v>Not Sampled</v>
      </c>
      <c r="K582" s="1">
        <v>580</v>
      </c>
      <c r="L582" s="1">
        <f>LOOKUP(A582,Sheet2!$D$4:$E$9)</f>
        <v>0</v>
      </c>
      <c r="M582" t="str">
        <f>LOOKUP(B582,Sheet2!$G$4:$H$9)</f>
        <v>151-175</v>
      </c>
      <c r="N582" t="str">
        <f>LOOKUP(C582,Sheet2!$J$4:$K$8)</f>
        <v>80+</v>
      </c>
      <c r="O582" t="str">
        <f>LOOKUP(D582,Sheet2!$M$4:$N$8)</f>
        <v>40+</v>
      </c>
      <c r="P582" t="str">
        <f>LOOKUP(E582,Sheet2!$P$4:$Q$9)</f>
        <v>Unknown</v>
      </c>
      <c r="Q582" t="str">
        <f>LOOKUP(F582,Sheet2!$S$4:$T$8)</f>
        <v>36+</v>
      </c>
      <c r="R582" t="str">
        <f>LOOKUP(G582,Sheet2!$V$4:$W$7)</f>
        <v>0.25 - 0.39</v>
      </c>
      <c r="S582" t="str">
        <f>LOOKUP(H582,Sheet2!$Z$4:$AA$7)</f>
        <v>&lt;=25</v>
      </c>
      <c r="T582" t="str">
        <f t="shared" si="27"/>
        <v>Positive</v>
      </c>
      <c r="U582" t="str">
        <f t="shared" si="28"/>
        <v>Not Sampled</v>
      </c>
      <c r="V582" s="1" t="str">
        <f t="shared" si="29"/>
        <v>Not Sampled</v>
      </c>
    </row>
    <row r="583" spans="1:22" x14ac:dyDescent="0.25">
      <c r="A583" s="1">
        <v>6</v>
      </c>
      <c r="B583" s="1">
        <v>109</v>
      </c>
      <c r="C583" s="1">
        <v>60</v>
      </c>
      <c r="D583" s="1">
        <v>27</v>
      </c>
      <c r="E583" s="1">
        <v>0</v>
      </c>
      <c r="F583" s="1">
        <v>25</v>
      </c>
      <c r="G583" s="1">
        <v>0.20599999999999999</v>
      </c>
      <c r="H583" s="1">
        <v>27</v>
      </c>
      <c r="I583" s="1">
        <v>0</v>
      </c>
      <c r="J583" s="1" t="str">
        <f>IFERROR(VLOOKUP(K583,[1]diabetes_Recognition!$A:$B,2,FALSE),"Not Sampled")</f>
        <v>Not Sampled</v>
      </c>
      <c r="K583" s="1">
        <v>581</v>
      </c>
      <c r="L583" s="1" t="str">
        <f>LOOKUP(A583,Sheet2!$D$4:$E$9)</f>
        <v>5-7</v>
      </c>
      <c r="M583" t="str">
        <f>LOOKUP(B583,Sheet2!$G$4:$H$9)</f>
        <v>100-125</v>
      </c>
      <c r="N583" t="str">
        <f>LOOKUP(C583,Sheet2!$J$4:$K$8)</f>
        <v>60-69</v>
      </c>
      <c r="O583" t="str">
        <f>LOOKUP(D583,Sheet2!$M$4:$N$8)</f>
        <v>10-30</v>
      </c>
      <c r="P583" t="str">
        <f>LOOKUP(E583,Sheet2!$P$4:$Q$9)</f>
        <v>Unknown</v>
      </c>
      <c r="Q583" t="str">
        <f>LOOKUP(F583,Sheet2!$S$4:$T$8)</f>
        <v>1-25</v>
      </c>
      <c r="R583" t="str">
        <f>LOOKUP(G583,Sheet2!$V$4:$W$7)</f>
        <v>0.0 - 0.249</v>
      </c>
      <c r="S583" t="str">
        <f>LOOKUP(H583,Sheet2!$Z$4:$AA$7)</f>
        <v>26-35</v>
      </c>
      <c r="T583" t="str">
        <f t="shared" si="27"/>
        <v>Negative</v>
      </c>
      <c r="U583" t="str">
        <f t="shared" si="28"/>
        <v>Not Sampled</v>
      </c>
      <c r="V583" s="1" t="str">
        <f t="shared" si="29"/>
        <v>Not Sampled</v>
      </c>
    </row>
    <row r="584" spans="1:22" x14ac:dyDescent="0.25">
      <c r="A584" s="1">
        <v>12</v>
      </c>
      <c r="B584" s="1">
        <v>121</v>
      </c>
      <c r="C584" s="1">
        <v>78</v>
      </c>
      <c r="D584" s="1">
        <v>17</v>
      </c>
      <c r="E584" s="1">
        <v>0</v>
      </c>
      <c r="F584" s="1">
        <v>26.5</v>
      </c>
      <c r="G584" s="1">
        <v>0.25900000000000001</v>
      </c>
      <c r="H584" s="1">
        <v>62</v>
      </c>
      <c r="I584" s="1">
        <v>0</v>
      </c>
      <c r="J584" s="1" t="str">
        <f>IFERROR(VLOOKUP(K584,[1]diabetes_Recognition!$A:$B,2,FALSE),"Not Sampled")</f>
        <v>Not Sampled</v>
      </c>
      <c r="K584" s="1">
        <v>582</v>
      </c>
      <c r="L584" s="1" t="str">
        <f>LOOKUP(A584,Sheet2!$D$4:$E$9)</f>
        <v>8+</v>
      </c>
      <c r="M584" t="str">
        <f>LOOKUP(B584,Sheet2!$G$4:$H$9)</f>
        <v>100-125</v>
      </c>
      <c r="N584" t="str">
        <f>LOOKUP(C584,Sheet2!$J$4:$K$8)</f>
        <v>70-79</v>
      </c>
      <c r="O584" t="str">
        <f>LOOKUP(D584,Sheet2!$M$4:$N$8)</f>
        <v>10-30</v>
      </c>
      <c r="P584" t="str">
        <f>LOOKUP(E584,Sheet2!$P$4:$Q$9)</f>
        <v>Unknown</v>
      </c>
      <c r="Q584" t="str">
        <f>LOOKUP(F584,Sheet2!$S$4:$T$8)</f>
        <v>26-30</v>
      </c>
      <c r="R584" t="str">
        <f>LOOKUP(G584,Sheet2!$V$4:$W$7)</f>
        <v>0.25 - 0.39</v>
      </c>
      <c r="S584" t="str">
        <f>LOOKUP(H584,Sheet2!$Z$4:$AA$7)</f>
        <v>46+</v>
      </c>
      <c r="T584" t="str">
        <f t="shared" si="27"/>
        <v>Negative</v>
      </c>
      <c r="U584" t="str">
        <f t="shared" si="28"/>
        <v>Not Sampled</v>
      </c>
      <c r="V584" s="1" t="str">
        <f t="shared" si="29"/>
        <v>Not Sampled</v>
      </c>
    </row>
    <row r="585" spans="1:22" x14ac:dyDescent="0.25">
      <c r="A585" s="1">
        <v>8</v>
      </c>
      <c r="B585" s="1">
        <v>100</v>
      </c>
      <c r="C585" s="1">
        <v>76</v>
      </c>
      <c r="D585" s="1">
        <v>0</v>
      </c>
      <c r="E585" s="1">
        <v>0</v>
      </c>
      <c r="F585" s="1">
        <v>38.700000000000003</v>
      </c>
      <c r="G585" s="1">
        <v>0.19</v>
      </c>
      <c r="H585" s="1">
        <v>42</v>
      </c>
      <c r="I585" s="1">
        <v>0</v>
      </c>
      <c r="J585" s="1" t="str">
        <f>IFERROR(VLOOKUP(K585,[1]diabetes_Recognition!$A:$B,2,FALSE),"Not Sampled")</f>
        <v>Not Sampled</v>
      </c>
      <c r="K585" s="1">
        <v>583</v>
      </c>
      <c r="L585" s="1" t="str">
        <f>LOOKUP(A585,Sheet2!$D$4:$E$9)</f>
        <v>8+</v>
      </c>
      <c r="M585" t="str">
        <f>LOOKUP(B585,Sheet2!$G$4:$H$9)</f>
        <v>100-125</v>
      </c>
      <c r="N585" t="str">
        <f>LOOKUP(C585,Sheet2!$J$4:$K$8)</f>
        <v>70-79</v>
      </c>
      <c r="O585" t="str">
        <f>LOOKUP(D585,Sheet2!$M$4:$N$8)</f>
        <v>Unknown</v>
      </c>
      <c r="P585" t="str">
        <f>LOOKUP(E585,Sheet2!$P$4:$Q$9)</f>
        <v>Unknown</v>
      </c>
      <c r="Q585" t="str">
        <f>LOOKUP(F585,Sheet2!$S$4:$T$8)</f>
        <v>36+</v>
      </c>
      <c r="R585" t="str">
        <f>LOOKUP(G585,Sheet2!$V$4:$W$7)</f>
        <v>0.0 - 0.249</v>
      </c>
      <c r="S585" t="str">
        <f>LOOKUP(H585,Sheet2!$Z$4:$AA$7)</f>
        <v>36-45</v>
      </c>
      <c r="T585" t="str">
        <f t="shared" si="27"/>
        <v>Negative</v>
      </c>
      <c r="U585" t="str">
        <f t="shared" si="28"/>
        <v>Not Sampled</v>
      </c>
      <c r="V585" s="1" t="str">
        <f t="shared" si="29"/>
        <v>Not Sampled</v>
      </c>
    </row>
    <row r="586" spans="1:22" x14ac:dyDescent="0.25">
      <c r="A586" s="1">
        <v>8</v>
      </c>
      <c r="B586" s="1">
        <v>124</v>
      </c>
      <c r="C586" s="1">
        <v>76</v>
      </c>
      <c r="D586" s="1">
        <v>24</v>
      </c>
      <c r="E586" s="1">
        <v>600</v>
      </c>
      <c r="F586" s="1">
        <v>28.7</v>
      </c>
      <c r="G586" s="1">
        <v>0.68700000000000006</v>
      </c>
      <c r="H586" s="1">
        <v>52</v>
      </c>
      <c r="I586" s="1">
        <v>1</v>
      </c>
      <c r="J586" s="1" t="str">
        <f>IFERROR(VLOOKUP(K586,[1]diabetes_Recognition!$A:$B,2,FALSE),"Not Sampled")</f>
        <v>Not Sampled</v>
      </c>
      <c r="K586" s="1">
        <v>584</v>
      </c>
      <c r="L586" s="1" t="str">
        <f>LOOKUP(A586,Sheet2!$D$4:$E$9)</f>
        <v>8+</v>
      </c>
      <c r="M586" t="str">
        <f>LOOKUP(B586,Sheet2!$G$4:$H$9)</f>
        <v>100-125</v>
      </c>
      <c r="N586" t="str">
        <f>LOOKUP(C586,Sheet2!$J$4:$K$8)</f>
        <v>70-79</v>
      </c>
      <c r="O586" t="str">
        <f>LOOKUP(D586,Sheet2!$M$4:$N$8)</f>
        <v>10-30</v>
      </c>
      <c r="P586" t="str">
        <f>LOOKUP(E586,Sheet2!$P$4:$Q$9)</f>
        <v>500+</v>
      </c>
      <c r="Q586" t="str">
        <f>LOOKUP(F586,Sheet2!$S$4:$T$8)</f>
        <v>26-30</v>
      </c>
      <c r="R586" t="str">
        <f>LOOKUP(G586,Sheet2!$V$4:$W$7)</f>
        <v>0.4 - 0.69</v>
      </c>
      <c r="S586" t="str">
        <f>LOOKUP(H586,Sheet2!$Z$4:$AA$7)</f>
        <v>46+</v>
      </c>
      <c r="T586" t="str">
        <f t="shared" si="27"/>
        <v>Positive</v>
      </c>
      <c r="U586" t="str">
        <f t="shared" si="28"/>
        <v>Not Sampled</v>
      </c>
      <c r="V586" s="1" t="str">
        <f t="shared" si="29"/>
        <v>Not Sampled</v>
      </c>
    </row>
    <row r="587" spans="1:22" x14ac:dyDescent="0.25">
      <c r="A587" s="1">
        <v>1</v>
      </c>
      <c r="B587" s="1">
        <v>93</v>
      </c>
      <c r="C587" s="1">
        <v>56</v>
      </c>
      <c r="D587" s="1">
        <v>11</v>
      </c>
      <c r="E587" s="1">
        <v>0</v>
      </c>
      <c r="F587" s="1">
        <v>22.5</v>
      </c>
      <c r="G587" s="1">
        <v>0.41699999999999998</v>
      </c>
      <c r="H587" s="1">
        <v>22</v>
      </c>
      <c r="I587" s="1">
        <v>0</v>
      </c>
      <c r="J587" s="1">
        <f>IFERROR(VLOOKUP(K587,[1]diabetes_Recognition!$A:$B,2,FALSE),"Not Sampled")</f>
        <v>0</v>
      </c>
      <c r="K587" s="1">
        <v>585</v>
      </c>
      <c r="L587" s="1">
        <f>LOOKUP(A587,Sheet2!$D$4:$E$9)</f>
        <v>1</v>
      </c>
      <c r="M587" t="str">
        <f>LOOKUP(B587,Sheet2!$G$4:$H$9)</f>
        <v>1-99</v>
      </c>
      <c r="N587" t="str">
        <f>LOOKUP(C587,Sheet2!$J$4:$K$8)</f>
        <v>1-59</v>
      </c>
      <c r="O587" t="str">
        <f>LOOKUP(D587,Sheet2!$M$4:$N$8)</f>
        <v>10-30</v>
      </c>
      <c r="P587" t="str">
        <f>LOOKUP(E587,Sheet2!$P$4:$Q$9)</f>
        <v>Unknown</v>
      </c>
      <c r="Q587" t="str">
        <f>LOOKUP(F587,Sheet2!$S$4:$T$8)</f>
        <v>1-25</v>
      </c>
      <c r="R587" t="str">
        <f>LOOKUP(G587,Sheet2!$V$4:$W$7)</f>
        <v>0.4 - 0.69</v>
      </c>
      <c r="S587" t="str">
        <f>LOOKUP(H587,Sheet2!$Z$4:$AA$7)</f>
        <v>&lt;=25</v>
      </c>
      <c r="T587" t="str">
        <f t="shared" si="27"/>
        <v>Negative</v>
      </c>
      <c r="U587" t="str">
        <f t="shared" si="28"/>
        <v>Negative</v>
      </c>
      <c r="V587" s="1" t="str">
        <f t="shared" si="29"/>
        <v>Accurate Prediction</v>
      </c>
    </row>
    <row r="588" spans="1:22" x14ac:dyDescent="0.25">
      <c r="A588" s="1">
        <v>8</v>
      </c>
      <c r="B588" s="1">
        <v>143</v>
      </c>
      <c r="C588" s="1">
        <v>66</v>
      </c>
      <c r="D588" s="1">
        <v>0</v>
      </c>
      <c r="E588" s="1">
        <v>0</v>
      </c>
      <c r="F588" s="1">
        <v>34.9</v>
      </c>
      <c r="G588" s="1">
        <v>0.129</v>
      </c>
      <c r="H588" s="1">
        <v>41</v>
      </c>
      <c r="I588" s="1">
        <v>1</v>
      </c>
      <c r="J588" s="1" t="str">
        <f>IFERROR(VLOOKUP(K588,[1]diabetes_Recognition!$A:$B,2,FALSE),"Not Sampled")</f>
        <v>Not Sampled</v>
      </c>
      <c r="K588" s="1">
        <v>586</v>
      </c>
      <c r="L588" s="1" t="str">
        <f>LOOKUP(A588,Sheet2!$D$4:$E$9)</f>
        <v>8+</v>
      </c>
      <c r="M588" t="str">
        <f>LOOKUP(B588,Sheet2!$G$4:$H$9)</f>
        <v>126-150</v>
      </c>
      <c r="N588" t="str">
        <f>LOOKUP(C588,Sheet2!$J$4:$K$8)</f>
        <v>60-69</v>
      </c>
      <c r="O588" t="str">
        <f>LOOKUP(D588,Sheet2!$M$4:$N$8)</f>
        <v>Unknown</v>
      </c>
      <c r="P588" t="str">
        <f>LOOKUP(E588,Sheet2!$P$4:$Q$9)</f>
        <v>Unknown</v>
      </c>
      <c r="Q588" t="str">
        <f>LOOKUP(F588,Sheet2!$S$4:$T$8)</f>
        <v>31-35</v>
      </c>
      <c r="R588" t="str">
        <f>LOOKUP(G588,Sheet2!$V$4:$W$7)</f>
        <v>0.0 - 0.249</v>
      </c>
      <c r="S588" t="str">
        <f>LOOKUP(H588,Sheet2!$Z$4:$AA$7)</f>
        <v>36-45</v>
      </c>
      <c r="T588" t="str">
        <f t="shared" si="27"/>
        <v>Positive</v>
      </c>
      <c r="U588" t="str">
        <f t="shared" si="28"/>
        <v>Not Sampled</v>
      </c>
      <c r="V588" s="1" t="str">
        <f t="shared" si="29"/>
        <v>Not Sampled</v>
      </c>
    </row>
    <row r="589" spans="1:22" x14ac:dyDescent="0.25">
      <c r="A589" s="1">
        <v>6</v>
      </c>
      <c r="B589" s="1">
        <v>103</v>
      </c>
      <c r="C589" s="1">
        <v>66</v>
      </c>
      <c r="D589" s="1">
        <v>0</v>
      </c>
      <c r="E589" s="1">
        <v>0</v>
      </c>
      <c r="F589" s="1">
        <v>24.3</v>
      </c>
      <c r="G589" s="1">
        <v>0.249</v>
      </c>
      <c r="H589" s="1">
        <v>29</v>
      </c>
      <c r="I589" s="1">
        <v>0</v>
      </c>
      <c r="J589" s="1">
        <f>IFERROR(VLOOKUP(K589,[1]diabetes_Recognition!$A:$B,2,FALSE),"Not Sampled")</f>
        <v>0</v>
      </c>
      <c r="K589" s="1">
        <v>587</v>
      </c>
      <c r="L589" s="1" t="str">
        <f>LOOKUP(A589,Sheet2!$D$4:$E$9)</f>
        <v>5-7</v>
      </c>
      <c r="M589" t="str">
        <f>LOOKUP(B589,Sheet2!$G$4:$H$9)</f>
        <v>100-125</v>
      </c>
      <c r="N589" t="str">
        <f>LOOKUP(C589,Sheet2!$J$4:$K$8)</f>
        <v>60-69</v>
      </c>
      <c r="O589" t="str">
        <f>LOOKUP(D589,Sheet2!$M$4:$N$8)</f>
        <v>Unknown</v>
      </c>
      <c r="P589" t="str">
        <f>LOOKUP(E589,Sheet2!$P$4:$Q$9)</f>
        <v>Unknown</v>
      </c>
      <c r="Q589" t="str">
        <f>LOOKUP(F589,Sheet2!$S$4:$T$8)</f>
        <v>1-25</v>
      </c>
      <c r="R589" t="str">
        <f>LOOKUP(G589,Sheet2!$V$4:$W$7)</f>
        <v>0.0 - 0.249</v>
      </c>
      <c r="S589" t="str">
        <f>LOOKUP(H589,Sheet2!$Z$4:$AA$7)</f>
        <v>26-35</v>
      </c>
      <c r="T589" t="str">
        <f t="shared" si="27"/>
        <v>Negative</v>
      </c>
      <c r="U589" t="str">
        <f t="shared" si="28"/>
        <v>Negative</v>
      </c>
      <c r="V589" s="1" t="str">
        <f t="shared" si="29"/>
        <v>Accurate Prediction</v>
      </c>
    </row>
    <row r="590" spans="1:22" x14ac:dyDescent="0.25">
      <c r="A590" s="1">
        <v>3</v>
      </c>
      <c r="B590" s="1">
        <v>176</v>
      </c>
      <c r="C590" s="1">
        <v>86</v>
      </c>
      <c r="D590" s="1">
        <v>27</v>
      </c>
      <c r="E590" s="1">
        <v>156</v>
      </c>
      <c r="F590" s="1">
        <v>33.299999999999997</v>
      </c>
      <c r="G590" s="1">
        <v>1.1539999999999999</v>
      </c>
      <c r="H590" s="1">
        <v>52</v>
      </c>
      <c r="I590" s="1">
        <v>1</v>
      </c>
      <c r="J590" s="1" t="str">
        <f>IFERROR(VLOOKUP(K590,[1]diabetes_Recognition!$A:$B,2,FALSE),"Not Sampled")</f>
        <v>Not Sampled</v>
      </c>
      <c r="K590" s="1">
        <v>588</v>
      </c>
      <c r="L590" s="1" t="str">
        <f>LOOKUP(A590,Sheet2!$D$4:$E$9)</f>
        <v>3-4</v>
      </c>
      <c r="M590" t="str">
        <f>LOOKUP(B590,Sheet2!$G$4:$H$9)</f>
        <v>176-200</v>
      </c>
      <c r="N590" t="str">
        <f>LOOKUP(C590,Sheet2!$J$4:$K$8)</f>
        <v>80+</v>
      </c>
      <c r="O590" t="str">
        <f>LOOKUP(D590,Sheet2!$M$4:$N$8)</f>
        <v>10-30</v>
      </c>
      <c r="P590" t="str">
        <f>LOOKUP(E590,Sheet2!$P$4:$Q$9)</f>
        <v>100-199</v>
      </c>
      <c r="Q590" t="str">
        <f>LOOKUP(F590,Sheet2!$S$4:$T$8)</f>
        <v>31-35</v>
      </c>
      <c r="R590" t="str">
        <f>LOOKUP(G590,Sheet2!$V$4:$W$7)</f>
        <v>0.7+</v>
      </c>
      <c r="S590" t="str">
        <f>LOOKUP(H590,Sheet2!$Z$4:$AA$7)</f>
        <v>46+</v>
      </c>
      <c r="T590" t="str">
        <f t="shared" si="27"/>
        <v>Positive</v>
      </c>
      <c r="U590" t="str">
        <f t="shared" si="28"/>
        <v>Not Sampled</v>
      </c>
      <c r="V590" s="1" t="str">
        <f t="shared" si="29"/>
        <v>Not Sampled</v>
      </c>
    </row>
    <row r="591" spans="1:22" x14ac:dyDescent="0.25">
      <c r="A591" s="1">
        <v>0</v>
      </c>
      <c r="B591" s="1">
        <v>73</v>
      </c>
      <c r="C591" s="1">
        <v>0</v>
      </c>
      <c r="D591" s="1">
        <v>0</v>
      </c>
      <c r="E591" s="1">
        <v>0</v>
      </c>
      <c r="F591" s="1">
        <v>21.1</v>
      </c>
      <c r="G591" s="1">
        <v>0.34200000000000003</v>
      </c>
      <c r="H591" s="1">
        <v>25</v>
      </c>
      <c r="I591" s="1">
        <v>0</v>
      </c>
      <c r="J591" s="1">
        <f>IFERROR(VLOOKUP(K591,[1]diabetes_Recognition!$A:$B,2,FALSE),"Not Sampled")</f>
        <v>0</v>
      </c>
      <c r="K591" s="1">
        <v>589</v>
      </c>
      <c r="L591" s="1">
        <f>LOOKUP(A591,Sheet2!$D$4:$E$9)</f>
        <v>0</v>
      </c>
      <c r="M591" t="str">
        <f>LOOKUP(B591,Sheet2!$G$4:$H$9)</f>
        <v>1-99</v>
      </c>
      <c r="N591" t="str">
        <f>LOOKUP(C591,Sheet2!$J$4:$K$8)</f>
        <v>Unknown</v>
      </c>
      <c r="O591" t="str">
        <f>LOOKUP(D591,Sheet2!$M$4:$N$8)</f>
        <v>Unknown</v>
      </c>
      <c r="P591" t="str">
        <f>LOOKUP(E591,Sheet2!$P$4:$Q$9)</f>
        <v>Unknown</v>
      </c>
      <c r="Q591" t="str">
        <f>LOOKUP(F591,Sheet2!$S$4:$T$8)</f>
        <v>1-25</v>
      </c>
      <c r="R591" t="str">
        <f>LOOKUP(G591,Sheet2!$V$4:$W$7)</f>
        <v>0.25 - 0.39</v>
      </c>
      <c r="S591" t="str">
        <f>LOOKUP(H591,Sheet2!$Z$4:$AA$7)</f>
        <v>&lt;=25</v>
      </c>
      <c r="T591" t="str">
        <f t="shared" si="27"/>
        <v>Negative</v>
      </c>
      <c r="U591" t="str">
        <f t="shared" si="28"/>
        <v>Negative</v>
      </c>
      <c r="V591" s="1" t="str">
        <f t="shared" si="29"/>
        <v>Accurate Prediction</v>
      </c>
    </row>
    <row r="592" spans="1:22" x14ac:dyDescent="0.25">
      <c r="A592" s="1">
        <v>11</v>
      </c>
      <c r="B592" s="1">
        <v>111</v>
      </c>
      <c r="C592" s="1">
        <v>84</v>
      </c>
      <c r="D592" s="1">
        <v>40</v>
      </c>
      <c r="E592" s="1">
        <v>0</v>
      </c>
      <c r="F592" s="1">
        <v>46.8</v>
      </c>
      <c r="G592" s="1">
        <v>0.92500000000000004</v>
      </c>
      <c r="H592" s="1">
        <v>45</v>
      </c>
      <c r="I592" s="1">
        <v>1</v>
      </c>
      <c r="J592" s="1" t="str">
        <f>IFERROR(VLOOKUP(K592,[1]diabetes_Recognition!$A:$B,2,FALSE),"Not Sampled")</f>
        <v>Not Sampled</v>
      </c>
      <c r="K592" s="1">
        <v>590</v>
      </c>
      <c r="L592" s="1" t="str">
        <f>LOOKUP(A592,Sheet2!$D$4:$E$9)</f>
        <v>8+</v>
      </c>
      <c r="M592" t="str">
        <f>LOOKUP(B592,Sheet2!$G$4:$H$9)</f>
        <v>100-125</v>
      </c>
      <c r="N592" t="str">
        <f>LOOKUP(C592,Sheet2!$J$4:$K$8)</f>
        <v>80+</v>
      </c>
      <c r="O592" t="str">
        <f>LOOKUP(D592,Sheet2!$M$4:$N$8)</f>
        <v>40+</v>
      </c>
      <c r="P592" t="str">
        <f>LOOKUP(E592,Sheet2!$P$4:$Q$9)</f>
        <v>Unknown</v>
      </c>
      <c r="Q592" t="str">
        <f>LOOKUP(F592,Sheet2!$S$4:$T$8)</f>
        <v>36+</v>
      </c>
      <c r="R592" t="str">
        <f>LOOKUP(G592,Sheet2!$V$4:$W$7)</f>
        <v>0.7+</v>
      </c>
      <c r="S592" t="str">
        <f>LOOKUP(H592,Sheet2!$Z$4:$AA$7)</f>
        <v>36-45</v>
      </c>
      <c r="T592" t="str">
        <f t="shared" si="27"/>
        <v>Positive</v>
      </c>
      <c r="U592" t="str">
        <f t="shared" si="28"/>
        <v>Not Sampled</v>
      </c>
      <c r="V592" s="1" t="str">
        <f t="shared" si="29"/>
        <v>Not Sampled</v>
      </c>
    </row>
    <row r="593" spans="1:22" x14ac:dyDescent="0.25">
      <c r="A593" s="1">
        <v>2</v>
      </c>
      <c r="B593" s="1">
        <v>112</v>
      </c>
      <c r="C593" s="1">
        <v>78</v>
      </c>
      <c r="D593" s="1">
        <v>50</v>
      </c>
      <c r="E593" s="1">
        <v>140</v>
      </c>
      <c r="F593" s="1">
        <v>39.4</v>
      </c>
      <c r="G593" s="1">
        <v>0.17499999999999999</v>
      </c>
      <c r="H593" s="1">
        <v>24</v>
      </c>
      <c r="I593" s="1">
        <v>0</v>
      </c>
      <c r="J593" s="1" t="str">
        <f>IFERROR(VLOOKUP(K593,[1]diabetes_Recognition!$A:$B,2,FALSE),"Not Sampled")</f>
        <v>Not Sampled</v>
      </c>
      <c r="K593" s="1">
        <v>591</v>
      </c>
      <c r="L593" s="1">
        <f>LOOKUP(A593,Sheet2!$D$4:$E$9)</f>
        <v>2</v>
      </c>
      <c r="M593" t="str">
        <f>LOOKUP(B593,Sheet2!$G$4:$H$9)</f>
        <v>100-125</v>
      </c>
      <c r="N593" t="str">
        <f>LOOKUP(C593,Sheet2!$J$4:$K$8)</f>
        <v>70-79</v>
      </c>
      <c r="O593" t="str">
        <f>LOOKUP(D593,Sheet2!$M$4:$N$8)</f>
        <v>40+</v>
      </c>
      <c r="P593" t="str">
        <f>LOOKUP(E593,Sheet2!$P$4:$Q$9)</f>
        <v>100-199</v>
      </c>
      <c r="Q593" t="str">
        <f>LOOKUP(F593,Sheet2!$S$4:$T$8)</f>
        <v>36+</v>
      </c>
      <c r="R593" t="str">
        <f>LOOKUP(G593,Sheet2!$V$4:$W$7)</f>
        <v>0.0 - 0.249</v>
      </c>
      <c r="S593" t="str">
        <f>LOOKUP(H593,Sheet2!$Z$4:$AA$7)</f>
        <v>&lt;=25</v>
      </c>
      <c r="T593" t="str">
        <f t="shared" si="27"/>
        <v>Negative</v>
      </c>
      <c r="U593" t="str">
        <f t="shared" si="28"/>
        <v>Not Sampled</v>
      </c>
      <c r="V593" s="1" t="str">
        <f t="shared" si="29"/>
        <v>Not Sampled</v>
      </c>
    </row>
    <row r="594" spans="1:22" x14ac:dyDescent="0.25">
      <c r="A594" s="1">
        <v>3</v>
      </c>
      <c r="B594" s="1">
        <v>132</v>
      </c>
      <c r="C594" s="1">
        <v>80</v>
      </c>
      <c r="D594" s="1">
        <v>0</v>
      </c>
      <c r="E594" s="1">
        <v>0</v>
      </c>
      <c r="F594" s="1">
        <v>34.4</v>
      </c>
      <c r="G594" s="1">
        <v>0.40200000000000002</v>
      </c>
      <c r="H594" s="1">
        <v>44</v>
      </c>
      <c r="I594" s="1">
        <v>1</v>
      </c>
      <c r="J594" s="1">
        <f>IFERROR(VLOOKUP(K594,[1]diabetes_Recognition!$A:$B,2,FALSE),"Not Sampled")</f>
        <v>0</v>
      </c>
      <c r="K594" s="1">
        <v>592</v>
      </c>
      <c r="L594" s="1" t="str">
        <f>LOOKUP(A594,Sheet2!$D$4:$E$9)</f>
        <v>3-4</v>
      </c>
      <c r="M594" t="str">
        <f>LOOKUP(B594,Sheet2!$G$4:$H$9)</f>
        <v>126-150</v>
      </c>
      <c r="N594" t="str">
        <f>LOOKUP(C594,Sheet2!$J$4:$K$8)</f>
        <v>80+</v>
      </c>
      <c r="O594" t="str">
        <f>LOOKUP(D594,Sheet2!$M$4:$N$8)</f>
        <v>Unknown</v>
      </c>
      <c r="P594" t="str">
        <f>LOOKUP(E594,Sheet2!$P$4:$Q$9)</f>
        <v>Unknown</v>
      </c>
      <c r="Q594" t="str">
        <f>LOOKUP(F594,Sheet2!$S$4:$T$8)</f>
        <v>31-35</v>
      </c>
      <c r="R594" t="str">
        <f>LOOKUP(G594,Sheet2!$V$4:$W$7)</f>
        <v>0.4 - 0.69</v>
      </c>
      <c r="S594" t="str">
        <f>LOOKUP(H594,Sheet2!$Z$4:$AA$7)</f>
        <v>36-45</v>
      </c>
      <c r="T594" t="str">
        <f t="shared" si="27"/>
        <v>Positive</v>
      </c>
      <c r="U594" t="str">
        <f t="shared" si="28"/>
        <v>Negative</v>
      </c>
      <c r="V594" s="1" t="str">
        <f t="shared" si="29"/>
        <v>Inaccurate Prediction</v>
      </c>
    </row>
    <row r="595" spans="1:22" x14ac:dyDescent="0.25">
      <c r="A595" s="1">
        <v>2</v>
      </c>
      <c r="B595" s="1">
        <v>82</v>
      </c>
      <c r="C595" s="1">
        <v>52</v>
      </c>
      <c r="D595" s="1">
        <v>22</v>
      </c>
      <c r="E595" s="1">
        <v>115</v>
      </c>
      <c r="F595" s="1">
        <v>28.5</v>
      </c>
      <c r="G595" s="1">
        <v>1.6990000000000001</v>
      </c>
      <c r="H595" s="1">
        <v>25</v>
      </c>
      <c r="I595" s="1">
        <v>0</v>
      </c>
      <c r="J595" s="1" t="str">
        <f>IFERROR(VLOOKUP(K595,[1]diabetes_Recognition!$A:$B,2,FALSE),"Not Sampled")</f>
        <v>Not Sampled</v>
      </c>
      <c r="K595" s="1">
        <v>593</v>
      </c>
      <c r="L595" s="1">
        <f>LOOKUP(A595,Sheet2!$D$4:$E$9)</f>
        <v>2</v>
      </c>
      <c r="M595" t="str">
        <f>LOOKUP(B595,Sheet2!$G$4:$H$9)</f>
        <v>1-99</v>
      </c>
      <c r="N595" t="str">
        <f>LOOKUP(C595,Sheet2!$J$4:$K$8)</f>
        <v>1-59</v>
      </c>
      <c r="O595" t="str">
        <f>LOOKUP(D595,Sheet2!$M$4:$N$8)</f>
        <v>10-30</v>
      </c>
      <c r="P595" t="str">
        <f>LOOKUP(E595,Sheet2!$P$4:$Q$9)</f>
        <v>100-199</v>
      </c>
      <c r="Q595" t="str">
        <f>LOOKUP(F595,Sheet2!$S$4:$T$8)</f>
        <v>26-30</v>
      </c>
      <c r="R595" t="str">
        <f>LOOKUP(G595,Sheet2!$V$4:$W$7)</f>
        <v>0.7+</v>
      </c>
      <c r="S595" t="str">
        <f>LOOKUP(H595,Sheet2!$Z$4:$AA$7)</f>
        <v>&lt;=25</v>
      </c>
      <c r="T595" t="str">
        <f t="shared" si="27"/>
        <v>Negative</v>
      </c>
      <c r="U595" t="str">
        <f t="shared" si="28"/>
        <v>Not Sampled</v>
      </c>
      <c r="V595" s="1" t="str">
        <f t="shared" si="29"/>
        <v>Not Sampled</v>
      </c>
    </row>
    <row r="596" spans="1:22" x14ac:dyDescent="0.25">
      <c r="A596" s="1">
        <v>6</v>
      </c>
      <c r="B596" s="1">
        <v>123</v>
      </c>
      <c r="C596" s="1">
        <v>72</v>
      </c>
      <c r="D596" s="1">
        <v>45</v>
      </c>
      <c r="E596" s="1">
        <v>230</v>
      </c>
      <c r="F596" s="1">
        <v>33.6</v>
      </c>
      <c r="G596" s="1">
        <v>0.73299999999999998</v>
      </c>
      <c r="H596" s="1">
        <v>34</v>
      </c>
      <c r="I596" s="1">
        <v>0</v>
      </c>
      <c r="J596" s="1" t="str">
        <f>IFERROR(VLOOKUP(K596,[1]diabetes_Recognition!$A:$B,2,FALSE),"Not Sampled")</f>
        <v>Not Sampled</v>
      </c>
      <c r="K596" s="1">
        <v>594</v>
      </c>
      <c r="L596" s="1" t="str">
        <f>LOOKUP(A596,Sheet2!$D$4:$E$9)</f>
        <v>5-7</v>
      </c>
      <c r="M596" t="str">
        <f>LOOKUP(B596,Sheet2!$G$4:$H$9)</f>
        <v>100-125</v>
      </c>
      <c r="N596" t="str">
        <f>LOOKUP(C596,Sheet2!$J$4:$K$8)</f>
        <v>70-79</v>
      </c>
      <c r="O596" t="str">
        <f>LOOKUP(D596,Sheet2!$M$4:$N$8)</f>
        <v>40+</v>
      </c>
      <c r="P596" t="str">
        <f>LOOKUP(E596,Sheet2!$P$4:$Q$9)</f>
        <v>200-399</v>
      </c>
      <c r="Q596" t="str">
        <f>LOOKUP(F596,Sheet2!$S$4:$T$8)</f>
        <v>31-35</v>
      </c>
      <c r="R596" t="str">
        <f>LOOKUP(G596,Sheet2!$V$4:$W$7)</f>
        <v>0.7+</v>
      </c>
      <c r="S596" t="str">
        <f>LOOKUP(H596,Sheet2!$Z$4:$AA$7)</f>
        <v>26-35</v>
      </c>
      <c r="T596" t="str">
        <f t="shared" si="27"/>
        <v>Negative</v>
      </c>
      <c r="U596" t="str">
        <f t="shared" si="28"/>
        <v>Not Sampled</v>
      </c>
      <c r="V596" s="1" t="str">
        <f t="shared" si="29"/>
        <v>Not Sampled</v>
      </c>
    </row>
    <row r="597" spans="1:22" x14ac:dyDescent="0.25">
      <c r="A597" s="1">
        <v>0</v>
      </c>
      <c r="B597" s="1">
        <v>188</v>
      </c>
      <c r="C597" s="1">
        <v>82</v>
      </c>
      <c r="D597" s="1">
        <v>14</v>
      </c>
      <c r="E597" s="1">
        <v>185</v>
      </c>
      <c r="F597" s="1">
        <v>32</v>
      </c>
      <c r="G597" s="1">
        <v>0.68200000000000005</v>
      </c>
      <c r="H597" s="1">
        <v>22</v>
      </c>
      <c r="I597" s="1">
        <v>1</v>
      </c>
      <c r="J597" s="1" t="str">
        <f>IFERROR(VLOOKUP(K597,[1]diabetes_Recognition!$A:$B,2,FALSE),"Not Sampled")</f>
        <v>Not Sampled</v>
      </c>
      <c r="K597" s="1">
        <v>595</v>
      </c>
      <c r="L597" s="1">
        <f>LOOKUP(A597,Sheet2!$D$4:$E$9)</f>
        <v>0</v>
      </c>
      <c r="M597" t="str">
        <f>LOOKUP(B597,Sheet2!$G$4:$H$9)</f>
        <v>176-200</v>
      </c>
      <c r="N597" t="str">
        <f>LOOKUP(C597,Sheet2!$J$4:$K$8)</f>
        <v>80+</v>
      </c>
      <c r="O597" t="str">
        <f>LOOKUP(D597,Sheet2!$M$4:$N$8)</f>
        <v>10-30</v>
      </c>
      <c r="P597" t="str">
        <f>LOOKUP(E597,Sheet2!$P$4:$Q$9)</f>
        <v>100-199</v>
      </c>
      <c r="Q597" t="str">
        <f>LOOKUP(F597,Sheet2!$S$4:$T$8)</f>
        <v>31-35</v>
      </c>
      <c r="R597" t="str">
        <f>LOOKUP(G597,Sheet2!$V$4:$W$7)</f>
        <v>0.4 - 0.69</v>
      </c>
      <c r="S597" t="str">
        <f>LOOKUP(H597,Sheet2!$Z$4:$AA$7)</f>
        <v>&lt;=25</v>
      </c>
      <c r="T597" t="str">
        <f t="shared" si="27"/>
        <v>Positive</v>
      </c>
      <c r="U597" t="str">
        <f t="shared" si="28"/>
        <v>Not Sampled</v>
      </c>
      <c r="V597" s="1" t="str">
        <f t="shared" si="29"/>
        <v>Not Sampled</v>
      </c>
    </row>
    <row r="598" spans="1:22" x14ac:dyDescent="0.25">
      <c r="A598" s="1">
        <v>0</v>
      </c>
      <c r="B598" s="1">
        <v>67</v>
      </c>
      <c r="C598" s="1">
        <v>76</v>
      </c>
      <c r="D598" s="1">
        <v>0</v>
      </c>
      <c r="E598" s="1">
        <v>0</v>
      </c>
      <c r="F598" s="1">
        <v>45.3</v>
      </c>
      <c r="G598" s="1">
        <v>0.19400000000000001</v>
      </c>
      <c r="H598" s="1">
        <v>46</v>
      </c>
      <c r="I598" s="1">
        <v>0</v>
      </c>
      <c r="J598" s="1">
        <f>IFERROR(VLOOKUP(K598,[1]diabetes_Recognition!$A:$B,2,FALSE),"Not Sampled")</f>
        <v>0</v>
      </c>
      <c r="K598" s="1">
        <v>596</v>
      </c>
      <c r="L598" s="1">
        <f>LOOKUP(A598,Sheet2!$D$4:$E$9)</f>
        <v>0</v>
      </c>
      <c r="M598" t="str">
        <f>LOOKUP(B598,Sheet2!$G$4:$H$9)</f>
        <v>1-99</v>
      </c>
      <c r="N598" t="str">
        <f>LOOKUP(C598,Sheet2!$J$4:$K$8)</f>
        <v>70-79</v>
      </c>
      <c r="O598" t="str">
        <f>LOOKUP(D598,Sheet2!$M$4:$N$8)</f>
        <v>Unknown</v>
      </c>
      <c r="P598" t="str">
        <f>LOOKUP(E598,Sheet2!$P$4:$Q$9)</f>
        <v>Unknown</v>
      </c>
      <c r="Q598" t="str">
        <f>LOOKUP(F598,Sheet2!$S$4:$T$8)</f>
        <v>36+</v>
      </c>
      <c r="R598" t="str">
        <f>LOOKUP(G598,Sheet2!$V$4:$W$7)</f>
        <v>0.0 - 0.249</v>
      </c>
      <c r="S598" t="str">
        <f>LOOKUP(H598,Sheet2!$Z$4:$AA$7)</f>
        <v>46+</v>
      </c>
      <c r="T598" t="str">
        <f t="shared" si="27"/>
        <v>Negative</v>
      </c>
      <c r="U598" t="str">
        <f t="shared" si="28"/>
        <v>Negative</v>
      </c>
      <c r="V598" s="1" t="str">
        <f t="shared" si="29"/>
        <v>Accurate Prediction</v>
      </c>
    </row>
    <row r="599" spans="1:22" x14ac:dyDescent="0.25">
      <c r="A599" s="1">
        <v>1</v>
      </c>
      <c r="B599" s="1">
        <v>89</v>
      </c>
      <c r="C599" s="1">
        <v>24</v>
      </c>
      <c r="D599" s="1">
        <v>19</v>
      </c>
      <c r="E599" s="1">
        <v>25</v>
      </c>
      <c r="F599" s="1">
        <v>27.8</v>
      </c>
      <c r="G599" s="1">
        <v>0.55900000000000005</v>
      </c>
      <c r="H599" s="1">
        <v>21</v>
      </c>
      <c r="I599" s="1">
        <v>0</v>
      </c>
      <c r="J599" s="1" t="str">
        <f>IFERROR(VLOOKUP(K599,[1]diabetes_Recognition!$A:$B,2,FALSE),"Not Sampled")</f>
        <v>Not Sampled</v>
      </c>
      <c r="K599" s="1">
        <v>597</v>
      </c>
      <c r="L599" s="1">
        <f>LOOKUP(A599,Sheet2!$D$4:$E$9)</f>
        <v>1</v>
      </c>
      <c r="M599" t="str">
        <f>LOOKUP(B599,Sheet2!$G$4:$H$9)</f>
        <v>1-99</v>
      </c>
      <c r="N599" t="str">
        <f>LOOKUP(C599,Sheet2!$J$4:$K$8)</f>
        <v>1-59</v>
      </c>
      <c r="O599" t="str">
        <f>LOOKUP(D599,Sheet2!$M$4:$N$8)</f>
        <v>10-30</v>
      </c>
      <c r="P599" t="str">
        <f>LOOKUP(E599,Sheet2!$P$4:$Q$9)</f>
        <v>1-99</v>
      </c>
      <c r="Q599" t="str">
        <f>LOOKUP(F599,Sheet2!$S$4:$T$8)</f>
        <v>26-30</v>
      </c>
      <c r="R599" t="str">
        <f>LOOKUP(G599,Sheet2!$V$4:$W$7)</f>
        <v>0.4 - 0.69</v>
      </c>
      <c r="S599" t="str">
        <f>LOOKUP(H599,Sheet2!$Z$4:$AA$7)</f>
        <v>&lt;=25</v>
      </c>
      <c r="T599" t="str">
        <f t="shared" si="27"/>
        <v>Negative</v>
      </c>
      <c r="U599" t="str">
        <f t="shared" si="28"/>
        <v>Not Sampled</v>
      </c>
      <c r="V599" s="1" t="str">
        <f t="shared" si="29"/>
        <v>Not Sampled</v>
      </c>
    </row>
    <row r="600" spans="1:22" x14ac:dyDescent="0.25">
      <c r="A600" s="1">
        <v>1</v>
      </c>
      <c r="B600" s="1">
        <v>173</v>
      </c>
      <c r="C600" s="1">
        <v>74</v>
      </c>
      <c r="D600" s="1">
        <v>0</v>
      </c>
      <c r="E600" s="1">
        <v>0</v>
      </c>
      <c r="F600" s="1">
        <v>36.799999999999997</v>
      </c>
      <c r="G600" s="1">
        <v>8.7999999999999995E-2</v>
      </c>
      <c r="H600" s="1">
        <v>38</v>
      </c>
      <c r="I600" s="1">
        <v>1</v>
      </c>
      <c r="J600" s="1">
        <f>IFERROR(VLOOKUP(K600,[1]diabetes_Recognition!$A:$B,2,FALSE),"Not Sampled")</f>
        <v>1</v>
      </c>
      <c r="K600" s="1">
        <v>598</v>
      </c>
      <c r="L600" s="1">
        <f>LOOKUP(A600,Sheet2!$D$4:$E$9)</f>
        <v>1</v>
      </c>
      <c r="M600" t="str">
        <f>LOOKUP(B600,Sheet2!$G$4:$H$9)</f>
        <v>151-175</v>
      </c>
      <c r="N600" t="str">
        <f>LOOKUP(C600,Sheet2!$J$4:$K$8)</f>
        <v>70-79</v>
      </c>
      <c r="O600" t="str">
        <f>LOOKUP(D600,Sheet2!$M$4:$N$8)</f>
        <v>Unknown</v>
      </c>
      <c r="P600" t="str">
        <f>LOOKUP(E600,Sheet2!$P$4:$Q$9)</f>
        <v>Unknown</v>
      </c>
      <c r="Q600" t="str">
        <f>LOOKUP(F600,Sheet2!$S$4:$T$8)</f>
        <v>36+</v>
      </c>
      <c r="R600" t="str">
        <f>LOOKUP(G600,Sheet2!$V$4:$W$7)</f>
        <v>0.0 - 0.249</v>
      </c>
      <c r="S600" t="str">
        <f>LOOKUP(H600,Sheet2!$Z$4:$AA$7)</f>
        <v>36-45</v>
      </c>
      <c r="T600" t="str">
        <f t="shared" si="27"/>
        <v>Positive</v>
      </c>
      <c r="U600" t="str">
        <f t="shared" si="28"/>
        <v>Positive</v>
      </c>
      <c r="V600" s="1" t="str">
        <f t="shared" si="29"/>
        <v>Accurate Prediction</v>
      </c>
    </row>
    <row r="601" spans="1:22" x14ac:dyDescent="0.25">
      <c r="A601" s="1">
        <v>1</v>
      </c>
      <c r="B601" s="1">
        <v>109</v>
      </c>
      <c r="C601" s="1">
        <v>38</v>
      </c>
      <c r="D601" s="1">
        <v>18</v>
      </c>
      <c r="E601" s="1">
        <v>120</v>
      </c>
      <c r="F601" s="1">
        <v>23.1</v>
      </c>
      <c r="G601" s="1">
        <v>0.40699999999999997</v>
      </c>
      <c r="H601" s="1">
        <v>26</v>
      </c>
      <c r="I601" s="1">
        <v>0</v>
      </c>
      <c r="J601" s="1" t="str">
        <f>IFERROR(VLOOKUP(K601,[1]diabetes_Recognition!$A:$B,2,FALSE),"Not Sampled")</f>
        <v>Not Sampled</v>
      </c>
      <c r="K601" s="1">
        <v>599</v>
      </c>
      <c r="L601" s="1">
        <f>LOOKUP(A601,Sheet2!$D$4:$E$9)</f>
        <v>1</v>
      </c>
      <c r="M601" t="str">
        <f>LOOKUP(B601,Sheet2!$G$4:$H$9)</f>
        <v>100-125</v>
      </c>
      <c r="N601" t="str">
        <f>LOOKUP(C601,Sheet2!$J$4:$K$8)</f>
        <v>1-59</v>
      </c>
      <c r="O601" t="str">
        <f>LOOKUP(D601,Sheet2!$M$4:$N$8)</f>
        <v>10-30</v>
      </c>
      <c r="P601" t="str">
        <f>LOOKUP(E601,Sheet2!$P$4:$Q$9)</f>
        <v>100-199</v>
      </c>
      <c r="Q601" t="str">
        <f>LOOKUP(F601,Sheet2!$S$4:$T$8)</f>
        <v>1-25</v>
      </c>
      <c r="R601" t="str">
        <f>LOOKUP(G601,Sheet2!$V$4:$W$7)</f>
        <v>0.4 - 0.69</v>
      </c>
      <c r="S601" t="str">
        <f>LOOKUP(H601,Sheet2!$Z$4:$AA$7)</f>
        <v>26-35</v>
      </c>
      <c r="T601" t="str">
        <f t="shared" si="27"/>
        <v>Negative</v>
      </c>
      <c r="U601" t="str">
        <f t="shared" si="28"/>
        <v>Not Sampled</v>
      </c>
      <c r="V601" s="1" t="str">
        <f t="shared" si="29"/>
        <v>Not Sampled</v>
      </c>
    </row>
    <row r="602" spans="1:22" x14ac:dyDescent="0.25">
      <c r="A602" s="1">
        <v>1</v>
      </c>
      <c r="B602" s="1">
        <v>108</v>
      </c>
      <c r="C602" s="1">
        <v>88</v>
      </c>
      <c r="D602" s="1">
        <v>19</v>
      </c>
      <c r="E602" s="1">
        <v>0</v>
      </c>
      <c r="F602" s="1">
        <v>27.1</v>
      </c>
      <c r="G602" s="1">
        <v>0.4</v>
      </c>
      <c r="H602" s="1">
        <v>24</v>
      </c>
      <c r="I602" s="1">
        <v>0</v>
      </c>
      <c r="J602" s="1" t="str">
        <f>IFERROR(VLOOKUP(K602,[1]diabetes_Recognition!$A:$B,2,FALSE),"Not Sampled")</f>
        <v>Not Sampled</v>
      </c>
      <c r="K602" s="1">
        <v>600</v>
      </c>
      <c r="L602" s="1">
        <f>LOOKUP(A602,Sheet2!$D$4:$E$9)</f>
        <v>1</v>
      </c>
      <c r="M602" t="str">
        <f>LOOKUP(B602,Sheet2!$G$4:$H$9)</f>
        <v>100-125</v>
      </c>
      <c r="N602" t="str">
        <f>LOOKUP(C602,Sheet2!$J$4:$K$8)</f>
        <v>80+</v>
      </c>
      <c r="O602" t="str">
        <f>LOOKUP(D602,Sheet2!$M$4:$N$8)</f>
        <v>10-30</v>
      </c>
      <c r="P602" t="str">
        <f>LOOKUP(E602,Sheet2!$P$4:$Q$9)</f>
        <v>Unknown</v>
      </c>
      <c r="Q602" t="str">
        <f>LOOKUP(F602,Sheet2!$S$4:$T$8)</f>
        <v>26-30</v>
      </c>
      <c r="R602" t="str">
        <f>LOOKUP(G602,Sheet2!$V$4:$W$7)</f>
        <v>0.4 - 0.69</v>
      </c>
      <c r="S602" t="str">
        <f>LOOKUP(H602,Sheet2!$Z$4:$AA$7)</f>
        <v>&lt;=25</v>
      </c>
      <c r="T602" t="str">
        <f t="shared" si="27"/>
        <v>Negative</v>
      </c>
      <c r="U602" t="str">
        <f t="shared" si="28"/>
        <v>Not Sampled</v>
      </c>
      <c r="V602" s="1" t="str">
        <f t="shared" si="29"/>
        <v>Not Sampled</v>
      </c>
    </row>
    <row r="603" spans="1:22" x14ac:dyDescent="0.25">
      <c r="A603" s="1">
        <v>6</v>
      </c>
      <c r="B603" s="1">
        <v>96</v>
      </c>
      <c r="C603" s="1">
        <v>0</v>
      </c>
      <c r="D603" s="1">
        <v>0</v>
      </c>
      <c r="E603" s="1">
        <v>0</v>
      </c>
      <c r="F603" s="1">
        <v>23.7</v>
      </c>
      <c r="G603" s="1">
        <v>0.19</v>
      </c>
      <c r="H603" s="1">
        <v>28</v>
      </c>
      <c r="I603" s="1">
        <v>0</v>
      </c>
      <c r="J603" s="1" t="str">
        <f>IFERROR(VLOOKUP(K603,[1]diabetes_Recognition!$A:$B,2,FALSE),"Not Sampled")</f>
        <v>Not Sampled</v>
      </c>
      <c r="K603" s="1">
        <v>601</v>
      </c>
      <c r="L603" s="1" t="str">
        <f>LOOKUP(A603,Sheet2!$D$4:$E$9)</f>
        <v>5-7</v>
      </c>
      <c r="M603" t="str">
        <f>LOOKUP(B603,Sheet2!$G$4:$H$9)</f>
        <v>1-99</v>
      </c>
      <c r="N603" t="str">
        <f>LOOKUP(C603,Sheet2!$J$4:$K$8)</f>
        <v>Unknown</v>
      </c>
      <c r="O603" t="str">
        <f>LOOKUP(D603,Sheet2!$M$4:$N$8)</f>
        <v>Unknown</v>
      </c>
      <c r="P603" t="str">
        <f>LOOKUP(E603,Sheet2!$P$4:$Q$9)</f>
        <v>Unknown</v>
      </c>
      <c r="Q603" t="str">
        <f>LOOKUP(F603,Sheet2!$S$4:$T$8)</f>
        <v>1-25</v>
      </c>
      <c r="R603" t="str">
        <f>LOOKUP(G603,Sheet2!$V$4:$W$7)</f>
        <v>0.0 - 0.249</v>
      </c>
      <c r="S603" t="str">
        <f>LOOKUP(H603,Sheet2!$Z$4:$AA$7)</f>
        <v>26-35</v>
      </c>
      <c r="T603" t="str">
        <f t="shared" si="27"/>
        <v>Negative</v>
      </c>
      <c r="U603" t="str">
        <f t="shared" si="28"/>
        <v>Not Sampled</v>
      </c>
      <c r="V603" s="1" t="str">
        <f t="shared" si="29"/>
        <v>Not Sampled</v>
      </c>
    </row>
    <row r="604" spans="1:22" x14ac:dyDescent="0.25">
      <c r="A604" s="1">
        <v>1</v>
      </c>
      <c r="B604" s="1">
        <v>124</v>
      </c>
      <c r="C604" s="1">
        <v>74</v>
      </c>
      <c r="D604" s="1">
        <v>36</v>
      </c>
      <c r="E604" s="1">
        <v>0</v>
      </c>
      <c r="F604" s="1">
        <v>27.8</v>
      </c>
      <c r="G604" s="1">
        <v>0.1</v>
      </c>
      <c r="H604" s="1">
        <v>30</v>
      </c>
      <c r="I604" s="1">
        <v>0</v>
      </c>
      <c r="J604" s="1">
        <f>IFERROR(VLOOKUP(K604,[1]diabetes_Recognition!$A:$B,2,FALSE),"Not Sampled")</f>
        <v>0</v>
      </c>
      <c r="K604" s="1">
        <v>602</v>
      </c>
      <c r="L604" s="1">
        <f>LOOKUP(A604,Sheet2!$D$4:$E$9)</f>
        <v>1</v>
      </c>
      <c r="M604" t="str">
        <f>LOOKUP(B604,Sheet2!$G$4:$H$9)</f>
        <v>100-125</v>
      </c>
      <c r="N604" t="str">
        <f>LOOKUP(C604,Sheet2!$J$4:$K$8)</f>
        <v>70-79</v>
      </c>
      <c r="O604" t="str">
        <f>LOOKUP(D604,Sheet2!$M$4:$N$8)</f>
        <v>30-39</v>
      </c>
      <c r="P604" t="str">
        <f>LOOKUP(E604,Sheet2!$P$4:$Q$9)</f>
        <v>Unknown</v>
      </c>
      <c r="Q604" t="str">
        <f>LOOKUP(F604,Sheet2!$S$4:$T$8)</f>
        <v>26-30</v>
      </c>
      <c r="R604" t="str">
        <f>LOOKUP(G604,Sheet2!$V$4:$W$7)</f>
        <v>0.0 - 0.249</v>
      </c>
      <c r="S604" t="str">
        <f>LOOKUP(H604,Sheet2!$Z$4:$AA$7)</f>
        <v>26-35</v>
      </c>
      <c r="T604" t="str">
        <f t="shared" si="27"/>
        <v>Negative</v>
      </c>
      <c r="U604" t="str">
        <f t="shared" si="28"/>
        <v>Negative</v>
      </c>
      <c r="V604" s="1" t="str">
        <f t="shared" si="29"/>
        <v>Accurate Prediction</v>
      </c>
    </row>
    <row r="605" spans="1:22" x14ac:dyDescent="0.25">
      <c r="A605" s="1">
        <v>7</v>
      </c>
      <c r="B605" s="1">
        <v>150</v>
      </c>
      <c r="C605" s="1">
        <v>78</v>
      </c>
      <c r="D605" s="1">
        <v>29</v>
      </c>
      <c r="E605" s="1">
        <v>126</v>
      </c>
      <c r="F605" s="1">
        <v>35.200000000000003</v>
      </c>
      <c r="G605" s="1">
        <v>0.69199999999999995</v>
      </c>
      <c r="H605" s="1">
        <v>54</v>
      </c>
      <c r="I605" s="1">
        <v>1</v>
      </c>
      <c r="J605" s="1" t="str">
        <f>IFERROR(VLOOKUP(K605,[1]diabetes_Recognition!$A:$B,2,FALSE),"Not Sampled")</f>
        <v>Not Sampled</v>
      </c>
      <c r="K605" s="1">
        <v>603</v>
      </c>
      <c r="L605" s="1" t="str">
        <f>LOOKUP(A605,Sheet2!$D$4:$E$9)</f>
        <v>5-7</v>
      </c>
      <c r="M605" t="str">
        <f>LOOKUP(B605,Sheet2!$G$4:$H$9)</f>
        <v>126-150</v>
      </c>
      <c r="N605" t="str">
        <f>LOOKUP(C605,Sheet2!$J$4:$K$8)</f>
        <v>70-79</v>
      </c>
      <c r="O605" t="str">
        <f>LOOKUP(D605,Sheet2!$M$4:$N$8)</f>
        <v>10-30</v>
      </c>
      <c r="P605" t="str">
        <f>LOOKUP(E605,Sheet2!$P$4:$Q$9)</f>
        <v>100-199</v>
      </c>
      <c r="Q605" t="str">
        <f>LOOKUP(F605,Sheet2!$S$4:$T$8)</f>
        <v>31-35</v>
      </c>
      <c r="R605" t="str">
        <f>LOOKUP(G605,Sheet2!$V$4:$W$7)</f>
        <v>0.4 - 0.69</v>
      </c>
      <c r="S605" t="str">
        <f>LOOKUP(H605,Sheet2!$Z$4:$AA$7)</f>
        <v>46+</v>
      </c>
      <c r="T605" t="str">
        <f t="shared" si="27"/>
        <v>Positive</v>
      </c>
      <c r="U605" t="str">
        <f t="shared" si="28"/>
        <v>Not Sampled</v>
      </c>
      <c r="V605" s="1" t="str">
        <f t="shared" si="29"/>
        <v>Not Sampled</v>
      </c>
    </row>
    <row r="606" spans="1:22" x14ac:dyDescent="0.25">
      <c r="A606" s="1">
        <v>4</v>
      </c>
      <c r="B606" s="1">
        <v>183</v>
      </c>
      <c r="C606" s="1">
        <v>0</v>
      </c>
      <c r="D606" s="1">
        <v>0</v>
      </c>
      <c r="E606" s="1">
        <v>0</v>
      </c>
      <c r="F606" s="1">
        <v>28.4</v>
      </c>
      <c r="G606" s="1">
        <v>0.21199999999999999</v>
      </c>
      <c r="H606" s="1">
        <v>36</v>
      </c>
      <c r="I606" s="1">
        <v>1</v>
      </c>
      <c r="J606" s="1" t="str">
        <f>IFERROR(VLOOKUP(K606,[1]diabetes_Recognition!$A:$B,2,FALSE),"Not Sampled")</f>
        <v>Not Sampled</v>
      </c>
      <c r="K606" s="1">
        <v>604</v>
      </c>
      <c r="L606" s="1" t="str">
        <f>LOOKUP(A606,Sheet2!$D$4:$E$9)</f>
        <v>3-4</v>
      </c>
      <c r="M606" t="str">
        <f>LOOKUP(B606,Sheet2!$G$4:$H$9)</f>
        <v>176-200</v>
      </c>
      <c r="N606" t="str">
        <f>LOOKUP(C606,Sheet2!$J$4:$K$8)</f>
        <v>Unknown</v>
      </c>
      <c r="O606" t="str">
        <f>LOOKUP(D606,Sheet2!$M$4:$N$8)</f>
        <v>Unknown</v>
      </c>
      <c r="P606" t="str">
        <f>LOOKUP(E606,Sheet2!$P$4:$Q$9)</f>
        <v>Unknown</v>
      </c>
      <c r="Q606" t="str">
        <f>LOOKUP(F606,Sheet2!$S$4:$T$8)</f>
        <v>26-30</v>
      </c>
      <c r="R606" t="str">
        <f>LOOKUP(G606,Sheet2!$V$4:$W$7)</f>
        <v>0.0 - 0.249</v>
      </c>
      <c r="S606" t="str">
        <f>LOOKUP(H606,Sheet2!$Z$4:$AA$7)</f>
        <v>36-45</v>
      </c>
      <c r="T606" t="str">
        <f t="shared" si="27"/>
        <v>Positive</v>
      </c>
      <c r="U606" t="str">
        <f t="shared" si="28"/>
        <v>Not Sampled</v>
      </c>
      <c r="V606" s="1" t="str">
        <f t="shared" si="29"/>
        <v>Not Sampled</v>
      </c>
    </row>
    <row r="607" spans="1:22" x14ac:dyDescent="0.25">
      <c r="A607" s="1">
        <v>1</v>
      </c>
      <c r="B607" s="1">
        <v>124</v>
      </c>
      <c r="C607" s="1">
        <v>60</v>
      </c>
      <c r="D607" s="1">
        <v>32</v>
      </c>
      <c r="E607" s="1">
        <v>0</v>
      </c>
      <c r="F607" s="1">
        <v>35.799999999999997</v>
      </c>
      <c r="G607" s="1">
        <v>0.51400000000000001</v>
      </c>
      <c r="H607" s="1">
        <v>21</v>
      </c>
      <c r="I607" s="1">
        <v>0</v>
      </c>
      <c r="J607" s="1" t="str">
        <f>IFERROR(VLOOKUP(K607,[1]diabetes_Recognition!$A:$B,2,FALSE),"Not Sampled")</f>
        <v>Not Sampled</v>
      </c>
      <c r="K607" s="1">
        <v>605</v>
      </c>
      <c r="L607" s="1">
        <f>LOOKUP(A607,Sheet2!$D$4:$E$9)</f>
        <v>1</v>
      </c>
      <c r="M607" t="str">
        <f>LOOKUP(B607,Sheet2!$G$4:$H$9)</f>
        <v>100-125</v>
      </c>
      <c r="N607" t="str">
        <f>LOOKUP(C607,Sheet2!$J$4:$K$8)</f>
        <v>60-69</v>
      </c>
      <c r="O607" t="str">
        <f>LOOKUP(D607,Sheet2!$M$4:$N$8)</f>
        <v>30-39</v>
      </c>
      <c r="P607" t="str">
        <f>LOOKUP(E607,Sheet2!$P$4:$Q$9)</f>
        <v>Unknown</v>
      </c>
      <c r="Q607" t="str">
        <f>LOOKUP(F607,Sheet2!$S$4:$T$8)</f>
        <v>31-35</v>
      </c>
      <c r="R607" t="str">
        <f>LOOKUP(G607,Sheet2!$V$4:$W$7)</f>
        <v>0.4 - 0.69</v>
      </c>
      <c r="S607" t="str">
        <f>LOOKUP(H607,Sheet2!$Z$4:$AA$7)</f>
        <v>&lt;=25</v>
      </c>
      <c r="T607" t="str">
        <f t="shared" si="27"/>
        <v>Negative</v>
      </c>
      <c r="U607" t="str">
        <f t="shared" si="28"/>
        <v>Not Sampled</v>
      </c>
      <c r="V607" s="1" t="str">
        <f t="shared" si="29"/>
        <v>Not Sampled</v>
      </c>
    </row>
    <row r="608" spans="1:22" x14ac:dyDescent="0.25">
      <c r="A608" s="1">
        <v>1</v>
      </c>
      <c r="B608" s="1">
        <v>181</v>
      </c>
      <c r="C608" s="1">
        <v>78</v>
      </c>
      <c r="D608" s="1">
        <v>42</v>
      </c>
      <c r="E608" s="1">
        <v>293</v>
      </c>
      <c r="F608" s="1">
        <v>40</v>
      </c>
      <c r="G608" s="1">
        <v>1.258</v>
      </c>
      <c r="H608" s="1">
        <v>22</v>
      </c>
      <c r="I608" s="1">
        <v>1</v>
      </c>
      <c r="J608" s="1" t="str">
        <f>IFERROR(VLOOKUP(K608,[1]diabetes_Recognition!$A:$B,2,FALSE),"Not Sampled")</f>
        <v>Not Sampled</v>
      </c>
      <c r="K608" s="1">
        <v>606</v>
      </c>
      <c r="L608" s="1">
        <f>LOOKUP(A608,Sheet2!$D$4:$E$9)</f>
        <v>1</v>
      </c>
      <c r="M608" t="str">
        <f>LOOKUP(B608,Sheet2!$G$4:$H$9)</f>
        <v>176-200</v>
      </c>
      <c r="N608" t="str">
        <f>LOOKUP(C608,Sheet2!$J$4:$K$8)</f>
        <v>70-79</v>
      </c>
      <c r="O608" t="str">
        <f>LOOKUP(D608,Sheet2!$M$4:$N$8)</f>
        <v>40+</v>
      </c>
      <c r="P608" t="str">
        <f>LOOKUP(E608,Sheet2!$P$4:$Q$9)</f>
        <v>200-399</v>
      </c>
      <c r="Q608" t="str">
        <f>LOOKUP(F608,Sheet2!$S$4:$T$8)</f>
        <v>36+</v>
      </c>
      <c r="R608" t="str">
        <f>LOOKUP(G608,Sheet2!$V$4:$W$7)</f>
        <v>0.7+</v>
      </c>
      <c r="S608" t="str">
        <f>LOOKUP(H608,Sheet2!$Z$4:$AA$7)</f>
        <v>&lt;=25</v>
      </c>
      <c r="T608" t="str">
        <f t="shared" si="27"/>
        <v>Positive</v>
      </c>
      <c r="U608" t="str">
        <f t="shared" si="28"/>
        <v>Not Sampled</v>
      </c>
      <c r="V608" s="1" t="str">
        <f t="shared" si="29"/>
        <v>Not Sampled</v>
      </c>
    </row>
    <row r="609" spans="1:22" x14ac:dyDescent="0.25">
      <c r="A609" s="1">
        <v>1</v>
      </c>
      <c r="B609" s="1">
        <v>92</v>
      </c>
      <c r="C609" s="1">
        <v>62</v>
      </c>
      <c r="D609" s="1">
        <v>25</v>
      </c>
      <c r="E609" s="1">
        <v>41</v>
      </c>
      <c r="F609" s="1">
        <v>19.5</v>
      </c>
      <c r="G609" s="1">
        <v>0.48199999999999998</v>
      </c>
      <c r="H609" s="1">
        <v>25</v>
      </c>
      <c r="I609" s="1">
        <v>0</v>
      </c>
      <c r="J609" s="1">
        <f>IFERROR(VLOOKUP(K609,[1]diabetes_Recognition!$A:$B,2,FALSE),"Not Sampled")</f>
        <v>0</v>
      </c>
      <c r="K609" s="1">
        <v>607</v>
      </c>
      <c r="L609" s="1">
        <f>LOOKUP(A609,Sheet2!$D$4:$E$9)</f>
        <v>1</v>
      </c>
      <c r="M609" t="str">
        <f>LOOKUP(B609,Sheet2!$G$4:$H$9)</f>
        <v>1-99</v>
      </c>
      <c r="N609" t="str">
        <f>LOOKUP(C609,Sheet2!$J$4:$K$8)</f>
        <v>60-69</v>
      </c>
      <c r="O609" t="str">
        <f>LOOKUP(D609,Sheet2!$M$4:$N$8)</f>
        <v>10-30</v>
      </c>
      <c r="P609" t="str">
        <f>LOOKUP(E609,Sheet2!$P$4:$Q$9)</f>
        <v>1-99</v>
      </c>
      <c r="Q609" t="str">
        <f>LOOKUP(F609,Sheet2!$S$4:$T$8)</f>
        <v>1-25</v>
      </c>
      <c r="R609" t="str">
        <f>LOOKUP(G609,Sheet2!$V$4:$W$7)</f>
        <v>0.4 - 0.69</v>
      </c>
      <c r="S609" t="str">
        <f>LOOKUP(H609,Sheet2!$Z$4:$AA$7)</f>
        <v>&lt;=25</v>
      </c>
      <c r="T609" t="str">
        <f t="shared" si="27"/>
        <v>Negative</v>
      </c>
      <c r="U609" t="str">
        <f t="shared" si="28"/>
        <v>Negative</v>
      </c>
      <c r="V609" s="1" t="str">
        <f t="shared" si="29"/>
        <v>Accurate Prediction</v>
      </c>
    </row>
    <row r="610" spans="1:22" x14ac:dyDescent="0.25">
      <c r="A610" s="1">
        <v>0</v>
      </c>
      <c r="B610" s="1">
        <v>152</v>
      </c>
      <c r="C610" s="1">
        <v>82</v>
      </c>
      <c r="D610" s="1">
        <v>39</v>
      </c>
      <c r="E610" s="1">
        <v>272</v>
      </c>
      <c r="F610" s="1">
        <v>41.5</v>
      </c>
      <c r="G610" s="1">
        <v>0.27</v>
      </c>
      <c r="H610" s="1">
        <v>27</v>
      </c>
      <c r="I610" s="1">
        <v>0</v>
      </c>
      <c r="J610" s="1">
        <f>IFERROR(VLOOKUP(K610,[1]diabetes_Recognition!$A:$B,2,FALSE),"Not Sampled")</f>
        <v>0</v>
      </c>
      <c r="K610" s="1">
        <v>608</v>
      </c>
      <c r="L610" s="1">
        <f>LOOKUP(A610,Sheet2!$D$4:$E$9)</f>
        <v>0</v>
      </c>
      <c r="M610" t="str">
        <f>LOOKUP(B610,Sheet2!$G$4:$H$9)</f>
        <v>151-175</v>
      </c>
      <c r="N610" t="str">
        <f>LOOKUP(C610,Sheet2!$J$4:$K$8)</f>
        <v>80+</v>
      </c>
      <c r="O610" t="str">
        <f>LOOKUP(D610,Sheet2!$M$4:$N$8)</f>
        <v>30-39</v>
      </c>
      <c r="P610" t="str">
        <f>LOOKUP(E610,Sheet2!$P$4:$Q$9)</f>
        <v>200-399</v>
      </c>
      <c r="Q610" t="str">
        <f>LOOKUP(F610,Sheet2!$S$4:$T$8)</f>
        <v>36+</v>
      </c>
      <c r="R610" t="str">
        <f>LOOKUP(G610,Sheet2!$V$4:$W$7)</f>
        <v>0.25 - 0.39</v>
      </c>
      <c r="S610" t="str">
        <f>LOOKUP(H610,Sheet2!$Z$4:$AA$7)</f>
        <v>26-35</v>
      </c>
      <c r="T610" t="str">
        <f t="shared" si="27"/>
        <v>Negative</v>
      </c>
      <c r="U610" t="str">
        <f t="shared" si="28"/>
        <v>Negative</v>
      </c>
      <c r="V610" s="1" t="str">
        <f t="shared" si="29"/>
        <v>Accurate Prediction</v>
      </c>
    </row>
    <row r="611" spans="1:22" x14ac:dyDescent="0.25">
      <c r="A611" s="1">
        <v>1</v>
      </c>
      <c r="B611" s="1">
        <v>111</v>
      </c>
      <c r="C611" s="1">
        <v>62</v>
      </c>
      <c r="D611" s="1">
        <v>13</v>
      </c>
      <c r="E611" s="1">
        <v>182</v>
      </c>
      <c r="F611" s="1">
        <v>24</v>
      </c>
      <c r="G611" s="1">
        <v>0.13800000000000001</v>
      </c>
      <c r="H611" s="1">
        <v>23</v>
      </c>
      <c r="I611" s="1">
        <v>0</v>
      </c>
      <c r="J611" s="1" t="str">
        <f>IFERROR(VLOOKUP(K611,[1]diabetes_Recognition!$A:$B,2,FALSE),"Not Sampled")</f>
        <v>Not Sampled</v>
      </c>
      <c r="K611" s="1">
        <v>609</v>
      </c>
      <c r="L611" s="1">
        <f>LOOKUP(A611,Sheet2!$D$4:$E$9)</f>
        <v>1</v>
      </c>
      <c r="M611" t="str">
        <f>LOOKUP(B611,Sheet2!$G$4:$H$9)</f>
        <v>100-125</v>
      </c>
      <c r="N611" t="str">
        <f>LOOKUP(C611,Sheet2!$J$4:$K$8)</f>
        <v>60-69</v>
      </c>
      <c r="O611" t="str">
        <f>LOOKUP(D611,Sheet2!$M$4:$N$8)</f>
        <v>10-30</v>
      </c>
      <c r="P611" t="str">
        <f>LOOKUP(E611,Sheet2!$P$4:$Q$9)</f>
        <v>100-199</v>
      </c>
      <c r="Q611" t="str">
        <f>LOOKUP(F611,Sheet2!$S$4:$T$8)</f>
        <v>1-25</v>
      </c>
      <c r="R611" t="str">
        <f>LOOKUP(G611,Sheet2!$V$4:$W$7)</f>
        <v>0.0 - 0.249</v>
      </c>
      <c r="S611" t="str">
        <f>LOOKUP(H611,Sheet2!$Z$4:$AA$7)</f>
        <v>&lt;=25</v>
      </c>
      <c r="T611" t="str">
        <f t="shared" si="27"/>
        <v>Negative</v>
      </c>
      <c r="U611" t="str">
        <f t="shared" si="28"/>
        <v>Not Sampled</v>
      </c>
      <c r="V611" s="1" t="str">
        <f t="shared" si="29"/>
        <v>Not Sampled</v>
      </c>
    </row>
    <row r="612" spans="1:22" x14ac:dyDescent="0.25">
      <c r="A612" s="1">
        <v>3</v>
      </c>
      <c r="B612" s="1">
        <v>106</v>
      </c>
      <c r="C612" s="1">
        <v>54</v>
      </c>
      <c r="D612" s="1">
        <v>21</v>
      </c>
      <c r="E612" s="1">
        <v>158</v>
      </c>
      <c r="F612" s="1">
        <v>30.9</v>
      </c>
      <c r="G612" s="1">
        <v>0.29199999999999998</v>
      </c>
      <c r="H612" s="1">
        <v>24</v>
      </c>
      <c r="I612" s="1">
        <v>0</v>
      </c>
      <c r="J612" s="1" t="str">
        <f>IFERROR(VLOOKUP(K612,[1]diabetes_Recognition!$A:$B,2,FALSE),"Not Sampled")</f>
        <v>Not Sampled</v>
      </c>
      <c r="K612" s="1">
        <v>610</v>
      </c>
      <c r="L612" s="1" t="str">
        <f>LOOKUP(A612,Sheet2!$D$4:$E$9)</f>
        <v>3-4</v>
      </c>
      <c r="M612" t="str">
        <f>LOOKUP(B612,Sheet2!$G$4:$H$9)</f>
        <v>100-125</v>
      </c>
      <c r="N612" t="str">
        <f>LOOKUP(C612,Sheet2!$J$4:$K$8)</f>
        <v>1-59</v>
      </c>
      <c r="O612" t="str">
        <f>LOOKUP(D612,Sheet2!$M$4:$N$8)</f>
        <v>10-30</v>
      </c>
      <c r="P612" t="str">
        <f>LOOKUP(E612,Sheet2!$P$4:$Q$9)</f>
        <v>100-199</v>
      </c>
      <c r="Q612" t="str">
        <f>LOOKUP(F612,Sheet2!$S$4:$T$8)</f>
        <v>26-30</v>
      </c>
      <c r="R612" t="str">
        <f>LOOKUP(G612,Sheet2!$V$4:$W$7)</f>
        <v>0.25 - 0.39</v>
      </c>
      <c r="S612" t="str">
        <f>LOOKUP(H612,Sheet2!$Z$4:$AA$7)</f>
        <v>&lt;=25</v>
      </c>
      <c r="T612" t="str">
        <f t="shared" si="27"/>
        <v>Negative</v>
      </c>
      <c r="U612" t="str">
        <f t="shared" si="28"/>
        <v>Not Sampled</v>
      </c>
      <c r="V612" s="1" t="str">
        <f t="shared" si="29"/>
        <v>Not Sampled</v>
      </c>
    </row>
    <row r="613" spans="1:22" x14ac:dyDescent="0.25">
      <c r="A613" s="1">
        <v>3</v>
      </c>
      <c r="B613" s="1">
        <v>174</v>
      </c>
      <c r="C613" s="1">
        <v>58</v>
      </c>
      <c r="D613" s="1">
        <v>22</v>
      </c>
      <c r="E613" s="1">
        <v>194</v>
      </c>
      <c r="F613" s="1">
        <v>32.9</v>
      </c>
      <c r="G613" s="1">
        <v>0.59299999999999997</v>
      </c>
      <c r="H613" s="1">
        <v>36</v>
      </c>
      <c r="I613" s="1">
        <v>1</v>
      </c>
      <c r="J613" s="1" t="str">
        <f>IFERROR(VLOOKUP(K613,[1]diabetes_Recognition!$A:$B,2,FALSE),"Not Sampled")</f>
        <v>Not Sampled</v>
      </c>
      <c r="K613" s="1">
        <v>611</v>
      </c>
      <c r="L613" s="1" t="str">
        <f>LOOKUP(A613,Sheet2!$D$4:$E$9)</f>
        <v>3-4</v>
      </c>
      <c r="M613" t="str">
        <f>LOOKUP(B613,Sheet2!$G$4:$H$9)</f>
        <v>151-175</v>
      </c>
      <c r="N613" t="str">
        <f>LOOKUP(C613,Sheet2!$J$4:$K$8)</f>
        <v>1-59</v>
      </c>
      <c r="O613" t="str">
        <f>LOOKUP(D613,Sheet2!$M$4:$N$8)</f>
        <v>10-30</v>
      </c>
      <c r="P613" t="str">
        <f>LOOKUP(E613,Sheet2!$P$4:$Q$9)</f>
        <v>100-199</v>
      </c>
      <c r="Q613" t="str">
        <f>LOOKUP(F613,Sheet2!$S$4:$T$8)</f>
        <v>31-35</v>
      </c>
      <c r="R613" t="str">
        <f>LOOKUP(G613,Sheet2!$V$4:$W$7)</f>
        <v>0.4 - 0.69</v>
      </c>
      <c r="S613" t="str">
        <f>LOOKUP(H613,Sheet2!$Z$4:$AA$7)</f>
        <v>36-45</v>
      </c>
      <c r="T613" t="str">
        <f t="shared" si="27"/>
        <v>Positive</v>
      </c>
      <c r="U613" t="str">
        <f t="shared" si="28"/>
        <v>Not Sampled</v>
      </c>
      <c r="V613" s="1" t="str">
        <f t="shared" si="29"/>
        <v>Not Sampled</v>
      </c>
    </row>
    <row r="614" spans="1:22" x14ac:dyDescent="0.25">
      <c r="A614" s="1">
        <v>7</v>
      </c>
      <c r="B614" s="1">
        <v>168</v>
      </c>
      <c r="C614" s="1">
        <v>88</v>
      </c>
      <c r="D614" s="1">
        <v>42</v>
      </c>
      <c r="E614" s="1">
        <v>321</v>
      </c>
      <c r="F614" s="1">
        <v>38.200000000000003</v>
      </c>
      <c r="G614" s="1">
        <v>0.78700000000000003</v>
      </c>
      <c r="H614" s="1">
        <v>40</v>
      </c>
      <c r="I614" s="1">
        <v>1</v>
      </c>
      <c r="J614" s="1">
        <f>IFERROR(VLOOKUP(K614,[1]diabetes_Recognition!$A:$B,2,FALSE),"Not Sampled")</f>
        <v>1</v>
      </c>
      <c r="K614" s="1">
        <v>612</v>
      </c>
      <c r="L614" s="1" t="str">
        <f>LOOKUP(A614,Sheet2!$D$4:$E$9)</f>
        <v>5-7</v>
      </c>
      <c r="M614" t="str">
        <f>LOOKUP(B614,Sheet2!$G$4:$H$9)</f>
        <v>151-175</v>
      </c>
      <c r="N614" t="str">
        <f>LOOKUP(C614,Sheet2!$J$4:$K$8)</f>
        <v>80+</v>
      </c>
      <c r="O614" t="str">
        <f>LOOKUP(D614,Sheet2!$M$4:$N$8)</f>
        <v>40+</v>
      </c>
      <c r="P614" t="str">
        <f>LOOKUP(E614,Sheet2!$P$4:$Q$9)</f>
        <v>300-499</v>
      </c>
      <c r="Q614" t="str">
        <f>LOOKUP(F614,Sheet2!$S$4:$T$8)</f>
        <v>36+</v>
      </c>
      <c r="R614" t="str">
        <f>LOOKUP(G614,Sheet2!$V$4:$W$7)</f>
        <v>0.7+</v>
      </c>
      <c r="S614" t="str">
        <f>LOOKUP(H614,Sheet2!$Z$4:$AA$7)</f>
        <v>36-45</v>
      </c>
      <c r="T614" t="str">
        <f t="shared" si="27"/>
        <v>Positive</v>
      </c>
      <c r="U614" t="str">
        <f t="shared" si="28"/>
        <v>Positive</v>
      </c>
      <c r="V614" s="1" t="str">
        <f t="shared" si="29"/>
        <v>Accurate Prediction</v>
      </c>
    </row>
    <row r="615" spans="1:22" x14ac:dyDescent="0.25">
      <c r="A615" s="1">
        <v>6</v>
      </c>
      <c r="B615" s="1">
        <v>105</v>
      </c>
      <c r="C615" s="1">
        <v>80</v>
      </c>
      <c r="D615" s="1">
        <v>28</v>
      </c>
      <c r="E615" s="1">
        <v>0</v>
      </c>
      <c r="F615" s="1">
        <v>32.5</v>
      </c>
      <c r="G615" s="1">
        <v>0.878</v>
      </c>
      <c r="H615" s="1">
        <v>26</v>
      </c>
      <c r="I615" s="1">
        <v>0</v>
      </c>
      <c r="J615" s="1">
        <f>IFERROR(VLOOKUP(K615,[1]diabetes_Recognition!$A:$B,2,FALSE),"Not Sampled")</f>
        <v>0</v>
      </c>
      <c r="K615" s="1">
        <v>613</v>
      </c>
      <c r="L615" s="1" t="str">
        <f>LOOKUP(A615,Sheet2!$D$4:$E$9)</f>
        <v>5-7</v>
      </c>
      <c r="M615" t="str">
        <f>LOOKUP(B615,Sheet2!$G$4:$H$9)</f>
        <v>100-125</v>
      </c>
      <c r="N615" t="str">
        <f>LOOKUP(C615,Sheet2!$J$4:$K$8)</f>
        <v>80+</v>
      </c>
      <c r="O615" t="str">
        <f>LOOKUP(D615,Sheet2!$M$4:$N$8)</f>
        <v>10-30</v>
      </c>
      <c r="P615" t="str">
        <f>LOOKUP(E615,Sheet2!$P$4:$Q$9)</f>
        <v>Unknown</v>
      </c>
      <c r="Q615" t="str">
        <f>LOOKUP(F615,Sheet2!$S$4:$T$8)</f>
        <v>31-35</v>
      </c>
      <c r="R615" t="str">
        <f>LOOKUP(G615,Sheet2!$V$4:$W$7)</f>
        <v>0.7+</v>
      </c>
      <c r="S615" t="str">
        <f>LOOKUP(H615,Sheet2!$Z$4:$AA$7)</f>
        <v>26-35</v>
      </c>
      <c r="T615" t="str">
        <f t="shared" si="27"/>
        <v>Negative</v>
      </c>
      <c r="U615" t="str">
        <f t="shared" si="28"/>
        <v>Negative</v>
      </c>
      <c r="V615" s="1" t="str">
        <f t="shared" si="29"/>
        <v>Accurate Prediction</v>
      </c>
    </row>
    <row r="616" spans="1:22" x14ac:dyDescent="0.25">
      <c r="A616" s="1">
        <v>11</v>
      </c>
      <c r="B616" s="1">
        <v>138</v>
      </c>
      <c r="C616" s="1">
        <v>74</v>
      </c>
      <c r="D616" s="1">
        <v>26</v>
      </c>
      <c r="E616" s="1">
        <v>144</v>
      </c>
      <c r="F616" s="1">
        <v>36.1</v>
      </c>
      <c r="G616" s="1">
        <v>0.55700000000000005</v>
      </c>
      <c r="H616" s="1">
        <v>50</v>
      </c>
      <c r="I616" s="1">
        <v>1</v>
      </c>
      <c r="J616" s="1">
        <f>IFERROR(VLOOKUP(K616,[1]diabetes_Recognition!$A:$B,2,FALSE),"Not Sampled")</f>
        <v>1</v>
      </c>
      <c r="K616" s="1">
        <v>614</v>
      </c>
      <c r="L616" s="1" t="str">
        <f>LOOKUP(A616,Sheet2!$D$4:$E$9)</f>
        <v>8+</v>
      </c>
      <c r="M616" t="str">
        <f>LOOKUP(B616,Sheet2!$G$4:$H$9)</f>
        <v>126-150</v>
      </c>
      <c r="N616" t="str">
        <f>LOOKUP(C616,Sheet2!$J$4:$K$8)</f>
        <v>70-79</v>
      </c>
      <c r="O616" t="str">
        <f>LOOKUP(D616,Sheet2!$M$4:$N$8)</f>
        <v>10-30</v>
      </c>
      <c r="P616" t="str">
        <f>LOOKUP(E616,Sheet2!$P$4:$Q$9)</f>
        <v>100-199</v>
      </c>
      <c r="Q616" t="str">
        <f>LOOKUP(F616,Sheet2!$S$4:$T$8)</f>
        <v>36+</v>
      </c>
      <c r="R616" t="str">
        <f>LOOKUP(G616,Sheet2!$V$4:$W$7)</f>
        <v>0.4 - 0.69</v>
      </c>
      <c r="S616" t="str">
        <f>LOOKUP(H616,Sheet2!$Z$4:$AA$7)</f>
        <v>46+</v>
      </c>
      <c r="T616" t="str">
        <f t="shared" si="27"/>
        <v>Positive</v>
      </c>
      <c r="U616" t="str">
        <f t="shared" si="28"/>
        <v>Positive</v>
      </c>
      <c r="V616" s="1" t="str">
        <f t="shared" si="29"/>
        <v>Accurate Prediction</v>
      </c>
    </row>
    <row r="617" spans="1:22" x14ac:dyDescent="0.25">
      <c r="A617" s="1">
        <v>3</v>
      </c>
      <c r="B617" s="1">
        <v>106</v>
      </c>
      <c r="C617" s="1">
        <v>72</v>
      </c>
      <c r="D617" s="1">
        <v>0</v>
      </c>
      <c r="E617" s="1">
        <v>0</v>
      </c>
      <c r="F617" s="1">
        <v>25.8</v>
      </c>
      <c r="G617" s="1">
        <v>0.20699999999999999</v>
      </c>
      <c r="H617" s="1">
        <v>27</v>
      </c>
      <c r="I617" s="1">
        <v>0</v>
      </c>
      <c r="J617" s="1" t="str">
        <f>IFERROR(VLOOKUP(K617,[1]diabetes_Recognition!$A:$B,2,FALSE),"Not Sampled")</f>
        <v>Not Sampled</v>
      </c>
      <c r="K617" s="1">
        <v>615</v>
      </c>
      <c r="L617" s="1" t="str">
        <f>LOOKUP(A617,Sheet2!$D$4:$E$9)</f>
        <v>3-4</v>
      </c>
      <c r="M617" t="str">
        <f>LOOKUP(B617,Sheet2!$G$4:$H$9)</f>
        <v>100-125</v>
      </c>
      <c r="N617" t="str">
        <f>LOOKUP(C617,Sheet2!$J$4:$K$8)</f>
        <v>70-79</v>
      </c>
      <c r="O617" t="str">
        <f>LOOKUP(D617,Sheet2!$M$4:$N$8)</f>
        <v>Unknown</v>
      </c>
      <c r="P617" t="str">
        <f>LOOKUP(E617,Sheet2!$P$4:$Q$9)</f>
        <v>Unknown</v>
      </c>
      <c r="Q617" t="str">
        <f>LOOKUP(F617,Sheet2!$S$4:$T$8)</f>
        <v>1-25</v>
      </c>
      <c r="R617" t="str">
        <f>LOOKUP(G617,Sheet2!$V$4:$W$7)</f>
        <v>0.0 - 0.249</v>
      </c>
      <c r="S617" t="str">
        <f>LOOKUP(H617,Sheet2!$Z$4:$AA$7)</f>
        <v>26-35</v>
      </c>
      <c r="T617" t="str">
        <f t="shared" si="27"/>
        <v>Negative</v>
      </c>
      <c r="U617" t="str">
        <f t="shared" si="28"/>
        <v>Not Sampled</v>
      </c>
      <c r="V617" s="1" t="str">
        <f t="shared" si="29"/>
        <v>Not Sampled</v>
      </c>
    </row>
    <row r="618" spans="1:22" x14ac:dyDescent="0.25">
      <c r="A618" s="1">
        <v>6</v>
      </c>
      <c r="B618" s="1">
        <v>117</v>
      </c>
      <c r="C618" s="1">
        <v>96</v>
      </c>
      <c r="D618" s="1">
        <v>0</v>
      </c>
      <c r="E618" s="1">
        <v>0</v>
      </c>
      <c r="F618" s="1">
        <v>28.7</v>
      </c>
      <c r="G618" s="1">
        <v>0.157</v>
      </c>
      <c r="H618" s="1">
        <v>30</v>
      </c>
      <c r="I618" s="1">
        <v>0</v>
      </c>
      <c r="J618" s="1" t="str">
        <f>IFERROR(VLOOKUP(K618,[1]diabetes_Recognition!$A:$B,2,FALSE),"Not Sampled")</f>
        <v>Not Sampled</v>
      </c>
      <c r="K618" s="1">
        <v>616</v>
      </c>
      <c r="L618" s="1" t="str">
        <f>LOOKUP(A618,Sheet2!$D$4:$E$9)</f>
        <v>5-7</v>
      </c>
      <c r="M618" t="str">
        <f>LOOKUP(B618,Sheet2!$G$4:$H$9)</f>
        <v>100-125</v>
      </c>
      <c r="N618" t="str">
        <f>LOOKUP(C618,Sheet2!$J$4:$K$8)</f>
        <v>80+</v>
      </c>
      <c r="O618" t="str">
        <f>LOOKUP(D618,Sheet2!$M$4:$N$8)</f>
        <v>Unknown</v>
      </c>
      <c r="P618" t="str">
        <f>LOOKUP(E618,Sheet2!$P$4:$Q$9)</f>
        <v>Unknown</v>
      </c>
      <c r="Q618" t="str">
        <f>LOOKUP(F618,Sheet2!$S$4:$T$8)</f>
        <v>26-30</v>
      </c>
      <c r="R618" t="str">
        <f>LOOKUP(G618,Sheet2!$V$4:$W$7)</f>
        <v>0.0 - 0.249</v>
      </c>
      <c r="S618" t="str">
        <f>LOOKUP(H618,Sheet2!$Z$4:$AA$7)</f>
        <v>26-35</v>
      </c>
      <c r="T618" t="str">
        <f t="shared" si="27"/>
        <v>Negative</v>
      </c>
      <c r="U618" t="str">
        <f t="shared" si="28"/>
        <v>Not Sampled</v>
      </c>
      <c r="V618" s="1" t="str">
        <f t="shared" si="29"/>
        <v>Not Sampled</v>
      </c>
    </row>
    <row r="619" spans="1:22" x14ac:dyDescent="0.25">
      <c r="A619" s="1">
        <v>2</v>
      </c>
      <c r="B619" s="1">
        <v>68</v>
      </c>
      <c r="C619" s="1">
        <v>62</v>
      </c>
      <c r="D619" s="1">
        <v>13</v>
      </c>
      <c r="E619" s="1">
        <v>15</v>
      </c>
      <c r="F619" s="1">
        <v>20.100000000000001</v>
      </c>
      <c r="G619" s="1">
        <v>0.25700000000000001</v>
      </c>
      <c r="H619" s="1">
        <v>23</v>
      </c>
      <c r="I619" s="1">
        <v>0</v>
      </c>
      <c r="J619" s="1" t="str">
        <f>IFERROR(VLOOKUP(K619,[1]diabetes_Recognition!$A:$B,2,FALSE),"Not Sampled")</f>
        <v>Not Sampled</v>
      </c>
      <c r="K619" s="1">
        <v>617</v>
      </c>
      <c r="L619" s="1">
        <f>LOOKUP(A619,Sheet2!$D$4:$E$9)</f>
        <v>2</v>
      </c>
      <c r="M619" t="str">
        <f>LOOKUP(B619,Sheet2!$G$4:$H$9)</f>
        <v>1-99</v>
      </c>
      <c r="N619" t="str">
        <f>LOOKUP(C619,Sheet2!$J$4:$K$8)</f>
        <v>60-69</v>
      </c>
      <c r="O619" t="str">
        <f>LOOKUP(D619,Sheet2!$M$4:$N$8)</f>
        <v>10-30</v>
      </c>
      <c r="P619" t="str">
        <f>LOOKUP(E619,Sheet2!$P$4:$Q$9)</f>
        <v>1-99</v>
      </c>
      <c r="Q619" t="str">
        <f>LOOKUP(F619,Sheet2!$S$4:$T$8)</f>
        <v>1-25</v>
      </c>
      <c r="R619" t="str">
        <f>LOOKUP(G619,Sheet2!$V$4:$W$7)</f>
        <v>0.25 - 0.39</v>
      </c>
      <c r="S619" t="str">
        <f>LOOKUP(H619,Sheet2!$Z$4:$AA$7)</f>
        <v>&lt;=25</v>
      </c>
      <c r="T619" t="str">
        <f t="shared" si="27"/>
        <v>Negative</v>
      </c>
      <c r="U619" t="str">
        <f t="shared" si="28"/>
        <v>Not Sampled</v>
      </c>
      <c r="V619" s="1" t="str">
        <f t="shared" si="29"/>
        <v>Not Sampled</v>
      </c>
    </row>
    <row r="620" spans="1:22" x14ac:dyDescent="0.25">
      <c r="A620" s="1">
        <v>9</v>
      </c>
      <c r="B620" s="1">
        <v>112</v>
      </c>
      <c r="C620" s="1">
        <v>82</v>
      </c>
      <c r="D620" s="1">
        <v>24</v>
      </c>
      <c r="E620" s="1">
        <v>0</v>
      </c>
      <c r="F620" s="1">
        <v>28.2</v>
      </c>
      <c r="G620" s="1">
        <v>1.282</v>
      </c>
      <c r="H620" s="1">
        <v>50</v>
      </c>
      <c r="I620" s="1">
        <v>1</v>
      </c>
      <c r="J620" s="1" t="str">
        <f>IFERROR(VLOOKUP(K620,[1]diabetes_Recognition!$A:$B,2,FALSE),"Not Sampled")</f>
        <v>Not Sampled</v>
      </c>
      <c r="K620" s="1">
        <v>618</v>
      </c>
      <c r="L620" s="1" t="str">
        <f>LOOKUP(A620,Sheet2!$D$4:$E$9)</f>
        <v>8+</v>
      </c>
      <c r="M620" t="str">
        <f>LOOKUP(B620,Sheet2!$G$4:$H$9)</f>
        <v>100-125</v>
      </c>
      <c r="N620" t="str">
        <f>LOOKUP(C620,Sheet2!$J$4:$K$8)</f>
        <v>80+</v>
      </c>
      <c r="O620" t="str">
        <f>LOOKUP(D620,Sheet2!$M$4:$N$8)</f>
        <v>10-30</v>
      </c>
      <c r="P620" t="str">
        <f>LOOKUP(E620,Sheet2!$P$4:$Q$9)</f>
        <v>Unknown</v>
      </c>
      <c r="Q620" t="str">
        <f>LOOKUP(F620,Sheet2!$S$4:$T$8)</f>
        <v>26-30</v>
      </c>
      <c r="R620" t="str">
        <f>LOOKUP(G620,Sheet2!$V$4:$W$7)</f>
        <v>0.7+</v>
      </c>
      <c r="S620" t="str">
        <f>LOOKUP(H620,Sheet2!$Z$4:$AA$7)</f>
        <v>46+</v>
      </c>
      <c r="T620" t="str">
        <f t="shared" si="27"/>
        <v>Positive</v>
      </c>
      <c r="U620" t="str">
        <f t="shared" si="28"/>
        <v>Not Sampled</v>
      </c>
      <c r="V620" s="1" t="str">
        <f t="shared" si="29"/>
        <v>Not Sampled</v>
      </c>
    </row>
    <row r="621" spans="1:22" x14ac:dyDescent="0.25">
      <c r="A621" s="1">
        <v>0</v>
      </c>
      <c r="B621" s="1">
        <v>119</v>
      </c>
      <c r="C621" s="1">
        <v>0</v>
      </c>
      <c r="D621" s="1">
        <v>0</v>
      </c>
      <c r="E621" s="1">
        <v>0</v>
      </c>
      <c r="F621" s="1">
        <v>32.4</v>
      </c>
      <c r="G621" s="1">
        <v>0.14099999999999999</v>
      </c>
      <c r="H621" s="1">
        <v>24</v>
      </c>
      <c r="I621" s="1">
        <v>1</v>
      </c>
      <c r="J621" s="1">
        <f>IFERROR(VLOOKUP(K621,[1]diabetes_Recognition!$A:$B,2,FALSE),"Not Sampled")</f>
        <v>0</v>
      </c>
      <c r="K621" s="1">
        <v>619</v>
      </c>
      <c r="L621" s="1">
        <f>LOOKUP(A621,Sheet2!$D$4:$E$9)</f>
        <v>0</v>
      </c>
      <c r="M621" t="str">
        <f>LOOKUP(B621,Sheet2!$G$4:$H$9)</f>
        <v>100-125</v>
      </c>
      <c r="N621" t="str">
        <f>LOOKUP(C621,Sheet2!$J$4:$K$8)</f>
        <v>Unknown</v>
      </c>
      <c r="O621" t="str">
        <f>LOOKUP(D621,Sheet2!$M$4:$N$8)</f>
        <v>Unknown</v>
      </c>
      <c r="P621" t="str">
        <f>LOOKUP(E621,Sheet2!$P$4:$Q$9)</f>
        <v>Unknown</v>
      </c>
      <c r="Q621" t="str">
        <f>LOOKUP(F621,Sheet2!$S$4:$T$8)</f>
        <v>31-35</v>
      </c>
      <c r="R621" t="str">
        <f>LOOKUP(G621,Sheet2!$V$4:$W$7)</f>
        <v>0.0 - 0.249</v>
      </c>
      <c r="S621" t="str">
        <f>LOOKUP(H621,Sheet2!$Z$4:$AA$7)</f>
        <v>&lt;=25</v>
      </c>
      <c r="T621" t="str">
        <f t="shared" si="27"/>
        <v>Positive</v>
      </c>
      <c r="U621" t="str">
        <f t="shared" si="28"/>
        <v>Negative</v>
      </c>
      <c r="V621" s="1" t="str">
        <f t="shared" si="29"/>
        <v>Inaccurate Prediction</v>
      </c>
    </row>
    <row r="622" spans="1:22" x14ac:dyDescent="0.25">
      <c r="A622" s="1">
        <v>2</v>
      </c>
      <c r="B622" s="1">
        <v>112</v>
      </c>
      <c r="C622" s="1">
        <v>86</v>
      </c>
      <c r="D622" s="1">
        <v>42</v>
      </c>
      <c r="E622" s="1">
        <v>160</v>
      </c>
      <c r="F622" s="1">
        <v>38.4</v>
      </c>
      <c r="G622" s="1">
        <v>0.246</v>
      </c>
      <c r="H622" s="1">
        <v>28</v>
      </c>
      <c r="I622" s="1">
        <v>0</v>
      </c>
      <c r="J622" s="1">
        <f>IFERROR(VLOOKUP(K622,[1]diabetes_Recognition!$A:$B,2,FALSE),"Not Sampled")</f>
        <v>0</v>
      </c>
      <c r="K622" s="1">
        <v>620</v>
      </c>
      <c r="L622" s="1">
        <f>LOOKUP(A622,Sheet2!$D$4:$E$9)</f>
        <v>2</v>
      </c>
      <c r="M622" t="str">
        <f>LOOKUP(B622,Sheet2!$G$4:$H$9)</f>
        <v>100-125</v>
      </c>
      <c r="N622" t="str">
        <f>LOOKUP(C622,Sheet2!$J$4:$K$8)</f>
        <v>80+</v>
      </c>
      <c r="O622" t="str">
        <f>LOOKUP(D622,Sheet2!$M$4:$N$8)</f>
        <v>40+</v>
      </c>
      <c r="P622" t="str">
        <f>LOOKUP(E622,Sheet2!$P$4:$Q$9)</f>
        <v>100-199</v>
      </c>
      <c r="Q622" t="str">
        <f>LOOKUP(F622,Sheet2!$S$4:$T$8)</f>
        <v>36+</v>
      </c>
      <c r="R622" t="str">
        <f>LOOKUP(G622,Sheet2!$V$4:$W$7)</f>
        <v>0.0 - 0.249</v>
      </c>
      <c r="S622" t="str">
        <f>LOOKUP(H622,Sheet2!$Z$4:$AA$7)</f>
        <v>26-35</v>
      </c>
      <c r="T622" t="str">
        <f t="shared" si="27"/>
        <v>Negative</v>
      </c>
      <c r="U622" t="str">
        <f t="shared" si="28"/>
        <v>Negative</v>
      </c>
      <c r="V622" s="1" t="str">
        <f t="shared" si="29"/>
        <v>Accurate Prediction</v>
      </c>
    </row>
    <row r="623" spans="1:22" x14ac:dyDescent="0.25">
      <c r="A623" s="1">
        <v>2</v>
      </c>
      <c r="B623" s="1">
        <v>92</v>
      </c>
      <c r="C623" s="1">
        <v>76</v>
      </c>
      <c r="D623" s="1">
        <v>20</v>
      </c>
      <c r="E623" s="1">
        <v>0</v>
      </c>
      <c r="F623" s="1">
        <v>24.2</v>
      </c>
      <c r="G623" s="1">
        <v>1.698</v>
      </c>
      <c r="H623" s="1">
        <v>28</v>
      </c>
      <c r="I623" s="1">
        <v>0</v>
      </c>
      <c r="J623" s="1" t="str">
        <f>IFERROR(VLOOKUP(K623,[1]diabetes_Recognition!$A:$B,2,FALSE),"Not Sampled")</f>
        <v>Not Sampled</v>
      </c>
      <c r="K623" s="1">
        <v>621</v>
      </c>
      <c r="L623" s="1">
        <f>LOOKUP(A623,Sheet2!$D$4:$E$9)</f>
        <v>2</v>
      </c>
      <c r="M623" t="str">
        <f>LOOKUP(B623,Sheet2!$G$4:$H$9)</f>
        <v>1-99</v>
      </c>
      <c r="N623" t="str">
        <f>LOOKUP(C623,Sheet2!$J$4:$K$8)</f>
        <v>70-79</v>
      </c>
      <c r="O623" t="str">
        <f>LOOKUP(D623,Sheet2!$M$4:$N$8)</f>
        <v>10-30</v>
      </c>
      <c r="P623" t="str">
        <f>LOOKUP(E623,Sheet2!$P$4:$Q$9)</f>
        <v>Unknown</v>
      </c>
      <c r="Q623" t="str">
        <f>LOOKUP(F623,Sheet2!$S$4:$T$8)</f>
        <v>1-25</v>
      </c>
      <c r="R623" t="str">
        <f>LOOKUP(G623,Sheet2!$V$4:$W$7)</f>
        <v>0.7+</v>
      </c>
      <c r="S623" t="str">
        <f>LOOKUP(H623,Sheet2!$Z$4:$AA$7)</f>
        <v>26-35</v>
      </c>
      <c r="T623" t="str">
        <f t="shared" si="27"/>
        <v>Negative</v>
      </c>
      <c r="U623" t="str">
        <f t="shared" si="28"/>
        <v>Not Sampled</v>
      </c>
      <c r="V623" s="1" t="str">
        <f t="shared" si="29"/>
        <v>Not Sampled</v>
      </c>
    </row>
    <row r="624" spans="1:22" x14ac:dyDescent="0.25">
      <c r="A624" s="1">
        <v>6</v>
      </c>
      <c r="B624" s="1">
        <v>183</v>
      </c>
      <c r="C624" s="1">
        <v>94</v>
      </c>
      <c r="D624" s="1">
        <v>0</v>
      </c>
      <c r="E624" s="1">
        <v>0</v>
      </c>
      <c r="F624" s="1">
        <v>40.799999999999997</v>
      </c>
      <c r="G624" s="1">
        <v>1.4610000000000001</v>
      </c>
      <c r="H624" s="1">
        <v>45</v>
      </c>
      <c r="I624" s="1">
        <v>0</v>
      </c>
      <c r="J624" s="1">
        <f>IFERROR(VLOOKUP(K624,[1]diabetes_Recognition!$A:$B,2,FALSE),"Not Sampled")</f>
        <v>1</v>
      </c>
      <c r="K624" s="1">
        <v>622</v>
      </c>
      <c r="L624" s="1" t="str">
        <f>LOOKUP(A624,Sheet2!$D$4:$E$9)</f>
        <v>5-7</v>
      </c>
      <c r="M624" t="str">
        <f>LOOKUP(B624,Sheet2!$G$4:$H$9)</f>
        <v>176-200</v>
      </c>
      <c r="N624" t="str">
        <f>LOOKUP(C624,Sheet2!$J$4:$K$8)</f>
        <v>80+</v>
      </c>
      <c r="O624" t="str">
        <f>LOOKUP(D624,Sheet2!$M$4:$N$8)</f>
        <v>Unknown</v>
      </c>
      <c r="P624" t="str">
        <f>LOOKUP(E624,Sheet2!$P$4:$Q$9)</f>
        <v>Unknown</v>
      </c>
      <c r="Q624" t="str">
        <f>LOOKUP(F624,Sheet2!$S$4:$T$8)</f>
        <v>36+</v>
      </c>
      <c r="R624" t="str">
        <f>LOOKUP(G624,Sheet2!$V$4:$W$7)</f>
        <v>0.7+</v>
      </c>
      <c r="S624" t="str">
        <f>LOOKUP(H624,Sheet2!$Z$4:$AA$7)</f>
        <v>36-45</v>
      </c>
      <c r="T624" t="str">
        <f t="shared" si="27"/>
        <v>Negative</v>
      </c>
      <c r="U624" t="str">
        <f t="shared" si="28"/>
        <v>Positive</v>
      </c>
      <c r="V624" s="1" t="str">
        <f t="shared" si="29"/>
        <v>Inaccurate Prediction</v>
      </c>
    </row>
    <row r="625" spans="1:22" x14ac:dyDescent="0.25">
      <c r="A625" s="1">
        <v>0</v>
      </c>
      <c r="B625" s="1">
        <v>94</v>
      </c>
      <c r="C625" s="1">
        <v>70</v>
      </c>
      <c r="D625" s="1">
        <v>27</v>
      </c>
      <c r="E625" s="1">
        <v>115</v>
      </c>
      <c r="F625" s="1">
        <v>43.5</v>
      </c>
      <c r="G625" s="1">
        <v>0.34699999999999998</v>
      </c>
      <c r="H625" s="1">
        <v>21</v>
      </c>
      <c r="I625" s="1">
        <v>0</v>
      </c>
      <c r="J625" s="1">
        <f>IFERROR(VLOOKUP(K625,[1]diabetes_Recognition!$A:$B,2,FALSE),"Not Sampled")</f>
        <v>0</v>
      </c>
      <c r="K625" s="1">
        <v>623</v>
      </c>
      <c r="L625" s="1">
        <f>LOOKUP(A625,Sheet2!$D$4:$E$9)</f>
        <v>0</v>
      </c>
      <c r="M625" t="str">
        <f>LOOKUP(B625,Sheet2!$G$4:$H$9)</f>
        <v>1-99</v>
      </c>
      <c r="N625" t="str">
        <f>LOOKUP(C625,Sheet2!$J$4:$K$8)</f>
        <v>70-79</v>
      </c>
      <c r="O625" t="str">
        <f>LOOKUP(D625,Sheet2!$M$4:$N$8)</f>
        <v>10-30</v>
      </c>
      <c r="P625" t="str">
        <f>LOOKUP(E625,Sheet2!$P$4:$Q$9)</f>
        <v>100-199</v>
      </c>
      <c r="Q625" t="str">
        <f>LOOKUP(F625,Sheet2!$S$4:$T$8)</f>
        <v>36+</v>
      </c>
      <c r="R625" t="str">
        <f>LOOKUP(G625,Sheet2!$V$4:$W$7)</f>
        <v>0.25 - 0.39</v>
      </c>
      <c r="S625" t="str">
        <f>LOOKUP(H625,Sheet2!$Z$4:$AA$7)</f>
        <v>&lt;=25</v>
      </c>
      <c r="T625" t="str">
        <f t="shared" si="27"/>
        <v>Negative</v>
      </c>
      <c r="U625" t="str">
        <f t="shared" si="28"/>
        <v>Negative</v>
      </c>
      <c r="V625" s="1" t="str">
        <f t="shared" si="29"/>
        <v>Accurate Prediction</v>
      </c>
    </row>
    <row r="626" spans="1:22" x14ac:dyDescent="0.25">
      <c r="A626" s="1">
        <v>2</v>
      </c>
      <c r="B626" s="1">
        <v>108</v>
      </c>
      <c r="C626" s="1">
        <v>64</v>
      </c>
      <c r="D626" s="1">
        <v>0</v>
      </c>
      <c r="E626" s="1">
        <v>0</v>
      </c>
      <c r="F626" s="1">
        <v>30.8</v>
      </c>
      <c r="G626" s="1">
        <v>0.158</v>
      </c>
      <c r="H626" s="1">
        <v>21</v>
      </c>
      <c r="I626" s="1">
        <v>0</v>
      </c>
      <c r="J626" s="1" t="str">
        <f>IFERROR(VLOOKUP(K626,[1]diabetes_Recognition!$A:$B,2,FALSE),"Not Sampled")</f>
        <v>Not Sampled</v>
      </c>
      <c r="K626" s="1">
        <v>624</v>
      </c>
      <c r="L626" s="1">
        <f>LOOKUP(A626,Sheet2!$D$4:$E$9)</f>
        <v>2</v>
      </c>
      <c r="M626" t="str">
        <f>LOOKUP(B626,Sheet2!$G$4:$H$9)</f>
        <v>100-125</v>
      </c>
      <c r="N626" t="str">
        <f>LOOKUP(C626,Sheet2!$J$4:$K$8)</f>
        <v>60-69</v>
      </c>
      <c r="O626" t="str">
        <f>LOOKUP(D626,Sheet2!$M$4:$N$8)</f>
        <v>Unknown</v>
      </c>
      <c r="P626" t="str">
        <f>LOOKUP(E626,Sheet2!$P$4:$Q$9)</f>
        <v>Unknown</v>
      </c>
      <c r="Q626" t="str">
        <f>LOOKUP(F626,Sheet2!$S$4:$T$8)</f>
        <v>26-30</v>
      </c>
      <c r="R626" t="str">
        <f>LOOKUP(G626,Sheet2!$V$4:$W$7)</f>
        <v>0.0 - 0.249</v>
      </c>
      <c r="S626" t="str">
        <f>LOOKUP(H626,Sheet2!$Z$4:$AA$7)</f>
        <v>&lt;=25</v>
      </c>
      <c r="T626" t="str">
        <f t="shared" si="27"/>
        <v>Negative</v>
      </c>
      <c r="U626" t="str">
        <f t="shared" si="28"/>
        <v>Not Sampled</v>
      </c>
      <c r="V626" s="1" t="str">
        <f t="shared" si="29"/>
        <v>Not Sampled</v>
      </c>
    </row>
    <row r="627" spans="1:22" x14ac:dyDescent="0.25">
      <c r="A627" s="1">
        <v>4</v>
      </c>
      <c r="B627" s="1">
        <v>90</v>
      </c>
      <c r="C627" s="1">
        <v>88</v>
      </c>
      <c r="D627" s="1">
        <v>47</v>
      </c>
      <c r="E627" s="1">
        <v>54</v>
      </c>
      <c r="F627" s="1">
        <v>37.700000000000003</v>
      </c>
      <c r="G627" s="1">
        <v>0.36199999999999999</v>
      </c>
      <c r="H627" s="1">
        <v>29</v>
      </c>
      <c r="I627" s="1">
        <v>0</v>
      </c>
      <c r="J627" s="1">
        <f>IFERROR(VLOOKUP(K627,[1]diabetes_Recognition!$A:$B,2,FALSE),"Not Sampled")</f>
        <v>0</v>
      </c>
      <c r="K627" s="1">
        <v>625</v>
      </c>
      <c r="L627" s="1" t="str">
        <f>LOOKUP(A627,Sheet2!$D$4:$E$9)</f>
        <v>3-4</v>
      </c>
      <c r="M627" t="str">
        <f>LOOKUP(B627,Sheet2!$G$4:$H$9)</f>
        <v>1-99</v>
      </c>
      <c r="N627" t="str">
        <f>LOOKUP(C627,Sheet2!$J$4:$K$8)</f>
        <v>80+</v>
      </c>
      <c r="O627" t="str">
        <f>LOOKUP(D627,Sheet2!$M$4:$N$8)</f>
        <v>40+</v>
      </c>
      <c r="P627" t="str">
        <f>LOOKUP(E627,Sheet2!$P$4:$Q$9)</f>
        <v>1-99</v>
      </c>
      <c r="Q627" t="str">
        <f>LOOKUP(F627,Sheet2!$S$4:$T$8)</f>
        <v>36+</v>
      </c>
      <c r="R627" t="str">
        <f>LOOKUP(G627,Sheet2!$V$4:$W$7)</f>
        <v>0.25 - 0.39</v>
      </c>
      <c r="S627" t="str">
        <f>LOOKUP(H627,Sheet2!$Z$4:$AA$7)</f>
        <v>26-35</v>
      </c>
      <c r="T627" t="str">
        <f t="shared" si="27"/>
        <v>Negative</v>
      </c>
      <c r="U627" t="str">
        <f t="shared" si="28"/>
        <v>Negative</v>
      </c>
      <c r="V627" s="1" t="str">
        <f t="shared" si="29"/>
        <v>Accurate Prediction</v>
      </c>
    </row>
    <row r="628" spans="1:22" x14ac:dyDescent="0.25">
      <c r="A628" s="1">
        <v>0</v>
      </c>
      <c r="B628" s="1">
        <v>125</v>
      </c>
      <c r="C628" s="1">
        <v>68</v>
      </c>
      <c r="D628" s="1">
        <v>0</v>
      </c>
      <c r="E628" s="1">
        <v>0</v>
      </c>
      <c r="F628" s="1">
        <v>24.7</v>
      </c>
      <c r="G628" s="1">
        <v>0.20599999999999999</v>
      </c>
      <c r="H628" s="1">
        <v>21</v>
      </c>
      <c r="I628" s="1">
        <v>0</v>
      </c>
      <c r="J628" s="1" t="str">
        <f>IFERROR(VLOOKUP(K628,[1]diabetes_Recognition!$A:$B,2,FALSE),"Not Sampled")</f>
        <v>Not Sampled</v>
      </c>
      <c r="K628" s="1">
        <v>626</v>
      </c>
      <c r="L628" s="1">
        <f>LOOKUP(A628,Sheet2!$D$4:$E$9)</f>
        <v>0</v>
      </c>
      <c r="M628" t="str">
        <f>LOOKUP(B628,Sheet2!$G$4:$H$9)</f>
        <v>100-125</v>
      </c>
      <c r="N628" t="str">
        <f>LOOKUP(C628,Sheet2!$J$4:$K$8)</f>
        <v>60-69</v>
      </c>
      <c r="O628" t="str">
        <f>LOOKUP(D628,Sheet2!$M$4:$N$8)</f>
        <v>Unknown</v>
      </c>
      <c r="P628" t="str">
        <f>LOOKUP(E628,Sheet2!$P$4:$Q$9)</f>
        <v>Unknown</v>
      </c>
      <c r="Q628" t="str">
        <f>LOOKUP(F628,Sheet2!$S$4:$T$8)</f>
        <v>1-25</v>
      </c>
      <c r="R628" t="str">
        <f>LOOKUP(G628,Sheet2!$V$4:$W$7)</f>
        <v>0.0 - 0.249</v>
      </c>
      <c r="S628" t="str">
        <f>LOOKUP(H628,Sheet2!$Z$4:$AA$7)</f>
        <v>&lt;=25</v>
      </c>
      <c r="T628" t="str">
        <f t="shared" si="27"/>
        <v>Negative</v>
      </c>
      <c r="U628" t="str">
        <f t="shared" si="28"/>
        <v>Not Sampled</v>
      </c>
      <c r="V628" s="1" t="str">
        <f t="shared" si="29"/>
        <v>Not Sampled</v>
      </c>
    </row>
    <row r="629" spans="1:22" x14ac:dyDescent="0.25">
      <c r="A629" s="1">
        <v>0</v>
      </c>
      <c r="B629" s="1">
        <v>132</v>
      </c>
      <c r="C629" s="1">
        <v>78</v>
      </c>
      <c r="D629" s="1">
        <v>0</v>
      </c>
      <c r="E629" s="1">
        <v>0</v>
      </c>
      <c r="F629" s="1">
        <v>32.4</v>
      </c>
      <c r="G629" s="1">
        <v>0.39300000000000002</v>
      </c>
      <c r="H629" s="1">
        <v>21</v>
      </c>
      <c r="I629" s="1">
        <v>0</v>
      </c>
      <c r="J629" s="1" t="str">
        <f>IFERROR(VLOOKUP(K629,[1]diabetes_Recognition!$A:$B,2,FALSE),"Not Sampled")</f>
        <v>Not Sampled</v>
      </c>
      <c r="K629" s="1">
        <v>627</v>
      </c>
      <c r="L629" s="1">
        <f>LOOKUP(A629,Sheet2!$D$4:$E$9)</f>
        <v>0</v>
      </c>
      <c r="M629" t="str">
        <f>LOOKUP(B629,Sheet2!$G$4:$H$9)</f>
        <v>126-150</v>
      </c>
      <c r="N629" t="str">
        <f>LOOKUP(C629,Sheet2!$J$4:$K$8)</f>
        <v>70-79</v>
      </c>
      <c r="O629" t="str">
        <f>LOOKUP(D629,Sheet2!$M$4:$N$8)</f>
        <v>Unknown</v>
      </c>
      <c r="P629" t="str">
        <f>LOOKUP(E629,Sheet2!$P$4:$Q$9)</f>
        <v>Unknown</v>
      </c>
      <c r="Q629" t="str">
        <f>LOOKUP(F629,Sheet2!$S$4:$T$8)</f>
        <v>31-35</v>
      </c>
      <c r="R629" t="str">
        <f>LOOKUP(G629,Sheet2!$V$4:$W$7)</f>
        <v>0.25 - 0.39</v>
      </c>
      <c r="S629" t="str">
        <f>LOOKUP(H629,Sheet2!$Z$4:$AA$7)</f>
        <v>&lt;=25</v>
      </c>
      <c r="T629" t="str">
        <f t="shared" si="27"/>
        <v>Negative</v>
      </c>
      <c r="U629" t="str">
        <f t="shared" si="28"/>
        <v>Not Sampled</v>
      </c>
      <c r="V629" s="1" t="str">
        <f t="shared" si="29"/>
        <v>Not Sampled</v>
      </c>
    </row>
    <row r="630" spans="1:22" x14ac:dyDescent="0.25">
      <c r="A630" s="1">
        <v>5</v>
      </c>
      <c r="B630" s="1">
        <v>128</v>
      </c>
      <c r="C630" s="1">
        <v>80</v>
      </c>
      <c r="D630" s="1">
        <v>0</v>
      </c>
      <c r="E630" s="1">
        <v>0</v>
      </c>
      <c r="F630" s="1">
        <v>34.6</v>
      </c>
      <c r="G630" s="1">
        <v>0.14399999999999999</v>
      </c>
      <c r="H630" s="1">
        <v>45</v>
      </c>
      <c r="I630" s="1">
        <v>0</v>
      </c>
      <c r="J630" s="1" t="str">
        <f>IFERROR(VLOOKUP(K630,[1]diabetes_Recognition!$A:$B,2,FALSE),"Not Sampled")</f>
        <v>Not Sampled</v>
      </c>
      <c r="K630" s="1">
        <v>628</v>
      </c>
      <c r="L630" s="1" t="str">
        <f>LOOKUP(A630,Sheet2!$D$4:$E$9)</f>
        <v>5-7</v>
      </c>
      <c r="M630" t="str">
        <f>LOOKUP(B630,Sheet2!$G$4:$H$9)</f>
        <v>126-150</v>
      </c>
      <c r="N630" t="str">
        <f>LOOKUP(C630,Sheet2!$J$4:$K$8)</f>
        <v>80+</v>
      </c>
      <c r="O630" t="str">
        <f>LOOKUP(D630,Sheet2!$M$4:$N$8)</f>
        <v>Unknown</v>
      </c>
      <c r="P630" t="str">
        <f>LOOKUP(E630,Sheet2!$P$4:$Q$9)</f>
        <v>Unknown</v>
      </c>
      <c r="Q630" t="str">
        <f>LOOKUP(F630,Sheet2!$S$4:$T$8)</f>
        <v>31-35</v>
      </c>
      <c r="R630" t="str">
        <f>LOOKUP(G630,Sheet2!$V$4:$W$7)</f>
        <v>0.0 - 0.249</v>
      </c>
      <c r="S630" t="str">
        <f>LOOKUP(H630,Sheet2!$Z$4:$AA$7)</f>
        <v>36-45</v>
      </c>
      <c r="T630" t="str">
        <f t="shared" si="27"/>
        <v>Negative</v>
      </c>
      <c r="U630" t="str">
        <f t="shared" si="28"/>
        <v>Not Sampled</v>
      </c>
      <c r="V630" s="1" t="str">
        <f t="shared" si="29"/>
        <v>Not Sampled</v>
      </c>
    </row>
    <row r="631" spans="1:22" x14ac:dyDescent="0.25">
      <c r="A631" s="1">
        <v>4</v>
      </c>
      <c r="B631" s="1">
        <v>94</v>
      </c>
      <c r="C631" s="1">
        <v>65</v>
      </c>
      <c r="D631" s="1">
        <v>22</v>
      </c>
      <c r="E631" s="1">
        <v>0</v>
      </c>
      <c r="F631" s="1">
        <v>24.7</v>
      </c>
      <c r="G631" s="1">
        <v>0.14799999999999999</v>
      </c>
      <c r="H631" s="1">
        <v>21</v>
      </c>
      <c r="I631" s="1">
        <v>0</v>
      </c>
      <c r="J631" s="1" t="str">
        <f>IFERROR(VLOOKUP(K631,[1]diabetes_Recognition!$A:$B,2,FALSE),"Not Sampled")</f>
        <v>Not Sampled</v>
      </c>
      <c r="K631" s="1">
        <v>629</v>
      </c>
      <c r="L631" s="1" t="str">
        <f>LOOKUP(A631,Sheet2!$D$4:$E$9)</f>
        <v>3-4</v>
      </c>
      <c r="M631" t="str">
        <f>LOOKUP(B631,Sheet2!$G$4:$H$9)</f>
        <v>1-99</v>
      </c>
      <c r="N631" t="str">
        <f>LOOKUP(C631,Sheet2!$J$4:$K$8)</f>
        <v>60-69</v>
      </c>
      <c r="O631" t="str">
        <f>LOOKUP(D631,Sheet2!$M$4:$N$8)</f>
        <v>10-30</v>
      </c>
      <c r="P631" t="str">
        <f>LOOKUP(E631,Sheet2!$P$4:$Q$9)</f>
        <v>Unknown</v>
      </c>
      <c r="Q631" t="str">
        <f>LOOKUP(F631,Sheet2!$S$4:$T$8)</f>
        <v>1-25</v>
      </c>
      <c r="R631" t="str">
        <f>LOOKUP(G631,Sheet2!$V$4:$W$7)</f>
        <v>0.0 - 0.249</v>
      </c>
      <c r="S631" t="str">
        <f>LOOKUP(H631,Sheet2!$Z$4:$AA$7)</f>
        <v>&lt;=25</v>
      </c>
      <c r="T631" t="str">
        <f t="shared" si="27"/>
        <v>Negative</v>
      </c>
      <c r="U631" t="str">
        <f t="shared" si="28"/>
        <v>Not Sampled</v>
      </c>
      <c r="V631" s="1" t="str">
        <f t="shared" si="29"/>
        <v>Not Sampled</v>
      </c>
    </row>
    <row r="632" spans="1:22" x14ac:dyDescent="0.25">
      <c r="A632" s="1">
        <v>7</v>
      </c>
      <c r="B632" s="1">
        <v>114</v>
      </c>
      <c r="C632" s="1">
        <v>64</v>
      </c>
      <c r="D632" s="1">
        <v>0</v>
      </c>
      <c r="E632" s="1">
        <v>0</v>
      </c>
      <c r="F632" s="1">
        <v>27.4</v>
      </c>
      <c r="G632" s="1">
        <v>0.73199999999999998</v>
      </c>
      <c r="H632" s="1">
        <v>34</v>
      </c>
      <c r="I632" s="1">
        <v>1</v>
      </c>
      <c r="J632" s="1" t="str">
        <f>IFERROR(VLOOKUP(K632,[1]diabetes_Recognition!$A:$B,2,FALSE),"Not Sampled")</f>
        <v>Not Sampled</v>
      </c>
      <c r="K632" s="1">
        <v>630</v>
      </c>
      <c r="L632" s="1" t="str">
        <f>LOOKUP(A632,Sheet2!$D$4:$E$9)</f>
        <v>5-7</v>
      </c>
      <c r="M632" t="str">
        <f>LOOKUP(B632,Sheet2!$G$4:$H$9)</f>
        <v>100-125</v>
      </c>
      <c r="N632" t="str">
        <f>LOOKUP(C632,Sheet2!$J$4:$K$8)</f>
        <v>60-69</v>
      </c>
      <c r="O632" t="str">
        <f>LOOKUP(D632,Sheet2!$M$4:$N$8)</f>
        <v>Unknown</v>
      </c>
      <c r="P632" t="str">
        <f>LOOKUP(E632,Sheet2!$P$4:$Q$9)</f>
        <v>Unknown</v>
      </c>
      <c r="Q632" t="str">
        <f>LOOKUP(F632,Sheet2!$S$4:$T$8)</f>
        <v>26-30</v>
      </c>
      <c r="R632" t="str">
        <f>LOOKUP(G632,Sheet2!$V$4:$W$7)</f>
        <v>0.7+</v>
      </c>
      <c r="S632" t="str">
        <f>LOOKUP(H632,Sheet2!$Z$4:$AA$7)</f>
        <v>26-35</v>
      </c>
      <c r="T632" t="str">
        <f t="shared" si="27"/>
        <v>Positive</v>
      </c>
      <c r="U632" t="str">
        <f t="shared" si="28"/>
        <v>Not Sampled</v>
      </c>
      <c r="V632" s="1" t="str">
        <f t="shared" si="29"/>
        <v>Not Sampled</v>
      </c>
    </row>
    <row r="633" spans="1:22" x14ac:dyDescent="0.25">
      <c r="A633" s="1">
        <v>0</v>
      </c>
      <c r="B633" s="1">
        <v>102</v>
      </c>
      <c r="C633" s="1">
        <v>78</v>
      </c>
      <c r="D633" s="1">
        <v>40</v>
      </c>
      <c r="E633" s="1">
        <v>90</v>
      </c>
      <c r="F633" s="1">
        <v>34.5</v>
      </c>
      <c r="G633" s="1">
        <v>0.23799999999999999</v>
      </c>
      <c r="H633" s="1">
        <v>24</v>
      </c>
      <c r="I633" s="1">
        <v>0</v>
      </c>
      <c r="J633" s="1">
        <f>IFERROR(VLOOKUP(K633,[1]diabetes_Recognition!$A:$B,2,FALSE),"Not Sampled")</f>
        <v>0</v>
      </c>
      <c r="K633" s="1">
        <v>631</v>
      </c>
      <c r="L633" s="1">
        <f>LOOKUP(A633,Sheet2!$D$4:$E$9)</f>
        <v>0</v>
      </c>
      <c r="M633" t="str">
        <f>LOOKUP(B633,Sheet2!$G$4:$H$9)</f>
        <v>100-125</v>
      </c>
      <c r="N633" t="str">
        <f>LOOKUP(C633,Sheet2!$J$4:$K$8)</f>
        <v>70-79</v>
      </c>
      <c r="O633" t="str">
        <f>LOOKUP(D633,Sheet2!$M$4:$N$8)</f>
        <v>40+</v>
      </c>
      <c r="P633" t="str">
        <f>LOOKUP(E633,Sheet2!$P$4:$Q$9)</f>
        <v>1-99</v>
      </c>
      <c r="Q633" t="str">
        <f>LOOKUP(F633,Sheet2!$S$4:$T$8)</f>
        <v>31-35</v>
      </c>
      <c r="R633" t="str">
        <f>LOOKUP(G633,Sheet2!$V$4:$W$7)</f>
        <v>0.0 - 0.249</v>
      </c>
      <c r="S633" t="str">
        <f>LOOKUP(H633,Sheet2!$Z$4:$AA$7)</f>
        <v>&lt;=25</v>
      </c>
      <c r="T633" t="str">
        <f t="shared" si="27"/>
        <v>Negative</v>
      </c>
      <c r="U633" t="str">
        <f t="shared" si="28"/>
        <v>Negative</v>
      </c>
      <c r="V633" s="1" t="str">
        <f t="shared" si="29"/>
        <v>Accurate Prediction</v>
      </c>
    </row>
    <row r="634" spans="1:22" x14ac:dyDescent="0.25">
      <c r="A634" s="1">
        <v>2</v>
      </c>
      <c r="B634" s="1">
        <v>111</v>
      </c>
      <c r="C634" s="1">
        <v>60</v>
      </c>
      <c r="D634" s="1">
        <v>0</v>
      </c>
      <c r="E634" s="1">
        <v>0</v>
      </c>
      <c r="F634" s="1">
        <v>26.2</v>
      </c>
      <c r="G634" s="1">
        <v>0.34300000000000003</v>
      </c>
      <c r="H634" s="1">
        <v>23</v>
      </c>
      <c r="I634" s="1">
        <v>0</v>
      </c>
      <c r="J634" s="1" t="str">
        <f>IFERROR(VLOOKUP(K634,[1]diabetes_Recognition!$A:$B,2,FALSE),"Not Sampled")</f>
        <v>Not Sampled</v>
      </c>
      <c r="K634" s="1">
        <v>632</v>
      </c>
      <c r="L634" s="1">
        <f>LOOKUP(A634,Sheet2!$D$4:$E$9)</f>
        <v>2</v>
      </c>
      <c r="M634" t="str">
        <f>LOOKUP(B634,Sheet2!$G$4:$H$9)</f>
        <v>100-125</v>
      </c>
      <c r="N634" t="str">
        <f>LOOKUP(C634,Sheet2!$J$4:$K$8)</f>
        <v>60-69</v>
      </c>
      <c r="O634" t="str">
        <f>LOOKUP(D634,Sheet2!$M$4:$N$8)</f>
        <v>Unknown</v>
      </c>
      <c r="P634" t="str">
        <f>LOOKUP(E634,Sheet2!$P$4:$Q$9)</f>
        <v>Unknown</v>
      </c>
      <c r="Q634" t="str">
        <f>LOOKUP(F634,Sheet2!$S$4:$T$8)</f>
        <v>26-30</v>
      </c>
      <c r="R634" t="str">
        <f>LOOKUP(G634,Sheet2!$V$4:$W$7)</f>
        <v>0.25 - 0.39</v>
      </c>
      <c r="S634" t="str">
        <f>LOOKUP(H634,Sheet2!$Z$4:$AA$7)</f>
        <v>&lt;=25</v>
      </c>
      <c r="T634" t="str">
        <f t="shared" si="27"/>
        <v>Negative</v>
      </c>
      <c r="U634" t="str">
        <f t="shared" si="28"/>
        <v>Not Sampled</v>
      </c>
      <c r="V634" s="1" t="str">
        <f t="shared" si="29"/>
        <v>Not Sampled</v>
      </c>
    </row>
    <row r="635" spans="1:22" x14ac:dyDescent="0.25">
      <c r="A635" s="1">
        <v>1</v>
      </c>
      <c r="B635" s="1">
        <v>128</v>
      </c>
      <c r="C635" s="1">
        <v>82</v>
      </c>
      <c r="D635" s="1">
        <v>17</v>
      </c>
      <c r="E635" s="1">
        <v>183</v>
      </c>
      <c r="F635" s="1">
        <v>27.5</v>
      </c>
      <c r="G635" s="1">
        <v>0.115</v>
      </c>
      <c r="H635" s="1">
        <v>22</v>
      </c>
      <c r="I635" s="1">
        <v>0</v>
      </c>
      <c r="J635" s="1" t="str">
        <f>IFERROR(VLOOKUP(K635,[1]diabetes_Recognition!$A:$B,2,FALSE),"Not Sampled")</f>
        <v>Not Sampled</v>
      </c>
      <c r="K635" s="1">
        <v>633</v>
      </c>
      <c r="L635" s="1">
        <f>LOOKUP(A635,Sheet2!$D$4:$E$9)</f>
        <v>1</v>
      </c>
      <c r="M635" t="str">
        <f>LOOKUP(B635,Sheet2!$G$4:$H$9)</f>
        <v>126-150</v>
      </c>
      <c r="N635" t="str">
        <f>LOOKUP(C635,Sheet2!$J$4:$K$8)</f>
        <v>80+</v>
      </c>
      <c r="O635" t="str">
        <f>LOOKUP(D635,Sheet2!$M$4:$N$8)</f>
        <v>10-30</v>
      </c>
      <c r="P635" t="str">
        <f>LOOKUP(E635,Sheet2!$P$4:$Q$9)</f>
        <v>100-199</v>
      </c>
      <c r="Q635" t="str">
        <f>LOOKUP(F635,Sheet2!$S$4:$T$8)</f>
        <v>26-30</v>
      </c>
      <c r="R635" t="str">
        <f>LOOKUP(G635,Sheet2!$V$4:$W$7)</f>
        <v>0.0 - 0.249</v>
      </c>
      <c r="S635" t="str">
        <f>LOOKUP(H635,Sheet2!$Z$4:$AA$7)</f>
        <v>&lt;=25</v>
      </c>
      <c r="T635" t="str">
        <f t="shared" si="27"/>
        <v>Negative</v>
      </c>
      <c r="U635" t="str">
        <f t="shared" si="28"/>
        <v>Not Sampled</v>
      </c>
      <c r="V635" s="1" t="str">
        <f t="shared" si="29"/>
        <v>Not Sampled</v>
      </c>
    </row>
    <row r="636" spans="1:22" x14ac:dyDescent="0.25">
      <c r="A636" s="1">
        <v>10</v>
      </c>
      <c r="B636" s="1">
        <v>92</v>
      </c>
      <c r="C636" s="1">
        <v>62</v>
      </c>
      <c r="D636" s="1">
        <v>0</v>
      </c>
      <c r="E636" s="1">
        <v>0</v>
      </c>
      <c r="F636" s="1">
        <v>25.9</v>
      </c>
      <c r="G636" s="1">
        <v>0.16700000000000001</v>
      </c>
      <c r="H636" s="1">
        <v>31</v>
      </c>
      <c r="I636" s="1">
        <v>0</v>
      </c>
      <c r="J636" s="1" t="str">
        <f>IFERROR(VLOOKUP(K636,[1]diabetes_Recognition!$A:$B,2,FALSE),"Not Sampled")</f>
        <v>Not Sampled</v>
      </c>
      <c r="K636" s="1">
        <v>634</v>
      </c>
      <c r="L636" s="1" t="str">
        <f>LOOKUP(A636,Sheet2!$D$4:$E$9)</f>
        <v>8+</v>
      </c>
      <c r="M636" t="str">
        <f>LOOKUP(B636,Sheet2!$G$4:$H$9)</f>
        <v>1-99</v>
      </c>
      <c r="N636" t="str">
        <f>LOOKUP(C636,Sheet2!$J$4:$K$8)</f>
        <v>60-69</v>
      </c>
      <c r="O636" t="str">
        <f>LOOKUP(D636,Sheet2!$M$4:$N$8)</f>
        <v>Unknown</v>
      </c>
      <c r="P636" t="str">
        <f>LOOKUP(E636,Sheet2!$P$4:$Q$9)</f>
        <v>Unknown</v>
      </c>
      <c r="Q636" t="str">
        <f>LOOKUP(F636,Sheet2!$S$4:$T$8)</f>
        <v>1-25</v>
      </c>
      <c r="R636" t="str">
        <f>LOOKUP(G636,Sheet2!$V$4:$W$7)</f>
        <v>0.0 - 0.249</v>
      </c>
      <c r="S636" t="str">
        <f>LOOKUP(H636,Sheet2!$Z$4:$AA$7)</f>
        <v>26-35</v>
      </c>
      <c r="T636" t="str">
        <f t="shared" si="27"/>
        <v>Negative</v>
      </c>
      <c r="U636" t="str">
        <f t="shared" si="28"/>
        <v>Not Sampled</v>
      </c>
      <c r="V636" s="1" t="str">
        <f t="shared" si="29"/>
        <v>Not Sampled</v>
      </c>
    </row>
    <row r="637" spans="1:22" x14ac:dyDescent="0.25">
      <c r="A637" s="1">
        <v>13</v>
      </c>
      <c r="B637" s="1">
        <v>104</v>
      </c>
      <c r="C637" s="1">
        <v>72</v>
      </c>
      <c r="D637" s="1">
        <v>0</v>
      </c>
      <c r="E637" s="1">
        <v>0</v>
      </c>
      <c r="F637" s="1">
        <v>31.2</v>
      </c>
      <c r="G637" s="1">
        <v>0.46500000000000002</v>
      </c>
      <c r="H637" s="1">
        <v>38</v>
      </c>
      <c r="I637" s="1">
        <v>1</v>
      </c>
      <c r="J637" s="1" t="str">
        <f>IFERROR(VLOOKUP(K637,[1]diabetes_Recognition!$A:$B,2,FALSE),"Not Sampled")</f>
        <v>Not Sampled</v>
      </c>
      <c r="K637" s="1">
        <v>635</v>
      </c>
      <c r="L637" s="1" t="str">
        <f>LOOKUP(A637,Sheet2!$D$4:$E$9)</f>
        <v>8+</v>
      </c>
      <c r="M637" t="str">
        <f>LOOKUP(B637,Sheet2!$G$4:$H$9)</f>
        <v>100-125</v>
      </c>
      <c r="N637" t="str">
        <f>LOOKUP(C637,Sheet2!$J$4:$K$8)</f>
        <v>70-79</v>
      </c>
      <c r="O637" t="str">
        <f>LOOKUP(D637,Sheet2!$M$4:$N$8)</f>
        <v>Unknown</v>
      </c>
      <c r="P637" t="str">
        <f>LOOKUP(E637,Sheet2!$P$4:$Q$9)</f>
        <v>Unknown</v>
      </c>
      <c r="Q637" t="str">
        <f>LOOKUP(F637,Sheet2!$S$4:$T$8)</f>
        <v>31-35</v>
      </c>
      <c r="R637" t="str">
        <f>LOOKUP(G637,Sheet2!$V$4:$W$7)</f>
        <v>0.4 - 0.69</v>
      </c>
      <c r="S637" t="str">
        <f>LOOKUP(H637,Sheet2!$Z$4:$AA$7)</f>
        <v>36-45</v>
      </c>
      <c r="T637" t="str">
        <f t="shared" si="27"/>
        <v>Positive</v>
      </c>
      <c r="U637" t="str">
        <f t="shared" si="28"/>
        <v>Not Sampled</v>
      </c>
      <c r="V637" s="1" t="str">
        <f t="shared" si="29"/>
        <v>Not Sampled</v>
      </c>
    </row>
    <row r="638" spans="1:22" x14ac:dyDescent="0.25">
      <c r="A638" s="1">
        <v>5</v>
      </c>
      <c r="B638" s="1">
        <v>104</v>
      </c>
      <c r="C638" s="1">
        <v>74</v>
      </c>
      <c r="D638" s="1">
        <v>0</v>
      </c>
      <c r="E638" s="1">
        <v>0</v>
      </c>
      <c r="F638" s="1">
        <v>28.8</v>
      </c>
      <c r="G638" s="1">
        <v>0.153</v>
      </c>
      <c r="H638" s="1">
        <v>48</v>
      </c>
      <c r="I638" s="1">
        <v>0</v>
      </c>
      <c r="J638" s="1" t="str">
        <f>IFERROR(VLOOKUP(K638,[1]diabetes_Recognition!$A:$B,2,FALSE),"Not Sampled")</f>
        <v>Not Sampled</v>
      </c>
      <c r="K638" s="1">
        <v>636</v>
      </c>
      <c r="L638" s="1" t="str">
        <f>LOOKUP(A638,Sheet2!$D$4:$E$9)</f>
        <v>5-7</v>
      </c>
      <c r="M638" t="str">
        <f>LOOKUP(B638,Sheet2!$G$4:$H$9)</f>
        <v>100-125</v>
      </c>
      <c r="N638" t="str">
        <f>LOOKUP(C638,Sheet2!$J$4:$K$8)</f>
        <v>70-79</v>
      </c>
      <c r="O638" t="str">
        <f>LOOKUP(D638,Sheet2!$M$4:$N$8)</f>
        <v>Unknown</v>
      </c>
      <c r="P638" t="str">
        <f>LOOKUP(E638,Sheet2!$P$4:$Q$9)</f>
        <v>Unknown</v>
      </c>
      <c r="Q638" t="str">
        <f>LOOKUP(F638,Sheet2!$S$4:$T$8)</f>
        <v>26-30</v>
      </c>
      <c r="R638" t="str">
        <f>LOOKUP(G638,Sheet2!$V$4:$W$7)</f>
        <v>0.0 - 0.249</v>
      </c>
      <c r="S638" t="str">
        <f>LOOKUP(H638,Sheet2!$Z$4:$AA$7)</f>
        <v>46+</v>
      </c>
      <c r="T638" t="str">
        <f t="shared" si="27"/>
        <v>Negative</v>
      </c>
      <c r="U638" t="str">
        <f t="shared" si="28"/>
        <v>Not Sampled</v>
      </c>
      <c r="V638" s="1" t="str">
        <f t="shared" si="29"/>
        <v>Not Sampled</v>
      </c>
    </row>
    <row r="639" spans="1:22" x14ac:dyDescent="0.25">
      <c r="A639" s="1">
        <v>2</v>
      </c>
      <c r="B639" s="1">
        <v>94</v>
      </c>
      <c r="C639" s="1">
        <v>76</v>
      </c>
      <c r="D639" s="1">
        <v>18</v>
      </c>
      <c r="E639" s="1">
        <v>66</v>
      </c>
      <c r="F639" s="1">
        <v>31.6</v>
      </c>
      <c r="G639" s="1">
        <v>0.64900000000000002</v>
      </c>
      <c r="H639" s="1">
        <v>23</v>
      </c>
      <c r="I639" s="1">
        <v>0</v>
      </c>
      <c r="J639" s="1" t="str">
        <f>IFERROR(VLOOKUP(K639,[1]diabetes_Recognition!$A:$B,2,FALSE),"Not Sampled")</f>
        <v>Not Sampled</v>
      </c>
      <c r="K639" s="1">
        <v>637</v>
      </c>
      <c r="L639" s="1">
        <f>LOOKUP(A639,Sheet2!$D$4:$E$9)</f>
        <v>2</v>
      </c>
      <c r="M639" t="str">
        <f>LOOKUP(B639,Sheet2!$G$4:$H$9)</f>
        <v>1-99</v>
      </c>
      <c r="N639" t="str">
        <f>LOOKUP(C639,Sheet2!$J$4:$K$8)</f>
        <v>70-79</v>
      </c>
      <c r="O639" t="str">
        <f>LOOKUP(D639,Sheet2!$M$4:$N$8)</f>
        <v>10-30</v>
      </c>
      <c r="P639" t="str">
        <f>LOOKUP(E639,Sheet2!$P$4:$Q$9)</f>
        <v>1-99</v>
      </c>
      <c r="Q639" t="str">
        <f>LOOKUP(F639,Sheet2!$S$4:$T$8)</f>
        <v>31-35</v>
      </c>
      <c r="R639" t="str">
        <f>LOOKUP(G639,Sheet2!$V$4:$W$7)</f>
        <v>0.4 - 0.69</v>
      </c>
      <c r="S639" t="str">
        <f>LOOKUP(H639,Sheet2!$Z$4:$AA$7)</f>
        <v>&lt;=25</v>
      </c>
      <c r="T639" t="str">
        <f t="shared" si="27"/>
        <v>Negative</v>
      </c>
      <c r="U639" t="str">
        <f t="shared" si="28"/>
        <v>Not Sampled</v>
      </c>
      <c r="V639" s="1" t="str">
        <f t="shared" si="29"/>
        <v>Not Sampled</v>
      </c>
    </row>
    <row r="640" spans="1:22" x14ac:dyDescent="0.25">
      <c r="A640" s="1">
        <v>7</v>
      </c>
      <c r="B640" s="1">
        <v>97</v>
      </c>
      <c r="C640" s="1">
        <v>76</v>
      </c>
      <c r="D640" s="1">
        <v>32</v>
      </c>
      <c r="E640" s="1">
        <v>91</v>
      </c>
      <c r="F640" s="1">
        <v>40.9</v>
      </c>
      <c r="G640" s="1">
        <v>0.871</v>
      </c>
      <c r="H640" s="1">
        <v>32</v>
      </c>
      <c r="I640" s="1">
        <v>1</v>
      </c>
      <c r="J640" s="1" t="str">
        <f>IFERROR(VLOOKUP(K640,[1]diabetes_Recognition!$A:$B,2,FALSE),"Not Sampled")</f>
        <v>Not Sampled</v>
      </c>
      <c r="K640" s="1">
        <v>638</v>
      </c>
      <c r="L640" s="1" t="str">
        <f>LOOKUP(A640,Sheet2!$D$4:$E$9)</f>
        <v>5-7</v>
      </c>
      <c r="M640" t="str">
        <f>LOOKUP(B640,Sheet2!$G$4:$H$9)</f>
        <v>1-99</v>
      </c>
      <c r="N640" t="str">
        <f>LOOKUP(C640,Sheet2!$J$4:$K$8)</f>
        <v>70-79</v>
      </c>
      <c r="O640" t="str">
        <f>LOOKUP(D640,Sheet2!$M$4:$N$8)</f>
        <v>30-39</v>
      </c>
      <c r="P640" t="str">
        <f>LOOKUP(E640,Sheet2!$P$4:$Q$9)</f>
        <v>1-99</v>
      </c>
      <c r="Q640" t="str">
        <f>LOOKUP(F640,Sheet2!$S$4:$T$8)</f>
        <v>36+</v>
      </c>
      <c r="R640" t="str">
        <f>LOOKUP(G640,Sheet2!$V$4:$W$7)</f>
        <v>0.7+</v>
      </c>
      <c r="S640" t="str">
        <f>LOOKUP(H640,Sheet2!$Z$4:$AA$7)</f>
        <v>26-35</v>
      </c>
      <c r="T640" t="str">
        <f t="shared" si="27"/>
        <v>Positive</v>
      </c>
      <c r="U640" t="str">
        <f t="shared" si="28"/>
        <v>Not Sampled</v>
      </c>
      <c r="V640" s="1" t="str">
        <f t="shared" si="29"/>
        <v>Not Sampled</v>
      </c>
    </row>
    <row r="641" spans="1:22" x14ac:dyDescent="0.25">
      <c r="A641" s="1">
        <v>1</v>
      </c>
      <c r="B641" s="1">
        <v>100</v>
      </c>
      <c r="C641" s="1">
        <v>74</v>
      </c>
      <c r="D641" s="1">
        <v>12</v>
      </c>
      <c r="E641" s="1">
        <v>46</v>
      </c>
      <c r="F641" s="1">
        <v>19.5</v>
      </c>
      <c r="G641" s="1">
        <v>0.14899999999999999</v>
      </c>
      <c r="H641" s="1">
        <v>28</v>
      </c>
      <c r="I641" s="1">
        <v>0</v>
      </c>
      <c r="J641" s="1" t="str">
        <f>IFERROR(VLOOKUP(K641,[1]diabetes_Recognition!$A:$B,2,FALSE),"Not Sampled")</f>
        <v>Not Sampled</v>
      </c>
      <c r="K641" s="1">
        <v>639</v>
      </c>
      <c r="L641" s="1">
        <f>LOOKUP(A641,Sheet2!$D$4:$E$9)</f>
        <v>1</v>
      </c>
      <c r="M641" t="str">
        <f>LOOKUP(B641,Sheet2!$G$4:$H$9)</f>
        <v>100-125</v>
      </c>
      <c r="N641" t="str">
        <f>LOOKUP(C641,Sheet2!$J$4:$K$8)</f>
        <v>70-79</v>
      </c>
      <c r="O641" t="str">
        <f>LOOKUP(D641,Sheet2!$M$4:$N$8)</f>
        <v>10-30</v>
      </c>
      <c r="P641" t="str">
        <f>LOOKUP(E641,Sheet2!$P$4:$Q$9)</f>
        <v>1-99</v>
      </c>
      <c r="Q641" t="str">
        <f>LOOKUP(F641,Sheet2!$S$4:$T$8)</f>
        <v>1-25</v>
      </c>
      <c r="R641" t="str">
        <f>LOOKUP(G641,Sheet2!$V$4:$W$7)</f>
        <v>0.0 - 0.249</v>
      </c>
      <c r="S641" t="str">
        <f>LOOKUP(H641,Sheet2!$Z$4:$AA$7)</f>
        <v>26-35</v>
      </c>
      <c r="T641" t="str">
        <f t="shared" si="27"/>
        <v>Negative</v>
      </c>
      <c r="U641" t="str">
        <f t="shared" si="28"/>
        <v>Not Sampled</v>
      </c>
      <c r="V641" s="1" t="str">
        <f t="shared" si="29"/>
        <v>Not Sampled</v>
      </c>
    </row>
    <row r="642" spans="1:22" x14ac:dyDescent="0.25">
      <c r="A642" s="1">
        <v>0</v>
      </c>
      <c r="B642" s="1">
        <v>102</v>
      </c>
      <c r="C642" s="1">
        <v>86</v>
      </c>
      <c r="D642" s="1">
        <v>17</v>
      </c>
      <c r="E642" s="1">
        <v>105</v>
      </c>
      <c r="F642" s="1">
        <v>29.3</v>
      </c>
      <c r="G642" s="1">
        <v>0.69499999999999995</v>
      </c>
      <c r="H642" s="1">
        <v>27</v>
      </c>
      <c r="I642" s="1">
        <v>0</v>
      </c>
      <c r="J642" s="1" t="str">
        <f>IFERROR(VLOOKUP(K642,[1]diabetes_Recognition!$A:$B,2,FALSE),"Not Sampled")</f>
        <v>Not Sampled</v>
      </c>
      <c r="K642" s="1">
        <v>640</v>
      </c>
      <c r="L642" s="1">
        <f>LOOKUP(A642,Sheet2!$D$4:$E$9)</f>
        <v>0</v>
      </c>
      <c r="M642" t="str">
        <f>LOOKUP(B642,Sheet2!$G$4:$H$9)</f>
        <v>100-125</v>
      </c>
      <c r="N642" t="str">
        <f>LOOKUP(C642,Sheet2!$J$4:$K$8)</f>
        <v>80+</v>
      </c>
      <c r="O642" t="str">
        <f>LOOKUP(D642,Sheet2!$M$4:$N$8)</f>
        <v>10-30</v>
      </c>
      <c r="P642" t="str">
        <f>LOOKUP(E642,Sheet2!$P$4:$Q$9)</f>
        <v>100-199</v>
      </c>
      <c r="Q642" t="str">
        <f>LOOKUP(F642,Sheet2!$S$4:$T$8)</f>
        <v>26-30</v>
      </c>
      <c r="R642" t="str">
        <f>LOOKUP(G642,Sheet2!$V$4:$W$7)</f>
        <v>0.4 - 0.69</v>
      </c>
      <c r="S642" t="str">
        <f>LOOKUP(H642,Sheet2!$Z$4:$AA$7)</f>
        <v>26-35</v>
      </c>
      <c r="T642" t="str">
        <f t="shared" si="27"/>
        <v>Negative</v>
      </c>
      <c r="U642" t="str">
        <f t="shared" si="28"/>
        <v>Not Sampled</v>
      </c>
      <c r="V642" s="1" t="str">
        <f t="shared" si="29"/>
        <v>Not Sampled</v>
      </c>
    </row>
    <row r="643" spans="1:22" x14ac:dyDescent="0.25">
      <c r="A643" s="1">
        <v>4</v>
      </c>
      <c r="B643" s="1">
        <v>128</v>
      </c>
      <c r="C643" s="1">
        <v>70</v>
      </c>
      <c r="D643" s="1">
        <v>0</v>
      </c>
      <c r="E643" s="1">
        <v>0</v>
      </c>
      <c r="F643" s="1">
        <v>34.299999999999997</v>
      </c>
      <c r="G643" s="1">
        <v>0.30299999999999999</v>
      </c>
      <c r="H643" s="1">
        <v>24</v>
      </c>
      <c r="I643" s="1">
        <v>0</v>
      </c>
      <c r="J643" s="1">
        <f>IFERROR(VLOOKUP(K643,[1]diabetes_Recognition!$A:$B,2,FALSE),"Not Sampled")</f>
        <v>0</v>
      </c>
      <c r="K643" s="1">
        <v>641</v>
      </c>
      <c r="L643" s="1" t="str">
        <f>LOOKUP(A643,Sheet2!$D$4:$E$9)</f>
        <v>3-4</v>
      </c>
      <c r="M643" t="str">
        <f>LOOKUP(B643,Sheet2!$G$4:$H$9)</f>
        <v>126-150</v>
      </c>
      <c r="N643" t="str">
        <f>LOOKUP(C643,Sheet2!$J$4:$K$8)</f>
        <v>70-79</v>
      </c>
      <c r="O643" t="str">
        <f>LOOKUP(D643,Sheet2!$M$4:$N$8)</f>
        <v>Unknown</v>
      </c>
      <c r="P643" t="str">
        <f>LOOKUP(E643,Sheet2!$P$4:$Q$9)</f>
        <v>Unknown</v>
      </c>
      <c r="Q643" t="str">
        <f>LOOKUP(F643,Sheet2!$S$4:$T$8)</f>
        <v>31-35</v>
      </c>
      <c r="R643" t="str">
        <f>LOOKUP(G643,Sheet2!$V$4:$W$7)</f>
        <v>0.25 - 0.39</v>
      </c>
      <c r="S643" t="str">
        <f>LOOKUP(H643,Sheet2!$Z$4:$AA$7)</f>
        <v>&lt;=25</v>
      </c>
      <c r="T643" t="str">
        <f t="shared" ref="T643:T706" si="30">IF(I643=1,"Positive","Negative")</f>
        <v>Negative</v>
      </c>
      <c r="U643" t="str">
        <f t="shared" ref="U643:U706" si="31">IF(J643=1,"Positive",(IF(J643=0,"Negative","Not Sampled")))</f>
        <v>Negative</v>
      </c>
      <c r="V643" s="1" t="str">
        <f t="shared" ref="V643:V706" si="32">IF(U643="Not Sampled","Not Sampled",IF(T643=U643,"Accurate Prediction","Inaccurate Prediction"))</f>
        <v>Accurate Prediction</v>
      </c>
    </row>
    <row r="644" spans="1:22" x14ac:dyDescent="0.25">
      <c r="A644" s="1">
        <v>6</v>
      </c>
      <c r="B644" s="1">
        <v>147</v>
      </c>
      <c r="C644" s="1">
        <v>80</v>
      </c>
      <c r="D644" s="1">
        <v>0</v>
      </c>
      <c r="E644" s="1">
        <v>0</v>
      </c>
      <c r="F644" s="1">
        <v>29.5</v>
      </c>
      <c r="G644" s="1">
        <v>0.17799999999999999</v>
      </c>
      <c r="H644" s="1">
        <v>50</v>
      </c>
      <c r="I644" s="1">
        <v>1</v>
      </c>
      <c r="J644" s="1" t="str">
        <f>IFERROR(VLOOKUP(K644,[1]diabetes_Recognition!$A:$B,2,FALSE),"Not Sampled")</f>
        <v>Not Sampled</v>
      </c>
      <c r="K644" s="1">
        <v>642</v>
      </c>
      <c r="L644" s="1" t="str">
        <f>LOOKUP(A644,Sheet2!$D$4:$E$9)</f>
        <v>5-7</v>
      </c>
      <c r="M644" t="str">
        <f>LOOKUP(B644,Sheet2!$G$4:$H$9)</f>
        <v>126-150</v>
      </c>
      <c r="N644" t="str">
        <f>LOOKUP(C644,Sheet2!$J$4:$K$8)</f>
        <v>80+</v>
      </c>
      <c r="O644" t="str">
        <f>LOOKUP(D644,Sheet2!$M$4:$N$8)</f>
        <v>Unknown</v>
      </c>
      <c r="P644" t="str">
        <f>LOOKUP(E644,Sheet2!$P$4:$Q$9)</f>
        <v>Unknown</v>
      </c>
      <c r="Q644" t="str">
        <f>LOOKUP(F644,Sheet2!$S$4:$T$8)</f>
        <v>26-30</v>
      </c>
      <c r="R644" t="str">
        <f>LOOKUP(G644,Sheet2!$V$4:$W$7)</f>
        <v>0.0 - 0.249</v>
      </c>
      <c r="S644" t="str">
        <f>LOOKUP(H644,Sheet2!$Z$4:$AA$7)</f>
        <v>46+</v>
      </c>
      <c r="T644" t="str">
        <f t="shared" si="30"/>
        <v>Positive</v>
      </c>
      <c r="U644" t="str">
        <f t="shared" si="31"/>
        <v>Not Sampled</v>
      </c>
      <c r="V644" s="1" t="str">
        <f t="shared" si="32"/>
        <v>Not Sampled</v>
      </c>
    </row>
    <row r="645" spans="1:22" x14ac:dyDescent="0.25">
      <c r="A645" s="1">
        <v>4</v>
      </c>
      <c r="B645" s="1">
        <v>90</v>
      </c>
      <c r="C645" s="1">
        <v>0</v>
      </c>
      <c r="D645" s="1">
        <v>0</v>
      </c>
      <c r="E645" s="1">
        <v>0</v>
      </c>
      <c r="F645" s="1">
        <v>28</v>
      </c>
      <c r="G645" s="1">
        <v>0.61</v>
      </c>
      <c r="H645" s="1">
        <v>31</v>
      </c>
      <c r="I645" s="1">
        <v>0</v>
      </c>
      <c r="J645" s="1" t="str">
        <f>IFERROR(VLOOKUP(K645,[1]diabetes_Recognition!$A:$B,2,FALSE),"Not Sampled")</f>
        <v>Not Sampled</v>
      </c>
      <c r="K645" s="1">
        <v>643</v>
      </c>
      <c r="L645" s="1" t="str">
        <f>LOOKUP(A645,Sheet2!$D$4:$E$9)</f>
        <v>3-4</v>
      </c>
      <c r="M645" t="str">
        <f>LOOKUP(B645,Sheet2!$G$4:$H$9)</f>
        <v>1-99</v>
      </c>
      <c r="N645" t="str">
        <f>LOOKUP(C645,Sheet2!$J$4:$K$8)</f>
        <v>Unknown</v>
      </c>
      <c r="O645" t="str">
        <f>LOOKUP(D645,Sheet2!$M$4:$N$8)</f>
        <v>Unknown</v>
      </c>
      <c r="P645" t="str">
        <f>LOOKUP(E645,Sheet2!$P$4:$Q$9)</f>
        <v>Unknown</v>
      </c>
      <c r="Q645" t="str">
        <f>LOOKUP(F645,Sheet2!$S$4:$T$8)</f>
        <v>26-30</v>
      </c>
      <c r="R645" t="str">
        <f>LOOKUP(G645,Sheet2!$V$4:$W$7)</f>
        <v>0.4 - 0.69</v>
      </c>
      <c r="S645" t="str">
        <f>LOOKUP(H645,Sheet2!$Z$4:$AA$7)</f>
        <v>26-35</v>
      </c>
      <c r="T645" t="str">
        <f t="shared" si="30"/>
        <v>Negative</v>
      </c>
      <c r="U645" t="str">
        <f t="shared" si="31"/>
        <v>Not Sampled</v>
      </c>
      <c r="V645" s="1" t="str">
        <f t="shared" si="32"/>
        <v>Not Sampled</v>
      </c>
    </row>
    <row r="646" spans="1:22" x14ac:dyDescent="0.25">
      <c r="A646" s="1">
        <v>3</v>
      </c>
      <c r="B646" s="1">
        <v>103</v>
      </c>
      <c r="C646" s="1">
        <v>72</v>
      </c>
      <c r="D646" s="1">
        <v>30</v>
      </c>
      <c r="E646" s="1">
        <v>152</v>
      </c>
      <c r="F646" s="1">
        <v>27.6</v>
      </c>
      <c r="G646" s="1">
        <v>0.73</v>
      </c>
      <c r="H646" s="1">
        <v>27</v>
      </c>
      <c r="I646" s="1">
        <v>0</v>
      </c>
      <c r="J646" s="1">
        <f>IFERROR(VLOOKUP(K646,[1]diabetes_Recognition!$A:$B,2,FALSE),"Not Sampled")</f>
        <v>0</v>
      </c>
      <c r="K646" s="1">
        <v>644</v>
      </c>
      <c r="L646" s="1" t="str">
        <f>LOOKUP(A646,Sheet2!$D$4:$E$9)</f>
        <v>3-4</v>
      </c>
      <c r="M646" t="str">
        <f>LOOKUP(B646,Sheet2!$G$4:$H$9)</f>
        <v>100-125</v>
      </c>
      <c r="N646" t="str">
        <f>LOOKUP(C646,Sheet2!$J$4:$K$8)</f>
        <v>70-79</v>
      </c>
      <c r="O646" t="str">
        <f>LOOKUP(D646,Sheet2!$M$4:$N$8)</f>
        <v>30-39</v>
      </c>
      <c r="P646" t="str">
        <f>LOOKUP(E646,Sheet2!$P$4:$Q$9)</f>
        <v>100-199</v>
      </c>
      <c r="Q646" t="str">
        <f>LOOKUP(F646,Sheet2!$S$4:$T$8)</f>
        <v>26-30</v>
      </c>
      <c r="R646" t="str">
        <f>LOOKUP(G646,Sheet2!$V$4:$W$7)</f>
        <v>0.7+</v>
      </c>
      <c r="S646" t="str">
        <f>LOOKUP(H646,Sheet2!$Z$4:$AA$7)</f>
        <v>26-35</v>
      </c>
      <c r="T646" t="str">
        <f t="shared" si="30"/>
        <v>Negative</v>
      </c>
      <c r="U646" t="str">
        <f t="shared" si="31"/>
        <v>Negative</v>
      </c>
      <c r="V646" s="1" t="str">
        <f t="shared" si="32"/>
        <v>Accurate Prediction</v>
      </c>
    </row>
    <row r="647" spans="1:22" x14ac:dyDescent="0.25">
      <c r="A647" s="1">
        <v>2</v>
      </c>
      <c r="B647" s="1">
        <v>157</v>
      </c>
      <c r="C647" s="1">
        <v>74</v>
      </c>
      <c r="D647" s="1">
        <v>35</v>
      </c>
      <c r="E647" s="1">
        <v>440</v>
      </c>
      <c r="F647" s="1">
        <v>39.4</v>
      </c>
      <c r="G647" s="1">
        <v>0.13400000000000001</v>
      </c>
      <c r="H647" s="1">
        <v>30</v>
      </c>
      <c r="I647" s="1">
        <v>0</v>
      </c>
      <c r="J647" s="1" t="str">
        <f>IFERROR(VLOOKUP(K647,[1]diabetes_Recognition!$A:$B,2,FALSE),"Not Sampled")</f>
        <v>Not Sampled</v>
      </c>
      <c r="K647" s="1">
        <v>645</v>
      </c>
      <c r="L647" s="1">
        <f>LOOKUP(A647,Sheet2!$D$4:$E$9)</f>
        <v>2</v>
      </c>
      <c r="M647" t="str">
        <f>LOOKUP(B647,Sheet2!$G$4:$H$9)</f>
        <v>151-175</v>
      </c>
      <c r="N647" t="str">
        <f>LOOKUP(C647,Sheet2!$J$4:$K$8)</f>
        <v>70-79</v>
      </c>
      <c r="O647" t="str">
        <f>LOOKUP(D647,Sheet2!$M$4:$N$8)</f>
        <v>30-39</v>
      </c>
      <c r="P647" t="str">
        <f>LOOKUP(E647,Sheet2!$P$4:$Q$9)</f>
        <v>300-499</v>
      </c>
      <c r="Q647" t="str">
        <f>LOOKUP(F647,Sheet2!$S$4:$T$8)</f>
        <v>36+</v>
      </c>
      <c r="R647" t="str">
        <f>LOOKUP(G647,Sheet2!$V$4:$W$7)</f>
        <v>0.0 - 0.249</v>
      </c>
      <c r="S647" t="str">
        <f>LOOKUP(H647,Sheet2!$Z$4:$AA$7)</f>
        <v>26-35</v>
      </c>
      <c r="T647" t="str">
        <f t="shared" si="30"/>
        <v>Negative</v>
      </c>
      <c r="U647" t="str">
        <f t="shared" si="31"/>
        <v>Not Sampled</v>
      </c>
      <c r="V647" s="1" t="str">
        <f t="shared" si="32"/>
        <v>Not Sampled</v>
      </c>
    </row>
    <row r="648" spans="1:22" x14ac:dyDescent="0.25">
      <c r="A648" s="1">
        <v>1</v>
      </c>
      <c r="B648" s="1">
        <v>167</v>
      </c>
      <c r="C648" s="1">
        <v>74</v>
      </c>
      <c r="D648" s="1">
        <v>17</v>
      </c>
      <c r="E648" s="1">
        <v>144</v>
      </c>
      <c r="F648" s="1">
        <v>23.4</v>
      </c>
      <c r="G648" s="1">
        <v>0.44700000000000001</v>
      </c>
      <c r="H648" s="1">
        <v>33</v>
      </c>
      <c r="I648" s="1">
        <v>1</v>
      </c>
      <c r="J648" s="1" t="str">
        <f>IFERROR(VLOOKUP(K648,[1]diabetes_Recognition!$A:$B,2,FALSE),"Not Sampled")</f>
        <v>Not Sampled</v>
      </c>
      <c r="K648" s="1">
        <v>646</v>
      </c>
      <c r="L648" s="1">
        <f>LOOKUP(A648,Sheet2!$D$4:$E$9)</f>
        <v>1</v>
      </c>
      <c r="M648" t="str">
        <f>LOOKUP(B648,Sheet2!$G$4:$H$9)</f>
        <v>151-175</v>
      </c>
      <c r="N648" t="str">
        <f>LOOKUP(C648,Sheet2!$J$4:$K$8)</f>
        <v>70-79</v>
      </c>
      <c r="O648" t="str">
        <f>LOOKUP(D648,Sheet2!$M$4:$N$8)</f>
        <v>10-30</v>
      </c>
      <c r="P648" t="str">
        <f>LOOKUP(E648,Sheet2!$P$4:$Q$9)</f>
        <v>100-199</v>
      </c>
      <c r="Q648" t="str">
        <f>LOOKUP(F648,Sheet2!$S$4:$T$8)</f>
        <v>1-25</v>
      </c>
      <c r="R648" t="str">
        <f>LOOKUP(G648,Sheet2!$V$4:$W$7)</f>
        <v>0.4 - 0.69</v>
      </c>
      <c r="S648" t="str">
        <f>LOOKUP(H648,Sheet2!$Z$4:$AA$7)</f>
        <v>26-35</v>
      </c>
      <c r="T648" t="str">
        <f t="shared" si="30"/>
        <v>Positive</v>
      </c>
      <c r="U648" t="str">
        <f t="shared" si="31"/>
        <v>Not Sampled</v>
      </c>
      <c r="V648" s="1" t="str">
        <f t="shared" si="32"/>
        <v>Not Sampled</v>
      </c>
    </row>
    <row r="649" spans="1:22" x14ac:dyDescent="0.25">
      <c r="A649" s="1">
        <v>0</v>
      </c>
      <c r="B649" s="1">
        <v>179</v>
      </c>
      <c r="C649" s="1">
        <v>50</v>
      </c>
      <c r="D649" s="1">
        <v>36</v>
      </c>
      <c r="E649" s="1">
        <v>159</v>
      </c>
      <c r="F649" s="1">
        <v>37.799999999999997</v>
      </c>
      <c r="G649" s="1">
        <v>0.45500000000000002</v>
      </c>
      <c r="H649" s="1">
        <v>22</v>
      </c>
      <c r="I649" s="1">
        <v>1</v>
      </c>
      <c r="J649" s="1" t="str">
        <f>IFERROR(VLOOKUP(K649,[1]diabetes_Recognition!$A:$B,2,FALSE),"Not Sampled")</f>
        <v>Not Sampled</v>
      </c>
      <c r="K649" s="1">
        <v>647</v>
      </c>
      <c r="L649" s="1">
        <f>LOOKUP(A649,Sheet2!$D$4:$E$9)</f>
        <v>0</v>
      </c>
      <c r="M649" t="str">
        <f>LOOKUP(B649,Sheet2!$G$4:$H$9)</f>
        <v>176-200</v>
      </c>
      <c r="N649" t="str">
        <f>LOOKUP(C649,Sheet2!$J$4:$K$8)</f>
        <v>1-59</v>
      </c>
      <c r="O649" t="str">
        <f>LOOKUP(D649,Sheet2!$M$4:$N$8)</f>
        <v>30-39</v>
      </c>
      <c r="P649" t="str">
        <f>LOOKUP(E649,Sheet2!$P$4:$Q$9)</f>
        <v>100-199</v>
      </c>
      <c r="Q649" t="str">
        <f>LOOKUP(F649,Sheet2!$S$4:$T$8)</f>
        <v>36+</v>
      </c>
      <c r="R649" t="str">
        <f>LOOKUP(G649,Sheet2!$V$4:$W$7)</f>
        <v>0.4 - 0.69</v>
      </c>
      <c r="S649" t="str">
        <f>LOOKUP(H649,Sheet2!$Z$4:$AA$7)</f>
        <v>&lt;=25</v>
      </c>
      <c r="T649" t="str">
        <f t="shared" si="30"/>
        <v>Positive</v>
      </c>
      <c r="U649" t="str">
        <f t="shared" si="31"/>
        <v>Not Sampled</v>
      </c>
      <c r="V649" s="1" t="str">
        <f t="shared" si="32"/>
        <v>Not Sampled</v>
      </c>
    </row>
    <row r="650" spans="1:22" x14ac:dyDescent="0.25">
      <c r="A650" s="1">
        <v>11</v>
      </c>
      <c r="B650" s="1">
        <v>136</v>
      </c>
      <c r="C650" s="1">
        <v>84</v>
      </c>
      <c r="D650" s="1">
        <v>35</v>
      </c>
      <c r="E650" s="1">
        <v>130</v>
      </c>
      <c r="F650" s="1">
        <v>28.3</v>
      </c>
      <c r="G650" s="1">
        <v>0.26</v>
      </c>
      <c r="H650" s="1">
        <v>42</v>
      </c>
      <c r="I650" s="1">
        <v>1</v>
      </c>
      <c r="J650" s="1" t="str">
        <f>IFERROR(VLOOKUP(K650,[1]diabetes_Recognition!$A:$B,2,FALSE),"Not Sampled")</f>
        <v>Not Sampled</v>
      </c>
      <c r="K650" s="1">
        <v>648</v>
      </c>
      <c r="L650" s="1" t="str">
        <f>LOOKUP(A650,Sheet2!$D$4:$E$9)</f>
        <v>8+</v>
      </c>
      <c r="M650" t="str">
        <f>LOOKUP(B650,Sheet2!$G$4:$H$9)</f>
        <v>126-150</v>
      </c>
      <c r="N650" t="str">
        <f>LOOKUP(C650,Sheet2!$J$4:$K$8)</f>
        <v>80+</v>
      </c>
      <c r="O650" t="str">
        <f>LOOKUP(D650,Sheet2!$M$4:$N$8)</f>
        <v>30-39</v>
      </c>
      <c r="P650" t="str">
        <f>LOOKUP(E650,Sheet2!$P$4:$Q$9)</f>
        <v>100-199</v>
      </c>
      <c r="Q650" t="str">
        <f>LOOKUP(F650,Sheet2!$S$4:$T$8)</f>
        <v>26-30</v>
      </c>
      <c r="R650" t="str">
        <f>LOOKUP(G650,Sheet2!$V$4:$W$7)</f>
        <v>0.25 - 0.39</v>
      </c>
      <c r="S650" t="str">
        <f>LOOKUP(H650,Sheet2!$Z$4:$AA$7)</f>
        <v>36-45</v>
      </c>
      <c r="T650" t="str">
        <f t="shared" si="30"/>
        <v>Positive</v>
      </c>
      <c r="U650" t="str">
        <f t="shared" si="31"/>
        <v>Not Sampled</v>
      </c>
      <c r="V650" s="1" t="str">
        <f t="shared" si="32"/>
        <v>Not Sampled</v>
      </c>
    </row>
    <row r="651" spans="1:22" x14ac:dyDescent="0.25">
      <c r="A651" s="1">
        <v>0</v>
      </c>
      <c r="B651" s="1">
        <v>107</v>
      </c>
      <c r="C651" s="1">
        <v>60</v>
      </c>
      <c r="D651" s="1">
        <v>25</v>
      </c>
      <c r="E651" s="1">
        <v>0</v>
      </c>
      <c r="F651" s="1">
        <v>26.4</v>
      </c>
      <c r="G651" s="1">
        <v>0.13300000000000001</v>
      </c>
      <c r="H651" s="1">
        <v>23</v>
      </c>
      <c r="I651" s="1">
        <v>0</v>
      </c>
      <c r="J651" s="1" t="str">
        <f>IFERROR(VLOOKUP(K651,[1]diabetes_Recognition!$A:$B,2,FALSE),"Not Sampled")</f>
        <v>Not Sampled</v>
      </c>
      <c r="K651" s="1">
        <v>649</v>
      </c>
      <c r="L651" s="1">
        <f>LOOKUP(A651,Sheet2!$D$4:$E$9)</f>
        <v>0</v>
      </c>
      <c r="M651" t="str">
        <f>LOOKUP(B651,Sheet2!$G$4:$H$9)</f>
        <v>100-125</v>
      </c>
      <c r="N651" t="str">
        <f>LOOKUP(C651,Sheet2!$J$4:$K$8)</f>
        <v>60-69</v>
      </c>
      <c r="O651" t="str">
        <f>LOOKUP(D651,Sheet2!$M$4:$N$8)</f>
        <v>10-30</v>
      </c>
      <c r="P651" t="str">
        <f>LOOKUP(E651,Sheet2!$P$4:$Q$9)</f>
        <v>Unknown</v>
      </c>
      <c r="Q651" t="str">
        <f>LOOKUP(F651,Sheet2!$S$4:$T$8)</f>
        <v>26-30</v>
      </c>
      <c r="R651" t="str">
        <f>LOOKUP(G651,Sheet2!$V$4:$W$7)</f>
        <v>0.0 - 0.249</v>
      </c>
      <c r="S651" t="str">
        <f>LOOKUP(H651,Sheet2!$Z$4:$AA$7)</f>
        <v>&lt;=25</v>
      </c>
      <c r="T651" t="str">
        <f t="shared" si="30"/>
        <v>Negative</v>
      </c>
      <c r="U651" t="str">
        <f t="shared" si="31"/>
        <v>Not Sampled</v>
      </c>
      <c r="V651" s="1" t="str">
        <f t="shared" si="32"/>
        <v>Not Sampled</v>
      </c>
    </row>
    <row r="652" spans="1:22" x14ac:dyDescent="0.25">
      <c r="A652" s="1">
        <v>1</v>
      </c>
      <c r="B652" s="1">
        <v>91</v>
      </c>
      <c r="C652" s="1">
        <v>54</v>
      </c>
      <c r="D652" s="1">
        <v>25</v>
      </c>
      <c r="E652" s="1">
        <v>100</v>
      </c>
      <c r="F652" s="1">
        <v>25.2</v>
      </c>
      <c r="G652" s="1">
        <v>0.23400000000000001</v>
      </c>
      <c r="H652" s="1">
        <v>23</v>
      </c>
      <c r="I652" s="1">
        <v>0</v>
      </c>
      <c r="J652" s="1" t="str">
        <f>IFERROR(VLOOKUP(K652,[1]diabetes_Recognition!$A:$B,2,FALSE),"Not Sampled")</f>
        <v>Not Sampled</v>
      </c>
      <c r="K652" s="1">
        <v>650</v>
      </c>
      <c r="L652" s="1">
        <f>LOOKUP(A652,Sheet2!$D$4:$E$9)</f>
        <v>1</v>
      </c>
      <c r="M652" t="str">
        <f>LOOKUP(B652,Sheet2!$G$4:$H$9)</f>
        <v>1-99</v>
      </c>
      <c r="N652" t="str">
        <f>LOOKUP(C652,Sheet2!$J$4:$K$8)</f>
        <v>1-59</v>
      </c>
      <c r="O652" t="str">
        <f>LOOKUP(D652,Sheet2!$M$4:$N$8)</f>
        <v>10-30</v>
      </c>
      <c r="P652" t="str">
        <f>LOOKUP(E652,Sheet2!$P$4:$Q$9)</f>
        <v>100-199</v>
      </c>
      <c r="Q652" t="str">
        <f>LOOKUP(F652,Sheet2!$S$4:$T$8)</f>
        <v>1-25</v>
      </c>
      <c r="R652" t="str">
        <f>LOOKUP(G652,Sheet2!$V$4:$W$7)</f>
        <v>0.0 - 0.249</v>
      </c>
      <c r="S652" t="str">
        <f>LOOKUP(H652,Sheet2!$Z$4:$AA$7)</f>
        <v>&lt;=25</v>
      </c>
      <c r="T652" t="str">
        <f t="shared" si="30"/>
        <v>Negative</v>
      </c>
      <c r="U652" t="str">
        <f t="shared" si="31"/>
        <v>Not Sampled</v>
      </c>
      <c r="V652" s="1" t="str">
        <f t="shared" si="32"/>
        <v>Not Sampled</v>
      </c>
    </row>
    <row r="653" spans="1:22" x14ac:dyDescent="0.25">
      <c r="A653" s="1">
        <v>1</v>
      </c>
      <c r="B653" s="1">
        <v>117</v>
      </c>
      <c r="C653" s="1">
        <v>60</v>
      </c>
      <c r="D653" s="1">
        <v>23</v>
      </c>
      <c r="E653" s="1">
        <v>106</v>
      </c>
      <c r="F653" s="1">
        <v>33.799999999999997</v>
      </c>
      <c r="G653" s="1">
        <v>0.46600000000000003</v>
      </c>
      <c r="H653" s="1">
        <v>27</v>
      </c>
      <c r="I653" s="1">
        <v>0</v>
      </c>
      <c r="J653" s="1" t="str">
        <f>IFERROR(VLOOKUP(K653,[1]diabetes_Recognition!$A:$B,2,FALSE),"Not Sampled")</f>
        <v>Not Sampled</v>
      </c>
      <c r="K653" s="1">
        <v>651</v>
      </c>
      <c r="L653" s="1">
        <f>LOOKUP(A653,Sheet2!$D$4:$E$9)</f>
        <v>1</v>
      </c>
      <c r="M653" t="str">
        <f>LOOKUP(B653,Sheet2!$G$4:$H$9)</f>
        <v>100-125</v>
      </c>
      <c r="N653" t="str">
        <f>LOOKUP(C653,Sheet2!$J$4:$K$8)</f>
        <v>60-69</v>
      </c>
      <c r="O653" t="str">
        <f>LOOKUP(D653,Sheet2!$M$4:$N$8)</f>
        <v>10-30</v>
      </c>
      <c r="P653" t="str">
        <f>LOOKUP(E653,Sheet2!$P$4:$Q$9)</f>
        <v>100-199</v>
      </c>
      <c r="Q653" t="str">
        <f>LOOKUP(F653,Sheet2!$S$4:$T$8)</f>
        <v>31-35</v>
      </c>
      <c r="R653" t="str">
        <f>LOOKUP(G653,Sheet2!$V$4:$W$7)</f>
        <v>0.4 - 0.69</v>
      </c>
      <c r="S653" t="str">
        <f>LOOKUP(H653,Sheet2!$Z$4:$AA$7)</f>
        <v>26-35</v>
      </c>
      <c r="T653" t="str">
        <f t="shared" si="30"/>
        <v>Negative</v>
      </c>
      <c r="U653" t="str">
        <f t="shared" si="31"/>
        <v>Not Sampled</v>
      </c>
      <c r="V653" s="1" t="str">
        <f t="shared" si="32"/>
        <v>Not Sampled</v>
      </c>
    </row>
    <row r="654" spans="1:22" x14ac:dyDescent="0.25">
      <c r="A654" s="1">
        <v>5</v>
      </c>
      <c r="B654" s="1">
        <v>123</v>
      </c>
      <c r="C654" s="1">
        <v>74</v>
      </c>
      <c r="D654" s="1">
        <v>40</v>
      </c>
      <c r="E654" s="1">
        <v>77</v>
      </c>
      <c r="F654" s="1">
        <v>34.1</v>
      </c>
      <c r="G654" s="1">
        <v>0.26900000000000002</v>
      </c>
      <c r="H654" s="1">
        <v>28</v>
      </c>
      <c r="I654" s="1">
        <v>0</v>
      </c>
      <c r="J654" s="1" t="str">
        <f>IFERROR(VLOOKUP(K654,[1]diabetes_Recognition!$A:$B,2,FALSE),"Not Sampled")</f>
        <v>Not Sampled</v>
      </c>
      <c r="K654" s="1">
        <v>652</v>
      </c>
      <c r="L654" s="1" t="str">
        <f>LOOKUP(A654,Sheet2!$D$4:$E$9)</f>
        <v>5-7</v>
      </c>
      <c r="M654" t="str">
        <f>LOOKUP(B654,Sheet2!$G$4:$H$9)</f>
        <v>100-125</v>
      </c>
      <c r="N654" t="str">
        <f>LOOKUP(C654,Sheet2!$J$4:$K$8)</f>
        <v>70-79</v>
      </c>
      <c r="O654" t="str">
        <f>LOOKUP(D654,Sheet2!$M$4:$N$8)</f>
        <v>40+</v>
      </c>
      <c r="P654" t="str">
        <f>LOOKUP(E654,Sheet2!$P$4:$Q$9)</f>
        <v>1-99</v>
      </c>
      <c r="Q654" t="str">
        <f>LOOKUP(F654,Sheet2!$S$4:$T$8)</f>
        <v>31-35</v>
      </c>
      <c r="R654" t="str">
        <f>LOOKUP(G654,Sheet2!$V$4:$W$7)</f>
        <v>0.25 - 0.39</v>
      </c>
      <c r="S654" t="str">
        <f>LOOKUP(H654,Sheet2!$Z$4:$AA$7)</f>
        <v>26-35</v>
      </c>
      <c r="T654" t="str">
        <f t="shared" si="30"/>
        <v>Negative</v>
      </c>
      <c r="U654" t="str">
        <f t="shared" si="31"/>
        <v>Not Sampled</v>
      </c>
      <c r="V654" s="1" t="str">
        <f t="shared" si="32"/>
        <v>Not Sampled</v>
      </c>
    </row>
    <row r="655" spans="1:22" x14ac:dyDescent="0.25">
      <c r="A655" s="1">
        <v>2</v>
      </c>
      <c r="B655" s="1">
        <v>120</v>
      </c>
      <c r="C655" s="1">
        <v>54</v>
      </c>
      <c r="D655" s="1">
        <v>0</v>
      </c>
      <c r="E655" s="1">
        <v>0</v>
      </c>
      <c r="F655" s="1">
        <v>26.8</v>
      </c>
      <c r="G655" s="1">
        <v>0.45500000000000002</v>
      </c>
      <c r="H655" s="1">
        <v>27</v>
      </c>
      <c r="I655" s="1">
        <v>0</v>
      </c>
      <c r="J655" s="1">
        <f>IFERROR(VLOOKUP(K655,[1]diabetes_Recognition!$A:$B,2,FALSE),"Not Sampled")</f>
        <v>0</v>
      </c>
      <c r="K655" s="1">
        <v>653</v>
      </c>
      <c r="L655" s="1">
        <f>LOOKUP(A655,Sheet2!$D$4:$E$9)</f>
        <v>2</v>
      </c>
      <c r="M655" t="str">
        <f>LOOKUP(B655,Sheet2!$G$4:$H$9)</f>
        <v>100-125</v>
      </c>
      <c r="N655" t="str">
        <f>LOOKUP(C655,Sheet2!$J$4:$K$8)</f>
        <v>1-59</v>
      </c>
      <c r="O655" t="str">
        <f>LOOKUP(D655,Sheet2!$M$4:$N$8)</f>
        <v>Unknown</v>
      </c>
      <c r="P655" t="str">
        <f>LOOKUP(E655,Sheet2!$P$4:$Q$9)</f>
        <v>Unknown</v>
      </c>
      <c r="Q655" t="str">
        <f>LOOKUP(F655,Sheet2!$S$4:$T$8)</f>
        <v>26-30</v>
      </c>
      <c r="R655" t="str">
        <f>LOOKUP(G655,Sheet2!$V$4:$W$7)</f>
        <v>0.4 - 0.69</v>
      </c>
      <c r="S655" t="str">
        <f>LOOKUP(H655,Sheet2!$Z$4:$AA$7)</f>
        <v>26-35</v>
      </c>
      <c r="T655" t="str">
        <f t="shared" si="30"/>
        <v>Negative</v>
      </c>
      <c r="U655" t="str">
        <f t="shared" si="31"/>
        <v>Negative</v>
      </c>
      <c r="V655" s="1" t="str">
        <f t="shared" si="32"/>
        <v>Accurate Prediction</v>
      </c>
    </row>
    <row r="656" spans="1:22" x14ac:dyDescent="0.25">
      <c r="A656" s="1">
        <v>1</v>
      </c>
      <c r="B656" s="1">
        <v>106</v>
      </c>
      <c r="C656" s="1">
        <v>70</v>
      </c>
      <c r="D656" s="1">
        <v>28</v>
      </c>
      <c r="E656" s="1">
        <v>135</v>
      </c>
      <c r="F656" s="1">
        <v>34.200000000000003</v>
      </c>
      <c r="G656" s="1">
        <v>0.14199999999999999</v>
      </c>
      <c r="H656" s="1">
        <v>22</v>
      </c>
      <c r="I656" s="1">
        <v>0</v>
      </c>
      <c r="J656" s="1">
        <f>IFERROR(VLOOKUP(K656,[1]diabetes_Recognition!$A:$B,2,FALSE),"Not Sampled")</f>
        <v>0</v>
      </c>
      <c r="K656" s="1">
        <v>654</v>
      </c>
      <c r="L656" s="1">
        <f>LOOKUP(A656,Sheet2!$D$4:$E$9)</f>
        <v>1</v>
      </c>
      <c r="M656" t="str">
        <f>LOOKUP(B656,Sheet2!$G$4:$H$9)</f>
        <v>100-125</v>
      </c>
      <c r="N656" t="str">
        <f>LOOKUP(C656,Sheet2!$J$4:$K$8)</f>
        <v>70-79</v>
      </c>
      <c r="O656" t="str">
        <f>LOOKUP(D656,Sheet2!$M$4:$N$8)</f>
        <v>10-30</v>
      </c>
      <c r="P656" t="str">
        <f>LOOKUP(E656,Sheet2!$P$4:$Q$9)</f>
        <v>100-199</v>
      </c>
      <c r="Q656" t="str">
        <f>LOOKUP(F656,Sheet2!$S$4:$T$8)</f>
        <v>31-35</v>
      </c>
      <c r="R656" t="str">
        <f>LOOKUP(G656,Sheet2!$V$4:$W$7)</f>
        <v>0.0 - 0.249</v>
      </c>
      <c r="S656" t="str">
        <f>LOOKUP(H656,Sheet2!$Z$4:$AA$7)</f>
        <v>&lt;=25</v>
      </c>
      <c r="T656" t="str">
        <f t="shared" si="30"/>
        <v>Negative</v>
      </c>
      <c r="U656" t="str">
        <f t="shared" si="31"/>
        <v>Negative</v>
      </c>
      <c r="V656" s="1" t="str">
        <f t="shared" si="32"/>
        <v>Accurate Prediction</v>
      </c>
    </row>
    <row r="657" spans="1:22" x14ac:dyDescent="0.25">
      <c r="A657" s="1">
        <v>2</v>
      </c>
      <c r="B657" s="1">
        <v>155</v>
      </c>
      <c r="C657" s="1">
        <v>52</v>
      </c>
      <c r="D657" s="1">
        <v>27</v>
      </c>
      <c r="E657" s="1">
        <v>540</v>
      </c>
      <c r="F657" s="1">
        <v>38.700000000000003</v>
      </c>
      <c r="G657" s="1">
        <v>0.24</v>
      </c>
      <c r="H657" s="1">
        <v>25</v>
      </c>
      <c r="I657" s="1">
        <v>1</v>
      </c>
      <c r="J657" s="1">
        <f>IFERROR(VLOOKUP(K657,[1]diabetes_Recognition!$A:$B,2,FALSE),"Not Sampled")</f>
        <v>0</v>
      </c>
      <c r="K657" s="1">
        <v>655</v>
      </c>
      <c r="L657" s="1">
        <f>LOOKUP(A657,Sheet2!$D$4:$E$9)</f>
        <v>2</v>
      </c>
      <c r="M657" t="str">
        <f>LOOKUP(B657,Sheet2!$G$4:$H$9)</f>
        <v>151-175</v>
      </c>
      <c r="N657" t="str">
        <f>LOOKUP(C657,Sheet2!$J$4:$K$8)</f>
        <v>1-59</v>
      </c>
      <c r="O657" t="str">
        <f>LOOKUP(D657,Sheet2!$M$4:$N$8)</f>
        <v>10-30</v>
      </c>
      <c r="P657" t="str">
        <f>LOOKUP(E657,Sheet2!$P$4:$Q$9)</f>
        <v>500+</v>
      </c>
      <c r="Q657" t="str">
        <f>LOOKUP(F657,Sheet2!$S$4:$T$8)</f>
        <v>36+</v>
      </c>
      <c r="R657" t="str">
        <f>LOOKUP(G657,Sheet2!$V$4:$W$7)</f>
        <v>0.0 - 0.249</v>
      </c>
      <c r="S657" t="str">
        <f>LOOKUP(H657,Sheet2!$Z$4:$AA$7)</f>
        <v>&lt;=25</v>
      </c>
      <c r="T657" t="str">
        <f t="shared" si="30"/>
        <v>Positive</v>
      </c>
      <c r="U657" t="str">
        <f t="shared" si="31"/>
        <v>Negative</v>
      </c>
      <c r="V657" s="1" t="str">
        <f t="shared" si="32"/>
        <v>Inaccurate Prediction</v>
      </c>
    </row>
    <row r="658" spans="1:22" x14ac:dyDescent="0.25">
      <c r="A658" s="1">
        <v>2</v>
      </c>
      <c r="B658" s="1">
        <v>101</v>
      </c>
      <c r="C658" s="1">
        <v>58</v>
      </c>
      <c r="D658" s="1">
        <v>35</v>
      </c>
      <c r="E658" s="1">
        <v>90</v>
      </c>
      <c r="F658" s="1">
        <v>21.8</v>
      </c>
      <c r="G658" s="1">
        <v>0.155</v>
      </c>
      <c r="H658" s="1">
        <v>22</v>
      </c>
      <c r="I658" s="1">
        <v>0</v>
      </c>
      <c r="J658" s="1" t="str">
        <f>IFERROR(VLOOKUP(K658,[1]diabetes_Recognition!$A:$B,2,FALSE),"Not Sampled")</f>
        <v>Not Sampled</v>
      </c>
      <c r="K658" s="1">
        <v>656</v>
      </c>
      <c r="L658" s="1">
        <f>LOOKUP(A658,Sheet2!$D$4:$E$9)</f>
        <v>2</v>
      </c>
      <c r="M658" t="str">
        <f>LOOKUP(B658,Sheet2!$G$4:$H$9)</f>
        <v>100-125</v>
      </c>
      <c r="N658" t="str">
        <f>LOOKUP(C658,Sheet2!$J$4:$K$8)</f>
        <v>1-59</v>
      </c>
      <c r="O658" t="str">
        <f>LOOKUP(D658,Sheet2!$M$4:$N$8)</f>
        <v>30-39</v>
      </c>
      <c r="P658" t="str">
        <f>LOOKUP(E658,Sheet2!$P$4:$Q$9)</f>
        <v>1-99</v>
      </c>
      <c r="Q658" t="str">
        <f>LOOKUP(F658,Sheet2!$S$4:$T$8)</f>
        <v>1-25</v>
      </c>
      <c r="R658" t="str">
        <f>LOOKUP(G658,Sheet2!$V$4:$W$7)</f>
        <v>0.0 - 0.249</v>
      </c>
      <c r="S658" t="str">
        <f>LOOKUP(H658,Sheet2!$Z$4:$AA$7)</f>
        <v>&lt;=25</v>
      </c>
      <c r="T658" t="str">
        <f t="shared" si="30"/>
        <v>Negative</v>
      </c>
      <c r="U658" t="str">
        <f t="shared" si="31"/>
        <v>Not Sampled</v>
      </c>
      <c r="V658" s="1" t="str">
        <f t="shared" si="32"/>
        <v>Not Sampled</v>
      </c>
    </row>
    <row r="659" spans="1:22" x14ac:dyDescent="0.25">
      <c r="A659" s="1">
        <v>1</v>
      </c>
      <c r="B659" s="1">
        <v>120</v>
      </c>
      <c r="C659" s="1">
        <v>80</v>
      </c>
      <c r="D659" s="1">
        <v>48</v>
      </c>
      <c r="E659" s="1">
        <v>200</v>
      </c>
      <c r="F659" s="1">
        <v>38.9</v>
      </c>
      <c r="G659" s="1">
        <v>1.1619999999999999</v>
      </c>
      <c r="H659" s="1">
        <v>41</v>
      </c>
      <c r="I659" s="1">
        <v>0</v>
      </c>
      <c r="J659" s="1" t="str">
        <f>IFERROR(VLOOKUP(K659,[1]diabetes_Recognition!$A:$B,2,FALSE),"Not Sampled")</f>
        <v>Not Sampled</v>
      </c>
      <c r="K659" s="1">
        <v>657</v>
      </c>
      <c r="L659" s="1">
        <f>LOOKUP(A659,Sheet2!$D$4:$E$9)</f>
        <v>1</v>
      </c>
      <c r="M659" t="str">
        <f>LOOKUP(B659,Sheet2!$G$4:$H$9)</f>
        <v>100-125</v>
      </c>
      <c r="N659" t="str">
        <f>LOOKUP(C659,Sheet2!$J$4:$K$8)</f>
        <v>80+</v>
      </c>
      <c r="O659" t="str">
        <f>LOOKUP(D659,Sheet2!$M$4:$N$8)</f>
        <v>40+</v>
      </c>
      <c r="P659" t="str">
        <f>LOOKUP(E659,Sheet2!$P$4:$Q$9)</f>
        <v>200-399</v>
      </c>
      <c r="Q659" t="str">
        <f>LOOKUP(F659,Sheet2!$S$4:$T$8)</f>
        <v>36+</v>
      </c>
      <c r="R659" t="str">
        <f>LOOKUP(G659,Sheet2!$V$4:$W$7)</f>
        <v>0.7+</v>
      </c>
      <c r="S659" t="str">
        <f>LOOKUP(H659,Sheet2!$Z$4:$AA$7)</f>
        <v>36-45</v>
      </c>
      <c r="T659" t="str">
        <f t="shared" si="30"/>
        <v>Negative</v>
      </c>
      <c r="U659" t="str">
        <f t="shared" si="31"/>
        <v>Not Sampled</v>
      </c>
      <c r="V659" s="1" t="str">
        <f t="shared" si="32"/>
        <v>Not Sampled</v>
      </c>
    </row>
    <row r="660" spans="1:22" x14ac:dyDescent="0.25">
      <c r="A660" s="1">
        <v>11</v>
      </c>
      <c r="B660" s="1">
        <v>127</v>
      </c>
      <c r="C660" s="1">
        <v>106</v>
      </c>
      <c r="D660" s="1">
        <v>0</v>
      </c>
      <c r="E660" s="1">
        <v>0</v>
      </c>
      <c r="F660" s="1">
        <v>39</v>
      </c>
      <c r="G660" s="1">
        <v>0.19</v>
      </c>
      <c r="H660" s="1">
        <v>51</v>
      </c>
      <c r="I660" s="1">
        <v>0</v>
      </c>
      <c r="J660" s="1" t="str">
        <f>IFERROR(VLOOKUP(K660,[1]diabetes_Recognition!$A:$B,2,FALSE),"Not Sampled")</f>
        <v>Not Sampled</v>
      </c>
      <c r="K660" s="1">
        <v>658</v>
      </c>
      <c r="L660" s="1" t="str">
        <f>LOOKUP(A660,Sheet2!$D$4:$E$9)</f>
        <v>8+</v>
      </c>
      <c r="M660" t="str">
        <f>LOOKUP(B660,Sheet2!$G$4:$H$9)</f>
        <v>126-150</v>
      </c>
      <c r="N660" t="str">
        <f>LOOKUP(C660,Sheet2!$J$4:$K$8)</f>
        <v>80+</v>
      </c>
      <c r="O660" t="str">
        <f>LOOKUP(D660,Sheet2!$M$4:$N$8)</f>
        <v>Unknown</v>
      </c>
      <c r="P660" t="str">
        <f>LOOKUP(E660,Sheet2!$P$4:$Q$9)</f>
        <v>Unknown</v>
      </c>
      <c r="Q660" t="str">
        <f>LOOKUP(F660,Sheet2!$S$4:$T$8)</f>
        <v>36+</v>
      </c>
      <c r="R660" t="str">
        <f>LOOKUP(G660,Sheet2!$V$4:$W$7)</f>
        <v>0.0 - 0.249</v>
      </c>
      <c r="S660" t="str">
        <f>LOOKUP(H660,Sheet2!$Z$4:$AA$7)</f>
        <v>46+</v>
      </c>
      <c r="T660" t="str">
        <f t="shared" si="30"/>
        <v>Negative</v>
      </c>
      <c r="U660" t="str">
        <f t="shared" si="31"/>
        <v>Not Sampled</v>
      </c>
      <c r="V660" s="1" t="str">
        <f t="shared" si="32"/>
        <v>Not Sampled</v>
      </c>
    </row>
    <row r="661" spans="1:22" x14ac:dyDescent="0.25">
      <c r="A661" s="1">
        <v>3</v>
      </c>
      <c r="B661" s="1">
        <v>80</v>
      </c>
      <c r="C661" s="1">
        <v>82</v>
      </c>
      <c r="D661" s="1">
        <v>31</v>
      </c>
      <c r="E661" s="1">
        <v>70</v>
      </c>
      <c r="F661" s="1">
        <v>34.200000000000003</v>
      </c>
      <c r="G661" s="1">
        <v>1.292</v>
      </c>
      <c r="H661" s="1">
        <v>27</v>
      </c>
      <c r="I661" s="1">
        <v>1</v>
      </c>
      <c r="J661" s="1" t="str">
        <f>IFERROR(VLOOKUP(K661,[1]diabetes_Recognition!$A:$B,2,FALSE),"Not Sampled")</f>
        <v>Not Sampled</v>
      </c>
      <c r="K661" s="1">
        <v>659</v>
      </c>
      <c r="L661" s="1" t="str">
        <f>LOOKUP(A661,Sheet2!$D$4:$E$9)</f>
        <v>3-4</v>
      </c>
      <c r="M661" t="str">
        <f>LOOKUP(B661,Sheet2!$G$4:$H$9)</f>
        <v>1-99</v>
      </c>
      <c r="N661" t="str">
        <f>LOOKUP(C661,Sheet2!$J$4:$K$8)</f>
        <v>80+</v>
      </c>
      <c r="O661" t="str">
        <f>LOOKUP(D661,Sheet2!$M$4:$N$8)</f>
        <v>30-39</v>
      </c>
      <c r="P661" t="str">
        <f>LOOKUP(E661,Sheet2!$P$4:$Q$9)</f>
        <v>1-99</v>
      </c>
      <c r="Q661" t="str">
        <f>LOOKUP(F661,Sheet2!$S$4:$T$8)</f>
        <v>31-35</v>
      </c>
      <c r="R661" t="str">
        <f>LOOKUP(G661,Sheet2!$V$4:$W$7)</f>
        <v>0.7+</v>
      </c>
      <c r="S661" t="str">
        <f>LOOKUP(H661,Sheet2!$Z$4:$AA$7)</f>
        <v>26-35</v>
      </c>
      <c r="T661" t="str">
        <f t="shared" si="30"/>
        <v>Positive</v>
      </c>
      <c r="U661" t="str">
        <f t="shared" si="31"/>
        <v>Not Sampled</v>
      </c>
      <c r="V661" s="1" t="str">
        <f t="shared" si="32"/>
        <v>Not Sampled</v>
      </c>
    </row>
    <row r="662" spans="1:22" x14ac:dyDescent="0.25">
      <c r="A662" s="1">
        <v>10</v>
      </c>
      <c r="B662" s="1">
        <v>162</v>
      </c>
      <c r="C662" s="1">
        <v>84</v>
      </c>
      <c r="D662" s="1">
        <v>0</v>
      </c>
      <c r="E662" s="1">
        <v>0</v>
      </c>
      <c r="F662" s="1">
        <v>27.7</v>
      </c>
      <c r="G662" s="1">
        <v>0.182</v>
      </c>
      <c r="H662" s="1">
        <v>54</v>
      </c>
      <c r="I662" s="1">
        <v>0</v>
      </c>
      <c r="J662" s="1">
        <f>IFERROR(VLOOKUP(K662,[1]diabetes_Recognition!$A:$B,2,FALSE),"Not Sampled")</f>
        <v>1</v>
      </c>
      <c r="K662" s="1">
        <v>660</v>
      </c>
      <c r="L662" s="1" t="str">
        <f>LOOKUP(A662,Sheet2!$D$4:$E$9)</f>
        <v>8+</v>
      </c>
      <c r="M662" t="str">
        <f>LOOKUP(B662,Sheet2!$G$4:$H$9)</f>
        <v>151-175</v>
      </c>
      <c r="N662" t="str">
        <f>LOOKUP(C662,Sheet2!$J$4:$K$8)</f>
        <v>80+</v>
      </c>
      <c r="O662" t="str">
        <f>LOOKUP(D662,Sheet2!$M$4:$N$8)</f>
        <v>Unknown</v>
      </c>
      <c r="P662" t="str">
        <f>LOOKUP(E662,Sheet2!$P$4:$Q$9)</f>
        <v>Unknown</v>
      </c>
      <c r="Q662" t="str">
        <f>LOOKUP(F662,Sheet2!$S$4:$T$8)</f>
        <v>26-30</v>
      </c>
      <c r="R662" t="str">
        <f>LOOKUP(G662,Sheet2!$V$4:$W$7)</f>
        <v>0.0 - 0.249</v>
      </c>
      <c r="S662" t="str">
        <f>LOOKUP(H662,Sheet2!$Z$4:$AA$7)</f>
        <v>46+</v>
      </c>
      <c r="T662" t="str">
        <f t="shared" si="30"/>
        <v>Negative</v>
      </c>
      <c r="U662" t="str">
        <f t="shared" si="31"/>
        <v>Positive</v>
      </c>
      <c r="V662" s="1" t="str">
        <f t="shared" si="32"/>
        <v>Inaccurate Prediction</v>
      </c>
    </row>
    <row r="663" spans="1:22" x14ac:dyDescent="0.25">
      <c r="A663" s="1">
        <v>1</v>
      </c>
      <c r="B663" s="1">
        <v>199</v>
      </c>
      <c r="C663" s="1">
        <v>76</v>
      </c>
      <c r="D663" s="1">
        <v>43</v>
      </c>
      <c r="E663" s="1">
        <v>0</v>
      </c>
      <c r="F663" s="1">
        <v>42.9</v>
      </c>
      <c r="G663" s="1">
        <v>1.3939999999999999</v>
      </c>
      <c r="H663" s="1">
        <v>22</v>
      </c>
      <c r="I663" s="1">
        <v>1</v>
      </c>
      <c r="J663" s="1">
        <f>IFERROR(VLOOKUP(K663,[1]diabetes_Recognition!$A:$B,2,FALSE),"Not Sampled")</f>
        <v>1</v>
      </c>
      <c r="K663" s="1">
        <v>661</v>
      </c>
      <c r="L663" s="1">
        <f>LOOKUP(A663,Sheet2!$D$4:$E$9)</f>
        <v>1</v>
      </c>
      <c r="M663" t="str">
        <f>LOOKUP(B663,Sheet2!$G$4:$H$9)</f>
        <v>176-200</v>
      </c>
      <c r="N663" t="str">
        <f>LOOKUP(C663,Sheet2!$J$4:$K$8)</f>
        <v>70-79</v>
      </c>
      <c r="O663" t="str">
        <f>LOOKUP(D663,Sheet2!$M$4:$N$8)</f>
        <v>40+</v>
      </c>
      <c r="P663" t="str">
        <f>LOOKUP(E663,Sheet2!$P$4:$Q$9)</f>
        <v>Unknown</v>
      </c>
      <c r="Q663" t="str">
        <f>LOOKUP(F663,Sheet2!$S$4:$T$8)</f>
        <v>36+</v>
      </c>
      <c r="R663" t="str">
        <f>LOOKUP(G663,Sheet2!$V$4:$W$7)</f>
        <v>0.7+</v>
      </c>
      <c r="S663" t="str">
        <f>LOOKUP(H663,Sheet2!$Z$4:$AA$7)</f>
        <v>&lt;=25</v>
      </c>
      <c r="T663" t="str">
        <f t="shared" si="30"/>
        <v>Positive</v>
      </c>
      <c r="U663" t="str">
        <f t="shared" si="31"/>
        <v>Positive</v>
      </c>
      <c r="V663" s="1" t="str">
        <f t="shared" si="32"/>
        <v>Accurate Prediction</v>
      </c>
    </row>
    <row r="664" spans="1:22" x14ac:dyDescent="0.25">
      <c r="A664" s="1">
        <v>8</v>
      </c>
      <c r="B664" s="1">
        <v>167</v>
      </c>
      <c r="C664" s="1">
        <v>106</v>
      </c>
      <c r="D664" s="1">
        <v>46</v>
      </c>
      <c r="E664" s="1">
        <v>231</v>
      </c>
      <c r="F664" s="1">
        <v>37.6</v>
      </c>
      <c r="G664" s="1">
        <v>0.16500000000000001</v>
      </c>
      <c r="H664" s="1">
        <v>43</v>
      </c>
      <c r="I664" s="1">
        <v>1</v>
      </c>
      <c r="J664" s="1" t="str">
        <f>IFERROR(VLOOKUP(K664,[1]diabetes_Recognition!$A:$B,2,FALSE),"Not Sampled")</f>
        <v>Not Sampled</v>
      </c>
      <c r="K664" s="1">
        <v>662</v>
      </c>
      <c r="L664" s="1" t="str">
        <f>LOOKUP(A664,Sheet2!$D$4:$E$9)</f>
        <v>8+</v>
      </c>
      <c r="M664" t="str">
        <f>LOOKUP(B664,Sheet2!$G$4:$H$9)</f>
        <v>151-175</v>
      </c>
      <c r="N664" t="str">
        <f>LOOKUP(C664,Sheet2!$J$4:$K$8)</f>
        <v>80+</v>
      </c>
      <c r="O664" t="str">
        <f>LOOKUP(D664,Sheet2!$M$4:$N$8)</f>
        <v>40+</v>
      </c>
      <c r="P664" t="str">
        <f>LOOKUP(E664,Sheet2!$P$4:$Q$9)</f>
        <v>200-399</v>
      </c>
      <c r="Q664" t="str">
        <f>LOOKUP(F664,Sheet2!$S$4:$T$8)</f>
        <v>36+</v>
      </c>
      <c r="R664" t="str">
        <f>LOOKUP(G664,Sheet2!$V$4:$W$7)</f>
        <v>0.0 - 0.249</v>
      </c>
      <c r="S664" t="str">
        <f>LOOKUP(H664,Sheet2!$Z$4:$AA$7)</f>
        <v>36-45</v>
      </c>
      <c r="T664" t="str">
        <f t="shared" si="30"/>
        <v>Positive</v>
      </c>
      <c r="U664" t="str">
        <f t="shared" si="31"/>
        <v>Not Sampled</v>
      </c>
      <c r="V664" s="1" t="str">
        <f t="shared" si="32"/>
        <v>Not Sampled</v>
      </c>
    </row>
    <row r="665" spans="1:22" x14ac:dyDescent="0.25">
      <c r="A665" s="1">
        <v>9</v>
      </c>
      <c r="B665" s="1">
        <v>145</v>
      </c>
      <c r="C665" s="1">
        <v>80</v>
      </c>
      <c r="D665" s="1">
        <v>46</v>
      </c>
      <c r="E665" s="1">
        <v>130</v>
      </c>
      <c r="F665" s="1">
        <v>37.9</v>
      </c>
      <c r="G665" s="1">
        <v>0.63700000000000001</v>
      </c>
      <c r="H665" s="1">
        <v>40</v>
      </c>
      <c r="I665" s="1">
        <v>1</v>
      </c>
      <c r="J665" s="1" t="str">
        <f>IFERROR(VLOOKUP(K665,[1]diabetes_Recognition!$A:$B,2,FALSE),"Not Sampled")</f>
        <v>Not Sampled</v>
      </c>
      <c r="K665" s="1">
        <v>663</v>
      </c>
      <c r="L665" s="1" t="str">
        <f>LOOKUP(A665,Sheet2!$D$4:$E$9)</f>
        <v>8+</v>
      </c>
      <c r="M665" t="str">
        <f>LOOKUP(B665,Sheet2!$G$4:$H$9)</f>
        <v>126-150</v>
      </c>
      <c r="N665" t="str">
        <f>LOOKUP(C665,Sheet2!$J$4:$K$8)</f>
        <v>80+</v>
      </c>
      <c r="O665" t="str">
        <f>LOOKUP(D665,Sheet2!$M$4:$N$8)</f>
        <v>40+</v>
      </c>
      <c r="P665" t="str">
        <f>LOOKUP(E665,Sheet2!$P$4:$Q$9)</f>
        <v>100-199</v>
      </c>
      <c r="Q665" t="str">
        <f>LOOKUP(F665,Sheet2!$S$4:$T$8)</f>
        <v>36+</v>
      </c>
      <c r="R665" t="str">
        <f>LOOKUP(G665,Sheet2!$V$4:$W$7)</f>
        <v>0.4 - 0.69</v>
      </c>
      <c r="S665" t="str">
        <f>LOOKUP(H665,Sheet2!$Z$4:$AA$7)</f>
        <v>36-45</v>
      </c>
      <c r="T665" t="str">
        <f t="shared" si="30"/>
        <v>Positive</v>
      </c>
      <c r="U665" t="str">
        <f t="shared" si="31"/>
        <v>Not Sampled</v>
      </c>
      <c r="V665" s="1" t="str">
        <f t="shared" si="32"/>
        <v>Not Sampled</v>
      </c>
    </row>
    <row r="666" spans="1:22" x14ac:dyDescent="0.25">
      <c r="A666" s="1">
        <v>6</v>
      </c>
      <c r="B666" s="1">
        <v>115</v>
      </c>
      <c r="C666" s="1">
        <v>60</v>
      </c>
      <c r="D666" s="1">
        <v>39</v>
      </c>
      <c r="E666" s="1">
        <v>0</v>
      </c>
      <c r="F666" s="1">
        <v>33.700000000000003</v>
      </c>
      <c r="G666" s="1">
        <v>0.245</v>
      </c>
      <c r="H666" s="1">
        <v>40</v>
      </c>
      <c r="I666" s="1">
        <v>1</v>
      </c>
      <c r="J666" s="1" t="str">
        <f>IFERROR(VLOOKUP(K666,[1]diabetes_Recognition!$A:$B,2,FALSE),"Not Sampled")</f>
        <v>Not Sampled</v>
      </c>
      <c r="K666" s="1">
        <v>664</v>
      </c>
      <c r="L666" s="1" t="str">
        <f>LOOKUP(A666,Sheet2!$D$4:$E$9)</f>
        <v>5-7</v>
      </c>
      <c r="M666" t="str">
        <f>LOOKUP(B666,Sheet2!$G$4:$H$9)</f>
        <v>100-125</v>
      </c>
      <c r="N666" t="str">
        <f>LOOKUP(C666,Sheet2!$J$4:$K$8)</f>
        <v>60-69</v>
      </c>
      <c r="O666" t="str">
        <f>LOOKUP(D666,Sheet2!$M$4:$N$8)</f>
        <v>30-39</v>
      </c>
      <c r="P666" t="str">
        <f>LOOKUP(E666,Sheet2!$P$4:$Q$9)</f>
        <v>Unknown</v>
      </c>
      <c r="Q666" t="str">
        <f>LOOKUP(F666,Sheet2!$S$4:$T$8)</f>
        <v>31-35</v>
      </c>
      <c r="R666" t="str">
        <f>LOOKUP(G666,Sheet2!$V$4:$W$7)</f>
        <v>0.0 - 0.249</v>
      </c>
      <c r="S666" t="str">
        <f>LOOKUP(H666,Sheet2!$Z$4:$AA$7)</f>
        <v>36-45</v>
      </c>
      <c r="T666" t="str">
        <f t="shared" si="30"/>
        <v>Positive</v>
      </c>
      <c r="U666" t="str">
        <f t="shared" si="31"/>
        <v>Not Sampled</v>
      </c>
      <c r="V666" s="1" t="str">
        <f t="shared" si="32"/>
        <v>Not Sampled</v>
      </c>
    </row>
    <row r="667" spans="1:22" x14ac:dyDescent="0.25">
      <c r="A667" s="1">
        <v>1</v>
      </c>
      <c r="B667" s="1">
        <v>112</v>
      </c>
      <c r="C667" s="1">
        <v>80</v>
      </c>
      <c r="D667" s="1">
        <v>45</v>
      </c>
      <c r="E667" s="1">
        <v>132</v>
      </c>
      <c r="F667" s="1">
        <v>34.799999999999997</v>
      </c>
      <c r="G667" s="1">
        <v>0.217</v>
      </c>
      <c r="H667" s="1">
        <v>24</v>
      </c>
      <c r="I667" s="1">
        <v>0</v>
      </c>
      <c r="J667" s="1" t="str">
        <f>IFERROR(VLOOKUP(K667,[1]diabetes_Recognition!$A:$B,2,FALSE),"Not Sampled")</f>
        <v>Not Sampled</v>
      </c>
      <c r="K667" s="1">
        <v>665</v>
      </c>
      <c r="L667" s="1">
        <f>LOOKUP(A667,Sheet2!$D$4:$E$9)</f>
        <v>1</v>
      </c>
      <c r="M667" t="str">
        <f>LOOKUP(B667,Sheet2!$G$4:$H$9)</f>
        <v>100-125</v>
      </c>
      <c r="N667" t="str">
        <f>LOOKUP(C667,Sheet2!$J$4:$K$8)</f>
        <v>80+</v>
      </c>
      <c r="O667" t="str">
        <f>LOOKUP(D667,Sheet2!$M$4:$N$8)</f>
        <v>40+</v>
      </c>
      <c r="P667" t="str">
        <f>LOOKUP(E667,Sheet2!$P$4:$Q$9)</f>
        <v>100-199</v>
      </c>
      <c r="Q667" t="str">
        <f>LOOKUP(F667,Sheet2!$S$4:$T$8)</f>
        <v>31-35</v>
      </c>
      <c r="R667" t="str">
        <f>LOOKUP(G667,Sheet2!$V$4:$W$7)</f>
        <v>0.0 - 0.249</v>
      </c>
      <c r="S667" t="str">
        <f>LOOKUP(H667,Sheet2!$Z$4:$AA$7)</f>
        <v>&lt;=25</v>
      </c>
      <c r="T667" t="str">
        <f t="shared" si="30"/>
        <v>Negative</v>
      </c>
      <c r="U667" t="str">
        <f t="shared" si="31"/>
        <v>Not Sampled</v>
      </c>
      <c r="V667" s="1" t="str">
        <f t="shared" si="32"/>
        <v>Not Sampled</v>
      </c>
    </row>
    <row r="668" spans="1:22" x14ac:dyDescent="0.25">
      <c r="A668" s="1">
        <v>4</v>
      </c>
      <c r="B668" s="1">
        <v>145</v>
      </c>
      <c r="C668" s="1">
        <v>82</v>
      </c>
      <c r="D668" s="1">
        <v>18</v>
      </c>
      <c r="E668" s="1">
        <v>0</v>
      </c>
      <c r="F668" s="1">
        <v>32.5</v>
      </c>
      <c r="G668" s="1">
        <v>0.23499999999999999</v>
      </c>
      <c r="H668" s="1">
        <v>70</v>
      </c>
      <c r="I668" s="1">
        <v>1</v>
      </c>
      <c r="J668" s="1" t="str">
        <f>IFERROR(VLOOKUP(K668,[1]diabetes_Recognition!$A:$B,2,FALSE),"Not Sampled")</f>
        <v>Not Sampled</v>
      </c>
      <c r="K668" s="1">
        <v>666</v>
      </c>
      <c r="L668" s="1" t="str">
        <f>LOOKUP(A668,Sheet2!$D$4:$E$9)</f>
        <v>3-4</v>
      </c>
      <c r="M668" t="str">
        <f>LOOKUP(B668,Sheet2!$G$4:$H$9)</f>
        <v>126-150</v>
      </c>
      <c r="N668" t="str">
        <f>LOOKUP(C668,Sheet2!$J$4:$K$8)</f>
        <v>80+</v>
      </c>
      <c r="O668" t="str">
        <f>LOOKUP(D668,Sheet2!$M$4:$N$8)</f>
        <v>10-30</v>
      </c>
      <c r="P668" t="str">
        <f>LOOKUP(E668,Sheet2!$P$4:$Q$9)</f>
        <v>Unknown</v>
      </c>
      <c r="Q668" t="str">
        <f>LOOKUP(F668,Sheet2!$S$4:$T$8)</f>
        <v>31-35</v>
      </c>
      <c r="R668" t="str">
        <f>LOOKUP(G668,Sheet2!$V$4:$W$7)</f>
        <v>0.0 - 0.249</v>
      </c>
      <c r="S668" t="str">
        <f>LOOKUP(H668,Sheet2!$Z$4:$AA$7)</f>
        <v>46+</v>
      </c>
      <c r="T668" t="str">
        <f t="shared" si="30"/>
        <v>Positive</v>
      </c>
      <c r="U668" t="str">
        <f t="shared" si="31"/>
        <v>Not Sampled</v>
      </c>
      <c r="V668" s="1" t="str">
        <f t="shared" si="32"/>
        <v>Not Sampled</v>
      </c>
    </row>
    <row r="669" spans="1:22" x14ac:dyDescent="0.25">
      <c r="A669" s="1">
        <v>10</v>
      </c>
      <c r="B669" s="1">
        <v>111</v>
      </c>
      <c r="C669" s="1">
        <v>70</v>
      </c>
      <c r="D669" s="1">
        <v>27</v>
      </c>
      <c r="E669" s="1">
        <v>0</v>
      </c>
      <c r="F669" s="1">
        <v>27.5</v>
      </c>
      <c r="G669" s="1">
        <v>0.14099999999999999</v>
      </c>
      <c r="H669" s="1">
        <v>40</v>
      </c>
      <c r="I669" s="1">
        <v>1</v>
      </c>
      <c r="J669" s="1" t="str">
        <f>IFERROR(VLOOKUP(K669,[1]diabetes_Recognition!$A:$B,2,FALSE),"Not Sampled")</f>
        <v>Not Sampled</v>
      </c>
      <c r="K669" s="1">
        <v>667</v>
      </c>
      <c r="L669" s="1" t="str">
        <f>LOOKUP(A669,Sheet2!$D$4:$E$9)</f>
        <v>8+</v>
      </c>
      <c r="M669" t="str">
        <f>LOOKUP(B669,Sheet2!$G$4:$H$9)</f>
        <v>100-125</v>
      </c>
      <c r="N669" t="str">
        <f>LOOKUP(C669,Sheet2!$J$4:$K$8)</f>
        <v>70-79</v>
      </c>
      <c r="O669" t="str">
        <f>LOOKUP(D669,Sheet2!$M$4:$N$8)</f>
        <v>10-30</v>
      </c>
      <c r="P669" t="str">
        <f>LOOKUP(E669,Sheet2!$P$4:$Q$9)</f>
        <v>Unknown</v>
      </c>
      <c r="Q669" t="str">
        <f>LOOKUP(F669,Sheet2!$S$4:$T$8)</f>
        <v>26-30</v>
      </c>
      <c r="R669" t="str">
        <f>LOOKUP(G669,Sheet2!$V$4:$W$7)</f>
        <v>0.0 - 0.249</v>
      </c>
      <c r="S669" t="str">
        <f>LOOKUP(H669,Sheet2!$Z$4:$AA$7)</f>
        <v>36-45</v>
      </c>
      <c r="T669" t="str">
        <f t="shared" si="30"/>
        <v>Positive</v>
      </c>
      <c r="U669" t="str">
        <f t="shared" si="31"/>
        <v>Not Sampled</v>
      </c>
      <c r="V669" s="1" t="str">
        <f t="shared" si="32"/>
        <v>Not Sampled</v>
      </c>
    </row>
    <row r="670" spans="1:22" x14ac:dyDescent="0.25">
      <c r="A670" s="1">
        <v>6</v>
      </c>
      <c r="B670" s="1">
        <v>98</v>
      </c>
      <c r="C670" s="1">
        <v>58</v>
      </c>
      <c r="D670" s="1">
        <v>33</v>
      </c>
      <c r="E670" s="1">
        <v>190</v>
      </c>
      <c r="F670" s="1">
        <v>34</v>
      </c>
      <c r="G670" s="1">
        <v>0.43</v>
      </c>
      <c r="H670" s="1">
        <v>43</v>
      </c>
      <c r="I670" s="1">
        <v>0</v>
      </c>
      <c r="J670" s="1" t="str">
        <f>IFERROR(VLOOKUP(K670,[1]diabetes_Recognition!$A:$B,2,FALSE),"Not Sampled")</f>
        <v>Not Sampled</v>
      </c>
      <c r="K670" s="1">
        <v>668</v>
      </c>
      <c r="L670" s="1" t="str">
        <f>LOOKUP(A670,Sheet2!$D$4:$E$9)</f>
        <v>5-7</v>
      </c>
      <c r="M670" t="str">
        <f>LOOKUP(B670,Sheet2!$G$4:$H$9)</f>
        <v>1-99</v>
      </c>
      <c r="N670" t="str">
        <f>LOOKUP(C670,Sheet2!$J$4:$K$8)</f>
        <v>1-59</v>
      </c>
      <c r="O670" t="str">
        <f>LOOKUP(D670,Sheet2!$M$4:$N$8)</f>
        <v>30-39</v>
      </c>
      <c r="P670" t="str">
        <f>LOOKUP(E670,Sheet2!$P$4:$Q$9)</f>
        <v>100-199</v>
      </c>
      <c r="Q670" t="str">
        <f>LOOKUP(F670,Sheet2!$S$4:$T$8)</f>
        <v>31-35</v>
      </c>
      <c r="R670" t="str">
        <f>LOOKUP(G670,Sheet2!$V$4:$W$7)</f>
        <v>0.4 - 0.69</v>
      </c>
      <c r="S670" t="str">
        <f>LOOKUP(H670,Sheet2!$Z$4:$AA$7)</f>
        <v>36-45</v>
      </c>
      <c r="T670" t="str">
        <f t="shared" si="30"/>
        <v>Negative</v>
      </c>
      <c r="U670" t="str">
        <f t="shared" si="31"/>
        <v>Not Sampled</v>
      </c>
      <c r="V670" s="1" t="str">
        <f t="shared" si="32"/>
        <v>Not Sampled</v>
      </c>
    </row>
    <row r="671" spans="1:22" x14ac:dyDescent="0.25">
      <c r="A671" s="1">
        <v>9</v>
      </c>
      <c r="B671" s="1">
        <v>154</v>
      </c>
      <c r="C671" s="1">
        <v>78</v>
      </c>
      <c r="D671" s="1">
        <v>30</v>
      </c>
      <c r="E671" s="1">
        <v>100</v>
      </c>
      <c r="F671" s="1">
        <v>30.9</v>
      </c>
      <c r="G671" s="1">
        <v>0.16400000000000001</v>
      </c>
      <c r="H671" s="1">
        <v>45</v>
      </c>
      <c r="I671" s="1">
        <v>0</v>
      </c>
      <c r="J671" s="1" t="str">
        <f>IFERROR(VLOOKUP(K671,[1]diabetes_Recognition!$A:$B,2,FALSE),"Not Sampled")</f>
        <v>Not Sampled</v>
      </c>
      <c r="K671" s="1">
        <v>669</v>
      </c>
      <c r="L671" s="1" t="str">
        <f>LOOKUP(A671,Sheet2!$D$4:$E$9)</f>
        <v>8+</v>
      </c>
      <c r="M671" t="str">
        <f>LOOKUP(B671,Sheet2!$G$4:$H$9)</f>
        <v>151-175</v>
      </c>
      <c r="N671" t="str">
        <f>LOOKUP(C671,Sheet2!$J$4:$K$8)</f>
        <v>70-79</v>
      </c>
      <c r="O671" t="str">
        <f>LOOKUP(D671,Sheet2!$M$4:$N$8)</f>
        <v>30-39</v>
      </c>
      <c r="P671" t="str">
        <f>LOOKUP(E671,Sheet2!$P$4:$Q$9)</f>
        <v>100-199</v>
      </c>
      <c r="Q671" t="str">
        <f>LOOKUP(F671,Sheet2!$S$4:$T$8)</f>
        <v>26-30</v>
      </c>
      <c r="R671" t="str">
        <f>LOOKUP(G671,Sheet2!$V$4:$W$7)</f>
        <v>0.0 - 0.249</v>
      </c>
      <c r="S671" t="str">
        <f>LOOKUP(H671,Sheet2!$Z$4:$AA$7)</f>
        <v>36-45</v>
      </c>
      <c r="T671" t="str">
        <f t="shared" si="30"/>
        <v>Negative</v>
      </c>
      <c r="U671" t="str">
        <f t="shared" si="31"/>
        <v>Not Sampled</v>
      </c>
      <c r="V671" s="1" t="str">
        <f t="shared" si="32"/>
        <v>Not Sampled</v>
      </c>
    </row>
    <row r="672" spans="1:22" x14ac:dyDescent="0.25">
      <c r="A672" s="1">
        <v>6</v>
      </c>
      <c r="B672" s="1">
        <v>165</v>
      </c>
      <c r="C672" s="1">
        <v>68</v>
      </c>
      <c r="D672" s="1">
        <v>26</v>
      </c>
      <c r="E672" s="1">
        <v>168</v>
      </c>
      <c r="F672" s="1">
        <v>33.6</v>
      </c>
      <c r="G672" s="1">
        <v>0.63100000000000001</v>
      </c>
      <c r="H672" s="1">
        <v>49</v>
      </c>
      <c r="I672" s="1">
        <v>0</v>
      </c>
      <c r="J672" s="1" t="str">
        <f>IFERROR(VLOOKUP(K672,[1]diabetes_Recognition!$A:$B,2,FALSE),"Not Sampled")</f>
        <v>Not Sampled</v>
      </c>
      <c r="K672" s="1">
        <v>670</v>
      </c>
      <c r="L672" s="1" t="str">
        <f>LOOKUP(A672,Sheet2!$D$4:$E$9)</f>
        <v>5-7</v>
      </c>
      <c r="M672" t="str">
        <f>LOOKUP(B672,Sheet2!$G$4:$H$9)</f>
        <v>151-175</v>
      </c>
      <c r="N672" t="str">
        <f>LOOKUP(C672,Sheet2!$J$4:$K$8)</f>
        <v>60-69</v>
      </c>
      <c r="O672" t="str">
        <f>LOOKUP(D672,Sheet2!$M$4:$N$8)</f>
        <v>10-30</v>
      </c>
      <c r="P672" t="str">
        <f>LOOKUP(E672,Sheet2!$P$4:$Q$9)</f>
        <v>100-199</v>
      </c>
      <c r="Q672" t="str">
        <f>LOOKUP(F672,Sheet2!$S$4:$T$8)</f>
        <v>31-35</v>
      </c>
      <c r="R672" t="str">
        <f>LOOKUP(G672,Sheet2!$V$4:$W$7)</f>
        <v>0.4 - 0.69</v>
      </c>
      <c r="S672" t="str">
        <f>LOOKUP(H672,Sheet2!$Z$4:$AA$7)</f>
        <v>46+</v>
      </c>
      <c r="T672" t="str">
        <f t="shared" si="30"/>
        <v>Negative</v>
      </c>
      <c r="U672" t="str">
        <f t="shared" si="31"/>
        <v>Not Sampled</v>
      </c>
      <c r="V672" s="1" t="str">
        <f t="shared" si="32"/>
        <v>Not Sampled</v>
      </c>
    </row>
    <row r="673" spans="1:22" x14ac:dyDescent="0.25">
      <c r="A673" s="1">
        <v>1</v>
      </c>
      <c r="B673" s="1">
        <v>99</v>
      </c>
      <c r="C673" s="1">
        <v>58</v>
      </c>
      <c r="D673" s="1">
        <v>10</v>
      </c>
      <c r="E673" s="1">
        <v>0</v>
      </c>
      <c r="F673" s="1">
        <v>25.4</v>
      </c>
      <c r="G673" s="1">
        <v>0.55100000000000005</v>
      </c>
      <c r="H673" s="1">
        <v>21</v>
      </c>
      <c r="I673" s="1">
        <v>0</v>
      </c>
      <c r="J673" s="1">
        <f>IFERROR(VLOOKUP(K673,[1]diabetes_Recognition!$A:$B,2,FALSE),"Not Sampled")</f>
        <v>0</v>
      </c>
      <c r="K673" s="1">
        <v>671</v>
      </c>
      <c r="L673" s="1">
        <f>LOOKUP(A673,Sheet2!$D$4:$E$9)</f>
        <v>1</v>
      </c>
      <c r="M673" t="str">
        <f>LOOKUP(B673,Sheet2!$G$4:$H$9)</f>
        <v>1-99</v>
      </c>
      <c r="N673" t="str">
        <f>LOOKUP(C673,Sheet2!$J$4:$K$8)</f>
        <v>1-59</v>
      </c>
      <c r="O673" t="str">
        <f>LOOKUP(D673,Sheet2!$M$4:$N$8)</f>
        <v>10-30</v>
      </c>
      <c r="P673" t="str">
        <f>LOOKUP(E673,Sheet2!$P$4:$Q$9)</f>
        <v>Unknown</v>
      </c>
      <c r="Q673" t="str">
        <f>LOOKUP(F673,Sheet2!$S$4:$T$8)</f>
        <v>1-25</v>
      </c>
      <c r="R673" t="str">
        <f>LOOKUP(G673,Sheet2!$V$4:$W$7)</f>
        <v>0.4 - 0.69</v>
      </c>
      <c r="S673" t="str">
        <f>LOOKUP(H673,Sheet2!$Z$4:$AA$7)</f>
        <v>&lt;=25</v>
      </c>
      <c r="T673" t="str">
        <f t="shared" si="30"/>
        <v>Negative</v>
      </c>
      <c r="U673" t="str">
        <f t="shared" si="31"/>
        <v>Negative</v>
      </c>
      <c r="V673" s="1" t="str">
        <f t="shared" si="32"/>
        <v>Accurate Prediction</v>
      </c>
    </row>
    <row r="674" spans="1:22" x14ac:dyDescent="0.25">
      <c r="A674" s="1">
        <v>10</v>
      </c>
      <c r="B674" s="1">
        <v>68</v>
      </c>
      <c r="C674" s="1">
        <v>106</v>
      </c>
      <c r="D674" s="1">
        <v>23</v>
      </c>
      <c r="E674" s="1">
        <v>49</v>
      </c>
      <c r="F674" s="1">
        <v>35.5</v>
      </c>
      <c r="G674" s="1">
        <v>0.28499999999999998</v>
      </c>
      <c r="H674" s="1">
        <v>47</v>
      </c>
      <c r="I674" s="1">
        <v>0</v>
      </c>
      <c r="J674" s="1" t="str">
        <f>IFERROR(VLOOKUP(K674,[1]diabetes_Recognition!$A:$B,2,FALSE),"Not Sampled")</f>
        <v>Not Sampled</v>
      </c>
      <c r="K674" s="1">
        <v>672</v>
      </c>
      <c r="L674" s="1" t="str">
        <f>LOOKUP(A674,Sheet2!$D$4:$E$9)</f>
        <v>8+</v>
      </c>
      <c r="M674" t="str">
        <f>LOOKUP(B674,Sheet2!$G$4:$H$9)</f>
        <v>1-99</v>
      </c>
      <c r="N674" t="str">
        <f>LOOKUP(C674,Sheet2!$J$4:$K$8)</f>
        <v>80+</v>
      </c>
      <c r="O674" t="str">
        <f>LOOKUP(D674,Sheet2!$M$4:$N$8)</f>
        <v>10-30</v>
      </c>
      <c r="P674" t="str">
        <f>LOOKUP(E674,Sheet2!$P$4:$Q$9)</f>
        <v>1-99</v>
      </c>
      <c r="Q674" t="str">
        <f>LOOKUP(F674,Sheet2!$S$4:$T$8)</f>
        <v>31-35</v>
      </c>
      <c r="R674" t="str">
        <f>LOOKUP(G674,Sheet2!$V$4:$W$7)</f>
        <v>0.25 - 0.39</v>
      </c>
      <c r="S674" t="str">
        <f>LOOKUP(H674,Sheet2!$Z$4:$AA$7)</f>
        <v>46+</v>
      </c>
      <c r="T674" t="str">
        <f t="shared" si="30"/>
        <v>Negative</v>
      </c>
      <c r="U674" t="str">
        <f t="shared" si="31"/>
        <v>Not Sampled</v>
      </c>
      <c r="V674" s="1" t="str">
        <f t="shared" si="32"/>
        <v>Not Sampled</v>
      </c>
    </row>
    <row r="675" spans="1:22" x14ac:dyDescent="0.25">
      <c r="A675" s="1">
        <v>3</v>
      </c>
      <c r="B675" s="1">
        <v>123</v>
      </c>
      <c r="C675" s="1">
        <v>100</v>
      </c>
      <c r="D675" s="1">
        <v>35</v>
      </c>
      <c r="E675" s="1">
        <v>240</v>
      </c>
      <c r="F675" s="1">
        <v>57.3</v>
      </c>
      <c r="G675" s="1">
        <v>0.88</v>
      </c>
      <c r="H675" s="1">
        <v>22</v>
      </c>
      <c r="I675" s="1">
        <v>0</v>
      </c>
      <c r="J675" s="1" t="str">
        <f>IFERROR(VLOOKUP(K675,[1]diabetes_Recognition!$A:$B,2,FALSE),"Not Sampled")</f>
        <v>Not Sampled</v>
      </c>
      <c r="K675" s="1">
        <v>673</v>
      </c>
      <c r="L675" s="1" t="str">
        <f>LOOKUP(A675,Sheet2!$D$4:$E$9)</f>
        <v>3-4</v>
      </c>
      <c r="M675" t="str">
        <f>LOOKUP(B675,Sheet2!$G$4:$H$9)</f>
        <v>100-125</v>
      </c>
      <c r="N675" t="str">
        <f>LOOKUP(C675,Sheet2!$J$4:$K$8)</f>
        <v>80+</v>
      </c>
      <c r="O675" t="str">
        <f>LOOKUP(D675,Sheet2!$M$4:$N$8)</f>
        <v>30-39</v>
      </c>
      <c r="P675" t="str">
        <f>LOOKUP(E675,Sheet2!$P$4:$Q$9)</f>
        <v>200-399</v>
      </c>
      <c r="Q675" t="str">
        <f>LOOKUP(F675,Sheet2!$S$4:$T$8)</f>
        <v>36+</v>
      </c>
      <c r="R675" t="str">
        <f>LOOKUP(G675,Sheet2!$V$4:$W$7)</f>
        <v>0.7+</v>
      </c>
      <c r="S675" t="str">
        <f>LOOKUP(H675,Sheet2!$Z$4:$AA$7)</f>
        <v>&lt;=25</v>
      </c>
      <c r="T675" t="str">
        <f t="shared" si="30"/>
        <v>Negative</v>
      </c>
      <c r="U675" t="str">
        <f t="shared" si="31"/>
        <v>Not Sampled</v>
      </c>
      <c r="V675" s="1" t="str">
        <f t="shared" si="32"/>
        <v>Not Sampled</v>
      </c>
    </row>
    <row r="676" spans="1:22" x14ac:dyDescent="0.25">
      <c r="A676" s="1">
        <v>8</v>
      </c>
      <c r="B676" s="1">
        <v>91</v>
      </c>
      <c r="C676" s="1">
        <v>82</v>
      </c>
      <c r="D676" s="1">
        <v>0</v>
      </c>
      <c r="E676" s="1">
        <v>0</v>
      </c>
      <c r="F676" s="1">
        <v>35.6</v>
      </c>
      <c r="G676" s="1">
        <v>0.58699999999999997</v>
      </c>
      <c r="H676" s="1">
        <v>68</v>
      </c>
      <c r="I676" s="1">
        <v>0</v>
      </c>
      <c r="J676" s="1">
        <f>IFERROR(VLOOKUP(K676,[1]diabetes_Recognition!$A:$B,2,FALSE),"Not Sampled")</f>
        <v>0</v>
      </c>
      <c r="K676" s="1">
        <v>674</v>
      </c>
      <c r="L676" s="1" t="str">
        <f>LOOKUP(A676,Sheet2!$D$4:$E$9)</f>
        <v>8+</v>
      </c>
      <c r="M676" t="str">
        <f>LOOKUP(B676,Sheet2!$G$4:$H$9)</f>
        <v>1-99</v>
      </c>
      <c r="N676" t="str">
        <f>LOOKUP(C676,Sheet2!$J$4:$K$8)</f>
        <v>80+</v>
      </c>
      <c r="O676" t="str">
        <f>LOOKUP(D676,Sheet2!$M$4:$N$8)</f>
        <v>Unknown</v>
      </c>
      <c r="P676" t="str">
        <f>LOOKUP(E676,Sheet2!$P$4:$Q$9)</f>
        <v>Unknown</v>
      </c>
      <c r="Q676" t="str">
        <f>LOOKUP(F676,Sheet2!$S$4:$T$8)</f>
        <v>31-35</v>
      </c>
      <c r="R676" t="str">
        <f>LOOKUP(G676,Sheet2!$V$4:$W$7)</f>
        <v>0.4 - 0.69</v>
      </c>
      <c r="S676" t="str">
        <f>LOOKUP(H676,Sheet2!$Z$4:$AA$7)</f>
        <v>46+</v>
      </c>
      <c r="T676" t="str">
        <f t="shared" si="30"/>
        <v>Negative</v>
      </c>
      <c r="U676" t="str">
        <f t="shared" si="31"/>
        <v>Negative</v>
      </c>
      <c r="V676" s="1" t="str">
        <f t="shared" si="32"/>
        <v>Accurate Prediction</v>
      </c>
    </row>
    <row r="677" spans="1:22" x14ac:dyDescent="0.25">
      <c r="A677" s="1">
        <v>6</v>
      </c>
      <c r="B677" s="1">
        <v>195</v>
      </c>
      <c r="C677" s="1">
        <v>70</v>
      </c>
      <c r="D677" s="1">
        <v>0</v>
      </c>
      <c r="E677" s="1">
        <v>0</v>
      </c>
      <c r="F677" s="1">
        <v>30.9</v>
      </c>
      <c r="G677" s="1">
        <v>0.32800000000000001</v>
      </c>
      <c r="H677" s="1">
        <v>31</v>
      </c>
      <c r="I677" s="1">
        <v>1</v>
      </c>
      <c r="J677" s="1">
        <f>IFERROR(VLOOKUP(K677,[1]diabetes_Recognition!$A:$B,2,FALSE),"Not Sampled")</f>
        <v>1</v>
      </c>
      <c r="K677" s="1">
        <v>675</v>
      </c>
      <c r="L677" s="1" t="str">
        <f>LOOKUP(A677,Sheet2!$D$4:$E$9)</f>
        <v>5-7</v>
      </c>
      <c r="M677" t="str">
        <f>LOOKUP(B677,Sheet2!$G$4:$H$9)</f>
        <v>176-200</v>
      </c>
      <c r="N677" t="str">
        <f>LOOKUP(C677,Sheet2!$J$4:$K$8)</f>
        <v>70-79</v>
      </c>
      <c r="O677" t="str">
        <f>LOOKUP(D677,Sheet2!$M$4:$N$8)</f>
        <v>Unknown</v>
      </c>
      <c r="P677" t="str">
        <f>LOOKUP(E677,Sheet2!$P$4:$Q$9)</f>
        <v>Unknown</v>
      </c>
      <c r="Q677" t="str">
        <f>LOOKUP(F677,Sheet2!$S$4:$T$8)</f>
        <v>26-30</v>
      </c>
      <c r="R677" t="str">
        <f>LOOKUP(G677,Sheet2!$V$4:$W$7)</f>
        <v>0.25 - 0.39</v>
      </c>
      <c r="S677" t="str">
        <f>LOOKUP(H677,Sheet2!$Z$4:$AA$7)</f>
        <v>26-35</v>
      </c>
      <c r="T677" t="str">
        <f t="shared" si="30"/>
        <v>Positive</v>
      </c>
      <c r="U677" t="str">
        <f t="shared" si="31"/>
        <v>Positive</v>
      </c>
      <c r="V677" s="1" t="str">
        <f t="shared" si="32"/>
        <v>Accurate Prediction</v>
      </c>
    </row>
    <row r="678" spans="1:22" x14ac:dyDescent="0.25">
      <c r="A678" s="1">
        <v>9</v>
      </c>
      <c r="B678" s="1">
        <v>156</v>
      </c>
      <c r="C678" s="1">
        <v>86</v>
      </c>
      <c r="D678" s="1">
        <v>0</v>
      </c>
      <c r="E678" s="1">
        <v>0</v>
      </c>
      <c r="F678" s="1">
        <v>24.8</v>
      </c>
      <c r="G678" s="1">
        <v>0.23</v>
      </c>
      <c r="H678" s="1">
        <v>53</v>
      </c>
      <c r="I678" s="1">
        <v>1</v>
      </c>
      <c r="J678" s="1" t="str">
        <f>IFERROR(VLOOKUP(K678,[1]diabetes_Recognition!$A:$B,2,FALSE),"Not Sampled")</f>
        <v>Not Sampled</v>
      </c>
      <c r="K678" s="1">
        <v>676</v>
      </c>
      <c r="L678" s="1" t="str">
        <f>LOOKUP(A678,Sheet2!$D$4:$E$9)</f>
        <v>8+</v>
      </c>
      <c r="M678" t="str">
        <f>LOOKUP(B678,Sheet2!$G$4:$H$9)</f>
        <v>151-175</v>
      </c>
      <c r="N678" t="str">
        <f>LOOKUP(C678,Sheet2!$J$4:$K$8)</f>
        <v>80+</v>
      </c>
      <c r="O678" t="str">
        <f>LOOKUP(D678,Sheet2!$M$4:$N$8)</f>
        <v>Unknown</v>
      </c>
      <c r="P678" t="str">
        <f>LOOKUP(E678,Sheet2!$P$4:$Q$9)</f>
        <v>Unknown</v>
      </c>
      <c r="Q678" t="str">
        <f>LOOKUP(F678,Sheet2!$S$4:$T$8)</f>
        <v>1-25</v>
      </c>
      <c r="R678" t="str">
        <f>LOOKUP(G678,Sheet2!$V$4:$W$7)</f>
        <v>0.0 - 0.249</v>
      </c>
      <c r="S678" t="str">
        <f>LOOKUP(H678,Sheet2!$Z$4:$AA$7)</f>
        <v>46+</v>
      </c>
      <c r="T678" t="str">
        <f t="shared" si="30"/>
        <v>Positive</v>
      </c>
      <c r="U678" t="str">
        <f t="shared" si="31"/>
        <v>Not Sampled</v>
      </c>
      <c r="V678" s="1" t="str">
        <f t="shared" si="32"/>
        <v>Not Sampled</v>
      </c>
    </row>
    <row r="679" spans="1:22" x14ac:dyDescent="0.25">
      <c r="A679" s="1">
        <v>0</v>
      </c>
      <c r="B679" s="1">
        <v>93</v>
      </c>
      <c r="C679" s="1">
        <v>60</v>
      </c>
      <c r="D679" s="1">
        <v>0</v>
      </c>
      <c r="E679" s="1">
        <v>0</v>
      </c>
      <c r="F679" s="1">
        <v>35.299999999999997</v>
      </c>
      <c r="G679" s="1">
        <v>0.26300000000000001</v>
      </c>
      <c r="H679" s="1">
        <v>25</v>
      </c>
      <c r="I679" s="1">
        <v>0</v>
      </c>
      <c r="J679" s="1" t="str">
        <f>IFERROR(VLOOKUP(K679,[1]diabetes_Recognition!$A:$B,2,FALSE),"Not Sampled")</f>
        <v>Not Sampled</v>
      </c>
      <c r="K679" s="1">
        <v>677</v>
      </c>
      <c r="L679" s="1">
        <f>LOOKUP(A679,Sheet2!$D$4:$E$9)</f>
        <v>0</v>
      </c>
      <c r="M679" t="str">
        <f>LOOKUP(B679,Sheet2!$G$4:$H$9)</f>
        <v>1-99</v>
      </c>
      <c r="N679" t="str">
        <f>LOOKUP(C679,Sheet2!$J$4:$K$8)</f>
        <v>60-69</v>
      </c>
      <c r="O679" t="str">
        <f>LOOKUP(D679,Sheet2!$M$4:$N$8)</f>
        <v>Unknown</v>
      </c>
      <c r="P679" t="str">
        <f>LOOKUP(E679,Sheet2!$P$4:$Q$9)</f>
        <v>Unknown</v>
      </c>
      <c r="Q679" t="str">
        <f>LOOKUP(F679,Sheet2!$S$4:$T$8)</f>
        <v>31-35</v>
      </c>
      <c r="R679" t="str">
        <f>LOOKUP(G679,Sheet2!$V$4:$W$7)</f>
        <v>0.25 - 0.39</v>
      </c>
      <c r="S679" t="str">
        <f>LOOKUP(H679,Sheet2!$Z$4:$AA$7)</f>
        <v>&lt;=25</v>
      </c>
      <c r="T679" t="str">
        <f t="shared" si="30"/>
        <v>Negative</v>
      </c>
      <c r="U679" t="str">
        <f t="shared" si="31"/>
        <v>Not Sampled</v>
      </c>
      <c r="V679" s="1" t="str">
        <f t="shared" si="32"/>
        <v>Not Sampled</v>
      </c>
    </row>
    <row r="680" spans="1:22" x14ac:dyDescent="0.25">
      <c r="A680" s="1">
        <v>3</v>
      </c>
      <c r="B680" s="1">
        <v>121</v>
      </c>
      <c r="C680" s="1">
        <v>52</v>
      </c>
      <c r="D680" s="1">
        <v>0</v>
      </c>
      <c r="E680" s="1">
        <v>0</v>
      </c>
      <c r="F680" s="1">
        <v>36</v>
      </c>
      <c r="G680" s="1">
        <v>0.127</v>
      </c>
      <c r="H680" s="1">
        <v>25</v>
      </c>
      <c r="I680" s="1">
        <v>1</v>
      </c>
      <c r="J680" s="1" t="str">
        <f>IFERROR(VLOOKUP(K680,[1]diabetes_Recognition!$A:$B,2,FALSE),"Not Sampled")</f>
        <v>Not Sampled</v>
      </c>
      <c r="K680" s="1">
        <v>678</v>
      </c>
      <c r="L680" s="1" t="str">
        <f>LOOKUP(A680,Sheet2!$D$4:$E$9)</f>
        <v>3-4</v>
      </c>
      <c r="M680" t="str">
        <f>LOOKUP(B680,Sheet2!$G$4:$H$9)</f>
        <v>100-125</v>
      </c>
      <c r="N680" t="str">
        <f>LOOKUP(C680,Sheet2!$J$4:$K$8)</f>
        <v>1-59</v>
      </c>
      <c r="O680" t="str">
        <f>LOOKUP(D680,Sheet2!$M$4:$N$8)</f>
        <v>Unknown</v>
      </c>
      <c r="P680" t="str">
        <f>LOOKUP(E680,Sheet2!$P$4:$Q$9)</f>
        <v>Unknown</v>
      </c>
      <c r="Q680" t="str">
        <f>LOOKUP(F680,Sheet2!$S$4:$T$8)</f>
        <v>36+</v>
      </c>
      <c r="R680" t="str">
        <f>LOOKUP(G680,Sheet2!$V$4:$W$7)</f>
        <v>0.0 - 0.249</v>
      </c>
      <c r="S680" t="str">
        <f>LOOKUP(H680,Sheet2!$Z$4:$AA$7)</f>
        <v>&lt;=25</v>
      </c>
      <c r="T680" t="str">
        <f t="shared" si="30"/>
        <v>Positive</v>
      </c>
      <c r="U680" t="str">
        <f t="shared" si="31"/>
        <v>Not Sampled</v>
      </c>
      <c r="V680" s="1" t="str">
        <f t="shared" si="32"/>
        <v>Not Sampled</v>
      </c>
    </row>
    <row r="681" spans="1:22" x14ac:dyDescent="0.25">
      <c r="A681" s="1">
        <v>2</v>
      </c>
      <c r="B681" s="1">
        <v>101</v>
      </c>
      <c r="C681" s="1">
        <v>58</v>
      </c>
      <c r="D681" s="1">
        <v>17</v>
      </c>
      <c r="E681" s="1">
        <v>265</v>
      </c>
      <c r="F681" s="1">
        <v>24.2</v>
      </c>
      <c r="G681" s="1">
        <v>0.61399999999999999</v>
      </c>
      <c r="H681" s="1">
        <v>23</v>
      </c>
      <c r="I681" s="1">
        <v>0</v>
      </c>
      <c r="J681" s="1">
        <f>IFERROR(VLOOKUP(K681,[1]diabetes_Recognition!$A:$B,2,FALSE),"Not Sampled")</f>
        <v>0</v>
      </c>
      <c r="K681" s="1">
        <v>679</v>
      </c>
      <c r="L681" s="1">
        <f>LOOKUP(A681,Sheet2!$D$4:$E$9)</f>
        <v>2</v>
      </c>
      <c r="M681" t="str">
        <f>LOOKUP(B681,Sheet2!$G$4:$H$9)</f>
        <v>100-125</v>
      </c>
      <c r="N681" t="str">
        <f>LOOKUP(C681,Sheet2!$J$4:$K$8)</f>
        <v>1-59</v>
      </c>
      <c r="O681" t="str">
        <f>LOOKUP(D681,Sheet2!$M$4:$N$8)</f>
        <v>10-30</v>
      </c>
      <c r="P681" t="str">
        <f>LOOKUP(E681,Sheet2!$P$4:$Q$9)</f>
        <v>200-399</v>
      </c>
      <c r="Q681" t="str">
        <f>LOOKUP(F681,Sheet2!$S$4:$T$8)</f>
        <v>1-25</v>
      </c>
      <c r="R681" t="str">
        <f>LOOKUP(G681,Sheet2!$V$4:$W$7)</f>
        <v>0.4 - 0.69</v>
      </c>
      <c r="S681" t="str">
        <f>LOOKUP(H681,Sheet2!$Z$4:$AA$7)</f>
        <v>&lt;=25</v>
      </c>
      <c r="T681" t="str">
        <f t="shared" si="30"/>
        <v>Negative</v>
      </c>
      <c r="U681" t="str">
        <f t="shared" si="31"/>
        <v>Negative</v>
      </c>
      <c r="V681" s="1" t="str">
        <f t="shared" si="32"/>
        <v>Accurate Prediction</v>
      </c>
    </row>
    <row r="682" spans="1:22" x14ac:dyDescent="0.25">
      <c r="A682" s="1">
        <v>2</v>
      </c>
      <c r="B682" s="1">
        <v>56</v>
      </c>
      <c r="C682" s="1">
        <v>56</v>
      </c>
      <c r="D682" s="1">
        <v>28</v>
      </c>
      <c r="E682" s="1">
        <v>45</v>
      </c>
      <c r="F682" s="1">
        <v>24.2</v>
      </c>
      <c r="G682" s="1">
        <v>0.33200000000000002</v>
      </c>
      <c r="H682" s="1">
        <v>22</v>
      </c>
      <c r="I682" s="1">
        <v>0</v>
      </c>
      <c r="J682" s="1" t="str">
        <f>IFERROR(VLOOKUP(K682,[1]diabetes_Recognition!$A:$B,2,FALSE),"Not Sampled")</f>
        <v>Not Sampled</v>
      </c>
      <c r="K682" s="1">
        <v>680</v>
      </c>
      <c r="L682" s="1">
        <f>LOOKUP(A682,Sheet2!$D$4:$E$9)</f>
        <v>2</v>
      </c>
      <c r="M682" t="str">
        <f>LOOKUP(B682,Sheet2!$G$4:$H$9)</f>
        <v>1-99</v>
      </c>
      <c r="N682" t="str">
        <f>LOOKUP(C682,Sheet2!$J$4:$K$8)</f>
        <v>1-59</v>
      </c>
      <c r="O682" t="str">
        <f>LOOKUP(D682,Sheet2!$M$4:$N$8)</f>
        <v>10-30</v>
      </c>
      <c r="P682" t="str">
        <f>LOOKUP(E682,Sheet2!$P$4:$Q$9)</f>
        <v>1-99</v>
      </c>
      <c r="Q682" t="str">
        <f>LOOKUP(F682,Sheet2!$S$4:$T$8)</f>
        <v>1-25</v>
      </c>
      <c r="R682" t="str">
        <f>LOOKUP(G682,Sheet2!$V$4:$W$7)</f>
        <v>0.25 - 0.39</v>
      </c>
      <c r="S682" t="str">
        <f>LOOKUP(H682,Sheet2!$Z$4:$AA$7)</f>
        <v>&lt;=25</v>
      </c>
      <c r="T682" t="str">
        <f t="shared" si="30"/>
        <v>Negative</v>
      </c>
      <c r="U682" t="str">
        <f t="shared" si="31"/>
        <v>Not Sampled</v>
      </c>
      <c r="V682" s="1" t="str">
        <f t="shared" si="32"/>
        <v>Not Sampled</v>
      </c>
    </row>
    <row r="683" spans="1:22" x14ac:dyDescent="0.25">
      <c r="A683" s="1">
        <v>0</v>
      </c>
      <c r="B683" s="1">
        <v>162</v>
      </c>
      <c r="C683" s="1">
        <v>76</v>
      </c>
      <c r="D683" s="1">
        <v>36</v>
      </c>
      <c r="E683" s="1">
        <v>0</v>
      </c>
      <c r="F683" s="1">
        <v>49.6</v>
      </c>
      <c r="G683" s="1">
        <v>0.36399999999999999</v>
      </c>
      <c r="H683" s="1">
        <v>26</v>
      </c>
      <c r="I683" s="1">
        <v>1</v>
      </c>
      <c r="J683" s="1" t="str">
        <f>IFERROR(VLOOKUP(K683,[1]diabetes_Recognition!$A:$B,2,FALSE),"Not Sampled")</f>
        <v>Not Sampled</v>
      </c>
      <c r="K683" s="1">
        <v>681</v>
      </c>
      <c r="L683" s="1">
        <f>LOOKUP(A683,Sheet2!$D$4:$E$9)</f>
        <v>0</v>
      </c>
      <c r="M683" t="str">
        <f>LOOKUP(B683,Sheet2!$G$4:$H$9)</f>
        <v>151-175</v>
      </c>
      <c r="N683" t="str">
        <f>LOOKUP(C683,Sheet2!$J$4:$K$8)</f>
        <v>70-79</v>
      </c>
      <c r="O683" t="str">
        <f>LOOKUP(D683,Sheet2!$M$4:$N$8)</f>
        <v>30-39</v>
      </c>
      <c r="P683" t="str">
        <f>LOOKUP(E683,Sheet2!$P$4:$Q$9)</f>
        <v>Unknown</v>
      </c>
      <c r="Q683" t="str">
        <f>LOOKUP(F683,Sheet2!$S$4:$T$8)</f>
        <v>36+</v>
      </c>
      <c r="R683" t="str">
        <f>LOOKUP(G683,Sheet2!$V$4:$W$7)</f>
        <v>0.25 - 0.39</v>
      </c>
      <c r="S683" t="str">
        <f>LOOKUP(H683,Sheet2!$Z$4:$AA$7)</f>
        <v>26-35</v>
      </c>
      <c r="T683" t="str">
        <f t="shared" si="30"/>
        <v>Positive</v>
      </c>
      <c r="U683" t="str">
        <f t="shared" si="31"/>
        <v>Not Sampled</v>
      </c>
      <c r="V683" s="1" t="str">
        <f t="shared" si="32"/>
        <v>Not Sampled</v>
      </c>
    </row>
    <row r="684" spans="1:22" x14ac:dyDescent="0.25">
      <c r="A684" s="1">
        <v>0</v>
      </c>
      <c r="B684" s="1">
        <v>95</v>
      </c>
      <c r="C684" s="1">
        <v>64</v>
      </c>
      <c r="D684" s="1">
        <v>39</v>
      </c>
      <c r="E684" s="1">
        <v>105</v>
      </c>
      <c r="F684" s="1">
        <v>44.6</v>
      </c>
      <c r="G684" s="1">
        <v>0.36599999999999999</v>
      </c>
      <c r="H684" s="1">
        <v>22</v>
      </c>
      <c r="I684" s="1">
        <v>0</v>
      </c>
      <c r="J684" s="1" t="str">
        <f>IFERROR(VLOOKUP(K684,[1]diabetes_Recognition!$A:$B,2,FALSE),"Not Sampled")</f>
        <v>Not Sampled</v>
      </c>
      <c r="K684" s="1">
        <v>682</v>
      </c>
      <c r="L684" s="1">
        <f>LOOKUP(A684,Sheet2!$D$4:$E$9)</f>
        <v>0</v>
      </c>
      <c r="M684" t="str">
        <f>LOOKUP(B684,Sheet2!$G$4:$H$9)</f>
        <v>1-99</v>
      </c>
      <c r="N684" t="str">
        <f>LOOKUP(C684,Sheet2!$J$4:$K$8)</f>
        <v>60-69</v>
      </c>
      <c r="O684" t="str">
        <f>LOOKUP(D684,Sheet2!$M$4:$N$8)</f>
        <v>30-39</v>
      </c>
      <c r="P684" t="str">
        <f>LOOKUP(E684,Sheet2!$P$4:$Q$9)</f>
        <v>100-199</v>
      </c>
      <c r="Q684" t="str">
        <f>LOOKUP(F684,Sheet2!$S$4:$T$8)</f>
        <v>36+</v>
      </c>
      <c r="R684" t="str">
        <f>LOOKUP(G684,Sheet2!$V$4:$W$7)</f>
        <v>0.25 - 0.39</v>
      </c>
      <c r="S684" t="str">
        <f>LOOKUP(H684,Sheet2!$Z$4:$AA$7)</f>
        <v>&lt;=25</v>
      </c>
      <c r="T684" t="str">
        <f t="shared" si="30"/>
        <v>Negative</v>
      </c>
      <c r="U684" t="str">
        <f t="shared" si="31"/>
        <v>Not Sampled</v>
      </c>
      <c r="V684" s="1" t="str">
        <f t="shared" si="32"/>
        <v>Not Sampled</v>
      </c>
    </row>
    <row r="685" spans="1:22" x14ac:dyDescent="0.25">
      <c r="A685" s="1">
        <v>4</v>
      </c>
      <c r="B685" s="1">
        <v>125</v>
      </c>
      <c r="C685" s="1">
        <v>80</v>
      </c>
      <c r="D685" s="1">
        <v>0</v>
      </c>
      <c r="E685" s="1">
        <v>0</v>
      </c>
      <c r="F685" s="1">
        <v>32.299999999999997</v>
      </c>
      <c r="G685" s="1">
        <v>0.53600000000000003</v>
      </c>
      <c r="H685" s="1">
        <v>27</v>
      </c>
      <c r="I685" s="1">
        <v>1</v>
      </c>
      <c r="J685" s="1" t="str">
        <f>IFERROR(VLOOKUP(K685,[1]diabetes_Recognition!$A:$B,2,FALSE),"Not Sampled")</f>
        <v>Not Sampled</v>
      </c>
      <c r="K685" s="1">
        <v>683</v>
      </c>
      <c r="L685" s="1" t="str">
        <f>LOOKUP(A685,Sheet2!$D$4:$E$9)</f>
        <v>3-4</v>
      </c>
      <c r="M685" t="str">
        <f>LOOKUP(B685,Sheet2!$G$4:$H$9)</f>
        <v>100-125</v>
      </c>
      <c r="N685" t="str">
        <f>LOOKUP(C685,Sheet2!$J$4:$K$8)</f>
        <v>80+</v>
      </c>
      <c r="O685" t="str">
        <f>LOOKUP(D685,Sheet2!$M$4:$N$8)</f>
        <v>Unknown</v>
      </c>
      <c r="P685" t="str">
        <f>LOOKUP(E685,Sheet2!$P$4:$Q$9)</f>
        <v>Unknown</v>
      </c>
      <c r="Q685" t="str">
        <f>LOOKUP(F685,Sheet2!$S$4:$T$8)</f>
        <v>31-35</v>
      </c>
      <c r="R685" t="str">
        <f>LOOKUP(G685,Sheet2!$V$4:$W$7)</f>
        <v>0.4 - 0.69</v>
      </c>
      <c r="S685" t="str">
        <f>LOOKUP(H685,Sheet2!$Z$4:$AA$7)</f>
        <v>26-35</v>
      </c>
      <c r="T685" t="str">
        <f t="shared" si="30"/>
        <v>Positive</v>
      </c>
      <c r="U685" t="str">
        <f t="shared" si="31"/>
        <v>Not Sampled</v>
      </c>
      <c r="V685" s="1" t="str">
        <f t="shared" si="32"/>
        <v>Not Sampled</v>
      </c>
    </row>
    <row r="686" spans="1:22" x14ac:dyDescent="0.25">
      <c r="A686" s="1">
        <v>5</v>
      </c>
      <c r="B686" s="1">
        <v>136</v>
      </c>
      <c r="C686" s="1">
        <v>82</v>
      </c>
      <c r="D686" s="1">
        <v>0</v>
      </c>
      <c r="E686" s="1">
        <v>0</v>
      </c>
      <c r="F686" s="1">
        <v>0</v>
      </c>
      <c r="G686" s="1">
        <v>0.64</v>
      </c>
      <c r="H686" s="1">
        <v>69</v>
      </c>
      <c r="I686" s="1">
        <v>0</v>
      </c>
      <c r="J686" s="1" t="str">
        <f>IFERROR(VLOOKUP(K686,[1]diabetes_Recognition!$A:$B,2,FALSE),"Not Sampled")</f>
        <v>Not Sampled</v>
      </c>
      <c r="K686" s="1">
        <v>684</v>
      </c>
      <c r="L686" s="1" t="str">
        <f>LOOKUP(A686,Sheet2!$D$4:$E$9)</f>
        <v>5-7</v>
      </c>
      <c r="M686" t="str">
        <f>LOOKUP(B686,Sheet2!$G$4:$H$9)</f>
        <v>126-150</v>
      </c>
      <c r="N686" t="str">
        <f>LOOKUP(C686,Sheet2!$J$4:$K$8)</f>
        <v>80+</v>
      </c>
      <c r="O686" t="str">
        <f>LOOKUP(D686,Sheet2!$M$4:$N$8)</f>
        <v>Unknown</v>
      </c>
      <c r="P686" t="str">
        <f>LOOKUP(E686,Sheet2!$P$4:$Q$9)</f>
        <v>Unknown</v>
      </c>
      <c r="Q686" t="str">
        <f>LOOKUP(F686,Sheet2!$S$4:$T$8)</f>
        <v>Unknown</v>
      </c>
      <c r="R686" t="str">
        <f>LOOKUP(G686,Sheet2!$V$4:$W$7)</f>
        <v>0.4 - 0.69</v>
      </c>
      <c r="S686" t="str">
        <f>LOOKUP(H686,Sheet2!$Z$4:$AA$7)</f>
        <v>46+</v>
      </c>
      <c r="T686" t="str">
        <f t="shared" si="30"/>
        <v>Negative</v>
      </c>
      <c r="U686" t="str">
        <f t="shared" si="31"/>
        <v>Not Sampled</v>
      </c>
      <c r="V686" s="1" t="str">
        <f t="shared" si="32"/>
        <v>Not Sampled</v>
      </c>
    </row>
    <row r="687" spans="1:22" x14ac:dyDescent="0.25">
      <c r="A687" s="1">
        <v>2</v>
      </c>
      <c r="B687" s="1">
        <v>129</v>
      </c>
      <c r="C687" s="1">
        <v>74</v>
      </c>
      <c r="D687" s="1">
        <v>26</v>
      </c>
      <c r="E687" s="1">
        <v>205</v>
      </c>
      <c r="F687" s="1">
        <v>33.200000000000003</v>
      </c>
      <c r="G687" s="1">
        <v>0.59099999999999997</v>
      </c>
      <c r="H687" s="1">
        <v>25</v>
      </c>
      <c r="I687" s="1">
        <v>0</v>
      </c>
      <c r="J687" s="1" t="str">
        <f>IFERROR(VLOOKUP(K687,[1]diabetes_Recognition!$A:$B,2,FALSE),"Not Sampled")</f>
        <v>Not Sampled</v>
      </c>
      <c r="K687" s="1">
        <v>685</v>
      </c>
      <c r="L687" s="1">
        <f>LOOKUP(A687,Sheet2!$D$4:$E$9)</f>
        <v>2</v>
      </c>
      <c r="M687" t="str">
        <f>LOOKUP(B687,Sheet2!$G$4:$H$9)</f>
        <v>126-150</v>
      </c>
      <c r="N687" t="str">
        <f>LOOKUP(C687,Sheet2!$J$4:$K$8)</f>
        <v>70-79</v>
      </c>
      <c r="O687" t="str">
        <f>LOOKUP(D687,Sheet2!$M$4:$N$8)</f>
        <v>10-30</v>
      </c>
      <c r="P687" t="str">
        <f>LOOKUP(E687,Sheet2!$P$4:$Q$9)</f>
        <v>200-399</v>
      </c>
      <c r="Q687" t="str">
        <f>LOOKUP(F687,Sheet2!$S$4:$T$8)</f>
        <v>31-35</v>
      </c>
      <c r="R687" t="str">
        <f>LOOKUP(G687,Sheet2!$V$4:$W$7)</f>
        <v>0.4 - 0.69</v>
      </c>
      <c r="S687" t="str">
        <f>LOOKUP(H687,Sheet2!$Z$4:$AA$7)</f>
        <v>&lt;=25</v>
      </c>
      <c r="T687" t="str">
        <f t="shared" si="30"/>
        <v>Negative</v>
      </c>
      <c r="U687" t="str">
        <f t="shared" si="31"/>
        <v>Not Sampled</v>
      </c>
      <c r="V687" s="1" t="str">
        <f t="shared" si="32"/>
        <v>Not Sampled</v>
      </c>
    </row>
    <row r="688" spans="1:22" x14ac:dyDescent="0.25">
      <c r="A688" s="1">
        <v>3</v>
      </c>
      <c r="B688" s="1">
        <v>130</v>
      </c>
      <c r="C688" s="1">
        <v>64</v>
      </c>
      <c r="D688" s="1">
        <v>0</v>
      </c>
      <c r="E688" s="1">
        <v>0</v>
      </c>
      <c r="F688" s="1">
        <v>23.1</v>
      </c>
      <c r="G688" s="1">
        <v>0.314</v>
      </c>
      <c r="H688" s="1">
        <v>22</v>
      </c>
      <c r="I688" s="1">
        <v>0</v>
      </c>
      <c r="J688" s="1" t="str">
        <f>IFERROR(VLOOKUP(K688,[1]diabetes_Recognition!$A:$B,2,FALSE),"Not Sampled")</f>
        <v>Not Sampled</v>
      </c>
      <c r="K688" s="1">
        <v>686</v>
      </c>
      <c r="L688" s="1" t="str">
        <f>LOOKUP(A688,Sheet2!$D$4:$E$9)</f>
        <v>3-4</v>
      </c>
      <c r="M688" t="str">
        <f>LOOKUP(B688,Sheet2!$G$4:$H$9)</f>
        <v>126-150</v>
      </c>
      <c r="N688" t="str">
        <f>LOOKUP(C688,Sheet2!$J$4:$K$8)</f>
        <v>60-69</v>
      </c>
      <c r="O688" t="str">
        <f>LOOKUP(D688,Sheet2!$M$4:$N$8)</f>
        <v>Unknown</v>
      </c>
      <c r="P688" t="str">
        <f>LOOKUP(E688,Sheet2!$P$4:$Q$9)</f>
        <v>Unknown</v>
      </c>
      <c r="Q688" t="str">
        <f>LOOKUP(F688,Sheet2!$S$4:$T$8)</f>
        <v>1-25</v>
      </c>
      <c r="R688" t="str">
        <f>LOOKUP(G688,Sheet2!$V$4:$W$7)</f>
        <v>0.25 - 0.39</v>
      </c>
      <c r="S688" t="str">
        <f>LOOKUP(H688,Sheet2!$Z$4:$AA$7)</f>
        <v>&lt;=25</v>
      </c>
      <c r="T688" t="str">
        <f t="shared" si="30"/>
        <v>Negative</v>
      </c>
      <c r="U688" t="str">
        <f t="shared" si="31"/>
        <v>Not Sampled</v>
      </c>
      <c r="V688" s="1" t="str">
        <f t="shared" si="32"/>
        <v>Not Sampled</v>
      </c>
    </row>
    <row r="689" spans="1:22" x14ac:dyDescent="0.25">
      <c r="A689" s="1">
        <v>1</v>
      </c>
      <c r="B689" s="1">
        <v>107</v>
      </c>
      <c r="C689" s="1">
        <v>50</v>
      </c>
      <c r="D689" s="1">
        <v>19</v>
      </c>
      <c r="E689" s="1">
        <v>0</v>
      </c>
      <c r="F689" s="1">
        <v>28.3</v>
      </c>
      <c r="G689" s="1">
        <v>0.18099999999999999</v>
      </c>
      <c r="H689" s="1">
        <v>29</v>
      </c>
      <c r="I689" s="1">
        <v>0</v>
      </c>
      <c r="J689" s="1" t="str">
        <f>IFERROR(VLOOKUP(K689,[1]diabetes_Recognition!$A:$B,2,FALSE),"Not Sampled")</f>
        <v>Not Sampled</v>
      </c>
      <c r="K689" s="1">
        <v>687</v>
      </c>
      <c r="L689" s="1">
        <f>LOOKUP(A689,Sheet2!$D$4:$E$9)</f>
        <v>1</v>
      </c>
      <c r="M689" t="str">
        <f>LOOKUP(B689,Sheet2!$G$4:$H$9)</f>
        <v>100-125</v>
      </c>
      <c r="N689" t="str">
        <f>LOOKUP(C689,Sheet2!$J$4:$K$8)</f>
        <v>1-59</v>
      </c>
      <c r="O689" t="str">
        <f>LOOKUP(D689,Sheet2!$M$4:$N$8)</f>
        <v>10-30</v>
      </c>
      <c r="P689" t="str">
        <f>LOOKUP(E689,Sheet2!$P$4:$Q$9)</f>
        <v>Unknown</v>
      </c>
      <c r="Q689" t="str">
        <f>LOOKUP(F689,Sheet2!$S$4:$T$8)</f>
        <v>26-30</v>
      </c>
      <c r="R689" t="str">
        <f>LOOKUP(G689,Sheet2!$V$4:$W$7)</f>
        <v>0.0 - 0.249</v>
      </c>
      <c r="S689" t="str">
        <f>LOOKUP(H689,Sheet2!$Z$4:$AA$7)</f>
        <v>26-35</v>
      </c>
      <c r="T689" t="str">
        <f t="shared" si="30"/>
        <v>Negative</v>
      </c>
      <c r="U689" t="str">
        <f t="shared" si="31"/>
        <v>Not Sampled</v>
      </c>
      <c r="V689" s="1" t="str">
        <f t="shared" si="32"/>
        <v>Not Sampled</v>
      </c>
    </row>
    <row r="690" spans="1:22" x14ac:dyDescent="0.25">
      <c r="A690" s="1">
        <v>1</v>
      </c>
      <c r="B690" s="1">
        <v>140</v>
      </c>
      <c r="C690" s="1">
        <v>74</v>
      </c>
      <c r="D690" s="1">
        <v>26</v>
      </c>
      <c r="E690" s="1">
        <v>180</v>
      </c>
      <c r="F690" s="1">
        <v>24.1</v>
      </c>
      <c r="G690" s="1">
        <v>0.82799999999999996</v>
      </c>
      <c r="H690" s="1">
        <v>23</v>
      </c>
      <c r="I690" s="1">
        <v>0</v>
      </c>
      <c r="J690" s="1" t="str">
        <f>IFERROR(VLOOKUP(K690,[1]diabetes_Recognition!$A:$B,2,FALSE),"Not Sampled")</f>
        <v>Not Sampled</v>
      </c>
      <c r="K690" s="1">
        <v>688</v>
      </c>
      <c r="L690" s="1">
        <f>LOOKUP(A690,Sheet2!$D$4:$E$9)</f>
        <v>1</v>
      </c>
      <c r="M690" t="str">
        <f>LOOKUP(B690,Sheet2!$G$4:$H$9)</f>
        <v>126-150</v>
      </c>
      <c r="N690" t="str">
        <f>LOOKUP(C690,Sheet2!$J$4:$K$8)</f>
        <v>70-79</v>
      </c>
      <c r="O690" t="str">
        <f>LOOKUP(D690,Sheet2!$M$4:$N$8)</f>
        <v>10-30</v>
      </c>
      <c r="P690" t="str">
        <f>LOOKUP(E690,Sheet2!$P$4:$Q$9)</f>
        <v>100-199</v>
      </c>
      <c r="Q690" t="str">
        <f>LOOKUP(F690,Sheet2!$S$4:$T$8)</f>
        <v>1-25</v>
      </c>
      <c r="R690" t="str">
        <f>LOOKUP(G690,Sheet2!$V$4:$W$7)</f>
        <v>0.7+</v>
      </c>
      <c r="S690" t="str">
        <f>LOOKUP(H690,Sheet2!$Z$4:$AA$7)</f>
        <v>&lt;=25</v>
      </c>
      <c r="T690" t="str">
        <f t="shared" si="30"/>
        <v>Negative</v>
      </c>
      <c r="U690" t="str">
        <f t="shared" si="31"/>
        <v>Not Sampled</v>
      </c>
      <c r="V690" s="1" t="str">
        <f t="shared" si="32"/>
        <v>Not Sampled</v>
      </c>
    </row>
    <row r="691" spans="1:22" x14ac:dyDescent="0.25">
      <c r="A691" s="1">
        <v>1</v>
      </c>
      <c r="B691" s="1">
        <v>144</v>
      </c>
      <c r="C691" s="1">
        <v>82</v>
      </c>
      <c r="D691" s="1">
        <v>46</v>
      </c>
      <c r="E691" s="1">
        <v>180</v>
      </c>
      <c r="F691" s="1">
        <v>46.1</v>
      </c>
      <c r="G691" s="1">
        <v>0.33500000000000002</v>
      </c>
      <c r="H691" s="1">
        <v>46</v>
      </c>
      <c r="I691" s="1">
        <v>1</v>
      </c>
      <c r="J691" s="1" t="str">
        <f>IFERROR(VLOOKUP(K691,[1]diabetes_Recognition!$A:$B,2,FALSE),"Not Sampled")</f>
        <v>Not Sampled</v>
      </c>
      <c r="K691" s="1">
        <v>689</v>
      </c>
      <c r="L691" s="1">
        <f>LOOKUP(A691,Sheet2!$D$4:$E$9)</f>
        <v>1</v>
      </c>
      <c r="M691" t="str">
        <f>LOOKUP(B691,Sheet2!$G$4:$H$9)</f>
        <v>126-150</v>
      </c>
      <c r="N691" t="str">
        <f>LOOKUP(C691,Sheet2!$J$4:$K$8)</f>
        <v>80+</v>
      </c>
      <c r="O691" t="str">
        <f>LOOKUP(D691,Sheet2!$M$4:$N$8)</f>
        <v>40+</v>
      </c>
      <c r="P691" t="str">
        <f>LOOKUP(E691,Sheet2!$P$4:$Q$9)</f>
        <v>100-199</v>
      </c>
      <c r="Q691" t="str">
        <f>LOOKUP(F691,Sheet2!$S$4:$T$8)</f>
        <v>36+</v>
      </c>
      <c r="R691" t="str">
        <f>LOOKUP(G691,Sheet2!$V$4:$W$7)</f>
        <v>0.25 - 0.39</v>
      </c>
      <c r="S691" t="str">
        <f>LOOKUP(H691,Sheet2!$Z$4:$AA$7)</f>
        <v>46+</v>
      </c>
      <c r="T691" t="str">
        <f t="shared" si="30"/>
        <v>Positive</v>
      </c>
      <c r="U691" t="str">
        <f t="shared" si="31"/>
        <v>Not Sampled</v>
      </c>
      <c r="V691" s="1" t="str">
        <f t="shared" si="32"/>
        <v>Not Sampled</v>
      </c>
    </row>
    <row r="692" spans="1:22" x14ac:dyDescent="0.25">
      <c r="A692" s="1">
        <v>8</v>
      </c>
      <c r="B692" s="1">
        <v>107</v>
      </c>
      <c r="C692" s="1">
        <v>80</v>
      </c>
      <c r="D692" s="1">
        <v>0</v>
      </c>
      <c r="E692" s="1">
        <v>0</v>
      </c>
      <c r="F692" s="1">
        <v>24.6</v>
      </c>
      <c r="G692" s="1">
        <v>0.85599999999999998</v>
      </c>
      <c r="H692" s="1">
        <v>34</v>
      </c>
      <c r="I692" s="1">
        <v>0</v>
      </c>
      <c r="J692" s="1" t="str">
        <f>IFERROR(VLOOKUP(K692,[1]diabetes_Recognition!$A:$B,2,FALSE),"Not Sampled")</f>
        <v>Not Sampled</v>
      </c>
      <c r="K692" s="1">
        <v>690</v>
      </c>
      <c r="L692" s="1" t="str">
        <f>LOOKUP(A692,Sheet2!$D$4:$E$9)</f>
        <v>8+</v>
      </c>
      <c r="M692" t="str">
        <f>LOOKUP(B692,Sheet2!$G$4:$H$9)</f>
        <v>100-125</v>
      </c>
      <c r="N692" t="str">
        <f>LOOKUP(C692,Sheet2!$J$4:$K$8)</f>
        <v>80+</v>
      </c>
      <c r="O692" t="str">
        <f>LOOKUP(D692,Sheet2!$M$4:$N$8)</f>
        <v>Unknown</v>
      </c>
      <c r="P692" t="str">
        <f>LOOKUP(E692,Sheet2!$P$4:$Q$9)</f>
        <v>Unknown</v>
      </c>
      <c r="Q692" t="str">
        <f>LOOKUP(F692,Sheet2!$S$4:$T$8)</f>
        <v>1-25</v>
      </c>
      <c r="R692" t="str">
        <f>LOOKUP(G692,Sheet2!$V$4:$W$7)</f>
        <v>0.7+</v>
      </c>
      <c r="S692" t="str">
        <f>LOOKUP(H692,Sheet2!$Z$4:$AA$7)</f>
        <v>26-35</v>
      </c>
      <c r="T692" t="str">
        <f t="shared" si="30"/>
        <v>Negative</v>
      </c>
      <c r="U692" t="str">
        <f t="shared" si="31"/>
        <v>Not Sampled</v>
      </c>
      <c r="V692" s="1" t="str">
        <f t="shared" si="32"/>
        <v>Not Sampled</v>
      </c>
    </row>
    <row r="693" spans="1:22" x14ac:dyDescent="0.25">
      <c r="A693" s="1">
        <v>13</v>
      </c>
      <c r="B693" s="1">
        <v>158</v>
      </c>
      <c r="C693" s="1">
        <v>114</v>
      </c>
      <c r="D693" s="1">
        <v>0</v>
      </c>
      <c r="E693" s="1">
        <v>0</v>
      </c>
      <c r="F693" s="1">
        <v>42.3</v>
      </c>
      <c r="G693" s="1">
        <v>0.25700000000000001</v>
      </c>
      <c r="H693" s="1">
        <v>44</v>
      </c>
      <c r="I693" s="1">
        <v>1</v>
      </c>
      <c r="J693" s="1" t="str">
        <f>IFERROR(VLOOKUP(K693,[1]diabetes_Recognition!$A:$B,2,FALSE),"Not Sampled")</f>
        <v>Not Sampled</v>
      </c>
      <c r="K693" s="1">
        <v>691</v>
      </c>
      <c r="L693" s="1" t="str">
        <f>LOOKUP(A693,Sheet2!$D$4:$E$9)</f>
        <v>8+</v>
      </c>
      <c r="M693" t="str">
        <f>LOOKUP(B693,Sheet2!$G$4:$H$9)</f>
        <v>151-175</v>
      </c>
      <c r="N693" t="str">
        <f>LOOKUP(C693,Sheet2!$J$4:$K$8)</f>
        <v>80+</v>
      </c>
      <c r="O693" t="str">
        <f>LOOKUP(D693,Sheet2!$M$4:$N$8)</f>
        <v>Unknown</v>
      </c>
      <c r="P693" t="str">
        <f>LOOKUP(E693,Sheet2!$P$4:$Q$9)</f>
        <v>Unknown</v>
      </c>
      <c r="Q693" t="str">
        <f>LOOKUP(F693,Sheet2!$S$4:$T$8)</f>
        <v>36+</v>
      </c>
      <c r="R693" t="str">
        <f>LOOKUP(G693,Sheet2!$V$4:$W$7)</f>
        <v>0.25 - 0.39</v>
      </c>
      <c r="S693" t="str">
        <f>LOOKUP(H693,Sheet2!$Z$4:$AA$7)</f>
        <v>36-45</v>
      </c>
      <c r="T693" t="str">
        <f t="shared" si="30"/>
        <v>Positive</v>
      </c>
      <c r="U693" t="str">
        <f t="shared" si="31"/>
        <v>Not Sampled</v>
      </c>
      <c r="V693" s="1" t="str">
        <f t="shared" si="32"/>
        <v>Not Sampled</v>
      </c>
    </row>
    <row r="694" spans="1:22" x14ac:dyDescent="0.25">
      <c r="A694" s="1">
        <v>2</v>
      </c>
      <c r="B694" s="1">
        <v>121</v>
      </c>
      <c r="C694" s="1">
        <v>70</v>
      </c>
      <c r="D694" s="1">
        <v>32</v>
      </c>
      <c r="E694" s="1">
        <v>95</v>
      </c>
      <c r="F694" s="1">
        <v>39.1</v>
      </c>
      <c r="G694" s="1">
        <v>0.88600000000000001</v>
      </c>
      <c r="H694" s="1">
        <v>23</v>
      </c>
      <c r="I694" s="1">
        <v>0</v>
      </c>
      <c r="J694" s="1">
        <f>IFERROR(VLOOKUP(K694,[1]diabetes_Recognition!$A:$B,2,FALSE),"Not Sampled")</f>
        <v>0</v>
      </c>
      <c r="K694" s="1">
        <v>692</v>
      </c>
      <c r="L694" s="1">
        <f>LOOKUP(A694,Sheet2!$D$4:$E$9)</f>
        <v>2</v>
      </c>
      <c r="M694" t="str">
        <f>LOOKUP(B694,Sheet2!$G$4:$H$9)</f>
        <v>100-125</v>
      </c>
      <c r="N694" t="str">
        <f>LOOKUP(C694,Sheet2!$J$4:$K$8)</f>
        <v>70-79</v>
      </c>
      <c r="O694" t="str">
        <f>LOOKUP(D694,Sheet2!$M$4:$N$8)</f>
        <v>30-39</v>
      </c>
      <c r="P694" t="str">
        <f>LOOKUP(E694,Sheet2!$P$4:$Q$9)</f>
        <v>1-99</v>
      </c>
      <c r="Q694" t="str">
        <f>LOOKUP(F694,Sheet2!$S$4:$T$8)</f>
        <v>36+</v>
      </c>
      <c r="R694" t="str">
        <f>LOOKUP(G694,Sheet2!$V$4:$W$7)</f>
        <v>0.7+</v>
      </c>
      <c r="S694" t="str">
        <f>LOOKUP(H694,Sheet2!$Z$4:$AA$7)</f>
        <v>&lt;=25</v>
      </c>
      <c r="T694" t="str">
        <f t="shared" si="30"/>
        <v>Negative</v>
      </c>
      <c r="U694" t="str">
        <f t="shared" si="31"/>
        <v>Negative</v>
      </c>
      <c r="V694" s="1" t="str">
        <f t="shared" si="32"/>
        <v>Accurate Prediction</v>
      </c>
    </row>
    <row r="695" spans="1:22" x14ac:dyDescent="0.25">
      <c r="A695" s="1">
        <v>7</v>
      </c>
      <c r="B695" s="1">
        <v>129</v>
      </c>
      <c r="C695" s="1">
        <v>68</v>
      </c>
      <c r="D695" s="1">
        <v>49</v>
      </c>
      <c r="E695" s="1">
        <v>125</v>
      </c>
      <c r="F695" s="1">
        <v>38.5</v>
      </c>
      <c r="G695" s="1">
        <v>0.439</v>
      </c>
      <c r="H695" s="1">
        <v>43</v>
      </c>
      <c r="I695" s="1">
        <v>1</v>
      </c>
      <c r="J695" s="1">
        <f>IFERROR(VLOOKUP(K695,[1]diabetes_Recognition!$A:$B,2,FALSE),"Not Sampled")</f>
        <v>1</v>
      </c>
      <c r="K695" s="1">
        <v>693</v>
      </c>
      <c r="L695" s="1" t="str">
        <f>LOOKUP(A695,Sheet2!$D$4:$E$9)</f>
        <v>5-7</v>
      </c>
      <c r="M695" t="str">
        <f>LOOKUP(B695,Sheet2!$G$4:$H$9)</f>
        <v>126-150</v>
      </c>
      <c r="N695" t="str">
        <f>LOOKUP(C695,Sheet2!$J$4:$K$8)</f>
        <v>60-69</v>
      </c>
      <c r="O695" t="str">
        <f>LOOKUP(D695,Sheet2!$M$4:$N$8)</f>
        <v>40+</v>
      </c>
      <c r="P695" t="str">
        <f>LOOKUP(E695,Sheet2!$P$4:$Q$9)</f>
        <v>100-199</v>
      </c>
      <c r="Q695" t="str">
        <f>LOOKUP(F695,Sheet2!$S$4:$T$8)</f>
        <v>36+</v>
      </c>
      <c r="R695" t="str">
        <f>LOOKUP(G695,Sheet2!$V$4:$W$7)</f>
        <v>0.4 - 0.69</v>
      </c>
      <c r="S695" t="str">
        <f>LOOKUP(H695,Sheet2!$Z$4:$AA$7)</f>
        <v>36-45</v>
      </c>
      <c r="T695" t="str">
        <f t="shared" si="30"/>
        <v>Positive</v>
      </c>
      <c r="U695" t="str">
        <f t="shared" si="31"/>
        <v>Positive</v>
      </c>
      <c r="V695" s="1" t="str">
        <f t="shared" si="32"/>
        <v>Accurate Prediction</v>
      </c>
    </row>
    <row r="696" spans="1:22" x14ac:dyDescent="0.25">
      <c r="A696" s="1">
        <v>2</v>
      </c>
      <c r="B696" s="1">
        <v>90</v>
      </c>
      <c r="C696" s="1">
        <v>60</v>
      </c>
      <c r="D696" s="1">
        <v>0</v>
      </c>
      <c r="E696" s="1">
        <v>0</v>
      </c>
      <c r="F696" s="1">
        <v>23.5</v>
      </c>
      <c r="G696" s="1">
        <v>0.191</v>
      </c>
      <c r="H696" s="1">
        <v>25</v>
      </c>
      <c r="I696" s="1">
        <v>0</v>
      </c>
      <c r="J696" s="1" t="str">
        <f>IFERROR(VLOOKUP(K696,[1]diabetes_Recognition!$A:$B,2,FALSE),"Not Sampled")</f>
        <v>Not Sampled</v>
      </c>
      <c r="K696" s="1">
        <v>694</v>
      </c>
      <c r="L696" s="1">
        <f>LOOKUP(A696,Sheet2!$D$4:$E$9)</f>
        <v>2</v>
      </c>
      <c r="M696" t="str">
        <f>LOOKUP(B696,Sheet2!$G$4:$H$9)</f>
        <v>1-99</v>
      </c>
      <c r="N696" t="str">
        <f>LOOKUP(C696,Sheet2!$J$4:$K$8)</f>
        <v>60-69</v>
      </c>
      <c r="O696" t="str">
        <f>LOOKUP(D696,Sheet2!$M$4:$N$8)</f>
        <v>Unknown</v>
      </c>
      <c r="P696" t="str">
        <f>LOOKUP(E696,Sheet2!$P$4:$Q$9)</f>
        <v>Unknown</v>
      </c>
      <c r="Q696" t="str">
        <f>LOOKUP(F696,Sheet2!$S$4:$T$8)</f>
        <v>1-25</v>
      </c>
      <c r="R696" t="str">
        <f>LOOKUP(G696,Sheet2!$V$4:$W$7)</f>
        <v>0.0 - 0.249</v>
      </c>
      <c r="S696" t="str">
        <f>LOOKUP(H696,Sheet2!$Z$4:$AA$7)</f>
        <v>&lt;=25</v>
      </c>
      <c r="T696" t="str">
        <f t="shared" si="30"/>
        <v>Negative</v>
      </c>
      <c r="U696" t="str">
        <f t="shared" si="31"/>
        <v>Not Sampled</v>
      </c>
      <c r="V696" s="1" t="str">
        <f t="shared" si="32"/>
        <v>Not Sampled</v>
      </c>
    </row>
    <row r="697" spans="1:22" x14ac:dyDescent="0.25">
      <c r="A697" s="1">
        <v>7</v>
      </c>
      <c r="B697" s="1">
        <v>142</v>
      </c>
      <c r="C697" s="1">
        <v>90</v>
      </c>
      <c r="D697" s="1">
        <v>24</v>
      </c>
      <c r="E697" s="1">
        <v>480</v>
      </c>
      <c r="F697" s="1">
        <v>30.4</v>
      </c>
      <c r="G697" s="1">
        <v>0.128</v>
      </c>
      <c r="H697" s="1">
        <v>43</v>
      </c>
      <c r="I697" s="1">
        <v>1</v>
      </c>
      <c r="J697" s="1" t="str">
        <f>IFERROR(VLOOKUP(K697,[1]diabetes_Recognition!$A:$B,2,FALSE),"Not Sampled")</f>
        <v>Not Sampled</v>
      </c>
      <c r="K697" s="1">
        <v>695</v>
      </c>
      <c r="L697" s="1" t="str">
        <f>LOOKUP(A697,Sheet2!$D$4:$E$9)</f>
        <v>5-7</v>
      </c>
      <c r="M697" t="str">
        <f>LOOKUP(B697,Sheet2!$G$4:$H$9)</f>
        <v>126-150</v>
      </c>
      <c r="N697" t="str">
        <f>LOOKUP(C697,Sheet2!$J$4:$K$8)</f>
        <v>80+</v>
      </c>
      <c r="O697" t="str">
        <f>LOOKUP(D697,Sheet2!$M$4:$N$8)</f>
        <v>10-30</v>
      </c>
      <c r="P697" t="str">
        <f>LOOKUP(E697,Sheet2!$P$4:$Q$9)</f>
        <v>300-499</v>
      </c>
      <c r="Q697" t="str">
        <f>LOOKUP(F697,Sheet2!$S$4:$T$8)</f>
        <v>26-30</v>
      </c>
      <c r="R697" t="str">
        <f>LOOKUP(G697,Sheet2!$V$4:$W$7)</f>
        <v>0.0 - 0.249</v>
      </c>
      <c r="S697" t="str">
        <f>LOOKUP(H697,Sheet2!$Z$4:$AA$7)</f>
        <v>36-45</v>
      </c>
      <c r="T697" t="str">
        <f t="shared" si="30"/>
        <v>Positive</v>
      </c>
      <c r="U697" t="str">
        <f t="shared" si="31"/>
        <v>Not Sampled</v>
      </c>
      <c r="V697" s="1" t="str">
        <f t="shared" si="32"/>
        <v>Not Sampled</v>
      </c>
    </row>
    <row r="698" spans="1:22" x14ac:dyDescent="0.25">
      <c r="A698" s="1">
        <v>3</v>
      </c>
      <c r="B698" s="1">
        <v>169</v>
      </c>
      <c r="C698" s="1">
        <v>74</v>
      </c>
      <c r="D698" s="1">
        <v>19</v>
      </c>
      <c r="E698" s="1">
        <v>125</v>
      </c>
      <c r="F698" s="1">
        <v>29.9</v>
      </c>
      <c r="G698" s="1">
        <v>0.26800000000000002</v>
      </c>
      <c r="H698" s="1">
        <v>31</v>
      </c>
      <c r="I698" s="1">
        <v>1</v>
      </c>
      <c r="J698" s="1" t="str">
        <f>IFERROR(VLOOKUP(K698,[1]diabetes_Recognition!$A:$B,2,FALSE),"Not Sampled")</f>
        <v>Not Sampled</v>
      </c>
      <c r="K698" s="1">
        <v>696</v>
      </c>
      <c r="L698" s="1" t="str">
        <f>LOOKUP(A698,Sheet2!$D$4:$E$9)</f>
        <v>3-4</v>
      </c>
      <c r="M698" t="str">
        <f>LOOKUP(B698,Sheet2!$G$4:$H$9)</f>
        <v>151-175</v>
      </c>
      <c r="N698" t="str">
        <f>LOOKUP(C698,Sheet2!$J$4:$K$8)</f>
        <v>70-79</v>
      </c>
      <c r="O698" t="str">
        <f>LOOKUP(D698,Sheet2!$M$4:$N$8)</f>
        <v>10-30</v>
      </c>
      <c r="P698" t="str">
        <f>LOOKUP(E698,Sheet2!$P$4:$Q$9)</f>
        <v>100-199</v>
      </c>
      <c r="Q698" t="str">
        <f>LOOKUP(F698,Sheet2!$S$4:$T$8)</f>
        <v>26-30</v>
      </c>
      <c r="R698" t="str">
        <f>LOOKUP(G698,Sheet2!$V$4:$W$7)</f>
        <v>0.25 - 0.39</v>
      </c>
      <c r="S698" t="str">
        <f>LOOKUP(H698,Sheet2!$Z$4:$AA$7)</f>
        <v>26-35</v>
      </c>
      <c r="T698" t="str">
        <f t="shared" si="30"/>
        <v>Positive</v>
      </c>
      <c r="U698" t="str">
        <f t="shared" si="31"/>
        <v>Not Sampled</v>
      </c>
      <c r="V698" s="1" t="str">
        <f t="shared" si="32"/>
        <v>Not Sampled</v>
      </c>
    </row>
    <row r="699" spans="1:22" x14ac:dyDescent="0.25">
      <c r="A699" s="1">
        <v>0</v>
      </c>
      <c r="B699" s="1">
        <v>99</v>
      </c>
      <c r="C699" s="1">
        <v>0</v>
      </c>
      <c r="D699" s="1">
        <v>0</v>
      </c>
      <c r="E699" s="1">
        <v>0</v>
      </c>
      <c r="F699" s="1">
        <v>25</v>
      </c>
      <c r="G699" s="1">
        <v>0.253</v>
      </c>
      <c r="H699" s="1">
        <v>22</v>
      </c>
      <c r="I699" s="1">
        <v>0</v>
      </c>
      <c r="J699" s="1">
        <f>IFERROR(VLOOKUP(K699,[1]diabetes_Recognition!$A:$B,2,FALSE),"Not Sampled")</f>
        <v>0</v>
      </c>
      <c r="K699" s="1">
        <v>697</v>
      </c>
      <c r="L699" s="1">
        <f>LOOKUP(A699,Sheet2!$D$4:$E$9)</f>
        <v>0</v>
      </c>
      <c r="M699" t="str">
        <f>LOOKUP(B699,Sheet2!$G$4:$H$9)</f>
        <v>1-99</v>
      </c>
      <c r="N699" t="str">
        <f>LOOKUP(C699,Sheet2!$J$4:$K$8)</f>
        <v>Unknown</v>
      </c>
      <c r="O699" t="str">
        <f>LOOKUP(D699,Sheet2!$M$4:$N$8)</f>
        <v>Unknown</v>
      </c>
      <c r="P699" t="str">
        <f>LOOKUP(E699,Sheet2!$P$4:$Q$9)</f>
        <v>Unknown</v>
      </c>
      <c r="Q699" t="str">
        <f>LOOKUP(F699,Sheet2!$S$4:$T$8)</f>
        <v>1-25</v>
      </c>
      <c r="R699" t="str">
        <f>LOOKUP(G699,Sheet2!$V$4:$W$7)</f>
        <v>0.25 - 0.39</v>
      </c>
      <c r="S699" t="str">
        <f>LOOKUP(H699,Sheet2!$Z$4:$AA$7)</f>
        <v>&lt;=25</v>
      </c>
      <c r="T699" t="str">
        <f t="shared" si="30"/>
        <v>Negative</v>
      </c>
      <c r="U699" t="str">
        <f t="shared" si="31"/>
        <v>Negative</v>
      </c>
      <c r="V699" s="1" t="str">
        <f t="shared" si="32"/>
        <v>Accurate Prediction</v>
      </c>
    </row>
    <row r="700" spans="1:22" x14ac:dyDescent="0.25">
      <c r="A700" s="1">
        <v>4</v>
      </c>
      <c r="B700" s="1">
        <v>127</v>
      </c>
      <c r="C700" s="1">
        <v>88</v>
      </c>
      <c r="D700" s="1">
        <v>11</v>
      </c>
      <c r="E700" s="1">
        <v>155</v>
      </c>
      <c r="F700" s="1">
        <v>34.5</v>
      </c>
      <c r="G700" s="1">
        <v>0.59799999999999998</v>
      </c>
      <c r="H700" s="1">
        <v>28</v>
      </c>
      <c r="I700" s="1">
        <v>0</v>
      </c>
      <c r="J700" s="1">
        <f>IFERROR(VLOOKUP(K700,[1]diabetes_Recognition!$A:$B,2,FALSE),"Not Sampled")</f>
        <v>0</v>
      </c>
      <c r="K700" s="1">
        <v>698</v>
      </c>
      <c r="L700" s="1" t="str">
        <f>LOOKUP(A700,Sheet2!$D$4:$E$9)</f>
        <v>3-4</v>
      </c>
      <c r="M700" t="str">
        <f>LOOKUP(B700,Sheet2!$G$4:$H$9)</f>
        <v>126-150</v>
      </c>
      <c r="N700" t="str">
        <f>LOOKUP(C700,Sheet2!$J$4:$K$8)</f>
        <v>80+</v>
      </c>
      <c r="O700" t="str">
        <f>LOOKUP(D700,Sheet2!$M$4:$N$8)</f>
        <v>10-30</v>
      </c>
      <c r="P700" t="str">
        <f>LOOKUP(E700,Sheet2!$P$4:$Q$9)</f>
        <v>100-199</v>
      </c>
      <c r="Q700" t="str">
        <f>LOOKUP(F700,Sheet2!$S$4:$T$8)</f>
        <v>31-35</v>
      </c>
      <c r="R700" t="str">
        <f>LOOKUP(G700,Sheet2!$V$4:$W$7)</f>
        <v>0.4 - 0.69</v>
      </c>
      <c r="S700" t="str">
        <f>LOOKUP(H700,Sheet2!$Z$4:$AA$7)</f>
        <v>26-35</v>
      </c>
      <c r="T700" t="str">
        <f t="shared" si="30"/>
        <v>Negative</v>
      </c>
      <c r="U700" t="str">
        <f t="shared" si="31"/>
        <v>Negative</v>
      </c>
      <c r="V700" s="1" t="str">
        <f t="shared" si="32"/>
        <v>Accurate Prediction</v>
      </c>
    </row>
    <row r="701" spans="1:22" x14ac:dyDescent="0.25">
      <c r="A701" s="1">
        <v>4</v>
      </c>
      <c r="B701" s="1">
        <v>118</v>
      </c>
      <c r="C701" s="1">
        <v>70</v>
      </c>
      <c r="D701" s="1">
        <v>0</v>
      </c>
      <c r="E701" s="1">
        <v>0</v>
      </c>
      <c r="F701" s="1">
        <v>44.5</v>
      </c>
      <c r="G701" s="1">
        <v>0.90400000000000003</v>
      </c>
      <c r="H701" s="1">
        <v>26</v>
      </c>
      <c r="I701" s="1">
        <v>0</v>
      </c>
      <c r="J701" s="1" t="str">
        <f>IFERROR(VLOOKUP(K701,[1]diabetes_Recognition!$A:$B,2,FALSE),"Not Sampled")</f>
        <v>Not Sampled</v>
      </c>
      <c r="K701" s="1">
        <v>699</v>
      </c>
      <c r="L701" s="1" t="str">
        <f>LOOKUP(A701,Sheet2!$D$4:$E$9)</f>
        <v>3-4</v>
      </c>
      <c r="M701" t="str">
        <f>LOOKUP(B701,Sheet2!$G$4:$H$9)</f>
        <v>100-125</v>
      </c>
      <c r="N701" t="str">
        <f>LOOKUP(C701,Sheet2!$J$4:$K$8)</f>
        <v>70-79</v>
      </c>
      <c r="O701" t="str">
        <f>LOOKUP(D701,Sheet2!$M$4:$N$8)</f>
        <v>Unknown</v>
      </c>
      <c r="P701" t="str">
        <f>LOOKUP(E701,Sheet2!$P$4:$Q$9)</f>
        <v>Unknown</v>
      </c>
      <c r="Q701" t="str">
        <f>LOOKUP(F701,Sheet2!$S$4:$T$8)</f>
        <v>36+</v>
      </c>
      <c r="R701" t="str">
        <f>LOOKUP(G701,Sheet2!$V$4:$W$7)</f>
        <v>0.7+</v>
      </c>
      <c r="S701" t="str">
        <f>LOOKUP(H701,Sheet2!$Z$4:$AA$7)</f>
        <v>26-35</v>
      </c>
      <c r="T701" t="str">
        <f t="shared" si="30"/>
        <v>Negative</v>
      </c>
      <c r="U701" t="str">
        <f t="shared" si="31"/>
        <v>Not Sampled</v>
      </c>
      <c r="V701" s="1" t="str">
        <f t="shared" si="32"/>
        <v>Not Sampled</v>
      </c>
    </row>
    <row r="702" spans="1:22" x14ac:dyDescent="0.25">
      <c r="A702" s="1">
        <v>2</v>
      </c>
      <c r="B702" s="1">
        <v>122</v>
      </c>
      <c r="C702" s="1">
        <v>76</v>
      </c>
      <c r="D702" s="1">
        <v>27</v>
      </c>
      <c r="E702" s="1">
        <v>200</v>
      </c>
      <c r="F702" s="1">
        <v>35.9</v>
      </c>
      <c r="G702" s="1">
        <v>0.48299999999999998</v>
      </c>
      <c r="H702" s="1">
        <v>26</v>
      </c>
      <c r="I702" s="1">
        <v>0</v>
      </c>
      <c r="J702" s="1">
        <f>IFERROR(VLOOKUP(K702,[1]diabetes_Recognition!$A:$B,2,FALSE),"Not Sampled")</f>
        <v>0</v>
      </c>
      <c r="K702" s="1">
        <v>700</v>
      </c>
      <c r="L702" s="1">
        <f>LOOKUP(A702,Sheet2!$D$4:$E$9)</f>
        <v>2</v>
      </c>
      <c r="M702" t="str">
        <f>LOOKUP(B702,Sheet2!$G$4:$H$9)</f>
        <v>100-125</v>
      </c>
      <c r="N702" t="str">
        <f>LOOKUP(C702,Sheet2!$J$4:$K$8)</f>
        <v>70-79</v>
      </c>
      <c r="O702" t="str">
        <f>LOOKUP(D702,Sheet2!$M$4:$N$8)</f>
        <v>10-30</v>
      </c>
      <c r="P702" t="str">
        <f>LOOKUP(E702,Sheet2!$P$4:$Q$9)</f>
        <v>200-399</v>
      </c>
      <c r="Q702" t="str">
        <f>LOOKUP(F702,Sheet2!$S$4:$T$8)</f>
        <v>31-35</v>
      </c>
      <c r="R702" t="str">
        <f>LOOKUP(G702,Sheet2!$V$4:$W$7)</f>
        <v>0.4 - 0.69</v>
      </c>
      <c r="S702" t="str">
        <f>LOOKUP(H702,Sheet2!$Z$4:$AA$7)</f>
        <v>26-35</v>
      </c>
      <c r="T702" t="str">
        <f t="shared" si="30"/>
        <v>Negative</v>
      </c>
      <c r="U702" t="str">
        <f t="shared" si="31"/>
        <v>Negative</v>
      </c>
      <c r="V702" s="1" t="str">
        <f t="shared" si="32"/>
        <v>Accurate Prediction</v>
      </c>
    </row>
    <row r="703" spans="1:22" x14ac:dyDescent="0.25">
      <c r="A703" s="1">
        <v>6</v>
      </c>
      <c r="B703" s="1">
        <v>125</v>
      </c>
      <c r="C703" s="1">
        <v>78</v>
      </c>
      <c r="D703" s="1">
        <v>31</v>
      </c>
      <c r="E703" s="1">
        <v>0</v>
      </c>
      <c r="F703" s="1">
        <v>27.6</v>
      </c>
      <c r="G703" s="1">
        <v>0.56499999999999995</v>
      </c>
      <c r="H703" s="1">
        <v>49</v>
      </c>
      <c r="I703" s="1">
        <v>1</v>
      </c>
      <c r="J703" s="1">
        <f>IFERROR(VLOOKUP(K703,[1]diabetes_Recognition!$A:$B,2,FALSE),"Not Sampled")</f>
        <v>0</v>
      </c>
      <c r="K703" s="1">
        <v>701</v>
      </c>
      <c r="L703" s="1" t="str">
        <f>LOOKUP(A703,Sheet2!$D$4:$E$9)</f>
        <v>5-7</v>
      </c>
      <c r="M703" t="str">
        <f>LOOKUP(B703,Sheet2!$G$4:$H$9)</f>
        <v>100-125</v>
      </c>
      <c r="N703" t="str">
        <f>LOOKUP(C703,Sheet2!$J$4:$K$8)</f>
        <v>70-79</v>
      </c>
      <c r="O703" t="str">
        <f>LOOKUP(D703,Sheet2!$M$4:$N$8)</f>
        <v>30-39</v>
      </c>
      <c r="P703" t="str">
        <f>LOOKUP(E703,Sheet2!$P$4:$Q$9)</f>
        <v>Unknown</v>
      </c>
      <c r="Q703" t="str">
        <f>LOOKUP(F703,Sheet2!$S$4:$T$8)</f>
        <v>26-30</v>
      </c>
      <c r="R703" t="str">
        <f>LOOKUP(G703,Sheet2!$V$4:$W$7)</f>
        <v>0.4 - 0.69</v>
      </c>
      <c r="S703" t="str">
        <f>LOOKUP(H703,Sheet2!$Z$4:$AA$7)</f>
        <v>46+</v>
      </c>
      <c r="T703" t="str">
        <f t="shared" si="30"/>
        <v>Positive</v>
      </c>
      <c r="U703" t="str">
        <f t="shared" si="31"/>
        <v>Negative</v>
      </c>
      <c r="V703" s="1" t="str">
        <f t="shared" si="32"/>
        <v>Inaccurate Prediction</v>
      </c>
    </row>
    <row r="704" spans="1:22" x14ac:dyDescent="0.25">
      <c r="A704" s="1">
        <v>1</v>
      </c>
      <c r="B704" s="1">
        <v>168</v>
      </c>
      <c r="C704" s="1">
        <v>88</v>
      </c>
      <c r="D704" s="1">
        <v>29</v>
      </c>
      <c r="E704" s="1">
        <v>0</v>
      </c>
      <c r="F704" s="1">
        <v>35</v>
      </c>
      <c r="G704" s="1">
        <v>0.90500000000000003</v>
      </c>
      <c r="H704" s="1">
        <v>52</v>
      </c>
      <c r="I704" s="1">
        <v>1</v>
      </c>
      <c r="J704" s="1">
        <f>IFERROR(VLOOKUP(K704,[1]diabetes_Recognition!$A:$B,2,FALSE),"Not Sampled")</f>
        <v>1</v>
      </c>
      <c r="K704" s="1">
        <v>702</v>
      </c>
      <c r="L704" s="1">
        <f>LOOKUP(A704,Sheet2!$D$4:$E$9)</f>
        <v>1</v>
      </c>
      <c r="M704" t="str">
        <f>LOOKUP(B704,Sheet2!$G$4:$H$9)</f>
        <v>151-175</v>
      </c>
      <c r="N704" t="str">
        <f>LOOKUP(C704,Sheet2!$J$4:$K$8)</f>
        <v>80+</v>
      </c>
      <c r="O704" t="str">
        <f>LOOKUP(D704,Sheet2!$M$4:$N$8)</f>
        <v>10-30</v>
      </c>
      <c r="P704" t="str">
        <f>LOOKUP(E704,Sheet2!$P$4:$Q$9)</f>
        <v>Unknown</v>
      </c>
      <c r="Q704" t="str">
        <f>LOOKUP(F704,Sheet2!$S$4:$T$8)</f>
        <v>31-35</v>
      </c>
      <c r="R704" t="str">
        <f>LOOKUP(G704,Sheet2!$V$4:$W$7)</f>
        <v>0.7+</v>
      </c>
      <c r="S704" t="str">
        <f>LOOKUP(H704,Sheet2!$Z$4:$AA$7)</f>
        <v>46+</v>
      </c>
      <c r="T704" t="str">
        <f t="shared" si="30"/>
        <v>Positive</v>
      </c>
      <c r="U704" t="str">
        <f t="shared" si="31"/>
        <v>Positive</v>
      </c>
      <c r="V704" s="1" t="str">
        <f t="shared" si="32"/>
        <v>Accurate Prediction</v>
      </c>
    </row>
    <row r="705" spans="1:22" x14ac:dyDescent="0.25">
      <c r="A705" s="1">
        <v>2</v>
      </c>
      <c r="B705" s="1">
        <v>129</v>
      </c>
      <c r="C705" s="1">
        <v>0</v>
      </c>
      <c r="D705" s="1">
        <v>0</v>
      </c>
      <c r="E705" s="1">
        <v>0</v>
      </c>
      <c r="F705" s="1">
        <v>38.5</v>
      </c>
      <c r="G705" s="1">
        <v>0.30399999999999999</v>
      </c>
      <c r="H705" s="1">
        <v>41</v>
      </c>
      <c r="I705" s="1">
        <v>0</v>
      </c>
      <c r="J705" s="1" t="str">
        <f>IFERROR(VLOOKUP(K705,[1]diabetes_Recognition!$A:$B,2,FALSE),"Not Sampled")</f>
        <v>Not Sampled</v>
      </c>
      <c r="K705" s="1">
        <v>703</v>
      </c>
      <c r="L705" s="1">
        <f>LOOKUP(A705,Sheet2!$D$4:$E$9)</f>
        <v>2</v>
      </c>
      <c r="M705" t="str">
        <f>LOOKUP(B705,Sheet2!$G$4:$H$9)</f>
        <v>126-150</v>
      </c>
      <c r="N705" t="str">
        <f>LOOKUP(C705,Sheet2!$J$4:$K$8)</f>
        <v>Unknown</v>
      </c>
      <c r="O705" t="str">
        <f>LOOKUP(D705,Sheet2!$M$4:$N$8)</f>
        <v>Unknown</v>
      </c>
      <c r="P705" t="str">
        <f>LOOKUP(E705,Sheet2!$P$4:$Q$9)</f>
        <v>Unknown</v>
      </c>
      <c r="Q705" t="str">
        <f>LOOKUP(F705,Sheet2!$S$4:$T$8)</f>
        <v>36+</v>
      </c>
      <c r="R705" t="str">
        <f>LOOKUP(G705,Sheet2!$V$4:$W$7)</f>
        <v>0.25 - 0.39</v>
      </c>
      <c r="S705" t="str">
        <f>LOOKUP(H705,Sheet2!$Z$4:$AA$7)</f>
        <v>36-45</v>
      </c>
      <c r="T705" t="str">
        <f t="shared" si="30"/>
        <v>Negative</v>
      </c>
      <c r="U705" t="str">
        <f t="shared" si="31"/>
        <v>Not Sampled</v>
      </c>
      <c r="V705" s="1" t="str">
        <f t="shared" si="32"/>
        <v>Not Sampled</v>
      </c>
    </row>
    <row r="706" spans="1:22" x14ac:dyDescent="0.25">
      <c r="A706" s="1">
        <v>4</v>
      </c>
      <c r="B706" s="1">
        <v>110</v>
      </c>
      <c r="C706" s="1">
        <v>76</v>
      </c>
      <c r="D706" s="1">
        <v>20</v>
      </c>
      <c r="E706" s="1">
        <v>100</v>
      </c>
      <c r="F706" s="1">
        <v>28.4</v>
      </c>
      <c r="G706" s="1">
        <v>0.11799999999999999</v>
      </c>
      <c r="H706" s="1">
        <v>27</v>
      </c>
      <c r="I706" s="1">
        <v>0</v>
      </c>
      <c r="J706" s="1" t="str">
        <f>IFERROR(VLOOKUP(K706,[1]diabetes_Recognition!$A:$B,2,FALSE),"Not Sampled")</f>
        <v>Not Sampled</v>
      </c>
      <c r="K706" s="1">
        <v>704</v>
      </c>
      <c r="L706" s="1" t="str">
        <f>LOOKUP(A706,Sheet2!$D$4:$E$9)</f>
        <v>3-4</v>
      </c>
      <c r="M706" t="str">
        <f>LOOKUP(B706,Sheet2!$G$4:$H$9)</f>
        <v>100-125</v>
      </c>
      <c r="N706" t="str">
        <f>LOOKUP(C706,Sheet2!$J$4:$K$8)</f>
        <v>70-79</v>
      </c>
      <c r="O706" t="str">
        <f>LOOKUP(D706,Sheet2!$M$4:$N$8)</f>
        <v>10-30</v>
      </c>
      <c r="P706" t="str">
        <f>LOOKUP(E706,Sheet2!$P$4:$Q$9)</f>
        <v>100-199</v>
      </c>
      <c r="Q706" t="str">
        <f>LOOKUP(F706,Sheet2!$S$4:$T$8)</f>
        <v>26-30</v>
      </c>
      <c r="R706" t="str">
        <f>LOOKUP(G706,Sheet2!$V$4:$W$7)</f>
        <v>0.0 - 0.249</v>
      </c>
      <c r="S706" t="str">
        <f>LOOKUP(H706,Sheet2!$Z$4:$AA$7)</f>
        <v>26-35</v>
      </c>
      <c r="T706" t="str">
        <f t="shared" si="30"/>
        <v>Negative</v>
      </c>
      <c r="U706" t="str">
        <f t="shared" si="31"/>
        <v>Not Sampled</v>
      </c>
      <c r="V706" s="1" t="str">
        <f t="shared" si="32"/>
        <v>Not Sampled</v>
      </c>
    </row>
    <row r="707" spans="1:22" x14ac:dyDescent="0.25">
      <c r="A707" s="1">
        <v>6</v>
      </c>
      <c r="B707" s="1">
        <v>80</v>
      </c>
      <c r="C707" s="1">
        <v>80</v>
      </c>
      <c r="D707" s="1">
        <v>36</v>
      </c>
      <c r="E707" s="1">
        <v>0</v>
      </c>
      <c r="F707" s="1">
        <v>39.799999999999997</v>
      </c>
      <c r="G707" s="1">
        <v>0.17699999999999999</v>
      </c>
      <c r="H707" s="1">
        <v>28</v>
      </c>
      <c r="I707" s="1">
        <v>0</v>
      </c>
      <c r="J707" s="1">
        <f>IFERROR(VLOOKUP(K707,[1]diabetes_Recognition!$A:$B,2,FALSE),"Not Sampled")</f>
        <v>0</v>
      </c>
      <c r="K707" s="1">
        <v>705</v>
      </c>
      <c r="L707" s="1" t="str">
        <f>LOOKUP(A707,Sheet2!$D$4:$E$9)</f>
        <v>5-7</v>
      </c>
      <c r="M707" t="str">
        <f>LOOKUP(B707,Sheet2!$G$4:$H$9)</f>
        <v>1-99</v>
      </c>
      <c r="N707" t="str">
        <f>LOOKUP(C707,Sheet2!$J$4:$K$8)</f>
        <v>80+</v>
      </c>
      <c r="O707" t="str">
        <f>LOOKUP(D707,Sheet2!$M$4:$N$8)</f>
        <v>30-39</v>
      </c>
      <c r="P707" t="str">
        <f>LOOKUP(E707,Sheet2!$P$4:$Q$9)</f>
        <v>Unknown</v>
      </c>
      <c r="Q707" t="str">
        <f>LOOKUP(F707,Sheet2!$S$4:$T$8)</f>
        <v>36+</v>
      </c>
      <c r="R707" t="str">
        <f>LOOKUP(G707,Sheet2!$V$4:$W$7)</f>
        <v>0.0 - 0.249</v>
      </c>
      <c r="S707" t="str">
        <f>LOOKUP(H707,Sheet2!$Z$4:$AA$7)</f>
        <v>26-35</v>
      </c>
      <c r="T707" t="str">
        <f t="shared" ref="T707:T770" si="33">IF(I707=1,"Positive","Negative")</f>
        <v>Negative</v>
      </c>
      <c r="U707" t="str">
        <f t="shared" ref="U707:U770" si="34">IF(J707=1,"Positive",(IF(J707=0,"Negative","Not Sampled")))</f>
        <v>Negative</v>
      </c>
      <c r="V707" s="1" t="str">
        <f t="shared" ref="V707:V770" si="35">IF(U707="Not Sampled","Not Sampled",IF(T707=U707,"Accurate Prediction","Inaccurate Prediction"))</f>
        <v>Accurate Prediction</v>
      </c>
    </row>
    <row r="708" spans="1:22" x14ac:dyDescent="0.25">
      <c r="A708" s="1">
        <v>10</v>
      </c>
      <c r="B708" s="1">
        <v>115</v>
      </c>
      <c r="C708" s="1">
        <v>0</v>
      </c>
      <c r="D708" s="1">
        <v>0</v>
      </c>
      <c r="E708" s="1">
        <v>0</v>
      </c>
      <c r="F708" s="1">
        <v>0</v>
      </c>
      <c r="G708" s="1">
        <v>0.26100000000000001</v>
      </c>
      <c r="H708" s="1">
        <v>30</v>
      </c>
      <c r="I708" s="1">
        <v>1</v>
      </c>
      <c r="J708" s="1" t="str">
        <f>IFERROR(VLOOKUP(K708,[1]diabetes_Recognition!$A:$B,2,FALSE),"Not Sampled")</f>
        <v>Not Sampled</v>
      </c>
      <c r="K708" s="1">
        <v>706</v>
      </c>
      <c r="L708" s="1" t="str">
        <f>LOOKUP(A708,Sheet2!$D$4:$E$9)</f>
        <v>8+</v>
      </c>
      <c r="M708" t="str">
        <f>LOOKUP(B708,Sheet2!$G$4:$H$9)</f>
        <v>100-125</v>
      </c>
      <c r="N708" t="str">
        <f>LOOKUP(C708,Sheet2!$J$4:$K$8)</f>
        <v>Unknown</v>
      </c>
      <c r="O708" t="str">
        <f>LOOKUP(D708,Sheet2!$M$4:$N$8)</f>
        <v>Unknown</v>
      </c>
      <c r="P708" t="str">
        <f>LOOKUP(E708,Sheet2!$P$4:$Q$9)</f>
        <v>Unknown</v>
      </c>
      <c r="Q708" t="str">
        <f>LOOKUP(F708,Sheet2!$S$4:$T$8)</f>
        <v>Unknown</v>
      </c>
      <c r="R708" t="str">
        <f>LOOKUP(G708,Sheet2!$V$4:$W$7)</f>
        <v>0.25 - 0.39</v>
      </c>
      <c r="S708" t="str">
        <f>LOOKUP(H708,Sheet2!$Z$4:$AA$7)</f>
        <v>26-35</v>
      </c>
      <c r="T708" t="str">
        <f t="shared" si="33"/>
        <v>Positive</v>
      </c>
      <c r="U708" t="str">
        <f t="shared" si="34"/>
        <v>Not Sampled</v>
      </c>
      <c r="V708" s="1" t="str">
        <f t="shared" si="35"/>
        <v>Not Sampled</v>
      </c>
    </row>
    <row r="709" spans="1:22" x14ac:dyDescent="0.25">
      <c r="A709" s="1">
        <v>2</v>
      </c>
      <c r="B709" s="1">
        <v>127</v>
      </c>
      <c r="C709" s="1">
        <v>46</v>
      </c>
      <c r="D709" s="1">
        <v>21</v>
      </c>
      <c r="E709" s="1">
        <v>335</v>
      </c>
      <c r="F709" s="1">
        <v>34.4</v>
      </c>
      <c r="G709" s="1">
        <v>0.17599999999999999</v>
      </c>
      <c r="H709" s="1">
        <v>22</v>
      </c>
      <c r="I709" s="1">
        <v>0</v>
      </c>
      <c r="J709" s="1" t="str">
        <f>IFERROR(VLOOKUP(K709,[1]diabetes_Recognition!$A:$B,2,FALSE),"Not Sampled")</f>
        <v>Not Sampled</v>
      </c>
      <c r="K709" s="1">
        <v>707</v>
      </c>
      <c r="L709" s="1">
        <f>LOOKUP(A709,Sheet2!$D$4:$E$9)</f>
        <v>2</v>
      </c>
      <c r="M709" t="str">
        <f>LOOKUP(B709,Sheet2!$G$4:$H$9)</f>
        <v>126-150</v>
      </c>
      <c r="N709" t="str">
        <f>LOOKUP(C709,Sheet2!$J$4:$K$8)</f>
        <v>1-59</v>
      </c>
      <c r="O709" t="str">
        <f>LOOKUP(D709,Sheet2!$M$4:$N$8)</f>
        <v>10-30</v>
      </c>
      <c r="P709" t="str">
        <f>LOOKUP(E709,Sheet2!$P$4:$Q$9)</f>
        <v>300-499</v>
      </c>
      <c r="Q709" t="str">
        <f>LOOKUP(F709,Sheet2!$S$4:$T$8)</f>
        <v>31-35</v>
      </c>
      <c r="R709" t="str">
        <f>LOOKUP(G709,Sheet2!$V$4:$W$7)</f>
        <v>0.0 - 0.249</v>
      </c>
      <c r="S709" t="str">
        <f>LOOKUP(H709,Sheet2!$Z$4:$AA$7)</f>
        <v>&lt;=25</v>
      </c>
      <c r="T709" t="str">
        <f t="shared" si="33"/>
        <v>Negative</v>
      </c>
      <c r="U709" t="str">
        <f t="shared" si="34"/>
        <v>Not Sampled</v>
      </c>
      <c r="V709" s="1" t="str">
        <f t="shared" si="35"/>
        <v>Not Sampled</v>
      </c>
    </row>
    <row r="710" spans="1:22" x14ac:dyDescent="0.25">
      <c r="A710" s="1">
        <v>9</v>
      </c>
      <c r="B710" s="1">
        <v>164</v>
      </c>
      <c r="C710" s="1">
        <v>78</v>
      </c>
      <c r="D710" s="1">
        <v>0</v>
      </c>
      <c r="E710" s="1">
        <v>0</v>
      </c>
      <c r="F710" s="1">
        <v>32.799999999999997</v>
      </c>
      <c r="G710" s="1">
        <v>0.14799999999999999</v>
      </c>
      <c r="H710" s="1">
        <v>45</v>
      </c>
      <c r="I710" s="1">
        <v>1</v>
      </c>
      <c r="J710" s="1" t="str">
        <f>IFERROR(VLOOKUP(K710,[1]diabetes_Recognition!$A:$B,2,FALSE),"Not Sampled")</f>
        <v>Not Sampled</v>
      </c>
      <c r="K710" s="1">
        <v>708</v>
      </c>
      <c r="L710" s="1" t="str">
        <f>LOOKUP(A710,Sheet2!$D$4:$E$9)</f>
        <v>8+</v>
      </c>
      <c r="M710" t="str">
        <f>LOOKUP(B710,Sheet2!$G$4:$H$9)</f>
        <v>151-175</v>
      </c>
      <c r="N710" t="str">
        <f>LOOKUP(C710,Sheet2!$J$4:$K$8)</f>
        <v>70-79</v>
      </c>
      <c r="O710" t="str">
        <f>LOOKUP(D710,Sheet2!$M$4:$N$8)</f>
        <v>Unknown</v>
      </c>
      <c r="P710" t="str">
        <f>LOOKUP(E710,Sheet2!$P$4:$Q$9)</f>
        <v>Unknown</v>
      </c>
      <c r="Q710" t="str">
        <f>LOOKUP(F710,Sheet2!$S$4:$T$8)</f>
        <v>31-35</v>
      </c>
      <c r="R710" t="str">
        <f>LOOKUP(G710,Sheet2!$V$4:$W$7)</f>
        <v>0.0 - 0.249</v>
      </c>
      <c r="S710" t="str">
        <f>LOOKUP(H710,Sheet2!$Z$4:$AA$7)</f>
        <v>36-45</v>
      </c>
      <c r="T710" t="str">
        <f t="shared" si="33"/>
        <v>Positive</v>
      </c>
      <c r="U710" t="str">
        <f t="shared" si="34"/>
        <v>Not Sampled</v>
      </c>
      <c r="V710" s="1" t="str">
        <f t="shared" si="35"/>
        <v>Not Sampled</v>
      </c>
    </row>
    <row r="711" spans="1:22" x14ac:dyDescent="0.25">
      <c r="A711" s="1">
        <v>2</v>
      </c>
      <c r="B711" s="1">
        <v>93</v>
      </c>
      <c r="C711" s="1">
        <v>64</v>
      </c>
      <c r="D711" s="1">
        <v>32</v>
      </c>
      <c r="E711" s="1">
        <v>160</v>
      </c>
      <c r="F711" s="1">
        <v>38</v>
      </c>
      <c r="G711" s="1">
        <v>0.67400000000000004</v>
      </c>
      <c r="H711" s="1">
        <v>23</v>
      </c>
      <c r="I711" s="1">
        <v>1</v>
      </c>
      <c r="J711" s="1" t="str">
        <f>IFERROR(VLOOKUP(K711,[1]diabetes_Recognition!$A:$B,2,FALSE),"Not Sampled")</f>
        <v>Not Sampled</v>
      </c>
      <c r="K711" s="1">
        <v>709</v>
      </c>
      <c r="L711" s="1">
        <f>LOOKUP(A711,Sheet2!$D$4:$E$9)</f>
        <v>2</v>
      </c>
      <c r="M711" t="str">
        <f>LOOKUP(B711,Sheet2!$G$4:$H$9)</f>
        <v>1-99</v>
      </c>
      <c r="N711" t="str">
        <f>LOOKUP(C711,Sheet2!$J$4:$K$8)</f>
        <v>60-69</v>
      </c>
      <c r="O711" t="str">
        <f>LOOKUP(D711,Sheet2!$M$4:$N$8)</f>
        <v>30-39</v>
      </c>
      <c r="P711" t="str">
        <f>LOOKUP(E711,Sheet2!$P$4:$Q$9)</f>
        <v>100-199</v>
      </c>
      <c r="Q711" t="str">
        <f>LOOKUP(F711,Sheet2!$S$4:$T$8)</f>
        <v>36+</v>
      </c>
      <c r="R711" t="str">
        <f>LOOKUP(G711,Sheet2!$V$4:$W$7)</f>
        <v>0.4 - 0.69</v>
      </c>
      <c r="S711" t="str">
        <f>LOOKUP(H711,Sheet2!$Z$4:$AA$7)</f>
        <v>&lt;=25</v>
      </c>
      <c r="T711" t="str">
        <f t="shared" si="33"/>
        <v>Positive</v>
      </c>
      <c r="U711" t="str">
        <f t="shared" si="34"/>
        <v>Not Sampled</v>
      </c>
      <c r="V711" s="1" t="str">
        <f t="shared" si="35"/>
        <v>Not Sampled</v>
      </c>
    </row>
    <row r="712" spans="1:22" x14ac:dyDescent="0.25">
      <c r="A712" s="1">
        <v>3</v>
      </c>
      <c r="B712" s="1">
        <v>158</v>
      </c>
      <c r="C712" s="1">
        <v>64</v>
      </c>
      <c r="D712" s="1">
        <v>13</v>
      </c>
      <c r="E712" s="1">
        <v>387</v>
      </c>
      <c r="F712" s="1">
        <v>31.2</v>
      </c>
      <c r="G712" s="1">
        <v>0.29499999999999998</v>
      </c>
      <c r="H712" s="1">
        <v>24</v>
      </c>
      <c r="I712" s="1">
        <v>0</v>
      </c>
      <c r="J712" s="1" t="str">
        <f>IFERROR(VLOOKUP(K712,[1]diabetes_Recognition!$A:$B,2,FALSE),"Not Sampled")</f>
        <v>Not Sampled</v>
      </c>
      <c r="K712" s="1">
        <v>710</v>
      </c>
      <c r="L712" s="1" t="str">
        <f>LOOKUP(A712,Sheet2!$D$4:$E$9)</f>
        <v>3-4</v>
      </c>
      <c r="M712" t="str">
        <f>LOOKUP(B712,Sheet2!$G$4:$H$9)</f>
        <v>151-175</v>
      </c>
      <c r="N712" t="str">
        <f>LOOKUP(C712,Sheet2!$J$4:$K$8)</f>
        <v>60-69</v>
      </c>
      <c r="O712" t="str">
        <f>LOOKUP(D712,Sheet2!$M$4:$N$8)</f>
        <v>10-30</v>
      </c>
      <c r="P712" t="str">
        <f>LOOKUP(E712,Sheet2!$P$4:$Q$9)</f>
        <v>300-499</v>
      </c>
      <c r="Q712" t="str">
        <f>LOOKUP(F712,Sheet2!$S$4:$T$8)</f>
        <v>31-35</v>
      </c>
      <c r="R712" t="str">
        <f>LOOKUP(G712,Sheet2!$V$4:$W$7)</f>
        <v>0.25 - 0.39</v>
      </c>
      <c r="S712" t="str">
        <f>LOOKUP(H712,Sheet2!$Z$4:$AA$7)</f>
        <v>&lt;=25</v>
      </c>
      <c r="T712" t="str">
        <f t="shared" si="33"/>
        <v>Negative</v>
      </c>
      <c r="U712" t="str">
        <f t="shared" si="34"/>
        <v>Not Sampled</v>
      </c>
      <c r="V712" s="1" t="str">
        <f t="shared" si="35"/>
        <v>Not Sampled</v>
      </c>
    </row>
    <row r="713" spans="1:22" x14ac:dyDescent="0.25">
      <c r="A713" s="1">
        <v>5</v>
      </c>
      <c r="B713" s="1">
        <v>126</v>
      </c>
      <c r="C713" s="1">
        <v>78</v>
      </c>
      <c r="D713" s="1">
        <v>27</v>
      </c>
      <c r="E713" s="1">
        <v>22</v>
      </c>
      <c r="F713" s="1">
        <v>29.6</v>
      </c>
      <c r="G713" s="1">
        <v>0.439</v>
      </c>
      <c r="H713" s="1">
        <v>40</v>
      </c>
      <c r="I713" s="1">
        <v>0</v>
      </c>
      <c r="J713" s="1" t="str">
        <f>IFERROR(VLOOKUP(K713,[1]diabetes_Recognition!$A:$B,2,FALSE),"Not Sampled")</f>
        <v>Not Sampled</v>
      </c>
      <c r="K713" s="1">
        <v>711</v>
      </c>
      <c r="L713" s="1" t="str">
        <f>LOOKUP(A713,Sheet2!$D$4:$E$9)</f>
        <v>5-7</v>
      </c>
      <c r="M713" t="str">
        <f>LOOKUP(B713,Sheet2!$G$4:$H$9)</f>
        <v>126-150</v>
      </c>
      <c r="N713" t="str">
        <f>LOOKUP(C713,Sheet2!$J$4:$K$8)</f>
        <v>70-79</v>
      </c>
      <c r="O713" t="str">
        <f>LOOKUP(D713,Sheet2!$M$4:$N$8)</f>
        <v>10-30</v>
      </c>
      <c r="P713" t="str">
        <f>LOOKUP(E713,Sheet2!$P$4:$Q$9)</f>
        <v>1-99</v>
      </c>
      <c r="Q713" t="str">
        <f>LOOKUP(F713,Sheet2!$S$4:$T$8)</f>
        <v>26-30</v>
      </c>
      <c r="R713" t="str">
        <f>LOOKUP(G713,Sheet2!$V$4:$W$7)</f>
        <v>0.4 - 0.69</v>
      </c>
      <c r="S713" t="str">
        <f>LOOKUP(H713,Sheet2!$Z$4:$AA$7)</f>
        <v>36-45</v>
      </c>
      <c r="T713" t="str">
        <f t="shared" si="33"/>
        <v>Negative</v>
      </c>
      <c r="U713" t="str">
        <f t="shared" si="34"/>
        <v>Not Sampled</v>
      </c>
      <c r="V713" s="1" t="str">
        <f t="shared" si="35"/>
        <v>Not Sampled</v>
      </c>
    </row>
    <row r="714" spans="1:22" x14ac:dyDescent="0.25">
      <c r="A714" s="1">
        <v>10</v>
      </c>
      <c r="B714" s="1">
        <v>129</v>
      </c>
      <c r="C714" s="1">
        <v>62</v>
      </c>
      <c r="D714" s="1">
        <v>36</v>
      </c>
      <c r="E714" s="1">
        <v>0</v>
      </c>
      <c r="F714" s="1">
        <v>41.2</v>
      </c>
      <c r="G714" s="1">
        <v>0.441</v>
      </c>
      <c r="H714" s="1">
        <v>38</v>
      </c>
      <c r="I714" s="1">
        <v>1</v>
      </c>
      <c r="J714" s="1" t="str">
        <f>IFERROR(VLOOKUP(K714,[1]diabetes_Recognition!$A:$B,2,FALSE),"Not Sampled")</f>
        <v>Not Sampled</v>
      </c>
      <c r="K714" s="1">
        <v>712</v>
      </c>
      <c r="L714" s="1" t="str">
        <f>LOOKUP(A714,Sheet2!$D$4:$E$9)</f>
        <v>8+</v>
      </c>
      <c r="M714" t="str">
        <f>LOOKUP(B714,Sheet2!$G$4:$H$9)</f>
        <v>126-150</v>
      </c>
      <c r="N714" t="str">
        <f>LOOKUP(C714,Sheet2!$J$4:$K$8)</f>
        <v>60-69</v>
      </c>
      <c r="O714" t="str">
        <f>LOOKUP(D714,Sheet2!$M$4:$N$8)</f>
        <v>30-39</v>
      </c>
      <c r="P714" t="str">
        <f>LOOKUP(E714,Sheet2!$P$4:$Q$9)</f>
        <v>Unknown</v>
      </c>
      <c r="Q714" t="str">
        <f>LOOKUP(F714,Sheet2!$S$4:$T$8)</f>
        <v>36+</v>
      </c>
      <c r="R714" t="str">
        <f>LOOKUP(G714,Sheet2!$V$4:$W$7)</f>
        <v>0.4 - 0.69</v>
      </c>
      <c r="S714" t="str">
        <f>LOOKUP(H714,Sheet2!$Z$4:$AA$7)</f>
        <v>36-45</v>
      </c>
      <c r="T714" t="str">
        <f t="shared" si="33"/>
        <v>Positive</v>
      </c>
      <c r="U714" t="str">
        <f t="shared" si="34"/>
        <v>Not Sampled</v>
      </c>
      <c r="V714" s="1" t="str">
        <f t="shared" si="35"/>
        <v>Not Sampled</v>
      </c>
    </row>
    <row r="715" spans="1:22" x14ac:dyDescent="0.25">
      <c r="A715" s="1">
        <v>0</v>
      </c>
      <c r="B715" s="1">
        <v>134</v>
      </c>
      <c r="C715" s="1">
        <v>58</v>
      </c>
      <c r="D715" s="1">
        <v>20</v>
      </c>
      <c r="E715" s="1">
        <v>291</v>
      </c>
      <c r="F715" s="1">
        <v>26.4</v>
      </c>
      <c r="G715" s="1">
        <v>0.35199999999999998</v>
      </c>
      <c r="H715" s="1">
        <v>21</v>
      </c>
      <c r="I715" s="1">
        <v>0</v>
      </c>
      <c r="J715" s="1" t="str">
        <f>IFERROR(VLOOKUP(K715,[1]diabetes_Recognition!$A:$B,2,FALSE),"Not Sampled")</f>
        <v>Not Sampled</v>
      </c>
      <c r="K715" s="1">
        <v>713</v>
      </c>
      <c r="L715" s="1">
        <f>LOOKUP(A715,Sheet2!$D$4:$E$9)</f>
        <v>0</v>
      </c>
      <c r="M715" t="str">
        <f>LOOKUP(B715,Sheet2!$G$4:$H$9)</f>
        <v>126-150</v>
      </c>
      <c r="N715" t="str">
        <f>LOOKUP(C715,Sheet2!$J$4:$K$8)</f>
        <v>1-59</v>
      </c>
      <c r="O715" t="str">
        <f>LOOKUP(D715,Sheet2!$M$4:$N$8)</f>
        <v>10-30</v>
      </c>
      <c r="P715" t="str">
        <f>LOOKUP(E715,Sheet2!$P$4:$Q$9)</f>
        <v>200-399</v>
      </c>
      <c r="Q715" t="str">
        <f>LOOKUP(F715,Sheet2!$S$4:$T$8)</f>
        <v>26-30</v>
      </c>
      <c r="R715" t="str">
        <f>LOOKUP(G715,Sheet2!$V$4:$W$7)</f>
        <v>0.25 - 0.39</v>
      </c>
      <c r="S715" t="str">
        <f>LOOKUP(H715,Sheet2!$Z$4:$AA$7)</f>
        <v>&lt;=25</v>
      </c>
      <c r="T715" t="str">
        <f t="shared" si="33"/>
        <v>Negative</v>
      </c>
      <c r="U715" t="str">
        <f t="shared" si="34"/>
        <v>Not Sampled</v>
      </c>
      <c r="V715" s="1" t="str">
        <f t="shared" si="35"/>
        <v>Not Sampled</v>
      </c>
    </row>
    <row r="716" spans="1:22" x14ac:dyDescent="0.25">
      <c r="A716" s="1">
        <v>3</v>
      </c>
      <c r="B716" s="1">
        <v>102</v>
      </c>
      <c r="C716" s="1">
        <v>74</v>
      </c>
      <c r="D716" s="1">
        <v>0</v>
      </c>
      <c r="E716" s="1">
        <v>0</v>
      </c>
      <c r="F716" s="1">
        <v>29.5</v>
      </c>
      <c r="G716" s="1">
        <v>0.121</v>
      </c>
      <c r="H716" s="1">
        <v>32</v>
      </c>
      <c r="I716" s="1">
        <v>0</v>
      </c>
      <c r="J716" s="1" t="str">
        <f>IFERROR(VLOOKUP(K716,[1]diabetes_Recognition!$A:$B,2,FALSE),"Not Sampled")</f>
        <v>Not Sampled</v>
      </c>
      <c r="K716" s="1">
        <v>714</v>
      </c>
      <c r="L716" s="1" t="str">
        <f>LOOKUP(A716,Sheet2!$D$4:$E$9)</f>
        <v>3-4</v>
      </c>
      <c r="M716" t="str">
        <f>LOOKUP(B716,Sheet2!$G$4:$H$9)</f>
        <v>100-125</v>
      </c>
      <c r="N716" t="str">
        <f>LOOKUP(C716,Sheet2!$J$4:$K$8)</f>
        <v>70-79</v>
      </c>
      <c r="O716" t="str">
        <f>LOOKUP(D716,Sheet2!$M$4:$N$8)</f>
        <v>Unknown</v>
      </c>
      <c r="P716" t="str">
        <f>LOOKUP(E716,Sheet2!$P$4:$Q$9)</f>
        <v>Unknown</v>
      </c>
      <c r="Q716" t="str">
        <f>LOOKUP(F716,Sheet2!$S$4:$T$8)</f>
        <v>26-30</v>
      </c>
      <c r="R716" t="str">
        <f>LOOKUP(G716,Sheet2!$V$4:$W$7)</f>
        <v>0.0 - 0.249</v>
      </c>
      <c r="S716" t="str">
        <f>LOOKUP(H716,Sheet2!$Z$4:$AA$7)</f>
        <v>26-35</v>
      </c>
      <c r="T716" t="str">
        <f t="shared" si="33"/>
        <v>Negative</v>
      </c>
      <c r="U716" t="str">
        <f t="shared" si="34"/>
        <v>Not Sampled</v>
      </c>
      <c r="V716" s="1" t="str">
        <f t="shared" si="35"/>
        <v>Not Sampled</v>
      </c>
    </row>
    <row r="717" spans="1:22" x14ac:dyDescent="0.25">
      <c r="A717" s="1">
        <v>7</v>
      </c>
      <c r="B717" s="1">
        <v>187</v>
      </c>
      <c r="C717" s="1">
        <v>50</v>
      </c>
      <c r="D717" s="1">
        <v>33</v>
      </c>
      <c r="E717" s="1">
        <v>392</v>
      </c>
      <c r="F717" s="1">
        <v>33.9</v>
      </c>
      <c r="G717" s="1">
        <v>0.82599999999999996</v>
      </c>
      <c r="H717" s="1">
        <v>34</v>
      </c>
      <c r="I717" s="1">
        <v>1</v>
      </c>
      <c r="J717" s="1" t="str">
        <f>IFERROR(VLOOKUP(K717,[1]diabetes_Recognition!$A:$B,2,FALSE),"Not Sampled")</f>
        <v>Not Sampled</v>
      </c>
      <c r="K717" s="1">
        <v>715</v>
      </c>
      <c r="L717" s="1" t="str">
        <f>LOOKUP(A717,Sheet2!$D$4:$E$9)</f>
        <v>5-7</v>
      </c>
      <c r="M717" t="str">
        <f>LOOKUP(B717,Sheet2!$G$4:$H$9)</f>
        <v>176-200</v>
      </c>
      <c r="N717" t="str">
        <f>LOOKUP(C717,Sheet2!$J$4:$K$8)</f>
        <v>1-59</v>
      </c>
      <c r="O717" t="str">
        <f>LOOKUP(D717,Sheet2!$M$4:$N$8)</f>
        <v>30-39</v>
      </c>
      <c r="P717" t="str">
        <f>LOOKUP(E717,Sheet2!$P$4:$Q$9)</f>
        <v>300-499</v>
      </c>
      <c r="Q717" t="str">
        <f>LOOKUP(F717,Sheet2!$S$4:$T$8)</f>
        <v>31-35</v>
      </c>
      <c r="R717" t="str">
        <f>LOOKUP(G717,Sheet2!$V$4:$W$7)</f>
        <v>0.7+</v>
      </c>
      <c r="S717" t="str">
        <f>LOOKUP(H717,Sheet2!$Z$4:$AA$7)</f>
        <v>26-35</v>
      </c>
      <c r="T717" t="str">
        <f t="shared" si="33"/>
        <v>Positive</v>
      </c>
      <c r="U717" t="str">
        <f t="shared" si="34"/>
        <v>Not Sampled</v>
      </c>
      <c r="V717" s="1" t="str">
        <f t="shared" si="35"/>
        <v>Not Sampled</v>
      </c>
    </row>
    <row r="718" spans="1:22" x14ac:dyDescent="0.25">
      <c r="A718" s="1">
        <v>3</v>
      </c>
      <c r="B718" s="1">
        <v>173</v>
      </c>
      <c r="C718" s="1">
        <v>78</v>
      </c>
      <c r="D718" s="1">
        <v>39</v>
      </c>
      <c r="E718" s="1">
        <v>185</v>
      </c>
      <c r="F718" s="1">
        <v>33.799999999999997</v>
      </c>
      <c r="G718" s="1">
        <v>0.97</v>
      </c>
      <c r="H718" s="1">
        <v>31</v>
      </c>
      <c r="I718" s="1">
        <v>1</v>
      </c>
      <c r="J718" s="1" t="str">
        <f>IFERROR(VLOOKUP(K718,[1]diabetes_Recognition!$A:$B,2,FALSE),"Not Sampled")</f>
        <v>Not Sampled</v>
      </c>
      <c r="K718" s="1">
        <v>716</v>
      </c>
      <c r="L718" s="1" t="str">
        <f>LOOKUP(A718,Sheet2!$D$4:$E$9)</f>
        <v>3-4</v>
      </c>
      <c r="M718" t="str">
        <f>LOOKUP(B718,Sheet2!$G$4:$H$9)</f>
        <v>151-175</v>
      </c>
      <c r="N718" t="str">
        <f>LOOKUP(C718,Sheet2!$J$4:$K$8)</f>
        <v>70-79</v>
      </c>
      <c r="O718" t="str">
        <f>LOOKUP(D718,Sheet2!$M$4:$N$8)</f>
        <v>30-39</v>
      </c>
      <c r="P718" t="str">
        <f>LOOKUP(E718,Sheet2!$P$4:$Q$9)</f>
        <v>100-199</v>
      </c>
      <c r="Q718" t="str">
        <f>LOOKUP(F718,Sheet2!$S$4:$T$8)</f>
        <v>31-35</v>
      </c>
      <c r="R718" t="str">
        <f>LOOKUP(G718,Sheet2!$V$4:$W$7)</f>
        <v>0.7+</v>
      </c>
      <c r="S718" t="str">
        <f>LOOKUP(H718,Sheet2!$Z$4:$AA$7)</f>
        <v>26-35</v>
      </c>
      <c r="T718" t="str">
        <f t="shared" si="33"/>
        <v>Positive</v>
      </c>
      <c r="U718" t="str">
        <f t="shared" si="34"/>
        <v>Not Sampled</v>
      </c>
      <c r="V718" s="1" t="str">
        <f t="shared" si="35"/>
        <v>Not Sampled</v>
      </c>
    </row>
    <row r="719" spans="1:22" x14ac:dyDescent="0.25">
      <c r="A719" s="1">
        <v>10</v>
      </c>
      <c r="B719" s="1">
        <v>94</v>
      </c>
      <c r="C719" s="1">
        <v>72</v>
      </c>
      <c r="D719" s="1">
        <v>18</v>
      </c>
      <c r="E719" s="1">
        <v>0</v>
      </c>
      <c r="F719" s="1">
        <v>23.1</v>
      </c>
      <c r="G719" s="1">
        <v>0.59499999999999997</v>
      </c>
      <c r="H719" s="1">
        <v>56</v>
      </c>
      <c r="I719" s="1">
        <v>0</v>
      </c>
      <c r="J719" s="1" t="str">
        <f>IFERROR(VLOOKUP(K719,[1]diabetes_Recognition!$A:$B,2,FALSE),"Not Sampled")</f>
        <v>Not Sampled</v>
      </c>
      <c r="K719" s="1">
        <v>717</v>
      </c>
      <c r="L719" s="1" t="str">
        <f>LOOKUP(A719,Sheet2!$D$4:$E$9)</f>
        <v>8+</v>
      </c>
      <c r="M719" t="str">
        <f>LOOKUP(B719,Sheet2!$G$4:$H$9)</f>
        <v>1-99</v>
      </c>
      <c r="N719" t="str">
        <f>LOOKUP(C719,Sheet2!$J$4:$K$8)</f>
        <v>70-79</v>
      </c>
      <c r="O719" t="str">
        <f>LOOKUP(D719,Sheet2!$M$4:$N$8)</f>
        <v>10-30</v>
      </c>
      <c r="P719" t="str">
        <f>LOOKUP(E719,Sheet2!$P$4:$Q$9)</f>
        <v>Unknown</v>
      </c>
      <c r="Q719" t="str">
        <f>LOOKUP(F719,Sheet2!$S$4:$T$8)</f>
        <v>1-25</v>
      </c>
      <c r="R719" t="str">
        <f>LOOKUP(G719,Sheet2!$V$4:$W$7)</f>
        <v>0.4 - 0.69</v>
      </c>
      <c r="S719" t="str">
        <f>LOOKUP(H719,Sheet2!$Z$4:$AA$7)</f>
        <v>46+</v>
      </c>
      <c r="T719" t="str">
        <f t="shared" si="33"/>
        <v>Negative</v>
      </c>
      <c r="U719" t="str">
        <f t="shared" si="34"/>
        <v>Not Sampled</v>
      </c>
      <c r="V719" s="1" t="str">
        <f t="shared" si="35"/>
        <v>Not Sampled</v>
      </c>
    </row>
    <row r="720" spans="1:22" x14ac:dyDescent="0.25">
      <c r="A720" s="1">
        <v>1</v>
      </c>
      <c r="B720" s="1">
        <v>108</v>
      </c>
      <c r="C720" s="1">
        <v>60</v>
      </c>
      <c r="D720" s="1">
        <v>46</v>
      </c>
      <c r="E720" s="1">
        <v>178</v>
      </c>
      <c r="F720" s="1">
        <v>35.5</v>
      </c>
      <c r="G720" s="1">
        <v>0.41499999999999998</v>
      </c>
      <c r="H720" s="1">
        <v>24</v>
      </c>
      <c r="I720" s="1">
        <v>0</v>
      </c>
      <c r="J720" s="1">
        <f>IFERROR(VLOOKUP(K720,[1]diabetes_Recognition!$A:$B,2,FALSE),"Not Sampled")</f>
        <v>0</v>
      </c>
      <c r="K720" s="1">
        <v>718</v>
      </c>
      <c r="L720" s="1">
        <f>LOOKUP(A720,Sheet2!$D$4:$E$9)</f>
        <v>1</v>
      </c>
      <c r="M720" t="str">
        <f>LOOKUP(B720,Sheet2!$G$4:$H$9)</f>
        <v>100-125</v>
      </c>
      <c r="N720" t="str">
        <f>LOOKUP(C720,Sheet2!$J$4:$K$8)</f>
        <v>60-69</v>
      </c>
      <c r="O720" t="str">
        <f>LOOKUP(D720,Sheet2!$M$4:$N$8)</f>
        <v>40+</v>
      </c>
      <c r="P720" t="str">
        <f>LOOKUP(E720,Sheet2!$P$4:$Q$9)</f>
        <v>100-199</v>
      </c>
      <c r="Q720" t="str">
        <f>LOOKUP(F720,Sheet2!$S$4:$T$8)</f>
        <v>31-35</v>
      </c>
      <c r="R720" t="str">
        <f>LOOKUP(G720,Sheet2!$V$4:$W$7)</f>
        <v>0.4 - 0.69</v>
      </c>
      <c r="S720" t="str">
        <f>LOOKUP(H720,Sheet2!$Z$4:$AA$7)</f>
        <v>&lt;=25</v>
      </c>
      <c r="T720" t="str">
        <f t="shared" si="33"/>
        <v>Negative</v>
      </c>
      <c r="U720" t="str">
        <f t="shared" si="34"/>
        <v>Negative</v>
      </c>
      <c r="V720" s="1" t="str">
        <f t="shared" si="35"/>
        <v>Accurate Prediction</v>
      </c>
    </row>
    <row r="721" spans="1:22" x14ac:dyDescent="0.25">
      <c r="A721" s="1">
        <v>5</v>
      </c>
      <c r="B721" s="1">
        <v>97</v>
      </c>
      <c r="C721" s="1">
        <v>76</v>
      </c>
      <c r="D721" s="1">
        <v>27</v>
      </c>
      <c r="E721" s="1">
        <v>0</v>
      </c>
      <c r="F721" s="1">
        <v>35.6</v>
      </c>
      <c r="G721" s="1">
        <v>0.378</v>
      </c>
      <c r="H721" s="1">
        <v>52</v>
      </c>
      <c r="I721" s="1">
        <v>1</v>
      </c>
      <c r="J721" s="1" t="str">
        <f>IFERROR(VLOOKUP(K721,[1]diabetes_Recognition!$A:$B,2,FALSE),"Not Sampled")</f>
        <v>Not Sampled</v>
      </c>
      <c r="K721" s="1">
        <v>719</v>
      </c>
      <c r="L721" s="1" t="str">
        <f>LOOKUP(A721,Sheet2!$D$4:$E$9)</f>
        <v>5-7</v>
      </c>
      <c r="M721" t="str">
        <f>LOOKUP(B721,Sheet2!$G$4:$H$9)</f>
        <v>1-99</v>
      </c>
      <c r="N721" t="str">
        <f>LOOKUP(C721,Sheet2!$J$4:$K$8)</f>
        <v>70-79</v>
      </c>
      <c r="O721" t="str">
        <f>LOOKUP(D721,Sheet2!$M$4:$N$8)</f>
        <v>10-30</v>
      </c>
      <c r="P721" t="str">
        <f>LOOKUP(E721,Sheet2!$P$4:$Q$9)</f>
        <v>Unknown</v>
      </c>
      <c r="Q721" t="str">
        <f>LOOKUP(F721,Sheet2!$S$4:$T$8)</f>
        <v>31-35</v>
      </c>
      <c r="R721" t="str">
        <f>LOOKUP(G721,Sheet2!$V$4:$W$7)</f>
        <v>0.25 - 0.39</v>
      </c>
      <c r="S721" t="str">
        <f>LOOKUP(H721,Sheet2!$Z$4:$AA$7)</f>
        <v>46+</v>
      </c>
      <c r="T721" t="str">
        <f t="shared" si="33"/>
        <v>Positive</v>
      </c>
      <c r="U721" t="str">
        <f t="shared" si="34"/>
        <v>Not Sampled</v>
      </c>
      <c r="V721" s="1" t="str">
        <f t="shared" si="35"/>
        <v>Not Sampled</v>
      </c>
    </row>
    <row r="722" spans="1:22" x14ac:dyDescent="0.25">
      <c r="A722" s="1">
        <v>4</v>
      </c>
      <c r="B722" s="1">
        <v>83</v>
      </c>
      <c r="C722" s="1">
        <v>86</v>
      </c>
      <c r="D722" s="1">
        <v>19</v>
      </c>
      <c r="E722" s="1">
        <v>0</v>
      </c>
      <c r="F722" s="1">
        <v>29.3</v>
      </c>
      <c r="G722" s="1">
        <v>0.317</v>
      </c>
      <c r="H722" s="1">
        <v>34</v>
      </c>
      <c r="I722" s="1">
        <v>0</v>
      </c>
      <c r="J722" s="1" t="str">
        <f>IFERROR(VLOOKUP(K722,[1]diabetes_Recognition!$A:$B,2,FALSE),"Not Sampled")</f>
        <v>Not Sampled</v>
      </c>
      <c r="K722" s="1">
        <v>720</v>
      </c>
      <c r="L722" s="1" t="str">
        <f>LOOKUP(A722,Sheet2!$D$4:$E$9)</f>
        <v>3-4</v>
      </c>
      <c r="M722" t="str">
        <f>LOOKUP(B722,Sheet2!$G$4:$H$9)</f>
        <v>1-99</v>
      </c>
      <c r="N722" t="str">
        <f>LOOKUP(C722,Sheet2!$J$4:$K$8)</f>
        <v>80+</v>
      </c>
      <c r="O722" t="str">
        <f>LOOKUP(D722,Sheet2!$M$4:$N$8)</f>
        <v>10-30</v>
      </c>
      <c r="P722" t="str">
        <f>LOOKUP(E722,Sheet2!$P$4:$Q$9)</f>
        <v>Unknown</v>
      </c>
      <c r="Q722" t="str">
        <f>LOOKUP(F722,Sheet2!$S$4:$T$8)</f>
        <v>26-30</v>
      </c>
      <c r="R722" t="str">
        <f>LOOKUP(G722,Sheet2!$V$4:$W$7)</f>
        <v>0.25 - 0.39</v>
      </c>
      <c r="S722" t="str">
        <f>LOOKUP(H722,Sheet2!$Z$4:$AA$7)</f>
        <v>26-35</v>
      </c>
      <c r="T722" t="str">
        <f t="shared" si="33"/>
        <v>Negative</v>
      </c>
      <c r="U722" t="str">
        <f t="shared" si="34"/>
        <v>Not Sampled</v>
      </c>
      <c r="V722" s="1" t="str">
        <f t="shared" si="35"/>
        <v>Not Sampled</v>
      </c>
    </row>
    <row r="723" spans="1:22" x14ac:dyDescent="0.25">
      <c r="A723" s="1">
        <v>1</v>
      </c>
      <c r="B723" s="1">
        <v>114</v>
      </c>
      <c r="C723" s="1">
        <v>66</v>
      </c>
      <c r="D723" s="1">
        <v>36</v>
      </c>
      <c r="E723" s="1">
        <v>200</v>
      </c>
      <c r="F723" s="1">
        <v>38.1</v>
      </c>
      <c r="G723" s="1">
        <v>0.28899999999999998</v>
      </c>
      <c r="H723" s="1">
        <v>21</v>
      </c>
      <c r="I723" s="1">
        <v>0</v>
      </c>
      <c r="J723" s="1" t="str">
        <f>IFERROR(VLOOKUP(K723,[1]diabetes_Recognition!$A:$B,2,FALSE),"Not Sampled")</f>
        <v>Not Sampled</v>
      </c>
      <c r="K723" s="1">
        <v>721</v>
      </c>
      <c r="L723" s="1">
        <f>LOOKUP(A723,Sheet2!$D$4:$E$9)</f>
        <v>1</v>
      </c>
      <c r="M723" t="str">
        <f>LOOKUP(B723,Sheet2!$G$4:$H$9)</f>
        <v>100-125</v>
      </c>
      <c r="N723" t="str">
        <f>LOOKUP(C723,Sheet2!$J$4:$K$8)</f>
        <v>60-69</v>
      </c>
      <c r="O723" t="str">
        <f>LOOKUP(D723,Sheet2!$M$4:$N$8)</f>
        <v>30-39</v>
      </c>
      <c r="P723" t="str">
        <f>LOOKUP(E723,Sheet2!$P$4:$Q$9)</f>
        <v>200-399</v>
      </c>
      <c r="Q723" t="str">
        <f>LOOKUP(F723,Sheet2!$S$4:$T$8)</f>
        <v>36+</v>
      </c>
      <c r="R723" t="str">
        <f>LOOKUP(G723,Sheet2!$V$4:$W$7)</f>
        <v>0.25 - 0.39</v>
      </c>
      <c r="S723" t="str">
        <f>LOOKUP(H723,Sheet2!$Z$4:$AA$7)</f>
        <v>&lt;=25</v>
      </c>
      <c r="T723" t="str">
        <f t="shared" si="33"/>
        <v>Negative</v>
      </c>
      <c r="U723" t="str">
        <f t="shared" si="34"/>
        <v>Not Sampled</v>
      </c>
      <c r="V723" s="1" t="str">
        <f t="shared" si="35"/>
        <v>Not Sampled</v>
      </c>
    </row>
    <row r="724" spans="1:22" x14ac:dyDescent="0.25">
      <c r="A724" s="1">
        <v>1</v>
      </c>
      <c r="B724" s="1">
        <v>149</v>
      </c>
      <c r="C724" s="1">
        <v>68</v>
      </c>
      <c r="D724" s="1">
        <v>29</v>
      </c>
      <c r="E724" s="1">
        <v>127</v>
      </c>
      <c r="F724" s="1">
        <v>29.3</v>
      </c>
      <c r="G724" s="1">
        <v>0.34899999999999998</v>
      </c>
      <c r="H724" s="1">
        <v>42</v>
      </c>
      <c r="I724" s="1">
        <v>1</v>
      </c>
      <c r="J724" s="1" t="str">
        <f>IFERROR(VLOOKUP(K724,[1]diabetes_Recognition!$A:$B,2,FALSE),"Not Sampled")</f>
        <v>Not Sampled</v>
      </c>
      <c r="K724" s="1">
        <v>722</v>
      </c>
      <c r="L724" s="1">
        <f>LOOKUP(A724,Sheet2!$D$4:$E$9)</f>
        <v>1</v>
      </c>
      <c r="M724" t="str">
        <f>LOOKUP(B724,Sheet2!$G$4:$H$9)</f>
        <v>126-150</v>
      </c>
      <c r="N724" t="str">
        <f>LOOKUP(C724,Sheet2!$J$4:$K$8)</f>
        <v>60-69</v>
      </c>
      <c r="O724" t="str">
        <f>LOOKUP(D724,Sheet2!$M$4:$N$8)</f>
        <v>10-30</v>
      </c>
      <c r="P724" t="str">
        <f>LOOKUP(E724,Sheet2!$P$4:$Q$9)</f>
        <v>100-199</v>
      </c>
      <c r="Q724" t="str">
        <f>LOOKUP(F724,Sheet2!$S$4:$T$8)</f>
        <v>26-30</v>
      </c>
      <c r="R724" t="str">
        <f>LOOKUP(G724,Sheet2!$V$4:$W$7)</f>
        <v>0.25 - 0.39</v>
      </c>
      <c r="S724" t="str">
        <f>LOOKUP(H724,Sheet2!$Z$4:$AA$7)</f>
        <v>36-45</v>
      </c>
      <c r="T724" t="str">
        <f t="shared" si="33"/>
        <v>Positive</v>
      </c>
      <c r="U724" t="str">
        <f t="shared" si="34"/>
        <v>Not Sampled</v>
      </c>
      <c r="V724" s="1" t="str">
        <f t="shared" si="35"/>
        <v>Not Sampled</v>
      </c>
    </row>
    <row r="725" spans="1:22" x14ac:dyDescent="0.25">
      <c r="A725" s="1">
        <v>5</v>
      </c>
      <c r="B725" s="1">
        <v>117</v>
      </c>
      <c r="C725" s="1">
        <v>86</v>
      </c>
      <c r="D725" s="1">
        <v>30</v>
      </c>
      <c r="E725" s="1">
        <v>105</v>
      </c>
      <c r="F725" s="1">
        <v>39.1</v>
      </c>
      <c r="G725" s="1">
        <v>0.251</v>
      </c>
      <c r="H725" s="1">
        <v>42</v>
      </c>
      <c r="I725" s="1">
        <v>0</v>
      </c>
      <c r="J725" s="1" t="str">
        <f>IFERROR(VLOOKUP(K725,[1]diabetes_Recognition!$A:$B,2,FALSE),"Not Sampled")</f>
        <v>Not Sampled</v>
      </c>
      <c r="K725" s="1">
        <v>723</v>
      </c>
      <c r="L725" s="1" t="str">
        <f>LOOKUP(A725,Sheet2!$D$4:$E$9)</f>
        <v>5-7</v>
      </c>
      <c r="M725" t="str">
        <f>LOOKUP(B725,Sheet2!$G$4:$H$9)</f>
        <v>100-125</v>
      </c>
      <c r="N725" t="str">
        <f>LOOKUP(C725,Sheet2!$J$4:$K$8)</f>
        <v>80+</v>
      </c>
      <c r="O725" t="str">
        <f>LOOKUP(D725,Sheet2!$M$4:$N$8)</f>
        <v>30-39</v>
      </c>
      <c r="P725" t="str">
        <f>LOOKUP(E725,Sheet2!$P$4:$Q$9)</f>
        <v>100-199</v>
      </c>
      <c r="Q725" t="str">
        <f>LOOKUP(F725,Sheet2!$S$4:$T$8)</f>
        <v>36+</v>
      </c>
      <c r="R725" t="str">
        <f>LOOKUP(G725,Sheet2!$V$4:$W$7)</f>
        <v>0.25 - 0.39</v>
      </c>
      <c r="S725" t="str">
        <f>LOOKUP(H725,Sheet2!$Z$4:$AA$7)</f>
        <v>36-45</v>
      </c>
      <c r="T725" t="str">
        <f t="shared" si="33"/>
        <v>Negative</v>
      </c>
      <c r="U725" t="str">
        <f t="shared" si="34"/>
        <v>Not Sampled</v>
      </c>
      <c r="V725" s="1" t="str">
        <f t="shared" si="35"/>
        <v>Not Sampled</v>
      </c>
    </row>
    <row r="726" spans="1:22" x14ac:dyDescent="0.25">
      <c r="A726" s="1">
        <v>1</v>
      </c>
      <c r="B726" s="1">
        <v>111</v>
      </c>
      <c r="C726" s="1">
        <v>94</v>
      </c>
      <c r="D726" s="1">
        <v>0</v>
      </c>
      <c r="E726" s="1">
        <v>0</v>
      </c>
      <c r="F726" s="1">
        <v>32.799999999999997</v>
      </c>
      <c r="G726" s="1">
        <v>0.26500000000000001</v>
      </c>
      <c r="H726" s="1">
        <v>45</v>
      </c>
      <c r="I726" s="1">
        <v>0</v>
      </c>
      <c r="J726" s="1">
        <f>IFERROR(VLOOKUP(K726,[1]diabetes_Recognition!$A:$B,2,FALSE),"Not Sampled")</f>
        <v>0</v>
      </c>
      <c r="K726" s="1">
        <v>724</v>
      </c>
      <c r="L726" s="1">
        <f>LOOKUP(A726,Sheet2!$D$4:$E$9)</f>
        <v>1</v>
      </c>
      <c r="M726" t="str">
        <f>LOOKUP(B726,Sheet2!$G$4:$H$9)</f>
        <v>100-125</v>
      </c>
      <c r="N726" t="str">
        <f>LOOKUP(C726,Sheet2!$J$4:$K$8)</f>
        <v>80+</v>
      </c>
      <c r="O726" t="str">
        <f>LOOKUP(D726,Sheet2!$M$4:$N$8)</f>
        <v>Unknown</v>
      </c>
      <c r="P726" t="str">
        <f>LOOKUP(E726,Sheet2!$P$4:$Q$9)</f>
        <v>Unknown</v>
      </c>
      <c r="Q726" t="str">
        <f>LOOKUP(F726,Sheet2!$S$4:$T$8)</f>
        <v>31-35</v>
      </c>
      <c r="R726" t="str">
        <f>LOOKUP(G726,Sheet2!$V$4:$W$7)</f>
        <v>0.25 - 0.39</v>
      </c>
      <c r="S726" t="str">
        <f>LOOKUP(H726,Sheet2!$Z$4:$AA$7)</f>
        <v>36-45</v>
      </c>
      <c r="T726" t="str">
        <f t="shared" si="33"/>
        <v>Negative</v>
      </c>
      <c r="U726" t="str">
        <f t="shared" si="34"/>
        <v>Negative</v>
      </c>
      <c r="V726" s="1" t="str">
        <f t="shared" si="35"/>
        <v>Accurate Prediction</v>
      </c>
    </row>
    <row r="727" spans="1:22" x14ac:dyDescent="0.25">
      <c r="A727" s="1">
        <v>4</v>
      </c>
      <c r="B727" s="1">
        <v>112</v>
      </c>
      <c r="C727" s="1">
        <v>78</v>
      </c>
      <c r="D727" s="1">
        <v>40</v>
      </c>
      <c r="E727" s="1">
        <v>0</v>
      </c>
      <c r="F727" s="1">
        <v>39.4</v>
      </c>
      <c r="G727" s="1">
        <v>0.23599999999999999</v>
      </c>
      <c r="H727" s="1">
        <v>38</v>
      </c>
      <c r="I727" s="1">
        <v>0</v>
      </c>
      <c r="J727" s="1" t="str">
        <f>IFERROR(VLOOKUP(K727,[1]diabetes_Recognition!$A:$B,2,FALSE),"Not Sampled")</f>
        <v>Not Sampled</v>
      </c>
      <c r="K727" s="1">
        <v>725</v>
      </c>
      <c r="L727" s="1" t="str">
        <f>LOOKUP(A727,Sheet2!$D$4:$E$9)</f>
        <v>3-4</v>
      </c>
      <c r="M727" t="str">
        <f>LOOKUP(B727,Sheet2!$G$4:$H$9)</f>
        <v>100-125</v>
      </c>
      <c r="N727" t="str">
        <f>LOOKUP(C727,Sheet2!$J$4:$K$8)</f>
        <v>70-79</v>
      </c>
      <c r="O727" t="str">
        <f>LOOKUP(D727,Sheet2!$M$4:$N$8)</f>
        <v>40+</v>
      </c>
      <c r="P727" t="str">
        <f>LOOKUP(E727,Sheet2!$P$4:$Q$9)</f>
        <v>Unknown</v>
      </c>
      <c r="Q727" t="str">
        <f>LOOKUP(F727,Sheet2!$S$4:$T$8)</f>
        <v>36+</v>
      </c>
      <c r="R727" t="str">
        <f>LOOKUP(G727,Sheet2!$V$4:$W$7)</f>
        <v>0.0 - 0.249</v>
      </c>
      <c r="S727" t="str">
        <f>LOOKUP(H727,Sheet2!$Z$4:$AA$7)</f>
        <v>36-45</v>
      </c>
      <c r="T727" t="str">
        <f t="shared" si="33"/>
        <v>Negative</v>
      </c>
      <c r="U727" t="str">
        <f t="shared" si="34"/>
        <v>Not Sampled</v>
      </c>
      <c r="V727" s="1" t="str">
        <f t="shared" si="35"/>
        <v>Not Sampled</v>
      </c>
    </row>
    <row r="728" spans="1:22" x14ac:dyDescent="0.25">
      <c r="A728" s="1">
        <v>1</v>
      </c>
      <c r="B728" s="1">
        <v>116</v>
      </c>
      <c r="C728" s="1">
        <v>78</v>
      </c>
      <c r="D728" s="1">
        <v>29</v>
      </c>
      <c r="E728" s="1">
        <v>180</v>
      </c>
      <c r="F728" s="1">
        <v>36.1</v>
      </c>
      <c r="G728" s="1">
        <v>0.496</v>
      </c>
      <c r="H728" s="1">
        <v>25</v>
      </c>
      <c r="I728" s="1">
        <v>0</v>
      </c>
      <c r="J728" s="1">
        <f>IFERROR(VLOOKUP(K728,[1]diabetes_Recognition!$A:$B,2,FALSE),"Not Sampled")</f>
        <v>0</v>
      </c>
      <c r="K728" s="1">
        <v>726</v>
      </c>
      <c r="L728" s="1">
        <f>LOOKUP(A728,Sheet2!$D$4:$E$9)</f>
        <v>1</v>
      </c>
      <c r="M728" t="str">
        <f>LOOKUP(B728,Sheet2!$G$4:$H$9)</f>
        <v>100-125</v>
      </c>
      <c r="N728" t="str">
        <f>LOOKUP(C728,Sheet2!$J$4:$K$8)</f>
        <v>70-79</v>
      </c>
      <c r="O728" t="str">
        <f>LOOKUP(D728,Sheet2!$M$4:$N$8)</f>
        <v>10-30</v>
      </c>
      <c r="P728" t="str">
        <f>LOOKUP(E728,Sheet2!$P$4:$Q$9)</f>
        <v>100-199</v>
      </c>
      <c r="Q728" t="str">
        <f>LOOKUP(F728,Sheet2!$S$4:$T$8)</f>
        <v>36+</v>
      </c>
      <c r="R728" t="str">
        <f>LOOKUP(G728,Sheet2!$V$4:$W$7)</f>
        <v>0.4 - 0.69</v>
      </c>
      <c r="S728" t="str">
        <f>LOOKUP(H728,Sheet2!$Z$4:$AA$7)</f>
        <v>&lt;=25</v>
      </c>
      <c r="T728" t="str">
        <f t="shared" si="33"/>
        <v>Negative</v>
      </c>
      <c r="U728" t="str">
        <f t="shared" si="34"/>
        <v>Negative</v>
      </c>
      <c r="V728" s="1" t="str">
        <f t="shared" si="35"/>
        <v>Accurate Prediction</v>
      </c>
    </row>
    <row r="729" spans="1:22" x14ac:dyDescent="0.25">
      <c r="A729" s="1">
        <v>0</v>
      </c>
      <c r="B729" s="1">
        <v>141</v>
      </c>
      <c r="C729" s="1">
        <v>84</v>
      </c>
      <c r="D729" s="1">
        <v>26</v>
      </c>
      <c r="E729" s="1">
        <v>0</v>
      </c>
      <c r="F729" s="1">
        <v>32.4</v>
      </c>
      <c r="G729" s="1">
        <v>0.433</v>
      </c>
      <c r="H729" s="1">
        <v>22</v>
      </c>
      <c r="I729" s="1">
        <v>0</v>
      </c>
      <c r="J729" s="1" t="str">
        <f>IFERROR(VLOOKUP(K729,[1]diabetes_Recognition!$A:$B,2,FALSE),"Not Sampled")</f>
        <v>Not Sampled</v>
      </c>
      <c r="K729" s="1">
        <v>727</v>
      </c>
      <c r="L729" s="1">
        <f>LOOKUP(A729,Sheet2!$D$4:$E$9)</f>
        <v>0</v>
      </c>
      <c r="M729" t="str">
        <f>LOOKUP(B729,Sheet2!$G$4:$H$9)</f>
        <v>126-150</v>
      </c>
      <c r="N729" t="str">
        <f>LOOKUP(C729,Sheet2!$J$4:$K$8)</f>
        <v>80+</v>
      </c>
      <c r="O729" t="str">
        <f>LOOKUP(D729,Sheet2!$M$4:$N$8)</f>
        <v>10-30</v>
      </c>
      <c r="P729" t="str">
        <f>LOOKUP(E729,Sheet2!$P$4:$Q$9)</f>
        <v>Unknown</v>
      </c>
      <c r="Q729" t="str">
        <f>LOOKUP(F729,Sheet2!$S$4:$T$8)</f>
        <v>31-35</v>
      </c>
      <c r="R729" t="str">
        <f>LOOKUP(G729,Sheet2!$V$4:$W$7)</f>
        <v>0.4 - 0.69</v>
      </c>
      <c r="S729" t="str">
        <f>LOOKUP(H729,Sheet2!$Z$4:$AA$7)</f>
        <v>&lt;=25</v>
      </c>
      <c r="T729" t="str">
        <f t="shared" si="33"/>
        <v>Negative</v>
      </c>
      <c r="U729" t="str">
        <f t="shared" si="34"/>
        <v>Not Sampled</v>
      </c>
      <c r="V729" s="1" t="str">
        <f t="shared" si="35"/>
        <v>Not Sampled</v>
      </c>
    </row>
    <row r="730" spans="1:22" x14ac:dyDescent="0.25">
      <c r="A730" s="1">
        <v>2</v>
      </c>
      <c r="B730" s="1">
        <v>175</v>
      </c>
      <c r="C730" s="1">
        <v>88</v>
      </c>
      <c r="D730" s="1">
        <v>0</v>
      </c>
      <c r="E730" s="1">
        <v>0</v>
      </c>
      <c r="F730" s="1">
        <v>22.9</v>
      </c>
      <c r="G730" s="1">
        <v>0.32600000000000001</v>
      </c>
      <c r="H730" s="1">
        <v>22</v>
      </c>
      <c r="I730" s="1">
        <v>0</v>
      </c>
      <c r="J730" s="1" t="str">
        <f>IFERROR(VLOOKUP(K730,[1]diabetes_Recognition!$A:$B,2,FALSE),"Not Sampled")</f>
        <v>Not Sampled</v>
      </c>
      <c r="K730" s="1">
        <v>728</v>
      </c>
      <c r="L730" s="1">
        <f>LOOKUP(A730,Sheet2!$D$4:$E$9)</f>
        <v>2</v>
      </c>
      <c r="M730" t="str">
        <f>LOOKUP(B730,Sheet2!$G$4:$H$9)</f>
        <v>151-175</v>
      </c>
      <c r="N730" t="str">
        <f>LOOKUP(C730,Sheet2!$J$4:$K$8)</f>
        <v>80+</v>
      </c>
      <c r="O730" t="str">
        <f>LOOKUP(D730,Sheet2!$M$4:$N$8)</f>
        <v>Unknown</v>
      </c>
      <c r="P730" t="str">
        <f>LOOKUP(E730,Sheet2!$P$4:$Q$9)</f>
        <v>Unknown</v>
      </c>
      <c r="Q730" t="str">
        <f>LOOKUP(F730,Sheet2!$S$4:$T$8)</f>
        <v>1-25</v>
      </c>
      <c r="R730" t="str">
        <f>LOOKUP(G730,Sheet2!$V$4:$W$7)</f>
        <v>0.25 - 0.39</v>
      </c>
      <c r="S730" t="str">
        <f>LOOKUP(H730,Sheet2!$Z$4:$AA$7)</f>
        <v>&lt;=25</v>
      </c>
      <c r="T730" t="str">
        <f t="shared" si="33"/>
        <v>Negative</v>
      </c>
      <c r="U730" t="str">
        <f t="shared" si="34"/>
        <v>Not Sampled</v>
      </c>
      <c r="V730" s="1" t="str">
        <f t="shared" si="35"/>
        <v>Not Sampled</v>
      </c>
    </row>
    <row r="731" spans="1:22" x14ac:dyDescent="0.25">
      <c r="A731" s="1">
        <v>2</v>
      </c>
      <c r="B731" s="1">
        <v>92</v>
      </c>
      <c r="C731" s="1">
        <v>52</v>
      </c>
      <c r="D731" s="1">
        <v>0</v>
      </c>
      <c r="E731" s="1">
        <v>0</v>
      </c>
      <c r="F731" s="1">
        <v>30.1</v>
      </c>
      <c r="G731" s="1">
        <v>0.14099999999999999</v>
      </c>
      <c r="H731" s="1">
        <v>22</v>
      </c>
      <c r="I731" s="1">
        <v>0</v>
      </c>
      <c r="J731" s="1">
        <f>IFERROR(VLOOKUP(K731,[1]diabetes_Recognition!$A:$B,2,FALSE),"Not Sampled")</f>
        <v>0</v>
      </c>
      <c r="K731" s="1">
        <v>729</v>
      </c>
      <c r="L731" s="1">
        <f>LOOKUP(A731,Sheet2!$D$4:$E$9)</f>
        <v>2</v>
      </c>
      <c r="M731" t="str">
        <f>LOOKUP(B731,Sheet2!$G$4:$H$9)</f>
        <v>1-99</v>
      </c>
      <c r="N731" t="str">
        <f>LOOKUP(C731,Sheet2!$J$4:$K$8)</f>
        <v>1-59</v>
      </c>
      <c r="O731" t="str">
        <f>LOOKUP(D731,Sheet2!$M$4:$N$8)</f>
        <v>Unknown</v>
      </c>
      <c r="P731" t="str">
        <f>LOOKUP(E731,Sheet2!$P$4:$Q$9)</f>
        <v>Unknown</v>
      </c>
      <c r="Q731" t="str">
        <f>LOOKUP(F731,Sheet2!$S$4:$T$8)</f>
        <v>26-30</v>
      </c>
      <c r="R731" t="str">
        <f>LOOKUP(G731,Sheet2!$V$4:$W$7)</f>
        <v>0.0 - 0.249</v>
      </c>
      <c r="S731" t="str">
        <f>LOOKUP(H731,Sheet2!$Z$4:$AA$7)</f>
        <v>&lt;=25</v>
      </c>
      <c r="T731" t="str">
        <f t="shared" si="33"/>
        <v>Negative</v>
      </c>
      <c r="U731" t="str">
        <f t="shared" si="34"/>
        <v>Negative</v>
      </c>
      <c r="V731" s="1" t="str">
        <f t="shared" si="35"/>
        <v>Accurate Prediction</v>
      </c>
    </row>
    <row r="732" spans="1:22" x14ac:dyDescent="0.25">
      <c r="A732" s="1">
        <v>3</v>
      </c>
      <c r="B732" s="1">
        <v>130</v>
      </c>
      <c r="C732" s="1">
        <v>78</v>
      </c>
      <c r="D732" s="1">
        <v>23</v>
      </c>
      <c r="E732" s="1">
        <v>79</v>
      </c>
      <c r="F732" s="1">
        <v>28.4</v>
      </c>
      <c r="G732" s="1">
        <v>0.32300000000000001</v>
      </c>
      <c r="H732" s="1">
        <v>34</v>
      </c>
      <c r="I732" s="1">
        <v>1</v>
      </c>
      <c r="J732" s="1">
        <f>IFERROR(VLOOKUP(K732,[1]diabetes_Recognition!$A:$B,2,FALSE),"Not Sampled")</f>
        <v>0</v>
      </c>
      <c r="K732" s="1">
        <v>730</v>
      </c>
      <c r="L732" s="1" t="str">
        <f>LOOKUP(A732,Sheet2!$D$4:$E$9)</f>
        <v>3-4</v>
      </c>
      <c r="M732" t="str">
        <f>LOOKUP(B732,Sheet2!$G$4:$H$9)</f>
        <v>126-150</v>
      </c>
      <c r="N732" t="str">
        <f>LOOKUP(C732,Sheet2!$J$4:$K$8)</f>
        <v>70-79</v>
      </c>
      <c r="O732" t="str">
        <f>LOOKUP(D732,Sheet2!$M$4:$N$8)</f>
        <v>10-30</v>
      </c>
      <c r="P732" t="str">
        <f>LOOKUP(E732,Sheet2!$P$4:$Q$9)</f>
        <v>1-99</v>
      </c>
      <c r="Q732" t="str">
        <f>LOOKUP(F732,Sheet2!$S$4:$T$8)</f>
        <v>26-30</v>
      </c>
      <c r="R732" t="str">
        <f>LOOKUP(G732,Sheet2!$V$4:$W$7)</f>
        <v>0.25 - 0.39</v>
      </c>
      <c r="S732" t="str">
        <f>LOOKUP(H732,Sheet2!$Z$4:$AA$7)</f>
        <v>26-35</v>
      </c>
      <c r="T732" t="str">
        <f t="shared" si="33"/>
        <v>Positive</v>
      </c>
      <c r="U732" t="str">
        <f t="shared" si="34"/>
        <v>Negative</v>
      </c>
      <c r="V732" s="1" t="str">
        <f t="shared" si="35"/>
        <v>Inaccurate Prediction</v>
      </c>
    </row>
    <row r="733" spans="1:22" x14ac:dyDescent="0.25">
      <c r="A733" s="1">
        <v>8</v>
      </c>
      <c r="B733" s="1">
        <v>120</v>
      </c>
      <c r="C733" s="1">
        <v>86</v>
      </c>
      <c r="D733" s="1">
        <v>0</v>
      </c>
      <c r="E733" s="1">
        <v>0</v>
      </c>
      <c r="F733" s="1">
        <v>28.4</v>
      </c>
      <c r="G733" s="1">
        <v>0.25900000000000001</v>
      </c>
      <c r="H733" s="1">
        <v>22</v>
      </c>
      <c r="I733" s="1">
        <v>1</v>
      </c>
      <c r="J733" s="1" t="str">
        <f>IFERROR(VLOOKUP(K733,[1]diabetes_Recognition!$A:$B,2,FALSE),"Not Sampled")</f>
        <v>Not Sampled</v>
      </c>
      <c r="K733" s="1">
        <v>731</v>
      </c>
      <c r="L733" s="1" t="str">
        <f>LOOKUP(A733,Sheet2!$D$4:$E$9)</f>
        <v>8+</v>
      </c>
      <c r="M733" t="str">
        <f>LOOKUP(B733,Sheet2!$G$4:$H$9)</f>
        <v>100-125</v>
      </c>
      <c r="N733" t="str">
        <f>LOOKUP(C733,Sheet2!$J$4:$K$8)</f>
        <v>80+</v>
      </c>
      <c r="O733" t="str">
        <f>LOOKUP(D733,Sheet2!$M$4:$N$8)</f>
        <v>Unknown</v>
      </c>
      <c r="P733" t="str">
        <f>LOOKUP(E733,Sheet2!$P$4:$Q$9)</f>
        <v>Unknown</v>
      </c>
      <c r="Q733" t="str">
        <f>LOOKUP(F733,Sheet2!$S$4:$T$8)</f>
        <v>26-30</v>
      </c>
      <c r="R733" t="str">
        <f>LOOKUP(G733,Sheet2!$V$4:$W$7)</f>
        <v>0.25 - 0.39</v>
      </c>
      <c r="S733" t="str">
        <f>LOOKUP(H733,Sheet2!$Z$4:$AA$7)</f>
        <v>&lt;=25</v>
      </c>
      <c r="T733" t="str">
        <f t="shared" si="33"/>
        <v>Positive</v>
      </c>
      <c r="U733" t="str">
        <f t="shared" si="34"/>
        <v>Not Sampled</v>
      </c>
      <c r="V733" s="1" t="str">
        <f t="shared" si="35"/>
        <v>Not Sampled</v>
      </c>
    </row>
    <row r="734" spans="1:22" x14ac:dyDescent="0.25">
      <c r="A734" s="1">
        <v>2</v>
      </c>
      <c r="B734" s="1">
        <v>174</v>
      </c>
      <c r="C734" s="1">
        <v>88</v>
      </c>
      <c r="D734" s="1">
        <v>37</v>
      </c>
      <c r="E734" s="1">
        <v>120</v>
      </c>
      <c r="F734" s="1">
        <v>44.5</v>
      </c>
      <c r="G734" s="1">
        <v>0.64600000000000002</v>
      </c>
      <c r="H734" s="1">
        <v>24</v>
      </c>
      <c r="I734" s="1">
        <v>1</v>
      </c>
      <c r="J734" s="1" t="str">
        <f>IFERROR(VLOOKUP(K734,[1]diabetes_Recognition!$A:$B,2,FALSE),"Not Sampled")</f>
        <v>Not Sampled</v>
      </c>
      <c r="K734" s="1">
        <v>732</v>
      </c>
      <c r="L734" s="1">
        <f>LOOKUP(A734,Sheet2!$D$4:$E$9)</f>
        <v>2</v>
      </c>
      <c r="M734" t="str">
        <f>LOOKUP(B734,Sheet2!$G$4:$H$9)</f>
        <v>151-175</v>
      </c>
      <c r="N734" t="str">
        <f>LOOKUP(C734,Sheet2!$J$4:$K$8)</f>
        <v>80+</v>
      </c>
      <c r="O734" t="str">
        <f>LOOKUP(D734,Sheet2!$M$4:$N$8)</f>
        <v>30-39</v>
      </c>
      <c r="P734" t="str">
        <f>LOOKUP(E734,Sheet2!$P$4:$Q$9)</f>
        <v>100-199</v>
      </c>
      <c r="Q734" t="str">
        <f>LOOKUP(F734,Sheet2!$S$4:$T$8)</f>
        <v>36+</v>
      </c>
      <c r="R734" t="str">
        <f>LOOKUP(G734,Sheet2!$V$4:$W$7)</f>
        <v>0.4 - 0.69</v>
      </c>
      <c r="S734" t="str">
        <f>LOOKUP(H734,Sheet2!$Z$4:$AA$7)</f>
        <v>&lt;=25</v>
      </c>
      <c r="T734" t="str">
        <f t="shared" si="33"/>
        <v>Positive</v>
      </c>
      <c r="U734" t="str">
        <f t="shared" si="34"/>
        <v>Not Sampled</v>
      </c>
      <c r="V734" s="1" t="str">
        <f t="shared" si="35"/>
        <v>Not Sampled</v>
      </c>
    </row>
    <row r="735" spans="1:22" x14ac:dyDescent="0.25">
      <c r="A735" s="1">
        <v>2</v>
      </c>
      <c r="B735" s="1">
        <v>106</v>
      </c>
      <c r="C735" s="1">
        <v>56</v>
      </c>
      <c r="D735" s="1">
        <v>27</v>
      </c>
      <c r="E735" s="1">
        <v>165</v>
      </c>
      <c r="F735" s="1">
        <v>29</v>
      </c>
      <c r="G735" s="1">
        <v>0.42599999999999999</v>
      </c>
      <c r="H735" s="1">
        <v>22</v>
      </c>
      <c r="I735" s="1">
        <v>0</v>
      </c>
      <c r="J735" s="1" t="str">
        <f>IFERROR(VLOOKUP(K735,[1]diabetes_Recognition!$A:$B,2,FALSE),"Not Sampled")</f>
        <v>Not Sampled</v>
      </c>
      <c r="K735" s="1">
        <v>733</v>
      </c>
      <c r="L735" s="1">
        <f>LOOKUP(A735,Sheet2!$D$4:$E$9)</f>
        <v>2</v>
      </c>
      <c r="M735" t="str">
        <f>LOOKUP(B735,Sheet2!$G$4:$H$9)</f>
        <v>100-125</v>
      </c>
      <c r="N735" t="str">
        <f>LOOKUP(C735,Sheet2!$J$4:$K$8)</f>
        <v>1-59</v>
      </c>
      <c r="O735" t="str">
        <f>LOOKUP(D735,Sheet2!$M$4:$N$8)</f>
        <v>10-30</v>
      </c>
      <c r="P735" t="str">
        <f>LOOKUP(E735,Sheet2!$P$4:$Q$9)</f>
        <v>100-199</v>
      </c>
      <c r="Q735" t="str">
        <f>LOOKUP(F735,Sheet2!$S$4:$T$8)</f>
        <v>26-30</v>
      </c>
      <c r="R735" t="str">
        <f>LOOKUP(G735,Sheet2!$V$4:$W$7)</f>
        <v>0.4 - 0.69</v>
      </c>
      <c r="S735" t="str">
        <f>LOOKUP(H735,Sheet2!$Z$4:$AA$7)</f>
        <v>&lt;=25</v>
      </c>
      <c r="T735" t="str">
        <f t="shared" si="33"/>
        <v>Negative</v>
      </c>
      <c r="U735" t="str">
        <f t="shared" si="34"/>
        <v>Not Sampled</v>
      </c>
      <c r="V735" s="1" t="str">
        <f t="shared" si="35"/>
        <v>Not Sampled</v>
      </c>
    </row>
    <row r="736" spans="1:22" x14ac:dyDescent="0.25">
      <c r="A736" s="1">
        <v>2</v>
      </c>
      <c r="B736" s="1">
        <v>105</v>
      </c>
      <c r="C736" s="1">
        <v>75</v>
      </c>
      <c r="D736" s="1">
        <v>0</v>
      </c>
      <c r="E736" s="1">
        <v>0</v>
      </c>
      <c r="F736" s="1">
        <v>23.3</v>
      </c>
      <c r="G736" s="1">
        <v>0.56000000000000005</v>
      </c>
      <c r="H736" s="1">
        <v>53</v>
      </c>
      <c r="I736" s="1">
        <v>0</v>
      </c>
      <c r="J736" s="1" t="str">
        <f>IFERROR(VLOOKUP(K736,[1]diabetes_Recognition!$A:$B,2,FALSE),"Not Sampled")</f>
        <v>Not Sampled</v>
      </c>
      <c r="K736" s="1">
        <v>734</v>
      </c>
      <c r="L736" s="1">
        <f>LOOKUP(A736,Sheet2!$D$4:$E$9)</f>
        <v>2</v>
      </c>
      <c r="M736" t="str">
        <f>LOOKUP(B736,Sheet2!$G$4:$H$9)</f>
        <v>100-125</v>
      </c>
      <c r="N736" t="str">
        <f>LOOKUP(C736,Sheet2!$J$4:$K$8)</f>
        <v>70-79</v>
      </c>
      <c r="O736" t="str">
        <f>LOOKUP(D736,Sheet2!$M$4:$N$8)</f>
        <v>Unknown</v>
      </c>
      <c r="P736" t="str">
        <f>LOOKUP(E736,Sheet2!$P$4:$Q$9)</f>
        <v>Unknown</v>
      </c>
      <c r="Q736" t="str">
        <f>LOOKUP(F736,Sheet2!$S$4:$T$8)</f>
        <v>1-25</v>
      </c>
      <c r="R736" t="str">
        <f>LOOKUP(G736,Sheet2!$V$4:$W$7)</f>
        <v>0.4 - 0.69</v>
      </c>
      <c r="S736" t="str">
        <f>LOOKUP(H736,Sheet2!$Z$4:$AA$7)</f>
        <v>46+</v>
      </c>
      <c r="T736" t="str">
        <f t="shared" si="33"/>
        <v>Negative</v>
      </c>
      <c r="U736" t="str">
        <f t="shared" si="34"/>
        <v>Not Sampled</v>
      </c>
      <c r="V736" s="1" t="str">
        <f t="shared" si="35"/>
        <v>Not Sampled</v>
      </c>
    </row>
    <row r="737" spans="1:22" x14ac:dyDescent="0.25">
      <c r="A737" s="1">
        <v>4</v>
      </c>
      <c r="B737" s="1">
        <v>95</v>
      </c>
      <c r="C737" s="1">
        <v>60</v>
      </c>
      <c r="D737" s="1">
        <v>32</v>
      </c>
      <c r="E737" s="1">
        <v>0</v>
      </c>
      <c r="F737" s="1">
        <v>35.4</v>
      </c>
      <c r="G737" s="1">
        <v>0.28399999999999997</v>
      </c>
      <c r="H737" s="1">
        <v>28</v>
      </c>
      <c r="I737" s="1">
        <v>0</v>
      </c>
      <c r="J737" s="1" t="str">
        <f>IFERROR(VLOOKUP(K737,[1]diabetes_Recognition!$A:$B,2,FALSE),"Not Sampled")</f>
        <v>Not Sampled</v>
      </c>
      <c r="K737" s="1">
        <v>735</v>
      </c>
      <c r="L737" s="1" t="str">
        <f>LOOKUP(A737,Sheet2!$D$4:$E$9)</f>
        <v>3-4</v>
      </c>
      <c r="M737" t="str">
        <f>LOOKUP(B737,Sheet2!$G$4:$H$9)</f>
        <v>1-99</v>
      </c>
      <c r="N737" t="str">
        <f>LOOKUP(C737,Sheet2!$J$4:$K$8)</f>
        <v>60-69</v>
      </c>
      <c r="O737" t="str">
        <f>LOOKUP(D737,Sheet2!$M$4:$N$8)</f>
        <v>30-39</v>
      </c>
      <c r="P737" t="str">
        <f>LOOKUP(E737,Sheet2!$P$4:$Q$9)</f>
        <v>Unknown</v>
      </c>
      <c r="Q737" t="str">
        <f>LOOKUP(F737,Sheet2!$S$4:$T$8)</f>
        <v>31-35</v>
      </c>
      <c r="R737" t="str">
        <f>LOOKUP(G737,Sheet2!$V$4:$W$7)</f>
        <v>0.25 - 0.39</v>
      </c>
      <c r="S737" t="str">
        <f>LOOKUP(H737,Sheet2!$Z$4:$AA$7)</f>
        <v>26-35</v>
      </c>
      <c r="T737" t="str">
        <f t="shared" si="33"/>
        <v>Negative</v>
      </c>
      <c r="U737" t="str">
        <f t="shared" si="34"/>
        <v>Not Sampled</v>
      </c>
      <c r="V737" s="1" t="str">
        <f t="shared" si="35"/>
        <v>Not Sampled</v>
      </c>
    </row>
    <row r="738" spans="1:22" x14ac:dyDescent="0.25">
      <c r="A738" s="1">
        <v>0</v>
      </c>
      <c r="B738" s="1">
        <v>126</v>
      </c>
      <c r="C738" s="1">
        <v>86</v>
      </c>
      <c r="D738" s="1">
        <v>27</v>
      </c>
      <c r="E738" s="1">
        <v>120</v>
      </c>
      <c r="F738" s="1">
        <v>27.4</v>
      </c>
      <c r="G738" s="1">
        <v>0.51500000000000001</v>
      </c>
      <c r="H738" s="1">
        <v>21</v>
      </c>
      <c r="I738" s="1">
        <v>0</v>
      </c>
      <c r="J738" s="1" t="str">
        <f>IFERROR(VLOOKUP(K738,[1]diabetes_Recognition!$A:$B,2,FALSE),"Not Sampled")</f>
        <v>Not Sampled</v>
      </c>
      <c r="K738" s="1">
        <v>736</v>
      </c>
      <c r="L738" s="1">
        <f>LOOKUP(A738,Sheet2!$D$4:$E$9)</f>
        <v>0</v>
      </c>
      <c r="M738" t="str">
        <f>LOOKUP(B738,Sheet2!$G$4:$H$9)</f>
        <v>126-150</v>
      </c>
      <c r="N738" t="str">
        <f>LOOKUP(C738,Sheet2!$J$4:$K$8)</f>
        <v>80+</v>
      </c>
      <c r="O738" t="str">
        <f>LOOKUP(D738,Sheet2!$M$4:$N$8)</f>
        <v>10-30</v>
      </c>
      <c r="P738" t="str">
        <f>LOOKUP(E738,Sheet2!$P$4:$Q$9)</f>
        <v>100-199</v>
      </c>
      <c r="Q738" t="str">
        <f>LOOKUP(F738,Sheet2!$S$4:$T$8)</f>
        <v>26-30</v>
      </c>
      <c r="R738" t="str">
        <f>LOOKUP(G738,Sheet2!$V$4:$W$7)</f>
        <v>0.4 - 0.69</v>
      </c>
      <c r="S738" t="str">
        <f>LOOKUP(H738,Sheet2!$Z$4:$AA$7)</f>
        <v>&lt;=25</v>
      </c>
      <c r="T738" t="str">
        <f t="shared" si="33"/>
        <v>Negative</v>
      </c>
      <c r="U738" t="str">
        <f t="shared" si="34"/>
        <v>Not Sampled</v>
      </c>
      <c r="V738" s="1" t="str">
        <f t="shared" si="35"/>
        <v>Not Sampled</v>
      </c>
    </row>
    <row r="739" spans="1:22" x14ac:dyDescent="0.25">
      <c r="A739" s="1">
        <v>8</v>
      </c>
      <c r="B739" s="1">
        <v>65</v>
      </c>
      <c r="C739" s="1">
        <v>72</v>
      </c>
      <c r="D739" s="1">
        <v>23</v>
      </c>
      <c r="E739" s="1">
        <v>0</v>
      </c>
      <c r="F739" s="1">
        <v>32</v>
      </c>
      <c r="G739" s="1">
        <v>0.6</v>
      </c>
      <c r="H739" s="1">
        <v>42</v>
      </c>
      <c r="I739" s="1">
        <v>0</v>
      </c>
      <c r="J739" s="1">
        <f>IFERROR(VLOOKUP(K739,[1]diabetes_Recognition!$A:$B,2,FALSE),"Not Sampled")</f>
        <v>0</v>
      </c>
      <c r="K739" s="1">
        <v>737</v>
      </c>
      <c r="L739" s="1" t="str">
        <f>LOOKUP(A739,Sheet2!$D$4:$E$9)</f>
        <v>8+</v>
      </c>
      <c r="M739" t="str">
        <f>LOOKUP(B739,Sheet2!$G$4:$H$9)</f>
        <v>1-99</v>
      </c>
      <c r="N739" t="str">
        <f>LOOKUP(C739,Sheet2!$J$4:$K$8)</f>
        <v>70-79</v>
      </c>
      <c r="O739" t="str">
        <f>LOOKUP(D739,Sheet2!$M$4:$N$8)</f>
        <v>10-30</v>
      </c>
      <c r="P739" t="str">
        <f>LOOKUP(E739,Sheet2!$P$4:$Q$9)</f>
        <v>Unknown</v>
      </c>
      <c r="Q739" t="str">
        <f>LOOKUP(F739,Sheet2!$S$4:$T$8)</f>
        <v>31-35</v>
      </c>
      <c r="R739" t="str">
        <f>LOOKUP(G739,Sheet2!$V$4:$W$7)</f>
        <v>0.4 - 0.69</v>
      </c>
      <c r="S739" t="str">
        <f>LOOKUP(H739,Sheet2!$Z$4:$AA$7)</f>
        <v>36-45</v>
      </c>
      <c r="T739" t="str">
        <f t="shared" si="33"/>
        <v>Negative</v>
      </c>
      <c r="U739" t="str">
        <f t="shared" si="34"/>
        <v>Negative</v>
      </c>
      <c r="V739" s="1" t="str">
        <f t="shared" si="35"/>
        <v>Accurate Prediction</v>
      </c>
    </row>
    <row r="740" spans="1:22" x14ac:dyDescent="0.25">
      <c r="A740" s="1">
        <v>2</v>
      </c>
      <c r="B740" s="1">
        <v>99</v>
      </c>
      <c r="C740" s="1">
        <v>60</v>
      </c>
      <c r="D740" s="1">
        <v>17</v>
      </c>
      <c r="E740" s="1">
        <v>160</v>
      </c>
      <c r="F740" s="1">
        <v>36.6</v>
      </c>
      <c r="G740" s="1">
        <v>0.45300000000000001</v>
      </c>
      <c r="H740" s="1">
        <v>21</v>
      </c>
      <c r="I740" s="1">
        <v>0</v>
      </c>
      <c r="J740" s="1" t="str">
        <f>IFERROR(VLOOKUP(K740,[1]diabetes_Recognition!$A:$B,2,FALSE),"Not Sampled")</f>
        <v>Not Sampled</v>
      </c>
      <c r="K740" s="1">
        <v>738</v>
      </c>
      <c r="L740" s="1">
        <f>LOOKUP(A740,Sheet2!$D$4:$E$9)</f>
        <v>2</v>
      </c>
      <c r="M740" t="str">
        <f>LOOKUP(B740,Sheet2!$G$4:$H$9)</f>
        <v>1-99</v>
      </c>
      <c r="N740" t="str">
        <f>LOOKUP(C740,Sheet2!$J$4:$K$8)</f>
        <v>60-69</v>
      </c>
      <c r="O740" t="str">
        <f>LOOKUP(D740,Sheet2!$M$4:$N$8)</f>
        <v>10-30</v>
      </c>
      <c r="P740" t="str">
        <f>LOOKUP(E740,Sheet2!$P$4:$Q$9)</f>
        <v>100-199</v>
      </c>
      <c r="Q740" t="str">
        <f>LOOKUP(F740,Sheet2!$S$4:$T$8)</f>
        <v>36+</v>
      </c>
      <c r="R740" t="str">
        <f>LOOKUP(G740,Sheet2!$V$4:$W$7)</f>
        <v>0.4 - 0.69</v>
      </c>
      <c r="S740" t="str">
        <f>LOOKUP(H740,Sheet2!$Z$4:$AA$7)</f>
        <v>&lt;=25</v>
      </c>
      <c r="T740" t="str">
        <f t="shared" si="33"/>
        <v>Negative</v>
      </c>
      <c r="U740" t="str">
        <f t="shared" si="34"/>
        <v>Not Sampled</v>
      </c>
      <c r="V740" s="1" t="str">
        <f t="shared" si="35"/>
        <v>Not Sampled</v>
      </c>
    </row>
    <row r="741" spans="1:22" x14ac:dyDescent="0.25">
      <c r="A741" s="1">
        <v>1</v>
      </c>
      <c r="B741" s="1">
        <v>102</v>
      </c>
      <c r="C741" s="1">
        <v>74</v>
      </c>
      <c r="D741" s="1">
        <v>0</v>
      </c>
      <c r="E741" s="1">
        <v>0</v>
      </c>
      <c r="F741" s="1">
        <v>39.5</v>
      </c>
      <c r="G741" s="1">
        <v>0.29299999999999998</v>
      </c>
      <c r="H741" s="1">
        <v>42</v>
      </c>
      <c r="I741" s="1">
        <v>1</v>
      </c>
      <c r="J741" s="1" t="str">
        <f>IFERROR(VLOOKUP(K741,[1]diabetes_Recognition!$A:$B,2,FALSE),"Not Sampled")</f>
        <v>Not Sampled</v>
      </c>
      <c r="K741" s="1">
        <v>739</v>
      </c>
      <c r="L741" s="1">
        <f>LOOKUP(A741,Sheet2!$D$4:$E$9)</f>
        <v>1</v>
      </c>
      <c r="M741" t="str">
        <f>LOOKUP(B741,Sheet2!$G$4:$H$9)</f>
        <v>100-125</v>
      </c>
      <c r="N741" t="str">
        <f>LOOKUP(C741,Sheet2!$J$4:$K$8)</f>
        <v>70-79</v>
      </c>
      <c r="O741" t="str">
        <f>LOOKUP(D741,Sheet2!$M$4:$N$8)</f>
        <v>Unknown</v>
      </c>
      <c r="P741" t="str">
        <f>LOOKUP(E741,Sheet2!$P$4:$Q$9)</f>
        <v>Unknown</v>
      </c>
      <c r="Q741" t="str">
        <f>LOOKUP(F741,Sheet2!$S$4:$T$8)</f>
        <v>36+</v>
      </c>
      <c r="R741" t="str">
        <f>LOOKUP(G741,Sheet2!$V$4:$W$7)</f>
        <v>0.25 - 0.39</v>
      </c>
      <c r="S741" t="str">
        <f>LOOKUP(H741,Sheet2!$Z$4:$AA$7)</f>
        <v>36-45</v>
      </c>
      <c r="T741" t="str">
        <f t="shared" si="33"/>
        <v>Positive</v>
      </c>
      <c r="U741" t="str">
        <f t="shared" si="34"/>
        <v>Not Sampled</v>
      </c>
      <c r="V741" s="1" t="str">
        <f t="shared" si="35"/>
        <v>Not Sampled</v>
      </c>
    </row>
    <row r="742" spans="1:22" x14ac:dyDescent="0.25">
      <c r="A742" s="1">
        <v>11</v>
      </c>
      <c r="B742" s="1">
        <v>120</v>
      </c>
      <c r="C742" s="1">
        <v>80</v>
      </c>
      <c r="D742" s="1">
        <v>37</v>
      </c>
      <c r="E742" s="1">
        <v>150</v>
      </c>
      <c r="F742" s="1">
        <v>42.3</v>
      </c>
      <c r="G742" s="1">
        <v>0.78500000000000003</v>
      </c>
      <c r="H742" s="1">
        <v>48</v>
      </c>
      <c r="I742" s="1">
        <v>1</v>
      </c>
      <c r="J742" s="1" t="str">
        <f>IFERROR(VLOOKUP(K742,[1]diabetes_Recognition!$A:$B,2,FALSE),"Not Sampled")</f>
        <v>Not Sampled</v>
      </c>
      <c r="K742" s="1">
        <v>740</v>
      </c>
      <c r="L742" s="1" t="str">
        <f>LOOKUP(A742,Sheet2!$D$4:$E$9)</f>
        <v>8+</v>
      </c>
      <c r="M742" t="str">
        <f>LOOKUP(B742,Sheet2!$G$4:$H$9)</f>
        <v>100-125</v>
      </c>
      <c r="N742" t="str">
        <f>LOOKUP(C742,Sheet2!$J$4:$K$8)</f>
        <v>80+</v>
      </c>
      <c r="O742" t="str">
        <f>LOOKUP(D742,Sheet2!$M$4:$N$8)</f>
        <v>30-39</v>
      </c>
      <c r="P742" t="str">
        <f>LOOKUP(E742,Sheet2!$P$4:$Q$9)</f>
        <v>100-199</v>
      </c>
      <c r="Q742" t="str">
        <f>LOOKUP(F742,Sheet2!$S$4:$T$8)</f>
        <v>36+</v>
      </c>
      <c r="R742" t="str">
        <f>LOOKUP(G742,Sheet2!$V$4:$W$7)</f>
        <v>0.7+</v>
      </c>
      <c r="S742" t="str">
        <f>LOOKUP(H742,Sheet2!$Z$4:$AA$7)</f>
        <v>46+</v>
      </c>
      <c r="T742" t="str">
        <f t="shared" si="33"/>
        <v>Positive</v>
      </c>
      <c r="U742" t="str">
        <f t="shared" si="34"/>
        <v>Not Sampled</v>
      </c>
      <c r="V742" s="1" t="str">
        <f t="shared" si="35"/>
        <v>Not Sampled</v>
      </c>
    </row>
    <row r="743" spans="1:22" x14ac:dyDescent="0.25">
      <c r="A743" s="1">
        <v>3</v>
      </c>
      <c r="B743" s="1">
        <v>102</v>
      </c>
      <c r="C743" s="1">
        <v>44</v>
      </c>
      <c r="D743" s="1">
        <v>20</v>
      </c>
      <c r="E743" s="1">
        <v>94</v>
      </c>
      <c r="F743" s="1">
        <v>30.8</v>
      </c>
      <c r="G743" s="1">
        <v>0.4</v>
      </c>
      <c r="H743" s="1">
        <v>26</v>
      </c>
      <c r="I743" s="1">
        <v>0</v>
      </c>
      <c r="J743" s="1" t="str">
        <f>IFERROR(VLOOKUP(K743,[1]diabetes_Recognition!$A:$B,2,FALSE),"Not Sampled")</f>
        <v>Not Sampled</v>
      </c>
      <c r="K743" s="1">
        <v>741</v>
      </c>
      <c r="L743" s="1" t="str">
        <f>LOOKUP(A743,Sheet2!$D$4:$E$9)</f>
        <v>3-4</v>
      </c>
      <c r="M743" t="str">
        <f>LOOKUP(B743,Sheet2!$G$4:$H$9)</f>
        <v>100-125</v>
      </c>
      <c r="N743" t="str">
        <f>LOOKUP(C743,Sheet2!$J$4:$K$8)</f>
        <v>1-59</v>
      </c>
      <c r="O743" t="str">
        <f>LOOKUP(D743,Sheet2!$M$4:$N$8)</f>
        <v>10-30</v>
      </c>
      <c r="P743" t="str">
        <f>LOOKUP(E743,Sheet2!$P$4:$Q$9)</f>
        <v>1-99</v>
      </c>
      <c r="Q743" t="str">
        <f>LOOKUP(F743,Sheet2!$S$4:$T$8)</f>
        <v>26-30</v>
      </c>
      <c r="R743" t="str">
        <f>LOOKUP(G743,Sheet2!$V$4:$W$7)</f>
        <v>0.4 - 0.69</v>
      </c>
      <c r="S743" t="str">
        <f>LOOKUP(H743,Sheet2!$Z$4:$AA$7)</f>
        <v>26-35</v>
      </c>
      <c r="T743" t="str">
        <f t="shared" si="33"/>
        <v>Negative</v>
      </c>
      <c r="U743" t="str">
        <f t="shared" si="34"/>
        <v>Not Sampled</v>
      </c>
      <c r="V743" s="1" t="str">
        <f t="shared" si="35"/>
        <v>Not Sampled</v>
      </c>
    </row>
    <row r="744" spans="1:22" x14ac:dyDescent="0.25">
      <c r="A744" s="1">
        <v>1</v>
      </c>
      <c r="B744" s="1">
        <v>109</v>
      </c>
      <c r="C744" s="1">
        <v>58</v>
      </c>
      <c r="D744" s="1">
        <v>18</v>
      </c>
      <c r="E744" s="1">
        <v>116</v>
      </c>
      <c r="F744" s="1">
        <v>28.5</v>
      </c>
      <c r="G744" s="1">
        <v>0.219</v>
      </c>
      <c r="H744" s="1">
        <v>22</v>
      </c>
      <c r="I744" s="1">
        <v>0</v>
      </c>
      <c r="J744" s="1" t="str">
        <f>IFERROR(VLOOKUP(K744,[1]diabetes_Recognition!$A:$B,2,FALSE),"Not Sampled")</f>
        <v>Not Sampled</v>
      </c>
      <c r="K744" s="1">
        <v>742</v>
      </c>
      <c r="L744" s="1">
        <f>LOOKUP(A744,Sheet2!$D$4:$E$9)</f>
        <v>1</v>
      </c>
      <c r="M744" t="str">
        <f>LOOKUP(B744,Sheet2!$G$4:$H$9)</f>
        <v>100-125</v>
      </c>
      <c r="N744" t="str">
        <f>LOOKUP(C744,Sheet2!$J$4:$K$8)</f>
        <v>1-59</v>
      </c>
      <c r="O744" t="str">
        <f>LOOKUP(D744,Sheet2!$M$4:$N$8)</f>
        <v>10-30</v>
      </c>
      <c r="P744" t="str">
        <f>LOOKUP(E744,Sheet2!$P$4:$Q$9)</f>
        <v>100-199</v>
      </c>
      <c r="Q744" t="str">
        <f>LOOKUP(F744,Sheet2!$S$4:$T$8)</f>
        <v>26-30</v>
      </c>
      <c r="R744" t="str">
        <f>LOOKUP(G744,Sheet2!$V$4:$W$7)</f>
        <v>0.0 - 0.249</v>
      </c>
      <c r="S744" t="str">
        <f>LOOKUP(H744,Sheet2!$Z$4:$AA$7)</f>
        <v>&lt;=25</v>
      </c>
      <c r="T744" t="str">
        <f t="shared" si="33"/>
        <v>Negative</v>
      </c>
      <c r="U744" t="str">
        <f t="shared" si="34"/>
        <v>Not Sampled</v>
      </c>
      <c r="V744" s="1" t="str">
        <f t="shared" si="35"/>
        <v>Not Sampled</v>
      </c>
    </row>
    <row r="745" spans="1:22" x14ac:dyDescent="0.25">
      <c r="A745" s="1">
        <v>9</v>
      </c>
      <c r="B745" s="1">
        <v>140</v>
      </c>
      <c r="C745" s="1">
        <v>94</v>
      </c>
      <c r="D745" s="1">
        <v>0</v>
      </c>
      <c r="E745" s="1">
        <v>0</v>
      </c>
      <c r="F745" s="1">
        <v>32.700000000000003</v>
      </c>
      <c r="G745" s="1">
        <v>0.73399999999999999</v>
      </c>
      <c r="H745" s="1">
        <v>45</v>
      </c>
      <c r="I745" s="1">
        <v>1</v>
      </c>
      <c r="J745" s="1" t="str">
        <f>IFERROR(VLOOKUP(K745,[1]diabetes_Recognition!$A:$B,2,FALSE),"Not Sampled")</f>
        <v>Not Sampled</v>
      </c>
      <c r="K745" s="1">
        <v>743</v>
      </c>
      <c r="L745" s="1" t="str">
        <f>LOOKUP(A745,Sheet2!$D$4:$E$9)</f>
        <v>8+</v>
      </c>
      <c r="M745" t="str">
        <f>LOOKUP(B745,Sheet2!$G$4:$H$9)</f>
        <v>126-150</v>
      </c>
      <c r="N745" t="str">
        <f>LOOKUP(C745,Sheet2!$J$4:$K$8)</f>
        <v>80+</v>
      </c>
      <c r="O745" t="str">
        <f>LOOKUP(D745,Sheet2!$M$4:$N$8)</f>
        <v>Unknown</v>
      </c>
      <c r="P745" t="str">
        <f>LOOKUP(E745,Sheet2!$P$4:$Q$9)</f>
        <v>Unknown</v>
      </c>
      <c r="Q745" t="str">
        <f>LOOKUP(F745,Sheet2!$S$4:$T$8)</f>
        <v>31-35</v>
      </c>
      <c r="R745" t="str">
        <f>LOOKUP(G745,Sheet2!$V$4:$W$7)</f>
        <v>0.7+</v>
      </c>
      <c r="S745" t="str">
        <f>LOOKUP(H745,Sheet2!$Z$4:$AA$7)</f>
        <v>36-45</v>
      </c>
      <c r="T745" t="str">
        <f t="shared" si="33"/>
        <v>Positive</v>
      </c>
      <c r="U745" t="str">
        <f t="shared" si="34"/>
        <v>Not Sampled</v>
      </c>
      <c r="V745" s="1" t="str">
        <f t="shared" si="35"/>
        <v>Not Sampled</v>
      </c>
    </row>
    <row r="746" spans="1:22" x14ac:dyDescent="0.25">
      <c r="A746" s="1">
        <v>13</v>
      </c>
      <c r="B746" s="1">
        <v>153</v>
      </c>
      <c r="C746" s="1">
        <v>88</v>
      </c>
      <c r="D746" s="1">
        <v>37</v>
      </c>
      <c r="E746" s="1">
        <v>140</v>
      </c>
      <c r="F746" s="1">
        <v>40.6</v>
      </c>
      <c r="G746" s="1">
        <v>1.1739999999999999</v>
      </c>
      <c r="H746" s="1">
        <v>39</v>
      </c>
      <c r="I746" s="1">
        <v>0</v>
      </c>
      <c r="J746" s="1" t="str">
        <f>IFERROR(VLOOKUP(K746,[1]diabetes_Recognition!$A:$B,2,FALSE),"Not Sampled")</f>
        <v>Not Sampled</v>
      </c>
      <c r="K746" s="1">
        <v>744</v>
      </c>
      <c r="L746" s="1" t="str">
        <f>LOOKUP(A746,Sheet2!$D$4:$E$9)</f>
        <v>8+</v>
      </c>
      <c r="M746" t="str">
        <f>LOOKUP(B746,Sheet2!$G$4:$H$9)</f>
        <v>151-175</v>
      </c>
      <c r="N746" t="str">
        <f>LOOKUP(C746,Sheet2!$J$4:$K$8)</f>
        <v>80+</v>
      </c>
      <c r="O746" t="str">
        <f>LOOKUP(D746,Sheet2!$M$4:$N$8)</f>
        <v>30-39</v>
      </c>
      <c r="P746" t="str">
        <f>LOOKUP(E746,Sheet2!$P$4:$Q$9)</f>
        <v>100-199</v>
      </c>
      <c r="Q746" t="str">
        <f>LOOKUP(F746,Sheet2!$S$4:$T$8)</f>
        <v>36+</v>
      </c>
      <c r="R746" t="str">
        <f>LOOKUP(G746,Sheet2!$V$4:$W$7)</f>
        <v>0.7+</v>
      </c>
      <c r="S746" t="str">
        <f>LOOKUP(H746,Sheet2!$Z$4:$AA$7)</f>
        <v>36-45</v>
      </c>
      <c r="T746" t="str">
        <f t="shared" si="33"/>
        <v>Negative</v>
      </c>
      <c r="U746" t="str">
        <f t="shared" si="34"/>
        <v>Not Sampled</v>
      </c>
      <c r="V746" s="1" t="str">
        <f t="shared" si="35"/>
        <v>Not Sampled</v>
      </c>
    </row>
    <row r="747" spans="1:22" x14ac:dyDescent="0.25">
      <c r="A747" s="1">
        <v>12</v>
      </c>
      <c r="B747" s="1">
        <v>100</v>
      </c>
      <c r="C747" s="1">
        <v>84</v>
      </c>
      <c r="D747" s="1">
        <v>33</v>
      </c>
      <c r="E747" s="1">
        <v>105</v>
      </c>
      <c r="F747" s="1">
        <v>30</v>
      </c>
      <c r="G747" s="1">
        <v>0.48799999999999999</v>
      </c>
      <c r="H747" s="1">
        <v>46</v>
      </c>
      <c r="I747" s="1">
        <v>0</v>
      </c>
      <c r="J747" s="1">
        <f>IFERROR(VLOOKUP(K747,[1]diabetes_Recognition!$A:$B,2,FALSE),"Not Sampled")</f>
        <v>0</v>
      </c>
      <c r="K747" s="1">
        <v>745</v>
      </c>
      <c r="L747" s="1" t="str">
        <f>LOOKUP(A747,Sheet2!$D$4:$E$9)</f>
        <v>8+</v>
      </c>
      <c r="M747" t="str">
        <f>LOOKUP(B747,Sheet2!$G$4:$H$9)</f>
        <v>100-125</v>
      </c>
      <c r="N747" t="str">
        <f>LOOKUP(C747,Sheet2!$J$4:$K$8)</f>
        <v>80+</v>
      </c>
      <c r="O747" t="str">
        <f>LOOKUP(D747,Sheet2!$M$4:$N$8)</f>
        <v>30-39</v>
      </c>
      <c r="P747" t="str">
        <f>LOOKUP(E747,Sheet2!$P$4:$Q$9)</f>
        <v>100-199</v>
      </c>
      <c r="Q747" t="str">
        <f>LOOKUP(F747,Sheet2!$S$4:$T$8)</f>
        <v>26-30</v>
      </c>
      <c r="R747" t="str">
        <f>LOOKUP(G747,Sheet2!$V$4:$W$7)</f>
        <v>0.4 - 0.69</v>
      </c>
      <c r="S747" t="str">
        <f>LOOKUP(H747,Sheet2!$Z$4:$AA$7)</f>
        <v>46+</v>
      </c>
      <c r="T747" t="str">
        <f t="shared" si="33"/>
        <v>Negative</v>
      </c>
      <c r="U747" t="str">
        <f t="shared" si="34"/>
        <v>Negative</v>
      </c>
      <c r="V747" s="1" t="str">
        <f t="shared" si="35"/>
        <v>Accurate Prediction</v>
      </c>
    </row>
    <row r="748" spans="1:22" x14ac:dyDescent="0.25">
      <c r="A748" s="1">
        <v>1</v>
      </c>
      <c r="B748" s="1">
        <v>147</v>
      </c>
      <c r="C748" s="1">
        <v>94</v>
      </c>
      <c r="D748" s="1">
        <v>41</v>
      </c>
      <c r="E748" s="1">
        <v>0</v>
      </c>
      <c r="F748" s="1">
        <v>49.3</v>
      </c>
      <c r="G748" s="1">
        <v>0.35799999999999998</v>
      </c>
      <c r="H748" s="1">
        <v>27</v>
      </c>
      <c r="I748" s="1">
        <v>1</v>
      </c>
      <c r="J748" s="1" t="str">
        <f>IFERROR(VLOOKUP(K748,[1]diabetes_Recognition!$A:$B,2,FALSE),"Not Sampled")</f>
        <v>Not Sampled</v>
      </c>
      <c r="K748" s="1">
        <v>746</v>
      </c>
      <c r="L748" s="1">
        <f>LOOKUP(A748,Sheet2!$D$4:$E$9)</f>
        <v>1</v>
      </c>
      <c r="M748" t="str">
        <f>LOOKUP(B748,Sheet2!$G$4:$H$9)</f>
        <v>126-150</v>
      </c>
      <c r="N748" t="str">
        <f>LOOKUP(C748,Sheet2!$J$4:$K$8)</f>
        <v>80+</v>
      </c>
      <c r="O748" t="str">
        <f>LOOKUP(D748,Sheet2!$M$4:$N$8)</f>
        <v>40+</v>
      </c>
      <c r="P748" t="str">
        <f>LOOKUP(E748,Sheet2!$P$4:$Q$9)</f>
        <v>Unknown</v>
      </c>
      <c r="Q748" t="str">
        <f>LOOKUP(F748,Sheet2!$S$4:$T$8)</f>
        <v>36+</v>
      </c>
      <c r="R748" t="str">
        <f>LOOKUP(G748,Sheet2!$V$4:$W$7)</f>
        <v>0.25 - 0.39</v>
      </c>
      <c r="S748" t="str">
        <f>LOOKUP(H748,Sheet2!$Z$4:$AA$7)</f>
        <v>26-35</v>
      </c>
      <c r="T748" t="str">
        <f t="shared" si="33"/>
        <v>Positive</v>
      </c>
      <c r="U748" t="str">
        <f t="shared" si="34"/>
        <v>Not Sampled</v>
      </c>
      <c r="V748" s="1" t="str">
        <f t="shared" si="35"/>
        <v>Not Sampled</v>
      </c>
    </row>
    <row r="749" spans="1:22" x14ac:dyDescent="0.25">
      <c r="A749" s="1">
        <v>1</v>
      </c>
      <c r="B749" s="1">
        <v>81</v>
      </c>
      <c r="C749" s="1">
        <v>74</v>
      </c>
      <c r="D749" s="1">
        <v>41</v>
      </c>
      <c r="E749" s="1">
        <v>57</v>
      </c>
      <c r="F749" s="1">
        <v>46.3</v>
      </c>
      <c r="G749" s="1">
        <v>1.0960000000000001</v>
      </c>
      <c r="H749" s="1">
        <v>32</v>
      </c>
      <c r="I749" s="1">
        <v>0</v>
      </c>
      <c r="J749" s="1" t="str">
        <f>IFERROR(VLOOKUP(K749,[1]diabetes_Recognition!$A:$B,2,FALSE),"Not Sampled")</f>
        <v>Not Sampled</v>
      </c>
      <c r="K749" s="1">
        <v>747</v>
      </c>
      <c r="L749" s="1">
        <f>LOOKUP(A749,Sheet2!$D$4:$E$9)</f>
        <v>1</v>
      </c>
      <c r="M749" t="str">
        <f>LOOKUP(B749,Sheet2!$G$4:$H$9)</f>
        <v>1-99</v>
      </c>
      <c r="N749" t="str">
        <f>LOOKUP(C749,Sheet2!$J$4:$K$8)</f>
        <v>70-79</v>
      </c>
      <c r="O749" t="str">
        <f>LOOKUP(D749,Sheet2!$M$4:$N$8)</f>
        <v>40+</v>
      </c>
      <c r="P749" t="str">
        <f>LOOKUP(E749,Sheet2!$P$4:$Q$9)</f>
        <v>1-99</v>
      </c>
      <c r="Q749" t="str">
        <f>LOOKUP(F749,Sheet2!$S$4:$T$8)</f>
        <v>36+</v>
      </c>
      <c r="R749" t="str">
        <f>LOOKUP(G749,Sheet2!$V$4:$W$7)</f>
        <v>0.7+</v>
      </c>
      <c r="S749" t="str">
        <f>LOOKUP(H749,Sheet2!$Z$4:$AA$7)</f>
        <v>26-35</v>
      </c>
      <c r="T749" t="str">
        <f t="shared" si="33"/>
        <v>Negative</v>
      </c>
      <c r="U749" t="str">
        <f t="shared" si="34"/>
        <v>Not Sampled</v>
      </c>
      <c r="V749" s="1" t="str">
        <f t="shared" si="35"/>
        <v>Not Sampled</v>
      </c>
    </row>
    <row r="750" spans="1:22" x14ac:dyDescent="0.25">
      <c r="A750" s="1">
        <v>3</v>
      </c>
      <c r="B750" s="1">
        <v>187</v>
      </c>
      <c r="C750" s="1">
        <v>70</v>
      </c>
      <c r="D750" s="1">
        <v>22</v>
      </c>
      <c r="E750" s="1">
        <v>200</v>
      </c>
      <c r="F750" s="1">
        <v>36.4</v>
      </c>
      <c r="G750" s="1">
        <v>0.40799999999999997</v>
      </c>
      <c r="H750" s="1">
        <v>36</v>
      </c>
      <c r="I750" s="1">
        <v>1</v>
      </c>
      <c r="J750" s="1">
        <f>IFERROR(VLOOKUP(K750,[1]diabetes_Recognition!$A:$B,2,FALSE),"Not Sampled")</f>
        <v>1</v>
      </c>
      <c r="K750" s="1">
        <v>748</v>
      </c>
      <c r="L750" s="1" t="str">
        <f>LOOKUP(A750,Sheet2!$D$4:$E$9)</f>
        <v>3-4</v>
      </c>
      <c r="M750" t="str">
        <f>LOOKUP(B750,Sheet2!$G$4:$H$9)</f>
        <v>176-200</v>
      </c>
      <c r="N750" t="str">
        <f>LOOKUP(C750,Sheet2!$J$4:$K$8)</f>
        <v>70-79</v>
      </c>
      <c r="O750" t="str">
        <f>LOOKUP(D750,Sheet2!$M$4:$N$8)</f>
        <v>10-30</v>
      </c>
      <c r="P750" t="str">
        <f>LOOKUP(E750,Sheet2!$P$4:$Q$9)</f>
        <v>200-399</v>
      </c>
      <c r="Q750" t="str">
        <f>LOOKUP(F750,Sheet2!$S$4:$T$8)</f>
        <v>36+</v>
      </c>
      <c r="R750" t="str">
        <f>LOOKUP(G750,Sheet2!$V$4:$W$7)</f>
        <v>0.4 - 0.69</v>
      </c>
      <c r="S750" t="str">
        <f>LOOKUP(H750,Sheet2!$Z$4:$AA$7)</f>
        <v>36-45</v>
      </c>
      <c r="T750" t="str">
        <f t="shared" si="33"/>
        <v>Positive</v>
      </c>
      <c r="U750" t="str">
        <f t="shared" si="34"/>
        <v>Positive</v>
      </c>
      <c r="V750" s="1" t="str">
        <f t="shared" si="35"/>
        <v>Accurate Prediction</v>
      </c>
    </row>
    <row r="751" spans="1:22" x14ac:dyDescent="0.25">
      <c r="A751" s="1">
        <v>6</v>
      </c>
      <c r="B751" s="1">
        <v>162</v>
      </c>
      <c r="C751" s="1">
        <v>62</v>
      </c>
      <c r="D751" s="1">
        <v>0</v>
      </c>
      <c r="E751" s="1">
        <v>0</v>
      </c>
      <c r="F751" s="1">
        <v>24.3</v>
      </c>
      <c r="G751" s="1">
        <v>0.17799999999999999</v>
      </c>
      <c r="H751" s="1">
        <v>50</v>
      </c>
      <c r="I751" s="1">
        <v>1</v>
      </c>
      <c r="J751" s="1" t="str">
        <f>IFERROR(VLOOKUP(K751,[1]diabetes_Recognition!$A:$B,2,FALSE),"Not Sampled")</f>
        <v>Not Sampled</v>
      </c>
      <c r="K751" s="1">
        <v>749</v>
      </c>
      <c r="L751" s="1" t="str">
        <f>LOOKUP(A751,Sheet2!$D$4:$E$9)</f>
        <v>5-7</v>
      </c>
      <c r="M751" t="str">
        <f>LOOKUP(B751,Sheet2!$G$4:$H$9)</f>
        <v>151-175</v>
      </c>
      <c r="N751" t="str">
        <f>LOOKUP(C751,Sheet2!$J$4:$K$8)</f>
        <v>60-69</v>
      </c>
      <c r="O751" t="str">
        <f>LOOKUP(D751,Sheet2!$M$4:$N$8)</f>
        <v>Unknown</v>
      </c>
      <c r="P751" t="str">
        <f>LOOKUP(E751,Sheet2!$P$4:$Q$9)</f>
        <v>Unknown</v>
      </c>
      <c r="Q751" t="str">
        <f>LOOKUP(F751,Sheet2!$S$4:$T$8)</f>
        <v>1-25</v>
      </c>
      <c r="R751" t="str">
        <f>LOOKUP(G751,Sheet2!$V$4:$W$7)</f>
        <v>0.0 - 0.249</v>
      </c>
      <c r="S751" t="str">
        <f>LOOKUP(H751,Sheet2!$Z$4:$AA$7)</f>
        <v>46+</v>
      </c>
      <c r="T751" t="str">
        <f t="shared" si="33"/>
        <v>Positive</v>
      </c>
      <c r="U751" t="str">
        <f t="shared" si="34"/>
        <v>Not Sampled</v>
      </c>
      <c r="V751" s="1" t="str">
        <f t="shared" si="35"/>
        <v>Not Sampled</v>
      </c>
    </row>
    <row r="752" spans="1:22" x14ac:dyDescent="0.25">
      <c r="A752" s="1">
        <v>4</v>
      </c>
      <c r="B752" s="1">
        <v>136</v>
      </c>
      <c r="C752" s="1">
        <v>70</v>
      </c>
      <c r="D752" s="1">
        <v>0</v>
      </c>
      <c r="E752" s="1">
        <v>0</v>
      </c>
      <c r="F752" s="1">
        <v>31.2</v>
      </c>
      <c r="G752" s="1">
        <v>1.1819999999999999</v>
      </c>
      <c r="H752" s="1">
        <v>22</v>
      </c>
      <c r="I752" s="1">
        <v>1</v>
      </c>
      <c r="J752" s="1" t="str">
        <f>IFERROR(VLOOKUP(K752,[1]diabetes_Recognition!$A:$B,2,FALSE),"Not Sampled")</f>
        <v>Not Sampled</v>
      </c>
      <c r="K752" s="1">
        <v>750</v>
      </c>
      <c r="L752" s="1" t="str">
        <f>LOOKUP(A752,Sheet2!$D$4:$E$9)</f>
        <v>3-4</v>
      </c>
      <c r="M752" t="str">
        <f>LOOKUP(B752,Sheet2!$G$4:$H$9)</f>
        <v>126-150</v>
      </c>
      <c r="N752" t="str">
        <f>LOOKUP(C752,Sheet2!$J$4:$K$8)</f>
        <v>70-79</v>
      </c>
      <c r="O752" t="str">
        <f>LOOKUP(D752,Sheet2!$M$4:$N$8)</f>
        <v>Unknown</v>
      </c>
      <c r="P752" t="str">
        <f>LOOKUP(E752,Sheet2!$P$4:$Q$9)</f>
        <v>Unknown</v>
      </c>
      <c r="Q752" t="str">
        <f>LOOKUP(F752,Sheet2!$S$4:$T$8)</f>
        <v>31-35</v>
      </c>
      <c r="R752" t="str">
        <f>LOOKUP(G752,Sheet2!$V$4:$W$7)</f>
        <v>0.7+</v>
      </c>
      <c r="S752" t="str">
        <f>LOOKUP(H752,Sheet2!$Z$4:$AA$7)</f>
        <v>&lt;=25</v>
      </c>
      <c r="T752" t="str">
        <f t="shared" si="33"/>
        <v>Positive</v>
      </c>
      <c r="U752" t="str">
        <f t="shared" si="34"/>
        <v>Not Sampled</v>
      </c>
      <c r="V752" s="1" t="str">
        <f t="shared" si="35"/>
        <v>Not Sampled</v>
      </c>
    </row>
    <row r="753" spans="1:22" x14ac:dyDescent="0.25">
      <c r="A753" s="1">
        <v>1</v>
      </c>
      <c r="B753" s="1">
        <v>121</v>
      </c>
      <c r="C753" s="1">
        <v>78</v>
      </c>
      <c r="D753" s="1">
        <v>39</v>
      </c>
      <c r="E753" s="1">
        <v>74</v>
      </c>
      <c r="F753" s="1">
        <v>39</v>
      </c>
      <c r="G753" s="1">
        <v>0.26100000000000001</v>
      </c>
      <c r="H753" s="1">
        <v>28</v>
      </c>
      <c r="I753" s="1">
        <v>0</v>
      </c>
      <c r="J753" s="1" t="str">
        <f>IFERROR(VLOOKUP(K753,[1]diabetes_Recognition!$A:$B,2,FALSE),"Not Sampled")</f>
        <v>Not Sampled</v>
      </c>
      <c r="K753" s="1">
        <v>751</v>
      </c>
      <c r="L753" s="1">
        <f>LOOKUP(A753,Sheet2!$D$4:$E$9)</f>
        <v>1</v>
      </c>
      <c r="M753" t="str">
        <f>LOOKUP(B753,Sheet2!$G$4:$H$9)</f>
        <v>100-125</v>
      </c>
      <c r="N753" t="str">
        <f>LOOKUP(C753,Sheet2!$J$4:$K$8)</f>
        <v>70-79</v>
      </c>
      <c r="O753" t="str">
        <f>LOOKUP(D753,Sheet2!$M$4:$N$8)</f>
        <v>30-39</v>
      </c>
      <c r="P753" t="str">
        <f>LOOKUP(E753,Sheet2!$P$4:$Q$9)</f>
        <v>1-99</v>
      </c>
      <c r="Q753" t="str">
        <f>LOOKUP(F753,Sheet2!$S$4:$T$8)</f>
        <v>36+</v>
      </c>
      <c r="R753" t="str">
        <f>LOOKUP(G753,Sheet2!$V$4:$W$7)</f>
        <v>0.25 - 0.39</v>
      </c>
      <c r="S753" t="str">
        <f>LOOKUP(H753,Sheet2!$Z$4:$AA$7)</f>
        <v>26-35</v>
      </c>
      <c r="T753" t="str">
        <f t="shared" si="33"/>
        <v>Negative</v>
      </c>
      <c r="U753" t="str">
        <f t="shared" si="34"/>
        <v>Not Sampled</v>
      </c>
      <c r="V753" s="1" t="str">
        <f t="shared" si="35"/>
        <v>Not Sampled</v>
      </c>
    </row>
    <row r="754" spans="1:22" x14ac:dyDescent="0.25">
      <c r="A754" s="1">
        <v>3</v>
      </c>
      <c r="B754" s="1">
        <v>108</v>
      </c>
      <c r="C754" s="1">
        <v>62</v>
      </c>
      <c r="D754" s="1">
        <v>24</v>
      </c>
      <c r="E754" s="1">
        <v>0</v>
      </c>
      <c r="F754" s="1">
        <v>26</v>
      </c>
      <c r="G754" s="1">
        <v>0.223</v>
      </c>
      <c r="H754" s="1">
        <v>25</v>
      </c>
      <c r="I754" s="1">
        <v>0</v>
      </c>
      <c r="J754" s="1" t="str">
        <f>IFERROR(VLOOKUP(K754,[1]diabetes_Recognition!$A:$B,2,FALSE),"Not Sampled")</f>
        <v>Not Sampled</v>
      </c>
      <c r="K754" s="1">
        <v>752</v>
      </c>
      <c r="L754" s="1" t="str">
        <f>LOOKUP(A754,Sheet2!$D$4:$E$9)</f>
        <v>3-4</v>
      </c>
      <c r="M754" t="str">
        <f>LOOKUP(B754,Sheet2!$G$4:$H$9)</f>
        <v>100-125</v>
      </c>
      <c r="N754" t="str">
        <f>LOOKUP(C754,Sheet2!$J$4:$K$8)</f>
        <v>60-69</v>
      </c>
      <c r="O754" t="str">
        <f>LOOKUP(D754,Sheet2!$M$4:$N$8)</f>
        <v>10-30</v>
      </c>
      <c r="P754" t="str">
        <f>LOOKUP(E754,Sheet2!$P$4:$Q$9)</f>
        <v>Unknown</v>
      </c>
      <c r="Q754" t="str">
        <f>LOOKUP(F754,Sheet2!$S$4:$T$8)</f>
        <v>26-30</v>
      </c>
      <c r="R754" t="str">
        <f>LOOKUP(G754,Sheet2!$V$4:$W$7)</f>
        <v>0.0 - 0.249</v>
      </c>
      <c r="S754" t="str">
        <f>LOOKUP(H754,Sheet2!$Z$4:$AA$7)</f>
        <v>&lt;=25</v>
      </c>
      <c r="T754" t="str">
        <f t="shared" si="33"/>
        <v>Negative</v>
      </c>
      <c r="U754" t="str">
        <f t="shared" si="34"/>
        <v>Not Sampled</v>
      </c>
      <c r="V754" s="1" t="str">
        <f t="shared" si="35"/>
        <v>Not Sampled</v>
      </c>
    </row>
    <row r="755" spans="1:22" x14ac:dyDescent="0.25">
      <c r="A755" s="1">
        <v>0</v>
      </c>
      <c r="B755" s="1">
        <v>181</v>
      </c>
      <c r="C755" s="1">
        <v>88</v>
      </c>
      <c r="D755" s="1">
        <v>44</v>
      </c>
      <c r="E755" s="1">
        <v>510</v>
      </c>
      <c r="F755" s="1">
        <v>43.3</v>
      </c>
      <c r="G755" s="1">
        <v>0.222</v>
      </c>
      <c r="H755" s="1">
        <v>26</v>
      </c>
      <c r="I755" s="1">
        <v>1</v>
      </c>
      <c r="J755" s="1" t="str">
        <f>IFERROR(VLOOKUP(K755,[1]diabetes_Recognition!$A:$B,2,FALSE),"Not Sampled")</f>
        <v>Not Sampled</v>
      </c>
      <c r="K755" s="1">
        <v>753</v>
      </c>
      <c r="L755" s="1">
        <f>LOOKUP(A755,Sheet2!$D$4:$E$9)</f>
        <v>0</v>
      </c>
      <c r="M755" t="str">
        <f>LOOKUP(B755,Sheet2!$G$4:$H$9)</f>
        <v>176-200</v>
      </c>
      <c r="N755" t="str">
        <f>LOOKUP(C755,Sheet2!$J$4:$K$8)</f>
        <v>80+</v>
      </c>
      <c r="O755" t="str">
        <f>LOOKUP(D755,Sheet2!$M$4:$N$8)</f>
        <v>40+</v>
      </c>
      <c r="P755" t="str">
        <f>LOOKUP(E755,Sheet2!$P$4:$Q$9)</f>
        <v>500+</v>
      </c>
      <c r="Q755" t="str">
        <f>LOOKUP(F755,Sheet2!$S$4:$T$8)</f>
        <v>36+</v>
      </c>
      <c r="R755" t="str">
        <f>LOOKUP(G755,Sheet2!$V$4:$W$7)</f>
        <v>0.0 - 0.249</v>
      </c>
      <c r="S755" t="str">
        <f>LOOKUP(H755,Sheet2!$Z$4:$AA$7)</f>
        <v>26-35</v>
      </c>
      <c r="T755" t="str">
        <f t="shared" si="33"/>
        <v>Positive</v>
      </c>
      <c r="U755" t="str">
        <f t="shared" si="34"/>
        <v>Not Sampled</v>
      </c>
      <c r="V755" s="1" t="str">
        <f t="shared" si="35"/>
        <v>Not Sampled</v>
      </c>
    </row>
    <row r="756" spans="1:22" x14ac:dyDescent="0.25">
      <c r="A756" s="1">
        <v>8</v>
      </c>
      <c r="B756" s="1">
        <v>154</v>
      </c>
      <c r="C756" s="1">
        <v>78</v>
      </c>
      <c r="D756" s="1">
        <v>32</v>
      </c>
      <c r="E756" s="1">
        <v>0</v>
      </c>
      <c r="F756" s="1">
        <v>32.4</v>
      </c>
      <c r="G756" s="1">
        <v>0.443</v>
      </c>
      <c r="H756" s="1">
        <v>45</v>
      </c>
      <c r="I756" s="1">
        <v>1</v>
      </c>
      <c r="J756" s="1" t="str">
        <f>IFERROR(VLOOKUP(K756,[1]diabetes_Recognition!$A:$B,2,FALSE),"Not Sampled")</f>
        <v>Not Sampled</v>
      </c>
      <c r="K756" s="1">
        <v>754</v>
      </c>
      <c r="L756" s="1" t="str">
        <f>LOOKUP(A756,Sheet2!$D$4:$E$9)</f>
        <v>8+</v>
      </c>
      <c r="M756" t="str">
        <f>LOOKUP(B756,Sheet2!$G$4:$H$9)</f>
        <v>151-175</v>
      </c>
      <c r="N756" t="str">
        <f>LOOKUP(C756,Sheet2!$J$4:$K$8)</f>
        <v>70-79</v>
      </c>
      <c r="O756" t="str">
        <f>LOOKUP(D756,Sheet2!$M$4:$N$8)</f>
        <v>30-39</v>
      </c>
      <c r="P756" t="str">
        <f>LOOKUP(E756,Sheet2!$P$4:$Q$9)</f>
        <v>Unknown</v>
      </c>
      <c r="Q756" t="str">
        <f>LOOKUP(F756,Sheet2!$S$4:$T$8)</f>
        <v>31-35</v>
      </c>
      <c r="R756" t="str">
        <f>LOOKUP(G756,Sheet2!$V$4:$W$7)</f>
        <v>0.4 - 0.69</v>
      </c>
      <c r="S756" t="str">
        <f>LOOKUP(H756,Sheet2!$Z$4:$AA$7)</f>
        <v>36-45</v>
      </c>
      <c r="T756" t="str">
        <f t="shared" si="33"/>
        <v>Positive</v>
      </c>
      <c r="U756" t="str">
        <f t="shared" si="34"/>
        <v>Not Sampled</v>
      </c>
      <c r="V756" s="1" t="str">
        <f t="shared" si="35"/>
        <v>Not Sampled</v>
      </c>
    </row>
    <row r="757" spans="1:22" x14ac:dyDescent="0.25">
      <c r="A757" s="1">
        <v>1</v>
      </c>
      <c r="B757" s="1">
        <v>128</v>
      </c>
      <c r="C757" s="1">
        <v>88</v>
      </c>
      <c r="D757" s="1">
        <v>39</v>
      </c>
      <c r="E757" s="1">
        <v>110</v>
      </c>
      <c r="F757" s="1">
        <v>36.5</v>
      </c>
      <c r="G757" s="1">
        <v>1.0569999999999999</v>
      </c>
      <c r="H757" s="1">
        <v>37</v>
      </c>
      <c r="I757" s="1">
        <v>1</v>
      </c>
      <c r="J757" s="1" t="str">
        <f>IFERROR(VLOOKUP(K757,[1]diabetes_Recognition!$A:$B,2,FALSE),"Not Sampled")</f>
        <v>Not Sampled</v>
      </c>
      <c r="K757" s="1">
        <v>755</v>
      </c>
      <c r="L757" s="1">
        <f>LOOKUP(A757,Sheet2!$D$4:$E$9)</f>
        <v>1</v>
      </c>
      <c r="M757" t="str">
        <f>LOOKUP(B757,Sheet2!$G$4:$H$9)</f>
        <v>126-150</v>
      </c>
      <c r="N757" t="str">
        <f>LOOKUP(C757,Sheet2!$J$4:$K$8)</f>
        <v>80+</v>
      </c>
      <c r="O757" t="str">
        <f>LOOKUP(D757,Sheet2!$M$4:$N$8)</f>
        <v>30-39</v>
      </c>
      <c r="P757" t="str">
        <f>LOOKUP(E757,Sheet2!$P$4:$Q$9)</f>
        <v>100-199</v>
      </c>
      <c r="Q757" t="str">
        <f>LOOKUP(F757,Sheet2!$S$4:$T$8)</f>
        <v>36+</v>
      </c>
      <c r="R757" t="str">
        <f>LOOKUP(G757,Sheet2!$V$4:$W$7)</f>
        <v>0.7+</v>
      </c>
      <c r="S757" t="str">
        <f>LOOKUP(H757,Sheet2!$Z$4:$AA$7)</f>
        <v>36-45</v>
      </c>
      <c r="T757" t="str">
        <f t="shared" si="33"/>
        <v>Positive</v>
      </c>
      <c r="U757" t="str">
        <f t="shared" si="34"/>
        <v>Not Sampled</v>
      </c>
      <c r="V757" s="1" t="str">
        <f t="shared" si="35"/>
        <v>Not Sampled</v>
      </c>
    </row>
    <row r="758" spans="1:22" x14ac:dyDescent="0.25">
      <c r="A758" s="1">
        <v>7</v>
      </c>
      <c r="B758" s="1">
        <v>137</v>
      </c>
      <c r="C758" s="1">
        <v>90</v>
      </c>
      <c r="D758" s="1">
        <v>41</v>
      </c>
      <c r="E758" s="1">
        <v>0</v>
      </c>
      <c r="F758" s="1">
        <v>32</v>
      </c>
      <c r="G758" s="1">
        <v>0.39100000000000001</v>
      </c>
      <c r="H758" s="1">
        <v>39</v>
      </c>
      <c r="I758" s="1">
        <v>0</v>
      </c>
      <c r="J758" s="1" t="str">
        <f>IFERROR(VLOOKUP(K758,[1]diabetes_Recognition!$A:$B,2,FALSE),"Not Sampled")</f>
        <v>Not Sampled</v>
      </c>
      <c r="K758" s="1">
        <v>756</v>
      </c>
      <c r="L758" s="1" t="str">
        <f>LOOKUP(A758,Sheet2!$D$4:$E$9)</f>
        <v>5-7</v>
      </c>
      <c r="M758" t="str">
        <f>LOOKUP(B758,Sheet2!$G$4:$H$9)</f>
        <v>126-150</v>
      </c>
      <c r="N758" t="str">
        <f>LOOKUP(C758,Sheet2!$J$4:$K$8)</f>
        <v>80+</v>
      </c>
      <c r="O758" t="str">
        <f>LOOKUP(D758,Sheet2!$M$4:$N$8)</f>
        <v>40+</v>
      </c>
      <c r="P758" t="str">
        <f>LOOKUP(E758,Sheet2!$P$4:$Q$9)</f>
        <v>Unknown</v>
      </c>
      <c r="Q758" t="str">
        <f>LOOKUP(F758,Sheet2!$S$4:$T$8)</f>
        <v>31-35</v>
      </c>
      <c r="R758" t="str">
        <f>LOOKUP(G758,Sheet2!$V$4:$W$7)</f>
        <v>0.25 - 0.39</v>
      </c>
      <c r="S758" t="str">
        <f>LOOKUP(H758,Sheet2!$Z$4:$AA$7)</f>
        <v>36-45</v>
      </c>
      <c r="T758" t="str">
        <f t="shared" si="33"/>
        <v>Negative</v>
      </c>
      <c r="U758" t="str">
        <f t="shared" si="34"/>
        <v>Not Sampled</v>
      </c>
      <c r="V758" s="1" t="str">
        <f t="shared" si="35"/>
        <v>Not Sampled</v>
      </c>
    </row>
    <row r="759" spans="1:22" x14ac:dyDescent="0.25">
      <c r="A759" s="1">
        <v>0</v>
      </c>
      <c r="B759" s="1">
        <v>123</v>
      </c>
      <c r="C759" s="1">
        <v>72</v>
      </c>
      <c r="D759" s="1">
        <v>0</v>
      </c>
      <c r="E759" s="1">
        <v>0</v>
      </c>
      <c r="F759" s="1">
        <v>36.299999999999997</v>
      </c>
      <c r="G759" s="1">
        <v>0.25800000000000001</v>
      </c>
      <c r="H759" s="1">
        <v>52</v>
      </c>
      <c r="I759" s="1">
        <v>1</v>
      </c>
      <c r="J759" s="1">
        <f>IFERROR(VLOOKUP(K759,[1]diabetes_Recognition!$A:$B,2,FALSE),"Not Sampled")</f>
        <v>0</v>
      </c>
      <c r="K759" s="1">
        <v>757</v>
      </c>
      <c r="L759" s="1">
        <f>LOOKUP(A759,Sheet2!$D$4:$E$9)</f>
        <v>0</v>
      </c>
      <c r="M759" t="str">
        <f>LOOKUP(B759,Sheet2!$G$4:$H$9)</f>
        <v>100-125</v>
      </c>
      <c r="N759" t="str">
        <f>LOOKUP(C759,Sheet2!$J$4:$K$8)</f>
        <v>70-79</v>
      </c>
      <c r="O759" t="str">
        <f>LOOKUP(D759,Sheet2!$M$4:$N$8)</f>
        <v>Unknown</v>
      </c>
      <c r="P759" t="str">
        <f>LOOKUP(E759,Sheet2!$P$4:$Q$9)</f>
        <v>Unknown</v>
      </c>
      <c r="Q759" t="str">
        <f>LOOKUP(F759,Sheet2!$S$4:$T$8)</f>
        <v>36+</v>
      </c>
      <c r="R759" t="str">
        <f>LOOKUP(G759,Sheet2!$V$4:$W$7)</f>
        <v>0.25 - 0.39</v>
      </c>
      <c r="S759" t="str">
        <f>LOOKUP(H759,Sheet2!$Z$4:$AA$7)</f>
        <v>46+</v>
      </c>
      <c r="T759" t="str">
        <f t="shared" si="33"/>
        <v>Positive</v>
      </c>
      <c r="U759" t="str">
        <f t="shared" si="34"/>
        <v>Negative</v>
      </c>
      <c r="V759" s="1" t="str">
        <f t="shared" si="35"/>
        <v>Inaccurate Prediction</v>
      </c>
    </row>
    <row r="760" spans="1:22" x14ac:dyDescent="0.25">
      <c r="A760" s="1">
        <v>1</v>
      </c>
      <c r="B760" s="1">
        <v>106</v>
      </c>
      <c r="C760" s="1">
        <v>76</v>
      </c>
      <c r="D760" s="1">
        <v>0</v>
      </c>
      <c r="E760" s="1">
        <v>0</v>
      </c>
      <c r="F760" s="1">
        <v>37.5</v>
      </c>
      <c r="G760" s="1">
        <v>0.19700000000000001</v>
      </c>
      <c r="H760" s="1">
        <v>26</v>
      </c>
      <c r="I760" s="1">
        <v>0</v>
      </c>
      <c r="J760" s="1" t="str">
        <f>IFERROR(VLOOKUP(K760,[1]diabetes_Recognition!$A:$B,2,FALSE),"Not Sampled")</f>
        <v>Not Sampled</v>
      </c>
      <c r="K760" s="1">
        <v>758</v>
      </c>
      <c r="L760" s="1">
        <f>LOOKUP(A760,Sheet2!$D$4:$E$9)</f>
        <v>1</v>
      </c>
      <c r="M760" t="str">
        <f>LOOKUP(B760,Sheet2!$G$4:$H$9)</f>
        <v>100-125</v>
      </c>
      <c r="N760" t="str">
        <f>LOOKUP(C760,Sheet2!$J$4:$K$8)</f>
        <v>70-79</v>
      </c>
      <c r="O760" t="str">
        <f>LOOKUP(D760,Sheet2!$M$4:$N$8)</f>
        <v>Unknown</v>
      </c>
      <c r="P760" t="str">
        <f>LOOKUP(E760,Sheet2!$P$4:$Q$9)</f>
        <v>Unknown</v>
      </c>
      <c r="Q760" t="str">
        <f>LOOKUP(F760,Sheet2!$S$4:$T$8)</f>
        <v>36+</v>
      </c>
      <c r="R760" t="str">
        <f>LOOKUP(G760,Sheet2!$V$4:$W$7)</f>
        <v>0.0 - 0.249</v>
      </c>
      <c r="S760" t="str">
        <f>LOOKUP(H760,Sheet2!$Z$4:$AA$7)</f>
        <v>26-35</v>
      </c>
      <c r="T760" t="str">
        <f t="shared" si="33"/>
        <v>Negative</v>
      </c>
      <c r="U760" t="str">
        <f t="shared" si="34"/>
        <v>Not Sampled</v>
      </c>
      <c r="V760" s="1" t="str">
        <f t="shared" si="35"/>
        <v>Not Sampled</v>
      </c>
    </row>
    <row r="761" spans="1:22" x14ac:dyDescent="0.25">
      <c r="A761" s="1">
        <v>6</v>
      </c>
      <c r="B761" s="1">
        <v>190</v>
      </c>
      <c r="C761" s="1">
        <v>92</v>
      </c>
      <c r="D761" s="1">
        <v>0</v>
      </c>
      <c r="E761" s="1">
        <v>0</v>
      </c>
      <c r="F761" s="1">
        <v>35.5</v>
      </c>
      <c r="G761" s="1">
        <v>0.27800000000000002</v>
      </c>
      <c r="H761" s="1">
        <v>66</v>
      </c>
      <c r="I761" s="1">
        <v>1</v>
      </c>
      <c r="J761" s="1" t="str">
        <f>IFERROR(VLOOKUP(K761,[1]diabetes_Recognition!$A:$B,2,FALSE),"Not Sampled")</f>
        <v>Not Sampled</v>
      </c>
      <c r="K761" s="1">
        <v>759</v>
      </c>
      <c r="L761" s="1" t="str">
        <f>LOOKUP(A761,Sheet2!$D$4:$E$9)</f>
        <v>5-7</v>
      </c>
      <c r="M761" t="str">
        <f>LOOKUP(B761,Sheet2!$G$4:$H$9)</f>
        <v>176-200</v>
      </c>
      <c r="N761" t="str">
        <f>LOOKUP(C761,Sheet2!$J$4:$K$8)</f>
        <v>80+</v>
      </c>
      <c r="O761" t="str">
        <f>LOOKUP(D761,Sheet2!$M$4:$N$8)</f>
        <v>Unknown</v>
      </c>
      <c r="P761" t="str">
        <f>LOOKUP(E761,Sheet2!$P$4:$Q$9)</f>
        <v>Unknown</v>
      </c>
      <c r="Q761" t="str">
        <f>LOOKUP(F761,Sheet2!$S$4:$T$8)</f>
        <v>31-35</v>
      </c>
      <c r="R761" t="str">
        <f>LOOKUP(G761,Sheet2!$V$4:$W$7)</f>
        <v>0.25 - 0.39</v>
      </c>
      <c r="S761" t="str">
        <f>LOOKUP(H761,Sheet2!$Z$4:$AA$7)</f>
        <v>46+</v>
      </c>
      <c r="T761" t="str">
        <f t="shared" si="33"/>
        <v>Positive</v>
      </c>
      <c r="U761" t="str">
        <f t="shared" si="34"/>
        <v>Not Sampled</v>
      </c>
      <c r="V761" s="1" t="str">
        <f t="shared" si="35"/>
        <v>Not Sampled</v>
      </c>
    </row>
    <row r="762" spans="1:22" x14ac:dyDescent="0.25">
      <c r="A762" s="1">
        <v>2</v>
      </c>
      <c r="B762" s="1">
        <v>88</v>
      </c>
      <c r="C762" s="1">
        <v>58</v>
      </c>
      <c r="D762" s="1">
        <v>26</v>
      </c>
      <c r="E762" s="1">
        <v>16</v>
      </c>
      <c r="F762" s="1">
        <v>28.4</v>
      </c>
      <c r="G762" s="1">
        <v>0.76600000000000001</v>
      </c>
      <c r="H762" s="1">
        <v>22</v>
      </c>
      <c r="I762" s="1">
        <v>0</v>
      </c>
      <c r="J762" s="1" t="str">
        <f>IFERROR(VLOOKUP(K762,[1]diabetes_Recognition!$A:$B,2,FALSE),"Not Sampled")</f>
        <v>Not Sampled</v>
      </c>
      <c r="K762" s="1">
        <v>760</v>
      </c>
      <c r="L762" s="1">
        <f>LOOKUP(A762,Sheet2!$D$4:$E$9)</f>
        <v>2</v>
      </c>
      <c r="M762" t="str">
        <f>LOOKUP(B762,Sheet2!$G$4:$H$9)</f>
        <v>1-99</v>
      </c>
      <c r="N762" t="str">
        <f>LOOKUP(C762,Sheet2!$J$4:$K$8)</f>
        <v>1-59</v>
      </c>
      <c r="O762" t="str">
        <f>LOOKUP(D762,Sheet2!$M$4:$N$8)</f>
        <v>10-30</v>
      </c>
      <c r="P762" t="str">
        <f>LOOKUP(E762,Sheet2!$P$4:$Q$9)</f>
        <v>1-99</v>
      </c>
      <c r="Q762" t="str">
        <f>LOOKUP(F762,Sheet2!$S$4:$T$8)</f>
        <v>26-30</v>
      </c>
      <c r="R762" t="str">
        <f>LOOKUP(G762,Sheet2!$V$4:$W$7)</f>
        <v>0.7+</v>
      </c>
      <c r="S762" t="str">
        <f>LOOKUP(H762,Sheet2!$Z$4:$AA$7)</f>
        <v>&lt;=25</v>
      </c>
      <c r="T762" t="str">
        <f t="shared" si="33"/>
        <v>Negative</v>
      </c>
      <c r="U762" t="str">
        <f t="shared" si="34"/>
        <v>Not Sampled</v>
      </c>
      <c r="V762" s="1" t="str">
        <f t="shared" si="35"/>
        <v>Not Sampled</v>
      </c>
    </row>
    <row r="763" spans="1:22" x14ac:dyDescent="0.25">
      <c r="A763" s="1">
        <v>9</v>
      </c>
      <c r="B763" s="1">
        <v>170</v>
      </c>
      <c r="C763" s="1">
        <v>74</v>
      </c>
      <c r="D763" s="1">
        <v>31</v>
      </c>
      <c r="E763" s="1">
        <v>0</v>
      </c>
      <c r="F763" s="1">
        <v>44</v>
      </c>
      <c r="G763" s="1">
        <v>0.40300000000000002</v>
      </c>
      <c r="H763" s="1">
        <v>43</v>
      </c>
      <c r="I763" s="1">
        <v>1</v>
      </c>
      <c r="J763" s="1">
        <f>IFERROR(VLOOKUP(K763,[1]diabetes_Recognition!$A:$B,2,FALSE),"Not Sampled")</f>
        <v>1</v>
      </c>
      <c r="K763" s="1">
        <v>761</v>
      </c>
      <c r="L763" s="1" t="str">
        <f>LOOKUP(A763,Sheet2!$D$4:$E$9)</f>
        <v>8+</v>
      </c>
      <c r="M763" t="str">
        <f>LOOKUP(B763,Sheet2!$G$4:$H$9)</f>
        <v>151-175</v>
      </c>
      <c r="N763" t="str">
        <f>LOOKUP(C763,Sheet2!$J$4:$K$8)</f>
        <v>70-79</v>
      </c>
      <c r="O763" t="str">
        <f>LOOKUP(D763,Sheet2!$M$4:$N$8)</f>
        <v>30-39</v>
      </c>
      <c r="P763" t="str">
        <f>LOOKUP(E763,Sheet2!$P$4:$Q$9)</f>
        <v>Unknown</v>
      </c>
      <c r="Q763" t="str">
        <f>LOOKUP(F763,Sheet2!$S$4:$T$8)</f>
        <v>36+</v>
      </c>
      <c r="R763" t="str">
        <f>LOOKUP(G763,Sheet2!$V$4:$W$7)</f>
        <v>0.4 - 0.69</v>
      </c>
      <c r="S763" t="str">
        <f>LOOKUP(H763,Sheet2!$Z$4:$AA$7)</f>
        <v>36-45</v>
      </c>
      <c r="T763" t="str">
        <f t="shared" si="33"/>
        <v>Positive</v>
      </c>
      <c r="U763" t="str">
        <f t="shared" si="34"/>
        <v>Positive</v>
      </c>
      <c r="V763" s="1" t="str">
        <f t="shared" si="35"/>
        <v>Accurate Prediction</v>
      </c>
    </row>
    <row r="764" spans="1:22" x14ac:dyDescent="0.25">
      <c r="A764" s="1">
        <v>9</v>
      </c>
      <c r="B764" s="1">
        <v>89</v>
      </c>
      <c r="C764" s="1">
        <v>62</v>
      </c>
      <c r="D764" s="1">
        <v>0</v>
      </c>
      <c r="E764" s="1">
        <v>0</v>
      </c>
      <c r="F764" s="1">
        <v>22.5</v>
      </c>
      <c r="G764" s="1">
        <v>0.14199999999999999</v>
      </c>
      <c r="H764" s="1">
        <v>33</v>
      </c>
      <c r="I764" s="1">
        <v>0</v>
      </c>
      <c r="J764" s="1" t="str">
        <f>IFERROR(VLOOKUP(K764,[1]diabetes_Recognition!$A:$B,2,FALSE),"Not Sampled")</f>
        <v>Not Sampled</v>
      </c>
      <c r="K764" s="1">
        <v>762</v>
      </c>
      <c r="L764" s="1" t="str">
        <f>LOOKUP(A764,Sheet2!$D$4:$E$9)</f>
        <v>8+</v>
      </c>
      <c r="M764" t="str">
        <f>LOOKUP(B764,Sheet2!$G$4:$H$9)</f>
        <v>1-99</v>
      </c>
      <c r="N764" t="str">
        <f>LOOKUP(C764,Sheet2!$J$4:$K$8)</f>
        <v>60-69</v>
      </c>
      <c r="O764" t="str">
        <f>LOOKUP(D764,Sheet2!$M$4:$N$8)</f>
        <v>Unknown</v>
      </c>
      <c r="P764" t="str">
        <f>LOOKUP(E764,Sheet2!$P$4:$Q$9)</f>
        <v>Unknown</v>
      </c>
      <c r="Q764" t="str">
        <f>LOOKUP(F764,Sheet2!$S$4:$T$8)</f>
        <v>1-25</v>
      </c>
      <c r="R764" t="str">
        <f>LOOKUP(G764,Sheet2!$V$4:$W$7)</f>
        <v>0.0 - 0.249</v>
      </c>
      <c r="S764" t="str">
        <f>LOOKUP(H764,Sheet2!$Z$4:$AA$7)</f>
        <v>26-35</v>
      </c>
      <c r="T764" t="str">
        <f t="shared" si="33"/>
        <v>Negative</v>
      </c>
      <c r="U764" t="str">
        <f t="shared" si="34"/>
        <v>Not Sampled</v>
      </c>
      <c r="V764" s="1" t="str">
        <f t="shared" si="35"/>
        <v>Not Sampled</v>
      </c>
    </row>
    <row r="765" spans="1:22" x14ac:dyDescent="0.25">
      <c r="A765" s="1">
        <v>10</v>
      </c>
      <c r="B765" s="1">
        <v>101</v>
      </c>
      <c r="C765" s="1">
        <v>76</v>
      </c>
      <c r="D765" s="1">
        <v>48</v>
      </c>
      <c r="E765" s="1">
        <v>180</v>
      </c>
      <c r="F765" s="1">
        <v>32.9</v>
      </c>
      <c r="G765" s="1">
        <v>0.17100000000000001</v>
      </c>
      <c r="H765" s="1">
        <v>63</v>
      </c>
      <c r="I765" s="1">
        <v>0</v>
      </c>
      <c r="J765" s="1">
        <f>IFERROR(VLOOKUP(K765,[1]diabetes_Recognition!$A:$B,2,FALSE),"Not Sampled")</f>
        <v>0</v>
      </c>
      <c r="K765" s="1">
        <v>763</v>
      </c>
      <c r="L765" s="1" t="str">
        <f>LOOKUP(A765,Sheet2!$D$4:$E$9)</f>
        <v>8+</v>
      </c>
      <c r="M765" t="str">
        <f>LOOKUP(B765,Sheet2!$G$4:$H$9)</f>
        <v>100-125</v>
      </c>
      <c r="N765" t="str">
        <f>LOOKUP(C765,Sheet2!$J$4:$K$8)</f>
        <v>70-79</v>
      </c>
      <c r="O765" t="str">
        <f>LOOKUP(D765,Sheet2!$M$4:$N$8)</f>
        <v>40+</v>
      </c>
      <c r="P765" t="str">
        <f>LOOKUP(E765,Sheet2!$P$4:$Q$9)</f>
        <v>100-199</v>
      </c>
      <c r="Q765" t="str">
        <f>LOOKUP(F765,Sheet2!$S$4:$T$8)</f>
        <v>31-35</v>
      </c>
      <c r="R765" t="str">
        <f>LOOKUP(G765,Sheet2!$V$4:$W$7)</f>
        <v>0.0 - 0.249</v>
      </c>
      <c r="S765" t="str">
        <f>LOOKUP(H765,Sheet2!$Z$4:$AA$7)</f>
        <v>46+</v>
      </c>
      <c r="T765" t="str">
        <f t="shared" si="33"/>
        <v>Negative</v>
      </c>
      <c r="U765" t="str">
        <f t="shared" si="34"/>
        <v>Negative</v>
      </c>
      <c r="V765" s="1" t="str">
        <f t="shared" si="35"/>
        <v>Accurate Prediction</v>
      </c>
    </row>
    <row r="766" spans="1:22" x14ac:dyDescent="0.25">
      <c r="A766" s="1">
        <v>2</v>
      </c>
      <c r="B766" s="1">
        <v>122</v>
      </c>
      <c r="C766" s="1">
        <v>70</v>
      </c>
      <c r="D766" s="1">
        <v>27</v>
      </c>
      <c r="E766" s="1">
        <v>0</v>
      </c>
      <c r="F766" s="1">
        <v>36.799999999999997</v>
      </c>
      <c r="G766" s="1">
        <v>0.34</v>
      </c>
      <c r="H766" s="1">
        <v>27</v>
      </c>
      <c r="I766" s="1">
        <v>0</v>
      </c>
      <c r="J766" s="1">
        <f>IFERROR(VLOOKUP(K766,[1]diabetes_Recognition!$A:$B,2,FALSE),"Not Sampled")</f>
        <v>0</v>
      </c>
      <c r="K766" s="1">
        <v>764</v>
      </c>
      <c r="L766" s="1">
        <f>LOOKUP(A766,Sheet2!$D$4:$E$9)</f>
        <v>2</v>
      </c>
      <c r="M766" t="str">
        <f>LOOKUP(B766,Sheet2!$G$4:$H$9)</f>
        <v>100-125</v>
      </c>
      <c r="N766" t="str">
        <f>LOOKUP(C766,Sheet2!$J$4:$K$8)</f>
        <v>70-79</v>
      </c>
      <c r="O766" t="str">
        <f>LOOKUP(D766,Sheet2!$M$4:$N$8)</f>
        <v>10-30</v>
      </c>
      <c r="P766" t="str">
        <f>LOOKUP(E766,Sheet2!$P$4:$Q$9)</f>
        <v>Unknown</v>
      </c>
      <c r="Q766" t="str">
        <f>LOOKUP(F766,Sheet2!$S$4:$T$8)</f>
        <v>36+</v>
      </c>
      <c r="R766" t="str">
        <f>LOOKUP(G766,Sheet2!$V$4:$W$7)</f>
        <v>0.25 - 0.39</v>
      </c>
      <c r="S766" t="str">
        <f>LOOKUP(H766,Sheet2!$Z$4:$AA$7)</f>
        <v>26-35</v>
      </c>
      <c r="T766" t="str">
        <f t="shared" si="33"/>
        <v>Negative</v>
      </c>
      <c r="U766" t="str">
        <f t="shared" si="34"/>
        <v>Negative</v>
      </c>
      <c r="V766" s="1" t="str">
        <f t="shared" si="35"/>
        <v>Accurate Prediction</v>
      </c>
    </row>
    <row r="767" spans="1:22" x14ac:dyDescent="0.25">
      <c r="A767" s="1">
        <v>5</v>
      </c>
      <c r="B767" s="1">
        <v>121</v>
      </c>
      <c r="C767" s="1">
        <v>72</v>
      </c>
      <c r="D767" s="1">
        <v>23</v>
      </c>
      <c r="E767" s="1">
        <v>112</v>
      </c>
      <c r="F767" s="1">
        <v>26.2</v>
      </c>
      <c r="G767" s="1">
        <v>0.245</v>
      </c>
      <c r="H767" s="1">
        <v>30</v>
      </c>
      <c r="I767" s="1">
        <v>0</v>
      </c>
      <c r="J767" s="1" t="str">
        <f>IFERROR(VLOOKUP(K767,[1]diabetes_Recognition!$A:$B,2,FALSE),"Not Sampled")</f>
        <v>Not Sampled</v>
      </c>
      <c r="K767" s="1">
        <v>765</v>
      </c>
      <c r="L767" s="1" t="str">
        <f>LOOKUP(A767,Sheet2!$D$4:$E$9)</f>
        <v>5-7</v>
      </c>
      <c r="M767" t="str">
        <f>LOOKUP(B767,Sheet2!$G$4:$H$9)</f>
        <v>100-125</v>
      </c>
      <c r="N767" t="str">
        <f>LOOKUP(C767,Sheet2!$J$4:$K$8)</f>
        <v>70-79</v>
      </c>
      <c r="O767" t="str">
        <f>LOOKUP(D767,Sheet2!$M$4:$N$8)</f>
        <v>10-30</v>
      </c>
      <c r="P767" t="str">
        <f>LOOKUP(E767,Sheet2!$P$4:$Q$9)</f>
        <v>100-199</v>
      </c>
      <c r="Q767" t="str">
        <f>LOOKUP(F767,Sheet2!$S$4:$T$8)</f>
        <v>26-30</v>
      </c>
      <c r="R767" t="str">
        <f>LOOKUP(G767,Sheet2!$V$4:$W$7)</f>
        <v>0.0 - 0.249</v>
      </c>
      <c r="S767" t="str">
        <f>LOOKUP(H767,Sheet2!$Z$4:$AA$7)</f>
        <v>26-35</v>
      </c>
      <c r="T767" t="str">
        <f t="shared" si="33"/>
        <v>Negative</v>
      </c>
      <c r="U767" t="str">
        <f t="shared" si="34"/>
        <v>Not Sampled</v>
      </c>
      <c r="V767" s="1" t="str">
        <f t="shared" si="35"/>
        <v>Not Sampled</v>
      </c>
    </row>
    <row r="768" spans="1:22" x14ac:dyDescent="0.25">
      <c r="A768" s="1">
        <v>1</v>
      </c>
      <c r="B768" s="1">
        <v>126</v>
      </c>
      <c r="C768" s="1">
        <v>60</v>
      </c>
      <c r="D768" s="1">
        <v>0</v>
      </c>
      <c r="E768" s="1">
        <v>0</v>
      </c>
      <c r="F768" s="1">
        <v>30.1</v>
      </c>
      <c r="G768" s="1">
        <v>0.34899999999999998</v>
      </c>
      <c r="H768" s="1">
        <v>47</v>
      </c>
      <c r="I768" s="1">
        <v>1</v>
      </c>
      <c r="J768" s="1" t="str">
        <f>IFERROR(VLOOKUP(K768,[1]diabetes_Recognition!$A:$B,2,FALSE),"Not Sampled")</f>
        <v>Not Sampled</v>
      </c>
      <c r="K768" s="1">
        <v>766</v>
      </c>
      <c r="L768" s="1">
        <f>LOOKUP(A768,Sheet2!$D$4:$E$9)</f>
        <v>1</v>
      </c>
      <c r="M768" t="str">
        <f>LOOKUP(B768,Sheet2!$G$4:$H$9)</f>
        <v>126-150</v>
      </c>
      <c r="N768" t="str">
        <f>LOOKUP(C768,Sheet2!$J$4:$K$8)</f>
        <v>60-69</v>
      </c>
      <c r="O768" t="str">
        <f>LOOKUP(D768,Sheet2!$M$4:$N$8)</f>
        <v>Unknown</v>
      </c>
      <c r="P768" t="str">
        <f>LOOKUP(E768,Sheet2!$P$4:$Q$9)</f>
        <v>Unknown</v>
      </c>
      <c r="Q768" t="str">
        <f>LOOKUP(F768,Sheet2!$S$4:$T$8)</f>
        <v>26-30</v>
      </c>
      <c r="R768" t="str">
        <f>LOOKUP(G768,Sheet2!$V$4:$W$7)</f>
        <v>0.25 - 0.39</v>
      </c>
      <c r="S768" t="str">
        <f>LOOKUP(H768,Sheet2!$Z$4:$AA$7)</f>
        <v>46+</v>
      </c>
      <c r="T768" t="str">
        <f t="shared" si="33"/>
        <v>Positive</v>
      </c>
      <c r="U768" t="str">
        <f t="shared" si="34"/>
        <v>Not Sampled</v>
      </c>
      <c r="V768" s="1" t="str">
        <f t="shared" si="35"/>
        <v>Not Sampled</v>
      </c>
    </row>
    <row r="769" spans="1:22" x14ac:dyDescent="0.25">
      <c r="A769" s="1">
        <v>1</v>
      </c>
      <c r="B769" s="1">
        <v>93</v>
      </c>
      <c r="C769" s="1">
        <v>70</v>
      </c>
      <c r="D769" s="1">
        <v>31</v>
      </c>
      <c r="E769" s="1">
        <v>0</v>
      </c>
      <c r="F769" s="1">
        <v>30.4</v>
      </c>
      <c r="G769" s="1">
        <v>0.315</v>
      </c>
      <c r="H769" s="1">
        <v>23</v>
      </c>
      <c r="I769" s="1">
        <v>0</v>
      </c>
      <c r="J769" s="1">
        <f>IFERROR(VLOOKUP(K769,[1]diabetes_Recognition!$A:$B,2,FALSE),"Not Sampled")</f>
        <v>0</v>
      </c>
      <c r="K769" s="1">
        <v>767</v>
      </c>
      <c r="L769" s="1">
        <f>LOOKUP(A769,Sheet2!$D$4:$E$9)</f>
        <v>1</v>
      </c>
      <c r="M769" t="str">
        <f>LOOKUP(B769,Sheet2!$G$4:$H$9)</f>
        <v>1-99</v>
      </c>
      <c r="N769" t="str">
        <f>LOOKUP(C769,Sheet2!$J$4:$K$8)</f>
        <v>70-79</v>
      </c>
      <c r="O769" t="str">
        <f>LOOKUP(D769,Sheet2!$M$4:$N$8)</f>
        <v>30-39</v>
      </c>
      <c r="P769" t="str">
        <f>LOOKUP(E769,Sheet2!$P$4:$Q$9)</f>
        <v>Unknown</v>
      </c>
      <c r="Q769" t="str">
        <f>LOOKUP(F769,Sheet2!$S$4:$T$8)</f>
        <v>26-30</v>
      </c>
      <c r="R769" t="str">
        <f>LOOKUP(G769,Sheet2!$V$4:$W$7)</f>
        <v>0.25 - 0.39</v>
      </c>
      <c r="S769" t="str">
        <f>LOOKUP(H769,Sheet2!$Z$4:$AA$7)</f>
        <v>&lt;=25</v>
      </c>
      <c r="T769" t="str">
        <f t="shared" si="33"/>
        <v>Negative</v>
      </c>
      <c r="U769" t="str">
        <f t="shared" si="34"/>
        <v>Negative</v>
      </c>
      <c r="V769" s="1" t="str">
        <f t="shared" si="35"/>
        <v>Accurate Prediction</v>
      </c>
    </row>
    <row r="770" spans="1:22" x14ac:dyDescent="0.25">
      <c r="A770" s="1">
        <v>14</v>
      </c>
      <c r="B770" s="1">
        <v>100</v>
      </c>
      <c r="C770" s="1">
        <v>78</v>
      </c>
      <c r="D770" s="1">
        <v>25</v>
      </c>
      <c r="E770" s="1">
        <v>184</v>
      </c>
      <c r="F770" s="1">
        <v>36.6</v>
      </c>
      <c r="G770" s="1">
        <v>0.41199999999999998</v>
      </c>
      <c r="H770" s="1">
        <v>46</v>
      </c>
      <c r="I770" s="1">
        <v>1</v>
      </c>
      <c r="J770" s="1" t="str">
        <f>IFERROR(VLOOKUP(K770,[1]diabetes_Recognition!$A:$B,2,FALSE),"Not Sampled")</f>
        <v>Not Sampled</v>
      </c>
      <c r="K770" s="1">
        <v>768</v>
      </c>
      <c r="L770" s="1" t="str">
        <f>LOOKUP(A770,Sheet2!$D$4:$E$9)</f>
        <v>8+</v>
      </c>
      <c r="M770" t="str">
        <f>LOOKUP(B770,Sheet2!$G$4:$H$9)</f>
        <v>100-125</v>
      </c>
      <c r="N770" t="str">
        <f>LOOKUP(C770,Sheet2!$J$4:$K$8)</f>
        <v>70-79</v>
      </c>
      <c r="O770" t="str">
        <f>LOOKUP(D770,Sheet2!$M$4:$N$8)</f>
        <v>10-30</v>
      </c>
      <c r="P770" t="str">
        <f>LOOKUP(E770,Sheet2!$P$4:$Q$9)</f>
        <v>100-199</v>
      </c>
      <c r="Q770" t="str">
        <f>LOOKUP(F770,Sheet2!$S$4:$T$8)</f>
        <v>36+</v>
      </c>
      <c r="R770" t="str">
        <f>LOOKUP(G770,Sheet2!$V$4:$W$7)</f>
        <v>0.4 - 0.69</v>
      </c>
      <c r="S770" t="str">
        <f>LOOKUP(H770,Sheet2!$Z$4:$AA$7)</f>
        <v>46+</v>
      </c>
      <c r="T770" t="str">
        <f t="shared" si="33"/>
        <v>Positive</v>
      </c>
      <c r="U770" t="str">
        <f t="shared" si="34"/>
        <v>Not Sampled</v>
      </c>
      <c r="V770" s="1" t="str">
        <f t="shared" si="35"/>
        <v>Not Sampled</v>
      </c>
    </row>
    <row r="771" spans="1:22" x14ac:dyDescent="0.25">
      <c r="A771" s="1">
        <v>8</v>
      </c>
      <c r="B771" s="1">
        <v>112</v>
      </c>
      <c r="C771" s="1">
        <v>72</v>
      </c>
      <c r="D771" s="1">
        <v>0</v>
      </c>
      <c r="E771" s="1">
        <v>0</v>
      </c>
      <c r="F771" s="1">
        <v>23.6</v>
      </c>
      <c r="G771" s="1">
        <v>0.84</v>
      </c>
      <c r="H771" s="1">
        <v>58</v>
      </c>
      <c r="I771" s="1">
        <v>0</v>
      </c>
      <c r="J771" s="1">
        <f>IFERROR(VLOOKUP(K771,[1]diabetes_Recognition!$A:$B,2,FALSE),"Not Sampled")</f>
        <v>0</v>
      </c>
      <c r="K771" s="1">
        <v>769</v>
      </c>
      <c r="L771" s="1" t="str">
        <f>LOOKUP(A771,Sheet2!$D$4:$E$9)</f>
        <v>8+</v>
      </c>
      <c r="M771" t="str">
        <f>LOOKUP(B771,Sheet2!$G$4:$H$9)</f>
        <v>100-125</v>
      </c>
      <c r="N771" t="str">
        <f>LOOKUP(C771,Sheet2!$J$4:$K$8)</f>
        <v>70-79</v>
      </c>
      <c r="O771" t="str">
        <f>LOOKUP(D771,Sheet2!$M$4:$N$8)</f>
        <v>Unknown</v>
      </c>
      <c r="P771" t="str">
        <f>LOOKUP(E771,Sheet2!$P$4:$Q$9)</f>
        <v>Unknown</v>
      </c>
      <c r="Q771" t="str">
        <f>LOOKUP(F771,Sheet2!$S$4:$T$8)</f>
        <v>1-25</v>
      </c>
      <c r="R771" t="str">
        <f>LOOKUP(G771,Sheet2!$V$4:$W$7)</f>
        <v>0.7+</v>
      </c>
      <c r="S771" t="str">
        <f>LOOKUP(H771,Sheet2!$Z$4:$AA$7)</f>
        <v>46+</v>
      </c>
      <c r="T771" t="str">
        <f t="shared" ref="T771:T834" si="36">IF(I771=1,"Positive","Negative")</f>
        <v>Negative</v>
      </c>
      <c r="U771" t="str">
        <f t="shared" ref="U771:U834" si="37">IF(J771=1,"Positive",(IF(J771=0,"Negative","Not Sampled")))</f>
        <v>Negative</v>
      </c>
      <c r="V771" s="1" t="str">
        <f t="shared" ref="V771:V834" si="38">IF(U771="Not Sampled","Not Sampled",IF(T771=U771,"Accurate Prediction","Inaccurate Prediction"))</f>
        <v>Accurate Prediction</v>
      </c>
    </row>
    <row r="772" spans="1:22" x14ac:dyDescent="0.25">
      <c r="A772" s="1">
        <v>0</v>
      </c>
      <c r="B772" s="1">
        <v>167</v>
      </c>
      <c r="C772" s="1">
        <v>0</v>
      </c>
      <c r="D772" s="1">
        <v>0</v>
      </c>
      <c r="E772" s="1">
        <v>0</v>
      </c>
      <c r="F772" s="1">
        <v>32.299999999999997</v>
      </c>
      <c r="G772" s="1">
        <v>0.83899999999999997</v>
      </c>
      <c r="H772" s="1">
        <v>30</v>
      </c>
      <c r="I772" s="1">
        <v>1</v>
      </c>
      <c r="J772" s="1" t="str">
        <f>IFERROR(VLOOKUP(K772,[1]diabetes_Recognition!$A:$B,2,FALSE),"Not Sampled")</f>
        <v>Not Sampled</v>
      </c>
      <c r="K772" s="1">
        <v>770</v>
      </c>
      <c r="L772" s="1">
        <f>LOOKUP(A772,Sheet2!$D$4:$E$9)</f>
        <v>0</v>
      </c>
      <c r="M772" t="str">
        <f>LOOKUP(B772,Sheet2!$G$4:$H$9)</f>
        <v>151-175</v>
      </c>
      <c r="N772" t="str">
        <f>LOOKUP(C772,Sheet2!$J$4:$K$8)</f>
        <v>Unknown</v>
      </c>
      <c r="O772" t="str">
        <f>LOOKUP(D772,Sheet2!$M$4:$N$8)</f>
        <v>Unknown</v>
      </c>
      <c r="P772" t="str">
        <f>LOOKUP(E772,Sheet2!$P$4:$Q$9)</f>
        <v>Unknown</v>
      </c>
      <c r="Q772" t="str">
        <f>LOOKUP(F772,Sheet2!$S$4:$T$8)</f>
        <v>31-35</v>
      </c>
      <c r="R772" t="str">
        <f>LOOKUP(G772,Sheet2!$V$4:$W$7)</f>
        <v>0.7+</v>
      </c>
      <c r="S772" t="str">
        <f>LOOKUP(H772,Sheet2!$Z$4:$AA$7)</f>
        <v>26-35</v>
      </c>
      <c r="T772" t="str">
        <f t="shared" si="36"/>
        <v>Positive</v>
      </c>
      <c r="U772" t="str">
        <f t="shared" si="37"/>
        <v>Not Sampled</v>
      </c>
      <c r="V772" s="1" t="str">
        <f t="shared" si="38"/>
        <v>Not Sampled</v>
      </c>
    </row>
    <row r="773" spans="1:22" x14ac:dyDescent="0.25">
      <c r="A773" s="1">
        <v>2</v>
      </c>
      <c r="B773" s="1">
        <v>144</v>
      </c>
      <c r="C773" s="1">
        <v>58</v>
      </c>
      <c r="D773" s="1">
        <v>33</v>
      </c>
      <c r="E773" s="1">
        <v>135</v>
      </c>
      <c r="F773" s="1">
        <v>31.6</v>
      </c>
      <c r="G773" s="1">
        <v>0.42199999999999999</v>
      </c>
      <c r="H773" s="1">
        <v>25</v>
      </c>
      <c r="I773" s="1">
        <v>1</v>
      </c>
      <c r="J773" s="1" t="str">
        <f>IFERROR(VLOOKUP(K773,[1]diabetes_Recognition!$A:$B,2,FALSE),"Not Sampled")</f>
        <v>Not Sampled</v>
      </c>
      <c r="K773" s="1">
        <v>771</v>
      </c>
      <c r="L773" s="1">
        <f>LOOKUP(A773,Sheet2!$D$4:$E$9)</f>
        <v>2</v>
      </c>
      <c r="M773" t="str">
        <f>LOOKUP(B773,Sheet2!$G$4:$H$9)</f>
        <v>126-150</v>
      </c>
      <c r="N773" t="str">
        <f>LOOKUP(C773,Sheet2!$J$4:$K$8)</f>
        <v>1-59</v>
      </c>
      <c r="O773" t="str">
        <f>LOOKUP(D773,Sheet2!$M$4:$N$8)</f>
        <v>30-39</v>
      </c>
      <c r="P773" t="str">
        <f>LOOKUP(E773,Sheet2!$P$4:$Q$9)</f>
        <v>100-199</v>
      </c>
      <c r="Q773" t="str">
        <f>LOOKUP(F773,Sheet2!$S$4:$T$8)</f>
        <v>31-35</v>
      </c>
      <c r="R773" t="str">
        <f>LOOKUP(G773,Sheet2!$V$4:$W$7)</f>
        <v>0.4 - 0.69</v>
      </c>
      <c r="S773" t="str">
        <f>LOOKUP(H773,Sheet2!$Z$4:$AA$7)</f>
        <v>&lt;=25</v>
      </c>
      <c r="T773" t="str">
        <f t="shared" si="36"/>
        <v>Positive</v>
      </c>
      <c r="U773" t="str">
        <f t="shared" si="37"/>
        <v>Not Sampled</v>
      </c>
      <c r="V773" s="1" t="str">
        <f t="shared" si="38"/>
        <v>Not Sampled</v>
      </c>
    </row>
    <row r="774" spans="1:22" x14ac:dyDescent="0.25">
      <c r="A774" s="1">
        <v>5</v>
      </c>
      <c r="B774" s="1">
        <v>77</v>
      </c>
      <c r="C774" s="1">
        <v>82</v>
      </c>
      <c r="D774" s="1">
        <v>41</v>
      </c>
      <c r="E774" s="1">
        <v>42</v>
      </c>
      <c r="F774" s="1">
        <v>35.799999999999997</v>
      </c>
      <c r="G774" s="1">
        <v>0.156</v>
      </c>
      <c r="H774" s="1">
        <v>35</v>
      </c>
      <c r="I774" s="1">
        <v>0</v>
      </c>
      <c r="J774" s="1" t="str">
        <f>IFERROR(VLOOKUP(K774,[1]diabetes_Recognition!$A:$B,2,FALSE),"Not Sampled")</f>
        <v>Not Sampled</v>
      </c>
      <c r="K774" s="1">
        <v>772</v>
      </c>
      <c r="L774" s="1" t="str">
        <f>LOOKUP(A774,Sheet2!$D$4:$E$9)</f>
        <v>5-7</v>
      </c>
      <c r="M774" t="str">
        <f>LOOKUP(B774,Sheet2!$G$4:$H$9)</f>
        <v>1-99</v>
      </c>
      <c r="N774" t="str">
        <f>LOOKUP(C774,Sheet2!$J$4:$K$8)</f>
        <v>80+</v>
      </c>
      <c r="O774" t="str">
        <f>LOOKUP(D774,Sheet2!$M$4:$N$8)</f>
        <v>40+</v>
      </c>
      <c r="P774" t="str">
        <f>LOOKUP(E774,Sheet2!$P$4:$Q$9)</f>
        <v>1-99</v>
      </c>
      <c r="Q774" t="str">
        <f>LOOKUP(F774,Sheet2!$S$4:$T$8)</f>
        <v>31-35</v>
      </c>
      <c r="R774" t="str">
        <f>LOOKUP(G774,Sheet2!$V$4:$W$7)</f>
        <v>0.0 - 0.249</v>
      </c>
      <c r="S774" t="str">
        <f>LOOKUP(H774,Sheet2!$Z$4:$AA$7)</f>
        <v>26-35</v>
      </c>
      <c r="T774" t="str">
        <f t="shared" si="36"/>
        <v>Negative</v>
      </c>
      <c r="U774" t="str">
        <f t="shared" si="37"/>
        <v>Not Sampled</v>
      </c>
      <c r="V774" s="1" t="str">
        <f t="shared" si="38"/>
        <v>Not Sampled</v>
      </c>
    </row>
    <row r="775" spans="1:22" x14ac:dyDescent="0.25">
      <c r="A775" s="1">
        <v>5</v>
      </c>
      <c r="B775" s="1">
        <v>115</v>
      </c>
      <c r="C775" s="1">
        <v>98</v>
      </c>
      <c r="D775" s="1">
        <v>0</v>
      </c>
      <c r="E775" s="1">
        <v>0</v>
      </c>
      <c r="F775" s="1">
        <v>52.9</v>
      </c>
      <c r="G775" s="1">
        <v>0.20899999999999999</v>
      </c>
      <c r="H775" s="1">
        <v>28</v>
      </c>
      <c r="I775" s="1">
        <v>1</v>
      </c>
      <c r="J775" s="1" t="str">
        <f>IFERROR(VLOOKUP(K775,[1]diabetes_Recognition!$A:$B,2,FALSE),"Not Sampled")</f>
        <v>Not Sampled</v>
      </c>
      <c r="K775" s="1">
        <v>773</v>
      </c>
      <c r="L775" s="1" t="str">
        <f>LOOKUP(A775,Sheet2!$D$4:$E$9)</f>
        <v>5-7</v>
      </c>
      <c r="M775" t="str">
        <f>LOOKUP(B775,Sheet2!$G$4:$H$9)</f>
        <v>100-125</v>
      </c>
      <c r="N775" t="str">
        <f>LOOKUP(C775,Sheet2!$J$4:$K$8)</f>
        <v>80+</v>
      </c>
      <c r="O775" t="str">
        <f>LOOKUP(D775,Sheet2!$M$4:$N$8)</f>
        <v>Unknown</v>
      </c>
      <c r="P775" t="str">
        <f>LOOKUP(E775,Sheet2!$P$4:$Q$9)</f>
        <v>Unknown</v>
      </c>
      <c r="Q775" t="str">
        <f>LOOKUP(F775,Sheet2!$S$4:$T$8)</f>
        <v>36+</v>
      </c>
      <c r="R775" t="str">
        <f>LOOKUP(G775,Sheet2!$V$4:$W$7)</f>
        <v>0.0 - 0.249</v>
      </c>
      <c r="S775" t="str">
        <f>LOOKUP(H775,Sheet2!$Z$4:$AA$7)</f>
        <v>26-35</v>
      </c>
      <c r="T775" t="str">
        <f t="shared" si="36"/>
        <v>Positive</v>
      </c>
      <c r="U775" t="str">
        <f t="shared" si="37"/>
        <v>Not Sampled</v>
      </c>
      <c r="V775" s="1" t="str">
        <f t="shared" si="38"/>
        <v>Not Sampled</v>
      </c>
    </row>
    <row r="776" spans="1:22" x14ac:dyDescent="0.25">
      <c r="A776" s="1">
        <v>3</v>
      </c>
      <c r="B776" s="1">
        <v>150</v>
      </c>
      <c r="C776" s="1">
        <v>76</v>
      </c>
      <c r="D776" s="1">
        <v>0</v>
      </c>
      <c r="E776" s="1">
        <v>0</v>
      </c>
      <c r="F776" s="1">
        <v>21</v>
      </c>
      <c r="G776" s="1">
        <v>0.20699999999999999</v>
      </c>
      <c r="H776" s="1">
        <v>37</v>
      </c>
      <c r="I776" s="1">
        <v>0</v>
      </c>
      <c r="J776" s="1">
        <f>IFERROR(VLOOKUP(K776,[1]diabetes_Recognition!$A:$B,2,FALSE),"Not Sampled")</f>
        <v>0</v>
      </c>
      <c r="K776" s="1">
        <v>774</v>
      </c>
      <c r="L776" s="1" t="str">
        <f>LOOKUP(A776,Sheet2!$D$4:$E$9)</f>
        <v>3-4</v>
      </c>
      <c r="M776" t="str">
        <f>LOOKUP(B776,Sheet2!$G$4:$H$9)</f>
        <v>126-150</v>
      </c>
      <c r="N776" t="str">
        <f>LOOKUP(C776,Sheet2!$J$4:$K$8)</f>
        <v>70-79</v>
      </c>
      <c r="O776" t="str">
        <f>LOOKUP(D776,Sheet2!$M$4:$N$8)</f>
        <v>Unknown</v>
      </c>
      <c r="P776" t="str">
        <f>LOOKUP(E776,Sheet2!$P$4:$Q$9)</f>
        <v>Unknown</v>
      </c>
      <c r="Q776" t="str">
        <f>LOOKUP(F776,Sheet2!$S$4:$T$8)</f>
        <v>1-25</v>
      </c>
      <c r="R776" t="str">
        <f>LOOKUP(G776,Sheet2!$V$4:$W$7)</f>
        <v>0.0 - 0.249</v>
      </c>
      <c r="S776" t="str">
        <f>LOOKUP(H776,Sheet2!$Z$4:$AA$7)</f>
        <v>36-45</v>
      </c>
      <c r="T776" t="str">
        <f t="shared" si="36"/>
        <v>Negative</v>
      </c>
      <c r="U776" t="str">
        <f t="shared" si="37"/>
        <v>Negative</v>
      </c>
      <c r="V776" s="1" t="str">
        <f t="shared" si="38"/>
        <v>Accurate Prediction</v>
      </c>
    </row>
    <row r="777" spans="1:22" x14ac:dyDescent="0.25">
      <c r="A777" s="1">
        <v>2</v>
      </c>
      <c r="B777" s="1">
        <v>120</v>
      </c>
      <c r="C777" s="1">
        <v>76</v>
      </c>
      <c r="D777" s="1">
        <v>37</v>
      </c>
      <c r="E777" s="1">
        <v>105</v>
      </c>
      <c r="F777" s="1">
        <v>39.700000000000003</v>
      </c>
      <c r="G777" s="1">
        <v>0.215</v>
      </c>
      <c r="H777" s="1">
        <v>29</v>
      </c>
      <c r="I777" s="1">
        <v>0</v>
      </c>
      <c r="J777" s="1" t="str">
        <f>IFERROR(VLOOKUP(K777,[1]diabetes_Recognition!$A:$B,2,FALSE),"Not Sampled")</f>
        <v>Not Sampled</v>
      </c>
      <c r="K777" s="1">
        <v>775</v>
      </c>
      <c r="L777" s="1">
        <f>LOOKUP(A777,Sheet2!$D$4:$E$9)</f>
        <v>2</v>
      </c>
      <c r="M777" t="str">
        <f>LOOKUP(B777,Sheet2!$G$4:$H$9)</f>
        <v>100-125</v>
      </c>
      <c r="N777" t="str">
        <f>LOOKUP(C777,Sheet2!$J$4:$K$8)</f>
        <v>70-79</v>
      </c>
      <c r="O777" t="str">
        <f>LOOKUP(D777,Sheet2!$M$4:$N$8)</f>
        <v>30-39</v>
      </c>
      <c r="P777" t="str">
        <f>LOOKUP(E777,Sheet2!$P$4:$Q$9)</f>
        <v>100-199</v>
      </c>
      <c r="Q777" t="str">
        <f>LOOKUP(F777,Sheet2!$S$4:$T$8)</f>
        <v>36+</v>
      </c>
      <c r="R777" t="str">
        <f>LOOKUP(G777,Sheet2!$V$4:$W$7)</f>
        <v>0.0 - 0.249</v>
      </c>
      <c r="S777" t="str">
        <f>LOOKUP(H777,Sheet2!$Z$4:$AA$7)</f>
        <v>26-35</v>
      </c>
      <c r="T777" t="str">
        <f t="shared" si="36"/>
        <v>Negative</v>
      </c>
      <c r="U777" t="str">
        <f t="shared" si="37"/>
        <v>Not Sampled</v>
      </c>
      <c r="V777" s="1" t="str">
        <f t="shared" si="38"/>
        <v>Not Sampled</v>
      </c>
    </row>
    <row r="778" spans="1:22" x14ac:dyDescent="0.25">
      <c r="A778" s="1">
        <v>10</v>
      </c>
      <c r="B778" s="1">
        <v>161</v>
      </c>
      <c r="C778" s="1">
        <v>68</v>
      </c>
      <c r="D778" s="1">
        <v>23</v>
      </c>
      <c r="E778" s="1">
        <v>132</v>
      </c>
      <c r="F778" s="1">
        <v>25.5</v>
      </c>
      <c r="G778" s="1">
        <v>0.32600000000000001</v>
      </c>
      <c r="H778" s="1">
        <v>47</v>
      </c>
      <c r="I778" s="1">
        <v>1</v>
      </c>
      <c r="J778" s="1" t="str">
        <f>IFERROR(VLOOKUP(K778,[1]diabetes_Recognition!$A:$B,2,FALSE),"Not Sampled")</f>
        <v>Not Sampled</v>
      </c>
      <c r="K778" s="1">
        <v>776</v>
      </c>
      <c r="L778" s="1" t="str">
        <f>LOOKUP(A778,Sheet2!$D$4:$E$9)</f>
        <v>8+</v>
      </c>
      <c r="M778" t="str">
        <f>LOOKUP(B778,Sheet2!$G$4:$H$9)</f>
        <v>151-175</v>
      </c>
      <c r="N778" t="str">
        <f>LOOKUP(C778,Sheet2!$J$4:$K$8)</f>
        <v>60-69</v>
      </c>
      <c r="O778" t="str">
        <f>LOOKUP(D778,Sheet2!$M$4:$N$8)</f>
        <v>10-30</v>
      </c>
      <c r="P778" t="str">
        <f>LOOKUP(E778,Sheet2!$P$4:$Q$9)</f>
        <v>100-199</v>
      </c>
      <c r="Q778" t="str">
        <f>LOOKUP(F778,Sheet2!$S$4:$T$8)</f>
        <v>1-25</v>
      </c>
      <c r="R778" t="str">
        <f>LOOKUP(G778,Sheet2!$V$4:$W$7)</f>
        <v>0.25 - 0.39</v>
      </c>
      <c r="S778" t="str">
        <f>LOOKUP(H778,Sheet2!$Z$4:$AA$7)</f>
        <v>46+</v>
      </c>
      <c r="T778" t="str">
        <f t="shared" si="36"/>
        <v>Positive</v>
      </c>
      <c r="U778" t="str">
        <f t="shared" si="37"/>
        <v>Not Sampled</v>
      </c>
      <c r="V778" s="1" t="str">
        <f t="shared" si="38"/>
        <v>Not Sampled</v>
      </c>
    </row>
    <row r="779" spans="1:22" x14ac:dyDescent="0.25">
      <c r="A779" s="1">
        <v>0</v>
      </c>
      <c r="B779" s="1">
        <v>137</v>
      </c>
      <c r="C779" s="1">
        <v>68</v>
      </c>
      <c r="D779" s="1">
        <v>14</v>
      </c>
      <c r="E779" s="1">
        <v>148</v>
      </c>
      <c r="F779" s="1">
        <v>24.8</v>
      </c>
      <c r="G779" s="1">
        <v>0.14299999999999999</v>
      </c>
      <c r="H779" s="1">
        <v>21</v>
      </c>
      <c r="I779" s="1">
        <v>0</v>
      </c>
      <c r="J779" s="1" t="str">
        <f>IFERROR(VLOOKUP(K779,[1]diabetes_Recognition!$A:$B,2,FALSE),"Not Sampled")</f>
        <v>Not Sampled</v>
      </c>
      <c r="K779" s="1">
        <v>777</v>
      </c>
      <c r="L779" s="1">
        <f>LOOKUP(A779,Sheet2!$D$4:$E$9)</f>
        <v>0</v>
      </c>
      <c r="M779" t="str">
        <f>LOOKUP(B779,Sheet2!$G$4:$H$9)</f>
        <v>126-150</v>
      </c>
      <c r="N779" t="str">
        <f>LOOKUP(C779,Sheet2!$J$4:$K$8)</f>
        <v>60-69</v>
      </c>
      <c r="O779" t="str">
        <f>LOOKUP(D779,Sheet2!$M$4:$N$8)</f>
        <v>10-30</v>
      </c>
      <c r="P779" t="str">
        <f>LOOKUP(E779,Sheet2!$P$4:$Q$9)</f>
        <v>100-199</v>
      </c>
      <c r="Q779" t="str">
        <f>LOOKUP(F779,Sheet2!$S$4:$T$8)</f>
        <v>1-25</v>
      </c>
      <c r="R779" t="str">
        <f>LOOKUP(G779,Sheet2!$V$4:$W$7)</f>
        <v>0.0 - 0.249</v>
      </c>
      <c r="S779" t="str">
        <f>LOOKUP(H779,Sheet2!$Z$4:$AA$7)</f>
        <v>&lt;=25</v>
      </c>
      <c r="T779" t="str">
        <f t="shared" si="36"/>
        <v>Negative</v>
      </c>
      <c r="U779" t="str">
        <f t="shared" si="37"/>
        <v>Not Sampled</v>
      </c>
      <c r="V779" s="1" t="str">
        <f t="shared" si="38"/>
        <v>Not Sampled</v>
      </c>
    </row>
    <row r="780" spans="1:22" x14ac:dyDescent="0.25">
      <c r="A780" s="1">
        <v>0</v>
      </c>
      <c r="B780" s="1">
        <v>128</v>
      </c>
      <c r="C780" s="1">
        <v>68</v>
      </c>
      <c r="D780" s="1">
        <v>19</v>
      </c>
      <c r="E780" s="1">
        <v>180</v>
      </c>
      <c r="F780" s="1">
        <v>30.5</v>
      </c>
      <c r="G780" s="1">
        <v>1.391</v>
      </c>
      <c r="H780" s="1">
        <v>25</v>
      </c>
      <c r="I780" s="1">
        <v>1</v>
      </c>
      <c r="J780" s="1" t="str">
        <f>IFERROR(VLOOKUP(K780,[1]diabetes_Recognition!$A:$B,2,FALSE),"Not Sampled")</f>
        <v>Not Sampled</v>
      </c>
      <c r="K780" s="1">
        <v>778</v>
      </c>
      <c r="L780" s="1">
        <f>LOOKUP(A780,Sheet2!$D$4:$E$9)</f>
        <v>0</v>
      </c>
      <c r="M780" t="str">
        <f>LOOKUP(B780,Sheet2!$G$4:$H$9)</f>
        <v>126-150</v>
      </c>
      <c r="N780" t="str">
        <f>LOOKUP(C780,Sheet2!$J$4:$K$8)</f>
        <v>60-69</v>
      </c>
      <c r="O780" t="str">
        <f>LOOKUP(D780,Sheet2!$M$4:$N$8)</f>
        <v>10-30</v>
      </c>
      <c r="P780" t="str">
        <f>LOOKUP(E780,Sheet2!$P$4:$Q$9)</f>
        <v>100-199</v>
      </c>
      <c r="Q780" t="str">
        <f>LOOKUP(F780,Sheet2!$S$4:$T$8)</f>
        <v>26-30</v>
      </c>
      <c r="R780" t="str">
        <f>LOOKUP(G780,Sheet2!$V$4:$W$7)</f>
        <v>0.7+</v>
      </c>
      <c r="S780" t="str">
        <f>LOOKUP(H780,Sheet2!$Z$4:$AA$7)</f>
        <v>&lt;=25</v>
      </c>
      <c r="T780" t="str">
        <f t="shared" si="36"/>
        <v>Positive</v>
      </c>
      <c r="U780" t="str">
        <f t="shared" si="37"/>
        <v>Not Sampled</v>
      </c>
      <c r="V780" s="1" t="str">
        <f t="shared" si="38"/>
        <v>Not Sampled</v>
      </c>
    </row>
    <row r="781" spans="1:22" x14ac:dyDescent="0.25">
      <c r="A781" s="1">
        <v>2</v>
      </c>
      <c r="B781" s="1">
        <v>124</v>
      </c>
      <c r="C781" s="1">
        <v>68</v>
      </c>
      <c r="D781" s="1">
        <v>28</v>
      </c>
      <c r="E781" s="1">
        <v>205</v>
      </c>
      <c r="F781" s="1">
        <v>32.9</v>
      </c>
      <c r="G781" s="1">
        <v>0.875</v>
      </c>
      <c r="H781" s="1">
        <v>30</v>
      </c>
      <c r="I781" s="1">
        <v>1</v>
      </c>
      <c r="J781" s="1">
        <f>IFERROR(VLOOKUP(K781,[1]diabetes_Recognition!$A:$B,2,FALSE),"Not Sampled")</f>
        <v>0</v>
      </c>
      <c r="K781" s="1">
        <v>779</v>
      </c>
      <c r="L781" s="1">
        <f>LOOKUP(A781,Sheet2!$D$4:$E$9)</f>
        <v>2</v>
      </c>
      <c r="M781" t="str">
        <f>LOOKUP(B781,Sheet2!$G$4:$H$9)</f>
        <v>100-125</v>
      </c>
      <c r="N781" t="str">
        <f>LOOKUP(C781,Sheet2!$J$4:$K$8)</f>
        <v>60-69</v>
      </c>
      <c r="O781" t="str">
        <f>LOOKUP(D781,Sheet2!$M$4:$N$8)</f>
        <v>10-30</v>
      </c>
      <c r="P781" t="str">
        <f>LOOKUP(E781,Sheet2!$P$4:$Q$9)</f>
        <v>200-399</v>
      </c>
      <c r="Q781" t="str">
        <f>LOOKUP(F781,Sheet2!$S$4:$T$8)</f>
        <v>31-35</v>
      </c>
      <c r="R781" t="str">
        <f>LOOKUP(G781,Sheet2!$V$4:$W$7)</f>
        <v>0.7+</v>
      </c>
      <c r="S781" t="str">
        <f>LOOKUP(H781,Sheet2!$Z$4:$AA$7)</f>
        <v>26-35</v>
      </c>
      <c r="T781" t="str">
        <f t="shared" si="36"/>
        <v>Positive</v>
      </c>
      <c r="U781" t="str">
        <f t="shared" si="37"/>
        <v>Negative</v>
      </c>
      <c r="V781" s="1" t="str">
        <f t="shared" si="38"/>
        <v>Inaccurate Prediction</v>
      </c>
    </row>
    <row r="782" spans="1:22" x14ac:dyDescent="0.25">
      <c r="A782" s="1">
        <v>6</v>
      </c>
      <c r="B782" s="1">
        <v>80</v>
      </c>
      <c r="C782" s="1">
        <v>66</v>
      </c>
      <c r="D782" s="1">
        <v>30</v>
      </c>
      <c r="E782" s="1">
        <v>0</v>
      </c>
      <c r="F782" s="1">
        <v>26.2</v>
      </c>
      <c r="G782" s="1">
        <v>0.313</v>
      </c>
      <c r="H782" s="1">
        <v>41</v>
      </c>
      <c r="I782" s="1">
        <v>0</v>
      </c>
      <c r="J782" s="1" t="str">
        <f>IFERROR(VLOOKUP(K782,[1]diabetes_Recognition!$A:$B,2,FALSE),"Not Sampled")</f>
        <v>Not Sampled</v>
      </c>
      <c r="K782" s="1">
        <v>780</v>
      </c>
      <c r="L782" s="1" t="str">
        <f>LOOKUP(A782,Sheet2!$D$4:$E$9)</f>
        <v>5-7</v>
      </c>
      <c r="M782" t="str">
        <f>LOOKUP(B782,Sheet2!$G$4:$H$9)</f>
        <v>1-99</v>
      </c>
      <c r="N782" t="str">
        <f>LOOKUP(C782,Sheet2!$J$4:$K$8)</f>
        <v>60-69</v>
      </c>
      <c r="O782" t="str">
        <f>LOOKUP(D782,Sheet2!$M$4:$N$8)</f>
        <v>30-39</v>
      </c>
      <c r="P782" t="str">
        <f>LOOKUP(E782,Sheet2!$P$4:$Q$9)</f>
        <v>Unknown</v>
      </c>
      <c r="Q782" t="str">
        <f>LOOKUP(F782,Sheet2!$S$4:$T$8)</f>
        <v>26-30</v>
      </c>
      <c r="R782" t="str">
        <f>LOOKUP(G782,Sheet2!$V$4:$W$7)</f>
        <v>0.25 - 0.39</v>
      </c>
      <c r="S782" t="str">
        <f>LOOKUP(H782,Sheet2!$Z$4:$AA$7)</f>
        <v>36-45</v>
      </c>
      <c r="T782" t="str">
        <f t="shared" si="36"/>
        <v>Negative</v>
      </c>
      <c r="U782" t="str">
        <f t="shared" si="37"/>
        <v>Not Sampled</v>
      </c>
      <c r="V782" s="1" t="str">
        <f t="shared" si="38"/>
        <v>Not Sampled</v>
      </c>
    </row>
    <row r="783" spans="1:22" x14ac:dyDescent="0.25">
      <c r="A783" s="1">
        <v>0</v>
      </c>
      <c r="B783" s="1">
        <v>106</v>
      </c>
      <c r="C783" s="1">
        <v>70</v>
      </c>
      <c r="D783" s="1">
        <v>37</v>
      </c>
      <c r="E783" s="1">
        <v>148</v>
      </c>
      <c r="F783" s="1">
        <v>39.4</v>
      </c>
      <c r="G783" s="1">
        <v>0.60499999999999998</v>
      </c>
      <c r="H783" s="1">
        <v>22</v>
      </c>
      <c r="I783" s="1">
        <v>0</v>
      </c>
      <c r="J783" s="1" t="str">
        <f>IFERROR(VLOOKUP(K783,[1]diabetes_Recognition!$A:$B,2,FALSE),"Not Sampled")</f>
        <v>Not Sampled</v>
      </c>
      <c r="K783" s="1">
        <v>781</v>
      </c>
      <c r="L783" s="1">
        <f>LOOKUP(A783,Sheet2!$D$4:$E$9)</f>
        <v>0</v>
      </c>
      <c r="M783" t="str">
        <f>LOOKUP(B783,Sheet2!$G$4:$H$9)</f>
        <v>100-125</v>
      </c>
      <c r="N783" t="str">
        <f>LOOKUP(C783,Sheet2!$J$4:$K$8)</f>
        <v>70-79</v>
      </c>
      <c r="O783" t="str">
        <f>LOOKUP(D783,Sheet2!$M$4:$N$8)</f>
        <v>30-39</v>
      </c>
      <c r="P783" t="str">
        <f>LOOKUP(E783,Sheet2!$P$4:$Q$9)</f>
        <v>100-199</v>
      </c>
      <c r="Q783" t="str">
        <f>LOOKUP(F783,Sheet2!$S$4:$T$8)</f>
        <v>36+</v>
      </c>
      <c r="R783" t="str">
        <f>LOOKUP(G783,Sheet2!$V$4:$W$7)</f>
        <v>0.4 - 0.69</v>
      </c>
      <c r="S783" t="str">
        <f>LOOKUP(H783,Sheet2!$Z$4:$AA$7)</f>
        <v>&lt;=25</v>
      </c>
      <c r="T783" t="str">
        <f t="shared" si="36"/>
        <v>Negative</v>
      </c>
      <c r="U783" t="str">
        <f t="shared" si="37"/>
        <v>Not Sampled</v>
      </c>
      <c r="V783" s="1" t="str">
        <f t="shared" si="38"/>
        <v>Not Sampled</v>
      </c>
    </row>
    <row r="784" spans="1:22" x14ac:dyDescent="0.25">
      <c r="A784" s="1">
        <v>2</v>
      </c>
      <c r="B784" s="1">
        <v>155</v>
      </c>
      <c r="C784" s="1">
        <v>74</v>
      </c>
      <c r="D784" s="1">
        <v>17</v>
      </c>
      <c r="E784" s="1">
        <v>96</v>
      </c>
      <c r="F784" s="1">
        <v>26.6</v>
      </c>
      <c r="G784" s="1">
        <v>0.433</v>
      </c>
      <c r="H784" s="1">
        <v>27</v>
      </c>
      <c r="I784" s="1">
        <v>1</v>
      </c>
      <c r="J784" s="1" t="str">
        <f>IFERROR(VLOOKUP(K784,[1]diabetes_Recognition!$A:$B,2,FALSE),"Not Sampled")</f>
        <v>Not Sampled</v>
      </c>
      <c r="K784" s="1">
        <v>782</v>
      </c>
      <c r="L784" s="1">
        <f>LOOKUP(A784,Sheet2!$D$4:$E$9)</f>
        <v>2</v>
      </c>
      <c r="M784" t="str">
        <f>LOOKUP(B784,Sheet2!$G$4:$H$9)</f>
        <v>151-175</v>
      </c>
      <c r="N784" t="str">
        <f>LOOKUP(C784,Sheet2!$J$4:$K$8)</f>
        <v>70-79</v>
      </c>
      <c r="O784" t="str">
        <f>LOOKUP(D784,Sheet2!$M$4:$N$8)</f>
        <v>10-30</v>
      </c>
      <c r="P784" t="str">
        <f>LOOKUP(E784,Sheet2!$P$4:$Q$9)</f>
        <v>1-99</v>
      </c>
      <c r="Q784" t="str">
        <f>LOOKUP(F784,Sheet2!$S$4:$T$8)</f>
        <v>26-30</v>
      </c>
      <c r="R784" t="str">
        <f>LOOKUP(G784,Sheet2!$V$4:$W$7)</f>
        <v>0.4 - 0.69</v>
      </c>
      <c r="S784" t="str">
        <f>LOOKUP(H784,Sheet2!$Z$4:$AA$7)</f>
        <v>26-35</v>
      </c>
      <c r="T784" t="str">
        <f t="shared" si="36"/>
        <v>Positive</v>
      </c>
      <c r="U784" t="str">
        <f t="shared" si="37"/>
        <v>Not Sampled</v>
      </c>
      <c r="V784" s="1" t="str">
        <f t="shared" si="38"/>
        <v>Not Sampled</v>
      </c>
    </row>
    <row r="785" spans="1:22" x14ac:dyDescent="0.25">
      <c r="A785" s="1">
        <v>3</v>
      </c>
      <c r="B785" s="1">
        <v>113</v>
      </c>
      <c r="C785" s="1">
        <v>50</v>
      </c>
      <c r="D785" s="1">
        <v>10</v>
      </c>
      <c r="E785" s="1">
        <v>85</v>
      </c>
      <c r="F785" s="1">
        <v>29.5</v>
      </c>
      <c r="G785" s="1">
        <v>0.626</v>
      </c>
      <c r="H785" s="1">
        <v>25</v>
      </c>
      <c r="I785" s="1">
        <v>0</v>
      </c>
      <c r="J785" s="1" t="str">
        <f>IFERROR(VLOOKUP(K785,[1]diabetes_Recognition!$A:$B,2,FALSE),"Not Sampled")</f>
        <v>Not Sampled</v>
      </c>
      <c r="K785" s="1">
        <v>783</v>
      </c>
      <c r="L785" s="1" t="str">
        <f>LOOKUP(A785,Sheet2!$D$4:$E$9)</f>
        <v>3-4</v>
      </c>
      <c r="M785" t="str">
        <f>LOOKUP(B785,Sheet2!$G$4:$H$9)</f>
        <v>100-125</v>
      </c>
      <c r="N785" t="str">
        <f>LOOKUP(C785,Sheet2!$J$4:$K$8)</f>
        <v>1-59</v>
      </c>
      <c r="O785" t="str">
        <f>LOOKUP(D785,Sheet2!$M$4:$N$8)</f>
        <v>10-30</v>
      </c>
      <c r="P785" t="str">
        <f>LOOKUP(E785,Sheet2!$P$4:$Q$9)</f>
        <v>1-99</v>
      </c>
      <c r="Q785" t="str">
        <f>LOOKUP(F785,Sheet2!$S$4:$T$8)</f>
        <v>26-30</v>
      </c>
      <c r="R785" t="str">
        <f>LOOKUP(G785,Sheet2!$V$4:$W$7)</f>
        <v>0.4 - 0.69</v>
      </c>
      <c r="S785" t="str">
        <f>LOOKUP(H785,Sheet2!$Z$4:$AA$7)</f>
        <v>&lt;=25</v>
      </c>
      <c r="T785" t="str">
        <f t="shared" si="36"/>
        <v>Negative</v>
      </c>
      <c r="U785" t="str">
        <f t="shared" si="37"/>
        <v>Not Sampled</v>
      </c>
      <c r="V785" s="1" t="str">
        <f t="shared" si="38"/>
        <v>Not Sampled</v>
      </c>
    </row>
    <row r="786" spans="1:22" x14ac:dyDescent="0.25">
      <c r="A786" s="1">
        <v>7</v>
      </c>
      <c r="B786" s="1">
        <v>109</v>
      </c>
      <c r="C786" s="1">
        <v>80</v>
      </c>
      <c r="D786" s="1">
        <v>31</v>
      </c>
      <c r="E786" s="1">
        <v>0</v>
      </c>
      <c r="F786" s="1">
        <v>35.9</v>
      </c>
      <c r="G786" s="1">
        <v>1.127</v>
      </c>
      <c r="H786" s="1">
        <v>43</v>
      </c>
      <c r="I786" s="1">
        <v>1</v>
      </c>
      <c r="J786" s="1" t="str">
        <f>IFERROR(VLOOKUP(K786,[1]diabetes_Recognition!$A:$B,2,FALSE),"Not Sampled")</f>
        <v>Not Sampled</v>
      </c>
      <c r="K786" s="1">
        <v>784</v>
      </c>
      <c r="L786" s="1" t="str">
        <f>LOOKUP(A786,Sheet2!$D$4:$E$9)</f>
        <v>5-7</v>
      </c>
      <c r="M786" t="str">
        <f>LOOKUP(B786,Sheet2!$G$4:$H$9)</f>
        <v>100-125</v>
      </c>
      <c r="N786" t="str">
        <f>LOOKUP(C786,Sheet2!$J$4:$K$8)</f>
        <v>80+</v>
      </c>
      <c r="O786" t="str">
        <f>LOOKUP(D786,Sheet2!$M$4:$N$8)</f>
        <v>30-39</v>
      </c>
      <c r="P786" t="str">
        <f>LOOKUP(E786,Sheet2!$P$4:$Q$9)</f>
        <v>Unknown</v>
      </c>
      <c r="Q786" t="str">
        <f>LOOKUP(F786,Sheet2!$S$4:$T$8)</f>
        <v>31-35</v>
      </c>
      <c r="R786" t="str">
        <f>LOOKUP(G786,Sheet2!$V$4:$W$7)</f>
        <v>0.7+</v>
      </c>
      <c r="S786" t="str">
        <f>LOOKUP(H786,Sheet2!$Z$4:$AA$7)</f>
        <v>36-45</v>
      </c>
      <c r="T786" t="str">
        <f t="shared" si="36"/>
        <v>Positive</v>
      </c>
      <c r="U786" t="str">
        <f t="shared" si="37"/>
        <v>Not Sampled</v>
      </c>
      <c r="V786" s="1" t="str">
        <f t="shared" si="38"/>
        <v>Not Sampled</v>
      </c>
    </row>
    <row r="787" spans="1:22" x14ac:dyDescent="0.25">
      <c r="A787" s="1">
        <v>2</v>
      </c>
      <c r="B787" s="1">
        <v>112</v>
      </c>
      <c r="C787" s="1">
        <v>68</v>
      </c>
      <c r="D787" s="1">
        <v>22</v>
      </c>
      <c r="E787" s="1">
        <v>94</v>
      </c>
      <c r="F787" s="1">
        <v>34.1</v>
      </c>
      <c r="G787" s="1">
        <v>0.315</v>
      </c>
      <c r="H787" s="1">
        <v>26</v>
      </c>
      <c r="I787" s="1">
        <v>0</v>
      </c>
      <c r="J787" s="1" t="str">
        <f>IFERROR(VLOOKUP(K787,[1]diabetes_Recognition!$A:$B,2,FALSE),"Not Sampled")</f>
        <v>Not Sampled</v>
      </c>
      <c r="K787" s="1">
        <v>785</v>
      </c>
      <c r="L787" s="1">
        <f>LOOKUP(A787,Sheet2!$D$4:$E$9)</f>
        <v>2</v>
      </c>
      <c r="M787" t="str">
        <f>LOOKUP(B787,Sheet2!$G$4:$H$9)</f>
        <v>100-125</v>
      </c>
      <c r="N787" t="str">
        <f>LOOKUP(C787,Sheet2!$J$4:$K$8)</f>
        <v>60-69</v>
      </c>
      <c r="O787" t="str">
        <f>LOOKUP(D787,Sheet2!$M$4:$N$8)</f>
        <v>10-30</v>
      </c>
      <c r="P787" t="str">
        <f>LOOKUP(E787,Sheet2!$P$4:$Q$9)</f>
        <v>1-99</v>
      </c>
      <c r="Q787" t="str">
        <f>LOOKUP(F787,Sheet2!$S$4:$T$8)</f>
        <v>31-35</v>
      </c>
      <c r="R787" t="str">
        <f>LOOKUP(G787,Sheet2!$V$4:$W$7)</f>
        <v>0.25 - 0.39</v>
      </c>
      <c r="S787" t="str">
        <f>LOOKUP(H787,Sheet2!$Z$4:$AA$7)</f>
        <v>26-35</v>
      </c>
      <c r="T787" t="str">
        <f t="shared" si="36"/>
        <v>Negative</v>
      </c>
      <c r="U787" t="str">
        <f t="shared" si="37"/>
        <v>Not Sampled</v>
      </c>
      <c r="V787" s="1" t="str">
        <f t="shared" si="38"/>
        <v>Not Sampled</v>
      </c>
    </row>
    <row r="788" spans="1:22" x14ac:dyDescent="0.25">
      <c r="A788" s="1">
        <v>3</v>
      </c>
      <c r="B788" s="1">
        <v>99</v>
      </c>
      <c r="C788" s="1">
        <v>80</v>
      </c>
      <c r="D788" s="1">
        <v>11</v>
      </c>
      <c r="E788" s="1">
        <v>64</v>
      </c>
      <c r="F788" s="1">
        <v>19.3</v>
      </c>
      <c r="G788" s="1">
        <v>0.28399999999999997</v>
      </c>
      <c r="H788" s="1">
        <v>30</v>
      </c>
      <c r="I788" s="1">
        <v>0</v>
      </c>
      <c r="J788" s="1" t="str">
        <f>IFERROR(VLOOKUP(K788,[1]diabetes_Recognition!$A:$B,2,FALSE),"Not Sampled")</f>
        <v>Not Sampled</v>
      </c>
      <c r="K788" s="1">
        <v>786</v>
      </c>
      <c r="L788" s="1" t="str">
        <f>LOOKUP(A788,Sheet2!$D$4:$E$9)</f>
        <v>3-4</v>
      </c>
      <c r="M788" t="str">
        <f>LOOKUP(B788,Sheet2!$G$4:$H$9)</f>
        <v>1-99</v>
      </c>
      <c r="N788" t="str">
        <f>LOOKUP(C788,Sheet2!$J$4:$K$8)</f>
        <v>80+</v>
      </c>
      <c r="O788" t="str">
        <f>LOOKUP(D788,Sheet2!$M$4:$N$8)</f>
        <v>10-30</v>
      </c>
      <c r="P788" t="str">
        <f>LOOKUP(E788,Sheet2!$P$4:$Q$9)</f>
        <v>1-99</v>
      </c>
      <c r="Q788" t="str">
        <f>LOOKUP(F788,Sheet2!$S$4:$T$8)</f>
        <v>1-25</v>
      </c>
      <c r="R788" t="str">
        <f>LOOKUP(G788,Sheet2!$V$4:$W$7)</f>
        <v>0.25 - 0.39</v>
      </c>
      <c r="S788" t="str">
        <f>LOOKUP(H788,Sheet2!$Z$4:$AA$7)</f>
        <v>26-35</v>
      </c>
      <c r="T788" t="str">
        <f t="shared" si="36"/>
        <v>Negative</v>
      </c>
      <c r="U788" t="str">
        <f t="shared" si="37"/>
        <v>Not Sampled</v>
      </c>
      <c r="V788" s="1" t="str">
        <f t="shared" si="38"/>
        <v>Not Sampled</v>
      </c>
    </row>
    <row r="789" spans="1:22" x14ac:dyDescent="0.25">
      <c r="A789" s="1">
        <v>3</v>
      </c>
      <c r="B789" s="1">
        <v>182</v>
      </c>
      <c r="C789" s="1">
        <v>74</v>
      </c>
      <c r="D789" s="1">
        <v>0</v>
      </c>
      <c r="E789" s="1">
        <v>0</v>
      </c>
      <c r="F789" s="1">
        <v>30.5</v>
      </c>
      <c r="G789" s="1">
        <v>0.34499999999999997</v>
      </c>
      <c r="H789" s="1">
        <v>29</v>
      </c>
      <c r="I789" s="1">
        <v>1</v>
      </c>
      <c r="J789" s="1" t="str">
        <f>IFERROR(VLOOKUP(K789,[1]diabetes_Recognition!$A:$B,2,FALSE),"Not Sampled")</f>
        <v>Not Sampled</v>
      </c>
      <c r="K789" s="1">
        <v>787</v>
      </c>
      <c r="L789" s="1" t="str">
        <f>LOOKUP(A789,Sheet2!$D$4:$E$9)</f>
        <v>3-4</v>
      </c>
      <c r="M789" t="str">
        <f>LOOKUP(B789,Sheet2!$G$4:$H$9)</f>
        <v>176-200</v>
      </c>
      <c r="N789" t="str">
        <f>LOOKUP(C789,Sheet2!$J$4:$K$8)</f>
        <v>70-79</v>
      </c>
      <c r="O789" t="str">
        <f>LOOKUP(D789,Sheet2!$M$4:$N$8)</f>
        <v>Unknown</v>
      </c>
      <c r="P789" t="str">
        <f>LOOKUP(E789,Sheet2!$P$4:$Q$9)</f>
        <v>Unknown</v>
      </c>
      <c r="Q789" t="str">
        <f>LOOKUP(F789,Sheet2!$S$4:$T$8)</f>
        <v>26-30</v>
      </c>
      <c r="R789" t="str">
        <f>LOOKUP(G789,Sheet2!$V$4:$W$7)</f>
        <v>0.25 - 0.39</v>
      </c>
      <c r="S789" t="str">
        <f>LOOKUP(H789,Sheet2!$Z$4:$AA$7)</f>
        <v>26-35</v>
      </c>
      <c r="T789" t="str">
        <f t="shared" si="36"/>
        <v>Positive</v>
      </c>
      <c r="U789" t="str">
        <f t="shared" si="37"/>
        <v>Not Sampled</v>
      </c>
      <c r="V789" s="1" t="str">
        <f t="shared" si="38"/>
        <v>Not Sampled</v>
      </c>
    </row>
    <row r="790" spans="1:22" x14ac:dyDescent="0.25">
      <c r="A790" s="1">
        <v>3</v>
      </c>
      <c r="B790" s="1">
        <v>115</v>
      </c>
      <c r="C790" s="1">
        <v>66</v>
      </c>
      <c r="D790" s="1">
        <v>39</v>
      </c>
      <c r="E790" s="1">
        <v>140</v>
      </c>
      <c r="F790" s="1">
        <v>38.1</v>
      </c>
      <c r="G790" s="1">
        <v>0.15</v>
      </c>
      <c r="H790" s="1">
        <v>28</v>
      </c>
      <c r="I790" s="1">
        <v>0</v>
      </c>
      <c r="J790" s="1" t="str">
        <f>IFERROR(VLOOKUP(K790,[1]diabetes_Recognition!$A:$B,2,FALSE),"Not Sampled")</f>
        <v>Not Sampled</v>
      </c>
      <c r="K790" s="1">
        <v>788</v>
      </c>
      <c r="L790" s="1" t="str">
        <f>LOOKUP(A790,Sheet2!$D$4:$E$9)</f>
        <v>3-4</v>
      </c>
      <c r="M790" t="str">
        <f>LOOKUP(B790,Sheet2!$G$4:$H$9)</f>
        <v>100-125</v>
      </c>
      <c r="N790" t="str">
        <f>LOOKUP(C790,Sheet2!$J$4:$K$8)</f>
        <v>60-69</v>
      </c>
      <c r="O790" t="str">
        <f>LOOKUP(D790,Sheet2!$M$4:$N$8)</f>
        <v>30-39</v>
      </c>
      <c r="P790" t="str">
        <f>LOOKUP(E790,Sheet2!$P$4:$Q$9)</f>
        <v>100-199</v>
      </c>
      <c r="Q790" t="str">
        <f>LOOKUP(F790,Sheet2!$S$4:$T$8)</f>
        <v>36+</v>
      </c>
      <c r="R790" t="str">
        <f>LOOKUP(G790,Sheet2!$V$4:$W$7)</f>
        <v>0.0 - 0.249</v>
      </c>
      <c r="S790" t="str">
        <f>LOOKUP(H790,Sheet2!$Z$4:$AA$7)</f>
        <v>26-35</v>
      </c>
      <c r="T790" t="str">
        <f t="shared" si="36"/>
        <v>Negative</v>
      </c>
      <c r="U790" t="str">
        <f t="shared" si="37"/>
        <v>Not Sampled</v>
      </c>
      <c r="V790" s="1" t="str">
        <f t="shared" si="38"/>
        <v>Not Sampled</v>
      </c>
    </row>
    <row r="791" spans="1:22" x14ac:dyDescent="0.25">
      <c r="A791" s="1">
        <v>6</v>
      </c>
      <c r="B791" s="1">
        <v>194</v>
      </c>
      <c r="C791" s="1">
        <v>78</v>
      </c>
      <c r="D791" s="1">
        <v>0</v>
      </c>
      <c r="E791" s="1">
        <v>0</v>
      </c>
      <c r="F791" s="1">
        <v>23.5</v>
      </c>
      <c r="G791" s="1">
        <v>0.129</v>
      </c>
      <c r="H791" s="1">
        <v>59</v>
      </c>
      <c r="I791" s="1">
        <v>1</v>
      </c>
      <c r="J791" s="1" t="str">
        <f>IFERROR(VLOOKUP(K791,[1]diabetes_Recognition!$A:$B,2,FALSE),"Not Sampled")</f>
        <v>Not Sampled</v>
      </c>
      <c r="K791" s="1">
        <v>789</v>
      </c>
      <c r="L791" s="1" t="str">
        <f>LOOKUP(A791,Sheet2!$D$4:$E$9)</f>
        <v>5-7</v>
      </c>
      <c r="M791" t="str">
        <f>LOOKUP(B791,Sheet2!$G$4:$H$9)</f>
        <v>176-200</v>
      </c>
      <c r="N791" t="str">
        <f>LOOKUP(C791,Sheet2!$J$4:$K$8)</f>
        <v>70-79</v>
      </c>
      <c r="O791" t="str">
        <f>LOOKUP(D791,Sheet2!$M$4:$N$8)</f>
        <v>Unknown</v>
      </c>
      <c r="P791" t="str">
        <f>LOOKUP(E791,Sheet2!$P$4:$Q$9)</f>
        <v>Unknown</v>
      </c>
      <c r="Q791" t="str">
        <f>LOOKUP(F791,Sheet2!$S$4:$T$8)</f>
        <v>1-25</v>
      </c>
      <c r="R791" t="str">
        <f>LOOKUP(G791,Sheet2!$V$4:$W$7)</f>
        <v>0.0 - 0.249</v>
      </c>
      <c r="S791" t="str">
        <f>LOOKUP(H791,Sheet2!$Z$4:$AA$7)</f>
        <v>46+</v>
      </c>
      <c r="T791" t="str">
        <f t="shared" si="36"/>
        <v>Positive</v>
      </c>
      <c r="U791" t="str">
        <f t="shared" si="37"/>
        <v>Not Sampled</v>
      </c>
      <c r="V791" s="1" t="str">
        <f t="shared" si="38"/>
        <v>Not Sampled</v>
      </c>
    </row>
    <row r="792" spans="1:22" x14ac:dyDescent="0.25">
      <c r="A792" s="1">
        <v>4</v>
      </c>
      <c r="B792" s="1">
        <v>129</v>
      </c>
      <c r="C792" s="1">
        <v>60</v>
      </c>
      <c r="D792" s="1">
        <v>12</v>
      </c>
      <c r="E792" s="1">
        <v>231</v>
      </c>
      <c r="F792" s="1">
        <v>27.5</v>
      </c>
      <c r="G792" s="1">
        <v>0.52700000000000002</v>
      </c>
      <c r="H792" s="1">
        <v>31</v>
      </c>
      <c r="I792" s="1">
        <v>0</v>
      </c>
      <c r="J792" s="1">
        <f>IFERROR(VLOOKUP(K792,[1]diabetes_Recognition!$A:$B,2,FALSE),"Not Sampled")</f>
        <v>0</v>
      </c>
      <c r="K792" s="1">
        <v>790</v>
      </c>
      <c r="L792" s="1" t="str">
        <f>LOOKUP(A792,Sheet2!$D$4:$E$9)</f>
        <v>3-4</v>
      </c>
      <c r="M792" t="str">
        <f>LOOKUP(B792,Sheet2!$G$4:$H$9)</f>
        <v>126-150</v>
      </c>
      <c r="N792" t="str">
        <f>LOOKUP(C792,Sheet2!$J$4:$K$8)</f>
        <v>60-69</v>
      </c>
      <c r="O792" t="str">
        <f>LOOKUP(D792,Sheet2!$M$4:$N$8)</f>
        <v>10-30</v>
      </c>
      <c r="P792" t="str">
        <f>LOOKUP(E792,Sheet2!$P$4:$Q$9)</f>
        <v>200-399</v>
      </c>
      <c r="Q792" t="str">
        <f>LOOKUP(F792,Sheet2!$S$4:$T$8)</f>
        <v>26-30</v>
      </c>
      <c r="R792" t="str">
        <f>LOOKUP(G792,Sheet2!$V$4:$W$7)</f>
        <v>0.4 - 0.69</v>
      </c>
      <c r="S792" t="str">
        <f>LOOKUP(H792,Sheet2!$Z$4:$AA$7)</f>
        <v>26-35</v>
      </c>
      <c r="T792" t="str">
        <f t="shared" si="36"/>
        <v>Negative</v>
      </c>
      <c r="U792" t="str">
        <f t="shared" si="37"/>
        <v>Negative</v>
      </c>
      <c r="V792" s="1" t="str">
        <f t="shared" si="38"/>
        <v>Accurate Prediction</v>
      </c>
    </row>
    <row r="793" spans="1:22" x14ac:dyDescent="0.25">
      <c r="A793" s="1">
        <v>3</v>
      </c>
      <c r="B793" s="1">
        <v>112</v>
      </c>
      <c r="C793" s="1">
        <v>74</v>
      </c>
      <c r="D793" s="1">
        <v>30</v>
      </c>
      <c r="E793" s="1">
        <v>0</v>
      </c>
      <c r="F793" s="1">
        <v>31.6</v>
      </c>
      <c r="G793" s="1">
        <v>0.19700000000000001</v>
      </c>
      <c r="H793" s="1">
        <v>25</v>
      </c>
      <c r="I793" s="1">
        <v>1</v>
      </c>
      <c r="J793" s="1" t="str">
        <f>IFERROR(VLOOKUP(K793,[1]diabetes_Recognition!$A:$B,2,FALSE),"Not Sampled")</f>
        <v>Not Sampled</v>
      </c>
      <c r="K793" s="1">
        <v>791</v>
      </c>
      <c r="L793" s="1" t="str">
        <f>LOOKUP(A793,Sheet2!$D$4:$E$9)</f>
        <v>3-4</v>
      </c>
      <c r="M793" t="str">
        <f>LOOKUP(B793,Sheet2!$G$4:$H$9)</f>
        <v>100-125</v>
      </c>
      <c r="N793" t="str">
        <f>LOOKUP(C793,Sheet2!$J$4:$K$8)</f>
        <v>70-79</v>
      </c>
      <c r="O793" t="str">
        <f>LOOKUP(D793,Sheet2!$M$4:$N$8)</f>
        <v>30-39</v>
      </c>
      <c r="P793" t="str">
        <f>LOOKUP(E793,Sheet2!$P$4:$Q$9)</f>
        <v>Unknown</v>
      </c>
      <c r="Q793" t="str">
        <f>LOOKUP(F793,Sheet2!$S$4:$T$8)</f>
        <v>31-35</v>
      </c>
      <c r="R793" t="str">
        <f>LOOKUP(G793,Sheet2!$V$4:$W$7)</f>
        <v>0.0 - 0.249</v>
      </c>
      <c r="S793" t="str">
        <f>LOOKUP(H793,Sheet2!$Z$4:$AA$7)</f>
        <v>&lt;=25</v>
      </c>
      <c r="T793" t="str">
        <f t="shared" si="36"/>
        <v>Positive</v>
      </c>
      <c r="U793" t="str">
        <f t="shared" si="37"/>
        <v>Not Sampled</v>
      </c>
      <c r="V793" s="1" t="str">
        <f t="shared" si="38"/>
        <v>Not Sampled</v>
      </c>
    </row>
    <row r="794" spans="1:22" x14ac:dyDescent="0.25">
      <c r="A794" s="1">
        <v>0</v>
      </c>
      <c r="B794" s="1">
        <v>124</v>
      </c>
      <c r="C794" s="1">
        <v>70</v>
      </c>
      <c r="D794" s="1">
        <v>20</v>
      </c>
      <c r="E794" s="1">
        <v>0</v>
      </c>
      <c r="F794" s="1">
        <v>27.4</v>
      </c>
      <c r="G794" s="1">
        <v>0.254</v>
      </c>
      <c r="H794" s="1">
        <v>36</v>
      </c>
      <c r="I794" s="1">
        <v>1</v>
      </c>
      <c r="J794" s="1" t="str">
        <f>IFERROR(VLOOKUP(K794,[1]diabetes_Recognition!$A:$B,2,FALSE),"Not Sampled")</f>
        <v>Not Sampled</v>
      </c>
      <c r="K794" s="1">
        <v>792</v>
      </c>
      <c r="L794" s="1">
        <f>LOOKUP(A794,Sheet2!$D$4:$E$9)</f>
        <v>0</v>
      </c>
      <c r="M794" t="str">
        <f>LOOKUP(B794,Sheet2!$G$4:$H$9)</f>
        <v>100-125</v>
      </c>
      <c r="N794" t="str">
        <f>LOOKUP(C794,Sheet2!$J$4:$K$8)</f>
        <v>70-79</v>
      </c>
      <c r="O794" t="str">
        <f>LOOKUP(D794,Sheet2!$M$4:$N$8)</f>
        <v>10-30</v>
      </c>
      <c r="P794" t="str">
        <f>LOOKUP(E794,Sheet2!$P$4:$Q$9)</f>
        <v>Unknown</v>
      </c>
      <c r="Q794" t="str">
        <f>LOOKUP(F794,Sheet2!$S$4:$T$8)</f>
        <v>26-30</v>
      </c>
      <c r="R794" t="str">
        <f>LOOKUP(G794,Sheet2!$V$4:$W$7)</f>
        <v>0.25 - 0.39</v>
      </c>
      <c r="S794" t="str">
        <f>LOOKUP(H794,Sheet2!$Z$4:$AA$7)</f>
        <v>36-45</v>
      </c>
      <c r="T794" t="str">
        <f t="shared" si="36"/>
        <v>Positive</v>
      </c>
      <c r="U794" t="str">
        <f t="shared" si="37"/>
        <v>Not Sampled</v>
      </c>
      <c r="V794" s="1" t="str">
        <f t="shared" si="38"/>
        <v>Not Sampled</v>
      </c>
    </row>
    <row r="795" spans="1:22" x14ac:dyDescent="0.25">
      <c r="A795" s="1">
        <v>13</v>
      </c>
      <c r="B795" s="1">
        <v>152</v>
      </c>
      <c r="C795" s="1">
        <v>90</v>
      </c>
      <c r="D795" s="1">
        <v>33</v>
      </c>
      <c r="E795" s="1">
        <v>29</v>
      </c>
      <c r="F795" s="1">
        <v>26.8</v>
      </c>
      <c r="G795" s="1">
        <v>0.73099999999999998</v>
      </c>
      <c r="H795" s="1">
        <v>43</v>
      </c>
      <c r="I795" s="1">
        <v>1</v>
      </c>
      <c r="J795" s="1">
        <f>IFERROR(VLOOKUP(K795,[1]diabetes_Recognition!$A:$B,2,FALSE),"Not Sampled")</f>
        <v>1</v>
      </c>
      <c r="K795" s="1">
        <v>793</v>
      </c>
      <c r="L795" s="1" t="str">
        <f>LOOKUP(A795,Sheet2!$D$4:$E$9)</f>
        <v>8+</v>
      </c>
      <c r="M795" t="str">
        <f>LOOKUP(B795,Sheet2!$G$4:$H$9)</f>
        <v>151-175</v>
      </c>
      <c r="N795" t="str">
        <f>LOOKUP(C795,Sheet2!$J$4:$K$8)</f>
        <v>80+</v>
      </c>
      <c r="O795" t="str">
        <f>LOOKUP(D795,Sheet2!$M$4:$N$8)</f>
        <v>30-39</v>
      </c>
      <c r="P795" t="str">
        <f>LOOKUP(E795,Sheet2!$P$4:$Q$9)</f>
        <v>1-99</v>
      </c>
      <c r="Q795" t="str">
        <f>LOOKUP(F795,Sheet2!$S$4:$T$8)</f>
        <v>26-30</v>
      </c>
      <c r="R795" t="str">
        <f>LOOKUP(G795,Sheet2!$V$4:$W$7)</f>
        <v>0.7+</v>
      </c>
      <c r="S795" t="str">
        <f>LOOKUP(H795,Sheet2!$Z$4:$AA$7)</f>
        <v>36-45</v>
      </c>
      <c r="T795" t="str">
        <f t="shared" si="36"/>
        <v>Positive</v>
      </c>
      <c r="U795" t="str">
        <f t="shared" si="37"/>
        <v>Positive</v>
      </c>
      <c r="V795" s="1" t="str">
        <f t="shared" si="38"/>
        <v>Accurate Prediction</v>
      </c>
    </row>
    <row r="796" spans="1:22" x14ac:dyDescent="0.25">
      <c r="A796" s="1">
        <v>2</v>
      </c>
      <c r="B796" s="1">
        <v>112</v>
      </c>
      <c r="C796" s="1">
        <v>75</v>
      </c>
      <c r="D796" s="1">
        <v>32</v>
      </c>
      <c r="E796" s="1">
        <v>0</v>
      </c>
      <c r="F796" s="1">
        <v>35.700000000000003</v>
      </c>
      <c r="G796" s="1">
        <v>0.14799999999999999</v>
      </c>
      <c r="H796" s="1">
        <v>21</v>
      </c>
      <c r="I796" s="1">
        <v>0</v>
      </c>
      <c r="J796" s="1" t="str">
        <f>IFERROR(VLOOKUP(K796,[1]diabetes_Recognition!$A:$B,2,FALSE),"Not Sampled")</f>
        <v>Not Sampled</v>
      </c>
      <c r="K796" s="1">
        <v>794</v>
      </c>
      <c r="L796" s="1">
        <f>LOOKUP(A796,Sheet2!$D$4:$E$9)</f>
        <v>2</v>
      </c>
      <c r="M796" t="str">
        <f>LOOKUP(B796,Sheet2!$G$4:$H$9)</f>
        <v>100-125</v>
      </c>
      <c r="N796" t="str">
        <f>LOOKUP(C796,Sheet2!$J$4:$K$8)</f>
        <v>70-79</v>
      </c>
      <c r="O796" t="str">
        <f>LOOKUP(D796,Sheet2!$M$4:$N$8)</f>
        <v>30-39</v>
      </c>
      <c r="P796" t="str">
        <f>LOOKUP(E796,Sheet2!$P$4:$Q$9)</f>
        <v>Unknown</v>
      </c>
      <c r="Q796" t="str">
        <f>LOOKUP(F796,Sheet2!$S$4:$T$8)</f>
        <v>31-35</v>
      </c>
      <c r="R796" t="str">
        <f>LOOKUP(G796,Sheet2!$V$4:$W$7)</f>
        <v>0.0 - 0.249</v>
      </c>
      <c r="S796" t="str">
        <f>LOOKUP(H796,Sheet2!$Z$4:$AA$7)</f>
        <v>&lt;=25</v>
      </c>
      <c r="T796" t="str">
        <f t="shared" si="36"/>
        <v>Negative</v>
      </c>
      <c r="U796" t="str">
        <f t="shared" si="37"/>
        <v>Not Sampled</v>
      </c>
      <c r="V796" s="1" t="str">
        <f t="shared" si="38"/>
        <v>Not Sampled</v>
      </c>
    </row>
    <row r="797" spans="1:22" x14ac:dyDescent="0.25">
      <c r="A797" s="1">
        <v>1</v>
      </c>
      <c r="B797" s="1">
        <v>157</v>
      </c>
      <c r="C797" s="1">
        <v>72</v>
      </c>
      <c r="D797" s="1">
        <v>21</v>
      </c>
      <c r="E797" s="1">
        <v>168</v>
      </c>
      <c r="F797" s="1">
        <v>25.6</v>
      </c>
      <c r="G797" s="1">
        <v>0.123</v>
      </c>
      <c r="H797" s="1">
        <v>24</v>
      </c>
      <c r="I797" s="1">
        <v>0</v>
      </c>
      <c r="J797" s="1" t="str">
        <f>IFERROR(VLOOKUP(K797,[1]diabetes_Recognition!$A:$B,2,FALSE),"Not Sampled")</f>
        <v>Not Sampled</v>
      </c>
      <c r="K797" s="1">
        <v>795</v>
      </c>
      <c r="L797" s="1">
        <f>LOOKUP(A797,Sheet2!$D$4:$E$9)</f>
        <v>1</v>
      </c>
      <c r="M797" t="str">
        <f>LOOKUP(B797,Sheet2!$G$4:$H$9)</f>
        <v>151-175</v>
      </c>
      <c r="N797" t="str">
        <f>LOOKUP(C797,Sheet2!$J$4:$K$8)</f>
        <v>70-79</v>
      </c>
      <c r="O797" t="str">
        <f>LOOKUP(D797,Sheet2!$M$4:$N$8)</f>
        <v>10-30</v>
      </c>
      <c r="P797" t="str">
        <f>LOOKUP(E797,Sheet2!$P$4:$Q$9)</f>
        <v>100-199</v>
      </c>
      <c r="Q797" t="str">
        <f>LOOKUP(F797,Sheet2!$S$4:$T$8)</f>
        <v>1-25</v>
      </c>
      <c r="R797" t="str">
        <f>LOOKUP(G797,Sheet2!$V$4:$W$7)</f>
        <v>0.0 - 0.249</v>
      </c>
      <c r="S797" t="str">
        <f>LOOKUP(H797,Sheet2!$Z$4:$AA$7)</f>
        <v>&lt;=25</v>
      </c>
      <c r="T797" t="str">
        <f t="shared" si="36"/>
        <v>Negative</v>
      </c>
      <c r="U797" t="str">
        <f t="shared" si="37"/>
        <v>Not Sampled</v>
      </c>
      <c r="V797" s="1" t="str">
        <f t="shared" si="38"/>
        <v>Not Sampled</v>
      </c>
    </row>
    <row r="798" spans="1:22" x14ac:dyDescent="0.25">
      <c r="A798" s="1">
        <v>1</v>
      </c>
      <c r="B798" s="1">
        <v>122</v>
      </c>
      <c r="C798" s="1">
        <v>64</v>
      </c>
      <c r="D798" s="1">
        <v>32</v>
      </c>
      <c r="E798" s="1">
        <v>156</v>
      </c>
      <c r="F798" s="1">
        <v>35.1</v>
      </c>
      <c r="G798" s="1">
        <v>0.69199999999999995</v>
      </c>
      <c r="H798" s="1">
        <v>30</v>
      </c>
      <c r="I798" s="1">
        <v>1</v>
      </c>
      <c r="J798" s="1" t="str">
        <f>IFERROR(VLOOKUP(K798,[1]diabetes_Recognition!$A:$B,2,FALSE),"Not Sampled")</f>
        <v>Not Sampled</v>
      </c>
      <c r="K798" s="1">
        <v>796</v>
      </c>
      <c r="L798" s="1">
        <f>LOOKUP(A798,Sheet2!$D$4:$E$9)</f>
        <v>1</v>
      </c>
      <c r="M798" t="str">
        <f>LOOKUP(B798,Sheet2!$G$4:$H$9)</f>
        <v>100-125</v>
      </c>
      <c r="N798" t="str">
        <f>LOOKUP(C798,Sheet2!$J$4:$K$8)</f>
        <v>60-69</v>
      </c>
      <c r="O798" t="str">
        <f>LOOKUP(D798,Sheet2!$M$4:$N$8)</f>
        <v>30-39</v>
      </c>
      <c r="P798" t="str">
        <f>LOOKUP(E798,Sheet2!$P$4:$Q$9)</f>
        <v>100-199</v>
      </c>
      <c r="Q798" t="str">
        <f>LOOKUP(F798,Sheet2!$S$4:$T$8)</f>
        <v>31-35</v>
      </c>
      <c r="R798" t="str">
        <f>LOOKUP(G798,Sheet2!$V$4:$W$7)</f>
        <v>0.4 - 0.69</v>
      </c>
      <c r="S798" t="str">
        <f>LOOKUP(H798,Sheet2!$Z$4:$AA$7)</f>
        <v>26-35</v>
      </c>
      <c r="T798" t="str">
        <f t="shared" si="36"/>
        <v>Positive</v>
      </c>
      <c r="U798" t="str">
        <f t="shared" si="37"/>
        <v>Not Sampled</v>
      </c>
      <c r="V798" s="1" t="str">
        <f t="shared" si="38"/>
        <v>Not Sampled</v>
      </c>
    </row>
    <row r="799" spans="1:22" x14ac:dyDescent="0.25">
      <c r="A799" s="1">
        <v>10</v>
      </c>
      <c r="B799" s="1">
        <v>179</v>
      </c>
      <c r="C799" s="1">
        <v>70</v>
      </c>
      <c r="D799" s="1">
        <v>0</v>
      </c>
      <c r="E799" s="1">
        <v>0</v>
      </c>
      <c r="F799" s="1">
        <v>35.1</v>
      </c>
      <c r="G799" s="1">
        <v>0.2</v>
      </c>
      <c r="H799" s="1">
        <v>37</v>
      </c>
      <c r="I799" s="1">
        <v>0</v>
      </c>
      <c r="J799" s="1" t="str">
        <f>IFERROR(VLOOKUP(K799,[1]diabetes_Recognition!$A:$B,2,FALSE),"Not Sampled")</f>
        <v>Not Sampled</v>
      </c>
      <c r="K799" s="1">
        <v>797</v>
      </c>
      <c r="L799" s="1" t="str">
        <f>LOOKUP(A799,Sheet2!$D$4:$E$9)</f>
        <v>8+</v>
      </c>
      <c r="M799" t="str">
        <f>LOOKUP(B799,Sheet2!$G$4:$H$9)</f>
        <v>176-200</v>
      </c>
      <c r="N799" t="str">
        <f>LOOKUP(C799,Sheet2!$J$4:$K$8)</f>
        <v>70-79</v>
      </c>
      <c r="O799" t="str">
        <f>LOOKUP(D799,Sheet2!$M$4:$N$8)</f>
        <v>Unknown</v>
      </c>
      <c r="P799" t="str">
        <f>LOOKUP(E799,Sheet2!$P$4:$Q$9)</f>
        <v>Unknown</v>
      </c>
      <c r="Q799" t="str">
        <f>LOOKUP(F799,Sheet2!$S$4:$T$8)</f>
        <v>31-35</v>
      </c>
      <c r="R799" t="str">
        <f>LOOKUP(G799,Sheet2!$V$4:$W$7)</f>
        <v>0.0 - 0.249</v>
      </c>
      <c r="S799" t="str">
        <f>LOOKUP(H799,Sheet2!$Z$4:$AA$7)</f>
        <v>36-45</v>
      </c>
      <c r="T799" t="str">
        <f t="shared" si="36"/>
        <v>Negative</v>
      </c>
      <c r="U799" t="str">
        <f t="shared" si="37"/>
        <v>Not Sampled</v>
      </c>
      <c r="V799" s="1" t="str">
        <f t="shared" si="38"/>
        <v>Not Sampled</v>
      </c>
    </row>
    <row r="800" spans="1:22" x14ac:dyDescent="0.25">
      <c r="A800" s="1">
        <v>2</v>
      </c>
      <c r="B800" s="1">
        <v>102</v>
      </c>
      <c r="C800" s="1">
        <v>86</v>
      </c>
      <c r="D800" s="1">
        <v>36</v>
      </c>
      <c r="E800" s="1">
        <v>120</v>
      </c>
      <c r="F800" s="1">
        <v>45.5</v>
      </c>
      <c r="G800" s="1">
        <v>0.127</v>
      </c>
      <c r="H800" s="1">
        <v>23</v>
      </c>
      <c r="I800" s="1">
        <v>1</v>
      </c>
      <c r="J800" s="1" t="str">
        <f>IFERROR(VLOOKUP(K800,[1]diabetes_Recognition!$A:$B,2,FALSE),"Not Sampled")</f>
        <v>Not Sampled</v>
      </c>
      <c r="K800" s="1">
        <v>798</v>
      </c>
      <c r="L800" s="1">
        <f>LOOKUP(A800,Sheet2!$D$4:$E$9)</f>
        <v>2</v>
      </c>
      <c r="M800" t="str">
        <f>LOOKUP(B800,Sheet2!$G$4:$H$9)</f>
        <v>100-125</v>
      </c>
      <c r="N800" t="str">
        <f>LOOKUP(C800,Sheet2!$J$4:$K$8)</f>
        <v>80+</v>
      </c>
      <c r="O800" t="str">
        <f>LOOKUP(D800,Sheet2!$M$4:$N$8)</f>
        <v>30-39</v>
      </c>
      <c r="P800" t="str">
        <f>LOOKUP(E800,Sheet2!$P$4:$Q$9)</f>
        <v>100-199</v>
      </c>
      <c r="Q800" t="str">
        <f>LOOKUP(F800,Sheet2!$S$4:$T$8)</f>
        <v>36+</v>
      </c>
      <c r="R800" t="str">
        <f>LOOKUP(G800,Sheet2!$V$4:$W$7)</f>
        <v>0.0 - 0.249</v>
      </c>
      <c r="S800" t="str">
        <f>LOOKUP(H800,Sheet2!$Z$4:$AA$7)</f>
        <v>&lt;=25</v>
      </c>
      <c r="T800" t="str">
        <f t="shared" si="36"/>
        <v>Positive</v>
      </c>
      <c r="U800" t="str">
        <f t="shared" si="37"/>
        <v>Not Sampled</v>
      </c>
      <c r="V800" s="1" t="str">
        <f t="shared" si="38"/>
        <v>Not Sampled</v>
      </c>
    </row>
    <row r="801" spans="1:22" x14ac:dyDescent="0.25">
      <c r="A801" s="1">
        <v>6</v>
      </c>
      <c r="B801" s="1">
        <v>105</v>
      </c>
      <c r="C801" s="1">
        <v>70</v>
      </c>
      <c r="D801" s="1">
        <v>32</v>
      </c>
      <c r="E801" s="1">
        <v>68</v>
      </c>
      <c r="F801" s="1">
        <v>30.8</v>
      </c>
      <c r="G801" s="1">
        <v>0.122</v>
      </c>
      <c r="H801" s="1">
        <v>37</v>
      </c>
      <c r="I801" s="1">
        <v>0</v>
      </c>
      <c r="J801" s="1" t="str">
        <f>IFERROR(VLOOKUP(K801,[1]diabetes_Recognition!$A:$B,2,FALSE),"Not Sampled")</f>
        <v>Not Sampled</v>
      </c>
      <c r="K801" s="1">
        <v>799</v>
      </c>
      <c r="L801" s="1" t="str">
        <f>LOOKUP(A801,Sheet2!$D$4:$E$9)</f>
        <v>5-7</v>
      </c>
      <c r="M801" t="str">
        <f>LOOKUP(B801,Sheet2!$G$4:$H$9)</f>
        <v>100-125</v>
      </c>
      <c r="N801" t="str">
        <f>LOOKUP(C801,Sheet2!$J$4:$K$8)</f>
        <v>70-79</v>
      </c>
      <c r="O801" t="str">
        <f>LOOKUP(D801,Sheet2!$M$4:$N$8)</f>
        <v>30-39</v>
      </c>
      <c r="P801" t="str">
        <f>LOOKUP(E801,Sheet2!$P$4:$Q$9)</f>
        <v>1-99</v>
      </c>
      <c r="Q801" t="str">
        <f>LOOKUP(F801,Sheet2!$S$4:$T$8)</f>
        <v>26-30</v>
      </c>
      <c r="R801" t="str">
        <f>LOOKUP(G801,Sheet2!$V$4:$W$7)</f>
        <v>0.0 - 0.249</v>
      </c>
      <c r="S801" t="str">
        <f>LOOKUP(H801,Sheet2!$Z$4:$AA$7)</f>
        <v>36-45</v>
      </c>
      <c r="T801" t="str">
        <f t="shared" si="36"/>
        <v>Negative</v>
      </c>
      <c r="U801" t="str">
        <f t="shared" si="37"/>
        <v>Not Sampled</v>
      </c>
      <c r="V801" s="1" t="str">
        <f t="shared" si="38"/>
        <v>Not Sampled</v>
      </c>
    </row>
    <row r="802" spans="1:22" x14ac:dyDescent="0.25">
      <c r="A802" s="1">
        <v>8</v>
      </c>
      <c r="B802" s="1">
        <v>118</v>
      </c>
      <c r="C802" s="1">
        <v>72</v>
      </c>
      <c r="D802" s="1">
        <v>19</v>
      </c>
      <c r="E802" s="1">
        <v>0</v>
      </c>
      <c r="F802" s="1">
        <v>23.1</v>
      </c>
      <c r="G802" s="1">
        <v>1.476</v>
      </c>
      <c r="H802" s="1">
        <v>46</v>
      </c>
      <c r="I802" s="1">
        <v>0</v>
      </c>
      <c r="J802" s="1" t="str">
        <f>IFERROR(VLOOKUP(K802,[1]diabetes_Recognition!$A:$B,2,FALSE),"Not Sampled")</f>
        <v>Not Sampled</v>
      </c>
      <c r="K802" s="1">
        <v>800</v>
      </c>
      <c r="L802" s="1" t="str">
        <f>LOOKUP(A802,Sheet2!$D$4:$E$9)</f>
        <v>8+</v>
      </c>
      <c r="M802" t="str">
        <f>LOOKUP(B802,Sheet2!$G$4:$H$9)</f>
        <v>100-125</v>
      </c>
      <c r="N802" t="str">
        <f>LOOKUP(C802,Sheet2!$J$4:$K$8)</f>
        <v>70-79</v>
      </c>
      <c r="O802" t="str">
        <f>LOOKUP(D802,Sheet2!$M$4:$N$8)</f>
        <v>10-30</v>
      </c>
      <c r="P802" t="str">
        <f>LOOKUP(E802,Sheet2!$P$4:$Q$9)</f>
        <v>Unknown</v>
      </c>
      <c r="Q802" t="str">
        <f>LOOKUP(F802,Sheet2!$S$4:$T$8)</f>
        <v>1-25</v>
      </c>
      <c r="R802" t="str">
        <f>LOOKUP(G802,Sheet2!$V$4:$W$7)</f>
        <v>0.7+</v>
      </c>
      <c r="S802" t="str">
        <f>LOOKUP(H802,Sheet2!$Z$4:$AA$7)</f>
        <v>46+</v>
      </c>
      <c r="T802" t="str">
        <f t="shared" si="36"/>
        <v>Negative</v>
      </c>
      <c r="U802" t="str">
        <f t="shared" si="37"/>
        <v>Not Sampled</v>
      </c>
      <c r="V802" s="1" t="str">
        <f t="shared" si="38"/>
        <v>Not Sampled</v>
      </c>
    </row>
    <row r="803" spans="1:22" x14ac:dyDescent="0.25">
      <c r="A803" s="1">
        <v>2</v>
      </c>
      <c r="B803" s="1">
        <v>87</v>
      </c>
      <c r="C803" s="1">
        <v>58</v>
      </c>
      <c r="D803" s="1">
        <v>16</v>
      </c>
      <c r="E803" s="1">
        <v>52</v>
      </c>
      <c r="F803" s="1">
        <v>32.700000000000003</v>
      </c>
      <c r="G803" s="1">
        <v>0.16600000000000001</v>
      </c>
      <c r="H803" s="1">
        <v>25</v>
      </c>
      <c r="I803" s="1">
        <v>0</v>
      </c>
      <c r="J803" s="1">
        <f>IFERROR(VLOOKUP(K803,[1]diabetes_Recognition!$A:$B,2,FALSE),"Not Sampled")</f>
        <v>0</v>
      </c>
      <c r="K803" s="1">
        <v>801</v>
      </c>
      <c r="L803" s="1">
        <f>LOOKUP(A803,Sheet2!$D$4:$E$9)</f>
        <v>2</v>
      </c>
      <c r="M803" t="str">
        <f>LOOKUP(B803,Sheet2!$G$4:$H$9)</f>
        <v>1-99</v>
      </c>
      <c r="N803" t="str">
        <f>LOOKUP(C803,Sheet2!$J$4:$K$8)</f>
        <v>1-59</v>
      </c>
      <c r="O803" t="str">
        <f>LOOKUP(D803,Sheet2!$M$4:$N$8)</f>
        <v>10-30</v>
      </c>
      <c r="P803" t="str">
        <f>LOOKUP(E803,Sheet2!$P$4:$Q$9)</f>
        <v>1-99</v>
      </c>
      <c r="Q803" t="str">
        <f>LOOKUP(F803,Sheet2!$S$4:$T$8)</f>
        <v>31-35</v>
      </c>
      <c r="R803" t="str">
        <f>LOOKUP(G803,Sheet2!$V$4:$W$7)</f>
        <v>0.0 - 0.249</v>
      </c>
      <c r="S803" t="str">
        <f>LOOKUP(H803,Sheet2!$Z$4:$AA$7)</f>
        <v>&lt;=25</v>
      </c>
      <c r="T803" t="str">
        <f t="shared" si="36"/>
        <v>Negative</v>
      </c>
      <c r="U803" t="str">
        <f t="shared" si="37"/>
        <v>Negative</v>
      </c>
      <c r="V803" s="1" t="str">
        <f t="shared" si="38"/>
        <v>Accurate Prediction</v>
      </c>
    </row>
    <row r="804" spans="1:22" x14ac:dyDescent="0.25">
      <c r="A804" s="1">
        <v>1</v>
      </c>
      <c r="B804" s="1">
        <v>180</v>
      </c>
      <c r="C804" s="1">
        <v>0</v>
      </c>
      <c r="D804" s="1">
        <v>0</v>
      </c>
      <c r="E804" s="1">
        <v>0</v>
      </c>
      <c r="F804" s="1">
        <v>43.3</v>
      </c>
      <c r="G804" s="1">
        <v>0.28199999999999997</v>
      </c>
      <c r="H804" s="1">
        <v>41</v>
      </c>
      <c r="I804" s="1">
        <v>1</v>
      </c>
      <c r="J804" s="1">
        <f>IFERROR(VLOOKUP(K804,[1]diabetes_Recognition!$A:$B,2,FALSE),"Not Sampled")</f>
        <v>1</v>
      </c>
      <c r="K804" s="1">
        <v>802</v>
      </c>
      <c r="L804" s="1">
        <f>LOOKUP(A804,Sheet2!$D$4:$E$9)</f>
        <v>1</v>
      </c>
      <c r="M804" t="str">
        <f>LOOKUP(B804,Sheet2!$G$4:$H$9)</f>
        <v>176-200</v>
      </c>
      <c r="N804" t="str">
        <f>LOOKUP(C804,Sheet2!$J$4:$K$8)</f>
        <v>Unknown</v>
      </c>
      <c r="O804" t="str">
        <f>LOOKUP(D804,Sheet2!$M$4:$N$8)</f>
        <v>Unknown</v>
      </c>
      <c r="P804" t="str">
        <f>LOOKUP(E804,Sheet2!$P$4:$Q$9)</f>
        <v>Unknown</v>
      </c>
      <c r="Q804" t="str">
        <f>LOOKUP(F804,Sheet2!$S$4:$T$8)</f>
        <v>36+</v>
      </c>
      <c r="R804" t="str">
        <f>LOOKUP(G804,Sheet2!$V$4:$W$7)</f>
        <v>0.25 - 0.39</v>
      </c>
      <c r="S804" t="str">
        <f>LOOKUP(H804,Sheet2!$Z$4:$AA$7)</f>
        <v>36-45</v>
      </c>
      <c r="T804" t="str">
        <f t="shared" si="36"/>
        <v>Positive</v>
      </c>
      <c r="U804" t="str">
        <f t="shared" si="37"/>
        <v>Positive</v>
      </c>
      <c r="V804" s="1" t="str">
        <f t="shared" si="38"/>
        <v>Accurate Prediction</v>
      </c>
    </row>
    <row r="805" spans="1:22" x14ac:dyDescent="0.25">
      <c r="A805" s="1">
        <v>12</v>
      </c>
      <c r="B805" s="1">
        <v>106</v>
      </c>
      <c r="C805" s="1">
        <v>80</v>
      </c>
      <c r="D805" s="1">
        <v>0</v>
      </c>
      <c r="E805" s="1">
        <v>0</v>
      </c>
      <c r="F805" s="1">
        <v>23.6</v>
      </c>
      <c r="G805" s="1">
        <v>0.13700000000000001</v>
      </c>
      <c r="H805" s="1">
        <v>44</v>
      </c>
      <c r="I805" s="1">
        <v>0</v>
      </c>
      <c r="J805" s="1" t="str">
        <f>IFERROR(VLOOKUP(K805,[1]diabetes_Recognition!$A:$B,2,FALSE),"Not Sampled")</f>
        <v>Not Sampled</v>
      </c>
      <c r="K805" s="1">
        <v>803</v>
      </c>
      <c r="L805" s="1" t="str">
        <f>LOOKUP(A805,Sheet2!$D$4:$E$9)</f>
        <v>8+</v>
      </c>
      <c r="M805" t="str">
        <f>LOOKUP(B805,Sheet2!$G$4:$H$9)</f>
        <v>100-125</v>
      </c>
      <c r="N805" t="str">
        <f>LOOKUP(C805,Sheet2!$J$4:$K$8)</f>
        <v>80+</v>
      </c>
      <c r="O805" t="str">
        <f>LOOKUP(D805,Sheet2!$M$4:$N$8)</f>
        <v>Unknown</v>
      </c>
      <c r="P805" t="str">
        <f>LOOKUP(E805,Sheet2!$P$4:$Q$9)</f>
        <v>Unknown</v>
      </c>
      <c r="Q805" t="str">
        <f>LOOKUP(F805,Sheet2!$S$4:$T$8)</f>
        <v>1-25</v>
      </c>
      <c r="R805" t="str">
        <f>LOOKUP(G805,Sheet2!$V$4:$W$7)</f>
        <v>0.0 - 0.249</v>
      </c>
      <c r="S805" t="str">
        <f>LOOKUP(H805,Sheet2!$Z$4:$AA$7)</f>
        <v>36-45</v>
      </c>
      <c r="T805" t="str">
        <f t="shared" si="36"/>
        <v>Negative</v>
      </c>
      <c r="U805" t="str">
        <f t="shared" si="37"/>
        <v>Not Sampled</v>
      </c>
      <c r="V805" s="1" t="str">
        <f t="shared" si="38"/>
        <v>Not Sampled</v>
      </c>
    </row>
    <row r="806" spans="1:22" x14ac:dyDescent="0.25">
      <c r="A806" s="1">
        <v>1</v>
      </c>
      <c r="B806" s="1">
        <v>95</v>
      </c>
      <c r="C806" s="1">
        <v>60</v>
      </c>
      <c r="D806" s="1">
        <v>18</v>
      </c>
      <c r="E806" s="1">
        <v>58</v>
      </c>
      <c r="F806" s="1">
        <v>23.9</v>
      </c>
      <c r="G806" s="1">
        <v>0.26</v>
      </c>
      <c r="H806" s="1">
        <v>22</v>
      </c>
      <c r="I806" s="1">
        <v>0</v>
      </c>
      <c r="J806" s="1">
        <f>IFERROR(VLOOKUP(K806,[1]diabetes_Recognition!$A:$B,2,FALSE),"Not Sampled")</f>
        <v>0</v>
      </c>
      <c r="K806" s="1">
        <v>804</v>
      </c>
      <c r="L806" s="1">
        <f>LOOKUP(A806,Sheet2!$D$4:$E$9)</f>
        <v>1</v>
      </c>
      <c r="M806" t="str">
        <f>LOOKUP(B806,Sheet2!$G$4:$H$9)</f>
        <v>1-99</v>
      </c>
      <c r="N806" t="str">
        <f>LOOKUP(C806,Sheet2!$J$4:$K$8)</f>
        <v>60-69</v>
      </c>
      <c r="O806" t="str">
        <f>LOOKUP(D806,Sheet2!$M$4:$N$8)</f>
        <v>10-30</v>
      </c>
      <c r="P806" t="str">
        <f>LOOKUP(E806,Sheet2!$P$4:$Q$9)</f>
        <v>1-99</v>
      </c>
      <c r="Q806" t="str">
        <f>LOOKUP(F806,Sheet2!$S$4:$T$8)</f>
        <v>1-25</v>
      </c>
      <c r="R806" t="str">
        <f>LOOKUP(G806,Sheet2!$V$4:$W$7)</f>
        <v>0.25 - 0.39</v>
      </c>
      <c r="S806" t="str">
        <f>LOOKUP(H806,Sheet2!$Z$4:$AA$7)</f>
        <v>&lt;=25</v>
      </c>
      <c r="T806" t="str">
        <f t="shared" si="36"/>
        <v>Negative</v>
      </c>
      <c r="U806" t="str">
        <f t="shared" si="37"/>
        <v>Negative</v>
      </c>
      <c r="V806" s="1" t="str">
        <f t="shared" si="38"/>
        <v>Accurate Prediction</v>
      </c>
    </row>
    <row r="807" spans="1:22" x14ac:dyDescent="0.25">
      <c r="A807" s="1">
        <v>0</v>
      </c>
      <c r="B807" s="1">
        <v>165</v>
      </c>
      <c r="C807" s="1">
        <v>76</v>
      </c>
      <c r="D807" s="1">
        <v>43</v>
      </c>
      <c r="E807" s="1">
        <v>255</v>
      </c>
      <c r="F807" s="1">
        <v>47.9</v>
      </c>
      <c r="G807" s="1">
        <v>0.25900000000000001</v>
      </c>
      <c r="H807" s="1">
        <v>26</v>
      </c>
      <c r="I807" s="1">
        <v>0</v>
      </c>
      <c r="J807" s="1" t="str">
        <f>IFERROR(VLOOKUP(K807,[1]diabetes_Recognition!$A:$B,2,FALSE),"Not Sampled")</f>
        <v>Not Sampled</v>
      </c>
      <c r="K807" s="1">
        <v>805</v>
      </c>
      <c r="L807" s="1">
        <f>LOOKUP(A807,Sheet2!$D$4:$E$9)</f>
        <v>0</v>
      </c>
      <c r="M807" t="str">
        <f>LOOKUP(B807,Sheet2!$G$4:$H$9)</f>
        <v>151-175</v>
      </c>
      <c r="N807" t="str">
        <f>LOOKUP(C807,Sheet2!$J$4:$K$8)</f>
        <v>70-79</v>
      </c>
      <c r="O807" t="str">
        <f>LOOKUP(D807,Sheet2!$M$4:$N$8)</f>
        <v>40+</v>
      </c>
      <c r="P807" t="str">
        <f>LOOKUP(E807,Sheet2!$P$4:$Q$9)</f>
        <v>200-399</v>
      </c>
      <c r="Q807" t="str">
        <f>LOOKUP(F807,Sheet2!$S$4:$T$8)</f>
        <v>36+</v>
      </c>
      <c r="R807" t="str">
        <f>LOOKUP(G807,Sheet2!$V$4:$W$7)</f>
        <v>0.25 - 0.39</v>
      </c>
      <c r="S807" t="str">
        <f>LOOKUP(H807,Sheet2!$Z$4:$AA$7)</f>
        <v>26-35</v>
      </c>
      <c r="T807" t="str">
        <f t="shared" si="36"/>
        <v>Negative</v>
      </c>
      <c r="U807" t="str">
        <f t="shared" si="37"/>
        <v>Not Sampled</v>
      </c>
      <c r="V807" s="1" t="str">
        <f t="shared" si="38"/>
        <v>Not Sampled</v>
      </c>
    </row>
    <row r="808" spans="1:22" x14ac:dyDescent="0.25">
      <c r="A808" s="1">
        <v>0</v>
      </c>
      <c r="B808" s="1">
        <v>117</v>
      </c>
      <c r="C808" s="1">
        <v>0</v>
      </c>
      <c r="D808" s="1">
        <v>0</v>
      </c>
      <c r="E808" s="1">
        <v>0</v>
      </c>
      <c r="F808" s="1">
        <v>33.799999999999997</v>
      </c>
      <c r="G808" s="1">
        <v>0.93200000000000005</v>
      </c>
      <c r="H808" s="1">
        <v>44</v>
      </c>
      <c r="I808" s="1">
        <v>0</v>
      </c>
      <c r="J808" s="1" t="str">
        <f>IFERROR(VLOOKUP(K808,[1]diabetes_Recognition!$A:$B,2,FALSE),"Not Sampled")</f>
        <v>Not Sampled</v>
      </c>
      <c r="K808" s="1">
        <v>806</v>
      </c>
      <c r="L808" s="1">
        <f>LOOKUP(A808,Sheet2!$D$4:$E$9)</f>
        <v>0</v>
      </c>
      <c r="M808" t="str">
        <f>LOOKUP(B808,Sheet2!$G$4:$H$9)</f>
        <v>100-125</v>
      </c>
      <c r="N808" t="str">
        <f>LOOKUP(C808,Sheet2!$J$4:$K$8)</f>
        <v>Unknown</v>
      </c>
      <c r="O808" t="str">
        <f>LOOKUP(D808,Sheet2!$M$4:$N$8)</f>
        <v>Unknown</v>
      </c>
      <c r="P808" t="str">
        <f>LOOKUP(E808,Sheet2!$P$4:$Q$9)</f>
        <v>Unknown</v>
      </c>
      <c r="Q808" t="str">
        <f>LOOKUP(F808,Sheet2!$S$4:$T$8)</f>
        <v>31-35</v>
      </c>
      <c r="R808" t="str">
        <f>LOOKUP(G808,Sheet2!$V$4:$W$7)</f>
        <v>0.7+</v>
      </c>
      <c r="S808" t="str">
        <f>LOOKUP(H808,Sheet2!$Z$4:$AA$7)</f>
        <v>36-45</v>
      </c>
      <c r="T808" t="str">
        <f t="shared" si="36"/>
        <v>Negative</v>
      </c>
      <c r="U808" t="str">
        <f t="shared" si="37"/>
        <v>Not Sampled</v>
      </c>
      <c r="V808" s="1" t="str">
        <f t="shared" si="38"/>
        <v>Not Sampled</v>
      </c>
    </row>
    <row r="809" spans="1:22" x14ac:dyDescent="0.25">
      <c r="A809" s="1">
        <v>5</v>
      </c>
      <c r="B809" s="1">
        <v>115</v>
      </c>
      <c r="C809" s="1">
        <v>76</v>
      </c>
      <c r="D809" s="1">
        <v>0</v>
      </c>
      <c r="E809" s="1">
        <v>0</v>
      </c>
      <c r="F809" s="1">
        <v>31.2</v>
      </c>
      <c r="G809" s="1">
        <v>0.34300000000000003</v>
      </c>
      <c r="H809" s="1">
        <v>44</v>
      </c>
      <c r="I809" s="1">
        <v>1</v>
      </c>
      <c r="J809" s="1" t="str">
        <f>IFERROR(VLOOKUP(K809,[1]diabetes_Recognition!$A:$B,2,FALSE),"Not Sampled")</f>
        <v>Not Sampled</v>
      </c>
      <c r="K809" s="1">
        <v>807</v>
      </c>
      <c r="L809" s="1" t="str">
        <f>LOOKUP(A809,Sheet2!$D$4:$E$9)</f>
        <v>5-7</v>
      </c>
      <c r="M809" t="str">
        <f>LOOKUP(B809,Sheet2!$G$4:$H$9)</f>
        <v>100-125</v>
      </c>
      <c r="N809" t="str">
        <f>LOOKUP(C809,Sheet2!$J$4:$K$8)</f>
        <v>70-79</v>
      </c>
      <c r="O809" t="str">
        <f>LOOKUP(D809,Sheet2!$M$4:$N$8)</f>
        <v>Unknown</v>
      </c>
      <c r="P809" t="str">
        <f>LOOKUP(E809,Sheet2!$P$4:$Q$9)</f>
        <v>Unknown</v>
      </c>
      <c r="Q809" t="str">
        <f>LOOKUP(F809,Sheet2!$S$4:$T$8)</f>
        <v>31-35</v>
      </c>
      <c r="R809" t="str">
        <f>LOOKUP(G809,Sheet2!$V$4:$W$7)</f>
        <v>0.25 - 0.39</v>
      </c>
      <c r="S809" t="str">
        <f>LOOKUP(H809,Sheet2!$Z$4:$AA$7)</f>
        <v>36-45</v>
      </c>
      <c r="T809" t="str">
        <f t="shared" si="36"/>
        <v>Positive</v>
      </c>
      <c r="U809" t="str">
        <f t="shared" si="37"/>
        <v>Not Sampled</v>
      </c>
      <c r="V809" s="1" t="str">
        <f t="shared" si="38"/>
        <v>Not Sampled</v>
      </c>
    </row>
    <row r="810" spans="1:22" x14ac:dyDescent="0.25">
      <c r="A810" s="1">
        <v>9</v>
      </c>
      <c r="B810" s="1">
        <v>152</v>
      </c>
      <c r="C810" s="1">
        <v>78</v>
      </c>
      <c r="D810" s="1">
        <v>34</v>
      </c>
      <c r="E810" s="1">
        <v>171</v>
      </c>
      <c r="F810" s="1">
        <v>34.200000000000003</v>
      </c>
      <c r="G810" s="1">
        <v>0.89300000000000002</v>
      </c>
      <c r="H810" s="1">
        <v>33</v>
      </c>
      <c r="I810" s="1">
        <v>1</v>
      </c>
      <c r="J810" s="1">
        <f>IFERROR(VLOOKUP(K810,[1]diabetes_Recognition!$A:$B,2,FALSE),"Not Sampled")</f>
        <v>1</v>
      </c>
      <c r="K810" s="1">
        <v>808</v>
      </c>
      <c r="L810" s="1" t="str">
        <f>LOOKUP(A810,Sheet2!$D$4:$E$9)</f>
        <v>8+</v>
      </c>
      <c r="M810" t="str">
        <f>LOOKUP(B810,Sheet2!$G$4:$H$9)</f>
        <v>151-175</v>
      </c>
      <c r="N810" t="str">
        <f>LOOKUP(C810,Sheet2!$J$4:$K$8)</f>
        <v>70-79</v>
      </c>
      <c r="O810" t="str">
        <f>LOOKUP(D810,Sheet2!$M$4:$N$8)</f>
        <v>30-39</v>
      </c>
      <c r="P810" t="str">
        <f>LOOKUP(E810,Sheet2!$P$4:$Q$9)</f>
        <v>100-199</v>
      </c>
      <c r="Q810" t="str">
        <f>LOOKUP(F810,Sheet2!$S$4:$T$8)</f>
        <v>31-35</v>
      </c>
      <c r="R810" t="str">
        <f>LOOKUP(G810,Sheet2!$V$4:$W$7)</f>
        <v>0.7+</v>
      </c>
      <c r="S810" t="str">
        <f>LOOKUP(H810,Sheet2!$Z$4:$AA$7)</f>
        <v>26-35</v>
      </c>
      <c r="T810" t="str">
        <f t="shared" si="36"/>
        <v>Positive</v>
      </c>
      <c r="U810" t="str">
        <f t="shared" si="37"/>
        <v>Positive</v>
      </c>
      <c r="V810" s="1" t="str">
        <f t="shared" si="38"/>
        <v>Accurate Prediction</v>
      </c>
    </row>
    <row r="811" spans="1:22" x14ac:dyDescent="0.25">
      <c r="A811" s="1">
        <v>7</v>
      </c>
      <c r="B811" s="1">
        <v>178</v>
      </c>
      <c r="C811" s="1">
        <v>84</v>
      </c>
      <c r="D811" s="1">
        <v>0</v>
      </c>
      <c r="E811" s="1">
        <v>0</v>
      </c>
      <c r="F811" s="1">
        <v>39.9</v>
      </c>
      <c r="G811" s="1">
        <v>0.33100000000000002</v>
      </c>
      <c r="H811" s="1">
        <v>41</v>
      </c>
      <c r="I811" s="1">
        <v>1</v>
      </c>
      <c r="J811" s="1" t="str">
        <f>IFERROR(VLOOKUP(K811,[1]diabetes_Recognition!$A:$B,2,FALSE),"Not Sampled")</f>
        <v>Not Sampled</v>
      </c>
      <c r="K811" s="1">
        <v>809</v>
      </c>
      <c r="L811" s="1" t="str">
        <f>LOOKUP(A811,Sheet2!$D$4:$E$9)</f>
        <v>5-7</v>
      </c>
      <c r="M811" t="str">
        <f>LOOKUP(B811,Sheet2!$G$4:$H$9)</f>
        <v>176-200</v>
      </c>
      <c r="N811" t="str">
        <f>LOOKUP(C811,Sheet2!$J$4:$K$8)</f>
        <v>80+</v>
      </c>
      <c r="O811" t="str">
        <f>LOOKUP(D811,Sheet2!$M$4:$N$8)</f>
        <v>Unknown</v>
      </c>
      <c r="P811" t="str">
        <f>LOOKUP(E811,Sheet2!$P$4:$Q$9)</f>
        <v>Unknown</v>
      </c>
      <c r="Q811" t="str">
        <f>LOOKUP(F811,Sheet2!$S$4:$T$8)</f>
        <v>36+</v>
      </c>
      <c r="R811" t="str">
        <f>LOOKUP(G811,Sheet2!$V$4:$W$7)</f>
        <v>0.25 - 0.39</v>
      </c>
      <c r="S811" t="str">
        <f>LOOKUP(H811,Sheet2!$Z$4:$AA$7)</f>
        <v>36-45</v>
      </c>
      <c r="T811" t="str">
        <f t="shared" si="36"/>
        <v>Positive</v>
      </c>
      <c r="U811" t="str">
        <f t="shared" si="37"/>
        <v>Not Sampled</v>
      </c>
      <c r="V811" s="1" t="str">
        <f t="shared" si="38"/>
        <v>Not Sampled</v>
      </c>
    </row>
    <row r="812" spans="1:22" x14ac:dyDescent="0.25">
      <c r="A812" s="1">
        <v>1</v>
      </c>
      <c r="B812" s="1">
        <v>130</v>
      </c>
      <c r="C812" s="1">
        <v>70</v>
      </c>
      <c r="D812" s="1">
        <v>13</v>
      </c>
      <c r="E812" s="1">
        <v>105</v>
      </c>
      <c r="F812" s="1">
        <v>25.9</v>
      </c>
      <c r="G812" s="1">
        <v>0.47199999999999998</v>
      </c>
      <c r="H812" s="1">
        <v>22</v>
      </c>
      <c r="I812" s="1">
        <v>0</v>
      </c>
      <c r="J812" s="1">
        <f>IFERROR(VLOOKUP(K812,[1]diabetes_Recognition!$A:$B,2,FALSE),"Not Sampled")</f>
        <v>0</v>
      </c>
      <c r="K812" s="1">
        <v>810</v>
      </c>
      <c r="L812" s="1">
        <f>LOOKUP(A812,Sheet2!$D$4:$E$9)</f>
        <v>1</v>
      </c>
      <c r="M812" t="str">
        <f>LOOKUP(B812,Sheet2!$G$4:$H$9)</f>
        <v>126-150</v>
      </c>
      <c r="N812" t="str">
        <f>LOOKUP(C812,Sheet2!$J$4:$K$8)</f>
        <v>70-79</v>
      </c>
      <c r="O812" t="str">
        <f>LOOKUP(D812,Sheet2!$M$4:$N$8)</f>
        <v>10-30</v>
      </c>
      <c r="P812" t="str">
        <f>LOOKUP(E812,Sheet2!$P$4:$Q$9)</f>
        <v>100-199</v>
      </c>
      <c r="Q812" t="str">
        <f>LOOKUP(F812,Sheet2!$S$4:$T$8)</f>
        <v>1-25</v>
      </c>
      <c r="R812" t="str">
        <f>LOOKUP(G812,Sheet2!$V$4:$W$7)</f>
        <v>0.4 - 0.69</v>
      </c>
      <c r="S812" t="str">
        <f>LOOKUP(H812,Sheet2!$Z$4:$AA$7)</f>
        <v>&lt;=25</v>
      </c>
      <c r="T812" t="str">
        <f t="shared" si="36"/>
        <v>Negative</v>
      </c>
      <c r="U812" t="str">
        <f t="shared" si="37"/>
        <v>Negative</v>
      </c>
      <c r="V812" s="1" t="str">
        <f t="shared" si="38"/>
        <v>Accurate Prediction</v>
      </c>
    </row>
    <row r="813" spans="1:22" x14ac:dyDescent="0.25">
      <c r="A813" s="1">
        <v>1</v>
      </c>
      <c r="B813" s="1">
        <v>95</v>
      </c>
      <c r="C813" s="1">
        <v>74</v>
      </c>
      <c r="D813" s="1">
        <v>21</v>
      </c>
      <c r="E813" s="1">
        <v>73</v>
      </c>
      <c r="F813" s="1">
        <v>25.9</v>
      </c>
      <c r="G813" s="1">
        <v>0.67300000000000004</v>
      </c>
      <c r="H813" s="1">
        <v>36</v>
      </c>
      <c r="I813" s="1">
        <v>0</v>
      </c>
      <c r="J813" s="1" t="str">
        <f>IFERROR(VLOOKUP(K813,[1]diabetes_Recognition!$A:$B,2,FALSE),"Not Sampled")</f>
        <v>Not Sampled</v>
      </c>
      <c r="K813" s="1">
        <v>811</v>
      </c>
      <c r="L813" s="1">
        <f>LOOKUP(A813,Sheet2!$D$4:$E$9)</f>
        <v>1</v>
      </c>
      <c r="M813" t="str">
        <f>LOOKUP(B813,Sheet2!$G$4:$H$9)</f>
        <v>1-99</v>
      </c>
      <c r="N813" t="str">
        <f>LOOKUP(C813,Sheet2!$J$4:$K$8)</f>
        <v>70-79</v>
      </c>
      <c r="O813" t="str">
        <f>LOOKUP(D813,Sheet2!$M$4:$N$8)</f>
        <v>10-30</v>
      </c>
      <c r="P813" t="str">
        <f>LOOKUP(E813,Sheet2!$P$4:$Q$9)</f>
        <v>1-99</v>
      </c>
      <c r="Q813" t="str">
        <f>LOOKUP(F813,Sheet2!$S$4:$T$8)</f>
        <v>1-25</v>
      </c>
      <c r="R813" t="str">
        <f>LOOKUP(G813,Sheet2!$V$4:$W$7)</f>
        <v>0.4 - 0.69</v>
      </c>
      <c r="S813" t="str">
        <f>LOOKUP(H813,Sheet2!$Z$4:$AA$7)</f>
        <v>36-45</v>
      </c>
      <c r="T813" t="str">
        <f t="shared" si="36"/>
        <v>Negative</v>
      </c>
      <c r="U813" t="str">
        <f t="shared" si="37"/>
        <v>Not Sampled</v>
      </c>
      <c r="V813" s="1" t="str">
        <f t="shared" si="38"/>
        <v>Not Sampled</v>
      </c>
    </row>
    <row r="814" spans="1:22" x14ac:dyDescent="0.25">
      <c r="A814" s="1">
        <v>1</v>
      </c>
      <c r="B814" s="1">
        <v>0</v>
      </c>
      <c r="C814" s="1">
        <v>68</v>
      </c>
      <c r="D814" s="1">
        <v>35</v>
      </c>
      <c r="E814" s="1">
        <v>0</v>
      </c>
      <c r="F814" s="1">
        <v>32</v>
      </c>
      <c r="G814" s="1">
        <v>0.38900000000000001</v>
      </c>
      <c r="H814" s="1">
        <v>22</v>
      </c>
      <c r="I814" s="1">
        <v>0</v>
      </c>
      <c r="J814" s="1" t="str">
        <f>IFERROR(VLOOKUP(K814,[1]diabetes_Recognition!$A:$B,2,FALSE),"Not Sampled")</f>
        <v>Not Sampled</v>
      </c>
      <c r="K814" s="1">
        <v>812</v>
      </c>
      <c r="L814" s="1">
        <f>LOOKUP(A814,Sheet2!$D$4:$E$9)</f>
        <v>1</v>
      </c>
      <c r="M814" t="str">
        <f>LOOKUP(B814,Sheet2!$G$4:$H$9)</f>
        <v>Unknown</v>
      </c>
      <c r="N814" t="str">
        <f>LOOKUP(C814,Sheet2!$J$4:$K$8)</f>
        <v>60-69</v>
      </c>
      <c r="O814" t="str">
        <f>LOOKUP(D814,Sheet2!$M$4:$N$8)</f>
        <v>30-39</v>
      </c>
      <c r="P814" t="str">
        <f>LOOKUP(E814,Sheet2!$P$4:$Q$9)</f>
        <v>Unknown</v>
      </c>
      <c r="Q814" t="str">
        <f>LOOKUP(F814,Sheet2!$S$4:$T$8)</f>
        <v>31-35</v>
      </c>
      <c r="R814" t="str">
        <f>LOOKUP(G814,Sheet2!$V$4:$W$7)</f>
        <v>0.25 - 0.39</v>
      </c>
      <c r="S814" t="str">
        <f>LOOKUP(H814,Sheet2!$Z$4:$AA$7)</f>
        <v>&lt;=25</v>
      </c>
      <c r="T814" t="str">
        <f t="shared" si="36"/>
        <v>Negative</v>
      </c>
      <c r="U814" t="str">
        <f t="shared" si="37"/>
        <v>Not Sampled</v>
      </c>
      <c r="V814" s="1" t="str">
        <f t="shared" si="38"/>
        <v>Not Sampled</v>
      </c>
    </row>
    <row r="815" spans="1:22" x14ac:dyDescent="0.25">
      <c r="A815" s="1">
        <v>5</v>
      </c>
      <c r="B815" s="1">
        <v>122</v>
      </c>
      <c r="C815" s="1">
        <v>86</v>
      </c>
      <c r="D815" s="1">
        <v>0</v>
      </c>
      <c r="E815" s="1">
        <v>0</v>
      </c>
      <c r="F815" s="1">
        <v>34.700000000000003</v>
      </c>
      <c r="G815" s="1">
        <v>0.28999999999999998</v>
      </c>
      <c r="H815" s="1">
        <v>33</v>
      </c>
      <c r="I815" s="1">
        <v>0</v>
      </c>
      <c r="J815" s="1" t="str">
        <f>IFERROR(VLOOKUP(K815,[1]diabetes_Recognition!$A:$B,2,FALSE),"Not Sampled")</f>
        <v>Not Sampled</v>
      </c>
      <c r="K815" s="1">
        <v>813</v>
      </c>
      <c r="L815" s="1" t="str">
        <f>LOOKUP(A815,Sheet2!$D$4:$E$9)</f>
        <v>5-7</v>
      </c>
      <c r="M815" t="str">
        <f>LOOKUP(B815,Sheet2!$G$4:$H$9)</f>
        <v>100-125</v>
      </c>
      <c r="N815" t="str">
        <f>LOOKUP(C815,Sheet2!$J$4:$K$8)</f>
        <v>80+</v>
      </c>
      <c r="O815" t="str">
        <f>LOOKUP(D815,Sheet2!$M$4:$N$8)</f>
        <v>Unknown</v>
      </c>
      <c r="P815" t="str">
        <f>LOOKUP(E815,Sheet2!$P$4:$Q$9)</f>
        <v>Unknown</v>
      </c>
      <c r="Q815" t="str">
        <f>LOOKUP(F815,Sheet2!$S$4:$T$8)</f>
        <v>31-35</v>
      </c>
      <c r="R815" t="str">
        <f>LOOKUP(G815,Sheet2!$V$4:$W$7)</f>
        <v>0.25 - 0.39</v>
      </c>
      <c r="S815" t="str">
        <f>LOOKUP(H815,Sheet2!$Z$4:$AA$7)</f>
        <v>26-35</v>
      </c>
      <c r="T815" t="str">
        <f t="shared" si="36"/>
        <v>Negative</v>
      </c>
      <c r="U815" t="str">
        <f t="shared" si="37"/>
        <v>Not Sampled</v>
      </c>
      <c r="V815" s="1" t="str">
        <f t="shared" si="38"/>
        <v>Not Sampled</v>
      </c>
    </row>
    <row r="816" spans="1:22" x14ac:dyDescent="0.25">
      <c r="A816" s="1">
        <v>8</v>
      </c>
      <c r="B816" s="1">
        <v>95</v>
      </c>
      <c r="C816" s="1">
        <v>72</v>
      </c>
      <c r="D816" s="1">
        <v>0</v>
      </c>
      <c r="E816" s="1">
        <v>0</v>
      </c>
      <c r="F816" s="1">
        <v>36.799999999999997</v>
      </c>
      <c r="G816" s="1">
        <v>0.48499999999999999</v>
      </c>
      <c r="H816" s="1">
        <v>57</v>
      </c>
      <c r="I816" s="1">
        <v>0</v>
      </c>
      <c r="J816" s="1" t="str">
        <f>IFERROR(VLOOKUP(K816,[1]diabetes_Recognition!$A:$B,2,FALSE),"Not Sampled")</f>
        <v>Not Sampled</v>
      </c>
      <c r="K816" s="1">
        <v>814</v>
      </c>
      <c r="L816" s="1" t="str">
        <f>LOOKUP(A816,Sheet2!$D$4:$E$9)</f>
        <v>8+</v>
      </c>
      <c r="M816" t="str">
        <f>LOOKUP(B816,Sheet2!$G$4:$H$9)</f>
        <v>1-99</v>
      </c>
      <c r="N816" t="str">
        <f>LOOKUP(C816,Sheet2!$J$4:$K$8)</f>
        <v>70-79</v>
      </c>
      <c r="O816" t="str">
        <f>LOOKUP(D816,Sheet2!$M$4:$N$8)</f>
        <v>Unknown</v>
      </c>
      <c r="P816" t="str">
        <f>LOOKUP(E816,Sheet2!$P$4:$Q$9)</f>
        <v>Unknown</v>
      </c>
      <c r="Q816" t="str">
        <f>LOOKUP(F816,Sheet2!$S$4:$T$8)</f>
        <v>36+</v>
      </c>
      <c r="R816" t="str">
        <f>LOOKUP(G816,Sheet2!$V$4:$W$7)</f>
        <v>0.4 - 0.69</v>
      </c>
      <c r="S816" t="str">
        <f>LOOKUP(H816,Sheet2!$Z$4:$AA$7)</f>
        <v>46+</v>
      </c>
      <c r="T816" t="str">
        <f t="shared" si="36"/>
        <v>Negative</v>
      </c>
      <c r="U816" t="str">
        <f t="shared" si="37"/>
        <v>Not Sampled</v>
      </c>
      <c r="V816" s="1" t="str">
        <f t="shared" si="38"/>
        <v>Not Sampled</v>
      </c>
    </row>
    <row r="817" spans="1:22" x14ac:dyDescent="0.25">
      <c r="A817" s="1">
        <v>8</v>
      </c>
      <c r="B817" s="1">
        <v>126</v>
      </c>
      <c r="C817" s="1">
        <v>88</v>
      </c>
      <c r="D817" s="1">
        <v>36</v>
      </c>
      <c r="E817" s="1">
        <v>108</v>
      </c>
      <c r="F817" s="1">
        <v>38.5</v>
      </c>
      <c r="G817" s="1">
        <v>0.34899999999999998</v>
      </c>
      <c r="H817" s="1">
        <v>49</v>
      </c>
      <c r="I817" s="1">
        <v>0</v>
      </c>
      <c r="J817" s="1" t="str">
        <f>IFERROR(VLOOKUP(K817,[1]diabetes_Recognition!$A:$B,2,FALSE),"Not Sampled")</f>
        <v>Not Sampled</v>
      </c>
      <c r="K817" s="1">
        <v>815</v>
      </c>
      <c r="L817" s="1" t="str">
        <f>LOOKUP(A817,Sheet2!$D$4:$E$9)</f>
        <v>8+</v>
      </c>
      <c r="M817" t="str">
        <f>LOOKUP(B817,Sheet2!$G$4:$H$9)</f>
        <v>126-150</v>
      </c>
      <c r="N817" t="str">
        <f>LOOKUP(C817,Sheet2!$J$4:$K$8)</f>
        <v>80+</v>
      </c>
      <c r="O817" t="str">
        <f>LOOKUP(D817,Sheet2!$M$4:$N$8)</f>
        <v>30-39</v>
      </c>
      <c r="P817" t="str">
        <f>LOOKUP(E817,Sheet2!$P$4:$Q$9)</f>
        <v>100-199</v>
      </c>
      <c r="Q817" t="str">
        <f>LOOKUP(F817,Sheet2!$S$4:$T$8)</f>
        <v>36+</v>
      </c>
      <c r="R817" t="str">
        <f>LOOKUP(G817,Sheet2!$V$4:$W$7)</f>
        <v>0.25 - 0.39</v>
      </c>
      <c r="S817" t="str">
        <f>LOOKUP(H817,Sheet2!$Z$4:$AA$7)</f>
        <v>46+</v>
      </c>
      <c r="T817" t="str">
        <f t="shared" si="36"/>
        <v>Negative</v>
      </c>
      <c r="U817" t="str">
        <f t="shared" si="37"/>
        <v>Not Sampled</v>
      </c>
      <c r="V817" s="1" t="str">
        <f t="shared" si="38"/>
        <v>Not Sampled</v>
      </c>
    </row>
    <row r="818" spans="1:22" x14ac:dyDescent="0.25">
      <c r="A818" s="1">
        <v>1</v>
      </c>
      <c r="B818" s="1">
        <v>139</v>
      </c>
      <c r="C818" s="1">
        <v>46</v>
      </c>
      <c r="D818" s="1">
        <v>19</v>
      </c>
      <c r="E818" s="1">
        <v>83</v>
      </c>
      <c r="F818" s="1">
        <v>28.7</v>
      </c>
      <c r="G818" s="1">
        <v>0.65400000000000003</v>
      </c>
      <c r="H818" s="1">
        <v>22</v>
      </c>
      <c r="I818" s="1">
        <v>0</v>
      </c>
      <c r="J818" s="1">
        <f>IFERROR(VLOOKUP(K818,[1]diabetes_Recognition!$A:$B,2,FALSE),"Not Sampled")</f>
        <v>0</v>
      </c>
      <c r="K818" s="1">
        <v>816</v>
      </c>
      <c r="L818" s="1">
        <f>LOOKUP(A818,Sheet2!$D$4:$E$9)</f>
        <v>1</v>
      </c>
      <c r="M818" t="str">
        <f>LOOKUP(B818,Sheet2!$G$4:$H$9)</f>
        <v>126-150</v>
      </c>
      <c r="N818" t="str">
        <f>LOOKUP(C818,Sheet2!$J$4:$K$8)</f>
        <v>1-59</v>
      </c>
      <c r="O818" t="str">
        <f>LOOKUP(D818,Sheet2!$M$4:$N$8)</f>
        <v>10-30</v>
      </c>
      <c r="P818" t="str">
        <f>LOOKUP(E818,Sheet2!$P$4:$Q$9)</f>
        <v>1-99</v>
      </c>
      <c r="Q818" t="str">
        <f>LOOKUP(F818,Sheet2!$S$4:$T$8)</f>
        <v>26-30</v>
      </c>
      <c r="R818" t="str">
        <f>LOOKUP(G818,Sheet2!$V$4:$W$7)</f>
        <v>0.4 - 0.69</v>
      </c>
      <c r="S818" t="str">
        <f>LOOKUP(H818,Sheet2!$Z$4:$AA$7)</f>
        <v>&lt;=25</v>
      </c>
      <c r="T818" t="str">
        <f t="shared" si="36"/>
        <v>Negative</v>
      </c>
      <c r="U818" t="str">
        <f t="shared" si="37"/>
        <v>Negative</v>
      </c>
      <c r="V818" s="1" t="str">
        <f t="shared" si="38"/>
        <v>Accurate Prediction</v>
      </c>
    </row>
    <row r="819" spans="1:22" x14ac:dyDescent="0.25">
      <c r="A819" s="1">
        <v>3</v>
      </c>
      <c r="B819" s="1">
        <v>116</v>
      </c>
      <c r="C819" s="1">
        <v>0</v>
      </c>
      <c r="D819" s="1">
        <v>0</v>
      </c>
      <c r="E819" s="1">
        <v>0</v>
      </c>
      <c r="F819" s="1">
        <v>23.5</v>
      </c>
      <c r="G819" s="1">
        <v>0.187</v>
      </c>
      <c r="H819" s="1">
        <v>23</v>
      </c>
      <c r="I819" s="1">
        <v>0</v>
      </c>
      <c r="J819" s="1" t="str">
        <f>IFERROR(VLOOKUP(K819,[1]diabetes_Recognition!$A:$B,2,FALSE),"Not Sampled")</f>
        <v>Not Sampled</v>
      </c>
      <c r="K819" s="1">
        <v>817</v>
      </c>
      <c r="L819" s="1" t="str">
        <f>LOOKUP(A819,Sheet2!$D$4:$E$9)</f>
        <v>3-4</v>
      </c>
      <c r="M819" t="str">
        <f>LOOKUP(B819,Sheet2!$G$4:$H$9)</f>
        <v>100-125</v>
      </c>
      <c r="N819" t="str">
        <f>LOOKUP(C819,Sheet2!$J$4:$K$8)</f>
        <v>Unknown</v>
      </c>
      <c r="O819" t="str">
        <f>LOOKUP(D819,Sheet2!$M$4:$N$8)</f>
        <v>Unknown</v>
      </c>
      <c r="P819" t="str">
        <f>LOOKUP(E819,Sheet2!$P$4:$Q$9)</f>
        <v>Unknown</v>
      </c>
      <c r="Q819" t="str">
        <f>LOOKUP(F819,Sheet2!$S$4:$T$8)</f>
        <v>1-25</v>
      </c>
      <c r="R819" t="str">
        <f>LOOKUP(G819,Sheet2!$V$4:$W$7)</f>
        <v>0.0 - 0.249</v>
      </c>
      <c r="S819" t="str">
        <f>LOOKUP(H819,Sheet2!$Z$4:$AA$7)</f>
        <v>&lt;=25</v>
      </c>
      <c r="T819" t="str">
        <f t="shared" si="36"/>
        <v>Negative</v>
      </c>
      <c r="U819" t="str">
        <f t="shared" si="37"/>
        <v>Not Sampled</v>
      </c>
      <c r="V819" s="1" t="str">
        <f t="shared" si="38"/>
        <v>Not Sampled</v>
      </c>
    </row>
    <row r="820" spans="1:22" x14ac:dyDescent="0.25">
      <c r="A820" s="1">
        <v>3</v>
      </c>
      <c r="B820" s="1">
        <v>99</v>
      </c>
      <c r="C820" s="1">
        <v>62</v>
      </c>
      <c r="D820" s="1">
        <v>19</v>
      </c>
      <c r="E820" s="1">
        <v>74</v>
      </c>
      <c r="F820" s="1">
        <v>21.8</v>
      </c>
      <c r="G820" s="1">
        <v>0.27900000000000003</v>
      </c>
      <c r="H820" s="1">
        <v>26</v>
      </c>
      <c r="I820" s="1">
        <v>0</v>
      </c>
      <c r="J820" s="1" t="str">
        <f>IFERROR(VLOOKUP(K820,[1]diabetes_Recognition!$A:$B,2,FALSE),"Not Sampled")</f>
        <v>Not Sampled</v>
      </c>
      <c r="K820" s="1">
        <v>818</v>
      </c>
      <c r="L820" s="1" t="str">
        <f>LOOKUP(A820,Sheet2!$D$4:$E$9)</f>
        <v>3-4</v>
      </c>
      <c r="M820" t="str">
        <f>LOOKUP(B820,Sheet2!$G$4:$H$9)</f>
        <v>1-99</v>
      </c>
      <c r="N820" t="str">
        <f>LOOKUP(C820,Sheet2!$J$4:$K$8)</f>
        <v>60-69</v>
      </c>
      <c r="O820" t="str">
        <f>LOOKUP(D820,Sheet2!$M$4:$N$8)</f>
        <v>10-30</v>
      </c>
      <c r="P820" t="str">
        <f>LOOKUP(E820,Sheet2!$P$4:$Q$9)</f>
        <v>1-99</v>
      </c>
      <c r="Q820" t="str">
        <f>LOOKUP(F820,Sheet2!$S$4:$T$8)</f>
        <v>1-25</v>
      </c>
      <c r="R820" t="str">
        <f>LOOKUP(G820,Sheet2!$V$4:$W$7)</f>
        <v>0.25 - 0.39</v>
      </c>
      <c r="S820" t="str">
        <f>LOOKUP(H820,Sheet2!$Z$4:$AA$7)</f>
        <v>26-35</v>
      </c>
      <c r="T820" t="str">
        <f t="shared" si="36"/>
        <v>Negative</v>
      </c>
      <c r="U820" t="str">
        <f t="shared" si="37"/>
        <v>Not Sampled</v>
      </c>
      <c r="V820" s="1" t="str">
        <f t="shared" si="38"/>
        <v>Not Sampled</v>
      </c>
    </row>
    <row r="821" spans="1:22" x14ac:dyDescent="0.25">
      <c r="A821" s="1">
        <v>5</v>
      </c>
      <c r="B821" s="1">
        <v>0</v>
      </c>
      <c r="C821" s="1">
        <v>80</v>
      </c>
      <c r="D821" s="1">
        <v>32</v>
      </c>
      <c r="E821" s="1">
        <v>0</v>
      </c>
      <c r="F821" s="1">
        <v>41</v>
      </c>
      <c r="G821" s="1">
        <v>0.34599999999999997</v>
      </c>
      <c r="H821" s="1">
        <v>37</v>
      </c>
      <c r="I821" s="1">
        <v>1</v>
      </c>
      <c r="J821" s="1" t="str">
        <f>IFERROR(VLOOKUP(K821,[1]diabetes_Recognition!$A:$B,2,FALSE),"Not Sampled")</f>
        <v>Not Sampled</v>
      </c>
      <c r="K821" s="1">
        <v>819</v>
      </c>
      <c r="L821" s="1" t="str">
        <f>LOOKUP(A821,Sheet2!$D$4:$E$9)</f>
        <v>5-7</v>
      </c>
      <c r="M821" t="str">
        <f>LOOKUP(B821,Sheet2!$G$4:$H$9)</f>
        <v>Unknown</v>
      </c>
      <c r="N821" t="str">
        <f>LOOKUP(C821,Sheet2!$J$4:$K$8)</f>
        <v>80+</v>
      </c>
      <c r="O821" t="str">
        <f>LOOKUP(D821,Sheet2!$M$4:$N$8)</f>
        <v>30-39</v>
      </c>
      <c r="P821" t="str">
        <f>LOOKUP(E821,Sheet2!$P$4:$Q$9)</f>
        <v>Unknown</v>
      </c>
      <c r="Q821" t="str">
        <f>LOOKUP(F821,Sheet2!$S$4:$T$8)</f>
        <v>36+</v>
      </c>
      <c r="R821" t="str">
        <f>LOOKUP(G821,Sheet2!$V$4:$W$7)</f>
        <v>0.25 - 0.39</v>
      </c>
      <c r="S821" t="str">
        <f>LOOKUP(H821,Sheet2!$Z$4:$AA$7)</f>
        <v>36-45</v>
      </c>
      <c r="T821" t="str">
        <f t="shared" si="36"/>
        <v>Positive</v>
      </c>
      <c r="U821" t="str">
        <f t="shared" si="37"/>
        <v>Not Sampled</v>
      </c>
      <c r="V821" s="1" t="str">
        <f t="shared" si="38"/>
        <v>Not Sampled</v>
      </c>
    </row>
    <row r="822" spans="1:22" x14ac:dyDescent="0.25">
      <c r="A822" s="1">
        <v>4</v>
      </c>
      <c r="B822" s="1">
        <v>92</v>
      </c>
      <c r="C822" s="1">
        <v>80</v>
      </c>
      <c r="D822" s="1">
        <v>0</v>
      </c>
      <c r="E822" s="1">
        <v>0</v>
      </c>
      <c r="F822" s="1">
        <v>42.2</v>
      </c>
      <c r="G822" s="1">
        <v>0.23699999999999999</v>
      </c>
      <c r="H822" s="1">
        <v>29</v>
      </c>
      <c r="I822" s="1">
        <v>0</v>
      </c>
      <c r="J822" s="1" t="str">
        <f>IFERROR(VLOOKUP(K822,[1]diabetes_Recognition!$A:$B,2,FALSE),"Not Sampled")</f>
        <v>Not Sampled</v>
      </c>
      <c r="K822" s="1">
        <v>820</v>
      </c>
      <c r="L822" s="1" t="str">
        <f>LOOKUP(A822,Sheet2!$D$4:$E$9)</f>
        <v>3-4</v>
      </c>
      <c r="M822" t="str">
        <f>LOOKUP(B822,Sheet2!$G$4:$H$9)</f>
        <v>1-99</v>
      </c>
      <c r="N822" t="str">
        <f>LOOKUP(C822,Sheet2!$J$4:$K$8)</f>
        <v>80+</v>
      </c>
      <c r="O822" t="str">
        <f>LOOKUP(D822,Sheet2!$M$4:$N$8)</f>
        <v>Unknown</v>
      </c>
      <c r="P822" t="str">
        <f>LOOKUP(E822,Sheet2!$P$4:$Q$9)</f>
        <v>Unknown</v>
      </c>
      <c r="Q822" t="str">
        <f>LOOKUP(F822,Sheet2!$S$4:$T$8)</f>
        <v>36+</v>
      </c>
      <c r="R822" t="str">
        <f>LOOKUP(G822,Sheet2!$V$4:$W$7)</f>
        <v>0.0 - 0.249</v>
      </c>
      <c r="S822" t="str">
        <f>LOOKUP(H822,Sheet2!$Z$4:$AA$7)</f>
        <v>26-35</v>
      </c>
      <c r="T822" t="str">
        <f t="shared" si="36"/>
        <v>Negative</v>
      </c>
      <c r="U822" t="str">
        <f t="shared" si="37"/>
        <v>Not Sampled</v>
      </c>
      <c r="V822" s="1" t="str">
        <f t="shared" si="38"/>
        <v>Not Sampled</v>
      </c>
    </row>
    <row r="823" spans="1:22" x14ac:dyDescent="0.25">
      <c r="A823" s="1">
        <v>4</v>
      </c>
      <c r="B823" s="1">
        <v>137</v>
      </c>
      <c r="C823" s="1">
        <v>84</v>
      </c>
      <c r="D823" s="1">
        <v>0</v>
      </c>
      <c r="E823" s="1">
        <v>0</v>
      </c>
      <c r="F823" s="1">
        <v>31.2</v>
      </c>
      <c r="G823" s="1">
        <v>0.252</v>
      </c>
      <c r="H823" s="1">
        <v>30</v>
      </c>
      <c r="I823" s="1">
        <v>0</v>
      </c>
      <c r="J823" s="1">
        <f>IFERROR(VLOOKUP(K823,[1]diabetes_Recognition!$A:$B,2,FALSE),"Not Sampled")</f>
        <v>0</v>
      </c>
      <c r="K823" s="1">
        <v>821</v>
      </c>
      <c r="L823" s="1" t="str">
        <f>LOOKUP(A823,Sheet2!$D$4:$E$9)</f>
        <v>3-4</v>
      </c>
      <c r="M823" t="str">
        <f>LOOKUP(B823,Sheet2!$G$4:$H$9)</f>
        <v>126-150</v>
      </c>
      <c r="N823" t="str">
        <f>LOOKUP(C823,Sheet2!$J$4:$K$8)</f>
        <v>80+</v>
      </c>
      <c r="O823" t="str">
        <f>LOOKUP(D823,Sheet2!$M$4:$N$8)</f>
        <v>Unknown</v>
      </c>
      <c r="P823" t="str">
        <f>LOOKUP(E823,Sheet2!$P$4:$Q$9)</f>
        <v>Unknown</v>
      </c>
      <c r="Q823" t="str">
        <f>LOOKUP(F823,Sheet2!$S$4:$T$8)</f>
        <v>31-35</v>
      </c>
      <c r="R823" t="str">
        <f>LOOKUP(G823,Sheet2!$V$4:$W$7)</f>
        <v>0.25 - 0.39</v>
      </c>
      <c r="S823" t="str">
        <f>LOOKUP(H823,Sheet2!$Z$4:$AA$7)</f>
        <v>26-35</v>
      </c>
      <c r="T823" t="str">
        <f t="shared" si="36"/>
        <v>Negative</v>
      </c>
      <c r="U823" t="str">
        <f t="shared" si="37"/>
        <v>Negative</v>
      </c>
      <c r="V823" s="1" t="str">
        <f t="shared" si="38"/>
        <v>Accurate Prediction</v>
      </c>
    </row>
    <row r="824" spans="1:22" x14ac:dyDescent="0.25">
      <c r="A824" s="1">
        <v>3</v>
      </c>
      <c r="B824" s="1">
        <v>61</v>
      </c>
      <c r="C824" s="1">
        <v>82</v>
      </c>
      <c r="D824" s="1">
        <v>28</v>
      </c>
      <c r="E824" s="1">
        <v>0</v>
      </c>
      <c r="F824" s="1">
        <v>34.4</v>
      </c>
      <c r="G824" s="1">
        <v>0.24299999999999999</v>
      </c>
      <c r="H824" s="1">
        <v>46</v>
      </c>
      <c r="I824" s="1">
        <v>0</v>
      </c>
      <c r="J824" s="1" t="str">
        <f>IFERROR(VLOOKUP(K824,[1]diabetes_Recognition!$A:$B,2,FALSE),"Not Sampled")</f>
        <v>Not Sampled</v>
      </c>
      <c r="K824" s="1">
        <v>822</v>
      </c>
      <c r="L824" s="1" t="str">
        <f>LOOKUP(A824,Sheet2!$D$4:$E$9)</f>
        <v>3-4</v>
      </c>
      <c r="M824" t="str">
        <f>LOOKUP(B824,Sheet2!$G$4:$H$9)</f>
        <v>1-99</v>
      </c>
      <c r="N824" t="str">
        <f>LOOKUP(C824,Sheet2!$J$4:$K$8)</f>
        <v>80+</v>
      </c>
      <c r="O824" t="str">
        <f>LOOKUP(D824,Sheet2!$M$4:$N$8)</f>
        <v>10-30</v>
      </c>
      <c r="P824" t="str">
        <f>LOOKUP(E824,Sheet2!$P$4:$Q$9)</f>
        <v>Unknown</v>
      </c>
      <c r="Q824" t="str">
        <f>LOOKUP(F824,Sheet2!$S$4:$T$8)</f>
        <v>31-35</v>
      </c>
      <c r="R824" t="str">
        <f>LOOKUP(G824,Sheet2!$V$4:$W$7)</f>
        <v>0.0 - 0.249</v>
      </c>
      <c r="S824" t="str">
        <f>LOOKUP(H824,Sheet2!$Z$4:$AA$7)</f>
        <v>46+</v>
      </c>
      <c r="T824" t="str">
        <f t="shared" si="36"/>
        <v>Negative</v>
      </c>
      <c r="U824" t="str">
        <f t="shared" si="37"/>
        <v>Not Sampled</v>
      </c>
      <c r="V824" s="1" t="str">
        <f t="shared" si="38"/>
        <v>Not Sampled</v>
      </c>
    </row>
    <row r="825" spans="1:22" x14ac:dyDescent="0.25">
      <c r="A825" s="1">
        <v>1</v>
      </c>
      <c r="B825" s="1">
        <v>90</v>
      </c>
      <c r="C825" s="1">
        <v>62</v>
      </c>
      <c r="D825" s="1">
        <v>12</v>
      </c>
      <c r="E825" s="1">
        <v>43</v>
      </c>
      <c r="F825" s="1">
        <v>27.2</v>
      </c>
      <c r="G825" s="1">
        <v>0.57999999999999996</v>
      </c>
      <c r="H825" s="1">
        <v>24</v>
      </c>
      <c r="I825" s="1">
        <v>0</v>
      </c>
      <c r="J825" s="1" t="str">
        <f>IFERROR(VLOOKUP(K825,[1]diabetes_Recognition!$A:$B,2,FALSE),"Not Sampled")</f>
        <v>Not Sampled</v>
      </c>
      <c r="K825" s="1">
        <v>823</v>
      </c>
      <c r="L825" s="1">
        <f>LOOKUP(A825,Sheet2!$D$4:$E$9)</f>
        <v>1</v>
      </c>
      <c r="M825" t="str">
        <f>LOOKUP(B825,Sheet2!$G$4:$H$9)</f>
        <v>1-99</v>
      </c>
      <c r="N825" t="str">
        <f>LOOKUP(C825,Sheet2!$J$4:$K$8)</f>
        <v>60-69</v>
      </c>
      <c r="O825" t="str">
        <f>LOOKUP(D825,Sheet2!$M$4:$N$8)</f>
        <v>10-30</v>
      </c>
      <c r="P825" t="str">
        <f>LOOKUP(E825,Sheet2!$P$4:$Q$9)</f>
        <v>1-99</v>
      </c>
      <c r="Q825" t="str">
        <f>LOOKUP(F825,Sheet2!$S$4:$T$8)</f>
        <v>26-30</v>
      </c>
      <c r="R825" t="str">
        <f>LOOKUP(G825,Sheet2!$V$4:$W$7)</f>
        <v>0.4 - 0.69</v>
      </c>
      <c r="S825" t="str">
        <f>LOOKUP(H825,Sheet2!$Z$4:$AA$7)</f>
        <v>&lt;=25</v>
      </c>
      <c r="T825" t="str">
        <f t="shared" si="36"/>
        <v>Negative</v>
      </c>
      <c r="U825" t="str">
        <f t="shared" si="37"/>
        <v>Not Sampled</v>
      </c>
      <c r="V825" s="1" t="str">
        <f t="shared" si="38"/>
        <v>Not Sampled</v>
      </c>
    </row>
    <row r="826" spans="1:22" x14ac:dyDescent="0.25">
      <c r="A826" s="1">
        <v>3</v>
      </c>
      <c r="B826" s="1">
        <v>90</v>
      </c>
      <c r="C826" s="1">
        <v>78</v>
      </c>
      <c r="D826" s="1">
        <v>0</v>
      </c>
      <c r="E826" s="1">
        <v>0</v>
      </c>
      <c r="F826" s="1">
        <v>42.7</v>
      </c>
      <c r="G826" s="1">
        <v>0.55900000000000005</v>
      </c>
      <c r="H826" s="1">
        <v>21</v>
      </c>
      <c r="I826" s="1">
        <v>0</v>
      </c>
      <c r="J826" s="1">
        <f>IFERROR(VLOOKUP(K826,[1]diabetes_Recognition!$A:$B,2,FALSE),"Not Sampled")</f>
        <v>0</v>
      </c>
      <c r="K826" s="1">
        <v>824</v>
      </c>
      <c r="L826" s="1" t="str">
        <f>LOOKUP(A826,Sheet2!$D$4:$E$9)</f>
        <v>3-4</v>
      </c>
      <c r="M826" t="str">
        <f>LOOKUP(B826,Sheet2!$G$4:$H$9)</f>
        <v>1-99</v>
      </c>
      <c r="N826" t="str">
        <f>LOOKUP(C826,Sheet2!$J$4:$K$8)</f>
        <v>70-79</v>
      </c>
      <c r="O826" t="str">
        <f>LOOKUP(D826,Sheet2!$M$4:$N$8)</f>
        <v>Unknown</v>
      </c>
      <c r="P826" t="str">
        <f>LOOKUP(E826,Sheet2!$P$4:$Q$9)</f>
        <v>Unknown</v>
      </c>
      <c r="Q826" t="str">
        <f>LOOKUP(F826,Sheet2!$S$4:$T$8)</f>
        <v>36+</v>
      </c>
      <c r="R826" t="str">
        <f>LOOKUP(G826,Sheet2!$V$4:$W$7)</f>
        <v>0.4 - 0.69</v>
      </c>
      <c r="S826" t="str">
        <f>LOOKUP(H826,Sheet2!$Z$4:$AA$7)</f>
        <v>&lt;=25</v>
      </c>
      <c r="T826" t="str">
        <f t="shared" si="36"/>
        <v>Negative</v>
      </c>
      <c r="U826" t="str">
        <f t="shared" si="37"/>
        <v>Negative</v>
      </c>
      <c r="V826" s="1" t="str">
        <f t="shared" si="38"/>
        <v>Accurate Prediction</v>
      </c>
    </row>
    <row r="827" spans="1:22" x14ac:dyDescent="0.25">
      <c r="A827" s="1">
        <v>9</v>
      </c>
      <c r="B827" s="1">
        <v>165</v>
      </c>
      <c r="C827" s="1">
        <v>88</v>
      </c>
      <c r="D827" s="1">
        <v>0</v>
      </c>
      <c r="E827" s="1">
        <v>0</v>
      </c>
      <c r="F827" s="1">
        <v>30.4</v>
      </c>
      <c r="G827" s="1">
        <v>0.30199999999999999</v>
      </c>
      <c r="H827" s="1">
        <v>49</v>
      </c>
      <c r="I827" s="1">
        <v>1</v>
      </c>
      <c r="J827" s="1" t="str">
        <f>IFERROR(VLOOKUP(K827,[1]diabetes_Recognition!$A:$B,2,FALSE),"Not Sampled")</f>
        <v>Not Sampled</v>
      </c>
      <c r="K827" s="1">
        <v>825</v>
      </c>
      <c r="L827" s="1" t="str">
        <f>LOOKUP(A827,Sheet2!$D$4:$E$9)</f>
        <v>8+</v>
      </c>
      <c r="M827" t="str">
        <f>LOOKUP(B827,Sheet2!$G$4:$H$9)</f>
        <v>151-175</v>
      </c>
      <c r="N827" t="str">
        <f>LOOKUP(C827,Sheet2!$J$4:$K$8)</f>
        <v>80+</v>
      </c>
      <c r="O827" t="str">
        <f>LOOKUP(D827,Sheet2!$M$4:$N$8)</f>
        <v>Unknown</v>
      </c>
      <c r="P827" t="str">
        <f>LOOKUP(E827,Sheet2!$P$4:$Q$9)</f>
        <v>Unknown</v>
      </c>
      <c r="Q827" t="str">
        <f>LOOKUP(F827,Sheet2!$S$4:$T$8)</f>
        <v>26-30</v>
      </c>
      <c r="R827" t="str">
        <f>LOOKUP(G827,Sheet2!$V$4:$W$7)</f>
        <v>0.25 - 0.39</v>
      </c>
      <c r="S827" t="str">
        <f>LOOKUP(H827,Sheet2!$Z$4:$AA$7)</f>
        <v>46+</v>
      </c>
      <c r="T827" t="str">
        <f t="shared" si="36"/>
        <v>Positive</v>
      </c>
      <c r="U827" t="str">
        <f t="shared" si="37"/>
        <v>Not Sampled</v>
      </c>
      <c r="V827" s="1" t="str">
        <f t="shared" si="38"/>
        <v>Not Sampled</v>
      </c>
    </row>
    <row r="828" spans="1:22" x14ac:dyDescent="0.25">
      <c r="A828" s="1">
        <v>1</v>
      </c>
      <c r="B828" s="1">
        <v>125</v>
      </c>
      <c r="C828" s="1">
        <v>50</v>
      </c>
      <c r="D828" s="1">
        <v>40</v>
      </c>
      <c r="E828" s="1">
        <v>167</v>
      </c>
      <c r="F828" s="1">
        <v>33.299999999999997</v>
      </c>
      <c r="G828" s="1">
        <v>0.96199999999999997</v>
      </c>
      <c r="H828" s="1">
        <v>28</v>
      </c>
      <c r="I828" s="1">
        <v>1</v>
      </c>
      <c r="J828" s="1" t="str">
        <f>IFERROR(VLOOKUP(K828,[1]diabetes_Recognition!$A:$B,2,FALSE),"Not Sampled")</f>
        <v>Not Sampled</v>
      </c>
      <c r="K828" s="1">
        <v>826</v>
      </c>
      <c r="L828" s="1">
        <f>LOOKUP(A828,Sheet2!$D$4:$E$9)</f>
        <v>1</v>
      </c>
      <c r="M828" t="str">
        <f>LOOKUP(B828,Sheet2!$G$4:$H$9)</f>
        <v>100-125</v>
      </c>
      <c r="N828" t="str">
        <f>LOOKUP(C828,Sheet2!$J$4:$K$8)</f>
        <v>1-59</v>
      </c>
      <c r="O828" t="str">
        <f>LOOKUP(D828,Sheet2!$M$4:$N$8)</f>
        <v>40+</v>
      </c>
      <c r="P828" t="str">
        <f>LOOKUP(E828,Sheet2!$P$4:$Q$9)</f>
        <v>100-199</v>
      </c>
      <c r="Q828" t="str">
        <f>LOOKUP(F828,Sheet2!$S$4:$T$8)</f>
        <v>31-35</v>
      </c>
      <c r="R828" t="str">
        <f>LOOKUP(G828,Sheet2!$V$4:$W$7)</f>
        <v>0.7+</v>
      </c>
      <c r="S828" t="str">
        <f>LOOKUP(H828,Sheet2!$Z$4:$AA$7)</f>
        <v>26-35</v>
      </c>
      <c r="T828" t="str">
        <f t="shared" si="36"/>
        <v>Positive</v>
      </c>
      <c r="U828" t="str">
        <f t="shared" si="37"/>
        <v>Not Sampled</v>
      </c>
      <c r="V828" s="1" t="str">
        <f t="shared" si="38"/>
        <v>Not Sampled</v>
      </c>
    </row>
    <row r="829" spans="1:22" x14ac:dyDescent="0.25">
      <c r="A829" s="1">
        <v>13</v>
      </c>
      <c r="B829" s="1">
        <v>129</v>
      </c>
      <c r="C829" s="1">
        <v>0</v>
      </c>
      <c r="D829" s="1">
        <v>30</v>
      </c>
      <c r="E829" s="1">
        <v>0</v>
      </c>
      <c r="F829" s="1">
        <v>39.9</v>
      </c>
      <c r="G829" s="1">
        <v>0.56899999999999995</v>
      </c>
      <c r="H829" s="1">
        <v>44</v>
      </c>
      <c r="I829" s="1">
        <v>1</v>
      </c>
      <c r="J829" s="1">
        <f>IFERROR(VLOOKUP(K829,[1]diabetes_Recognition!$A:$B,2,FALSE),"Not Sampled")</f>
        <v>1</v>
      </c>
      <c r="K829" s="1">
        <v>827</v>
      </c>
      <c r="L829" s="1" t="str">
        <f>LOOKUP(A829,Sheet2!$D$4:$E$9)</f>
        <v>8+</v>
      </c>
      <c r="M829" t="str">
        <f>LOOKUP(B829,Sheet2!$G$4:$H$9)</f>
        <v>126-150</v>
      </c>
      <c r="N829" t="str">
        <f>LOOKUP(C829,Sheet2!$J$4:$K$8)</f>
        <v>Unknown</v>
      </c>
      <c r="O829" t="str">
        <f>LOOKUP(D829,Sheet2!$M$4:$N$8)</f>
        <v>30-39</v>
      </c>
      <c r="P829" t="str">
        <f>LOOKUP(E829,Sheet2!$P$4:$Q$9)</f>
        <v>Unknown</v>
      </c>
      <c r="Q829" t="str">
        <f>LOOKUP(F829,Sheet2!$S$4:$T$8)</f>
        <v>36+</v>
      </c>
      <c r="R829" t="str">
        <f>LOOKUP(G829,Sheet2!$V$4:$W$7)</f>
        <v>0.4 - 0.69</v>
      </c>
      <c r="S829" t="str">
        <f>LOOKUP(H829,Sheet2!$Z$4:$AA$7)</f>
        <v>36-45</v>
      </c>
      <c r="T829" t="str">
        <f t="shared" si="36"/>
        <v>Positive</v>
      </c>
      <c r="U829" t="str">
        <f t="shared" si="37"/>
        <v>Positive</v>
      </c>
      <c r="V829" s="1" t="str">
        <f t="shared" si="38"/>
        <v>Accurate Prediction</v>
      </c>
    </row>
    <row r="830" spans="1:22" x14ac:dyDescent="0.25">
      <c r="A830" s="1">
        <v>12</v>
      </c>
      <c r="B830" s="1">
        <v>88</v>
      </c>
      <c r="C830" s="1">
        <v>74</v>
      </c>
      <c r="D830" s="1">
        <v>40</v>
      </c>
      <c r="E830" s="1">
        <v>54</v>
      </c>
      <c r="F830" s="1">
        <v>35.299999999999997</v>
      </c>
      <c r="G830" s="1">
        <v>0.378</v>
      </c>
      <c r="H830" s="1">
        <v>48</v>
      </c>
      <c r="I830" s="1">
        <v>0</v>
      </c>
      <c r="J830" s="1">
        <f>IFERROR(VLOOKUP(K830,[1]diabetes_Recognition!$A:$B,2,FALSE),"Not Sampled")</f>
        <v>0</v>
      </c>
      <c r="K830" s="1">
        <v>828</v>
      </c>
      <c r="L830" s="1" t="str">
        <f>LOOKUP(A830,Sheet2!$D$4:$E$9)</f>
        <v>8+</v>
      </c>
      <c r="M830" t="str">
        <f>LOOKUP(B830,Sheet2!$G$4:$H$9)</f>
        <v>1-99</v>
      </c>
      <c r="N830" t="str">
        <f>LOOKUP(C830,Sheet2!$J$4:$K$8)</f>
        <v>70-79</v>
      </c>
      <c r="O830" t="str">
        <f>LOOKUP(D830,Sheet2!$M$4:$N$8)</f>
        <v>40+</v>
      </c>
      <c r="P830" t="str">
        <f>LOOKUP(E830,Sheet2!$P$4:$Q$9)</f>
        <v>1-99</v>
      </c>
      <c r="Q830" t="str">
        <f>LOOKUP(F830,Sheet2!$S$4:$T$8)</f>
        <v>31-35</v>
      </c>
      <c r="R830" t="str">
        <f>LOOKUP(G830,Sheet2!$V$4:$W$7)</f>
        <v>0.25 - 0.39</v>
      </c>
      <c r="S830" t="str">
        <f>LOOKUP(H830,Sheet2!$Z$4:$AA$7)</f>
        <v>46+</v>
      </c>
      <c r="T830" t="str">
        <f t="shared" si="36"/>
        <v>Negative</v>
      </c>
      <c r="U830" t="str">
        <f t="shared" si="37"/>
        <v>Negative</v>
      </c>
      <c r="V830" s="1" t="str">
        <f t="shared" si="38"/>
        <v>Accurate Prediction</v>
      </c>
    </row>
    <row r="831" spans="1:22" x14ac:dyDescent="0.25">
      <c r="A831" s="1">
        <v>1</v>
      </c>
      <c r="B831" s="1">
        <v>196</v>
      </c>
      <c r="C831" s="1">
        <v>76</v>
      </c>
      <c r="D831" s="1">
        <v>36</v>
      </c>
      <c r="E831" s="1">
        <v>249</v>
      </c>
      <c r="F831" s="1">
        <v>36.5</v>
      </c>
      <c r="G831" s="1">
        <v>0.875</v>
      </c>
      <c r="H831" s="1">
        <v>29</v>
      </c>
      <c r="I831" s="1">
        <v>1</v>
      </c>
      <c r="J831" s="1" t="str">
        <f>IFERROR(VLOOKUP(K831,[1]diabetes_Recognition!$A:$B,2,FALSE),"Not Sampled")</f>
        <v>Not Sampled</v>
      </c>
      <c r="K831" s="1">
        <v>829</v>
      </c>
      <c r="L831" s="1">
        <f>LOOKUP(A831,Sheet2!$D$4:$E$9)</f>
        <v>1</v>
      </c>
      <c r="M831" t="str">
        <f>LOOKUP(B831,Sheet2!$G$4:$H$9)</f>
        <v>176-200</v>
      </c>
      <c r="N831" t="str">
        <f>LOOKUP(C831,Sheet2!$J$4:$K$8)</f>
        <v>70-79</v>
      </c>
      <c r="O831" t="str">
        <f>LOOKUP(D831,Sheet2!$M$4:$N$8)</f>
        <v>30-39</v>
      </c>
      <c r="P831" t="str">
        <f>LOOKUP(E831,Sheet2!$P$4:$Q$9)</f>
        <v>200-399</v>
      </c>
      <c r="Q831" t="str">
        <f>LOOKUP(F831,Sheet2!$S$4:$T$8)</f>
        <v>36+</v>
      </c>
      <c r="R831" t="str">
        <f>LOOKUP(G831,Sheet2!$V$4:$W$7)</f>
        <v>0.7+</v>
      </c>
      <c r="S831" t="str">
        <f>LOOKUP(H831,Sheet2!$Z$4:$AA$7)</f>
        <v>26-35</v>
      </c>
      <c r="T831" t="str">
        <f t="shared" si="36"/>
        <v>Positive</v>
      </c>
      <c r="U831" t="str">
        <f t="shared" si="37"/>
        <v>Not Sampled</v>
      </c>
      <c r="V831" s="1" t="str">
        <f t="shared" si="38"/>
        <v>Not Sampled</v>
      </c>
    </row>
    <row r="832" spans="1:22" x14ac:dyDescent="0.25">
      <c r="A832" s="1">
        <v>5</v>
      </c>
      <c r="B832" s="1">
        <v>189</v>
      </c>
      <c r="C832" s="1">
        <v>64</v>
      </c>
      <c r="D832" s="1">
        <v>33</v>
      </c>
      <c r="E832" s="1">
        <v>325</v>
      </c>
      <c r="F832" s="1">
        <v>31.2</v>
      </c>
      <c r="G832" s="1">
        <v>0.58299999999999996</v>
      </c>
      <c r="H832" s="1">
        <v>29</v>
      </c>
      <c r="I832" s="1">
        <v>1</v>
      </c>
      <c r="J832" s="1" t="str">
        <f>IFERROR(VLOOKUP(K832,[1]diabetes_Recognition!$A:$B,2,FALSE),"Not Sampled")</f>
        <v>Not Sampled</v>
      </c>
      <c r="K832" s="1">
        <v>830</v>
      </c>
      <c r="L832" s="1" t="str">
        <f>LOOKUP(A832,Sheet2!$D$4:$E$9)</f>
        <v>5-7</v>
      </c>
      <c r="M832" t="str">
        <f>LOOKUP(B832,Sheet2!$G$4:$H$9)</f>
        <v>176-200</v>
      </c>
      <c r="N832" t="str">
        <f>LOOKUP(C832,Sheet2!$J$4:$K$8)</f>
        <v>60-69</v>
      </c>
      <c r="O832" t="str">
        <f>LOOKUP(D832,Sheet2!$M$4:$N$8)</f>
        <v>30-39</v>
      </c>
      <c r="P832" t="str">
        <f>LOOKUP(E832,Sheet2!$P$4:$Q$9)</f>
        <v>300-499</v>
      </c>
      <c r="Q832" t="str">
        <f>LOOKUP(F832,Sheet2!$S$4:$T$8)</f>
        <v>31-35</v>
      </c>
      <c r="R832" t="str">
        <f>LOOKUP(G832,Sheet2!$V$4:$W$7)</f>
        <v>0.4 - 0.69</v>
      </c>
      <c r="S832" t="str">
        <f>LOOKUP(H832,Sheet2!$Z$4:$AA$7)</f>
        <v>26-35</v>
      </c>
      <c r="T832" t="str">
        <f t="shared" si="36"/>
        <v>Positive</v>
      </c>
      <c r="U832" t="str">
        <f t="shared" si="37"/>
        <v>Not Sampled</v>
      </c>
      <c r="V832" s="1" t="str">
        <f t="shared" si="38"/>
        <v>Not Sampled</v>
      </c>
    </row>
    <row r="833" spans="1:22" x14ac:dyDescent="0.25">
      <c r="A833" s="1">
        <v>5</v>
      </c>
      <c r="B833" s="1">
        <v>158</v>
      </c>
      <c r="C833" s="1">
        <v>70</v>
      </c>
      <c r="D833" s="1">
        <v>0</v>
      </c>
      <c r="E833" s="1">
        <v>0</v>
      </c>
      <c r="F833" s="1">
        <v>29.8</v>
      </c>
      <c r="G833" s="1">
        <v>0.20699999999999999</v>
      </c>
      <c r="H833" s="1">
        <v>63</v>
      </c>
      <c r="I833" s="1">
        <v>0</v>
      </c>
      <c r="J833" s="1" t="str">
        <f>IFERROR(VLOOKUP(K833,[1]diabetes_Recognition!$A:$B,2,FALSE),"Not Sampled")</f>
        <v>Not Sampled</v>
      </c>
      <c r="K833" s="1">
        <v>831</v>
      </c>
      <c r="L833" s="1" t="str">
        <f>LOOKUP(A833,Sheet2!$D$4:$E$9)</f>
        <v>5-7</v>
      </c>
      <c r="M833" t="str">
        <f>LOOKUP(B833,Sheet2!$G$4:$H$9)</f>
        <v>151-175</v>
      </c>
      <c r="N833" t="str">
        <f>LOOKUP(C833,Sheet2!$J$4:$K$8)</f>
        <v>70-79</v>
      </c>
      <c r="O833" t="str">
        <f>LOOKUP(D833,Sheet2!$M$4:$N$8)</f>
        <v>Unknown</v>
      </c>
      <c r="P833" t="str">
        <f>LOOKUP(E833,Sheet2!$P$4:$Q$9)</f>
        <v>Unknown</v>
      </c>
      <c r="Q833" t="str">
        <f>LOOKUP(F833,Sheet2!$S$4:$T$8)</f>
        <v>26-30</v>
      </c>
      <c r="R833" t="str">
        <f>LOOKUP(G833,Sheet2!$V$4:$W$7)</f>
        <v>0.0 - 0.249</v>
      </c>
      <c r="S833" t="str">
        <f>LOOKUP(H833,Sheet2!$Z$4:$AA$7)</f>
        <v>46+</v>
      </c>
      <c r="T833" t="str">
        <f t="shared" si="36"/>
        <v>Negative</v>
      </c>
      <c r="U833" t="str">
        <f t="shared" si="37"/>
        <v>Not Sampled</v>
      </c>
      <c r="V833" s="1" t="str">
        <f t="shared" si="38"/>
        <v>Not Sampled</v>
      </c>
    </row>
    <row r="834" spans="1:22" x14ac:dyDescent="0.25">
      <c r="A834" s="1">
        <v>5</v>
      </c>
      <c r="B834" s="1">
        <v>103</v>
      </c>
      <c r="C834" s="1">
        <v>108</v>
      </c>
      <c r="D834" s="1">
        <v>37</v>
      </c>
      <c r="E834" s="1">
        <v>0</v>
      </c>
      <c r="F834" s="1">
        <v>39.200000000000003</v>
      </c>
      <c r="G834" s="1">
        <v>0.30499999999999999</v>
      </c>
      <c r="H834" s="1">
        <v>65</v>
      </c>
      <c r="I834" s="1">
        <v>0</v>
      </c>
      <c r="J834" s="1" t="str">
        <f>IFERROR(VLOOKUP(K834,[1]diabetes_Recognition!$A:$B,2,FALSE),"Not Sampled")</f>
        <v>Not Sampled</v>
      </c>
      <c r="K834" s="1">
        <v>832</v>
      </c>
      <c r="L834" s="1" t="str">
        <f>LOOKUP(A834,Sheet2!$D$4:$E$9)</f>
        <v>5-7</v>
      </c>
      <c r="M834" t="str">
        <f>LOOKUP(B834,Sheet2!$G$4:$H$9)</f>
        <v>100-125</v>
      </c>
      <c r="N834" t="str">
        <f>LOOKUP(C834,Sheet2!$J$4:$K$8)</f>
        <v>80+</v>
      </c>
      <c r="O834" t="str">
        <f>LOOKUP(D834,Sheet2!$M$4:$N$8)</f>
        <v>30-39</v>
      </c>
      <c r="P834" t="str">
        <f>LOOKUP(E834,Sheet2!$P$4:$Q$9)</f>
        <v>Unknown</v>
      </c>
      <c r="Q834" t="str">
        <f>LOOKUP(F834,Sheet2!$S$4:$T$8)</f>
        <v>36+</v>
      </c>
      <c r="R834" t="str">
        <f>LOOKUP(G834,Sheet2!$V$4:$W$7)</f>
        <v>0.25 - 0.39</v>
      </c>
      <c r="S834" t="str">
        <f>LOOKUP(H834,Sheet2!$Z$4:$AA$7)</f>
        <v>46+</v>
      </c>
      <c r="T834" t="str">
        <f t="shared" si="36"/>
        <v>Negative</v>
      </c>
      <c r="U834" t="str">
        <f t="shared" si="37"/>
        <v>Not Sampled</v>
      </c>
      <c r="V834" s="1" t="str">
        <f t="shared" si="38"/>
        <v>Not Sampled</v>
      </c>
    </row>
    <row r="835" spans="1:22" x14ac:dyDescent="0.25">
      <c r="A835" s="1">
        <v>4</v>
      </c>
      <c r="B835" s="1">
        <v>146</v>
      </c>
      <c r="C835" s="1">
        <v>78</v>
      </c>
      <c r="D835" s="1">
        <v>0</v>
      </c>
      <c r="E835" s="1">
        <v>0</v>
      </c>
      <c r="F835" s="1">
        <v>38.5</v>
      </c>
      <c r="G835" s="1">
        <v>0.52</v>
      </c>
      <c r="H835" s="1">
        <v>67</v>
      </c>
      <c r="I835" s="1">
        <v>1</v>
      </c>
      <c r="J835" s="1" t="str">
        <f>IFERROR(VLOOKUP(K835,[1]diabetes_Recognition!$A:$B,2,FALSE),"Not Sampled")</f>
        <v>Not Sampled</v>
      </c>
      <c r="K835" s="1">
        <v>833</v>
      </c>
      <c r="L835" s="1" t="str">
        <f>LOOKUP(A835,Sheet2!$D$4:$E$9)</f>
        <v>3-4</v>
      </c>
      <c r="M835" t="str">
        <f>LOOKUP(B835,Sheet2!$G$4:$H$9)</f>
        <v>126-150</v>
      </c>
      <c r="N835" t="str">
        <f>LOOKUP(C835,Sheet2!$J$4:$K$8)</f>
        <v>70-79</v>
      </c>
      <c r="O835" t="str">
        <f>LOOKUP(D835,Sheet2!$M$4:$N$8)</f>
        <v>Unknown</v>
      </c>
      <c r="P835" t="str">
        <f>LOOKUP(E835,Sheet2!$P$4:$Q$9)</f>
        <v>Unknown</v>
      </c>
      <c r="Q835" t="str">
        <f>LOOKUP(F835,Sheet2!$S$4:$T$8)</f>
        <v>36+</v>
      </c>
      <c r="R835" t="str">
        <f>LOOKUP(G835,Sheet2!$V$4:$W$7)</f>
        <v>0.4 - 0.69</v>
      </c>
      <c r="S835" t="str">
        <f>LOOKUP(H835,Sheet2!$Z$4:$AA$7)</f>
        <v>46+</v>
      </c>
      <c r="T835" t="str">
        <f t="shared" ref="T835:T898" si="39">IF(I835=1,"Positive","Negative")</f>
        <v>Positive</v>
      </c>
      <c r="U835" t="str">
        <f t="shared" ref="U835:U898" si="40">IF(J835=1,"Positive",(IF(J835=0,"Negative","Not Sampled")))</f>
        <v>Not Sampled</v>
      </c>
      <c r="V835" s="1" t="str">
        <f t="shared" ref="V835:V898" si="41">IF(U835="Not Sampled","Not Sampled",IF(T835=U835,"Accurate Prediction","Inaccurate Prediction"))</f>
        <v>Not Sampled</v>
      </c>
    </row>
    <row r="836" spans="1:22" x14ac:dyDescent="0.25">
      <c r="A836" s="1">
        <v>4</v>
      </c>
      <c r="B836" s="1">
        <v>147</v>
      </c>
      <c r="C836" s="1">
        <v>74</v>
      </c>
      <c r="D836" s="1">
        <v>25</v>
      </c>
      <c r="E836" s="1">
        <v>293</v>
      </c>
      <c r="F836" s="1">
        <v>34.9</v>
      </c>
      <c r="G836" s="1">
        <v>0.38500000000000001</v>
      </c>
      <c r="H836" s="1">
        <v>30</v>
      </c>
      <c r="I836" s="1">
        <v>0</v>
      </c>
      <c r="J836" s="1">
        <f>IFERROR(VLOOKUP(K836,[1]diabetes_Recognition!$A:$B,2,FALSE),"Not Sampled")</f>
        <v>0</v>
      </c>
      <c r="K836" s="1">
        <v>834</v>
      </c>
      <c r="L836" s="1" t="str">
        <f>LOOKUP(A836,Sheet2!$D$4:$E$9)</f>
        <v>3-4</v>
      </c>
      <c r="M836" t="str">
        <f>LOOKUP(B836,Sheet2!$G$4:$H$9)</f>
        <v>126-150</v>
      </c>
      <c r="N836" t="str">
        <f>LOOKUP(C836,Sheet2!$J$4:$K$8)</f>
        <v>70-79</v>
      </c>
      <c r="O836" t="str">
        <f>LOOKUP(D836,Sheet2!$M$4:$N$8)</f>
        <v>10-30</v>
      </c>
      <c r="P836" t="str">
        <f>LOOKUP(E836,Sheet2!$P$4:$Q$9)</f>
        <v>200-399</v>
      </c>
      <c r="Q836" t="str">
        <f>LOOKUP(F836,Sheet2!$S$4:$T$8)</f>
        <v>31-35</v>
      </c>
      <c r="R836" t="str">
        <f>LOOKUP(G836,Sheet2!$V$4:$W$7)</f>
        <v>0.25 - 0.39</v>
      </c>
      <c r="S836" t="str">
        <f>LOOKUP(H836,Sheet2!$Z$4:$AA$7)</f>
        <v>26-35</v>
      </c>
      <c r="T836" t="str">
        <f t="shared" si="39"/>
        <v>Negative</v>
      </c>
      <c r="U836" t="str">
        <f t="shared" si="40"/>
        <v>Negative</v>
      </c>
      <c r="V836" s="1" t="str">
        <f t="shared" si="41"/>
        <v>Accurate Prediction</v>
      </c>
    </row>
    <row r="837" spans="1:22" x14ac:dyDescent="0.25">
      <c r="A837" s="1">
        <v>5</v>
      </c>
      <c r="B837" s="1">
        <v>99</v>
      </c>
      <c r="C837" s="1">
        <v>54</v>
      </c>
      <c r="D837" s="1">
        <v>28</v>
      </c>
      <c r="E837" s="1">
        <v>83</v>
      </c>
      <c r="F837" s="1">
        <v>34</v>
      </c>
      <c r="G837" s="1">
        <v>0.499</v>
      </c>
      <c r="H837" s="1">
        <v>30</v>
      </c>
      <c r="I837" s="1">
        <v>0</v>
      </c>
      <c r="J837" s="1" t="str">
        <f>IFERROR(VLOOKUP(K837,[1]diabetes_Recognition!$A:$B,2,FALSE),"Not Sampled")</f>
        <v>Not Sampled</v>
      </c>
      <c r="K837" s="1">
        <v>835</v>
      </c>
      <c r="L837" s="1" t="str">
        <f>LOOKUP(A837,Sheet2!$D$4:$E$9)</f>
        <v>5-7</v>
      </c>
      <c r="M837" t="str">
        <f>LOOKUP(B837,Sheet2!$G$4:$H$9)</f>
        <v>1-99</v>
      </c>
      <c r="N837" t="str">
        <f>LOOKUP(C837,Sheet2!$J$4:$K$8)</f>
        <v>1-59</v>
      </c>
      <c r="O837" t="str">
        <f>LOOKUP(D837,Sheet2!$M$4:$N$8)</f>
        <v>10-30</v>
      </c>
      <c r="P837" t="str">
        <f>LOOKUP(E837,Sheet2!$P$4:$Q$9)</f>
        <v>1-99</v>
      </c>
      <c r="Q837" t="str">
        <f>LOOKUP(F837,Sheet2!$S$4:$T$8)</f>
        <v>31-35</v>
      </c>
      <c r="R837" t="str">
        <f>LOOKUP(G837,Sheet2!$V$4:$W$7)</f>
        <v>0.4 - 0.69</v>
      </c>
      <c r="S837" t="str">
        <f>LOOKUP(H837,Sheet2!$Z$4:$AA$7)</f>
        <v>26-35</v>
      </c>
      <c r="T837" t="str">
        <f t="shared" si="39"/>
        <v>Negative</v>
      </c>
      <c r="U837" t="str">
        <f t="shared" si="40"/>
        <v>Not Sampled</v>
      </c>
      <c r="V837" s="1" t="str">
        <f t="shared" si="41"/>
        <v>Not Sampled</v>
      </c>
    </row>
    <row r="838" spans="1:22" x14ac:dyDescent="0.25">
      <c r="A838" s="1">
        <v>6</v>
      </c>
      <c r="B838" s="1">
        <v>124</v>
      </c>
      <c r="C838" s="1">
        <v>72</v>
      </c>
      <c r="D838" s="1">
        <v>0</v>
      </c>
      <c r="E838" s="1">
        <v>0</v>
      </c>
      <c r="F838" s="1">
        <v>27.6</v>
      </c>
      <c r="G838" s="1">
        <v>0.36799999999999999</v>
      </c>
      <c r="H838" s="1">
        <v>29</v>
      </c>
      <c r="I838" s="1">
        <v>1</v>
      </c>
      <c r="J838" s="1" t="str">
        <f>IFERROR(VLOOKUP(K838,[1]diabetes_Recognition!$A:$B,2,FALSE),"Not Sampled")</f>
        <v>Not Sampled</v>
      </c>
      <c r="K838" s="1">
        <v>836</v>
      </c>
      <c r="L838" s="1" t="str">
        <f>LOOKUP(A838,Sheet2!$D$4:$E$9)</f>
        <v>5-7</v>
      </c>
      <c r="M838" t="str">
        <f>LOOKUP(B838,Sheet2!$G$4:$H$9)</f>
        <v>100-125</v>
      </c>
      <c r="N838" t="str">
        <f>LOOKUP(C838,Sheet2!$J$4:$K$8)</f>
        <v>70-79</v>
      </c>
      <c r="O838" t="str">
        <f>LOOKUP(D838,Sheet2!$M$4:$N$8)</f>
        <v>Unknown</v>
      </c>
      <c r="P838" t="str">
        <f>LOOKUP(E838,Sheet2!$P$4:$Q$9)</f>
        <v>Unknown</v>
      </c>
      <c r="Q838" t="str">
        <f>LOOKUP(F838,Sheet2!$S$4:$T$8)</f>
        <v>26-30</v>
      </c>
      <c r="R838" t="str">
        <f>LOOKUP(G838,Sheet2!$V$4:$W$7)</f>
        <v>0.25 - 0.39</v>
      </c>
      <c r="S838" t="str">
        <f>LOOKUP(H838,Sheet2!$Z$4:$AA$7)</f>
        <v>26-35</v>
      </c>
      <c r="T838" t="str">
        <f t="shared" si="39"/>
        <v>Positive</v>
      </c>
      <c r="U838" t="str">
        <f t="shared" si="40"/>
        <v>Not Sampled</v>
      </c>
      <c r="V838" s="1" t="str">
        <f t="shared" si="41"/>
        <v>Not Sampled</v>
      </c>
    </row>
    <row r="839" spans="1:22" x14ac:dyDescent="0.25">
      <c r="A839" s="1">
        <v>0</v>
      </c>
      <c r="B839" s="1">
        <v>101</v>
      </c>
      <c r="C839" s="1">
        <v>64</v>
      </c>
      <c r="D839" s="1">
        <v>17</v>
      </c>
      <c r="E839" s="1">
        <v>0</v>
      </c>
      <c r="F839" s="1">
        <v>21</v>
      </c>
      <c r="G839" s="1">
        <v>0.252</v>
      </c>
      <c r="H839" s="1">
        <v>21</v>
      </c>
      <c r="I839" s="1">
        <v>0</v>
      </c>
      <c r="J839" s="1" t="str">
        <f>IFERROR(VLOOKUP(K839,[1]diabetes_Recognition!$A:$B,2,FALSE),"Not Sampled")</f>
        <v>Not Sampled</v>
      </c>
      <c r="K839" s="1">
        <v>837</v>
      </c>
      <c r="L839" s="1">
        <f>LOOKUP(A839,Sheet2!$D$4:$E$9)</f>
        <v>0</v>
      </c>
      <c r="M839" t="str">
        <f>LOOKUP(B839,Sheet2!$G$4:$H$9)</f>
        <v>100-125</v>
      </c>
      <c r="N839" t="str">
        <f>LOOKUP(C839,Sheet2!$J$4:$K$8)</f>
        <v>60-69</v>
      </c>
      <c r="O839" t="str">
        <f>LOOKUP(D839,Sheet2!$M$4:$N$8)</f>
        <v>10-30</v>
      </c>
      <c r="P839" t="str">
        <f>LOOKUP(E839,Sheet2!$P$4:$Q$9)</f>
        <v>Unknown</v>
      </c>
      <c r="Q839" t="str">
        <f>LOOKUP(F839,Sheet2!$S$4:$T$8)</f>
        <v>1-25</v>
      </c>
      <c r="R839" t="str">
        <f>LOOKUP(G839,Sheet2!$V$4:$W$7)</f>
        <v>0.25 - 0.39</v>
      </c>
      <c r="S839" t="str">
        <f>LOOKUP(H839,Sheet2!$Z$4:$AA$7)</f>
        <v>&lt;=25</v>
      </c>
      <c r="T839" t="str">
        <f t="shared" si="39"/>
        <v>Negative</v>
      </c>
      <c r="U839" t="str">
        <f t="shared" si="40"/>
        <v>Not Sampled</v>
      </c>
      <c r="V839" s="1" t="str">
        <f t="shared" si="41"/>
        <v>Not Sampled</v>
      </c>
    </row>
    <row r="840" spans="1:22" x14ac:dyDescent="0.25">
      <c r="A840" s="1">
        <v>3</v>
      </c>
      <c r="B840" s="1">
        <v>81</v>
      </c>
      <c r="C840" s="1">
        <v>86</v>
      </c>
      <c r="D840" s="1">
        <v>16</v>
      </c>
      <c r="E840" s="1">
        <v>66</v>
      </c>
      <c r="F840" s="1">
        <v>27.5</v>
      </c>
      <c r="G840" s="1">
        <v>0.30599999999999999</v>
      </c>
      <c r="H840" s="1">
        <v>22</v>
      </c>
      <c r="I840" s="1">
        <v>0</v>
      </c>
      <c r="J840" s="1" t="str">
        <f>IFERROR(VLOOKUP(K840,[1]diabetes_Recognition!$A:$B,2,FALSE),"Not Sampled")</f>
        <v>Not Sampled</v>
      </c>
      <c r="K840" s="1">
        <v>838</v>
      </c>
      <c r="L840" s="1" t="str">
        <f>LOOKUP(A840,Sheet2!$D$4:$E$9)</f>
        <v>3-4</v>
      </c>
      <c r="M840" t="str">
        <f>LOOKUP(B840,Sheet2!$G$4:$H$9)</f>
        <v>1-99</v>
      </c>
      <c r="N840" t="str">
        <f>LOOKUP(C840,Sheet2!$J$4:$K$8)</f>
        <v>80+</v>
      </c>
      <c r="O840" t="str">
        <f>LOOKUP(D840,Sheet2!$M$4:$N$8)</f>
        <v>10-30</v>
      </c>
      <c r="P840" t="str">
        <f>LOOKUP(E840,Sheet2!$P$4:$Q$9)</f>
        <v>1-99</v>
      </c>
      <c r="Q840" t="str">
        <f>LOOKUP(F840,Sheet2!$S$4:$T$8)</f>
        <v>26-30</v>
      </c>
      <c r="R840" t="str">
        <f>LOOKUP(G840,Sheet2!$V$4:$W$7)</f>
        <v>0.25 - 0.39</v>
      </c>
      <c r="S840" t="str">
        <f>LOOKUP(H840,Sheet2!$Z$4:$AA$7)</f>
        <v>&lt;=25</v>
      </c>
      <c r="T840" t="str">
        <f t="shared" si="39"/>
        <v>Negative</v>
      </c>
      <c r="U840" t="str">
        <f t="shared" si="40"/>
        <v>Not Sampled</v>
      </c>
      <c r="V840" s="1" t="str">
        <f t="shared" si="41"/>
        <v>Not Sampled</v>
      </c>
    </row>
    <row r="841" spans="1:22" x14ac:dyDescent="0.25">
      <c r="A841" s="1">
        <v>1</v>
      </c>
      <c r="B841" s="1">
        <v>133</v>
      </c>
      <c r="C841" s="1">
        <v>102</v>
      </c>
      <c r="D841" s="1">
        <v>28</v>
      </c>
      <c r="E841" s="1">
        <v>140</v>
      </c>
      <c r="F841" s="1">
        <v>32.799999999999997</v>
      </c>
      <c r="G841" s="1">
        <v>0.23400000000000001</v>
      </c>
      <c r="H841" s="1">
        <v>45</v>
      </c>
      <c r="I841" s="1">
        <v>1</v>
      </c>
      <c r="J841" s="1" t="str">
        <f>IFERROR(VLOOKUP(K841,[1]diabetes_Recognition!$A:$B,2,FALSE),"Not Sampled")</f>
        <v>Not Sampled</v>
      </c>
      <c r="K841" s="1">
        <v>839</v>
      </c>
      <c r="L841" s="1">
        <f>LOOKUP(A841,Sheet2!$D$4:$E$9)</f>
        <v>1</v>
      </c>
      <c r="M841" t="str">
        <f>LOOKUP(B841,Sheet2!$G$4:$H$9)</f>
        <v>126-150</v>
      </c>
      <c r="N841" t="str">
        <f>LOOKUP(C841,Sheet2!$J$4:$K$8)</f>
        <v>80+</v>
      </c>
      <c r="O841" t="str">
        <f>LOOKUP(D841,Sheet2!$M$4:$N$8)</f>
        <v>10-30</v>
      </c>
      <c r="P841" t="str">
        <f>LOOKUP(E841,Sheet2!$P$4:$Q$9)</f>
        <v>100-199</v>
      </c>
      <c r="Q841" t="str">
        <f>LOOKUP(F841,Sheet2!$S$4:$T$8)</f>
        <v>31-35</v>
      </c>
      <c r="R841" t="str">
        <f>LOOKUP(G841,Sheet2!$V$4:$W$7)</f>
        <v>0.0 - 0.249</v>
      </c>
      <c r="S841" t="str">
        <f>LOOKUP(H841,Sheet2!$Z$4:$AA$7)</f>
        <v>36-45</v>
      </c>
      <c r="T841" t="str">
        <f t="shared" si="39"/>
        <v>Positive</v>
      </c>
      <c r="U841" t="str">
        <f t="shared" si="40"/>
        <v>Not Sampled</v>
      </c>
      <c r="V841" s="1" t="str">
        <f t="shared" si="41"/>
        <v>Not Sampled</v>
      </c>
    </row>
    <row r="842" spans="1:22" x14ac:dyDescent="0.25">
      <c r="A842" s="1">
        <v>3</v>
      </c>
      <c r="B842" s="1">
        <v>173</v>
      </c>
      <c r="C842" s="1">
        <v>82</v>
      </c>
      <c r="D842" s="1">
        <v>48</v>
      </c>
      <c r="E842" s="1">
        <v>465</v>
      </c>
      <c r="F842" s="1">
        <v>38.4</v>
      </c>
      <c r="G842" s="1">
        <v>2.137</v>
      </c>
      <c r="H842" s="1">
        <v>25</v>
      </c>
      <c r="I842" s="1">
        <v>1</v>
      </c>
      <c r="J842" s="1">
        <f>IFERROR(VLOOKUP(K842,[1]diabetes_Recognition!$A:$B,2,FALSE),"Not Sampled")</f>
        <v>1</v>
      </c>
      <c r="K842" s="1">
        <v>840</v>
      </c>
      <c r="L842" s="1" t="str">
        <f>LOOKUP(A842,Sheet2!$D$4:$E$9)</f>
        <v>3-4</v>
      </c>
      <c r="M842" t="str">
        <f>LOOKUP(B842,Sheet2!$G$4:$H$9)</f>
        <v>151-175</v>
      </c>
      <c r="N842" t="str">
        <f>LOOKUP(C842,Sheet2!$J$4:$K$8)</f>
        <v>80+</v>
      </c>
      <c r="O842" t="str">
        <f>LOOKUP(D842,Sheet2!$M$4:$N$8)</f>
        <v>40+</v>
      </c>
      <c r="P842" t="str">
        <f>LOOKUP(E842,Sheet2!$P$4:$Q$9)</f>
        <v>300-499</v>
      </c>
      <c r="Q842" t="str">
        <f>LOOKUP(F842,Sheet2!$S$4:$T$8)</f>
        <v>36+</v>
      </c>
      <c r="R842" t="str">
        <f>LOOKUP(G842,Sheet2!$V$4:$W$7)</f>
        <v>0.7+</v>
      </c>
      <c r="S842" t="str">
        <f>LOOKUP(H842,Sheet2!$Z$4:$AA$7)</f>
        <v>&lt;=25</v>
      </c>
      <c r="T842" t="str">
        <f t="shared" si="39"/>
        <v>Positive</v>
      </c>
      <c r="U842" t="str">
        <f t="shared" si="40"/>
        <v>Positive</v>
      </c>
      <c r="V842" s="1" t="str">
        <f t="shared" si="41"/>
        <v>Accurate Prediction</v>
      </c>
    </row>
    <row r="843" spans="1:22" x14ac:dyDescent="0.25">
      <c r="A843" s="1">
        <v>0</v>
      </c>
      <c r="B843" s="1">
        <v>118</v>
      </c>
      <c r="C843" s="1">
        <v>64</v>
      </c>
      <c r="D843" s="1">
        <v>23</v>
      </c>
      <c r="E843" s="1">
        <v>89</v>
      </c>
      <c r="F843" s="1">
        <v>0</v>
      </c>
      <c r="G843" s="1">
        <v>1.7310000000000001</v>
      </c>
      <c r="H843" s="1">
        <v>21</v>
      </c>
      <c r="I843" s="1">
        <v>0</v>
      </c>
      <c r="J843" s="1" t="str">
        <f>IFERROR(VLOOKUP(K843,[1]diabetes_Recognition!$A:$B,2,FALSE),"Not Sampled")</f>
        <v>Not Sampled</v>
      </c>
      <c r="K843" s="1">
        <v>841</v>
      </c>
      <c r="L843" s="1">
        <f>LOOKUP(A843,Sheet2!$D$4:$E$9)</f>
        <v>0</v>
      </c>
      <c r="M843" t="str">
        <f>LOOKUP(B843,Sheet2!$G$4:$H$9)</f>
        <v>100-125</v>
      </c>
      <c r="N843" t="str">
        <f>LOOKUP(C843,Sheet2!$J$4:$K$8)</f>
        <v>60-69</v>
      </c>
      <c r="O843" t="str">
        <f>LOOKUP(D843,Sheet2!$M$4:$N$8)</f>
        <v>10-30</v>
      </c>
      <c r="P843" t="str">
        <f>LOOKUP(E843,Sheet2!$P$4:$Q$9)</f>
        <v>1-99</v>
      </c>
      <c r="Q843" t="str">
        <f>LOOKUP(F843,Sheet2!$S$4:$T$8)</f>
        <v>Unknown</v>
      </c>
      <c r="R843" t="str">
        <f>LOOKUP(G843,Sheet2!$V$4:$W$7)</f>
        <v>0.7+</v>
      </c>
      <c r="S843" t="str">
        <f>LOOKUP(H843,Sheet2!$Z$4:$AA$7)</f>
        <v>&lt;=25</v>
      </c>
      <c r="T843" t="str">
        <f t="shared" si="39"/>
        <v>Negative</v>
      </c>
      <c r="U843" t="str">
        <f t="shared" si="40"/>
        <v>Not Sampled</v>
      </c>
      <c r="V843" s="1" t="str">
        <f t="shared" si="41"/>
        <v>Not Sampled</v>
      </c>
    </row>
    <row r="844" spans="1:22" x14ac:dyDescent="0.25">
      <c r="A844" s="1">
        <v>0</v>
      </c>
      <c r="B844" s="1">
        <v>84</v>
      </c>
      <c r="C844" s="1">
        <v>64</v>
      </c>
      <c r="D844" s="1">
        <v>22</v>
      </c>
      <c r="E844" s="1">
        <v>66</v>
      </c>
      <c r="F844" s="1">
        <v>35.799999999999997</v>
      </c>
      <c r="G844" s="1">
        <v>0.54500000000000004</v>
      </c>
      <c r="H844" s="1">
        <v>21</v>
      </c>
      <c r="I844" s="1">
        <v>0</v>
      </c>
      <c r="J844" s="1" t="str">
        <f>IFERROR(VLOOKUP(K844,[1]diabetes_Recognition!$A:$B,2,FALSE),"Not Sampled")</f>
        <v>Not Sampled</v>
      </c>
      <c r="K844" s="1">
        <v>842</v>
      </c>
      <c r="L844" s="1">
        <f>LOOKUP(A844,Sheet2!$D$4:$E$9)</f>
        <v>0</v>
      </c>
      <c r="M844" t="str">
        <f>LOOKUP(B844,Sheet2!$G$4:$H$9)</f>
        <v>1-99</v>
      </c>
      <c r="N844" t="str">
        <f>LOOKUP(C844,Sheet2!$J$4:$K$8)</f>
        <v>60-69</v>
      </c>
      <c r="O844" t="str">
        <f>LOOKUP(D844,Sheet2!$M$4:$N$8)</f>
        <v>10-30</v>
      </c>
      <c r="P844" t="str">
        <f>LOOKUP(E844,Sheet2!$P$4:$Q$9)</f>
        <v>1-99</v>
      </c>
      <c r="Q844" t="str">
        <f>LOOKUP(F844,Sheet2!$S$4:$T$8)</f>
        <v>31-35</v>
      </c>
      <c r="R844" t="str">
        <f>LOOKUP(G844,Sheet2!$V$4:$W$7)</f>
        <v>0.4 - 0.69</v>
      </c>
      <c r="S844" t="str">
        <f>LOOKUP(H844,Sheet2!$Z$4:$AA$7)</f>
        <v>&lt;=25</v>
      </c>
      <c r="T844" t="str">
        <f t="shared" si="39"/>
        <v>Negative</v>
      </c>
      <c r="U844" t="str">
        <f t="shared" si="40"/>
        <v>Not Sampled</v>
      </c>
      <c r="V844" s="1" t="str">
        <f t="shared" si="41"/>
        <v>Not Sampled</v>
      </c>
    </row>
    <row r="845" spans="1:22" x14ac:dyDescent="0.25">
      <c r="A845" s="1">
        <v>2</v>
      </c>
      <c r="B845" s="1">
        <v>105</v>
      </c>
      <c r="C845" s="1">
        <v>58</v>
      </c>
      <c r="D845" s="1">
        <v>40</v>
      </c>
      <c r="E845" s="1">
        <v>94</v>
      </c>
      <c r="F845" s="1">
        <v>34.9</v>
      </c>
      <c r="G845" s="1">
        <v>0.22500000000000001</v>
      </c>
      <c r="H845" s="1">
        <v>25</v>
      </c>
      <c r="I845" s="1">
        <v>0</v>
      </c>
      <c r="J845" s="1" t="str">
        <f>IFERROR(VLOOKUP(K845,[1]diabetes_Recognition!$A:$B,2,FALSE),"Not Sampled")</f>
        <v>Not Sampled</v>
      </c>
      <c r="K845" s="1">
        <v>843</v>
      </c>
      <c r="L845" s="1">
        <f>LOOKUP(A845,Sheet2!$D$4:$E$9)</f>
        <v>2</v>
      </c>
      <c r="M845" t="str">
        <f>LOOKUP(B845,Sheet2!$G$4:$H$9)</f>
        <v>100-125</v>
      </c>
      <c r="N845" t="str">
        <f>LOOKUP(C845,Sheet2!$J$4:$K$8)</f>
        <v>1-59</v>
      </c>
      <c r="O845" t="str">
        <f>LOOKUP(D845,Sheet2!$M$4:$N$8)</f>
        <v>40+</v>
      </c>
      <c r="P845" t="str">
        <f>LOOKUP(E845,Sheet2!$P$4:$Q$9)</f>
        <v>1-99</v>
      </c>
      <c r="Q845" t="str">
        <f>LOOKUP(F845,Sheet2!$S$4:$T$8)</f>
        <v>31-35</v>
      </c>
      <c r="R845" t="str">
        <f>LOOKUP(G845,Sheet2!$V$4:$W$7)</f>
        <v>0.0 - 0.249</v>
      </c>
      <c r="S845" t="str">
        <f>LOOKUP(H845,Sheet2!$Z$4:$AA$7)</f>
        <v>&lt;=25</v>
      </c>
      <c r="T845" t="str">
        <f t="shared" si="39"/>
        <v>Negative</v>
      </c>
      <c r="U845" t="str">
        <f t="shared" si="40"/>
        <v>Not Sampled</v>
      </c>
      <c r="V845" s="1" t="str">
        <f t="shared" si="41"/>
        <v>Not Sampled</v>
      </c>
    </row>
    <row r="846" spans="1:22" x14ac:dyDescent="0.25">
      <c r="A846" s="1">
        <v>2</v>
      </c>
      <c r="B846" s="1">
        <v>122</v>
      </c>
      <c r="C846" s="1">
        <v>52</v>
      </c>
      <c r="D846" s="1">
        <v>43</v>
      </c>
      <c r="E846" s="1">
        <v>158</v>
      </c>
      <c r="F846" s="1">
        <v>36.200000000000003</v>
      </c>
      <c r="G846" s="1">
        <v>0.81599999999999995</v>
      </c>
      <c r="H846" s="1">
        <v>28</v>
      </c>
      <c r="I846" s="1">
        <v>0</v>
      </c>
      <c r="J846" s="1" t="str">
        <f>IFERROR(VLOOKUP(K846,[1]diabetes_Recognition!$A:$B,2,FALSE),"Not Sampled")</f>
        <v>Not Sampled</v>
      </c>
      <c r="K846" s="1">
        <v>844</v>
      </c>
      <c r="L846" s="1">
        <f>LOOKUP(A846,Sheet2!$D$4:$E$9)</f>
        <v>2</v>
      </c>
      <c r="M846" t="str">
        <f>LOOKUP(B846,Sheet2!$G$4:$H$9)</f>
        <v>100-125</v>
      </c>
      <c r="N846" t="str">
        <f>LOOKUP(C846,Sheet2!$J$4:$K$8)</f>
        <v>1-59</v>
      </c>
      <c r="O846" t="str">
        <f>LOOKUP(D846,Sheet2!$M$4:$N$8)</f>
        <v>40+</v>
      </c>
      <c r="P846" t="str">
        <f>LOOKUP(E846,Sheet2!$P$4:$Q$9)</f>
        <v>100-199</v>
      </c>
      <c r="Q846" t="str">
        <f>LOOKUP(F846,Sheet2!$S$4:$T$8)</f>
        <v>36+</v>
      </c>
      <c r="R846" t="str">
        <f>LOOKUP(G846,Sheet2!$V$4:$W$7)</f>
        <v>0.7+</v>
      </c>
      <c r="S846" t="str">
        <f>LOOKUP(H846,Sheet2!$Z$4:$AA$7)</f>
        <v>26-35</v>
      </c>
      <c r="T846" t="str">
        <f t="shared" si="39"/>
        <v>Negative</v>
      </c>
      <c r="U846" t="str">
        <f t="shared" si="40"/>
        <v>Not Sampled</v>
      </c>
      <c r="V846" s="1" t="str">
        <f t="shared" si="41"/>
        <v>Not Sampled</v>
      </c>
    </row>
    <row r="847" spans="1:22" x14ac:dyDescent="0.25">
      <c r="A847" s="1">
        <v>12</v>
      </c>
      <c r="B847" s="1">
        <v>140</v>
      </c>
      <c r="C847" s="1">
        <v>82</v>
      </c>
      <c r="D847" s="1">
        <v>43</v>
      </c>
      <c r="E847" s="1">
        <v>325</v>
      </c>
      <c r="F847" s="1">
        <v>39.200000000000003</v>
      </c>
      <c r="G847" s="1">
        <v>0.52800000000000002</v>
      </c>
      <c r="H847" s="1">
        <v>58</v>
      </c>
      <c r="I847" s="1">
        <v>1</v>
      </c>
      <c r="J847" s="1" t="str">
        <f>IFERROR(VLOOKUP(K847,[1]diabetes_Recognition!$A:$B,2,FALSE),"Not Sampled")</f>
        <v>Not Sampled</v>
      </c>
      <c r="K847" s="1">
        <v>845</v>
      </c>
      <c r="L847" s="1" t="str">
        <f>LOOKUP(A847,Sheet2!$D$4:$E$9)</f>
        <v>8+</v>
      </c>
      <c r="M847" t="str">
        <f>LOOKUP(B847,Sheet2!$G$4:$H$9)</f>
        <v>126-150</v>
      </c>
      <c r="N847" t="str">
        <f>LOOKUP(C847,Sheet2!$J$4:$K$8)</f>
        <v>80+</v>
      </c>
      <c r="O847" t="str">
        <f>LOOKUP(D847,Sheet2!$M$4:$N$8)</f>
        <v>40+</v>
      </c>
      <c r="P847" t="str">
        <f>LOOKUP(E847,Sheet2!$P$4:$Q$9)</f>
        <v>300-499</v>
      </c>
      <c r="Q847" t="str">
        <f>LOOKUP(F847,Sheet2!$S$4:$T$8)</f>
        <v>36+</v>
      </c>
      <c r="R847" t="str">
        <f>LOOKUP(G847,Sheet2!$V$4:$W$7)</f>
        <v>0.4 - 0.69</v>
      </c>
      <c r="S847" t="str">
        <f>LOOKUP(H847,Sheet2!$Z$4:$AA$7)</f>
        <v>46+</v>
      </c>
      <c r="T847" t="str">
        <f t="shared" si="39"/>
        <v>Positive</v>
      </c>
      <c r="U847" t="str">
        <f t="shared" si="40"/>
        <v>Not Sampled</v>
      </c>
      <c r="V847" s="1" t="str">
        <f t="shared" si="41"/>
        <v>Not Sampled</v>
      </c>
    </row>
    <row r="848" spans="1:22" x14ac:dyDescent="0.25">
      <c r="A848" s="1">
        <v>0</v>
      </c>
      <c r="B848" s="1">
        <v>98</v>
      </c>
      <c r="C848" s="1">
        <v>82</v>
      </c>
      <c r="D848" s="1">
        <v>15</v>
      </c>
      <c r="E848" s="1">
        <v>84</v>
      </c>
      <c r="F848" s="1">
        <v>25.2</v>
      </c>
      <c r="G848" s="1">
        <v>0.29899999999999999</v>
      </c>
      <c r="H848" s="1">
        <v>22</v>
      </c>
      <c r="I848" s="1">
        <v>0</v>
      </c>
      <c r="J848" s="1">
        <f>IFERROR(VLOOKUP(K848,[1]diabetes_Recognition!$A:$B,2,FALSE),"Not Sampled")</f>
        <v>0</v>
      </c>
      <c r="K848" s="1">
        <v>846</v>
      </c>
      <c r="L848" s="1">
        <f>LOOKUP(A848,Sheet2!$D$4:$E$9)</f>
        <v>0</v>
      </c>
      <c r="M848" t="str">
        <f>LOOKUP(B848,Sheet2!$G$4:$H$9)</f>
        <v>1-99</v>
      </c>
      <c r="N848" t="str">
        <f>LOOKUP(C848,Sheet2!$J$4:$K$8)</f>
        <v>80+</v>
      </c>
      <c r="O848" t="str">
        <f>LOOKUP(D848,Sheet2!$M$4:$N$8)</f>
        <v>10-30</v>
      </c>
      <c r="P848" t="str">
        <f>LOOKUP(E848,Sheet2!$P$4:$Q$9)</f>
        <v>1-99</v>
      </c>
      <c r="Q848" t="str">
        <f>LOOKUP(F848,Sheet2!$S$4:$T$8)</f>
        <v>1-25</v>
      </c>
      <c r="R848" t="str">
        <f>LOOKUP(G848,Sheet2!$V$4:$W$7)</f>
        <v>0.25 - 0.39</v>
      </c>
      <c r="S848" t="str">
        <f>LOOKUP(H848,Sheet2!$Z$4:$AA$7)</f>
        <v>&lt;=25</v>
      </c>
      <c r="T848" t="str">
        <f t="shared" si="39"/>
        <v>Negative</v>
      </c>
      <c r="U848" t="str">
        <f t="shared" si="40"/>
        <v>Negative</v>
      </c>
      <c r="V848" s="1" t="str">
        <f t="shared" si="41"/>
        <v>Accurate Prediction</v>
      </c>
    </row>
    <row r="849" spans="1:22" x14ac:dyDescent="0.25">
      <c r="A849" s="1">
        <v>1</v>
      </c>
      <c r="B849" s="1">
        <v>87</v>
      </c>
      <c r="C849" s="1">
        <v>60</v>
      </c>
      <c r="D849" s="1">
        <v>37</v>
      </c>
      <c r="E849" s="1">
        <v>75</v>
      </c>
      <c r="F849" s="1">
        <v>37.200000000000003</v>
      </c>
      <c r="G849" s="1">
        <v>0.50900000000000001</v>
      </c>
      <c r="H849" s="1">
        <v>22</v>
      </c>
      <c r="I849" s="1">
        <v>0</v>
      </c>
      <c r="J849" s="1" t="str">
        <f>IFERROR(VLOOKUP(K849,[1]diabetes_Recognition!$A:$B,2,FALSE),"Not Sampled")</f>
        <v>Not Sampled</v>
      </c>
      <c r="K849" s="1">
        <v>847</v>
      </c>
      <c r="L849" s="1">
        <f>LOOKUP(A849,Sheet2!$D$4:$E$9)</f>
        <v>1</v>
      </c>
      <c r="M849" t="str">
        <f>LOOKUP(B849,Sheet2!$G$4:$H$9)</f>
        <v>1-99</v>
      </c>
      <c r="N849" t="str">
        <f>LOOKUP(C849,Sheet2!$J$4:$K$8)</f>
        <v>60-69</v>
      </c>
      <c r="O849" t="str">
        <f>LOOKUP(D849,Sheet2!$M$4:$N$8)</f>
        <v>30-39</v>
      </c>
      <c r="P849" t="str">
        <f>LOOKUP(E849,Sheet2!$P$4:$Q$9)</f>
        <v>1-99</v>
      </c>
      <c r="Q849" t="str">
        <f>LOOKUP(F849,Sheet2!$S$4:$T$8)</f>
        <v>36+</v>
      </c>
      <c r="R849" t="str">
        <f>LOOKUP(G849,Sheet2!$V$4:$W$7)</f>
        <v>0.4 - 0.69</v>
      </c>
      <c r="S849" t="str">
        <f>LOOKUP(H849,Sheet2!$Z$4:$AA$7)</f>
        <v>&lt;=25</v>
      </c>
      <c r="T849" t="str">
        <f t="shared" si="39"/>
        <v>Negative</v>
      </c>
      <c r="U849" t="str">
        <f t="shared" si="40"/>
        <v>Not Sampled</v>
      </c>
      <c r="V849" s="1" t="str">
        <f t="shared" si="41"/>
        <v>Not Sampled</v>
      </c>
    </row>
    <row r="850" spans="1:22" x14ac:dyDescent="0.25">
      <c r="A850" s="1">
        <v>4</v>
      </c>
      <c r="B850" s="1">
        <v>156</v>
      </c>
      <c r="C850" s="1">
        <v>75</v>
      </c>
      <c r="D850" s="1">
        <v>0</v>
      </c>
      <c r="E850" s="1">
        <v>0</v>
      </c>
      <c r="F850" s="1">
        <v>48.3</v>
      </c>
      <c r="G850" s="1">
        <v>0.23799999999999999</v>
      </c>
      <c r="H850" s="1">
        <v>32</v>
      </c>
      <c r="I850" s="1">
        <v>1</v>
      </c>
      <c r="J850" s="1" t="str">
        <f>IFERROR(VLOOKUP(K850,[1]diabetes_Recognition!$A:$B,2,FALSE),"Not Sampled")</f>
        <v>Not Sampled</v>
      </c>
      <c r="K850" s="1">
        <v>848</v>
      </c>
      <c r="L850" s="1" t="str">
        <f>LOOKUP(A850,Sheet2!$D$4:$E$9)</f>
        <v>3-4</v>
      </c>
      <c r="M850" t="str">
        <f>LOOKUP(B850,Sheet2!$G$4:$H$9)</f>
        <v>151-175</v>
      </c>
      <c r="N850" t="str">
        <f>LOOKUP(C850,Sheet2!$J$4:$K$8)</f>
        <v>70-79</v>
      </c>
      <c r="O850" t="str">
        <f>LOOKUP(D850,Sheet2!$M$4:$N$8)</f>
        <v>Unknown</v>
      </c>
      <c r="P850" t="str">
        <f>LOOKUP(E850,Sheet2!$P$4:$Q$9)</f>
        <v>Unknown</v>
      </c>
      <c r="Q850" t="str">
        <f>LOOKUP(F850,Sheet2!$S$4:$T$8)</f>
        <v>36+</v>
      </c>
      <c r="R850" t="str">
        <f>LOOKUP(G850,Sheet2!$V$4:$W$7)</f>
        <v>0.0 - 0.249</v>
      </c>
      <c r="S850" t="str">
        <f>LOOKUP(H850,Sheet2!$Z$4:$AA$7)</f>
        <v>26-35</v>
      </c>
      <c r="T850" t="str">
        <f t="shared" si="39"/>
        <v>Positive</v>
      </c>
      <c r="U850" t="str">
        <f t="shared" si="40"/>
        <v>Not Sampled</v>
      </c>
      <c r="V850" s="1" t="str">
        <f t="shared" si="41"/>
        <v>Not Sampled</v>
      </c>
    </row>
    <row r="851" spans="1:22" x14ac:dyDescent="0.25">
      <c r="A851" s="1">
        <v>0</v>
      </c>
      <c r="B851" s="1">
        <v>93</v>
      </c>
      <c r="C851" s="1">
        <v>100</v>
      </c>
      <c r="D851" s="1">
        <v>39</v>
      </c>
      <c r="E851" s="1">
        <v>72</v>
      </c>
      <c r="F851" s="1">
        <v>43.4</v>
      </c>
      <c r="G851" s="1">
        <v>1.0209999999999999</v>
      </c>
      <c r="H851" s="1">
        <v>35</v>
      </c>
      <c r="I851" s="1">
        <v>0</v>
      </c>
      <c r="J851" s="1" t="str">
        <f>IFERROR(VLOOKUP(K851,[1]diabetes_Recognition!$A:$B,2,FALSE),"Not Sampled")</f>
        <v>Not Sampled</v>
      </c>
      <c r="K851" s="1">
        <v>849</v>
      </c>
      <c r="L851" s="1">
        <f>LOOKUP(A851,Sheet2!$D$4:$E$9)</f>
        <v>0</v>
      </c>
      <c r="M851" t="str">
        <f>LOOKUP(B851,Sheet2!$G$4:$H$9)</f>
        <v>1-99</v>
      </c>
      <c r="N851" t="str">
        <f>LOOKUP(C851,Sheet2!$J$4:$K$8)</f>
        <v>80+</v>
      </c>
      <c r="O851" t="str">
        <f>LOOKUP(D851,Sheet2!$M$4:$N$8)</f>
        <v>30-39</v>
      </c>
      <c r="P851" t="str">
        <f>LOOKUP(E851,Sheet2!$P$4:$Q$9)</f>
        <v>1-99</v>
      </c>
      <c r="Q851" t="str">
        <f>LOOKUP(F851,Sheet2!$S$4:$T$8)</f>
        <v>36+</v>
      </c>
      <c r="R851" t="str">
        <f>LOOKUP(G851,Sheet2!$V$4:$W$7)</f>
        <v>0.7+</v>
      </c>
      <c r="S851" t="str">
        <f>LOOKUP(H851,Sheet2!$Z$4:$AA$7)</f>
        <v>26-35</v>
      </c>
      <c r="T851" t="str">
        <f t="shared" si="39"/>
        <v>Negative</v>
      </c>
      <c r="U851" t="str">
        <f t="shared" si="40"/>
        <v>Not Sampled</v>
      </c>
      <c r="V851" s="1" t="str">
        <f t="shared" si="41"/>
        <v>Not Sampled</v>
      </c>
    </row>
    <row r="852" spans="1:22" x14ac:dyDescent="0.25">
      <c r="A852" s="1">
        <v>1</v>
      </c>
      <c r="B852" s="1">
        <v>107</v>
      </c>
      <c r="C852" s="1">
        <v>72</v>
      </c>
      <c r="D852" s="1">
        <v>30</v>
      </c>
      <c r="E852" s="1">
        <v>82</v>
      </c>
      <c r="F852" s="1">
        <v>30.8</v>
      </c>
      <c r="G852" s="1">
        <v>0.82099999999999995</v>
      </c>
      <c r="H852" s="1">
        <v>24</v>
      </c>
      <c r="I852" s="1">
        <v>0</v>
      </c>
      <c r="J852" s="1" t="str">
        <f>IFERROR(VLOOKUP(K852,[1]diabetes_Recognition!$A:$B,2,FALSE),"Not Sampled")</f>
        <v>Not Sampled</v>
      </c>
      <c r="K852" s="1">
        <v>850</v>
      </c>
      <c r="L852" s="1">
        <f>LOOKUP(A852,Sheet2!$D$4:$E$9)</f>
        <v>1</v>
      </c>
      <c r="M852" t="str">
        <f>LOOKUP(B852,Sheet2!$G$4:$H$9)</f>
        <v>100-125</v>
      </c>
      <c r="N852" t="str">
        <f>LOOKUP(C852,Sheet2!$J$4:$K$8)</f>
        <v>70-79</v>
      </c>
      <c r="O852" t="str">
        <f>LOOKUP(D852,Sheet2!$M$4:$N$8)</f>
        <v>30-39</v>
      </c>
      <c r="P852" t="str">
        <f>LOOKUP(E852,Sheet2!$P$4:$Q$9)</f>
        <v>1-99</v>
      </c>
      <c r="Q852" t="str">
        <f>LOOKUP(F852,Sheet2!$S$4:$T$8)</f>
        <v>26-30</v>
      </c>
      <c r="R852" t="str">
        <f>LOOKUP(G852,Sheet2!$V$4:$W$7)</f>
        <v>0.7+</v>
      </c>
      <c r="S852" t="str">
        <f>LOOKUP(H852,Sheet2!$Z$4:$AA$7)</f>
        <v>&lt;=25</v>
      </c>
      <c r="T852" t="str">
        <f t="shared" si="39"/>
        <v>Negative</v>
      </c>
      <c r="U852" t="str">
        <f t="shared" si="40"/>
        <v>Not Sampled</v>
      </c>
      <c r="V852" s="1" t="str">
        <f t="shared" si="41"/>
        <v>Not Sampled</v>
      </c>
    </row>
    <row r="853" spans="1:22" x14ac:dyDescent="0.25">
      <c r="A853" s="1">
        <v>0</v>
      </c>
      <c r="B853" s="1">
        <v>105</v>
      </c>
      <c r="C853" s="1">
        <v>68</v>
      </c>
      <c r="D853" s="1">
        <v>22</v>
      </c>
      <c r="E853" s="1">
        <v>0</v>
      </c>
      <c r="F853" s="1">
        <v>20</v>
      </c>
      <c r="G853" s="1">
        <v>0.23599999999999999</v>
      </c>
      <c r="H853" s="1">
        <v>22</v>
      </c>
      <c r="I853" s="1">
        <v>0</v>
      </c>
      <c r="J853" s="1" t="str">
        <f>IFERROR(VLOOKUP(K853,[1]diabetes_Recognition!$A:$B,2,FALSE),"Not Sampled")</f>
        <v>Not Sampled</v>
      </c>
      <c r="K853" s="1">
        <v>851</v>
      </c>
      <c r="L853" s="1">
        <f>LOOKUP(A853,Sheet2!$D$4:$E$9)</f>
        <v>0</v>
      </c>
      <c r="M853" t="str">
        <f>LOOKUP(B853,Sheet2!$G$4:$H$9)</f>
        <v>100-125</v>
      </c>
      <c r="N853" t="str">
        <f>LOOKUP(C853,Sheet2!$J$4:$K$8)</f>
        <v>60-69</v>
      </c>
      <c r="O853" t="str">
        <f>LOOKUP(D853,Sheet2!$M$4:$N$8)</f>
        <v>10-30</v>
      </c>
      <c r="P853" t="str">
        <f>LOOKUP(E853,Sheet2!$P$4:$Q$9)</f>
        <v>Unknown</v>
      </c>
      <c r="Q853" t="str">
        <f>LOOKUP(F853,Sheet2!$S$4:$T$8)</f>
        <v>1-25</v>
      </c>
      <c r="R853" t="str">
        <f>LOOKUP(G853,Sheet2!$V$4:$W$7)</f>
        <v>0.0 - 0.249</v>
      </c>
      <c r="S853" t="str">
        <f>LOOKUP(H853,Sheet2!$Z$4:$AA$7)</f>
        <v>&lt;=25</v>
      </c>
      <c r="T853" t="str">
        <f t="shared" si="39"/>
        <v>Negative</v>
      </c>
      <c r="U853" t="str">
        <f t="shared" si="40"/>
        <v>Not Sampled</v>
      </c>
      <c r="V853" s="1" t="str">
        <f t="shared" si="41"/>
        <v>Not Sampled</v>
      </c>
    </row>
    <row r="854" spans="1:22" x14ac:dyDescent="0.25">
      <c r="A854" s="1">
        <v>1</v>
      </c>
      <c r="B854" s="1">
        <v>109</v>
      </c>
      <c r="C854" s="1">
        <v>60</v>
      </c>
      <c r="D854" s="1">
        <v>8</v>
      </c>
      <c r="E854" s="1">
        <v>182</v>
      </c>
      <c r="F854" s="1">
        <v>25.4</v>
      </c>
      <c r="G854" s="1">
        <v>0.94699999999999995</v>
      </c>
      <c r="H854" s="1">
        <v>21</v>
      </c>
      <c r="I854" s="1">
        <v>0</v>
      </c>
      <c r="J854" s="1" t="str">
        <f>IFERROR(VLOOKUP(K854,[1]diabetes_Recognition!$A:$B,2,FALSE),"Not Sampled")</f>
        <v>Not Sampled</v>
      </c>
      <c r="K854" s="1">
        <v>852</v>
      </c>
      <c r="L854" s="1">
        <f>LOOKUP(A854,Sheet2!$D$4:$E$9)</f>
        <v>1</v>
      </c>
      <c r="M854" t="str">
        <f>LOOKUP(B854,Sheet2!$G$4:$H$9)</f>
        <v>100-125</v>
      </c>
      <c r="N854" t="str">
        <f>LOOKUP(C854,Sheet2!$J$4:$K$8)</f>
        <v>60-69</v>
      </c>
      <c r="O854" t="str">
        <f>LOOKUP(D854,Sheet2!$M$4:$N$8)</f>
        <v>1-10</v>
      </c>
      <c r="P854" t="str">
        <f>LOOKUP(E854,Sheet2!$P$4:$Q$9)</f>
        <v>100-199</v>
      </c>
      <c r="Q854" t="str">
        <f>LOOKUP(F854,Sheet2!$S$4:$T$8)</f>
        <v>1-25</v>
      </c>
      <c r="R854" t="str">
        <f>LOOKUP(G854,Sheet2!$V$4:$W$7)</f>
        <v>0.7+</v>
      </c>
      <c r="S854" t="str">
        <f>LOOKUP(H854,Sheet2!$Z$4:$AA$7)</f>
        <v>&lt;=25</v>
      </c>
      <c r="T854" t="str">
        <f t="shared" si="39"/>
        <v>Negative</v>
      </c>
      <c r="U854" t="str">
        <f t="shared" si="40"/>
        <v>Not Sampled</v>
      </c>
      <c r="V854" s="1" t="str">
        <f t="shared" si="41"/>
        <v>Not Sampled</v>
      </c>
    </row>
    <row r="855" spans="1:22" x14ac:dyDescent="0.25">
      <c r="A855" s="1">
        <v>1</v>
      </c>
      <c r="B855" s="1">
        <v>90</v>
      </c>
      <c r="C855" s="1">
        <v>62</v>
      </c>
      <c r="D855" s="1">
        <v>18</v>
      </c>
      <c r="E855" s="1">
        <v>59</v>
      </c>
      <c r="F855" s="1">
        <v>25.1</v>
      </c>
      <c r="G855" s="1">
        <v>1.268</v>
      </c>
      <c r="H855" s="1">
        <v>25</v>
      </c>
      <c r="I855" s="1">
        <v>0</v>
      </c>
      <c r="J855" s="1" t="str">
        <f>IFERROR(VLOOKUP(K855,[1]diabetes_Recognition!$A:$B,2,FALSE),"Not Sampled")</f>
        <v>Not Sampled</v>
      </c>
      <c r="K855" s="1">
        <v>853</v>
      </c>
      <c r="L855" s="1">
        <f>LOOKUP(A855,Sheet2!$D$4:$E$9)</f>
        <v>1</v>
      </c>
      <c r="M855" t="str">
        <f>LOOKUP(B855,Sheet2!$G$4:$H$9)</f>
        <v>1-99</v>
      </c>
      <c r="N855" t="str">
        <f>LOOKUP(C855,Sheet2!$J$4:$K$8)</f>
        <v>60-69</v>
      </c>
      <c r="O855" t="str">
        <f>LOOKUP(D855,Sheet2!$M$4:$N$8)</f>
        <v>10-30</v>
      </c>
      <c r="P855" t="str">
        <f>LOOKUP(E855,Sheet2!$P$4:$Q$9)</f>
        <v>1-99</v>
      </c>
      <c r="Q855" t="str">
        <f>LOOKUP(F855,Sheet2!$S$4:$T$8)</f>
        <v>1-25</v>
      </c>
      <c r="R855" t="str">
        <f>LOOKUP(G855,Sheet2!$V$4:$W$7)</f>
        <v>0.7+</v>
      </c>
      <c r="S855" t="str">
        <f>LOOKUP(H855,Sheet2!$Z$4:$AA$7)</f>
        <v>&lt;=25</v>
      </c>
      <c r="T855" t="str">
        <f t="shared" si="39"/>
        <v>Negative</v>
      </c>
      <c r="U855" t="str">
        <f t="shared" si="40"/>
        <v>Not Sampled</v>
      </c>
      <c r="V855" s="1" t="str">
        <f t="shared" si="41"/>
        <v>Not Sampled</v>
      </c>
    </row>
    <row r="856" spans="1:22" x14ac:dyDescent="0.25">
      <c r="A856" s="1">
        <v>1</v>
      </c>
      <c r="B856" s="1">
        <v>125</v>
      </c>
      <c r="C856" s="1">
        <v>70</v>
      </c>
      <c r="D856" s="1">
        <v>24</v>
      </c>
      <c r="E856" s="1">
        <v>110</v>
      </c>
      <c r="F856" s="1">
        <v>24.3</v>
      </c>
      <c r="G856" s="1">
        <v>0.221</v>
      </c>
      <c r="H856" s="1">
        <v>25</v>
      </c>
      <c r="I856" s="1">
        <v>0</v>
      </c>
      <c r="J856" s="1" t="str">
        <f>IFERROR(VLOOKUP(K856,[1]diabetes_Recognition!$A:$B,2,FALSE),"Not Sampled")</f>
        <v>Not Sampled</v>
      </c>
      <c r="K856" s="1">
        <v>854</v>
      </c>
      <c r="L856" s="1">
        <f>LOOKUP(A856,Sheet2!$D$4:$E$9)</f>
        <v>1</v>
      </c>
      <c r="M856" t="str">
        <f>LOOKUP(B856,Sheet2!$G$4:$H$9)</f>
        <v>100-125</v>
      </c>
      <c r="N856" t="str">
        <f>LOOKUP(C856,Sheet2!$J$4:$K$8)</f>
        <v>70-79</v>
      </c>
      <c r="O856" t="str">
        <f>LOOKUP(D856,Sheet2!$M$4:$N$8)</f>
        <v>10-30</v>
      </c>
      <c r="P856" t="str">
        <f>LOOKUP(E856,Sheet2!$P$4:$Q$9)</f>
        <v>100-199</v>
      </c>
      <c r="Q856" t="str">
        <f>LOOKUP(F856,Sheet2!$S$4:$T$8)</f>
        <v>1-25</v>
      </c>
      <c r="R856" t="str">
        <f>LOOKUP(G856,Sheet2!$V$4:$W$7)</f>
        <v>0.0 - 0.249</v>
      </c>
      <c r="S856" t="str">
        <f>LOOKUP(H856,Sheet2!$Z$4:$AA$7)</f>
        <v>&lt;=25</v>
      </c>
      <c r="T856" t="str">
        <f t="shared" si="39"/>
        <v>Negative</v>
      </c>
      <c r="U856" t="str">
        <f t="shared" si="40"/>
        <v>Not Sampled</v>
      </c>
      <c r="V856" s="1" t="str">
        <f t="shared" si="41"/>
        <v>Not Sampled</v>
      </c>
    </row>
    <row r="857" spans="1:22" x14ac:dyDescent="0.25">
      <c r="A857" s="1">
        <v>1</v>
      </c>
      <c r="B857" s="1">
        <v>119</v>
      </c>
      <c r="C857" s="1">
        <v>54</v>
      </c>
      <c r="D857" s="1">
        <v>13</v>
      </c>
      <c r="E857" s="1">
        <v>50</v>
      </c>
      <c r="F857" s="1">
        <v>22.3</v>
      </c>
      <c r="G857" s="1">
        <v>0.20499999999999999</v>
      </c>
      <c r="H857" s="1">
        <v>24</v>
      </c>
      <c r="I857" s="1">
        <v>0</v>
      </c>
      <c r="J857" s="1" t="str">
        <f>IFERROR(VLOOKUP(K857,[1]diabetes_Recognition!$A:$B,2,FALSE),"Not Sampled")</f>
        <v>Not Sampled</v>
      </c>
      <c r="K857" s="1">
        <v>855</v>
      </c>
      <c r="L857" s="1">
        <f>LOOKUP(A857,Sheet2!$D$4:$E$9)</f>
        <v>1</v>
      </c>
      <c r="M857" t="str">
        <f>LOOKUP(B857,Sheet2!$G$4:$H$9)</f>
        <v>100-125</v>
      </c>
      <c r="N857" t="str">
        <f>LOOKUP(C857,Sheet2!$J$4:$K$8)</f>
        <v>1-59</v>
      </c>
      <c r="O857" t="str">
        <f>LOOKUP(D857,Sheet2!$M$4:$N$8)</f>
        <v>10-30</v>
      </c>
      <c r="P857" t="str">
        <f>LOOKUP(E857,Sheet2!$P$4:$Q$9)</f>
        <v>1-99</v>
      </c>
      <c r="Q857" t="str">
        <f>LOOKUP(F857,Sheet2!$S$4:$T$8)</f>
        <v>1-25</v>
      </c>
      <c r="R857" t="str">
        <f>LOOKUP(G857,Sheet2!$V$4:$W$7)</f>
        <v>0.0 - 0.249</v>
      </c>
      <c r="S857" t="str">
        <f>LOOKUP(H857,Sheet2!$Z$4:$AA$7)</f>
        <v>&lt;=25</v>
      </c>
      <c r="T857" t="str">
        <f t="shared" si="39"/>
        <v>Negative</v>
      </c>
      <c r="U857" t="str">
        <f t="shared" si="40"/>
        <v>Not Sampled</v>
      </c>
      <c r="V857" s="1" t="str">
        <f t="shared" si="41"/>
        <v>Not Sampled</v>
      </c>
    </row>
    <row r="858" spans="1:22" x14ac:dyDescent="0.25">
      <c r="A858" s="1">
        <v>5</v>
      </c>
      <c r="B858" s="1">
        <v>116</v>
      </c>
      <c r="C858" s="1">
        <v>74</v>
      </c>
      <c r="D858" s="1">
        <v>29</v>
      </c>
      <c r="E858" s="1">
        <v>0</v>
      </c>
      <c r="F858" s="1">
        <v>32.299999999999997</v>
      </c>
      <c r="G858" s="1">
        <v>0.66</v>
      </c>
      <c r="H858" s="1">
        <v>35</v>
      </c>
      <c r="I858" s="1">
        <v>1</v>
      </c>
      <c r="J858" s="1" t="str">
        <f>IFERROR(VLOOKUP(K858,[1]diabetes_Recognition!$A:$B,2,FALSE),"Not Sampled")</f>
        <v>Not Sampled</v>
      </c>
      <c r="K858" s="1">
        <v>856</v>
      </c>
      <c r="L858" s="1" t="str">
        <f>LOOKUP(A858,Sheet2!$D$4:$E$9)</f>
        <v>5-7</v>
      </c>
      <c r="M858" t="str">
        <f>LOOKUP(B858,Sheet2!$G$4:$H$9)</f>
        <v>100-125</v>
      </c>
      <c r="N858" t="str">
        <f>LOOKUP(C858,Sheet2!$J$4:$K$8)</f>
        <v>70-79</v>
      </c>
      <c r="O858" t="str">
        <f>LOOKUP(D858,Sheet2!$M$4:$N$8)</f>
        <v>10-30</v>
      </c>
      <c r="P858" t="str">
        <f>LOOKUP(E858,Sheet2!$P$4:$Q$9)</f>
        <v>Unknown</v>
      </c>
      <c r="Q858" t="str">
        <f>LOOKUP(F858,Sheet2!$S$4:$T$8)</f>
        <v>31-35</v>
      </c>
      <c r="R858" t="str">
        <f>LOOKUP(G858,Sheet2!$V$4:$W$7)</f>
        <v>0.4 - 0.69</v>
      </c>
      <c r="S858" t="str">
        <f>LOOKUP(H858,Sheet2!$Z$4:$AA$7)</f>
        <v>26-35</v>
      </c>
      <c r="T858" t="str">
        <f t="shared" si="39"/>
        <v>Positive</v>
      </c>
      <c r="U858" t="str">
        <f t="shared" si="40"/>
        <v>Not Sampled</v>
      </c>
      <c r="V858" s="1" t="str">
        <f t="shared" si="41"/>
        <v>Not Sampled</v>
      </c>
    </row>
    <row r="859" spans="1:22" x14ac:dyDescent="0.25">
      <c r="A859" s="1">
        <v>8</v>
      </c>
      <c r="B859" s="1">
        <v>105</v>
      </c>
      <c r="C859" s="1">
        <v>100</v>
      </c>
      <c r="D859" s="1">
        <v>36</v>
      </c>
      <c r="E859" s="1">
        <v>0</v>
      </c>
      <c r="F859" s="1">
        <v>43.3</v>
      </c>
      <c r="G859" s="1">
        <v>0.23899999999999999</v>
      </c>
      <c r="H859" s="1">
        <v>45</v>
      </c>
      <c r="I859" s="1">
        <v>1</v>
      </c>
      <c r="J859" s="1">
        <f>IFERROR(VLOOKUP(K859,[1]diabetes_Recognition!$A:$B,2,FALSE),"Not Sampled")</f>
        <v>0</v>
      </c>
      <c r="K859" s="1">
        <v>857</v>
      </c>
      <c r="L859" s="1" t="str">
        <f>LOOKUP(A859,Sheet2!$D$4:$E$9)</f>
        <v>8+</v>
      </c>
      <c r="M859" t="str">
        <f>LOOKUP(B859,Sheet2!$G$4:$H$9)</f>
        <v>100-125</v>
      </c>
      <c r="N859" t="str">
        <f>LOOKUP(C859,Sheet2!$J$4:$K$8)</f>
        <v>80+</v>
      </c>
      <c r="O859" t="str">
        <f>LOOKUP(D859,Sheet2!$M$4:$N$8)</f>
        <v>30-39</v>
      </c>
      <c r="P859" t="str">
        <f>LOOKUP(E859,Sheet2!$P$4:$Q$9)</f>
        <v>Unknown</v>
      </c>
      <c r="Q859" t="str">
        <f>LOOKUP(F859,Sheet2!$S$4:$T$8)</f>
        <v>36+</v>
      </c>
      <c r="R859" t="str">
        <f>LOOKUP(G859,Sheet2!$V$4:$W$7)</f>
        <v>0.0 - 0.249</v>
      </c>
      <c r="S859" t="str">
        <f>LOOKUP(H859,Sheet2!$Z$4:$AA$7)</f>
        <v>36-45</v>
      </c>
      <c r="T859" t="str">
        <f t="shared" si="39"/>
        <v>Positive</v>
      </c>
      <c r="U859" t="str">
        <f t="shared" si="40"/>
        <v>Negative</v>
      </c>
      <c r="V859" s="1" t="str">
        <f t="shared" si="41"/>
        <v>Inaccurate Prediction</v>
      </c>
    </row>
    <row r="860" spans="1:22" x14ac:dyDescent="0.25">
      <c r="A860" s="1">
        <v>5</v>
      </c>
      <c r="B860" s="1">
        <v>144</v>
      </c>
      <c r="C860" s="1">
        <v>82</v>
      </c>
      <c r="D860" s="1">
        <v>26</v>
      </c>
      <c r="E860" s="1">
        <v>285</v>
      </c>
      <c r="F860" s="1">
        <v>32</v>
      </c>
      <c r="G860" s="1">
        <v>0.45200000000000001</v>
      </c>
      <c r="H860" s="1">
        <v>58</v>
      </c>
      <c r="I860" s="1">
        <v>1</v>
      </c>
      <c r="J860" s="1">
        <f>IFERROR(VLOOKUP(K860,[1]diabetes_Recognition!$A:$B,2,FALSE),"Not Sampled")</f>
        <v>0</v>
      </c>
      <c r="K860" s="1">
        <v>858</v>
      </c>
      <c r="L860" s="1" t="str">
        <f>LOOKUP(A860,Sheet2!$D$4:$E$9)</f>
        <v>5-7</v>
      </c>
      <c r="M860" t="str">
        <f>LOOKUP(B860,Sheet2!$G$4:$H$9)</f>
        <v>126-150</v>
      </c>
      <c r="N860" t="str">
        <f>LOOKUP(C860,Sheet2!$J$4:$K$8)</f>
        <v>80+</v>
      </c>
      <c r="O860" t="str">
        <f>LOOKUP(D860,Sheet2!$M$4:$N$8)</f>
        <v>10-30</v>
      </c>
      <c r="P860" t="str">
        <f>LOOKUP(E860,Sheet2!$P$4:$Q$9)</f>
        <v>200-399</v>
      </c>
      <c r="Q860" t="str">
        <f>LOOKUP(F860,Sheet2!$S$4:$T$8)</f>
        <v>31-35</v>
      </c>
      <c r="R860" t="str">
        <f>LOOKUP(G860,Sheet2!$V$4:$W$7)</f>
        <v>0.4 - 0.69</v>
      </c>
      <c r="S860" t="str">
        <f>LOOKUP(H860,Sheet2!$Z$4:$AA$7)</f>
        <v>46+</v>
      </c>
      <c r="T860" t="str">
        <f t="shared" si="39"/>
        <v>Positive</v>
      </c>
      <c r="U860" t="str">
        <f t="shared" si="40"/>
        <v>Negative</v>
      </c>
      <c r="V860" s="1" t="str">
        <f t="shared" si="41"/>
        <v>Inaccurate Prediction</v>
      </c>
    </row>
    <row r="861" spans="1:22" x14ac:dyDescent="0.25">
      <c r="A861" s="1">
        <v>3</v>
      </c>
      <c r="B861" s="1">
        <v>100</v>
      </c>
      <c r="C861" s="1">
        <v>68</v>
      </c>
      <c r="D861" s="1">
        <v>23</v>
      </c>
      <c r="E861" s="1">
        <v>81</v>
      </c>
      <c r="F861" s="1">
        <v>31.6</v>
      </c>
      <c r="G861" s="1">
        <v>0.94899999999999995</v>
      </c>
      <c r="H861" s="1">
        <v>28</v>
      </c>
      <c r="I861" s="1">
        <v>0</v>
      </c>
      <c r="J861" s="1" t="str">
        <f>IFERROR(VLOOKUP(K861,[1]diabetes_Recognition!$A:$B,2,FALSE),"Not Sampled")</f>
        <v>Not Sampled</v>
      </c>
      <c r="K861" s="1">
        <v>859</v>
      </c>
      <c r="L861" s="1" t="str">
        <f>LOOKUP(A861,Sheet2!$D$4:$E$9)</f>
        <v>3-4</v>
      </c>
      <c r="M861" t="str">
        <f>LOOKUP(B861,Sheet2!$G$4:$H$9)</f>
        <v>100-125</v>
      </c>
      <c r="N861" t="str">
        <f>LOOKUP(C861,Sheet2!$J$4:$K$8)</f>
        <v>60-69</v>
      </c>
      <c r="O861" t="str">
        <f>LOOKUP(D861,Sheet2!$M$4:$N$8)</f>
        <v>10-30</v>
      </c>
      <c r="P861" t="str">
        <f>LOOKUP(E861,Sheet2!$P$4:$Q$9)</f>
        <v>1-99</v>
      </c>
      <c r="Q861" t="str">
        <f>LOOKUP(F861,Sheet2!$S$4:$T$8)</f>
        <v>31-35</v>
      </c>
      <c r="R861" t="str">
        <f>LOOKUP(G861,Sheet2!$V$4:$W$7)</f>
        <v>0.7+</v>
      </c>
      <c r="S861" t="str">
        <f>LOOKUP(H861,Sheet2!$Z$4:$AA$7)</f>
        <v>26-35</v>
      </c>
      <c r="T861" t="str">
        <f t="shared" si="39"/>
        <v>Negative</v>
      </c>
      <c r="U861" t="str">
        <f t="shared" si="40"/>
        <v>Not Sampled</v>
      </c>
      <c r="V861" s="1" t="str">
        <f t="shared" si="41"/>
        <v>Not Sampled</v>
      </c>
    </row>
    <row r="862" spans="1:22" x14ac:dyDescent="0.25">
      <c r="A862" s="1">
        <v>1</v>
      </c>
      <c r="B862" s="1">
        <v>100</v>
      </c>
      <c r="C862" s="1">
        <v>66</v>
      </c>
      <c r="D862" s="1">
        <v>29</v>
      </c>
      <c r="E862" s="1">
        <v>196</v>
      </c>
      <c r="F862" s="1">
        <v>32</v>
      </c>
      <c r="G862" s="1">
        <v>0.44400000000000001</v>
      </c>
      <c r="H862" s="1">
        <v>42</v>
      </c>
      <c r="I862" s="1">
        <v>0</v>
      </c>
      <c r="J862" s="1">
        <f>IFERROR(VLOOKUP(K862,[1]diabetes_Recognition!$A:$B,2,FALSE),"Not Sampled")</f>
        <v>0</v>
      </c>
      <c r="K862" s="1">
        <v>860</v>
      </c>
      <c r="L862" s="1">
        <f>LOOKUP(A862,Sheet2!$D$4:$E$9)</f>
        <v>1</v>
      </c>
      <c r="M862" t="str">
        <f>LOOKUP(B862,Sheet2!$G$4:$H$9)</f>
        <v>100-125</v>
      </c>
      <c r="N862" t="str">
        <f>LOOKUP(C862,Sheet2!$J$4:$K$8)</f>
        <v>60-69</v>
      </c>
      <c r="O862" t="str">
        <f>LOOKUP(D862,Sheet2!$M$4:$N$8)</f>
        <v>10-30</v>
      </c>
      <c r="P862" t="str">
        <f>LOOKUP(E862,Sheet2!$P$4:$Q$9)</f>
        <v>100-199</v>
      </c>
      <c r="Q862" t="str">
        <f>LOOKUP(F862,Sheet2!$S$4:$T$8)</f>
        <v>31-35</v>
      </c>
      <c r="R862" t="str">
        <f>LOOKUP(G862,Sheet2!$V$4:$W$7)</f>
        <v>0.4 - 0.69</v>
      </c>
      <c r="S862" t="str">
        <f>LOOKUP(H862,Sheet2!$Z$4:$AA$7)</f>
        <v>36-45</v>
      </c>
      <c r="T862" t="str">
        <f t="shared" si="39"/>
        <v>Negative</v>
      </c>
      <c r="U862" t="str">
        <f t="shared" si="40"/>
        <v>Negative</v>
      </c>
      <c r="V862" s="1" t="str">
        <f t="shared" si="41"/>
        <v>Accurate Prediction</v>
      </c>
    </row>
    <row r="863" spans="1:22" x14ac:dyDescent="0.25">
      <c r="A863" s="1">
        <v>5</v>
      </c>
      <c r="B863" s="1">
        <v>166</v>
      </c>
      <c r="C863" s="1">
        <v>76</v>
      </c>
      <c r="D863" s="1">
        <v>0</v>
      </c>
      <c r="E863" s="1">
        <v>0</v>
      </c>
      <c r="F863" s="1">
        <v>45.7</v>
      </c>
      <c r="G863" s="1">
        <v>0.34</v>
      </c>
      <c r="H863" s="1">
        <v>27</v>
      </c>
      <c r="I863" s="1">
        <v>1</v>
      </c>
      <c r="J863" s="1">
        <f>IFERROR(VLOOKUP(K863,[1]diabetes_Recognition!$A:$B,2,FALSE),"Not Sampled")</f>
        <v>1</v>
      </c>
      <c r="K863" s="1">
        <v>861</v>
      </c>
      <c r="L863" s="1" t="str">
        <f>LOOKUP(A863,Sheet2!$D$4:$E$9)</f>
        <v>5-7</v>
      </c>
      <c r="M863" t="str">
        <f>LOOKUP(B863,Sheet2!$G$4:$H$9)</f>
        <v>151-175</v>
      </c>
      <c r="N863" t="str">
        <f>LOOKUP(C863,Sheet2!$J$4:$K$8)</f>
        <v>70-79</v>
      </c>
      <c r="O863" t="str">
        <f>LOOKUP(D863,Sheet2!$M$4:$N$8)</f>
        <v>Unknown</v>
      </c>
      <c r="P863" t="str">
        <f>LOOKUP(E863,Sheet2!$P$4:$Q$9)</f>
        <v>Unknown</v>
      </c>
      <c r="Q863" t="str">
        <f>LOOKUP(F863,Sheet2!$S$4:$T$8)</f>
        <v>36+</v>
      </c>
      <c r="R863" t="str">
        <f>LOOKUP(G863,Sheet2!$V$4:$W$7)</f>
        <v>0.25 - 0.39</v>
      </c>
      <c r="S863" t="str">
        <f>LOOKUP(H863,Sheet2!$Z$4:$AA$7)</f>
        <v>26-35</v>
      </c>
      <c r="T863" t="str">
        <f t="shared" si="39"/>
        <v>Positive</v>
      </c>
      <c r="U863" t="str">
        <f t="shared" si="40"/>
        <v>Positive</v>
      </c>
      <c r="V863" s="1" t="str">
        <f t="shared" si="41"/>
        <v>Accurate Prediction</v>
      </c>
    </row>
    <row r="864" spans="1:22" x14ac:dyDescent="0.25">
      <c r="A864" s="1">
        <v>1</v>
      </c>
      <c r="B864" s="1">
        <v>131</v>
      </c>
      <c r="C864" s="1">
        <v>64</v>
      </c>
      <c r="D864" s="1">
        <v>14</v>
      </c>
      <c r="E864" s="1">
        <v>415</v>
      </c>
      <c r="F864" s="1">
        <v>23.7</v>
      </c>
      <c r="G864" s="1">
        <v>0.38900000000000001</v>
      </c>
      <c r="H864" s="1">
        <v>21</v>
      </c>
      <c r="I864" s="1">
        <v>0</v>
      </c>
      <c r="J864" s="1" t="str">
        <f>IFERROR(VLOOKUP(K864,[1]diabetes_Recognition!$A:$B,2,FALSE),"Not Sampled")</f>
        <v>Not Sampled</v>
      </c>
      <c r="K864" s="1">
        <v>862</v>
      </c>
      <c r="L864" s="1">
        <f>LOOKUP(A864,Sheet2!$D$4:$E$9)</f>
        <v>1</v>
      </c>
      <c r="M864" t="str">
        <f>LOOKUP(B864,Sheet2!$G$4:$H$9)</f>
        <v>126-150</v>
      </c>
      <c r="N864" t="str">
        <f>LOOKUP(C864,Sheet2!$J$4:$K$8)</f>
        <v>60-69</v>
      </c>
      <c r="O864" t="str">
        <f>LOOKUP(D864,Sheet2!$M$4:$N$8)</f>
        <v>10-30</v>
      </c>
      <c r="P864" t="str">
        <f>LOOKUP(E864,Sheet2!$P$4:$Q$9)</f>
        <v>300-499</v>
      </c>
      <c r="Q864" t="str">
        <f>LOOKUP(F864,Sheet2!$S$4:$T$8)</f>
        <v>1-25</v>
      </c>
      <c r="R864" t="str">
        <f>LOOKUP(G864,Sheet2!$V$4:$W$7)</f>
        <v>0.25 - 0.39</v>
      </c>
      <c r="S864" t="str">
        <f>LOOKUP(H864,Sheet2!$Z$4:$AA$7)</f>
        <v>&lt;=25</v>
      </c>
      <c r="T864" t="str">
        <f t="shared" si="39"/>
        <v>Negative</v>
      </c>
      <c r="U864" t="str">
        <f t="shared" si="40"/>
        <v>Not Sampled</v>
      </c>
      <c r="V864" s="1" t="str">
        <f t="shared" si="41"/>
        <v>Not Sampled</v>
      </c>
    </row>
    <row r="865" spans="1:22" x14ac:dyDescent="0.25">
      <c r="A865" s="1">
        <v>4</v>
      </c>
      <c r="B865" s="1">
        <v>116</v>
      </c>
      <c r="C865" s="1">
        <v>72</v>
      </c>
      <c r="D865" s="1">
        <v>12</v>
      </c>
      <c r="E865" s="1">
        <v>87</v>
      </c>
      <c r="F865" s="1">
        <v>22.1</v>
      </c>
      <c r="G865" s="1">
        <v>0.46300000000000002</v>
      </c>
      <c r="H865" s="1">
        <v>37</v>
      </c>
      <c r="I865" s="1">
        <v>0</v>
      </c>
      <c r="J865" s="1" t="str">
        <f>IFERROR(VLOOKUP(K865,[1]diabetes_Recognition!$A:$B,2,FALSE),"Not Sampled")</f>
        <v>Not Sampled</v>
      </c>
      <c r="K865" s="1">
        <v>863</v>
      </c>
      <c r="L865" s="1" t="str">
        <f>LOOKUP(A865,Sheet2!$D$4:$E$9)</f>
        <v>3-4</v>
      </c>
      <c r="M865" t="str">
        <f>LOOKUP(B865,Sheet2!$G$4:$H$9)</f>
        <v>100-125</v>
      </c>
      <c r="N865" t="str">
        <f>LOOKUP(C865,Sheet2!$J$4:$K$8)</f>
        <v>70-79</v>
      </c>
      <c r="O865" t="str">
        <f>LOOKUP(D865,Sheet2!$M$4:$N$8)</f>
        <v>10-30</v>
      </c>
      <c r="P865" t="str">
        <f>LOOKUP(E865,Sheet2!$P$4:$Q$9)</f>
        <v>1-99</v>
      </c>
      <c r="Q865" t="str">
        <f>LOOKUP(F865,Sheet2!$S$4:$T$8)</f>
        <v>1-25</v>
      </c>
      <c r="R865" t="str">
        <f>LOOKUP(G865,Sheet2!$V$4:$W$7)</f>
        <v>0.4 - 0.69</v>
      </c>
      <c r="S865" t="str">
        <f>LOOKUP(H865,Sheet2!$Z$4:$AA$7)</f>
        <v>36-45</v>
      </c>
      <c r="T865" t="str">
        <f t="shared" si="39"/>
        <v>Negative</v>
      </c>
      <c r="U865" t="str">
        <f t="shared" si="40"/>
        <v>Not Sampled</v>
      </c>
      <c r="V865" s="1" t="str">
        <f t="shared" si="41"/>
        <v>Not Sampled</v>
      </c>
    </row>
    <row r="866" spans="1:22" x14ac:dyDescent="0.25">
      <c r="A866" s="1">
        <v>4</v>
      </c>
      <c r="B866" s="1">
        <v>158</v>
      </c>
      <c r="C866" s="1">
        <v>78</v>
      </c>
      <c r="D866" s="1">
        <v>0</v>
      </c>
      <c r="E866" s="1">
        <v>0</v>
      </c>
      <c r="F866" s="1">
        <v>32.9</v>
      </c>
      <c r="G866" s="1">
        <v>0.80300000000000005</v>
      </c>
      <c r="H866" s="1">
        <v>31</v>
      </c>
      <c r="I866" s="1">
        <v>1</v>
      </c>
      <c r="J866" s="1" t="str">
        <f>IFERROR(VLOOKUP(K866,[1]diabetes_Recognition!$A:$B,2,FALSE),"Not Sampled")</f>
        <v>Not Sampled</v>
      </c>
      <c r="K866" s="1">
        <v>864</v>
      </c>
      <c r="L866" s="1" t="str">
        <f>LOOKUP(A866,Sheet2!$D$4:$E$9)</f>
        <v>3-4</v>
      </c>
      <c r="M866" t="str">
        <f>LOOKUP(B866,Sheet2!$G$4:$H$9)</f>
        <v>151-175</v>
      </c>
      <c r="N866" t="str">
        <f>LOOKUP(C866,Sheet2!$J$4:$K$8)</f>
        <v>70-79</v>
      </c>
      <c r="O866" t="str">
        <f>LOOKUP(D866,Sheet2!$M$4:$N$8)</f>
        <v>Unknown</v>
      </c>
      <c r="P866" t="str">
        <f>LOOKUP(E866,Sheet2!$P$4:$Q$9)</f>
        <v>Unknown</v>
      </c>
      <c r="Q866" t="str">
        <f>LOOKUP(F866,Sheet2!$S$4:$T$8)</f>
        <v>31-35</v>
      </c>
      <c r="R866" t="str">
        <f>LOOKUP(G866,Sheet2!$V$4:$W$7)</f>
        <v>0.7+</v>
      </c>
      <c r="S866" t="str">
        <f>LOOKUP(H866,Sheet2!$Z$4:$AA$7)</f>
        <v>26-35</v>
      </c>
      <c r="T866" t="str">
        <f t="shared" si="39"/>
        <v>Positive</v>
      </c>
      <c r="U866" t="str">
        <f t="shared" si="40"/>
        <v>Not Sampled</v>
      </c>
      <c r="V866" s="1" t="str">
        <f t="shared" si="41"/>
        <v>Not Sampled</v>
      </c>
    </row>
    <row r="867" spans="1:22" x14ac:dyDescent="0.25">
      <c r="A867" s="1">
        <v>2</v>
      </c>
      <c r="B867" s="1">
        <v>127</v>
      </c>
      <c r="C867" s="1">
        <v>58</v>
      </c>
      <c r="D867" s="1">
        <v>24</v>
      </c>
      <c r="E867" s="1">
        <v>275</v>
      </c>
      <c r="F867" s="1">
        <v>27.7</v>
      </c>
      <c r="G867" s="1">
        <v>1.6</v>
      </c>
      <c r="H867" s="1">
        <v>25</v>
      </c>
      <c r="I867" s="1">
        <v>0</v>
      </c>
      <c r="J867" s="1" t="str">
        <f>IFERROR(VLOOKUP(K867,[1]diabetes_Recognition!$A:$B,2,FALSE),"Not Sampled")</f>
        <v>Not Sampled</v>
      </c>
      <c r="K867" s="1">
        <v>865</v>
      </c>
      <c r="L867" s="1">
        <f>LOOKUP(A867,Sheet2!$D$4:$E$9)</f>
        <v>2</v>
      </c>
      <c r="M867" t="str">
        <f>LOOKUP(B867,Sheet2!$G$4:$H$9)</f>
        <v>126-150</v>
      </c>
      <c r="N867" t="str">
        <f>LOOKUP(C867,Sheet2!$J$4:$K$8)</f>
        <v>1-59</v>
      </c>
      <c r="O867" t="str">
        <f>LOOKUP(D867,Sheet2!$M$4:$N$8)</f>
        <v>10-30</v>
      </c>
      <c r="P867" t="str">
        <f>LOOKUP(E867,Sheet2!$P$4:$Q$9)</f>
        <v>200-399</v>
      </c>
      <c r="Q867" t="str">
        <f>LOOKUP(F867,Sheet2!$S$4:$T$8)</f>
        <v>26-30</v>
      </c>
      <c r="R867" t="str">
        <f>LOOKUP(G867,Sheet2!$V$4:$W$7)</f>
        <v>0.7+</v>
      </c>
      <c r="S867" t="str">
        <f>LOOKUP(H867,Sheet2!$Z$4:$AA$7)</f>
        <v>&lt;=25</v>
      </c>
      <c r="T867" t="str">
        <f t="shared" si="39"/>
        <v>Negative</v>
      </c>
      <c r="U867" t="str">
        <f t="shared" si="40"/>
        <v>Not Sampled</v>
      </c>
      <c r="V867" s="1" t="str">
        <f t="shared" si="41"/>
        <v>Not Sampled</v>
      </c>
    </row>
    <row r="868" spans="1:22" x14ac:dyDescent="0.25">
      <c r="A868" s="1">
        <v>3</v>
      </c>
      <c r="B868" s="1">
        <v>96</v>
      </c>
      <c r="C868" s="1">
        <v>56</v>
      </c>
      <c r="D868" s="1">
        <v>34</v>
      </c>
      <c r="E868" s="1">
        <v>115</v>
      </c>
      <c r="F868" s="1">
        <v>24.7</v>
      </c>
      <c r="G868" s="1">
        <v>0.94399999999999995</v>
      </c>
      <c r="H868" s="1">
        <v>39</v>
      </c>
      <c r="I868" s="1">
        <v>0</v>
      </c>
      <c r="J868" s="1" t="str">
        <f>IFERROR(VLOOKUP(K868,[1]diabetes_Recognition!$A:$B,2,FALSE),"Not Sampled")</f>
        <v>Not Sampled</v>
      </c>
      <c r="K868" s="1">
        <v>866</v>
      </c>
      <c r="L868" s="1" t="str">
        <f>LOOKUP(A868,Sheet2!$D$4:$E$9)</f>
        <v>3-4</v>
      </c>
      <c r="M868" t="str">
        <f>LOOKUP(B868,Sheet2!$G$4:$H$9)</f>
        <v>1-99</v>
      </c>
      <c r="N868" t="str">
        <f>LOOKUP(C868,Sheet2!$J$4:$K$8)</f>
        <v>1-59</v>
      </c>
      <c r="O868" t="str">
        <f>LOOKUP(D868,Sheet2!$M$4:$N$8)</f>
        <v>30-39</v>
      </c>
      <c r="P868" t="str">
        <f>LOOKUP(E868,Sheet2!$P$4:$Q$9)</f>
        <v>100-199</v>
      </c>
      <c r="Q868" t="str">
        <f>LOOKUP(F868,Sheet2!$S$4:$T$8)</f>
        <v>1-25</v>
      </c>
      <c r="R868" t="str">
        <f>LOOKUP(G868,Sheet2!$V$4:$W$7)</f>
        <v>0.7+</v>
      </c>
      <c r="S868" t="str">
        <f>LOOKUP(H868,Sheet2!$Z$4:$AA$7)</f>
        <v>36-45</v>
      </c>
      <c r="T868" t="str">
        <f t="shared" si="39"/>
        <v>Negative</v>
      </c>
      <c r="U868" t="str">
        <f t="shared" si="40"/>
        <v>Not Sampled</v>
      </c>
      <c r="V868" s="1" t="str">
        <f t="shared" si="41"/>
        <v>Not Sampled</v>
      </c>
    </row>
    <row r="869" spans="1:22" x14ac:dyDescent="0.25">
      <c r="A869" s="1">
        <v>0</v>
      </c>
      <c r="B869" s="1">
        <v>131</v>
      </c>
      <c r="C869" s="1">
        <v>66</v>
      </c>
      <c r="D869" s="1">
        <v>40</v>
      </c>
      <c r="E869" s="1">
        <v>0</v>
      </c>
      <c r="F869" s="1">
        <v>34.299999999999997</v>
      </c>
      <c r="G869" s="1">
        <v>0.19600000000000001</v>
      </c>
      <c r="H869" s="1">
        <v>22</v>
      </c>
      <c r="I869" s="1">
        <v>1</v>
      </c>
      <c r="J869" s="1" t="str">
        <f>IFERROR(VLOOKUP(K869,[1]diabetes_Recognition!$A:$B,2,FALSE),"Not Sampled")</f>
        <v>Not Sampled</v>
      </c>
      <c r="K869" s="1">
        <v>867</v>
      </c>
      <c r="L869" s="1">
        <f>LOOKUP(A869,Sheet2!$D$4:$E$9)</f>
        <v>0</v>
      </c>
      <c r="M869" t="str">
        <f>LOOKUP(B869,Sheet2!$G$4:$H$9)</f>
        <v>126-150</v>
      </c>
      <c r="N869" t="str">
        <f>LOOKUP(C869,Sheet2!$J$4:$K$8)</f>
        <v>60-69</v>
      </c>
      <c r="O869" t="str">
        <f>LOOKUP(D869,Sheet2!$M$4:$N$8)</f>
        <v>40+</v>
      </c>
      <c r="P869" t="str">
        <f>LOOKUP(E869,Sheet2!$P$4:$Q$9)</f>
        <v>Unknown</v>
      </c>
      <c r="Q869" t="str">
        <f>LOOKUP(F869,Sheet2!$S$4:$T$8)</f>
        <v>31-35</v>
      </c>
      <c r="R869" t="str">
        <f>LOOKUP(G869,Sheet2!$V$4:$W$7)</f>
        <v>0.0 - 0.249</v>
      </c>
      <c r="S869" t="str">
        <f>LOOKUP(H869,Sheet2!$Z$4:$AA$7)</f>
        <v>&lt;=25</v>
      </c>
      <c r="T869" t="str">
        <f t="shared" si="39"/>
        <v>Positive</v>
      </c>
      <c r="U869" t="str">
        <f t="shared" si="40"/>
        <v>Not Sampled</v>
      </c>
      <c r="V869" s="1" t="str">
        <f t="shared" si="41"/>
        <v>Not Sampled</v>
      </c>
    </row>
    <row r="870" spans="1:22" x14ac:dyDescent="0.25">
      <c r="A870" s="1">
        <v>3</v>
      </c>
      <c r="B870" s="1">
        <v>82</v>
      </c>
      <c r="C870" s="1">
        <v>70</v>
      </c>
      <c r="D870" s="1">
        <v>0</v>
      </c>
      <c r="E870" s="1">
        <v>0</v>
      </c>
      <c r="F870" s="1">
        <v>21.1</v>
      </c>
      <c r="G870" s="1">
        <v>0.38900000000000001</v>
      </c>
      <c r="H870" s="1">
        <v>25</v>
      </c>
      <c r="I870" s="1">
        <v>0</v>
      </c>
      <c r="J870" s="1">
        <f>IFERROR(VLOOKUP(K870,[1]diabetes_Recognition!$A:$B,2,FALSE),"Not Sampled")</f>
        <v>0</v>
      </c>
      <c r="K870" s="1">
        <v>868</v>
      </c>
      <c r="L870" s="1" t="str">
        <f>LOOKUP(A870,Sheet2!$D$4:$E$9)</f>
        <v>3-4</v>
      </c>
      <c r="M870" t="str">
        <f>LOOKUP(B870,Sheet2!$G$4:$H$9)</f>
        <v>1-99</v>
      </c>
      <c r="N870" t="str">
        <f>LOOKUP(C870,Sheet2!$J$4:$K$8)</f>
        <v>70-79</v>
      </c>
      <c r="O870" t="str">
        <f>LOOKUP(D870,Sheet2!$M$4:$N$8)</f>
        <v>Unknown</v>
      </c>
      <c r="P870" t="str">
        <f>LOOKUP(E870,Sheet2!$P$4:$Q$9)</f>
        <v>Unknown</v>
      </c>
      <c r="Q870" t="str">
        <f>LOOKUP(F870,Sheet2!$S$4:$T$8)</f>
        <v>1-25</v>
      </c>
      <c r="R870" t="str">
        <f>LOOKUP(G870,Sheet2!$V$4:$W$7)</f>
        <v>0.25 - 0.39</v>
      </c>
      <c r="S870" t="str">
        <f>LOOKUP(H870,Sheet2!$Z$4:$AA$7)</f>
        <v>&lt;=25</v>
      </c>
      <c r="T870" t="str">
        <f t="shared" si="39"/>
        <v>Negative</v>
      </c>
      <c r="U870" t="str">
        <f t="shared" si="40"/>
        <v>Negative</v>
      </c>
      <c r="V870" s="1" t="str">
        <f t="shared" si="41"/>
        <v>Accurate Prediction</v>
      </c>
    </row>
    <row r="871" spans="1:22" x14ac:dyDescent="0.25">
      <c r="A871" s="1">
        <v>3</v>
      </c>
      <c r="B871" s="1">
        <v>193</v>
      </c>
      <c r="C871" s="1">
        <v>70</v>
      </c>
      <c r="D871" s="1">
        <v>31</v>
      </c>
      <c r="E871" s="1">
        <v>0</v>
      </c>
      <c r="F871" s="1">
        <v>34.9</v>
      </c>
      <c r="G871" s="1">
        <v>0.24099999999999999</v>
      </c>
      <c r="H871" s="1">
        <v>25</v>
      </c>
      <c r="I871" s="1">
        <v>1</v>
      </c>
      <c r="J871" s="1" t="str">
        <f>IFERROR(VLOOKUP(K871,[1]diabetes_Recognition!$A:$B,2,FALSE),"Not Sampled")</f>
        <v>Not Sampled</v>
      </c>
      <c r="K871" s="1">
        <v>869</v>
      </c>
      <c r="L871" s="1" t="str">
        <f>LOOKUP(A871,Sheet2!$D$4:$E$9)</f>
        <v>3-4</v>
      </c>
      <c r="M871" t="str">
        <f>LOOKUP(B871,Sheet2!$G$4:$H$9)</f>
        <v>176-200</v>
      </c>
      <c r="N871" t="str">
        <f>LOOKUP(C871,Sheet2!$J$4:$K$8)</f>
        <v>70-79</v>
      </c>
      <c r="O871" t="str">
        <f>LOOKUP(D871,Sheet2!$M$4:$N$8)</f>
        <v>30-39</v>
      </c>
      <c r="P871" t="str">
        <f>LOOKUP(E871,Sheet2!$P$4:$Q$9)</f>
        <v>Unknown</v>
      </c>
      <c r="Q871" t="str">
        <f>LOOKUP(F871,Sheet2!$S$4:$T$8)</f>
        <v>31-35</v>
      </c>
      <c r="R871" t="str">
        <f>LOOKUP(G871,Sheet2!$V$4:$W$7)</f>
        <v>0.0 - 0.249</v>
      </c>
      <c r="S871" t="str">
        <f>LOOKUP(H871,Sheet2!$Z$4:$AA$7)</f>
        <v>&lt;=25</v>
      </c>
      <c r="T871" t="str">
        <f t="shared" si="39"/>
        <v>Positive</v>
      </c>
      <c r="U871" t="str">
        <f t="shared" si="40"/>
        <v>Not Sampled</v>
      </c>
      <c r="V871" s="1" t="str">
        <f t="shared" si="41"/>
        <v>Not Sampled</v>
      </c>
    </row>
    <row r="872" spans="1:22" x14ac:dyDescent="0.25">
      <c r="A872" s="1">
        <v>4</v>
      </c>
      <c r="B872" s="1">
        <v>95</v>
      </c>
      <c r="C872" s="1">
        <v>64</v>
      </c>
      <c r="D872" s="1">
        <v>0</v>
      </c>
      <c r="E872" s="1">
        <v>0</v>
      </c>
      <c r="F872" s="1">
        <v>32</v>
      </c>
      <c r="G872" s="1">
        <v>0.161</v>
      </c>
      <c r="H872" s="1">
        <v>31</v>
      </c>
      <c r="I872" s="1">
        <v>1</v>
      </c>
      <c r="J872" s="1" t="str">
        <f>IFERROR(VLOOKUP(K872,[1]diabetes_Recognition!$A:$B,2,FALSE),"Not Sampled")</f>
        <v>Not Sampled</v>
      </c>
      <c r="K872" s="1">
        <v>870</v>
      </c>
      <c r="L872" s="1" t="str">
        <f>LOOKUP(A872,Sheet2!$D$4:$E$9)</f>
        <v>3-4</v>
      </c>
      <c r="M872" t="str">
        <f>LOOKUP(B872,Sheet2!$G$4:$H$9)</f>
        <v>1-99</v>
      </c>
      <c r="N872" t="str">
        <f>LOOKUP(C872,Sheet2!$J$4:$K$8)</f>
        <v>60-69</v>
      </c>
      <c r="O872" t="str">
        <f>LOOKUP(D872,Sheet2!$M$4:$N$8)</f>
        <v>Unknown</v>
      </c>
      <c r="P872" t="str">
        <f>LOOKUP(E872,Sheet2!$P$4:$Q$9)</f>
        <v>Unknown</v>
      </c>
      <c r="Q872" t="str">
        <f>LOOKUP(F872,Sheet2!$S$4:$T$8)</f>
        <v>31-35</v>
      </c>
      <c r="R872" t="str">
        <f>LOOKUP(G872,Sheet2!$V$4:$W$7)</f>
        <v>0.0 - 0.249</v>
      </c>
      <c r="S872" t="str">
        <f>LOOKUP(H872,Sheet2!$Z$4:$AA$7)</f>
        <v>26-35</v>
      </c>
      <c r="T872" t="str">
        <f t="shared" si="39"/>
        <v>Positive</v>
      </c>
      <c r="U872" t="str">
        <f t="shared" si="40"/>
        <v>Not Sampled</v>
      </c>
      <c r="V872" s="1" t="str">
        <f t="shared" si="41"/>
        <v>Not Sampled</v>
      </c>
    </row>
    <row r="873" spans="1:22" x14ac:dyDescent="0.25">
      <c r="A873" s="1">
        <v>6</v>
      </c>
      <c r="B873" s="1">
        <v>137</v>
      </c>
      <c r="C873" s="1">
        <v>61</v>
      </c>
      <c r="D873" s="1">
        <v>0</v>
      </c>
      <c r="E873" s="1">
        <v>0</v>
      </c>
      <c r="F873" s="1">
        <v>24.2</v>
      </c>
      <c r="G873" s="1">
        <v>0.151</v>
      </c>
      <c r="H873" s="1">
        <v>55</v>
      </c>
      <c r="I873" s="1">
        <v>0</v>
      </c>
      <c r="J873" s="1" t="str">
        <f>IFERROR(VLOOKUP(K873,[1]diabetes_Recognition!$A:$B,2,FALSE),"Not Sampled")</f>
        <v>Not Sampled</v>
      </c>
      <c r="K873" s="1">
        <v>871</v>
      </c>
      <c r="L873" s="1" t="str">
        <f>LOOKUP(A873,Sheet2!$D$4:$E$9)</f>
        <v>5-7</v>
      </c>
      <c r="M873" t="str">
        <f>LOOKUP(B873,Sheet2!$G$4:$H$9)</f>
        <v>126-150</v>
      </c>
      <c r="N873" t="str">
        <f>LOOKUP(C873,Sheet2!$J$4:$K$8)</f>
        <v>60-69</v>
      </c>
      <c r="O873" t="str">
        <f>LOOKUP(D873,Sheet2!$M$4:$N$8)</f>
        <v>Unknown</v>
      </c>
      <c r="P873" t="str">
        <f>LOOKUP(E873,Sheet2!$P$4:$Q$9)</f>
        <v>Unknown</v>
      </c>
      <c r="Q873" t="str">
        <f>LOOKUP(F873,Sheet2!$S$4:$T$8)</f>
        <v>1-25</v>
      </c>
      <c r="R873" t="str">
        <f>LOOKUP(G873,Sheet2!$V$4:$W$7)</f>
        <v>0.0 - 0.249</v>
      </c>
      <c r="S873" t="str">
        <f>LOOKUP(H873,Sheet2!$Z$4:$AA$7)</f>
        <v>46+</v>
      </c>
      <c r="T873" t="str">
        <f t="shared" si="39"/>
        <v>Negative</v>
      </c>
      <c r="U873" t="str">
        <f t="shared" si="40"/>
        <v>Not Sampled</v>
      </c>
      <c r="V873" s="1" t="str">
        <f t="shared" si="41"/>
        <v>Not Sampled</v>
      </c>
    </row>
    <row r="874" spans="1:22" x14ac:dyDescent="0.25">
      <c r="A874" s="1">
        <v>5</v>
      </c>
      <c r="B874" s="1">
        <v>136</v>
      </c>
      <c r="C874" s="1">
        <v>84</v>
      </c>
      <c r="D874" s="1">
        <v>41</v>
      </c>
      <c r="E874" s="1">
        <v>88</v>
      </c>
      <c r="F874" s="1">
        <v>35</v>
      </c>
      <c r="G874" s="1">
        <v>0.28599999999999998</v>
      </c>
      <c r="H874" s="1">
        <v>35</v>
      </c>
      <c r="I874" s="1">
        <v>1</v>
      </c>
      <c r="J874" s="1">
        <f>IFERROR(VLOOKUP(K874,[1]diabetes_Recognition!$A:$B,2,FALSE),"Not Sampled")</f>
        <v>0</v>
      </c>
      <c r="K874" s="1">
        <v>872</v>
      </c>
      <c r="L874" s="1" t="str">
        <f>LOOKUP(A874,Sheet2!$D$4:$E$9)</f>
        <v>5-7</v>
      </c>
      <c r="M874" t="str">
        <f>LOOKUP(B874,Sheet2!$G$4:$H$9)</f>
        <v>126-150</v>
      </c>
      <c r="N874" t="str">
        <f>LOOKUP(C874,Sheet2!$J$4:$K$8)</f>
        <v>80+</v>
      </c>
      <c r="O874" t="str">
        <f>LOOKUP(D874,Sheet2!$M$4:$N$8)</f>
        <v>40+</v>
      </c>
      <c r="P874" t="str">
        <f>LOOKUP(E874,Sheet2!$P$4:$Q$9)</f>
        <v>1-99</v>
      </c>
      <c r="Q874" t="str">
        <f>LOOKUP(F874,Sheet2!$S$4:$T$8)</f>
        <v>31-35</v>
      </c>
      <c r="R874" t="str">
        <f>LOOKUP(G874,Sheet2!$V$4:$W$7)</f>
        <v>0.25 - 0.39</v>
      </c>
      <c r="S874" t="str">
        <f>LOOKUP(H874,Sheet2!$Z$4:$AA$7)</f>
        <v>26-35</v>
      </c>
      <c r="T874" t="str">
        <f t="shared" si="39"/>
        <v>Positive</v>
      </c>
      <c r="U874" t="str">
        <f t="shared" si="40"/>
        <v>Negative</v>
      </c>
      <c r="V874" s="1" t="str">
        <f t="shared" si="41"/>
        <v>Inaccurate Prediction</v>
      </c>
    </row>
    <row r="875" spans="1:22" x14ac:dyDescent="0.25">
      <c r="A875" s="1">
        <v>9</v>
      </c>
      <c r="B875" s="1">
        <v>72</v>
      </c>
      <c r="C875" s="1">
        <v>78</v>
      </c>
      <c r="D875" s="1">
        <v>25</v>
      </c>
      <c r="E875" s="1">
        <v>0</v>
      </c>
      <c r="F875" s="1">
        <v>31.6</v>
      </c>
      <c r="G875" s="1">
        <v>0.28000000000000003</v>
      </c>
      <c r="H875" s="1">
        <v>38</v>
      </c>
      <c r="I875" s="1">
        <v>0</v>
      </c>
      <c r="J875" s="1" t="str">
        <f>IFERROR(VLOOKUP(K875,[1]diabetes_Recognition!$A:$B,2,FALSE),"Not Sampled")</f>
        <v>Not Sampled</v>
      </c>
      <c r="K875" s="1">
        <v>873</v>
      </c>
      <c r="L875" s="1" t="str">
        <f>LOOKUP(A875,Sheet2!$D$4:$E$9)</f>
        <v>8+</v>
      </c>
      <c r="M875" t="str">
        <f>LOOKUP(B875,Sheet2!$G$4:$H$9)</f>
        <v>1-99</v>
      </c>
      <c r="N875" t="str">
        <f>LOOKUP(C875,Sheet2!$J$4:$K$8)</f>
        <v>70-79</v>
      </c>
      <c r="O875" t="str">
        <f>LOOKUP(D875,Sheet2!$M$4:$N$8)</f>
        <v>10-30</v>
      </c>
      <c r="P875" t="str">
        <f>LOOKUP(E875,Sheet2!$P$4:$Q$9)</f>
        <v>Unknown</v>
      </c>
      <c r="Q875" t="str">
        <f>LOOKUP(F875,Sheet2!$S$4:$T$8)</f>
        <v>31-35</v>
      </c>
      <c r="R875" t="str">
        <f>LOOKUP(G875,Sheet2!$V$4:$W$7)</f>
        <v>0.25 - 0.39</v>
      </c>
      <c r="S875" t="str">
        <f>LOOKUP(H875,Sheet2!$Z$4:$AA$7)</f>
        <v>36-45</v>
      </c>
      <c r="T875" t="str">
        <f t="shared" si="39"/>
        <v>Negative</v>
      </c>
      <c r="U875" t="str">
        <f t="shared" si="40"/>
        <v>Not Sampled</v>
      </c>
      <c r="V875" s="1" t="str">
        <f t="shared" si="41"/>
        <v>Not Sampled</v>
      </c>
    </row>
    <row r="876" spans="1:22" x14ac:dyDescent="0.25">
      <c r="A876" s="1">
        <v>5</v>
      </c>
      <c r="B876" s="1">
        <v>168</v>
      </c>
      <c r="C876" s="1">
        <v>64</v>
      </c>
      <c r="D876" s="1">
        <v>0</v>
      </c>
      <c r="E876" s="1">
        <v>0</v>
      </c>
      <c r="F876" s="1">
        <v>32.9</v>
      </c>
      <c r="G876" s="1">
        <v>0.13500000000000001</v>
      </c>
      <c r="H876" s="1">
        <v>41</v>
      </c>
      <c r="I876" s="1">
        <v>1</v>
      </c>
      <c r="J876" s="1">
        <f>IFERROR(VLOOKUP(K876,[1]diabetes_Recognition!$A:$B,2,FALSE),"Not Sampled")</f>
        <v>1</v>
      </c>
      <c r="K876" s="1">
        <v>874</v>
      </c>
      <c r="L876" s="1" t="str">
        <f>LOOKUP(A876,Sheet2!$D$4:$E$9)</f>
        <v>5-7</v>
      </c>
      <c r="M876" t="str">
        <f>LOOKUP(B876,Sheet2!$G$4:$H$9)</f>
        <v>151-175</v>
      </c>
      <c r="N876" t="str">
        <f>LOOKUP(C876,Sheet2!$J$4:$K$8)</f>
        <v>60-69</v>
      </c>
      <c r="O876" t="str">
        <f>LOOKUP(D876,Sheet2!$M$4:$N$8)</f>
        <v>Unknown</v>
      </c>
      <c r="P876" t="str">
        <f>LOOKUP(E876,Sheet2!$P$4:$Q$9)</f>
        <v>Unknown</v>
      </c>
      <c r="Q876" t="str">
        <f>LOOKUP(F876,Sheet2!$S$4:$T$8)</f>
        <v>31-35</v>
      </c>
      <c r="R876" t="str">
        <f>LOOKUP(G876,Sheet2!$V$4:$W$7)</f>
        <v>0.0 - 0.249</v>
      </c>
      <c r="S876" t="str">
        <f>LOOKUP(H876,Sheet2!$Z$4:$AA$7)</f>
        <v>36-45</v>
      </c>
      <c r="T876" t="str">
        <f t="shared" si="39"/>
        <v>Positive</v>
      </c>
      <c r="U876" t="str">
        <f t="shared" si="40"/>
        <v>Positive</v>
      </c>
      <c r="V876" s="1" t="str">
        <f t="shared" si="41"/>
        <v>Accurate Prediction</v>
      </c>
    </row>
    <row r="877" spans="1:22" x14ac:dyDescent="0.25">
      <c r="A877" s="1">
        <v>2</v>
      </c>
      <c r="B877" s="1">
        <v>123</v>
      </c>
      <c r="C877" s="1">
        <v>48</v>
      </c>
      <c r="D877" s="1">
        <v>32</v>
      </c>
      <c r="E877" s="1">
        <v>165</v>
      </c>
      <c r="F877" s="1">
        <v>42.1</v>
      </c>
      <c r="G877" s="1">
        <v>0.52</v>
      </c>
      <c r="H877" s="1">
        <v>26</v>
      </c>
      <c r="I877" s="1">
        <v>0</v>
      </c>
      <c r="J877" s="1" t="str">
        <f>IFERROR(VLOOKUP(K877,[1]diabetes_Recognition!$A:$B,2,FALSE),"Not Sampled")</f>
        <v>Not Sampled</v>
      </c>
      <c r="K877" s="1">
        <v>875</v>
      </c>
      <c r="L877" s="1">
        <f>LOOKUP(A877,Sheet2!$D$4:$E$9)</f>
        <v>2</v>
      </c>
      <c r="M877" t="str">
        <f>LOOKUP(B877,Sheet2!$G$4:$H$9)</f>
        <v>100-125</v>
      </c>
      <c r="N877" t="str">
        <f>LOOKUP(C877,Sheet2!$J$4:$K$8)</f>
        <v>1-59</v>
      </c>
      <c r="O877" t="str">
        <f>LOOKUP(D877,Sheet2!$M$4:$N$8)</f>
        <v>30-39</v>
      </c>
      <c r="P877" t="str">
        <f>LOOKUP(E877,Sheet2!$P$4:$Q$9)</f>
        <v>100-199</v>
      </c>
      <c r="Q877" t="str">
        <f>LOOKUP(F877,Sheet2!$S$4:$T$8)</f>
        <v>36+</v>
      </c>
      <c r="R877" t="str">
        <f>LOOKUP(G877,Sheet2!$V$4:$W$7)</f>
        <v>0.4 - 0.69</v>
      </c>
      <c r="S877" t="str">
        <f>LOOKUP(H877,Sheet2!$Z$4:$AA$7)</f>
        <v>26-35</v>
      </c>
      <c r="T877" t="str">
        <f t="shared" si="39"/>
        <v>Negative</v>
      </c>
      <c r="U877" t="str">
        <f t="shared" si="40"/>
        <v>Not Sampled</v>
      </c>
      <c r="V877" s="1" t="str">
        <f t="shared" si="41"/>
        <v>Not Sampled</v>
      </c>
    </row>
    <row r="878" spans="1:22" x14ac:dyDescent="0.25">
      <c r="A878" s="1">
        <v>4</v>
      </c>
      <c r="B878" s="1">
        <v>115</v>
      </c>
      <c r="C878" s="1">
        <v>72</v>
      </c>
      <c r="D878" s="1">
        <v>0</v>
      </c>
      <c r="E878" s="1">
        <v>0</v>
      </c>
      <c r="F878" s="1">
        <v>28.9</v>
      </c>
      <c r="G878" s="1">
        <v>0.376</v>
      </c>
      <c r="H878" s="1">
        <v>46</v>
      </c>
      <c r="I878" s="1">
        <v>1</v>
      </c>
      <c r="J878" s="1" t="str">
        <f>IFERROR(VLOOKUP(K878,[1]diabetes_Recognition!$A:$B,2,FALSE),"Not Sampled")</f>
        <v>Not Sampled</v>
      </c>
      <c r="K878" s="1">
        <v>876</v>
      </c>
      <c r="L878" s="1" t="str">
        <f>LOOKUP(A878,Sheet2!$D$4:$E$9)</f>
        <v>3-4</v>
      </c>
      <c r="M878" t="str">
        <f>LOOKUP(B878,Sheet2!$G$4:$H$9)</f>
        <v>100-125</v>
      </c>
      <c r="N878" t="str">
        <f>LOOKUP(C878,Sheet2!$J$4:$K$8)</f>
        <v>70-79</v>
      </c>
      <c r="O878" t="str">
        <f>LOOKUP(D878,Sheet2!$M$4:$N$8)</f>
        <v>Unknown</v>
      </c>
      <c r="P878" t="str">
        <f>LOOKUP(E878,Sheet2!$P$4:$Q$9)</f>
        <v>Unknown</v>
      </c>
      <c r="Q878" t="str">
        <f>LOOKUP(F878,Sheet2!$S$4:$T$8)</f>
        <v>26-30</v>
      </c>
      <c r="R878" t="str">
        <f>LOOKUP(G878,Sheet2!$V$4:$W$7)</f>
        <v>0.25 - 0.39</v>
      </c>
      <c r="S878" t="str">
        <f>LOOKUP(H878,Sheet2!$Z$4:$AA$7)</f>
        <v>46+</v>
      </c>
      <c r="T878" t="str">
        <f t="shared" si="39"/>
        <v>Positive</v>
      </c>
      <c r="U878" t="str">
        <f t="shared" si="40"/>
        <v>Not Sampled</v>
      </c>
      <c r="V878" s="1" t="str">
        <f t="shared" si="41"/>
        <v>Not Sampled</v>
      </c>
    </row>
    <row r="879" spans="1:22" x14ac:dyDescent="0.25">
      <c r="A879" s="1">
        <v>0</v>
      </c>
      <c r="B879" s="1">
        <v>101</v>
      </c>
      <c r="C879" s="1">
        <v>62</v>
      </c>
      <c r="D879" s="1">
        <v>0</v>
      </c>
      <c r="E879" s="1">
        <v>0</v>
      </c>
      <c r="F879" s="1">
        <v>21.9</v>
      </c>
      <c r="G879" s="1">
        <v>0.33600000000000002</v>
      </c>
      <c r="H879" s="1">
        <v>25</v>
      </c>
      <c r="I879" s="1">
        <v>0</v>
      </c>
      <c r="J879" s="1">
        <f>IFERROR(VLOOKUP(K879,[1]diabetes_Recognition!$A:$B,2,FALSE),"Not Sampled")</f>
        <v>0</v>
      </c>
      <c r="K879" s="1">
        <v>877</v>
      </c>
      <c r="L879" s="1">
        <f>LOOKUP(A879,Sheet2!$D$4:$E$9)</f>
        <v>0</v>
      </c>
      <c r="M879" t="str">
        <f>LOOKUP(B879,Sheet2!$G$4:$H$9)</f>
        <v>100-125</v>
      </c>
      <c r="N879" t="str">
        <f>LOOKUP(C879,Sheet2!$J$4:$K$8)</f>
        <v>60-69</v>
      </c>
      <c r="O879" t="str">
        <f>LOOKUP(D879,Sheet2!$M$4:$N$8)</f>
        <v>Unknown</v>
      </c>
      <c r="P879" t="str">
        <f>LOOKUP(E879,Sheet2!$P$4:$Q$9)</f>
        <v>Unknown</v>
      </c>
      <c r="Q879" t="str">
        <f>LOOKUP(F879,Sheet2!$S$4:$T$8)</f>
        <v>1-25</v>
      </c>
      <c r="R879" t="str">
        <f>LOOKUP(G879,Sheet2!$V$4:$W$7)</f>
        <v>0.25 - 0.39</v>
      </c>
      <c r="S879" t="str">
        <f>LOOKUP(H879,Sheet2!$Z$4:$AA$7)</f>
        <v>&lt;=25</v>
      </c>
      <c r="T879" t="str">
        <f t="shared" si="39"/>
        <v>Negative</v>
      </c>
      <c r="U879" t="str">
        <f t="shared" si="40"/>
        <v>Negative</v>
      </c>
      <c r="V879" s="1" t="str">
        <f t="shared" si="41"/>
        <v>Accurate Prediction</v>
      </c>
    </row>
    <row r="880" spans="1:22" x14ac:dyDescent="0.25">
      <c r="A880" s="1">
        <v>8</v>
      </c>
      <c r="B880" s="1">
        <v>197</v>
      </c>
      <c r="C880" s="1">
        <v>74</v>
      </c>
      <c r="D880" s="1">
        <v>0</v>
      </c>
      <c r="E880" s="1">
        <v>0</v>
      </c>
      <c r="F880" s="1">
        <v>25.9</v>
      </c>
      <c r="G880" s="1">
        <v>1.1910000000000001</v>
      </c>
      <c r="H880" s="1">
        <v>39</v>
      </c>
      <c r="I880" s="1">
        <v>1</v>
      </c>
      <c r="J880" s="1" t="str">
        <f>IFERROR(VLOOKUP(K880,[1]diabetes_Recognition!$A:$B,2,FALSE),"Not Sampled")</f>
        <v>Not Sampled</v>
      </c>
      <c r="K880" s="1">
        <v>878</v>
      </c>
      <c r="L880" s="1" t="str">
        <f>LOOKUP(A880,Sheet2!$D$4:$E$9)</f>
        <v>8+</v>
      </c>
      <c r="M880" t="str">
        <f>LOOKUP(B880,Sheet2!$G$4:$H$9)</f>
        <v>176-200</v>
      </c>
      <c r="N880" t="str">
        <f>LOOKUP(C880,Sheet2!$J$4:$K$8)</f>
        <v>70-79</v>
      </c>
      <c r="O880" t="str">
        <f>LOOKUP(D880,Sheet2!$M$4:$N$8)</f>
        <v>Unknown</v>
      </c>
      <c r="P880" t="str">
        <f>LOOKUP(E880,Sheet2!$P$4:$Q$9)</f>
        <v>Unknown</v>
      </c>
      <c r="Q880" t="str">
        <f>LOOKUP(F880,Sheet2!$S$4:$T$8)</f>
        <v>1-25</v>
      </c>
      <c r="R880" t="str">
        <f>LOOKUP(G880,Sheet2!$V$4:$W$7)</f>
        <v>0.7+</v>
      </c>
      <c r="S880" t="str">
        <f>LOOKUP(H880,Sheet2!$Z$4:$AA$7)</f>
        <v>36-45</v>
      </c>
      <c r="T880" t="str">
        <f t="shared" si="39"/>
        <v>Positive</v>
      </c>
      <c r="U880" t="str">
        <f t="shared" si="40"/>
        <v>Not Sampled</v>
      </c>
      <c r="V880" s="1" t="str">
        <f t="shared" si="41"/>
        <v>Not Sampled</v>
      </c>
    </row>
    <row r="881" spans="1:22" x14ac:dyDescent="0.25">
      <c r="A881" s="1">
        <v>1</v>
      </c>
      <c r="B881" s="1">
        <v>172</v>
      </c>
      <c r="C881" s="1">
        <v>68</v>
      </c>
      <c r="D881" s="1">
        <v>49</v>
      </c>
      <c r="E881" s="1">
        <v>579</v>
      </c>
      <c r="F881" s="1">
        <v>42.4</v>
      </c>
      <c r="G881" s="1">
        <v>0.70199999999999996</v>
      </c>
      <c r="H881" s="1">
        <v>28</v>
      </c>
      <c r="I881" s="1">
        <v>1</v>
      </c>
      <c r="J881" s="1" t="str">
        <f>IFERROR(VLOOKUP(K881,[1]diabetes_Recognition!$A:$B,2,FALSE),"Not Sampled")</f>
        <v>Not Sampled</v>
      </c>
      <c r="K881" s="1">
        <v>879</v>
      </c>
      <c r="L881" s="1">
        <f>LOOKUP(A881,Sheet2!$D$4:$E$9)</f>
        <v>1</v>
      </c>
      <c r="M881" t="str">
        <f>LOOKUP(B881,Sheet2!$G$4:$H$9)</f>
        <v>151-175</v>
      </c>
      <c r="N881" t="str">
        <f>LOOKUP(C881,Sheet2!$J$4:$K$8)</f>
        <v>60-69</v>
      </c>
      <c r="O881" t="str">
        <f>LOOKUP(D881,Sheet2!$M$4:$N$8)</f>
        <v>40+</v>
      </c>
      <c r="P881" t="str">
        <f>LOOKUP(E881,Sheet2!$P$4:$Q$9)</f>
        <v>500+</v>
      </c>
      <c r="Q881" t="str">
        <f>LOOKUP(F881,Sheet2!$S$4:$T$8)</f>
        <v>36+</v>
      </c>
      <c r="R881" t="str">
        <f>LOOKUP(G881,Sheet2!$V$4:$W$7)</f>
        <v>0.7+</v>
      </c>
      <c r="S881" t="str">
        <f>LOOKUP(H881,Sheet2!$Z$4:$AA$7)</f>
        <v>26-35</v>
      </c>
      <c r="T881" t="str">
        <f t="shared" si="39"/>
        <v>Positive</v>
      </c>
      <c r="U881" t="str">
        <f t="shared" si="40"/>
        <v>Not Sampled</v>
      </c>
      <c r="V881" s="1" t="str">
        <f t="shared" si="41"/>
        <v>Not Sampled</v>
      </c>
    </row>
    <row r="882" spans="1:22" x14ac:dyDescent="0.25">
      <c r="A882" s="1">
        <v>6</v>
      </c>
      <c r="B882" s="1">
        <v>102</v>
      </c>
      <c r="C882" s="1">
        <v>90</v>
      </c>
      <c r="D882" s="1">
        <v>39</v>
      </c>
      <c r="E882" s="1">
        <v>0</v>
      </c>
      <c r="F882" s="1">
        <v>35.700000000000003</v>
      </c>
      <c r="G882" s="1">
        <v>0.67400000000000004</v>
      </c>
      <c r="H882" s="1">
        <v>28</v>
      </c>
      <c r="I882" s="1">
        <v>0</v>
      </c>
      <c r="J882" s="1" t="str">
        <f>IFERROR(VLOOKUP(K882,[1]diabetes_Recognition!$A:$B,2,FALSE),"Not Sampled")</f>
        <v>Not Sampled</v>
      </c>
      <c r="K882" s="1">
        <v>880</v>
      </c>
      <c r="L882" s="1" t="str">
        <f>LOOKUP(A882,Sheet2!$D$4:$E$9)</f>
        <v>5-7</v>
      </c>
      <c r="M882" t="str">
        <f>LOOKUP(B882,Sheet2!$G$4:$H$9)</f>
        <v>100-125</v>
      </c>
      <c r="N882" t="str">
        <f>LOOKUP(C882,Sheet2!$J$4:$K$8)</f>
        <v>80+</v>
      </c>
      <c r="O882" t="str">
        <f>LOOKUP(D882,Sheet2!$M$4:$N$8)</f>
        <v>30-39</v>
      </c>
      <c r="P882" t="str">
        <f>LOOKUP(E882,Sheet2!$P$4:$Q$9)</f>
        <v>Unknown</v>
      </c>
      <c r="Q882" t="str">
        <f>LOOKUP(F882,Sheet2!$S$4:$T$8)</f>
        <v>31-35</v>
      </c>
      <c r="R882" t="str">
        <f>LOOKUP(G882,Sheet2!$V$4:$W$7)</f>
        <v>0.4 - 0.69</v>
      </c>
      <c r="S882" t="str">
        <f>LOOKUP(H882,Sheet2!$Z$4:$AA$7)</f>
        <v>26-35</v>
      </c>
      <c r="T882" t="str">
        <f t="shared" si="39"/>
        <v>Negative</v>
      </c>
      <c r="U882" t="str">
        <f t="shared" si="40"/>
        <v>Not Sampled</v>
      </c>
      <c r="V882" s="1" t="str">
        <f t="shared" si="41"/>
        <v>Not Sampled</v>
      </c>
    </row>
    <row r="883" spans="1:22" x14ac:dyDescent="0.25">
      <c r="A883" s="1">
        <v>1</v>
      </c>
      <c r="B883" s="1">
        <v>112</v>
      </c>
      <c r="C883" s="1">
        <v>72</v>
      </c>
      <c r="D883" s="1">
        <v>30</v>
      </c>
      <c r="E883" s="1">
        <v>176</v>
      </c>
      <c r="F883" s="1">
        <v>34.4</v>
      </c>
      <c r="G883" s="1">
        <v>0.52800000000000002</v>
      </c>
      <c r="H883" s="1">
        <v>25</v>
      </c>
      <c r="I883" s="1">
        <v>0</v>
      </c>
      <c r="J883" s="1">
        <f>IFERROR(VLOOKUP(K883,[1]diabetes_Recognition!$A:$B,2,FALSE),"Not Sampled")</f>
        <v>0</v>
      </c>
      <c r="K883" s="1">
        <v>881</v>
      </c>
      <c r="L883" s="1">
        <f>LOOKUP(A883,Sheet2!$D$4:$E$9)</f>
        <v>1</v>
      </c>
      <c r="M883" t="str">
        <f>LOOKUP(B883,Sheet2!$G$4:$H$9)</f>
        <v>100-125</v>
      </c>
      <c r="N883" t="str">
        <f>LOOKUP(C883,Sheet2!$J$4:$K$8)</f>
        <v>70-79</v>
      </c>
      <c r="O883" t="str">
        <f>LOOKUP(D883,Sheet2!$M$4:$N$8)</f>
        <v>30-39</v>
      </c>
      <c r="P883" t="str">
        <f>LOOKUP(E883,Sheet2!$P$4:$Q$9)</f>
        <v>100-199</v>
      </c>
      <c r="Q883" t="str">
        <f>LOOKUP(F883,Sheet2!$S$4:$T$8)</f>
        <v>31-35</v>
      </c>
      <c r="R883" t="str">
        <f>LOOKUP(G883,Sheet2!$V$4:$W$7)</f>
        <v>0.4 - 0.69</v>
      </c>
      <c r="S883" t="str">
        <f>LOOKUP(H883,Sheet2!$Z$4:$AA$7)</f>
        <v>&lt;=25</v>
      </c>
      <c r="T883" t="str">
        <f t="shared" si="39"/>
        <v>Negative</v>
      </c>
      <c r="U883" t="str">
        <f t="shared" si="40"/>
        <v>Negative</v>
      </c>
      <c r="V883" s="1" t="str">
        <f t="shared" si="41"/>
        <v>Accurate Prediction</v>
      </c>
    </row>
    <row r="884" spans="1:22" x14ac:dyDescent="0.25">
      <c r="A884" s="1">
        <v>1</v>
      </c>
      <c r="B884" s="1">
        <v>143</v>
      </c>
      <c r="C884" s="1">
        <v>84</v>
      </c>
      <c r="D884" s="1">
        <v>23</v>
      </c>
      <c r="E884" s="1">
        <v>310</v>
      </c>
      <c r="F884" s="1">
        <v>42.4</v>
      </c>
      <c r="G884" s="1">
        <v>1.0760000000000001</v>
      </c>
      <c r="H884" s="1">
        <v>22</v>
      </c>
      <c r="I884" s="1">
        <v>0</v>
      </c>
      <c r="J884" s="1" t="str">
        <f>IFERROR(VLOOKUP(K884,[1]diabetes_Recognition!$A:$B,2,FALSE),"Not Sampled")</f>
        <v>Not Sampled</v>
      </c>
      <c r="K884" s="1">
        <v>882</v>
      </c>
      <c r="L884" s="1">
        <f>LOOKUP(A884,Sheet2!$D$4:$E$9)</f>
        <v>1</v>
      </c>
      <c r="M884" t="str">
        <f>LOOKUP(B884,Sheet2!$G$4:$H$9)</f>
        <v>126-150</v>
      </c>
      <c r="N884" t="str">
        <f>LOOKUP(C884,Sheet2!$J$4:$K$8)</f>
        <v>80+</v>
      </c>
      <c r="O884" t="str">
        <f>LOOKUP(D884,Sheet2!$M$4:$N$8)</f>
        <v>10-30</v>
      </c>
      <c r="P884" t="str">
        <f>LOOKUP(E884,Sheet2!$P$4:$Q$9)</f>
        <v>300-499</v>
      </c>
      <c r="Q884" t="str">
        <f>LOOKUP(F884,Sheet2!$S$4:$T$8)</f>
        <v>36+</v>
      </c>
      <c r="R884" t="str">
        <f>LOOKUP(G884,Sheet2!$V$4:$W$7)</f>
        <v>0.7+</v>
      </c>
      <c r="S884" t="str">
        <f>LOOKUP(H884,Sheet2!$Z$4:$AA$7)</f>
        <v>&lt;=25</v>
      </c>
      <c r="T884" t="str">
        <f t="shared" si="39"/>
        <v>Negative</v>
      </c>
      <c r="U884" t="str">
        <f t="shared" si="40"/>
        <v>Not Sampled</v>
      </c>
      <c r="V884" s="1" t="str">
        <f t="shared" si="41"/>
        <v>Not Sampled</v>
      </c>
    </row>
    <row r="885" spans="1:22" x14ac:dyDescent="0.25">
      <c r="A885" s="1">
        <v>1</v>
      </c>
      <c r="B885" s="1">
        <v>143</v>
      </c>
      <c r="C885" s="1">
        <v>74</v>
      </c>
      <c r="D885" s="1">
        <v>22</v>
      </c>
      <c r="E885" s="1">
        <v>61</v>
      </c>
      <c r="F885" s="1">
        <v>26.2</v>
      </c>
      <c r="G885" s="1">
        <v>0.25600000000000001</v>
      </c>
      <c r="H885" s="1">
        <v>21</v>
      </c>
      <c r="I885" s="1">
        <v>0</v>
      </c>
      <c r="J885" s="1" t="str">
        <f>IFERROR(VLOOKUP(K885,[1]diabetes_Recognition!$A:$B,2,FALSE),"Not Sampled")</f>
        <v>Not Sampled</v>
      </c>
      <c r="K885" s="1">
        <v>883</v>
      </c>
      <c r="L885" s="1">
        <f>LOOKUP(A885,Sheet2!$D$4:$E$9)</f>
        <v>1</v>
      </c>
      <c r="M885" t="str">
        <f>LOOKUP(B885,Sheet2!$G$4:$H$9)</f>
        <v>126-150</v>
      </c>
      <c r="N885" t="str">
        <f>LOOKUP(C885,Sheet2!$J$4:$K$8)</f>
        <v>70-79</v>
      </c>
      <c r="O885" t="str">
        <f>LOOKUP(D885,Sheet2!$M$4:$N$8)</f>
        <v>10-30</v>
      </c>
      <c r="P885" t="str">
        <f>LOOKUP(E885,Sheet2!$P$4:$Q$9)</f>
        <v>1-99</v>
      </c>
      <c r="Q885" t="str">
        <f>LOOKUP(F885,Sheet2!$S$4:$T$8)</f>
        <v>26-30</v>
      </c>
      <c r="R885" t="str">
        <f>LOOKUP(G885,Sheet2!$V$4:$W$7)</f>
        <v>0.25 - 0.39</v>
      </c>
      <c r="S885" t="str">
        <f>LOOKUP(H885,Sheet2!$Z$4:$AA$7)</f>
        <v>&lt;=25</v>
      </c>
      <c r="T885" t="str">
        <f t="shared" si="39"/>
        <v>Negative</v>
      </c>
      <c r="U885" t="str">
        <f t="shared" si="40"/>
        <v>Not Sampled</v>
      </c>
      <c r="V885" s="1" t="str">
        <f t="shared" si="41"/>
        <v>Not Sampled</v>
      </c>
    </row>
    <row r="886" spans="1:22" x14ac:dyDescent="0.25">
      <c r="A886" s="1">
        <v>0</v>
      </c>
      <c r="B886" s="1">
        <v>138</v>
      </c>
      <c r="C886" s="1">
        <v>60</v>
      </c>
      <c r="D886" s="1">
        <v>35</v>
      </c>
      <c r="E886" s="1">
        <v>167</v>
      </c>
      <c r="F886" s="1">
        <v>34.6</v>
      </c>
      <c r="G886" s="1">
        <v>0.53400000000000003</v>
      </c>
      <c r="H886" s="1">
        <v>21</v>
      </c>
      <c r="I886" s="1">
        <v>1</v>
      </c>
      <c r="J886" s="1" t="str">
        <f>IFERROR(VLOOKUP(K886,[1]diabetes_Recognition!$A:$B,2,FALSE),"Not Sampled")</f>
        <v>Not Sampled</v>
      </c>
      <c r="K886" s="1">
        <v>884</v>
      </c>
      <c r="L886" s="1">
        <f>LOOKUP(A886,Sheet2!$D$4:$E$9)</f>
        <v>0</v>
      </c>
      <c r="M886" t="str">
        <f>LOOKUP(B886,Sheet2!$G$4:$H$9)</f>
        <v>126-150</v>
      </c>
      <c r="N886" t="str">
        <f>LOOKUP(C886,Sheet2!$J$4:$K$8)</f>
        <v>60-69</v>
      </c>
      <c r="O886" t="str">
        <f>LOOKUP(D886,Sheet2!$M$4:$N$8)</f>
        <v>30-39</v>
      </c>
      <c r="P886" t="str">
        <f>LOOKUP(E886,Sheet2!$P$4:$Q$9)</f>
        <v>100-199</v>
      </c>
      <c r="Q886" t="str">
        <f>LOOKUP(F886,Sheet2!$S$4:$T$8)</f>
        <v>31-35</v>
      </c>
      <c r="R886" t="str">
        <f>LOOKUP(G886,Sheet2!$V$4:$W$7)</f>
        <v>0.4 - 0.69</v>
      </c>
      <c r="S886" t="str">
        <f>LOOKUP(H886,Sheet2!$Z$4:$AA$7)</f>
        <v>&lt;=25</v>
      </c>
      <c r="T886" t="str">
        <f t="shared" si="39"/>
        <v>Positive</v>
      </c>
      <c r="U886" t="str">
        <f t="shared" si="40"/>
        <v>Not Sampled</v>
      </c>
      <c r="V886" s="1" t="str">
        <f t="shared" si="41"/>
        <v>Not Sampled</v>
      </c>
    </row>
    <row r="887" spans="1:22" x14ac:dyDescent="0.25">
      <c r="A887" s="1">
        <v>3</v>
      </c>
      <c r="B887" s="1">
        <v>173</v>
      </c>
      <c r="C887" s="1">
        <v>84</v>
      </c>
      <c r="D887" s="1">
        <v>33</v>
      </c>
      <c r="E887" s="1">
        <v>474</v>
      </c>
      <c r="F887" s="1">
        <v>35.700000000000003</v>
      </c>
      <c r="G887" s="1">
        <v>0.25800000000000001</v>
      </c>
      <c r="H887" s="1">
        <v>22</v>
      </c>
      <c r="I887" s="1">
        <v>1</v>
      </c>
      <c r="J887" s="1">
        <f>IFERROR(VLOOKUP(K887,[1]diabetes_Recognition!$A:$B,2,FALSE),"Not Sampled")</f>
        <v>1</v>
      </c>
      <c r="K887" s="1">
        <v>885</v>
      </c>
      <c r="L887" s="1" t="str">
        <f>LOOKUP(A887,Sheet2!$D$4:$E$9)</f>
        <v>3-4</v>
      </c>
      <c r="M887" t="str">
        <f>LOOKUP(B887,Sheet2!$G$4:$H$9)</f>
        <v>151-175</v>
      </c>
      <c r="N887" t="str">
        <f>LOOKUP(C887,Sheet2!$J$4:$K$8)</f>
        <v>80+</v>
      </c>
      <c r="O887" t="str">
        <f>LOOKUP(D887,Sheet2!$M$4:$N$8)</f>
        <v>30-39</v>
      </c>
      <c r="P887" t="str">
        <f>LOOKUP(E887,Sheet2!$P$4:$Q$9)</f>
        <v>300-499</v>
      </c>
      <c r="Q887" t="str">
        <f>LOOKUP(F887,Sheet2!$S$4:$T$8)</f>
        <v>31-35</v>
      </c>
      <c r="R887" t="str">
        <f>LOOKUP(G887,Sheet2!$V$4:$W$7)</f>
        <v>0.25 - 0.39</v>
      </c>
      <c r="S887" t="str">
        <f>LOOKUP(H887,Sheet2!$Z$4:$AA$7)</f>
        <v>&lt;=25</v>
      </c>
      <c r="T887" t="str">
        <f t="shared" si="39"/>
        <v>Positive</v>
      </c>
      <c r="U887" t="str">
        <f t="shared" si="40"/>
        <v>Positive</v>
      </c>
      <c r="V887" s="1" t="str">
        <f t="shared" si="41"/>
        <v>Accurate Prediction</v>
      </c>
    </row>
    <row r="888" spans="1:22" x14ac:dyDescent="0.25">
      <c r="A888" s="1">
        <v>1</v>
      </c>
      <c r="B888" s="1">
        <v>97</v>
      </c>
      <c r="C888" s="1">
        <v>68</v>
      </c>
      <c r="D888" s="1">
        <v>21</v>
      </c>
      <c r="E888" s="1">
        <v>0</v>
      </c>
      <c r="F888" s="1">
        <v>27.2</v>
      </c>
      <c r="G888" s="1">
        <v>1.095</v>
      </c>
      <c r="H888" s="1">
        <v>22</v>
      </c>
      <c r="I888" s="1">
        <v>0</v>
      </c>
      <c r="J888" s="1" t="str">
        <f>IFERROR(VLOOKUP(K888,[1]diabetes_Recognition!$A:$B,2,FALSE),"Not Sampled")</f>
        <v>Not Sampled</v>
      </c>
      <c r="K888" s="1">
        <v>886</v>
      </c>
      <c r="L888" s="1">
        <f>LOOKUP(A888,Sheet2!$D$4:$E$9)</f>
        <v>1</v>
      </c>
      <c r="M888" t="str">
        <f>LOOKUP(B888,Sheet2!$G$4:$H$9)</f>
        <v>1-99</v>
      </c>
      <c r="N888" t="str">
        <f>LOOKUP(C888,Sheet2!$J$4:$K$8)</f>
        <v>60-69</v>
      </c>
      <c r="O888" t="str">
        <f>LOOKUP(D888,Sheet2!$M$4:$N$8)</f>
        <v>10-30</v>
      </c>
      <c r="P888" t="str">
        <f>LOOKUP(E888,Sheet2!$P$4:$Q$9)</f>
        <v>Unknown</v>
      </c>
      <c r="Q888" t="str">
        <f>LOOKUP(F888,Sheet2!$S$4:$T$8)</f>
        <v>26-30</v>
      </c>
      <c r="R888" t="str">
        <f>LOOKUP(G888,Sheet2!$V$4:$W$7)</f>
        <v>0.7+</v>
      </c>
      <c r="S888" t="str">
        <f>LOOKUP(H888,Sheet2!$Z$4:$AA$7)</f>
        <v>&lt;=25</v>
      </c>
      <c r="T888" t="str">
        <f t="shared" si="39"/>
        <v>Negative</v>
      </c>
      <c r="U888" t="str">
        <f t="shared" si="40"/>
        <v>Not Sampled</v>
      </c>
      <c r="V888" s="1" t="str">
        <f t="shared" si="41"/>
        <v>Not Sampled</v>
      </c>
    </row>
    <row r="889" spans="1:22" x14ac:dyDescent="0.25">
      <c r="A889" s="1">
        <v>4</v>
      </c>
      <c r="B889" s="1">
        <v>144</v>
      </c>
      <c r="C889" s="1">
        <v>82</v>
      </c>
      <c r="D889" s="1">
        <v>32</v>
      </c>
      <c r="E889" s="1">
        <v>0</v>
      </c>
      <c r="F889" s="1">
        <v>38.5</v>
      </c>
      <c r="G889" s="1">
        <v>0.55400000000000005</v>
      </c>
      <c r="H889" s="1">
        <v>37</v>
      </c>
      <c r="I889" s="1">
        <v>1</v>
      </c>
      <c r="J889" s="1">
        <f>IFERROR(VLOOKUP(K889,[1]diabetes_Recognition!$A:$B,2,FALSE),"Not Sampled")</f>
        <v>1</v>
      </c>
      <c r="K889" s="1">
        <v>887</v>
      </c>
      <c r="L889" s="1" t="str">
        <f>LOOKUP(A889,Sheet2!$D$4:$E$9)</f>
        <v>3-4</v>
      </c>
      <c r="M889" t="str">
        <f>LOOKUP(B889,Sheet2!$G$4:$H$9)</f>
        <v>126-150</v>
      </c>
      <c r="N889" t="str">
        <f>LOOKUP(C889,Sheet2!$J$4:$K$8)</f>
        <v>80+</v>
      </c>
      <c r="O889" t="str">
        <f>LOOKUP(D889,Sheet2!$M$4:$N$8)</f>
        <v>30-39</v>
      </c>
      <c r="P889" t="str">
        <f>LOOKUP(E889,Sheet2!$P$4:$Q$9)</f>
        <v>Unknown</v>
      </c>
      <c r="Q889" t="str">
        <f>LOOKUP(F889,Sheet2!$S$4:$T$8)</f>
        <v>36+</v>
      </c>
      <c r="R889" t="str">
        <f>LOOKUP(G889,Sheet2!$V$4:$W$7)</f>
        <v>0.4 - 0.69</v>
      </c>
      <c r="S889" t="str">
        <f>LOOKUP(H889,Sheet2!$Z$4:$AA$7)</f>
        <v>36-45</v>
      </c>
      <c r="T889" t="str">
        <f t="shared" si="39"/>
        <v>Positive</v>
      </c>
      <c r="U889" t="str">
        <f t="shared" si="40"/>
        <v>Positive</v>
      </c>
      <c r="V889" s="1" t="str">
        <f t="shared" si="41"/>
        <v>Accurate Prediction</v>
      </c>
    </row>
    <row r="890" spans="1:22" x14ac:dyDescent="0.25">
      <c r="A890" s="1">
        <v>1</v>
      </c>
      <c r="B890" s="1">
        <v>83</v>
      </c>
      <c r="C890" s="1">
        <v>68</v>
      </c>
      <c r="D890" s="1">
        <v>0</v>
      </c>
      <c r="E890" s="1">
        <v>0</v>
      </c>
      <c r="F890" s="1">
        <v>18.2</v>
      </c>
      <c r="G890" s="1">
        <v>0.624</v>
      </c>
      <c r="H890" s="1">
        <v>27</v>
      </c>
      <c r="I890" s="1">
        <v>0</v>
      </c>
      <c r="J890" s="1">
        <f>IFERROR(VLOOKUP(K890,[1]diabetes_Recognition!$A:$B,2,FALSE),"Not Sampled")</f>
        <v>0</v>
      </c>
      <c r="K890" s="1">
        <v>888</v>
      </c>
      <c r="L890" s="1">
        <f>LOOKUP(A890,Sheet2!$D$4:$E$9)</f>
        <v>1</v>
      </c>
      <c r="M890" t="str">
        <f>LOOKUP(B890,Sheet2!$G$4:$H$9)</f>
        <v>1-99</v>
      </c>
      <c r="N890" t="str">
        <f>LOOKUP(C890,Sheet2!$J$4:$K$8)</f>
        <v>60-69</v>
      </c>
      <c r="O890" t="str">
        <f>LOOKUP(D890,Sheet2!$M$4:$N$8)</f>
        <v>Unknown</v>
      </c>
      <c r="P890" t="str">
        <f>LOOKUP(E890,Sheet2!$P$4:$Q$9)</f>
        <v>Unknown</v>
      </c>
      <c r="Q890" t="str">
        <f>LOOKUP(F890,Sheet2!$S$4:$T$8)</f>
        <v>1-25</v>
      </c>
      <c r="R890" t="str">
        <f>LOOKUP(G890,Sheet2!$V$4:$W$7)</f>
        <v>0.4 - 0.69</v>
      </c>
      <c r="S890" t="str">
        <f>LOOKUP(H890,Sheet2!$Z$4:$AA$7)</f>
        <v>26-35</v>
      </c>
      <c r="T890" t="str">
        <f t="shared" si="39"/>
        <v>Negative</v>
      </c>
      <c r="U890" t="str">
        <f t="shared" si="40"/>
        <v>Negative</v>
      </c>
      <c r="V890" s="1" t="str">
        <f t="shared" si="41"/>
        <v>Accurate Prediction</v>
      </c>
    </row>
    <row r="891" spans="1:22" x14ac:dyDescent="0.25">
      <c r="A891" s="1">
        <v>3</v>
      </c>
      <c r="B891" s="1">
        <v>129</v>
      </c>
      <c r="C891" s="1">
        <v>64</v>
      </c>
      <c r="D891" s="1">
        <v>29</v>
      </c>
      <c r="E891" s="1">
        <v>115</v>
      </c>
      <c r="F891" s="1">
        <v>26.4</v>
      </c>
      <c r="G891" s="1">
        <v>0.219</v>
      </c>
      <c r="H891" s="1">
        <v>28</v>
      </c>
      <c r="I891" s="1">
        <v>1</v>
      </c>
      <c r="J891" s="1" t="str">
        <f>IFERROR(VLOOKUP(K891,[1]diabetes_Recognition!$A:$B,2,FALSE),"Not Sampled")</f>
        <v>Not Sampled</v>
      </c>
      <c r="K891" s="1">
        <v>889</v>
      </c>
      <c r="L891" s="1" t="str">
        <f>LOOKUP(A891,Sheet2!$D$4:$E$9)</f>
        <v>3-4</v>
      </c>
      <c r="M891" t="str">
        <f>LOOKUP(B891,Sheet2!$G$4:$H$9)</f>
        <v>126-150</v>
      </c>
      <c r="N891" t="str">
        <f>LOOKUP(C891,Sheet2!$J$4:$K$8)</f>
        <v>60-69</v>
      </c>
      <c r="O891" t="str">
        <f>LOOKUP(D891,Sheet2!$M$4:$N$8)</f>
        <v>10-30</v>
      </c>
      <c r="P891" t="str">
        <f>LOOKUP(E891,Sheet2!$P$4:$Q$9)</f>
        <v>100-199</v>
      </c>
      <c r="Q891" t="str">
        <f>LOOKUP(F891,Sheet2!$S$4:$T$8)</f>
        <v>26-30</v>
      </c>
      <c r="R891" t="str">
        <f>LOOKUP(G891,Sheet2!$V$4:$W$7)</f>
        <v>0.0 - 0.249</v>
      </c>
      <c r="S891" t="str">
        <f>LOOKUP(H891,Sheet2!$Z$4:$AA$7)</f>
        <v>26-35</v>
      </c>
      <c r="T891" t="str">
        <f t="shared" si="39"/>
        <v>Positive</v>
      </c>
      <c r="U891" t="str">
        <f t="shared" si="40"/>
        <v>Not Sampled</v>
      </c>
      <c r="V891" s="1" t="str">
        <f t="shared" si="41"/>
        <v>Not Sampled</v>
      </c>
    </row>
    <row r="892" spans="1:22" x14ac:dyDescent="0.25">
      <c r="A892" s="1">
        <v>1</v>
      </c>
      <c r="B892" s="1">
        <v>119</v>
      </c>
      <c r="C892" s="1">
        <v>88</v>
      </c>
      <c r="D892" s="1">
        <v>41</v>
      </c>
      <c r="E892" s="1">
        <v>170</v>
      </c>
      <c r="F892" s="1">
        <v>45.3</v>
      </c>
      <c r="G892" s="1">
        <v>0.50700000000000001</v>
      </c>
      <c r="H892" s="1">
        <v>26</v>
      </c>
      <c r="I892" s="1">
        <v>0</v>
      </c>
      <c r="J892" s="1" t="str">
        <f>IFERROR(VLOOKUP(K892,[1]diabetes_Recognition!$A:$B,2,FALSE),"Not Sampled")</f>
        <v>Not Sampled</v>
      </c>
      <c r="K892" s="1">
        <v>890</v>
      </c>
      <c r="L892" s="1">
        <f>LOOKUP(A892,Sheet2!$D$4:$E$9)</f>
        <v>1</v>
      </c>
      <c r="M892" t="str">
        <f>LOOKUP(B892,Sheet2!$G$4:$H$9)</f>
        <v>100-125</v>
      </c>
      <c r="N892" t="str">
        <f>LOOKUP(C892,Sheet2!$J$4:$K$8)</f>
        <v>80+</v>
      </c>
      <c r="O892" t="str">
        <f>LOOKUP(D892,Sheet2!$M$4:$N$8)</f>
        <v>40+</v>
      </c>
      <c r="P892" t="str">
        <f>LOOKUP(E892,Sheet2!$P$4:$Q$9)</f>
        <v>100-199</v>
      </c>
      <c r="Q892" t="str">
        <f>LOOKUP(F892,Sheet2!$S$4:$T$8)</f>
        <v>36+</v>
      </c>
      <c r="R892" t="str">
        <f>LOOKUP(G892,Sheet2!$V$4:$W$7)</f>
        <v>0.4 - 0.69</v>
      </c>
      <c r="S892" t="str">
        <f>LOOKUP(H892,Sheet2!$Z$4:$AA$7)</f>
        <v>26-35</v>
      </c>
      <c r="T892" t="str">
        <f t="shared" si="39"/>
        <v>Negative</v>
      </c>
      <c r="U892" t="str">
        <f t="shared" si="40"/>
        <v>Not Sampled</v>
      </c>
      <c r="V892" s="1" t="str">
        <f t="shared" si="41"/>
        <v>Not Sampled</v>
      </c>
    </row>
    <row r="893" spans="1:22" x14ac:dyDescent="0.25">
      <c r="A893" s="1">
        <v>2</v>
      </c>
      <c r="B893" s="1">
        <v>94</v>
      </c>
      <c r="C893" s="1">
        <v>68</v>
      </c>
      <c r="D893" s="1">
        <v>18</v>
      </c>
      <c r="E893" s="1">
        <v>76</v>
      </c>
      <c r="F893" s="1">
        <v>26</v>
      </c>
      <c r="G893" s="1">
        <v>0.56100000000000005</v>
      </c>
      <c r="H893" s="1">
        <v>21</v>
      </c>
      <c r="I893" s="1">
        <v>0</v>
      </c>
      <c r="J893" s="1" t="str">
        <f>IFERROR(VLOOKUP(K893,[1]diabetes_Recognition!$A:$B,2,FALSE),"Not Sampled")</f>
        <v>Not Sampled</v>
      </c>
      <c r="K893" s="1">
        <v>891</v>
      </c>
      <c r="L893" s="1">
        <f>LOOKUP(A893,Sheet2!$D$4:$E$9)</f>
        <v>2</v>
      </c>
      <c r="M893" t="str">
        <f>LOOKUP(B893,Sheet2!$G$4:$H$9)</f>
        <v>1-99</v>
      </c>
      <c r="N893" t="str">
        <f>LOOKUP(C893,Sheet2!$J$4:$K$8)</f>
        <v>60-69</v>
      </c>
      <c r="O893" t="str">
        <f>LOOKUP(D893,Sheet2!$M$4:$N$8)</f>
        <v>10-30</v>
      </c>
      <c r="P893" t="str">
        <f>LOOKUP(E893,Sheet2!$P$4:$Q$9)</f>
        <v>1-99</v>
      </c>
      <c r="Q893" t="str">
        <f>LOOKUP(F893,Sheet2!$S$4:$T$8)</f>
        <v>26-30</v>
      </c>
      <c r="R893" t="str">
        <f>LOOKUP(G893,Sheet2!$V$4:$W$7)</f>
        <v>0.4 - 0.69</v>
      </c>
      <c r="S893" t="str">
        <f>LOOKUP(H893,Sheet2!$Z$4:$AA$7)</f>
        <v>&lt;=25</v>
      </c>
      <c r="T893" t="str">
        <f t="shared" si="39"/>
        <v>Negative</v>
      </c>
      <c r="U893" t="str">
        <f t="shared" si="40"/>
        <v>Not Sampled</v>
      </c>
      <c r="V893" s="1" t="str">
        <f t="shared" si="41"/>
        <v>Not Sampled</v>
      </c>
    </row>
    <row r="894" spans="1:22" x14ac:dyDescent="0.25">
      <c r="A894" s="1">
        <v>0</v>
      </c>
      <c r="B894" s="1">
        <v>102</v>
      </c>
      <c r="C894" s="1">
        <v>64</v>
      </c>
      <c r="D894" s="1">
        <v>46</v>
      </c>
      <c r="E894" s="1">
        <v>78</v>
      </c>
      <c r="F894" s="1">
        <v>40.6</v>
      </c>
      <c r="G894" s="1">
        <v>0.496</v>
      </c>
      <c r="H894" s="1">
        <v>21</v>
      </c>
      <c r="I894" s="1">
        <v>0</v>
      </c>
      <c r="J894" s="1" t="str">
        <f>IFERROR(VLOOKUP(K894,[1]diabetes_Recognition!$A:$B,2,FALSE),"Not Sampled")</f>
        <v>Not Sampled</v>
      </c>
      <c r="K894" s="1">
        <v>892</v>
      </c>
      <c r="L894" s="1">
        <f>LOOKUP(A894,Sheet2!$D$4:$E$9)</f>
        <v>0</v>
      </c>
      <c r="M894" t="str">
        <f>LOOKUP(B894,Sheet2!$G$4:$H$9)</f>
        <v>100-125</v>
      </c>
      <c r="N894" t="str">
        <f>LOOKUP(C894,Sheet2!$J$4:$K$8)</f>
        <v>60-69</v>
      </c>
      <c r="O894" t="str">
        <f>LOOKUP(D894,Sheet2!$M$4:$N$8)</f>
        <v>40+</v>
      </c>
      <c r="P894" t="str">
        <f>LOOKUP(E894,Sheet2!$P$4:$Q$9)</f>
        <v>1-99</v>
      </c>
      <c r="Q894" t="str">
        <f>LOOKUP(F894,Sheet2!$S$4:$T$8)</f>
        <v>36+</v>
      </c>
      <c r="R894" t="str">
        <f>LOOKUP(G894,Sheet2!$V$4:$W$7)</f>
        <v>0.4 - 0.69</v>
      </c>
      <c r="S894" t="str">
        <f>LOOKUP(H894,Sheet2!$Z$4:$AA$7)</f>
        <v>&lt;=25</v>
      </c>
      <c r="T894" t="str">
        <f t="shared" si="39"/>
        <v>Negative</v>
      </c>
      <c r="U894" t="str">
        <f t="shared" si="40"/>
        <v>Not Sampled</v>
      </c>
      <c r="V894" s="1" t="str">
        <f t="shared" si="41"/>
        <v>Not Sampled</v>
      </c>
    </row>
    <row r="895" spans="1:22" x14ac:dyDescent="0.25">
      <c r="A895" s="1">
        <v>2</v>
      </c>
      <c r="B895" s="1">
        <v>115</v>
      </c>
      <c r="C895" s="1">
        <v>64</v>
      </c>
      <c r="D895" s="1">
        <v>22</v>
      </c>
      <c r="E895" s="1">
        <v>0</v>
      </c>
      <c r="F895" s="1">
        <v>30.8</v>
      </c>
      <c r="G895" s="1">
        <v>0.42099999999999999</v>
      </c>
      <c r="H895" s="1">
        <v>21</v>
      </c>
      <c r="I895" s="1">
        <v>0</v>
      </c>
      <c r="J895" s="1" t="str">
        <f>IFERROR(VLOOKUP(K895,[1]diabetes_Recognition!$A:$B,2,FALSE),"Not Sampled")</f>
        <v>Not Sampled</v>
      </c>
      <c r="K895" s="1">
        <v>893</v>
      </c>
      <c r="L895" s="1">
        <f>LOOKUP(A895,Sheet2!$D$4:$E$9)</f>
        <v>2</v>
      </c>
      <c r="M895" t="str">
        <f>LOOKUP(B895,Sheet2!$G$4:$H$9)</f>
        <v>100-125</v>
      </c>
      <c r="N895" t="str">
        <f>LOOKUP(C895,Sheet2!$J$4:$K$8)</f>
        <v>60-69</v>
      </c>
      <c r="O895" t="str">
        <f>LOOKUP(D895,Sheet2!$M$4:$N$8)</f>
        <v>10-30</v>
      </c>
      <c r="P895" t="str">
        <f>LOOKUP(E895,Sheet2!$P$4:$Q$9)</f>
        <v>Unknown</v>
      </c>
      <c r="Q895" t="str">
        <f>LOOKUP(F895,Sheet2!$S$4:$T$8)</f>
        <v>26-30</v>
      </c>
      <c r="R895" t="str">
        <f>LOOKUP(G895,Sheet2!$V$4:$W$7)</f>
        <v>0.4 - 0.69</v>
      </c>
      <c r="S895" t="str">
        <f>LOOKUP(H895,Sheet2!$Z$4:$AA$7)</f>
        <v>&lt;=25</v>
      </c>
      <c r="T895" t="str">
        <f t="shared" si="39"/>
        <v>Negative</v>
      </c>
      <c r="U895" t="str">
        <f t="shared" si="40"/>
        <v>Not Sampled</v>
      </c>
      <c r="V895" s="1" t="str">
        <f t="shared" si="41"/>
        <v>Not Sampled</v>
      </c>
    </row>
    <row r="896" spans="1:22" x14ac:dyDescent="0.25">
      <c r="A896" s="1">
        <v>8</v>
      </c>
      <c r="B896" s="1">
        <v>151</v>
      </c>
      <c r="C896" s="1">
        <v>78</v>
      </c>
      <c r="D896" s="1">
        <v>32</v>
      </c>
      <c r="E896" s="1">
        <v>210</v>
      </c>
      <c r="F896" s="1">
        <v>42.9</v>
      </c>
      <c r="G896" s="1">
        <v>0.51600000000000001</v>
      </c>
      <c r="H896" s="1">
        <v>36</v>
      </c>
      <c r="I896" s="1">
        <v>1</v>
      </c>
      <c r="J896" s="1" t="str">
        <f>IFERROR(VLOOKUP(K896,[1]diabetes_Recognition!$A:$B,2,FALSE),"Not Sampled")</f>
        <v>Not Sampled</v>
      </c>
      <c r="K896" s="1">
        <v>894</v>
      </c>
      <c r="L896" s="1" t="str">
        <f>LOOKUP(A896,Sheet2!$D$4:$E$9)</f>
        <v>8+</v>
      </c>
      <c r="M896" t="str">
        <f>LOOKUP(B896,Sheet2!$G$4:$H$9)</f>
        <v>151-175</v>
      </c>
      <c r="N896" t="str">
        <f>LOOKUP(C896,Sheet2!$J$4:$K$8)</f>
        <v>70-79</v>
      </c>
      <c r="O896" t="str">
        <f>LOOKUP(D896,Sheet2!$M$4:$N$8)</f>
        <v>30-39</v>
      </c>
      <c r="P896" t="str">
        <f>LOOKUP(E896,Sheet2!$P$4:$Q$9)</f>
        <v>200-399</v>
      </c>
      <c r="Q896" t="str">
        <f>LOOKUP(F896,Sheet2!$S$4:$T$8)</f>
        <v>36+</v>
      </c>
      <c r="R896" t="str">
        <f>LOOKUP(G896,Sheet2!$V$4:$W$7)</f>
        <v>0.4 - 0.69</v>
      </c>
      <c r="S896" t="str">
        <f>LOOKUP(H896,Sheet2!$Z$4:$AA$7)</f>
        <v>36-45</v>
      </c>
      <c r="T896" t="str">
        <f t="shared" si="39"/>
        <v>Positive</v>
      </c>
      <c r="U896" t="str">
        <f t="shared" si="40"/>
        <v>Not Sampled</v>
      </c>
      <c r="V896" s="1" t="str">
        <f t="shared" si="41"/>
        <v>Not Sampled</v>
      </c>
    </row>
    <row r="897" spans="1:22" x14ac:dyDescent="0.25">
      <c r="A897" s="1">
        <v>4</v>
      </c>
      <c r="B897" s="1">
        <v>184</v>
      </c>
      <c r="C897" s="1">
        <v>78</v>
      </c>
      <c r="D897" s="1">
        <v>39</v>
      </c>
      <c r="E897" s="1">
        <v>277</v>
      </c>
      <c r="F897" s="1">
        <v>37</v>
      </c>
      <c r="G897" s="1">
        <v>0.26400000000000001</v>
      </c>
      <c r="H897" s="1">
        <v>31</v>
      </c>
      <c r="I897" s="1">
        <v>1</v>
      </c>
      <c r="J897" s="1" t="str">
        <f>IFERROR(VLOOKUP(K897,[1]diabetes_Recognition!$A:$B,2,FALSE),"Not Sampled")</f>
        <v>Not Sampled</v>
      </c>
      <c r="K897" s="1">
        <v>895</v>
      </c>
      <c r="L897" s="1" t="str">
        <f>LOOKUP(A897,Sheet2!$D$4:$E$9)</f>
        <v>3-4</v>
      </c>
      <c r="M897" t="str">
        <f>LOOKUP(B897,Sheet2!$G$4:$H$9)</f>
        <v>176-200</v>
      </c>
      <c r="N897" t="str">
        <f>LOOKUP(C897,Sheet2!$J$4:$K$8)</f>
        <v>70-79</v>
      </c>
      <c r="O897" t="str">
        <f>LOOKUP(D897,Sheet2!$M$4:$N$8)</f>
        <v>30-39</v>
      </c>
      <c r="P897" t="str">
        <f>LOOKUP(E897,Sheet2!$P$4:$Q$9)</f>
        <v>200-399</v>
      </c>
      <c r="Q897" t="str">
        <f>LOOKUP(F897,Sheet2!$S$4:$T$8)</f>
        <v>36+</v>
      </c>
      <c r="R897" t="str">
        <f>LOOKUP(G897,Sheet2!$V$4:$W$7)</f>
        <v>0.25 - 0.39</v>
      </c>
      <c r="S897" t="str">
        <f>LOOKUP(H897,Sheet2!$Z$4:$AA$7)</f>
        <v>26-35</v>
      </c>
      <c r="T897" t="str">
        <f t="shared" si="39"/>
        <v>Positive</v>
      </c>
      <c r="U897" t="str">
        <f t="shared" si="40"/>
        <v>Not Sampled</v>
      </c>
      <c r="V897" s="1" t="str">
        <f t="shared" si="41"/>
        <v>Not Sampled</v>
      </c>
    </row>
    <row r="898" spans="1:22" x14ac:dyDescent="0.25">
      <c r="A898" s="1">
        <v>0</v>
      </c>
      <c r="B898" s="1">
        <v>94</v>
      </c>
      <c r="C898" s="1">
        <v>0</v>
      </c>
      <c r="D898" s="1">
        <v>0</v>
      </c>
      <c r="E898" s="1">
        <v>0</v>
      </c>
      <c r="F898" s="1">
        <v>0</v>
      </c>
      <c r="G898" s="1">
        <v>0.25600000000000001</v>
      </c>
      <c r="H898" s="1">
        <v>25</v>
      </c>
      <c r="I898" s="1">
        <v>0</v>
      </c>
      <c r="J898" s="1" t="str">
        <f>IFERROR(VLOOKUP(K898,[1]diabetes_Recognition!$A:$B,2,FALSE),"Not Sampled")</f>
        <v>Not Sampled</v>
      </c>
      <c r="K898" s="1">
        <v>896</v>
      </c>
      <c r="L898" s="1">
        <f>LOOKUP(A898,Sheet2!$D$4:$E$9)</f>
        <v>0</v>
      </c>
      <c r="M898" t="str">
        <f>LOOKUP(B898,Sheet2!$G$4:$H$9)</f>
        <v>1-99</v>
      </c>
      <c r="N898" t="str">
        <f>LOOKUP(C898,Sheet2!$J$4:$K$8)</f>
        <v>Unknown</v>
      </c>
      <c r="O898" t="str">
        <f>LOOKUP(D898,Sheet2!$M$4:$N$8)</f>
        <v>Unknown</v>
      </c>
      <c r="P898" t="str">
        <f>LOOKUP(E898,Sheet2!$P$4:$Q$9)</f>
        <v>Unknown</v>
      </c>
      <c r="Q898" t="str">
        <f>LOOKUP(F898,Sheet2!$S$4:$T$8)</f>
        <v>Unknown</v>
      </c>
      <c r="R898" t="str">
        <f>LOOKUP(G898,Sheet2!$V$4:$W$7)</f>
        <v>0.25 - 0.39</v>
      </c>
      <c r="S898" t="str">
        <f>LOOKUP(H898,Sheet2!$Z$4:$AA$7)</f>
        <v>&lt;=25</v>
      </c>
      <c r="T898" t="str">
        <f t="shared" si="39"/>
        <v>Negative</v>
      </c>
      <c r="U898" t="str">
        <f t="shared" si="40"/>
        <v>Not Sampled</v>
      </c>
      <c r="V898" s="1" t="str">
        <f t="shared" si="41"/>
        <v>Not Sampled</v>
      </c>
    </row>
    <row r="899" spans="1:22" x14ac:dyDescent="0.25">
      <c r="A899" s="1">
        <v>1</v>
      </c>
      <c r="B899" s="1">
        <v>181</v>
      </c>
      <c r="C899" s="1">
        <v>64</v>
      </c>
      <c r="D899" s="1">
        <v>30</v>
      </c>
      <c r="E899" s="1">
        <v>180</v>
      </c>
      <c r="F899" s="1">
        <v>34.1</v>
      </c>
      <c r="G899" s="1">
        <v>0.32800000000000001</v>
      </c>
      <c r="H899" s="1">
        <v>38</v>
      </c>
      <c r="I899" s="1">
        <v>1</v>
      </c>
      <c r="J899" s="1" t="str">
        <f>IFERROR(VLOOKUP(K899,[1]diabetes_Recognition!$A:$B,2,FALSE),"Not Sampled")</f>
        <v>Not Sampled</v>
      </c>
      <c r="K899" s="1">
        <v>897</v>
      </c>
      <c r="L899" s="1">
        <f>LOOKUP(A899,Sheet2!$D$4:$E$9)</f>
        <v>1</v>
      </c>
      <c r="M899" t="str">
        <f>LOOKUP(B899,Sheet2!$G$4:$H$9)</f>
        <v>176-200</v>
      </c>
      <c r="N899" t="str">
        <f>LOOKUP(C899,Sheet2!$J$4:$K$8)</f>
        <v>60-69</v>
      </c>
      <c r="O899" t="str">
        <f>LOOKUP(D899,Sheet2!$M$4:$N$8)</f>
        <v>30-39</v>
      </c>
      <c r="P899" t="str">
        <f>LOOKUP(E899,Sheet2!$P$4:$Q$9)</f>
        <v>100-199</v>
      </c>
      <c r="Q899" t="str">
        <f>LOOKUP(F899,Sheet2!$S$4:$T$8)</f>
        <v>31-35</v>
      </c>
      <c r="R899" t="str">
        <f>LOOKUP(G899,Sheet2!$V$4:$W$7)</f>
        <v>0.25 - 0.39</v>
      </c>
      <c r="S899" t="str">
        <f>LOOKUP(H899,Sheet2!$Z$4:$AA$7)</f>
        <v>36-45</v>
      </c>
      <c r="T899" t="str">
        <f t="shared" ref="T899:T962" si="42">IF(I899=1,"Positive","Negative")</f>
        <v>Positive</v>
      </c>
      <c r="U899" t="str">
        <f t="shared" ref="U899:U962" si="43">IF(J899=1,"Positive",(IF(J899=0,"Negative","Not Sampled")))</f>
        <v>Not Sampled</v>
      </c>
      <c r="V899" s="1" t="str">
        <f t="shared" ref="V899:V962" si="44">IF(U899="Not Sampled","Not Sampled",IF(T899=U899,"Accurate Prediction","Inaccurate Prediction"))</f>
        <v>Not Sampled</v>
      </c>
    </row>
    <row r="900" spans="1:22" x14ac:dyDescent="0.25">
      <c r="A900" s="1">
        <v>0</v>
      </c>
      <c r="B900" s="1">
        <v>135</v>
      </c>
      <c r="C900" s="1">
        <v>94</v>
      </c>
      <c r="D900" s="1">
        <v>46</v>
      </c>
      <c r="E900" s="1">
        <v>145</v>
      </c>
      <c r="F900" s="1">
        <v>40.6</v>
      </c>
      <c r="G900" s="1">
        <v>0.28399999999999997</v>
      </c>
      <c r="H900" s="1">
        <v>26</v>
      </c>
      <c r="I900" s="1">
        <v>0</v>
      </c>
      <c r="J900" s="1" t="str">
        <f>IFERROR(VLOOKUP(K900,[1]diabetes_Recognition!$A:$B,2,FALSE),"Not Sampled")</f>
        <v>Not Sampled</v>
      </c>
      <c r="K900" s="1">
        <v>898</v>
      </c>
      <c r="L900" s="1">
        <f>LOOKUP(A900,Sheet2!$D$4:$E$9)</f>
        <v>0</v>
      </c>
      <c r="M900" t="str">
        <f>LOOKUP(B900,Sheet2!$G$4:$H$9)</f>
        <v>126-150</v>
      </c>
      <c r="N900" t="str">
        <f>LOOKUP(C900,Sheet2!$J$4:$K$8)</f>
        <v>80+</v>
      </c>
      <c r="O900" t="str">
        <f>LOOKUP(D900,Sheet2!$M$4:$N$8)</f>
        <v>40+</v>
      </c>
      <c r="P900" t="str">
        <f>LOOKUP(E900,Sheet2!$P$4:$Q$9)</f>
        <v>100-199</v>
      </c>
      <c r="Q900" t="str">
        <f>LOOKUP(F900,Sheet2!$S$4:$T$8)</f>
        <v>36+</v>
      </c>
      <c r="R900" t="str">
        <f>LOOKUP(G900,Sheet2!$V$4:$W$7)</f>
        <v>0.25 - 0.39</v>
      </c>
      <c r="S900" t="str">
        <f>LOOKUP(H900,Sheet2!$Z$4:$AA$7)</f>
        <v>26-35</v>
      </c>
      <c r="T900" t="str">
        <f t="shared" si="42"/>
        <v>Negative</v>
      </c>
      <c r="U900" t="str">
        <f t="shared" si="43"/>
        <v>Not Sampled</v>
      </c>
      <c r="V900" s="1" t="str">
        <f t="shared" si="44"/>
        <v>Not Sampled</v>
      </c>
    </row>
    <row r="901" spans="1:22" x14ac:dyDescent="0.25">
      <c r="A901" s="1">
        <v>1</v>
      </c>
      <c r="B901" s="1">
        <v>95</v>
      </c>
      <c r="C901" s="1">
        <v>82</v>
      </c>
      <c r="D901" s="1">
        <v>25</v>
      </c>
      <c r="E901" s="1">
        <v>180</v>
      </c>
      <c r="F901" s="1">
        <v>35</v>
      </c>
      <c r="G901" s="1">
        <v>0.23300000000000001</v>
      </c>
      <c r="H901" s="1">
        <v>43</v>
      </c>
      <c r="I901" s="1">
        <v>1</v>
      </c>
      <c r="J901" s="1">
        <f>IFERROR(VLOOKUP(K901,[1]diabetes_Recognition!$A:$B,2,FALSE),"Not Sampled")</f>
        <v>0</v>
      </c>
      <c r="K901" s="1">
        <v>899</v>
      </c>
      <c r="L901" s="1">
        <f>LOOKUP(A901,Sheet2!$D$4:$E$9)</f>
        <v>1</v>
      </c>
      <c r="M901" t="str">
        <f>LOOKUP(B901,Sheet2!$G$4:$H$9)</f>
        <v>1-99</v>
      </c>
      <c r="N901" t="str">
        <f>LOOKUP(C901,Sheet2!$J$4:$K$8)</f>
        <v>80+</v>
      </c>
      <c r="O901" t="str">
        <f>LOOKUP(D901,Sheet2!$M$4:$N$8)</f>
        <v>10-30</v>
      </c>
      <c r="P901" t="str">
        <f>LOOKUP(E901,Sheet2!$P$4:$Q$9)</f>
        <v>100-199</v>
      </c>
      <c r="Q901" t="str">
        <f>LOOKUP(F901,Sheet2!$S$4:$T$8)</f>
        <v>31-35</v>
      </c>
      <c r="R901" t="str">
        <f>LOOKUP(G901,Sheet2!$V$4:$W$7)</f>
        <v>0.0 - 0.249</v>
      </c>
      <c r="S901" t="str">
        <f>LOOKUP(H901,Sheet2!$Z$4:$AA$7)</f>
        <v>36-45</v>
      </c>
      <c r="T901" t="str">
        <f t="shared" si="42"/>
        <v>Positive</v>
      </c>
      <c r="U901" t="str">
        <f t="shared" si="43"/>
        <v>Negative</v>
      </c>
      <c r="V901" s="1" t="str">
        <f t="shared" si="44"/>
        <v>Inaccurate Prediction</v>
      </c>
    </row>
    <row r="902" spans="1:22" x14ac:dyDescent="0.25">
      <c r="A902" s="1">
        <v>2</v>
      </c>
      <c r="B902" s="1">
        <v>99</v>
      </c>
      <c r="C902" s="1">
        <v>0</v>
      </c>
      <c r="D902" s="1">
        <v>0</v>
      </c>
      <c r="E902" s="1">
        <v>0</v>
      </c>
      <c r="F902" s="1">
        <v>22.2</v>
      </c>
      <c r="G902" s="1">
        <v>0.108</v>
      </c>
      <c r="H902" s="1">
        <v>23</v>
      </c>
      <c r="I902" s="1">
        <v>0</v>
      </c>
      <c r="J902" s="1">
        <f>IFERROR(VLOOKUP(K902,[1]diabetes_Recognition!$A:$B,2,FALSE),"Not Sampled")</f>
        <v>0</v>
      </c>
      <c r="K902" s="1">
        <v>900</v>
      </c>
      <c r="L902" s="1">
        <f>LOOKUP(A902,Sheet2!$D$4:$E$9)</f>
        <v>2</v>
      </c>
      <c r="M902" t="str">
        <f>LOOKUP(B902,Sheet2!$G$4:$H$9)</f>
        <v>1-99</v>
      </c>
      <c r="N902" t="str">
        <f>LOOKUP(C902,Sheet2!$J$4:$K$8)</f>
        <v>Unknown</v>
      </c>
      <c r="O902" t="str">
        <f>LOOKUP(D902,Sheet2!$M$4:$N$8)</f>
        <v>Unknown</v>
      </c>
      <c r="P902" t="str">
        <f>LOOKUP(E902,Sheet2!$P$4:$Q$9)</f>
        <v>Unknown</v>
      </c>
      <c r="Q902" t="str">
        <f>LOOKUP(F902,Sheet2!$S$4:$T$8)</f>
        <v>1-25</v>
      </c>
      <c r="R902" t="str">
        <f>LOOKUP(G902,Sheet2!$V$4:$W$7)</f>
        <v>0.0 - 0.249</v>
      </c>
      <c r="S902" t="str">
        <f>LOOKUP(H902,Sheet2!$Z$4:$AA$7)</f>
        <v>&lt;=25</v>
      </c>
      <c r="T902" t="str">
        <f t="shared" si="42"/>
        <v>Negative</v>
      </c>
      <c r="U902" t="str">
        <f t="shared" si="43"/>
        <v>Negative</v>
      </c>
      <c r="V902" s="1" t="str">
        <f t="shared" si="44"/>
        <v>Accurate Prediction</v>
      </c>
    </row>
    <row r="903" spans="1:22" x14ac:dyDescent="0.25">
      <c r="A903" s="1">
        <v>3</v>
      </c>
      <c r="B903" s="1">
        <v>89</v>
      </c>
      <c r="C903" s="1">
        <v>74</v>
      </c>
      <c r="D903" s="1">
        <v>16</v>
      </c>
      <c r="E903" s="1">
        <v>85</v>
      </c>
      <c r="F903" s="1">
        <v>30.4</v>
      </c>
      <c r="G903" s="1">
        <v>0.55100000000000005</v>
      </c>
      <c r="H903" s="1">
        <v>38</v>
      </c>
      <c r="I903" s="1">
        <v>0</v>
      </c>
      <c r="J903" s="1" t="str">
        <f>IFERROR(VLOOKUP(K903,[1]diabetes_Recognition!$A:$B,2,FALSE),"Not Sampled")</f>
        <v>Not Sampled</v>
      </c>
      <c r="K903" s="1">
        <v>901</v>
      </c>
      <c r="L903" s="1" t="str">
        <f>LOOKUP(A903,Sheet2!$D$4:$E$9)</f>
        <v>3-4</v>
      </c>
      <c r="M903" t="str">
        <f>LOOKUP(B903,Sheet2!$G$4:$H$9)</f>
        <v>1-99</v>
      </c>
      <c r="N903" t="str">
        <f>LOOKUP(C903,Sheet2!$J$4:$K$8)</f>
        <v>70-79</v>
      </c>
      <c r="O903" t="str">
        <f>LOOKUP(D903,Sheet2!$M$4:$N$8)</f>
        <v>10-30</v>
      </c>
      <c r="P903" t="str">
        <f>LOOKUP(E903,Sheet2!$P$4:$Q$9)</f>
        <v>1-99</v>
      </c>
      <c r="Q903" t="str">
        <f>LOOKUP(F903,Sheet2!$S$4:$T$8)</f>
        <v>26-30</v>
      </c>
      <c r="R903" t="str">
        <f>LOOKUP(G903,Sheet2!$V$4:$W$7)</f>
        <v>0.4 - 0.69</v>
      </c>
      <c r="S903" t="str">
        <f>LOOKUP(H903,Sheet2!$Z$4:$AA$7)</f>
        <v>36-45</v>
      </c>
      <c r="T903" t="str">
        <f t="shared" si="42"/>
        <v>Negative</v>
      </c>
      <c r="U903" t="str">
        <f t="shared" si="43"/>
        <v>Not Sampled</v>
      </c>
      <c r="V903" s="1" t="str">
        <f t="shared" si="44"/>
        <v>Not Sampled</v>
      </c>
    </row>
    <row r="904" spans="1:22" x14ac:dyDescent="0.25">
      <c r="A904" s="1">
        <v>1</v>
      </c>
      <c r="B904" s="1">
        <v>80</v>
      </c>
      <c r="C904" s="1">
        <v>74</v>
      </c>
      <c r="D904" s="1">
        <v>11</v>
      </c>
      <c r="E904" s="1">
        <v>60</v>
      </c>
      <c r="F904" s="1">
        <v>30</v>
      </c>
      <c r="G904" s="1">
        <v>0.52700000000000002</v>
      </c>
      <c r="H904" s="1">
        <v>22</v>
      </c>
      <c r="I904" s="1">
        <v>0</v>
      </c>
      <c r="J904" s="1">
        <f>IFERROR(VLOOKUP(K904,[1]diabetes_Recognition!$A:$B,2,FALSE),"Not Sampled")</f>
        <v>0</v>
      </c>
      <c r="K904" s="1">
        <v>902</v>
      </c>
      <c r="L904" s="1">
        <f>LOOKUP(A904,Sheet2!$D$4:$E$9)</f>
        <v>1</v>
      </c>
      <c r="M904" t="str">
        <f>LOOKUP(B904,Sheet2!$G$4:$H$9)</f>
        <v>1-99</v>
      </c>
      <c r="N904" t="str">
        <f>LOOKUP(C904,Sheet2!$J$4:$K$8)</f>
        <v>70-79</v>
      </c>
      <c r="O904" t="str">
        <f>LOOKUP(D904,Sheet2!$M$4:$N$8)</f>
        <v>10-30</v>
      </c>
      <c r="P904" t="str">
        <f>LOOKUP(E904,Sheet2!$P$4:$Q$9)</f>
        <v>1-99</v>
      </c>
      <c r="Q904" t="str">
        <f>LOOKUP(F904,Sheet2!$S$4:$T$8)</f>
        <v>26-30</v>
      </c>
      <c r="R904" t="str">
        <f>LOOKUP(G904,Sheet2!$V$4:$W$7)</f>
        <v>0.4 - 0.69</v>
      </c>
      <c r="S904" t="str">
        <f>LOOKUP(H904,Sheet2!$Z$4:$AA$7)</f>
        <v>&lt;=25</v>
      </c>
      <c r="T904" t="str">
        <f t="shared" si="42"/>
        <v>Negative</v>
      </c>
      <c r="U904" t="str">
        <f t="shared" si="43"/>
        <v>Negative</v>
      </c>
      <c r="V904" s="1" t="str">
        <f t="shared" si="44"/>
        <v>Accurate Prediction</v>
      </c>
    </row>
    <row r="905" spans="1:22" x14ac:dyDescent="0.25">
      <c r="A905" s="1">
        <v>2</v>
      </c>
      <c r="B905" s="1">
        <v>139</v>
      </c>
      <c r="C905" s="1">
        <v>75</v>
      </c>
      <c r="D905" s="1">
        <v>0</v>
      </c>
      <c r="E905" s="1">
        <v>0</v>
      </c>
      <c r="F905" s="1">
        <v>25.6</v>
      </c>
      <c r="G905" s="1">
        <v>0.16700000000000001</v>
      </c>
      <c r="H905" s="1">
        <v>29</v>
      </c>
      <c r="I905" s="1">
        <v>0</v>
      </c>
      <c r="J905" s="1" t="str">
        <f>IFERROR(VLOOKUP(K905,[1]diabetes_Recognition!$A:$B,2,FALSE),"Not Sampled")</f>
        <v>Not Sampled</v>
      </c>
      <c r="K905" s="1">
        <v>903</v>
      </c>
      <c r="L905" s="1">
        <f>LOOKUP(A905,Sheet2!$D$4:$E$9)</f>
        <v>2</v>
      </c>
      <c r="M905" t="str">
        <f>LOOKUP(B905,Sheet2!$G$4:$H$9)</f>
        <v>126-150</v>
      </c>
      <c r="N905" t="str">
        <f>LOOKUP(C905,Sheet2!$J$4:$K$8)</f>
        <v>70-79</v>
      </c>
      <c r="O905" t="str">
        <f>LOOKUP(D905,Sheet2!$M$4:$N$8)</f>
        <v>Unknown</v>
      </c>
      <c r="P905" t="str">
        <f>LOOKUP(E905,Sheet2!$P$4:$Q$9)</f>
        <v>Unknown</v>
      </c>
      <c r="Q905" t="str">
        <f>LOOKUP(F905,Sheet2!$S$4:$T$8)</f>
        <v>1-25</v>
      </c>
      <c r="R905" t="str">
        <f>LOOKUP(G905,Sheet2!$V$4:$W$7)</f>
        <v>0.0 - 0.249</v>
      </c>
      <c r="S905" t="str">
        <f>LOOKUP(H905,Sheet2!$Z$4:$AA$7)</f>
        <v>26-35</v>
      </c>
      <c r="T905" t="str">
        <f t="shared" si="42"/>
        <v>Negative</v>
      </c>
      <c r="U905" t="str">
        <f t="shared" si="43"/>
        <v>Not Sampled</v>
      </c>
      <c r="V905" s="1" t="str">
        <f t="shared" si="44"/>
        <v>Not Sampled</v>
      </c>
    </row>
    <row r="906" spans="1:22" x14ac:dyDescent="0.25">
      <c r="A906" s="1">
        <v>1</v>
      </c>
      <c r="B906" s="1">
        <v>90</v>
      </c>
      <c r="C906" s="1">
        <v>68</v>
      </c>
      <c r="D906" s="1">
        <v>8</v>
      </c>
      <c r="E906" s="1">
        <v>0</v>
      </c>
      <c r="F906" s="1">
        <v>24.5</v>
      </c>
      <c r="G906" s="1">
        <v>1.1379999999999999</v>
      </c>
      <c r="H906" s="1">
        <v>36</v>
      </c>
      <c r="I906" s="1">
        <v>0</v>
      </c>
      <c r="J906" s="1" t="str">
        <f>IFERROR(VLOOKUP(K906,[1]diabetes_Recognition!$A:$B,2,FALSE),"Not Sampled")</f>
        <v>Not Sampled</v>
      </c>
      <c r="K906" s="1">
        <v>904</v>
      </c>
      <c r="L906" s="1">
        <f>LOOKUP(A906,Sheet2!$D$4:$E$9)</f>
        <v>1</v>
      </c>
      <c r="M906" t="str">
        <f>LOOKUP(B906,Sheet2!$G$4:$H$9)</f>
        <v>1-99</v>
      </c>
      <c r="N906" t="str">
        <f>LOOKUP(C906,Sheet2!$J$4:$K$8)</f>
        <v>60-69</v>
      </c>
      <c r="O906" t="str">
        <f>LOOKUP(D906,Sheet2!$M$4:$N$8)</f>
        <v>1-10</v>
      </c>
      <c r="P906" t="str">
        <f>LOOKUP(E906,Sheet2!$P$4:$Q$9)</f>
        <v>Unknown</v>
      </c>
      <c r="Q906" t="str">
        <f>LOOKUP(F906,Sheet2!$S$4:$T$8)</f>
        <v>1-25</v>
      </c>
      <c r="R906" t="str">
        <f>LOOKUP(G906,Sheet2!$V$4:$W$7)</f>
        <v>0.7+</v>
      </c>
      <c r="S906" t="str">
        <f>LOOKUP(H906,Sheet2!$Z$4:$AA$7)</f>
        <v>36-45</v>
      </c>
      <c r="T906" t="str">
        <f t="shared" si="42"/>
        <v>Negative</v>
      </c>
      <c r="U906" t="str">
        <f t="shared" si="43"/>
        <v>Not Sampled</v>
      </c>
      <c r="V906" s="1" t="str">
        <f t="shared" si="44"/>
        <v>Not Sampled</v>
      </c>
    </row>
    <row r="907" spans="1:22" x14ac:dyDescent="0.25">
      <c r="A907" s="1">
        <v>0</v>
      </c>
      <c r="B907" s="1">
        <v>141</v>
      </c>
      <c r="C907" s="1">
        <v>0</v>
      </c>
      <c r="D907" s="1">
        <v>0</v>
      </c>
      <c r="E907" s="1">
        <v>0</v>
      </c>
      <c r="F907" s="1">
        <v>42.4</v>
      </c>
      <c r="G907" s="1">
        <v>0.20499999999999999</v>
      </c>
      <c r="H907" s="1">
        <v>29</v>
      </c>
      <c r="I907" s="1">
        <v>1</v>
      </c>
      <c r="J907" s="1" t="str">
        <f>IFERROR(VLOOKUP(K907,[1]diabetes_Recognition!$A:$B,2,FALSE),"Not Sampled")</f>
        <v>Not Sampled</v>
      </c>
      <c r="K907" s="1">
        <v>905</v>
      </c>
      <c r="L907" s="1">
        <f>LOOKUP(A907,Sheet2!$D$4:$E$9)</f>
        <v>0</v>
      </c>
      <c r="M907" t="str">
        <f>LOOKUP(B907,Sheet2!$G$4:$H$9)</f>
        <v>126-150</v>
      </c>
      <c r="N907" t="str">
        <f>LOOKUP(C907,Sheet2!$J$4:$K$8)</f>
        <v>Unknown</v>
      </c>
      <c r="O907" t="str">
        <f>LOOKUP(D907,Sheet2!$M$4:$N$8)</f>
        <v>Unknown</v>
      </c>
      <c r="P907" t="str">
        <f>LOOKUP(E907,Sheet2!$P$4:$Q$9)</f>
        <v>Unknown</v>
      </c>
      <c r="Q907" t="str">
        <f>LOOKUP(F907,Sheet2!$S$4:$T$8)</f>
        <v>36+</v>
      </c>
      <c r="R907" t="str">
        <f>LOOKUP(G907,Sheet2!$V$4:$W$7)</f>
        <v>0.0 - 0.249</v>
      </c>
      <c r="S907" t="str">
        <f>LOOKUP(H907,Sheet2!$Z$4:$AA$7)</f>
        <v>26-35</v>
      </c>
      <c r="T907" t="str">
        <f t="shared" si="42"/>
        <v>Positive</v>
      </c>
      <c r="U907" t="str">
        <f t="shared" si="43"/>
        <v>Not Sampled</v>
      </c>
      <c r="V907" s="1" t="str">
        <f t="shared" si="44"/>
        <v>Not Sampled</v>
      </c>
    </row>
    <row r="908" spans="1:22" x14ac:dyDescent="0.25">
      <c r="A908" s="1">
        <v>12</v>
      </c>
      <c r="B908" s="1">
        <v>140</v>
      </c>
      <c r="C908" s="1">
        <v>85</v>
      </c>
      <c r="D908" s="1">
        <v>33</v>
      </c>
      <c r="E908" s="1">
        <v>0</v>
      </c>
      <c r="F908" s="1">
        <v>37.4</v>
      </c>
      <c r="G908" s="1">
        <v>0.24399999999999999</v>
      </c>
      <c r="H908" s="1">
        <v>41</v>
      </c>
      <c r="I908" s="1">
        <v>0</v>
      </c>
      <c r="J908" s="1">
        <f>IFERROR(VLOOKUP(K908,[1]diabetes_Recognition!$A:$B,2,FALSE),"Not Sampled")</f>
        <v>1</v>
      </c>
      <c r="K908" s="1">
        <v>906</v>
      </c>
      <c r="L908" s="1" t="str">
        <f>LOOKUP(A908,Sheet2!$D$4:$E$9)</f>
        <v>8+</v>
      </c>
      <c r="M908" t="str">
        <f>LOOKUP(B908,Sheet2!$G$4:$H$9)</f>
        <v>126-150</v>
      </c>
      <c r="N908" t="str">
        <f>LOOKUP(C908,Sheet2!$J$4:$K$8)</f>
        <v>80+</v>
      </c>
      <c r="O908" t="str">
        <f>LOOKUP(D908,Sheet2!$M$4:$N$8)</f>
        <v>30-39</v>
      </c>
      <c r="P908" t="str">
        <f>LOOKUP(E908,Sheet2!$P$4:$Q$9)</f>
        <v>Unknown</v>
      </c>
      <c r="Q908" t="str">
        <f>LOOKUP(F908,Sheet2!$S$4:$T$8)</f>
        <v>36+</v>
      </c>
      <c r="R908" t="str">
        <f>LOOKUP(G908,Sheet2!$V$4:$W$7)</f>
        <v>0.0 - 0.249</v>
      </c>
      <c r="S908" t="str">
        <f>LOOKUP(H908,Sheet2!$Z$4:$AA$7)</f>
        <v>36-45</v>
      </c>
      <c r="T908" t="str">
        <f t="shared" si="42"/>
        <v>Negative</v>
      </c>
      <c r="U908" t="str">
        <f t="shared" si="43"/>
        <v>Positive</v>
      </c>
      <c r="V908" s="1" t="str">
        <f t="shared" si="44"/>
        <v>Inaccurate Prediction</v>
      </c>
    </row>
    <row r="909" spans="1:22" x14ac:dyDescent="0.25">
      <c r="A909" s="1">
        <v>5</v>
      </c>
      <c r="B909" s="1">
        <v>147</v>
      </c>
      <c r="C909" s="1">
        <v>75</v>
      </c>
      <c r="D909" s="1">
        <v>0</v>
      </c>
      <c r="E909" s="1">
        <v>0</v>
      </c>
      <c r="F909" s="1">
        <v>29.9</v>
      </c>
      <c r="G909" s="1">
        <v>0.434</v>
      </c>
      <c r="H909" s="1">
        <v>28</v>
      </c>
      <c r="I909" s="1">
        <v>0</v>
      </c>
      <c r="J909" s="1" t="str">
        <f>IFERROR(VLOOKUP(K909,[1]diabetes_Recognition!$A:$B,2,FALSE),"Not Sampled")</f>
        <v>Not Sampled</v>
      </c>
      <c r="K909" s="1">
        <v>907</v>
      </c>
      <c r="L909" s="1" t="str">
        <f>LOOKUP(A909,Sheet2!$D$4:$E$9)</f>
        <v>5-7</v>
      </c>
      <c r="M909" t="str">
        <f>LOOKUP(B909,Sheet2!$G$4:$H$9)</f>
        <v>126-150</v>
      </c>
      <c r="N909" t="str">
        <f>LOOKUP(C909,Sheet2!$J$4:$K$8)</f>
        <v>70-79</v>
      </c>
      <c r="O909" t="str">
        <f>LOOKUP(D909,Sheet2!$M$4:$N$8)</f>
        <v>Unknown</v>
      </c>
      <c r="P909" t="str">
        <f>LOOKUP(E909,Sheet2!$P$4:$Q$9)</f>
        <v>Unknown</v>
      </c>
      <c r="Q909" t="str">
        <f>LOOKUP(F909,Sheet2!$S$4:$T$8)</f>
        <v>26-30</v>
      </c>
      <c r="R909" t="str">
        <f>LOOKUP(G909,Sheet2!$V$4:$W$7)</f>
        <v>0.4 - 0.69</v>
      </c>
      <c r="S909" t="str">
        <f>LOOKUP(H909,Sheet2!$Z$4:$AA$7)</f>
        <v>26-35</v>
      </c>
      <c r="T909" t="str">
        <f t="shared" si="42"/>
        <v>Negative</v>
      </c>
      <c r="U909" t="str">
        <f t="shared" si="43"/>
        <v>Not Sampled</v>
      </c>
      <c r="V909" s="1" t="str">
        <f t="shared" si="44"/>
        <v>Not Sampled</v>
      </c>
    </row>
    <row r="910" spans="1:22" x14ac:dyDescent="0.25">
      <c r="A910" s="1">
        <v>1</v>
      </c>
      <c r="B910" s="1">
        <v>97</v>
      </c>
      <c r="C910" s="1">
        <v>70</v>
      </c>
      <c r="D910" s="1">
        <v>15</v>
      </c>
      <c r="E910" s="1">
        <v>0</v>
      </c>
      <c r="F910" s="1">
        <v>18.2</v>
      </c>
      <c r="G910" s="1">
        <v>0.14699999999999999</v>
      </c>
      <c r="H910" s="1">
        <v>21</v>
      </c>
      <c r="I910" s="1">
        <v>0</v>
      </c>
      <c r="J910" s="1" t="str">
        <f>IFERROR(VLOOKUP(K910,[1]diabetes_Recognition!$A:$B,2,FALSE),"Not Sampled")</f>
        <v>Not Sampled</v>
      </c>
      <c r="K910" s="1">
        <v>908</v>
      </c>
      <c r="L910" s="1">
        <f>LOOKUP(A910,Sheet2!$D$4:$E$9)</f>
        <v>1</v>
      </c>
      <c r="M910" t="str">
        <f>LOOKUP(B910,Sheet2!$G$4:$H$9)</f>
        <v>1-99</v>
      </c>
      <c r="N910" t="str">
        <f>LOOKUP(C910,Sheet2!$J$4:$K$8)</f>
        <v>70-79</v>
      </c>
      <c r="O910" t="str">
        <f>LOOKUP(D910,Sheet2!$M$4:$N$8)</f>
        <v>10-30</v>
      </c>
      <c r="P910" t="str">
        <f>LOOKUP(E910,Sheet2!$P$4:$Q$9)</f>
        <v>Unknown</v>
      </c>
      <c r="Q910" t="str">
        <f>LOOKUP(F910,Sheet2!$S$4:$T$8)</f>
        <v>1-25</v>
      </c>
      <c r="R910" t="str">
        <f>LOOKUP(G910,Sheet2!$V$4:$W$7)</f>
        <v>0.0 - 0.249</v>
      </c>
      <c r="S910" t="str">
        <f>LOOKUP(H910,Sheet2!$Z$4:$AA$7)</f>
        <v>&lt;=25</v>
      </c>
      <c r="T910" t="str">
        <f t="shared" si="42"/>
        <v>Negative</v>
      </c>
      <c r="U910" t="str">
        <f t="shared" si="43"/>
        <v>Not Sampled</v>
      </c>
      <c r="V910" s="1" t="str">
        <f t="shared" si="44"/>
        <v>Not Sampled</v>
      </c>
    </row>
    <row r="911" spans="1:22" x14ac:dyDescent="0.25">
      <c r="A911" s="1">
        <v>6</v>
      </c>
      <c r="B911" s="1">
        <v>107</v>
      </c>
      <c r="C911" s="1">
        <v>88</v>
      </c>
      <c r="D911" s="1">
        <v>0</v>
      </c>
      <c r="E911" s="1">
        <v>0</v>
      </c>
      <c r="F911" s="1">
        <v>36.799999999999997</v>
      </c>
      <c r="G911" s="1">
        <v>0.72699999999999998</v>
      </c>
      <c r="H911" s="1">
        <v>31</v>
      </c>
      <c r="I911" s="1">
        <v>0</v>
      </c>
      <c r="J911" s="1" t="str">
        <f>IFERROR(VLOOKUP(K911,[1]diabetes_Recognition!$A:$B,2,FALSE),"Not Sampled")</f>
        <v>Not Sampled</v>
      </c>
      <c r="K911" s="1">
        <v>909</v>
      </c>
      <c r="L911" s="1" t="str">
        <f>LOOKUP(A911,Sheet2!$D$4:$E$9)</f>
        <v>5-7</v>
      </c>
      <c r="M911" t="str">
        <f>LOOKUP(B911,Sheet2!$G$4:$H$9)</f>
        <v>100-125</v>
      </c>
      <c r="N911" t="str">
        <f>LOOKUP(C911,Sheet2!$J$4:$K$8)</f>
        <v>80+</v>
      </c>
      <c r="O911" t="str">
        <f>LOOKUP(D911,Sheet2!$M$4:$N$8)</f>
        <v>Unknown</v>
      </c>
      <c r="P911" t="str">
        <f>LOOKUP(E911,Sheet2!$P$4:$Q$9)</f>
        <v>Unknown</v>
      </c>
      <c r="Q911" t="str">
        <f>LOOKUP(F911,Sheet2!$S$4:$T$8)</f>
        <v>36+</v>
      </c>
      <c r="R911" t="str">
        <f>LOOKUP(G911,Sheet2!$V$4:$W$7)</f>
        <v>0.7+</v>
      </c>
      <c r="S911" t="str">
        <f>LOOKUP(H911,Sheet2!$Z$4:$AA$7)</f>
        <v>26-35</v>
      </c>
      <c r="T911" t="str">
        <f t="shared" si="42"/>
        <v>Negative</v>
      </c>
      <c r="U911" t="str">
        <f t="shared" si="43"/>
        <v>Not Sampled</v>
      </c>
      <c r="V911" s="1" t="str">
        <f t="shared" si="44"/>
        <v>Not Sampled</v>
      </c>
    </row>
    <row r="912" spans="1:22" x14ac:dyDescent="0.25">
      <c r="A912" s="1">
        <v>0</v>
      </c>
      <c r="B912" s="1">
        <v>189</v>
      </c>
      <c r="C912" s="1">
        <v>104</v>
      </c>
      <c r="D912" s="1">
        <v>25</v>
      </c>
      <c r="E912" s="1">
        <v>0</v>
      </c>
      <c r="F912" s="1">
        <v>34.299999999999997</v>
      </c>
      <c r="G912" s="1">
        <v>0.435</v>
      </c>
      <c r="H912" s="1">
        <v>41</v>
      </c>
      <c r="I912" s="1">
        <v>1</v>
      </c>
      <c r="J912" s="1" t="str">
        <f>IFERROR(VLOOKUP(K912,[1]diabetes_Recognition!$A:$B,2,FALSE),"Not Sampled")</f>
        <v>Not Sampled</v>
      </c>
      <c r="K912" s="1">
        <v>910</v>
      </c>
      <c r="L912" s="1">
        <f>LOOKUP(A912,Sheet2!$D$4:$E$9)</f>
        <v>0</v>
      </c>
      <c r="M912" t="str">
        <f>LOOKUP(B912,Sheet2!$G$4:$H$9)</f>
        <v>176-200</v>
      </c>
      <c r="N912" t="str">
        <f>LOOKUP(C912,Sheet2!$J$4:$K$8)</f>
        <v>80+</v>
      </c>
      <c r="O912" t="str">
        <f>LOOKUP(D912,Sheet2!$M$4:$N$8)</f>
        <v>10-30</v>
      </c>
      <c r="P912" t="str">
        <f>LOOKUP(E912,Sheet2!$P$4:$Q$9)</f>
        <v>Unknown</v>
      </c>
      <c r="Q912" t="str">
        <f>LOOKUP(F912,Sheet2!$S$4:$T$8)</f>
        <v>31-35</v>
      </c>
      <c r="R912" t="str">
        <f>LOOKUP(G912,Sheet2!$V$4:$W$7)</f>
        <v>0.4 - 0.69</v>
      </c>
      <c r="S912" t="str">
        <f>LOOKUP(H912,Sheet2!$Z$4:$AA$7)</f>
        <v>36-45</v>
      </c>
      <c r="T912" t="str">
        <f t="shared" si="42"/>
        <v>Positive</v>
      </c>
      <c r="U912" t="str">
        <f t="shared" si="43"/>
        <v>Not Sampled</v>
      </c>
      <c r="V912" s="1" t="str">
        <f t="shared" si="44"/>
        <v>Not Sampled</v>
      </c>
    </row>
    <row r="913" spans="1:22" x14ac:dyDescent="0.25">
      <c r="A913" s="1">
        <v>2</v>
      </c>
      <c r="B913" s="1">
        <v>83</v>
      </c>
      <c r="C913" s="1">
        <v>66</v>
      </c>
      <c r="D913" s="1">
        <v>23</v>
      </c>
      <c r="E913" s="1">
        <v>50</v>
      </c>
      <c r="F913" s="1">
        <v>32.200000000000003</v>
      </c>
      <c r="G913" s="1">
        <v>0.497</v>
      </c>
      <c r="H913" s="1">
        <v>22</v>
      </c>
      <c r="I913" s="1">
        <v>0</v>
      </c>
      <c r="J913" s="1" t="str">
        <f>IFERROR(VLOOKUP(K913,[1]diabetes_Recognition!$A:$B,2,FALSE),"Not Sampled")</f>
        <v>Not Sampled</v>
      </c>
      <c r="K913" s="1">
        <v>911</v>
      </c>
      <c r="L913" s="1">
        <f>LOOKUP(A913,Sheet2!$D$4:$E$9)</f>
        <v>2</v>
      </c>
      <c r="M913" t="str">
        <f>LOOKUP(B913,Sheet2!$G$4:$H$9)</f>
        <v>1-99</v>
      </c>
      <c r="N913" t="str">
        <f>LOOKUP(C913,Sheet2!$J$4:$K$8)</f>
        <v>60-69</v>
      </c>
      <c r="O913" t="str">
        <f>LOOKUP(D913,Sheet2!$M$4:$N$8)</f>
        <v>10-30</v>
      </c>
      <c r="P913" t="str">
        <f>LOOKUP(E913,Sheet2!$P$4:$Q$9)</f>
        <v>1-99</v>
      </c>
      <c r="Q913" t="str">
        <f>LOOKUP(F913,Sheet2!$S$4:$T$8)</f>
        <v>31-35</v>
      </c>
      <c r="R913" t="str">
        <f>LOOKUP(G913,Sheet2!$V$4:$W$7)</f>
        <v>0.4 - 0.69</v>
      </c>
      <c r="S913" t="str">
        <f>LOOKUP(H913,Sheet2!$Z$4:$AA$7)</f>
        <v>&lt;=25</v>
      </c>
      <c r="T913" t="str">
        <f t="shared" si="42"/>
        <v>Negative</v>
      </c>
      <c r="U913" t="str">
        <f t="shared" si="43"/>
        <v>Not Sampled</v>
      </c>
      <c r="V913" s="1" t="str">
        <f t="shared" si="44"/>
        <v>Not Sampled</v>
      </c>
    </row>
    <row r="914" spans="1:22" x14ac:dyDescent="0.25">
      <c r="A914" s="1">
        <v>4</v>
      </c>
      <c r="B914" s="1">
        <v>117</v>
      </c>
      <c r="C914" s="1">
        <v>64</v>
      </c>
      <c r="D914" s="1">
        <v>27</v>
      </c>
      <c r="E914" s="1">
        <v>120</v>
      </c>
      <c r="F914" s="1">
        <v>33.200000000000003</v>
      </c>
      <c r="G914" s="1">
        <v>0.23</v>
      </c>
      <c r="H914" s="1">
        <v>24</v>
      </c>
      <c r="I914" s="1">
        <v>0</v>
      </c>
      <c r="J914" s="1" t="str">
        <f>IFERROR(VLOOKUP(K914,[1]diabetes_Recognition!$A:$B,2,FALSE),"Not Sampled")</f>
        <v>Not Sampled</v>
      </c>
      <c r="K914" s="1">
        <v>912</v>
      </c>
      <c r="L914" s="1" t="str">
        <f>LOOKUP(A914,Sheet2!$D$4:$E$9)</f>
        <v>3-4</v>
      </c>
      <c r="M914" t="str">
        <f>LOOKUP(B914,Sheet2!$G$4:$H$9)</f>
        <v>100-125</v>
      </c>
      <c r="N914" t="str">
        <f>LOOKUP(C914,Sheet2!$J$4:$K$8)</f>
        <v>60-69</v>
      </c>
      <c r="O914" t="str">
        <f>LOOKUP(D914,Sheet2!$M$4:$N$8)</f>
        <v>10-30</v>
      </c>
      <c r="P914" t="str">
        <f>LOOKUP(E914,Sheet2!$P$4:$Q$9)</f>
        <v>100-199</v>
      </c>
      <c r="Q914" t="str">
        <f>LOOKUP(F914,Sheet2!$S$4:$T$8)</f>
        <v>31-35</v>
      </c>
      <c r="R914" t="str">
        <f>LOOKUP(G914,Sheet2!$V$4:$W$7)</f>
        <v>0.0 - 0.249</v>
      </c>
      <c r="S914" t="str">
        <f>LOOKUP(H914,Sheet2!$Z$4:$AA$7)</f>
        <v>&lt;=25</v>
      </c>
      <c r="T914" t="str">
        <f t="shared" si="42"/>
        <v>Negative</v>
      </c>
      <c r="U914" t="str">
        <f t="shared" si="43"/>
        <v>Not Sampled</v>
      </c>
      <c r="V914" s="1" t="str">
        <f t="shared" si="44"/>
        <v>Not Sampled</v>
      </c>
    </row>
    <row r="915" spans="1:22" x14ac:dyDescent="0.25">
      <c r="A915" s="1">
        <v>8</v>
      </c>
      <c r="B915" s="1">
        <v>108</v>
      </c>
      <c r="C915" s="1">
        <v>70</v>
      </c>
      <c r="D915" s="1">
        <v>0</v>
      </c>
      <c r="E915" s="1">
        <v>0</v>
      </c>
      <c r="F915" s="1">
        <v>30.5</v>
      </c>
      <c r="G915" s="1">
        <v>0.95499999999999996</v>
      </c>
      <c r="H915" s="1">
        <v>33</v>
      </c>
      <c r="I915" s="1">
        <v>1</v>
      </c>
      <c r="J915" s="1">
        <f>IFERROR(VLOOKUP(K915,[1]diabetes_Recognition!$A:$B,2,FALSE),"Not Sampled")</f>
        <v>0</v>
      </c>
      <c r="K915" s="1">
        <v>913</v>
      </c>
      <c r="L915" s="1" t="str">
        <f>LOOKUP(A915,Sheet2!$D$4:$E$9)</f>
        <v>8+</v>
      </c>
      <c r="M915" t="str">
        <f>LOOKUP(B915,Sheet2!$G$4:$H$9)</f>
        <v>100-125</v>
      </c>
      <c r="N915" t="str">
        <f>LOOKUP(C915,Sheet2!$J$4:$K$8)</f>
        <v>70-79</v>
      </c>
      <c r="O915" t="str">
        <f>LOOKUP(D915,Sheet2!$M$4:$N$8)</f>
        <v>Unknown</v>
      </c>
      <c r="P915" t="str">
        <f>LOOKUP(E915,Sheet2!$P$4:$Q$9)</f>
        <v>Unknown</v>
      </c>
      <c r="Q915" t="str">
        <f>LOOKUP(F915,Sheet2!$S$4:$T$8)</f>
        <v>26-30</v>
      </c>
      <c r="R915" t="str">
        <f>LOOKUP(G915,Sheet2!$V$4:$W$7)</f>
        <v>0.7+</v>
      </c>
      <c r="S915" t="str">
        <f>LOOKUP(H915,Sheet2!$Z$4:$AA$7)</f>
        <v>26-35</v>
      </c>
      <c r="T915" t="str">
        <f t="shared" si="42"/>
        <v>Positive</v>
      </c>
      <c r="U915" t="str">
        <f t="shared" si="43"/>
        <v>Negative</v>
      </c>
      <c r="V915" s="1" t="str">
        <f t="shared" si="44"/>
        <v>Inaccurate Prediction</v>
      </c>
    </row>
    <row r="916" spans="1:22" x14ac:dyDescent="0.25">
      <c r="A916" s="1">
        <v>4</v>
      </c>
      <c r="B916" s="1">
        <v>117</v>
      </c>
      <c r="C916" s="1">
        <v>62</v>
      </c>
      <c r="D916" s="1">
        <v>12</v>
      </c>
      <c r="E916" s="1">
        <v>0</v>
      </c>
      <c r="F916" s="1">
        <v>29.7</v>
      </c>
      <c r="G916" s="1">
        <v>0.38</v>
      </c>
      <c r="H916" s="1">
        <v>30</v>
      </c>
      <c r="I916" s="1">
        <v>1</v>
      </c>
      <c r="J916" s="1" t="str">
        <f>IFERROR(VLOOKUP(K916,[1]diabetes_Recognition!$A:$B,2,FALSE),"Not Sampled")</f>
        <v>Not Sampled</v>
      </c>
      <c r="K916" s="1">
        <v>914</v>
      </c>
      <c r="L916" s="1" t="str">
        <f>LOOKUP(A916,Sheet2!$D$4:$E$9)</f>
        <v>3-4</v>
      </c>
      <c r="M916" t="str">
        <f>LOOKUP(B916,Sheet2!$G$4:$H$9)</f>
        <v>100-125</v>
      </c>
      <c r="N916" t="str">
        <f>LOOKUP(C916,Sheet2!$J$4:$K$8)</f>
        <v>60-69</v>
      </c>
      <c r="O916" t="str">
        <f>LOOKUP(D916,Sheet2!$M$4:$N$8)</f>
        <v>10-30</v>
      </c>
      <c r="P916" t="str">
        <f>LOOKUP(E916,Sheet2!$P$4:$Q$9)</f>
        <v>Unknown</v>
      </c>
      <c r="Q916" t="str">
        <f>LOOKUP(F916,Sheet2!$S$4:$T$8)</f>
        <v>26-30</v>
      </c>
      <c r="R916" t="str">
        <f>LOOKUP(G916,Sheet2!$V$4:$W$7)</f>
        <v>0.25 - 0.39</v>
      </c>
      <c r="S916" t="str">
        <f>LOOKUP(H916,Sheet2!$Z$4:$AA$7)</f>
        <v>26-35</v>
      </c>
      <c r="T916" t="str">
        <f t="shared" si="42"/>
        <v>Positive</v>
      </c>
      <c r="U916" t="str">
        <f t="shared" si="43"/>
        <v>Not Sampled</v>
      </c>
      <c r="V916" s="1" t="str">
        <f t="shared" si="44"/>
        <v>Not Sampled</v>
      </c>
    </row>
    <row r="917" spans="1:22" x14ac:dyDescent="0.25">
      <c r="A917" s="1">
        <v>0</v>
      </c>
      <c r="B917" s="1">
        <v>180</v>
      </c>
      <c r="C917" s="1">
        <v>78</v>
      </c>
      <c r="D917" s="1">
        <v>63</v>
      </c>
      <c r="E917" s="1">
        <v>14</v>
      </c>
      <c r="F917" s="1">
        <v>59.4</v>
      </c>
      <c r="G917" s="1">
        <v>2.42</v>
      </c>
      <c r="H917" s="1">
        <v>25</v>
      </c>
      <c r="I917" s="1">
        <v>1</v>
      </c>
      <c r="J917" s="1" t="str">
        <f>IFERROR(VLOOKUP(K917,[1]diabetes_Recognition!$A:$B,2,FALSE),"Not Sampled")</f>
        <v>Not Sampled</v>
      </c>
      <c r="K917" s="1">
        <v>915</v>
      </c>
      <c r="L917" s="1">
        <f>LOOKUP(A917,Sheet2!$D$4:$E$9)</f>
        <v>0</v>
      </c>
      <c r="M917" t="str">
        <f>LOOKUP(B917,Sheet2!$G$4:$H$9)</f>
        <v>176-200</v>
      </c>
      <c r="N917" t="str">
        <f>LOOKUP(C917,Sheet2!$J$4:$K$8)</f>
        <v>70-79</v>
      </c>
      <c r="O917" t="str">
        <f>LOOKUP(D917,Sheet2!$M$4:$N$8)</f>
        <v>40+</v>
      </c>
      <c r="P917" t="str">
        <f>LOOKUP(E917,Sheet2!$P$4:$Q$9)</f>
        <v>1-99</v>
      </c>
      <c r="Q917" t="str">
        <f>LOOKUP(F917,Sheet2!$S$4:$T$8)</f>
        <v>36+</v>
      </c>
      <c r="R917" t="str">
        <f>LOOKUP(G917,Sheet2!$V$4:$W$7)</f>
        <v>0.7+</v>
      </c>
      <c r="S917" t="str">
        <f>LOOKUP(H917,Sheet2!$Z$4:$AA$7)</f>
        <v>&lt;=25</v>
      </c>
      <c r="T917" t="str">
        <f t="shared" si="42"/>
        <v>Positive</v>
      </c>
      <c r="U917" t="str">
        <f t="shared" si="43"/>
        <v>Not Sampled</v>
      </c>
      <c r="V917" s="1" t="str">
        <f t="shared" si="44"/>
        <v>Not Sampled</v>
      </c>
    </row>
    <row r="918" spans="1:22" x14ac:dyDescent="0.25">
      <c r="A918" s="1">
        <v>1</v>
      </c>
      <c r="B918" s="1">
        <v>100</v>
      </c>
      <c r="C918" s="1">
        <v>72</v>
      </c>
      <c r="D918" s="1">
        <v>12</v>
      </c>
      <c r="E918" s="1">
        <v>70</v>
      </c>
      <c r="F918" s="1">
        <v>25.3</v>
      </c>
      <c r="G918" s="1">
        <v>0.65800000000000003</v>
      </c>
      <c r="H918" s="1">
        <v>28</v>
      </c>
      <c r="I918" s="1">
        <v>0</v>
      </c>
      <c r="J918" s="1">
        <f>IFERROR(VLOOKUP(K918,[1]diabetes_Recognition!$A:$B,2,FALSE),"Not Sampled")</f>
        <v>0</v>
      </c>
      <c r="K918" s="1">
        <v>916</v>
      </c>
      <c r="L918" s="1">
        <f>LOOKUP(A918,Sheet2!$D$4:$E$9)</f>
        <v>1</v>
      </c>
      <c r="M918" t="str">
        <f>LOOKUP(B918,Sheet2!$G$4:$H$9)</f>
        <v>100-125</v>
      </c>
      <c r="N918" t="str">
        <f>LOOKUP(C918,Sheet2!$J$4:$K$8)</f>
        <v>70-79</v>
      </c>
      <c r="O918" t="str">
        <f>LOOKUP(D918,Sheet2!$M$4:$N$8)</f>
        <v>10-30</v>
      </c>
      <c r="P918" t="str">
        <f>LOOKUP(E918,Sheet2!$P$4:$Q$9)</f>
        <v>1-99</v>
      </c>
      <c r="Q918" t="str">
        <f>LOOKUP(F918,Sheet2!$S$4:$T$8)</f>
        <v>1-25</v>
      </c>
      <c r="R918" t="str">
        <f>LOOKUP(G918,Sheet2!$V$4:$W$7)</f>
        <v>0.4 - 0.69</v>
      </c>
      <c r="S918" t="str">
        <f>LOOKUP(H918,Sheet2!$Z$4:$AA$7)</f>
        <v>26-35</v>
      </c>
      <c r="T918" t="str">
        <f t="shared" si="42"/>
        <v>Negative</v>
      </c>
      <c r="U918" t="str">
        <f t="shared" si="43"/>
        <v>Negative</v>
      </c>
      <c r="V918" s="1" t="str">
        <f t="shared" si="44"/>
        <v>Accurate Prediction</v>
      </c>
    </row>
    <row r="919" spans="1:22" x14ac:dyDescent="0.25">
      <c r="A919" s="1">
        <v>0</v>
      </c>
      <c r="B919" s="1">
        <v>95</v>
      </c>
      <c r="C919" s="1">
        <v>80</v>
      </c>
      <c r="D919" s="1">
        <v>45</v>
      </c>
      <c r="E919" s="1">
        <v>92</v>
      </c>
      <c r="F919" s="1">
        <v>36.5</v>
      </c>
      <c r="G919" s="1">
        <v>0.33</v>
      </c>
      <c r="H919" s="1">
        <v>26</v>
      </c>
      <c r="I919" s="1">
        <v>0</v>
      </c>
      <c r="J919" s="1" t="str">
        <f>IFERROR(VLOOKUP(K919,[1]diabetes_Recognition!$A:$B,2,FALSE),"Not Sampled")</f>
        <v>Not Sampled</v>
      </c>
      <c r="K919" s="1">
        <v>917</v>
      </c>
      <c r="L919" s="1">
        <f>LOOKUP(A919,Sheet2!$D$4:$E$9)</f>
        <v>0</v>
      </c>
      <c r="M919" t="str">
        <f>LOOKUP(B919,Sheet2!$G$4:$H$9)</f>
        <v>1-99</v>
      </c>
      <c r="N919" t="str">
        <f>LOOKUP(C919,Sheet2!$J$4:$K$8)</f>
        <v>80+</v>
      </c>
      <c r="O919" t="str">
        <f>LOOKUP(D919,Sheet2!$M$4:$N$8)</f>
        <v>40+</v>
      </c>
      <c r="P919" t="str">
        <f>LOOKUP(E919,Sheet2!$P$4:$Q$9)</f>
        <v>1-99</v>
      </c>
      <c r="Q919" t="str">
        <f>LOOKUP(F919,Sheet2!$S$4:$T$8)</f>
        <v>36+</v>
      </c>
      <c r="R919" t="str">
        <f>LOOKUP(G919,Sheet2!$V$4:$W$7)</f>
        <v>0.25 - 0.39</v>
      </c>
      <c r="S919" t="str">
        <f>LOOKUP(H919,Sheet2!$Z$4:$AA$7)</f>
        <v>26-35</v>
      </c>
      <c r="T919" t="str">
        <f t="shared" si="42"/>
        <v>Negative</v>
      </c>
      <c r="U919" t="str">
        <f t="shared" si="43"/>
        <v>Not Sampled</v>
      </c>
      <c r="V919" s="1" t="str">
        <f t="shared" si="44"/>
        <v>Not Sampled</v>
      </c>
    </row>
    <row r="920" spans="1:22" x14ac:dyDescent="0.25">
      <c r="A920" s="1">
        <v>0</v>
      </c>
      <c r="B920" s="1">
        <v>104</v>
      </c>
      <c r="C920" s="1">
        <v>64</v>
      </c>
      <c r="D920" s="1">
        <v>37</v>
      </c>
      <c r="E920" s="1">
        <v>64</v>
      </c>
      <c r="F920" s="1">
        <v>33.6</v>
      </c>
      <c r="G920" s="1">
        <v>0.51</v>
      </c>
      <c r="H920" s="1">
        <v>22</v>
      </c>
      <c r="I920" s="1">
        <v>1</v>
      </c>
      <c r="J920" s="1" t="str">
        <f>IFERROR(VLOOKUP(K920,[1]diabetes_Recognition!$A:$B,2,FALSE),"Not Sampled")</f>
        <v>Not Sampled</v>
      </c>
      <c r="K920" s="1">
        <v>918</v>
      </c>
      <c r="L920" s="1">
        <f>LOOKUP(A920,Sheet2!$D$4:$E$9)</f>
        <v>0</v>
      </c>
      <c r="M920" t="str">
        <f>LOOKUP(B920,Sheet2!$G$4:$H$9)</f>
        <v>100-125</v>
      </c>
      <c r="N920" t="str">
        <f>LOOKUP(C920,Sheet2!$J$4:$K$8)</f>
        <v>60-69</v>
      </c>
      <c r="O920" t="str">
        <f>LOOKUP(D920,Sheet2!$M$4:$N$8)</f>
        <v>30-39</v>
      </c>
      <c r="P920" t="str">
        <f>LOOKUP(E920,Sheet2!$P$4:$Q$9)</f>
        <v>1-99</v>
      </c>
      <c r="Q920" t="str">
        <f>LOOKUP(F920,Sheet2!$S$4:$T$8)</f>
        <v>31-35</v>
      </c>
      <c r="R920" t="str">
        <f>LOOKUP(G920,Sheet2!$V$4:$W$7)</f>
        <v>0.4 - 0.69</v>
      </c>
      <c r="S920" t="str">
        <f>LOOKUP(H920,Sheet2!$Z$4:$AA$7)</f>
        <v>&lt;=25</v>
      </c>
      <c r="T920" t="str">
        <f t="shared" si="42"/>
        <v>Positive</v>
      </c>
      <c r="U920" t="str">
        <f t="shared" si="43"/>
        <v>Not Sampled</v>
      </c>
      <c r="V920" s="1" t="str">
        <f t="shared" si="44"/>
        <v>Not Sampled</v>
      </c>
    </row>
    <row r="921" spans="1:22" x14ac:dyDescent="0.25">
      <c r="A921" s="1">
        <v>0</v>
      </c>
      <c r="B921" s="1">
        <v>120</v>
      </c>
      <c r="C921" s="1">
        <v>74</v>
      </c>
      <c r="D921" s="1">
        <v>18</v>
      </c>
      <c r="E921" s="1">
        <v>63</v>
      </c>
      <c r="F921" s="1">
        <v>30.5</v>
      </c>
      <c r="G921" s="1">
        <v>0.28499999999999998</v>
      </c>
      <c r="H921" s="1">
        <v>26</v>
      </c>
      <c r="I921" s="1">
        <v>0</v>
      </c>
      <c r="J921" s="1" t="str">
        <f>IFERROR(VLOOKUP(K921,[1]diabetes_Recognition!$A:$B,2,FALSE),"Not Sampled")</f>
        <v>Not Sampled</v>
      </c>
      <c r="K921" s="1">
        <v>919</v>
      </c>
      <c r="L921" s="1">
        <f>LOOKUP(A921,Sheet2!$D$4:$E$9)</f>
        <v>0</v>
      </c>
      <c r="M921" t="str">
        <f>LOOKUP(B921,Sheet2!$G$4:$H$9)</f>
        <v>100-125</v>
      </c>
      <c r="N921" t="str">
        <f>LOOKUP(C921,Sheet2!$J$4:$K$8)</f>
        <v>70-79</v>
      </c>
      <c r="O921" t="str">
        <f>LOOKUP(D921,Sheet2!$M$4:$N$8)</f>
        <v>10-30</v>
      </c>
      <c r="P921" t="str">
        <f>LOOKUP(E921,Sheet2!$P$4:$Q$9)</f>
        <v>1-99</v>
      </c>
      <c r="Q921" t="str">
        <f>LOOKUP(F921,Sheet2!$S$4:$T$8)</f>
        <v>26-30</v>
      </c>
      <c r="R921" t="str">
        <f>LOOKUP(G921,Sheet2!$V$4:$W$7)</f>
        <v>0.25 - 0.39</v>
      </c>
      <c r="S921" t="str">
        <f>LOOKUP(H921,Sheet2!$Z$4:$AA$7)</f>
        <v>26-35</v>
      </c>
      <c r="T921" t="str">
        <f t="shared" si="42"/>
        <v>Negative</v>
      </c>
      <c r="U921" t="str">
        <f t="shared" si="43"/>
        <v>Not Sampled</v>
      </c>
      <c r="V921" s="1" t="str">
        <f t="shared" si="44"/>
        <v>Not Sampled</v>
      </c>
    </row>
    <row r="922" spans="1:22" x14ac:dyDescent="0.25">
      <c r="A922" s="1">
        <v>1</v>
      </c>
      <c r="B922" s="1">
        <v>82</v>
      </c>
      <c r="C922" s="1">
        <v>64</v>
      </c>
      <c r="D922" s="1">
        <v>13</v>
      </c>
      <c r="E922" s="1">
        <v>95</v>
      </c>
      <c r="F922" s="1">
        <v>21.2</v>
      </c>
      <c r="G922" s="1">
        <v>0.41499999999999998</v>
      </c>
      <c r="H922" s="1">
        <v>23</v>
      </c>
      <c r="I922" s="1">
        <v>0</v>
      </c>
      <c r="J922" s="1" t="str">
        <f>IFERROR(VLOOKUP(K922,[1]diabetes_Recognition!$A:$B,2,FALSE),"Not Sampled")</f>
        <v>Not Sampled</v>
      </c>
      <c r="K922" s="1">
        <v>920</v>
      </c>
      <c r="L922" s="1">
        <f>LOOKUP(A922,Sheet2!$D$4:$E$9)</f>
        <v>1</v>
      </c>
      <c r="M922" t="str">
        <f>LOOKUP(B922,Sheet2!$G$4:$H$9)</f>
        <v>1-99</v>
      </c>
      <c r="N922" t="str">
        <f>LOOKUP(C922,Sheet2!$J$4:$K$8)</f>
        <v>60-69</v>
      </c>
      <c r="O922" t="str">
        <f>LOOKUP(D922,Sheet2!$M$4:$N$8)</f>
        <v>10-30</v>
      </c>
      <c r="P922" t="str">
        <f>LOOKUP(E922,Sheet2!$P$4:$Q$9)</f>
        <v>1-99</v>
      </c>
      <c r="Q922" t="str">
        <f>LOOKUP(F922,Sheet2!$S$4:$T$8)</f>
        <v>1-25</v>
      </c>
      <c r="R922" t="str">
        <f>LOOKUP(G922,Sheet2!$V$4:$W$7)</f>
        <v>0.4 - 0.69</v>
      </c>
      <c r="S922" t="str">
        <f>LOOKUP(H922,Sheet2!$Z$4:$AA$7)</f>
        <v>&lt;=25</v>
      </c>
      <c r="T922" t="str">
        <f t="shared" si="42"/>
        <v>Negative</v>
      </c>
      <c r="U922" t="str">
        <f t="shared" si="43"/>
        <v>Not Sampled</v>
      </c>
      <c r="V922" s="1" t="str">
        <f t="shared" si="44"/>
        <v>Not Sampled</v>
      </c>
    </row>
    <row r="923" spans="1:22" x14ac:dyDescent="0.25">
      <c r="A923" s="1">
        <v>2</v>
      </c>
      <c r="B923" s="1">
        <v>134</v>
      </c>
      <c r="C923" s="1">
        <v>70</v>
      </c>
      <c r="D923" s="1">
        <v>0</v>
      </c>
      <c r="E923" s="1">
        <v>0</v>
      </c>
      <c r="F923" s="1">
        <v>28.9</v>
      </c>
      <c r="G923" s="1">
        <v>0.54200000000000004</v>
      </c>
      <c r="H923" s="1">
        <v>23</v>
      </c>
      <c r="I923" s="1">
        <v>1</v>
      </c>
      <c r="J923" s="1" t="str">
        <f>IFERROR(VLOOKUP(K923,[1]diabetes_Recognition!$A:$B,2,FALSE),"Not Sampled")</f>
        <v>Not Sampled</v>
      </c>
      <c r="K923" s="1">
        <v>921</v>
      </c>
      <c r="L923" s="1">
        <f>LOOKUP(A923,Sheet2!$D$4:$E$9)</f>
        <v>2</v>
      </c>
      <c r="M923" t="str">
        <f>LOOKUP(B923,Sheet2!$G$4:$H$9)</f>
        <v>126-150</v>
      </c>
      <c r="N923" t="str">
        <f>LOOKUP(C923,Sheet2!$J$4:$K$8)</f>
        <v>70-79</v>
      </c>
      <c r="O923" t="str">
        <f>LOOKUP(D923,Sheet2!$M$4:$N$8)</f>
        <v>Unknown</v>
      </c>
      <c r="P923" t="str">
        <f>LOOKUP(E923,Sheet2!$P$4:$Q$9)</f>
        <v>Unknown</v>
      </c>
      <c r="Q923" t="str">
        <f>LOOKUP(F923,Sheet2!$S$4:$T$8)</f>
        <v>26-30</v>
      </c>
      <c r="R923" t="str">
        <f>LOOKUP(G923,Sheet2!$V$4:$W$7)</f>
        <v>0.4 - 0.69</v>
      </c>
      <c r="S923" t="str">
        <f>LOOKUP(H923,Sheet2!$Z$4:$AA$7)</f>
        <v>&lt;=25</v>
      </c>
      <c r="T923" t="str">
        <f t="shared" si="42"/>
        <v>Positive</v>
      </c>
      <c r="U923" t="str">
        <f t="shared" si="43"/>
        <v>Not Sampled</v>
      </c>
      <c r="V923" s="1" t="str">
        <f t="shared" si="44"/>
        <v>Not Sampled</v>
      </c>
    </row>
    <row r="924" spans="1:22" x14ac:dyDescent="0.25">
      <c r="A924" s="1">
        <v>0</v>
      </c>
      <c r="B924" s="1">
        <v>91</v>
      </c>
      <c r="C924" s="1">
        <v>68</v>
      </c>
      <c r="D924" s="1">
        <v>32</v>
      </c>
      <c r="E924" s="1">
        <v>210</v>
      </c>
      <c r="F924" s="1">
        <v>39.9</v>
      </c>
      <c r="G924" s="1">
        <v>0.38100000000000001</v>
      </c>
      <c r="H924" s="1">
        <v>25</v>
      </c>
      <c r="I924" s="1">
        <v>0</v>
      </c>
      <c r="J924" s="1">
        <f>IFERROR(VLOOKUP(K924,[1]diabetes_Recognition!$A:$B,2,FALSE),"Not Sampled")</f>
        <v>0</v>
      </c>
      <c r="K924" s="1">
        <v>922</v>
      </c>
      <c r="L924" s="1">
        <f>LOOKUP(A924,Sheet2!$D$4:$E$9)</f>
        <v>0</v>
      </c>
      <c r="M924" t="str">
        <f>LOOKUP(B924,Sheet2!$G$4:$H$9)</f>
        <v>1-99</v>
      </c>
      <c r="N924" t="str">
        <f>LOOKUP(C924,Sheet2!$J$4:$K$8)</f>
        <v>60-69</v>
      </c>
      <c r="O924" t="str">
        <f>LOOKUP(D924,Sheet2!$M$4:$N$8)</f>
        <v>30-39</v>
      </c>
      <c r="P924" t="str">
        <f>LOOKUP(E924,Sheet2!$P$4:$Q$9)</f>
        <v>200-399</v>
      </c>
      <c r="Q924" t="str">
        <f>LOOKUP(F924,Sheet2!$S$4:$T$8)</f>
        <v>36+</v>
      </c>
      <c r="R924" t="str">
        <f>LOOKUP(G924,Sheet2!$V$4:$W$7)</f>
        <v>0.25 - 0.39</v>
      </c>
      <c r="S924" t="str">
        <f>LOOKUP(H924,Sheet2!$Z$4:$AA$7)</f>
        <v>&lt;=25</v>
      </c>
      <c r="T924" t="str">
        <f t="shared" si="42"/>
        <v>Negative</v>
      </c>
      <c r="U924" t="str">
        <f t="shared" si="43"/>
        <v>Negative</v>
      </c>
      <c r="V924" s="1" t="str">
        <f t="shared" si="44"/>
        <v>Accurate Prediction</v>
      </c>
    </row>
    <row r="925" spans="1:22" x14ac:dyDescent="0.25">
      <c r="A925" s="1">
        <v>2</v>
      </c>
      <c r="B925" s="1">
        <v>119</v>
      </c>
      <c r="C925" s="1">
        <v>0</v>
      </c>
      <c r="D925" s="1">
        <v>0</v>
      </c>
      <c r="E925" s="1">
        <v>0</v>
      </c>
      <c r="F925" s="1">
        <v>19.600000000000001</v>
      </c>
      <c r="G925" s="1">
        <v>0.83199999999999996</v>
      </c>
      <c r="H925" s="1">
        <v>72</v>
      </c>
      <c r="I925" s="1">
        <v>0</v>
      </c>
      <c r="J925" s="1" t="str">
        <f>IFERROR(VLOOKUP(K925,[1]diabetes_Recognition!$A:$B,2,FALSE),"Not Sampled")</f>
        <v>Not Sampled</v>
      </c>
      <c r="K925" s="1">
        <v>923</v>
      </c>
      <c r="L925" s="1">
        <f>LOOKUP(A925,Sheet2!$D$4:$E$9)</f>
        <v>2</v>
      </c>
      <c r="M925" t="str">
        <f>LOOKUP(B925,Sheet2!$G$4:$H$9)</f>
        <v>100-125</v>
      </c>
      <c r="N925" t="str">
        <f>LOOKUP(C925,Sheet2!$J$4:$K$8)</f>
        <v>Unknown</v>
      </c>
      <c r="O925" t="str">
        <f>LOOKUP(D925,Sheet2!$M$4:$N$8)</f>
        <v>Unknown</v>
      </c>
      <c r="P925" t="str">
        <f>LOOKUP(E925,Sheet2!$P$4:$Q$9)</f>
        <v>Unknown</v>
      </c>
      <c r="Q925" t="str">
        <f>LOOKUP(F925,Sheet2!$S$4:$T$8)</f>
        <v>1-25</v>
      </c>
      <c r="R925" t="str">
        <f>LOOKUP(G925,Sheet2!$V$4:$W$7)</f>
        <v>0.7+</v>
      </c>
      <c r="S925" t="str">
        <f>LOOKUP(H925,Sheet2!$Z$4:$AA$7)</f>
        <v>46+</v>
      </c>
      <c r="T925" t="str">
        <f t="shared" si="42"/>
        <v>Negative</v>
      </c>
      <c r="U925" t="str">
        <f t="shared" si="43"/>
        <v>Not Sampled</v>
      </c>
      <c r="V925" s="1" t="str">
        <f t="shared" si="44"/>
        <v>Not Sampled</v>
      </c>
    </row>
    <row r="926" spans="1:22" x14ac:dyDescent="0.25">
      <c r="A926" s="1">
        <v>2</v>
      </c>
      <c r="B926" s="1">
        <v>100</v>
      </c>
      <c r="C926" s="1">
        <v>54</v>
      </c>
      <c r="D926" s="1">
        <v>28</v>
      </c>
      <c r="E926" s="1">
        <v>105</v>
      </c>
      <c r="F926" s="1">
        <v>37.799999999999997</v>
      </c>
      <c r="G926" s="1">
        <v>0.498</v>
      </c>
      <c r="H926" s="1">
        <v>24</v>
      </c>
      <c r="I926" s="1">
        <v>0</v>
      </c>
      <c r="J926" s="1" t="str">
        <f>IFERROR(VLOOKUP(K926,[1]diabetes_Recognition!$A:$B,2,FALSE),"Not Sampled")</f>
        <v>Not Sampled</v>
      </c>
      <c r="K926" s="1">
        <v>924</v>
      </c>
      <c r="L926" s="1">
        <f>LOOKUP(A926,Sheet2!$D$4:$E$9)</f>
        <v>2</v>
      </c>
      <c r="M926" t="str">
        <f>LOOKUP(B926,Sheet2!$G$4:$H$9)</f>
        <v>100-125</v>
      </c>
      <c r="N926" t="str">
        <f>LOOKUP(C926,Sheet2!$J$4:$K$8)</f>
        <v>1-59</v>
      </c>
      <c r="O926" t="str">
        <f>LOOKUP(D926,Sheet2!$M$4:$N$8)</f>
        <v>10-30</v>
      </c>
      <c r="P926" t="str">
        <f>LOOKUP(E926,Sheet2!$P$4:$Q$9)</f>
        <v>100-199</v>
      </c>
      <c r="Q926" t="str">
        <f>LOOKUP(F926,Sheet2!$S$4:$T$8)</f>
        <v>36+</v>
      </c>
      <c r="R926" t="str">
        <f>LOOKUP(G926,Sheet2!$V$4:$W$7)</f>
        <v>0.4 - 0.69</v>
      </c>
      <c r="S926" t="str">
        <f>LOOKUP(H926,Sheet2!$Z$4:$AA$7)</f>
        <v>&lt;=25</v>
      </c>
      <c r="T926" t="str">
        <f t="shared" si="42"/>
        <v>Negative</v>
      </c>
      <c r="U926" t="str">
        <f t="shared" si="43"/>
        <v>Not Sampled</v>
      </c>
      <c r="V926" s="1" t="str">
        <f t="shared" si="44"/>
        <v>Not Sampled</v>
      </c>
    </row>
    <row r="927" spans="1:22" x14ac:dyDescent="0.25">
      <c r="A927" s="1">
        <v>14</v>
      </c>
      <c r="B927" s="1">
        <v>175</v>
      </c>
      <c r="C927" s="1">
        <v>62</v>
      </c>
      <c r="D927" s="1">
        <v>30</v>
      </c>
      <c r="E927" s="1">
        <v>0</v>
      </c>
      <c r="F927" s="1">
        <v>33.6</v>
      </c>
      <c r="G927" s="1">
        <v>0.21199999999999999</v>
      </c>
      <c r="H927" s="1">
        <v>38</v>
      </c>
      <c r="I927" s="1">
        <v>1</v>
      </c>
      <c r="J927" s="1">
        <f>IFERROR(VLOOKUP(K927,[1]diabetes_Recognition!$A:$B,2,FALSE),"Not Sampled")</f>
        <v>1</v>
      </c>
      <c r="K927" s="1">
        <v>925</v>
      </c>
      <c r="L927" s="1" t="str">
        <f>LOOKUP(A927,Sheet2!$D$4:$E$9)</f>
        <v>8+</v>
      </c>
      <c r="M927" t="str">
        <f>LOOKUP(B927,Sheet2!$G$4:$H$9)</f>
        <v>151-175</v>
      </c>
      <c r="N927" t="str">
        <f>LOOKUP(C927,Sheet2!$J$4:$K$8)</f>
        <v>60-69</v>
      </c>
      <c r="O927" t="str">
        <f>LOOKUP(D927,Sheet2!$M$4:$N$8)</f>
        <v>30-39</v>
      </c>
      <c r="P927" t="str">
        <f>LOOKUP(E927,Sheet2!$P$4:$Q$9)</f>
        <v>Unknown</v>
      </c>
      <c r="Q927" t="str">
        <f>LOOKUP(F927,Sheet2!$S$4:$T$8)</f>
        <v>31-35</v>
      </c>
      <c r="R927" t="str">
        <f>LOOKUP(G927,Sheet2!$V$4:$W$7)</f>
        <v>0.0 - 0.249</v>
      </c>
      <c r="S927" t="str">
        <f>LOOKUP(H927,Sheet2!$Z$4:$AA$7)</f>
        <v>36-45</v>
      </c>
      <c r="T927" t="str">
        <f t="shared" si="42"/>
        <v>Positive</v>
      </c>
      <c r="U927" t="str">
        <f t="shared" si="43"/>
        <v>Positive</v>
      </c>
      <c r="V927" s="1" t="str">
        <f t="shared" si="44"/>
        <v>Accurate Prediction</v>
      </c>
    </row>
    <row r="928" spans="1:22" x14ac:dyDescent="0.25">
      <c r="A928" s="1">
        <v>1</v>
      </c>
      <c r="B928" s="1">
        <v>135</v>
      </c>
      <c r="C928" s="1">
        <v>54</v>
      </c>
      <c r="D928" s="1">
        <v>0</v>
      </c>
      <c r="E928" s="1">
        <v>0</v>
      </c>
      <c r="F928" s="1">
        <v>26.7</v>
      </c>
      <c r="G928" s="1">
        <v>0.68700000000000006</v>
      </c>
      <c r="H928" s="1">
        <v>62</v>
      </c>
      <c r="I928" s="1">
        <v>0</v>
      </c>
      <c r="J928" s="1">
        <f>IFERROR(VLOOKUP(K928,[1]diabetes_Recognition!$A:$B,2,FALSE),"Not Sampled")</f>
        <v>0</v>
      </c>
      <c r="K928" s="1">
        <v>926</v>
      </c>
      <c r="L928" s="1">
        <f>LOOKUP(A928,Sheet2!$D$4:$E$9)</f>
        <v>1</v>
      </c>
      <c r="M928" t="str">
        <f>LOOKUP(B928,Sheet2!$G$4:$H$9)</f>
        <v>126-150</v>
      </c>
      <c r="N928" t="str">
        <f>LOOKUP(C928,Sheet2!$J$4:$K$8)</f>
        <v>1-59</v>
      </c>
      <c r="O928" t="str">
        <f>LOOKUP(D928,Sheet2!$M$4:$N$8)</f>
        <v>Unknown</v>
      </c>
      <c r="P928" t="str">
        <f>LOOKUP(E928,Sheet2!$P$4:$Q$9)</f>
        <v>Unknown</v>
      </c>
      <c r="Q928" t="str">
        <f>LOOKUP(F928,Sheet2!$S$4:$T$8)</f>
        <v>26-30</v>
      </c>
      <c r="R928" t="str">
        <f>LOOKUP(G928,Sheet2!$V$4:$W$7)</f>
        <v>0.4 - 0.69</v>
      </c>
      <c r="S928" t="str">
        <f>LOOKUP(H928,Sheet2!$Z$4:$AA$7)</f>
        <v>46+</v>
      </c>
      <c r="T928" t="str">
        <f t="shared" si="42"/>
        <v>Negative</v>
      </c>
      <c r="U928" t="str">
        <f t="shared" si="43"/>
        <v>Negative</v>
      </c>
      <c r="V928" s="1" t="str">
        <f t="shared" si="44"/>
        <v>Accurate Prediction</v>
      </c>
    </row>
    <row r="929" spans="1:22" x14ac:dyDescent="0.25">
      <c r="A929" s="1">
        <v>5</v>
      </c>
      <c r="B929" s="1">
        <v>86</v>
      </c>
      <c r="C929" s="1">
        <v>68</v>
      </c>
      <c r="D929" s="1">
        <v>28</v>
      </c>
      <c r="E929" s="1">
        <v>71</v>
      </c>
      <c r="F929" s="1">
        <v>30.2</v>
      </c>
      <c r="G929" s="1">
        <v>0.36399999999999999</v>
      </c>
      <c r="H929" s="1">
        <v>24</v>
      </c>
      <c r="I929" s="1">
        <v>0</v>
      </c>
      <c r="J929" s="1">
        <f>IFERROR(VLOOKUP(K929,[1]diabetes_Recognition!$A:$B,2,FALSE),"Not Sampled")</f>
        <v>0</v>
      </c>
      <c r="K929" s="1">
        <v>927</v>
      </c>
      <c r="L929" s="1" t="str">
        <f>LOOKUP(A929,Sheet2!$D$4:$E$9)</f>
        <v>5-7</v>
      </c>
      <c r="M929" t="str">
        <f>LOOKUP(B929,Sheet2!$G$4:$H$9)</f>
        <v>1-99</v>
      </c>
      <c r="N929" t="str">
        <f>LOOKUP(C929,Sheet2!$J$4:$K$8)</f>
        <v>60-69</v>
      </c>
      <c r="O929" t="str">
        <f>LOOKUP(D929,Sheet2!$M$4:$N$8)</f>
        <v>10-30</v>
      </c>
      <c r="P929" t="str">
        <f>LOOKUP(E929,Sheet2!$P$4:$Q$9)</f>
        <v>1-99</v>
      </c>
      <c r="Q929" t="str">
        <f>LOOKUP(F929,Sheet2!$S$4:$T$8)</f>
        <v>26-30</v>
      </c>
      <c r="R929" t="str">
        <f>LOOKUP(G929,Sheet2!$V$4:$W$7)</f>
        <v>0.25 - 0.39</v>
      </c>
      <c r="S929" t="str">
        <f>LOOKUP(H929,Sheet2!$Z$4:$AA$7)</f>
        <v>&lt;=25</v>
      </c>
      <c r="T929" t="str">
        <f t="shared" si="42"/>
        <v>Negative</v>
      </c>
      <c r="U929" t="str">
        <f t="shared" si="43"/>
        <v>Negative</v>
      </c>
      <c r="V929" s="1" t="str">
        <f t="shared" si="44"/>
        <v>Accurate Prediction</v>
      </c>
    </row>
    <row r="930" spans="1:22" x14ac:dyDescent="0.25">
      <c r="A930" s="1">
        <v>10</v>
      </c>
      <c r="B930" s="1">
        <v>148</v>
      </c>
      <c r="C930" s="1">
        <v>84</v>
      </c>
      <c r="D930" s="1">
        <v>48</v>
      </c>
      <c r="E930" s="1">
        <v>237</v>
      </c>
      <c r="F930" s="1">
        <v>37.6</v>
      </c>
      <c r="G930" s="1">
        <v>1.0009999999999999</v>
      </c>
      <c r="H930" s="1">
        <v>51</v>
      </c>
      <c r="I930" s="1">
        <v>1</v>
      </c>
      <c r="J930" s="1" t="str">
        <f>IFERROR(VLOOKUP(K930,[1]diabetes_Recognition!$A:$B,2,FALSE),"Not Sampled")</f>
        <v>Not Sampled</v>
      </c>
      <c r="K930" s="1">
        <v>928</v>
      </c>
      <c r="L930" s="1" t="str">
        <f>LOOKUP(A930,Sheet2!$D$4:$E$9)</f>
        <v>8+</v>
      </c>
      <c r="M930" t="str">
        <f>LOOKUP(B930,Sheet2!$G$4:$H$9)</f>
        <v>126-150</v>
      </c>
      <c r="N930" t="str">
        <f>LOOKUP(C930,Sheet2!$J$4:$K$8)</f>
        <v>80+</v>
      </c>
      <c r="O930" t="str">
        <f>LOOKUP(D930,Sheet2!$M$4:$N$8)</f>
        <v>40+</v>
      </c>
      <c r="P930" t="str">
        <f>LOOKUP(E930,Sheet2!$P$4:$Q$9)</f>
        <v>200-399</v>
      </c>
      <c r="Q930" t="str">
        <f>LOOKUP(F930,Sheet2!$S$4:$T$8)</f>
        <v>36+</v>
      </c>
      <c r="R930" t="str">
        <f>LOOKUP(G930,Sheet2!$V$4:$W$7)</f>
        <v>0.7+</v>
      </c>
      <c r="S930" t="str">
        <f>LOOKUP(H930,Sheet2!$Z$4:$AA$7)</f>
        <v>46+</v>
      </c>
      <c r="T930" t="str">
        <f t="shared" si="42"/>
        <v>Positive</v>
      </c>
      <c r="U930" t="str">
        <f t="shared" si="43"/>
        <v>Not Sampled</v>
      </c>
      <c r="V930" s="1" t="str">
        <f t="shared" si="44"/>
        <v>Not Sampled</v>
      </c>
    </row>
    <row r="931" spans="1:22" x14ac:dyDescent="0.25">
      <c r="A931" s="1">
        <v>9</v>
      </c>
      <c r="B931" s="1">
        <v>134</v>
      </c>
      <c r="C931" s="1">
        <v>74</v>
      </c>
      <c r="D931" s="1">
        <v>33</v>
      </c>
      <c r="E931" s="1">
        <v>60</v>
      </c>
      <c r="F931" s="1">
        <v>25.9</v>
      </c>
      <c r="G931" s="1">
        <v>0.46</v>
      </c>
      <c r="H931" s="1">
        <v>81</v>
      </c>
      <c r="I931" s="1">
        <v>0</v>
      </c>
      <c r="J931" s="1" t="str">
        <f>IFERROR(VLOOKUP(K931,[1]diabetes_Recognition!$A:$B,2,FALSE),"Not Sampled")</f>
        <v>Not Sampled</v>
      </c>
      <c r="K931" s="1">
        <v>929</v>
      </c>
      <c r="L931" s="1" t="str">
        <f>LOOKUP(A931,Sheet2!$D$4:$E$9)</f>
        <v>8+</v>
      </c>
      <c r="M931" t="str">
        <f>LOOKUP(B931,Sheet2!$G$4:$H$9)</f>
        <v>126-150</v>
      </c>
      <c r="N931" t="str">
        <f>LOOKUP(C931,Sheet2!$J$4:$K$8)</f>
        <v>70-79</v>
      </c>
      <c r="O931" t="str">
        <f>LOOKUP(D931,Sheet2!$M$4:$N$8)</f>
        <v>30-39</v>
      </c>
      <c r="P931" t="str">
        <f>LOOKUP(E931,Sheet2!$P$4:$Q$9)</f>
        <v>1-99</v>
      </c>
      <c r="Q931" t="str">
        <f>LOOKUP(F931,Sheet2!$S$4:$T$8)</f>
        <v>1-25</v>
      </c>
      <c r="R931" t="str">
        <f>LOOKUP(G931,Sheet2!$V$4:$W$7)</f>
        <v>0.4 - 0.69</v>
      </c>
      <c r="S931" t="str">
        <f>LOOKUP(H931,Sheet2!$Z$4:$AA$7)</f>
        <v>46+</v>
      </c>
      <c r="T931" t="str">
        <f t="shared" si="42"/>
        <v>Negative</v>
      </c>
      <c r="U931" t="str">
        <f t="shared" si="43"/>
        <v>Not Sampled</v>
      </c>
      <c r="V931" s="1" t="str">
        <f t="shared" si="44"/>
        <v>Not Sampled</v>
      </c>
    </row>
    <row r="932" spans="1:22" x14ac:dyDescent="0.25">
      <c r="A932" s="1">
        <v>9</v>
      </c>
      <c r="B932" s="1">
        <v>120</v>
      </c>
      <c r="C932" s="1">
        <v>72</v>
      </c>
      <c r="D932" s="1">
        <v>22</v>
      </c>
      <c r="E932" s="1">
        <v>56</v>
      </c>
      <c r="F932" s="1">
        <v>20.8</v>
      </c>
      <c r="G932" s="1">
        <v>0.73299999999999998</v>
      </c>
      <c r="H932" s="1">
        <v>48</v>
      </c>
      <c r="I932" s="1">
        <v>0</v>
      </c>
      <c r="J932" s="1" t="str">
        <f>IFERROR(VLOOKUP(K932,[1]diabetes_Recognition!$A:$B,2,FALSE),"Not Sampled")</f>
        <v>Not Sampled</v>
      </c>
      <c r="K932" s="1">
        <v>930</v>
      </c>
      <c r="L932" s="1" t="str">
        <f>LOOKUP(A932,Sheet2!$D$4:$E$9)</f>
        <v>8+</v>
      </c>
      <c r="M932" t="str">
        <f>LOOKUP(B932,Sheet2!$G$4:$H$9)</f>
        <v>100-125</v>
      </c>
      <c r="N932" t="str">
        <f>LOOKUP(C932,Sheet2!$J$4:$K$8)</f>
        <v>70-79</v>
      </c>
      <c r="O932" t="str">
        <f>LOOKUP(D932,Sheet2!$M$4:$N$8)</f>
        <v>10-30</v>
      </c>
      <c r="P932" t="str">
        <f>LOOKUP(E932,Sheet2!$P$4:$Q$9)</f>
        <v>1-99</v>
      </c>
      <c r="Q932" t="str">
        <f>LOOKUP(F932,Sheet2!$S$4:$T$8)</f>
        <v>1-25</v>
      </c>
      <c r="R932" t="str">
        <f>LOOKUP(G932,Sheet2!$V$4:$W$7)</f>
        <v>0.7+</v>
      </c>
      <c r="S932" t="str">
        <f>LOOKUP(H932,Sheet2!$Z$4:$AA$7)</f>
        <v>46+</v>
      </c>
      <c r="T932" t="str">
        <f t="shared" si="42"/>
        <v>Negative</v>
      </c>
      <c r="U932" t="str">
        <f t="shared" si="43"/>
        <v>Not Sampled</v>
      </c>
      <c r="V932" s="1" t="str">
        <f t="shared" si="44"/>
        <v>Not Sampled</v>
      </c>
    </row>
    <row r="933" spans="1:22" x14ac:dyDescent="0.25">
      <c r="A933" s="1">
        <v>1</v>
      </c>
      <c r="B933" s="1">
        <v>71</v>
      </c>
      <c r="C933" s="1">
        <v>62</v>
      </c>
      <c r="D933" s="1">
        <v>0</v>
      </c>
      <c r="E933" s="1">
        <v>0</v>
      </c>
      <c r="F933" s="1">
        <v>21.8</v>
      </c>
      <c r="G933" s="1">
        <v>0.41599999999999998</v>
      </c>
      <c r="H933" s="1">
        <v>26</v>
      </c>
      <c r="I933" s="1">
        <v>0</v>
      </c>
      <c r="J933" s="1">
        <f>IFERROR(VLOOKUP(K933,[1]diabetes_Recognition!$A:$B,2,FALSE),"Not Sampled")</f>
        <v>0</v>
      </c>
      <c r="K933" s="1">
        <v>931</v>
      </c>
      <c r="L933" s="1">
        <f>LOOKUP(A933,Sheet2!$D$4:$E$9)</f>
        <v>1</v>
      </c>
      <c r="M933" t="str">
        <f>LOOKUP(B933,Sheet2!$G$4:$H$9)</f>
        <v>1-99</v>
      </c>
      <c r="N933" t="str">
        <f>LOOKUP(C933,Sheet2!$J$4:$K$8)</f>
        <v>60-69</v>
      </c>
      <c r="O933" t="str">
        <f>LOOKUP(D933,Sheet2!$M$4:$N$8)</f>
        <v>Unknown</v>
      </c>
      <c r="P933" t="str">
        <f>LOOKUP(E933,Sheet2!$P$4:$Q$9)</f>
        <v>Unknown</v>
      </c>
      <c r="Q933" t="str">
        <f>LOOKUP(F933,Sheet2!$S$4:$T$8)</f>
        <v>1-25</v>
      </c>
      <c r="R933" t="str">
        <f>LOOKUP(G933,Sheet2!$V$4:$W$7)</f>
        <v>0.4 - 0.69</v>
      </c>
      <c r="S933" t="str">
        <f>LOOKUP(H933,Sheet2!$Z$4:$AA$7)</f>
        <v>26-35</v>
      </c>
      <c r="T933" t="str">
        <f t="shared" si="42"/>
        <v>Negative</v>
      </c>
      <c r="U933" t="str">
        <f t="shared" si="43"/>
        <v>Negative</v>
      </c>
      <c r="V933" s="1" t="str">
        <f t="shared" si="44"/>
        <v>Accurate Prediction</v>
      </c>
    </row>
    <row r="934" spans="1:22" x14ac:dyDescent="0.25">
      <c r="A934" s="1">
        <v>8</v>
      </c>
      <c r="B934" s="1">
        <v>74</v>
      </c>
      <c r="C934" s="1">
        <v>70</v>
      </c>
      <c r="D934" s="1">
        <v>40</v>
      </c>
      <c r="E934" s="1">
        <v>49</v>
      </c>
      <c r="F934" s="1">
        <v>35.299999999999997</v>
      </c>
      <c r="G934" s="1">
        <v>0.70499999999999996</v>
      </c>
      <c r="H934" s="1">
        <v>39</v>
      </c>
      <c r="I934" s="1">
        <v>0</v>
      </c>
      <c r="J934" s="1" t="str">
        <f>IFERROR(VLOOKUP(K934,[1]diabetes_Recognition!$A:$B,2,FALSE),"Not Sampled")</f>
        <v>Not Sampled</v>
      </c>
      <c r="K934" s="1">
        <v>932</v>
      </c>
      <c r="L934" s="1" t="str">
        <f>LOOKUP(A934,Sheet2!$D$4:$E$9)</f>
        <v>8+</v>
      </c>
      <c r="M934" t="str">
        <f>LOOKUP(B934,Sheet2!$G$4:$H$9)</f>
        <v>1-99</v>
      </c>
      <c r="N934" t="str">
        <f>LOOKUP(C934,Sheet2!$J$4:$K$8)</f>
        <v>70-79</v>
      </c>
      <c r="O934" t="str">
        <f>LOOKUP(D934,Sheet2!$M$4:$N$8)</f>
        <v>40+</v>
      </c>
      <c r="P934" t="str">
        <f>LOOKUP(E934,Sheet2!$P$4:$Q$9)</f>
        <v>1-99</v>
      </c>
      <c r="Q934" t="str">
        <f>LOOKUP(F934,Sheet2!$S$4:$T$8)</f>
        <v>31-35</v>
      </c>
      <c r="R934" t="str">
        <f>LOOKUP(G934,Sheet2!$V$4:$W$7)</f>
        <v>0.7+</v>
      </c>
      <c r="S934" t="str">
        <f>LOOKUP(H934,Sheet2!$Z$4:$AA$7)</f>
        <v>36-45</v>
      </c>
      <c r="T934" t="str">
        <f t="shared" si="42"/>
        <v>Negative</v>
      </c>
      <c r="U934" t="str">
        <f t="shared" si="43"/>
        <v>Not Sampled</v>
      </c>
      <c r="V934" s="1" t="str">
        <f t="shared" si="44"/>
        <v>Not Sampled</v>
      </c>
    </row>
    <row r="935" spans="1:22" x14ac:dyDescent="0.25">
      <c r="A935" s="1">
        <v>5</v>
      </c>
      <c r="B935" s="1">
        <v>88</v>
      </c>
      <c r="C935" s="1">
        <v>78</v>
      </c>
      <c r="D935" s="1">
        <v>30</v>
      </c>
      <c r="E935" s="1">
        <v>0</v>
      </c>
      <c r="F935" s="1">
        <v>27.6</v>
      </c>
      <c r="G935" s="1">
        <v>0.25800000000000001</v>
      </c>
      <c r="H935" s="1">
        <v>37</v>
      </c>
      <c r="I935" s="1">
        <v>0</v>
      </c>
      <c r="J935" s="1" t="str">
        <f>IFERROR(VLOOKUP(K935,[1]diabetes_Recognition!$A:$B,2,FALSE),"Not Sampled")</f>
        <v>Not Sampled</v>
      </c>
      <c r="K935" s="1">
        <v>933</v>
      </c>
      <c r="L935" s="1" t="str">
        <f>LOOKUP(A935,Sheet2!$D$4:$E$9)</f>
        <v>5-7</v>
      </c>
      <c r="M935" t="str">
        <f>LOOKUP(B935,Sheet2!$G$4:$H$9)</f>
        <v>1-99</v>
      </c>
      <c r="N935" t="str">
        <f>LOOKUP(C935,Sheet2!$J$4:$K$8)</f>
        <v>70-79</v>
      </c>
      <c r="O935" t="str">
        <f>LOOKUP(D935,Sheet2!$M$4:$N$8)</f>
        <v>30-39</v>
      </c>
      <c r="P935" t="str">
        <f>LOOKUP(E935,Sheet2!$P$4:$Q$9)</f>
        <v>Unknown</v>
      </c>
      <c r="Q935" t="str">
        <f>LOOKUP(F935,Sheet2!$S$4:$T$8)</f>
        <v>26-30</v>
      </c>
      <c r="R935" t="str">
        <f>LOOKUP(G935,Sheet2!$V$4:$W$7)</f>
        <v>0.25 - 0.39</v>
      </c>
      <c r="S935" t="str">
        <f>LOOKUP(H935,Sheet2!$Z$4:$AA$7)</f>
        <v>36-45</v>
      </c>
      <c r="T935" t="str">
        <f t="shared" si="42"/>
        <v>Negative</v>
      </c>
      <c r="U935" t="str">
        <f t="shared" si="43"/>
        <v>Not Sampled</v>
      </c>
      <c r="V935" s="1" t="str">
        <f t="shared" si="44"/>
        <v>Not Sampled</v>
      </c>
    </row>
    <row r="936" spans="1:22" x14ac:dyDescent="0.25">
      <c r="A936" s="1">
        <v>10</v>
      </c>
      <c r="B936" s="1">
        <v>115</v>
      </c>
      <c r="C936" s="1">
        <v>98</v>
      </c>
      <c r="D936" s="1">
        <v>0</v>
      </c>
      <c r="E936" s="1">
        <v>0</v>
      </c>
      <c r="F936" s="1">
        <v>24</v>
      </c>
      <c r="G936" s="1">
        <v>1.022</v>
      </c>
      <c r="H936" s="1">
        <v>34</v>
      </c>
      <c r="I936" s="1">
        <v>0</v>
      </c>
      <c r="J936" s="1" t="str">
        <f>IFERROR(VLOOKUP(K936,[1]diabetes_Recognition!$A:$B,2,FALSE),"Not Sampled")</f>
        <v>Not Sampled</v>
      </c>
      <c r="K936" s="1">
        <v>934</v>
      </c>
      <c r="L936" s="1" t="str">
        <f>LOOKUP(A936,Sheet2!$D$4:$E$9)</f>
        <v>8+</v>
      </c>
      <c r="M936" t="str">
        <f>LOOKUP(B936,Sheet2!$G$4:$H$9)</f>
        <v>100-125</v>
      </c>
      <c r="N936" t="str">
        <f>LOOKUP(C936,Sheet2!$J$4:$K$8)</f>
        <v>80+</v>
      </c>
      <c r="O936" t="str">
        <f>LOOKUP(D936,Sheet2!$M$4:$N$8)</f>
        <v>Unknown</v>
      </c>
      <c r="P936" t="str">
        <f>LOOKUP(E936,Sheet2!$P$4:$Q$9)</f>
        <v>Unknown</v>
      </c>
      <c r="Q936" t="str">
        <f>LOOKUP(F936,Sheet2!$S$4:$T$8)</f>
        <v>1-25</v>
      </c>
      <c r="R936" t="str">
        <f>LOOKUP(G936,Sheet2!$V$4:$W$7)</f>
        <v>0.7+</v>
      </c>
      <c r="S936" t="str">
        <f>LOOKUP(H936,Sheet2!$Z$4:$AA$7)</f>
        <v>26-35</v>
      </c>
      <c r="T936" t="str">
        <f t="shared" si="42"/>
        <v>Negative</v>
      </c>
      <c r="U936" t="str">
        <f t="shared" si="43"/>
        <v>Not Sampled</v>
      </c>
      <c r="V936" s="1" t="str">
        <f t="shared" si="44"/>
        <v>Not Sampled</v>
      </c>
    </row>
    <row r="937" spans="1:22" x14ac:dyDescent="0.25">
      <c r="A937" s="1">
        <v>0</v>
      </c>
      <c r="B937" s="1">
        <v>124</v>
      </c>
      <c r="C937" s="1">
        <v>56</v>
      </c>
      <c r="D937" s="1">
        <v>13</v>
      </c>
      <c r="E937" s="1">
        <v>105</v>
      </c>
      <c r="F937" s="1">
        <v>21.8</v>
      </c>
      <c r="G937" s="1">
        <v>0.45200000000000001</v>
      </c>
      <c r="H937" s="1">
        <v>21</v>
      </c>
      <c r="I937" s="1">
        <v>0</v>
      </c>
      <c r="J937" s="1" t="str">
        <f>IFERROR(VLOOKUP(K937,[1]diabetes_Recognition!$A:$B,2,FALSE),"Not Sampled")</f>
        <v>Not Sampled</v>
      </c>
      <c r="K937" s="1">
        <v>935</v>
      </c>
      <c r="L937" s="1">
        <f>LOOKUP(A937,Sheet2!$D$4:$E$9)</f>
        <v>0</v>
      </c>
      <c r="M937" t="str">
        <f>LOOKUP(B937,Sheet2!$G$4:$H$9)</f>
        <v>100-125</v>
      </c>
      <c r="N937" t="str">
        <f>LOOKUP(C937,Sheet2!$J$4:$K$8)</f>
        <v>1-59</v>
      </c>
      <c r="O937" t="str">
        <f>LOOKUP(D937,Sheet2!$M$4:$N$8)</f>
        <v>10-30</v>
      </c>
      <c r="P937" t="str">
        <f>LOOKUP(E937,Sheet2!$P$4:$Q$9)</f>
        <v>100-199</v>
      </c>
      <c r="Q937" t="str">
        <f>LOOKUP(F937,Sheet2!$S$4:$T$8)</f>
        <v>1-25</v>
      </c>
      <c r="R937" t="str">
        <f>LOOKUP(G937,Sheet2!$V$4:$W$7)</f>
        <v>0.4 - 0.69</v>
      </c>
      <c r="S937" t="str">
        <f>LOOKUP(H937,Sheet2!$Z$4:$AA$7)</f>
        <v>&lt;=25</v>
      </c>
      <c r="T937" t="str">
        <f t="shared" si="42"/>
        <v>Negative</v>
      </c>
      <c r="U937" t="str">
        <f t="shared" si="43"/>
        <v>Not Sampled</v>
      </c>
      <c r="V937" s="1" t="str">
        <f t="shared" si="44"/>
        <v>Not Sampled</v>
      </c>
    </row>
    <row r="938" spans="1:22" x14ac:dyDescent="0.25">
      <c r="A938" s="1">
        <v>0</v>
      </c>
      <c r="B938" s="1">
        <v>74</v>
      </c>
      <c r="C938" s="1">
        <v>52</v>
      </c>
      <c r="D938" s="1">
        <v>10</v>
      </c>
      <c r="E938" s="1">
        <v>36</v>
      </c>
      <c r="F938" s="1">
        <v>27.8</v>
      </c>
      <c r="G938" s="1">
        <v>0.26900000000000002</v>
      </c>
      <c r="H938" s="1">
        <v>22</v>
      </c>
      <c r="I938" s="1">
        <v>0</v>
      </c>
      <c r="J938" s="1" t="str">
        <f>IFERROR(VLOOKUP(K938,[1]diabetes_Recognition!$A:$B,2,FALSE),"Not Sampled")</f>
        <v>Not Sampled</v>
      </c>
      <c r="K938" s="1">
        <v>936</v>
      </c>
      <c r="L938" s="1">
        <f>LOOKUP(A938,Sheet2!$D$4:$E$9)</f>
        <v>0</v>
      </c>
      <c r="M938" t="str">
        <f>LOOKUP(B938,Sheet2!$G$4:$H$9)</f>
        <v>1-99</v>
      </c>
      <c r="N938" t="str">
        <f>LOOKUP(C938,Sheet2!$J$4:$K$8)</f>
        <v>1-59</v>
      </c>
      <c r="O938" t="str">
        <f>LOOKUP(D938,Sheet2!$M$4:$N$8)</f>
        <v>10-30</v>
      </c>
      <c r="P938" t="str">
        <f>LOOKUP(E938,Sheet2!$P$4:$Q$9)</f>
        <v>1-99</v>
      </c>
      <c r="Q938" t="str">
        <f>LOOKUP(F938,Sheet2!$S$4:$T$8)</f>
        <v>26-30</v>
      </c>
      <c r="R938" t="str">
        <f>LOOKUP(G938,Sheet2!$V$4:$W$7)</f>
        <v>0.25 - 0.39</v>
      </c>
      <c r="S938" t="str">
        <f>LOOKUP(H938,Sheet2!$Z$4:$AA$7)</f>
        <v>&lt;=25</v>
      </c>
      <c r="T938" t="str">
        <f t="shared" si="42"/>
        <v>Negative</v>
      </c>
      <c r="U938" t="str">
        <f t="shared" si="43"/>
        <v>Not Sampled</v>
      </c>
      <c r="V938" s="1" t="str">
        <f t="shared" si="44"/>
        <v>Not Sampled</v>
      </c>
    </row>
    <row r="939" spans="1:22" x14ac:dyDescent="0.25">
      <c r="A939" s="1">
        <v>0</v>
      </c>
      <c r="B939" s="1">
        <v>97</v>
      </c>
      <c r="C939" s="1">
        <v>64</v>
      </c>
      <c r="D939" s="1">
        <v>36</v>
      </c>
      <c r="E939" s="1">
        <v>100</v>
      </c>
      <c r="F939" s="1">
        <v>36.799999999999997</v>
      </c>
      <c r="G939" s="1">
        <v>0.6</v>
      </c>
      <c r="H939" s="1">
        <v>25</v>
      </c>
      <c r="I939" s="1">
        <v>0</v>
      </c>
      <c r="J939" s="1" t="str">
        <f>IFERROR(VLOOKUP(K939,[1]diabetes_Recognition!$A:$B,2,FALSE),"Not Sampled")</f>
        <v>Not Sampled</v>
      </c>
      <c r="K939" s="1">
        <v>937</v>
      </c>
      <c r="L939" s="1">
        <f>LOOKUP(A939,Sheet2!$D$4:$E$9)</f>
        <v>0</v>
      </c>
      <c r="M939" t="str">
        <f>LOOKUP(B939,Sheet2!$G$4:$H$9)</f>
        <v>1-99</v>
      </c>
      <c r="N939" t="str">
        <f>LOOKUP(C939,Sheet2!$J$4:$K$8)</f>
        <v>60-69</v>
      </c>
      <c r="O939" t="str">
        <f>LOOKUP(D939,Sheet2!$M$4:$N$8)</f>
        <v>30-39</v>
      </c>
      <c r="P939" t="str">
        <f>LOOKUP(E939,Sheet2!$P$4:$Q$9)</f>
        <v>100-199</v>
      </c>
      <c r="Q939" t="str">
        <f>LOOKUP(F939,Sheet2!$S$4:$T$8)</f>
        <v>36+</v>
      </c>
      <c r="R939" t="str">
        <f>LOOKUP(G939,Sheet2!$V$4:$W$7)</f>
        <v>0.4 - 0.69</v>
      </c>
      <c r="S939" t="str">
        <f>LOOKUP(H939,Sheet2!$Z$4:$AA$7)</f>
        <v>&lt;=25</v>
      </c>
      <c r="T939" t="str">
        <f t="shared" si="42"/>
        <v>Negative</v>
      </c>
      <c r="U939" t="str">
        <f t="shared" si="43"/>
        <v>Not Sampled</v>
      </c>
      <c r="V939" s="1" t="str">
        <f t="shared" si="44"/>
        <v>Not Sampled</v>
      </c>
    </row>
    <row r="940" spans="1:22" x14ac:dyDescent="0.25">
      <c r="A940" s="1">
        <v>8</v>
      </c>
      <c r="B940" s="1">
        <v>120</v>
      </c>
      <c r="C940" s="1">
        <v>0</v>
      </c>
      <c r="D940" s="1">
        <v>0</v>
      </c>
      <c r="E940" s="1">
        <v>0</v>
      </c>
      <c r="F940" s="1">
        <v>30</v>
      </c>
      <c r="G940" s="1">
        <v>0.183</v>
      </c>
      <c r="H940" s="1">
        <v>38</v>
      </c>
      <c r="I940" s="1">
        <v>1</v>
      </c>
      <c r="J940" s="1" t="str">
        <f>IFERROR(VLOOKUP(K940,[1]diabetes_Recognition!$A:$B,2,FALSE),"Not Sampled")</f>
        <v>Not Sampled</v>
      </c>
      <c r="K940" s="1">
        <v>938</v>
      </c>
      <c r="L940" s="1" t="str">
        <f>LOOKUP(A940,Sheet2!$D$4:$E$9)</f>
        <v>8+</v>
      </c>
      <c r="M940" t="str">
        <f>LOOKUP(B940,Sheet2!$G$4:$H$9)</f>
        <v>100-125</v>
      </c>
      <c r="N940" t="str">
        <f>LOOKUP(C940,Sheet2!$J$4:$K$8)</f>
        <v>Unknown</v>
      </c>
      <c r="O940" t="str">
        <f>LOOKUP(D940,Sheet2!$M$4:$N$8)</f>
        <v>Unknown</v>
      </c>
      <c r="P940" t="str">
        <f>LOOKUP(E940,Sheet2!$P$4:$Q$9)</f>
        <v>Unknown</v>
      </c>
      <c r="Q940" t="str">
        <f>LOOKUP(F940,Sheet2!$S$4:$T$8)</f>
        <v>26-30</v>
      </c>
      <c r="R940" t="str">
        <f>LOOKUP(G940,Sheet2!$V$4:$W$7)</f>
        <v>0.0 - 0.249</v>
      </c>
      <c r="S940" t="str">
        <f>LOOKUP(H940,Sheet2!$Z$4:$AA$7)</f>
        <v>36-45</v>
      </c>
      <c r="T940" t="str">
        <f t="shared" si="42"/>
        <v>Positive</v>
      </c>
      <c r="U940" t="str">
        <f t="shared" si="43"/>
        <v>Not Sampled</v>
      </c>
      <c r="V940" s="1" t="str">
        <f t="shared" si="44"/>
        <v>Not Sampled</v>
      </c>
    </row>
    <row r="941" spans="1:22" x14ac:dyDescent="0.25">
      <c r="A941" s="1">
        <v>6</v>
      </c>
      <c r="B941" s="1">
        <v>154</v>
      </c>
      <c r="C941" s="1">
        <v>78</v>
      </c>
      <c r="D941" s="1">
        <v>41</v>
      </c>
      <c r="E941" s="1">
        <v>140</v>
      </c>
      <c r="F941" s="1">
        <v>46.1</v>
      </c>
      <c r="G941" s="1">
        <v>0.57099999999999995</v>
      </c>
      <c r="H941" s="1">
        <v>27</v>
      </c>
      <c r="I941" s="1">
        <v>0</v>
      </c>
      <c r="J941" s="1" t="str">
        <f>IFERROR(VLOOKUP(K941,[1]diabetes_Recognition!$A:$B,2,FALSE),"Not Sampled")</f>
        <v>Not Sampled</v>
      </c>
      <c r="K941" s="1">
        <v>939</v>
      </c>
      <c r="L941" s="1" t="str">
        <f>LOOKUP(A941,Sheet2!$D$4:$E$9)</f>
        <v>5-7</v>
      </c>
      <c r="M941" t="str">
        <f>LOOKUP(B941,Sheet2!$G$4:$H$9)</f>
        <v>151-175</v>
      </c>
      <c r="N941" t="str">
        <f>LOOKUP(C941,Sheet2!$J$4:$K$8)</f>
        <v>70-79</v>
      </c>
      <c r="O941" t="str">
        <f>LOOKUP(D941,Sheet2!$M$4:$N$8)</f>
        <v>40+</v>
      </c>
      <c r="P941" t="str">
        <f>LOOKUP(E941,Sheet2!$P$4:$Q$9)</f>
        <v>100-199</v>
      </c>
      <c r="Q941" t="str">
        <f>LOOKUP(F941,Sheet2!$S$4:$T$8)</f>
        <v>36+</v>
      </c>
      <c r="R941" t="str">
        <f>LOOKUP(G941,Sheet2!$V$4:$W$7)</f>
        <v>0.4 - 0.69</v>
      </c>
      <c r="S941" t="str">
        <f>LOOKUP(H941,Sheet2!$Z$4:$AA$7)</f>
        <v>26-35</v>
      </c>
      <c r="T941" t="str">
        <f t="shared" si="42"/>
        <v>Negative</v>
      </c>
      <c r="U941" t="str">
        <f t="shared" si="43"/>
        <v>Not Sampled</v>
      </c>
      <c r="V941" s="1" t="str">
        <f t="shared" si="44"/>
        <v>Not Sampled</v>
      </c>
    </row>
    <row r="942" spans="1:22" x14ac:dyDescent="0.25">
      <c r="A942" s="1">
        <v>1</v>
      </c>
      <c r="B942" s="1">
        <v>144</v>
      </c>
      <c r="C942" s="1">
        <v>82</v>
      </c>
      <c r="D942" s="1">
        <v>40</v>
      </c>
      <c r="E942" s="1">
        <v>0</v>
      </c>
      <c r="F942" s="1">
        <v>41.3</v>
      </c>
      <c r="G942" s="1">
        <v>0.60699999999999998</v>
      </c>
      <c r="H942" s="1">
        <v>28</v>
      </c>
      <c r="I942" s="1">
        <v>0</v>
      </c>
      <c r="J942" s="1" t="str">
        <f>IFERROR(VLOOKUP(K942,[1]diabetes_Recognition!$A:$B,2,FALSE),"Not Sampled")</f>
        <v>Not Sampled</v>
      </c>
      <c r="K942" s="1">
        <v>940</v>
      </c>
      <c r="L942" s="1">
        <f>LOOKUP(A942,Sheet2!$D$4:$E$9)</f>
        <v>1</v>
      </c>
      <c r="M942" t="str">
        <f>LOOKUP(B942,Sheet2!$G$4:$H$9)</f>
        <v>126-150</v>
      </c>
      <c r="N942" t="str">
        <f>LOOKUP(C942,Sheet2!$J$4:$K$8)</f>
        <v>80+</v>
      </c>
      <c r="O942" t="str">
        <f>LOOKUP(D942,Sheet2!$M$4:$N$8)</f>
        <v>40+</v>
      </c>
      <c r="P942" t="str">
        <f>LOOKUP(E942,Sheet2!$P$4:$Q$9)</f>
        <v>Unknown</v>
      </c>
      <c r="Q942" t="str">
        <f>LOOKUP(F942,Sheet2!$S$4:$T$8)</f>
        <v>36+</v>
      </c>
      <c r="R942" t="str">
        <f>LOOKUP(G942,Sheet2!$V$4:$W$7)</f>
        <v>0.4 - 0.69</v>
      </c>
      <c r="S942" t="str">
        <f>LOOKUP(H942,Sheet2!$Z$4:$AA$7)</f>
        <v>26-35</v>
      </c>
      <c r="T942" t="str">
        <f t="shared" si="42"/>
        <v>Negative</v>
      </c>
      <c r="U942" t="str">
        <f t="shared" si="43"/>
        <v>Not Sampled</v>
      </c>
      <c r="V942" s="1" t="str">
        <f t="shared" si="44"/>
        <v>Not Sampled</v>
      </c>
    </row>
    <row r="943" spans="1:22" x14ac:dyDescent="0.25">
      <c r="A943" s="1">
        <v>0</v>
      </c>
      <c r="B943" s="1">
        <v>137</v>
      </c>
      <c r="C943" s="1">
        <v>70</v>
      </c>
      <c r="D943" s="1">
        <v>38</v>
      </c>
      <c r="E943" s="1">
        <v>0</v>
      </c>
      <c r="F943" s="1">
        <v>33.200000000000003</v>
      </c>
      <c r="G943" s="1">
        <v>0.17</v>
      </c>
      <c r="H943" s="1">
        <v>22</v>
      </c>
      <c r="I943" s="1">
        <v>0</v>
      </c>
      <c r="J943" s="1" t="str">
        <f>IFERROR(VLOOKUP(K943,[1]diabetes_Recognition!$A:$B,2,FALSE),"Not Sampled")</f>
        <v>Not Sampled</v>
      </c>
      <c r="K943" s="1">
        <v>941</v>
      </c>
      <c r="L943" s="1">
        <f>LOOKUP(A943,Sheet2!$D$4:$E$9)</f>
        <v>0</v>
      </c>
      <c r="M943" t="str">
        <f>LOOKUP(B943,Sheet2!$G$4:$H$9)</f>
        <v>126-150</v>
      </c>
      <c r="N943" t="str">
        <f>LOOKUP(C943,Sheet2!$J$4:$K$8)</f>
        <v>70-79</v>
      </c>
      <c r="O943" t="str">
        <f>LOOKUP(D943,Sheet2!$M$4:$N$8)</f>
        <v>30-39</v>
      </c>
      <c r="P943" t="str">
        <f>LOOKUP(E943,Sheet2!$P$4:$Q$9)</f>
        <v>Unknown</v>
      </c>
      <c r="Q943" t="str">
        <f>LOOKUP(F943,Sheet2!$S$4:$T$8)</f>
        <v>31-35</v>
      </c>
      <c r="R943" t="str">
        <f>LOOKUP(G943,Sheet2!$V$4:$W$7)</f>
        <v>0.0 - 0.249</v>
      </c>
      <c r="S943" t="str">
        <f>LOOKUP(H943,Sheet2!$Z$4:$AA$7)</f>
        <v>&lt;=25</v>
      </c>
      <c r="T943" t="str">
        <f t="shared" si="42"/>
        <v>Negative</v>
      </c>
      <c r="U943" t="str">
        <f t="shared" si="43"/>
        <v>Not Sampled</v>
      </c>
      <c r="V943" s="1" t="str">
        <f t="shared" si="44"/>
        <v>Not Sampled</v>
      </c>
    </row>
    <row r="944" spans="1:22" x14ac:dyDescent="0.25">
      <c r="A944" s="1">
        <v>0</v>
      </c>
      <c r="B944" s="1">
        <v>119</v>
      </c>
      <c r="C944" s="1">
        <v>66</v>
      </c>
      <c r="D944" s="1">
        <v>27</v>
      </c>
      <c r="E944" s="1">
        <v>0</v>
      </c>
      <c r="F944" s="1">
        <v>38.799999999999997</v>
      </c>
      <c r="G944" s="1">
        <v>0.25900000000000001</v>
      </c>
      <c r="H944" s="1">
        <v>22</v>
      </c>
      <c r="I944" s="1">
        <v>0</v>
      </c>
      <c r="J944" s="1" t="str">
        <f>IFERROR(VLOOKUP(K944,[1]diabetes_Recognition!$A:$B,2,FALSE),"Not Sampled")</f>
        <v>Not Sampled</v>
      </c>
      <c r="K944" s="1">
        <v>942</v>
      </c>
      <c r="L944" s="1">
        <f>LOOKUP(A944,Sheet2!$D$4:$E$9)</f>
        <v>0</v>
      </c>
      <c r="M944" t="str">
        <f>LOOKUP(B944,Sheet2!$G$4:$H$9)</f>
        <v>100-125</v>
      </c>
      <c r="N944" t="str">
        <f>LOOKUP(C944,Sheet2!$J$4:$K$8)</f>
        <v>60-69</v>
      </c>
      <c r="O944" t="str">
        <f>LOOKUP(D944,Sheet2!$M$4:$N$8)</f>
        <v>10-30</v>
      </c>
      <c r="P944" t="str">
        <f>LOOKUP(E944,Sheet2!$P$4:$Q$9)</f>
        <v>Unknown</v>
      </c>
      <c r="Q944" t="str">
        <f>LOOKUP(F944,Sheet2!$S$4:$T$8)</f>
        <v>36+</v>
      </c>
      <c r="R944" t="str">
        <f>LOOKUP(G944,Sheet2!$V$4:$W$7)</f>
        <v>0.25 - 0.39</v>
      </c>
      <c r="S944" t="str">
        <f>LOOKUP(H944,Sheet2!$Z$4:$AA$7)</f>
        <v>&lt;=25</v>
      </c>
      <c r="T944" t="str">
        <f t="shared" si="42"/>
        <v>Negative</v>
      </c>
      <c r="U944" t="str">
        <f t="shared" si="43"/>
        <v>Not Sampled</v>
      </c>
      <c r="V944" s="1" t="str">
        <f t="shared" si="44"/>
        <v>Not Sampled</v>
      </c>
    </row>
    <row r="945" spans="1:22" x14ac:dyDescent="0.25">
      <c r="A945" s="1">
        <v>7</v>
      </c>
      <c r="B945" s="1">
        <v>136</v>
      </c>
      <c r="C945" s="1">
        <v>90</v>
      </c>
      <c r="D945" s="1">
        <v>0</v>
      </c>
      <c r="E945" s="1">
        <v>0</v>
      </c>
      <c r="F945" s="1">
        <v>29.9</v>
      </c>
      <c r="G945" s="1">
        <v>0.21</v>
      </c>
      <c r="H945" s="1">
        <v>50</v>
      </c>
      <c r="I945" s="1">
        <v>0</v>
      </c>
      <c r="J945" s="1">
        <f>IFERROR(VLOOKUP(K945,[1]diabetes_Recognition!$A:$B,2,FALSE),"Not Sampled")</f>
        <v>0</v>
      </c>
      <c r="K945" s="1">
        <v>943</v>
      </c>
      <c r="L945" s="1" t="str">
        <f>LOOKUP(A945,Sheet2!$D$4:$E$9)</f>
        <v>5-7</v>
      </c>
      <c r="M945" t="str">
        <f>LOOKUP(B945,Sheet2!$G$4:$H$9)</f>
        <v>126-150</v>
      </c>
      <c r="N945" t="str">
        <f>LOOKUP(C945,Sheet2!$J$4:$K$8)</f>
        <v>80+</v>
      </c>
      <c r="O945" t="str">
        <f>LOOKUP(D945,Sheet2!$M$4:$N$8)</f>
        <v>Unknown</v>
      </c>
      <c r="P945" t="str">
        <f>LOOKUP(E945,Sheet2!$P$4:$Q$9)</f>
        <v>Unknown</v>
      </c>
      <c r="Q945" t="str">
        <f>LOOKUP(F945,Sheet2!$S$4:$T$8)</f>
        <v>26-30</v>
      </c>
      <c r="R945" t="str">
        <f>LOOKUP(G945,Sheet2!$V$4:$W$7)</f>
        <v>0.0 - 0.249</v>
      </c>
      <c r="S945" t="str">
        <f>LOOKUP(H945,Sheet2!$Z$4:$AA$7)</f>
        <v>46+</v>
      </c>
      <c r="T945" t="str">
        <f t="shared" si="42"/>
        <v>Negative</v>
      </c>
      <c r="U945" t="str">
        <f t="shared" si="43"/>
        <v>Negative</v>
      </c>
      <c r="V945" s="1" t="str">
        <f t="shared" si="44"/>
        <v>Accurate Prediction</v>
      </c>
    </row>
    <row r="946" spans="1:22" x14ac:dyDescent="0.25">
      <c r="A946" s="1">
        <v>4</v>
      </c>
      <c r="B946" s="1">
        <v>114</v>
      </c>
      <c r="C946" s="1">
        <v>64</v>
      </c>
      <c r="D946" s="1">
        <v>0</v>
      </c>
      <c r="E946" s="1">
        <v>0</v>
      </c>
      <c r="F946" s="1">
        <v>28.9</v>
      </c>
      <c r="G946" s="1">
        <v>0.126</v>
      </c>
      <c r="H946" s="1">
        <v>24</v>
      </c>
      <c r="I946" s="1">
        <v>0</v>
      </c>
      <c r="J946" s="1" t="str">
        <f>IFERROR(VLOOKUP(K946,[1]diabetes_Recognition!$A:$B,2,FALSE),"Not Sampled")</f>
        <v>Not Sampled</v>
      </c>
      <c r="K946" s="1">
        <v>944</v>
      </c>
      <c r="L946" s="1" t="str">
        <f>LOOKUP(A946,Sheet2!$D$4:$E$9)</f>
        <v>3-4</v>
      </c>
      <c r="M946" t="str">
        <f>LOOKUP(B946,Sheet2!$G$4:$H$9)</f>
        <v>100-125</v>
      </c>
      <c r="N946" t="str">
        <f>LOOKUP(C946,Sheet2!$J$4:$K$8)</f>
        <v>60-69</v>
      </c>
      <c r="O946" t="str">
        <f>LOOKUP(D946,Sheet2!$M$4:$N$8)</f>
        <v>Unknown</v>
      </c>
      <c r="P946" t="str">
        <f>LOOKUP(E946,Sheet2!$P$4:$Q$9)</f>
        <v>Unknown</v>
      </c>
      <c r="Q946" t="str">
        <f>LOOKUP(F946,Sheet2!$S$4:$T$8)</f>
        <v>26-30</v>
      </c>
      <c r="R946" t="str">
        <f>LOOKUP(G946,Sheet2!$V$4:$W$7)</f>
        <v>0.0 - 0.249</v>
      </c>
      <c r="S946" t="str">
        <f>LOOKUP(H946,Sheet2!$Z$4:$AA$7)</f>
        <v>&lt;=25</v>
      </c>
      <c r="T946" t="str">
        <f t="shared" si="42"/>
        <v>Negative</v>
      </c>
      <c r="U946" t="str">
        <f t="shared" si="43"/>
        <v>Not Sampled</v>
      </c>
      <c r="V946" s="1" t="str">
        <f t="shared" si="44"/>
        <v>Not Sampled</v>
      </c>
    </row>
    <row r="947" spans="1:22" x14ac:dyDescent="0.25">
      <c r="A947" s="1">
        <v>0</v>
      </c>
      <c r="B947" s="1">
        <v>137</v>
      </c>
      <c r="C947" s="1">
        <v>84</v>
      </c>
      <c r="D947" s="1">
        <v>27</v>
      </c>
      <c r="E947" s="1">
        <v>0</v>
      </c>
      <c r="F947" s="1">
        <v>27.3</v>
      </c>
      <c r="G947" s="1">
        <v>0.23100000000000001</v>
      </c>
      <c r="H947" s="1">
        <v>59</v>
      </c>
      <c r="I947" s="1">
        <v>0</v>
      </c>
      <c r="J947" s="1" t="str">
        <f>IFERROR(VLOOKUP(K947,[1]diabetes_Recognition!$A:$B,2,FALSE),"Not Sampled")</f>
        <v>Not Sampled</v>
      </c>
      <c r="K947" s="1">
        <v>945</v>
      </c>
      <c r="L947" s="1">
        <f>LOOKUP(A947,Sheet2!$D$4:$E$9)</f>
        <v>0</v>
      </c>
      <c r="M947" t="str">
        <f>LOOKUP(B947,Sheet2!$G$4:$H$9)</f>
        <v>126-150</v>
      </c>
      <c r="N947" t="str">
        <f>LOOKUP(C947,Sheet2!$J$4:$K$8)</f>
        <v>80+</v>
      </c>
      <c r="O947" t="str">
        <f>LOOKUP(D947,Sheet2!$M$4:$N$8)</f>
        <v>10-30</v>
      </c>
      <c r="P947" t="str">
        <f>LOOKUP(E947,Sheet2!$P$4:$Q$9)</f>
        <v>Unknown</v>
      </c>
      <c r="Q947" t="str">
        <f>LOOKUP(F947,Sheet2!$S$4:$T$8)</f>
        <v>26-30</v>
      </c>
      <c r="R947" t="str">
        <f>LOOKUP(G947,Sheet2!$V$4:$W$7)</f>
        <v>0.0 - 0.249</v>
      </c>
      <c r="S947" t="str">
        <f>LOOKUP(H947,Sheet2!$Z$4:$AA$7)</f>
        <v>46+</v>
      </c>
      <c r="T947" t="str">
        <f t="shared" si="42"/>
        <v>Negative</v>
      </c>
      <c r="U947" t="str">
        <f t="shared" si="43"/>
        <v>Not Sampled</v>
      </c>
      <c r="V947" s="1" t="str">
        <f t="shared" si="44"/>
        <v>Not Sampled</v>
      </c>
    </row>
    <row r="948" spans="1:22" x14ac:dyDescent="0.25">
      <c r="A948" s="1">
        <v>2</v>
      </c>
      <c r="B948" s="1">
        <v>105</v>
      </c>
      <c r="C948" s="1">
        <v>80</v>
      </c>
      <c r="D948" s="1">
        <v>45</v>
      </c>
      <c r="E948" s="1">
        <v>191</v>
      </c>
      <c r="F948" s="1">
        <v>33.700000000000003</v>
      </c>
      <c r="G948" s="1">
        <v>0.71099999999999997</v>
      </c>
      <c r="H948" s="1">
        <v>29</v>
      </c>
      <c r="I948" s="1">
        <v>1</v>
      </c>
      <c r="J948" s="1" t="str">
        <f>IFERROR(VLOOKUP(K948,[1]diabetes_Recognition!$A:$B,2,FALSE),"Not Sampled")</f>
        <v>Not Sampled</v>
      </c>
      <c r="K948" s="1">
        <v>946</v>
      </c>
      <c r="L948" s="1">
        <f>LOOKUP(A948,Sheet2!$D$4:$E$9)</f>
        <v>2</v>
      </c>
      <c r="M948" t="str">
        <f>LOOKUP(B948,Sheet2!$G$4:$H$9)</f>
        <v>100-125</v>
      </c>
      <c r="N948" t="str">
        <f>LOOKUP(C948,Sheet2!$J$4:$K$8)</f>
        <v>80+</v>
      </c>
      <c r="O948" t="str">
        <f>LOOKUP(D948,Sheet2!$M$4:$N$8)</f>
        <v>40+</v>
      </c>
      <c r="P948" t="str">
        <f>LOOKUP(E948,Sheet2!$P$4:$Q$9)</f>
        <v>100-199</v>
      </c>
      <c r="Q948" t="str">
        <f>LOOKUP(F948,Sheet2!$S$4:$T$8)</f>
        <v>31-35</v>
      </c>
      <c r="R948" t="str">
        <f>LOOKUP(G948,Sheet2!$V$4:$W$7)</f>
        <v>0.7+</v>
      </c>
      <c r="S948" t="str">
        <f>LOOKUP(H948,Sheet2!$Z$4:$AA$7)</f>
        <v>26-35</v>
      </c>
      <c r="T948" t="str">
        <f t="shared" si="42"/>
        <v>Positive</v>
      </c>
      <c r="U948" t="str">
        <f t="shared" si="43"/>
        <v>Not Sampled</v>
      </c>
      <c r="V948" s="1" t="str">
        <f t="shared" si="44"/>
        <v>Not Sampled</v>
      </c>
    </row>
    <row r="949" spans="1:22" x14ac:dyDescent="0.25">
      <c r="A949" s="1">
        <v>7</v>
      </c>
      <c r="B949" s="1">
        <v>114</v>
      </c>
      <c r="C949" s="1">
        <v>76</v>
      </c>
      <c r="D949" s="1">
        <v>17</v>
      </c>
      <c r="E949" s="1">
        <v>110</v>
      </c>
      <c r="F949" s="1">
        <v>23.8</v>
      </c>
      <c r="G949" s="1">
        <v>0.46600000000000003</v>
      </c>
      <c r="H949" s="1">
        <v>31</v>
      </c>
      <c r="I949" s="1">
        <v>0</v>
      </c>
      <c r="J949" s="1" t="str">
        <f>IFERROR(VLOOKUP(K949,[1]diabetes_Recognition!$A:$B,2,FALSE),"Not Sampled")</f>
        <v>Not Sampled</v>
      </c>
      <c r="K949" s="1">
        <v>947</v>
      </c>
      <c r="L949" s="1" t="str">
        <f>LOOKUP(A949,Sheet2!$D$4:$E$9)</f>
        <v>5-7</v>
      </c>
      <c r="M949" t="str">
        <f>LOOKUP(B949,Sheet2!$G$4:$H$9)</f>
        <v>100-125</v>
      </c>
      <c r="N949" t="str">
        <f>LOOKUP(C949,Sheet2!$J$4:$K$8)</f>
        <v>70-79</v>
      </c>
      <c r="O949" t="str">
        <f>LOOKUP(D949,Sheet2!$M$4:$N$8)</f>
        <v>10-30</v>
      </c>
      <c r="P949" t="str">
        <f>LOOKUP(E949,Sheet2!$P$4:$Q$9)</f>
        <v>100-199</v>
      </c>
      <c r="Q949" t="str">
        <f>LOOKUP(F949,Sheet2!$S$4:$T$8)</f>
        <v>1-25</v>
      </c>
      <c r="R949" t="str">
        <f>LOOKUP(G949,Sheet2!$V$4:$W$7)</f>
        <v>0.4 - 0.69</v>
      </c>
      <c r="S949" t="str">
        <f>LOOKUP(H949,Sheet2!$Z$4:$AA$7)</f>
        <v>26-35</v>
      </c>
      <c r="T949" t="str">
        <f t="shared" si="42"/>
        <v>Negative</v>
      </c>
      <c r="U949" t="str">
        <f t="shared" si="43"/>
        <v>Not Sampled</v>
      </c>
      <c r="V949" s="1" t="str">
        <f t="shared" si="44"/>
        <v>Not Sampled</v>
      </c>
    </row>
    <row r="950" spans="1:22" x14ac:dyDescent="0.25">
      <c r="A950" s="1">
        <v>8</v>
      </c>
      <c r="B950" s="1">
        <v>126</v>
      </c>
      <c r="C950" s="1">
        <v>74</v>
      </c>
      <c r="D950" s="1">
        <v>38</v>
      </c>
      <c r="E950" s="1">
        <v>75</v>
      </c>
      <c r="F950" s="1">
        <v>25.9</v>
      </c>
      <c r="G950" s="1">
        <v>0.16200000000000001</v>
      </c>
      <c r="H950" s="1">
        <v>39</v>
      </c>
      <c r="I950" s="1">
        <v>0</v>
      </c>
      <c r="J950" s="1" t="str">
        <f>IFERROR(VLOOKUP(K950,[1]diabetes_Recognition!$A:$B,2,FALSE),"Not Sampled")</f>
        <v>Not Sampled</v>
      </c>
      <c r="K950" s="1">
        <v>948</v>
      </c>
      <c r="L950" s="1" t="str">
        <f>LOOKUP(A950,Sheet2!$D$4:$E$9)</f>
        <v>8+</v>
      </c>
      <c r="M950" t="str">
        <f>LOOKUP(B950,Sheet2!$G$4:$H$9)</f>
        <v>126-150</v>
      </c>
      <c r="N950" t="str">
        <f>LOOKUP(C950,Sheet2!$J$4:$K$8)</f>
        <v>70-79</v>
      </c>
      <c r="O950" t="str">
        <f>LOOKUP(D950,Sheet2!$M$4:$N$8)</f>
        <v>30-39</v>
      </c>
      <c r="P950" t="str">
        <f>LOOKUP(E950,Sheet2!$P$4:$Q$9)</f>
        <v>1-99</v>
      </c>
      <c r="Q950" t="str">
        <f>LOOKUP(F950,Sheet2!$S$4:$T$8)</f>
        <v>1-25</v>
      </c>
      <c r="R950" t="str">
        <f>LOOKUP(G950,Sheet2!$V$4:$W$7)</f>
        <v>0.0 - 0.249</v>
      </c>
      <c r="S950" t="str">
        <f>LOOKUP(H950,Sheet2!$Z$4:$AA$7)</f>
        <v>36-45</v>
      </c>
      <c r="T950" t="str">
        <f t="shared" si="42"/>
        <v>Negative</v>
      </c>
      <c r="U950" t="str">
        <f t="shared" si="43"/>
        <v>Not Sampled</v>
      </c>
      <c r="V950" s="1" t="str">
        <f t="shared" si="44"/>
        <v>Not Sampled</v>
      </c>
    </row>
    <row r="951" spans="1:22" x14ac:dyDescent="0.25">
      <c r="A951" s="1">
        <v>4</v>
      </c>
      <c r="B951" s="1">
        <v>132</v>
      </c>
      <c r="C951" s="1">
        <v>86</v>
      </c>
      <c r="D951" s="1">
        <v>31</v>
      </c>
      <c r="E951" s="1">
        <v>0</v>
      </c>
      <c r="F951" s="1">
        <v>28</v>
      </c>
      <c r="G951" s="1">
        <v>0.41899999999999998</v>
      </c>
      <c r="H951" s="1">
        <v>63</v>
      </c>
      <c r="I951" s="1">
        <v>0</v>
      </c>
      <c r="J951" s="1" t="str">
        <f>IFERROR(VLOOKUP(K951,[1]diabetes_Recognition!$A:$B,2,FALSE),"Not Sampled")</f>
        <v>Not Sampled</v>
      </c>
      <c r="K951" s="1">
        <v>949</v>
      </c>
      <c r="L951" s="1" t="str">
        <f>LOOKUP(A951,Sheet2!$D$4:$E$9)</f>
        <v>3-4</v>
      </c>
      <c r="M951" t="str">
        <f>LOOKUP(B951,Sheet2!$G$4:$H$9)</f>
        <v>126-150</v>
      </c>
      <c r="N951" t="str">
        <f>LOOKUP(C951,Sheet2!$J$4:$K$8)</f>
        <v>80+</v>
      </c>
      <c r="O951" t="str">
        <f>LOOKUP(D951,Sheet2!$M$4:$N$8)</f>
        <v>30-39</v>
      </c>
      <c r="P951" t="str">
        <f>LOOKUP(E951,Sheet2!$P$4:$Q$9)</f>
        <v>Unknown</v>
      </c>
      <c r="Q951" t="str">
        <f>LOOKUP(F951,Sheet2!$S$4:$T$8)</f>
        <v>26-30</v>
      </c>
      <c r="R951" t="str">
        <f>LOOKUP(G951,Sheet2!$V$4:$W$7)</f>
        <v>0.4 - 0.69</v>
      </c>
      <c r="S951" t="str">
        <f>LOOKUP(H951,Sheet2!$Z$4:$AA$7)</f>
        <v>46+</v>
      </c>
      <c r="T951" t="str">
        <f t="shared" si="42"/>
        <v>Negative</v>
      </c>
      <c r="U951" t="str">
        <f t="shared" si="43"/>
        <v>Not Sampled</v>
      </c>
      <c r="V951" s="1" t="str">
        <f t="shared" si="44"/>
        <v>Not Sampled</v>
      </c>
    </row>
    <row r="952" spans="1:22" x14ac:dyDescent="0.25">
      <c r="A952" s="1">
        <v>3</v>
      </c>
      <c r="B952" s="1">
        <v>158</v>
      </c>
      <c r="C952" s="1">
        <v>70</v>
      </c>
      <c r="D952" s="1">
        <v>30</v>
      </c>
      <c r="E952" s="1">
        <v>328</v>
      </c>
      <c r="F952" s="1">
        <v>35.5</v>
      </c>
      <c r="G952" s="1">
        <v>0.34399999999999997</v>
      </c>
      <c r="H952" s="1">
        <v>35</v>
      </c>
      <c r="I952" s="1">
        <v>1</v>
      </c>
      <c r="J952" s="1">
        <f>IFERROR(VLOOKUP(K952,[1]diabetes_Recognition!$A:$B,2,FALSE),"Not Sampled")</f>
        <v>1</v>
      </c>
      <c r="K952" s="1">
        <v>950</v>
      </c>
      <c r="L952" s="1" t="str">
        <f>LOOKUP(A952,Sheet2!$D$4:$E$9)</f>
        <v>3-4</v>
      </c>
      <c r="M952" t="str">
        <f>LOOKUP(B952,Sheet2!$G$4:$H$9)</f>
        <v>151-175</v>
      </c>
      <c r="N952" t="str">
        <f>LOOKUP(C952,Sheet2!$J$4:$K$8)</f>
        <v>70-79</v>
      </c>
      <c r="O952" t="str">
        <f>LOOKUP(D952,Sheet2!$M$4:$N$8)</f>
        <v>30-39</v>
      </c>
      <c r="P952" t="str">
        <f>LOOKUP(E952,Sheet2!$P$4:$Q$9)</f>
        <v>300-499</v>
      </c>
      <c r="Q952" t="str">
        <f>LOOKUP(F952,Sheet2!$S$4:$T$8)</f>
        <v>31-35</v>
      </c>
      <c r="R952" t="str">
        <f>LOOKUP(G952,Sheet2!$V$4:$W$7)</f>
        <v>0.25 - 0.39</v>
      </c>
      <c r="S952" t="str">
        <f>LOOKUP(H952,Sheet2!$Z$4:$AA$7)</f>
        <v>26-35</v>
      </c>
      <c r="T952" t="str">
        <f t="shared" si="42"/>
        <v>Positive</v>
      </c>
      <c r="U952" t="str">
        <f t="shared" si="43"/>
        <v>Positive</v>
      </c>
      <c r="V952" s="1" t="str">
        <f t="shared" si="44"/>
        <v>Accurate Prediction</v>
      </c>
    </row>
    <row r="953" spans="1:22" x14ac:dyDescent="0.25">
      <c r="A953" s="1">
        <v>0</v>
      </c>
      <c r="B953" s="1">
        <v>123</v>
      </c>
      <c r="C953" s="1">
        <v>88</v>
      </c>
      <c r="D953" s="1">
        <v>37</v>
      </c>
      <c r="E953" s="1">
        <v>0</v>
      </c>
      <c r="F953" s="1">
        <v>35.200000000000003</v>
      </c>
      <c r="G953" s="1">
        <v>0.19700000000000001</v>
      </c>
      <c r="H953" s="1">
        <v>29</v>
      </c>
      <c r="I953" s="1">
        <v>0</v>
      </c>
      <c r="J953" s="1" t="str">
        <f>IFERROR(VLOOKUP(K953,[1]diabetes_Recognition!$A:$B,2,FALSE),"Not Sampled")</f>
        <v>Not Sampled</v>
      </c>
      <c r="K953" s="1">
        <v>951</v>
      </c>
      <c r="L953" s="1">
        <f>LOOKUP(A953,Sheet2!$D$4:$E$9)</f>
        <v>0</v>
      </c>
      <c r="M953" t="str">
        <f>LOOKUP(B953,Sheet2!$G$4:$H$9)</f>
        <v>100-125</v>
      </c>
      <c r="N953" t="str">
        <f>LOOKUP(C953,Sheet2!$J$4:$K$8)</f>
        <v>80+</v>
      </c>
      <c r="O953" t="str">
        <f>LOOKUP(D953,Sheet2!$M$4:$N$8)</f>
        <v>30-39</v>
      </c>
      <c r="P953" t="str">
        <f>LOOKUP(E953,Sheet2!$P$4:$Q$9)</f>
        <v>Unknown</v>
      </c>
      <c r="Q953" t="str">
        <f>LOOKUP(F953,Sheet2!$S$4:$T$8)</f>
        <v>31-35</v>
      </c>
      <c r="R953" t="str">
        <f>LOOKUP(G953,Sheet2!$V$4:$W$7)</f>
        <v>0.0 - 0.249</v>
      </c>
      <c r="S953" t="str">
        <f>LOOKUP(H953,Sheet2!$Z$4:$AA$7)</f>
        <v>26-35</v>
      </c>
      <c r="T953" t="str">
        <f t="shared" si="42"/>
        <v>Negative</v>
      </c>
      <c r="U953" t="str">
        <f t="shared" si="43"/>
        <v>Not Sampled</v>
      </c>
      <c r="V953" s="1" t="str">
        <f t="shared" si="44"/>
        <v>Not Sampled</v>
      </c>
    </row>
    <row r="954" spans="1:22" x14ac:dyDescent="0.25">
      <c r="A954" s="1">
        <v>4</v>
      </c>
      <c r="B954" s="1">
        <v>85</v>
      </c>
      <c r="C954" s="1">
        <v>58</v>
      </c>
      <c r="D954" s="1">
        <v>22</v>
      </c>
      <c r="E954" s="1">
        <v>49</v>
      </c>
      <c r="F954" s="1">
        <v>27.8</v>
      </c>
      <c r="G954" s="1">
        <v>0.30599999999999999</v>
      </c>
      <c r="H954" s="1">
        <v>28</v>
      </c>
      <c r="I954" s="1">
        <v>0</v>
      </c>
      <c r="J954" s="1">
        <f>IFERROR(VLOOKUP(K954,[1]diabetes_Recognition!$A:$B,2,FALSE),"Not Sampled")</f>
        <v>0</v>
      </c>
      <c r="K954" s="1">
        <v>952</v>
      </c>
      <c r="L954" s="1" t="str">
        <f>LOOKUP(A954,Sheet2!$D$4:$E$9)</f>
        <v>3-4</v>
      </c>
      <c r="M954" t="str">
        <f>LOOKUP(B954,Sheet2!$G$4:$H$9)</f>
        <v>1-99</v>
      </c>
      <c r="N954" t="str">
        <f>LOOKUP(C954,Sheet2!$J$4:$K$8)</f>
        <v>1-59</v>
      </c>
      <c r="O954" t="str">
        <f>LOOKUP(D954,Sheet2!$M$4:$N$8)</f>
        <v>10-30</v>
      </c>
      <c r="P954" t="str">
        <f>LOOKUP(E954,Sheet2!$P$4:$Q$9)</f>
        <v>1-99</v>
      </c>
      <c r="Q954" t="str">
        <f>LOOKUP(F954,Sheet2!$S$4:$T$8)</f>
        <v>26-30</v>
      </c>
      <c r="R954" t="str">
        <f>LOOKUP(G954,Sheet2!$V$4:$W$7)</f>
        <v>0.25 - 0.39</v>
      </c>
      <c r="S954" t="str">
        <f>LOOKUP(H954,Sheet2!$Z$4:$AA$7)</f>
        <v>26-35</v>
      </c>
      <c r="T954" t="str">
        <f t="shared" si="42"/>
        <v>Negative</v>
      </c>
      <c r="U954" t="str">
        <f t="shared" si="43"/>
        <v>Negative</v>
      </c>
      <c r="V954" s="1" t="str">
        <f t="shared" si="44"/>
        <v>Accurate Prediction</v>
      </c>
    </row>
    <row r="955" spans="1:22" x14ac:dyDescent="0.25">
      <c r="A955" s="1">
        <v>0</v>
      </c>
      <c r="B955" s="1">
        <v>84</v>
      </c>
      <c r="C955" s="1">
        <v>82</v>
      </c>
      <c r="D955" s="1">
        <v>31</v>
      </c>
      <c r="E955" s="1">
        <v>125</v>
      </c>
      <c r="F955" s="1">
        <v>38.200000000000003</v>
      </c>
      <c r="G955" s="1">
        <v>0.23300000000000001</v>
      </c>
      <c r="H955" s="1">
        <v>23</v>
      </c>
      <c r="I955" s="1">
        <v>0</v>
      </c>
      <c r="J955" s="1" t="str">
        <f>IFERROR(VLOOKUP(K955,[1]diabetes_Recognition!$A:$B,2,FALSE),"Not Sampled")</f>
        <v>Not Sampled</v>
      </c>
      <c r="K955" s="1">
        <v>953</v>
      </c>
      <c r="L955" s="1">
        <f>LOOKUP(A955,Sheet2!$D$4:$E$9)</f>
        <v>0</v>
      </c>
      <c r="M955" t="str">
        <f>LOOKUP(B955,Sheet2!$G$4:$H$9)</f>
        <v>1-99</v>
      </c>
      <c r="N955" t="str">
        <f>LOOKUP(C955,Sheet2!$J$4:$K$8)</f>
        <v>80+</v>
      </c>
      <c r="O955" t="str">
        <f>LOOKUP(D955,Sheet2!$M$4:$N$8)</f>
        <v>30-39</v>
      </c>
      <c r="P955" t="str">
        <f>LOOKUP(E955,Sheet2!$P$4:$Q$9)</f>
        <v>100-199</v>
      </c>
      <c r="Q955" t="str">
        <f>LOOKUP(F955,Sheet2!$S$4:$T$8)</f>
        <v>36+</v>
      </c>
      <c r="R955" t="str">
        <f>LOOKUP(G955,Sheet2!$V$4:$W$7)</f>
        <v>0.0 - 0.249</v>
      </c>
      <c r="S955" t="str">
        <f>LOOKUP(H955,Sheet2!$Z$4:$AA$7)</f>
        <v>&lt;=25</v>
      </c>
      <c r="T955" t="str">
        <f t="shared" si="42"/>
        <v>Negative</v>
      </c>
      <c r="U955" t="str">
        <f t="shared" si="43"/>
        <v>Not Sampled</v>
      </c>
      <c r="V955" s="1" t="str">
        <f t="shared" si="44"/>
        <v>Not Sampled</v>
      </c>
    </row>
    <row r="956" spans="1:22" x14ac:dyDescent="0.25">
      <c r="A956" s="1">
        <v>0</v>
      </c>
      <c r="B956" s="1">
        <v>145</v>
      </c>
      <c r="C956" s="1">
        <v>0</v>
      </c>
      <c r="D956" s="1">
        <v>0</v>
      </c>
      <c r="E956" s="1">
        <v>0</v>
      </c>
      <c r="F956" s="1">
        <v>44.2</v>
      </c>
      <c r="G956" s="1">
        <v>0.63</v>
      </c>
      <c r="H956" s="1">
        <v>31</v>
      </c>
      <c r="I956" s="1">
        <v>1</v>
      </c>
      <c r="J956" s="1" t="str">
        <f>IFERROR(VLOOKUP(K956,[1]diabetes_Recognition!$A:$B,2,FALSE),"Not Sampled")</f>
        <v>Not Sampled</v>
      </c>
      <c r="K956" s="1">
        <v>954</v>
      </c>
      <c r="L956" s="1">
        <f>LOOKUP(A956,Sheet2!$D$4:$E$9)</f>
        <v>0</v>
      </c>
      <c r="M956" t="str">
        <f>LOOKUP(B956,Sheet2!$G$4:$H$9)</f>
        <v>126-150</v>
      </c>
      <c r="N956" t="str">
        <f>LOOKUP(C956,Sheet2!$J$4:$K$8)</f>
        <v>Unknown</v>
      </c>
      <c r="O956" t="str">
        <f>LOOKUP(D956,Sheet2!$M$4:$N$8)</f>
        <v>Unknown</v>
      </c>
      <c r="P956" t="str">
        <f>LOOKUP(E956,Sheet2!$P$4:$Q$9)</f>
        <v>Unknown</v>
      </c>
      <c r="Q956" t="str">
        <f>LOOKUP(F956,Sheet2!$S$4:$T$8)</f>
        <v>36+</v>
      </c>
      <c r="R956" t="str">
        <f>LOOKUP(G956,Sheet2!$V$4:$W$7)</f>
        <v>0.4 - 0.69</v>
      </c>
      <c r="S956" t="str">
        <f>LOOKUP(H956,Sheet2!$Z$4:$AA$7)</f>
        <v>26-35</v>
      </c>
      <c r="T956" t="str">
        <f t="shared" si="42"/>
        <v>Positive</v>
      </c>
      <c r="U956" t="str">
        <f t="shared" si="43"/>
        <v>Not Sampled</v>
      </c>
      <c r="V956" s="1" t="str">
        <f t="shared" si="44"/>
        <v>Not Sampled</v>
      </c>
    </row>
    <row r="957" spans="1:22" x14ac:dyDescent="0.25">
      <c r="A957" s="1">
        <v>0</v>
      </c>
      <c r="B957" s="1">
        <v>135</v>
      </c>
      <c r="C957" s="1">
        <v>68</v>
      </c>
      <c r="D957" s="1">
        <v>42</v>
      </c>
      <c r="E957" s="1">
        <v>250</v>
      </c>
      <c r="F957" s="1">
        <v>42.3</v>
      </c>
      <c r="G957" s="1">
        <v>0.36499999999999999</v>
      </c>
      <c r="H957" s="1">
        <v>24</v>
      </c>
      <c r="I957" s="1">
        <v>1</v>
      </c>
      <c r="J957" s="1" t="str">
        <f>IFERROR(VLOOKUP(K957,[1]diabetes_Recognition!$A:$B,2,FALSE),"Not Sampled")</f>
        <v>Not Sampled</v>
      </c>
      <c r="K957" s="1">
        <v>955</v>
      </c>
      <c r="L957" s="1">
        <f>LOOKUP(A957,Sheet2!$D$4:$E$9)</f>
        <v>0</v>
      </c>
      <c r="M957" t="str">
        <f>LOOKUP(B957,Sheet2!$G$4:$H$9)</f>
        <v>126-150</v>
      </c>
      <c r="N957" t="str">
        <f>LOOKUP(C957,Sheet2!$J$4:$K$8)</f>
        <v>60-69</v>
      </c>
      <c r="O957" t="str">
        <f>LOOKUP(D957,Sheet2!$M$4:$N$8)</f>
        <v>40+</v>
      </c>
      <c r="P957" t="str">
        <f>LOOKUP(E957,Sheet2!$P$4:$Q$9)</f>
        <v>200-399</v>
      </c>
      <c r="Q957" t="str">
        <f>LOOKUP(F957,Sheet2!$S$4:$T$8)</f>
        <v>36+</v>
      </c>
      <c r="R957" t="str">
        <f>LOOKUP(G957,Sheet2!$V$4:$W$7)</f>
        <v>0.25 - 0.39</v>
      </c>
      <c r="S957" t="str">
        <f>LOOKUP(H957,Sheet2!$Z$4:$AA$7)</f>
        <v>&lt;=25</v>
      </c>
      <c r="T957" t="str">
        <f t="shared" si="42"/>
        <v>Positive</v>
      </c>
      <c r="U957" t="str">
        <f t="shared" si="43"/>
        <v>Not Sampled</v>
      </c>
      <c r="V957" s="1" t="str">
        <f t="shared" si="44"/>
        <v>Not Sampled</v>
      </c>
    </row>
    <row r="958" spans="1:22" x14ac:dyDescent="0.25">
      <c r="A958" s="1">
        <v>1</v>
      </c>
      <c r="B958" s="1">
        <v>139</v>
      </c>
      <c r="C958" s="1">
        <v>62</v>
      </c>
      <c r="D958" s="1">
        <v>41</v>
      </c>
      <c r="E958" s="1">
        <v>480</v>
      </c>
      <c r="F958" s="1">
        <v>40.700000000000003</v>
      </c>
      <c r="G958" s="1">
        <v>0.53600000000000003</v>
      </c>
      <c r="H958" s="1">
        <v>21</v>
      </c>
      <c r="I958" s="1">
        <v>0</v>
      </c>
      <c r="J958" s="1" t="str">
        <f>IFERROR(VLOOKUP(K958,[1]diabetes_Recognition!$A:$B,2,FALSE),"Not Sampled")</f>
        <v>Not Sampled</v>
      </c>
      <c r="K958" s="1">
        <v>956</v>
      </c>
      <c r="L958" s="1">
        <f>LOOKUP(A958,Sheet2!$D$4:$E$9)</f>
        <v>1</v>
      </c>
      <c r="M958" t="str">
        <f>LOOKUP(B958,Sheet2!$G$4:$H$9)</f>
        <v>126-150</v>
      </c>
      <c r="N958" t="str">
        <f>LOOKUP(C958,Sheet2!$J$4:$K$8)</f>
        <v>60-69</v>
      </c>
      <c r="O958" t="str">
        <f>LOOKUP(D958,Sheet2!$M$4:$N$8)</f>
        <v>40+</v>
      </c>
      <c r="P958" t="str">
        <f>LOOKUP(E958,Sheet2!$P$4:$Q$9)</f>
        <v>300-499</v>
      </c>
      <c r="Q958" t="str">
        <f>LOOKUP(F958,Sheet2!$S$4:$T$8)</f>
        <v>36+</v>
      </c>
      <c r="R958" t="str">
        <f>LOOKUP(G958,Sheet2!$V$4:$W$7)</f>
        <v>0.4 - 0.69</v>
      </c>
      <c r="S958" t="str">
        <f>LOOKUP(H958,Sheet2!$Z$4:$AA$7)</f>
        <v>&lt;=25</v>
      </c>
      <c r="T958" t="str">
        <f t="shared" si="42"/>
        <v>Negative</v>
      </c>
      <c r="U958" t="str">
        <f t="shared" si="43"/>
        <v>Not Sampled</v>
      </c>
      <c r="V958" s="1" t="str">
        <f t="shared" si="44"/>
        <v>Not Sampled</v>
      </c>
    </row>
    <row r="959" spans="1:22" x14ac:dyDescent="0.25">
      <c r="A959" s="1">
        <v>0</v>
      </c>
      <c r="B959" s="1">
        <v>173</v>
      </c>
      <c r="C959" s="1">
        <v>78</v>
      </c>
      <c r="D959" s="1">
        <v>32</v>
      </c>
      <c r="E959" s="1">
        <v>265</v>
      </c>
      <c r="F959" s="1">
        <v>46.5</v>
      </c>
      <c r="G959" s="1">
        <v>1.159</v>
      </c>
      <c r="H959" s="1">
        <v>58</v>
      </c>
      <c r="I959" s="1">
        <v>0</v>
      </c>
      <c r="J959" s="1">
        <f>IFERROR(VLOOKUP(K959,[1]diabetes_Recognition!$A:$B,2,FALSE),"Not Sampled")</f>
        <v>1</v>
      </c>
      <c r="K959" s="1">
        <v>957</v>
      </c>
      <c r="L959" s="1">
        <f>LOOKUP(A959,Sheet2!$D$4:$E$9)</f>
        <v>0</v>
      </c>
      <c r="M959" t="str">
        <f>LOOKUP(B959,Sheet2!$G$4:$H$9)</f>
        <v>151-175</v>
      </c>
      <c r="N959" t="str">
        <f>LOOKUP(C959,Sheet2!$J$4:$K$8)</f>
        <v>70-79</v>
      </c>
      <c r="O959" t="str">
        <f>LOOKUP(D959,Sheet2!$M$4:$N$8)</f>
        <v>30-39</v>
      </c>
      <c r="P959" t="str">
        <f>LOOKUP(E959,Sheet2!$P$4:$Q$9)</f>
        <v>200-399</v>
      </c>
      <c r="Q959" t="str">
        <f>LOOKUP(F959,Sheet2!$S$4:$T$8)</f>
        <v>36+</v>
      </c>
      <c r="R959" t="str">
        <f>LOOKUP(G959,Sheet2!$V$4:$W$7)</f>
        <v>0.7+</v>
      </c>
      <c r="S959" t="str">
        <f>LOOKUP(H959,Sheet2!$Z$4:$AA$7)</f>
        <v>46+</v>
      </c>
      <c r="T959" t="str">
        <f t="shared" si="42"/>
        <v>Negative</v>
      </c>
      <c r="U959" t="str">
        <f t="shared" si="43"/>
        <v>Positive</v>
      </c>
      <c r="V959" s="1" t="str">
        <f t="shared" si="44"/>
        <v>Inaccurate Prediction</v>
      </c>
    </row>
    <row r="960" spans="1:22" x14ac:dyDescent="0.25">
      <c r="A960" s="1">
        <v>4</v>
      </c>
      <c r="B960" s="1">
        <v>99</v>
      </c>
      <c r="C960" s="1">
        <v>72</v>
      </c>
      <c r="D960" s="1">
        <v>17</v>
      </c>
      <c r="E960" s="1">
        <v>0</v>
      </c>
      <c r="F960" s="1">
        <v>25.6</v>
      </c>
      <c r="G960" s="1">
        <v>0.29399999999999998</v>
      </c>
      <c r="H960" s="1">
        <v>28</v>
      </c>
      <c r="I960" s="1">
        <v>0</v>
      </c>
      <c r="J960" s="1" t="str">
        <f>IFERROR(VLOOKUP(K960,[1]diabetes_Recognition!$A:$B,2,FALSE),"Not Sampled")</f>
        <v>Not Sampled</v>
      </c>
      <c r="K960" s="1">
        <v>958</v>
      </c>
      <c r="L960" s="1" t="str">
        <f>LOOKUP(A960,Sheet2!$D$4:$E$9)</f>
        <v>3-4</v>
      </c>
      <c r="M960" t="str">
        <f>LOOKUP(B960,Sheet2!$G$4:$H$9)</f>
        <v>1-99</v>
      </c>
      <c r="N960" t="str">
        <f>LOOKUP(C960,Sheet2!$J$4:$K$8)</f>
        <v>70-79</v>
      </c>
      <c r="O960" t="str">
        <f>LOOKUP(D960,Sheet2!$M$4:$N$8)</f>
        <v>10-30</v>
      </c>
      <c r="P960" t="str">
        <f>LOOKUP(E960,Sheet2!$P$4:$Q$9)</f>
        <v>Unknown</v>
      </c>
      <c r="Q960" t="str">
        <f>LOOKUP(F960,Sheet2!$S$4:$T$8)</f>
        <v>1-25</v>
      </c>
      <c r="R960" t="str">
        <f>LOOKUP(G960,Sheet2!$V$4:$W$7)</f>
        <v>0.25 - 0.39</v>
      </c>
      <c r="S960" t="str">
        <f>LOOKUP(H960,Sheet2!$Z$4:$AA$7)</f>
        <v>26-35</v>
      </c>
      <c r="T960" t="str">
        <f t="shared" si="42"/>
        <v>Negative</v>
      </c>
      <c r="U960" t="str">
        <f t="shared" si="43"/>
        <v>Not Sampled</v>
      </c>
      <c r="V960" s="1" t="str">
        <f t="shared" si="44"/>
        <v>Not Sampled</v>
      </c>
    </row>
    <row r="961" spans="1:22" x14ac:dyDescent="0.25">
      <c r="A961" s="1">
        <v>8</v>
      </c>
      <c r="B961" s="1">
        <v>194</v>
      </c>
      <c r="C961" s="1">
        <v>80</v>
      </c>
      <c r="D961" s="1">
        <v>0</v>
      </c>
      <c r="E961" s="1">
        <v>0</v>
      </c>
      <c r="F961" s="1">
        <v>26.1</v>
      </c>
      <c r="G961" s="1">
        <v>0.55100000000000005</v>
      </c>
      <c r="H961" s="1">
        <v>67</v>
      </c>
      <c r="I961" s="1">
        <v>0</v>
      </c>
      <c r="J961" s="1">
        <f>IFERROR(VLOOKUP(K961,[1]diabetes_Recognition!$A:$B,2,FALSE),"Not Sampled")</f>
        <v>1</v>
      </c>
      <c r="K961" s="1">
        <v>959</v>
      </c>
      <c r="L961" s="1" t="str">
        <f>LOOKUP(A961,Sheet2!$D$4:$E$9)</f>
        <v>8+</v>
      </c>
      <c r="M961" t="str">
        <f>LOOKUP(B961,Sheet2!$G$4:$H$9)</f>
        <v>176-200</v>
      </c>
      <c r="N961" t="str">
        <f>LOOKUP(C961,Sheet2!$J$4:$K$8)</f>
        <v>80+</v>
      </c>
      <c r="O961" t="str">
        <f>LOOKUP(D961,Sheet2!$M$4:$N$8)</f>
        <v>Unknown</v>
      </c>
      <c r="P961" t="str">
        <f>LOOKUP(E961,Sheet2!$P$4:$Q$9)</f>
        <v>Unknown</v>
      </c>
      <c r="Q961" t="str">
        <f>LOOKUP(F961,Sheet2!$S$4:$T$8)</f>
        <v>26-30</v>
      </c>
      <c r="R961" t="str">
        <f>LOOKUP(G961,Sheet2!$V$4:$W$7)</f>
        <v>0.4 - 0.69</v>
      </c>
      <c r="S961" t="str">
        <f>LOOKUP(H961,Sheet2!$Z$4:$AA$7)</f>
        <v>46+</v>
      </c>
      <c r="T961" t="str">
        <f t="shared" si="42"/>
        <v>Negative</v>
      </c>
      <c r="U961" t="str">
        <f t="shared" si="43"/>
        <v>Positive</v>
      </c>
      <c r="V961" s="1" t="str">
        <f t="shared" si="44"/>
        <v>Inaccurate Prediction</v>
      </c>
    </row>
    <row r="962" spans="1:22" x14ac:dyDescent="0.25">
      <c r="A962" s="1">
        <v>2</v>
      </c>
      <c r="B962" s="1">
        <v>83</v>
      </c>
      <c r="C962" s="1">
        <v>65</v>
      </c>
      <c r="D962" s="1">
        <v>28</v>
      </c>
      <c r="E962" s="1">
        <v>66</v>
      </c>
      <c r="F962" s="1">
        <v>36.799999999999997</v>
      </c>
      <c r="G962" s="1">
        <v>0.629</v>
      </c>
      <c r="H962" s="1">
        <v>24</v>
      </c>
      <c r="I962" s="1">
        <v>0</v>
      </c>
      <c r="J962" s="1" t="str">
        <f>IFERROR(VLOOKUP(K962,[1]diabetes_Recognition!$A:$B,2,FALSE),"Not Sampled")</f>
        <v>Not Sampled</v>
      </c>
      <c r="K962" s="1">
        <v>960</v>
      </c>
      <c r="L962" s="1">
        <f>LOOKUP(A962,Sheet2!$D$4:$E$9)</f>
        <v>2</v>
      </c>
      <c r="M962" t="str">
        <f>LOOKUP(B962,Sheet2!$G$4:$H$9)</f>
        <v>1-99</v>
      </c>
      <c r="N962" t="str">
        <f>LOOKUP(C962,Sheet2!$J$4:$K$8)</f>
        <v>60-69</v>
      </c>
      <c r="O962" t="str">
        <f>LOOKUP(D962,Sheet2!$M$4:$N$8)</f>
        <v>10-30</v>
      </c>
      <c r="P962" t="str">
        <f>LOOKUP(E962,Sheet2!$P$4:$Q$9)</f>
        <v>1-99</v>
      </c>
      <c r="Q962" t="str">
        <f>LOOKUP(F962,Sheet2!$S$4:$T$8)</f>
        <v>36+</v>
      </c>
      <c r="R962" t="str">
        <f>LOOKUP(G962,Sheet2!$V$4:$W$7)</f>
        <v>0.4 - 0.69</v>
      </c>
      <c r="S962" t="str">
        <f>LOOKUP(H962,Sheet2!$Z$4:$AA$7)</f>
        <v>&lt;=25</v>
      </c>
      <c r="T962" t="str">
        <f t="shared" si="42"/>
        <v>Negative</v>
      </c>
      <c r="U962" t="str">
        <f t="shared" si="43"/>
        <v>Not Sampled</v>
      </c>
      <c r="V962" s="1" t="str">
        <f t="shared" si="44"/>
        <v>Not Sampled</v>
      </c>
    </row>
    <row r="963" spans="1:22" x14ac:dyDescent="0.25">
      <c r="A963" s="1">
        <v>2</v>
      </c>
      <c r="B963" s="1">
        <v>89</v>
      </c>
      <c r="C963" s="1">
        <v>90</v>
      </c>
      <c r="D963" s="1">
        <v>30</v>
      </c>
      <c r="E963" s="1">
        <v>0</v>
      </c>
      <c r="F963" s="1">
        <v>33.5</v>
      </c>
      <c r="G963" s="1">
        <v>0.29199999999999998</v>
      </c>
      <c r="H963" s="1">
        <v>42</v>
      </c>
      <c r="I963" s="1">
        <v>0</v>
      </c>
      <c r="J963" s="1" t="str">
        <f>IFERROR(VLOOKUP(K963,[1]diabetes_Recognition!$A:$B,2,FALSE),"Not Sampled")</f>
        <v>Not Sampled</v>
      </c>
      <c r="K963" s="1">
        <v>961</v>
      </c>
      <c r="L963" s="1">
        <f>LOOKUP(A963,Sheet2!$D$4:$E$9)</f>
        <v>2</v>
      </c>
      <c r="M963" t="str">
        <f>LOOKUP(B963,Sheet2!$G$4:$H$9)</f>
        <v>1-99</v>
      </c>
      <c r="N963" t="str">
        <f>LOOKUP(C963,Sheet2!$J$4:$K$8)</f>
        <v>80+</v>
      </c>
      <c r="O963" t="str">
        <f>LOOKUP(D963,Sheet2!$M$4:$N$8)</f>
        <v>30-39</v>
      </c>
      <c r="P963" t="str">
        <f>LOOKUP(E963,Sheet2!$P$4:$Q$9)</f>
        <v>Unknown</v>
      </c>
      <c r="Q963" t="str">
        <f>LOOKUP(F963,Sheet2!$S$4:$T$8)</f>
        <v>31-35</v>
      </c>
      <c r="R963" t="str">
        <f>LOOKUP(G963,Sheet2!$V$4:$W$7)</f>
        <v>0.25 - 0.39</v>
      </c>
      <c r="S963" t="str">
        <f>LOOKUP(H963,Sheet2!$Z$4:$AA$7)</f>
        <v>36-45</v>
      </c>
      <c r="T963" t="str">
        <f t="shared" ref="T963:T1026" si="45">IF(I963=1,"Positive","Negative")</f>
        <v>Negative</v>
      </c>
      <c r="U963" t="str">
        <f t="shared" ref="U963:U1026" si="46">IF(J963=1,"Positive",(IF(J963=0,"Negative","Not Sampled")))</f>
        <v>Not Sampled</v>
      </c>
      <c r="V963" s="1" t="str">
        <f t="shared" ref="V963:V1026" si="47">IF(U963="Not Sampled","Not Sampled",IF(T963=U963,"Accurate Prediction","Inaccurate Prediction"))</f>
        <v>Not Sampled</v>
      </c>
    </row>
    <row r="964" spans="1:22" x14ac:dyDescent="0.25">
      <c r="A964" s="1">
        <v>4</v>
      </c>
      <c r="B964" s="1">
        <v>99</v>
      </c>
      <c r="C964" s="1">
        <v>68</v>
      </c>
      <c r="D964" s="1">
        <v>38</v>
      </c>
      <c r="E964" s="1">
        <v>0</v>
      </c>
      <c r="F964" s="1">
        <v>32.799999999999997</v>
      </c>
      <c r="G964" s="1">
        <v>0.14499999999999999</v>
      </c>
      <c r="H964" s="1">
        <v>33</v>
      </c>
      <c r="I964" s="1">
        <v>0</v>
      </c>
      <c r="J964" s="1" t="str">
        <f>IFERROR(VLOOKUP(K964,[1]diabetes_Recognition!$A:$B,2,FALSE),"Not Sampled")</f>
        <v>Not Sampled</v>
      </c>
      <c r="K964" s="1">
        <v>962</v>
      </c>
      <c r="L964" s="1" t="str">
        <f>LOOKUP(A964,Sheet2!$D$4:$E$9)</f>
        <v>3-4</v>
      </c>
      <c r="M964" t="str">
        <f>LOOKUP(B964,Sheet2!$G$4:$H$9)</f>
        <v>1-99</v>
      </c>
      <c r="N964" t="str">
        <f>LOOKUP(C964,Sheet2!$J$4:$K$8)</f>
        <v>60-69</v>
      </c>
      <c r="O964" t="str">
        <f>LOOKUP(D964,Sheet2!$M$4:$N$8)</f>
        <v>30-39</v>
      </c>
      <c r="P964" t="str">
        <f>LOOKUP(E964,Sheet2!$P$4:$Q$9)</f>
        <v>Unknown</v>
      </c>
      <c r="Q964" t="str">
        <f>LOOKUP(F964,Sheet2!$S$4:$T$8)</f>
        <v>31-35</v>
      </c>
      <c r="R964" t="str">
        <f>LOOKUP(G964,Sheet2!$V$4:$W$7)</f>
        <v>0.0 - 0.249</v>
      </c>
      <c r="S964" t="str">
        <f>LOOKUP(H964,Sheet2!$Z$4:$AA$7)</f>
        <v>26-35</v>
      </c>
      <c r="T964" t="str">
        <f t="shared" si="45"/>
        <v>Negative</v>
      </c>
      <c r="U964" t="str">
        <f t="shared" si="46"/>
        <v>Not Sampled</v>
      </c>
      <c r="V964" s="1" t="str">
        <f t="shared" si="47"/>
        <v>Not Sampled</v>
      </c>
    </row>
    <row r="965" spans="1:22" x14ac:dyDescent="0.25">
      <c r="A965" s="1">
        <v>4</v>
      </c>
      <c r="B965" s="1">
        <v>125</v>
      </c>
      <c r="C965" s="1">
        <v>70</v>
      </c>
      <c r="D965" s="1">
        <v>18</v>
      </c>
      <c r="E965" s="1">
        <v>122</v>
      </c>
      <c r="F965" s="1">
        <v>28.9</v>
      </c>
      <c r="G965" s="1">
        <v>1.1439999999999999</v>
      </c>
      <c r="H965" s="1">
        <v>45</v>
      </c>
      <c r="I965" s="1">
        <v>1</v>
      </c>
      <c r="J965" s="1" t="str">
        <f>IFERROR(VLOOKUP(K965,[1]diabetes_Recognition!$A:$B,2,FALSE),"Not Sampled")</f>
        <v>Not Sampled</v>
      </c>
      <c r="K965" s="1">
        <v>963</v>
      </c>
      <c r="L965" s="1" t="str">
        <f>LOOKUP(A965,Sheet2!$D$4:$E$9)</f>
        <v>3-4</v>
      </c>
      <c r="M965" t="str">
        <f>LOOKUP(B965,Sheet2!$G$4:$H$9)</f>
        <v>100-125</v>
      </c>
      <c r="N965" t="str">
        <f>LOOKUP(C965,Sheet2!$J$4:$K$8)</f>
        <v>70-79</v>
      </c>
      <c r="O965" t="str">
        <f>LOOKUP(D965,Sheet2!$M$4:$N$8)</f>
        <v>10-30</v>
      </c>
      <c r="P965" t="str">
        <f>LOOKUP(E965,Sheet2!$P$4:$Q$9)</f>
        <v>100-199</v>
      </c>
      <c r="Q965" t="str">
        <f>LOOKUP(F965,Sheet2!$S$4:$T$8)</f>
        <v>26-30</v>
      </c>
      <c r="R965" t="str">
        <f>LOOKUP(G965,Sheet2!$V$4:$W$7)</f>
        <v>0.7+</v>
      </c>
      <c r="S965" t="str">
        <f>LOOKUP(H965,Sheet2!$Z$4:$AA$7)</f>
        <v>36-45</v>
      </c>
      <c r="T965" t="str">
        <f t="shared" si="45"/>
        <v>Positive</v>
      </c>
      <c r="U965" t="str">
        <f t="shared" si="46"/>
        <v>Not Sampled</v>
      </c>
      <c r="V965" s="1" t="str">
        <f t="shared" si="47"/>
        <v>Not Sampled</v>
      </c>
    </row>
    <row r="966" spans="1:22" x14ac:dyDescent="0.25">
      <c r="A966" s="1">
        <v>3</v>
      </c>
      <c r="B966" s="1">
        <v>80</v>
      </c>
      <c r="C966" s="1">
        <v>0</v>
      </c>
      <c r="D966" s="1">
        <v>0</v>
      </c>
      <c r="E966" s="1">
        <v>0</v>
      </c>
      <c r="F966" s="1">
        <v>0</v>
      </c>
      <c r="G966" s="1">
        <v>0.17399999999999999</v>
      </c>
      <c r="H966" s="1">
        <v>22</v>
      </c>
      <c r="I966" s="1">
        <v>0</v>
      </c>
      <c r="J966" s="1" t="str">
        <f>IFERROR(VLOOKUP(K966,[1]diabetes_Recognition!$A:$B,2,FALSE),"Not Sampled")</f>
        <v>Not Sampled</v>
      </c>
      <c r="K966" s="1">
        <v>964</v>
      </c>
      <c r="L966" s="1" t="str">
        <f>LOOKUP(A966,Sheet2!$D$4:$E$9)</f>
        <v>3-4</v>
      </c>
      <c r="M966" t="str">
        <f>LOOKUP(B966,Sheet2!$G$4:$H$9)</f>
        <v>1-99</v>
      </c>
      <c r="N966" t="str">
        <f>LOOKUP(C966,Sheet2!$J$4:$K$8)</f>
        <v>Unknown</v>
      </c>
      <c r="O966" t="str">
        <f>LOOKUP(D966,Sheet2!$M$4:$N$8)</f>
        <v>Unknown</v>
      </c>
      <c r="P966" t="str">
        <f>LOOKUP(E966,Sheet2!$P$4:$Q$9)</f>
        <v>Unknown</v>
      </c>
      <c r="Q966" t="str">
        <f>LOOKUP(F966,Sheet2!$S$4:$T$8)</f>
        <v>Unknown</v>
      </c>
      <c r="R966" t="str">
        <f>LOOKUP(G966,Sheet2!$V$4:$W$7)</f>
        <v>0.0 - 0.249</v>
      </c>
      <c r="S966" t="str">
        <f>LOOKUP(H966,Sheet2!$Z$4:$AA$7)</f>
        <v>&lt;=25</v>
      </c>
      <c r="T966" t="str">
        <f t="shared" si="45"/>
        <v>Negative</v>
      </c>
      <c r="U966" t="str">
        <f t="shared" si="46"/>
        <v>Not Sampled</v>
      </c>
      <c r="V966" s="1" t="str">
        <f t="shared" si="47"/>
        <v>Not Sampled</v>
      </c>
    </row>
    <row r="967" spans="1:22" x14ac:dyDescent="0.25">
      <c r="A967" s="1">
        <v>6</v>
      </c>
      <c r="B967" s="1">
        <v>166</v>
      </c>
      <c r="C967" s="1">
        <v>74</v>
      </c>
      <c r="D967" s="1">
        <v>0</v>
      </c>
      <c r="E967" s="1">
        <v>0</v>
      </c>
      <c r="F967" s="1">
        <v>26.6</v>
      </c>
      <c r="G967" s="1">
        <v>0.30399999999999999</v>
      </c>
      <c r="H967" s="1">
        <v>66</v>
      </c>
      <c r="I967" s="1">
        <v>0</v>
      </c>
      <c r="J967" s="1" t="str">
        <f>IFERROR(VLOOKUP(K967,[1]diabetes_Recognition!$A:$B,2,FALSE),"Not Sampled")</f>
        <v>Not Sampled</v>
      </c>
      <c r="K967" s="1">
        <v>965</v>
      </c>
      <c r="L967" s="1" t="str">
        <f>LOOKUP(A967,Sheet2!$D$4:$E$9)</f>
        <v>5-7</v>
      </c>
      <c r="M967" t="str">
        <f>LOOKUP(B967,Sheet2!$G$4:$H$9)</f>
        <v>151-175</v>
      </c>
      <c r="N967" t="str">
        <f>LOOKUP(C967,Sheet2!$J$4:$K$8)</f>
        <v>70-79</v>
      </c>
      <c r="O967" t="str">
        <f>LOOKUP(D967,Sheet2!$M$4:$N$8)</f>
        <v>Unknown</v>
      </c>
      <c r="P967" t="str">
        <f>LOOKUP(E967,Sheet2!$P$4:$Q$9)</f>
        <v>Unknown</v>
      </c>
      <c r="Q967" t="str">
        <f>LOOKUP(F967,Sheet2!$S$4:$T$8)</f>
        <v>26-30</v>
      </c>
      <c r="R967" t="str">
        <f>LOOKUP(G967,Sheet2!$V$4:$W$7)</f>
        <v>0.25 - 0.39</v>
      </c>
      <c r="S967" t="str">
        <f>LOOKUP(H967,Sheet2!$Z$4:$AA$7)</f>
        <v>46+</v>
      </c>
      <c r="T967" t="str">
        <f t="shared" si="45"/>
        <v>Negative</v>
      </c>
      <c r="U967" t="str">
        <f t="shared" si="46"/>
        <v>Not Sampled</v>
      </c>
      <c r="V967" s="1" t="str">
        <f t="shared" si="47"/>
        <v>Not Sampled</v>
      </c>
    </row>
    <row r="968" spans="1:22" x14ac:dyDescent="0.25">
      <c r="A968" s="1">
        <v>5</v>
      </c>
      <c r="B968" s="1">
        <v>110</v>
      </c>
      <c r="C968" s="1">
        <v>68</v>
      </c>
      <c r="D968" s="1">
        <v>0</v>
      </c>
      <c r="E968" s="1">
        <v>0</v>
      </c>
      <c r="F968" s="1">
        <v>26</v>
      </c>
      <c r="G968" s="1">
        <v>0.29199999999999998</v>
      </c>
      <c r="H968" s="1">
        <v>30</v>
      </c>
      <c r="I968" s="1">
        <v>0</v>
      </c>
      <c r="J968" s="1">
        <f>IFERROR(VLOOKUP(K968,[1]diabetes_Recognition!$A:$B,2,FALSE),"Not Sampled")</f>
        <v>0</v>
      </c>
      <c r="K968" s="1">
        <v>966</v>
      </c>
      <c r="L968" s="1" t="str">
        <f>LOOKUP(A968,Sheet2!$D$4:$E$9)</f>
        <v>5-7</v>
      </c>
      <c r="M968" t="str">
        <f>LOOKUP(B968,Sheet2!$G$4:$H$9)</f>
        <v>100-125</v>
      </c>
      <c r="N968" t="str">
        <f>LOOKUP(C968,Sheet2!$J$4:$K$8)</f>
        <v>60-69</v>
      </c>
      <c r="O968" t="str">
        <f>LOOKUP(D968,Sheet2!$M$4:$N$8)</f>
        <v>Unknown</v>
      </c>
      <c r="P968" t="str">
        <f>LOOKUP(E968,Sheet2!$P$4:$Q$9)</f>
        <v>Unknown</v>
      </c>
      <c r="Q968" t="str">
        <f>LOOKUP(F968,Sheet2!$S$4:$T$8)</f>
        <v>26-30</v>
      </c>
      <c r="R968" t="str">
        <f>LOOKUP(G968,Sheet2!$V$4:$W$7)</f>
        <v>0.25 - 0.39</v>
      </c>
      <c r="S968" t="str">
        <f>LOOKUP(H968,Sheet2!$Z$4:$AA$7)</f>
        <v>26-35</v>
      </c>
      <c r="T968" t="str">
        <f t="shared" si="45"/>
        <v>Negative</v>
      </c>
      <c r="U968" t="str">
        <f t="shared" si="46"/>
        <v>Negative</v>
      </c>
      <c r="V968" s="1" t="str">
        <f t="shared" si="47"/>
        <v>Accurate Prediction</v>
      </c>
    </row>
    <row r="969" spans="1:22" x14ac:dyDescent="0.25">
      <c r="A969" s="1">
        <v>2</v>
      </c>
      <c r="B969" s="1">
        <v>81</v>
      </c>
      <c r="C969" s="1">
        <v>72</v>
      </c>
      <c r="D969" s="1">
        <v>15</v>
      </c>
      <c r="E969" s="1">
        <v>76</v>
      </c>
      <c r="F969" s="1">
        <v>30.1</v>
      </c>
      <c r="G969" s="1">
        <v>0.54700000000000004</v>
      </c>
      <c r="H969" s="1">
        <v>25</v>
      </c>
      <c r="I969" s="1">
        <v>0</v>
      </c>
      <c r="J969" s="1" t="str">
        <f>IFERROR(VLOOKUP(K969,[1]diabetes_Recognition!$A:$B,2,FALSE),"Not Sampled")</f>
        <v>Not Sampled</v>
      </c>
      <c r="K969" s="1">
        <v>967</v>
      </c>
      <c r="L969" s="1">
        <f>LOOKUP(A969,Sheet2!$D$4:$E$9)</f>
        <v>2</v>
      </c>
      <c r="M969" t="str">
        <f>LOOKUP(B969,Sheet2!$G$4:$H$9)</f>
        <v>1-99</v>
      </c>
      <c r="N969" t="str">
        <f>LOOKUP(C969,Sheet2!$J$4:$K$8)</f>
        <v>70-79</v>
      </c>
      <c r="O969" t="str">
        <f>LOOKUP(D969,Sheet2!$M$4:$N$8)</f>
        <v>10-30</v>
      </c>
      <c r="P969" t="str">
        <f>LOOKUP(E969,Sheet2!$P$4:$Q$9)</f>
        <v>1-99</v>
      </c>
      <c r="Q969" t="str">
        <f>LOOKUP(F969,Sheet2!$S$4:$T$8)</f>
        <v>26-30</v>
      </c>
      <c r="R969" t="str">
        <f>LOOKUP(G969,Sheet2!$V$4:$W$7)</f>
        <v>0.4 - 0.69</v>
      </c>
      <c r="S969" t="str">
        <f>LOOKUP(H969,Sheet2!$Z$4:$AA$7)</f>
        <v>&lt;=25</v>
      </c>
      <c r="T969" t="str">
        <f t="shared" si="45"/>
        <v>Negative</v>
      </c>
      <c r="U969" t="str">
        <f t="shared" si="46"/>
        <v>Not Sampled</v>
      </c>
      <c r="V969" s="1" t="str">
        <f t="shared" si="47"/>
        <v>Not Sampled</v>
      </c>
    </row>
    <row r="970" spans="1:22" x14ac:dyDescent="0.25">
      <c r="A970" s="1">
        <v>7</v>
      </c>
      <c r="B970" s="1">
        <v>195</v>
      </c>
      <c r="C970" s="1">
        <v>70</v>
      </c>
      <c r="D970" s="1">
        <v>33</v>
      </c>
      <c r="E970" s="1">
        <v>145</v>
      </c>
      <c r="F970" s="1">
        <v>25.1</v>
      </c>
      <c r="G970" s="1">
        <v>0.16300000000000001</v>
      </c>
      <c r="H970" s="1">
        <v>55</v>
      </c>
      <c r="I970" s="1">
        <v>1</v>
      </c>
      <c r="J970" s="1">
        <f>IFERROR(VLOOKUP(K970,[1]diabetes_Recognition!$A:$B,2,FALSE),"Not Sampled")</f>
        <v>1</v>
      </c>
      <c r="K970" s="1">
        <v>968</v>
      </c>
      <c r="L970" s="1" t="str">
        <f>LOOKUP(A970,Sheet2!$D$4:$E$9)</f>
        <v>5-7</v>
      </c>
      <c r="M970" t="str">
        <f>LOOKUP(B970,Sheet2!$G$4:$H$9)</f>
        <v>176-200</v>
      </c>
      <c r="N970" t="str">
        <f>LOOKUP(C970,Sheet2!$J$4:$K$8)</f>
        <v>70-79</v>
      </c>
      <c r="O970" t="str">
        <f>LOOKUP(D970,Sheet2!$M$4:$N$8)</f>
        <v>30-39</v>
      </c>
      <c r="P970" t="str">
        <f>LOOKUP(E970,Sheet2!$P$4:$Q$9)</f>
        <v>100-199</v>
      </c>
      <c r="Q970" t="str">
        <f>LOOKUP(F970,Sheet2!$S$4:$T$8)</f>
        <v>1-25</v>
      </c>
      <c r="R970" t="str">
        <f>LOOKUP(G970,Sheet2!$V$4:$W$7)</f>
        <v>0.0 - 0.249</v>
      </c>
      <c r="S970" t="str">
        <f>LOOKUP(H970,Sheet2!$Z$4:$AA$7)</f>
        <v>46+</v>
      </c>
      <c r="T970" t="str">
        <f t="shared" si="45"/>
        <v>Positive</v>
      </c>
      <c r="U970" t="str">
        <f t="shared" si="46"/>
        <v>Positive</v>
      </c>
      <c r="V970" s="1" t="str">
        <f t="shared" si="47"/>
        <v>Accurate Prediction</v>
      </c>
    </row>
    <row r="971" spans="1:22" x14ac:dyDescent="0.25">
      <c r="A971" s="1">
        <v>6</v>
      </c>
      <c r="B971" s="1">
        <v>154</v>
      </c>
      <c r="C971" s="1">
        <v>74</v>
      </c>
      <c r="D971" s="1">
        <v>32</v>
      </c>
      <c r="E971" s="1">
        <v>193</v>
      </c>
      <c r="F971" s="1">
        <v>29.3</v>
      </c>
      <c r="G971" s="1">
        <v>0.83899999999999997</v>
      </c>
      <c r="H971" s="1">
        <v>39</v>
      </c>
      <c r="I971" s="1">
        <v>0</v>
      </c>
      <c r="J971" s="1">
        <f>IFERROR(VLOOKUP(K971,[1]diabetes_Recognition!$A:$B,2,FALSE),"Not Sampled")</f>
        <v>1</v>
      </c>
      <c r="K971" s="1">
        <v>969</v>
      </c>
      <c r="L971" s="1" t="str">
        <f>LOOKUP(A971,Sheet2!$D$4:$E$9)</f>
        <v>5-7</v>
      </c>
      <c r="M971" t="str">
        <f>LOOKUP(B971,Sheet2!$G$4:$H$9)</f>
        <v>151-175</v>
      </c>
      <c r="N971" t="str">
        <f>LOOKUP(C971,Sheet2!$J$4:$K$8)</f>
        <v>70-79</v>
      </c>
      <c r="O971" t="str">
        <f>LOOKUP(D971,Sheet2!$M$4:$N$8)</f>
        <v>30-39</v>
      </c>
      <c r="P971" t="str">
        <f>LOOKUP(E971,Sheet2!$P$4:$Q$9)</f>
        <v>100-199</v>
      </c>
      <c r="Q971" t="str">
        <f>LOOKUP(F971,Sheet2!$S$4:$T$8)</f>
        <v>26-30</v>
      </c>
      <c r="R971" t="str">
        <f>LOOKUP(G971,Sheet2!$V$4:$W$7)</f>
        <v>0.7+</v>
      </c>
      <c r="S971" t="str">
        <f>LOOKUP(H971,Sheet2!$Z$4:$AA$7)</f>
        <v>36-45</v>
      </c>
      <c r="T971" t="str">
        <f t="shared" si="45"/>
        <v>Negative</v>
      </c>
      <c r="U971" t="str">
        <f t="shared" si="46"/>
        <v>Positive</v>
      </c>
      <c r="V971" s="1" t="str">
        <f t="shared" si="47"/>
        <v>Inaccurate Prediction</v>
      </c>
    </row>
    <row r="972" spans="1:22" x14ac:dyDescent="0.25">
      <c r="A972" s="1">
        <v>2</v>
      </c>
      <c r="B972" s="1">
        <v>117</v>
      </c>
      <c r="C972" s="1">
        <v>90</v>
      </c>
      <c r="D972" s="1">
        <v>19</v>
      </c>
      <c r="E972" s="1">
        <v>71</v>
      </c>
      <c r="F972" s="1">
        <v>25.2</v>
      </c>
      <c r="G972" s="1">
        <v>0.313</v>
      </c>
      <c r="H972" s="1">
        <v>21</v>
      </c>
      <c r="I972" s="1">
        <v>0</v>
      </c>
      <c r="J972" s="1">
        <f>IFERROR(VLOOKUP(K972,[1]diabetes_Recognition!$A:$B,2,FALSE),"Not Sampled")</f>
        <v>0</v>
      </c>
      <c r="K972" s="1">
        <v>970</v>
      </c>
      <c r="L972" s="1">
        <f>LOOKUP(A972,Sheet2!$D$4:$E$9)</f>
        <v>2</v>
      </c>
      <c r="M972" t="str">
        <f>LOOKUP(B972,Sheet2!$G$4:$H$9)</f>
        <v>100-125</v>
      </c>
      <c r="N972" t="str">
        <f>LOOKUP(C972,Sheet2!$J$4:$K$8)</f>
        <v>80+</v>
      </c>
      <c r="O972" t="str">
        <f>LOOKUP(D972,Sheet2!$M$4:$N$8)</f>
        <v>10-30</v>
      </c>
      <c r="P972" t="str">
        <f>LOOKUP(E972,Sheet2!$P$4:$Q$9)</f>
        <v>1-99</v>
      </c>
      <c r="Q972" t="str">
        <f>LOOKUP(F972,Sheet2!$S$4:$T$8)</f>
        <v>1-25</v>
      </c>
      <c r="R972" t="str">
        <f>LOOKUP(G972,Sheet2!$V$4:$W$7)</f>
        <v>0.25 - 0.39</v>
      </c>
      <c r="S972" t="str">
        <f>LOOKUP(H972,Sheet2!$Z$4:$AA$7)</f>
        <v>&lt;=25</v>
      </c>
      <c r="T972" t="str">
        <f t="shared" si="45"/>
        <v>Negative</v>
      </c>
      <c r="U972" t="str">
        <f t="shared" si="46"/>
        <v>Negative</v>
      </c>
      <c r="V972" s="1" t="str">
        <f t="shared" si="47"/>
        <v>Accurate Prediction</v>
      </c>
    </row>
    <row r="973" spans="1:22" x14ac:dyDescent="0.25">
      <c r="A973" s="1">
        <v>3</v>
      </c>
      <c r="B973" s="1">
        <v>84</v>
      </c>
      <c r="C973" s="1">
        <v>72</v>
      </c>
      <c r="D973" s="1">
        <v>32</v>
      </c>
      <c r="E973" s="1">
        <v>0</v>
      </c>
      <c r="F973" s="1">
        <v>37.200000000000003</v>
      </c>
      <c r="G973" s="1">
        <v>0.26700000000000002</v>
      </c>
      <c r="H973" s="1">
        <v>28</v>
      </c>
      <c r="I973" s="1">
        <v>0</v>
      </c>
      <c r="J973" s="1" t="str">
        <f>IFERROR(VLOOKUP(K973,[1]diabetes_Recognition!$A:$B,2,FALSE),"Not Sampled")</f>
        <v>Not Sampled</v>
      </c>
      <c r="K973" s="1">
        <v>971</v>
      </c>
      <c r="L973" s="1" t="str">
        <f>LOOKUP(A973,Sheet2!$D$4:$E$9)</f>
        <v>3-4</v>
      </c>
      <c r="M973" t="str">
        <f>LOOKUP(B973,Sheet2!$G$4:$H$9)</f>
        <v>1-99</v>
      </c>
      <c r="N973" t="str">
        <f>LOOKUP(C973,Sheet2!$J$4:$K$8)</f>
        <v>70-79</v>
      </c>
      <c r="O973" t="str">
        <f>LOOKUP(D973,Sheet2!$M$4:$N$8)</f>
        <v>30-39</v>
      </c>
      <c r="P973" t="str">
        <f>LOOKUP(E973,Sheet2!$P$4:$Q$9)</f>
        <v>Unknown</v>
      </c>
      <c r="Q973" t="str">
        <f>LOOKUP(F973,Sheet2!$S$4:$T$8)</f>
        <v>36+</v>
      </c>
      <c r="R973" t="str">
        <f>LOOKUP(G973,Sheet2!$V$4:$W$7)</f>
        <v>0.25 - 0.39</v>
      </c>
      <c r="S973" t="str">
        <f>LOOKUP(H973,Sheet2!$Z$4:$AA$7)</f>
        <v>26-35</v>
      </c>
      <c r="T973" t="str">
        <f t="shared" si="45"/>
        <v>Negative</v>
      </c>
      <c r="U973" t="str">
        <f t="shared" si="46"/>
        <v>Not Sampled</v>
      </c>
      <c r="V973" s="1" t="str">
        <f t="shared" si="47"/>
        <v>Not Sampled</v>
      </c>
    </row>
    <row r="974" spans="1:22" x14ac:dyDescent="0.25">
      <c r="A974" s="1">
        <v>6</v>
      </c>
      <c r="B974" s="1">
        <v>0</v>
      </c>
      <c r="C974" s="1">
        <v>68</v>
      </c>
      <c r="D974" s="1">
        <v>41</v>
      </c>
      <c r="E974" s="1">
        <v>0</v>
      </c>
      <c r="F974" s="1">
        <v>39</v>
      </c>
      <c r="G974" s="1">
        <v>0.72699999999999998</v>
      </c>
      <c r="H974" s="1">
        <v>41</v>
      </c>
      <c r="I974" s="1">
        <v>1</v>
      </c>
      <c r="J974" s="1">
        <f>IFERROR(VLOOKUP(K974,[1]diabetes_Recognition!$A:$B,2,FALSE),"Not Sampled")</f>
        <v>0</v>
      </c>
      <c r="K974" s="1">
        <v>972</v>
      </c>
      <c r="L974" s="1" t="str">
        <f>LOOKUP(A974,Sheet2!$D$4:$E$9)</f>
        <v>5-7</v>
      </c>
      <c r="M974" t="str">
        <f>LOOKUP(B974,Sheet2!$G$4:$H$9)</f>
        <v>Unknown</v>
      </c>
      <c r="N974" t="str">
        <f>LOOKUP(C974,Sheet2!$J$4:$K$8)</f>
        <v>60-69</v>
      </c>
      <c r="O974" t="str">
        <f>LOOKUP(D974,Sheet2!$M$4:$N$8)</f>
        <v>40+</v>
      </c>
      <c r="P974" t="str">
        <f>LOOKUP(E974,Sheet2!$P$4:$Q$9)</f>
        <v>Unknown</v>
      </c>
      <c r="Q974" t="str">
        <f>LOOKUP(F974,Sheet2!$S$4:$T$8)</f>
        <v>36+</v>
      </c>
      <c r="R974" t="str">
        <f>LOOKUP(G974,Sheet2!$V$4:$W$7)</f>
        <v>0.7+</v>
      </c>
      <c r="S974" t="str">
        <f>LOOKUP(H974,Sheet2!$Z$4:$AA$7)</f>
        <v>36-45</v>
      </c>
      <c r="T974" t="str">
        <f t="shared" si="45"/>
        <v>Positive</v>
      </c>
      <c r="U974" t="str">
        <f t="shared" si="46"/>
        <v>Negative</v>
      </c>
      <c r="V974" s="1" t="str">
        <f t="shared" si="47"/>
        <v>Inaccurate Prediction</v>
      </c>
    </row>
    <row r="975" spans="1:22" x14ac:dyDescent="0.25">
      <c r="A975" s="1">
        <v>7</v>
      </c>
      <c r="B975" s="1">
        <v>94</v>
      </c>
      <c r="C975" s="1">
        <v>64</v>
      </c>
      <c r="D975" s="1">
        <v>25</v>
      </c>
      <c r="E975" s="1">
        <v>79</v>
      </c>
      <c r="F975" s="1">
        <v>33.299999999999997</v>
      </c>
      <c r="G975" s="1">
        <v>0.73799999999999999</v>
      </c>
      <c r="H975" s="1">
        <v>41</v>
      </c>
      <c r="I975" s="1">
        <v>0</v>
      </c>
      <c r="J975" s="1" t="str">
        <f>IFERROR(VLOOKUP(K975,[1]diabetes_Recognition!$A:$B,2,FALSE),"Not Sampled")</f>
        <v>Not Sampled</v>
      </c>
      <c r="K975" s="1">
        <v>973</v>
      </c>
      <c r="L975" s="1" t="str">
        <f>LOOKUP(A975,Sheet2!$D$4:$E$9)</f>
        <v>5-7</v>
      </c>
      <c r="M975" t="str">
        <f>LOOKUP(B975,Sheet2!$G$4:$H$9)</f>
        <v>1-99</v>
      </c>
      <c r="N975" t="str">
        <f>LOOKUP(C975,Sheet2!$J$4:$K$8)</f>
        <v>60-69</v>
      </c>
      <c r="O975" t="str">
        <f>LOOKUP(D975,Sheet2!$M$4:$N$8)</f>
        <v>10-30</v>
      </c>
      <c r="P975" t="str">
        <f>LOOKUP(E975,Sheet2!$P$4:$Q$9)</f>
        <v>1-99</v>
      </c>
      <c r="Q975" t="str">
        <f>LOOKUP(F975,Sheet2!$S$4:$T$8)</f>
        <v>31-35</v>
      </c>
      <c r="R975" t="str">
        <f>LOOKUP(G975,Sheet2!$V$4:$W$7)</f>
        <v>0.7+</v>
      </c>
      <c r="S975" t="str">
        <f>LOOKUP(H975,Sheet2!$Z$4:$AA$7)</f>
        <v>36-45</v>
      </c>
      <c r="T975" t="str">
        <f t="shared" si="45"/>
        <v>Negative</v>
      </c>
      <c r="U975" t="str">
        <f t="shared" si="46"/>
        <v>Not Sampled</v>
      </c>
      <c r="V975" s="1" t="str">
        <f t="shared" si="47"/>
        <v>Not Sampled</v>
      </c>
    </row>
    <row r="976" spans="1:22" x14ac:dyDescent="0.25">
      <c r="A976" s="1">
        <v>3</v>
      </c>
      <c r="B976" s="1">
        <v>96</v>
      </c>
      <c r="C976" s="1">
        <v>78</v>
      </c>
      <c r="D976" s="1">
        <v>39</v>
      </c>
      <c r="E976" s="1">
        <v>0</v>
      </c>
      <c r="F976" s="1">
        <v>37.299999999999997</v>
      </c>
      <c r="G976" s="1">
        <v>0.23799999999999999</v>
      </c>
      <c r="H976" s="1">
        <v>40</v>
      </c>
      <c r="I976" s="1">
        <v>0</v>
      </c>
      <c r="J976" s="1" t="str">
        <f>IFERROR(VLOOKUP(K976,[1]diabetes_Recognition!$A:$B,2,FALSE),"Not Sampled")</f>
        <v>Not Sampled</v>
      </c>
      <c r="K976" s="1">
        <v>974</v>
      </c>
      <c r="L976" s="1" t="str">
        <f>LOOKUP(A976,Sheet2!$D$4:$E$9)</f>
        <v>3-4</v>
      </c>
      <c r="M976" t="str">
        <f>LOOKUP(B976,Sheet2!$G$4:$H$9)</f>
        <v>1-99</v>
      </c>
      <c r="N976" t="str">
        <f>LOOKUP(C976,Sheet2!$J$4:$K$8)</f>
        <v>70-79</v>
      </c>
      <c r="O976" t="str">
        <f>LOOKUP(D976,Sheet2!$M$4:$N$8)</f>
        <v>30-39</v>
      </c>
      <c r="P976" t="str">
        <f>LOOKUP(E976,Sheet2!$P$4:$Q$9)</f>
        <v>Unknown</v>
      </c>
      <c r="Q976" t="str">
        <f>LOOKUP(F976,Sheet2!$S$4:$T$8)</f>
        <v>36+</v>
      </c>
      <c r="R976" t="str">
        <f>LOOKUP(G976,Sheet2!$V$4:$W$7)</f>
        <v>0.0 - 0.249</v>
      </c>
      <c r="S976" t="str">
        <f>LOOKUP(H976,Sheet2!$Z$4:$AA$7)</f>
        <v>36-45</v>
      </c>
      <c r="T976" t="str">
        <f t="shared" si="45"/>
        <v>Negative</v>
      </c>
      <c r="U976" t="str">
        <f t="shared" si="46"/>
        <v>Not Sampled</v>
      </c>
      <c r="V976" s="1" t="str">
        <f t="shared" si="47"/>
        <v>Not Sampled</v>
      </c>
    </row>
    <row r="977" spans="1:22" x14ac:dyDescent="0.25">
      <c r="A977" s="1">
        <v>10</v>
      </c>
      <c r="B977" s="1">
        <v>75</v>
      </c>
      <c r="C977" s="1">
        <v>82</v>
      </c>
      <c r="D977" s="1">
        <v>0</v>
      </c>
      <c r="E977" s="1">
        <v>0</v>
      </c>
      <c r="F977" s="1">
        <v>33.299999999999997</v>
      </c>
      <c r="G977" s="1">
        <v>0.26300000000000001</v>
      </c>
      <c r="H977" s="1">
        <v>38</v>
      </c>
      <c r="I977" s="1">
        <v>0</v>
      </c>
      <c r="J977" s="1" t="str">
        <f>IFERROR(VLOOKUP(K977,[1]diabetes_Recognition!$A:$B,2,FALSE),"Not Sampled")</f>
        <v>Not Sampled</v>
      </c>
      <c r="K977" s="1">
        <v>975</v>
      </c>
      <c r="L977" s="1" t="str">
        <f>LOOKUP(A977,Sheet2!$D$4:$E$9)</f>
        <v>8+</v>
      </c>
      <c r="M977" t="str">
        <f>LOOKUP(B977,Sheet2!$G$4:$H$9)</f>
        <v>1-99</v>
      </c>
      <c r="N977" t="str">
        <f>LOOKUP(C977,Sheet2!$J$4:$K$8)</f>
        <v>80+</v>
      </c>
      <c r="O977" t="str">
        <f>LOOKUP(D977,Sheet2!$M$4:$N$8)</f>
        <v>Unknown</v>
      </c>
      <c r="P977" t="str">
        <f>LOOKUP(E977,Sheet2!$P$4:$Q$9)</f>
        <v>Unknown</v>
      </c>
      <c r="Q977" t="str">
        <f>LOOKUP(F977,Sheet2!$S$4:$T$8)</f>
        <v>31-35</v>
      </c>
      <c r="R977" t="str">
        <f>LOOKUP(G977,Sheet2!$V$4:$W$7)</f>
        <v>0.25 - 0.39</v>
      </c>
      <c r="S977" t="str">
        <f>LOOKUP(H977,Sheet2!$Z$4:$AA$7)</f>
        <v>36-45</v>
      </c>
      <c r="T977" t="str">
        <f t="shared" si="45"/>
        <v>Negative</v>
      </c>
      <c r="U977" t="str">
        <f t="shared" si="46"/>
        <v>Not Sampled</v>
      </c>
      <c r="V977" s="1" t="str">
        <f t="shared" si="47"/>
        <v>Not Sampled</v>
      </c>
    </row>
    <row r="978" spans="1:22" x14ac:dyDescent="0.25">
      <c r="A978" s="1">
        <v>0</v>
      </c>
      <c r="B978" s="1">
        <v>180</v>
      </c>
      <c r="C978" s="1">
        <v>90</v>
      </c>
      <c r="D978" s="1">
        <v>26</v>
      </c>
      <c r="E978" s="1">
        <v>90</v>
      </c>
      <c r="F978" s="1">
        <v>36.5</v>
      </c>
      <c r="G978" s="1">
        <v>0.314</v>
      </c>
      <c r="H978" s="1">
        <v>35</v>
      </c>
      <c r="I978" s="1">
        <v>1</v>
      </c>
      <c r="J978" s="1">
        <f>IFERROR(VLOOKUP(K978,[1]diabetes_Recognition!$A:$B,2,FALSE),"Not Sampled")</f>
        <v>1</v>
      </c>
      <c r="K978" s="1">
        <v>976</v>
      </c>
      <c r="L978" s="1">
        <f>LOOKUP(A978,Sheet2!$D$4:$E$9)</f>
        <v>0</v>
      </c>
      <c r="M978" t="str">
        <f>LOOKUP(B978,Sheet2!$G$4:$H$9)</f>
        <v>176-200</v>
      </c>
      <c r="N978" t="str">
        <f>LOOKUP(C978,Sheet2!$J$4:$K$8)</f>
        <v>80+</v>
      </c>
      <c r="O978" t="str">
        <f>LOOKUP(D978,Sheet2!$M$4:$N$8)</f>
        <v>10-30</v>
      </c>
      <c r="P978" t="str">
        <f>LOOKUP(E978,Sheet2!$P$4:$Q$9)</f>
        <v>1-99</v>
      </c>
      <c r="Q978" t="str">
        <f>LOOKUP(F978,Sheet2!$S$4:$T$8)</f>
        <v>36+</v>
      </c>
      <c r="R978" t="str">
        <f>LOOKUP(G978,Sheet2!$V$4:$W$7)</f>
        <v>0.25 - 0.39</v>
      </c>
      <c r="S978" t="str">
        <f>LOOKUP(H978,Sheet2!$Z$4:$AA$7)</f>
        <v>26-35</v>
      </c>
      <c r="T978" t="str">
        <f t="shared" si="45"/>
        <v>Positive</v>
      </c>
      <c r="U978" t="str">
        <f t="shared" si="46"/>
        <v>Positive</v>
      </c>
      <c r="V978" s="1" t="str">
        <f t="shared" si="47"/>
        <v>Accurate Prediction</v>
      </c>
    </row>
    <row r="979" spans="1:22" x14ac:dyDescent="0.25">
      <c r="A979" s="1">
        <v>1</v>
      </c>
      <c r="B979" s="1">
        <v>130</v>
      </c>
      <c r="C979" s="1">
        <v>60</v>
      </c>
      <c r="D979" s="1">
        <v>23</v>
      </c>
      <c r="E979" s="1">
        <v>170</v>
      </c>
      <c r="F979" s="1">
        <v>28.6</v>
      </c>
      <c r="G979" s="1">
        <v>0.69199999999999995</v>
      </c>
      <c r="H979" s="1">
        <v>21</v>
      </c>
      <c r="I979" s="1">
        <v>0</v>
      </c>
      <c r="J979" s="1" t="str">
        <f>IFERROR(VLOOKUP(K979,[1]diabetes_Recognition!$A:$B,2,FALSE),"Not Sampled")</f>
        <v>Not Sampled</v>
      </c>
      <c r="K979" s="1">
        <v>977</v>
      </c>
      <c r="L979" s="1">
        <f>LOOKUP(A979,Sheet2!$D$4:$E$9)</f>
        <v>1</v>
      </c>
      <c r="M979" t="str">
        <f>LOOKUP(B979,Sheet2!$G$4:$H$9)</f>
        <v>126-150</v>
      </c>
      <c r="N979" t="str">
        <f>LOOKUP(C979,Sheet2!$J$4:$K$8)</f>
        <v>60-69</v>
      </c>
      <c r="O979" t="str">
        <f>LOOKUP(D979,Sheet2!$M$4:$N$8)</f>
        <v>10-30</v>
      </c>
      <c r="P979" t="str">
        <f>LOOKUP(E979,Sheet2!$P$4:$Q$9)</f>
        <v>100-199</v>
      </c>
      <c r="Q979" t="str">
        <f>LOOKUP(F979,Sheet2!$S$4:$T$8)</f>
        <v>26-30</v>
      </c>
      <c r="R979" t="str">
        <f>LOOKUP(G979,Sheet2!$V$4:$W$7)</f>
        <v>0.4 - 0.69</v>
      </c>
      <c r="S979" t="str">
        <f>LOOKUP(H979,Sheet2!$Z$4:$AA$7)</f>
        <v>&lt;=25</v>
      </c>
      <c r="T979" t="str">
        <f t="shared" si="45"/>
        <v>Negative</v>
      </c>
      <c r="U979" t="str">
        <f t="shared" si="46"/>
        <v>Not Sampled</v>
      </c>
      <c r="V979" s="1" t="str">
        <f t="shared" si="47"/>
        <v>Not Sampled</v>
      </c>
    </row>
    <row r="980" spans="1:22" x14ac:dyDescent="0.25">
      <c r="A980" s="1">
        <v>2</v>
      </c>
      <c r="B980" s="1">
        <v>84</v>
      </c>
      <c r="C980" s="1">
        <v>50</v>
      </c>
      <c r="D980" s="1">
        <v>23</v>
      </c>
      <c r="E980" s="1">
        <v>76</v>
      </c>
      <c r="F980" s="1">
        <v>30.4</v>
      </c>
      <c r="G980" s="1">
        <v>0.96799999999999997</v>
      </c>
      <c r="H980" s="1">
        <v>21</v>
      </c>
      <c r="I980" s="1">
        <v>0</v>
      </c>
      <c r="J980" s="1" t="str">
        <f>IFERROR(VLOOKUP(K980,[1]diabetes_Recognition!$A:$B,2,FALSE),"Not Sampled")</f>
        <v>Not Sampled</v>
      </c>
      <c r="K980" s="1">
        <v>978</v>
      </c>
      <c r="L980" s="1">
        <f>LOOKUP(A980,Sheet2!$D$4:$E$9)</f>
        <v>2</v>
      </c>
      <c r="M980" t="str">
        <f>LOOKUP(B980,Sheet2!$G$4:$H$9)</f>
        <v>1-99</v>
      </c>
      <c r="N980" t="str">
        <f>LOOKUP(C980,Sheet2!$J$4:$K$8)</f>
        <v>1-59</v>
      </c>
      <c r="O980" t="str">
        <f>LOOKUP(D980,Sheet2!$M$4:$N$8)</f>
        <v>10-30</v>
      </c>
      <c r="P980" t="str">
        <f>LOOKUP(E980,Sheet2!$P$4:$Q$9)</f>
        <v>1-99</v>
      </c>
      <c r="Q980" t="str">
        <f>LOOKUP(F980,Sheet2!$S$4:$T$8)</f>
        <v>26-30</v>
      </c>
      <c r="R980" t="str">
        <f>LOOKUP(G980,Sheet2!$V$4:$W$7)</f>
        <v>0.7+</v>
      </c>
      <c r="S980" t="str">
        <f>LOOKUP(H980,Sheet2!$Z$4:$AA$7)</f>
        <v>&lt;=25</v>
      </c>
      <c r="T980" t="str">
        <f t="shared" si="45"/>
        <v>Negative</v>
      </c>
      <c r="U980" t="str">
        <f t="shared" si="46"/>
        <v>Not Sampled</v>
      </c>
      <c r="V980" s="1" t="str">
        <f t="shared" si="47"/>
        <v>Not Sampled</v>
      </c>
    </row>
    <row r="981" spans="1:22" x14ac:dyDescent="0.25">
      <c r="A981" s="1">
        <v>8</v>
      </c>
      <c r="B981" s="1">
        <v>120</v>
      </c>
      <c r="C981" s="1">
        <v>78</v>
      </c>
      <c r="D981" s="1">
        <v>0</v>
      </c>
      <c r="E981" s="1">
        <v>0</v>
      </c>
      <c r="F981" s="1">
        <v>25</v>
      </c>
      <c r="G981" s="1">
        <v>0.40899999999999997</v>
      </c>
      <c r="H981" s="1">
        <v>64</v>
      </c>
      <c r="I981" s="1">
        <v>0</v>
      </c>
      <c r="J981" s="1" t="str">
        <f>IFERROR(VLOOKUP(K981,[1]diabetes_Recognition!$A:$B,2,FALSE),"Not Sampled")</f>
        <v>Not Sampled</v>
      </c>
      <c r="K981" s="1">
        <v>979</v>
      </c>
      <c r="L981" s="1" t="str">
        <f>LOOKUP(A981,Sheet2!$D$4:$E$9)</f>
        <v>8+</v>
      </c>
      <c r="M981" t="str">
        <f>LOOKUP(B981,Sheet2!$G$4:$H$9)</f>
        <v>100-125</v>
      </c>
      <c r="N981" t="str">
        <f>LOOKUP(C981,Sheet2!$J$4:$K$8)</f>
        <v>70-79</v>
      </c>
      <c r="O981" t="str">
        <f>LOOKUP(D981,Sheet2!$M$4:$N$8)</f>
        <v>Unknown</v>
      </c>
      <c r="P981" t="str">
        <f>LOOKUP(E981,Sheet2!$P$4:$Q$9)</f>
        <v>Unknown</v>
      </c>
      <c r="Q981" t="str">
        <f>LOOKUP(F981,Sheet2!$S$4:$T$8)</f>
        <v>1-25</v>
      </c>
      <c r="R981" t="str">
        <f>LOOKUP(G981,Sheet2!$V$4:$W$7)</f>
        <v>0.4 - 0.69</v>
      </c>
      <c r="S981" t="str">
        <f>LOOKUP(H981,Sheet2!$Z$4:$AA$7)</f>
        <v>46+</v>
      </c>
      <c r="T981" t="str">
        <f t="shared" si="45"/>
        <v>Negative</v>
      </c>
      <c r="U981" t="str">
        <f t="shared" si="46"/>
        <v>Not Sampled</v>
      </c>
      <c r="V981" s="1" t="str">
        <f t="shared" si="47"/>
        <v>Not Sampled</v>
      </c>
    </row>
    <row r="982" spans="1:22" x14ac:dyDescent="0.25">
      <c r="A982" s="1">
        <v>12</v>
      </c>
      <c r="B982" s="1">
        <v>84</v>
      </c>
      <c r="C982" s="1">
        <v>72</v>
      </c>
      <c r="D982" s="1">
        <v>31</v>
      </c>
      <c r="E982" s="1">
        <v>0</v>
      </c>
      <c r="F982" s="1">
        <v>29.7</v>
      </c>
      <c r="G982" s="1">
        <v>0.29699999999999999</v>
      </c>
      <c r="H982" s="1">
        <v>46</v>
      </c>
      <c r="I982" s="1">
        <v>1</v>
      </c>
      <c r="J982" s="1" t="str">
        <f>IFERROR(VLOOKUP(K982,[1]diabetes_Recognition!$A:$B,2,FALSE),"Not Sampled")</f>
        <v>Not Sampled</v>
      </c>
      <c r="K982" s="1">
        <v>980</v>
      </c>
      <c r="L982" s="1" t="str">
        <f>LOOKUP(A982,Sheet2!$D$4:$E$9)</f>
        <v>8+</v>
      </c>
      <c r="M982" t="str">
        <f>LOOKUP(B982,Sheet2!$G$4:$H$9)</f>
        <v>1-99</v>
      </c>
      <c r="N982" t="str">
        <f>LOOKUP(C982,Sheet2!$J$4:$K$8)</f>
        <v>70-79</v>
      </c>
      <c r="O982" t="str">
        <f>LOOKUP(D982,Sheet2!$M$4:$N$8)</f>
        <v>30-39</v>
      </c>
      <c r="P982" t="str">
        <f>LOOKUP(E982,Sheet2!$P$4:$Q$9)</f>
        <v>Unknown</v>
      </c>
      <c r="Q982" t="str">
        <f>LOOKUP(F982,Sheet2!$S$4:$T$8)</f>
        <v>26-30</v>
      </c>
      <c r="R982" t="str">
        <f>LOOKUP(G982,Sheet2!$V$4:$W$7)</f>
        <v>0.25 - 0.39</v>
      </c>
      <c r="S982" t="str">
        <f>LOOKUP(H982,Sheet2!$Z$4:$AA$7)</f>
        <v>46+</v>
      </c>
      <c r="T982" t="str">
        <f t="shared" si="45"/>
        <v>Positive</v>
      </c>
      <c r="U982" t="str">
        <f t="shared" si="46"/>
        <v>Not Sampled</v>
      </c>
      <c r="V982" s="1" t="str">
        <f t="shared" si="47"/>
        <v>Not Sampled</v>
      </c>
    </row>
    <row r="983" spans="1:22" x14ac:dyDescent="0.25">
      <c r="A983" s="1">
        <v>0</v>
      </c>
      <c r="B983" s="1">
        <v>139</v>
      </c>
      <c r="C983" s="1">
        <v>62</v>
      </c>
      <c r="D983" s="1">
        <v>17</v>
      </c>
      <c r="E983" s="1">
        <v>210</v>
      </c>
      <c r="F983" s="1">
        <v>22.1</v>
      </c>
      <c r="G983" s="1">
        <v>0.20699999999999999</v>
      </c>
      <c r="H983" s="1">
        <v>21</v>
      </c>
      <c r="I983" s="1">
        <v>0</v>
      </c>
      <c r="J983" s="1" t="str">
        <f>IFERROR(VLOOKUP(K983,[1]diabetes_Recognition!$A:$B,2,FALSE),"Not Sampled")</f>
        <v>Not Sampled</v>
      </c>
      <c r="K983" s="1">
        <v>981</v>
      </c>
      <c r="L983" s="1">
        <f>LOOKUP(A983,Sheet2!$D$4:$E$9)</f>
        <v>0</v>
      </c>
      <c r="M983" t="str">
        <f>LOOKUP(B983,Sheet2!$G$4:$H$9)</f>
        <v>126-150</v>
      </c>
      <c r="N983" t="str">
        <f>LOOKUP(C983,Sheet2!$J$4:$K$8)</f>
        <v>60-69</v>
      </c>
      <c r="O983" t="str">
        <f>LOOKUP(D983,Sheet2!$M$4:$N$8)</f>
        <v>10-30</v>
      </c>
      <c r="P983" t="str">
        <f>LOOKUP(E983,Sheet2!$P$4:$Q$9)</f>
        <v>200-399</v>
      </c>
      <c r="Q983" t="str">
        <f>LOOKUP(F983,Sheet2!$S$4:$T$8)</f>
        <v>1-25</v>
      </c>
      <c r="R983" t="str">
        <f>LOOKUP(G983,Sheet2!$V$4:$W$7)</f>
        <v>0.0 - 0.249</v>
      </c>
      <c r="S983" t="str">
        <f>LOOKUP(H983,Sheet2!$Z$4:$AA$7)</f>
        <v>&lt;=25</v>
      </c>
      <c r="T983" t="str">
        <f t="shared" si="45"/>
        <v>Negative</v>
      </c>
      <c r="U983" t="str">
        <f t="shared" si="46"/>
        <v>Not Sampled</v>
      </c>
      <c r="V983" s="1" t="str">
        <f t="shared" si="47"/>
        <v>Not Sampled</v>
      </c>
    </row>
    <row r="984" spans="1:22" x14ac:dyDescent="0.25">
      <c r="A984" s="1">
        <v>9</v>
      </c>
      <c r="B984" s="1">
        <v>91</v>
      </c>
      <c r="C984" s="1">
        <v>68</v>
      </c>
      <c r="D984" s="1">
        <v>0</v>
      </c>
      <c r="E984" s="1">
        <v>0</v>
      </c>
      <c r="F984" s="1">
        <v>24.2</v>
      </c>
      <c r="G984" s="1">
        <v>0.2</v>
      </c>
      <c r="H984" s="1">
        <v>58</v>
      </c>
      <c r="I984" s="1">
        <v>0</v>
      </c>
      <c r="J984" s="1">
        <f>IFERROR(VLOOKUP(K984,[1]diabetes_Recognition!$A:$B,2,FALSE),"Not Sampled")</f>
        <v>0</v>
      </c>
      <c r="K984" s="1">
        <v>982</v>
      </c>
      <c r="L984" s="1" t="str">
        <f>LOOKUP(A984,Sheet2!$D$4:$E$9)</f>
        <v>8+</v>
      </c>
      <c r="M984" t="str">
        <f>LOOKUP(B984,Sheet2!$G$4:$H$9)</f>
        <v>1-99</v>
      </c>
      <c r="N984" t="str">
        <f>LOOKUP(C984,Sheet2!$J$4:$K$8)</f>
        <v>60-69</v>
      </c>
      <c r="O984" t="str">
        <f>LOOKUP(D984,Sheet2!$M$4:$N$8)</f>
        <v>Unknown</v>
      </c>
      <c r="P984" t="str">
        <f>LOOKUP(E984,Sheet2!$P$4:$Q$9)</f>
        <v>Unknown</v>
      </c>
      <c r="Q984" t="str">
        <f>LOOKUP(F984,Sheet2!$S$4:$T$8)</f>
        <v>1-25</v>
      </c>
      <c r="R984" t="str">
        <f>LOOKUP(G984,Sheet2!$V$4:$W$7)</f>
        <v>0.0 - 0.249</v>
      </c>
      <c r="S984" t="str">
        <f>LOOKUP(H984,Sheet2!$Z$4:$AA$7)</f>
        <v>46+</v>
      </c>
      <c r="T984" t="str">
        <f t="shared" si="45"/>
        <v>Negative</v>
      </c>
      <c r="U984" t="str">
        <f t="shared" si="46"/>
        <v>Negative</v>
      </c>
      <c r="V984" s="1" t="str">
        <f t="shared" si="47"/>
        <v>Accurate Prediction</v>
      </c>
    </row>
    <row r="985" spans="1:22" x14ac:dyDescent="0.25">
      <c r="A985" s="1">
        <v>2</v>
      </c>
      <c r="B985" s="1">
        <v>91</v>
      </c>
      <c r="C985" s="1">
        <v>62</v>
      </c>
      <c r="D985" s="1">
        <v>0</v>
      </c>
      <c r="E985" s="1">
        <v>0</v>
      </c>
      <c r="F985" s="1">
        <v>27.3</v>
      </c>
      <c r="G985" s="1">
        <v>0.52500000000000002</v>
      </c>
      <c r="H985" s="1">
        <v>22</v>
      </c>
      <c r="I985" s="1">
        <v>0</v>
      </c>
      <c r="J985" s="1">
        <f>IFERROR(VLOOKUP(K985,[1]diabetes_Recognition!$A:$B,2,FALSE),"Not Sampled")</f>
        <v>0</v>
      </c>
      <c r="K985" s="1">
        <v>983</v>
      </c>
      <c r="L985" s="1">
        <f>LOOKUP(A985,Sheet2!$D$4:$E$9)</f>
        <v>2</v>
      </c>
      <c r="M985" t="str">
        <f>LOOKUP(B985,Sheet2!$G$4:$H$9)</f>
        <v>1-99</v>
      </c>
      <c r="N985" t="str">
        <f>LOOKUP(C985,Sheet2!$J$4:$K$8)</f>
        <v>60-69</v>
      </c>
      <c r="O985" t="str">
        <f>LOOKUP(D985,Sheet2!$M$4:$N$8)</f>
        <v>Unknown</v>
      </c>
      <c r="P985" t="str">
        <f>LOOKUP(E985,Sheet2!$P$4:$Q$9)</f>
        <v>Unknown</v>
      </c>
      <c r="Q985" t="str">
        <f>LOOKUP(F985,Sheet2!$S$4:$T$8)</f>
        <v>26-30</v>
      </c>
      <c r="R985" t="str">
        <f>LOOKUP(G985,Sheet2!$V$4:$W$7)</f>
        <v>0.4 - 0.69</v>
      </c>
      <c r="S985" t="str">
        <f>LOOKUP(H985,Sheet2!$Z$4:$AA$7)</f>
        <v>&lt;=25</v>
      </c>
      <c r="T985" t="str">
        <f t="shared" si="45"/>
        <v>Negative</v>
      </c>
      <c r="U985" t="str">
        <f t="shared" si="46"/>
        <v>Negative</v>
      </c>
      <c r="V985" s="1" t="str">
        <f t="shared" si="47"/>
        <v>Accurate Prediction</v>
      </c>
    </row>
    <row r="986" spans="1:22" x14ac:dyDescent="0.25">
      <c r="A986" s="1">
        <v>3</v>
      </c>
      <c r="B986" s="1">
        <v>99</v>
      </c>
      <c r="C986" s="1">
        <v>54</v>
      </c>
      <c r="D986" s="1">
        <v>19</v>
      </c>
      <c r="E986" s="1">
        <v>86</v>
      </c>
      <c r="F986" s="1">
        <v>25.6</v>
      </c>
      <c r="G986" s="1">
        <v>0.154</v>
      </c>
      <c r="H986" s="1">
        <v>24</v>
      </c>
      <c r="I986" s="1">
        <v>0</v>
      </c>
      <c r="J986" s="1">
        <f>IFERROR(VLOOKUP(K986,[1]diabetes_Recognition!$A:$B,2,FALSE),"Not Sampled")</f>
        <v>0</v>
      </c>
      <c r="K986" s="1">
        <v>984</v>
      </c>
      <c r="L986" s="1" t="str">
        <f>LOOKUP(A986,Sheet2!$D$4:$E$9)</f>
        <v>3-4</v>
      </c>
      <c r="M986" t="str">
        <f>LOOKUP(B986,Sheet2!$G$4:$H$9)</f>
        <v>1-99</v>
      </c>
      <c r="N986" t="str">
        <f>LOOKUP(C986,Sheet2!$J$4:$K$8)</f>
        <v>1-59</v>
      </c>
      <c r="O986" t="str">
        <f>LOOKUP(D986,Sheet2!$M$4:$N$8)</f>
        <v>10-30</v>
      </c>
      <c r="P986" t="str">
        <f>LOOKUP(E986,Sheet2!$P$4:$Q$9)</f>
        <v>1-99</v>
      </c>
      <c r="Q986" t="str">
        <f>LOOKUP(F986,Sheet2!$S$4:$T$8)</f>
        <v>1-25</v>
      </c>
      <c r="R986" t="str">
        <f>LOOKUP(G986,Sheet2!$V$4:$W$7)</f>
        <v>0.0 - 0.249</v>
      </c>
      <c r="S986" t="str">
        <f>LOOKUP(H986,Sheet2!$Z$4:$AA$7)</f>
        <v>&lt;=25</v>
      </c>
      <c r="T986" t="str">
        <f t="shared" si="45"/>
        <v>Negative</v>
      </c>
      <c r="U986" t="str">
        <f t="shared" si="46"/>
        <v>Negative</v>
      </c>
      <c r="V986" s="1" t="str">
        <f t="shared" si="47"/>
        <v>Accurate Prediction</v>
      </c>
    </row>
    <row r="987" spans="1:22" x14ac:dyDescent="0.25">
      <c r="A987" s="1">
        <v>3</v>
      </c>
      <c r="B987" s="1">
        <v>163</v>
      </c>
      <c r="C987" s="1">
        <v>70</v>
      </c>
      <c r="D987" s="1">
        <v>18</v>
      </c>
      <c r="E987" s="1">
        <v>105</v>
      </c>
      <c r="F987" s="1">
        <v>31.6</v>
      </c>
      <c r="G987" s="1">
        <v>0.26800000000000002</v>
      </c>
      <c r="H987" s="1">
        <v>28</v>
      </c>
      <c r="I987" s="1">
        <v>1</v>
      </c>
      <c r="J987" s="1" t="str">
        <f>IFERROR(VLOOKUP(K987,[1]diabetes_Recognition!$A:$B,2,FALSE),"Not Sampled")</f>
        <v>Not Sampled</v>
      </c>
      <c r="K987" s="1">
        <v>985</v>
      </c>
      <c r="L987" s="1" t="str">
        <f>LOOKUP(A987,Sheet2!$D$4:$E$9)</f>
        <v>3-4</v>
      </c>
      <c r="M987" t="str">
        <f>LOOKUP(B987,Sheet2!$G$4:$H$9)</f>
        <v>151-175</v>
      </c>
      <c r="N987" t="str">
        <f>LOOKUP(C987,Sheet2!$J$4:$K$8)</f>
        <v>70-79</v>
      </c>
      <c r="O987" t="str">
        <f>LOOKUP(D987,Sheet2!$M$4:$N$8)</f>
        <v>10-30</v>
      </c>
      <c r="P987" t="str">
        <f>LOOKUP(E987,Sheet2!$P$4:$Q$9)</f>
        <v>100-199</v>
      </c>
      <c r="Q987" t="str">
        <f>LOOKUP(F987,Sheet2!$S$4:$T$8)</f>
        <v>31-35</v>
      </c>
      <c r="R987" t="str">
        <f>LOOKUP(G987,Sheet2!$V$4:$W$7)</f>
        <v>0.25 - 0.39</v>
      </c>
      <c r="S987" t="str">
        <f>LOOKUP(H987,Sheet2!$Z$4:$AA$7)</f>
        <v>26-35</v>
      </c>
      <c r="T987" t="str">
        <f t="shared" si="45"/>
        <v>Positive</v>
      </c>
      <c r="U987" t="str">
        <f t="shared" si="46"/>
        <v>Not Sampled</v>
      </c>
      <c r="V987" s="1" t="str">
        <f t="shared" si="47"/>
        <v>Not Sampled</v>
      </c>
    </row>
    <row r="988" spans="1:22" x14ac:dyDescent="0.25">
      <c r="A988" s="1">
        <v>9</v>
      </c>
      <c r="B988" s="1">
        <v>145</v>
      </c>
      <c r="C988" s="1">
        <v>88</v>
      </c>
      <c r="D988" s="1">
        <v>34</v>
      </c>
      <c r="E988" s="1">
        <v>165</v>
      </c>
      <c r="F988" s="1">
        <v>30.3</v>
      </c>
      <c r="G988" s="1">
        <v>0.77100000000000002</v>
      </c>
      <c r="H988" s="1">
        <v>53</v>
      </c>
      <c r="I988" s="1">
        <v>1</v>
      </c>
      <c r="J988" s="1">
        <f>IFERROR(VLOOKUP(K988,[1]diabetes_Recognition!$A:$B,2,FALSE),"Not Sampled")</f>
        <v>1</v>
      </c>
      <c r="K988" s="1">
        <v>986</v>
      </c>
      <c r="L988" s="1" t="str">
        <f>LOOKUP(A988,Sheet2!$D$4:$E$9)</f>
        <v>8+</v>
      </c>
      <c r="M988" t="str">
        <f>LOOKUP(B988,Sheet2!$G$4:$H$9)</f>
        <v>126-150</v>
      </c>
      <c r="N988" t="str">
        <f>LOOKUP(C988,Sheet2!$J$4:$K$8)</f>
        <v>80+</v>
      </c>
      <c r="O988" t="str">
        <f>LOOKUP(D988,Sheet2!$M$4:$N$8)</f>
        <v>30-39</v>
      </c>
      <c r="P988" t="str">
        <f>LOOKUP(E988,Sheet2!$P$4:$Q$9)</f>
        <v>100-199</v>
      </c>
      <c r="Q988" t="str">
        <f>LOOKUP(F988,Sheet2!$S$4:$T$8)</f>
        <v>26-30</v>
      </c>
      <c r="R988" t="str">
        <f>LOOKUP(G988,Sheet2!$V$4:$W$7)</f>
        <v>0.7+</v>
      </c>
      <c r="S988" t="str">
        <f>LOOKUP(H988,Sheet2!$Z$4:$AA$7)</f>
        <v>46+</v>
      </c>
      <c r="T988" t="str">
        <f t="shared" si="45"/>
        <v>Positive</v>
      </c>
      <c r="U988" t="str">
        <f t="shared" si="46"/>
        <v>Positive</v>
      </c>
      <c r="V988" s="1" t="str">
        <f t="shared" si="47"/>
        <v>Accurate Prediction</v>
      </c>
    </row>
    <row r="989" spans="1:22" x14ac:dyDescent="0.25">
      <c r="A989" s="1">
        <v>2</v>
      </c>
      <c r="B989" s="1">
        <v>122</v>
      </c>
      <c r="C989" s="1">
        <v>60</v>
      </c>
      <c r="D989" s="1">
        <v>18</v>
      </c>
      <c r="E989" s="1">
        <v>106</v>
      </c>
      <c r="F989" s="1">
        <v>29.8</v>
      </c>
      <c r="G989" s="1">
        <v>0.71699999999999997</v>
      </c>
      <c r="H989" s="1">
        <v>22</v>
      </c>
      <c r="I989" s="1">
        <v>0</v>
      </c>
      <c r="J989" s="1">
        <f>IFERROR(VLOOKUP(K989,[1]diabetes_Recognition!$A:$B,2,FALSE),"Not Sampled")</f>
        <v>0</v>
      </c>
      <c r="K989" s="1">
        <v>987</v>
      </c>
      <c r="L989" s="1">
        <f>LOOKUP(A989,Sheet2!$D$4:$E$9)</f>
        <v>2</v>
      </c>
      <c r="M989" t="str">
        <f>LOOKUP(B989,Sheet2!$G$4:$H$9)</f>
        <v>100-125</v>
      </c>
      <c r="N989" t="str">
        <f>LOOKUP(C989,Sheet2!$J$4:$K$8)</f>
        <v>60-69</v>
      </c>
      <c r="O989" t="str">
        <f>LOOKUP(D989,Sheet2!$M$4:$N$8)</f>
        <v>10-30</v>
      </c>
      <c r="P989" t="str">
        <f>LOOKUP(E989,Sheet2!$P$4:$Q$9)</f>
        <v>100-199</v>
      </c>
      <c r="Q989" t="str">
        <f>LOOKUP(F989,Sheet2!$S$4:$T$8)</f>
        <v>26-30</v>
      </c>
      <c r="R989" t="str">
        <f>LOOKUP(G989,Sheet2!$V$4:$W$7)</f>
        <v>0.7+</v>
      </c>
      <c r="S989" t="str">
        <f>LOOKUP(H989,Sheet2!$Z$4:$AA$7)</f>
        <v>&lt;=25</v>
      </c>
      <c r="T989" t="str">
        <f t="shared" si="45"/>
        <v>Negative</v>
      </c>
      <c r="U989" t="str">
        <f t="shared" si="46"/>
        <v>Negative</v>
      </c>
      <c r="V989" s="1" t="str">
        <f t="shared" si="47"/>
        <v>Accurate Prediction</v>
      </c>
    </row>
    <row r="990" spans="1:22" x14ac:dyDescent="0.25">
      <c r="A990" s="1">
        <v>0</v>
      </c>
      <c r="B990" s="1">
        <v>107</v>
      </c>
      <c r="C990" s="1">
        <v>76</v>
      </c>
      <c r="D990" s="1">
        <v>0</v>
      </c>
      <c r="E990" s="1">
        <v>0</v>
      </c>
      <c r="F990" s="1">
        <v>45.3</v>
      </c>
      <c r="G990" s="1">
        <v>0.68600000000000005</v>
      </c>
      <c r="H990" s="1">
        <v>24</v>
      </c>
      <c r="I990" s="1">
        <v>0</v>
      </c>
      <c r="J990" s="1" t="str">
        <f>IFERROR(VLOOKUP(K990,[1]diabetes_Recognition!$A:$B,2,FALSE),"Not Sampled")</f>
        <v>Not Sampled</v>
      </c>
      <c r="K990" s="1">
        <v>988</v>
      </c>
      <c r="L990" s="1">
        <f>LOOKUP(A990,Sheet2!$D$4:$E$9)</f>
        <v>0</v>
      </c>
      <c r="M990" t="str">
        <f>LOOKUP(B990,Sheet2!$G$4:$H$9)</f>
        <v>100-125</v>
      </c>
      <c r="N990" t="str">
        <f>LOOKUP(C990,Sheet2!$J$4:$K$8)</f>
        <v>70-79</v>
      </c>
      <c r="O990" t="str">
        <f>LOOKUP(D990,Sheet2!$M$4:$N$8)</f>
        <v>Unknown</v>
      </c>
      <c r="P990" t="str">
        <f>LOOKUP(E990,Sheet2!$P$4:$Q$9)</f>
        <v>Unknown</v>
      </c>
      <c r="Q990" t="str">
        <f>LOOKUP(F990,Sheet2!$S$4:$T$8)</f>
        <v>36+</v>
      </c>
      <c r="R990" t="str">
        <f>LOOKUP(G990,Sheet2!$V$4:$W$7)</f>
        <v>0.4 - 0.69</v>
      </c>
      <c r="S990" t="str">
        <f>LOOKUP(H990,Sheet2!$Z$4:$AA$7)</f>
        <v>&lt;=25</v>
      </c>
      <c r="T990" t="str">
        <f t="shared" si="45"/>
        <v>Negative</v>
      </c>
      <c r="U990" t="str">
        <f t="shared" si="46"/>
        <v>Not Sampled</v>
      </c>
      <c r="V990" s="1" t="str">
        <f t="shared" si="47"/>
        <v>Not Sampled</v>
      </c>
    </row>
    <row r="991" spans="1:22" x14ac:dyDescent="0.25">
      <c r="A991" s="1">
        <v>1</v>
      </c>
      <c r="B991" s="1">
        <v>86</v>
      </c>
      <c r="C991" s="1">
        <v>66</v>
      </c>
      <c r="D991" s="1">
        <v>52</v>
      </c>
      <c r="E991" s="1">
        <v>65</v>
      </c>
      <c r="F991" s="1">
        <v>41.3</v>
      </c>
      <c r="G991" s="1">
        <v>0.91700000000000004</v>
      </c>
      <c r="H991" s="1">
        <v>29</v>
      </c>
      <c r="I991" s="1">
        <v>0</v>
      </c>
      <c r="J991" s="1" t="str">
        <f>IFERROR(VLOOKUP(K991,[1]diabetes_Recognition!$A:$B,2,FALSE),"Not Sampled")</f>
        <v>Not Sampled</v>
      </c>
      <c r="K991" s="1">
        <v>989</v>
      </c>
      <c r="L991" s="1">
        <f>LOOKUP(A991,Sheet2!$D$4:$E$9)</f>
        <v>1</v>
      </c>
      <c r="M991" t="str">
        <f>LOOKUP(B991,Sheet2!$G$4:$H$9)</f>
        <v>1-99</v>
      </c>
      <c r="N991" t="str">
        <f>LOOKUP(C991,Sheet2!$J$4:$K$8)</f>
        <v>60-69</v>
      </c>
      <c r="O991" t="str">
        <f>LOOKUP(D991,Sheet2!$M$4:$N$8)</f>
        <v>40+</v>
      </c>
      <c r="P991" t="str">
        <f>LOOKUP(E991,Sheet2!$P$4:$Q$9)</f>
        <v>1-99</v>
      </c>
      <c r="Q991" t="str">
        <f>LOOKUP(F991,Sheet2!$S$4:$T$8)</f>
        <v>36+</v>
      </c>
      <c r="R991" t="str">
        <f>LOOKUP(G991,Sheet2!$V$4:$W$7)</f>
        <v>0.7+</v>
      </c>
      <c r="S991" t="str">
        <f>LOOKUP(H991,Sheet2!$Z$4:$AA$7)</f>
        <v>26-35</v>
      </c>
      <c r="T991" t="str">
        <f t="shared" si="45"/>
        <v>Negative</v>
      </c>
      <c r="U991" t="str">
        <f t="shared" si="46"/>
        <v>Not Sampled</v>
      </c>
      <c r="V991" s="1" t="str">
        <f t="shared" si="47"/>
        <v>Not Sampled</v>
      </c>
    </row>
    <row r="992" spans="1:22" x14ac:dyDescent="0.25">
      <c r="A992" s="1">
        <v>6</v>
      </c>
      <c r="B992" s="1">
        <v>91</v>
      </c>
      <c r="C992" s="1">
        <v>0</v>
      </c>
      <c r="D992" s="1">
        <v>0</v>
      </c>
      <c r="E992" s="1">
        <v>0</v>
      </c>
      <c r="F992" s="1">
        <v>29.8</v>
      </c>
      <c r="G992" s="1">
        <v>0.501</v>
      </c>
      <c r="H992" s="1">
        <v>31</v>
      </c>
      <c r="I992" s="1">
        <v>0</v>
      </c>
      <c r="J992" s="1" t="str">
        <f>IFERROR(VLOOKUP(K992,[1]diabetes_Recognition!$A:$B,2,FALSE),"Not Sampled")</f>
        <v>Not Sampled</v>
      </c>
      <c r="K992" s="1">
        <v>990</v>
      </c>
      <c r="L992" s="1" t="str">
        <f>LOOKUP(A992,Sheet2!$D$4:$E$9)</f>
        <v>5-7</v>
      </c>
      <c r="M992" t="str">
        <f>LOOKUP(B992,Sheet2!$G$4:$H$9)</f>
        <v>1-99</v>
      </c>
      <c r="N992" t="str">
        <f>LOOKUP(C992,Sheet2!$J$4:$K$8)</f>
        <v>Unknown</v>
      </c>
      <c r="O992" t="str">
        <f>LOOKUP(D992,Sheet2!$M$4:$N$8)</f>
        <v>Unknown</v>
      </c>
      <c r="P992" t="str">
        <f>LOOKUP(E992,Sheet2!$P$4:$Q$9)</f>
        <v>Unknown</v>
      </c>
      <c r="Q992" t="str">
        <f>LOOKUP(F992,Sheet2!$S$4:$T$8)</f>
        <v>26-30</v>
      </c>
      <c r="R992" t="str">
        <f>LOOKUP(G992,Sheet2!$V$4:$W$7)</f>
        <v>0.4 - 0.69</v>
      </c>
      <c r="S992" t="str">
        <f>LOOKUP(H992,Sheet2!$Z$4:$AA$7)</f>
        <v>26-35</v>
      </c>
      <c r="T992" t="str">
        <f t="shared" si="45"/>
        <v>Negative</v>
      </c>
      <c r="U992" t="str">
        <f t="shared" si="46"/>
        <v>Not Sampled</v>
      </c>
      <c r="V992" s="1" t="str">
        <f t="shared" si="47"/>
        <v>Not Sampled</v>
      </c>
    </row>
    <row r="993" spans="1:22" x14ac:dyDescent="0.25">
      <c r="A993" s="1">
        <v>1</v>
      </c>
      <c r="B993" s="1">
        <v>77</v>
      </c>
      <c r="C993" s="1">
        <v>56</v>
      </c>
      <c r="D993" s="1">
        <v>30</v>
      </c>
      <c r="E993" s="1">
        <v>56</v>
      </c>
      <c r="F993" s="1">
        <v>33.299999999999997</v>
      </c>
      <c r="G993" s="1">
        <v>1.2509999999999999</v>
      </c>
      <c r="H993" s="1">
        <v>24</v>
      </c>
      <c r="I993" s="1">
        <v>0</v>
      </c>
      <c r="J993" s="1">
        <f>IFERROR(VLOOKUP(K993,[1]diabetes_Recognition!$A:$B,2,FALSE),"Not Sampled")</f>
        <v>0</v>
      </c>
      <c r="K993" s="1">
        <v>991</v>
      </c>
      <c r="L993" s="1">
        <f>LOOKUP(A993,Sheet2!$D$4:$E$9)</f>
        <v>1</v>
      </c>
      <c r="M993" t="str">
        <f>LOOKUP(B993,Sheet2!$G$4:$H$9)</f>
        <v>1-99</v>
      </c>
      <c r="N993" t="str">
        <f>LOOKUP(C993,Sheet2!$J$4:$K$8)</f>
        <v>1-59</v>
      </c>
      <c r="O993" t="str">
        <f>LOOKUP(D993,Sheet2!$M$4:$N$8)</f>
        <v>30-39</v>
      </c>
      <c r="P993" t="str">
        <f>LOOKUP(E993,Sheet2!$P$4:$Q$9)</f>
        <v>1-99</v>
      </c>
      <c r="Q993" t="str">
        <f>LOOKUP(F993,Sheet2!$S$4:$T$8)</f>
        <v>31-35</v>
      </c>
      <c r="R993" t="str">
        <f>LOOKUP(G993,Sheet2!$V$4:$W$7)</f>
        <v>0.7+</v>
      </c>
      <c r="S993" t="str">
        <f>LOOKUP(H993,Sheet2!$Z$4:$AA$7)</f>
        <v>&lt;=25</v>
      </c>
      <c r="T993" t="str">
        <f t="shared" si="45"/>
        <v>Negative</v>
      </c>
      <c r="U993" t="str">
        <f t="shared" si="46"/>
        <v>Negative</v>
      </c>
      <c r="V993" s="1" t="str">
        <f t="shared" si="47"/>
        <v>Accurate Prediction</v>
      </c>
    </row>
    <row r="994" spans="1:22" x14ac:dyDescent="0.25">
      <c r="A994" s="1">
        <v>4</v>
      </c>
      <c r="B994" s="1">
        <v>132</v>
      </c>
      <c r="C994" s="1">
        <v>0</v>
      </c>
      <c r="D994" s="1">
        <v>0</v>
      </c>
      <c r="E994" s="1">
        <v>0</v>
      </c>
      <c r="F994" s="1">
        <v>32.9</v>
      </c>
      <c r="G994" s="1">
        <v>0.30199999999999999</v>
      </c>
      <c r="H994" s="1">
        <v>23</v>
      </c>
      <c r="I994" s="1">
        <v>1</v>
      </c>
      <c r="J994" s="1" t="str">
        <f>IFERROR(VLOOKUP(K994,[1]diabetes_Recognition!$A:$B,2,FALSE),"Not Sampled")</f>
        <v>Not Sampled</v>
      </c>
      <c r="K994" s="1">
        <v>992</v>
      </c>
      <c r="L994" s="1" t="str">
        <f>LOOKUP(A994,Sheet2!$D$4:$E$9)</f>
        <v>3-4</v>
      </c>
      <c r="M994" t="str">
        <f>LOOKUP(B994,Sheet2!$G$4:$H$9)</f>
        <v>126-150</v>
      </c>
      <c r="N994" t="str">
        <f>LOOKUP(C994,Sheet2!$J$4:$K$8)</f>
        <v>Unknown</v>
      </c>
      <c r="O994" t="str">
        <f>LOOKUP(D994,Sheet2!$M$4:$N$8)</f>
        <v>Unknown</v>
      </c>
      <c r="P994" t="str">
        <f>LOOKUP(E994,Sheet2!$P$4:$Q$9)</f>
        <v>Unknown</v>
      </c>
      <c r="Q994" t="str">
        <f>LOOKUP(F994,Sheet2!$S$4:$T$8)</f>
        <v>31-35</v>
      </c>
      <c r="R994" t="str">
        <f>LOOKUP(G994,Sheet2!$V$4:$W$7)</f>
        <v>0.25 - 0.39</v>
      </c>
      <c r="S994" t="str">
        <f>LOOKUP(H994,Sheet2!$Z$4:$AA$7)</f>
        <v>&lt;=25</v>
      </c>
      <c r="T994" t="str">
        <f t="shared" si="45"/>
        <v>Positive</v>
      </c>
      <c r="U994" t="str">
        <f t="shared" si="46"/>
        <v>Not Sampled</v>
      </c>
      <c r="V994" s="1" t="str">
        <f t="shared" si="47"/>
        <v>Not Sampled</v>
      </c>
    </row>
    <row r="995" spans="1:22" x14ac:dyDescent="0.25">
      <c r="A995" s="1">
        <v>0</v>
      </c>
      <c r="B995" s="1">
        <v>105</v>
      </c>
      <c r="C995" s="1">
        <v>90</v>
      </c>
      <c r="D995" s="1">
        <v>0</v>
      </c>
      <c r="E995" s="1">
        <v>0</v>
      </c>
      <c r="F995" s="1">
        <v>29.6</v>
      </c>
      <c r="G995" s="1">
        <v>0.19700000000000001</v>
      </c>
      <c r="H995" s="1">
        <v>46</v>
      </c>
      <c r="I995" s="1">
        <v>0</v>
      </c>
      <c r="J995" s="1">
        <f>IFERROR(VLOOKUP(K995,[1]diabetes_Recognition!$A:$B,2,FALSE),"Not Sampled")</f>
        <v>0</v>
      </c>
      <c r="K995" s="1">
        <v>993</v>
      </c>
      <c r="L995" s="1">
        <f>LOOKUP(A995,Sheet2!$D$4:$E$9)</f>
        <v>0</v>
      </c>
      <c r="M995" t="str">
        <f>LOOKUP(B995,Sheet2!$G$4:$H$9)</f>
        <v>100-125</v>
      </c>
      <c r="N995" t="str">
        <f>LOOKUP(C995,Sheet2!$J$4:$K$8)</f>
        <v>80+</v>
      </c>
      <c r="O995" t="str">
        <f>LOOKUP(D995,Sheet2!$M$4:$N$8)</f>
        <v>Unknown</v>
      </c>
      <c r="P995" t="str">
        <f>LOOKUP(E995,Sheet2!$P$4:$Q$9)</f>
        <v>Unknown</v>
      </c>
      <c r="Q995" t="str">
        <f>LOOKUP(F995,Sheet2!$S$4:$T$8)</f>
        <v>26-30</v>
      </c>
      <c r="R995" t="str">
        <f>LOOKUP(G995,Sheet2!$V$4:$W$7)</f>
        <v>0.0 - 0.249</v>
      </c>
      <c r="S995" t="str">
        <f>LOOKUP(H995,Sheet2!$Z$4:$AA$7)</f>
        <v>46+</v>
      </c>
      <c r="T995" t="str">
        <f t="shared" si="45"/>
        <v>Negative</v>
      </c>
      <c r="U995" t="str">
        <f t="shared" si="46"/>
        <v>Negative</v>
      </c>
      <c r="V995" s="1" t="str">
        <f t="shared" si="47"/>
        <v>Accurate Prediction</v>
      </c>
    </row>
    <row r="996" spans="1:22" x14ac:dyDescent="0.25">
      <c r="A996" s="1">
        <v>0</v>
      </c>
      <c r="B996" s="1">
        <v>57</v>
      </c>
      <c r="C996" s="1">
        <v>60</v>
      </c>
      <c r="D996" s="1">
        <v>0</v>
      </c>
      <c r="E996" s="1">
        <v>0</v>
      </c>
      <c r="F996" s="1">
        <v>21.7</v>
      </c>
      <c r="G996" s="1">
        <v>0.73499999999999999</v>
      </c>
      <c r="H996" s="1">
        <v>67</v>
      </c>
      <c r="I996" s="1">
        <v>0</v>
      </c>
      <c r="J996" s="1">
        <f>IFERROR(VLOOKUP(K996,[1]diabetes_Recognition!$A:$B,2,FALSE),"Not Sampled")</f>
        <v>0</v>
      </c>
      <c r="K996" s="1">
        <v>994</v>
      </c>
      <c r="L996" s="1">
        <f>LOOKUP(A996,Sheet2!$D$4:$E$9)</f>
        <v>0</v>
      </c>
      <c r="M996" t="str">
        <f>LOOKUP(B996,Sheet2!$G$4:$H$9)</f>
        <v>1-99</v>
      </c>
      <c r="N996" t="str">
        <f>LOOKUP(C996,Sheet2!$J$4:$K$8)</f>
        <v>60-69</v>
      </c>
      <c r="O996" t="str">
        <f>LOOKUP(D996,Sheet2!$M$4:$N$8)</f>
        <v>Unknown</v>
      </c>
      <c r="P996" t="str">
        <f>LOOKUP(E996,Sheet2!$P$4:$Q$9)</f>
        <v>Unknown</v>
      </c>
      <c r="Q996" t="str">
        <f>LOOKUP(F996,Sheet2!$S$4:$T$8)</f>
        <v>1-25</v>
      </c>
      <c r="R996" t="str">
        <f>LOOKUP(G996,Sheet2!$V$4:$W$7)</f>
        <v>0.7+</v>
      </c>
      <c r="S996" t="str">
        <f>LOOKUP(H996,Sheet2!$Z$4:$AA$7)</f>
        <v>46+</v>
      </c>
      <c r="T996" t="str">
        <f t="shared" si="45"/>
        <v>Negative</v>
      </c>
      <c r="U996" t="str">
        <f t="shared" si="46"/>
        <v>Negative</v>
      </c>
      <c r="V996" s="1" t="str">
        <f t="shared" si="47"/>
        <v>Accurate Prediction</v>
      </c>
    </row>
    <row r="997" spans="1:22" x14ac:dyDescent="0.25">
      <c r="A997" s="1">
        <v>0</v>
      </c>
      <c r="B997" s="1">
        <v>127</v>
      </c>
      <c r="C997" s="1">
        <v>80</v>
      </c>
      <c r="D997" s="1">
        <v>37</v>
      </c>
      <c r="E997" s="1">
        <v>210</v>
      </c>
      <c r="F997" s="1">
        <v>36.299999999999997</v>
      </c>
      <c r="G997" s="1">
        <v>0.80400000000000005</v>
      </c>
      <c r="H997" s="1">
        <v>23</v>
      </c>
      <c r="I997" s="1">
        <v>0</v>
      </c>
      <c r="J997" s="1" t="str">
        <f>IFERROR(VLOOKUP(K997,[1]diabetes_Recognition!$A:$B,2,FALSE),"Not Sampled")</f>
        <v>Not Sampled</v>
      </c>
      <c r="K997" s="1">
        <v>995</v>
      </c>
      <c r="L997" s="1">
        <f>LOOKUP(A997,Sheet2!$D$4:$E$9)</f>
        <v>0</v>
      </c>
      <c r="M997" t="str">
        <f>LOOKUP(B997,Sheet2!$G$4:$H$9)</f>
        <v>126-150</v>
      </c>
      <c r="N997" t="str">
        <f>LOOKUP(C997,Sheet2!$J$4:$K$8)</f>
        <v>80+</v>
      </c>
      <c r="O997" t="str">
        <f>LOOKUP(D997,Sheet2!$M$4:$N$8)</f>
        <v>30-39</v>
      </c>
      <c r="P997" t="str">
        <f>LOOKUP(E997,Sheet2!$P$4:$Q$9)</f>
        <v>200-399</v>
      </c>
      <c r="Q997" t="str">
        <f>LOOKUP(F997,Sheet2!$S$4:$T$8)</f>
        <v>36+</v>
      </c>
      <c r="R997" t="str">
        <f>LOOKUP(G997,Sheet2!$V$4:$W$7)</f>
        <v>0.7+</v>
      </c>
      <c r="S997" t="str">
        <f>LOOKUP(H997,Sheet2!$Z$4:$AA$7)</f>
        <v>&lt;=25</v>
      </c>
      <c r="T997" t="str">
        <f t="shared" si="45"/>
        <v>Negative</v>
      </c>
      <c r="U997" t="str">
        <f t="shared" si="46"/>
        <v>Not Sampled</v>
      </c>
      <c r="V997" s="1" t="str">
        <f t="shared" si="47"/>
        <v>Not Sampled</v>
      </c>
    </row>
    <row r="998" spans="1:22" x14ac:dyDescent="0.25">
      <c r="A998" s="1">
        <v>3</v>
      </c>
      <c r="B998" s="1">
        <v>129</v>
      </c>
      <c r="C998" s="1">
        <v>92</v>
      </c>
      <c r="D998" s="1">
        <v>49</v>
      </c>
      <c r="E998" s="1">
        <v>155</v>
      </c>
      <c r="F998" s="1">
        <v>36.4</v>
      </c>
      <c r="G998" s="1">
        <v>0.96799999999999997</v>
      </c>
      <c r="H998" s="1">
        <v>32</v>
      </c>
      <c r="I998" s="1">
        <v>1</v>
      </c>
      <c r="J998" s="1" t="str">
        <f>IFERROR(VLOOKUP(K998,[1]diabetes_Recognition!$A:$B,2,FALSE),"Not Sampled")</f>
        <v>Not Sampled</v>
      </c>
      <c r="K998" s="1">
        <v>996</v>
      </c>
      <c r="L998" s="1" t="str">
        <f>LOOKUP(A998,Sheet2!$D$4:$E$9)</f>
        <v>3-4</v>
      </c>
      <c r="M998" t="str">
        <f>LOOKUP(B998,Sheet2!$G$4:$H$9)</f>
        <v>126-150</v>
      </c>
      <c r="N998" t="str">
        <f>LOOKUP(C998,Sheet2!$J$4:$K$8)</f>
        <v>80+</v>
      </c>
      <c r="O998" t="str">
        <f>LOOKUP(D998,Sheet2!$M$4:$N$8)</f>
        <v>40+</v>
      </c>
      <c r="P998" t="str">
        <f>LOOKUP(E998,Sheet2!$P$4:$Q$9)</f>
        <v>100-199</v>
      </c>
      <c r="Q998" t="str">
        <f>LOOKUP(F998,Sheet2!$S$4:$T$8)</f>
        <v>36+</v>
      </c>
      <c r="R998" t="str">
        <f>LOOKUP(G998,Sheet2!$V$4:$W$7)</f>
        <v>0.7+</v>
      </c>
      <c r="S998" t="str">
        <f>LOOKUP(H998,Sheet2!$Z$4:$AA$7)</f>
        <v>26-35</v>
      </c>
      <c r="T998" t="str">
        <f t="shared" si="45"/>
        <v>Positive</v>
      </c>
      <c r="U998" t="str">
        <f t="shared" si="46"/>
        <v>Not Sampled</v>
      </c>
      <c r="V998" s="1" t="str">
        <f t="shared" si="47"/>
        <v>Not Sampled</v>
      </c>
    </row>
    <row r="999" spans="1:22" x14ac:dyDescent="0.25">
      <c r="A999" s="1">
        <v>8</v>
      </c>
      <c r="B999" s="1">
        <v>100</v>
      </c>
      <c r="C999" s="1">
        <v>74</v>
      </c>
      <c r="D999" s="1">
        <v>40</v>
      </c>
      <c r="E999" s="1">
        <v>215</v>
      </c>
      <c r="F999" s="1">
        <v>39.4</v>
      </c>
      <c r="G999" s="1">
        <v>0.66100000000000003</v>
      </c>
      <c r="H999" s="1">
        <v>43</v>
      </c>
      <c r="I999" s="1">
        <v>1</v>
      </c>
      <c r="J999" s="1" t="str">
        <f>IFERROR(VLOOKUP(K999,[1]diabetes_Recognition!$A:$B,2,FALSE),"Not Sampled")</f>
        <v>Not Sampled</v>
      </c>
      <c r="K999" s="1">
        <v>997</v>
      </c>
      <c r="L999" s="1" t="str">
        <f>LOOKUP(A999,Sheet2!$D$4:$E$9)</f>
        <v>8+</v>
      </c>
      <c r="M999" t="str">
        <f>LOOKUP(B999,Sheet2!$G$4:$H$9)</f>
        <v>100-125</v>
      </c>
      <c r="N999" t="str">
        <f>LOOKUP(C999,Sheet2!$J$4:$K$8)</f>
        <v>70-79</v>
      </c>
      <c r="O999" t="str">
        <f>LOOKUP(D999,Sheet2!$M$4:$N$8)</f>
        <v>40+</v>
      </c>
      <c r="P999" t="str">
        <f>LOOKUP(E999,Sheet2!$P$4:$Q$9)</f>
        <v>200-399</v>
      </c>
      <c r="Q999" t="str">
        <f>LOOKUP(F999,Sheet2!$S$4:$T$8)</f>
        <v>36+</v>
      </c>
      <c r="R999" t="str">
        <f>LOOKUP(G999,Sheet2!$V$4:$W$7)</f>
        <v>0.4 - 0.69</v>
      </c>
      <c r="S999" t="str">
        <f>LOOKUP(H999,Sheet2!$Z$4:$AA$7)</f>
        <v>36-45</v>
      </c>
      <c r="T999" t="str">
        <f t="shared" si="45"/>
        <v>Positive</v>
      </c>
      <c r="U999" t="str">
        <f t="shared" si="46"/>
        <v>Not Sampled</v>
      </c>
      <c r="V999" s="1" t="str">
        <f t="shared" si="47"/>
        <v>Not Sampled</v>
      </c>
    </row>
    <row r="1000" spans="1:22" x14ac:dyDescent="0.25">
      <c r="A1000" s="1">
        <v>3</v>
      </c>
      <c r="B1000" s="1">
        <v>128</v>
      </c>
      <c r="C1000" s="1">
        <v>72</v>
      </c>
      <c r="D1000" s="1">
        <v>25</v>
      </c>
      <c r="E1000" s="1">
        <v>190</v>
      </c>
      <c r="F1000" s="1">
        <v>32.4</v>
      </c>
      <c r="G1000" s="1">
        <v>0.54900000000000004</v>
      </c>
      <c r="H1000" s="1">
        <v>27</v>
      </c>
      <c r="I1000" s="1">
        <v>1</v>
      </c>
      <c r="J1000" s="1" t="str">
        <f>IFERROR(VLOOKUP(K1000,[1]diabetes_Recognition!$A:$B,2,FALSE),"Not Sampled")</f>
        <v>Not Sampled</v>
      </c>
      <c r="K1000" s="1">
        <v>998</v>
      </c>
      <c r="L1000" s="1" t="str">
        <f>LOOKUP(A1000,Sheet2!$D$4:$E$9)</f>
        <v>3-4</v>
      </c>
      <c r="M1000" t="str">
        <f>LOOKUP(B1000,Sheet2!$G$4:$H$9)</f>
        <v>126-150</v>
      </c>
      <c r="N1000" t="str">
        <f>LOOKUP(C1000,Sheet2!$J$4:$K$8)</f>
        <v>70-79</v>
      </c>
      <c r="O1000" t="str">
        <f>LOOKUP(D1000,Sheet2!$M$4:$N$8)</f>
        <v>10-30</v>
      </c>
      <c r="P1000" t="str">
        <f>LOOKUP(E1000,Sheet2!$P$4:$Q$9)</f>
        <v>100-199</v>
      </c>
      <c r="Q1000" t="str">
        <f>LOOKUP(F1000,Sheet2!$S$4:$T$8)</f>
        <v>31-35</v>
      </c>
      <c r="R1000" t="str">
        <f>LOOKUP(G1000,Sheet2!$V$4:$W$7)</f>
        <v>0.4 - 0.69</v>
      </c>
      <c r="S1000" t="str">
        <f>LOOKUP(H1000,Sheet2!$Z$4:$AA$7)</f>
        <v>26-35</v>
      </c>
      <c r="T1000" t="str">
        <f t="shared" si="45"/>
        <v>Positive</v>
      </c>
      <c r="U1000" t="str">
        <f t="shared" si="46"/>
        <v>Not Sampled</v>
      </c>
      <c r="V1000" s="1" t="str">
        <f t="shared" si="47"/>
        <v>Not Sampled</v>
      </c>
    </row>
    <row r="1001" spans="1:22" x14ac:dyDescent="0.25">
      <c r="A1001" s="1">
        <v>10</v>
      </c>
      <c r="B1001" s="1">
        <v>90</v>
      </c>
      <c r="C1001" s="1">
        <v>85</v>
      </c>
      <c r="D1001" s="1">
        <v>32</v>
      </c>
      <c r="E1001" s="1">
        <v>0</v>
      </c>
      <c r="F1001" s="1">
        <v>34.9</v>
      </c>
      <c r="G1001" s="1">
        <v>0.82499999999999996</v>
      </c>
      <c r="H1001" s="1">
        <v>56</v>
      </c>
      <c r="I1001" s="1">
        <v>1</v>
      </c>
      <c r="J1001" s="1" t="str">
        <f>IFERROR(VLOOKUP(K1001,[1]diabetes_Recognition!$A:$B,2,FALSE),"Not Sampled")</f>
        <v>Not Sampled</v>
      </c>
      <c r="K1001" s="1">
        <v>999</v>
      </c>
      <c r="L1001" s="1" t="str">
        <f>LOOKUP(A1001,Sheet2!$D$4:$E$9)</f>
        <v>8+</v>
      </c>
      <c r="M1001" t="str">
        <f>LOOKUP(B1001,Sheet2!$G$4:$H$9)</f>
        <v>1-99</v>
      </c>
      <c r="N1001" t="str">
        <f>LOOKUP(C1001,Sheet2!$J$4:$K$8)</f>
        <v>80+</v>
      </c>
      <c r="O1001" t="str">
        <f>LOOKUP(D1001,Sheet2!$M$4:$N$8)</f>
        <v>30-39</v>
      </c>
      <c r="P1001" t="str">
        <f>LOOKUP(E1001,Sheet2!$P$4:$Q$9)</f>
        <v>Unknown</v>
      </c>
      <c r="Q1001" t="str">
        <f>LOOKUP(F1001,Sheet2!$S$4:$T$8)</f>
        <v>31-35</v>
      </c>
      <c r="R1001" t="str">
        <f>LOOKUP(G1001,Sheet2!$V$4:$W$7)</f>
        <v>0.7+</v>
      </c>
      <c r="S1001" t="str">
        <f>LOOKUP(H1001,Sheet2!$Z$4:$AA$7)</f>
        <v>46+</v>
      </c>
      <c r="T1001" t="str">
        <f t="shared" si="45"/>
        <v>Positive</v>
      </c>
      <c r="U1001" t="str">
        <f t="shared" si="46"/>
        <v>Not Sampled</v>
      </c>
      <c r="V1001" s="1" t="str">
        <f t="shared" si="47"/>
        <v>Not Sampled</v>
      </c>
    </row>
    <row r="1002" spans="1:22" x14ac:dyDescent="0.25">
      <c r="A1002" s="1">
        <v>4</v>
      </c>
      <c r="B1002" s="1">
        <v>84</v>
      </c>
      <c r="C1002" s="1">
        <v>90</v>
      </c>
      <c r="D1002" s="1">
        <v>23</v>
      </c>
      <c r="E1002" s="1">
        <v>56</v>
      </c>
      <c r="F1002" s="1">
        <v>39.5</v>
      </c>
      <c r="G1002" s="1">
        <v>0.159</v>
      </c>
      <c r="H1002" s="1">
        <v>25</v>
      </c>
      <c r="I1002" s="1">
        <v>0</v>
      </c>
      <c r="J1002" s="1">
        <f>IFERROR(VLOOKUP(K1002,[1]diabetes_Recognition!$A:$B,2,FALSE),"Not Sampled")</f>
        <v>0</v>
      </c>
      <c r="K1002" s="1">
        <v>1000</v>
      </c>
      <c r="L1002" s="1" t="str">
        <f>LOOKUP(A1002,Sheet2!$D$4:$E$9)</f>
        <v>3-4</v>
      </c>
      <c r="M1002" t="str">
        <f>LOOKUP(B1002,Sheet2!$G$4:$H$9)</f>
        <v>1-99</v>
      </c>
      <c r="N1002" t="str">
        <f>LOOKUP(C1002,Sheet2!$J$4:$K$8)</f>
        <v>80+</v>
      </c>
      <c r="O1002" t="str">
        <f>LOOKUP(D1002,Sheet2!$M$4:$N$8)</f>
        <v>10-30</v>
      </c>
      <c r="P1002" t="str">
        <f>LOOKUP(E1002,Sheet2!$P$4:$Q$9)</f>
        <v>1-99</v>
      </c>
      <c r="Q1002" t="str">
        <f>LOOKUP(F1002,Sheet2!$S$4:$T$8)</f>
        <v>36+</v>
      </c>
      <c r="R1002" t="str">
        <f>LOOKUP(G1002,Sheet2!$V$4:$W$7)</f>
        <v>0.0 - 0.249</v>
      </c>
      <c r="S1002" t="str">
        <f>LOOKUP(H1002,Sheet2!$Z$4:$AA$7)</f>
        <v>&lt;=25</v>
      </c>
      <c r="T1002" t="str">
        <f t="shared" si="45"/>
        <v>Negative</v>
      </c>
      <c r="U1002" t="str">
        <f t="shared" si="46"/>
        <v>Negative</v>
      </c>
      <c r="V1002" s="1" t="str">
        <f t="shared" si="47"/>
        <v>Accurate Prediction</v>
      </c>
    </row>
    <row r="1003" spans="1:22" x14ac:dyDescent="0.25">
      <c r="A1003" s="1">
        <v>1</v>
      </c>
      <c r="B1003" s="1">
        <v>88</v>
      </c>
      <c r="C1003" s="1">
        <v>78</v>
      </c>
      <c r="D1003" s="1">
        <v>29</v>
      </c>
      <c r="E1003" s="1">
        <v>76</v>
      </c>
      <c r="F1003" s="1">
        <v>32</v>
      </c>
      <c r="G1003" s="1">
        <v>0.36499999999999999</v>
      </c>
      <c r="H1003" s="1">
        <v>29</v>
      </c>
      <c r="I1003" s="1">
        <v>0</v>
      </c>
      <c r="J1003" s="1" t="str">
        <f>IFERROR(VLOOKUP(K1003,[1]diabetes_Recognition!$A:$B,2,FALSE),"Not Sampled")</f>
        <v>Not Sampled</v>
      </c>
      <c r="K1003" s="1">
        <v>1001</v>
      </c>
      <c r="L1003" s="1">
        <f>LOOKUP(A1003,Sheet2!$D$4:$E$9)</f>
        <v>1</v>
      </c>
      <c r="M1003" t="str">
        <f>LOOKUP(B1003,Sheet2!$G$4:$H$9)</f>
        <v>1-99</v>
      </c>
      <c r="N1003" t="str">
        <f>LOOKUP(C1003,Sheet2!$J$4:$K$8)</f>
        <v>70-79</v>
      </c>
      <c r="O1003" t="str">
        <f>LOOKUP(D1003,Sheet2!$M$4:$N$8)</f>
        <v>10-30</v>
      </c>
      <c r="P1003" t="str">
        <f>LOOKUP(E1003,Sheet2!$P$4:$Q$9)</f>
        <v>1-99</v>
      </c>
      <c r="Q1003" t="str">
        <f>LOOKUP(F1003,Sheet2!$S$4:$T$8)</f>
        <v>31-35</v>
      </c>
      <c r="R1003" t="str">
        <f>LOOKUP(G1003,Sheet2!$V$4:$W$7)</f>
        <v>0.25 - 0.39</v>
      </c>
      <c r="S1003" t="str">
        <f>LOOKUP(H1003,Sheet2!$Z$4:$AA$7)</f>
        <v>26-35</v>
      </c>
      <c r="T1003" t="str">
        <f t="shared" si="45"/>
        <v>Negative</v>
      </c>
      <c r="U1003" t="str">
        <f t="shared" si="46"/>
        <v>Not Sampled</v>
      </c>
      <c r="V1003" s="1" t="str">
        <f t="shared" si="47"/>
        <v>Not Sampled</v>
      </c>
    </row>
    <row r="1004" spans="1:22" x14ac:dyDescent="0.25">
      <c r="A1004" s="1">
        <v>8</v>
      </c>
      <c r="B1004" s="1">
        <v>186</v>
      </c>
      <c r="C1004" s="1">
        <v>90</v>
      </c>
      <c r="D1004" s="1">
        <v>35</v>
      </c>
      <c r="E1004" s="1">
        <v>225</v>
      </c>
      <c r="F1004" s="1">
        <v>34.5</v>
      </c>
      <c r="G1004" s="1">
        <v>0.42299999999999999</v>
      </c>
      <c r="H1004" s="1">
        <v>37</v>
      </c>
      <c r="I1004" s="1">
        <v>1</v>
      </c>
      <c r="J1004" s="1" t="str">
        <f>IFERROR(VLOOKUP(K1004,[1]diabetes_Recognition!$A:$B,2,FALSE),"Not Sampled")</f>
        <v>Not Sampled</v>
      </c>
      <c r="K1004" s="1">
        <v>1002</v>
      </c>
      <c r="L1004" s="1" t="str">
        <f>LOOKUP(A1004,Sheet2!$D$4:$E$9)</f>
        <v>8+</v>
      </c>
      <c r="M1004" t="str">
        <f>LOOKUP(B1004,Sheet2!$G$4:$H$9)</f>
        <v>176-200</v>
      </c>
      <c r="N1004" t="str">
        <f>LOOKUP(C1004,Sheet2!$J$4:$K$8)</f>
        <v>80+</v>
      </c>
      <c r="O1004" t="str">
        <f>LOOKUP(D1004,Sheet2!$M$4:$N$8)</f>
        <v>30-39</v>
      </c>
      <c r="P1004" t="str">
        <f>LOOKUP(E1004,Sheet2!$P$4:$Q$9)</f>
        <v>200-399</v>
      </c>
      <c r="Q1004" t="str">
        <f>LOOKUP(F1004,Sheet2!$S$4:$T$8)</f>
        <v>31-35</v>
      </c>
      <c r="R1004" t="str">
        <f>LOOKUP(G1004,Sheet2!$V$4:$W$7)</f>
        <v>0.4 - 0.69</v>
      </c>
      <c r="S1004" t="str">
        <f>LOOKUP(H1004,Sheet2!$Z$4:$AA$7)</f>
        <v>36-45</v>
      </c>
      <c r="T1004" t="str">
        <f t="shared" si="45"/>
        <v>Positive</v>
      </c>
      <c r="U1004" t="str">
        <f t="shared" si="46"/>
        <v>Not Sampled</v>
      </c>
      <c r="V1004" s="1" t="str">
        <f t="shared" si="47"/>
        <v>Not Sampled</v>
      </c>
    </row>
    <row r="1005" spans="1:22" x14ac:dyDescent="0.25">
      <c r="A1005" s="1">
        <v>5</v>
      </c>
      <c r="B1005" s="1">
        <v>187</v>
      </c>
      <c r="C1005" s="1">
        <v>76</v>
      </c>
      <c r="D1005" s="1">
        <v>27</v>
      </c>
      <c r="E1005" s="1">
        <v>207</v>
      </c>
      <c r="F1005" s="1">
        <v>43.6</v>
      </c>
      <c r="G1005" s="1">
        <v>1.034</v>
      </c>
      <c r="H1005" s="1">
        <v>53</v>
      </c>
      <c r="I1005" s="1">
        <v>1</v>
      </c>
      <c r="J1005" s="1" t="str">
        <f>IFERROR(VLOOKUP(K1005,[1]diabetes_Recognition!$A:$B,2,FALSE),"Not Sampled")</f>
        <v>Not Sampled</v>
      </c>
      <c r="K1005" s="1">
        <v>1003</v>
      </c>
      <c r="L1005" s="1" t="str">
        <f>LOOKUP(A1005,Sheet2!$D$4:$E$9)</f>
        <v>5-7</v>
      </c>
      <c r="M1005" t="str">
        <f>LOOKUP(B1005,Sheet2!$G$4:$H$9)</f>
        <v>176-200</v>
      </c>
      <c r="N1005" t="str">
        <f>LOOKUP(C1005,Sheet2!$J$4:$K$8)</f>
        <v>70-79</v>
      </c>
      <c r="O1005" t="str">
        <f>LOOKUP(D1005,Sheet2!$M$4:$N$8)</f>
        <v>10-30</v>
      </c>
      <c r="P1005" t="str">
        <f>LOOKUP(E1005,Sheet2!$P$4:$Q$9)</f>
        <v>200-399</v>
      </c>
      <c r="Q1005" t="str">
        <f>LOOKUP(F1005,Sheet2!$S$4:$T$8)</f>
        <v>36+</v>
      </c>
      <c r="R1005" t="str">
        <f>LOOKUP(G1005,Sheet2!$V$4:$W$7)</f>
        <v>0.7+</v>
      </c>
      <c r="S1005" t="str">
        <f>LOOKUP(H1005,Sheet2!$Z$4:$AA$7)</f>
        <v>46+</v>
      </c>
      <c r="T1005" t="str">
        <f t="shared" si="45"/>
        <v>Positive</v>
      </c>
      <c r="U1005" t="str">
        <f t="shared" si="46"/>
        <v>Not Sampled</v>
      </c>
      <c r="V1005" s="1" t="str">
        <f t="shared" si="47"/>
        <v>Not Sampled</v>
      </c>
    </row>
    <row r="1006" spans="1:22" x14ac:dyDescent="0.25">
      <c r="A1006" s="1">
        <v>4</v>
      </c>
      <c r="B1006" s="1">
        <v>131</v>
      </c>
      <c r="C1006" s="1">
        <v>68</v>
      </c>
      <c r="D1006" s="1">
        <v>21</v>
      </c>
      <c r="E1006" s="1">
        <v>166</v>
      </c>
      <c r="F1006" s="1">
        <v>33.1</v>
      </c>
      <c r="G1006" s="1">
        <v>0.16</v>
      </c>
      <c r="H1006" s="1">
        <v>28</v>
      </c>
      <c r="I1006" s="1">
        <v>0</v>
      </c>
      <c r="J1006" s="1">
        <f>IFERROR(VLOOKUP(K1006,[1]diabetes_Recognition!$A:$B,2,FALSE),"Not Sampled")</f>
        <v>0</v>
      </c>
      <c r="K1006" s="1">
        <v>1004</v>
      </c>
      <c r="L1006" s="1" t="str">
        <f>LOOKUP(A1006,Sheet2!$D$4:$E$9)</f>
        <v>3-4</v>
      </c>
      <c r="M1006" t="str">
        <f>LOOKUP(B1006,Sheet2!$G$4:$H$9)</f>
        <v>126-150</v>
      </c>
      <c r="N1006" t="str">
        <f>LOOKUP(C1006,Sheet2!$J$4:$K$8)</f>
        <v>60-69</v>
      </c>
      <c r="O1006" t="str">
        <f>LOOKUP(D1006,Sheet2!$M$4:$N$8)</f>
        <v>10-30</v>
      </c>
      <c r="P1006" t="str">
        <f>LOOKUP(E1006,Sheet2!$P$4:$Q$9)</f>
        <v>100-199</v>
      </c>
      <c r="Q1006" t="str">
        <f>LOOKUP(F1006,Sheet2!$S$4:$T$8)</f>
        <v>31-35</v>
      </c>
      <c r="R1006" t="str">
        <f>LOOKUP(G1006,Sheet2!$V$4:$W$7)</f>
        <v>0.0 - 0.249</v>
      </c>
      <c r="S1006" t="str">
        <f>LOOKUP(H1006,Sheet2!$Z$4:$AA$7)</f>
        <v>26-35</v>
      </c>
      <c r="T1006" t="str">
        <f t="shared" si="45"/>
        <v>Negative</v>
      </c>
      <c r="U1006" t="str">
        <f t="shared" si="46"/>
        <v>Negative</v>
      </c>
      <c r="V1006" s="1" t="str">
        <f t="shared" si="47"/>
        <v>Accurate Prediction</v>
      </c>
    </row>
    <row r="1007" spans="1:22" x14ac:dyDescent="0.25">
      <c r="A1007" s="1">
        <v>1</v>
      </c>
      <c r="B1007" s="1">
        <v>164</v>
      </c>
      <c r="C1007" s="1">
        <v>82</v>
      </c>
      <c r="D1007" s="1">
        <v>43</v>
      </c>
      <c r="E1007" s="1">
        <v>67</v>
      </c>
      <c r="F1007" s="1">
        <v>32.799999999999997</v>
      </c>
      <c r="G1007" s="1">
        <v>0.34100000000000003</v>
      </c>
      <c r="H1007" s="1">
        <v>50</v>
      </c>
      <c r="I1007" s="1">
        <v>0</v>
      </c>
      <c r="J1007" s="1" t="str">
        <f>IFERROR(VLOOKUP(K1007,[1]diabetes_Recognition!$A:$B,2,FALSE),"Not Sampled")</f>
        <v>Not Sampled</v>
      </c>
      <c r="K1007" s="1">
        <v>1005</v>
      </c>
      <c r="L1007" s="1">
        <f>LOOKUP(A1007,Sheet2!$D$4:$E$9)</f>
        <v>1</v>
      </c>
      <c r="M1007" t="str">
        <f>LOOKUP(B1007,Sheet2!$G$4:$H$9)</f>
        <v>151-175</v>
      </c>
      <c r="N1007" t="str">
        <f>LOOKUP(C1007,Sheet2!$J$4:$K$8)</f>
        <v>80+</v>
      </c>
      <c r="O1007" t="str">
        <f>LOOKUP(D1007,Sheet2!$M$4:$N$8)</f>
        <v>40+</v>
      </c>
      <c r="P1007" t="str">
        <f>LOOKUP(E1007,Sheet2!$P$4:$Q$9)</f>
        <v>1-99</v>
      </c>
      <c r="Q1007" t="str">
        <f>LOOKUP(F1007,Sheet2!$S$4:$T$8)</f>
        <v>31-35</v>
      </c>
      <c r="R1007" t="str">
        <f>LOOKUP(G1007,Sheet2!$V$4:$W$7)</f>
        <v>0.25 - 0.39</v>
      </c>
      <c r="S1007" t="str">
        <f>LOOKUP(H1007,Sheet2!$Z$4:$AA$7)</f>
        <v>46+</v>
      </c>
      <c r="T1007" t="str">
        <f t="shared" si="45"/>
        <v>Negative</v>
      </c>
      <c r="U1007" t="str">
        <f t="shared" si="46"/>
        <v>Not Sampled</v>
      </c>
      <c r="V1007" s="1" t="str">
        <f t="shared" si="47"/>
        <v>Not Sampled</v>
      </c>
    </row>
    <row r="1008" spans="1:22" x14ac:dyDescent="0.25">
      <c r="A1008" s="1">
        <v>4</v>
      </c>
      <c r="B1008" s="1">
        <v>189</v>
      </c>
      <c r="C1008" s="1">
        <v>110</v>
      </c>
      <c r="D1008" s="1">
        <v>31</v>
      </c>
      <c r="E1008" s="1">
        <v>0</v>
      </c>
      <c r="F1008" s="1">
        <v>28.5</v>
      </c>
      <c r="G1008" s="1">
        <v>0.68</v>
      </c>
      <c r="H1008" s="1">
        <v>37</v>
      </c>
      <c r="I1008" s="1">
        <v>0</v>
      </c>
      <c r="J1008" s="1">
        <f>IFERROR(VLOOKUP(K1008,[1]diabetes_Recognition!$A:$B,2,FALSE),"Not Sampled")</f>
        <v>1</v>
      </c>
      <c r="K1008" s="1">
        <v>1006</v>
      </c>
      <c r="L1008" s="1" t="str">
        <f>LOOKUP(A1008,Sheet2!$D$4:$E$9)</f>
        <v>3-4</v>
      </c>
      <c r="M1008" t="str">
        <f>LOOKUP(B1008,Sheet2!$G$4:$H$9)</f>
        <v>176-200</v>
      </c>
      <c r="N1008" t="str">
        <f>LOOKUP(C1008,Sheet2!$J$4:$K$8)</f>
        <v>80+</v>
      </c>
      <c r="O1008" t="str">
        <f>LOOKUP(D1008,Sheet2!$M$4:$N$8)</f>
        <v>30-39</v>
      </c>
      <c r="P1008" t="str">
        <f>LOOKUP(E1008,Sheet2!$P$4:$Q$9)</f>
        <v>Unknown</v>
      </c>
      <c r="Q1008" t="str">
        <f>LOOKUP(F1008,Sheet2!$S$4:$T$8)</f>
        <v>26-30</v>
      </c>
      <c r="R1008" t="str">
        <f>LOOKUP(G1008,Sheet2!$V$4:$W$7)</f>
        <v>0.4 - 0.69</v>
      </c>
      <c r="S1008" t="str">
        <f>LOOKUP(H1008,Sheet2!$Z$4:$AA$7)</f>
        <v>36-45</v>
      </c>
      <c r="T1008" t="str">
        <f t="shared" si="45"/>
        <v>Negative</v>
      </c>
      <c r="U1008" t="str">
        <f t="shared" si="46"/>
        <v>Positive</v>
      </c>
      <c r="V1008" s="1" t="str">
        <f t="shared" si="47"/>
        <v>Inaccurate Prediction</v>
      </c>
    </row>
    <row r="1009" spans="1:22" x14ac:dyDescent="0.25">
      <c r="A1009" s="1">
        <v>1</v>
      </c>
      <c r="B1009" s="1">
        <v>116</v>
      </c>
      <c r="C1009" s="1">
        <v>70</v>
      </c>
      <c r="D1009" s="1">
        <v>28</v>
      </c>
      <c r="E1009" s="1">
        <v>0</v>
      </c>
      <c r="F1009" s="1">
        <v>27.4</v>
      </c>
      <c r="G1009" s="1">
        <v>0.20399999999999999</v>
      </c>
      <c r="H1009" s="1">
        <v>21</v>
      </c>
      <c r="I1009" s="1">
        <v>0</v>
      </c>
      <c r="J1009" s="1" t="str">
        <f>IFERROR(VLOOKUP(K1009,[1]diabetes_Recognition!$A:$B,2,FALSE),"Not Sampled")</f>
        <v>Not Sampled</v>
      </c>
      <c r="K1009" s="1">
        <v>1007</v>
      </c>
      <c r="L1009" s="1">
        <f>LOOKUP(A1009,Sheet2!$D$4:$E$9)</f>
        <v>1</v>
      </c>
      <c r="M1009" t="str">
        <f>LOOKUP(B1009,Sheet2!$G$4:$H$9)</f>
        <v>100-125</v>
      </c>
      <c r="N1009" t="str">
        <f>LOOKUP(C1009,Sheet2!$J$4:$K$8)</f>
        <v>70-79</v>
      </c>
      <c r="O1009" t="str">
        <f>LOOKUP(D1009,Sheet2!$M$4:$N$8)</f>
        <v>10-30</v>
      </c>
      <c r="P1009" t="str">
        <f>LOOKUP(E1009,Sheet2!$P$4:$Q$9)</f>
        <v>Unknown</v>
      </c>
      <c r="Q1009" t="str">
        <f>LOOKUP(F1009,Sheet2!$S$4:$T$8)</f>
        <v>26-30</v>
      </c>
      <c r="R1009" t="str">
        <f>LOOKUP(G1009,Sheet2!$V$4:$W$7)</f>
        <v>0.0 - 0.249</v>
      </c>
      <c r="S1009" t="str">
        <f>LOOKUP(H1009,Sheet2!$Z$4:$AA$7)</f>
        <v>&lt;=25</v>
      </c>
      <c r="T1009" t="str">
        <f t="shared" si="45"/>
        <v>Negative</v>
      </c>
      <c r="U1009" t="str">
        <f t="shared" si="46"/>
        <v>Not Sampled</v>
      </c>
      <c r="V1009" s="1" t="str">
        <f t="shared" si="47"/>
        <v>Not Sampled</v>
      </c>
    </row>
    <row r="1010" spans="1:22" x14ac:dyDescent="0.25">
      <c r="A1010" s="1">
        <v>3</v>
      </c>
      <c r="B1010" s="1">
        <v>84</v>
      </c>
      <c r="C1010" s="1">
        <v>68</v>
      </c>
      <c r="D1010" s="1">
        <v>30</v>
      </c>
      <c r="E1010" s="1">
        <v>106</v>
      </c>
      <c r="F1010" s="1">
        <v>31.9</v>
      </c>
      <c r="G1010" s="1">
        <v>0.59099999999999997</v>
      </c>
      <c r="H1010" s="1">
        <v>25</v>
      </c>
      <c r="I1010" s="1">
        <v>0</v>
      </c>
      <c r="J1010" s="1">
        <f>IFERROR(VLOOKUP(K1010,[1]diabetes_Recognition!$A:$B,2,FALSE),"Not Sampled")</f>
        <v>0</v>
      </c>
      <c r="K1010" s="1">
        <v>1008</v>
      </c>
      <c r="L1010" s="1" t="str">
        <f>LOOKUP(A1010,Sheet2!$D$4:$E$9)</f>
        <v>3-4</v>
      </c>
      <c r="M1010" t="str">
        <f>LOOKUP(B1010,Sheet2!$G$4:$H$9)</f>
        <v>1-99</v>
      </c>
      <c r="N1010" t="str">
        <f>LOOKUP(C1010,Sheet2!$J$4:$K$8)</f>
        <v>60-69</v>
      </c>
      <c r="O1010" t="str">
        <f>LOOKUP(D1010,Sheet2!$M$4:$N$8)</f>
        <v>30-39</v>
      </c>
      <c r="P1010" t="str">
        <f>LOOKUP(E1010,Sheet2!$P$4:$Q$9)</f>
        <v>100-199</v>
      </c>
      <c r="Q1010" t="str">
        <f>LOOKUP(F1010,Sheet2!$S$4:$T$8)</f>
        <v>31-35</v>
      </c>
      <c r="R1010" t="str">
        <f>LOOKUP(G1010,Sheet2!$V$4:$W$7)</f>
        <v>0.4 - 0.69</v>
      </c>
      <c r="S1010" t="str">
        <f>LOOKUP(H1010,Sheet2!$Z$4:$AA$7)</f>
        <v>&lt;=25</v>
      </c>
      <c r="T1010" t="str">
        <f t="shared" si="45"/>
        <v>Negative</v>
      </c>
      <c r="U1010" t="str">
        <f t="shared" si="46"/>
        <v>Negative</v>
      </c>
      <c r="V1010" s="1" t="str">
        <f t="shared" si="47"/>
        <v>Accurate Prediction</v>
      </c>
    </row>
    <row r="1011" spans="1:22" x14ac:dyDescent="0.25">
      <c r="A1011" s="1">
        <v>6</v>
      </c>
      <c r="B1011" s="1">
        <v>114</v>
      </c>
      <c r="C1011" s="1">
        <v>88</v>
      </c>
      <c r="D1011" s="1">
        <v>0</v>
      </c>
      <c r="E1011" s="1">
        <v>0</v>
      </c>
      <c r="F1011" s="1">
        <v>27.8</v>
      </c>
      <c r="G1011" s="1">
        <v>0.247</v>
      </c>
      <c r="H1011" s="1">
        <v>66</v>
      </c>
      <c r="I1011" s="1">
        <v>0</v>
      </c>
      <c r="J1011" s="1">
        <f>IFERROR(VLOOKUP(K1011,[1]diabetes_Recognition!$A:$B,2,FALSE),"Not Sampled")</f>
        <v>0</v>
      </c>
      <c r="K1011" s="1">
        <v>1009</v>
      </c>
      <c r="L1011" s="1" t="str">
        <f>LOOKUP(A1011,Sheet2!$D$4:$E$9)</f>
        <v>5-7</v>
      </c>
      <c r="M1011" t="str">
        <f>LOOKUP(B1011,Sheet2!$G$4:$H$9)</f>
        <v>100-125</v>
      </c>
      <c r="N1011" t="str">
        <f>LOOKUP(C1011,Sheet2!$J$4:$K$8)</f>
        <v>80+</v>
      </c>
      <c r="O1011" t="str">
        <f>LOOKUP(D1011,Sheet2!$M$4:$N$8)</f>
        <v>Unknown</v>
      </c>
      <c r="P1011" t="str">
        <f>LOOKUP(E1011,Sheet2!$P$4:$Q$9)</f>
        <v>Unknown</v>
      </c>
      <c r="Q1011" t="str">
        <f>LOOKUP(F1011,Sheet2!$S$4:$T$8)</f>
        <v>26-30</v>
      </c>
      <c r="R1011" t="str">
        <f>LOOKUP(G1011,Sheet2!$V$4:$W$7)</f>
        <v>0.0 - 0.249</v>
      </c>
      <c r="S1011" t="str">
        <f>LOOKUP(H1011,Sheet2!$Z$4:$AA$7)</f>
        <v>46+</v>
      </c>
      <c r="T1011" t="str">
        <f t="shared" si="45"/>
        <v>Negative</v>
      </c>
      <c r="U1011" t="str">
        <f t="shared" si="46"/>
        <v>Negative</v>
      </c>
      <c r="V1011" s="1" t="str">
        <f t="shared" si="47"/>
        <v>Accurate Prediction</v>
      </c>
    </row>
    <row r="1012" spans="1:22" x14ac:dyDescent="0.25">
      <c r="A1012" s="1">
        <v>1</v>
      </c>
      <c r="B1012" s="1">
        <v>88</v>
      </c>
      <c r="C1012" s="1">
        <v>62</v>
      </c>
      <c r="D1012" s="1">
        <v>24</v>
      </c>
      <c r="E1012" s="1">
        <v>44</v>
      </c>
      <c r="F1012" s="1">
        <v>29.9</v>
      </c>
      <c r="G1012" s="1">
        <v>0.42199999999999999</v>
      </c>
      <c r="H1012" s="1">
        <v>23</v>
      </c>
      <c r="I1012" s="1">
        <v>0</v>
      </c>
      <c r="J1012" s="1" t="str">
        <f>IFERROR(VLOOKUP(K1012,[1]diabetes_Recognition!$A:$B,2,FALSE),"Not Sampled")</f>
        <v>Not Sampled</v>
      </c>
      <c r="K1012" s="1">
        <v>1010</v>
      </c>
      <c r="L1012" s="1">
        <f>LOOKUP(A1012,Sheet2!$D$4:$E$9)</f>
        <v>1</v>
      </c>
      <c r="M1012" t="str">
        <f>LOOKUP(B1012,Sheet2!$G$4:$H$9)</f>
        <v>1-99</v>
      </c>
      <c r="N1012" t="str">
        <f>LOOKUP(C1012,Sheet2!$J$4:$K$8)</f>
        <v>60-69</v>
      </c>
      <c r="O1012" t="str">
        <f>LOOKUP(D1012,Sheet2!$M$4:$N$8)</f>
        <v>10-30</v>
      </c>
      <c r="P1012" t="str">
        <f>LOOKUP(E1012,Sheet2!$P$4:$Q$9)</f>
        <v>1-99</v>
      </c>
      <c r="Q1012" t="str">
        <f>LOOKUP(F1012,Sheet2!$S$4:$T$8)</f>
        <v>26-30</v>
      </c>
      <c r="R1012" t="str">
        <f>LOOKUP(G1012,Sheet2!$V$4:$W$7)</f>
        <v>0.4 - 0.69</v>
      </c>
      <c r="S1012" t="str">
        <f>LOOKUP(H1012,Sheet2!$Z$4:$AA$7)</f>
        <v>&lt;=25</v>
      </c>
      <c r="T1012" t="str">
        <f t="shared" si="45"/>
        <v>Negative</v>
      </c>
      <c r="U1012" t="str">
        <f t="shared" si="46"/>
        <v>Not Sampled</v>
      </c>
      <c r="V1012" s="1" t="str">
        <f t="shared" si="47"/>
        <v>Not Sampled</v>
      </c>
    </row>
    <row r="1013" spans="1:22" x14ac:dyDescent="0.25">
      <c r="A1013" s="1">
        <v>1</v>
      </c>
      <c r="B1013" s="1">
        <v>84</v>
      </c>
      <c r="C1013" s="1">
        <v>64</v>
      </c>
      <c r="D1013" s="1">
        <v>23</v>
      </c>
      <c r="E1013" s="1">
        <v>115</v>
      </c>
      <c r="F1013" s="1">
        <v>36.9</v>
      </c>
      <c r="G1013" s="1">
        <v>0.47099999999999997</v>
      </c>
      <c r="H1013" s="1">
        <v>28</v>
      </c>
      <c r="I1013" s="1">
        <v>0</v>
      </c>
      <c r="J1013" s="1" t="str">
        <f>IFERROR(VLOOKUP(K1013,[1]diabetes_Recognition!$A:$B,2,FALSE),"Not Sampled")</f>
        <v>Not Sampled</v>
      </c>
      <c r="K1013" s="1">
        <v>1011</v>
      </c>
      <c r="L1013" s="1">
        <f>LOOKUP(A1013,Sheet2!$D$4:$E$9)</f>
        <v>1</v>
      </c>
      <c r="M1013" t="str">
        <f>LOOKUP(B1013,Sheet2!$G$4:$H$9)</f>
        <v>1-99</v>
      </c>
      <c r="N1013" t="str">
        <f>LOOKUP(C1013,Sheet2!$J$4:$K$8)</f>
        <v>60-69</v>
      </c>
      <c r="O1013" t="str">
        <f>LOOKUP(D1013,Sheet2!$M$4:$N$8)</f>
        <v>10-30</v>
      </c>
      <c r="P1013" t="str">
        <f>LOOKUP(E1013,Sheet2!$P$4:$Q$9)</f>
        <v>100-199</v>
      </c>
      <c r="Q1013" t="str">
        <f>LOOKUP(F1013,Sheet2!$S$4:$T$8)</f>
        <v>36+</v>
      </c>
      <c r="R1013" t="str">
        <f>LOOKUP(G1013,Sheet2!$V$4:$W$7)</f>
        <v>0.4 - 0.69</v>
      </c>
      <c r="S1013" t="str">
        <f>LOOKUP(H1013,Sheet2!$Z$4:$AA$7)</f>
        <v>26-35</v>
      </c>
      <c r="T1013" t="str">
        <f t="shared" si="45"/>
        <v>Negative</v>
      </c>
      <c r="U1013" t="str">
        <f t="shared" si="46"/>
        <v>Not Sampled</v>
      </c>
      <c r="V1013" s="1" t="str">
        <f t="shared" si="47"/>
        <v>Not Sampled</v>
      </c>
    </row>
    <row r="1014" spans="1:22" x14ac:dyDescent="0.25">
      <c r="A1014" s="1">
        <v>7</v>
      </c>
      <c r="B1014" s="1">
        <v>124</v>
      </c>
      <c r="C1014" s="1">
        <v>70</v>
      </c>
      <c r="D1014" s="1">
        <v>33</v>
      </c>
      <c r="E1014" s="1">
        <v>215</v>
      </c>
      <c r="F1014" s="1">
        <v>25.5</v>
      </c>
      <c r="G1014" s="1">
        <v>0.161</v>
      </c>
      <c r="H1014" s="1">
        <v>37</v>
      </c>
      <c r="I1014" s="1">
        <v>0</v>
      </c>
      <c r="J1014" s="1" t="str">
        <f>IFERROR(VLOOKUP(K1014,[1]diabetes_Recognition!$A:$B,2,FALSE),"Not Sampled")</f>
        <v>Not Sampled</v>
      </c>
      <c r="K1014" s="1">
        <v>1012</v>
      </c>
      <c r="L1014" s="1" t="str">
        <f>LOOKUP(A1014,Sheet2!$D$4:$E$9)</f>
        <v>5-7</v>
      </c>
      <c r="M1014" t="str">
        <f>LOOKUP(B1014,Sheet2!$G$4:$H$9)</f>
        <v>100-125</v>
      </c>
      <c r="N1014" t="str">
        <f>LOOKUP(C1014,Sheet2!$J$4:$K$8)</f>
        <v>70-79</v>
      </c>
      <c r="O1014" t="str">
        <f>LOOKUP(D1014,Sheet2!$M$4:$N$8)</f>
        <v>30-39</v>
      </c>
      <c r="P1014" t="str">
        <f>LOOKUP(E1014,Sheet2!$P$4:$Q$9)</f>
        <v>200-399</v>
      </c>
      <c r="Q1014" t="str">
        <f>LOOKUP(F1014,Sheet2!$S$4:$T$8)</f>
        <v>1-25</v>
      </c>
      <c r="R1014" t="str">
        <f>LOOKUP(G1014,Sheet2!$V$4:$W$7)</f>
        <v>0.0 - 0.249</v>
      </c>
      <c r="S1014" t="str">
        <f>LOOKUP(H1014,Sheet2!$Z$4:$AA$7)</f>
        <v>36-45</v>
      </c>
      <c r="T1014" t="str">
        <f t="shared" si="45"/>
        <v>Negative</v>
      </c>
      <c r="U1014" t="str">
        <f t="shared" si="46"/>
        <v>Not Sampled</v>
      </c>
      <c r="V1014" s="1" t="str">
        <f t="shared" si="47"/>
        <v>Not Sampled</v>
      </c>
    </row>
    <row r="1015" spans="1:22" x14ac:dyDescent="0.25">
      <c r="A1015" s="1">
        <v>1</v>
      </c>
      <c r="B1015" s="1">
        <v>97</v>
      </c>
      <c r="C1015" s="1">
        <v>70</v>
      </c>
      <c r="D1015" s="1">
        <v>40</v>
      </c>
      <c r="E1015" s="1">
        <v>0</v>
      </c>
      <c r="F1015" s="1">
        <v>38.1</v>
      </c>
      <c r="G1015" s="1">
        <v>0.218</v>
      </c>
      <c r="H1015" s="1">
        <v>30</v>
      </c>
      <c r="I1015" s="1">
        <v>0</v>
      </c>
      <c r="J1015" s="1" t="str">
        <f>IFERROR(VLOOKUP(K1015,[1]diabetes_Recognition!$A:$B,2,FALSE),"Not Sampled")</f>
        <v>Not Sampled</v>
      </c>
      <c r="K1015" s="1">
        <v>1013</v>
      </c>
      <c r="L1015" s="1">
        <f>LOOKUP(A1015,Sheet2!$D$4:$E$9)</f>
        <v>1</v>
      </c>
      <c r="M1015" t="str">
        <f>LOOKUP(B1015,Sheet2!$G$4:$H$9)</f>
        <v>1-99</v>
      </c>
      <c r="N1015" t="str">
        <f>LOOKUP(C1015,Sheet2!$J$4:$K$8)</f>
        <v>70-79</v>
      </c>
      <c r="O1015" t="str">
        <f>LOOKUP(D1015,Sheet2!$M$4:$N$8)</f>
        <v>40+</v>
      </c>
      <c r="P1015" t="str">
        <f>LOOKUP(E1015,Sheet2!$P$4:$Q$9)</f>
        <v>Unknown</v>
      </c>
      <c r="Q1015" t="str">
        <f>LOOKUP(F1015,Sheet2!$S$4:$T$8)</f>
        <v>36+</v>
      </c>
      <c r="R1015" t="str">
        <f>LOOKUP(G1015,Sheet2!$V$4:$W$7)</f>
        <v>0.0 - 0.249</v>
      </c>
      <c r="S1015" t="str">
        <f>LOOKUP(H1015,Sheet2!$Z$4:$AA$7)</f>
        <v>26-35</v>
      </c>
      <c r="T1015" t="str">
        <f t="shared" si="45"/>
        <v>Negative</v>
      </c>
      <c r="U1015" t="str">
        <f t="shared" si="46"/>
        <v>Not Sampled</v>
      </c>
      <c r="V1015" s="1" t="str">
        <f t="shared" si="47"/>
        <v>Not Sampled</v>
      </c>
    </row>
    <row r="1016" spans="1:22" x14ac:dyDescent="0.25">
      <c r="A1016" s="1">
        <v>8</v>
      </c>
      <c r="B1016" s="1">
        <v>110</v>
      </c>
      <c r="C1016" s="1">
        <v>76</v>
      </c>
      <c r="D1016" s="1">
        <v>0</v>
      </c>
      <c r="E1016" s="1">
        <v>0</v>
      </c>
      <c r="F1016" s="1">
        <v>27.8</v>
      </c>
      <c r="G1016" s="1">
        <v>0.23699999999999999</v>
      </c>
      <c r="H1016" s="1">
        <v>58</v>
      </c>
      <c r="I1016" s="1">
        <v>0</v>
      </c>
      <c r="J1016" s="1" t="str">
        <f>IFERROR(VLOOKUP(K1016,[1]diabetes_Recognition!$A:$B,2,FALSE),"Not Sampled")</f>
        <v>Not Sampled</v>
      </c>
      <c r="K1016" s="1">
        <v>1014</v>
      </c>
      <c r="L1016" s="1" t="str">
        <f>LOOKUP(A1016,Sheet2!$D$4:$E$9)</f>
        <v>8+</v>
      </c>
      <c r="M1016" t="str">
        <f>LOOKUP(B1016,Sheet2!$G$4:$H$9)</f>
        <v>100-125</v>
      </c>
      <c r="N1016" t="str">
        <f>LOOKUP(C1016,Sheet2!$J$4:$K$8)</f>
        <v>70-79</v>
      </c>
      <c r="O1016" t="str">
        <f>LOOKUP(D1016,Sheet2!$M$4:$N$8)</f>
        <v>Unknown</v>
      </c>
      <c r="P1016" t="str">
        <f>LOOKUP(E1016,Sheet2!$P$4:$Q$9)</f>
        <v>Unknown</v>
      </c>
      <c r="Q1016" t="str">
        <f>LOOKUP(F1016,Sheet2!$S$4:$T$8)</f>
        <v>26-30</v>
      </c>
      <c r="R1016" t="str">
        <f>LOOKUP(G1016,Sheet2!$V$4:$W$7)</f>
        <v>0.0 - 0.249</v>
      </c>
      <c r="S1016" t="str">
        <f>LOOKUP(H1016,Sheet2!$Z$4:$AA$7)</f>
        <v>46+</v>
      </c>
      <c r="T1016" t="str">
        <f t="shared" si="45"/>
        <v>Negative</v>
      </c>
      <c r="U1016" t="str">
        <f t="shared" si="46"/>
        <v>Not Sampled</v>
      </c>
      <c r="V1016" s="1" t="str">
        <f t="shared" si="47"/>
        <v>Not Sampled</v>
      </c>
    </row>
    <row r="1017" spans="1:22" x14ac:dyDescent="0.25">
      <c r="A1017" s="1">
        <v>11</v>
      </c>
      <c r="B1017" s="1">
        <v>103</v>
      </c>
      <c r="C1017" s="1">
        <v>68</v>
      </c>
      <c r="D1017" s="1">
        <v>40</v>
      </c>
      <c r="E1017" s="1">
        <v>0</v>
      </c>
      <c r="F1017" s="1">
        <v>46.2</v>
      </c>
      <c r="G1017" s="1">
        <v>0.126</v>
      </c>
      <c r="H1017" s="1">
        <v>42</v>
      </c>
      <c r="I1017" s="1">
        <v>0</v>
      </c>
      <c r="J1017" s="1">
        <f>IFERROR(VLOOKUP(K1017,[1]diabetes_Recognition!$A:$B,2,FALSE),"Not Sampled")</f>
        <v>1</v>
      </c>
      <c r="K1017" s="1">
        <v>1015</v>
      </c>
      <c r="L1017" s="1" t="str">
        <f>LOOKUP(A1017,Sheet2!$D$4:$E$9)</f>
        <v>8+</v>
      </c>
      <c r="M1017" t="str">
        <f>LOOKUP(B1017,Sheet2!$G$4:$H$9)</f>
        <v>100-125</v>
      </c>
      <c r="N1017" t="str">
        <f>LOOKUP(C1017,Sheet2!$J$4:$K$8)</f>
        <v>60-69</v>
      </c>
      <c r="O1017" t="str">
        <f>LOOKUP(D1017,Sheet2!$M$4:$N$8)</f>
        <v>40+</v>
      </c>
      <c r="P1017" t="str">
        <f>LOOKUP(E1017,Sheet2!$P$4:$Q$9)</f>
        <v>Unknown</v>
      </c>
      <c r="Q1017" t="str">
        <f>LOOKUP(F1017,Sheet2!$S$4:$T$8)</f>
        <v>36+</v>
      </c>
      <c r="R1017" t="str">
        <f>LOOKUP(G1017,Sheet2!$V$4:$W$7)</f>
        <v>0.0 - 0.249</v>
      </c>
      <c r="S1017" t="str">
        <f>LOOKUP(H1017,Sheet2!$Z$4:$AA$7)</f>
        <v>36-45</v>
      </c>
      <c r="T1017" t="str">
        <f t="shared" si="45"/>
        <v>Negative</v>
      </c>
      <c r="U1017" t="str">
        <f t="shared" si="46"/>
        <v>Positive</v>
      </c>
      <c r="V1017" s="1" t="str">
        <f t="shared" si="47"/>
        <v>Inaccurate Prediction</v>
      </c>
    </row>
    <row r="1018" spans="1:22" x14ac:dyDescent="0.25">
      <c r="A1018" s="1">
        <v>11</v>
      </c>
      <c r="B1018" s="1">
        <v>85</v>
      </c>
      <c r="C1018" s="1">
        <v>74</v>
      </c>
      <c r="D1018" s="1">
        <v>0</v>
      </c>
      <c r="E1018" s="1">
        <v>0</v>
      </c>
      <c r="F1018" s="1">
        <v>30.1</v>
      </c>
      <c r="G1018" s="1">
        <v>0.3</v>
      </c>
      <c r="H1018" s="1">
        <v>35</v>
      </c>
      <c r="I1018" s="1">
        <v>0</v>
      </c>
      <c r="J1018" s="1" t="str">
        <f>IFERROR(VLOOKUP(K1018,[1]diabetes_Recognition!$A:$B,2,FALSE),"Not Sampled")</f>
        <v>Not Sampled</v>
      </c>
      <c r="K1018" s="1">
        <v>1016</v>
      </c>
      <c r="L1018" s="1" t="str">
        <f>LOOKUP(A1018,Sheet2!$D$4:$E$9)</f>
        <v>8+</v>
      </c>
      <c r="M1018" t="str">
        <f>LOOKUP(B1018,Sheet2!$G$4:$H$9)</f>
        <v>1-99</v>
      </c>
      <c r="N1018" t="str">
        <f>LOOKUP(C1018,Sheet2!$J$4:$K$8)</f>
        <v>70-79</v>
      </c>
      <c r="O1018" t="str">
        <f>LOOKUP(D1018,Sheet2!$M$4:$N$8)</f>
        <v>Unknown</v>
      </c>
      <c r="P1018" t="str">
        <f>LOOKUP(E1018,Sheet2!$P$4:$Q$9)</f>
        <v>Unknown</v>
      </c>
      <c r="Q1018" t="str">
        <f>LOOKUP(F1018,Sheet2!$S$4:$T$8)</f>
        <v>26-30</v>
      </c>
      <c r="R1018" t="str">
        <f>LOOKUP(G1018,Sheet2!$V$4:$W$7)</f>
        <v>0.25 - 0.39</v>
      </c>
      <c r="S1018" t="str">
        <f>LOOKUP(H1018,Sheet2!$Z$4:$AA$7)</f>
        <v>26-35</v>
      </c>
      <c r="T1018" t="str">
        <f t="shared" si="45"/>
        <v>Negative</v>
      </c>
      <c r="U1018" t="str">
        <f t="shared" si="46"/>
        <v>Not Sampled</v>
      </c>
      <c r="V1018" s="1" t="str">
        <f t="shared" si="47"/>
        <v>Not Sampled</v>
      </c>
    </row>
    <row r="1019" spans="1:22" x14ac:dyDescent="0.25">
      <c r="A1019" s="1">
        <v>6</v>
      </c>
      <c r="B1019" s="1">
        <v>125</v>
      </c>
      <c r="C1019" s="1">
        <v>76</v>
      </c>
      <c r="D1019" s="1">
        <v>0</v>
      </c>
      <c r="E1019" s="1">
        <v>0</v>
      </c>
      <c r="F1019" s="1">
        <v>33.799999999999997</v>
      </c>
      <c r="G1019" s="1">
        <v>0.121</v>
      </c>
      <c r="H1019" s="1">
        <v>54</v>
      </c>
      <c r="I1019" s="1">
        <v>1</v>
      </c>
      <c r="J1019" s="1">
        <f>IFERROR(VLOOKUP(K1019,[1]diabetes_Recognition!$A:$B,2,FALSE),"Not Sampled")</f>
        <v>0</v>
      </c>
      <c r="K1019" s="1">
        <v>1017</v>
      </c>
      <c r="L1019" s="1" t="str">
        <f>LOOKUP(A1019,Sheet2!$D$4:$E$9)</f>
        <v>5-7</v>
      </c>
      <c r="M1019" t="str">
        <f>LOOKUP(B1019,Sheet2!$G$4:$H$9)</f>
        <v>100-125</v>
      </c>
      <c r="N1019" t="str">
        <f>LOOKUP(C1019,Sheet2!$J$4:$K$8)</f>
        <v>70-79</v>
      </c>
      <c r="O1019" t="str">
        <f>LOOKUP(D1019,Sheet2!$M$4:$N$8)</f>
        <v>Unknown</v>
      </c>
      <c r="P1019" t="str">
        <f>LOOKUP(E1019,Sheet2!$P$4:$Q$9)</f>
        <v>Unknown</v>
      </c>
      <c r="Q1019" t="str">
        <f>LOOKUP(F1019,Sheet2!$S$4:$T$8)</f>
        <v>31-35</v>
      </c>
      <c r="R1019" t="str">
        <f>LOOKUP(G1019,Sheet2!$V$4:$W$7)</f>
        <v>0.0 - 0.249</v>
      </c>
      <c r="S1019" t="str">
        <f>LOOKUP(H1019,Sheet2!$Z$4:$AA$7)</f>
        <v>46+</v>
      </c>
      <c r="T1019" t="str">
        <f t="shared" si="45"/>
        <v>Positive</v>
      </c>
      <c r="U1019" t="str">
        <f t="shared" si="46"/>
        <v>Negative</v>
      </c>
      <c r="V1019" s="1" t="str">
        <f t="shared" si="47"/>
        <v>Inaccurate Prediction</v>
      </c>
    </row>
    <row r="1020" spans="1:22" x14ac:dyDescent="0.25">
      <c r="A1020" s="1">
        <v>0</v>
      </c>
      <c r="B1020" s="1">
        <v>198</v>
      </c>
      <c r="C1020" s="1">
        <v>66</v>
      </c>
      <c r="D1020" s="1">
        <v>32</v>
      </c>
      <c r="E1020" s="1">
        <v>274</v>
      </c>
      <c r="F1020" s="1">
        <v>41.3</v>
      </c>
      <c r="G1020" s="1">
        <v>0.502</v>
      </c>
      <c r="H1020" s="1">
        <v>28</v>
      </c>
      <c r="I1020" s="1">
        <v>1</v>
      </c>
      <c r="J1020" s="1" t="str">
        <f>IFERROR(VLOOKUP(K1020,[1]diabetes_Recognition!$A:$B,2,FALSE),"Not Sampled")</f>
        <v>Not Sampled</v>
      </c>
      <c r="K1020" s="1">
        <v>1018</v>
      </c>
      <c r="L1020" s="1">
        <f>LOOKUP(A1020,Sheet2!$D$4:$E$9)</f>
        <v>0</v>
      </c>
      <c r="M1020" t="str">
        <f>LOOKUP(B1020,Sheet2!$G$4:$H$9)</f>
        <v>176-200</v>
      </c>
      <c r="N1020" t="str">
        <f>LOOKUP(C1020,Sheet2!$J$4:$K$8)</f>
        <v>60-69</v>
      </c>
      <c r="O1020" t="str">
        <f>LOOKUP(D1020,Sheet2!$M$4:$N$8)</f>
        <v>30-39</v>
      </c>
      <c r="P1020" t="str">
        <f>LOOKUP(E1020,Sheet2!$P$4:$Q$9)</f>
        <v>200-399</v>
      </c>
      <c r="Q1020" t="str">
        <f>LOOKUP(F1020,Sheet2!$S$4:$T$8)</f>
        <v>36+</v>
      </c>
      <c r="R1020" t="str">
        <f>LOOKUP(G1020,Sheet2!$V$4:$W$7)</f>
        <v>0.4 - 0.69</v>
      </c>
      <c r="S1020" t="str">
        <f>LOOKUP(H1020,Sheet2!$Z$4:$AA$7)</f>
        <v>26-35</v>
      </c>
      <c r="T1020" t="str">
        <f t="shared" si="45"/>
        <v>Positive</v>
      </c>
      <c r="U1020" t="str">
        <f t="shared" si="46"/>
        <v>Not Sampled</v>
      </c>
      <c r="V1020" s="1" t="str">
        <f t="shared" si="47"/>
        <v>Not Sampled</v>
      </c>
    </row>
    <row r="1021" spans="1:22" x14ac:dyDescent="0.25">
      <c r="A1021" s="1">
        <v>1</v>
      </c>
      <c r="B1021" s="1">
        <v>87</v>
      </c>
      <c r="C1021" s="1">
        <v>68</v>
      </c>
      <c r="D1021" s="1">
        <v>34</v>
      </c>
      <c r="E1021" s="1">
        <v>77</v>
      </c>
      <c r="F1021" s="1">
        <v>37.6</v>
      </c>
      <c r="G1021" s="1">
        <v>0.40100000000000002</v>
      </c>
      <c r="H1021" s="1">
        <v>24</v>
      </c>
      <c r="I1021" s="1">
        <v>0</v>
      </c>
      <c r="J1021" s="1" t="str">
        <f>IFERROR(VLOOKUP(K1021,[1]diabetes_Recognition!$A:$B,2,FALSE),"Not Sampled")</f>
        <v>Not Sampled</v>
      </c>
      <c r="K1021" s="1">
        <v>1019</v>
      </c>
      <c r="L1021" s="1">
        <f>LOOKUP(A1021,Sheet2!$D$4:$E$9)</f>
        <v>1</v>
      </c>
      <c r="M1021" t="str">
        <f>LOOKUP(B1021,Sheet2!$G$4:$H$9)</f>
        <v>1-99</v>
      </c>
      <c r="N1021" t="str">
        <f>LOOKUP(C1021,Sheet2!$J$4:$K$8)</f>
        <v>60-69</v>
      </c>
      <c r="O1021" t="str">
        <f>LOOKUP(D1021,Sheet2!$M$4:$N$8)</f>
        <v>30-39</v>
      </c>
      <c r="P1021" t="str">
        <f>LOOKUP(E1021,Sheet2!$P$4:$Q$9)</f>
        <v>1-99</v>
      </c>
      <c r="Q1021" t="str">
        <f>LOOKUP(F1021,Sheet2!$S$4:$T$8)</f>
        <v>36+</v>
      </c>
      <c r="R1021" t="str">
        <f>LOOKUP(G1021,Sheet2!$V$4:$W$7)</f>
        <v>0.4 - 0.69</v>
      </c>
      <c r="S1021" t="str">
        <f>LOOKUP(H1021,Sheet2!$Z$4:$AA$7)</f>
        <v>&lt;=25</v>
      </c>
      <c r="T1021" t="str">
        <f t="shared" si="45"/>
        <v>Negative</v>
      </c>
      <c r="U1021" t="str">
        <f t="shared" si="46"/>
        <v>Not Sampled</v>
      </c>
      <c r="V1021" s="1" t="str">
        <f t="shared" si="47"/>
        <v>Not Sampled</v>
      </c>
    </row>
    <row r="1022" spans="1:22" x14ac:dyDescent="0.25">
      <c r="A1022" s="1">
        <v>6</v>
      </c>
      <c r="B1022" s="1">
        <v>99</v>
      </c>
      <c r="C1022" s="1">
        <v>60</v>
      </c>
      <c r="D1022" s="1">
        <v>19</v>
      </c>
      <c r="E1022" s="1">
        <v>54</v>
      </c>
      <c r="F1022" s="1">
        <v>26.9</v>
      </c>
      <c r="G1022" s="1">
        <v>0.497</v>
      </c>
      <c r="H1022" s="1">
        <v>32</v>
      </c>
      <c r="I1022" s="1">
        <v>0</v>
      </c>
      <c r="J1022" s="1" t="str">
        <f>IFERROR(VLOOKUP(K1022,[1]diabetes_Recognition!$A:$B,2,FALSE),"Not Sampled")</f>
        <v>Not Sampled</v>
      </c>
      <c r="K1022" s="1">
        <v>1020</v>
      </c>
      <c r="L1022" s="1" t="str">
        <f>LOOKUP(A1022,Sheet2!$D$4:$E$9)</f>
        <v>5-7</v>
      </c>
      <c r="M1022" t="str">
        <f>LOOKUP(B1022,Sheet2!$G$4:$H$9)</f>
        <v>1-99</v>
      </c>
      <c r="N1022" t="str">
        <f>LOOKUP(C1022,Sheet2!$J$4:$K$8)</f>
        <v>60-69</v>
      </c>
      <c r="O1022" t="str">
        <f>LOOKUP(D1022,Sheet2!$M$4:$N$8)</f>
        <v>10-30</v>
      </c>
      <c r="P1022" t="str">
        <f>LOOKUP(E1022,Sheet2!$P$4:$Q$9)</f>
        <v>1-99</v>
      </c>
      <c r="Q1022" t="str">
        <f>LOOKUP(F1022,Sheet2!$S$4:$T$8)</f>
        <v>26-30</v>
      </c>
      <c r="R1022" t="str">
        <f>LOOKUP(G1022,Sheet2!$V$4:$W$7)</f>
        <v>0.4 - 0.69</v>
      </c>
      <c r="S1022" t="str">
        <f>LOOKUP(H1022,Sheet2!$Z$4:$AA$7)</f>
        <v>26-35</v>
      </c>
      <c r="T1022" t="str">
        <f t="shared" si="45"/>
        <v>Negative</v>
      </c>
      <c r="U1022" t="str">
        <f t="shared" si="46"/>
        <v>Not Sampled</v>
      </c>
      <c r="V1022" s="1" t="str">
        <f t="shared" si="47"/>
        <v>Not Sampled</v>
      </c>
    </row>
    <row r="1023" spans="1:22" x14ac:dyDescent="0.25">
      <c r="A1023" s="1">
        <v>0</v>
      </c>
      <c r="B1023" s="1">
        <v>91</v>
      </c>
      <c r="C1023" s="1">
        <v>80</v>
      </c>
      <c r="D1023" s="1">
        <v>0</v>
      </c>
      <c r="E1023" s="1">
        <v>0</v>
      </c>
      <c r="F1023" s="1">
        <v>32.4</v>
      </c>
      <c r="G1023" s="1">
        <v>0.60099999999999998</v>
      </c>
      <c r="H1023" s="1">
        <v>27</v>
      </c>
      <c r="I1023" s="1">
        <v>0</v>
      </c>
      <c r="J1023" s="1" t="str">
        <f>IFERROR(VLOOKUP(K1023,[1]diabetes_Recognition!$A:$B,2,FALSE),"Not Sampled")</f>
        <v>Not Sampled</v>
      </c>
      <c r="K1023" s="1">
        <v>1021</v>
      </c>
      <c r="L1023" s="1">
        <f>LOOKUP(A1023,Sheet2!$D$4:$E$9)</f>
        <v>0</v>
      </c>
      <c r="M1023" t="str">
        <f>LOOKUP(B1023,Sheet2!$G$4:$H$9)</f>
        <v>1-99</v>
      </c>
      <c r="N1023" t="str">
        <f>LOOKUP(C1023,Sheet2!$J$4:$K$8)</f>
        <v>80+</v>
      </c>
      <c r="O1023" t="str">
        <f>LOOKUP(D1023,Sheet2!$M$4:$N$8)</f>
        <v>Unknown</v>
      </c>
      <c r="P1023" t="str">
        <f>LOOKUP(E1023,Sheet2!$P$4:$Q$9)</f>
        <v>Unknown</v>
      </c>
      <c r="Q1023" t="str">
        <f>LOOKUP(F1023,Sheet2!$S$4:$T$8)</f>
        <v>31-35</v>
      </c>
      <c r="R1023" t="str">
        <f>LOOKUP(G1023,Sheet2!$V$4:$W$7)</f>
        <v>0.4 - 0.69</v>
      </c>
      <c r="S1023" t="str">
        <f>LOOKUP(H1023,Sheet2!$Z$4:$AA$7)</f>
        <v>26-35</v>
      </c>
      <c r="T1023" t="str">
        <f t="shared" si="45"/>
        <v>Negative</v>
      </c>
      <c r="U1023" t="str">
        <f t="shared" si="46"/>
        <v>Not Sampled</v>
      </c>
      <c r="V1023" s="1" t="str">
        <f t="shared" si="47"/>
        <v>Not Sampled</v>
      </c>
    </row>
    <row r="1024" spans="1:22" x14ac:dyDescent="0.25">
      <c r="A1024" s="1">
        <v>2</v>
      </c>
      <c r="B1024" s="1">
        <v>95</v>
      </c>
      <c r="C1024" s="1">
        <v>54</v>
      </c>
      <c r="D1024" s="1">
        <v>14</v>
      </c>
      <c r="E1024" s="1">
        <v>88</v>
      </c>
      <c r="F1024" s="1">
        <v>26.1</v>
      </c>
      <c r="G1024" s="1">
        <v>0.748</v>
      </c>
      <c r="H1024" s="1">
        <v>22</v>
      </c>
      <c r="I1024" s="1">
        <v>0</v>
      </c>
      <c r="J1024" s="1" t="str">
        <f>IFERROR(VLOOKUP(K1024,[1]diabetes_Recognition!$A:$B,2,FALSE),"Not Sampled")</f>
        <v>Not Sampled</v>
      </c>
      <c r="K1024" s="1">
        <v>1022</v>
      </c>
      <c r="L1024" s="1">
        <f>LOOKUP(A1024,Sheet2!$D$4:$E$9)</f>
        <v>2</v>
      </c>
      <c r="M1024" t="str">
        <f>LOOKUP(B1024,Sheet2!$G$4:$H$9)</f>
        <v>1-99</v>
      </c>
      <c r="N1024" t="str">
        <f>LOOKUP(C1024,Sheet2!$J$4:$K$8)</f>
        <v>1-59</v>
      </c>
      <c r="O1024" t="str">
        <f>LOOKUP(D1024,Sheet2!$M$4:$N$8)</f>
        <v>10-30</v>
      </c>
      <c r="P1024" t="str">
        <f>LOOKUP(E1024,Sheet2!$P$4:$Q$9)</f>
        <v>1-99</v>
      </c>
      <c r="Q1024" t="str">
        <f>LOOKUP(F1024,Sheet2!$S$4:$T$8)</f>
        <v>26-30</v>
      </c>
      <c r="R1024" t="str">
        <f>LOOKUP(G1024,Sheet2!$V$4:$W$7)</f>
        <v>0.7+</v>
      </c>
      <c r="S1024" t="str">
        <f>LOOKUP(H1024,Sheet2!$Z$4:$AA$7)</f>
        <v>&lt;=25</v>
      </c>
      <c r="T1024" t="str">
        <f t="shared" si="45"/>
        <v>Negative</v>
      </c>
      <c r="U1024" t="str">
        <f t="shared" si="46"/>
        <v>Not Sampled</v>
      </c>
      <c r="V1024" s="1" t="str">
        <f t="shared" si="47"/>
        <v>Not Sampled</v>
      </c>
    </row>
    <row r="1025" spans="1:22" x14ac:dyDescent="0.25">
      <c r="A1025" s="1">
        <v>1</v>
      </c>
      <c r="B1025" s="1">
        <v>99</v>
      </c>
      <c r="C1025" s="1">
        <v>72</v>
      </c>
      <c r="D1025" s="1">
        <v>30</v>
      </c>
      <c r="E1025" s="1">
        <v>18</v>
      </c>
      <c r="F1025" s="1">
        <v>38.6</v>
      </c>
      <c r="G1025" s="1">
        <v>0.41199999999999998</v>
      </c>
      <c r="H1025" s="1">
        <v>21</v>
      </c>
      <c r="I1025" s="1">
        <v>0</v>
      </c>
      <c r="J1025" s="1" t="str">
        <f>IFERROR(VLOOKUP(K1025,[1]diabetes_Recognition!$A:$B,2,FALSE),"Not Sampled")</f>
        <v>Not Sampled</v>
      </c>
      <c r="K1025" s="1">
        <v>1023</v>
      </c>
      <c r="L1025" s="1">
        <f>LOOKUP(A1025,Sheet2!$D$4:$E$9)</f>
        <v>1</v>
      </c>
      <c r="M1025" t="str">
        <f>LOOKUP(B1025,Sheet2!$G$4:$H$9)</f>
        <v>1-99</v>
      </c>
      <c r="N1025" t="str">
        <f>LOOKUP(C1025,Sheet2!$J$4:$K$8)</f>
        <v>70-79</v>
      </c>
      <c r="O1025" t="str">
        <f>LOOKUP(D1025,Sheet2!$M$4:$N$8)</f>
        <v>30-39</v>
      </c>
      <c r="P1025" t="str">
        <f>LOOKUP(E1025,Sheet2!$P$4:$Q$9)</f>
        <v>1-99</v>
      </c>
      <c r="Q1025" t="str">
        <f>LOOKUP(F1025,Sheet2!$S$4:$T$8)</f>
        <v>36+</v>
      </c>
      <c r="R1025" t="str">
        <f>LOOKUP(G1025,Sheet2!$V$4:$W$7)</f>
        <v>0.4 - 0.69</v>
      </c>
      <c r="S1025" t="str">
        <f>LOOKUP(H1025,Sheet2!$Z$4:$AA$7)</f>
        <v>&lt;=25</v>
      </c>
      <c r="T1025" t="str">
        <f t="shared" si="45"/>
        <v>Negative</v>
      </c>
      <c r="U1025" t="str">
        <f t="shared" si="46"/>
        <v>Not Sampled</v>
      </c>
      <c r="V1025" s="1" t="str">
        <f t="shared" si="47"/>
        <v>Not Sampled</v>
      </c>
    </row>
    <row r="1026" spans="1:22" x14ac:dyDescent="0.25">
      <c r="A1026" s="1">
        <v>6</v>
      </c>
      <c r="B1026" s="1">
        <v>92</v>
      </c>
      <c r="C1026" s="1">
        <v>62</v>
      </c>
      <c r="D1026" s="1">
        <v>32</v>
      </c>
      <c r="E1026" s="1">
        <v>126</v>
      </c>
      <c r="F1026" s="1">
        <v>32</v>
      </c>
      <c r="G1026" s="1">
        <v>8.5000000000000006E-2</v>
      </c>
      <c r="H1026" s="1">
        <v>46</v>
      </c>
      <c r="I1026" s="1">
        <v>0</v>
      </c>
      <c r="J1026" s="1" t="str">
        <f>IFERROR(VLOOKUP(K1026,[1]diabetes_Recognition!$A:$B,2,FALSE),"Not Sampled")</f>
        <v>Not Sampled</v>
      </c>
      <c r="K1026" s="1">
        <v>1024</v>
      </c>
      <c r="L1026" s="1" t="str">
        <f>LOOKUP(A1026,Sheet2!$D$4:$E$9)</f>
        <v>5-7</v>
      </c>
      <c r="M1026" t="str">
        <f>LOOKUP(B1026,Sheet2!$G$4:$H$9)</f>
        <v>1-99</v>
      </c>
      <c r="N1026" t="str">
        <f>LOOKUP(C1026,Sheet2!$J$4:$K$8)</f>
        <v>60-69</v>
      </c>
      <c r="O1026" t="str">
        <f>LOOKUP(D1026,Sheet2!$M$4:$N$8)</f>
        <v>30-39</v>
      </c>
      <c r="P1026" t="str">
        <f>LOOKUP(E1026,Sheet2!$P$4:$Q$9)</f>
        <v>100-199</v>
      </c>
      <c r="Q1026" t="str">
        <f>LOOKUP(F1026,Sheet2!$S$4:$T$8)</f>
        <v>31-35</v>
      </c>
      <c r="R1026" t="str">
        <f>LOOKUP(G1026,Sheet2!$V$4:$W$7)</f>
        <v>0.0 - 0.249</v>
      </c>
      <c r="S1026" t="str">
        <f>LOOKUP(H1026,Sheet2!$Z$4:$AA$7)</f>
        <v>46+</v>
      </c>
      <c r="T1026" t="str">
        <f t="shared" si="45"/>
        <v>Negative</v>
      </c>
      <c r="U1026" t="str">
        <f t="shared" si="46"/>
        <v>Not Sampled</v>
      </c>
      <c r="V1026" s="1" t="str">
        <f t="shared" si="47"/>
        <v>Not Sampled</v>
      </c>
    </row>
    <row r="1027" spans="1:22" x14ac:dyDescent="0.25">
      <c r="A1027" s="1">
        <v>4</v>
      </c>
      <c r="B1027" s="1">
        <v>154</v>
      </c>
      <c r="C1027" s="1">
        <v>72</v>
      </c>
      <c r="D1027" s="1">
        <v>29</v>
      </c>
      <c r="E1027" s="1">
        <v>126</v>
      </c>
      <c r="F1027" s="1">
        <v>31.3</v>
      </c>
      <c r="G1027" s="1">
        <v>0.33800000000000002</v>
      </c>
      <c r="H1027" s="1">
        <v>37</v>
      </c>
      <c r="I1027" s="1">
        <v>0</v>
      </c>
      <c r="J1027" s="1" t="str">
        <f>IFERROR(VLOOKUP(K1027,[1]diabetes_Recognition!$A:$B,2,FALSE),"Not Sampled")</f>
        <v>Not Sampled</v>
      </c>
      <c r="K1027" s="1">
        <v>1025</v>
      </c>
      <c r="L1027" s="1" t="str">
        <f>LOOKUP(A1027,Sheet2!$D$4:$E$9)</f>
        <v>3-4</v>
      </c>
      <c r="M1027" t="str">
        <f>LOOKUP(B1027,Sheet2!$G$4:$H$9)</f>
        <v>151-175</v>
      </c>
      <c r="N1027" t="str">
        <f>LOOKUP(C1027,Sheet2!$J$4:$K$8)</f>
        <v>70-79</v>
      </c>
      <c r="O1027" t="str">
        <f>LOOKUP(D1027,Sheet2!$M$4:$N$8)</f>
        <v>10-30</v>
      </c>
      <c r="P1027" t="str">
        <f>LOOKUP(E1027,Sheet2!$P$4:$Q$9)</f>
        <v>100-199</v>
      </c>
      <c r="Q1027" t="str">
        <f>LOOKUP(F1027,Sheet2!$S$4:$T$8)</f>
        <v>31-35</v>
      </c>
      <c r="R1027" t="str">
        <f>LOOKUP(G1027,Sheet2!$V$4:$W$7)</f>
        <v>0.25 - 0.39</v>
      </c>
      <c r="S1027" t="str">
        <f>LOOKUP(H1027,Sheet2!$Z$4:$AA$7)</f>
        <v>36-45</v>
      </c>
      <c r="T1027" t="str">
        <f t="shared" ref="T1027:T1090" si="48">IF(I1027=1,"Positive","Negative")</f>
        <v>Negative</v>
      </c>
      <c r="U1027" t="str">
        <f t="shared" ref="U1027:U1090" si="49">IF(J1027=1,"Positive",(IF(J1027=0,"Negative","Not Sampled")))</f>
        <v>Not Sampled</v>
      </c>
      <c r="V1027" s="1" t="str">
        <f t="shared" ref="V1027:V1090" si="50">IF(U1027="Not Sampled","Not Sampled",IF(T1027=U1027,"Accurate Prediction","Inaccurate Prediction"))</f>
        <v>Not Sampled</v>
      </c>
    </row>
    <row r="1028" spans="1:22" x14ac:dyDescent="0.25">
      <c r="A1028" s="1">
        <v>0</v>
      </c>
      <c r="B1028" s="1">
        <v>121</v>
      </c>
      <c r="C1028" s="1">
        <v>66</v>
      </c>
      <c r="D1028" s="1">
        <v>30</v>
      </c>
      <c r="E1028" s="1">
        <v>165</v>
      </c>
      <c r="F1028" s="1">
        <v>34.299999999999997</v>
      </c>
      <c r="G1028" s="1">
        <v>0.20300000000000001</v>
      </c>
      <c r="H1028" s="1">
        <v>33</v>
      </c>
      <c r="I1028" s="1">
        <v>1</v>
      </c>
      <c r="J1028" s="1" t="str">
        <f>IFERROR(VLOOKUP(K1028,[1]diabetes_Recognition!$A:$B,2,FALSE),"Not Sampled")</f>
        <v>Not Sampled</v>
      </c>
      <c r="K1028" s="1">
        <v>1026</v>
      </c>
      <c r="L1028" s="1">
        <f>LOOKUP(A1028,Sheet2!$D$4:$E$9)</f>
        <v>0</v>
      </c>
      <c r="M1028" t="str">
        <f>LOOKUP(B1028,Sheet2!$G$4:$H$9)</f>
        <v>100-125</v>
      </c>
      <c r="N1028" t="str">
        <f>LOOKUP(C1028,Sheet2!$J$4:$K$8)</f>
        <v>60-69</v>
      </c>
      <c r="O1028" t="str">
        <f>LOOKUP(D1028,Sheet2!$M$4:$N$8)</f>
        <v>30-39</v>
      </c>
      <c r="P1028" t="str">
        <f>LOOKUP(E1028,Sheet2!$P$4:$Q$9)</f>
        <v>100-199</v>
      </c>
      <c r="Q1028" t="str">
        <f>LOOKUP(F1028,Sheet2!$S$4:$T$8)</f>
        <v>31-35</v>
      </c>
      <c r="R1028" t="str">
        <f>LOOKUP(G1028,Sheet2!$V$4:$W$7)</f>
        <v>0.0 - 0.249</v>
      </c>
      <c r="S1028" t="str">
        <f>LOOKUP(H1028,Sheet2!$Z$4:$AA$7)</f>
        <v>26-35</v>
      </c>
      <c r="T1028" t="str">
        <f t="shared" si="48"/>
        <v>Positive</v>
      </c>
      <c r="U1028" t="str">
        <f t="shared" si="49"/>
        <v>Not Sampled</v>
      </c>
      <c r="V1028" s="1" t="str">
        <f t="shared" si="50"/>
        <v>Not Sampled</v>
      </c>
    </row>
    <row r="1029" spans="1:22" x14ac:dyDescent="0.25">
      <c r="A1029" s="1">
        <v>3</v>
      </c>
      <c r="B1029" s="1">
        <v>78</v>
      </c>
      <c r="C1029" s="1">
        <v>70</v>
      </c>
      <c r="D1029" s="1">
        <v>0</v>
      </c>
      <c r="E1029" s="1">
        <v>0</v>
      </c>
      <c r="F1029" s="1">
        <v>32.5</v>
      </c>
      <c r="G1029" s="1">
        <v>0.27</v>
      </c>
      <c r="H1029" s="1">
        <v>39</v>
      </c>
      <c r="I1029" s="1">
        <v>0</v>
      </c>
      <c r="J1029" s="1">
        <f>IFERROR(VLOOKUP(K1029,[1]diabetes_Recognition!$A:$B,2,FALSE),"Not Sampled")</f>
        <v>0</v>
      </c>
      <c r="K1029" s="1">
        <v>1027</v>
      </c>
      <c r="L1029" s="1" t="str">
        <f>LOOKUP(A1029,Sheet2!$D$4:$E$9)</f>
        <v>3-4</v>
      </c>
      <c r="M1029" t="str">
        <f>LOOKUP(B1029,Sheet2!$G$4:$H$9)</f>
        <v>1-99</v>
      </c>
      <c r="N1029" t="str">
        <f>LOOKUP(C1029,Sheet2!$J$4:$K$8)</f>
        <v>70-79</v>
      </c>
      <c r="O1029" t="str">
        <f>LOOKUP(D1029,Sheet2!$M$4:$N$8)</f>
        <v>Unknown</v>
      </c>
      <c r="P1029" t="str">
        <f>LOOKUP(E1029,Sheet2!$P$4:$Q$9)</f>
        <v>Unknown</v>
      </c>
      <c r="Q1029" t="str">
        <f>LOOKUP(F1029,Sheet2!$S$4:$T$8)</f>
        <v>31-35</v>
      </c>
      <c r="R1029" t="str">
        <f>LOOKUP(G1029,Sheet2!$V$4:$W$7)</f>
        <v>0.25 - 0.39</v>
      </c>
      <c r="S1029" t="str">
        <f>LOOKUP(H1029,Sheet2!$Z$4:$AA$7)</f>
        <v>36-45</v>
      </c>
      <c r="T1029" t="str">
        <f t="shared" si="48"/>
        <v>Negative</v>
      </c>
      <c r="U1029" t="str">
        <f t="shared" si="49"/>
        <v>Negative</v>
      </c>
      <c r="V1029" s="1" t="str">
        <f t="shared" si="50"/>
        <v>Accurate Prediction</v>
      </c>
    </row>
    <row r="1030" spans="1:22" x14ac:dyDescent="0.25">
      <c r="A1030" s="1">
        <v>2</v>
      </c>
      <c r="B1030" s="1">
        <v>130</v>
      </c>
      <c r="C1030" s="1">
        <v>96</v>
      </c>
      <c r="D1030" s="1">
        <v>0</v>
      </c>
      <c r="E1030" s="1">
        <v>0</v>
      </c>
      <c r="F1030" s="1">
        <v>22.6</v>
      </c>
      <c r="G1030" s="1">
        <v>0.26800000000000002</v>
      </c>
      <c r="H1030" s="1">
        <v>21</v>
      </c>
      <c r="I1030" s="1">
        <v>0</v>
      </c>
      <c r="J1030" s="1">
        <f>IFERROR(VLOOKUP(K1030,[1]diabetes_Recognition!$A:$B,2,FALSE),"Not Sampled")</f>
        <v>0</v>
      </c>
      <c r="K1030" s="1">
        <v>1028</v>
      </c>
      <c r="L1030" s="1">
        <f>LOOKUP(A1030,Sheet2!$D$4:$E$9)</f>
        <v>2</v>
      </c>
      <c r="M1030" t="str">
        <f>LOOKUP(B1030,Sheet2!$G$4:$H$9)</f>
        <v>126-150</v>
      </c>
      <c r="N1030" t="str">
        <f>LOOKUP(C1030,Sheet2!$J$4:$K$8)</f>
        <v>80+</v>
      </c>
      <c r="O1030" t="str">
        <f>LOOKUP(D1030,Sheet2!$M$4:$N$8)</f>
        <v>Unknown</v>
      </c>
      <c r="P1030" t="str">
        <f>LOOKUP(E1030,Sheet2!$P$4:$Q$9)</f>
        <v>Unknown</v>
      </c>
      <c r="Q1030" t="str">
        <f>LOOKUP(F1030,Sheet2!$S$4:$T$8)</f>
        <v>1-25</v>
      </c>
      <c r="R1030" t="str">
        <f>LOOKUP(G1030,Sheet2!$V$4:$W$7)</f>
        <v>0.25 - 0.39</v>
      </c>
      <c r="S1030" t="str">
        <f>LOOKUP(H1030,Sheet2!$Z$4:$AA$7)</f>
        <v>&lt;=25</v>
      </c>
      <c r="T1030" t="str">
        <f t="shared" si="48"/>
        <v>Negative</v>
      </c>
      <c r="U1030" t="str">
        <f t="shared" si="49"/>
        <v>Negative</v>
      </c>
      <c r="V1030" s="1" t="str">
        <f t="shared" si="50"/>
        <v>Accurate Prediction</v>
      </c>
    </row>
    <row r="1031" spans="1:22" x14ac:dyDescent="0.25">
      <c r="A1031" s="1">
        <v>3</v>
      </c>
      <c r="B1031" s="1">
        <v>111</v>
      </c>
      <c r="C1031" s="1">
        <v>58</v>
      </c>
      <c r="D1031" s="1">
        <v>31</v>
      </c>
      <c r="E1031" s="1">
        <v>44</v>
      </c>
      <c r="F1031" s="1">
        <v>29.5</v>
      </c>
      <c r="G1031" s="1">
        <v>0.43</v>
      </c>
      <c r="H1031" s="1">
        <v>22</v>
      </c>
      <c r="I1031" s="1">
        <v>0</v>
      </c>
      <c r="J1031" s="1" t="str">
        <f>IFERROR(VLOOKUP(K1031,[1]diabetes_Recognition!$A:$B,2,FALSE),"Not Sampled")</f>
        <v>Not Sampled</v>
      </c>
      <c r="K1031" s="1">
        <v>1029</v>
      </c>
      <c r="L1031" s="1" t="str">
        <f>LOOKUP(A1031,Sheet2!$D$4:$E$9)</f>
        <v>3-4</v>
      </c>
      <c r="M1031" t="str">
        <f>LOOKUP(B1031,Sheet2!$G$4:$H$9)</f>
        <v>100-125</v>
      </c>
      <c r="N1031" t="str">
        <f>LOOKUP(C1031,Sheet2!$J$4:$K$8)</f>
        <v>1-59</v>
      </c>
      <c r="O1031" t="str">
        <f>LOOKUP(D1031,Sheet2!$M$4:$N$8)</f>
        <v>30-39</v>
      </c>
      <c r="P1031" t="str">
        <f>LOOKUP(E1031,Sheet2!$P$4:$Q$9)</f>
        <v>1-99</v>
      </c>
      <c r="Q1031" t="str">
        <f>LOOKUP(F1031,Sheet2!$S$4:$T$8)</f>
        <v>26-30</v>
      </c>
      <c r="R1031" t="str">
        <f>LOOKUP(G1031,Sheet2!$V$4:$W$7)</f>
        <v>0.4 - 0.69</v>
      </c>
      <c r="S1031" t="str">
        <f>LOOKUP(H1031,Sheet2!$Z$4:$AA$7)</f>
        <v>&lt;=25</v>
      </c>
      <c r="T1031" t="str">
        <f t="shared" si="48"/>
        <v>Negative</v>
      </c>
      <c r="U1031" t="str">
        <f t="shared" si="49"/>
        <v>Not Sampled</v>
      </c>
      <c r="V1031" s="1" t="str">
        <f t="shared" si="50"/>
        <v>Not Sampled</v>
      </c>
    </row>
    <row r="1032" spans="1:22" x14ac:dyDescent="0.25">
      <c r="A1032" s="1">
        <v>2</v>
      </c>
      <c r="B1032" s="1">
        <v>98</v>
      </c>
      <c r="C1032" s="1">
        <v>60</v>
      </c>
      <c r="D1032" s="1">
        <v>17</v>
      </c>
      <c r="E1032" s="1">
        <v>120</v>
      </c>
      <c r="F1032" s="1">
        <v>34.700000000000003</v>
      </c>
      <c r="G1032" s="1">
        <v>0.19800000000000001</v>
      </c>
      <c r="H1032" s="1">
        <v>22</v>
      </c>
      <c r="I1032" s="1">
        <v>0</v>
      </c>
      <c r="J1032" s="1" t="str">
        <f>IFERROR(VLOOKUP(K1032,[1]diabetes_Recognition!$A:$B,2,FALSE),"Not Sampled")</f>
        <v>Not Sampled</v>
      </c>
      <c r="K1032" s="1">
        <v>1030</v>
      </c>
      <c r="L1032" s="1">
        <f>LOOKUP(A1032,Sheet2!$D$4:$E$9)</f>
        <v>2</v>
      </c>
      <c r="M1032" t="str">
        <f>LOOKUP(B1032,Sheet2!$G$4:$H$9)</f>
        <v>1-99</v>
      </c>
      <c r="N1032" t="str">
        <f>LOOKUP(C1032,Sheet2!$J$4:$K$8)</f>
        <v>60-69</v>
      </c>
      <c r="O1032" t="str">
        <f>LOOKUP(D1032,Sheet2!$M$4:$N$8)</f>
        <v>10-30</v>
      </c>
      <c r="P1032" t="str">
        <f>LOOKUP(E1032,Sheet2!$P$4:$Q$9)</f>
        <v>100-199</v>
      </c>
      <c r="Q1032" t="str">
        <f>LOOKUP(F1032,Sheet2!$S$4:$T$8)</f>
        <v>31-35</v>
      </c>
      <c r="R1032" t="str">
        <f>LOOKUP(G1032,Sheet2!$V$4:$W$7)</f>
        <v>0.0 - 0.249</v>
      </c>
      <c r="S1032" t="str">
        <f>LOOKUP(H1032,Sheet2!$Z$4:$AA$7)</f>
        <v>&lt;=25</v>
      </c>
      <c r="T1032" t="str">
        <f t="shared" si="48"/>
        <v>Negative</v>
      </c>
      <c r="U1032" t="str">
        <f t="shared" si="49"/>
        <v>Not Sampled</v>
      </c>
      <c r="V1032" s="1" t="str">
        <f t="shared" si="50"/>
        <v>Not Sampled</v>
      </c>
    </row>
    <row r="1033" spans="1:22" x14ac:dyDescent="0.25">
      <c r="A1033" s="1">
        <v>1</v>
      </c>
      <c r="B1033" s="1">
        <v>143</v>
      </c>
      <c r="C1033" s="1">
        <v>86</v>
      </c>
      <c r="D1033" s="1">
        <v>30</v>
      </c>
      <c r="E1033" s="1">
        <v>330</v>
      </c>
      <c r="F1033" s="1">
        <v>30.1</v>
      </c>
      <c r="G1033" s="1">
        <v>0.89200000000000002</v>
      </c>
      <c r="H1033" s="1">
        <v>23</v>
      </c>
      <c r="I1033" s="1">
        <v>0</v>
      </c>
      <c r="J1033" s="1" t="str">
        <f>IFERROR(VLOOKUP(K1033,[1]diabetes_Recognition!$A:$B,2,FALSE),"Not Sampled")</f>
        <v>Not Sampled</v>
      </c>
      <c r="K1033" s="1">
        <v>1031</v>
      </c>
      <c r="L1033" s="1">
        <f>LOOKUP(A1033,Sheet2!$D$4:$E$9)</f>
        <v>1</v>
      </c>
      <c r="M1033" t="str">
        <f>LOOKUP(B1033,Sheet2!$G$4:$H$9)</f>
        <v>126-150</v>
      </c>
      <c r="N1033" t="str">
        <f>LOOKUP(C1033,Sheet2!$J$4:$K$8)</f>
        <v>80+</v>
      </c>
      <c r="O1033" t="str">
        <f>LOOKUP(D1033,Sheet2!$M$4:$N$8)</f>
        <v>30-39</v>
      </c>
      <c r="P1033" t="str">
        <f>LOOKUP(E1033,Sheet2!$P$4:$Q$9)</f>
        <v>300-499</v>
      </c>
      <c r="Q1033" t="str">
        <f>LOOKUP(F1033,Sheet2!$S$4:$T$8)</f>
        <v>26-30</v>
      </c>
      <c r="R1033" t="str">
        <f>LOOKUP(G1033,Sheet2!$V$4:$W$7)</f>
        <v>0.7+</v>
      </c>
      <c r="S1033" t="str">
        <f>LOOKUP(H1033,Sheet2!$Z$4:$AA$7)</f>
        <v>&lt;=25</v>
      </c>
      <c r="T1033" t="str">
        <f t="shared" si="48"/>
        <v>Negative</v>
      </c>
      <c r="U1033" t="str">
        <f t="shared" si="49"/>
        <v>Not Sampled</v>
      </c>
      <c r="V1033" s="1" t="str">
        <f t="shared" si="50"/>
        <v>Not Sampled</v>
      </c>
    </row>
    <row r="1034" spans="1:22" x14ac:dyDescent="0.25">
      <c r="A1034" s="1">
        <v>1</v>
      </c>
      <c r="B1034" s="1">
        <v>119</v>
      </c>
      <c r="C1034" s="1">
        <v>44</v>
      </c>
      <c r="D1034" s="1">
        <v>47</v>
      </c>
      <c r="E1034" s="1">
        <v>63</v>
      </c>
      <c r="F1034" s="1">
        <v>35.5</v>
      </c>
      <c r="G1034" s="1">
        <v>0.28000000000000003</v>
      </c>
      <c r="H1034" s="1">
        <v>25</v>
      </c>
      <c r="I1034" s="1">
        <v>0</v>
      </c>
      <c r="J1034" s="1" t="str">
        <f>IFERROR(VLOOKUP(K1034,[1]diabetes_Recognition!$A:$B,2,FALSE),"Not Sampled")</f>
        <v>Not Sampled</v>
      </c>
      <c r="K1034" s="1">
        <v>1032</v>
      </c>
      <c r="L1034" s="1">
        <f>LOOKUP(A1034,Sheet2!$D$4:$E$9)</f>
        <v>1</v>
      </c>
      <c r="M1034" t="str">
        <f>LOOKUP(B1034,Sheet2!$G$4:$H$9)</f>
        <v>100-125</v>
      </c>
      <c r="N1034" t="str">
        <f>LOOKUP(C1034,Sheet2!$J$4:$K$8)</f>
        <v>1-59</v>
      </c>
      <c r="O1034" t="str">
        <f>LOOKUP(D1034,Sheet2!$M$4:$N$8)</f>
        <v>40+</v>
      </c>
      <c r="P1034" t="str">
        <f>LOOKUP(E1034,Sheet2!$P$4:$Q$9)</f>
        <v>1-99</v>
      </c>
      <c r="Q1034" t="str">
        <f>LOOKUP(F1034,Sheet2!$S$4:$T$8)</f>
        <v>31-35</v>
      </c>
      <c r="R1034" t="str">
        <f>LOOKUP(G1034,Sheet2!$V$4:$W$7)</f>
        <v>0.25 - 0.39</v>
      </c>
      <c r="S1034" t="str">
        <f>LOOKUP(H1034,Sheet2!$Z$4:$AA$7)</f>
        <v>&lt;=25</v>
      </c>
      <c r="T1034" t="str">
        <f t="shared" si="48"/>
        <v>Negative</v>
      </c>
      <c r="U1034" t="str">
        <f t="shared" si="49"/>
        <v>Not Sampled</v>
      </c>
      <c r="V1034" s="1" t="str">
        <f t="shared" si="50"/>
        <v>Not Sampled</v>
      </c>
    </row>
    <row r="1035" spans="1:22" x14ac:dyDescent="0.25">
      <c r="A1035" s="1">
        <v>6</v>
      </c>
      <c r="B1035" s="1">
        <v>108</v>
      </c>
      <c r="C1035" s="1">
        <v>44</v>
      </c>
      <c r="D1035" s="1">
        <v>20</v>
      </c>
      <c r="E1035" s="1">
        <v>130</v>
      </c>
      <c r="F1035" s="1">
        <v>24</v>
      </c>
      <c r="G1035" s="1">
        <v>0.81299999999999994</v>
      </c>
      <c r="H1035" s="1">
        <v>35</v>
      </c>
      <c r="I1035" s="1">
        <v>0</v>
      </c>
      <c r="J1035" s="1" t="str">
        <f>IFERROR(VLOOKUP(K1035,[1]diabetes_Recognition!$A:$B,2,FALSE),"Not Sampled")</f>
        <v>Not Sampled</v>
      </c>
      <c r="K1035" s="1">
        <v>1033</v>
      </c>
      <c r="L1035" s="1" t="str">
        <f>LOOKUP(A1035,Sheet2!$D$4:$E$9)</f>
        <v>5-7</v>
      </c>
      <c r="M1035" t="str">
        <f>LOOKUP(B1035,Sheet2!$G$4:$H$9)</f>
        <v>100-125</v>
      </c>
      <c r="N1035" t="str">
        <f>LOOKUP(C1035,Sheet2!$J$4:$K$8)</f>
        <v>1-59</v>
      </c>
      <c r="O1035" t="str">
        <f>LOOKUP(D1035,Sheet2!$M$4:$N$8)</f>
        <v>10-30</v>
      </c>
      <c r="P1035" t="str">
        <f>LOOKUP(E1035,Sheet2!$P$4:$Q$9)</f>
        <v>100-199</v>
      </c>
      <c r="Q1035" t="str">
        <f>LOOKUP(F1035,Sheet2!$S$4:$T$8)</f>
        <v>1-25</v>
      </c>
      <c r="R1035" t="str">
        <f>LOOKUP(G1035,Sheet2!$V$4:$W$7)</f>
        <v>0.7+</v>
      </c>
      <c r="S1035" t="str">
        <f>LOOKUP(H1035,Sheet2!$Z$4:$AA$7)</f>
        <v>26-35</v>
      </c>
      <c r="T1035" t="str">
        <f t="shared" si="48"/>
        <v>Negative</v>
      </c>
      <c r="U1035" t="str">
        <f t="shared" si="49"/>
        <v>Not Sampled</v>
      </c>
      <c r="V1035" s="1" t="str">
        <f t="shared" si="50"/>
        <v>Not Sampled</v>
      </c>
    </row>
    <row r="1036" spans="1:22" x14ac:dyDescent="0.25">
      <c r="A1036" s="1">
        <v>2</v>
      </c>
      <c r="B1036" s="1">
        <v>118</v>
      </c>
      <c r="C1036" s="1">
        <v>80</v>
      </c>
      <c r="D1036" s="1">
        <v>0</v>
      </c>
      <c r="E1036" s="1">
        <v>0</v>
      </c>
      <c r="F1036" s="1">
        <v>42.9</v>
      </c>
      <c r="G1036" s="1">
        <v>0.69299999999999995</v>
      </c>
      <c r="H1036" s="1">
        <v>21</v>
      </c>
      <c r="I1036" s="1">
        <v>1</v>
      </c>
      <c r="J1036" s="1" t="str">
        <f>IFERROR(VLOOKUP(K1036,[1]diabetes_Recognition!$A:$B,2,FALSE),"Not Sampled")</f>
        <v>Not Sampled</v>
      </c>
      <c r="K1036" s="1">
        <v>1034</v>
      </c>
      <c r="L1036" s="1">
        <f>LOOKUP(A1036,Sheet2!$D$4:$E$9)</f>
        <v>2</v>
      </c>
      <c r="M1036" t="str">
        <f>LOOKUP(B1036,Sheet2!$G$4:$H$9)</f>
        <v>100-125</v>
      </c>
      <c r="N1036" t="str">
        <f>LOOKUP(C1036,Sheet2!$J$4:$K$8)</f>
        <v>80+</v>
      </c>
      <c r="O1036" t="str">
        <f>LOOKUP(D1036,Sheet2!$M$4:$N$8)</f>
        <v>Unknown</v>
      </c>
      <c r="P1036" t="str">
        <f>LOOKUP(E1036,Sheet2!$P$4:$Q$9)</f>
        <v>Unknown</v>
      </c>
      <c r="Q1036" t="str">
        <f>LOOKUP(F1036,Sheet2!$S$4:$T$8)</f>
        <v>36+</v>
      </c>
      <c r="R1036" t="str">
        <f>LOOKUP(G1036,Sheet2!$V$4:$W$7)</f>
        <v>0.4 - 0.69</v>
      </c>
      <c r="S1036" t="str">
        <f>LOOKUP(H1036,Sheet2!$Z$4:$AA$7)</f>
        <v>&lt;=25</v>
      </c>
      <c r="T1036" t="str">
        <f t="shared" si="48"/>
        <v>Positive</v>
      </c>
      <c r="U1036" t="str">
        <f t="shared" si="49"/>
        <v>Not Sampled</v>
      </c>
      <c r="V1036" s="1" t="str">
        <f t="shared" si="50"/>
        <v>Not Sampled</v>
      </c>
    </row>
    <row r="1037" spans="1:22" x14ac:dyDescent="0.25">
      <c r="A1037" s="1">
        <v>10</v>
      </c>
      <c r="B1037" s="1">
        <v>133</v>
      </c>
      <c r="C1037" s="1">
        <v>68</v>
      </c>
      <c r="D1037" s="1">
        <v>0</v>
      </c>
      <c r="E1037" s="1">
        <v>0</v>
      </c>
      <c r="F1037" s="1">
        <v>27</v>
      </c>
      <c r="G1037" s="1">
        <v>0.245</v>
      </c>
      <c r="H1037" s="1">
        <v>36</v>
      </c>
      <c r="I1037" s="1">
        <v>0</v>
      </c>
      <c r="J1037" s="1" t="str">
        <f>IFERROR(VLOOKUP(K1037,[1]diabetes_Recognition!$A:$B,2,FALSE),"Not Sampled")</f>
        <v>Not Sampled</v>
      </c>
      <c r="K1037" s="1">
        <v>1035</v>
      </c>
      <c r="L1037" s="1" t="str">
        <f>LOOKUP(A1037,Sheet2!$D$4:$E$9)</f>
        <v>8+</v>
      </c>
      <c r="M1037" t="str">
        <f>LOOKUP(B1037,Sheet2!$G$4:$H$9)</f>
        <v>126-150</v>
      </c>
      <c r="N1037" t="str">
        <f>LOOKUP(C1037,Sheet2!$J$4:$K$8)</f>
        <v>60-69</v>
      </c>
      <c r="O1037" t="str">
        <f>LOOKUP(D1037,Sheet2!$M$4:$N$8)</f>
        <v>Unknown</v>
      </c>
      <c r="P1037" t="str">
        <f>LOOKUP(E1037,Sheet2!$P$4:$Q$9)</f>
        <v>Unknown</v>
      </c>
      <c r="Q1037" t="str">
        <f>LOOKUP(F1037,Sheet2!$S$4:$T$8)</f>
        <v>26-30</v>
      </c>
      <c r="R1037" t="str">
        <f>LOOKUP(G1037,Sheet2!$V$4:$W$7)</f>
        <v>0.0 - 0.249</v>
      </c>
      <c r="S1037" t="str">
        <f>LOOKUP(H1037,Sheet2!$Z$4:$AA$7)</f>
        <v>36-45</v>
      </c>
      <c r="T1037" t="str">
        <f t="shared" si="48"/>
        <v>Negative</v>
      </c>
      <c r="U1037" t="str">
        <f t="shared" si="49"/>
        <v>Not Sampled</v>
      </c>
      <c r="V1037" s="1" t="str">
        <f t="shared" si="50"/>
        <v>Not Sampled</v>
      </c>
    </row>
    <row r="1038" spans="1:22" x14ac:dyDescent="0.25">
      <c r="A1038" s="1">
        <v>2</v>
      </c>
      <c r="B1038" s="1">
        <v>197</v>
      </c>
      <c r="C1038" s="1">
        <v>70</v>
      </c>
      <c r="D1038" s="1">
        <v>99</v>
      </c>
      <c r="E1038" s="1">
        <v>0</v>
      </c>
      <c r="F1038" s="1">
        <v>34.700000000000003</v>
      </c>
      <c r="G1038" s="1">
        <v>0.57499999999999996</v>
      </c>
      <c r="H1038" s="1">
        <v>62</v>
      </c>
      <c r="I1038" s="1">
        <v>1</v>
      </c>
      <c r="J1038" s="1" t="str">
        <f>IFERROR(VLOOKUP(K1038,[1]diabetes_Recognition!$A:$B,2,FALSE),"Not Sampled")</f>
        <v>Not Sampled</v>
      </c>
      <c r="K1038" s="1">
        <v>1036</v>
      </c>
      <c r="L1038" s="1">
        <f>LOOKUP(A1038,Sheet2!$D$4:$E$9)</f>
        <v>2</v>
      </c>
      <c r="M1038" t="str">
        <f>LOOKUP(B1038,Sheet2!$G$4:$H$9)</f>
        <v>176-200</v>
      </c>
      <c r="N1038" t="str">
        <f>LOOKUP(C1038,Sheet2!$J$4:$K$8)</f>
        <v>70-79</v>
      </c>
      <c r="O1038" t="str">
        <f>LOOKUP(D1038,Sheet2!$M$4:$N$8)</f>
        <v>40+</v>
      </c>
      <c r="P1038" t="str">
        <f>LOOKUP(E1038,Sheet2!$P$4:$Q$9)</f>
        <v>Unknown</v>
      </c>
      <c r="Q1038" t="str">
        <f>LOOKUP(F1038,Sheet2!$S$4:$T$8)</f>
        <v>31-35</v>
      </c>
      <c r="R1038" t="str">
        <f>LOOKUP(G1038,Sheet2!$V$4:$W$7)</f>
        <v>0.4 - 0.69</v>
      </c>
      <c r="S1038" t="str">
        <f>LOOKUP(H1038,Sheet2!$Z$4:$AA$7)</f>
        <v>46+</v>
      </c>
      <c r="T1038" t="str">
        <f t="shared" si="48"/>
        <v>Positive</v>
      </c>
      <c r="U1038" t="str">
        <f t="shared" si="49"/>
        <v>Not Sampled</v>
      </c>
      <c r="V1038" s="1" t="str">
        <f t="shared" si="50"/>
        <v>Not Sampled</v>
      </c>
    </row>
    <row r="1039" spans="1:22" x14ac:dyDescent="0.25">
      <c r="A1039" s="1">
        <v>0</v>
      </c>
      <c r="B1039" s="1">
        <v>151</v>
      </c>
      <c r="C1039" s="1">
        <v>90</v>
      </c>
      <c r="D1039" s="1">
        <v>46</v>
      </c>
      <c r="E1039" s="1">
        <v>0</v>
      </c>
      <c r="F1039" s="1">
        <v>42.1</v>
      </c>
      <c r="G1039" s="1">
        <v>0.371</v>
      </c>
      <c r="H1039" s="1">
        <v>21</v>
      </c>
      <c r="I1039" s="1">
        <v>1</v>
      </c>
      <c r="J1039" s="1" t="str">
        <f>IFERROR(VLOOKUP(K1039,[1]diabetes_Recognition!$A:$B,2,FALSE),"Not Sampled")</f>
        <v>Not Sampled</v>
      </c>
      <c r="K1039" s="1">
        <v>1037</v>
      </c>
      <c r="L1039" s="1">
        <f>LOOKUP(A1039,Sheet2!$D$4:$E$9)</f>
        <v>0</v>
      </c>
      <c r="M1039" t="str">
        <f>LOOKUP(B1039,Sheet2!$G$4:$H$9)</f>
        <v>151-175</v>
      </c>
      <c r="N1039" t="str">
        <f>LOOKUP(C1039,Sheet2!$J$4:$K$8)</f>
        <v>80+</v>
      </c>
      <c r="O1039" t="str">
        <f>LOOKUP(D1039,Sheet2!$M$4:$N$8)</f>
        <v>40+</v>
      </c>
      <c r="P1039" t="str">
        <f>LOOKUP(E1039,Sheet2!$P$4:$Q$9)</f>
        <v>Unknown</v>
      </c>
      <c r="Q1039" t="str">
        <f>LOOKUP(F1039,Sheet2!$S$4:$T$8)</f>
        <v>36+</v>
      </c>
      <c r="R1039" t="str">
        <f>LOOKUP(G1039,Sheet2!$V$4:$W$7)</f>
        <v>0.25 - 0.39</v>
      </c>
      <c r="S1039" t="str">
        <f>LOOKUP(H1039,Sheet2!$Z$4:$AA$7)</f>
        <v>&lt;=25</v>
      </c>
      <c r="T1039" t="str">
        <f t="shared" si="48"/>
        <v>Positive</v>
      </c>
      <c r="U1039" t="str">
        <f t="shared" si="49"/>
        <v>Not Sampled</v>
      </c>
      <c r="V1039" s="1" t="str">
        <f t="shared" si="50"/>
        <v>Not Sampled</v>
      </c>
    </row>
    <row r="1040" spans="1:22" x14ac:dyDescent="0.25">
      <c r="A1040" s="1">
        <v>6</v>
      </c>
      <c r="B1040" s="1">
        <v>109</v>
      </c>
      <c r="C1040" s="1">
        <v>60</v>
      </c>
      <c r="D1040" s="1">
        <v>27</v>
      </c>
      <c r="E1040" s="1">
        <v>0</v>
      </c>
      <c r="F1040" s="1">
        <v>25</v>
      </c>
      <c r="G1040" s="1">
        <v>0.20599999999999999</v>
      </c>
      <c r="H1040" s="1">
        <v>27</v>
      </c>
      <c r="I1040" s="1">
        <v>0</v>
      </c>
      <c r="J1040" s="1">
        <f>IFERROR(VLOOKUP(K1040,[1]diabetes_Recognition!$A:$B,2,FALSE),"Not Sampled")</f>
        <v>0</v>
      </c>
      <c r="K1040" s="1">
        <v>1038</v>
      </c>
      <c r="L1040" s="1" t="str">
        <f>LOOKUP(A1040,Sheet2!$D$4:$E$9)</f>
        <v>5-7</v>
      </c>
      <c r="M1040" t="str">
        <f>LOOKUP(B1040,Sheet2!$G$4:$H$9)</f>
        <v>100-125</v>
      </c>
      <c r="N1040" t="str">
        <f>LOOKUP(C1040,Sheet2!$J$4:$K$8)</f>
        <v>60-69</v>
      </c>
      <c r="O1040" t="str">
        <f>LOOKUP(D1040,Sheet2!$M$4:$N$8)</f>
        <v>10-30</v>
      </c>
      <c r="P1040" t="str">
        <f>LOOKUP(E1040,Sheet2!$P$4:$Q$9)</f>
        <v>Unknown</v>
      </c>
      <c r="Q1040" t="str">
        <f>LOOKUP(F1040,Sheet2!$S$4:$T$8)</f>
        <v>1-25</v>
      </c>
      <c r="R1040" t="str">
        <f>LOOKUP(G1040,Sheet2!$V$4:$W$7)</f>
        <v>0.0 - 0.249</v>
      </c>
      <c r="S1040" t="str">
        <f>LOOKUP(H1040,Sheet2!$Z$4:$AA$7)</f>
        <v>26-35</v>
      </c>
      <c r="T1040" t="str">
        <f t="shared" si="48"/>
        <v>Negative</v>
      </c>
      <c r="U1040" t="str">
        <f t="shared" si="49"/>
        <v>Negative</v>
      </c>
      <c r="V1040" s="1" t="str">
        <f t="shared" si="50"/>
        <v>Accurate Prediction</v>
      </c>
    </row>
    <row r="1041" spans="1:22" x14ac:dyDescent="0.25">
      <c r="A1041" s="1">
        <v>12</v>
      </c>
      <c r="B1041" s="1">
        <v>121</v>
      </c>
      <c r="C1041" s="1">
        <v>78</v>
      </c>
      <c r="D1041" s="1">
        <v>17</v>
      </c>
      <c r="E1041" s="1">
        <v>0</v>
      </c>
      <c r="F1041" s="1">
        <v>26.5</v>
      </c>
      <c r="G1041" s="1">
        <v>0.25900000000000001</v>
      </c>
      <c r="H1041" s="1">
        <v>62</v>
      </c>
      <c r="I1041" s="1">
        <v>0</v>
      </c>
      <c r="J1041" s="1" t="str">
        <f>IFERROR(VLOOKUP(K1041,[1]diabetes_Recognition!$A:$B,2,FALSE),"Not Sampled")</f>
        <v>Not Sampled</v>
      </c>
      <c r="K1041" s="1">
        <v>1039</v>
      </c>
      <c r="L1041" s="1" t="str">
        <f>LOOKUP(A1041,Sheet2!$D$4:$E$9)</f>
        <v>8+</v>
      </c>
      <c r="M1041" t="str">
        <f>LOOKUP(B1041,Sheet2!$G$4:$H$9)</f>
        <v>100-125</v>
      </c>
      <c r="N1041" t="str">
        <f>LOOKUP(C1041,Sheet2!$J$4:$K$8)</f>
        <v>70-79</v>
      </c>
      <c r="O1041" t="str">
        <f>LOOKUP(D1041,Sheet2!$M$4:$N$8)</f>
        <v>10-30</v>
      </c>
      <c r="P1041" t="str">
        <f>LOOKUP(E1041,Sheet2!$P$4:$Q$9)</f>
        <v>Unknown</v>
      </c>
      <c r="Q1041" t="str">
        <f>LOOKUP(F1041,Sheet2!$S$4:$T$8)</f>
        <v>26-30</v>
      </c>
      <c r="R1041" t="str">
        <f>LOOKUP(G1041,Sheet2!$V$4:$W$7)</f>
        <v>0.25 - 0.39</v>
      </c>
      <c r="S1041" t="str">
        <f>LOOKUP(H1041,Sheet2!$Z$4:$AA$7)</f>
        <v>46+</v>
      </c>
      <c r="T1041" t="str">
        <f t="shared" si="48"/>
        <v>Negative</v>
      </c>
      <c r="U1041" t="str">
        <f t="shared" si="49"/>
        <v>Not Sampled</v>
      </c>
      <c r="V1041" s="1" t="str">
        <f t="shared" si="50"/>
        <v>Not Sampled</v>
      </c>
    </row>
    <row r="1042" spans="1:22" x14ac:dyDescent="0.25">
      <c r="A1042" s="1">
        <v>8</v>
      </c>
      <c r="B1042" s="1">
        <v>100</v>
      </c>
      <c r="C1042" s="1">
        <v>76</v>
      </c>
      <c r="D1042" s="1">
        <v>0</v>
      </c>
      <c r="E1042" s="1">
        <v>0</v>
      </c>
      <c r="F1042" s="1">
        <v>38.700000000000003</v>
      </c>
      <c r="G1042" s="1">
        <v>0.19</v>
      </c>
      <c r="H1042" s="1">
        <v>42</v>
      </c>
      <c r="I1042" s="1">
        <v>0</v>
      </c>
      <c r="J1042" s="1" t="str">
        <f>IFERROR(VLOOKUP(K1042,[1]diabetes_Recognition!$A:$B,2,FALSE),"Not Sampled")</f>
        <v>Not Sampled</v>
      </c>
      <c r="K1042" s="1">
        <v>1040</v>
      </c>
      <c r="L1042" s="1" t="str">
        <f>LOOKUP(A1042,Sheet2!$D$4:$E$9)</f>
        <v>8+</v>
      </c>
      <c r="M1042" t="str">
        <f>LOOKUP(B1042,Sheet2!$G$4:$H$9)</f>
        <v>100-125</v>
      </c>
      <c r="N1042" t="str">
        <f>LOOKUP(C1042,Sheet2!$J$4:$K$8)</f>
        <v>70-79</v>
      </c>
      <c r="O1042" t="str">
        <f>LOOKUP(D1042,Sheet2!$M$4:$N$8)</f>
        <v>Unknown</v>
      </c>
      <c r="P1042" t="str">
        <f>LOOKUP(E1042,Sheet2!$P$4:$Q$9)</f>
        <v>Unknown</v>
      </c>
      <c r="Q1042" t="str">
        <f>LOOKUP(F1042,Sheet2!$S$4:$T$8)</f>
        <v>36+</v>
      </c>
      <c r="R1042" t="str">
        <f>LOOKUP(G1042,Sheet2!$V$4:$W$7)</f>
        <v>0.0 - 0.249</v>
      </c>
      <c r="S1042" t="str">
        <f>LOOKUP(H1042,Sheet2!$Z$4:$AA$7)</f>
        <v>36-45</v>
      </c>
      <c r="T1042" t="str">
        <f t="shared" si="48"/>
        <v>Negative</v>
      </c>
      <c r="U1042" t="str">
        <f t="shared" si="49"/>
        <v>Not Sampled</v>
      </c>
      <c r="V1042" s="1" t="str">
        <f t="shared" si="50"/>
        <v>Not Sampled</v>
      </c>
    </row>
    <row r="1043" spans="1:22" x14ac:dyDescent="0.25">
      <c r="A1043" s="1">
        <v>8</v>
      </c>
      <c r="B1043" s="1">
        <v>124</v>
      </c>
      <c r="C1043" s="1">
        <v>76</v>
      </c>
      <c r="D1043" s="1">
        <v>24</v>
      </c>
      <c r="E1043" s="1">
        <v>600</v>
      </c>
      <c r="F1043" s="1">
        <v>28.7</v>
      </c>
      <c r="G1043" s="1">
        <v>0.68700000000000006</v>
      </c>
      <c r="H1043" s="1">
        <v>52</v>
      </c>
      <c r="I1043" s="1">
        <v>1</v>
      </c>
      <c r="J1043" s="1">
        <f>IFERROR(VLOOKUP(K1043,[1]diabetes_Recognition!$A:$B,2,FALSE),"Not Sampled")</f>
        <v>0</v>
      </c>
      <c r="K1043" s="1">
        <v>1041</v>
      </c>
      <c r="L1043" s="1" t="str">
        <f>LOOKUP(A1043,Sheet2!$D$4:$E$9)</f>
        <v>8+</v>
      </c>
      <c r="M1043" t="str">
        <f>LOOKUP(B1043,Sheet2!$G$4:$H$9)</f>
        <v>100-125</v>
      </c>
      <c r="N1043" t="str">
        <f>LOOKUP(C1043,Sheet2!$J$4:$K$8)</f>
        <v>70-79</v>
      </c>
      <c r="O1043" t="str">
        <f>LOOKUP(D1043,Sheet2!$M$4:$N$8)</f>
        <v>10-30</v>
      </c>
      <c r="P1043" t="str">
        <f>LOOKUP(E1043,Sheet2!$P$4:$Q$9)</f>
        <v>500+</v>
      </c>
      <c r="Q1043" t="str">
        <f>LOOKUP(F1043,Sheet2!$S$4:$T$8)</f>
        <v>26-30</v>
      </c>
      <c r="R1043" t="str">
        <f>LOOKUP(G1043,Sheet2!$V$4:$W$7)</f>
        <v>0.4 - 0.69</v>
      </c>
      <c r="S1043" t="str">
        <f>LOOKUP(H1043,Sheet2!$Z$4:$AA$7)</f>
        <v>46+</v>
      </c>
      <c r="T1043" t="str">
        <f t="shared" si="48"/>
        <v>Positive</v>
      </c>
      <c r="U1043" t="str">
        <f t="shared" si="49"/>
        <v>Negative</v>
      </c>
      <c r="V1043" s="1" t="str">
        <f t="shared" si="50"/>
        <v>Inaccurate Prediction</v>
      </c>
    </row>
    <row r="1044" spans="1:22" x14ac:dyDescent="0.25">
      <c r="A1044" s="1">
        <v>1</v>
      </c>
      <c r="B1044" s="1">
        <v>93</v>
      </c>
      <c r="C1044" s="1">
        <v>56</v>
      </c>
      <c r="D1044" s="1">
        <v>11</v>
      </c>
      <c r="E1044" s="1">
        <v>0</v>
      </c>
      <c r="F1044" s="1">
        <v>22.5</v>
      </c>
      <c r="G1044" s="1">
        <v>0.41699999999999998</v>
      </c>
      <c r="H1044" s="1">
        <v>22</v>
      </c>
      <c r="I1044" s="1">
        <v>0</v>
      </c>
      <c r="J1044" s="1" t="str">
        <f>IFERROR(VLOOKUP(K1044,[1]diabetes_Recognition!$A:$B,2,FALSE),"Not Sampled")</f>
        <v>Not Sampled</v>
      </c>
      <c r="K1044" s="1">
        <v>1042</v>
      </c>
      <c r="L1044" s="1">
        <f>LOOKUP(A1044,Sheet2!$D$4:$E$9)</f>
        <v>1</v>
      </c>
      <c r="M1044" t="str">
        <f>LOOKUP(B1044,Sheet2!$G$4:$H$9)</f>
        <v>1-99</v>
      </c>
      <c r="N1044" t="str">
        <f>LOOKUP(C1044,Sheet2!$J$4:$K$8)</f>
        <v>1-59</v>
      </c>
      <c r="O1044" t="str">
        <f>LOOKUP(D1044,Sheet2!$M$4:$N$8)</f>
        <v>10-30</v>
      </c>
      <c r="P1044" t="str">
        <f>LOOKUP(E1044,Sheet2!$P$4:$Q$9)</f>
        <v>Unknown</v>
      </c>
      <c r="Q1044" t="str">
        <f>LOOKUP(F1044,Sheet2!$S$4:$T$8)</f>
        <v>1-25</v>
      </c>
      <c r="R1044" t="str">
        <f>LOOKUP(G1044,Sheet2!$V$4:$W$7)</f>
        <v>0.4 - 0.69</v>
      </c>
      <c r="S1044" t="str">
        <f>LOOKUP(H1044,Sheet2!$Z$4:$AA$7)</f>
        <v>&lt;=25</v>
      </c>
      <c r="T1044" t="str">
        <f t="shared" si="48"/>
        <v>Negative</v>
      </c>
      <c r="U1044" t="str">
        <f t="shared" si="49"/>
        <v>Not Sampled</v>
      </c>
      <c r="V1044" s="1" t="str">
        <f t="shared" si="50"/>
        <v>Not Sampled</v>
      </c>
    </row>
    <row r="1045" spans="1:22" x14ac:dyDescent="0.25">
      <c r="A1045" s="1">
        <v>8</v>
      </c>
      <c r="B1045" s="1">
        <v>143</v>
      </c>
      <c r="C1045" s="1">
        <v>66</v>
      </c>
      <c r="D1045" s="1">
        <v>0</v>
      </c>
      <c r="E1045" s="1">
        <v>0</v>
      </c>
      <c r="F1045" s="1">
        <v>34.9</v>
      </c>
      <c r="G1045" s="1">
        <v>0.129</v>
      </c>
      <c r="H1045" s="1">
        <v>41</v>
      </c>
      <c r="I1045" s="1">
        <v>1</v>
      </c>
      <c r="J1045" s="1" t="str">
        <f>IFERROR(VLOOKUP(K1045,[1]diabetes_Recognition!$A:$B,2,FALSE),"Not Sampled")</f>
        <v>Not Sampled</v>
      </c>
      <c r="K1045" s="1">
        <v>1043</v>
      </c>
      <c r="L1045" s="1" t="str">
        <f>LOOKUP(A1045,Sheet2!$D$4:$E$9)</f>
        <v>8+</v>
      </c>
      <c r="M1045" t="str">
        <f>LOOKUP(B1045,Sheet2!$G$4:$H$9)</f>
        <v>126-150</v>
      </c>
      <c r="N1045" t="str">
        <f>LOOKUP(C1045,Sheet2!$J$4:$K$8)</f>
        <v>60-69</v>
      </c>
      <c r="O1045" t="str">
        <f>LOOKUP(D1045,Sheet2!$M$4:$N$8)</f>
        <v>Unknown</v>
      </c>
      <c r="P1045" t="str">
        <f>LOOKUP(E1045,Sheet2!$P$4:$Q$9)</f>
        <v>Unknown</v>
      </c>
      <c r="Q1045" t="str">
        <f>LOOKUP(F1045,Sheet2!$S$4:$T$8)</f>
        <v>31-35</v>
      </c>
      <c r="R1045" t="str">
        <f>LOOKUP(G1045,Sheet2!$V$4:$W$7)</f>
        <v>0.0 - 0.249</v>
      </c>
      <c r="S1045" t="str">
        <f>LOOKUP(H1045,Sheet2!$Z$4:$AA$7)</f>
        <v>36-45</v>
      </c>
      <c r="T1045" t="str">
        <f t="shared" si="48"/>
        <v>Positive</v>
      </c>
      <c r="U1045" t="str">
        <f t="shared" si="49"/>
        <v>Not Sampled</v>
      </c>
      <c r="V1045" s="1" t="str">
        <f t="shared" si="50"/>
        <v>Not Sampled</v>
      </c>
    </row>
    <row r="1046" spans="1:22" x14ac:dyDescent="0.25">
      <c r="A1046" s="1">
        <v>6</v>
      </c>
      <c r="B1046" s="1">
        <v>103</v>
      </c>
      <c r="C1046" s="1">
        <v>66</v>
      </c>
      <c r="D1046" s="1">
        <v>0</v>
      </c>
      <c r="E1046" s="1">
        <v>0</v>
      </c>
      <c r="F1046" s="1">
        <v>24.3</v>
      </c>
      <c r="G1046" s="1">
        <v>0.249</v>
      </c>
      <c r="H1046" s="1">
        <v>29</v>
      </c>
      <c r="I1046" s="1">
        <v>0</v>
      </c>
      <c r="J1046" s="1">
        <f>IFERROR(VLOOKUP(K1046,[1]diabetes_Recognition!$A:$B,2,FALSE),"Not Sampled")</f>
        <v>0</v>
      </c>
      <c r="K1046" s="1">
        <v>1044</v>
      </c>
      <c r="L1046" s="1" t="str">
        <f>LOOKUP(A1046,Sheet2!$D$4:$E$9)</f>
        <v>5-7</v>
      </c>
      <c r="M1046" t="str">
        <f>LOOKUP(B1046,Sheet2!$G$4:$H$9)</f>
        <v>100-125</v>
      </c>
      <c r="N1046" t="str">
        <f>LOOKUP(C1046,Sheet2!$J$4:$K$8)</f>
        <v>60-69</v>
      </c>
      <c r="O1046" t="str">
        <f>LOOKUP(D1046,Sheet2!$M$4:$N$8)</f>
        <v>Unknown</v>
      </c>
      <c r="P1046" t="str">
        <f>LOOKUP(E1046,Sheet2!$P$4:$Q$9)</f>
        <v>Unknown</v>
      </c>
      <c r="Q1046" t="str">
        <f>LOOKUP(F1046,Sheet2!$S$4:$T$8)</f>
        <v>1-25</v>
      </c>
      <c r="R1046" t="str">
        <f>LOOKUP(G1046,Sheet2!$V$4:$W$7)</f>
        <v>0.0 - 0.249</v>
      </c>
      <c r="S1046" t="str">
        <f>LOOKUP(H1046,Sheet2!$Z$4:$AA$7)</f>
        <v>26-35</v>
      </c>
      <c r="T1046" t="str">
        <f t="shared" si="48"/>
        <v>Negative</v>
      </c>
      <c r="U1046" t="str">
        <f t="shared" si="49"/>
        <v>Negative</v>
      </c>
      <c r="V1046" s="1" t="str">
        <f t="shared" si="50"/>
        <v>Accurate Prediction</v>
      </c>
    </row>
    <row r="1047" spans="1:22" x14ac:dyDescent="0.25">
      <c r="A1047" s="1">
        <v>3</v>
      </c>
      <c r="B1047" s="1">
        <v>176</v>
      </c>
      <c r="C1047" s="1">
        <v>86</v>
      </c>
      <c r="D1047" s="1">
        <v>27</v>
      </c>
      <c r="E1047" s="1">
        <v>156</v>
      </c>
      <c r="F1047" s="1">
        <v>33.299999999999997</v>
      </c>
      <c r="G1047" s="1">
        <v>1.1539999999999999</v>
      </c>
      <c r="H1047" s="1">
        <v>52</v>
      </c>
      <c r="I1047" s="1">
        <v>1</v>
      </c>
      <c r="J1047" s="1" t="str">
        <f>IFERROR(VLOOKUP(K1047,[1]diabetes_Recognition!$A:$B,2,FALSE),"Not Sampled")</f>
        <v>Not Sampled</v>
      </c>
      <c r="K1047" s="1">
        <v>1045</v>
      </c>
      <c r="L1047" s="1" t="str">
        <f>LOOKUP(A1047,Sheet2!$D$4:$E$9)</f>
        <v>3-4</v>
      </c>
      <c r="M1047" t="str">
        <f>LOOKUP(B1047,Sheet2!$G$4:$H$9)</f>
        <v>176-200</v>
      </c>
      <c r="N1047" t="str">
        <f>LOOKUP(C1047,Sheet2!$J$4:$K$8)</f>
        <v>80+</v>
      </c>
      <c r="O1047" t="str">
        <f>LOOKUP(D1047,Sheet2!$M$4:$N$8)</f>
        <v>10-30</v>
      </c>
      <c r="P1047" t="str">
        <f>LOOKUP(E1047,Sheet2!$P$4:$Q$9)</f>
        <v>100-199</v>
      </c>
      <c r="Q1047" t="str">
        <f>LOOKUP(F1047,Sheet2!$S$4:$T$8)</f>
        <v>31-35</v>
      </c>
      <c r="R1047" t="str">
        <f>LOOKUP(G1047,Sheet2!$V$4:$W$7)</f>
        <v>0.7+</v>
      </c>
      <c r="S1047" t="str">
        <f>LOOKUP(H1047,Sheet2!$Z$4:$AA$7)</f>
        <v>46+</v>
      </c>
      <c r="T1047" t="str">
        <f t="shared" si="48"/>
        <v>Positive</v>
      </c>
      <c r="U1047" t="str">
        <f t="shared" si="49"/>
        <v>Not Sampled</v>
      </c>
      <c r="V1047" s="1" t="str">
        <f t="shared" si="50"/>
        <v>Not Sampled</v>
      </c>
    </row>
    <row r="1048" spans="1:22" x14ac:dyDescent="0.25">
      <c r="A1048" s="1">
        <v>0</v>
      </c>
      <c r="B1048" s="1">
        <v>73</v>
      </c>
      <c r="C1048" s="1">
        <v>0</v>
      </c>
      <c r="D1048" s="1">
        <v>0</v>
      </c>
      <c r="E1048" s="1">
        <v>0</v>
      </c>
      <c r="F1048" s="1">
        <v>21.1</v>
      </c>
      <c r="G1048" s="1">
        <v>0.34200000000000003</v>
      </c>
      <c r="H1048" s="1">
        <v>25</v>
      </c>
      <c r="I1048" s="1">
        <v>0</v>
      </c>
      <c r="J1048" s="1" t="str">
        <f>IFERROR(VLOOKUP(K1048,[1]diabetes_Recognition!$A:$B,2,FALSE),"Not Sampled")</f>
        <v>Not Sampled</v>
      </c>
      <c r="K1048" s="1">
        <v>1046</v>
      </c>
      <c r="L1048" s="1">
        <f>LOOKUP(A1048,Sheet2!$D$4:$E$9)</f>
        <v>0</v>
      </c>
      <c r="M1048" t="str">
        <f>LOOKUP(B1048,Sheet2!$G$4:$H$9)</f>
        <v>1-99</v>
      </c>
      <c r="N1048" t="str">
        <f>LOOKUP(C1048,Sheet2!$J$4:$K$8)</f>
        <v>Unknown</v>
      </c>
      <c r="O1048" t="str">
        <f>LOOKUP(D1048,Sheet2!$M$4:$N$8)</f>
        <v>Unknown</v>
      </c>
      <c r="P1048" t="str">
        <f>LOOKUP(E1048,Sheet2!$P$4:$Q$9)</f>
        <v>Unknown</v>
      </c>
      <c r="Q1048" t="str">
        <f>LOOKUP(F1048,Sheet2!$S$4:$T$8)</f>
        <v>1-25</v>
      </c>
      <c r="R1048" t="str">
        <f>LOOKUP(G1048,Sheet2!$V$4:$W$7)</f>
        <v>0.25 - 0.39</v>
      </c>
      <c r="S1048" t="str">
        <f>LOOKUP(H1048,Sheet2!$Z$4:$AA$7)</f>
        <v>&lt;=25</v>
      </c>
      <c r="T1048" t="str">
        <f t="shared" si="48"/>
        <v>Negative</v>
      </c>
      <c r="U1048" t="str">
        <f t="shared" si="49"/>
        <v>Not Sampled</v>
      </c>
      <c r="V1048" s="1" t="str">
        <f t="shared" si="50"/>
        <v>Not Sampled</v>
      </c>
    </row>
    <row r="1049" spans="1:22" x14ac:dyDescent="0.25">
      <c r="A1049" s="1">
        <v>11</v>
      </c>
      <c r="B1049" s="1">
        <v>111</v>
      </c>
      <c r="C1049" s="1">
        <v>84</v>
      </c>
      <c r="D1049" s="1">
        <v>40</v>
      </c>
      <c r="E1049" s="1">
        <v>0</v>
      </c>
      <c r="F1049" s="1">
        <v>46.8</v>
      </c>
      <c r="G1049" s="1">
        <v>0.92500000000000004</v>
      </c>
      <c r="H1049" s="1">
        <v>45</v>
      </c>
      <c r="I1049" s="1">
        <v>1</v>
      </c>
      <c r="J1049" s="1">
        <f>IFERROR(VLOOKUP(K1049,[1]diabetes_Recognition!$A:$B,2,FALSE),"Not Sampled")</f>
        <v>1</v>
      </c>
      <c r="K1049" s="1">
        <v>1047</v>
      </c>
      <c r="L1049" s="1" t="str">
        <f>LOOKUP(A1049,Sheet2!$D$4:$E$9)</f>
        <v>8+</v>
      </c>
      <c r="M1049" t="str">
        <f>LOOKUP(B1049,Sheet2!$G$4:$H$9)</f>
        <v>100-125</v>
      </c>
      <c r="N1049" t="str">
        <f>LOOKUP(C1049,Sheet2!$J$4:$K$8)</f>
        <v>80+</v>
      </c>
      <c r="O1049" t="str">
        <f>LOOKUP(D1049,Sheet2!$M$4:$N$8)</f>
        <v>40+</v>
      </c>
      <c r="P1049" t="str">
        <f>LOOKUP(E1049,Sheet2!$P$4:$Q$9)</f>
        <v>Unknown</v>
      </c>
      <c r="Q1049" t="str">
        <f>LOOKUP(F1049,Sheet2!$S$4:$T$8)</f>
        <v>36+</v>
      </c>
      <c r="R1049" t="str">
        <f>LOOKUP(G1049,Sheet2!$V$4:$W$7)</f>
        <v>0.7+</v>
      </c>
      <c r="S1049" t="str">
        <f>LOOKUP(H1049,Sheet2!$Z$4:$AA$7)</f>
        <v>36-45</v>
      </c>
      <c r="T1049" t="str">
        <f t="shared" si="48"/>
        <v>Positive</v>
      </c>
      <c r="U1049" t="str">
        <f t="shared" si="49"/>
        <v>Positive</v>
      </c>
      <c r="V1049" s="1" t="str">
        <f t="shared" si="50"/>
        <v>Accurate Prediction</v>
      </c>
    </row>
    <row r="1050" spans="1:22" x14ac:dyDescent="0.25">
      <c r="A1050" s="1">
        <v>2</v>
      </c>
      <c r="B1050" s="1">
        <v>112</v>
      </c>
      <c r="C1050" s="1">
        <v>78</v>
      </c>
      <c r="D1050" s="1">
        <v>50</v>
      </c>
      <c r="E1050" s="1">
        <v>140</v>
      </c>
      <c r="F1050" s="1">
        <v>39.4</v>
      </c>
      <c r="G1050" s="1">
        <v>0.17499999999999999</v>
      </c>
      <c r="H1050" s="1">
        <v>24</v>
      </c>
      <c r="I1050" s="1">
        <v>0</v>
      </c>
      <c r="J1050" s="1" t="str">
        <f>IFERROR(VLOOKUP(K1050,[1]diabetes_Recognition!$A:$B,2,FALSE),"Not Sampled")</f>
        <v>Not Sampled</v>
      </c>
      <c r="K1050" s="1">
        <v>1048</v>
      </c>
      <c r="L1050" s="1">
        <f>LOOKUP(A1050,Sheet2!$D$4:$E$9)</f>
        <v>2</v>
      </c>
      <c r="M1050" t="str">
        <f>LOOKUP(B1050,Sheet2!$G$4:$H$9)</f>
        <v>100-125</v>
      </c>
      <c r="N1050" t="str">
        <f>LOOKUP(C1050,Sheet2!$J$4:$K$8)</f>
        <v>70-79</v>
      </c>
      <c r="O1050" t="str">
        <f>LOOKUP(D1050,Sheet2!$M$4:$N$8)</f>
        <v>40+</v>
      </c>
      <c r="P1050" t="str">
        <f>LOOKUP(E1050,Sheet2!$P$4:$Q$9)</f>
        <v>100-199</v>
      </c>
      <c r="Q1050" t="str">
        <f>LOOKUP(F1050,Sheet2!$S$4:$T$8)</f>
        <v>36+</v>
      </c>
      <c r="R1050" t="str">
        <f>LOOKUP(G1050,Sheet2!$V$4:$W$7)</f>
        <v>0.0 - 0.249</v>
      </c>
      <c r="S1050" t="str">
        <f>LOOKUP(H1050,Sheet2!$Z$4:$AA$7)</f>
        <v>&lt;=25</v>
      </c>
      <c r="T1050" t="str">
        <f t="shared" si="48"/>
        <v>Negative</v>
      </c>
      <c r="U1050" t="str">
        <f t="shared" si="49"/>
        <v>Not Sampled</v>
      </c>
      <c r="V1050" s="1" t="str">
        <f t="shared" si="50"/>
        <v>Not Sampled</v>
      </c>
    </row>
    <row r="1051" spans="1:22" x14ac:dyDescent="0.25">
      <c r="A1051" s="1">
        <v>3</v>
      </c>
      <c r="B1051" s="1">
        <v>132</v>
      </c>
      <c r="C1051" s="1">
        <v>80</v>
      </c>
      <c r="D1051" s="1">
        <v>0</v>
      </c>
      <c r="E1051" s="1">
        <v>0</v>
      </c>
      <c r="F1051" s="1">
        <v>34.4</v>
      </c>
      <c r="G1051" s="1">
        <v>0.40200000000000002</v>
      </c>
      <c r="H1051" s="1">
        <v>44</v>
      </c>
      <c r="I1051" s="1">
        <v>1</v>
      </c>
      <c r="J1051" s="1" t="str">
        <f>IFERROR(VLOOKUP(K1051,[1]diabetes_Recognition!$A:$B,2,FALSE),"Not Sampled")</f>
        <v>Not Sampled</v>
      </c>
      <c r="K1051" s="1">
        <v>1049</v>
      </c>
      <c r="L1051" s="1" t="str">
        <f>LOOKUP(A1051,Sheet2!$D$4:$E$9)</f>
        <v>3-4</v>
      </c>
      <c r="M1051" t="str">
        <f>LOOKUP(B1051,Sheet2!$G$4:$H$9)</f>
        <v>126-150</v>
      </c>
      <c r="N1051" t="str">
        <f>LOOKUP(C1051,Sheet2!$J$4:$K$8)</f>
        <v>80+</v>
      </c>
      <c r="O1051" t="str">
        <f>LOOKUP(D1051,Sheet2!$M$4:$N$8)</f>
        <v>Unknown</v>
      </c>
      <c r="P1051" t="str">
        <f>LOOKUP(E1051,Sheet2!$P$4:$Q$9)</f>
        <v>Unknown</v>
      </c>
      <c r="Q1051" t="str">
        <f>LOOKUP(F1051,Sheet2!$S$4:$T$8)</f>
        <v>31-35</v>
      </c>
      <c r="R1051" t="str">
        <f>LOOKUP(G1051,Sheet2!$V$4:$W$7)</f>
        <v>0.4 - 0.69</v>
      </c>
      <c r="S1051" t="str">
        <f>LOOKUP(H1051,Sheet2!$Z$4:$AA$7)</f>
        <v>36-45</v>
      </c>
      <c r="T1051" t="str">
        <f t="shared" si="48"/>
        <v>Positive</v>
      </c>
      <c r="U1051" t="str">
        <f t="shared" si="49"/>
        <v>Not Sampled</v>
      </c>
      <c r="V1051" s="1" t="str">
        <f t="shared" si="50"/>
        <v>Not Sampled</v>
      </c>
    </row>
    <row r="1052" spans="1:22" x14ac:dyDescent="0.25">
      <c r="A1052" s="1">
        <v>2</v>
      </c>
      <c r="B1052" s="1">
        <v>82</v>
      </c>
      <c r="C1052" s="1">
        <v>52</v>
      </c>
      <c r="D1052" s="1">
        <v>22</v>
      </c>
      <c r="E1052" s="1">
        <v>115</v>
      </c>
      <c r="F1052" s="1">
        <v>28.5</v>
      </c>
      <c r="G1052" s="1">
        <v>1.6990000000000001</v>
      </c>
      <c r="H1052" s="1">
        <v>25</v>
      </c>
      <c r="I1052" s="1">
        <v>0</v>
      </c>
      <c r="J1052" s="1" t="str">
        <f>IFERROR(VLOOKUP(K1052,[1]diabetes_Recognition!$A:$B,2,FALSE),"Not Sampled")</f>
        <v>Not Sampled</v>
      </c>
      <c r="K1052" s="1">
        <v>1050</v>
      </c>
      <c r="L1052" s="1">
        <f>LOOKUP(A1052,Sheet2!$D$4:$E$9)</f>
        <v>2</v>
      </c>
      <c r="M1052" t="str">
        <f>LOOKUP(B1052,Sheet2!$G$4:$H$9)</f>
        <v>1-99</v>
      </c>
      <c r="N1052" t="str">
        <f>LOOKUP(C1052,Sheet2!$J$4:$K$8)</f>
        <v>1-59</v>
      </c>
      <c r="O1052" t="str">
        <f>LOOKUP(D1052,Sheet2!$M$4:$N$8)</f>
        <v>10-30</v>
      </c>
      <c r="P1052" t="str">
        <f>LOOKUP(E1052,Sheet2!$P$4:$Q$9)</f>
        <v>100-199</v>
      </c>
      <c r="Q1052" t="str">
        <f>LOOKUP(F1052,Sheet2!$S$4:$T$8)</f>
        <v>26-30</v>
      </c>
      <c r="R1052" t="str">
        <f>LOOKUP(G1052,Sheet2!$V$4:$W$7)</f>
        <v>0.7+</v>
      </c>
      <c r="S1052" t="str">
        <f>LOOKUP(H1052,Sheet2!$Z$4:$AA$7)</f>
        <v>&lt;=25</v>
      </c>
      <c r="T1052" t="str">
        <f t="shared" si="48"/>
        <v>Negative</v>
      </c>
      <c r="U1052" t="str">
        <f t="shared" si="49"/>
        <v>Not Sampled</v>
      </c>
      <c r="V1052" s="1" t="str">
        <f t="shared" si="50"/>
        <v>Not Sampled</v>
      </c>
    </row>
    <row r="1053" spans="1:22" x14ac:dyDescent="0.25">
      <c r="A1053" s="1">
        <v>6</v>
      </c>
      <c r="B1053" s="1">
        <v>123</v>
      </c>
      <c r="C1053" s="1">
        <v>72</v>
      </c>
      <c r="D1053" s="1">
        <v>45</v>
      </c>
      <c r="E1053" s="1">
        <v>230</v>
      </c>
      <c r="F1053" s="1">
        <v>33.6</v>
      </c>
      <c r="G1053" s="1">
        <v>0.73299999999999998</v>
      </c>
      <c r="H1053" s="1">
        <v>34</v>
      </c>
      <c r="I1053" s="1">
        <v>0</v>
      </c>
      <c r="J1053" s="1">
        <f>IFERROR(VLOOKUP(K1053,[1]diabetes_Recognition!$A:$B,2,FALSE),"Not Sampled")</f>
        <v>0</v>
      </c>
      <c r="K1053" s="1">
        <v>1051</v>
      </c>
      <c r="L1053" s="1" t="str">
        <f>LOOKUP(A1053,Sheet2!$D$4:$E$9)</f>
        <v>5-7</v>
      </c>
      <c r="M1053" t="str">
        <f>LOOKUP(B1053,Sheet2!$G$4:$H$9)</f>
        <v>100-125</v>
      </c>
      <c r="N1053" t="str">
        <f>LOOKUP(C1053,Sheet2!$J$4:$K$8)</f>
        <v>70-79</v>
      </c>
      <c r="O1053" t="str">
        <f>LOOKUP(D1053,Sheet2!$M$4:$N$8)</f>
        <v>40+</v>
      </c>
      <c r="P1053" t="str">
        <f>LOOKUP(E1053,Sheet2!$P$4:$Q$9)</f>
        <v>200-399</v>
      </c>
      <c r="Q1053" t="str">
        <f>LOOKUP(F1053,Sheet2!$S$4:$T$8)</f>
        <v>31-35</v>
      </c>
      <c r="R1053" t="str">
        <f>LOOKUP(G1053,Sheet2!$V$4:$W$7)</f>
        <v>0.7+</v>
      </c>
      <c r="S1053" t="str">
        <f>LOOKUP(H1053,Sheet2!$Z$4:$AA$7)</f>
        <v>26-35</v>
      </c>
      <c r="T1053" t="str">
        <f t="shared" si="48"/>
        <v>Negative</v>
      </c>
      <c r="U1053" t="str">
        <f t="shared" si="49"/>
        <v>Negative</v>
      </c>
      <c r="V1053" s="1" t="str">
        <f t="shared" si="50"/>
        <v>Accurate Prediction</v>
      </c>
    </row>
    <row r="1054" spans="1:22" x14ac:dyDescent="0.25">
      <c r="A1054" s="1">
        <v>0</v>
      </c>
      <c r="B1054" s="1">
        <v>188</v>
      </c>
      <c r="C1054" s="1">
        <v>82</v>
      </c>
      <c r="D1054" s="1">
        <v>14</v>
      </c>
      <c r="E1054" s="1">
        <v>185</v>
      </c>
      <c r="F1054" s="1">
        <v>32</v>
      </c>
      <c r="G1054" s="1">
        <v>0.68200000000000005</v>
      </c>
      <c r="H1054" s="1">
        <v>22</v>
      </c>
      <c r="I1054" s="1">
        <v>1</v>
      </c>
      <c r="J1054" s="1" t="str">
        <f>IFERROR(VLOOKUP(K1054,[1]diabetes_Recognition!$A:$B,2,FALSE),"Not Sampled")</f>
        <v>Not Sampled</v>
      </c>
      <c r="K1054" s="1">
        <v>1052</v>
      </c>
      <c r="L1054" s="1">
        <f>LOOKUP(A1054,Sheet2!$D$4:$E$9)</f>
        <v>0</v>
      </c>
      <c r="M1054" t="str">
        <f>LOOKUP(B1054,Sheet2!$G$4:$H$9)</f>
        <v>176-200</v>
      </c>
      <c r="N1054" t="str">
        <f>LOOKUP(C1054,Sheet2!$J$4:$K$8)</f>
        <v>80+</v>
      </c>
      <c r="O1054" t="str">
        <f>LOOKUP(D1054,Sheet2!$M$4:$N$8)</f>
        <v>10-30</v>
      </c>
      <c r="P1054" t="str">
        <f>LOOKUP(E1054,Sheet2!$P$4:$Q$9)</f>
        <v>100-199</v>
      </c>
      <c r="Q1054" t="str">
        <f>LOOKUP(F1054,Sheet2!$S$4:$T$8)</f>
        <v>31-35</v>
      </c>
      <c r="R1054" t="str">
        <f>LOOKUP(G1054,Sheet2!$V$4:$W$7)</f>
        <v>0.4 - 0.69</v>
      </c>
      <c r="S1054" t="str">
        <f>LOOKUP(H1054,Sheet2!$Z$4:$AA$7)</f>
        <v>&lt;=25</v>
      </c>
      <c r="T1054" t="str">
        <f t="shared" si="48"/>
        <v>Positive</v>
      </c>
      <c r="U1054" t="str">
        <f t="shared" si="49"/>
        <v>Not Sampled</v>
      </c>
      <c r="V1054" s="1" t="str">
        <f t="shared" si="50"/>
        <v>Not Sampled</v>
      </c>
    </row>
    <row r="1055" spans="1:22" x14ac:dyDescent="0.25">
      <c r="A1055" s="1">
        <v>0</v>
      </c>
      <c r="B1055" s="1">
        <v>67</v>
      </c>
      <c r="C1055" s="1">
        <v>76</v>
      </c>
      <c r="D1055" s="1">
        <v>0</v>
      </c>
      <c r="E1055" s="1">
        <v>0</v>
      </c>
      <c r="F1055" s="1">
        <v>45.3</v>
      </c>
      <c r="G1055" s="1">
        <v>0.19400000000000001</v>
      </c>
      <c r="H1055" s="1">
        <v>46</v>
      </c>
      <c r="I1055" s="1">
        <v>0</v>
      </c>
      <c r="J1055" s="1">
        <f>IFERROR(VLOOKUP(K1055,[1]diabetes_Recognition!$A:$B,2,FALSE),"Not Sampled")</f>
        <v>0</v>
      </c>
      <c r="K1055" s="1">
        <v>1053</v>
      </c>
      <c r="L1055" s="1">
        <f>LOOKUP(A1055,Sheet2!$D$4:$E$9)</f>
        <v>0</v>
      </c>
      <c r="M1055" t="str">
        <f>LOOKUP(B1055,Sheet2!$G$4:$H$9)</f>
        <v>1-99</v>
      </c>
      <c r="N1055" t="str">
        <f>LOOKUP(C1055,Sheet2!$J$4:$K$8)</f>
        <v>70-79</v>
      </c>
      <c r="O1055" t="str">
        <f>LOOKUP(D1055,Sheet2!$M$4:$N$8)</f>
        <v>Unknown</v>
      </c>
      <c r="P1055" t="str">
        <f>LOOKUP(E1055,Sheet2!$P$4:$Q$9)</f>
        <v>Unknown</v>
      </c>
      <c r="Q1055" t="str">
        <f>LOOKUP(F1055,Sheet2!$S$4:$T$8)</f>
        <v>36+</v>
      </c>
      <c r="R1055" t="str">
        <f>LOOKUP(G1055,Sheet2!$V$4:$W$7)</f>
        <v>0.0 - 0.249</v>
      </c>
      <c r="S1055" t="str">
        <f>LOOKUP(H1055,Sheet2!$Z$4:$AA$7)</f>
        <v>46+</v>
      </c>
      <c r="T1055" t="str">
        <f t="shared" si="48"/>
        <v>Negative</v>
      </c>
      <c r="U1055" t="str">
        <f t="shared" si="49"/>
        <v>Negative</v>
      </c>
      <c r="V1055" s="1" t="str">
        <f t="shared" si="50"/>
        <v>Accurate Prediction</v>
      </c>
    </row>
    <row r="1056" spans="1:22" x14ac:dyDescent="0.25">
      <c r="A1056" s="1">
        <v>1</v>
      </c>
      <c r="B1056" s="1">
        <v>89</v>
      </c>
      <c r="C1056" s="1">
        <v>24</v>
      </c>
      <c r="D1056" s="1">
        <v>19</v>
      </c>
      <c r="E1056" s="1">
        <v>25</v>
      </c>
      <c r="F1056" s="1">
        <v>27.8</v>
      </c>
      <c r="G1056" s="1">
        <v>0.55900000000000005</v>
      </c>
      <c r="H1056" s="1">
        <v>21</v>
      </c>
      <c r="I1056" s="1">
        <v>0</v>
      </c>
      <c r="J1056" s="1" t="str">
        <f>IFERROR(VLOOKUP(K1056,[1]diabetes_Recognition!$A:$B,2,FALSE),"Not Sampled")</f>
        <v>Not Sampled</v>
      </c>
      <c r="K1056" s="1">
        <v>1054</v>
      </c>
      <c r="L1056" s="1">
        <f>LOOKUP(A1056,Sheet2!$D$4:$E$9)</f>
        <v>1</v>
      </c>
      <c r="M1056" t="str">
        <f>LOOKUP(B1056,Sheet2!$G$4:$H$9)</f>
        <v>1-99</v>
      </c>
      <c r="N1056" t="str">
        <f>LOOKUP(C1056,Sheet2!$J$4:$K$8)</f>
        <v>1-59</v>
      </c>
      <c r="O1056" t="str">
        <f>LOOKUP(D1056,Sheet2!$M$4:$N$8)</f>
        <v>10-30</v>
      </c>
      <c r="P1056" t="str">
        <f>LOOKUP(E1056,Sheet2!$P$4:$Q$9)</f>
        <v>1-99</v>
      </c>
      <c r="Q1056" t="str">
        <f>LOOKUP(F1056,Sheet2!$S$4:$T$8)</f>
        <v>26-30</v>
      </c>
      <c r="R1056" t="str">
        <f>LOOKUP(G1056,Sheet2!$V$4:$W$7)</f>
        <v>0.4 - 0.69</v>
      </c>
      <c r="S1056" t="str">
        <f>LOOKUP(H1056,Sheet2!$Z$4:$AA$7)</f>
        <v>&lt;=25</v>
      </c>
      <c r="T1056" t="str">
        <f t="shared" si="48"/>
        <v>Negative</v>
      </c>
      <c r="U1056" t="str">
        <f t="shared" si="49"/>
        <v>Not Sampled</v>
      </c>
      <c r="V1056" s="1" t="str">
        <f t="shared" si="50"/>
        <v>Not Sampled</v>
      </c>
    </row>
    <row r="1057" spans="1:22" x14ac:dyDescent="0.25">
      <c r="A1057" s="1">
        <v>1</v>
      </c>
      <c r="B1057" s="1">
        <v>173</v>
      </c>
      <c r="C1057" s="1">
        <v>74</v>
      </c>
      <c r="D1057" s="1">
        <v>0</v>
      </c>
      <c r="E1057" s="1">
        <v>0</v>
      </c>
      <c r="F1057" s="1">
        <v>36.799999999999997</v>
      </c>
      <c r="G1057" s="1">
        <v>8.7999999999999995E-2</v>
      </c>
      <c r="H1057" s="1">
        <v>38</v>
      </c>
      <c r="I1057" s="1">
        <v>1</v>
      </c>
      <c r="J1057" s="1" t="str">
        <f>IFERROR(VLOOKUP(K1057,[1]diabetes_Recognition!$A:$B,2,FALSE),"Not Sampled")</f>
        <v>Not Sampled</v>
      </c>
      <c r="K1057" s="1">
        <v>1055</v>
      </c>
      <c r="L1057" s="1">
        <f>LOOKUP(A1057,Sheet2!$D$4:$E$9)</f>
        <v>1</v>
      </c>
      <c r="M1057" t="str">
        <f>LOOKUP(B1057,Sheet2!$G$4:$H$9)</f>
        <v>151-175</v>
      </c>
      <c r="N1057" t="str">
        <f>LOOKUP(C1057,Sheet2!$J$4:$K$8)</f>
        <v>70-79</v>
      </c>
      <c r="O1057" t="str">
        <f>LOOKUP(D1057,Sheet2!$M$4:$N$8)</f>
        <v>Unknown</v>
      </c>
      <c r="P1057" t="str">
        <f>LOOKUP(E1057,Sheet2!$P$4:$Q$9)</f>
        <v>Unknown</v>
      </c>
      <c r="Q1057" t="str">
        <f>LOOKUP(F1057,Sheet2!$S$4:$T$8)</f>
        <v>36+</v>
      </c>
      <c r="R1057" t="str">
        <f>LOOKUP(G1057,Sheet2!$V$4:$W$7)</f>
        <v>0.0 - 0.249</v>
      </c>
      <c r="S1057" t="str">
        <f>LOOKUP(H1057,Sheet2!$Z$4:$AA$7)</f>
        <v>36-45</v>
      </c>
      <c r="T1057" t="str">
        <f t="shared" si="48"/>
        <v>Positive</v>
      </c>
      <c r="U1057" t="str">
        <f t="shared" si="49"/>
        <v>Not Sampled</v>
      </c>
      <c r="V1057" s="1" t="str">
        <f t="shared" si="50"/>
        <v>Not Sampled</v>
      </c>
    </row>
    <row r="1058" spans="1:22" x14ac:dyDescent="0.25">
      <c r="A1058" s="1">
        <v>1</v>
      </c>
      <c r="B1058" s="1">
        <v>109</v>
      </c>
      <c r="C1058" s="1">
        <v>38</v>
      </c>
      <c r="D1058" s="1">
        <v>18</v>
      </c>
      <c r="E1058" s="1">
        <v>120</v>
      </c>
      <c r="F1058" s="1">
        <v>23.1</v>
      </c>
      <c r="G1058" s="1">
        <v>0.40699999999999997</v>
      </c>
      <c r="H1058" s="1">
        <v>26</v>
      </c>
      <c r="I1058" s="1">
        <v>0</v>
      </c>
      <c r="J1058" s="1" t="str">
        <f>IFERROR(VLOOKUP(K1058,[1]diabetes_Recognition!$A:$B,2,FALSE),"Not Sampled")</f>
        <v>Not Sampled</v>
      </c>
      <c r="K1058" s="1">
        <v>1056</v>
      </c>
      <c r="L1058" s="1">
        <f>LOOKUP(A1058,Sheet2!$D$4:$E$9)</f>
        <v>1</v>
      </c>
      <c r="M1058" t="str">
        <f>LOOKUP(B1058,Sheet2!$G$4:$H$9)</f>
        <v>100-125</v>
      </c>
      <c r="N1058" t="str">
        <f>LOOKUP(C1058,Sheet2!$J$4:$K$8)</f>
        <v>1-59</v>
      </c>
      <c r="O1058" t="str">
        <f>LOOKUP(D1058,Sheet2!$M$4:$N$8)</f>
        <v>10-30</v>
      </c>
      <c r="P1058" t="str">
        <f>LOOKUP(E1058,Sheet2!$P$4:$Q$9)</f>
        <v>100-199</v>
      </c>
      <c r="Q1058" t="str">
        <f>LOOKUP(F1058,Sheet2!$S$4:$T$8)</f>
        <v>1-25</v>
      </c>
      <c r="R1058" t="str">
        <f>LOOKUP(G1058,Sheet2!$V$4:$W$7)</f>
        <v>0.4 - 0.69</v>
      </c>
      <c r="S1058" t="str">
        <f>LOOKUP(H1058,Sheet2!$Z$4:$AA$7)</f>
        <v>26-35</v>
      </c>
      <c r="T1058" t="str">
        <f t="shared" si="48"/>
        <v>Negative</v>
      </c>
      <c r="U1058" t="str">
        <f t="shared" si="49"/>
        <v>Not Sampled</v>
      </c>
      <c r="V1058" s="1" t="str">
        <f t="shared" si="50"/>
        <v>Not Sampled</v>
      </c>
    </row>
    <row r="1059" spans="1:22" x14ac:dyDescent="0.25">
      <c r="A1059" s="1">
        <v>1</v>
      </c>
      <c r="B1059" s="1">
        <v>108</v>
      </c>
      <c r="C1059" s="1">
        <v>88</v>
      </c>
      <c r="D1059" s="1">
        <v>19</v>
      </c>
      <c r="E1059" s="1">
        <v>0</v>
      </c>
      <c r="F1059" s="1">
        <v>27.1</v>
      </c>
      <c r="G1059" s="1">
        <v>0.4</v>
      </c>
      <c r="H1059" s="1">
        <v>24</v>
      </c>
      <c r="I1059" s="1">
        <v>0</v>
      </c>
      <c r="J1059" s="1" t="str">
        <f>IFERROR(VLOOKUP(K1059,[1]diabetes_Recognition!$A:$B,2,FALSE),"Not Sampled")</f>
        <v>Not Sampled</v>
      </c>
      <c r="K1059" s="1">
        <v>1057</v>
      </c>
      <c r="L1059" s="1">
        <f>LOOKUP(A1059,Sheet2!$D$4:$E$9)</f>
        <v>1</v>
      </c>
      <c r="M1059" t="str">
        <f>LOOKUP(B1059,Sheet2!$G$4:$H$9)</f>
        <v>100-125</v>
      </c>
      <c r="N1059" t="str">
        <f>LOOKUP(C1059,Sheet2!$J$4:$K$8)</f>
        <v>80+</v>
      </c>
      <c r="O1059" t="str">
        <f>LOOKUP(D1059,Sheet2!$M$4:$N$8)</f>
        <v>10-30</v>
      </c>
      <c r="P1059" t="str">
        <f>LOOKUP(E1059,Sheet2!$P$4:$Q$9)</f>
        <v>Unknown</v>
      </c>
      <c r="Q1059" t="str">
        <f>LOOKUP(F1059,Sheet2!$S$4:$T$8)</f>
        <v>26-30</v>
      </c>
      <c r="R1059" t="str">
        <f>LOOKUP(G1059,Sheet2!$V$4:$W$7)</f>
        <v>0.4 - 0.69</v>
      </c>
      <c r="S1059" t="str">
        <f>LOOKUP(H1059,Sheet2!$Z$4:$AA$7)</f>
        <v>&lt;=25</v>
      </c>
      <c r="T1059" t="str">
        <f t="shared" si="48"/>
        <v>Negative</v>
      </c>
      <c r="U1059" t="str">
        <f t="shared" si="49"/>
        <v>Not Sampled</v>
      </c>
      <c r="V1059" s="1" t="str">
        <f t="shared" si="50"/>
        <v>Not Sampled</v>
      </c>
    </row>
    <row r="1060" spans="1:22" x14ac:dyDescent="0.25">
      <c r="A1060" s="1">
        <v>6</v>
      </c>
      <c r="B1060" s="1">
        <v>96</v>
      </c>
      <c r="C1060" s="1">
        <v>0</v>
      </c>
      <c r="D1060" s="1">
        <v>0</v>
      </c>
      <c r="E1060" s="1">
        <v>0</v>
      </c>
      <c r="F1060" s="1">
        <v>23.7</v>
      </c>
      <c r="G1060" s="1">
        <v>0.19</v>
      </c>
      <c r="H1060" s="1">
        <v>28</v>
      </c>
      <c r="I1060" s="1">
        <v>0</v>
      </c>
      <c r="J1060" s="1">
        <f>IFERROR(VLOOKUP(K1060,[1]diabetes_Recognition!$A:$B,2,FALSE),"Not Sampled")</f>
        <v>0</v>
      </c>
      <c r="K1060" s="1">
        <v>1058</v>
      </c>
      <c r="L1060" s="1" t="str">
        <f>LOOKUP(A1060,Sheet2!$D$4:$E$9)</f>
        <v>5-7</v>
      </c>
      <c r="M1060" t="str">
        <f>LOOKUP(B1060,Sheet2!$G$4:$H$9)</f>
        <v>1-99</v>
      </c>
      <c r="N1060" t="str">
        <f>LOOKUP(C1060,Sheet2!$J$4:$K$8)</f>
        <v>Unknown</v>
      </c>
      <c r="O1060" t="str">
        <f>LOOKUP(D1060,Sheet2!$M$4:$N$8)</f>
        <v>Unknown</v>
      </c>
      <c r="P1060" t="str">
        <f>LOOKUP(E1060,Sheet2!$P$4:$Q$9)</f>
        <v>Unknown</v>
      </c>
      <c r="Q1060" t="str">
        <f>LOOKUP(F1060,Sheet2!$S$4:$T$8)</f>
        <v>1-25</v>
      </c>
      <c r="R1060" t="str">
        <f>LOOKUP(G1060,Sheet2!$V$4:$W$7)</f>
        <v>0.0 - 0.249</v>
      </c>
      <c r="S1060" t="str">
        <f>LOOKUP(H1060,Sheet2!$Z$4:$AA$7)</f>
        <v>26-35</v>
      </c>
      <c r="T1060" t="str">
        <f t="shared" si="48"/>
        <v>Negative</v>
      </c>
      <c r="U1060" t="str">
        <f t="shared" si="49"/>
        <v>Negative</v>
      </c>
      <c r="V1060" s="1" t="str">
        <f t="shared" si="50"/>
        <v>Accurate Prediction</v>
      </c>
    </row>
    <row r="1061" spans="1:22" x14ac:dyDescent="0.25">
      <c r="A1061" s="1">
        <v>1</v>
      </c>
      <c r="B1061" s="1">
        <v>124</v>
      </c>
      <c r="C1061" s="1">
        <v>74</v>
      </c>
      <c r="D1061" s="1">
        <v>36</v>
      </c>
      <c r="E1061" s="1">
        <v>0</v>
      </c>
      <c r="F1061" s="1">
        <v>27.8</v>
      </c>
      <c r="G1061" s="1">
        <v>0.1</v>
      </c>
      <c r="H1061" s="1">
        <v>30</v>
      </c>
      <c r="I1061" s="1">
        <v>0</v>
      </c>
      <c r="J1061" s="1" t="str">
        <f>IFERROR(VLOOKUP(K1061,[1]diabetes_Recognition!$A:$B,2,FALSE),"Not Sampled")</f>
        <v>Not Sampled</v>
      </c>
      <c r="K1061" s="1">
        <v>1059</v>
      </c>
      <c r="L1061" s="1">
        <f>LOOKUP(A1061,Sheet2!$D$4:$E$9)</f>
        <v>1</v>
      </c>
      <c r="M1061" t="str">
        <f>LOOKUP(B1061,Sheet2!$G$4:$H$9)</f>
        <v>100-125</v>
      </c>
      <c r="N1061" t="str">
        <f>LOOKUP(C1061,Sheet2!$J$4:$K$8)</f>
        <v>70-79</v>
      </c>
      <c r="O1061" t="str">
        <f>LOOKUP(D1061,Sheet2!$M$4:$N$8)</f>
        <v>30-39</v>
      </c>
      <c r="P1061" t="str">
        <f>LOOKUP(E1061,Sheet2!$P$4:$Q$9)</f>
        <v>Unknown</v>
      </c>
      <c r="Q1061" t="str">
        <f>LOOKUP(F1061,Sheet2!$S$4:$T$8)</f>
        <v>26-30</v>
      </c>
      <c r="R1061" t="str">
        <f>LOOKUP(G1061,Sheet2!$V$4:$W$7)</f>
        <v>0.0 - 0.249</v>
      </c>
      <c r="S1061" t="str">
        <f>LOOKUP(H1061,Sheet2!$Z$4:$AA$7)</f>
        <v>26-35</v>
      </c>
      <c r="T1061" t="str">
        <f t="shared" si="48"/>
        <v>Negative</v>
      </c>
      <c r="U1061" t="str">
        <f t="shared" si="49"/>
        <v>Not Sampled</v>
      </c>
      <c r="V1061" s="1" t="str">
        <f t="shared" si="50"/>
        <v>Not Sampled</v>
      </c>
    </row>
    <row r="1062" spans="1:22" x14ac:dyDescent="0.25">
      <c r="A1062" s="1">
        <v>7</v>
      </c>
      <c r="B1062" s="1">
        <v>150</v>
      </c>
      <c r="C1062" s="1">
        <v>78</v>
      </c>
      <c r="D1062" s="1">
        <v>29</v>
      </c>
      <c r="E1062" s="1">
        <v>126</v>
      </c>
      <c r="F1062" s="1">
        <v>35.200000000000003</v>
      </c>
      <c r="G1062" s="1">
        <v>0.69199999999999995</v>
      </c>
      <c r="H1062" s="1">
        <v>54</v>
      </c>
      <c r="I1062" s="1">
        <v>1</v>
      </c>
      <c r="J1062" s="1" t="str">
        <f>IFERROR(VLOOKUP(K1062,[1]diabetes_Recognition!$A:$B,2,FALSE),"Not Sampled")</f>
        <v>Not Sampled</v>
      </c>
      <c r="K1062" s="1">
        <v>1060</v>
      </c>
      <c r="L1062" s="1" t="str">
        <f>LOOKUP(A1062,Sheet2!$D$4:$E$9)</f>
        <v>5-7</v>
      </c>
      <c r="M1062" t="str">
        <f>LOOKUP(B1062,Sheet2!$G$4:$H$9)</f>
        <v>126-150</v>
      </c>
      <c r="N1062" t="str">
        <f>LOOKUP(C1062,Sheet2!$J$4:$K$8)</f>
        <v>70-79</v>
      </c>
      <c r="O1062" t="str">
        <f>LOOKUP(D1062,Sheet2!$M$4:$N$8)</f>
        <v>10-30</v>
      </c>
      <c r="P1062" t="str">
        <f>LOOKUP(E1062,Sheet2!$P$4:$Q$9)</f>
        <v>100-199</v>
      </c>
      <c r="Q1062" t="str">
        <f>LOOKUP(F1062,Sheet2!$S$4:$T$8)</f>
        <v>31-35</v>
      </c>
      <c r="R1062" t="str">
        <f>LOOKUP(G1062,Sheet2!$V$4:$W$7)</f>
        <v>0.4 - 0.69</v>
      </c>
      <c r="S1062" t="str">
        <f>LOOKUP(H1062,Sheet2!$Z$4:$AA$7)</f>
        <v>46+</v>
      </c>
      <c r="T1062" t="str">
        <f t="shared" si="48"/>
        <v>Positive</v>
      </c>
      <c r="U1062" t="str">
        <f t="shared" si="49"/>
        <v>Not Sampled</v>
      </c>
      <c r="V1062" s="1" t="str">
        <f t="shared" si="50"/>
        <v>Not Sampled</v>
      </c>
    </row>
    <row r="1063" spans="1:22" x14ac:dyDescent="0.25">
      <c r="A1063" s="1">
        <v>4</v>
      </c>
      <c r="B1063" s="1">
        <v>183</v>
      </c>
      <c r="C1063" s="1">
        <v>0</v>
      </c>
      <c r="D1063" s="1">
        <v>0</v>
      </c>
      <c r="E1063" s="1">
        <v>0</v>
      </c>
      <c r="F1063" s="1">
        <v>28.4</v>
      </c>
      <c r="G1063" s="1">
        <v>0.21199999999999999</v>
      </c>
      <c r="H1063" s="1">
        <v>36</v>
      </c>
      <c r="I1063" s="1">
        <v>1</v>
      </c>
      <c r="J1063" s="1" t="str">
        <f>IFERROR(VLOOKUP(K1063,[1]diabetes_Recognition!$A:$B,2,FALSE),"Not Sampled")</f>
        <v>Not Sampled</v>
      </c>
      <c r="K1063" s="1">
        <v>1061</v>
      </c>
      <c r="L1063" s="1" t="str">
        <f>LOOKUP(A1063,Sheet2!$D$4:$E$9)</f>
        <v>3-4</v>
      </c>
      <c r="M1063" t="str">
        <f>LOOKUP(B1063,Sheet2!$G$4:$H$9)</f>
        <v>176-200</v>
      </c>
      <c r="N1063" t="str">
        <f>LOOKUP(C1063,Sheet2!$J$4:$K$8)</f>
        <v>Unknown</v>
      </c>
      <c r="O1063" t="str">
        <f>LOOKUP(D1063,Sheet2!$M$4:$N$8)</f>
        <v>Unknown</v>
      </c>
      <c r="P1063" t="str">
        <f>LOOKUP(E1063,Sheet2!$P$4:$Q$9)</f>
        <v>Unknown</v>
      </c>
      <c r="Q1063" t="str">
        <f>LOOKUP(F1063,Sheet2!$S$4:$T$8)</f>
        <v>26-30</v>
      </c>
      <c r="R1063" t="str">
        <f>LOOKUP(G1063,Sheet2!$V$4:$W$7)</f>
        <v>0.0 - 0.249</v>
      </c>
      <c r="S1063" t="str">
        <f>LOOKUP(H1063,Sheet2!$Z$4:$AA$7)</f>
        <v>36-45</v>
      </c>
      <c r="T1063" t="str">
        <f t="shared" si="48"/>
        <v>Positive</v>
      </c>
      <c r="U1063" t="str">
        <f t="shared" si="49"/>
        <v>Not Sampled</v>
      </c>
      <c r="V1063" s="1" t="str">
        <f t="shared" si="50"/>
        <v>Not Sampled</v>
      </c>
    </row>
    <row r="1064" spans="1:22" x14ac:dyDescent="0.25">
      <c r="A1064" s="1">
        <v>1</v>
      </c>
      <c r="B1064" s="1">
        <v>124</v>
      </c>
      <c r="C1064" s="1">
        <v>60</v>
      </c>
      <c r="D1064" s="1">
        <v>32</v>
      </c>
      <c r="E1064" s="1">
        <v>0</v>
      </c>
      <c r="F1064" s="1">
        <v>35.799999999999997</v>
      </c>
      <c r="G1064" s="1">
        <v>0.51400000000000001</v>
      </c>
      <c r="H1064" s="1">
        <v>21</v>
      </c>
      <c r="I1064" s="1">
        <v>0</v>
      </c>
      <c r="J1064" s="1" t="str">
        <f>IFERROR(VLOOKUP(K1064,[1]diabetes_Recognition!$A:$B,2,FALSE),"Not Sampled")</f>
        <v>Not Sampled</v>
      </c>
      <c r="K1064" s="1">
        <v>1062</v>
      </c>
      <c r="L1064" s="1">
        <f>LOOKUP(A1064,Sheet2!$D$4:$E$9)</f>
        <v>1</v>
      </c>
      <c r="M1064" t="str">
        <f>LOOKUP(B1064,Sheet2!$G$4:$H$9)</f>
        <v>100-125</v>
      </c>
      <c r="N1064" t="str">
        <f>LOOKUP(C1064,Sheet2!$J$4:$K$8)</f>
        <v>60-69</v>
      </c>
      <c r="O1064" t="str">
        <f>LOOKUP(D1064,Sheet2!$M$4:$N$8)</f>
        <v>30-39</v>
      </c>
      <c r="P1064" t="str">
        <f>LOOKUP(E1064,Sheet2!$P$4:$Q$9)</f>
        <v>Unknown</v>
      </c>
      <c r="Q1064" t="str">
        <f>LOOKUP(F1064,Sheet2!$S$4:$T$8)</f>
        <v>31-35</v>
      </c>
      <c r="R1064" t="str">
        <f>LOOKUP(G1064,Sheet2!$V$4:$W$7)</f>
        <v>0.4 - 0.69</v>
      </c>
      <c r="S1064" t="str">
        <f>LOOKUP(H1064,Sheet2!$Z$4:$AA$7)</f>
        <v>&lt;=25</v>
      </c>
      <c r="T1064" t="str">
        <f t="shared" si="48"/>
        <v>Negative</v>
      </c>
      <c r="U1064" t="str">
        <f t="shared" si="49"/>
        <v>Not Sampled</v>
      </c>
      <c r="V1064" s="1" t="str">
        <f t="shared" si="50"/>
        <v>Not Sampled</v>
      </c>
    </row>
    <row r="1065" spans="1:22" x14ac:dyDescent="0.25">
      <c r="A1065" s="1">
        <v>1</v>
      </c>
      <c r="B1065" s="1">
        <v>181</v>
      </c>
      <c r="C1065" s="1">
        <v>78</v>
      </c>
      <c r="D1065" s="1">
        <v>42</v>
      </c>
      <c r="E1065" s="1">
        <v>293</v>
      </c>
      <c r="F1065" s="1">
        <v>40</v>
      </c>
      <c r="G1065" s="1">
        <v>1.258</v>
      </c>
      <c r="H1065" s="1">
        <v>22</v>
      </c>
      <c r="I1065" s="1">
        <v>1</v>
      </c>
      <c r="J1065" s="1" t="str">
        <f>IFERROR(VLOOKUP(K1065,[1]diabetes_Recognition!$A:$B,2,FALSE),"Not Sampled")</f>
        <v>Not Sampled</v>
      </c>
      <c r="K1065" s="1">
        <v>1063</v>
      </c>
      <c r="L1065" s="1">
        <f>LOOKUP(A1065,Sheet2!$D$4:$E$9)</f>
        <v>1</v>
      </c>
      <c r="M1065" t="str">
        <f>LOOKUP(B1065,Sheet2!$G$4:$H$9)</f>
        <v>176-200</v>
      </c>
      <c r="N1065" t="str">
        <f>LOOKUP(C1065,Sheet2!$J$4:$K$8)</f>
        <v>70-79</v>
      </c>
      <c r="O1065" t="str">
        <f>LOOKUP(D1065,Sheet2!$M$4:$N$8)</f>
        <v>40+</v>
      </c>
      <c r="P1065" t="str">
        <f>LOOKUP(E1065,Sheet2!$P$4:$Q$9)</f>
        <v>200-399</v>
      </c>
      <c r="Q1065" t="str">
        <f>LOOKUP(F1065,Sheet2!$S$4:$T$8)</f>
        <v>36+</v>
      </c>
      <c r="R1065" t="str">
        <f>LOOKUP(G1065,Sheet2!$V$4:$W$7)</f>
        <v>0.7+</v>
      </c>
      <c r="S1065" t="str">
        <f>LOOKUP(H1065,Sheet2!$Z$4:$AA$7)</f>
        <v>&lt;=25</v>
      </c>
      <c r="T1065" t="str">
        <f t="shared" si="48"/>
        <v>Positive</v>
      </c>
      <c r="U1065" t="str">
        <f t="shared" si="49"/>
        <v>Not Sampled</v>
      </c>
      <c r="V1065" s="1" t="str">
        <f t="shared" si="50"/>
        <v>Not Sampled</v>
      </c>
    </row>
    <row r="1066" spans="1:22" x14ac:dyDescent="0.25">
      <c r="A1066" s="1">
        <v>1</v>
      </c>
      <c r="B1066" s="1">
        <v>92</v>
      </c>
      <c r="C1066" s="1">
        <v>62</v>
      </c>
      <c r="D1066" s="1">
        <v>25</v>
      </c>
      <c r="E1066" s="1">
        <v>41</v>
      </c>
      <c r="F1066" s="1">
        <v>19.5</v>
      </c>
      <c r="G1066" s="1">
        <v>0.48199999999999998</v>
      </c>
      <c r="H1066" s="1">
        <v>25</v>
      </c>
      <c r="I1066" s="1">
        <v>0</v>
      </c>
      <c r="J1066" s="1" t="str">
        <f>IFERROR(VLOOKUP(K1066,[1]diabetes_Recognition!$A:$B,2,FALSE),"Not Sampled")</f>
        <v>Not Sampled</v>
      </c>
      <c r="K1066" s="1">
        <v>1064</v>
      </c>
      <c r="L1066" s="1">
        <f>LOOKUP(A1066,Sheet2!$D$4:$E$9)</f>
        <v>1</v>
      </c>
      <c r="M1066" t="str">
        <f>LOOKUP(B1066,Sheet2!$G$4:$H$9)</f>
        <v>1-99</v>
      </c>
      <c r="N1066" t="str">
        <f>LOOKUP(C1066,Sheet2!$J$4:$K$8)</f>
        <v>60-69</v>
      </c>
      <c r="O1066" t="str">
        <f>LOOKUP(D1066,Sheet2!$M$4:$N$8)</f>
        <v>10-30</v>
      </c>
      <c r="P1066" t="str">
        <f>LOOKUP(E1066,Sheet2!$P$4:$Q$9)</f>
        <v>1-99</v>
      </c>
      <c r="Q1066" t="str">
        <f>LOOKUP(F1066,Sheet2!$S$4:$T$8)</f>
        <v>1-25</v>
      </c>
      <c r="R1066" t="str">
        <f>LOOKUP(G1066,Sheet2!$V$4:$W$7)</f>
        <v>0.4 - 0.69</v>
      </c>
      <c r="S1066" t="str">
        <f>LOOKUP(H1066,Sheet2!$Z$4:$AA$7)</f>
        <v>&lt;=25</v>
      </c>
      <c r="T1066" t="str">
        <f t="shared" si="48"/>
        <v>Negative</v>
      </c>
      <c r="U1066" t="str">
        <f t="shared" si="49"/>
        <v>Not Sampled</v>
      </c>
      <c r="V1066" s="1" t="str">
        <f t="shared" si="50"/>
        <v>Not Sampled</v>
      </c>
    </row>
    <row r="1067" spans="1:22" x14ac:dyDescent="0.25">
      <c r="A1067" s="1">
        <v>0</v>
      </c>
      <c r="B1067" s="1">
        <v>152</v>
      </c>
      <c r="C1067" s="1">
        <v>82</v>
      </c>
      <c r="D1067" s="1">
        <v>39</v>
      </c>
      <c r="E1067" s="1">
        <v>272</v>
      </c>
      <c r="F1067" s="1">
        <v>41.5</v>
      </c>
      <c r="G1067" s="1">
        <v>0.27</v>
      </c>
      <c r="H1067" s="1">
        <v>27</v>
      </c>
      <c r="I1067" s="1">
        <v>0</v>
      </c>
      <c r="J1067" s="1">
        <f>IFERROR(VLOOKUP(K1067,[1]diabetes_Recognition!$A:$B,2,FALSE),"Not Sampled")</f>
        <v>0</v>
      </c>
      <c r="K1067" s="1">
        <v>1065</v>
      </c>
      <c r="L1067" s="1">
        <f>LOOKUP(A1067,Sheet2!$D$4:$E$9)</f>
        <v>0</v>
      </c>
      <c r="M1067" t="str">
        <f>LOOKUP(B1067,Sheet2!$G$4:$H$9)</f>
        <v>151-175</v>
      </c>
      <c r="N1067" t="str">
        <f>LOOKUP(C1067,Sheet2!$J$4:$K$8)</f>
        <v>80+</v>
      </c>
      <c r="O1067" t="str">
        <f>LOOKUP(D1067,Sheet2!$M$4:$N$8)</f>
        <v>30-39</v>
      </c>
      <c r="P1067" t="str">
        <f>LOOKUP(E1067,Sheet2!$P$4:$Q$9)</f>
        <v>200-399</v>
      </c>
      <c r="Q1067" t="str">
        <f>LOOKUP(F1067,Sheet2!$S$4:$T$8)</f>
        <v>36+</v>
      </c>
      <c r="R1067" t="str">
        <f>LOOKUP(G1067,Sheet2!$V$4:$W$7)</f>
        <v>0.25 - 0.39</v>
      </c>
      <c r="S1067" t="str">
        <f>LOOKUP(H1067,Sheet2!$Z$4:$AA$7)</f>
        <v>26-35</v>
      </c>
      <c r="T1067" t="str">
        <f t="shared" si="48"/>
        <v>Negative</v>
      </c>
      <c r="U1067" t="str">
        <f t="shared" si="49"/>
        <v>Negative</v>
      </c>
      <c r="V1067" s="1" t="str">
        <f t="shared" si="50"/>
        <v>Accurate Prediction</v>
      </c>
    </row>
    <row r="1068" spans="1:22" x14ac:dyDescent="0.25">
      <c r="A1068" s="1">
        <v>1</v>
      </c>
      <c r="B1068" s="1">
        <v>111</v>
      </c>
      <c r="C1068" s="1">
        <v>62</v>
      </c>
      <c r="D1068" s="1">
        <v>13</v>
      </c>
      <c r="E1068" s="1">
        <v>182</v>
      </c>
      <c r="F1068" s="1">
        <v>24</v>
      </c>
      <c r="G1068" s="1">
        <v>0.13800000000000001</v>
      </c>
      <c r="H1068" s="1">
        <v>23</v>
      </c>
      <c r="I1068" s="1">
        <v>0</v>
      </c>
      <c r="J1068" s="1" t="str">
        <f>IFERROR(VLOOKUP(K1068,[1]diabetes_Recognition!$A:$B,2,FALSE),"Not Sampled")</f>
        <v>Not Sampled</v>
      </c>
      <c r="K1068" s="1">
        <v>1066</v>
      </c>
      <c r="L1068" s="1">
        <f>LOOKUP(A1068,Sheet2!$D$4:$E$9)</f>
        <v>1</v>
      </c>
      <c r="M1068" t="str">
        <f>LOOKUP(B1068,Sheet2!$G$4:$H$9)</f>
        <v>100-125</v>
      </c>
      <c r="N1068" t="str">
        <f>LOOKUP(C1068,Sheet2!$J$4:$K$8)</f>
        <v>60-69</v>
      </c>
      <c r="O1068" t="str">
        <f>LOOKUP(D1068,Sheet2!$M$4:$N$8)</f>
        <v>10-30</v>
      </c>
      <c r="P1068" t="str">
        <f>LOOKUP(E1068,Sheet2!$P$4:$Q$9)</f>
        <v>100-199</v>
      </c>
      <c r="Q1068" t="str">
        <f>LOOKUP(F1068,Sheet2!$S$4:$T$8)</f>
        <v>1-25</v>
      </c>
      <c r="R1068" t="str">
        <f>LOOKUP(G1068,Sheet2!$V$4:$W$7)</f>
        <v>0.0 - 0.249</v>
      </c>
      <c r="S1068" t="str">
        <f>LOOKUP(H1068,Sheet2!$Z$4:$AA$7)</f>
        <v>&lt;=25</v>
      </c>
      <c r="T1068" t="str">
        <f t="shared" si="48"/>
        <v>Negative</v>
      </c>
      <c r="U1068" t="str">
        <f t="shared" si="49"/>
        <v>Not Sampled</v>
      </c>
      <c r="V1068" s="1" t="str">
        <f t="shared" si="50"/>
        <v>Not Sampled</v>
      </c>
    </row>
    <row r="1069" spans="1:22" x14ac:dyDescent="0.25">
      <c r="A1069" s="1">
        <v>3</v>
      </c>
      <c r="B1069" s="1">
        <v>106</v>
      </c>
      <c r="C1069" s="1">
        <v>54</v>
      </c>
      <c r="D1069" s="1">
        <v>21</v>
      </c>
      <c r="E1069" s="1">
        <v>158</v>
      </c>
      <c r="F1069" s="1">
        <v>30.9</v>
      </c>
      <c r="G1069" s="1">
        <v>0.29199999999999998</v>
      </c>
      <c r="H1069" s="1">
        <v>24</v>
      </c>
      <c r="I1069" s="1">
        <v>0</v>
      </c>
      <c r="J1069" s="1" t="str">
        <f>IFERROR(VLOOKUP(K1069,[1]diabetes_Recognition!$A:$B,2,FALSE),"Not Sampled")</f>
        <v>Not Sampled</v>
      </c>
      <c r="K1069" s="1">
        <v>1067</v>
      </c>
      <c r="L1069" s="1" t="str">
        <f>LOOKUP(A1069,Sheet2!$D$4:$E$9)</f>
        <v>3-4</v>
      </c>
      <c r="M1069" t="str">
        <f>LOOKUP(B1069,Sheet2!$G$4:$H$9)</f>
        <v>100-125</v>
      </c>
      <c r="N1069" t="str">
        <f>LOOKUP(C1069,Sheet2!$J$4:$K$8)</f>
        <v>1-59</v>
      </c>
      <c r="O1069" t="str">
        <f>LOOKUP(D1069,Sheet2!$M$4:$N$8)</f>
        <v>10-30</v>
      </c>
      <c r="P1069" t="str">
        <f>LOOKUP(E1069,Sheet2!$P$4:$Q$9)</f>
        <v>100-199</v>
      </c>
      <c r="Q1069" t="str">
        <f>LOOKUP(F1069,Sheet2!$S$4:$T$8)</f>
        <v>26-30</v>
      </c>
      <c r="R1069" t="str">
        <f>LOOKUP(G1069,Sheet2!$V$4:$W$7)</f>
        <v>0.25 - 0.39</v>
      </c>
      <c r="S1069" t="str">
        <f>LOOKUP(H1069,Sheet2!$Z$4:$AA$7)</f>
        <v>&lt;=25</v>
      </c>
      <c r="T1069" t="str">
        <f t="shared" si="48"/>
        <v>Negative</v>
      </c>
      <c r="U1069" t="str">
        <f t="shared" si="49"/>
        <v>Not Sampled</v>
      </c>
      <c r="V1069" s="1" t="str">
        <f t="shared" si="50"/>
        <v>Not Sampled</v>
      </c>
    </row>
    <row r="1070" spans="1:22" x14ac:dyDescent="0.25">
      <c r="A1070" s="1">
        <v>3</v>
      </c>
      <c r="B1070" s="1">
        <v>174</v>
      </c>
      <c r="C1070" s="1">
        <v>58</v>
      </c>
      <c r="D1070" s="1">
        <v>22</v>
      </c>
      <c r="E1070" s="1">
        <v>194</v>
      </c>
      <c r="F1070" s="1">
        <v>32.9</v>
      </c>
      <c r="G1070" s="1">
        <v>0.59299999999999997</v>
      </c>
      <c r="H1070" s="1">
        <v>36</v>
      </c>
      <c r="I1070" s="1">
        <v>1</v>
      </c>
      <c r="J1070" s="1">
        <f>IFERROR(VLOOKUP(K1070,[1]diabetes_Recognition!$A:$B,2,FALSE),"Not Sampled")</f>
        <v>1</v>
      </c>
      <c r="K1070" s="1">
        <v>1068</v>
      </c>
      <c r="L1070" s="1" t="str">
        <f>LOOKUP(A1070,Sheet2!$D$4:$E$9)</f>
        <v>3-4</v>
      </c>
      <c r="M1070" t="str">
        <f>LOOKUP(B1070,Sheet2!$G$4:$H$9)</f>
        <v>151-175</v>
      </c>
      <c r="N1070" t="str">
        <f>LOOKUP(C1070,Sheet2!$J$4:$K$8)</f>
        <v>1-59</v>
      </c>
      <c r="O1070" t="str">
        <f>LOOKUP(D1070,Sheet2!$M$4:$N$8)</f>
        <v>10-30</v>
      </c>
      <c r="P1070" t="str">
        <f>LOOKUP(E1070,Sheet2!$P$4:$Q$9)</f>
        <v>100-199</v>
      </c>
      <c r="Q1070" t="str">
        <f>LOOKUP(F1070,Sheet2!$S$4:$T$8)</f>
        <v>31-35</v>
      </c>
      <c r="R1070" t="str">
        <f>LOOKUP(G1070,Sheet2!$V$4:$W$7)</f>
        <v>0.4 - 0.69</v>
      </c>
      <c r="S1070" t="str">
        <f>LOOKUP(H1070,Sheet2!$Z$4:$AA$7)</f>
        <v>36-45</v>
      </c>
      <c r="T1070" t="str">
        <f t="shared" si="48"/>
        <v>Positive</v>
      </c>
      <c r="U1070" t="str">
        <f t="shared" si="49"/>
        <v>Positive</v>
      </c>
      <c r="V1070" s="1" t="str">
        <f t="shared" si="50"/>
        <v>Accurate Prediction</v>
      </c>
    </row>
    <row r="1071" spans="1:22" x14ac:dyDescent="0.25">
      <c r="A1071" s="1">
        <v>7</v>
      </c>
      <c r="B1071" s="1">
        <v>168</v>
      </c>
      <c r="C1071" s="1">
        <v>88</v>
      </c>
      <c r="D1071" s="1">
        <v>42</v>
      </c>
      <c r="E1071" s="1">
        <v>321</v>
      </c>
      <c r="F1071" s="1">
        <v>38.200000000000003</v>
      </c>
      <c r="G1071" s="1">
        <v>0.78700000000000003</v>
      </c>
      <c r="H1071" s="1">
        <v>40</v>
      </c>
      <c r="I1071" s="1">
        <v>1</v>
      </c>
      <c r="J1071" s="1" t="str">
        <f>IFERROR(VLOOKUP(K1071,[1]diabetes_Recognition!$A:$B,2,FALSE),"Not Sampled")</f>
        <v>Not Sampled</v>
      </c>
      <c r="K1071" s="1">
        <v>1069</v>
      </c>
      <c r="L1071" s="1" t="str">
        <f>LOOKUP(A1071,Sheet2!$D$4:$E$9)</f>
        <v>5-7</v>
      </c>
      <c r="M1071" t="str">
        <f>LOOKUP(B1071,Sheet2!$G$4:$H$9)</f>
        <v>151-175</v>
      </c>
      <c r="N1071" t="str">
        <f>LOOKUP(C1071,Sheet2!$J$4:$K$8)</f>
        <v>80+</v>
      </c>
      <c r="O1071" t="str">
        <f>LOOKUP(D1071,Sheet2!$M$4:$N$8)</f>
        <v>40+</v>
      </c>
      <c r="P1071" t="str">
        <f>LOOKUP(E1071,Sheet2!$P$4:$Q$9)</f>
        <v>300-499</v>
      </c>
      <c r="Q1071" t="str">
        <f>LOOKUP(F1071,Sheet2!$S$4:$T$8)</f>
        <v>36+</v>
      </c>
      <c r="R1071" t="str">
        <f>LOOKUP(G1071,Sheet2!$V$4:$W$7)</f>
        <v>0.7+</v>
      </c>
      <c r="S1071" t="str">
        <f>LOOKUP(H1071,Sheet2!$Z$4:$AA$7)</f>
        <v>36-45</v>
      </c>
      <c r="T1071" t="str">
        <f t="shared" si="48"/>
        <v>Positive</v>
      </c>
      <c r="U1071" t="str">
        <f t="shared" si="49"/>
        <v>Not Sampled</v>
      </c>
      <c r="V1071" s="1" t="str">
        <f t="shared" si="50"/>
        <v>Not Sampled</v>
      </c>
    </row>
    <row r="1072" spans="1:22" x14ac:dyDescent="0.25">
      <c r="A1072" s="1">
        <v>6</v>
      </c>
      <c r="B1072" s="1">
        <v>105</v>
      </c>
      <c r="C1072" s="1">
        <v>80</v>
      </c>
      <c r="D1072" s="1">
        <v>28</v>
      </c>
      <c r="E1072" s="1">
        <v>0</v>
      </c>
      <c r="F1072" s="1">
        <v>32.5</v>
      </c>
      <c r="G1072" s="1">
        <v>0.878</v>
      </c>
      <c r="H1072" s="1">
        <v>26</v>
      </c>
      <c r="I1072" s="1">
        <v>0</v>
      </c>
      <c r="J1072" s="1" t="str">
        <f>IFERROR(VLOOKUP(K1072,[1]diabetes_Recognition!$A:$B,2,FALSE),"Not Sampled")</f>
        <v>Not Sampled</v>
      </c>
      <c r="K1072" s="1">
        <v>1070</v>
      </c>
      <c r="L1072" s="1" t="str">
        <f>LOOKUP(A1072,Sheet2!$D$4:$E$9)</f>
        <v>5-7</v>
      </c>
      <c r="M1072" t="str">
        <f>LOOKUP(B1072,Sheet2!$G$4:$H$9)</f>
        <v>100-125</v>
      </c>
      <c r="N1072" t="str">
        <f>LOOKUP(C1072,Sheet2!$J$4:$K$8)</f>
        <v>80+</v>
      </c>
      <c r="O1072" t="str">
        <f>LOOKUP(D1072,Sheet2!$M$4:$N$8)</f>
        <v>10-30</v>
      </c>
      <c r="P1072" t="str">
        <f>LOOKUP(E1072,Sheet2!$P$4:$Q$9)</f>
        <v>Unknown</v>
      </c>
      <c r="Q1072" t="str">
        <f>LOOKUP(F1072,Sheet2!$S$4:$T$8)</f>
        <v>31-35</v>
      </c>
      <c r="R1072" t="str">
        <f>LOOKUP(G1072,Sheet2!$V$4:$W$7)</f>
        <v>0.7+</v>
      </c>
      <c r="S1072" t="str">
        <f>LOOKUP(H1072,Sheet2!$Z$4:$AA$7)</f>
        <v>26-35</v>
      </c>
      <c r="T1072" t="str">
        <f t="shared" si="48"/>
        <v>Negative</v>
      </c>
      <c r="U1072" t="str">
        <f t="shared" si="49"/>
        <v>Not Sampled</v>
      </c>
      <c r="V1072" s="1" t="str">
        <f t="shared" si="50"/>
        <v>Not Sampled</v>
      </c>
    </row>
    <row r="1073" spans="1:22" x14ac:dyDescent="0.25">
      <c r="A1073" s="1">
        <v>11</v>
      </c>
      <c r="B1073" s="1">
        <v>138</v>
      </c>
      <c r="C1073" s="1">
        <v>74</v>
      </c>
      <c r="D1073" s="1">
        <v>26</v>
      </c>
      <c r="E1073" s="1">
        <v>144</v>
      </c>
      <c r="F1073" s="1">
        <v>36.1</v>
      </c>
      <c r="G1073" s="1">
        <v>0.55700000000000005</v>
      </c>
      <c r="H1073" s="1">
        <v>50</v>
      </c>
      <c r="I1073" s="1">
        <v>1</v>
      </c>
      <c r="J1073" s="1">
        <f>IFERROR(VLOOKUP(K1073,[1]diabetes_Recognition!$A:$B,2,FALSE),"Not Sampled")</f>
        <v>1</v>
      </c>
      <c r="K1073" s="1">
        <v>1071</v>
      </c>
      <c r="L1073" s="1" t="str">
        <f>LOOKUP(A1073,Sheet2!$D$4:$E$9)</f>
        <v>8+</v>
      </c>
      <c r="M1073" t="str">
        <f>LOOKUP(B1073,Sheet2!$G$4:$H$9)</f>
        <v>126-150</v>
      </c>
      <c r="N1073" t="str">
        <f>LOOKUP(C1073,Sheet2!$J$4:$K$8)</f>
        <v>70-79</v>
      </c>
      <c r="O1073" t="str">
        <f>LOOKUP(D1073,Sheet2!$M$4:$N$8)</f>
        <v>10-30</v>
      </c>
      <c r="P1073" t="str">
        <f>LOOKUP(E1073,Sheet2!$P$4:$Q$9)</f>
        <v>100-199</v>
      </c>
      <c r="Q1073" t="str">
        <f>LOOKUP(F1073,Sheet2!$S$4:$T$8)</f>
        <v>36+</v>
      </c>
      <c r="R1073" t="str">
        <f>LOOKUP(G1073,Sheet2!$V$4:$W$7)</f>
        <v>0.4 - 0.69</v>
      </c>
      <c r="S1073" t="str">
        <f>LOOKUP(H1073,Sheet2!$Z$4:$AA$7)</f>
        <v>46+</v>
      </c>
      <c r="T1073" t="str">
        <f t="shared" si="48"/>
        <v>Positive</v>
      </c>
      <c r="U1073" t="str">
        <f t="shared" si="49"/>
        <v>Positive</v>
      </c>
      <c r="V1073" s="1" t="str">
        <f t="shared" si="50"/>
        <v>Accurate Prediction</v>
      </c>
    </row>
    <row r="1074" spans="1:22" x14ac:dyDescent="0.25">
      <c r="A1074" s="1">
        <v>3</v>
      </c>
      <c r="B1074" s="1">
        <v>106</v>
      </c>
      <c r="C1074" s="1">
        <v>72</v>
      </c>
      <c r="D1074" s="1">
        <v>0</v>
      </c>
      <c r="E1074" s="1">
        <v>0</v>
      </c>
      <c r="F1074" s="1">
        <v>25.8</v>
      </c>
      <c r="G1074" s="1">
        <v>0.20699999999999999</v>
      </c>
      <c r="H1074" s="1">
        <v>27</v>
      </c>
      <c r="I1074" s="1">
        <v>0</v>
      </c>
      <c r="J1074" s="1" t="str">
        <f>IFERROR(VLOOKUP(K1074,[1]diabetes_Recognition!$A:$B,2,FALSE),"Not Sampled")</f>
        <v>Not Sampled</v>
      </c>
      <c r="K1074" s="1">
        <v>1072</v>
      </c>
      <c r="L1074" s="1" t="str">
        <f>LOOKUP(A1074,Sheet2!$D$4:$E$9)</f>
        <v>3-4</v>
      </c>
      <c r="M1074" t="str">
        <f>LOOKUP(B1074,Sheet2!$G$4:$H$9)</f>
        <v>100-125</v>
      </c>
      <c r="N1074" t="str">
        <f>LOOKUP(C1074,Sheet2!$J$4:$K$8)</f>
        <v>70-79</v>
      </c>
      <c r="O1074" t="str">
        <f>LOOKUP(D1074,Sheet2!$M$4:$N$8)</f>
        <v>Unknown</v>
      </c>
      <c r="P1074" t="str">
        <f>LOOKUP(E1074,Sheet2!$P$4:$Q$9)</f>
        <v>Unknown</v>
      </c>
      <c r="Q1074" t="str">
        <f>LOOKUP(F1074,Sheet2!$S$4:$T$8)</f>
        <v>1-25</v>
      </c>
      <c r="R1074" t="str">
        <f>LOOKUP(G1074,Sheet2!$V$4:$W$7)</f>
        <v>0.0 - 0.249</v>
      </c>
      <c r="S1074" t="str">
        <f>LOOKUP(H1074,Sheet2!$Z$4:$AA$7)</f>
        <v>26-35</v>
      </c>
      <c r="T1074" t="str">
        <f t="shared" si="48"/>
        <v>Negative</v>
      </c>
      <c r="U1074" t="str">
        <f t="shared" si="49"/>
        <v>Not Sampled</v>
      </c>
      <c r="V1074" s="1" t="str">
        <f t="shared" si="50"/>
        <v>Not Sampled</v>
      </c>
    </row>
    <row r="1075" spans="1:22" x14ac:dyDescent="0.25">
      <c r="A1075" s="1">
        <v>6</v>
      </c>
      <c r="B1075" s="1">
        <v>117</v>
      </c>
      <c r="C1075" s="1">
        <v>96</v>
      </c>
      <c r="D1075" s="1">
        <v>0</v>
      </c>
      <c r="E1075" s="1">
        <v>0</v>
      </c>
      <c r="F1075" s="1">
        <v>28.7</v>
      </c>
      <c r="G1075" s="1">
        <v>0.157</v>
      </c>
      <c r="H1075" s="1">
        <v>30</v>
      </c>
      <c r="I1075" s="1">
        <v>0</v>
      </c>
      <c r="J1075" s="1">
        <f>IFERROR(VLOOKUP(K1075,[1]diabetes_Recognition!$A:$B,2,FALSE),"Not Sampled")</f>
        <v>0</v>
      </c>
      <c r="K1075" s="1">
        <v>1073</v>
      </c>
      <c r="L1075" s="1" t="str">
        <f>LOOKUP(A1075,Sheet2!$D$4:$E$9)</f>
        <v>5-7</v>
      </c>
      <c r="M1075" t="str">
        <f>LOOKUP(B1075,Sheet2!$G$4:$H$9)</f>
        <v>100-125</v>
      </c>
      <c r="N1075" t="str">
        <f>LOOKUP(C1075,Sheet2!$J$4:$K$8)</f>
        <v>80+</v>
      </c>
      <c r="O1075" t="str">
        <f>LOOKUP(D1075,Sheet2!$M$4:$N$8)</f>
        <v>Unknown</v>
      </c>
      <c r="P1075" t="str">
        <f>LOOKUP(E1075,Sheet2!$P$4:$Q$9)</f>
        <v>Unknown</v>
      </c>
      <c r="Q1075" t="str">
        <f>LOOKUP(F1075,Sheet2!$S$4:$T$8)</f>
        <v>26-30</v>
      </c>
      <c r="R1075" t="str">
        <f>LOOKUP(G1075,Sheet2!$V$4:$W$7)</f>
        <v>0.0 - 0.249</v>
      </c>
      <c r="S1075" t="str">
        <f>LOOKUP(H1075,Sheet2!$Z$4:$AA$7)</f>
        <v>26-35</v>
      </c>
      <c r="T1075" t="str">
        <f t="shared" si="48"/>
        <v>Negative</v>
      </c>
      <c r="U1075" t="str">
        <f t="shared" si="49"/>
        <v>Negative</v>
      </c>
      <c r="V1075" s="1" t="str">
        <f t="shared" si="50"/>
        <v>Accurate Prediction</v>
      </c>
    </row>
    <row r="1076" spans="1:22" x14ac:dyDescent="0.25">
      <c r="A1076" s="1">
        <v>2</v>
      </c>
      <c r="B1076" s="1">
        <v>68</v>
      </c>
      <c r="C1076" s="1">
        <v>62</v>
      </c>
      <c r="D1076" s="1">
        <v>13</v>
      </c>
      <c r="E1076" s="1">
        <v>15</v>
      </c>
      <c r="F1076" s="1">
        <v>20.100000000000001</v>
      </c>
      <c r="G1076" s="1">
        <v>0.25700000000000001</v>
      </c>
      <c r="H1076" s="1">
        <v>23</v>
      </c>
      <c r="I1076" s="1">
        <v>0</v>
      </c>
      <c r="J1076" s="1" t="str">
        <f>IFERROR(VLOOKUP(K1076,[1]diabetes_Recognition!$A:$B,2,FALSE),"Not Sampled")</f>
        <v>Not Sampled</v>
      </c>
      <c r="K1076" s="1">
        <v>1074</v>
      </c>
      <c r="L1076" s="1">
        <f>LOOKUP(A1076,Sheet2!$D$4:$E$9)</f>
        <v>2</v>
      </c>
      <c r="M1076" t="str">
        <f>LOOKUP(B1076,Sheet2!$G$4:$H$9)</f>
        <v>1-99</v>
      </c>
      <c r="N1076" t="str">
        <f>LOOKUP(C1076,Sheet2!$J$4:$K$8)</f>
        <v>60-69</v>
      </c>
      <c r="O1076" t="str">
        <f>LOOKUP(D1076,Sheet2!$M$4:$N$8)</f>
        <v>10-30</v>
      </c>
      <c r="P1076" t="str">
        <f>LOOKUP(E1076,Sheet2!$P$4:$Q$9)</f>
        <v>1-99</v>
      </c>
      <c r="Q1076" t="str">
        <f>LOOKUP(F1076,Sheet2!$S$4:$T$8)</f>
        <v>1-25</v>
      </c>
      <c r="R1076" t="str">
        <f>LOOKUP(G1076,Sheet2!$V$4:$W$7)</f>
        <v>0.25 - 0.39</v>
      </c>
      <c r="S1076" t="str">
        <f>LOOKUP(H1076,Sheet2!$Z$4:$AA$7)</f>
        <v>&lt;=25</v>
      </c>
      <c r="T1076" t="str">
        <f t="shared" si="48"/>
        <v>Negative</v>
      </c>
      <c r="U1076" t="str">
        <f t="shared" si="49"/>
        <v>Not Sampled</v>
      </c>
      <c r="V1076" s="1" t="str">
        <f t="shared" si="50"/>
        <v>Not Sampled</v>
      </c>
    </row>
    <row r="1077" spans="1:22" x14ac:dyDescent="0.25">
      <c r="A1077" s="1">
        <v>9</v>
      </c>
      <c r="B1077" s="1">
        <v>112</v>
      </c>
      <c r="C1077" s="1">
        <v>82</v>
      </c>
      <c r="D1077" s="1">
        <v>24</v>
      </c>
      <c r="E1077" s="1">
        <v>0</v>
      </c>
      <c r="F1077" s="1">
        <v>28.2</v>
      </c>
      <c r="G1077" s="1">
        <v>1.282</v>
      </c>
      <c r="H1077" s="1">
        <v>50</v>
      </c>
      <c r="I1077" s="1">
        <v>1</v>
      </c>
      <c r="J1077" s="1" t="str">
        <f>IFERROR(VLOOKUP(K1077,[1]diabetes_Recognition!$A:$B,2,FALSE),"Not Sampled")</f>
        <v>Not Sampled</v>
      </c>
      <c r="K1077" s="1">
        <v>1075</v>
      </c>
      <c r="L1077" s="1" t="str">
        <f>LOOKUP(A1077,Sheet2!$D$4:$E$9)</f>
        <v>8+</v>
      </c>
      <c r="M1077" t="str">
        <f>LOOKUP(B1077,Sheet2!$G$4:$H$9)</f>
        <v>100-125</v>
      </c>
      <c r="N1077" t="str">
        <f>LOOKUP(C1077,Sheet2!$J$4:$K$8)</f>
        <v>80+</v>
      </c>
      <c r="O1077" t="str">
        <f>LOOKUP(D1077,Sheet2!$M$4:$N$8)</f>
        <v>10-30</v>
      </c>
      <c r="P1077" t="str">
        <f>LOOKUP(E1077,Sheet2!$P$4:$Q$9)</f>
        <v>Unknown</v>
      </c>
      <c r="Q1077" t="str">
        <f>LOOKUP(F1077,Sheet2!$S$4:$T$8)</f>
        <v>26-30</v>
      </c>
      <c r="R1077" t="str">
        <f>LOOKUP(G1077,Sheet2!$V$4:$W$7)</f>
        <v>0.7+</v>
      </c>
      <c r="S1077" t="str">
        <f>LOOKUP(H1077,Sheet2!$Z$4:$AA$7)</f>
        <v>46+</v>
      </c>
      <c r="T1077" t="str">
        <f t="shared" si="48"/>
        <v>Positive</v>
      </c>
      <c r="U1077" t="str">
        <f t="shared" si="49"/>
        <v>Not Sampled</v>
      </c>
      <c r="V1077" s="1" t="str">
        <f t="shared" si="50"/>
        <v>Not Sampled</v>
      </c>
    </row>
    <row r="1078" spans="1:22" x14ac:dyDescent="0.25">
      <c r="A1078" s="1">
        <v>0</v>
      </c>
      <c r="B1078" s="1">
        <v>119</v>
      </c>
      <c r="C1078" s="1">
        <v>0</v>
      </c>
      <c r="D1078" s="1">
        <v>0</v>
      </c>
      <c r="E1078" s="1">
        <v>0</v>
      </c>
      <c r="F1078" s="1">
        <v>32.4</v>
      </c>
      <c r="G1078" s="1">
        <v>0.14099999999999999</v>
      </c>
      <c r="H1078" s="1">
        <v>24</v>
      </c>
      <c r="I1078" s="1">
        <v>1</v>
      </c>
      <c r="J1078" s="1" t="str">
        <f>IFERROR(VLOOKUP(K1078,[1]diabetes_Recognition!$A:$B,2,FALSE),"Not Sampled")</f>
        <v>Not Sampled</v>
      </c>
      <c r="K1078" s="1">
        <v>1076</v>
      </c>
      <c r="L1078" s="1">
        <f>LOOKUP(A1078,Sheet2!$D$4:$E$9)</f>
        <v>0</v>
      </c>
      <c r="M1078" t="str">
        <f>LOOKUP(B1078,Sheet2!$G$4:$H$9)</f>
        <v>100-125</v>
      </c>
      <c r="N1078" t="str">
        <f>LOOKUP(C1078,Sheet2!$J$4:$K$8)</f>
        <v>Unknown</v>
      </c>
      <c r="O1078" t="str">
        <f>LOOKUP(D1078,Sheet2!$M$4:$N$8)</f>
        <v>Unknown</v>
      </c>
      <c r="P1078" t="str">
        <f>LOOKUP(E1078,Sheet2!$P$4:$Q$9)</f>
        <v>Unknown</v>
      </c>
      <c r="Q1078" t="str">
        <f>LOOKUP(F1078,Sheet2!$S$4:$T$8)</f>
        <v>31-35</v>
      </c>
      <c r="R1078" t="str">
        <f>LOOKUP(G1078,Sheet2!$V$4:$W$7)</f>
        <v>0.0 - 0.249</v>
      </c>
      <c r="S1078" t="str">
        <f>LOOKUP(H1078,Sheet2!$Z$4:$AA$7)</f>
        <v>&lt;=25</v>
      </c>
      <c r="T1078" t="str">
        <f t="shared" si="48"/>
        <v>Positive</v>
      </c>
      <c r="U1078" t="str">
        <f t="shared" si="49"/>
        <v>Not Sampled</v>
      </c>
      <c r="V1078" s="1" t="str">
        <f t="shared" si="50"/>
        <v>Not Sampled</v>
      </c>
    </row>
    <row r="1079" spans="1:22" x14ac:dyDescent="0.25">
      <c r="A1079" s="1">
        <v>2</v>
      </c>
      <c r="B1079" s="1">
        <v>112</v>
      </c>
      <c r="C1079" s="1">
        <v>86</v>
      </c>
      <c r="D1079" s="1">
        <v>42</v>
      </c>
      <c r="E1079" s="1">
        <v>160</v>
      </c>
      <c r="F1079" s="1">
        <v>38.4</v>
      </c>
      <c r="G1079" s="1">
        <v>0.246</v>
      </c>
      <c r="H1079" s="1">
        <v>28</v>
      </c>
      <c r="I1079" s="1">
        <v>0</v>
      </c>
      <c r="J1079" s="1" t="str">
        <f>IFERROR(VLOOKUP(K1079,[1]diabetes_Recognition!$A:$B,2,FALSE),"Not Sampled")</f>
        <v>Not Sampled</v>
      </c>
      <c r="K1079" s="1">
        <v>1077</v>
      </c>
      <c r="L1079" s="1">
        <f>LOOKUP(A1079,Sheet2!$D$4:$E$9)</f>
        <v>2</v>
      </c>
      <c r="M1079" t="str">
        <f>LOOKUP(B1079,Sheet2!$G$4:$H$9)</f>
        <v>100-125</v>
      </c>
      <c r="N1079" t="str">
        <f>LOOKUP(C1079,Sheet2!$J$4:$K$8)</f>
        <v>80+</v>
      </c>
      <c r="O1079" t="str">
        <f>LOOKUP(D1079,Sheet2!$M$4:$N$8)</f>
        <v>40+</v>
      </c>
      <c r="P1079" t="str">
        <f>LOOKUP(E1079,Sheet2!$P$4:$Q$9)</f>
        <v>100-199</v>
      </c>
      <c r="Q1079" t="str">
        <f>LOOKUP(F1079,Sheet2!$S$4:$T$8)</f>
        <v>36+</v>
      </c>
      <c r="R1079" t="str">
        <f>LOOKUP(G1079,Sheet2!$V$4:$W$7)</f>
        <v>0.0 - 0.249</v>
      </c>
      <c r="S1079" t="str">
        <f>LOOKUP(H1079,Sheet2!$Z$4:$AA$7)</f>
        <v>26-35</v>
      </c>
      <c r="T1079" t="str">
        <f t="shared" si="48"/>
        <v>Negative</v>
      </c>
      <c r="U1079" t="str">
        <f t="shared" si="49"/>
        <v>Not Sampled</v>
      </c>
      <c r="V1079" s="1" t="str">
        <f t="shared" si="50"/>
        <v>Not Sampled</v>
      </c>
    </row>
    <row r="1080" spans="1:22" x14ac:dyDescent="0.25">
      <c r="A1080" s="1">
        <v>2</v>
      </c>
      <c r="B1080" s="1">
        <v>92</v>
      </c>
      <c r="C1080" s="1">
        <v>76</v>
      </c>
      <c r="D1080" s="1">
        <v>20</v>
      </c>
      <c r="E1080" s="1">
        <v>0</v>
      </c>
      <c r="F1080" s="1">
        <v>24.2</v>
      </c>
      <c r="G1080" s="1">
        <v>1.698</v>
      </c>
      <c r="H1080" s="1">
        <v>28</v>
      </c>
      <c r="I1080" s="1">
        <v>0</v>
      </c>
      <c r="J1080" s="1" t="str">
        <f>IFERROR(VLOOKUP(K1080,[1]diabetes_Recognition!$A:$B,2,FALSE),"Not Sampled")</f>
        <v>Not Sampled</v>
      </c>
      <c r="K1080" s="1">
        <v>1078</v>
      </c>
      <c r="L1080" s="1">
        <f>LOOKUP(A1080,Sheet2!$D$4:$E$9)</f>
        <v>2</v>
      </c>
      <c r="M1080" t="str">
        <f>LOOKUP(B1080,Sheet2!$G$4:$H$9)</f>
        <v>1-99</v>
      </c>
      <c r="N1080" t="str">
        <f>LOOKUP(C1080,Sheet2!$J$4:$K$8)</f>
        <v>70-79</v>
      </c>
      <c r="O1080" t="str">
        <f>LOOKUP(D1080,Sheet2!$M$4:$N$8)</f>
        <v>10-30</v>
      </c>
      <c r="P1080" t="str">
        <f>LOOKUP(E1080,Sheet2!$P$4:$Q$9)</f>
        <v>Unknown</v>
      </c>
      <c r="Q1080" t="str">
        <f>LOOKUP(F1080,Sheet2!$S$4:$T$8)</f>
        <v>1-25</v>
      </c>
      <c r="R1080" t="str">
        <f>LOOKUP(G1080,Sheet2!$V$4:$W$7)</f>
        <v>0.7+</v>
      </c>
      <c r="S1080" t="str">
        <f>LOOKUP(H1080,Sheet2!$Z$4:$AA$7)</f>
        <v>26-35</v>
      </c>
      <c r="T1080" t="str">
        <f t="shared" si="48"/>
        <v>Negative</v>
      </c>
      <c r="U1080" t="str">
        <f t="shared" si="49"/>
        <v>Not Sampled</v>
      </c>
      <c r="V1080" s="1" t="str">
        <f t="shared" si="50"/>
        <v>Not Sampled</v>
      </c>
    </row>
    <row r="1081" spans="1:22" x14ac:dyDescent="0.25">
      <c r="A1081" s="1">
        <v>6</v>
      </c>
      <c r="B1081" s="1">
        <v>183</v>
      </c>
      <c r="C1081" s="1">
        <v>94</v>
      </c>
      <c r="D1081" s="1">
        <v>0</v>
      </c>
      <c r="E1081" s="1">
        <v>0</v>
      </c>
      <c r="F1081" s="1">
        <v>40.799999999999997</v>
      </c>
      <c r="G1081" s="1">
        <v>1.4610000000000001</v>
      </c>
      <c r="H1081" s="1">
        <v>45</v>
      </c>
      <c r="I1081" s="1">
        <v>0</v>
      </c>
      <c r="J1081" s="1">
        <f>IFERROR(VLOOKUP(K1081,[1]diabetes_Recognition!$A:$B,2,FALSE),"Not Sampled")</f>
        <v>1</v>
      </c>
      <c r="K1081" s="1">
        <v>1079</v>
      </c>
      <c r="L1081" s="1" t="str">
        <f>LOOKUP(A1081,Sheet2!$D$4:$E$9)</f>
        <v>5-7</v>
      </c>
      <c r="M1081" t="str">
        <f>LOOKUP(B1081,Sheet2!$G$4:$H$9)</f>
        <v>176-200</v>
      </c>
      <c r="N1081" t="str">
        <f>LOOKUP(C1081,Sheet2!$J$4:$K$8)</f>
        <v>80+</v>
      </c>
      <c r="O1081" t="str">
        <f>LOOKUP(D1081,Sheet2!$M$4:$N$8)</f>
        <v>Unknown</v>
      </c>
      <c r="P1081" t="str">
        <f>LOOKUP(E1081,Sheet2!$P$4:$Q$9)</f>
        <v>Unknown</v>
      </c>
      <c r="Q1081" t="str">
        <f>LOOKUP(F1081,Sheet2!$S$4:$T$8)</f>
        <v>36+</v>
      </c>
      <c r="R1081" t="str">
        <f>LOOKUP(G1081,Sheet2!$V$4:$W$7)</f>
        <v>0.7+</v>
      </c>
      <c r="S1081" t="str">
        <f>LOOKUP(H1081,Sheet2!$Z$4:$AA$7)</f>
        <v>36-45</v>
      </c>
      <c r="T1081" t="str">
        <f t="shared" si="48"/>
        <v>Negative</v>
      </c>
      <c r="U1081" t="str">
        <f t="shared" si="49"/>
        <v>Positive</v>
      </c>
      <c r="V1081" s="1" t="str">
        <f t="shared" si="50"/>
        <v>Inaccurate Prediction</v>
      </c>
    </row>
    <row r="1082" spans="1:22" x14ac:dyDescent="0.25">
      <c r="A1082" s="1">
        <v>0</v>
      </c>
      <c r="B1082" s="1">
        <v>94</v>
      </c>
      <c r="C1082" s="1">
        <v>70</v>
      </c>
      <c r="D1082" s="1">
        <v>27</v>
      </c>
      <c r="E1082" s="1">
        <v>115</v>
      </c>
      <c r="F1082" s="1">
        <v>43.5</v>
      </c>
      <c r="G1082" s="1">
        <v>0.34699999999999998</v>
      </c>
      <c r="H1082" s="1">
        <v>21</v>
      </c>
      <c r="I1082" s="1">
        <v>0</v>
      </c>
      <c r="J1082" s="1" t="str">
        <f>IFERROR(VLOOKUP(K1082,[1]diabetes_Recognition!$A:$B,2,FALSE),"Not Sampled")</f>
        <v>Not Sampled</v>
      </c>
      <c r="K1082" s="1">
        <v>1080</v>
      </c>
      <c r="L1082" s="1">
        <f>LOOKUP(A1082,Sheet2!$D$4:$E$9)</f>
        <v>0</v>
      </c>
      <c r="M1082" t="str">
        <f>LOOKUP(B1082,Sheet2!$G$4:$H$9)</f>
        <v>1-99</v>
      </c>
      <c r="N1082" t="str">
        <f>LOOKUP(C1082,Sheet2!$J$4:$K$8)</f>
        <v>70-79</v>
      </c>
      <c r="O1082" t="str">
        <f>LOOKUP(D1082,Sheet2!$M$4:$N$8)</f>
        <v>10-30</v>
      </c>
      <c r="P1082" t="str">
        <f>LOOKUP(E1082,Sheet2!$P$4:$Q$9)</f>
        <v>100-199</v>
      </c>
      <c r="Q1082" t="str">
        <f>LOOKUP(F1082,Sheet2!$S$4:$T$8)</f>
        <v>36+</v>
      </c>
      <c r="R1082" t="str">
        <f>LOOKUP(G1082,Sheet2!$V$4:$W$7)</f>
        <v>0.25 - 0.39</v>
      </c>
      <c r="S1082" t="str">
        <f>LOOKUP(H1082,Sheet2!$Z$4:$AA$7)</f>
        <v>&lt;=25</v>
      </c>
      <c r="T1082" t="str">
        <f t="shared" si="48"/>
        <v>Negative</v>
      </c>
      <c r="U1082" t="str">
        <f t="shared" si="49"/>
        <v>Not Sampled</v>
      </c>
      <c r="V1082" s="1" t="str">
        <f t="shared" si="50"/>
        <v>Not Sampled</v>
      </c>
    </row>
    <row r="1083" spans="1:22" x14ac:dyDescent="0.25">
      <c r="A1083" s="1">
        <v>2</v>
      </c>
      <c r="B1083" s="1">
        <v>108</v>
      </c>
      <c r="C1083" s="1">
        <v>64</v>
      </c>
      <c r="D1083" s="1">
        <v>0</v>
      </c>
      <c r="E1083" s="1">
        <v>0</v>
      </c>
      <c r="F1083" s="1">
        <v>30.8</v>
      </c>
      <c r="G1083" s="1">
        <v>0.158</v>
      </c>
      <c r="H1083" s="1">
        <v>21</v>
      </c>
      <c r="I1083" s="1">
        <v>0</v>
      </c>
      <c r="J1083" s="1">
        <f>IFERROR(VLOOKUP(K1083,[1]diabetes_Recognition!$A:$B,2,FALSE),"Not Sampled")</f>
        <v>0</v>
      </c>
      <c r="K1083" s="1">
        <v>1081</v>
      </c>
      <c r="L1083" s="1">
        <f>LOOKUP(A1083,Sheet2!$D$4:$E$9)</f>
        <v>2</v>
      </c>
      <c r="M1083" t="str">
        <f>LOOKUP(B1083,Sheet2!$G$4:$H$9)</f>
        <v>100-125</v>
      </c>
      <c r="N1083" t="str">
        <f>LOOKUP(C1083,Sheet2!$J$4:$K$8)</f>
        <v>60-69</v>
      </c>
      <c r="O1083" t="str">
        <f>LOOKUP(D1083,Sheet2!$M$4:$N$8)</f>
        <v>Unknown</v>
      </c>
      <c r="P1083" t="str">
        <f>LOOKUP(E1083,Sheet2!$P$4:$Q$9)</f>
        <v>Unknown</v>
      </c>
      <c r="Q1083" t="str">
        <f>LOOKUP(F1083,Sheet2!$S$4:$T$8)</f>
        <v>26-30</v>
      </c>
      <c r="R1083" t="str">
        <f>LOOKUP(G1083,Sheet2!$V$4:$W$7)</f>
        <v>0.0 - 0.249</v>
      </c>
      <c r="S1083" t="str">
        <f>LOOKUP(H1083,Sheet2!$Z$4:$AA$7)</f>
        <v>&lt;=25</v>
      </c>
      <c r="T1083" t="str">
        <f t="shared" si="48"/>
        <v>Negative</v>
      </c>
      <c r="U1083" t="str">
        <f t="shared" si="49"/>
        <v>Negative</v>
      </c>
      <c r="V1083" s="1" t="str">
        <f t="shared" si="50"/>
        <v>Accurate Prediction</v>
      </c>
    </row>
    <row r="1084" spans="1:22" x14ac:dyDescent="0.25">
      <c r="A1084" s="1">
        <v>4</v>
      </c>
      <c r="B1084" s="1">
        <v>90</v>
      </c>
      <c r="C1084" s="1">
        <v>88</v>
      </c>
      <c r="D1084" s="1">
        <v>47</v>
      </c>
      <c r="E1084" s="1">
        <v>54</v>
      </c>
      <c r="F1084" s="1">
        <v>37.700000000000003</v>
      </c>
      <c r="G1084" s="1">
        <v>0.36199999999999999</v>
      </c>
      <c r="H1084" s="1">
        <v>29</v>
      </c>
      <c r="I1084" s="1">
        <v>0</v>
      </c>
      <c r="J1084" s="1" t="str">
        <f>IFERROR(VLOOKUP(K1084,[1]diabetes_Recognition!$A:$B,2,FALSE),"Not Sampled")</f>
        <v>Not Sampled</v>
      </c>
      <c r="K1084" s="1">
        <v>1082</v>
      </c>
      <c r="L1084" s="1" t="str">
        <f>LOOKUP(A1084,Sheet2!$D$4:$E$9)</f>
        <v>3-4</v>
      </c>
      <c r="M1084" t="str">
        <f>LOOKUP(B1084,Sheet2!$G$4:$H$9)</f>
        <v>1-99</v>
      </c>
      <c r="N1084" t="str">
        <f>LOOKUP(C1084,Sheet2!$J$4:$K$8)</f>
        <v>80+</v>
      </c>
      <c r="O1084" t="str">
        <f>LOOKUP(D1084,Sheet2!$M$4:$N$8)</f>
        <v>40+</v>
      </c>
      <c r="P1084" t="str">
        <f>LOOKUP(E1084,Sheet2!$P$4:$Q$9)</f>
        <v>1-99</v>
      </c>
      <c r="Q1084" t="str">
        <f>LOOKUP(F1084,Sheet2!$S$4:$T$8)</f>
        <v>36+</v>
      </c>
      <c r="R1084" t="str">
        <f>LOOKUP(G1084,Sheet2!$V$4:$W$7)</f>
        <v>0.25 - 0.39</v>
      </c>
      <c r="S1084" t="str">
        <f>LOOKUP(H1084,Sheet2!$Z$4:$AA$7)</f>
        <v>26-35</v>
      </c>
      <c r="T1084" t="str">
        <f t="shared" si="48"/>
        <v>Negative</v>
      </c>
      <c r="U1084" t="str">
        <f t="shared" si="49"/>
        <v>Not Sampled</v>
      </c>
      <c r="V1084" s="1" t="str">
        <f t="shared" si="50"/>
        <v>Not Sampled</v>
      </c>
    </row>
    <row r="1085" spans="1:22" x14ac:dyDescent="0.25">
      <c r="A1085" s="1">
        <v>0</v>
      </c>
      <c r="B1085" s="1">
        <v>125</v>
      </c>
      <c r="C1085" s="1">
        <v>68</v>
      </c>
      <c r="D1085" s="1">
        <v>0</v>
      </c>
      <c r="E1085" s="1">
        <v>0</v>
      </c>
      <c r="F1085" s="1">
        <v>24.7</v>
      </c>
      <c r="G1085" s="1">
        <v>0.20599999999999999</v>
      </c>
      <c r="H1085" s="1">
        <v>21</v>
      </c>
      <c r="I1085" s="1">
        <v>0</v>
      </c>
      <c r="J1085" s="1">
        <f>IFERROR(VLOOKUP(K1085,[1]diabetes_Recognition!$A:$B,2,FALSE),"Not Sampled")</f>
        <v>0</v>
      </c>
      <c r="K1085" s="1">
        <v>1083</v>
      </c>
      <c r="L1085" s="1">
        <f>LOOKUP(A1085,Sheet2!$D$4:$E$9)</f>
        <v>0</v>
      </c>
      <c r="M1085" t="str">
        <f>LOOKUP(B1085,Sheet2!$G$4:$H$9)</f>
        <v>100-125</v>
      </c>
      <c r="N1085" t="str">
        <f>LOOKUP(C1085,Sheet2!$J$4:$K$8)</f>
        <v>60-69</v>
      </c>
      <c r="O1085" t="str">
        <f>LOOKUP(D1085,Sheet2!$M$4:$N$8)</f>
        <v>Unknown</v>
      </c>
      <c r="P1085" t="str">
        <f>LOOKUP(E1085,Sheet2!$P$4:$Q$9)</f>
        <v>Unknown</v>
      </c>
      <c r="Q1085" t="str">
        <f>LOOKUP(F1085,Sheet2!$S$4:$T$8)</f>
        <v>1-25</v>
      </c>
      <c r="R1085" t="str">
        <f>LOOKUP(G1085,Sheet2!$V$4:$W$7)</f>
        <v>0.0 - 0.249</v>
      </c>
      <c r="S1085" t="str">
        <f>LOOKUP(H1085,Sheet2!$Z$4:$AA$7)</f>
        <v>&lt;=25</v>
      </c>
      <c r="T1085" t="str">
        <f t="shared" si="48"/>
        <v>Negative</v>
      </c>
      <c r="U1085" t="str">
        <f t="shared" si="49"/>
        <v>Negative</v>
      </c>
      <c r="V1085" s="1" t="str">
        <f t="shared" si="50"/>
        <v>Accurate Prediction</v>
      </c>
    </row>
    <row r="1086" spans="1:22" x14ac:dyDescent="0.25">
      <c r="A1086" s="1">
        <v>0</v>
      </c>
      <c r="B1086" s="1">
        <v>132</v>
      </c>
      <c r="C1086" s="1">
        <v>78</v>
      </c>
      <c r="D1086" s="1">
        <v>0</v>
      </c>
      <c r="E1086" s="1">
        <v>0</v>
      </c>
      <c r="F1086" s="1">
        <v>32.4</v>
      </c>
      <c r="G1086" s="1">
        <v>0.39300000000000002</v>
      </c>
      <c r="H1086" s="1">
        <v>21</v>
      </c>
      <c r="I1086" s="1">
        <v>0</v>
      </c>
      <c r="J1086" s="1" t="str">
        <f>IFERROR(VLOOKUP(K1086,[1]diabetes_Recognition!$A:$B,2,FALSE),"Not Sampled")</f>
        <v>Not Sampled</v>
      </c>
      <c r="K1086" s="1">
        <v>1084</v>
      </c>
      <c r="L1086" s="1">
        <f>LOOKUP(A1086,Sheet2!$D$4:$E$9)</f>
        <v>0</v>
      </c>
      <c r="M1086" t="str">
        <f>LOOKUP(B1086,Sheet2!$G$4:$H$9)</f>
        <v>126-150</v>
      </c>
      <c r="N1086" t="str">
        <f>LOOKUP(C1086,Sheet2!$J$4:$K$8)</f>
        <v>70-79</v>
      </c>
      <c r="O1086" t="str">
        <f>LOOKUP(D1086,Sheet2!$M$4:$N$8)</f>
        <v>Unknown</v>
      </c>
      <c r="P1086" t="str">
        <f>LOOKUP(E1086,Sheet2!$P$4:$Q$9)</f>
        <v>Unknown</v>
      </c>
      <c r="Q1086" t="str">
        <f>LOOKUP(F1086,Sheet2!$S$4:$T$8)</f>
        <v>31-35</v>
      </c>
      <c r="R1086" t="str">
        <f>LOOKUP(G1086,Sheet2!$V$4:$W$7)</f>
        <v>0.25 - 0.39</v>
      </c>
      <c r="S1086" t="str">
        <f>LOOKUP(H1086,Sheet2!$Z$4:$AA$7)</f>
        <v>&lt;=25</v>
      </c>
      <c r="T1086" t="str">
        <f t="shared" si="48"/>
        <v>Negative</v>
      </c>
      <c r="U1086" t="str">
        <f t="shared" si="49"/>
        <v>Not Sampled</v>
      </c>
      <c r="V1086" s="1" t="str">
        <f t="shared" si="50"/>
        <v>Not Sampled</v>
      </c>
    </row>
    <row r="1087" spans="1:22" x14ac:dyDescent="0.25">
      <c r="A1087" s="1">
        <v>5</v>
      </c>
      <c r="B1087" s="1">
        <v>128</v>
      </c>
      <c r="C1087" s="1">
        <v>80</v>
      </c>
      <c r="D1087" s="1">
        <v>0</v>
      </c>
      <c r="E1087" s="1">
        <v>0</v>
      </c>
      <c r="F1087" s="1">
        <v>34.6</v>
      </c>
      <c r="G1087" s="1">
        <v>0.14399999999999999</v>
      </c>
      <c r="H1087" s="1">
        <v>45</v>
      </c>
      <c r="I1087" s="1">
        <v>0</v>
      </c>
      <c r="J1087" s="1" t="str">
        <f>IFERROR(VLOOKUP(K1087,[1]diabetes_Recognition!$A:$B,2,FALSE),"Not Sampled")</f>
        <v>Not Sampled</v>
      </c>
      <c r="K1087" s="1">
        <v>1085</v>
      </c>
      <c r="L1087" s="1" t="str">
        <f>LOOKUP(A1087,Sheet2!$D$4:$E$9)</f>
        <v>5-7</v>
      </c>
      <c r="M1087" t="str">
        <f>LOOKUP(B1087,Sheet2!$G$4:$H$9)</f>
        <v>126-150</v>
      </c>
      <c r="N1087" t="str">
        <f>LOOKUP(C1087,Sheet2!$J$4:$K$8)</f>
        <v>80+</v>
      </c>
      <c r="O1087" t="str">
        <f>LOOKUP(D1087,Sheet2!$M$4:$N$8)</f>
        <v>Unknown</v>
      </c>
      <c r="P1087" t="str">
        <f>LOOKUP(E1087,Sheet2!$P$4:$Q$9)</f>
        <v>Unknown</v>
      </c>
      <c r="Q1087" t="str">
        <f>LOOKUP(F1087,Sheet2!$S$4:$T$8)</f>
        <v>31-35</v>
      </c>
      <c r="R1087" t="str">
        <f>LOOKUP(G1087,Sheet2!$V$4:$W$7)</f>
        <v>0.0 - 0.249</v>
      </c>
      <c r="S1087" t="str">
        <f>LOOKUP(H1087,Sheet2!$Z$4:$AA$7)</f>
        <v>36-45</v>
      </c>
      <c r="T1087" t="str">
        <f t="shared" si="48"/>
        <v>Negative</v>
      </c>
      <c r="U1087" t="str">
        <f t="shared" si="49"/>
        <v>Not Sampled</v>
      </c>
      <c r="V1087" s="1" t="str">
        <f t="shared" si="50"/>
        <v>Not Sampled</v>
      </c>
    </row>
    <row r="1088" spans="1:22" x14ac:dyDescent="0.25">
      <c r="A1088" s="1">
        <v>4</v>
      </c>
      <c r="B1088" s="1">
        <v>94</v>
      </c>
      <c r="C1088" s="1">
        <v>65</v>
      </c>
      <c r="D1088" s="1">
        <v>22</v>
      </c>
      <c r="E1088" s="1">
        <v>0</v>
      </c>
      <c r="F1088" s="1">
        <v>24.7</v>
      </c>
      <c r="G1088" s="1">
        <v>0.14799999999999999</v>
      </c>
      <c r="H1088" s="1">
        <v>21</v>
      </c>
      <c r="I1088" s="1">
        <v>0</v>
      </c>
      <c r="J1088" s="1">
        <f>IFERROR(VLOOKUP(K1088,[1]diabetes_Recognition!$A:$B,2,FALSE),"Not Sampled")</f>
        <v>0</v>
      </c>
      <c r="K1088" s="1">
        <v>1086</v>
      </c>
      <c r="L1088" s="1" t="str">
        <f>LOOKUP(A1088,Sheet2!$D$4:$E$9)</f>
        <v>3-4</v>
      </c>
      <c r="M1088" t="str">
        <f>LOOKUP(B1088,Sheet2!$G$4:$H$9)</f>
        <v>1-99</v>
      </c>
      <c r="N1088" t="str">
        <f>LOOKUP(C1088,Sheet2!$J$4:$K$8)</f>
        <v>60-69</v>
      </c>
      <c r="O1088" t="str">
        <f>LOOKUP(D1088,Sheet2!$M$4:$N$8)</f>
        <v>10-30</v>
      </c>
      <c r="P1088" t="str">
        <f>LOOKUP(E1088,Sheet2!$P$4:$Q$9)</f>
        <v>Unknown</v>
      </c>
      <c r="Q1088" t="str">
        <f>LOOKUP(F1088,Sheet2!$S$4:$T$8)</f>
        <v>1-25</v>
      </c>
      <c r="R1088" t="str">
        <f>LOOKUP(G1088,Sheet2!$V$4:$W$7)</f>
        <v>0.0 - 0.249</v>
      </c>
      <c r="S1088" t="str">
        <f>LOOKUP(H1088,Sheet2!$Z$4:$AA$7)</f>
        <v>&lt;=25</v>
      </c>
      <c r="T1088" t="str">
        <f t="shared" si="48"/>
        <v>Negative</v>
      </c>
      <c r="U1088" t="str">
        <f t="shared" si="49"/>
        <v>Negative</v>
      </c>
      <c r="V1088" s="1" t="str">
        <f t="shared" si="50"/>
        <v>Accurate Prediction</v>
      </c>
    </row>
    <row r="1089" spans="1:22" x14ac:dyDescent="0.25">
      <c r="A1089" s="1">
        <v>7</v>
      </c>
      <c r="B1089" s="1">
        <v>114</v>
      </c>
      <c r="C1089" s="1">
        <v>64</v>
      </c>
      <c r="D1089" s="1">
        <v>0</v>
      </c>
      <c r="E1089" s="1">
        <v>0</v>
      </c>
      <c r="F1089" s="1">
        <v>27.4</v>
      </c>
      <c r="G1089" s="1">
        <v>0.73199999999999998</v>
      </c>
      <c r="H1089" s="1">
        <v>34</v>
      </c>
      <c r="I1089" s="1">
        <v>1</v>
      </c>
      <c r="J1089" s="1">
        <f>IFERROR(VLOOKUP(K1089,[1]diabetes_Recognition!$A:$B,2,FALSE),"Not Sampled")</f>
        <v>0</v>
      </c>
      <c r="K1089" s="1">
        <v>1087</v>
      </c>
      <c r="L1089" s="1" t="str">
        <f>LOOKUP(A1089,Sheet2!$D$4:$E$9)</f>
        <v>5-7</v>
      </c>
      <c r="M1089" t="str">
        <f>LOOKUP(B1089,Sheet2!$G$4:$H$9)</f>
        <v>100-125</v>
      </c>
      <c r="N1089" t="str">
        <f>LOOKUP(C1089,Sheet2!$J$4:$K$8)</f>
        <v>60-69</v>
      </c>
      <c r="O1089" t="str">
        <f>LOOKUP(D1089,Sheet2!$M$4:$N$8)</f>
        <v>Unknown</v>
      </c>
      <c r="P1089" t="str">
        <f>LOOKUP(E1089,Sheet2!$P$4:$Q$9)</f>
        <v>Unknown</v>
      </c>
      <c r="Q1089" t="str">
        <f>LOOKUP(F1089,Sheet2!$S$4:$T$8)</f>
        <v>26-30</v>
      </c>
      <c r="R1089" t="str">
        <f>LOOKUP(G1089,Sheet2!$V$4:$W$7)</f>
        <v>0.7+</v>
      </c>
      <c r="S1089" t="str">
        <f>LOOKUP(H1089,Sheet2!$Z$4:$AA$7)</f>
        <v>26-35</v>
      </c>
      <c r="T1089" t="str">
        <f t="shared" si="48"/>
        <v>Positive</v>
      </c>
      <c r="U1089" t="str">
        <f t="shared" si="49"/>
        <v>Negative</v>
      </c>
      <c r="V1089" s="1" t="str">
        <f t="shared" si="50"/>
        <v>Inaccurate Prediction</v>
      </c>
    </row>
    <row r="1090" spans="1:22" x14ac:dyDescent="0.25">
      <c r="A1090" s="1">
        <v>0</v>
      </c>
      <c r="B1090" s="1">
        <v>102</v>
      </c>
      <c r="C1090" s="1">
        <v>78</v>
      </c>
      <c r="D1090" s="1">
        <v>40</v>
      </c>
      <c r="E1090" s="1">
        <v>90</v>
      </c>
      <c r="F1090" s="1">
        <v>34.5</v>
      </c>
      <c r="G1090" s="1">
        <v>0.23799999999999999</v>
      </c>
      <c r="H1090" s="1">
        <v>24</v>
      </c>
      <c r="I1090" s="1">
        <v>0</v>
      </c>
      <c r="J1090" s="1" t="str">
        <f>IFERROR(VLOOKUP(K1090,[1]diabetes_Recognition!$A:$B,2,FALSE),"Not Sampled")</f>
        <v>Not Sampled</v>
      </c>
      <c r="K1090" s="1">
        <v>1088</v>
      </c>
      <c r="L1090" s="1">
        <f>LOOKUP(A1090,Sheet2!$D$4:$E$9)</f>
        <v>0</v>
      </c>
      <c r="M1090" t="str">
        <f>LOOKUP(B1090,Sheet2!$G$4:$H$9)</f>
        <v>100-125</v>
      </c>
      <c r="N1090" t="str">
        <f>LOOKUP(C1090,Sheet2!$J$4:$K$8)</f>
        <v>70-79</v>
      </c>
      <c r="O1090" t="str">
        <f>LOOKUP(D1090,Sheet2!$M$4:$N$8)</f>
        <v>40+</v>
      </c>
      <c r="P1090" t="str">
        <f>LOOKUP(E1090,Sheet2!$P$4:$Q$9)</f>
        <v>1-99</v>
      </c>
      <c r="Q1090" t="str">
        <f>LOOKUP(F1090,Sheet2!$S$4:$T$8)</f>
        <v>31-35</v>
      </c>
      <c r="R1090" t="str">
        <f>LOOKUP(G1090,Sheet2!$V$4:$W$7)</f>
        <v>0.0 - 0.249</v>
      </c>
      <c r="S1090" t="str">
        <f>LOOKUP(H1090,Sheet2!$Z$4:$AA$7)</f>
        <v>&lt;=25</v>
      </c>
      <c r="T1090" t="str">
        <f t="shared" si="48"/>
        <v>Negative</v>
      </c>
      <c r="U1090" t="str">
        <f t="shared" si="49"/>
        <v>Not Sampled</v>
      </c>
      <c r="V1090" s="1" t="str">
        <f t="shared" si="50"/>
        <v>Not Sampled</v>
      </c>
    </row>
    <row r="1091" spans="1:22" x14ac:dyDescent="0.25">
      <c r="A1091" s="1">
        <v>2</v>
      </c>
      <c r="B1091" s="1">
        <v>111</v>
      </c>
      <c r="C1091" s="1">
        <v>60</v>
      </c>
      <c r="D1091" s="1">
        <v>0</v>
      </c>
      <c r="E1091" s="1">
        <v>0</v>
      </c>
      <c r="F1091" s="1">
        <v>26.2</v>
      </c>
      <c r="G1091" s="1">
        <v>0.34300000000000003</v>
      </c>
      <c r="H1091" s="1">
        <v>23</v>
      </c>
      <c r="I1091" s="1">
        <v>0</v>
      </c>
      <c r="J1091" s="1" t="str">
        <f>IFERROR(VLOOKUP(K1091,[1]diabetes_Recognition!$A:$B,2,FALSE),"Not Sampled")</f>
        <v>Not Sampled</v>
      </c>
      <c r="K1091" s="1">
        <v>1089</v>
      </c>
      <c r="L1091" s="1">
        <f>LOOKUP(A1091,Sheet2!$D$4:$E$9)</f>
        <v>2</v>
      </c>
      <c r="M1091" t="str">
        <f>LOOKUP(B1091,Sheet2!$G$4:$H$9)</f>
        <v>100-125</v>
      </c>
      <c r="N1091" t="str">
        <f>LOOKUP(C1091,Sheet2!$J$4:$K$8)</f>
        <v>60-69</v>
      </c>
      <c r="O1091" t="str">
        <f>LOOKUP(D1091,Sheet2!$M$4:$N$8)</f>
        <v>Unknown</v>
      </c>
      <c r="P1091" t="str">
        <f>LOOKUP(E1091,Sheet2!$P$4:$Q$9)</f>
        <v>Unknown</v>
      </c>
      <c r="Q1091" t="str">
        <f>LOOKUP(F1091,Sheet2!$S$4:$T$8)</f>
        <v>26-30</v>
      </c>
      <c r="R1091" t="str">
        <f>LOOKUP(G1091,Sheet2!$V$4:$W$7)</f>
        <v>0.25 - 0.39</v>
      </c>
      <c r="S1091" t="str">
        <f>LOOKUP(H1091,Sheet2!$Z$4:$AA$7)</f>
        <v>&lt;=25</v>
      </c>
      <c r="T1091" t="str">
        <f t="shared" ref="T1091:T1154" si="51">IF(I1091=1,"Positive","Negative")</f>
        <v>Negative</v>
      </c>
      <c r="U1091" t="str">
        <f t="shared" ref="U1091:U1154" si="52">IF(J1091=1,"Positive",(IF(J1091=0,"Negative","Not Sampled")))</f>
        <v>Not Sampled</v>
      </c>
      <c r="V1091" s="1" t="str">
        <f t="shared" ref="V1091:V1154" si="53">IF(U1091="Not Sampled","Not Sampled",IF(T1091=U1091,"Accurate Prediction","Inaccurate Prediction"))</f>
        <v>Not Sampled</v>
      </c>
    </row>
    <row r="1092" spans="1:22" x14ac:dyDescent="0.25">
      <c r="A1092" s="1">
        <v>1</v>
      </c>
      <c r="B1092" s="1">
        <v>128</v>
      </c>
      <c r="C1092" s="1">
        <v>82</v>
      </c>
      <c r="D1092" s="1">
        <v>17</v>
      </c>
      <c r="E1092" s="1">
        <v>183</v>
      </c>
      <c r="F1092" s="1">
        <v>27.5</v>
      </c>
      <c r="G1092" s="1">
        <v>0.115</v>
      </c>
      <c r="H1092" s="1">
        <v>22</v>
      </c>
      <c r="I1092" s="1">
        <v>0</v>
      </c>
      <c r="J1092" s="1">
        <f>IFERROR(VLOOKUP(K1092,[1]diabetes_Recognition!$A:$B,2,FALSE),"Not Sampled")</f>
        <v>0</v>
      </c>
      <c r="K1092" s="1">
        <v>1090</v>
      </c>
      <c r="L1092" s="1">
        <f>LOOKUP(A1092,Sheet2!$D$4:$E$9)</f>
        <v>1</v>
      </c>
      <c r="M1092" t="str">
        <f>LOOKUP(B1092,Sheet2!$G$4:$H$9)</f>
        <v>126-150</v>
      </c>
      <c r="N1092" t="str">
        <f>LOOKUP(C1092,Sheet2!$J$4:$K$8)</f>
        <v>80+</v>
      </c>
      <c r="O1092" t="str">
        <f>LOOKUP(D1092,Sheet2!$M$4:$N$8)</f>
        <v>10-30</v>
      </c>
      <c r="P1092" t="str">
        <f>LOOKUP(E1092,Sheet2!$P$4:$Q$9)</f>
        <v>100-199</v>
      </c>
      <c r="Q1092" t="str">
        <f>LOOKUP(F1092,Sheet2!$S$4:$T$8)</f>
        <v>26-30</v>
      </c>
      <c r="R1092" t="str">
        <f>LOOKUP(G1092,Sheet2!$V$4:$W$7)</f>
        <v>0.0 - 0.249</v>
      </c>
      <c r="S1092" t="str">
        <f>LOOKUP(H1092,Sheet2!$Z$4:$AA$7)</f>
        <v>&lt;=25</v>
      </c>
      <c r="T1092" t="str">
        <f t="shared" si="51"/>
        <v>Negative</v>
      </c>
      <c r="U1092" t="str">
        <f t="shared" si="52"/>
        <v>Negative</v>
      </c>
      <c r="V1092" s="1" t="str">
        <f t="shared" si="53"/>
        <v>Accurate Prediction</v>
      </c>
    </row>
    <row r="1093" spans="1:22" x14ac:dyDescent="0.25">
      <c r="A1093" s="1">
        <v>10</v>
      </c>
      <c r="B1093" s="1">
        <v>92</v>
      </c>
      <c r="C1093" s="1">
        <v>62</v>
      </c>
      <c r="D1093" s="1">
        <v>0</v>
      </c>
      <c r="E1093" s="1">
        <v>0</v>
      </c>
      <c r="F1093" s="1">
        <v>25.9</v>
      </c>
      <c r="G1093" s="1">
        <v>0.16700000000000001</v>
      </c>
      <c r="H1093" s="1">
        <v>31</v>
      </c>
      <c r="I1093" s="1">
        <v>0</v>
      </c>
      <c r="J1093" s="1" t="str">
        <f>IFERROR(VLOOKUP(K1093,[1]diabetes_Recognition!$A:$B,2,FALSE),"Not Sampled")</f>
        <v>Not Sampled</v>
      </c>
      <c r="K1093" s="1">
        <v>1091</v>
      </c>
      <c r="L1093" s="1" t="str">
        <f>LOOKUP(A1093,Sheet2!$D$4:$E$9)</f>
        <v>8+</v>
      </c>
      <c r="M1093" t="str">
        <f>LOOKUP(B1093,Sheet2!$G$4:$H$9)</f>
        <v>1-99</v>
      </c>
      <c r="N1093" t="str">
        <f>LOOKUP(C1093,Sheet2!$J$4:$K$8)</f>
        <v>60-69</v>
      </c>
      <c r="O1093" t="str">
        <f>LOOKUP(D1093,Sheet2!$M$4:$N$8)</f>
        <v>Unknown</v>
      </c>
      <c r="P1093" t="str">
        <f>LOOKUP(E1093,Sheet2!$P$4:$Q$9)</f>
        <v>Unknown</v>
      </c>
      <c r="Q1093" t="str">
        <f>LOOKUP(F1093,Sheet2!$S$4:$T$8)</f>
        <v>1-25</v>
      </c>
      <c r="R1093" t="str">
        <f>LOOKUP(G1093,Sheet2!$V$4:$W$7)</f>
        <v>0.0 - 0.249</v>
      </c>
      <c r="S1093" t="str">
        <f>LOOKUP(H1093,Sheet2!$Z$4:$AA$7)</f>
        <v>26-35</v>
      </c>
      <c r="T1093" t="str">
        <f t="shared" si="51"/>
        <v>Negative</v>
      </c>
      <c r="U1093" t="str">
        <f t="shared" si="52"/>
        <v>Not Sampled</v>
      </c>
      <c r="V1093" s="1" t="str">
        <f t="shared" si="53"/>
        <v>Not Sampled</v>
      </c>
    </row>
    <row r="1094" spans="1:22" x14ac:dyDescent="0.25">
      <c r="A1094" s="1">
        <v>13</v>
      </c>
      <c r="B1094" s="1">
        <v>104</v>
      </c>
      <c r="C1094" s="1">
        <v>72</v>
      </c>
      <c r="D1094" s="1">
        <v>0</v>
      </c>
      <c r="E1094" s="1">
        <v>0</v>
      </c>
      <c r="F1094" s="1">
        <v>31.2</v>
      </c>
      <c r="G1094" s="1">
        <v>0.46500000000000002</v>
      </c>
      <c r="H1094" s="1">
        <v>38</v>
      </c>
      <c r="I1094" s="1">
        <v>1</v>
      </c>
      <c r="J1094" s="1" t="str">
        <f>IFERROR(VLOOKUP(K1094,[1]diabetes_Recognition!$A:$B,2,FALSE),"Not Sampled")</f>
        <v>Not Sampled</v>
      </c>
      <c r="K1094" s="1">
        <v>1092</v>
      </c>
      <c r="L1094" s="1" t="str">
        <f>LOOKUP(A1094,Sheet2!$D$4:$E$9)</f>
        <v>8+</v>
      </c>
      <c r="M1094" t="str">
        <f>LOOKUP(B1094,Sheet2!$G$4:$H$9)</f>
        <v>100-125</v>
      </c>
      <c r="N1094" t="str">
        <f>LOOKUP(C1094,Sheet2!$J$4:$K$8)</f>
        <v>70-79</v>
      </c>
      <c r="O1094" t="str">
        <f>LOOKUP(D1094,Sheet2!$M$4:$N$8)</f>
        <v>Unknown</v>
      </c>
      <c r="P1094" t="str">
        <f>LOOKUP(E1094,Sheet2!$P$4:$Q$9)</f>
        <v>Unknown</v>
      </c>
      <c r="Q1094" t="str">
        <f>LOOKUP(F1094,Sheet2!$S$4:$T$8)</f>
        <v>31-35</v>
      </c>
      <c r="R1094" t="str">
        <f>LOOKUP(G1094,Sheet2!$V$4:$W$7)</f>
        <v>0.4 - 0.69</v>
      </c>
      <c r="S1094" t="str">
        <f>LOOKUP(H1094,Sheet2!$Z$4:$AA$7)</f>
        <v>36-45</v>
      </c>
      <c r="T1094" t="str">
        <f t="shared" si="51"/>
        <v>Positive</v>
      </c>
      <c r="U1094" t="str">
        <f t="shared" si="52"/>
        <v>Not Sampled</v>
      </c>
      <c r="V1094" s="1" t="str">
        <f t="shared" si="53"/>
        <v>Not Sampled</v>
      </c>
    </row>
    <row r="1095" spans="1:22" x14ac:dyDescent="0.25">
      <c r="A1095" s="1">
        <v>5</v>
      </c>
      <c r="B1095" s="1">
        <v>104</v>
      </c>
      <c r="C1095" s="1">
        <v>74</v>
      </c>
      <c r="D1095" s="1">
        <v>0</v>
      </c>
      <c r="E1095" s="1">
        <v>0</v>
      </c>
      <c r="F1095" s="1">
        <v>28.8</v>
      </c>
      <c r="G1095" s="1">
        <v>0.153</v>
      </c>
      <c r="H1095" s="1">
        <v>48</v>
      </c>
      <c r="I1095" s="1">
        <v>0</v>
      </c>
      <c r="J1095" s="1">
        <f>IFERROR(VLOOKUP(K1095,[1]diabetes_Recognition!$A:$B,2,FALSE),"Not Sampled")</f>
        <v>0</v>
      </c>
      <c r="K1095" s="1">
        <v>1093</v>
      </c>
      <c r="L1095" s="1" t="str">
        <f>LOOKUP(A1095,Sheet2!$D$4:$E$9)</f>
        <v>5-7</v>
      </c>
      <c r="M1095" t="str">
        <f>LOOKUP(B1095,Sheet2!$G$4:$H$9)</f>
        <v>100-125</v>
      </c>
      <c r="N1095" t="str">
        <f>LOOKUP(C1095,Sheet2!$J$4:$K$8)</f>
        <v>70-79</v>
      </c>
      <c r="O1095" t="str">
        <f>LOOKUP(D1095,Sheet2!$M$4:$N$8)</f>
        <v>Unknown</v>
      </c>
      <c r="P1095" t="str">
        <f>LOOKUP(E1095,Sheet2!$P$4:$Q$9)</f>
        <v>Unknown</v>
      </c>
      <c r="Q1095" t="str">
        <f>LOOKUP(F1095,Sheet2!$S$4:$T$8)</f>
        <v>26-30</v>
      </c>
      <c r="R1095" t="str">
        <f>LOOKUP(G1095,Sheet2!$V$4:$W$7)</f>
        <v>0.0 - 0.249</v>
      </c>
      <c r="S1095" t="str">
        <f>LOOKUP(H1095,Sheet2!$Z$4:$AA$7)</f>
        <v>46+</v>
      </c>
      <c r="T1095" t="str">
        <f t="shared" si="51"/>
        <v>Negative</v>
      </c>
      <c r="U1095" t="str">
        <f t="shared" si="52"/>
        <v>Negative</v>
      </c>
      <c r="V1095" s="1" t="str">
        <f t="shared" si="53"/>
        <v>Accurate Prediction</v>
      </c>
    </row>
    <row r="1096" spans="1:22" x14ac:dyDescent="0.25">
      <c r="A1096" s="1">
        <v>2</v>
      </c>
      <c r="B1096" s="1">
        <v>94</v>
      </c>
      <c r="C1096" s="1">
        <v>76</v>
      </c>
      <c r="D1096" s="1">
        <v>18</v>
      </c>
      <c r="E1096" s="1">
        <v>66</v>
      </c>
      <c r="F1096" s="1">
        <v>31.6</v>
      </c>
      <c r="G1096" s="1">
        <v>0.64900000000000002</v>
      </c>
      <c r="H1096" s="1">
        <v>23</v>
      </c>
      <c r="I1096" s="1">
        <v>0</v>
      </c>
      <c r="J1096" s="1" t="str">
        <f>IFERROR(VLOOKUP(K1096,[1]diabetes_Recognition!$A:$B,2,FALSE),"Not Sampled")</f>
        <v>Not Sampled</v>
      </c>
      <c r="K1096" s="1">
        <v>1094</v>
      </c>
      <c r="L1096" s="1">
        <f>LOOKUP(A1096,Sheet2!$D$4:$E$9)</f>
        <v>2</v>
      </c>
      <c r="M1096" t="str">
        <f>LOOKUP(B1096,Sheet2!$G$4:$H$9)</f>
        <v>1-99</v>
      </c>
      <c r="N1096" t="str">
        <f>LOOKUP(C1096,Sheet2!$J$4:$K$8)</f>
        <v>70-79</v>
      </c>
      <c r="O1096" t="str">
        <f>LOOKUP(D1096,Sheet2!$M$4:$N$8)</f>
        <v>10-30</v>
      </c>
      <c r="P1096" t="str">
        <f>LOOKUP(E1096,Sheet2!$P$4:$Q$9)</f>
        <v>1-99</v>
      </c>
      <c r="Q1096" t="str">
        <f>LOOKUP(F1096,Sheet2!$S$4:$T$8)</f>
        <v>31-35</v>
      </c>
      <c r="R1096" t="str">
        <f>LOOKUP(G1096,Sheet2!$V$4:$W$7)</f>
        <v>0.4 - 0.69</v>
      </c>
      <c r="S1096" t="str">
        <f>LOOKUP(H1096,Sheet2!$Z$4:$AA$7)</f>
        <v>&lt;=25</v>
      </c>
      <c r="T1096" t="str">
        <f t="shared" si="51"/>
        <v>Negative</v>
      </c>
      <c r="U1096" t="str">
        <f t="shared" si="52"/>
        <v>Not Sampled</v>
      </c>
      <c r="V1096" s="1" t="str">
        <f t="shared" si="53"/>
        <v>Not Sampled</v>
      </c>
    </row>
    <row r="1097" spans="1:22" x14ac:dyDescent="0.25">
      <c r="A1097" s="1">
        <v>7</v>
      </c>
      <c r="B1097" s="1">
        <v>97</v>
      </c>
      <c r="C1097" s="1">
        <v>76</v>
      </c>
      <c r="D1097" s="1">
        <v>32</v>
      </c>
      <c r="E1097" s="1">
        <v>91</v>
      </c>
      <c r="F1097" s="1">
        <v>40.9</v>
      </c>
      <c r="G1097" s="1">
        <v>0.871</v>
      </c>
      <c r="H1097" s="1">
        <v>32</v>
      </c>
      <c r="I1097" s="1">
        <v>1</v>
      </c>
      <c r="J1097" s="1" t="str">
        <f>IFERROR(VLOOKUP(K1097,[1]diabetes_Recognition!$A:$B,2,FALSE),"Not Sampled")</f>
        <v>Not Sampled</v>
      </c>
      <c r="K1097" s="1">
        <v>1095</v>
      </c>
      <c r="L1097" s="1" t="str">
        <f>LOOKUP(A1097,Sheet2!$D$4:$E$9)</f>
        <v>5-7</v>
      </c>
      <c r="M1097" t="str">
        <f>LOOKUP(B1097,Sheet2!$G$4:$H$9)</f>
        <v>1-99</v>
      </c>
      <c r="N1097" t="str">
        <f>LOOKUP(C1097,Sheet2!$J$4:$K$8)</f>
        <v>70-79</v>
      </c>
      <c r="O1097" t="str">
        <f>LOOKUP(D1097,Sheet2!$M$4:$N$8)</f>
        <v>30-39</v>
      </c>
      <c r="P1097" t="str">
        <f>LOOKUP(E1097,Sheet2!$P$4:$Q$9)</f>
        <v>1-99</v>
      </c>
      <c r="Q1097" t="str">
        <f>LOOKUP(F1097,Sheet2!$S$4:$T$8)</f>
        <v>36+</v>
      </c>
      <c r="R1097" t="str">
        <f>LOOKUP(G1097,Sheet2!$V$4:$W$7)</f>
        <v>0.7+</v>
      </c>
      <c r="S1097" t="str">
        <f>LOOKUP(H1097,Sheet2!$Z$4:$AA$7)</f>
        <v>26-35</v>
      </c>
      <c r="T1097" t="str">
        <f t="shared" si="51"/>
        <v>Positive</v>
      </c>
      <c r="U1097" t="str">
        <f t="shared" si="52"/>
        <v>Not Sampled</v>
      </c>
      <c r="V1097" s="1" t="str">
        <f t="shared" si="53"/>
        <v>Not Sampled</v>
      </c>
    </row>
    <row r="1098" spans="1:22" x14ac:dyDescent="0.25">
      <c r="A1098" s="1">
        <v>1</v>
      </c>
      <c r="B1098" s="1">
        <v>100</v>
      </c>
      <c r="C1098" s="1">
        <v>74</v>
      </c>
      <c r="D1098" s="1">
        <v>12</v>
      </c>
      <c r="E1098" s="1">
        <v>46</v>
      </c>
      <c r="F1098" s="1">
        <v>19.5</v>
      </c>
      <c r="G1098" s="1">
        <v>0.14899999999999999</v>
      </c>
      <c r="H1098" s="1">
        <v>28</v>
      </c>
      <c r="I1098" s="1">
        <v>0</v>
      </c>
      <c r="J1098" s="1" t="str">
        <f>IFERROR(VLOOKUP(K1098,[1]diabetes_Recognition!$A:$B,2,FALSE),"Not Sampled")</f>
        <v>Not Sampled</v>
      </c>
      <c r="K1098" s="1">
        <v>1096</v>
      </c>
      <c r="L1098" s="1">
        <f>LOOKUP(A1098,Sheet2!$D$4:$E$9)</f>
        <v>1</v>
      </c>
      <c r="M1098" t="str">
        <f>LOOKUP(B1098,Sheet2!$G$4:$H$9)</f>
        <v>100-125</v>
      </c>
      <c r="N1098" t="str">
        <f>LOOKUP(C1098,Sheet2!$J$4:$K$8)</f>
        <v>70-79</v>
      </c>
      <c r="O1098" t="str">
        <f>LOOKUP(D1098,Sheet2!$M$4:$N$8)</f>
        <v>10-30</v>
      </c>
      <c r="P1098" t="str">
        <f>LOOKUP(E1098,Sheet2!$P$4:$Q$9)</f>
        <v>1-99</v>
      </c>
      <c r="Q1098" t="str">
        <f>LOOKUP(F1098,Sheet2!$S$4:$T$8)</f>
        <v>1-25</v>
      </c>
      <c r="R1098" t="str">
        <f>LOOKUP(G1098,Sheet2!$V$4:$W$7)</f>
        <v>0.0 - 0.249</v>
      </c>
      <c r="S1098" t="str">
        <f>LOOKUP(H1098,Sheet2!$Z$4:$AA$7)</f>
        <v>26-35</v>
      </c>
      <c r="T1098" t="str">
        <f t="shared" si="51"/>
        <v>Negative</v>
      </c>
      <c r="U1098" t="str">
        <f t="shared" si="52"/>
        <v>Not Sampled</v>
      </c>
      <c r="V1098" s="1" t="str">
        <f t="shared" si="53"/>
        <v>Not Sampled</v>
      </c>
    </row>
    <row r="1099" spans="1:22" x14ac:dyDescent="0.25">
      <c r="A1099" s="1">
        <v>0</v>
      </c>
      <c r="B1099" s="1">
        <v>102</v>
      </c>
      <c r="C1099" s="1">
        <v>86</v>
      </c>
      <c r="D1099" s="1">
        <v>17</v>
      </c>
      <c r="E1099" s="1">
        <v>105</v>
      </c>
      <c r="F1099" s="1">
        <v>29.3</v>
      </c>
      <c r="G1099" s="1">
        <v>0.69499999999999995</v>
      </c>
      <c r="H1099" s="1">
        <v>27</v>
      </c>
      <c r="I1099" s="1">
        <v>0</v>
      </c>
      <c r="J1099" s="1" t="str">
        <f>IFERROR(VLOOKUP(K1099,[1]diabetes_Recognition!$A:$B,2,FALSE),"Not Sampled")</f>
        <v>Not Sampled</v>
      </c>
      <c r="K1099" s="1">
        <v>1097</v>
      </c>
      <c r="L1099" s="1">
        <f>LOOKUP(A1099,Sheet2!$D$4:$E$9)</f>
        <v>0</v>
      </c>
      <c r="M1099" t="str">
        <f>LOOKUP(B1099,Sheet2!$G$4:$H$9)</f>
        <v>100-125</v>
      </c>
      <c r="N1099" t="str">
        <f>LOOKUP(C1099,Sheet2!$J$4:$K$8)</f>
        <v>80+</v>
      </c>
      <c r="O1099" t="str">
        <f>LOOKUP(D1099,Sheet2!$M$4:$N$8)</f>
        <v>10-30</v>
      </c>
      <c r="P1099" t="str">
        <f>LOOKUP(E1099,Sheet2!$P$4:$Q$9)</f>
        <v>100-199</v>
      </c>
      <c r="Q1099" t="str">
        <f>LOOKUP(F1099,Sheet2!$S$4:$T$8)</f>
        <v>26-30</v>
      </c>
      <c r="R1099" t="str">
        <f>LOOKUP(G1099,Sheet2!$V$4:$W$7)</f>
        <v>0.4 - 0.69</v>
      </c>
      <c r="S1099" t="str">
        <f>LOOKUP(H1099,Sheet2!$Z$4:$AA$7)</f>
        <v>26-35</v>
      </c>
      <c r="T1099" t="str">
        <f t="shared" si="51"/>
        <v>Negative</v>
      </c>
      <c r="U1099" t="str">
        <f t="shared" si="52"/>
        <v>Not Sampled</v>
      </c>
      <c r="V1099" s="1" t="str">
        <f t="shared" si="53"/>
        <v>Not Sampled</v>
      </c>
    </row>
    <row r="1100" spans="1:22" x14ac:dyDescent="0.25">
      <c r="A1100" s="1">
        <v>4</v>
      </c>
      <c r="B1100" s="1">
        <v>128</v>
      </c>
      <c r="C1100" s="1">
        <v>70</v>
      </c>
      <c r="D1100" s="1">
        <v>0</v>
      </c>
      <c r="E1100" s="1">
        <v>0</v>
      </c>
      <c r="F1100" s="1">
        <v>34.299999999999997</v>
      </c>
      <c r="G1100" s="1">
        <v>0.30299999999999999</v>
      </c>
      <c r="H1100" s="1">
        <v>24</v>
      </c>
      <c r="I1100" s="1">
        <v>0</v>
      </c>
      <c r="J1100" s="1" t="str">
        <f>IFERROR(VLOOKUP(K1100,[1]diabetes_Recognition!$A:$B,2,FALSE),"Not Sampled")</f>
        <v>Not Sampled</v>
      </c>
      <c r="K1100" s="1">
        <v>1098</v>
      </c>
      <c r="L1100" s="1" t="str">
        <f>LOOKUP(A1100,Sheet2!$D$4:$E$9)</f>
        <v>3-4</v>
      </c>
      <c r="M1100" t="str">
        <f>LOOKUP(B1100,Sheet2!$G$4:$H$9)</f>
        <v>126-150</v>
      </c>
      <c r="N1100" t="str">
        <f>LOOKUP(C1100,Sheet2!$J$4:$K$8)</f>
        <v>70-79</v>
      </c>
      <c r="O1100" t="str">
        <f>LOOKUP(D1100,Sheet2!$M$4:$N$8)</f>
        <v>Unknown</v>
      </c>
      <c r="P1100" t="str">
        <f>LOOKUP(E1100,Sheet2!$P$4:$Q$9)</f>
        <v>Unknown</v>
      </c>
      <c r="Q1100" t="str">
        <f>LOOKUP(F1100,Sheet2!$S$4:$T$8)</f>
        <v>31-35</v>
      </c>
      <c r="R1100" t="str">
        <f>LOOKUP(G1100,Sheet2!$V$4:$W$7)</f>
        <v>0.25 - 0.39</v>
      </c>
      <c r="S1100" t="str">
        <f>LOOKUP(H1100,Sheet2!$Z$4:$AA$7)</f>
        <v>&lt;=25</v>
      </c>
      <c r="T1100" t="str">
        <f t="shared" si="51"/>
        <v>Negative</v>
      </c>
      <c r="U1100" t="str">
        <f t="shared" si="52"/>
        <v>Not Sampled</v>
      </c>
      <c r="V1100" s="1" t="str">
        <f t="shared" si="53"/>
        <v>Not Sampled</v>
      </c>
    </row>
    <row r="1101" spans="1:22" x14ac:dyDescent="0.25">
      <c r="A1101" s="1">
        <v>6</v>
      </c>
      <c r="B1101" s="1">
        <v>147</v>
      </c>
      <c r="C1101" s="1">
        <v>80</v>
      </c>
      <c r="D1101" s="1">
        <v>0</v>
      </c>
      <c r="E1101" s="1">
        <v>0</v>
      </c>
      <c r="F1101" s="1">
        <v>29.5</v>
      </c>
      <c r="G1101" s="1">
        <v>0.17799999999999999</v>
      </c>
      <c r="H1101" s="1">
        <v>50</v>
      </c>
      <c r="I1101" s="1">
        <v>1</v>
      </c>
      <c r="J1101" s="1" t="str">
        <f>IFERROR(VLOOKUP(K1101,[1]diabetes_Recognition!$A:$B,2,FALSE),"Not Sampled")</f>
        <v>Not Sampled</v>
      </c>
      <c r="K1101" s="1">
        <v>1099</v>
      </c>
      <c r="L1101" s="1" t="str">
        <f>LOOKUP(A1101,Sheet2!$D$4:$E$9)</f>
        <v>5-7</v>
      </c>
      <c r="M1101" t="str">
        <f>LOOKUP(B1101,Sheet2!$G$4:$H$9)</f>
        <v>126-150</v>
      </c>
      <c r="N1101" t="str">
        <f>LOOKUP(C1101,Sheet2!$J$4:$K$8)</f>
        <v>80+</v>
      </c>
      <c r="O1101" t="str">
        <f>LOOKUP(D1101,Sheet2!$M$4:$N$8)</f>
        <v>Unknown</v>
      </c>
      <c r="P1101" t="str">
        <f>LOOKUP(E1101,Sheet2!$P$4:$Q$9)</f>
        <v>Unknown</v>
      </c>
      <c r="Q1101" t="str">
        <f>LOOKUP(F1101,Sheet2!$S$4:$T$8)</f>
        <v>26-30</v>
      </c>
      <c r="R1101" t="str">
        <f>LOOKUP(G1101,Sheet2!$V$4:$W$7)</f>
        <v>0.0 - 0.249</v>
      </c>
      <c r="S1101" t="str">
        <f>LOOKUP(H1101,Sheet2!$Z$4:$AA$7)</f>
        <v>46+</v>
      </c>
      <c r="T1101" t="str">
        <f t="shared" si="51"/>
        <v>Positive</v>
      </c>
      <c r="U1101" t="str">
        <f t="shared" si="52"/>
        <v>Not Sampled</v>
      </c>
      <c r="V1101" s="1" t="str">
        <f t="shared" si="53"/>
        <v>Not Sampled</v>
      </c>
    </row>
    <row r="1102" spans="1:22" x14ac:dyDescent="0.25">
      <c r="A1102" s="1">
        <v>4</v>
      </c>
      <c r="B1102" s="1">
        <v>90</v>
      </c>
      <c r="C1102" s="1">
        <v>0</v>
      </c>
      <c r="D1102" s="1">
        <v>0</v>
      </c>
      <c r="E1102" s="1">
        <v>0</v>
      </c>
      <c r="F1102" s="1">
        <v>28</v>
      </c>
      <c r="G1102" s="1">
        <v>0.61</v>
      </c>
      <c r="H1102" s="1">
        <v>31</v>
      </c>
      <c r="I1102" s="1">
        <v>0</v>
      </c>
      <c r="J1102" s="1">
        <f>IFERROR(VLOOKUP(K1102,[1]diabetes_Recognition!$A:$B,2,FALSE),"Not Sampled")</f>
        <v>0</v>
      </c>
      <c r="K1102" s="1">
        <v>1100</v>
      </c>
      <c r="L1102" s="1" t="str">
        <f>LOOKUP(A1102,Sheet2!$D$4:$E$9)</f>
        <v>3-4</v>
      </c>
      <c r="M1102" t="str">
        <f>LOOKUP(B1102,Sheet2!$G$4:$H$9)</f>
        <v>1-99</v>
      </c>
      <c r="N1102" t="str">
        <f>LOOKUP(C1102,Sheet2!$J$4:$K$8)</f>
        <v>Unknown</v>
      </c>
      <c r="O1102" t="str">
        <f>LOOKUP(D1102,Sheet2!$M$4:$N$8)</f>
        <v>Unknown</v>
      </c>
      <c r="P1102" t="str">
        <f>LOOKUP(E1102,Sheet2!$P$4:$Q$9)</f>
        <v>Unknown</v>
      </c>
      <c r="Q1102" t="str">
        <f>LOOKUP(F1102,Sheet2!$S$4:$T$8)</f>
        <v>26-30</v>
      </c>
      <c r="R1102" t="str">
        <f>LOOKUP(G1102,Sheet2!$V$4:$W$7)</f>
        <v>0.4 - 0.69</v>
      </c>
      <c r="S1102" t="str">
        <f>LOOKUP(H1102,Sheet2!$Z$4:$AA$7)</f>
        <v>26-35</v>
      </c>
      <c r="T1102" t="str">
        <f t="shared" si="51"/>
        <v>Negative</v>
      </c>
      <c r="U1102" t="str">
        <f t="shared" si="52"/>
        <v>Negative</v>
      </c>
      <c r="V1102" s="1" t="str">
        <f t="shared" si="53"/>
        <v>Accurate Prediction</v>
      </c>
    </row>
    <row r="1103" spans="1:22" x14ac:dyDescent="0.25">
      <c r="A1103" s="1">
        <v>3</v>
      </c>
      <c r="B1103" s="1">
        <v>103</v>
      </c>
      <c r="C1103" s="1">
        <v>72</v>
      </c>
      <c r="D1103" s="1">
        <v>30</v>
      </c>
      <c r="E1103" s="1">
        <v>152</v>
      </c>
      <c r="F1103" s="1">
        <v>27.6</v>
      </c>
      <c r="G1103" s="1">
        <v>0.73</v>
      </c>
      <c r="H1103" s="1">
        <v>27</v>
      </c>
      <c r="I1103" s="1">
        <v>0</v>
      </c>
      <c r="J1103" s="1" t="str">
        <f>IFERROR(VLOOKUP(K1103,[1]diabetes_Recognition!$A:$B,2,FALSE),"Not Sampled")</f>
        <v>Not Sampled</v>
      </c>
      <c r="K1103" s="1">
        <v>1101</v>
      </c>
      <c r="L1103" s="1" t="str">
        <f>LOOKUP(A1103,Sheet2!$D$4:$E$9)</f>
        <v>3-4</v>
      </c>
      <c r="M1103" t="str">
        <f>LOOKUP(B1103,Sheet2!$G$4:$H$9)</f>
        <v>100-125</v>
      </c>
      <c r="N1103" t="str">
        <f>LOOKUP(C1103,Sheet2!$J$4:$K$8)</f>
        <v>70-79</v>
      </c>
      <c r="O1103" t="str">
        <f>LOOKUP(D1103,Sheet2!$M$4:$N$8)</f>
        <v>30-39</v>
      </c>
      <c r="P1103" t="str">
        <f>LOOKUP(E1103,Sheet2!$P$4:$Q$9)</f>
        <v>100-199</v>
      </c>
      <c r="Q1103" t="str">
        <f>LOOKUP(F1103,Sheet2!$S$4:$T$8)</f>
        <v>26-30</v>
      </c>
      <c r="R1103" t="str">
        <f>LOOKUP(G1103,Sheet2!$V$4:$W$7)</f>
        <v>0.7+</v>
      </c>
      <c r="S1103" t="str">
        <f>LOOKUP(H1103,Sheet2!$Z$4:$AA$7)</f>
        <v>26-35</v>
      </c>
      <c r="T1103" t="str">
        <f t="shared" si="51"/>
        <v>Negative</v>
      </c>
      <c r="U1103" t="str">
        <f t="shared" si="52"/>
        <v>Not Sampled</v>
      </c>
      <c r="V1103" s="1" t="str">
        <f t="shared" si="53"/>
        <v>Not Sampled</v>
      </c>
    </row>
    <row r="1104" spans="1:22" x14ac:dyDescent="0.25">
      <c r="A1104" s="1">
        <v>2</v>
      </c>
      <c r="B1104" s="1">
        <v>157</v>
      </c>
      <c r="C1104" s="1">
        <v>74</v>
      </c>
      <c r="D1104" s="1">
        <v>35</v>
      </c>
      <c r="E1104" s="1">
        <v>440</v>
      </c>
      <c r="F1104" s="1">
        <v>39.4</v>
      </c>
      <c r="G1104" s="1">
        <v>0.13400000000000001</v>
      </c>
      <c r="H1104" s="1">
        <v>30</v>
      </c>
      <c r="I1104" s="1">
        <v>0</v>
      </c>
      <c r="J1104" s="1" t="str">
        <f>IFERROR(VLOOKUP(K1104,[1]diabetes_Recognition!$A:$B,2,FALSE),"Not Sampled")</f>
        <v>Not Sampled</v>
      </c>
      <c r="K1104" s="1">
        <v>1102</v>
      </c>
      <c r="L1104" s="1">
        <f>LOOKUP(A1104,Sheet2!$D$4:$E$9)</f>
        <v>2</v>
      </c>
      <c r="M1104" t="str">
        <f>LOOKUP(B1104,Sheet2!$G$4:$H$9)</f>
        <v>151-175</v>
      </c>
      <c r="N1104" t="str">
        <f>LOOKUP(C1104,Sheet2!$J$4:$K$8)</f>
        <v>70-79</v>
      </c>
      <c r="O1104" t="str">
        <f>LOOKUP(D1104,Sheet2!$M$4:$N$8)</f>
        <v>30-39</v>
      </c>
      <c r="P1104" t="str">
        <f>LOOKUP(E1104,Sheet2!$P$4:$Q$9)</f>
        <v>300-499</v>
      </c>
      <c r="Q1104" t="str">
        <f>LOOKUP(F1104,Sheet2!$S$4:$T$8)</f>
        <v>36+</v>
      </c>
      <c r="R1104" t="str">
        <f>LOOKUP(G1104,Sheet2!$V$4:$W$7)</f>
        <v>0.0 - 0.249</v>
      </c>
      <c r="S1104" t="str">
        <f>LOOKUP(H1104,Sheet2!$Z$4:$AA$7)</f>
        <v>26-35</v>
      </c>
      <c r="T1104" t="str">
        <f t="shared" si="51"/>
        <v>Negative</v>
      </c>
      <c r="U1104" t="str">
        <f t="shared" si="52"/>
        <v>Not Sampled</v>
      </c>
      <c r="V1104" s="1" t="str">
        <f t="shared" si="53"/>
        <v>Not Sampled</v>
      </c>
    </row>
    <row r="1105" spans="1:22" x14ac:dyDescent="0.25">
      <c r="A1105" s="1">
        <v>1</v>
      </c>
      <c r="B1105" s="1">
        <v>167</v>
      </c>
      <c r="C1105" s="1">
        <v>74</v>
      </c>
      <c r="D1105" s="1">
        <v>17</v>
      </c>
      <c r="E1105" s="1">
        <v>144</v>
      </c>
      <c r="F1105" s="1">
        <v>23.4</v>
      </c>
      <c r="G1105" s="1">
        <v>0.44700000000000001</v>
      </c>
      <c r="H1105" s="1">
        <v>33</v>
      </c>
      <c r="I1105" s="1">
        <v>1</v>
      </c>
      <c r="J1105" s="1" t="str">
        <f>IFERROR(VLOOKUP(K1105,[1]diabetes_Recognition!$A:$B,2,FALSE),"Not Sampled")</f>
        <v>Not Sampled</v>
      </c>
      <c r="K1105" s="1">
        <v>1103</v>
      </c>
      <c r="L1105" s="1">
        <f>LOOKUP(A1105,Sheet2!$D$4:$E$9)</f>
        <v>1</v>
      </c>
      <c r="M1105" t="str">
        <f>LOOKUP(B1105,Sheet2!$G$4:$H$9)</f>
        <v>151-175</v>
      </c>
      <c r="N1105" t="str">
        <f>LOOKUP(C1105,Sheet2!$J$4:$K$8)</f>
        <v>70-79</v>
      </c>
      <c r="O1105" t="str">
        <f>LOOKUP(D1105,Sheet2!$M$4:$N$8)</f>
        <v>10-30</v>
      </c>
      <c r="P1105" t="str">
        <f>LOOKUP(E1105,Sheet2!$P$4:$Q$9)</f>
        <v>100-199</v>
      </c>
      <c r="Q1105" t="str">
        <f>LOOKUP(F1105,Sheet2!$S$4:$T$8)</f>
        <v>1-25</v>
      </c>
      <c r="R1105" t="str">
        <f>LOOKUP(G1105,Sheet2!$V$4:$W$7)</f>
        <v>0.4 - 0.69</v>
      </c>
      <c r="S1105" t="str">
        <f>LOOKUP(H1105,Sheet2!$Z$4:$AA$7)</f>
        <v>26-35</v>
      </c>
      <c r="T1105" t="str">
        <f t="shared" si="51"/>
        <v>Positive</v>
      </c>
      <c r="U1105" t="str">
        <f t="shared" si="52"/>
        <v>Not Sampled</v>
      </c>
      <c r="V1105" s="1" t="str">
        <f t="shared" si="53"/>
        <v>Not Sampled</v>
      </c>
    </row>
    <row r="1106" spans="1:22" x14ac:dyDescent="0.25">
      <c r="A1106" s="1">
        <v>0</v>
      </c>
      <c r="B1106" s="1">
        <v>179</v>
      </c>
      <c r="C1106" s="1">
        <v>50</v>
      </c>
      <c r="D1106" s="1">
        <v>36</v>
      </c>
      <c r="E1106" s="1">
        <v>159</v>
      </c>
      <c r="F1106" s="1">
        <v>37.799999999999997</v>
      </c>
      <c r="G1106" s="1">
        <v>0.45500000000000002</v>
      </c>
      <c r="H1106" s="1">
        <v>22</v>
      </c>
      <c r="I1106" s="1">
        <v>1</v>
      </c>
      <c r="J1106" s="1" t="str">
        <f>IFERROR(VLOOKUP(K1106,[1]diabetes_Recognition!$A:$B,2,FALSE),"Not Sampled")</f>
        <v>Not Sampled</v>
      </c>
      <c r="K1106" s="1">
        <v>1104</v>
      </c>
      <c r="L1106" s="1">
        <f>LOOKUP(A1106,Sheet2!$D$4:$E$9)</f>
        <v>0</v>
      </c>
      <c r="M1106" t="str">
        <f>LOOKUP(B1106,Sheet2!$G$4:$H$9)</f>
        <v>176-200</v>
      </c>
      <c r="N1106" t="str">
        <f>LOOKUP(C1106,Sheet2!$J$4:$K$8)</f>
        <v>1-59</v>
      </c>
      <c r="O1106" t="str">
        <f>LOOKUP(D1106,Sheet2!$M$4:$N$8)</f>
        <v>30-39</v>
      </c>
      <c r="P1106" t="str">
        <f>LOOKUP(E1106,Sheet2!$P$4:$Q$9)</f>
        <v>100-199</v>
      </c>
      <c r="Q1106" t="str">
        <f>LOOKUP(F1106,Sheet2!$S$4:$T$8)</f>
        <v>36+</v>
      </c>
      <c r="R1106" t="str">
        <f>LOOKUP(G1106,Sheet2!$V$4:$W$7)</f>
        <v>0.4 - 0.69</v>
      </c>
      <c r="S1106" t="str">
        <f>LOOKUP(H1106,Sheet2!$Z$4:$AA$7)</f>
        <v>&lt;=25</v>
      </c>
      <c r="T1106" t="str">
        <f t="shared" si="51"/>
        <v>Positive</v>
      </c>
      <c r="U1106" t="str">
        <f t="shared" si="52"/>
        <v>Not Sampled</v>
      </c>
      <c r="V1106" s="1" t="str">
        <f t="shared" si="53"/>
        <v>Not Sampled</v>
      </c>
    </row>
    <row r="1107" spans="1:22" x14ac:dyDescent="0.25">
      <c r="A1107" s="1">
        <v>11</v>
      </c>
      <c r="B1107" s="1">
        <v>136</v>
      </c>
      <c r="C1107" s="1">
        <v>84</v>
      </c>
      <c r="D1107" s="1">
        <v>35</v>
      </c>
      <c r="E1107" s="1">
        <v>130</v>
      </c>
      <c r="F1107" s="1">
        <v>28.3</v>
      </c>
      <c r="G1107" s="1">
        <v>0.26</v>
      </c>
      <c r="H1107" s="1">
        <v>42</v>
      </c>
      <c r="I1107" s="1">
        <v>1</v>
      </c>
      <c r="J1107" s="1" t="str">
        <f>IFERROR(VLOOKUP(K1107,[1]diabetes_Recognition!$A:$B,2,FALSE),"Not Sampled")</f>
        <v>Not Sampled</v>
      </c>
      <c r="K1107" s="1">
        <v>1105</v>
      </c>
      <c r="L1107" s="1" t="str">
        <f>LOOKUP(A1107,Sheet2!$D$4:$E$9)</f>
        <v>8+</v>
      </c>
      <c r="M1107" t="str">
        <f>LOOKUP(B1107,Sheet2!$G$4:$H$9)</f>
        <v>126-150</v>
      </c>
      <c r="N1107" t="str">
        <f>LOOKUP(C1107,Sheet2!$J$4:$K$8)</f>
        <v>80+</v>
      </c>
      <c r="O1107" t="str">
        <f>LOOKUP(D1107,Sheet2!$M$4:$N$8)</f>
        <v>30-39</v>
      </c>
      <c r="P1107" t="str">
        <f>LOOKUP(E1107,Sheet2!$P$4:$Q$9)</f>
        <v>100-199</v>
      </c>
      <c r="Q1107" t="str">
        <f>LOOKUP(F1107,Sheet2!$S$4:$T$8)</f>
        <v>26-30</v>
      </c>
      <c r="R1107" t="str">
        <f>LOOKUP(G1107,Sheet2!$V$4:$W$7)</f>
        <v>0.25 - 0.39</v>
      </c>
      <c r="S1107" t="str">
        <f>LOOKUP(H1107,Sheet2!$Z$4:$AA$7)</f>
        <v>36-45</v>
      </c>
      <c r="T1107" t="str">
        <f t="shared" si="51"/>
        <v>Positive</v>
      </c>
      <c r="U1107" t="str">
        <f t="shared" si="52"/>
        <v>Not Sampled</v>
      </c>
      <c r="V1107" s="1" t="str">
        <f t="shared" si="53"/>
        <v>Not Sampled</v>
      </c>
    </row>
    <row r="1108" spans="1:22" x14ac:dyDescent="0.25">
      <c r="A1108" s="1">
        <v>0</v>
      </c>
      <c r="B1108" s="1">
        <v>107</v>
      </c>
      <c r="C1108" s="1">
        <v>60</v>
      </c>
      <c r="D1108" s="1">
        <v>25</v>
      </c>
      <c r="E1108" s="1">
        <v>0</v>
      </c>
      <c r="F1108" s="1">
        <v>26.4</v>
      </c>
      <c r="G1108" s="1">
        <v>0.13300000000000001</v>
      </c>
      <c r="H1108" s="1">
        <v>23</v>
      </c>
      <c r="I1108" s="1">
        <v>0</v>
      </c>
      <c r="J1108" s="1" t="str">
        <f>IFERROR(VLOOKUP(K1108,[1]diabetes_Recognition!$A:$B,2,FALSE),"Not Sampled")</f>
        <v>Not Sampled</v>
      </c>
      <c r="K1108" s="1">
        <v>1106</v>
      </c>
      <c r="L1108" s="1">
        <f>LOOKUP(A1108,Sheet2!$D$4:$E$9)</f>
        <v>0</v>
      </c>
      <c r="M1108" t="str">
        <f>LOOKUP(B1108,Sheet2!$G$4:$H$9)</f>
        <v>100-125</v>
      </c>
      <c r="N1108" t="str">
        <f>LOOKUP(C1108,Sheet2!$J$4:$K$8)</f>
        <v>60-69</v>
      </c>
      <c r="O1108" t="str">
        <f>LOOKUP(D1108,Sheet2!$M$4:$N$8)</f>
        <v>10-30</v>
      </c>
      <c r="P1108" t="str">
        <f>LOOKUP(E1108,Sheet2!$P$4:$Q$9)</f>
        <v>Unknown</v>
      </c>
      <c r="Q1108" t="str">
        <f>LOOKUP(F1108,Sheet2!$S$4:$T$8)</f>
        <v>26-30</v>
      </c>
      <c r="R1108" t="str">
        <f>LOOKUP(G1108,Sheet2!$V$4:$W$7)</f>
        <v>0.0 - 0.249</v>
      </c>
      <c r="S1108" t="str">
        <f>LOOKUP(H1108,Sheet2!$Z$4:$AA$7)</f>
        <v>&lt;=25</v>
      </c>
      <c r="T1108" t="str">
        <f t="shared" si="51"/>
        <v>Negative</v>
      </c>
      <c r="U1108" t="str">
        <f t="shared" si="52"/>
        <v>Not Sampled</v>
      </c>
      <c r="V1108" s="1" t="str">
        <f t="shared" si="53"/>
        <v>Not Sampled</v>
      </c>
    </row>
    <row r="1109" spans="1:22" x14ac:dyDescent="0.25">
      <c r="A1109" s="1">
        <v>1</v>
      </c>
      <c r="B1109" s="1">
        <v>91</v>
      </c>
      <c r="C1109" s="1">
        <v>54</v>
      </c>
      <c r="D1109" s="1">
        <v>25</v>
      </c>
      <c r="E1109" s="1">
        <v>100</v>
      </c>
      <c r="F1109" s="1">
        <v>25.2</v>
      </c>
      <c r="G1109" s="1">
        <v>0.23400000000000001</v>
      </c>
      <c r="H1109" s="1">
        <v>23</v>
      </c>
      <c r="I1109" s="1">
        <v>0</v>
      </c>
      <c r="J1109" s="1" t="str">
        <f>IFERROR(VLOOKUP(K1109,[1]diabetes_Recognition!$A:$B,2,FALSE),"Not Sampled")</f>
        <v>Not Sampled</v>
      </c>
      <c r="K1109" s="1">
        <v>1107</v>
      </c>
      <c r="L1109" s="1">
        <f>LOOKUP(A1109,Sheet2!$D$4:$E$9)</f>
        <v>1</v>
      </c>
      <c r="M1109" t="str">
        <f>LOOKUP(B1109,Sheet2!$G$4:$H$9)</f>
        <v>1-99</v>
      </c>
      <c r="N1109" t="str">
        <f>LOOKUP(C1109,Sheet2!$J$4:$K$8)</f>
        <v>1-59</v>
      </c>
      <c r="O1109" t="str">
        <f>LOOKUP(D1109,Sheet2!$M$4:$N$8)</f>
        <v>10-30</v>
      </c>
      <c r="P1109" t="str">
        <f>LOOKUP(E1109,Sheet2!$P$4:$Q$9)</f>
        <v>100-199</v>
      </c>
      <c r="Q1109" t="str">
        <f>LOOKUP(F1109,Sheet2!$S$4:$T$8)</f>
        <v>1-25</v>
      </c>
      <c r="R1109" t="str">
        <f>LOOKUP(G1109,Sheet2!$V$4:$W$7)</f>
        <v>0.0 - 0.249</v>
      </c>
      <c r="S1109" t="str">
        <f>LOOKUP(H1109,Sheet2!$Z$4:$AA$7)</f>
        <v>&lt;=25</v>
      </c>
      <c r="T1109" t="str">
        <f t="shared" si="51"/>
        <v>Negative</v>
      </c>
      <c r="U1109" t="str">
        <f t="shared" si="52"/>
        <v>Not Sampled</v>
      </c>
      <c r="V1109" s="1" t="str">
        <f t="shared" si="53"/>
        <v>Not Sampled</v>
      </c>
    </row>
    <row r="1110" spans="1:22" x14ac:dyDescent="0.25">
      <c r="A1110" s="1">
        <v>1</v>
      </c>
      <c r="B1110" s="1">
        <v>117</v>
      </c>
      <c r="C1110" s="1">
        <v>60</v>
      </c>
      <c r="D1110" s="1">
        <v>23</v>
      </c>
      <c r="E1110" s="1">
        <v>106</v>
      </c>
      <c r="F1110" s="1">
        <v>33.799999999999997</v>
      </c>
      <c r="G1110" s="1">
        <v>0.46600000000000003</v>
      </c>
      <c r="H1110" s="1">
        <v>27</v>
      </c>
      <c r="I1110" s="1">
        <v>0</v>
      </c>
      <c r="J1110" s="1" t="str">
        <f>IFERROR(VLOOKUP(K1110,[1]diabetes_Recognition!$A:$B,2,FALSE),"Not Sampled")</f>
        <v>Not Sampled</v>
      </c>
      <c r="K1110" s="1">
        <v>1108</v>
      </c>
      <c r="L1110" s="1">
        <f>LOOKUP(A1110,Sheet2!$D$4:$E$9)</f>
        <v>1</v>
      </c>
      <c r="M1110" t="str">
        <f>LOOKUP(B1110,Sheet2!$G$4:$H$9)</f>
        <v>100-125</v>
      </c>
      <c r="N1110" t="str">
        <f>LOOKUP(C1110,Sheet2!$J$4:$K$8)</f>
        <v>60-69</v>
      </c>
      <c r="O1110" t="str">
        <f>LOOKUP(D1110,Sheet2!$M$4:$N$8)</f>
        <v>10-30</v>
      </c>
      <c r="P1110" t="str">
        <f>LOOKUP(E1110,Sheet2!$P$4:$Q$9)</f>
        <v>100-199</v>
      </c>
      <c r="Q1110" t="str">
        <f>LOOKUP(F1110,Sheet2!$S$4:$T$8)</f>
        <v>31-35</v>
      </c>
      <c r="R1110" t="str">
        <f>LOOKUP(G1110,Sheet2!$V$4:$W$7)</f>
        <v>0.4 - 0.69</v>
      </c>
      <c r="S1110" t="str">
        <f>LOOKUP(H1110,Sheet2!$Z$4:$AA$7)</f>
        <v>26-35</v>
      </c>
      <c r="T1110" t="str">
        <f t="shared" si="51"/>
        <v>Negative</v>
      </c>
      <c r="U1110" t="str">
        <f t="shared" si="52"/>
        <v>Not Sampled</v>
      </c>
      <c r="V1110" s="1" t="str">
        <f t="shared" si="53"/>
        <v>Not Sampled</v>
      </c>
    </row>
    <row r="1111" spans="1:22" x14ac:dyDescent="0.25">
      <c r="A1111" s="1">
        <v>5</v>
      </c>
      <c r="B1111" s="1">
        <v>123</v>
      </c>
      <c r="C1111" s="1">
        <v>74</v>
      </c>
      <c r="D1111" s="1">
        <v>40</v>
      </c>
      <c r="E1111" s="1">
        <v>77</v>
      </c>
      <c r="F1111" s="1">
        <v>34.1</v>
      </c>
      <c r="G1111" s="1">
        <v>0.26900000000000002</v>
      </c>
      <c r="H1111" s="1">
        <v>28</v>
      </c>
      <c r="I1111" s="1">
        <v>0</v>
      </c>
      <c r="J1111" s="1">
        <f>IFERROR(VLOOKUP(K1111,[1]diabetes_Recognition!$A:$B,2,FALSE),"Not Sampled")</f>
        <v>0</v>
      </c>
      <c r="K1111" s="1">
        <v>1109</v>
      </c>
      <c r="L1111" s="1" t="str">
        <f>LOOKUP(A1111,Sheet2!$D$4:$E$9)</f>
        <v>5-7</v>
      </c>
      <c r="M1111" t="str">
        <f>LOOKUP(B1111,Sheet2!$G$4:$H$9)</f>
        <v>100-125</v>
      </c>
      <c r="N1111" t="str">
        <f>LOOKUP(C1111,Sheet2!$J$4:$K$8)</f>
        <v>70-79</v>
      </c>
      <c r="O1111" t="str">
        <f>LOOKUP(D1111,Sheet2!$M$4:$N$8)</f>
        <v>40+</v>
      </c>
      <c r="P1111" t="str">
        <f>LOOKUP(E1111,Sheet2!$P$4:$Q$9)</f>
        <v>1-99</v>
      </c>
      <c r="Q1111" t="str">
        <f>LOOKUP(F1111,Sheet2!$S$4:$T$8)</f>
        <v>31-35</v>
      </c>
      <c r="R1111" t="str">
        <f>LOOKUP(G1111,Sheet2!$V$4:$W$7)</f>
        <v>0.25 - 0.39</v>
      </c>
      <c r="S1111" t="str">
        <f>LOOKUP(H1111,Sheet2!$Z$4:$AA$7)</f>
        <v>26-35</v>
      </c>
      <c r="T1111" t="str">
        <f t="shared" si="51"/>
        <v>Negative</v>
      </c>
      <c r="U1111" t="str">
        <f t="shared" si="52"/>
        <v>Negative</v>
      </c>
      <c r="V1111" s="1" t="str">
        <f t="shared" si="53"/>
        <v>Accurate Prediction</v>
      </c>
    </row>
    <row r="1112" spans="1:22" x14ac:dyDescent="0.25">
      <c r="A1112" s="1">
        <v>2</v>
      </c>
      <c r="B1112" s="1">
        <v>120</v>
      </c>
      <c r="C1112" s="1">
        <v>54</v>
      </c>
      <c r="D1112" s="1">
        <v>0</v>
      </c>
      <c r="E1112" s="1">
        <v>0</v>
      </c>
      <c r="F1112" s="1">
        <v>26.8</v>
      </c>
      <c r="G1112" s="1">
        <v>0.45500000000000002</v>
      </c>
      <c r="H1112" s="1">
        <v>27</v>
      </c>
      <c r="I1112" s="1">
        <v>0</v>
      </c>
      <c r="J1112" s="1" t="str">
        <f>IFERROR(VLOOKUP(K1112,[1]diabetes_Recognition!$A:$B,2,FALSE),"Not Sampled")</f>
        <v>Not Sampled</v>
      </c>
      <c r="K1112" s="1">
        <v>1110</v>
      </c>
      <c r="L1112" s="1">
        <f>LOOKUP(A1112,Sheet2!$D$4:$E$9)</f>
        <v>2</v>
      </c>
      <c r="M1112" t="str">
        <f>LOOKUP(B1112,Sheet2!$G$4:$H$9)</f>
        <v>100-125</v>
      </c>
      <c r="N1112" t="str">
        <f>LOOKUP(C1112,Sheet2!$J$4:$K$8)</f>
        <v>1-59</v>
      </c>
      <c r="O1112" t="str">
        <f>LOOKUP(D1112,Sheet2!$M$4:$N$8)</f>
        <v>Unknown</v>
      </c>
      <c r="P1112" t="str">
        <f>LOOKUP(E1112,Sheet2!$P$4:$Q$9)</f>
        <v>Unknown</v>
      </c>
      <c r="Q1112" t="str">
        <f>LOOKUP(F1112,Sheet2!$S$4:$T$8)</f>
        <v>26-30</v>
      </c>
      <c r="R1112" t="str">
        <f>LOOKUP(G1112,Sheet2!$V$4:$W$7)</f>
        <v>0.4 - 0.69</v>
      </c>
      <c r="S1112" t="str">
        <f>LOOKUP(H1112,Sheet2!$Z$4:$AA$7)</f>
        <v>26-35</v>
      </c>
      <c r="T1112" t="str">
        <f t="shared" si="51"/>
        <v>Negative</v>
      </c>
      <c r="U1112" t="str">
        <f t="shared" si="52"/>
        <v>Not Sampled</v>
      </c>
      <c r="V1112" s="1" t="str">
        <f t="shared" si="53"/>
        <v>Not Sampled</v>
      </c>
    </row>
    <row r="1113" spans="1:22" x14ac:dyDescent="0.25">
      <c r="A1113" s="1">
        <v>1</v>
      </c>
      <c r="B1113" s="1">
        <v>106</v>
      </c>
      <c r="C1113" s="1">
        <v>70</v>
      </c>
      <c r="D1113" s="1">
        <v>28</v>
      </c>
      <c r="E1113" s="1">
        <v>135</v>
      </c>
      <c r="F1113" s="1">
        <v>34.200000000000003</v>
      </c>
      <c r="G1113" s="1">
        <v>0.14199999999999999</v>
      </c>
      <c r="H1113" s="1">
        <v>22</v>
      </c>
      <c r="I1113" s="1">
        <v>0</v>
      </c>
      <c r="J1113" s="1" t="str">
        <f>IFERROR(VLOOKUP(K1113,[1]diabetes_Recognition!$A:$B,2,FALSE),"Not Sampled")</f>
        <v>Not Sampled</v>
      </c>
      <c r="K1113" s="1">
        <v>1111</v>
      </c>
      <c r="L1113" s="1">
        <f>LOOKUP(A1113,Sheet2!$D$4:$E$9)</f>
        <v>1</v>
      </c>
      <c r="M1113" t="str">
        <f>LOOKUP(B1113,Sheet2!$G$4:$H$9)</f>
        <v>100-125</v>
      </c>
      <c r="N1113" t="str">
        <f>LOOKUP(C1113,Sheet2!$J$4:$K$8)</f>
        <v>70-79</v>
      </c>
      <c r="O1113" t="str">
        <f>LOOKUP(D1113,Sheet2!$M$4:$N$8)</f>
        <v>10-30</v>
      </c>
      <c r="P1113" t="str">
        <f>LOOKUP(E1113,Sheet2!$P$4:$Q$9)</f>
        <v>100-199</v>
      </c>
      <c r="Q1113" t="str">
        <f>LOOKUP(F1113,Sheet2!$S$4:$T$8)</f>
        <v>31-35</v>
      </c>
      <c r="R1113" t="str">
        <f>LOOKUP(G1113,Sheet2!$V$4:$W$7)</f>
        <v>0.0 - 0.249</v>
      </c>
      <c r="S1113" t="str">
        <f>LOOKUP(H1113,Sheet2!$Z$4:$AA$7)</f>
        <v>&lt;=25</v>
      </c>
      <c r="T1113" t="str">
        <f t="shared" si="51"/>
        <v>Negative</v>
      </c>
      <c r="U1113" t="str">
        <f t="shared" si="52"/>
        <v>Not Sampled</v>
      </c>
      <c r="V1113" s="1" t="str">
        <f t="shared" si="53"/>
        <v>Not Sampled</v>
      </c>
    </row>
    <row r="1114" spans="1:22" x14ac:dyDescent="0.25">
      <c r="A1114" s="1">
        <v>2</v>
      </c>
      <c r="B1114" s="1">
        <v>155</v>
      </c>
      <c r="C1114" s="1">
        <v>52</v>
      </c>
      <c r="D1114" s="1">
        <v>27</v>
      </c>
      <c r="E1114" s="1">
        <v>540</v>
      </c>
      <c r="F1114" s="1">
        <v>38.700000000000003</v>
      </c>
      <c r="G1114" s="1">
        <v>0.24</v>
      </c>
      <c r="H1114" s="1">
        <v>25</v>
      </c>
      <c r="I1114" s="1">
        <v>1</v>
      </c>
      <c r="J1114" s="1" t="str">
        <f>IFERROR(VLOOKUP(K1114,[1]diabetes_Recognition!$A:$B,2,FALSE),"Not Sampled")</f>
        <v>Not Sampled</v>
      </c>
      <c r="K1114" s="1">
        <v>1112</v>
      </c>
      <c r="L1114" s="1">
        <f>LOOKUP(A1114,Sheet2!$D$4:$E$9)</f>
        <v>2</v>
      </c>
      <c r="M1114" t="str">
        <f>LOOKUP(B1114,Sheet2!$G$4:$H$9)</f>
        <v>151-175</v>
      </c>
      <c r="N1114" t="str">
        <f>LOOKUP(C1114,Sheet2!$J$4:$K$8)</f>
        <v>1-59</v>
      </c>
      <c r="O1114" t="str">
        <f>LOOKUP(D1114,Sheet2!$M$4:$N$8)</f>
        <v>10-30</v>
      </c>
      <c r="P1114" t="str">
        <f>LOOKUP(E1114,Sheet2!$P$4:$Q$9)</f>
        <v>500+</v>
      </c>
      <c r="Q1114" t="str">
        <f>LOOKUP(F1114,Sheet2!$S$4:$T$8)</f>
        <v>36+</v>
      </c>
      <c r="R1114" t="str">
        <f>LOOKUP(G1114,Sheet2!$V$4:$W$7)</f>
        <v>0.0 - 0.249</v>
      </c>
      <c r="S1114" t="str">
        <f>LOOKUP(H1114,Sheet2!$Z$4:$AA$7)</f>
        <v>&lt;=25</v>
      </c>
      <c r="T1114" t="str">
        <f t="shared" si="51"/>
        <v>Positive</v>
      </c>
      <c r="U1114" t="str">
        <f t="shared" si="52"/>
        <v>Not Sampled</v>
      </c>
      <c r="V1114" s="1" t="str">
        <f t="shared" si="53"/>
        <v>Not Sampled</v>
      </c>
    </row>
    <row r="1115" spans="1:22" x14ac:dyDescent="0.25">
      <c r="A1115" s="1">
        <v>2</v>
      </c>
      <c r="B1115" s="1">
        <v>101</v>
      </c>
      <c r="C1115" s="1">
        <v>58</v>
      </c>
      <c r="D1115" s="1">
        <v>35</v>
      </c>
      <c r="E1115" s="1">
        <v>90</v>
      </c>
      <c r="F1115" s="1">
        <v>21.8</v>
      </c>
      <c r="G1115" s="1">
        <v>0.155</v>
      </c>
      <c r="H1115" s="1">
        <v>22</v>
      </c>
      <c r="I1115" s="1">
        <v>0</v>
      </c>
      <c r="J1115" s="1" t="str">
        <f>IFERROR(VLOOKUP(K1115,[1]diabetes_Recognition!$A:$B,2,FALSE),"Not Sampled")</f>
        <v>Not Sampled</v>
      </c>
      <c r="K1115" s="1">
        <v>1113</v>
      </c>
      <c r="L1115" s="1">
        <f>LOOKUP(A1115,Sheet2!$D$4:$E$9)</f>
        <v>2</v>
      </c>
      <c r="M1115" t="str">
        <f>LOOKUP(B1115,Sheet2!$G$4:$H$9)</f>
        <v>100-125</v>
      </c>
      <c r="N1115" t="str">
        <f>LOOKUP(C1115,Sheet2!$J$4:$K$8)</f>
        <v>1-59</v>
      </c>
      <c r="O1115" t="str">
        <f>LOOKUP(D1115,Sheet2!$M$4:$N$8)</f>
        <v>30-39</v>
      </c>
      <c r="P1115" t="str">
        <f>LOOKUP(E1115,Sheet2!$P$4:$Q$9)</f>
        <v>1-99</v>
      </c>
      <c r="Q1115" t="str">
        <f>LOOKUP(F1115,Sheet2!$S$4:$T$8)</f>
        <v>1-25</v>
      </c>
      <c r="R1115" t="str">
        <f>LOOKUP(G1115,Sheet2!$V$4:$W$7)</f>
        <v>0.0 - 0.249</v>
      </c>
      <c r="S1115" t="str">
        <f>LOOKUP(H1115,Sheet2!$Z$4:$AA$7)</f>
        <v>&lt;=25</v>
      </c>
      <c r="T1115" t="str">
        <f t="shared" si="51"/>
        <v>Negative</v>
      </c>
      <c r="U1115" t="str">
        <f t="shared" si="52"/>
        <v>Not Sampled</v>
      </c>
      <c r="V1115" s="1" t="str">
        <f t="shared" si="53"/>
        <v>Not Sampled</v>
      </c>
    </row>
    <row r="1116" spans="1:22" x14ac:dyDescent="0.25">
      <c r="A1116" s="1">
        <v>1</v>
      </c>
      <c r="B1116" s="1">
        <v>120</v>
      </c>
      <c r="C1116" s="1">
        <v>80</v>
      </c>
      <c r="D1116" s="1">
        <v>48</v>
      </c>
      <c r="E1116" s="1">
        <v>200</v>
      </c>
      <c r="F1116" s="1">
        <v>38.9</v>
      </c>
      <c r="G1116" s="1">
        <v>1.1619999999999999</v>
      </c>
      <c r="H1116" s="1">
        <v>41</v>
      </c>
      <c r="I1116" s="1">
        <v>0</v>
      </c>
      <c r="J1116" s="1" t="str">
        <f>IFERROR(VLOOKUP(K1116,[1]diabetes_Recognition!$A:$B,2,FALSE),"Not Sampled")</f>
        <v>Not Sampled</v>
      </c>
      <c r="K1116" s="1">
        <v>1114</v>
      </c>
      <c r="L1116" s="1">
        <f>LOOKUP(A1116,Sheet2!$D$4:$E$9)</f>
        <v>1</v>
      </c>
      <c r="M1116" t="str">
        <f>LOOKUP(B1116,Sheet2!$G$4:$H$9)</f>
        <v>100-125</v>
      </c>
      <c r="N1116" t="str">
        <f>LOOKUP(C1116,Sheet2!$J$4:$K$8)</f>
        <v>80+</v>
      </c>
      <c r="O1116" t="str">
        <f>LOOKUP(D1116,Sheet2!$M$4:$N$8)</f>
        <v>40+</v>
      </c>
      <c r="P1116" t="str">
        <f>LOOKUP(E1116,Sheet2!$P$4:$Q$9)</f>
        <v>200-399</v>
      </c>
      <c r="Q1116" t="str">
        <f>LOOKUP(F1116,Sheet2!$S$4:$T$8)</f>
        <v>36+</v>
      </c>
      <c r="R1116" t="str">
        <f>LOOKUP(G1116,Sheet2!$V$4:$W$7)</f>
        <v>0.7+</v>
      </c>
      <c r="S1116" t="str">
        <f>LOOKUP(H1116,Sheet2!$Z$4:$AA$7)</f>
        <v>36-45</v>
      </c>
      <c r="T1116" t="str">
        <f t="shared" si="51"/>
        <v>Negative</v>
      </c>
      <c r="U1116" t="str">
        <f t="shared" si="52"/>
        <v>Not Sampled</v>
      </c>
      <c r="V1116" s="1" t="str">
        <f t="shared" si="53"/>
        <v>Not Sampled</v>
      </c>
    </row>
    <row r="1117" spans="1:22" x14ac:dyDescent="0.25">
      <c r="A1117" s="1">
        <v>11</v>
      </c>
      <c r="B1117" s="1">
        <v>127</v>
      </c>
      <c r="C1117" s="1">
        <v>106</v>
      </c>
      <c r="D1117" s="1">
        <v>0</v>
      </c>
      <c r="E1117" s="1">
        <v>0</v>
      </c>
      <c r="F1117" s="1">
        <v>39</v>
      </c>
      <c r="G1117" s="1">
        <v>0.19</v>
      </c>
      <c r="H1117" s="1">
        <v>51</v>
      </c>
      <c r="I1117" s="1">
        <v>0</v>
      </c>
      <c r="J1117" s="1">
        <f>IFERROR(VLOOKUP(K1117,[1]diabetes_Recognition!$A:$B,2,FALSE),"Not Sampled")</f>
        <v>1</v>
      </c>
      <c r="K1117" s="1">
        <v>1115</v>
      </c>
      <c r="L1117" s="1" t="str">
        <f>LOOKUP(A1117,Sheet2!$D$4:$E$9)</f>
        <v>8+</v>
      </c>
      <c r="M1117" t="str">
        <f>LOOKUP(B1117,Sheet2!$G$4:$H$9)</f>
        <v>126-150</v>
      </c>
      <c r="N1117" t="str">
        <f>LOOKUP(C1117,Sheet2!$J$4:$K$8)</f>
        <v>80+</v>
      </c>
      <c r="O1117" t="str">
        <f>LOOKUP(D1117,Sheet2!$M$4:$N$8)</f>
        <v>Unknown</v>
      </c>
      <c r="P1117" t="str">
        <f>LOOKUP(E1117,Sheet2!$P$4:$Q$9)</f>
        <v>Unknown</v>
      </c>
      <c r="Q1117" t="str">
        <f>LOOKUP(F1117,Sheet2!$S$4:$T$8)</f>
        <v>36+</v>
      </c>
      <c r="R1117" t="str">
        <f>LOOKUP(G1117,Sheet2!$V$4:$W$7)</f>
        <v>0.0 - 0.249</v>
      </c>
      <c r="S1117" t="str">
        <f>LOOKUP(H1117,Sheet2!$Z$4:$AA$7)</f>
        <v>46+</v>
      </c>
      <c r="T1117" t="str">
        <f t="shared" si="51"/>
        <v>Negative</v>
      </c>
      <c r="U1117" t="str">
        <f t="shared" si="52"/>
        <v>Positive</v>
      </c>
      <c r="V1117" s="1" t="str">
        <f t="shared" si="53"/>
        <v>Inaccurate Prediction</v>
      </c>
    </row>
    <row r="1118" spans="1:22" x14ac:dyDescent="0.25">
      <c r="A1118" s="1">
        <v>3</v>
      </c>
      <c r="B1118" s="1">
        <v>80</v>
      </c>
      <c r="C1118" s="1">
        <v>82</v>
      </c>
      <c r="D1118" s="1">
        <v>31</v>
      </c>
      <c r="E1118" s="1">
        <v>70</v>
      </c>
      <c r="F1118" s="1">
        <v>34.200000000000003</v>
      </c>
      <c r="G1118" s="1">
        <v>1.292</v>
      </c>
      <c r="H1118" s="1">
        <v>27</v>
      </c>
      <c r="I1118" s="1">
        <v>1</v>
      </c>
      <c r="J1118" s="1" t="str">
        <f>IFERROR(VLOOKUP(K1118,[1]diabetes_Recognition!$A:$B,2,FALSE),"Not Sampled")</f>
        <v>Not Sampled</v>
      </c>
      <c r="K1118" s="1">
        <v>1116</v>
      </c>
      <c r="L1118" s="1" t="str">
        <f>LOOKUP(A1118,Sheet2!$D$4:$E$9)</f>
        <v>3-4</v>
      </c>
      <c r="M1118" t="str">
        <f>LOOKUP(B1118,Sheet2!$G$4:$H$9)</f>
        <v>1-99</v>
      </c>
      <c r="N1118" t="str">
        <f>LOOKUP(C1118,Sheet2!$J$4:$K$8)</f>
        <v>80+</v>
      </c>
      <c r="O1118" t="str">
        <f>LOOKUP(D1118,Sheet2!$M$4:$N$8)</f>
        <v>30-39</v>
      </c>
      <c r="P1118" t="str">
        <f>LOOKUP(E1118,Sheet2!$P$4:$Q$9)</f>
        <v>1-99</v>
      </c>
      <c r="Q1118" t="str">
        <f>LOOKUP(F1118,Sheet2!$S$4:$T$8)</f>
        <v>31-35</v>
      </c>
      <c r="R1118" t="str">
        <f>LOOKUP(G1118,Sheet2!$V$4:$W$7)</f>
        <v>0.7+</v>
      </c>
      <c r="S1118" t="str">
        <f>LOOKUP(H1118,Sheet2!$Z$4:$AA$7)</f>
        <v>26-35</v>
      </c>
      <c r="T1118" t="str">
        <f t="shared" si="51"/>
        <v>Positive</v>
      </c>
      <c r="U1118" t="str">
        <f t="shared" si="52"/>
        <v>Not Sampled</v>
      </c>
      <c r="V1118" s="1" t="str">
        <f t="shared" si="53"/>
        <v>Not Sampled</v>
      </c>
    </row>
    <row r="1119" spans="1:22" x14ac:dyDescent="0.25">
      <c r="A1119" s="1">
        <v>10</v>
      </c>
      <c r="B1119" s="1">
        <v>162</v>
      </c>
      <c r="C1119" s="1">
        <v>84</v>
      </c>
      <c r="D1119" s="1">
        <v>0</v>
      </c>
      <c r="E1119" s="1">
        <v>0</v>
      </c>
      <c r="F1119" s="1">
        <v>27.7</v>
      </c>
      <c r="G1119" s="1">
        <v>0.182</v>
      </c>
      <c r="H1119" s="1">
        <v>54</v>
      </c>
      <c r="I1119" s="1">
        <v>0</v>
      </c>
      <c r="J1119" s="1">
        <f>IFERROR(VLOOKUP(K1119,[1]diabetes_Recognition!$A:$B,2,FALSE),"Not Sampled")</f>
        <v>1</v>
      </c>
      <c r="K1119" s="1">
        <v>1117</v>
      </c>
      <c r="L1119" s="1" t="str">
        <f>LOOKUP(A1119,Sheet2!$D$4:$E$9)</f>
        <v>8+</v>
      </c>
      <c r="M1119" t="str">
        <f>LOOKUP(B1119,Sheet2!$G$4:$H$9)</f>
        <v>151-175</v>
      </c>
      <c r="N1119" t="str">
        <f>LOOKUP(C1119,Sheet2!$J$4:$K$8)</f>
        <v>80+</v>
      </c>
      <c r="O1119" t="str">
        <f>LOOKUP(D1119,Sheet2!$M$4:$N$8)</f>
        <v>Unknown</v>
      </c>
      <c r="P1119" t="str">
        <f>LOOKUP(E1119,Sheet2!$P$4:$Q$9)</f>
        <v>Unknown</v>
      </c>
      <c r="Q1119" t="str">
        <f>LOOKUP(F1119,Sheet2!$S$4:$T$8)</f>
        <v>26-30</v>
      </c>
      <c r="R1119" t="str">
        <f>LOOKUP(G1119,Sheet2!$V$4:$W$7)</f>
        <v>0.0 - 0.249</v>
      </c>
      <c r="S1119" t="str">
        <f>LOOKUP(H1119,Sheet2!$Z$4:$AA$7)</f>
        <v>46+</v>
      </c>
      <c r="T1119" t="str">
        <f t="shared" si="51"/>
        <v>Negative</v>
      </c>
      <c r="U1119" t="str">
        <f t="shared" si="52"/>
        <v>Positive</v>
      </c>
      <c r="V1119" s="1" t="str">
        <f t="shared" si="53"/>
        <v>Inaccurate Prediction</v>
      </c>
    </row>
    <row r="1120" spans="1:22" x14ac:dyDescent="0.25">
      <c r="A1120" s="1">
        <v>1</v>
      </c>
      <c r="B1120" s="1">
        <v>199</v>
      </c>
      <c r="C1120" s="1">
        <v>76</v>
      </c>
      <c r="D1120" s="1">
        <v>43</v>
      </c>
      <c r="E1120" s="1">
        <v>0</v>
      </c>
      <c r="F1120" s="1">
        <v>42.9</v>
      </c>
      <c r="G1120" s="1">
        <v>1.3939999999999999</v>
      </c>
      <c r="H1120" s="1">
        <v>22</v>
      </c>
      <c r="I1120" s="1">
        <v>1</v>
      </c>
      <c r="J1120" s="1" t="str">
        <f>IFERROR(VLOOKUP(K1120,[1]diabetes_Recognition!$A:$B,2,FALSE),"Not Sampled")</f>
        <v>Not Sampled</v>
      </c>
      <c r="K1120" s="1">
        <v>1118</v>
      </c>
      <c r="L1120" s="1">
        <f>LOOKUP(A1120,Sheet2!$D$4:$E$9)</f>
        <v>1</v>
      </c>
      <c r="M1120" t="str">
        <f>LOOKUP(B1120,Sheet2!$G$4:$H$9)</f>
        <v>176-200</v>
      </c>
      <c r="N1120" t="str">
        <f>LOOKUP(C1120,Sheet2!$J$4:$K$8)</f>
        <v>70-79</v>
      </c>
      <c r="O1120" t="str">
        <f>LOOKUP(D1120,Sheet2!$M$4:$N$8)</f>
        <v>40+</v>
      </c>
      <c r="P1120" t="str">
        <f>LOOKUP(E1120,Sheet2!$P$4:$Q$9)</f>
        <v>Unknown</v>
      </c>
      <c r="Q1120" t="str">
        <f>LOOKUP(F1120,Sheet2!$S$4:$T$8)</f>
        <v>36+</v>
      </c>
      <c r="R1120" t="str">
        <f>LOOKUP(G1120,Sheet2!$V$4:$W$7)</f>
        <v>0.7+</v>
      </c>
      <c r="S1120" t="str">
        <f>LOOKUP(H1120,Sheet2!$Z$4:$AA$7)</f>
        <v>&lt;=25</v>
      </c>
      <c r="T1120" t="str">
        <f t="shared" si="51"/>
        <v>Positive</v>
      </c>
      <c r="U1120" t="str">
        <f t="shared" si="52"/>
        <v>Not Sampled</v>
      </c>
      <c r="V1120" s="1" t="str">
        <f t="shared" si="53"/>
        <v>Not Sampled</v>
      </c>
    </row>
    <row r="1121" spans="1:22" x14ac:dyDescent="0.25">
      <c r="A1121" s="1">
        <v>8</v>
      </c>
      <c r="B1121" s="1">
        <v>167</v>
      </c>
      <c r="C1121" s="1">
        <v>106</v>
      </c>
      <c r="D1121" s="1">
        <v>46</v>
      </c>
      <c r="E1121" s="1">
        <v>231</v>
      </c>
      <c r="F1121" s="1">
        <v>37.6</v>
      </c>
      <c r="G1121" s="1">
        <v>0.16500000000000001</v>
      </c>
      <c r="H1121" s="1">
        <v>43</v>
      </c>
      <c r="I1121" s="1">
        <v>1</v>
      </c>
      <c r="J1121" s="1" t="str">
        <f>IFERROR(VLOOKUP(K1121,[1]diabetes_Recognition!$A:$B,2,FALSE),"Not Sampled")</f>
        <v>Not Sampled</v>
      </c>
      <c r="K1121" s="1">
        <v>1119</v>
      </c>
      <c r="L1121" s="1" t="str">
        <f>LOOKUP(A1121,Sheet2!$D$4:$E$9)</f>
        <v>8+</v>
      </c>
      <c r="M1121" t="str">
        <f>LOOKUP(B1121,Sheet2!$G$4:$H$9)</f>
        <v>151-175</v>
      </c>
      <c r="N1121" t="str">
        <f>LOOKUP(C1121,Sheet2!$J$4:$K$8)</f>
        <v>80+</v>
      </c>
      <c r="O1121" t="str">
        <f>LOOKUP(D1121,Sheet2!$M$4:$N$8)</f>
        <v>40+</v>
      </c>
      <c r="P1121" t="str">
        <f>LOOKUP(E1121,Sheet2!$P$4:$Q$9)</f>
        <v>200-399</v>
      </c>
      <c r="Q1121" t="str">
        <f>LOOKUP(F1121,Sheet2!$S$4:$T$8)</f>
        <v>36+</v>
      </c>
      <c r="R1121" t="str">
        <f>LOOKUP(G1121,Sheet2!$V$4:$W$7)</f>
        <v>0.0 - 0.249</v>
      </c>
      <c r="S1121" t="str">
        <f>LOOKUP(H1121,Sheet2!$Z$4:$AA$7)</f>
        <v>36-45</v>
      </c>
      <c r="T1121" t="str">
        <f t="shared" si="51"/>
        <v>Positive</v>
      </c>
      <c r="U1121" t="str">
        <f t="shared" si="52"/>
        <v>Not Sampled</v>
      </c>
      <c r="V1121" s="1" t="str">
        <f t="shared" si="53"/>
        <v>Not Sampled</v>
      </c>
    </row>
    <row r="1122" spans="1:22" x14ac:dyDescent="0.25">
      <c r="A1122" s="1">
        <v>9</v>
      </c>
      <c r="B1122" s="1">
        <v>145</v>
      </c>
      <c r="C1122" s="1">
        <v>80</v>
      </c>
      <c r="D1122" s="1">
        <v>46</v>
      </c>
      <c r="E1122" s="1">
        <v>130</v>
      </c>
      <c r="F1122" s="1">
        <v>37.9</v>
      </c>
      <c r="G1122" s="1">
        <v>0.63700000000000001</v>
      </c>
      <c r="H1122" s="1">
        <v>40</v>
      </c>
      <c r="I1122" s="1">
        <v>1</v>
      </c>
      <c r="J1122" s="1" t="str">
        <f>IFERROR(VLOOKUP(K1122,[1]diabetes_Recognition!$A:$B,2,FALSE),"Not Sampled")</f>
        <v>Not Sampled</v>
      </c>
      <c r="K1122" s="1">
        <v>1120</v>
      </c>
      <c r="L1122" s="1" t="str">
        <f>LOOKUP(A1122,Sheet2!$D$4:$E$9)</f>
        <v>8+</v>
      </c>
      <c r="M1122" t="str">
        <f>LOOKUP(B1122,Sheet2!$G$4:$H$9)</f>
        <v>126-150</v>
      </c>
      <c r="N1122" t="str">
        <f>LOOKUP(C1122,Sheet2!$J$4:$K$8)</f>
        <v>80+</v>
      </c>
      <c r="O1122" t="str">
        <f>LOOKUP(D1122,Sheet2!$M$4:$N$8)</f>
        <v>40+</v>
      </c>
      <c r="P1122" t="str">
        <f>LOOKUP(E1122,Sheet2!$P$4:$Q$9)</f>
        <v>100-199</v>
      </c>
      <c r="Q1122" t="str">
        <f>LOOKUP(F1122,Sheet2!$S$4:$T$8)</f>
        <v>36+</v>
      </c>
      <c r="R1122" t="str">
        <f>LOOKUP(G1122,Sheet2!$V$4:$W$7)</f>
        <v>0.4 - 0.69</v>
      </c>
      <c r="S1122" t="str">
        <f>LOOKUP(H1122,Sheet2!$Z$4:$AA$7)</f>
        <v>36-45</v>
      </c>
      <c r="T1122" t="str">
        <f t="shared" si="51"/>
        <v>Positive</v>
      </c>
      <c r="U1122" t="str">
        <f t="shared" si="52"/>
        <v>Not Sampled</v>
      </c>
      <c r="V1122" s="1" t="str">
        <f t="shared" si="53"/>
        <v>Not Sampled</v>
      </c>
    </row>
    <row r="1123" spans="1:22" x14ac:dyDescent="0.25">
      <c r="A1123" s="1">
        <v>6</v>
      </c>
      <c r="B1123" s="1">
        <v>115</v>
      </c>
      <c r="C1123" s="1">
        <v>60</v>
      </c>
      <c r="D1123" s="1">
        <v>39</v>
      </c>
      <c r="E1123" s="1">
        <v>0</v>
      </c>
      <c r="F1123" s="1">
        <v>33.700000000000003</v>
      </c>
      <c r="G1123" s="1">
        <v>0.245</v>
      </c>
      <c r="H1123" s="1">
        <v>40</v>
      </c>
      <c r="I1123" s="1">
        <v>1</v>
      </c>
      <c r="J1123" s="1" t="str">
        <f>IFERROR(VLOOKUP(K1123,[1]diabetes_Recognition!$A:$B,2,FALSE),"Not Sampled")</f>
        <v>Not Sampled</v>
      </c>
      <c r="K1123" s="1">
        <v>1121</v>
      </c>
      <c r="L1123" s="1" t="str">
        <f>LOOKUP(A1123,Sheet2!$D$4:$E$9)</f>
        <v>5-7</v>
      </c>
      <c r="M1123" t="str">
        <f>LOOKUP(B1123,Sheet2!$G$4:$H$9)</f>
        <v>100-125</v>
      </c>
      <c r="N1123" t="str">
        <f>LOOKUP(C1123,Sheet2!$J$4:$K$8)</f>
        <v>60-69</v>
      </c>
      <c r="O1123" t="str">
        <f>LOOKUP(D1123,Sheet2!$M$4:$N$8)</f>
        <v>30-39</v>
      </c>
      <c r="P1123" t="str">
        <f>LOOKUP(E1123,Sheet2!$P$4:$Q$9)</f>
        <v>Unknown</v>
      </c>
      <c r="Q1123" t="str">
        <f>LOOKUP(F1123,Sheet2!$S$4:$T$8)</f>
        <v>31-35</v>
      </c>
      <c r="R1123" t="str">
        <f>LOOKUP(G1123,Sheet2!$V$4:$W$7)</f>
        <v>0.0 - 0.249</v>
      </c>
      <c r="S1123" t="str">
        <f>LOOKUP(H1123,Sheet2!$Z$4:$AA$7)</f>
        <v>36-45</v>
      </c>
      <c r="T1123" t="str">
        <f t="shared" si="51"/>
        <v>Positive</v>
      </c>
      <c r="U1123" t="str">
        <f t="shared" si="52"/>
        <v>Not Sampled</v>
      </c>
      <c r="V1123" s="1" t="str">
        <f t="shared" si="53"/>
        <v>Not Sampled</v>
      </c>
    </row>
    <row r="1124" spans="1:22" x14ac:dyDescent="0.25">
      <c r="A1124" s="1">
        <v>1</v>
      </c>
      <c r="B1124" s="1">
        <v>112</v>
      </c>
      <c r="C1124" s="1">
        <v>80</v>
      </c>
      <c r="D1124" s="1">
        <v>45</v>
      </c>
      <c r="E1124" s="1">
        <v>132</v>
      </c>
      <c r="F1124" s="1">
        <v>34.799999999999997</v>
      </c>
      <c r="G1124" s="1">
        <v>0.217</v>
      </c>
      <c r="H1124" s="1">
        <v>24</v>
      </c>
      <c r="I1124" s="1">
        <v>0</v>
      </c>
      <c r="J1124" s="1" t="str">
        <f>IFERROR(VLOOKUP(K1124,[1]diabetes_Recognition!$A:$B,2,FALSE),"Not Sampled")</f>
        <v>Not Sampled</v>
      </c>
      <c r="K1124" s="1">
        <v>1122</v>
      </c>
      <c r="L1124" s="1">
        <f>LOOKUP(A1124,Sheet2!$D$4:$E$9)</f>
        <v>1</v>
      </c>
      <c r="M1124" t="str">
        <f>LOOKUP(B1124,Sheet2!$G$4:$H$9)</f>
        <v>100-125</v>
      </c>
      <c r="N1124" t="str">
        <f>LOOKUP(C1124,Sheet2!$J$4:$K$8)</f>
        <v>80+</v>
      </c>
      <c r="O1124" t="str">
        <f>LOOKUP(D1124,Sheet2!$M$4:$N$8)</f>
        <v>40+</v>
      </c>
      <c r="P1124" t="str">
        <f>LOOKUP(E1124,Sheet2!$P$4:$Q$9)</f>
        <v>100-199</v>
      </c>
      <c r="Q1124" t="str">
        <f>LOOKUP(F1124,Sheet2!$S$4:$T$8)</f>
        <v>31-35</v>
      </c>
      <c r="R1124" t="str">
        <f>LOOKUP(G1124,Sheet2!$V$4:$W$7)</f>
        <v>0.0 - 0.249</v>
      </c>
      <c r="S1124" t="str">
        <f>LOOKUP(H1124,Sheet2!$Z$4:$AA$7)</f>
        <v>&lt;=25</v>
      </c>
      <c r="T1124" t="str">
        <f t="shared" si="51"/>
        <v>Negative</v>
      </c>
      <c r="U1124" t="str">
        <f t="shared" si="52"/>
        <v>Not Sampled</v>
      </c>
      <c r="V1124" s="1" t="str">
        <f t="shared" si="53"/>
        <v>Not Sampled</v>
      </c>
    </row>
    <row r="1125" spans="1:22" x14ac:dyDescent="0.25">
      <c r="A1125" s="1">
        <v>4</v>
      </c>
      <c r="B1125" s="1">
        <v>145</v>
      </c>
      <c r="C1125" s="1">
        <v>82</v>
      </c>
      <c r="D1125" s="1">
        <v>18</v>
      </c>
      <c r="E1125" s="1">
        <v>0</v>
      </c>
      <c r="F1125" s="1">
        <v>32.5</v>
      </c>
      <c r="G1125" s="1">
        <v>0.23499999999999999</v>
      </c>
      <c r="H1125" s="1">
        <v>70</v>
      </c>
      <c r="I1125" s="1">
        <v>1</v>
      </c>
      <c r="J1125" s="1" t="str">
        <f>IFERROR(VLOOKUP(K1125,[1]diabetes_Recognition!$A:$B,2,FALSE),"Not Sampled")</f>
        <v>Not Sampled</v>
      </c>
      <c r="K1125" s="1">
        <v>1123</v>
      </c>
      <c r="L1125" s="1" t="str">
        <f>LOOKUP(A1125,Sheet2!$D$4:$E$9)</f>
        <v>3-4</v>
      </c>
      <c r="M1125" t="str">
        <f>LOOKUP(B1125,Sheet2!$G$4:$H$9)</f>
        <v>126-150</v>
      </c>
      <c r="N1125" t="str">
        <f>LOOKUP(C1125,Sheet2!$J$4:$K$8)</f>
        <v>80+</v>
      </c>
      <c r="O1125" t="str">
        <f>LOOKUP(D1125,Sheet2!$M$4:$N$8)</f>
        <v>10-30</v>
      </c>
      <c r="P1125" t="str">
        <f>LOOKUP(E1125,Sheet2!$P$4:$Q$9)</f>
        <v>Unknown</v>
      </c>
      <c r="Q1125" t="str">
        <f>LOOKUP(F1125,Sheet2!$S$4:$T$8)</f>
        <v>31-35</v>
      </c>
      <c r="R1125" t="str">
        <f>LOOKUP(G1125,Sheet2!$V$4:$W$7)</f>
        <v>0.0 - 0.249</v>
      </c>
      <c r="S1125" t="str">
        <f>LOOKUP(H1125,Sheet2!$Z$4:$AA$7)</f>
        <v>46+</v>
      </c>
      <c r="T1125" t="str">
        <f t="shared" si="51"/>
        <v>Positive</v>
      </c>
      <c r="U1125" t="str">
        <f t="shared" si="52"/>
        <v>Not Sampled</v>
      </c>
      <c r="V1125" s="1" t="str">
        <f t="shared" si="53"/>
        <v>Not Sampled</v>
      </c>
    </row>
    <row r="1126" spans="1:22" x14ac:dyDescent="0.25">
      <c r="A1126" s="1">
        <v>10</v>
      </c>
      <c r="B1126" s="1">
        <v>111</v>
      </c>
      <c r="C1126" s="1">
        <v>70</v>
      </c>
      <c r="D1126" s="1">
        <v>27</v>
      </c>
      <c r="E1126" s="1">
        <v>0</v>
      </c>
      <c r="F1126" s="1">
        <v>27.5</v>
      </c>
      <c r="G1126" s="1">
        <v>0.14099999999999999</v>
      </c>
      <c r="H1126" s="1">
        <v>40</v>
      </c>
      <c r="I1126" s="1">
        <v>1</v>
      </c>
      <c r="J1126" s="1" t="str">
        <f>IFERROR(VLOOKUP(K1126,[1]diabetes_Recognition!$A:$B,2,FALSE),"Not Sampled")</f>
        <v>Not Sampled</v>
      </c>
      <c r="K1126" s="1">
        <v>1124</v>
      </c>
      <c r="L1126" s="1" t="str">
        <f>LOOKUP(A1126,Sheet2!$D$4:$E$9)</f>
        <v>8+</v>
      </c>
      <c r="M1126" t="str">
        <f>LOOKUP(B1126,Sheet2!$G$4:$H$9)</f>
        <v>100-125</v>
      </c>
      <c r="N1126" t="str">
        <f>LOOKUP(C1126,Sheet2!$J$4:$K$8)</f>
        <v>70-79</v>
      </c>
      <c r="O1126" t="str">
        <f>LOOKUP(D1126,Sheet2!$M$4:$N$8)</f>
        <v>10-30</v>
      </c>
      <c r="P1126" t="str">
        <f>LOOKUP(E1126,Sheet2!$P$4:$Q$9)</f>
        <v>Unknown</v>
      </c>
      <c r="Q1126" t="str">
        <f>LOOKUP(F1126,Sheet2!$S$4:$T$8)</f>
        <v>26-30</v>
      </c>
      <c r="R1126" t="str">
        <f>LOOKUP(G1126,Sheet2!$V$4:$W$7)</f>
        <v>0.0 - 0.249</v>
      </c>
      <c r="S1126" t="str">
        <f>LOOKUP(H1126,Sheet2!$Z$4:$AA$7)</f>
        <v>36-45</v>
      </c>
      <c r="T1126" t="str">
        <f t="shared" si="51"/>
        <v>Positive</v>
      </c>
      <c r="U1126" t="str">
        <f t="shared" si="52"/>
        <v>Not Sampled</v>
      </c>
      <c r="V1126" s="1" t="str">
        <f t="shared" si="53"/>
        <v>Not Sampled</v>
      </c>
    </row>
    <row r="1127" spans="1:22" x14ac:dyDescent="0.25">
      <c r="A1127" s="1">
        <v>6</v>
      </c>
      <c r="B1127" s="1">
        <v>98</v>
      </c>
      <c r="C1127" s="1">
        <v>58</v>
      </c>
      <c r="D1127" s="1">
        <v>33</v>
      </c>
      <c r="E1127" s="1">
        <v>190</v>
      </c>
      <c r="F1127" s="1">
        <v>34</v>
      </c>
      <c r="G1127" s="1">
        <v>0.43</v>
      </c>
      <c r="H1127" s="1">
        <v>43</v>
      </c>
      <c r="I1127" s="1">
        <v>0</v>
      </c>
      <c r="J1127" s="1" t="str">
        <f>IFERROR(VLOOKUP(K1127,[1]diabetes_Recognition!$A:$B,2,FALSE),"Not Sampled")</f>
        <v>Not Sampled</v>
      </c>
      <c r="K1127" s="1">
        <v>1125</v>
      </c>
      <c r="L1127" s="1" t="str">
        <f>LOOKUP(A1127,Sheet2!$D$4:$E$9)</f>
        <v>5-7</v>
      </c>
      <c r="M1127" t="str">
        <f>LOOKUP(B1127,Sheet2!$G$4:$H$9)</f>
        <v>1-99</v>
      </c>
      <c r="N1127" t="str">
        <f>LOOKUP(C1127,Sheet2!$J$4:$K$8)</f>
        <v>1-59</v>
      </c>
      <c r="O1127" t="str">
        <f>LOOKUP(D1127,Sheet2!$M$4:$N$8)</f>
        <v>30-39</v>
      </c>
      <c r="P1127" t="str">
        <f>LOOKUP(E1127,Sheet2!$P$4:$Q$9)</f>
        <v>100-199</v>
      </c>
      <c r="Q1127" t="str">
        <f>LOOKUP(F1127,Sheet2!$S$4:$T$8)</f>
        <v>31-35</v>
      </c>
      <c r="R1127" t="str">
        <f>LOOKUP(G1127,Sheet2!$V$4:$W$7)</f>
        <v>0.4 - 0.69</v>
      </c>
      <c r="S1127" t="str">
        <f>LOOKUP(H1127,Sheet2!$Z$4:$AA$7)</f>
        <v>36-45</v>
      </c>
      <c r="T1127" t="str">
        <f t="shared" si="51"/>
        <v>Negative</v>
      </c>
      <c r="U1127" t="str">
        <f t="shared" si="52"/>
        <v>Not Sampled</v>
      </c>
      <c r="V1127" s="1" t="str">
        <f t="shared" si="53"/>
        <v>Not Sampled</v>
      </c>
    </row>
    <row r="1128" spans="1:22" x14ac:dyDescent="0.25">
      <c r="A1128" s="1">
        <v>9</v>
      </c>
      <c r="B1128" s="1">
        <v>154</v>
      </c>
      <c r="C1128" s="1">
        <v>78</v>
      </c>
      <c r="D1128" s="1">
        <v>30</v>
      </c>
      <c r="E1128" s="1">
        <v>100</v>
      </c>
      <c r="F1128" s="1">
        <v>30.9</v>
      </c>
      <c r="G1128" s="1">
        <v>0.16400000000000001</v>
      </c>
      <c r="H1128" s="1">
        <v>45</v>
      </c>
      <c r="I1128" s="1">
        <v>0</v>
      </c>
      <c r="J1128" s="1" t="str">
        <f>IFERROR(VLOOKUP(K1128,[1]diabetes_Recognition!$A:$B,2,FALSE),"Not Sampled")</f>
        <v>Not Sampled</v>
      </c>
      <c r="K1128" s="1">
        <v>1126</v>
      </c>
      <c r="L1128" s="1" t="str">
        <f>LOOKUP(A1128,Sheet2!$D$4:$E$9)</f>
        <v>8+</v>
      </c>
      <c r="M1128" t="str">
        <f>LOOKUP(B1128,Sheet2!$G$4:$H$9)</f>
        <v>151-175</v>
      </c>
      <c r="N1128" t="str">
        <f>LOOKUP(C1128,Sheet2!$J$4:$K$8)</f>
        <v>70-79</v>
      </c>
      <c r="O1128" t="str">
        <f>LOOKUP(D1128,Sheet2!$M$4:$N$8)</f>
        <v>30-39</v>
      </c>
      <c r="P1128" t="str">
        <f>LOOKUP(E1128,Sheet2!$P$4:$Q$9)</f>
        <v>100-199</v>
      </c>
      <c r="Q1128" t="str">
        <f>LOOKUP(F1128,Sheet2!$S$4:$T$8)</f>
        <v>26-30</v>
      </c>
      <c r="R1128" t="str">
        <f>LOOKUP(G1128,Sheet2!$V$4:$W$7)</f>
        <v>0.0 - 0.249</v>
      </c>
      <c r="S1128" t="str">
        <f>LOOKUP(H1128,Sheet2!$Z$4:$AA$7)</f>
        <v>36-45</v>
      </c>
      <c r="T1128" t="str">
        <f t="shared" si="51"/>
        <v>Negative</v>
      </c>
      <c r="U1128" t="str">
        <f t="shared" si="52"/>
        <v>Not Sampled</v>
      </c>
      <c r="V1128" s="1" t="str">
        <f t="shared" si="53"/>
        <v>Not Sampled</v>
      </c>
    </row>
    <row r="1129" spans="1:22" x14ac:dyDescent="0.25">
      <c r="A1129" s="1">
        <v>6</v>
      </c>
      <c r="B1129" s="1">
        <v>165</v>
      </c>
      <c r="C1129" s="1">
        <v>68</v>
      </c>
      <c r="D1129" s="1">
        <v>26</v>
      </c>
      <c r="E1129" s="1">
        <v>168</v>
      </c>
      <c r="F1129" s="1">
        <v>33.6</v>
      </c>
      <c r="G1129" s="1">
        <v>0.63100000000000001</v>
      </c>
      <c r="H1129" s="1">
        <v>49</v>
      </c>
      <c r="I1129" s="1">
        <v>0</v>
      </c>
      <c r="J1129" s="1" t="str">
        <f>IFERROR(VLOOKUP(K1129,[1]diabetes_Recognition!$A:$B,2,FALSE),"Not Sampled")</f>
        <v>Not Sampled</v>
      </c>
      <c r="K1129" s="1">
        <v>1127</v>
      </c>
      <c r="L1129" s="1" t="str">
        <f>LOOKUP(A1129,Sheet2!$D$4:$E$9)</f>
        <v>5-7</v>
      </c>
      <c r="M1129" t="str">
        <f>LOOKUP(B1129,Sheet2!$G$4:$H$9)</f>
        <v>151-175</v>
      </c>
      <c r="N1129" t="str">
        <f>LOOKUP(C1129,Sheet2!$J$4:$K$8)</f>
        <v>60-69</v>
      </c>
      <c r="O1129" t="str">
        <f>LOOKUP(D1129,Sheet2!$M$4:$N$8)</f>
        <v>10-30</v>
      </c>
      <c r="P1129" t="str">
        <f>LOOKUP(E1129,Sheet2!$P$4:$Q$9)</f>
        <v>100-199</v>
      </c>
      <c r="Q1129" t="str">
        <f>LOOKUP(F1129,Sheet2!$S$4:$T$8)</f>
        <v>31-35</v>
      </c>
      <c r="R1129" t="str">
        <f>LOOKUP(G1129,Sheet2!$V$4:$W$7)</f>
        <v>0.4 - 0.69</v>
      </c>
      <c r="S1129" t="str">
        <f>LOOKUP(H1129,Sheet2!$Z$4:$AA$7)</f>
        <v>46+</v>
      </c>
      <c r="T1129" t="str">
        <f t="shared" si="51"/>
        <v>Negative</v>
      </c>
      <c r="U1129" t="str">
        <f t="shared" si="52"/>
        <v>Not Sampled</v>
      </c>
      <c r="V1129" s="1" t="str">
        <f t="shared" si="53"/>
        <v>Not Sampled</v>
      </c>
    </row>
    <row r="1130" spans="1:22" x14ac:dyDescent="0.25">
      <c r="A1130" s="1">
        <v>1</v>
      </c>
      <c r="B1130" s="1">
        <v>99</v>
      </c>
      <c r="C1130" s="1">
        <v>58</v>
      </c>
      <c r="D1130" s="1">
        <v>10</v>
      </c>
      <c r="E1130" s="1">
        <v>0</v>
      </c>
      <c r="F1130" s="1">
        <v>25.4</v>
      </c>
      <c r="G1130" s="1">
        <v>0.55100000000000005</v>
      </c>
      <c r="H1130" s="1">
        <v>21</v>
      </c>
      <c r="I1130" s="1">
        <v>0</v>
      </c>
      <c r="J1130" s="1" t="str">
        <f>IFERROR(VLOOKUP(K1130,[1]diabetes_Recognition!$A:$B,2,FALSE),"Not Sampled")</f>
        <v>Not Sampled</v>
      </c>
      <c r="K1130" s="1">
        <v>1128</v>
      </c>
      <c r="L1130" s="1">
        <f>LOOKUP(A1130,Sheet2!$D$4:$E$9)</f>
        <v>1</v>
      </c>
      <c r="M1130" t="str">
        <f>LOOKUP(B1130,Sheet2!$G$4:$H$9)</f>
        <v>1-99</v>
      </c>
      <c r="N1130" t="str">
        <f>LOOKUP(C1130,Sheet2!$J$4:$K$8)</f>
        <v>1-59</v>
      </c>
      <c r="O1130" t="str">
        <f>LOOKUP(D1130,Sheet2!$M$4:$N$8)</f>
        <v>10-30</v>
      </c>
      <c r="P1130" t="str">
        <f>LOOKUP(E1130,Sheet2!$P$4:$Q$9)</f>
        <v>Unknown</v>
      </c>
      <c r="Q1130" t="str">
        <f>LOOKUP(F1130,Sheet2!$S$4:$T$8)</f>
        <v>1-25</v>
      </c>
      <c r="R1130" t="str">
        <f>LOOKUP(G1130,Sheet2!$V$4:$W$7)</f>
        <v>0.4 - 0.69</v>
      </c>
      <c r="S1130" t="str">
        <f>LOOKUP(H1130,Sheet2!$Z$4:$AA$7)</f>
        <v>&lt;=25</v>
      </c>
      <c r="T1130" t="str">
        <f t="shared" si="51"/>
        <v>Negative</v>
      </c>
      <c r="U1130" t="str">
        <f t="shared" si="52"/>
        <v>Not Sampled</v>
      </c>
      <c r="V1130" s="1" t="str">
        <f t="shared" si="53"/>
        <v>Not Sampled</v>
      </c>
    </row>
    <row r="1131" spans="1:22" x14ac:dyDescent="0.25">
      <c r="A1131" s="1">
        <v>10</v>
      </c>
      <c r="B1131" s="1">
        <v>68</v>
      </c>
      <c r="C1131" s="1">
        <v>106</v>
      </c>
      <c r="D1131" s="1">
        <v>23</v>
      </c>
      <c r="E1131" s="1">
        <v>49</v>
      </c>
      <c r="F1131" s="1">
        <v>35.5</v>
      </c>
      <c r="G1131" s="1">
        <v>0.28499999999999998</v>
      </c>
      <c r="H1131" s="1">
        <v>47</v>
      </c>
      <c r="I1131" s="1">
        <v>0</v>
      </c>
      <c r="J1131" s="1" t="str">
        <f>IFERROR(VLOOKUP(K1131,[1]diabetes_Recognition!$A:$B,2,FALSE),"Not Sampled")</f>
        <v>Not Sampled</v>
      </c>
      <c r="K1131" s="1">
        <v>1129</v>
      </c>
      <c r="L1131" s="1" t="str">
        <f>LOOKUP(A1131,Sheet2!$D$4:$E$9)</f>
        <v>8+</v>
      </c>
      <c r="M1131" t="str">
        <f>LOOKUP(B1131,Sheet2!$G$4:$H$9)</f>
        <v>1-99</v>
      </c>
      <c r="N1131" t="str">
        <f>LOOKUP(C1131,Sheet2!$J$4:$K$8)</f>
        <v>80+</v>
      </c>
      <c r="O1131" t="str">
        <f>LOOKUP(D1131,Sheet2!$M$4:$N$8)</f>
        <v>10-30</v>
      </c>
      <c r="P1131" t="str">
        <f>LOOKUP(E1131,Sheet2!$P$4:$Q$9)</f>
        <v>1-99</v>
      </c>
      <c r="Q1131" t="str">
        <f>LOOKUP(F1131,Sheet2!$S$4:$T$8)</f>
        <v>31-35</v>
      </c>
      <c r="R1131" t="str">
        <f>LOOKUP(G1131,Sheet2!$V$4:$W$7)</f>
        <v>0.25 - 0.39</v>
      </c>
      <c r="S1131" t="str">
        <f>LOOKUP(H1131,Sheet2!$Z$4:$AA$7)</f>
        <v>46+</v>
      </c>
      <c r="T1131" t="str">
        <f t="shared" si="51"/>
        <v>Negative</v>
      </c>
      <c r="U1131" t="str">
        <f t="shared" si="52"/>
        <v>Not Sampled</v>
      </c>
      <c r="V1131" s="1" t="str">
        <f t="shared" si="53"/>
        <v>Not Sampled</v>
      </c>
    </row>
    <row r="1132" spans="1:22" x14ac:dyDescent="0.25">
      <c r="A1132" s="1">
        <v>3</v>
      </c>
      <c r="B1132" s="1">
        <v>123</v>
      </c>
      <c r="C1132" s="1">
        <v>100</v>
      </c>
      <c r="D1132" s="1">
        <v>35</v>
      </c>
      <c r="E1132" s="1">
        <v>240</v>
      </c>
      <c r="F1132" s="1">
        <v>57.3</v>
      </c>
      <c r="G1132" s="1">
        <v>0.88</v>
      </c>
      <c r="H1132" s="1">
        <v>22</v>
      </c>
      <c r="I1132" s="1">
        <v>0</v>
      </c>
      <c r="J1132" s="1" t="str">
        <f>IFERROR(VLOOKUP(K1132,[1]diabetes_Recognition!$A:$B,2,FALSE),"Not Sampled")</f>
        <v>Not Sampled</v>
      </c>
      <c r="K1132" s="1">
        <v>1130</v>
      </c>
      <c r="L1132" s="1" t="str">
        <f>LOOKUP(A1132,Sheet2!$D$4:$E$9)</f>
        <v>3-4</v>
      </c>
      <c r="M1132" t="str">
        <f>LOOKUP(B1132,Sheet2!$G$4:$H$9)</f>
        <v>100-125</v>
      </c>
      <c r="N1132" t="str">
        <f>LOOKUP(C1132,Sheet2!$J$4:$K$8)</f>
        <v>80+</v>
      </c>
      <c r="O1132" t="str">
        <f>LOOKUP(D1132,Sheet2!$M$4:$N$8)</f>
        <v>30-39</v>
      </c>
      <c r="P1132" t="str">
        <f>LOOKUP(E1132,Sheet2!$P$4:$Q$9)</f>
        <v>200-399</v>
      </c>
      <c r="Q1132" t="str">
        <f>LOOKUP(F1132,Sheet2!$S$4:$T$8)</f>
        <v>36+</v>
      </c>
      <c r="R1132" t="str">
        <f>LOOKUP(G1132,Sheet2!$V$4:$W$7)</f>
        <v>0.7+</v>
      </c>
      <c r="S1132" t="str">
        <f>LOOKUP(H1132,Sheet2!$Z$4:$AA$7)</f>
        <v>&lt;=25</v>
      </c>
      <c r="T1132" t="str">
        <f t="shared" si="51"/>
        <v>Negative</v>
      </c>
      <c r="U1132" t="str">
        <f t="shared" si="52"/>
        <v>Not Sampled</v>
      </c>
      <c r="V1132" s="1" t="str">
        <f t="shared" si="53"/>
        <v>Not Sampled</v>
      </c>
    </row>
    <row r="1133" spans="1:22" x14ac:dyDescent="0.25">
      <c r="A1133" s="1">
        <v>8</v>
      </c>
      <c r="B1133" s="1">
        <v>91</v>
      </c>
      <c r="C1133" s="1">
        <v>82</v>
      </c>
      <c r="D1133" s="1">
        <v>0</v>
      </c>
      <c r="E1133" s="1">
        <v>0</v>
      </c>
      <c r="F1133" s="1">
        <v>35.6</v>
      </c>
      <c r="G1133" s="1">
        <v>0.58699999999999997</v>
      </c>
      <c r="H1133" s="1">
        <v>68</v>
      </c>
      <c r="I1133" s="1">
        <v>0</v>
      </c>
      <c r="J1133" s="1">
        <f>IFERROR(VLOOKUP(K1133,[1]diabetes_Recognition!$A:$B,2,FALSE),"Not Sampled")</f>
        <v>0</v>
      </c>
      <c r="K1133" s="1">
        <v>1131</v>
      </c>
      <c r="L1133" s="1" t="str">
        <f>LOOKUP(A1133,Sheet2!$D$4:$E$9)</f>
        <v>8+</v>
      </c>
      <c r="M1133" t="str">
        <f>LOOKUP(B1133,Sheet2!$G$4:$H$9)</f>
        <v>1-99</v>
      </c>
      <c r="N1133" t="str">
        <f>LOOKUP(C1133,Sheet2!$J$4:$K$8)</f>
        <v>80+</v>
      </c>
      <c r="O1133" t="str">
        <f>LOOKUP(D1133,Sheet2!$M$4:$N$8)</f>
        <v>Unknown</v>
      </c>
      <c r="P1133" t="str">
        <f>LOOKUP(E1133,Sheet2!$P$4:$Q$9)</f>
        <v>Unknown</v>
      </c>
      <c r="Q1133" t="str">
        <f>LOOKUP(F1133,Sheet2!$S$4:$T$8)</f>
        <v>31-35</v>
      </c>
      <c r="R1133" t="str">
        <f>LOOKUP(G1133,Sheet2!$V$4:$W$7)</f>
        <v>0.4 - 0.69</v>
      </c>
      <c r="S1133" t="str">
        <f>LOOKUP(H1133,Sheet2!$Z$4:$AA$7)</f>
        <v>46+</v>
      </c>
      <c r="T1133" t="str">
        <f t="shared" si="51"/>
        <v>Negative</v>
      </c>
      <c r="U1133" t="str">
        <f t="shared" si="52"/>
        <v>Negative</v>
      </c>
      <c r="V1133" s="1" t="str">
        <f t="shared" si="53"/>
        <v>Accurate Prediction</v>
      </c>
    </row>
    <row r="1134" spans="1:22" x14ac:dyDescent="0.25">
      <c r="A1134" s="1">
        <v>6</v>
      </c>
      <c r="B1134" s="1">
        <v>195</v>
      </c>
      <c r="C1134" s="1">
        <v>70</v>
      </c>
      <c r="D1134" s="1">
        <v>0</v>
      </c>
      <c r="E1134" s="1">
        <v>0</v>
      </c>
      <c r="F1134" s="1">
        <v>30.9</v>
      </c>
      <c r="G1134" s="1">
        <v>0.32800000000000001</v>
      </c>
      <c r="H1134" s="1">
        <v>31</v>
      </c>
      <c r="I1134" s="1">
        <v>1</v>
      </c>
      <c r="J1134" s="1">
        <f>IFERROR(VLOOKUP(K1134,[1]diabetes_Recognition!$A:$B,2,FALSE),"Not Sampled")</f>
        <v>1</v>
      </c>
      <c r="K1134" s="1">
        <v>1132</v>
      </c>
      <c r="L1134" s="1" t="str">
        <f>LOOKUP(A1134,Sheet2!$D$4:$E$9)</f>
        <v>5-7</v>
      </c>
      <c r="M1134" t="str">
        <f>LOOKUP(B1134,Sheet2!$G$4:$H$9)</f>
        <v>176-200</v>
      </c>
      <c r="N1134" t="str">
        <f>LOOKUP(C1134,Sheet2!$J$4:$K$8)</f>
        <v>70-79</v>
      </c>
      <c r="O1134" t="str">
        <f>LOOKUP(D1134,Sheet2!$M$4:$N$8)</f>
        <v>Unknown</v>
      </c>
      <c r="P1134" t="str">
        <f>LOOKUP(E1134,Sheet2!$P$4:$Q$9)</f>
        <v>Unknown</v>
      </c>
      <c r="Q1134" t="str">
        <f>LOOKUP(F1134,Sheet2!$S$4:$T$8)</f>
        <v>26-30</v>
      </c>
      <c r="R1134" t="str">
        <f>LOOKUP(G1134,Sheet2!$V$4:$W$7)</f>
        <v>0.25 - 0.39</v>
      </c>
      <c r="S1134" t="str">
        <f>LOOKUP(H1134,Sheet2!$Z$4:$AA$7)</f>
        <v>26-35</v>
      </c>
      <c r="T1134" t="str">
        <f t="shared" si="51"/>
        <v>Positive</v>
      </c>
      <c r="U1134" t="str">
        <f t="shared" si="52"/>
        <v>Positive</v>
      </c>
      <c r="V1134" s="1" t="str">
        <f t="shared" si="53"/>
        <v>Accurate Prediction</v>
      </c>
    </row>
    <row r="1135" spans="1:22" x14ac:dyDescent="0.25">
      <c r="A1135" s="1">
        <v>9</v>
      </c>
      <c r="B1135" s="1">
        <v>156</v>
      </c>
      <c r="C1135" s="1">
        <v>86</v>
      </c>
      <c r="D1135" s="1">
        <v>0</v>
      </c>
      <c r="E1135" s="1">
        <v>0</v>
      </c>
      <c r="F1135" s="1">
        <v>24.8</v>
      </c>
      <c r="G1135" s="1">
        <v>0.23</v>
      </c>
      <c r="H1135" s="1">
        <v>53</v>
      </c>
      <c r="I1135" s="1">
        <v>1</v>
      </c>
      <c r="J1135" s="1" t="str">
        <f>IFERROR(VLOOKUP(K1135,[1]diabetes_Recognition!$A:$B,2,FALSE),"Not Sampled")</f>
        <v>Not Sampled</v>
      </c>
      <c r="K1135" s="1">
        <v>1133</v>
      </c>
      <c r="L1135" s="1" t="str">
        <f>LOOKUP(A1135,Sheet2!$D$4:$E$9)</f>
        <v>8+</v>
      </c>
      <c r="M1135" t="str">
        <f>LOOKUP(B1135,Sheet2!$G$4:$H$9)</f>
        <v>151-175</v>
      </c>
      <c r="N1135" t="str">
        <f>LOOKUP(C1135,Sheet2!$J$4:$K$8)</f>
        <v>80+</v>
      </c>
      <c r="O1135" t="str">
        <f>LOOKUP(D1135,Sheet2!$M$4:$N$8)</f>
        <v>Unknown</v>
      </c>
      <c r="P1135" t="str">
        <f>LOOKUP(E1135,Sheet2!$P$4:$Q$9)</f>
        <v>Unknown</v>
      </c>
      <c r="Q1135" t="str">
        <f>LOOKUP(F1135,Sheet2!$S$4:$T$8)</f>
        <v>1-25</v>
      </c>
      <c r="R1135" t="str">
        <f>LOOKUP(G1135,Sheet2!$V$4:$W$7)</f>
        <v>0.0 - 0.249</v>
      </c>
      <c r="S1135" t="str">
        <f>LOOKUP(H1135,Sheet2!$Z$4:$AA$7)</f>
        <v>46+</v>
      </c>
      <c r="T1135" t="str">
        <f t="shared" si="51"/>
        <v>Positive</v>
      </c>
      <c r="U1135" t="str">
        <f t="shared" si="52"/>
        <v>Not Sampled</v>
      </c>
      <c r="V1135" s="1" t="str">
        <f t="shared" si="53"/>
        <v>Not Sampled</v>
      </c>
    </row>
    <row r="1136" spans="1:22" x14ac:dyDescent="0.25">
      <c r="A1136" s="1">
        <v>0</v>
      </c>
      <c r="B1136" s="1">
        <v>93</v>
      </c>
      <c r="C1136" s="1">
        <v>60</v>
      </c>
      <c r="D1136" s="1">
        <v>0</v>
      </c>
      <c r="E1136" s="1">
        <v>0</v>
      </c>
      <c r="F1136" s="1">
        <v>35.299999999999997</v>
      </c>
      <c r="G1136" s="1">
        <v>0.26300000000000001</v>
      </c>
      <c r="H1136" s="1">
        <v>25</v>
      </c>
      <c r="I1136" s="1">
        <v>0</v>
      </c>
      <c r="J1136" s="1" t="str">
        <f>IFERROR(VLOOKUP(K1136,[1]diabetes_Recognition!$A:$B,2,FALSE),"Not Sampled")</f>
        <v>Not Sampled</v>
      </c>
      <c r="K1136" s="1">
        <v>1134</v>
      </c>
      <c r="L1136" s="1">
        <f>LOOKUP(A1136,Sheet2!$D$4:$E$9)</f>
        <v>0</v>
      </c>
      <c r="M1136" t="str">
        <f>LOOKUP(B1136,Sheet2!$G$4:$H$9)</f>
        <v>1-99</v>
      </c>
      <c r="N1136" t="str">
        <f>LOOKUP(C1136,Sheet2!$J$4:$K$8)</f>
        <v>60-69</v>
      </c>
      <c r="O1136" t="str">
        <f>LOOKUP(D1136,Sheet2!$M$4:$N$8)</f>
        <v>Unknown</v>
      </c>
      <c r="P1136" t="str">
        <f>LOOKUP(E1136,Sheet2!$P$4:$Q$9)</f>
        <v>Unknown</v>
      </c>
      <c r="Q1136" t="str">
        <f>LOOKUP(F1136,Sheet2!$S$4:$T$8)</f>
        <v>31-35</v>
      </c>
      <c r="R1136" t="str">
        <f>LOOKUP(G1136,Sheet2!$V$4:$W$7)</f>
        <v>0.25 - 0.39</v>
      </c>
      <c r="S1136" t="str">
        <f>LOOKUP(H1136,Sheet2!$Z$4:$AA$7)</f>
        <v>&lt;=25</v>
      </c>
      <c r="T1136" t="str">
        <f t="shared" si="51"/>
        <v>Negative</v>
      </c>
      <c r="U1136" t="str">
        <f t="shared" si="52"/>
        <v>Not Sampled</v>
      </c>
      <c r="V1136" s="1" t="str">
        <f t="shared" si="53"/>
        <v>Not Sampled</v>
      </c>
    </row>
    <row r="1137" spans="1:22" x14ac:dyDescent="0.25">
      <c r="A1137" s="1">
        <v>3</v>
      </c>
      <c r="B1137" s="1">
        <v>121</v>
      </c>
      <c r="C1137" s="1">
        <v>52</v>
      </c>
      <c r="D1137" s="1">
        <v>0</v>
      </c>
      <c r="E1137" s="1">
        <v>0</v>
      </c>
      <c r="F1137" s="1">
        <v>36</v>
      </c>
      <c r="G1137" s="1">
        <v>0.127</v>
      </c>
      <c r="H1137" s="1">
        <v>25</v>
      </c>
      <c r="I1137" s="1">
        <v>1</v>
      </c>
      <c r="J1137" s="1">
        <f>IFERROR(VLOOKUP(K1137,[1]diabetes_Recognition!$A:$B,2,FALSE),"Not Sampled")</f>
        <v>0</v>
      </c>
      <c r="K1137" s="1">
        <v>1135</v>
      </c>
      <c r="L1137" s="1" t="str">
        <f>LOOKUP(A1137,Sheet2!$D$4:$E$9)</f>
        <v>3-4</v>
      </c>
      <c r="M1137" t="str">
        <f>LOOKUP(B1137,Sheet2!$G$4:$H$9)</f>
        <v>100-125</v>
      </c>
      <c r="N1137" t="str">
        <f>LOOKUP(C1137,Sheet2!$J$4:$K$8)</f>
        <v>1-59</v>
      </c>
      <c r="O1137" t="str">
        <f>LOOKUP(D1137,Sheet2!$M$4:$N$8)</f>
        <v>Unknown</v>
      </c>
      <c r="P1137" t="str">
        <f>LOOKUP(E1137,Sheet2!$P$4:$Q$9)</f>
        <v>Unknown</v>
      </c>
      <c r="Q1137" t="str">
        <f>LOOKUP(F1137,Sheet2!$S$4:$T$8)</f>
        <v>36+</v>
      </c>
      <c r="R1137" t="str">
        <f>LOOKUP(G1137,Sheet2!$V$4:$W$7)</f>
        <v>0.0 - 0.249</v>
      </c>
      <c r="S1137" t="str">
        <f>LOOKUP(H1137,Sheet2!$Z$4:$AA$7)</f>
        <v>&lt;=25</v>
      </c>
      <c r="T1137" t="str">
        <f t="shared" si="51"/>
        <v>Positive</v>
      </c>
      <c r="U1137" t="str">
        <f t="shared" si="52"/>
        <v>Negative</v>
      </c>
      <c r="V1137" s="1" t="str">
        <f t="shared" si="53"/>
        <v>Inaccurate Prediction</v>
      </c>
    </row>
    <row r="1138" spans="1:22" x14ac:dyDescent="0.25">
      <c r="A1138" s="1">
        <v>2</v>
      </c>
      <c r="B1138" s="1">
        <v>101</v>
      </c>
      <c r="C1138" s="1">
        <v>58</v>
      </c>
      <c r="D1138" s="1">
        <v>17</v>
      </c>
      <c r="E1138" s="1">
        <v>265</v>
      </c>
      <c r="F1138" s="1">
        <v>24.2</v>
      </c>
      <c r="G1138" s="1">
        <v>0.61399999999999999</v>
      </c>
      <c r="H1138" s="1">
        <v>23</v>
      </c>
      <c r="I1138" s="1">
        <v>0</v>
      </c>
      <c r="J1138" s="1" t="str">
        <f>IFERROR(VLOOKUP(K1138,[1]diabetes_Recognition!$A:$B,2,FALSE),"Not Sampled")</f>
        <v>Not Sampled</v>
      </c>
      <c r="K1138" s="1">
        <v>1136</v>
      </c>
      <c r="L1138" s="1">
        <f>LOOKUP(A1138,Sheet2!$D$4:$E$9)</f>
        <v>2</v>
      </c>
      <c r="M1138" t="str">
        <f>LOOKUP(B1138,Sheet2!$G$4:$H$9)</f>
        <v>100-125</v>
      </c>
      <c r="N1138" t="str">
        <f>LOOKUP(C1138,Sheet2!$J$4:$K$8)</f>
        <v>1-59</v>
      </c>
      <c r="O1138" t="str">
        <f>LOOKUP(D1138,Sheet2!$M$4:$N$8)</f>
        <v>10-30</v>
      </c>
      <c r="P1138" t="str">
        <f>LOOKUP(E1138,Sheet2!$P$4:$Q$9)</f>
        <v>200-399</v>
      </c>
      <c r="Q1138" t="str">
        <f>LOOKUP(F1138,Sheet2!$S$4:$T$8)</f>
        <v>1-25</v>
      </c>
      <c r="R1138" t="str">
        <f>LOOKUP(G1138,Sheet2!$V$4:$W$7)</f>
        <v>0.4 - 0.69</v>
      </c>
      <c r="S1138" t="str">
        <f>LOOKUP(H1138,Sheet2!$Z$4:$AA$7)</f>
        <v>&lt;=25</v>
      </c>
      <c r="T1138" t="str">
        <f t="shared" si="51"/>
        <v>Negative</v>
      </c>
      <c r="U1138" t="str">
        <f t="shared" si="52"/>
        <v>Not Sampled</v>
      </c>
      <c r="V1138" s="1" t="str">
        <f t="shared" si="53"/>
        <v>Not Sampled</v>
      </c>
    </row>
    <row r="1139" spans="1:22" x14ac:dyDescent="0.25">
      <c r="A1139" s="1">
        <v>2</v>
      </c>
      <c r="B1139" s="1">
        <v>56</v>
      </c>
      <c r="C1139" s="1">
        <v>56</v>
      </c>
      <c r="D1139" s="1">
        <v>28</v>
      </c>
      <c r="E1139" s="1">
        <v>45</v>
      </c>
      <c r="F1139" s="1">
        <v>24.2</v>
      </c>
      <c r="G1139" s="1">
        <v>0.33200000000000002</v>
      </c>
      <c r="H1139" s="1">
        <v>22</v>
      </c>
      <c r="I1139" s="1">
        <v>0</v>
      </c>
      <c r="J1139" s="1" t="str">
        <f>IFERROR(VLOOKUP(K1139,[1]diabetes_Recognition!$A:$B,2,FALSE),"Not Sampled")</f>
        <v>Not Sampled</v>
      </c>
      <c r="K1139" s="1">
        <v>1137</v>
      </c>
      <c r="L1139" s="1">
        <f>LOOKUP(A1139,Sheet2!$D$4:$E$9)</f>
        <v>2</v>
      </c>
      <c r="M1139" t="str">
        <f>LOOKUP(B1139,Sheet2!$G$4:$H$9)</f>
        <v>1-99</v>
      </c>
      <c r="N1139" t="str">
        <f>LOOKUP(C1139,Sheet2!$J$4:$K$8)</f>
        <v>1-59</v>
      </c>
      <c r="O1139" t="str">
        <f>LOOKUP(D1139,Sheet2!$M$4:$N$8)</f>
        <v>10-30</v>
      </c>
      <c r="P1139" t="str">
        <f>LOOKUP(E1139,Sheet2!$P$4:$Q$9)</f>
        <v>1-99</v>
      </c>
      <c r="Q1139" t="str">
        <f>LOOKUP(F1139,Sheet2!$S$4:$T$8)</f>
        <v>1-25</v>
      </c>
      <c r="R1139" t="str">
        <f>LOOKUP(G1139,Sheet2!$V$4:$W$7)</f>
        <v>0.25 - 0.39</v>
      </c>
      <c r="S1139" t="str">
        <f>LOOKUP(H1139,Sheet2!$Z$4:$AA$7)</f>
        <v>&lt;=25</v>
      </c>
      <c r="T1139" t="str">
        <f t="shared" si="51"/>
        <v>Negative</v>
      </c>
      <c r="U1139" t="str">
        <f t="shared" si="52"/>
        <v>Not Sampled</v>
      </c>
      <c r="V1139" s="1" t="str">
        <f t="shared" si="53"/>
        <v>Not Sampled</v>
      </c>
    </row>
    <row r="1140" spans="1:22" x14ac:dyDescent="0.25">
      <c r="A1140" s="1">
        <v>0</v>
      </c>
      <c r="B1140" s="1">
        <v>162</v>
      </c>
      <c r="C1140" s="1">
        <v>76</v>
      </c>
      <c r="D1140" s="1">
        <v>36</v>
      </c>
      <c r="E1140" s="1">
        <v>0</v>
      </c>
      <c r="F1140" s="1">
        <v>49.6</v>
      </c>
      <c r="G1140" s="1">
        <v>0.36399999999999999</v>
      </c>
      <c r="H1140" s="1">
        <v>26</v>
      </c>
      <c r="I1140" s="1">
        <v>1</v>
      </c>
      <c r="J1140" s="1">
        <f>IFERROR(VLOOKUP(K1140,[1]diabetes_Recognition!$A:$B,2,FALSE),"Not Sampled")</f>
        <v>1</v>
      </c>
      <c r="K1140" s="1">
        <v>1138</v>
      </c>
      <c r="L1140" s="1">
        <f>LOOKUP(A1140,Sheet2!$D$4:$E$9)</f>
        <v>0</v>
      </c>
      <c r="M1140" t="str">
        <f>LOOKUP(B1140,Sheet2!$G$4:$H$9)</f>
        <v>151-175</v>
      </c>
      <c r="N1140" t="str">
        <f>LOOKUP(C1140,Sheet2!$J$4:$K$8)</f>
        <v>70-79</v>
      </c>
      <c r="O1140" t="str">
        <f>LOOKUP(D1140,Sheet2!$M$4:$N$8)</f>
        <v>30-39</v>
      </c>
      <c r="P1140" t="str">
        <f>LOOKUP(E1140,Sheet2!$P$4:$Q$9)</f>
        <v>Unknown</v>
      </c>
      <c r="Q1140" t="str">
        <f>LOOKUP(F1140,Sheet2!$S$4:$T$8)</f>
        <v>36+</v>
      </c>
      <c r="R1140" t="str">
        <f>LOOKUP(G1140,Sheet2!$V$4:$W$7)</f>
        <v>0.25 - 0.39</v>
      </c>
      <c r="S1140" t="str">
        <f>LOOKUP(H1140,Sheet2!$Z$4:$AA$7)</f>
        <v>26-35</v>
      </c>
      <c r="T1140" t="str">
        <f t="shared" si="51"/>
        <v>Positive</v>
      </c>
      <c r="U1140" t="str">
        <f t="shared" si="52"/>
        <v>Positive</v>
      </c>
      <c r="V1140" s="1" t="str">
        <f t="shared" si="53"/>
        <v>Accurate Prediction</v>
      </c>
    </row>
    <row r="1141" spans="1:22" x14ac:dyDescent="0.25">
      <c r="A1141" s="1">
        <v>0</v>
      </c>
      <c r="B1141" s="1">
        <v>95</v>
      </c>
      <c r="C1141" s="1">
        <v>64</v>
      </c>
      <c r="D1141" s="1">
        <v>39</v>
      </c>
      <c r="E1141" s="1">
        <v>105</v>
      </c>
      <c r="F1141" s="1">
        <v>44.6</v>
      </c>
      <c r="G1141" s="1">
        <v>0.36599999999999999</v>
      </c>
      <c r="H1141" s="1">
        <v>22</v>
      </c>
      <c r="I1141" s="1">
        <v>0</v>
      </c>
      <c r="J1141" s="1" t="str">
        <f>IFERROR(VLOOKUP(K1141,[1]diabetes_Recognition!$A:$B,2,FALSE),"Not Sampled")</f>
        <v>Not Sampled</v>
      </c>
      <c r="K1141" s="1">
        <v>1139</v>
      </c>
      <c r="L1141" s="1">
        <f>LOOKUP(A1141,Sheet2!$D$4:$E$9)</f>
        <v>0</v>
      </c>
      <c r="M1141" t="str">
        <f>LOOKUP(B1141,Sheet2!$G$4:$H$9)</f>
        <v>1-99</v>
      </c>
      <c r="N1141" t="str">
        <f>LOOKUP(C1141,Sheet2!$J$4:$K$8)</f>
        <v>60-69</v>
      </c>
      <c r="O1141" t="str">
        <f>LOOKUP(D1141,Sheet2!$M$4:$N$8)</f>
        <v>30-39</v>
      </c>
      <c r="P1141" t="str">
        <f>LOOKUP(E1141,Sheet2!$P$4:$Q$9)</f>
        <v>100-199</v>
      </c>
      <c r="Q1141" t="str">
        <f>LOOKUP(F1141,Sheet2!$S$4:$T$8)</f>
        <v>36+</v>
      </c>
      <c r="R1141" t="str">
        <f>LOOKUP(G1141,Sheet2!$V$4:$W$7)</f>
        <v>0.25 - 0.39</v>
      </c>
      <c r="S1141" t="str">
        <f>LOOKUP(H1141,Sheet2!$Z$4:$AA$7)</f>
        <v>&lt;=25</v>
      </c>
      <c r="T1141" t="str">
        <f t="shared" si="51"/>
        <v>Negative</v>
      </c>
      <c r="U1141" t="str">
        <f t="shared" si="52"/>
        <v>Not Sampled</v>
      </c>
      <c r="V1141" s="1" t="str">
        <f t="shared" si="53"/>
        <v>Not Sampled</v>
      </c>
    </row>
    <row r="1142" spans="1:22" x14ac:dyDescent="0.25">
      <c r="A1142" s="1">
        <v>4</v>
      </c>
      <c r="B1142" s="1">
        <v>125</v>
      </c>
      <c r="C1142" s="1">
        <v>80</v>
      </c>
      <c r="D1142" s="1">
        <v>0</v>
      </c>
      <c r="E1142" s="1">
        <v>0</v>
      </c>
      <c r="F1142" s="1">
        <v>32.299999999999997</v>
      </c>
      <c r="G1142" s="1">
        <v>0.53600000000000003</v>
      </c>
      <c r="H1142" s="1">
        <v>27</v>
      </c>
      <c r="I1142" s="1">
        <v>1</v>
      </c>
      <c r="J1142" s="1" t="str">
        <f>IFERROR(VLOOKUP(K1142,[1]diabetes_Recognition!$A:$B,2,FALSE),"Not Sampled")</f>
        <v>Not Sampled</v>
      </c>
      <c r="K1142" s="1">
        <v>1140</v>
      </c>
      <c r="L1142" s="1" t="str">
        <f>LOOKUP(A1142,Sheet2!$D$4:$E$9)</f>
        <v>3-4</v>
      </c>
      <c r="M1142" t="str">
        <f>LOOKUP(B1142,Sheet2!$G$4:$H$9)</f>
        <v>100-125</v>
      </c>
      <c r="N1142" t="str">
        <f>LOOKUP(C1142,Sheet2!$J$4:$K$8)</f>
        <v>80+</v>
      </c>
      <c r="O1142" t="str">
        <f>LOOKUP(D1142,Sheet2!$M$4:$N$8)</f>
        <v>Unknown</v>
      </c>
      <c r="P1142" t="str">
        <f>LOOKUP(E1142,Sheet2!$P$4:$Q$9)</f>
        <v>Unknown</v>
      </c>
      <c r="Q1142" t="str">
        <f>LOOKUP(F1142,Sheet2!$S$4:$T$8)</f>
        <v>31-35</v>
      </c>
      <c r="R1142" t="str">
        <f>LOOKUP(G1142,Sheet2!$V$4:$W$7)</f>
        <v>0.4 - 0.69</v>
      </c>
      <c r="S1142" t="str">
        <f>LOOKUP(H1142,Sheet2!$Z$4:$AA$7)</f>
        <v>26-35</v>
      </c>
      <c r="T1142" t="str">
        <f t="shared" si="51"/>
        <v>Positive</v>
      </c>
      <c r="U1142" t="str">
        <f t="shared" si="52"/>
        <v>Not Sampled</v>
      </c>
      <c r="V1142" s="1" t="str">
        <f t="shared" si="53"/>
        <v>Not Sampled</v>
      </c>
    </row>
    <row r="1143" spans="1:22" x14ac:dyDescent="0.25">
      <c r="A1143" s="1">
        <v>5</v>
      </c>
      <c r="B1143" s="1">
        <v>136</v>
      </c>
      <c r="C1143" s="1">
        <v>82</v>
      </c>
      <c r="D1143" s="1">
        <v>0</v>
      </c>
      <c r="E1143" s="1">
        <v>0</v>
      </c>
      <c r="F1143" s="1">
        <v>0</v>
      </c>
      <c r="G1143" s="1">
        <v>0.64</v>
      </c>
      <c r="H1143" s="1">
        <v>69</v>
      </c>
      <c r="I1143" s="1">
        <v>0</v>
      </c>
      <c r="J1143" s="1">
        <f>IFERROR(VLOOKUP(K1143,[1]diabetes_Recognition!$A:$B,2,FALSE),"Not Sampled")</f>
        <v>0</v>
      </c>
      <c r="K1143" s="1">
        <v>1141</v>
      </c>
      <c r="L1143" s="1" t="str">
        <f>LOOKUP(A1143,Sheet2!$D$4:$E$9)</f>
        <v>5-7</v>
      </c>
      <c r="M1143" t="str">
        <f>LOOKUP(B1143,Sheet2!$G$4:$H$9)</f>
        <v>126-150</v>
      </c>
      <c r="N1143" t="str">
        <f>LOOKUP(C1143,Sheet2!$J$4:$K$8)</f>
        <v>80+</v>
      </c>
      <c r="O1143" t="str">
        <f>LOOKUP(D1143,Sheet2!$M$4:$N$8)</f>
        <v>Unknown</v>
      </c>
      <c r="P1143" t="str">
        <f>LOOKUP(E1143,Sheet2!$P$4:$Q$9)</f>
        <v>Unknown</v>
      </c>
      <c r="Q1143" t="str">
        <f>LOOKUP(F1143,Sheet2!$S$4:$T$8)</f>
        <v>Unknown</v>
      </c>
      <c r="R1143" t="str">
        <f>LOOKUP(G1143,Sheet2!$V$4:$W$7)</f>
        <v>0.4 - 0.69</v>
      </c>
      <c r="S1143" t="str">
        <f>LOOKUP(H1143,Sheet2!$Z$4:$AA$7)</f>
        <v>46+</v>
      </c>
      <c r="T1143" t="str">
        <f t="shared" si="51"/>
        <v>Negative</v>
      </c>
      <c r="U1143" t="str">
        <f t="shared" si="52"/>
        <v>Negative</v>
      </c>
      <c r="V1143" s="1" t="str">
        <f t="shared" si="53"/>
        <v>Accurate Prediction</v>
      </c>
    </row>
    <row r="1144" spans="1:22" x14ac:dyDescent="0.25">
      <c r="A1144" s="1">
        <v>2</v>
      </c>
      <c r="B1144" s="1">
        <v>129</v>
      </c>
      <c r="C1144" s="1">
        <v>74</v>
      </c>
      <c r="D1144" s="1">
        <v>26</v>
      </c>
      <c r="E1144" s="1">
        <v>205</v>
      </c>
      <c r="F1144" s="1">
        <v>33.200000000000003</v>
      </c>
      <c r="G1144" s="1">
        <v>0.59099999999999997</v>
      </c>
      <c r="H1144" s="1">
        <v>25</v>
      </c>
      <c r="I1144" s="1">
        <v>0</v>
      </c>
      <c r="J1144" s="1" t="str">
        <f>IFERROR(VLOOKUP(K1144,[1]diabetes_Recognition!$A:$B,2,FALSE),"Not Sampled")</f>
        <v>Not Sampled</v>
      </c>
      <c r="K1144" s="1">
        <v>1142</v>
      </c>
      <c r="L1144" s="1">
        <f>LOOKUP(A1144,Sheet2!$D$4:$E$9)</f>
        <v>2</v>
      </c>
      <c r="M1144" t="str">
        <f>LOOKUP(B1144,Sheet2!$G$4:$H$9)</f>
        <v>126-150</v>
      </c>
      <c r="N1144" t="str">
        <f>LOOKUP(C1144,Sheet2!$J$4:$K$8)</f>
        <v>70-79</v>
      </c>
      <c r="O1144" t="str">
        <f>LOOKUP(D1144,Sheet2!$M$4:$N$8)</f>
        <v>10-30</v>
      </c>
      <c r="P1144" t="str">
        <f>LOOKUP(E1144,Sheet2!$P$4:$Q$9)</f>
        <v>200-399</v>
      </c>
      <c r="Q1144" t="str">
        <f>LOOKUP(F1144,Sheet2!$S$4:$T$8)</f>
        <v>31-35</v>
      </c>
      <c r="R1144" t="str">
        <f>LOOKUP(G1144,Sheet2!$V$4:$W$7)</f>
        <v>0.4 - 0.69</v>
      </c>
      <c r="S1144" t="str">
        <f>LOOKUP(H1144,Sheet2!$Z$4:$AA$7)</f>
        <v>&lt;=25</v>
      </c>
      <c r="T1144" t="str">
        <f t="shared" si="51"/>
        <v>Negative</v>
      </c>
      <c r="U1144" t="str">
        <f t="shared" si="52"/>
        <v>Not Sampled</v>
      </c>
      <c r="V1144" s="1" t="str">
        <f t="shared" si="53"/>
        <v>Not Sampled</v>
      </c>
    </row>
    <row r="1145" spans="1:22" x14ac:dyDescent="0.25">
      <c r="A1145" s="1">
        <v>3</v>
      </c>
      <c r="B1145" s="1">
        <v>130</v>
      </c>
      <c r="C1145" s="1">
        <v>64</v>
      </c>
      <c r="D1145" s="1">
        <v>0</v>
      </c>
      <c r="E1145" s="1">
        <v>0</v>
      </c>
      <c r="F1145" s="1">
        <v>23.1</v>
      </c>
      <c r="G1145" s="1">
        <v>0.314</v>
      </c>
      <c r="H1145" s="1">
        <v>22</v>
      </c>
      <c r="I1145" s="1">
        <v>0</v>
      </c>
      <c r="J1145" s="1" t="str">
        <f>IFERROR(VLOOKUP(K1145,[1]diabetes_Recognition!$A:$B,2,FALSE),"Not Sampled")</f>
        <v>Not Sampled</v>
      </c>
      <c r="K1145" s="1">
        <v>1143</v>
      </c>
      <c r="L1145" s="1" t="str">
        <f>LOOKUP(A1145,Sheet2!$D$4:$E$9)</f>
        <v>3-4</v>
      </c>
      <c r="M1145" t="str">
        <f>LOOKUP(B1145,Sheet2!$G$4:$H$9)</f>
        <v>126-150</v>
      </c>
      <c r="N1145" t="str">
        <f>LOOKUP(C1145,Sheet2!$J$4:$K$8)</f>
        <v>60-69</v>
      </c>
      <c r="O1145" t="str">
        <f>LOOKUP(D1145,Sheet2!$M$4:$N$8)</f>
        <v>Unknown</v>
      </c>
      <c r="P1145" t="str">
        <f>LOOKUP(E1145,Sheet2!$P$4:$Q$9)</f>
        <v>Unknown</v>
      </c>
      <c r="Q1145" t="str">
        <f>LOOKUP(F1145,Sheet2!$S$4:$T$8)</f>
        <v>1-25</v>
      </c>
      <c r="R1145" t="str">
        <f>LOOKUP(G1145,Sheet2!$V$4:$W$7)</f>
        <v>0.25 - 0.39</v>
      </c>
      <c r="S1145" t="str">
        <f>LOOKUP(H1145,Sheet2!$Z$4:$AA$7)</f>
        <v>&lt;=25</v>
      </c>
      <c r="T1145" t="str">
        <f t="shared" si="51"/>
        <v>Negative</v>
      </c>
      <c r="U1145" t="str">
        <f t="shared" si="52"/>
        <v>Not Sampled</v>
      </c>
      <c r="V1145" s="1" t="str">
        <f t="shared" si="53"/>
        <v>Not Sampled</v>
      </c>
    </row>
    <row r="1146" spans="1:22" x14ac:dyDescent="0.25">
      <c r="A1146" s="1">
        <v>1</v>
      </c>
      <c r="B1146" s="1">
        <v>107</v>
      </c>
      <c r="C1146" s="1">
        <v>50</v>
      </c>
      <c r="D1146" s="1">
        <v>19</v>
      </c>
      <c r="E1146" s="1">
        <v>0</v>
      </c>
      <c r="F1146" s="1">
        <v>28.3</v>
      </c>
      <c r="G1146" s="1">
        <v>0.18099999999999999</v>
      </c>
      <c r="H1146" s="1">
        <v>29</v>
      </c>
      <c r="I1146" s="1">
        <v>0</v>
      </c>
      <c r="J1146" s="1" t="str">
        <f>IFERROR(VLOOKUP(K1146,[1]diabetes_Recognition!$A:$B,2,FALSE),"Not Sampled")</f>
        <v>Not Sampled</v>
      </c>
      <c r="K1146" s="1">
        <v>1144</v>
      </c>
      <c r="L1146" s="1">
        <f>LOOKUP(A1146,Sheet2!$D$4:$E$9)</f>
        <v>1</v>
      </c>
      <c r="M1146" t="str">
        <f>LOOKUP(B1146,Sheet2!$G$4:$H$9)</f>
        <v>100-125</v>
      </c>
      <c r="N1146" t="str">
        <f>LOOKUP(C1146,Sheet2!$J$4:$K$8)</f>
        <v>1-59</v>
      </c>
      <c r="O1146" t="str">
        <f>LOOKUP(D1146,Sheet2!$M$4:$N$8)</f>
        <v>10-30</v>
      </c>
      <c r="P1146" t="str">
        <f>LOOKUP(E1146,Sheet2!$P$4:$Q$9)</f>
        <v>Unknown</v>
      </c>
      <c r="Q1146" t="str">
        <f>LOOKUP(F1146,Sheet2!$S$4:$T$8)</f>
        <v>26-30</v>
      </c>
      <c r="R1146" t="str">
        <f>LOOKUP(G1146,Sheet2!$V$4:$W$7)</f>
        <v>0.0 - 0.249</v>
      </c>
      <c r="S1146" t="str">
        <f>LOOKUP(H1146,Sheet2!$Z$4:$AA$7)</f>
        <v>26-35</v>
      </c>
      <c r="T1146" t="str">
        <f t="shared" si="51"/>
        <v>Negative</v>
      </c>
      <c r="U1146" t="str">
        <f t="shared" si="52"/>
        <v>Not Sampled</v>
      </c>
      <c r="V1146" s="1" t="str">
        <f t="shared" si="53"/>
        <v>Not Sampled</v>
      </c>
    </row>
    <row r="1147" spans="1:22" x14ac:dyDescent="0.25">
      <c r="A1147" s="1">
        <v>1</v>
      </c>
      <c r="B1147" s="1">
        <v>140</v>
      </c>
      <c r="C1147" s="1">
        <v>74</v>
      </c>
      <c r="D1147" s="1">
        <v>26</v>
      </c>
      <c r="E1147" s="1">
        <v>180</v>
      </c>
      <c r="F1147" s="1">
        <v>24.1</v>
      </c>
      <c r="G1147" s="1">
        <v>0.82799999999999996</v>
      </c>
      <c r="H1147" s="1">
        <v>23</v>
      </c>
      <c r="I1147" s="1">
        <v>0</v>
      </c>
      <c r="J1147" s="1" t="str">
        <f>IFERROR(VLOOKUP(K1147,[1]diabetes_Recognition!$A:$B,2,FALSE),"Not Sampled")</f>
        <v>Not Sampled</v>
      </c>
      <c r="K1147" s="1">
        <v>1145</v>
      </c>
      <c r="L1147" s="1">
        <f>LOOKUP(A1147,Sheet2!$D$4:$E$9)</f>
        <v>1</v>
      </c>
      <c r="M1147" t="str">
        <f>LOOKUP(B1147,Sheet2!$G$4:$H$9)</f>
        <v>126-150</v>
      </c>
      <c r="N1147" t="str">
        <f>LOOKUP(C1147,Sheet2!$J$4:$K$8)</f>
        <v>70-79</v>
      </c>
      <c r="O1147" t="str">
        <f>LOOKUP(D1147,Sheet2!$M$4:$N$8)</f>
        <v>10-30</v>
      </c>
      <c r="P1147" t="str">
        <f>LOOKUP(E1147,Sheet2!$P$4:$Q$9)</f>
        <v>100-199</v>
      </c>
      <c r="Q1147" t="str">
        <f>LOOKUP(F1147,Sheet2!$S$4:$T$8)</f>
        <v>1-25</v>
      </c>
      <c r="R1147" t="str">
        <f>LOOKUP(G1147,Sheet2!$V$4:$W$7)</f>
        <v>0.7+</v>
      </c>
      <c r="S1147" t="str">
        <f>LOOKUP(H1147,Sheet2!$Z$4:$AA$7)</f>
        <v>&lt;=25</v>
      </c>
      <c r="T1147" t="str">
        <f t="shared" si="51"/>
        <v>Negative</v>
      </c>
      <c r="U1147" t="str">
        <f t="shared" si="52"/>
        <v>Not Sampled</v>
      </c>
      <c r="V1147" s="1" t="str">
        <f t="shared" si="53"/>
        <v>Not Sampled</v>
      </c>
    </row>
    <row r="1148" spans="1:22" x14ac:dyDescent="0.25">
      <c r="A1148" s="1">
        <v>1</v>
      </c>
      <c r="B1148" s="1">
        <v>144</v>
      </c>
      <c r="C1148" s="1">
        <v>82</v>
      </c>
      <c r="D1148" s="1">
        <v>46</v>
      </c>
      <c r="E1148" s="1">
        <v>180</v>
      </c>
      <c r="F1148" s="1">
        <v>46.1</v>
      </c>
      <c r="G1148" s="1">
        <v>0.33500000000000002</v>
      </c>
      <c r="H1148" s="1">
        <v>46</v>
      </c>
      <c r="I1148" s="1">
        <v>1</v>
      </c>
      <c r="J1148" s="1">
        <f>IFERROR(VLOOKUP(K1148,[1]diabetes_Recognition!$A:$B,2,FALSE),"Not Sampled")</f>
        <v>1</v>
      </c>
      <c r="K1148" s="1">
        <v>1146</v>
      </c>
      <c r="L1148" s="1">
        <f>LOOKUP(A1148,Sheet2!$D$4:$E$9)</f>
        <v>1</v>
      </c>
      <c r="M1148" t="str">
        <f>LOOKUP(B1148,Sheet2!$G$4:$H$9)</f>
        <v>126-150</v>
      </c>
      <c r="N1148" t="str">
        <f>LOOKUP(C1148,Sheet2!$J$4:$K$8)</f>
        <v>80+</v>
      </c>
      <c r="O1148" t="str">
        <f>LOOKUP(D1148,Sheet2!$M$4:$N$8)</f>
        <v>40+</v>
      </c>
      <c r="P1148" t="str">
        <f>LOOKUP(E1148,Sheet2!$P$4:$Q$9)</f>
        <v>100-199</v>
      </c>
      <c r="Q1148" t="str">
        <f>LOOKUP(F1148,Sheet2!$S$4:$T$8)</f>
        <v>36+</v>
      </c>
      <c r="R1148" t="str">
        <f>LOOKUP(G1148,Sheet2!$V$4:$W$7)</f>
        <v>0.25 - 0.39</v>
      </c>
      <c r="S1148" t="str">
        <f>LOOKUP(H1148,Sheet2!$Z$4:$AA$7)</f>
        <v>46+</v>
      </c>
      <c r="T1148" t="str">
        <f t="shared" si="51"/>
        <v>Positive</v>
      </c>
      <c r="U1148" t="str">
        <f t="shared" si="52"/>
        <v>Positive</v>
      </c>
      <c r="V1148" s="1" t="str">
        <f t="shared" si="53"/>
        <v>Accurate Prediction</v>
      </c>
    </row>
    <row r="1149" spans="1:22" x14ac:dyDescent="0.25">
      <c r="A1149" s="1">
        <v>8</v>
      </c>
      <c r="B1149" s="1">
        <v>107</v>
      </c>
      <c r="C1149" s="1">
        <v>80</v>
      </c>
      <c r="D1149" s="1">
        <v>0</v>
      </c>
      <c r="E1149" s="1">
        <v>0</v>
      </c>
      <c r="F1149" s="1">
        <v>24.6</v>
      </c>
      <c r="G1149" s="1">
        <v>0.85599999999999998</v>
      </c>
      <c r="H1149" s="1">
        <v>34</v>
      </c>
      <c r="I1149" s="1">
        <v>0</v>
      </c>
      <c r="J1149" s="1" t="str">
        <f>IFERROR(VLOOKUP(K1149,[1]diabetes_Recognition!$A:$B,2,FALSE),"Not Sampled")</f>
        <v>Not Sampled</v>
      </c>
      <c r="K1149" s="1">
        <v>1147</v>
      </c>
      <c r="L1149" s="1" t="str">
        <f>LOOKUP(A1149,Sheet2!$D$4:$E$9)</f>
        <v>8+</v>
      </c>
      <c r="M1149" t="str">
        <f>LOOKUP(B1149,Sheet2!$G$4:$H$9)</f>
        <v>100-125</v>
      </c>
      <c r="N1149" t="str">
        <f>LOOKUP(C1149,Sheet2!$J$4:$K$8)</f>
        <v>80+</v>
      </c>
      <c r="O1149" t="str">
        <f>LOOKUP(D1149,Sheet2!$M$4:$N$8)</f>
        <v>Unknown</v>
      </c>
      <c r="P1149" t="str">
        <f>LOOKUP(E1149,Sheet2!$P$4:$Q$9)</f>
        <v>Unknown</v>
      </c>
      <c r="Q1149" t="str">
        <f>LOOKUP(F1149,Sheet2!$S$4:$T$8)</f>
        <v>1-25</v>
      </c>
      <c r="R1149" t="str">
        <f>LOOKUP(G1149,Sheet2!$V$4:$W$7)</f>
        <v>0.7+</v>
      </c>
      <c r="S1149" t="str">
        <f>LOOKUP(H1149,Sheet2!$Z$4:$AA$7)</f>
        <v>26-35</v>
      </c>
      <c r="T1149" t="str">
        <f t="shared" si="51"/>
        <v>Negative</v>
      </c>
      <c r="U1149" t="str">
        <f t="shared" si="52"/>
        <v>Not Sampled</v>
      </c>
      <c r="V1149" s="1" t="str">
        <f t="shared" si="53"/>
        <v>Not Sampled</v>
      </c>
    </row>
    <row r="1150" spans="1:22" x14ac:dyDescent="0.25">
      <c r="A1150" s="1">
        <v>13</v>
      </c>
      <c r="B1150" s="1">
        <v>158</v>
      </c>
      <c r="C1150" s="1">
        <v>114</v>
      </c>
      <c r="D1150" s="1">
        <v>0</v>
      </c>
      <c r="E1150" s="1">
        <v>0</v>
      </c>
      <c r="F1150" s="1">
        <v>42.3</v>
      </c>
      <c r="G1150" s="1">
        <v>0.25700000000000001</v>
      </c>
      <c r="H1150" s="1">
        <v>44</v>
      </c>
      <c r="I1150" s="1">
        <v>1</v>
      </c>
      <c r="J1150" s="1" t="str">
        <f>IFERROR(VLOOKUP(K1150,[1]diabetes_Recognition!$A:$B,2,FALSE),"Not Sampled")</f>
        <v>Not Sampled</v>
      </c>
      <c r="K1150" s="1">
        <v>1148</v>
      </c>
      <c r="L1150" s="1" t="str">
        <f>LOOKUP(A1150,Sheet2!$D$4:$E$9)</f>
        <v>8+</v>
      </c>
      <c r="M1150" t="str">
        <f>LOOKUP(B1150,Sheet2!$G$4:$H$9)</f>
        <v>151-175</v>
      </c>
      <c r="N1150" t="str">
        <f>LOOKUP(C1150,Sheet2!$J$4:$K$8)</f>
        <v>80+</v>
      </c>
      <c r="O1150" t="str">
        <f>LOOKUP(D1150,Sheet2!$M$4:$N$8)</f>
        <v>Unknown</v>
      </c>
      <c r="P1150" t="str">
        <f>LOOKUP(E1150,Sheet2!$P$4:$Q$9)</f>
        <v>Unknown</v>
      </c>
      <c r="Q1150" t="str">
        <f>LOOKUP(F1150,Sheet2!$S$4:$T$8)</f>
        <v>36+</v>
      </c>
      <c r="R1150" t="str">
        <f>LOOKUP(G1150,Sheet2!$V$4:$W$7)</f>
        <v>0.25 - 0.39</v>
      </c>
      <c r="S1150" t="str">
        <f>LOOKUP(H1150,Sheet2!$Z$4:$AA$7)</f>
        <v>36-45</v>
      </c>
      <c r="T1150" t="str">
        <f t="shared" si="51"/>
        <v>Positive</v>
      </c>
      <c r="U1150" t="str">
        <f t="shared" si="52"/>
        <v>Not Sampled</v>
      </c>
      <c r="V1150" s="1" t="str">
        <f t="shared" si="53"/>
        <v>Not Sampled</v>
      </c>
    </row>
    <row r="1151" spans="1:22" x14ac:dyDescent="0.25">
      <c r="A1151" s="1">
        <v>2</v>
      </c>
      <c r="B1151" s="1">
        <v>121</v>
      </c>
      <c r="C1151" s="1">
        <v>70</v>
      </c>
      <c r="D1151" s="1">
        <v>32</v>
      </c>
      <c r="E1151" s="1">
        <v>95</v>
      </c>
      <c r="F1151" s="1">
        <v>39.1</v>
      </c>
      <c r="G1151" s="1">
        <v>0.88600000000000001</v>
      </c>
      <c r="H1151" s="1">
        <v>23</v>
      </c>
      <c r="I1151" s="1">
        <v>0</v>
      </c>
      <c r="J1151" s="1">
        <f>IFERROR(VLOOKUP(K1151,[1]diabetes_Recognition!$A:$B,2,FALSE),"Not Sampled")</f>
        <v>0</v>
      </c>
      <c r="K1151" s="1">
        <v>1149</v>
      </c>
      <c r="L1151" s="1">
        <f>LOOKUP(A1151,Sheet2!$D$4:$E$9)</f>
        <v>2</v>
      </c>
      <c r="M1151" t="str">
        <f>LOOKUP(B1151,Sheet2!$G$4:$H$9)</f>
        <v>100-125</v>
      </c>
      <c r="N1151" t="str">
        <f>LOOKUP(C1151,Sheet2!$J$4:$K$8)</f>
        <v>70-79</v>
      </c>
      <c r="O1151" t="str">
        <f>LOOKUP(D1151,Sheet2!$M$4:$N$8)</f>
        <v>30-39</v>
      </c>
      <c r="P1151" t="str">
        <f>LOOKUP(E1151,Sheet2!$P$4:$Q$9)</f>
        <v>1-99</v>
      </c>
      <c r="Q1151" t="str">
        <f>LOOKUP(F1151,Sheet2!$S$4:$T$8)</f>
        <v>36+</v>
      </c>
      <c r="R1151" t="str">
        <f>LOOKUP(G1151,Sheet2!$V$4:$W$7)</f>
        <v>0.7+</v>
      </c>
      <c r="S1151" t="str">
        <f>LOOKUP(H1151,Sheet2!$Z$4:$AA$7)</f>
        <v>&lt;=25</v>
      </c>
      <c r="T1151" t="str">
        <f t="shared" si="51"/>
        <v>Negative</v>
      </c>
      <c r="U1151" t="str">
        <f t="shared" si="52"/>
        <v>Negative</v>
      </c>
      <c r="V1151" s="1" t="str">
        <f t="shared" si="53"/>
        <v>Accurate Prediction</v>
      </c>
    </row>
    <row r="1152" spans="1:22" x14ac:dyDescent="0.25">
      <c r="A1152" s="1">
        <v>7</v>
      </c>
      <c r="B1152" s="1">
        <v>129</v>
      </c>
      <c r="C1152" s="1">
        <v>68</v>
      </c>
      <c r="D1152" s="1">
        <v>49</v>
      </c>
      <c r="E1152" s="1">
        <v>125</v>
      </c>
      <c r="F1152" s="1">
        <v>38.5</v>
      </c>
      <c r="G1152" s="1">
        <v>0.439</v>
      </c>
      <c r="H1152" s="1">
        <v>43</v>
      </c>
      <c r="I1152" s="1">
        <v>1</v>
      </c>
      <c r="J1152" s="1" t="str">
        <f>IFERROR(VLOOKUP(K1152,[1]diabetes_Recognition!$A:$B,2,FALSE),"Not Sampled")</f>
        <v>Not Sampled</v>
      </c>
      <c r="K1152" s="1">
        <v>1150</v>
      </c>
      <c r="L1152" s="1" t="str">
        <f>LOOKUP(A1152,Sheet2!$D$4:$E$9)</f>
        <v>5-7</v>
      </c>
      <c r="M1152" t="str">
        <f>LOOKUP(B1152,Sheet2!$G$4:$H$9)</f>
        <v>126-150</v>
      </c>
      <c r="N1152" t="str">
        <f>LOOKUP(C1152,Sheet2!$J$4:$K$8)</f>
        <v>60-69</v>
      </c>
      <c r="O1152" t="str">
        <f>LOOKUP(D1152,Sheet2!$M$4:$N$8)</f>
        <v>40+</v>
      </c>
      <c r="P1152" t="str">
        <f>LOOKUP(E1152,Sheet2!$P$4:$Q$9)</f>
        <v>100-199</v>
      </c>
      <c r="Q1152" t="str">
        <f>LOOKUP(F1152,Sheet2!$S$4:$T$8)</f>
        <v>36+</v>
      </c>
      <c r="R1152" t="str">
        <f>LOOKUP(G1152,Sheet2!$V$4:$W$7)</f>
        <v>0.4 - 0.69</v>
      </c>
      <c r="S1152" t="str">
        <f>LOOKUP(H1152,Sheet2!$Z$4:$AA$7)</f>
        <v>36-45</v>
      </c>
      <c r="T1152" t="str">
        <f t="shared" si="51"/>
        <v>Positive</v>
      </c>
      <c r="U1152" t="str">
        <f t="shared" si="52"/>
        <v>Not Sampled</v>
      </c>
      <c r="V1152" s="1" t="str">
        <f t="shared" si="53"/>
        <v>Not Sampled</v>
      </c>
    </row>
    <row r="1153" spans="1:22" x14ac:dyDescent="0.25">
      <c r="A1153" s="1">
        <v>2</v>
      </c>
      <c r="B1153" s="1">
        <v>90</v>
      </c>
      <c r="C1153" s="1">
        <v>60</v>
      </c>
      <c r="D1153" s="1">
        <v>0</v>
      </c>
      <c r="E1153" s="1">
        <v>0</v>
      </c>
      <c r="F1153" s="1">
        <v>23.5</v>
      </c>
      <c r="G1153" s="1">
        <v>0.191</v>
      </c>
      <c r="H1153" s="1">
        <v>25</v>
      </c>
      <c r="I1153" s="1">
        <v>0</v>
      </c>
      <c r="J1153" s="1" t="str">
        <f>IFERROR(VLOOKUP(K1153,[1]diabetes_Recognition!$A:$B,2,FALSE),"Not Sampled")</f>
        <v>Not Sampled</v>
      </c>
      <c r="K1153" s="1">
        <v>1151</v>
      </c>
      <c r="L1153" s="1">
        <f>LOOKUP(A1153,Sheet2!$D$4:$E$9)</f>
        <v>2</v>
      </c>
      <c r="M1153" t="str">
        <f>LOOKUP(B1153,Sheet2!$G$4:$H$9)</f>
        <v>1-99</v>
      </c>
      <c r="N1153" t="str">
        <f>LOOKUP(C1153,Sheet2!$J$4:$K$8)</f>
        <v>60-69</v>
      </c>
      <c r="O1153" t="str">
        <f>LOOKUP(D1153,Sheet2!$M$4:$N$8)</f>
        <v>Unknown</v>
      </c>
      <c r="P1153" t="str">
        <f>LOOKUP(E1153,Sheet2!$P$4:$Q$9)</f>
        <v>Unknown</v>
      </c>
      <c r="Q1153" t="str">
        <f>LOOKUP(F1153,Sheet2!$S$4:$T$8)</f>
        <v>1-25</v>
      </c>
      <c r="R1153" t="str">
        <f>LOOKUP(G1153,Sheet2!$V$4:$W$7)</f>
        <v>0.0 - 0.249</v>
      </c>
      <c r="S1153" t="str">
        <f>LOOKUP(H1153,Sheet2!$Z$4:$AA$7)</f>
        <v>&lt;=25</v>
      </c>
      <c r="T1153" t="str">
        <f t="shared" si="51"/>
        <v>Negative</v>
      </c>
      <c r="U1153" t="str">
        <f t="shared" si="52"/>
        <v>Not Sampled</v>
      </c>
      <c r="V1153" s="1" t="str">
        <f t="shared" si="53"/>
        <v>Not Sampled</v>
      </c>
    </row>
    <row r="1154" spans="1:22" x14ac:dyDescent="0.25">
      <c r="A1154" s="1">
        <v>7</v>
      </c>
      <c r="B1154" s="1">
        <v>142</v>
      </c>
      <c r="C1154" s="1">
        <v>90</v>
      </c>
      <c r="D1154" s="1">
        <v>24</v>
      </c>
      <c r="E1154" s="1">
        <v>480</v>
      </c>
      <c r="F1154" s="1">
        <v>30.4</v>
      </c>
      <c r="G1154" s="1">
        <v>0.128</v>
      </c>
      <c r="H1154" s="1">
        <v>43</v>
      </c>
      <c r="I1154" s="1">
        <v>1</v>
      </c>
      <c r="J1154" s="1" t="str">
        <f>IFERROR(VLOOKUP(K1154,[1]diabetes_Recognition!$A:$B,2,FALSE),"Not Sampled")</f>
        <v>Not Sampled</v>
      </c>
      <c r="K1154" s="1">
        <v>1152</v>
      </c>
      <c r="L1154" s="1" t="str">
        <f>LOOKUP(A1154,Sheet2!$D$4:$E$9)</f>
        <v>5-7</v>
      </c>
      <c r="M1154" t="str">
        <f>LOOKUP(B1154,Sheet2!$G$4:$H$9)</f>
        <v>126-150</v>
      </c>
      <c r="N1154" t="str">
        <f>LOOKUP(C1154,Sheet2!$J$4:$K$8)</f>
        <v>80+</v>
      </c>
      <c r="O1154" t="str">
        <f>LOOKUP(D1154,Sheet2!$M$4:$N$8)</f>
        <v>10-30</v>
      </c>
      <c r="P1154" t="str">
        <f>LOOKUP(E1154,Sheet2!$P$4:$Q$9)</f>
        <v>300-499</v>
      </c>
      <c r="Q1154" t="str">
        <f>LOOKUP(F1154,Sheet2!$S$4:$T$8)</f>
        <v>26-30</v>
      </c>
      <c r="R1154" t="str">
        <f>LOOKUP(G1154,Sheet2!$V$4:$W$7)</f>
        <v>0.0 - 0.249</v>
      </c>
      <c r="S1154" t="str">
        <f>LOOKUP(H1154,Sheet2!$Z$4:$AA$7)</f>
        <v>36-45</v>
      </c>
      <c r="T1154" t="str">
        <f t="shared" si="51"/>
        <v>Positive</v>
      </c>
      <c r="U1154" t="str">
        <f t="shared" si="52"/>
        <v>Not Sampled</v>
      </c>
      <c r="V1154" s="1" t="str">
        <f t="shared" si="53"/>
        <v>Not Sampled</v>
      </c>
    </row>
    <row r="1155" spans="1:22" x14ac:dyDescent="0.25">
      <c r="A1155" s="1">
        <v>3</v>
      </c>
      <c r="B1155" s="1">
        <v>169</v>
      </c>
      <c r="C1155" s="1">
        <v>74</v>
      </c>
      <c r="D1155" s="1">
        <v>19</v>
      </c>
      <c r="E1155" s="1">
        <v>125</v>
      </c>
      <c r="F1155" s="1">
        <v>29.9</v>
      </c>
      <c r="G1155" s="1">
        <v>0.26800000000000002</v>
      </c>
      <c r="H1155" s="1">
        <v>31</v>
      </c>
      <c r="I1155" s="1">
        <v>1</v>
      </c>
      <c r="J1155" s="1">
        <f>IFERROR(VLOOKUP(K1155,[1]diabetes_Recognition!$A:$B,2,FALSE),"Not Sampled")</f>
        <v>1</v>
      </c>
      <c r="K1155" s="1">
        <v>1153</v>
      </c>
      <c r="L1155" s="1" t="str">
        <f>LOOKUP(A1155,Sheet2!$D$4:$E$9)</f>
        <v>3-4</v>
      </c>
      <c r="M1155" t="str">
        <f>LOOKUP(B1155,Sheet2!$G$4:$H$9)</f>
        <v>151-175</v>
      </c>
      <c r="N1155" t="str">
        <f>LOOKUP(C1155,Sheet2!$J$4:$K$8)</f>
        <v>70-79</v>
      </c>
      <c r="O1155" t="str">
        <f>LOOKUP(D1155,Sheet2!$M$4:$N$8)</f>
        <v>10-30</v>
      </c>
      <c r="P1155" t="str">
        <f>LOOKUP(E1155,Sheet2!$P$4:$Q$9)</f>
        <v>100-199</v>
      </c>
      <c r="Q1155" t="str">
        <f>LOOKUP(F1155,Sheet2!$S$4:$T$8)</f>
        <v>26-30</v>
      </c>
      <c r="R1155" t="str">
        <f>LOOKUP(G1155,Sheet2!$V$4:$W$7)</f>
        <v>0.25 - 0.39</v>
      </c>
      <c r="S1155" t="str">
        <f>LOOKUP(H1155,Sheet2!$Z$4:$AA$7)</f>
        <v>26-35</v>
      </c>
      <c r="T1155" t="str">
        <f t="shared" ref="T1155:T1218" si="54">IF(I1155=1,"Positive","Negative")</f>
        <v>Positive</v>
      </c>
      <c r="U1155" t="str">
        <f t="shared" ref="U1155:U1218" si="55">IF(J1155=1,"Positive",(IF(J1155=0,"Negative","Not Sampled")))</f>
        <v>Positive</v>
      </c>
      <c r="V1155" s="1" t="str">
        <f t="shared" ref="V1155:V1218" si="56">IF(U1155="Not Sampled","Not Sampled",IF(T1155=U1155,"Accurate Prediction","Inaccurate Prediction"))</f>
        <v>Accurate Prediction</v>
      </c>
    </row>
    <row r="1156" spans="1:22" x14ac:dyDescent="0.25">
      <c r="A1156" s="1">
        <v>0</v>
      </c>
      <c r="B1156" s="1">
        <v>99</v>
      </c>
      <c r="C1156" s="1">
        <v>0</v>
      </c>
      <c r="D1156" s="1">
        <v>0</v>
      </c>
      <c r="E1156" s="1">
        <v>0</v>
      </c>
      <c r="F1156" s="1">
        <v>25</v>
      </c>
      <c r="G1156" s="1">
        <v>0.253</v>
      </c>
      <c r="H1156" s="1">
        <v>22</v>
      </c>
      <c r="I1156" s="1">
        <v>0</v>
      </c>
      <c r="J1156" s="1" t="str">
        <f>IFERROR(VLOOKUP(K1156,[1]diabetes_Recognition!$A:$B,2,FALSE),"Not Sampled")</f>
        <v>Not Sampled</v>
      </c>
      <c r="K1156" s="1">
        <v>1154</v>
      </c>
      <c r="L1156" s="1">
        <f>LOOKUP(A1156,Sheet2!$D$4:$E$9)</f>
        <v>0</v>
      </c>
      <c r="M1156" t="str">
        <f>LOOKUP(B1156,Sheet2!$G$4:$H$9)</f>
        <v>1-99</v>
      </c>
      <c r="N1156" t="str">
        <f>LOOKUP(C1156,Sheet2!$J$4:$K$8)</f>
        <v>Unknown</v>
      </c>
      <c r="O1156" t="str">
        <f>LOOKUP(D1156,Sheet2!$M$4:$N$8)</f>
        <v>Unknown</v>
      </c>
      <c r="P1156" t="str">
        <f>LOOKUP(E1156,Sheet2!$P$4:$Q$9)</f>
        <v>Unknown</v>
      </c>
      <c r="Q1156" t="str">
        <f>LOOKUP(F1156,Sheet2!$S$4:$T$8)</f>
        <v>1-25</v>
      </c>
      <c r="R1156" t="str">
        <f>LOOKUP(G1156,Sheet2!$V$4:$W$7)</f>
        <v>0.25 - 0.39</v>
      </c>
      <c r="S1156" t="str">
        <f>LOOKUP(H1156,Sheet2!$Z$4:$AA$7)</f>
        <v>&lt;=25</v>
      </c>
      <c r="T1156" t="str">
        <f t="shared" si="54"/>
        <v>Negative</v>
      </c>
      <c r="U1156" t="str">
        <f t="shared" si="55"/>
        <v>Not Sampled</v>
      </c>
      <c r="V1156" s="1" t="str">
        <f t="shared" si="56"/>
        <v>Not Sampled</v>
      </c>
    </row>
    <row r="1157" spans="1:22" x14ac:dyDescent="0.25">
      <c r="A1157" s="1">
        <v>4</v>
      </c>
      <c r="B1157" s="1">
        <v>127</v>
      </c>
      <c r="C1157" s="1">
        <v>88</v>
      </c>
      <c r="D1157" s="1">
        <v>11</v>
      </c>
      <c r="E1157" s="1">
        <v>155</v>
      </c>
      <c r="F1157" s="1">
        <v>34.5</v>
      </c>
      <c r="G1157" s="1">
        <v>0.59799999999999998</v>
      </c>
      <c r="H1157" s="1">
        <v>28</v>
      </c>
      <c r="I1157" s="1">
        <v>0</v>
      </c>
      <c r="J1157" s="1" t="str">
        <f>IFERROR(VLOOKUP(K1157,[1]diabetes_Recognition!$A:$B,2,FALSE),"Not Sampled")</f>
        <v>Not Sampled</v>
      </c>
      <c r="K1157" s="1">
        <v>1155</v>
      </c>
      <c r="L1157" s="1" t="str">
        <f>LOOKUP(A1157,Sheet2!$D$4:$E$9)</f>
        <v>3-4</v>
      </c>
      <c r="M1157" t="str">
        <f>LOOKUP(B1157,Sheet2!$G$4:$H$9)</f>
        <v>126-150</v>
      </c>
      <c r="N1157" t="str">
        <f>LOOKUP(C1157,Sheet2!$J$4:$K$8)</f>
        <v>80+</v>
      </c>
      <c r="O1157" t="str">
        <f>LOOKUP(D1157,Sheet2!$M$4:$N$8)</f>
        <v>10-30</v>
      </c>
      <c r="P1157" t="str">
        <f>LOOKUP(E1157,Sheet2!$P$4:$Q$9)</f>
        <v>100-199</v>
      </c>
      <c r="Q1157" t="str">
        <f>LOOKUP(F1157,Sheet2!$S$4:$T$8)</f>
        <v>31-35</v>
      </c>
      <c r="R1157" t="str">
        <f>LOOKUP(G1157,Sheet2!$V$4:$W$7)</f>
        <v>0.4 - 0.69</v>
      </c>
      <c r="S1157" t="str">
        <f>LOOKUP(H1157,Sheet2!$Z$4:$AA$7)</f>
        <v>26-35</v>
      </c>
      <c r="T1157" t="str">
        <f t="shared" si="54"/>
        <v>Negative</v>
      </c>
      <c r="U1157" t="str">
        <f t="shared" si="55"/>
        <v>Not Sampled</v>
      </c>
      <c r="V1157" s="1" t="str">
        <f t="shared" si="56"/>
        <v>Not Sampled</v>
      </c>
    </row>
    <row r="1158" spans="1:22" x14ac:dyDescent="0.25">
      <c r="A1158" s="1">
        <v>4</v>
      </c>
      <c r="B1158" s="1">
        <v>118</v>
      </c>
      <c r="C1158" s="1">
        <v>70</v>
      </c>
      <c r="D1158" s="1">
        <v>0</v>
      </c>
      <c r="E1158" s="1">
        <v>0</v>
      </c>
      <c r="F1158" s="1">
        <v>44.5</v>
      </c>
      <c r="G1158" s="1">
        <v>0.90400000000000003</v>
      </c>
      <c r="H1158" s="1">
        <v>26</v>
      </c>
      <c r="I1158" s="1">
        <v>0</v>
      </c>
      <c r="J1158" s="1" t="str">
        <f>IFERROR(VLOOKUP(K1158,[1]diabetes_Recognition!$A:$B,2,FALSE),"Not Sampled")</f>
        <v>Not Sampled</v>
      </c>
      <c r="K1158" s="1">
        <v>1156</v>
      </c>
      <c r="L1158" s="1" t="str">
        <f>LOOKUP(A1158,Sheet2!$D$4:$E$9)</f>
        <v>3-4</v>
      </c>
      <c r="M1158" t="str">
        <f>LOOKUP(B1158,Sheet2!$G$4:$H$9)</f>
        <v>100-125</v>
      </c>
      <c r="N1158" t="str">
        <f>LOOKUP(C1158,Sheet2!$J$4:$K$8)</f>
        <v>70-79</v>
      </c>
      <c r="O1158" t="str">
        <f>LOOKUP(D1158,Sheet2!$M$4:$N$8)</f>
        <v>Unknown</v>
      </c>
      <c r="P1158" t="str">
        <f>LOOKUP(E1158,Sheet2!$P$4:$Q$9)</f>
        <v>Unknown</v>
      </c>
      <c r="Q1158" t="str">
        <f>LOOKUP(F1158,Sheet2!$S$4:$T$8)</f>
        <v>36+</v>
      </c>
      <c r="R1158" t="str">
        <f>LOOKUP(G1158,Sheet2!$V$4:$W$7)</f>
        <v>0.7+</v>
      </c>
      <c r="S1158" t="str">
        <f>LOOKUP(H1158,Sheet2!$Z$4:$AA$7)</f>
        <v>26-35</v>
      </c>
      <c r="T1158" t="str">
        <f t="shared" si="54"/>
        <v>Negative</v>
      </c>
      <c r="U1158" t="str">
        <f t="shared" si="55"/>
        <v>Not Sampled</v>
      </c>
      <c r="V1158" s="1" t="str">
        <f t="shared" si="56"/>
        <v>Not Sampled</v>
      </c>
    </row>
    <row r="1159" spans="1:22" x14ac:dyDescent="0.25">
      <c r="A1159" s="1">
        <v>2</v>
      </c>
      <c r="B1159" s="1">
        <v>122</v>
      </c>
      <c r="C1159" s="1">
        <v>76</v>
      </c>
      <c r="D1159" s="1">
        <v>27</v>
      </c>
      <c r="E1159" s="1">
        <v>200</v>
      </c>
      <c r="F1159" s="1">
        <v>35.9</v>
      </c>
      <c r="G1159" s="1">
        <v>0.48299999999999998</v>
      </c>
      <c r="H1159" s="1">
        <v>26</v>
      </c>
      <c r="I1159" s="1">
        <v>0</v>
      </c>
      <c r="J1159" s="1" t="str">
        <f>IFERROR(VLOOKUP(K1159,[1]diabetes_Recognition!$A:$B,2,FALSE),"Not Sampled")</f>
        <v>Not Sampled</v>
      </c>
      <c r="K1159" s="1">
        <v>1157</v>
      </c>
      <c r="L1159" s="1">
        <f>LOOKUP(A1159,Sheet2!$D$4:$E$9)</f>
        <v>2</v>
      </c>
      <c r="M1159" t="str">
        <f>LOOKUP(B1159,Sheet2!$G$4:$H$9)</f>
        <v>100-125</v>
      </c>
      <c r="N1159" t="str">
        <f>LOOKUP(C1159,Sheet2!$J$4:$K$8)</f>
        <v>70-79</v>
      </c>
      <c r="O1159" t="str">
        <f>LOOKUP(D1159,Sheet2!$M$4:$N$8)</f>
        <v>10-30</v>
      </c>
      <c r="P1159" t="str">
        <f>LOOKUP(E1159,Sheet2!$P$4:$Q$9)</f>
        <v>200-399</v>
      </c>
      <c r="Q1159" t="str">
        <f>LOOKUP(F1159,Sheet2!$S$4:$T$8)</f>
        <v>31-35</v>
      </c>
      <c r="R1159" t="str">
        <f>LOOKUP(G1159,Sheet2!$V$4:$W$7)</f>
        <v>0.4 - 0.69</v>
      </c>
      <c r="S1159" t="str">
        <f>LOOKUP(H1159,Sheet2!$Z$4:$AA$7)</f>
        <v>26-35</v>
      </c>
      <c r="T1159" t="str">
        <f t="shared" si="54"/>
        <v>Negative</v>
      </c>
      <c r="U1159" t="str">
        <f t="shared" si="55"/>
        <v>Not Sampled</v>
      </c>
      <c r="V1159" s="1" t="str">
        <f t="shared" si="56"/>
        <v>Not Sampled</v>
      </c>
    </row>
    <row r="1160" spans="1:22" x14ac:dyDescent="0.25">
      <c r="A1160" s="1">
        <v>6</v>
      </c>
      <c r="B1160" s="1">
        <v>125</v>
      </c>
      <c r="C1160" s="1">
        <v>78</v>
      </c>
      <c r="D1160" s="1">
        <v>31</v>
      </c>
      <c r="E1160" s="1">
        <v>0</v>
      </c>
      <c r="F1160" s="1">
        <v>27.6</v>
      </c>
      <c r="G1160" s="1">
        <v>0.56499999999999995</v>
      </c>
      <c r="H1160" s="1">
        <v>49</v>
      </c>
      <c r="I1160" s="1">
        <v>1</v>
      </c>
      <c r="J1160" s="1" t="str">
        <f>IFERROR(VLOOKUP(K1160,[1]diabetes_Recognition!$A:$B,2,FALSE),"Not Sampled")</f>
        <v>Not Sampled</v>
      </c>
      <c r="K1160" s="1">
        <v>1158</v>
      </c>
      <c r="L1160" s="1" t="str">
        <f>LOOKUP(A1160,Sheet2!$D$4:$E$9)</f>
        <v>5-7</v>
      </c>
      <c r="M1160" t="str">
        <f>LOOKUP(B1160,Sheet2!$G$4:$H$9)</f>
        <v>100-125</v>
      </c>
      <c r="N1160" t="str">
        <f>LOOKUP(C1160,Sheet2!$J$4:$K$8)</f>
        <v>70-79</v>
      </c>
      <c r="O1160" t="str">
        <f>LOOKUP(D1160,Sheet2!$M$4:$N$8)</f>
        <v>30-39</v>
      </c>
      <c r="P1160" t="str">
        <f>LOOKUP(E1160,Sheet2!$P$4:$Q$9)</f>
        <v>Unknown</v>
      </c>
      <c r="Q1160" t="str">
        <f>LOOKUP(F1160,Sheet2!$S$4:$T$8)</f>
        <v>26-30</v>
      </c>
      <c r="R1160" t="str">
        <f>LOOKUP(G1160,Sheet2!$V$4:$W$7)</f>
        <v>0.4 - 0.69</v>
      </c>
      <c r="S1160" t="str">
        <f>LOOKUP(H1160,Sheet2!$Z$4:$AA$7)</f>
        <v>46+</v>
      </c>
      <c r="T1160" t="str">
        <f t="shared" si="54"/>
        <v>Positive</v>
      </c>
      <c r="U1160" t="str">
        <f t="shared" si="55"/>
        <v>Not Sampled</v>
      </c>
      <c r="V1160" s="1" t="str">
        <f t="shared" si="56"/>
        <v>Not Sampled</v>
      </c>
    </row>
    <row r="1161" spans="1:22" x14ac:dyDescent="0.25">
      <c r="A1161" s="1">
        <v>1</v>
      </c>
      <c r="B1161" s="1">
        <v>168</v>
      </c>
      <c r="C1161" s="1">
        <v>88</v>
      </c>
      <c r="D1161" s="1">
        <v>29</v>
      </c>
      <c r="E1161" s="1">
        <v>0</v>
      </c>
      <c r="F1161" s="1">
        <v>35</v>
      </c>
      <c r="G1161" s="1">
        <v>0.90500000000000003</v>
      </c>
      <c r="H1161" s="1">
        <v>52</v>
      </c>
      <c r="I1161" s="1">
        <v>1</v>
      </c>
      <c r="J1161" s="1">
        <f>IFERROR(VLOOKUP(K1161,[1]diabetes_Recognition!$A:$B,2,FALSE),"Not Sampled")</f>
        <v>1</v>
      </c>
      <c r="K1161" s="1">
        <v>1159</v>
      </c>
      <c r="L1161" s="1">
        <f>LOOKUP(A1161,Sheet2!$D$4:$E$9)</f>
        <v>1</v>
      </c>
      <c r="M1161" t="str">
        <f>LOOKUP(B1161,Sheet2!$G$4:$H$9)</f>
        <v>151-175</v>
      </c>
      <c r="N1161" t="str">
        <f>LOOKUP(C1161,Sheet2!$J$4:$K$8)</f>
        <v>80+</v>
      </c>
      <c r="O1161" t="str">
        <f>LOOKUP(D1161,Sheet2!$M$4:$N$8)</f>
        <v>10-30</v>
      </c>
      <c r="P1161" t="str">
        <f>LOOKUP(E1161,Sheet2!$P$4:$Q$9)</f>
        <v>Unknown</v>
      </c>
      <c r="Q1161" t="str">
        <f>LOOKUP(F1161,Sheet2!$S$4:$T$8)</f>
        <v>31-35</v>
      </c>
      <c r="R1161" t="str">
        <f>LOOKUP(G1161,Sheet2!$V$4:$W$7)</f>
        <v>0.7+</v>
      </c>
      <c r="S1161" t="str">
        <f>LOOKUP(H1161,Sheet2!$Z$4:$AA$7)</f>
        <v>46+</v>
      </c>
      <c r="T1161" t="str">
        <f t="shared" si="54"/>
        <v>Positive</v>
      </c>
      <c r="U1161" t="str">
        <f t="shared" si="55"/>
        <v>Positive</v>
      </c>
      <c r="V1161" s="1" t="str">
        <f t="shared" si="56"/>
        <v>Accurate Prediction</v>
      </c>
    </row>
    <row r="1162" spans="1:22" x14ac:dyDescent="0.25">
      <c r="A1162" s="1">
        <v>2</v>
      </c>
      <c r="B1162" s="1">
        <v>129</v>
      </c>
      <c r="C1162" s="1">
        <v>0</v>
      </c>
      <c r="D1162" s="1">
        <v>0</v>
      </c>
      <c r="E1162" s="1">
        <v>0</v>
      </c>
      <c r="F1162" s="1">
        <v>38.5</v>
      </c>
      <c r="G1162" s="1">
        <v>0.30399999999999999</v>
      </c>
      <c r="H1162" s="1">
        <v>41</v>
      </c>
      <c r="I1162" s="1">
        <v>0</v>
      </c>
      <c r="J1162" s="1" t="str">
        <f>IFERROR(VLOOKUP(K1162,[1]diabetes_Recognition!$A:$B,2,FALSE),"Not Sampled")</f>
        <v>Not Sampled</v>
      </c>
      <c r="K1162" s="1">
        <v>1160</v>
      </c>
      <c r="L1162" s="1">
        <f>LOOKUP(A1162,Sheet2!$D$4:$E$9)</f>
        <v>2</v>
      </c>
      <c r="M1162" t="str">
        <f>LOOKUP(B1162,Sheet2!$G$4:$H$9)</f>
        <v>126-150</v>
      </c>
      <c r="N1162" t="str">
        <f>LOOKUP(C1162,Sheet2!$J$4:$K$8)</f>
        <v>Unknown</v>
      </c>
      <c r="O1162" t="str">
        <f>LOOKUP(D1162,Sheet2!$M$4:$N$8)</f>
        <v>Unknown</v>
      </c>
      <c r="P1162" t="str">
        <f>LOOKUP(E1162,Sheet2!$P$4:$Q$9)</f>
        <v>Unknown</v>
      </c>
      <c r="Q1162" t="str">
        <f>LOOKUP(F1162,Sheet2!$S$4:$T$8)</f>
        <v>36+</v>
      </c>
      <c r="R1162" t="str">
        <f>LOOKUP(G1162,Sheet2!$V$4:$W$7)</f>
        <v>0.25 - 0.39</v>
      </c>
      <c r="S1162" t="str">
        <f>LOOKUP(H1162,Sheet2!$Z$4:$AA$7)</f>
        <v>36-45</v>
      </c>
      <c r="T1162" t="str">
        <f t="shared" si="54"/>
        <v>Negative</v>
      </c>
      <c r="U1162" t="str">
        <f t="shared" si="55"/>
        <v>Not Sampled</v>
      </c>
      <c r="V1162" s="1" t="str">
        <f t="shared" si="56"/>
        <v>Not Sampled</v>
      </c>
    </row>
    <row r="1163" spans="1:22" x14ac:dyDescent="0.25">
      <c r="A1163" s="1">
        <v>4</v>
      </c>
      <c r="B1163" s="1">
        <v>110</v>
      </c>
      <c r="C1163" s="1">
        <v>76</v>
      </c>
      <c r="D1163" s="1">
        <v>20</v>
      </c>
      <c r="E1163" s="1">
        <v>100</v>
      </c>
      <c r="F1163" s="1">
        <v>28.4</v>
      </c>
      <c r="G1163" s="1">
        <v>0.11799999999999999</v>
      </c>
      <c r="H1163" s="1">
        <v>27</v>
      </c>
      <c r="I1163" s="1">
        <v>0</v>
      </c>
      <c r="J1163" s="1" t="str">
        <f>IFERROR(VLOOKUP(K1163,[1]diabetes_Recognition!$A:$B,2,FALSE),"Not Sampled")</f>
        <v>Not Sampled</v>
      </c>
      <c r="K1163" s="1">
        <v>1161</v>
      </c>
      <c r="L1163" s="1" t="str">
        <f>LOOKUP(A1163,Sheet2!$D$4:$E$9)</f>
        <v>3-4</v>
      </c>
      <c r="M1163" t="str">
        <f>LOOKUP(B1163,Sheet2!$G$4:$H$9)</f>
        <v>100-125</v>
      </c>
      <c r="N1163" t="str">
        <f>LOOKUP(C1163,Sheet2!$J$4:$K$8)</f>
        <v>70-79</v>
      </c>
      <c r="O1163" t="str">
        <f>LOOKUP(D1163,Sheet2!$M$4:$N$8)</f>
        <v>10-30</v>
      </c>
      <c r="P1163" t="str">
        <f>LOOKUP(E1163,Sheet2!$P$4:$Q$9)</f>
        <v>100-199</v>
      </c>
      <c r="Q1163" t="str">
        <f>LOOKUP(F1163,Sheet2!$S$4:$T$8)</f>
        <v>26-30</v>
      </c>
      <c r="R1163" t="str">
        <f>LOOKUP(G1163,Sheet2!$V$4:$W$7)</f>
        <v>0.0 - 0.249</v>
      </c>
      <c r="S1163" t="str">
        <f>LOOKUP(H1163,Sheet2!$Z$4:$AA$7)</f>
        <v>26-35</v>
      </c>
      <c r="T1163" t="str">
        <f t="shared" si="54"/>
        <v>Negative</v>
      </c>
      <c r="U1163" t="str">
        <f t="shared" si="55"/>
        <v>Not Sampled</v>
      </c>
      <c r="V1163" s="1" t="str">
        <f t="shared" si="56"/>
        <v>Not Sampled</v>
      </c>
    </row>
    <row r="1164" spans="1:22" x14ac:dyDescent="0.25">
      <c r="A1164" s="1">
        <v>6</v>
      </c>
      <c r="B1164" s="1">
        <v>80</v>
      </c>
      <c r="C1164" s="1">
        <v>80</v>
      </c>
      <c r="D1164" s="1">
        <v>36</v>
      </c>
      <c r="E1164" s="1">
        <v>0</v>
      </c>
      <c r="F1164" s="1">
        <v>39.799999999999997</v>
      </c>
      <c r="G1164" s="1">
        <v>0.17699999999999999</v>
      </c>
      <c r="H1164" s="1">
        <v>28</v>
      </c>
      <c r="I1164" s="1">
        <v>0</v>
      </c>
      <c r="J1164" s="1">
        <f>IFERROR(VLOOKUP(K1164,[1]diabetes_Recognition!$A:$B,2,FALSE),"Not Sampled")</f>
        <v>0</v>
      </c>
      <c r="K1164" s="1">
        <v>1162</v>
      </c>
      <c r="L1164" s="1" t="str">
        <f>LOOKUP(A1164,Sheet2!$D$4:$E$9)</f>
        <v>5-7</v>
      </c>
      <c r="M1164" t="str">
        <f>LOOKUP(B1164,Sheet2!$G$4:$H$9)</f>
        <v>1-99</v>
      </c>
      <c r="N1164" t="str">
        <f>LOOKUP(C1164,Sheet2!$J$4:$K$8)</f>
        <v>80+</v>
      </c>
      <c r="O1164" t="str">
        <f>LOOKUP(D1164,Sheet2!$M$4:$N$8)</f>
        <v>30-39</v>
      </c>
      <c r="P1164" t="str">
        <f>LOOKUP(E1164,Sheet2!$P$4:$Q$9)</f>
        <v>Unknown</v>
      </c>
      <c r="Q1164" t="str">
        <f>LOOKUP(F1164,Sheet2!$S$4:$T$8)</f>
        <v>36+</v>
      </c>
      <c r="R1164" t="str">
        <f>LOOKUP(G1164,Sheet2!$V$4:$W$7)</f>
        <v>0.0 - 0.249</v>
      </c>
      <c r="S1164" t="str">
        <f>LOOKUP(H1164,Sheet2!$Z$4:$AA$7)</f>
        <v>26-35</v>
      </c>
      <c r="T1164" t="str">
        <f t="shared" si="54"/>
        <v>Negative</v>
      </c>
      <c r="U1164" t="str">
        <f t="shared" si="55"/>
        <v>Negative</v>
      </c>
      <c r="V1164" s="1" t="str">
        <f t="shared" si="56"/>
        <v>Accurate Prediction</v>
      </c>
    </row>
    <row r="1165" spans="1:22" x14ac:dyDescent="0.25">
      <c r="A1165" s="1">
        <v>10</v>
      </c>
      <c r="B1165" s="1">
        <v>115</v>
      </c>
      <c r="C1165" s="1">
        <v>0</v>
      </c>
      <c r="D1165" s="1">
        <v>0</v>
      </c>
      <c r="E1165" s="1">
        <v>0</v>
      </c>
      <c r="F1165" s="1">
        <v>0</v>
      </c>
      <c r="G1165" s="1">
        <v>0.26100000000000001</v>
      </c>
      <c r="H1165" s="1">
        <v>30</v>
      </c>
      <c r="I1165" s="1">
        <v>1</v>
      </c>
      <c r="J1165" s="1" t="str">
        <f>IFERROR(VLOOKUP(K1165,[1]diabetes_Recognition!$A:$B,2,FALSE),"Not Sampled")</f>
        <v>Not Sampled</v>
      </c>
      <c r="K1165" s="1">
        <v>1163</v>
      </c>
      <c r="L1165" s="1" t="str">
        <f>LOOKUP(A1165,Sheet2!$D$4:$E$9)</f>
        <v>8+</v>
      </c>
      <c r="M1165" t="str">
        <f>LOOKUP(B1165,Sheet2!$G$4:$H$9)</f>
        <v>100-125</v>
      </c>
      <c r="N1165" t="str">
        <f>LOOKUP(C1165,Sheet2!$J$4:$K$8)</f>
        <v>Unknown</v>
      </c>
      <c r="O1165" t="str">
        <f>LOOKUP(D1165,Sheet2!$M$4:$N$8)</f>
        <v>Unknown</v>
      </c>
      <c r="P1165" t="str">
        <f>LOOKUP(E1165,Sheet2!$P$4:$Q$9)</f>
        <v>Unknown</v>
      </c>
      <c r="Q1165" t="str">
        <f>LOOKUP(F1165,Sheet2!$S$4:$T$8)</f>
        <v>Unknown</v>
      </c>
      <c r="R1165" t="str">
        <f>LOOKUP(G1165,Sheet2!$V$4:$W$7)</f>
        <v>0.25 - 0.39</v>
      </c>
      <c r="S1165" t="str">
        <f>LOOKUP(H1165,Sheet2!$Z$4:$AA$7)</f>
        <v>26-35</v>
      </c>
      <c r="T1165" t="str">
        <f t="shared" si="54"/>
        <v>Positive</v>
      </c>
      <c r="U1165" t="str">
        <f t="shared" si="55"/>
        <v>Not Sampled</v>
      </c>
      <c r="V1165" s="1" t="str">
        <f t="shared" si="56"/>
        <v>Not Sampled</v>
      </c>
    </row>
    <row r="1166" spans="1:22" x14ac:dyDescent="0.25">
      <c r="A1166" s="1">
        <v>2</v>
      </c>
      <c r="B1166" s="1">
        <v>127</v>
      </c>
      <c r="C1166" s="1">
        <v>46</v>
      </c>
      <c r="D1166" s="1">
        <v>21</v>
      </c>
      <c r="E1166" s="1">
        <v>335</v>
      </c>
      <c r="F1166" s="1">
        <v>34.4</v>
      </c>
      <c r="G1166" s="1">
        <v>0.17599999999999999</v>
      </c>
      <c r="H1166" s="1">
        <v>22</v>
      </c>
      <c r="I1166" s="1">
        <v>0</v>
      </c>
      <c r="J1166" s="1" t="str">
        <f>IFERROR(VLOOKUP(K1166,[1]diabetes_Recognition!$A:$B,2,FALSE),"Not Sampled")</f>
        <v>Not Sampled</v>
      </c>
      <c r="K1166" s="1">
        <v>1164</v>
      </c>
      <c r="L1166" s="1">
        <f>LOOKUP(A1166,Sheet2!$D$4:$E$9)</f>
        <v>2</v>
      </c>
      <c r="M1166" t="str">
        <f>LOOKUP(B1166,Sheet2!$G$4:$H$9)</f>
        <v>126-150</v>
      </c>
      <c r="N1166" t="str">
        <f>LOOKUP(C1166,Sheet2!$J$4:$K$8)</f>
        <v>1-59</v>
      </c>
      <c r="O1166" t="str">
        <f>LOOKUP(D1166,Sheet2!$M$4:$N$8)</f>
        <v>10-30</v>
      </c>
      <c r="P1166" t="str">
        <f>LOOKUP(E1166,Sheet2!$P$4:$Q$9)</f>
        <v>300-499</v>
      </c>
      <c r="Q1166" t="str">
        <f>LOOKUP(F1166,Sheet2!$S$4:$T$8)</f>
        <v>31-35</v>
      </c>
      <c r="R1166" t="str">
        <f>LOOKUP(G1166,Sheet2!$V$4:$W$7)</f>
        <v>0.0 - 0.249</v>
      </c>
      <c r="S1166" t="str">
        <f>LOOKUP(H1166,Sheet2!$Z$4:$AA$7)</f>
        <v>&lt;=25</v>
      </c>
      <c r="T1166" t="str">
        <f t="shared" si="54"/>
        <v>Negative</v>
      </c>
      <c r="U1166" t="str">
        <f t="shared" si="55"/>
        <v>Not Sampled</v>
      </c>
      <c r="V1166" s="1" t="str">
        <f t="shared" si="56"/>
        <v>Not Sampled</v>
      </c>
    </row>
    <row r="1167" spans="1:22" x14ac:dyDescent="0.25">
      <c r="A1167" s="1">
        <v>9</v>
      </c>
      <c r="B1167" s="1">
        <v>164</v>
      </c>
      <c r="C1167" s="1">
        <v>78</v>
      </c>
      <c r="D1167" s="1">
        <v>0</v>
      </c>
      <c r="E1167" s="1">
        <v>0</v>
      </c>
      <c r="F1167" s="1">
        <v>32.799999999999997</v>
      </c>
      <c r="G1167" s="1">
        <v>0.14799999999999999</v>
      </c>
      <c r="H1167" s="1">
        <v>45</v>
      </c>
      <c r="I1167" s="1">
        <v>1</v>
      </c>
      <c r="J1167" s="1" t="str">
        <f>IFERROR(VLOOKUP(K1167,[1]diabetes_Recognition!$A:$B,2,FALSE),"Not Sampled")</f>
        <v>Not Sampled</v>
      </c>
      <c r="K1167" s="1">
        <v>1165</v>
      </c>
      <c r="L1167" s="1" t="str">
        <f>LOOKUP(A1167,Sheet2!$D$4:$E$9)</f>
        <v>8+</v>
      </c>
      <c r="M1167" t="str">
        <f>LOOKUP(B1167,Sheet2!$G$4:$H$9)</f>
        <v>151-175</v>
      </c>
      <c r="N1167" t="str">
        <f>LOOKUP(C1167,Sheet2!$J$4:$K$8)</f>
        <v>70-79</v>
      </c>
      <c r="O1167" t="str">
        <f>LOOKUP(D1167,Sheet2!$M$4:$N$8)</f>
        <v>Unknown</v>
      </c>
      <c r="P1167" t="str">
        <f>LOOKUP(E1167,Sheet2!$P$4:$Q$9)</f>
        <v>Unknown</v>
      </c>
      <c r="Q1167" t="str">
        <f>LOOKUP(F1167,Sheet2!$S$4:$T$8)</f>
        <v>31-35</v>
      </c>
      <c r="R1167" t="str">
        <f>LOOKUP(G1167,Sheet2!$V$4:$W$7)</f>
        <v>0.0 - 0.249</v>
      </c>
      <c r="S1167" t="str">
        <f>LOOKUP(H1167,Sheet2!$Z$4:$AA$7)</f>
        <v>36-45</v>
      </c>
      <c r="T1167" t="str">
        <f t="shared" si="54"/>
        <v>Positive</v>
      </c>
      <c r="U1167" t="str">
        <f t="shared" si="55"/>
        <v>Not Sampled</v>
      </c>
      <c r="V1167" s="1" t="str">
        <f t="shared" si="56"/>
        <v>Not Sampled</v>
      </c>
    </row>
    <row r="1168" spans="1:22" x14ac:dyDescent="0.25">
      <c r="A1168" s="1">
        <v>2</v>
      </c>
      <c r="B1168" s="1">
        <v>93</v>
      </c>
      <c r="C1168" s="1">
        <v>64</v>
      </c>
      <c r="D1168" s="1">
        <v>32</v>
      </c>
      <c r="E1168" s="1">
        <v>160</v>
      </c>
      <c r="F1168" s="1">
        <v>38</v>
      </c>
      <c r="G1168" s="1">
        <v>0.67400000000000004</v>
      </c>
      <c r="H1168" s="1">
        <v>23</v>
      </c>
      <c r="I1168" s="1">
        <v>1</v>
      </c>
      <c r="J1168" s="1">
        <f>IFERROR(VLOOKUP(K1168,[1]diabetes_Recognition!$A:$B,2,FALSE),"Not Sampled")</f>
        <v>0</v>
      </c>
      <c r="K1168" s="1">
        <v>1166</v>
      </c>
      <c r="L1168" s="1">
        <f>LOOKUP(A1168,Sheet2!$D$4:$E$9)</f>
        <v>2</v>
      </c>
      <c r="M1168" t="str">
        <f>LOOKUP(B1168,Sheet2!$G$4:$H$9)</f>
        <v>1-99</v>
      </c>
      <c r="N1168" t="str">
        <f>LOOKUP(C1168,Sheet2!$J$4:$K$8)</f>
        <v>60-69</v>
      </c>
      <c r="O1168" t="str">
        <f>LOOKUP(D1168,Sheet2!$M$4:$N$8)</f>
        <v>30-39</v>
      </c>
      <c r="P1168" t="str">
        <f>LOOKUP(E1168,Sheet2!$P$4:$Q$9)</f>
        <v>100-199</v>
      </c>
      <c r="Q1168" t="str">
        <f>LOOKUP(F1168,Sheet2!$S$4:$T$8)</f>
        <v>36+</v>
      </c>
      <c r="R1168" t="str">
        <f>LOOKUP(G1168,Sheet2!$V$4:$W$7)</f>
        <v>0.4 - 0.69</v>
      </c>
      <c r="S1168" t="str">
        <f>LOOKUP(H1168,Sheet2!$Z$4:$AA$7)</f>
        <v>&lt;=25</v>
      </c>
      <c r="T1168" t="str">
        <f t="shared" si="54"/>
        <v>Positive</v>
      </c>
      <c r="U1168" t="str">
        <f t="shared" si="55"/>
        <v>Negative</v>
      </c>
      <c r="V1168" s="1" t="str">
        <f t="shared" si="56"/>
        <v>Inaccurate Prediction</v>
      </c>
    </row>
    <row r="1169" spans="1:22" x14ac:dyDescent="0.25">
      <c r="A1169" s="1">
        <v>3</v>
      </c>
      <c r="B1169" s="1">
        <v>158</v>
      </c>
      <c r="C1169" s="1">
        <v>64</v>
      </c>
      <c r="D1169" s="1">
        <v>13</v>
      </c>
      <c r="E1169" s="1">
        <v>387</v>
      </c>
      <c r="F1169" s="1">
        <v>31.2</v>
      </c>
      <c r="G1169" s="1">
        <v>0.29499999999999998</v>
      </c>
      <c r="H1169" s="1">
        <v>24</v>
      </c>
      <c r="I1169" s="1">
        <v>0</v>
      </c>
      <c r="J1169" s="1">
        <f>IFERROR(VLOOKUP(K1169,[1]diabetes_Recognition!$A:$B,2,FALSE),"Not Sampled")</f>
        <v>0</v>
      </c>
      <c r="K1169" s="1">
        <v>1167</v>
      </c>
      <c r="L1169" s="1" t="str">
        <f>LOOKUP(A1169,Sheet2!$D$4:$E$9)</f>
        <v>3-4</v>
      </c>
      <c r="M1169" t="str">
        <f>LOOKUP(B1169,Sheet2!$G$4:$H$9)</f>
        <v>151-175</v>
      </c>
      <c r="N1169" t="str">
        <f>LOOKUP(C1169,Sheet2!$J$4:$K$8)</f>
        <v>60-69</v>
      </c>
      <c r="O1169" t="str">
        <f>LOOKUP(D1169,Sheet2!$M$4:$N$8)</f>
        <v>10-30</v>
      </c>
      <c r="P1169" t="str">
        <f>LOOKUP(E1169,Sheet2!$P$4:$Q$9)</f>
        <v>300-499</v>
      </c>
      <c r="Q1169" t="str">
        <f>LOOKUP(F1169,Sheet2!$S$4:$T$8)</f>
        <v>31-35</v>
      </c>
      <c r="R1169" t="str">
        <f>LOOKUP(G1169,Sheet2!$V$4:$W$7)</f>
        <v>0.25 - 0.39</v>
      </c>
      <c r="S1169" t="str">
        <f>LOOKUP(H1169,Sheet2!$Z$4:$AA$7)</f>
        <v>&lt;=25</v>
      </c>
      <c r="T1169" t="str">
        <f t="shared" si="54"/>
        <v>Negative</v>
      </c>
      <c r="U1169" t="str">
        <f t="shared" si="55"/>
        <v>Negative</v>
      </c>
      <c r="V1169" s="1" t="str">
        <f t="shared" si="56"/>
        <v>Accurate Prediction</v>
      </c>
    </row>
    <row r="1170" spans="1:22" x14ac:dyDescent="0.25">
      <c r="A1170" s="1">
        <v>5</v>
      </c>
      <c r="B1170" s="1">
        <v>126</v>
      </c>
      <c r="C1170" s="1">
        <v>78</v>
      </c>
      <c r="D1170" s="1">
        <v>27</v>
      </c>
      <c r="E1170" s="1">
        <v>22</v>
      </c>
      <c r="F1170" s="1">
        <v>29.6</v>
      </c>
      <c r="G1170" s="1">
        <v>0.439</v>
      </c>
      <c r="H1170" s="1">
        <v>40</v>
      </c>
      <c r="I1170" s="1">
        <v>0</v>
      </c>
      <c r="J1170" s="1" t="str">
        <f>IFERROR(VLOOKUP(K1170,[1]diabetes_Recognition!$A:$B,2,FALSE),"Not Sampled")</f>
        <v>Not Sampled</v>
      </c>
      <c r="K1170" s="1">
        <v>1168</v>
      </c>
      <c r="L1170" s="1" t="str">
        <f>LOOKUP(A1170,Sheet2!$D$4:$E$9)</f>
        <v>5-7</v>
      </c>
      <c r="M1170" t="str">
        <f>LOOKUP(B1170,Sheet2!$G$4:$H$9)</f>
        <v>126-150</v>
      </c>
      <c r="N1170" t="str">
        <f>LOOKUP(C1170,Sheet2!$J$4:$K$8)</f>
        <v>70-79</v>
      </c>
      <c r="O1170" t="str">
        <f>LOOKUP(D1170,Sheet2!$M$4:$N$8)</f>
        <v>10-30</v>
      </c>
      <c r="P1170" t="str">
        <f>LOOKUP(E1170,Sheet2!$P$4:$Q$9)</f>
        <v>1-99</v>
      </c>
      <c r="Q1170" t="str">
        <f>LOOKUP(F1170,Sheet2!$S$4:$T$8)</f>
        <v>26-30</v>
      </c>
      <c r="R1170" t="str">
        <f>LOOKUP(G1170,Sheet2!$V$4:$W$7)</f>
        <v>0.4 - 0.69</v>
      </c>
      <c r="S1170" t="str">
        <f>LOOKUP(H1170,Sheet2!$Z$4:$AA$7)</f>
        <v>36-45</v>
      </c>
      <c r="T1170" t="str">
        <f t="shared" si="54"/>
        <v>Negative</v>
      </c>
      <c r="U1170" t="str">
        <f t="shared" si="55"/>
        <v>Not Sampled</v>
      </c>
      <c r="V1170" s="1" t="str">
        <f t="shared" si="56"/>
        <v>Not Sampled</v>
      </c>
    </row>
    <row r="1171" spans="1:22" x14ac:dyDescent="0.25">
      <c r="A1171" s="1">
        <v>10</v>
      </c>
      <c r="B1171" s="1">
        <v>129</v>
      </c>
      <c r="C1171" s="1">
        <v>62</v>
      </c>
      <c r="D1171" s="1">
        <v>36</v>
      </c>
      <c r="E1171" s="1">
        <v>0</v>
      </c>
      <c r="F1171" s="1">
        <v>41.2</v>
      </c>
      <c r="G1171" s="1">
        <v>0.441</v>
      </c>
      <c r="H1171" s="1">
        <v>38</v>
      </c>
      <c r="I1171" s="1">
        <v>1</v>
      </c>
      <c r="J1171" s="1" t="str">
        <f>IFERROR(VLOOKUP(K1171,[1]diabetes_Recognition!$A:$B,2,FALSE),"Not Sampled")</f>
        <v>Not Sampled</v>
      </c>
      <c r="K1171" s="1">
        <v>1169</v>
      </c>
      <c r="L1171" s="1" t="str">
        <f>LOOKUP(A1171,Sheet2!$D$4:$E$9)</f>
        <v>8+</v>
      </c>
      <c r="M1171" t="str">
        <f>LOOKUP(B1171,Sheet2!$G$4:$H$9)</f>
        <v>126-150</v>
      </c>
      <c r="N1171" t="str">
        <f>LOOKUP(C1171,Sheet2!$J$4:$K$8)</f>
        <v>60-69</v>
      </c>
      <c r="O1171" t="str">
        <f>LOOKUP(D1171,Sheet2!$M$4:$N$8)</f>
        <v>30-39</v>
      </c>
      <c r="P1171" t="str">
        <f>LOOKUP(E1171,Sheet2!$P$4:$Q$9)</f>
        <v>Unknown</v>
      </c>
      <c r="Q1171" t="str">
        <f>LOOKUP(F1171,Sheet2!$S$4:$T$8)</f>
        <v>36+</v>
      </c>
      <c r="R1171" t="str">
        <f>LOOKUP(G1171,Sheet2!$V$4:$W$7)</f>
        <v>0.4 - 0.69</v>
      </c>
      <c r="S1171" t="str">
        <f>LOOKUP(H1171,Sheet2!$Z$4:$AA$7)</f>
        <v>36-45</v>
      </c>
      <c r="T1171" t="str">
        <f t="shared" si="54"/>
        <v>Positive</v>
      </c>
      <c r="U1171" t="str">
        <f t="shared" si="55"/>
        <v>Not Sampled</v>
      </c>
      <c r="V1171" s="1" t="str">
        <f t="shared" si="56"/>
        <v>Not Sampled</v>
      </c>
    </row>
    <row r="1172" spans="1:22" x14ac:dyDescent="0.25">
      <c r="A1172" s="1">
        <v>0</v>
      </c>
      <c r="B1172" s="1">
        <v>134</v>
      </c>
      <c r="C1172" s="1">
        <v>58</v>
      </c>
      <c r="D1172" s="1">
        <v>20</v>
      </c>
      <c r="E1172" s="1">
        <v>291</v>
      </c>
      <c r="F1172" s="1">
        <v>26.4</v>
      </c>
      <c r="G1172" s="1">
        <v>0.35199999999999998</v>
      </c>
      <c r="H1172" s="1">
        <v>21</v>
      </c>
      <c r="I1172" s="1">
        <v>0</v>
      </c>
      <c r="J1172" s="1" t="str">
        <f>IFERROR(VLOOKUP(K1172,[1]diabetes_Recognition!$A:$B,2,FALSE),"Not Sampled")</f>
        <v>Not Sampled</v>
      </c>
      <c r="K1172" s="1">
        <v>1170</v>
      </c>
      <c r="L1172" s="1">
        <f>LOOKUP(A1172,Sheet2!$D$4:$E$9)</f>
        <v>0</v>
      </c>
      <c r="M1172" t="str">
        <f>LOOKUP(B1172,Sheet2!$G$4:$H$9)</f>
        <v>126-150</v>
      </c>
      <c r="N1172" t="str">
        <f>LOOKUP(C1172,Sheet2!$J$4:$K$8)</f>
        <v>1-59</v>
      </c>
      <c r="O1172" t="str">
        <f>LOOKUP(D1172,Sheet2!$M$4:$N$8)</f>
        <v>10-30</v>
      </c>
      <c r="P1172" t="str">
        <f>LOOKUP(E1172,Sheet2!$P$4:$Q$9)</f>
        <v>200-399</v>
      </c>
      <c r="Q1172" t="str">
        <f>LOOKUP(F1172,Sheet2!$S$4:$T$8)</f>
        <v>26-30</v>
      </c>
      <c r="R1172" t="str">
        <f>LOOKUP(G1172,Sheet2!$V$4:$W$7)</f>
        <v>0.25 - 0.39</v>
      </c>
      <c r="S1172" t="str">
        <f>LOOKUP(H1172,Sheet2!$Z$4:$AA$7)</f>
        <v>&lt;=25</v>
      </c>
      <c r="T1172" t="str">
        <f t="shared" si="54"/>
        <v>Negative</v>
      </c>
      <c r="U1172" t="str">
        <f t="shared" si="55"/>
        <v>Not Sampled</v>
      </c>
      <c r="V1172" s="1" t="str">
        <f t="shared" si="56"/>
        <v>Not Sampled</v>
      </c>
    </row>
    <row r="1173" spans="1:22" x14ac:dyDescent="0.25">
      <c r="A1173" s="1">
        <v>3</v>
      </c>
      <c r="B1173" s="1">
        <v>102</v>
      </c>
      <c r="C1173" s="1">
        <v>74</v>
      </c>
      <c r="D1173" s="1">
        <v>0</v>
      </c>
      <c r="E1173" s="1">
        <v>0</v>
      </c>
      <c r="F1173" s="1">
        <v>29.5</v>
      </c>
      <c r="G1173" s="1">
        <v>0.121</v>
      </c>
      <c r="H1173" s="1">
        <v>32</v>
      </c>
      <c r="I1173" s="1">
        <v>0</v>
      </c>
      <c r="J1173" s="1" t="str">
        <f>IFERROR(VLOOKUP(K1173,[1]diabetes_Recognition!$A:$B,2,FALSE),"Not Sampled")</f>
        <v>Not Sampled</v>
      </c>
      <c r="K1173" s="1">
        <v>1171</v>
      </c>
      <c r="L1173" s="1" t="str">
        <f>LOOKUP(A1173,Sheet2!$D$4:$E$9)</f>
        <v>3-4</v>
      </c>
      <c r="M1173" t="str">
        <f>LOOKUP(B1173,Sheet2!$G$4:$H$9)</f>
        <v>100-125</v>
      </c>
      <c r="N1173" t="str">
        <f>LOOKUP(C1173,Sheet2!$J$4:$K$8)</f>
        <v>70-79</v>
      </c>
      <c r="O1173" t="str">
        <f>LOOKUP(D1173,Sheet2!$M$4:$N$8)</f>
        <v>Unknown</v>
      </c>
      <c r="P1173" t="str">
        <f>LOOKUP(E1173,Sheet2!$P$4:$Q$9)</f>
        <v>Unknown</v>
      </c>
      <c r="Q1173" t="str">
        <f>LOOKUP(F1173,Sheet2!$S$4:$T$8)</f>
        <v>26-30</v>
      </c>
      <c r="R1173" t="str">
        <f>LOOKUP(G1173,Sheet2!$V$4:$W$7)</f>
        <v>0.0 - 0.249</v>
      </c>
      <c r="S1173" t="str">
        <f>LOOKUP(H1173,Sheet2!$Z$4:$AA$7)</f>
        <v>26-35</v>
      </c>
      <c r="T1173" t="str">
        <f t="shared" si="54"/>
        <v>Negative</v>
      </c>
      <c r="U1173" t="str">
        <f t="shared" si="55"/>
        <v>Not Sampled</v>
      </c>
      <c r="V1173" s="1" t="str">
        <f t="shared" si="56"/>
        <v>Not Sampled</v>
      </c>
    </row>
    <row r="1174" spans="1:22" x14ac:dyDescent="0.25">
      <c r="A1174" s="1">
        <v>7</v>
      </c>
      <c r="B1174" s="1">
        <v>187</v>
      </c>
      <c r="C1174" s="1">
        <v>50</v>
      </c>
      <c r="D1174" s="1">
        <v>33</v>
      </c>
      <c r="E1174" s="1">
        <v>392</v>
      </c>
      <c r="F1174" s="1">
        <v>33.9</v>
      </c>
      <c r="G1174" s="1">
        <v>0.82599999999999996</v>
      </c>
      <c r="H1174" s="1">
        <v>34</v>
      </c>
      <c r="I1174" s="1">
        <v>1</v>
      </c>
      <c r="J1174" s="1">
        <f>IFERROR(VLOOKUP(K1174,[1]diabetes_Recognition!$A:$B,2,FALSE),"Not Sampled")</f>
        <v>1</v>
      </c>
      <c r="K1174" s="1">
        <v>1172</v>
      </c>
      <c r="L1174" s="1" t="str">
        <f>LOOKUP(A1174,Sheet2!$D$4:$E$9)</f>
        <v>5-7</v>
      </c>
      <c r="M1174" t="str">
        <f>LOOKUP(B1174,Sheet2!$G$4:$H$9)</f>
        <v>176-200</v>
      </c>
      <c r="N1174" t="str">
        <f>LOOKUP(C1174,Sheet2!$J$4:$K$8)</f>
        <v>1-59</v>
      </c>
      <c r="O1174" t="str">
        <f>LOOKUP(D1174,Sheet2!$M$4:$N$8)</f>
        <v>30-39</v>
      </c>
      <c r="P1174" t="str">
        <f>LOOKUP(E1174,Sheet2!$P$4:$Q$9)</f>
        <v>300-499</v>
      </c>
      <c r="Q1174" t="str">
        <f>LOOKUP(F1174,Sheet2!$S$4:$T$8)</f>
        <v>31-35</v>
      </c>
      <c r="R1174" t="str">
        <f>LOOKUP(G1174,Sheet2!$V$4:$W$7)</f>
        <v>0.7+</v>
      </c>
      <c r="S1174" t="str">
        <f>LOOKUP(H1174,Sheet2!$Z$4:$AA$7)</f>
        <v>26-35</v>
      </c>
      <c r="T1174" t="str">
        <f t="shared" si="54"/>
        <v>Positive</v>
      </c>
      <c r="U1174" t="str">
        <f t="shared" si="55"/>
        <v>Positive</v>
      </c>
      <c r="V1174" s="1" t="str">
        <f t="shared" si="56"/>
        <v>Accurate Prediction</v>
      </c>
    </row>
    <row r="1175" spans="1:22" x14ac:dyDescent="0.25">
      <c r="A1175" s="1">
        <v>3</v>
      </c>
      <c r="B1175" s="1">
        <v>173</v>
      </c>
      <c r="C1175" s="1">
        <v>78</v>
      </c>
      <c r="D1175" s="1">
        <v>39</v>
      </c>
      <c r="E1175" s="1">
        <v>185</v>
      </c>
      <c r="F1175" s="1">
        <v>33.799999999999997</v>
      </c>
      <c r="G1175" s="1">
        <v>0.97</v>
      </c>
      <c r="H1175" s="1">
        <v>31</v>
      </c>
      <c r="I1175" s="1">
        <v>1</v>
      </c>
      <c r="J1175" s="1" t="str">
        <f>IFERROR(VLOOKUP(K1175,[1]diabetes_Recognition!$A:$B,2,FALSE),"Not Sampled")</f>
        <v>Not Sampled</v>
      </c>
      <c r="K1175" s="1">
        <v>1173</v>
      </c>
      <c r="L1175" s="1" t="str">
        <f>LOOKUP(A1175,Sheet2!$D$4:$E$9)</f>
        <v>3-4</v>
      </c>
      <c r="M1175" t="str">
        <f>LOOKUP(B1175,Sheet2!$G$4:$H$9)</f>
        <v>151-175</v>
      </c>
      <c r="N1175" t="str">
        <f>LOOKUP(C1175,Sheet2!$J$4:$K$8)</f>
        <v>70-79</v>
      </c>
      <c r="O1175" t="str">
        <f>LOOKUP(D1175,Sheet2!$M$4:$N$8)</f>
        <v>30-39</v>
      </c>
      <c r="P1175" t="str">
        <f>LOOKUP(E1175,Sheet2!$P$4:$Q$9)</f>
        <v>100-199</v>
      </c>
      <c r="Q1175" t="str">
        <f>LOOKUP(F1175,Sheet2!$S$4:$T$8)</f>
        <v>31-35</v>
      </c>
      <c r="R1175" t="str">
        <f>LOOKUP(G1175,Sheet2!$V$4:$W$7)</f>
        <v>0.7+</v>
      </c>
      <c r="S1175" t="str">
        <f>LOOKUP(H1175,Sheet2!$Z$4:$AA$7)</f>
        <v>26-35</v>
      </c>
      <c r="T1175" t="str">
        <f t="shared" si="54"/>
        <v>Positive</v>
      </c>
      <c r="U1175" t="str">
        <f t="shared" si="55"/>
        <v>Not Sampled</v>
      </c>
      <c r="V1175" s="1" t="str">
        <f t="shared" si="56"/>
        <v>Not Sampled</v>
      </c>
    </row>
    <row r="1176" spans="1:22" x14ac:dyDescent="0.25">
      <c r="A1176" s="1">
        <v>10</v>
      </c>
      <c r="B1176" s="1">
        <v>94</v>
      </c>
      <c r="C1176" s="1">
        <v>72</v>
      </c>
      <c r="D1176" s="1">
        <v>18</v>
      </c>
      <c r="E1176" s="1">
        <v>0</v>
      </c>
      <c r="F1176" s="1">
        <v>23.1</v>
      </c>
      <c r="G1176" s="1">
        <v>0.59499999999999997</v>
      </c>
      <c r="H1176" s="1">
        <v>56</v>
      </c>
      <c r="I1176" s="1">
        <v>0</v>
      </c>
      <c r="J1176" s="1" t="str">
        <f>IFERROR(VLOOKUP(K1176,[1]diabetes_Recognition!$A:$B,2,FALSE),"Not Sampled")</f>
        <v>Not Sampled</v>
      </c>
      <c r="K1176" s="1">
        <v>1174</v>
      </c>
      <c r="L1176" s="1" t="str">
        <f>LOOKUP(A1176,Sheet2!$D$4:$E$9)</f>
        <v>8+</v>
      </c>
      <c r="M1176" t="str">
        <f>LOOKUP(B1176,Sheet2!$G$4:$H$9)</f>
        <v>1-99</v>
      </c>
      <c r="N1176" t="str">
        <f>LOOKUP(C1176,Sheet2!$J$4:$K$8)</f>
        <v>70-79</v>
      </c>
      <c r="O1176" t="str">
        <f>LOOKUP(D1176,Sheet2!$M$4:$N$8)</f>
        <v>10-30</v>
      </c>
      <c r="P1176" t="str">
        <f>LOOKUP(E1176,Sheet2!$P$4:$Q$9)</f>
        <v>Unknown</v>
      </c>
      <c r="Q1176" t="str">
        <f>LOOKUP(F1176,Sheet2!$S$4:$T$8)</f>
        <v>1-25</v>
      </c>
      <c r="R1176" t="str">
        <f>LOOKUP(G1176,Sheet2!$V$4:$W$7)</f>
        <v>0.4 - 0.69</v>
      </c>
      <c r="S1176" t="str">
        <f>LOOKUP(H1176,Sheet2!$Z$4:$AA$7)</f>
        <v>46+</v>
      </c>
      <c r="T1176" t="str">
        <f t="shared" si="54"/>
        <v>Negative</v>
      </c>
      <c r="U1176" t="str">
        <f t="shared" si="55"/>
        <v>Not Sampled</v>
      </c>
      <c r="V1176" s="1" t="str">
        <f t="shared" si="56"/>
        <v>Not Sampled</v>
      </c>
    </row>
    <row r="1177" spans="1:22" x14ac:dyDescent="0.25">
      <c r="A1177" s="1">
        <v>1</v>
      </c>
      <c r="B1177" s="1">
        <v>108</v>
      </c>
      <c r="C1177" s="1">
        <v>60</v>
      </c>
      <c r="D1177" s="1">
        <v>46</v>
      </c>
      <c r="E1177" s="1">
        <v>178</v>
      </c>
      <c r="F1177" s="1">
        <v>35.5</v>
      </c>
      <c r="G1177" s="1">
        <v>0.41499999999999998</v>
      </c>
      <c r="H1177" s="1">
        <v>24</v>
      </c>
      <c r="I1177" s="1">
        <v>0</v>
      </c>
      <c r="J1177" s="1" t="str">
        <f>IFERROR(VLOOKUP(K1177,[1]diabetes_Recognition!$A:$B,2,FALSE),"Not Sampled")</f>
        <v>Not Sampled</v>
      </c>
      <c r="K1177" s="1">
        <v>1175</v>
      </c>
      <c r="L1177" s="1">
        <f>LOOKUP(A1177,Sheet2!$D$4:$E$9)</f>
        <v>1</v>
      </c>
      <c r="M1177" t="str">
        <f>LOOKUP(B1177,Sheet2!$G$4:$H$9)</f>
        <v>100-125</v>
      </c>
      <c r="N1177" t="str">
        <f>LOOKUP(C1177,Sheet2!$J$4:$K$8)</f>
        <v>60-69</v>
      </c>
      <c r="O1177" t="str">
        <f>LOOKUP(D1177,Sheet2!$M$4:$N$8)</f>
        <v>40+</v>
      </c>
      <c r="P1177" t="str">
        <f>LOOKUP(E1177,Sheet2!$P$4:$Q$9)</f>
        <v>100-199</v>
      </c>
      <c r="Q1177" t="str">
        <f>LOOKUP(F1177,Sheet2!$S$4:$T$8)</f>
        <v>31-35</v>
      </c>
      <c r="R1177" t="str">
        <f>LOOKUP(G1177,Sheet2!$V$4:$W$7)</f>
        <v>0.4 - 0.69</v>
      </c>
      <c r="S1177" t="str">
        <f>LOOKUP(H1177,Sheet2!$Z$4:$AA$7)</f>
        <v>&lt;=25</v>
      </c>
      <c r="T1177" t="str">
        <f t="shared" si="54"/>
        <v>Negative</v>
      </c>
      <c r="U1177" t="str">
        <f t="shared" si="55"/>
        <v>Not Sampled</v>
      </c>
      <c r="V1177" s="1" t="str">
        <f t="shared" si="56"/>
        <v>Not Sampled</v>
      </c>
    </row>
    <row r="1178" spans="1:22" x14ac:dyDescent="0.25">
      <c r="A1178" s="1">
        <v>5</v>
      </c>
      <c r="B1178" s="1">
        <v>97</v>
      </c>
      <c r="C1178" s="1">
        <v>76</v>
      </c>
      <c r="D1178" s="1">
        <v>27</v>
      </c>
      <c r="E1178" s="1">
        <v>0</v>
      </c>
      <c r="F1178" s="1">
        <v>35.6</v>
      </c>
      <c r="G1178" s="1">
        <v>0.378</v>
      </c>
      <c r="H1178" s="1">
        <v>52</v>
      </c>
      <c r="I1178" s="1">
        <v>1</v>
      </c>
      <c r="J1178" s="1" t="str">
        <f>IFERROR(VLOOKUP(K1178,[1]diabetes_Recognition!$A:$B,2,FALSE),"Not Sampled")</f>
        <v>Not Sampled</v>
      </c>
      <c r="K1178" s="1">
        <v>1176</v>
      </c>
      <c r="L1178" s="1" t="str">
        <f>LOOKUP(A1178,Sheet2!$D$4:$E$9)</f>
        <v>5-7</v>
      </c>
      <c r="M1178" t="str">
        <f>LOOKUP(B1178,Sheet2!$G$4:$H$9)</f>
        <v>1-99</v>
      </c>
      <c r="N1178" t="str">
        <f>LOOKUP(C1178,Sheet2!$J$4:$K$8)</f>
        <v>70-79</v>
      </c>
      <c r="O1178" t="str">
        <f>LOOKUP(D1178,Sheet2!$M$4:$N$8)</f>
        <v>10-30</v>
      </c>
      <c r="P1178" t="str">
        <f>LOOKUP(E1178,Sheet2!$P$4:$Q$9)</f>
        <v>Unknown</v>
      </c>
      <c r="Q1178" t="str">
        <f>LOOKUP(F1178,Sheet2!$S$4:$T$8)</f>
        <v>31-35</v>
      </c>
      <c r="R1178" t="str">
        <f>LOOKUP(G1178,Sheet2!$V$4:$W$7)</f>
        <v>0.25 - 0.39</v>
      </c>
      <c r="S1178" t="str">
        <f>LOOKUP(H1178,Sheet2!$Z$4:$AA$7)</f>
        <v>46+</v>
      </c>
      <c r="T1178" t="str">
        <f t="shared" si="54"/>
        <v>Positive</v>
      </c>
      <c r="U1178" t="str">
        <f t="shared" si="55"/>
        <v>Not Sampled</v>
      </c>
      <c r="V1178" s="1" t="str">
        <f t="shared" si="56"/>
        <v>Not Sampled</v>
      </c>
    </row>
    <row r="1179" spans="1:22" x14ac:dyDescent="0.25">
      <c r="A1179" s="1">
        <v>4</v>
      </c>
      <c r="B1179" s="1">
        <v>83</v>
      </c>
      <c r="C1179" s="1">
        <v>86</v>
      </c>
      <c r="D1179" s="1">
        <v>19</v>
      </c>
      <c r="E1179" s="1">
        <v>0</v>
      </c>
      <c r="F1179" s="1">
        <v>29.3</v>
      </c>
      <c r="G1179" s="1">
        <v>0.317</v>
      </c>
      <c r="H1179" s="1">
        <v>34</v>
      </c>
      <c r="I1179" s="1">
        <v>0</v>
      </c>
      <c r="J1179" s="1" t="str">
        <f>IFERROR(VLOOKUP(K1179,[1]diabetes_Recognition!$A:$B,2,FALSE),"Not Sampled")</f>
        <v>Not Sampled</v>
      </c>
      <c r="K1179" s="1">
        <v>1177</v>
      </c>
      <c r="L1179" s="1" t="str">
        <f>LOOKUP(A1179,Sheet2!$D$4:$E$9)</f>
        <v>3-4</v>
      </c>
      <c r="M1179" t="str">
        <f>LOOKUP(B1179,Sheet2!$G$4:$H$9)</f>
        <v>1-99</v>
      </c>
      <c r="N1179" t="str">
        <f>LOOKUP(C1179,Sheet2!$J$4:$K$8)</f>
        <v>80+</v>
      </c>
      <c r="O1179" t="str">
        <f>LOOKUP(D1179,Sheet2!$M$4:$N$8)</f>
        <v>10-30</v>
      </c>
      <c r="P1179" t="str">
        <f>LOOKUP(E1179,Sheet2!$P$4:$Q$9)</f>
        <v>Unknown</v>
      </c>
      <c r="Q1179" t="str">
        <f>LOOKUP(F1179,Sheet2!$S$4:$T$8)</f>
        <v>26-30</v>
      </c>
      <c r="R1179" t="str">
        <f>LOOKUP(G1179,Sheet2!$V$4:$W$7)</f>
        <v>0.25 - 0.39</v>
      </c>
      <c r="S1179" t="str">
        <f>LOOKUP(H1179,Sheet2!$Z$4:$AA$7)</f>
        <v>26-35</v>
      </c>
      <c r="T1179" t="str">
        <f t="shared" si="54"/>
        <v>Negative</v>
      </c>
      <c r="U1179" t="str">
        <f t="shared" si="55"/>
        <v>Not Sampled</v>
      </c>
      <c r="V1179" s="1" t="str">
        <f t="shared" si="56"/>
        <v>Not Sampled</v>
      </c>
    </row>
    <row r="1180" spans="1:22" x14ac:dyDescent="0.25">
      <c r="A1180" s="1">
        <v>1</v>
      </c>
      <c r="B1180" s="1">
        <v>114</v>
      </c>
      <c r="C1180" s="1">
        <v>66</v>
      </c>
      <c r="D1180" s="1">
        <v>36</v>
      </c>
      <c r="E1180" s="1">
        <v>200</v>
      </c>
      <c r="F1180" s="1">
        <v>38.1</v>
      </c>
      <c r="G1180" s="1">
        <v>0.28899999999999998</v>
      </c>
      <c r="H1180" s="1">
        <v>21</v>
      </c>
      <c r="I1180" s="1">
        <v>0</v>
      </c>
      <c r="J1180" s="1">
        <f>IFERROR(VLOOKUP(K1180,[1]diabetes_Recognition!$A:$B,2,FALSE),"Not Sampled")</f>
        <v>0</v>
      </c>
      <c r="K1180" s="1">
        <v>1178</v>
      </c>
      <c r="L1180" s="1">
        <f>LOOKUP(A1180,Sheet2!$D$4:$E$9)</f>
        <v>1</v>
      </c>
      <c r="M1180" t="str">
        <f>LOOKUP(B1180,Sheet2!$G$4:$H$9)</f>
        <v>100-125</v>
      </c>
      <c r="N1180" t="str">
        <f>LOOKUP(C1180,Sheet2!$J$4:$K$8)</f>
        <v>60-69</v>
      </c>
      <c r="O1180" t="str">
        <f>LOOKUP(D1180,Sheet2!$M$4:$N$8)</f>
        <v>30-39</v>
      </c>
      <c r="P1180" t="str">
        <f>LOOKUP(E1180,Sheet2!$P$4:$Q$9)</f>
        <v>200-399</v>
      </c>
      <c r="Q1180" t="str">
        <f>LOOKUP(F1180,Sheet2!$S$4:$T$8)</f>
        <v>36+</v>
      </c>
      <c r="R1180" t="str">
        <f>LOOKUP(G1180,Sheet2!$V$4:$W$7)</f>
        <v>0.25 - 0.39</v>
      </c>
      <c r="S1180" t="str">
        <f>LOOKUP(H1180,Sheet2!$Z$4:$AA$7)</f>
        <v>&lt;=25</v>
      </c>
      <c r="T1180" t="str">
        <f t="shared" si="54"/>
        <v>Negative</v>
      </c>
      <c r="U1180" t="str">
        <f t="shared" si="55"/>
        <v>Negative</v>
      </c>
      <c r="V1180" s="1" t="str">
        <f t="shared" si="56"/>
        <v>Accurate Prediction</v>
      </c>
    </row>
    <row r="1181" spans="1:22" x14ac:dyDescent="0.25">
      <c r="A1181" s="1">
        <v>1</v>
      </c>
      <c r="B1181" s="1">
        <v>149</v>
      </c>
      <c r="C1181" s="1">
        <v>68</v>
      </c>
      <c r="D1181" s="1">
        <v>29</v>
      </c>
      <c r="E1181" s="1">
        <v>127</v>
      </c>
      <c r="F1181" s="1">
        <v>29.3</v>
      </c>
      <c r="G1181" s="1">
        <v>0.34899999999999998</v>
      </c>
      <c r="H1181" s="1">
        <v>42</v>
      </c>
      <c r="I1181" s="1">
        <v>1</v>
      </c>
      <c r="J1181" s="1" t="str">
        <f>IFERROR(VLOOKUP(K1181,[1]diabetes_Recognition!$A:$B,2,FALSE),"Not Sampled")</f>
        <v>Not Sampled</v>
      </c>
      <c r="K1181" s="1">
        <v>1179</v>
      </c>
      <c r="L1181" s="1">
        <f>LOOKUP(A1181,Sheet2!$D$4:$E$9)</f>
        <v>1</v>
      </c>
      <c r="M1181" t="str">
        <f>LOOKUP(B1181,Sheet2!$G$4:$H$9)</f>
        <v>126-150</v>
      </c>
      <c r="N1181" t="str">
        <f>LOOKUP(C1181,Sheet2!$J$4:$K$8)</f>
        <v>60-69</v>
      </c>
      <c r="O1181" t="str">
        <f>LOOKUP(D1181,Sheet2!$M$4:$N$8)</f>
        <v>10-30</v>
      </c>
      <c r="P1181" t="str">
        <f>LOOKUP(E1181,Sheet2!$P$4:$Q$9)</f>
        <v>100-199</v>
      </c>
      <c r="Q1181" t="str">
        <f>LOOKUP(F1181,Sheet2!$S$4:$T$8)</f>
        <v>26-30</v>
      </c>
      <c r="R1181" t="str">
        <f>LOOKUP(G1181,Sheet2!$V$4:$W$7)</f>
        <v>0.25 - 0.39</v>
      </c>
      <c r="S1181" t="str">
        <f>LOOKUP(H1181,Sheet2!$Z$4:$AA$7)</f>
        <v>36-45</v>
      </c>
      <c r="T1181" t="str">
        <f t="shared" si="54"/>
        <v>Positive</v>
      </c>
      <c r="U1181" t="str">
        <f t="shared" si="55"/>
        <v>Not Sampled</v>
      </c>
      <c r="V1181" s="1" t="str">
        <f t="shared" si="56"/>
        <v>Not Sampled</v>
      </c>
    </row>
    <row r="1182" spans="1:22" x14ac:dyDescent="0.25">
      <c r="A1182" s="1">
        <v>5</v>
      </c>
      <c r="B1182" s="1">
        <v>117</v>
      </c>
      <c r="C1182" s="1">
        <v>86</v>
      </c>
      <c r="D1182" s="1">
        <v>30</v>
      </c>
      <c r="E1182" s="1">
        <v>105</v>
      </c>
      <c r="F1182" s="1">
        <v>39.1</v>
      </c>
      <c r="G1182" s="1">
        <v>0.251</v>
      </c>
      <c r="H1182" s="1">
        <v>42</v>
      </c>
      <c r="I1182" s="1">
        <v>0</v>
      </c>
      <c r="J1182" s="1" t="str">
        <f>IFERROR(VLOOKUP(K1182,[1]diabetes_Recognition!$A:$B,2,FALSE),"Not Sampled")</f>
        <v>Not Sampled</v>
      </c>
      <c r="K1182" s="1">
        <v>1180</v>
      </c>
      <c r="L1182" s="1" t="str">
        <f>LOOKUP(A1182,Sheet2!$D$4:$E$9)</f>
        <v>5-7</v>
      </c>
      <c r="M1182" t="str">
        <f>LOOKUP(B1182,Sheet2!$G$4:$H$9)</f>
        <v>100-125</v>
      </c>
      <c r="N1182" t="str">
        <f>LOOKUP(C1182,Sheet2!$J$4:$K$8)</f>
        <v>80+</v>
      </c>
      <c r="O1182" t="str">
        <f>LOOKUP(D1182,Sheet2!$M$4:$N$8)</f>
        <v>30-39</v>
      </c>
      <c r="P1182" t="str">
        <f>LOOKUP(E1182,Sheet2!$P$4:$Q$9)</f>
        <v>100-199</v>
      </c>
      <c r="Q1182" t="str">
        <f>LOOKUP(F1182,Sheet2!$S$4:$T$8)</f>
        <v>36+</v>
      </c>
      <c r="R1182" t="str">
        <f>LOOKUP(G1182,Sheet2!$V$4:$W$7)</f>
        <v>0.25 - 0.39</v>
      </c>
      <c r="S1182" t="str">
        <f>LOOKUP(H1182,Sheet2!$Z$4:$AA$7)</f>
        <v>36-45</v>
      </c>
      <c r="T1182" t="str">
        <f t="shared" si="54"/>
        <v>Negative</v>
      </c>
      <c r="U1182" t="str">
        <f t="shared" si="55"/>
        <v>Not Sampled</v>
      </c>
      <c r="V1182" s="1" t="str">
        <f t="shared" si="56"/>
        <v>Not Sampled</v>
      </c>
    </row>
    <row r="1183" spans="1:22" x14ac:dyDescent="0.25">
      <c r="A1183" s="1">
        <v>1</v>
      </c>
      <c r="B1183" s="1">
        <v>111</v>
      </c>
      <c r="C1183" s="1">
        <v>94</v>
      </c>
      <c r="D1183" s="1">
        <v>0</v>
      </c>
      <c r="E1183" s="1">
        <v>0</v>
      </c>
      <c r="F1183" s="1">
        <v>32.799999999999997</v>
      </c>
      <c r="G1183" s="1">
        <v>0.26500000000000001</v>
      </c>
      <c r="H1183" s="1">
        <v>45</v>
      </c>
      <c r="I1183" s="1">
        <v>0</v>
      </c>
      <c r="J1183" s="1" t="str">
        <f>IFERROR(VLOOKUP(K1183,[1]diabetes_Recognition!$A:$B,2,FALSE),"Not Sampled")</f>
        <v>Not Sampled</v>
      </c>
      <c r="K1183" s="1">
        <v>1181</v>
      </c>
      <c r="L1183" s="1">
        <f>LOOKUP(A1183,Sheet2!$D$4:$E$9)</f>
        <v>1</v>
      </c>
      <c r="M1183" t="str">
        <f>LOOKUP(B1183,Sheet2!$G$4:$H$9)</f>
        <v>100-125</v>
      </c>
      <c r="N1183" t="str">
        <f>LOOKUP(C1183,Sheet2!$J$4:$K$8)</f>
        <v>80+</v>
      </c>
      <c r="O1183" t="str">
        <f>LOOKUP(D1183,Sheet2!$M$4:$N$8)</f>
        <v>Unknown</v>
      </c>
      <c r="P1183" t="str">
        <f>LOOKUP(E1183,Sheet2!$P$4:$Q$9)</f>
        <v>Unknown</v>
      </c>
      <c r="Q1183" t="str">
        <f>LOOKUP(F1183,Sheet2!$S$4:$T$8)</f>
        <v>31-35</v>
      </c>
      <c r="R1183" t="str">
        <f>LOOKUP(G1183,Sheet2!$V$4:$W$7)</f>
        <v>0.25 - 0.39</v>
      </c>
      <c r="S1183" t="str">
        <f>LOOKUP(H1183,Sheet2!$Z$4:$AA$7)</f>
        <v>36-45</v>
      </c>
      <c r="T1183" t="str">
        <f t="shared" si="54"/>
        <v>Negative</v>
      </c>
      <c r="U1183" t="str">
        <f t="shared" si="55"/>
        <v>Not Sampled</v>
      </c>
      <c r="V1183" s="1" t="str">
        <f t="shared" si="56"/>
        <v>Not Sampled</v>
      </c>
    </row>
    <row r="1184" spans="1:22" x14ac:dyDescent="0.25">
      <c r="A1184" s="1">
        <v>4</v>
      </c>
      <c r="B1184" s="1">
        <v>112</v>
      </c>
      <c r="C1184" s="1">
        <v>78</v>
      </c>
      <c r="D1184" s="1">
        <v>40</v>
      </c>
      <c r="E1184" s="1">
        <v>0</v>
      </c>
      <c r="F1184" s="1">
        <v>39.4</v>
      </c>
      <c r="G1184" s="1">
        <v>0.23599999999999999</v>
      </c>
      <c r="H1184" s="1">
        <v>38</v>
      </c>
      <c r="I1184" s="1">
        <v>0</v>
      </c>
      <c r="J1184" s="1" t="str">
        <f>IFERROR(VLOOKUP(K1184,[1]diabetes_Recognition!$A:$B,2,FALSE),"Not Sampled")</f>
        <v>Not Sampled</v>
      </c>
      <c r="K1184" s="1">
        <v>1182</v>
      </c>
      <c r="L1184" s="1" t="str">
        <f>LOOKUP(A1184,Sheet2!$D$4:$E$9)</f>
        <v>3-4</v>
      </c>
      <c r="M1184" t="str">
        <f>LOOKUP(B1184,Sheet2!$G$4:$H$9)</f>
        <v>100-125</v>
      </c>
      <c r="N1184" t="str">
        <f>LOOKUP(C1184,Sheet2!$J$4:$K$8)</f>
        <v>70-79</v>
      </c>
      <c r="O1184" t="str">
        <f>LOOKUP(D1184,Sheet2!$M$4:$N$8)</f>
        <v>40+</v>
      </c>
      <c r="P1184" t="str">
        <f>LOOKUP(E1184,Sheet2!$P$4:$Q$9)</f>
        <v>Unknown</v>
      </c>
      <c r="Q1184" t="str">
        <f>LOOKUP(F1184,Sheet2!$S$4:$T$8)</f>
        <v>36+</v>
      </c>
      <c r="R1184" t="str">
        <f>LOOKUP(G1184,Sheet2!$V$4:$W$7)</f>
        <v>0.0 - 0.249</v>
      </c>
      <c r="S1184" t="str">
        <f>LOOKUP(H1184,Sheet2!$Z$4:$AA$7)</f>
        <v>36-45</v>
      </c>
      <c r="T1184" t="str">
        <f t="shared" si="54"/>
        <v>Negative</v>
      </c>
      <c r="U1184" t="str">
        <f t="shared" si="55"/>
        <v>Not Sampled</v>
      </c>
      <c r="V1184" s="1" t="str">
        <f t="shared" si="56"/>
        <v>Not Sampled</v>
      </c>
    </row>
    <row r="1185" spans="1:22" x14ac:dyDescent="0.25">
      <c r="A1185" s="1">
        <v>1</v>
      </c>
      <c r="B1185" s="1">
        <v>116</v>
      </c>
      <c r="C1185" s="1">
        <v>78</v>
      </c>
      <c r="D1185" s="1">
        <v>29</v>
      </c>
      <c r="E1185" s="1">
        <v>180</v>
      </c>
      <c r="F1185" s="1">
        <v>36.1</v>
      </c>
      <c r="G1185" s="1">
        <v>0.496</v>
      </c>
      <c r="H1185" s="1">
        <v>25</v>
      </c>
      <c r="I1185" s="1">
        <v>0</v>
      </c>
      <c r="J1185" s="1" t="str">
        <f>IFERROR(VLOOKUP(K1185,[1]diabetes_Recognition!$A:$B,2,FALSE),"Not Sampled")</f>
        <v>Not Sampled</v>
      </c>
      <c r="K1185" s="1">
        <v>1183</v>
      </c>
      <c r="L1185" s="1">
        <f>LOOKUP(A1185,Sheet2!$D$4:$E$9)</f>
        <v>1</v>
      </c>
      <c r="M1185" t="str">
        <f>LOOKUP(B1185,Sheet2!$G$4:$H$9)</f>
        <v>100-125</v>
      </c>
      <c r="N1185" t="str">
        <f>LOOKUP(C1185,Sheet2!$J$4:$K$8)</f>
        <v>70-79</v>
      </c>
      <c r="O1185" t="str">
        <f>LOOKUP(D1185,Sheet2!$M$4:$N$8)</f>
        <v>10-30</v>
      </c>
      <c r="P1185" t="str">
        <f>LOOKUP(E1185,Sheet2!$P$4:$Q$9)</f>
        <v>100-199</v>
      </c>
      <c r="Q1185" t="str">
        <f>LOOKUP(F1185,Sheet2!$S$4:$T$8)</f>
        <v>36+</v>
      </c>
      <c r="R1185" t="str">
        <f>LOOKUP(G1185,Sheet2!$V$4:$W$7)</f>
        <v>0.4 - 0.69</v>
      </c>
      <c r="S1185" t="str">
        <f>LOOKUP(H1185,Sheet2!$Z$4:$AA$7)</f>
        <v>&lt;=25</v>
      </c>
      <c r="T1185" t="str">
        <f t="shared" si="54"/>
        <v>Negative</v>
      </c>
      <c r="U1185" t="str">
        <f t="shared" si="55"/>
        <v>Not Sampled</v>
      </c>
      <c r="V1185" s="1" t="str">
        <f t="shared" si="56"/>
        <v>Not Sampled</v>
      </c>
    </row>
    <row r="1186" spans="1:22" x14ac:dyDescent="0.25">
      <c r="A1186" s="1">
        <v>0</v>
      </c>
      <c r="B1186" s="1">
        <v>141</v>
      </c>
      <c r="C1186" s="1">
        <v>84</v>
      </c>
      <c r="D1186" s="1">
        <v>26</v>
      </c>
      <c r="E1186" s="1">
        <v>0</v>
      </c>
      <c r="F1186" s="1">
        <v>32.4</v>
      </c>
      <c r="G1186" s="1">
        <v>0.433</v>
      </c>
      <c r="H1186" s="1">
        <v>22</v>
      </c>
      <c r="I1186" s="1">
        <v>0</v>
      </c>
      <c r="J1186" s="1">
        <f>IFERROR(VLOOKUP(K1186,[1]diabetes_Recognition!$A:$B,2,FALSE),"Not Sampled")</f>
        <v>0</v>
      </c>
      <c r="K1186" s="1">
        <v>1184</v>
      </c>
      <c r="L1186" s="1">
        <f>LOOKUP(A1186,Sheet2!$D$4:$E$9)</f>
        <v>0</v>
      </c>
      <c r="M1186" t="str">
        <f>LOOKUP(B1186,Sheet2!$G$4:$H$9)</f>
        <v>126-150</v>
      </c>
      <c r="N1186" t="str">
        <f>LOOKUP(C1186,Sheet2!$J$4:$K$8)</f>
        <v>80+</v>
      </c>
      <c r="O1186" t="str">
        <f>LOOKUP(D1186,Sheet2!$M$4:$N$8)</f>
        <v>10-30</v>
      </c>
      <c r="P1186" t="str">
        <f>LOOKUP(E1186,Sheet2!$P$4:$Q$9)</f>
        <v>Unknown</v>
      </c>
      <c r="Q1186" t="str">
        <f>LOOKUP(F1186,Sheet2!$S$4:$T$8)</f>
        <v>31-35</v>
      </c>
      <c r="R1186" t="str">
        <f>LOOKUP(G1186,Sheet2!$V$4:$W$7)</f>
        <v>0.4 - 0.69</v>
      </c>
      <c r="S1186" t="str">
        <f>LOOKUP(H1186,Sheet2!$Z$4:$AA$7)</f>
        <v>&lt;=25</v>
      </c>
      <c r="T1186" t="str">
        <f t="shared" si="54"/>
        <v>Negative</v>
      </c>
      <c r="U1186" t="str">
        <f t="shared" si="55"/>
        <v>Negative</v>
      </c>
      <c r="V1186" s="1" t="str">
        <f t="shared" si="56"/>
        <v>Accurate Prediction</v>
      </c>
    </row>
    <row r="1187" spans="1:22" x14ac:dyDescent="0.25">
      <c r="A1187" s="1">
        <v>2</v>
      </c>
      <c r="B1187" s="1">
        <v>175</v>
      </c>
      <c r="C1187" s="1">
        <v>88</v>
      </c>
      <c r="D1187" s="1">
        <v>0</v>
      </c>
      <c r="E1187" s="1">
        <v>0</v>
      </c>
      <c r="F1187" s="1">
        <v>22.9</v>
      </c>
      <c r="G1187" s="1">
        <v>0.32600000000000001</v>
      </c>
      <c r="H1187" s="1">
        <v>22</v>
      </c>
      <c r="I1187" s="1">
        <v>0</v>
      </c>
      <c r="J1187" s="1" t="str">
        <f>IFERROR(VLOOKUP(K1187,[1]diabetes_Recognition!$A:$B,2,FALSE),"Not Sampled")</f>
        <v>Not Sampled</v>
      </c>
      <c r="K1187" s="1">
        <v>1185</v>
      </c>
      <c r="L1187" s="1">
        <f>LOOKUP(A1187,Sheet2!$D$4:$E$9)</f>
        <v>2</v>
      </c>
      <c r="M1187" t="str">
        <f>LOOKUP(B1187,Sheet2!$G$4:$H$9)</f>
        <v>151-175</v>
      </c>
      <c r="N1187" t="str">
        <f>LOOKUP(C1187,Sheet2!$J$4:$K$8)</f>
        <v>80+</v>
      </c>
      <c r="O1187" t="str">
        <f>LOOKUP(D1187,Sheet2!$M$4:$N$8)</f>
        <v>Unknown</v>
      </c>
      <c r="P1187" t="str">
        <f>LOOKUP(E1187,Sheet2!$P$4:$Q$9)</f>
        <v>Unknown</v>
      </c>
      <c r="Q1187" t="str">
        <f>LOOKUP(F1187,Sheet2!$S$4:$T$8)</f>
        <v>1-25</v>
      </c>
      <c r="R1187" t="str">
        <f>LOOKUP(G1187,Sheet2!$V$4:$W$7)</f>
        <v>0.25 - 0.39</v>
      </c>
      <c r="S1187" t="str">
        <f>LOOKUP(H1187,Sheet2!$Z$4:$AA$7)</f>
        <v>&lt;=25</v>
      </c>
      <c r="T1187" t="str">
        <f t="shared" si="54"/>
        <v>Negative</v>
      </c>
      <c r="U1187" t="str">
        <f t="shared" si="55"/>
        <v>Not Sampled</v>
      </c>
      <c r="V1187" s="1" t="str">
        <f t="shared" si="56"/>
        <v>Not Sampled</v>
      </c>
    </row>
    <row r="1188" spans="1:22" x14ac:dyDescent="0.25">
      <c r="A1188" s="1">
        <v>2</v>
      </c>
      <c r="B1188" s="1">
        <v>92</v>
      </c>
      <c r="C1188" s="1">
        <v>52</v>
      </c>
      <c r="D1188" s="1">
        <v>0</v>
      </c>
      <c r="E1188" s="1">
        <v>0</v>
      </c>
      <c r="F1188" s="1">
        <v>30.1</v>
      </c>
      <c r="G1188" s="1">
        <v>0.14099999999999999</v>
      </c>
      <c r="H1188" s="1">
        <v>22</v>
      </c>
      <c r="I1188" s="1">
        <v>0</v>
      </c>
      <c r="J1188" s="1" t="str">
        <f>IFERROR(VLOOKUP(K1188,[1]diabetes_Recognition!$A:$B,2,FALSE),"Not Sampled")</f>
        <v>Not Sampled</v>
      </c>
      <c r="K1188" s="1">
        <v>1186</v>
      </c>
      <c r="L1188" s="1">
        <f>LOOKUP(A1188,Sheet2!$D$4:$E$9)</f>
        <v>2</v>
      </c>
      <c r="M1188" t="str">
        <f>LOOKUP(B1188,Sheet2!$G$4:$H$9)</f>
        <v>1-99</v>
      </c>
      <c r="N1188" t="str">
        <f>LOOKUP(C1188,Sheet2!$J$4:$K$8)</f>
        <v>1-59</v>
      </c>
      <c r="O1188" t="str">
        <f>LOOKUP(D1188,Sheet2!$M$4:$N$8)</f>
        <v>Unknown</v>
      </c>
      <c r="P1188" t="str">
        <f>LOOKUP(E1188,Sheet2!$P$4:$Q$9)</f>
        <v>Unknown</v>
      </c>
      <c r="Q1188" t="str">
        <f>LOOKUP(F1188,Sheet2!$S$4:$T$8)</f>
        <v>26-30</v>
      </c>
      <c r="R1188" t="str">
        <f>LOOKUP(G1188,Sheet2!$V$4:$W$7)</f>
        <v>0.0 - 0.249</v>
      </c>
      <c r="S1188" t="str">
        <f>LOOKUP(H1188,Sheet2!$Z$4:$AA$7)</f>
        <v>&lt;=25</v>
      </c>
      <c r="T1188" t="str">
        <f t="shared" si="54"/>
        <v>Negative</v>
      </c>
      <c r="U1188" t="str">
        <f t="shared" si="55"/>
        <v>Not Sampled</v>
      </c>
      <c r="V1188" s="1" t="str">
        <f t="shared" si="56"/>
        <v>Not Sampled</v>
      </c>
    </row>
    <row r="1189" spans="1:22" x14ac:dyDescent="0.25">
      <c r="A1189" s="1">
        <v>3</v>
      </c>
      <c r="B1189" s="1">
        <v>130</v>
      </c>
      <c r="C1189" s="1">
        <v>78</v>
      </c>
      <c r="D1189" s="1">
        <v>23</v>
      </c>
      <c r="E1189" s="1">
        <v>79</v>
      </c>
      <c r="F1189" s="1">
        <v>28.4</v>
      </c>
      <c r="G1189" s="1">
        <v>0.32300000000000001</v>
      </c>
      <c r="H1189" s="1">
        <v>34</v>
      </c>
      <c r="I1189" s="1">
        <v>1</v>
      </c>
      <c r="J1189" s="1" t="str">
        <f>IFERROR(VLOOKUP(K1189,[1]diabetes_Recognition!$A:$B,2,FALSE),"Not Sampled")</f>
        <v>Not Sampled</v>
      </c>
      <c r="K1189" s="1">
        <v>1187</v>
      </c>
      <c r="L1189" s="1" t="str">
        <f>LOOKUP(A1189,Sheet2!$D$4:$E$9)</f>
        <v>3-4</v>
      </c>
      <c r="M1189" t="str">
        <f>LOOKUP(B1189,Sheet2!$G$4:$H$9)</f>
        <v>126-150</v>
      </c>
      <c r="N1189" t="str">
        <f>LOOKUP(C1189,Sheet2!$J$4:$K$8)</f>
        <v>70-79</v>
      </c>
      <c r="O1189" t="str">
        <f>LOOKUP(D1189,Sheet2!$M$4:$N$8)</f>
        <v>10-30</v>
      </c>
      <c r="P1189" t="str">
        <f>LOOKUP(E1189,Sheet2!$P$4:$Q$9)</f>
        <v>1-99</v>
      </c>
      <c r="Q1189" t="str">
        <f>LOOKUP(F1189,Sheet2!$S$4:$T$8)</f>
        <v>26-30</v>
      </c>
      <c r="R1189" t="str">
        <f>LOOKUP(G1189,Sheet2!$V$4:$W$7)</f>
        <v>0.25 - 0.39</v>
      </c>
      <c r="S1189" t="str">
        <f>LOOKUP(H1189,Sheet2!$Z$4:$AA$7)</f>
        <v>26-35</v>
      </c>
      <c r="T1189" t="str">
        <f t="shared" si="54"/>
        <v>Positive</v>
      </c>
      <c r="U1189" t="str">
        <f t="shared" si="55"/>
        <v>Not Sampled</v>
      </c>
      <c r="V1189" s="1" t="str">
        <f t="shared" si="56"/>
        <v>Not Sampled</v>
      </c>
    </row>
    <row r="1190" spans="1:22" x14ac:dyDescent="0.25">
      <c r="A1190" s="1">
        <v>8</v>
      </c>
      <c r="B1190" s="1">
        <v>120</v>
      </c>
      <c r="C1190" s="1">
        <v>86</v>
      </c>
      <c r="D1190" s="1">
        <v>0</v>
      </c>
      <c r="E1190" s="1">
        <v>0</v>
      </c>
      <c r="F1190" s="1">
        <v>28.4</v>
      </c>
      <c r="G1190" s="1">
        <v>0.25900000000000001</v>
      </c>
      <c r="H1190" s="1">
        <v>22</v>
      </c>
      <c r="I1190" s="1">
        <v>1</v>
      </c>
      <c r="J1190" s="1" t="str">
        <f>IFERROR(VLOOKUP(K1190,[1]diabetes_Recognition!$A:$B,2,FALSE),"Not Sampled")</f>
        <v>Not Sampled</v>
      </c>
      <c r="K1190" s="1">
        <v>1188</v>
      </c>
      <c r="L1190" s="1" t="str">
        <f>LOOKUP(A1190,Sheet2!$D$4:$E$9)</f>
        <v>8+</v>
      </c>
      <c r="M1190" t="str">
        <f>LOOKUP(B1190,Sheet2!$G$4:$H$9)</f>
        <v>100-125</v>
      </c>
      <c r="N1190" t="str">
        <f>LOOKUP(C1190,Sheet2!$J$4:$K$8)</f>
        <v>80+</v>
      </c>
      <c r="O1190" t="str">
        <f>LOOKUP(D1190,Sheet2!$M$4:$N$8)</f>
        <v>Unknown</v>
      </c>
      <c r="P1190" t="str">
        <f>LOOKUP(E1190,Sheet2!$P$4:$Q$9)</f>
        <v>Unknown</v>
      </c>
      <c r="Q1190" t="str">
        <f>LOOKUP(F1190,Sheet2!$S$4:$T$8)</f>
        <v>26-30</v>
      </c>
      <c r="R1190" t="str">
        <f>LOOKUP(G1190,Sheet2!$V$4:$W$7)</f>
        <v>0.25 - 0.39</v>
      </c>
      <c r="S1190" t="str">
        <f>LOOKUP(H1190,Sheet2!$Z$4:$AA$7)</f>
        <v>&lt;=25</v>
      </c>
      <c r="T1190" t="str">
        <f t="shared" si="54"/>
        <v>Positive</v>
      </c>
      <c r="U1190" t="str">
        <f t="shared" si="55"/>
        <v>Not Sampled</v>
      </c>
      <c r="V1190" s="1" t="str">
        <f t="shared" si="56"/>
        <v>Not Sampled</v>
      </c>
    </row>
    <row r="1191" spans="1:22" x14ac:dyDescent="0.25">
      <c r="A1191" s="1">
        <v>2</v>
      </c>
      <c r="B1191" s="1">
        <v>174</v>
      </c>
      <c r="C1191" s="1">
        <v>88</v>
      </c>
      <c r="D1191" s="1">
        <v>37</v>
      </c>
      <c r="E1191" s="1">
        <v>120</v>
      </c>
      <c r="F1191" s="1">
        <v>44.5</v>
      </c>
      <c r="G1191" s="1">
        <v>0.64600000000000002</v>
      </c>
      <c r="H1191" s="1">
        <v>24</v>
      </c>
      <c r="I1191" s="1">
        <v>1</v>
      </c>
      <c r="J1191" s="1">
        <f>IFERROR(VLOOKUP(K1191,[1]diabetes_Recognition!$A:$B,2,FALSE),"Not Sampled")</f>
        <v>1</v>
      </c>
      <c r="K1191" s="1">
        <v>1189</v>
      </c>
      <c r="L1191" s="1">
        <f>LOOKUP(A1191,Sheet2!$D$4:$E$9)</f>
        <v>2</v>
      </c>
      <c r="M1191" t="str">
        <f>LOOKUP(B1191,Sheet2!$G$4:$H$9)</f>
        <v>151-175</v>
      </c>
      <c r="N1191" t="str">
        <f>LOOKUP(C1191,Sheet2!$J$4:$K$8)</f>
        <v>80+</v>
      </c>
      <c r="O1191" t="str">
        <f>LOOKUP(D1191,Sheet2!$M$4:$N$8)</f>
        <v>30-39</v>
      </c>
      <c r="P1191" t="str">
        <f>LOOKUP(E1191,Sheet2!$P$4:$Q$9)</f>
        <v>100-199</v>
      </c>
      <c r="Q1191" t="str">
        <f>LOOKUP(F1191,Sheet2!$S$4:$T$8)</f>
        <v>36+</v>
      </c>
      <c r="R1191" t="str">
        <f>LOOKUP(G1191,Sheet2!$V$4:$W$7)</f>
        <v>0.4 - 0.69</v>
      </c>
      <c r="S1191" t="str">
        <f>LOOKUP(H1191,Sheet2!$Z$4:$AA$7)</f>
        <v>&lt;=25</v>
      </c>
      <c r="T1191" t="str">
        <f t="shared" si="54"/>
        <v>Positive</v>
      </c>
      <c r="U1191" t="str">
        <f t="shared" si="55"/>
        <v>Positive</v>
      </c>
      <c r="V1191" s="1" t="str">
        <f t="shared" si="56"/>
        <v>Accurate Prediction</v>
      </c>
    </row>
    <row r="1192" spans="1:22" x14ac:dyDescent="0.25">
      <c r="A1192" s="1">
        <v>2</v>
      </c>
      <c r="B1192" s="1">
        <v>106</v>
      </c>
      <c r="C1192" s="1">
        <v>56</v>
      </c>
      <c r="D1192" s="1">
        <v>27</v>
      </c>
      <c r="E1192" s="1">
        <v>165</v>
      </c>
      <c r="F1192" s="1">
        <v>29</v>
      </c>
      <c r="G1192" s="1">
        <v>0.42599999999999999</v>
      </c>
      <c r="H1192" s="1">
        <v>22</v>
      </c>
      <c r="I1192" s="1">
        <v>0</v>
      </c>
      <c r="J1192" s="1" t="str">
        <f>IFERROR(VLOOKUP(K1192,[1]diabetes_Recognition!$A:$B,2,FALSE),"Not Sampled")</f>
        <v>Not Sampled</v>
      </c>
      <c r="K1192" s="1">
        <v>1190</v>
      </c>
      <c r="L1192" s="1">
        <f>LOOKUP(A1192,Sheet2!$D$4:$E$9)</f>
        <v>2</v>
      </c>
      <c r="M1192" t="str">
        <f>LOOKUP(B1192,Sheet2!$G$4:$H$9)</f>
        <v>100-125</v>
      </c>
      <c r="N1192" t="str">
        <f>LOOKUP(C1192,Sheet2!$J$4:$K$8)</f>
        <v>1-59</v>
      </c>
      <c r="O1192" t="str">
        <f>LOOKUP(D1192,Sheet2!$M$4:$N$8)</f>
        <v>10-30</v>
      </c>
      <c r="P1192" t="str">
        <f>LOOKUP(E1192,Sheet2!$P$4:$Q$9)</f>
        <v>100-199</v>
      </c>
      <c r="Q1192" t="str">
        <f>LOOKUP(F1192,Sheet2!$S$4:$T$8)</f>
        <v>26-30</v>
      </c>
      <c r="R1192" t="str">
        <f>LOOKUP(G1192,Sheet2!$V$4:$W$7)</f>
        <v>0.4 - 0.69</v>
      </c>
      <c r="S1192" t="str">
        <f>LOOKUP(H1192,Sheet2!$Z$4:$AA$7)</f>
        <v>&lt;=25</v>
      </c>
      <c r="T1192" t="str">
        <f t="shared" si="54"/>
        <v>Negative</v>
      </c>
      <c r="U1192" t="str">
        <f t="shared" si="55"/>
        <v>Not Sampled</v>
      </c>
      <c r="V1192" s="1" t="str">
        <f t="shared" si="56"/>
        <v>Not Sampled</v>
      </c>
    </row>
    <row r="1193" spans="1:22" x14ac:dyDescent="0.25">
      <c r="A1193" s="1">
        <v>2</v>
      </c>
      <c r="B1193" s="1">
        <v>105</v>
      </c>
      <c r="C1193" s="1">
        <v>75</v>
      </c>
      <c r="D1193" s="1">
        <v>0</v>
      </c>
      <c r="E1193" s="1">
        <v>0</v>
      </c>
      <c r="F1193" s="1">
        <v>23.3</v>
      </c>
      <c r="G1193" s="1">
        <v>0.56000000000000005</v>
      </c>
      <c r="H1193" s="1">
        <v>53</v>
      </c>
      <c r="I1193" s="1">
        <v>0</v>
      </c>
      <c r="J1193" s="1" t="str">
        <f>IFERROR(VLOOKUP(K1193,[1]diabetes_Recognition!$A:$B,2,FALSE),"Not Sampled")</f>
        <v>Not Sampled</v>
      </c>
      <c r="K1193" s="1">
        <v>1191</v>
      </c>
      <c r="L1193" s="1">
        <f>LOOKUP(A1193,Sheet2!$D$4:$E$9)</f>
        <v>2</v>
      </c>
      <c r="M1193" t="str">
        <f>LOOKUP(B1193,Sheet2!$G$4:$H$9)</f>
        <v>100-125</v>
      </c>
      <c r="N1193" t="str">
        <f>LOOKUP(C1193,Sheet2!$J$4:$K$8)</f>
        <v>70-79</v>
      </c>
      <c r="O1193" t="str">
        <f>LOOKUP(D1193,Sheet2!$M$4:$N$8)</f>
        <v>Unknown</v>
      </c>
      <c r="P1193" t="str">
        <f>LOOKUP(E1193,Sheet2!$P$4:$Q$9)</f>
        <v>Unknown</v>
      </c>
      <c r="Q1193" t="str">
        <f>LOOKUP(F1193,Sheet2!$S$4:$T$8)</f>
        <v>1-25</v>
      </c>
      <c r="R1193" t="str">
        <f>LOOKUP(G1193,Sheet2!$V$4:$W$7)</f>
        <v>0.4 - 0.69</v>
      </c>
      <c r="S1193" t="str">
        <f>LOOKUP(H1193,Sheet2!$Z$4:$AA$7)</f>
        <v>46+</v>
      </c>
      <c r="T1193" t="str">
        <f t="shared" si="54"/>
        <v>Negative</v>
      </c>
      <c r="U1193" t="str">
        <f t="shared" si="55"/>
        <v>Not Sampled</v>
      </c>
      <c r="V1193" s="1" t="str">
        <f t="shared" si="56"/>
        <v>Not Sampled</v>
      </c>
    </row>
    <row r="1194" spans="1:22" x14ac:dyDescent="0.25">
      <c r="A1194" s="1">
        <v>4</v>
      </c>
      <c r="B1194" s="1">
        <v>95</v>
      </c>
      <c r="C1194" s="1">
        <v>60</v>
      </c>
      <c r="D1194" s="1">
        <v>32</v>
      </c>
      <c r="E1194" s="1">
        <v>0</v>
      </c>
      <c r="F1194" s="1">
        <v>35.4</v>
      </c>
      <c r="G1194" s="1">
        <v>0.28399999999999997</v>
      </c>
      <c r="H1194" s="1">
        <v>28</v>
      </c>
      <c r="I1194" s="1">
        <v>0</v>
      </c>
      <c r="J1194" s="1" t="str">
        <f>IFERROR(VLOOKUP(K1194,[1]diabetes_Recognition!$A:$B,2,FALSE),"Not Sampled")</f>
        <v>Not Sampled</v>
      </c>
      <c r="K1194" s="1">
        <v>1192</v>
      </c>
      <c r="L1194" s="1" t="str">
        <f>LOOKUP(A1194,Sheet2!$D$4:$E$9)</f>
        <v>3-4</v>
      </c>
      <c r="M1194" t="str">
        <f>LOOKUP(B1194,Sheet2!$G$4:$H$9)</f>
        <v>1-99</v>
      </c>
      <c r="N1194" t="str">
        <f>LOOKUP(C1194,Sheet2!$J$4:$K$8)</f>
        <v>60-69</v>
      </c>
      <c r="O1194" t="str">
        <f>LOOKUP(D1194,Sheet2!$M$4:$N$8)</f>
        <v>30-39</v>
      </c>
      <c r="P1194" t="str">
        <f>LOOKUP(E1194,Sheet2!$P$4:$Q$9)</f>
        <v>Unknown</v>
      </c>
      <c r="Q1194" t="str">
        <f>LOOKUP(F1194,Sheet2!$S$4:$T$8)</f>
        <v>31-35</v>
      </c>
      <c r="R1194" t="str">
        <f>LOOKUP(G1194,Sheet2!$V$4:$W$7)</f>
        <v>0.25 - 0.39</v>
      </c>
      <c r="S1194" t="str">
        <f>LOOKUP(H1194,Sheet2!$Z$4:$AA$7)</f>
        <v>26-35</v>
      </c>
      <c r="T1194" t="str">
        <f t="shared" si="54"/>
        <v>Negative</v>
      </c>
      <c r="U1194" t="str">
        <f t="shared" si="55"/>
        <v>Not Sampled</v>
      </c>
      <c r="V1194" s="1" t="str">
        <f t="shared" si="56"/>
        <v>Not Sampled</v>
      </c>
    </row>
    <row r="1195" spans="1:22" x14ac:dyDescent="0.25">
      <c r="A1195" s="1">
        <v>0</v>
      </c>
      <c r="B1195" s="1">
        <v>126</v>
      </c>
      <c r="C1195" s="1">
        <v>86</v>
      </c>
      <c r="D1195" s="1">
        <v>27</v>
      </c>
      <c r="E1195" s="1">
        <v>120</v>
      </c>
      <c r="F1195" s="1">
        <v>27.4</v>
      </c>
      <c r="G1195" s="1">
        <v>0.51500000000000001</v>
      </c>
      <c r="H1195" s="1">
        <v>21</v>
      </c>
      <c r="I1195" s="1">
        <v>0</v>
      </c>
      <c r="J1195" s="1" t="str">
        <f>IFERROR(VLOOKUP(K1195,[1]diabetes_Recognition!$A:$B,2,FALSE),"Not Sampled")</f>
        <v>Not Sampled</v>
      </c>
      <c r="K1195" s="1">
        <v>1193</v>
      </c>
      <c r="L1195" s="1">
        <f>LOOKUP(A1195,Sheet2!$D$4:$E$9)</f>
        <v>0</v>
      </c>
      <c r="M1195" t="str">
        <f>LOOKUP(B1195,Sheet2!$G$4:$H$9)</f>
        <v>126-150</v>
      </c>
      <c r="N1195" t="str">
        <f>LOOKUP(C1195,Sheet2!$J$4:$K$8)</f>
        <v>80+</v>
      </c>
      <c r="O1195" t="str">
        <f>LOOKUP(D1195,Sheet2!$M$4:$N$8)</f>
        <v>10-30</v>
      </c>
      <c r="P1195" t="str">
        <f>LOOKUP(E1195,Sheet2!$P$4:$Q$9)</f>
        <v>100-199</v>
      </c>
      <c r="Q1195" t="str">
        <f>LOOKUP(F1195,Sheet2!$S$4:$T$8)</f>
        <v>26-30</v>
      </c>
      <c r="R1195" t="str">
        <f>LOOKUP(G1195,Sheet2!$V$4:$W$7)</f>
        <v>0.4 - 0.69</v>
      </c>
      <c r="S1195" t="str">
        <f>LOOKUP(H1195,Sheet2!$Z$4:$AA$7)</f>
        <v>&lt;=25</v>
      </c>
      <c r="T1195" t="str">
        <f t="shared" si="54"/>
        <v>Negative</v>
      </c>
      <c r="U1195" t="str">
        <f t="shared" si="55"/>
        <v>Not Sampled</v>
      </c>
      <c r="V1195" s="1" t="str">
        <f t="shared" si="56"/>
        <v>Not Sampled</v>
      </c>
    </row>
    <row r="1196" spans="1:22" x14ac:dyDescent="0.25">
      <c r="A1196" s="1">
        <v>8</v>
      </c>
      <c r="B1196" s="1">
        <v>65</v>
      </c>
      <c r="C1196" s="1">
        <v>72</v>
      </c>
      <c r="D1196" s="1">
        <v>23</v>
      </c>
      <c r="E1196" s="1">
        <v>0</v>
      </c>
      <c r="F1196" s="1">
        <v>32</v>
      </c>
      <c r="G1196" s="1">
        <v>0.6</v>
      </c>
      <c r="H1196" s="1">
        <v>42</v>
      </c>
      <c r="I1196" s="1">
        <v>0</v>
      </c>
      <c r="J1196" s="1" t="str">
        <f>IFERROR(VLOOKUP(K1196,[1]diabetes_Recognition!$A:$B,2,FALSE),"Not Sampled")</f>
        <v>Not Sampled</v>
      </c>
      <c r="K1196" s="1">
        <v>1194</v>
      </c>
      <c r="L1196" s="1" t="str">
        <f>LOOKUP(A1196,Sheet2!$D$4:$E$9)</f>
        <v>8+</v>
      </c>
      <c r="M1196" t="str">
        <f>LOOKUP(B1196,Sheet2!$G$4:$H$9)</f>
        <v>1-99</v>
      </c>
      <c r="N1196" t="str">
        <f>LOOKUP(C1196,Sheet2!$J$4:$K$8)</f>
        <v>70-79</v>
      </c>
      <c r="O1196" t="str">
        <f>LOOKUP(D1196,Sheet2!$M$4:$N$8)</f>
        <v>10-30</v>
      </c>
      <c r="P1196" t="str">
        <f>LOOKUP(E1196,Sheet2!$P$4:$Q$9)</f>
        <v>Unknown</v>
      </c>
      <c r="Q1196" t="str">
        <f>LOOKUP(F1196,Sheet2!$S$4:$T$8)</f>
        <v>31-35</v>
      </c>
      <c r="R1196" t="str">
        <f>LOOKUP(G1196,Sheet2!$V$4:$W$7)</f>
        <v>0.4 - 0.69</v>
      </c>
      <c r="S1196" t="str">
        <f>LOOKUP(H1196,Sheet2!$Z$4:$AA$7)</f>
        <v>36-45</v>
      </c>
      <c r="T1196" t="str">
        <f t="shared" si="54"/>
        <v>Negative</v>
      </c>
      <c r="U1196" t="str">
        <f t="shared" si="55"/>
        <v>Not Sampled</v>
      </c>
      <c r="V1196" s="1" t="str">
        <f t="shared" si="56"/>
        <v>Not Sampled</v>
      </c>
    </row>
    <row r="1197" spans="1:22" x14ac:dyDescent="0.25">
      <c r="A1197" s="1">
        <v>2</v>
      </c>
      <c r="B1197" s="1">
        <v>99</v>
      </c>
      <c r="C1197" s="1">
        <v>60</v>
      </c>
      <c r="D1197" s="1">
        <v>17</v>
      </c>
      <c r="E1197" s="1">
        <v>160</v>
      </c>
      <c r="F1197" s="1">
        <v>36.6</v>
      </c>
      <c r="G1197" s="1">
        <v>0.45300000000000001</v>
      </c>
      <c r="H1197" s="1">
        <v>21</v>
      </c>
      <c r="I1197" s="1">
        <v>0</v>
      </c>
      <c r="J1197" s="1" t="str">
        <f>IFERROR(VLOOKUP(K1197,[1]diabetes_Recognition!$A:$B,2,FALSE),"Not Sampled")</f>
        <v>Not Sampled</v>
      </c>
      <c r="K1197" s="1">
        <v>1195</v>
      </c>
      <c r="L1197" s="1">
        <f>LOOKUP(A1197,Sheet2!$D$4:$E$9)</f>
        <v>2</v>
      </c>
      <c r="M1197" t="str">
        <f>LOOKUP(B1197,Sheet2!$G$4:$H$9)</f>
        <v>1-99</v>
      </c>
      <c r="N1197" t="str">
        <f>LOOKUP(C1197,Sheet2!$J$4:$K$8)</f>
        <v>60-69</v>
      </c>
      <c r="O1197" t="str">
        <f>LOOKUP(D1197,Sheet2!$M$4:$N$8)</f>
        <v>10-30</v>
      </c>
      <c r="P1197" t="str">
        <f>LOOKUP(E1197,Sheet2!$P$4:$Q$9)</f>
        <v>100-199</v>
      </c>
      <c r="Q1197" t="str">
        <f>LOOKUP(F1197,Sheet2!$S$4:$T$8)</f>
        <v>36+</v>
      </c>
      <c r="R1197" t="str">
        <f>LOOKUP(G1197,Sheet2!$V$4:$W$7)</f>
        <v>0.4 - 0.69</v>
      </c>
      <c r="S1197" t="str">
        <f>LOOKUP(H1197,Sheet2!$Z$4:$AA$7)</f>
        <v>&lt;=25</v>
      </c>
      <c r="T1197" t="str">
        <f t="shared" si="54"/>
        <v>Negative</v>
      </c>
      <c r="U1197" t="str">
        <f t="shared" si="55"/>
        <v>Not Sampled</v>
      </c>
      <c r="V1197" s="1" t="str">
        <f t="shared" si="56"/>
        <v>Not Sampled</v>
      </c>
    </row>
    <row r="1198" spans="1:22" x14ac:dyDescent="0.25">
      <c r="A1198" s="1">
        <v>1</v>
      </c>
      <c r="B1198" s="1">
        <v>102</v>
      </c>
      <c r="C1198" s="1">
        <v>74</v>
      </c>
      <c r="D1198" s="1">
        <v>0</v>
      </c>
      <c r="E1198" s="1">
        <v>0</v>
      </c>
      <c r="F1198" s="1">
        <v>39.5</v>
      </c>
      <c r="G1198" s="1">
        <v>0.29299999999999998</v>
      </c>
      <c r="H1198" s="1">
        <v>42</v>
      </c>
      <c r="I1198" s="1">
        <v>1</v>
      </c>
      <c r="J1198" s="1" t="str">
        <f>IFERROR(VLOOKUP(K1198,[1]diabetes_Recognition!$A:$B,2,FALSE),"Not Sampled")</f>
        <v>Not Sampled</v>
      </c>
      <c r="K1198" s="1">
        <v>1196</v>
      </c>
      <c r="L1198" s="1">
        <f>LOOKUP(A1198,Sheet2!$D$4:$E$9)</f>
        <v>1</v>
      </c>
      <c r="M1198" t="str">
        <f>LOOKUP(B1198,Sheet2!$G$4:$H$9)</f>
        <v>100-125</v>
      </c>
      <c r="N1198" t="str">
        <f>LOOKUP(C1198,Sheet2!$J$4:$K$8)</f>
        <v>70-79</v>
      </c>
      <c r="O1198" t="str">
        <f>LOOKUP(D1198,Sheet2!$M$4:$N$8)</f>
        <v>Unknown</v>
      </c>
      <c r="P1198" t="str">
        <f>LOOKUP(E1198,Sheet2!$P$4:$Q$9)</f>
        <v>Unknown</v>
      </c>
      <c r="Q1198" t="str">
        <f>LOOKUP(F1198,Sheet2!$S$4:$T$8)</f>
        <v>36+</v>
      </c>
      <c r="R1198" t="str">
        <f>LOOKUP(G1198,Sheet2!$V$4:$W$7)</f>
        <v>0.25 - 0.39</v>
      </c>
      <c r="S1198" t="str">
        <f>LOOKUP(H1198,Sheet2!$Z$4:$AA$7)</f>
        <v>36-45</v>
      </c>
      <c r="T1198" t="str">
        <f t="shared" si="54"/>
        <v>Positive</v>
      </c>
      <c r="U1198" t="str">
        <f t="shared" si="55"/>
        <v>Not Sampled</v>
      </c>
      <c r="V1198" s="1" t="str">
        <f t="shared" si="56"/>
        <v>Not Sampled</v>
      </c>
    </row>
    <row r="1199" spans="1:22" x14ac:dyDescent="0.25">
      <c r="A1199" s="1">
        <v>11</v>
      </c>
      <c r="B1199" s="1">
        <v>120</v>
      </c>
      <c r="C1199" s="1">
        <v>80</v>
      </c>
      <c r="D1199" s="1">
        <v>37</v>
      </c>
      <c r="E1199" s="1">
        <v>150</v>
      </c>
      <c r="F1199" s="1">
        <v>42.3</v>
      </c>
      <c r="G1199" s="1">
        <v>0.78500000000000003</v>
      </c>
      <c r="H1199" s="1">
        <v>48</v>
      </c>
      <c r="I1199" s="1">
        <v>1</v>
      </c>
      <c r="J1199" s="1" t="str">
        <f>IFERROR(VLOOKUP(K1199,[1]diabetes_Recognition!$A:$B,2,FALSE),"Not Sampled")</f>
        <v>Not Sampled</v>
      </c>
      <c r="K1199" s="1">
        <v>1197</v>
      </c>
      <c r="L1199" s="1" t="str">
        <f>LOOKUP(A1199,Sheet2!$D$4:$E$9)</f>
        <v>8+</v>
      </c>
      <c r="M1199" t="str">
        <f>LOOKUP(B1199,Sheet2!$G$4:$H$9)</f>
        <v>100-125</v>
      </c>
      <c r="N1199" t="str">
        <f>LOOKUP(C1199,Sheet2!$J$4:$K$8)</f>
        <v>80+</v>
      </c>
      <c r="O1199" t="str">
        <f>LOOKUP(D1199,Sheet2!$M$4:$N$8)</f>
        <v>30-39</v>
      </c>
      <c r="P1199" t="str">
        <f>LOOKUP(E1199,Sheet2!$P$4:$Q$9)</f>
        <v>100-199</v>
      </c>
      <c r="Q1199" t="str">
        <f>LOOKUP(F1199,Sheet2!$S$4:$T$8)</f>
        <v>36+</v>
      </c>
      <c r="R1199" t="str">
        <f>LOOKUP(G1199,Sheet2!$V$4:$W$7)</f>
        <v>0.7+</v>
      </c>
      <c r="S1199" t="str">
        <f>LOOKUP(H1199,Sheet2!$Z$4:$AA$7)</f>
        <v>46+</v>
      </c>
      <c r="T1199" t="str">
        <f t="shared" si="54"/>
        <v>Positive</v>
      </c>
      <c r="U1199" t="str">
        <f t="shared" si="55"/>
        <v>Not Sampled</v>
      </c>
      <c r="V1199" s="1" t="str">
        <f t="shared" si="56"/>
        <v>Not Sampled</v>
      </c>
    </row>
    <row r="1200" spans="1:22" x14ac:dyDescent="0.25">
      <c r="A1200" s="1">
        <v>3</v>
      </c>
      <c r="B1200" s="1">
        <v>102</v>
      </c>
      <c r="C1200" s="1">
        <v>44</v>
      </c>
      <c r="D1200" s="1">
        <v>20</v>
      </c>
      <c r="E1200" s="1">
        <v>94</v>
      </c>
      <c r="F1200" s="1">
        <v>30.8</v>
      </c>
      <c r="G1200" s="1">
        <v>0.4</v>
      </c>
      <c r="H1200" s="1">
        <v>26</v>
      </c>
      <c r="I1200" s="1">
        <v>0</v>
      </c>
      <c r="J1200" s="1">
        <f>IFERROR(VLOOKUP(K1200,[1]diabetes_Recognition!$A:$B,2,FALSE),"Not Sampled")</f>
        <v>0</v>
      </c>
      <c r="K1200" s="1">
        <v>1198</v>
      </c>
      <c r="L1200" s="1" t="str">
        <f>LOOKUP(A1200,Sheet2!$D$4:$E$9)</f>
        <v>3-4</v>
      </c>
      <c r="M1200" t="str">
        <f>LOOKUP(B1200,Sheet2!$G$4:$H$9)</f>
        <v>100-125</v>
      </c>
      <c r="N1200" t="str">
        <f>LOOKUP(C1200,Sheet2!$J$4:$K$8)</f>
        <v>1-59</v>
      </c>
      <c r="O1200" t="str">
        <f>LOOKUP(D1200,Sheet2!$M$4:$N$8)</f>
        <v>10-30</v>
      </c>
      <c r="P1200" t="str">
        <f>LOOKUP(E1200,Sheet2!$P$4:$Q$9)</f>
        <v>1-99</v>
      </c>
      <c r="Q1200" t="str">
        <f>LOOKUP(F1200,Sheet2!$S$4:$T$8)</f>
        <v>26-30</v>
      </c>
      <c r="R1200" t="str">
        <f>LOOKUP(G1200,Sheet2!$V$4:$W$7)</f>
        <v>0.4 - 0.69</v>
      </c>
      <c r="S1200" t="str">
        <f>LOOKUP(H1200,Sheet2!$Z$4:$AA$7)</f>
        <v>26-35</v>
      </c>
      <c r="T1200" t="str">
        <f t="shared" si="54"/>
        <v>Negative</v>
      </c>
      <c r="U1200" t="str">
        <f t="shared" si="55"/>
        <v>Negative</v>
      </c>
      <c r="V1200" s="1" t="str">
        <f t="shared" si="56"/>
        <v>Accurate Prediction</v>
      </c>
    </row>
    <row r="1201" spans="1:22" x14ac:dyDescent="0.25">
      <c r="A1201" s="1">
        <v>1</v>
      </c>
      <c r="B1201" s="1">
        <v>109</v>
      </c>
      <c r="C1201" s="1">
        <v>58</v>
      </c>
      <c r="D1201" s="1">
        <v>18</v>
      </c>
      <c r="E1201" s="1">
        <v>116</v>
      </c>
      <c r="F1201" s="1">
        <v>28.5</v>
      </c>
      <c r="G1201" s="1">
        <v>0.219</v>
      </c>
      <c r="H1201" s="1">
        <v>22</v>
      </c>
      <c r="I1201" s="1">
        <v>0</v>
      </c>
      <c r="J1201" s="1" t="str">
        <f>IFERROR(VLOOKUP(K1201,[1]diabetes_Recognition!$A:$B,2,FALSE),"Not Sampled")</f>
        <v>Not Sampled</v>
      </c>
      <c r="K1201" s="1">
        <v>1199</v>
      </c>
      <c r="L1201" s="1">
        <f>LOOKUP(A1201,Sheet2!$D$4:$E$9)</f>
        <v>1</v>
      </c>
      <c r="M1201" t="str">
        <f>LOOKUP(B1201,Sheet2!$G$4:$H$9)</f>
        <v>100-125</v>
      </c>
      <c r="N1201" t="str">
        <f>LOOKUP(C1201,Sheet2!$J$4:$K$8)</f>
        <v>1-59</v>
      </c>
      <c r="O1201" t="str">
        <f>LOOKUP(D1201,Sheet2!$M$4:$N$8)</f>
        <v>10-30</v>
      </c>
      <c r="P1201" t="str">
        <f>LOOKUP(E1201,Sheet2!$P$4:$Q$9)</f>
        <v>100-199</v>
      </c>
      <c r="Q1201" t="str">
        <f>LOOKUP(F1201,Sheet2!$S$4:$T$8)</f>
        <v>26-30</v>
      </c>
      <c r="R1201" t="str">
        <f>LOOKUP(G1201,Sheet2!$V$4:$W$7)</f>
        <v>0.0 - 0.249</v>
      </c>
      <c r="S1201" t="str">
        <f>LOOKUP(H1201,Sheet2!$Z$4:$AA$7)</f>
        <v>&lt;=25</v>
      </c>
      <c r="T1201" t="str">
        <f t="shared" si="54"/>
        <v>Negative</v>
      </c>
      <c r="U1201" t="str">
        <f t="shared" si="55"/>
        <v>Not Sampled</v>
      </c>
      <c r="V1201" s="1" t="str">
        <f t="shared" si="56"/>
        <v>Not Sampled</v>
      </c>
    </row>
    <row r="1202" spans="1:22" x14ac:dyDescent="0.25">
      <c r="A1202" s="1">
        <v>9</v>
      </c>
      <c r="B1202" s="1">
        <v>140</v>
      </c>
      <c r="C1202" s="1">
        <v>94</v>
      </c>
      <c r="D1202" s="1">
        <v>0</v>
      </c>
      <c r="E1202" s="1">
        <v>0</v>
      </c>
      <c r="F1202" s="1">
        <v>32.700000000000003</v>
      </c>
      <c r="G1202" s="1">
        <v>0.73399999999999999</v>
      </c>
      <c r="H1202" s="1">
        <v>45</v>
      </c>
      <c r="I1202" s="1">
        <v>1</v>
      </c>
      <c r="J1202" s="1" t="str">
        <f>IFERROR(VLOOKUP(K1202,[1]diabetes_Recognition!$A:$B,2,FALSE),"Not Sampled")</f>
        <v>Not Sampled</v>
      </c>
      <c r="K1202" s="1">
        <v>1200</v>
      </c>
      <c r="L1202" s="1" t="str">
        <f>LOOKUP(A1202,Sheet2!$D$4:$E$9)</f>
        <v>8+</v>
      </c>
      <c r="M1202" t="str">
        <f>LOOKUP(B1202,Sheet2!$G$4:$H$9)</f>
        <v>126-150</v>
      </c>
      <c r="N1202" t="str">
        <f>LOOKUP(C1202,Sheet2!$J$4:$K$8)</f>
        <v>80+</v>
      </c>
      <c r="O1202" t="str">
        <f>LOOKUP(D1202,Sheet2!$M$4:$N$8)</f>
        <v>Unknown</v>
      </c>
      <c r="P1202" t="str">
        <f>LOOKUP(E1202,Sheet2!$P$4:$Q$9)</f>
        <v>Unknown</v>
      </c>
      <c r="Q1202" t="str">
        <f>LOOKUP(F1202,Sheet2!$S$4:$T$8)</f>
        <v>31-35</v>
      </c>
      <c r="R1202" t="str">
        <f>LOOKUP(G1202,Sheet2!$V$4:$W$7)</f>
        <v>0.7+</v>
      </c>
      <c r="S1202" t="str">
        <f>LOOKUP(H1202,Sheet2!$Z$4:$AA$7)</f>
        <v>36-45</v>
      </c>
      <c r="T1202" t="str">
        <f t="shared" si="54"/>
        <v>Positive</v>
      </c>
      <c r="U1202" t="str">
        <f t="shared" si="55"/>
        <v>Not Sampled</v>
      </c>
      <c r="V1202" s="1" t="str">
        <f t="shared" si="56"/>
        <v>Not Sampled</v>
      </c>
    </row>
    <row r="1203" spans="1:22" x14ac:dyDescent="0.25">
      <c r="A1203" s="1">
        <v>13</v>
      </c>
      <c r="B1203" s="1">
        <v>153</v>
      </c>
      <c r="C1203" s="1">
        <v>88</v>
      </c>
      <c r="D1203" s="1">
        <v>37</v>
      </c>
      <c r="E1203" s="1">
        <v>140</v>
      </c>
      <c r="F1203" s="1">
        <v>40.6</v>
      </c>
      <c r="G1203" s="1">
        <v>1.1739999999999999</v>
      </c>
      <c r="H1203" s="1">
        <v>39</v>
      </c>
      <c r="I1203" s="1">
        <v>0</v>
      </c>
      <c r="J1203" s="1" t="str">
        <f>IFERROR(VLOOKUP(K1203,[1]diabetes_Recognition!$A:$B,2,FALSE),"Not Sampled")</f>
        <v>Not Sampled</v>
      </c>
      <c r="K1203" s="1">
        <v>1201</v>
      </c>
      <c r="L1203" s="1" t="str">
        <f>LOOKUP(A1203,Sheet2!$D$4:$E$9)</f>
        <v>8+</v>
      </c>
      <c r="M1203" t="str">
        <f>LOOKUP(B1203,Sheet2!$G$4:$H$9)</f>
        <v>151-175</v>
      </c>
      <c r="N1203" t="str">
        <f>LOOKUP(C1203,Sheet2!$J$4:$K$8)</f>
        <v>80+</v>
      </c>
      <c r="O1203" t="str">
        <f>LOOKUP(D1203,Sheet2!$M$4:$N$8)</f>
        <v>30-39</v>
      </c>
      <c r="P1203" t="str">
        <f>LOOKUP(E1203,Sheet2!$P$4:$Q$9)</f>
        <v>100-199</v>
      </c>
      <c r="Q1203" t="str">
        <f>LOOKUP(F1203,Sheet2!$S$4:$T$8)</f>
        <v>36+</v>
      </c>
      <c r="R1203" t="str">
        <f>LOOKUP(G1203,Sheet2!$V$4:$W$7)</f>
        <v>0.7+</v>
      </c>
      <c r="S1203" t="str">
        <f>LOOKUP(H1203,Sheet2!$Z$4:$AA$7)</f>
        <v>36-45</v>
      </c>
      <c r="T1203" t="str">
        <f t="shared" si="54"/>
        <v>Negative</v>
      </c>
      <c r="U1203" t="str">
        <f t="shared" si="55"/>
        <v>Not Sampled</v>
      </c>
      <c r="V1203" s="1" t="str">
        <f t="shared" si="56"/>
        <v>Not Sampled</v>
      </c>
    </row>
    <row r="1204" spans="1:22" x14ac:dyDescent="0.25">
      <c r="A1204" s="1">
        <v>12</v>
      </c>
      <c r="B1204" s="1">
        <v>100</v>
      </c>
      <c r="C1204" s="1">
        <v>84</v>
      </c>
      <c r="D1204" s="1">
        <v>33</v>
      </c>
      <c r="E1204" s="1">
        <v>105</v>
      </c>
      <c r="F1204" s="1">
        <v>30</v>
      </c>
      <c r="G1204" s="1">
        <v>0.48799999999999999</v>
      </c>
      <c r="H1204" s="1">
        <v>46</v>
      </c>
      <c r="I1204" s="1">
        <v>0</v>
      </c>
      <c r="J1204" s="1" t="str">
        <f>IFERROR(VLOOKUP(K1204,[1]diabetes_Recognition!$A:$B,2,FALSE),"Not Sampled")</f>
        <v>Not Sampled</v>
      </c>
      <c r="K1204" s="1">
        <v>1202</v>
      </c>
      <c r="L1204" s="1" t="str">
        <f>LOOKUP(A1204,Sheet2!$D$4:$E$9)</f>
        <v>8+</v>
      </c>
      <c r="M1204" t="str">
        <f>LOOKUP(B1204,Sheet2!$G$4:$H$9)</f>
        <v>100-125</v>
      </c>
      <c r="N1204" t="str">
        <f>LOOKUP(C1204,Sheet2!$J$4:$K$8)</f>
        <v>80+</v>
      </c>
      <c r="O1204" t="str">
        <f>LOOKUP(D1204,Sheet2!$M$4:$N$8)</f>
        <v>30-39</v>
      </c>
      <c r="P1204" t="str">
        <f>LOOKUP(E1204,Sheet2!$P$4:$Q$9)</f>
        <v>100-199</v>
      </c>
      <c r="Q1204" t="str">
        <f>LOOKUP(F1204,Sheet2!$S$4:$T$8)</f>
        <v>26-30</v>
      </c>
      <c r="R1204" t="str">
        <f>LOOKUP(G1204,Sheet2!$V$4:$W$7)</f>
        <v>0.4 - 0.69</v>
      </c>
      <c r="S1204" t="str">
        <f>LOOKUP(H1204,Sheet2!$Z$4:$AA$7)</f>
        <v>46+</v>
      </c>
      <c r="T1204" t="str">
        <f t="shared" si="54"/>
        <v>Negative</v>
      </c>
      <c r="U1204" t="str">
        <f t="shared" si="55"/>
        <v>Not Sampled</v>
      </c>
      <c r="V1204" s="1" t="str">
        <f t="shared" si="56"/>
        <v>Not Sampled</v>
      </c>
    </row>
    <row r="1205" spans="1:22" x14ac:dyDescent="0.25">
      <c r="A1205" s="1">
        <v>1</v>
      </c>
      <c r="B1205" s="1">
        <v>147</v>
      </c>
      <c r="C1205" s="1">
        <v>94</v>
      </c>
      <c r="D1205" s="1">
        <v>41</v>
      </c>
      <c r="E1205" s="1">
        <v>0</v>
      </c>
      <c r="F1205" s="1">
        <v>49.3</v>
      </c>
      <c r="G1205" s="1">
        <v>0.35799999999999998</v>
      </c>
      <c r="H1205" s="1">
        <v>27</v>
      </c>
      <c r="I1205" s="1">
        <v>1</v>
      </c>
      <c r="J1205" s="1" t="str">
        <f>IFERROR(VLOOKUP(K1205,[1]diabetes_Recognition!$A:$B,2,FALSE),"Not Sampled")</f>
        <v>Not Sampled</v>
      </c>
      <c r="K1205" s="1">
        <v>1203</v>
      </c>
      <c r="L1205" s="1">
        <f>LOOKUP(A1205,Sheet2!$D$4:$E$9)</f>
        <v>1</v>
      </c>
      <c r="M1205" t="str">
        <f>LOOKUP(B1205,Sheet2!$G$4:$H$9)</f>
        <v>126-150</v>
      </c>
      <c r="N1205" t="str">
        <f>LOOKUP(C1205,Sheet2!$J$4:$K$8)</f>
        <v>80+</v>
      </c>
      <c r="O1205" t="str">
        <f>LOOKUP(D1205,Sheet2!$M$4:$N$8)</f>
        <v>40+</v>
      </c>
      <c r="P1205" t="str">
        <f>LOOKUP(E1205,Sheet2!$P$4:$Q$9)</f>
        <v>Unknown</v>
      </c>
      <c r="Q1205" t="str">
        <f>LOOKUP(F1205,Sheet2!$S$4:$T$8)</f>
        <v>36+</v>
      </c>
      <c r="R1205" t="str">
        <f>LOOKUP(G1205,Sheet2!$V$4:$W$7)</f>
        <v>0.25 - 0.39</v>
      </c>
      <c r="S1205" t="str">
        <f>LOOKUP(H1205,Sheet2!$Z$4:$AA$7)</f>
        <v>26-35</v>
      </c>
      <c r="T1205" t="str">
        <f t="shared" si="54"/>
        <v>Positive</v>
      </c>
      <c r="U1205" t="str">
        <f t="shared" si="55"/>
        <v>Not Sampled</v>
      </c>
      <c r="V1205" s="1" t="str">
        <f t="shared" si="56"/>
        <v>Not Sampled</v>
      </c>
    </row>
    <row r="1206" spans="1:22" x14ac:dyDescent="0.25">
      <c r="A1206" s="1">
        <v>1</v>
      </c>
      <c r="B1206" s="1">
        <v>81</v>
      </c>
      <c r="C1206" s="1">
        <v>74</v>
      </c>
      <c r="D1206" s="1">
        <v>41</v>
      </c>
      <c r="E1206" s="1">
        <v>57</v>
      </c>
      <c r="F1206" s="1">
        <v>46.3</v>
      </c>
      <c r="G1206" s="1">
        <v>1.0960000000000001</v>
      </c>
      <c r="H1206" s="1">
        <v>32</v>
      </c>
      <c r="I1206" s="1">
        <v>0</v>
      </c>
      <c r="J1206" s="1">
        <f>IFERROR(VLOOKUP(K1206,[1]diabetes_Recognition!$A:$B,2,FALSE),"Not Sampled")</f>
        <v>0</v>
      </c>
      <c r="K1206" s="1">
        <v>1204</v>
      </c>
      <c r="L1206" s="1">
        <f>LOOKUP(A1206,Sheet2!$D$4:$E$9)</f>
        <v>1</v>
      </c>
      <c r="M1206" t="str">
        <f>LOOKUP(B1206,Sheet2!$G$4:$H$9)</f>
        <v>1-99</v>
      </c>
      <c r="N1206" t="str">
        <f>LOOKUP(C1206,Sheet2!$J$4:$K$8)</f>
        <v>70-79</v>
      </c>
      <c r="O1206" t="str">
        <f>LOOKUP(D1206,Sheet2!$M$4:$N$8)</f>
        <v>40+</v>
      </c>
      <c r="P1206" t="str">
        <f>LOOKUP(E1206,Sheet2!$P$4:$Q$9)</f>
        <v>1-99</v>
      </c>
      <c r="Q1206" t="str">
        <f>LOOKUP(F1206,Sheet2!$S$4:$T$8)</f>
        <v>36+</v>
      </c>
      <c r="R1206" t="str">
        <f>LOOKUP(G1206,Sheet2!$V$4:$W$7)</f>
        <v>0.7+</v>
      </c>
      <c r="S1206" t="str">
        <f>LOOKUP(H1206,Sheet2!$Z$4:$AA$7)</f>
        <v>26-35</v>
      </c>
      <c r="T1206" t="str">
        <f t="shared" si="54"/>
        <v>Negative</v>
      </c>
      <c r="U1206" t="str">
        <f t="shared" si="55"/>
        <v>Negative</v>
      </c>
      <c r="V1206" s="1" t="str">
        <f t="shared" si="56"/>
        <v>Accurate Prediction</v>
      </c>
    </row>
    <row r="1207" spans="1:22" x14ac:dyDescent="0.25">
      <c r="A1207" s="1">
        <v>3</v>
      </c>
      <c r="B1207" s="1">
        <v>187</v>
      </c>
      <c r="C1207" s="1">
        <v>70</v>
      </c>
      <c r="D1207" s="1">
        <v>22</v>
      </c>
      <c r="E1207" s="1">
        <v>200</v>
      </c>
      <c r="F1207" s="1">
        <v>36.4</v>
      </c>
      <c r="G1207" s="1">
        <v>0.40799999999999997</v>
      </c>
      <c r="H1207" s="1">
        <v>36</v>
      </c>
      <c r="I1207" s="1">
        <v>1</v>
      </c>
      <c r="J1207" s="1">
        <f>IFERROR(VLOOKUP(K1207,[1]diabetes_Recognition!$A:$B,2,FALSE),"Not Sampled")</f>
        <v>1</v>
      </c>
      <c r="K1207" s="1">
        <v>1205</v>
      </c>
      <c r="L1207" s="1" t="str">
        <f>LOOKUP(A1207,Sheet2!$D$4:$E$9)</f>
        <v>3-4</v>
      </c>
      <c r="M1207" t="str">
        <f>LOOKUP(B1207,Sheet2!$G$4:$H$9)</f>
        <v>176-200</v>
      </c>
      <c r="N1207" t="str">
        <f>LOOKUP(C1207,Sheet2!$J$4:$K$8)</f>
        <v>70-79</v>
      </c>
      <c r="O1207" t="str">
        <f>LOOKUP(D1207,Sheet2!$M$4:$N$8)</f>
        <v>10-30</v>
      </c>
      <c r="P1207" t="str">
        <f>LOOKUP(E1207,Sheet2!$P$4:$Q$9)</f>
        <v>200-399</v>
      </c>
      <c r="Q1207" t="str">
        <f>LOOKUP(F1207,Sheet2!$S$4:$T$8)</f>
        <v>36+</v>
      </c>
      <c r="R1207" t="str">
        <f>LOOKUP(G1207,Sheet2!$V$4:$W$7)</f>
        <v>0.4 - 0.69</v>
      </c>
      <c r="S1207" t="str">
        <f>LOOKUP(H1207,Sheet2!$Z$4:$AA$7)</f>
        <v>36-45</v>
      </c>
      <c r="T1207" t="str">
        <f t="shared" si="54"/>
        <v>Positive</v>
      </c>
      <c r="U1207" t="str">
        <f t="shared" si="55"/>
        <v>Positive</v>
      </c>
      <c r="V1207" s="1" t="str">
        <f t="shared" si="56"/>
        <v>Accurate Prediction</v>
      </c>
    </row>
    <row r="1208" spans="1:22" x14ac:dyDescent="0.25">
      <c r="A1208" s="1">
        <v>6</v>
      </c>
      <c r="B1208" s="1">
        <v>162</v>
      </c>
      <c r="C1208" s="1">
        <v>62</v>
      </c>
      <c r="D1208" s="1">
        <v>0</v>
      </c>
      <c r="E1208" s="1">
        <v>0</v>
      </c>
      <c r="F1208" s="1">
        <v>24.3</v>
      </c>
      <c r="G1208" s="1">
        <v>0.17799999999999999</v>
      </c>
      <c r="H1208" s="1">
        <v>50</v>
      </c>
      <c r="I1208" s="1">
        <v>1</v>
      </c>
      <c r="J1208" s="1" t="str">
        <f>IFERROR(VLOOKUP(K1208,[1]diabetes_Recognition!$A:$B,2,FALSE),"Not Sampled")</f>
        <v>Not Sampled</v>
      </c>
      <c r="K1208" s="1">
        <v>1206</v>
      </c>
      <c r="L1208" s="1" t="str">
        <f>LOOKUP(A1208,Sheet2!$D$4:$E$9)</f>
        <v>5-7</v>
      </c>
      <c r="M1208" t="str">
        <f>LOOKUP(B1208,Sheet2!$G$4:$H$9)</f>
        <v>151-175</v>
      </c>
      <c r="N1208" t="str">
        <f>LOOKUP(C1208,Sheet2!$J$4:$K$8)</f>
        <v>60-69</v>
      </c>
      <c r="O1208" t="str">
        <f>LOOKUP(D1208,Sheet2!$M$4:$N$8)</f>
        <v>Unknown</v>
      </c>
      <c r="P1208" t="str">
        <f>LOOKUP(E1208,Sheet2!$P$4:$Q$9)</f>
        <v>Unknown</v>
      </c>
      <c r="Q1208" t="str">
        <f>LOOKUP(F1208,Sheet2!$S$4:$T$8)</f>
        <v>1-25</v>
      </c>
      <c r="R1208" t="str">
        <f>LOOKUP(G1208,Sheet2!$V$4:$W$7)</f>
        <v>0.0 - 0.249</v>
      </c>
      <c r="S1208" t="str">
        <f>LOOKUP(H1208,Sheet2!$Z$4:$AA$7)</f>
        <v>46+</v>
      </c>
      <c r="T1208" t="str">
        <f t="shared" si="54"/>
        <v>Positive</v>
      </c>
      <c r="U1208" t="str">
        <f t="shared" si="55"/>
        <v>Not Sampled</v>
      </c>
      <c r="V1208" s="1" t="str">
        <f t="shared" si="56"/>
        <v>Not Sampled</v>
      </c>
    </row>
    <row r="1209" spans="1:22" x14ac:dyDescent="0.25">
      <c r="A1209" s="1">
        <v>4</v>
      </c>
      <c r="B1209" s="1">
        <v>136</v>
      </c>
      <c r="C1209" s="1">
        <v>70</v>
      </c>
      <c r="D1209" s="1">
        <v>0</v>
      </c>
      <c r="E1209" s="1">
        <v>0</v>
      </c>
      <c r="F1209" s="1">
        <v>31.2</v>
      </c>
      <c r="G1209" s="1">
        <v>1.1819999999999999</v>
      </c>
      <c r="H1209" s="1">
        <v>22</v>
      </c>
      <c r="I1209" s="1">
        <v>1</v>
      </c>
      <c r="J1209" s="1" t="str">
        <f>IFERROR(VLOOKUP(K1209,[1]diabetes_Recognition!$A:$B,2,FALSE),"Not Sampled")</f>
        <v>Not Sampled</v>
      </c>
      <c r="K1209" s="1">
        <v>1207</v>
      </c>
      <c r="L1209" s="1" t="str">
        <f>LOOKUP(A1209,Sheet2!$D$4:$E$9)</f>
        <v>3-4</v>
      </c>
      <c r="M1209" t="str">
        <f>LOOKUP(B1209,Sheet2!$G$4:$H$9)</f>
        <v>126-150</v>
      </c>
      <c r="N1209" t="str">
        <f>LOOKUP(C1209,Sheet2!$J$4:$K$8)</f>
        <v>70-79</v>
      </c>
      <c r="O1209" t="str">
        <f>LOOKUP(D1209,Sheet2!$M$4:$N$8)</f>
        <v>Unknown</v>
      </c>
      <c r="P1209" t="str">
        <f>LOOKUP(E1209,Sheet2!$P$4:$Q$9)</f>
        <v>Unknown</v>
      </c>
      <c r="Q1209" t="str">
        <f>LOOKUP(F1209,Sheet2!$S$4:$T$8)</f>
        <v>31-35</v>
      </c>
      <c r="R1209" t="str">
        <f>LOOKUP(G1209,Sheet2!$V$4:$W$7)</f>
        <v>0.7+</v>
      </c>
      <c r="S1209" t="str">
        <f>LOOKUP(H1209,Sheet2!$Z$4:$AA$7)</f>
        <v>&lt;=25</v>
      </c>
      <c r="T1209" t="str">
        <f t="shared" si="54"/>
        <v>Positive</v>
      </c>
      <c r="U1209" t="str">
        <f t="shared" si="55"/>
        <v>Not Sampled</v>
      </c>
      <c r="V1209" s="1" t="str">
        <f t="shared" si="56"/>
        <v>Not Sampled</v>
      </c>
    </row>
    <row r="1210" spans="1:22" x14ac:dyDescent="0.25">
      <c r="A1210" s="1">
        <v>1</v>
      </c>
      <c r="B1210" s="1">
        <v>121</v>
      </c>
      <c r="C1210" s="1">
        <v>78</v>
      </c>
      <c r="D1210" s="1">
        <v>39</v>
      </c>
      <c r="E1210" s="1">
        <v>74</v>
      </c>
      <c r="F1210" s="1">
        <v>39</v>
      </c>
      <c r="G1210" s="1">
        <v>0.26100000000000001</v>
      </c>
      <c r="H1210" s="1">
        <v>28</v>
      </c>
      <c r="I1210" s="1">
        <v>0</v>
      </c>
      <c r="J1210" s="1" t="str">
        <f>IFERROR(VLOOKUP(K1210,[1]diabetes_Recognition!$A:$B,2,FALSE),"Not Sampled")</f>
        <v>Not Sampled</v>
      </c>
      <c r="K1210" s="1">
        <v>1208</v>
      </c>
      <c r="L1210" s="1">
        <f>LOOKUP(A1210,Sheet2!$D$4:$E$9)</f>
        <v>1</v>
      </c>
      <c r="M1210" t="str">
        <f>LOOKUP(B1210,Sheet2!$G$4:$H$9)</f>
        <v>100-125</v>
      </c>
      <c r="N1210" t="str">
        <f>LOOKUP(C1210,Sheet2!$J$4:$K$8)</f>
        <v>70-79</v>
      </c>
      <c r="O1210" t="str">
        <f>LOOKUP(D1210,Sheet2!$M$4:$N$8)</f>
        <v>30-39</v>
      </c>
      <c r="P1210" t="str">
        <f>LOOKUP(E1210,Sheet2!$P$4:$Q$9)</f>
        <v>1-99</v>
      </c>
      <c r="Q1210" t="str">
        <f>LOOKUP(F1210,Sheet2!$S$4:$T$8)</f>
        <v>36+</v>
      </c>
      <c r="R1210" t="str">
        <f>LOOKUP(G1210,Sheet2!$V$4:$W$7)</f>
        <v>0.25 - 0.39</v>
      </c>
      <c r="S1210" t="str">
        <f>LOOKUP(H1210,Sheet2!$Z$4:$AA$7)</f>
        <v>26-35</v>
      </c>
      <c r="T1210" t="str">
        <f t="shared" si="54"/>
        <v>Negative</v>
      </c>
      <c r="U1210" t="str">
        <f t="shared" si="55"/>
        <v>Not Sampled</v>
      </c>
      <c r="V1210" s="1" t="str">
        <f t="shared" si="56"/>
        <v>Not Sampled</v>
      </c>
    </row>
    <row r="1211" spans="1:22" x14ac:dyDescent="0.25">
      <c r="A1211" s="1">
        <v>3</v>
      </c>
      <c r="B1211" s="1">
        <v>108</v>
      </c>
      <c r="C1211" s="1">
        <v>62</v>
      </c>
      <c r="D1211" s="1">
        <v>24</v>
      </c>
      <c r="E1211" s="1">
        <v>0</v>
      </c>
      <c r="F1211" s="1">
        <v>26</v>
      </c>
      <c r="G1211" s="1">
        <v>0.223</v>
      </c>
      <c r="H1211" s="1">
        <v>25</v>
      </c>
      <c r="I1211" s="1">
        <v>0</v>
      </c>
      <c r="J1211" s="1" t="str">
        <f>IFERROR(VLOOKUP(K1211,[1]diabetes_Recognition!$A:$B,2,FALSE),"Not Sampled")</f>
        <v>Not Sampled</v>
      </c>
      <c r="K1211" s="1">
        <v>1209</v>
      </c>
      <c r="L1211" s="1" t="str">
        <f>LOOKUP(A1211,Sheet2!$D$4:$E$9)</f>
        <v>3-4</v>
      </c>
      <c r="M1211" t="str">
        <f>LOOKUP(B1211,Sheet2!$G$4:$H$9)</f>
        <v>100-125</v>
      </c>
      <c r="N1211" t="str">
        <f>LOOKUP(C1211,Sheet2!$J$4:$K$8)</f>
        <v>60-69</v>
      </c>
      <c r="O1211" t="str">
        <f>LOOKUP(D1211,Sheet2!$M$4:$N$8)</f>
        <v>10-30</v>
      </c>
      <c r="P1211" t="str">
        <f>LOOKUP(E1211,Sheet2!$P$4:$Q$9)</f>
        <v>Unknown</v>
      </c>
      <c r="Q1211" t="str">
        <f>LOOKUP(F1211,Sheet2!$S$4:$T$8)</f>
        <v>26-30</v>
      </c>
      <c r="R1211" t="str">
        <f>LOOKUP(G1211,Sheet2!$V$4:$W$7)</f>
        <v>0.0 - 0.249</v>
      </c>
      <c r="S1211" t="str">
        <f>LOOKUP(H1211,Sheet2!$Z$4:$AA$7)</f>
        <v>&lt;=25</v>
      </c>
      <c r="T1211" t="str">
        <f t="shared" si="54"/>
        <v>Negative</v>
      </c>
      <c r="U1211" t="str">
        <f t="shared" si="55"/>
        <v>Not Sampled</v>
      </c>
      <c r="V1211" s="1" t="str">
        <f t="shared" si="56"/>
        <v>Not Sampled</v>
      </c>
    </row>
    <row r="1212" spans="1:22" x14ac:dyDescent="0.25">
      <c r="A1212" s="1">
        <v>0</v>
      </c>
      <c r="B1212" s="1">
        <v>181</v>
      </c>
      <c r="C1212" s="1">
        <v>88</v>
      </c>
      <c r="D1212" s="1">
        <v>44</v>
      </c>
      <c r="E1212" s="1">
        <v>510</v>
      </c>
      <c r="F1212" s="1">
        <v>43.3</v>
      </c>
      <c r="G1212" s="1">
        <v>0.222</v>
      </c>
      <c r="H1212" s="1">
        <v>26</v>
      </c>
      <c r="I1212" s="1">
        <v>1</v>
      </c>
      <c r="J1212" s="1">
        <f>IFERROR(VLOOKUP(K1212,[1]diabetes_Recognition!$A:$B,2,FALSE),"Not Sampled")</f>
        <v>1</v>
      </c>
      <c r="K1212" s="1">
        <v>1210</v>
      </c>
      <c r="L1212" s="1">
        <f>LOOKUP(A1212,Sheet2!$D$4:$E$9)</f>
        <v>0</v>
      </c>
      <c r="M1212" t="str">
        <f>LOOKUP(B1212,Sheet2!$G$4:$H$9)</f>
        <v>176-200</v>
      </c>
      <c r="N1212" t="str">
        <f>LOOKUP(C1212,Sheet2!$J$4:$K$8)</f>
        <v>80+</v>
      </c>
      <c r="O1212" t="str">
        <f>LOOKUP(D1212,Sheet2!$M$4:$N$8)</f>
        <v>40+</v>
      </c>
      <c r="P1212" t="str">
        <f>LOOKUP(E1212,Sheet2!$P$4:$Q$9)</f>
        <v>500+</v>
      </c>
      <c r="Q1212" t="str">
        <f>LOOKUP(F1212,Sheet2!$S$4:$T$8)</f>
        <v>36+</v>
      </c>
      <c r="R1212" t="str">
        <f>LOOKUP(G1212,Sheet2!$V$4:$W$7)</f>
        <v>0.0 - 0.249</v>
      </c>
      <c r="S1212" t="str">
        <f>LOOKUP(H1212,Sheet2!$Z$4:$AA$7)</f>
        <v>26-35</v>
      </c>
      <c r="T1212" t="str">
        <f t="shared" si="54"/>
        <v>Positive</v>
      </c>
      <c r="U1212" t="str">
        <f t="shared" si="55"/>
        <v>Positive</v>
      </c>
      <c r="V1212" s="1" t="str">
        <f t="shared" si="56"/>
        <v>Accurate Prediction</v>
      </c>
    </row>
    <row r="1213" spans="1:22" x14ac:dyDescent="0.25">
      <c r="A1213" s="1">
        <v>8</v>
      </c>
      <c r="B1213" s="1">
        <v>154</v>
      </c>
      <c r="C1213" s="1">
        <v>78</v>
      </c>
      <c r="D1213" s="1">
        <v>32</v>
      </c>
      <c r="E1213" s="1">
        <v>0</v>
      </c>
      <c r="F1213" s="1">
        <v>32.4</v>
      </c>
      <c r="G1213" s="1">
        <v>0.443</v>
      </c>
      <c r="H1213" s="1">
        <v>45</v>
      </c>
      <c r="I1213" s="1">
        <v>1</v>
      </c>
      <c r="J1213" s="1">
        <f>IFERROR(VLOOKUP(K1213,[1]diabetes_Recognition!$A:$B,2,FALSE),"Not Sampled")</f>
        <v>1</v>
      </c>
      <c r="K1213" s="1">
        <v>1211</v>
      </c>
      <c r="L1213" s="1" t="str">
        <f>LOOKUP(A1213,Sheet2!$D$4:$E$9)</f>
        <v>8+</v>
      </c>
      <c r="M1213" t="str">
        <f>LOOKUP(B1213,Sheet2!$G$4:$H$9)</f>
        <v>151-175</v>
      </c>
      <c r="N1213" t="str">
        <f>LOOKUP(C1213,Sheet2!$J$4:$K$8)</f>
        <v>70-79</v>
      </c>
      <c r="O1213" t="str">
        <f>LOOKUP(D1213,Sheet2!$M$4:$N$8)</f>
        <v>30-39</v>
      </c>
      <c r="P1213" t="str">
        <f>LOOKUP(E1213,Sheet2!$P$4:$Q$9)</f>
        <v>Unknown</v>
      </c>
      <c r="Q1213" t="str">
        <f>LOOKUP(F1213,Sheet2!$S$4:$T$8)</f>
        <v>31-35</v>
      </c>
      <c r="R1213" t="str">
        <f>LOOKUP(G1213,Sheet2!$V$4:$W$7)</f>
        <v>0.4 - 0.69</v>
      </c>
      <c r="S1213" t="str">
        <f>LOOKUP(H1213,Sheet2!$Z$4:$AA$7)</f>
        <v>36-45</v>
      </c>
      <c r="T1213" t="str">
        <f t="shared" si="54"/>
        <v>Positive</v>
      </c>
      <c r="U1213" t="str">
        <f t="shared" si="55"/>
        <v>Positive</v>
      </c>
      <c r="V1213" s="1" t="str">
        <f t="shared" si="56"/>
        <v>Accurate Prediction</v>
      </c>
    </row>
    <row r="1214" spans="1:22" x14ac:dyDescent="0.25">
      <c r="A1214" s="1">
        <v>1</v>
      </c>
      <c r="B1214" s="1">
        <v>128</v>
      </c>
      <c r="C1214" s="1">
        <v>88</v>
      </c>
      <c r="D1214" s="1">
        <v>39</v>
      </c>
      <c r="E1214" s="1">
        <v>110</v>
      </c>
      <c r="F1214" s="1">
        <v>36.5</v>
      </c>
      <c r="G1214" s="1">
        <v>1.0569999999999999</v>
      </c>
      <c r="H1214" s="1">
        <v>37</v>
      </c>
      <c r="I1214" s="1">
        <v>1</v>
      </c>
      <c r="J1214" s="1" t="str">
        <f>IFERROR(VLOOKUP(K1214,[1]diabetes_Recognition!$A:$B,2,FALSE),"Not Sampled")</f>
        <v>Not Sampled</v>
      </c>
      <c r="K1214" s="1">
        <v>1212</v>
      </c>
      <c r="L1214" s="1">
        <f>LOOKUP(A1214,Sheet2!$D$4:$E$9)</f>
        <v>1</v>
      </c>
      <c r="M1214" t="str">
        <f>LOOKUP(B1214,Sheet2!$G$4:$H$9)</f>
        <v>126-150</v>
      </c>
      <c r="N1214" t="str">
        <f>LOOKUP(C1214,Sheet2!$J$4:$K$8)</f>
        <v>80+</v>
      </c>
      <c r="O1214" t="str">
        <f>LOOKUP(D1214,Sheet2!$M$4:$N$8)</f>
        <v>30-39</v>
      </c>
      <c r="P1214" t="str">
        <f>LOOKUP(E1214,Sheet2!$P$4:$Q$9)</f>
        <v>100-199</v>
      </c>
      <c r="Q1214" t="str">
        <f>LOOKUP(F1214,Sheet2!$S$4:$T$8)</f>
        <v>36+</v>
      </c>
      <c r="R1214" t="str">
        <f>LOOKUP(G1214,Sheet2!$V$4:$W$7)</f>
        <v>0.7+</v>
      </c>
      <c r="S1214" t="str">
        <f>LOOKUP(H1214,Sheet2!$Z$4:$AA$7)</f>
        <v>36-45</v>
      </c>
      <c r="T1214" t="str">
        <f t="shared" si="54"/>
        <v>Positive</v>
      </c>
      <c r="U1214" t="str">
        <f t="shared" si="55"/>
        <v>Not Sampled</v>
      </c>
      <c r="V1214" s="1" t="str">
        <f t="shared" si="56"/>
        <v>Not Sampled</v>
      </c>
    </row>
    <row r="1215" spans="1:22" x14ac:dyDescent="0.25">
      <c r="A1215" s="1">
        <v>7</v>
      </c>
      <c r="B1215" s="1">
        <v>137</v>
      </c>
      <c r="C1215" s="1">
        <v>90</v>
      </c>
      <c r="D1215" s="1">
        <v>41</v>
      </c>
      <c r="E1215" s="1">
        <v>0</v>
      </c>
      <c r="F1215" s="1">
        <v>32</v>
      </c>
      <c r="G1215" s="1">
        <v>0.39100000000000001</v>
      </c>
      <c r="H1215" s="1">
        <v>39</v>
      </c>
      <c r="I1215" s="1">
        <v>0</v>
      </c>
      <c r="J1215" s="1" t="str">
        <f>IFERROR(VLOOKUP(K1215,[1]diabetes_Recognition!$A:$B,2,FALSE),"Not Sampled")</f>
        <v>Not Sampled</v>
      </c>
      <c r="K1215" s="1">
        <v>1213</v>
      </c>
      <c r="L1215" s="1" t="str">
        <f>LOOKUP(A1215,Sheet2!$D$4:$E$9)</f>
        <v>5-7</v>
      </c>
      <c r="M1215" t="str">
        <f>LOOKUP(B1215,Sheet2!$G$4:$H$9)</f>
        <v>126-150</v>
      </c>
      <c r="N1215" t="str">
        <f>LOOKUP(C1215,Sheet2!$J$4:$K$8)</f>
        <v>80+</v>
      </c>
      <c r="O1215" t="str">
        <f>LOOKUP(D1215,Sheet2!$M$4:$N$8)</f>
        <v>40+</v>
      </c>
      <c r="P1215" t="str">
        <f>LOOKUP(E1215,Sheet2!$P$4:$Q$9)</f>
        <v>Unknown</v>
      </c>
      <c r="Q1215" t="str">
        <f>LOOKUP(F1215,Sheet2!$S$4:$T$8)</f>
        <v>31-35</v>
      </c>
      <c r="R1215" t="str">
        <f>LOOKUP(G1215,Sheet2!$V$4:$W$7)</f>
        <v>0.25 - 0.39</v>
      </c>
      <c r="S1215" t="str">
        <f>LOOKUP(H1215,Sheet2!$Z$4:$AA$7)</f>
        <v>36-45</v>
      </c>
      <c r="T1215" t="str">
        <f t="shared" si="54"/>
        <v>Negative</v>
      </c>
      <c r="U1215" t="str">
        <f t="shared" si="55"/>
        <v>Not Sampled</v>
      </c>
      <c r="V1215" s="1" t="str">
        <f t="shared" si="56"/>
        <v>Not Sampled</v>
      </c>
    </row>
    <row r="1216" spans="1:22" x14ac:dyDescent="0.25">
      <c r="A1216" s="1">
        <v>0</v>
      </c>
      <c r="B1216" s="1">
        <v>123</v>
      </c>
      <c r="C1216" s="1">
        <v>72</v>
      </c>
      <c r="D1216" s="1">
        <v>0</v>
      </c>
      <c r="E1216" s="1">
        <v>0</v>
      </c>
      <c r="F1216" s="1">
        <v>36.299999999999997</v>
      </c>
      <c r="G1216" s="1">
        <v>0.25800000000000001</v>
      </c>
      <c r="H1216" s="1">
        <v>52</v>
      </c>
      <c r="I1216" s="1">
        <v>1</v>
      </c>
      <c r="J1216" s="1" t="str">
        <f>IFERROR(VLOOKUP(K1216,[1]diabetes_Recognition!$A:$B,2,FALSE),"Not Sampled")</f>
        <v>Not Sampled</v>
      </c>
      <c r="K1216" s="1">
        <v>1214</v>
      </c>
      <c r="L1216" s="1">
        <f>LOOKUP(A1216,Sheet2!$D$4:$E$9)</f>
        <v>0</v>
      </c>
      <c r="M1216" t="str">
        <f>LOOKUP(B1216,Sheet2!$G$4:$H$9)</f>
        <v>100-125</v>
      </c>
      <c r="N1216" t="str">
        <f>LOOKUP(C1216,Sheet2!$J$4:$K$8)</f>
        <v>70-79</v>
      </c>
      <c r="O1216" t="str">
        <f>LOOKUP(D1216,Sheet2!$M$4:$N$8)</f>
        <v>Unknown</v>
      </c>
      <c r="P1216" t="str">
        <f>LOOKUP(E1216,Sheet2!$P$4:$Q$9)</f>
        <v>Unknown</v>
      </c>
      <c r="Q1216" t="str">
        <f>LOOKUP(F1216,Sheet2!$S$4:$T$8)</f>
        <v>36+</v>
      </c>
      <c r="R1216" t="str">
        <f>LOOKUP(G1216,Sheet2!$V$4:$W$7)</f>
        <v>0.25 - 0.39</v>
      </c>
      <c r="S1216" t="str">
        <f>LOOKUP(H1216,Sheet2!$Z$4:$AA$7)</f>
        <v>46+</v>
      </c>
      <c r="T1216" t="str">
        <f t="shared" si="54"/>
        <v>Positive</v>
      </c>
      <c r="U1216" t="str">
        <f t="shared" si="55"/>
        <v>Not Sampled</v>
      </c>
      <c r="V1216" s="1" t="str">
        <f t="shared" si="56"/>
        <v>Not Sampled</v>
      </c>
    </row>
    <row r="1217" spans="1:22" x14ac:dyDescent="0.25">
      <c r="A1217" s="1">
        <v>1</v>
      </c>
      <c r="B1217" s="1">
        <v>106</v>
      </c>
      <c r="C1217" s="1">
        <v>76</v>
      </c>
      <c r="D1217" s="1">
        <v>0</v>
      </c>
      <c r="E1217" s="1">
        <v>0</v>
      </c>
      <c r="F1217" s="1">
        <v>37.5</v>
      </c>
      <c r="G1217" s="1">
        <v>0.19700000000000001</v>
      </c>
      <c r="H1217" s="1">
        <v>26</v>
      </c>
      <c r="I1217" s="1">
        <v>0</v>
      </c>
      <c r="J1217" s="1">
        <f>IFERROR(VLOOKUP(K1217,[1]diabetes_Recognition!$A:$B,2,FALSE),"Not Sampled")</f>
        <v>0</v>
      </c>
      <c r="K1217" s="1">
        <v>1215</v>
      </c>
      <c r="L1217" s="1">
        <f>LOOKUP(A1217,Sheet2!$D$4:$E$9)</f>
        <v>1</v>
      </c>
      <c r="M1217" t="str">
        <f>LOOKUP(B1217,Sheet2!$G$4:$H$9)</f>
        <v>100-125</v>
      </c>
      <c r="N1217" t="str">
        <f>LOOKUP(C1217,Sheet2!$J$4:$K$8)</f>
        <v>70-79</v>
      </c>
      <c r="O1217" t="str">
        <f>LOOKUP(D1217,Sheet2!$M$4:$N$8)</f>
        <v>Unknown</v>
      </c>
      <c r="P1217" t="str">
        <f>LOOKUP(E1217,Sheet2!$P$4:$Q$9)</f>
        <v>Unknown</v>
      </c>
      <c r="Q1217" t="str">
        <f>LOOKUP(F1217,Sheet2!$S$4:$T$8)</f>
        <v>36+</v>
      </c>
      <c r="R1217" t="str">
        <f>LOOKUP(G1217,Sheet2!$V$4:$W$7)</f>
        <v>0.0 - 0.249</v>
      </c>
      <c r="S1217" t="str">
        <f>LOOKUP(H1217,Sheet2!$Z$4:$AA$7)</f>
        <v>26-35</v>
      </c>
      <c r="T1217" t="str">
        <f t="shared" si="54"/>
        <v>Negative</v>
      </c>
      <c r="U1217" t="str">
        <f t="shared" si="55"/>
        <v>Negative</v>
      </c>
      <c r="V1217" s="1" t="str">
        <f t="shared" si="56"/>
        <v>Accurate Prediction</v>
      </c>
    </row>
    <row r="1218" spans="1:22" x14ac:dyDescent="0.25">
      <c r="A1218" s="1">
        <v>6</v>
      </c>
      <c r="B1218" s="1">
        <v>190</v>
      </c>
      <c r="C1218" s="1">
        <v>92</v>
      </c>
      <c r="D1218" s="1">
        <v>0</v>
      </c>
      <c r="E1218" s="1">
        <v>0</v>
      </c>
      <c r="F1218" s="1">
        <v>35.5</v>
      </c>
      <c r="G1218" s="1">
        <v>0.27800000000000002</v>
      </c>
      <c r="H1218" s="1">
        <v>66</v>
      </c>
      <c r="I1218" s="1">
        <v>1</v>
      </c>
      <c r="J1218" s="1" t="str">
        <f>IFERROR(VLOOKUP(K1218,[1]diabetes_Recognition!$A:$B,2,FALSE),"Not Sampled")</f>
        <v>Not Sampled</v>
      </c>
      <c r="K1218" s="1">
        <v>1216</v>
      </c>
      <c r="L1218" s="1" t="str">
        <f>LOOKUP(A1218,Sheet2!$D$4:$E$9)</f>
        <v>5-7</v>
      </c>
      <c r="M1218" t="str">
        <f>LOOKUP(B1218,Sheet2!$G$4:$H$9)</f>
        <v>176-200</v>
      </c>
      <c r="N1218" t="str">
        <f>LOOKUP(C1218,Sheet2!$J$4:$K$8)</f>
        <v>80+</v>
      </c>
      <c r="O1218" t="str">
        <f>LOOKUP(D1218,Sheet2!$M$4:$N$8)</f>
        <v>Unknown</v>
      </c>
      <c r="P1218" t="str">
        <f>LOOKUP(E1218,Sheet2!$P$4:$Q$9)</f>
        <v>Unknown</v>
      </c>
      <c r="Q1218" t="str">
        <f>LOOKUP(F1218,Sheet2!$S$4:$T$8)</f>
        <v>31-35</v>
      </c>
      <c r="R1218" t="str">
        <f>LOOKUP(G1218,Sheet2!$V$4:$W$7)</f>
        <v>0.25 - 0.39</v>
      </c>
      <c r="S1218" t="str">
        <f>LOOKUP(H1218,Sheet2!$Z$4:$AA$7)</f>
        <v>46+</v>
      </c>
      <c r="T1218" t="str">
        <f t="shared" si="54"/>
        <v>Positive</v>
      </c>
      <c r="U1218" t="str">
        <f t="shared" si="55"/>
        <v>Not Sampled</v>
      </c>
      <c r="V1218" s="1" t="str">
        <f t="shared" si="56"/>
        <v>Not Sampled</v>
      </c>
    </row>
    <row r="1219" spans="1:22" x14ac:dyDescent="0.25">
      <c r="A1219" s="1">
        <v>2</v>
      </c>
      <c r="B1219" s="1">
        <v>88</v>
      </c>
      <c r="C1219" s="1">
        <v>58</v>
      </c>
      <c r="D1219" s="1">
        <v>26</v>
      </c>
      <c r="E1219" s="1">
        <v>16</v>
      </c>
      <c r="F1219" s="1">
        <v>28.4</v>
      </c>
      <c r="G1219" s="1">
        <v>0.76600000000000001</v>
      </c>
      <c r="H1219" s="1">
        <v>22</v>
      </c>
      <c r="I1219" s="1">
        <v>0</v>
      </c>
      <c r="J1219" s="1" t="str">
        <f>IFERROR(VLOOKUP(K1219,[1]diabetes_Recognition!$A:$B,2,FALSE),"Not Sampled")</f>
        <v>Not Sampled</v>
      </c>
      <c r="K1219" s="1">
        <v>1217</v>
      </c>
      <c r="L1219" s="1">
        <f>LOOKUP(A1219,Sheet2!$D$4:$E$9)</f>
        <v>2</v>
      </c>
      <c r="M1219" t="str">
        <f>LOOKUP(B1219,Sheet2!$G$4:$H$9)</f>
        <v>1-99</v>
      </c>
      <c r="N1219" t="str">
        <f>LOOKUP(C1219,Sheet2!$J$4:$K$8)</f>
        <v>1-59</v>
      </c>
      <c r="O1219" t="str">
        <f>LOOKUP(D1219,Sheet2!$M$4:$N$8)</f>
        <v>10-30</v>
      </c>
      <c r="P1219" t="str">
        <f>LOOKUP(E1219,Sheet2!$P$4:$Q$9)</f>
        <v>1-99</v>
      </c>
      <c r="Q1219" t="str">
        <f>LOOKUP(F1219,Sheet2!$S$4:$T$8)</f>
        <v>26-30</v>
      </c>
      <c r="R1219" t="str">
        <f>LOOKUP(G1219,Sheet2!$V$4:$W$7)</f>
        <v>0.7+</v>
      </c>
      <c r="S1219" t="str">
        <f>LOOKUP(H1219,Sheet2!$Z$4:$AA$7)</f>
        <v>&lt;=25</v>
      </c>
      <c r="T1219" t="str">
        <f t="shared" ref="T1219:T1282" si="57">IF(I1219=1,"Positive","Negative")</f>
        <v>Negative</v>
      </c>
      <c r="U1219" t="str">
        <f t="shared" ref="U1219:U1282" si="58">IF(J1219=1,"Positive",(IF(J1219=0,"Negative","Not Sampled")))</f>
        <v>Not Sampled</v>
      </c>
      <c r="V1219" s="1" t="str">
        <f t="shared" ref="V1219:V1282" si="59">IF(U1219="Not Sampled","Not Sampled",IF(T1219=U1219,"Accurate Prediction","Inaccurate Prediction"))</f>
        <v>Not Sampled</v>
      </c>
    </row>
    <row r="1220" spans="1:22" x14ac:dyDescent="0.25">
      <c r="A1220" s="1">
        <v>9</v>
      </c>
      <c r="B1220" s="1">
        <v>170</v>
      </c>
      <c r="C1220" s="1">
        <v>74</v>
      </c>
      <c r="D1220" s="1">
        <v>31</v>
      </c>
      <c r="E1220" s="1">
        <v>0</v>
      </c>
      <c r="F1220" s="1">
        <v>44</v>
      </c>
      <c r="G1220" s="1">
        <v>0.40300000000000002</v>
      </c>
      <c r="H1220" s="1">
        <v>43</v>
      </c>
      <c r="I1220" s="1">
        <v>1</v>
      </c>
      <c r="J1220" s="1" t="str">
        <f>IFERROR(VLOOKUP(K1220,[1]diabetes_Recognition!$A:$B,2,FALSE),"Not Sampled")</f>
        <v>Not Sampled</v>
      </c>
      <c r="K1220" s="1">
        <v>1218</v>
      </c>
      <c r="L1220" s="1" t="str">
        <f>LOOKUP(A1220,Sheet2!$D$4:$E$9)</f>
        <v>8+</v>
      </c>
      <c r="M1220" t="str">
        <f>LOOKUP(B1220,Sheet2!$G$4:$H$9)</f>
        <v>151-175</v>
      </c>
      <c r="N1220" t="str">
        <f>LOOKUP(C1220,Sheet2!$J$4:$K$8)</f>
        <v>70-79</v>
      </c>
      <c r="O1220" t="str">
        <f>LOOKUP(D1220,Sheet2!$M$4:$N$8)</f>
        <v>30-39</v>
      </c>
      <c r="P1220" t="str">
        <f>LOOKUP(E1220,Sheet2!$P$4:$Q$9)</f>
        <v>Unknown</v>
      </c>
      <c r="Q1220" t="str">
        <f>LOOKUP(F1220,Sheet2!$S$4:$T$8)</f>
        <v>36+</v>
      </c>
      <c r="R1220" t="str">
        <f>LOOKUP(G1220,Sheet2!$V$4:$W$7)</f>
        <v>0.4 - 0.69</v>
      </c>
      <c r="S1220" t="str">
        <f>LOOKUP(H1220,Sheet2!$Z$4:$AA$7)</f>
        <v>36-45</v>
      </c>
      <c r="T1220" t="str">
        <f t="shared" si="57"/>
        <v>Positive</v>
      </c>
      <c r="U1220" t="str">
        <f t="shared" si="58"/>
        <v>Not Sampled</v>
      </c>
      <c r="V1220" s="1" t="str">
        <f t="shared" si="59"/>
        <v>Not Sampled</v>
      </c>
    </row>
    <row r="1221" spans="1:22" x14ac:dyDescent="0.25">
      <c r="A1221" s="1">
        <v>9</v>
      </c>
      <c r="B1221" s="1">
        <v>89</v>
      </c>
      <c r="C1221" s="1">
        <v>62</v>
      </c>
      <c r="D1221" s="1">
        <v>0</v>
      </c>
      <c r="E1221" s="1">
        <v>0</v>
      </c>
      <c r="F1221" s="1">
        <v>22.5</v>
      </c>
      <c r="G1221" s="1">
        <v>0.14199999999999999</v>
      </c>
      <c r="H1221" s="1">
        <v>33</v>
      </c>
      <c r="I1221" s="1">
        <v>0</v>
      </c>
      <c r="J1221" s="1">
        <f>IFERROR(VLOOKUP(K1221,[1]diabetes_Recognition!$A:$B,2,FALSE),"Not Sampled")</f>
        <v>0</v>
      </c>
      <c r="K1221" s="1">
        <v>1219</v>
      </c>
      <c r="L1221" s="1" t="str">
        <f>LOOKUP(A1221,Sheet2!$D$4:$E$9)</f>
        <v>8+</v>
      </c>
      <c r="M1221" t="str">
        <f>LOOKUP(B1221,Sheet2!$G$4:$H$9)</f>
        <v>1-99</v>
      </c>
      <c r="N1221" t="str">
        <f>LOOKUP(C1221,Sheet2!$J$4:$K$8)</f>
        <v>60-69</v>
      </c>
      <c r="O1221" t="str">
        <f>LOOKUP(D1221,Sheet2!$M$4:$N$8)</f>
        <v>Unknown</v>
      </c>
      <c r="P1221" t="str">
        <f>LOOKUP(E1221,Sheet2!$P$4:$Q$9)</f>
        <v>Unknown</v>
      </c>
      <c r="Q1221" t="str">
        <f>LOOKUP(F1221,Sheet2!$S$4:$T$8)</f>
        <v>1-25</v>
      </c>
      <c r="R1221" t="str">
        <f>LOOKUP(G1221,Sheet2!$V$4:$W$7)</f>
        <v>0.0 - 0.249</v>
      </c>
      <c r="S1221" t="str">
        <f>LOOKUP(H1221,Sheet2!$Z$4:$AA$7)</f>
        <v>26-35</v>
      </c>
      <c r="T1221" t="str">
        <f t="shared" si="57"/>
        <v>Negative</v>
      </c>
      <c r="U1221" t="str">
        <f t="shared" si="58"/>
        <v>Negative</v>
      </c>
      <c r="V1221" s="1" t="str">
        <f t="shared" si="59"/>
        <v>Accurate Prediction</v>
      </c>
    </row>
    <row r="1222" spans="1:22" x14ac:dyDescent="0.25">
      <c r="A1222" s="1">
        <v>10</v>
      </c>
      <c r="B1222" s="1">
        <v>101</v>
      </c>
      <c r="C1222" s="1">
        <v>76</v>
      </c>
      <c r="D1222" s="1">
        <v>48</v>
      </c>
      <c r="E1222" s="1">
        <v>180</v>
      </c>
      <c r="F1222" s="1">
        <v>32.9</v>
      </c>
      <c r="G1222" s="1">
        <v>0.17100000000000001</v>
      </c>
      <c r="H1222" s="1">
        <v>63</v>
      </c>
      <c r="I1222" s="1">
        <v>0</v>
      </c>
      <c r="J1222" s="1" t="str">
        <f>IFERROR(VLOOKUP(K1222,[1]diabetes_Recognition!$A:$B,2,FALSE),"Not Sampled")</f>
        <v>Not Sampled</v>
      </c>
      <c r="K1222" s="1">
        <v>1220</v>
      </c>
      <c r="L1222" s="1" t="str">
        <f>LOOKUP(A1222,Sheet2!$D$4:$E$9)</f>
        <v>8+</v>
      </c>
      <c r="M1222" t="str">
        <f>LOOKUP(B1222,Sheet2!$G$4:$H$9)</f>
        <v>100-125</v>
      </c>
      <c r="N1222" t="str">
        <f>LOOKUP(C1222,Sheet2!$J$4:$K$8)</f>
        <v>70-79</v>
      </c>
      <c r="O1222" t="str">
        <f>LOOKUP(D1222,Sheet2!$M$4:$N$8)</f>
        <v>40+</v>
      </c>
      <c r="P1222" t="str">
        <f>LOOKUP(E1222,Sheet2!$P$4:$Q$9)</f>
        <v>100-199</v>
      </c>
      <c r="Q1222" t="str">
        <f>LOOKUP(F1222,Sheet2!$S$4:$T$8)</f>
        <v>31-35</v>
      </c>
      <c r="R1222" t="str">
        <f>LOOKUP(G1222,Sheet2!$V$4:$W$7)</f>
        <v>0.0 - 0.249</v>
      </c>
      <c r="S1222" t="str">
        <f>LOOKUP(H1222,Sheet2!$Z$4:$AA$7)</f>
        <v>46+</v>
      </c>
      <c r="T1222" t="str">
        <f t="shared" si="57"/>
        <v>Negative</v>
      </c>
      <c r="U1222" t="str">
        <f t="shared" si="58"/>
        <v>Not Sampled</v>
      </c>
      <c r="V1222" s="1" t="str">
        <f t="shared" si="59"/>
        <v>Not Sampled</v>
      </c>
    </row>
    <row r="1223" spans="1:22" x14ac:dyDescent="0.25">
      <c r="A1223" s="1">
        <v>2</v>
      </c>
      <c r="B1223" s="1">
        <v>122</v>
      </c>
      <c r="C1223" s="1">
        <v>70</v>
      </c>
      <c r="D1223" s="1">
        <v>27</v>
      </c>
      <c r="E1223" s="1">
        <v>0</v>
      </c>
      <c r="F1223" s="1">
        <v>36.799999999999997</v>
      </c>
      <c r="G1223" s="1">
        <v>0.34</v>
      </c>
      <c r="H1223" s="1">
        <v>27</v>
      </c>
      <c r="I1223" s="1">
        <v>0</v>
      </c>
      <c r="J1223" s="1" t="str">
        <f>IFERROR(VLOOKUP(K1223,[1]diabetes_Recognition!$A:$B,2,FALSE),"Not Sampled")</f>
        <v>Not Sampled</v>
      </c>
      <c r="K1223" s="1">
        <v>1221</v>
      </c>
      <c r="L1223" s="1">
        <f>LOOKUP(A1223,Sheet2!$D$4:$E$9)</f>
        <v>2</v>
      </c>
      <c r="M1223" t="str">
        <f>LOOKUP(B1223,Sheet2!$G$4:$H$9)</f>
        <v>100-125</v>
      </c>
      <c r="N1223" t="str">
        <f>LOOKUP(C1223,Sheet2!$J$4:$K$8)</f>
        <v>70-79</v>
      </c>
      <c r="O1223" t="str">
        <f>LOOKUP(D1223,Sheet2!$M$4:$N$8)</f>
        <v>10-30</v>
      </c>
      <c r="P1223" t="str">
        <f>LOOKUP(E1223,Sheet2!$P$4:$Q$9)</f>
        <v>Unknown</v>
      </c>
      <c r="Q1223" t="str">
        <f>LOOKUP(F1223,Sheet2!$S$4:$T$8)</f>
        <v>36+</v>
      </c>
      <c r="R1223" t="str">
        <f>LOOKUP(G1223,Sheet2!$V$4:$W$7)</f>
        <v>0.25 - 0.39</v>
      </c>
      <c r="S1223" t="str">
        <f>LOOKUP(H1223,Sheet2!$Z$4:$AA$7)</f>
        <v>26-35</v>
      </c>
      <c r="T1223" t="str">
        <f t="shared" si="57"/>
        <v>Negative</v>
      </c>
      <c r="U1223" t="str">
        <f t="shared" si="58"/>
        <v>Not Sampled</v>
      </c>
      <c r="V1223" s="1" t="str">
        <f t="shared" si="59"/>
        <v>Not Sampled</v>
      </c>
    </row>
    <row r="1224" spans="1:22" x14ac:dyDescent="0.25">
      <c r="A1224" s="1">
        <v>5</v>
      </c>
      <c r="B1224" s="1">
        <v>121</v>
      </c>
      <c r="C1224" s="1">
        <v>72</v>
      </c>
      <c r="D1224" s="1">
        <v>23</v>
      </c>
      <c r="E1224" s="1">
        <v>112</v>
      </c>
      <c r="F1224" s="1">
        <v>26.2</v>
      </c>
      <c r="G1224" s="1">
        <v>0.245</v>
      </c>
      <c r="H1224" s="1">
        <v>30</v>
      </c>
      <c r="I1224" s="1">
        <v>0</v>
      </c>
      <c r="J1224" s="1" t="str">
        <f>IFERROR(VLOOKUP(K1224,[1]diabetes_Recognition!$A:$B,2,FALSE),"Not Sampled")</f>
        <v>Not Sampled</v>
      </c>
      <c r="K1224" s="1">
        <v>1222</v>
      </c>
      <c r="L1224" s="1" t="str">
        <f>LOOKUP(A1224,Sheet2!$D$4:$E$9)</f>
        <v>5-7</v>
      </c>
      <c r="M1224" t="str">
        <f>LOOKUP(B1224,Sheet2!$G$4:$H$9)</f>
        <v>100-125</v>
      </c>
      <c r="N1224" t="str">
        <f>LOOKUP(C1224,Sheet2!$J$4:$K$8)</f>
        <v>70-79</v>
      </c>
      <c r="O1224" t="str">
        <f>LOOKUP(D1224,Sheet2!$M$4:$N$8)</f>
        <v>10-30</v>
      </c>
      <c r="P1224" t="str">
        <f>LOOKUP(E1224,Sheet2!$P$4:$Q$9)</f>
        <v>100-199</v>
      </c>
      <c r="Q1224" t="str">
        <f>LOOKUP(F1224,Sheet2!$S$4:$T$8)</f>
        <v>26-30</v>
      </c>
      <c r="R1224" t="str">
        <f>LOOKUP(G1224,Sheet2!$V$4:$W$7)</f>
        <v>0.0 - 0.249</v>
      </c>
      <c r="S1224" t="str">
        <f>LOOKUP(H1224,Sheet2!$Z$4:$AA$7)</f>
        <v>26-35</v>
      </c>
      <c r="T1224" t="str">
        <f t="shared" si="57"/>
        <v>Negative</v>
      </c>
      <c r="U1224" t="str">
        <f t="shared" si="58"/>
        <v>Not Sampled</v>
      </c>
      <c r="V1224" s="1" t="str">
        <f t="shared" si="59"/>
        <v>Not Sampled</v>
      </c>
    </row>
    <row r="1225" spans="1:22" x14ac:dyDescent="0.25">
      <c r="A1225" s="1">
        <v>1</v>
      </c>
      <c r="B1225" s="1">
        <v>126</v>
      </c>
      <c r="C1225" s="1">
        <v>60</v>
      </c>
      <c r="D1225" s="1">
        <v>0</v>
      </c>
      <c r="E1225" s="1">
        <v>0</v>
      </c>
      <c r="F1225" s="1">
        <v>30.1</v>
      </c>
      <c r="G1225" s="1">
        <v>0.34899999999999998</v>
      </c>
      <c r="H1225" s="1">
        <v>47</v>
      </c>
      <c r="I1225" s="1">
        <v>1</v>
      </c>
      <c r="J1225" s="1" t="str">
        <f>IFERROR(VLOOKUP(K1225,[1]diabetes_Recognition!$A:$B,2,FALSE),"Not Sampled")</f>
        <v>Not Sampled</v>
      </c>
      <c r="K1225" s="1">
        <v>1223</v>
      </c>
      <c r="L1225" s="1">
        <f>LOOKUP(A1225,Sheet2!$D$4:$E$9)</f>
        <v>1</v>
      </c>
      <c r="M1225" t="str">
        <f>LOOKUP(B1225,Sheet2!$G$4:$H$9)</f>
        <v>126-150</v>
      </c>
      <c r="N1225" t="str">
        <f>LOOKUP(C1225,Sheet2!$J$4:$K$8)</f>
        <v>60-69</v>
      </c>
      <c r="O1225" t="str">
        <f>LOOKUP(D1225,Sheet2!$M$4:$N$8)</f>
        <v>Unknown</v>
      </c>
      <c r="P1225" t="str">
        <f>LOOKUP(E1225,Sheet2!$P$4:$Q$9)</f>
        <v>Unknown</v>
      </c>
      <c r="Q1225" t="str">
        <f>LOOKUP(F1225,Sheet2!$S$4:$T$8)</f>
        <v>26-30</v>
      </c>
      <c r="R1225" t="str">
        <f>LOOKUP(G1225,Sheet2!$V$4:$W$7)</f>
        <v>0.25 - 0.39</v>
      </c>
      <c r="S1225" t="str">
        <f>LOOKUP(H1225,Sheet2!$Z$4:$AA$7)</f>
        <v>46+</v>
      </c>
      <c r="T1225" t="str">
        <f t="shared" si="57"/>
        <v>Positive</v>
      </c>
      <c r="U1225" t="str">
        <f t="shared" si="58"/>
        <v>Not Sampled</v>
      </c>
      <c r="V1225" s="1" t="str">
        <f t="shared" si="59"/>
        <v>Not Sampled</v>
      </c>
    </row>
    <row r="1226" spans="1:22" x14ac:dyDescent="0.25">
      <c r="A1226" s="1">
        <v>1</v>
      </c>
      <c r="B1226" s="1">
        <v>93</v>
      </c>
      <c r="C1226" s="1">
        <v>70</v>
      </c>
      <c r="D1226" s="1">
        <v>31</v>
      </c>
      <c r="E1226" s="1">
        <v>0</v>
      </c>
      <c r="F1226" s="1">
        <v>30.4</v>
      </c>
      <c r="G1226" s="1">
        <v>0.315</v>
      </c>
      <c r="H1226" s="1">
        <v>23</v>
      </c>
      <c r="I1226" s="1">
        <v>0</v>
      </c>
      <c r="J1226" s="1" t="str">
        <f>IFERROR(VLOOKUP(K1226,[1]diabetes_Recognition!$A:$B,2,FALSE),"Not Sampled")</f>
        <v>Not Sampled</v>
      </c>
      <c r="K1226" s="1">
        <v>1224</v>
      </c>
      <c r="L1226" s="1">
        <f>LOOKUP(A1226,Sheet2!$D$4:$E$9)</f>
        <v>1</v>
      </c>
      <c r="M1226" t="str">
        <f>LOOKUP(B1226,Sheet2!$G$4:$H$9)</f>
        <v>1-99</v>
      </c>
      <c r="N1226" t="str">
        <f>LOOKUP(C1226,Sheet2!$J$4:$K$8)</f>
        <v>70-79</v>
      </c>
      <c r="O1226" t="str">
        <f>LOOKUP(D1226,Sheet2!$M$4:$N$8)</f>
        <v>30-39</v>
      </c>
      <c r="P1226" t="str">
        <f>LOOKUP(E1226,Sheet2!$P$4:$Q$9)</f>
        <v>Unknown</v>
      </c>
      <c r="Q1226" t="str">
        <f>LOOKUP(F1226,Sheet2!$S$4:$T$8)</f>
        <v>26-30</v>
      </c>
      <c r="R1226" t="str">
        <f>LOOKUP(G1226,Sheet2!$V$4:$W$7)</f>
        <v>0.25 - 0.39</v>
      </c>
      <c r="S1226" t="str">
        <f>LOOKUP(H1226,Sheet2!$Z$4:$AA$7)</f>
        <v>&lt;=25</v>
      </c>
      <c r="T1226" t="str">
        <f t="shared" si="57"/>
        <v>Negative</v>
      </c>
      <c r="U1226" t="str">
        <f t="shared" si="58"/>
        <v>Not Sampled</v>
      </c>
      <c r="V1226" s="1" t="str">
        <f t="shared" si="59"/>
        <v>Not Sampled</v>
      </c>
    </row>
    <row r="1227" spans="1:22" x14ac:dyDescent="0.25">
      <c r="A1227" s="1">
        <v>14</v>
      </c>
      <c r="B1227" s="1">
        <v>100</v>
      </c>
      <c r="C1227" s="1">
        <v>78</v>
      </c>
      <c r="D1227" s="1">
        <v>25</v>
      </c>
      <c r="E1227" s="1">
        <v>184</v>
      </c>
      <c r="F1227" s="1">
        <v>36.6</v>
      </c>
      <c r="G1227" s="1">
        <v>0.41199999999999998</v>
      </c>
      <c r="H1227" s="1">
        <v>46</v>
      </c>
      <c r="I1227" s="1">
        <v>1</v>
      </c>
      <c r="J1227" s="1">
        <f>IFERROR(VLOOKUP(K1227,[1]diabetes_Recognition!$A:$B,2,FALSE),"Not Sampled")</f>
        <v>0</v>
      </c>
      <c r="K1227" s="1">
        <v>1225</v>
      </c>
      <c r="L1227" s="1" t="str">
        <f>LOOKUP(A1227,Sheet2!$D$4:$E$9)</f>
        <v>8+</v>
      </c>
      <c r="M1227" t="str">
        <f>LOOKUP(B1227,Sheet2!$G$4:$H$9)</f>
        <v>100-125</v>
      </c>
      <c r="N1227" t="str">
        <f>LOOKUP(C1227,Sheet2!$J$4:$K$8)</f>
        <v>70-79</v>
      </c>
      <c r="O1227" t="str">
        <f>LOOKUP(D1227,Sheet2!$M$4:$N$8)</f>
        <v>10-30</v>
      </c>
      <c r="P1227" t="str">
        <f>LOOKUP(E1227,Sheet2!$P$4:$Q$9)</f>
        <v>100-199</v>
      </c>
      <c r="Q1227" t="str">
        <f>LOOKUP(F1227,Sheet2!$S$4:$T$8)</f>
        <v>36+</v>
      </c>
      <c r="R1227" t="str">
        <f>LOOKUP(G1227,Sheet2!$V$4:$W$7)</f>
        <v>0.4 - 0.69</v>
      </c>
      <c r="S1227" t="str">
        <f>LOOKUP(H1227,Sheet2!$Z$4:$AA$7)</f>
        <v>46+</v>
      </c>
      <c r="T1227" t="str">
        <f t="shared" si="57"/>
        <v>Positive</v>
      </c>
      <c r="U1227" t="str">
        <f t="shared" si="58"/>
        <v>Negative</v>
      </c>
      <c r="V1227" s="1" t="str">
        <f t="shared" si="59"/>
        <v>Inaccurate Prediction</v>
      </c>
    </row>
    <row r="1228" spans="1:22" x14ac:dyDescent="0.25">
      <c r="A1228" s="1">
        <v>8</v>
      </c>
      <c r="B1228" s="1">
        <v>112</v>
      </c>
      <c r="C1228" s="1">
        <v>72</v>
      </c>
      <c r="D1228" s="1">
        <v>0</v>
      </c>
      <c r="E1228" s="1">
        <v>0</v>
      </c>
      <c r="F1228" s="1">
        <v>23.6</v>
      </c>
      <c r="G1228" s="1">
        <v>0.84</v>
      </c>
      <c r="H1228" s="1">
        <v>58</v>
      </c>
      <c r="I1228" s="1">
        <v>0</v>
      </c>
      <c r="J1228" s="1" t="str">
        <f>IFERROR(VLOOKUP(K1228,[1]diabetes_Recognition!$A:$B,2,FALSE),"Not Sampled")</f>
        <v>Not Sampled</v>
      </c>
      <c r="K1228" s="1">
        <v>1226</v>
      </c>
      <c r="L1228" s="1" t="str">
        <f>LOOKUP(A1228,Sheet2!$D$4:$E$9)</f>
        <v>8+</v>
      </c>
      <c r="M1228" t="str">
        <f>LOOKUP(B1228,Sheet2!$G$4:$H$9)</f>
        <v>100-125</v>
      </c>
      <c r="N1228" t="str">
        <f>LOOKUP(C1228,Sheet2!$J$4:$K$8)</f>
        <v>70-79</v>
      </c>
      <c r="O1228" t="str">
        <f>LOOKUP(D1228,Sheet2!$M$4:$N$8)</f>
        <v>Unknown</v>
      </c>
      <c r="P1228" t="str">
        <f>LOOKUP(E1228,Sheet2!$P$4:$Q$9)</f>
        <v>Unknown</v>
      </c>
      <c r="Q1228" t="str">
        <f>LOOKUP(F1228,Sheet2!$S$4:$T$8)</f>
        <v>1-25</v>
      </c>
      <c r="R1228" t="str">
        <f>LOOKUP(G1228,Sheet2!$V$4:$W$7)</f>
        <v>0.7+</v>
      </c>
      <c r="S1228" t="str">
        <f>LOOKUP(H1228,Sheet2!$Z$4:$AA$7)</f>
        <v>46+</v>
      </c>
      <c r="T1228" t="str">
        <f t="shared" si="57"/>
        <v>Negative</v>
      </c>
      <c r="U1228" t="str">
        <f t="shared" si="58"/>
        <v>Not Sampled</v>
      </c>
      <c r="V1228" s="1" t="str">
        <f t="shared" si="59"/>
        <v>Not Sampled</v>
      </c>
    </row>
    <row r="1229" spans="1:22" x14ac:dyDescent="0.25">
      <c r="A1229" s="1">
        <v>0</v>
      </c>
      <c r="B1229" s="1">
        <v>167</v>
      </c>
      <c r="C1229" s="1">
        <v>0</v>
      </c>
      <c r="D1229" s="1">
        <v>0</v>
      </c>
      <c r="E1229" s="1">
        <v>0</v>
      </c>
      <c r="F1229" s="1">
        <v>32.299999999999997</v>
      </c>
      <c r="G1229" s="1">
        <v>0.83899999999999997</v>
      </c>
      <c r="H1229" s="1">
        <v>30</v>
      </c>
      <c r="I1229" s="1">
        <v>1</v>
      </c>
      <c r="J1229" s="1">
        <f>IFERROR(VLOOKUP(K1229,[1]diabetes_Recognition!$A:$B,2,FALSE),"Not Sampled")</f>
        <v>1</v>
      </c>
      <c r="K1229" s="1">
        <v>1227</v>
      </c>
      <c r="L1229" s="1">
        <f>LOOKUP(A1229,Sheet2!$D$4:$E$9)</f>
        <v>0</v>
      </c>
      <c r="M1229" t="str">
        <f>LOOKUP(B1229,Sheet2!$G$4:$H$9)</f>
        <v>151-175</v>
      </c>
      <c r="N1229" t="str">
        <f>LOOKUP(C1229,Sheet2!$J$4:$K$8)</f>
        <v>Unknown</v>
      </c>
      <c r="O1229" t="str">
        <f>LOOKUP(D1229,Sheet2!$M$4:$N$8)</f>
        <v>Unknown</v>
      </c>
      <c r="P1229" t="str">
        <f>LOOKUP(E1229,Sheet2!$P$4:$Q$9)</f>
        <v>Unknown</v>
      </c>
      <c r="Q1229" t="str">
        <f>LOOKUP(F1229,Sheet2!$S$4:$T$8)</f>
        <v>31-35</v>
      </c>
      <c r="R1229" t="str">
        <f>LOOKUP(G1229,Sheet2!$V$4:$W$7)</f>
        <v>0.7+</v>
      </c>
      <c r="S1229" t="str">
        <f>LOOKUP(H1229,Sheet2!$Z$4:$AA$7)</f>
        <v>26-35</v>
      </c>
      <c r="T1229" t="str">
        <f t="shared" si="57"/>
        <v>Positive</v>
      </c>
      <c r="U1229" t="str">
        <f t="shared" si="58"/>
        <v>Positive</v>
      </c>
      <c r="V1229" s="1" t="str">
        <f t="shared" si="59"/>
        <v>Accurate Prediction</v>
      </c>
    </row>
    <row r="1230" spans="1:22" x14ac:dyDescent="0.25">
      <c r="A1230" s="1">
        <v>2</v>
      </c>
      <c r="B1230" s="1">
        <v>144</v>
      </c>
      <c r="C1230" s="1">
        <v>58</v>
      </c>
      <c r="D1230" s="1">
        <v>33</v>
      </c>
      <c r="E1230" s="1">
        <v>135</v>
      </c>
      <c r="F1230" s="1">
        <v>31.6</v>
      </c>
      <c r="G1230" s="1">
        <v>0.42199999999999999</v>
      </c>
      <c r="H1230" s="1">
        <v>25</v>
      </c>
      <c r="I1230" s="1">
        <v>1</v>
      </c>
      <c r="J1230" s="1">
        <f>IFERROR(VLOOKUP(K1230,[1]diabetes_Recognition!$A:$B,2,FALSE),"Not Sampled")</f>
        <v>0</v>
      </c>
      <c r="K1230" s="1">
        <v>1228</v>
      </c>
      <c r="L1230" s="1">
        <f>LOOKUP(A1230,Sheet2!$D$4:$E$9)</f>
        <v>2</v>
      </c>
      <c r="M1230" t="str">
        <f>LOOKUP(B1230,Sheet2!$G$4:$H$9)</f>
        <v>126-150</v>
      </c>
      <c r="N1230" t="str">
        <f>LOOKUP(C1230,Sheet2!$J$4:$K$8)</f>
        <v>1-59</v>
      </c>
      <c r="O1230" t="str">
        <f>LOOKUP(D1230,Sheet2!$M$4:$N$8)</f>
        <v>30-39</v>
      </c>
      <c r="P1230" t="str">
        <f>LOOKUP(E1230,Sheet2!$P$4:$Q$9)</f>
        <v>100-199</v>
      </c>
      <c r="Q1230" t="str">
        <f>LOOKUP(F1230,Sheet2!$S$4:$T$8)</f>
        <v>31-35</v>
      </c>
      <c r="R1230" t="str">
        <f>LOOKUP(G1230,Sheet2!$V$4:$W$7)</f>
        <v>0.4 - 0.69</v>
      </c>
      <c r="S1230" t="str">
        <f>LOOKUP(H1230,Sheet2!$Z$4:$AA$7)</f>
        <v>&lt;=25</v>
      </c>
      <c r="T1230" t="str">
        <f t="shared" si="57"/>
        <v>Positive</v>
      </c>
      <c r="U1230" t="str">
        <f t="shared" si="58"/>
        <v>Negative</v>
      </c>
      <c r="V1230" s="1" t="str">
        <f t="shared" si="59"/>
        <v>Inaccurate Prediction</v>
      </c>
    </row>
    <row r="1231" spans="1:22" x14ac:dyDescent="0.25">
      <c r="A1231" s="1">
        <v>5</v>
      </c>
      <c r="B1231" s="1">
        <v>77</v>
      </c>
      <c r="C1231" s="1">
        <v>82</v>
      </c>
      <c r="D1231" s="1">
        <v>41</v>
      </c>
      <c r="E1231" s="1">
        <v>42</v>
      </c>
      <c r="F1231" s="1">
        <v>35.799999999999997</v>
      </c>
      <c r="G1231" s="1">
        <v>0.156</v>
      </c>
      <c r="H1231" s="1">
        <v>35</v>
      </c>
      <c r="I1231" s="1">
        <v>0</v>
      </c>
      <c r="J1231" s="1" t="str">
        <f>IFERROR(VLOOKUP(K1231,[1]diabetes_Recognition!$A:$B,2,FALSE),"Not Sampled")</f>
        <v>Not Sampled</v>
      </c>
      <c r="K1231" s="1">
        <v>1229</v>
      </c>
      <c r="L1231" s="1" t="str">
        <f>LOOKUP(A1231,Sheet2!$D$4:$E$9)</f>
        <v>5-7</v>
      </c>
      <c r="M1231" t="str">
        <f>LOOKUP(B1231,Sheet2!$G$4:$H$9)</f>
        <v>1-99</v>
      </c>
      <c r="N1231" t="str">
        <f>LOOKUP(C1231,Sheet2!$J$4:$K$8)</f>
        <v>80+</v>
      </c>
      <c r="O1231" t="str">
        <f>LOOKUP(D1231,Sheet2!$M$4:$N$8)</f>
        <v>40+</v>
      </c>
      <c r="P1231" t="str">
        <f>LOOKUP(E1231,Sheet2!$P$4:$Q$9)</f>
        <v>1-99</v>
      </c>
      <c r="Q1231" t="str">
        <f>LOOKUP(F1231,Sheet2!$S$4:$T$8)</f>
        <v>31-35</v>
      </c>
      <c r="R1231" t="str">
        <f>LOOKUP(G1231,Sheet2!$V$4:$W$7)</f>
        <v>0.0 - 0.249</v>
      </c>
      <c r="S1231" t="str">
        <f>LOOKUP(H1231,Sheet2!$Z$4:$AA$7)</f>
        <v>26-35</v>
      </c>
      <c r="T1231" t="str">
        <f t="shared" si="57"/>
        <v>Negative</v>
      </c>
      <c r="U1231" t="str">
        <f t="shared" si="58"/>
        <v>Not Sampled</v>
      </c>
      <c r="V1231" s="1" t="str">
        <f t="shared" si="59"/>
        <v>Not Sampled</v>
      </c>
    </row>
    <row r="1232" spans="1:22" x14ac:dyDescent="0.25">
      <c r="A1232" s="1">
        <v>5</v>
      </c>
      <c r="B1232" s="1">
        <v>115</v>
      </c>
      <c r="C1232" s="1">
        <v>98</v>
      </c>
      <c r="D1232" s="1">
        <v>0</v>
      </c>
      <c r="E1232" s="1">
        <v>0</v>
      </c>
      <c r="F1232" s="1">
        <v>52.9</v>
      </c>
      <c r="G1232" s="1">
        <v>0.20899999999999999</v>
      </c>
      <c r="H1232" s="1">
        <v>28</v>
      </c>
      <c r="I1232" s="1">
        <v>1</v>
      </c>
      <c r="J1232" s="1">
        <f>IFERROR(VLOOKUP(K1232,[1]diabetes_Recognition!$A:$B,2,FALSE),"Not Sampled")</f>
        <v>1</v>
      </c>
      <c r="K1232" s="1">
        <v>1230</v>
      </c>
      <c r="L1232" s="1" t="str">
        <f>LOOKUP(A1232,Sheet2!$D$4:$E$9)</f>
        <v>5-7</v>
      </c>
      <c r="M1232" t="str">
        <f>LOOKUP(B1232,Sheet2!$G$4:$H$9)</f>
        <v>100-125</v>
      </c>
      <c r="N1232" t="str">
        <f>LOOKUP(C1232,Sheet2!$J$4:$K$8)</f>
        <v>80+</v>
      </c>
      <c r="O1232" t="str">
        <f>LOOKUP(D1232,Sheet2!$M$4:$N$8)</f>
        <v>Unknown</v>
      </c>
      <c r="P1232" t="str">
        <f>LOOKUP(E1232,Sheet2!$P$4:$Q$9)</f>
        <v>Unknown</v>
      </c>
      <c r="Q1232" t="str">
        <f>LOOKUP(F1232,Sheet2!$S$4:$T$8)</f>
        <v>36+</v>
      </c>
      <c r="R1232" t="str">
        <f>LOOKUP(G1232,Sheet2!$V$4:$W$7)</f>
        <v>0.0 - 0.249</v>
      </c>
      <c r="S1232" t="str">
        <f>LOOKUP(H1232,Sheet2!$Z$4:$AA$7)</f>
        <v>26-35</v>
      </c>
      <c r="T1232" t="str">
        <f t="shared" si="57"/>
        <v>Positive</v>
      </c>
      <c r="U1232" t="str">
        <f t="shared" si="58"/>
        <v>Positive</v>
      </c>
      <c r="V1232" s="1" t="str">
        <f t="shared" si="59"/>
        <v>Accurate Prediction</v>
      </c>
    </row>
    <row r="1233" spans="1:22" x14ac:dyDescent="0.25">
      <c r="A1233" s="1">
        <v>3</v>
      </c>
      <c r="B1233" s="1">
        <v>150</v>
      </c>
      <c r="C1233" s="1">
        <v>76</v>
      </c>
      <c r="D1233" s="1">
        <v>0</v>
      </c>
      <c r="E1233" s="1">
        <v>0</v>
      </c>
      <c r="F1233" s="1">
        <v>21</v>
      </c>
      <c r="G1233" s="1">
        <v>0.20699999999999999</v>
      </c>
      <c r="H1233" s="1">
        <v>37</v>
      </c>
      <c r="I1233" s="1">
        <v>0</v>
      </c>
      <c r="J1233" s="1">
        <f>IFERROR(VLOOKUP(K1233,[1]diabetes_Recognition!$A:$B,2,FALSE),"Not Sampled")</f>
        <v>0</v>
      </c>
      <c r="K1233" s="1">
        <v>1231</v>
      </c>
      <c r="L1233" s="1" t="str">
        <f>LOOKUP(A1233,Sheet2!$D$4:$E$9)</f>
        <v>3-4</v>
      </c>
      <c r="M1233" t="str">
        <f>LOOKUP(B1233,Sheet2!$G$4:$H$9)</f>
        <v>126-150</v>
      </c>
      <c r="N1233" t="str">
        <f>LOOKUP(C1233,Sheet2!$J$4:$K$8)</f>
        <v>70-79</v>
      </c>
      <c r="O1233" t="str">
        <f>LOOKUP(D1233,Sheet2!$M$4:$N$8)</f>
        <v>Unknown</v>
      </c>
      <c r="P1233" t="str">
        <f>LOOKUP(E1233,Sheet2!$P$4:$Q$9)</f>
        <v>Unknown</v>
      </c>
      <c r="Q1233" t="str">
        <f>LOOKUP(F1233,Sheet2!$S$4:$T$8)</f>
        <v>1-25</v>
      </c>
      <c r="R1233" t="str">
        <f>LOOKUP(G1233,Sheet2!$V$4:$W$7)</f>
        <v>0.0 - 0.249</v>
      </c>
      <c r="S1233" t="str">
        <f>LOOKUP(H1233,Sheet2!$Z$4:$AA$7)</f>
        <v>36-45</v>
      </c>
      <c r="T1233" t="str">
        <f t="shared" si="57"/>
        <v>Negative</v>
      </c>
      <c r="U1233" t="str">
        <f t="shared" si="58"/>
        <v>Negative</v>
      </c>
      <c r="V1233" s="1" t="str">
        <f t="shared" si="59"/>
        <v>Accurate Prediction</v>
      </c>
    </row>
    <row r="1234" spans="1:22" x14ac:dyDescent="0.25">
      <c r="A1234" s="1">
        <v>2</v>
      </c>
      <c r="B1234" s="1">
        <v>120</v>
      </c>
      <c r="C1234" s="1">
        <v>76</v>
      </c>
      <c r="D1234" s="1">
        <v>37</v>
      </c>
      <c r="E1234" s="1">
        <v>105</v>
      </c>
      <c r="F1234" s="1">
        <v>39.700000000000003</v>
      </c>
      <c r="G1234" s="1">
        <v>0.215</v>
      </c>
      <c r="H1234" s="1">
        <v>29</v>
      </c>
      <c r="I1234" s="1">
        <v>0</v>
      </c>
      <c r="J1234" s="1" t="str">
        <f>IFERROR(VLOOKUP(K1234,[1]diabetes_Recognition!$A:$B,2,FALSE),"Not Sampled")</f>
        <v>Not Sampled</v>
      </c>
      <c r="K1234" s="1">
        <v>1232</v>
      </c>
      <c r="L1234" s="1">
        <f>LOOKUP(A1234,Sheet2!$D$4:$E$9)</f>
        <v>2</v>
      </c>
      <c r="M1234" t="str">
        <f>LOOKUP(B1234,Sheet2!$G$4:$H$9)</f>
        <v>100-125</v>
      </c>
      <c r="N1234" t="str">
        <f>LOOKUP(C1234,Sheet2!$J$4:$K$8)</f>
        <v>70-79</v>
      </c>
      <c r="O1234" t="str">
        <f>LOOKUP(D1234,Sheet2!$M$4:$N$8)</f>
        <v>30-39</v>
      </c>
      <c r="P1234" t="str">
        <f>LOOKUP(E1234,Sheet2!$P$4:$Q$9)</f>
        <v>100-199</v>
      </c>
      <c r="Q1234" t="str">
        <f>LOOKUP(F1234,Sheet2!$S$4:$T$8)</f>
        <v>36+</v>
      </c>
      <c r="R1234" t="str">
        <f>LOOKUP(G1234,Sheet2!$V$4:$W$7)</f>
        <v>0.0 - 0.249</v>
      </c>
      <c r="S1234" t="str">
        <f>LOOKUP(H1234,Sheet2!$Z$4:$AA$7)</f>
        <v>26-35</v>
      </c>
      <c r="T1234" t="str">
        <f t="shared" si="57"/>
        <v>Negative</v>
      </c>
      <c r="U1234" t="str">
        <f t="shared" si="58"/>
        <v>Not Sampled</v>
      </c>
      <c r="V1234" s="1" t="str">
        <f t="shared" si="59"/>
        <v>Not Sampled</v>
      </c>
    </row>
    <row r="1235" spans="1:22" x14ac:dyDescent="0.25">
      <c r="A1235" s="1">
        <v>10</v>
      </c>
      <c r="B1235" s="1">
        <v>161</v>
      </c>
      <c r="C1235" s="1">
        <v>68</v>
      </c>
      <c r="D1235" s="1">
        <v>23</v>
      </c>
      <c r="E1235" s="1">
        <v>132</v>
      </c>
      <c r="F1235" s="1">
        <v>25.5</v>
      </c>
      <c r="G1235" s="1">
        <v>0.32600000000000001</v>
      </c>
      <c r="H1235" s="1">
        <v>47</v>
      </c>
      <c r="I1235" s="1">
        <v>1</v>
      </c>
      <c r="J1235" s="1" t="str">
        <f>IFERROR(VLOOKUP(K1235,[1]diabetes_Recognition!$A:$B,2,FALSE),"Not Sampled")</f>
        <v>Not Sampled</v>
      </c>
      <c r="K1235" s="1">
        <v>1233</v>
      </c>
      <c r="L1235" s="1" t="str">
        <f>LOOKUP(A1235,Sheet2!$D$4:$E$9)</f>
        <v>8+</v>
      </c>
      <c r="M1235" t="str">
        <f>LOOKUP(B1235,Sheet2!$G$4:$H$9)</f>
        <v>151-175</v>
      </c>
      <c r="N1235" t="str">
        <f>LOOKUP(C1235,Sheet2!$J$4:$K$8)</f>
        <v>60-69</v>
      </c>
      <c r="O1235" t="str">
        <f>LOOKUP(D1235,Sheet2!$M$4:$N$8)</f>
        <v>10-30</v>
      </c>
      <c r="P1235" t="str">
        <f>LOOKUP(E1235,Sheet2!$P$4:$Q$9)</f>
        <v>100-199</v>
      </c>
      <c r="Q1235" t="str">
        <f>LOOKUP(F1235,Sheet2!$S$4:$T$8)</f>
        <v>1-25</v>
      </c>
      <c r="R1235" t="str">
        <f>LOOKUP(G1235,Sheet2!$V$4:$W$7)</f>
        <v>0.25 - 0.39</v>
      </c>
      <c r="S1235" t="str">
        <f>LOOKUP(H1235,Sheet2!$Z$4:$AA$7)</f>
        <v>46+</v>
      </c>
      <c r="T1235" t="str">
        <f t="shared" si="57"/>
        <v>Positive</v>
      </c>
      <c r="U1235" t="str">
        <f t="shared" si="58"/>
        <v>Not Sampled</v>
      </c>
      <c r="V1235" s="1" t="str">
        <f t="shared" si="59"/>
        <v>Not Sampled</v>
      </c>
    </row>
    <row r="1236" spans="1:22" x14ac:dyDescent="0.25">
      <c r="A1236" s="1">
        <v>0</v>
      </c>
      <c r="B1236" s="1">
        <v>137</v>
      </c>
      <c r="C1236" s="1">
        <v>68</v>
      </c>
      <c r="D1236" s="1">
        <v>14</v>
      </c>
      <c r="E1236" s="1">
        <v>148</v>
      </c>
      <c r="F1236" s="1">
        <v>24.8</v>
      </c>
      <c r="G1236" s="1">
        <v>0.14299999999999999</v>
      </c>
      <c r="H1236" s="1">
        <v>21</v>
      </c>
      <c r="I1236" s="1">
        <v>0</v>
      </c>
      <c r="J1236" s="1" t="str">
        <f>IFERROR(VLOOKUP(K1236,[1]diabetes_Recognition!$A:$B,2,FALSE),"Not Sampled")</f>
        <v>Not Sampled</v>
      </c>
      <c r="K1236" s="1">
        <v>1234</v>
      </c>
      <c r="L1236" s="1">
        <f>LOOKUP(A1236,Sheet2!$D$4:$E$9)</f>
        <v>0</v>
      </c>
      <c r="M1236" t="str">
        <f>LOOKUP(B1236,Sheet2!$G$4:$H$9)</f>
        <v>126-150</v>
      </c>
      <c r="N1236" t="str">
        <f>LOOKUP(C1236,Sheet2!$J$4:$K$8)</f>
        <v>60-69</v>
      </c>
      <c r="O1236" t="str">
        <f>LOOKUP(D1236,Sheet2!$M$4:$N$8)</f>
        <v>10-30</v>
      </c>
      <c r="P1236" t="str">
        <f>LOOKUP(E1236,Sheet2!$P$4:$Q$9)</f>
        <v>100-199</v>
      </c>
      <c r="Q1236" t="str">
        <f>LOOKUP(F1236,Sheet2!$S$4:$T$8)</f>
        <v>1-25</v>
      </c>
      <c r="R1236" t="str">
        <f>LOOKUP(G1236,Sheet2!$V$4:$W$7)</f>
        <v>0.0 - 0.249</v>
      </c>
      <c r="S1236" t="str">
        <f>LOOKUP(H1236,Sheet2!$Z$4:$AA$7)</f>
        <v>&lt;=25</v>
      </c>
      <c r="T1236" t="str">
        <f t="shared" si="57"/>
        <v>Negative</v>
      </c>
      <c r="U1236" t="str">
        <f t="shared" si="58"/>
        <v>Not Sampled</v>
      </c>
      <c r="V1236" s="1" t="str">
        <f t="shared" si="59"/>
        <v>Not Sampled</v>
      </c>
    </row>
    <row r="1237" spans="1:22" x14ac:dyDescent="0.25">
      <c r="A1237" s="1">
        <v>0</v>
      </c>
      <c r="B1237" s="1">
        <v>128</v>
      </c>
      <c r="C1237" s="1">
        <v>68</v>
      </c>
      <c r="D1237" s="1">
        <v>19</v>
      </c>
      <c r="E1237" s="1">
        <v>180</v>
      </c>
      <c r="F1237" s="1">
        <v>30.5</v>
      </c>
      <c r="G1237" s="1">
        <v>1.391</v>
      </c>
      <c r="H1237" s="1">
        <v>25</v>
      </c>
      <c r="I1237" s="1">
        <v>1</v>
      </c>
      <c r="J1237" s="1" t="str">
        <f>IFERROR(VLOOKUP(K1237,[1]diabetes_Recognition!$A:$B,2,FALSE),"Not Sampled")</f>
        <v>Not Sampled</v>
      </c>
      <c r="K1237" s="1">
        <v>1235</v>
      </c>
      <c r="L1237" s="1">
        <f>LOOKUP(A1237,Sheet2!$D$4:$E$9)</f>
        <v>0</v>
      </c>
      <c r="M1237" t="str">
        <f>LOOKUP(B1237,Sheet2!$G$4:$H$9)</f>
        <v>126-150</v>
      </c>
      <c r="N1237" t="str">
        <f>LOOKUP(C1237,Sheet2!$J$4:$K$8)</f>
        <v>60-69</v>
      </c>
      <c r="O1237" t="str">
        <f>LOOKUP(D1237,Sheet2!$M$4:$N$8)</f>
        <v>10-30</v>
      </c>
      <c r="P1237" t="str">
        <f>LOOKUP(E1237,Sheet2!$P$4:$Q$9)</f>
        <v>100-199</v>
      </c>
      <c r="Q1237" t="str">
        <f>LOOKUP(F1237,Sheet2!$S$4:$T$8)</f>
        <v>26-30</v>
      </c>
      <c r="R1237" t="str">
        <f>LOOKUP(G1237,Sheet2!$V$4:$W$7)</f>
        <v>0.7+</v>
      </c>
      <c r="S1237" t="str">
        <f>LOOKUP(H1237,Sheet2!$Z$4:$AA$7)</f>
        <v>&lt;=25</v>
      </c>
      <c r="T1237" t="str">
        <f t="shared" si="57"/>
        <v>Positive</v>
      </c>
      <c r="U1237" t="str">
        <f t="shared" si="58"/>
        <v>Not Sampled</v>
      </c>
      <c r="V1237" s="1" t="str">
        <f t="shared" si="59"/>
        <v>Not Sampled</v>
      </c>
    </row>
    <row r="1238" spans="1:22" x14ac:dyDescent="0.25">
      <c r="A1238" s="1">
        <v>2</v>
      </c>
      <c r="B1238" s="1">
        <v>124</v>
      </c>
      <c r="C1238" s="1">
        <v>68</v>
      </c>
      <c r="D1238" s="1">
        <v>28</v>
      </c>
      <c r="E1238" s="1">
        <v>205</v>
      </c>
      <c r="F1238" s="1">
        <v>32.9</v>
      </c>
      <c r="G1238" s="1">
        <v>0.875</v>
      </c>
      <c r="H1238" s="1">
        <v>30</v>
      </c>
      <c r="I1238" s="1">
        <v>1</v>
      </c>
      <c r="J1238" s="1" t="str">
        <f>IFERROR(VLOOKUP(K1238,[1]diabetes_Recognition!$A:$B,2,FALSE),"Not Sampled")</f>
        <v>Not Sampled</v>
      </c>
      <c r="K1238" s="1">
        <v>1236</v>
      </c>
      <c r="L1238" s="1">
        <f>LOOKUP(A1238,Sheet2!$D$4:$E$9)</f>
        <v>2</v>
      </c>
      <c r="M1238" t="str">
        <f>LOOKUP(B1238,Sheet2!$G$4:$H$9)</f>
        <v>100-125</v>
      </c>
      <c r="N1238" t="str">
        <f>LOOKUP(C1238,Sheet2!$J$4:$K$8)</f>
        <v>60-69</v>
      </c>
      <c r="O1238" t="str">
        <f>LOOKUP(D1238,Sheet2!$M$4:$N$8)</f>
        <v>10-30</v>
      </c>
      <c r="P1238" t="str">
        <f>LOOKUP(E1238,Sheet2!$P$4:$Q$9)</f>
        <v>200-399</v>
      </c>
      <c r="Q1238" t="str">
        <f>LOOKUP(F1238,Sheet2!$S$4:$T$8)</f>
        <v>31-35</v>
      </c>
      <c r="R1238" t="str">
        <f>LOOKUP(G1238,Sheet2!$V$4:$W$7)</f>
        <v>0.7+</v>
      </c>
      <c r="S1238" t="str">
        <f>LOOKUP(H1238,Sheet2!$Z$4:$AA$7)</f>
        <v>26-35</v>
      </c>
      <c r="T1238" t="str">
        <f t="shared" si="57"/>
        <v>Positive</v>
      </c>
      <c r="U1238" t="str">
        <f t="shared" si="58"/>
        <v>Not Sampled</v>
      </c>
      <c r="V1238" s="1" t="str">
        <f t="shared" si="59"/>
        <v>Not Sampled</v>
      </c>
    </row>
    <row r="1239" spans="1:22" x14ac:dyDescent="0.25">
      <c r="A1239" s="1">
        <v>6</v>
      </c>
      <c r="B1239" s="1">
        <v>80</v>
      </c>
      <c r="C1239" s="1">
        <v>66</v>
      </c>
      <c r="D1239" s="1">
        <v>30</v>
      </c>
      <c r="E1239" s="1">
        <v>0</v>
      </c>
      <c r="F1239" s="1">
        <v>26.2</v>
      </c>
      <c r="G1239" s="1">
        <v>0.313</v>
      </c>
      <c r="H1239" s="1">
        <v>41</v>
      </c>
      <c r="I1239" s="1">
        <v>0</v>
      </c>
      <c r="J1239" s="1">
        <f>IFERROR(VLOOKUP(K1239,[1]diabetes_Recognition!$A:$B,2,FALSE),"Not Sampled")</f>
        <v>0</v>
      </c>
      <c r="K1239" s="1">
        <v>1237</v>
      </c>
      <c r="L1239" s="1" t="str">
        <f>LOOKUP(A1239,Sheet2!$D$4:$E$9)</f>
        <v>5-7</v>
      </c>
      <c r="M1239" t="str">
        <f>LOOKUP(B1239,Sheet2!$G$4:$H$9)</f>
        <v>1-99</v>
      </c>
      <c r="N1239" t="str">
        <f>LOOKUP(C1239,Sheet2!$J$4:$K$8)</f>
        <v>60-69</v>
      </c>
      <c r="O1239" t="str">
        <f>LOOKUP(D1239,Sheet2!$M$4:$N$8)</f>
        <v>30-39</v>
      </c>
      <c r="P1239" t="str">
        <f>LOOKUP(E1239,Sheet2!$P$4:$Q$9)</f>
        <v>Unknown</v>
      </c>
      <c r="Q1239" t="str">
        <f>LOOKUP(F1239,Sheet2!$S$4:$T$8)</f>
        <v>26-30</v>
      </c>
      <c r="R1239" t="str">
        <f>LOOKUP(G1239,Sheet2!$V$4:$W$7)</f>
        <v>0.25 - 0.39</v>
      </c>
      <c r="S1239" t="str">
        <f>LOOKUP(H1239,Sheet2!$Z$4:$AA$7)</f>
        <v>36-45</v>
      </c>
      <c r="T1239" t="str">
        <f t="shared" si="57"/>
        <v>Negative</v>
      </c>
      <c r="U1239" t="str">
        <f t="shared" si="58"/>
        <v>Negative</v>
      </c>
      <c r="V1239" s="1" t="str">
        <f t="shared" si="59"/>
        <v>Accurate Prediction</v>
      </c>
    </row>
    <row r="1240" spans="1:22" x14ac:dyDescent="0.25">
      <c r="A1240" s="1">
        <v>0</v>
      </c>
      <c r="B1240" s="1">
        <v>106</v>
      </c>
      <c r="C1240" s="1">
        <v>70</v>
      </c>
      <c r="D1240" s="1">
        <v>37</v>
      </c>
      <c r="E1240" s="1">
        <v>148</v>
      </c>
      <c r="F1240" s="1">
        <v>39.4</v>
      </c>
      <c r="G1240" s="1">
        <v>0.60499999999999998</v>
      </c>
      <c r="H1240" s="1">
        <v>22</v>
      </c>
      <c r="I1240" s="1">
        <v>0</v>
      </c>
      <c r="J1240" s="1" t="str">
        <f>IFERROR(VLOOKUP(K1240,[1]diabetes_Recognition!$A:$B,2,FALSE),"Not Sampled")</f>
        <v>Not Sampled</v>
      </c>
      <c r="K1240" s="1">
        <v>1238</v>
      </c>
      <c r="L1240" s="1">
        <f>LOOKUP(A1240,Sheet2!$D$4:$E$9)</f>
        <v>0</v>
      </c>
      <c r="M1240" t="str">
        <f>LOOKUP(B1240,Sheet2!$G$4:$H$9)</f>
        <v>100-125</v>
      </c>
      <c r="N1240" t="str">
        <f>LOOKUP(C1240,Sheet2!$J$4:$K$8)</f>
        <v>70-79</v>
      </c>
      <c r="O1240" t="str">
        <f>LOOKUP(D1240,Sheet2!$M$4:$N$8)</f>
        <v>30-39</v>
      </c>
      <c r="P1240" t="str">
        <f>LOOKUP(E1240,Sheet2!$P$4:$Q$9)</f>
        <v>100-199</v>
      </c>
      <c r="Q1240" t="str">
        <f>LOOKUP(F1240,Sheet2!$S$4:$T$8)</f>
        <v>36+</v>
      </c>
      <c r="R1240" t="str">
        <f>LOOKUP(G1240,Sheet2!$V$4:$W$7)</f>
        <v>0.4 - 0.69</v>
      </c>
      <c r="S1240" t="str">
        <f>LOOKUP(H1240,Sheet2!$Z$4:$AA$7)</f>
        <v>&lt;=25</v>
      </c>
      <c r="T1240" t="str">
        <f t="shared" si="57"/>
        <v>Negative</v>
      </c>
      <c r="U1240" t="str">
        <f t="shared" si="58"/>
        <v>Not Sampled</v>
      </c>
      <c r="V1240" s="1" t="str">
        <f t="shared" si="59"/>
        <v>Not Sampled</v>
      </c>
    </row>
    <row r="1241" spans="1:22" x14ac:dyDescent="0.25">
      <c r="A1241" s="1">
        <v>2</v>
      </c>
      <c r="B1241" s="1">
        <v>155</v>
      </c>
      <c r="C1241" s="1">
        <v>74</v>
      </c>
      <c r="D1241" s="1">
        <v>17</v>
      </c>
      <c r="E1241" s="1">
        <v>96</v>
      </c>
      <c r="F1241" s="1">
        <v>26.6</v>
      </c>
      <c r="G1241" s="1">
        <v>0.433</v>
      </c>
      <c r="H1241" s="1">
        <v>27</v>
      </c>
      <c r="I1241" s="1">
        <v>1</v>
      </c>
      <c r="J1241" s="1" t="str">
        <f>IFERROR(VLOOKUP(K1241,[1]diabetes_Recognition!$A:$B,2,FALSE),"Not Sampled")</f>
        <v>Not Sampled</v>
      </c>
      <c r="K1241" s="1">
        <v>1239</v>
      </c>
      <c r="L1241" s="1">
        <f>LOOKUP(A1241,Sheet2!$D$4:$E$9)</f>
        <v>2</v>
      </c>
      <c r="M1241" t="str">
        <f>LOOKUP(B1241,Sheet2!$G$4:$H$9)</f>
        <v>151-175</v>
      </c>
      <c r="N1241" t="str">
        <f>LOOKUP(C1241,Sheet2!$J$4:$K$8)</f>
        <v>70-79</v>
      </c>
      <c r="O1241" t="str">
        <f>LOOKUP(D1241,Sheet2!$M$4:$N$8)</f>
        <v>10-30</v>
      </c>
      <c r="P1241" t="str">
        <f>LOOKUP(E1241,Sheet2!$P$4:$Q$9)</f>
        <v>1-99</v>
      </c>
      <c r="Q1241" t="str">
        <f>LOOKUP(F1241,Sheet2!$S$4:$T$8)</f>
        <v>26-30</v>
      </c>
      <c r="R1241" t="str">
        <f>LOOKUP(G1241,Sheet2!$V$4:$W$7)</f>
        <v>0.4 - 0.69</v>
      </c>
      <c r="S1241" t="str">
        <f>LOOKUP(H1241,Sheet2!$Z$4:$AA$7)</f>
        <v>26-35</v>
      </c>
      <c r="T1241" t="str">
        <f t="shared" si="57"/>
        <v>Positive</v>
      </c>
      <c r="U1241" t="str">
        <f t="shared" si="58"/>
        <v>Not Sampled</v>
      </c>
      <c r="V1241" s="1" t="str">
        <f t="shared" si="59"/>
        <v>Not Sampled</v>
      </c>
    </row>
    <row r="1242" spans="1:22" x14ac:dyDescent="0.25">
      <c r="A1242" s="1">
        <v>3</v>
      </c>
      <c r="B1242" s="1">
        <v>113</v>
      </c>
      <c r="C1242" s="1">
        <v>50</v>
      </c>
      <c r="D1242" s="1">
        <v>10</v>
      </c>
      <c r="E1242" s="1">
        <v>85</v>
      </c>
      <c r="F1242" s="1">
        <v>29.5</v>
      </c>
      <c r="G1242" s="1">
        <v>0.626</v>
      </c>
      <c r="H1242" s="1">
        <v>25</v>
      </c>
      <c r="I1242" s="1">
        <v>0</v>
      </c>
      <c r="J1242" s="1" t="str">
        <f>IFERROR(VLOOKUP(K1242,[1]diabetes_Recognition!$A:$B,2,FALSE),"Not Sampled")</f>
        <v>Not Sampled</v>
      </c>
      <c r="K1242" s="1">
        <v>1240</v>
      </c>
      <c r="L1242" s="1" t="str">
        <f>LOOKUP(A1242,Sheet2!$D$4:$E$9)</f>
        <v>3-4</v>
      </c>
      <c r="M1242" t="str">
        <f>LOOKUP(B1242,Sheet2!$G$4:$H$9)</f>
        <v>100-125</v>
      </c>
      <c r="N1242" t="str">
        <f>LOOKUP(C1242,Sheet2!$J$4:$K$8)</f>
        <v>1-59</v>
      </c>
      <c r="O1242" t="str">
        <f>LOOKUP(D1242,Sheet2!$M$4:$N$8)</f>
        <v>10-30</v>
      </c>
      <c r="P1242" t="str">
        <f>LOOKUP(E1242,Sheet2!$P$4:$Q$9)</f>
        <v>1-99</v>
      </c>
      <c r="Q1242" t="str">
        <f>LOOKUP(F1242,Sheet2!$S$4:$T$8)</f>
        <v>26-30</v>
      </c>
      <c r="R1242" t="str">
        <f>LOOKUP(G1242,Sheet2!$V$4:$W$7)</f>
        <v>0.4 - 0.69</v>
      </c>
      <c r="S1242" t="str">
        <f>LOOKUP(H1242,Sheet2!$Z$4:$AA$7)</f>
        <v>&lt;=25</v>
      </c>
      <c r="T1242" t="str">
        <f t="shared" si="57"/>
        <v>Negative</v>
      </c>
      <c r="U1242" t="str">
        <f t="shared" si="58"/>
        <v>Not Sampled</v>
      </c>
      <c r="V1242" s="1" t="str">
        <f t="shared" si="59"/>
        <v>Not Sampled</v>
      </c>
    </row>
    <row r="1243" spans="1:22" x14ac:dyDescent="0.25">
      <c r="A1243" s="1">
        <v>7</v>
      </c>
      <c r="B1243" s="1">
        <v>109</v>
      </c>
      <c r="C1243" s="1">
        <v>80</v>
      </c>
      <c r="D1243" s="1">
        <v>31</v>
      </c>
      <c r="E1243" s="1">
        <v>0</v>
      </c>
      <c r="F1243" s="1">
        <v>35.9</v>
      </c>
      <c r="G1243" s="1">
        <v>1.127</v>
      </c>
      <c r="H1243" s="1">
        <v>43</v>
      </c>
      <c r="I1243" s="1">
        <v>1</v>
      </c>
      <c r="J1243" s="1" t="str">
        <f>IFERROR(VLOOKUP(K1243,[1]diabetes_Recognition!$A:$B,2,FALSE),"Not Sampled")</f>
        <v>Not Sampled</v>
      </c>
      <c r="K1243" s="1">
        <v>1241</v>
      </c>
      <c r="L1243" s="1" t="str">
        <f>LOOKUP(A1243,Sheet2!$D$4:$E$9)</f>
        <v>5-7</v>
      </c>
      <c r="M1243" t="str">
        <f>LOOKUP(B1243,Sheet2!$G$4:$H$9)</f>
        <v>100-125</v>
      </c>
      <c r="N1243" t="str">
        <f>LOOKUP(C1243,Sheet2!$J$4:$K$8)</f>
        <v>80+</v>
      </c>
      <c r="O1243" t="str">
        <f>LOOKUP(D1243,Sheet2!$M$4:$N$8)</f>
        <v>30-39</v>
      </c>
      <c r="P1243" t="str">
        <f>LOOKUP(E1243,Sheet2!$P$4:$Q$9)</f>
        <v>Unknown</v>
      </c>
      <c r="Q1243" t="str">
        <f>LOOKUP(F1243,Sheet2!$S$4:$T$8)</f>
        <v>31-35</v>
      </c>
      <c r="R1243" t="str">
        <f>LOOKUP(G1243,Sheet2!$V$4:$W$7)</f>
        <v>0.7+</v>
      </c>
      <c r="S1243" t="str">
        <f>LOOKUP(H1243,Sheet2!$Z$4:$AA$7)</f>
        <v>36-45</v>
      </c>
      <c r="T1243" t="str">
        <f t="shared" si="57"/>
        <v>Positive</v>
      </c>
      <c r="U1243" t="str">
        <f t="shared" si="58"/>
        <v>Not Sampled</v>
      </c>
      <c r="V1243" s="1" t="str">
        <f t="shared" si="59"/>
        <v>Not Sampled</v>
      </c>
    </row>
    <row r="1244" spans="1:22" x14ac:dyDescent="0.25">
      <c r="A1244" s="1">
        <v>2</v>
      </c>
      <c r="B1244" s="1">
        <v>112</v>
      </c>
      <c r="C1244" s="1">
        <v>68</v>
      </c>
      <c r="D1244" s="1">
        <v>22</v>
      </c>
      <c r="E1244" s="1">
        <v>94</v>
      </c>
      <c r="F1244" s="1">
        <v>34.1</v>
      </c>
      <c r="G1244" s="1">
        <v>0.315</v>
      </c>
      <c r="H1244" s="1">
        <v>26</v>
      </c>
      <c r="I1244" s="1">
        <v>0</v>
      </c>
      <c r="J1244" s="1" t="str">
        <f>IFERROR(VLOOKUP(K1244,[1]diabetes_Recognition!$A:$B,2,FALSE),"Not Sampled")</f>
        <v>Not Sampled</v>
      </c>
      <c r="K1244" s="1">
        <v>1242</v>
      </c>
      <c r="L1244" s="1">
        <f>LOOKUP(A1244,Sheet2!$D$4:$E$9)</f>
        <v>2</v>
      </c>
      <c r="M1244" t="str">
        <f>LOOKUP(B1244,Sheet2!$G$4:$H$9)</f>
        <v>100-125</v>
      </c>
      <c r="N1244" t="str">
        <f>LOOKUP(C1244,Sheet2!$J$4:$K$8)</f>
        <v>60-69</v>
      </c>
      <c r="O1244" t="str">
        <f>LOOKUP(D1244,Sheet2!$M$4:$N$8)</f>
        <v>10-30</v>
      </c>
      <c r="P1244" t="str">
        <f>LOOKUP(E1244,Sheet2!$P$4:$Q$9)</f>
        <v>1-99</v>
      </c>
      <c r="Q1244" t="str">
        <f>LOOKUP(F1244,Sheet2!$S$4:$T$8)</f>
        <v>31-35</v>
      </c>
      <c r="R1244" t="str">
        <f>LOOKUP(G1244,Sheet2!$V$4:$W$7)</f>
        <v>0.25 - 0.39</v>
      </c>
      <c r="S1244" t="str">
        <f>LOOKUP(H1244,Sheet2!$Z$4:$AA$7)</f>
        <v>26-35</v>
      </c>
      <c r="T1244" t="str">
        <f t="shared" si="57"/>
        <v>Negative</v>
      </c>
      <c r="U1244" t="str">
        <f t="shared" si="58"/>
        <v>Not Sampled</v>
      </c>
      <c r="V1244" s="1" t="str">
        <f t="shared" si="59"/>
        <v>Not Sampled</v>
      </c>
    </row>
    <row r="1245" spans="1:22" x14ac:dyDescent="0.25">
      <c r="A1245" s="1">
        <v>3</v>
      </c>
      <c r="B1245" s="1">
        <v>99</v>
      </c>
      <c r="C1245" s="1">
        <v>80</v>
      </c>
      <c r="D1245" s="1">
        <v>11</v>
      </c>
      <c r="E1245" s="1">
        <v>64</v>
      </c>
      <c r="F1245" s="1">
        <v>19.3</v>
      </c>
      <c r="G1245" s="1">
        <v>0.28399999999999997</v>
      </c>
      <c r="H1245" s="1">
        <v>30</v>
      </c>
      <c r="I1245" s="1">
        <v>0</v>
      </c>
      <c r="J1245" s="1">
        <f>IFERROR(VLOOKUP(K1245,[1]diabetes_Recognition!$A:$B,2,FALSE),"Not Sampled")</f>
        <v>0</v>
      </c>
      <c r="K1245" s="1">
        <v>1243</v>
      </c>
      <c r="L1245" s="1" t="str">
        <f>LOOKUP(A1245,Sheet2!$D$4:$E$9)</f>
        <v>3-4</v>
      </c>
      <c r="M1245" t="str">
        <f>LOOKUP(B1245,Sheet2!$G$4:$H$9)</f>
        <v>1-99</v>
      </c>
      <c r="N1245" t="str">
        <f>LOOKUP(C1245,Sheet2!$J$4:$K$8)</f>
        <v>80+</v>
      </c>
      <c r="O1245" t="str">
        <f>LOOKUP(D1245,Sheet2!$M$4:$N$8)</f>
        <v>10-30</v>
      </c>
      <c r="P1245" t="str">
        <f>LOOKUP(E1245,Sheet2!$P$4:$Q$9)</f>
        <v>1-99</v>
      </c>
      <c r="Q1245" t="str">
        <f>LOOKUP(F1245,Sheet2!$S$4:$T$8)</f>
        <v>1-25</v>
      </c>
      <c r="R1245" t="str">
        <f>LOOKUP(G1245,Sheet2!$V$4:$W$7)</f>
        <v>0.25 - 0.39</v>
      </c>
      <c r="S1245" t="str">
        <f>LOOKUP(H1245,Sheet2!$Z$4:$AA$7)</f>
        <v>26-35</v>
      </c>
      <c r="T1245" t="str">
        <f t="shared" si="57"/>
        <v>Negative</v>
      </c>
      <c r="U1245" t="str">
        <f t="shared" si="58"/>
        <v>Negative</v>
      </c>
      <c r="V1245" s="1" t="str">
        <f t="shared" si="59"/>
        <v>Accurate Prediction</v>
      </c>
    </row>
    <row r="1246" spans="1:22" x14ac:dyDescent="0.25">
      <c r="A1246" s="1">
        <v>3</v>
      </c>
      <c r="B1246" s="1">
        <v>182</v>
      </c>
      <c r="C1246" s="1">
        <v>74</v>
      </c>
      <c r="D1246" s="1">
        <v>0</v>
      </c>
      <c r="E1246" s="1">
        <v>0</v>
      </c>
      <c r="F1246" s="1">
        <v>30.5</v>
      </c>
      <c r="G1246" s="1">
        <v>0.34499999999999997</v>
      </c>
      <c r="H1246" s="1">
        <v>29</v>
      </c>
      <c r="I1246" s="1">
        <v>1</v>
      </c>
      <c r="J1246" s="1">
        <f>IFERROR(VLOOKUP(K1246,[1]diabetes_Recognition!$A:$B,2,FALSE),"Not Sampled")</f>
        <v>1</v>
      </c>
      <c r="K1246" s="1">
        <v>1244</v>
      </c>
      <c r="L1246" s="1" t="str">
        <f>LOOKUP(A1246,Sheet2!$D$4:$E$9)</f>
        <v>3-4</v>
      </c>
      <c r="M1246" t="str">
        <f>LOOKUP(B1246,Sheet2!$G$4:$H$9)</f>
        <v>176-200</v>
      </c>
      <c r="N1246" t="str">
        <f>LOOKUP(C1246,Sheet2!$J$4:$K$8)</f>
        <v>70-79</v>
      </c>
      <c r="O1246" t="str">
        <f>LOOKUP(D1246,Sheet2!$M$4:$N$8)</f>
        <v>Unknown</v>
      </c>
      <c r="P1246" t="str">
        <f>LOOKUP(E1246,Sheet2!$P$4:$Q$9)</f>
        <v>Unknown</v>
      </c>
      <c r="Q1246" t="str">
        <f>LOOKUP(F1246,Sheet2!$S$4:$T$8)</f>
        <v>26-30</v>
      </c>
      <c r="R1246" t="str">
        <f>LOOKUP(G1246,Sheet2!$V$4:$W$7)</f>
        <v>0.25 - 0.39</v>
      </c>
      <c r="S1246" t="str">
        <f>LOOKUP(H1246,Sheet2!$Z$4:$AA$7)</f>
        <v>26-35</v>
      </c>
      <c r="T1246" t="str">
        <f t="shared" si="57"/>
        <v>Positive</v>
      </c>
      <c r="U1246" t="str">
        <f t="shared" si="58"/>
        <v>Positive</v>
      </c>
      <c r="V1246" s="1" t="str">
        <f t="shared" si="59"/>
        <v>Accurate Prediction</v>
      </c>
    </row>
    <row r="1247" spans="1:22" x14ac:dyDescent="0.25">
      <c r="A1247" s="1">
        <v>3</v>
      </c>
      <c r="B1247" s="1">
        <v>115</v>
      </c>
      <c r="C1247" s="1">
        <v>66</v>
      </c>
      <c r="D1247" s="1">
        <v>39</v>
      </c>
      <c r="E1247" s="1">
        <v>140</v>
      </c>
      <c r="F1247" s="1">
        <v>38.1</v>
      </c>
      <c r="G1247" s="1">
        <v>0.15</v>
      </c>
      <c r="H1247" s="1">
        <v>28</v>
      </c>
      <c r="I1247" s="1">
        <v>0</v>
      </c>
      <c r="J1247" s="1" t="str">
        <f>IFERROR(VLOOKUP(K1247,[1]diabetes_Recognition!$A:$B,2,FALSE),"Not Sampled")</f>
        <v>Not Sampled</v>
      </c>
      <c r="K1247" s="1">
        <v>1245</v>
      </c>
      <c r="L1247" s="1" t="str">
        <f>LOOKUP(A1247,Sheet2!$D$4:$E$9)</f>
        <v>3-4</v>
      </c>
      <c r="M1247" t="str">
        <f>LOOKUP(B1247,Sheet2!$G$4:$H$9)</f>
        <v>100-125</v>
      </c>
      <c r="N1247" t="str">
        <f>LOOKUP(C1247,Sheet2!$J$4:$K$8)</f>
        <v>60-69</v>
      </c>
      <c r="O1247" t="str">
        <f>LOOKUP(D1247,Sheet2!$M$4:$N$8)</f>
        <v>30-39</v>
      </c>
      <c r="P1247" t="str">
        <f>LOOKUP(E1247,Sheet2!$P$4:$Q$9)</f>
        <v>100-199</v>
      </c>
      <c r="Q1247" t="str">
        <f>LOOKUP(F1247,Sheet2!$S$4:$T$8)</f>
        <v>36+</v>
      </c>
      <c r="R1247" t="str">
        <f>LOOKUP(G1247,Sheet2!$V$4:$W$7)</f>
        <v>0.0 - 0.249</v>
      </c>
      <c r="S1247" t="str">
        <f>LOOKUP(H1247,Sheet2!$Z$4:$AA$7)</f>
        <v>26-35</v>
      </c>
      <c r="T1247" t="str">
        <f t="shared" si="57"/>
        <v>Negative</v>
      </c>
      <c r="U1247" t="str">
        <f t="shared" si="58"/>
        <v>Not Sampled</v>
      </c>
      <c r="V1247" s="1" t="str">
        <f t="shared" si="59"/>
        <v>Not Sampled</v>
      </c>
    </row>
    <row r="1248" spans="1:22" x14ac:dyDescent="0.25">
      <c r="A1248" s="1">
        <v>6</v>
      </c>
      <c r="B1248" s="1">
        <v>194</v>
      </c>
      <c r="C1248" s="1">
        <v>78</v>
      </c>
      <c r="D1248" s="1">
        <v>0</v>
      </c>
      <c r="E1248" s="1">
        <v>0</v>
      </c>
      <c r="F1248" s="1">
        <v>23.5</v>
      </c>
      <c r="G1248" s="1">
        <v>0.129</v>
      </c>
      <c r="H1248" s="1">
        <v>59</v>
      </c>
      <c r="I1248" s="1">
        <v>1</v>
      </c>
      <c r="J1248" s="1">
        <f>IFERROR(VLOOKUP(K1248,[1]diabetes_Recognition!$A:$B,2,FALSE),"Not Sampled")</f>
        <v>1</v>
      </c>
      <c r="K1248" s="1">
        <v>1246</v>
      </c>
      <c r="L1248" s="1" t="str">
        <f>LOOKUP(A1248,Sheet2!$D$4:$E$9)</f>
        <v>5-7</v>
      </c>
      <c r="M1248" t="str">
        <f>LOOKUP(B1248,Sheet2!$G$4:$H$9)</f>
        <v>176-200</v>
      </c>
      <c r="N1248" t="str">
        <f>LOOKUP(C1248,Sheet2!$J$4:$K$8)</f>
        <v>70-79</v>
      </c>
      <c r="O1248" t="str">
        <f>LOOKUP(D1248,Sheet2!$M$4:$N$8)</f>
        <v>Unknown</v>
      </c>
      <c r="P1248" t="str">
        <f>LOOKUP(E1248,Sheet2!$P$4:$Q$9)</f>
        <v>Unknown</v>
      </c>
      <c r="Q1248" t="str">
        <f>LOOKUP(F1248,Sheet2!$S$4:$T$8)</f>
        <v>1-25</v>
      </c>
      <c r="R1248" t="str">
        <f>LOOKUP(G1248,Sheet2!$V$4:$W$7)</f>
        <v>0.0 - 0.249</v>
      </c>
      <c r="S1248" t="str">
        <f>LOOKUP(H1248,Sheet2!$Z$4:$AA$7)</f>
        <v>46+</v>
      </c>
      <c r="T1248" t="str">
        <f t="shared" si="57"/>
        <v>Positive</v>
      </c>
      <c r="U1248" t="str">
        <f t="shared" si="58"/>
        <v>Positive</v>
      </c>
      <c r="V1248" s="1" t="str">
        <f t="shared" si="59"/>
        <v>Accurate Prediction</v>
      </c>
    </row>
    <row r="1249" spans="1:22" x14ac:dyDescent="0.25">
      <c r="A1249" s="1">
        <v>4</v>
      </c>
      <c r="B1249" s="1">
        <v>129</v>
      </c>
      <c r="C1249" s="1">
        <v>60</v>
      </c>
      <c r="D1249" s="1">
        <v>12</v>
      </c>
      <c r="E1249" s="1">
        <v>231</v>
      </c>
      <c r="F1249" s="1">
        <v>27.5</v>
      </c>
      <c r="G1249" s="1">
        <v>0.52700000000000002</v>
      </c>
      <c r="H1249" s="1">
        <v>31</v>
      </c>
      <c r="I1249" s="1">
        <v>0</v>
      </c>
      <c r="J1249" s="1">
        <f>IFERROR(VLOOKUP(K1249,[1]diabetes_Recognition!$A:$B,2,FALSE),"Not Sampled")</f>
        <v>0</v>
      </c>
      <c r="K1249" s="1">
        <v>1247</v>
      </c>
      <c r="L1249" s="1" t="str">
        <f>LOOKUP(A1249,Sheet2!$D$4:$E$9)</f>
        <v>3-4</v>
      </c>
      <c r="M1249" t="str">
        <f>LOOKUP(B1249,Sheet2!$G$4:$H$9)</f>
        <v>126-150</v>
      </c>
      <c r="N1249" t="str">
        <f>LOOKUP(C1249,Sheet2!$J$4:$K$8)</f>
        <v>60-69</v>
      </c>
      <c r="O1249" t="str">
        <f>LOOKUP(D1249,Sheet2!$M$4:$N$8)</f>
        <v>10-30</v>
      </c>
      <c r="P1249" t="str">
        <f>LOOKUP(E1249,Sheet2!$P$4:$Q$9)</f>
        <v>200-399</v>
      </c>
      <c r="Q1249" t="str">
        <f>LOOKUP(F1249,Sheet2!$S$4:$T$8)</f>
        <v>26-30</v>
      </c>
      <c r="R1249" t="str">
        <f>LOOKUP(G1249,Sheet2!$V$4:$W$7)</f>
        <v>0.4 - 0.69</v>
      </c>
      <c r="S1249" t="str">
        <f>LOOKUP(H1249,Sheet2!$Z$4:$AA$7)</f>
        <v>26-35</v>
      </c>
      <c r="T1249" t="str">
        <f t="shared" si="57"/>
        <v>Negative</v>
      </c>
      <c r="U1249" t="str">
        <f t="shared" si="58"/>
        <v>Negative</v>
      </c>
      <c r="V1249" s="1" t="str">
        <f t="shared" si="59"/>
        <v>Accurate Prediction</v>
      </c>
    </row>
    <row r="1250" spans="1:22" x14ac:dyDescent="0.25">
      <c r="A1250" s="1">
        <v>3</v>
      </c>
      <c r="B1250" s="1">
        <v>112</v>
      </c>
      <c r="C1250" s="1">
        <v>74</v>
      </c>
      <c r="D1250" s="1">
        <v>30</v>
      </c>
      <c r="E1250" s="1">
        <v>0</v>
      </c>
      <c r="F1250" s="1">
        <v>31.6</v>
      </c>
      <c r="G1250" s="1">
        <v>0.19700000000000001</v>
      </c>
      <c r="H1250" s="1">
        <v>25</v>
      </c>
      <c r="I1250" s="1">
        <v>1</v>
      </c>
      <c r="J1250" s="1" t="str">
        <f>IFERROR(VLOOKUP(K1250,[1]diabetes_Recognition!$A:$B,2,FALSE),"Not Sampled")</f>
        <v>Not Sampled</v>
      </c>
      <c r="K1250" s="1">
        <v>1248</v>
      </c>
      <c r="L1250" s="1" t="str">
        <f>LOOKUP(A1250,Sheet2!$D$4:$E$9)</f>
        <v>3-4</v>
      </c>
      <c r="M1250" t="str">
        <f>LOOKUP(B1250,Sheet2!$G$4:$H$9)</f>
        <v>100-125</v>
      </c>
      <c r="N1250" t="str">
        <f>LOOKUP(C1250,Sheet2!$J$4:$K$8)</f>
        <v>70-79</v>
      </c>
      <c r="O1250" t="str">
        <f>LOOKUP(D1250,Sheet2!$M$4:$N$8)</f>
        <v>30-39</v>
      </c>
      <c r="P1250" t="str">
        <f>LOOKUP(E1250,Sheet2!$P$4:$Q$9)</f>
        <v>Unknown</v>
      </c>
      <c r="Q1250" t="str">
        <f>LOOKUP(F1250,Sheet2!$S$4:$T$8)</f>
        <v>31-35</v>
      </c>
      <c r="R1250" t="str">
        <f>LOOKUP(G1250,Sheet2!$V$4:$W$7)</f>
        <v>0.0 - 0.249</v>
      </c>
      <c r="S1250" t="str">
        <f>LOOKUP(H1250,Sheet2!$Z$4:$AA$7)</f>
        <v>&lt;=25</v>
      </c>
      <c r="T1250" t="str">
        <f t="shared" si="57"/>
        <v>Positive</v>
      </c>
      <c r="U1250" t="str">
        <f t="shared" si="58"/>
        <v>Not Sampled</v>
      </c>
      <c r="V1250" s="1" t="str">
        <f t="shared" si="59"/>
        <v>Not Sampled</v>
      </c>
    </row>
    <row r="1251" spans="1:22" x14ac:dyDescent="0.25">
      <c r="A1251" s="1">
        <v>0</v>
      </c>
      <c r="B1251" s="1">
        <v>124</v>
      </c>
      <c r="C1251" s="1">
        <v>70</v>
      </c>
      <c r="D1251" s="1">
        <v>20</v>
      </c>
      <c r="E1251" s="1">
        <v>0</v>
      </c>
      <c r="F1251" s="1">
        <v>27.4</v>
      </c>
      <c r="G1251" s="1">
        <v>0.254</v>
      </c>
      <c r="H1251" s="1">
        <v>36</v>
      </c>
      <c r="I1251" s="1">
        <v>1</v>
      </c>
      <c r="J1251" s="1" t="str">
        <f>IFERROR(VLOOKUP(K1251,[1]diabetes_Recognition!$A:$B,2,FALSE),"Not Sampled")</f>
        <v>Not Sampled</v>
      </c>
      <c r="K1251" s="1">
        <v>1249</v>
      </c>
      <c r="L1251" s="1">
        <f>LOOKUP(A1251,Sheet2!$D$4:$E$9)</f>
        <v>0</v>
      </c>
      <c r="M1251" t="str">
        <f>LOOKUP(B1251,Sheet2!$G$4:$H$9)</f>
        <v>100-125</v>
      </c>
      <c r="N1251" t="str">
        <f>LOOKUP(C1251,Sheet2!$J$4:$K$8)</f>
        <v>70-79</v>
      </c>
      <c r="O1251" t="str">
        <f>LOOKUP(D1251,Sheet2!$M$4:$N$8)</f>
        <v>10-30</v>
      </c>
      <c r="P1251" t="str">
        <f>LOOKUP(E1251,Sheet2!$P$4:$Q$9)</f>
        <v>Unknown</v>
      </c>
      <c r="Q1251" t="str">
        <f>LOOKUP(F1251,Sheet2!$S$4:$T$8)</f>
        <v>26-30</v>
      </c>
      <c r="R1251" t="str">
        <f>LOOKUP(G1251,Sheet2!$V$4:$W$7)</f>
        <v>0.25 - 0.39</v>
      </c>
      <c r="S1251" t="str">
        <f>LOOKUP(H1251,Sheet2!$Z$4:$AA$7)</f>
        <v>36-45</v>
      </c>
      <c r="T1251" t="str">
        <f t="shared" si="57"/>
        <v>Positive</v>
      </c>
      <c r="U1251" t="str">
        <f t="shared" si="58"/>
        <v>Not Sampled</v>
      </c>
      <c r="V1251" s="1" t="str">
        <f t="shared" si="59"/>
        <v>Not Sampled</v>
      </c>
    </row>
    <row r="1252" spans="1:22" x14ac:dyDescent="0.25">
      <c r="A1252" s="1">
        <v>13</v>
      </c>
      <c r="B1252" s="1">
        <v>152</v>
      </c>
      <c r="C1252" s="1">
        <v>90</v>
      </c>
      <c r="D1252" s="1">
        <v>33</v>
      </c>
      <c r="E1252" s="1">
        <v>29</v>
      </c>
      <c r="F1252" s="1">
        <v>26.8</v>
      </c>
      <c r="G1252" s="1">
        <v>0.73099999999999998</v>
      </c>
      <c r="H1252" s="1">
        <v>43</v>
      </c>
      <c r="I1252" s="1">
        <v>1</v>
      </c>
      <c r="J1252" s="1" t="str">
        <f>IFERROR(VLOOKUP(K1252,[1]diabetes_Recognition!$A:$B,2,FALSE),"Not Sampled")</f>
        <v>Not Sampled</v>
      </c>
      <c r="K1252" s="1">
        <v>1250</v>
      </c>
      <c r="L1252" s="1" t="str">
        <f>LOOKUP(A1252,Sheet2!$D$4:$E$9)</f>
        <v>8+</v>
      </c>
      <c r="M1252" t="str">
        <f>LOOKUP(B1252,Sheet2!$G$4:$H$9)</f>
        <v>151-175</v>
      </c>
      <c r="N1252" t="str">
        <f>LOOKUP(C1252,Sheet2!$J$4:$K$8)</f>
        <v>80+</v>
      </c>
      <c r="O1252" t="str">
        <f>LOOKUP(D1252,Sheet2!$M$4:$N$8)</f>
        <v>30-39</v>
      </c>
      <c r="P1252" t="str">
        <f>LOOKUP(E1252,Sheet2!$P$4:$Q$9)</f>
        <v>1-99</v>
      </c>
      <c r="Q1252" t="str">
        <f>LOOKUP(F1252,Sheet2!$S$4:$T$8)</f>
        <v>26-30</v>
      </c>
      <c r="R1252" t="str">
        <f>LOOKUP(G1252,Sheet2!$V$4:$W$7)</f>
        <v>0.7+</v>
      </c>
      <c r="S1252" t="str">
        <f>LOOKUP(H1252,Sheet2!$Z$4:$AA$7)</f>
        <v>36-45</v>
      </c>
      <c r="T1252" t="str">
        <f t="shared" si="57"/>
        <v>Positive</v>
      </c>
      <c r="U1252" t="str">
        <f t="shared" si="58"/>
        <v>Not Sampled</v>
      </c>
      <c r="V1252" s="1" t="str">
        <f t="shared" si="59"/>
        <v>Not Sampled</v>
      </c>
    </row>
    <row r="1253" spans="1:22" x14ac:dyDescent="0.25">
      <c r="A1253" s="1">
        <v>2</v>
      </c>
      <c r="B1253" s="1">
        <v>112</v>
      </c>
      <c r="C1253" s="1">
        <v>75</v>
      </c>
      <c r="D1253" s="1">
        <v>32</v>
      </c>
      <c r="E1253" s="1">
        <v>0</v>
      </c>
      <c r="F1253" s="1">
        <v>35.700000000000003</v>
      </c>
      <c r="G1253" s="1">
        <v>0.14799999999999999</v>
      </c>
      <c r="H1253" s="1">
        <v>21</v>
      </c>
      <c r="I1253" s="1">
        <v>0</v>
      </c>
      <c r="J1253" s="1" t="str">
        <f>IFERROR(VLOOKUP(K1253,[1]diabetes_Recognition!$A:$B,2,FALSE),"Not Sampled")</f>
        <v>Not Sampled</v>
      </c>
      <c r="K1253" s="1">
        <v>1251</v>
      </c>
      <c r="L1253" s="1">
        <f>LOOKUP(A1253,Sheet2!$D$4:$E$9)</f>
        <v>2</v>
      </c>
      <c r="M1253" t="str">
        <f>LOOKUP(B1253,Sheet2!$G$4:$H$9)</f>
        <v>100-125</v>
      </c>
      <c r="N1253" t="str">
        <f>LOOKUP(C1253,Sheet2!$J$4:$K$8)</f>
        <v>70-79</v>
      </c>
      <c r="O1253" t="str">
        <f>LOOKUP(D1253,Sheet2!$M$4:$N$8)</f>
        <v>30-39</v>
      </c>
      <c r="P1253" t="str">
        <f>LOOKUP(E1253,Sheet2!$P$4:$Q$9)</f>
        <v>Unknown</v>
      </c>
      <c r="Q1253" t="str">
        <f>LOOKUP(F1253,Sheet2!$S$4:$T$8)</f>
        <v>31-35</v>
      </c>
      <c r="R1253" t="str">
        <f>LOOKUP(G1253,Sheet2!$V$4:$W$7)</f>
        <v>0.0 - 0.249</v>
      </c>
      <c r="S1253" t="str">
        <f>LOOKUP(H1253,Sheet2!$Z$4:$AA$7)</f>
        <v>&lt;=25</v>
      </c>
      <c r="T1253" t="str">
        <f t="shared" si="57"/>
        <v>Negative</v>
      </c>
      <c r="U1253" t="str">
        <f t="shared" si="58"/>
        <v>Not Sampled</v>
      </c>
      <c r="V1253" s="1" t="str">
        <f t="shared" si="59"/>
        <v>Not Sampled</v>
      </c>
    </row>
    <row r="1254" spans="1:22" x14ac:dyDescent="0.25">
      <c r="A1254" s="1">
        <v>1</v>
      </c>
      <c r="B1254" s="1">
        <v>157</v>
      </c>
      <c r="C1254" s="1">
        <v>72</v>
      </c>
      <c r="D1254" s="1">
        <v>21</v>
      </c>
      <c r="E1254" s="1">
        <v>168</v>
      </c>
      <c r="F1254" s="1">
        <v>25.6</v>
      </c>
      <c r="G1254" s="1">
        <v>0.123</v>
      </c>
      <c r="H1254" s="1">
        <v>24</v>
      </c>
      <c r="I1254" s="1">
        <v>0</v>
      </c>
      <c r="J1254" s="1" t="str">
        <f>IFERROR(VLOOKUP(K1254,[1]diabetes_Recognition!$A:$B,2,FALSE),"Not Sampled")</f>
        <v>Not Sampled</v>
      </c>
      <c r="K1254" s="1">
        <v>1252</v>
      </c>
      <c r="L1254" s="1">
        <f>LOOKUP(A1254,Sheet2!$D$4:$E$9)</f>
        <v>1</v>
      </c>
      <c r="M1254" t="str">
        <f>LOOKUP(B1254,Sheet2!$G$4:$H$9)</f>
        <v>151-175</v>
      </c>
      <c r="N1254" t="str">
        <f>LOOKUP(C1254,Sheet2!$J$4:$K$8)</f>
        <v>70-79</v>
      </c>
      <c r="O1254" t="str">
        <f>LOOKUP(D1254,Sheet2!$M$4:$N$8)</f>
        <v>10-30</v>
      </c>
      <c r="P1254" t="str">
        <f>LOOKUP(E1254,Sheet2!$P$4:$Q$9)</f>
        <v>100-199</v>
      </c>
      <c r="Q1254" t="str">
        <f>LOOKUP(F1254,Sheet2!$S$4:$T$8)</f>
        <v>1-25</v>
      </c>
      <c r="R1254" t="str">
        <f>LOOKUP(G1254,Sheet2!$V$4:$W$7)</f>
        <v>0.0 - 0.249</v>
      </c>
      <c r="S1254" t="str">
        <f>LOOKUP(H1254,Sheet2!$Z$4:$AA$7)</f>
        <v>&lt;=25</v>
      </c>
      <c r="T1254" t="str">
        <f t="shared" si="57"/>
        <v>Negative</v>
      </c>
      <c r="U1254" t="str">
        <f t="shared" si="58"/>
        <v>Not Sampled</v>
      </c>
      <c r="V1254" s="1" t="str">
        <f t="shared" si="59"/>
        <v>Not Sampled</v>
      </c>
    </row>
    <row r="1255" spans="1:22" x14ac:dyDescent="0.25">
      <c r="A1255" s="1">
        <v>1</v>
      </c>
      <c r="B1255" s="1">
        <v>122</v>
      </c>
      <c r="C1255" s="1">
        <v>64</v>
      </c>
      <c r="D1255" s="1">
        <v>32</v>
      </c>
      <c r="E1255" s="1">
        <v>156</v>
      </c>
      <c r="F1255" s="1">
        <v>35.1</v>
      </c>
      <c r="G1255" s="1">
        <v>0.69199999999999995</v>
      </c>
      <c r="H1255" s="1">
        <v>30</v>
      </c>
      <c r="I1255" s="1">
        <v>1</v>
      </c>
      <c r="J1255" s="1" t="str">
        <f>IFERROR(VLOOKUP(K1255,[1]diabetes_Recognition!$A:$B,2,FALSE),"Not Sampled")</f>
        <v>Not Sampled</v>
      </c>
      <c r="K1255" s="1">
        <v>1253</v>
      </c>
      <c r="L1255" s="1">
        <f>LOOKUP(A1255,Sheet2!$D$4:$E$9)</f>
        <v>1</v>
      </c>
      <c r="M1255" t="str">
        <f>LOOKUP(B1255,Sheet2!$G$4:$H$9)</f>
        <v>100-125</v>
      </c>
      <c r="N1255" t="str">
        <f>LOOKUP(C1255,Sheet2!$J$4:$K$8)</f>
        <v>60-69</v>
      </c>
      <c r="O1255" t="str">
        <f>LOOKUP(D1255,Sheet2!$M$4:$N$8)</f>
        <v>30-39</v>
      </c>
      <c r="P1255" t="str">
        <f>LOOKUP(E1255,Sheet2!$P$4:$Q$9)</f>
        <v>100-199</v>
      </c>
      <c r="Q1255" t="str">
        <f>LOOKUP(F1255,Sheet2!$S$4:$T$8)</f>
        <v>31-35</v>
      </c>
      <c r="R1255" t="str">
        <f>LOOKUP(G1255,Sheet2!$V$4:$W$7)</f>
        <v>0.4 - 0.69</v>
      </c>
      <c r="S1255" t="str">
        <f>LOOKUP(H1255,Sheet2!$Z$4:$AA$7)</f>
        <v>26-35</v>
      </c>
      <c r="T1255" t="str">
        <f t="shared" si="57"/>
        <v>Positive</v>
      </c>
      <c r="U1255" t="str">
        <f t="shared" si="58"/>
        <v>Not Sampled</v>
      </c>
      <c r="V1255" s="1" t="str">
        <f t="shared" si="59"/>
        <v>Not Sampled</v>
      </c>
    </row>
    <row r="1256" spans="1:22" x14ac:dyDescent="0.25">
      <c r="A1256" s="1">
        <v>10</v>
      </c>
      <c r="B1256" s="1">
        <v>179</v>
      </c>
      <c r="C1256" s="1">
        <v>70</v>
      </c>
      <c r="D1256" s="1">
        <v>0</v>
      </c>
      <c r="E1256" s="1">
        <v>0</v>
      </c>
      <c r="F1256" s="1">
        <v>35.1</v>
      </c>
      <c r="G1256" s="1">
        <v>0.2</v>
      </c>
      <c r="H1256" s="1">
        <v>37</v>
      </c>
      <c r="I1256" s="1">
        <v>0</v>
      </c>
      <c r="J1256" s="1" t="str">
        <f>IFERROR(VLOOKUP(K1256,[1]diabetes_Recognition!$A:$B,2,FALSE),"Not Sampled")</f>
        <v>Not Sampled</v>
      </c>
      <c r="K1256" s="1">
        <v>1254</v>
      </c>
      <c r="L1256" s="1" t="str">
        <f>LOOKUP(A1256,Sheet2!$D$4:$E$9)</f>
        <v>8+</v>
      </c>
      <c r="M1256" t="str">
        <f>LOOKUP(B1256,Sheet2!$G$4:$H$9)</f>
        <v>176-200</v>
      </c>
      <c r="N1256" t="str">
        <f>LOOKUP(C1256,Sheet2!$J$4:$K$8)</f>
        <v>70-79</v>
      </c>
      <c r="O1256" t="str">
        <f>LOOKUP(D1256,Sheet2!$M$4:$N$8)</f>
        <v>Unknown</v>
      </c>
      <c r="P1256" t="str">
        <f>LOOKUP(E1256,Sheet2!$P$4:$Q$9)</f>
        <v>Unknown</v>
      </c>
      <c r="Q1256" t="str">
        <f>LOOKUP(F1256,Sheet2!$S$4:$T$8)</f>
        <v>31-35</v>
      </c>
      <c r="R1256" t="str">
        <f>LOOKUP(G1256,Sheet2!$V$4:$W$7)</f>
        <v>0.0 - 0.249</v>
      </c>
      <c r="S1256" t="str">
        <f>LOOKUP(H1256,Sheet2!$Z$4:$AA$7)</f>
        <v>36-45</v>
      </c>
      <c r="T1256" t="str">
        <f t="shared" si="57"/>
        <v>Negative</v>
      </c>
      <c r="U1256" t="str">
        <f t="shared" si="58"/>
        <v>Not Sampled</v>
      </c>
      <c r="V1256" s="1" t="str">
        <f t="shared" si="59"/>
        <v>Not Sampled</v>
      </c>
    </row>
    <row r="1257" spans="1:22" x14ac:dyDescent="0.25">
      <c r="A1257" s="1">
        <v>2</v>
      </c>
      <c r="B1257" s="1">
        <v>102</v>
      </c>
      <c r="C1257" s="1">
        <v>86</v>
      </c>
      <c r="D1257" s="1">
        <v>36</v>
      </c>
      <c r="E1257" s="1">
        <v>120</v>
      </c>
      <c r="F1257" s="1">
        <v>45.5</v>
      </c>
      <c r="G1257" s="1">
        <v>0.127</v>
      </c>
      <c r="H1257" s="1">
        <v>23</v>
      </c>
      <c r="I1257" s="1">
        <v>1</v>
      </c>
      <c r="J1257" s="1" t="str">
        <f>IFERROR(VLOOKUP(K1257,[1]diabetes_Recognition!$A:$B,2,FALSE),"Not Sampled")</f>
        <v>Not Sampled</v>
      </c>
      <c r="K1257" s="1">
        <v>1255</v>
      </c>
      <c r="L1257" s="1">
        <f>LOOKUP(A1257,Sheet2!$D$4:$E$9)</f>
        <v>2</v>
      </c>
      <c r="M1257" t="str">
        <f>LOOKUP(B1257,Sheet2!$G$4:$H$9)</f>
        <v>100-125</v>
      </c>
      <c r="N1257" t="str">
        <f>LOOKUP(C1257,Sheet2!$J$4:$K$8)</f>
        <v>80+</v>
      </c>
      <c r="O1257" t="str">
        <f>LOOKUP(D1257,Sheet2!$M$4:$N$8)</f>
        <v>30-39</v>
      </c>
      <c r="P1257" t="str">
        <f>LOOKUP(E1257,Sheet2!$P$4:$Q$9)</f>
        <v>100-199</v>
      </c>
      <c r="Q1257" t="str">
        <f>LOOKUP(F1257,Sheet2!$S$4:$T$8)</f>
        <v>36+</v>
      </c>
      <c r="R1257" t="str">
        <f>LOOKUP(G1257,Sheet2!$V$4:$W$7)</f>
        <v>0.0 - 0.249</v>
      </c>
      <c r="S1257" t="str">
        <f>LOOKUP(H1257,Sheet2!$Z$4:$AA$7)</f>
        <v>&lt;=25</v>
      </c>
      <c r="T1257" t="str">
        <f t="shared" si="57"/>
        <v>Positive</v>
      </c>
      <c r="U1257" t="str">
        <f t="shared" si="58"/>
        <v>Not Sampled</v>
      </c>
      <c r="V1257" s="1" t="str">
        <f t="shared" si="59"/>
        <v>Not Sampled</v>
      </c>
    </row>
    <row r="1258" spans="1:22" x14ac:dyDescent="0.25">
      <c r="A1258" s="1">
        <v>6</v>
      </c>
      <c r="B1258" s="1">
        <v>93</v>
      </c>
      <c r="C1258" s="1">
        <v>50</v>
      </c>
      <c r="D1258" s="1">
        <v>30</v>
      </c>
      <c r="E1258" s="1">
        <v>64</v>
      </c>
      <c r="F1258" s="1">
        <v>28.7</v>
      </c>
      <c r="G1258" s="1">
        <v>0.35599999999999998</v>
      </c>
      <c r="H1258" s="1">
        <v>23</v>
      </c>
      <c r="I1258" s="1">
        <v>0</v>
      </c>
      <c r="J1258" s="1">
        <f>IFERROR(VLOOKUP(K1258,[1]diabetes_Recognition!$A:$B,2,FALSE),"Not Sampled")</f>
        <v>0</v>
      </c>
      <c r="K1258" s="1">
        <v>1256</v>
      </c>
      <c r="L1258" s="1" t="str">
        <f>LOOKUP(A1258,Sheet2!$D$4:$E$9)</f>
        <v>5-7</v>
      </c>
      <c r="M1258" t="str">
        <f>LOOKUP(B1258,Sheet2!$G$4:$H$9)</f>
        <v>1-99</v>
      </c>
      <c r="N1258" t="str">
        <f>LOOKUP(C1258,Sheet2!$J$4:$K$8)</f>
        <v>1-59</v>
      </c>
      <c r="O1258" t="str">
        <f>LOOKUP(D1258,Sheet2!$M$4:$N$8)</f>
        <v>30-39</v>
      </c>
      <c r="P1258" t="str">
        <f>LOOKUP(E1258,Sheet2!$P$4:$Q$9)</f>
        <v>1-99</v>
      </c>
      <c r="Q1258" t="str">
        <f>LOOKUP(F1258,Sheet2!$S$4:$T$8)</f>
        <v>26-30</v>
      </c>
      <c r="R1258" t="str">
        <f>LOOKUP(G1258,Sheet2!$V$4:$W$7)</f>
        <v>0.25 - 0.39</v>
      </c>
      <c r="S1258" t="str">
        <f>LOOKUP(H1258,Sheet2!$Z$4:$AA$7)</f>
        <v>&lt;=25</v>
      </c>
      <c r="T1258" t="str">
        <f t="shared" si="57"/>
        <v>Negative</v>
      </c>
      <c r="U1258" t="str">
        <f t="shared" si="58"/>
        <v>Negative</v>
      </c>
      <c r="V1258" s="1" t="str">
        <f t="shared" si="59"/>
        <v>Accurate Prediction</v>
      </c>
    </row>
    <row r="1259" spans="1:22" x14ac:dyDescent="0.25">
      <c r="A1259" s="1">
        <v>1</v>
      </c>
      <c r="B1259" s="1">
        <v>122</v>
      </c>
      <c r="C1259" s="1">
        <v>90</v>
      </c>
      <c r="D1259" s="1">
        <v>51</v>
      </c>
      <c r="E1259" s="1">
        <v>220</v>
      </c>
      <c r="F1259" s="1">
        <v>49.7</v>
      </c>
      <c r="G1259" s="1">
        <v>0.32500000000000001</v>
      </c>
      <c r="H1259" s="1">
        <v>31</v>
      </c>
      <c r="I1259" s="1">
        <v>1</v>
      </c>
      <c r="J1259" s="1" t="str">
        <f>IFERROR(VLOOKUP(K1259,[1]diabetes_Recognition!$A:$B,2,FALSE),"Not Sampled")</f>
        <v>Not Sampled</v>
      </c>
      <c r="K1259" s="1">
        <v>1257</v>
      </c>
      <c r="L1259" s="1">
        <f>LOOKUP(A1259,Sheet2!$D$4:$E$9)</f>
        <v>1</v>
      </c>
      <c r="M1259" t="str">
        <f>LOOKUP(B1259,Sheet2!$G$4:$H$9)</f>
        <v>100-125</v>
      </c>
      <c r="N1259" t="str">
        <f>LOOKUP(C1259,Sheet2!$J$4:$K$8)</f>
        <v>80+</v>
      </c>
      <c r="O1259" t="str">
        <f>LOOKUP(D1259,Sheet2!$M$4:$N$8)</f>
        <v>40+</v>
      </c>
      <c r="P1259" t="str">
        <f>LOOKUP(E1259,Sheet2!$P$4:$Q$9)</f>
        <v>200-399</v>
      </c>
      <c r="Q1259" t="str">
        <f>LOOKUP(F1259,Sheet2!$S$4:$T$8)</f>
        <v>36+</v>
      </c>
      <c r="R1259" t="str">
        <f>LOOKUP(G1259,Sheet2!$V$4:$W$7)</f>
        <v>0.25 - 0.39</v>
      </c>
      <c r="S1259" t="str">
        <f>LOOKUP(H1259,Sheet2!$Z$4:$AA$7)</f>
        <v>26-35</v>
      </c>
      <c r="T1259" t="str">
        <f t="shared" si="57"/>
        <v>Positive</v>
      </c>
      <c r="U1259" t="str">
        <f t="shared" si="58"/>
        <v>Not Sampled</v>
      </c>
      <c r="V1259" s="1" t="str">
        <f t="shared" si="59"/>
        <v>Not Sampled</v>
      </c>
    </row>
    <row r="1260" spans="1:22" x14ac:dyDescent="0.25">
      <c r="A1260" s="1">
        <v>1</v>
      </c>
      <c r="B1260" s="1">
        <v>163</v>
      </c>
      <c r="C1260" s="1">
        <v>72</v>
      </c>
      <c r="D1260" s="1">
        <v>0</v>
      </c>
      <c r="E1260" s="1">
        <v>0</v>
      </c>
      <c r="F1260" s="1">
        <v>39</v>
      </c>
      <c r="G1260" s="1">
        <v>1.222</v>
      </c>
      <c r="H1260" s="1">
        <v>33</v>
      </c>
      <c r="I1260" s="1">
        <v>1</v>
      </c>
      <c r="J1260" s="1" t="str">
        <f>IFERROR(VLOOKUP(K1260,[1]diabetes_Recognition!$A:$B,2,FALSE),"Not Sampled")</f>
        <v>Not Sampled</v>
      </c>
      <c r="K1260" s="1">
        <v>1258</v>
      </c>
      <c r="L1260" s="1">
        <f>LOOKUP(A1260,Sheet2!$D$4:$E$9)</f>
        <v>1</v>
      </c>
      <c r="M1260" t="str">
        <f>LOOKUP(B1260,Sheet2!$G$4:$H$9)</f>
        <v>151-175</v>
      </c>
      <c r="N1260" t="str">
        <f>LOOKUP(C1260,Sheet2!$J$4:$K$8)</f>
        <v>70-79</v>
      </c>
      <c r="O1260" t="str">
        <f>LOOKUP(D1260,Sheet2!$M$4:$N$8)</f>
        <v>Unknown</v>
      </c>
      <c r="P1260" t="str">
        <f>LOOKUP(E1260,Sheet2!$P$4:$Q$9)</f>
        <v>Unknown</v>
      </c>
      <c r="Q1260" t="str">
        <f>LOOKUP(F1260,Sheet2!$S$4:$T$8)</f>
        <v>36+</v>
      </c>
      <c r="R1260" t="str">
        <f>LOOKUP(G1260,Sheet2!$V$4:$W$7)</f>
        <v>0.7+</v>
      </c>
      <c r="S1260" t="str">
        <f>LOOKUP(H1260,Sheet2!$Z$4:$AA$7)</f>
        <v>26-35</v>
      </c>
      <c r="T1260" t="str">
        <f t="shared" si="57"/>
        <v>Positive</v>
      </c>
      <c r="U1260" t="str">
        <f t="shared" si="58"/>
        <v>Not Sampled</v>
      </c>
      <c r="V1260" s="1" t="str">
        <f t="shared" si="59"/>
        <v>Not Sampled</v>
      </c>
    </row>
    <row r="1261" spans="1:22" x14ac:dyDescent="0.25">
      <c r="A1261" s="1">
        <v>1</v>
      </c>
      <c r="B1261" s="1">
        <v>151</v>
      </c>
      <c r="C1261" s="1">
        <v>60</v>
      </c>
      <c r="D1261" s="1">
        <v>0</v>
      </c>
      <c r="E1261" s="1">
        <v>0</v>
      </c>
      <c r="F1261" s="1">
        <v>26.1</v>
      </c>
      <c r="G1261" s="1">
        <v>0.17899999999999999</v>
      </c>
      <c r="H1261" s="1">
        <v>22</v>
      </c>
      <c r="I1261" s="1">
        <v>0</v>
      </c>
      <c r="J1261" s="1" t="str">
        <f>IFERROR(VLOOKUP(K1261,[1]diabetes_Recognition!$A:$B,2,FALSE),"Not Sampled")</f>
        <v>Not Sampled</v>
      </c>
      <c r="K1261" s="1">
        <v>1259</v>
      </c>
      <c r="L1261" s="1">
        <f>LOOKUP(A1261,Sheet2!$D$4:$E$9)</f>
        <v>1</v>
      </c>
      <c r="M1261" t="str">
        <f>LOOKUP(B1261,Sheet2!$G$4:$H$9)</f>
        <v>151-175</v>
      </c>
      <c r="N1261" t="str">
        <f>LOOKUP(C1261,Sheet2!$J$4:$K$8)</f>
        <v>60-69</v>
      </c>
      <c r="O1261" t="str">
        <f>LOOKUP(D1261,Sheet2!$M$4:$N$8)</f>
        <v>Unknown</v>
      </c>
      <c r="P1261" t="str">
        <f>LOOKUP(E1261,Sheet2!$P$4:$Q$9)</f>
        <v>Unknown</v>
      </c>
      <c r="Q1261" t="str">
        <f>LOOKUP(F1261,Sheet2!$S$4:$T$8)</f>
        <v>26-30</v>
      </c>
      <c r="R1261" t="str">
        <f>LOOKUP(G1261,Sheet2!$V$4:$W$7)</f>
        <v>0.0 - 0.249</v>
      </c>
      <c r="S1261" t="str">
        <f>LOOKUP(H1261,Sheet2!$Z$4:$AA$7)</f>
        <v>&lt;=25</v>
      </c>
      <c r="T1261" t="str">
        <f t="shared" si="57"/>
        <v>Negative</v>
      </c>
      <c r="U1261" t="str">
        <f t="shared" si="58"/>
        <v>Not Sampled</v>
      </c>
      <c r="V1261" s="1" t="str">
        <f t="shared" si="59"/>
        <v>Not Sampled</v>
      </c>
    </row>
    <row r="1262" spans="1:22" x14ac:dyDescent="0.25">
      <c r="A1262" s="1">
        <v>0</v>
      </c>
      <c r="B1262" s="1">
        <v>125</v>
      </c>
      <c r="C1262" s="1">
        <v>96</v>
      </c>
      <c r="D1262" s="1">
        <v>0</v>
      </c>
      <c r="E1262" s="1">
        <v>0</v>
      </c>
      <c r="F1262" s="1">
        <v>22.5</v>
      </c>
      <c r="G1262" s="1">
        <v>0.26200000000000001</v>
      </c>
      <c r="H1262" s="1">
        <v>21</v>
      </c>
      <c r="I1262" s="1">
        <v>0</v>
      </c>
      <c r="J1262" s="1" t="str">
        <f>IFERROR(VLOOKUP(K1262,[1]diabetes_Recognition!$A:$B,2,FALSE),"Not Sampled")</f>
        <v>Not Sampled</v>
      </c>
      <c r="K1262" s="1">
        <v>1260</v>
      </c>
      <c r="L1262" s="1">
        <f>LOOKUP(A1262,Sheet2!$D$4:$E$9)</f>
        <v>0</v>
      </c>
      <c r="M1262" t="str">
        <f>LOOKUP(B1262,Sheet2!$G$4:$H$9)</f>
        <v>100-125</v>
      </c>
      <c r="N1262" t="str">
        <f>LOOKUP(C1262,Sheet2!$J$4:$K$8)</f>
        <v>80+</v>
      </c>
      <c r="O1262" t="str">
        <f>LOOKUP(D1262,Sheet2!$M$4:$N$8)</f>
        <v>Unknown</v>
      </c>
      <c r="P1262" t="str">
        <f>LOOKUP(E1262,Sheet2!$P$4:$Q$9)</f>
        <v>Unknown</v>
      </c>
      <c r="Q1262" t="str">
        <f>LOOKUP(F1262,Sheet2!$S$4:$T$8)</f>
        <v>1-25</v>
      </c>
      <c r="R1262" t="str">
        <f>LOOKUP(G1262,Sheet2!$V$4:$W$7)</f>
        <v>0.25 - 0.39</v>
      </c>
      <c r="S1262" t="str">
        <f>LOOKUP(H1262,Sheet2!$Z$4:$AA$7)</f>
        <v>&lt;=25</v>
      </c>
      <c r="T1262" t="str">
        <f t="shared" si="57"/>
        <v>Negative</v>
      </c>
      <c r="U1262" t="str">
        <f t="shared" si="58"/>
        <v>Not Sampled</v>
      </c>
      <c r="V1262" s="1" t="str">
        <f t="shared" si="59"/>
        <v>Not Sampled</v>
      </c>
    </row>
    <row r="1263" spans="1:22" x14ac:dyDescent="0.25">
      <c r="A1263" s="1">
        <v>1</v>
      </c>
      <c r="B1263" s="1">
        <v>81</v>
      </c>
      <c r="C1263" s="1">
        <v>72</v>
      </c>
      <c r="D1263" s="1">
        <v>18</v>
      </c>
      <c r="E1263" s="1">
        <v>40</v>
      </c>
      <c r="F1263" s="1">
        <v>26.6</v>
      </c>
      <c r="G1263" s="1">
        <v>0.28299999999999997</v>
      </c>
      <c r="H1263" s="1">
        <v>24</v>
      </c>
      <c r="I1263" s="1">
        <v>0</v>
      </c>
      <c r="J1263" s="1" t="str">
        <f>IFERROR(VLOOKUP(K1263,[1]diabetes_Recognition!$A:$B,2,FALSE),"Not Sampled")</f>
        <v>Not Sampled</v>
      </c>
      <c r="K1263" s="1">
        <v>1261</v>
      </c>
      <c r="L1263" s="1">
        <f>LOOKUP(A1263,Sheet2!$D$4:$E$9)</f>
        <v>1</v>
      </c>
      <c r="M1263" t="str">
        <f>LOOKUP(B1263,Sheet2!$G$4:$H$9)</f>
        <v>1-99</v>
      </c>
      <c r="N1263" t="str">
        <f>LOOKUP(C1263,Sheet2!$J$4:$K$8)</f>
        <v>70-79</v>
      </c>
      <c r="O1263" t="str">
        <f>LOOKUP(D1263,Sheet2!$M$4:$N$8)</f>
        <v>10-30</v>
      </c>
      <c r="P1263" t="str">
        <f>LOOKUP(E1263,Sheet2!$P$4:$Q$9)</f>
        <v>1-99</v>
      </c>
      <c r="Q1263" t="str">
        <f>LOOKUP(F1263,Sheet2!$S$4:$T$8)</f>
        <v>26-30</v>
      </c>
      <c r="R1263" t="str">
        <f>LOOKUP(G1263,Sheet2!$V$4:$W$7)</f>
        <v>0.25 - 0.39</v>
      </c>
      <c r="S1263" t="str">
        <f>LOOKUP(H1263,Sheet2!$Z$4:$AA$7)</f>
        <v>&lt;=25</v>
      </c>
      <c r="T1263" t="str">
        <f t="shared" si="57"/>
        <v>Negative</v>
      </c>
      <c r="U1263" t="str">
        <f t="shared" si="58"/>
        <v>Not Sampled</v>
      </c>
      <c r="V1263" s="1" t="str">
        <f t="shared" si="59"/>
        <v>Not Sampled</v>
      </c>
    </row>
    <row r="1264" spans="1:22" x14ac:dyDescent="0.25">
      <c r="A1264" s="1">
        <v>2</v>
      </c>
      <c r="B1264" s="1">
        <v>85</v>
      </c>
      <c r="C1264" s="1">
        <v>65</v>
      </c>
      <c r="D1264" s="1">
        <v>0</v>
      </c>
      <c r="E1264" s="1">
        <v>0</v>
      </c>
      <c r="F1264" s="1">
        <v>39.6</v>
      </c>
      <c r="G1264" s="1">
        <v>0.93</v>
      </c>
      <c r="H1264" s="1">
        <v>27</v>
      </c>
      <c r="I1264" s="1">
        <v>0</v>
      </c>
      <c r="J1264" s="1">
        <f>IFERROR(VLOOKUP(K1264,[1]diabetes_Recognition!$A:$B,2,FALSE),"Not Sampled")</f>
        <v>0</v>
      </c>
      <c r="K1264" s="1">
        <v>1262</v>
      </c>
      <c r="L1264" s="1">
        <f>LOOKUP(A1264,Sheet2!$D$4:$E$9)</f>
        <v>2</v>
      </c>
      <c r="M1264" t="str">
        <f>LOOKUP(B1264,Sheet2!$G$4:$H$9)</f>
        <v>1-99</v>
      </c>
      <c r="N1264" t="str">
        <f>LOOKUP(C1264,Sheet2!$J$4:$K$8)</f>
        <v>60-69</v>
      </c>
      <c r="O1264" t="str">
        <f>LOOKUP(D1264,Sheet2!$M$4:$N$8)</f>
        <v>Unknown</v>
      </c>
      <c r="P1264" t="str">
        <f>LOOKUP(E1264,Sheet2!$P$4:$Q$9)</f>
        <v>Unknown</v>
      </c>
      <c r="Q1264" t="str">
        <f>LOOKUP(F1264,Sheet2!$S$4:$T$8)</f>
        <v>36+</v>
      </c>
      <c r="R1264" t="str">
        <f>LOOKUP(G1264,Sheet2!$V$4:$W$7)</f>
        <v>0.7+</v>
      </c>
      <c r="S1264" t="str">
        <f>LOOKUP(H1264,Sheet2!$Z$4:$AA$7)</f>
        <v>26-35</v>
      </c>
      <c r="T1264" t="str">
        <f t="shared" si="57"/>
        <v>Negative</v>
      </c>
      <c r="U1264" t="str">
        <f t="shared" si="58"/>
        <v>Negative</v>
      </c>
      <c r="V1264" s="1" t="str">
        <f t="shared" si="59"/>
        <v>Accurate Prediction</v>
      </c>
    </row>
    <row r="1265" spans="1:22" x14ac:dyDescent="0.25">
      <c r="A1265" s="1">
        <v>1</v>
      </c>
      <c r="B1265" s="1">
        <v>126</v>
      </c>
      <c r="C1265" s="1">
        <v>56</v>
      </c>
      <c r="D1265" s="1">
        <v>29</v>
      </c>
      <c r="E1265" s="1">
        <v>152</v>
      </c>
      <c r="F1265" s="1">
        <v>28.7</v>
      </c>
      <c r="G1265" s="1">
        <v>0.80100000000000005</v>
      </c>
      <c r="H1265" s="1">
        <v>21</v>
      </c>
      <c r="I1265" s="1">
        <v>0</v>
      </c>
      <c r="J1265" s="1" t="str">
        <f>IFERROR(VLOOKUP(K1265,[1]diabetes_Recognition!$A:$B,2,FALSE),"Not Sampled")</f>
        <v>Not Sampled</v>
      </c>
      <c r="K1265" s="1">
        <v>1263</v>
      </c>
      <c r="L1265" s="1">
        <f>LOOKUP(A1265,Sheet2!$D$4:$E$9)</f>
        <v>1</v>
      </c>
      <c r="M1265" t="str">
        <f>LOOKUP(B1265,Sheet2!$G$4:$H$9)</f>
        <v>126-150</v>
      </c>
      <c r="N1265" t="str">
        <f>LOOKUP(C1265,Sheet2!$J$4:$K$8)</f>
        <v>1-59</v>
      </c>
      <c r="O1265" t="str">
        <f>LOOKUP(D1265,Sheet2!$M$4:$N$8)</f>
        <v>10-30</v>
      </c>
      <c r="P1265" t="str">
        <f>LOOKUP(E1265,Sheet2!$P$4:$Q$9)</f>
        <v>100-199</v>
      </c>
      <c r="Q1265" t="str">
        <f>LOOKUP(F1265,Sheet2!$S$4:$T$8)</f>
        <v>26-30</v>
      </c>
      <c r="R1265" t="str">
        <f>LOOKUP(G1265,Sheet2!$V$4:$W$7)</f>
        <v>0.7+</v>
      </c>
      <c r="S1265" t="str">
        <f>LOOKUP(H1265,Sheet2!$Z$4:$AA$7)</f>
        <v>&lt;=25</v>
      </c>
      <c r="T1265" t="str">
        <f t="shared" si="57"/>
        <v>Negative</v>
      </c>
      <c r="U1265" t="str">
        <f t="shared" si="58"/>
        <v>Not Sampled</v>
      </c>
      <c r="V1265" s="1" t="str">
        <f t="shared" si="59"/>
        <v>Not Sampled</v>
      </c>
    </row>
    <row r="1266" spans="1:22" x14ac:dyDescent="0.25">
      <c r="A1266" s="1">
        <v>1</v>
      </c>
      <c r="B1266" s="1">
        <v>96</v>
      </c>
      <c r="C1266" s="1">
        <v>122</v>
      </c>
      <c r="D1266" s="1">
        <v>0</v>
      </c>
      <c r="E1266" s="1">
        <v>0</v>
      </c>
      <c r="F1266" s="1">
        <v>22.4</v>
      </c>
      <c r="G1266" s="1">
        <v>0.20699999999999999</v>
      </c>
      <c r="H1266" s="1">
        <v>27</v>
      </c>
      <c r="I1266" s="1">
        <v>0</v>
      </c>
      <c r="J1266" s="1">
        <f>IFERROR(VLOOKUP(K1266,[1]diabetes_Recognition!$A:$B,2,FALSE),"Not Sampled")</f>
        <v>0</v>
      </c>
      <c r="K1266" s="1">
        <v>1264</v>
      </c>
      <c r="L1266" s="1">
        <f>LOOKUP(A1266,Sheet2!$D$4:$E$9)</f>
        <v>1</v>
      </c>
      <c r="M1266" t="str">
        <f>LOOKUP(B1266,Sheet2!$G$4:$H$9)</f>
        <v>1-99</v>
      </c>
      <c r="N1266" t="str">
        <f>LOOKUP(C1266,Sheet2!$J$4:$K$8)</f>
        <v>80+</v>
      </c>
      <c r="O1266" t="str">
        <f>LOOKUP(D1266,Sheet2!$M$4:$N$8)</f>
        <v>Unknown</v>
      </c>
      <c r="P1266" t="str">
        <f>LOOKUP(E1266,Sheet2!$P$4:$Q$9)</f>
        <v>Unknown</v>
      </c>
      <c r="Q1266" t="str">
        <f>LOOKUP(F1266,Sheet2!$S$4:$T$8)</f>
        <v>1-25</v>
      </c>
      <c r="R1266" t="str">
        <f>LOOKUP(G1266,Sheet2!$V$4:$W$7)</f>
        <v>0.0 - 0.249</v>
      </c>
      <c r="S1266" t="str">
        <f>LOOKUP(H1266,Sheet2!$Z$4:$AA$7)</f>
        <v>26-35</v>
      </c>
      <c r="T1266" t="str">
        <f t="shared" si="57"/>
        <v>Negative</v>
      </c>
      <c r="U1266" t="str">
        <f t="shared" si="58"/>
        <v>Negative</v>
      </c>
      <c r="V1266" s="1" t="str">
        <f t="shared" si="59"/>
        <v>Accurate Prediction</v>
      </c>
    </row>
    <row r="1267" spans="1:22" x14ac:dyDescent="0.25">
      <c r="A1267" s="1">
        <v>4</v>
      </c>
      <c r="B1267" s="1">
        <v>144</v>
      </c>
      <c r="C1267" s="1">
        <v>58</v>
      </c>
      <c r="D1267" s="1">
        <v>28</v>
      </c>
      <c r="E1267" s="1">
        <v>140</v>
      </c>
      <c r="F1267" s="1">
        <v>29.5</v>
      </c>
      <c r="G1267" s="1">
        <v>0.28699999999999998</v>
      </c>
      <c r="H1267" s="1">
        <v>37</v>
      </c>
      <c r="I1267" s="1">
        <v>0</v>
      </c>
      <c r="J1267" s="1">
        <f>IFERROR(VLOOKUP(K1267,[1]diabetes_Recognition!$A:$B,2,FALSE),"Not Sampled")</f>
        <v>0</v>
      </c>
      <c r="K1267" s="1">
        <v>1265</v>
      </c>
      <c r="L1267" s="1" t="str">
        <f>LOOKUP(A1267,Sheet2!$D$4:$E$9)</f>
        <v>3-4</v>
      </c>
      <c r="M1267" t="str">
        <f>LOOKUP(B1267,Sheet2!$G$4:$H$9)</f>
        <v>126-150</v>
      </c>
      <c r="N1267" t="str">
        <f>LOOKUP(C1267,Sheet2!$J$4:$K$8)</f>
        <v>1-59</v>
      </c>
      <c r="O1267" t="str">
        <f>LOOKUP(D1267,Sheet2!$M$4:$N$8)</f>
        <v>10-30</v>
      </c>
      <c r="P1267" t="str">
        <f>LOOKUP(E1267,Sheet2!$P$4:$Q$9)</f>
        <v>100-199</v>
      </c>
      <c r="Q1267" t="str">
        <f>LOOKUP(F1267,Sheet2!$S$4:$T$8)</f>
        <v>26-30</v>
      </c>
      <c r="R1267" t="str">
        <f>LOOKUP(G1267,Sheet2!$V$4:$W$7)</f>
        <v>0.25 - 0.39</v>
      </c>
      <c r="S1267" t="str">
        <f>LOOKUP(H1267,Sheet2!$Z$4:$AA$7)</f>
        <v>36-45</v>
      </c>
      <c r="T1267" t="str">
        <f t="shared" si="57"/>
        <v>Negative</v>
      </c>
      <c r="U1267" t="str">
        <f t="shared" si="58"/>
        <v>Negative</v>
      </c>
      <c r="V1267" s="1" t="str">
        <f t="shared" si="59"/>
        <v>Accurate Prediction</v>
      </c>
    </row>
    <row r="1268" spans="1:22" x14ac:dyDescent="0.25">
      <c r="A1268" s="1">
        <v>3</v>
      </c>
      <c r="B1268" s="1">
        <v>83</v>
      </c>
      <c r="C1268" s="1">
        <v>58</v>
      </c>
      <c r="D1268" s="1">
        <v>31</v>
      </c>
      <c r="E1268" s="1">
        <v>18</v>
      </c>
      <c r="F1268" s="1">
        <v>34.299999999999997</v>
      </c>
      <c r="G1268" s="1">
        <v>0.33600000000000002</v>
      </c>
      <c r="H1268" s="1">
        <v>25</v>
      </c>
      <c r="I1268" s="1">
        <v>0</v>
      </c>
      <c r="J1268" s="1" t="str">
        <f>IFERROR(VLOOKUP(K1268,[1]diabetes_Recognition!$A:$B,2,FALSE),"Not Sampled")</f>
        <v>Not Sampled</v>
      </c>
      <c r="K1268" s="1">
        <v>1266</v>
      </c>
      <c r="L1268" s="1" t="str">
        <f>LOOKUP(A1268,Sheet2!$D$4:$E$9)</f>
        <v>3-4</v>
      </c>
      <c r="M1268" t="str">
        <f>LOOKUP(B1268,Sheet2!$G$4:$H$9)</f>
        <v>1-99</v>
      </c>
      <c r="N1268" t="str">
        <f>LOOKUP(C1268,Sheet2!$J$4:$K$8)</f>
        <v>1-59</v>
      </c>
      <c r="O1268" t="str">
        <f>LOOKUP(D1268,Sheet2!$M$4:$N$8)</f>
        <v>30-39</v>
      </c>
      <c r="P1268" t="str">
        <f>LOOKUP(E1268,Sheet2!$P$4:$Q$9)</f>
        <v>1-99</v>
      </c>
      <c r="Q1268" t="str">
        <f>LOOKUP(F1268,Sheet2!$S$4:$T$8)</f>
        <v>31-35</v>
      </c>
      <c r="R1268" t="str">
        <f>LOOKUP(G1268,Sheet2!$V$4:$W$7)</f>
        <v>0.25 - 0.39</v>
      </c>
      <c r="S1268" t="str">
        <f>LOOKUP(H1268,Sheet2!$Z$4:$AA$7)</f>
        <v>&lt;=25</v>
      </c>
      <c r="T1268" t="str">
        <f t="shared" si="57"/>
        <v>Negative</v>
      </c>
      <c r="U1268" t="str">
        <f t="shared" si="58"/>
        <v>Not Sampled</v>
      </c>
      <c r="V1268" s="1" t="str">
        <f t="shared" si="59"/>
        <v>Not Sampled</v>
      </c>
    </row>
    <row r="1269" spans="1:22" x14ac:dyDescent="0.25">
      <c r="A1269" s="1">
        <v>0</v>
      </c>
      <c r="B1269" s="1">
        <v>95</v>
      </c>
      <c r="C1269" s="1">
        <v>85</v>
      </c>
      <c r="D1269" s="1">
        <v>25</v>
      </c>
      <c r="E1269" s="1">
        <v>36</v>
      </c>
      <c r="F1269" s="1">
        <v>37.4</v>
      </c>
      <c r="G1269" s="1">
        <v>0.247</v>
      </c>
      <c r="H1269" s="1">
        <v>24</v>
      </c>
      <c r="I1269" s="1">
        <v>1</v>
      </c>
      <c r="J1269" s="1">
        <f>IFERROR(VLOOKUP(K1269,[1]diabetes_Recognition!$A:$B,2,FALSE),"Not Sampled")</f>
        <v>0</v>
      </c>
      <c r="K1269" s="1">
        <v>1267</v>
      </c>
      <c r="L1269" s="1">
        <f>LOOKUP(A1269,Sheet2!$D$4:$E$9)</f>
        <v>0</v>
      </c>
      <c r="M1269" t="str">
        <f>LOOKUP(B1269,Sheet2!$G$4:$H$9)</f>
        <v>1-99</v>
      </c>
      <c r="N1269" t="str">
        <f>LOOKUP(C1269,Sheet2!$J$4:$K$8)</f>
        <v>80+</v>
      </c>
      <c r="O1269" t="str">
        <f>LOOKUP(D1269,Sheet2!$M$4:$N$8)</f>
        <v>10-30</v>
      </c>
      <c r="P1269" t="str">
        <f>LOOKUP(E1269,Sheet2!$P$4:$Q$9)</f>
        <v>1-99</v>
      </c>
      <c r="Q1269" t="str">
        <f>LOOKUP(F1269,Sheet2!$S$4:$T$8)</f>
        <v>36+</v>
      </c>
      <c r="R1269" t="str">
        <f>LOOKUP(G1269,Sheet2!$V$4:$W$7)</f>
        <v>0.0 - 0.249</v>
      </c>
      <c r="S1269" t="str">
        <f>LOOKUP(H1269,Sheet2!$Z$4:$AA$7)</f>
        <v>&lt;=25</v>
      </c>
      <c r="T1269" t="str">
        <f t="shared" si="57"/>
        <v>Positive</v>
      </c>
      <c r="U1269" t="str">
        <f t="shared" si="58"/>
        <v>Negative</v>
      </c>
      <c r="V1269" s="1" t="str">
        <f t="shared" si="59"/>
        <v>Inaccurate Prediction</v>
      </c>
    </row>
    <row r="1270" spans="1:22" x14ac:dyDescent="0.25">
      <c r="A1270" s="1">
        <v>3</v>
      </c>
      <c r="B1270" s="1">
        <v>171</v>
      </c>
      <c r="C1270" s="1">
        <v>72</v>
      </c>
      <c r="D1270" s="1">
        <v>33</v>
      </c>
      <c r="E1270" s="1">
        <v>135</v>
      </c>
      <c r="F1270" s="1">
        <v>33.299999999999997</v>
      </c>
      <c r="G1270" s="1">
        <v>0.19900000000000001</v>
      </c>
      <c r="H1270" s="1">
        <v>24</v>
      </c>
      <c r="I1270" s="1">
        <v>1</v>
      </c>
      <c r="J1270" s="1" t="str">
        <f>IFERROR(VLOOKUP(K1270,[1]diabetes_Recognition!$A:$B,2,FALSE),"Not Sampled")</f>
        <v>Not Sampled</v>
      </c>
      <c r="K1270" s="1">
        <v>1268</v>
      </c>
      <c r="L1270" s="1" t="str">
        <f>LOOKUP(A1270,Sheet2!$D$4:$E$9)</f>
        <v>3-4</v>
      </c>
      <c r="M1270" t="str">
        <f>LOOKUP(B1270,Sheet2!$G$4:$H$9)</f>
        <v>151-175</v>
      </c>
      <c r="N1270" t="str">
        <f>LOOKUP(C1270,Sheet2!$J$4:$K$8)</f>
        <v>70-79</v>
      </c>
      <c r="O1270" t="str">
        <f>LOOKUP(D1270,Sheet2!$M$4:$N$8)</f>
        <v>30-39</v>
      </c>
      <c r="P1270" t="str">
        <f>LOOKUP(E1270,Sheet2!$P$4:$Q$9)</f>
        <v>100-199</v>
      </c>
      <c r="Q1270" t="str">
        <f>LOOKUP(F1270,Sheet2!$S$4:$T$8)</f>
        <v>31-35</v>
      </c>
      <c r="R1270" t="str">
        <f>LOOKUP(G1270,Sheet2!$V$4:$W$7)</f>
        <v>0.0 - 0.249</v>
      </c>
      <c r="S1270" t="str">
        <f>LOOKUP(H1270,Sheet2!$Z$4:$AA$7)</f>
        <v>&lt;=25</v>
      </c>
      <c r="T1270" t="str">
        <f t="shared" si="57"/>
        <v>Positive</v>
      </c>
      <c r="U1270" t="str">
        <f t="shared" si="58"/>
        <v>Not Sampled</v>
      </c>
      <c r="V1270" s="1" t="str">
        <f t="shared" si="59"/>
        <v>Not Sampled</v>
      </c>
    </row>
    <row r="1271" spans="1:22" x14ac:dyDescent="0.25">
      <c r="A1271" s="1">
        <v>8</v>
      </c>
      <c r="B1271" s="1">
        <v>155</v>
      </c>
      <c r="C1271" s="1">
        <v>62</v>
      </c>
      <c r="D1271" s="1">
        <v>26</v>
      </c>
      <c r="E1271" s="1">
        <v>495</v>
      </c>
      <c r="F1271" s="1">
        <v>34</v>
      </c>
      <c r="G1271" s="1">
        <v>0.54300000000000004</v>
      </c>
      <c r="H1271" s="1">
        <v>46</v>
      </c>
      <c r="I1271" s="1">
        <v>1</v>
      </c>
      <c r="J1271" s="1" t="str">
        <f>IFERROR(VLOOKUP(K1271,[1]diabetes_Recognition!$A:$B,2,FALSE),"Not Sampled")</f>
        <v>Not Sampled</v>
      </c>
      <c r="K1271" s="1">
        <v>1269</v>
      </c>
      <c r="L1271" s="1" t="str">
        <f>LOOKUP(A1271,Sheet2!$D$4:$E$9)</f>
        <v>8+</v>
      </c>
      <c r="M1271" t="str">
        <f>LOOKUP(B1271,Sheet2!$G$4:$H$9)</f>
        <v>151-175</v>
      </c>
      <c r="N1271" t="str">
        <f>LOOKUP(C1271,Sheet2!$J$4:$K$8)</f>
        <v>60-69</v>
      </c>
      <c r="O1271" t="str">
        <f>LOOKUP(D1271,Sheet2!$M$4:$N$8)</f>
        <v>10-30</v>
      </c>
      <c r="P1271" t="str">
        <f>LOOKUP(E1271,Sheet2!$P$4:$Q$9)</f>
        <v>300-499</v>
      </c>
      <c r="Q1271" t="str">
        <f>LOOKUP(F1271,Sheet2!$S$4:$T$8)</f>
        <v>31-35</v>
      </c>
      <c r="R1271" t="str">
        <f>LOOKUP(G1271,Sheet2!$V$4:$W$7)</f>
        <v>0.4 - 0.69</v>
      </c>
      <c r="S1271" t="str">
        <f>LOOKUP(H1271,Sheet2!$Z$4:$AA$7)</f>
        <v>46+</v>
      </c>
      <c r="T1271" t="str">
        <f t="shared" si="57"/>
        <v>Positive</v>
      </c>
      <c r="U1271" t="str">
        <f t="shared" si="58"/>
        <v>Not Sampled</v>
      </c>
      <c r="V1271" s="1" t="str">
        <f t="shared" si="59"/>
        <v>Not Sampled</v>
      </c>
    </row>
    <row r="1272" spans="1:22" x14ac:dyDescent="0.25">
      <c r="A1272" s="1">
        <v>1</v>
      </c>
      <c r="B1272" s="1">
        <v>89</v>
      </c>
      <c r="C1272" s="1">
        <v>76</v>
      </c>
      <c r="D1272" s="1">
        <v>34</v>
      </c>
      <c r="E1272" s="1">
        <v>37</v>
      </c>
      <c r="F1272" s="1">
        <v>31.2</v>
      </c>
      <c r="G1272" s="1">
        <v>0.192</v>
      </c>
      <c r="H1272" s="1">
        <v>23</v>
      </c>
      <c r="I1272" s="1">
        <v>0</v>
      </c>
      <c r="J1272" s="1">
        <f>IFERROR(VLOOKUP(K1272,[1]diabetes_Recognition!$A:$B,2,FALSE),"Not Sampled")</f>
        <v>0</v>
      </c>
      <c r="K1272" s="1">
        <v>1270</v>
      </c>
      <c r="L1272" s="1">
        <f>LOOKUP(A1272,Sheet2!$D$4:$E$9)</f>
        <v>1</v>
      </c>
      <c r="M1272" t="str">
        <f>LOOKUP(B1272,Sheet2!$G$4:$H$9)</f>
        <v>1-99</v>
      </c>
      <c r="N1272" t="str">
        <f>LOOKUP(C1272,Sheet2!$J$4:$K$8)</f>
        <v>70-79</v>
      </c>
      <c r="O1272" t="str">
        <f>LOOKUP(D1272,Sheet2!$M$4:$N$8)</f>
        <v>30-39</v>
      </c>
      <c r="P1272" t="str">
        <f>LOOKUP(E1272,Sheet2!$P$4:$Q$9)</f>
        <v>1-99</v>
      </c>
      <c r="Q1272" t="str">
        <f>LOOKUP(F1272,Sheet2!$S$4:$T$8)</f>
        <v>31-35</v>
      </c>
      <c r="R1272" t="str">
        <f>LOOKUP(G1272,Sheet2!$V$4:$W$7)</f>
        <v>0.0 - 0.249</v>
      </c>
      <c r="S1272" t="str">
        <f>LOOKUP(H1272,Sheet2!$Z$4:$AA$7)</f>
        <v>&lt;=25</v>
      </c>
      <c r="T1272" t="str">
        <f t="shared" si="57"/>
        <v>Negative</v>
      </c>
      <c r="U1272" t="str">
        <f t="shared" si="58"/>
        <v>Negative</v>
      </c>
      <c r="V1272" s="1" t="str">
        <f t="shared" si="59"/>
        <v>Accurate Prediction</v>
      </c>
    </row>
    <row r="1273" spans="1:22" x14ac:dyDescent="0.25">
      <c r="A1273" s="1">
        <v>4</v>
      </c>
      <c r="B1273" s="1">
        <v>76</v>
      </c>
      <c r="C1273" s="1">
        <v>62</v>
      </c>
      <c r="D1273" s="1">
        <v>0</v>
      </c>
      <c r="E1273" s="1">
        <v>0</v>
      </c>
      <c r="F1273" s="1">
        <v>34</v>
      </c>
      <c r="G1273" s="1">
        <v>0.39100000000000001</v>
      </c>
      <c r="H1273" s="1">
        <v>25</v>
      </c>
      <c r="I1273" s="1">
        <v>0</v>
      </c>
      <c r="J1273" s="1">
        <f>IFERROR(VLOOKUP(K1273,[1]diabetes_Recognition!$A:$B,2,FALSE),"Not Sampled")</f>
        <v>0</v>
      </c>
      <c r="K1273" s="1">
        <v>1271</v>
      </c>
      <c r="L1273" s="1" t="str">
        <f>LOOKUP(A1273,Sheet2!$D$4:$E$9)</f>
        <v>3-4</v>
      </c>
      <c r="M1273" t="str">
        <f>LOOKUP(B1273,Sheet2!$G$4:$H$9)</f>
        <v>1-99</v>
      </c>
      <c r="N1273" t="str">
        <f>LOOKUP(C1273,Sheet2!$J$4:$K$8)</f>
        <v>60-69</v>
      </c>
      <c r="O1273" t="str">
        <f>LOOKUP(D1273,Sheet2!$M$4:$N$8)</f>
        <v>Unknown</v>
      </c>
      <c r="P1273" t="str">
        <f>LOOKUP(E1273,Sheet2!$P$4:$Q$9)</f>
        <v>Unknown</v>
      </c>
      <c r="Q1273" t="str">
        <f>LOOKUP(F1273,Sheet2!$S$4:$T$8)</f>
        <v>31-35</v>
      </c>
      <c r="R1273" t="str">
        <f>LOOKUP(G1273,Sheet2!$V$4:$W$7)</f>
        <v>0.25 - 0.39</v>
      </c>
      <c r="S1273" t="str">
        <f>LOOKUP(H1273,Sheet2!$Z$4:$AA$7)</f>
        <v>&lt;=25</v>
      </c>
      <c r="T1273" t="str">
        <f t="shared" si="57"/>
        <v>Negative</v>
      </c>
      <c r="U1273" t="str">
        <f t="shared" si="58"/>
        <v>Negative</v>
      </c>
      <c r="V1273" s="1" t="str">
        <f t="shared" si="59"/>
        <v>Accurate Prediction</v>
      </c>
    </row>
    <row r="1274" spans="1:22" x14ac:dyDescent="0.25">
      <c r="A1274" s="1">
        <v>7</v>
      </c>
      <c r="B1274" s="1">
        <v>160</v>
      </c>
      <c r="C1274" s="1">
        <v>54</v>
      </c>
      <c r="D1274" s="1">
        <v>32</v>
      </c>
      <c r="E1274" s="1">
        <v>175</v>
      </c>
      <c r="F1274" s="1">
        <v>30.5</v>
      </c>
      <c r="G1274" s="1">
        <v>0.58799999999999997</v>
      </c>
      <c r="H1274" s="1">
        <v>39</v>
      </c>
      <c r="I1274" s="1">
        <v>1</v>
      </c>
      <c r="J1274" s="1" t="str">
        <f>IFERROR(VLOOKUP(K1274,[1]diabetes_Recognition!$A:$B,2,FALSE),"Not Sampled")</f>
        <v>Not Sampled</v>
      </c>
      <c r="K1274" s="1">
        <v>1272</v>
      </c>
      <c r="L1274" s="1" t="str">
        <f>LOOKUP(A1274,Sheet2!$D$4:$E$9)</f>
        <v>5-7</v>
      </c>
      <c r="M1274" t="str">
        <f>LOOKUP(B1274,Sheet2!$G$4:$H$9)</f>
        <v>151-175</v>
      </c>
      <c r="N1274" t="str">
        <f>LOOKUP(C1274,Sheet2!$J$4:$K$8)</f>
        <v>1-59</v>
      </c>
      <c r="O1274" t="str">
        <f>LOOKUP(D1274,Sheet2!$M$4:$N$8)</f>
        <v>30-39</v>
      </c>
      <c r="P1274" t="str">
        <f>LOOKUP(E1274,Sheet2!$P$4:$Q$9)</f>
        <v>100-199</v>
      </c>
      <c r="Q1274" t="str">
        <f>LOOKUP(F1274,Sheet2!$S$4:$T$8)</f>
        <v>26-30</v>
      </c>
      <c r="R1274" t="str">
        <f>LOOKUP(G1274,Sheet2!$V$4:$W$7)</f>
        <v>0.4 - 0.69</v>
      </c>
      <c r="S1274" t="str">
        <f>LOOKUP(H1274,Sheet2!$Z$4:$AA$7)</f>
        <v>36-45</v>
      </c>
      <c r="T1274" t="str">
        <f t="shared" si="57"/>
        <v>Positive</v>
      </c>
      <c r="U1274" t="str">
        <f t="shared" si="58"/>
        <v>Not Sampled</v>
      </c>
      <c r="V1274" s="1" t="str">
        <f t="shared" si="59"/>
        <v>Not Sampled</v>
      </c>
    </row>
    <row r="1275" spans="1:22" x14ac:dyDescent="0.25">
      <c r="A1275" s="1">
        <v>4</v>
      </c>
      <c r="B1275" s="1">
        <v>146</v>
      </c>
      <c r="C1275" s="1">
        <v>92</v>
      </c>
      <c r="D1275" s="1">
        <v>0</v>
      </c>
      <c r="E1275" s="1">
        <v>0</v>
      </c>
      <c r="F1275" s="1">
        <v>31.2</v>
      </c>
      <c r="G1275" s="1">
        <v>0.53900000000000003</v>
      </c>
      <c r="H1275" s="1">
        <v>61</v>
      </c>
      <c r="I1275" s="1">
        <v>1</v>
      </c>
      <c r="J1275" s="1" t="str">
        <f>IFERROR(VLOOKUP(K1275,[1]diabetes_Recognition!$A:$B,2,FALSE),"Not Sampled")</f>
        <v>Not Sampled</v>
      </c>
      <c r="K1275" s="1">
        <v>1273</v>
      </c>
      <c r="L1275" s="1" t="str">
        <f>LOOKUP(A1275,Sheet2!$D$4:$E$9)</f>
        <v>3-4</v>
      </c>
      <c r="M1275" t="str">
        <f>LOOKUP(B1275,Sheet2!$G$4:$H$9)</f>
        <v>126-150</v>
      </c>
      <c r="N1275" t="str">
        <f>LOOKUP(C1275,Sheet2!$J$4:$K$8)</f>
        <v>80+</v>
      </c>
      <c r="O1275" t="str">
        <f>LOOKUP(D1275,Sheet2!$M$4:$N$8)</f>
        <v>Unknown</v>
      </c>
      <c r="P1275" t="str">
        <f>LOOKUP(E1275,Sheet2!$P$4:$Q$9)</f>
        <v>Unknown</v>
      </c>
      <c r="Q1275" t="str">
        <f>LOOKUP(F1275,Sheet2!$S$4:$T$8)</f>
        <v>31-35</v>
      </c>
      <c r="R1275" t="str">
        <f>LOOKUP(G1275,Sheet2!$V$4:$W$7)</f>
        <v>0.4 - 0.69</v>
      </c>
      <c r="S1275" t="str">
        <f>LOOKUP(H1275,Sheet2!$Z$4:$AA$7)</f>
        <v>46+</v>
      </c>
      <c r="T1275" t="str">
        <f t="shared" si="57"/>
        <v>Positive</v>
      </c>
      <c r="U1275" t="str">
        <f t="shared" si="58"/>
        <v>Not Sampled</v>
      </c>
      <c r="V1275" s="1" t="str">
        <f t="shared" si="59"/>
        <v>Not Sampled</v>
      </c>
    </row>
    <row r="1276" spans="1:22" x14ac:dyDescent="0.25">
      <c r="A1276" s="1">
        <v>5</v>
      </c>
      <c r="B1276" s="1">
        <v>124</v>
      </c>
      <c r="C1276" s="1">
        <v>74</v>
      </c>
      <c r="D1276" s="1">
        <v>0</v>
      </c>
      <c r="E1276" s="1">
        <v>0</v>
      </c>
      <c r="F1276" s="1">
        <v>34</v>
      </c>
      <c r="G1276" s="1">
        <v>0.22</v>
      </c>
      <c r="H1276" s="1">
        <v>38</v>
      </c>
      <c r="I1276" s="1">
        <v>1</v>
      </c>
      <c r="J1276" s="1">
        <f>IFERROR(VLOOKUP(K1276,[1]diabetes_Recognition!$A:$B,2,FALSE),"Not Sampled")</f>
        <v>0</v>
      </c>
      <c r="K1276" s="1">
        <v>1274</v>
      </c>
      <c r="L1276" s="1" t="str">
        <f>LOOKUP(A1276,Sheet2!$D$4:$E$9)</f>
        <v>5-7</v>
      </c>
      <c r="M1276" t="str">
        <f>LOOKUP(B1276,Sheet2!$G$4:$H$9)</f>
        <v>100-125</v>
      </c>
      <c r="N1276" t="str">
        <f>LOOKUP(C1276,Sheet2!$J$4:$K$8)</f>
        <v>70-79</v>
      </c>
      <c r="O1276" t="str">
        <f>LOOKUP(D1276,Sheet2!$M$4:$N$8)</f>
        <v>Unknown</v>
      </c>
      <c r="P1276" t="str">
        <f>LOOKUP(E1276,Sheet2!$P$4:$Q$9)</f>
        <v>Unknown</v>
      </c>
      <c r="Q1276" t="str">
        <f>LOOKUP(F1276,Sheet2!$S$4:$T$8)</f>
        <v>31-35</v>
      </c>
      <c r="R1276" t="str">
        <f>LOOKUP(G1276,Sheet2!$V$4:$W$7)</f>
        <v>0.0 - 0.249</v>
      </c>
      <c r="S1276" t="str">
        <f>LOOKUP(H1276,Sheet2!$Z$4:$AA$7)</f>
        <v>36-45</v>
      </c>
      <c r="T1276" t="str">
        <f t="shared" si="57"/>
        <v>Positive</v>
      </c>
      <c r="U1276" t="str">
        <f t="shared" si="58"/>
        <v>Negative</v>
      </c>
      <c r="V1276" s="1" t="str">
        <f t="shared" si="59"/>
        <v>Inaccurate Prediction</v>
      </c>
    </row>
    <row r="1277" spans="1:22" x14ac:dyDescent="0.25">
      <c r="A1277" s="1">
        <v>5</v>
      </c>
      <c r="B1277" s="1">
        <v>78</v>
      </c>
      <c r="C1277" s="1">
        <v>48</v>
      </c>
      <c r="D1277" s="1">
        <v>0</v>
      </c>
      <c r="E1277" s="1">
        <v>0</v>
      </c>
      <c r="F1277" s="1">
        <v>33.700000000000003</v>
      </c>
      <c r="G1277" s="1">
        <v>0.65400000000000003</v>
      </c>
      <c r="H1277" s="1">
        <v>25</v>
      </c>
      <c r="I1277" s="1">
        <v>0</v>
      </c>
      <c r="J1277" s="1" t="str">
        <f>IFERROR(VLOOKUP(K1277,[1]diabetes_Recognition!$A:$B,2,FALSE),"Not Sampled")</f>
        <v>Not Sampled</v>
      </c>
      <c r="K1277" s="1">
        <v>1275</v>
      </c>
      <c r="L1277" s="1" t="str">
        <f>LOOKUP(A1277,Sheet2!$D$4:$E$9)</f>
        <v>5-7</v>
      </c>
      <c r="M1277" t="str">
        <f>LOOKUP(B1277,Sheet2!$G$4:$H$9)</f>
        <v>1-99</v>
      </c>
      <c r="N1277" t="str">
        <f>LOOKUP(C1277,Sheet2!$J$4:$K$8)</f>
        <v>1-59</v>
      </c>
      <c r="O1277" t="str">
        <f>LOOKUP(D1277,Sheet2!$M$4:$N$8)</f>
        <v>Unknown</v>
      </c>
      <c r="P1277" t="str">
        <f>LOOKUP(E1277,Sheet2!$P$4:$Q$9)</f>
        <v>Unknown</v>
      </c>
      <c r="Q1277" t="str">
        <f>LOOKUP(F1277,Sheet2!$S$4:$T$8)</f>
        <v>31-35</v>
      </c>
      <c r="R1277" t="str">
        <f>LOOKUP(G1277,Sheet2!$V$4:$W$7)</f>
        <v>0.4 - 0.69</v>
      </c>
      <c r="S1277" t="str">
        <f>LOOKUP(H1277,Sheet2!$Z$4:$AA$7)</f>
        <v>&lt;=25</v>
      </c>
      <c r="T1277" t="str">
        <f t="shared" si="57"/>
        <v>Negative</v>
      </c>
      <c r="U1277" t="str">
        <f t="shared" si="58"/>
        <v>Not Sampled</v>
      </c>
      <c r="V1277" s="1" t="str">
        <f t="shared" si="59"/>
        <v>Not Sampled</v>
      </c>
    </row>
    <row r="1278" spans="1:22" x14ac:dyDescent="0.25">
      <c r="A1278" s="1">
        <v>4</v>
      </c>
      <c r="B1278" s="1">
        <v>97</v>
      </c>
      <c r="C1278" s="1">
        <v>60</v>
      </c>
      <c r="D1278" s="1">
        <v>23</v>
      </c>
      <c r="E1278" s="1">
        <v>0</v>
      </c>
      <c r="F1278" s="1">
        <v>28.2</v>
      </c>
      <c r="G1278" s="1">
        <v>0.443</v>
      </c>
      <c r="H1278" s="1">
        <v>22</v>
      </c>
      <c r="I1278" s="1">
        <v>0</v>
      </c>
      <c r="J1278" s="1" t="str">
        <f>IFERROR(VLOOKUP(K1278,[1]diabetes_Recognition!$A:$B,2,FALSE),"Not Sampled")</f>
        <v>Not Sampled</v>
      </c>
      <c r="K1278" s="1">
        <v>1276</v>
      </c>
      <c r="L1278" s="1" t="str">
        <f>LOOKUP(A1278,Sheet2!$D$4:$E$9)</f>
        <v>3-4</v>
      </c>
      <c r="M1278" t="str">
        <f>LOOKUP(B1278,Sheet2!$G$4:$H$9)</f>
        <v>1-99</v>
      </c>
      <c r="N1278" t="str">
        <f>LOOKUP(C1278,Sheet2!$J$4:$K$8)</f>
        <v>60-69</v>
      </c>
      <c r="O1278" t="str">
        <f>LOOKUP(D1278,Sheet2!$M$4:$N$8)</f>
        <v>10-30</v>
      </c>
      <c r="P1278" t="str">
        <f>LOOKUP(E1278,Sheet2!$P$4:$Q$9)</f>
        <v>Unknown</v>
      </c>
      <c r="Q1278" t="str">
        <f>LOOKUP(F1278,Sheet2!$S$4:$T$8)</f>
        <v>26-30</v>
      </c>
      <c r="R1278" t="str">
        <f>LOOKUP(G1278,Sheet2!$V$4:$W$7)</f>
        <v>0.4 - 0.69</v>
      </c>
      <c r="S1278" t="str">
        <f>LOOKUP(H1278,Sheet2!$Z$4:$AA$7)</f>
        <v>&lt;=25</v>
      </c>
      <c r="T1278" t="str">
        <f t="shared" si="57"/>
        <v>Negative</v>
      </c>
      <c r="U1278" t="str">
        <f t="shared" si="58"/>
        <v>Not Sampled</v>
      </c>
      <c r="V1278" s="1" t="str">
        <f t="shared" si="59"/>
        <v>Not Sampled</v>
      </c>
    </row>
    <row r="1279" spans="1:22" x14ac:dyDescent="0.25">
      <c r="A1279" s="1">
        <v>4</v>
      </c>
      <c r="B1279" s="1">
        <v>99</v>
      </c>
      <c r="C1279" s="1">
        <v>76</v>
      </c>
      <c r="D1279" s="1">
        <v>15</v>
      </c>
      <c r="E1279" s="1">
        <v>51</v>
      </c>
      <c r="F1279" s="1">
        <v>23.2</v>
      </c>
      <c r="G1279" s="1">
        <v>0.223</v>
      </c>
      <c r="H1279" s="1">
        <v>21</v>
      </c>
      <c r="I1279" s="1">
        <v>0</v>
      </c>
      <c r="J1279" s="1" t="str">
        <f>IFERROR(VLOOKUP(K1279,[1]diabetes_Recognition!$A:$B,2,FALSE),"Not Sampled")</f>
        <v>Not Sampled</v>
      </c>
      <c r="K1279" s="1">
        <v>1277</v>
      </c>
      <c r="L1279" s="1" t="str">
        <f>LOOKUP(A1279,Sheet2!$D$4:$E$9)</f>
        <v>3-4</v>
      </c>
      <c r="M1279" t="str">
        <f>LOOKUP(B1279,Sheet2!$G$4:$H$9)</f>
        <v>1-99</v>
      </c>
      <c r="N1279" t="str">
        <f>LOOKUP(C1279,Sheet2!$J$4:$K$8)</f>
        <v>70-79</v>
      </c>
      <c r="O1279" t="str">
        <f>LOOKUP(D1279,Sheet2!$M$4:$N$8)</f>
        <v>10-30</v>
      </c>
      <c r="P1279" t="str">
        <f>LOOKUP(E1279,Sheet2!$P$4:$Q$9)</f>
        <v>1-99</v>
      </c>
      <c r="Q1279" t="str">
        <f>LOOKUP(F1279,Sheet2!$S$4:$T$8)</f>
        <v>1-25</v>
      </c>
      <c r="R1279" t="str">
        <f>LOOKUP(G1279,Sheet2!$V$4:$W$7)</f>
        <v>0.0 - 0.249</v>
      </c>
      <c r="S1279" t="str">
        <f>LOOKUP(H1279,Sheet2!$Z$4:$AA$7)</f>
        <v>&lt;=25</v>
      </c>
      <c r="T1279" t="str">
        <f t="shared" si="57"/>
        <v>Negative</v>
      </c>
      <c r="U1279" t="str">
        <f t="shared" si="58"/>
        <v>Not Sampled</v>
      </c>
      <c r="V1279" s="1" t="str">
        <f t="shared" si="59"/>
        <v>Not Sampled</v>
      </c>
    </row>
    <row r="1280" spans="1:22" x14ac:dyDescent="0.25">
      <c r="A1280" s="1">
        <v>0</v>
      </c>
      <c r="B1280" s="1">
        <v>162</v>
      </c>
      <c r="C1280" s="1">
        <v>76</v>
      </c>
      <c r="D1280" s="1">
        <v>56</v>
      </c>
      <c r="E1280" s="1">
        <v>100</v>
      </c>
      <c r="F1280" s="1">
        <v>53.2</v>
      </c>
      <c r="G1280" s="1">
        <v>0.75900000000000001</v>
      </c>
      <c r="H1280" s="1">
        <v>25</v>
      </c>
      <c r="I1280" s="1">
        <v>1</v>
      </c>
      <c r="J1280" s="1" t="str">
        <f>IFERROR(VLOOKUP(K1280,[1]diabetes_Recognition!$A:$B,2,FALSE),"Not Sampled")</f>
        <v>Not Sampled</v>
      </c>
      <c r="K1280" s="1">
        <v>1278</v>
      </c>
      <c r="L1280" s="1">
        <f>LOOKUP(A1280,Sheet2!$D$4:$E$9)</f>
        <v>0</v>
      </c>
      <c r="M1280" t="str">
        <f>LOOKUP(B1280,Sheet2!$G$4:$H$9)</f>
        <v>151-175</v>
      </c>
      <c r="N1280" t="str">
        <f>LOOKUP(C1280,Sheet2!$J$4:$K$8)</f>
        <v>70-79</v>
      </c>
      <c r="O1280" t="str">
        <f>LOOKUP(D1280,Sheet2!$M$4:$N$8)</f>
        <v>40+</v>
      </c>
      <c r="P1280" t="str">
        <f>LOOKUP(E1280,Sheet2!$P$4:$Q$9)</f>
        <v>100-199</v>
      </c>
      <c r="Q1280" t="str">
        <f>LOOKUP(F1280,Sheet2!$S$4:$T$8)</f>
        <v>36+</v>
      </c>
      <c r="R1280" t="str">
        <f>LOOKUP(G1280,Sheet2!$V$4:$W$7)</f>
        <v>0.7+</v>
      </c>
      <c r="S1280" t="str">
        <f>LOOKUP(H1280,Sheet2!$Z$4:$AA$7)</f>
        <v>&lt;=25</v>
      </c>
      <c r="T1280" t="str">
        <f t="shared" si="57"/>
        <v>Positive</v>
      </c>
      <c r="U1280" t="str">
        <f t="shared" si="58"/>
        <v>Not Sampled</v>
      </c>
      <c r="V1280" s="1" t="str">
        <f t="shared" si="59"/>
        <v>Not Sampled</v>
      </c>
    </row>
    <row r="1281" spans="1:22" x14ac:dyDescent="0.25">
      <c r="A1281" s="1">
        <v>6</v>
      </c>
      <c r="B1281" s="1">
        <v>111</v>
      </c>
      <c r="C1281" s="1">
        <v>64</v>
      </c>
      <c r="D1281" s="1">
        <v>39</v>
      </c>
      <c r="E1281" s="1">
        <v>0</v>
      </c>
      <c r="F1281" s="1">
        <v>34.200000000000003</v>
      </c>
      <c r="G1281" s="1">
        <v>0.26</v>
      </c>
      <c r="H1281" s="1">
        <v>24</v>
      </c>
      <c r="I1281" s="1">
        <v>0</v>
      </c>
      <c r="J1281" s="1">
        <f>IFERROR(VLOOKUP(K1281,[1]diabetes_Recognition!$A:$B,2,FALSE),"Not Sampled")</f>
        <v>0</v>
      </c>
      <c r="K1281" s="1">
        <v>1279</v>
      </c>
      <c r="L1281" s="1" t="str">
        <f>LOOKUP(A1281,Sheet2!$D$4:$E$9)</f>
        <v>5-7</v>
      </c>
      <c r="M1281" t="str">
        <f>LOOKUP(B1281,Sheet2!$G$4:$H$9)</f>
        <v>100-125</v>
      </c>
      <c r="N1281" t="str">
        <f>LOOKUP(C1281,Sheet2!$J$4:$K$8)</f>
        <v>60-69</v>
      </c>
      <c r="O1281" t="str">
        <f>LOOKUP(D1281,Sheet2!$M$4:$N$8)</f>
        <v>30-39</v>
      </c>
      <c r="P1281" t="str">
        <f>LOOKUP(E1281,Sheet2!$P$4:$Q$9)</f>
        <v>Unknown</v>
      </c>
      <c r="Q1281" t="str">
        <f>LOOKUP(F1281,Sheet2!$S$4:$T$8)</f>
        <v>31-35</v>
      </c>
      <c r="R1281" t="str">
        <f>LOOKUP(G1281,Sheet2!$V$4:$W$7)</f>
        <v>0.25 - 0.39</v>
      </c>
      <c r="S1281" t="str">
        <f>LOOKUP(H1281,Sheet2!$Z$4:$AA$7)</f>
        <v>&lt;=25</v>
      </c>
      <c r="T1281" t="str">
        <f t="shared" si="57"/>
        <v>Negative</v>
      </c>
      <c r="U1281" t="str">
        <f t="shared" si="58"/>
        <v>Negative</v>
      </c>
      <c r="V1281" s="1" t="str">
        <f t="shared" si="59"/>
        <v>Accurate Prediction</v>
      </c>
    </row>
    <row r="1282" spans="1:22" x14ac:dyDescent="0.25">
      <c r="A1282" s="1">
        <v>2</v>
      </c>
      <c r="B1282" s="1">
        <v>107</v>
      </c>
      <c r="C1282" s="1">
        <v>74</v>
      </c>
      <c r="D1282" s="1">
        <v>30</v>
      </c>
      <c r="E1282" s="1">
        <v>100</v>
      </c>
      <c r="F1282" s="1">
        <v>33.6</v>
      </c>
      <c r="G1282" s="1">
        <v>0.40400000000000003</v>
      </c>
      <c r="H1282" s="1">
        <v>23</v>
      </c>
      <c r="I1282" s="1">
        <v>0</v>
      </c>
      <c r="J1282" s="1" t="str">
        <f>IFERROR(VLOOKUP(K1282,[1]diabetes_Recognition!$A:$B,2,FALSE),"Not Sampled")</f>
        <v>Not Sampled</v>
      </c>
      <c r="K1282" s="1">
        <v>1280</v>
      </c>
      <c r="L1282" s="1">
        <f>LOOKUP(A1282,Sheet2!$D$4:$E$9)</f>
        <v>2</v>
      </c>
      <c r="M1282" t="str">
        <f>LOOKUP(B1282,Sheet2!$G$4:$H$9)</f>
        <v>100-125</v>
      </c>
      <c r="N1282" t="str">
        <f>LOOKUP(C1282,Sheet2!$J$4:$K$8)</f>
        <v>70-79</v>
      </c>
      <c r="O1282" t="str">
        <f>LOOKUP(D1282,Sheet2!$M$4:$N$8)</f>
        <v>30-39</v>
      </c>
      <c r="P1282" t="str">
        <f>LOOKUP(E1282,Sheet2!$P$4:$Q$9)</f>
        <v>100-199</v>
      </c>
      <c r="Q1282" t="str">
        <f>LOOKUP(F1282,Sheet2!$S$4:$T$8)</f>
        <v>31-35</v>
      </c>
      <c r="R1282" t="str">
        <f>LOOKUP(G1282,Sheet2!$V$4:$W$7)</f>
        <v>0.4 - 0.69</v>
      </c>
      <c r="S1282" t="str">
        <f>LOOKUP(H1282,Sheet2!$Z$4:$AA$7)</f>
        <v>&lt;=25</v>
      </c>
      <c r="T1282" t="str">
        <f t="shared" si="57"/>
        <v>Negative</v>
      </c>
      <c r="U1282" t="str">
        <f t="shared" si="58"/>
        <v>Not Sampled</v>
      </c>
      <c r="V1282" s="1" t="str">
        <f t="shared" si="59"/>
        <v>Not Sampled</v>
      </c>
    </row>
    <row r="1283" spans="1:22" x14ac:dyDescent="0.25">
      <c r="A1283" s="1">
        <v>5</v>
      </c>
      <c r="B1283" s="1">
        <v>132</v>
      </c>
      <c r="C1283" s="1">
        <v>80</v>
      </c>
      <c r="D1283" s="1">
        <v>0</v>
      </c>
      <c r="E1283" s="1">
        <v>0</v>
      </c>
      <c r="F1283" s="1">
        <v>26.8</v>
      </c>
      <c r="G1283" s="1">
        <v>0.186</v>
      </c>
      <c r="H1283" s="1">
        <v>69</v>
      </c>
      <c r="I1283" s="1">
        <v>0</v>
      </c>
      <c r="J1283" s="1" t="str">
        <f>IFERROR(VLOOKUP(K1283,[1]diabetes_Recognition!$A:$B,2,FALSE),"Not Sampled")</f>
        <v>Not Sampled</v>
      </c>
      <c r="K1283" s="1">
        <v>1281</v>
      </c>
      <c r="L1283" s="1" t="str">
        <f>LOOKUP(A1283,Sheet2!$D$4:$E$9)</f>
        <v>5-7</v>
      </c>
      <c r="M1283" t="str">
        <f>LOOKUP(B1283,Sheet2!$G$4:$H$9)</f>
        <v>126-150</v>
      </c>
      <c r="N1283" t="str">
        <f>LOOKUP(C1283,Sheet2!$J$4:$K$8)</f>
        <v>80+</v>
      </c>
      <c r="O1283" t="str">
        <f>LOOKUP(D1283,Sheet2!$M$4:$N$8)</f>
        <v>Unknown</v>
      </c>
      <c r="P1283" t="str">
        <f>LOOKUP(E1283,Sheet2!$P$4:$Q$9)</f>
        <v>Unknown</v>
      </c>
      <c r="Q1283" t="str">
        <f>LOOKUP(F1283,Sheet2!$S$4:$T$8)</f>
        <v>26-30</v>
      </c>
      <c r="R1283" t="str">
        <f>LOOKUP(G1283,Sheet2!$V$4:$W$7)</f>
        <v>0.0 - 0.249</v>
      </c>
      <c r="S1283" t="str">
        <f>LOOKUP(H1283,Sheet2!$Z$4:$AA$7)</f>
        <v>46+</v>
      </c>
      <c r="T1283" t="str">
        <f t="shared" ref="T1283:T1346" si="60">IF(I1283=1,"Positive","Negative")</f>
        <v>Negative</v>
      </c>
      <c r="U1283" t="str">
        <f t="shared" ref="U1283:U1346" si="61">IF(J1283=1,"Positive",(IF(J1283=0,"Negative","Not Sampled")))</f>
        <v>Not Sampled</v>
      </c>
      <c r="V1283" s="1" t="str">
        <f t="shared" ref="V1283:V1346" si="62">IF(U1283="Not Sampled","Not Sampled",IF(T1283=U1283,"Accurate Prediction","Inaccurate Prediction"))</f>
        <v>Not Sampled</v>
      </c>
    </row>
    <row r="1284" spans="1:22" x14ac:dyDescent="0.25">
      <c r="A1284" s="1">
        <v>0</v>
      </c>
      <c r="B1284" s="1">
        <v>113</v>
      </c>
      <c r="C1284" s="1">
        <v>76</v>
      </c>
      <c r="D1284" s="1">
        <v>0</v>
      </c>
      <c r="E1284" s="1">
        <v>0</v>
      </c>
      <c r="F1284" s="1">
        <v>33.299999999999997</v>
      </c>
      <c r="G1284" s="1">
        <v>0.27800000000000002</v>
      </c>
      <c r="H1284" s="1">
        <v>23</v>
      </c>
      <c r="I1284" s="1">
        <v>1</v>
      </c>
      <c r="J1284" s="1">
        <f>IFERROR(VLOOKUP(K1284,[1]diabetes_Recognition!$A:$B,2,FALSE),"Not Sampled")</f>
        <v>0</v>
      </c>
      <c r="K1284" s="1">
        <v>1282</v>
      </c>
      <c r="L1284" s="1">
        <f>LOOKUP(A1284,Sheet2!$D$4:$E$9)</f>
        <v>0</v>
      </c>
      <c r="M1284" t="str">
        <f>LOOKUP(B1284,Sheet2!$G$4:$H$9)</f>
        <v>100-125</v>
      </c>
      <c r="N1284" t="str">
        <f>LOOKUP(C1284,Sheet2!$J$4:$K$8)</f>
        <v>70-79</v>
      </c>
      <c r="O1284" t="str">
        <f>LOOKUP(D1284,Sheet2!$M$4:$N$8)</f>
        <v>Unknown</v>
      </c>
      <c r="P1284" t="str">
        <f>LOOKUP(E1284,Sheet2!$P$4:$Q$9)</f>
        <v>Unknown</v>
      </c>
      <c r="Q1284" t="str">
        <f>LOOKUP(F1284,Sheet2!$S$4:$T$8)</f>
        <v>31-35</v>
      </c>
      <c r="R1284" t="str">
        <f>LOOKUP(G1284,Sheet2!$V$4:$W$7)</f>
        <v>0.25 - 0.39</v>
      </c>
      <c r="S1284" t="str">
        <f>LOOKUP(H1284,Sheet2!$Z$4:$AA$7)</f>
        <v>&lt;=25</v>
      </c>
      <c r="T1284" t="str">
        <f t="shared" si="60"/>
        <v>Positive</v>
      </c>
      <c r="U1284" t="str">
        <f t="shared" si="61"/>
        <v>Negative</v>
      </c>
      <c r="V1284" s="1" t="str">
        <f t="shared" si="62"/>
        <v>Inaccurate Prediction</v>
      </c>
    </row>
    <row r="1285" spans="1:22" x14ac:dyDescent="0.25">
      <c r="A1285" s="1">
        <v>1</v>
      </c>
      <c r="B1285" s="1">
        <v>88</v>
      </c>
      <c r="C1285" s="1">
        <v>30</v>
      </c>
      <c r="D1285" s="1">
        <v>42</v>
      </c>
      <c r="E1285" s="1">
        <v>99</v>
      </c>
      <c r="F1285" s="1">
        <v>55</v>
      </c>
      <c r="G1285" s="1">
        <v>0.496</v>
      </c>
      <c r="H1285" s="1">
        <v>26</v>
      </c>
      <c r="I1285" s="1">
        <v>1</v>
      </c>
      <c r="J1285" s="1">
        <f>IFERROR(VLOOKUP(K1285,[1]diabetes_Recognition!$A:$B,2,FALSE),"Not Sampled")</f>
        <v>0</v>
      </c>
      <c r="K1285" s="1">
        <v>1283</v>
      </c>
      <c r="L1285" s="1">
        <f>LOOKUP(A1285,Sheet2!$D$4:$E$9)</f>
        <v>1</v>
      </c>
      <c r="M1285" t="str">
        <f>LOOKUP(B1285,Sheet2!$G$4:$H$9)</f>
        <v>1-99</v>
      </c>
      <c r="N1285" t="str">
        <f>LOOKUP(C1285,Sheet2!$J$4:$K$8)</f>
        <v>1-59</v>
      </c>
      <c r="O1285" t="str">
        <f>LOOKUP(D1285,Sheet2!$M$4:$N$8)</f>
        <v>40+</v>
      </c>
      <c r="P1285" t="str">
        <f>LOOKUP(E1285,Sheet2!$P$4:$Q$9)</f>
        <v>1-99</v>
      </c>
      <c r="Q1285" t="str">
        <f>LOOKUP(F1285,Sheet2!$S$4:$T$8)</f>
        <v>36+</v>
      </c>
      <c r="R1285" t="str">
        <f>LOOKUP(G1285,Sheet2!$V$4:$W$7)</f>
        <v>0.4 - 0.69</v>
      </c>
      <c r="S1285" t="str">
        <f>LOOKUP(H1285,Sheet2!$Z$4:$AA$7)</f>
        <v>26-35</v>
      </c>
      <c r="T1285" t="str">
        <f t="shared" si="60"/>
        <v>Positive</v>
      </c>
      <c r="U1285" t="str">
        <f t="shared" si="61"/>
        <v>Negative</v>
      </c>
      <c r="V1285" s="1" t="str">
        <f t="shared" si="62"/>
        <v>Inaccurate Prediction</v>
      </c>
    </row>
    <row r="1286" spans="1:22" x14ac:dyDescent="0.25">
      <c r="A1286" s="1">
        <v>3</v>
      </c>
      <c r="B1286" s="1">
        <v>120</v>
      </c>
      <c r="C1286" s="1">
        <v>70</v>
      </c>
      <c r="D1286" s="1">
        <v>30</v>
      </c>
      <c r="E1286" s="1">
        <v>135</v>
      </c>
      <c r="F1286" s="1">
        <v>42.9</v>
      </c>
      <c r="G1286" s="1">
        <v>0.45200000000000001</v>
      </c>
      <c r="H1286" s="1">
        <v>30</v>
      </c>
      <c r="I1286" s="1">
        <v>0</v>
      </c>
      <c r="J1286" s="1" t="str">
        <f>IFERROR(VLOOKUP(K1286,[1]diabetes_Recognition!$A:$B,2,FALSE),"Not Sampled")</f>
        <v>Not Sampled</v>
      </c>
      <c r="K1286" s="1">
        <v>1284</v>
      </c>
      <c r="L1286" s="1" t="str">
        <f>LOOKUP(A1286,Sheet2!$D$4:$E$9)</f>
        <v>3-4</v>
      </c>
      <c r="M1286" t="str">
        <f>LOOKUP(B1286,Sheet2!$G$4:$H$9)</f>
        <v>100-125</v>
      </c>
      <c r="N1286" t="str">
        <f>LOOKUP(C1286,Sheet2!$J$4:$K$8)</f>
        <v>70-79</v>
      </c>
      <c r="O1286" t="str">
        <f>LOOKUP(D1286,Sheet2!$M$4:$N$8)</f>
        <v>30-39</v>
      </c>
      <c r="P1286" t="str">
        <f>LOOKUP(E1286,Sheet2!$P$4:$Q$9)</f>
        <v>100-199</v>
      </c>
      <c r="Q1286" t="str">
        <f>LOOKUP(F1286,Sheet2!$S$4:$T$8)</f>
        <v>36+</v>
      </c>
      <c r="R1286" t="str">
        <f>LOOKUP(G1286,Sheet2!$V$4:$W$7)</f>
        <v>0.4 - 0.69</v>
      </c>
      <c r="S1286" t="str">
        <f>LOOKUP(H1286,Sheet2!$Z$4:$AA$7)</f>
        <v>26-35</v>
      </c>
      <c r="T1286" t="str">
        <f t="shared" si="60"/>
        <v>Negative</v>
      </c>
      <c r="U1286" t="str">
        <f t="shared" si="61"/>
        <v>Not Sampled</v>
      </c>
      <c r="V1286" s="1" t="str">
        <f t="shared" si="62"/>
        <v>Not Sampled</v>
      </c>
    </row>
    <row r="1287" spans="1:22" x14ac:dyDescent="0.25">
      <c r="A1287" s="1">
        <v>1</v>
      </c>
      <c r="B1287" s="1">
        <v>118</v>
      </c>
      <c r="C1287" s="1">
        <v>58</v>
      </c>
      <c r="D1287" s="1">
        <v>36</v>
      </c>
      <c r="E1287" s="1">
        <v>94</v>
      </c>
      <c r="F1287" s="1">
        <v>33.299999999999997</v>
      </c>
      <c r="G1287" s="1">
        <v>0.26100000000000001</v>
      </c>
      <c r="H1287" s="1">
        <v>23</v>
      </c>
      <c r="I1287" s="1">
        <v>0</v>
      </c>
      <c r="J1287" s="1" t="str">
        <f>IFERROR(VLOOKUP(K1287,[1]diabetes_Recognition!$A:$B,2,FALSE),"Not Sampled")</f>
        <v>Not Sampled</v>
      </c>
      <c r="K1287" s="1">
        <v>1285</v>
      </c>
      <c r="L1287" s="1">
        <f>LOOKUP(A1287,Sheet2!$D$4:$E$9)</f>
        <v>1</v>
      </c>
      <c r="M1287" t="str">
        <f>LOOKUP(B1287,Sheet2!$G$4:$H$9)</f>
        <v>100-125</v>
      </c>
      <c r="N1287" t="str">
        <f>LOOKUP(C1287,Sheet2!$J$4:$K$8)</f>
        <v>1-59</v>
      </c>
      <c r="O1287" t="str">
        <f>LOOKUP(D1287,Sheet2!$M$4:$N$8)</f>
        <v>30-39</v>
      </c>
      <c r="P1287" t="str">
        <f>LOOKUP(E1287,Sheet2!$P$4:$Q$9)</f>
        <v>1-99</v>
      </c>
      <c r="Q1287" t="str">
        <f>LOOKUP(F1287,Sheet2!$S$4:$T$8)</f>
        <v>31-35</v>
      </c>
      <c r="R1287" t="str">
        <f>LOOKUP(G1287,Sheet2!$V$4:$W$7)</f>
        <v>0.25 - 0.39</v>
      </c>
      <c r="S1287" t="str">
        <f>LOOKUP(H1287,Sheet2!$Z$4:$AA$7)</f>
        <v>&lt;=25</v>
      </c>
      <c r="T1287" t="str">
        <f t="shared" si="60"/>
        <v>Negative</v>
      </c>
      <c r="U1287" t="str">
        <f t="shared" si="61"/>
        <v>Not Sampled</v>
      </c>
      <c r="V1287" s="1" t="str">
        <f t="shared" si="62"/>
        <v>Not Sampled</v>
      </c>
    </row>
    <row r="1288" spans="1:22" x14ac:dyDescent="0.25">
      <c r="A1288" s="1">
        <v>1</v>
      </c>
      <c r="B1288" s="1">
        <v>117</v>
      </c>
      <c r="C1288" s="1">
        <v>88</v>
      </c>
      <c r="D1288" s="1">
        <v>24</v>
      </c>
      <c r="E1288" s="1">
        <v>145</v>
      </c>
      <c r="F1288" s="1">
        <v>34.5</v>
      </c>
      <c r="G1288" s="1">
        <v>0.40300000000000002</v>
      </c>
      <c r="H1288" s="1">
        <v>40</v>
      </c>
      <c r="I1288" s="1">
        <v>1</v>
      </c>
      <c r="J1288" s="1" t="str">
        <f>IFERROR(VLOOKUP(K1288,[1]diabetes_Recognition!$A:$B,2,FALSE),"Not Sampled")</f>
        <v>Not Sampled</v>
      </c>
      <c r="K1288" s="1">
        <v>1286</v>
      </c>
      <c r="L1288" s="1">
        <f>LOOKUP(A1288,Sheet2!$D$4:$E$9)</f>
        <v>1</v>
      </c>
      <c r="M1288" t="str">
        <f>LOOKUP(B1288,Sheet2!$G$4:$H$9)</f>
        <v>100-125</v>
      </c>
      <c r="N1288" t="str">
        <f>LOOKUP(C1288,Sheet2!$J$4:$K$8)</f>
        <v>80+</v>
      </c>
      <c r="O1288" t="str">
        <f>LOOKUP(D1288,Sheet2!$M$4:$N$8)</f>
        <v>10-30</v>
      </c>
      <c r="P1288" t="str">
        <f>LOOKUP(E1288,Sheet2!$P$4:$Q$9)</f>
        <v>100-199</v>
      </c>
      <c r="Q1288" t="str">
        <f>LOOKUP(F1288,Sheet2!$S$4:$T$8)</f>
        <v>31-35</v>
      </c>
      <c r="R1288" t="str">
        <f>LOOKUP(G1288,Sheet2!$V$4:$W$7)</f>
        <v>0.4 - 0.69</v>
      </c>
      <c r="S1288" t="str">
        <f>LOOKUP(H1288,Sheet2!$Z$4:$AA$7)</f>
        <v>36-45</v>
      </c>
      <c r="T1288" t="str">
        <f t="shared" si="60"/>
        <v>Positive</v>
      </c>
      <c r="U1288" t="str">
        <f t="shared" si="61"/>
        <v>Not Sampled</v>
      </c>
      <c r="V1288" s="1" t="str">
        <f t="shared" si="62"/>
        <v>Not Sampled</v>
      </c>
    </row>
    <row r="1289" spans="1:22" x14ac:dyDescent="0.25">
      <c r="A1289" s="1">
        <v>0</v>
      </c>
      <c r="B1289" s="1">
        <v>105</v>
      </c>
      <c r="C1289" s="1">
        <v>84</v>
      </c>
      <c r="D1289" s="1">
        <v>0</v>
      </c>
      <c r="E1289" s="1">
        <v>0</v>
      </c>
      <c r="F1289" s="1">
        <v>27.9</v>
      </c>
      <c r="G1289" s="1">
        <v>0.74099999999999999</v>
      </c>
      <c r="H1289" s="1">
        <v>62</v>
      </c>
      <c r="I1289" s="1">
        <v>1</v>
      </c>
      <c r="J1289" s="1" t="str">
        <f>IFERROR(VLOOKUP(K1289,[1]diabetes_Recognition!$A:$B,2,FALSE),"Not Sampled")</f>
        <v>Not Sampled</v>
      </c>
      <c r="K1289" s="1">
        <v>1287</v>
      </c>
      <c r="L1289" s="1">
        <f>LOOKUP(A1289,Sheet2!$D$4:$E$9)</f>
        <v>0</v>
      </c>
      <c r="M1289" t="str">
        <f>LOOKUP(B1289,Sheet2!$G$4:$H$9)</f>
        <v>100-125</v>
      </c>
      <c r="N1289" t="str">
        <f>LOOKUP(C1289,Sheet2!$J$4:$K$8)</f>
        <v>80+</v>
      </c>
      <c r="O1289" t="str">
        <f>LOOKUP(D1289,Sheet2!$M$4:$N$8)</f>
        <v>Unknown</v>
      </c>
      <c r="P1289" t="str">
        <f>LOOKUP(E1289,Sheet2!$P$4:$Q$9)</f>
        <v>Unknown</v>
      </c>
      <c r="Q1289" t="str">
        <f>LOOKUP(F1289,Sheet2!$S$4:$T$8)</f>
        <v>26-30</v>
      </c>
      <c r="R1289" t="str">
        <f>LOOKUP(G1289,Sheet2!$V$4:$W$7)</f>
        <v>0.7+</v>
      </c>
      <c r="S1289" t="str">
        <f>LOOKUP(H1289,Sheet2!$Z$4:$AA$7)</f>
        <v>46+</v>
      </c>
      <c r="T1289" t="str">
        <f t="shared" si="60"/>
        <v>Positive</v>
      </c>
      <c r="U1289" t="str">
        <f t="shared" si="61"/>
        <v>Not Sampled</v>
      </c>
      <c r="V1289" s="1" t="str">
        <f t="shared" si="62"/>
        <v>Not Sampled</v>
      </c>
    </row>
    <row r="1290" spans="1:22" x14ac:dyDescent="0.25">
      <c r="A1290" s="1">
        <v>4</v>
      </c>
      <c r="B1290" s="1">
        <v>173</v>
      </c>
      <c r="C1290" s="1">
        <v>70</v>
      </c>
      <c r="D1290" s="1">
        <v>14</v>
      </c>
      <c r="E1290" s="1">
        <v>168</v>
      </c>
      <c r="F1290" s="1">
        <v>29.7</v>
      </c>
      <c r="G1290" s="1">
        <v>0.36099999999999999</v>
      </c>
      <c r="H1290" s="1">
        <v>33</v>
      </c>
      <c r="I1290" s="1">
        <v>1</v>
      </c>
      <c r="J1290" s="1" t="str">
        <f>IFERROR(VLOOKUP(K1290,[1]diabetes_Recognition!$A:$B,2,FALSE),"Not Sampled")</f>
        <v>Not Sampled</v>
      </c>
      <c r="K1290" s="1">
        <v>1288</v>
      </c>
      <c r="L1290" s="1" t="str">
        <f>LOOKUP(A1290,Sheet2!$D$4:$E$9)</f>
        <v>3-4</v>
      </c>
      <c r="M1290" t="str">
        <f>LOOKUP(B1290,Sheet2!$G$4:$H$9)</f>
        <v>151-175</v>
      </c>
      <c r="N1290" t="str">
        <f>LOOKUP(C1290,Sheet2!$J$4:$K$8)</f>
        <v>70-79</v>
      </c>
      <c r="O1290" t="str">
        <f>LOOKUP(D1290,Sheet2!$M$4:$N$8)</f>
        <v>10-30</v>
      </c>
      <c r="P1290" t="str">
        <f>LOOKUP(E1290,Sheet2!$P$4:$Q$9)</f>
        <v>100-199</v>
      </c>
      <c r="Q1290" t="str">
        <f>LOOKUP(F1290,Sheet2!$S$4:$T$8)</f>
        <v>26-30</v>
      </c>
      <c r="R1290" t="str">
        <f>LOOKUP(G1290,Sheet2!$V$4:$W$7)</f>
        <v>0.25 - 0.39</v>
      </c>
      <c r="S1290" t="str">
        <f>LOOKUP(H1290,Sheet2!$Z$4:$AA$7)</f>
        <v>26-35</v>
      </c>
      <c r="T1290" t="str">
        <f t="shared" si="60"/>
        <v>Positive</v>
      </c>
      <c r="U1290" t="str">
        <f t="shared" si="61"/>
        <v>Not Sampled</v>
      </c>
      <c r="V1290" s="1" t="str">
        <f t="shared" si="62"/>
        <v>Not Sampled</v>
      </c>
    </row>
    <row r="1291" spans="1:22" x14ac:dyDescent="0.25">
      <c r="A1291" s="1">
        <v>9</v>
      </c>
      <c r="B1291" s="1">
        <v>122</v>
      </c>
      <c r="C1291" s="1">
        <v>56</v>
      </c>
      <c r="D1291" s="1">
        <v>0</v>
      </c>
      <c r="E1291" s="1">
        <v>0</v>
      </c>
      <c r="F1291" s="1">
        <v>33.299999999999997</v>
      </c>
      <c r="G1291" s="1">
        <v>1.1140000000000001</v>
      </c>
      <c r="H1291" s="1">
        <v>33</v>
      </c>
      <c r="I1291" s="1">
        <v>1</v>
      </c>
      <c r="J1291" s="1" t="str">
        <f>IFERROR(VLOOKUP(K1291,[1]diabetes_Recognition!$A:$B,2,FALSE),"Not Sampled")</f>
        <v>Not Sampled</v>
      </c>
      <c r="K1291" s="1">
        <v>1289</v>
      </c>
      <c r="L1291" s="1" t="str">
        <f>LOOKUP(A1291,Sheet2!$D$4:$E$9)</f>
        <v>8+</v>
      </c>
      <c r="M1291" t="str">
        <f>LOOKUP(B1291,Sheet2!$G$4:$H$9)</f>
        <v>100-125</v>
      </c>
      <c r="N1291" t="str">
        <f>LOOKUP(C1291,Sheet2!$J$4:$K$8)</f>
        <v>1-59</v>
      </c>
      <c r="O1291" t="str">
        <f>LOOKUP(D1291,Sheet2!$M$4:$N$8)</f>
        <v>Unknown</v>
      </c>
      <c r="P1291" t="str">
        <f>LOOKUP(E1291,Sheet2!$P$4:$Q$9)</f>
        <v>Unknown</v>
      </c>
      <c r="Q1291" t="str">
        <f>LOOKUP(F1291,Sheet2!$S$4:$T$8)</f>
        <v>31-35</v>
      </c>
      <c r="R1291" t="str">
        <f>LOOKUP(G1291,Sheet2!$V$4:$W$7)</f>
        <v>0.7+</v>
      </c>
      <c r="S1291" t="str">
        <f>LOOKUP(H1291,Sheet2!$Z$4:$AA$7)</f>
        <v>26-35</v>
      </c>
      <c r="T1291" t="str">
        <f t="shared" si="60"/>
        <v>Positive</v>
      </c>
      <c r="U1291" t="str">
        <f t="shared" si="61"/>
        <v>Not Sampled</v>
      </c>
      <c r="V1291" s="1" t="str">
        <f t="shared" si="62"/>
        <v>Not Sampled</v>
      </c>
    </row>
    <row r="1292" spans="1:22" x14ac:dyDescent="0.25">
      <c r="A1292" s="1">
        <v>3</v>
      </c>
      <c r="B1292" s="1">
        <v>170</v>
      </c>
      <c r="C1292" s="1">
        <v>64</v>
      </c>
      <c r="D1292" s="1">
        <v>37</v>
      </c>
      <c r="E1292" s="1">
        <v>225</v>
      </c>
      <c r="F1292" s="1">
        <v>34.5</v>
      </c>
      <c r="G1292" s="1">
        <v>0.35599999999999998</v>
      </c>
      <c r="H1292" s="1">
        <v>30</v>
      </c>
      <c r="I1292" s="1">
        <v>1</v>
      </c>
      <c r="J1292" s="1" t="str">
        <f>IFERROR(VLOOKUP(K1292,[1]diabetes_Recognition!$A:$B,2,FALSE),"Not Sampled")</f>
        <v>Not Sampled</v>
      </c>
      <c r="K1292" s="1">
        <v>1290</v>
      </c>
      <c r="L1292" s="1" t="str">
        <f>LOOKUP(A1292,Sheet2!$D$4:$E$9)</f>
        <v>3-4</v>
      </c>
      <c r="M1292" t="str">
        <f>LOOKUP(B1292,Sheet2!$G$4:$H$9)</f>
        <v>151-175</v>
      </c>
      <c r="N1292" t="str">
        <f>LOOKUP(C1292,Sheet2!$J$4:$K$8)</f>
        <v>60-69</v>
      </c>
      <c r="O1292" t="str">
        <f>LOOKUP(D1292,Sheet2!$M$4:$N$8)</f>
        <v>30-39</v>
      </c>
      <c r="P1292" t="str">
        <f>LOOKUP(E1292,Sheet2!$P$4:$Q$9)</f>
        <v>200-399</v>
      </c>
      <c r="Q1292" t="str">
        <f>LOOKUP(F1292,Sheet2!$S$4:$T$8)</f>
        <v>31-35</v>
      </c>
      <c r="R1292" t="str">
        <f>LOOKUP(G1292,Sheet2!$V$4:$W$7)</f>
        <v>0.25 - 0.39</v>
      </c>
      <c r="S1292" t="str">
        <f>LOOKUP(H1292,Sheet2!$Z$4:$AA$7)</f>
        <v>26-35</v>
      </c>
      <c r="T1292" t="str">
        <f t="shared" si="60"/>
        <v>Positive</v>
      </c>
      <c r="U1292" t="str">
        <f t="shared" si="61"/>
        <v>Not Sampled</v>
      </c>
      <c r="V1292" s="1" t="str">
        <f t="shared" si="62"/>
        <v>Not Sampled</v>
      </c>
    </row>
    <row r="1293" spans="1:22" x14ac:dyDescent="0.25">
      <c r="A1293" s="1">
        <v>8</v>
      </c>
      <c r="B1293" s="1">
        <v>84</v>
      </c>
      <c r="C1293" s="1">
        <v>74</v>
      </c>
      <c r="D1293" s="1">
        <v>31</v>
      </c>
      <c r="E1293" s="1">
        <v>0</v>
      </c>
      <c r="F1293" s="1">
        <v>38.299999999999997</v>
      </c>
      <c r="G1293" s="1">
        <v>0.45700000000000002</v>
      </c>
      <c r="H1293" s="1">
        <v>39</v>
      </c>
      <c r="I1293" s="1">
        <v>0</v>
      </c>
      <c r="J1293" s="1">
        <f>IFERROR(VLOOKUP(K1293,[1]diabetes_Recognition!$A:$B,2,FALSE),"Not Sampled")</f>
        <v>0</v>
      </c>
      <c r="K1293" s="1">
        <v>1291</v>
      </c>
      <c r="L1293" s="1" t="str">
        <f>LOOKUP(A1293,Sheet2!$D$4:$E$9)</f>
        <v>8+</v>
      </c>
      <c r="M1293" t="str">
        <f>LOOKUP(B1293,Sheet2!$G$4:$H$9)</f>
        <v>1-99</v>
      </c>
      <c r="N1293" t="str">
        <f>LOOKUP(C1293,Sheet2!$J$4:$K$8)</f>
        <v>70-79</v>
      </c>
      <c r="O1293" t="str">
        <f>LOOKUP(D1293,Sheet2!$M$4:$N$8)</f>
        <v>30-39</v>
      </c>
      <c r="P1293" t="str">
        <f>LOOKUP(E1293,Sheet2!$P$4:$Q$9)</f>
        <v>Unknown</v>
      </c>
      <c r="Q1293" t="str">
        <f>LOOKUP(F1293,Sheet2!$S$4:$T$8)</f>
        <v>36+</v>
      </c>
      <c r="R1293" t="str">
        <f>LOOKUP(G1293,Sheet2!$V$4:$W$7)</f>
        <v>0.4 - 0.69</v>
      </c>
      <c r="S1293" t="str">
        <f>LOOKUP(H1293,Sheet2!$Z$4:$AA$7)</f>
        <v>36-45</v>
      </c>
      <c r="T1293" t="str">
        <f t="shared" si="60"/>
        <v>Negative</v>
      </c>
      <c r="U1293" t="str">
        <f t="shared" si="61"/>
        <v>Negative</v>
      </c>
      <c r="V1293" s="1" t="str">
        <f t="shared" si="62"/>
        <v>Accurate Prediction</v>
      </c>
    </row>
    <row r="1294" spans="1:22" x14ac:dyDescent="0.25">
      <c r="A1294" s="1">
        <v>2</v>
      </c>
      <c r="B1294" s="1">
        <v>96</v>
      </c>
      <c r="C1294" s="1">
        <v>68</v>
      </c>
      <c r="D1294" s="1">
        <v>13</v>
      </c>
      <c r="E1294" s="1">
        <v>49</v>
      </c>
      <c r="F1294" s="1">
        <v>21.1</v>
      </c>
      <c r="G1294" s="1">
        <v>0.64700000000000002</v>
      </c>
      <c r="H1294" s="1">
        <v>26</v>
      </c>
      <c r="I1294" s="1">
        <v>0</v>
      </c>
      <c r="J1294" s="1" t="str">
        <f>IFERROR(VLOOKUP(K1294,[1]diabetes_Recognition!$A:$B,2,FALSE),"Not Sampled")</f>
        <v>Not Sampled</v>
      </c>
      <c r="K1294" s="1">
        <v>1292</v>
      </c>
      <c r="L1294" s="1">
        <f>LOOKUP(A1294,Sheet2!$D$4:$E$9)</f>
        <v>2</v>
      </c>
      <c r="M1294" t="str">
        <f>LOOKUP(B1294,Sheet2!$G$4:$H$9)</f>
        <v>1-99</v>
      </c>
      <c r="N1294" t="str">
        <f>LOOKUP(C1294,Sheet2!$J$4:$K$8)</f>
        <v>60-69</v>
      </c>
      <c r="O1294" t="str">
        <f>LOOKUP(D1294,Sheet2!$M$4:$N$8)</f>
        <v>10-30</v>
      </c>
      <c r="P1294" t="str">
        <f>LOOKUP(E1294,Sheet2!$P$4:$Q$9)</f>
        <v>1-99</v>
      </c>
      <c r="Q1294" t="str">
        <f>LOOKUP(F1294,Sheet2!$S$4:$T$8)</f>
        <v>1-25</v>
      </c>
      <c r="R1294" t="str">
        <f>LOOKUP(G1294,Sheet2!$V$4:$W$7)</f>
        <v>0.4 - 0.69</v>
      </c>
      <c r="S1294" t="str">
        <f>LOOKUP(H1294,Sheet2!$Z$4:$AA$7)</f>
        <v>26-35</v>
      </c>
      <c r="T1294" t="str">
        <f t="shared" si="60"/>
        <v>Negative</v>
      </c>
      <c r="U1294" t="str">
        <f t="shared" si="61"/>
        <v>Not Sampled</v>
      </c>
      <c r="V1294" s="1" t="str">
        <f t="shared" si="62"/>
        <v>Not Sampled</v>
      </c>
    </row>
    <row r="1295" spans="1:22" x14ac:dyDescent="0.25">
      <c r="A1295" s="1">
        <v>2</v>
      </c>
      <c r="B1295" s="1">
        <v>125</v>
      </c>
      <c r="C1295" s="1">
        <v>60</v>
      </c>
      <c r="D1295" s="1">
        <v>20</v>
      </c>
      <c r="E1295" s="1">
        <v>140</v>
      </c>
      <c r="F1295" s="1">
        <v>33.799999999999997</v>
      </c>
      <c r="G1295" s="1">
        <v>8.7999999999999995E-2</v>
      </c>
      <c r="H1295" s="1">
        <v>31</v>
      </c>
      <c r="I1295" s="1">
        <v>0</v>
      </c>
      <c r="J1295" s="1" t="str">
        <f>IFERROR(VLOOKUP(K1295,[1]diabetes_Recognition!$A:$B,2,FALSE),"Not Sampled")</f>
        <v>Not Sampled</v>
      </c>
      <c r="K1295" s="1">
        <v>1293</v>
      </c>
      <c r="L1295" s="1">
        <f>LOOKUP(A1295,Sheet2!$D$4:$E$9)</f>
        <v>2</v>
      </c>
      <c r="M1295" t="str">
        <f>LOOKUP(B1295,Sheet2!$G$4:$H$9)</f>
        <v>100-125</v>
      </c>
      <c r="N1295" t="str">
        <f>LOOKUP(C1295,Sheet2!$J$4:$K$8)</f>
        <v>60-69</v>
      </c>
      <c r="O1295" t="str">
        <f>LOOKUP(D1295,Sheet2!$M$4:$N$8)</f>
        <v>10-30</v>
      </c>
      <c r="P1295" t="str">
        <f>LOOKUP(E1295,Sheet2!$P$4:$Q$9)</f>
        <v>100-199</v>
      </c>
      <c r="Q1295" t="str">
        <f>LOOKUP(F1295,Sheet2!$S$4:$T$8)</f>
        <v>31-35</v>
      </c>
      <c r="R1295" t="str">
        <f>LOOKUP(G1295,Sheet2!$V$4:$W$7)</f>
        <v>0.0 - 0.249</v>
      </c>
      <c r="S1295" t="str">
        <f>LOOKUP(H1295,Sheet2!$Z$4:$AA$7)</f>
        <v>26-35</v>
      </c>
      <c r="T1295" t="str">
        <f t="shared" si="60"/>
        <v>Negative</v>
      </c>
      <c r="U1295" t="str">
        <f t="shared" si="61"/>
        <v>Not Sampled</v>
      </c>
      <c r="V1295" s="1" t="str">
        <f t="shared" si="62"/>
        <v>Not Sampled</v>
      </c>
    </row>
    <row r="1296" spans="1:22" x14ac:dyDescent="0.25">
      <c r="A1296" s="1">
        <v>0</v>
      </c>
      <c r="B1296" s="1">
        <v>100</v>
      </c>
      <c r="C1296" s="1">
        <v>70</v>
      </c>
      <c r="D1296" s="1">
        <v>26</v>
      </c>
      <c r="E1296" s="1">
        <v>50</v>
      </c>
      <c r="F1296" s="1">
        <v>30.8</v>
      </c>
      <c r="G1296" s="1">
        <v>0.59699999999999998</v>
      </c>
      <c r="H1296" s="1">
        <v>21</v>
      </c>
      <c r="I1296" s="1">
        <v>0</v>
      </c>
      <c r="J1296" s="1" t="str">
        <f>IFERROR(VLOOKUP(K1296,[1]diabetes_Recognition!$A:$B,2,FALSE),"Not Sampled")</f>
        <v>Not Sampled</v>
      </c>
      <c r="K1296" s="1">
        <v>1294</v>
      </c>
      <c r="L1296" s="1">
        <f>LOOKUP(A1296,Sheet2!$D$4:$E$9)</f>
        <v>0</v>
      </c>
      <c r="M1296" t="str">
        <f>LOOKUP(B1296,Sheet2!$G$4:$H$9)</f>
        <v>100-125</v>
      </c>
      <c r="N1296" t="str">
        <f>LOOKUP(C1296,Sheet2!$J$4:$K$8)</f>
        <v>70-79</v>
      </c>
      <c r="O1296" t="str">
        <f>LOOKUP(D1296,Sheet2!$M$4:$N$8)</f>
        <v>10-30</v>
      </c>
      <c r="P1296" t="str">
        <f>LOOKUP(E1296,Sheet2!$P$4:$Q$9)</f>
        <v>1-99</v>
      </c>
      <c r="Q1296" t="str">
        <f>LOOKUP(F1296,Sheet2!$S$4:$T$8)</f>
        <v>26-30</v>
      </c>
      <c r="R1296" t="str">
        <f>LOOKUP(G1296,Sheet2!$V$4:$W$7)</f>
        <v>0.4 - 0.69</v>
      </c>
      <c r="S1296" t="str">
        <f>LOOKUP(H1296,Sheet2!$Z$4:$AA$7)</f>
        <v>&lt;=25</v>
      </c>
      <c r="T1296" t="str">
        <f t="shared" si="60"/>
        <v>Negative</v>
      </c>
      <c r="U1296" t="str">
        <f t="shared" si="61"/>
        <v>Not Sampled</v>
      </c>
      <c r="V1296" s="1" t="str">
        <f t="shared" si="62"/>
        <v>Not Sampled</v>
      </c>
    </row>
    <row r="1297" spans="1:22" x14ac:dyDescent="0.25">
      <c r="A1297" s="1">
        <v>0</v>
      </c>
      <c r="B1297" s="1">
        <v>93</v>
      </c>
      <c r="C1297" s="1">
        <v>60</v>
      </c>
      <c r="D1297" s="1">
        <v>25</v>
      </c>
      <c r="E1297" s="1">
        <v>92</v>
      </c>
      <c r="F1297" s="1">
        <v>28.7</v>
      </c>
      <c r="G1297" s="1">
        <v>0.53200000000000003</v>
      </c>
      <c r="H1297" s="1">
        <v>22</v>
      </c>
      <c r="I1297" s="1">
        <v>0</v>
      </c>
      <c r="J1297" s="1" t="str">
        <f>IFERROR(VLOOKUP(K1297,[1]diabetes_Recognition!$A:$B,2,FALSE),"Not Sampled")</f>
        <v>Not Sampled</v>
      </c>
      <c r="K1297" s="1">
        <v>1295</v>
      </c>
      <c r="L1297" s="1">
        <f>LOOKUP(A1297,Sheet2!$D$4:$E$9)</f>
        <v>0</v>
      </c>
      <c r="M1297" t="str">
        <f>LOOKUP(B1297,Sheet2!$G$4:$H$9)</f>
        <v>1-99</v>
      </c>
      <c r="N1297" t="str">
        <f>LOOKUP(C1297,Sheet2!$J$4:$K$8)</f>
        <v>60-69</v>
      </c>
      <c r="O1297" t="str">
        <f>LOOKUP(D1297,Sheet2!$M$4:$N$8)</f>
        <v>10-30</v>
      </c>
      <c r="P1297" t="str">
        <f>LOOKUP(E1297,Sheet2!$P$4:$Q$9)</f>
        <v>1-99</v>
      </c>
      <c r="Q1297" t="str">
        <f>LOOKUP(F1297,Sheet2!$S$4:$T$8)</f>
        <v>26-30</v>
      </c>
      <c r="R1297" t="str">
        <f>LOOKUP(G1297,Sheet2!$V$4:$W$7)</f>
        <v>0.4 - 0.69</v>
      </c>
      <c r="S1297" t="str">
        <f>LOOKUP(H1297,Sheet2!$Z$4:$AA$7)</f>
        <v>&lt;=25</v>
      </c>
      <c r="T1297" t="str">
        <f t="shared" si="60"/>
        <v>Negative</v>
      </c>
      <c r="U1297" t="str">
        <f t="shared" si="61"/>
        <v>Not Sampled</v>
      </c>
      <c r="V1297" s="1" t="str">
        <f t="shared" si="62"/>
        <v>Not Sampled</v>
      </c>
    </row>
    <row r="1298" spans="1:22" x14ac:dyDescent="0.25">
      <c r="A1298" s="1">
        <v>0</v>
      </c>
      <c r="B1298" s="1">
        <v>129</v>
      </c>
      <c r="C1298" s="1">
        <v>80</v>
      </c>
      <c r="D1298" s="1">
        <v>0</v>
      </c>
      <c r="E1298" s="1">
        <v>0</v>
      </c>
      <c r="F1298" s="1">
        <v>31.2</v>
      </c>
      <c r="G1298" s="1">
        <v>0.70299999999999996</v>
      </c>
      <c r="H1298" s="1">
        <v>29</v>
      </c>
      <c r="I1298" s="1">
        <v>0</v>
      </c>
      <c r="J1298" s="1" t="str">
        <f>IFERROR(VLOOKUP(K1298,[1]diabetes_Recognition!$A:$B,2,FALSE),"Not Sampled")</f>
        <v>Not Sampled</v>
      </c>
      <c r="K1298" s="1">
        <v>1296</v>
      </c>
      <c r="L1298" s="1">
        <f>LOOKUP(A1298,Sheet2!$D$4:$E$9)</f>
        <v>0</v>
      </c>
      <c r="M1298" t="str">
        <f>LOOKUP(B1298,Sheet2!$G$4:$H$9)</f>
        <v>126-150</v>
      </c>
      <c r="N1298" t="str">
        <f>LOOKUP(C1298,Sheet2!$J$4:$K$8)</f>
        <v>80+</v>
      </c>
      <c r="O1298" t="str">
        <f>LOOKUP(D1298,Sheet2!$M$4:$N$8)</f>
        <v>Unknown</v>
      </c>
      <c r="P1298" t="str">
        <f>LOOKUP(E1298,Sheet2!$P$4:$Q$9)</f>
        <v>Unknown</v>
      </c>
      <c r="Q1298" t="str">
        <f>LOOKUP(F1298,Sheet2!$S$4:$T$8)</f>
        <v>31-35</v>
      </c>
      <c r="R1298" t="str">
        <f>LOOKUP(G1298,Sheet2!$V$4:$W$7)</f>
        <v>0.7+</v>
      </c>
      <c r="S1298" t="str">
        <f>LOOKUP(H1298,Sheet2!$Z$4:$AA$7)</f>
        <v>26-35</v>
      </c>
      <c r="T1298" t="str">
        <f t="shared" si="60"/>
        <v>Negative</v>
      </c>
      <c r="U1298" t="str">
        <f t="shared" si="61"/>
        <v>Not Sampled</v>
      </c>
      <c r="V1298" s="1" t="str">
        <f t="shared" si="62"/>
        <v>Not Sampled</v>
      </c>
    </row>
    <row r="1299" spans="1:22" x14ac:dyDescent="0.25">
      <c r="A1299" s="1">
        <v>5</v>
      </c>
      <c r="B1299" s="1">
        <v>105</v>
      </c>
      <c r="C1299" s="1">
        <v>72</v>
      </c>
      <c r="D1299" s="1">
        <v>29</v>
      </c>
      <c r="E1299" s="1">
        <v>325</v>
      </c>
      <c r="F1299" s="1">
        <v>36.9</v>
      </c>
      <c r="G1299" s="1">
        <v>0.159</v>
      </c>
      <c r="H1299" s="1">
        <v>28</v>
      </c>
      <c r="I1299" s="1">
        <v>0</v>
      </c>
      <c r="J1299" s="1">
        <f>IFERROR(VLOOKUP(K1299,[1]diabetes_Recognition!$A:$B,2,FALSE),"Not Sampled")</f>
        <v>0</v>
      </c>
      <c r="K1299" s="1">
        <v>1297</v>
      </c>
      <c r="L1299" s="1" t="str">
        <f>LOOKUP(A1299,Sheet2!$D$4:$E$9)</f>
        <v>5-7</v>
      </c>
      <c r="M1299" t="str">
        <f>LOOKUP(B1299,Sheet2!$G$4:$H$9)</f>
        <v>100-125</v>
      </c>
      <c r="N1299" t="str">
        <f>LOOKUP(C1299,Sheet2!$J$4:$K$8)</f>
        <v>70-79</v>
      </c>
      <c r="O1299" t="str">
        <f>LOOKUP(D1299,Sheet2!$M$4:$N$8)</f>
        <v>10-30</v>
      </c>
      <c r="P1299" t="str">
        <f>LOOKUP(E1299,Sheet2!$P$4:$Q$9)</f>
        <v>300-499</v>
      </c>
      <c r="Q1299" t="str">
        <f>LOOKUP(F1299,Sheet2!$S$4:$T$8)</f>
        <v>36+</v>
      </c>
      <c r="R1299" t="str">
        <f>LOOKUP(G1299,Sheet2!$V$4:$W$7)</f>
        <v>0.0 - 0.249</v>
      </c>
      <c r="S1299" t="str">
        <f>LOOKUP(H1299,Sheet2!$Z$4:$AA$7)</f>
        <v>26-35</v>
      </c>
      <c r="T1299" t="str">
        <f t="shared" si="60"/>
        <v>Negative</v>
      </c>
      <c r="U1299" t="str">
        <f t="shared" si="61"/>
        <v>Negative</v>
      </c>
      <c r="V1299" s="1" t="str">
        <f t="shared" si="62"/>
        <v>Accurate Prediction</v>
      </c>
    </row>
    <row r="1300" spans="1:22" x14ac:dyDescent="0.25">
      <c r="A1300" s="1">
        <v>3</v>
      </c>
      <c r="B1300" s="1">
        <v>128</v>
      </c>
      <c r="C1300" s="1">
        <v>78</v>
      </c>
      <c r="D1300" s="1">
        <v>0</v>
      </c>
      <c r="E1300" s="1">
        <v>0</v>
      </c>
      <c r="F1300" s="1">
        <v>21.1</v>
      </c>
      <c r="G1300" s="1">
        <v>0.26800000000000002</v>
      </c>
      <c r="H1300" s="1">
        <v>55</v>
      </c>
      <c r="I1300" s="1">
        <v>0</v>
      </c>
      <c r="J1300" s="1">
        <f>IFERROR(VLOOKUP(K1300,[1]diabetes_Recognition!$A:$B,2,FALSE),"Not Sampled")</f>
        <v>0</v>
      </c>
      <c r="K1300" s="1">
        <v>1298</v>
      </c>
      <c r="L1300" s="1" t="str">
        <f>LOOKUP(A1300,Sheet2!$D$4:$E$9)</f>
        <v>3-4</v>
      </c>
      <c r="M1300" t="str">
        <f>LOOKUP(B1300,Sheet2!$G$4:$H$9)</f>
        <v>126-150</v>
      </c>
      <c r="N1300" t="str">
        <f>LOOKUP(C1300,Sheet2!$J$4:$K$8)</f>
        <v>70-79</v>
      </c>
      <c r="O1300" t="str">
        <f>LOOKUP(D1300,Sheet2!$M$4:$N$8)</f>
        <v>Unknown</v>
      </c>
      <c r="P1300" t="str">
        <f>LOOKUP(E1300,Sheet2!$P$4:$Q$9)</f>
        <v>Unknown</v>
      </c>
      <c r="Q1300" t="str">
        <f>LOOKUP(F1300,Sheet2!$S$4:$T$8)</f>
        <v>1-25</v>
      </c>
      <c r="R1300" t="str">
        <f>LOOKUP(G1300,Sheet2!$V$4:$W$7)</f>
        <v>0.25 - 0.39</v>
      </c>
      <c r="S1300" t="str">
        <f>LOOKUP(H1300,Sheet2!$Z$4:$AA$7)</f>
        <v>46+</v>
      </c>
      <c r="T1300" t="str">
        <f t="shared" si="60"/>
        <v>Negative</v>
      </c>
      <c r="U1300" t="str">
        <f t="shared" si="61"/>
        <v>Negative</v>
      </c>
      <c r="V1300" s="1" t="str">
        <f t="shared" si="62"/>
        <v>Accurate Prediction</v>
      </c>
    </row>
    <row r="1301" spans="1:22" x14ac:dyDescent="0.25">
      <c r="A1301" s="1">
        <v>5</v>
      </c>
      <c r="B1301" s="1">
        <v>106</v>
      </c>
      <c r="C1301" s="1">
        <v>82</v>
      </c>
      <c r="D1301" s="1">
        <v>30</v>
      </c>
      <c r="E1301" s="1">
        <v>0</v>
      </c>
      <c r="F1301" s="1">
        <v>39.5</v>
      </c>
      <c r="G1301" s="1">
        <v>0.28599999999999998</v>
      </c>
      <c r="H1301" s="1">
        <v>38</v>
      </c>
      <c r="I1301" s="1">
        <v>0</v>
      </c>
      <c r="J1301" s="1" t="str">
        <f>IFERROR(VLOOKUP(K1301,[1]diabetes_Recognition!$A:$B,2,FALSE),"Not Sampled")</f>
        <v>Not Sampled</v>
      </c>
      <c r="K1301" s="1">
        <v>1299</v>
      </c>
      <c r="L1301" s="1" t="str">
        <f>LOOKUP(A1301,Sheet2!$D$4:$E$9)</f>
        <v>5-7</v>
      </c>
      <c r="M1301" t="str">
        <f>LOOKUP(B1301,Sheet2!$G$4:$H$9)</f>
        <v>100-125</v>
      </c>
      <c r="N1301" t="str">
        <f>LOOKUP(C1301,Sheet2!$J$4:$K$8)</f>
        <v>80+</v>
      </c>
      <c r="O1301" t="str">
        <f>LOOKUP(D1301,Sheet2!$M$4:$N$8)</f>
        <v>30-39</v>
      </c>
      <c r="P1301" t="str">
        <f>LOOKUP(E1301,Sheet2!$P$4:$Q$9)</f>
        <v>Unknown</v>
      </c>
      <c r="Q1301" t="str">
        <f>LOOKUP(F1301,Sheet2!$S$4:$T$8)</f>
        <v>36+</v>
      </c>
      <c r="R1301" t="str">
        <f>LOOKUP(G1301,Sheet2!$V$4:$W$7)</f>
        <v>0.25 - 0.39</v>
      </c>
      <c r="S1301" t="str">
        <f>LOOKUP(H1301,Sheet2!$Z$4:$AA$7)</f>
        <v>36-45</v>
      </c>
      <c r="T1301" t="str">
        <f t="shared" si="60"/>
        <v>Negative</v>
      </c>
      <c r="U1301" t="str">
        <f t="shared" si="61"/>
        <v>Not Sampled</v>
      </c>
      <c r="V1301" s="1" t="str">
        <f t="shared" si="62"/>
        <v>Not Sampled</v>
      </c>
    </row>
    <row r="1302" spans="1:22" x14ac:dyDescent="0.25">
      <c r="A1302" s="1">
        <v>2</v>
      </c>
      <c r="B1302" s="1">
        <v>108</v>
      </c>
      <c r="C1302" s="1">
        <v>52</v>
      </c>
      <c r="D1302" s="1">
        <v>26</v>
      </c>
      <c r="E1302" s="1">
        <v>63</v>
      </c>
      <c r="F1302" s="1">
        <v>32.5</v>
      </c>
      <c r="G1302" s="1">
        <v>0.318</v>
      </c>
      <c r="H1302" s="1">
        <v>22</v>
      </c>
      <c r="I1302" s="1">
        <v>0</v>
      </c>
      <c r="J1302" s="1" t="str">
        <f>IFERROR(VLOOKUP(K1302,[1]diabetes_Recognition!$A:$B,2,FALSE),"Not Sampled")</f>
        <v>Not Sampled</v>
      </c>
      <c r="K1302" s="1">
        <v>1300</v>
      </c>
      <c r="L1302" s="1">
        <f>LOOKUP(A1302,Sheet2!$D$4:$E$9)</f>
        <v>2</v>
      </c>
      <c r="M1302" t="str">
        <f>LOOKUP(B1302,Sheet2!$G$4:$H$9)</f>
        <v>100-125</v>
      </c>
      <c r="N1302" t="str">
        <f>LOOKUP(C1302,Sheet2!$J$4:$K$8)</f>
        <v>1-59</v>
      </c>
      <c r="O1302" t="str">
        <f>LOOKUP(D1302,Sheet2!$M$4:$N$8)</f>
        <v>10-30</v>
      </c>
      <c r="P1302" t="str">
        <f>LOOKUP(E1302,Sheet2!$P$4:$Q$9)</f>
        <v>1-99</v>
      </c>
      <c r="Q1302" t="str">
        <f>LOOKUP(F1302,Sheet2!$S$4:$T$8)</f>
        <v>31-35</v>
      </c>
      <c r="R1302" t="str">
        <f>LOOKUP(G1302,Sheet2!$V$4:$W$7)</f>
        <v>0.25 - 0.39</v>
      </c>
      <c r="S1302" t="str">
        <f>LOOKUP(H1302,Sheet2!$Z$4:$AA$7)</f>
        <v>&lt;=25</v>
      </c>
      <c r="T1302" t="str">
        <f t="shared" si="60"/>
        <v>Negative</v>
      </c>
      <c r="U1302" t="str">
        <f t="shared" si="61"/>
        <v>Not Sampled</v>
      </c>
      <c r="V1302" s="1" t="str">
        <f t="shared" si="62"/>
        <v>Not Sampled</v>
      </c>
    </row>
    <row r="1303" spans="1:22" x14ac:dyDescent="0.25">
      <c r="A1303" s="1">
        <v>10</v>
      </c>
      <c r="B1303" s="1">
        <v>108</v>
      </c>
      <c r="C1303" s="1">
        <v>66</v>
      </c>
      <c r="D1303" s="1">
        <v>0</v>
      </c>
      <c r="E1303" s="1">
        <v>0</v>
      </c>
      <c r="F1303" s="1">
        <v>32.4</v>
      </c>
      <c r="G1303" s="1">
        <v>0.27200000000000002</v>
      </c>
      <c r="H1303" s="1">
        <v>42</v>
      </c>
      <c r="I1303" s="1">
        <v>1</v>
      </c>
      <c r="J1303" s="1">
        <f>IFERROR(VLOOKUP(K1303,[1]diabetes_Recognition!$A:$B,2,FALSE),"Not Sampled")</f>
        <v>0</v>
      </c>
      <c r="K1303" s="1">
        <v>1301</v>
      </c>
      <c r="L1303" s="1" t="str">
        <f>LOOKUP(A1303,Sheet2!$D$4:$E$9)</f>
        <v>8+</v>
      </c>
      <c r="M1303" t="str">
        <f>LOOKUP(B1303,Sheet2!$G$4:$H$9)</f>
        <v>100-125</v>
      </c>
      <c r="N1303" t="str">
        <f>LOOKUP(C1303,Sheet2!$J$4:$K$8)</f>
        <v>60-69</v>
      </c>
      <c r="O1303" t="str">
        <f>LOOKUP(D1303,Sheet2!$M$4:$N$8)</f>
        <v>Unknown</v>
      </c>
      <c r="P1303" t="str">
        <f>LOOKUP(E1303,Sheet2!$P$4:$Q$9)</f>
        <v>Unknown</v>
      </c>
      <c r="Q1303" t="str">
        <f>LOOKUP(F1303,Sheet2!$S$4:$T$8)</f>
        <v>31-35</v>
      </c>
      <c r="R1303" t="str">
        <f>LOOKUP(G1303,Sheet2!$V$4:$W$7)</f>
        <v>0.25 - 0.39</v>
      </c>
      <c r="S1303" t="str">
        <f>LOOKUP(H1303,Sheet2!$Z$4:$AA$7)</f>
        <v>36-45</v>
      </c>
      <c r="T1303" t="str">
        <f t="shared" si="60"/>
        <v>Positive</v>
      </c>
      <c r="U1303" t="str">
        <f t="shared" si="61"/>
        <v>Negative</v>
      </c>
      <c r="V1303" s="1" t="str">
        <f t="shared" si="62"/>
        <v>Inaccurate Prediction</v>
      </c>
    </row>
    <row r="1304" spans="1:22" x14ac:dyDescent="0.25">
      <c r="A1304" s="1">
        <v>4</v>
      </c>
      <c r="B1304" s="1">
        <v>154</v>
      </c>
      <c r="C1304" s="1">
        <v>62</v>
      </c>
      <c r="D1304" s="1">
        <v>31</v>
      </c>
      <c r="E1304" s="1">
        <v>284</v>
      </c>
      <c r="F1304" s="1">
        <v>32.799999999999997</v>
      </c>
      <c r="G1304" s="1">
        <v>0.23699999999999999</v>
      </c>
      <c r="H1304" s="1">
        <v>23</v>
      </c>
      <c r="I1304" s="1">
        <v>0</v>
      </c>
      <c r="J1304" s="1" t="str">
        <f>IFERROR(VLOOKUP(K1304,[1]diabetes_Recognition!$A:$B,2,FALSE),"Not Sampled")</f>
        <v>Not Sampled</v>
      </c>
      <c r="K1304" s="1">
        <v>1302</v>
      </c>
      <c r="L1304" s="1" t="str">
        <f>LOOKUP(A1304,Sheet2!$D$4:$E$9)</f>
        <v>3-4</v>
      </c>
      <c r="M1304" t="str">
        <f>LOOKUP(B1304,Sheet2!$G$4:$H$9)</f>
        <v>151-175</v>
      </c>
      <c r="N1304" t="str">
        <f>LOOKUP(C1304,Sheet2!$J$4:$K$8)</f>
        <v>60-69</v>
      </c>
      <c r="O1304" t="str">
        <f>LOOKUP(D1304,Sheet2!$M$4:$N$8)</f>
        <v>30-39</v>
      </c>
      <c r="P1304" t="str">
        <f>LOOKUP(E1304,Sheet2!$P$4:$Q$9)</f>
        <v>200-399</v>
      </c>
      <c r="Q1304" t="str">
        <f>LOOKUP(F1304,Sheet2!$S$4:$T$8)</f>
        <v>31-35</v>
      </c>
      <c r="R1304" t="str">
        <f>LOOKUP(G1304,Sheet2!$V$4:$W$7)</f>
        <v>0.0 - 0.249</v>
      </c>
      <c r="S1304" t="str">
        <f>LOOKUP(H1304,Sheet2!$Z$4:$AA$7)</f>
        <v>&lt;=25</v>
      </c>
      <c r="T1304" t="str">
        <f t="shared" si="60"/>
        <v>Negative</v>
      </c>
      <c r="U1304" t="str">
        <f t="shared" si="61"/>
        <v>Not Sampled</v>
      </c>
      <c r="V1304" s="1" t="str">
        <f t="shared" si="62"/>
        <v>Not Sampled</v>
      </c>
    </row>
    <row r="1305" spans="1:22" x14ac:dyDescent="0.25">
      <c r="A1305" s="1">
        <v>0</v>
      </c>
      <c r="B1305" s="1">
        <v>102</v>
      </c>
      <c r="C1305" s="1">
        <v>75</v>
      </c>
      <c r="D1305" s="1">
        <v>23</v>
      </c>
      <c r="E1305" s="1">
        <v>0</v>
      </c>
      <c r="F1305" s="1">
        <v>0</v>
      </c>
      <c r="G1305" s="1">
        <v>0.57199999999999995</v>
      </c>
      <c r="H1305" s="1">
        <v>21</v>
      </c>
      <c r="I1305" s="1">
        <v>0</v>
      </c>
      <c r="J1305" s="1" t="str">
        <f>IFERROR(VLOOKUP(K1305,[1]diabetes_Recognition!$A:$B,2,FALSE),"Not Sampled")</f>
        <v>Not Sampled</v>
      </c>
      <c r="K1305" s="1">
        <v>1303</v>
      </c>
      <c r="L1305" s="1">
        <f>LOOKUP(A1305,Sheet2!$D$4:$E$9)</f>
        <v>0</v>
      </c>
      <c r="M1305" t="str">
        <f>LOOKUP(B1305,Sheet2!$G$4:$H$9)</f>
        <v>100-125</v>
      </c>
      <c r="N1305" t="str">
        <f>LOOKUP(C1305,Sheet2!$J$4:$K$8)</f>
        <v>70-79</v>
      </c>
      <c r="O1305" t="str">
        <f>LOOKUP(D1305,Sheet2!$M$4:$N$8)</f>
        <v>10-30</v>
      </c>
      <c r="P1305" t="str">
        <f>LOOKUP(E1305,Sheet2!$P$4:$Q$9)</f>
        <v>Unknown</v>
      </c>
      <c r="Q1305" t="str">
        <f>LOOKUP(F1305,Sheet2!$S$4:$T$8)</f>
        <v>Unknown</v>
      </c>
      <c r="R1305" t="str">
        <f>LOOKUP(G1305,Sheet2!$V$4:$W$7)</f>
        <v>0.4 - 0.69</v>
      </c>
      <c r="S1305" t="str">
        <f>LOOKUP(H1305,Sheet2!$Z$4:$AA$7)</f>
        <v>&lt;=25</v>
      </c>
      <c r="T1305" t="str">
        <f t="shared" si="60"/>
        <v>Negative</v>
      </c>
      <c r="U1305" t="str">
        <f t="shared" si="61"/>
        <v>Not Sampled</v>
      </c>
      <c r="V1305" s="1" t="str">
        <f t="shared" si="62"/>
        <v>Not Sampled</v>
      </c>
    </row>
    <row r="1306" spans="1:22" x14ac:dyDescent="0.25">
      <c r="A1306" s="1">
        <v>9</v>
      </c>
      <c r="B1306" s="1">
        <v>57</v>
      </c>
      <c r="C1306" s="1">
        <v>80</v>
      </c>
      <c r="D1306" s="1">
        <v>37</v>
      </c>
      <c r="E1306" s="1">
        <v>0</v>
      </c>
      <c r="F1306" s="1">
        <v>32.799999999999997</v>
      </c>
      <c r="G1306" s="1">
        <v>9.6000000000000002E-2</v>
      </c>
      <c r="H1306" s="1">
        <v>41</v>
      </c>
      <c r="I1306" s="1">
        <v>0</v>
      </c>
      <c r="J1306" s="1">
        <f>IFERROR(VLOOKUP(K1306,[1]diabetes_Recognition!$A:$B,2,FALSE),"Not Sampled")</f>
        <v>0</v>
      </c>
      <c r="K1306" s="1">
        <v>1304</v>
      </c>
      <c r="L1306" s="1" t="str">
        <f>LOOKUP(A1306,Sheet2!$D$4:$E$9)</f>
        <v>8+</v>
      </c>
      <c r="M1306" t="str">
        <f>LOOKUP(B1306,Sheet2!$G$4:$H$9)</f>
        <v>1-99</v>
      </c>
      <c r="N1306" t="str">
        <f>LOOKUP(C1306,Sheet2!$J$4:$K$8)</f>
        <v>80+</v>
      </c>
      <c r="O1306" t="str">
        <f>LOOKUP(D1306,Sheet2!$M$4:$N$8)</f>
        <v>30-39</v>
      </c>
      <c r="P1306" t="str">
        <f>LOOKUP(E1306,Sheet2!$P$4:$Q$9)</f>
        <v>Unknown</v>
      </c>
      <c r="Q1306" t="str">
        <f>LOOKUP(F1306,Sheet2!$S$4:$T$8)</f>
        <v>31-35</v>
      </c>
      <c r="R1306" t="str">
        <f>LOOKUP(G1306,Sheet2!$V$4:$W$7)</f>
        <v>0.0 - 0.249</v>
      </c>
      <c r="S1306" t="str">
        <f>LOOKUP(H1306,Sheet2!$Z$4:$AA$7)</f>
        <v>36-45</v>
      </c>
      <c r="T1306" t="str">
        <f t="shared" si="60"/>
        <v>Negative</v>
      </c>
      <c r="U1306" t="str">
        <f t="shared" si="61"/>
        <v>Negative</v>
      </c>
      <c r="V1306" s="1" t="str">
        <f t="shared" si="62"/>
        <v>Accurate Prediction</v>
      </c>
    </row>
    <row r="1307" spans="1:22" x14ac:dyDescent="0.25">
      <c r="A1307" s="1">
        <v>2</v>
      </c>
      <c r="B1307" s="1">
        <v>106</v>
      </c>
      <c r="C1307" s="1">
        <v>64</v>
      </c>
      <c r="D1307" s="1">
        <v>35</v>
      </c>
      <c r="E1307" s="1">
        <v>119</v>
      </c>
      <c r="F1307" s="1">
        <v>30.5</v>
      </c>
      <c r="G1307" s="1">
        <v>1.4</v>
      </c>
      <c r="H1307" s="1">
        <v>34</v>
      </c>
      <c r="I1307" s="1">
        <v>0</v>
      </c>
      <c r="J1307" s="1" t="str">
        <f>IFERROR(VLOOKUP(K1307,[1]diabetes_Recognition!$A:$B,2,FALSE),"Not Sampled")</f>
        <v>Not Sampled</v>
      </c>
      <c r="K1307" s="1">
        <v>1305</v>
      </c>
      <c r="L1307" s="1">
        <f>LOOKUP(A1307,Sheet2!$D$4:$E$9)</f>
        <v>2</v>
      </c>
      <c r="M1307" t="str">
        <f>LOOKUP(B1307,Sheet2!$G$4:$H$9)</f>
        <v>100-125</v>
      </c>
      <c r="N1307" t="str">
        <f>LOOKUP(C1307,Sheet2!$J$4:$K$8)</f>
        <v>60-69</v>
      </c>
      <c r="O1307" t="str">
        <f>LOOKUP(D1307,Sheet2!$M$4:$N$8)</f>
        <v>30-39</v>
      </c>
      <c r="P1307" t="str">
        <f>LOOKUP(E1307,Sheet2!$P$4:$Q$9)</f>
        <v>100-199</v>
      </c>
      <c r="Q1307" t="str">
        <f>LOOKUP(F1307,Sheet2!$S$4:$T$8)</f>
        <v>26-30</v>
      </c>
      <c r="R1307" t="str">
        <f>LOOKUP(G1307,Sheet2!$V$4:$W$7)</f>
        <v>0.7+</v>
      </c>
      <c r="S1307" t="str">
        <f>LOOKUP(H1307,Sheet2!$Z$4:$AA$7)</f>
        <v>26-35</v>
      </c>
      <c r="T1307" t="str">
        <f t="shared" si="60"/>
        <v>Negative</v>
      </c>
      <c r="U1307" t="str">
        <f t="shared" si="61"/>
        <v>Not Sampled</v>
      </c>
      <c r="V1307" s="1" t="str">
        <f t="shared" si="62"/>
        <v>Not Sampled</v>
      </c>
    </row>
    <row r="1308" spans="1:22" x14ac:dyDescent="0.25">
      <c r="A1308" s="1">
        <v>5</v>
      </c>
      <c r="B1308" s="1">
        <v>147</v>
      </c>
      <c r="C1308" s="1">
        <v>78</v>
      </c>
      <c r="D1308" s="1">
        <v>0</v>
      </c>
      <c r="E1308" s="1">
        <v>0</v>
      </c>
      <c r="F1308" s="1">
        <v>33.700000000000003</v>
      </c>
      <c r="G1308" s="1">
        <v>0.218</v>
      </c>
      <c r="H1308" s="1">
        <v>65</v>
      </c>
      <c r="I1308" s="1">
        <v>0</v>
      </c>
      <c r="J1308" s="1" t="str">
        <f>IFERROR(VLOOKUP(K1308,[1]diabetes_Recognition!$A:$B,2,FALSE),"Not Sampled")</f>
        <v>Not Sampled</v>
      </c>
      <c r="K1308" s="1">
        <v>1306</v>
      </c>
      <c r="L1308" s="1" t="str">
        <f>LOOKUP(A1308,Sheet2!$D$4:$E$9)</f>
        <v>5-7</v>
      </c>
      <c r="M1308" t="str">
        <f>LOOKUP(B1308,Sheet2!$G$4:$H$9)</f>
        <v>126-150</v>
      </c>
      <c r="N1308" t="str">
        <f>LOOKUP(C1308,Sheet2!$J$4:$K$8)</f>
        <v>70-79</v>
      </c>
      <c r="O1308" t="str">
        <f>LOOKUP(D1308,Sheet2!$M$4:$N$8)</f>
        <v>Unknown</v>
      </c>
      <c r="P1308" t="str">
        <f>LOOKUP(E1308,Sheet2!$P$4:$Q$9)</f>
        <v>Unknown</v>
      </c>
      <c r="Q1308" t="str">
        <f>LOOKUP(F1308,Sheet2!$S$4:$T$8)</f>
        <v>31-35</v>
      </c>
      <c r="R1308" t="str">
        <f>LOOKUP(G1308,Sheet2!$V$4:$W$7)</f>
        <v>0.0 - 0.249</v>
      </c>
      <c r="S1308" t="str">
        <f>LOOKUP(H1308,Sheet2!$Z$4:$AA$7)</f>
        <v>46+</v>
      </c>
      <c r="T1308" t="str">
        <f t="shared" si="60"/>
        <v>Negative</v>
      </c>
      <c r="U1308" t="str">
        <f t="shared" si="61"/>
        <v>Not Sampled</v>
      </c>
      <c r="V1308" s="1" t="str">
        <f t="shared" si="62"/>
        <v>Not Sampled</v>
      </c>
    </row>
    <row r="1309" spans="1:22" x14ac:dyDescent="0.25">
      <c r="A1309" s="1">
        <v>2</v>
      </c>
      <c r="B1309" s="1">
        <v>90</v>
      </c>
      <c r="C1309" s="1">
        <v>70</v>
      </c>
      <c r="D1309" s="1">
        <v>17</v>
      </c>
      <c r="E1309" s="1">
        <v>0</v>
      </c>
      <c r="F1309" s="1">
        <v>27.3</v>
      </c>
      <c r="G1309" s="1">
        <v>8.5000000000000006E-2</v>
      </c>
      <c r="H1309" s="1">
        <v>22</v>
      </c>
      <c r="I1309" s="1">
        <v>0</v>
      </c>
      <c r="J1309" s="1" t="str">
        <f>IFERROR(VLOOKUP(K1309,[1]diabetes_Recognition!$A:$B,2,FALSE),"Not Sampled")</f>
        <v>Not Sampled</v>
      </c>
      <c r="K1309" s="1">
        <v>1307</v>
      </c>
      <c r="L1309" s="1">
        <f>LOOKUP(A1309,Sheet2!$D$4:$E$9)</f>
        <v>2</v>
      </c>
      <c r="M1309" t="str">
        <f>LOOKUP(B1309,Sheet2!$G$4:$H$9)</f>
        <v>1-99</v>
      </c>
      <c r="N1309" t="str">
        <f>LOOKUP(C1309,Sheet2!$J$4:$K$8)</f>
        <v>70-79</v>
      </c>
      <c r="O1309" t="str">
        <f>LOOKUP(D1309,Sheet2!$M$4:$N$8)</f>
        <v>10-30</v>
      </c>
      <c r="P1309" t="str">
        <f>LOOKUP(E1309,Sheet2!$P$4:$Q$9)</f>
        <v>Unknown</v>
      </c>
      <c r="Q1309" t="str">
        <f>LOOKUP(F1309,Sheet2!$S$4:$T$8)</f>
        <v>26-30</v>
      </c>
      <c r="R1309" t="str">
        <f>LOOKUP(G1309,Sheet2!$V$4:$W$7)</f>
        <v>0.0 - 0.249</v>
      </c>
      <c r="S1309" t="str">
        <f>LOOKUP(H1309,Sheet2!$Z$4:$AA$7)</f>
        <v>&lt;=25</v>
      </c>
      <c r="T1309" t="str">
        <f t="shared" si="60"/>
        <v>Negative</v>
      </c>
      <c r="U1309" t="str">
        <f t="shared" si="61"/>
        <v>Not Sampled</v>
      </c>
      <c r="V1309" s="1" t="str">
        <f t="shared" si="62"/>
        <v>Not Sampled</v>
      </c>
    </row>
    <row r="1310" spans="1:22" x14ac:dyDescent="0.25">
      <c r="A1310" s="1">
        <v>1</v>
      </c>
      <c r="B1310" s="1">
        <v>136</v>
      </c>
      <c r="C1310" s="1">
        <v>74</v>
      </c>
      <c r="D1310" s="1">
        <v>50</v>
      </c>
      <c r="E1310" s="1">
        <v>204</v>
      </c>
      <c r="F1310" s="1">
        <v>37.4</v>
      </c>
      <c r="G1310" s="1">
        <v>0.39900000000000002</v>
      </c>
      <c r="H1310" s="1">
        <v>24</v>
      </c>
      <c r="I1310" s="1">
        <v>0</v>
      </c>
      <c r="J1310" s="1" t="str">
        <f>IFERROR(VLOOKUP(K1310,[1]diabetes_Recognition!$A:$B,2,FALSE),"Not Sampled")</f>
        <v>Not Sampled</v>
      </c>
      <c r="K1310" s="1">
        <v>1308</v>
      </c>
      <c r="L1310" s="1">
        <f>LOOKUP(A1310,Sheet2!$D$4:$E$9)</f>
        <v>1</v>
      </c>
      <c r="M1310" t="str">
        <f>LOOKUP(B1310,Sheet2!$G$4:$H$9)</f>
        <v>126-150</v>
      </c>
      <c r="N1310" t="str">
        <f>LOOKUP(C1310,Sheet2!$J$4:$K$8)</f>
        <v>70-79</v>
      </c>
      <c r="O1310" t="str">
        <f>LOOKUP(D1310,Sheet2!$M$4:$N$8)</f>
        <v>40+</v>
      </c>
      <c r="P1310" t="str">
        <f>LOOKUP(E1310,Sheet2!$P$4:$Q$9)</f>
        <v>200-399</v>
      </c>
      <c r="Q1310" t="str">
        <f>LOOKUP(F1310,Sheet2!$S$4:$T$8)</f>
        <v>36+</v>
      </c>
      <c r="R1310" t="str">
        <f>LOOKUP(G1310,Sheet2!$V$4:$W$7)</f>
        <v>0.25 - 0.39</v>
      </c>
      <c r="S1310" t="str">
        <f>LOOKUP(H1310,Sheet2!$Z$4:$AA$7)</f>
        <v>&lt;=25</v>
      </c>
      <c r="T1310" t="str">
        <f t="shared" si="60"/>
        <v>Negative</v>
      </c>
      <c r="U1310" t="str">
        <f t="shared" si="61"/>
        <v>Not Sampled</v>
      </c>
      <c r="V1310" s="1" t="str">
        <f t="shared" si="62"/>
        <v>Not Sampled</v>
      </c>
    </row>
    <row r="1311" spans="1:22" x14ac:dyDescent="0.25">
      <c r="A1311" s="1">
        <v>4</v>
      </c>
      <c r="B1311" s="1">
        <v>114</v>
      </c>
      <c r="C1311" s="1">
        <v>65</v>
      </c>
      <c r="D1311" s="1">
        <v>0</v>
      </c>
      <c r="E1311" s="1">
        <v>0</v>
      </c>
      <c r="F1311" s="1">
        <v>21.9</v>
      </c>
      <c r="G1311" s="1">
        <v>0.432</v>
      </c>
      <c r="H1311" s="1">
        <v>37</v>
      </c>
      <c r="I1311" s="1">
        <v>0</v>
      </c>
      <c r="J1311" s="1" t="str">
        <f>IFERROR(VLOOKUP(K1311,[1]diabetes_Recognition!$A:$B,2,FALSE),"Not Sampled")</f>
        <v>Not Sampled</v>
      </c>
      <c r="K1311" s="1">
        <v>1309</v>
      </c>
      <c r="L1311" s="1" t="str">
        <f>LOOKUP(A1311,Sheet2!$D$4:$E$9)</f>
        <v>3-4</v>
      </c>
      <c r="M1311" t="str">
        <f>LOOKUP(B1311,Sheet2!$G$4:$H$9)</f>
        <v>100-125</v>
      </c>
      <c r="N1311" t="str">
        <f>LOOKUP(C1311,Sheet2!$J$4:$K$8)</f>
        <v>60-69</v>
      </c>
      <c r="O1311" t="str">
        <f>LOOKUP(D1311,Sheet2!$M$4:$N$8)</f>
        <v>Unknown</v>
      </c>
      <c r="P1311" t="str">
        <f>LOOKUP(E1311,Sheet2!$P$4:$Q$9)</f>
        <v>Unknown</v>
      </c>
      <c r="Q1311" t="str">
        <f>LOOKUP(F1311,Sheet2!$S$4:$T$8)</f>
        <v>1-25</v>
      </c>
      <c r="R1311" t="str">
        <f>LOOKUP(G1311,Sheet2!$V$4:$W$7)</f>
        <v>0.4 - 0.69</v>
      </c>
      <c r="S1311" t="str">
        <f>LOOKUP(H1311,Sheet2!$Z$4:$AA$7)</f>
        <v>36-45</v>
      </c>
      <c r="T1311" t="str">
        <f t="shared" si="60"/>
        <v>Negative</v>
      </c>
      <c r="U1311" t="str">
        <f t="shared" si="61"/>
        <v>Not Sampled</v>
      </c>
      <c r="V1311" s="1" t="str">
        <f t="shared" si="62"/>
        <v>Not Sampled</v>
      </c>
    </row>
    <row r="1312" spans="1:22" x14ac:dyDescent="0.25">
      <c r="A1312" s="1">
        <v>9</v>
      </c>
      <c r="B1312" s="1">
        <v>156</v>
      </c>
      <c r="C1312" s="1">
        <v>86</v>
      </c>
      <c r="D1312" s="1">
        <v>28</v>
      </c>
      <c r="E1312" s="1">
        <v>155</v>
      </c>
      <c r="F1312" s="1">
        <v>34.299999999999997</v>
      </c>
      <c r="G1312" s="1">
        <v>1.1890000000000001</v>
      </c>
      <c r="H1312" s="1">
        <v>42</v>
      </c>
      <c r="I1312" s="1">
        <v>1</v>
      </c>
      <c r="J1312" s="1" t="str">
        <f>IFERROR(VLOOKUP(K1312,[1]diabetes_Recognition!$A:$B,2,FALSE),"Not Sampled")</f>
        <v>Not Sampled</v>
      </c>
      <c r="K1312" s="1">
        <v>1310</v>
      </c>
      <c r="L1312" s="1" t="str">
        <f>LOOKUP(A1312,Sheet2!$D$4:$E$9)</f>
        <v>8+</v>
      </c>
      <c r="M1312" t="str">
        <f>LOOKUP(B1312,Sheet2!$G$4:$H$9)</f>
        <v>151-175</v>
      </c>
      <c r="N1312" t="str">
        <f>LOOKUP(C1312,Sheet2!$J$4:$K$8)</f>
        <v>80+</v>
      </c>
      <c r="O1312" t="str">
        <f>LOOKUP(D1312,Sheet2!$M$4:$N$8)</f>
        <v>10-30</v>
      </c>
      <c r="P1312" t="str">
        <f>LOOKUP(E1312,Sheet2!$P$4:$Q$9)</f>
        <v>100-199</v>
      </c>
      <c r="Q1312" t="str">
        <f>LOOKUP(F1312,Sheet2!$S$4:$T$8)</f>
        <v>31-35</v>
      </c>
      <c r="R1312" t="str">
        <f>LOOKUP(G1312,Sheet2!$V$4:$W$7)</f>
        <v>0.7+</v>
      </c>
      <c r="S1312" t="str">
        <f>LOOKUP(H1312,Sheet2!$Z$4:$AA$7)</f>
        <v>36-45</v>
      </c>
      <c r="T1312" t="str">
        <f t="shared" si="60"/>
        <v>Positive</v>
      </c>
      <c r="U1312" t="str">
        <f t="shared" si="61"/>
        <v>Not Sampled</v>
      </c>
      <c r="V1312" s="1" t="str">
        <f t="shared" si="62"/>
        <v>Not Sampled</v>
      </c>
    </row>
    <row r="1313" spans="1:22" x14ac:dyDescent="0.25">
      <c r="A1313" s="1">
        <v>1</v>
      </c>
      <c r="B1313" s="1">
        <v>153</v>
      </c>
      <c r="C1313" s="1">
        <v>82</v>
      </c>
      <c r="D1313" s="1">
        <v>42</v>
      </c>
      <c r="E1313" s="1">
        <v>485</v>
      </c>
      <c r="F1313" s="1">
        <v>40.6</v>
      </c>
      <c r="G1313" s="1">
        <v>0.68700000000000006</v>
      </c>
      <c r="H1313" s="1">
        <v>23</v>
      </c>
      <c r="I1313" s="1">
        <v>0</v>
      </c>
      <c r="J1313" s="1" t="str">
        <f>IFERROR(VLOOKUP(K1313,[1]diabetes_Recognition!$A:$B,2,FALSE),"Not Sampled")</f>
        <v>Not Sampled</v>
      </c>
      <c r="K1313" s="1">
        <v>1311</v>
      </c>
      <c r="L1313" s="1">
        <f>LOOKUP(A1313,Sheet2!$D$4:$E$9)</f>
        <v>1</v>
      </c>
      <c r="M1313" t="str">
        <f>LOOKUP(B1313,Sheet2!$G$4:$H$9)</f>
        <v>151-175</v>
      </c>
      <c r="N1313" t="str">
        <f>LOOKUP(C1313,Sheet2!$J$4:$K$8)</f>
        <v>80+</v>
      </c>
      <c r="O1313" t="str">
        <f>LOOKUP(D1313,Sheet2!$M$4:$N$8)</f>
        <v>40+</v>
      </c>
      <c r="P1313" t="str">
        <f>LOOKUP(E1313,Sheet2!$P$4:$Q$9)</f>
        <v>300-499</v>
      </c>
      <c r="Q1313" t="str">
        <f>LOOKUP(F1313,Sheet2!$S$4:$T$8)</f>
        <v>36+</v>
      </c>
      <c r="R1313" t="str">
        <f>LOOKUP(G1313,Sheet2!$V$4:$W$7)</f>
        <v>0.4 - 0.69</v>
      </c>
      <c r="S1313" t="str">
        <f>LOOKUP(H1313,Sheet2!$Z$4:$AA$7)</f>
        <v>&lt;=25</v>
      </c>
      <c r="T1313" t="str">
        <f t="shared" si="60"/>
        <v>Negative</v>
      </c>
      <c r="U1313" t="str">
        <f t="shared" si="61"/>
        <v>Not Sampled</v>
      </c>
      <c r="V1313" s="1" t="str">
        <f t="shared" si="62"/>
        <v>Not Sampled</v>
      </c>
    </row>
    <row r="1314" spans="1:22" x14ac:dyDescent="0.25">
      <c r="A1314" s="1">
        <v>8</v>
      </c>
      <c r="B1314" s="1">
        <v>188</v>
      </c>
      <c r="C1314" s="1">
        <v>78</v>
      </c>
      <c r="D1314" s="1">
        <v>0</v>
      </c>
      <c r="E1314" s="1">
        <v>0</v>
      </c>
      <c r="F1314" s="1">
        <v>47.9</v>
      </c>
      <c r="G1314" s="1">
        <v>0.13700000000000001</v>
      </c>
      <c r="H1314" s="1">
        <v>43</v>
      </c>
      <c r="I1314" s="1">
        <v>1</v>
      </c>
      <c r="J1314" s="1" t="str">
        <f>IFERROR(VLOOKUP(K1314,[1]diabetes_Recognition!$A:$B,2,FALSE),"Not Sampled")</f>
        <v>Not Sampled</v>
      </c>
      <c r="K1314" s="1">
        <v>1312</v>
      </c>
      <c r="L1314" s="1" t="str">
        <f>LOOKUP(A1314,Sheet2!$D$4:$E$9)</f>
        <v>8+</v>
      </c>
      <c r="M1314" t="str">
        <f>LOOKUP(B1314,Sheet2!$G$4:$H$9)</f>
        <v>176-200</v>
      </c>
      <c r="N1314" t="str">
        <f>LOOKUP(C1314,Sheet2!$J$4:$K$8)</f>
        <v>70-79</v>
      </c>
      <c r="O1314" t="str">
        <f>LOOKUP(D1314,Sheet2!$M$4:$N$8)</f>
        <v>Unknown</v>
      </c>
      <c r="P1314" t="str">
        <f>LOOKUP(E1314,Sheet2!$P$4:$Q$9)</f>
        <v>Unknown</v>
      </c>
      <c r="Q1314" t="str">
        <f>LOOKUP(F1314,Sheet2!$S$4:$T$8)</f>
        <v>36+</v>
      </c>
      <c r="R1314" t="str">
        <f>LOOKUP(G1314,Sheet2!$V$4:$W$7)</f>
        <v>0.0 - 0.249</v>
      </c>
      <c r="S1314" t="str">
        <f>LOOKUP(H1314,Sheet2!$Z$4:$AA$7)</f>
        <v>36-45</v>
      </c>
      <c r="T1314" t="str">
        <f t="shared" si="60"/>
        <v>Positive</v>
      </c>
      <c r="U1314" t="str">
        <f t="shared" si="61"/>
        <v>Not Sampled</v>
      </c>
      <c r="V1314" s="1" t="str">
        <f t="shared" si="62"/>
        <v>Not Sampled</v>
      </c>
    </row>
    <row r="1315" spans="1:22" x14ac:dyDescent="0.25">
      <c r="A1315" s="1">
        <v>7</v>
      </c>
      <c r="B1315" s="1">
        <v>152</v>
      </c>
      <c r="C1315" s="1">
        <v>88</v>
      </c>
      <c r="D1315" s="1">
        <v>44</v>
      </c>
      <c r="E1315" s="1">
        <v>0</v>
      </c>
      <c r="F1315" s="1">
        <v>50</v>
      </c>
      <c r="G1315" s="1">
        <v>0.33700000000000002</v>
      </c>
      <c r="H1315" s="1">
        <v>36</v>
      </c>
      <c r="I1315" s="1">
        <v>1</v>
      </c>
      <c r="J1315" s="1" t="str">
        <f>IFERROR(VLOOKUP(K1315,[1]diabetes_Recognition!$A:$B,2,FALSE),"Not Sampled")</f>
        <v>Not Sampled</v>
      </c>
      <c r="K1315" s="1">
        <v>1313</v>
      </c>
      <c r="L1315" s="1" t="str">
        <f>LOOKUP(A1315,Sheet2!$D$4:$E$9)</f>
        <v>5-7</v>
      </c>
      <c r="M1315" t="str">
        <f>LOOKUP(B1315,Sheet2!$G$4:$H$9)</f>
        <v>151-175</v>
      </c>
      <c r="N1315" t="str">
        <f>LOOKUP(C1315,Sheet2!$J$4:$K$8)</f>
        <v>80+</v>
      </c>
      <c r="O1315" t="str">
        <f>LOOKUP(D1315,Sheet2!$M$4:$N$8)</f>
        <v>40+</v>
      </c>
      <c r="P1315" t="str">
        <f>LOOKUP(E1315,Sheet2!$P$4:$Q$9)</f>
        <v>Unknown</v>
      </c>
      <c r="Q1315" t="str">
        <f>LOOKUP(F1315,Sheet2!$S$4:$T$8)</f>
        <v>36+</v>
      </c>
      <c r="R1315" t="str">
        <f>LOOKUP(G1315,Sheet2!$V$4:$W$7)</f>
        <v>0.25 - 0.39</v>
      </c>
      <c r="S1315" t="str">
        <f>LOOKUP(H1315,Sheet2!$Z$4:$AA$7)</f>
        <v>36-45</v>
      </c>
      <c r="T1315" t="str">
        <f t="shared" si="60"/>
        <v>Positive</v>
      </c>
      <c r="U1315" t="str">
        <f t="shared" si="61"/>
        <v>Not Sampled</v>
      </c>
      <c r="V1315" s="1" t="str">
        <f t="shared" si="62"/>
        <v>Not Sampled</v>
      </c>
    </row>
    <row r="1316" spans="1:22" x14ac:dyDescent="0.25">
      <c r="A1316" s="1">
        <v>2</v>
      </c>
      <c r="B1316" s="1">
        <v>99</v>
      </c>
      <c r="C1316" s="1">
        <v>52</v>
      </c>
      <c r="D1316" s="1">
        <v>15</v>
      </c>
      <c r="E1316" s="1">
        <v>94</v>
      </c>
      <c r="F1316" s="1">
        <v>24.6</v>
      </c>
      <c r="G1316" s="1">
        <v>0.63700000000000001</v>
      </c>
      <c r="H1316" s="1">
        <v>21</v>
      </c>
      <c r="I1316" s="1">
        <v>0</v>
      </c>
      <c r="J1316" s="1">
        <f>IFERROR(VLOOKUP(K1316,[1]diabetes_Recognition!$A:$B,2,FALSE),"Not Sampled")</f>
        <v>0</v>
      </c>
      <c r="K1316" s="1">
        <v>1314</v>
      </c>
      <c r="L1316" s="1">
        <f>LOOKUP(A1316,Sheet2!$D$4:$E$9)</f>
        <v>2</v>
      </c>
      <c r="M1316" t="str">
        <f>LOOKUP(B1316,Sheet2!$G$4:$H$9)</f>
        <v>1-99</v>
      </c>
      <c r="N1316" t="str">
        <f>LOOKUP(C1316,Sheet2!$J$4:$K$8)</f>
        <v>1-59</v>
      </c>
      <c r="O1316" t="str">
        <f>LOOKUP(D1316,Sheet2!$M$4:$N$8)</f>
        <v>10-30</v>
      </c>
      <c r="P1316" t="str">
        <f>LOOKUP(E1316,Sheet2!$P$4:$Q$9)</f>
        <v>1-99</v>
      </c>
      <c r="Q1316" t="str">
        <f>LOOKUP(F1316,Sheet2!$S$4:$T$8)</f>
        <v>1-25</v>
      </c>
      <c r="R1316" t="str">
        <f>LOOKUP(G1316,Sheet2!$V$4:$W$7)</f>
        <v>0.4 - 0.69</v>
      </c>
      <c r="S1316" t="str">
        <f>LOOKUP(H1316,Sheet2!$Z$4:$AA$7)</f>
        <v>&lt;=25</v>
      </c>
      <c r="T1316" t="str">
        <f t="shared" si="60"/>
        <v>Negative</v>
      </c>
      <c r="U1316" t="str">
        <f t="shared" si="61"/>
        <v>Negative</v>
      </c>
      <c r="V1316" s="1" t="str">
        <f t="shared" si="62"/>
        <v>Accurate Prediction</v>
      </c>
    </row>
    <row r="1317" spans="1:22" x14ac:dyDescent="0.25">
      <c r="A1317" s="1">
        <v>1</v>
      </c>
      <c r="B1317" s="1">
        <v>109</v>
      </c>
      <c r="C1317" s="1">
        <v>56</v>
      </c>
      <c r="D1317" s="1">
        <v>21</v>
      </c>
      <c r="E1317" s="1">
        <v>135</v>
      </c>
      <c r="F1317" s="1">
        <v>25.2</v>
      </c>
      <c r="G1317" s="1">
        <v>0.83299999999999996</v>
      </c>
      <c r="H1317" s="1">
        <v>23</v>
      </c>
      <c r="I1317" s="1">
        <v>0</v>
      </c>
      <c r="J1317" s="1">
        <f>IFERROR(VLOOKUP(K1317,[1]diabetes_Recognition!$A:$B,2,FALSE),"Not Sampled")</f>
        <v>0</v>
      </c>
      <c r="K1317" s="1">
        <v>1315</v>
      </c>
      <c r="L1317" s="1">
        <f>LOOKUP(A1317,Sheet2!$D$4:$E$9)</f>
        <v>1</v>
      </c>
      <c r="M1317" t="str">
        <f>LOOKUP(B1317,Sheet2!$G$4:$H$9)</f>
        <v>100-125</v>
      </c>
      <c r="N1317" t="str">
        <f>LOOKUP(C1317,Sheet2!$J$4:$K$8)</f>
        <v>1-59</v>
      </c>
      <c r="O1317" t="str">
        <f>LOOKUP(D1317,Sheet2!$M$4:$N$8)</f>
        <v>10-30</v>
      </c>
      <c r="P1317" t="str">
        <f>LOOKUP(E1317,Sheet2!$P$4:$Q$9)</f>
        <v>100-199</v>
      </c>
      <c r="Q1317" t="str">
        <f>LOOKUP(F1317,Sheet2!$S$4:$T$8)</f>
        <v>1-25</v>
      </c>
      <c r="R1317" t="str">
        <f>LOOKUP(G1317,Sheet2!$V$4:$W$7)</f>
        <v>0.7+</v>
      </c>
      <c r="S1317" t="str">
        <f>LOOKUP(H1317,Sheet2!$Z$4:$AA$7)</f>
        <v>&lt;=25</v>
      </c>
      <c r="T1317" t="str">
        <f t="shared" si="60"/>
        <v>Negative</v>
      </c>
      <c r="U1317" t="str">
        <f t="shared" si="61"/>
        <v>Negative</v>
      </c>
      <c r="V1317" s="1" t="str">
        <f t="shared" si="62"/>
        <v>Accurate Prediction</v>
      </c>
    </row>
    <row r="1318" spans="1:22" x14ac:dyDescent="0.25">
      <c r="A1318" s="1">
        <v>2</v>
      </c>
      <c r="B1318" s="1">
        <v>88</v>
      </c>
      <c r="C1318" s="1">
        <v>74</v>
      </c>
      <c r="D1318" s="1">
        <v>19</v>
      </c>
      <c r="E1318" s="1">
        <v>53</v>
      </c>
      <c r="F1318" s="1">
        <v>29</v>
      </c>
      <c r="G1318" s="1">
        <v>0.22900000000000001</v>
      </c>
      <c r="H1318" s="1">
        <v>22</v>
      </c>
      <c r="I1318" s="1">
        <v>0</v>
      </c>
      <c r="J1318" s="1" t="str">
        <f>IFERROR(VLOOKUP(K1318,[1]diabetes_Recognition!$A:$B,2,FALSE),"Not Sampled")</f>
        <v>Not Sampled</v>
      </c>
      <c r="K1318" s="1">
        <v>1316</v>
      </c>
      <c r="L1318" s="1">
        <f>LOOKUP(A1318,Sheet2!$D$4:$E$9)</f>
        <v>2</v>
      </c>
      <c r="M1318" t="str">
        <f>LOOKUP(B1318,Sheet2!$G$4:$H$9)</f>
        <v>1-99</v>
      </c>
      <c r="N1318" t="str">
        <f>LOOKUP(C1318,Sheet2!$J$4:$K$8)</f>
        <v>70-79</v>
      </c>
      <c r="O1318" t="str">
        <f>LOOKUP(D1318,Sheet2!$M$4:$N$8)</f>
        <v>10-30</v>
      </c>
      <c r="P1318" t="str">
        <f>LOOKUP(E1318,Sheet2!$P$4:$Q$9)</f>
        <v>1-99</v>
      </c>
      <c r="Q1318" t="str">
        <f>LOOKUP(F1318,Sheet2!$S$4:$T$8)</f>
        <v>26-30</v>
      </c>
      <c r="R1318" t="str">
        <f>LOOKUP(G1318,Sheet2!$V$4:$W$7)</f>
        <v>0.0 - 0.249</v>
      </c>
      <c r="S1318" t="str">
        <f>LOOKUP(H1318,Sheet2!$Z$4:$AA$7)</f>
        <v>&lt;=25</v>
      </c>
      <c r="T1318" t="str">
        <f t="shared" si="60"/>
        <v>Negative</v>
      </c>
      <c r="U1318" t="str">
        <f t="shared" si="61"/>
        <v>Not Sampled</v>
      </c>
      <c r="V1318" s="1" t="str">
        <f t="shared" si="62"/>
        <v>Not Sampled</v>
      </c>
    </row>
    <row r="1319" spans="1:22" x14ac:dyDescent="0.25">
      <c r="A1319" s="1">
        <v>17</v>
      </c>
      <c r="B1319" s="1">
        <v>163</v>
      </c>
      <c r="C1319" s="1">
        <v>72</v>
      </c>
      <c r="D1319" s="1">
        <v>41</v>
      </c>
      <c r="E1319" s="1">
        <v>114</v>
      </c>
      <c r="F1319" s="1">
        <v>40.9</v>
      </c>
      <c r="G1319" s="1">
        <v>0.81699999999999995</v>
      </c>
      <c r="H1319" s="1">
        <v>47</v>
      </c>
      <c r="I1319" s="1">
        <v>1</v>
      </c>
      <c r="J1319" s="1" t="str">
        <f>IFERROR(VLOOKUP(K1319,[1]diabetes_Recognition!$A:$B,2,FALSE),"Not Sampled")</f>
        <v>Not Sampled</v>
      </c>
      <c r="K1319" s="1">
        <v>1317</v>
      </c>
      <c r="L1319" s="1" t="str">
        <f>LOOKUP(A1319,Sheet2!$D$4:$E$9)</f>
        <v>8+</v>
      </c>
      <c r="M1319" t="str">
        <f>LOOKUP(B1319,Sheet2!$G$4:$H$9)</f>
        <v>151-175</v>
      </c>
      <c r="N1319" t="str">
        <f>LOOKUP(C1319,Sheet2!$J$4:$K$8)</f>
        <v>70-79</v>
      </c>
      <c r="O1319" t="str">
        <f>LOOKUP(D1319,Sheet2!$M$4:$N$8)</f>
        <v>40+</v>
      </c>
      <c r="P1319" t="str">
        <f>LOOKUP(E1319,Sheet2!$P$4:$Q$9)</f>
        <v>100-199</v>
      </c>
      <c r="Q1319" t="str">
        <f>LOOKUP(F1319,Sheet2!$S$4:$T$8)</f>
        <v>36+</v>
      </c>
      <c r="R1319" t="str">
        <f>LOOKUP(G1319,Sheet2!$V$4:$W$7)</f>
        <v>0.7+</v>
      </c>
      <c r="S1319" t="str">
        <f>LOOKUP(H1319,Sheet2!$Z$4:$AA$7)</f>
        <v>46+</v>
      </c>
      <c r="T1319" t="str">
        <f t="shared" si="60"/>
        <v>Positive</v>
      </c>
      <c r="U1319" t="str">
        <f t="shared" si="61"/>
        <v>Not Sampled</v>
      </c>
      <c r="V1319" s="1" t="str">
        <f t="shared" si="62"/>
        <v>Not Sampled</v>
      </c>
    </row>
    <row r="1320" spans="1:22" x14ac:dyDescent="0.25">
      <c r="A1320" s="1">
        <v>4</v>
      </c>
      <c r="B1320" s="1">
        <v>151</v>
      </c>
      <c r="C1320" s="1">
        <v>90</v>
      </c>
      <c r="D1320" s="1">
        <v>38</v>
      </c>
      <c r="E1320" s="1">
        <v>0</v>
      </c>
      <c r="F1320" s="1">
        <v>29.7</v>
      </c>
      <c r="G1320" s="1">
        <v>0.29399999999999998</v>
      </c>
      <c r="H1320" s="1">
        <v>36</v>
      </c>
      <c r="I1320" s="1">
        <v>0</v>
      </c>
      <c r="J1320" s="1" t="str">
        <f>IFERROR(VLOOKUP(K1320,[1]diabetes_Recognition!$A:$B,2,FALSE),"Not Sampled")</f>
        <v>Not Sampled</v>
      </c>
      <c r="K1320" s="1">
        <v>1318</v>
      </c>
      <c r="L1320" s="1" t="str">
        <f>LOOKUP(A1320,Sheet2!$D$4:$E$9)</f>
        <v>3-4</v>
      </c>
      <c r="M1320" t="str">
        <f>LOOKUP(B1320,Sheet2!$G$4:$H$9)</f>
        <v>151-175</v>
      </c>
      <c r="N1320" t="str">
        <f>LOOKUP(C1320,Sheet2!$J$4:$K$8)</f>
        <v>80+</v>
      </c>
      <c r="O1320" t="str">
        <f>LOOKUP(D1320,Sheet2!$M$4:$N$8)</f>
        <v>30-39</v>
      </c>
      <c r="P1320" t="str">
        <f>LOOKUP(E1320,Sheet2!$P$4:$Q$9)</f>
        <v>Unknown</v>
      </c>
      <c r="Q1320" t="str">
        <f>LOOKUP(F1320,Sheet2!$S$4:$T$8)</f>
        <v>26-30</v>
      </c>
      <c r="R1320" t="str">
        <f>LOOKUP(G1320,Sheet2!$V$4:$W$7)</f>
        <v>0.25 - 0.39</v>
      </c>
      <c r="S1320" t="str">
        <f>LOOKUP(H1320,Sheet2!$Z$4:$AA$7)</f>
        <v>36-45</v>
      </c>
      <c r="T1320" t="str">
        <f t="shared" si="60"/>
        <v>Negative</v>
      </c>
      <c r="U1320" t="str">
        <f t="shared" si="61"/>
        <v>Not Sampled</v>
      </c>
      <c r="V1320" s="1" t="str">
        <f t="shared" si="62"/>
        <v>Not Sampled</v>
      </c>
    </row>
    <row r="1321" spans="1:22" x14ac:dyDescent="0.25">
      <c r="A1321" s="1">
        <v>7</v>
      </c>
      <c r="B1321" s="1">
        <v>102</v>
      </c>
      <c r="C1321" s="1">
        <v>74</v>
      </c>
      <c r="D1321" s="1">
        <v>40</v>
      </c>
      <c r="E1321" s="1">
        <v>105</v>
      </c>
      <c r="F1321" s="1">
        <v>37.200000000000003</v>
      </c>
      <c r="G1321" s="1">
        <v>0.20399999999999999</v>
      </c>
      <c r="H1321" s="1">
        <v>45</v>
      </c>
      <c r="I1321" s="1">
        <v>0</v>
      </c>
      <c r="J1321" s="1" t="str">
        <f>IFERROR(VLOOKUP(K1321,[1]diabetes_Recognition!$A:$B,2,FALSE),"Not Sampled")</f>
        <v>Not Sampled</v>
      </c>
      <c r="K1321" s="1">
        <v>1319</v>
      </c>
      <c r="L1321" s="1" t="str">
        <f>LOOKUP(A1321,Sheet2!$D$4:$E$9)</f>
        <v>5-7</v>
      </c>
      <c r="M1321" t="str">
        <f>LOOKUP(B1321,Sheet2!$G$4:$H$9)</f>
        <v>100-125</v>
      </c>
      <c r="N1321" t="str">
        <f>LOOKUP(C1321,Sheet2!$J$4:$K$8)</f>
        <v>70-79</v>
      </c>
      <c r="O1321" t="str">
        <f>LOOKUP(D1321,Sheet2!$M$4:$N$8)</f>
        <v>40+</v>
      </c>
      <c r="P1321" t="str">
        <f>LOOKUP(E1321,Sheet2!$P$4:$Q$9)</f>
        <v>100-199</v>
      </c>
      <c r="Q1321" t="str">
        <f>LOOKUP(F1321,Sheet2!$S$4:$T$8)</f>
        <v>36+</v>
      </c>
      <c r="R1321" t="str">
        <f>LOOKUP(G1321,Sheet2!$V$4:$W$7)</f>
        <v>0.0 - 0.249</v>
      </c>
      <c r="S1321" t="str">
        <f>LOOKUP(H1321,Sheet2!$Z$4:$AA$7)</f>
        <v>36-45</v>
      </c>
      <c r="T1321" t="str">
        <f t="shared" si="60"/>
        <v>Negative</v>
      </c>
      <c r="U1321" t="str">
        <f t="shared" si="61"/>
        <v>Not Sampled</v>
      </c>
      <c r="V1321" s="1" t="str">
        <f t="shared" si="62"/>
        <v>Not Sampled</v>
      </c>
    </row>
    <row r="1322" spans="1:22" x14ac:dyDescent="0.25">
      <c r="A1322" s="1">
        <v>0</v>
      </c>
      <c r="B1322" s="1">
        <v>114</v>
      </c>
      <c r="C1322" s="1">
        <v>80</v>
      </c>
      <c r="D1322" s="1">
        <v>34</v>
      </c>
      <c r="E1322" s="1">
        <v>285</v>
      </c>
      <c r="F1322" s="1">
        <v>44.2</v>
      </c>
      <c r="G1322" s="1">
        <v>0.16700000000000001</v>
      </c>
      <c r="H1322" s="1">
        <v>27</v>
      </c>
      <c r="I1322" s="1">
        <v>0</v>
      </c>
      <c r="J1322" s="1" t="str">
        <f>IFERROR(VLOOKUP(K1322,[1]diabetes_Recognition!$A:$B,2,FALSE),"Not Sampled")</f>
        <v>Not Sampled</v>
      </c>
      <c r="K1322" s="1">
        <v>1320</v>
      </c>
      <c r="L1322" s="1">
        <f>LOOKUP(A1322,Sheet2!$D$4:$E$9)</f>
        <v>0</v>
      </c>
      <c r="M1322" t="str">
        <f>LOOKUP(B1322,Sheet2!$G$4:$H$9)</f>
        <v>100-125</v>
      </c>
      <c r="N1322" t="str">
        <f>LOOKUP(C1322,Sheet2!$J$4:$K$8)</f>
        <v>80+</v>
      </c>
      <c r="O1322" t="str">
        <f>LOOKUP(D1322,Sheet2!$M$4:$N$8)</f>
        <v>30-39</v>
      </c>
      <c r="P1322" t="str">
        <f>LOOKUP(E1322,Sheet2!$P$4:$Q$9)</f>
        <v>200-399</v>
      </c>
      <c r="Q1322" t="str">
        <f>LOOKUP(F1322,Sheet2!$S$4:$T$8)</f>
        <v>36+</v>
      </c>
      <c r="R1322" t="str">
        <f>LOOKUP(G1322,Sheet2!$V$4:$W$7)</f>
        <v>0.0 - 0.249</v>
      </c>
      <c r="S1322" t="str">
        <f>LOOKUP(H1322,Sheet2!$Z$4:$AA$7)</f>
        <v>26-35</v>
      </c>
      <c r="T1322" t="str">
        <f t="shared" si="60"/>
        <v>Negative</v>
      </c>
      <c r="U1322" t="str">
        <f t="shared" si="61"/>
        <v>Not Sampled</v>
      </c>
      <c r="V1322" s="1" t="str">
        <f t="shared" si="62"/>
        <v>Not Sampled</v>
      </c>
    </row>
    <row r="1323" spans="1:22" x14ac:dyDescent="0.25">
      <c r="A1323" s="1">
        <v>2</v>
      </c>
      <c r="B1323" s="1">
        <v>100</v>
      </c>
      <c r="C1323" s="1">
        <v>64</v>
      </c>
      <c r="D1323" s="1">
        <v>23</v>
      </c>
      <c r="E1323" s="1">
        <v>0</v>
      </c>
      <c r="F1323" s="1">
        <v>29.7</v>
      </c>
      <c r="G1323" s="1">
        <v>0.36799999999999999</v>
      </c>
      <c r="H1323" s="1">
        <v>21</v>
      </c>
      <c r="I1323" s="1">
        <v>0</v>
      </c>
      <c r="J1323" s="1" t="str">
        <f>IFERROR(VLOOKUP(K1323,[1]diabetes_Recognition!$A:$B,2,FALSE),"Not Sampled")</f>
        <v>Not Sampled</v>
      </c>
      <c r="K1323" s="1">
        <v>1321</v>
      </c>
      <c r="L1323" s="1">
        <f>LOOKUP(A1323,Sheet2!$D$4:$E$9)</f>
        <v>2</v>
      </c>
      <c r="M1323" t="str">
        <f>LOOKUP(B1323,Sheet2!$G$4:$H$9)</f>
        <v>100-125</v>
      </c>
      <c r="N1323" t="str">
        <f>LOOKUP(C1323,Sheet2!$J$4:$K$8)</f>
        <v>60-69</v>
      </c>
      <c r="O1323" t="str">
        <f>LOOKUP(D1323,Sheet2!$M$4:$N$8)</f>
        <v>10-30</v>
      </c>
      <c r="P1323" t="str">
        <f>LOOKUP(E1323,Sheet2!$P$4:$Q$9)</f>
        <v>Unknown</v>
      </c>
      <c r="Q1323" t="str">
        <f>LOOKUP(F1323,Sheet2!$S$4:$T$8)</f>
        <v>26-30</v>
      </c>
      <c r="R1323" t="str">
        <f>LOOKUP(G1323,Sheet2!$V$4:$W$7)</f>
        <v>0.25 - 0.39</v>
      </c>
      <c r="S1323" t="str">
        <f>LOOKUP(H1323,Sheet2!$Z$4:$AA$7)</f>
        <v>&lt;=25</v>
      </c>
      <c r="T1323" t="str">
        <f t="shared" si="60"/>
        <v>Negative</v>
      </c>
      <c r="U1323" t="str">
        <f t="shared" si="61"/>
        <v>Not Sampled</v>
      </c>
      <c r="V1323" s="1" t="str">
        <f t="shared" si="62"/>
        <v>Not Sampled</v>
      </c>
    </row>
    <row r="1324" spans="1:22" x14ac:dyDescent="0.25">
      <c r="A1324" s="1">
        <v>0</v>
      </c>
      <c r="B1324" s="1">
        <v>131</v>
      </c>
      <c r="C1324" s="1">
        <v>88</v>
      </c>
      <c r="D1324" s="1">
        <v>0</v>
      </c>
      <c r="E1324" s="1">
        <v>0</v>
      </c>
      <c r="F1324" s="1">
        <v>31.6</v>
      </c>
      <c r="G1324" s="1">
        <v>0.74299999999999999</v>
      </c>
      <c r="H1324" s="1">
        <v>32</v>
      </c>
      <c r="I1324" s="1">
        <v>1</v>
      </c>
      <c r="J1324" s="1" t="str">
        <f>IFERROR(VLOOKUP(K1324,[1]diabetes_Recognition!$A:$B,2,FALSE),"Not Sampled")</f>
        <v>Not Sampled</v>
      </c>
      <c r="K1324" s="1">
        <v>1322</v>
      </c>
      <c r="L1324" s="1">
        <f>LOOKUP(A1324,Sheet2!$D$4:$E$9)</f>
        <v>0</v>
      </c>
      <c r="M1324" t="str">
        <f>LOOKUP(B1324,Sheet2!$G$4:$H$9)</f>
        <v>126-150</v>
      </c>
      <c r="N1324" t="str">
        <f>LOOKUP(C1324,Sheet2!$J$4:$K$8)</f>
        <v>80+</v>
      </c>
      <c r="O1324" t="str">
        <f>LOOKUP(D1324,Sheet2!$M$4:$N$8)</f>
        <v>Unknown</v>
      </c>
      <c r="P1324" t="str">
        <f>LOOKUP(E1324,Sheet2!$P$4:$Q$9)</f>
        <v>Unknown</v>
      </c>
      <c r="Q1324" t="str">
        <f>LOOKUP(F1324,Sheet2!$S$4:$T$8)</f>
        <v>31-35</v>
      </c>
      <c r="R1324" t="str">
        <f>LOOKUP(G1324,Sheet2!$V$4:$W$7)</f>
        <v>0.7+</v>
      </c>
      <c r="S1324" t="str">
        <f>LOOKUP(H1324,Sheet2!$Z$4:$AA$7)</f>
        <v>26-35</v>
      </c>
      <c r="T1324" t="str">
        <f t="shared" si="60"/>
        <v>Positive</v>
      </c>
      <c r="U1324" t="str">
        <f t="shared" si="61"/>
        <v>Not Sampled</v>
      </c>
      <c r="V1324" s="1" t="str">
        <f t="shared" si="62"/>
        <v>Not Sampled</v>
      </c>
    </row>
    <row r="1325" spans="1:22" x14ac:dyDescent="0.25">
      <c r="A1325" s="1">
        <v>6</v>
      </c>
      <c r="B1325" s="1">
        <v>104</v>
      </c>
      <c r="C1325" s="1">
        <v>74</v>
      </c>
      <c r="D1325" s="1">
        <v>18</v>
      </c>
      <c r="E1325" s="1">
        <v>156</v>
      </c>
      <c r="F1325" s="1">
        <v>29.9</v>
      </c>
      <c r="G1325" s="1">
        <v>0.72199999999999998</v>
      </c>
      <c r="H1325" s="1">
        <v>41</v>
      </c>
      <c r="I1325" s="1">
        <v>1</v>
      </c>
      <c r="J1325" s="1">
        <f>IFERROR(VLOOKUP(K1325,[1]diabetes_Recognition!$A:$B,2,FALSE),"Not Sampled")</f>
        <v>0</v>
      </c>
      <c r="K1325" s="1">
        <v>1323</v>
      </c>
      <c r="L1325" s="1" t="str">
        <f>LOOKUP(A1325,Sheet2!$D$4:$E$9)</f>
        <v>5-7</v>
      </c>
      <c r="M1325" t="str">
        <f>LOOKUP(B1325,Sheet2!$G$4:$H$9)</f>
        <v>100-125</v>
      </c>
      <c r="N1325" t="str">
        <f>LOOKUP(C1325,Sheet2!$J$4:$K$8)</f>
        <v>70-79</v>
      </c>
      <c r="O1325" t="str">
        <f>LOOKUP(D1325,Sheet2!$M$4:$N$8)</f>
        <v>10-30</v>
      </c>
      <c r="P1325" t="str">
        <f>LOOKUP(E1325,Sheet2!$P$4:$Q$9)</f>
        <v>100-199</v>
      </c>
      <c r="Q1325" t="str">
        <f>LOOKUP(F1325,Sheet2!$S$4:$T$8)</f>
        <v>26-30</v>
      </c>
      <c r="R1325" t="str">
        <f>LOOKUP(G1325,Sheet2!$V$4:$W$7)</f>
        <v>0.7+</v>
      </c>
      <c r="S1325" t="str">
        <f>LOOKUP(H1325,Sheet2!$Z$4:$AA$7)</f>
        <v>36-45</v>
      </c>
      <c r="T1325" t="str">
        <f t="shared" si="60"/>
        <v>Positive</v>
      </c>
      <c r="U1325" t="str">
        <f t="shared" si="61"/>
        <v>Negative</v>
      </c>
      <c r="V1325" s="1" t="str">
        <f t="shared" si="62"/>
        <v>Inaccurate Prediction</v>
      </c>
    </row>
    <row r="1326" spans="1:22" x14ac:dyDescent="0.25">
      <c r="A1326" s="1">
        <v>3</v>
      </c>
      <c r="B1326" s="1">
        <v>148</v>
      </c>
      <c r="C1326" s="1">
        <v>66</v>
      </c>
      <c r="D1326" s="1">
        <v>25</v>
      </c>
      <c r="E1326" s="1">
        <v>0</v>
      </c>
      <c r="F1326" s="1">
        <v>32.5</v>
      </c>
      <c r="G1326" s="1">
        <v>0.25600000000000001</v>
      </c>
      <c r="H1326" s="1">
        <v>22</v>
      </c>
      <c r="I1326" s="1">
        <v>0</v>
      </c>
      <c r="J1326" s="1" t="str">
        <f>IFERROR(VLOOKUP(K1326,[1]diabetes_Recognition!$A:$B,2,FALSE),"Not Sampled")</f>
        <v>Not Sampled</v>
      </c>
      <c r="K1326" s="1">
        <v>1324</v>
      </c>
      <c r="L1326" s="1" t="str">
        <f>LOOKUP(A1326,Sheet2!$D$4:$E$9)</f>
        <v>3-4</v>
      </c>
      <c r="M1326" t="str">
        <f>LOOKUP(B1326,Sheet2!$G$4:$H$9)</f>
        <v>126-150</v>
      </c>
      <c r="N1326" t="str">
        <f>LOOKUP(C1326,Sheet2!$J$4:$K$8)</f>
        <v>60-69</v>
      </c>
      <c r="O1326" t="str">
        <f>LOOKUP(D1326,Sheet2!$M$4:$N$8)</f>
        <v>10-30</v>
      </c>
      <c r="P1326" t="str">
        <f>LOOKUP(E1326,Sheet2!$P$4:$Q$9)</f>
        <v>Unknown</v>
      </c>
      <c r="Q1326" t="str">
        <f>LOOKUP(F1326,Sheet2!$S$4:$T$8)</f>
        <v>31-35</v>
      </c>
      <c r="R1326" t="str">
        <f>LOOKUP(G1326,Sheet2!$V$4:$W$7)</f>
        <v>0.25 - 0.39</v>
      </c>
      <c r="S1326" t="str">
        <f>LOOKUP(H1326,Sheet2!$Z$4:$AA$7)</f>
        <v>&lt;=25</v>
      </c>
      <c r="T1326" t="str">
        <f t="shared" si="60"/>
        <v>Negative</v>
      </c>
      <c r="U1326" t="str">
        <f t="shared" si="61"/>
        <v>Not Sampled</v>
      </c>
      <c r="V1326" s="1" t="str">
        <f t="shared" si="62"/>
        <v>Not Sampled</v>
      </c>
    </row>
    <row r="1327" spans="1:22" x14ac:dyDescent="0.25">
      <c r="A1327" s="1">
        <v>4</v>
      </c>
      <c r="B1327" s="1">
        <v>120</v>
      </c>
      <c r="C1327" s="1">
        <v>68</v>
      </c>
      <c r="D1327" s="1">
        <v>0</v>
      </c>
      <c r="E1327" s="1">
        <v>0</v>
      </c>
      <c r="F1327" s="1">
        <v>29.6</v>
      </c>
      <c r="G1327" s="1">
        <v>0.70899999999999996</v>
      </c>
      <c r="H1327" s="1">
        <v>34</v>
      </c>
      <c r="I1327" s="1">
        <v>0</v>
      </c>
      <c r="J1327" s="1" t="str">
        <f>IFERROR(VLOOKUP(K1327,[1]diabetes_Recognition!$A:$B,2,FALSE),"Not Sampled")</f>
        <v>Not Sampled</v>
      </c>
      <c r="K1327" s="1">
        <v>1325</v>
      </c>
      <c r="L1327" s="1" t="str">
        <f>LOOKUP(A1327,Sheet2!$D$4:$E$9)</f>
        <v>3-4</v>
      </c>
      <c r="M1327" t="str">
        <f>LOOKUP(B1327,Sheet2!$G$4:$H$9)</f>
        <v>100-125</v>
      </c>
      <c r="N1327" t="str">
        <f>LOOKUP(C1327,Sheet2!$J$4:$K$8)</f>
        <v>60-69</v>
      </c>
      <c r="O1327" t="str">
        <f>LOOKUP(D1327,Sheet2!$M$4:$N$8)</f>
        <v>Unknown</v>
      </c>
      <c r="P1327" t="str">
        <f>LOOKUP(E1327,Sheet2!$P$4:$Q$9)</f>
        <v>Unknown</v>
      </c>
      <c r="Q1327" t="str">
        <f>LOOKUP(F1327,Sheet2!$S$4:$T$8)</f>
        <v>26-30</v>
      </c>
      <c r="R1327" t="str">
        <f>LOOKUP(G1327,Sheet2!$V$4:$W$7)</f>
        <v>0.7+</v>
      </c>
      <c r="S1327" t="str">
        <f>LOOKUP(H1327,Sheet2!$Z$4:$AA$7)</f>
        <v>26-35</v>
      </c>
      <c r="T1327" t="str">
        <f t="shared" si="60"/>
        <v>Negative</v>
      </c>
      <c r="U1327" t="str">
        <f t="shared" si="61"/>
        <v>Not Sampled</v>
      </c>
      <c r="V1327" s="1" t="str">
        <f t="shared" si="62"/>
        <v>Not Sampled</v>
      </c>
    </row>
    <row r="1328" spans="1:22" x14ac:dyDescent="0.25">
      <c r="A1328" s="1">
        <v>4</v>
      </c>
      <c r="B1328" s="1">
        <v>110</v>
      </c>
      <c r="C1328" s="1">
        <v>66</v>
      </c>
      <c r="D1328" s="1">
        <v>0</v>
      </c>
      <c r="E1328" s="1">
        <v>0</v>
      </c>
      <c r="F1328" s="1">
        <v>31.9</v>
      </c>
      <c r="G1328" s="1">
        <v>0.47099999999999997</v>
      </c>
      <c r="H1328" s="1">
        <v>29</v>
      </c>
      <c r="I1328" s="1">
        <v>0</v>
      </c>
      <c r="J1328" s="1" t="str">
        <f>IFERROR(VLOOKUP(K1328,[1]diabetes_Recognition!$A:$B,2,FALSE),"Not Sampled")</f>
        <v>Not Sampled</v>
      </c>
      <c r="K1328" s="1">
        <v>1326</v>
      </c>
      <c r="L1328" s="1" t="str">
        <f>LOOKUP(A1328,Sheet2!$D$4:$E$9)</f>
        <v>3-4</v>
      </c>
      <c r="M1328" t="str">
        <f>LOOKUP(B1328,Sheet2!$G$4:$H$9)</f>
        <v>100-125</v>
      </c>
      <c r="N1328" t="str">
        <f>LOOKUP(C1328,Sheet2!$J$4:$K$8)</f>
        <v>60-69</v>
      </c>
      <c r="O1328" t="str">
        <f>LOOKUP(D1328,Sheet2!$M$4:$N$8)</f>
        <v>Unknown</v>
      </c>
      <c r="P1328" t="str">
        <f>LOOKUP(E1328,Sheet2!$P$4:$Q$9)</f>
        <v>Unknown</v>
      </c>
      <c r="Q1328" t="str">
        <f>LOOKUP(F1328,Sheet2!$S$4:$T$8)</f>
        <v>31-35</v>
      </c>
      <c r="R1328" t="str">
        <f>LOOKUP(G1328,Sheet2!$V$4:$W$7)</f>
        <v>0.4 - 0.69</v>
      </c>
      <c r="S1328" t="str">
        <f>LOOKUP(H1328,Sheet2!$Z$4:$AA$7)</f>
        <v>26-35</v>
      </c>
      <c r="T1328" t="str">
        <f t="shared" si="60"/>
        <v>Negative</v>
      </c>
      <c r="U1328" t="str">
        <f t="shared" si="61"/>
        <v>Not Sampled</v>
      </c>
      <c r="V1328" s="1" t="str">
        <f t="shared" si="62"/>
        <v>Not Sampled</v>
      </c>
    </row>
    <row r="1329" spans="1:22" x14ac:dyDescent="0.25">
      <c r="A1329" s="1">
        <v>3</v>
      </c>
      <c r="B1329" s="1">
        <v>111</v>
      </c>
      <c r="C1329" s="1">
        <v>90</v>
      </c>
      <c r="D1329" s="1">
        <v>12</v>
      </c>
      <c r="E1329" s="1">
        <v>78</v>
      </c>
      <c r="F1329" s="1">
        <v>28.4</v>
      </c>
      <c r="G1329" s="1">
        <v>0.495</v>
      </c>
      <c r="H1329" s="1">
        <v>29</v>
      </c>
      <c r="I1329" s="1">
        <v>0</v>
      </c>
      <c r="J1329" s="1" t="str">
        <f>IFERROR(VLOOKUP(K1329,[1]diabetes_Recognition!$A:$B,2,FALSE),"Not Sampled")</f>
        <v>Not Sampled</v>
      </c>
      <c r="K1329" s="1">
        <v>1327</v>
      </c>
      <c r="L1329" s="1" t="str">
        <f>LOOKUP(A1329,Sheet2!$D$4:$E$9)</f>
        <v>3-4</v>
      </c>
      <c r="M1329" t="str">
        <f>LOOKUP(B1329,Sheet2!$G$4:$H$9)</f>
        <v>100-125</v>
      </c>
      <c r="N1329" t="str">
        <f>LOOKUP(C1329,Sheet2!$J$4:$K$8)</f>
        <v>80+</v>
      </c>
      <c r="O1329" t="str">
        <f>LOOKUP(D1329,Sheet2!$M$4:$N$8)</f>
        <v>10-30</v>
      </c>
      <c r="P1329" t="str">
        <f>LOOKUP(E1329,Sheet2!$P$4:$Q$9)</f>
        <v>1-99</v>
      </c>
      <c r="Q1329" t="str">
        <f>LOOKUP(F1329,Sheet2!$S$4:$T$8)</f>
        <v>26-30</v>
      </c>
      <c r="R1329" t="str">
        <f>LOOKUP(G1329,Sheet2!$V$4:$W$7)</f>
        <v>0.4 - 0.69</v>
      </c>
      <c r="S1329" t="str">
        <f>LOOKUP(H1329,Sheet2!$Z$4:$AA$7)</f>
        <v>26-35</v>
      </c>
      <c r="T1329" t="str">
        <f t="shared" si="60"/>
        <v>Negative</v>
      </c>
      <c r="U1329" t="str">
        <f t="shared" si="61"/>
        <v>Not Sampled</v>
      </c>
      <c r="V1329" s="1" t="str">
        <f t="shared" si="62"/>
        <v>Not Sampled</v>
      </c>
    </row>
    <row r="1330" spans="1:22" x14ac:dyDescent="0.25">
      <c r="A1330" s="1">
        <v>6</v>
      </c>
      <c r="B1330" s="1">
        <v>102</v>
      </c>
      <c r="C1330" s="1">
        <v>82</v>
      </c>
      <c r="D1330" s="1">
        <v>0</v>
      </c>
      <c r="E1330" s="1">
        <v>0</v>
      </c>
      <c r="F1330" s="1">
        <v>30.8</v>
      </c>
      <c r="G1330" s="1">
        <v>0.18</v>
      </c>
      <c r="H1330" s="1">
        <v>36</v>
      </c>
      <c r="I1330" s="1">
        <v>1</v>
      </c>
      <c r="J1330" s="1" t="str">
        <f>IFERROR(VLOOKUP(K1330,[1]diabetes_Recognition!$A:$B,2,FALSE),"Not Sampled")</f>
        <v>Not Sampled</v>
      </c>
      <c r="K1330" s="1">
        <v>1328</v>
      </c>
      <c r="L1330" s="1" t="str">
        <f>LOOKUP(A1330,Sheet2!$D$4:$E$9)</f>
        <v>5-7</v>
      </c>
      <c r="M1330" t="str">
        <f>LOOKUP(B1330,Sheet2!$G$4:$H$9)</f>
        <v>100-125</v>
      </c>
      <c r="N1330" t="str">
        <f>LOOKUP(C1330,Sheet2!$J$4:$K$8)</f>
        <v>80+</v>
      </c>
      <c r="O1330" t="str">
        <f>LOOKUP(D1330,Sheet2!$M$4:$N$8)</f>
        <v>Unknown</v>
      </c>
      <c r="P1330" t="str">
        <f>LOOKUP(E1330,Sheet2!$P$4:$Q$9)</f>
        <v>Unknown</v>
      </c>
      <c r="Q1330" t="str">
        <f>LOOKUP(F1330,Sheet2!$S$4:$T$8)</f>
        <v>26-30</v>
      </c>
      <c r="R1330" t="str">
        <f>LOOKUP(G1330,Sheet2!$V$4:$W$7)</f>
        <v>0.0 - 0.249</v>
      </c>
      <c r="S1330" t="str">
        <f>LOOKUP(H1330,Sheet2!$Z$4:$AA$7)</f>
        <v>36-45</v>
      </c>
      <c r="T1330" t="str">
        <f t="shared" si="60"/>
        <v>Positive</v>
      </c>
      <c r="U1330" t="str">
        <f t="shared" si="61"/>
        <v>Not Sampled</v>
      </c>
      <c r="V1330" s="1" t="str">
        <f t="shared" si="62"/>
        <v>Not Sampled</v>
      </c>
    </row>
    <row r="1331" spans="1:22" x14ac:dyDescent="0.25">
      <c r="A1331" s="1">
        <v>6</v>
      </c>
      <c r="B1331" s="1">
        <v>134</v>
      </c>
      <c r="C1331" s="1">
        <v>70</v>
      </c>
      <c r="D1331" s="1">
        <v>23</v>
      </c>
      <c r="E1331" s="1">
        <v>130</v>
      </c>
      <c r="F1331" s="1">
        <v>35.4</v>
      </c>
      <c r="G1331" s="1">
        <v>0.54200000000000004</v>
      </c>
      <c r="H1331" s="1">
        <v>29</v>
      </c>
      <c r="I1331" s="1">
        <v>1</v>
      </c>
      <c r="J1331" s="1" t="str">
        <f>IFERROR(VLOOKUP(K1331,[1]diabetes_Recognition!$A:$B,2,FALSE),"Not Sampled")</f>
        <v>Not Sampled</v>
      </c>
      <c r="K1331" s="1">
        <v>1329</v>
      </c>
      <c r="L1331" s="1" t="str">
        <f>LOOKUP(A1331,Sheet2!$D$4:$E$9)</f>
        <v>5-7</v>
      </c>
      <c r="M1331" t="str">
        <f>LOOKUP(B1331,Sheet2!$G$4:$H$9)</f>
        <v>126-150</v>
      </c>
      <c r="N1331" t="str">
        <f>LOOKUP(C1331,Sheet2!$J$4:$K$8)</f>
        <v>70-79</v>
      </c>
      <c r="O1331" t="str">
        <f>LOOKUP(D1331,Sheet2!$M$4:$N$8)</f>
        <v>10-30</v>
      </c>
      <c r="P1331" t="str">
        <f>LOOKUP(E1331,Sheet2!$P$4:$Q$9)</f>
        <v>100-199</v>
      </c>
      <c r="Q1331" t="str">
        <f>LOOKUP(F1331,Sheet2!$S$4:$T$8)</f>
        <v>31-35</v>
      </c>
      <c r="R1331" t="str">
        <f>LOOKUP(G1331,Sheet2!$V$4:$W$7)</f>
        <v>0.4 - 0.69</v>
      </c>
      <c r="S1331" t="str">
        <f>LOOKUP(H1331,Sheet2!$Z$4:$AA$7)</f>
        <v>26-35</v>
      </c>
      <c r="T1331" t="str">
        <f t="shared" si="60"/>
        <v>Positive</v>
      </c>
      <c r="U1331" t="str">
        <f t="shared" si="61"/>
        <v>Not Sampled</v>
      </c>
      <c r="V1331" s="1" t="str">
        <f t="shared" si="62"/>
        <v>Not Sampled</v>
      </c>
    </row>
    <row r="1332" spans="1:22" x14ac:dyDescent="0.25">
      <c r="A1332" s="1">
        <v>2</v>
      </c>
      <c r="B1332" s="1">
        <v>87</v>
      </c>
      <c r="C1332" s="1">
        <v>0</v>
      </c>
      <c r="D1332" s="1">
        <v>23</v>
      </c>
      <c r="E1332" s="1">
        <v>0</v>
      </c>
      <c r="F1332" s="1">
        <v>28.9</v>
      </c>
      <c r="G1332" s="1">
        <v>0.77300000000000002</v>
      </c>
      <c r="H1332" s="1">
        <v>25</v>
      </c>
      <c r="I1332" s="1">
        <v>0</v>
      </c>
      <c r="J1332" s="1" t="str">
        <f>IFERROR(VLOOKUP(K1332,[1]diabetes_Recognition!$A:$B,2,FALSE),"Not Sampled")</f>
        <v>Not Sampled</v>
      </c>
      <c r="K1332" s="1">
        <v>1330</v>
      </c>
      <c r="L1332" s="1">
        <f>LOOKUP(A1332,Sheet2!$D$4:$E$9)</f>
        <v>2</v>
      </c>
      <c r="M1332" t="str">
        <f>LOOKUP(B1332,Sheet2!$G$4:$H$9)</f>
        <v>1-99</v>
      </c>
      <c r="N1332" t="str">
        <f>LOOKUP(C1332,Sheet2!$J$4:$K$8)</f>
        <v>Unknown</v>
      </c>
      <c r="O1332" t="str">
        <f>LOOKUP(D1332,Sheet2!$M$4:$N$8)</f>
        <v>10-30</v>
      </c>
      <c r="P1332" t="str">
        <f>LOOKUP(E1332,Sheet2!$P$4:$Q$9)</f>
        <v>Unknown</v>
      </c>
      <c r="Q1332" t="str">
        <f>LOOKUP(F1332,Sheet2!$S$4:$T$8)</f>
        <v>26-30</v>
      </c>
      <c r="R1332" t="str">
        <f>LOOKUP(G1332,Sheet2!$V$4:$W$7)</f>
        <v>0.7+</v>
      </c>
      <c r="S1332" t="str">
        <f>LOOKUP(H1332,Sheet2!$Z$4:$AA$7)</f>
        <v>&lt;=25</v>
      </c>
      <c r="T1332" t="str">
        <f t="shared" si="60"/>
        <v>Negative</v>
      </c>
      <c r="U1332" t="str">
        <f t="shared" si="61"/>
        <v>Not Sampled</v>
      </c>
      <c r="V1332" s="1" t="str">
        <f t="shared" si="62"/>
        <v>Not Sampled</v>
      </c>
    </row>
    <row r="1333" spans="1:22" x14ac:dyDescent="0.25">
      <c r="A1333" s="1">
        <v>1</v>
      </c>
      <c r="B1333" s="1">
        <v>79</v>
      </c>
      <c r="C1333" s="1">
        <v>60</v>
      </c>
      <c r="D1333" s="1">
        <v>42</v>
      </c>
      <c r="E1333" s="1">
        <v>48</v>
      </c>
      <c r="F1333" s="1">
        <v>43.5</v>
      </c>
      <c r="G1333" s="1">
        <v>0.67800000000000005</v>
      </c>
      <c r="H1333" s="1">
        <v>23</v>
      </c>
      <c r="I1333" s="1">
        <v>0</v>
      </c>
      <c r="J1333" s="1" t="str">
        <f>IFERROR(VLOOKUP(K1333,[1]diabetes_Recognition!$A:$B,2,FALSE),"Not Sampled")</f>
        <v>Not Sampled</v>
      </c>
      <c r="K1333" s="1">
        <v>1331</v>
      </c>
      <c r="L1333" s="1">
        <f>LOOKUP(A1333,Sheet2!$D$4:$E$9)</f>
        <v>1</v>
      </c>
      <c r="M1333" t="str">
        <f>LOOKUP(B1333,Sheet2!$G$4:$H$9)</f>
        <v>1-99</v>
      </c>
      <c r="N1333" t="str">
        <f>LOOKUP(C1333,Sheet2!$J$4:$K$8)</f>
        <v>60-69</v>
      </c>
      <c r="O1333" t="str">
        <f>LOOKUP(D1333,Sheet2!$M$4:$N$8)</f>
        <v>40+</v>
      </c>
      <c r="P1333" t="str">
        <f>LOOKUP(E1333,Sheet2!$P$4:$Q$9)</f>
        <v>1-99</v>
      </c>
      <c r="Q1333" t="str">
        <f>LOOKUP(F1333,Sheet2!$S$4:$T$8)</f>
        <v>36+</v>
      </c>
      <c r="R1333" t="str">
        <f>LOOKUP(G1333,Sheet2!$V$4:$W$7)</f>
        <v>0.4 - 0.69</v>
      </c>
      <c r="S1333" t="str">
        <f>LOOKUP(H1333,Sheet2!$Z$4:$AA$7)</f>
        <v>&lt;=25</v>
      </c>
      <c r="T1333" t="str">
        <f t="shared" si="60"/>
        <v>Negative</v>
      </c>
      <c r="U1333" t="str">
        <f t="shared" si="61"/>
        <v>Not Sampled</v>
      </c>
      <c r="V1333" s="1" t="str">
        <f t="shared" si="62"/>
        <v>Not Sampled</v>
      </c>
    </row>
    <row r="1334" spans="1:22" x14ac:dyDescent="0.25">
      <c r="A1334" s="1">
        <v>2</v>
      </c>
      <c r="B1334" s="1">
        <v>75</v>
      </c>
      <c r="C1334" s="1">
        <v>64</v>
      </c>
      <c r="D1334" s="1">
        <v>24</v>
      </c>
      <c r="E1334" s="1">
        <v>55</v>
      </c>
      <c r="F1334" s="1">
        <v>29.7</v>
      </c>
      <c r="G1334" s="1">
        <v>0.37</v>
      </c>
      <c r="H1334" s="1">
        <v>33</v>
      </c>
      <c r="I1334" s="1">
        <v>0</v>
      </c>
      <c r="J1334" s="1" t="str">
        <f>IFERROR(VLOOKUP(K1334,[1]diabetes_Recognition!$A:$B,2,FALSE),"Not Sampled")</f>
        <v>Not Sampled</v>
      </c>
      <c r="K1334" s="1">
        <v>1332</v>
      </c>
      <c r="L1334" s="1">
        <f>LOOKUP(A1334,Sheet2!$D$4:$E$9)</f>
        <v>2</v>
      </c>
      <c r="M1334" t="str">
        <f>LOOKUP(B1334,Sheet2!$G$4:$H$9)</f>
        <v>1-99</v>
      </c>
      <c r="N1334" t="str">
        <f>LOOKUP(C1334,Sheet2!$J$4:$K$8)</f>
        <v>60-69</v>
      </c>
      <c r="O1334" t="str">
        <f>LOOKUP(D1334,Sheet2!$M$4:$N$8)</f>
        <v>10-30</v>
      </c>
      <c r="P1334" t="str">
        <f>LOOKUP(E1334,Sheet2!$P$4:$Q$9)</f>
        <v>1-99</v>
      </c>
      <c r="Q1334" t="str">
        <f>LOOKUP(F1334,Sheet2!$S$4:$T$8)</f>
        <v>26-30</v>
      </c>
      <c r="R1334" t="str">
        <f>LOOKUP(G1334,Sheet2!$V$4:$W$7)</f>
        <v>0.25 - 0.39</v>
      </c>
      <c r="S1334" t="str">
        <f>LOOKUP(H1334,Sheet2!$Z$4:$AA$7)</f>
        <v>26-35</v>
      </c>
      <c r="T1334" t="str">
        <f t="shared" si="60"/>
        <v>Negative</v>
      </c>
      <c r="U1334" t="str">
        <f t="shared" si="61"/>
        <v>Not Sampled</v>
      </c>
      <c r="V1334" s="1" t="str">
        <f t="shared" si="62"/>
        <v>Not Sampled</v>
      </c>
    </row>
    <row r="1335" spans="1:22" x14ac:dyDescent="0.25">
      <c r="A1335" s="1">
        <v>8</v>
      </c>
      <c r="B1335" s="1">
        <v>179</v>
      </c>
      <c r="C1335" s="1">
        <v>72</v>
      </c>
      <c r="D1335" s="1">
        <v>42</v>
      </c>
      <c r="E1335" s="1">
        <v>130</v>
      </c>
      <c r="F1335" s="1">
        <v>32.700000000000003</v>
      </c>
      <c r="G1335" s="1">
        <v>0.71899999999999997</v>
      </c>
      <c r="H1335" s="1">
        <v>36</v>
      </c>
      <c r="I1335" s="1">
        <v>1</v>
      </c>
      <c r="J1335" s="1" t="str">
        <f>IFERROR(VLOOKUP(K1335,[1]diabetes_Recognition!$A:$B,2,FALSE),"Not Sampled")</f>
        <v>Not Sampled</v>
      </c>
      <c r="K1335" s="1">
        <v>1333</v>
      </c>
      <c r="L1335" s="1" t="str">
        <f>LOOKUP(A1335,Sheet2!$D$4:$E$9)</f>
        <v>8+</v>
      </c>
      <c r="M1335" t="str">
        <f>LOOKUP(B1335,Sheet2!$G$4:$H$9)</f>
        <v>176-200</v>
      </c>
      <c r="N1335" t="str">
        <f>LOOKUP(C1335,Sheet2!$J$4:$K$8)</f>
        <v>70-79</v>
      </c>
      <c r="O1335" t="str">
        <f>LOOKUP(D1335,Sheet2!$M$4:$N$8)</f>
        <v>40+</v>
      </c>
      <c r="P1335" t="str">
        <f>LOOKUP(E1335,Sheet2!$P$4:$Q$9)</f>
        <v>100-199</v>
      </c>
      <c r="Q1335" t="str">
        <f>LOOKUP(F1335,Sheet2!$S$4:$T$8)</f>
        <v>31-35</v>
      </c>
      <c r="R1335" t="str">
        <f>LOOKUP(G1335,Sheet2!$V$4:$W$7)</f>
        <v>0.7+</v>
      </c>
      <c r="S1335" t="str">
        <f>LOOKUP(H1335,Sheet2!$Z$4:$AA$7)</f>
        <v>36-45</v>
      </c>
      <c r="T1335" t="str">
        <f t="shared" si="60"/>
        <v>Positive</v>
      </c>
      <c r="U1335" t="str">
        <f t="shared" si="61"/>
        <v>Not Sampled</v>
      </c>
      <c r="V1335" s="1" t="str">
        <f t="shared" si="62"/>
        <v>Not Sampled</v>
      </c>
    </row>
    <row r="1336" spans="1:22" x14ac:dyDescent="0.25">
      <c r="A1336" s="1">
        <v>6</v>
      </c>
      <c r="B1336" s="1">
        <v>85</v>
      </c>
      <c r="C1336" s="1">
        <v>78</v>
      </c>
      <c r="D1336" s="1">
        <v>0</v>
      </c>
      <c r="E1336" s="1">
        <v>0</v>
      </c>
      <c r="F1336" s="1">
        <v>31.2</v>
      </c>
      <c r="G1336" s="1">
        <v>0.38200000000000001</v>
      </c>
      <c r="H1336" s="1">
        <v>42</v>
      </c>
      <c r="I1336" s="1">
        <v>0</v>
      </c>
      <c r="J1336" s="1">
        <f>IFERROR(VLOOKUP(K1336,[1]diabetes_Recognition!$A:$B,2,FALSE),"Not Sampled")</f>
        <v>0</v>
      </c>
      <c r="K1336" s="1">
        <v>1334</v>
      </c>
      <c r="L1336" s="1" t="str">
        <f>LOOKUP(A1336,Sheet2!$D$4:$E$9)</f>
        <v>5-7</v>
      </c>
      <c r="M1336" t="str">
        <f>LOOKUP(B1336,Sheet2!$G$4:$H$9)</f>
        <v>1-99</v>
      </c>
      <c r="N1336" t="str">
        <f>LOOKUP(C1336,Sheet2!$J$4:$K$8)</f>
        <v>70-79</v>
      </c>
      <c r="O1336" t="str">
        <f>LOOKUP(D1336,Sheet2!$M$4:$N$8)</f>
        <v>Unknown</v>
      </c>
      <c r="P1336" t="str">
        <f>LOOKUP(E1336,Sheet2!$P$4:$Q$9)</f>
        <v>Unknown</v>
      </c>
      <c r="Q1336" t="str">
        <f>LOOKUP(F1336,Sheet2!$S$4:$T$8)</f>
        <v>31-35</v>
      </c>
      <c r="R1336" t="str">
        <f>LOOKUP(G1336,Sheet2!$V$4:$W$7)</f>
        <v>0.25 - 0.39</v>
      </c>
      <c r="S1336" t="str">
        <f>LOOKUP(H1336,Sheet2!$Z$4:$AA$7)</f>
        <v>36-45</v>
      </c>
      <c r="T1336" t="str">
        <f t="shared" si="60"/>
        <v>Negative</v>
      </c>
      <c r="U1336" t="str">
        <f t="shared" si="61"/>
        <v>Negative</v>
      </c>
      <c r="V1336" s="1" t="str">
        <f t="shared" si="62"/>
        <v>Accurate Prediction</v>
      </c>
    </row>
    <row r="1337" spans="1:22" x14ac:dyDescent="0.25">
      <c r="A1337" s="1">
        <v>0</v>
      </c>
      <c r="B1337" s="1">
        <v>129</v>
      </c>
      <c r="C1337" s="1">
        <v>110</v>
      </c>
      <c r="D1337" s="1">
        <v>46</v>
      </c>
      <c r="E1337" s="1">
        <v>130</v>
      </c>
      <c r="F1337" s="1">
        <v>67.099999999999994</v>
      </c>
      <c r="G1337" s="1">
        <v>0.31900000000000001</v>
      </c>
      <c r="H1337" s="1">
        <v>26</v>
      </c>
      <c r="I1337" s="1">
        <v>1</v>
      </c>
      <c r="J1337" s="1" t="str">
        <f>IFERROR(VLOOKUP(K1337,[1]diabetes_Recognition!$A:$B,2,FALSE),"Not Sampled")</f>
        <v>Not Sampled</v>
      </c>
      <c r="K1337" s="1">
        <v>1335</v>
      </c>
      <c r="L1337" s="1">
        <f>LOOKUP(A1337,Sheet2!$D$4:$E$9)</f>
        <v>0</v>
      </c>
      <c r="M1337" t="str">
        <f>LOOKUP(B1337,Sheet2!$G$4:$H$9)</f>
        <v>126-150</v>
      </c>
      <c r="N1337" t="str">
        <f>LOOKUP(C1337,Sheet2!$J$4:$K$8)</f>
        <v>80+</v>
      </c>
      <c r="O1337" t="str">
        <f>LOOKUP(D1337,Sheet2!$M$4:$N$8)</f>
        <v>40+</v>
      </c>
      <c r="P1337" t="str">
        <f>LOOKUP(E1337,Sheet2!$P$4:$Q$9)</f>
        <v>100-199</v>
      </c>
      <c r="Q1337" t="str">
        <f>LOOKUP(F1337,Sheet2!$S$4:$T$8)</f>
        <v>36+</v>
      </c>
      <c r="R1337" t="str">
        <f>LOOKUP(G1337,Sheet2!$V$4:$W$7)</f>
        <v>0.25 - 0.39</v>
      </c>
      <c r="S1337" t="str">
        <f>LOOKUP(H1337,Sheet2!$Z$4:$AA$7)</f>
        <v>26-35</v>
      </c>
      <c r="T1337" t="str">
        <f t="shared" si="60"/>
        <v>Positive</v>
      </c>
      <c r="U1337" t="str">
        <f t="shared" si="61"/>
        <v>Not Sampled</v>
      </c>
      <c r="V1337" s="1" t="str">
        <f t="shared" si="62"/>
        <v>Not Sampled</v>
      </c>
    </row>
    <row r="1338" spans="1:22" x14ac:dyDescent="0.25">
      <c r="A1338" s="1">
        <v>5</v>
      </c>
      <c r="B1338" s="1">
        <v>143</v>
      </c>
      <c r="C1338" s="1">
        <v>78</v>
      </c>
      <c r="D1338" s="1">
        <v>0</v>
      </c>
      <c r="E1338" s="1">
        <v>0</v>
      </c>
      <c r="F1338" s="1">
        <v>45</v>
      </c>
      <c r="G1338" s="1">
        <v>0.19</v>
      </c>
      <c r="H1338" s="1">
        <v>47</v>
      </c>
      <c r="I1338" s="1">
        <v>0</v>
      </c>
      <c r="J1338" s="1">
        <f>IFERROR(VLOOKUP(K1338,[1]diabetes_Recognition!$A:$B,2,FALSE),"Not Sampled")</f>
        <v>1</v>
      </c>
      <c r="K1338" s="1">
        <v>1336</v>
      </c>
      <c r="L1338" s="1" t="str">
        <f>LOOKUP(A1338,Sheet2!$D$4:$E$9)</f>
        <v>5-7</v>
      </c>
      <c r="M1338" t="str">
        <f>LOOKUP(B1338,Sheet2!$G$4:$H$9)</f>
        <v>126-150</v>
      </c>
      <c r="N1338" t="str">
        <f>LOOKUP(C1338,Sheet2!$J$4:$K$8)</f>
        <v>70-79</v>
      </c>
      <c r="O1338" t="str">
        <f>LOOKUP(D1338,Sheet2!$M$4:$N$8)</f>
        <v>Unknown</v>
      </c>
      <c r="P1338" t="str">
        <f>LOOKUP(E1338,Sheet2!$P$4:$Q$9)</f>
        <v>Unknown</v>
      </c>
      <c r="Q1338" t="str">
        <f>LOOKUP(F1338,Sheet2!$S$4:$T$8)</f>
        <v>36+</v>
      </c>
      <c r="R1338" t="str">
        <f>LOOKUP(G1338,Sheet2!$V$4:$W$7)</f>
        <v>0.0 - 0.249</v>
      </c>
      <c r="S1338" t="str">
        <f>LOOKUP(H1338,Sheet2!$Z$4:$AA$7)</f>
        <v>46+</v>
      </c>
      <c r="T1338" t="str">
        <f t="shared" si="60"/>
        <v>Negative</v>
      </c>
      <c r="U1338" t="str">
        <f t="shared" si="61"/>
        <v>Positive</v>
      </c>
      <c r="V1338" s="1" t="str">
        <f t="shared" si="62"/>
        <v>Inaccurate Prediction</v>
      </c>
    </row>
    <row r="1339" spans="1:22" x14ac:dyDescent="0.25">
      <c r="A1339" s="1">
        <v>5</v>
      </c>
      <c r="B1339" s="1">
        <v>130</v>
      </c>
      <c r="C1339" s="1">
        <v>82</v>
      </c>
      <c r="D1339" s="1">
        <v>0</v>
      </c>
      <c r="E1339" s="1">
        <v>0</v>
      </c>
      <c r="F1339" s="1">
        <v>39.1</v>
      </c>
      <c r="G1339" s="1">
        <v>0.95599999999999996</v>
      </c>
      <c r="H1339" s="1">
        <v>37</v>
      </c>
      <c r="I1339" s="1">
        <v>1</v>
      </c>
      <c r="J1339" s="1" t="str">
        <f>IFERROR(VLOOKUP(K1339,[1]diabetes_Recognition!$A:$B,2,FALSE),"Not Sampled")</f>
        <v>Not Sampled</v>
      </c>
      <c r="K1339" s="1">
        <v>1337</v>
      </c>
      <c r="L1339" s="1" t="str">
        <f>LOOKUP(A1339,Sheet2!$D$4:$E$9)</f>
        <v>5-7</v>
      </c>
      <c r="M1339" t="str">
        <f>LOOKUP(B1339,Sheet2!$G$4:$H$9)</f>
        <v>126-150</v>
      </c>
      <c r="N1339" t="str">
        <f>LOOKUP(C1339,Sheet2!$J$4:$K$8)</f>
        <v>80+</v>
      </c>
      <c r="O1339" t="str">
        <f>LOOKUP(D1339,Sheet2!$M$4:$N$8)</f>
        <v>Unknown</v>
      </c>
      <c r="P1339" t="str">
        <f>LOOKUP(E1339,Sheet2!$P$4:$Q$9)</f>
        <v>Unknown</v>
      </c>
      <c r="Q1339" t="str">
        <f>LOOKUP(F1339,Sheet2!$S$4:$T$8)</f>
        <v>36+</v>
      </c>
      <c r="R1339" t="str">
        <f>LOOKUP(G1339,Sheet2!$V$4:$W$7)</f>
        <v>0.7+</v>
      </c>
      <c r="S1339" t="str">
        <f>LOOKUP(H1339,Sheet2!$Z$4:$AA$7)</f>
        <v>36-45</v>
      </c>
      <c r="T1339" t="str">
        <f t="shared" si="60"/>
        <v>Positive</v>
      </c>
      <c r="U1339" t="str">
        <f t="shared" si="61"/>
        <v>Not Sampled</v>
      </c>
      <c r="V1339" s="1" t="str">
        <f t="shared" si="62"/>
        <v>Not Sampled</v>
      </c>
    </row>
    <row r="1340" spans="1:22" x14ac:dyDescent="0.25">
      <c r="A1340" s="1">
        <v>6</v>
      </c>
      <c r="B1340" s="1">
        <v>87</v>
      </c>
      <c r="C1340" s="1">
        <v>80</v>
      </c>
      <c r="D1340" s="1">
        <v>0</v>
      </c>
      <c r="E1340" s="1">
        <v>0</v>
      </c>
      <c r="F1340" s="1">
        <v>23.2</v>
      </c>
      <c r="G1340" s="1">
        <v>8.4000000000000005E-2</v>
      </c>
      <c r="H1340" s="1">
        <v>32</v>
      </c>
      <c r="I1340" s="1">
        <v>0</v>
      </c>
      <c r="J1340" s="1">
        <f>IFERROR(VLOOKUP(K1340,[1]diabetes_Recognition!$A:$B,2,FALSE),"Not Sampled")</f>
        <v>0</v>
      </c>
      <c r="K1340" s="1">
        <v>1338</v>
      </c>
      <c r="L1340" s="1" t="str">
        <f>LOOKUP(A1340,Sheet2!$D$4:$E$9)</f>
        <v>5-7</v>
      </c>
      <c r="M1340" t="str">
        <f>LOOKUP(B1340,Sheet2!$G$4:$H$9)</f>
        <v>1-99</v>
      </c>
      <c r="N1340" t="str">
        <f>LOOKUP(C1340,Sheet2!$J$4:$K$8)</f>
        <v>80+</v>
      </c>
      <c r="O1340" t="str">
        <f>LOOKUP(D1340,Sheet2!$M$4:$N$8)</f>
        <v>Unknown</v>
      </c>
      <c r="P1340" t="str">
        <f>LOOKUP(E1340,Sheet2!$P$4:$Q$9)</f>
        <v>Unknown</v>
      </c>
      <c r="Q1340" t="str">
        <f>LOOKUP(F1340,Sheet2!$S$4:$T$8)</f>
        <v>1-25</v>
      </c>
      <c r="R1340" t="str">
        <f>LOOKUP(G1340,Sheet2!$V$4:$W$7)</f>
        <v>0.0 - 0.249</v>
      </c>
      <c r="S1340" t="str">
        <f>LOOKUP(H1340,Sheet2!$Z$4:$AA$7)</f>
        <v>26-35</v>
      </c>
      <c r="T1340" t="str">
        <f t="shared" si="60"/>
        <v>Negative</v>
      </c>
      <c r="U1340" t="str">
        <f t="shared" si="61"/>
        <v>Negative</v>
      </c>
      <c r="V1340" s="1" t="str">
        <f t="shared" si="62"/>
        <v>Accurate Prediction</v>
      </c>
    </row>
    <row r="1341" spans="1:22" x14ac:dyDescent="0.25">
      <c r="A1341" s="1">
        <v>0</v>
      </c>
      <c r="B1341" s="1">
        <v>119</v>
      </c>
      <c r="C1341" s="1">
        <v>64</v>
      </c>
      <c r="D1341" s="1">
        <v>18</v>
      </c>
      <c r="E1341" s="1">
        <v>92</v>
      </c>
      <c r="F1341" s="1">
        <v>34.9</v>
      </c>
      <c r="G1341" s="1">
        <v>0.72499999999999998</v>
      </c>
      <c r="H1341" s="1">
        <v>23</v>
      </c>
      <c r="I1341" s="1">
        <v>0</v>
      </c>
      <c r="J1341" s="1" t="str">
        <f>IFERROR(VLOOKUP(K1341,[1]diabetes_Recognition!$A:$B,2,FALSE),"Not Sampled")</f>
        <v>Not Sampled</v>
      </c>
      <c r="K1341" s="1">
        <v>1339</v>
      </c>
      <c r="L1341" s="1">
        <f>LOOKUP(A1341,Sheet2!$D$4:$E$9)</f>
        <v>0</v>
      </c>
      <c r="M1341" t="str">
        <f>LOOKUP(B1341,Sheet2!$G$4:$H$9)</f>
        <v>100-125</v>
      </c>
      <c r="N1341" t="str">
        <f>LOOKUP(C1341,Sheet2!$J$4:$K$8)</f>
        <v>60-69</v>
      </c>
      <c r="O1341" t="str">
        <f>LOOKUP(D1341,Sheet2!$M$4:$N$8)</f>
        <v>10-30</v>
      </c>
      <c r="P1341" t="str">
        <f>LOOKUP(E1341,Sheet2!$P$4:$Q$9)</f>
        <v>1-99</v>
      </c>
      <c r="Q1341" t="str">
        <f>LOOKUP(F1341,Sheet2!$S$4:$T$8)</f>
        <v>31-35</v>
      </c>
      <c r="R1341" t="str">
        <f>LOOKUP(G1341,Sheet2!$V$4:$W$7)</f>
        <v>0.7+</v>
      </c>
      <c r="S1341" t="str">
        <f>LOOKUP(H1341,Sheet2!$Z$4:$AA$7)</f>
        <v>&lt;=25</v>
      </c>
      <c r="T1341" t="str">
        <f t="shared" si="60"/>
        <v>Negative</v>
      </c>
      <c r="U1341" t="str">
        <f t="shared" si="61"/>
        <v>Not Sampled</v>
      </c>
      <c r="V1341" s="1" t="str">
        <f t="shared" si="62"/>
        <v>Not Sampled</v>
      </c>
    </row>
    <row r="1342" spans="1:22" x14ac:dyDescent="0.25">
      <c r="A1342" s="1">
        <v>1</v>
      </c>
      <c r="B1342" s="1">
        <v>0</v>
      </c>
      <c r="C1342" s="1">
        <v>74</v>
      </c>
      <c r="D1342" s="1">
        <v>20</v>
      </c>
      <c r="E1342" s="1">
        <v>23</v>
      </c>
      <c r="F1342" s="1">
        <v>27.7</v>
      </c>
      <c r="G1342" s="1">
        <v>0.29899999999999999</v>
      </c>
      <c r="H1342" s="1">
        <v>21</v>
      </c>
      <c r="I1342" s="1">
        <v>0</v>
      </c>
      <c r="J1342" s="1" t="str">
        <f>IFERROR(VLOOKUP(K1342,[1]diabetes_Recognition!$A:$B,2,FALSE),"Not Sampled")</f>
        <v>Not Sampled</v>
      </c>
      <c r="K1342" s="1">
        <v>1340</v>
      </c>
      <c r="L1342" s="1">
        <f>LOOKUP(A1342,Sheet2!$D$4:$E$9)</f>
        <v>1</v>
      </c>
      <c r="M1342" t="str">
        <f>LOOKUP(B1342,Sheet2!$G$4:$H$9)</f>
        <v>Unknown</v>
      </c>
      <c r="N1342" t="str">
        <f>LOOKUP(C1342,Sheet2!$J$4:$K$8)</f>
        <v>70-79</v>
      </c>
      <c r="O1342" t="str">
        <f>LOOKUP(D1342,Sheet2!$M$4:$N$8)</f>
        <v>10-30</v>
      </c>
      <c r="P1342" t="str">
        <f>LOOKUP(E1342,Sheet2!$P$4:$Q$9)</f>
        <v>1-99</v>
      </c>
      <c r="Q1342" t="str">
        <f>LOOKUP(F1342,Sheet2!$S$4:$T$8)</f>
        <v>26-30</v>
      </c>
      <c r="R1342" t="str">
        <f>LOOKUP(G1342,Sheet2!$V$4:$W$7)</f>
        <v>0.25 - 0.39</v>
      </c>
      <c r="S1342" t="str">
        <f>LOOKUP(H1342,Sheet2!$Z$4:$AA$7)</f>
        <v>&lt;=25</v>
      </c>
      <c r="T1342" t="str">
        <f t="shared" si="60"/>
        <v>Negative</v>
      </c>
      <c r="U1342" t="str">
        <f t="shared" si="61"/>
        <v>Not Sampled</v>
      </c>
      <c r="V1342" s="1" t="str">
        <f t="shared" si="62"/>
        <v>Not Sampled</v>
      </c>
    </row>
    <row r="1343" spans="1:22" x14ac:dyDescent="0.25">
      <c r="A1343" s="1">
        <v>5</v>
      </c>
      <c r="B1343" s="1">
        <v>73</v>
      </c>
      <c r="C1343" s="1">
        <v>60</v>
      </c>
      <c r="D1343" s="1">
        <v>0</v>
      </c>
      <c r="E1343" s="1">
        <v>0</v>
      </c>
      <c r="F1343" s="1">
        <v>26.8</v>
      </c>
      <c r="G1343" s="1">
        <v>0.26800000000000002</v>
      </c>
      <c r="H1343" s="1">
        <v>27</v>
      </c>
      <c r="I1343" s="1">
        <v>0</v>
      </c>
      <c r="J1343" s="1" t="str">
        <f>IFERROR(VLOOKUP(K1343,[1]diabetes_Recognition!$A:$B,2,FALSE),"Not Sampled")</f>
        <v>Not Sampled</v>
      </c>
      <c r="K1343" s="1">
        <v>1341</v>
      </c>
      <c r="L1343" s="1" t="str">
        <f>LOOKUP(A1343,Sheet2!$D$4:$E$9)</f>
        <v>5-7</v>
      </c>
      <c r="M1343" t="str">
        <f>LOOKUP(B1343,Sheet2!$G$4:$H$9)</f>
        <v>1-99</v>
      </c>
      <c r="N1343" t="str">
        <f>LOOKUP(C1343,Sheet2!$J$4:$K$8)</f>
        <v>60-69</v>
      </c>
      <c r="O1343" t="str">
        <f>LOOKUP(D1343,Sheet2!$M$4:$N$8)</f>
        <v>Unknown</v>
      </c>
      <c r="P1343" t="str">
        <f>LOOKUP(E1343,Sheet2!$P$4:$Q$9)</f>
        <v>Unknown</v>
      </c>
      <c r="Q1343" t="str">
        <f>LOOKUP(F1343,Sheet2!$S$4:$T$8)</f>
        <v>26-30</v>
      </c>
      <c r="R1343" t="str">
        <f>LOOKUP(G1343,Sheet2!$V$4:$W$7)</f>
        <v>0.25 - 0.39</v>
      </c>
      <c r="S1343" t="str">
        <f>LOOKUP(H1343,Sheet2!$Z$4:$AA$7)</f>
        <v>26-35</v>
      </c>
      <c r="T1343" t="str">
        <f t="shared" si="60"/>
        <v>Negative</v>
      </c>
      <c r="U1343" t="str">
        <f t="shared" si="61"/>
        <v>Not Sampled</v>
      </c>
      <c r="V1343" s="1" t="str">
        <f t="shared" si="62"/>
        <v>Not Sampled</v>
      </c>
    </row>
    <row r="1344" spans="1:22" x14ac:dyDescent="0.25">
      <c r="A1344" s="1">
        <v>4</v>
      </c>
      <c r="B1344" s="1">
        <v>141</v>
      </c>
      <c r="C1344" s="1">
        <v>74</v>
      </c>
      <c r="D1344" s="1">
        <v>0</v>
      </c>
      <c r="E1344" s="1">
        <v>0</v>
      </c>
      <c r="F1344" s="1">
        <v>27.6</v>
      </c>
      <c r="G1344" s="1">
        <v>0.24399999999999999</v>
      </c>
      <c r="H1344" s="1">
        <v>40</v>
      </c>
      <c r="I1344" s="1">
        <v>0</v>
      </c>
      <c r="J1344" s="1">
        <f>IFERROR(VLOOKUP(K1344,[1]diabetes_Recognition!$A:$B,2,FALSE),"Not Sampled")</f>
        <v>0</v>
      </c>
      <c r="K1344" s="1">
        <v>1342</v>
      </c>
      <c r="L1344" s="1" t="str">
        <f>LOOKUP(A1344,Sheet2!$D$4:$E$9)</f>
        <v>3-4</v>
      </c>
      <c r="M1344" t="str">
        <f>LOOKUP(B1344,Sheet2!$G$4:$H$9)</f>
        <v>126-150</v>
      </c>
      <c r="N1344" t="str">
        <f>LOOKUP(C1344,Sheet2!$J$4:$K$8)</f>
        <v>70-79</v>
      </c>
      <c r="O1344" t="str">
        <f>LOOKUP(D1344,Sheet2!$M$4:$N$8)</f>
        <v>Unknown</v>
      </c>
      <c r="P1344" t="str">
        <f>LOOKUP(E1344,Sheet2!$P$4:$Q$9)</f>
        <v>Unknown</v>
      </c>
      <c r="Q1344" t="str">
        <f>LOOKUP(F1344,Sheet2!$S$4:$T$8)</f>
        <v>26-30</v>
      </c>
      <c r="R1344" t="str">
        <f>LOOKUP(G1344,Sheet2!$V$4:$W$7)</f>
        <v>0.0 - 0.249</v>
      </c>
      <c r="S1344" t="str">
        <f>LOOKUP(H1344,Sheet2!$Z$4:$AA$7)</f>
        <v>36-45</v>
      </c>
      <c r="T1344" t="str">
        <f t="shared" si="60"/>
        <v>Negative</v>
      </c>
      <c r="U1344" t="str">
        <f t="shared" si="61"/>
        <v>Negative</v>
      </c>
      <c r="V1344" s="1" t="str">
        <f t="shared" si="62"/>
        <v>Accurate Prediction</v>
      </c>
    </row>
    <row r="1345" spans="1:22" x14ac:dyDescent="0.25">
      <c r="A1345" s="1">
        <v>7</v>
      </c>
      <c r="B1345" s="1">
        <v>194</v>
      </c>
      <c r="C1345" s="1">
        <v>68</v>
      </c>
      <c r="D1345" s="1">
        <v>28</v>
      </c>
      <c r="E1345" s="1">
        <v>0</v>
      </c>
      <c r="F1345" s="1">
        <v>35.9</v>
      </c>
      <c r="G1345" s="1">
        <v>0.745</v>
      </c>
      <c r="H1345" s="1">
        <v>41</v>
      </c>
      <c r="I1345" s="1">
        <v>1</v>
      </c>
      <c r="J1345" s="1" t="str">
        <f>IFERROR(VLOOKUP(K1345,[1]diabetes_Recognition!$A:$B,2,FALSE),"Not Sampled")</f>
        <v>Not Sampled</v>
      </c>
      <c r="K1345" s="1">
        <v>1343</v>
      </c>
      <c r="L1345" s="1" t="str">
        <f>LOOKUP(A1345,Sheet2!$D$4:$E$9)</f>
        <v>5-7</v>
      </c>
      <c r="M1345" t="str">
        <f>LOOKUP(B1345,Sheet2!$G$4:$H$9)</f>
        <v>176-200</v>
      </c>
      <c r="N1345" t="str">
        <f>LOOKUP(C1345,Sheet2!$J$4:$K$8)</f>
        <v>60-69</v>
      </c>
      <c r="O1345" t="str">
        <f>LOOKUP(D1345,Sheet2!$M$4:$N$8)</f>
        <v>10-30</v>
      </c>
      <c r="P1345" t="str">
        <f>LOOKUP(E1345,Sheet2!$P$4:$Q$9)</f>
        <v>Unknown</v>
      </c>
      <c r="Q1345" t="str">
        <f>LOOKUP(F1345,Sheet2!$S$4:$T$8)</f>
        <v>31-35</v>
      </c>
      <c r="R1345" t="str">
        <f>LOOKUP(G1345,Sheet2!$V$4:$W$7)</f>
        <v>0.7+</v>
      </c>
      <c r="S1345" t="str">
        <f>LOOKUP(H1345,Sheet2!$Z$4:$AA$7)</f>
        <v>36-45</v>
      </c>
      <c r="T1345" t="str">
        <f t="shared" si="60"/>
        <v>Positive</v>
      </c>
      <c r="U1345" t="str">
        <f t="shared" si="61"/>
        <v>Not Sampled</v>
      </c>
      <c r="V1345" s="1" t="str">
        <f t="shared" si="62"/>
        <v>Not Sampled</v>
      </c>
    </row>
    <row r="1346" spans="1:22" x14ac:dyDescent="0.25">
      <c r="A1346" s="1">
        <v>8</v>
      </c>
      <c r="B1346" s="1">
        <v>181</v>
      </c>
      <c r="C1346" s="1">
        <v>68</v>
      </c>
      <c r="D1346" s="1">
        <v>36</v>
      </c>
      <c r="E1346" s="1">
        <v>495</v>
      </c>
      <c r="F1346" s="1">
        <v>30.1</v>
      </c>
      <c r="G1346" s="1">
        <v>0.61499999999999999</v>
      </c>
      <c r="H1346" s="1">
        <v>60</v>
      </c>
      <c r="I1346" s="1">
        <v>1</v>
      </c>
      <c r="J1346" s="1" t="str">
        <f>IFERROR(VLOOKUP(K1346,[1]diabetes_Recognition!$A:$B,2,FALSE),"Not Sampled")</f>
        <v>Not Sampled</v>
      </c>
      <c r="K1346" s="1">
        <v>1344</v>
      </c>
      <c r="L1346" s="1" t="str">
        <f>LOOKUP(A1346,Sheet2!$D$4:$E$9)</f>
        <v>8+</v>
      </c>
      <c r="M1346" t="str">
        <f>LOOKUP(B1346,Sheet2!$G$4:$H$9)</f>
        <v>176-200</v>
      </c>
      <c r="N1346" t="str">
        <f>LOOKUP(C1346,Sheet2!$J$4:$K$8)</f>
        <v>60-69</v>
      </c>
      <c r="O1346" t="str">
        <f>LOOKUP(D1346,Sheet2!$M$4:$N$8)</f>
        <v>30-39</v>
      </c>
      <c r="P1346" t="str">
        <f>LOOKUP(E1346,Sheet2!$P$4:$Q$9)</f>
        <v>300-499</v>
      </c>
      <c r="Q1346" t="str">
        <f>LOOKUP(F1346,Sheet2!$S$4:$T$8)</f>
        <v>26-30</v>
      </c>
      <c r="R1346" t="str">
        <f>LOOKUP(G1346,Sheet2!$V$4:$W$7)</f>
        <v>0.4 - 0.69</v>
      </c>
      <c r="S1346" t="str">
        <f>LOOKUP(H1346,Sheet2!$Z$4:$AA$7)</f>
        <v>46+</v>
      </c>
      <c r="T1346" t="str">
        <f t="shared" si="60"/>
        <v>Positive</v>
      </c>
      <c r="U1346" t="str">
        <f t="shared" si="61"/>
        <v>Not Sampled</v>
      </c>
      <c r="V1346" s="1" t="str">
        <f t="shared" si="62"/>
        <v>Not Sampled</v>
      </c>
    </row>
    <row r="1347" spans="1:22" x14ac:dyDescent="0.25">
      <c r="A1347" s="1">
        <v>1</v>
      </c>
      <c r="B1347" s="1">
        <v>128</v>
      </c>
      <c r="C1347" s="1">
        <v>98</v>
      </c>
      <c r="D1347" s="1">
        <v>41</v>
      </c>
      <c r="E1347" s="1">
        <v>58</v>
      </c>
      <c r="F1347" s="1">
        <v>32</v>
      </c>
      <c r="G1347" s="1">
        <v>1.321</v>
      </c>
      <c r="H1347" s="1">
        <v>33</v>
      </c>
      <c r="I1347" s="1">
        <v>1</v>
      </c>
      <c r="J1347" s="1" t="str">
        <f>IFERROR(VLOOKUP(K1347,[1]diabetes_Recognition!$A:$B,2,FALSE),"Not Sampled")</f>
        <v>Not Sampled</v>
      </c>
      <c r="K1347" s="1">
        <v>1345</v>
      </c>
      <c r="L1347" s="1">
        <f>LOOKUP(A1347,Sheet2!$D$4:$E$9)</f>
        <v>1</v>
      </c>
      <c r="M1347" t="str">
        <f>LOOKUP(B1347,Sheet2!$G$4:$H$9)</f>
        <v>126-150</v>
      </c>
      <c r="N1347" t="str">
        <f>LOOKUP(C1347,Sheet2!$J$4:$K$8)</f>
        <v>80+</v>
      </c>
      <c r="O1347" t="str">
        <f>LOOKUP(D1347,Sheet2!$M$4:$N$8)</f>
        <v>40+</v>
      </c>
      <c r="P1347" t="str">
        <f>LOOKUP(E1347,Sheet2!$P$4:$Q$9)</f>
        <v>1-99</v>
      </c>
      <c r="Q1347" t="str">
        <f>LOOKUP(F1347,Sheet2!$S$4:$T$8)</f>
        <v>31-35</v>
      </c>
      <c r="R1347" t="str">
        <f>LOOKUP(G1347,Sheet2!$V$4:$W$7)</f>
        <v>0.7+</v>
      </c>
      <c r="S1347" t="str">
        <f>LOOKUP(H1347,Sheet2!$Z$4:$AA$7)</f>
        <v>26-35</v>
      </c>
      <c r="T1347" t="str">
        <f t="shared" ref="T1347:T1410" si="63">IF(I1347=1,"Positive","Negative")</f>
        <v>Positive</v>
      </c>
      <c r="U1347" t="str">
        <f t="shared" ref="U1347:U1410" si="64">IF(J1347=1,"Positive",(IF(J1347=0,"Negative","Not Sampled")))</f>
        <v>Not Sampled</v>
      </c>
      <c r="V1347" s="1" t="str">
        <f t="shared" ref="V1347:V1410" si="65">IF(U1347="Not Sampled","Not Sampled",IF(T1347=U1347,"Accurate Prediction","Inaccurate Prediction"))</f>
        <v>Not Sampled</v>
      </c>
    </row>
    <row r="1348" spans="1:22" x14ac:dyDescent="0.25">
      <c r="A1348" s="1">
        <v>8</v>
      </c>
      <c r="B1348" s="1">
        <v>109</v>
      </c>
      <c r="C1348" s="1">
        <v>76</v>
      </c>
      <c r="D1348" s="1">
        <v>39</v>
      </c>
      <c r="E1348" s="1">
        <v>114</v>
      </c>
      <c r="F1348" s="1">
        <v>27.9</v>
      </c>
      <c r="G1348" s="1">
        <v>0.64</v>
      </c>
      <c r="H1348" s="1">
        <v>31</v>
      </c>
      <c r="I1348" s="1">
        <v>1</v>
      </c>
      <c r="J1348" s="1" t="str">
        <f>IFERROR(VLOOKUP(K1348,[1]diabetes_Recognition!$A:$B,2,FALSE),"Not Sampled")</f>
        <v>Not Sampled</v>
      </c>
      <c r="K1348" s="1">
        <v>1346</v>
      </c>
      <c r="L1348" s="1" t="str">
        <f>LOOKUP(A1348,Sheet2!$D$4:$E$9)</f>
        <v>8+</v>
      </c>
      <c r="M1348" t="str">
        <f>LOOKUP(B1348,Sheet2!$G$4:$H$9)</f>
        <v>100-125</v>
      </c>
      <c r="N1348" t="str">
        <f>LOOKUP(C1348,Sheet2!$J$4:$K$8)</f>
        <v>70-79</v>
      </c>
      <c r="O1348" t="str">
        <f>LOOKUP(D1348,Sheet2!$M$4:$N$8)</f>
        <v>30-39</v>
      </c>
      <c r="P1348" t="str">
        <f>LOOKUP(E1348,Sheet2!$P$4:$Q$9)</f>
        <v>100-199</v>
      </c>
      <c r="Q1348" t="str">
        <f>LOOKUP(F1348,Sheet2!$S$4:$T$8)</f>
        <v>26-30</v>
      </c>
      <c r="R1348" t="str">
        <f>LOOKUP(G1348,Sheet2!$V$4:$W$7)</f>
        <v>0.4 - 0.69</v>
      </c>
      <c r="S1348" t="str">
        <f>LOOKUP(H1348,Sheet2!$Z$4:$AA$7)</f>
        <v>26-35</v>
      </c>
      <c r="T1348" t="str">
        <f t="shared" si="63"/>
        <v>Positive</v>
      </c>
      <c r="U1348" t="str">
        <f t="shared" si="64"/>
        <v>Not Sampled</v>
      </c>
      <c r="V1348" s="1" t="str">
        <f t="shared" si="65"/>
        <v>Not Sampled</v>
      </c>
    </row>
    <row r="1349" spans="1:22" x14ac:dyDescent="0.25">
      <c r="A1349" s="1">
        <v>5</v>
      </c>
      <c r="B1349" s="1">
        <v>139</v>
      </c>
      <c r="C1349" s="1">
        <v>80</v>
      </c>
      <c r="D1349" s="1">
        <v>35</v>
      </c>
      <c r="E1349" s="1">
        <v>160</v>
      </c>
      <c r="F1349" s="1">
        <v>31.6</v>
      </c>
      <c r="G1349" s="1">
        <v>0.36099999999999999</v>
      </c>
      <c r="H1349" s="1">
        <v>25</v>
      </c>
      <c r="I1349" s="1">
        <v>1</v>
      </c>
      <c r="J1349" s="1">
        <f>IFERROR(VLOOKUP(K1349,[1]diabetes_Recognition!$A:$B,2,FALSE),"Not Sampled")</f>
        <v>0</v>
      </c>
      <c r="K1349" s="1">
        <v>1347</v>
      </c>
      <c r="L1349" s="1" t="str">
        <f>LOOKUP(A1349,Sheet2!$D$4:$E$9)</f>
        <v>5-7</v>
      </c>
      <c r="M1349" t="str">
        <f>LOOKUP(B1349,Sheet2!$G$4:$H$9)</f>
        <v>126-150</v>
      </c>
      <c r="N1349" t="str">
        <f>LOOKUP(C1349,Sheet2!$J$4:$K$8)</f>
        <v>80+</v>
      </c>
      <c r="O1349" t="str">
        <f>LOOKUP(D1349,Sheet2!$M$4:$N$8)</f>
        <v>30-39</v>
      </c>
      <c r="P1349" t="str">
        <f>LOOKUP(E1349,Sheet2!$P$4:$Q$9)</f>
        <v>100-199</v>
      </c>
      <c r="Q1349" t="str">
        <f>LOOKUP(F1349,Sheet2!$S$4:$T$8)</f>
        <v>31-35</v>
      </c>
      <c r="R1349" t="str">
        <f>LOOKUP(G1349,Sheet2!$V$4:$W$7)</f>
        <v>0.25 - 0.39</v>
      </c>
      <c r="S1349" t="str">
        <f>LOOKUP(H1349,Sheet2!$Z$4:$AA$7)</f>
        <v>&lt;=25</v>
      </c>
      <c r="T1349" t="str">
        <f t="shared" si="63"/>
        <v>Positive</v>
      </c>
      <c r="U1349" t="str">
        <f t="shared" si="64"/>
        <v>Negative</v>
      </c>
      <c r="V1349" s="1" t="str">
        <f t="shared" si="65"/>
        <v>Inaccurate Prediction</v>
      </c>
    </row>
    <row r="1350" spans="1:22" x14ac:dyDescent="0.25">
      <c r="A1350" s="1">
        <v>3</v>
      </c>
      <c r="B1350" s="1">
        <v>111</v>
      </c>
      <c r="C1350" s="1">
        <v>62</v>
      </c>
      <c r="D1350" s="1">
        <v>0</v>
      </c>
      <c r="E1350" s="1">
        <v>0</v>
      </c>
      <c r="F1350" s="1">
        <v>22.6</v>
      </c>
      <c r="G1350" s="1">
        <v>0.14199999999999999</v>
      </c>
      <c r="H1350" s="1">
        <v>21</v>
      </c>
      <c r="I1350" s="1">
        <v>0</v>
      </c>
      <c r="J1350" s="1" t="str">
        <f>IFERROR(VLOOKUP(K1350,[1]diabetes_Recognition!$A:$B,2,FALSE),"Not Sampled")</f>
        <v>Not Sampled</v>
      </c>
      <c r="K1350" s="1">
        <v>1348</v>
      </c>
      <c r="L1350" s="1" t="str">
        <f>LOOKUP(A1350,Sheet2!$D$4:$E$9)</f>
        <v>3-4</v>
      </c>
      <c r="M1350" t="str">
        <f>LOOKUP(B1350,Sheet2!$G$4:$H$9)</f>
        <v>100-125</v>
      </c>
      <c r="N1350" t="str">
        <f>LOOKUP(C1350,Sheet2!$J$4:$K$8)</f>
        <v>60-69</v>
      </c>
      <c r="O1350" t="str">
        <f>LOOKUP(D1350,Sheet2!$M$4:$N$8)</f>
        <v>Unknown</v>
      </c>
      <c r="P1350" t="str">
        <f>LOOKUP(E1350,Sheet2!$P$4:$Q$9)</f>
        <v>Unknown</v>
      </c>
      <c r="Q1350" t="str">
        <f>LOOKUP(F1350,Sheet2!$S$4:$T$8)</f>
        <v>1-25</v>
      </c>
      <c r="R1350" t="str">
        <f>LOOKUP(G1350,Sheet2!$V$4:$W$7)</f>
        <v>0.0 - 0.249</v>
      </c>
      <c r="S1350" t="str">
        <f>LOOKUP(H1350,Sheet2!$Z$4:$AA$7)</f>
        <v>&lt;=25</v>
      </c>
      <c r="T1350" t="str">
        <f t="shared" si="63"/>
        <v>Negative</v>
      </c>
      <c r="U1350" t="str">
        <f t="shared" si="64"/>
        <v>Not Sampled</v>
      </c>
      <c r="V1350" s="1" t="str">
        <f t="shared" si="65"/>
        <v>Not Sampled</v>
      </c>
    </row>
    <row r="1351" spans="1:22" x14ac:dyDescent="0.25">
      <c r="A1351" s="1">
        <v>9</v>
      </c>
      <c r="B1351" s="1">
        <v>123</v>
      </c>
      <c r="C1351" s="1">
        <v>70</v>
      </c>
      <c r="D1351" s="1">
        <v>44</v>
      </c>
      <c r="E1351" s="1">
        <v>94</v>
      </c>
      <c r="F1351" s="1">
        <v>33.1</v>
      </c>
      <c r="G1351" s="1">
        <v>0.374</v>
      </c>
      <c r="H1351" s="1">
        <v>40</v>
      </c>
      <c r="I1351" s="1">
        <v>0</v>
      </c>
      <c r="J1351" s="1" t="str">
        <f>IFERROR(VLOOKUP(K1351,[1]diabetes_Recognition!$A:$B,2,FALSE),"Not Sampled")</f>
        <v>Not Sampled</v>
      </c>
      <c r="K1351" s="1">
        <v>1349</v>
      </c>
      <c r="L1351" s="1" t="str">
        <f>LOOKUP(A1351,Sheet2!$D$4:$E$9)</f>
        <v>8+</v>
      </c>
      <c r="M1351" t="str">
        <f>LOOKUP(B1351,Sheet2!$G$4:$H$9)</f>
        <v>100-125</v>
      </c>
      <c r="N1351" t="str">
        <f>LOOKUP(C1351,Sheet2!$J$4:$K$8)</f>
        <v>70-79</v>
      </c>
      <c r="O1351" t="str">
        <f>LOOKUP(D1351,Sheet2!$M$4:$N$8)</f>
        <v>40+</v>
      </c>
      <c r="P1351" t="str">
        <f>LOOKUP(E1351,Sheet2!$P$4:$Q$9)</f>
        <v>1-99</v>
      </c>
      <c r="Q1351" t="str">
        <f>LOOKUP(F1351,Sheet2!$S$4:$T$8)</f>
        <v>31-35</v>
      </c>
      <c r="R1351" t="str">
        <f>LOOKUP(G1351,Sheet2!$V$4:$W$7)</f>
        <v>0.25 - 0.39</v>
      </c>
      <c r="S1351" t="str">
        <f>LOOKUP(H1351,Sheet2!$Z$4:$AA$7)</f>
        <v>36-45</v>
      </c>
      <c r="T1351" t="str">
        <f t="shared" si="63"/>
        <v>Negative</v>
      </c>
      <c r="U1351" t="str">
        <f t="shared" si="64"/>
        <v>Not Sampled</v>
      </c>
      <c r="V1351" s="1" t="str">
        <f t="shared" si="65"/>
        <v>Not Sampled</v>
      </c>
    </row>
    <row r="1352" spans="1:22" x14ac:dyDescent="0.25">
      <c r="A1352" s="1">
        <v>7</v>
      </c>
      <c r="B1352" s="1">
        <v>159</v>
      </c>
      <c r="C1352" s="1">
        <v>66</v>
      </c>
      <c r="D1352" s="1">
        <v>0</v>
      </c>
      <c r="E1352" s="1">
        <v>0</v>
      </c>
      <c r="F1352" s="1">
        <v>30.4</v>
      </c>
      <c r="G1352" s="1">
        <v>0.38300000000000001</v>
      </c>
      <c r="H1352" s="1">
        <v>36</v>
      </c>
      <c r="I1352" s="1">
        <v>1</v>
      </c>
      <c r="J1352" s="1" t="str">
        <f>IFERROR(VLOOKUP(K1352,[1]diabetes_Recognition!$A:$B,2,FALSE),"Not Sampled")</f>
        <v>Not Sampled</v>
      </c>
      <c r="K1352" s="1">
        <v>1350</v>
      </c>
      <c r="L1352" s="1" t="str">
        <f>LOOKUP(A1352,Sheet2!$D$4:$E$9)</f>
        <v>5-7</v>
      </c>
      <c r="M1352" t="str">
        <f>LOOKUP(B1352,Sheet2!$G$4:$H$9)</f>
        <v>151-175</v>
      </c>
      <c r="N1352" t="str">
        <f>LOOKUP(C1352,Sheet2!$J$4:$K$8)</f>
        <v>60-69</v>
      </c>
      <c r="O1352" t="str">
        <f>LOOKUP(D1352,Sheet2!$M$4:$N$8)</f>
        <v>Unknown</v>
      </c>
      <c r="P1352" t="str">
        <f>LOOKUP(E1352,Sheet2!$P$4:$Q$9)</f>
        <v>Unknown</v>
      </c>
      <c r="Q1352" t="str">
        <f>LOOKUP(F1352,Sheet2!$S$4:$T$8)</f>
        <v>26-30</v>
      </c>
      <c r="R1352" t="str">
        <f>LOOKUP(G1352,Sheet2!$V$4:$W$7)</f>
        <v>0.25 - 0.39</v>
      </c>
      <c r="S1352" t="str">
        <f>LOOKUP(H1352,Sheet2!$Z$4:$AA$7)</f>
        <v>36-45</v>
      </c>
      <c r="T1352" t="str">
        <f t="shared" si="63"/>
        <v>Positive</v>
      </c>
      <c r="U1352" t="str">
        <f t="shared" si="64"/>
        <v>Not Sampled</v>
      </c>
      <c r="V1352" s="1" t="str">
        <f t="shared" si="65"/>
        <v>Not Sampled</v>
      </c>
    </row>
    <row r="1353" spans="1:22" x14ac:dyDescent="0.25">
      <c r="A1353" s="1">
        <v>11</v>
      </c>
      <c r="B1353" s="1">
        <v>135</v>
      </c>
      <c r="C1353" s="1">
        <v>0</v>
      </c>
      <c r="D1353" s="1">
        <v>0</v>
      </c>
      <c r="E1353" s="1">
        <v>0</v>
      </c>
      <c r="F1353" s="1">
        <v>52.3</v>
      </c>
      <c r="G1353" s="1">
        <v>0.57799999999999996</v>
      </c>
      <c r="H1353" s="1">
        <v>40</v>
      </c>
      <c r="I1353" s="1">
        <v>1</v>
      </c>
      <c r="J1353" s="1" t="str">
        <f>IFERROR(VLOOKUP(K1353,[1]diabetes_Recognition!$A:$B,2,FALSE),"Not Sampled")</f>
        <v>Not Sampled</v>
      </c>
      <c r="K1353" s="1">
        <v>1351</v>
      </c>
      <c r="L1353" s="1" t="str">
        <f>LOOKUP(A1353,Sheet2!$D$4:$E$9)</f>
        <v>8+</v>
      </c>
      <c r="M1353" t="str">
        <f>LOOKUP(B1353,Sheet2!$G$4:$H$9)</f>
        <v>126-150</v>
      </c>
      <c r="N1353" t="str">
        <f>LOOKUP(C1353,Sheet2!$J$4:$K$8)</f>
        <v>Unknown</v>
      </c>
      <c r="O1353" t="str">
        <f>LOOKUP(D1353,Sheet2!$M$4:$N$8)</f>
        <v>Unknown</v>
      </c>
      <c r="P1353" t="str">
        <f>LOOKUP(E1353,Sheet2!$P$4:$Q$9)</f>
        <v>Unknown</v>
      </c>
      <c r="Q1353" t="str">
        <f>LOOKUP(F1353,Sheet2!$S$4:$T$8)</f>
        <v>36+</v>
      </c>
      <c r="R1353" t="str">
        <f>LOOKUP(G1353,Sheet2!$V$4:$W$7)</f>
        <v>0.4 - 0.69</v>
      </c>
      <c r="S1353" t="str">
        <f>LOOKUP(H1353,Sheet2!$Z$4:$AA$7)</f>
        <v>36-45</v>
      </c>
      <c r="T1353" t="str">
        <f t="shared" si="63"/>
        <v>Positive</v>
      </c>
      <c r="U1353" t="str">
        <f t="shared" si="64"/>
        <v>Not Sampled</v>
      </c>
      <c r="V1353" s="1" t="str">
        <f t="shared" si="65"/>
        <v>Not Sampled</v>
      </c>
    </row>
    <row r="1354" spans="1:22" x14ac:dyDescent="0.25">
      <c r="A1354" s="1">
        <v>8</v>
      </c>
      <c r="B1354" s="1">
        <v>85</v>
      </c>
      <c r="C1354" s="1">
        <v>55</v>
      </c>
      <c r="D1354" s="1">
        <v>20</v>
      </c>
      <c r="E1354" s="1">
        <v>0</v>
      </c>
      <c r="F1354" s="1">
        <v>24.4</v>
      </c>
      <c r="G1354" s="1">
        <v>0.13600000000000001</v>
      </c>
      <c r="H1354" s="1">
        <v>42</v>
      </c>
      <c r="I1354" s="1">
        <v>0</v>
      </c>
      <c r="J1354" s="1" t="str">
        <f>IFERROR(VLOOKUP(K1354,[1]diabetes_Recognition!$A:$B,2,FALSE),"Not Sampled")</f>
        <v>Not Sampled</v>
      </c>
      <c r="K1354" s="1">
        <v>1352</v>
      </c>
      <c r="L1354" s="1" t="str">
        <f>LOOKUP(A1354,Sheet2!$D$4:$E$9)</f>
        <v>8+</v>
      </c>
      <c r="M1354" t="str">
        <f>LOOKUP(B1354,Sheet2!$G$4:$H$9)</f>
        <v>1-99</v>
      </c>
      <c r="N1354" t="str">
        <f>LOOKUP(C1354,Sheet2!$J$4:$K$8)</f>
        <v>1-59</v>
      </c>
      <c r="O1354" t="str">
        <f>LOOKUP(D1354,Sheet2!$M$4:$N$8)</f>
        <v>10-30</v>
      </c>
      <c r="P1354" t="str">
        <f>LOOKUP(E1354,Sheet2!$P$4:$Q$9)</f>
        <v>Unknown</v>
      </c>
      <c r="Q1354" t="str">
        <f>LOOKUP(F1354,Sheet2!$S$4:$T$8)</f>
        <v>1-25</v>
      </c>
      <c r="R1354" t="str">
        <f>LOOKUP(G1354,Sheet2!$V$4:$W$7)</f>
        <v>0.0 - 0.249</v>
      </c>
      <c r="S1354" t="str">
        <f>LOOKUP(H1354,Sheet2!$Z$4:$AA$7)</f>
        <v>36-45</v>
      </c>
      <c r="T1354" t="str">
        <f t="shared" si="63"/>
        <v>Negative</v>
      </c>
      <c r="U1354" t="str">
        <f t="shared" si="64"/>
        <v>Not Sampled</v>
      </c>
      <c r="V1354" s="1" t="str">
        <f t="shared" si="65"/>
        <v>Not Sampled</v>
      </c>
    </row>
    <row r="1355" spans="1:22" x14ac:dyDescent="0.25">
      <c r="A1355" s="1">
        <v>5</v>
      </c>
      <c r="B1355" s="1">
        <v>158</v>
      </c>
      <c r="C1355" s="1">
        <v>84</v>
      </c>
      <c r="D1355" s="1">
        <v>41</v>
      </c>
      <c r="E1355" s="1">
        <v>210</v>
      </c>
      <c r="F1355" s="1">
        <v>39.4</v>
      </c>
      <c r="G1355" s="1">
        <v>0.39500000000000002</v>
      </c>
      <c r="H1355" s="1">
        <v>29</v>
      </c>
      <c r="I1355" s="1">
        <v>1</v>
      </c>
      <c r="J1355" s="1">
        <f>IFERROR(VLOOKUP(K1355,[1]diabetes_Recognition!$A:$B,2,FALSE),"Not Sampled")</f>
        <v>1</v>
      </c>
      <c r="K1355" s="1">
        <v>1353</v>
      </c>
      <c r="L1355" s="1" t="str">
        <f>LOOKUP(A1355,Sheet2!$D$4:$E$9)</f>
        <v>5-7</v>
      </c>
      <c r="M1355" t="str">
        <f>LOOKUP(B1355,Sheet2!$G$4:$H$9)</f>
        <v>151-175</v>
      </c>
      <c r="N1355" t="str">
        <f>LOOKUP(C1355,Sheet2!$J$4:$K$8)</f>
        <v>80+</v>
      </c>
      <c r="O1355" t="str">
        <f>LOOKUP(D1355,Sheet2!$M$4:$N$8)</f>
        <v>40+</v>
      </c>
      <c r="P1355" t="str">
        <f>LOOKUP(E1355,Sheet2!$P$4:$Q$9)</f>
        <v>200-399</v>
      </c>
      <c r="Q1355" t="str">
        <f>LOOKUP(F1355,Sheet2!$S$4:$T$8)</f>
        <v>36+</v>
      </c>
      <c r="R1355" t="str">
        <f>LOOKUP(G1355,Sheet2!$V$4:$W$7)</f>
        <v>0.25 - 0.39</v>
      </c>
      <c r="S1355" t="str">
        <f>LOOKUP(H1355,Sheet2!$Z$4:$AA$7)</f>
        <v>26-35</v>
      </c>
      <c r="T1355" t="str">
        <f t="shared" si="63"/>
        <v>Positive</v>
      </c>
      <c r="U1355" t="str">
        <f t="shared" si="64"/>
        <v>Positive</v>
      </c>
      <c r="V1355" s="1" t="str">
        <f t="shared" si="65"/>
        <v>Accurate Prediction</v>
      </c>
    </row>
    <row r="1356" spans="1:22" x14ac:dyDescent="0.25">
      <c r="A1356" s="1">
        <v>1</v>
      </c>
      <c r="B1356" s="1">
        <v>105</v>
      </c>
      <c r="C1356" s="1">
        <v>58</v>
      </c>
      <c r="D1356" s="1">
        <v>0</v>
      </c>
      <c r="E1356" s="1">
        <v>0</v>
      </c>
      <c r="F1356" s="1">
        <v>24.3</v>
      </c>
      <c r="G1356" s="1">
        <v>0.187</v>
      </c>
      <c r="H1356" s="1">
        <v>21</v>
      </c>
      <c r="I1356" s="1">
        <v>0</v>
      </c>
      <c r="J1356" s="1" t="str">
        <f>IFERROR(VLOOKUP(K1356,[1]diabetes_Recognition!$A:$B,2,FALSE),"Not Sampled")</f>
        <v>Not Sampled</v>
      </c>
      <c r="K1356" s="1">
        <v>1354</v>
      </c>
      <c r="L1356" s="1">
        <f>LOOKUP(A1356,Sheet2!$D$4:$E$9)</f>
        <v>1</v>
      </c>
      <c r="M1356" t="str">
        <f>LOOKUP(B1356,Sheet2!$G$4:$H$9)</f>
        <v>100-125</v>
      </c>
      <c r="N1356" t="str">
        <f>LOOKUP(C1356,Sheet2!$J$4:$K$8)</f>
        <v>1-59</v>
      </c>
      <c r="O1356" t="str">
        <f>LOOKUP(D1356,Sheet2!$M$4:$N$8)</f>
        <v>Unknown</v>
      </c>
      <c r="P1356" t="str">
        <f>LOOKUP(E1356,Sheet2!$P$4:$Q$9)</f>
        <v>Unknown</v>
      </c>
      <c r="Q1356" t="str">
        <f>LOOKUP(F1356,Sheet2!$S$4:$T$8)</f>
        <v>1-25</v>
      </c>
      <c r="R1356" t="str">
        <f>LOOKUP(G1356,Sheet2!$V$4:$W$7)</f>
        <v>0.0 - 0.249</v>
      </c>
      <c r="S1356" t="str">
        <f>LOOKUP(H1356,Sheet2!$Z$4:$AA$7)</f>
        <v>&lt;=25</v>
      </c>
      <c r="T1356" t="str">
        <f t="shared" si="63"/>
        <v>Negative</v>
      </c>
      <c r="U1356" t="str">
        <f t="shared" si="64"/>
        <v>Not Sampled</v>
      </c>
      <c r="V1356" s="1" t="str">
        <f t="shared" si="65"/>
        <v>Not Sampled</v>
      </c>
    </row>
    <row r="1357" spans="1:22" x14ac:dyDescent="0.25">
      <c r="A1357" s="1">
        <v>3</v>
      </c>
      <c r="B1357" s="1">
        <v>107</v>
      </c>
      <c r="C1357" s="1">
        <v>62</v>
      </c>
      <c r="D1357" s="1">
        <v>13</v>
      </c>
      <c r="E1357" s="1">
        <v>48</v>
      </c>
      <c r="F1357" s="1">
        <v>22.9</v>
      </c>
      <c r="G1357" s="1">
        <v>0.67800000000000005</v>
      </c>
      <c r="H1357" s="1">
        <v>23</v>
      </c>
      <c r="I1357" s="1">
        <v>1</v>
      </c>
      <c r="J1357" s="1" t="str">
        <f>IFERROR(VLOOKUP(K1357,[1]diabetes_Recognition!$A:$B,2,FALSE),"Not Sampled")</f>
        <v>Not Sampled</v>
      </c>
      <c r="K1357" s="1">
        <v>1355</v>
      </c>
      <c r="L1357" s="1" t="str">
        <f>LOOKUP(A1357,Sheet2!$D$4:$E$9)</f>
        <v>3-4</v>
      </c>
      <c r="M1357" t="str">
        <f>LOOKUP(B1357,Sheet2!$G$4:$H$9)</f>
        <v>100-125</v>
      </c>
      <c r="N1357" t="str">
        <f>LOOKUP(C1357,Sheet2!$J$4:$K$8)</f>
        <v>60-69</v>
      </c>
      <c r="O1357" t="str">
        <f>LOOKUP(D1357,Sheet2!$M$4:$N$8)</f>
        <v>10-30</v>
      </c>
      <c r="P1357" t="str">
        <f>LOOKUP(E1357,Sheet2!$P$4:$Q$9)</f>
        <v>1-99</v>
      </c>
      <c r="Q1357" t="str">
        <f>LOOKUP(F1357,Sheet2!$S$4:$T$8)</f>
        <v>1-25</v>
      </c>
      <c r="R1357" t="str">
        <f>LOOKUP(G1357,Sheet2!$V$4:$W$7)</f>
        <v>0.4 - 0.69</v>
      </c>
      <c r="S1357" t="str">
        <f>LOOKUP(H1357,Sheet2!$Z$4:$AA$7)</f>
        <v>&lt;=25</v>
      </c>
      <c r="T1357" t="str">
        <f t="shared" si="63"/>
        <v>Positive</v>
      </c>
      <c r="U1357" t="str">
        <f t="shared" si="64"/>
        <v>Not Sampled</v>
      </c>
      <c r="V1357" s="1" t="str">
        <f t="shared" si="65"/>
        <v>Not Sampled</v>
      </c>
    </row>
    <row r="1358" spans="1:22" x14ac:dyDescent="0.25">
      <c r="A1358" s="1">
        <v>4</v>
      </c>
      <c r="B1358" s="1">
        <v>109</v>
      </c>
      <c r="C1358" s="1">
        <v>64</v>
      </c>
      <c r="D1358" s="1">
        <v>44</v>
      </c>
      <c r="E1358" s="1">
        <v>99</v>
      </c>
      <c r="F1358" s="1">
        <v>34.799999999999997</v>
      </c>
      <c r="G1358" s="1">
        <v>0.90500000000000003</v>
      </c>
      <c r="H1358" s="1">
        <v>26</v>
      </c>
      <c r="I1358" s="1">
        <v>1</v>
      </c>
      <c r="J1358" s="1" t="str">
        <f>IFERROR(VLOOKUP(K1358,[1]diabetes_Recognition!$A:$B,2,FALSE),"Not Sampled")</f>
        <v>Not Sampled</v>
      </c>
      <c r="K1358" s="1">
        <v>1356</v>
      </c>
      <c r="L1358" s="1" t="str">
        <f>LOOKUP(A1358,Sheet2!$D$4:$E$9)</f>
        <v>3-4</v>
      </c>
      <c r="M1358" t="str">
        <f>LOOKUP(B1358,Sheet2!$G$4:$H$9)</f>
        <v>100-125</v>
      </c>
      <c r="N1358" t="str">
        <f>LOOKUP(C1358,Sheet2!$J$4:$K$8)</f>
        <v>60-69</v>
      </c>
      <c r="O1358" t="str">
        <f>LOOKUP(D1358,Sheet2!$M$4:$N$8)</f>
        <v>40+</v>
      </c>
      <c r="P1358" t="str">
        <f>LOOKUP(E1358,Sheet2!$P$4:$Q$9)</f>
        <v>1-99</v>
      </c>
      <c r="Q1358" t="str">
        <f>LOOKUP(F1358,Sheet2!$S$4:$T$8)</f>
        <v>31-35</v>
      </c>
      <c r="R1358" t="str">
        <f>LOOKUP(G1358,Sheet2!$V$4:$W$7)</f>
        <v>0.7+</v>
      </c>
      <c r="S1358" t="str">
        <f>LOOKUP(H1358,Sheet2!$Z$4:$AA$7)</f>
        <v>26-35</v>
      </c>
      <c r="T1358" t="str">
        <f t="shared" si="63"/>
        <v>Positive</v>
      </c>
      <c r="U1358" t="str">
        <f t="shared" si="64"/>
        <v>Not Sampled</v>
      </c>
      <c r="V1358" s="1" t="str">
        <f t="shared" si="65"/>
        <v>Not Sampled</v>
      </c>
    </row>
    <row r="1359" spans="1:22" x14ac:dyDescent="0.25">
      <c r="A1359" s="1">
        <v>4</v>
      </c>
      <c r="B1359" s="1">
        <v>148</v>
      </c>
      <c r="C1359" s="1">
        <v>60</v>
      </c>
      <c r="D1359" s="1">
        <v>27</v>
      </c>
      <c r="E1359" s="1">
        <v>318</v>
      </c>
      <c r="F1359" s="1">
        <v>30.9</v>
      </c>
      <c r="G1359" s="1">
        <v>0.15</v>
      </c>
      <c r="H1359" s="1">
        <v>29</v>
      </c>
      <c r="I1359" s="1">
        <v>1</v>
      </c>
      <c r="J1359" s="1" t="str">
        <f>IFERROR(VLOOKUP(K1359,[1]diabetes_Recognition!$A:$B,2,FALSE),"Not Sampled")</f>
        <v>Not Sampled</v>
      </c>
      <c r="K1359" s="1">
        <v>1357</v>
      </c>
      <c r="L1359" s="1" t="str">
        <f>LOOKUP(A1359,Sheet2!$D$4:$E$9)</f>
        <v>3-4</v>
      </c>
      <c r="M1359" t="str">
        <f>LOOKUP(B1359,Sheet2!$G$4:$H$9)</f>
        <v>126-150</v>
      </c>
      <c r="N1359" t="str">
        <f>LOOKUP(C1359,Sheet2!$J$4:$K$8)</f>
        <v>60-69</v>
      </c>
      <c r="O1359" t="str">
        <f>LOOKUP(D1359,Sheet2!$M$4:$N$8)</f>
        <v>10-30</v>
      </c>
      <c r="P1359" t="str">
        <f>LOOKUP(E1359,Sheet2!$P$4:$Q$9)</f>
        <v>300-499</v>
      </c>
      <c r="Q1359" t="str">
        <f>LOOKUP(F1359,Sheet2!$S$4:$T$8)</f>
        <v>26-30</v>
      </c>
      <c r="R1359" t="str">
        <f>LOOKUP(G1359,Sheet2!$V$4:$W$7)</f>
        <v>0.0 - 0.249</v>
      </c>
      <c r="S1359" t="str">
        <f>LOOKUP(H1359,Sheet2!$Z$4:$AA$7)</f>
        <v>26-35</v>
      </c>
      <c r="T1359" t="str">
        <f t="shared" si="63"/>
        <v>Positive</v>
      </c>
      <c r="U1359" t="str">
        <f t="shared" si="64"/>
        <v>Not Sampled</v>
      </c>
      <c r="V1359" s="1" t="str">
        <f t="shared" si="65"/>
        <v>Not Sampled</v>
      </c>
    </row>
    <row r="1360" spans="1:22" x14ac:dyDescent="0.25">
      <c r="A1360" s="1">
        <v>0</v>
      </c>
      <c r="B1360" s="1">
        <v>113</v>
      </c>
      <c r="C1360" s="1">
        <v>80</v>
      </c>
      <c r="D1360" s="1">
        <v>16</v>
      </c>
      <c r="E1360" s="1">
        <v>0</v>
      </c>
      <c r="F1360" s="1">
        <v>31</v>
      </c>
      <c r="G1360" s="1">
        <v>0.874</v>
      </c>
      <c r="H1360" s="1">
        <v>21</v>
      </c>
      <c r="I1360" s="1">
        <v>0</v>
      </c>
      <c r="J1360" s="1" t="str">
        <f>IFERROR(VLOOKUP(K1360,[1]diabetes_Recognition!$A:$B,2,FALSE),"Not Sampled")</f>
        <v>Not Sampled</v>
      </c>
      <c r="K1360" s="1">
        <v>1358</v>
      </c>
      <c r="L1360" s="1">
        <f>LOOKUP(A1360,Sheet2!$D$4:$E$9)</f>
        <v>0</v>
      </c>
      <c r="M1360" t="str">
        <f>LOOKUP(B1360,Sheet2!$G$4:$H$9)</f>
        <v>100-125</v>
      </c>
      <c r="N1360" t="str">
        <f>LOOKUP(C1360,Sheet2!$J$4:$K$8)</f>
        <v>80+</v>
      </c>
      <c r="O1360" t="str">
        <f>LOOKUP(D1360,Sheet2!$M$4:$N$8)</f>
        <v>10-30</v>
      </c>
      <c r="P1360" t="str">
        <f>LOOKUP(E1360,Sheet2!$P$4:$Q$9)</f>
        <v>Unknown</v>
      </c>
      <c r="Q1360" t="str">
        <f>LOOKUP(F1360,Sheet2!$S$4:$T$8)</f>
        <v>31-35</v>
      </c>
      <c r="R1360" t="str">
        <f>LOOKUP(G1360,Sheet2!$V$4:$W$7)</f>
        <v>0.7+</v>
      </c>
      <c r="S1360" t="str">
        <f>LOOKUP(H1360,Sheet2!$Z$4:$AA$7)</f>
        <v>&lt;=25</v>
      </c>
      <c r="T1360" t="str">
        <f t="shared" si="63"/>
        <v>Negative</v>
      </c>
      <c r="U1360" t="str">
        <f t="shared" si="64"/>
        <v>Not Sampled</v>
      </c>
      <c r="V1360" s="1" t="str">
        <f t="shared" si="65"/>
        <v>Not Sampled</v>
      </c>
    </row>
    <row r="1361" spans="1:22" x14ac:dyDescent="0.25">
      <c r="A1361" s="1">
        <v>1</v>
      </c>
      <c r="B1361" s="1">
        <v>138</v>
      </c>
      <c r="C1361" s="1">
        <v>82</v>
      </c>
      <c r="D1361" s="1">
        <v>0</v>
      </c>
      <c r="E1361" s="1">
        <v>0</v>
      </c>
      <c r="F1361" s="1">
        <v>40.1</v>
      </c>
      <c r="G1361" s="1">
        <v>0.23599999999999999</v>
      </c>
      <c r="H1361" s="1">
        <v>28</v>
      </c>
      <c r="I1361" s="1">
        <v>0</v>
      </c>
      <c r="J1361" s="1" t="str">
        <f>IFERROR(VLOOKUP(K1361,[1]diabetes_Recognition!$A:$B,2,FALSE),"Not Sampled")</f>
        <v>Not Sampled</v>
      </c>
      <c r="K1361" s="1">
        <v>1359</v>
      </c>
      <c r="L1361" s="1">
        <f>LOOKUP(A1361,Sheet2!$D$4:$E$9)</f>
        <v>1</v>
      </c>
      <c r="M1361" t="str">
        <f>LOOKUP(B1361,Sheet2!$G$4:$H$9)</f>
        <v>126-150</v>
      </c>
      <c r="N1361" t="str">
        <f>LOOKUP(C1361,Sheet2!$J$4:$K$8)</f>
        <v>80+</v>
      </c>
      <c r="O1361" t="str">
        <f>LOOKUP(D1361,Sheet2!$M$4:$N$8)</f>
        <v>Unknown</v>
      </c>
      <c r="P1361" t="str">
        <f>LOOKUP(E1361,Sheet2!$P$4:$Q$9)</f>
        <v>Unknown</v>
      </c>
      <c r="Q1361" t="str">
        <f>LOOKUP(F1361,Sheet2!$S$4:$T$8)</f>
        <v>36+</v>
      </c>
      <c r="R1361" t="str">
        <f>LOOKUP(G1361,Sheet2!$V$4:$W$7)</f>
        <v>0.0 - 0.249</v>
      </c>
      <c r="S1361" t="str">
        <f>LOOKUP(H1361,Sheet2!$Z$4:$AA$7)</f>
        <v>26-35</v>
      </c>
      <c r="T1361" t="str">
        <f t="shared" si="63"/>
        <v>Negative</v>
      </c>
      <c r="U1361" t="str">
        <f t="shared" si="64"/>
        <v>Not Sampled</v>
      </c>
      <c r="V1361" s="1" t="str">
        <f t="shared" si="65"/>
        <v>Not Sampled</v>
      </c>
    </row>
    <row r="1362" spans="1:22" x14ac:dyDescent="0.25">
      <c r="A1362" s="1">
        <v>0</v>
      </c>
      <c r="B1362" s="1">
        <v>108</v>
      </c>
      <c r="C1362" s="1">
        <v>68</v>
      </c>
      <c r="D1362" s="1">
        <v>20</v>
      </c>
      <c r="E1362" s="1">
        <v>0</v>
      </c>
      <c r="F1362" s="1">
        <v>27.3</v>
      </c>
      <c r="G1362" s="1">
        <v>0.78700000000000003</v>
      </c>
      <c r="H1362" s="1">
        <v>32</v>
      </c>
      <c r="I1362" s="1">
        <v>0</v>
      </c>
      <c r="J1362" s="1" t="str">
        <f>IFERROR(VLOOKUP(K1362,[1]diabetes_Recognition!$A:$B,2,FALSE),"Not Sampled")</f>
        <v>Not Sampled</v>
      </c>
      <c r="K1362" s="1">
        <v>1360</v>
      </c>
      <c r="L1362" s="1">
        <f>LOOKUP(A1362,Sheet2!$D$4:$E$9)</f>
        <v>0</v>
      </c>
      <c r="M1362" t="str">
        <f>LOOKUP(B1362,Sheet2!$G$4:$H$9)</f>
        <v>100-125</v>
      </c>
      <c r="N1362" t="str">
        <f>LOOKUP(C1362,Sheet2!$J$4:$K$8)</f>
        <v>60-69</v>
      </c>
      <c r="O1362" t="str">
        <f>LOOKUP(D1362,Sheet2!$M$4:$N$8)</f>
        <v>10-30</v>
      </c>
      <c r="P1362" t="str">
        <f>LOOKUP(E1362,Sheet2!$P$4:$Q$9)</f>
        <v>Unknown</v>
      </c>
      <c r="Q1362" t="str">
        <f>LOOKUP(F1362,Sheet2!$S$4:$T$8)</f>
        <v>26-30</v>
      </c>
      <c r="R1362" t="str">
        <f>LOOKUP(G1362,Sheet2!$V$4:$W$7)</f>
        <v>0.7+</v>
      </c>
      <c r="S1362" t="str">
        <f>LOOKUP(H1362,Sheet2!$Z$4:$AA$7)</f>
        <v>26-35</v>
      </c>
      <c r="T1362" t="str">
        <f t="shared" si="63"/>
        <v>Negative</v>
      </c>
      <c r="U1362" t="str">
        <f t="shared" si="64"/>
        <v>Not Sampled</v>
      </c>
      <c r="V1362" s="1" t="str">
        <f t="shared" si="65"/>
        <v>Not Sampled</v>
      </c>
    </row>
    <row r="1363" spans="1:22" x14ac:dyDescent="0.25">
      <c r="A1363" s="1">
        <v>2</v>
      </c>
      <c r="B1363" s="1">
        <v>99</v>
      </c>
      <c r="C1363" s="1">
        <v>70</v>
      </c>
      <c r="D1363" s="1">
        <v>16</v>
      </c>
      <c r="E1363" s="1">
        <v>44</v>
      </c>
      <c r="F1363" s="1">
        <v>20.399999999999999</v>
      </c>
      <c r="G1363" s="1">
        <v>0.23499999999999999</v>
      </c>
      <c r="H1363" s="1">
        <v>27</v>
      </c>
      <c r="I1363" s="1">
        <v>0</v>
      </c>
      <c r="J1363" s="1">
        <f>IFERROR(VLOOKUP(K1363,[1]diabetes_Recognition!$A:$B,2,FALSE),"Not Sampled")</f>
        <v>0</v>
      </c>
      <c r="K1363" s="1">
        <v>1361</v>
      </c>
      <c r="L1363" s="1">
        <f>LOOKUP(A1363,Sheet2!$D$4:$E$9)</f>
        <v>2</v>
      </c>
      <c r="M1363" t="str">
        <f>LOOKUP(B1363,Sheet2!$G$4:$H$9)</f>
        <v>1-99</v>
      </c>
      <c r="N1363" t="str">
        <f>LOOKUP(C1363,Sheet2!$J$4:$K$8)</f>
        <v>70-79</v>
      </c>
      <c r="O1363" t="str">
        <f>LOOKUP(D1363,Sheet2!$M$4:$N$8)</f>
        <v>10-30</v>
      </c>
      <c r="P1363" t="str">
        <f>LOOKUP(E1363,Sheet2!$P$4:$Q$9)</f>
        <v>1-99</v>
      </c>
      <c r="Q1363" t="str">
        <f>LOOKUP(F1363,Sheet2!$S$4:$T$8)</f>
        <v>1-25</v>
      </c>
      <c r="R1363" t="str">
        <f>LOOKUP(G1363,Sheet2!$V$4:$W$7)</f>
        <v>0.0 - 0.249</v>
      </c>
      <c r="S1363" t="str">
        <f>LOOKUP(H1363,Sheet2!$Z$4:$AA$7)</f>
        <v>26-35</v>
      </c>
      <c r="T1363" t="str">
        <f t="shared" si="63"/>
        <v>Negative</v>
      </c>
      <c r="U1363" t="str">
        <f t="shared" si="64"/>
        <v>Negative</v>
      </c>
      <c r="V1363" s="1" t="str">
        <f t="shared" si="65"/>
        <v>Accurate Prediction</v>
      </c>
    </row>
    <row r="1364" spans="1:22" x14ac:dyDescent="0.25">
      <c r="A1364" s="1">
        <v>6</v>
      </c>
      <c r="B1364" s="1">
        <v>103</v>
      </c>
      <c r="C1364" s="1">
        <v>72</v>
      </c>
      <c r="D1364" s="1">
        <v>32</v>
      </c>
      <c r="E1364" s="1">
        <v>190</v>
      </c>
      <c r="F1364" s="1">
        <v>37.700000000000003</v>
      </c>
      <c r="G1364" s="1">
        <v>0.32400000000000001</v>
      </c>
      <c r="H1364" s="1">
        <v>55</v>
      </c>
      <c r="I1364" s="1">
        <v>0</v>
      </c>
      <c r="J1364" s="1" t="str">
        <f>IFERROR(VLOOKUP(K1364,[1]diabetes_Recognition!$A:$B,2,FALSE),"Not Sampled")</f>
        <v>Not Sampled</v>
      </c>
      <c r="K1364" s="1">
        <v>1362</v>
      </c>
      <c r="L1364" s="1" t="str">
        <f>LOOKUP(A1364,Sheet2!$D$4:$E$9)</f>
        <v>5-7</v>
      </c>
      <c r="M1364" t="str">
        <f>LOOKUP(B1364,Sheet2!$G$4:$H$9)</f>
        <v>100-125</v>
      </c>
      <c r="N1364" t="str">
        <f>LOOKUP(C1364,Sheet2!$J$4:$K$8)</f>
        <v>70-79</v>
      </c>
      <c r="O1364" t="str">
        <f>LOOKUP(D1364,Sheet2!$M$4:$N$8)</f>
        <v>30-39</v>
      </c>
      <c r="P1364" t="str">
        <f>LOOKUP(E1364,Sheet2!$P$4:$Q$9)</f>
        <v>100-199</v>
      </c>
      <c r="Q1364" t="str">
        <f>LOOKUP(F1364,Sheet2!$S$4:$T$8)</f>
        <v>36+</v>
      </c>
      <c r="R1364" t="str">
        <f>LOOKUP(G1364,Sheet2!$V$4:$W$7)</f>
        <v>0.25 - 0.39</v>
      </c>
      <c r="S1364" t="str">
        <f>LOOKUP(H1364,Sheet2!$Z$4:$AA$7)</f>
        <v>46+</v>
      </c>
      <c r="T1364" t="str">
        <f t="shared" si="63"/>
        <v>Negative</v>
      </c>
      <c r="U1364" t="str">
        <f t="shared" si="64"/>
        <v>Not Sampled</v>
      </c>
      <c r="V1364" s="1" t="str">
        <f t="shared" si="65"/>
        <v>Not Sampled</v>
      </c>
    </row>
    <row r="1365" spans="1:22" x14ac:dyDescent="0.25">
      <c r="A1365" s="1">
        <v>5</v>
      </c>
      <c r="B1365" s="1">
        <v>111</v>
      </c>
      <c r="C1365" s="1">
        <v>72</v>
      </c>
      <c r="D1365" s="1">
        <v>28</v>
      </c>
      <c r="E1365" s="1">
        <v>0</v>
      </c>
      <c r="F1365" s="1">
        <v>23.9</v>
      </c>
      <c r="G1365" s="1">
        <v>0.40699999999999997</v>
      </c>
      <c r="H1365" s="1">
        <v>27</v>
      </c>
      <c r="I1365" s="1">
        <v>0</v>
      </c>
      <c r="J1365" s="1" t="str">
        <f>IFERROR(VLOOKUP(K1365,[1]diabetes_Recognition!$A:$B,2,FALSE),"Not Sampled")</f>
        <v>Not Sampled</v>
      </c>
      <c r="K1365" s="1">
        <v>1363</v>
      </c>
      <c r="L1365" s="1" t="str">
        <f>LOOKUP(A1365,Sheet2!$D$4:$E$9)</f>
        <v>5-7</v>
      </c>
      <c r="M1365" t="str">
        <f>LOOKUP(B1365,Sheet2!$G$4:$H$9)</f>
        <v>100-125</v>
      </c>
      <c r="N1365" t="str">
        <f>LOOKUP(C1365,Sheet2!$J$4:$K$8)</f>
        <v>70-79</v>
      </c>
      <c r="O1365" t="str">
        <f>LOOKUP(D1365,Sheet2!$M$4:$N$8)</f>
        <v>10-30</v>
      </c>
      <c r="P1365" t="str">
        <f>LOOKUP(E1365,Sheet2!$P$4:$Q$9)</f>
        <v>Unknown</v>
      </c>
      <c r="Q1365" t="str">
        <f>LOOKUP(F1365,Sheet2!$S$4:$T$8)</f>
        <v>1-25</v>
      </c>
      <c r="R1365" t="str">
        <f>LOOKUP(G1365,Sheet2!$V$4:$W$7)</f>
        <v>0.4 - 0.69</v>
      </c>
      <c r="S1365" t="str">
        <f>LOOKUP(H1365,Sheet2!$Z$4:$AA$7)</f>
        <v>26-35</v>
      </c>
      <c r="T1365" t="str">
        <f t="shared" si="63"/>
        <v>Negative</v>
      </c>
      <c r="U1365" t="str">
        <f t="shared" si="64"/>
        <v>Not Sampled</v>
      </c>
      <c r="V1365" s="1" t="str">
        <f t="shared" si="65"/>
        <v>Not Sampled</v>
      </c>
    </row>
    <row r="1366" spans="1:22" x14ac:dyDescent="0.25">
      <c r="A1366" s="1">
        <v>8</v>
      </c>
      <c r="B1366" s="1">
        <v>196</v>
      </c>
      <c r="C1366" s="1">
        <v>76</v>
      </c>
      <c r="D1366" s="1">
        <v>29</v>
      </c>
      <c r="E1366" s="1">
        <v>280</v>
      </c>
      <c r="F1366" s="1">
        <v>37.5</v>
      </c>
      <c r="G1366" s="1">
        <v>0.60499999999999998</v>
      </c>
      <c r="H1366" s="1">
        <v>57</v>
      </c>
      <c r="I1366" s="1">
        <v>1</v>
      </c>
      <c r="J1366" s="1" t="str">
        <f>IFERROR(VLOOKUP(K1366,[1]diabetes_Recognition!$A:$B,2,FALSE),"Not Sampled")</f>
        <v>Not Sampled</v>
      </c>
      <c r="K1366" s="1">
        <v>1364</v>
      </c>
      <c r="L1366" s="1" t="str">
        <f>LOOKUP(A1366,Sheet2!$D$4:$E$9)</f>
        <v>8+</v>
      </c>
      <c r="M1366" t="str">
        <f>LOOKUP(B1366,Sheet2!$G$4:$H$9)</f>
        <v>176-200</v>
      </c>
      <c r="N1366" t="str">
        <f>LOOKUP(C1366,Sheet2!$J$4:$K$8)</f>
        <v>70-79</v>
      </c>
      <c r="O1366" t="str">
        <f>LOOKUP(D1366,Sheet2!$M$4:$N$8)</f>
        <v>10-30</v>
      </c>
      <c r="P1366" t="str">
        <f>LOOKUP(E1366,Sheet2!$P$4:$Q$9)</f>
        <v>200-399</v>
      </c>
      <c r="Q1366" t="str">
        <f>LOOKUP(F1366,Sheet2!$S$4:$T$8)</f>
        <v>36+</v>
      </c>
      <c r="R1366" t="str">
        <f>LOOKUP(G1366,Sheet2!$V$4:$W$7)</f>
        <v>0.4 - 0.69</v>
      </c>
      <c r="S1366" t="str">
        <f>LOOKUP(H1366,Sheet2!$Z$4:$AA$7)</f>
        <v>46+</v>
      </c>
      <c r="T1366" t="str">
        <f t="shared" si="63"/>
        <v>Positive</v>
      </c>
      <c r="U1366" t="str">
        <f t="shared" si="64"/>
        <v>Not Sampled</v>
      </c>
      <c r="V1366" s="1" t="str">
        <f t="shared" si="65"/>
        <v>Not Sampled</v>
      </c>
    </row>
    <row r="1367" spans="1:22" x14ac:dyDescent="0.25">
      <c r="A1367" s="1">
        <v>5</v>
      </c>
      <c r="B1367" s="1">
        <v>162</v>
      </c>
      <c r="C1367" s="1">
        <v>104</v>
      </c>
      <c r="D1367" s="1">
        <v>0</v>
      </c>
      <c r="E1367" s="1">
        <v>0</v>
      </c>
      <c r="F1367" s="1">
        <v>37.700000000000003</v>
      </c>
      <c r="G1367" s="1">
        <v>0.151</v>
      </c>
      <c r="H1367" s="1">
        <v>52</v>
      </c>
      <c r="I1367" s="1">
        <v>1</v>
      </c>
      <c r="J1367" s="1">
        <f>IFERROR(VLOOKUP(K1367,[1]diabetes_Recognition!$A:$B,2,FALSE),"Not Sampled")</f>
        <v>1</v>
      </c>
      <c r="K1367" s="1">
        <v>1365</v>
      </c>
      <c r="L1367" s="1" t="str">
        <f>LOOKUP(A1367,Sheet2!$D$4:$E$9)</f>
        <v>5-7</v>
      </c>
      <c r="M1367" t="str">
        <f>LOOKUP(B1367,Sheet2!$G$4:$H$9)</f>
        <v>151-175</v>
      </c>
      <c r="N1367" t="str">
        <f>LOOKUP(C1367,Sheet2!$J$4:$K$8)</f>
        <v>80+</v>
      </c>
      <c r="O1367" t="str">
        <f>LOOKUP(D1367,Sheet2!$M$4:$N$8)</f>
        <v>Unknown</v>
      </c>
      <c r="P1367" t="str">
        <f>LOOKUP(E1367,Sheet2!$P$4:$Q$9)</f>
        <v>Unknown</v>
      </c>
      <c r="Q1367" t="str">
        <f>LOOKUP(F1367,Sheet2!$S$4:$T$8)</f>
        <v>36+</v>
      </c>
      <c r="R1367" t="str">
        <f>LOOKUP(G1367,Sheet2!$V$4:$W$7)</f>
        <v>0.0 - 0.249</v>
      </c>
      <c r="S1367" t="str">
        <f>LOOKUP(H1367,Sheet2!$Z$4:$AA$7)</f>
        <v>46+</v>
      </c>
      <c r="T1367" t="str">
        <f t="shared" si="63"/>
        <v>Positive</v>
      </c>
      <c r="U1367" t="str">
        <f t="shared" si="64"/>
        <v>Positive</v>
      </c>
      <c r="V1367" s="1" t="str">
        <f t="shared" si="65"/>
        <v>Accurate Prediction</v>
      </c>
    </row>
    <row r="1368" spans="1:22" x14ac:dyDescent="0.25">
      <c r="A1368" s="1">
        <v>1</v>
      </c>
      <c r="B1368" s="1">
        <v>96</v>
      </c>
      <c r="C1368" s="1">
        <v>64</v>
      </c>
      <c r="D1368" s="1">
        <v>27</v>
      </c>
      <c r="E1368" s="1">
        <v>87</v>
      </c>
      <c r="F1368" s="1">
        <v>33.200000000000003</v>
      </c>
      <c r="G1368" s="1">
        <v>0.28899999999999998</v>
      </c>
      <c r="H1368" s="1">
        <v>21</v>
      </c>
      <c r="I1368" s="1">
        <v>0</v>
      </c>
      <c r="J1368" s="1" t="str">
        <f>IFERROR(VLOOKUP(K1368,[1]diabetes_Recognition!$A:$B,2,FALSE),"Not Sampled")</f>
        <v>Not Sampled</v>
      </c>
      <c r="K1368" s="1">
        <v>1366</v>
      </c>
      <c r="L1368" s="1">
        <f>LOOKUP(A1368,Sheet2!$D$4:$E$9)</f>
        <v>1</v>
      </c>
      <c r="M1368" t="str">
        <f>LOOKUP(B1368,Sheet2!$G$4:$H$9)</f>
        <v>1-99</v>
      </c>
      <c r="N1368" t="str">
        <f>LOOKUP(C1368,Sheet2!$J$4:$K$8)</f>
        <v>60-69</v>
      </c>
      <c r="O1368" t="str">
        <f>LOOKUP(D1368,Sheet2!$M$4:$N$8)</f>
        <v>10-30</v>
      </c>
      <c r="P1368" t="str">
        <f>LOOKUP(E1368,Sheet2!$P$4:$Q$9)</f>
        <v>1-99</v>
      </c>
      <c r="Q1368" t="str">
        <f>LOOKUP(F1368,Sheet2!$S$4:$T$8)</f>
        <v>31-35</v>
      </c>
      <c r="R1368" t="str">
        <f>LOOKUP(G1368,Sheet2!$V$4:$W$7)</f>
        <v>0.25 - 0.39</v>
      </c>
      <c r="S1368" t="str">
        <f>LOOKUP(H1368,Sheet2!$Z$4:$AA$7)</f>
        <v>&lt;=25</v>
      </c>
      <c r="T1368" t="str">
        <f t="shared" si="63"/>
        <v>Negative</v>
      </c>
      <c r="U1368" t="str">
        <f t="shared" si="64"/>
        <v>Not Sampled</v>
      </c>
      <c r="V1368" s="1" t="str">
        <f t="shared" si="65"/>
        <v>Not Sampled</v>
      </c>
    </row>
    <row r="1369" spans="1:22" x14ac:dyDescent="0.25">
      <c r="A1369" s="1">
        <v>7</v>
      </c>
      <c r="B1369" s="1">
        <v>184</v>
      </c>
      <c r="C1369" s="1">
        <v>84</v>
      </c>
      <c r="D1369" s="1">
        <v>33</v>
      </c>
      <c r="E1369" s="1">
        <v>0</v>
      </c>
      <c r="F1369" s="1">
        <v>35.5</v>
      </c>
      <c r="G1369" s="1">
        <v>0.35499999999999998</v>
      </c>
      <c r="H1369" s="1">
        <v>41</v>
      </c>
      <c r="I1369" s="1">
        <v>1</v>
      </c>
      <c r="J1369" s="1" t="str">
        <f>IFERROR(VLOOKUP(K1369,[1]diabetes_Recognition!$A:$B,2,FALSE),"Not Sampled")</f>
        <v>Not Sampled</v>
      </c>
      <c r="K1369" s="1">
        <v>1367</v>
      </c>
      <c r="L1369" s="1" t="str">
        <f>LOOKUP(A1369,Sheet2!$D$4:$E$9)</f>
        <v>5-7</v>
      </c>
      <c r="M1369" t="str">
        <f>LOOKUP(B1369,Sheet2!$G$4:$H$9)</f>
        <v>176-200</v>
      </c>
      <c r="N1369" t="str">
        <f>LOOKUP(C1369,Sheet2!$J$4:$K$8)</f>
        <v>80+</v>
      </c>
      <c r="O1369" t="str">
        <f>LOOKUP(D1369,Sheet2!$M$4:$N$8)</f>
        <v>30-39</v>
      </c>
      <c r="P1369" t="str">
        <f>LOOKUP(E1369,Sheet2!$P$4:$Q$9)</f>
        <v>Unknown</v>
      </c>
      <c r="Q1369" t="str">
        <f>LOOKUP(F1369,Sheet2!$S$4:$T$8)</f>
        <v>31-35</v>
      </c>
      <c r="R1369" t="str">
        <f>LOOKUP(G1369,Sheet2!$V$4:$W$7)</f>
        <v>0.25 - 0.39</v>
      </c>
      <c r="S1369" t="str">
        <f>LOOKUP(H1369,Sheet2!$Z$4:$AA$7)</f>
        <v>36-45</v>
      </c>
      <c r="T1369" t="str">
        <f t="shared" si="63"/>
        <v>Positive</v>
      </c>
      <c r="U1369" t="str">
        <f t="shared" si="64"/>
        <v>Not Sampled</v>
      </c>
      <c r="V1369" s="1" t="str">
        <f t="shared" si="65"/>
        <v>Not Sampled</v>
      </c>
    </row>
    <row r="1370" spans="1:22" x14ac:dyDescent="0.25">
      <c r="A1370" s="1">
        <v>2</v>
      </c>
      <c r="B1370" s="1">
        <v>81</v>
      </c>
      <c r="C1370" s="1">
        <v>60</v>
      </c>
      <c r="D1370" s="1">
        <v>22</v>
      </c>
      <c r="E1370" s="1">
        <v>0</v>
      </c>
      <c r="F1370" s="1">
        <v>27.7</v>
      </c>
      <c r="G1370" s="1">
        <v>0.28999999999999998</v>
      </c>
      <c r="H1370" s="1">
        <v>25</v>
      </c>
      <c r="I1370" s="1">
        <v>0</v>
      </c>
      <c r="J1370" s="1" t="str">
        <f>IFERROR(VLOOKUP(K1370,[1]diabetes_Recognition!$A:$B,2,FALSE),"Not Sampled")</f>
        <v>Not Sampled</v>
      </c>
      <c r="K1370" s="1">
        <v>1368</v>
      </c>
      <c r="L1370" s="1">
        <f>LOOKUP(A1370,Sheet2!$D$4:$E$9)</f>
        <v>2</v>
      </c>
      <c r="M1370" t="str">
        <f>LOOKUP(B1370,Sheet2!$G$4:$H$9)</f>
        <v>1-99</v>
      </c>
      <c r="N1370" t="str">
        <f>LOOKUP(C1370,Sheet2!$J$4:$K$8)</f>
        <v>60-69</v>
      </c>
      <c r="O1370" t="str">
        <f>LOOKUP(D1370,Sheet2!$M$4:$N$8)</f>
        <v>10-30</v>
      </c>
      <c r="P1370" t="str">
        <f>LOOKUP(E1370,Sheet2!$P$4:$Q$9)</f>
        <v>Unknown</v>
      </c>
      <c r="Q1370" t="str">
        <f>LOOKUP(F1370,Sheet2!$S$4:$T$8)</f>
        <v>26-30</v>
      </c>
      <c r="R1370" t="str">
        <f>LOOKUP(G1370,Sheet2!$V$4:$W$7)</f>
        <v>0.25 - 0.39</v>
      </c>
      <c r="S1370" t="str">
        <f>LOOKUP(H1370,Sheet2!$Z$4:$AA$7)</f>
        <v>&lt;=25</v>
      </c>
      <c r="T1370" t="str">
        <f t="shared" si="63"/>
        <v>Negative</v>
      </c>
      <c r="U1370" t="str">
        <f t="shared" si="64"/>
        <v>Not Sampled</v>
      </c>
      <c r="V1370" s="1" t="str">
        <f t="shared" si="65"/>
        <v>Not Sampled</v>
      </c>
    </row>
    <row r="1371" spans="1:22" x14ac:dyDescent="0.25">
      <c r="A1371" s="1">
        <v>0</v>
      </c>
      <c r="B1371" s="1">
        <v>147</v>
      </c>
      <c r="C1371" s="1">
        <v>85</v>
      </c>
      <c r="D1371" s="1">
        <v>54</v>
      </c>
      <c r="E1371" s="1">
        <v>0</v>
      </c>
      <c r="F1371" s="1">
        <v>42.8</v>
      </c>
      <c r="G1371" s="1">
        <v>0.375</v>
      </c>
      <c r="H1371" s="1">
        <v>24</v>
      </c>
      <c r="I1371" s="1">
        <v>0</v>
      </c>
      <c r="J1371" s="1">
        <f>IFERROR(VLOOKUP(K1371,[1]diabetes_Recognition!$A:$B,2,FALSE),"Not Sampled")</f>
        <v>1</v>
      </c>
      <c r="K1371" s="1">
        <v>1369</v>
      </c>
      <c r="L1371" s="1">
        <f>LOOKUP(A1371,Sheet2!$D$4:$E$9)</f>
        <v>0</v>
      </c>
      <c r="M1371" t="str">
        <f>LOOKUP(B1371,Sheet2!$G$4:$H$9)</f>
        <v>126-150</v>
      </c>
      <c r="N1371" t="str">
        <f>LOOKUP(C1371,Sheet2!$J$4:$K$8)</f>
        <v>80+</v>
      </c>
      <c r="O1371" t="str">
        <f>LOOKUP(D1371,Sheet2!$M$4:$N$8)</f>
        <v>40+</v>
      </c>
      <c r="P1371" t="str">
        <f>LOOKUP(E1371,Sheet2!$P$4:$Q$9)</f>
        <v>Unknown</v>
      </c>
      <c r="Q1371" t="str">
        <f>LOOKUP(F1371,Sheet2!$S$4:$T$8)</f>
        <v>36+</v>
      </c>
      <c r="R1371" t="str">
        <f>LOOKUP(G1371,Sheet2!$V$4:$W$7)</f>
        <v>0.25 - 0.39</v>
      </c>
      <c r="S1371" t="str">
        <f>LOOKUP(H1371,Sheet2!$Z$4:$AA$7)</f>
        <v>&lt;=25</v>
      </c>
      <c r="T1371" t="str">
        <f t="shared" si="63"/>
        <v>Negative</v>
      </c>
      <c r="U1371" t="str">
        <f t="shared" si="64"/>
        <v>Positive</v>
      </c>
      <c r="V1371" s="1" t="str">
        <f t="shared" si="65"/>
        <v>Inaccurate Prediction</v>
      </c>
    </row>
    <row r="1372" spans="1:22" x14ac:dyDescent="0.25">
      <c r="A1372" s="1">
        <v>7</v>
      </c>
      <c r="B1372" s="1">
        <v>179</v>
      </c>
      <c r="C1372" s="1">
        <v>95</v>
      </c>
      <c r="D1372" s="1">
        <v>31</v>
      </c>
      <c r="E1372" s="1">
        <v>0</v>
      </c>
      <c r="F1372" s="1">
        <v>34.200000000000003</v>
      </c>
      <c r="G1372" s="1">
        <v>0.16400000000000001</v>
      </c>
      <c r="H1372" s="1">
        <v>60</v>
      </c>
      <c r="I1372" s="1">
        <v>0</v>
      </c>
      <c r="J1372" s="1" t="str">
        <f>IFERROR(VLOOKUP(K1372,[1]diabetes_Recognition!$A:$B,2,FALSE),"Not Sampled")</f>
        <v>Not Sampled</v>
      </c>
      <c r="K1372" s="1">
        <v>1370</v>
      </c>
      <c r="L1372" s="1" t="str">
        <f>LOOKUP(A1372,Sheet2!$D$4:$E$9)</f>
        <v>5-7</v>
      </c>
      <c r="M1372" t="str">
        <f>LOOKUP(B1372,Sheet2!$G$4:$H$9)</f>
        <v>176-200</v>
      </c>
      <c r="N1372" t="str">
        <f>LOOKUP(C1372,Sheet2!$J$4:$K$8)</f>
        <v>80+</v>
      </c>
      <c r="O1372" t="str">
        <f>LOOKUP(D1372,Sheet2!$M$4:$N$8)</f>
        <v>30-39</v>
      </c>
      <c r="P1372" t="str">
        <f>LOOKUP(E1372,Sheet2!$P$4:$Q$9)</f>
        <v>Unknown</v>
      </c>
      <c r="Q1372" t="str">
        <f>LOOKUP(F1372,Sheet2!$S$4:$T$8)</f>
        <v>31-35</v>
      </c>
      <c r="R1372" t="str">
        <f>LOOKUP(G1372,Sheet2!$V$4:$W$7)</f>
        <v>0.0 - 0.249</v>
      </c>
      <c r="S1372" t="str">
        <f>LOOKUP(H1372,Sheet2!$Z$4:$AA$7)</f>
        <v>46+</v>
      </c>
      <c r="T1372" t="str">
        <f t="shared" si="63"/>
        <v>Negative</v>
      </c>
      <c r="U1372" t="str">
        <f t="shared" si="64"/>
        <v>Not Sampled</v>
      </c>
      <c r="V1372" s="1" t="str">
        <f t="shared" si="65"/>
        <v>Not Sampled</v>
      </c>
    </row>
    <row r="1373" spans="1:22" x14ac:dyDescent="0.25">
      <c r="A1373" s="1">
        <v>0</v>
      </c>
      <c r="B1373" s="1">
        <v>140</v>
      </c>
      <c r="C1373" s="1">
        <v>65</v>
      </c>
      <c r="D1373" s="1">
        <v>26</v>
      </c>
      <c r="E1373" s="1">
        <v>130</v>
      </c>
      <c r="F1373" s="1">
        <v>42.6</v>
      </c>
      <c r="G1373" s="1">
        <v>0.43099999999999999</v>
      </c>
      <c r="H1373" s="1">
        <v>24</v>
      </c>
      <c r="I1373" s="1">
        <v>1</v>
      </c>
      <c r="J1373" s="1" t="str">
        <f>IFERROR(VLOOKUP(K1373,[1]diabetes_Recognition!$A:$B,2,FALSE),"Not Sampled")</f>
        <v>Not Sampled</v>
      </c>
      <c r="K1373" s="1">
        <v>1371</v>
      </c>
      <c r="L1373" s="1">
        <f>LOOKUP(A1373,Sheet2!$D$4:$E$9)</f>
        <v>0</v>
      </c>
      <c r="M1373" t="str">
        <f>LOOKUP(B1373,Sheet2!$G$4:$H$9)</f>
        <v>126-150</v>
      </c>
      <c r="N1373" t="str">
        <f>LOOKUP(C1373,Sheet2!$J$4:$K$8)</f>
        <v>60-69</v>
      </c>
      <c r="O1373" t="str">
        <f>LOOKUP(D1373,Sheet2!$M$4:$N$8)</f>
        <v>10-30</v>
      </c>
      <c r="P1373" t="str">
        <f>LOOKUP(E1373,Sheet2!$P$4:$Q$9)</f>
        <v>100-199</v>
      </c>
      <c r="Q1373" t="str">
        <f>LOOKUP(F1373,Sheet2!$S$4:$T$8)</f>
        <v>36+</v>
      </c>
      <c r="R1373" t="str">
        <f>LOOKUP(G1373,Sheet2!$V$4:$W$7)</f>
        <v>0.4 - 0.69</v>
      </c>
      <c r="S1373" t="str">
        <f>LOOKUP(H1373,Sheet2!$Z$4:$AA$7)</f>
        <v>&lt;=25</v>
      </c>
      <c r="T1373" t="str">
        <f t="shared" si="63"/>
        <v>Positive</v>
      </c>
      <c r="U1373" t="str">
        <f t="shared" si="64"/>
        <v>Not Sampled</v>
      </c>
      <c r="V1373" s="1" t="str">
        <f t="shared" si="65"/>
        <v>Not Sampled</v>
      </c>
    </row>
    <row r="1374" spans="1:22" x14ac:dyDescent="0.25">
      <c r="A1374" s="1">
        <v>9</v>
      </c>
      <c r="B1374" s="1">
        <v>112</v>
      </c>
      <c r="C1374" s="1">
        <v>82</v>
      </c>
      <c r="D1374" s="1">
        <v>32</v>
      </c>
      <c r="E1374" s="1">
        <v>175</v>
      </c>
      <c r="F1374" s="1">
        <v>34.200000000000003</v>
      </c>
      <c r="G1374" s="1">
        <v>0.26</v>
      </c>
      <c r="H1374" s="1">
        <v>36</v>
      </c>
      <c r="I1374" s="1">
        <v>1</v>
      </c>
      <c r="J1374" s="1" t="str">
        <f>IFERROR(VLOOKUP(K1374,[1]diabetes_Recognition!$A:$B,2,FALSE),"Not Sampled")</f>
        <v>Not Sampled</v>
      </c>
      <c r="K1374" s="1">
        <v>1372</v>
      </c>
      <c r="L1374" s="1" t="str">
        <f>LOOKUP(A1374,Sheet2!$D$4:$E$9)</f>
        <v>8+</v>
      </c>
      <c r="M1374" t="str">
        <f>LOOKUP(B1374,Sheet2!$G$4:$H$9)</f>
        <v>100-125</v>
      </c>
      <c r="N1374" t="str">
        <f>LOOKUP(C1374,Sheet2!$J$4:$K$8)</f>
        <v>80+</v>
      </c>
      <c r="O1374" t="str">
        <f>LOOKUP(D1374,Sheet2!$M$4:$N$8)</f>
        <v>30-39</v>
      </c>
      <c r="P1374" t="str">
        <f>LOOKUP(E1374,Sheet2!$P$4:$Q$9)</f>
        <v>100-199</v>
      </c>
      <c r="Q1374" t="str">
        <f>LOOKUP(F1374,Sheet2!$S$4:$T$8)</f>
        <v>31-35</v>
      </c>
      <c r="R1374" t="str">
        <f>LOOKUP(G1374,Sheet2!$V$4:$W$7)</f>
        <v>0.25 - 0.39</v>
      </c>
      <c r="S1374" t="str">
        <f>LOOKUP(H1374,Sheet2!$Z$4:$AA$7)</f>
        <v>36-45</v>
      </c>
      <c r="T1374" t="str">
        <f t="shared" si="63"/>
        <v>Positive</v>
      </c>
      <c r="U1374" t="str">
        <f t="shared" si="64"/>
        <v>Not Sampled</v>
      </c>
      <c r="V1374" s="1" t="str">
        <f t="shared" si="65"/>
        <v>Not Sampled</v>
      </c>
    </row>
    <row r="1375" spans="1:22" x14ac:dyDescent="0.25">
      <c r="A1375" s="1">
        <v>12</v>
      </c>
      <c r="B1375" s="1">
        <v>151</v>
      </c>
      <c r="C1375" s="1">
        <v>70</v>
      </c>
      <c r="D1375" s="1">
        <v>40</v>
      </c>
      <c r="E1375" s="1">
        <v>271</v>
      </c>
      <c r="F1375" s="1">
        <v>41.8</v>
      </c>
      <c r="G1375" s="1">
        <v>0.74199999999999999</v>
      </c>
      <c r="H1375" s="1">
        <v>38</v>
      </c>
      <c r="I1375" s="1">
        <v>1</v>
      </c>
      <c r="J1375" s="1" t="str">
        <f>IFERROR(VLOOKUP(K1375,[1]diabetes_Recognition!$A:$B,2,FALSE),"Not Sampled")</f>
        <v>Not Sampled</v>
      </c>
      <c r="K1375" s="1">
        <v>1373</v>
      </c>
      <c r="L1375" s="1" t="str">
        <f>LOOKUP(A1375,Sheet2!$D$4:$E$9)</f>
        <v>8+</v>
      </c>
      <c r="M1375" t="str">
        <f>LOOKUP(B1375,Sheet2!$G$4:$H$9)</f>
        <v>151-175</v>
      </c>
      <c r="N1375" t="str">
        <f>LOOKUP(C1375,Sheet2!$J$4:$K$8)</f>
        <v>70-79</v>
      </c>
      <c r="O1375" t="str">
        <f>LOOKUP(D1375,Sheet2!$M$4:$N$8)</f>
        <v>40+</v>
      </c>
      <c r="P1375" t="str">
        <f>LOOKUP(E1375,Sheet2!$P$4:$Q$9)</f>
        <v>200-399</v>
      </c>
      <c r="Q1375" t="str">
        <f>LOOKUP(F1375,Sheet2!$S$4:$T$8)</f>
        <v>36+</v>
      </c>
      <c r="R1375" t="str">
        <f>LOOKUP(G1375,Sheet2!$V$4:$W$7)</f>
        <v>0.7+</v>
      </c>
      <c r="S1375" t="str">
        <f>LOOKUP(H1375,Sheet2!$Z$4:$AA$7)</f>
        <v>36-45</v>
      </c>
      <c r="T1375" t="str">
        <f t="shared" si="63"/>
        <v>Positive</v>
      </c>
      <c r="U1375" t="str">
        <f t="shared" si="64"/>
        <v>Not Sampled</v>
      </c>
      <c r="V1375" s="1" t="str">
        <f t="shared" si="65"/>
        <v>Not Sampled</v>
      </c>
    </row>
    <row r="1376" spans="1:22" x14ac:dyDescent="0.25">
      <c r="A1376" s="1">
        <v>5</v>
      </c>
      <c r="B1376" s="1">
        <v>109</v>
      </c>
      <c r="C1376" s="1">
        <v>62</v>
      </c>
      <c r="D1376" s="1">
        <v>41</v>
      </c>
      <c r="E1376" s="1">
        <v>129</v>
      </c>
      <c r="F1376" s="1">
        <v>35.799999999999997</v>
      </c>
      <c r="G1376" s="1">
        <v>0.51400000000000001</v>
      </c>
      <c r="H1376" s="1">
        <v>25</v>
      </c>
      <c r="I1376" s="1">
        <v>1</v>
      </c>
      <c r="J1376" s="1" t="str">
        <f>IFERROR(VLOOKUP(K1376,[1]diabetes_Recognition!$A:$B,2,FALSE),"Not Sampled")</f>
        <v>Not Sampled</v>
      </c>
      <c r="K1376" s="1">
        <v>1374</v>
      </c>
      <c r="L1376" s="1" t="str">
        <f>LOOKUP(A1376,Sheet2!$D$4:$E$9)</f>
        <v>5-7</v>
      </c>
      <c r="M1376" t="str">
        <f>LOOKUP(B1376,Sheet2!$G$4:$H$9)</f>
        <v>100-125</v>
      </c>
      <c r="N1376" t="str">
        <f>LOOKUP(C1376,Sheet2!$J$4:$K$8)</f>
        <v>60-69</v>
      </c>
      <c r="O1376" t="str">
        <f>LOOKUP(D1376,Sheet2!$M$4:$N$8)</f>
        <v>40+</v>
      </c>
      <c r="P1376" t="str">
        <f>LOOKUP(E1376,Sheet2!$P$4:$Q$9)</f>
        <v>100-199</v>
      </c>
      <c r="Q1376" t="str">
        <f>LOOKUP(F1376,Sheet2!$S$4:$T$8)</f>
        <v>31-35</v>
      </c>
      <c r="R1376" t="str">
        <f>LOOKUP(G1376,Sheet2!$V$4:$W$7)</f>
        <v>0.4 - 0.69</v>
      </c>
      <c r="S1376" t="str">
        <f>LOOKUP(H1376,Sheet2!$Z$4:$AA$7)</f>
        <v>&lt;=25</v>
      </c>
      <c r="T1376" t="str">
        <f t="shared" si="63"/>
        <v>Positive</v>
      </c>
      <c r="U1376" t="str">
        <f t="shared" si="64"/>
        <v>Not Sampled</v>
      </c>
      <c r="V1376" s="1" t="str">
        <f t="shared" si="65"/>
        <v>Not Sampled</v>
      </c>
    </row>
    <row r="1377" spans="1:22" x14ac:dyDescent="0.25">
      <c r="A1377" s="1">
        <v>6</v>
      </c>
      <c r="B1377" s="1">
        <v>125</v>
      </c>
      <c r="C1377" s="1">
        <v>68</v>
      </c>
      <c r="D1377" s="1">
        <v>30</v>
      </c>
      <c r="E1377" s="1">
        <v>120</v>
      </c>
      <c r="F1377" s="1">
        <v>30</v>
      </c>
      <c r="G1377" s="1">
        <v>0.46400000000000002</v>
      </c>
      <c r="H1377" s="1">
        <v>32</v>
      </c>
      <c r="I1377" s="1">
        <v>0</v>
      </c>
      <c r="J1377" s="1" t="str">
        <f>IFERROR(VLOOKUP(K1377,[1]diabetes_Recognition!$A:$B,2,FALSE),"Not Sampled")</f>
        <v>Not Sampled</v>
      </c>
      <c r="K1377" s="1">
        <v>1375</v>
      </c>
      <c r="L1377" s="1" t="str">
        <f>LOOKUP(A1377,Sheet2!$D$4:$E$9)</f>
        <v>5-7</v>
      </c>
      <c r="M1377" t="str">
        <f>LOOKUP(B1377,Sheet2!$G$4:$H$9)</f>
        <v>100-125</v>
      </c>
      <c r="N1377" t="str">
        <f>LOOKUP(C1377,Sheet2!$J$4:$K$8)</f>
        <v>60-69</v>
      </c>
      <c r="O1377" t="str">
        <f>LOOKUP(D1377,Sheet2!$M$4:$N$8)</f>
        <v>30-39</v>
      </c>
      <c r="P1377" t="str">
        <f>LOOKUP(E1377,Sheet2!$P$4:$Q$9)</f>
        <v>100-199</v>
      </c>
      <c r="Q1377" t="str">
        <f>LOOKUP(F1377,Sheet2!$S$4:$T$8)</f>
        <v>26-30</v>
      </c>
      <c r="R1377" t="str">
        <f>LOOKUP(G1377,Sheet2!$V$4:$W$7)</f>
        <v>0.4 - 0.69</v>
      </c>
      <c r="S1377" t="str">
        <f>LOOKUP(H1377,Sheet2!$Z$4:$AA$7)</f>
        <v>26-35</v>
      </c>
      <c r="T1377" t="str">
        <f t="shared" si="63"/>
        <v>Negative</v>
      </c>
      <c r="U1377" t="str">
        <f t="shared" si="64"/>
        <v>Not Sampled</v>
      </c>
      <c r="V1377" s="1" t="str">
        <f t="shared" si="65"/>
        <v>Not Sampled</v>
      </c>
    </row>
    <row r="1378" spans="1:22" x14ac:dyDescent="0.25">
      <c r="A1378" s="1">
        <v>5</v>
      </c>
      <c r="B1378" s="1">
        <v>85</v>
      </c>
      <c r="C1378" s="1">
        <v>74</v>
      </c>
      <c r="D1378" s="1">
        <v>22</v>
      </c>
      <c r="E1378" s="1">
        <v>0</v>
      </c>
      <c r="F1378" s="1">
        <v>29</v>
      </c>
      <c r="G1378" s="1">
        <v>1.224</v>
      </c>
      <c r="H1378" s="1">
        <v>32</v>
      </c>
      <c r="I1378" s="1">
        <v>1</v>
      </c>
      <c r="J1378" s="1">
        <f>IFERROR(VLOOKUP(K1378,[1]diabetes_Recognition!$A:$B,2,FALSE),"Not Sampled")</f>
        <v>0</v>
      </c>
      <c r="K1378" s="1">
        <v>1376</v>
      </c>
      <c r="L1378" s="1" t="str">
        <f>LOOKUP(A1378,Sheet2!$D$4:$E$9)</f>
        <v>5-7</v>
      </c>
      <c r="M1378" t="str">
        <f>LOOKUP(B1378,Sheet2!$G$4:$H$9)</f>
        <v>1-99</v>
      </c>
      <c r="N1378" t="str">
        <f>LOOKUP(C1378,Sheet2!$J$4:$K$8)</f>
        <v>70-79</v>
      </c>
      <c r="O1378" t="str">
        <f>LOOKUP(D1378,Sheet2!$M$4:$N$8)</f>
        <v>10-30</v>
      </c>
      <c r="P1378" t="str">
        <f>LOOKUP(E1378,Sheet2!$P$4:$Q$9)</f>
        <v>Unknown</v>
      </c>
      <c r="Q1378" t="str">
        <f>LOOKUP(F1378,Sheet2!$S$4:$T$8)</f>
        <v>26-30</v>
      </c>
      <c r="R1378" t="str">
        <f>LOOKUP(G1378,Sheet2!$V$4:$W$7)</f>
        <v>0.7+</v>
      </c>
      <c r="S1378" t="str">
        <f>LOOKUP(H1378,Sheet2!$Z$4:$AA$7)</f>
        <v>26-35</v>
      </c>
      <c r="T1378" t="str">
        <f t="shared" si="63"/>
        <v>Positive</v>
      </c>
      <c r="U1378" t="str">
        <f t="shared" si="64"/>
        <v>Negative</v>
      </c>
      <c r="V1378" s="1" t="str">
        <f t="shared" si="65"/>
        <v>Inaccurate Prediction</v>
      </c>
    </row>
    <row r="1379" spans="1:22" x14ac:dyDescent="0.25">
      <c r="A1379" s="1">
        <v>5</v>
      </c>
      <c r="B1379" s="1">
        <v>112</v>
      </c>
      <c r="C1379" s="1">
        <v>66</v>
      </c>
      <c r="D1379" s="1">
        <v>0</v>
      </c>
      <c r="E1379" s="1">
        <v>0</v>
      </c>
      <c r="F1379" s="1">
        <v>37.799999999999997</v>
      </c>
      <c r="G1379" s="1">
        <v>0.26100000000000001</v>
      </c>
      <c r="H1379" s="1">
        <v>41</v>
      </c>
      <c r="I1379" s="1">
        <v>1</v>
      </c>
      <c r="J1379" s="1" t="str">
        <f>IFERROR(VLOOKUP(K1379,[1]diabetes_Recognition!$A:$B,2,FALSE),"Not Sampled")</f>
        <v>Not Sampled</v>
      </c>
      <c r="K1379" s="1">
        <v>1377</v>
      </c>
      <c r="L1379" s="1" t="str">
        <f>LOOKUP(A1379,Sheet2!$D$4:$E$9)</f>
        <v>5-7</v>
      </c>
      <c r="M1379" t="str">
        <f>LOOKUP(B1379,Sheet2!$G$4:$H$9)</f>
        <v>100-125</v>
      </c>
      <c r="N1379" t="str">
        <f>LOOKUP(C1379,Sheet2!$J$4:$K$8)</f>
        <v>60-69</v>
      </c>
      <c r="O1379" t="str">
        <f>LOOKUP(D1379,Sheet2!$M$4:$N$8)</f>
        <v>Unknown</v>
      </c>
      <c r="P1379" t="str">
        <f>LOOKUP(E1379,Sheet2!$P$4:$Q$9)</f>
        <v>Unknown</v>
      </c>
      <c r="Q1379" t="str">
        <f>LOOKUP(F1379,Sheet2!$S$4:$T$8)</f>
        <v>36+</v>
      </c>
      <c r="R1379" t="str">
        <f>LOOKUP(G1379,Sheet2!$V$4:$W$7)</f>
        <v>0.25 - 0.39</v>
      </c>
      <c r="S1379" t="str">
        <f>LOOKUP(H1379,Sheet2!$Z$4:$AA$7)</f>
        <v>36-45</v>
      </c>
      <c r="T1379" t="str">
        <f t="shared" si="63"/>
        <v>Positive</v>
      </c>
      <c r="U1379" t="str">
        <f t="shared" si="64"/>
        <v>Not Sampled</v>
      </c>
      <c r="V1379" s="1" t="str">
        <f t="shared" si="65"/>
        <v>Not Sampled</v>
      </c>
    </row>
    <row r="1380" spans="1:22" x14ac:dyDescent="0.25">
      <c r="A1380" s="1">
        <v>0</v>
      </c>
      <c r="B1380" s="1">
        <v>177</v>
      </c>
      <c r="C1380" s="1">
        <v>60</v>
      </c>
      <c r="D1380" s="1">
        <v>29</v>
      </c>
      <c r="E1380" s="1">
        <v>478</v>
      </c>
      <c r="F1380" s="1">
        <v>34.6</v>
      </c>
      <c r="G1380" s="1">
        <v>1.0720000000000001</v>
      </c>
      <c r="H1380" s="1">
        <v>21</v>
      </c>
      <c r="I1380" s="1">
        <v>1</v>
      </c>
      <c r="J1380" s="1" t="str">
        <f>IFERROR(VLOOKUP(K1380,[1]diabetes_Recognition!$A:$B,2,FALSE),"Not Sampled")</f>
        <v>Not Sampled</v>
      </c>
      <c r="K1380" s="1">
        <v>1378</v>
      </c>
      <c r="L1380" s="1">
        <f>LOOKUP(A1380,Sheet2!$D$4:$E$9)</f>
        <v>0</v>
      </c>
      <c r="M1380" t="str">
        <f>LOOKUP(B1380,Sheet2!$G$4:$H$9)</f>
        <v>176-200</v>
      </c>
      <c r="N1380" t="str">
        <f>LOOKUP(C1380,Sheet2!$J$4:$K$8)</f>
        <v>60-69</v>
      </c>
      <c r="O1380" t="str">
        <f>LOOKUP(D1380,Sheet2!$M$4:$N$8)</f>
        <v>10-30</v>
      </c>
      <c r="P1380" t="str">
        <f>LOOKUP(E1380,Sheet2!$P$4:$Q$9)</f>
        <v>300-499</v>
      </c>
      <c r="Q1380" t="str">
        <f>LOOKUP(F1380,Sheet2!$S$4:$T$8)</f>
        <v>31-35</v>
      </c>
      <c r="R1380" t="str">
        <f>LOOKUP(G1380,Sheet2!$V$4:$W$7)</f>
        <v>0.7+</v>
      </c>
      <c r="S1380" t="str">
        <f>LOOKUP(H1380,Sheet2!$Z$4:$AA$7)</f>
        <v>&lt;=25</v>
      </c>
      <c r="T1380" t="str">
        <f t="shared" si="63"/>
        <v>Positive</v>
      </c>
      <c r="U1380" t="str">
        <f t="shared" si="64"/>
        <v>Not Sampled</v>
      </c>
      <c r="V1380" s="1" t="str">
        <f t="shared" si="65"/>
        <v>Not Sampled</v>
      </c>
    </row>
    <row r="1381" spans="1:22" x14ac:dyDescent="0.25">
      <c r="A1381" s="1">
        <v>2</v>
      </c>
      <c r="B1381" s="1">
        <v>158</v>
      </c>
      <c r="C1381" s="1">
        <v>90</v>
      </c>
      <c r="D1381" s="1">
        <v>0</v>
      </c>
      <c r="E1381" s="1">
        <v>0</v>
      </c>
      <c r="F1381" s="1">
        <v>31.6</v>
      </c>
      <c r="G1381" s="1">
        <v>0.80500000000000005</v>
      </c>
      <c r="H1381" s="1">
        <v>66</v>
      </c>
      <c r="I1381" s="1">
        <v>1</v>
      </c>
      <c r="J1381" s="1">
        <f>IFERROR(VLOOKUP(K1381,[1]diabetes_Recognition!$A:$B,2,FALSE),"Not Sampled")</f>
        <v>1</v>
      </c>
      <c r="K1381" s="1">
        <v>1379</v>
      </c>
      <c r="L1381" s="1">
        <f>LOOKUP(A1381,Sheet2!$D$4:$E$9)</f>
        <v>2</v>
      </c>
      <c r="M1381" t="str">
        <f>LOOKUP(B1381,Sheet2!$G$4:$H$9)</f>
        <v>151-175</v>
      </c>
      <c r="N1381" t="str">
        <f>LOOKUP(C1381,Sheet2!$J$4:$K$8)</f>
        <v>80+</v>
      </c>
      <c r="O1381" t="str">
        <f>LOOKUP(D1381,Sheet2!$M$4:$N$8)</f>
        <v>Unknown</v>
      </c>
      <c r="P1381" t="str">
        <f>LOOKUP(E1381,Sheet2!$P$4:$Q$9)</f>
        <v>Unknown</v>
      </c>
      <c r="Q1381" t="str">
        <f>LOOKUP(F1381,Sheet2!$S$4:$T$8)</f>
        <v>31-35</v>
      </c>
      <c r="R1381" t="str">
        <f>LOOKUP(G1381,Sheet2!$V$4:$W$7)</f>
        <v>0.7+</v>
      </c>
      <c r="S1381" t="str">
        <f>LOOKUP(H1381,Sheet2!$Z$4:$AA$7)</f>
        <v>46+</v>
      </c>
      <c r="T1381" t="str">
        <f t="shared" si="63"/>
        <v>Positive</v>
      </c>
      <c r="U1381" t="str">
        <f t="shared" si="64"/>
        <v>Positive</v>
      </c>
      <c r="V1381" s="1" t="str">
        <f t="shared" si="65"/>
        <v>Accurate Prediction</v>
      </c>
    </row>
    <row r="1382" spans="1:22" x14ac:dyDescent="0.25">
      <c r="A1382" s="1">
        <v>7</v>
      </c>
      <c r="B1382" s="1">
        <v>119</v>
      </c>
      <c r="C1382" s="1">
        <v>0</v>
      </c>
      <c r="D1382" s="1">
        <v>0</v>
      </c>
      <c r="E1382" s="1">
        <v>0</v>
      </c>
      <c r="F1382" s="1">
        <v>25.2</v>
      </c>
      <c r="G1382" s="1">
        <v>0.20899999999999999</v>
      </c>
      <c r="H1382" s="1">
        <v>37</v>
      </c>
      <c r="I1382" s="1">
        <v>0</v>
      </c>
      <c r="J1382" s="1" t="str">
        <f>IFERROR(VLOOKUP(K1382,[1]diabetes_Recognition!$A:$B,2,FALSE),"Not Sampled")</f>
        <v>Not Sampled</v>
      </c>
      <c r="K1382" s="1">
        <v>1380</v>
      </c>
      <c r="L1382" s="1" t="str">
        <f>LOOKUP(A1382,Sheet2!$D$4:$E$9)</f>
        <v>5-7</v>
      </c>
      <c r="M1382" t="str">
        <f>LOOKUP(B1382,Sheet2!$G$4:$H$9)</f>
        <v>100-125</v>
      </c>
      <c r="N1382" t="str">
        <f>LOOKUP(C1382,Sheet2!$J$4:$K$8)</f>
        <v>Unknown</v>
      </c>
      <c r="O1382" t="str">
        <f>LOOKUP(D1382,Sheet2!$M$4:$N$8)</f>
        <v>Unknown</v>
      </c>
      <c r="P1382" t="str">
        <f>LOOKUP(E1382,Sheet2!$P$4:$Q$9)</f>
        <v>Unknown</v>
      </c>
      <c r="Q1382" t="str">
        <f>LOOKUP(F1382,Sheet2!$S$4:$T$8)</f>
        <v>1-25</v>
      </c>
      <c r="R1382" t="str">
        <f>LOOKUP(G1382,Sheet2!$V$4:$W$7)</f>
        <v>0.0 - 0.249</v>
      </c>
      <c r="S1382" t="str">
        <f>LOOKUP(H1382,Sheet2!$Z$4:$AA$7)</f>
        <v>36-45</v>
      </c>
      <c r="T1382" t="str">
        <f t="shared" si="63"/>
        <v>Negative</v>
      </c>
      <c r="U1382" t="str">
        <f t="shared" si="64"/>
        <v>Not Sampled</v>
      </c>
      <c r="V1382" s="1" t="str">
        <f t="shared" si="65"/>
        <v>Not Sampled</v>
      </c>
    </row>
    <row r="1383" spans="1:22" x14ac:dyDescent="0.25">
      <c r="A1383" s="1">
        <v>7</v>
      </c>
      <c r="B1383" s="1">
        <v>142</v>
      </c>
      <c r="C1383" s="1">
        <v>60</v>
      </c>
      <c r="D1383" s="1">
        <v>33</v>
      </c>
      <c r="E1383" s="1">
        <v>190</v>
      </c>
      <c r="F1383" s="1">
        <v>28.8</v>
      </c>
      <c r="G1383" s="1">
        <v>0.68700000000000006</v>
      </c>
      <c r="H1383" s="1">
        <v>61</v>
      </c>
      <c r="I1383" s="1">
        <v>0</v>
      </c>
      <c r="J1383" s="1">
        <f>IFERROR(VLOOKUP(K1383,[1]diabetes_Recognition!$A:$B,2,FALSE),"Not Sampled")</f>
        <v>1</v>
      </c>
      <c r="K1383" s="1">
        <v>1381</v>
      </c>
      <c r="L1383" s="1" t="str">
        <f>LOOKUP(A1383,Sheet2!$D$4:$E$9)</f>
        <v>5-7</v>
      </c>
      <c r="M1383" t="str">
        <f>LOOKUP(B1383,Sheet2!$G$4:$H$9)</f>
        <v>126-150</v>
      </c>
      <c r="N1383" t="str">
        <f>LOOKUP(C1383,Sheet2!$J$4:$K$8)</f>
        <v>60-69</v>
      </c>
      <c r="O1383" t="str">
        <f>LOOKUP(D1383,Sheet2!$M$4:$N$8)</f>
        <v>30-39</v>
      </c>
      <c r="P1383" t="str">
        <f>LOOKUP(E1383,Sheet2!$P$4:$Q$9)</f>
        <v>100-199</v>
      </c>
      <c r="Q1383" t="str">
        <f>LOOKUP(F1383,Sheet2!$S$4:$T$8)</f>
        <v>26-30</v>
      </c>
      <c r="R1383" t="str">
        <f>LOOKUP(G1383,Sheet2!$V$4:$W$7)</f>
        <v>0.4 - 0.69</v>
      </c>
      <c r="S1383" t="str">
        <f>LOOKUP(H1383,Sheet2!$Z$4:$AA$7)</f>
        <v>46+</v>
      </c>
      <c r="T1383" t="str">
        <f t="shared" si="63"/>
        <v>Negative</v>
      </c>
      <c r="U1383" t="str">
        <f t="shared" si="64"/>
        <v>Positive</v>
      </c>
      <c r="V1383" s="1" t="str">
        <f t="shared" si="65"/>
        <v>Inaccurate Prediction</v>
      </c>
    </row>
    <row r="1384" spans="1:22" x14ac:dyDescent="0.25">
      <c r="A1384" s="1">
        <v>1</v>
      </c>
      <c r="B1384" s="1">
        <v>100</v>
      </c>
      <c r="C1384" s="1">
        <v>66</v>
      </c>
      <c r="D1384" s="1">
        <v>15</v>
      </c>
      <c r="E1384" s="1">
        <v>56</v>
      </c>
      <c r="F1384" s="1">
        <v>23.6</v>
      </c>
      <c r="G1384" s="1">
        <v>0.66600000000000004</v>
      </c>
      <c r="H1384" s="1">
        <v>26</v>
      </c>
      <c r="I1384" s="1">
        <v>0</v>
      </c>
      <c r="J1384" s="1" t="str">
        <f>IFERROR(VLOOKUP(K1384,[1]diabetes_Recognition!$A:$B,2,FALSE),"Not Sampled")</f>
        <v>Not Sampled</v>
      </c>
      <c r="K1384" s="1">
        <v>1382</v>
      </c>
      <c r="L1384" s="1">
        <f>LOOKUP(A1384,Sheet2!$D$4:$E$9)</f>
        <v>1</v>
      </c>
      <c r="M1384" t="str">
        <f>LOOKUP(B1384,Sheet2!$G$4:$H$9)</f>
        <v>100-125</v>
      </c>
      <c r="N1384" t="str">
        <f>LOOKUP(C1384,Sheet2!$J$4:$K$8)</f>
        <v>60-69</v>
      </c>
      <c r="O1384" t="str">
        <f>LOOKUP(D1384,Sheet2!$M$4:$N$8)</f>
        <v>10-30</v>
      </c>
      <c r="P1384" t="str">
        <f>LOOKUP(E1384,Sheet2!$P$4:$Q$9)</f>
        <v>1-99</v>
      </c>
      <c r="Q1384" t="str">
        <f>LOOKUP(F1384,Sheet2!$S$4:$T$8)</f>
        <v>1-25</v>
      </c>
      <c r="R1384" t="str">
        <f>LOOKUP(G1384,Sheet2!$V$4:$W$7)</f>
        <v>0.4 - 0.69</v>
      </c>
      <c r="S1384" t="str">
        <f>LOOKUP(H1384,Sheet2!$Z$4:$AA$7)</f>
        <v>26-35</v>
      </c>
      <c r="T1384" t="str">
        <f t="shared" si="63"/>
        <v>Negative</v>
      </c>
      <c r="U1384" t="str">
        <f t="shared" si="64"/>
        <v>Not Sampled</v>
      </c>
      <c r="V1384" s="1" t="str">
        <f t="shared" si="65"/>
        <v>Not Sampled</v>
      </c>
    </row>
    <row r="1385" spans="1:22" x14ac:dyDescent="0.25">
      <c r="A1385" s="1">
        <v>1</v>
      </c>
      <c r="B1385" s="1">
        <v>87</v>
      </c>
      <c r="C1385" s="1">
        <v>78</v>
      </c>
      <c r="D1385" s="1">
        <v>27</v>
      </c>
      <c r="E1385" s="1">
        <v>32</v>
      </c>
      <c r="F1385" s="1">
        <v>34.6</v>
      </c>
      <c r="G1385" s="1">
        <v>0.10100000000000001</v>
      </c>
      <c r="H1385" s="1">
        <v>22</v>
      </c>
      <c r="I1385" s="1">
        <v>0</v>
      </c>
      <c r="J1385" s="1" t="str">
        <f>IFERROR(VLOOKUP(K1385,[1]diabetes_Recognition!$A:$B,2,FALSE),"Not Sampled")</f>
        <v>Not Sampled</v>
      </c>
      <c r="K1385" s="1">
        <v>1383</v>
      </c>
      <c r="L1385" s="1">
        <f>LOOKUP(A1385,Sheet2!$D$4:$E$9)</f>
        <v>1</v>
      </c>
      <c r="M1385" t="str">
        <f>LOOKUP(B1385,Sheet2!$G$4:$H$9)</f>
        <v>1-99</v>
      </c>
      <c r="N1385" t="str">
        <f>LOOKUP(C1385,Sheet2!$J$4:$K$8)</f>
        <v>70-79</v>
      </c>
      <c r="O1385" t="str">
        <f>LOOKUP(D1385,Sheet2!$M$4:$N$8)</f>
        <v>10-30</v>
      </c>
      <c r="P1385" t="str">
        <f>LOOKUP(E1385,Sheet2!$P$4:$Q$9)</f>
        <v>1-99</v>
      </c>
      <c r="Q1385" t="str">
        <f>LOOKUP(F1385,Sheet2!$S$4:$T$8)</f>
        <v>31-35</v>
      </c>
      <c r="R1385" t="str">
        <f>LOOKUP(G1385,Sheet2!$V$4:$W$7)</f>
        <v>0.0 - 0.249</v>
      </c>
      <c r="S1385" t="str">
        <f>LOOKUP(H1385,Sheet2!$Z$4:$AA$7)</f>
        <v>&lt;=25</v>
      </c>
      <c r="T1385" t="str">
        <f t="shared" si="63"/>
        <v>Negative</v>
      </c>
      <c r="U1385" t="str">
        <f t="shared" si="64"/>
        <v>Not Sampled</v>
      </c>
      <c r="V1385" s="1" t="str">
        <f t="shared" si="65"/>
        <v>Not Sampled</v>
      </c>
    </row>
    <row r="1386" spans="1:22" x14ac:dyDescent="0.25">
      <c r="A1386" s="1">
        <v>0</v>
      </c>
      <c r="B1386" s="1">
        <v>101</v>
      </c>
      <c r="C1386" s="1">
        <v>76</v>
      </c>
      <c r="D1386" s="1">
        <v>0</v>
      </c>
      <c r="E1386" s="1">
        <v>0</v>
      </c>
      <c r="F1386" s="1">
        <v>35.700000000000003</v>
      </c>
      <c r="G1386" s="1">
        <v>0.19800000000000001</v>
      </c>
      <c r="H1386" s="1">
        <v>26</v>
      </c>
      <c r="I1386" s="1">
        <v>0</v>
      </c>
      <c r="J1386" s="1" t="str">
        <f>IFERROR(VLOOKUP(K1386,[1]diabetes_Recognition!$A:$B,2,FALSE),"Not Sampled")</f>
        <v>Not Sampled</v>
      </c>
      <c r="K1386" s="1">
        <v>1384</v>
      </c>
      <c r="L1386" s="1">
        <f>LOOKUP(A1386,Sheet2!$D$4:$E$9)</f>
        <v>0</v>
      </c>
      <c r="M1386" t="str">
        <f>LOOKUP(B1386,Sheet2!$G$4:$H$9)</f>
        <v>100-125</v>
      </c>
      <c r="N1386" t="str">
        <f>LOOKUP(C1386,Sheet2!$J$4:$K$8)</f>
        <v>70-79</v>
      </c>
      <c r="O1386" t="str">
        <f>LOOKUP(D1386,Sheet2!$M$4:$N$8)</f>
        <v>Unknown</v>
      </c>
      <c r="P1386" t="str">
        <f>LOOKUP(E1386,Sheet2!$P$4:$Q$9)</f>
        <v>Unknown</v>
      </c>
      <c r="Q1386" t="str">
        <f>LOOKUP(F1386,Sheet2!$S$4:$T$8)</f>
        <v>31-35</v>
      </c>
      <c r="R1386" t="str">
        <f>LOOKUP(G1386,Sheet2!$V$4:$W$7)</f>
        <v>0.0 - 0.249</v>
      </c>
      <c r="S1386" t="str">
        <f>LOOKUP(H1386,Sheet2!$Z$4:$AA$7)</f>
        <v>26-35</v>
      </c>
      <c r="T1386" t="str">
        <f t="shared" si="63"/>
        <v>Negative</v>
      </c>
      <c r="U1386" t="str">
        <f t="shared" si="64"/>
        <v>Not Sampled</v>
      </c>
      <c r="V1386" s="1" t="str">
        <f t="shared" si="65"/>
        <v>Not Sampled</v>
      </c>
    </row>
    <row r="1387" spans="1:22" x14ac:dyDescent="0.25">
      <c r="A1387" s="1">
        <v>3</v>
      </c>
      <c r="B1387" s="1">
        <v>162</v>
      </c>
      <c r="C1387" s="1">
        <v>52</v>
      </c>
      <c r="D1387" s="1">
        <v>38</v>
      </c>
      <c r="E1387" s="1">
        <v>0</v>
      </c>
      <c r="F1387" s="1">
        <v>37.200000000000003</v>
      </c>
      <c r="G1387" s="1">
        <v>0.65200000000000002</v>
      </c>
      <c r="H1387" s="1">
        <v>24</v>
      </c>
      <c r="I1387" s="1">
        <v>1</v>
      </c>
      <c r="J1387" s="1" t="str">
        <f>IFERROR(VLOOKUP(K1387,[1]diabetes_Recognition!$A:$B,2,FALSE),"Not Sampled")</f>
        <v>Not Sampled</v>
      </c>
      <c r="K1387" s="1">
        <v>1385</v>
      </c>
      <c r="L1387" s="1" t="str">
        <f>LOOKUP(A1387,Sheet2!$D$4:$E$9)</f>
        <v>3-4</v>
      </c>
      <c r="M1387" t="str">
        <f>LOOKUP(B1387,Sheet2!$G$4:$H$9)</f>
        <v>151-175</v>
      </c>
      <c r="N1387" t="str">
        <f>LOOKUP(C1387,Sheet2!$J$4:$K$8)</f>
        <v>1-59</v>
      </c>
      <c r="O1387" t="str">
        <f>LOOKUP(D1387,Sheet2!$M$4:$N$8)</f>
        <v>30-39</v>
      </c>
      <c r="P1387" t="str">
        <f>LOOKUP(E1387,Sheet2!$P$4:$Q$9)</f>
        <v>Unknown</v>
      </c>
      <c r="Q1387" t="str">
        <f>LOOKUP(F1387,Sheet2!$S$4:$T$8)</f>
        <v>36+</v>
      </c>
      <c r="R1387" t="str">
        <f>LOOKUP(G1387,Sheet2!$V$4:$W$7)</f>
        <v>0.4 - 0.69</v>
      </c>
      <c r="S1387" t="str">
        <f>LOOKUP(H1387,Sheet2!$Z$4:$AA$7)</f>
        <v>&lt;=25</v>
      </c>
      <c r="T1387" t="str">
        <f t="shared" si="63"/>
        <v>Positive</v>
      </c>
      <c r="U1387" t="str">
        <f t="shared" si="64"/>
        <v>Not Sampled</v>
      </c>
      <c r="V1387" s="1" t="str">
        <f t="shared" si="65"/>
        <v>Not Sampled</v>
      </c>
    </row>
    <row r="1388" spans="1:22" x14ac:dyDescent="0.25">
      <c r="A1388" s="1">
        <v>4</v>
      </c>
      <c r="B1388" s="1">
        <v>197</v>
      </c>
      <c r="C1388" s="1">
        <v>70</v>
      </c>
      <c r="D1388" s="1">
        <v>39</v>
      </c>
      <c r="E1388" s="1">
        <v>744</v>
      </c>
      <c r="F1388" s="1">
        <v>36.700000000000003</v>
      </c>
      <c r="G1388" s="1">
        <v>2.3290000000000002</v>
      </c>
      <c r="H1388" s="1">
        <v>31</v>
      </c>
      <c r="I1388" s="1">
        <v>0</v>
      </c>
      <c r="J1388" s="1" t="str">
        <f>IFERROR(VLOOKUP(K1388,[1]diabetes_Recognition!$A:$B,2,FALSE),"Not Sampled")</f>
        <v>Not Sampled</v>
      </c>
      <c r="K1388" s="1">
        <v>1386</v>
      </c>
      <c r="L1388" s="1" t="str">
        <f>LOOKUP(A1388,Sheet2!$D$4:$E$9)</f>
        <v>3-4</v>
      </c>
      <c r="M1388" t="str">
        <f>LOOKUP(B1388,Sheet2!$G$4:$H$9)</f>
        <v>176-200</v>
      </c>
      <c r="N1388" t="str">
        <f>LOOKUP(C1388,Sheet2!$J$4:$K$8)</f>
        <v>70-79</v>
      </c>
      <c r="O1388" t="str">
        <f>LOOKUP(D1388,Sheet2!$M$4:$N$8)</f>
        <v>30-39</v>
      </c>
      <c r="P1388" t="str">
        <f>LOOKUP(E1388,Sheet2!$P$4:$Q$9)</f>
        <v>500+</v>
      </c>
      <c r="Q1388" t="str">
        <f>LOOKUP(F1388,Sheet2!$S$4:$T$8)</f>
        <v>36+</v>
      </c>
      <c r="R1388" t="str">
        <f>LOOKUP(G1388,Sheet2!$V$4:$W$7)</f>
        <v>0.7+</v>
      </c>
      <c r="S1388" t="str">
        <f>LOOKUP(H1388,Sheet2!$Z$4:$AA$7)</f>
        <v>26-35</v>
      </c>
      <c r="T1388" t="str">
        <f t="shared" si="63"/>
        <v>Negative</v>
      </c>
      <c r="U1388" t="str">
        <f t="shared" si="64"/>
        <v>Not Sampled</v>
      </c>
      <c r="V1388" s="1" t="str">
        <f t="shared" si="65"/>
        <v>Not Sampled</v>
      </c>
    </row>
    <row r="1389" spans="1:22" x14ac:dyDescent="0.25">
      <c r="A1389" s="1">
        <v>0</v>
      </c>
      <c r="B1389" s="1">
        <v>117</v>
      </c>
      <c r="C1389" s="1">
        <v>80</v>
      </c>
      <c r="D1389" s="1">
        <v>31</v>
      </c>
      <c r="E1389" s="1">
        <v>53</v>
      </c>
      <c r="F1389" s="1">
        <v>45.2</v>
      </c>
      <c r="G1389" s="1">
        <v>8.8999999999999996E-2</v>
      </c>
      <c r="H1389" s="1">
        <v>24</v>
      </c>
      <c r="I1389" s="1">
        <v>0</v>
      </c>
      <c r="J1389" s="1" t="str">
        <f>IFERROR(VLOOKUP(K1389,[1]diabetes_Recognition!$A:$B,2,FALSE),"Not Sampled")</f>
        <v>Not Sampled</v>
      </c>
      <c r="K1389" s="1">
        <v>1387</v>
      </c>
      <c r="L1389" s="1">
        <f>LOOKUP(A1389,Sheet2!$D$4:$E$9)</f>
        <v>0</v>
      </c>
      <c r="M1389" t="str">
        <f>LOOKUP(B1389,Sheet2!$G$4:$H$9)</f>
        <v>100-125</v>
      </c>
      <c r="N1389" t="str">
        <f>LOOKUP(C1389,Sheet2!$J$4:$K$8)</f>
        <v>80+</v>
      </c>
      <c r="O1389" t="str">
        <f>LOOKUP(D1389,Sheet2!$M$4:$N$8)</f>
        <v>30-39</v>
      </c>
      <c r="P1389" t="str">
        <f>LOOKUP(E1389,Sheet2!$P$4:$Q$9)</f>
        <v>1-99</v>
      </c>
      <c r="Q1389" t="str">
        <f>LOOKUP(F1389,Sheet2!$S$4:$T$8)</f>
        <v>36+</v>
      </c>
      <c r="R1389" t="str">
        <f>LOOKUP(G1389,Sheet2!$V$4:$W$7)</f>
        <v>0.0 - 0.249</v>
      </c>
      <c r="S1389" t="str">
        <f>LOOKUP(H1389,Sheet2!$Z$4:$AA$7)</f>
        <v>&lt;=25</v>
      </c>
      <c r="T1389" t="str">
        <f t="shared" si="63"/>
        <v>Negative</v>
      </c>
      <c r="U1389" t="str">
        <f t="shared" si="64"/>
        <v>Not Sampled</v>
      </c>
      <c r="V1389" s="1" t="str">
        <f t="shared" si="65"/>
        <v>Not Sampled</v>
      </c>
    </row>
    <row r="1390" spans="1:22" x14ac:dyDescent="0.25">
      <c r="A1390" s="1">
        <v>4</v>
      </c>
      <c r="B1390" s="1">
        <v>142</v>
      </c>
      <c r="C1390" s="1">
        <v>86</v>
      </c>
      <c r="D1390" s="1">
        <v>0</v>
      </c>
      <c r="E1390" s="1">
        <v>0</v>
      </c>
      <c r="F1390" s="1">
        <v>44</v>
      </c>
      <c r="G1390" s="1">
        <v>0.64500000000000002</v>
      </c>
      <c r="H1390" s="1">
        <v>22</v>
      </c>
      <c r="I1390" s="1">
        <v>1</v>
      </c>
      <c r="J1390" s="1" t="str">
        <f>IFERROR(VLOOKUP(K1390,[1]diabetes_Recognition!$A:$B,2,FALSE),"Not Sampled")</f>
        <v>Not Sampled</v>
      </c>
      <c r="K1390" s="1">
        <v>1388</v>
      </c>
      <c r="L1390" s="1" t="str">
        <f>LOOKUP(A1390,Sheet2!$D$4:$E$9)</f>
        <v>3-4</v>
      </c>
      <c r="M1390" t="str">
        <f>LOOKUP(B1390,Sheet2!$G$4:$H$9)</f>
        <v>126-150</v>
      </c>
      <c r="N1390" t="str">
        <f>LOOKUP(C1390,Sheet2!$J$4:$K$8)</f>
        <v>80+</v>
      </c>
      <c r="O1390" t="str">
        <f>LOOKUP(D1390,Sheet2!$M$4:$N$8)</f>
        <v>Unknown</v>
      </c>
      <c r="P1390" t="str">
        <f>LOOKUP(E1390,Sheet2!$P$4:$Q$9)</f>
        <v>Unknown</v>
      </c>
      <c r="Q1390" t="str">
        <f>LOOKUP(F1390,Sheet2!$S$4:$T$8)</f>
        <v>36+</v>
      </c>
      <c r="R1390" t="str">
        <f>LOOKUP(G1390,Sheet2!$V$4:$W$7)</f>
        <v>0.4 - 0.69</v>
      </c>
      <c r="S1390" t="str">
        <f>LOOKUP(H1390,Sheet2!$Z$4:$AA$7)</f>
        <v>&lt;=25</v>
      </c>
      <c r="T1390" t="str">
        <f t="shared" si="63"/>
        <v>Positive</v>
      </c>
      <c r="U1390" t="str">
        <f t="shared" si="64"/>
        <v>Not Sampled</v>
      </c>
      <c r="V1390" s="1" t="str">
        <f t="shared" si="65"/>
        <v>Not Sampled</v>
      </c>
    </row>
    <row r="1391" spans="1:22" x14ac:dyDescent="0.25">
      <c r="A1391" s="1">
        <v>6</v>
      </c>
      <c r="B1391" s="1">
        <v>134</v>
      </c>
      <c r="C1391" s="1">
        <v>80</v>
      </c>
      <c r="D1391" s="1">
        <v>37</v>
      </c>
      <c r="E1391" s="1">
        <v>370</v>
      </c>
      <c r="F1391" s="1">
        <v>46.2</v>
      </c>
      <c r="G1391" s="1">
        <v>0.23799999999999999</v>
      </c>
      <c r="H1391" s="1">
        <v>46</v>
      </c>
      <c r="I1391" s="1">
        <v>1</v>
      </c>
      <c r="J1391" s="1" t="str">
        <f>IFERROR(VLOOKUP(K1391,[1]diabetes_Recognition!$A:$B,2,FALSE),"Not Sampled")</f>
        <v>Not Sampled</v>
      </c>
      <c r="K1391" s="1">
        <v>1389</v>
      </c>
      <c r="L1391" s="1" t="str">
        <f>LOOKUP(A1391,Sheet2!$D$4:$E$9)</f>
        <v>5-7</v>
      </c>
      <c r="M1391" t="str">
        <f>LOOKUP(B1391,Sheet2!$G$4:$H$9)</f>
        <v>126-150</v>
      </c>
      <c r="N1391" t="str">
        <f>LOOKUP(C1391,Sheet2!$J$4:$K$8)</f>
        <v>80+</v>
      </c>
      <c r="O1391" t="str">
        <f>LOOKUP(D1391,Sheet2!$M$4:$N$8)</f>
        <v>30-39</v>
      </c>
      <c r="P1391" t="str">
        <f>LOOKUP(E1391,Sheet2!$P$4:$Q$9)</f>
        <v>300-499</v>
      </c>
      <c r="Q1391" t="str">
        <f>LOOKUP(F1391,Sheet2!$S$4:$T$8)</f>
        <v>36+</v>
      </c>
      <c r="R1391" t="str">
        <f>LOOKUP(G1391,Sheet2!$V$4:$W$7)</f>
        <v>0.0 - 0.249</v>
      </c>
      <c r="S1391" t="str">
        <f>LOOKUP(H1391,Sheet2!$Z$4:$AA$7)</f>
        <v>46+</v>
      </c>
      <c r="T1391" t="str">
        <f t="shared" si="63"/>
        <v>Positive</v>
      </c>
      <c r="U1391" t="str">
        <f t="shared" si="64"/>
        <v>Not Sampled</v>
      </c>
      <c r="V1391" s="1" t="str">
        <f t="shared" si="65"/>
        <v>Not Sampled</v>
      </c>
    </row>
    <row r="1392" spans="1:22" x14ac:dyDescent="0.25">
      <c r="A1392" s="1">
        <v>1</v>
      </c>
      <c r="B1392" s="1">
        <v>79</v>
      </c>
      <c r="C1392" s="1">
        <v>80</v>
      </c>
      <c r="D1392" s="1">
        <v>25</v>
      </c>
      <c r="E1392" s="1">
        <v>37</v>
      </c>
      <c r="F1392" s="1">
        <v>25.4</v>
      </c>
      <c r="G1392" s="1">
        <v>0.58299999999999996</v>
      </c>
      <c r="H1392" s="1">
        <v>22</v>
      </c>
      <c r="I1392" s="1">
        <v>0</v>
      </c>
      <c r="J1392" s="1">
        <f>IFERROR(VLOOKUP(K1392,[1]diabetes_Recognition!$A:$B,2,FALSE),"Not Sampled")</f>
        <v>0</v>
      </c>
      <c r="K1392" s="1">
        <v>1390</v>
      </c>
      <c r="L1392" s="1">
        <f>LOOKUP(A1392,Sheet2!$D$4:$E$9)</f>
        <v>1</v>
      </c>
      <c r="M1392" t="str">
        <f>LOOKUP(B1392,Sheet2!$G$4:$H$9)</f>
        <v>1-99</v>
      </c>
      <c r="N1392" t="str">
        <f>LOOKUP(C1392,Sheet2!$J$4:$K$8)</f>
        <v>80+</v>
      </c>
      <c r="O1392" t="str">
        <f>LOOKUP(D1392,Sheet2!$M$4:$N$8)</f>
        <v>10-30</v>
      </c>
      <c r="P1392" t="str">
        <f>LOOKUP(E1392,Sheet2!$P$4:$Q$9)</f>
        <v>1-99</v>
      </c>
      <c r="Q1392" t="str">
        <f>LOOKUP(F1392,Sheet2!$S$4:$T$8)</f>
        <v>1-25</v>
      </c>
      <c r="R1392" t="str">
        <f>LOOKUP(G1392,Sheet2!$V$4:$W$7)</f>
        <v>0.4 - 0.69</v>
      </c>
      <c r="S1392" t="str">
        <f>LOOKUP(H1392,Sheet2!$Z$4:$AA$7)</f>
        <v>&lt;=25</v>
      </c>
      <c r="T1392" t="str">
        <f t="shared" si="63"/>
        <v>Negative</v>
      </c>
      <c r="U1392" t="str">
        <f t="shared" si="64"/>
        <v>Negative</v>
      </c>
      <c r="V1392" s="1" t="str">
        <f t="shared" si="65"/>
        <v>Accurate Prediction</v>
      </c>
    </row>
    <row r="1393" spans="1:22" x14ac:dyDescent="0.25">
      <c r="A1393" s="1">
        <v>4</v>
      </c>
      <c r="B1393" s="1">
        <v>122</v>
      </c>
      <c r="C1393" s="1">
        <v>68</v>
      </c>
      <c r="D1393" s="1">
        <v>0</v>
      </c>
      <c r="E1393" s="1">
        <v>0</v>
      </c>
      <c r="F1393" s="1">
        <v>35</v>
      </c>
      <c r="G1393" s="1">
        <v>0.39400000000000002</v>
      </c>
      <c r="H1393" s="1">
        <v>29</v>
      </c>
      <c r="I1393" s="1">
        <v>0</v>
      </c>
      <c r="J1393" s="1" t="str">
        <f>IFERROR(VLOOKUP(K1393,[1]diabetes_Recognition!$A:$B,2,FALSE),"Not Sampled")</f>
        <v>Not Sampled</v>
      </c>
      <c r="K1393" s="1">
        <v>1391</v>
      </c>
      <c r="L1393" s="1" t="str">
        <f>LOOKUP(A1393,Sheet2!$D$4:$E$9)</f>
        <v>3-4</v>
      </c>
      <c r="M1393" t="str">
        <f>LOOKUP(B1393,Sheet2!$G$4:$H$9)</f>
        <v>100-125</v>
      </c>
      <c r="N1393" t="str">
        <f>LOOKUP(C1393,Sheet2!$J$4:$K$8)</f>
        <v>60-69</v>
      </c>
      <c r="O1393" t="str">
        <f>LOOKUP(D1393,Sheet2!$M$4:$N$8)</f>
        <v>Unknown</v>
      </c>
      <c r="P1393" t="str">
        <f>LOOKUP(E1393,Sheet2!$P$4:$Q$9)</f>
        <v>Unknown</v>
      </c>
      <c r="Q1393" t="str">
        <f>LOOKUP(F1393,Sheet2!$S$4:$T$8)</f>
        <v>31-35</v>
      </c>
      <c r="R1393" t="str">
        <f>LOOKUP(G1393,Sheet2!$V$4:$W$7)</f>
        <v>0.25 - 0.39</v>
      </c>
      <c r="S1393" t="str">
        <f>LOOKUP(H1393,Sheet2!$Z$4:$AA$7)</f>
        <v>26-35</v>
      </c>
      <c r="T1393" t="str">
        <f t="shared" si="63"/>
        <v>Negative</v>
      </c>
      <c r="U1393" t="str">
        <f t="shared" si="64"/>
        <v>Not Sampled</v>
      </c>
      <c r="V1393" s="1" t="str">
        <f t="shared" si="65"/>
        <v>Not Sampled</v>
      </c>
    </row>
    <row r="1394" spans="1:22" x14ac:dyDescent="0.25">
      <c r="A1394" s="1">
        <v>3</v>
      </c>
      <c r="B1394" s="1">
        <v>74</v>
      </c>
      <c r="C1394" s="1">
        <v>68</v>
      </c>
      <c r="D1394" s="1">
        <v>28</v>
      </c>
      <c r="E1394" s="1">
        <v>45</v>
      </c>
      <c r="F1394" s="1">
        <v>29.7</v>
      </c>
      <c r="G1394" s="1">
        <v>0.29299999999999998</v>
      </c>
      <c r="H1394" s="1">
        <v>23</v>
      </c>
      <c r="I1394" s="1">
        <v>0</v>
      </c>
      <c r="J1394" s="1" t="str">
        <f>IFERROR(VLOOKUP(K1394,[1]diabetes_Recognition!$A:$B,2,FALSE),"Not Sampled")</f>
        <v>Not Sampled</v>
      </c>
      <c r="K1394" s="1">
        <v>1392</v>
      </c>
      <c r="L1394" s="1" t="str">
        <f>LOOKUP(A1394,Sheet2!$D$4:$E$9)</f>
        <v>3-4</v>
      </c>
      <c r="M1394" t="str">
        <f>LOOKUP(B1394,Sheet2!$G$4:$H$9)</f>
        <v>1-99</v>
      </c>
      <c r="N1394" t="str">
        <f>LOOKUP(C1394,Sheet2!$J$4:$K$8)</f>
        <v>60-69</v>
      </c>
      <c r="O1394" t="str">
        <f>LOOKUP(D1394,Sheet2!$M$4:$N$8)</f>
        <v>10-30</v>
      </c>
      <c r="P1394" t="str">
        <f>LOOKUP(E1394,Sheet2!$P$4:$Q$9)</f>
        <v>1-99</v>
      </c>
      <c r="Q1394" t="str">
        <f>LOOKUP(F1394,Sheet2!$S$4:$T$8)</f>
        <v>26-30</v>
      </c>
      <c r="R1394" t="str">
        <f>LOOKUP(G1394,Sheet2!$V$4:$W$7)</f>
        <v>0.25 - 0.39</v>
      </c>
      <c r="S1394" t="str">
        <f>LOOKUP(H1394,Sheet2!$Z$4:$AA$7)</f>
        <v>&lt;=25</v>
      </c>
      <c r="T1394" t="str">
        <f t="shared" si="63"/>
        <v>Negative</v>
      </c>
      <c r="U1394" t="str">
        <f t="shared" si="64"/>
        <v>Not Sampled</v>
      </c>
      <c r="V1394" s="1" t="str">
        <f t="shared" si="65"/>
        <v>Not Sampled</v>
      </c>
    </row>
    <row r="1395" spans="1:22" x14ac:dyDescent="0.25">
      <c r="A1395" s="1">
        <v>4</v>
      </c>
      <c r="B1395" s="1">
        <v>171</v>
      </c>
      <c r="C1395" s="1">
        <v>72</v>
      </c>
      <c r="D1395" s="1">
        <v>0</v>
      </c>
      <c r="E1395" s="1">
        <v>0</v>
      </c>
      <c r="F1395" s="1">
        <v>43.6</v>
      </c>
      <c r="G1395" s="1">
        <v>0.47899999999999998</v>
      </c>
      <c r="H1395" s="1">
        <v>26</v>
      </c>
      <c r="I1395" s="1">
        <v>1</v>
      </c>
      <c r="J1395" s="1" t="str">
        <f>IFERROR(VLOOKUP(K1395,[1]diabetes_Recognition!$A:$B,2,FALSE),"Not Sampled")</f>
        <v>Not Sampled</v>
      </c>
      <c r="K1395" s="1">
        <v>1393</v>
      </c>
      <c r="L1395" s="1" t="str">
        <f>LOOKUP(A1395,Sheet2!$D$4:$E$9)</f>
        <v>3-4</v>
      </c>
      <c r="M1395" t="str">
        <f>LOOKUP(B1395,Sheet2!$G$4:$H$9)</f>
        <v>151-175</v>
      </c>
      <c r="N1395" t="str">
        <f>LOOKUP(C1395,Sheet2!$J$4:$K$8)</f>
        <v>70-79</v>
      </c>
      <c r="O1395" t="str">
        <f>LOOKUP(D1395,Sheet2!$M$4:$N$8)</f>
        <v>Unknown</v>
      </c>
      <c r="P1395" t="str">
        <f>LOOKUP(E1395,Sheet2!$P$4:$Q$9)</f>
        <v>Unknown</v>
      </c>
      <c r="Q1395" t="str">
        <f>LOOKUP(F1395,Sheet2!$S$4:$T$8)</f>
        <v>36+</v>
      </c>
      <c r="R1395" t="str">
        <f>LOOKUP(G1395,Sheet2!$V$4:$W$7)</f>
        <v>0.4 - 0.69</v>
      </c>
      <c r="S1395" t="str">
        <f>LOOKUP(H1395,Sheet2!$Z$4:$AA$7)</f>
        <v>26-35</v>
      </c>
      <c r="T1395" t="str">
        <f t="shared" si="63"/>
        <v>Positive</v>
      </c>
      <c r="U1395" t="str">
        <f t="shared" si="64"/>
        <v>Not Sampled</v>
      </c>
      <c r="V1395" s="1" t="str">
        <f t="shared" si="65"/>
        <v>Not Sampled</v>
      </c>
    </row>
    <row r="1396" spans="1:22" x14ac:dyDescent="0.25">
      <c r="A1396" s="1">
        <v>7</v>
      </c>
      <c r="B1396" s="1">
        <v>181</v>
      </c>
      <c r="C1396" s="1">
        <v>84</v>
      </c>
      <c r="D1396" s="1">
        <v>21</v>
      </c>
      <c r="E1396" s="1">
        <v>192</v>
      </c>
      <c r="F1396" s="1">
        <v>35.9</v>
      </c>
      <c r="G1396" s="1">
        <v>0.58599999999999997</v>
      </c>
      <c r="H1396" s="1">
        <v>51</v>
      </c>
      <c r="I1396" s="1">
        <v>1</v>
      </c>
      <c r="J1396" s="1" t="str">
        <f>IFERROR(VLOOKUP(K1396,[1]diabetes_Recognition!$A:$B,2,FALSE),"Not Sampled")</f>
        <v>Not Sampled</v>
      </c>
      <c r="K1396" s="1">
        <v>1394</v>
      </c>
      <c r="L1396" s="1" t="str">
        <f>LOOKUP(A1396,Sheet2!$D$4:$E$9)</f>
        <v>5-7</v>
      </c>
      <c r="M1396" t="str">
        <f>LOOKUP(B1396,Sheet2!$G$4:$H$9)</f>
        <v>176-200</v>
      </c>
      <c r="N1396" t="str">
        <f>LOOKUP(C1396,Sheet2!$J$4:$K$8)</f>
        <v>80+</v>
      </c>
      <c r="O1396" t="str">
        <f>LOOKUP(D1396,Sheet2!$M$4:$N$8)</f>
        <v>10-30</v>
      </c>
      <c r="P1396" t="str">
        <f>LOOKUP(E1396,Sheet2!$P$4:$Q$9)</f>
        <v>100-199</v>
      </c>
      <c r="Q1396" t="str">
        <f>LOOKUP(F1396,Sheet2!$S$4:$T$8)</f>
        <v>31-35</v>
      </c>
      <c r="R1396" t="str">
        <f>LOOKUP(G1396,Sheet2!$V$4:$W$7)</f>
        <v>0.4 - 0.69</v>
      </c>
      <c r="S1396" t="str">
        <f>LOOKUP(H1396,Sheet2!$Z$4:$AA$7)</f>
        <v>46+</v>
      </c>
      <c r="T1396" t="str">
        <f t="shared" si="63"/>
        <v>Positive</v>
      </c>
      <c r="U1396" t="str">
        <f t="shared" si="64"/>
        <v>Not Sampled</v>
      </c>
      <c r="V1396" s="1" t="str">
        <f t="shared" si="65"/>
        <v>Not Sampled</v>
      </c>
    </row>
    <row r="1397" spans="1:22" x14ac:dyDescent="0.25">
      <c r="A1397" s="1">
        <v>0</v>
      </c>
      <c r="B1397" s="1">
        <v>179</v>
      </c>
      <c r="C1397" s="1">
        <v>90</v>
      </c>
      <c r="D1397" s="1">
        <v>27</v>
      </c>
      <c r="E1397" s="1">
        <v>0</v>
      </c>
      <c r="F1397" s="1">
        <v>44.1</v>
      </c>
      <c r="G1397" s="1">
        <v>0.68600000000000005</v>
      </c>
      <c r="H1397" s="1">
        <v>23</v>
      </c>
      <c r="I1397" s="1">
        <v>1</v>
      </c>
      <c r="J1397" s="1">
        <f>IFERROR(VLOOKUP(K1397,[1]diabetes_Recognition!$A:$B,2,FALSE),"Not Sampled")</f>
        <v>1</v>
      </c>
      <c r="K1397" s="1">
        <v>1395</v>
      </c>
      <c r="L1397" s="1">
        <f>LOOKUP(A1397,Sheet2!$D$4:$E$9)</f>
        <v>0</v>
      </c>
      <c r="M1397" t="str">
        <f>LOOKUP(B1397,Sheet2!$G$4:$H$9)</f>
        <v>176-200</v>
      </c>
      <c r="N1397" t="str">
        <f>LOOKUP(C1397,Sheet2!$J$4:$K$8)</f>
        <v>80+</v>
      </c>
      <c r="O1397" t="str">
        <f>LOOKUP(D1397,Sheet2!$M$4:$N$8)</f>
        <v>10-30</v>
      </c>
      <c r="P1397" t="str">
        <f>LOOKUP(E1397,Sheet2!$P$4:$Q$9)</f>
        <v>Unknown</v>
      </c>
      <c r="Q1397" t="str">
        <f>LOOKUP(F1397,Sheet2!$S$4:$T$8)</f>
        <v>36+</v>
      </c>
      <c r="R1397" t="str">
        <f>LOOKUP(G1397,Sheet2!$V$4:$W$7)</f>
        <v>0.4 - 0.69</v>
      </c>
      <c r="S1397" t="str">
        <f>LOOKUP(H1397,Sheet2!$Z$4:$AA$7)</f>
        <v>&lt;=25</v>
      </c>
      <c r="T1397" t="str">
        <f t="shared" si="63"/>
        <v>Positive</v>
      </c>
      <c r="U1397" t="str">
        <f t="shared" si="64"/>
        <v>Positive</v>
      </c>
      <c r="V1397" s="1" t="str">
        <f t="shared" si="65"/>
        <v>Accurate Prediction</v>
      </c>
    </row>
    <row r="1398" spans="1:22" x14ac:dyDescent="0.25">
      <c r="A1398" s="1">
        <v>9</v>
      </c>
      <c r="B1398" s="1">
        <v>164</v>
      </c>
      <c r="C1398" s="1">
        <v>84</v>
      </c>
      <c r="D1398" s="1">
        <v>21</v>
      </c>
      <c r="E1398" s="1">
        <v>0</v>
      </c>
      <c r="F1398" s="1">
        <v>30.8</v>
      </c>
      <c r="G1398" s="1">
        <v>0.83099999999999996</v>
      </c>
      <c r="H1398" s="1">
        <v>32</v>
      </c>
      <c r="I1398" s="1">
        <v>1</v>
      </c>
      <c r="J1398" s="1" t="str">
        <f>IFERROR(VLOOKUP(K1398,[1]diabetes_Recognition!$A:$B,2,FALSE),"Not Sampled")</f>
        <v>Not Sampled</v>
      </c>
      <c r="K1398" s="1">
        <v>1396</v>
      </c>
      <c r="L1398" s="1" t="str">
        <f>LOOKUP(A1398,Sheet2!$D$4:$E$9)</f>
        <v>8+</v>
      </c>
      <c r="M1398" t="str">
        <f>LOOKUP(B1398,Sheet2!$G$4:$H$9)</f>
        <v>151-175</v>
      </c>
      <c r="N1398" t="str">
        <f>LOOKUP(C1398,Sheet2!$J$4:$K$8)</f>
        <v>80+</v>
      </c>
      <c r="O1398" t="str">
        <f>LOOKUP(D1398,Sheet2!$M$4:$N$8)</f>
        <v>10-30</v>
      </c>
      <c r="P1398" t="str">
        <f>LOOKUP(E1398,Sheet2!$P$4:$Q$9)</f>
        <v>Unknown</v>
      </c>
      <c r="Q1398" t="str">
        <f>LOOKUP(F1398,Sheet2!$S$4:$T$8)</f>
        <v>26-30</v>
      </c>
      <c r="R1398" t="str">
        <f>LOOKUP(G1398,Sheet2!$V$4:$W$7)</f>
        <v>0.7+</v>
      </c>
      <c r="S1398" t="str">
        <f>LOOKUP(H1398,Sheet2!$Z$4:$AA$7)</f>
        <v>26-35</v>
      </c>
      <c r="T1398" t="str">
        <f t="shared" si="63"/>
        <v>Positive</v>
      </c>
      <c r="U1398" t="str">
        <f t="shared" si="64"/>
        <v>Not Sampled</v>
      </c>
      <c r="V1398" s="1" t="str">
        <f t="shared" si="65"/>
        <v>Not Sampled</v>
      </c>
    </row>
    <row r="1399" spans="1:22" x14ac:dyDescent="0.25">
      <c r="A1399" s="1">
        <v>0</v>
      </c>
      <c r="B1399" s="1">
        <v>104</v>
      </c>
      <c r="C1399" s="1">
        <v>76</v>
      </c>
      <c r="D1399" s="1">
        <v>0</v>
      </c>
      <c r="E1399" s="1">
        <v>0</v>
      </c>
      <c r="F1399" s="1">
        <v>18.399999999999999</v>
      </c>
      <c r="G1399" s="1">
        <v>0.58199999999999996</v>
      </c>
      <c r="H1399" s="1">
        <v>27</v>
      </c>
      <c r="I1399" s="1">
        <v>0</v>
      </c>
      <c r="J1399" s="1" t="str">
        <f>IFERROR(VLOOKUP(K1399,[1]diabetes_Recognition!$A:$B,2,FALSE),"Not Sampled")</f>
        <v>Not Sampled</v>
      </c>
      <c r="K1399" s="1">
        <v>1397</v>
      </c>
      <c r="L1399" s="1">
        <f>LOOKUP(A1399,Sheet2!$D$4:$E$9)</f>
        <v>0</v>
      </c>
      <c r="M1399" t="str">
        <f>LOOKUP(B1399,Sheet2!$G$4:$H$9)</f>
        <v>100-125</v>
      </c>
      <c r="N1399" t="str">
        <f>LOOKUP(C1399,Sheet2!$J$4:$K$8)</f>
        <v>70-79</v>
      </c>
      <c r="O1399" t="str">
        <f>LOOKUP(D1399,Sheet2!$M$4:$N$8)</f>
        <v>Unknown</v>
      </c>
      <c r="P1399" t="str">
        <f>LOOKUP(E1399,Sheet2!$P$4:$Q$9)</f>
        <v>Unknown</v>
      </c>
      <c r="Q1399" t="str">
        <f>LOOKUP(F1399,Sheet2!$S$4:$T$8)</f>
        <v>1-25</v>
      </c>
      <c r="R1399" t="str">
        <f>LOOKUP(G1399,Sheet2!$V$4:$W$7)</f>
        <v>0.4 - 0.69</v>
      </c>
      <c r="S1399" t="str">
        <f>LOOKUP(H1399,Sheet2!$Z$4:$AA$7)</f>
        <v>26-35</v>
      </c>
      <c r="T1399" t="str">
        <f t="shared" si="63"/>
        <v>Negative</v>
      </c>
      <c r="U1399" t="str">
        <f t="shared" si="64"/>
        <v>Not Sampled</v>
      </c>
      <c r="V1399" s="1" t="str">
        <f t="shared" si="65"/>
        <v>Not Sampled</v>
      </c>
    </row>
    <row r="1400" spans="1:22" x14ac:dyDescent="0.25">
      <c r="A1400" s="1">
        <v>1</v>
      </c>
      <c r="B1400" s="1">
        <v>91</v>
      </c>
      <c r="C1400" s="1">
        <v>64</v>
      </c>
      <c r="D1400" s="1">
        <v>24</v>
      </c>
      <c r="E1400" s="1">
        <v>0</v>
      </c>
      <c r="F1400" s="1">
        <v>29.2</v>
      </c>
      <c r="G1400" s="1">
        <v>0.192</v>
      </c>
      <c r="H1400" s="1">
        <v>21</v>
      </c>
      <c r="I1400" s="1">
        <v>0</v>
      </c>
      <c r="J1400" s="1" t="str">
        <f>IFERROR(VLOOKUP(K1400,[1]diabetes_Recognition!$A:$B,2,FALSE),"Not Sampled")</f>
        <v>Not Sampled</v>
      </c>
      <c r="K1400" s="1">
        <v>1398</v>
      </c>
      <c r="L1400" s="1">
        <f>LOOKUP(A1400,Sheet2!$D$4:$E$9)</f>
        <v>1</v>
      </c>
      <c r="M1400" t="str">
        <f>LOOKUP(B1400,Sheet2!$G$4:$H$9)</f>
        <v>1-99</v>
      </c>
      <c r="N1400" t="str">
        <f>LOOKUP(C1400,Sheet2!$J$4:$K$8)</f>
        <v>60-69</v>
      </c>
      <c r="O1400" t="str">
        <f>LOOKUP(D1400,Sheet2!$M$4:$N$8)</f>
        <v>10-30</v>
      </c>
      <c r="P1400" t="str">
        <f>LOOKUP(E1400,Sheet2!$P$4:$Q$9)</f>
        <v>Unknown</v>
      </c>
      <c r="Q1400" t="str">
        <f>LOOKUP(F1400,Sheet2!$S$4:$T$8)</f>
        <v>26-30</v>
      </c>
      <c r="R1400" t="str">
        <f>LOOKUP(G1400,Sheet2!$V$4:$W$7)</f>
        <v>0.0 - 0.249</v>
      </c>
      <c r="S1400" t="str">
        <f>LOOKUP(H1400,Sheet2!$Z$4:$AA$7)</f>
        <v>&lt;=25</v>
      </c>
      <c r="T1400" t="str">
        <f t="shared" si="63"/>
        <v>Negative</v>
      </c>
      <c r="U1400" t="str">
        <f t="shared" si="64"/>
        <v>Not Sampled</v>
      </c>
      <c r="V1400" s="1" t="str">
        <f t="shared" si="65"/>
        <v>Not Sampled</v>
      </c>
    </row>
    <row r="1401" spans="1:22" x14ac:dyDescent="0.25">
      <c r="A1401" s="1">
        <v>4</v>
      </c>
      <c r="B1401" s="1">
        <v>91</v>
      </c>
      <c r="C1401" s="1">
        <v>70</v>
      </c>
      <c r="D1401" s="1">
        <v>32</v>
      </c>
      <c r="E1401" s="1">
        <v>88</v>
      </c>
      <c r="F1401" s="1">
        <v>33.1</v>
      </c>
      <c r="G1401" s="1">
        <v>0.44600000000000001</v>
      </c>
      <c r="H1401" s="1">
        <v>22</v>
      </c>
      <c r="I1401" s="1">
        <v>0</v>
      </c>
      <c r="J1401" s="1" t="str">
        <f>IFERROR(VLOOKUP(K1401,[1]diabetes_Recognition!$A:$B,2,FALSE),"Not Sampled")</f>
        <v>Not Sampled</v>
      </c>
      <c r="K1401" s="1">
        <v>1399</v>
      </c>
      <c r="L1401" s="1" t="str">
        <f>LOOKUP(A1401,Sheet2!$D$4:$E$9)</f>
        <v>3-4</v>
      </c>
      <c r="M1401" t="str">
        <f>LOOKUP(B1401,Sheet2!$G$4:$H$9)</f>
        <v>1-99</v>
      </c>
      <c r="N1401" t="str">
        <f>LOOKUP(C1401,Sheet2!$J$4:$K$8)</f>
        <v>70-79</v>
      </c>
      <c r="O1401" t="str">
        <f>LOOKUP(D1401,Sheet2!$M$4:$N$8)</f>
        <v>30-39</v>
      </c>
      <c r="P1401" t="str">
        <f>LOOKUP(E1401,Sheet2!$P$4:$Q$9)</f>
        <v>1-99</v>
      </c>
      <c r="Q1401" t="str">
        <f>LOOKUP(F1401,Sheet2!$S$4:$T$8)</f>
        <v>31-35</v>
      </c>
      <c r="R1401" t="str">
        <f>LOOKUP(G1401,Sheet2!$V$4:$W$7)</f>
        <v>0.4 - 0.69</v>
      </c>
      <c r="S1401" t="str">
        <f>LOOKUP(H1401,Sheet2!$Z$4:$AA$7)</f>
        <v>&lt;=25</v>
      </c>
      <c r="T1401" t="str">
        <f t="shared" si="63"/>
        <v>Negative</v>
      </c>
      <c r="U1401" t="str">
        <f t="shared" si="64"/>
        <v>Not Sampled</v>
      </c>
      <c r="V1401" s="1" t="str">
        <f t="shared" si="65"/>
        <v>Not Sampled</v>
      </c>
    </row>
    <row r="1402" spans="1:22" x14ac:dyDescent="0.25">
      <c r="A1402" s="1">
        <v>3</v>
      </c>
      <c r="B1402" s="1">
        <v>139</v>
      </c>
      <c r="C1402" s="1">
        <v>54</v>
      </c>
      <c r="D1402" s="1">
        <v>0</v>
      </c>
      <c r="E1402" s="1">
        <v>0</v>
      </c>
      <c r="F1402" s="1">
        <v>25.6</v>
      </c>
      <c r="G1402" s="1">
        <v>0.40200000000000002</v>
      </c>
      <c r="H1402" s="1">
        <v>22</v>
      </c>
      <c r="I1402" s="1">
        <v>1</v>
      </c>
      <c r="J1402" s="1" t="str">
        <f>IFERROR(VLOOKUP(K1402,[1]diabetes_Recognition!$A:$B,2,FALSE),"Not Sampled")</f>
        <v>Not Sampled</v>
      </c>
      <c r="K1402" s="1">
        <v>1400</v>
      </c>
      <c r="L1402" s="1" t="str">
        <f>LOOKUP(A1402,Sheet2!$D$4:$E$9)</f>
        <v>3-4</v>
      </c>
      <c r="M1402" t="str">
        <f>LOOKUP(B1402,Sheet2!$G$4:$H$9)</f>
        <v>126-150</v>
      </c>
      <c r="N1402" t="str">
        <f>LOOKUP(C1402,Sheet2!$J$4:$K$8)</f>
        <v>1-59</v>
      </c>
      <c r="O1402" t="str">
        <f>LOOKUP(D1402,Sheet2!$M$4:$N$8)</f>
        <v>Unknown</v>
      </c>
      <c r="P1402" t="str">
        <f>LOOKUP(E1402,Sheet2!$P$4:$Q$9)</f>
        <v>Unknown</v>
      </c>
      <c r="Q1402" t="str">
        <f>LOOKUP(F1402,Sheet2!$S$4:$T$8)</f>
        <v>1-25</v>
      </c>
      <c r="R1402" t="str">
        <f>LOOKUP(G1402,Sheet2!$V$4:$W$7)</f>
        <v>0.4 - 0.69</v>
      </c>
      <c r="S1402" t="str">
        <f>LOOKUP(H1402,Sheet2!$Z$4:$AA$7)</f>
        <v>&lt;=25</v>
      </c>
      <c r="T1402" t="str">
        <f t="shared" si="63"/>
        <v>Positive</v>
      </c>
      <c r="U1402" t="str">
        <f t="shared" si="64"/>
        <v>Not Sampled</v>
      </c>
      <c r="V1402" s="1" t="str">
        <f t="shared" si="65"/>
        <v>Not Sampled</v>
      </c>
    </row>
    <row r="1403" spans="1:22" x14ac:dyDescent="0.25">
      <c r="A1403" s="1">
        <v>6</v>
      </c>
      <c r="B1403" s="1">
        <v>119</v>
      </c>
      <c r="C1403" s="1">
        <v>50</v>
      </c>
      <c r="D1403" s="1">
        <v>22</v>
      </c>
      <c r="E1403" s="1">
        <v>176</v>
      </c>
      <c r="F1403" s="1">
        <v>27.1</v>
      </c>
      <c r="G1403" s="1">
        <v>1.3180000000000001</v>
      </c>
      <c r="H1403" s="1">
        <v>33</v>
      </c>
      <c r="I1403" s="1">
        <v>1</v>
      </c>
      <c r="J1403" s="1" t="str">
        <f>IFERROR(VLOOKUP(K1403,[1]diabetes_Recognition!$A:$B,2,FALSE),"Not Sampled")</f>
        <v>Not Sampled</v>
      </c>
      <c r="K1403" s="1">
        <v>1401</v>
      </c>
      <c r="L1403" s="1" t="str">
        <f>LOOKUP(A1403,Sheet2!$D$4:$E$9)</f>
        <v>5-7</v>
      </c>
      <c r="M1403" t="str">
        <f>LOOKUP(B1403,Sheet2!$G$4:$H$9)</f>
        <v>100-125</v>
      </c>
      <c r="N1403" t="str">
        <f>LOOKUP(C1403,Sheet2!$J$4:$K$8)</f>
        <v>1-59</v>
      </c>
      <c r="O1403" t="str">
        <f>LOOKUP(D1403,Sheet2!$M$4:$N$8)</f>
        <v>10-30</v>
      </c>
      <c r="P1403" t="str">
        <f>LOOKUP(E1403,Sheet2!$P$4:$Q$9)</f>
        <v>100-199</v>
      </c>
      <c r="Q1403" t="str">
        <f>LOOKUP(F1403,Sheet2!$S$4:$T$8)</f>
        <v>26-30</v>
      </c>
      <c r="R1403" t="str">
        <f>LOOKUP(G1403,Sheet2!$V$4:$W$7)</f>
        <v>0.7+</v>
      </c>
      <c r="S1403" t="str">
        <f>LOOKUP(H1403,Sheet2!$Z$4:$AA$7)</f>
        <v>26-35</v>
      </c>
      <c r="T1403" t="str">
        <f t="shared" si="63"/>
        <v>Positive</v>
      </c>
      <c r="U1403" t="str">
        <f t="shared" si="64"/>
        <v>Not Sampled</v>
      </c>
      <c r="V1403" s="1" t="str">
        <f t="shared" si="65"/>
        <v>Not Sampled</v>
      </c>
    </row>
    <row r="1404" spans="1:22" x14ac:dyDescent="0.25">
      <c r="A1404" s="1">
        <v>2</v>
      </c>
      <c r="B1404" s="1">
        <v>146</v>
      </c>
      <c r="C1404" s="1">
        <v>76</v>
      </c>
      <c r="D1404" s="1">
        <v>35</v>
      </c>
      <c r="E1404" s="1">
        <v>194</v>
      </c>
      <c r="F1404" s="1">
        <v>38.200000000000003</v>
      </c>
      <c r="G1404" s="1">
        <v>0.32900000000000001</v>
      </c>
      <c r="H1404" s="1">
        <v>29</v>
      </c>
      <c r="I1404" s="1">
        <v>0</v>
      </c>
      <c r="J1404" s="1">
        <f>IFERROR(VLOOKUP(K1404,[1]diabetes_Recognition!$A:$B,2,FALSE),"Not Sampled")</f>
        <v>0</v>
      </c>
      <c r="K1404" s="1">
        <v>1402</v>
      </c>
      <c r="L1404" s="1">
        <f>LOOKUP(A1404,Sheet2!$D$4:$E$9)</f>
        <v>2</v>
      </c>
      <c r="M1404" t="str">
        <f>LOOKUP(B1404,Sheet2!$G$4:$H$9)</f>
        <v>126-150</v>
      </c>
      <c r="N1404" t="str">
        <f>LOOKUP(C1404,Sheet2!$J$4:$K$8)</f>
        <v>70-79</v>
      </c>
      <c r="O1404" t="str">
        <f>LOOKUP(D1404,Sheet2!$M$4:$N$8)</f>
        <v>30-39</v>
      </c>
      <c r="P1404" t="str">
        <f>LOOKUP(E1404,Sheet2!$P$4:$Q$9)</f>
        <v>100-199</v>
      </c>
      <c r="Q1404" t="str">
        <f>LOOKUP(F1404,Sheet2!$S$4:$T$8)</f>
        <v>36+</v>
      </c>
      <c r="R1404" t="str">
        <f>LOOKUP(G1404,Sheet2!$V$4:$W$7)</f>
        <v>0.25 - 0.39</v>
      </c>
      <c r="S1404" t="str">
        <f>LOOKUP(H1404,Sheet2!$Z$4:$AA$7)</f>
        <v>26-35</v>
      </c>
      <c r="T1404" t="str">
        <f t="shared" si="63"/>
        <v>Negative</v>
      </c>
      <c r="U1404" t="str">
        <f t="shared" si="64"/>
        <v>Negative</v>
      </c>
      <c r="V1404" s="1" t="str">
        <f t="shared" si="65"/>
        <v>Accurate Prediction</v>
      </c>
    </row>
    <row r="1405" spans="1:22" x14ac:dyDescent="0.25">
      <c r="A1405" s="1">
        <v>9</v>
      </c>
      <c r="B1405" s="1">
        <v>184</v>
      </c>
      <c r="C1405" s="1">
        <v>85</v>
      </c>
      <c r="D1405" s="1">
        <v>15</v>
      </c>
      <c r="E1405" s="1">
        <v>0</v>
      </c>
      <c r="F1405" s="1">
        <v>30</v>
      </c>
      <c r="G1405" s="1">
        <v>1.2130000000000001</v>
      </c>
      <c r="H1405" s="1">
        <v>49</v>
      </c>
      <c r="I1405" s="1">
        <v>1</v>
      </c>
      <c r="J1405" s="1">
        <f>IFERROR(VLOOKUP(K1405,[1]diabetes_Recognition!$A:$B,2,FALSE),"Not Sampled")</f>
        <v>1</v>
      </c>
      <c r="K1405" s="1">
        <v>1403</v>
      </c>
      <c r="L1405" s="1" t="str">
        <f>LOOKUP(A1405,Sheet2!$D$4:$E$9)</f>
        <v>8+</v>
      </c>
      <c r="M1405" t="str">
        <f>LOOKUP(B1405,Sheet2!$G$4:$H$9)</f>
        <v>176-200</v>
      </c>
      <c r="N1405" t="str">
        <f>LOOKUP(C1405,Sheet2!$J$4:$K$8)</f>
        <v>80+</v>
      </c>
      <c r="O1405" t="str">
        <f>LOOKUP(D1405,Sheet2!$M$4:$N$8)</f>
        <v>10-30</v>
      </c>
      <c r="P1405" t="str">
        <f>LOOKUP(E1405,Sheet2!$P$4:$Q$9)</f>
        <v>Unknown</v>
      </c>
      <c r="Q1405" t="str">
        <f>LOOKUP(F1405,Sheet2!$S$4:$T$8)</f>
        <v>26-30</v>
      </c>
      <c r="R1405" t="str">
        <f>LOOKUP(G1405,Sheet2!$V$4:$W$7)</f>
        <v>0.7+</v>
      </c>
      <c r="S1405" t="str">
        <f>LOOKUP(H1405,Sheet2!$Z$4:$AA$7)</f>
        <v>46+</v>
      </c>
      <c r="T1405" t="str">
        <f t="shared" si="63"/>
        <v>Positive</v>
      </c>
      <c r="U1405" t="str">
        <f t="shared" si="64"/>
        <v>Positive</v>
      </c>
      <c r="V1405" s="1" t="str">
        <f t="shared" si="65"/>
        <v>Accurate Prediction</v>
      </c>
    </row>
    <row r="1406" spans="1:22" x14ac:dyDescent="0.25">
      <c r="A1406" s="1">
        <v>10</v>
      </c>
      <c r="B1406" s="1">
        <v>122</v>
      </c>
      <c r="C1406" s="1">
        <v>68</v>
      </c>
      <c r="D1406" s="1">
        <v>0</v>
      </c>
      <c r="E1406" s="1">
        <v>0</v>
      </c>
      <c r="F1406" s="1">
        <v>31.2</v>
      </c>
      <c r="G1406" s="1">
        <v>0.25800000000000001</v>
      </c>
      <c r="H1406" s="1">
        <v>41</v>
      </c>
      <c r="I1406" s="1">
        <v>0</v>
      </c>
      <c r="J1406" s="1" t="str">
        <f>IFERROR(VLOOKUP(K1406,[1]diabetes_Recognition!$A:$B,2,FALSE),"Not Sampled")</f>
        <v>Not Sampled</v>
      </c>
      <c r="K1406" s="1">
        <v>1404</v>
      </c>
      <c r="L1406" s="1" t="str">
        <f>LOOKUP(A1406,Sheet2!$D$4:$E$9)</f>
        <v>8+</v>
      </c>
      <c r="M1406" t="str">
        <f>LOOKUP(B1406,Sheet2!$G$4:$H$9)</f>
        <v>100-125</v>
      </c>
      <c r="N1406" t="str">
        <f>LOOKUP(C1406,Sheet2!$J$4:$K$8)</f>
        <v>60-69</v>
      </c>
      <c r="O1406" t="str">
        <f>LOOKUP(D1406,Sheet2!$M$4:$N$8)</f>
        <v>Unknown</v>
      </c>
      <c r="P1406" t="str">
        <f>LOOKUP(E1406,Sheet2!$P$4:$Q$9)</f>
        <v>Unknown</v>
      </c>
      <c r="Q1406" t="str">
        <f>LOOKUP(F1406,Sheet2!$S$4:$T$8)</f>
        <v>31-35</v>
      </c>
      <c r="R1406" t="str">
        <f>LOOKUP(G1406,Sheet2!$V$4:$W$7)</f>
        <v>0.25 - 0.39</v>
      </c>
      <c r="S1406" t="str">
        <f>LOOKUP(H1406,Sheet2!$Z$4:$AA$7)</f>
        <v>36-45</v>
      </c>
      <c r="T1406" t="str">
        <f t="shared" si="63"/>
        <v>Negative</v>
      </c>
      <c r="U1406" t="str">
        <f t="shared" si="64"/>
        <v>Not Sampled</v>
      </c>
      <c r="V1406" s="1" t="str">
        <f t="shared" si="65"/>
        <v>Not Sampled</v>
      </c>
    </row>
    <row r="1407" spans="1:22" x14ac:dyDescent="0.25">
      <c r="A1407" s="1">
        <v>0</v>
      </c>
      <c r="B1407" s="1">
        <v>165</v>
      </c>
      <c r="C1407" s="1">
        <v>90</v>
      </c>
      <c r="D1407" s="1">
        <v>33</v>
      </c>
      <c r="E1407" s="1">
        <v>680</v>
      </c>
      <c r="F1407" s="1">
        <v>52.3</v>
      </c>
      <c r="G1407" s="1">
        <v>0.42699999999999999</v>
      </c>
      <c r="H1407" s="1">
        <v>23</v>
      </c>
      <c r="I1407" s="1">
        <v>0</v>
      </c>
      <c r="J1407" s="1" t="str">
        <f>IFERROR(VLOOKUP(K1407,[1]diabetes_Recognition!$A:$B,2,FALSE),"Not Sampled")</f>
        <v>Not Sampled</v>
      </c>
      <c r="K1407" s="1">
        <v>1405</v>
      </c>
      <c r="L1407" s="1">
        <f>LOOKUP(A1407,Sheet2!$D$4:$E$9)</f>
        <v>0</v>
      </c>
      <c r="M1407" t="str">
        <f>LOOKUP(B1407,Sheet2!$G$4:$H$9)</f>
        <v>151-175</v>
      </c>
      <c r="N1407" t="str">
        <f>LOOKUP(C1407,Sheet2!$J$4:$K$8)</f>
        <v>80+</v>
      </c>
      <c r="O1407" t="str">
        <f>LOOKUP(D1407,Sheet2!$M$4:$N$8)</f>
        <v>30-39</v>
      </c>
      <c r="P1407" t="str">
        <f>LOOKUP(E1407,Sheet2!$P$4:$Q$9)</f>
        <v>500+</v>
      </c>
      <c r="Q1407" t="str">
        <f>LOOKUP(F1407,Sheet2!$S$4:$T$8)</f>
        <v>36+</v>
      </c>
      <c r="R1407" t="str">
        <f>LOOKUP(G1407,Sheet2!$V$4:$W$7)</f>
        <v>0.4 - 0.69</v>
      </c>
      <c r="S1407" t="str">
        <f>LOOKUP(H1407,Sheet2!$Z$4:$AA$7)</f>
        <v>&lt;=25</v>
      </c>
      <c r="T1407" t="str">
        <f t="shared" si="63"/>
        <v>Negative</v>
      </c>
      <c r="U1407" t="str">
        <f t="shared" si="64"/>
        <v>Not Sampled</v>
      </c>
      <c r="V1407" s="1" t="str">
        <f t="shared" si="65"/>
        <v>Not Sampled</v>
      </c>
    </row>
    <row r="1408" spans="1:22" x14ac:dyDescent="0.25">
      <c r="A1408" s="1">
        <v>9</v>
      </c>
      <c r="B1408" s="1">
        <v>124</v>
      </c>
      <c r="C1408" s="1">
        <v>70</v>
      </c>
      <c r="D1408" s="1">
        <v>33</v>
      </c>
      <c r="E1408" s="1">
        <v>402</v>
      </c>
      <c r="F1408" s="1">
        <v>35.4</v>
      </c>
      <c r="G1408" s="1">
        <v>0.28199999999999997</v>
      </c>
      <c r="H1408" s="1">
        <v>34</v>
      </c>
      <c r="I1408" s="1">
        <v>0</v>
      </c>
      <c r="J1408" s="1">
        <f>IFERROR(VLOOKUP(K1408,[1]diabetes_Recognition!$A:$B,2,FALSE),"Not Sampled")</f>
        <v>0</v>
      </c>
      <c r="K1408" s="1">
        <v>1406</v>
      </c>
      <c r="L1408" s="1" t="str">
        <f>LOOKUP(A1408,Sheet2!$D$4:$E$9)</f>
        <v>8+</v>
      </c>
      <c r="M1408" t="str">
        <f>LOOKUP(B1408,Sheet2!$G$4:$H$9)</f>
        <v>100-125</v>
      </c>
      <c r="N1408" t="str">
        <f>LOOKUP(C1408,Sheet2!$J$4:$K$8)</f>
        <v>70-79</v>
      </c>
      <c r="O1408" t="str">
        <f>LOOKUP(D1408,Sheet2!$M$4:$N$8)</f>
        <v>30-39</v>
      </c>
      <c r="P1408" t="str">
        <f>LOOKUP(E1408,Sheet2!$P$4:$Q$9)</f>
        <v>300-499</v>
      </c>
      <c r="Q1408" t="str">
        <f>LOOKUP(F1408,Sheet2!$S$4:$T$8)</f>
        <v>31-35</v>
      </c>
      <c r="R1408" t="str">
        <f>LOOKUP(G1408,Sheet2!$V$4:$W$7)</f>
        <v>0.25 - 0.39</v>
      </c>
      <c r="S1408" t="str">
        <f>LOOKUP(H1408,Sheet2!$Z$4:$AA$7)</f>
        <v>26-35</v>
      </c>
      <c r="T1408" t="str">
        <f t="shared" si="63"/>
        <v>Negative</v>
      </c>
      <c r="U1408" t="str">
        <f t="shared" si="64"/>
        <v>Negative</v>
      </c>
      <c r="V1408" s="1" t="str">
        <f t="shared" si="65"/>
        <v>Accurate Prediction</v>
      </c>
    </row>
    <row r="1409" spans="1:22" x14ac:dyDescent="0.25">
      <c r="A1409" s="1">
        <v>1</v>
      </c>
      <c r="B1409" s="1">
        <v>111</v>
      </c>
      <c r="C1409" s="1">
        <v>86</v>
      </c>
      <c r="D1409" s="1">
        <v>19</v>
      </c>
      <c r="E1409" s="1">
        <v>0</v>
      </c>
      <c r="F1409" s="1">
        <v>30.1</v>
      </c>
      <c r="G1409" s="1">
        <v>0.14299999999999999</v>
      </c>
      <c r="H1409" s="1">
        <v>23</v>
      </c>
      <c r="I1409" s="1">
        <v>0</v>
      </c>
      <c r="J1409" s="1" t="str">
        <f>IFERROR(VLOOKUP(K1409,[1]diabetes_Recognition!$A:$B,2,FALSE),"Not Sampled")</f>
        <v>Not Sampled</v>
      </c>
      <c r="K1409" s="1">
        <v>1407</v>
      </c>
      <c r="L1409" s="1">
        <f>LOOKUP(A1409,Sheet2!$D$4:$E$9)</f>
        <v>1</v>
      </c>
      <c r="M1409" t="str">
        <f>LOOKUP(B1409,Sheet2!$G$4:$H$9)</f>
        <v>100-125</v>
      </c>
      <c r="N1409" t="str">
        <f>LOOKUP(C1409,Sheet2!$J$4:$K$8)</f>
        <v>80+</v>
      </c>
      <c r="O1409" t="str">
        <f>LOOKUP(D1409,Sheet2!$M$4:$N$8)</f>
        <v>10-30</v>
      </c>
      <c r="P1409" t="str">
        <f>LOOKUP(E1409,Sheet2!$P$4:$Q$9)</f>
        <v>Unknown</v>
      </c>
      <c r="Q1409" t="str">
        <f>LOOKUP(F1409,Sheet2!$S$4:$T$8)</f>
        <v>26-30</v>
      </c>
      <c r="R1409" t="str">
        <f>LOOKUP(G1409,Sheet2!$V$4:$W$7)</f>
        <v>0.0 - 0.249</v>
      </c>
      <c r="S1409" t="str">
        <f>LOOKUP(H1409,Sheet2!$Z$4:$AA$7)</f>
        <v>&lt;=25</v>
      </c>
      <c r="T1409" t="str">
        <f t="shared" si="63"/>
        <v>Negative</v>
      </c>
      <c r="U1409" t="str">
        <f t="shared" si="64"/>
        <v>Not Sampled</v>
      </c>
      <c r="V1409" s="1" t="str">
        <f t="shared" si="65"/>
        <v>Not Sampled</v>
      </c>
    </row>
    <row r="1410" spans="1:22" x14ac:dyDescent="0.25">
      <c r="A1410" s="1">
        <v>9</v>
      </c>
      <c r="B1410" s="1">
        <v>106</v>
      </c>
      <c r="C1410" s="1">
        <v>52</v>
      </c>
      <c r="D1410" s="1">
        <v>0</v>
      </c>
      <c r="E1410" s="1">
        <v>0</v>
      </c>
      <c r="F1410" s="1">
        <v>31.2</v>
      </c>
      <c r="G1410" s="1">
        <v>0.38</v>
      </c>
      <c r="H1410" s="1">
        <v>42</v>
      </c>
      <c r="I1410" s="1">
        <v>0</v>
      </c>
      <c r="J1410" s="1" t="str">
        <f>IFERROR(VLOOKUP(K1410,[1]diabetes_Recognition!$A:$B,2,FALSE),"Not Sampled")</f>
        <v>Not Sampled</v>
      </c>
      <c r="K1410" s="1">
        <v>1408</v>
      </c>
      <c r="L1410" s="1" t="str">
        <f>LOOKUP(A1410,Sheet2!$D$4:$E$9)</f>
        <v>8+</v>
      </c>
      <c r="M1410" t="str">
        <f>LOOKUP(B1410,Sheet2!$G$4:$H$9)</f>
        <v>100-125</v>
      </c>
      <c r="N1410" t="str">
        <f>LOOKUP(C1410,Sheet2!$J$4:$K$8)</f>
        <v>1-59</v>
      </c>
      <c r="O1410" t="str">
        <f>LOOKUP(D1410,Sheet2!$M$4:$N$8)</f>
        <v>Unknown</v>
      </c>
      <c r="P1410" t="str">
        <f>LOOKUP(E1410,Sheet2!$P$4:$Q$9)</f>
        <v>Unknown</v>
      </c>
      <c r="Q1410" t="str">
        <f>LOOKUP(F1410,Sheet2!$S$4:$T$8)</f>
        <v>31-35</v>
      </c>
      <c r="R1410" t="str">
        <f>LOOKUP(G1410,Sheet2!$V$4:$W$7)</f>
        <v>0.25 - 0.39</v>
      </c>
      <c r="S1410" t="str">
        <f>LOOKUP(H1410,Sheet2!$Z$4:$AA$7)</f>
        <v>36-45</v>
      </c>
      <c r="T1410" t="str">
        <f t="shared" si="63"/>
        <v>Negative</v>
      </c>
      <c r="U1410" t="str">
        <f t="shared" si="64"/>
        <v>Not Sampled</v>
      </c>
      <c r="V1410" s="1" t="str">
        <f t="shared" si="65"/>
        <v>Not Sampled</v>
      </c>
    </row>
    <row r="1411" spans="1:22" x14ac:dyDescent="0.25">
      <c r="A1411" s="1">
        <v>2</v>
      </c>
      <c r="B1411" s="1">
        <v>129</v>
      </c>
      <c r="C1411" s="1">
        <v>84</v>
      </c>
      <c r="D1411" s="1">
        <v>0</v>
      </c>
      <c r="E1411" s="1">
        <v>0</v>
      </c>
      <c r="F1411" s="1">
        <v>28</v>
      </c>
      <c r="G1411" s="1">
        <v>0.28399999999999997</v>
      </c>
      <c r="H1411" s="1">
        <v>27</v>
      </c>
      <c r="I1411" s="1">
        <v>0</v>
      </c>
      <c r="J1411" s="1">
        <f>IFERROR(VLOOKUP(K1411,[1]diabetes_Recognition!$A:$B,2,FALSE),"Not Sampled")</f>
        <v>0</v>
      </c>
      <c r="K1411" s="1">
        <v>1409</v>
      </c>
      <c r="L1411" s="1">
        <f>LOOKUP(A1411,Sheet2!$D$4:$E$9)</f>
        <v>2</v>
      </c>
      <c r="M1411" t="str">
        <f>LOOKUP(B1411,Sheet2!$G$4:$H$9)</f>
        <v>126-150</v>
      </c>
      <c r="N1411" t="str">
        <f>LOOKUP(C1411,Sheet2!$J$4:$K$8)</f>
        <v>80+</v>
      </c>
      <c r="O1411" t="str">
        <f>LOOKUP(D1411,Sheet2!$M$4:$N$8)</f>
        <v>Unknown</v>
      </c>
      <c r="P1411" t="str">
        <f>LOOKUP(E1411,Sheet2!$P$4:$Q$9)</f>
        <v>Unknown</v>
      </c>
      <c r="Q1411" t="str">
        <f>LOOKUP(F1411,Sheet2!$S$4:$T$8)</f>
        <v>26-30</v>
      </c>
      <c r="R1411" t="str">
        <f>LOOKUP(G1411,Sheet2!$V$4:$W$7)</f>
        <v>0.25 - 0.39</v>
      </c>
      <c r="S1411" t="str">
        <f>LOOKUP(H1411,Sheet2!$Z$4:$AA$7)</f>
        <v>26-35</v>
      </c>
      <c r="T1411" t="str">
        <f t="shared" ref="T1411:T1474" si="66">IF(I1411=1,"Positive","Negative")</f>
        <v>Negative</v>
      </c>
      <c r="U1411" t="str">
        <f t="shared" ref="U1411:U1474" si="67">IF(J1411=1,"Positive",(IF(J1411=0,"Negative","Not Sampled")))</f>
        <v>Negative</v>
      </c>
      <c r="V1411" s="1" t="str">
        <f t="shared" ref="V1411:V1474" si="68">IF(U1411="Not Sampled","Not Sampled",IF(T1411=U1411,"Accurate Prediction","Inaccurate Prediction"))</f>
        <v>Accurate Prediction</v>
      </c>
    </row>
    <row r="1412" spans="1:22" x14ac:dyDescent="0.25">
      <c r="A1412" s="1">
        <v>2</v>
      </c>
      <c r="B1412" s="1">
        <v>90</v>
      </c>
      <c r="C1412" s="1">
        <v>80</v>
      </c>
      <c r="D1412" s="1">
        <v>14</v>
      </c>
      <c r="E1412" s="1">
        <v>55</v>
      </c>
      <c r="F1412" s="1">
        <v>24.4</v>
      </c>
      <c r="G1412" s="1">
        <v>0.249</v>
      </c>
      <c r="H1412" s="1">
        <v>24</v>
      </c>
      <c r="I1412" s="1">
        <v>0</v>
      </c>
      <c r="J1412" s="1" t="str">
        <f>IFERROR(VLOOKUP(K1412,[1]diabetes_Recognition!$A:$B,2,FALSE),"Not Sampled")</f>
        <v>Not Sampled</v>
      </c>
      <c r="K1412" s="1">
        <v>1410</v>
      </c>
      <c r="L1412" s="1">
        <f>LOOKUP(A1412,Sheet2!$D$4:$E$9)</f>
        <v>2</v>
      </c>
      <c r="M1412" t="str">
        <f>LOOKUP(B1412,Sheet2!$G$4:$H$9)</f>
        <v>1-99</v>
      </c>
      <c r="N1412" t="str">
        <f>LOOKUP(C1412,Sheet2!$J$4:$K$8)</f>
        <v>80+</v>
      </c>
      <c r="O1412" t="str">
        <f>LOOKUP(D1412,Sheet2!$M$4:$N$8)</f>
        <v>10-30</v>
      </c>
      <c r="P1412" t="str">
        <f>LOOKUP(E1412,Sheet2!$P$4:$Q$9)</f>
        <v>1-99</v>
      </c>
      <c r="Q1412" t="str">
        <f>LOOKUP(F1412,Sheet2!$S$4:$T$8)</f>
        <v>1-25</v>
      </c>
      <c r="R1412" t="str">
        <f>LOOKUP(G1412,Sheet2!$V$4:$W$7)</f>
        <v>0.0 - 0.249</v>
      </c>
      <c r="S1412" t="str">
        <f>LOOKUP(H1412,Sheet2!$Z$4:$AA$7)</f>
        <v>&lt;=25</v>
      </c>
      <c r="T1412" t="str">
        <f t="shared" si="66"/>
        <v>Negative</v>
      </c>
      <c r="U1412" t="str">
        <f t="shared" si="67"/>
        <v>Not Sampled</v>
      </c>
      <c r="V1412" s="1" t="str">
        <f t="shared" si="68"/>
        <v>Not Sampled</v>
      </c>
    </row>
    <row r="1413" spans="1:22" x14ac:dyDescent="0.25">
      <c r="A1413" s="1">
        <v>0</v>
      </c>
      <c r="B1413" s="1">
        <v>86</v>
      </c>
      <c r="C1413" s="1">
        <v>68</v>
      </c>
      <c r="D1413" s="1">
        <v>32</v>
      </c>
      <c r="E1413" s="1">
        <v>0</v>
      </c>
      <c r="F1413" s="1">
        <v>35.799999999999997</v>
      </c>
      <c r="G1413" s="1">
        <v>0.23799999999999999</v>
      </c>
      <c r="H1413" s="1">
        <v>25</v>
      </c>
      <c r="I1413" s="1">
        <v>0</v>
      </c>
      <c r="J1413" s="1" t="str">
        <f>IFERROR(VLOOKUP(K1413,[1]diabetes_Recognition!$A:$B,2,FALSE),"Not Sampled")</f>
        <v>Not Sampled</v>
      </c>
      <c r="K1413" s="1">
        <v>1411</v>
      </c>
      <c r="L1413" s="1">
        <f>LOOKUP(A1413,Sheet2!$D$4:$E$9)</f>
        <v>0</v>
      </c>
      <c r="M1413" t="str">
        <f>LOOKUP(B1413,Sheet2!$G$4:$H$9)</f>
        <v>1-99</v>
      </c>
      <c r="N1413" t="str">
        <f>LOOKUP(C1413,Sheet2!$J$4:$K$8)</f>
        <v>60-69</v>
      </c>
      <c r="O1413" t="str">
        <f>LOOKUP(D1413,Sheet2!$M$4:$N$8)</f>
        <v>30-39</v>
      </c>
      <c r="P1413" t="str">
        <f>LOOKUP(E1413,Sheet2!$P$4:$Q$9)</f>
        <v>Unknown</v>
      </c>
      <c r="Q1413" t="str">
        <f>LOOKUP(F1413,Sheet2!$S$4:$T$8)</f>
        <v>31-35</v>
      </c>
      <c r="R1413" t="str">
        <f>LOOKUP(G1413,Sheet2!$V$4:$W$7)</f>
        <v>0.0 - 0.249</v>
      </c>
      <c r="S1413" t="str">
        <f>LOOKUP(H1413,Sheet2!$Z$4:$AA$7)</f>
        <v>&lt;=25</v>
      </c>
      <c r="T1413" t="str">
        <f t="shared" si="66"/>
        <v>Negative</v>
      </c>
      <c r="U1413" t="str">
        <f t="shared" si="67"/>
        <v>Not Sampled</v>
      </c>
      <c r="V1413" s="1" t="str">
        <f t="shared" si="68"/>
        <v>Not Sampled</v>
      </c>
    </row>
    <row r="1414" spans="1:22" x14ac:dyDescent="0.25">
      <c r="A1414" s="1">
        <v>12</v>
      </c>
      <c r="B1414" s="1">
        <v>92</v>
      </c>
      <c r="C1414" s="1">
        <v>62</v>
      </c>
      <c r="D1414" s="1">
        <v>7</v>
      </c>
      <c r="E1414" s="1">
        <v>258</v>
      </c>
      <c r="F1414" s="1">
        <v>27.6</v>
      </c>
      <c r="G1414" s="1">
        <v>0.92600000000000005</v>
      </c>
      <c r="H1414" s="1">
        <v>44</v>
      </c>
      <c r="I1414" s="1">
        <v>1</v>
      </c>
      <c r="J1414" s="1" t="str">
        <f>IFERROR(VLOOKUP(K1414,[1]diabetes_Recognition!$A:$B,2,FALSE),"Not Sampled")</f>
        <v>Not Sampled</v>
      </c>
      <c r="K1414" s="1">
        <v>1412</v>
      </c>
      <c r="L1414" s="1" t="str">
        <f>LOOKUP(A1414,Sheet2!$D$4:$E$9)</f>
        <v>8+</v>
      </c>
      <c r="M1414" t="str">
        <f>LOOKUP(B1414,Sheet2!$G$4:$H$9)</f>
        <v>1-99</v>
      </c>
      <c r="N1414" t="str">
        <f>LOOKUP(C1414,Sheet2!$J$4:$K$8)</f>
        <v>60-69</v>
      </c>
      <c r="O1414" t="str">
        <f>LOOKUP(D1414,Sheet2!$M$4:$N$8)</f>
        <v>1-10</v>
      </c>
      <c r="P1414" t="str">
        <f>LOOKUP(E1414,Sheet2!$P$4:$Q$9)</f>
        <v>200-399</v>
      </c>
      <c r="Q1414" t="str">
        <f>LOOKUP(F1414,Sheet2!$S$4:$T$8)</f>
        <v>26-30</v>
      </c>
      <c r="R1414" t="str">
        <f>LOOKUP(G1414,Sheet2!$V$4:$W$7)</f>
        <v>0.7+</v>
      </c>
      <c r="S1414" t="str">
        <f>LOOKUP(H1414,Sheet2!$Z$4:$AA$7)</f>
        <v>36-45</v>
      </c>
      <c r="T1414" t="str">
        <f t="shared" si="66"/>
        <v>Positive</v>
      </c>
      <c r="U1414" t="str">
        <f t="shared" si="67"/>
        <v>Not Sampled</v>
      </c>
      <c r="V1414" s="1" t="str">
        <f t="shared" si="68"/>
        <v>Not Sampled</v>
      </c>
    </row>
    <row r="1415" spans="1:22" x14ac:dyDescent="0.25">
      <c r="A1415" s="1">
        <v>1</v>
      </c>
      <c r="B1415" s="1">
        <v>113</v>
      </c>
      <c r="C1415" s="1">
        <v>64</v>
      </c>
      <c r="D1415" s="1">
        <v>35</v>
      </c>
      <c r="E1415" s="1">
        <v>0</v>
      </c>
      <c r="F1415" s="1">
        <v>33.6</v>
      </c>
      <c r="G1415" s="1">
        <v>0.54300000000000004</v>
      </c>
      <c r="H1415" s="1">
        <v>21</v>
      </c>
      <c r="I1415" s="1">
        <v>1</v>
      </c>
      <c r="J1415" s="1" t="str">
        <f>IFERROR(VLOOKUP(K1415,[1]diabetes_Recognition!$A:$B,2,FALSE),"Not Sampled")</f>
        <v>Not Sampled</v>
      </c>
      <c r="K1415" s="1">
        <v>1413</v>
      </c>
      <c r="L1415" s="1">
        <f>LOOKUP(A1415,Sheet2!$D$4:$E$9)</f>
        <v>1</v>
      </c>
      <c r="M1415" t="str">
        <f>LOOKUP(B1415,Sheet2!$G$4:$H$9)</f>
        <v>100-125</v>
      </c>
      <c r="N1415" t="str">
        <f>LOOKUP(C1415,Sheet2!$J$4:$K$8)</f>
        <v>60-69</v>
      </c>
      <c r="O1415" t="str">
        <f>LOOKUP(D1415,Sheet2!$M$4:$N$8)</f>
        <v>30-39</v>
      </c>
      <c r="P1415" t="str">
        <f>LOOKUP(E1415,Sheet2!$P$4:$Q$9)</f>
        <v>Unknown</v>
      </c>
      <c r="Q1415" t="str">
        <f>LOOKUP(F1415,Sheet2!$S$4:$T$8)</f>
        <v>31-35</v>
      </c>
      <c r="R1415" t="str">
        <f>LOOKUP(G1415,Sheet2!$V$4:$W$7)</f>
        <v>0.4 - 0.69</v>
      </c>
      <c r="S1415" t="str">
        <f>LOOKUP(H1415,Sheet2!$Z$4:$AA$7)</f>
        <v>&lt;=25</v>
      </c>
      <c r="T1415" t="str">
        <f t="shared" si="66"/>
        <v>Positive</v>
      </c>
      <c r="U1415" t="str">
        <f t="shared" si="67"/>
        <v>Not Sampled</v>
      </c>
      <c r="V1415" s="1" t="str">
        <f t="shared" si="68"/>
        <v>Not Sampled</v>
      </c>
    </row>
    <row r="1416" spans="1:22" x14ac:dyDescent="0.25">
      <c r="A1416" s="1">
        <v>3</v>
      </c>
      <c r="B1416" s="1">
        <v>111</v>
      </c>
      <c r="C1416" s="1">
        <v>56</v>
      </c>
      <c r="D1416" s="1">
        <v>39</v>
      </c>
      <c r="E1416" s="1">
        <v>0</v>
      </c>
      <c r="F1416" s="1">
        <v>30.1</v>
      </c>
      <c r="G1416" s="1">
        <v>0.55700000000000005</v>
      </c>
      <c r="H1416" s="1">
        <v>30</v>
      </c>
      <c r="I1416" s="1">
        <v>0</v>
      </c>
      <c r="J1416" s="1" t="str">
        <f>IFERROR(VLOOKUP(K1416,[1]diabetes_Recognition!$A:$B,2,FALSE),"Not Sampled")</f>
        <v>Not Sampled</v>
      </c>
      <c r="K1416" s="1">
        <v>1414</v>
      </c>
      <c r="L1416" s="1" t="str">
        <f>LOOKUP(A1416,Sheet2!$D$4:$E$9)</f>
        <v>3-4</v>
      </c>
      <c r="M1416" t="str">
        <f>LOOKUP(B1416,Sheet2!$G$4:$H$9)</f>
        <v>100-125</v>
      </c>
      <c r="N1416" t="str">
        <f>LOOKUP(C1416,Sheet2!$J$4:$K$8)</f>
        <v>1-59</v>
      </c>
      <c r="O1416" t="str">
        <f>LOOKUP(D1416,Sheet2!$M$4:$N$8)</f>
        <v>30-39</v>
      </c>
      <c r="P1416" t="str">
        <f>LOOKUP(E1416,Sheet2!$P$4:$Q$9)</f>
        <v>Unknown</v>
      </c>
      <c r="Q1416" t="str">
        <f>LOOKUP(F1416,Sheet2!$S$4:$T$8)</f>
        <v>26-30</v>
      </c>
      <c r="R1416" t="str">
        <f>LOOKUP(G1416,Sheet2!$V$4:$W$7)</f>
        <v>0.4 - 0.69</v>
      </c>
      <c r="S1416" t="str">
        <f>LOOKUP(H1416,Sheet2!$Z$4:$AA$7)</f>
        <v>26-35</v>
      </c>
      <c r="T1416" t="str">
        <f t="shared" si="66"/>
        <v>Negative</v>
      </c>
      <c r="U1416" t="str">
        <f t="shared" si="67"/>
        <v>Not Sampled</v>
      </c>
      <c r="V1416" s="1" t="str">
        <f t="shared" si="68"/>
        <v>Not Sampled</v>
      </c>
    </row>
    <row r="1417" spans="1:22" x14ac:dyDescent="0.25">
      <c r="A1417" s="1">
        <v>2</v>
      </c>
      <c r="B1417" s="1">
        <v>114</v>
      </c>
      <c r="C1417" s="1">
        <v>68</v>
      </c>
      <c r="D1417" s="1">
        <v>22</v>
      </c>
      <c r="E1417" s="1">
        <v>0</v>
      </c>
      <c r="F1417" s="1">
        <v>28.7</v>
      </c>
      <c r="G1417" s="1">
        <v>9.1999999999999998E-2</v>
      </c>
      <c r="H1417" s="1">
        <v>25</v>
      </c>
      <c r="I1417" s="1">
        <v>0</v>
      </c>
      <c r="J1417" s="1">
        <f>IFERROR(VLOOKUP(K1417,[1]diabetes_Recognition!$A:$B,2,FALSE),"Not Sampled")</f>
        <v>0</v>
      </c>
      <c r="K1417" s="1">
        <v>1415</v>
      </c>
      <c r="L1417" s="1">
        <f>LOOKUP(A1417,Sheet2!$D$4:$E$9)</f>
        <v>2</v>
      </c>
      <c r="M1417" t="str">
        <f>LOOKUP(B1417,Sheet2!$G$4:$H$9)</f>
        <v>100-125</v>
      </c>
      <c r="N1417" t="str">
        <f>LOOKUP(C1417,Sheet2!$J$4:$K$8)</f>
        <v>60-69</v>
      </c>
      <c r="O1417" t="str">
        <f>LOOKUP(D1417,Sheet2!$M$4:$N$8)</f>
        <v>10-30</v>
      </c>
      <c r="P1417" t="str">
        <f>LOOKUP(E1417,Sheet2!$P$4:$Q$9)</f>
        <v>Unknown</v>
      </c>
      <c r="Q1417" t="str">
        <f>LOOKUP(F1417,Sheet2!$S$4:$T$8)</f>
        <v>26-30</v>
      </c>
      <c r="R1417" t="str">
        <f>LOOKUP(G1417,Sheet2!$V$4:$W$7)</f>
        <v>0.0 - 0.249</v>
      </c>
      <c r="S1417" t="str">
        <f>LOOKUP(H1417,Sheet2!$Z$4:$AA$7)</f>
        <v>&lt;=25</v>
      </c>
      <c r="T1417" t="str">
        <f t="shared" si="66"/>
        <v>Negative</v>
      </c>
      <c r="U1417" t="str">
        <f t="shared" si="67"/>
        <v>Negative</v>
      </c>
      <c r="V1417" s="1" t="str">
        <f t="shared" si="68"/>
        <v>Accurate Prediction</v>
      </c>
    </row>
    <row r="1418" spans="1:22" x14ac:dyDescent="0.25">
      <c r="A1418" s="1">
        <v>1</v>
      </c>
      <c r="B1418" s="1">
        <v>193</v>
      </c>
      <c r="C1418" s="1">
        <v>50</v>
      </c>
      <c r="D1418" s="1">
        <v>16</v>
      </c>
      <c r="E1418" s="1">
        <v>375</v>
      </c>
      <c r="F1418" s="1">
        <v>25.9</v>
      </c>
      <c r="G1418" s="1">
        <v>0.65500000000000003</v>
      </c>
      <c r="H1418" s="1">
        <v>24</v>
      </c>
      <c r="I1418" s="1">
        <v>0</v>
      </c>
      <c r="J1418" s="1" t="str">
        <f>IFERROR(VLOOKUP(K1418,[1]diabetes_Recognition!$A:$B,2,FALSE),"Not Sampled")</f>
        <v>Not Sampled</v>
      </c>
      <c r="K1418" s="1">
        <v>1416</v>
      </c>
      <c r="L1418" s="1">
        <f>LOOKUP(A1418,Sheet2!$D$4:$E$9)</f>
        <v>1</v>
      </c>
      <c r="M1418" t="str">
        <f>LOOKUP(B1418,Sheet2!$G$4:$H$9)</f>
        <v>176-200</v>
      </c>
      <c r="N1418" t="str">
        <f>LOOKUP(C1418,Sheet2!$J$4:$K$8)</f>
        <v>1-59</v>
      </c>
      <c r="O1418" t="str">
        <f>LOOKUP(D1418,Sheet2!$M$4:$N$8)</f>
        <v>10-30</v>
      </c>
      <c r="P1418" t="str">
        <f>LOOKUP(E1418,Sheet2!$P$4:$Q$9)</f>
        <v>300-499</v>
      </c>
      <c r="Q1418" t="str">
        <f>LOOKUP(F1418,Sheet2!$S$4:$T$8)</f>
        <v>1-25</v>
      </c>
      <c r="R1418" t="str">
        <f>LOOKUP(G1418,Sheet2!$V$4:$W$7)</f>
        <v>0.4 - 0.69</v>
      </c>
      <c r="S1418" t="str">
        <f>LOOKUP(H1418,Sheet2!$Z$4:$AA$7)</f>
        <v>&lt;=25</v>
      </c>
      <c r="T1418" t="str">
        <f t="shared" si="66"/>
        <v>Negative</v>
      </c>
      <c r="U1418" t="str">
        <f t="shared" si="67"/>
        <v>Not Sampled</v>
      </c>
      <c r="V1418" s="1" t="str">
        <f t="shared" si="68"/>
        <v>Not Sampled</v>
      </c>
    </row>
    <row r="1419" spans="1:22" x14ac:dyDescent="0.25">
      <c r="A1419" s="1">
        <v>11</v>
      </c>
      <c r="B1419" s="1">
        <v>155</v>
      </c>
      <c r="C1419" s="1">
        <v>76</v>
      </c>
      <c r="D1419" s="1">
        <v>28</v>
      </c>
      <c r="E1419" s="1">
        <v>150</v>
      </c>
      <c r="F1419" s="1">
        <v>33.299999999999997</v>
      </c>
      <c r="G1419" s="1">
        <v>1.353</v>
      </c>
      <c r="H1419" s="1">
        <v>51</v>
      </c>
      <c r="I1419" s="1">
        <v>1</v>
      </c>
      <c r="J1419" s="1" t="str">
        <f>IFERROR(VLOOKUP(K1419,[1]diabetes_Recognition!$A:$B,2,FALSE),"Not Sampled")</f>
        <v>Not Sampled</v>
      </c>
      <c r="K1419" s="1">
        <v>1417</v>
      </c>
      <c r="L1419" s="1" t="str">
        <f>LOOKUP(A1419,Sheet2!$D$4:$E$9)</f>
        <v>8+</v>
      </c>
      <c r="M1419" t="str">
        <f>LOOKUP(B1419,Sheet2!$G$4:$H$9)</f>
        <v>151-175</v>
      </c>
      <c r="N1419" t="str">
        <f>LOOKUP(C1419,Sheet2!$J$4:$K$8)</f>
        <v>70-79</v>
      </c>
      <c r="O1419" t="str">
        <f>LOOKUP(D1419,Sheet2!$M$4:$N$8)</f>
        <v>10-30</v>
      </c>
      <c r="P1419" t="str">
        <f>LOOKUP(E1419,Sheet2!$P$4:$Q$9)</f>
        <v>100-199</v>
      </c>
      <c r="Q1419" t="str">
        <f>LOOKUP(F1419,Sheet2!$S$4:$T$8)</f>
        <v>31-35</v>
      </c>
      <c r="R1419" t="str">
        <f>LOOKUP(G1419,Sheet2!$V$4:$W$7)</f>
        <v>0.7+</v>
      </c>
      <c r="S1419" t="str">
        <f>LOOKUP(H1419,Sheet2!$Z$4:$AA$7)</f>
        <v>46+</v>
      </c>
      <c r="T1419" t="str">
        <f t="shared" si="66"/>
        <v>Positive</v>
      </c>
      <c r="U1419" t="str">
        <f t="shared" si="67"/>
        <v>Not Sampled</v>
      </c>
      <c r="V1419" s="1" t="str">
        <f t="shared" si="68"/>
        <v>Not Sampled</v>
      </c>
    </row>
    <row r="1420" spans="1:22" x14ac:dyDescent="0.25">
      <c r="A1420" s="1">
        <v>3</v>
      </c>
      <c r="B1420" s="1">
        <v>191</v>
      </c>
      <c r="C1420" s="1">
        <v>68</v>
      </c>
      <c r="D1420" s="1">
        <v>15</v>
      </c>
      <c r="E1420" s="1">
        <v>130</v>
      </c>
      <c r="F1420" s="1">
        <v>30.9</v>
      </c>
      <c r="G1420" s="1">
        <v>0.29899999999999999</v>
      </c>
      <c r="H1420" s="1">
        <v>34</v>
      </c>
      <c r="I1420" s="1">
        <v>0</v>
      </c>
      <c r="J1420" s="1">
        <f>IFERROR(VLOOKUP(K1420,[1]diabetes_Recognition!$A:$B,2,FALSE),"Not Sampled")</f>
        <v>1</v>
      </c>
      <c r="K1420" s="1">
        <v>1418</v>
      </c>
      <c r="L1420" s="1" t="str">
        <f>LOOKUP(A1420,Sheet2!$D$4:$E$9)</f>
        <v>3-4</v>
      </c>
      <c r="M1420" t="str">
        <f>LOOKUP(B1420,Sheet2!$G$4:$H$9)</f>
        <v>176-200</v>
      </c>
      <c r="N1420" t="str">
        <f>LOOKUP(C1420,Sheet2!$J$4:$K$8)</f>
        <v>60-69</v>
      </c>
      <c r="O1420" t="str">
        <f>LOOKUP(D1420,Sheet2!$M$4:$N$8)</f>
        <v>10-30</v>
      </c>
      <c r="P1420" t="str">
        <f>LOOKUP(E1420,Sheet2!$P$4:$Q$9)</f>
        <v>100-199</v>
      </c>
      <c r="Q1420" t="str">
        <f>LOOKUP(F1420,Sheet2!$S$4:$T$8)</f>
        <v>26-30</v>
      </c>
      <c r="R1420" t="str">
        <f>LOOKUP(G1420,Sheet2!$V$4:$W$7)</f>
        <v>0.25 - 0.39</v>
      </c>
      <c r="S1420" t="str">
        <f>LOOKUP(H1420,Sheet2!$Z$4:$AA$7)</f>
        <v>26-35</v>
      </c>
      <c r="T1420" t="str">
        <f t="shared" si="66"/>
        <v>Negative</v>
      </c>
      <c r="U1420" t="str">
        <f t="shared" si="67"/>
        <v>Positive</v>
      </c>
      <c r="V1420" s="1" t="str">
        <f t="shared" si="68"/>
        <v>Inaccurate Prediction</v>
      </c>
    </row>
    <row r="1421" spans="1:22" x14ac:dyDescent="0.25">
      <c r="A1421" s="1">
        <v>3</v>
      </c>
      <c r="B1421" s="1">
        <v>141</v>
      </c>
      <c r="C1421" s="1">
        <v>0</v>
      </c>
      <c r="D1421" s="1">
        <v>0</v>
      </c>
      <c r="E1421" s="1">
        <v>0</v>
      </c>
      <c r="F1421" s="1">
        <v>30</v>
      </c>
      <c r="G1421" s="1">
        <v>0.76100000000000001</v>
      </c>
      <c r="H1421" s="1">
        <v>27</v>
      </c>
      <c r="I1421" s="1">
        <v>1</v>
      </c>
      <c r="J1421" s="1" t="str">
        <f>IFERROR(VLOOKUP(K1421,[1]diabetes_Recognition!$A:$B,2,FALSE),"Not Sampled")</f>
        <v>Not Sampled</v>
      </c>
      <c r="K1421" s="1">
        <v>1419</v>
      </c>
      <c r="L1421" s="1" t="str">
        <f>LOOKUP(A1421,Sheet2!$D$4:$E$9)</f>
        <v>3-4</v>
      </c>
      <c r="M1421" t="str">
        <f>LOOKUP(B1421,Sheet2!$G$4:$H$9)</f>
        <v>126-150</v>
      </c>
      <c r="N1421" t="str">
        <f>LOOKUP(C1421,Sheet2!$J$4:$K$8)</f>
        <v>Unknown</v>
      </c>
      <c r="O1421" t="str">
        <f>LOOKUP(D1421,Sheet2!$M$4:$N$8)</f>
        <v>Unknown</v>
      </c>
      <c r="P1421" t="str">
        <f>LOOKUP(E1421,Sheet2!$P$4:$Q$9)</f>
        <v>Unknown</v>
      </c>
      <c r="Q1421" t="str">
        <f>LOOKUP(F1421,Sheet2!$S$4:$T$8)</f>
        <v>26-30</v>
      </c>
      <c r="R1421" t="str">
        <f>LOOKUP(G1421,Sheet2!$V$4:$W$7)</f>
        <v>0.7+</v>
      </c>
      <c r="S1421" t="str">
        <f>LOOKUP(H1421,Sheet2!$Z$4:$AA$7)</f>
        <v>26-35</v>
      </c>
      <c r="T1421" t="str">
        <f t="shared" si="66"/>
        <v>Positive</v>
      </c>
      <c r="U1421" t="str">
        <f t="shared" si="67"/>
        <v>Not Sampled</v>
      </c>
      <c r="V1421" s="1" t="str">
        <f t="shared" si="68"/>
        <v>Not Sampled</v>
      </c>
    </row>
    <row r="1422" spans="1:22" x14ac:dyDescent="0.25">
      <c r="A1422" s="1">
        <v>4</v>
      </c>
      <c r="B1422" s="1">
        <v>95</v>
      </c>
      <c r="C1422" s="1">
        <v>70</v>
      </c>
      <c r="D1422" s="1">
        <v>32</v>
      </c>
      <c r="E1422" s="1">
        <v>0</v>
      </c>
      <c r="F1422" s="1">
        <v>32.1</v>
      </c>
      <c r="G1422" s="1">
        <v>0.61199999999999999</v>
      </c>
      <c r="H1422" s="1">
        <v>24</v>
      </c>
      <c r="I1422" s="1">
        <v>0</v>
      </c>
      <c r="J1422" s="1" t="str">
        <f>IFERROR(VLOOKUP(K1422,[1]diabetes_Recognition!$A:$B,2,FALSE),"Not Sampled")</f>
        <v>Not Sampled</v>
      </c>
      <c r="K1422" s="1">
        <v>1420</v>
      </c>
      <c r="L1422" s="1" t="str">
        <f>LOOKUP(A1422,Sheet2!$D$4:$E$9)</f>
        <v>3-4</v>
      </c>
      <c r="M1422" t="str">
        <f>LOOKUP(B1422,Sheet2!$G$4:$H$9)</f>
        <v>1-99</v>
      </c>
      <c r="N1422" t="str">
        <f>LOOKUP(C1422,Sheet2!$J$4:$K$8)</f>
        <v>70-79</v>
      </c>
      <c r="O1422" t="str">
        <f>LOOKUP(D1422,Sheet2!$M$4:$N$8)</f>
        <v>30-39</v>
      </c>
      <c r="P1422" t="str">
        <f>LOOKUP(E1422,Sheet2!$P$4:$Q$9)</f>
        <v>Unknown</v>
      </c>
      <c r="Q1422" t="str">
        <f>LOOKUP(F1422,Sheet2!$S$4:$T$8)</f>
        <v>31-35</v>
      </c>
      <c r="R1422" t="str">
        <f>LOOKUP(G1422,Sheet2!$V$4:$W$7)</f>
        <v>0.4 - 0.69</v>
      </c>
      <c r="S1422" t="str">
        <f>LOOKUP(H1422,Sheet2!$Z$4:$AA$7)</f>
        <v>&lt;=25</v>
      </c>
      <c r="T1422" t="str">
        <f t="shared" si="66"/>
        <v>Negative</v>
      </c>
      <c r="U1422" t="str">
        <f t="shared" si="67"/>
        <v>Not Sampled</v>
      </c>
      <c r="V1422" s="1" t="str">
        <f t="shared" si="68"/>
        <v>Not Sampled</v>
      </c>
    </row>
    <row r="1423" spans="1:22" x14ac:dyDescent="0.25">
      <c r="A1423" s="1">
        <v>3</v>
      </c>
      <c r="B1423" s="1">
        <v>142</v>
      </c>
      <c r="C1423" s="1">
        <v>80</v>
      </c>
      <c r="D1423" s="1">
        <v>15</v>
      </c>
      <c r="E1423" s="1">
        <v>0</v>
      </c>
      <c r="F1423" s="1">
        <v>32.4</v>
      </c>
      <c r="G1423" s="1">
        <v>0.2</v>
      </c>
      <c r="H1423" s="1">
        <v>63</v>
      </c>
      <c r="I1423" s="1">
        <v>0</v>
      </c>
      <c r="J1423" s="1">
        <f>IFERROR(VLOOKUP(K1423,[1]diabetes_Recognition!$A:$B,2,FALSE),"Not Sampled")</f>
        <v>0</v>
      </c>
      <c r="K1423" s="1">
        <v>1421</v>
      </c>
      <c r="L1423" s="1" t="str">
        <f>LOOKUP(A1423,Sheet2!$D$4:$E$9)</f>
        <v>3-4</v>
      </c>
      <c r="M1423" t="str">
        <f>LOOKUP(B1423,Sheet2!$G$4:$H$9)</f>
        <v>126-150</v>
      </c>
      <c r="N1423" t="str">
        <f>LOOKUP(C1423,Sheet2!$J$4:$K$8)</f>
        <v>80+</v>
      </c>
      <c r="O1423" t="str">
        <f>LOOKUP(D1423,Sheet2!$M$4:$N$8)</f>
        <v>10-30</v>
      </c>
      <c r="P1423" t="str">
        <f>LOOKUP(E1423,Sheet2!$P$4:$Q$9)</f>
        <v>Unknown</v>
      </c>
      <c r="Q1423" t="str">
        <f>LOOKUP(F1423,Sheet2!$S$4:$T$8)</f>
        <v>31-35</v>
      </c>
      <c r="R1423" t="str">
        <f>LOOKUP(G1423,Sheet2!$V$4:$W$7)</f>
        <v>0.0 - 0.249</v>
      </c>
      <c r="S1423" t="str">
        <f>LOOKUP(H1423,Sheet2!$Z$4:$AA$7)</f>
        <v>46+</v>
      </c>
      <c r="T1423" t="str">
        <f t="shared" si="66"/>
        <v>Negative</v>
      </c>
      <c r="U1423" t="str">
        <f t="shared" si="67"/>
        <v>Negative</v>
      </c>
      <c r="V1423" s="1" t="str">
        <f t="shared" si="68"/>
        <v>Accurate Prediction</v>
      </c>
    </row>
    <row r="1424" spans="1:22" x14ac:dyDescent="0.25">
      <c r="A1424" s="1">
        <v>4</v>
      </c>
      <c r="B1424" s="1">
        <v>123</v>
      </c>
      <c r="C1424" s="1">
        <v>62</v>
      </c>
      <c r="D1424" s="1">
        <v>0</v>
      </c>
      <c r="E1424" s="1">
        <v>0</v>
      </c>
      <c r="F1424" s="1">
        <v>32</v>
      </c>
      <c r="G1424" s="1">
        <v>0.22600000000000001</v>
      </c>
      <c r="H1424" s="1">
        <v>35</v>
      </c>
      <c r="I1424" s="1">
        <v>1</v>
      </c>
      <c r="J1424" s="1" t="str">
        <f>IFERROR(VLOOKUP(K1424,[1]diabetes_Recognition!$A:$B,2,FALSE),"Not Sampled")</f>
        <v>Not Sampled</v>
      </c>
      <c r="K1424" s="1">
        <v>1422</v>
      </c>
      <c r="L1424" s="1" t="str">
        <f>LOOKUP(A1424,Sheet2!$D$4:$E$9)</f>
        <v>3-4</v>
      </c>
      <c r="M1424" t="str">
        <f>LOOKUP(B1424,Sheet2!$G$4:$H$9)</f>
        <v>100-125</v>
      </c>
      <c r="N1424" t="str">
        <f>LOOKUP(C1424,Sheet2!$J$4:$K$8)</f>
        <v>60-69</v>
      </c>
      <c r="O1424" t="str">
        <f>LOOKUP(D1424,Sheet2!$M$4:$N$8)</f>
        <v>Unknown</v>
      </c>
      <c r="P1424" t="str">
        <f>LOOKUP(E1424,Sheet2!$P$4:$Q$9)</f>
        <v>Unknown</v>
      </c>
      <c r="Q1424" t="str">
        <f>LOOKUP(F1424,Sheet2!$S$4:$T$8)</f>
        <v>31-35</v>
      </c>
      <c r="R1424" t="str">
        <f>LOOKUP(G1424,Sheet2!$V$4:$W$7)</f>
        <v>0.0 - 0.249</v>
      </c>
      <c r="S1424" t="str">
        <f>LOOKUP(H1424,Sheet2!$Z$4:$AA$7)</f>
        <v>26-35</v>
      </c>
      <c r="T1424" t="str">
        <f t="shared" si="66"/>
        <v>Positive</v>
      </c>
      <c r="U1424" t="str">
        <f t="shared" si="67"/>
        <v>Not Sampled</v>
      </c>
      <c r="V1424" s="1" t="str">
        <f t="shared" si="68"/>
        <v>Not Sampled</v>
      </c>
    </row>
    <row r="1425" spans="1:22" x14ac:dyDescent="0.25">
      <c r="A1425" s="1">
        <v>5</v>
      </c>
      <c r="B1425" s="1">
        <v>96</v>
      </c>
      <c r="C1425" s="1">
        <v>74</v>
      </c>
      <c r="D1425" s="1">
        <v>18</v>
      </c>
      <c r="E1425" s="1">
        <v>67</v>
      </c>
      <c r="F1425" s="1">
        <v>33.6</v>
      </c>
      <c r="G1425" s="1">
        <v>0.997</v>
      </c>
      <c r="H1425" s="1">
        <v>43</v>
      </c>
      <c r="I1425" s="1">
        <v>0</v>
      </c>
      <c r="J1425" s="1" t="str">
        <f>IFERROR(VLOOKUP(K1425,[1]diabetes_Recognition!$A:$B,2,FALSE),"Not Sampled")</f>
        <v>Not Sampled</v>
      </c>
      <c r="K1425" s="1">
        <v>1423</v>
      </c>
      <c r="L1425" s="1" t="str">
        <f>LOOKUP(A1425,Sheet2!$D$4:$E$9)</f>
        <v>5-7</v>
      </c>
      <c r="M1425" t="str">
        <f>LOOKUP(B1425,Sheet2!$G$4:$H$9)</f>
        <v>1-99</v>
      </c>
      <c r="N1425" t="str">
        <f>LOOKUP(C1425,Sheet2!$J$4:$K$8)</f>
        <v>70-79</v>
      </c>
      <c r="O1425" t="str">
        <f>LOOKUP(D1425,Sheet2!$M$4:$N$8)</f>
        <v>10-30</v>
      </c>
      <c r="P1425" t="str">
        <f>LOOKUP(E1425,Sheet2!$P$4:$Q$9)</f>
        <v>1-99</v>
      </c>
      <c r="Q1425" t="str">
        <f>LOOKUP(F1425,Sheet2!$S$4:$T$8)</f>
        <v>31-35</v>
      </c>
      <c r="R1425" t="str">
        <f>LOOKUP(G1425,Sheet2!$V$4:$W$7)</f>
        <v>0.7+</v>
      </c>
      <c r="S1425" t="str">
        <f>LOOKUP(H1425,Sheet2!$Z$4:$AA$7)</f>
        <v>36-45</v>
      </c>
      <c r="T1425" t="str">
        <f t="shared" si="66"/>
        <v>Negative</v>
      </c>
      <c r="U1425" t="str">
        <f t="shared" si="67"/>
        <v>Not Sampled</v>
      </c>
      <c r="V1425" s="1" t="str">
        <f t="shared" si="68"/>
        <v>Not Sampled</v>
      </c>
    </row>
    <row r="1426" spans="1:22" x14ac:dyDescent="0.25">
      <c r="A1426" s="1">
        <v>0</v>
      </c>
      <c r="B1426" s="1">
        <v>138</v>
      </c>
      <c r="C1426" s="1">
        <v>0</v>
      </c>
      <c r="D1426" s="1">
        <v>0</v>
      </c>
      <c r="E1426" s="1">
        <v>0</v>
      </c>
      <c r="F1426" s="1">
        <v>36.299999999999997</v>
      </c>
      <c r="G1426" s="1">
        <v>0.93300000000000005</v>
      </c>
      <c r="H1426" s="1">
        <v>25</v>
      </c>
      <c r="I1426" s="1">
        <v>1</v>
      </c>
      <c r="J1426" s="1" t="str">
        <f>IFERROR(VLOOKUP(K1426,[1]diabetes_Recognition!$A:$B,2,FALSE),"Not Sampled")</f>
        <v>Not Sampled</v>
      </c>
      <c r="K1426" s="1">
        <v>1424</v>
      </c>
      <c r="L1426" s="1">
        <f>LOOKUP(A1426,Sheet2!$D$4:$E$9)</f>
        <v>0</v>
      </c>
      <c r="M1426" t="str">
        <f>LOOKUP(B1426,Sheet2!$G$4:$H$9)</f>
        <v>126-150</v>
      </c>
      <c r="N1426" t="str">
        <f>LOOKUP(C1426,Sheet2!$J$4:$K$8)</f>
        <v>Unknown</v>
      </c>
      <c r="O1426" t="str">
        <f>LOOKUP(D1426,Sheet2!$M$4:$N$8)</f>
        <v>Unknown</v>
      </c>
      <c r="P1426" t="str">
        <f>LOOKUP(E1426,Sheet2!$P$4:$Q$9)</f>
        <v>Unknown</v>
      </c>
      <c r="Q1426" t="str">
        <f>LOOKUP(F1426,Sheet2!$S$4:$T$8)</f>
        <v>36+</v>
      </c>
      <c r="R1426" t="str">
        <f>LOOKUP(G1426,Sheet2!$V$4:$W$7)</f>
        <v>0.7+</v>
      </c>
      <c r="S1426" t="str">
        <f>LOOKUP(H1426,Sheet2!$Z$4:$AA$7)</f>
        <v>&lt;=25</v>
      </c>
      <c r="T1426" t="str">
        <f t="shared" si="66"/>
        <v>Positive</v>
      </c>
      <c r="U1426" t="str">
        <f t="shared" si="67"/>
        <v>Not Sampled</v>
      </c>
      <c r="V1426" s="1" t="str">
        <f t="shared" si="68"/>
        <v>Not Sampled</v>
      </c>
    </row>
    <row r="1427" spans="1:22" x14ac:dyDescent="0.25">
      <c r="A1427" s="1">
        <v>2</v>
      </c>
      <c r="B1427" s="1">
        <v>128</v>
      </c>
      <c r="C1427" s="1">
        <v>64</v>
      </c>
      <c r="D1427" s="1">
        <v>42</v>
      </c>
      <c r="E1427" s="1">
        <v>0</v>
      </c>
      <c r="F1427" s="1">
        <v>40</v>
      </c>
      <c r="G1427" s="1">
        <v>1.101</v>
      </c>
      <c r="H1427" s="1">
        <v>24</v>
      </c>
      <c r="I1427" s="1">
        <v>0</v>
      </c>
      <c r="J1427" s="1" t="str">
        <f>IFERROR(VLOOKUP(K1427,[1]diabetes_Recognition!$A:$B,2,FALSE),"Not Sampled")</f>
        <v>Not Sampled</v>
      </c>
      <c r="K1427" s="1">
        <v>1425</v>
      </c>
      <c r="L1427" s="1">
        <f>LOOKUP(A1427,Sheet2!$D$4:$E$9)</f>
        <v>2</v>
      </c>
      <c r="M1427" t="str">
        <f>LOOKUP(B1427,Sheet2!$G$4:$H$9)</f>
        <v>126-150</v>
      </c>
      <c r="N1427" t="str">
        <f>LOOKUP(C1427,Sheet2!$J$4:$K$8)</f>
        <v>60-69</v>
      </c>
      <c r="O1427" t="str">
        <f>LOOKUP(D1427,Sheet2!$M$4:$N$8)</f>
        <v>40+</v>
      </c>
      <c r="P1427" t="str">
        <f>LOOKUP(E1427,Sheet2!$P$4:$Q$9)</f>
        <v>Unknown</v>
      </c>
      <c r="Q1427" t="str">
        <f>LOOKUP(F1427,Sheet2!$S$4:$T$8)</f>
        <v>36+</v>
      </c>
      <c r="R1427" t="str">
        <f>LOOKUP(G1427,Sheet2!$V$4:$W$7)</f>
        <v>0.7+</v>
      </c>
      <c r="S1427" t="str">
        <f>LOOKUP(H1427,Sheet2!$Z$4:$AA$7)</f>
        <v>&lt;=25</v>
      </c>
      <c r="T1427" t="str">
        <f t="shared" si="66"/>
        <v>Negative</v>
      </c>
      <c r="U1427" t="str">
        <f t="shared" si="67"/>
        <v>Not Sampled</v>
      </c>
      <c r="V1427" s="1" t="str">
        <f t="shared" si="68"/>
        <v>Not Sampled</v>
      </c>
    </row>
    <row r="1428" spans="1:22" x14ac:dyDescent="0.25">
      <c r="A1428" s="1">
        <v>0</v>
      </c>
      <c r="B1428" s="1">
        <v>102</v>
      </c>
      <c r="C1428" s="1">
        <v>52</v>
      </c>
      <c r="D1428" s="1">
        <v>0</v>
      </c>
      <c r="E1428" s="1">
        <v>0</v>
      </c>
      <c r="F1428" s="1">
        <v>25.1</v>
      </c>
      <c r="G1428" s="1">
        <v>7.8E-2</v>
      </c>
      <c r="H1428" s="1">
        <v>21</v>
      </c>
      <c r="I1428" s="1">
        <v>0</v>
      </c>
      <c r="J1428" s="1" t="str">
        <f>IFERROR(VLOOKUP(K1428,[1]diabetes_Recognition!$A:$B,2,FALSE),"Not Sampled")</f>
        <v>Not Sampled</v>
      </c>
      <c r="K1428" s="1">
        <v>1426</v>
      </c>
      <c r="L1428" s="1">
        <f>LOOKUP(A1428,Sheet2!$D$4:$E$9)</f>
        <v>0</v>
      </c>
      <c r="M1428" t="str">
        <f>LOOKUP(B1428,Sheet2!$G$4:$H$9)</f>
        <v>100-125</v>
      </c>
      <c r="N1428" t="str">
        <f>LOOKUP(C1428,Sheet2!$J$4:$K$8)</f>
        <v>1-59</v>
      </c>
      <c r="O1428" t="str">
        <f>LOOKUP(D1428,Sheet2!$M$4:$N$8)</f>
        <v>Unknown</v>
      </c>
      <c r="P1428" t="str">
        <f>LOOKUP(E1428,Sheet2!$P$4:$Q$9)</f>
        <v>Unknown</v>
      </c>
      <c r="Q1428" t="str">
        <f>LOOKUP(F1428,Sheet2!$S$4:$T$8)</f>
        <v>1-25</v>
      </c>
      <c r="R1428" t="str">
        <f>LOOKUP(G1428,Sheet2!$V$4:$W$7)</f>
        <v>0.0 - 0.249</v>
      </c>
      <c r="S1428" t="str">
        <f>LOOKUP(H1428,Sheet2!$Z$4:$AA$7)</f>
        <v>&lt;=25</v>
      </c>
      <c r="T1428" t="str">
        <f t="shared" si="66"/>
        <v>Negative</v>
      </c>
      <c r="U1428" t="str">
        <f t="shared" si="67"/>
        <v>Not Sampled</v>
      </c>
      <c r="V1428" s="1" t="str">
        <f t="shared" si="68"/>
        <v>Not Sampled</v>
      </c>
    </row>
    <row r="1429" spans="1:22" x14ac:dyDescent="0.25">
      <c r="A1429" s="1">
        <v>2</v>
      </c>
      <c r="B1429" s="1">
        <v>146</v>
      </c>
      <c r="C1429" s="1">
        <v>0</v>
      </c>
      <c r="D1429" s="1">
        <v>0</v>
      </c>
      <c r="E1429" s="1">
        <v>0</v>
      </c>
      <c r="F1429" s="1">
        <v>27.5</v>
      </c>
      <c r="G1429" s="1">
        <v>0.24</v>
      </c>
      <c r="H1429" s="1">
        <v>28</v>
      </c>
      <c r="I1429" s="1">
        <v>1</v>
      </c>
      <c r="J1429" s="1" t="str">
        <f>IFERROR(VLOOKUP(K1429,[1]diabetes_Recognition!$A:$B,2,FALSE),"Not Sampled")</f>
        <v>Not Sampled</v>
      </c>
      <c r="K1429" s="1">
        <v>1427</v>
      </c>
      <c r="L1429" s="1">
        <f>LOOKUP(A1429,Sheet2!$D$4:$E$9)</f>
        <v>2</v>
      </c>
      <c r="M1429" t="str">
        <f>LOOKUP(B1429,Sheet2!$G$4:$H$9)</f>
        <v>126-150</v>
      </c>
      <c r="N1429" t="str">
        <f>LOOKUP(C1429,Sheet2!$J$4:$K$8)</f>
        <v>Unknown</v>
      </c>
      <c r="O1429" t="str">
        <f>LOOKUP(D1429,Sheet2!$M$4:$N$8)</f>
        <v>Unknown</v>
      </c>
      <c r="P1429" t="str">
        <f>LOOKUP(E1429,Sheet2!$P$4:$Q$9)</f>
        <v>Unknown</v>
      </c>
      <c r="Q1429" t="str">
        <f>LOOKUP(F1429,Sheet2!$S$4:$T$8)</f>
        <v>26-30</v>
      </c>
      <c r="R1429" t="str">
        <f>LOOKUP(G1429,Sheet2!$V$4:$W$7)</f>
        <v>0.0 - 0.249</v>
      </c>
      <c r="S1429" t="str">
        <f>LOOKUP(H1429,Sheet2!$Z$4:$AA$7)</f>
        <v>26-35</v>
      </c>
      <c r="T1429" t="str">
        <f t="shared" si="66"/>
        <v>Positive</v>
      </c>
      <c r="U1429" t="str">
        <f t="shared" si="67"/>
        <v>Not Sampled</v>
      </c>
      <c r="V1429" s="1" t="str">
        <f t="shared" si="68"/>
        <v>Not Sampled</v>
      </c>
    </row>
    <row r="1430" spans="1:22" x14ac:dyDescent="0.25">
      <c r="A1430" s="1">
        <v>10</v>
      </c>
      <c r="B1430" s="1">
        <v>101</v>
      </c>
      <c r="C1430" s="1">
        <v>86</v>
      </c>
      <c r="D1430" s="1">
        <v>37</v>
      </c>
      <c r="E1430" s="1">
        <v>0</v>
      </c>
      <c r="F1430" s="1">
        <v>45.6</v>
      </c>
      <c r="G1430" s="1">
        <v>1.1359999999999999</v>
      </c>
      <c r="H1430" s="1">
        <v>38</v>
      </c>
      <c r="I1430" s="1">
        <v>1</v>
      </c>
      <c r="J1430" s="1">
        <f>IFERROR(VLOOKUP(K1430,[1]diabetes_Recognition!$A:$B,2,FALSE),"Not Sampled")</f>
        <v>1</v>
      </c>
      <c r="K1430" s="1">
        <v>1428</v>
      </c>
      <c r="L1430" s="1" t="str">
        <f>LOOKUP(A1430,Sheet2!$D$4:$E$9)</f>
        <v>8+</v>
      </c>
      <c r="M1430" t="str">
        <f>LOOKUP(B1430,Sheet2!$G$4:$H$9)</f>
        <v>100-125</v>
      </c>
      <c r="N1430" t="str">
        <f>LOOKUP(C1430,Sheet2!$J$4:$K$8)</f>
        <v>80+</v>
      </c>
      <c r="O1430" t="str">
        <f>LOOKUP(D1430,Sheet2!$M$4:$N$8)</f>
        <v>30-39</v>
      </c>
      <c r="P1430" t="str">
        <f>LOOKUP(E1430,Sheet2!$P$4:$Q$9)</f>
        <v>Unknown</v>
      </c>
      <c r="Q1430" t="str">
        <f>LOOKUP(F1430,Sheet2!$S$4:$T$8)</f>
        <v>36+</v>
      </c>
      <c r="R1430" t="str">
        <f>LOOKUP(G1430,Sheet2!$V$4:$W$7)</f>
        <v>0.7+</v>
      </c>
      <c r="S1430" t="str">
        <f>LOOKUP(H1430,Sheet2!$Z$4:$AA$7)</f>
        <v>36-45</v>
      </c>
      <c r="T1430" t="str">
        <f t="shared" si="66"/>
        <v>Positive</v>
      </c>
      <c r="U1430" t="str">
        <f t="shared" si="67"/>
        <v>Positive</v>
      </c>
      <c r="V1430" s="1" t="str">
        <f t="shared" si="68"/>
        <v>Accurate Prediction</v>
      </c>
    </row>
    <row r="1431" spans="1:22" x14ac:dyDescent="0.25">
      <c r="A1431" s="1">
        <v>2</v>
      </c>
      <c r="B1431" s="1">
        <v>108</v>
      </c>
      <c r="C1431" s="1">
        <v>62</v>
      </c>
      <c r="D1431" s="1">
        <v>32</v>
      </c>
      <c r="E1431" s="1">
        <v>56</v>
      </c>
      <c r="F1431" s="1">
        <v>25.2</v>
      </c>
      <c r="G1431" s="1">
        <v>0.128</v>
      </c>
      <c r="H1431" s="1">
        <v>21</v>
      </c>
      <c r="I1431" s="1">
        <v>0</v>
      </c>
      <c r="J1431" s="1" t="str">
        <f>IFERROR(VLOOKUP(K1431,[1]diabetes_Recognition!$A:$B,2,FALSE),"Not Sampled")</f>
        <v>Not Sampled</v>
      </c>
      <c r="K1431" s="1">
        <v>1429</v>
      </c>
      <c r="L1431" s="1">
        <f>LOOKUP(A1431,Sheet2!$D$4:$E$9)</f>
        <v>2</v>
      </c>
      <c r="M1431" t="str">
        <f>LOOKUP(B1431,Sheet2!$G$4:$H$9)</f>
        <v>100-125</v>
      </c>
      <c r="N1431" t="str">
        <f>LOOKUP(C1431,Sheet2!$J$4:$K$8)</f>
        <v>60-69</v>
      </c>
      <c r="O1431" t="str">
        <f>LOOKUP(D1431,Sheet2!$M$4:$N$8)</f>
        <v>30-39</v>
      </c>
      <c r="P1431" t="str">
        <f>LOOKUP(E1431,Sheet2!$P$4:$Q$9)</f>
        <v>1-99</v>
      </c>
      <c r="Q1431" t="str">
        <f>LOOKUP(F1431,Sheet2!$S$4:$T$8)</f>
        <v>1-25</v>
      </c>
      <c r="R1431" t="str">
        <f>LOOKUP(G1431,Sheet2!$V$4:$W$7)</f>
        <v>0.0 - 0.249</v>
      </c>
      <c r="S1431" t="str">
        <f>LOOKUP(H1431,Sheet2!$Z$4:$AA$7)</f>
        <v>&lt;=25</v>
      </c>
      <c r="T1431" t="str">
        <f t="shared" si="66"/>
        <v>Negative</v>
      </c>
      <c r="U1431" t="str">
        <f t="shared" si="67"/>
        <v>Not Sampled</v>
      </c>
      <c r="V1431" s="1" t="str">
        <f t="shared" si="68"/>
        <v>Not Sampled</v>
      </c>
    </row>
    <row r="1432" spans="1:22" x14ac:dyDescent="0.25">
      <c r="A1432" s="1">
        <v>3</v>
      </c>
      <c r="B1432" s="1">
        <v>122</v>
      </c>
      <c r="C1432" s="1">
        <v>78</v>
      </c>
      <c r="D1432" s="1">
        <v>0</v>
      </c>
      <c r="E1432" s="1">
        <v>0</v>
      </c>
      <c r="F1432" s="1">
        <v>23</v>
      </c>
      <c r="G1432" s="1">
        <v>0.254</v>
      </c>
      <c r="H1432" s="1">
        <v>40</v>
      </c>
      <c r="I1432" s="1">
        <v>0</v>
      </c>
      <c r="J1432" s="1" t="str">
        <f>IFERROR(VLOOKUP(K1432,[1]diabetes_Recognition!$A:$B,2,FALSE),"Not Sampled")</f>
        <v>Not Sampled</v>
      </c>
      <c r="K1432" s="1">
        <v>1430</v>
      </c>
      <c r="L1432" s="1" t="str">
        <f>LOOKUP(A1432,Sheet2!$D$4:$E$9)</f>
        <v>3-4</v>
      </c>
      <c r="M1432" t="str">
        <f>LOOKUP(B1432,Sheet2!$G$4:$H$9)</f>
        <v>100-125</v>
      </c>
      <c r="N1432" t="str">
        <f>LOOKUP(C1432,Sheet2!$J$4:$K$8)</f>
        <v>70-79</v>
      </c>
      <c r="O1432" t="str">
        <f>LOOKUP(D1432,Sheet2!$M$4:$N$8)</f>
        <v>Unknown</v>
      </c>
      <c r="P1432" t="str">
        <f>LOOKUP(E1432,Sheet2!$P$4:$Q$9)</f>
        <v>Unknown</v>
      </c>
      <c r="Q1432" t="str">
        <f>LOOKUP(F1432,Sheet2!$S$4:$T$8)</f>
        <v>1-25</v>
      </c>
      <c r="R1432" t="str">
        <f>LOOKUP(G1432,Sheet2!$V$4:$W$7)</f>
        <v>0.25 - 0.39</v>
      </c>
      <c r="S1432" t="str">
        <f>LOOKUP(H1432,Sheet2!$Z$4:$AA$7)</f>
        <v>36-45</v>
      </c>
      <c r="T1432" t="str">
        <f t="shared" si="66"/>
        <v>Negative</v>
      </c>
      <c r="U1432" t="str">
        <f t="shared" si="67"/>
        <v>Not Sampled</v>
      </c>
      <c r="V1432" s="1" t="str">
        <f t="shared" si="68"/>
        <v>Not Sampled</v>
      </c>
    </row>
    <row r="1433" spans="1:22" x14ac:dyDescent="0.25">
      <c r="A1433" s="1">
        <v>1</v>
      </c>
      <c r="B1433" s="1">
        <v>71</v>
      </c>
      <c r="C1433" s="1">
        <v>78</v>
      </c>
      <c r="D1433" s="1">
        <v>50</v>
      </c>
      <c r="E1433" s="1">
        <v>45</v>
      </c>
      <c r="F1433" s="1">
        <v>33.200000000000003</v>
      </c>
      <c r="G1433" s="1">
        <v>0.42199999999999999</v>
      </c>
      <c r="H1433" s="1">
        <v>21</v>
      </c>
      <c r="I1433" s="1">
        <v>0</v>
      </c>
      <c r="J1433" s="1" t="str">
        <f>IFERROR(VLOOKUP(K1433,[1]diabetes_Recognition!$A:$B,2,FALSE),"Not Sampled")</f>
        <v>Not Sampled</v>
      </c>
      <c r="K1433" s="1">
        <v>1431</v>
      </c>
      <c r="L1433" s="1">
        <f>LOOKUP(A1433,Sheet2!$D$4:$E$9)</f>
        <v>1</v>
      </c>
      <c r="M1433" t="str">
        <f>LOOKUP(B1433,Sheet2!$G$4:$H$9)</f>
        <v>1-99</v>
      </c>
      <c r="N1433" t="str">
        <f>LOOKUP(C1433,Sheet2!$J$4:$K$8)</f>
        <v>70-79</v>
      </c>
      <c r="O1433" t="str">
        <f>LOOKUP(D1433,Sheet2!$M$4:$N$8)</f>
        <v>40+</v>
      </c>
      <c r="P1433" t="str">
        <f>LOOKUP(E1433,Sheet2!$P$4:$Q$9)</f>
        <v>1-99</v>
      </c>
      <c r="Q1433" t="str">
        <f>LOOKUP(F1433,Sheet2!$S$4:$T$8)</f>
        <v>31-35</v>
      </c>
      <c r="R1433" t="str">
        <f>LOOKUP(G1433,Sheet2!$V$4:$W$7)</f>
        <v>0.4 - 0.69</v>
      </c>
      <c r="S1433" t="str">
        <f>LOOKUP(H1433,Sheet2!$Z$4:$AA$7)</f>
        <v>&lt;=25</v>
      </c>
      <c r="T1433" t="str">
        <f t="shared" si="66"/>
        <v>Negative</v>
      </c>
      <c r="U1433" t="str">
        <f t="shared" si="67"/>
        <v>Not Sampled</v>
      </c>
      <c r="V1433" s="1" t="str">
        <f t="shared" si="68"/>
        <v>Not Sampled</v>
      </c>
    </row>
    <row r="1434" spans="1:22" x14ac:dyDescent="0.25">
      <c r="A1434" s="1">
        <v>13</v>
      </c>
      <c r="B1434" s="1">
        <v>106</v>
      </c>
      <c r="C1434" s="1">
        <v>70</v>
      </c>
      <c r="D1434" s="1">
        <v>0</v>
      </c>
      <c r="E1434" s="1">
        <v>0</v>
      </c>
      <c r="F1434" s="1">
        <v>34.200000000000003</v>
      </c>
      <c r="G1434" s="1">
        <v>0.251</v>
      </c>
      <c r="H1434" s="1">
        <v>52</v>
      </c>
      <c r="I1434" s="1">
        <v>0</v>
      </c>
      <c r="J1434" s="1" t="str">
        <f>IFERROR(VLOOKUP(K1434,[1]diabetes_Recognition!$A:$B,2,FALSE),"Not Sampled")</f>
        <v>Not Sampled</v>
      </c>
      <c r="K1434" s="1">
        <v>1432</v>
      </c>
      <c r="L1434" s="1" t="str">
        <f>LOOKUP(A1434,Sheet2!$D$4:$E$9)</f>
        <v>8+</v>
      </c>
      <c r="M1434" t="str">
        <f>LOOKUP(B1434,Sheet2!$G$4:$H$9)</f>
        <v>100-125</v>
      </c>
      <c r="N1434" t="str">
        <f>LOOKUP(C1434,Sheet2!$J$4:$K$8)</f>
        <v>70-79</v>
      </c>
      <c r="O1434" t="str">
        <f>LOOKUP(D1434,Sheet2!$M$4:$N$8)</f>
        <v>Unknown</v>
      </c>
      <c r="P1434" t="str">
        <f>LOOKUP(E1434,Sheet2!$P$4:$Q$9)</f>
        <v>Unknown</v>
      </c>
      <c r="Q1434" t="str">
        <f>LOOKUP(F1434,Sheet2!$S$4:$T$8)</f>
        <v>31-35</v>
      </c>
      <c r="R1434" t="str">
        <f>LOOKUP(G1434,Sheet2!$V$4:$W$7)</f>
        <v>0.25 - 0.39</v>
      </c>
      <c r="S1434" t="str">
        <f>LOOKUP(H1434,Sheet2!$Z$4:$AA$7)</f>
        <v>46+</v>
      </c>
      <c r="T1434" t="str">
        <f t="shared" si="66"/>
        <v>Negative</v>
      </c>
      <c r="U1434" t="str">
        <f t="shared" si="67"/>
        <v>Not Sampled</v>
      </c>
      <c r="V1434" s="1" t="str">
        <f t="shared" si="68"/>
        <v>Not Sampled</v>
      </c>
    </row>
    <row r="1435" spans="1:22" x14ac:dyDescent="0.25">
      <c r="A1435" s="1">
        <v>2</v>
      </c>
      <c r="B1435" s="1">
        <v>100</v>
      </c>
      <c r="C1435" s="1">
        <v>70</v>
      </c>
      <c r="D1435" s="1">
        <v>52</v>
      </c>
      <c r="E1435" s="1">
        <v>57</v>
      </c>
      <c r="F1435" s="1">
        <v>40.5</v>
      </c>
      <c r="G1435" s="1">
        <v>0.67700000000000005</v>
      </c>
      <c r="H1435" s="1">
        <v>25</v>
      </c>
      <c r="I1435" s="1">
        <v>0</v>
      </c>
      <c r="J1435" s="1" t="str">
        <f>IFERROR(VLOOKUP(K1435,[1]diabetes_Recognition!$A:$B,2,FALSE),"Not Sampled")</f>
        <v>Not Sampled</v>
      </c>
      <c r="K1435" s="1">
        <v>1433</v>
      </c>
      <c r="L1435" s="1">
        <f>LOOKUP(A1435,Sheet2!$D$4:$E$9)</f>
        <v>2</v>
      </c>
      <c r="M1435" t="str">
        <f>LOOKUP(B1435,Sheet2!$G$4:$H$9)</f>
        <v>100-125</v>
      </c>
      <c r="N1435" t="str">
        <f>LOOKUP(C1435,Sheet2!$J$4:$K$8)</f>
        <v>70-79</v>
      </c>
      <c r="O1435" t="str">
        <f>LOOKUP(D1435,Sheet2!$M$4:$N$8)</f>
        <v>40+</v>
      </c>
      <c r="P1435" t="str">
        <f>LOOKUP(E1435,Sheet2!$P$4:$Q$9)</f>
        <v>1-99</v>
      </c>
      <c r="Q1435" t="str">
        <f>LOOKUP(F1435,Sheet2!$S$4:$T$8)</f>
        <v>36+</v>
      </c>
      <c r="R1435" t="str">
        <f>LOOKUP(G1435,Sheet2!$V$4:$W$7)</f>
        <v>0.4 - 0.69</v>
      </c>
      <c r="S1435" t="str">
        <f>LOOKUP(H1435,Sheet2!$Z$4:$AA$7)</f>
        <v>&lt;=25</v>
      </c>
      <c r="T1435" t="str">
        <f t="shared" si="66"/>
        <v>Negative</v>
      </c>
      <c r="U1435" t="str">
        <f t="shared" si="67"/>
        <v>Not Sampled</v>
      </c>
      <c r="V1435" s="1" t="str">
        <f t="shared" si="68"/>
        <v>Not Sampled</v>
      </c>
    </row>
    <row r="1436" spans="1:22" x14ac:dyDescent="0.25">
      <c r="A1436" s="1">
        <v>7</v>
      </c>
      <c r="B1436" s="1">
        <v>106</v>
      </c>
      <c r="C1436" s="1">
        <v>60</v>
      </c>
      <c r="D1436" s="1">
        <v>24</v>
      </c>
      <c r="E1436" s="1">
        <v>0</v>
      </c>
      <c r="F1436" s="1">
        <v>26.5</v>
      </c>
      <c r="G1436" s="1">
        <v>0.29599999999999999</v>
      </c>
      <c r="H1436" s="1">
        <v>29</v>
      </c>
      <c r="I1436" s="1">
        <v>1</v>
      </c>
      <c r="J1436" s="1" t="str">
        <f>IFERROR(VLOOKUP(K1436,[1]diabetes_Recognition!$A:$B,2,FALSE),"Not Sampled")</f>
        <v>Not Sampled</v>
      </c>
      <c r="K1436" s="1">
        <v>1434</v>
      </c>
      <c r="L1436" s="1" t="str">
        <f>LOOKUP(A1436,Sheet2!$D$4:$E$9)</f>
        <v>5-7</v>
      </c>
      <c r="M1436" t="str">
        <f>LOOKUP(B1436,Sheet2!$G$4:$H$9)</f>
        <v>100-125</v>
      </c>
      <c r="N1436" t="str">
        <f>LOOKUP(C1436,Sheet2!$J$4:$K$8)</f>
        <v>60-69</v>
      </c>
      <c r="O1436" t="str">
        <f>LOOKUP(D1436,Sheet2!$M$4:$N$8)</f>
        <v>10-30</v>
      </c>
      <c r="P1436" t="str">
        <f>LOOKUP(E1436,Sheet2!$P$4:$Q$9)</f>
        <v>Unknown</v>
      </c>
      <c r="Q1436" t="str">
        <f>LOOKUP(F1436,Sheet2!$S$4:$T$8)</f>
        <v>26-30</v>
      </c>
      <c r="R1436" t="str">
        <f>LOOKUP(G1436,Sheet2!$V$4:$W$7)</f>
        <v>0.25 - 0.39</v>
      </c>
      <c r="S1436" t="str">
        <f>LOOKUP(H1436,Sheet2!$Z$4:$AA$7)</f>
        <v>26-35</v>
      </c>
      <c r="T1436" t="str">
        <f t="shared" si="66"/>
        <v>Positive</v>
      </c>
      <c r="U1436" t="str">
        <f t="shared" si="67"/>
        <v>Not Sampled</v>
      </c>
      <c r="V1436" s="1" t="str">
        <f t="shared" si="68"/>
        <v>Not Sampled</v>
      </c>
    </row>
    <row r="1437" spans="1:22" x14ac:dyDescent="0.25">
      <c r="A1437" s="1">
        <v>0</v>
      </c>
      <c r="B1437" s="1">
        <v>104</v>
      </c>
      <c r="C1437" s="1">
        <v>64</v>
      </c>
      <c r="D1437" s="1">
        <v>23</v>
      </c>
      <c r="E1437" s="1">
        <v>116</v>
      </c>
      <c r="F1437" s="1">
        <v>27.8</v>
      </c>
      <c r="G1437" s="1">
        <v>0.45400000000000001</v>
      </c>
      <c r="H1437" s="1">
        <v>23</v>
      </c>
      <c r="I1437" s="1">
        <v>0</v>
      </c>
      <c r="J1437" s="1" t="str">
        <f>IFERROR(VLOOKUP(K1437,[1]diabetes_Recognition!$A:$B,2,FALSE),"Not Sampled")</f>
        <v>Not Sampled</v>
      </c>
      <c r="K1437" s="1">
        <v>1435</v>
      </c>
      <c r="L1437" s="1">
        <f>LOOKUP(A1437,Sheet2!$D$4:$E$9)</f>
        <v>0</v>
      </c>
      <c r="M1437" t="str">
        <f>LOOKUP(B1437,Sheet2!$G$4:$H$9)</f>
        <v>100-125</v>
      </c>
      <c r="N1437" t="str">
        <f>LOOKUP(C1437,Sheet2!$J$4:$K$8)</f>
        <v>60-69</v>
      </c>
      <c r="O1437" t="str">
        <f>LOOKUP(D1437,Sheet2!$M$4:$N$8)</f>
        <v>10-30</v>
      </c>
      <c r="P1437" t="str">
        <f>LOOKUP(E1437,Sheet2!$P$4:$Q$9)</f>
        <v>100-199</v>
      </c>
      <c r="Q1437" t="str">
        <f>LOOKUP(F1437,Sheet2!$S$4:$T$8)</f>
        <v>26-30</v>
      </c>
      <c r="R1437" t="str">
        <f>LOOKUP(G1437,Sheet2!$V$4:$W$7)</f>
        <v>0.4 - 0.69</v>
      </c>
      <c r="S1437" t="str">
        <f>LOOKUP(H1437,Sheet2!$Z$4:$AA$7)</f>
        <v>&lt;=25</v>
      </c>
      <c r="T1437" t="str">
        <f t="shared" si="66"/>
        <v>Negative</v>
      </c>
      <c r="U1437" t="str">
        <f t="shared" si="67"/>
        <v>Not Sampled</v>
      </c>
      <c r="V1437" s="1" t="str">
        <f t="shared" si="68"/>
        <v>Not Sampled</v>
      </c>
    </row>
    <row r="1438" spans="1:22" x14ac:dyDescent="0.25">
      <c r="A1438" s="1">
        <v>5</v>
      </c>
      <c r="B1438" s="1">
        <v>114</v>
      </c>
      <c r="C1438" s="1">
        <v>74</v>
      </c>
      <c r="D1438" s="1">
        <v>0</v>
      </c>
      <c r="E1438" s="1">
        <v>0</v>
      </c>
      <c r="F1438" s="1">
        <v>24.9</v>
      </c>
      <c r="G1438" s="1">
        <v>0.74399999999999999</v>
      </c>
      <c r="H1438" s="1">
        <v>57</v>
      </c>
      <c r="I1438" s="1">
        <v>0</v>
      </c>
      <c r="J1438" s="1" t="str">
        <f>IFERROR(VLOOKUP(K1438,[1]diabetes_Recognition!$A:$B,2,FALSE),"Not Sampled")</f>
        <v>Not Sampled</v>
      </c>
      <c r="K1438" s="1">
        <v>1436</v>
      </c>
      <c r="L1438" s="1" t="str">
        <f>LOOKUP(A1438,Sheet2!$D$4:$E$9)</f>
        <v>5-7</v>
      </c>
      <c r="M1438" t="str">
        <f>LOOKUP(B1438,Sheet2!$G$4:$H$9)</f>
        <v>100-125</v>
      </c>
      <c r="N1438" t="str">
        <f>LOOKUP(C1438,Sheet2!$J$4:$K$8)</f>
        <v>70-79</v>
      </c>
      <c r="O1438" t="str">
        <f>LOOKUP(D1438,Sheet2!$M$4:$N$8)</f>
        <v>Unknown</v>
      </c>
      <c r="P1438" t="str">
        <f>LOOKUP(E1438,Sheet2!$P$4:$Q$9)</f>
        <v>Unknown</v>
      </c>
      <c r="Q1438" t="str">
        <f>LOOKUP(F1438,Sheet2!$S$4:$T$8)</f>
        <v>1-25</v>
      </c>
      <c r="R1438" t="str">
        <f>LOOKUP(G1438,Sheet2!$V$4:$W$7)</f>
        <v>0.7+</v>
      </c>
      <c r="S1438" t="str">
        <f>LOOKUP(H1438,Sheet2!$Z$4:$AA$7)</f>
        <v>46+</v>
      </c>
      <c r="T1438" t="str">
        <f t="shared" si="66"/>
        <v>Negative</v>
      </c>
      <c r="U1438" t="str">
        <f t="shared" si="67"/>
        <v>Not Sampled</v>
      </c>
      <c r="V1438" s="1" t="str">
        <f t="shared" si="68"/>
        <v>Not Sampled</v>
      </c>
    </row>
    <row r="1439" spans="1:22" x14ac:dyDescent="0.25">
      <c r="A1439" s="1">
        <v>2</v>
      </c>
      <c r="B1439" s="1">
        <v>108</v>
      </c>
      <c r="C1439" s="1">
        <v>62</v>
      </c>
      <c r="D1439" s="1">
        <v>10</v>
      </c>
      <c r="E1439" s="1">
        <v>278</v>
      </c>
      <c r="F1439" s="1">
        <v>25.3</v>
      </c>
      <c r="G1439" s="1">
        <v>0.88100000000000001</v>
      </c>
      <c r="H1439" s="1">
        <v>22</v>
      </c>
      <c r="I1439" s="1">
        <v>0</v>
      </c>
      <c r="J1439" s="1">
        <f>IFERROR(VLOOKUP(K1439,[1]diabetes_Recognition!$A:$B,2,FALSE),"Not Sampled")</f>
        <v>0</v>
      </c>
      <c r="K1439" s="1">
        <v>1437</v>
      </c>
      <c r="L1439" s="1">
        <f>LOOKUP(A1439,Sheet2!$D$4:$E$9)</f>
        <v>2</v>
      </c>
      <c r="M1439" t="str">
        <f>LOOKUP(B1439,Sheet2!$G$4:$H$9)</f>
        <v>100-125</v>
      </c>
      <c r="N1439" t="str">
        <f>LOOKUP(C1439,Sheet2!$J$4:$K$8)</f>
        <v>60-69</v>
      </c>
      <c r="O1439" t="str">
        <f>LOOKUP(D1439,Sheet2!$M$4:$N$8)</f>
        <v>10-30</v>
      </c>
      <c r="P1439" t="str">
        <f>LOOKUP(E1439,Sheet2!$P$4:$Q$9)</f>
        <v>200-399</v>
      </c>
      <c r="Q1439" t="str">
        <f>LOOKUP(F1439,Sheet2!$S$4:$T$8)</f>
        <v>1-25</v>
      </c>
      <c r="R1439" t="str">
        <f>LOOKUP(G1439,Sheet2!$V$4:$W$7)</f>
        <v>0.7+</v>
      </c>
      <c r="S1439" t="str">
        <f>LOOKUP(H1439,Sheet2!$Z$4:$AA$7)</f>
        <v>&lt;=25</v>
      </c>
      <c r="T1439" t="str">
        <f t="shared" si="66"/>
        <v>Negative</v>
      </c>
      <c r="U1439" t="str">
        <f t="shared" si="67"/>
        <v>Negative</v>
      </c>
      <c r="V1439" s="1" t="str">
        <f t="shared" si="68"/>
        <v>Accurate Prediction</v>
      </c>
    </row>
    <row r="1440" spans="1:22" x14ac:dyDescent="0.25">
      <c r="A1440" s="1">
        <v>0</v>
      </c>
      <c r="B1440" s="1">
        <v>146</v>
      </c>
      <c r="C1440" s="1">
        <v>70</v>
      </c>
      <c r="D1440" s="1">
        <v>0</v>
      </c>
      <c r="E1440" s="1">
        <v>0</v>
      </c>
      <c r="F1440" s="1">
        <v>37.9</v>
      </c>
      <c r="G1440" s="1">
        <v>0.33400000000000002</v>
      </c>
      <c r="H1440" s="1">
        <v>28</v>
      </c>
      <c r="I1440" s="1">
        <v>1</v>
      </c>
      <c r="J1440" s="1" t="str">
        <f>IFERROR(VLOOKUP(K1440,[1]diabetes_Recognition!$A:$B,2,FALSE),"Not Sampled")</f>
        <v>Not Sampled</v>
      </c>
      <c r="K1440" s="1">
        <v>1438</v>
      </c>
      <c r="L1440" s="1">
        <f>LOOKUP(A1440,Sheet2!$D$4:$E$9)</f>
        <v>0</v>
      </c>
      <c r="M1440" t="str">
        <f>LOOKUP(B1440,Sheet2!$G$4:$H$9)</f>
        <v>126-150</v>
      </c>
      <c r="N1440" t="str">
        <f>LOOKUP(C1440,Sheet2!$J$4:$K$8)</f>
        <v>70-79</v>
      </c>
      <c r="O1440" t="str">
        <f>LOOKUP(D1440,Sheet2!$M$4:$N$8)</f>
        <v>Unknown</v>
      </c>
      <c r="P1440" t="str">
        <f>LOOKUP(E1440,Sheet2!$P$4:$Q$9)</f>
        <v>Unknown</v>
      </c>
      <c r="Q1440" t="str">
        <f>LOOKUP(F1440,Sheet2!$S$4:$T$8)</f>
        <v>36+</v>
      </c>
      <c r="R1440" t="str">
        <f>LOOKUP(G1440,Sheet2!$V$4:$W$7)</f>
        <v>0.25 - 0.39</v>
      </c>
      <c r="S1440" t="str">
        <f>LOOKUP(H1440,Sheet2!$Z$4:$AA$7)</f>
        <v>26-35</v>
      </c>
      <c r="T1440" t="str">
        <f t="shared" si="66"/>
        <v>Positive</v>
      </c>
      <c r="U1440" t="str">
        <f t="shared" si="67"/>
        <v>Not Sampled</v>
      </c>
      <c r="V1440" s="1" t="str">
        <f t="shared" si="68"/>
        <v>Not Sampled</v>
      </c>
    </row>
    <row r="1441" spans="1:22" x14ac:dyDescent="0.25">
      <c r="A1441" s="1">
        <v>10</v>
      </c>
      <c r="B1441" s="1">
        <v>129</v>
      </c>
      <c r="C1441" s="1">
        <v>76</v>
      </c>
      <c r="D1441" s="1">
        <v>28</v>
      </c>
      <c r="E1441" s="1">
        <v>122</v>
      </c>
      <c r="F1441" s="1">
        <v>35.9</v>
      </c>
      <c r="G1441" s="1">
        <v>0.28000000000000003</v>
      </c>
      <c r="H1441" s="1">
        <v>39</v>
      </c>
      <c r="I1441" s="1">
        <v>0</v>
      </c>
      <c r="J1441" s="1" t="str">
        <f>IFERROR(VLOOKUP(K1441,[1]diabetes_Recognition!$A:$B,2,FALSE),"Not Sampled")</f>
        <v>Not Sampled</v>
      </c>
      <c r="K1441" s="1">
        <v>1439</v>
      </c>
      <c r="L1441" s="1" t="str">
        <f>LOOKUP(A1441,Sheet2!$D$4:$E$9)</f>
        <v>8+</v>
      </c>
      <c r="M1441" t="str">
        <f>LOOKUP(B1441,Sheet2!$G$4:$H$9)</f>
        <v>126-150</v>
      </c>
      <c r="N1441" t="str">
        <f>LOOKUP(C1441,Sheet2!$J$4:$K$8)</f>
        <v>70-79</v>
      </c>
      <c r="O1441" t="str">
        <f>LOOKUP(D1441,Sheet2!$M$4:$N$8)</f>
        <v>10-30</v>
      </c>
      <c r="P1441" t="str">
        <f>LOOKUP(E1441,Sheet2!$P$4:$Q$9)</f>
        <v>100-199</v>
      </c>
      <c r="Q1441" t="str">
        <f>LOOKUP(F1441,Sheet2!$S$4:$T$8)</f>
        <v>31-35</v>
      </c>
      <c r="R1441" t="str">
        <f>LOOKUP(G1441,Sheet2!$V$4:$W$7)</f>
        <v>0.25 - 0.39</v>
      </c>
      <c r="S1441" t="str">
        <f>LOOKUP(H1441,Sheet2!$Z$4:$AA$7)</f>
        <v>36-45</v>
      </c>
      <c r="T1441" t="str">
        <f t="shared" si="66"/>
        <v>Negative</v>
      </c>
      <c r="U1441" t="str">
        <f t="shared" si="67"/>
        <v>Not Sampled</v>
      </c>
      <c r="V1441" s="1" t="str">
        <f t="shared" si="68"/>
        <v>Not Sampled</v>
      </c>
    </row>
    <row r="1442" spans="1:22" x14ac:dyDescent="0.25">
      <c r="A1442" s="1">
        <v>7</v>
      </c>
      <c r="B1442" s="1">
        <v>133</v>
      </c>
      <c r="C1442" s="1">
        <v>88</v>
      </c>
      <c r="D1442" s="1">
        <v>15</v>
      </c>
      <c r="E1442" s="1">
        <v>155</v>
      </c>
      <c r="F1442" s="1">
        <v>32.4</v>
      </c>
      <c r="G1442" s="1">
        <v>0.26200000000000001</v>
      </c>
      <c r="H1442" s="1">
        <v>37</v>
      </c>
      <c r="I1442" s="1">
        <v>0</v>
      </c>
      <c r="J1442" s="1">
        <f>IFERROR(VLOOKUP(K1442,[1]diabetes_Recognition!$A:$B,2,FALSE),"Not Sampled")</f>
        <v>0</v>
      </c>
      <c r="K1442" s="1">
        <v>1440</v>
      </c>
      <c r="L1442" s="1" t="str">
        <f>LOOKUP(A1442,Sheet2!$D$4:$E$9)</f>
        <v>5-7</v>
      </c>
      <c r="M1442" t="str">
        <f>LOOKUP(B1442,Sheet2!$G$4:$H$9)</f>
        <v>126-150</v>
      </c>
      <c r="N1442" t="str">
        <f>LOOKUP(C1442,Sheet2!$J$4:$K$8)</f>
        <v>80+</v>
      </c>
      <c r="O1442" t="str">
        <f>LOOKUP(D1442,Sheet2!$M$4:$N$8)</f>
        <v>10-30</v>
      </c>
      <c r="P1442" t="str">
        <f>LOOKUP(E1442,Sheet2!$P$4:$Q$9)</f>
        <v>100-199</v>
      </c>
      <c r="Q1442" t="str">
        <f>LOOKUP(F1442,Sheet2!$S$4:$T$8)</f>
        <v>31-35</v>
      </c>
      <c r="R1442" t="str">
        <f>LOOKUP(G1442,Sheet2!$V$4:$W$7)</f>
        <v>0.25 - 0.39</v>
      </c>
      <c r="S1442" t="str">
        <f>LOOKUP(H1442,Sheet2!$Z$4:$AA$7)</f>
        <v>36-45</v>
      </c>
      <c r="T1442" t="str">
        <f t="shared" si="66"/>
        <v>Negative</v>
      </c>
      <c r="U1442" t="str">
        <f t="shared" si="67"/>
        <v>Negative</v>
      </c>
      <c r="V1442" s="1" t="str">
        <f t="shared" si="68"/>
        <v>Accurate Prediction</v>
      </c>
    </row>
    <row r="1443" spans="1:22" x14ac:dyDescent="0.25">
      <c r="A1443" s="1">
        <v>7</v>
      </c>
      <c r="B1443" s="1">
        <v>161</v>
      </c>
      <c r="C1443" s="1">
        <v>86</v>
      </c>
      <c r="D1443" s="1">
        <v>0</v>
      </c>
      <c r="E1443" s="1">
        <v>0</v>
      </c>
      <c r="F1443" s="1">
        <v>30.4</v>
      </c>
      <c r="G1443" s="1">
        <v>0.16500000000000001</v>
      </c>
      <c r="H1443" s="1">
        <v>47</v>
      </c>
      <c r="I1443" s="1">
        <v>1</v>
      </c>
      <c r="J1443" s="1">
        <f>IFERROR(VLOOKUP(K1443,[1]diabetes_Recognition!$A:$B,2,FALSE),"Not Sampled")</f>
        <v>1</v>
      </c>
      <c r="K1443" s="1">
        <v>1441</v>
      </c>
      <c r="L1443" s="1" t="str">
        <f>LOOKUP(A1443,Sheet2!$D$4:$E$9)</f>
        <v>5-7</v>
      </c>
      <c r="M1443" t="str">
        <f>LOOKUP(B1443,Sheet2!$G$4:$H$9)</f>
        <v>151-175</v>
      </c>
      <c r="N1443" t="str">
        <f>LOOKUP(C1443,Sheet2!$J$4:$K$8)</f>
        <v>80+</v>
      </c>
      <c r="O1443" t="str">
        <f>LOOKUP(D1443,Sheet2!$M$4:$N$8)</f>
        <v>Unknown</v>
      </c>
      <c r="P1443" t="str">
        <f>LOOKUP(E1443,Sheet2!$P$4:$Q$9)</f>
        <v>Unknown</v>
      </c>
      <c r="Q1443" t="str">
        <f>LOOKUP(F1443,Sheet2!$S$4:$T$8)</f>
        <v>26-30</v>
      </c>
      <c r="R1443" t="str">
        <f>LOOKUP(G1443,Sheet2!$V$4:$W$7)</f>
        <v>0.0 - 0.249</v>
      </c>
      <c r="S1443" t="str">
        <f>LOOKUP(H1443,Sheet2!$Z$4:$AA$7)</f>
        <v>46+</v>
      </c>
      <c r="T1443" t="str">
        <f t="shared" si="66"/>
        <v>Positive</v>
      </c>
      <c r="U1443" t="str">
        <f t="shared" si="67"/>
        <v>Positive</v>
      </c>
      <c r="V1443" s="1" t="str">
        <f t="shared" si="68"/>
        <v>Accurate Prediction</v>
      </c>
    </row>
    <row r="1444" spans="1:22" x14ac:dyDescent="0.25">
      <c r="A1444" s="1">
        <v>2</v>
      </c>
      <c r="B1444" s="1">
        <v>108</v>
      </c>
      <c r="C1444" s="1">
        <v>80</v>
      </c>
      <c r="D1444" s="1">
        <v>0</v>
      </c>
      <c r="E1444" s="1">
        <v>0</v>
      </c>
      <c r="F1444" s="1">
        <v>27</v>
      </c>
      <c r="G1444" s="1">
        <v>0.25900000000000001</v>
      </c>
      <c r="H1444" s="1">
        <v>52</v>
      </c>
      <c r="I1444" s="1">
        <v>1</v>
      </c>
      <c r="J1444" s="1" t="str">
        <f>IFERROR(VLOOKUP(K1444,[1]diabetes_Recognition!$A:$B,2,FALSE),"Not Sampled")</f>
        <v>Not Sampled</v>
      </c>
      <c r="K1444" s="1">
        <v>1442</v>
      </c>
      <c r="L1444" s="1">
        <f>LOOKUP(A1444,Sheet2!$D$4:$E$9)</f>
        <v>2</v>
      </c>
      <c r="M1444" t="str">
        <f>LOOKUP(B1444,Sheet2!$G$4:$H$9)</f>
        <v>100-125</v>
      </c>
      <c r="N1444" t="str">
        <f>LOOKUP(C1444,Sheet2!$J$4:$K$8)</f>
        <v>80+</v>
      </c>
      <c r="O1444" t="str">
        <f>LOOKUP(D1444,Sheet2!$M$4:$N$8)</f>
        <v>Unknown</v>
      </c>
      <c r="P1444" t="str">
        <f>LOOKUP(E1444,Sheet2!$P$4:$Q$9)</f>
        <v>Unknown</v>
      </c>
      <c r="Q1444" t="str">
        <f>LOOKUP(F1444,Sheet2!$S$4:$T$8)</f>
        <v>26-30</v>
      </c>
      <c r="R1444" t="str">
        <f>LOOKUP(G1444,Sheet2!$V$4:$W$7)</f>
        <v>0.25 - 0.39</v>
      </c>
      <c r="S1444" t="str">
        <f>LOOKUP(H1444,Sheet2!$Z$4:$AA$7)</f>
        <v>46+</v>
      </c>
      <c r="T1444" t="str">
        <f t="shared" si="66"/>
        <v>Positive</v>
      </c>
      <c r="U1444" t="str">
        <f t="shared" si="67"/>
        <v>Not Sampled</v>
      </c>
      <c r="V1444" s="1" t="str">
        <f t="shared" si="68"/>
        <v>Not Sampled</v>
      </c>
    </row>
    <row r="1445" spans="1:22" x14ac:dyDescent="0.25">
      <c r="A1445" s="1">
        <v>7</v>
      </c>
      <c r="B1445" s="1">
        <v>136</v>
      </c>
      <c r="C1445" s="1">
        <v>74</v>
      </c>
      <c r="D1445" s="1">
        <v>26</v>
      </c>
      <c r="E1445" s="1">
        <v>135</v>
      </c>
      <c r="F1445" s="1">
        <v>26</v>
      </c>
      <c r="G1445" s="1">
        <v>0.64700000000000002</v>
      </c>
      <c r="H1445" s="1">
        <v>51</v>
      </c>
      <c r="I1445" s="1">
        <v>0</v>
      </c>
      <c r="J1445" s="1">
        <f>IFERROR(VLOOKUP(K1445,[1]diabetes_Recognition!$A:$B,2,FALSE),"Not Sampled")</f>
        <v>0</v>
      </c>
      <c r="K1445" s="1">
        <v>1443</v>
      </c>
      <c r="L1445" s="1" t="str">
        <f>LOOKUP(A1445,Sheet2!$D$4:$E$9)</f>
        <v>5-7</v>
      </c>
      <c r="M1445" t="str">
        <f>LOOKUP(B1445,Sheet2!$G$4:$H$9)</f>
        <v>126-150</v>
      </c>
      <c r="N1445" t="str">
        <f>LOOKUP(C1445,Sheet2!$J$4:$K$8)</f>
        <v>70-79</v>
      </c>
      <c r="O1445" t="str">
        <f>LOOKUP(D1445,Sheet2!$M$4:$N$8)</f>
        <v>10-30</v>
      </c>
      <c r="P1445" t="str">
        <f>LOOKUP(E1445,Sheet2!$P$4:$Q$9)</f>
        <v>100-199</v>
      </c>
      <c r="Q1445" t="str">
        <f>LOOKUP(F1445,Sheet2!$S$4:$T$8)</f>
        <v>26-30</v>
      </c>
      <c r="R1445" t="str">
        <f>LOOKUP(G1445,Sheet2!$V$4:$W$7)</f>
        <v>0.4 - 0.69</v>
      </c>
      <c r="S1445" t="str">
        <f>LOOKUP(H1445,Sheet2!$Z$4:$AA$7)</f>
        <v>46+</v>
      </c>
      <c r="T1445" t="str">
        <f t="shared" si="66"/>
        <v>Negative</v>
      </c>
      <c r="U1445" t="str">
        <f t="shared" si="67"/>
        <v>Negative</v>
      </c>
      <c r="V1445" s="1" t="str">
        <f t="shared" si="68"/>
        <v>Accurate Prediction</v>
      </c>
    </row>
    <row r="1446" spans="1:22" x14ac:dyDescent="0.25">
      <c r="A1446" s="1">
        <v>5</v>
      </c>
      <c r="B1446" s="1">
        <v>155</v>
      </c>
      <c r="C1446" s="1">
        <v>84</v>
      </c>
      <c r="D1446" s="1">
        <v>44</v>
      </c>
      <c r="E1446" s="1">
        <v>545</v>
      </c>
      <c r="F1446" s="1">
        <v>38.700000000000003</v>
      </c>
      <c r="G1446" s="1">
        <v>0.61899999999999999</v>
      </c>
      <c r="H1446" s="1">
        <v>34</v>
      </c>
      <c r="I1446" s="1">
        <v>0</v>
      </c>
      <c r="J1446" s="1" t="str">
        <f>IFERROR(VLOOKUP(K1446,[1]diabetes_Recognition!$A:$B,2,FALSE),"Not Sampled")</f>
        <v>Not Sampled</v>
      </c>
      <c r="K1446" s="1">
        <v>1444</v>
      </c>
      <c r="L1446" s="1" t="str">
        <f>LOOKUP(A1446,Sheet2!$D$4:$E$9)</f>
        <v>5-7</v>
      </c>
      <c r="M1446" t="str">
        <f>LOOKUP(B1446,Sheet2!$G$4:$H$9)</f>
        <v>151-175</v>
      </c>
      <c r="N1446" t="str">
        <f>LOOKUP(C1446,Sheet2!$J$4:$K$8)</f>
        <v>80+</v>
      </c>
      <c r="O1446" t="str">
        <f>LOOKUP(D1446,Sheet2!$M$4:$N$8)</f>
        <v>40+</v>
      </c>
      <c r="P1446" t="str">
        <f>LOOKUP(E1446,Sheet2!$P$4:$Q$9)</f>
        <v>500+</v>
      </c>
      <c r="Q1446" t="str">
        <f>LOOKUP(F1446,Sheet2!$S$4:$T$8)</f>
        <v>36+</v>
      </c>
      <c r="R1446" t="str">
        <f>LOOKUP(G1446,Sheet2!$V$4:$W$7)</f>
        <v>0.4 - 0.69</v>
      </c>
      <c r="S1446" t="str">
        <f>LOOKUP(H1446,Sheet2!$Z$4:$AA$7)</f>
        <v>26-35</v>
      </c>
      <c r="T1446" t="str">
        <f t="shared" si="66"/>
        <v>Negative</v>
      </c>
      <c r="U1446" t="str">
        <f t="shared" si="67"/>
        <v>Not Sampled</v>
      </c>
      <c r="V1446" s="1" t="str">
        <f t="shared" si="68"/>
        <v>Not Sampled</v>
      </c>
    </row>
    <row r="1447" spans="1:22" x14ac:dyDescent="0.25">
      <c r="A1447" s="1">
        <v>1</v>
      </c>
      <c r="B1447" s="1">
        <v>119</v>
      </c>
      <c r="C1447" s="1">
        <v>86</v>
      </c>
      <c r="D1447" s="1">
        <v>39</v>
      </c>
      <c r="E1447" s="1">
        <v>220</v>
      </c>
      <c r="F1447" s="1">
        <v>45.6</v>
      </c>
      <c r="G1447" s="1">
        <v>0.80800000000000005</v>
      </c>
      <c r="H1447" s="1">
        <v>29</v>
      </c>
      <c r="I1447" s="1">
        <v>1</v>
      </c>
      <c r="J1447" s="1" t="str">
        <f>IFERROR(VLOOKUP(K1447,[1]diabetes_Recognition!$A:$B,2,FALSE),"Not Sampled")</f>
        <v>Not Sampled</v>
      </c>
      <c r="K1447" s="1">
        <v>1445</v>
      </c>
      <c r="L1447" s="1">
        <f>LOOKUP(A1447,Sheet2!$D$4:$E$9)</f>
        <v>1</v>
      </c>
      <c r="M1447" t="str">
        <f>LOOKUP(B1447,Sheet2!$G$4:$H$9)</f>
        <v>100-125</v>
      </c>
      <c r="N1447" t="str">
        <f>LOOKUP(C1447,Sheet2!$J$4:$K$8)</f>
        <v>80+</v>
      </c>
      <c r="O1447" t="str">
        <f>LOOKUP(D1447,Sheet2!$M$4:$N$8)</f>
        <v>30-39</v>
      </c>
      <c r="P1447" t="str">
        <f>LOOKUP(E1447,Sheet2!$P$4:$Q$9)</f>
        <v>200-399</v>
      </c>
      <c r="Q1447" t="str">
        <f>LOOKUP(F1447,Sheet2!$S$4:$T$8)</f>
        <v>36+</v>
      </c>
      <c r="R1447" t="str">
        <f>LOOKUP(G1447,Sheet2!$V$4:$W$7)</f>
        <v>0.7+</v>
      </c>
      <c r="S1447" t="str">
        <f>LOOKUP(H1447,Sheet2!$Z$4:$AA$7)</f>
        <v>26-35</v>
      </c>
      <c r="T1447" t="str">
        <f t="shared" si="66"/>
        <v>Positive</v>
      </c>
      <c r="U1447" t="str">
        <f t="shared" si="67"/>
        <v>Not Sampled</v>
      </c>
      <c r="V1447" s="1" t="str">
        <f t="shared" si="68"/>
        <v>Not Sampled</v>
      </c>
    </row>
    <row r="1448" spans="1:22" x14ac:dyDescent="0.25">
      <c r="A1448" s="1">
        <v>4</v>
      </c>
      <c r="B1448" s="1">
        <v>96</v>
      </c>
      <c r="C1448" s="1">
        <v>56</v>
      </c>
      <c r="D1448" s="1">
        <v>17</v>
      </c>
      <c r="E1448" s="1">
        <v>49</v>
      </c>
      <c r="F1448" s="1">
        <v>20.8</v>
      </c>
      <c r="G1448" s="1">
        <v>0.34</v>
      </c>
      <c r="H1448" s="1">
        <v>26</v>
      </c>
      <c r="I1448" s="1">
        <v>0</v>
      </c>
      <c r="J1448" s="1" t="str">
        <f>IFERROR(VLOOKUP(K1448,[1]diabetes_Recognition!$A:$B,2,FALSE),"Not Sampled")</f>
        <v>Not Sampled</v>
      </c>
      <c r="K1448" s="1">
        <v>1446</v>
      </c>
      <c r="L1448" s="1" t="str">
        <f>LOOKUP(A1448,Sheet2!$D$4:$E$9)</f>
        <v>3-4</v>
      </c>
      <c r="M1448" t="str">
        <f>LOOKUP(B1448,Sheet2!$G$4:$H$9)</f>
        <v>1-99</v>
      </c>
      <c r="N1448" t="str">
        <f>LOOKUP(C1448,Sheet2!$J$4:$K$8)</f>
        <v>1-59</v>
      </c>
      <c r="O1448" t="str">
        <f>LOOKUP(D1448,Sheet2!$M$4:$N$8)</f>
        <v>10-30</v>
      </c>
      <c r="P1448" t="str">
        <f>LOOKUP(E1448,Sheet2!$P$4:$Q$9)</f>
        <v>1-99</v>
      </c>
      <c r="Q1448" t="str">
        <f>LOOKUP(F1448,Sheet2!$S$4:$T$8)</f>
        <v>1-25</v>
      </c>
      <c r="R1448" t="str">
        <f>LOOKUP(G1448,Sheet2!$V$4:$W$7)</f>
        <v>0.25 - 0.39</v>
      </c>
      <c r="S1448" t="str">
        <f>LOOKUP(H1448,Sheet2!$Z$4:$AA$7)</f>
        <v>26-35</v>
      </c>
      <c r="T1448" t="str">
        <f t="shared" si="66"/>
        <v>Negative</v>
      </c>
      <c r="U1448" t="str">
        <f t="shared" si="67"/>
        <v>Not Sampled</v>
      </c>
      <c r="V1448" s="1" t="str">
        <f t="shared" si="68"/>
        <v>Not Sampled</v>
      </c>
    </row>
    <row r="1449" spans="1:22" x14ac:dyDescent="0.25">
      <c r="A1449" s="1">
        <v>5</v>
      </c>
      <c r="B1449" s="1">
        <v>108</v>
      </c>
      <c r="C1449" s="1">
        <v>72</v>
      </c>
      <c r="D1449" s="1">
        <v>43</v>
      </c>
      <c r="E1449" s="1">
        <v>75</v>
      </c>
      <c r="F1449" s="1">
        <v>36.1</v>
      </c>
      <c r="G1449" s="1">
        <v>0.26300000000000001</v>
      </c>
      <c r="H1449" s="1">
        <v>33</v>
      </c>
      <c r="I1449" s="1">
        <v>0</v>
      </c>
      <c r="J1449" s="1">
        <f>IFERROR(VLOOKUP(K1449,[1]diabetes_Recognition!$A:$B,2,FALSE),"Not Sampled")</f>
        <v>0</v>
      </c>
      <c r="K1449" s="1">
        <v>1447</v>
      </c>
      <c r="L1449" s="1" t="str">
        <f>LOOKUP(A1449,Sheet2!$D$4:$E$9)</f>
        <v>5-7</v>
      </c>
      <c r="M1449" t="str">
        <f>LOOKUP(B1449,Sheet2!$G$4:$H$9)</f>
        <v>100-125</v>
      </c>
      <c r="N1449" t="str">
        <f>LOOKUP(C1449,Sheet2!$J$4:$K$8)</f>
        <v>70-79</v>
      </c>
      <c r="O1449" t="str">
        <f>LOOKUP(D1449,Sheet2!$M$4:$N$8)</f>
        <v>40+</v>
      </c>
      <c r="P1449" t="str">
        <f>LOOKUP(E1449,Sheet2!$P$4:$Q$9)</f>
        <v>1-99</v>
      </c>
      <c r="Q1449" t="str">
        <f>LOOKUP(F1449,Sheet2!$S$4:$T$8)</f>
        <v>36+</v>
      </c>
      <c r="R1449" t="str">
        <f>LOOKUP(G1449,Sheet2!$V$4:$W$7)</f>
        <v>0.25 - 0.39</v>
      </c>
      <c r="S1449" t="str">
        <f>LOOKUP(H1449,Sheet2!$Z$4:$AA$7)</f>
        <v>26-35</v>
      </c>
      <c r="T1449" t="str">
        <f t="shared" si="66"/>
        <v>Negative</v>
      </c>
      <c r="U1449" t="str">
        <f t="shared" si="67"/>
        <v>Negative</v>
      </c>
      <c r="V1449" s="1" t="str">
        <f t="shared" si="68"/>
        <v>Accurate Prediction</v>
      </c>
    </row>
    <row r="1450" spans="1:22" x14ac:dyDescent="0.25">
      <c r="A1450" s="1">
        <v>0</v>
      </c>
      <c r="B1450" s="1">
        <v>78</v>
      </c>
      <c r="C1450" s="1">
        <v>88</v>
      </c>
      <c r="D1450" s="1">
        <v>29</v>
      </c>
      <c r="E1450" s="1">
        <v>40</v>
      </c>
      <c r="F1450" s="1">
        <v>36.9</v>
      </c>
      <c r="G1450" s="1">
        <v>0.434</v>
      </c>
      <c r="H1450" s="1">
        <v>21</v>
      </c>
      <c r="I1450" s="1">
        <v>0</v>
      </c>
      <c r="J1450" s="1" t="str">
        <f>IFERROR(VLOOKUP(K1450,[1]diabetes_Recognition!$A:$B,2,FALSE),"Not Sampled")</f>
        <v>Not Sampled</v>
      </c>
      <c r="K1450" s="1">
        <v>1448</v>
      </c>
      <c r="L1450" s="1">
        <f>LOOKUP(A1450,Sheet2!$D$4:$E$9)</f>
        <v>0</v>
      </c>
      <c r="M1450" t="str">
        <f>LOOKUP(B1450,Sheet2!$G$4:$H$9)</f>
        <v>1-99</v>
      </c>
      <c r="N1450" t="str">
        <f>LOOKUP(C1450,Sheet2!$J$4:$K$8)</f>
        <v>80+</v>
      </c>
      <c r="O1450" t="str">
        <f>LOOKUP(D1450,Sheet2!$M$4:$N$8)</f>
        <v>10-30</v>
      </c>
      <c r="P1450" t="str">
        <f>LOOKUP(E1450,Sheet2!$P$4:$Q$9)</f>
        <v>1-99</v>
      </c>
      <c r="Q1450" t="str">
        <f>LOOKUP(F1450,Sheet2!$S$4:$T$8)</f>
        <v>36+</v>
      </c>
      <c r="R1450" t="str">
        <f>LOOKUP(G1450,Sheet2!$V$4:$W$7)</f>
        <v>0.4 - 0.69</v>
      </c>
      <c r="S1450" t="str">
        <f>LOOKUP(H1450,Sheet2!$Z$4:$AA$7)</f>
        <v>&lt;=25</v>
      </c>
      <c r="T1450" t="str">
        <f t="shared" si="66"/>
        <v>Negative</v>
      </c>
      <c r="U1450" t="str">
        <f t="shared" si="67"/>
        <v>Not Sampled</v>
      </c>
      <c r="V1450" s="1" t="str">
        <f t="shared" si="68"/>
        <v>Not Sampled</v>
      </c>
    </row>
    <row r="1451" spans="1:22" x14ac:dyDescent="0.25">
      <c r="A1451" s="1">
        <v>0</v>
      </c>
      <c r="B1451" s="1">
        <v>107</v>
      </c>
      <c r="C1451" s="1">
        <v>62</v>
      </c>
      <c r="D1451" s="1">
        <v>30</v>
      </c>
      <c r="E1451" s="1">
        <v>74</v>
      </c>
      <c r="F1451" s="1">
        <v>36.6</v>
      </c>
      <c r="G1451" s="1">
        <v>0.75700000000000001</v>
      </c>
      <c r="H1451" s="1">
        <v>25</v>
      </c>
      <c r="I1451" s="1">
        <v>1</v>
      </c>
      <c r="J1451" s="1" t="str">
        <f>IFERROR(VLOOKUP(K1451,[1]diabetes_Recognition!$A:$B,2,FALSE),"Not Sampled")</f>
        <v>Not Sampled</v>
      </c>
      <c r="K1451" s="1">
        <v>1449</v>
      </c>
      <c r="L1451" s="1">
        <f>LOOKUP(A1451,Sheet2!$D$4:$E$9)</f>
        <v>0</v>
      </c>
      <c r="M1451" t="str">
        <f>LOOKUP(B1451,Sheet2!$G$4:$H$9)</f>
        <v>100-125</v>
      </c>
      <c r="N1451" t="str">
        <f>LOOKUP(C1451,Sheet2!$J$4:$K$8)</f>
        <v>60-69</v>
      </c>
      <c r="O1451" t="str">
        <f>LOOKUP(D1451,Sheet2!$M$4:$N$8)</f>
        <v>30-39</v>
      </c>
      <c r="P1451" t="str">
        <f>LOOKUP(E1451,Sheet2!$P$4:$Q$9)</f>
        <v>1-99</v>
      </c>
      <c r="Q1451" t="str">
        <f>LOOKUP(F1451,Sheet2!$S$4:$T$8)</f>
        <v>36+</v>
      </c>
      <c r="R1451" t="str">
        <f>LOOKUP(G1451,Sheet2!$V$4:$W$7)</f>
        <v>0.7+</v>
      </c>
      <c r="S1451" t="str">
        <f>LOOKUP(H1451,Sheet2!$Z$4:$AA$7)</f>
        <v>&lt;=25</v>
      </c>
      <c r="T1451" t="str">
        <f t="shared" si="66"/>
        <v>Positive</v>
      </c>
      <c r="U1451" t="str">
        <f t="shared" si="67"/>
        <v>Not Sampled</v>
      </c>
      <c r="V1451" s="1" t="str">
        <f t="shared" si="68"/>
        <v>Not Sampled</v>
      </c>
    </row>
    <row r="1452" spans="1:22" x14ac:dyDescent="0.25">
      <c r="A1452" s="1">
        <v>2</v>
      </c>
      <c r="B1452" s="1">
        <v>128</v>
      </c>
      <c r="C1452" s="1">
        <v>78</v>
      </c>
      <c r="D1452" s="1">
        <v>37</v>
      </c>
      <c r="E1452" s="1">
        <v>182</v>
      </c>
      <c r="F1452" s="1">
        <v>43.3</v>
      </c>
      <c r="G1452" s="1">
        <v>1.224</v>
      </c>
      <c r="H1452" s="1">
        <v>31</v>
      </c>
      <c r="I1452" s="1">
        <v>1</v>
      </c>
      <c r="J1452" s="1">
        <f>IFERROR(VLOOKUP(K1452,[1]diabetes_Recognition!$A:$B,2,FALSE),"Not Sampled")</f>
        <v>1</v>
      </c>
      <c r="K1452" s="1">
        <v>1450</v>
      </c>
      <c r="L1452" s="1">
        <f>LOOKUP(A1452,Sheet2!$D$4:$E$9)</f>
        <v>2</v>
      </c>
      <c r="M1452" t="str">
        <f>LOOKUP(B1452,Sheet2!$G$4:$H$9)</f>
        <v>126-150</v>
      </c>
      <c r="N1452" t="str">
        <f>LOOKUP(C1452,Sheet2!$J$4:$K$8)</f>
        <v>70-79</v>
      </c>
      <c r="O1452" t="str">
        <f>LOOKUP(D1452,Sheet2!$M$4:$N$8)</f>
        <v>30-39</v>
      </c>
      <c r="P1452" t="str">
        <f>LOOKUP(E1452,Sheet2!$P$4:$Q$9)</f>
        <v>100-199</v>
      </c>
      <c r="Q1452" t="str">
        <f>LOOKUP(F1452,Sheet2!$S$4:$T$8)</f>
        <v>36+</v>
      </c>
      <c r="R1452" t="str">
        <f>LOOKUP(G1452,Sheet2!$V$4:$W$7)</f>
        <v>0.7+</v>
      </c>
      <c r="S1452" t="str">
        <f>LOOKUP(H1452,Sheet2!$Z$4:$AA$7)</f>
        <v>26-35</v>
      </c>
      <c r="T1452" t="str">
        <f t="shared" si="66"/>
        <v>Positive</v>
      </c>
      <c r="U1452" t="str">
        <f t="shared" si="67"/>
        <v>Positive</v>
      </c>
      <c r="V1452" s="1" t="str">
        <f t="shared" si="68"/>
        <v>Accurate Prediction</v>
      </c>
    </row>
    <row r="1453" spans="1:22" x14ac:dyDescent="0.25">
      <c r="A1453" s="1">
        <v>1</v>
      </c>
      <c r="B1453" s="1">
        <v>128</v>
      </c>
      <c r="C1453" s="1">
        <v>48</v>
      </c>
      <c r="D1453" s="1">
        <v>45</v>
      </c>
      <c r="E1453" s="1">
        <v>194</v>
      </c>
      <c r="F1453" s="1">
        <v>40.5</v>
      </c>
      <c r="G1453" s="1">
        <v>0.61299999999999999</v>
      </c>
      <c r="H1453" s="1">
        <v>24</v>
      </c>
      <c r="I1453" s="1">
        <v>1</v>
      </c>
      <c r="J1453" s="1" t="str">
        <f>IFERROR(VLOOKUP(K1453,[1]diabetes_Recognition!$A:$B,2,FALSE),"Not Sampled")</f>
        <v>Not Sampled</v>
      </c>
      <c r="K1453" s="1">
        <v>1451</v>
      </c>
      <c r="L1453" s="1">
        <f>LOOKUP(A1453,Sheet2!$D$4:$E$9)</f>
        <v>1</v>
      </c>
      <c r="M1453" t="str">
        <f>LOOKUP(B1453,Sheet2!$G$4:$H$9)</f>
        <v>126-150</v>
      </c>
      <c r="N1453" t="str">
        <f>LOOKUP(C1453,Sheet2!$J$4:$K$8)</f>
        <v>1-59</v>
      </c>
      <c r="O1453" t="str">
        <f>LOOKUP(D1453,Sheet2!$M$4:$N$8)</f>
        <v>40+</v>
      </c>
      <c r="P1453" t="str">
        <f>LOOKUP(E1453,Sheet2!$P$4:$Q$9)</f>
        <v>100-199</v>
      </c>
      <c r="Q1453" t="str">
        <f>LOOKUP(F1453,Sheet2!$S$4:$T$8)</f>
        <v>36+</v>
      </c>
      <c r="R1453" t="str">
        <f>LOOKUP(G1453,Sheet2!$V$4:$W$7)</f>
        <v>0.4 - 0.69</v>
      </c>
      <c r="S1453" t="str">
        <f>LOOKUP(H1453,Sheet2!$Z$4:$AA$7)</f>
        <v>&lt;=25</v>
      </c>
      <c r="T1453" t="str">
        <f t="shared" si="66"/>
        <v>Positive</v>
      </c>
      <c r="U1453" t="str">
        <f t="shared" si="67"/>
        <v>Not Sampled</v>
      </c>
      <c r="V1453" s="1" t="str">
        <f t="shared" si="68"/>
        <v>Not Sampled</v>
      </c>
    </row>
    <row r="1454" spans="1:22" x14ac:dyDescent="0.25">
      <c r="A1454" s="1">
        <v>0</v>
      </c>
      <c r="B1454" s="1">
        <v>161</v>
      </c>
      <c r="C1454" s="1">
        <v>50</v>
      </c>
      <c r="D1454" s="1">
        <v>0</v>
      </c>
      <c r="E1454" s="1">
        <v>0</v>
      </c>
      <c r="F1454" s="1">
        <v>21.9</v>
      </c>
      <c r="G1454" s="1">
        <v>0.254</v>
      </c>
      <c r="H1454" s="1">
        <v>65</v>
      </c>
      <c r="I1454" s="1">
        <v>0</v>
      </c>
      <c r="J1454" s="1" t="str">
        <f>IFERROR(VLOOKUP(K1454,[1]diabetes_Recognition!$A:$B,2,FALSE),"Not Sampled")</f>
        <v>Not Sampled</v>
      </c>
      <c r="K1454" s="1">
        <v>1452</v>
      </c>
      <c r="L1454" s="1">
        <f>LOOKUP(A1454,Sheet2!$D$4:$E$9)</f>
        <v>0</v>
      </c>
      <c r="M1454" t="str">
        <f>LOOKUP(B1454,Sheet2!$G$4:$H$9)</f>
        <v>151-175</v>
      </c>
      <c r="N1454" t="str">
        <f>LOOKUP(C1454,Sheet2!$J$4:$K$8)</f>
        <v>1-59</v>
      </c>
      <c r="O1454" t="str">
        <f>LOOKUP(D1454,Sheet2!$M$4:$N$8)</f>
        <v>Unknown</v>
      </c>
      <c r="P1454" t="str">
        <f>LOOKUP(E1454,Sheet2!$P$4:$Q$9)</f>
        <v>Unknown</v>
      </c>
      <c r="Q1454" t="str">
        <f>LOOKUP(F1454,Sheet2!$S$4:$T$8)</f>
        <v>1-25</v>
      </c>
      <c r="R1454" t="str">
        <f>LOOKUP(G1454,Sheet2!$V$4:$W$7)</f>
        <v>0.25 - 0.39</v>
      </c>
      <c r="S1454" t="str">
        <f>LOOKUP(H1454,Sheet2!$Z$4:$AA$7)</f>
        <v>46+</v>
      </c>
      <c r="T1454" t="str">
        <f t="shared" si="66"/>
        <v>Negative</v>
      </c>
      <c r="U1454" t="str">
        <f t="shared" si="67"/>
        <v>Not Sampled</v>
      </c>
      <c r="V1454" s="1" t="str">
        <f t="shared" si="68"/>
        <v>Not Sampled</v>
      </c>
    </row>
    <row r="1455" spans="1:22" x14ac:dyDescent="0.25">
      <c r="A1455" s="1">
        <v>6</v>
      </c>
      <c r="B1455" s="1">
        <v>151</v>
      </c>
      <c r="C1455" s="1">
        <v>62</v>
      </c>
      <c r="D1455" s="1">
        <v>31</v>
      </c>
      <c r="E1455" s="1">
        <v>120</v>
      </c>
      <c r="F1455" s="1">
        <v>35.5</v>
      </c>
      <c r="G1455" s="1">
        <v>0.69199999999999995</v>
      </c>
      <c r="H1455" s="1">
        <v>28</v>
      </c>
      <c r="I1455" s="1">
        <v>0</v>
      </c>
      <c r="J1455" s="1" t="str">
        <f>IFERROR(VLOOKUP(K1455,[1]diabetes_Recognition!$A:$B,2,FALSE),"Not Sampled")</f>
        <v>Not Sampled</v>
      </c>
      <c r="K1455" s="1">
        <v>1453</v>
      </c>
      <c r="L1455" s="1" t="str">
        <f>LOOKUP(A1455,Sheet2!$D$4:$E$9)</f>
        <v>5-7</v>
      </c>
      <c r="M1455" t="str">
        <f>LOOKUP(B1455,Sheet2!$G$4:$H$9)</f>
        <v>151-175</v>
      </c>
      <c r="N1455" t="str">
        <f>LOOKUP(C1455,Sheet2!$J$4:$K$8)</f>
        <v>60-69</v>
      </c>
      <c r="O1455" t="str">
        <f>LOOKUP(D1455,Sheet2!$M$4:$N$8)</f>
        <v>30-39</v>
      </c>
      <c r="P1455" t="str">
        <f>LOOKUP(E1455,Sheet2!$P$4:$Q$9)</f>
        <v>100-199</v>
      </c>
      <c r="Q1455" t="str">
        <f>LOOKUP(F1455,Sheet2!$S$4:$T$8)</f>
        <v>31-35</v>
      </c>
      <c r="R1455" t="str">
        <f>LOOKUP(G1455,Sheet2!$V$4:$W$7)</f>
        <v>0.4 - 0.69</v>
      </c>
      <c r="S1455" t="str">
        <f>LOOKUP(H1455,Sheet2!$Z$4:$AA$7)</f>
        <v>26-35</v>
      </c>
      <c r="T1455" t="str">
        <f t="shared" si="66"/>
        <v>Negative</v>
      </c>
      <c r="U1455" t="str">
        <f t="shared" si="67"/>
        <v>Not Sampled</v>
      </c>
      <c r="V1455" s="1" t="str">
        <f t="shared" si="68"/>
        <v>Not Sampled</v>
      </c>
    </row>
    <row r="1456" spans="1:22" x14ac:dyDescent="0.25">
      <c r="A1456" s="1">
        <v>2</v>
      </c>
      <c r="B1456" s="1">
        <v>146</v>
      </c>
      <c r="C1456" s="1">
        <v>70</v>
      </c>
      <c r="D1456" s="1">
        <v>38</v>
      </c>
      <c r="E1456" s="1">
        <v>360</v>
      </c>
      <c r="F1456" s="1">
        <v>28</v>
      </c>
      <c r="G1456" s="1">
        <v>0.33700000000000002</v>
      </c>
      <c r="H1456" s="1">
        <v>29</v>
      </c>
      <c r="I1456" s="1">
        <v>1</v>
      </c>
      <c r="J1456" s="1" t="str">
        <f>IFERROR(VLOOKUP(K1456,[1]diabetes_Recognition!$A:$B,2,FALSE),"Not Sampled")</f>
        <v>Not Sampled</v>
      </c>
      <c r="K1456" s="1">
        <v>1454</v>
      </c>
      <c r="L1456" s="1">
        <f>LOOKUP(A1456,Sheet2!$D$4:$E$9)</f>
        <v>2</v>
      </c>
      <c r="M1456" t="str">
        <f>LOOKUP(B1456,Sheet2!$G$4:$H$9)</f>
        <v>126-150</v>
      </c>
      <c r="N1456" t="str">
        <f>LOOKUP(C1456,Sheet2!$J$4:$K$8)</f>
        <v>70-79</v>
      </c>
      <c r="O1456" t="str">
        <f>LOOKUP(D1456,Sheet2!$M$4:$N$8)</f>
        <v>30-39</v>
      </c>
      <c r="P1456" t="str">
        <f>LOOKUP(E1456,Sheet2!$P$4:$Q$9)</f>
        <v>300-499</v>
      </c>
      <c r="Q1456" t="str">
        <f>LOOKUP(F1456,Sheet2!$S$4:$T$8)</f>
        <v>26-30</v>
      </c>
      <c r="R1456" t="str">
        <f>LOOKUP(G1456,Sheet2!$V$4:$W$7)</f>
        <v>0.25 - 0.39</v>
      </c>
      <c r="S1456" t="str">
        <f>LOOKUP(H1456,Sheet2!$Z$4:$AA$7)</f>
        <v>26-35</v>
      </c>
      <c r="T1456" t="str">
        <f t="shared" si="66"/>
        <v>Positive</v>
      </c>
      <c r="U1456" t="str">
        <f t="shared" si="67"/>
        <v>Not Sampled</v>
      </c>
      <c r="V1456" s="1" t="str">
        <f t="shared" si="68"/>
        <v>Not Sampled</v>
      </c>
    </row>
    <row r="1457" spans="1:22" x14ac:dyDescent="0.25">
      <c r="A1457" s="1">
        <v>0</v>
      </c>
      <c r="B1457" s="1">
        <v>126</v>
      </c>
      <c r="C1457" s="1">
        <v>84</v>
      </c>
      <c r="D1457" s="1">
        <v>29</v>
      </c>
      <c r="E1457" s="1">
        <v>215</v>
      </c>
      <c r="F1457" s="1">
        <v>30.7</v>
      </c>
      <c r="G1457" s="1">
        <v>0.52</v>
      </c>
      <c r="H1457" s="1">
        <v>24</v>
      </c>
      <c r="I1457" s="1">
        <v>0</v>
      </c>
      <c r="J1457" s="1" t="str">
        <f>IFERROR(VLOOKUP(K1457,[1]diabetes_Recognition!$A:$B,2,FALSE),"Not Sampled")</f>
        <v>Not Sampled</v>
      </c>
      <c r="K1457" s="1">
        <v>1455</v>
      </c>
      <c r="L1457" s="1">
        <f>LOOKUP(A1457,Sheet2!$D$4:$E$9)</f>
        <v>0</v>
      </c>
      <c r="M1457" t="str">
        <f>LOOKUP(B1457,Sheet2!$G$4:$H$9)</f>
        <v>126-150</v>
      </c>
      <c r="N1457" t="str">
        <f>LOOKUP(C1457,Sheet2!$J$4:$K$8)</f>
        <v>80+</v>
      </c>
      <c r="O1457" t="str">
        <f>LOOKUP(D1457,Sheet2!$M$4:$N$8)</f>
        <v>10-30</v>
      </c>
      <c r="P1457" t="str">
        <f>LOOKUP(E1457,Sheet2!$P$4:$Q$9)</f>
        <v>200-399</v>
      </c>
      <c r="Q1457" t="str">
        <f>LOOKUP(F1457,Sheet2!$S$4:$T$8)</f>
        <v>26-30</v>
      </c>
      <c r="R1457" t="str">
        <f>LOOKUP(G1457,Sheet2!$V$4:$W$7)</f>
        <v>0.4 - 0.69</v>
      </c>
      <c r="S1457" t="str">
        <f>LOOKUP(H1457,Sheet2!$Z$4:$AA$7)</f>
        <v>&lt;=25</v>
      </c>
      <c r="T1457" t="str">
        <f t="shared" si="66"/>
        <v>Negative</v>
      </c>
      <c r="U1457" t="str">
        <f t="shared" si="67"/>
        <v>Not Sampled</v>
      </c>
      <c r="V1457" s="1" t="str">
        <f t="shared" si="68"/>
        <v>Not Sampled</v>
      </c>
    </row>
    <row r="1458" spans="1:22" x14ac:dyDescent="0.25">
      <c r="A1458" s="1">
        <v>14</v>
      </c>
      <c r="B1458" s="1">
        <v>100</v>
      </c>
      <c r="C1458" s="1">
        <v>78</v>
      </c>
      <c r="D1458" s="1">
        <v>25</v>
      </c>
      <c r="E1458" s="1">
        <v>184</v>
      </c>
      <c r="F1458" s="1">
        <v>36.6</v>
      </c>
      <c r="G1458" s="1">
        <v>0.41199999999999998</v>
      </c>
      <c r="H1458" s="1">
        <v>46</v>
      </c>
      <c r="I1458" s="1">
        <v>1</v>
      </c>
      <c r="J1458" s="1">
        <f>IFERROR(VLOOKUP(K1458,[1]diabetes_Recognition!$A:$B,2,FALSE),"Not Sampled")</f>
        <v>0</v>
      </c>
      <c r="K1458" s="1">
        <v>1456</v>
      </c>
      <c r="L1458" s="1" t="str">
        <f>LOOKUP(A1458,Sheet2!$D$4:$E$9)</f>
        <v>8+</v>
      </c>
      <c r="M1458" t="str">
        <f>LOOKUP(B1458,Sheet2!$G$4:$H$9)</f>
        <v>100-125</v>
      </c>
      <c r="N1458" t="str">
        <f>LOOKUP(C1458,Sheet2!$J$4:$K$8)</f>
        <v>70-79</v>
      </c>
      <c r="O1458" t="str">
        <f>LOOKUP(D1458,Sheet2!$M$4:$N$8)</f>
        <v>10-30</v>
      </c>
      <c r="P1458" t="str">
        <f>LOOKUP(E1458,Sheet2!$P$4:$Q$9)</f>
        <v>100-199</v>
      </c>
      <c r="Q1458" t="str">
        <f>LOOKUP(F1458,Sheet2!$S$4:$T$8)</f>
        <v>36+</v>
      </c>
      <c r="R1458" t="str">
        <f>LOOKUP(G1458,Sheet2!$V$4:$W$7)</f>
        <v>0.4 - 0.69</v>
      </c>
      <c r="S1458" t="str">
        <f>LOOKUP(H1458,Sheet2!$Z$4:$AA$7)</f>
        <v>46+</v>
      </c>
      <c r="T1458" t="str">
        <f t="shared" si="66"/>
        <v>Positive</v>
      </c>
      <c r="U1458" t="str">
        <f t="shared" si="67"/>
        <v>Negative</v>
      </c>
      <c r="V1458" s="1" t="str">
        <f t="shared" si="68"/>
        <v>Inaccurate Prediction</v>
      </c>
    </row>
    <row r="1459" spans="1:22" x14ac:dyDescent="0.25">
      <c r="A1459" s="1">
        <v>3</v>
      </c>
      <c r="B1459" s="1">
        <v>82</v>
      </c>
      <c r="C1459" s="1">
        <v>70</v>
      </c>
      <c r="D1459" s="1">
        <v>0</v>
      </c>
      <c r="E1459" s="1">
        <v>0</v>
      </c>
      <c r="F1459" s="1">
        <v>21.1</v>
      </c>
      <c r="G1459" s="1">
        <v>0.38900000000000001</v>
      </c>
      <c r="H1459" s="1">
        <v>25</v>
      </c>
      <c r="I1459" s="1">
        <v>0</v>
      </c>
      <c r="J1459" s="1" t="str">
        <f>IFERROR(VLOOKUP(K1459,[1]diabetes_Recognition!$A:$B,2,FALSE),"Not Sampled")</f>
        <v>Not Sampled</v>
      </c>
      <c r="K1459" s="1">
        <v>1457</v>
      </c>
      <c r="L1459" s="1" t="str">
        <f>LOOKUP(A1459,Sheet2!$D$4:$E$9)</f>
        <v>3-4</v>
      </c>
      <c r="M1459" t="str">
        <f>LOOKUP(B1459,Sheet2!$G$4:$H$9)</f>
        <v>1-99</v>
      </c>
      <c r="N1459" t="str">
        <f>LOOKUP(C1459,Sheet2!$J$4:$K$8)</f>
        <v>70-79</v>
      </c>
      <c r="O1459" t="str">
        <f>LOOKUP(D1459,Sheet2!$M$4:$N$8)</f>
        <v>Unknown</v>
      </c>
      <c r="P1459" t="str">
        <f>LOOKUP(E1459,Sheet2!$P$4:$Q$9)</f>
        <v>Unknown</v>
      </c>
      <c r="Q1459" t="str">
        <f>LOOKUP(F1459,Sheet2!$S$4:$T$8)</f>
        <v>1-25</v>
      </c>
      <c r="R1459" t="str">
        <f>LOOKUP(G1459,Sheet2!$V$4:$W$7)</f>
        <v>0.25 - 0.39</v>
      </c>
      <c r="S1459" t="str">
        <f>LOOKUP(H1459,Sheet2!$Z$4:$AA$7)</f>
        <v>&lt;=25</v>
      </c>
      <c r="T1459" t="str">
        <f t="shared" si="66"/>
        <v>Negative</v>
      </c>
      <c r="U1459" t="str">
        <f t="shared" si="67"/>
        <v>Not Sampled</v>
      </c>
      <c r="V1459" s="1" t="str">
        <f t="shared" si="68"/>
        <v>Not Sampled</v>
      </c>
    </row>
    <row r="1460" spans="1:22" x14ac:dyDescent="0.25">
      <c r="A1460" s="1">
        <v>3</v>
      </c>
      <c r="B1460" s="1">
        <v>193</v>
      </c>
      <c r="C1460" s="1">
        <v>70</v>
      </c>
      <c r="D1460" s="1">
        <v>31</v>
      </c>
      <c r="E1460" s="1">
        <v>0</v>
      </c>
      <c r="F1460" s="1">
        <v>34.9</v>
      </c>
      <c r="G1460" s="1">
        <v>0.24099999999999999</v>
      </c>
      <c r="H1460" s="1">
        <v>25</v>
      </c>
      <c r="I1460" s="1">
        <v>1</v>
      </c>
      <c r="J1460" s="1" t="str">
        <f>IFERROR(VLOOKUP(K1460,[1]diabetes_Recognition!$A:$B,2,FALSE),"Not Sampled")</f>
        <v>Not Sampled</v>
      </c>
      <c r="K1460" s="1">
        <v>1458</v>
      </c>
      <c r="L1460" s="1" t="str">
        <f>LOOKUP(A1460,Sheet2!$D$4:$E$9)</f>
        <v>3-4</v>
      </c>
      <c r="M1460" t="str">
        <f>LOOKUP(B1460,Sheet2!$G$4:$H$9)</f>
        <v>176-200</v>
      </c>
      <c r="N1460" t="str">
        <f>LOOKUP(C1460,Sheet2!$J$4:$K$8)</f>
        <v>70-79</v>
      </c>
      <c r="O1460" t="str">
        <f>LOOKUP(D1460,Sheet2!$M$4:$N$8)</f>
        <v>30-39</v>
      </c>
      <c r="P1460" t="str">
        <f>LOOKUP(E1460,Sheet2!$P$4:$Q$9)</f>
        <v>Unknown</v>
      </c>
      <c r="Q1460" t="str">
        <f>LOOKUP(F1460,Sheet2!$S$4:$T$8)</f>
        <v>31-35</v>
      </c>
      <c r="R1460" t="str">
        <f>LOOKUP(G1460,Sheet2!$V$4:$W$7)</f>
        <v>0.0 - 0.249</v>
      </c>
      <c r="S1460" t="str">
        <f>LOOKUP(H1460,Sheet2!$Z$4:$AA$7)</f>
        <v>&lt;=25</v>
      </c>
      <c r="T1460" t="str">
        <f t="shared" si="66"/>
        <v>Positive</v>
      </c>
      <c r="U1460" t="str">
        <f t="shared" si="67"/>
        <v>Not Sampled</v>
      </c>
      <c r="V1460" s="1" t="str">
        <f t="shared" si="68"/>
        <v>Not Sampled</v>
      </c>
    </row>
    <row r="1461" spans="1:22" x14ac:dyDescent="0.25">
      <c r="A1461" s="1">
        <v>4</v>
      </c>
      <c r="B1461" s="1">
        <v>95</v>
      </c>
      <c r="C1461" s="1">
        <v>64</v>
      </c>
      <c r="D1461" s="1">
        <v>0</v>
      </c>
      <c r="E1461" s="1">
        <v>0</v>
      </c>
      <c r="F1461" s="1">
        <v>32</v>
      </c>
      <c r="G1461" s="1">
        <v>0.161</v>
      </c>
      <c r="H1461" s="1">
        <v>31</v>
      </c>
      <c r="I1461" s="1">
        <v>1</v>
      </c>
      <c r="J1461" s="1" t="str">
        <f>IFERROR(VLOOKUP(K1461,[1]diabetes_Recognition!$A:$B,2,FALSE),"Not Sampled")</f>
        <v>Not Sampled</v>
      </c>
      <c r="K1461" s="1">
        <v>1459</v>
      </c>
      <c r="L1461" s="1" t="str">
        <f>LOOKUP(A1461,Sheet2!$D$4:$E$9)</f>
        <v>3-4</v>
      </c>
      <c r="M1461" t="str">
        <f>LOOKUP(B1461,Sheet2!$G$4:$H$9)</f>
        <v>1-99</v>
      </c>
      <c r="N1461" t="str">
        <f>LOOKUP(C1461,Sheet2!$J$4:$K$8)</f>
        <v>60-69</v>
      </c>
      <c r="O1461" t="str">
        <f>LOOKUP(D1461,Sheet2!$M$4:$N$8)</f>
        <v>Unknown</v>
      </c>
      <c r="P1461" t="str">
        <f>LOOKUP(E1461,Sheet2!$P$4:$Q$9)</f>
        <v>Unknown</v>
      </c>
      <c r="Q1461" t="str">
        <f>LOOKUP(F1461,Sheet2!$S$4:$T$8)</f>
        <v>31-35</v>
      </c>
      <c r="R1461" t="str">
        <f>LOOKUP(G1461,Sheet2!$V$4:$W$7)</f>
        <v>0.0 - 0.249</v>
      </c>
      <c r="S1461" t="str">
        <f>LOOKUP(H1461,Sheet2!$Z$4:$AA$7)</f>
        <v>26-35</v>
      </c>
      <c r="T1461" t="str">
        <f t="shared" si="66"/>
        <v>Positive</v>
      </c>
      <c r="U1461" t="str">
        <f t="shared" si="67"/>
        <v>Not Sampled</v>
      </c>
      <c r="V1461" s="1" t="str">
        <f t="shared" si="68"/>
        <v>Not Sampled</v>
      </c>
    </row>
    <row r="1462" spans="1:22" x14ac:dyDescent="0.25">
      <c r="A1462" s="1">
        <v>6</v>
      </c>
      <c r="B1462" s="1">
        <v>137</v>
      </c>
      <c r="C1462" s="1">
        <v>61</v>
      </c>
      <c r="D1462" s="1">
        <v>0</v>
      </c>
      <c r="E1462" s="1">
        <v>0</v>
      </c>
      <c r="F1462" s="1">
        <v>24.2</v>
      </c>
      <c r="G1462" s="1">
        <v>0.151</v>
      </c>
      <c r="H1462" s="1">
        <v>55</v>
      </c>
      <c r="I1462" s="1">
        <v>0</v>
      </c>
      <c r="J1462" s="1" t="str">
        <f>IFERROR(VLOOKUP(K1462,[1]diabetes_Recognition!$A:$B,2,FALSE),"Not Sampled")</f>
        <v>Not Sampled</v>
      </c>
      <c r="K1462" s="1">
        <v>1460</v>
      </c>
      <c r="L1462" s="1" t="str">
        <f>LOOKUP(A1462,Sheet2!$D$4:$E$9)</f>
        <v>5-7</v>
      </c>
      <c r="M1462" t="str">
        <f>LOOKUP(B1462,Sheet2!$G$4:$H$9)</f>
        <v>126-150</v>
      </c>
      <c r="N1462" t="str">
        <f>LOOKUP(C1462,Sheet2!$J$4:$K$8)</f>
        <v>60-69</v>
      </c>
      <c r="O1462" t="str">
        <f>LOOKUP(D1462,Sheet2!$M$4:$N$8)</f>
        <v>Unknown</v>
      </c>
      <c r="P1462" t="str">
        <f>LOOKUP(E1462,Sheet2!$P$4:$Q$9)</f>
        <v>Unknown</v>
      </c>
      <c r="Q1462" t="str">
        <f>LOOKUP(F1462,Sheet2!$S$4:$T$8)</f>
        <v>1-25</v>
      </c>
      <c r="R1462" t="str">
        <f>LOOKUP(G1462,Sheet2!$V$4:$W$7)</f>
        <v>0.0 - 0.249</v>
      </c>
      <c r="S1462" t="str">
        <f>LOOKUP(H1462,Sheet2!$Z$4:$AA$7)</f>
        <v>46+</v>
      </c>
      <c r="T1462" t="str">
        <f t="shared" si="66"/>
        <v>Negative</v>
      </c>
      <c r="U1462" t="str">
        <f t="shared" si="67"/>
        <v>Not Sampled</v>
      </c>
      <c r="V1462" s="1" t="str">
        <f t="shared" si="68"/>
        <v>Not Sampled</v>
      </c>
    </row>
    <row r="1463" spans="1:22" x14ac:dyDescent="0.25">
      <c r="A1463" s="1">
        <v>5</v>
      </c>
      <c r="B1463" s="1">
        <v>136</v>
      </c>
      <c r="C1463" s="1">
        <v>84</v>
      </c>
      <c r="D1463" s="1">
        <v>41</v>
      </c>
      <c r="E1463" s="1">
        <v>88</v>
      </c>
      <c r="F1463" s="1">
        <v>35</v>
      </c>
      <c r="G1463" s="1">
        <v>0.28599999999999998</v>
      </c>
      <c r="H1463" s="1">
        <v>35</v>
      </c>
      <c r="I1463" s="1">
        <v>1</v>
      </c>
      <c r="J1463" s="1" t="str">
        <f>IFERROR(VLOOKUP(K1463,[1]diabetes_Recognition!$A:$B,2,FALSE),"Not Sampled")</f>
        <v>Not Sampled</v>
      </c>
      <c r="K1463" s="1">
        <v>1461</v>
      </c>
      <c r="L1463" s="1" t="str">
        <f>LOOKUP(A1463,Sheet2!$D$4:$E$9)</f>
        <v>5-7</v>
      </c>
      <c r="M1463" t="str">
        <f>LOOKUP(B1463,Sheet2!$G$4:$H$9)</f>
        <v>126-150</v>
      </c>
      <c r="N1463" t="str">
        <f>LOOKUP(C1463,Sheet2!$J$4:$K$8)</f>
        <v>80+</v>
      </c>
      <c r="O1463" t="str">
        <f>LOOKUP(D1463,Sheet2!$M$4:$N$8)</f>
        <v>40+</v>
      </c>
      <c r="P1463" t="str">
        <f>LOOKUP(E1463,Sheet2!$P$4:$Q$9)</f>
        <v>1-99</v>
      </c>
      <c r="Q1463" t="str">
        <f>LOOKUP(F1463,Sheet2!$S$4:$T$8)</f>
        <v>31-35</v>
      </c>
      <c r="R1463" t="str">
        <f>LOOKUP(G1463,Sheet2!$V$4:$W$7)</f>
        <v>0.25 - 0.39</v>
      </c>
      <c r="S1463" t="str">
        <f>LOOKUP(H1463,Sheet2!$Z$4:$AA$7)</f>
        <v>26-35</v>
      </c>
      <c r="T1463" t="str">
        <f t="shared" si="66"/>
        <v>Positive</v>
      </c>
      <c r="U1463" t="str">
        <f t="shared" si="67"/>
        <v>Not Sampled</v>
      </c>
      <c r="V1463" s="1" t="str">
        <f t="shared" si="68"/>
        <v>Not Sampled</v>
      </c>
    </row>
    <row r="1464" spans="1:22" x14ac:dyDescent="0.25">
      <c r="A1464" s="1">
        <v>9</v>
      </c>
      <c r="B1464" s="1">
        <v>72</v>
      </c>
      <c r="C1464" s="1">
        <v>78</v>
      </c>
      <c r="D1464" s="1">
        <v>25</v>
      </c>
      <c r="E1464" s="1">
        <v>0</v>
      </c>
      <c r="F1464" s="1">
        <v>31.6</v>
      </c>
      <c r="G1464" s="1">
        <v>0.28000000000000003</v>
      </c>
      <c r="H1464" s="1">
        <v>38</v>
      </c>
      <c r="I1464" s="1">
        <v>0</v>
      </c>
      <c r="J1464" s="1" t="str">
        <f>IFERROR(VLOOKUP(K1464,[1]diabetes_Recognition!$A:$B,2,FALSE),"Not Sampled")</f>
        <v>Not Sampled</v>
      </c>
      <c r="K1464" s="1">
        <v>1462</v>
      </c>
      <c r="L1464" s="1" t="str">
        <f>LOOKUP(A1464,Sheet2!$D$4:$E$9)</f>
        <v>8+</v>
      </c>
      <c r="M1464" t="str">
        <f>LOOKUP(B1464,Sheet2!$G$4:$H$9)</f>
        <v>1-99</v>
      </c>
      <c r="N1464" t="str">
        <f>LOOKUP(C1464,Sheet2!$J$4:$K$8)</f>
        <v>70-79</v>
      </c>
      <c r="O1464" t="str">
        <f>LOOKUP(D1464,Sheet2!$M$4:$N$8)</f>
        <v>10-30</v>
      </c>
      <c r="P1464" t="str">
        <f>LOOKUP(E1464,Sheet2!$P$4:$Q$9)</f>
        <v>Unknown</v>
      </c>
      <c r="Q1464" t="str">
        <f>LOOKUP(F1464,Sheet2!$S$4:$T$8)</f>
        <v>31-35</v>
      </c>
      <c r="R1464" t="str">
        <f>LOOKUP(G1464,Sheet2!$V$4:$W$7)</f>
        <v>0.25 - 0.39</v>
      </c>
      <c r="S1464" t="str">
        <f>LOOKUP(H1464,Sheet2!$Z$4:$AA$7)</f>
        <v>36-45</v>
      </c>
      <c r="T1464" t="str">
        <f t="shared" si="66"/>
        <v>Negative</v>
      </c>
      <c r="U1464" t="str">
        <f t="shared" si="67"/>
        <v>Not Sampled</v>
      </c>
      <c r="V1464" s="1" t="str">
        <f t="shared" si="68"/>
        <v>Not Sampled</v>
      </c>
    </row>
    <row r="1465" spans="1:22" x14ac:dyDescent="0.25">
      <c r="A1465" s="1">
        <v>5</v>
      </c>
      <c r="B1465" s="1">
        <v>168</v>
      </c>
      <c r="C1465" s="1">
        <v>64</v>
      </c>
      <c r="D1465" s="1">
        <v>0</v>
      </c>
      <c r="E1465" s="1">
        <v>0</v>
      </c>
      <c r="F1465" s="1">
        <v>32.9</v>
      </c>
      <c r="G1465" s="1">
        <v>0.13500000000000001</v>
      </c>
      <c r="H1465" s="1">
        <v>41</v>
      </c>
      <c r="I1465" s="1">
        <v>1</v>
      </c>
      <c r="J1465" s="1">
        <f>IFERROR(VLOOKUP(K1465,[1]diabetes_Recognition!$A:$B,2,FALSE),"Not Sampled")</f>
        <v>1</v>
      </c>
      <c r="K1465" s="1">
        <v>1463</v>
      </c>
      <c r="L1465" s="1" t="str">
        <f>LOOKUP(A1465,Sheet2!$D$4:$E$9)</f>
        <v>5-7</v>
      </c>
      <c r="M1465" t="str">
        <f>LOOKUP(B1465,Sheet2!$G$4:$H$9)</f>
        <v>151-175</v>
      </c>
      <c r="N1465" t="str">
        <f>LOOKUP(C1465,Sheet2!$J$4:$K$8)</f>
        <v>60-69</v>
      </c>
      <c r="O1465" t="str">
        <f>LOOKUP(D1465,Sheet2!$M$4:$N$8)</f>
        <v>Unknown</v>
      </c>
      <c r="P1465" t="str">
        <f>LOOKUP(E1465,Sheet2!$P$4:$Q$9)</f>
        <v>Unknown</v>
      </c>
      <c r="Q1465" t="str">
        <f>LOOKUP(F1465,Sheet2!$S$4:$T$8)</f>
        <v>31-35</v>
      </c>
      <c r="R1465" t="str">
        <f>LOOKUP(G1465,Sheet2!$V$4:$W$7)</f>
        <v>0.0 - 0.249</v>
      </c>
      <c r="S1465" t="str">
        <f>LOOKUP(H1465,Sheet2!$Z$4:$AA$7)</f>
        <v>36-45</v>
      </c>
      <c r="T1465" t="str">
        <f t="shared" si="66"/>
        <v>Positive</v>
      </c>
      <c r="U1465" t="str">
        <f t="shared" si="67"/>
        <v>Positive</v>
      </c>
      <c r="V1465" s="1" t="str">
        <f t="shared" si="68"/>
        <v>Accurate Prediction</v>
      </c>
    </row>
    <row r="1466" spans="1:22" x14ac:dyDescent="0.25">
      <c r="A1466" s="1">
        <v>2</v>
      </c>
      <c r="B1466" s="1">
        <v>123</v>
      </c>
      <c r="C1466" s="1">
        <v>48</v>
      </c>
      <c r="D1466" s="1">
        <v>32</v>
      </c>
      <c r="E1466" s="1">
        <v>165</v>
      </c>
      <c r="F1466" s="1">
        <v>42.1</v>
      </c>
      <c r="G1466" s="1">
        <v>0.52</v>
      </c>
      <c r="H1466" s="1">
        <v>26</v>
      </c>
      <c r="I1466" s="1">
        <v>0</v>
      </c>
      <c r="J1466" s="1">
        <f>IFERROR(VLOOKUP(K1466,[1]diabetes_Recognition!$A:$B,2,FALSE),"Not Sampled")</f>
        <v>0</v>
      </c>
      <c r="K1466" s="1">
        <v>1464</v>
      </c>
      <c r="L1466" s="1">
        <f>LOOKUP(A1466,Sheet2!$D$4:$E$9)</f>
        <v>2</v>
      </c>
      <c r="M1466" t="str">
        <f>LOOKUP(B1466,Sheet2!$G$4:$H$9)</f>
        <v>100-125</v>
      </c>
      <c r="N1466" t="str">
        <f>LOOKUP(C1466,Sheet2!$J$4:$K$8)</f>
        <v>1-59</v>
      </c>
      <c r="O1466" t="str">
        <f>LOOKUP(D1466,Sheet2!$M$4:$N$8)</f>
        <v>30-39</v>
      </c>
      <c r="P1466" t="str">
        <f>LOOKUP(E1466,Sheet2!$P$4:$Q$9)</f>
        <v>100-199</v>
      </c>
      <c r="Q1466" t="str">
        <f>LOOKUP(F1466,Sheet2!$S$4:$T$8)</f>
        <v>36+</v>
      </c>
      <c r="R1466" t="str">
        <f>LOOKUP(G1466,Sheet2!$V$4:$W$7)</f>
        <v>0.4 - 0.69</v>
      </c>
      <c r="S1466" t="str">
        <f>LOOKUP(H1466,Sheet2!$Z$4:$AA$7)</f>
        <v>26-35</v>
      </c>
      <c r="T1466" t="str">
        <f t="shared" si="66"/>
        <v>Negative</v>
      </c>
      <c r="U1466" t="str">
        <f t="shared" si="67"/>
        <v>Negative</v>
      </c>
      <c r="V1466" s="1" t="str">
        <f t="shared" si="68"/>
        <v>Accurate Prediction</v>
      </c>
    </row>
    <row r="1467" spans="1:22" x14ac:dyDescent="0.25">
      <c r="A1467" s="1">
        <v>4</v>
      </c>
      <c r="B1467" s="1">
        <v>115</v>
      </c>
      <c r="C1467" s="1">
        <v>72</v>
      </c>
      <c r="D1467" s="1">
        <v>0</v>
      </c>
      <c r="E1467" s="1">
        <v>0</v>
      </c>
      <c r="F1467" s="1">
        <v>28.9</v>
      </c>
      <c r="G1467" s="1">
        <v>0.376</v>
      </c>
      <c r="H1467" s="1">
        <v>46</v>
      </c>
      <c r="I1467" s="1">
        <v>1</v>
      </c>
      <c r="J1467" s="1" t="str">
        <f>IFERROR(VLOOKUP(K1467,[1]diabetes_Recognition!$A:$B,2,FALSE),"Not Sampled")</f>
        <v>Not Sampled</v>
      </c>
      <c r="K1467" s="1">
        <v>1465</v>
      </c>
      <c r="L1467" s="1" t="str">
        <f>LOOKUP(A1467,Sheet2!$D$4:$E$9)</f>
        <v>3-4</v>
      </c>
      <c r="M1467" t="str">
        <f>LOOKUP(B1467,Sheet2!$G$4:$H$9)</f>
        <v>100-125</v>
      </c>
      <c r="N1467" t="str">
        <f>LOOKUP(C1467,Sheet2!$J$4:$K$8)</f>
        <v>70-79</v>
      </c>
      <c r="O1467" t="str">
        <f>LOOKUP(D1467,Sheet2!$M$4:$N$8)</f>
        <v>Unknown</v>
      </c>
      <c r="P1467" t="str">
        <f>LOOKUP(E1467,Sheet2!$P$4:$Q$9)</f>
        <v>Unknown</v>
      </c>
      <c r="Q1467" t="str">
        <f>LOOKUP(F1467,Sheet2!$S$4:$T$8)</f>
        <v>26-30</v>
      </c>
      <c r="R1467" t="str">
        <f>LOOKUP(G1467,Sheet2!$V$4:$W$7)</f>
        <v>0.25 - 0.39</v>
      </c>
      <c r="S1467" t="str">
        <f>LOOKUP(H1467,Sheet2!$Z$4:$AA$7)</f>
        <v>46+</v>
      </c>
      <c r="T1467" t="str">
        <f t="shared" si="66"/>
        <v>Positive</v>
      </c>
      <c r="U1467" t="str">
        <f t="shared" si="67"/>
        <v>Not Sampled</v>
      </c>
      <c r="V1467" s="1" t="str">
        <f t="shared" si="68"/>
        <v>Not Sampled</v>
      </c>
    </row>
    <row r="1468" spans="1:22" x14ac:dyDescent="0.25">
      <c r="A1468" s="1">
        <v>0</v>
      </c>
      <c r="B1468" s="1">
        <v>101</v>
      </c>
      <c r="C1468" s="1">
        <v>62</v>
      </c>
      <c r="D1468" s="1">
        <v>0</v>
      </c>
      <c r="E1468" s="1">
        <v>0</v>
      </c>
      <c r="F1468" s="1">
        <v>21.9</v>
      </c>
      <c r="G1468" s="1">
        <v>0.33600000000000002</v>
      </c>
      <c r="H1468" s="1">
        <v>25</v>
      </c>
      <c r="I1468" s="1">
        <v>0</v>
      </c>
      <c r="J1468" s="1" t="str">
        <f>IFERROR(VLOOKUP(K1468,[1]diabetes_Recognition!$A:$B,2,FALSE),"Not Sampled")</f>
        <v>Not Sampled</v>
      </c>
      <c r="K1468" s="1">
        <v>1466</v>
      </c>
      <c r="L1468" s="1">
        <f>LOOKUP(A1468,Sheet2!$D$4:$E$9)</f>
        <v>0</v>
      </c>
      <c r="M1468" t="str">
        <f>LOOKUP(B1468,Sheet2!$G$4:$H$9)</f>
        <v>100-125</v>
      </c>
      <c r="N1468" t="str">
        <f>LOOKUP(C1468,Sheet2!$J$4:$K$8)</f>
        <v>60-69</v>
      </c>
      <c r="O1468" t="str">
        <f>LOOKUP(D1468,Sheet2!$M$4:$N$8)</f>
        <v>Unknown</v>
      </c>
      <c r="P1468" t="str">
        <f>LOOKUP(E1468,Sheet2!$P$4:$Q$9)</f>
        <v>Unknown</v>
      </c>
      <c r="Q1468" t="str">
        <f>LOOKUP(F1468,Sheet2!$S$4:$T$8)</f>
        <v>1-25</v>
      </c>
      <c r="R1468" t="str">
        <f>LOOKUP(G1468,Sheet2!$V$4:$W$7)</f>
        <v>0.25 - 0.39</v>
      </c>
      <c r="S1468" t="str">
        <f>LOOKUP(H1468,Sheet2!$Z$4:$AA$7)</f>
        <v>&lt;=25</v>
      </c>
      <c r="T1468" t="str">
        <f t="shared" si="66"/>
        <v>Negative</v>
      </c>
      <c r="U1468" t="str">
        <f t="shared" si="67"/>
        <v>Not Sampled</v>
      </c>
      <c r="V1468" s="1" t="str">
        <f t="shared" si="68"/>
        <v>Not Sampled</v>
      </c>
    </row>
    <row r="1469" spans="1:22" x14ac:dyDescent="0.25">
      <c r="A1469" s="1">
        <v>8</v>
      </c>
      <c r="B1469" s="1">
        <v>197</v>
      </c>
      <c r="C1469" s="1">
        <v>74</v>
      </c>
      <c r="D1469" s="1">
        <v>0</v>
      </c>
      <c r="E1469" s="1">
        <v>0</v>
      </c>
      <c r="F1469" s="1">
        <v>25.9</v>
      </c>
      <c r="G1469" s="1">
        <v>1.1910000000000001</v>
      </c>
      <c r="H1469" s="1">
        <v>39</v>
      </c>
      <c r="I1469" s="1">
        <v>1</v>
      </c>
      <c r="J1469" s="1" t="str">
        <f>IFERROR(VLOOKUP(K1469,[1]diabetes_Recognition!$A:$B,2,FALSE),"Not Sampled")</f>
        <v>Not Sampled</v>
      </c>
      <c r="K1469" s="1">
        <v>1467</v>
      </c>
      <c r="L1469" s="1" t="str">
        <f>LOOKUP(A1469,Sheet2!$D$4:$E$9)</f>
        <v>8+</v>
      </c>
      <c r="M1469" t="str">
        <f>LOOKUP(B1469,Sheet2!$G$4:$H$9)</f>
        <v>176-200</v>
      </c>
      <c r="N1469" t="str">
        <f>LOOKUP(C1469,Sheet2!$J$4:$K$8)</f>
        <v>70-79</v>
      </c>
      <c r="O1469" t="str">
        <f>LOOKUP(D1469,Sheet2!$M$4:$N$8)</f>
        <v>Unknown</v>
      </c>
      <c r="P1469" t="str">
        <f>LOOKUP(E1469,Sheet2!$P$4:$Q$9)</f>
        <v>Unknown</v>
      </c>
      <c r="Q1469" t="str">
        <f>LOOKUP(F1469,Sheet2!$S$4:$T$8)</f>
        <v>1-25</v>
      </c>
      <c r="R1469" t="str">
        <f>LOOKUP(G1469,Sheet2!$V$4:$W$7)</f>
        <v>0.7+</v>
      </c>
      <c r="S1469" t="str">
        <f>LOOKUP(H1469,Sheet2!$Z$4:$AA$7)</f>
        <v>36-45</v>
      </c>
      <c r="T1469" t="str">
        <f t="shared" si="66"/>
        <v>Positive</v>
      </c>
      <c r="U1469" t="str">
        <f t="shared" si="67"/>
        <v>Not Sampled</v>
      </c>
      <c r="V1469" s="1" t="str">
        <f t="shared" si="68"/>
        <v>Not Sampled</v>
      </c>
    </row>
    <row r="1470" spans="1:22" x14ac:dyDescent="0.25">
      <c r="A1470" s="1">
        <v>1</v>
      </c>
      <c r="B1470" s="1">
        <v>172</v>
      </c>
      <c r="C1470" s="1">
        <v>68</v>
      </c>
      <c r="D1470" s="1">
        <v>49</v>
      </c>
      <c r="E1470" s="1">
        <v>579</v>
      </c>
      <c r="F1470" s="1">
        <v>42.4</v>
      </c>
      <c r="G1470" s="1">
        <v>0.70199999999999996</v>
      </c>
      <c r="H1470" s="1">
        <v>28</v>
      </c>
      <c r="I1470" s="1">
        <v>1</v>
      </c>
      <c r="J1470" s="1">
        <f>IFERROR(VLOOKUP(K1470,[1]diabetes_Recognition!$A:$B,2,FALSE),"Not Sampled")</f>
        <v>1</v>
      </c>
      <c r="K1470" s="1">
        <v>1468</v>
      </c>
      <c r="L1470" s="1">
        <f>LOOKUP(A1470,Sheet2!$D$4:$E$9)</f>
        <v>1</v>
      </c>
      <c r="M1470" t="str">
        <f>LOOKUP(B1470,Sheet2!$G$4:$H$9)</f>
        <v>151-175</v>
      </c>
      <c r="N1470" t="str">
        <f>LOOKUP(C1470,Sheet2!$J$4:$K$8)</f>
        <v>60-69</v>
      </c>
      <c r="O1470" t="str">
        <f>LOOKUP(D1470,Sheet2!$M$4:$N$8)</f>
        <v>40+</v>
      </c>
      <c r="P1470" t="str">
        <f>LOOKUP(E1470,Sheet2!$P$4:$Q$9)</f>
        <v>500+</v>
      </c>
      <c r="Q1470" t="str">
        <f>LOOKUP(F1470,Sheet2!$S$4:$T$8)</f>
        <v>36+</v>
      </c>
      <c r="R1470" t="str">
        <f>LOOKUP(G1470,Sheet2!$V$4:$W$7)</f>
        <v>0.7+</v>
      </c>
      <c r="S1470" t="str">
        <f>LOOKUP(H1470,Sheet2!$Z$4:$AA$7)</f>
        <v>26-35</v>
      </c>
      <c r="T1470" t="str">
        <f t="shared" si="66"/>
        <v>Positive</v>
      </c>
      <c r="U1470" t="str">
        <f t="shared" si="67"/>
        <v>Positive</v>
      </c>
      <c r="V1470" s="1" t="str">
        <f t="shared" si="68"/>
        <v>Accurate Prediction</v>
      </c>
    </row>
    <row r="1471" spans="1:22" x14ac:dyDescent="0.25">
      <c r="A1471" s="1">
        <v>6</v>
      </c>
      <c r="B1471" s="1">
        <v>102</v>
      </c>
      <c r="C1471" s="1">
        <v>90</v>
      </c>
      <c r="D1471" s="1">
        <v>39</v>
      </c>
      <c r="E1471" s="1">
        <v>0</v>
      </c>
      <c r="F1471" s="1">
        <v>35.700000000000003</v>
      </c>
      <c r="G1471" s="1">
        <v>0.67400000000000004</v>
      </c>
      <c r="H1471" s="1">
        <v>28</v>
      </c>
      <c r="I1471" s="1">
        <v>0</v>
      </c>
      <c r="J1471" s="1" t="str">
        <f>IFERROR(VLOOKUP(K1471,[1]diabetes_Recognition!$A:$B,2,FALSE),"Not Sampled")</f>
        <v>Not Sampled</v>
      </c>
      <c r="K1471" s="1">
        <v>1469</v>
      </c>
      <c r="L1471" s="1" t="str">
        <f>LOOKUP(A1471,Sheet2!$D$4:$E$9)</f>
        <v>5-7</v>
      </c>
      <c r="M1471" t="str">
        <f>LOOKUP(B1471,Sheet2!$G$4:$H$9)</f>
        <v>100-125</v>
      </c>
      <c r="N1471" t="str">
        <f>LOOKUP(C1471,Sheet2!$J$4:$K$8)</f>
        <v>80+</v>
      </c>
      <c r="O1471" t="str">
        <f>LOOKUP(D1471,Sheet2!$M$4:$N$8)</f>
        <v>30-39</v>
      </c>
      <c r="P1471" t="str">
        <f>LOOKUP(E1471,Sheet2!$P$4:$Q$9)</f>
        <v>Unknown</v>
      </c>
      <c r="Q1471" t="str">
        <f>LOOKUP(F1471,Sheet2!$S$4:$T$8)</f>
        <v>31-35</v>
      </c>
      <c r="R1471" t="str">
        <f>LOOKUP(G1471,Sheet2!$V$4:$W$7)</f>
        <v>0.4 - 0.69</v>
      </c>
      <c r="S1471" t="str">
        <f>LOOKUP(H1471,Sheet2!$Z$4:$AA$7)</f>
        <v>26-35</v>
      </c>
      <c r="T1471" t="str">
        <f t="shared" si="66"/>
        <v>Negative</v>
      </c>
      <c r="U1471" t="str">
        <f t="shared" si="67"/>
        <v>Not Sampled</v>
      </c>
      <c r="V1471" s="1" t="str">
        <f t="shared" si="68"/>
        <v>Not Sampled</v>
      </c>
    </row>
    <row r="1472" spans="1:22" x14ac:dyDescent="0.25">
      <c r="A1472" s="1">
        <v>1</v>
      </c>
      <c r="B1472" s="1">
        <v>112</v>
      </c>
      <c r="C1472" s="1">
        <v>72</v>
      </c>
      <c r="D1472" s="1">
        <v>30</v>
      </c>
      <c r="E1472" s="1">
        <v>176</v>
      </c>
      <c r="F1472" s="1">
        <v>34.4</v>
      </c>
      <c r="G1472" s="1">
        <v>0.52800000000000002</v>
      </c>
      <c r="H1472" s="1">
        <v>25</v>
      </c>
      <c r="I1472" s="1">
        <v>0</v>
      </c>
      <c r="J1472" s="1">
        <f>IFERROR(VLOOKUP(K1472,[1]diabetes_Recognition!$A:$B,2,FALSE),"Not Sampled")</f>
        <v>0</v>
      </c>
      <c r="K1472" s="1">
        <v>1470</v>
      </c>
      <c r="L1472" s="1">
        <f>LOOKUP(A1472,Sheet2!$D$4:$E$9)</f>
        <v>1</v>
      </c>
      <c r="M1472" t="str">
        <f>LOOKUP(B1472,Sheet2!$G$4:$H$9)</f>
        <v>100-125</v>
      </c>
      <c r="N1472" t="str">
        <f>LOOKUP(C1472,Sheet2!$J$4:$K$8)</f>
        <v>70-79</v>
      </c>
      <c r="O1472" t="str">
        <f>LOOKUP(D1472,Sheet2!$M$4:$N$8)</f>
        <v>30-39</v>
      </c>
      <c r="P1472" t="str">
        <f>LOOKUP(E1472,Sheet2!$P$4:$Q$9)</f>
        <v>100-199</v>
      </c>
      <c r="Q1472" t="str">
        <f>LOOKUP(F1472,Sheet2!$S$4:$T$8)</f>
        <v>31-35</v>
      </c>
      <c r="R1472" t="str">
        <f>LOOKUP(G1472,Sheet2!$V$4:$W$7)</f>
        <v>0.4 - 0.69</v>
      </c>
      <c r="S1472" t="str">
        <f>LOOKUP(H1472,Sheet2!$Z$4:$AA$7)</f>
        <v>&lt;=25</v>
      </c>
      <c r="T1472" t="str">
        <f t="shared" si="66"/>
        <v>Negative</v>
      </c>
      <c r="U1472" t="str">
        <f t="shared" si="67"/>
        <v>Negative</v>
      </c>
      <c r="V1472" s="1" t="str">
        <f t="shared" si="68"/>
        <v>Accurate Prediction</v>
      </c>
    </row>
    <row r="1473" spans="1:22" x14ac:dyDescent="0.25">
      <c r="A1473" s="1">
        <v>1</v>
      </c>
      <c r="B1473" s="1">
        <v>143</v>
      </c>
      <c r="C1473" s="1">
        <v>84</v>
      </c>
      <c r="D1473" s="1">
        <v>23</v>
      </c>
      <c r="E1473" s="1">
        <v>310</v>
      </c>
      <c r="F1473" s="1">
        <v>42.4</v>
      </c>
      <c r="G1473" s="1">
        <v>1.0760000000000001</v>
      </c>
      <c r="H1473" s="1">
        <v>22</v>
      </c>
      <c r="I1473" s="1">
        <v>0</v>
      </c>
      <c r="J1473" s="1" t="str">
        <f>IFERROR(VLOOKUP(K1473,[1]diabetes_Recognition!$A:$B,2,FALSE),"Not Sampled")</f>
        <v>Not Sampled</v>
      </c>
      <c r="K1473" s="1">
        <v>1471</v>
      </c>
      <c r="L1473" s="1">
        <f>LOOKUP(A1473,Sheet2!$D$4:$E$9)</f>
        <v>1</v>
      </c>
      <c r="M1473" t="str">
        <f>LOOKUP(B1473,Sheet2!$G$4:$H$9)</f>
        <v>126-150</v>
      </c>
      <c r="N1473" t="str">
        <f>LOOKUP(C1473,Sheet2!$J$4:$K$8)</f>
        <v>80+</v>
      </c>
      <c r="O1473" t="str">
        <f>LOOKUP(D1473,Sheet2!$M$4:$N$8)</f>
        <v>10-30</v>
      </c>
      <c r="P1473" t="str">
        <f>LOOKUP(E1473,Sheet2!$P$4:$Q$9)</f>
        <v>300-499</v>
      </c>
      <c r="Q1473" t="str">
        <f>LOOKUP(F1473,Sheet2!$S$4:$T$8)</f>
        <v>36+</v>
      </c>
      <c r="R1473" t="str">
        <f>LOOKUP(G1473,Sheet2!$V$4:$W$7)</f>
        <v>0.7+</v>
      </c>
      <c r="S1473" t="str">
        <f>LOOKUP(H1473,Sheet2!$Z$4:$AA$7)</f>
        <v>&lt;=25</v>
      </c>
      <c r="T1473" t="str">
        <f t="shared" si="66"/>
        <v>Negative</v>
      </c>
      <c r="U1473" t="str">
        <f t="shared" si="67"/>
        <v>Not Sampled</v>
      </c>
      <c r="V1473" s="1" t="str">
        <f t="shared" si="68"/>
        <v>Not Sampled</v>
      </c>
    </row>
    <row r="1474" spans="1:22" x14ac:dyDescent="0.25">
      <c r="A1474" s="1">
        <v>1</v>
      </c>
      <c r="B1474" s="1">
        <v>143</v>
      </c>
      <c r="C1474" s="1">
        <v>74</v>
      </c>
      <c r="D1474" s="1">
        <v>22</v>
      </c>
      <c r="E1474" s="1">
        <v>61</v>
      </c>
      <c r="F1474" s="1">
        <v>26.2</v>
      </c>
      <c r="G1474" s="1">
        <v>0.25600000000000001</v>
      </c>
      <c r="H1474" s="1">
        <v>21</v>
      </c>
      <c r="I1474" s="1">
        <v>0</v>
      </c>
      <c r="J1474" s="1" t="str">
        <f>IFERROR(VLOOKUP(K1474,[1]diabetes_Recognition!$A:$B,2,FALSE),"Not Sampled")</f>
        <v>Not Sampled</v>
      </c>
      <c r="K1474" s="1">
        <v>1472</v>
      </c>
      <c r="L1474" s="1">
        <f>LOOKUP(A1474,Sheet2!$D$4:$E$9)</f>
        <v>1</v>
      </c>
      <c r="M1474" t="str">
        <f>LOOKUP(B1474,Sheet2!$G$4:$H$9)</f>
        <v>126-150</v>
      </c>
      <c r="N1474" t="str">
        <f>LOOKUP(C1474,Sheet2!$J$4:$K$8)</f>
        <v>70-79</v>
      </c>
      <c r="O1474" t="str">
        <f>LOOKUP(D1474,Sheet2!$M$4:$N$8)</f>
        <v>10-30</v>
      </c>
      <c r="P1474" t="str">
        <f>LOOKUP(E1474,Sheet2!$P$4:$Q$9)</f>
        <v>1-99</v>
      </c>
      <c r="Q1474" t="str">
        <f>LOOKUP(F1474,Sheet2!$S$4:$T$8)</f>
        <v>26-30</v>
      </c>
      <c r="R1474" t="str">
        <f>LOOKUP(G1474,Sheet2!$V$4:$W$7)</f>
        <v>0.25 - 0.39</v>
      </c>
      <c r="S1474" t="str">
        <f>LOOKUP(H1474,Sheet2!$Z$4:$AA$7)</f>
        <v>&lt;=25</v>
      </c>
      <c r="T1474" t="str">
        <f t="shared" si="66"/>
        <v>Negative</v>
      </c>
      <c r="U1474" t="str">
        <f t="shared" si="67"/>
        <v>Not Sampled</v>
      </c>
      <c r="V1474" s="1" t="str">
        <f t="shared" si="68"/>
        <v>Not Sampled</v>
      </c>
    </row>
    <row r="1475" spans="1:22" x14ac:dyDescent="0.25">
      <c r="A1475" s="1">
        <v>0</v>
      </c>
      <c r="B1475" s="1">
        <v>138</v>
      </c>
      <c r="C1475" s="1">
        <v>60</v>
      </c>
      <c r="D1475" s="1">
        <v>35</v>
      </c>
      <c r="E1475" s="1">
        <v>167</v>
      </c>
      <c r="F1475" s="1">
        <v>34.6</v>
      </c>
      <c r="G1475" s="1">
        <v>0.53400000000000003</v>
      </c>
      <c r="H1475" s="1">
        <v>21</v>
      </c>
      <c r="I1475" s="1">
        <v>1</v>
      </c>
      <c r="J1475" s="1" t="str">
        <f>IFERROR(VLOOKUP(K1475,[1]diabetes_Recognition!$A:$B,2,FALSE),"Not Sampled")</f>
        <v>Not Sampled</v>
      </c>
      <c r="K1475" s="1">
        <v>1473</v>
      </c>
      <c r="L1475" s="1">
        <f>LOOKUP(A1475,Sheet2!$D$4:$E$9)</f>
        <v>0</v>
      </c>
      <c r="M1475" t="str">
        <f>LOOKUP(B1475,Sheet2!$G$4:$H$9)</f>
        <v>126-150</v>
      </c>
      <c r="N1475" t="str">
        <f>LOOKUP(C1475,Sheet2!$J$4:$K$8)</f>
        <v>60-69</v>
      </c>
      <c r="O1475" t="str">
        <f>LOOKUP(D1475,Sheet2!$M$4:$N$8)</f>
        <v>30-39</v>
      </c>
      <c r="P1475" t="str">
        <f>LOOKUP(E1475,Sheet2!$P$4:$Q$9)</f>
        <v>100-199</v>
      </c>
      <c r="Q1475" t="str">
        <f>LOOKUP(F1475,Sheet2!$S$4:$T$8)</f>
        <v>31-35</v>
      </c>
      <c r="R1475" t="str">
        <f>LOOKUP(G1475,Sheet2!$V$4:$W$7)</f>
        <v>0.4 - 0.69</v>
      </c>
      <c r="S1475" t="str">
        <f>LOOKUP(H1475,Sheet2!$Z$4:$AA$7)</f>
        <v>&lt;=25</v>
      </c>
      <c r="T1475" t="str">
        <f t="shared" ref="T1475:T1538" si="69">IF(I1475=1,"Positive","Negative")</f>
        <v>Positive</v>
      </c>
      <c r="U1475" t="str">
        <f t="shared" ref="U1475:U1538" si="70">IF(J1475=1,"Positive",(IF(J1475=0,"Negative","Not Sampled")))</f>
        <v>Not Sampled</v>
      </c>
      <c r="V1475" s="1" t="str">
        <f t="shared" ref="V1475:V1538" si="71">IF(U1475="Not Sampled","Not Sampled",IF(T1475=U1475,"Accurate Prediction","Inaccurate Prediction"))</f>
        <v>Not Sampled</v>
      </c>
    </row>
    <row r="1476" spans="1:22" x14ac:dyDescent="0.25">
      <c r="A1476" s="1">
        <v>3</v>
      </c>
      <c r="B1476" s="1">
        <v>173</v>
      </c>
      <c r="C1476" s="1">
        <v>84</v>
      </c>
      <c r="D1476" s="1">
        <v>33</v>
      </c>
      <c r="E1476" s="1">
        <v>474</v>
      </c>
      <c r="F1476" s="1">
        <v>35.700000000000003</v>
      </c>
      <c r="G1476" s="1">
        <v>0.25800000000000001</v>
      </c>
      <c r="H1476" s="1">
        <v>22</v>
      </c>
      <c r="I1476" s="1">
        <v>1</v>
      </c>
      <c r="J1476" s="1" t="str">
        <f>IFERROR(VLOOKUP(K1476,[1]diabetes_Recognition!$A:$B,2,FALSE),"Not Sampled")</f>
        <v>Not Sampled</v>
      </c>
      <c r="K1476" s="1">
        <v>1474</v>
      </c>
      <c r="L1476" s="1" t="str">
        <f>LOOKUP(A1476,Sheet2!$D$4:$E$9)</f>
        <v>3-4</v>
      </c>
      <c r="M1476" t="str">
        <f>LOOKUP(B1476,Sheet2!$G$4:$H$9)</f>
        <v>151-175</v>
      </c>
      <c r="N1476" t="str">
        <f>LOOKUP(C1476,Sheet2!$J$4:$K$8)</f>
        <v>80+</v>
      </c>
      <c r="O1476" t="str">
        <f>LOOKUP(D1476,Sheet2!$M$4:$N$8)</f>
        <v>30-39</v>
      </c>
      <c r="P1476" t="str">
        <f>LOOKUP(E1476,Sheet2!$P$4:$Q$9)</f>
        <v>300-499</v>
      </c>
      <c r="Q1476" t="str">
        <f>LOOKUP(F1476,Sheet2!$S$4:$T$8)</f>
        <v>31-35</v>
      </c>
      <c r="R1476" t="str">
        <f>LOOKUP(G1476,Sheet2!$V$4:$W$7)</f>
        <v>0.25 - 0.39</v>
      </c>
      <c r="S1476" t="str">
        <f>LOOKUP(H1476,Sheet2!$Z$4:$AA$7)</f>
        <v>&lt;=25</v>
      </c>
      <c r="T1476" t="str">
        <f t="shared" si="69"/>
        <v>Positive</v>
      </c>
      <c r="U1476" t="str">
        <f t="shared" si="70"/>
        <v>Not Sampled</v>
      </c>
      <c r="V1476" s="1" t="str">
        <f t="shared" si="71"/>
        <v>Not Sampled</v>
      </c>
    </row>
    <row r="1477" spans="1:22" x14ac:dyDescent="0.25">
      <c r="A1477" s="1">
        <v>1</v>
      </c>
      <c r="B1477" s="1">
        <v>97</v>
      </c>
      <c r="C1477" s="1">
        <v>68</v>
      </c>
      <c r="D1477" s="1">
        <v>21</v>
      </c>
      <c r="E1477" s="1">
        <v>0</v>
      </c>
      <c r="F1477" s="1">
        <v>27.2</v>
      </c>
      <c r="G1477" s="1">
        <v>1.095</v>
      </c>
      <c r="H1477" s="1">
        <v>22</v>
      </c>
      <c r="I1477" s="1">
        <v>0</v>
      </c>
      <c r="J1477" s="1">
        <f>IFERROR(VLOOKUP(K1477,[1]diabetes_Recognition!$A:$B,2,FALSE),"Not Sampled")</f>
        <v>0</v>
      </c>
      <c r="K1477" s="1">
        <v>1475</v>
      </c>
      <c r="L1477" s="1">
        <f>LOOKUP(A1477,Sheet2!$D$4:$E$9)</f>
        <v>1</v>
      </c>
      <c r="M1477" t="str">
        <f>LOOKUP(B1477,Sheet2!$G$4:$H$9)</f>
        <v>1-99</v>
      </c>
      <c r="N1477" t="str">
        <f>LOOKUP(C1477,Sheet2!$J$4:$K$8)</f>
        <v>60-69</v>
      </c>
      <c r="O1477" t="str">
        <f>LOOKUP(D1477,Sheet2!$M$4:$N$8)</f>
        <v>10-30</v>
      </c>
      <c r="P1477" t="str">
        <f>LOOKUP(E1477,Sheet2!$P$4:$Q$9)</f>
        <v>Unknown</v>
      </c>
      <c r="Q1477" t="str">
        <f>LOOKUP(F1477,Sheet2!$S$4:$T$8)</f>
        <v>26-30</v>
      </c>
      <c r="R1477" t="str">
        <f>LOOKUP(G1477,Sheet2!$V$4:$W$7)</f>
        <v>0.7+</v>
      </c>
      <c r="S1477" t="str">
        <f>LOOKUP(H1477,Sheet2!$Z$4:$AA$7)</f>
        <v>&lt;=25</v>
      </c>
      <c r="T1477" t="str">
        <f t="shared" si="69"/>
        <v>Negative</v>
      </c>
      <c r="U1477" t="str">
        <f t="shared" si="70"/>
        <v>Negative</v>
      </c>
      <c r="V1477" s="1" t="str">
        <f t="shared" si="71"/>
        <v>Accurate Prediction</v>
      </c>
    </row>
    <row r="1478" spans="1:22" x14ac:dyDescent="0.25">
      <c r="A1478" s="1">
        <v>4</v>
      </c>
      <c r="B1478" s="1">
        <v>144</v>
      </c>
      <c r="C1478" s="1">
        <v>82</v>
      </c>
      <c r="D1478" s="1">
        <v>32</v>
      </c>
      <c r="E1478" s="1">
        <v>0</v>
      </c>
      <c r="F1478" s="1">
        <v>38.5</v>
      </c>
      <c r="G1478" s="1">
        <v>0.55400000000000005</v>
      </c>
      <c r="H1478" s="1">
        <v>37</v>
      </c>
      <c r="I1478" s="1">
        <v>1</v>
      </c>
      <c r="J1478" s="1">
        <f>IFERROR(VLOOKUP(K1478,[1]diabetes_Recognition!$A:$B,2,FALSE),"Not Sampled")</f>
        <v>1</v>
      </c>
      <c r="K1478" s="1">
        <v>1476</v>
      </c>
      <c r="L1478" s="1" t="str">
        <f>LOOKUP(A1478,Sheet2!$D$4:$E$9)</f>
        <v>3-4</v>
      </c>
      <c r="M1478" t="str">
        <f>LOOKUP(B1478,Sheet2!$G$4:$H$9)</f>
        <v>126-150</v>
      </c>
      <c r="N1478" t="str">
        <f>LOOKUP(C1478,Sheet2!$J$4:$K$8)</f>
        <v>80+</v>
      </c>
      <c r="O1478" t="str">
        <f>LOOKUP(D1478,Sheet2!$M$4:$N$8)</f>
        <v>30-39</v>
      </c>
      <c r="P1478" t="str">
        <f>LOOKUP(E1478,Sheet2!$P$4:$Q$9)</f>
        <v>Unknown</v>
      </c>
      <c r="Q1478" t="str">
        <f>LOOKUP(F1478,Sheet2!$S$4:$T$8)</f>
        <v>36+</v>
      </c>
      <c r="R1478" t="str">
        <f>LOOKUP(G1478,Sheet2!$V$4:$W$7)</f>
        <v>0.4 - 0.69</v>
      </c>
      <c r="S1478" t="str">
        <f>LOOKUP(H1478,Sheet2!$Z$4:$AA$7)</f>
        <v>36-45</v>
      </c>
      <c r="T1478" t="str">
        <f t="shared" si="69"/>
        <v>Positive</v>
      </c>
      <c r="U1478" t="str">
        <f t="shared" si="70"/>
        <v>Positive</v>
      </c>
      <c r="V1478" s="1" t="str">
        <f t="shared" si="71"/>
        <v>Accurate Prediction</v>
      </c>
    </row>
    <row r="1479" spans="1:22" x14ac:dyDescent="0.25">
      <c r="A1479" s="1">
        <v>1</v>
      </c>
      <c r="B1479" s="1">
        <v>83</v>
      </c>
      <c r="C1479" s="1">
        <v>68</v>
      </c>
      <c r="D1479" s="1">
        <v>0</v>
      </c>
      <c r="E1479" s="1">
        <v>0</v>
      </c>
      <c r="F1479" s="1">
        <v>18.2</v>
      </c>
      <c r="G1479" s="1">
        <v>0.624</v>
      </c>
      <c r="H1479" s="1">
        <v>27</v>
      </c>
      <c r="I1479" s="1">
        <v>0</v>
      </c>
      <c r="J1479" s="1" t="str">
        <f>IFERROR(VLOOKUP(K1479,[1]diabetes_Recognition!$A:$B,2,FALSE),"Not Sampled")</f>
        <v>Not Sampled</v>
      </c>
      <c r="K1479" s="1">
        <v>1477</v>
      </c>
      <c r="L1479" s="1">
        <f>LOOKUP(A1479,Sheet2!$D$4:$E$9)</f>
        <v>1</v>
      </c>
      <c r="M1479" t="str">
        <f>LOOKUP(B1479,Sheet2!$G$4:$H$9)</f>
        <v>1-99</v>
      </c>
      <c r="N1479" t="str">
        <f>LOOKUP(C1479,Sheet2!$J$4:$K$8)</f>
        <v>60-69</v>
      </c>
      <c r="O1479" t="str">
        <f>LOOKUP(D1479,Sheet2!$M$4:$N$8)</f>
        <v>Unknown</v>
      </c>
      <c r="P1479" t="str">
        <f>LOOKUP(E1479,Sheet2!$P$4:$Q$9)</f>
        <v>Unknown</v>
      </c>
      <c r="Q1479" t="str">
        <f>LOOKUP(F1479,Sheet2!$S$4:$T$8)</f>
        <v>1-25</v>
      </c>
      <c r="R1479" t="str">
        <f>LOOKUP(G1479,Sheet2!$V$4:$W$7)</f>
        <v>0.4 - 0.69</v>
      </c>
      <c r="S1479" t="str">
        <f>LOOKUP(H1479,Sheet2!$Z$4:$AA$7)</f>
        <v>26-35</v>
      </c>
      <c r="T1479" t="str">
        <f t="shared" si="69"/>
        <v>Negative</v>
      </c>
      <c r="U1479" t="str">
        <f t="shared" si="70"/>
        <v>Not Sampled</v>
      </c>
      <c r="V1479" s="1" t="str">
        <f t="shared" si="71"/>
        <v>Not Sampled</v>
      </c>
    </row>
    <row r="1480" spans="1:22" x14ac:dyDescent="0.25">
      <c r="A1480" s="1">
        <v>3</v>
      </c>
      <c r="B1480" s="1">
        <v>129</v>
      </c>
      <c r="C1480" s="1">
        <v>64</v>
      </c>
      <c r="D1480" s="1">
        <v>29</v>
      </c>
      <c r="E1480" s="1">
        <v>115</v>
      </c>
      <c r="F1480" s="1">
        <v>26.4</v>
      </c>
      <c r="G1480" s="1">
        <v>0.219</v>
      </c>
      <c r="H1480" s="1">
        <v>28</v>
      </c>
      <c r="I1480" s="1">
        <v>1</v>
      </c>
      <c r="J1480" s="1" t="str">
        <f>IFERROR(VLOOKUP(K1480,[1]diabetes_Recognition!$A:$B,2,FALSE),"Not Sampled")</f>
        <v>Not Sampled</v>
      </c>
      <c r="K1480" s="1">
        <v>1478</v>
      </c>
      <c r="L1480" s="1" t="str">
        <f>LOOKUP(A1480,Sheet2!$D$4:$E$9)</f>
        <v>3-4</v>
      </c>
      <c r="M1480" t="str">
        <f>LOOKUP(B1480,Sheet2!$G$4:$H$9)</f>
        <v>126-150</v>
      </c>
      <c r="N1480" t="str">
        <f>LOOKUP(C1480,Sheet2!$J$4:$K$8)</f>
        <v>60-69</v>
      </c>
      <c r="O1480" t="str">
        <f>LOOKUP(D1480,Sheet2!$M$4:$N$8)</f>
        <v>10-30</v>
      </c>
      <c r="P1480" t="str">
        <f>LOOKUP(E1480,Sheet2!$P$4:$Q$9)</f>
        <v>100-199</v>
      </c>
      <c r="Q1480" t="str">
        <f>LOOKUP(F1480,Sheet2!$S$4:$T$8)</f>
        <v>26-30</v>
      </c>
      <c r="R1480" t="str">
        <f>LOOKUP(G1480,Sheet2!$V$4:$W$7)</f>
        <v>0.0 - 0.249</v>
      </c>
      <c r="S1480" t="str">
        <f>LOOKUP(H1480,Sheet2!$Z$4:$AA$7)</f>
        <v>26-35</v>
      </c>
      <c r="T1480" t="str">
        <f t="shared" si="69"/>
        <v>Positive</v>
      </c>
      <c r="U1480" t="str">
        <f t="shared" si="70"/>
        <v>Not Sampled</v>
      </c>
      <c r="V1480" s="1" t="str">
        <f t="shared" si="71"/>
        <v>Not Sampled</v>
      </c>
    </row>
    <row r="1481" spans="1:22" x14ac:dyDescent="0.25">
      <c r="A1481" s="1">
        <v>1</v>
      </c>
      <c r="B1481" s="1">
        <v>119</v>
      </c>
      <c r="C1481" s="1">
        <v>88</v>
      </c>
      <c r="D1481" s="1">
        <v>41</v>
      </c>
      <c r="E1481" s="1">
        <v>170</v>
      </c>
      <c r="F1481" s="1">
        <v>45.3</v>
      </c>
      <c r="G1481" s="1">
        <v>0.50700000000000001</v>
      </c>
      <c r="H1481" s="1">
        <v>26</v>
      </c>
      <c r="I1481" s="1">
        <v>0</v>
      </c>
      <c r="J1481" s="1" t="str">
        <f>IFERROR(VLOOKUP(K1481,[1]diabetes_Recognition!$A:$B,2,FALSE),"Not Sampled")</f>
        <v>Not Sampled</v>
      </c>
      <c r="K1481" s="1">
        <v>1479</v>
      </c>
      <c r="L1481" s="1">
        <f>LOOKUP(A1481,Sheet2!$D$4:$E$9)</f>
        <v>1</v>
      </c>
      <c r="M1481" t="str">
        <f>LOOKUP(B1481,Sheet2!$G$4:$H$9)</f>
        <v>100-125</v>
      </c>
      <c r="N1481" t="str">
        <f>LOOKUP(C1481,Sheet2!$J$4:$K$8)</f>
        <v>80+</v>
      </c>
      <c r="O1481" t="str">
        <f>LOOKUP(D1481,Sheet2!$M$4:$N$8)</f>
        <v>40+</v>
      </c>
      <c r="P1481" t="str">
        <f>LOOKUP(E1481,Sheet2!$P$4:$Q$9)</f>
        <v>100-199</v>
      </c>
      <c r="Q1481" t="str">
        <f>LOOKUP(F1481,Sheet2!$S$4:$T$8)</f>
        <v>36+</v>
      </c>
      <c r="R1481" t="str">
        <f>LOOKUP(G1481,Sheet2!$V$4:$W$7)</f>
        <v>0.4 - 0.69</v>
      </c>
      <c r="S1481" t="str">
        <f>LOOKUP(H1481,Sheet2!$Z$4:$AA$7)</f>
        <v>26-35</v>
      </c>
      <c r="T1481" t="str">
        <f t="shared" si="69"/>
        <v>Negative</v>
      </c>
      <c r="U1481" t="str">
        <f t="shared" si="70"/>
        <v>Not Sampled</v>
      </c>
      <c r="V1481" s="1" t="str">
        <f t="shared" si="71"/>
        <v>Not Sampled</v>
      </c>
    </row>
    <row r="1482" spans="1:22" x14ac:dyDescent="0.25">
      <c r="A1482" s="1">
        <v>2</v>
      </c>
      <c r="B1482" s="1">
        <v>94</v>
      </c>
      <c r="C1482" s="1">
        <v>68</v>
      </c>
      <c r="D1482" s="1">
        <v>18</v>
      </c>
      <c r="E1482" s="1">
        <v>76</v>
      </c>
      <c r="F1482" s="1">
        <v>26</v>
      </c>
      <c r="G1482" s="1">
        <v>0.56100000000000005</v>
      </c>
      <c r="H1482" s="1">
        <v>21</v>
      </c>
      <c r="I1482" s="1">
        <v>0</v>
      </c>
      <c r="J1482" s="1">
        <f>IFERROR(VLOOKUP(K1482,[1]diabetes_Recognition!$A:$B,2,FALSE),"Not Sampled")</f>
        <v>0</v>
      </c>
      <c r="K1482" s="1">
        <v>1480</v>
      </c>
      <c r="L1482" s="1">
        <f>LOOKUP(A1482,Sheet2!$D$4:$E$9)</f>
        <v>2</v>
      </c>
      <c r="M1482" t="str">
        <f>LOOKUP(B1482,Sheet2!$G$4:$H$9)</f>
        <v>1-99</v>
      </c>
      <c r="N1482" t="str">
        <f>LOOKUP(C1482,Sheet2!$J$4:$K$8)</f>
        <v>60-69</v>
      </c>
      <c r="O1482" t="str">
        <f>LOOKUP(D1482,Sheet2!$M$4:$N$8)</f>
        <v>10-30</v>
      </c>
      <c r="P1482" t="str">
        <f>LOOKUP(E1482,Sheet2!$P$4:$Q$9)</f>
        <v>1-99</v>
      </c>
      <c r="Q1482" t="str">
        <f>LOOKUP(F1482,Sheet2!$S$4:$T$8)</f>
        <v>26-30</v>
      </c>
      <c r="R1482" t="str">
        <f>LOOKUP(G1482,Sheet2!$V$4:$W$7)</f>
        <v>0.4 - 0.69</v>
      </c>
      <c r="S1482" t="str">
        <f>LOOKUP(H1482,Sheet2!$Z$4:$AA$7)</f>
        <v>&lt;=25</v>
      </c>
      <c r="T1482" t="str">
        <f t="shared" si="69"/>
        <v>Negative</v>
      </c>
      <c r="U1482" t="str">
        <f t="shared" si="70"/>
        <v>Negative</v>
      </c>
      <c r="V1482" s="1" t="str">
        <f t="shared" si="71"/>
        <v>Accurate Prediction</v>
      </c>
    </row>
    <row r="1483" spans="1:22" x14ac:dyDescent="0.25">
      <c r="A1483" s="1">
        <v>0</v>
      </c>
      <c r="B1483" s="1">
        <v>102</v>
      </c>
      <c r="C1483" s="1">
        <v>64</v>
      </c>
      <c r="D1483" s="1">
        <v>46</v>
      </c>
      <c r="E1483" s="1">
        <v>78</v>
      </c>
      <c r="F1483" s="1">
        <v>40.6</v>
      </c>
      <c r="G1483" s="1">
        <v>0.496</v>
      </c>
      <c r="H1483" s="1">
        <v>21</v>
      </c>
      <c r="I1483" s="1">
        <v>0</v>
      </c>
      <c r="J1483" s="1" t="str">
        <f>IFERROR(VLOOKUP(K1483,[1]diabetes_Recognition!$A:$B,2,FALSE),"Not Sampled")</f>
        <v>Not Sampled</v>
      </c>
      <c r="K1483" s="1">
        <v>1481</v>
      </c>
      <c r="L1483" s="1">
        <f>LOOKUP(A1483,Sheet2!$D$4:$E$9)</f>
        <v>0</v>
      </c>
      <c r="M1483" t="str">
        <f>LOOKUP(B1483,Sheet2!$G$4:$H$9)</f>
        <v>100-125</v>
      </c>
      <c r="N1483" t="str">
        <f>LOOKUP(C1483,Sheet2!$J$4:$K$8)</f>
        <v>60-69</v>
      </c>
      <c r="O1483" t="str">
        <f>LOOKUP(D1483,Sheet2!$M$4:$N$8)</f>
        <v>40+</v>
      </c>
      <c r="P1483" t="str">
        <f>LOOKUP(E1483,Sheet2!$P$4:$Q$9)</f>
        <v>1-99</v>
      </c>
      <c r="Q1483" t="str">
        <f>LOOKUP(F1483,Sheet2!$S$4:$T$8)</f>
        <v>36+</v>
      </c>
      <c r="R1483" t="str">
        <f>LOOKUP(G1483,Sheet2!$V$4:$W$7)</f>
        <v>0.4 - 0.69</v>
      </c>
      <c r="S1483" t="str">
        <f>LOOKUP(H1483,Sheet2!$Z$4:$AA$7)</f>
        <v>&lt;=25</v>
      </c>
      <c r="T1483" t="str">
        <f t="shared" si="69"/>
        <v>Negative</v>
      </c>
      <c r="U1483" t="str">
        <f t="shared" si="70"/>
        <v>Not Sampled</v>
      </c>
      <c r="V1483" s="1" t="str">
        <f t="shared" si="71"/>
        <v>Not Sampled</v>
      </c>
    </row>
    <row r="1484" spans="1:22" x14ac:dyDescent="0.25">
      <c r="A1484" s="1">
        <v>2</v>
      </c>
      <c r="B1484" s="1">
        <v>115</v>
      </c>
      <c r="C1484" s="1">
        <v>64</v>
      </c>
      <c r="D1484" s="1">
        <v>22</v>
      </c>
      <c r="E1484" s="1">
        <v>0</v>
      </c>
      <c r="F1484" s="1">
        <v>30.8</v>
      </c>
      <c r="G1484" s="1">
        <v>0.42099999999999999</v>
      </c>
      <c r="H1484" s="1">
        <v>21</v>
      </c>
      <c r="I1484" s="1">
        <v>0</v>
      </c>
      <c r="J1484" s="1">
        <f>IFERROR(VLOOKUP(K1484,[1]diabetes_Recognition!$A:$B,2,FALSE),"Not Sampled")</f>
        <v>0</v>
      </c>
      <c r="K1484" s="1">
        <v>1482</v>
      </c>
      <c r="L1484" s="1">
        <f>LOOKUP(A1484,Sheet2!$D$4:$E$9)</f>
        <v>2</v>
      </c>
      <c r="M1484" t="str">
        <f>LOOKUP(B1484,Sheet2!$G$4:$H$9)</f>
        <v>100-125</v>
      </c>
      <c r="N1484" t="str">
        <f>LOOKUP(C1484,Sheet2!$J$4:$K$8)</f>
        <v>60-69</v>
      </c>
      <c r="O1484" t="str">
        <f>LOOKUP(D1484,Sheet2!$M$4:$N$8)</f>
        <v>10-30</v>
      </c>
      <c r="P1484" t="str">
        <f>LOOKUP(E1484,Sheet2!$P$4:$Q$9)</f>
        <v>Unknown</v>
      </c>
      <c r="Q1484" t="str">
        <f>LOOKUP(F1484,Sheet2!$S$4:$T$8)</f>
        <v>26-30</v>
      </c>
      <c r="R1484" t="str">
        <f>LOOKUP(G1484,Sheet2!$V$4:$W$7)</f>
        <v>0.4 - 0.69</v>
      </c>
      <c r="S1484" t="str">
        <f>LOOKUP(H1484,Sheet2!$Z$4:$AA$7)</f>
        <v>&lt;=25</v>
      </c>
      <c r="T1484" t="str">
        <f t="shared" si="69"/>
        <v>Negative</v>
      </c>
      <c r="U1484" t="str">
        <f t="shared" si="70"/>
        <v>Negative</v>
      </c>
      <c r="V1484" s="1" t="str">
        <f t="shared" si="71"/>
        <v>Accurate Prediction</v>
      </c>
    </row>
    <row r="1485" spans="1:22" x14ac:dyDescent="0.25">
      <c r="A1485" s="1">
        <v>8</v>
      </c>
      <c r="B1485" s="1">
        <v>151</v>
      </c>
      <c r="C1485" s="1">
        <v>78</v>
      </c>
      <c r="D1485" s="1">
        <v>32</v>
      </c>
      <c r="E1485" s="1">
        <v>210</v>
      </c>
      <c r="F1485" s="1">
        <v>42.9</v>
      </c>
      <c r="G1485" s="1">
        <v>0.51600000000000001</v>
      </c>
      <c r="H1485" s="1">
        <v>36</v>
      </c>
      <c r="I1485" s="1">
        <v>1</v>
      </c>
      <c r="J1485" s="1" t="str">
        <f>IFERROR(VLOOKUP(K1485,[1]diabetes_Recognition!$A:$B,2,FALSE),"Not Sampled")</f>
        <v>Not Sampled</v>
      </c>
      <c r="K1485" s="1">
        <v>1483</v>
      </c>
      <c r="L1485" s="1" t="str">
        <f>LOOKUP(A1485,Sheet2!$D$4:$E$9)</f>
        <v>8+</v>
      </c>
      <c r="M1485" t="str">
        <f>LOOKUP(B1485,Sheet2!$G$4:$H$9)</f>
        <v>151-175</v>
      </c>
      <c r="N1485" t="str">
        <f>LOOKUP(C1485,Sheet2!$J$4:$K$8)</f>
        <v>70-79</v>
      </c>
      <c r="O1485" t="str">
        <f>LOOKUP(D1485,Sheet2!$M$4:$N$8)</f>
        <v>30-39</v>
      </c>
      <c r="P1485" t="str">
        <f>LOOKUP(E1485,Sheet2!$P$4:$Q$9)</f>
        <v>200-399</v>
      </c>
      <c r="Q1485" t="str">
        <f>LOOKUP(F1485,Sheet2!$S$4:$T$8)</f>
        <v>36+</v>
      </c>
      <c r="R1485" t="str">
        <f>LOOKUP(G1485,Sheet2!$V$4:$W$7)</f>
        <v>0.4 - 0.69</v>
      </c>
      <c r="S1485" t="str">
        <f>LOOKUP(H1485,Sheet2!$Z$4:$AA$7)</f>
        <v>36-45</v>
      </c>
      <c r="T1485" t="str">
        <f t="shared" si="69"/>
        <v>Positive</v>
      </c>
      <c r="U1485" t="str">
        <f t="shared" si="70"/>
        <v>Not Sampled</v>
      </c>
      <c r="V1485" s="1" t="str">
        <f t="shared" si="71"/>
        <v>Not Sampled</v>
      </c>
    </row>
    <row r="1486" spans="1:22" x14ac:dyDescent="0.25">
      <c r="A1486" s="1">
        <v>4</v>
      </c>
      <c r="B1486" s="1">
        <v>184</v>
      </c>
      <c r="C1486" s="1">
        <v>78</v>
      </c>
      <c r="D1486" s="1">
        <v>39</v>
      </c>
      <c r="E1486" s="1">
        <v>277</v>
      </c>
      <c r="F1486" s="1">
        <v>37</v>
      </c>
      <c r="G1486" s="1">
        <v>0.26400000000000001</v>
      </c>
      <c r="H1486" s="1">
        <v>31</v>
      </c>
      <c r="I1486" s="1">
        <v>1</v>
      </c>
      <c r="J1486" s="1" t="str">
        <f>IFERROR(VLOOKUP(K1486,[1]diabetes_Recognition!$A:$B,2,FALSE),"Not Sampled")</f>
        <v>Not Sampled</v>
      </c>
      <c r="K1486" s="1">
        <v>1484</v>
      </c>
      <c r="L1486" s="1" t="str">
        <f>LOOKUP(A1486,Sheet2!$D$4:$E$9)</f>
        <v>3-4</v>
      </c>
      <c r="M1486" t="str">
        <f>LOOKUP(B1486,Sheet2!$G$4:$H$9)</f>
        <v>176-200</v>
      </c>
      <c r="N1486" t="str">
        <f>LOOKUP(C1486,Sheet2!$J$4:$K$8)</f>
        <v>70-79</v>
      </c>
      <c r="O1486" t="str">
        <f>LOOKUP(D1486,Sheet2!$M$4:$N$8)</f>
        <v>30-39</v>
      </c>
      <c r="P1486" t="str">
        <f>LOOKUP(E1486,Sheet2!$P$4:$Q$9)</f>
        <v>200-399</v>
      </c>
      <c r="Q1486" t="str">
        <f>LOOKUP(F1486,Sheet2!$S$4:$T$8)</f>
        <v>36+</v>
      </c>
      <c r="R1486" t="str">
        <f>LOOKUP(G1486,Sheet2!$V$4:$W$7)</f>
        <v>0.25 - 0.39</v>
      </c>
      <c r="S1486" t="str">
        <f>LOOKUP(H1486,Sheet2!$Z$4:$AA$7)</f>
        <v>26-35</v>
      </c>
      <c r="T1486" t="str">
        <f t="shared" si="69"/>
        <v>Positive</v>
      </c>
      <c r="U1486" t="str">
        <f t="shared" si="70"/>
        <v>Not Sampled</v>
      </c>
      <c r="V1486" s="1" t="str">
        <f t="shared" si="71"/>
        <v>Not Sampled</v>
      </c>
    </row>
    <row r="1487" spans="1:22" x14ac:dyDescent="0.25">
      <c r="A1487" s="1">
        <v>0</v>
      </c>
      <c r="B1487" s="1">
        <v>94</v>
      </c>
      <c r="C1487" s="1">
        <v>0</v>
      </c>
      <c r="D1487" s="1">
        <v>0</v>
      </c>
      <c r="E1487" s="1">
        <v>0</v>
      </c>
      <c r="F1487" s="1">
        <v>0</v>
      </c>
      <c r="G1487" s="1">
        <v>0.25600000000000001</v>
      </c>
      <c r="H1487" s="1">
        <v>25</v>
      </c>
      <c r="I1487" s="1">
        <v>0</v>
      </c>
      <c r="J1487" s="1" t="str">
        <f>IFERROR(VLOOKUP(K1487,[1]diabetes_Recognition!$A:$B,2,FALSE),"Not Sampled")</f>
        <v>Not Sampled</v>
      </c>
      <c r="K1487" s="1">
        <v>1485</v>
      </c>
      <c r="L1487" s="1">
        <f>LOOKUP(A1487,Sheet2!$D$4:$E$9)</f>
        <v>0</v>
      </c>
      <c r="M1487" t="str">
        <f>LOOKUP(B1487,Sheet2!$G$4:$H$9)</f>
        <v>1-99</v>
      </c>
      <c r="N1487" t="str">
        <f>LOOKUP(C1487,Sheet2!$J$4:$K$8)</f>
        <v>Unknown</v>
      </c>
      <c r="O1487" t="str">
        <f>LOOKUP(D1487,Sheet2!$M$4:$N$8)</f>
        <v>Unknown</v>
      </c>
      <c r="P1487" t="str">
        <f>LOOKUP(E1487,Sheet2!$P$4:$Q$9)</f>
        <v>Unknown</v>
      </c>
      <c r="Q1487" t="str">
        <f>LOOKUP(F1487,Sheet2!$S$4:$T$8)</f>
        <v>Unknown</v>
      </c>
      <c r="R1487" t="str">
        <f>LOOKUP(G1487,Sheet2!$V$4:$W$7)</f>
        <v>0.25 - 0.39</v>
      </c>
      <c r="S1487" t="str">
        <f>LOOKUP(H1487,Sheet2!$Z$4:$AA$7)</f>
        <v>&lt;=25</v>
      </c>
      <c r="T1487" t="str">
        <f t="shared" si="69"/>
        <v>Negative</v>
      </c>
      <c r="U1487" t="str">
        <f t="shared" si="70"/>
        <v>Not Sampled</v>
      </c>
      <c r="V1487" s="1" t="str">
        <f t="shared" si="71"/>
        <v>Not Sampled</v>
      </c>
    </row>
    <row r="1488" spans="1:22" x14ac:dyDescent="0.25">
      <c r="A1488" s="1">
        <v>1</v>
      </c>
      <c r="B1488" s="1">
        <v>181</v>
      </c>
      <c r="C1488" s="1">
        <v>64</v>
      </c>
      <c r="D1488" s="1">
        <v>30</v>
      </c>
      <c r="E1488" s="1">
        <v>180</v>
      </c>
      <c r="F1488" s="1">
        <v>34.1</v>
      </c>
      <c r="G1488" s="1">
        <v>0.32800000000000001</v>
      </c>
      <c r="H1488" s="1">
        <v>38</v>
      </c>
      <c r="I1488" s="1">
        <v>1</v>
      </c>
      <c r="J1488" s="1" t="str">
        <f>IFERROR(VLOOKUP(K1488,[1]diabetes_Recognition!$A:$B,2,FALSE),"Not Sampled")</f>
        <v>Not Sampled</v>
      </c>
      <c r="K1488" s="1">
        <v>1486</v>
      </c>
      <c r="L1488" s="1">
        <f>LOOKUP(A1488,Sheet2!$D$4:$E$9)</f>
        <v>1</v>
      </c>
      <c r="M1488" t="str">
        <f>LOOKUP(B1488,Sheet2!$G$4:$H$9)</f>
        <v>176-200</v>
      </c>
      <c r="N1488" t="str">
        <f>LOOKUP(C1488,Sheet2!$J$4:$K$8)</f>
        <v>60-69</v>
      </c>
      <c r="O1488" t="str">
        <f>LOOKUP(D1488,Sheet2!$M$4:$N$8)</f>
        <v>30-39</v>
      </c>
      <c r="P1488" t="str">
        <f>LOOKUP(E1488,Sheet2!$P$4:$Q$9)</f>
        <v>100-199</v>
      </c>
      <c r="Q1488" t="str">
        <f>LOOKUP(F1488,Sheet2!$S$4:$T$8)</f>
        <v>31-35</v>
      </c>
      <c r="R1488" t="str">
        <f>LOOKUP(G1488,Sheet2!$V$4:$W$7)</f>
        <v>0.25 - 0.39</v>
      </c>
      <c r="S1488" t="str">
        <f>LOOKUP(H1488,Sheet2!$Z$4:$AA$7)</f>
        <v>36-45</v>
      </c>
      <c r="T1488" t="str">
        <f t="shared" si="69"/>
        <v>Positive</v>
      </c>
      <c r="U1488" t="str">
        <f t="shared" si="70"/>
        <v>Not Sampled</v>
      </c>
      <c r="V1488" s="1" t="str">
        <f t="shared" si="71"/>
        <v>Not Sampled</v>
      </c>
    </row>
    <row r="1489" spans="1:22" x14ac:dyDescent="0.25">
      <c r="A1489" s="1">
        <v>0</v>
      </c>
      <c r="B1489" s="1">
        <v>135</v>
      </c>
      <c r="C1489" s="1">
        <v>94</v>
      </c>
      <c r="D1489" s="1">
        <v>46</v>
      </c>
      <c r="E1489" s="1">
        <v>145</v>
      </c>
      <c r="F1489" s="1">
        <v>40.6</v>
      </c>
      <c r="G1489" s="1">
        <v>0.28399999999999997</v>
      </c>
      <c r="H1489" s="1">
        <v>26</v>
      </c>
      <c r="I1489" s="1">
        <v>0</v>
      </c>
      <c r="J1489" s="1" t="str">
        <f>IFERROR(VLOOKUP(K1489,[1]diabetes_Recognition!$A:$B,2,FALSE),"Not Sampled")</f>
        <v>Not Sampled</v>
      </c>
      <c r="K1489" s="1">
        <v>1487</v>
      </c>
      <c r="L1489" s="1">
        <f>LOOKUP(A1489,Sheet2!$D$4:$E$9)</f>
        <v>0</v>
      </c>
      <c r="M1489" t="str">
        <f>LOOKUP(B1489,Sheet2!$G$4:$H$9)</f>
        <v>126-150</v>
      </c>
      <c r="N1489" t="str">
        <f>LOOKUP(C1489,Sheet2!$J$4:$K$8)</f>
        <v>80+</v>
      </c>
      <c r="O1489" t="str">
        <f>LOOKUP(D1489,Sheet2!$M$4:$N$8)</f>
        <v>40+</v>
      </c>
      <c r="P1489" t="str">
        <f>LOOKUP(E1489,Sheet2!$P$4:$Q$9)</f>
        <v>100-199</v>
      </c>
      <c r="Q1489" t="str">
        <f>LOOKUP(F1489,Sheet2!$S$4:$T$8)</f>
        <v>36+</v>
      </c>
      <c r="R1489" t="str">
        <f>LOOKUP(G1489,Sheet2!$V$4:$W$7)</f>
        <v>0.25 - 0.39</v>
      </c>
      <c r="S1489" t="str">
        <f>LOOKUP(H1489,Sheet2!$Z$4:$AA$7)</f>
        <v>26-35</v>
      </c>
      <c r="T1489" t="str">
        <f t="shared" si="69"/>
        <v>Negative</v>
      </c>
      <c r="U1489" t="str">
        <f t="shared" si="70"/>
        <v>Not Sampled</v>
      </c>
      <c r="V1489" s="1" t="str">
        <f t="shared" si="71"/>
        <v>Not Sampled</v>
      </c>
    </row>
    <row r="1490" spans="1:22" x14ac:dyDescent="0.25">
      <c r="A1490" s="1">
        <v>1</v>
      </c>
      <c r="B1490" s="1">
        <v>95</v>
      </c>
      <c r="C1490" s="1">
        <v>82</v>
      </c>
      <c r="D1490" s="1">
        <v>25</v>
      </c>
      <c r="E1490" s="1">
        <v>180</v>
      </c>
      <c r="F1490" s="1">
        <v>35</v>
      </c>
      <c r="G1490" s="1">
        <v>0.23300000000000001</v>
      </c>
      <c r="H1490" s="1">
        <v>43</v>
      </c>
      <c r="I1490" s="1">
        <v>1</v>
      </c>
      <c r="J1490" s="1" t="str">
        <f>IFERROR(VLOOKUP(K1490,[1]diabetes_Recognition!$A:$B,2,FALSE),"Not Sampled")</f>
        <v>Not Sampled</v>
      </c>
      <c r="K1490" s="1">
        <v>1488</v>
      </c>
      <c r="L1490" s="1">
        <f>LOOKUP(A1490,Sheet2!$D$4:$E$9)</f>
        <v>1</v>
      </c>
      <c r="M1490" t="str">
        <f>LOOKUP(B1490,Sheet2!$G$4:$H$9)</f>
        <v>1-99</v>
      </c>
      <c r="N1490" t="str">
        <f>LOOKUP(C1490,Sheet2!$J$4:$K$8)</f>
        <v>80+</v>
      </c>
      <c r="O1490" t="str">
        <f>LOOKUP(D1490,Sheet2!$M$4:$N$8)</f>
        <v>10-30</v>
      </c>
      <c r="P1490" t="str">
        <f>LOOKUP(E1490,Sheet2!$P$4:$Q$9)</f>
        <v>100-199</v>
      </c>
      <c r="Q1490" t="str">
        <f>LOOKUP(F1490,Sheet2!$S$4:$T$8)</f>
        <v>31-35</v>
      </c>
      <c r="R1490" t="str">
        <f>LOOKUP(G1490,Sheet2!$V$4:$W$7)</f>
        <v>0.0 - 0.249</v>
      </c>
      <c r="S1490" t="str">
        <f>LOOKUP(H1490,Sheet2!$Z$4:$AA$7)</f>
        <v>36-45</v>
      </c>
      <c r="T1490" t="str">
        <f t="shared" si="69"/>
        <v>Positive</v>
      </c>
      <c r="U1490" t="str">
        <f t="shared" si="70"/>
        <v>Not Sampled</v>
      </c>
      <c r="V1490" s="1" t="str">
        <f t="shared" si="71"/>
        <v>Not Sampled</v>
      </c>
    </row>
    <row r="1491" spans="1:22" x14ac:dyDescent="0.25">
      <c r="A1491" s="1">
        <v>2</v>
      </c>
      <c r="B1491" s="1">
        <v>99</v>
      </c>
      <c r="C1491" s="1">
        <v>0</v>
      </c>
      <c r="D1491" s="1">
        <v>0</v>
      </c>
      <c r="E1491" s="1">
        <v>0</v>
      </c>
      <c r="F1491" s="1">
        <v>22.2</v>
      </c>
      <c r="G1491" s="1">
        <v>0.108</v>
      </c>
      <c r="H1491" s="1">
        <v>23</v>
      </c>
      <c r="I1491" s="1">
        <v>0</v>
      </c>
      <c r="J1491" s="1" t="str">
        <f>IFERROR(VLOOKUP(K1491,[1]diabetes_Recognition!$A:$B,2,FALSE),"Not Sampled")</f>
        <v>Not Sampled</v>
      </c>
      <c r="K1491" s="1">
        <v>1489</v>
      </c>
      <c r="L1491" s="1">
        <f>LOOKUP(A1491,Sheet2!$D$4:$E$9)</f>
        <v>2</v>
      </c>
      <c r="M1491" t="str">
        <f>LOOKUP(B1491,Sheet2!$G$4:$H$9)</f>
        <v>1-99</v>
      </c>
      <c r="N1491" t="str">
        <f>LOOKUP(C1491,Sheet2!$J$4:$K$8)</f>
        <v>Unknown</v>
      </c>
      <c r="O1491" t="str">
        <f>LOOKUP(D1491,Sheet2!$M$4:$N$8)</f>
        <v>Unknown</v>
      </c>
      <c r="P1491" t="str">
        <f>LOOKUP(E1491,Sheet2!$P$4:$Q$9)</f>
        <v>Unknown</v>
      </c>
      <c r="Q1491" t="str">
        <f>LOOKUP(F1491,Sheet2!$S$4:$T$8)</f>
        <v>1-25</v>
      </c>
      <c r="R1491" t="str">
        <f>LOOKUP(G1491,Sheet2!$V$4:$W$7)</f>
        <v>0.0 - 0.249</v>
      </c>
      <c r="S1491" t="str">
        <f>LOOKUP(H1491,Sheet2!$Z$4:$AA$7)</f>
        <v>&lt;=25</v>
      </c>
      <c r="T1491" t="str">
        <f t="shared" si="69"/>
        <v>Negative</v>
      </c>
      <c r="U1491" t="str">
        <f t="shared" si="70"/>
        <v>Not Sampled</v>
      </c>
      <c r="V1491" s="1" t="str">
        <f t="shared" si="71"/>
        <v>Not Sampled</v>
      </c>
    </row>
    <row r="1492" spans="1:22" x14ac:dyDescent="0.25">
      <c r="A1492" s="1">
        <v>3</v>
      </c>
      <c r="B1492" s="1">
        <v>89</v>
      </c>
      <c r="C1492" s="1">
        <v>74</v>
      </c>
      <c r="D1492" s="1">
        <v>16</v>
      </c>
      <c r="E1492" s="1">
        <v>85</v>
      </c>
      <c r="F1492" s="1">
        <v>30.4</v>
      </c>
      <c r="G1492" s="1">
        <v>0.55100000000000005</v>
      </c>
      <c r="H1492" s="1">
        <v>38</v>
      </c>
      <c r="I1492" s="1">
        <v>0</v>
      </c>
      <c r="J1492" s="1" t="str">
        <f>IFERROR(VLOOKUP(K1492,[1]diabetes_Recognition!$A:$B,2,FALSE),"Not Sampled")</f>
        <v>Not Sampled</v>
      </c>
      <c r="K1492" s="1">
        <v>1490</v>
      </c>
      <c r="L1492" s="1" t="str">
        <f>LOOKUP(A1492,Sheet2!$D$4:$E$9)</f>
        <v>3-4</v>
      </c>
      <c r="M1492" t="str">
        <f>LOOKUP(B1492,Sheet2!$G$4:$H$9)</f>
        <v>1-99</v>
      </c>
      <c r="N1492" t="str">
        <f>LOOKUP(C1492,Sheet2!$J$4:$K$8)</f>
        <v>70-79</v>
      </c>
      <c r="O1492" t="str">
        <f>LOOKUP(D1492,Sheet2!$M$4:$N$8)</f>
        <v>10-30</v>
      </c>
      <c r="P1492" t="str">
        <f>LOOKUP(E1492,Sheet2!$P$4:$Q$9)</f>
        <v>1-99</v>
      </c>
      <c r="Q1492" t="str">
        <f>LOOKUP(F1492,Sheet2!$S$4:$T$8)</f>
        <v>26-30</v>
      </c>
      <c r="R1492" t="str">
        <f>LOOKUP(G1492,Sheet2!$V$4:$W$7)</f>
        <v>0.4 - 0.69</v>
      </c>
      <c r="S1492" t="str">
        <f>LOOKUP(H1492,Sheet2!$Z$4:$AA$7)</f>
        <v>36-45</v>
      </c>
      <c r="T1492" t="str">
        <f t="shared" si="69"/>
        <v>Negative</v>
      </c>
      <c r="U1492" t="str">
        <f t="shared" si="70"/>
        <v>Not Sampled</v>
      </c>
      <c r="V1492" s="1" t="str">
        <f t="shared" si="71"/>
        <v>Not Sampled</v>
      </c>
    </row>
    <row r="1493" spans="1:22" x14ac:dyDescent="0.25">
      <c r="A1493" s="1">
        <v>1</v>
      </c>
      <c r="B1493" s="1">
        <v>80</v>
      </c>
      <c r="C1493" s="1">
        <v>74</v>
      </c>
      <c r="D1493" s="1">
        <v>11</v>
      </c>
      <c r="E1493" s="1">
        <v>60</v>
      </c>
      <c r="F1493" s="1">
        <v>30</v>
      </c>
      <c r="G1493" s="1">
        <v>0.52700000000000002</v>
      </c>
      <c r="H1493" s="1">
        <v>22</v>
      </c>
      <c r="I1493" s="1">
        <v>0</v>
      </c>
      <c r="J1493" s="1" t="str">
        <f>IFERROR(VLOOKUP(K1493,[1]diabetes_Recognition!$A:$B,2,FALSE),"Not Sampled")</f>
        <v>Not Sampled</v>
      </c>
      <c r="K1493" s="1">
        <v>1491</v>
      </c>
      <c r="L1493" s="1">
        <f>LOOKUP(A1493,Sheet2!$D$4:$E$9)</f>
        <v>1</v>
      </c>
      <c r="M1493" t="str">
        <f>LOOKUP(B1493,Sheet2!$G$4:$H$9)</f>
        <v>1-99</v>
      </c>
      <c r="N1493" t="str">
        <f>LOOKUP(C1493,Sheet2!$J$4:$K$8)</f>
        <v>70-79</v>
      </c>
      <c r="O1493" t="str">
        <f>LOOKUP(D1493,Sheet2!$M$4:$N$8)</f>
        <v>10-30</v>
      </c>
      <c r="P1493" t="str">
        <f>LOOKUP(E1493,Sheet2!$P$4:$Q$9)</f>
        <v>1-99</v>
      </c>
      <c r="Q1493" t="str">
        <f>LOOKUP(F1493,Sheet2!$S$4:$T$8)</f>
        <v>26-30</v>
      </c>
      <c r="R1493" t="str">
        <f>LOOKUP(G1493,Sheet2!$V$4:$W$7)</f>
        <v>0.4 - 0.69</v>
      </c>
      <c r="S1493" t="str">
        <f>LOOKUP(H1493,Sheet2!$Z$4:$AA$7)</f>
        <v>&lt;=25</v>
      </c>
      <c r="T1493" t="str">
        <f t="shared" si="69"/>
        <v>Negative</v>
      </c>
      <c r="U1493" t="str">
        <f t="shared" si="70"/>
        <v>Not Sampled</v>
      </c>
      <c r="V1493" s="1" t="str">
        <f t="shared" si="71"/>
        <v>Not Sampled</v>
      </c>
    </row>
    <row r="1494" spans="1:22" x14ac:dyDescent="0.25">
      <c r="A1494" s="1">
        <v>2</v>
      </c>
      <c r="B1494" s="1">
        <v>139</v>
      </c>
      <c r="C1494" s="1">
        <v>75</v>
      </c>
      <c r="D1494" s="1">
        <v>0</v>
      </c>
      <c r="E1494" s="1">
        <v>0</v>
      </c>
      <c r="F1494" s="1">
        <v>25.6</v>
      </c>
      <c r="G1494" s="1">
        <v>0.16700000000000001</v>
      </c>
      <c r="H1494" s="1">
        <v>29</v>
      </c>
      <c r="I1494" s="1">
        <v>0</v>
      </c>
      <c r="J1494" s="1" t="str">
        <f>IFERROR(VLOOKUP(K1494,[1]diabetes_Recognition!$A:$B,2,FALSE),"Not Sampled")</f>
        <v>Not Sampled</v>
      </c>
      <c r="K1494" s="1">
        <v>1492</v>
      </c>
      <c r="L1494" s="1">
        <f>LOOKUP(A1494,Sheet2!$D$4:$E$9)</f>
        <v>2</v>
      </c>
      <c r="M1494" t="str">
        <f>LOOKUP(B1494,Sheet2!$G$4:$H$9)</f>
        <v>126-150</v>
      </c>
      <c r="N1494" t="str">
        <f>LOOKUP(C1494,Sheet2!$J$4:$K$8)</f>
        <v>70-79</v>
      </c>
      <c r="O1494" t="str">
        <f>LOOKUP(D1494,Sheet2!$M$4:$N$8)</f>
        <v>Unknown</v>
      </c>
      <c r="P1494" t="str">
        <f>LOOKUP(E1494,Sheet2!$P$4:$Q$9)</f>
        <v>Unknown</v>
      </c>
      <c r="Q1494" t="str">
        <f>LOOKUP(F1494,Sheet2!$S$4:$T$8)</f>
        <v>1-25</v>
      </c>
      <c r="R1494" t="str">
        <f>LOOKUP(G1494,Sheet2!$V$4:$W$7)</f>
        <v>0.0 - 0.249</v>
      </c>
      <c r="S1494" t="str">
        <f>LOOKUP(H1494,Sheet2!$Z$4:$AA$7)</f>
        <v>26-35</v>
      </c>
      <c r="T1494" t="str">
        <f t="shared" si="69"/>
        <v>Negative</v>
      </c>
      <c r="U1494" t="str">
        <f t="shared" si="70"/>
        <v>Not Sampled</v>
      </c>
      <c r="V1494" s="1" t="str">
        <f t="shared" si="71"/>
        <v>Not Sampled</v>
      </c>
    </row>
    <row r="1495" spans="1:22" x14ac:dyDescent="0.25">
      <c r="A1495" s="1">
        <v>1</v>
      </c>
      <c r="B1495" s="1">
        <v>90</v>
      </c>
      <c r="C1495" s="1">
        <v>68</v>
      </c>
      <c r="D1495" s="1">
        <v>8</v>
      </c>
      <c r="E1495" s="1">
        <v>0</v>
      </c>
      <c r="F1495" s="1">
        <v>24.5</v>
      </c>
      <c r="G1495" s="1">
        <v>1.1379999999999999</v>
      </c>
      <c r="H1495" s="1">
        <v>36</v>
      </c>
      <c r="I1495" s="1">
        <v>0</v>
      </c>
      <c r="J1495" s="1" t="str">
        <f>IFERROR(VLOOKUP(K1495,[1]diabetes_Recognition!$A:$B,2,FALSE),"Not Sampled")</f>
        <v>Not Sampled</v>
      </c>
      <c r="K1495" s="1">
        <v>1493</v>
      </c>
      <c r="L1495" s="1">
        <f>LOOKUP(A1495,Sheet2!$D$4:$E$9)</f>
        <v>1</v>
      </c>
      <c r="M1495" t="str">
        <f>LOOKUP(B1495,Sheet2!$G$4:$H$9)</f>
        <v>1-99</v>
      </c>
      <c r="N1495" t="str">
        <f>LOOKUP(C1495,Sheet2!$J$4:$K$8)</f>
        <v>60-69</v>
      </c>
      <c r="O1495" t="str">
        <f>LOOKUP(D1495,Sheet2!$M$4:$N$8)</f>
        <v>1-10</v>
      </c>
      <c r="P1495" t="str">
        <f>LOOKUP(E1495,Sheet2!$P$4:$Q$9)</f>
        <v>Unknown</v>
      </c>
      <c r="Q1495" t="str">
        <f>LOOKUP(F1495,Sheet2!$S$4:$T$8)</f>
        <v>1-25</v>
      </c>
      <c r="R1495" t="str">
        <f>LOOKUP(G1495,Sheet2!$V$4:$W$7)</f>
        <v>0.7+</v>
      </c>
      <c r="S1495" t="str">
        <f>LOOKUP(H1495,Sheet2!$Z$4:$AA$7)</f>
        <v>36-45</v>
      </c>
      <c r="T1495" t="str">
        <f t="shared" si="69"/>
        <v>Negative</v>
      </c>
      <c r="U1495" t="str">
        <f t="shared" si="70"/>
        <v>Not Sampled</v>
      </c>
      <c r="V1495" s="1" t="str">
        <f t="shared" si="71"/>
        <v>Not Sampled</v>
      </c>
    </row>
    <row r="1496" spans="1:22" x14ac:dyDescent="0.25">
      <c r="A1496" s="1">
        <v>0</v>
      </c>
      <c r="B1496" s="1">
        <v>141</v>
      </c>
      <c r="C1496" s="1">
        <v>0</v>
      </c>
      <c r="D1496" s="1">
        <v>0</v>
      </c>
      <c r="E1496" s="1">
        <v>0</v>
      </c>
      <c r="F1496" s="1">
        <v>42.4</v>
      </c>
      <c r="G1496" s="1">
        <v>0.20499999999999999</v>
      </c>
      <c r="H1496" s="1">
        <v>29</v>
      </c>
      <c r="I1496" s="1">
        <v>1</v>
      </c>
      <c r="J1496" s="1" t="str">
        <f>IFERROR(VLOOKUP(K1496,[1]diabetes_Recognition!$A:$B,2,FALSE),"Not Sampled")</f>
        <v>Not Sampled</v>
      </c>
      <c r="K1496" s="1">
        <v>1494</v>
      </c>
      <c r="L1496" s="1">
        <f>LOOKUP(A1496,Sheet2!$D$4:$E$9)</f>
        <v>0</v>
      </c>
      <c r="M1496" t="str">
        <f>LOOKUP(B1496,Sheet2!$G$4:$H$9)</f>
        <v>126-150</v>
      </c>
      <c r="N1496" t="str">
        <f>LOOKUP(C1496,Sheet2!$J$4:$K$8)</f>
        <v>Unknown</v>
      </c>
      <c r="O1496" t="str">
        <f>LOOKUP(D1496,Sheet2!$M$4:$N$8)</f>
        <v>Unknown</v>
      </c>
      <c r="P1496" t="str">
        <f>LOOKUP(E1496,Sheet2!$P$4:$Q$9)</f>
        <v>Unknown</v>
      </c>
      <c r="Q1496" t="str">
        <f>LOOKUP(F1496,Sheet2!$S$4:$T$8)</f>
        <v>36+</v>
      </c>
      <c r="R1496" t="str">
        <f>LOOKUP(G1496,Sheet2!$V$4:$W$7)</f>
        <v>0.0 - 0.249</v>
      </c>
      <c r="S1496" t="str">
        <f>LOOKUP(H1496,Sheet2!$Z$4:$AA$7)</f>
        <v>26-35</v>
      </c>
      <c r="T1496" t="str">
        <f t="shared" si="69"/>
        <v>Positive</v>
      </c>
      <c r="U1496" t="str">
        <f t="shared" si="70"/>
        <v>Not Sampled</v>
      </c>
      <c r="V1496" s="1" t="str">
        <f t="shared" si="71"/>
        <v>Not Sampled</v>
      </c>
    </row>
    <row r="1497" spans="1:22" x14ac:dyDescent="0.25">
      <c r="A1497" s="1">
        <v>12</v>
      </c>
      <c r="B1497" s="1">
        <v>140</v>
      </c>
      <c r="C1497" s="1">
        <v>85</v>
      </c>
      <c r="D1497" s="1">
        <v>33</v>
      </c>
      <c r="E1497" s="1">
        <v>0</v>
      </c>
      <c r="F1497" s="1">
        <v>37.4</v>
      </c>
      <c r="G1497" s="1">
        <v>0.24399999999999999</v>
      </c>
      <c r="H1497" s="1">
        <v>41</v>
      </c>
      <c r="I1497" s="1">
        <v>0</v>
      </c>
      <c r="J1497" s="1" t="str">
        <f>IFERROR(VLOOKUP(K1497,[1]diabetes_Recognition!$A:$B,2,FALSE),"Not Sampled")</f>
        <v>Not Sampled</v>
      </c>
      <c r="K1497" s="1">
        <v>1495</v>
      </c>
      <c r="L1497" s="1" t="str">
        <f>LOOKUP(A1497,Sheet2!$D$4:$E$9)</f>
        <v>8+</v>
      </c>
      <c r="M1497" t="str">
        <f>LOOKUP(B1497,Sheet2!$G$4:$H$9)</f>
        <v>126-150</v>
      </c>
      <c r="N1497" t="str">
        <f>LOOKUP(C1497,Sheet2!$J$4:$K$8)</f>
        <v>80+</v>
      </c>
      <c r="O1497" t="str">
        <f>LOOKUP(D1497,Sheet2!$M$4:$N$8)</f>
        <v>30-39</v>
      </c>
      <c r="P1497" t="str">
        <f>LOOKUP(E1497,Sheet2!$P$4:$Q$9)</f>
        <v>Unknown</v>
      </c>
      <c r="Q1497" t="str">
        <f>LOOKUP(F1497,Sheet2!$S$4:$T$8)</f>
        <v>36+</v>
      </c>
      <c r="R1497" t="str">
        <f>LOOKUP(G1497,Sheet2!$V$4:$W$7)</f>
        <v>0.0 - 0.249</v>
      </c>
      <c r="S1497" t="str">
        <f>LOOKUP(H1497,Sheet2!$Z$4:$AA$7)</f>
        <v>36-45</v>
      </c>
      <c r="T1497" t="str">
        <f t="shared" si="69"/>
        <v>Negative</v>
      </c>
      <c r="U1497" t="str">
        <f t="shared" si="70"/>
        <v>Not Sampled</v>
      </c>
      <c r="V1497" s="1" t="str">
        <f t="shared" si="71"/>
        <v>Not Sampled</v>
      </c>
    </row>
    <row r="1498" spans="1:22" x14ac:dyDescent="0.25">
      <c r="A1498" s="1">
        <v>5</v>
      </c>
      <c r="B1498" s="1">
        <v>147</v>
      </c>
      <c r="C1498" s="1">
        <v>75</v>
      </c>
      <c r="D1498" s="1">
        <v>0</v>
      </c>
      <c r="E1498" s="1">
        <v>0</v>
      </c>
      <c r="F1498" s="1">
        <v>29.9</v>
      </c>
      <c r="G1498" s="1">
        <v>0.434</v>
      </c>
      <c r="H1498" s="1">
        <v>28</v>
      </c>
      <c r="I1498" s="1">
        <v>0</v>
      </c>
      <c r="J1498" s="1">
        <f>IFERROR(VLOOKUP(K1498,[1]diabetes_Recognition!$A:$B,2,FALSE),"Not Sampled")</f>
        <v>1</v>
      </c>
      <c r="K1498" s="1">
        <v>1496</v>
      </c>
      <c r="L1498" s="1" t="str">
        <f>LOOKUP(A1498,Sheet2!$D$4:$E$9)</f>
        <v>5-7</v>
      </c>
      <c r="M1498" t="str">
        <f>LOOKUP(B1498,Sheet2!$G$4:$H$9)</f>
        <v>126-150</v>
      </c>
      <c r="N1498" t="str">
        <f>LOOKUP(C1498,Sheet2!$J$4:$K$8)</f>
        <v>70-79</v>
      </c>
      <c r="O1498" t="str">
        <f>LOOKUP(D1498,Sheet2!$M$4:$N$8)</f>
        <v>Unknown</v>
      </c>
      <c r="P1498" t="str">
        <f>LOOKUP(E1498,Sheet2!$P$4:$Q$9)</f>
        <v>Unknown</v>
      </c>
      <c r="Q1498" t="str">
        <f>LOOKUP(F1498,Sheet2!$S$4:$T$8)</f>
        <v>26-30</v>
      </c>
      <c r="R1498" t="str">
        <f>LOOKUP(G1498,Sheet2!$V$4:$W$7)</f>
        <v>0.4 - 0.69</v>
      </c>
      <c r="S1498" t="str">
        <f>LOOKUP(H1498,Sheet2!$Z$4:$AA$7)</f>
        <v>26-35</v>
      </c>
      <c r="T1498" t="str">
        <f t="shared" si="69"/>
        <v>Negative</v>
      </c>
      <c r="U1498" t="str">
        <f t="shared" si="70"/>
        <v>Positive</v>
      </c>
      <c r="V1498" s="1" t="str">
        <f t="shared" si="71"/>
        <v>Inaccurate Prediction</v>
      </c>
    </row>
    <row r="1499" spans="1:22" x14ac:dyDescent="0.25">
      <c r="A1499" s="1">
        <v>1</v>
      </c>
      <c r="B1499" s="1">
        <v>97</v>
      </c>
      <c r="C1499" s="1">
        <v>70</v>
      </c>
      <c r="D1499" s="1">
        <v>15</v>
      </c>
      <c r="E1499" s="1">
        <v>0</v>
      </c>
      <c r="F1499" s="1">
        <v>18.2</v>
      </c>
      <c r="G1499" s="1">
        <v>0.14699999999999999</v>
      </c>
      <c r="H1499" s="1">
        <v>21</v>
      </c>
      <c r="I1499" s="1">
        <v>0</v>
      </c>
      <c r="J1499" s="1" t="str">
        <f>IFERROR(VLOOKUP(K1499,[1]diabetes_Recognition!$A:$B,2,FALSE),"Not Sampled")</f>
        <v>Not Sampled</v>
      </c>
      <c r="K1499" s="1">
        <v>1497</v>
      </c>
      <c r="L1499" s="1">
        <f>LOOKUP(A1499,Sheet2!$D$4:$E$9)</f>
        <v>1</v>
      </c>
      <c r="M1499" t="str">
        <f>LOOKUP(B1499,Sheet2!$G$4:$H$9)</f>
        <v>1-99</v>
      </c>
      <c r="N1499" t="str">
        <f>LOOKUP(C1499,Sheet2!$J$4:$K$8)</f>
        <v>70-79</v>
      </c>
      <c r="O1499" t="str">
        <f>LOOKUP(D1499,Sheet2!$M$4:$N$8)</f>
        <v>10-30</v>
      </c>
      <c r="P1499" t="str">
        <f>LOOKUP(E1499,Sheet2!$P$4:$Q$9)</f>
        <v>Unknown</v>
      </c>
      <c r="Q1499" t="str">
        <f>LOOKUP(F1499,Sheet2!$S$4:$T$8)</f>
        <v>1-25</v>
      </c>
      <c r="R1499" t="str">
        <f>LOOKUP(G1499,Sheet2!$V$4:$W$7)</f>
        <v>0.0 - 0.249</v>
      </c>
      <c r="S1499" t="str">
        <f>LOOKUP(H1499,Sheet2!$Z$4:$AA$7)</f>
        <v>&lt;=25</v>
      </c>
      <c r="T1499" t="str">
        <f t="shared" si="69"/>
        <v>Negative</v>
      </c>
      <c r="U1499" t="str">
        <f t="shared" si="70"/>
        <v>Not Sampled</v>
      </c>
      <c r="V1499" s="1" t="str">
        <f t="shared" si="71"/>
        <v>Not Sampled</v>
      </c>
    </row>
    <row r="1500" spans="1:22" x14ac:dyDescent="0.25">
      <c r="A1500" s="1">
        <v>6</v>
      </c>
      <c r="B1500" s="1">
        <v>107</v>
      </c>
      <c r="C1500" s="1">
        <v>88</v>
      </c>
      <c r="D1500" s="1">
        <v>0</v>
      </c>
      <c r="E1500" s="1">
        <v>0</v>
      </c>
      <c r="F1500" s="1">
        <v>36.799999999999997</v>
      </c>
      <c r="G1500" s="1">
        <v>0.72699999999999998</v>
      </c>
      <c r="H1500" s="1">
        <v>31</v>
      </c>
      <c r="I1500" s="1">
        <v>0</v>
      </c>
      <c r="J1500" s="1" t="str">
        <f>IFERROR(VLOOKUP(K1500,[1]diabetes_Recognition!$A:$B,2,FALSE),"Not Sampled")</f>
        <v>Not Sampled</v>
      </c>
      <c r="K1500" s="1">
        <v>1498</v>
      </c>
      <c r="L1500" s="1" t="str">
        <f>LOOKUP(A1500,Sheet2!$D$4:$E$9)</f>
        <v>5-7</v>
      </c>
      <c r="M1500" t="str">
        <f>LOOKUP(B1500,Sheet2!$G$4:$H$9)</f>
        <v>100-125</v>
      </c>
      <c r="N1500" t="str">
        <f>LOOKUP(C1500,Sheet2!$J$4:$K$8)</f>
        <v>80+</v>
      </c>
      <c r="O1500" t="str">
        <f>LOOKUP(D1500,Sheet2!$M$4:$N$8)</f>
        <v>Unknown</v>
      </c>
      <c r="P1500" t="str">
        <f>LOOKUP(E1500,Sheet2!$P$4:$Q$9)</f>
        <v>Unknown</v>
      </c>
      <c r="Q1500" t="str">
        <f>LOOKUP(F1500,Sheet2!$S$4:$T$8)</f>
        <v>36+</v>
      </c>
      <c r="R1500" t="str">
        <f>LOOKUP(G1500,Sheet2!$V$4:$W$7)</f>
        <v>0.7+</v>
      </c>
      <c r="S1500" t="str">
        <f>LOOKUP(H1500,Sheet2!$Z$4:$AA$7)</f>
        <v>26-35</v>
      </c>
      <c r="T1500" t="str">
        <f t="shared" si="69"/>
        <v>Negative</v>
      </c>
      <c r="U1500" t="str">
        <f t="shared" si="70"/>
        <v>Not Sampled</v>
      </c>
      <c r="V1500" s="1" t="str">
        <f t="shared" si="71"/>
        <v>Not Sampled</v>
      </c>
    </row>
    <row r="1501" spans="1:22" x14ac:dyDescent="0.25">
      <c r="A1501" s="1">
        <v>0</v>
      </c>
      <c r="B1501" s="1">
        <v>189</v>
      </c>
      <c r="C1501" s="1">
        <v>104</v>
      </c>
      <c r="D1501" s="1">
        <v>25</v>
      </c>
      <c r="E1501" s="1">
        <v>0</v>
      </c>
      <c r="F1501" s="1">
        <v>34.299999999999997</v>
      </c>
      <c r="G1501" s="1">
        <v>0.435</v>
      </c>
      <c r="H1501" s="1">
        <v>41</v>
      </c>
      <c r="I1501" s="1">
        <v>1</v>
      </c>
      <c r="J1501" s="1" t="str">
        <f>IFERROR(VLOOKUP(K1501,[1]diabetes_Recognition!$A:$B,2,FALSE),"Not Sampled")</f>
        <v>Not Sampled</v>
      </c>
      <c r="K1501" s="1">
        <v>1499</v>
      </c>
      <c r="L1501" s="1">
        <f>LOOKUP(A1501,Sheet2!$D$4:$E$9)</f>
        <v>0</v>
      </c>
      <c r="M1501" t="str">
        <f>LOOKUP(B1501,Sheet2!$G$4:$H$9)</f>
        <v>176-200</v>
      </c>
      <c r="N1501" t="str">
        <f>LOOKUP(C1501,Sheet2!$J$4:$K$8)</f>
        <v>80+</v>
      </c>
      <c r="O1501" t="str">
        <f>LOOKUP(D1501,Sheet2!$M$4:$N$8)</f>
        <v>10-30</v>
      </c>
      <c r="P1501" t="str">
        <f>LOOKUP(E1501,Sheet2!$P$4:$Q$9)</f>
        <v>Unknown</v>
      </c>
      <c r="Q1501" t="str">
        <f>LOOKUP(F1501,Sheet2!$S$4:$T$8)</f>
        <v>31-35</v>
      </c>
      <c r="R1501" t="str">
        <f>LOOKUP(G1501,Sheet2!$V$4:$W$7)</f>
        <v>0.4 - 0.69</v>
      </c>
      <c r="S1501" t="str">
        <f>LOOKUP(H1501,Sheet2!$Z$4:$AA$7)</f>
        <v>36-45</v>
      </c>
      <c r="T1501" t="str">
        <f t="shared" si="69"/>
        <v>Positive</v>
      </c>
      <c r="U1501" t="str">
        <f t="shared" si="70"/>
        <v>Not Sampled</v>
      </c>
      <c r="V1501" s="1" t="str">
        <f t="shared" si="71"/>
        <v>Not Sampled</v>
      </c>
    </row>
    <row r="1502" spans="1:22" x14ac:dyDescent="0.25">
      <c r="A1502" s="1">
        <v>2</v>
      </c>
      <c r="B1502" s="1">
        <v>83</v>
      </c>
      <c r="C1502" s="1">
        <v>66</v>
      </c>
      <c r="D1502" s="1">
        <v>23</v>
      </c>
      <c r="E1502" s="1">
        <v>50</v>
      </c>
      <c r="F1502" s="1">
        <v>32.200000000000003</v>
      </c>
      <c r="G1502" s="1">
        <v>0.497</v>
      </c>
      <c r="H1502" s="1">
        <v>22</v>
      </c>
      <c r="I1502" s="1">
        <v>0</v>
      </c>
      <c r="J1502" s="1" t="str">
        <f>IFERROR(VLOOKUP(K1502,[1]diabetes_Recognition!$A:$B,2,FALSE),"Not Sampled")</f>
        <v>Not Sampled</v>
      </c>
      <c r="K1502" s="1">
        <v>1500</v>
      </c>
      <c r="L1502" s="1">
        <f>LOOKUP(A1502,Sheet2!$D$4:$E$9)</f>
        <v>2</v>
      </c>
      <c r="M1502" t="str">
        <f>LOOKUP(B1502,Sheet2!$G$4:$H$9)</f>
        <v>1-99</v>
      </c>
      <c r="N1502" t="str">
        <f>LOOKUP(C1502,Sheet2!$J$4:$K$8)</f>
        <v>60-69</v>
      </c>
      <c r="O1502" t="str">
        <f>LOOKUP(D1502,Sheet2!$M$4:$N$8)</f>
        <v>10-30</v>
      </c>
      <c r="P1502" t="str">
        <f>LOOKUP(E1502,Sheet2!$P$4:$Q$9)</f>
        <v>1-99</v>
      </c>
      <c r="Q1502" t="str">
        <f>LOOKUP(F1502,Sheet2!$S$4:$T$8)</f>
        <v>31-35</v>
      </c>
      <c r="R1502" t="str">
        <f>LOOKUP(G1502,Sheet2!$V$4:$W$7)</f>
        <v>0.4 - 0.69</v>
      </c>
      <c r="S1502" t="str">
        <f>LOOKUP(H1502,Sheet2!$Z$4:$AA$7)</f>
        <v>&lt;=25</v>
      </c>
      <c r="T1502" t="str">
        <f t="shared" si="69"/>
        <v>Negative</v>
      </c>
      <c r="U1502" t="str">
        <f t="shared" si="70"/>
        <v>Not Sampled</v>
      </c>
      <c r="V1502" s="1" t="str">
        <f t="shared" si="71"/>
        <v>Not Sampled</v>
      </c>
    </row>
    <row r="1503" spans="1:22" x14ac:dyDescent="0.25">
      <c r="A1503" s="1">
        <v>4</v>
      </c>
      <c r="B1503" s="1">
        <v>117</v>
      </c>
      <c r="C1503" s="1">
        <v>64</v>
      </c>
      <c r="D1503" s="1">
        <v>27</v>
      </c>
      <c r="E1503" s="1">
        <v>120</v>
      </c>
      <c r="F1503" s="1">
        <v>33.200000000000003</v>
      </c>
      <c r="G1503" s="1">
        <v>0.23</v>
      </c>
      <c r="H1503" s="1">
        <v>24</v>
      </c>
      <c r="I1503" s="1">
        <v>0</v>
      </c>
      <c r="J1503" s="1">
        <f>IFERROR(VLOOKUP(K1503,[1]diabetes_Recognition!$A:$B,2,FALSE),"Not Sampled")</f>
        <v>0</v>
      </c>
      <c r="K1503" s="1">
        <v>1501</v>
      </c>
      <c r="L1503" s="1" t="str">
        <f>LOOKUP(A1503,Sheet2!$D$4:$E$9)</f>
        <v>3-4</v>
      </c>
      <c r="M1503" t="str">
        <f>LOOKUP(B1503,Sheet2!$G$4:$H$9)</f>
        <v>100-125</v>
      </c>
      <c r="N1503" t="str">
        <f>LOOKUP(C1503,Sheet2!$J$4:$K$8)</f>
        <v>60-69</v>
      </c>
      <c r="O1503" t="str">
        <f>LOOKUP(D1503,Sheet2!$M$4:$N$8)</f>
        <v>10-30</v>
      </c>
      <c r="P1503" t="str">
        <f>LOOKUP(E1503,Sheet2!$P$4:$Q$9)</f>
        <v>100-199</v>
      </c>
      <c r="Q1503" t="str">
        <f>LOOKUP(F1503,Sheet2!$S$4:$T$8)</f>
        <v>31-35</v>
      </c>
      <c r="R1503" t="str">
        <f>LOOKUP(G1503,Sheet2!$V$4:$W$7)</f>
        <v>0.0 - 0.249</v>
      </c>
      <c r="S1503" t="str">
        <f>LOOKUP(H1503,Sheet2!$Z$4:$AA$7)</f>
        <v>&lt;=25</v>
      </c>
      <c r="T1503" t="str">
        <f t="shared" si="69"/>
        <v>Negative</v>
      </c>
      <c r="U1503" t="str">
        <f t="shared" si="70"/>
        <v>Negative</v>
      </c>
      <c r="V1503" s="1" t="str">
        <f t="shared" si="71"/>
        <v>Accurate Prediction</v>
      </c>
    </row>
    <row r="1504" spans="1:22" x14ac:dyDescent="0.25">
      <c r="A1504" s="1">
        <v>8</v>
      </c>
      <c r="B1504" s="1">
        <v>108</v>
      </c>
      <c r="C1504" s="1">
        <v>70</v>
      </c>
      <c r="D1504" s="1">
        <v>0</v>
      </c>
      <c r="E1504" s="1">
        <v>0</v>
      </c>
      <c r="F1504" s="1">
        <v>30.5</v>
      </c>
      <c r="G1504" s="1">
        <v>0.95499999999999996</v>
      </c>
      <c r="H1504" s="1">
        <v>33</v>
      </c>
      <c r="I1504" s="1">
        <v>1</v>
      </c>
      <c r="J1504" s="1" t="str">
        <f>IFERROR(VLOOKUP(K1504,[1]diabetes_Recognition!$A:$B,2,FALSE),"Not Sampled")</f>
        <v>Not Sampled</v>
      </c>
      <c r="K1504" s="1">
        <v>1502</v>
      </c>
      <c r="L1504" s="1" t="str">
        <f>LOOKUP(A1504,Sheet2!$D$4:$E$9)</f>
        <v>8+</v>
      </c>
      <c r="M1504" t="str">
        <f>LOOKUP(B1504,Sheet2!$G$4:$H$9)</f>
        <v>100-125</v>
      </c>
      <c r="N1504" t="str">
        <f>LOOKUP(C1504,Sheet2!$J$4:$K$8)</f>
        <v>70-79</v>
      </c>
      <c r="O1504" t="str">
        <f>LOOKUP(D1504,Sheet2!$M$4:$N$8)</f>
        <v>Unknown</v>
      </c>
      <c r="P1504" t="str">
        <f>LOOKUP(E1504,Sheet2!$P$4:$Q$9)</f>
        <v>Unknown</v>
      </c>
      <c r="Q1504" t="str">
        <f>LOOKUP(F1504,Sheet2!$S$4:$T$8)</f>
        <v>26-30</v>
      </c>
      <c r="R1504" t="str">
        <f>LOOKUP(G1504,Sheet2!$V$4:$W$7)</f>
        <v>0.7+</v>
      </c>
      <c r="S1504" t="str">
        <f>LOOKUP(H1504,Sheet2!$Z$4:$AA$7)</f>
        <v>26-35</v>
      </c>
      <c r="T1504" t="str">
        <f t="shared" si="69"/>
        <v>Positive</v>
      </c>
      <c r="U1504" t="str">
        <f t="shared" si="70"/>
        <v>Not Sampled</v>
      </c>
      <c r="V1504" s="1" t="str">
        <f t="shared" si="71"/>
        <v>Not Sampled</v>
      </c>
    </row>
    <row r="1505" spans="1:22" x14ac:dyDescent="0.25">
      <c r="A1505" s="1">
        <v>4</v>
      </c>
      <c r="B1505" s="1">
        <v>117</v>
      </c>
      <c r="C1505" s="1">
        <v>62</v>
      </c>
      <c r="D1505" s="1">
        <v>12</v>
      </c>
      <c r="E1505" s="1">
        <v>0</v>
      </c>
      <c r="F1505" s="1">
        <v>29.7</v>
      </c>
      <c r="G1505" s="1">
        <v>0.38</v>
      </c>
      <c r="H1505" s="1">
        <v>30</v>
      </c>
      <c r="I1505" s="1">
        <v>1</v>
      </c>
      <c r="J1505" s="1" t="str">
        <f>IFERROR(VLOOKUP(K1505,[1]diabetes_Recognition!$A:$B,2,FALSE),"Not Sampled")</f>
        <v>Not Sampled</v>
      </c>
      <c r="K1505" s="1">
        <v>1503</v>
      </c>
      <c r="L1505" s="1" t="str">
        <f>LOOKUP(A1505,Sheet2!$D$4:$E$9)</f>
        <v>3-4</v>
      </c>
      <c r="M1505" t="str">
        <f>LOOKUP(B1505,Sheet2!$G$4:$H$9)</f>
        <v>100-125</v>
      </c>
      <c r="N1505" t="str">
        <f>LOOKUP(C1505,Sheet2!$J$4:$K$8)</f>
        <v>60-69</v>
      </c>
      <c r="O1505" t="str">
        <f>LOOKUP(D1505,Sheet2!$M$4:$N$8)</f>
        <v>10-30</v>
      </c>
      <c r="P1505" t="str">
        <f>LOOKUP(E1505,Sheet2!$P$4:$Q$9)</f>
        <v>Unknown</v>
      </c>
      <c r="Q1505" t="str">
        <f>LOOKUP(F1505,Sheet2!$S$4:$T$8)</f>
        <v>26-30</v>
      </c>
      <c r="R1505" t="str">
        <f>LOOKUP(G1505,Sheet2!$V$4:$W$7)</f>
        <v>0.25 - 0.39</v>
      </c>
      <c r="S1505" t="str">
        <f>LOOKUP(H1505,Sheet2!$Z$4:$AA$7)</f>
        <v>26-35</v>
      </c>
      <c r="T1505" t="str">
        <f t="shared" si="69"/>
        <v>Positive</v>
      </c>
      <c r="U1505" t="str">
        <f t="shared" si="70"/>
        <v>Not Sampled</v>
      </c>
      <c r="V1505" s="1" t="str">
        <f t="shared" si="71"/>
        <v>Not Sampled</v>
      </c>
    </row>
    <row r="1506" spans="1:22" x14ac:dyDescent="0.25">
      <c r="A1506" s="1">
        <v>0</v>
      </c>
      <c r="B1506" s="1">
        <v>180</v>
      </c>
      <c r="C1506" s="1">
        <v>78</v>
      </c>
      <c r="D1506" s="1">
        <v>63</v>
      </c>
      <c r="E1506" s="1">
        <v>14</v>
      </c>
      <c r="F1506" s="1">
        <v>59.4</v>
      </c>
      <c r="G1506" s="1">
        <v>2.42</v>
      </c>
      <c r="H1506" s="1">
        <v>25</v>
      </c>
      <c r="I1506" s="1">
        <v>1</v>
      </c>
      <c r="J1506" s="1" t="str">
        <f>IFERROR(VLOOKUP(K1506,[1]diabetes_Recognition!$A:$B,2,FALSE),"Not Sampled")</f>
        <v>Not Sampled</v>
      </c>
      <c r="K1506" s="1">
        <v>1504</v>
      </c>
      <c r="L1506" s="1">
        <f>LOOKUP(A1506,Sheet2!$D$4:$E$9)</f>
        <v>0</v>
      </c>
      <c r="M1506" t="str">
        <f>LOOKUP(B1506,Sheet2!$G$4:$H$9)</f>
        <v>176-200</v>
      </c>
      <c r="N1506" t="str">
        <f>LOOKUP(C1506,Sheet2!$J$4:$K$8)</f>
        <v>70-79</v>
      </c>
      <c r="O1506" t="str">
        <f>LOOKUP(D1506,Sheet2!$M$4:$N$8)</f>
        <v>40+</v>
      </c>
      <c r="P1506" t="str">
        <f>LOOKUP(E1506,Sheet2!$P$4:$Q$9)</f>
        <v>1-99</v>
      </c>
      <c r="Q1506" t="str">
        <f>LOOKUP(F1506,Sheet2!$S$4:$T$8)</f>
        <v>36+</v>
      </c>
      <c r="R1506" t="str">
        <f>LOOKUP(G1506,Sheet2!$V$4:$W$7)</f>
        <v>0.7+</v>
      </c>
      <c r="S1506" t="str">
        <f>LOOKUP(H1506,Sheet2!$Z$4:$AA$7)</f>
        <v>&lt;=25</v>
      </c>
      <c r="T1506" t="str">
        <f t="shared" si="69"/>
        <v>Positive</v>
      </c>
      <c r="U1506" t="str">
        <f t="shared" si="70"/>
        <v>Not Sampled</v>
      </c>
      <c r="V1506" s="1" t="str">
        <f t="shared" si="71"/>
        <v>Not Sampled</v>
      </c>
    </row>
    <row r="1507" spans="1:22" x14ac:dyDescent="0.25">
      <c r="A1507" s="1">
        <v>1</v>
      </c>
      <c r="B1507" s="1">
        <v>100</v>
      </c>
      <c r="C1507" s="1">
        <v>72</v>
      </c>
      <c r="D1507" s="1">
        <v>12</v>
      </c>
      <c r="E1507" s="1">
        <v>70</v>
      </c>
      <c r="F1507" s="1">
        <v>25.3</v>
      </c>
      <c r="G1507" s="1">
        <v>0.65800000000000003</v>
      </c>
      <c r="H1507" s="1">
        <v>28</v>
      </c>
      <c r="I1507" s="1">
        <v>0</v>
      </c>
      <c r="J1507" s="1" t="str">
        <f>IFERROR(VLOOKUP(K1507,[1]diabetes_Recognition!$A:$B,2,FALSE),"Not Sampled")</f>
        <v>Not Sampled</v>
      </c>
      <c r="K1507" s="1">
        <v>1505</v>
      </c>
      <c r="L1507" s="1">
        <f>LOOKUP(A1507,Sheet2!$D$4:$E$9)</f>
        <v>1</v>
      </c>
      <c r="M1507" t="str">
        <f>LOOKUP(B1507,Sheet2!$G$4:$H$9)</f>
        <v>100-125</v>
      </c>
      <c r="N1507" t="str">
        <f>LOOKUP(C1507,Sheet2!$J$4:$K$8)</f>
        <v>70-79</v>
      </c>
      <c r="O1507" t="str">
        <f>LOOKUP(D1507,Sheet2!$M$4:$N$8)</f>
        <v>10-30</v>
      </c>
      <c r="P1507" t="str">
        <f>LOOKUP(E1507,Sheet2!$P$4:$Q$9)</f>
        <v>1-99</v>
      </c>
      <c r="Q1507" t="str">
        <f>LOOKUP(F1507,Sheet2!$S$4:$T$8)</f>
        <v>1-25</v>
      </c>
      <c r="R1507" t="str">
        <f>LOOKUP(G1507,Sheet2!$V$4:$W$7)</f>
        <v>0.4 - 0.69</v>
      </c>
      <c r="S1507" t="str">
        <f>LOOKUP(H1507,Sheet2!$Z$4:$AA$7)</f>
        <v>26-35</v>
      </c>
      <c r="T1507" t="str">
        <f t="shared" si="69"/>
        <v>Negative</v>
      </c>
      <c r="U1507" t="str">
        <f t="shared" si="70"/>
        <v>Not Sampled</v>
      </c>
      <c r="V1507" s="1" t="str">
        <f t="shared" si="71"/>
        <v>Not Sampled</v>
      </c>
    </row>
    <row r="1508" spans="1:22" x14ac:dyDescent="0.25">
      <c r="A1508" s="1">
        <v>0</v>
      </c>
      <c r="B1508" s="1">
        <v>95</v>
      </c>
      <c r="C1508" s="1">
        <v>80</v>
      </c>
      <c r="D1508" s="1">
        <v>45</v>
      </c>
      <c r="E1508" s="1">
        <v>92</v>
      </c>
      <c r="F1508" s="1">
        <v>36.5</v>
      </c>
      <c r="G1508" s="1">
        <v>0.33</v>
      </c>
      <c r="H1508" s="1">
        <v>26</v>
      </c>
      <c r="I1508" s="1">
        <v>0</v>
      </c>
      <c r="J1508" s="1" t="str">
        <f>IFERROR(VLOOKUP(K1508,[1]diabetes_Recognition!$A:$B,2,FALSE),"Not Sampled")</f>
        <v>Not Sampled</v>
      </c>
      <c r="K1508" s="1">
        <v>1506</v>
      </c>
      <c r="L1508" s="1">
        <f>LOOKUP(A1508,Sheet2!$D$4:$E$9)</f>
        <v>0</v>
      </c>
      <c r="M1508" t="str">
        <f>LOOKUP(B1508,Sheet2!$G$4:$H$9)</f>
        <v>1-99</v>
      </c>
      <c r="N1508" t="str">
        <f>LOOKUP(C1508,Sheet2!$J$4:$K$8)</f>
        <v>80+</v>
      </c>
      <c r="O1508" t="str">
        <f>LOOKUP(D1508,Sheet2!$M$4:$N$8)</f>
        <v>40+</v>
      </c>
      <c r="P1508" t="str">
        <f>LOOKUP(E1508,Sheet2!$P$4:$Q$9)</f>
        <v>1-99</v>
      </c>
      <c r="Q1508" t="str">
        <f>LOOKUP(F1508,Sheet2!$S$4:$T$8)</f>
        <v>36+</v>
      </c>
      <c r="R1508" t="str">
        <f>LOOKUP(G1508,Sheet2!$V$4:$W$7)</f>
        <v>0.25 - 0.39</v>
      </c>
      <c r="S1508" t="str">
        <f>LOOKUP(H1508,Sheet2!$Z$4:$AA$7)</f>
        <v>26-35</v>
      </c>
      <c r="T1508" t="str">
        <f t="shared" si="69"/>
        <v>Negative</v>
      </c>
      <c r="U1508" t="str">
        <f t="shared" si="70"/>
        <v>Not Sampled</v>
      </c>
      <c r="V1508" s="1" t="str">
        <f t="shared" si="71"/>
        <v>Not Sampled</v>
      </c>
    </row>
    <row r="1509" spans="1:22" x14ac:dyDescent="0.25">
      <c r="A1509" s="1">
        <v>0</v>
      </c>
      <c r="B1509" s="1">
        <v>104</v>
      </c>
      <c r="C1509" s="1">
        <v>64</v>
      </c>
      <c r="D1509" s="1">
        <v>37</v>
      </c>
      <c r="E1509" s="1">
        <v>64</v>
      </c>
      <c r="F1509" s="1">
        <v>33.6</v>
      </c>
      <c r="G1509" s="1">
        <v>0.51</v>
      </c>
      <c r="H1509" s="1">
        <v>22</v>
      </c>
      <c r="I1509" s="1">
        <v>1</v>
      </c>
      <c r="J1509" s="1" t="str">
        <f>IFERROR(VLOOKUP(K1509,[1]diabetes_Recognition!$A:$B,2,FALSE),"Not Sampled")</f>
        <v>Not Sampled</v>
      </c>
      <c r="K1509" s="1">
        <v>1507</v>
      </c>
      <c r="L1509" s="1">
        <f>LOOKUP(A1509,Sheet2!$D$4:$E$9)</f>
        <v>0</v>
      </c>
      <c r="M1509" t="str">
        <f>LOOKUP(B1509,Sheet2!$G$4:$H$9)</f>
        <v>100-125</v>
      </c>
      <c r="N1509" t="str">
        <f>LOOKUP(C1509,Sheet2!$J$4:$K$8)</f>
        <v>60-69</v>
      </c>
      <c r="O1509" t="str">
        <f>LOOKUP(D1509,Sheet2!$M$4:$N$8)</f>
        <v>30-39</v>
      </c>
      <c r="P1509" t="str">
        <f>LOOKUP(E1509,Sheet2!$P$4:$Q$9)</f>
        <v>1-99</v>
      </c>
      <c r="Q1509" t="str">
        <f>LOOKUP(F1509,Sheet2!$S$4:$T$8)</f>
        <v>31-35</v>
      </c>
      <c r="R1509" t="str">
        <f>LOOKUP(G1509,Sheet2!$V$4:$W$7)</f>
        <v>0.4 - 0.69</v>
      </c>
      <c r="S1509" t="str">
        <f>LOOKUP(H1509,Sheet2!$Z$4:$AA$7)</f>
        <v>&lt;=25</v>
      </c>
      <c r="T1509" t="str">
        <f t="shared" si="69"/>
        <v>Positive</v>
      </c>
      <c r="U1509" t="str">
        <f t="shared" si="70"/>
        <v>Not Sampled</v>
      </c>
      <c r="V1509" s="1" t="str">
        <f t="shared" si="71"/>
        <v>Not Sampled</v>
      </c>
    </row>
    <row r="1510" spans="1:22" x14ac:dyDescent="0.25">
      <c r="A1510" s="1">
        <v>0</v>
      </c>
      <c r="B1510" s="1">
        <v>120</v>
      </c>
      <c r="C1510" s="1">
        <v>74</v>
      </c>
      <c r="D1510" s="1">
        <v>18</v>
      </c>
      <c r="E1510" s="1">
        <v>63</v>
      </c>
      <c r="F1510" s="1">
        <v>30.5</v>
      </c>
      <c r="G1510" s="1">
        <v>0.28499999999999998</v>
      </c>
      <c r="H1510" s="1">
        <v>26</v>
      </c>
      <c r="I1510" s="1">
        <v>0</v>
      </c>
      <c r="J1510" s="1" t="str">
        <f>IFERROR(VLOOKUP(K1510,[1]diabetes_Recognition!$A:$B,2,FALSE),"Not Sampled")</f>
        <v>Not Sampled</v>
      </c>
      <c r="K1510" s="1">
        <v>1508</v>
      </c>
      <c r="L1510" s="1">
        <f>LOOKUP(A1510,Sheet2!$D$4:$E$9)</f>
        <v>0</v>
      </c>
      <c r="M1510" t="str">
        <f>LOOKUP(B1510,Sheet2!$G$4:$H$9)</f>
        <v>100-125</v>
      </c>
      <c r="N1510" t="str">
        <f>LOOKUP(C1510,Sheet2!$J$4:$K$8)</f>
        <v>70-79</v>
      </c>
      <c r="O1510" t="str">
        <f>LOOKUP(D1510,Sheet2!$M$4:$N$8)</f>
        <v>10-30</v>
      </c>
      <c r="P1510" t="str">
        <f>LOOKUP(E1510,Sheet2!$P$4:$Q$9)</f>
        <v>1-99</v>
      </c>
      <c r="Q1510" t="str">
        <f>LOOKUP(F1510,Sheet2!$S$4:$T$8)</f>
        <v>26-30</v>
      </c>
      <c r="R1510" t="str">
        <f>LOOKUP(G1510,Sheet2!$V$4:$W$7)</f>
        <v>0.25 - 0.39</v>
      </c>
      <c r="S1510" t="str">
        <f>LOOKUP(H1510,Sheet2!$Z$4:$AA$7)</f>
        <v>26-35</v>
      </c>
      <c r="T1510" t="str">
        <f t="shared" si="69"/>
        <v>Negative</v>
      </c>
      <c r="U1510" t="str">
        <f t="shared" si="70"/>
        <v>Not Sampled</v>
      </c>
      <c r="V1510" s="1" t="str">
        <f t="shared" si="71"/>
        <v>Not Sampled</v>
      </c>
    </row>
    <row r="1511" spans="1:22" x14ac:dyDescent="0.25">
      <c r="A1511" s="1">
        <v>1</v>
      </c>
      <c r="B1511" s="1">
        <v>82</v>
      </c>
      <c r="C1511" s="1">
        <v>64</v>
      </c>
      <c r="D1511" s="1">
        <v>13</v>
      </c>
      <c r="E1511" s="1">
        <v>95</v>
      </c>
      <c r="F1511" s="1">
        <v>21.2</v>
      </c>
      <c r="G1511" s="1">
        <v>0.41499999999999998</v>
      </c>
      <c r="H1511" s="1">
        <v>23</v>
      </c>
      <c r="I1511" s="1">
        <v>0</v>
      </c>
      <c r="J1511" s="1" t="str">
        <f>IFERROR(VLOOKUP(K1511,[1]diabetes_Recognition!$A:$B,2,FALSE),"Not Sampled")</f>
        <v>Not Sampled</v>
      </c>
      <c r="K1511" s="1">
        <v>1509</v>
      </c>
      <c r="L1511" s="1">
        <f>LOOKUP(A1511,Sheet2!$D$4:$E$9)</f>
        <v>1</v>
      </c>
      <c r="M1511" t="str">
        <f>LOOKUP(B1511,Sheet2!$G$4:$H$9)</f>
        <v>1-99</v>
      </c>
      <c r="N1511" t="str">
        <f>LOOKUP(C1511,Sheet2!$J$4:$K$8)</f>
        <v>60-69</v>
      </c>
      <c r="O1511" t="str">
        <f>LOOKUP(D1511,Sheet2!$M$4:$N$8)</f>
        <v>10-30</v>
      </c>
      <c r="P1511" t="str">
        <f>LOOKUP(E1511,Sheet2!$P$4:$Q$9)</f>
        <v>1-99</v>
      </c>
      <c r="Q1511" t="str">
        <f>LOOKUP(F1511,Sheet2!$S$4:$T$8)</f>
        <v>1-25</v>
      </c>
      <c r="R1511" t="str">
        <f>LOOKUP(G1511,Sheet2!$V$4:$W$7)</f>
        <v>0.4 - 0.69</v>
      </c>
      <c r="S1511" t="str">
        <f>LOOKUP(H1511,Sheet2!$Z$4:$AA$7)</f>
        <v>&lt;=25</v>
      </c>
      <c r="T1511" t="str">
        <f t="shared" si="69"/>
        <v>Negative</v>
      </c>
      <c r="U1511" t="str">
        <f t="shared" si="70"/>
        <v>Not Sampled</v>
      </c>
      <c r="V1511" s="1" t="str">
        <f t="shared" si="71"/>
        <v>Not Sampled</v>
      </c>
    </row>
    <row r="1512" spans="1:22" x14ac:dyDescent="0.25">
      <c r="A1512" s="1">
        <v>2</v>
      </c>
      <c r="B1512" s="1">
        <v>134</v>
      </c>
      <c r="C1512" s="1">
        <v>70</v>
      </c>
      <c r="D1512" s="1">
        <v>0</v>
      </c>
      <c r="E1512" s="1">
        <v>0</v>
      </c>
      <c r="F1512" s="1">
        <v>28.9</v>
      </c>
      <c r="G1512" s="1">
        <v>0.54200000000000004</v>
      </c>
      <c r="H1512" s="1">
        <v>23</v>
      </c>
      <c r="I1512" s="1">
        <v>1</v>
      </c>
      <c r="J1512" s="1" t="str">
        <f>IFERROR(VLOOKUP(K1512,[1]diabetes_Recognition!$A:$B,2,FALSE),"Not Sampled")</f>
        <v>Not Sampled</v>
      </c>
      <c r="K1512" s="1">
        <v>1510</v>
      </c>
      <c r="L1512" s="1">
        <f>LOOKUP(A1512,Sheet2!$D$4:$E$9)</f>
        <v>2</v>
      </c>
      <c r="M1512" t="str">
        <f>LOOKUP(B1512,Sheet2!$G$4:$H$9)</f>
        <v>126-150</v>
      </c>
      <c r="N1512" t="str">
        <f>LOOKUP(C1512,Sheet2!$J$4:$K$8)</f>
        <v>70-79</v>
      </c>
      <c r="O1512" t="str">
        <f>LOOKUP(D1512,Sheet2!$M$4:$N$8)</f>
        <v>Unknown</v>
      </c>
      <c r="P1512" t="str">
        <f>LOOKUP(E1512,Sheet2!$P$4:$Q$9)</f>
        <v>Unknown</v>
      </c>
      <c r="Q1512" t="str">
        <f>LOOKUP(F1512,Sheet2!$S$4:$T$8)</f>
        <v>26-30</v>
      </c>
      <c r="R1512" t="str">
        <f>LOOKUP(G1512,Sheet2!$V$4:$W$7)</f>
        <v>0.4 - 0.69</v>
      </c>
      <c r="S1512" t="str">
        <f>LOOKUP(H1512,Sheet2!$Z$4:$AA$7)</f>
        <v>&lt;=25</v>
      </c>
      <c r="T1512" t="str">
        <f t="shared" si="69"/>
        <v>Positive</v>
      </c>
      <c r="U1512" t="str">
        <f t="shared" si="70"/>
        <v>Not Sampled</v>
      </c>
      <c r="V1512" s="1" t="str">
        <f t="shared" si="71"/>
        <v>Not Sampled</v>
      </c>
    </row>
    <row r="1513" spans="1:22" x14ac:dyDescent="0.25">
      <c r="A1513" s="1">
        <v>0</v>
      </c>
      <c r="B1513" s="1">
        <v>91</v>
      </c>
      <c r="C1513" s="1">
        <v>68</v>
      </c>
      <c r="D1513" s="1">
        <v>32</v>
      </c>
      <c r="E1513" s="1">
        <v>210</v>
      </c>
      <c r="F1513" s="1">
        <v>39.9</v>
      </c>
      <c r="G1513" s="1">
        <v>0.38100000000000001</v>
      </c>
      <c r="H1513" s="1">
        <v>25</v>
      </c>
      <c r="I1513" s="1">
        <v>0</v>
      </c>
      <c r="J1513" s="1" t="str">
        <f>IFERROR(VLOOKUP(K1513,[1]diabetes_Recognition!$A:$B,2,FALSE),"Not Sampled")</f>
        <v>Not Sampled</v>
      </c>
      <c r="K1513" s="1">
        <v>1511</v>
      </c>
      <c r="L1513" s="1">
        <f>LOOKUP(A1513,Sheet2!$D$4:$E$9)</f>
        <v>0</v>
      </c>
      <c r="M1513" t="str">
        <f>LOOKUP(B1513,Sheet2!$G$4:$H$9)</f>
        <v>1-99</v>
      </c>
      <c r="N1513" t="str">
        <f>LOOKUP(C1513,Sheet2!$J$4:$K$8)</f>
        <v>60-69</v>
      </c>
      <c r="O1513" t="str">
        <f>LOOKUP(D1513,Sheet2!$M$4:$N$8)</f>
        <v>30-39</v>
      </c>
      <c r="P1513" t="str">
        <f>LOOKUP(E1513,Sheet2!$P$4:$Q$9)</f>
        <v>200-399</v>
      </c>
      <c r="Q1513" t="str">
        <f>LOOKUP(F1513,Sheet2!$S$4:$T$8)</f>
        <v>36+</v>
      </c>
      <c r="R1513" t="str">
        <f>LOOKUP(G1513,Sheet2!$V$4:$W$7)</f>
        <v>0.25 - 0.39</v>
      </c>
      <c r="S1513" t="str">
        <f>LOOKUP(H1513,Sheet2!$Z$4:$AA$7)</f>
        <v>&lt;=25</v>
      </c>
      <c r="T1513" t="str">
        <f t="shared" si="69"/>
        <v>Negative</v>
      </c>
      <c r="U1513" t="str">
        <f t="shared" si="70"/>
        <v>Not Sampled</v>
      </c>
      <c r="V1513" s="1" t="str">
        <f t="shared" si="71"/>
        <v>Not Sampled</v>
      </c>
    </row>
    <row r="1514" spans="1:22" x14ac:dyDescent="0.25">
      <c r="A1514" s="1">
        <v>2</v>
      </c>
      <c r="B1514" s="1">
        <v>119</v>
      </c>
      <c r="C1514" s="1">
        <v>0</v>
      </c>
      <c r="D1514" s="1">
        <v>0</v>
      </c>
      <c r="E1514" s="1">
        <v>0</v>
      </c>
      <c r="F1514" s="1">
        <v>19.600000000000001</v>
      </c>
      <c r="G1514" s="1">
        <v>0.83199999999999996</v>
      </c>
      <c r="H1514" s="1">
        <v>72</v>
      </c>
      <c r="I1514" s="1">
        <v>0</v>
      </c>
      <c r="J1514" s="1">
        <f>IFERROR(VLOOKUP(K1514,[1]diabetes_Recognition!$A:$B,2,FALSE),"Not Sampled")</f>
        <v>0</v>
      </c>
      <c r="K1514" s="1">
        <v>1512</v>
      </c>
      <c r="L1514" s="1">
        <f>LOOKUP(A1514,Sheet2!$D$4:$E$9)</f>
        <v>2</v>
      </c>
      <c r="M1514" t="str">
        <f>LOOKUP(B1514,Sheet2!$G$4:$H$9)</f>
        <v>100-125</v>
      </c>
      <c r="N1514" t="str">
        <f>LOOKUP(C1514,Sheet2!$J$4:$K$8)</f>
        <v>Unknown</v>
      </c>
      <c r="O1514" t="str">
        <f>LOOKUP(D1514,Sheet2!$M$4:$N$8)</f>
        <v>Unknown</v>
      </c>
      <c r="P1514" t="str">
        <f>LOOKUP(E1514,Sheet2!$P$4:$Q$9)</f>
        <v>Unknown</v>
      </c>
      <c r="Q1514" t="str">
        <f>LOOKUP(F1514,Sheet2!$S$4:$T$8)</f>
        <v>1-25</v>
      </c>
      <c r="R1514" t="str">
        <f>LOOKUP(G1514,Sheet2!$V$4:$W$7)</f>
        <v>0.7+</v>
      </c>
      <c r="S1514" t="str">
        <f>LOOKUP(H1514,Sheet2!$Z$4:$AA$7)</f>
        <v>46+</v>
      </c>
      <c r="T1514" t="str">
        <f t="shared" si="69"/>
        <v>Negative</v>
      </c>
      <c r="U1514" t="str">
        <f t="shared" si="70"/>
        <v>Negative</v>
      </c>
      <c r="V1514" s="1" t="str">
        <f t="shared" si="71"/>
        <v>Accurate Prediction</v>
      </c>
    </row>
    <row r="1515" spans="1:22" x14ac:dyDescent="0.25">
      <c r="A1515" s="1">
        <v>2</v>
      </c>
      <c r="B1515" s="1">
        <v>100</v>
      </c>
      <c r="C1515" s="1">
        <v>54</v>
      </c>
      <c r="D1515" s="1">
        <v>28</v>
      </c>
      <c r="E1515" s="1">
        <v>105</v>
      </c>
      <c r="F1515" s="1">
        <v>37.799999999999997</v>
      </c>
      <c r="G1515" s="1">
        <v>0.498</v>
      </c>
      <c r="H1515" s="1">
        <v>24</v>
      </c>
      <c r="I1515" s="1">
        <v>0</v>
      </c>
      <c r="J1515" s="1">
        <f>IFERROR(VLOOKUP(K1515,[1]diabetes_Recognition!$A:$B,2,FALSE),"Not Sampled")</f>
        <v>0</v>
      </c>
      <c r="K1515" s="1">
        <v>1513</v>
      </c>
      <c r="L1515" s="1">
        <f>LOOKUP(A1515,Sheet2!$D$4:$E$9)</f>
        <v>2</v>
      </c>
      <c r="M1515" t="str">
        <f>LOOKUP(B1515,Sheet2!$G$4:$H$9)</f>
        <v>100-125</v>
      </c>
      <c r="N1515" t="str">
        <f>LOOKUP(C1515,Sheet2!$J$4:$K$8)</f>
        <v>1-59</v>
      </c>
      <c r="O1515" t="str">
        <f>LOOKUP(D1515,Sheet2!$M$4:$N$8)</f>
        <v>10-30</v>
      </c>
      <c r="P1515" t="str">
        <f>LOOKUP(E1515,Sheet2!$P$4:$Q$9)</f>
        <v>100-199</v>
      </c>
      <c r="Q1515" t="str">
        <f>LOOKUP(F1515,Sheet2!$S$4:$T$8)</f>
        <v>36+</v>
      </c>
      <c r="R1515" t="str">
        <f>LOOKUP(G1515,Sheet2!$V$4:$W$7)</f>
        <v>0.4 - 0.69</v>
      </c>
      <c r="S1515" t="str">
        <f>LOOKUP(H1515,Sheet2!$Z$4:$AA$7)</f>
        <v>&lt;=25</v>
      </c>
      <c r="T1515" t="str">
        <f t="shared" si="69"/>
        <v>Negative</v>
      </c>
      <c r="U1515" t="str">
        <f t="shared" si="70"/>
        <v>Negative</v>
      </c>
      <c r="V1515" s="1" t="str">
        <f t="shared" si="71"/>
        <v>Accurate Prediction</v>
      </c>
    </row>
    <row r="1516" spans="1:22" x14ac:dyDescent="0.25">
      <c r="A1516" s="1">
        <v>14</v>
      </c>
      <c r="B1516" s="1">
        <v>175</v>
      </c>
      <c r="C1516" s="1">
        <v>62</v>
      </c>
      <c r="D1516" s="1">
        <v>30</v>
      </c>
      <c r="E1516" s="1">
        <v>0</v>
      </c>
      <c r="F1516" s="1">
        <v>33.6</v>
      </c>
      <c r="G1516" s="1">
        <v>0.21199999999999999</v>
      </c>
      <c r="H1516" s="1">
        <v>38</v>
      </c>
      <c r="I1516" s="1">
        <v>1</v>
      </c>
      <c r="J1516" s="1" t="str">
        <f>IFERROR(VLOOKUP(K1516,[1]diabetes_Recognition!$A:$B,2,FALSE),"Not Sampled")</f>
        <v>Not Sampled</v>
      </c>
      <c r="K1516" s="1">
        <v>1514</v>
      </c>
      <c r="L1516" s="1" t="str">
        <f>LOOKUP(A1516,Sheet2!$D$4:$E$9)</f>
        <v>8+</v>
      </c>
      <c r="M1516" t="str">
        <f>LOOKUP(B1516,Sheet2!$G$4:$H$9)</f>
        <v>151-175</v>
      </c>
      <c r="N1516" t="str">
        <f>LOOKUP(C1516,Sheet2!$J$4:$K$8)</f>
        <v>60-69</v>
      </c>
      <c r="O1516" t="str">
        <f>LOOKUP(D1516,Sheet2!$M$4:$N$8)</f>
        <v>30-39</v>
      </c>
      <c r="P1516" t="str">
        <f>LOOKUP(E1516,Sheet2!$P$4:$Q$9)</f>
        <v>Unknown</v>
      </c>
      <c r="Q1516" t="str">
        <f>LOOKUP(F1516,Sheet2!$S$4:$T$8)</f>
        <v>31-35</v>
      </c>
      <c r="R1516" t="str">
        <f>LOOKUP(G1516,Sheet2!$V$4:$W$7)</f>
        <v>0.0 - 0.249</v>
      </c>
      <c r="S1516" t="str">
        <f>LOOKUP(H1516,Sheet2!$Z$4:$AA$7)</f>
        <v>36-45</v>
      </c>
      <c r="T1516" t="str">
        <f t="shared" si="69"/>
        <v>Positive</v>
      </c>
      <c r="U1516" t="str">
        <f t="shared" si="70"/>
        <v>Not Sampled</v>
      </c>
      <c r="V1516" s="1" t="str">
        <f t="shared" si="71"/>
        <v>Not Sampled</v>
      </c>
    </row>
    <row r="1517" spans="1:22" x14ac:dyDescent="0.25">
      <c r="A1517" s="1">
        <v>1</v>
      </c>
      <c r="B1517" s="1">
        <v>135</v>
      </c>
      <c r="C1517" s="1">
        <v>54</v>
      </c>
      <c r="D1517" s="1">
        <v>0</v>
      </c>
      <c r="E1517" s="1">
        <v>0</v>
      </c>
      <c r="F1517" s="1">
        <v>26.7</v>
      </c>
      <c r="G1517" s="1">
        <v>0.68700000000000006</v>
      </c>
      <c r="H1517" s="1">
        <v>62</v>
      </c>
      <c r="I1517" s="1">
        <v>0</v>
      </c>
      <c r="J1517" s="1" t="str">
        <f>IFERROR(VLOOKUP(K1517,[1]diabetes_Recognition!$A:$B,2,FALSE),"Not Sampled")</f>
        <v>Not Sampled</v>
      </c>
      <c r="K1517" s="1">
        <v>1515</v>
      </c>
      <c r="L1517" s="1">
        <f>LOOKUP(A1517,Sheet2!$D$4:$E$9)</f>
        <v>1</v>
      </c>
      <c r="M1517" t="str">
        <f>LOOKUP(B1517,Sheet2!$G$4:$H$9)</f>
        <v>126-150</v>
      </c>
      <c r="N1517" t="str">
        <f>LOOKUP(C1517,Sheet2!$J$4:$K$8)</f>
        <v>1-59</v>
      </c>
      <c r="O1517" t="str">
        <f>LOOKUP(D1517,Sheet2!$M$4:$N$8)</f>
        <v>Unknown</v>
      </c>
      <c r="P1517" t="str">
        <f>LOOKUP(E1517,Sheet2!$P$4:$Q$9)</f>
        <v>Unknown</v>
      </c>
      <c r="Q1517" t="str">
        <f>LOOKUP(F1517,Sheet2!$S$4:$T$8)</f>
        <v>26-30</v>
      </c>
      <c r="R1517" t="str">
        <f>LOOKUP(G1517,Sheet2!$V$4:$W$7)</f>
        <v>0.4 - 0.69</v>
      </c>
      <c r="S1517" t="str">
        <f>LOOKUP(H1517,Sheet2!$Z$4:$AA$7)</f>
        <v>46+</v>
      </c>
      <c r="T1517" t="str">
        <f t="shared" si="69"/>
        <v>Negative</v>
      </c>
      <c r="U1517" t="str">
        <f t="shared" si="70"/>
        <v>Not Sampled</v>
      </c>
      <c r="V1517" s="1" t="str">
        <f t="shared" si="71"/>
        <v>Not Sampled</v>
      </c>
    </row>
    <row r="1518" spans="1:22" x14ac:dyDescent="0.25">
      <c r="A1518" s="1">
        <v>5</v>
      </c>
      <c r="B1518" s="1">
        <v>86</v>
      </c>
      <c r="C1518" s="1">
        <v>68</v>
      </c>
      <c r="D1518" s="1">
        <v>28</v>
      </c>
      <c r="E1518" s="1">
        <v>71</v>
      </c>
      <c r="F1518" s="1">
        <v>30.2</v>
      </c>
      <c r="G1518" s="1">
        <v>0.36399999999999999</v>
      </c>
      <c r="H1518" s="1">
        <v>24</v>
      </c>
      <c r="I1518" s="1">
        <v>0</v>
      </c>
      <c r="J1518" s="1" t="str">
        <f>IFERROR(VLOOKUP(K1518,[1]diabetes_Recognition!$A:$B,2,FALSE),"Not Sampled")</f>
        <v>Not Sampled</v>
      </c>
      <c r="K1518" s="1">
        <v>1516</v>
      </c>
      <c r="L1518" s="1" t="str">
        <f>LOOKUP(A1518,Sheet2!$D$4:$E$9)</f>
        <v>5-7</v>
      </c>
      <c r="M1518" t="str">
        <f>LOOKUP(B1518,Sheet2!$G$4:$H$9)</f>
        <v>1-99</v>
      </c>
      <c r="N1518" t="str">
        <f>LOOKUP(C1518,Sheet2!$J$4:$K$8)</f>
        <v>60-69</v>
      </c>
      <c r="O1518" t="str">
        <f>LOOKUP(D1518,Sheet2!$M$4:$N$8)</f>
        <v>10-30</v>
      </c>
      <c r="P1518" t="str">
        <f>LOOKUP(E1518,Sheet2!$P$4:$Q$9)</f>
        <v>1-99</v>
      </c>
      <c r="Q1518" t="str">
        <f>LOOKUP(F1518,Sheet2!$S$4:$T$8)</f>
        <v>26-30</v>
      </c>
      <c r="R1518" t="str">
        <f>LOOKUP(G1518,Sheet2!$V$4:$W$7)</f>
        <v>0.25 - 0.39</v>
      </c>
      <c r="S1518" t="str">
        <f>LOOKUP(H1518,Sheet2!$Z$4:$AA$7)</f>
        <v>&lt;=25</v>
      </c>
      <c r="T1518" t="str">
        <f t="shared" si="69"/>
        <v>Negative</v>
      </c>
      <c r="U1518" t="str">
        <f t="shared" si="70"/>
        <v>Not Sampled</v>
      </c>
      <c r="V1518" s="1" t="str">
        <f t="shared" si="71"/>
        <v>Not Sampled</v>
      </c>
    </row>
    <row r="1519" spans="1:22" x14ac:dyDescent="0.25">
      <c r="A1519" s="1">
        <v>10</v>
      </c>
      <c r="B1519" s="1">
        <v>148</v>
      </c>
      <c r="C1519" s="1">
        <v>84</v>
      </c>
      <c r="D1519" s="1">
        <v>48</v>
      </c>
      <c r="E1519" s="1">
        <v>237</v>
      </c>
      <c r="F1519" s="1">
        <v>37.6</v>
      </c>
      <c r="G1519" s="1">
        <v>1.0009999999999999</v>
      </c>
      <c r="H1519" s="1">
        <v>51</v>
      </c>
      <c r="I1519" s="1">
        <v>1</v>
      </c>
      <c r="J1519" s="1" t="str">
        <f>IFERROR(VLOOKUP(K1519,[1]diabetes_Recognition!$A:$B,2,FALSE),"Not Sampled")</f>
        <v>Not Sampled</v>
      </c>
      <c r="K1519" s="1">
        <v>1517</v>
      </c>
      <c r="L1519" s="1" t="str">
        <f>LOOKUP(A1519,Sheet2!$D$4:$E$9)</f>
        <v>8+</v>
      </c>
      <c r="M1519" t="str">
        <f>LOOKUP(B1519,Sheet2!$G$4:$H$9)</f>
        <v>126-150</v>
      </c>
      <c r="N1519" t="str">
        <f>LOOKUP(C1519,Sheet2!$J$4:$K$8)</f>
        <v>80+</v>
      </c>
      <c r="O1519" t="str">
        <f>LOOKUP(D1519,Sheet2!$M$4:$N$8)</f>
        <v>40+</v>
      </c>
      <c r="P1519" t="str">
        <f>LOOKUP(E1519,Sheet2!$P$4:$Q$9)</f>
        <v>200-399</v>
      </c>
      <c r="Q1519" t="str">
        <f>LOOKUP(F1519,Sheet2!$S$4:$T$8)</f>
        <v>36+</v>
      </c>
      <c r="R1519" t="str">
        <f>LOOKUP(G1519,Sheet2!$V$4:$W$7)</f>
        <v>0.7+</v>
      </c>
      <c r="S1519" t="str">
        <f>LOOKUP(H1519,Sheet2!$Z$4:$AA$7)</f>
        <v>46+</v>
      </c>
      <c r="T1519" t="str">
        <f t="shared" si="69"/>
        <v>Positive</v>
      </c>
      <c r="U1519" t="str">
        <f t="shared" si="70"/>
        <v>Not Sampled</v>
      </c>
      <c r="V1519" s="1" t="str">
        <f t="shared" si="71"/>
        <v>Not Sampled</v>
      </c>
    </row>
    <row r="1520" spans="1:22" x14ac:dyDescent="0.25">
      <c r="A1520" s="1">
        <v>9</v>
      </c>
      <c r="B1520" s="1">
        <v>134</v>
      </c>
      <c r="C1520" s="1">
        <v>74</v>
      </c>
      <c r="D1520" s="1">
        <v>33</v>
      </c>
      <c r="E1520" s="1">
        <v>60</v>
      </c>
      <c r="F1520" s="1">
        <v>25.9</v>
      </c>
      <c r="G1520" s="1">
        <v>0.46</v>
      </c>
      <c r="H1520" s="1">
        <v>81</v>
      </c>
      <c r="I1520" s="1">
        <v>0</v>
      </c>
      <c r="J1520" s="1">
        <f>IFERROR(VLOOKUP(K1520,[1]diabetes_Recognition!$A:$B,2,FALSE),"Not Sampled")</f>
        <v>1</v>
      </c>
      <c r="K1520" s="1">
        <v>1518</v>
      </c>
      <c r="L1520" s="1" t="str">
        <f>LOOKUP(A1520,Sheet2!$D$4:$E$9)</f>
        <v>8+</v>
      </c>
      <c r="M1520" t="str">
        <f>LOOKUP(B1520,Sheet2!$G$4:$H$9)</f>
        <v>126-150</v>
      </c>
      <c r="N1520" t="str">
        <f>LOOKUP(C1520,Sheet2!$J$4:$K$8)</f>
        <v>70-79</v>
      </c>
      <c r="O1520" t="str">
        <f>LOOKUP(D1520,Sheet2!$M$4:$N$8)</f>
        <v>30-39</v>
      </c>
      <c r="P1520" t="str">
        <f>LOOKUP(E1520,Sheet2!$P$4:$Q$9)</f>
        <v>1-99</v>
      </c>
      <c r="Q1520" t="str">
        <f>LOOKUP(F1520,Sheet2!$S$4:$T$8)</f>
        <v>1-25</v>
      </c>
      <c r="R1520" t="str">
        <f>LOOKUP(G1520,Sheet2!$V$4:$W$7)</f>
        <v>0.4 - 0.69</v>
      </c>
      <c r="S1520" t="str">
        <f>LOOKUP(H1520,Sheet2!$Z$4:$AA$7)</f>
        <v>46+</v>
      </c>
      <c r="T1520" t="str">
        <f t="shared" si="69"/>
        <v>Negative</v>
      </c>
      <c r="U1520" t="str">
        <f t="shared" si="70"/>
        <v>Positive</v>
      </c>
      <c r="V1520" s="1" t="str">
        <f t="shared" si="71"/>
        <v>Inaccurate Prediction</v>
      </c>
    </row>
    <row r="1521" spans="1:22" x14ac:dyDescent="0.25">
      <c r="A1521" s="1">
        <v>9</v>
      </c>
      <c r="B1521" s="1">
        <v>120</v>
      </c>
      <c r="C1521" s="1">
        <v>72</v>
      </c>
      <c r="D1521" s="1">
        <v>22</v>
      </c>
      <c r="E1521" s="1">
        <v>56</v>
      </c>
      <c r="F1521" s="1">
        <v>20.8</v>
      </c>
      <c r="G1521" s="1">
        <v>0.73299999999999998</v>
      </c>
      <c r="H1521" s="1">
        <v>48</v>
      </c>
      <c r="I1521" s="1">
        <v>0</v>
      </c>
      <c r="J1521" s="1" t="str">
        <f>IFERROR(VLOOKUP(K1521,[1]diabetes_Recognition!$A:$B,2,FALSE),"Not Sampled")</f>
        <v>Not Sampled</v>
      </c>
      <c r="K1521" s="1">
        <v>1519</v>
      </c>
      <c r="L1521" s="1" t="str">
        <f>LOOKUP(A1521,Sheet2!$D$4:$E$9)</f>
        <v>8+</v>
      </c>
      <c r="M1521" t="str">
        <f>LOOKUP(B1521,Sheet2!$G$4:$H$9)</f>
        <v>100-125</v>
      </c>
      <c r="N1521" t="str">
        <f>LOOKUP(C1521,Sheet2!$J$4:$K$8)</f>
        <v>70-79</v>
      </c>
      <c r="O1521" t="str">
        <f>LOOKUP(D1521,Sheet2!$M$4:$N$8)</f>
        <v>10-30</v>
      </c>
      <c r="P1521" t="str">
        <f>LOOKUP(E1521,Sheet2!$P$4:$Q$9)</f>
        <v>1-99</v>
      </c>
      <c r="Q1521" t="str">
        <f>LOOKUP(F1521,Sheet2!$S$4:$T$8)</f>
        <v>1-25</v>
      </c>
      <c r="R1521" t="str">
        <f>LOOKUP(G1521,Sheet2!$V$4:$W$7)</f>
        <v>0.7+</v>
      </c>
      <c r="S1521" t="str">
        <f>LOOKUP(H1521,Sheet2!$Z$4:$AA$7)</f>
        <v>46+</v>
      </c>
      <c r="T1521" t="str">
        <f t="shared" si="69"/>
        <v>Negative</v>
      </c>
      <c r="U1521" t="str">
        <f t="shared" si="70"/>
        <v>Not Sampled</v>
      </c>
      <c r="V1521" s="1" t="str">
        <f t="shared" si="71"/>
        <v>Not Sampled</v>
      </c>
    </row>
    <row r="1522" spans="1:22" x14ac:dyDescent="0.25">
      <c r="A1522" s="1">
        <v>1</v>
      </c>
      <c r="B1522" s="1">
        <v>71</v>
      </c>
      <c r="C1522" s="1">
        <v>62</v>
      </c>
      <c r="D1522" s="1">
        <v>0</v>
      </c>
      <c r="E1522" s="1">
        <v>0</v>
      </c>
      <c r="F1522" s="1">
        <v>21.8</v>
      </c>
      <c r="G1522" s="1">
        <v>0.41599999999999998</v>
      </c>
      <c r="H1522" s="1">
        <v>26</v>
      </c>
      <c r="I1522" s="1">
        <v>0</v>
      </c>
      <c r="J1522" s="1" t="str">
        <f>IFERROR(VLOOKUP(K1522,[1]diabetes_Recognition!$A:$B,2,FALSE),"Not Sampled")</f>
        <v>Not Sampled</v>
      </c>
      <c r="K1522" s="1">
        <v>1520</v>
      </c>
      <c r="L1522" s="1">
        <f>LOOKUP(A1522,Sheet2!$D$4:$E$9)</f>
        <v>1</v>
      </c>
      <c r="M1522" t="str">
        <f>LOOKUP(B1522,Sheet2!$G$4:$H$9)</f>
        <v>1-99</v>
      </c>
      <c r="N1522" t="str">
        <f>LOOKUP(C1522,Sheet2!$J$4:$K$8)</f>
        <v>60-69</v>
      </c>
      <c r="O1522" t="str">
        <f>LOOKUP(D1522,Sheet2!$M$4:$N$8)</f>
        <v>Unknown</v>
      </c>
      <c r="P1522" t="str">
        <f>LOOKUP(E1522,Sheet2!$P$4:$Q$9)</f>
        <v>Unknown</v>
      </c>
      <c r="Q1522" t="str">
        <f>LOOKUP(F1522,Sheet2!$S$4:$T$8)</f>
        <v>1-25</v>
      </c>
      <c r="R1522" t="str">
        <f>LOOKUP(G1522,Sheet2!$V$4:$W$7)</f>
        <v>0.4 - 0.69</v>
      </c>
      <c r="S1522" t="str">
        <f>LOOKUP(H1522,Sheet2!$Z$4:$AA$7)</f>
        <v>26-35</v>
      </c>
      <c r="T1522" t="str">
        <f t="shared" si="69"/>
        <v>Negative</v>
      </c>
      <c r="U1522" t="str">
        <f t="shared" si="70"/>
        <v>Not Sampled</v>
      </c>
      <c r="V1522" s="1" t="str">
        <f t="shared" si="71"/>
        <v>Not Sampled</v>
      </c>
    </row>
    <row r="1523" spans="1:22" x14ac:dyDescent="0.25">
      <c r="A1523" s="1">
        <v>8</v>
      </c>
      <c r="B1523" s="1">
        <v>74</v>
      </c>
      <c r="C1523" s="1">
        <v>70</v>
      </c>
      <c r="D1523" s="1">
        <v>40</v>
      </c>
      <c r="E1523" s="1">
        <v>49</v>
      </c>
      <c r="F1523" s="1">
        <v>35.299999999999997</v>
      </c>
      <c r="G1523" s="1">
        <v>0.70499999999999996</v>
      </c>
      <c r="H1523" s="1">
        <v>39</v>
      </c>
      <c r="I1523" s="1">
        <v>0</v>
      </c>
      <c r="J1523" s="1" t="str">
        <f>IFERROR(VLOOKUP(K1523,[1]diabetes_Recognition!$A:$B,2,FALSE),"Not Sampled")</f>
        <v>Not Sampled</v>
      </c>
      <c r="K1523" s="1">
        <v>1521</v>
      </c>
      <c r="L1523" s="1" t="str">
        <f>LOOKUP(A1523,Sheet2!$D$4:$E$9)</f>
        <v>8+</v>
      </c>
      <c r="M1523" t="str">
        <f>LOOKUP(B1523,Sheet2!$G$4:$H$9)</f>
        <v>1-99</v>
      </c>
      <c r="N1523" t="str">
        <f>LOOKUP(C1523,Sheet2!$J$4:$K$8)</f>
        <v>70-79</v>
      </c>
      <c r="O1523" t="str">
        <f>LOOKUP(D1523,Sheet2!$M$4:$N$8)</f>
        <v>40+</v>
      </c>
      <c r="P1523" t="str">
        <f>LOOKUP(E1523,Sheet2!$P$4:$Q$9)</f>
        <v>1-99</v>
      </c>
      <c r="Q1523" t="str">
        <f>LOOKUP(F1523,Sheet2!$S$4:$T$8)</f>
        <v>31-35</v>
      </c>
      <c r="R1523" t="str">
        <f>LOOKUP(G1523,Sheet2!$V$4:$W$7)</f>
        <v>0.7+</v>
      </c>
      <c r="S1523" t="str">
        <f>LOOKUP(H1523,Sheet2!$Z$4:$AA$7)</f>
        <v>36-45</v>
      </c>
      <c r="T1523" t="str">
        <f t="shared" si="69"/>
        <v>Negative</v>
      </c>
      <c r="U1523" t="str">
        <f t="shared" si="70"/>
        <v>Not Sampled</v>
      </c>
      <c r="V1523" s="1" t="str">
        <f t="shared" si="71"/>
        <v>Not Sampled</v>
      </c>
    </row>
    <row r="1524" spans="1:22" x14ac:dyDescent="0.25">
      <c r="A1524" s="1">
        <v>5</v>
      </c>
      <c r="B1524" s="1">
        <v>88</v>
      </c>
      <c r="C1524" s="1">
        <v>78</v>
      </c>
      <c r="D1524" s="1">
        <v>30</v>
      </c>
      <c r="E1524" s="1">
        <v>0</v>
      </c>
      <c r="F1524" s="1">
        <v>27.6</v>
      </c>
      <c r="G1524" s="1">
        <v>0.25800000000000001</v>
      </c>
      <c r="H1524" s="1">
        <v>37</v>
      </c>
      <c r="I1524" s="1">
        <v>0</v>
      </c>
      <c r="J1524" s="1">
        <f>IFERROR(VLOOKUP(K1524,[1]diabetes_Recognition!$A:$B,2,FALSE),"Not Sampled")</f>
        <v>0</v>
      </c>
      <c r="K1524" s="1">
        <v>1522</v>
      </c>
      <c r="L1524" s="1" t="str">
        <f>LOOKUP(A1524,Sheet2!$D$4:$E$9)</f>
        <v>5-7</v>
      </c>
      <c r="M1524" t="str">
        <f>LOOKUP(B1524,Sheet2!$G$4:$H$9)</f>
        <v>1-99</v>
      </c>
      <c r="N1524" t="str">
        <f>LOOKUP(C1524,Sheet2!$J$4:$K$8)</f>
        <v>70-79</v>
      </c>
      <c r="O1524" t="str">
        <f>LOOKUP(D1524,Sheet2!$M$4:$N$8)</f>
        <v>30-39</v>
      </c>
      <c r="P1524" t="str">
        <f>LOOKUP(E1524,Sheet2!$P$4:$Q$9)</f>
        <v>Unknown</v>
      </c>
      <c r="Q1524" t="str">
        <f>LOOKUP(F1524,Sheet2!$S$4:$T$8)</f>
        <v>26-30</v>
      </c>
      <c r="R1524" t="str">
        <f>LOOKUP(G1524,Sheet2!$V$4:$W$7)</f>
        <v>0.25 - 0.39</v>
      </c>
      <c r="S1524" t="str">
        <f>LOOKUP(H1524,Sheet2!$Z$4:$AA$7)</f>
        <v>36-45</v>
      </c>
      <c r="T1524" t="str">
        <f t="shared" si="69"/>
        <v>Negative</v>
      </c>
      <c r="U1524" t="str">
        <f t="shared" si="70"/>
        <v>Negative</v>
      </c>
      <c r="V1524" s="1" t="str">
        <f t="shared" si="71"/>
        <v>Accurate Prediction</v>
      </c>
    </row>
    <row r="1525" spans="1:22" x14ac:dyDescent="0.25">
      <c r="A1525" s="1">
        <v>10</v>
      </c>
      <c r="B1525" s="1">
        <v>115</v>
      </c>
      <c r="C1525" s="1">
        <v>98</v>
      </c>
      <c r="D1525" s="1">
        <v>0</v>
      </c>
      <c r="E1525" s="1">
        <v>0</v>
      </c>
      <c r="F1525" s="1">
        <v>24</v>
      </c>
      <c r="G1525" s="1">
        <v>1.022</v>
      </c>
      <c r="H1525" s="1">
        <v>34</v>
      </c>
      <c r="I1525" s="1">
        <v>0</v>
      </c>
      <c r="J1525" s="1" t="str">
        <f>IFERROR(VLOOKUP(K1525,[1]diabetes_Recognition!$A:$B,2,FALSE),"Not Sampled")</f>
        <v>Not Sampled</v>
      </c>
      <c r="K1525" s="1">
        <v>1523</v>
      </c>
      <c r="L1525" s="1" t="str">
        <f>LOOKUP(A1525,Sheet2!$D$4:$E$9)</f>
        <v>8+</v>
      </c>
      <c r="M1525" t="str">
        <f>LOOKUP(B1525,Sheet2!$G$4:$H$9)</f>
        <v>100-125</v>
      </c>
      <c r="N1525" t="str">
        <f>LOOKUP(C1525,Sheet2!$J$4:$K$8)</f>
        <v>80+</v>
      </c>
      <c r="O1525" t="str">
        <f>LOOKUP(D1525,Sheet2!$M$4:$N$8)</f>
        <v>Unknown</v>
      </c>
      <c r="P1525" t="str">
        <f>LOOKUP(E1525,Sheet2!$P$4:$Q$9)</f>
        <v>Unknown</v>
      </c>
      <c r="Q1525" t="str">
        <f>LOOKUP(F1525,Sheet2!$S$4:$T$8)</f>
        <v>1-25</v>
      </c>
      <c r="R1525" t="str">
        <f>LOOKUP(G1525,Sheet2!$V$4:$W$7)</f>
        <v>0.7+</v>
      </c>
      <c r="S1525" t="str">
        <f>LOOKUP(H1525,Sheet2!$Z$4:$AA$7)</f>
        <v>26-35</v>
      </c>
      <c r="T1525" t="str">
        <f t="shared" si="69"/>
        <v>Negative</v>
      </c>
      <c r="U1525" t="str">
        <f t="shared" si="70"/>
        <v>Not Sampled</v>
      </c>
      <c r="V1525" s="1" t="str">
        <f t="shared" si="71"/>
        <v>Not Sampled</v>
      </c>
    </row>
    <row r="1526" spans="1:22" x14ac:dyDescent="0.25">
      <c r="A1526" s="1">
        <v>0</v>
      </c>
      <c r="B1526" s="1">
        <v>124</v>
      </c>
      <c r="C1526" s="1">
        <v>56</v>
      </c>
      <c r="D1526" s="1">
        <v>13</v>
      </c>
      <c r="E1526" s="1">
        <v>105</v>
      </c>
      <c r="F1526" s="1">
        <v>21.8</v>
      </c>
      <c r="G1526" s="1">
        <v>0.45200000000000001</v>
      </c>
      <c r="H1526" s="1">
        <v>21</v>
      </c>
      <c r="I1526" s="1">
        <v>0</v>
      </c>
      <c r="J1526" s="1" t="str">
        <f>IFERROR(VLOOKUP(K1526,[1]diabetes_Recognition!$A:$B,2,FALSE),"Not Sampled")</f>
        <v>Not Sampled</v>
      </c>
      <c r="K1526" s="1">
        <v>1524</v>
      </c>
      <c r="L1526" s="1">
        <f>LOOKUP(A1526,Sheet2!$D$4:$E$9)</f>
        <v>0</v>
      </c>
      <c r="M1526" t="str">
        <f>LOOKUP(B1526,Sheet2!$G$4:$H$9)</f>
        <v>100-125</v>
      </c>
      <c r="N1526" t="str">
        <f>LOOKUP(C1526,Sheet2!$J$4:$K$8)</f>
        <v>1-59</v>
      </c>
      <c r="O1526" t="str">
        <f>LOOKUP(D1526,Sheet2!$M$4:$N$8)</f>
        <v>10-30</v>
      </c>
      <c r="P1526" t="str">
        <f>LOOKUP(E1526,Sheet2!$P$4:$Q$9)</f>
        <v>100-199</v>
      </c>
      <c r="Q1526" t="str">
        <f>LOOKUP(F1526,Sheet2!$S$4:$T$8)</f>
        <v>1-25</v>
      </c>
      <c r="R1526" t="str">
        <f>LOOKUP(G1526,Sheet2!$V$4:$W$7)</f>
        <v>0.4 - 0.69</v>
      </c>
      <c r="S1526" t="str">
        <f>LOOKUP(H1526,Sheet2!$Z$4:$AA$7)</f>
        <v>&lt;=25</v>
      </c>
      <c r="T1526" t="str">
        <f t="shared" si="69"/>
        <v>Negative</v>
      </c>
      <c r="U1526" t="str">
        <f t="shared" si="70"/>
        <v>Not Sampled</v>
      </c>
      <c r="V1526" s="1" t="str">
        <f t="shared" si="71"/>
        <v>Not Sampled</v>
      </c>
    </row>
    <row r="1527" spans="1:22" x14ac:dyDescent="0.25">
      <c r="A1527" s="1">
        <v>0</v>
      </c>
      <c r="B1527" s="1">
        <v>74</v>
      </c>
      <c r="C1527" s="1">
        <v>52</v>
      </c>
      <c r="D1527" s="1">
        <v>10</v>
      </c>
      <c r="E1527" s="1">
        <v>36</v>
      </c>
      <c r="F1527" s="1">
        <v>27.8</v>
      </c>
      <c r="G1527" s="1">
        <v>0.26900000000000002</v>
      </c>
      <c r="H1527" s="1">
        <v>22</v>
      </c>
      <c r="I1527" s="1">
        <v>0</v>
      </c>
      <c r="J1527" s="1" t="str">
        <f>IFERROR(VLOOKUP(K1527,[1]diabetes_Recognition!$A:$B,2,FALSE),"Not Sampled")</f>
        <v>Not Sampled</v>
      </c>
      <c r="K1527" s="1">
        <v>1525</v>
      </c>
      <c r="L1527" s="1">
        <f>LOOKUP(A1527,Sheet2!$D$4:$E$9)</f>
        <v>0</v>
      </c>
      <c r="M1527" t="str">
        <f>LOOKUP(B1527,Sheet2!$G$4:$H$9)</f>
        <v>1-99</v>
      </c>
      <c r="N1527" t="str">
        <f>LOOKUP(C1527,Sheet2!$J$4:$K$8)</f>
        <v>1-59</v>
      </c>
      <c r="O1527" t="str">
        <f>LOOKUP(D1527,Sheet2!$M$4:$N$8)</f>
        <v>10-30</v>
      </c>
      <c r="P1527" t="str">
        <f>LOOKUP(E1527,Sheet2!$P$4:$Q$9)</f>
        <v>1-99</v>
      </c>
      <c r="Q1527" t="str">
        <f>LOOKUP(F1527,Sheet2!$S$4:$T$8)</f>
        <v>26-30</v>
      </c>
      <c r="R1527" t="str">
        <f>LOOKUP(G1527,Sheet2!$V$4:$W$7)</f>
        <v>0.25 - 0.39</v>
      </c>
      <c r="S1527" t="str">
        <f>LOOKUP(H1527,Sheet2!$Z$4:$AA$7)</f>
        <v>&lt;=25</v>
      </c>
      <c r="T1527" t="str">
        <f t="shared" si="69"/>
        <v>Negative</v>
      </c>
      <c r="U1527" t="str">
        <f t="shared" si="70"/>
        <v>Not Sampled</v>
      </c>
      <c r="V1527" s="1" t="str">
        <f t="shared" si="71"/>
        <v>Not Sampled</v>
      </c>
    </row>
    <row r="1528" spans="1:22" x14ac:dyDescent="0.25">
      <c r="A1528" s="1">
        <v>0</v>
      </c>
      <c r="B1528" s="1">
        <v>97</v>
      </c>
      <c r="C1528" s="1">
        <v>64</v>
      </c>
      <c r="D1528" s="1">
        <v>36</v>
      </c>
      <c r="E1528" s="1">
        <v>100</v>
      </c>
      <c r="F1528" s="1">
        <v>36.799999999999997</v>
      </c>
      <c r="G1528" s="1">
        <v>0.6</v>
      </c>
      <c r="H1528" s="1">
        <v>25</v>
      </c>
      <c r="I1528" s="1">
        <v>0</v>
      </c>
      <c r="J1528" s="1" t="str">
        <f>IFERROR(VLOOKUP(K1528,[1]diabetes_Recognition!$A:$B,2,FALSE),"Not Sampled")</f>
        <v>Not Sampled</v>
      </c>
      <c r="K1528" s="1">
        <v>1526</v>
      </c>
      <c r="L1528" s="1">
        <f>LOOKUP(A1528,Sheet2!$D$4:$E$9)</f>
        <v>0</v>
      </c>
      <c r="M1528" t="str">
        <f>LOOKUP(B1528,Sheet2!$G$4:$H$9)</f>
        <v>1-99</v>
      </c>
      <c r="N1528" t="str">
        <f>LOOKUP(C1528,Sheet2!$J$4:$K$8)</f>
        <v>60-69</v>
      </c>
      <c r="O1528" t="str">
        <f>LOOKUP(D1528,Sheet2!$M$4:$N$8)</f>
        <v>30-39</v>
      </c>
      <c r="P1528" t="str">
        <f>LOOKUP(E1528,Sheet2!$P$4:$Q$9)</f>
        <v>100-199</v>
      </c>
      <c r="Q1528" t="str">
        <f>LOOKUP(F1528,Sheet2!$S$4:$T$8)</f>
        <v>36+</v>
      </c>
      <c r="R1528" t="str">
        <f>LOOKUP(G1528,Sheet2!$V$4:$W$7)</f>
        <v>0.4 - 0.69</v>
      </c>
      <c r="S1528" t="str">
        <f>LOOKUP(H1528,Sheet2!$Z$4:$AA$7)</f>
        <v>&lt;=25</v>
      </c>
      <c r="T1528" t="str">
        <f t="shared" si="69"/>
        <v>Negative</v>
      </c>
      <c r="U1528" t="str">
        <f t="shared" si="70"/>
        <v>Not Sampled</v>
      </c>
      <c r="V1528" s="1" t="str">
        <f t="shared" si="71"/>
        <v>Not Sampled</v>
      </c>
    </row>
    <row r="1529" spans="1:22" x14ac:dyDescent="0.25">
      <c r="A1529" s="1">
        <v>8</v>
      </c>
      <c r="B1529" s="1">
        <v>120</v>
      </c>
      <c r="C1529" s="1">
        <v>0</v>
      </c>
      <c r="D1529" s="1">
        <v>0</v>
      </c>
      <c r="E1529" s="1">
        <v>0</v>
      </c>
      <c r="F1529" s="1">
        <v>30</v>
      </c>
      <c r="G1529" s="1">
        <v>0.183</v>
      </c>
      <c r="H1529" s="1">
        <v>38</v>
      </c>
      <c r="I1529" s="1">
        <v>1</v>
      </c>
      <c r="J1529" s="1" t="str">
        <f>IFERROR(VLOOKUP(K1529,[1]diabetes_Recognition!$A:$B,2,FALSE),"Not Sampled")</f>
        <v>Not Sampled</v>
      </c>
      <c r="K1529" s="1">
        <v>1527</v>
      </c>
      <c r="L1529" s="1" t="str">
        <f>LOOKUP(A1529,Sheet2!$D$4:$E$9)</f>
        <v>8+</v>
      </c>
      <c r="M1529" t="str">
        <f>LOOKUP(B1529,Sheet2!$G$4:$H$9)</f>
        <v>100-125</v>
      </c>
      <c r="N1529" t="str">
        <f>LOOKUP(C1529,Sheet2!$J$4:$K$8)</f>
        <v>Unknown</v>
      </c>
      <c r="O1529" t="str">
        <f>LOOKUP(D1529,Sheet2!$M$4:$N$8)</f>
        <v>Unknown</v>
      </c>
      <c r="P1529" t="str">
        <f>LOOKUP(E1529,Sheet2!$P$4:$Q$9)</f>
        <v>Unknown</v>
      </c>
      <c r="Q1529" t="str">
        <f>LOOKUP(F1529,Sheet2!$S$4:$T$8)</f>
        <v>26-30</v>
      </c>
      <c r="R1529" t="str">
        <f>LOOKUP(G1529,Sheet2!$V$4:$W$7)</f>
        <v>0.0 - 0.249</v>
      </c>
      <c r="S1529" t="str">
        <f>LOOKUP(H1529,Sheet2!$Z$4:$AA$7)</f>
        <v>36-45</v>
      </c>
      <c r="T1529" t="str">
        <f t="shared" si="69"/>
        <v>Positive</v>
      </c>
      <c r="U1529" t="str">
        <f t="shared" si="70"/>
        <v>Not Sampled</v>
      </c>
      <c r="V1529" s="1" t="str">
        <f t="shared" si="71"/>
        <v>Not Sampled</v>
      </c>
    </row>
    <row r="1530" spans="1:22" x14ac:dyDescent="0.25">
      <c r="A1530" s="1">
        <v>6</v>
      </c>
      <c r="B1530" s="1">
        <v>154</v>
      </c>
      <c r="C1530" s="1">
        <v>78</v>
      </c>
      <c r="D1530" s="1">
        <v>41</v>
      </c>
      <c r="E1530" s="1">
        <v>140</v>
      </c>
      <c r="F1530" s="1">
        <v>46.1</v>
      </c>
      <c r="G1530" s="1">
        <v>0.57099999999999995</v>
      </c>
      <c r="H1530" s="1">
        <v>27</v>
      </c>
      <c r="I1530" s="1">
        <v>0</v>
      </c>
      <c r="J1530" s="1">
        <f>IFERROR(VLOOKUP(K1530,[1]diabetes_Recognition!$A:$B,2,FALSE),"Not Sampled")</f>
        <v>1</v>
      </c>
      <c r="K1530" s="1">
        <v>1528</v>
      </c>
      <c r="L1530" s="1" t="str">
        <f>LOOKUP(A1530,Sheet2!$D$4:$E$9)</f>
        <v>5-7</v>
      </c>
      <c r="M1530" t="str">
        <f>LOOKUP(B1530,Sheet2!$G$4:$H$9)</f>
        <v>151-175</v>
      </c>
      <c r="N1530" t="str">
        <f>LOOKUP(C1530,Sheet2!$J$4:$K$8)</f>
        <v>70-79</v>
      </c>
      <c r="O1530" t="str">
        <f>LOOKUP(D1530,Sheet2!$M$4:$N$8)</f>
        <v>40+</v>
      </c>
      <c r="P1530" t="str">
        <f>LOOKUP(E1530,Sheet2!$P$4:$Q$9)</f>
        <v>100-199</v>
      </c>
      <c r="Q1530" t="str">
        <f>LOOKUP(F1530,Sheet2!$S$4:$T$8)</f>
        <v>36+</v>
      </c>
      <c r="R1530" t="str">
        <f>LOOKUP(G1530,Sheet2!$V$4:$W$7)</f>
        <v>0.4 - 0.69</v>
      </c>
      <c r="S1530" t="str">
        <f>LOOKUP(H1530,Sheet2!$Z$4:$AA$7)</f>
        <v>26-35</v>
      </c>
      <c r="T1530" t="str">
        <f t="shared" si="69"/>
        <v>Negative</v>
      </c>
      <c r="U1530" t="str">
        <f t="shared" si="70"/>
        <v>Positive</v>
      </c>
      <c r="V1530" s="1" t="str">
        <f t="shared" si="71"/>
        <v>Inaccurate Prediction</v>
      </c>
    </row>
    <row r="1531" spans="1:22" x14ac:dyDescent="0.25">
      <c r="A1531" s="1">
        <v>1</v>
      </c>
      <c r="B1531" s="1">
        <v>144</v>
      </c>
      <c r="C1531" s="1">
        <v>82</v>
      </c>
      <c r="D1531" s="1">
        <v>40</v>
      </c>
      <c r="E1531" s="1">
        <v>0</v>
      </c>
      <c r="F1531" s="1">
        <v>41.3</v>
      </c>
      <c r="G1531" s="1">
        <v>0.60699999999999998</v>
      </c>
      <c r="H1531" s="1">
        <v>28</v>
      </c>
      <c r="I1531" s="1">
        <v>0</v>
      </c>
      <c r="J1531" s="1">
        <f>IFERROR(VLOOKUP(K1531,[1]diabetes_Recognition!$A:$B,2,FALSE),"Not Sampled")</f>
        <v>1</v>
      </c>
      <c r="K1531" s="1">
        <v>1529</v>
      </c>
      <c r="L1531" s="1">
        <f>LOOKUP(A1531,Sheet2!$D$4:$E$9)</f>
        <v>1</v>
      </c>
      <c r="M1531" t="str">
        <f>LOOKUP(B1531,Sheet2!$G$4:$H$9)</f>
        <v>126-150</v>
      </c>
      <c r="N1531" t="str">
        <f>LOOKUP(C1531,Sheet2!$J$4:$K$8)</f>
        <v>80+</v>
      </c>
      <c r="O1531" t="str">
        <f>LOOKUP(D1531,Sheet2!$M$4:$N$8)</f>
        <v>40+</v>
      </c>
      <c r="P1531" t="str">
        <f>LOOKUP(E1531,Sheet2!$P$4:$Q$9)</f>
        <v>Unknown</v>
      </c>
      <c r="Q1531" t="str">
        <f>LOOKUP(F1531,Sheet2!$S$4:$T$8)</f>
        <v>36+</v>
      </c>
      <c r="R1531" t="str">
        <f>LOOKUP(G1531,Sheet2!$V$4:$W$7)</f>
        <v>0.4 - 0.69</v>
      </c>
      <c r="S1531" t="str">
        <f>LOOKUP(H1531,Sheet2!$Z$4:$AA$7)</f>
        <v>26-35</v>
      </c>
      <c r="T1531" t="str">
        <f t="shared" si="69"/>
        <v>Negative</v>
      </c>
      <c r="U1531" t="str">
        <f t="shared" si="70"/>
        <v>Positive</v>
      </c>
      <c r="V1531" s="1" t="str">
        <f t="shared" si="71"/>
        <v>Inaccurate Prediction</v>
      </c>
    </row>
    <row r="1532" spans="1:22" x14ac:dyDescent="0.25">
      <c r="A1532" s="1">
        <v>0</v>
      </c>
      <c r="B1532" s="1">
        <v>137</v>
      </c>
      <c r="C1532" s="1">
        <v>70</v>
      </c>
      <c r="D1532" s="1">
        <v>38</v>
      </c>
      <c r="E1532" s="1">
        <v>0</v>
      </c>
      <c r="F1532" s="1">
        <v>33.200000000000003</v>
      </c>
      <c r="G1532" s="1">
        <v>0.17</v>
      </c>
      <c r="H1532" s="1">
        <v>22</v>
      </c>
      <c r="I1532" s="1">
        <v>0</v>
      </c>
      <c r="J1532" s="1" t="str">
        <f>IFERROR(VLOOKUP(K1532,[1]diabetes_Recognition!$A:$B,2,FALSE),"Not Sampled")</f>
        <v>Not Sampled</v>
      </c>
      <c r="K1532" s="1">
        <v>1530</v>
      </c>
      <c r="L1532" s="1">
        <f>LOOKUP(A1532,Sheet2!$D$4:$E$9)</f>
        <v>0</v>
      </c>
      <c r="M1532" t="str">
        <f>LOOKUP(B1532,Sheet2!$G$4:$H$9)</f>
        <v>126-150</v>
      </c>
      <c r="N1532" t="str">
        <f>LOOKUP(C1532,Sheet2!$J$4:$K$8)</f>
        <v>70-79</v>
      </c>
      <c r="O1532" t="str">
        <f>LOOKUP(D1532,Sheet2!$M$4:$N$8)</f>
        <v>30-39</v>
      </c>
      <c r="P1532" t="str">
        <f>LOOKUP(E1532,Sheet2!$P$4:$Q$9)</f>
        <v>Unknown</v>
      </c>
      <c r="Q1532" t="str">
        <f>LOOKUP(F1532,Sheet2!$S$4:$T$8)</f>
        <v>31-35</v>
      </c>
      <c r="R1532" t="str">
        <f>LOOKUP(G1532,Sheet2!$V$4:$W$7)</f>
        <v>0.0 - 0.249</v>
      </c>
      <c r="S1532" t="str">
        <f>LOOKUP(H1532,Sheet2!$Z$4:$AA$7)</f>
        <v>&lt;=25</v>
      </c>
      <c r="T1532" t="str">
        <f t="shared" si="69"/>
        <v>Negative</v>
      </c>
      <c r="U1532" t="str">
        <f t="shared" si="70"/>
        <v>Not Sampled</v>
      </c>
      <c r="V1532" s="1" t="str">
        <f t="shared" si="71"/>
        <v>Not Sampled</v>
      </c>
    </row>
    <row r="1533" spans="1:22" x14ac:dyDescent="0.25">
      <c r="A1533" s="1">
        <v>0</v>
      </c>
      <c r="B1533" s="1">
        <v>119</v>
      </c>
      <c r="C1533" s="1">
        <v>66</v>
      </c>
      <c r="D1533" s="1">
        <v>27</v>
      </c>
      <c r="E1533" s="1">
        <v>0</v>
      </c>
      <c r="F1533" s="1">
        <v>38.799999999999997</v>
      </c>
      <c r="G1533" s="1">
        <v>0.25900000000000001</v>
      </c>
      <c r="H1533" s="1">
        <v>22</v>
      </c>
      <c r="I1533" s="1">
        <v>0</v>
      </c>
      <c r="J1533" s="1" t="str">
        <f>IFERROR(VLOOKUP(K1533,[1]diabetes_Recognition!$A:$B,2,FALSE),"Not Sampled")</f>
        <v>Not Sampled</v>
      </c>
      <c r="K1533" s="1">
        <v>1531</v>
      </c>
      <c r="L1533" s="1">
        <f>LOOKUP(A1533,Sheet2!$D$4:$E$9)</f>
        <v>0</v>
      </c>
      <c r="M1533" t="str">
        <f>LOOKUP(B1533,Sheet2!$G$4:$H$9)</f>
        <v>100-125</v>
      </c>
      <c r="N1533" t="str">
        <f>LOOKUP(C1533,Sheet2!$J$4:$K$8)</f>
        <v>60-69</v>
      </c>
      <c r="O1533" t="str">
        <f>LOOKUP(D1533,Sheet2!$M$4:$N$8)</f>
        <v>10-30</v>
      </c>
      <c r="P1533" t="str">
        <f>LOOKUP(E1533,Sheet2!$P$4:$Q$9)</f>
        <v>Unknown</v>
      </c>
      <c r="Q1533" t="str">
        <f>LOOKUP(F1533,Sheet2!$S$4:$T$8)</f>
        <v>36+</v>
      </c>
      <c r="R1533" t="str">
        <f>LOOKUP(G1533,Sheet2!$V$4:$W$7)</f>
        <v>0.25 - 0.39</v>
      </c>
      <c r="S1533" t="str">
        <f>LOOKUP(H1533,Sheet2!$Z$4:$AA$7)</f>
        <v>&lt;=25</v>
      </c>
      <c r="T1533" t="str">
        <f t="shared" si="69"/>
        <v>Negative</v>
      </c>
      <c r="U1533" t="str">
        <f t="shared" si="70"/>
        <v>Not Sampled</v>
      </c>
      <c r="V1533" s="1" t="str">
        <f t="shared" si="71"/>
        <v>Not Sampled</v>
      </c>
    </row>
    <row r="1534" spans="1:22" x14ac:dyDescent="0.25">
      <c r="A1534" s="1">
        <v>7</v>
      </c>
      <c r="B1534" s="1">
        <v>136</v>
      </c>
      <c r="C1534" s="1">
        <v>90</v>
      </c>
      <c r="D1534" s="1">
        <v>0</v>
      </c>
      <c r="E1534" s="1">
        <v>0</v>
      </c>
      <c r="F1534" s="1">
        <v>29.9</v>
      </c>
      <c r="G1534" s="1">
        <v>0.21</v>
      </c>
      <c r="H1534" s="1">
        <v>50</v>
      </c>
      <c r="I1534" s="1">
        <v>0</v>
      </c>
      <c r="J1534" s="1" t="str">
        <f>IFERROR(VLOOKUP(K1534,[1]diabetes_Recognition!$A:$B,2,FALSE),"Not Sampled")</f>
        <v>Not Sampled</v>
      </c>
      <c r="K1534" s="1">
        <v>1532</v>
      </c>
      <c r="L1534" s="1" t="str">
        <f>LOOKUP(A1534,Sheet2!$D$4:$E$9)</f>
        <v>5-7</v>
      </c>
      <c r="M1534" t="str">
        <f>LOOKUP(B1534,Sheet2!$G$4:$H$9)</f>
        <v>126-150</v>
      </c>
      <c r="N1534" t="str">
        <f>LOOKUP(C1534,Sheet2!$J$4:$K$8)</f>
        <v>80+</v>
      </c>
      <c r="O1534" t="str">
        <f>LOOKUP(D1534,Sheet2!$M$4:$N$8)</f>
        <v>Unknown</v>
      </c>
      <c r="P1534" t="str">
        <f>LOOKUP(E1534,Sheet2!$P$4:$Q$9)</f>
        <v>Unknown</v>
      </c>
      <c r="Q1534" t="str">
        <f>LOOKUP(F1534,Sheet2!$S$4:$T$8)</f>
        <v>26-30</v>
      </c>
      <c r="R1534" t="str">
        <f>LOOKUP(G1534,Sheet2!$V$4:$W$7)</f>
        <v>0.0 - 0.249</v>
      </c>
      <c r="S1534" t="str">
        <f>LOOKUP(H1534,Sheet2!$Z$4:$AA$7)</f>
        <v>46+</v>
      </c>
      <c r="T1534" t="str">
        <f t="shared" si="69"/>
        <v>Negative</v>
      </c>
      <c r="U1534" t="str">
        <f t="shared" si="70"/>
        <v>Not Sampled</v>
      </c>
      <c r="V1534" s="1" t="str">
        <f t="shared" si="71"/>
        <v>Not Sampled</v>
      </c>
    </row>
    <row r="1535" spans="1:22" x14ac:dyDescent="0.25">
      <c r="A1535" s="1">
        <v>4</v>
      </c>
      <c r="B1535" s="1">
        <v>114</v>
      </c>
      <c r="C1535" s="1">
        <v>64</v>
      </c>
      <c r="D1535" s="1">
        <v>0</v>
      </c>
      <c r="E1535" s="1">
        <v>0</v>
      </c>
      <c r="F1535" s="1">
        <v>28.9</v>
      </c>
      <c r="G1535" s="1">
        <v>0.126</v>
      </c>
      <c r="H1535" s="1">
        <v>24</v>
      </c>
      <c r="I1535" s="1">
        <v>0</v>
      </c>
      <c r="J1535" s="1" t="str">
        <f>IFERROR(VLOOKUP(K1535,[1]diabetes_Recognition!$A:$B,2,FALSE),"Not Sampled")</f>
        <v>Not Sampled</v>
      </c>
      <c r="K1535" s="1">
        <v>1533</v>
      </c>
      <c r="L1535" s="1" t="str">
        <f>LOOKUP(A1535,Sheet2!$D$4:$E$9)</f>
        <v>3-4</v>
      </c>
      <c r="M1535" t="str">
        <f>LOOKUP(B1535,Sheet2!$G$4:$H$9)</f>
        <v>100-125</v>
      </c>
      <c r="N1535" t="str">
        <f>LOOKUP(C1535,Sheet2!$J$4:$K$8)</f>
        <v>60-69</v>
      </c>
      <c r="O1535" t="str">
        <f>LOOKUP(D1535,Sheet2!$M$4:$N$8)</f>
        <v>Unknown</v>
      </c>
      <c r="P1535" t="str">
        <f>LOOKUP(E1535,Sheet2!$P$4:$Q$9)</f>
        <v>Unknown</v>
      </c>
      <c r="Q1535" t="str">
        <f>LOOKUP(F1535,Sheet2!$S$4:$T$8)</f>
        <v>26-30</v>
      </c>
      <c r="R1535" t="str">
        <f>LOOKUP(G1535,Sheet2!$V$4:$W$7)</f>
        <v>0.0 - 0.249</v>
      </c>
      <c r="S1535" t="str">
        <f>LOOKUP(H1535,Sheet2!$Z$4:$AA$7)</f>
        <v>&lt;=25</v>
      </c>
      <c r="T1535" t="str">
        <f t="shared" si="69"/>
        <v>Negative</v>
      </c>
      <c r="U1535" t="str">
        <f t="shared" si="70"/>
        <v>Not Sampled</v>
      </c>
      <c r="V1535" s="1" t="str">
        <f t="shared" si="71"/>
        <v>Not Sampled</v>
      </c>
    </row>
    <row r="1536" spans="1:22" x14ac:dyDescent="0.25">
      <c r="A1536" s="1">
        <v>0</v>
      </c>
      <c r="B1536" s="1">
        <v>137</v>
      </c>
      <c r="C1536" s="1">
        <v>84</v>
      </c>
      <c r="D1536" s="1">
        <v>27</v>
      </c>
      <c r="E1536" s="1">
        <v>0</v>
      </c>
      <c r="F1536" s="1">
        <v>27.3</v>
      </c>
      <c r="G1536" s="1">
        <v>0.23100000000000001</v>
      </c>
      <c r="H1536" s="1">
        <v>59</v>
      </c>
      <c r="I1536" s="1">
        <v>0</v>
      </c>
      <c r="J1536" s="1" t="str">
        <f>IFERROR(VLOOKUP(K1536,[1]diabetes_Recognition!$A:$B,2,FALSE),"Not Sampled")</f>
        <v>Not Sampled</v>
      </c>
      <c r="K1536" s="1">
        <v>1534</v>
      </c>
      <c r="L1536" s="1">
        <f>LOOKUP(A1536,Sheet2!$D$4:$E$9)</f>
        <v>0</v>
      </c>
      <c r="M1536" t="str">
        <f>LOOKUP(B1536,Sheet2!$G$4:$H$9)</f>
        <v>126-150</v>
      </c>
      <c r="N1536" t="str">
        <f>LOOKUP(C1536,Sheet2!$J$4:$K$8)</f>
        <v>80+</v>
      </c>
      <c r="O1536" t="str">
        <f>LOOKUP(D1536,Sheet2!$M$4:$N$8)</f>
        <v>10-30</v>
      </c>
      <c r="P1536" t="str">
        <f>LOOKUP(E1536,Sheet2!$P$4:$Q$9)</f>
        <v>Unknown</v>
      </c>
      <c r="Q1536" t="str">
        <f>LOOKUP(F1536,Sheet2!$S$4:$T$8)</f>
        <v>26-30</v>
      </c>
      <c r="R1536" t="str">
        <f>LOOKUP(G1536,Sheet2!$V$4:$W$7)</f>
        <v>0.0 - 0.249</v>
      </c>
      <c r="S1536" t="str">
        <f>LOOKUP(H1536,Sheet2!$Z$4:$AA$7)</f>
        <v>46+</v>
      </c>
      <c r="T1536" t="str">
        <f t="shared" si="69"/>
        <v>Negative</v>
      </c>
      <c r="U1536" t="str">
        <f t="shared" si="70"/>
        <v>Not Sampled</v>
      </c>
      <c r="V1536" s="1" t="str">
        <f t="shared" si="71"/>
        <v>Not Sampled</v>
      </c>
    </row>
    <row r="1537" spans="1:22" x14ac:dyDescent="0.25">
      <c r="A1537" s="1">
        <v>2</v>
      </c>
      <c r="B1537" s="1">
        <v>105</v>
      </c>
      <c r="C1537" s="1">
        <v>80</v>
      </c>
      <c r="D1537" s="1">
        <v>45</v>
      </c>
      <c r="E1537" s="1">
        <v>191</v>
      </c>
      <c r="F1537" s="1">
        <v>33.700000000000003</v>
      </c>
      <c r="G1537" s="1">
        <v>0.71099999999999997</v>
      </c>
      <c r="H1537" s="1">
        <v>29</v>
      </c>
      <c r="I1537" s="1">
        <v>1</v>
      </c>
      <c r="J1537" s="1" t="str">
        <f>IFERROR(VLOOKUP(K1537,[1]diabetes_Recognition!$A:$B,2,FALSE),"Not Sampled")</f>
        <v>Not Sampled</v>
      </c>
      <c r="K1537" s="1">
        <v>1535</v>
      </c>
      <c r="L1537" s="1">
        <f>LOOKUP(A1537,Sheet2!$D$4:$E$9)</f>
        <v>2</v>
      </c>
      <c r="M1537" t="str">
        <f>LOOKUP(B1537,Sheet2!$G$4:$H$9)</f>
        <v>100-125</v>
      </c>
      <c r="N1537" t="str">
        <f>LOOKUP(C1537,Sheet2!$J$4:$K$8)</f>
        <v>80+</v>
      </c>
      <c r="O1537" t="str">
        <f>LOOKUP(D1537,Sheet2!$M$4:$N$8)</f>
        <v>40+</v>
      </c>
      <c r="P1537" t="str">
        <f>LOOKUP(E1537,Sheet2!$P$4:$Q$9)</f>
        <v>100-199</v>
      </c>
      <c r="Q1537" t="str">
        <f>LOOKUP(F1537,Sheet2!$S$4:$T$8)</f>
        <v>31-35</v>
      </c>
      <c r="R1537" t="str">
        <f>LOOKUP(G1537,Sheet2!$V$4:$W$7)</f>
        <v>0.7+</v>
      </c>
      <c r="S1537" t="str">
        <f>LOOKUP(H1537,Sheet2!$Z$4:$AA$7)</f>
        <v>26-35</v>
      </c>
      <c r="T1537" t="str">
        <f t="shared" si="69"/>
        <v>Positive</v>
      </c>
      <c r="U1537" t="str">
        <f t="shared" si="70"/>
        <v>Not Sampled</v>
      </c>
      <c r="V1537" s="1" t="str">
        <f t="shared" si="71"/>
        <v>Not Sampled</v>
      </c>
    </row>
    <row r="1538" spans="1:22" x14ac:dyDescent="0.25">
      <c r="A1538" s="1">
        <v>7</v>
      </c>
      <c r="B1538" s="1">
        <v>114</v>
      </c>
      <c r="C1538" s="1">
        <v>76</v>
      </c>
      <c r="D1538" s="1">
        <v>17</v>
      </c>
      <c r="E1538" s="1">
        <v>110</v>
      </c>
      <c r="F1538" s="1">
        <v>23.8</v>
      </c>
      <c r="G1538" s="1">
        <v>0.46600000000000003</v>
      </c>
      <c r="H1538" s="1">
        <v>31</v>
      </c>
      <c r="I1538" s="1">
        <v>0</v>
      </c>
      <c r="J1538" s="1" t="str">
        <f>IFERROR(VLOOKUP(K1538,[1]diabetes_Recognition!$A:$B,2,FALSE),"Not Sampled")</f>
        <v>Not Sampled</v>
      </c>
      <c r="K1538" s="1">
        <v>1536</v>
      </c>
      <c r="L1538" s="1" t="str">
        <f>LOOKUP(A1538,Sheet2!$D$4:$E$9)</f>
        <v>5-7</v>
      </c>
      <c r="M1538" t="str">
        <f>LOOKUP(B1538,Sheet2!$G$4:$H$9)</f>
        <v>100-125</v>
      </c>
      <c r="N1538" t="str">
        <f>LOOKUP(C1538,Sheet2!$J$4:$K$8)</f>
        <v>70-79</v>
      </c>
      <c r="O1538" t="str">
        <f>LOOKUP(D1538,Sheet2!$M$4:$N$8)</f>
        <v>10-30</v>
      </c>
      <c r="P1538" t="str">
        <f>LOOKUP(E1538,Sheet2!$P$4:$Q$9)</f>
        <v>100-199</v>
      </c>
      <c r="Q1538" t="str">
        <f>LOOKUP(F1538,Sheet2!$S$4:$T$8)</f>
        <v>1-25</v>
      </c>
      <c r="R1538" t="str">
        <f>LOOKUP(G1538,Sheet2!$V$4:$W$7)</f>
        <v>0.4 - 0.69</v>
      </c>
      <c r="S1538" t="str">
        <f>LOOKUP(H1538,Sheet2!$Z$4:$AA$7)</f>
        <v>26-35</v>
      </c>
      <c r="T1538" t="str">
        <f t="shared" si="69"/>
        <v>Negative</v>
      </c>
      <c r="U1538" t="str">
        <f t="shared" si="70"/>
        <v>Not Sampled</v>
      </c>
      <c r="V1538" s="1" t="str">
        <f t="shared" si="71"/>
        <v>Not Sampled</v>
      </c>
    </row>
    <row r="1539" spans="1:22" x14ac:dyDescent="0.25">
      <c r="A1539" s="1">
        <v>8</v>
      </c>
      <c r="B1539" s="1">
        <v>126</v>
      </c>
      <c r="C1539" s="1">
        <v>74</v>
      </c>
      <c r="D1539" s="1">
        <v>38</v>
      </c>
      <c r="E1539" s="1">
        <v>75</v>
      </c>
      <c r="F1539" s="1">
        <v>25.9</v>
      </c>
      <c r="G1539" s="1">
        <v>0.16200000000000001</v>
      </c>
      <c r="H1539" s="1">
        <v>39</v>
      </c>
      <c r="I1539" s="1">
        <v>0</v>
      </c>
      <c r="J1539" s="1" t="str">
        <f>IFERROR(VLOOKUP(K1539,[1]diabetes_Recognition!$A:$B,2,FALSE),"Not Sampled")</f>
        <v>Not Sampled</v>
      </c>
      <c r="K1539" s="1">
        <v>1537</v>
      </c>
      <c r="L1539" s="1" t="str">
        <f>LOOKUP(A1539,Sheet2!$D$4:$E$9)</f>
        <v>8+</v>
      </c>
      <c r="M1539" t="str">
        <f>LOOKUP(B1539,Sheet2!$G$4:$H$9)</f>
        <v>126-150</v>
      </c>
      <c r="N1539" t="str">
        <f>LOOKUP(C1539,Sheet2!$J$4:$K$8)</f>
        <v>70-79</v>
      </c>
      <c r="O1539" t="str">
        <f>LOOKUP(D1539,Sheet2!$M$4:$N$8)</f>
        <v>30-39</v>
      </c>
      <c r="P1539" t="str">
        <f>LOOKUP(E1539,Sheet2!$P$4:$Q$9)</f>
        <v>1-99</v>
      </c>
      <c r="Q1539" t="str">
        <f>LOOKUP(F1539,Sheet2!$S$4:$T$8)</f>
        <v>1-25</v>
      </c>
      <c r="R1539" t="str">
        <f>LOOKUP(G1539,Sheet2!$V$4:$W$7)</f>
        <v>0.0 - 0.249</v>
      </c>
      <c r="S1539" t="str">
        <f>LOOKUP(H1539,Sheet2!$Z$4:$AA$7)</f>
        <v>36-45</v>
      </c>
      <c r="T1539" t="str">
        <f t="shared" ref="T1539:T1602" si="72">IF(I1539=1,"Positive","Negative")</f>
        <v>Negative</v>
      </c>
      <c r="U1539" t="str">
        <f t="shared" ref="U1539:U1602" si="73">IF(J1539=1,"Positive",(IF(J1539=0,"Negative","Not Sampled")))</f>
        <v>Not Sampled</v>
      </c>
      <c r="V1539" s="1" t="str">
        <f t="shared" ref="V1539:V1602" si="74">IF(U1539="Not Sampled","Not Sampled",IF(T1539=U1539,"Accurate Prediction","Inaccurate Prediction"))</f>
        <v>Not Sampled</v>
      </c>
    </row>
    <row r="1540" spans="1:22" x14ac:dyDescent="0.25">
      <c r="A1540" s="1">
        <v>4</v>
      </c>
      <c r="B1540" s="1">
        <v>132</v>
      </c>
      <c r="C1540" s="1">
        <v>86</v>
      </c>
      <c r="D1540" s="1">
        <v>31</v>
      </c>
      <c r="E1540" s="1">
        <v>0</v>
      </c>
      <c r="F1540" s="1">
        <v>28</v>
      </c>
      <c r="G1540" s="1">
        <v>0.41899999999999998</v>
      </c>
      <c r="H1540" s="1">
        <v>63</v>
      </c>
      <c r="I1540" s="1">
        <v>0</v>
      </c>
      <c r="J1540" s="1" t="str">
        <f>IFERROR(VLOOKUP(K1540,[1]diabetes_Recognition!$A:$B,2,FALSE),"Not Sampled")</f>
        <v>Not Sampled</v>
      </c>
      <c r="K1540" s="1">
        <v>1538</v>
      </c>
      <c r="L1540" s="1" t="str">
        <f>LOOKUP(A1540,Sheet2!$D$4:$E$9)</f>
        <v>3-4</v>
      </c>
      <c r="M1540" t="str">
        <f>LOOKUP(B1540,Sheet2!$G$4:$H$9)</f>
        <v>126-150</v>
      </c>
      <c r="N1540" t="str">
        <f>LOOKUP(C1540,Sheet2!$J$4:$K$8)</f>
        <v>80+</v>
      </c>
      <c r="O1540" t="str">
        <f>LOOKUP(D1540,Sheet2!$M$4:$N$8)</f>
        <v>30-39</v>
      </c>
      <c r="P1540" t="str">
        <f>LOOKUP(E1540,Sheet2!$P$4:$Q$9)</f>
        <v>Unknown</v>
      </c>
      <c r="Q1540" t="str">
        <f>LOOKUP(F1540,Sheet2!$S$4:$T$8)</f>
        <v>26-30</v>
      </c>
      <c r="R1540" t="str">
        <f>LOOKUP(G1540,Sheet2!$V$4:$W$7)</f>
        <v>0.4 - 0.69</v>
      </c>
      <c r="S1540" t="str">
        <f>LOOKUP(H1540,Sheet2!$Z$4:$AA$7)</f>
        <v>46+</v>
      </c>
      <c r="T1540" t="str">
        <f t="shared" si="72"/>
        <v>Negative</v>
      </c>
      <c r="U1540" t="str">
        <f t="shared" si="73"/>
        <v>Not Sampled</v>
      </c>
      <c r="V1540" s="1" t="str">
        <f t="shared" si="74"/>
        <v>Not Sampled</v>
      </c>
    </row>
    <row r="1541" spans="1:22" x14ac:dyDescent="0.25">
      <c r="A1541" s="1">
        <v>3</v>
      </c>
      <c r="B1541" s="1">
        <v>158</v>
      </c>
      <c r="C1541" s="1">
        <v>70</v>
      </c>
      <c r="D1541" s="1">
        <v>30</v>
      </c>
      <c r="E1541" s="1">
        <v>328</v>
      </c>
      <c r="F1541" s="1">
        <v>35.5</v>
      </c>
      <c r="G1541" s="1">
        <v>0.34399999999999997</v>
      </c>
      <c r="H1541" s="1">
        <v>35</v>
      </c>
      <c r="I1541" s="1">
        <v>1</v>
      </c>
      <c r="J1541" s="1" t="str">
        <f>IFERROR(VLOOKUP(K1541,[1]diabetes_Recognition!$A:$B,2,FALSE),"Not Sampled")</f>
        <v>Not Sampled</v>
      </c>
      <c r="K1541" s="1">
        <v>1539</v>
      </c>
      <c r="L1541" s="1" t="str">
        <f>LOOKUP(A1541,Sheet2!$D$4:$E$9)</f>
        <v>3-4</v>
      </c>
      <c r="M1541" t="str">
        <f>LOOKUP(B1541,Sheet2!$G$4:$H$9)</f>
        <v>151-175</v>
      </c>
      <c r="N1541" t="str">
        <f>LOOKUP(C1541,Sheet2!$J$4:$K$8)</f>
        <v>70-79</v>
      </c>
      <c r="O1541" t="str">
        <f>LOOKUP(D1541,Sheet2!$M$4:$N$8)</f>
        <v>30-39</v>
      </c>
      <c r="P1541" t="str">
        <f>LOOKUP(E1541,Sheet2!$P$4:$Q$9)</f>
        <v>300-499</v>
      </c>
      <c r="Q1541" t="str">
        <f>LOOKUP(F1541,Sheet2!$S$4:$T$8)</f>
        <v>31-35</v>
      </c>
      <c r="R1541" t="str">
        <f>LOOKUP(G1541,Sheet2!$V$4:$W$7)</f>
        <v>0.25 - 0.39</v>
      </c>
      <c r="S1541" t="str">
        <f>LOOKUP(H1541,Sheet2!$Z$4:$AA$7)</f>
        <v>26-35</v>
      </c>
      <c r="T1541" t="str">
        <f t="shared" si="72"/>
        <v>Positive</v>
      </c>
      <c r="U1541" t="str">
        <f t="shared" si="73"/>
        <v>Not Sampled</v>
      </c>
      <c r="V1541" s="1" t="str">
        <f t="shared" si="74"/>
        <v>Not Sampled</v>
      </c>
    </row>
    <row r="1542" spans="1:22" x14ac:dyDescent="0.25">
      <c r="A1542" s="1">
        <v>0</v>
      </c>
      <c r="B1542" s="1">
        <v>123</v>
      </c>
      <c r="C1542" s="1">
        <v>88</v>
      </c>
      <c r="D1542" s="1">
        <v>37</v>
      </c>
      <c r="E1542" s="1">
        <v>0</v>
      </c>
      <c r="F1542" s="1">
        <v>35.200000000000003</v>
      </c>
      <c r="G1542" s="1">
        <v>0.19700000000000001</v>
      </c>
      <c r="H1542" s="1">
        <v>29</v>
      </c>
      <c r="I1542" s="1">
        <v>0</v>
      </c>
      <c r="J1542" s="1">
        <f>IFERROR(VLOOKUP(K1542,[1]diabetes_Recognition!$A:$B,2,FALSE),"Not Sampled")</f>
        <v>0</v>
      </c>
      <c r="K1542" s="1">
        <v>1540</v>
      </c>
      <c r="L1542" s="1">
        <f>LOOKUP(A1542,Sheet2!$D$4:$E$9)</f>
        <v>0</v>
      </c>
      <c r="M1542" t="str">
        <f>LOOKUP(B1542,Sheet2!$G$4:$H$9)</f>
        <v>100-125</v>
      </c>
      <c r="N1542" t="str">
        <f>LOOKUP(C1542,Sheet2!$J$4:$K$8)</f>
        <v>80+</v>
      </c>
      <c r="O1542" t="str">
        <f>LOOKUP(D1542,Sheet2!$M$4:$N$8)</f>
        <v>30-39</v>
      </c>
      <c r="P1542" t="str">
        <f>LOOKUP(E1542,Sheet2!$P$4:$Q$9)</f>
        <v>Unknown</v>
      </c>
      <c r="Q1542" t="str">
        <f>LOOKUP(F1542,Sheet2!$S$4:$T$8)</f>
        <v>31-35</v>
      </c>
      <c r="R1542" t="str">
        <f>LOOKUP(G1542,Sheet2!$V$4:$W$7)</f>
        <v>0.0 - 0.249</v>
      </c>
      <c r="S1542" t="str">
        <f>LOOKUP(H1542,Sheet2!$Z$4:$AA$7)</f>
        <v>26-35</v>
      </c>
      <c r="T1542" t="str">
        <f t="shared" si="72"/>
        <v>Negative</v>
      </c>
      <c r="U1542" t="str">
        <f t="shared" si="73"/>
        <v>Negative</v>
      </c>
      <c r="V1542" s="1" t="str">
        <f t="shared" si="74"/>
        <v>Accurate Prediction</v>
      </c>
    </row>
    <row r="1543" spans="1:22" x14ac:dyDescent="0.25">
      <c r="A1543" s="1">
        <v>4</v>
      </c>
      <c r="B1543" s="1">
        <v>85</v>
      </c>
      <c r="C1543" s="1">
        <v>58</v>
      </c>
      <c r="D1543" s="1">
        <v>22</v>
      </c>
      <c r="E1543" s="1">
        <v>49</v>
      </c>
      <c r="F1543" s="1">
        <v>27.8</v>
      </c>
      <c r="G1543" s="1">
        <v>0.30599999999999999</v>
      </c>
      <c r="H1543" s="1">
        <v>28</v>
      </c>
      <c r="I1543" s="1">
        <v>0</v>
      </c>
      <c r="J1543" s="1" t="str">
        <f>IFERROR(VLOOKUP(K1543,[1]diabetes_Recognition!$A:$B,2,FALSE),"Not Sampled")</f>
        <v>Not Sampled</v>
      </c>
      <c r="K1543" s="1">
        <v>1541</v>
      </c>
      <c r="L1543" s="1" t="str">
        <f>LOOKUP(A1543,Sheet2!$D$4:$E$9)</f>
        <v>3-4</v>
      </c>
      <c r="M1543" t="str">
        <f>LOOKUP(B1543,Sheet2!$G$4:$H$9)</f>
        <v>1-99</v>
      </c>
      <c r="N1543" t="str">
        <f>LOOKUP(C1543,Sheet2!$J$4:$K$8)</f>
        <v>1-59</v>
      </c>
      <c r="O1543" t="str">
        <f>LOOKUP(D1543,Sheet2!$M$4:$N$8)</f>
        <v>10-30</v>
      </c>
      <c r="P1543" t="str">
        <f>LOOKUP(E1543,Sheet2!$P$4:$Q$9)</f>
        <v>1-99</v>
      </c>
      <c r="Q1543" t="str">
        <f>LOOKUP(F1543,Sheet2!$S$4:$T$8)</f>
        <v>26-30</v>
      </c>
      <c r="R1543" t="str">
        <f>LOOKUP(G1543,Sheet2!$V$4:$W$7)</f>
        <v>0.25 - 0.39</v>
      </c>
      <c r="S1543" t="str">
        <f>LOOKUP(H1543,Sheet2!$Z$4:$AA$7)</f>
        <v>26-35</v>
      </c>
      <c r="T1543" t="str">
        <f t="shared" si="72"/>
        <v>Negative</v>
      </c>
      <c r="U1543" t="str">
        <f t="shared" si="73"/>
        <v>Not Sampled</v>
      </c>
      <c r="V1543" s="1" t="str">
        <f t="shared" si="74"/>
        <v>Not Sampled</v>
      </c>
    </row>
    <row r="1544" spans="1:22" x14ac:dyDescent="0.25">
      <c r="A1544" s="1">
        <v>0</v>
      </c>
      <c r="B1544" s="1">
        <v>84</v>
      </c>
      <c r="C1544" s="1">
        <v>82</v>
      </c>
      <c r="D1544" s="1">
        <v>31</v>
      </c>
      <c r="E1544" s="1">
        <v>125</v>
      </c>
      <c r="F1544" s="1">
        <v>38.200000000000003</v>
      </c>
      <c r="G1544" s="1">
        <v>0.23300000000000001</v>
      </c>
      <c r="H1544" s="1">
        <v>23</v>
      </c>
      <c r="I1544" s="1">
        <v>0</v>
      </c>
      <c r="J1544" s="1" t="str">
        <f>IFERROR(VLOOKUP(K1544,[1]diabetes_Recognition!$A:$B,2,FALSE),"Not Sampled")</f>
        <v>Not Sampled</v>
      </c>
      <c r="K1544" s="1">
        <v>1542</v>
      </c>
      <c r="L1544" s="1">
        <f>LOOKUP(A1544,Sheet2!$D$4:$E$9)</f>
        <v>0</v>
      </c>
      <c r="M1544" t="str">
        <f>LOOKUP(B1544,Sheet2!$G$4:$H$9)</f>
        <v>1-99</v>
      </c>
      <c r="N1544" t="str">
        <f>LOOKUP(C1544,Sheet2!$J$4:$K$8)</f>
        <v>80+</v>
      </c>
      <c r="O1544" t="str">
        <f>LOOKUP(D1544,Sheet2!$M$4:$N$8)</f>
        <v>30-39</v>
      </c>
      <c r="P1544" t="str">
        <f>LOOKUP(E1544,Sheet2!$P$4:$Q$9)</f>
        <v>100-199</v>
      </c>
      <c r="Q1544" t="str">
        <f>LOOKUP(F1544,Sheet2!$S$4:$T$8)</f>
        <v>36+</v>
      </c>
      <c r="R1544" t="str">
        <f>LOOKUP(G1544,Sheet2!$V$4:$W$7)</f>
        <v>0.0 - 0.249</v>
      </c>
      <c r="S1544" t="str">
        <f>LOOKUP(H1544,Sheet2!$Z$4:$AA$7)</f>
        <v>&lt;=25</v>
      </c>
      <c r="T1544" t="str">
        <f t="shared" si="72"/>
        <v>Negative</v>
      </c>
      <c r="U1544" t="str">
        <f t="shared" si="73"/>
        <v>Not Sampled</v>
      </c>
      <c r="V1544" s="1" t="str">
        <f t="shared" si="74"/>
        <v>Not Sampled</v>
      </c>
    </row>
    <row r="1545" spans="1:22" x14ac:dyDescent="0.25">
      <c r="A1545" s="1">
        <v>0</v>
      </c>
      <c r="B1545" s="1">
        <v>145</v>
      </c>
      <c r="C1545" s="1">
        <v>0</v>
      </c>
      <c r="D1545" s="1">
        <v>0</v>
      </c>
      <c r="E1545" s="1">
        <v>0</v>
      </c>
      <c r="F1545" s="1">
        <v>44.2</v>
      </c>
      <c r="G1545" s="1">
        <v>0.63</v>
      </c>
      <c r="H1545" s="1">
        <v>31</v>
      </c>
      <c r="I1545" s="1">
        <v>1</v>
      </c>
      <c r="J1545" s="1" t="str">
        <f>IFERROR(VLOOKUP(K1545,[1]diabetes_Recognition!$A:$B,2,FALSE),"Not Sampled")</f>
        <v>Not Sampled</v>
      </c>
      <c r="K1545" s="1">
        <v>1543</v>
      </c>
      <c r="L1545" s="1">
        <f>LOOKUP(A1545,Sheet2!$D$4:$E$9)</f>
        <v>0</v>
      </c>
      <c r="M1545" t="str">
        <f>LOOKUP(B1545,Sheet2!$G$4:$H$9)</f>
        <v>126-150</v>
      </c>
      <c r="N1545" t="str">
        <f>LOOKUP(C1545,Sheet2!$J$4:$K$8)</f>
        <v>Unknown</v>
      </c>
      <c r="O1545" t="str">
        <f>LOOKUP(D1545,Sheet2!$M$4:$N$8)</f>
        <v>Unknown</v>
      </c>
      <c r="P1545" t="str">
        <f>LOOKUP(E1545,Sheet2!$P$4:$Q$9)</f>
        <v>Unknown</v>
      </c>
      <c r="Q1545" t="str">
        <f>LOOKUP(F1545,Sheet2!$S$4:$T$8)</f>
        <v>36+</v>
      </c>
      <c r="R1545" t="str">
        <f>LOOKUP(G1545,Sheet2!$V$4:$W$7)</f>
        <v>0.4 - 0.69</v>
      </c>
      <c r="S1545" t="str">
        <f>LOOKUP(H1545,Sheet2!$Z$4:$AA$7)</f>
        <v>26-35</v>
      </c>
      <c r="T1545" t="str">
        <f t="shared" si="72"/>
        <v>Positive</v>
      </c>
      <c r="U1545" t="str">
        <f t="shared" si="73"/>
        <v>Not Sampled</v>
      </c>
      <c r="V1545" s="1" t="str">
        <f t="shared" si="74"/>
        <v>Not Sampled</v>
      </c>
    </row>
    <row r="1546" spans="1:22" x14ac:dyDescent="0.25">
      <c r="A1546" s="1">
        <v>0</v>
      </c>
      <c r="B1546" s="1">
        <v>135</v>
      </c>
      <c r="C1546" s="1">
        <v>68</v>
      </c>
      <c r="D1546" s="1">
        <v>42</v>
      </c>
      <c r="E1546" s="1">
        <v>250</v>
      </c>
      <c r="F1546" s="1">
        <v>42.3</v>
      </c>
      <c r="G1546" s="1">
        <v>0.36499999999999999</v>
      </c>
      <c r="H1546" s="1">
        <v>24</v>
      </c>
      <c r="I1546" s="1">
        <v>1</v>
      </c>
      <c r="J1546" s="1" t="str">
        <f>IFERROR(VLOOKUP(K1546,[1]diabetes_Recognition!$A:$B,2,FALSE),"Not Sampled")</f>
        <v>Not Sampled</v>
      </c>
      <c r="K1546" s="1">
        <v>1544</v>
      </c>
      <c r="L1546" s="1">
        <f>LOOKUP(A1546,Sheet2!$D$4:$E$9)</f>
        <v>0</v>
      </c>
      <c r="M1546" t="str">
        <f>LOOKUP(B1546,Sheet2!$G$4:$H$9)</f>
        <v>126-150</v>
      </c>
      <c r="N1546" t="str">
        <f>LOOKUP(C1546,Sheet2!$J$4:$K$8)</f>
        <v>60-69</v>
      </c>
      <c r="O1546" t="str">
        <f>LOOKUP(D1546,Sheet2!$M$4:$N$8)</f>
        <v>40+</v>
      </c>
      <c r="P1546" t="str">
        <f>LOOKUP(E1546,Sheet2!$P$4:$Q$9)</f>
        <v>200-399</v>
      </c>
      <c r="Q1546" t="str">
        <f>LOOKUP(F1546,Sheet2!$S$4:$T$8)</f>
        <v>36+</v>
      </c>
      <c r="R1546" t="str">
        <f>LOOKUP(G1546,Sheet2!$V$4:$W$7)</f>
        <v>0.25 - 0.39</v>
      </c>
      <c r="S1546" t="str">
        <f>LOOKUP(H1546,Sheet2!$Z$4:$AA$7)</f>
        <v>&lt;=25</v>
      </c>
      <c r="T1546" t="str">
        <f t="shared" si="72"/>
        <v>Positive</v>
      </c>
      <c r="U1546" t="str">
        <f t="shared" si="73"/>
        <v>Not Sampled</v>
      </c>
      <c r="V1546" s="1" t="str">
        <f t="shared" si="74"/>
        <v>Not Sampled</v>
      </c>
    </row>
    <row r="1547" spans="1:22" x14ac:dyDescent="0.25">
      <c r="A1547" s="1">
        <v>1</v>
      </c>
      <c r="B1547" s="1">
        <v>139</v>
      </c>
      <c r="C1547" s="1">
        <v>62</v>
      </c>
      <c r="D1547" s="1">
        <v>41</v>
      </c>
      <c r="E1547" s="1">
        <v>480</v>
      </c>
      <c r="F1547" s="1">
        <v>40.700000000000003</v>
      </c>
      <c r="G1547" s="1">
        <v>0.53600000000000003</v>
      </c>
      <c r="H1547" s="1">
        <v>21</v>
      </c>
      <c r="I1547" s="1">
        <v>0</v>
      </c>
      <c r="J1547" s="1" t="str">
        <f>IFERROR(VLOOKUP(K1547,[1]diabetes_Recognition!$A:$B,2,FALSE),"Not Sampled")</f>
        <v>Not Sampled</v>
      </c>
      <c r="K1547" s="1">
        <v>1545</v>
      </c>
      <c r="L1547" s="1">
        <f>LOOKUP(A1547,Sheet2!$D$4:$E$9)</f>
        <v>1</v>
      </c>
      <c r="M1547" t="str">
        <f>LOOKUP(B1547,Sheet2!$G$4:$H$9)</f>
        <v>126-150</v>
      </c>
      <c r="N1547" t="str">
        <f>LOOKUP(C1547,Sheet2!$J$4:$K$8)</f>
        <v>60-69</v>
      </c>
      <c r="O1547" t="str">
        <f>LOOKUP(D1547,Sheet2!$M$4:$N$8)</f>
        <v>40+</v>
      </c>
      <c r="P1547" t="str">
        <f>LOOKUP(E1547,Sheet2!$P$4:$Q$9)</f>
        <v>300-499</v>
      </c>
      <c r="Q1547" t="str">
        <f>LOOKUP(F1547,Sheet2!$S$4:$T$8)</f>
        <v>36+</v>
      </c>
      <c r="R1547" t="str">
        <f>LOOKUP(G1547,Sheet2!$V$4:$W$7)</f>
        <v>0.4 - 0.69</v>
      </c>
      <c r="S1547" t="str">
        <f>LOOKUP(H1547,Sheet2!$Z$4:$AA$7)</f>
        <v>&lt;=25</v>
      </c>
      <c r="T1547" t="str">
        <f t="shared" si="72"/>
        <v>Negative</v>
      </c>
      <c r="U1547" t="str">
        <f t="shared" si="73"/>
        <v>Not Sampled</v>
      </c>
      <c r="V1547" s="1" t="str">
        <f t="shared" si="74"/>
        <v>Not Sampled</v>
      </c>
    </row>
    <row r="1548" spans="1:22" x14ac:dyDescent="0.25">
      <c r="A1548" s="1">
        <v>0</v>
      </c>
      <c r="B1548" s="1">
        <v>173</v>
      </c>
      <c r="C1548" s="1">
        <v>78</v>
      </c>
      <c r="D1548" s="1">
        <v>32</v>
      </c>
      <c r="E1548" s="1">
        <v>265</v>
      </c>
      <c r="F1548" s="1">
        <v>46.5</v>
      </c>
      <c r="G1548" s="1">
        <v>1.159</v>
      </c>
      <c r="H1548" s="1">
        <v>58</v>
      </c>
      <c r="I1548" s="1">
        <v>0</v>
      </c>
      <c r="J1548" s="1">
        <f>IFERROR(VLOOKUP(K1548,[1]diabetes_Recognition!$A:$B,2,FALSE),"Not Sampled")</f>
        <v>1</v>
      </c>
      <c r="K1548" s="1">
        <v>1546</v>
      </c>
      <c r="L1548" s="1">
        <f>LOOKUP(A1548,Sheet2!$D$4:$E$9)</f>
        <v>0</v>
      </c>
      <c r="M1548" t="str">
        <f>LOOKUP(B1548,Sheet2!$G$4:$H$9)</f>
        <v>151-175</v>
      </c>
      <c r="N1548" t="str">
        <f>LOOKUP(C1548,Sheet2!$J$4:$K$8)</f>
        <v>70-79</v>
      </c>
      <c r="O1548" t="str">
        <f>LOOKUP(D1548,Sheet2!$M$4:$N$8)</f>
        <v>30-39</v>
      </c>
      <c r="P1548" t="str">
        <f>LOOKUP(E1548,Sheet2!$P$4:$Q$9)</f>
        <v>200-399</v>
      </c>
      <c r="Q1548" t="str">
        <f>LOOKUP(F1548,Sheet2!$S$4:$T$8)</f>
        <v>36+</v>
      </c>
      <c r="R1548" t="str">
        <f>LOOKUP(G1548,Sheet2!$V$4:$W$7)</f>
        <v>0.7+</v>
      </c>
      <c r="S1548" t="str">
        <f>LOOKUP(H1548,Sheet2!$Z$4:$AA$7)</f>
        <v>46+</v>
      </c>
      <c r="T1548" t="str">
        <f t="shared" si="72"/>
        <v>Negative</v>
      </c>
      <c r="U1548" t="str">
        <f t="shared" si="73"/>
        <v>Positive</v>
      </c>
      <c r="V1548" s="1" t="str">
        <f t="shared" si="74"/>
        <v>Inaccurate Prediction</v>
      </c>
    </row>
    <row r="1549" spans="1:22" x14ac:dyDescent="0.25">
      <c r="A1549" s="1">
        <v>4</v>
      </c>
      <c r="B1549" s="1">
        <v>99</v>
      </c>
      <c r="C1549" s="1">
        <v>72</v>
      </c>
      <c r="D1549" s="1">
        <v>17</v>
      </c>
      <c r="E1549" s="1">
        <v>0</v>
      </c>
      <c r="F1549" s="1">
        <v>25.6</v>
      </c>
      <c r="G1549" s="1">
        <v>0.29399999999999998</v>
      </c>
      <c r="H1549" s="1">
        <v>28</v>
      </c>
      <c r="I1549" s="1">
        <v>0</v>
      </c>
      <c r="J1549" s="1">
        <f>IFERROR(VLOOKUP(K1549,[1]diabetes_Recognition!$A:$B,2,FALSE),"Not Sampled")</f>
        <v>0</v>
      </c>
      <c r="K1549" s="1">
        <v>1547</v>
      </c>
      <c r="L1549" s="1" t="str">
        <f>LOOKUP(A1549,Sheet2!$D$4:$E$9)</f>
        <v>3-4</v>
      </c>
      <c r="M1549" t="str">
        <f>LOOKUP(B1549,Sheet2!$G$4:$H$9)</f>
        <v>1-99</v>
      </c>
      <c r="N1549" t="str">
        <f>LOOKUP(C1549,Sheet2!$J$4:$K$8)</f>
        <v>70-79</v>
      </c>
      <c r="O1549" t="str">
        <f>LOOKUP(D1549,Sheet2!$M$4:$N$8)</f>
        <v>10-30</v>
      </c>
      <c r="P1549" t="str">
        <f>LOOKUP(E1549,Sheet2!$P$4:$Q$9)</f>
        <v>Unknown</v>
      </c>
      <c r="Q1549" t="str">
        <f>LOOKUP(F1549,Sheet2!$S$4:$T$8)</f>
        <v>1-25</v>
      </c>
      <c r="R1549" t="str">
        <f>LOOKUP(G1549,Sheet2!$V$4:$W$7)</f>
        <v>0.25 - 0.39</v>
      </c>
      <c r="S1549" t="str">
        <f>LOOKUP(H1549,Sheet2!$Z$4:$AA$7)</f>
        <v>26-35</v>
      </c>
      <c r="T1549" t="str">
        <f t="shared" si="72"/>
        <v>Negative</v>
      </c>
      <c r="U1549" t="str">
        <f t="shared" si="73"/>
        <v>Negative</v>
      </c>
      <c r="V1549" s="1" t="str">
        <f t="shared" si="74"/>
        <v>Accurate Prediction</v>
      </c>
    </row>
    <row r="1550" spans="1:22" x14ac:dyDescent="0.25">
      <c r="A1550" s="1">
        <v>8</v>
      </c>
      <c r="B1550" s="1">
        <v>194</v>
      </c>
      <c r="C1550" s="1">
        <v>80</v>
      </c>
      <c r="D1550" s="1">
        <v>0</v>
      </c>
      <c r="E1550" s="1">
        <v>0</v>
      </c>
      <c r="F1550" s="1">
        <v>26.1</v>
      </c>
      <c r="G1550" s="1">
        <v>0.55100000000000005</v>
      </c>
      <c r="H1550" s="1">
        <v>67</v>
      </c>
      <c r="I1550" s="1">
        <v>0</v>
      </c>
      <c r="J1550" s="1">
        <f>IFERROR(VLOOKUP(K1550,[1]diabetes_Recognition!$A:$B,2,FALSE),"Not Sampled")</f>
        <v>1</v>
      </c>
      <c r="K1550" s="1">
        <v>1548</v>
      </c>
      <c r="L1550" s="1" t="str">
        <f>LOOKUP(A1550,Sheet2!$D$4:$E$9)</f>
        <v>8+</v>
      </c>
      <c r="M1550" t="str">
        <f>LOOKUP(B1550,Sheet2!$G$4:$H$9)</f>
        <v>176-200</v>
      </c>
      <c r="N1550" t="str">
        <f>LOOKUP(C1550,Sheet2!$J$4:$K$8)</f>
        <v>80+</v>
      </c>
      <c r="O1550" t="str">
        <f>LOOKUP(D1550,Sheet2!$M$4:$N$8)</f>
        <v>Unknown</v>
      </c>
      <c r="P1550" t="str">
        <f>LOOKUP(E1550,Sheet2!$P$4:$Q$9)</f>
        <v>Unknown</v>
      </c>
      <c r="Q1550" t="str">
        <f>LOOKUP(F1550,Sheet2!$S$4:$T$8)</f>
        <v>26-30</v>
      </c>
      <c r="R1550" t="str">
        <f>LOOKUP(G1550,Sheet2!$V$4:$W$7)</f>
        <v>0.4 - 0.69</v>
      </c>
      <c r="S1550" t="str">
        <f>LOOKUP(H1550,Sheet2!$Z$4:$AA$7)</f>
        <v>46+</v>
      </c>
      <c r="T1550" t="str">
        <f t="shared" si="72"/>
        <v>Negative</v>
      </c>
      <c r="U1550" t="str">
        <f t="shared" si="73"/>
        <v>Positive</v>
      </c>
      <c r="V1550" s="1" t="str">
        <f t="shared" si="74"/>
        <v>Inaccurate Prediction</v>
      </c>
    </row>
    <row r="1551" spans="1:22" x14ac:dyDescent="0.25">
      <c r="A1551" s="1">
        <v>2</v>
      </c>
      <c r="B1551" s="1">
        <v>83</v>
      </c>
      <c r="C1551" s="1">
        <v>65</v>
      </c>
      <c r="D1551" s="1">
        <v>28</v>
      </c>
      <c r="E1551" s="1">
        <v>66</v>
      </c>
      <c r="F1551" s="1">
        <v>36.799999999999997</v>
      </c>
      <c r="G1551" s="1">
        <v>0.629</v>
      </c>
      <c r="H1551" s="1">
        <v>24</v>
      </c>
      <c r="I1551" s="1">
        <v>0</v>
      </c>
      <c r="J1551" s="1" t="str">
        <f>IFERROR(VLOOKUP(K1551,[1]diabetes_Recognition!$A:$B,2,FALSE),"Not Sampled")</f>
        <v>Not Sampled</v>
      </c>
      <c r="K1551" s="1">
        <v>1549</v>
      </c>
      <c r="L1551" s="1">
        <f>LOOKUP(A1551,Sheet2!$D$4:$E$9)</f>
        <v>2</v>
      </c>
      <c r="M1551" t="str">
        <f>LOOKUP(B1551,Sheet2!$G$4:$H$9)</f>
        <v>1-99</v>
      </c>
      <c r="N1551" t="str">
        <f>LOOKUP(C1551,Sheet2!$J$4:$K$8)</f>
        <v>60-69</v>
      </c>
      <c r="O1551" t="str">
        <f>LOOKUP(D1551,Sheet2!$M$4:$N$8)</f>
        <v>10-30</v>
      </c>
      <c r="P1551" t="str">
        <f>LOOKUP(E1551,Sheet2!$P$4:$Q$9)</f>
        <v>1-99</v>
      </c>
      <c r="Q1551" t="str">
        <f>LOOKUP(F1551,Sheet2!$S$4:$T$8)</f>
        <v>36+</v>
      </c>
      <c r="R1551" t="str">
        <f>LOOKUP(G1551,Sheet2!$V$4:$W$7)</f>
        <v>0.4 - 0.69</v>
      </c>
      <c r="S1551" t="str">
        <f>LOOKUP(H1551,Sheet2!$Z$4:$AA$7)</f>
        <v>&lt;=25</v>
      </c>
      <c r="T1551" t="str">
        <f t="shared" si="72"/>
        <v>Negative</v>
      </c>
      <c r="U1551" t="str">
        <f t="shared" si="73"/>
        <v>Not Sampled</v>
      </c>
      <c r="V1551" s="1" t="str">
        <f t="shared" si="74"/>
        <v>Not Sampled</v>
      </c>
    </row>
    <row r="1552" spans="1:22" x14ac:dyDescent="0.25">
      <c r="A1552" s="1">
        <v>2</v>
      </c>
      <c r="B1552" s="1">
        <v>89</v>
      </c>
      <c r="C1552" s="1">
        <v>90</v>
      </c>
      <c r="D1552" s="1">
        <v>30</v>
      </c>
      <c r="E1552" s="1">
        <v>0</v>
      </c>
      <c r="F1552" s="1">
        <v>33.5</v>
      </c>
      <c r="G1552" s="1">
        <v>0.29199999999999998</v>
      </c>
      <c r="H1552" s="1">
        <v>42</v>
      </c>
      <c r="I1552" s="1">
        <v>0</v>
      </c>
      <c r="J1552" s="1" t="str">
        <f>IFERROR(VLOOKUP(K1552,[1]diabetes_Recognition!$A:$B,2,FALSE),"Not Sampled")</f>
        <v>Not Sampled</v>
      </c>
      <c r="K1552" s="1">
        <v>1550</v>
      </c>
      <c r="L1552" s="1">
        <f>LOOKUP(A1552,Sheet2!$D$4:$E$9)</f>
        <v>2</v>
      </c>
      <c r="M1552" t="str">
        <f>LOOKUP(B1552,Sheet2!$G$4:$H$9)</f>
        <v>1-99</v>
      </c>
      <c r="N1552" t="str">
        <f>LOOKUP(C1552,Sheet2!$J$4:$K$8)</f>
        <v>80+</v>
      </c>
      <c r="O1552" t="str">
        <f>LOOKUP(D1552,Sheet2!$M$4:$N$8)</f>
        <v>30-39</v>
      </c>
      <c r="P1552" t="str">
        <f>LOOKUP(E1552,Sheet2!$P$4:$Q$9)</f>
        <v>Unknown</v>
      </c>
      <c r="Q1552" t="str">
        <f>LOOKUP(F1552,Sheet2!$S$4:$T$8)</f>
        <v>31-35</v>
      </c>
      <c r="R1552" t="str">
        <f>LOOKUP(G1552,Sheet2!$V$4:$W$7)</f>
        <v>0.25 - 0.39</v>
      </c>
      <c r="S1552" t="str">
        <f>LOOKUP(H1552,Sheet2!$Z$4:$AA$7)</f>
        <v>36-45</v>
      </c>
      <c r="T1552" t="str">
        <f t="shared" si="72"/>
        <v>Negative</v>
      </c>
      <c r="U1552" t="str">
        <f t="shared" si="73"/>
        <v>Not Sampled</v>
      </c>
      <c r="V1552" s="1" t="str">
        <f t="shared" si="74"/>
        <v>Not Sampled</v>
      </c>
    </row>
    <row r="1553" spans="1:22" x14ac:dyDescent="0.25">
      <c r="A1553" s="1">
        <v>4</v>
      </c>
      <c r="B1553" s="1">
        <v>99</v>
      </c>
      <c r="C1553" s="1">
        <v>68</v>
      </c>
      <c r="D1553" s="1">
        <v>38</v>
      </c>
      <c r="E1553" s="1">
        <v>0</v>
      </c>
      <c r="F1553" s="1">
        <v>32.799999999999997</v>
      </c>
      <c r="G1553" s="1">
        <v>0.14499999999999999</v>
      </c>
      <c r="H1553" s="1">
        <v>33</v>
      </c>
      <c r="I1553" s="1">
        <v>0</v>
      </c>
      <c r="J1553" s="1">
        <f>IFERROR(VLOOKUP(K1553,[1]diabetes_Recognition!$A:$B,2,FALSE),"Not Sampled")</f>
        <v>0</v>
      </c>
      <c r="K1553" s="1">
        <v>1551</v>
      </c>
      <c r="L1553" s="1" t="str">
        <f>LOOKUP(A1553,Sheet2!$D$4:$E$9)</f>
        <v>3-4</v>
      </c>
      <c r="M1553" t="str">
        <f>LOOKUP(B1553,Sheet2!$G$4:$H$9)</f>
        <v>1-99</v>
      </c>
      <c r="N1553" t="str">
        <f>LOOKUP(C1553,Sheet2!$J$4:$K$8)</f>
        <v>60-69</v>
      </c>
      <c r="O1553" t="str">
        <f>LOOKUP(D1553,Sheet2!$M$4:$N$8)</f>
        <v>30-39</v>
      </c>
      <c r="P1553" t="str">
        <f>LOOKUP(E1553,Sheet2!$P$4:$Q$9)</f>
        <v>Unknown</v>
      </c>
      <c r="Q1553" t="str">
        <f>LOOKUP(F1553,Sheet2!$S$4:$T$8)</f>
        <v>31-35</v>
      </c>
      <c r="R1553" t="str">
        <f>LOOKUP(G1553,Sheet2!$V$4:$W$7)</f>
        <v>0.0 - 0.249</v>
      </c>
      <c r="S1553" t="str">
        <f>LOOKUP(H1553,Sheet2!$Z$4:$AA$7)</f>
        <v>26-35</v>
      </c>
      <c r="T1553" t="str">
        <f t="shared" si="72"/>
        <v>Negative</v>
      </c>
      <c r="U1553" t="str">
        <f t="shared" si="73"/>
        <v>Negative</v>
      </c>
      <c r="V1553" s="1" t="str">
        <f t="shared" si="74"/>
        <v>Accurate Prediction</v>
      </c>
    </row>
    <row r="1554" spans="1:22" x14ac:dyDescent="0.25">
      <c r="A1554" s="1">
        <v>4</v>
      </c>
      <c r="B1554" s="1">
        <v>125</v>
      </c>
      <c r="C1554" s="1">
        <v>70</v>
      </c>
      <c r="D1554" s="1">
        <v>18</v>
      </c>
      <c r="E1554" s="1">
        <v>122</v>
      </c>
      <c r="F1554" s="1">
        <v>28.9</v>
      </c>
      <c r="G1554" s="1">
        <v>1.1439999999999999</v>
      </c>
      <c r="H1554" s="1">
        <v>45</v>
      </c>
      <c r="I1554" s="1">
        <v>1</v>
      </c>
      <c r="J1554" s="1" t="str">
        <f>IFERROR(VLOOKUP(K1554,[1]diabetes_Recognition!$A:$B,2,FALSE),"Not Sampled")</f>
        <v>Not Sampled</v>
      </c>
      <c r="K1554" s="1">
        <v>1552</v>
      </c>
      <c r="L1554" s="1" t="str">
        <f>LOOKUP(A1554,Sheet2!$D$4:$E$9)</f>
        <v>3-4</v>
      </c>
      <c r="M1554" t="str">
        <f>LOOKUP(B1554,Sheet2!$G$4:$H$9)</f>
        <v>100-125</v>
      </c>
      <c r="N1554" t="str">
        <f>LOOKUP(C1554,Sheet2!$J$4:$K$8)</f>
        <v>70-79</v>
      </c>
      <c r="O1554" t="str">
        <f>LOOKUP(D1554,Sheet2!$M$4:$N$8)</f>
        <v>10-30</v>
      </c>
      <c r="P1554" t="str">
        <f>LOOKUP(E1554,Sheet2!$P$4:$Q$9)</f>
        <v>100-199</v>
      </c>
      <c r="Q1554" t="str">
        <f>LOOKUP(F1554,Sheet2!$S$4:$T$8)</f>
        <v>26-30</v>
      </c>
      <c r="R1554" t="str">
        <f>LOOKUP(G1554,Sheet2!$V$4:$W$7)</f>
        <v>0.7+</v>
      </c>
      <c r="S1554" t="str">
        <f>LOOKUP(H1554,Sheet2!$Z$4:$AA$7)</f>
        <v>36-45</v>
      </c>
      <c r="T1554" t="str">
        <f t="shared" si="72"/>
        <v>Positive</v>
      </c>
      <c r="U1554" t="str">
        <f t="shared" si="73"/>
        <v>Not Sampled</v>
      </c>
      <c r="V1554" s="1" t="str">
        <f t="shared" si="74"/>
        <v>Not Sampled</v>
      </c>
    </row>
    <row r="1555" spans="1:22" x14ac:dyDescent="0.25">
      <c r="A1555" s="1">
        <v>3</v>
      </c>
      <c r="B1555" s="1">
        <v>80</v>
      </c>
      <c r="C1555" s="1">
        <v>0</v>
      </c>
      <c r="D1555" s="1">
        <v>0</v>
      </c>
      <c r="E1555" s="1">
        <v>0</v>
      </c>
      <c r="F1555" s="1">
        <v>0</v>
      </c>
      <c r="G1555" s="1">
        <v>0.17399999999999999</v>
      </c>
      <c r="H1555" s="1">
        <v>22</v>
      </c>
      <c r="I1555" s="1">
        <v>0</v>
      </c>
      <c r="J1555" s="1" t="str">
        <f>IFERROR(VLOOKUP(K1555,[1]diabetes_Recognition!$A:$B,2,FALSE),"Not Sampled")</f>
        <v>Not Sampled</v>
      </c>
      <c r="K1555" s="1">
        <v>1553</v>
      </c>
      <c r="L1555" s="1" t="str">
        <f>LOOKUP(A1555,Sheet2!$D$4:$E$9)</f>
        <v>3-4</v>
      </c>
      <c r="M1555" t="str">
        <f>LOOKUP(B1555,Sheet2!$G$4:$H$9)</f>
        <v>1-99</v>
      </c>
      <c r="N1555" t="str">
        <f>LOOKUP(C1555,Sheet2!$J$4:$K$8)</f>
        <v>Unknown</v>
      </c>
      <c r="O1555" t="str">
        <f>LOOKUP(D1555,Sheet2!$M$4:$N$8)</f>
        <v>Unknown</v>
      </c>
      <c r="P1555" t="str">
        <f>LOOKUP(E1555,Sheet2!$P$4:$Q$9)</f>
        <v>Unknown</v>
      </c>
      <c r="Q1555" t="str">
        <f>LOOKUP(F1555,Sheet2!$S$4:$T$8)</f>
        <v>Unknown</v>
      </c>
      <c r="R1555" t="str">
        <f>LOOKUP(G1555,Sheet2!$V$4:$W$7)</f>
        <v>0.0 - 0.249</v>
      </c>
      <c r="S1555" t="str">
        <f>LOOKUP(H1555,Sheet2!$Z$4:$AA$7)</f>
        <v>&lt;=25</v>
      </c>
      <c r="T1555" t="str">
        <f t="shared" si="72"/>
        <v>Negative</v>
      </c>
      <c r="U1555" t="str">
        <f t="shared" si="73"/>
        <v>Not Sampled</v>
      </c>
      <c r="V1555" s="1" t="str">
        <f t="shared" si="74"/>
        <v>Not Sampled</v>
      </c>
    </row>
    <row r="1556" spans="1:22" x14ac:dyDescent="0.25">
      <c r="A1556" s="1">
        <v>6</v>
      </c>
      <c r="B1556" s="1">
        <v>166</v>
      </c>
      <c r="C1556" s="1">
        <v>74</v>
      </c>
      <c r="D1556" s="1">
        <v>0</v>
      </c>
      <c r="E1556" s="1">
        <v>0</v>
      </c>
      <c r="F1556" s="1">
        <v>26.6</v>
      </c>
      <c r="G1556" s="1">
        <v>0.30399999999999999</v>
      </c>
      <c r="H1556" s="1">
        <v>66</v>
      </c>
      <c r="I1556" s="1">
        <v>0</v>
      </c>
      <c r="J1556" s="1">
        <f>IFERROR(VLOOKUP(K1556,[1]diabetes_Recognition!$A:$B,2,FALSE),"Not Sampled")</f>
        <v>1</v>
      </c>
      <c r="K1556" s="1">
        <v>1554</v>
      </c>
      <c r="L1556" s="1" t="str">
        <f>LOOKUP(A1556,Sheet2!$D$4:$E$9)</f>
        <v>5-7</v>
      </c>
      <c r="M1556" t="str">
        <f>LOOKUP(B1556,Sheet2!$G$4:$H$9)</f>
        <v>151-175</v>
      </c>
      <c r="N1556" t="str">
        <f>LOOKUP(C1556,Sheet2!$J$4:$K$8)</f>
        <v>70-79</v>
      </c>
      <c r="O1556" t="str">
        <f>LOOKUP(D1556,Sheet2!$M$4:$N$8)</f>
        <v>Unknown</v>
      </c>
      <c r="P1556" t="str">
        <f>LOOKUP(E1556,Sheet2!$P$4:$Q$9)</f>
        <v>Unknown</v>
      </c>
      <c r="Q1556" t="str">
        <f>LOOKUP(F1556,Sheet2!$S$4:$T$8)</f>
        <v>26-30</v>
      </c>
      <c r="R1556" t="str">
        <f>LOOKUP(G1556,Sheet2!$V$4:$W$7)</f>
        <v>0.25 - 0.39</v>
      </c>
      <c r="S1556" t="str">
        <f>LOOKUP(H1556,Sheet2!$Z$4:$AA$7)</f>
        <v>46+</v>
      </c>
      <c r="T1556" t="str">
        <f t="shared" si="72"/>
        <v>Negative</v>
      </c>
      <c r="U1556" t="str">
        <f t="shared" si="73"/>
        <v>Positive</v>
      </c>
      <c r="V1556" s="1" t="str">
        <f t="shared" si="74"/>
        <v>Inaccurate Prediction</v>
      </c>
    </row>
    <row r="1557" spans="1:22" x14ac:dyDescent="0.25">
      <c r="A1557" s="1">
        <v>5</v>
      </c>
      <c r="B1557" s="1">
        <v>110</v>
      </c>
      <c r="C1557" s="1">
        <v>68</v>
      </c>
      <c r="D1557" s="1">
        <v>0</v>
      </c>
      <c r="E1557" s="1">
        <v>0</v>
      </c>
      <c r="F1557" s="1">
        <v>26</v>
      </c>
      <c r="G1557" s="1">
        <v>0.29199999999999998</v>
      </c>
      <c r="H1557" s="1">
        <v>30</v>
      </c>
      <c r="I1557" s="1">
        <v>0</v>
      </c>
      <c r="J1557" s="1">
        <f>IFERROR(VLOOKUP(K1557,[1]diabetes_Recognition!$A:$B,2,FALSE),"Not Sampled")</f>
        <v>0</v>
      </c>
      <c r="K1557" s="1">
        <v>1555</v>
      </c>
      <c r="L1557" s="1" t="str">
        <f>LOOKUP(A1557,Sheet2!$D$4:$E$9)</f>
        <v>5-7</v>
      </c>
      <c r="M1557" t="str">
        <f>LOOKUP(B1557,Sheet2!$G$4:$H$9)</f>
        <v>100-125</v>
      </c>
      <c r="N1557" t="str">
        <f>LOOKUP(C1557,Sheet2!$J$4:$K$8)</f>
        <v>60-69</v>
      </c>
      <c r="O1557" t="str">
        <f>LOOKUP(D1557,Sheet2!$M$4:$N$8)</f>
        <v>Unknown</v>
      </c>
      <c r="P1557" t="str">
        <f>LOOKUP(E1557,Sheet2!$P$4:$Q$9)</f>
        <v>Unknown</v>
      </c>
      <c r="Q1557" t="str">
        <f>LOOKUP(F1557,Sheet2!$S$4:$T$8)</f>
        <v>26-30</v>
      </c>
      <c r="R1557" t="str">
        <f>LOOKUP(G1557,Sheet2!$V$4:$W$7)</f>
        <v>0.25 - 0.39</v>
      </c>
      <c r="S1557" t="str">
        <f>LOOKUP(H1557,Sheet2!$Z$4:$AA$7)</f>
        <v>26-35</v>
      </c>
      <c r="T1557" t="str">
        <f t="shared" si="72"/>
        <v>Negative</v>
      </c>
      <c r="U1557" t="str">
        <f t="shared" si="73"/>
        <v>Negative</v>
      </c>
      <c r="V1557" s="1" t="str">
        <f t="shared" si="74"/>
        <v>Accurate Prediction</v>
      </c>
    </row>
    <row r="1558" spans="1:22" x14ac:dyDescent="0.25">
      <c r="A1558" s="1">
        <v>2</v>
      </c>
      <c r="B1558" s="1">
        <v>81</v>
      </c>
      <c r="C1558" s="1">
        <v>72</v>
      </c>
      <c r="D1558" s="1">
        <v>15</v>
      </c>
      <c r="E1558" s="1">
        <v>76</v>
      </c>
      <c r="F1558" s="1">
        <v>30.1</v>
      </c>
      <c r="G1558" s="1">
        <v>0.54700000000000004</v>
      </c>
      <c r="H1558" s="1">
        <v>25</v>
      </c>
      <c r="I1558" s="1">
        <v>0</v>
      </c>
      <c r="J1558" s="1" t="str">
        <f>IFERROR(VLOOKUP(K1558,[1]diabetes_Recognition!$A:$B,2,FALSE),"Not Sampled")</f>
        <v>Not Sampled</v>
      </c>
      <c r="K1558" s="1">
        <v>1556</v>
      </c>
      <c r="L1558" s="1">
        <f>LOOKUP(A1558,Sheet2!$D$4:$E$9)</f>
        <v>2</v>
      </c>
      <c r="M1558" t="str">
        <f>LOOKUP(B1558,Sheet2!$G$4:$H$9)</f>
        <v>1-99</v>
      </c>
      <c r="N1558" t="str">
        <f>LOOKUP(C1558,Sheet2!$J$4:$K$8)</f>
        <v>70-79</v>
      </c>
      <c r="O1558" t="str">
        <f>LOOKUP(D1558,Sheet2!$M$4:$N$8)</f>
        <v>10-30</v>
      </c>
      <c r="P1558" t="str">
        <f>LOOKUP(E1558,Sheet2!$P$4:$Q$9)</f>
        <v>1-99</v>
      </c>
      <c r="Q1558" t="str">
        <f>LOOKUP(F1558,Sheet2!$S$4:$T$8)</f>
        <v>26-30</v>
      </c>
      <c r="R1558" t="str">
        <f>LOOKUP(G1558,Sheet2!$V$4:$W$7)</f>
        <v>0.4 - 0.69</v>
      </c>
      <c r="S1558" t="str">
        <f>LOOKUP(H1558,Sheet2!$Z$4:$AA$7)</f>
        <v>&lt;=25</v>
      </c>
      <c r="T1558" t="str">
        <f t="shared" si="72"/>
        <v>Negative</v>
      </c>
      <c r="U1558" t="str">
        <f t="shared" si="73"/>
        <v>Not Sampled</v>
      </c>
      <c r="V1558" s="1" t="str">
        <f t="shared" si="74"/>
        <v>Not Sampled</v>
      </c>
    </row>
    <row r="1559" spans="1:22" x14ac:dyDescent="0.25">
      <c r="A1559" s="1">
        <v>7</v>
      </c>
      <c r="B1559" s="1">
        <v>195</v>
      </c>
      <c r="C1559" s="1">
        <v>70</v>
      </c>
      <c r="D1559" s="1">
        <v>33</v>
      </c>
      <c r="E1559" s="1">
        <v>145</v>
      </c>
      <c r="F1559" s="1">
        <v>25.1</v>
      </c>
      <c r="G1559" s="1">
        <v>0.16300000000000001</v>
      </c>
      <c r="H1559" s="1">
        <v>55</v>
      </c>
      <c r="I1559" s="1">
        <v>1</v>
      </c>
      <c r="J1559" s="1" t="str">
        <f>IFERROR(VLOOKUP(K1559,[1]diabetes_Recognition!$A:$B,2,FALSE),"Not Sampled")</f>
        <v>Not Sampled</v>
      </c>
      <c r="K1559" s="1">
        <v>1557</v>
      </c>
      <c r="L1559" s="1" t="str">
        <f>LOOKUP(A1559,Sheet2!$D$4:$E$9)</f>
        <v>5-7</v>
      </c>
      <c r="M1559" t="str">
        <f>LOOKUP(B1559,Sheet2!$G$4:$H$9)</f>
        <v>176-200</v>
      </c>
      <c r="N1559" t="str">
        <f>LOOKUP(C1559,Sheet2!$J$4:$K$8)</f>
        <v>70-79</v>
      </c>
      <c r="O1559" t="str">
        <f>LOOKUP(D1559,Sheet2!$M$4:$N$8)</f>
        <v>30-39</v>
      </c>
      <c r="P1559" t="str">
        <f>LOOKUP(E1559,Sheet2!$P$4:$Q$9)</f>
        <v>100-199</v>
      </c>
      <c r="Q1559" t="str">
        <f>LOOKUP(F1559,Sheet2!$S$4:$T$8)</f>
        <v>1-25</v>
      </c>
      <c r="R1559" t="str">
        <f>LOOKUP(G1559,Sheet2!$V$4:$W$7)</f>
        <v>0.0 - 0.249</v>
      </c>
      <c r="S1559" t="str">
        <f>LOOKUP(H1559,Sheet2!$Z$4:$AA$7)</f>
        <v>46+</v>
      </c>
      <c r="T1559" t="str">
        <f t="shared" si="72"/>
        <v>Positive</v>
      </c>
      <c r="U1559" t="str">
        <f t="shared" si="73"/>
        <v>Not Sampled</v>
      </c>
      <c r="V1559" s="1" t="str">
        <f t="shared" si="74"/>
        <v>Not Sampled</v>
      </c>
    </row>
    <row r="1560" spans="1:22" x14ac:dyDescent="0.25">
      <c r="A1560" s="1">
        <v>6</v>
      </c>
      <c r="B1560" s="1">
        <v>154</v>
      </c>
      <c r="C1560" s="1">
        <v>74</v>
      </c>
      <c r="D1560" s="1">
        <v>32</v>
      </c>
      <c r="E1560" s="1">
        <v>193</v>
      </c>
      <c r="F1560" s="1">
        <v>29.3</v>
      </c>
      <c r="G1560" s="1">
        <v>0.83899999999999997</v>
      </c>
      <c r="H1560" s="1">
        <v>39</v>
      </c>
      <c r="I1560" s="1">
        <v>0</v>
      </c>
      <c r="J1560" s="1" t="str">
        <f>IFERROR(VLOOKUP(K1560,[1]diabetes_Recognition!$A:$B,2,FALSE),"Not Sampled")</f>
        <v>Not Sampled</v>
      </c>
      <c r="K1560" s="1">
        <v>1558</v>
      </c>
      <c r="L1560" s="1" t="str">
        <f>LOOKUP(A1560,Sheet2!$D$4:$E$9)</f>
        <v>5-7</v>
      </c>
      <c r="M1560" t="str">
        <f>LOOKUP(B1560,Sheet2!$G$4:$H$9)</f>
        <v>151-175</v>
      </c>
      <c r="N1560" t="str">
        <f>LOOKUP(C1560,Sheet2!$J$4:$K$8)</f>
        <v>70-79</v>
      </c>
      <c r="O1560" t="str">
        <f>LOOKUP(D1560,Sheet2!$M$4:$N$8)</f>
        <v>30-39</v>
      </c>
      <c r="P1560" t="str">
        <f>LOOKUP(E1560,Sheet2!$P$4:$Q$9)</f>
        <v>100-199</v>
      </c>
      <c r="Q1560" t="str">
        <f>LOOKUP(F1560,Sheet2!$S$4:$T$8)</f>
        <v>26-30</v>
      </c>
      <c r="R1560" t="str">
        <f>LOOKUP(G1560,Sheet2!$V$4:$W$7)</f>
        <v>0.7+</v>
      </c>
      <c r="S1560" t="str">
        <f>LOOKUP(H1560,Sheet2!$Z$4:$AA$7)</f>
        <v>36-45</v>
      </c>
      <c r="T1560" t="str">
        <f t="shared" si="72"/>
        <v>Negative</v>
      </c>
      <c r="U1560" t="str">
        <f t="shared" si="73"/>
        <v>Not Sampled</v>
      </c>
      <c r="V1560" s="1" t="str">
        <f t="shared" si="74"/>
        <v>Not Sampled</v>
      </c>
    </row>
    <row r="1561" spans="1:22" x14ac:dyDescent="0.25">
      <c r="A1561" s="1">
        <v>0</v>
      </c>
      <c r="B1561" s="1">
        <v>136</v>
      </c>
      <c r="C1561" s="1">
        <v>74</v>
      </c>
      <c r="D1561" s="1">
        <v>49</v>
      </c>
      <c r="E1561" s="1">
        <v>220</v>
      </c>
      <c r="F1561" s="1">
        <v>20.100000000000001</v>
      </c>
      <c r="G1561" s="1">
        <v>0.82</v>
      </c>
      <c r="H1561" s="1">
        <v>44</v>
      </c>
      <c r="I1561" s="1">
        <v>1</v>
      </c>
      <c r="J1561" s="1" t="str">
        <f>IFERROR(VLOOKUP(K1561,[1]diabetes_Recognition!$A:$B,2,FALSE),"Not Sampled")</f>
        <v>Not Sampled</v>
      </c>
      <c r="K1561" s="1">
        <v>1559</v>
      </c>
      <c r="L1561" s="1">
        <f>LOOKUP(A1561,Sheet2!$D$4:$E$9)</f>
        <v>0</v>
      </c>
      <c r="M1561" t="str">
        <f>LOOKUP(B1561,Sheet2!$G$4:$H$9)</f>
        <v>126-150</v>
      </c>
      <c r="N1561" t="str">
        <f>LOOKUP(C1561,Sheet2!$J$4:$K$8)</f>
        <v>70-79</v>
      </c>
      <c r="O1561" t="str">
        <f>LOOKUP(D1561,Sheet2!$M$4:$N$8)</f>
        <v>40+</v>
      </c>
      <c r="P1561" t="str">
        <f>LOOKUP(E1561,Sheet2!$P$4:$Q$9)</f>
        <v>200-399</v>
      </c>
      <c r="Q1561" t="str">
        <f>LOOKUP(F1561,Sheet2!$S$4:$T$8)</f>
        <v>1-25</v>
      </c>
      <c r="R1561" t="str">
        <f>LOOKUP(G1561,Sheet2!$V$4:$W$7)</f>
        <v>0.7+</v>
      </c>
      <c r="S1561" t="str">
        <f>LOOKUP(H1561,Sheet2!$Z$4:$AA$7)</f>
        <v>36-45</v>
      </c>
      <c r="T1561" t="str">
        <f t="shared" si="72"/>
        <v>Positive</v>
      </c>
      <c r="U1561" t="str">
        <f t="shared" si="73"/>
        <v>Not Sampled</v>
      </c>
      <c r="V1561" s="1" t="str">
        <f t="shared" si="74"/>
        <v>Not Sampled</v>
      </c>
    </row>
    <row r="1562" spans="1:22" x14ac:dyDescent="0.25">
      <c r="A1562" s="1">
        <v>0</v>
      </c>
      <c r="B1562" s="1">
        <v>126</v>
      </c>
      <c r="C1562" s="1">
        <v>84</v>
      </c>
      <c r="D1562" s="1">
        <v>29</v>
      </c>
      <c r="E1562" s="1">
        <v>215</v>
      </c>
      <c r="F1562" s="1">
        <v>30.7</v>
      </c>
      <c r="G1562" s="1">
        <v>0.52</v>
      </c>
      <c r="H1562" s="1">
        <v>24</v>
      </c>
      <c r="I1562" s="1">
        <v>0</v>
      </c>
      <c r="J1562" s="1" t="str">
        <f>IFERROR(VLOOKUP(K1562,[1]diabetes_Recognition!$A:$B,2,FALSE),"Not Sampled")</f>
        <v>Not Sampled</v>
      </c>
      <c r="K1562" s="1">
        <v>1560</v>
      </c>
      <c r="L1562" s="1">
        <f>LOOKUP(A1562,Sheet2!$D$4:$E$9)</f>
        <v>0</v>
      </c>
      <c r="M1562" t="str">
        <f>LOOKUP(B1562,Sheet2!$G$4:$H$9)</f>
        <v>126-150</v>
      </c>
      <c r="N1562" t="str">
        <f>LOOKUP(C1562,Sheet2!$J$4:$K$8)</f>
        <v>80+</v>
      </c>
      <c r="O1562" t="str">
        <f>LOOKUP(D1562,Sheet2!$M$4:$N$8)</f>
        <v>10-30</v>
      </c>
      <c r="P1562" t="str">
        <f>LOOKUP(E1562,Sheet2!$P$4:$Q$9)</f>
        <v>200-399</v>
      </c>
      <c r="Q1562" t="str">
        <f>LOOKUP(F1562,Sheet2!$S$4:$T$8)</f>
        <v>26-30</v>
      </c>
      <c r="R1562" t="str">
        <f>LOOKUP(G1562,Sheet2!$V$4:$W$7)</f>
        <v>0.4 - 0.69</v>
      </c>
      <c r="S1562" t="str">
        <f>LOOKUP(H1562,Sheet2!$Z$4:$AA$7)</f>
        <v>&lt;=25</v>
      </c>
      <c r="T1562" t="str">
        <f t="shared" si="72"/>
        <v>Negative</v>
      </c>
      <c r="U1562" t="str">
        <f t="shared" si="73"/>
        <v>Not Sampled</v>
      </c>
      <c r="V1562" s="1" t="str">
        <f t="shared" si="74"/>
        <v>Not Sampled</v>
      </c>
    </row>
    <row r="1563" spans="1:22" x14ac:dyDescent="0.25">
      <c r="A1563" s="1">
        <v>0</v>
      </c>
      <c r="B1563" s="1">
        <v>116</v>
      </c>
      <c r="C1563" s="1">
        <v>64</v>
      </c>
      <c r="D1563" s="1">
        <v>39</v>
      </c>
      <c r="E1563" s="1">
        <v>225</v>
      </c>
      <c r="F1563" s="1">
        <v>40.200000000000003</v>
      </c>
      <c r="G1563" s="1">
        <v>0.72</v>
      </c>
      <c r="H1563" s="1">
        <v>50</v>
      </c>
      <c r="I1563" s="1">
        <v>0</v>
      </c>
      <c r="J1563" s="1">
        <f>IFERROR(VLOOKUP(K1563,[1]diabetes_Recognition!$A:$B,2,FALSE),"Not Sampled")</f>
        <v>0</v>
      </c>
      <c r="K1563" s="1">
        <v>1561</v>
      </c>
      <c r="L1563" s="1">
        <f>LOOKUP(A1563,Sheet2!$D$4:$E$9)</f>
        <v>0</v>
      </c>
      <c r="M1563" t="str">
        <f>LOOKUP(B1563,Sheet2!$G$4:$H$9)</f>
        <v>100-125</v>
      </c>
      <c r="N1563" t="str">
        <f>LOOKUP(C1563,Sheet2!$J$4:$K$8)</f>
        <v>60-69</v>
      </c>
      <c r="O1563" t="str">
        <f>LOOKUP(D1563,Sheet2!$M$4:$N$8)</f>
        <v>30-39</v>
      </c>
      <c r="P1563" t="str">
        <f>LOOKUP(E1563,Sheet2!$P$4:$Q$9)</f>
        <v>200-399</v>
      </c>
      <c r="Q1563" t="str">
        <f>LOOKUP(F1563,Sheet2!$S$4:$T$8)</f>
        <v>36+</v>
      </c>
      <c r="R1563" t="str">
        <f>LOOKUP(G1563,Sheet2!$V$4:$W$7)</f>
        <v>0.7+</v>
      </c>
      <c r="S1563" t="str">
        <f>LOOKUP(H1563,Sheet2!$Z$4:$AA$7)</f>
        <v>46+</v>
      </c>
      <c r="T1563" t="str">
        <f t="shared" si="72"/>
        <v>Negative</v>
      </c>
      <c r="U1563" t="str">
        <f t="shared" si="73"/>
        <v>Negative</v>
      </c>
      <c r="V1563" s="1" t="str">
        <f t="shared" si="74"/>
        <v>Accurate Prediction</v>
      </c>
    </row>
    <row r="1564" spans="1:22" x14ac:dyDescent="0.25">
      <c r="A1564" s="1">
        <v>2</v>
      </c>
      <c r="B1564" s="1">
        <v>142</v>
      </c>
      <c r="C1564" s="1">
        <v>94</v>
      </c>
      <c r="D1564" s="1">
        <v>59</v>
      </c>
      <c r="E1564" s="1">
        <v>177</v>
      </c>
      <c r="F1564" s="1">
        <v>38.299999999999997</v>
      </c>
      <c r="G1564" s="1">
        <v>0.62</v>
      </c>
      <c r="H1564" s="1">
        <v>63</v>
      </c>
      <c r="I1564" s="1">
        <v>1</v>
      </c>
      <c r="J1564" s="1" t="str">
        <f>IFERROR(VLOOKUP(K1564,[1]diabetes_Recognition!$A:$B,2,FALSE),"Not Sampled")</f>
        <v>Not Sampled</v>
      </c>
      <c r="K1564" s="1">
        <v>1562</v>
      </c>
      <c r="L1564" s="1">
        <f>LOOKUP(A1564,Sheet2!$D$4:$E$9)</f>
        <v>2</v>
      </c>
      <c r="M1564" t="str">
        <f>LOOKUP(B1564,Sheet2!$G$4:$H$9)</f>
        <v>126-150</v>
      </c>
      <c r="N1564" t="str">
        <f>LOOKUP(C1564,Sheet2!$J$4:$K$8)</f>
        <v>80+</v>
      </c>
      <c r="O1564" t="str">
        <f>LOOKUP(D1564,Sheet2!$M$4:$N$8)</f>
        <v>40+</v>
      </c>
      <c r="P1564" t="str">
        <f>LOOKUP(E1564,Sheet2!$P$4:$Q$9)</f>
        <v>100-199</v>
      </c>
      <c r="Q1564" t="str">
        <f>LOOKUP(F1564,Sheet2!$S$4:$T$8)</f>
        <v>36+</v>
      </c>
      <c r="R1564" t="str">
        <f>LOOKUP(G1564,Sheet2!$V$4:$W$7)</f>
        <v>0.4 - 0.69</v>
      </c>
      <c r="S1564" t="str">
        <f>LOOKUP(H1564,Sheet2!$Z$4:$AA$7)</f>
        <v>46+</v>
      </c>
      <c r="T1564" t="str">
        <f t="shared" si="72"/>
        <v>Positive</v>
      </c>
      <c r="U1564" t="str">
        <f t="shared" si="73"/>
        <v>Not Sampled</v>
      </c>
      <c r="V1564" s="1" t="str">
        <f t="shared" si="74"/>
        <v>Not Sampled</v>
      </c>
    </row>
    <row r="1565" spans="1:22" x14ac:dyDescent="0.25">
      <c r="A1565" s="1">
        <v>4</v>
      </c>
      <c r="B1565" s="1">
        <v>183</v>
      </c>
      <c r="C1565" s="1">
        <v>66</v>
      </c>
      <c r="D1565" s="1">
        <v>0</v>
      </c>
      <c r="E1565" s="1">
        <v>215</v>
      </c>
      <c r="F1565" s="1">
        <v>80.599999999999994</v>
      </c>
      <c r="G1565" s="1">
        <v>0.65400000000000003</v>
      </c>
      <c r="H1565" s="1">
        <v>40</v>
      </c>
      <c r="I1565" s="1">
        <v>0</v>
      </c>
      <c r="J1565" s="1" t="str">
        <f>IFERROR(VLOOKUP(K1565,[1]diabetes_Recognition!$A:$B,2,FALSE),"Not Sampled")</f>
        <v>Not Sampled</v>
      </c>
      <c r="K1565" s="1">
        <v>1563</v>
      </c>
      <c r="L1565" s="1" t="str">
        <f>LOOKUP(A1565,Sheet2!$D$4:$E$9)</f>
        <v>3-4</v>
      </c>
      <c r="M1565" t="str">
        <f>LOOKUP(B1565,Sheet2!$G$4:$H$9)</f>
        <v>176-200</v>
      </c>
      <c r="N1565" t="str">
        <f>LOOKUP(C1565,Sheet2!$J$4:$K$8)</f>
        <v>60-69</v>
      </c>
      <c r="O1565" t="str">
        <f>LOOKUP(D1565,Sheet2!$M$4:$N$8)</f>
        <v>Unknown</v>
      </c>
      <c r="P1565" t="str">
        <f>LOOKUP(E1565,Sheet2!$P$4:$Q$9)</f>
        <v>200-399</v>
      </c>
      <c r="Q1565" t="str">
        <f>LOOKUP(F1565,Sheet2!$S$4:$T$8)</f>
        <v>36+</v>
      </c>
      <c r="R1565" t="str">
        <f>LOOKUP(G1565,Sheet2!$V$4:$W$7)</f>
        <v>0.4 - 0.69</v>
      </c>
      <c r="S1565" t="str">
        <f>LOOKUP(H1565,Sheet2!$Z$4:$AA$7)</f>
        <v>36-45</v>
      </c>
      <c r="T1565" t="str">
        <f t="shared" si="72"/>
        <v>Negative</v>
      </c>
      <c r="U1565" t="str">
        <f t="shared" si="73"/>
        <v>Not Sampled</v>
      </c>
      <c r="V1565" s="1" t="str">
        <f t="shared" si="74"/>
        <v>Not Sampled</v>
      </c>
    </row>
    <row r="1566" spans="1:22" x14ac:dyDescent="0.25">
      <c r="A1566" s="1">
        <v>1</v>
      </c>
      <c r="B1566" s="1">
        <v>100</v>
      </c>
      <c r="C1566" s="1">
        <v>62</v>
      </c>
      <c r="D1566" s="1">
        <v>0</v>
      </c>
      <c r="E1566" s="1">
        <v>0</v>
      </c>
      <c r="F1566" s="1">
        <v>64.400000000000006</v>
      </c>
      <c r="G1566" s="1">
        <v>0.152</v>
      </c>
      <c r="H1566" s="1">
        <v>36</v>
      </c>
      <c r="I1566" s="1">
        <v>0</v>
      </c>
      <c r="J1566" s="1" t="str">
        <f>IFERROR(VLOOKUP(K1566,[1]diabetes_Recognition!$A:$B,2,FALSE),"Not Sampled")</f>
        <v>Not Sampled</v>
      </c>
      <c r="K1566" s="1">
        <v>1564</v>
      </c>
      <c r="L1566" s="1">
        <f>LOOKUP(A1566,Sheet2!$D$4:$E$9)</f>
        <v>1</v>
      </c>
      <c r="M1566" t="str">
        <f>LOOKUP(B1566,Sheet2!$G$4:$H$9)</f>
        <v>100-125</v>
      </c>
      <c r="N1566" t="str">
        <f>LOOKUP(C1566,Sheet2!$J$4:$K$8)</f>
        <v>60-69</v>
      </c>
      <c r="O1566" t="str">
        <f>LOOKUP(D1566,Sheet2!$M$4:$N$8)</f>
        <v>Unknown</v>
      </c>
      <c r="P1566" t="str">
        <f>LOOKUP(E1566,Sheet2!$P$4:$Q$9)</f>
        <v>Unknown</v>
      </c>
      <c r="Q1566" t="str">
        <f>LOOKUP(F1566,Sheet2!$S$4:$T$8)</f>
        <v>36+</v>
      </c>
      <c r="R1566" t="str">
        <f>LOOKUP(G1566,Sheet2!$V$4:$W$7)</f>
        <v>0.0 - 0.249</v>
      </c>
      <c r="S1566" t="str">
        <f>LOOKUP(H1566,Sheet2!$Z$4:$AA$7)</f>
        <v>36-45</v>
      </c>
      <c r="T1566" t="str">
        <f t="shared" si="72"/>
        <v>Negative</v>
      </c>
      <c r="U1566" t="str">
        <f t="shared" si="73"/>
        <v>Not Sampled</v>
      </c>
      <c r="V1566" s="1" t="str">
        <f t="shared" si="74"/>
        <v>Not Sampled</v>
      </c>
    </row>
    <row r="1567" spans="1:22" x14ac:dyDescent="0.25">
      <c r="A1567" s="1">
        <v>0</v>
      </c>
      <c r="B1567" s="1">
        <v>163</v>
      </c>
      <c r="C1567" s="1">
        <v>40</v>
      </c>
      <c r="D1567" s="1">
        <v>23</v>
      </c>
      <c r="E1567" s="1">
        <v>64</v>
      </c>
      <c r="F1567" s="1">
        <v>40.700000000000003</v>
      </c>
      <c r="G1567" s="1">
        <v>0.32200000000000001</v>
      </c>
      <c r="H1567" s="1">
        <v>33</v>
      </c>
      <c r="I1567" s="1">
        <v>0</v>
      </c>
      <c r="J1567" s="1" t="str">
        <f>IFERROR(VLOOKUP(K1567,[1]diabetes_Recognition!$A:$B,2,FALSE),"Not Sampled")</f>
        <v>Not Sampled</v>
      </c>
      <c r="K1567" s="1">
        <v>1565</v>
      </c>
      <c r="L1567" s="1">
        <f>LOOKUP(A1567,Sheet2!$D$4:$E$9)</f>
        <v>0</v>
      </c>
      <c r="M1567" t="str">
        <f>LOOKUP(B1567,Sheet2!$G$4:$H$9)</f>
        <v>151-175</v>
      </c>
      <c r="N1567" t="str">
        <f>LOOKUP(C1567,Sheet2!$J$4:$K$8)</f>
        <v>1-59</v>
      </c>
      <c r="O1567" t="str">
        <f>LOOKUP(D1567,Sheet2!$M$4:$N$8)</f>
        <v>10-30</v>
      </c>
      <c r="P1567" t="str">
        <f>LOOKUP(E1567,Sheet2!$P$4:$Q$9)</f>
        <v>1-99</v>
      </c>
      <c r="Q1567" t="str">
        <f>LOOKUP(F1567,Sheet2!$S$4:$T$8)</f>
        <v>36+</v>
      </c>
      <c r="R1567" t="str">
        <f>LOOKUP(G1567,Sheet2!$V$4:$W$7)</f>
        <v>0.25 - 0.39</v>
      </c>
      <c r="S1567" t="str">
        <f>LOOKUP(H1567,Sheet2!$Z$4:$AA$7)</f>
        <v>26-35</v>
      </c>
      <c r="T1567" t="str">
        <f t="shared" si="72"/>
        <v>Negative</v>
      </c>
      <c r="U1567" t="str">
        <f t="shared" si="73"/>
        <v>Not Sampled</v>
      </c>
      <c r="V1567" s="1" t="str">
        <f t="shared" si="74"/>
        <v>Not Sampled</v>
      </c>
    </row>
    <row r="1568" spans="1:22" x14ac:dyDescent="0.25">
      <c r="A1568" s="1">
        <v>6</v>
      </c>
      <c r="B1568" s="1">
        <v>139</v>
      </c>
      <c r="C1568" s="1">
        <v>84</v>
      </c>
      <c r="D1568" s="1">
        <v>37</v>
      </c>
      <c r="E1568" s="1">
        <v>0</v>
      </c>
      <c r="F1568" s="1">
        <v>50.7</v>
      </c>
      <c r="G1568" s="1">
        <v>0.32</v>
      </c>
      <c r="H1568" s="1">
        <v>50</v>
      </c>
      <c r="I1568" s="1">
        <v>1</v>
      </c>
      <c r="J1568" s="1" t="str">
        <f>IFERROR(VLOOKUP(K1568,[1]diabetes_Recognition!$A:$B,2,FALSE),"Not Sampled")</f>
        <v>Not Sampled</v>
      </c>
      <c r="K1568" s="1">
        <v>1566</v>
      </c>
      <c r="L1568" s="1" t="str">
        <f>LOOKUP(A1568,Sheet2!$D$4:$E$9)</f>
        <v>5-7</v>
      </c>
      <c r="M1568" t="str">
        <f>LOOKUP(B1568,Sheet2!$G$4:$H$9)</f>
        <v>126-150</v>
      </c>
      <c r="N1568" t="str">
        <f>LOOKUP(C1568,Sheet2!$J$4:$K$8)</f>
        <v>80+</v>
      </c>
      <c r="O1568" t="str">
        <f>LOOKUP(D1568,Sheet2!$M$4:$N$8)</f>
        <v>30-39</v>
      </c>
      <c r="P1568" t="str">
        <f>LOOKUP(E1568,Sheet2!$P$4:$Q$9)</f>
        <v>Unknown</v>
      </c>
      <c r="Q1568" t="str">
        <f>LOOKUP(F1568,Sheet2!$S$4:$T$8)</f>
        <v>36+</v>
      </c>
      <c r="R1568" t="str">
        <f>LOOKUP(G1568,Sheet2!$V$4:$W$7)</f>
        <v>0.25 - 0.39</v>
      </c>
      <c r="S1568" t="str">
        <f>LOOKUP(H1568,Sheet2!$Z$4:$AA$7)</f>
        <v>46+</v>
      </c>
      <c r="T1568" t="str">
        <f t="shared" si="72"/>
        <v>Positive</v>
      </c>
      <c r="U1568" t="str">
        <f t="shared" si="73"/>
        <v>Not Sampled</v>
      </c>
      <c r="V1568" s="1" t="str">
        <f t="shared" si="74"/>
        <v>Not Sampled</v>
      </c>
    </row>
    <row r="1569" spans="1:22" x14ac:dyDescent="0.25">
      <c r="A1569" s="1">
        <v>2</v>
      </c>
      <c r="B1569" s="1">
        <v>167</v>
      </c>
      <c r="C1569" s="1">
        <v>44</v>
      </c>
      <c r="D1569" s="1">
        <v>30</v>
      </c>
      <c r="E1569" s="1">
        <v>140</v>
      </c>
      <c r="F1569" s="1">
        <v>52.7</v>
      </c>
      <c r="G1569" s="1">
        <v>0.45200000000000001</v>
      </c>
      <c r="H1569" s="1">
        <v>28</v>
      </c>
      <c r="I1569" s="1">
        <v>0</v>
      </c>
      <c r="J1569" s="1">
        <f>IFERROR(VLOOKUP(K1569,[1]diabetes_Recognition!$A:$B,2,FALSE),"Not Sampled")</f>
        <v>1</v>
      </c>
      <c r="K1569" s="1">
        <v>1567</v>
      </c>
      <c r="L1569" s="1">
        <f>LOOKUP(A1569,Sheet2!$D$4:$E$9)</f>
        <v>2</v>
      </c>
      <c r="M1569" t="str">
        <f>LOOKUP(B1569,Sheet2!$G$4:$H$9)</f>
        <v>151-175</v>
      </c>
      <c r="N1569" t="str">
        <f>LOOKUP(C1569,Sheet2!$J$4:$K$8)</f>
        <v>1-59</v>
      </c>
      <c r="O1569" t="str">
        <f>LOOKUP(D1569,Sheet2!$M$4:$N$8)</f>
        <v>30-39</v>
      </c>
      <c r="P1569" t="str">
        <f>LOOKUP(E1569,Sheet2!$P$4:$Q$9)</f>
        <v>100-199</v>
      </c>
      <c r="Q1569" t="str">
        <f>LOOKUP(F1569,Sheet2!$S$4:$T$8)</f>
        <v>36+</v>
      </c>
      <c r="R1569" t="str">
        <f>LOOKUP(G1569,Sheet2!$V$4:$W$7)</f>
        <v>0.4 - 0.69</v>
      </c>
      <c r="S1569" t="str">
        <f>LOOKUP(H1569,Sheet2!$Z$4:$AA$7)</f>
        <v>26-35</v>
      </c>
      <c r="T1569" t="str">
        <f t="shared" si="72"/>
        <v>Negative</v>
      </c>
      <c r="U1569" t="str">
        <f t="shared" si="73"/>
        <v>Positive</v>
      </c>
      <c r="V1569" s="1" t="str">
        <f t="shared" si="74"/>
        <v>Inaccurate Prediction</v>
      </c>
    </row>
    <row r="1570" spans="1:22" x14ac:dyDescent="0.25">
      <c r="A1570" s="1">
        <v>3</v>
      </c>
      <c r="B1570" s="1">
        <v>162</v>
      </c>
      <c r="C1570" s="1">
        <v>0</v>
      </c>
      <c r="D1570" s="1">
        <v>110</v>
      </c>
      <c r="E1570" s="1">
        <v>215</v>
      </c>
      <c r="F1570" s="1">
        <v>48.7</v>
      </c>
      <c r="G1570" s="1">
        <v>0.52</v>
      </c>
      <c r="H1570" s="1">
        <v>24</v>
      </c>
      <c r="I1570" s="1">
        <v>0</v>
      </c>
      <c r="J1570" s="1" t="str">
        <f>IFERROR(VLOOKUP(K1570,[1]diabetes_Recognition!$A:$B,2,FALSE),"Not Sampled")</f>
        <v>Not Sampled</v>
      </c>
      <c r="K1570" s="1">
        <v>1568</v>
      </c>
      <c r="L1570" s="1" t="str">
        <f>LOOKUP(A1570,Sheet2!$D$4:$E$9)</f>
        <v>3-4</v>
      </c>
      <c r="M1570" t="str">
        <f>LOOKUP(B1570,Sheet2!$G$4:$H$9)</f>
        <v>151-175</v>
      </c>
      <c r="N1570" t="str">
        <f>LOOKUP(C1570,Sheet2!$J$4:$K$8)</f>
        <v>Unknown</v>
      </c>
      <c r="O1570" t="str">
        <f>LOOKUP(D1570,Sheet2!$M$4:$N$8)</f>
        <v>40+</v>
      </c>
      <c r="P1570" t="str">
        <f>LOOKUP(E1570,Sheet2!$P$4:$Q$9)</f>
        <v>200-399</v>
      </c>
      <c r="Q1570" t="str">
        <f>LOOKUP(F1570,Sheet2!$S$4:$T$8)</f>
        <v>36+</v>
      </c>
      <c r="R1570" t="str">
        <f>LOOKUP(G1570,Sheet2!$V$4:$W$7)</f>
        <v>0.4 - 0.69</v>
      </c>
      <c r="S1570" t="str">
        <f>LOOKUP(H1570,Sheet2!$Z$4:$AA$7)</f>
        <v>&lt;=25</v>
      </c>
      <c r="T1570" t="str">
        <f t="shared" si="72"/>
        <v>Negative</v>
      </c>
      <c r="U1570" t="str">
        <f t="shared" si="73"/>
        <v>Not Sampled</v>
      </c>
      <c r="V1570" s="1" t="str">
        <f t="shared" si="74"/>
        <v>Not Sampled</v>
      </c>
    </row>
    <row r="1571" spans="1:22" x14ac:dyDescent="0.25">
      <c r="A1571" s="1">
        <v>0</v>
      </c>
      <c r="B1571" s="1">
        <v>173</v>
      </c>
      <c r="C1571" s="1">
        <v>78</v>
      </c>
      <c r="D1571" s="1">
        <v>32</v>
      </c>
      <c r="E1571" s="1">
        <v>265</v>
      </c>
      <c r="F1571" s="1">
        <v>46.5</v>
      </c>
      <c r="G1571" s="1">
        <v>1.159</v>
      </c>
      <c r="H1571" s="1">
        <v>58</v>
      </c>
      <c r="I1571" s="1">
        <v>0</v>
      </c>
      <c r="J1571" s="1" t="str">
        <f>IFERROR(VLOOKUP(K1571,[1]diabetes_Recognition!$A:$B,2,FALSE),"Not Sampled")</f>
        <v>Not Sampled</v>
      </c>
      <c r="K1571" s="1">
        <v>1569</v>
      </c>
      <c r="L1571" s="1">
        <f>LOOKUP(A1571,Sheet2!$D$4:$E$9)</f>
        <v>0</v>
      </c>
      <c r="M1571" t="str">
        <f>LOOKUP(B1571,Sheet2!$G$4:$H$9)</f>
        <v>151-175</v>
      </c>
      <c r="N1571" t="str">
        <f>LOOKUP(C1571,Sheet2!$J$4:$K$8)</f>
        <v>70-79</v>
      </c>
      <c r="O1571" t="str">
        <f>LOOKUP(D1571,Sheet2!$M$4:$N$8)</f>
        <v>30-39</v>
      </c>
      <c r="P1571" t="str">
        <f>LOOKUP(E1571,Sheet2!$P$4:$Q$9)</f>
        <v>200-399</v>
      </c>
      <c r="Q1571" t="str">
        <f>LOOKUP(F1571,Sheet2!$S$4:$T$8)</f>
        <v>36+</v>
      </c>
      <c r="R1571" t="str">
        <f>LOOKUP(G1571,Sheet2!$V$4:$W$7)</f>
        <v>0.7+</v>
      </c>
      <c r="S1571" t="str">
        <f>LOOKUP(H1571,Sheet2!$Z$4:$AA$7)</f>
        <v>46+</v>
      </c>
      <c r="T1571" t="str">
        <f t="shared" si="72"/>
        <v>Negative</v>
      </c>
      <c r="U1571" t="str">
        <f t="shared" si="73"/>
        <v>Not Sampled</v>
      </c>
      <c r="V1571" s="1" t="str">
        <f t="shared" si="74"/>
        <v>Not Sampled</v>
      </c>
    </row>
    <row r="1572" spans="1:22" x14ac:dyDescent="0.25">
      <c r="A1572" s="1">
        <v>4</v>
      </c>
      <c r="B1572" s="1">
        <v>99</v>
      </c>
      <c r="C1572" s="1">
        <v>72</v>
      </c>
      <c r="D1572" s="1">
        <v>17</v>
      </c>
      <c r="E1572" s="1">
        <v>0</v>
      </c>
      <c r="F1572" s="1">
        <v>25.6</v>
      </c>
      <c r="G1572" s="1">
        <v>0.29399999999999998</v>
      </c>
      <c r="H1572" s="1">
        <v>28</v>
      </c>
      <c r="I1572" s="1">
        <v>0</v>
      </c>
      <c r="J1572" s="1" t="str">
        <f>IFERROR(VLOOKUP(K1572,[1]diabetes_Recognition!$A:$B,2,FALSE),"Not Sampled")</f>
        <v>Not Sampled</v>
      </c>
      <c r="K1572" s="1">
        <v>1570</v>
      </c>
      <c r="L1572" s="1" t="str">
        <f>LOOKUP(A1572,Sheet2!$D$4:$E$9)</f>
        <v>3-4</v>
      </c>
      <c r="M1572" t="str">
        <f>LOOKUP(B1572,Sheet2!$G$4:$H$9)</f>
        <v>1-99</v>
      </c>
      <c r="N1572" t="str">
        <f>LOOKUP(C1572,Sheet2!$J$4:$K$8)</f>
        <v>70-79</v>
      </c>
      <c r="O1572" t="str">
        <f>LOOKUP(D1572,Sheet2!$M$4:$N$8)</f>
        <v>10-30</v>
      </c>
      <c r="P1572" t="str">
        <f>LOOKUP(E1572,Sheet2!$P$4:$Q$9)</f>
        <v>Unknown</v>
      </c>
      <c r="Q1572" t="str">
        <f>LOOKUP(F1572,Sheet2!$S$4:$T$8)</f>
        <v>1-25</v>
      </c>
      <c r="R1572" t="str">
        <f>LOOKUP(G1572,Sheet2!$V$4:$W$7)</f>
        <v>0.25 - 0.39</v>
      </c>
      <c r="S1572" t="str">
        <f>LOOKUP(H1572,Sheet2!$Z$4:$AA$7)</f>
        <v>26-35</v>
      </c>
      <c r="T1572" t="str">
        <f t="shared" si="72"/>
        <v>Negative</v>
      </c>
      <c r="U1572" t="str">
        <f t="shared" si="73"/>
        <v>Not Sampled</v>
      </c>
      <c r="V1572" s="1" t="str">
        <f t="shared" si="74"/>
        <v>Not Sampled</v>
      </c>
    </row>
    <row r="1573" spans="1:22" x14ac:dyDescent="0.25">
      <c r="A1573" s="1">
        <v>8</v>
      </c>
      <c r="B1573" s="1">
        <v>194</v>
      </c>
      <c r="C1573" s="1">
        <v>80</v>
      </c>
      <c r="D1573" s="1">
        <v>0</v>
      </c>
      <c r="E1573" s="1">
        <v>0</v>
      </c>
      <c r="F1573" s="1">
        <v>26.1</v>
      </c>
      <c r="G1573" s="1">
        <v>0.55100000000000005</v>
      </c>
      <c r="H1573" s="1">
        <v>67</v>
      </c>
      <c r="I1573" s="1">
        <v>0</v>
      </c>
      <c r="J1573" s="1" t="str">
        <f>IFERROR(VLOOKUP(K1573,[1]diabetes_Recognition!$A:$B,2,FALSE),"Not Sampled")</f>
        <v>Not Sampled</v>
      </c>
      <c r="K1573" s="1">
        <v>1571</v>
      </c>
      <c r="L1573" s="1" t="str">
        <f>LOOKUP(A1573,Sheet2!$D$4:$E$9)</f>
        <v>8+</v>
      </c>
      <c r="M1573" t="str">
        <f>LOOKUP(B1573,Sheet2!$G$4:$H$9)</f>
        <v>176-200</v>
      </c>
      <c r="N1573" t="str">
        <f>LOOKUP(C1573,Sheet2!$J$4:$K$8)</f>
        <v>80+</v>
      </c>
      <c r="O1573" t="str">
        <f>LOOKUP(D1573,Sheet2!$M$4:$N$8)</f>
        <v>Unknown</v>
      </c>
      <c r="P1573" t="str">
        <f>LOOKUP(E1573,Sheet2!$P$4:$Q$9)</f>
        <v>Unknown</v>
      </c>
      <c r="Q1573" t="str">
        <f>LOOKUP(F1573,Sheet2!$S$4:$T$8)</f>
        <v>26-30</v>
      </c>
      <c r="R1573" t="str">
        <f>LOOKUP(G1573,Sheet2!$V$4:$W$7)</f>
        <v>0.4 - 0.69</v>
      </c>
      <c r="S1573" t="str">
        <f>LOOKUP(H1573,Sheet2!$Z$4:$AA$7)</f>
        <v>46+</v>
      </c>
      <c r="T1573" t="str">
        <f t="shared" si="72"/>
        <v>Negative</v>
      </c>
      <c r="U1573" t="str">
        <f t="shared" si="73"/>
        <v>Not Sampled</v>
      </c>
      <c r="V1573" s="1" t="str">
        <f t="shared" si="74"/>
        <v>Not Sampled</v>
      </c>
    </row>
    <row r="1574" spans="1:22" x14ac:dyDescent="0.25">
      <c r="A1574" s="1">
        <v>2</v>
      </c>
      <c r="B1574" s="1">
        <v>83</v>
      </c>
      <c r="C1574" s="1">
        <v>65</v>
      </c>
      <c r="D1574" s="1">
        <v>28</v>
      </c>
      <c r="E1574" s="1">
        <v>66</v>
      </c>
      <c r="F1574" s="1">
        <v>36.799999999999997</v>
      </c>
      <c r="G1574" s="1">
        <v>0.629</v>
      </c>
      <c r="H1574" s="1">
        <v>24</v>
      </c>
      <c r="I1574" s="1">
        <v>0</v>
      </c>
      <c r="J1574" s="1" t="str">
        <f>IFERROR(VLOOKUP(K1574,[1]diabetes_Recognition!$A:$B,2,FALSE),"Not Sampled")</f>
        <v>Not Sampled</v>
      </c>
      <c r="K1574" s="1">
        <v>1572</v>
      </c>
      <c r="L1574" s="1">
        <f>LOOKUP(A1574,Sheet2!$D$4:$E$9)</f>
        <v>2</v>
      </c>
      <c r="M1574" t="str">
        <f>LOOKUP(B1574,Sheet2!$G$4:$H$9)</f>
        <v>1-99</v>
      </c>
      <c r="N1574" t="str">
        <f>LOOKUP(C1574,Sheet2!$J$4:$K$8)</f>
        <v>60-69</v>
      </c>
      <c r="O1574" t="str">
        <f>LOOKUP(D1574,Sheet2!$M$4:$N$8)</f>
        <v>10-30</v>
      </c>
      <c r="P1574" t="str">
        <f>LOOKUP(E1574,Sheet2!$P$4:$Q$9)</f>
        <v>1-99</v>
      </c>
      <c r="Q1574" t="str">
        <f>LOOKUP(F1574,Sheet2!$S$4:$T$8)</f>
        <v>36+</v>
      </c>
      <c r="R1574" t="str">
        <f>LOOKUP(G1574,Sheet2!$V$4:$W$7)</f>
        <v>0.4 - 0.69</v>
      </c>
      <c r="S1574" t="str">
        <f>LOOKUP(H1574,Sheet2!$Z$4:$AA$7)</f>
        <v>&lt;=25</v>
      </c>
      <c r="T1574" t="str">
        <f t="shared" si="72"/>
        <v>Negative</v>
      </c>
      <c r="U1574" t="str">
        <f t="shared" si="73"/>
        <v>Not Sampled</v>
      </c>
      <c r="V1574" s="1" t="str">
        <f t="shared" si="74"/>
        <v>Not Sampled</v>
      </c>
    </row>
    <row r="1575" spans="1:22" x14ac:dyDescent="0.25">
      <c r="A1575" s="1">
        <v>2</v>
      </c>
      <c r="B1575" s="1">
        <v>89</v>
      </c>
      <c r="C1575" s="1">
        <v>90</v>
      </c>
      <c r="D1575" s="1">
        <v>30</v>
      </c>
      <c r="E1575" s="1">
        <v>0</v>
      </c>
      <c r="F1575" s="1">
        <v>33.5</v>
      </c>
      <c r="G1575" s="1">
        <v>0.29199999999999998</v>
      </c>
      <c r="H1575" s="1">
        <v>42</v>
      </c>
      <c r="I1575" s="1">
        <v>0</v>
      </c>
      <c r="J1575" s="1" t="str">
        <f>IFERROR(VLOOKUP(K1575,[1]diabetes_Recognition!$A:$B,2,FALSE),"Not Sampled")</f>
        <v>Not Sampled</v>
      </c>
      <c r="K1575" s="1">
        <v>1573</v>
      </c>
      <c r="L1575" s="1">
        <f>LOOKUP(A1575,Sheet2!$D$4:$E$9)</f>
        <v>2</v>
      </c>
      <c r="M1575" t="str">
        <f>LOOKUP(B1575,Sheet2!$G$4:$H$9)</f>
        <v>1-99</v>
      </c>
      <c r="N1575" t="str">
        <f>LOOKUP(C1575,Sheet2!$J$4:$K$8)</f>
        <v>80+</v>
      </c>
      <c r="O1575" t="str">
        <f>LOOKUP(D1575,Sheet2!$M$4:$N$8)</f>
        <v>30-39</v>
      </c>
      <c r="P1575" t="str">
        <f>LOOKUP(E1575,Sheet2!$P$4:$Q$9)</f>
        <v>Unknown</v>
      </c>
      <c r="Q1575" t="str">
        <f>LOOKUP(F1575,Sheet2!$S$4:$T$8)</f>
        <v>31-35</v>
      </c>
      <c r="R1575" t="str">
        <f>LOOKUP(G1575,Sheet2!$V$4:$W$7)</f>
        <v>0.25 - 0.39</v>
      </c>
      <c r="S1575" t="str">
        <f>LOOKUP(H1575,Sheet2!$Z$4:$AA$7)</f>
        <v>36-45</v>
      </c>
      <c r="T1575" t="str">
        <f t="shared" si="72"/>
        <v>Negative</v>
      </c>
      <c r="U1575" t="str">
        <f t="shared" si="73"/>
        <v>Not Sampled</v>
      </c>
      <c r="V1575" s="1" t="str">
        <f t="shared" si="74"/>
        <v>Not Sampled</v>
      </c>
    </row>
    <row r="1576" spans="1:22" x14ac:dyDescent="0.25">
      <c r="A1576" s="1">
        <v>4</v>
      </c>
      <c r="B1576" s="1">
        <v>99</v>
      </c>
      <c r="C1576" s="1">
        <v>68</v>
      </c>
      <c r="D1576" s="1">
        <v>38</v>
      </c>
      <c r="E1576" s="1">
        <v>0</v>
      </c>
      <c r="F1576" s="1">
        <v>32.799999999999997</v>
      </c>
      <c r="G1576" s="1">
        <v>0.14499999999999999</v>
      </c>
      <c r="H1576" s="1">
        <v>33</v>
      </c>
      <c r="I1576" s="1">
        <v>0</v>
      </c>
      <c r="J1576" s="1" t="str">
        <f>IFERROR(VLOOKUP(K1576,[1]diabetes_Recognition!$A:$B,2,FALSE),"Not Sampled")</f>
        <v>Not Sampled</v>
      </c>
      <c r="K1576" s="1">
        <v>1574</v>
      </c>
      <c r="L1576" s="1" t="str">
        <f>LOOKUP(A1576,Sheet2!$D$4:$E$9)</f>
        <v>3-4</v>
      </c>
      <c r="M1576" t="str">
        <f>LOOKUP(B1576,Sheet2!$G$4:$H$9)</f>
        <v>1-99</v>
      </c>
      <c r="N1576" t="str">
        <f>LOOKUP(C1576,Sheet2!$J$4:$K$8)</f>
        <v>60-69</v>
      </c>
      <c r="O1576" t="str">
        <f>LOOKUP(D1576,Sheet2!$M$4:$N$8)</f>
        <v>30-39</v>
      </c>
      <c r="P1576" t="str">
        <f>LOOKUP(E1576,Sheet2!$P$4:$Q$9)</f>
        <v>Unknown</v>
      </c>
      <c r="Q1576" t="str">
        <f>LOOKUP(F1576,Sheet2!$S$4:$T$8)</f>
        <v>31-35</v>
      </c>
      <c r="R1576" t="str">
        <f>LOOKUP(G1576,Sheet2!$V$4:$W$7)</f>
        <v>0.0 - 0.249</v>
      </c>
      <c r="S1576" t="str">
        <f>LOOKUP(H1576,Sheet2!$Z$4:$AA$7)</f>
        <v>26-35</v>
      </c>
      <c r="T1576" t="str">
        <f t="shared" si="72"/>
        <v>Negative</v>
      </c>
      <c r="U1576" t="str">
        <f t="shared" si="73"/>
        <v>Not Sampled</v>
      </c>
      <c r="V1576" s="1" t="str">
        <f t="shared" si="74"/>
        <v>Not Sampled</v>
      </c>
    </row>
    <row r="1577" spans="1:22" x14ac:dyDescent="0.25">
      <c r="A1577" s="1">
        <v>4</v>
      </c>
      <c r="B1577" s="1">
        <v>125</v>
      </c>
      <c r="C1577" s="1">
        <v>70</v>
      </c>
      <c r="D1577" s="1">
        <v>18</v>
      </c>
      <c r="E1577" s="1">
        <v>122</v>
      </c>
      <c r="F1577" s="1">
        <v>28.9</v>
      </c>
      <c r="G1577" s="1">
        <v>1.1439999999999999</v>
      </c>
      <c r="H1577" s="1">
        <v>45</v>
      </c>
      <c r="I1577" s="1">
        <v>1</v>
      </c>
      <c r="J1577" s="1" t="str">
        <f>IFERROR(VLOOKUP(K1577,[1]diabetes_Recognition!$A:$B,2,FALSE),"Not Sampled")</f>
        <v>Not Sampled</v>
      </c>
      <c r="K1577" s="1">
        <v>1575</v>
      </c>
      <c r="L1577" s="1" t="str">
        <f>LOOKUP(A1577,Sheet2!$D$4:$E$9)</f>
        <v>3-4</v>
      </c>
      <c r="M1577" t="str">
        <f>LOOKUP(B1577,Sheet2!$G$4:$H$9)</f>
        <v>100-125</v>
      </c>
      <c r="N1577" t="str">
        <f>LOOKUP(C1577,Sheet2!$J$4:$K$8)</f>
        <v>70-79</v>
      </c>
      <c r="O1577" t="str">
        <f>LOOKUP(D1577,Sheet2!$M$4:$N$8)</f>
        <v>10-30</v>
      </c>
      <c r="P1577" t="str">
        <f>LOOKUP(E1577,Sheet2!$P$4:$Q$9)</f>
        <v>100-199</v>
      </c>
      <c r="Q1577" t="str">
        <f>LOOKUP(F1577,Sheet2!$S$4:$T$8)</f>
        <v>26-30</v>
      </c>
      <c r="R1577" t="str">
        <f>LOOKUP(G1577,Sheet2!$V$4:$W$7)</f>
        <v>0.7+</v>
      </c>
      <c r="S1577" t="str">
        <f>LOOKUP(H1577,Sheet2!$Z$4:$AA$7)</f>
        <v>36-45</v>
      </c>
      <c r="T1577" t="str">
        <f t="shared" si="72"/>
        <v>Positive</v>
      </c>
      <c r="U1577" t="str">
        <f t="shared" si="73"/>
        <v>Not Sampled</v>
      </c>
      <c r="V1577" s="1" t="str">
        <f t="shared" si="74"/>
        <v>Not Sampled</v>
      </c>
    </row>
    <row r="1578" spans="1:22" x14ac:dyDescent="0.25">
      <c r="A1578" s="1">
        <v>3</v>
      </c>
      <c r="B1578" s="1">
        <v>80</v>
      </c>
      <c r="C1578" s="1">
        <v>0</v>
      </c>
      <c r="D1578" s="1">
        <v>0</v>
      </c>
      <c r="E1578" s="1">
        <v>0</v>
      </c>
      <c r="F1578" s="1">
        <v>0</v>
      </c>
      <c r="G1578" s="1">
        <v>0.17399999999999999</v>
      </c>
      <c r="H1578" s="1">
        <v>22</v>
      </c>
      <c r="I1578" s="1">
        <v>0</v>
      </c>
      <c r="J1578" s="1" t="str">
        <f>IFERROR(VLOOKUP(K1578,[1]diabetes_Recognition!$A:$B,2,FALSE),"Not Sampled")</f>
        <v>Not Sampled</v>
      </c>
      <c r="K1578" s="1">
        <v>1576</v>
      </c>
      <c r="L1578" s="1" t="str">
        <f>LOOKUP(A1578,Sheet2!$D$4:$E$9)</f>
        <v>3-4</v>
      </c>
      <c r="M1578" t="str">
        <f>LOOKUP(B1578,Sheet2!$G$4:$H$9)</f>
        <v>1-99</v>
      </c>
      <c r="N1578" t="str">
        <f>LOOKUP(C1578,Sheet2!$J$4:$K$8)</f>
        <v>Unknown</v>
      </c>
      <c r="O1578" t="str">
        <f>LOOKUP(D1578,Sheet2!$M$4:$N$8)</f>
        <v>Unknown</v>
      </c>
      <c r="P1578" t="str">
        <f>LOOKUP(E1578,Sheet2!$P$4:$Q$9)</f>
        <v>Unknown</v>
      </c>
      <c r="Q1578" t="str">
        <f>LOOKUP(F1578,Sheet2!$S$4:$T$8)</f>
        <v>Unknown</v>
      </c>
      <c r="R1578" t="str">
        <f>LOOKUP(G1578,Sheet2!$V$4:$W$7)</f>
        <v>0.0 - 0.249</v>
      </c>
      <c r="S1578" t="str">
        <f>LOOKUP(H1578,Sheet2!$Z$4:$AA$7)</f>
        <v>&lt;=25</v>
      </c>
      <c r="T1578" t="str">
        <f t="shared" si="72"/>
        <v>Negative</v>
      </c>
      <c r="U1578" t="str">
        <f t="shared" si="73"/>
        <v>Not Sampled</v>
      </c>
      <c r="V1578" s="1" t="str">
        <f t="shared" si="74"/>
        <v>Not Sampled</v>
      </c>
    </row>
    <row r="1579" spans="1:22" x14ac:dyDescent="0.25">
      <c r="A1579" s="1">
        <v>6</v>
      </c>
      <c r="B1579" s="1">
        <v>166</v>
      </c>
      <c r="C1579" s="1">
        <v>74</v>
      </c>
      <c r="D1579" s="1">
        <v>0</v>
      </c>
      <c r="E1579" s="1">
        <v>0</v>
      </c>
      <c r="F1579" s="1">
        <v>26.6</v>
      </c>
      <c r="G1579" s="1">
        <v>0.30399999999999999</v>
      </c>
      <c r="H1579" s="1">
        <v>66</v>
      </c>
      <c r="I1579" s="1">
        <v>0</v>
      </c>
      <c r="J1579" s="1" t="str">
        <f>IFERROR(VLOOKUP(K1579,[1]diabetes_Recognition!$A:$B,2,FALSE),"Not Sampled")</f>
        <v>Not Sampled</v>
      </c>
      <c r="K1579" s="1">
        <v>1577</v>
      </c>
      <c r="L1579" s="1" t="str">
        <f>LOOKUP(A1579,Sheet2!$D$4:$E$9)</f>
        <v>5-7</v>
      </c>
      <c r="M1579" t="str">
        <f>LOOKUP(B1579,Sheet2!$G$4:$H$9)</f>
        <v>151-175</v>
      </c>
      <c r="N1579" t="str">
        <f>LOOKUP(C1579,Sheet2!$J$4:$K$8)</f>
        <v>70-79</v>
      </c>
      <c r="O1579" t="str">
        <f>LOOKUP(D1579,Sheet2!$M$4:$N$8)</f>
        <v>Unknown</v>
      </c>
      <c r="P1579" t="str">
        <f>LOOKUP(E1579,Sheet2!$P$4:$Q$9)</f>
        <v>Unknown</v>
      </c>
      <c r="Q1579" t="str">
        <f>LOOKUP(F1579,Sheet2!$S$4:$T$8)</f>
        <v>26-30</v>
      </c>
      <c r="R1579" t="str">
        <f>LOOKUP(G1579,Sheet2!$V$4:$W$7)</f>
        <v>0.25 - 0.39</v>
      </c>
      <c r="S1579" t="str">
        <f>LOOKUP(H1579,Sheet2!$Z$4:$AA$7)</f>
        <v>46+</v>
      </c>
      <c r="T1579" t="str">
        <f t="shared" si="72"/>
        <v>Negative</v>
      </c>
      <c r="U1579" t="str">
        <f t="shared" si="73"/>
        <v>Not Sampled</v>
      </c>
      <c r="V1579" s="1" t="str">
        <f t="shared" si="74"/>
        <v>Not Sampled</v>
      </c>
    </row>
    <row r="1580" spans="1:22" x14ac:dyDescent="0.25">
      <c r="A1580" s="1">
        <v>5</v>
      </c>
      <c r="B1580" s="1">
        <v>110</v>
      </c>
      <c r="C1580" s="1">
        <v>68</v>
      </c>
      <c r="D1580" s="1">
        <v>0</v>
      </c>
      <c r="E1580" s="1">
        <v>0</v>
      </c>
      <c r="F1580" s="1">
        <v>26</v>
      </c>
      <c r="G1580" s="1">
        <v>0.29199999999999998</v>
      </c>
      <c r="H1580" s="1">
        <v>30</v>
      </c>
      <c r="I1580" s="1">
        <v>0</v>
      </c>
      <c r="J1580" s="1" t="str">
        <f>IFERROR(VLOOKUP(K1580,[1]diabetes_Recognition!$A:$B,2,FALSE),"Not Sampled")</f>
        <v>Not Sampled</v>
      </c>
      <c r="K1580" s="1">
        <v>1578</v>
      </c>
      <c r="L1580" s="1" t="str">
        <f>LOOKUP(A1580,Sheet2!$D$4:$E$9)</f>
        <v>5-7</v>
      </c>
      <c r="M1580" t="str">
        <f>LOOKUP(B1580,Sheet2!$G$4:$H$9)</f>
        <v>100-125</v>
      </c>
      <c r="N1580" t="str">
        <f>LOOKUP(C1580,Sheet2!$J$4:$K$8)</f>
        <v>60-69</v>
      </c>
      <c r="O1580" t="str">
        <f>LOOKUP(D1580,Sheet2!$M$4:$N$8)</f>
        <v>Unknown</v>
      </c>
      <c r="P1580" t="str">
        <f>LOOKUP(E1580,Sheet2!$P$4:$Q$9)</f>
        <v>Unknown</v>
      </c>
      <c r="Q1580" t="str">
        <f>LOOKUP(F1580,Sheet2!$S$4:$T$8)</f>
        <v>26-30</v>
      </c>
      <c r="R1580" t="str">
        <f>LOOKUP(G1580,Sheet2!$V$4:$W$7)</f>
        <v>0.25 - 0.39</v>
      </c>
      <c r="S1580" t="str">
        <f>LOOKUP(H1580,Sheet2!$Z$4:$AA$7)</f>
        <v>26-35</v>
      </c>
      <c r="T1580" t="str">
        <f t="shared" si="72"/>
        <v>Negative</v>
      </c>
      <c r="U1580" t="str">
        <f t="shared" si="73"/>
        <v>Not Sampled</v>
      </c>
      <c r="V1580" s="1" t="str">
        <f t="shared" si="74"/>
        <v>Not Sampled</v>
      </c>
    </row>
    <row r="1581" spans="1:22" x14ac:dyDescent="0.25">
      <c r="A1581" s="1">
        <v>2</v>
      </c>
      <c r="B1581" s="1">
        <v>81</v>
      </c>
      <c r="C1581" s="1">
        <v>72</v>
      </c>
      <c r="D1581" s="1">
        <v>15</v>
      </c>
      <c r="E1581" s="1">
        <v>76</v>
      </c>
      <c r="F1581" s="1">
        <v>30.1</v>
      </c>
      <c r="G1581" s="1">
        <v>0.54700000000000004</v>
      </c>
      <c r="H1581" s="1">
        <v>25</v>
      </c>
      <c r="I1581" s="1">
        <v>0</v>
      </c>
      <c r="J1581" s="1" t="str">
        <f>IFERROR(VLOOKUP(K1581,[1]diabetes_Recognition!$A:$B,2,FALSE),"Not Sampled")</f>
        <v>Not Sampled</v>
      </c>
      <c r="K1581" s="1">
        <v>1579</v>
      </c>
      <c r="L1581" s="1">
        <f>LOOKUP(A1581,Sheet2!$D$4:$E$9)</f>
        <v>2</v>
      </c>
      <c r="M1581" t="str">
        <f>LOOKUP(B1581,Sheet2!$G$4:$H$9)</f>
        <v>1-99</v>
      </c>
      <c r="N1581" t="str">
        <f>LOOKUP(C1581,Sheet2!$J$4:$K$8)</f>
        <v>70-79</v>
      </c>
      <c r="O1581" t="str">
        <f>LOOKUP(D1581,Sheet2!$M$4:$N$8)</f>
        <v>10-30</v>
      </c>
      <c r="P1581" t="str">
        <f>LOOKUP(E1581,Sheet2!$P$4:$Q$9)</f>
        <v>1-99</v>
      </c>
      <c r="Q1581" t="str">
        <f>LOOKUP(F1581,Sheet2!$S$4:$T$8)</f>
        <v>26-30</v>
      </c>
      <c r="R1581" t="str">
        <f>LOOKUP(G1581,Sheet2!$V$4:$W$7)</f>
        <v>0.4 - 0.69</v>
      </c>
      <c r="S1581" t="str">
        <f>LOOKUP(H1581,Sheet2!$Z$4:$AA$7)</f>
        <v>&lt;=25</v>
      </c>
      <c r="T1581" t="str">
        <f t="shared" si="72"/>
        <v>Negative</v>
      </c>
      <c r="U1581" t="str">
        <f t="shared" si="73"/>
        <v>Not Sampled</v>
      </c>
      <c r="V1581" s="1" t="str">
        <f t="shared" si="74"/>
        <v>Not Sampled</v>
      </c>
    </row>
    <row r="1582" spans="1:22" x14ac:dyDescent="0.25">
      <c r="A1582" s="1">
        <v>7</v>
      </c>
      <c r="B1582" s="1">
        <v>195</v>
      </c>
      <c r="C1582" s="1">
        <v>70</v>
      </c>
      <c r="D1582" s="1">
        <v>33</v>
      </c>
      <c r="E1582" s="1">
        <v>145</v>
      </c>
      <c r="F1582" s="1">
        <v>25.1</v>
      </c>
      <c r="G1582" s="1">
        <v>0.16300000000000001</v>
      </c>
      <c r="H1582" s="1">
        <v>55</v>
      </c>
      <c r="I1582" s="1">
        <v>1</v>
      </c>
      <c r="J1582" s="1" t="str">
        <f>IFERROR(VLOOKUP(K1582,[1]diabetes_Recognition!$A:$B,2,FALSE),"Not Sampled")</f>
        <v>Not Sampled</v>
      </c>
      <c r="K1582" s="1">
        <v>1580</v>
      </c>
      <c r="L1582" s="1" t="str">
        <f>LOOKUP(A1582,Sheet2!$D$4:$E$9)</f>
        <v>5-7</v>
      </c>
      <c r="M1582" t="str">
        <f>LOOKUP(B1582,Sheet2!$G$4:$H$9)</f>
        <v>176-200</v>
      </c>
      <c r="N1582" t="str">
        <f>LOOKUP(C1582,Sheet2!$J$4:$K$8)</f>
        <v>70-79</v>
      </c>
      <c r="O1582" t="str">
        <f>LOOKUP(D1582,Sheet2!$M$4:$N$8)</f>
        <v>30-39</v>
      </c>
      <c r="P1582" t="str">
        <f>LOOKUP(E1582,Sheet2!$P$4:$Q$9)</f>
        <v>100-199</v>
      </c>
      <c r="Q1582" t="str">
        <f>LOOKUP(F1582,Sheet2!$S$4:$T$8)</f>
        <v>1-25</v>
      </c>
      <c r="R1582" t="str">
        <f>LOOKUP(G1582,Sheet2!$V$4:$W$7)</f>
        <v>0.0 - 0.249</v>
      </c>
      <c r="S1582" t="str">
        <f>LOOKUP(H1582,Sheet2!$Z$4:$AA$7)</f>
        <v>46+</v>
      </c>
      <c r="T1582" t="str">
        <f t="shared" si="72"/>
        <v>Positive</v>
      </c>
      <c r="U1582" t="str">
        <f t="shared" si="73"/>
        <v>Not Sampled</v>
      </c>
      <c r="V1582" s="1" t="str">
        <f t="shared" si="74"/>
        <v>Not Sampled</v>
      </c>
    </row>
    <row r="1583" spans="1:22" x14ac:dyDescent="0.25">
      <c r="A1583" s="1">
        <v>6</v>
      </c>
      <c r="B1583" s="1">
        <v>154</v>
      </c>
      <c r="C1583" s="1">
        <v>74</v>
      </c>
      <c r="D1583" s="1">
        <v>32</v>
      </c>
      <c r="E1583" s="1">
        <v>193</v>
      </c>
      <c r="F1583" s="1">
        <v>29.3</v>
      </c>
      <c r="G1583" s="1">
        <v>0.83899999999999997</v>
      </c>
      <c r="H1583" s="1">
        <v>39</v>
      </c>
      <c r="I1583" s="1">
        <v>0</v>
      </c>
      <c r="J1583" s="1" t="str">
        <f>IFERROR(VLOOKUP(K1583,[1]diabetes_Recognition!$A:$B,2,FALSE),"Not Sampled")</f>
        <v>Not Sampled</v>
      </c>
      <c r="K1583" s="1">
        <v>1581</v>
      </c>
      <c r="L1583" s="1" t="str">
        <f>LOOKUP(A1583,Sheet2!$D$4:$E$9)</f>
        <v>5-7</v>
      </c>
      <c r="M1583" t="str">
        <f>LOOKUP(B1583,Sheet2!$G$4:$H$9)</f>
        <v>151-175</v>
      </c>
      <c r="N1583" t="str">
        <f>LOOKUP(C1583,Sheet2!$J$4:$K$8)</f>
        <v>70-79</v>
      </c>
      <c r="O1583" t="str">
        <f>LOOKUP(D1583,Sheet2!$M$4:$N$8)</f>
        <v>30-39</v>
      </c>
      <c r="P1583" t="str">
        <f>LOOKUP(E1583,Sheet2!$P$4:$Q$9)</f>
        <v>100-199</v>
      </c>
      <c r="Q1583" t="str">
        <f>LOOKUP(F1583,Sheet2!$S$4:$T$8)</f>
        <v>26-30</v>
      </c>
      <c r="R1583" t="str">
        <f>LOOKUP(G1583,Sheet2!$V$4:$W$7)</f>
        <v>0.7+</v>
      </c>
      <c r="S1583" t="str">
        <f>LOOKUP(H1583,Sheet2!$Z$4:$AA$7)</f>
        <v>36-45</v>
      </c>
      <c r="T1583" t="str">
        <f t="shared" si="72"/>
        <v>Negative</v>
      </c>
      <c r="U1583" t="str">
        <f t="shared" si="73"/>
        <v>Not Sampled</v>
      </c>
      <c r="V1583" s="1" t="str">
        <f t="shared" si="74"/>
        <v>Not Sampled</v>
      </c>
    </row>
    <row r="1584" spans="1:22" x14ac:dyDescent="0.25">
      <c r="A1584" s="1">
        <v>0</v>
      </c>
      <c r="B1584" s="1">
        <v>136</v>
      </c>
      <c r="C1584" s="1">
        <v>74</v>
      </c>
      <c r="D1584" s="1">
        <v>49</v>
      </c>
      <c r="E1584" s="1">
        <v>220</v>
      </c>
      <c r="F1584" s="1">
        <v>20.100000000000001</v>
      </c>
      <c r="G1584" s="1">
        <v>0.82</v>
      </c>
      <c r="H1584" s="1">
        <v>44</v>
      </c>
      <c r="I1584" s="1">
        <v>1</v>
      </c>
      <c r="J1584" s="1">
        <f>IFERROR(VLOOKUP(K1584,[1]diabetes_Recognition!$A:$B,2,FALSE),"Not Sampled")</f>
        <v>0</v>
      </c>
      <c r="K1584" s="1">
        <v>1582</v>
      </c>
      <c r="L1584" s="1">
        <f>LOOKUP(A1584,Sheet2!$D$4:$E$9)</f>
        <v>0</v>
      </c>
      <c r="M1584" t="str">
        <f>LOOKUP(B1584,Sheet2!$G$4:$H$9)</f>
        <v>126-150</v>
      </c>
      <c r="N1584" t="str">
        <f>LOOKUP(C1584,Sheet2!$J$4:$K$8)</f>
        <v>70-79</v>
      </c>
      <c r="O1584" t="str">
        <f>LOOKUP(D1584,Sheet2!$M$4:$N$8)</f>
        <v>40+</v>
      </c>
      <c r="P1584" t="str">
        <f>LOOKUP(E1584,Sheet2!$P$4:$Q$9)</f>
        <v>200-399</v>
      </c>
      <c r="Q1584" t="str">
        <f>LOOKUP(F1584,Sheet2!$S$4:$T$8)</f>
        <v>1-25</v>
      </c>
      <c r="R1584" t="str">
        <f>LOOKUP(G1584,Sheet2!$V$4:$W$7)</f>
        <v>0.7+</v>
      </c>
      <c r="S1584" t="str">
        <f>LOOKUP(H1584,Sheet2!$Z$4:$AA$7)</f>
        <v>36-45</v>
      </c>
      <c r="T1584" t="str">
        <f t="shared" si="72"/>
        <v>Positive</v>
      </c>
      <c r="U1584" t="str">
        <f t="shared" si="73"/>
        <v>Negative</v>
      </c>
      <c r="V1584" s="1" t="str">
        <f t="shared" si="74"/>
        <v>Inaccurate Prediction</v>
      </c>
    </row>
    <row r="1585" spans="1:22" x14ac:dyDescent="0.25">
      <c r="A1585" s="1">
        <v>0</v>
      </c>
      <c r="B1585" s="1">
        <v>126</v>
      </c>
      <c r="C1585" s="1">
        <v>84</v>
      </c>
      <c r="D1585" s="1">
        <v>29</v>
      </c>
      <c r="E1585" s="1">
        <v>215</v>
      </c>
      <c r="F1585" s="1">
        <v>30.7</v>
      </c>
      <c r="G1585" s="1">
        <v>0.52</v>
      </c>
      <c r="H1585" s="1">
        <v>24</v>
      </c>
      <c r="I1585" s="1">
        <v>0</v>
      </c>
      <c r="J1585" s="1">
        <f>IFERROR(VLOOKUP(K1585,[1]diabetes_Recognition!$A:$B,2,FALSE),"Not Sampled")</f>
        <v>0</v>
      </c>
      <c r="K1585" s="1">
        <v>1583</v>
      </c>
      <c r="L1585" s="1">
        <f>LOOKUP(A1585,Sheet2!$D$4:$E$9)</f>
        <v>0</v>
      </c>
      <c r="M1585" t="str">
        <f>LOOKUP(B1585,Sheet2!$G$4:$H$9)</f>
        <v>126-150</v>
      </c>
      <c r="N1585" t="str">
        <f>LOOKUP(C1585,Sheet2!$J$4:$K$8)</f>
        <v>80+</v>
      </c>
      <c r="O1585" t="str">
        <f>LOOKUP(D1585,Sheet2!$M$4:$N$8)</f>
        <v>10-30</v>
      </c>
      <c r="P1585" t="str">
        <f>LOOKUP(E1585,Sheet2!$P$4:$Q$9)</f>
        <v>200-399</v>
      </c>
      <c r="Q1585" t="str">
        <f>LOOKUP(F1585,Sheet2!$S$4:$T$8)</f>
        <v>26-30</v>
      </c>
      <c r="R1585" t="str">
        <f>LOOKUP(G1585,Sheet2!$V$4:$W$7)</f>
        <v>0.4 - 0.69</v>
      </c>
      <c r="S1585" t="str">
        <f>LOOKUP(H1585,Sheet2!$Z$4:$AA$7)</f>
        <v>&lt;=25</v>
      </c>
      <c r="T1585" t="str">
        <f t="shared" si="72"/>
        <v>Negative</v>
      </c>
      <c r="U1585" t="str">
        <f t="shared" si="73"/>
        <v>Negative</v>
      </c>
      <c r="V1585" s="1" t="str">
        <f t="shared" si="74"/>
        <v>Accurate Prediction</v>
      </c>
    </row>
    <row r="1586" spans="1:22" x14ac:dyDescent="0.25">
      <c r="A1586" s="1">
        <v>0</v>
      </c>
      <c r="B1586" s="1">
        <v>116</v>
      </c>
      <c r="C1586" s="1">
        <v>64</v>
      </c>
      <c r="D1586" s="1">
        <v>39</v>
      </c>
      <c r="E1586" s="1">
        <v>225</v>
      </c>
      <c r="F1586" s="1">
        <v>40.200000000000003</v>
      </c>
      <c r="G1586" s="1">
        <v>0.72</v>
      </c>
      <c r="H1586" s="1">
        <v>50</v>
      </c>
      <c r="I1586" s="1">
        <v>0</v>
      </c>
      <c r="J1586" s="1" t="str">
        <f>IFERROR(VLOOKUP(K1586,[1]diabetes_Recognition!$A:$B,2,FALSE),"Not Sampled")</f>
        <v>Not Sampled</v>
      </c>
      <c r="K1586" s="1">
        <v>1584</v>
      </c>
      <c r="L1586" s="1">
        <f>LOOKUP(A1586,Sheet2!$D$4:$E$9)</f>
        <v>0</v>
      </c>
      <c r="M1586" t="str">
        <f>LOOKUP(B1586,Sheet2!$G$4:$H$9)</f>
        <v>100-125</v>
      </c>
      <c r="N1586" t="str">
        <f>LOOKUP(C1586,Sheet2!$J$4:$K$8)</f>
        <v>60-69</v>
      </c>
      <c r="O1586" t="str">
        <f>LOOKUP(D1586,Sheet2!$M$4:$N$8)</f>
        <v>30-39</v>
      </c>
      <c r="P1586" t="str">
        <f>LOOKUP(E1586,Sheet2!$P$4:$Q$9)</f>
        <v>200-399</v>
      </c>
      <c r="Q1586" t="str">
        <f>LOOKUP(F1586,Sheet2!$S$4:$T$8)</f>
        <v>36+</v>
      </c>
      <c r="R1586" t="str">
        <f>LOOKUP(G1586,Sheet2!$V$4:$W$7)</f>
        <v>0.7+</v>
      </c>
      <c r="S1586" t="str">
        <f>LOOKUP(H1586,Sheet2!$Z$4:$AA$7)</f>
        <v>46+</v>
      </c>
      <c r="T1586" t="str">
        <f t="shared" si="72"/>
        <v>Negative</v>
      </c>
      <c r="U1586" t="str">
        <f t="shared" si="73"/>
        <v>Not Sampled</v>
      </c>
      <c r="V1586" s="1" t="str">
        <f t="shared" si="74"/>
        <v>Not Sampled</v>
      </c>
    </row>
    <row r="1587" spans="1:22" x14ac:dyDescent="0.25">
      <c r="A1587" s="1">
        <v>2</v>
      </c>
      <c r="B1587" s="1">
        <v>142</v>
      </c>
      <c r="C1587" s="1">
        <v>94</v>
      </c>
      <c r="D1587" s="1">
        <v>59</v>
      </c>
      <c r="E1587" s="1">
        <v>177</v>
      </c>
      <c r="F1587" s="1">
        <v>38.299999999999997</v>
      </c>
      <c r="G1587" s="1">
        <v>0.62</v>
      </c>
      <c r="H1587" s="1">
        <v>63</v>
      </c>
      <c r="I1587" s="1">
        <v>1</v>
      </c>
      <c r="J1587" s="1" t="str">
        <f>IFERROR(VLOOKUP(K1587,[1]diabetes_Recognition!$A:$B,2,FALSE),"Not Sampled")</f>
        <v>Not Sampled</v>
      </c>
      <c r="K1587" s="1">
        <v>1585</v>
      </c>
      <c r="L1587" s="1">
        <f>LOOKUP(A1587,Sheet2!$D$4:$E$9)</f>
        <v>2</v>
      </c>
      <c r="M1587" t="str">
        <f>LOOKUP(B1587,Sheet2!$G$4:$H$9)</f>
        <v>126-150</v>
      </c>
      <c r="N1587" t="str">
        <f>LOOKUP(C1587,Sheet2!$J$4:$K$8)</f>
        <v>80+</v>
      </c>
      <c r="O1587" t="str">
        <f>LOOKUP(D1587,Sheet2!$M$4:$N$8)</f>
        <v>40+</v>
      </c>
      <c r="P1587" t="str">
        <f>LOOKUP(E1587,Sheet2!$P$4:$Q$9)</f>
        <v>100-199</v>
      </c>
      <c r="Q1587" t="str">
        <f>LOOKUP(F1587,Sheet2!$S$4:$T$8)</f>
        <v>36+</v>
      </c>
      <c r="R1587" t="str">
        <f>LOOKUP(G1587,Sheet2!$V$4:$W$7)</f>
        <v>0.4 - 0.69</v>
      </c>
      <c r="S1587" t="str">
        <f>LOOKUP(H1587,Sheet2!$Z$4:$AA$7)</f>
        <v>46+</v>
      </c>
      <c r="T1587" t="str">
        <f t="shared" si="72"/>
        <v>Positive</v>
      </c>
      <c r="U1587" t="str">
        <f t="shared" si="73"/>
        <v>Not Sampled</v>
      </c>
      <c r="V1587" s="1" t="str">
        <f t="shared" si="74"/>
        <v>Not Sampled</v>
      </c>
    </row>
    <row r="1588" spans="1:22" x14ac:dyDescent="0.25">
      <c r="A1588" s="1">
        <v>4</v>
      </c>
      <c r="B1588" s="1">
        <v>183</v>
      </c>
      <c r="C1588" s="1">
        <v>66</v>
      </c>
      <c r="D1588" s="1">
        <v>0</v>
      </c>
      <c r="E1588" s="1">
        <v>215</v>
      </c>
      <c r="F1588" s="1">
        <v>80.599999999999994</v>
      </c>
      <c r="G1588" s="1">
        <v>0.65400000000000003</v>
      </c>
      <c r="H1588" s="1">
        <v>40</v>
      </c>
      <c r="I1588" s="1">
        <v>0</v>
      </c>
      <c r="J1588" s="1" t="str">
        <f>IFERROR(VLOOKUP(K1588,[1]diabetes_Recognition!$A:$B,2,FALSE),"Not Sampled")</f>
        <v>Not Sampled</v>
      </c>
      <c r="K1588" s="1">
        <v>1586</v>
      </c>
      <c r="L1588" s="1" t="str">
        <f>LOOKUP(A1588,Sheet2!$D$4:$E$9)</f>
        <v>3-4</v>
      </c>
      <c r="M1588" t="str">
        <f>LOOKUP(B1588,Sheet2!$G$4:$H$9)</f>
        <v>176-200</v>
      </c>
      <c r="N1588" t="str">
        <f>LOOKUP(C1588,Sheet2!$J$4:$K$8)</f>
        <v>60-69</v>
      </c>
      <c r="O1588" t="str">
        <f>LOOKUP(D1588,Sheet2!$M$4:$N$8)</f>
        <v>Unknown</v>
      </c>
      <c r="P1588" t="str">
        <f>LOOKUP(E1588,Sheet2!$P$4:$Q$9)</f>
        <v>200-399</v>
      </c>
      <c r="Q1588" t="str">
        <f>LOOKUP(F1588,Sheet2!$S$4:$T$8)</f>
        <v>36+</v>
      </c>
      <c r="R1588" t="str">
        <f>LOOKUP(G1588,Sheet2!$V$4:$W$7)</f>
        <v>0.4 - 0.69</v>
      </c>
      <c r="S1588" t="str">
        <f>LOOKUP(H1588,Sheet2!$Z$4:$AA$7)</f>
        <v>36-45</v>
      </c>
      <c r="T1588" t="str">
        <f t="shared" si="72"/>
        <v>Negative</v>
      </c>
      <c r="U1588" t="str">
        <f t="shared" si="73"/>
        <v>Not Sampled</v>
      </c>
      <c r="V1588" s="1" t="str">
        <f t="shared" si="74"/>
        <v>Not Sampled</v>
      </c>
    </row>
    <row r="1589" spans="1:22" x14ac:dyDescent="0.25">
      <c r="A1589" s="1">
        <v>1</v>
      </c>
      <c r="B1589" s="1">
        <v>100</v>
      </c>
      <c r="C1589" s="1">
        <v>62</v>
      </c>
      <c r="D1589" s="1">
        <v>0</v>
      </c>
      <c r="E1589" s="1">
        <v>0</v>
      </c>
      <c r="F1589" s="1">
        <v>64.400000000000006</v>
      </c>
      <c r="G1589" s="1">
        <v>0.152</v>
      </c>
      <c r="H1589" s="1">
        <v>36</v>
      </c>
      <c r="I1589" s="1">
        <v>0</v>
      </c>
      <c r="J1589" s="1" t="str">
        <f>IFERROR(VLOOKUP(K1589,[1]diabetes_Recognition!$A:$B,2,FALSE),"Not Sampled")</f>
        <v>Not Sampled</v>
      </c>
      <c r="K1589" s="1">
        <v>1587</v>
      </c>
      <c r="L1589" s="1">
        <f>LOOKUP(A1589,Sheet2!$D$4:$E$9)</f>
        <v>1</v>
      </c>
      <c r="M1589" t="str">
        <f>LOOKUP(B1589,Sheet2!$G$4:$H$9)</f>
        <v>100-125</v>
      </c>
      <c r="N1589" t="str">
        <f>LOOKUP(C1589,Sheet2!$J$4:$K$8)</f>
        <v>60-69</v>
      </c>
      <c r="O1589" t="str">
        <f>LOOKUP(D1589,Sheet2!$M$4:$N$8)</f>
        <v>Unknown</v>
      </c>
      <c r="P1589" t="str">
        <f>LOOKUP(E1589,Sheet2!$P$4:$Q$9)</f>
        <v>Unknown</v>
      </c>
      <c r="Q1589" t="str">
        <f>LOOKUP(F1589,Sheet2!$S$4:$T$8)</f>
        <v>36+</v>
      </c>
      <c r="R1589" t="str">
        <f>LOOKUP(G1589,Sheet2!$V$4:$W$7)</f>
        <v>0.0 - 0.249</v>
      </c>
      <c r="S1589" t="str">
        <f>LOOKUP(H1589,Sheet2!$Z$4:$AA$7)</f>
        <v>36-45</v>
      </c>
      <c r="T1589" t="str">
        <f t="shared" si="72"/>
        <v>Negative</v>
      </c>
      <c r="U1589" t="str">
        <f t="shared" si="73"/>
        <v>Not Sampled</v>
      </c>
      <c r="V1589" s="1" t="str">
        <f t="shared" si="74"/>
        <v>Not Sampled</v>
      </c>
    </row>
    <row r="1590" spans="1:22" x14ac:dyDescent="0.25">
      <c r="A1590" s="1">
        <v>0</v>
      </c>
      <c r="B1590" s="1">
        <v>163</v>
      </c>
      <c r="C1590" s="1">
        <v>40</v>
      </c>
      <c r="D1590" s="1">
        <v>23</v>
      </c>
      <c r="E1590" s="1">
        <v>64</v>
      </c>
      <c r="F1590" s="1">
        <v>40.700000000000003</v>
      </c>
      <c r="G1590" s="1">
        <v>0.32200000000000001</v>
      </c>
      <c r="H1590" s="1">
        <v>33</v>
      </c>
      <c r="I1590" s="1">
        <v>0</v>
      </c>
      <c r="J1590" s="1" t="str">
        <f>IFERROR(VLOOKUP(K1590,[1]diabetes_Recognition!$A:$B,2,FALSE),"Not Sampled")</f>
        <v>Not Sampled</v>
      </c>
      <c r="K1590" s="1">
        <v>1588</v>
      </c>
      <c r="L1590" s="1">
        <f>LOOKUP(A1590,Sheet2!$D$4:$E$9)</f>
        <v>0</v>
      </c>
      <c r="M1590" t="str">
        <f>LOOKUP(B1590,Sheet2!$G$4:$H$9)</f>
        <v>151-175</v>
      </c>
      <c r="N1590" t="str">
        <f>LOOKUP(C1590,Sheet2!$J$4:$K$8)</f>
        <v>1-59</v>
      </c>
      <c r="O1590" t="str">
        <f>LOOKUP(D1590,Sheet2!$M$4:$N$8)</f>
        <v>10-30</v>
      </c>
      <c r="P1590" t="str">
        <f>LOOKUP(E1590,Sheet2!$P$4:$Q$9)</f>
        <v>1-99</v>
      </c>
      <c r="Q1590" t="str">
        <f>LOOKUP(F1590,Sheet2!$S$4:$T$8)</f>
        <v>36+</v>
      </c>
      <c r="R1590" t="str">
        <f>LOOKUP(G1590,Sheet2!$V$4:$W$7)</f>
        <v>0.25 - 0.39</v>
      </c>
      <c r="S1590" t="str">
        <f>LOOKUP(H1590,Sheet2!$Z$4:$AA$7)</f>
        <v>26-35</v>
      </c>
      <c r="T1590" t="str">
        <f t="shared" si="72"/>
        <v>Negative</v>
      </c>
      <c r="U1590" t="str">
        <f t="shared" si="73"/>
        <v>Not Sampled</v>
      </c>
      <c r="V1590" s="1" t="str">
        <f t="shared" si="74"/>
        <v>Not Sampled</v>
      </c>
    </row>
    <row r="1591" spans="1:22" x14ac:dyDescent="0.25">
      <c r="A1591" s="1">
        <v>6</v>
      </c>
      <c r="B1591" s="1">
        <v>139</v>
      </c>
      <c r="C1591" s="1">
        <v>84</v>
      </c>
      <c r="D1591" s="1">
        <v>37</v>
      </c>
      <c r="E1591" s="1">
        <v>0</v>
      </c>
      <c r="F1591" s="1">
        <v>50.7</v>
      </c>
      <c r="G1591" s="1">
        <v>0.32</v>
      </c>
      <c r="H1591" s="1">
        <v>50</v>
      </c>
      <c r="I1591" s="1">
        <v>1</v>
      </c>
      <c r="J1591" s="1" t="str">
        <f>IFERROR(VLOOKUP(K1591,[1]diabetes_Recognition!$A:$B,2,FALSE),"Not Sampled")</f>
        <v>Not Sampled</v>
      </c>
      <c r="K1591" s="1">
        <v>1589</v>
      </c>
      <c r="L1591" s="1" t="str">
        <f>LOOKUP(A1591,Sheet2!$D$4:$E$9)</f>
        <v>5-7</v>
      </c>
      <c r="M1591" t="str">
        <f>LOOKUP(B1591,Sheet2!$G$4:$H$9)</f>
        <v>126-150</v>
      </c>
      <c r="N1591" t="str">
        <f>LOOKUP(C1591,Sheet2!$J$4:$K$8)</f>
        <v>80+</v>
      </c>
      <c r="O1591" t="str">
        <f>LOOKUP(D1591,Sheet2!$M$4:$N$8)</f>
        <v>30-39</v>
      </c>
      <c r="P1591" t="str">
        <f>LOOKUP(E1591,Sheet2!$P$4:$Q$9)</f>
        <v>Unknown</v>
      </c>
      <c r="Q1591" t="str">
        <f>LOOKUP(F1591,Sheet2!$S$4:$T$8)</f>
        <v>36+</v>
      </c>
      <c r="R1591" t="str">
        <f>LOOKUP(G1591,Sheet2!$V$4:$W$7)</f>
        <v>0.25 - 0.39</v>
      </c>
      <c r="S1591" t="str">
        <f>LOOKUP(H1591,Sheet2!$Z$4:$AA$7)</f>
        <v>46+</v>
      </c>
      <c r="T1591" t="str">
        <f t="shared" si="72"/>
        <v>Positive</v>
      </c>
      <c r="U1591" t="str">
        <f t="shared" si="73"/>
        <v>Not Sampled</v>
      </c>
      <c r="V1591" s="1" t="str">
        <f t="shared" si="74"/>
        <v>Not Sampled</v>
      </c>
    </row>
    <row r="1592" spans="1:22" x14ac:dyDescent="0.25">
      <c r="A1592" s="1">
        <v>2</v>
      </c>
      <c r="B1592" s="1">
        <v>167</v>
      </c>
      <c r="C1592" s="1">
        <v>44</v>
      </c>
      <c r="D1592" s="1">
        <v>30</v>
      </c>
      <c r="E1592" s="1">
        <v>140</v>
      </c>
      <c r="F1592" s="1">
        <v>52.7</v>
      </c>
      <c r="G1592" s="1">
        <v>0.45200000000000001</v>
      </c>
      <c r="H1592" s="1">
        <v>28</v>
      </c>
      <c r="I1592" s="1">
        <v>0</v>
      </c>
      <c r="J1592" s="1" t="str">
        <f>IFERROR(VLOOKUP(K1592,[1]diabetes_Recognition!$A:$B,2,FALSE),"Not Sampled")</f>
        <v>Not Sampled</v>
      </c>
      <c r="K1592" s="1">
        <v>1590</v>
      </c>
      <c r="L1592" s="1">
        <f>LOOKUP(A1592,Sheet2!$D$4:$E$9)</f>
        <v>2</v>
      </c>
      <c r="M1592" t="str">
        <f>LOOKUP(B1592,Sheet2!$G$4:$H$9)</f>
        <v>151-175</v>
      </c>
      <c r="N1592" t="str">
        <f>LOOKUP(C1592,Sheet2!$J$4:$K$8)</f>
        <v>1-59</v>
      </c>
      <c r="O1592" t="str">
        <f>LOOKUP(D1592,Sheet2!$M$4:$N$8)</f>
        <v>30-39</v>
      </c>
      <c r="P1592" t="str">
        <f>LOOKUP(E1592,Sheet2!$P$4:$Q$9)</f>
        <v>100-199</v>
      </c>
      <c r="Q1592" t="str">
        <f>LOOKUP(F1592,Sheet2!$S$4:$T$8)</f>
        <v>36+</v>
      </c>
      <c r="R1592" t="str">
        <f>LOOKUP(G1592,Sheet2!$V$4:$W$7)</f>
        <v>0.4 - 0.69</v>
      </c>
      <c r="S1592" t="str">
        <f>LOOKUP(H1592,Sheet2!$Z$4:$AA$7)</f>
        <v>26-35</v>
      </c>
      <c r="T1592" t="str">
        <f t="shared" si="72"/>
        <v>Negative</v>
      </c>
      <c r="U1592" t="str">
        <f t="shared" si="73"/>
        <v>Not Sampled</v>
      </c>
      <c r="V1592" s="1" t="str">
        <f t="shared" si="74"/>
        <v>Not Sampled</v>
      </c>
    </row>
    <row r="1593" spans="1:22" x14ac:dyDescent="0.25">
      <c r="A1593" s="1">
        <v>3</v>
      </c>
      <c r="B1593" s="1">
        <v>162</v>
      </c>
      <c r="C1593" s="1">
        <v>0</v>
      </c>
      <c r="D1593" s="1">
        <v>110</v>
      </c>
      <c r="E1593" s="1">
        <v>215</v>
      </c>
      <c r="F1593" s="1">
        <v>48.7</v>
      </c>
      <c r="G1593" s="1">
        <v>0.52</v>
      </c>
      <c r="H1593" s="1">
        <v>24</v>
      </c>
      <c r="I1593" s="1">
        <v>0</v>
      </c>
      <c r="J1593" s="1" t="str">
        <f>IFERROR(VLOOKUP(K1593,[1]diabetes_Recognition!$A:$B,2,FALSE),"Not Sampled")</f>
        <v>Not Sampled</v>
      </c>
      <c r="K1593" s="1">
        <v>1591</v>
      </c>
      <c r="L1593" s="1" t="str">
        <f>LOOKUP(A1593,Sheet2!$D$4:$E$9)</f>
        <v>3-4</v>
      </c>
      <c r="M1593" t="str">
        <f>LOOKUP(B1593,Sheet2!$G$4:$H$9)</f>
        <v>151-175</v>
      </c>
      <c r="N1593" t="str">
        <f>LOOKUP(C1593,Sheet2!$J$4:$K$8)</f>
        <v>Unknown</v>
      </c>
      <c r="O1593" t="str">
        <f>LOOKUP(D1593,Sheet2!$M$4:$N$8)</f>
        <v>40+</v>
      </c>
      <c r="P1593" t="str">
        <f>LOOKUP(E1593,Sheet2!$P$4:$Q$9)</f>
        <v>200-399</v>
      </c>
      <c r="Q1593" t="str">
        <f>LOOKUP(F1593,Sheet2!$S$4:$T$8)</f>
        <v>36+</v>
      </c>
      <c r="R1593" t="str">
        <f>LOOKUP(G1593,Sheet2!$V$4:$W$7)</f>
        <v>0.4 - 0.69</v>
      </c>
      <c r="S1593" t="str">
        <f>LOOKUP(H1593,Sheet2!$Z$4:$AA$7)</f>
        <v>&lt;=25</v>
      </c>
      <c r="T1593" t="str">
        <f t="shared" si="72"/>
        <v>Negative</v>
      </c>
      <c r="U1593" t="str">
        <f t="shared" si="73"/>
        <v>Not Sampled</v>
      </c>
      <c r="V1593" s="1" t="str">
        <f t="shared" si="74"/>
        <v>Not Sampled</v>
      </c>
    </row>
    <row r="1594" spans="1:22" x14ac:dyDescent="0.25">
      <c r="A1594" s="1">
        <v>7</v>
      </c>
      <c r="B1594" s="1">
        <v>178</v>
      </c>
      <c r="C1594" s="1">
        <v>84</v>
      </c>
      <c r="D1594" s="1">
        <v>0</v>
      </c>
      <c r="E1594" s="1">
        <v>0</v>
      </c>
      <c r="F1594" s="1">
        <v>39.9</v>
      </c>
      <c r="G1594" s="1">
        <v>0.33100000000000002</v>
      </c>
      <c r="H1594" s="1">
        <v>41</v>
      </c>
      <c r="I1594" s="1">
        <v>1</v>
      </c>
      <c r="J1594" s="1" t="str">
        <f>IFERROR(VLOOKUP(K1594,[1]diabetes_Recognition!$A:$B,2,FALSE),"Not Sampled")</f>
        <v>Not Sampled</v>
      </c>
      <c r="K1594" s="1">
        <v>1592</v>
      </c>
      <c r="L1594" s="1" t="str">
        <f>LOOKUP(A1594,Sheet2!$D$4:$E$9)</f>
        <v>5-7</v>
      </c>
      <c r="M1594" t="str">
        <f>LOOKUP(B1594,Sheet2!$G$4:$H$9)</f>
        <v>176-200</v>
      </c>
      <c r="N1594" t="str">
        <f>LOOKUP(C1594,Sheet2!$J$4:$K$8)</f>
        <v>80+</v>
      </c>
      <c r="O1594" t="str">
        <f>LOOKUP(D1594,Sheet2!$M$4:$N$8)</f>
        <v>Unknown</v>
      </c>
      <c r="P1594" t="str">
        <f>LOOKUP(E1594,Sheet2!$P$4:$Q$9)</f>
        <v>Unknown</v>
      </c>
      <c r="Q1594" t="str">
        <f>LOOKUP(F1594,Sheet2!$S$4:$T$8)</f>
        <v>36+</v>
      </c>
      <c r="R1594" t="str">
        <f>LOOKUP(G1594,Sheet2!$V$4:$W$7)</f>
        <v>0.25 - 0.39</v>
      </c>
      <c r="S1594" t="str">
        <f>LOOKUP(H1594,Sheet2!$Z$4:$AA$7)</f>
        <v>36-45</v>
      </c>
      <c r="T1594" t="str">
        <f t="shared" si="72"/>
        <v>Positive</v>
      </c>
      <c r="U1594" t="str">
        <f t="shared" si="73"/>
        <v>Not Sampled</v>
      </c>
      <c r="V1594" s="1" t="str">
        <f t="shared" si="74"/>
        <v>Not Sampled</v>
      </c>
    </row>
    <row r="1595" spans="1:22" x14ac:dyDescent="0.25">
      <c r="A1595" s="1">
        <v>1</v>
      </c>
      <c r="B1595" s="1">
        <v>130</v>
      </c>
      <c r="C1595" s="1">
        <v>70</v>
      </c>
      <c r="D1595" s="1">
        <v>13</v>
      </c>
      <c r="E1595" s="1">
        <v>105</v>
      </c>
      <c r="F1595" s="1">
        <v>25.9</v>
      </c>
      <c r="G1595" s="1">
        <v>0.47199999999999998</v>
      </c>
      <c r="H1595" s="1">
        <v>22</v>
      </c>
      <c r="I1595" s="1">
        <v>0</v>
      </c>
      <c r="J1595" s="1">
        <f>IFERROR(VLOOKUP(K1595,[1]diabetes_Recognition!$A:$B,2,FALSE),"Not Sampled")</f>
        <v>0</v>
      </c>
      <c r="K1595" s="1">
        <v>1593</v>
      </c>
      <c r="L1595" s="1">
        <f>LOOKUP(A1595,Sheet2!$D$4:$E$9)</f>
        <v>1</v>
      </c>
      <c r="M1595" t="str">
        <f>LOOKUP(B1595,Sheet2!$G$4:$H$9)</f>
        <v>126-150</v>
      </c>
      <c r="N1595" t="str">
        <f>LOOKUP(C1595,Sheet2!$J$4:$K$8)</f>
        <v>70-79</v>
      </c>
      <c r="O1595" t="str">
        <f>LOOKUP(D1595,Sheet2!$M$4:$N$8)</f>
        <v>10-30</v>
      </c>
      <c r="P1595" t="str">
        <f>LOOKUP(E1595,Sheet2!$P$4:$Q$9)</f>
        <v>100-199</v>
      </c>
      <c r="Q1595" t="str">
        <f>LOOKUP(F1595,Sheet2!$S$4:$T$8)</f>
        <v>1-25</v>
      </c>
      <c r="R1595" t="str">
        <f>LOOKUP(G1595,Sheet2!$V$4:$W$7)</f>
        <v>0.4 - 0.69</v>
      </c>
      <c r="S1595" t="str">
        <f>LOOKUP(H1595,Sheet2!$Z$4:$AA$7)</f>
        <v>&lt;=25</v>
      </c>
      <c r="T1595" t="str">
        <f t="shared" si="72"/>
        <v>Negative</v>
      </c>
      <c r="U1595" t="str">
        <f t="shared" si="73"/>
        <v>Negative</v>
      </c>
      <c r="V1595" s="1" t="str">
        <f t="shared" si="74"/>
        <v>Accurate Prediction</v>
      </c>
    </row>
    <row r="1596" spans="1:22" x14ac:dyDescent="0.25">
      <c r="A1596" s="1">
        <v>1</v>
      </c>
      <c r="B1596" s="1">
        <v>95</v>
      </c>
      <c r="C1596" s="1">
        <v>74</v>
      </c>
      <c r="D1596" s="1">
        <v>21</v>
      </c>
      <c r="E1596" s="1">
        <v>73</v>
      </c>
      <c r="F1596" s="1">
        <v>25.9</v>
      </c>
      <c r="G1596" s="1">
        <v>0.67300000000000004</v>
      </c>
      <c r="H1596" s="1">
        <v>36</v>
      </c>
      <c r="I1596" s="1">
        <v>0</v>
      </c>
      <c r="J1596" s="1" t="str">
        <f>IFERROR(VLOOKUP(K1596,[1]diabetes_Recognition!$A:$B,2,FALSE),"Not Sampled")</f>
        <v>Not Sampled</v>
      </c>
      <c r="K1596" s="1">
        <v>1594</v>
      </c>
      <c r="L1596" s="1">
        <f>LOOKUP(A1596,Sheet2!$D$4:$E$9)</f>
        <v>1</v>
      </c>
      <c r="M1596" t="str">
        <f>LOOKUP(B1596,Sheet2!$G$4:$H$9)</f>
        <v>1-99</v>
      </c>
      <c r="N1596" t="str">
        <f>LOOKUP(C1596,Sheet2!$J$4:$K$8)</f>
        <v>70-79</v>
      </c>
      <c r="O1596" t="str">
        <f>LOOKUP(D1596,Sheet2!$M$4:$N$8)</f>
        <v>10-30</v>
      </c>
      <c r="P1596" t="str">
        <f>LOOKUP(E1596,Sheet2!$P$4:$Q$9)</f>
        <v>1-99</v>
      </c>
      <c r="Q1596" t="str">
        <f>LOOKUP(F1596,Sheet2!$S$4:$T$8)</f>
        <v>1-25</v>
      </c>
      <c r="R1596" t="str">
        <f>LOOKUP(G1596,Sheet2!$V$4:$W$7)</f>
        <v>0.4 - 0.69</v>
      </c>
      <c r="S1596" t="str">
        <f>LOOKUP(H1596,Sheet2!$Z$4:$AA$7)</f>
        <v>36-45</v>
      </c>
      <c r="T1596" t="str">
        <f t="shared" si="72"/>
        <v>Negative</v>
      </c>
      <c r="U1596" t="str">
        <f t="shared" si="73"/>
        <v>Not Sampled</v>
      </c>
      <c r="V1596" s="1" t="str">
        <f t="shared" si="74"/>
        <v>Not Sampled</v>
      </c>
    </row>
    <row r="1597" spans="1:22" x14ac:dyDescent="0.25">
      <c r="A1597" s="1">
        <v>1</v>
      </c>
      <c r="B1597" s="1">
        <v>0</v>
      </c>
      <c r="C1597" s="1">
        <v>68</v>
      </c>
      <c r="D1597" s="1">
        <v>35</v>
      </c>
      <c r="E1597" s="1">
        <v>0</v>
      </c>
      <c r="F1597" s="1">
        <v>32</v>
      </c>
      <c r="G1597" s="1">
        <v>0.38900000000000001</v>
      </c>
      <c r="H1597" s="1">
        <v>22</v>
      </c>
      <c r="I1597" s="1">
        <v>0</v>
      </c>
      <c r="J1597" s="1">
        <f>IFERROR(VLOOKUP(K1597,[1]diabetes_Recognition!$A:$B,2,FALSE),"Not Sampled")</f>
        <v>0</v>
      </c>
      <c r="K1597" s="1">
        <v>1595</v>
      </c>
      <c r="L1597" s="1">
        <f>LOOKUP(A1597,Sheet2!$D$4:$E$9)</f>
        <v>1</v>
      </c>
      <c r="M1597" t="str">
        <f>LOOKUP(B1597,Sheet2!$G$4:$H$9)</f>
        <v>Unknown</v>
      </c>
      <c r="N1597" t="str">
        <f>LOOKUP(C1597,Sheet2!$J$4:$K$8)</f>
        <v>60-69</v>
      </c>
      <c r="O1597" t="str">
        <f>LOOKUP(D1597,Sheet2!$M$4:$N$8)</f>
        <v>30-39</v>
      </c>
      <c r="P1597" t="str">
        <f>LOOKUP(E1597,Sheet2!$P$4:$Q$9)</f>
        <v>Unknown</v>
      </c>
      <c r="Q1597" t="str">
        <f>LOOKUP(F1597,Sheet2!$S$4:$T$8)</f>
        <v>31-35</v>
      </c>
      <c r="R1597" t="str">
        <f>LOOKUP(G1597,Sheet2!$V$4:$W$7)</f>
        <v>0.25 - 0.39</v>
      </c>
      <c r="S1597" t="str">
        <f>LOOKUP(H1597,Sheet2!$Z$4:$AA$7)</f>
        <v>&lt;=25</v>
      </c>
      <c r="T1597" t="str">
        <f t="shared" si="72"/>
        <v>Negative</v>
      </c>
      <c r="U1597" t="str">
        <f t="shared" si="73"/>
        <v>Negative</v>
      </c>
      <c r="V1597" s="1" t="str">
        <f t="shared" si="74"/>
        <v>Accurate Prediction</v>
      </c>
    </row>
    <row r="1598" spans="1:22" x14ac:dyDescent="0.25">
      <c r="A1598" s="1">
        <v>5</v>
      </c>
      <c r="B1598" s="1">
        <v>122</v>
      </c>
      <c r="C1598" s="1">
        <v>86</v>
      </c>
      <c r="D1598" s="1">
        <v>0</v>
      </c>
      <c r="E1598" s="1">
        <v>0</v>
      </c>
      <c r="F1598" s="1">
        <v>34.700000000000003</v>
      </c>
      <c r="G1598" s="1">
        <v>0.28999999999999998</v>
      </c>
      <c r="H1598" s="1">
        <v>33</v>
      </c>
      <c r="I1598" s="1">
        <v>0</v>
      </c>
      <c r="J1598" s="1" t="str">
        <f>IFERROR(VLOOKUP(K1598,[1]diabetes_Recognition!$A:$B,2,FALSE),"Not Sampled")</f>
        <v>Not Sampled</v>
      </c>
      <c r="K1598" s="1">
        <v>1596</v>
      </c>
      <c r="L1598" s="1" t="str">
        <f>LOOKUP(A1598,Sheet2!$D$4:$E$9)</f>
        <v>5-7</v>
      </c>
      <c r="M1598" t="str">
        <f>LOOKUP(B1598,Sheet2!$G$4:$H$9)</f>
        <v>100-125</v>
      </c>
      <c r="N1598" t="str">
        <f>LOOKUP(C1598,Sheet2!$J$4:$K$8)</f>
        <v>80+</v>
      </c>
      <c r="O1598" t="str">
        <f>LOOKUP(D1598,Sheet2!$M$4:$N$8)</f>
        <v>Unknown</v>
      </c>
      <c r="P1598" t="str">
        <f>LOOKUP(E1598,Sheet2!$P$4:$Q$9)</f>
        <v>Unknown</v>
      </c>
      <c r="Q1598" t="str">
        <f>LOOKUP(F1598,Sheet2!$S$4:$T$8)</f>
        <v>31-35</v>
      </c>
      <c r="R1598" t="str">
        <f>LOOKUP(G1598,Sheet2!$V$4:$W$7)</f>
        <v>0.25 - 0.39</v>
      </c>
      <c r="S1598" t="str">
        <f>LOOKUP(H1598,Sheet2!$Z$4:$AA$7)</f>
        <v>26-35</v>
      </c>
      <c r="T1598" t="str">
        <f t="shared" si="72"/>
        <v>Negative</v>
      </c>
      <c r="U1598" t="str">
        <f t="shared" si="73"/>
        <v>Not Sampled</v>
      </c>
      <c r="V1598" s="1" t="str">
        <f t="shared" si="74"/>
        <v>Not Sampled</v>
      </c>
    </row>
    <row r="1599" spans="1:22" x14ac:dyDescent="0.25">
      <c r="A1599" s="1">
        <v>8</v>
      </c>
      <c r="B1599" s="1">
        <v>95</v>
      </c>
      <c r="C1599" s="1">
        <v>72</v>
      </c>
      <c r="D1599" s="1">
        <v>0</v>
      </c>
      <c r="E1599" s="1">
        <v>0</v>
      </c>
      <c r="F1599" s="1">
        <v>36.799999999999997</v>
      </c>
      <c r="G1599" s="1">
        <v>0.48499999999999999</v>
      </c>
      <c r="H1599" s="1">
        <v>57</v>
      </c>
      <c r="I1599" s="1">
        <v>0</v>
      </c>
      <c r="J1599" s="1" t="str">
        <f>IFERROR(VLOOKUP(K1599,[1]diabetes_Recognition!$A:$B,2,FALSE),"Not Sampled")</f>
        <v>Not Sampled</v>
      </c>
      <c r="K1599" s="1">
        <v>1597</v>
      </c>
      <c r="L1599" s="1" t="str">
        <f>LOOKUP(A1599,Sheet2!$D$4:$E$9)</f>
        <v>8+</v>
      </c>
      <c r="M1599" t="str">
        <f>LOOKUP(B1599,Sheet2!$G$4:$H$9)</f>
        <v>1-99</v>
      </c>
      <c r="N1599" t="str">
        <f>LOOKUP(C1599,Sheet2!$J$4:$K$8)</f>
        <v>70-79</v>
      </c>
      <c r="O1599" t="str">
        <f>LOOKUP(D1599,Sheet2!$M$4:$N$8)</f>
        <v>Unknown</v>
      </c>
      <c r="P1599" t="str">
        <f>LOOKUP(E1599,Sheet2!$P$4:$Q$9)</f>
        <v>Unknown</v>
      </c>
      <c r="Q1599" t="str">
        <f>LOOKUP(F1599,Sheet2!$S$4:$T$8)</f>
        <v>36+</v>
      </c>
      <c r="R1599" t="str">
        <f>LOOKUP(G1599,Sheet2!$V$4:$W$7)</f>
        <v>0.4 - 0.69</v>
      </c>
      <c r="S1599" t="str">
        <f>LOOKUP(H1599,Sheet2!$Z$4:$AA$7)</f>
        <v>46+</v>
      </c>
      <c r="T1599" t="str">
        <f t="shared" si="72"/>
        <v>Negative</v>
      </c>
      <c r="U1599" t="str">
        <f t="shared" si="73"/>
        <v>Not Sampled</v>
      </c>
      <c r="V1599" s="1" t="str">
        <f t="shared" si="74"/>
        <v>Not Sampled</v>
      </c>
    </row>
    <row r="1600" spans="1:22" x14ac:dyDescent="0.25">
      <c r="A1600" s="1">
        <v>8</v>
      </c>
      <c r="B1600" s="1">
        <v>126</v>
      </c>
      <c r="C1600" s="1">
        <v>88</v>
      </c>
      <c r="D1600" s="1">
        <v>36</v>
      </c>
      <c r="E1600" s="1">
        <v>108</v>
      </c>
      <c r="F1600" s="1">
        <v>38.5</v>
      </c>
      <c r="G1600" s="1">
        <v>0.34899999999999998</v>
      </c>
      <c r="H1600" s="1">
        <v>49</v>
      </c>
      <c r="I1600" s="1">
        <v>0</v>
      </c>
      <c r="J1600" s="1" t="str">
        <f>IFERROR(VLOOKUP(K1600,[1]diabetes_Recognition!$A:$B,2,FALSE),"Not Sampled")</f>
        <v>Not Sampled</v>
      </c>
      <c r="K1600" s="1">
        <v>1598</v>
      </c>
      <c r="L1600" s="1" t="str">
        <f>LOOKUP(A1600,Sheet2!$D$4:$E$9)</f>
        <v>8+</v>
      </c>
      <c r="M1600" t="str">
        <f>LOOKUP(B1600,Sheet2!$G$4:$H$9)</f>
        <v>126-150</v>
      </c>
      <c r="N1600" t="str">
        <f>LOOKUP(C1600,Sheet2!$J$4:$K$8)</f>
        <v>80+</v>
      </c>
      <c r="O1600" t="str">
        <f>LOOKUP(D1600,Sheet2!$M$4:$N$8)</f>
        <v>30-39</v>
      </c>
      <c r="P1600" t="str">
        <f>LOOKUP(E1600,Sheet2!$P$4:$Q$9)</f>
        <v>100-199</v>
      </c>
      <c r="Q1600" t="str">
        <f>LOOKUP(F1600,Sheet2!$S$4:$T$8)</f>
        <v>36+</v>
      </c>
      <c r="R1600" t="str">
        <f>LOOKUP(G1600,Sheet2!$V$4:$W$7)</f>
        <v>0.25 - 0.39</v>
      </c>
      <c r="S1600" t="str">
        <f>LOOKUP(H1600,Sheet2!$Z$4:$AA$7)</f>
        <v>46+</v>
      </c>
      <c r="T1600" t="str">
        <f t="shared" si="72"/>
        <v>Negative</v>
      </c>
      <c r="U1600" t="str">
        <f t="shared" si="73"/>
        <v>Not Sampled</v>
      </c>
      <c r="V1600" s="1" t="str">
        <f t="shared" si="74"/>
        <v>Not Sampled</v>
      </c>
    </row>
    <row r="1601" spans="1:22" x14ac:dyDescent="0.25">
      <c r="A1601" s="1">
        <v>1</v>
      </c>
      <c r="B1601" s="1">
        <v>139</v>
      </c>
      <c r="C1601" s="1">
        <v>46</v>
      </c>
      <c r="D1601" s="1">
        <v>19</v>
      </c>
      <c r="E1601" s="1">
        <v>83</v>
      </c>
      <c r="F1601" s="1">
        <v>28.7</v>
      </c>
      <c r="G1601" s="1">
        <v>0.65400000000000003</v>
      </c>
      <c r="H1601" s="1">
        <v>22</v>
      </c>
      <c r="I1601" s="1">
        <v>0</v>
      </c>
      <c r="J1601" s="1" t="str">
        <f>IFERROR(VLOOKUP(K1601,[1]diabetes_Recognition!$A:$B,2,FALSE),"Not Sampled")</f>
        <v>Not Sampled</v>
      </c>
      <c r="K1601" s="1">
        <v>1599</v>
      </c>
      <c r="L1601" s="1">
        <f>LOOKUP(A1601,Sheet2!$D$4:$E$9)</f>
        <v>1</v>
      </c>
      <c r="M1601" t="str">
        <f>LOOKUP(B1601,Sheet2!$G$4:$H$9)</f>
        <v>126-150</v>
      </c>
      <c r="N1601" t="str">
        <f>LOOKUP(C1601,Sheet2!$J$4:$K$8)</f>
        <v>1-59</v>
      </c>
      <c r="O1601" t="str">
        <f>LOOKUP(D1601,Sheet2!$M$4:$N$8)</f>
        <v>10-30</v>
      </c>
      <c r="P1601" t="str">
        <f>LOOKUP(E1601,Sheet2!$P$4:$Q$9)</f>
        <v>1-99</v>
      </c>
      <c r="Q1601" t="str">
        <f>LOOKUP(F1601,Sheet2!$S$4:$T$8)</f>
        <v>26-30</v>
      </c>
      <c r="R1601" t="str">
        <f>LOOKUP(G1601,Sheet2!$V$4:$W$7)</f>
        <v>0.4 - 0.69</v>
      </c>
      <c r="S1601" t="str">
        <f>LOOKUP(H1601,Sheet2!$Z$4:$AA$7)</f>
        <v>&lt;=25</v>
      </c>
      <c r="T1601" t="str">
        <f t="shared" si="72"/>
        <v>Negative</v>
      </c>
      <c r="U1601" t="str">
        <f t="shared" si="73"/>
        <v>Not Sampled</v>
      </c>
      <c r="V1601" s="1" t="str">
        <f t="shared" si="74"/>
        <v>Not Sampled</v>
      </c>
    </row>
    <row r="1602" spans="1:22" x14ac:dyDescent="0.25">
      <c r="A1602" s="1">
        <v>3</v>
      </c>
      <c r="B1602" s="1">
        <v>116</v>
      </c>
      <c r="C1602" s="1">
        <v>0</v>
      </c>
      <c r="D1602" s="1">
        <v>0</v>
      </c>
      <c r="E1602" s="1">
        <v>0</v>
      </c>
      <c r="F1602" s="1">
        <v>23.5</v>
      </c>
      <c r="G1602" s="1">
        <v>0.187</v>
      </c>
      <c r="H1602" s="1">
        <v>23</v>
      </c>
      <c r="I1602" s="1">
        <v>0</v>
      </c>
      <c r="J1602" s="1" t="str">
        <f>IFERROR(VLOOKUP(K1602,[1]diabetes_Recognition!$A:$B,2,FALSE),"Not Sampled")</f>
        <v>Not Sampled</v>
      </c>
      <c r="K1602" s="1">
        <v>1600</v>
      </c>
      <c r="L1602" s="1" t="str">
        <f>LOOKUP(A1602,Sheet2!$D$4:$E$9)</f>
        <v>3-4</v>
      </c>
      <c r="M1602" t="str">
        <f>LOOKUP(B1602,Sheet2!$G$4:$H$9)</f>
        <v>100-125</v>
      </c>
      <c r="N1602" t="str">
        <f>LOOKUP(C1602,Sheet2!$J$4:$K$8)</f>
        <v>Unknown</v>
      </c>
      <c r="O1602" t="str">
        <f>LOOKUP(D1602,Sheet2!$M$4:$N$8)</f>
        <v>Unknown</v>
      </c>
      <c r="P1602" t="str">
        <f>LOOKUP(E1602,Sheet2!$P$4:$Q$9)</f>
        <v>Unknown</v>
      </c>
      <c r="Q1602" t="str">
        <f>LOOKUP(F1602,Sheet2!$S$4:$T$8)</f>
        <v>1-25</v>
      </c>
      <c r="R1602" t="str">
        <f>LOOKUP(G1602,Sheet2!$V$4:$W$7)</f>
        <v>0.0 - 0.249</v>
      </c>
      <c r="S1602" t="str">
        <f>LOOKUP(H1602,Sheet2!$Z$4:$AA$7)</f>
        <v>&lt;=25</v>
      </c>
      <c r="T1602" t="str">
        <f t="shared" si="72"/>
        <v>Negative</v>
      </c>
      <c r="U1602" t="str">
        <f t="shared" si="73"/>
        <v>Not Sampled</v>
      </c>
      <c r="V1602" s="1" t="str">
        <f t="shared" si="74"/>
        <v>Not Sampled</v>
      </c>
    </row>
    <row r="1603" spans="1:22" x14ac:dyDescent="0.25">
      <c r="A1603" s="1">
        <v>3</v>
      </c>
      <c r="B1603" s="1">
        <v>99</v>
      </c>
      <c r="C1603" s="1">
        <v>62</v>
      </c>
      <c r="D1603" s="1">
        <v>19</v>
      </c>
      <c r="E1603" s="1">
        <v>74</v>
      </c>
      <c r="F1603" s="1">
        <v>21.8</v>
      </c>
      <c r="G1603" s="1">
        <v>0.27900000000000003</v>
      </c>
      <c r="H1603" s="1">
        <v>26</v>
      </c>
      <c r="I1603" s="1">
        <v>0</v>
      </c>
      <c r="J1603" s="1" t="str">
        <f>IFERROR(VLOOKUP(K1603,[1]diabetes_Recognition!$A:$B,2,FALSE),"Not Sampled")</f>
        <v>Not Sampled</v>
      </c>
      <c r="K1603" s="1">
        <v>1601</v>
      </c>
      <c r="L1603" s="1" t="str">
        <f>LOOKUP(A1603,Sheet2!$D$4:$E$9)</f>
        <v>3-4</v>
      </c>
      <c r="M1603" t="str">
        <f>LOOKUP(B1603,Sheet2!$G$4:$H$9)</f>
        <v>1-99</v>
      </c>
      <c r="N1603" t="str">
        <f>LOOKUP(C1603,Sheet2!$J$4:$K$8)</f>
        <v>60-69</v>
      </c>
      <c r="O1603" t="str">
        <f>LOOKUP(D1603,Sheet2!$M$4:$N$8)</f>
        <v>10-30</v>
      </c>
      <c r="P1603" t="str">
        <f>LOOKUP(E1603,Sheet2!$P$4:$Q$9)</f>
        <v>1-99</v>
      </c>
      <c r="Q1603" t="str">
        <f>LOOKUP(F1603,Sheet2!$S$4:$T$8)</f>
        <v>1-25</v>
      </c>
      <c r="R1603" t="str">
        <f>LOOKUP(G1603,Sheet2!$V$4:$W$7)</f>
        <v>0.25 - 0.39</v>
      </c>
      <c r="S1603" t="str">
        <f>LOOKUP(H1603,Sheet2!$Z$4:$AA$7)</f>
        <v>26-35</v>
      </c>
      <c r="T1603" t="str">
        <f t="shared" ref="T1603:T1666" si="75">IF(I1603=1,"Positive","Negative")</f>
        <v>Negative</v>
      </c>
      <c r="U1603" t="str">
        <f t="shared" ref="U1603:U1666" si="76">IF(J1603=1,"Positive",(IF(J1603=0,"Negative","Not Sampled")))</f>
        <v>Not Sampled</v>
      </c>
      <c r="V1603" s="1" t="str">
        <f t="shared" ref="V1603:V1666" si="77">IF(U1603="Not Sampled","Not Sampled",IF(T1603=U1603,"Accurate Prediction","Inaccurate Prediction"))</f>
        <v>Not Sampled</v>
      </c>
    </row>
    <row r="1604" spans="1:22" x14ac:dyDescent="0.25">
      <c r="A1604" s="1">
        <v>5</v>
      </c>
      <c r="B1604" s="1">
        <v>0</v>
      </c>
      <c r="C1604" s="1">
        <v>80</v>
      </c>
      <c r="D1604" s="1">
        <v>32</v>
      </c>
      <c r="E1604" s="1">
        <v>0</v>
      </c>
      <c r="F1604" s="1">
        <v>41</v>
      </c>
      <c r="G1604" s="1">
        <v>0.34599999999999997</v>
      </c>
      <c r="H1604" s="1">
        <v>37</v>
      </c>
      <c r="I1604" s="1">
        <v>1</v>
      </c>
      <c r="J1604" s="1">
        <f>IFERROR(VLOOKUP(K1604,[1]diabetes_Recognition!$A:$B,2,FALSE),"Not Sampled")</f>
        <v>0</v>
      </c>
      <c r="K1604" s="1">
        <v>1602</v>
      </c>
      <c r="L1604" s="1" t="str">
        <f>LOOKUP(A1604,Sheet2!$D$4:$E$9)</f>
        <v>5-7</v>
      </c>
      <c r="M1604" t="str">
        <f>LOOKUP(B1604,Sheet2!$G$4:$H$9)</f>
        <v>Unknown</v>
      </c>
      <c r="N1604" t="str">
        <f>LOOKUP(C1604,Sheet2!$J$4:$K$8)</f>
        <v>80+</v>
      </c>
      <c r="O1604" t="str">
        <f>LOOKUP(D1604,Sheet2!$M$4:$N$8)</f>
        <v>30-39</v>
      </c>
      <c r="P1604" t="str">
        <f>LOOKUP(E1604,Sheet2!$P$4:$Q$9)</f>
        <v>Unknown</v>
      </c>
      <c r="Q1604" t="str">
        <f>LOOKUP(F1604,Sheet2!$S$4:$T$8)</f>
        <v>36+</v>
      </c>
      <c r="R1604" t="str">
        <f>LOOKUP(G1604,Sheet2!$V$4:$W$7)</f>
        <v>0.25 - 0.39</v>
      </c>
      <c r="S1604" t="str">
        <f>LOOKUP(H1604,Sheet2!$Z$4:$AA$7)</f>
        <v>36-45</v>
      </c>
      <c r="T1604" t="str">
        <f t="shared" si="75"/>
        <v>Positive</v>
      </c>
      <c r="U1604" t="str">
        <f t="shared" si="76"/>
        <v>Negative</v>
      </c>
      <c r="V1604" s="1" t="str">
        <f t="shared" si="77"/>
        <v>Inaccurate Prediction</v>
      </c>
    </row>
    <row r="1605" spans="1:22" x14ac:dyDescent="0.25">
      <c r="A1605" s="1">
        <v>4</v>
      </c>
      <c r="B1605" s="1">
        <v>92</v>
      </c>
      <c r="C1605" s="1">
        <v>80</v>
      </c>
      <c r="D1605" s="1">
        <v>0</v>
      </c>
      <c r="E1605" s="1">
        <v>0</v>
      </c>
      <c r="F1605" s="1">
        <v>42.2</v>
      </c>
      <c r="G1605" s="1">
        <v>0.23699999999999999</v>
      </c>
      <c r="H1605" s="1">
        <v>29</v>
      </c>
      <c r="I1605" s="1">
        <v>0</v>
      </c>
      <c r="J1605" s="1" t="str">
        <f>IFERROR(VLOOKUP(K1605,[1]diabetes_Recognition!$A:$B,2,FALSE),"Not Sampled")</f>
        <v>Not Sampled</v>
      </c>
      <c r="K1605" s="1">
        <v>1603</v>
      </c>
      <c r="L1605" s="1" t="str">
        <f>LOOKUP(A1605,Sheet2!$D$4:$E$9)</f>
        <v>3-4</v>
      </c>
      <c r="M1605" t="str">
        <f>LOOKUP(B1605,Sheet2!$G$4:$H$9)</f>
        <v>1-99</v>
      </c>
      <c r="N1605" t="str">
        <f>LOOKUP(C1605,Sheet2!$J$4:$K$8)</f>
        <v>80+</v>
      </c>
      <c r="O1605" t="str">
        <f>LOOKUP(D1605,Sheet2!$M$4:$N$8)</f>
        <v>Unknown</v>
      </c>
      <c r="P1605" t="str">
        <f>LOOKUP(E1605,Sheet2!$P$4:$Q$9)</f>
        <v>Unknown</v>
      </c>
      <c r="Q1605" t="str">
        <f>LOOKUP(F1605,Sheet2!$S$4:$T$8)</f>
        <v>36+</v>
      </c>
      <c r="R1605" t="str">
        <f>LOOKUP(G1605,Sheet2!$V$4:$W$7)</f>
        <v>0.0 - 0.249</v>
      </c>
      <c r="S1605" t="str">
        <f>LOOKUP(H1605,Sheet2!$Z$4:$AA$7)</f>
        <v>26-35</v>
      </c>
      <c r="T1605" t="str">
        <f t="shared" si="75"/>
        <v>Negative</v>
      </c>
      <c r="U1605" t="str">
        <f t="shared" si="76"/>
        <v>Not Sampled</v>
      </c>
      <c r="V1605" s="1" t="str">
        <f t="shared" si="77"/>
        <v>Not Sampled</v>
      </c>
    </row>
    <row r="1606" spans="1:22" x14ac:dyDescent="0.25">
      <c r="A1606" s="1">
        <v>4</v>
      </c>
      <c r="B1606" s="1">
        <v>137</v>
      </c>
      <c r="C1606" s="1">
        <v>84</v>
      </c>
      <c r="D1606" s="1">
        <v>0</v>
      </c>
      <c r="E1606" s="1">
        <v>0</v>
      </c>
      <c r="F1606" s="1">
        <v>31.2</v>
      </c>
      <c r="G1606" s="1">
        <v>0.252</v>
      </c>
      <c r="H1606" s="1">
        <v>30</v>
      </c>
      <c r="I1606" s="1">
        <v>0</v>
      </c>
      <c r="J1606" s="1">
        <f>IFERROR(VLOOKUP(K1606,[1]diabetes_Recognition!$A:$B,2,FALSE),"Not Sampled")</f>
        <v>0</v>
      </c>
      <c r="K1606" s="1">
        <v>1604</v>
      </c>
      <c r="L1606" s="1" t="str">
        <f>LOOKUP(A1606,Sheet2!$D$4:$E$9)</f>
        <v>3-4</v>
      </c>
      <c r="M1606" t="str">
        <f>LOOKUP(B1606,Sheet2!$G$4:$H$9)</f>
        <v>126-150</v>
      </c>
      <c r="N1606" t="str">
        <f>LOOKUP(C1606,Sheet2!$J$4:$K$8)</f>
        <v>80+</v>
      </c>
      <c r="O1606" t="str">
        <f>LOOKUP(D1606,Sheet2!$M$4:$N$8)</f>
        <v>Unknown</v>
      </c>
      <c r="P1606" t="str">
        <f>LOOKUP(E1606,Sheet2!$P$4:$Q$9)</f>
        <v>Unknown</v>
      </c>
      <c r="Q1606" t="str">
        <f>LOOKUP(F1606,Sheet2!$S$4:$T$8)</f>
        <v>31-35</v>
      </c>
      <c r="R1606" t="str">
        <f>LOOKUP(G1606,Sheet2!$V$4:$W$7)</f>
        <v>0.25 - 0.39</v>
      </c>
      <c r="S1606" t="str">
        <f>LOOKUP(H1606,Sheet2!$Z$4:$AA$7)</f>
        <v>26-35</v>
      </c>
      <c r="T1606" t="str">
        <f t="shared" si="75"/>
        <v>Negative</v>
      </c>
      <c r="U1606" t="str">
        <f t="shared" si="76"/>
        <v>Negative</v>
      </c>
      <c r="V1606" s="1" t="str">
        <f t="shared" si="77"/>
        <v>Accurate Prediction</v>
      </c>
    </row>
    <row r="1607" spans="1:22" x14ac:dyDescent="0.25">
      <c r="A1607" s="1">
        <v>3</v>
      </c>
      <c r="B1607" s="1">
        <v>61</v>
      </c>
      <c r="C1607" s="1">
        <v>82</v>
      </c>
      <c r="D1607" s="1">
        <v>28</v>
      </c>
      <c r="E1607" s="1">
        <v>0</v>
      </c>
      <c r="F1607" s="1">
        <v>34.4</v>
      </c>
      <c r="G1607" s="1">
        <v>0.24299999999999999</v>
      </c>
      <c r="H1607" s="1">
        <v>46</v>
      </c>
      <c r="I1607" s="1">
        <v>0</v>
      </c>
      <c r="J1607" s="1" t="str">
        <f>IFERROR(VLOOKUP(K1607,[1]diabetes_Recognition!$A:$B,2,FALSE),"Not Sampled")</f>
        <v>Not Sampled</v>
      </c>
      <c r="K1607" s="1">
        <v>1605</v>
      </c>
      <c r="L1607" s="1" t="str">
        <f>LOOKUP(A1607,Sheet2!$D$4:$E$9)</f>
        <v>3-4</v>
      </c>
      <c r="M1607" t="str">
        <f>LOOKUP(B1607,Sheet2!$G$4:$H$9)</f>
        <v>1-99</v>
      </c>
      <c r="N1607" t="str">
        <f>LOOKUP(C1607,Sheet2!$J$4:$K$8)</f>
        <v>80+</v>
      </c>
      <c r="O1607" t="str">
        <f>LOOKUP(D1607,Sheet2!$M$4:$N$8)</f>
        <v>10-30</v>
      </c>
      <c r="P1607" t="str">
        <f>LOOKUP(E1607,Sheet2!$P$4:$Q$9)</f>
        <v>Unknown</v>
      </c>
      <c r="Q1607" t="str">
        <f>LOOKUP(F1607,Sheet2!$S$4:$T$8)</f>
        <v>31-35</v>
      </c>
      <c r="R1607" t="str">
        <f>LOOKUP(G1607,Sheet2!$V$4:$W$7)</f>
        <v>0.0 - 0.249</v>
      </c>
      <c r="S1607" t="str">
        <f>LOOKUP(H1607,Sheet2!$Z$4:$AA$7)</f>
        <v>46+</v>
      </c>
      <c r="T1607" t="str">
        <f t="shared" si="75"/>
        <v>Negative</v>
      </c>
      <c r="U1607" t="str">
        <f t="shared" si="76"/>
        <v>Not Sampled</v>
      </c>
      <c r="V1607" s="1" t="str">
        <f t="shared" si="77"/>
        <v>Not Sampled</v>
      </c>
    </row>
    <row r="1608" spans="1:22" x14ac:dyDescent="0.25">
      <c r="A1608" s="1">
        <v>1</v>
      </c>
      <c r="B1608" s="1">
        <v>90</v>
      </c>
      <c r="C1608" s="1">
        <v>62</v>
      </c>
      <c r="D1608" s="1">
        <v>12</v>
      </c>
      <c r="E1608" s="1">
        <v>43</v>
      </c>
      <c r="F1608" s="1">
        <v>27.2</v>
      </c>
      <c r="G1608" s="1">
        <v>0.57999999999999996</v>
      </c>
      <c r="H1608" s="1">
        <v>24</v>
      </c>
      <c r="I1608" s="1">
        <v>0</v>
      </c>
      <c r="J1608" s="1" t="str">
        <f>IFERROR(VLOOKUP(K1608,[1]diabetes_Recognition!$A:$B,2,FALSE),"Not Sampled")</f>
        <v>Not Sampled</v>
      </c>
      <c r="K1608" s="1">
        <v>1606</v>
      </c>
      <c r="L1608" s="1">
        <f>LOOKUP(A1608,Sheet2!$D$4:$E$9)</f>
        <v>1</v>
      </c>
      <c r="M1608" t="str">
        <f>LOOKUP(B1608,Sheet2!$G$4:$H$9)</f>
        <v>1-99</v>
      </c>
      <c r="N1608" t="str">
        <f>LOOKUP(C1608,Sheet2!$J$4:$K$8)</f>
        <v>60-69</v>
      </c>
      <c r="O1608" t="str">
        <f>LOOKUP(D1608,Sheet2!$M$4:$N$8)</f>
        <v>10-30</v>
      </c>
      <c r="P1608" t="str">
        <f>LOOKUP(E1608,Sheet2!$P$4:$Q$9)</f>
        <v>1-99</v>
      </c>
      <c r="Q1608" t="str">
        <f>LOOKUP(F1608,Sheet2!$S$4:$T$8)</f>
        <v>26-30</v>
      </c>
      <c r="R1608" t="str">
        <f>LOOKUP(G1608,Sheet2!$V$4:$W$7)</f>
        <v>0.4 - 0.69</v>
      </c>
      <c r="S1608" t="str">
        <f>LOOKUP(H1608,Sheet2!$Z$4:$AA$7)</f>
        <v>&lt;=25</v>
      </c>
      <c r="T1608" t="str">
        <f t="shared" si="75"/>
        <v>Negative</v>
      </c>
      <c r="U1608" t="str">
        <f t="shared" si="76"/>
        <v>Not Sampled</v>
      </c>
      <c r="V1608" s="1" t="str">
        <f t="shared" si="77"/>
        <v>Not Sampled</v>
      </c>
    </row>
    <row r="1609" spans="1:22" x14ac:dyDescent="0.25">
      <c r="A1609" s="1">
        <v>3</v>
      </c>
      <c r="B1609" s="1">
        <v>90</v>
      </c>
      <c r="C1609" s="1">
        <v>78</v>
      </c>
      <c r="D1609" s="1">
        <v>0</v>
      </c>
      <c r="E1609" s="1">
        <v>0</v>
      </c>
      <c r="F1609" s="1">
        <v>42.7</v>
      </c>
      <c r="G1609" s="1">
        <v>0.55900000000000005</v>
      </c>
      <c r="H1609" s="1">
        <v>21</v>
      </c>
      <c r="I1609" s="1">
        <v>0</v>
      </c>
      <c r="J1609" s="1" t="str">
        <f>IFERROR(VLOOKUP(K1609,[1]diabetes_Recognition!$A:$B,2,FALSE),"Not Sampled")</f>
        <v>Not Sampled</v>
      </c>
      <c r="K1609" s="1">
        <v>1607</v>
      </c>
      <c r="L1609" s="1" t="str">
        <f>LOOKUP(A1609,Sheet2!$D$4:$E$9)</f>
        <v>3-4</v>
      </c>
      <c r="M1609" t="str">
        <f>LOOKUP(B1609,Sheet2!$G$4:$H$9)</f>
        <v>1-99</v>
      </c>
      <c r="N1609" t="str">
        <f>LOOKUP(C1609,Sheet2!$J$4:$K$8)</f>
        <v>70-79</v>
      </c>
      <c r="O1609" t="str">
        <f>LOOKUP(D1609,Sheet2!$M$4:$N$8)</f>
        <v>Unknown</v>
      </c>
      <c r="P1609" t="str">
        <f>LOOKUP(E1609,Sheet2!$P$4:$Q$9)</f>
        <v>Unknown</v>
      </c>
      <c r="Q1609" t="str">
        <f>LOOKUP(F1609,Sheet2!$S$4:$T$8)</f>
        <v>36+</v>
      </c>
      <c r="R1609" t="str">
        <f>LOOKUP(G1609,Sheet2!$V$4:$W$7)</f>
        <v>0.4 - 0.69</v>
      </c>
      <c r="S1609" t="str">
        <f>LOOKUP(H1609,Sheet2!$Z$4:$AA$7)</f>
        <v>&lt;=25</v>
      </c>
      <c r="T1609" t="str">
        <f t="shared" si="75"/>
        <v>Negative</v>
      </c>
      <c r="U1609" t="str">
        <f t="shared" si="76"/>
        <v>Not Sampled</v>
      </c>
      <c r="V1609" s="1" t="str">
        <f t="shared" si="77"/>
        <v>Not Sampled</v>
      </c>
    </row>
    <row r="1610" spans="1:22" x14ac:dyDescent="0.25">
      <c r="A1610" s="1">
        <v>9</v>
      </c>
      <c r="B1610" s="1">
        <v>165</v>
      </c>
      <c r="C1610" s="1">
        <v>88</v>
      </c>
      <c r="D1610" s="1">
        <v>0</v>
      </c>
      <c r="E1610" s="1">
        <v>0</v>
      </c>
      <c r="F1610" s="1">
        <v>30.4</v>
      </c>
      <c r="G1610" s="1">
        <v>0.30199999999999999</v>
      </c>
      <c r="H1610" s="1">
        <v>49</v>
      </c>
      <c r="I1610" s="1">
        <v>1</v>
      </c>
      <c r="J1610" s="1" t="str">
        <f>IFERROR(VLOOKUP(K1610,[1]diabetes_Recognition!$A:$B,2,FALSE),"Not Sampled")</f>
        <v>Not Sampled</v>
      </c>
      <c r="K1610" s="1">
        <v>1608</v>
      </c>
      <c r="L1610" s="1" t="str">
        <f>LOOKUP(A1610,Sheet2!$D$4:$E$9)</f>
        <v>8+</v>
      </c>
      <c r="M1610" t="str">
        <f>LOOKUP(B1610,Sheet2!$G$4:$H$9)</f>
        <v>151-175</v>
      </c>
      <c r="N1610" t="str">
        <f>LOOKUP(C1610,Sheet2!$J$4:$K$8)</f>
        <v>80+</v>
      </c>
      <c r="O1610" t="str">
        <f>LOOKUP(D1610,Sheet2!$M$4:$N$8)</f>
        <v>Unknown</v>
      </c>
      <c r="P1610" t="str">
        <f>LOOKUP(E1610,Sheet2!$P$4:$Q$9)</f>
        <v>Unknown</v>
      </c>
      <c r="Q1610" t="str">
        <f>LOOKUP(F1610,Sheet2!$S$4:$T$8)</f>
        <v>26-30</v>
      </c>
      <c r="R1610" t="str">
        <f>LOOKUP(G1610,Sheet2!$V$4:$W$7)</f>
        <v>0.25 - 0.39</v>
      </c>
      <c r="S1610" t="str">
        <f>LOOKUP(H1610,Sheet2!$Z$4:$AA$7)</f>
        <v>46+</v>
      </c>
      <c r="T1610" t="str">
        <f t="shared" si="75"/>
        <v>Positive</v>
      </c>
      <c r="U1610" t="str">
        <f t="shared" si="76"/>
        <v>Not Sampled</v>
      </c>
      <c r="V1610" s="1" t="str">
        <f t="shared" si="77"/>
        <v>Not Sampled</v>
      </c>
    </row>
    <row r="1611" spans="1:22" x14ac:dyDescent="0.25">
      <c r="A1611" s="1">
        <v>1</v>
      </c>
      <c r="B1611" s="1">
        <v>125</v>
      </c>
      <c r="C1611" s="1">
        <v>50</v>
      </c>
      <c r="D1611" s="1">
        <v>40</v>
      </c>
      <c r="E1611" s="1">
        <v>167</v>
      </c>
      <c r="F1611" s="1">
        <v>33.299999999999997</v>
      </c>
      <c r="G1611" s="1">
        <v>0.96199999999999997</v>
      </c>
      <c r="H1611" s="1">
        <v>28</v>
      </c>
      <c r="I1611" s="1">
        <v>1</v>
      </c>
      <c r="J1611" s="1" t="str">
        <f>IFERROR(VLOOKUP(K1611,[1]diabetes_Recognition!$A:$B,2,FALSE),"Not Sampled")</f>
        <v>Not Sampled</v>
      </c>
      <c r="K1611" s="1">
        <v>1609</v>
      </c>
      <c r="L1611" s="1">
        <f>LOOKUP(A1611,Sheet2!$D$4:$E$9)</f>
        <v>1</v>
      </c>
      <c r="M1611" t="str">
        <f>LOOKUP(B1611,Sheet2!$G$4:$H$9)</f>
        <v>100-125</v>
      </c>
      <c r="N1611" t="str">
        <f>LOOKUP(C1611,Sheet2!$J$4:$K$8)</f>
        <v>1-59</v>
      </c>
      <c r="O1611" t="str">
        <f>LOOKUP(D1611,Sheet2!$M$4:$N$8)</f>
        <v>40+</v>
      </c>
      <c r="P1611" t="str">
        <f>LOOKUP(E1611,Sheet2!$P$4:$Q$9)</f>
        <v>100-199</v>
      </c>
      <c r="Q1611" t="str">
        <f>LOOKUP(F1611,Sheet2!$S$4:$T$8)</f>
        <v>31-35</v>
      </c>
      <c r="R1611" t="str">
        <f>LOOKUP(G1611,Sheet2!$V$4:$W$7)</f>
        <v>0.7+</v>
      </c>
      <c r="S1611" t="str">
        <f>LOOKUP(H1611,Sheet2!$Z$4:$AA$7)</f>
        <v>26-35</v>
      </c>
      <c r="T1611" t="str">
        <f t="shared" si="75"/>
        <v>Positive</v>
      </c>
      <c r="U1611" t="str">
        <f t="shared" si="76"/>
        <v>Not Sampled</v>
      </c>
      <c r="V1611" s="1" t="str">
        <f t="shared" si="77"/>
        <v>Not Sampled</v>
      </c>
    </row>
    <row r="1612" spans="1:22" x14ac:dyDescent="0.25">
      <c r="A1612" s="1">
        <v>13</v>
      </c>
      <c r="B1612" s="1">
        <v>129</v>
      </c>
      <c r="C1612" s="1">
        <v>0</v>
      </c>
      <c r="D1612" s="1">
        <v>30</v>
      </c>
      <c r="E1612" s="1">
        <v>0</v>
      </c>
      <c r="F1612" s="1">
        <v>39.9</v>
      </c>
      <c r="G1612" s="1">
        <v>0.56899999999999995</v>
      </c>
      <c r="H1612" s="1">
        <v>44</v>
      </c>
      <c r="I1612" s="1">
        <v>1</v>
      </c>
      <c r="J1612" s="1">
        <f>IFERROR(VLOOKUP(K1612,[1]diabetes_Recognition!$A:$B,2,FALSE),"Not Sampled")</f>
        <v>1</v>
      </c>
      <c r="K1612" s="1">
        <v>1610</v>
      </c>
      <c r="L1612" s="1" t="str">
        <f>LOOKUP(A1612,Sheet2!$D$4:$E$9)</f>
        <v>8+</v>
      </c>
      <c r="M1612" t="str">
        <f>LOOKUP(B1612,Sheet2!$G$4:$H$9)</f>
        <v>126-150</v>
      </c>
      <c r="N1612" t="str">
        <f>LOOKUP(C1612,Sheet2!$J$4:$K$8)</f>
        <v>Unknown</v>
      </c>
      <c r="O1612" t="str">
        <f>LOOKUP(D1612,Sheet2!$M$4:$N$8)</f>
        <v>30-39</v>
      </c>
      <c r="P1612" t="str">
        <f>LOOKUP(E1612,Sheet2!$P$4:$Q$9)</f>
        <v>Unknown</v>
      </c>
      <c r="Q1612" t="str">
        <f>LOOKUP(F1612,Sheet2!$S$4:$T$8)</f>
        <v>36+</v>
      </c>
      <c r="R1612" t="str">
        <f>LOOKUP(G1612,Sheet2!$V$4:$W$7)</f>
        <v>0.4 - 0.69</v>
      </c>
      <c r="S1612" t="str">
        <f>LOOKUP(H1612,Sheet2!$Z$4:$AA$7)</f>
        <v>36-45</v>
      </c>
      <c r="T1612" t="str">
        <f t="shared" si="75"/>
        <v>Positive</v>
      </c>
      <c r="U1612" t="str">
        <f t="shared" si="76"/>
        <v>Positive</v>
      </c>
      <c r="V1612" s="1" t="str">
        <f t="shared" si="77"/>
        <v>Accurate Prediction</v>
      </c>
    </row>
    <row r="1613" spans="1:22" x14ac:dyDescent="0.25">
      <c r="A1613" s="1">
        <v>12</v>
      </c>
      <c r="B1613" s="1">
        <v>88</v>
      </c>
      <c r="C1613" s="1">
        <v>74</v>
      </c>
      <c r="D1613" s="1">
        <v>40</v>
      </c>
      <c r="E1613" s="1">
        <v>54</v>
      </c>
      <c r="F1613" s="1">
        <v>35.299999999999997</v>
      </c>
      <c r="G1613" s="1">
        <v>0.378</v>
      </c>
      <c r="H1613" s="1">
        <v>48</v>
      </c>
      <c r="I1613" s="1">
        <v>0</v>
      </c>
      <c r="J1613" s="1">
        <f>IFERROR(VLOOKUP(K1613,[1]diabetes_Recognition!$A:$B,2,FALSE),"Not Sampled")</f>
        <v>0</v>
      </c>
      <c r="K1613" s="1">
        <v>1611</v>
      </c>
      <c r="L1613" s="1" t="str">
        <f>LOOKUP(A1613,Sheet2!$D$4:$E$9)</f>
        <v>8+</v>
      </c>
      <c r="M1613" t="str">
        <f>LOOKUP(B1613,Sheet2!$G$4:$H$9)</f>
        <v>1-99</v>
      </c>
      <c r="N1613" t="str">
        <f>LOOKUP(C1613,Sheet2!$J$4:$K$8)</f>
        <v>70-79</v>
      </c>
      <c r="O1613" t="str">
        <f>LOOKUP(D1613,Sheet2!$M$4:$N$8)</f>
        <v>40+</v>
      </c>
      <c r="P1613" t="str">
        <f>LOOKUP(E1613,Sheet2!$P$4:$Q$9)</f>
        <v>1-99</v>
      </c>
      <c r="Q1613" t="str">
        <f>LOOKUP(F1613,Sheet2!$S$4:$T$8)</f>
        <v>31-35</v>
      </c>
      <c r="R1613" t="str">
        <f>LOOKUP(G1613,Sheet2!$V$4:$W$7)</f>
        <v>0.25 - 0.39</v>
      </c>
      <c r="S1613" t="str">
        <f>LOOKUP(H1613,Sheet2!$Z$4:$AA$7)</f>
        <v>46+</v>
      </c>
      <c r="T1613" t="str">
        <f t="shared" si="75"/>
        <v>Negative</v>
      </c>
      <c r="U1613" t="str">
        <f t="shared" si="76"/>
        <v>Negative</v>
      </c>
      <c r="V1613" s="1" t="str">
        <f t="shared" si="77"/>
        <v>Accurate Prediction</v>
      </c>
    </row>
    <row r="1614" spans="1:22" x14ac:dyDescent="0.25">
      <c r="A1614" s="1">
        <v>1</v>
      </c>
      <c r="B1614" s="1">
        <v>196</v>
      </c>
      <c r="C1614" s="1">
        <v>76</v>
      </c>
      <c r="D1614" s="1">
        <v>36</v>
      </c>
      <c r="E1614" s="1">
        <v>249</v>
      </c>
      <c r="F1614" s="1">
        <v>36.5</v>
      </c>
      <c r="G1614" s="1">
        <v>0.875</v>
      </c>
      <c r="H1614" s="1">
        <v>29</v>
      </c>
      <c r="I1614" s="1">
        <v>1</v>
      </c>
      <c r="J1614" s="1" t="str">
        <f>IFERROR(VLOOKUP(K1614,[1]diabetes_Recognition!$A:$B,2,FALSE),"Not Sampled")</f>
        <v>Not Sampled</v>
      </c>
      <c r="K1614" s="1">
        <v>1612</v>
      </c>
      <c r="L1614" s="1">
        <f>LOOKUP(A1614,Sheet2!$D$4:$E$9)</f>
        <v>1</v>
      </c>
      <c r="M1614" t="str">
        <f>LOOKUP(B1614,Sheet2!$G$4:$H$9)</f>
        <v>176-200</v>
      </c>
      <c r="N1614" t="str">
        <f>LOOKUP(C1614,Sheet2!$J$4:$K$8)</f>
        <v>70-79</v>
      </c>
      <c r="O1614" t="str">
        <f>LOOKUP(D1614,Sheet2!$M$4:$N$8)</f>
        <v>30-39</v>
      </c>
      <c r="P1614" t="str">
        <f>LOOKUP(E1614,Sheet2!$P$4:$Q$9)</f>
        <v>200-399</v>
      </c>
      <c r="Q1614" t="str">
        <f>LOOKUP(F1614,Sheet2!$S$4:$T$8)</f>
        <v>36+</v>
      </c>
      <c r="R1614" t="str">
        <f>LOOKUP(G1614,Sheet2!$V$4:$W$7)</f>
        <v>0.7+</v>
      </c>
      <c r="S1614" t="str">
        <f>LOOKUP(H1614,Sheet2!$Z$4:$AA$7)</f>
        <v>26-35</v>
      </c>
      <c r="T1614" t="str">
        <f t="shared" si="75"/>
        <v>Positive</v>
      </c>
      <c r="U1614" t="str">
        <f t="shared" si="76"/>
        <v>Not Sampled</v>
      </c>
      <c r="V1614" s="1" t="str">
        <f t="shared" si="77"/>
        <v>Not Sampled</v>
      </c>
    </row>
    <row r="1615" spans="1:22" x14ac:dyDescent="0.25">
      <c r="A1615" s="1">
        <v>5</v>
      </c>
      <c r="B1615" s="1">
        <v>189</v>
      </c>
      <c r="C1615" s="1">
        <v>64</v>
      </c>
      <c r="D1615" s="1">
        <v>33</v>
      </c>
      <c r="E1615" s="1">
        <v>325</v>
      </c>
      <c r="F1615" s="1">
        <v>31.2</v>
      </c>
      <c r="G1615" s="1">
        <v>0.58299999999999996</v>
      </c>
      <c r="H1615" s="1">
        <v>29</v>
      </c>
      <c r="I1615" s="1">
        <v>1</v>
      </c>
      <c r="J1615" s="1" t="str">
        <f>IFERROR(VLOOKUP(K1615,[1]diabetes_Recognition!$A:$B,2,FALSE),"Not Sampled")</f>
        <v>Not Sampled</v>
      </c>
      <c r="K1615" s="1">
        <v>1613</v>
      </c>
      <c r="L1615" s="1" t="str">
        <f>LOOKUP(A1615,Sheet2!$D$4:$E$9)</f>
        <v>5-7</v>
      </c>
      <c r="M1615" t="str">
        <f>LOOKUP(B1615,Sheet2!$G$4:$H$9)</f>
        <v>176-200</v>
      </c>
      <c r="N1615" t="str">
        <f>LOOKUP(C1615,Sheet2!$J$4:$K$8)</f>
        <v>60-69</v>
      </c>
      <c r="O1615" t="str">
        <f>LOOKUP(D1615,Sheet2!$M$4:$N$8)</f>
        <v>30-39</v>
      </c>
      <c r="P1615" t="str">
        <f>LOOKUP(E1615,Sheet2!$P$4:$Q$9)</f>
        <v>300-499</v>
      </c>
      <c r="Q1615" t="str">
        <f>LOOKUP(F1615,Sheet2!$S$4:$T$8)</f>
        <v>31-35</v>
      </c>
      <c r="R1615" t="str">
        <f>LOOKUP(G1615,Sheet2!$V$4:$W$7)</f>
        <v>0.4 - 0.69</v>
      </c>
      <c r="S1615" t="str">
        <f>LOOKUP(H1615,Sheet2!$Z$4:$AA$7)</f>
        <v>26-35</v>
      </c>
      <c r="T1615" t="str">
        <f t="shared" si="75"/>
        <v>Positive</v>
      </c>
      <c r="U1615" t="str">
        <f t="shared" si="76"/>
        <v>Not Sampled</v>
      </c>
      <c r="V1615" s="1" t="str">
        <f t="shared" si="77"/>
        <v>Not Sampled</v>
      </c>
    </row>
    <row r="1616" spans="1:22" x14ac:dyDescent="0.25">
      <c r="A1616" s="1">
        <v>5</v>
      </c>
      <c r="B1616" s="1">
        <v>158</v>
      </c>
      <c r="C1616" s="1">
        <v>70</v>
      </c>
      <c r="D1616" s="1">
        <v>0</v>
      </c>
      <c r="E1616" s="1">
        <v>0</v>
      </c>
      <c r="F1616" s="1">
        <v>29.8</v>
      </c>
      <c r="G1616" s="1">
        <v>0.20699999999999999</v>
      </c>
      <c r="H1616" s="1">
        <v>63</v>
      </c>
      <c r="I1616" s="1">
        <v>0</v>
      </c>
      <c r="J1616" s="1" t="str">
        <f>IFERROR(VLOOKUP(K1616,[1]diabetes_Recognition!$A:$B,2,FALSE),"Not Sampled")</f>
        <v>Not Sampled</v>
      </c>
      <c r="K1616" s="1">
        <v>1614</v>
      </c>
      <c r="L1616" s="1" t="str">
        <f>LOOKUP(A1616,Sheet2!$D$4:$E$9)</f>
        <v>5-7</v>
      </c>
      <c r="M1616" t="str">
        <f>LOOKUP(B1616,Sheet2!$G$4:$H$9)</f>
        <v>151-175</v>
      </c>
      <c r="N1616" t="str">
        <f>LOOKUP(C1616,Sheet2!$J$4:$K$8)</f>
        <v>70-79</v>
      </c>
      <c r="O1616" t="str">
        <f>LOOKUP(D1616,Sheet2!$M$4:$N$8)</f>
        <v>Unknown</v>
      </c>
      <c r="P1616" t="str">
        <f>LOOKUP(E1616,Sheet2!$P$4:$Q$9)</f>
        <v>Unknown</v>
      </c>
      <c r="Q1616" t="str">
        <f>LOOKUP(F1616,Sheet2!$S$4:$T$8)</f>
        <v>26-30</v>
      </c>
      <c r="R1616" t="str">
        <f>LOOKUP(G1616,Sheet2!$V$4:$W$7)</f>
        <v>0.0 - 0.249</v>
      </c>
      <c r="S1616" t="str">
        <f>LOOKUP(H1616,Sheet2!$Z$4:$AA$7)</f>
        <v>46+</v>
      </c>
      <c r="T1616" t="str">
        <f t="shared" si="75"/>
        <v>Negative</v>
      </c>
      <c r="U1616" t="str">
        <f t="shared" si="76"/>
        <v>Not Sampled</v>
      </c>
      <c r="V1616" s="1" t="str">
        <f t="shared" si="77"/>
        <v>Not Sampled</v>
      </c>
    </row>
    <row r="1617" spans="1:22" x14ac:dyDescent="0.25">
      <c r="A1617" s="1">
        <v>5</v>
      </c>
      <c r="B1617" s="1">
        <v>103</v>
      </c>
      <c r="C1617" s="1">
        <v>108</v>
      </c>
      <c r="D1617" s="1">
        <v>37</v>
      </c>
      <c r="E1617" s="1">
        <v>0</v>
      </c>
      <c r="F1617" s="1">
        <v>39.200000000000003</v>
      </c>
      <c r="G1617" s="1">
        <v>0.30499999999999999</v>
      </c>
      <c r="H1617" s="1">
        <v>65</v>
      </c>
      <c r="I1617" s="1">
        <v>0</v>
      </c>
      <c r="J1617" s="1" t="str">
        <f>IFERROR(VLOOKUP(K1617,[1]diabetes_Recognition!$A:$B,2,FALSE),"Not Sampled")</f>
        <v>Not Sampled</v>
      </c>
      <c r="K1617" s="1">
        <v>1615</v>
      </c>
      <c r="L1617" s="1" t="str">
        <f>LOOKUP(A1617,Sheet2!$D$4:$E$9)</f>
        <v>5-7</v>
      </c>
      <c r="M1617" t="str">
        <f>LOOKUP(B1617,Sheet2!$G$4:$H$9)</f>
        <v>100-125</v>
      </c>
      <c r="N1617" t="str">
        <f>LOOKUP(C1617,Sheet2!$J$4:$K$8)</f>
        <v>80+</v>
      </c>
      <c r="O1617" t="str">
        <f>LOOKUP(D1617,Sheet2!$M$4:$N$8)</f>
        <v>30-39</v>
      </c>
      <c r="P1617" t="str">
        <f>LOOKUP(E1617,Sheet2!$P$4:$Q$9)</f>
        <v>Unknown</v>
      </c>
      <c r="Q1617" t="str">
        <f>LOOKUP(F1617,Sheet2!$S$4:$T$8)</f>
        <v>36+</v>
      </c>
      <c r="R1617" t="str">
        <f>LOOKUP(G1617,Sheet2!$V$4:$W$7)</f>
        <v>0.25 - 0.39</v>
      </c>
      <c r="S1617" t="str">
        <f>LOOKUP(H1617,Sheet2!$Z$4:$AA$7)</f>
        <v>46+</v>
      </c>
      <c r="T1617" t="str">
        <f t="shared" si="75"/>
        <v>Negative</v>
      </c>
      <c r="U1617" t="str">
        <f t="shared" si="76"/>
        <v>Not Sampled</v>
      </c>
      <c r="V1617" s="1" t="str">
        <f t="shared" si="77"/>
        <v>Not Sampled</v>
      </c>
    </row>
    <row r="1618" spans="1:22" x14ac:dyDescent="0.25">
      <c r="A1618" s="1">
        <v>4</v>
      </c>
      <c r="B1618" s="1">
        <v>146</v>
      </c>
      <c r="C1618" s="1">
        <v>78</v>
      </c>
      <c r="D1618" s="1">
        <v>0</v>
      </c>
      <c r="E1618" s="1">
        <v>0</v>
      </c>
      <c r="F1618" s="1">
        <v>38.5</v>
      </c>
      <c r="G1618" s="1">
        <v>0.52</v>
      </c>
      <c r="H1618" s="1">
        <v>67</v>
      </c>
      <c r="I1618" s="1">
        <v>1</v>
      </c>
      <c r="J1618" s="1" t="str">
        <f>IFERROR(VLOOKUP(K1618,[1]diabetes_Recognition!$A:$B,2,FALSE),"Not Sampled")</f>
        <v>Not Sampled</v>
      </c>
      <c r="K1618" s="1">
        <v>1616</v>
      </c>
      <c r="L1618" s="1" t="str">
        <f>LOOKUP(A1618,Sheet2!$D$4:$E$9)</f>
        <v>3-4</v>
      </c>
      <c r="M1618" t="str">
        <f>LOOKUP(B1618,Sheet2!$G$4:$H$9)</f>
        <v>126-150</v>
      </c>
      <c r="N1618" t="str">
        <f>LOOKUP(C1618,Sheet2!$J$4:$K$8)</f>
        <v>70-79</v>
      </c>
      <c r="O1618" t="str">
        <f>LOOKUP(D1618,Sheet2!$M$4:$N$8)</f>
        <v>Unknown</v>
      </c>
      <c r="P1618" t="str">
        <f>LOOKUP(E1618,Sheet2!$P$4:$Q$9)</f>
        <v>Unknown</v>
      </c>
      <c r="Q1618" t="str">
        <f>LOOKUP(F1618,Sheet2!$S$4:$T$8)</f>
        <v>36+</v>
      </c>
      <c r="R1618" t="str">
        <f>LOOKUP(G1618,Sheet2!$V$4:$W$7)</f>
        <v>0.4 - 0.69</v>
      </c>
      <c r="S1618" t="str">
        <f>LOOKUP(H1618,Sheet2!$Z$4:$AA$7)</f>
        <v>46+</v>
      </c>
      <c r="T1618" t="str">
        <f t="shared" si="75"/>
        <v>Positive</v>
      </c>
      <c r="U1618" t="str">
        <f t="shared" si="76"/>
        <v>Not Sampled</v>
      </c>
      <c r="V1618" s="1" t="str">
        <f t="shared" si="77"/>
        <v>Not Sampled</v>
      </c>
    </row>
    <row r="1619" spans="1:22" x14ac:dyDescent="0.25">
      <c r="A1619" s="1">
        <v>4</v>
      </c>
      <c r="B1619" s="1">
        <v>147</v>
      </c>
      <c r="C1619" s="1">
        <v>74</v>
      </c>
      <c r="D1619" s="1">
        <v>25</v>
      </c>
      <c r="E1619" s="1">
        <v>293</v>
      </c>
      <c r="F1619" s="1">
        <v>34.9</v>
      </c>
      <c r="G1619" s="1">
        <v>0.38500000000000001</v>
      </c>
      <c r="H1619" s="1">
        <v>30</v>
      </c>
      <c r="I1619" s="1">
        <v>0</v>
      </c>
      <c r="J1619" s="1">
        <f>IFERROR(VLOOKUP(K1619,[1]diabetes_Recognition!$A:$B,2,FALSE),"Not Sampled")</f>
        <v>0</v>
      </c>
      <c r="K1619" s="1">
        <v>1617</v>
      </c>
      <c r="L1619" s="1" t="str">
        <f>LOOKUP(A1619,Sheet2!$D$4:$E$9)</f>
        <v>3-4</v>
      </c>
      <c r="M1619" t="str">
        <f>LOOKUP(B1619,Sheet2!$G$4:$H$9)</f>
        <v>126-150</v>
      </c>
      <c r="N1619" t="str">
        <f>LOOKUP(C1619,Sheet2!$J$4:$K$8)</f>
        <v>70-79</v>
      </c>
      <c r="O1619" t="str">
        <f>LOOKUP(D1619,Sheet2!$M$4:$N$8)</f>
        <v>10-30</v>
      </c>
      <c r="P1619" t="str">
        <f>LOOKUP(E1619,Sheet2!$P$4:$Q$9)</f>
        <v>200-399</v>
      </c>
      <c r="Q1619" t="str">
        <f>LOOKUP(F1619,Sheet2!$S$4:$T$8)</f>
        <v>31-35</v>
      </c>
      <c r="R1619" t="str">
        <f>LOOKUP(G1619,Sheet2!$V$4:$W$7)</f>
        <v>0.25 - 0.39</v>
      </c>
      <c r="S1619" t="str">
        <f>LOOKUP(H1619,Sheet2!$Z$4:$AA$7)</f>
        <v>26-35</v>
      </c>
      <c r="T1619" t="str">
        <f t="shared" si="75"/>
        <v>Negative</v>
      </c>
      <c r="U1619" t="str">
        <f t="shared" si="76"/>
        <v>Negative</v>
      </c>
      <c r="V1619" s="1" t="str">
        <f t="shared" si="77"/>
        <v>Accurate Prediction</v>
      </c>
    </row>
    <row r="1620" spans="1:22" x14ac:dyDescent="0.25">
      <c r="A1620" s="1">
        <v>5</v>
      </c>
      <c r="B1620" s="1">
        <v>99</v>
      </c>
      <c r="C1620" s="1">
        <v>54</v>
      </c>
      <c r="D1620" s="1">
        <v>28</v>
      </c>
      <c r="E1620" s="1">
        <v>83</v>
      </c>
      <c r="F1620" s="1">
        <v>34</v>
      </c>
      <c r="G1620" s="1">
        <v>0.499</v>
      </c>
      <c r="H1620" s="1">
        <v>30</v>
      </c>
      <c r="I1620" s="1">
        <v>0</v>
      </c>
      <c r="J1620" s="1">
        <f>IFERROR(VLOOKUP(K1620,[1]diabetes_Recognition!$A:$B,2,FALSE),"Not Sampled")</f>
        <v>0</v>
      </c>
      <c r="K1620" s="1">
        <v>1618</v>
      </c>
      <c r="L1620" s="1" t="str">
        <f>LOOKUP(A1620,Sheet2!$D$4:$E$9)</f>
        <v>5-7</v>
      </c>
      <c r="M1620" t="str">
        <f>LOOKUP(B1620,Sheet2!$G$4:$H$9)</f>
        <v>1-99</v>
      </c>
      <c r="N1620" t="str">
        <f>LOOKUP(C1620,Sheet2!$J$4:$K$8)</f>
        <v>1-59</v>
      </c>
      <c r="O1620" t="str">
        <f>LOOKUP(D1620,Sheet2!$M$4:$N$8)</f>
        <v>10-30</v>
      </c>
      <c r="P1620" t="str">
        <f>LOOKUP(E1620,Sheet2!$P$4:$Q$9)</f>
        <v>1-99</v>
      </c>
      <c r="Q1620" t="str">
        <f>LOOKUP(F1620,Sheet2!$S$4:$T$8)</f>
        <v>31-35</v>
      </c>
      <c r="R1620" t="str">
        <f>LOOKUP(G1620,Sheet2!$V$4:$W$7)</f>
        <v>0.4 - 0.69</v>
      </c>
      <c r="S1620" t="str">
        <f>LOOKUP(H1620,Sheet2!$Z$4:$AA$7)</f>
        <v>26-35</v>
      </c>
      <c r="T1620" t="str">
        <f t="shared" si="75"/>
        <v>Negative</v>
      </c>
      <c r="U1620" t="str">
        <f t="shared" si="76"/>
        <v>Negative</v>
      </c>
      <c r="V1620" s="1" t="str">
        <f t="shared" si="77"/>
        <v>Accurate Prediction</v>
      </c>
    </row>
    <row r="1621" spans="1:22" x14ac:dyDescent="0.25">
      <c r="A1621" s="1">
        <v>6</v>
      </c>
      <c r="B1621" s="1">
        <v>124</v>
      </c>
      <c r="C1621" s="1">
        <v>72</v>
      </c>
      <c r="D1621" s="1">
        <v>0</v>
      </c>
      <c r="E1621" s="1">
        <v>0</v>
      </c>
      <c r="F1621" s="1">
        <v>27.6</v>
      </c>
      <c r="G1621" s="1">
        <v>0.36799999999999999</v>
      </c>
      <c r="H1621" s="1">
        <v>29</v>
      </c>
      <c r="I1621" s="1">
        <v>1</v>
      </c>
      <c r="J1621" s="1" t="str">
        <f>IFERROR(VLOOKUP(K1621,[1]diabetes_Recognition!$A:$B,2,FALSE),"Not Sampled")</f>
        <v>Not Sampled</v>
      </c>
      <c r="K1621" s="1">
        <v>1619</v>
      </c>
      <c r="L1621" s="1" t="str">
        <f>LOOKUP(A1621,Sheet2!$D$4:$E$9)</f>
        <v>5-7</v>
      </c>
      <c r="M1621" t="str">
        <f>LOOKUP(B1621,Sheet2!$G$4:$H$9)</f>
        <v>100-125</v>
      </c>
      <c r="N1621" t="str">
        <f>LOOKUP(C1621,Sheet2!$J$4:$K$8)</f>
        <v>70-79</v>
      </c>
      <c r="O1621" t="str">
        <f>LOOKUP(D1621,Sheet2!$M$4:$N$8)</f>
        <v>Unknown</v>
      </c>
      <c r="P1621" t="str">
        <f>LOOKUP(E1621,Sheet2!$P$4:$Q$9)</f>
        <v>Unknown</v>
      </c>
      <c r="Q1621" t="str">
        <f>LOOKUP(F1621,Sheet2!$S$4:$T$8)</f>
        <v>26-30</v>
      </c>
      <c r="R1621" t="str">
        <f>LOOKUP(G1621,Sheet2!$V$4:$W$7)</f>
        <v>0.25 - 0.39</v>
      </c>
      <c r="S1621" t="str">
        <f>LOOKUP(H1621,Sheet2!$Z$4:$AA$7)</f>
        <v>26-35</v>
      </c>
      <c r="T1621" t="str">
        <f t="shared" si="75"/>
        <v>Positive</v>
      </c>
      <c r="U1621" t="str">
        <f t="shared" si="76"/>
        <v>Not Sampled</v>
      </c>
      <c r="V1621" s="1" t="str">
        <f t="shared" si="77"/>
        <v>Not Sampled</v>
      </c>
    </row>
    <row r="1622" spans="1:22" x14ac:dyDescent="0.25">
      <c r="A1622" s="1">
        <v>0</v>
      </c>
      <c r="B1622" s="1">
        <v>101</v>
      </c>
      <c r="C1622" s="1">
        <v>64</v>
      </c>
      <c r="D1622" s="1">
        <v>17</v>
      </c>
      <c r="E1622" s="1">
        <v>0</v>
      </c>
      <c r="F1622" s="1">
        <v>21</v>
      </c>
      <c r="G1622" s="1">
        <v>0.252</v>
      </c>
      <c r="H1622" s="1">
        <v>21</v>
      </c>
      <c r="I1622" s="1">
        <v>0</v>
      </c>
      <c r="J1622" s="1" t="str">
        <f>IFERROR(VLOOKUP(K1622,[1]diabetes_Recognition!$A:$B,2,FALSE),"Not Sampled")</f>
        <v>Not Sampled</v>
      </c>
      <c r="K1622" s="1">
        <v>1620</v>
      </c>
      <c r="L1622" s="1">
        <f>LOOKUP(A1622,Sheet2!$D$4:$E$9)</f>
        <v>0</v>
      </c>
      <c r="M1622" t="str">
        <f>LOOKUP(B1622,Sheet2!$G$4:$H$9)</f>
        <v>100-125</v>
      </c>
      <c r="N1622" t="str">
        <f>LOOKUP(C1622,Sheet2!$J$4:$K$8)</f>
        <v>60-69</v>
      </c>
      <c r="O1622" t="str">
        <f>LOOKUP(D1622,Sheet2!$M$4:$N$8)</f>
        <v>10-30</v>
      </c>
      <c r="P1622" t="str">
        <f>LOOKUP(E1622,Sheet2!$P$4:$Q$9)</f>
        <v>Unknown</v>
      </c>
      <c r="Q1622" t="str">
        <f>LOOKUP(F1622,Sheet2!$S$4:$T$8)</f>
        <v>1-25</v>
      </c>
      <c r="R1622" t="str">
        <f>LOOKUP(G1622,Sheet2!$V$4:$W$7)</f>
        <v>0.25 - 0.39</v>
      </c>
      <c r="S1622" t="str">
        <f>LOOKUP(H1622,Sheet2!$Z$4:$AA$7)</f>
        <v>&lt;=25</v>
      </c>
      <c r="T1622" t="str">
        <f t="shared" si="75"/>
        <v>Negative</v>
      </c>
      <c r="U1622" t="str">
        <f t="shared" si="76"/>
        <v>Not Sampled</v>
      </c>
      <c r="V1622" s="1" t="str">
        <f t="shared" si="77"/>
        <v>Not Sampled</v>
      </c>
    </row>
    <row r="1623" spans="1:22" x14ac:dyDescent="0.25">
      <c r="A1623" s="1">
        <v>3</v>
      </c>
      <c r="B1623" s="1">
        <v>81</v>
      </c>
      <c r="C1623" s="1">
        <v>86</v>
      </c>
      <c r="D1623" s="1">
        <v>16</v>
      </c>
      <c r="E1623" s="1">
        <v>66</v>
      </c>
      <c r="F1623" s="1">
        <v>27.5</v>
      </c>
      <c r="G1623" s="1">
        <v>0.30599999999999999</v>
      </c>
      <c r="H1623" s="1">
        <v>22</v>
      </c>
      <c r="I1623" s="1">
        <v>0</v>
      </c>
      <c r="J1623" s="1" t="str">
        <f>IFERROR(VLOOKUP(K1623,[1]diabetes_Recognition!$A:$B,2,FALSE),"Not Sampled")</f>
        <v>Not Sampled</v>
      </c>
      <c r="K1623" s="1">
        <v>1621</v>
      </c>
      <c r="L1623" s="1" t="str">
        <f>LOOKUP(A1623,Sheet2!$D$4:$E$9)</f>
        <v>3-4</v>
      </c>
      <c r="M1623" t="str">
        <f>LOOKUP(B1623,Sheet2!$G$4:$H$9)</f>
        <v>1-99</v>
      </c>
      <c r="N1623" t="str">
        <f>LOOKUP(C1623,Sheet2!$J$4:$K$8)</f>
        <v>80+</v>
      </c>
      <c r="O1623" t="str">
        <f>LOOKUP(D1623,Sheet2!$M$4:$N$8)</f>
        <v>10-30</v>
      </c>
      <c r="P1623" t="str">
        <f>LOOKUP(E1623,Sheet2!$P$4:$Q$9)</f>
        <v>1-99</v>
      </c>
      <c r="Q1623" t="str">
        <f>LOOKUP(F1623,Sheet2!$S$4:$T$8)</f>
        <v>26-30</v>
      </c>
      <c r="R1623" t="str">
        <f>LOOKUP(G1623,Sheet2!$V$4:$W$7)</f>
        <v>0.25 - 0.39</v>
      </c>
      <c r="S1623" t="str">
        <f>LOOKUP(H1623,Sheet2!$Z$4:$AA$7)</f>
        <v>&lt;=25</v>
      </c>
      <c r="T1623" t="str">
        <f t="shared" si="75"/>
        <v>Negative</v>
      </c>
      <c r="U1623" t="str">
        <f t="shared" si="76"/>
        <v>Not Sampled</v>
      </c>
      <c r="V1623" s="1" t="str">
        <f t="shared" si="77"/>
        <v>Not Sampled</v>
      </c>
    </row>
    <row r="1624" spans="1:22" x14ac:dyDescent="0.25">
      <c r="A1624" s="1">
        <v>1</v>
      </c>
      <c r="B1624" s="1">
        <v>133</v>
      </c>
      <c r="C1624" s="1">
        <v>102</v>
      </c>
      <c r="D1624" s="1">
        <v>28</v>
      </c>
      <c r="E1624" s="1">
        <v>140</v>
      </c>
      <c r="F1624" s="1">
        <v>32.799999999999997</v>
      </c>
      <c r="G1624" s="1">
        <v>0.23400000000000001</v>
      </c>
      <c r="H1624" s="1">
        <v>45</v>
      </c>
      <c r="I1624" s="1">
        <v>1</v>
      </c>
      <c r="J1624" s="1">
        <f>IFERROR(VLOOKUP(K1624,[1]diabetes_Recognition!$A:$B,2,FALSE),"Not Sampled")</f>
        <v>0</v>
      </c>
      <c r="K1624" s="1">
        <v>1622</v>
      </c>
      <c r="L1624" s="1">
        <f>LOOKUP(A1624,Sheet2!$D$4:$E$9)</f>
        <v>1</v>
      </c>
      <c r="M1624" t="str">
        <f>LOOKUP(B1624,Sheet2!$G$4:$H$9)</f>
        <v>126-150</v>
      </c>
      <c r="N1624" t="str">
        <f>LOOKUP(C1624,Sheet2!$J$4:$K$8)</f>
        <v>80+</v>
      </c>
      <c r="O1624" t="str">
        <f>LOOKUP(D1624,Sheet2!$M$4:$N$8)</f>
        <v>10-30</v>
      </c>
      <c r="P1624" t="str">
        <f>LOOKUP(E1624,Sheet2!$P$4:$Q$9)</f>
        <v>100-199</v>
      </c>
      <c r="Q1624" t="str">
        <f>LOOKUP(F1624,Sheet2!$S$4:$T$8)</f>
        <v>31-35</v>
      </c>
      <c r="R1624" t="str">
        <f>LOOKUP(G1624,Sheet2!$V$4:$W$7)</f>
        <v>0.0 - 0.249</v>
      </c>
      <c r="S1624" t="str">
        <f>LOOKUP(H1624,Sheet2!$Z$4:$AA$7)</f>
        <v>36-45</v>
      </c>
      <c r="T1624" t="str">
        <f t="shared" si="75"/>
        <v>Positive</v>
      </c>
      <c r="U1624" t="str">
        <f t="shared" si="76"/>
        <v>Negative</v>
      </c>
      <c r="V1624" s="1" t="str">
        <f t="shared" si="77"/>
        <v>Inaccurate Prediction</v>
      </c>
    </row>
    <row r="1625" spans="1:22" x14ac:dyDescent="0.25">
      <c r="A1625" s="1">
        <v>3</v>
      </c>
      <c r="B1625" s="1">
        <v>173</v>
      </c>
      <c r="C1625" s="1">
        <v>82</v>
      </c>
      <c r="D1625" s="1">
        <v>48</v>
      </c>
      <c r="E1625" s="1">
        <v>465</v>
      </c>
      <c r="F1625" s="1">
        <v>38.4</v>
      </c>
      <c r="G1625" s="1">
        <v>2.137</v>
      </c>
      <c r="H1625" s="1">
        <v>25</v>
      </c>
      <c r="I1625" s="1">
        <v>1</v>
      </c>
      <c r="J1625" s="1" t="str">
        <f>IFERROR(VLOOKUP(K1625,[1]diabetes_Recognition!$A:$B,2,FALSE),"Not Sampled")</f>
        <v>Not Sampled</v>
      </c>
      <c r="K1625" s="1">
        <v>1623</v>
      </c>
      <c r="L1625" s="1" t="str">
        <f>LOOKUP(A1625,Sheet2!$D$4:$E$9)</f>
        <v>3-4</v>
      </c>
      <c r="M1625" t="str">
        <f>LOOKUP(B1625,Sheet2!$G$4:$H$9)</f>
        <v>151-175</v>
      </c>
      <c r="N1625" t="str">
        <f>LOOKUP(C1625,Sheet2!$J$4:$K$8)</f>
        <v>80+</v>
      </c>
      <c r="O1625" t="str">
        <f>LOOKUP(D1625,Sheet2!$M$4:$N$8)</f>
        <v>40+</v>
      </c>
      <c r="P1625" t="str">
        <f>LOOKUP(E1625,Sheet2!$P$4:$Q$9)</f>
        <v>300-499</v>
      </c>
      <c r="Q1625" t="str">
        <f>LOOKUP(F1625,Sheet2!$S$4:$T$8)</f>
        <v>36+</v>
      </c>
      <c r="R1625" t="str">
        <f>LOOKUP(G1625,Sheet2!$V$4:$W$7)</f>
        <v>0.7+</v>
      </c>
      <c r="S1625" t="str">
        <f>LOOKUP(H1625,Sheet2!$Z$4:$AA$7)</f>
        <v>&lt;=25</v>
      </c>
      <c r="T1625" t="str">
        <f t="shared" si="75"/>
        <v>Positive</v>
      </c>
      <c r="U1625" t="str">
        <f t="shared" si="76"/>
        <v>Not Sampled</v>
      </c>
      <c r="V1625" s="1" t="str">
        <f t="shared" si="77"/>
        <v>Not Sampled</v>
      </c>
    </row>
    <row r="1626" spans="1:22" x14ac:dyDescent="0.25">
      <c r="A1626" s="1">
        <v>0</v>
      </c>
      <c r="B1626" s="1">
        <v>118</v>
      </c>
      <c r="C1626" s="1">
        <v>64</v>
      </c>
      <c r="D1626" s="1">
        <v>23</v>
      </c>
      <c r="E1626" s="1">
        <v>89</v>
      </c>
      <c r="F1626" s="1">
        <v>0</v>
      </c>
      <c r="G1626" s="1">
        <v>1.7310000000000001</v>
      </c>
      <c r="H1626" s="1">
        <v>21</v>
      </c>
      <c r="I1626" s="1">
        <v>0</v>
      </c>
      <c r="J1626" s="1">
        <f>IFERROR(VLOOKUP(K1626,[1]diabetes_Recognition!$A:$B,2,FALSE),"Not Sampled")</f>
        <v>0</v>
      </c>
      <c r="K1626" s="1">
        <v>1624</v>
      </c>
      <c r="L1626" s="1">
        <f>LOOKUP(A1626,Sheet2!$D$4:$E$9)</f>
        <v>0</v>
      </c>
      <c r="M1626" t="str">
        <f>LOOKUP(B1626,Sheet2!$G$4:$H$9)</f>
        <v>100-125</v>
      </c>
      <c r="N1626" t="str">
        <f>LOOKUP(C1626,Sheet2!$J$4:$K$8)</f>
        <v>60-69</v>
      </c>
      <c r="O1626" t="str">
        <f>LOOKUP(D1626,Sheet2!$M$4:$N$8)</f>
        <v>10-30</v>
      </c>
      <c r="P1626" t="str">
        <f>LOOKUP(E1626,Sheet2!$P$4:$Q$9)</f>
        <v>1-99</v>
      </c>
      <c r="Q1626" t="str">
        <f>LOOKUP(F1626,Sheet2!$S$4:$T$8)</f>
        <v>Unknown</v>
      </c>
      <c r="R1626" t="str">
        <f>LOOKUP(G1626,Sheet2!$V$4:$W$7)</f>
        <v>0.7+</v>
      </c>
      <c r="S1626" t="str">
        <f>LOOKUP(H1626,Sheet2!$Z$4:$AA$7)</f>
        <v>&lt;=25</v>
      </c>
      <c r="T1626" t="str">
        <f t="shared" si="75"/>
        <v>Negative</v>
      </c>
      <c r="U1626" t="str">
        <f t="shared" si="76"/>
        <v>Negative</v>
      </c>
      <c r="V1626" s="1" t="str">
        <f t="shared" si="77"/>
        <v>Accurate Prediction</v>
      </c>
    </row>
    <row r="1627" spans="1:22" x14ac:dyDescent="0.25">
      <c r="A1627" s="1">
        <v>0</v>
      </c>
      <c r="B1627" s="1">
        <v>84</v>
      </c>
      <c r="C1627" s="1">
        <v>64</v>
      </c>
      <c r="D1627" s="1">
        <v>22</v>
      </c>
      <c r="E1627" s="1">
        <v>66</v>
      </c>
      <c r="F1627" s="1">
        <v>35.799999999999997</v>
      </c>
      <c r="G1627" s="1">
        <v>0.54500000000000004</v>
      </c>
      <c r="H1627" s="1">
        <v>21</v>
      </c>
      <c r="I1627" s="1">
        <v>0</v>
      </c>
      <c r="J1627" s="1" t="str">
        <f>IFERROR(VLOOKUP(K1627,[1]diabetes_Recognition!$A:$B,2,FALSE),"Not Sampled")</f>
        <v>Not Sampled</v>
      </c>
      <c r="K1627" s="1">
        <v>1625</v>
      </c>
      <c r="L1627" s="1">
        <f>LOOKUP(A1627,Sheet2!$D$4:$E$9)</f>
        <v>0</v>
      </c>
      <c r="M1627" t="str">
        <f>LOOKUP(B1627,Sheet2!$G$4:$H$9)</f>
        <v>1-99</v>
      </c>
      <c r="N1627" t="str">
        <f>LOOKUP(C1627,Sheet2!$J$4:$K$8)</f>
        <v>60-69</v>
      </c>
      <c r="O1627" t="str">
        <f>LOOKUP(D1627,Sheet2!$M$4:$N$8)</f>
        <v>10-30</v>
      </c>
      <c r="P1627" t="str">
        <f>LOOKUP(E1627,Sheet2!$P$4:$Q$9)</f>
        <v>1-99</v>
      </c>
      <c r="Q1627" t="str">
        <f>LOOKUP(F1627,Sheet2!$S$4:$T$8)</f>
        <v>31-35</v>
      </c>
      <c r="R1627" t="str">
        <f>LOOKUP(G1627,Sheet2!$V$4:$W$7)</f>
        <v>0.4 - 0.69</v>
      </c>
      <c r="S1627" t="str">
        <f>LOOKUP(H1627,Sheet2!$Z$4:$AA$7)</f>
        <v>&lt;=25</v>
      </c>
      <c r="T1627" t="str">
        <f t="shared" si="75"/>
        <v>Negative</v>
      </c>
      <c r="U1627" t="str">
        <f t="shared" si="76"/>
        <v>Not Sampled</v>
      </c>
      <c r="V1627" s="1" t="str">
        <f t="shared" si="77"/>
        <v>Not Sampled</v>
      </c>
    </row>
    <row r="1628" spans="1:22" x14ac:dyDescent="0.25">
      <c r="A1628" s="1">
        <v>2</v>
      </c>
      <c r="B1628" s="1">
        <v>105</v>
      </c>
      <c r="C1628" s="1">
        <v>58</v>
      </c>
      <c r="D1628" s="1">
        <v>40</v>
      </c>
      <c r="E1628" s="1">
        <v>94</v>
      </c>
      <c r="F1628" s="1">
        <v>34.9</v>
      </c>
      <c r="G1628" s="1">
        <v>0.22500000000000001</v>
      </c>
      <c r="H1628" s="1">
        <v>25</v>
      </c>
      <c r="I1628" s="1">
        <v>0</v>
      </c>
      <c r="J1628" s="1" t="str">
        <f>IFERROR(VLOOKUP(K1628,[1]diabetes_Recognition!$A:$B,2,FALSE),"Not Sampled")</f>
        <v>Not Sampled</v>
      </c>
      <c r="K1628" s="1">
        <v>1626</v>
      </c>
      <c r="L1628" s="1">
        <f>LOOKUP(A1628,Sheet2!$D$4:$E$9)</f>
        <v>2</v>
      </c>
      <c r="M1628" t="str">
        <f>LOOKUP(B1628,Sheet2!$G$4:$H$9)</f>
        <v>100-125</v>
      </c>
      <c r="N1628" t="str">
        <f>LOOKUP(C1628,Sheet2!$J$4:$K$8)</f>
        <v>1-59</v>
      </c>
      <c r="O1628" t="str">
        <f>LOOKUP(D1628,Sheet2!$M$4:$N$8)</f>
        <v>40+</v>
      </c>
      <c r="P1628" t="str">
        <f>LOOKUP(E1628,Sheet2!$P$4:$Q$9)</f>
        <v>1-99</v>
      </c>
      <c r="Q1628" t="str">
        <f>LOOKUP(F1628,Sheet2!$S$4:$T$8)</f>
        <v>31-35</v>
      </c>
      <c r="R1628" t="str">
        <f>LOOKUP(G1628,Sheet2!$V$4:$W$7)</f>
        <v>0.0 - 0.249</v>
      </c>
      <c r="S1628" t="str">
        <f>LOOKUP(H1628,Sheet2!$Z$4:$AA$7)</f>
        <v>&lt;=25</v>
      </c>
      <c r="T1628" t="str">
        <f t="shared" si="75"/>
        <v>Negative</v>
      </c>
      <c r="U1628" t="str">
        <f t="shared" si="76"/>
        <v>Not Sampled</v>
      </c>
      <c r="V1628" s="1" t="str">
        <f t="shared" si="77"/>
        <v>Not Sampled</v>
      </c>
    </row>
    <row r="1629" spans="1:22" x14ac:dyDescent="0.25">
      <c r="A1629" s="1">
        <v>2</v>
      </c>
      <c r="B1629" s="1">
        <v>122</v>
      </c>
      <c r="C1629" s="1">
        <v>52</v>
      </c>
      <c r="D1629" s="1">
        <v>43</v>
      </c>
      <c r="E1629" s="1">
        <v>158</v>
      </c>
      <c r="F1629" s="1">
        <v>36.200000000000003</v>
      </c>
      <c r="G1629" s="1">
        <v>0.81599999999999995</v>
      </c>
      <c r="H1629" s="1">
        <v>28</v>
      </c>
      <c r="I1629" s="1">
        <v>0</v>
      </c>
      <c r="J1629" s="1">
        <f>IFERROR(VLOOKUP(K1629,[1]diabetes_Recognition!$A:$B,2,FALSE),"Not Sampled")</f>
        <v>0</v>
      </c>
      <c r="K1629" s="1">
        <v>1627</v>
      </c>
      <c r="L1629" s="1">
        <f>LOOKUP(A1629,Sheet2!$D$4:$E$9)</f>
        <v>2</v>
      </c>
      <c r="M1629" t="str">
        <f>LOOKUP(B1629,Sheet2!$G$4:$H$9)</f>
        <v>100-125</v>
      </c>
      <c r="N1629" t="str">
        <f>LOOKUP(C1629,Sheet2!$J$4:$K$8)</f>
        <v>1-59</v>
      </c>
      <c r="O1629" t="str">
        <f>LOOKUP(D1629,Sheet2!$M$4:$N$8)</f>
        <v>40+</v>
      </c>
      <c r="P1629" t="str">
        <f>LOOKUP(E1629,Sheet2!$P$4:$Q$9)</f>
        <v>100-199</v>
      </c>
      <c r="Q1629" t="str">
        <f>LOOKUP(F1629,Sheet2!$S$4:$T$8)</f>
        <v>36+</v>
      </c>
      <c r="R1629" t="str">
        <f>LOOKUP(G1629,Sheet2!$V$4:$W$7)</f>
        <v>0.7+</v>
      </c>
      <c r="S1629" t="str">
        <f>LOOKUP(H1629,Sheet2!$Z$4:$AA$7)</f>
        <v>26-35</v>
      </c>
      <c r="T1629" t="str">
        <f t="shared" si="75"/>
        <v>Negative</v>
      </c>
      <c r="U1629" t="str">
        <f t="shared" si="76"/>
        <v>Negative</v>
      </c>
      <c r="V1629" s="1" t="str">
        <f t="shared" si="77"/>
        <v>Accurate Prediction</v>
      </c>
    </row>
    <row r="1630" spans="1:22" x14ac:dyDescent="0.25">
      <c r="A1630" s="1">
        <v>12</v>
      </c>
      <c r="B1630" s="1">
        <v>140</v>
      </c>
      <c r="C1630" s="1">
        <v>82</v>
      </c>
      <c r="D1630" s="1">
        <v>43</v>
      </c>
      <c r="E1630" s="1">
        <v>325</v>
      </c>
      <c r="F1630" s="1">
        <v>39.200000000000003</v>
      </c>
      <c r="G1630" s="1">
        <v>0.52800000000000002</v>
      </c>
      <c r="H1630" s="1">
        <v>58</v>
      </c>
      <c r="I1630" s="1">
        <v>1</v>
      </c>
      <c r="J1630" s="1" t="str">
        <f>IFERROR(VLOOKUP(K1630,[1]diabetes_Recognition!$A:$B,2,FALSE),"Not Sampled")</f>
        <v>Not Sampled</v>
      </c>
      <c r="K1630" s="1">
        <v>1628</v>
      </c>
      <c r="L1630" s="1" t="str">
        <f>LOOKUP(A1630,Sheet2!$D$4:$E$9)</f>
        <v>8+</v>
      </c>
      <c r="M1630" t="str">
        <f>LOOKUP(B1630,Sheet2!$G$4:$H$9)</f>
        <v>126-150</v>
      </c>
      <c r="N1630" t="str">
        <f>LOOKUP(C1630,Sheet2!$J$4:$K$8)</f>
        <v>80+</v>
      </c>
      <c r="O1630" t="str">
        <f>LOOKUP(D1630,Sheet2!$M$4:$N$8)</f>
        <v>40+</v>
      </c>
      <c r="P1630" t="str">
        <f>LOOKUP(E1630,Sheet2!$P$4:$Q$9)</f>
        <v>300-499</v>
      </c>
      <c r="Q1630" t="str">
        <f>LOOKUP(F1630,Sheet2!$S$4:$T$8)</f>
        <v>36+</v>
      </c>
      <c r="R1630" t="str">
        <f>LOOKUP(G1630,Sheet2!$V$4:$W$7)</f>
        <v>0.4 - 0.69</v>
      </c>
      <c r="S1630" t="str">
        <f>LOOKUP(H1630,Sheet2!$Z$4:$AA$7)</f>
        <v>46+</v>
      </c>
      <c r="T1630" t="str">
        <f t="shared" si="75"/>
        <v>Positive</v>
      </c>
      <c r="U1630" t="str">
        <f t="shared" si="76"/>
        <v>Not Sampled</v>
      </c>
      <c r="V1630" s="1" t="str">
        <f t="shared" si="77"/>
        <v>Not Sampled</v>
      </c>
    </row>
    <row r="1631" spans="1:22" x14ac:dyDescent="0.25">
      <c r="A1631" s="1">
        <v>0</v>
      </c>
      <c r="B1631" s="1">
        <v>98</v>
      </c>
      <c r="C1631" s="1">
        <v>82</v>
      </c>
      <c r="D1631" s="1">
        <v>15</v>
      </c>
      <c r="E1631" s="1">
        <v>84</v>
      </c>
      <c r="F1631" s="1">
        <v>25.2</v>
      </c>
      <c r="G1631" s="1">
        <v>0.29899999999999999</v>
      </c>
      <c r="H1631" s="1">
        <v>22</v>
      </c>
      <c r="I1631" s="1">
        <v>0</v>
      </c>
      <c r="J1631" s="1">
        <f>IFERROR(VLOOKUP(K1631,[1]diabetes_Recognition!$A:$B,2,FALSE),"Not Sampled")</f>
        <v>0</v>
      </c>
      <c r="K1631" s="1">
        <v>1629</v>
      </c>
      <c r="L1631" s="1">
        <f>LOOKUP(A1631,Sheet2!$D$4:$E$9)</f>
        <v>0</v>
      </c>
      <c r="M1631" t="str">
        <f>LOOKUP(B1631,Sheet2!$G$4:$H$9)</f>
        <v>1-99</v>
      </c>
      <c r="N1631" t="str">
        <f>LOOKUP(C1631,Sheet2!$J$4:$K$8)</f>
        <v>80+</v>
      </c>
      <c r="O1631" t="str">
        <f>LOOKUP(D1631,Sheet2!$M$4:$N$8)</f>
        <v>10-30</v>
      </c>
      <c r="P1631" t="str">
        <f>LOOKUP(E1631,Sheet2!$P$4:$Q$9)</f>
        <v>1-99</v>
      </c>
      <c r="Q1631" t="str">
        <f>LOOKUP(F1631,Sheet2!$S$4:$T$8)</f>
        <v>1-25</v>
      </c>
      <c r="R1631" t="str">
        <f>LOOKUP(G1631,Sheet2!$V$4:$W$7)</f>
        <v>0.25 - 0.39</v>
      </c>
      <c r="S1631" t="str">
        <f>LOOKUP(H1631,Sheet2!$Z$4:$AA$7)</f>
        <v>&lt;=25</v>
      </c>
      <c r="T1631" t="str">
        <f t="shared" si="75"/>
        <v>Negative</v>
      </c>
      <c r="U1631" t="str">
        <f t="shared" si="76"/>
        <v>Negative</v>
      </c>
      <c r="V1631" s="1" t="str">
        <f t="shared" si="77"/>
        <v>Accurate Prediction</v>
      </c>
    </row>
    <row r="1632" spans="1:22" x14ac:dyDescent="0.25">
      <c r="A1632" s="1">
        <v>1</v>
      </c>
      <c r="B1632" s="1">
        <v>87</v>
      </c>
      <c r="C1632" s="1">
        <v>60</v>
      </c>
      <c r="D1632" s="1">
        <v>37</v>
      </c>
      <c r="E1632" s="1">
        <v>75</v>
      </c>
      <c r="F1632" s="1">
        <v>37.200000000000003</v>
      </c>
      <c r="G1632" s="1">
        <v>0.50900000000000001</v>
      </c>
      <c r="H1632" s="1">
        <v>22</v>
      </c>
      <c r="I1632" s="1">
        <v>0</v>
      </c>
      <c r="J1632" s="1" t="str">
        <f>IFERROR(VLOOKUP(K1632,[1]diabetes_Recognition!$A:$B,2,FALSE),"Not Sampled")</f>
        <v>Not Sampled</v>
      </c>
      <c r="K1632" s="1">
        <v>1630</v>
      </c>
      <c r="L1632" s="1">
        <f>LOOKUP(A1632,Sheet2!$D$4:$E$9)</f>
        <v>1</v>
      </c>
      <c r="M1632" t="str">
        <f>LOOKUP(B1632,Sheet2!$G$4:$H$9)</f>
        <v>1-99</v>
      </c>
      <c r="N1632" t="str">
        <f>LOOKUP(C1632,Sheet2!$J$4:$K$8)</f>
        <v>60-69</v>
      </c>
      <c r="O1632" t="str">
        <f>LOOKUP(D1632,Sheet2!$M$4:$N$8)</f>
        <v>30-39</v>
      </c>
      <c r="P1632" t="str">
        <f>LOOKUP(E1632,Sheet2!$P$4:$Q$9)</f>
        <v>1-99</v>
      </c>
      <c r="Q1632" t="str">
        <f>LOOKUP(F1632,Sheet2!$S$4:$T$8)</f>
        <v>36+</v>
      </c>
      <c r="R1632" t="str">
        <f>LOOKUP(G1632,Sheet2!$V$4:$W$7)</f>
        <v>0.4 - 0.69</v>
      </c>
      <c r="S1632" t="str">
        <f>LOOKUP(H1632,Sheet2!$Z$4:$AA$7)</f>
        <v>&lt;=25</v>
      </c>
      <c r="T1632" t="str">
        <f t="shared" si="75"/>
        <v>Negative</v>
      </c>
      <c r="U1632" t="str">
        <f t="shared" si="76"/>
        <v>Not Sampled</v>
      </c>
      <c r="V1632" s="1" t="str">
        <f t="shared" si="77"/>
        <v>Not Sampled</v>
      </c>
    </row>
    <row r="1633" spans="1:22" x14ac:dyDescent="0.25">
      <c r="A1633" s="1">
        <v>4</v>
      </c>
      <c r="B1633" s="1">
        <v>156</v>
      </c>
      <c r="C1633" s="1">
        <v>75</v>
      </c>
      <c r="D1633" s="1">
        <v>0</v>
      </c>
      <c r="E1633" s="1">
        <v>0</v>
      </c>
      <c r="F1633" s="1">
        <v>48.3</v>
      </c>
      <c r="G1633" s="1">
        <v>0.23799999999999999</v>
      </c>
      <c r="H1633" s="1">
        <v>32</v>
      </c>
      <c r="I1633" s="1">
        <v>1</v>
      </c>
      <c r="J1633" s="1">
        <f>IFERROR(VLOOKUP(K1633,[1]diabetes_Recognition!$A:$B,2,FALSE),"Not Sampled")</f>
        <v>1</v>
      </c>
      <c r="K1633" s="1">
        <v>1631</v>
      </c>
      <c r="L1633" s="1" t="str">
        <f>LOOKUP(A1633,Sheet2!$D$4:$E$9)</f>
        <v>3-4</v>
      </c>
      <c r="M1633" t="str">
        <f>LOOKUP(B1633,Sheet2!$G$4:$H$9)</f>
        <v>151-175</v>
      </c>
      <c r="N1633" t="str">
        <f>LOOKUP(C1633,Sheet2!$J$4:$K$8)</f>
        <v>70-79</v>
      </c>
      <c r="O1633" t="str">
        <f>LOOKUP(D1633,Sheet2!$M$4:$N$8)</f>
        <v>Unknown</v>
      </c>
      <c r="P1633" t="str">
        <f>LOOKUP(E1633,Sheet2!$P$4:$Q$9)</f>
        <v>Unknown</v>
      </c>
      <c r="Q1633" t="str">
        <f>LOOKUP(F1633,Sheet2!$S$4:$T$8)</f>
        <v>36+</v>
      </c>
      <c r="R1633" t="str">
        <f>LOOKUP(G1633,Sheet2!$V$4:$W$7)</f>
        <v>0.0 - 0.249</v>
      </c>
      <c r="S1633" t="str">
        <f>LOOKUP(H1633,Sheet2!$Z$4:$AA$7)</f>
        <v>26-35</v>
      </c>
      <c r="T1633" t="str">
        <f t="shared" si="75"/>
        <v>Positive</v>
      </c>
      <c r="U1633" t="str">
        <f t="shared" si="76"/>
        <v>Positive</v>
      </c>
      <c r="V1633" s="1" t="str">
        <f t="shared" si="77"/>
        <v>Accurate Prediction</v>
      </c>
    </row>
    <row r="1634" spans="1:22" x14ac:dyDescent="0.25">
      <c r="A1634" s="1">
        <v>0</v>
      </c>
      <c r="B1634" s="1">
        <v>93</v>
      </c>
      <c r="C1634" s="1">
        <v>100</v>
      </c>
      <c r="D1634" s="1">
        <v>39</v>
      </c>
      <c r="E1634" s="1">
        <v>72</v>
      </c>
      <c r="F1634" s="1">
        <v>43.4</v>
      </c>
      <c r="G1634" s="1">
        <v>1.0209999999999999</v>
      </c>
      <c r="H1634" s="1">
        <v>35</v>
      </c>
      <c r="I1634" s="1">
        <v>0</v>
      </c>
      <c r="J1634" s="1">
        <f>IFERROR(VLOOKUP(K1634,[1]diabetes_Recognition!$A:$B,2,FALSE),"Not Sampled")</f>
        <v>0</v>
      </c>
      <c r="K1634" s="1">
        <v>1632</v>
      </c>
      <c r="L1634" s="1">
        <f>LOOKUP(A1634,Sheet2!$D$4:$E$9)</f>
        <v>0</v>
      </c>
      <c r="M1634" t="str">
        <f>LOOKUP(B1634,Sheet2!$G$4:$H$9)</f>
        <v>1-99</v>
      </c>
      <c r="N1634" t="str">
        <f>LOOKUP(C1634,Sheet2!$J$4:$K$8)</f>
        <v>80+</v>
      </c>
      <c r="O1634" t="str">
        <f>LOOKUP(D1634,Sheet2!$M$4:$N$8)</f>
        <v>30-39</v>
      </c>
      <c r="P1634" t="str">
        <f>LOOKUP(E1634,Sheet2!$P$4:$Q$9)</f>
        <v>1-99</v>
      </c>
      <c r="Q1634" t="str">
        <f>LOOKUP(F1634,Sheet2!$S$4:$T$8)</f>
        <v>36+</v>
      </c>
      <c r="R1634" t="str">
        <f>LOOKUP(G1634,Sheet2!$V$4:$W$7)</f>
        <v>0.7+</v>
      </c>
      <c r="S1634" t="str">
        <f>LOOKUP(H1634,Sheet2!$Z$4:$AA$7)</f>
        <v>26-35</v>
      </c>
      <c r="T1634" t="str">
        <f t="shared" si="75"/>
        <v>Negative</v>
      </c>
      <c r="U1634" t="str">
        <f t="shared" si="76"/>
        <v>Negative</v>
      </c>
      <c r="V1634" s="1" t="str">
        <f t="shared" si="77"/>
        <v>Accurate Prediction</v>
      </c>
    </row>
    <row r="1635" spans="1:22" x14ac:dyDescent="0.25">
      <c r="A1635" s="1">
        <v>1</v>
      </c>
      <c r="B1635" s="1">
        <v>107</v>
      </c>
      <c r="C1635" s="1">
        <v>72</v>
      </c>
      <c r="D1635" s="1">
        <v>30</v>
      </c>
      <c r="E1635" s="1">
        <v>82</v>
      </c>
      <c r="F1635" s="1">
        <v>30.8</v>
      </c>
      <c r="G1635" s="1">
        <v>0.82099999999999995</v>
      </c>
      <c r="H1635" s="1">
        <v>24</v>
      </c>
      <c r="I1635" s="1">
        <v>0</v>
      </c>
      <c r="J1635" s="1" t="str">
        <f>IFERROR(VLOOKUP(K1635,[1]diabetes_Recognition!$A:$B,2,FALSE),"Not Sampled")</f>
        <v>Not Sampled</v>
      </c>
      <c r="K1635" s="1">
        <v>1633</v>
      </c>
      <c r="L1635" s="1">
        <f>LOOKUP(A1635,Sheet2!$D$4:$E$9)</f>
        <v>1</v>
      </c>
      <c r="M1635" t="str">
        <f>LOOKUP(B1635,Sheet2!$G$4:$H$9)</f>
        <v>100-125</v>
      </c>
      <c r="N1635" t="str">
        <f>LOOKUP(C1635,Sheet2!$J$4:$K$8)</f>
        <v>70-79</v>
      </c>
      <c r="O1635" t="str">
        <f>LOOKUP(D1635,Sheet2!$M$4:$N$8)</f>
        <v>30-39</v>
      </c>
      <c r="P1635" t="str">
        <f>LOOKUP(E1635,Sheet2!$P$4:$Q$9)</f>
        <v>1-99</v>
      </c>
      <c r="Q1635" t="str">
        <f>LOOKUP(F1635,Sheet2!$S$4:$T$8)</f>
        <v>26-30</v>
      </c>
      <c r="R1635" t="str">
        <f>LOOKUP(G1635,Sheet2!$V$4:$W$7)</f>
        <v>0.7+</v>
      </c>
      <c r="S1635" t="str">
        <f>LOOKUP(H1635,Sheet2!$Z$4:$AA$7)</f>
        <v>&lt;=25</v>
      </c>
      <c r="T1635" t="str">
        <f t="shared" si="75"/>
        <v>Negative</v>
      </c>
      <c r="U1635" t="str">
        <f t="shared" si="76"/>
        <v>Not Sampled</v>
      </c>
      <c r="V1635" s="1" t="str">
        <f t="shared" si="77"/>
        <v>Not Sampled</v>
      </c>
    </row>
    <row r="1636" spans="1:22" x14ac:dyDescent="0.25">
      <c r="A1636" s="1">
        <v>0</v>
      </c>
      <c r="B1636" s="1">
        <v>105</v>
      </c>
      <c r="C1636" s="1">
        <v>68</v>
      </c>
      <c r="D1636" s="1">
        <v>22</v>
      </c>
      <c r="E1636" s="1">
        <v>0</v>
      </c>
      <c r="F1636" s="1">
        <v>20</v>
      </c>
      <c r="G1636" s="1">
        <v>0.23599999999999999</v>
      </c>
      <c r="H1636" s="1">
        <v>22</v>
      </c>
      <c r="I1636" s="1">
        <v>0</v>
      </c>
      <c r="J1636" s="1">
        <f>IFERROR(VLOOKUP(K1636,[1]diabetes_Recognition!$A:$B,2,FALSE),"Not Sampled")</f>
        <v>0</v>
      </c>
      <c r="K1636" s="1">
        <v>1634</v>
      </c>
      <c r="L1636" s="1">
        <f>LOOKUP(A1636,Sheet2!$D$4:$E$9)</f>
        <v>0</v>
      </c>
      <c r="M1636" t="str">
        <f>LOOKUP(B1636,Sheet2!$G$4:$H$9)</f>
        <v>100-125</v>
      </c>
      <c r="N1636" t="str">
        <f>LOOKUP(C1636,Sheet2!$J$4:$K$8)</f>
        <v>60-69</v>
      </c>
      <c r="O1636" t="str">
        <f>LOOKUP(D1636,Sheet2!$M$4:$N$8)</f>
        <v>10-30</v>
      </c>
      <c r="P1636" t="str">
        <f>LOOKUP(E1636,Sheet2!$P$4:$Q$9)</f>
        <v>Unknown</v>
      </c>
      <c r="Q1636" t="str">
        <f>LOOKUP(F1636,Sheet2!$S$4:$T$8)</f>
        <v>1-25</v>
      </c>
      <c r="R1636" t="str">
        <f>LOOKUP(G1636,Sheet2!$V$4:$W$7)</f>
        <v>0.0 - 0.249</v>
      </c>
      <c r="S1636" t="str">
        <f>LOOKUP(H1636,Sheet2!$Z$4:$AA$7)</f>
        <v>&lt;=25</v>
      </c>
      <c r="T1636" t="str">
        <f t="shared" si="75"/>
        <v>Negative</v>
      </c>
      <c r="U1636" t="str">
        <f t="shared" si="76"/>
        <v>Negative</v>
      </c>
      <c r="V1636" s="1" t="str">
        <f t="shared" si="77"/>
        <v>Accurate Prediction</v>
      </c>
    </row>
    <row r="1637" spans="1:22" x14ac:dyDescent="0.25">
      <c r="A1637" s="1">
        <v>1</v>
      </c>
      <c r="B1637" s="1">
        <v>109</v>
      </c>
      <c r="C1637" s="1">
        <v>60</v>
      </c>
      <c r="D1637" s="1">
        <v>8</v>
      </c>
      <c r="E1637" s="1">
        <v>182</v>
      </c>
      <c r="F1637" s="1">
        <v>25.4</v>
      </c>
      <c r="G1637" s="1">
        <v>0.94699999999999995</v>
      </c>
      <c r="H1637" s="1">
        <v>21</v>
      </c>
      <c r="I1637" s="1">
        <v>0</v>
      </c>
      <c r="J1637" s="1" t="str">
        <f>IFERROR(VLOOKUP(K1637,[1]diabetes_Recognition!$A:$B,2,FALSE),"Not Sampled")</f>
        <v>Not Sampled</v>
      </c>
      <c r="K1637" s="1">
        <v>1635</v>
      </c>
      <c r="L1637" s="1">
        <f>LOOKUP(A1637,Sheet2!$D$4:$E$9)</f>
        <v>1</v>
      </c>
      <c r="M1637" t="str">
        <f>LOOKUP(B1637,Sheet2!$G$4:$H$9)</f>
        <v>100-125</v>
      </c>
      <c r="N1637" t="str">
        <f>LOOKUP(C1637,Sheet2!$J$4:$K$8)</f>
        <v>60-69</v>
      </c>
      <c r="O1637" t="str">
        <f>LOOKUP(D1637,Sheet2!$M$4:$N$8)</f>
        <v>1-10</v>
      </c>
      <c r="P1637" t="str">
        <f>LOOKUP(E1637,Sheet2!$P$4:$Q$9)</f>
        <v>100-199</v>
      </c>
      <c r="Q1637" t="str">
        <f>LOOKUP(F1637,Sheet2!$S$4:$T$8)</f>
        <v>1-25</v>
      </c>
      <c r="R1637" t="str">
        <f>LOOKUP(G1637,Sheet2!$V$4:$W$7)</f>
        <v>0.7+</v>
      </c>
      <c r="S1637" t="str">
        <f>LOOKUP(H1637,Sheet2!$Z$4:$AA$7)</f>
        <v>&lt;=25</v>
      </c>
      <c r="T1637" t="str">
        <f t="shared" si="75"/>
        <v>Negative</v>
      </c>
      <c r="U1637" t="str">
        <f t="shared" si="76"/>
        <v>Not Sampled</v>
      </c>
      <c r="V1637" s="1" t="str">
        <f t="shared" si="77"/>
        <v>Not Sampled</v>
      </c>
    </row>
    <row r="1638" spans="1:22" x14ac:dyDescent="0.25">
      <c r="A1638" s="1">
        <v>1</v>
      </c>
      <c r="B1638" s="1">
        <v>90</v>
      </c>
      <c r="C1638" s="1">
        <v>62</v>
      </c>
      <c r="D1638" s="1">
        <v>18</v>
      </c>
      <c r="E1638" s="1">
        <v>59</v>
      </c>
      <c r="F1638" s="1">
        <v>25.1</v>
      </c>
      <c r="G1638" s="1">
        <v>1.268</v>
      </c>
      <c r="H1638" s="1">
        <v>25</v>
      </c>
      <c r="I1638" s="1">
        <v>0</v>
      </c>
      <c r="J1638" s="1">
        <f>IFERROR(VLOOKUP(K1638,[1]diabetes_Recognition!$A:$B,2,FALSE),"Not Sampled")</f>
        <v>0</v>
      </c>
      <c r="K1638" s="1">
        <v>1636</v>
      </c>
      <c r="L1638" s="1">
        <f>LOOKUP(A1638,Sheet2!$D$4:$E$9)</f>
        <v>1</v>
      </c>
      <c r="M1638" t="str">
        <f>LOOKUP(B1638,Sheet2!$G$4:$H$9)</f>
        <v>1-99</v>
      </c>
      <c r="N1638" t="str">
        <f>LOOKUP(C1638,Sheet2!$J$4:$K$8)</f>
        <v>60-69</v>
      </c>
      <c r="O1638" t="str">
        <f>LOOKUP(D1638,Sheet2!$M$4:$N$8)</f>
        <v>10-30</v>
      </c>
      <c r="P1638" t="str">
        <f>LOOKUP(E1638,Sheet2!$P$4:$Q$9)</f>
        <v>1-99</v>
      </c>
      <c r="Q1638" t="str">
        <f>LOOKUP(F1638,Sheet2!$S$4:$T$8)</f>
        <v>1-25</v>
      </c>
      <c r="R1638" t="str">
        <f>LOOKUP(G1638,Sheet2!$V$4:$W$7)</f>
        <v>0.7+</v>
      </c>
      <c r="S1638" t="str">
        <f>LOOKUP(H1638,Sheet2!$Z$4:$AA$7)</f>
        <v>&lt;=25</v>
      </c>
      <c r="T1638" t="str">
        <f t="shared" si="75"/>
        <v>Negative</v>
      </c>
      <c r="U1638" t="str">
        <f t="shared" si="76"/>
        <v>Negative</v>
      </c>
      <c r="V1638" s="1" t="str">
        <f t="shared" si="77"/>
        <v>Accurate Prediction</v>
      </c>
    </row>
    <row r="1639" spans="1:22" x14ac:dyDescent="0.25">
      <c r="A1639" s="1">
        <v>1</v>
      </c>
      <c r="B1639" s="1">
        <v>125</v>
      </c>
      <c r="C1639" s="1">
        <v>70</v>
      </c>
      <c r="D1639" s="1">
        <v>24</v>
      </c>
      <c r="E1639" s="1">
        <v>110</v>
      </c>
      <c r="F1639" s="1">
        <v>24.3</v>
      </c>
      <c r="G1639" s="1">
        <v>0.221</v>
      </c>
      <c r="H1639" s="1">
        <v>25</v>
      </c>
      <c r="I1639" s="1">
        <v>0</v>
      </c>
      <c r="J1639" s="1">
        <f>IFERROR(VLOOKUP(K1639,[1]diabetes_Recognition!$A:$B,2,FALSE),"Not Sampled")</f>
        <v>0</v>
      </c>
      <c r="K1639" s="1">
        <v>1637</v>
      </c>
      <c r="L1639" s="1">
        <f>LOOKUP(A1639,Sheet2!$D$4:$E$9)</f>
        <v>1</v>
      </c>
      <c r="M1639" t="str">
        <f>LOOKUP(B1639,Sheet2!$G$4:$H$9)</f>
        <v>100-125</v>
      </c>
      <c r="N1639" t="str">
        <f>LOOKUP(C1639,Sheet2!$J$4:$K$8)</f>
        <v>70-79</v>
      </c>
      <c r="O1639" t="str">
        <f>LOOKUP(D1639,Sheet2!$M$4:$N$8)</f>
        <v>10-30</v>
      </c>
      <c r="P1639" t="str">
        <f>LOOKUP(E1639,Sheet2!$P$4:$Q$9)</f>
        <v>100-199</v>
      </c>
      <c r="Q1639" t="str">
        <f>LOOKUP(F1639,Sheet2!$S$4:$T$8)</f>
        <v>1-25</v>
      </c>
      <c r="R1639" t="str">
        <f>LOOKUP(G1639,Sheet2!$V$4:$W$7)</f>
        <v>0.0 - 0.249</v>
      </c>
      <c r="S1639" t="str">
        <f>LOOKUP(H1639,Sheet2!$Z$4:$AA$7)</f>
        <v>&lt;=25</v>
      </c>
      <c r="T1639" t="str">
        <f t="shared" si="75"/>
        <v>Negative</v>
      </c>
      <c r="U1639" t="str">
        <f t="shared" si="76"/>
        <v>Negative</v>
      </c>
      <c r="V1639" s="1" t="str">
        <f t="shared" si="77"/>
        <v>Accurate Prediction</v>
      </c>
    </row>
    <row r="1640" spans="1:22" x14ac:dyDescent="0.25">
      <c r="A1640" s="1">
        <v>1</v>
      </c>
      <c r="B1640" s="1">
        <v>119</v>
      </c>
      <c r="C1640" s="1">
        <v>54</v>
      </c>
      <c r="D1640" s="1">
        <v>13</v>
      </c>
      <c r="E1640" s="1">
        <v>50</v>
      </c>
      <c r="F1640" s="1">
        <v>22.3</v>
      </c>
      <c r="G1640" s="1">
        <v>0.20499999999999999</v>
      </c>
      <c r="H1640" s="1">
        <v>24</v>
      </c>
      <c r="I1640" s="1">
        <v>0</v>
      </c>
      <c r="J1640" s="1">
        <f>IFERROR(VLOOKUP(K1640,[1]diabetes_Recognition!$A:$B,2,FALSE),"Not Sampled")</f>
        <v>0</v>
      </c>
      <c r="K1640" s="1">
        <v>1638</v>
      </c>
      <c r="L1640" s="1">
        <f>LOOKUP(A1640,Sheet2!$D$4:$E$9)</f>
        <v>1</v>
      </c>
      <c r="M1640" t="str">
        <f>LOOKUP(B1640,Sheet2!$G$4:$H$9)</f>
        <v>100-125</v>
      </c>
      <c r="N1640" t="str">
        <f>LOOKUP(C1640,Sheet2!$J$4:$K$8)</f>
        <v>1-59</v>
      </c>
      <c r="O1640" t="str">
        <f>LOOKUP(D1640,Sheet2!$M$4:$N$8)</f>
        <v>10-30</v>
      </c>
      <c r="P1640" t="str">
        <f>LOOKUP(E1640,Sheet2!$P$4:$Q$9)</f>
        <v>1-99</v>
      </c>
      <c r="Q1640" t="str">
        <f>LOOKUP(F1640,Sheet2!$S$4:$T$8)</f>
        <v>1-25</v>
      </c>
      <c r="R1640" t="str">
        <f>LOOKUP(G1640,Sheet2!$V$4:$W$7)</f>
        <v>0.0 - 0.249</v>
      </c>
      <c r="S1640" t="str">
        <f>LOOKUP(H1640,Sheet2!$Z$4:$AA$7)</f>
        <v>&lt;=25</v>
      </c>
      <c r="T1640" t="str">
        <f t="shared" si="75"/>
        <v>Negative</v>
      </c>
      <c r="U1640" t="str">
        <f t="shared" si="76"/>
        <v>Negative</v>
      </c>
      <c r="V1640" s="1" t="str">
        <f t="shared" si="77"/>
        <v>Accurate Prediction</v>
      </c>
    </row>
    <row r="1641" spans="1:22" x14ac:dyDescent="0.25">
      <c r="A1641" s="1">
        <v>5</v>
      </c>
      <c r="B1641" s="1">
        <v>116</v>
      </c>
      <c r="C1641" s="1">
        <v>74</v>
      </c>
      <c r="D1641" s="1">
        <v>29</v>
      </c>
      <c r="E1641" s="1">
        <v>0</v>
      </c>
      <c r="F1641" s="1">
        <v>32.299999999999997</v>
      </c>
      <c r="G1641" s="1">
        <v>0.66</v>
      </c>
      <c r="H1641" s="1">
        <v>35</v>
      </c>
      <c r="I1641" s="1">
        <v>1</v>
      </c>
      <c r="J1641" s="1">
        <f>IFERROR(VLOOKUP(K1641,[1]diabetes_Recognition!$A:$B,2,FALSE),"Not Sampled")</f>
        <v>0</v>
      </c>
      <c r="K1641" s="1">
        <v>1639</v>
      </c>
      <c r="L1641" s="1" t="str">
        <f>LOOKUP(A1641,Sheet2!$D$4:$E$9)</f>
        <v>5-7</v>
      </c>
      <c r="M1641" t="str">
        <f>LOOKUP(B1641,Sheet2!$G$4:$H$9)</f>
        <v>100-125</v>
      </c>
      <c r="N1641" t="str">
        <f>LOOKUP(C1641,Sheet2!$J$4:$K$8)</f>
        <v>70-79</v>
      </c>
      <c r="O1641" t="str">
        <f>LOOKUP(D1641,Sheet2!$M$4:$N$8)</f>
        <v>10-30</v>
      </c>
      <c r="P1641" t="str">
        <f>LOOKUP(E1641,Sheet2!$P$4:$Q$9)</f>
        <v>Unknown</v>
      </c>
      <c r="Q1641" t="str">
        <f>LOOKUP(F1641,Sheet2!$S$4:$T$8)</f>
        <v>31-35</v>
      </c>
      <c r="R1641" t="str">
        <f>LOOKUP(G1641,Sheet2!$V$4:$W$7)</f>
        <v>0.4 - 0.69</v>
      </c>
      <c r="S1641" t="str">
        <f>LOOKUP(H1641,Sheet2!$Z$4:$AA$7)</f>
        <v>26-35</v>
      </c>
      <c r="T1641" t="str">
        <f t="shared" si="75"/>
        <v>Positive</v>
      </c>
      <c r="U1641" t="str">
        <f t="shared" si="76"/>
        <v>Negative</v>
      </c>
      <c r="V1641" s="1" t="str">
        <f t="shared" si="77"/>
        <v>Inaccurate Prediction</v>
      </c>
    </row>
    <row r="1642" spans="1:22" x14ac:dyDescent="0.25">
      <c r="A1642" s="1">
        <v>8</v>
      </c>
      <c r="B1642" s="1">
        <v>105</v>
      </c>
      <c r="C1642" s="1">
        <v>100</v>
      </c>
      <c r="D1642" s="1">
        <v>36</v>
      </c>
      <c r="E1642" s="1">
        <v>0</v>
      </c>
      <c r="F1642" s="1">
        <v>43.3</v>
      </c>
      <c r="G1642" s="1">
        <v>0.23899999999999999</v>
      </c>
      <c r="H1642" s="1">
        <v>45</v>
      </c>
      <c r="I1642" s="1">
        <v>1</v>
      </c>
      <c r="J1642" s="1" t="str">
        <f>IFERROR(VLOOKUP(K1642,[1]diabetes_Recognition!$A:$B,2,FALSE),"Not Sampled")</f>
        <v>Not Sampled</v>
      </c>
      <c r="K1642" s="1">
        <v>1640</v>
      </c>
      <c r="L1642" s="1" t="str">
        <f>LOOKUP(A1642,Sheet2!$D$4:$E$9)</f>
        <v>8+</v>
      </c>
      <c r="M1642" t="str">
        <f>LOOKUP(B1642,Sheet2!$G$4:$H$9)</f>
        <v>100-125</v>
      </c>
      <c r="N1642" t="str">
        <f>LOOKUP(C1642,Sheet2!$J$4:$K$8)</f>
        <v>80+</v>
      </c>
      <c r="O1642" t="str">
        <f>LOOKUP(D1642,Sheet2!$M$4:$N$8)</f>
        <v>30-39</v>
      </c>
      <c r="P1642" t="str">
        <f>LOOKUP(E1642,Sheet2!$P$4:$Q$9)</f>
        <v>Unknown</v>
      </c>
      <c r="Q1642" t="str">
        <f>LOOKUP(F1642,Sheet2!$S$4:$T$8)</f>
        <v>36+</v>
      </c>
      <c r="R1642" t="str">
        <f>LOOKUP(G1642,Sheet2!$V$4:$W$7)</f>
        <v>0.0 - 0.249</v>
      </c>
      <c r="S1642" t="str">
        <f>LOOKUP(H1642,Sheet2!$Z$4:$AA$7)</f>
        <v>36-45</v>
      </c>
      <c r="T1642" t="str">
        <f t="shared" si="75"/>
        <v>Positive</v>
      </c>
      <c r="U1642" t="str">
        <f t="shared" si="76"/>
        <v>Not Sampled</v>
      </c>
      <c r="V1642" s="1" t="str">
        <f t="shared" si="77"/>
        <v>Not Sampled</v>
      </c>
    </row>
    <row r="1643" spans="1:22" x14ac:dyDescent="0.25">
      <c r="A1643" s="1">
        <v>5</v>
      </c>
      <c r="B1643" s="1">
        <v>144</v>
      </c>
      <c r="C1643" s="1">
        <v>82</v>
      </c>
      <c r="D1643" s="1">
        <v>26</v>
      </c>
      <c r="E1643" s="1">
        <v>285</v>
      </c>
      <c r="F1643" s="1">
        <v>32</v>
      </c>
      <c r="G1643" s="1">
        <v>0.45200000000000001</v>
      </c>
      <c r="H1643" s="1">
        <v>58</v>
      </c>
      <c r="I1643" s="1">
        <v>1</v>
      </c>
      <c r="J1643" s="1" t="str">
        <f>IFERROR(VLOOKUP(K1643,[1]diabetes_Recognition!$A:$B,2,FALSE),"Not Sampled")</f>
        <v>Not Sampled</v>
      </c>
      <c r="K1643" s="1">
        <v>1641</v>
      </c>
      <c r="L1643" s="1" t="str">
        <f>LOOKUP(A1643,Sheet2!$D$4:$E$9)</f>
        <v>5-7</v>
      </c>
      <c r="M1643" t="str">
        <f>LOOKUP(B1643,Sheet2!$G$4:$H$9)</f>
        <v>126-150</v>
      </c>
      <c r="N1643" t="str">
        <f>LOOKUP(C1643,Sheet2!$J$4:$K$8)</f>
        <v>80+</v>
      </c>
      <c r="O1643" t="str">
        <f>LOOKUP(D1643,Sheet2!$M$4:$N$8)</f>
        <v>10-30</v>
      </c>
      <c r="P1643" t="str">
        <f>LOOKUP(E1643,Sheet2!$P$4:$Q$9)</f>
        <v>200-399</v>
      </c>
      <c r="Q1643" t="str">
        <f>LOOKUP(F1643,Sheet2!$S$4:$T$8)</f>
        <v>31-35</v>
      </c>
      <c r="R1643" t="str">
        <f>LOOKUP(G1643,Sheet2!$V$4:$W$7)</f>
        <v>0.4 - 0.69</v>
      </c>
      <c r="S1643" t="str">
        <f>LOOKUP(H1643,Sheet2!$Z$4:$AA$7)</f>
        <v>46+</v>
      </c>
      <c r="T1643" t="str">
        <f t="shared" si="75"/>
        <v>Positive</v>
      </c>
      <c r="U1643" t="str">
        <f t="shared" si="76"/>
        <v>Not Sampled</v>
      </c>
      <c r="V1643" s="1" t="str">
        <f t="shared" si="77"/>
        <v>Not Sampled</v>
      </c>
    </row>
    <row r="1644" spans="1:22" x14ac:dyDescent="0.25">
      <c r="A1644" s="1">
        <v>3</v>
      </c>
      <c r="B1644" s="1">
        <v>100</v>
      </c>
      <c r="C1644" s="1">
        <v>68</v>
      </c>
      <c r="D1644" s="1">
        <v>23</v>
      </c>
      <c r="E1644" s="1">
        <v>81</v>
      </c>
      <c r="F1644" s="1">
        <v>31.6</v>
      </c>
      <c r="G1644" s="1">
        <v>0.94899999999999995</v>
      </c>
      <c r="H1644" s="1">
        <v>28</v>
      </c>
      <c r="I1644" s="1">
        <v>0</v>
      </c>
      <c r="J1644" s="1" t="str">
        <f>IFERROR(VLOOKUP(K1644,[1]diabetes_Recognition!$A:$B,2,FALSE),"Not Sampled")</f>
        <v>Not Sampled</v>
      </c>
      <c r="K1644" s="1">
        <v>1642</v>
      </c>
      <c r="L1644" s="1" t="str">
        <f>LOOKUP(A1644,Sheet2!$D$4:$E$9)</f>
        <v>3-4</v>
      </c>
      <c r="M1644" t="str">
        <f>LOOKUP(B1644,Sheet2!$G$4:$H$9)</f>
        <v>100-125</v>
      </c>
      <c r="N1644" t="str">
        <f>LOOKUP(C1644,Sheet2!$J$4:$K$8)</f>
        <v>60-69</v>
      </c>
      <c r="O1644" t="str">
        <f>LOOKUP(D1644,Sheet2!$M$4:$N$8)</f>
        <v>10-30</v>
      </c>
      <c r="P1644" t="str">
        <f>LOOKUP(E1644,Sheet2!$P$4:$Q$9)</f>
        <v>1-99</v>
      </c>
      <c r="Q1644" t="str">
        <f>LOOKUP(F1644,Sheet2!$S$4:$T$8)</f>
        <v>31-35</v>
      </c>
      <c r="R1644" t="str">
        <f>LOOKUP(G1644,Sheet2!$V$4:$W$7)</f>
        <v>0.7+</v>
      </c>
      <c r="S1644" t="str">
        <f>LOOKUP(H1644,Sheet2!$Z$4:$AA$7)</f>
        <v>26-35</v>
      </c>
      <c r="T1644" t="str">
        <f t="shared" si="75"/>
        <v>Negative</v>
      </c>
      <c r="U1644" t="str">
        <f t="shared" si="76"/>
        <v>Not Sampled</v>
      </c>
      <c r="V1644" s="1" t="str">
        <f t="shared" si="77"/>
        <v>Not Sampled</v>
      </c>
    </row>
    <row r="1645" spans="1:22" x14ac:dyDescent="0.25">
      <c r="A1645" s="1">
        <v>1</v>
      </c>
      <c r="B1645" s="1">
        <v>100</v>
      </c>
      <c r="C1645" s="1">
        <v>66</v>
      </c>
      <c r="D1645" s="1">
        <v>29</v>
      </c>
      <c r="E1645" s="1">
        <v>196</v>
      </c>
      <c r="F1645" s="1">
        <v>32</v>
      </c>
      <c r="G1645" s="1">
        <v>0.44400000000000001</v>
      </c>
      <c r="H1645" s="1">
        <v>42</v>
      </c>
      <c r="I1645" s="1">
        <v>0</v>
      </c>
      <c r="J1645" s="1" t="str">
        <f>IFERROR(VLOOKUP(K1645,[1]diabetes_Recognition!$A:$B,2,FALSE),"Not Sampled")</f>
        <v>Not Sampled</v>
      </c>
      <c r="K1645" s="1">
        <v>1643</v>
      </c>
      <c r="L1645" s="1">
        <f>LOOKUP(A1645,Sheet2!$D$4:$E$9)</f>
        <v>1</v>
      </c>
      <c r="M1645" t="str">
        <f>LOOKUP(B1645,Sheet2!$G$4:$H$9)</f>
        <v>100-125</v>
      </c>
      <c r="N1645" t="str">
        <f>LOOKUP(C1645,Sheet2!$J$4:$K$8)</f>
        <v>60-69</v>
      </c>
      <c r="O1645" t="str">
        <f>LOOKUP(D1645,Sheet2!$M$4:$N$8)</f>
        <v>10-30</v>
      </c>
      <c r="P1645" t="str">
        <f>LOOKUP(E1645,Sheet2!$P$4:$Q$9)</f>
        <v>100-199</v>
      </c>
      <c r="Q1645" t="str">
        <f>LOOKUP(F1645,Sheet2!$S$4:$T$8)</f>
        <v>31-35</v>
      </c>
      <c r="R1645" t="str">
        <f>LOOKUP(G1645,Sheet2!$V$4:$W$7)</f>
        <v>0.4 - 0.69</v>
      </c>
      <c r="S1645" t="str">
        <f>LOOKUP(H1645,Sheet2!$Z$4:$AA$7)</f>
        <v>36-45</v>
      </c>
      <c r="T1645" t="str">
        <f t="shared" si="75"/>
        <v>Negative</v>
      </c>
      <c r="U1645" t="str">
        <f t="shared" si="76"/>
        <v>Not Sampled</v>
      </c>
      <c r="V1645" s="1" t="str">
        <f t="shared" si="77"/>
        <v>Not Sampled</v>
      </c>
    </row>
    <row r="1646" spans="1:22" x14ac:dyDescent="0.25">
      <c r="A1646" s="1">
        <v>5</v>
      </c>
      <c r="B1646" s="1">
        <v>166</v>
      </c>
      <c r="C1646" s="1">
        <v>76</v>
      </c>
      <c r="D1646" s="1">
        <v>0</v>
      </c>
      <c r="E1646" s="1">
        <v>0</v>
      </c>
      <c r="F1646" s="1">
        <v>45.7</v>
      </c>
      <c r="G1646" s="1">
        <v>0.34</v>
      </c>
      <c r="H1646" s="1">
        <v>27</v>
      </c>
      <c r="I1646" s="1">
        <v>1</v>
      </c>
      <c r="J1646" s="1" t="str">
        <f>IFERROR(VLOOKUP(K1646,[1]diabetes_Recognition!$A:$B,2,FALSE),"Not Sampled")</f>
        <v>Not Sampled</v>
      </c>
      <c r="K1646" s="1">
        <v>1644</v>
      </c>
      <c r="L1646" s="1" t="str">
        <f>LOOKUP(A1646,Sheet2!$D$4:$E$9)</f>
        <v>5-7</v>
      </c>
      <c r="M1646" t="str">
        <f>LOOKUP(B1646,Sheet2!$G$4:$H$9)</f>
        <v>151-175</v>
      </c>
      <c r="N1646" t="str">
        <f>LOOKUP(C1646,Sheet2!$J$4:$K$8)</f>
        <v>70-79</v>
      </c>
      <c r="O1646" t="str">
        <f>LOOKUP(D1646,Sheet2!$M$4:$N$8)</f>
        <v>Unknown</v>
      </c>
      <c r="P1646" t="str">
        <f>LOOKUP(E1646,Sheet2!$P$4:$Q$9)</f>
        <v>Unknown</v>
      </c>
      <c r="Q1646" t="str">
        <f>LOOKUP(F1646,Sheet2!$S$4:$T$8)</f>
        <v>36+</v>
      </c>
      <c r="R1646" t="str">
        <f>LOOKUP(G1646,Sheet2!$V$4:$W$7)</f>
        <v>0.25 - 0.39</v>
      </c>
      <c r="S1646" t="str">
        <f>LOOKUP(H1646,Sheet2!$Z$4:$AA$7)</f>
        <v>26-35</v>
      </c>
      <c r="T1646" t="str">
        <f t="shared" si="75"/>
        <v>Positive</v>
      </c>
      <c r="U1646" t="str">
        <f t="shared" si="76"/>
        <v>Not Sampled</v>
      </c>
      <c r="V1646" s="1" t="str">
        <f t="shared" si="77"/>
        <v>Not Sampled</v>
      </c>
    </row>
    <row r="1647" spans="1:22" x14ac:dyDescent="0.25">
      <c r="A1647" s="1">
        <v>1</v>
      </c>
      <c r="B1647" s="1">
        <v>131</v>
      </c>
      <c r="C1647" s="1">
        <v>64</v>
      </c>
      <c r="D1647" s="1">
        <v>14</v>
      </c>
      <c r="E1647" s="1">
        <v>415</v>
      </c>
      <c r="F1647" s="1">
        <v>23.7</v>
      </c>
      <c r="G1647" s="1">
        <v>0.38900000000000001</v>
      </c>
      <c r="H1647" s="1">
        <v>21</v>
      </c>
      <c r="I1647" s="1">
        <v>0</v>
      </c>
      <c r="J1647" s="1" t="str">
        <f>IFERROR(VLOOKUP(K1647,[1]diabetes_Recognition!$A:$B,2,FALSE),"Not Sampled")</f>
        <v>Not Sampled</v>
      </c>
      <c r="K1647" s="1">
        <v>1645</v>
      </c>
      <c r="L1647" s="1">
        <f>LOOKUP(A1647,Sheet2!$D$4:$E$9)</f>
        <v>1</v>
      </c>
      <c r="M1647" t="str">
        <f>LOOKUP(B1647,Sheet2!$G$4:$H$9)</f>
        <v>126-150</v>
      </c>
      <c r="N1647" t="str">
        <f>LOOKUP(C1647,Sheet2!$J$4:$K$8)</f>
        <v>60-69</v>
      </c>
      <c r="O1647" t="str">
        <f>LOOKUP(D1647,Sheet2!$M$4:$N$8)</f>
        <v>10-30</v>
      </c>
      <c r="P1647" t="str">
        <f>LOOKUP(E1647,Sheet2!$P$4:$Q$9)</f>
        <v>300-499</v>
      </c>
      <c r="Q1647" t="str">
        <f>LOOKUP(F1647,Sheet2!$S$4:$T$8)</f>
        <v>1-25</v>
      </c>
      <c r="R1647" t="str">
        <f>LOOKUP(G1647,Sheet2!$V$4:$W$7)</f>
        <v>0.25 - 0.39</v>
      </c>
      <c r="S1647" t="str">
        <f>LOOKUP(H1647,Sheet2!$Z$4:$AA$7)</f>
        <v>&lt;=25</v>
      </c>
      <c r="T1647" t="str">
        <f t="shared" si="75"/>
        <v>Negative</v>
      </c>
      <c r="U1647" t="str">
        <f t="shared" si="76"/>
        <v>Not Sampled</v>
      </c>
      <c r="V1647" s="1" t="str">
        <f t="shared" si="77"/>
        <v>Not Sampled</v>
      </c>
    </row>
    <row r="1648" spans="1:22" x14ac:dyDescent="0.25">
      <c r="A1648" s="1">
        <v>4</v>
      </c>
      <c r="B1648" s="1">
        <v>116</v>
      </c>
      <c r="C1648" s="1">
        <v>72</v>
      </c>
      <c r="D1648" s="1">
        <v>12</v>
      </c>
      <c r="E1648" s="1">
        <v>87</v>
      </c>
      <c r="F1648" s="1">
        <v>22.1</v>
      </c>
      <c r="G1648" s="1">
        <v>0.46300000000000002</v>
      </c>
      <c r="H1648" s="1">
        <v>37</v>
      </c>
      <c r="I1648" s="1">
        <v>0</v>
      </c>
      <c r="J1648" s="1">
        <f>IFERROR(VLOOKUP(K1648,[1]diabetes_Recognition!$A:$B,2,FALSE),"Not Sampled")</f>
        <v>0</v>
      </c>
      <c r="K1648" s="1">
        <v>1646</v>
      </c>
      <c r="L1648" s="1" t="str">
        <f>LOOKUP(A1648,Sheet2!$D$4:$E$9)</f>
        <v>3-4</v>
      </c>
      <c r="M1648" t="str">
        <f>LOOKUP(B1648,Sheet2!$G$4:$H$9)</f>
        <v>100-125</v>
      </c>
      <c r="N1648" t="str">
        <f>LOOKUP(C1648,Sheet2!$J$4:$K$8)</f>
        <v>70-79</v>
      </c>
      <c r="O1648" t="str">
        <f>LOOKUP(D1648,Sheet2!$M$4:$N$8)</f>
        <v>10-30</v>
      </c>
      <c r="P1648" t="str">
        <f>LOOKUP(E1648,Sheet2!$P$4:$Q$9)</f>
        <v>1-99</v>
      </c>
      <c r="Q1648" t="str">
        <f>LOOKUP(F1648,Sheet2!$S$4:$T$8)</f>
        <v>1-25</v>
      </c>
      <c r="R1648" t="str">
        <f>LOOKUP(G1648,Sheet2!$V$4:$W$7)</f>
        <v>0.4 - 0.69</v>
      </c>
      <c r="S1648" t="str">
        <f>LOOKUP(H1648,Sheet2!$Z$4:$AA$7)</f>
        <v>36-45</v>
      </c>
      <c r="T1648" t="str">
        <f t="shared" si="75"/>
        <v>Negative</v>
      </c>
      <c r="U1648" t="str">
        <f t="shared" si="76"/>
        <v>Negative</v>
      </c>
      <c r="V1648" s="1" t="str">
        <f t="shared" si="77"/>
        <v>Accurate Prediction</v>
      </c>
    </row>
    <row r="1649" spans="1:22" x14ac:dyDescent="0.25">
      <c r="A1649" s="1">
        <v>4</v>
      </c>
      <c r="B1649" s="1">
        <v>158</v>
      </c>
      <c r="C1649" s="1">
        <v>78</v>
      </c>
      <c r="D1649" s="1">
        <v>0</v>
      </c>
      <c r="E1649" s="1">
        <v>0</v>
      </c>
      <c r="F1649" s="1">
        <v>32.9</v>
      </c>
      <c r="G1649" s="1">
        <v>0.80300000000000005</v>
      </c>
      <c r="H1649" s="1">
        <v>31</v>
      </c>
      <c r="I1649" s="1">
        <v>1</v>
      </c>
      <c r="J1649" s="1">
        <f>IFERROR(VLOOKUP(K1649,[1]diabetes_Recognition!$A:$B,2,FALSE),"Not Sampled")</f>
        <v>1</v>
      </c>
      <c r="K1649" s="1">
        <v>1647</v>
      </c>
      <c r="L1649" s="1" t="str">
        <f>LOOKUP(A1649,Sheet2!$D$4:$E$9)</f>
        <v>3-4</v>
      </c>
      <c r="M1649" t="str">
        <f>LOOKUP(B1649,Sheet2!$G$4:$H$9)</f>
        <v>151-175</v>
      </c>
      <c r="N1649" t="str">
        <f>LOOKUP(C1649,Sheet2!$J$4:$K$8)</f>
        <v>70-79</v>
      </c>
      <c r="O1649" t="str">
        <f>LOOKUP(D1649,Sheet2!$M$4:$N$8)</f>
        <v>Unknown</v>
      </c>
      <c r="P1649" t="str">
        <f>LOOKUP(E1649,Sheet2!$P$4:$Q$9)</f>
        <v>Unknown</v>
      </c>
      <c r="Q1649" t="str">
        <f>LOOKUP(F1649,Sheet2!$S$4:$T$8)</f>
        <v>31-35</v>
      </c>
      <c r="R1649" t="str">
        <f>LOOKUP(G1649,Sheet2!$V$4:$W$7)</f>
        <v>0.7+</v>
      </c>
      <c r="S1649" t="str">
        <f>LOOKUP(H1649,Sheet2!$Z$4:$AA$7)</f>
        <v>26-35</v>
      </c>
      <c r="T1649" t="str">
        <f t="shared" si="75"/>
        <v>Positive</v>
      </c>
      <c r="U1649" t="str">
        <f t="shared" si="76"/>
        <v>Positive</v>
      </c>
      <c r="V1649" s="1" t="str">
        <f t="shared" si="77"/>
        <v>Accurate Prediction</v>
      </c>
    </row>
    <row r="1650" spans="1:22" x14ac:dyDescent="0.25">
      <c r="A1650" s="1">
        <v>2</v>
      </c>
      <c r="B1650" s="1">
        <v>127</v>
      </c>
      <c r="C1650" s="1">
        <v>58</v>
      </c>
      <c r="D1650" s="1">
        <v>24</v>
      </c>
      <c r="E1650" s="1">
        <v>275</v>
      </c>
      <c r="F1650" s="1">
        <v>27.7</v>
      </c>
      <c r="G1650" s="1">
        <v>1.6</v>
      </c>
      <c r="H1650" s="1">
        <v>25</v>
      </c>
      <c r="I1650" s="1">
        <v>0</v>
      </c>
      <c r="J1650" s="1" t="str">
        <f>IFERROR(VLOOKUP(K1650,[1]diabetes_Recognition!$A:$B,2,FALSE),"Not Sampled")</f>
        <v>Not Sampled</v>
      </c>
      <c r="K1650" s="1">
        <v>1648</v>
      </c>
      <c r="L1650" s="1">
        <f>LOOKUP(A1650,Sheet2!$D$4:$E$9)</f>
        <v>2</v>
      </c>
      <c r="M1650" t="str">
        <f>LOOKUP(B1650,Sheet2!$G$4:$H$9)</f>
        <v>126-150</v>
      </c>
      <c r="N1650" t="str">
        <f>LOOKUP(C1650,Sheet2!$J$4:$K$8)</f>
        <v>1-59</v>
      </c>
      <c r="O1650" t="str">
        <f>LOOKUP(D1650,Sheet2!$M$4:$N$8)</f>
        <v>10-30</v>
      </c>
      <c r="P1650" t="str">
        <f>LOOKUP(E1650,Sheet2!$P$4:$Q$9)</f>
        <v>200-399</v>
      </c>
      <c r="Q1650" t="str">
        <f>LOOKUP(F1650,Sheet2!$S$4:$T$8)</f>
        <v>26-30</v>
      </c>
      <c r="R1650" t="str">
        <f>LOOKUP(G1650,Sheet2!$V$4:$W$7)</f>
        <v>0.7+</v>
      </c>
      <c r="S1650" t="str">
        <f>LOOKUP(H1650,Sheet2!$Z$4:$AA$7)</f>
        <v>&lt;=25</v>
      </c>
      <c r="T1650" t="str">
        <f t="shared" si="75"/>
        <v>Negative</v>
      </c>
      <c r="U1650" t="str">
        <f t="shared" si="76"/>
        <v>Not Sampled</v>
      </c>
      <c r="V1650" s="1" t="str">
        <f t="shared" si="77"/>
        <v>Not Sampled</v>
      </c>
    </row>
    <row r="1651" spans="1:22" x14ac:dyDescent="0.25">
      <c r="A1651" s="1">
        <v>3</v>
      </c>
      <c r="B1651" s="1">
        <v>96</v>
      </c>
      <c r="C1651" s="1">
        <v>56</v>
      </c>
      <c r="D1651" s="1">
        <v>34</v>
      </c>
      <c r="E1651" s="1">
        <v>115</v>
      </c>
      <c r="F1651" s="1">
        <v>24.7</v>
      </c>
      <c r="G1651" s="1">
        <v>0.94399999999999995</v>
      </c>
      <c r="H1651" s="1">
        <v>39</v>
      </c>
      <c r="I1651" s="1">
        <v>0</v>
      </c>
      <c r="J1651" s="1" t="str">
        <f>IFERROR(VLOOKUP(K1651,[1]diabetes_Recognition!$A:$B,2,FALSE),"Not Sampled")</f>
        <v>Not Sampled</v>
      </c>
      <c r="K1651" s="1">
        <v>1649</v>
      </c>
      <c r="L1651" s="1" t="str">
        <f>LOOKUP(A1651,Sheet2!$D$4:$E$9)</f>
        <v>3-4</v>
      </c>
      <c r="M1651" t="str">
        <f>LOOKUP(B1651,Sheet2!$G$4:$H$9)</f>
        <v>1-99</v>
      </c>
      <c r="N1651" t="str">
        <f>LOOKUP(C1651,Sheet2!$J$4:$K$8)</f>
        <v>1-59</v>
      </c>
      <c r="O1651" t="str">
        <f>LOOKUP(D1651,Sheet2!$M$4:$N$8)</f>
        <v>30-39</v>
      </c>
      <c r="P1651" t="str">
        <f>LOOKUP(E1651,Sheet2!$P$4:$Q$9)</f>
        <v>100-199</v>
      </c>
      <c r="Q1651" t="str">
        <f>LOOKUP(F1651,Sheet2!$S$4:$T$8)</f>
        <v>1-25</v>
      </c>
      <c r="R1651" t="str">
        <f>LOOKUP(G1651,Sheet2!$V$4:$W$7)</f>
        <v>0.7+</v>
      </c>
      <c r="S1651" t="str">
        <f>LOOKUP(H1651,Sheet2!$Z$4:$AA$7)</f>
        <v>36-45</v>
      </c>
      <c r="T1651" t="str">
        <f t="shared" si="75"/>
        <v>Negative</v>
      </c>
      <c r="U1651" t="str">
        <f t="shared" si="76"/>
        <v>Not Sampled</v>
      </c>
      <c r="V1651" s="1" t="str">
        <f t="shared" si="77"/>
        <v>Not Sampled</v>
      </c>
    </row>
    <row r="1652" spans="1:22" x14ac:dyDescent="0.25">
      <c r="A1652" s="1">
        <v>0</v>
      </c>
      <c r="B1652" s="1">
        <v>131</v>
      </c>
      <c r="C1652" s="1">
        <v>66</v>
      </c>
      <c r="D1652" s="1">
        <v>40</v>
      </c>
      <c r="E1652" s="1">
        <v>0</v>
      </c>
      <c r="F1652" s="1">
        <v>34.299999999999997</v>
      </c>
      <c r="G1652" s="1">
        <v>0.19600000000000001</v>
      </c>
      <c r="H1652" s="1">
        <v>22</v>
      </c>
      <c r="I1652" s="1">
        <v>1</v>
      </c>
      <c r="J1652" s="1" t="str">
        <f>IFERROR(VLOOKUP(K1652,[1]diabetes_Recognition!$A:$B,2,FALSE),"Not Sampled")</f>
        <v>Not Sampled</v>
      </c>
      <c r="K1652" s="1">
        <v>1650</v>
      </c>
      <c r="L1652" s="1">
        <f>LOOKUP(A1652,Sheet2!$D$4:$E$9)</f>
        <v>0</v>
      </c>
      <c r="M1652" t="str">
        <f>LOOKUP(B1652,Sheet2!$G$4:$H$9)</f>
        <v>126-150</v>
      </c>
      <c r="N1652" t="str">
        <f>LOOKUP(C1652,Sheet2!$J$4:$K$8)</f>
        <v>60-69</v>
      </c>
      <c r="O1652" t="str">
        <f>LOOKUP(D1652,Sheet2!$M$4:$N$8)</f>
        <v>40+</v>
      </c>
      <c r="P1652" t="str">
        <f>LOOKUP(E1652,Sheet2!$P$4:$Q$9)</f>
        <v>Unknown</v>
      </c>
      <c r="Q1652" t="str">
        <f>LOOKUP(F1652,Sheet2!$S$4:$T$8)</f>
        <v>31-35</v>
      </c>
      <c r="R1652" t="str">
        <f>LOOKUP(G1652,Sheet2!$V$4:$W$7)</f>
        <v>0.0 - 0.249</v>
      </c>
      <c r="S1652" t="str">
        <f>LOOKUP(H1652,Sheet2!$Z$4:$AA$7)</f>
        <v>&lt;=25</v>
      </c>
      <c r="T1652" t="str">
        <f t="shared" si="75"/>
        <v>Positive</v>
      </c>
      <c r="U1652" t="str">
        <f t="shared" si="76"/>
        <v>Not Sampled</v>
      </c>
      <c r="V1652" s="1" t="str">
        <f t="shared" si="77"/>
        <v>Not Sampled</v>
      </c>
    </row>
    <row r="1653" spans="1:22" x14ac:dyDescent="0.25">
      <c r="A1653" s="1">
        <v>3</v>
      </c>
      <c r="B1653" s="1">
        <v>82</v>
      </c>
      <c r="C1653" s="1">
        <v>70</v>
      </c>
      <c r="D1653" s="1">
        <v>0</v>
      </c>
      <c r="E1653" s="1">
        <v>0</v>
      </c>
      <c r="F1653" s="1">
        <v>21.1</v>
      </c>
      <c r="G1653" s="1">
        <v>0.38900000000000001</v>
      </c>
      <c r="H1653" s="1">
        <v>25</v>
      </c>
      <c r="I1653" s="1">
        <v>0</v>
      </c>
      <c r="J1653" s="1">
        <f>IFERROR(VLOOKUP(K1653,[1]diabetes_Recognition!$A:$B,2,FALSE),"Not Sampled")</f>
        <v>0</v>
      </c>
      <c r="K1653" s="1">
        <v>1651</v>
      </c>
      <c r="L1653" s="1" t="str">
        <f>LOOKUP(A1653,Sheet2!$D$4:$E$9)</f>
        <v>3-4</v>
      </c>
      <c r="M1653" t="str">
        <f>LOOKUP(B1653,Sheet2!$G$4:$H$9)</f>
        <v>1-99</v>
      </c>
      <c r="N1653" t="str">
        <f>LOOKUP(C1653,Sheet2!$J$4:$K$8)</f>
        <v>70-79</v>
      </c>
      <c r="O1653" t="str">
        <f>LOOKUP(D1653,Sheet2!$M$4:$N$8)</f>
        <v>Unknown</v>
      </c>
      <c r="P1653" t="str">
        <f>LOOKUP(E1653,Sheet2!$P$4:$Q$9)</f>
        <v>Unknown</v>
      </c>
      <c r="Q1653" t="str">
        <f>LOOKUP(F1653,Sheet2!$S$4:$T$8)</f>
        <v>1-25</v>
      </c>
      <c r="R1653" t="str">
        <f>LOOKUP(G1653,Sheet2!$V$4:$W$7)</f>
        <v>0.25 - 0.39</v>
      </c>
      <c r="S1653" t="str">
        <f>LOOKUP(H1653,Sheet2!$Z$4:$AA$7)</f>
        <v>&lt;=25</v>
      </c>
      <c r="T1653" t="str">
        <f t="shared" si="75"/>
        <v>Negative</v>
      </c>
      <c r="U1653" t="str">
        <f t="shared" si="76"/>
        <v>Negative</v>
      </c>
      <c r="V1653" s="1" t="str">
        <f t="shared" si="77"/>
        <v>Accurate Prediction</v>
      </c>
    </row>
    <row r="1654" spans="1:22" x14ac:dyDescent="0.25">
      <c r="A1654" s="1">
        <v>3</v>
      </c>
      <c r="B1654" s="1">
        <v>193</v>
      </c>
      <c r="C1654" s="1">
        <v>70</v>
      </c>
      <c r="D1654" s="1">
        <v>31</v>
      </c>
      <c r="E1654" s="1">
        <v>0</v>
      </c>
      <c r="F1654" s="1">
        <v>34.9</v>
      </c>
      <c r="G1654" s="1">
        <v>0.24099999999999999</v>
      </c>
      <c r="H1654" s="1">
        <v>25</v>
      </c>
      <c r="I1654" s="1">
        <v>1</v>
      </c>
      <c r="J1654" s="1" t="str">
        <f>IFERROR(VLOOKUP(K1654,[1]diabetes_Recognition!$A:$B,2,FALSE),"Not Sampled")</f>
        <v>Not Sampled</v>
      </c>
      <c r="K1654" s="1">
        <v>1652</v>
      </c>
      <c r="L1654" s="1" t="str">
        <f>LOOKUP(A1654,Sheet2!$D$4:$E$9)</f>
        <v>3-4</v>
      </c>
      <c r="M1654" t="str">
        <f>LOOKUP(B1654,Sheet2!$G$4:$H$9)</f>
        <v>176-200</v>
      </c>
      <c r="N1654" t="str">
        <f>LOOKUP(C1654,Sheet2!$J$4:$K$8)</f>
        <v>70-79</v>
      </c>
      <c r="O1654" t="str">
        <f>LOOKUP(D1654,Sheet2!$M$4:$N$8)</f>
        <v>30-39</v>
      </c>
      <c r="P1654" t="str">
        <f>LOOKUP(E1654,Sheet2!$P$4:$Q$9)</f>
        <v>Unknown</v>
      </c>
      <c r="Q1654" t="str">
        <f>LOOKUP(F1654,Sheet2!$S$4:$T$8)</f>
        <v>31-35</v>
      </c>
      <c r="R1654" t="str">
        <f>LOOKUP(G1654,Sheet2!$V$4:$W$7)</f>
        <v>0.0 - 0.249</v>
      </c>
      <c r="S1654" t="str">
        <f>LOOKUP(H1654,Sheet2!$Z$4:$AA$7)</f>
        <v>&lt;=25</v>
      </c>
      <c r="T1654" t="str">
        <f t="shared" si="75"/>
        <v>Positive</v>
      </c>
      <c r="U1654" t="str">
        <f t="shared" si="76"/>
        <v>Not Sampled</v>
      </c>
      <c r="V1654" s="1" t="str">
        <f t="shared" si="77"/>
        <v>Not Sampled</v>
      </c>
    </row>
    <row r="1655" spans="1:22" x14ac:dyDescent="0.25">
      <c r="A1655" s="1">
        <v>4</v>
      </c>
      <c r="B1655" s="1">
        <v>95</v>
      </c>
      <c r="C1655" s="1">
        <v>64</v>
      </c>
      <c r="D1655" s="1">
        <v>0</v>
      </c>
      <c r="E1655" s="1">
        <v>0</v>
      </c>
      <c r="F1655" s="1">
        <v>32</v>
      </c>
      <c r="G1655" s="1">
        <v>0.161</v>
      </c>
      <c r="H1655" s="1">
        <v>31</v>
      </c>
      <c r="I1655" s="1">
        <v>1</v>
      </c>
      <c r="J1655" s="1">
        <f>IFERROR(VLOOKUP(K1655,[1]diabetes_Recognition!$A:$B,2,FALSE),"Not Sampled")</f>
        <v>0</v>
      </c>
      <c r="K1655" s="1">
        <v>1653</v>
      </c>
      <c r="L1655" s="1" t="str">
        <f>LOOKUP(A1655,Sheet2!$D$4:$E$9)</f>
        <v>3-4</v>
      </c>
      <c r="M1655" t="str">
        <f>LOOKUP(B1655,Sheet2!$G$4:$H$9)</f>
        <v>1-99</v>
      </c>
      <c r="N1655" t="str">
        <f>LOOKUP(C1655,Sheet2!$J$4:$K$8)</f>
        <v>60-69</v>
      </c>
      <c r="O1655" t="str">
        <f>LOOKUP(D1655,Sheet2!$M$4:$N$8)</f>
        <v>Unknown</v>
      </c>
      <c r="P1655" t="str">
        <f>LOOKUP(E1655,Sheet2!$P$4:$Q$9)</f>
        <v>Unknown</v>
      </c>
      <c r="Q1655" t="str">
        <f>LOOKUP(F1655,Sheet2!$S$4:$T$8)</f>
        <v>31-35</v>
      </c>
      <c r="R1655" t="str">
        <f>LOOKUP(G1655,Sheet2!$V$4:$W$7)</f>
        <v>0.0 - 0.249</v>
      </c>
      <c r="S1655" t="str">
        <f>LOOKUP(H1655,Sheet2!$Z$4:$AA$7)</f>
        <v>26-35</v>
      </c>
      <c r="T1655" t="str">
        <f t="shared" si="75"/>
        <v>Positive</v>
      </c>
      <c r="U1655" t="str">
        <f t="shared" si="76"/>
        <v>Negative</v>
      </c>
      <c r="V1655" s="1" t="str">
        <f t="shared" si="77"/>
        <v>Inaccurate Prediction</v>
      </c>
    </row>
    <row r="1656" spans="1:22" x14ac:dyDescent="0.25">
      <c r="A1656" s="1">
        <v>6</v>
      </c>
      <c r="B1656" s="1">
        <v>137</v>
      </c>
      <c r="C1656" s="1">
        <v>61</v>
      </c>
      <c r="D1656" s="1">
        <v>0</v>
      </c>
      <c r="E1656" s="1">
        <v>0</v>
      </c>
      <c r="F1656" s="1">
        <v>24.2</v>
      </c>
      <c r="G1656" s="1">
        <v>0.151</v>
      </c>
      <c r="H1656" s="1">
        <v>55</v>
      </c>
      <c r="I1656" s="1">
        <v>0</v>
      </c>
      <c r="J1656" s="1" t="str">
        <f>IFERROR(VLOOKUP(K1656,[1]diabetes_Recognition!$A:$B,2,FALSE),"Not Sampled")</f>
        <v>Not Sampled</v>
      </c>
      <c r="K1656" s="1">
        <v>1654</v>
      </c>
      <c r="L1656" s="1" t="str">
        <f>LOOKUP(A1656,Sheet2!$D$4:$E$9)</f>
        <v>5-7</v>
      </c>
      <c r="M1656" t="str">
        <f>LOOKUP(B1656,Sheet2!$G$4:$H$9)</f>
        <v>126-150</v>
      </c>
      <c r="N1656" t="str">
        <f>LOOKUP(C1656,Sheet2!$J$4:$K$8)</f>
        <v>60-69</v>
      </c>
      <c r="O1656" t="str">
        <f>LOOKUP(D1656,Sheet2!$M$4:$N$8)</f>
        <v>Unknown</v>
      </c>
      <c r="P1656" t="str">
        <f>LOOKUP(E1656,Sheet2!$P$4:$Q$9)</f>
        <v>Unknown</v>
      </c>
      <c r="Q1656" t="str">
        <f>LOOKUP(F1656,Sheet2!$S$4:$T$8)</f>
        <v>1-25</v>
      </c>
      <c r="R1656" t="str">
        <f>LOOKUP(G1656,Sheet2!$V$4:$W$7)</f>
        <v>0.0 - 0.249</v>
      </c>
      <c r="S1656" t="str">
        <f>LOOKUP(H1656,Sheet2!$Z$4:$AA$7)</f>
        <v>46+</v>
      </c>
      <c r="T1656" t="str">
        <f t="shared" si="75"/>
        <v>Negative</v>
      </c>
      <c r="U1656" t="str">
        <f t="shared" si="76"/>
        <v>Not Sampled</v>
      </c>
      <c r="V1656" s="1" t="str">
        <f t="shared" si="77"/>
        <v>Not Sampled</v>
      </c>
    </row>
    <row r="1657" spans="1:22" x14ac:dyDescent="0.25">
      <c r="A1657" s="1">
        <v>5</v>
      </c>
      <c r="B1657" s="1">
        <v>136</v>
      </c>
      <c r="C1657" s="1">
        <v>84</v>
      </c>
      <c r="D1657" s="1">
        <v>41</v>
      </c>
      <c r="E1657" s="1">
        <v>88</v>
      </c>
      <c r="F1657" s="1">
        <v>35</v>
      </c>
      <c r="G1657" s="1">
        <v>0.28599999999999998</v>
      </c>
      <c r="H1657" s="1">
        <v>35</v>
      </c>
      <c r="I1657" s="1">
        <v>1</v>
      </c>
      <c r="J1657" s="1" t="str">
        <f>IFERROR(VLOOKUP(K1657,[1]diabetes_Recognition!$A:$B,2,FALSE),"Not Sampled")</f>
        <v>Not Sampled</v>
      </c>
      <c r="K1657" s="1">
        <v>1655</v>
      </c>
      <c r="L1657" s="1" t="str">
        <f>LOOKUP(A1657,Sheet2!$D$4:$E$9)</f>
        <v>5-7</v>
      </c>
      <c r="M1657" t="str">
        <f>LOOKUP(B1657,Sheet2!$G$4:$H$9)</f>
        <v>126-150</v>
      </c>
      <c r="N1657" t="str">
        <f>LOOKUP(C1657,Sheet2!$J$4:$K$8)</f>
        <v>80+</v>
      </c>
      <c r="O1657" t="str">
        <f>LOOKUP(D1657,Sheet2!$M$4:$N$8)</f>
        <v>40+</v>
      </c>
      <c r="P1657" t="str">
        <f>LOOKUP(E1657,Sheet2!$P$4:$Q$9)</f>
        <v>1-99</v>
      </c>
      <c r="Q1657" t="str">
        <f>LOOKUP(F1657,Sheet2!$S$4:$T$8)</f>
        <v>31-35</v>
      </c>
      <c r="R1657" t="str">
        <f>LOOKUP(G1657,Sheet2!$V$4:$W$7)</f>
        <v>0.25 - 0.39</v>
      </c>
      <c r="S1657" t="str">
        <f>LOOKUP(H1657,Sheet2!$Z$4:$AA$7)</f>
        <v>26-35</v>
      </c>
      <c r="T1657" t="str">
        <f t="shared" si="75"/>
        <v>Positive</v>
      </c>
      <c r="U1657" t="str">
        <f t="shared" si="76"/>
        <v>Not Sampled</v>
      </c>
      <c r="V1657" s="1" t="str">
        <f t="shared" si="77"/>
        <v>Not Sampled</v>
      </c>
    </row>
    <row r="1658" spans="1:22" x14ac:dyDescent="0.25">
      <c r="A1658" s="1">
        <v>9</v>
      </c>
      <c r="B1658" s="1">
        <v>72</v>
      </c>
      <c r="C1658" s="1">
        <v>78</v>
      </c>
      <c r="D1658" s="1">
        <v>25</v>
      </c>
      <c r="E1658" s="1">
        <v>0</v>
      </c>
      <c r="F1658" s="1">
        <v>31.6</v>
      </c>
      <c r="G1658" s="1">
        <v>0.28000000000000003</v>
      </c>
      <c r="H1658" s="1">
        <v>38</v>
      </c>
      <c r="I1658" s="1">
        <v>0</v>
      </c>
      <c r="J1658" s="1">
        <f>IFERROR(VLOOKUP(K1658,[1]diabetes_Recognition!$A:$B,2,FALSE),"Not Sampled")</f>
        <v>0</v>
      </c>
      <c r="K1658" s="1">
        <v>1656</v>
      </c>
      <c r="L1658" s="1" t="str">
        <f>LOOKUP(A1658,Sheet2!$D$4:$E$9)</f>
        <v>8+</v>
      </c>
      <c r="M1658" t="str">
        <f>LOOKUP(B1658,Sheet2!$G$4:$H$9)</f>
        <v>1-99</v>
      </c>
      <c r="N1658" t="str">
        <f>LOOKUP(C1658,Sheet2!$J$4:$K$8)</f>
        <v>70-79</v>
      </c>
      <c r="O1658" t="str">
        <f>LOOKUP(D1658,Sheet2!$M$4:$N$8)</f>
        <v>10-30</v>
      </c>
      <c r="P1658" t="str">
        <f>LOOKUP(E1658,Sheet2!$P$4:$Q$9)</f>
        <v>Unknown</v>
      </c>
      <c r="Q1658" t="str">
        <f>LOOKUP(F1658,Sheet2!$S$4:$T$8)</f>
        <v>31-35</v>
      </c>
      <c r="R1658" t="str">
        <f>LOOKUP(G1658,Sheet2!$V$4:$W$7)</f>
        <v>0.25 - 0.39</v>
      </c>
      <c r="S1658" t="str">
        <f>LOOKUP(H1658,Sheet2!$Z$4:$AA$7)</f>
        <v>36-45</v>
      </c>
      <c r="T1658" t="str">
        <f t="shared" si="75"/>
        <v>Negative</v>
      </c>
      <c r="U1658" t="str">
        <f t="shared" si="76"/>
        <v>Negative</v>
      </c>
      <c r="V1658" s="1" t="str">
        <f t="shared" si="77"/>
        <v>Accurate Prediction</v>
      </c>
    </row>
    <row r="1659" spans="1:22" x14ac:dyDescent="0.25">
      <c r="A1659" s="1">
        <v>5</v>
      </c>
      <c r="B1659" s="1">
        <v>168</v>
      </c>
      <c r="C1659" s="1">
        <v>64</v>
      </c>
      <c r="D1659" s="1">
        <v>0</v>
      </c>
      <c r="E1659" s="1">
        <v>0</v>
      </c>
      <c r="F1659" s="1">
        <v>32.9</v>
      </c>
      <c r="G1659" s="1">
        <v>0.13500000000000001</v>
      </c>
      <c r="H1659" s="1">
        <v>41</v>
      </c>
      <c r="I1659" s="1">
        <v>1</v>
      </c>
      <c r="J1659" s="1">
        <f>IFERROR(VLOOKUP(K1659,[1]diabetes_Recognition!$A:$B,2,FALSE),"Not Sampled")</f>
        <v>1</v>
      </c>
      <c r="K1659" s="1">
        <v>1657</v>
      </c>
      <c r="L1659" s="1" t="str">
        <f>LOOKUP(A1659,Sheet2!$D$4:$E$9)</f>
        <v>5-7</v>
      </c>
      <c r="M1659" t="str">
        <f>LOOKUP(B1659,Sheet2!$G$4:$H$9)</f>
        <v>151-175</v>
      </c>
      <c r="N1659" t="str">
        <f>LOOKUP(C1659,Sheet2!$J$4:$K$8)</f>
        <v>60-69</v>
      </c>
      <c r="O1659" t="str">
        <f>LOOKUP(D1659,Sheet2!$M$4:$N$8)</f>
        <v>Unknown</v>
      </c>
      <c r="P1659" t="str">
        <f>LOOKUP(E1659,Sheet2!$P$4:$Q$9)</f>
        <v>Unknown</v>
      </c>
      <c r="Q1659" t="str">
        <f>LOOKUP(F1659,Sheet2!$S$4:$T$8)</f>
        <v>31-35</v>
      </c>
      <c r="R1659" t="str">
        <f>LOOKUP(G1659,Sheet2!$V$4:$W$7)</f>
        <v>0.0 - 0.249</v>
      </c>
      <c r="S1659" t="str">
        <f>LOOKUP(H1659,Sheet2!$Z$4:$AA$7)</f>
        <v>36-45</v>
      </c>
      <c r="T1659" t="str">
        <f t="shared" si="75"/>
        <v>Positive</v>
      </c>
      <c r="U1659" t="str">
        <f t="shared" si="76"/>
        <v>Positive</v>
      </c>
      <c r="V1659" s="1" t="str">
        <f t="shared" si="77"/>
        <v>Accurate Prediction</v>
      </c>
    </row>
    <row r="1660" spans="1:22" x14ac:dyDescent="0.25">
      <c r="A1660" s="1">
        <v>2</v>
      </c>
      <c r="B1660" s="1">
        <v>123</v>
      </c>
      <c r="C1660" s="1">
        <v>48</v>
      </c>
      <c r="D1660" s="1">
        <v>32</v>
      </c>
      <c r="E1660" s="1">
        <v>165</v>
      </c>
      <c r="F1660" s="1">
        <v>42.1</v>
      </c>
      <c r="G1660" s="1">
        <v>0.52</v>
      </c>
      <c r="H1660" s="1">
        <v>26</v>
      </c>
      <c r="I1660" s="1">
        <v>0</v>
      </c>
      <c r="J1660" s="1" t="str">
        <f>IFERROR(VLOOKUP(K1660,[1]diabetes_Recognition!$A:$B,2,FALSE),"Not Sampled")</f>
        <v>Not Sampled</v>
      </c>
      <c r="K1660" s="1">
        <v>1658</v>
      </c>
      <c r="L1660" s="1">
        <f>LOOKUP(A1660,Sheet2!$D$4:$E$9)</f>
        <v>2</v>
      </c>
      <c r="M1660" t="str">
        <f>LOOKUP(B1660,Sheet2!$G$4:$H$9)</f>
        <v>100-125</v>
      </c>
      <c r="N1660" t="str">
        <f>LOOKUP(C1660,Sheet2!$J$4:$K$8)</f>
        <v>1-59</v>
      </c>
      <c r="O1660" t="str">
        <f>LOOKUP(D1660,Sheet2!$M$4:$N$8)</f>
        <v>30-39</v>
      </c>
      <c r="P1660" t="str">
        <f>LOOKUP(E1660,Sheet2!$P$4:$Q$9)</f>
        <v>100-199</v>
      </c>
      <c r="Q1660" t="str">
        <f>LOOKUP(F1660,Sheet2!$S$4:$T$8)</f>
        <v>36+</v>
      </c>
      <c r="R1660" t="str">
        <f>LOOKUP(G1660,Sheet2!$V$4:$W$7)</f>
        <v>0.4 - 0.69</v>
      </c>
      <c r="S1660" t="str">
        <f>LOOKUP(H1660,Sheet2!$Z$4:$AA$7)</f>
        <v>26-35</v>
      </c>
      <c r="T1660" t="str">
        <f t="shared" si="75"/>
        <v>Negative</v>
      </c>
      <c r="U1660" t="str">
        <f t="shared" si="76"/>
        <v>Not Sampled</v>
      </c>
      <c r="V1660" s="1" t="str">
        <f t="shared" si="77"/>
        <v>Not Sampled</v>
      </c>
    </row>
    <row r="1661" spans="1:22" x14ac:dyDescent="0.25">
      <c r="A1661" s="1">
        <v>4</v>
      </c>
      <c r="B1661" s="1">
        <v>115</v>
      </c>
      <c r="C1661" s="1">
        <v>72</v>
      </c>
      <c r="D1661" s="1">
        <v>0</v>
      </c>
      <c r="E1661" s="1">
        <v>0</v>
      </c>
      <c r="F1661" s="1">
        <v>28.9</v>
      </c>
      <c r="G1661" s="1">
        <v>0.376</v>
      </c>
      <c r="H1661" s="1">
        <v>46</v>
      </c>
      <c r="I1661" s="1">
        <v>1</v>
      </c>
      <c r="J1661" s="1" t="str">
        <f>IFERROR(VLOOKUP(K1661,[1]diabetes_Recognition!$A:$B,2,FALSE),"Not Sampled")</f>
        <v>Not Sampled</v>
      </c>
      <c r="K1661" s="1">
        <v>1659</v>
      </c>
      <c r="L1661" s="1" t="str">
        <f>LOOKUP(A1661,Sheet2!$D$4:$E$9)</f>
        <v>3-4</v>
      </c>
      <c r="M1661" t="str">
        <f>LOOKUP(B1661,Sheet2!$G$4:$H$9)</f>
        <v>100-125</v>
      </c>
      <c r="N1661" t="str">
        <f>LOOKUP(C1661,Sheet2!$J$4:$K$8)</f>
        <v>70-79</v>
      </c>
      <c r="O1661" t="str">
        <f>LOOKUP(D1661,Sheet2!$M$4:$N$8)</f>
        <v>Unknown</v>
      </c>
      <c r="P1661" t="str">
        <f>LOOKUP(E1661,Sheet2!$P$4:$Q$9)</f>
        <v>Unknown</v>
      </c>
      <c r="Q1661" t="str">
        <f>LOOKUP(F1661,Sheet2!$S$4:$T$8)</f>
        <v>26-30</v>
      </c>
      <c r="R1661" t="str">
        <f>LOOKUP(G1661,Sheet2!$V$4:$W$7)</f>
        <v>0.25 - 0.39</v>
      </c>
      <c r="S1661" t="str">
        <f>LOOKUP(H1661,Sheet2!$Z$4:$AA$7)</f>
        <v>46+</v>
      </c>
      <c r="T1661" t="str">
        <f t="shared" si="75"/>
        <v>Positive</v>
      </c>
      <c r="U1661" t="str">
        <f t="shared" si="76"/>
        <v>Not Sampled</v>
      </c>
      <c r="V1661" s="1" t="str">
        <f t="shared" si="77"/>
        <v>Not Sampled</v>
      </c>
    </row>
    <row r="1662" spans="1:22" x14ac:dyDescent="0.25">
      <c r="A1662" s="1">
        <v>0</v>
      </c>
      <c r="B1662" s="1">
        <v>101</v>
      </c>
      <c r="C1662" s="1">
        <v>62</v>
      </c>
      <c r="D1662" s="1">
        <v>0</v>
      </c>
      <c r="E1662" s="1">
        <v>0</v>
      </c>
      <c r="F1662" s="1">
        <v>21.9</v>
      </c>
      <c r="G1662" s="1">
        <v>0.33600000000000002</v>
      </c>
      <c r="H1662" s="1">
        <v>25</v>
      </c>
      <c r="I1662" s="1">
        <v>0</v>
      </c>
      <c r="J1662" s="1" t="str">
        <f>IFERROR(VLOOKUP(K1662,[1]diabetes_Recognition!$A:$B,2,FALSE),"Not Sampled")</f>
        <v>Not Sampled</v>
      </c>
      <c r="K1662" s="1">
        <v>1660</v>
      </c>
      <c r="L1662" s="1">
        <f>LOOKUP(A1662,Sheet2!$D$4:$E$9)</f>
        <v>0</v>
      </c>
      <c r="M1662" t="str">
        <f>LOOKUP(B1662,Sheet2!$G$4:$H$9)</f>
        <v>100-125</v>
      </c>
      <c r="N1662" t="str">
        <f>LOOKUP(C1662,Sheet2!$J$4:$K$8)</f>
        <v>60-69</v>
      </c>
      <c r="O1662" t="str">
        <f>LOOKUP(D1662,Sheet2!$M$4:$N$8)</f>
        <v>Unknown</v>
      </c>
      <c r="P1662" t="str">
        <f>LOOKUP(E1662,Sheet2!$P$4:$Q$9)</f>
        <v>Unknown</v>
      </c>
      <c r="Q1662" t="str">
        <f>LOOKUP(F1662,Sheet2!$S$4:$T$8)</f>
        <v>1-25</v>
      </c>
      <c r="R1662" t="str">
        <f>LOOKUP(G1662,Sheet2!$V$4:$W$7)</f>
        <v>0.25 - 0.39</v>
      </c>
      <c r="S1662" t="str">
        <f>LOOKUP(H1662,Sheet2!$Z$4:$AA$7)</f>
        <v>&lt;=25</v>
      </c>
      <c r="T1662" t="str">
        <f t="shared" si="75"/>
        <v>Negative</v>
      </c>
      <c r="U1662" t="str">
        <f t="shared" si="76"/>
        <v>Not Sampled</v>
      </c>
      <c r="V1662" s="1" t="str">
        <f t="shared" si="77"/>
        <v>Not Sampled</v>
      </c>
    </row>
    <row r="1663" spans="1:22" x14ac:dyDescent="0.25">
      <c r="A1663" s="1">
        <v>8</v>
      </c>
      <c r="B1663" s="1">
        <v>197</v>
      </c>
      <c r="C1663" s="1">
        <v>74</v>
      </c>
      <c r="D1663" s="1">
        <v>0</v>
      </c>
      <c r="E1663" s="1">
        <v>0</v>
      </c>
      <c r="F1663" s="1">
        <v>25.9</v>
      </c>
      <c r="G1663" s="1">
        <v>1.1910000000000001</v>
      </c>
      <c r="H1663" s="1">
        <v>39</v>
      </c>
      <c r="I1663" s="1">
        <v>1</v>
      </c>
      <c r="J1663" s="1" t="str">
        <f>IFERROR(VLOOKUP(K1663,[1]diabetes_Recognition!$A:$B,2,FALSE),"Not Sampled")</f>
        <v>Not Sampled</v>
      </c>
      <c r="K1663" s="1">
        <v>1661</v>
      </c>
      <c r="L1663" s="1" t="str">
        <f>LOOKUP(A1663,Sheet2!$D$4:$E$9)</f>
        <v>8+</v>
      </c>
      <c r="M1663" t="str">
        <f>LOOKUP(B1663,Sheet2!$G$4:$H$9)</f>
        <v>176-200</v>
      </c>
      <c r="N1663" t="str">
        <f>LOOKUP(C1663,Sheet2!$J$4:$K$8)</f>
        <v>70-79</v>
      </c>
      <c r="O1663" t="str">
        <f>LOOKUP(D1663,Sheet2!$M$4:$N$8)</f>
        <v>Unknown</v>
      </c>
      <c r="P1663" t="str">
        <f>LOOKUP(E1663,Sheet2!$P$4:$Q$9)</f>
        <v>Unknown</v>
      </c>
      <c r="Q1663" t="str">
        <f>LOOKUP(F1663,Sheet2!$S$4:$T$8)</f>
        <v>1-25</v>
      </c>
      <c r="R1663" t="str">
        <f>LOOKUP(G1663,Sheet2!$V$4:$W$7)</f>
        <v>0.7+</v>
      </c>
      <c r="S1663" t="str">
        <f>LOOKUP(H1663,Sheet2!$Z$4:$AA$7)</f>
        <v>36-45</v>
      </c>
      <c r="T1663" t="str">
        <f t="shared" si="75"/>
        <v>Positive</v>
      </c>
      <c r="U1663" t="str">
        <f t="shared" si="76"/>
        <v>Not Sampled</v>
      </c>
      <c r="V1663" s="1" t="str">
        <f t="shared" si="77"/>
        <v>Not Sampled</v>
      </c>
    </row>
    <row r="1664" spans="1:22" x14ac:dyDescent="0.25">
      <c r="A1664" s="1">
        <v>1</v>
      </c>
      <c r="B1664" s="1">
        <v>172</v>
      </c>
      <c r="C1664" s="1">
        <v>68</v>
      </c>
      <c r="D1664" s="1">
        <v>49</v>
      </c>
      <c r="E1664" s="1">
        <v>579</v>
      </c>
      <c r="F1664" s="1">
        <v>42.4</v>
      </c>
      <c r="G1664" s="1">
        <v>0.70199999999999996</v>
      </c>
      <c r="H1664" s="1">
        <v>28</v>
      </c>
      <c r="I1664" s="1">
        <v>1</v>
      </c>
      <c r="J1664" s="1" t="str">
        <f>IFERROR(VLOOKUP(K1664,[1]diabetes_Recognition!$A:$B,2,FALSE),"Not Sampled")</f>
        <v>Not Sampled</v>
      </c>
      <c r="K1664" s="1">
        <v>1662</v>
      </c>
      <c r="L1664" s="1">
        <f>LOOKUP(A1664,Sheet2!$D$4:$E$9)</f>
        <v>1</v>
      </c>
      <c r="M1664" t="str">
        <f>LOOKUP(B1664,Sheet2!$G$4:$H$9)</f>
        <v>151-175</v>
      </c>
      <c r="N1664" t="str">
        <f>LOOKUP(C1664,Sheet2!$J$4:$K$8)</f>
        <v>60-69</v>
      </c>
      <c r="O1664" t="str">
        <f>LOOKUP(D1664,Sheet2!$M$4:$N$8)</f>
        <v>40+</v>
      </c>
      <c r="P1664" t="str">
        <f>LOOKUP(E1664,Sheet2!$P$4:$Q$9)</f>
        <v>500+</v>
      </c>
      <c r="Q1664" t="str">
        <f>LOOKUP(F1664,Sheet2!$S$4:$T$8)</f>
        <v>36+</v>
      </c>
      <c r="R1664" t="str">
        <f>LOOKUP(G1664,Sheet2!$V$4:$W$7)</f>
        <v>0.7+</v>
      </c>
      <c r="S1664" t="str">
        <f>LOOKUP(H1664,Sheet2!$Z$4:$AA$7)</f>
        <v>26-35</v>
      </c>
      <c r="T1664" t="str">
        <f t="shared" si="75"/>
        <v>Positive</v>
      </c>
      <c r="U1664" t="str">
        <f t="shared" si="76"/>
        <v>Not Sampled</v>
      </c>
      <c r="V1664" s="1" t="str">
        <f t="shared" si="77"/>
        <v>Not Sampled</v>
      </c>
    </row>
    <row r="1665" spans="1:22" x14ac:dyDescent="0.25">
      <c r="A1665" s="1">
        <v>6</v>
      </c>
      <c r="B1665" s="1">
        <v>102</v>
      </c>
      <c r="C1665" s="1">
        <v>90</v>
      </c>
      <c r="D1665" s="1">
        <v>39</v>
      </c>
      <c r="E1665" s="1">
        <v>0</v>
      </c>
      <c r="F1665" s="1">
        <v>35.700000000000003</v>
      </c>
      <c r="G1665" s="1">
        <v>0.67400000000000004</v>
      </c>
      <c r="H1665" s="1">
        <v>28</v>
      </c>
      <c r="I1665" s="1">
        <v>0</v>
      </c>
      <c r="J1665" s="1">
        <f>IFERROR(VLOOKUP(K1665,[1]diabetes_Recognition!$A:$B,2,FALSE),"Not Sampled")</f>
        <v>0</v>
      </c>
      <c r="K1665" s="1">
        <v>1663</v>
      </c>
      <c r="L1665" s="1" t="str">
        <f>LOOKUP(A1665,Sheet2!$D$4:$E$9)</f>
        <v>5-7</v>
      </c>
      <c r="M1665" t="str">
        <f>LOOKUP(B1665,Sheet2!$G$4:$H$9)</f>
        <v>100-125</v>
      </c>
      <c r="N1665" t="str">
        <f>LOOKUP(C1665,Sheet2!$J$4:$K$8)</f>
        <v>80+</v>
      </c>
      <c r="O1665" t="str">
        <f>LOOKUP(D1665,Sheet2!$M$4:$N$8)</f>
        <v>30-39</v>
      </c>
      <c r="P1665" t="str">
        <f>LOOKUP(E1665,Sheet2!$P$4:$Q$9)</f>
        <v>Unknown</v>
      </c>
      <c r="Q1665" t="str">
        <f>LOOKUP(F1665,Sheet2!$S$4:$T$8)</f>
        <v>31-35</v>
      </c>
      <c r="R1665" t="str">
        <f>LOOKUP(G1665,Sheet2!$V$4:$W$7)</f>
        <v>0.4 - 0.69</v>
      </c>
      <c r="S1665" t="str">
        <f>LOOKUP(H1665,Sheet2!$Z$4:$AA$7)</f>
        <v>26-35</v>
      </c>
      <c r="T1665" t="str">
        <f t="shared" si="75"/>
        <v>Negative</v>
      </c>
      <c r="U1665" t="str">
        <f t="shared" si="76"/>
        <v>Negative</v>
      </c>
      <c r="V1665" s="1" t="str">
        <f t="shared" si="77"/>
        <v>Accurate Prediction</v>
      </c>
    </row>
    <row r="1666" spans="1:22" x14ac:dyDescent="0.25">
      <c r="A1666" s="1">
        <v>1</v>
      </c>
      <c r="B1666" s="1">
        <v>112</v>
      </c>
      <c r="C1666" s="1">
        <v>72</v>
      </c>
      <c r="D1666" s="1">
        <v>30</v>
      </c>
      <c r="E1666" s="1">
        <v>176</v>
      </c>
      <c r="F1666" s="1">
        <v>34.4</v>
      </c>
      <c r="G1666" s="1">
        <v>0.52800000000000002</v>
      </c>
      <c r="H1666" s="1">
        <v>25</v>
      </c>
      <c r="I1666" s="1">
        <v>0</v>
      </c>
      <c r="J1666" s="1" t="str">
        <f>IFERROR(VLOOKUP(K1666,[1]diabetes_Recognition!$A:$B,2,FALSE),"Not Sampled")</f>
        <v>Not Sampled</v>
      </c>
      <c r="K1666" s="1">
        <v>1664</v>
      </c>
      <c r="L1666" s="1">
        <f>LOOKUP(A1666,Sheet2!$D$4:$E$9)</f>
        <v>1</v>
      </c>
      <c r="M1666" t="str">
        <f>LOOKUP(B1666,Sheet2!$G$4:$H$9)</f>
        <v>100-125</v>
      </c>
      <c r="N1666" t="str">
        <f>LOOKUP(C1666,Sheet2!$J$4:$K$8)</f>
        <v>70-79</v>
      </c>
      <c r="O1666" t="str">
        <f>LOOKUP(D1666,Sheet2!$M$4:$N$8)</f>
        <v>30-39</v>
      </c>
      <c r="P1666" t="str">
        <f>LOOKUP(E1666,Sheet2!$P$4:$Q$9)</f>
        <v>100-199</v>
      </c>
      <c r="Q1666" t="str">
        <f>LOOKUP(F1666,Sheet2!$S$4:$T$8)</f>
        <v>31-35</v>
      </c>
      <c r="R1666" t="str">
        <f>LOOKUP(G1666,Sheet2!$V$4:$W$7)</f>
        <v>0.4 - 0.69</v>
      </c>
      <c r="S1666" t="str">
        <f>LOOKUP(H1666,Sheet2!$Z$4:$AA$7)</f>
        <v>&lt;=25</v>
      </c>
      <c r="T1666" t="str">
        <f t="shared" si="75"/>
        <v>Negative</v>
      </c>
      <c r="U1666" t="str">
        <f t="shared" si="76"/>
        <v>Not Sampled</v>
      </c>
      <c r="V1666" s="1" t="str">
        <f t="shared" si="77"/>
        <v>Not Sampled</v>
      </c>
    </row>
    <row r="1667" spans="1:22" x14ac:dyDescent="0.25">
      <c r="A1667" s="1">
        <v>1</v>
      </c>
      <c r="B1667" s="1">
        <v>143</v>
      </c>
      <c r="C1667" s="1">
        <v>84</v>
      </c>
      <c r="D1667" s="1">
        <v>23</v>
      </c>
      <c r="E1667" s="1">
        <v>310</v>
      </c>
      <c r="F1667" s="1">
        <v>42.4</v>
      </c>
      <c r="G1667" s="1">
        <v>1.0760000000000001</v>
      </c>
      <c r="H1667" s="1">
        <v>22</v>
      </c>
      <c r="I1667" s="1">
        <v>0</v>
      </c>
      <c r="J1667" s="1" t="str">
        <f>IFERROR(VLOOKUP(K1667,[1]diabetes_Recognition!$A:$B,2,FALSE),"Not Sampled")</f>
        <v>Not Sampled</v>
      </c>
      <c r="K1667" s="1">
        <v>1665</v>
      </c>
      <c r="L1667" s="1">
        <f>LOOKUP(A1667,Sheet2!$D$4:$E$9)</f>
        <v>1</v>
      </c>
      <c r="M1667" t="str">
        <f>LOOKUP(B1667,Sheet2!$G$4:$H$9)</f>
        <v>126-150</v>
      </c>
      <c r="N1667" t="str">
        <f>LOOKUP(C1667,Sheet2!$J$4:$K$8)</f>
        <v>80+</v>
      </c>
      <c r="O1667" t="str">
        <f>LOOKUP(D1667,Sheet2!$M$4:$N$8)</f>
        <v>10-30</v>
      </c>
      <c r="P1667" t="str">
        <f>LOOKUP(E1667,Sheet2!$P$4:$Q$9)</f>
        <v>300-499</v>
      </c>
      <c r="Q1667" t="str">
        <f>LOOKUP(F1667,Sheet2!$S$4:$T$8)</f>
        <v>36+</v>
      </c>
      <c r="R1667" t="str">
        <f>LOOKUP(G1667,Sheet2!$V$4:$W$7)</f>
        <v>0.7+</v>
      </c>
      <c r="S1667" t="str">
        <f>LOOKUP(H1667,Sheet2!$Z$4:$AA$7)</f>
        <v>&lt;=25</v>
      </c>
      <c r="T1667" t="str">
        <f t="shared" ref="T1667:T1730" si="78">IF(I1667=1,"Positive","Negative")</f>
        <v>Negative</v>
      </c>
      <c r="U1667" t="str">
        <f t="shared" ref="U1667:U1730" si="79">IF(J1667=1,"Positive",(IF(J1667=0,"Negative","Not Sampled")))</f>
        <v>Not Sampled</v>
      </c>
      <c r="V1667" s="1" t="str">
        <f t="shared" ref="V1667:V1730" si="80">IF(U1667="Not Sampled","Not Sampled",IF(T1667=U1667,"Accurate Prediction","Inaccurate Prediction"))</f>
        <v>Not Sampled</v>
      </c>
    </row>
    <row r="1668" spans="1:22" x14ac:dyDescent="0.25">
      <c r="A1668" s="1">
        <v>1</v>
      </c>
      <c r="B1668" s="1">
        <v>143</v>
      </c>
      <c r="C1668" s="1">
        <v>74</v>
      </c>
      <c r="D1668" s="1">
        <v>22</v>
      </c>
      <c r="E1668" s="1">
        <v>61</v>
      </c>
      <c r="F1668" s="1">
        <v>26.2</v>
      </c>
      <c r="G1668" s="1">
        <v>0.25600000000000001</v>
      </c>
      <c r="H1668" s="1">
        <v>21</v>
      </c>
      <c r="I1668" s="1">
        <v>0</v>
      </c>
      <c r="J1668" s="1" t="str">
        <f>IFERROR(VLOOKUP(K1668,[1]diabetes_Recognition!$A:$B,2,FALSE),"Not Sampled")</f>
        <v>Not Sampled</v>
      </c>
      <c r="K1668" s="1">
        <v>1666</v>
      </c>
      <c r="L1668" s="1">
        <f>LOOKUP(A1668,Sheet2!$D$4:$E$9)</f>
        <v>1</v>
      </c>
      <c r="M1668" t="str">
        <f>LOOKUP(B1668,Sheet2!$G$4:$H$9)</f>
        <v>126-150</v>
      </c>
      <c r="N1668" t="str">
        <f>LOOKUP(C1668,Sheet2!$J$4:$K$8)</f>
        <v>70-79</v>
      </c>
      <c r="O1668" t="str">
        <f>LOOKUP(D1668,Sheet2!$M$4:$N$8)</f>
        <v>10-30</v>
      </c>
      <c r="P1668" t="str">
        <f>LOOKUP(E1668,Sheet2!$P$4:$Q$9)</f>
        <v>1-99</v>
      </c>
      <c r="Q1668" t="str">
        <f>LOOKUP(F1668,Sheet2!$S$4:$T$8)</f>
        <v>26-30</v>
      </c>
      <c r="R1668" t="str">
        <f>LOOKUP(G1668,Sheet2!$V$4:$W$7)</f>
        <v>0.25 - 0.39</v>
      </c>
      <c r="S1668" t="str">
        <f>LOOKUP(H1668,Sheet2!$Z$4:$AA$7)</f>
        <v>&lt;=25</v>
      </c>
      <c r="T1668" t="str">
        <f t="shared" si="78"/>
        <v>Negative</v>
      </c>
      <c r="U1668" t="str">
        <f t="shared" si="79"/>
        <v>Not Sampled</v>
      </c>
      <c r="V1668" s="1" t="str">
        <f t="shared" si="80"/>
        <v>Not Sampled</v>
      </c>
    </row>
    <row r="1669" spans="1:22" x14ac:dyDescent="0.25">
      <c r="A1669" s="1">
        <v>0</v>
      </c>
      <c r="B1669" s="1">
        <v>138</v>
      </c>
      <c r="C1669" s="1">
        <v>60</v>
      </c>
      <c r="D1669" s="1">
        <v>35</v>
      </c>
      <c r="E1669" s="1">
        <v>167</v>
      </c>
      <c r="F1669" s="1">
        <v>34.6</v>
      </c>
      <c r="G1669" s="1">
        <v>0.53400000000000003</v>
      </c>
      <c r="H1669" s="1">
        <v>21</v>
      </c>
      <c r="I1669" s="1">
        <v>1</v>
      </c>
      <c r="J1669" s="1">
        <f>IFERROR(VLOOKUP(K1669,[1]diabetes_Recognition!$A:$B,2,FALSE),"Not Sampled")</f>
        <v>0</v>
      </c>
      <c r="K1669" s="1">
        <v>1667</v>
      </c>
      <c r="L1669" s="1">
        <f>LOOKUP(A1669,Sheet2!$D$4:$E$9)</f>
        <v>0</v>
      </c>
      <c r="M1669" t="str">
        <f>LOOKUP(B1669,Sheet2!$G$4:$H$9)</f>
        <v>126-150</v>
      </c>
      <c r="N1669" t="str">
        <f>LOOKUP(C1669,Sheet2!$J$4:$K$8)</f>
        <v>60-69</v>
      </c>
      <c r="O1669" t="str">
        <f>LOOKUP(D1669,Sheet2!$M$4:$N$8)</f>
        <v>30-39</v>
      </c>
      <c r="P1669" t="str">
        <f>LOOKUP(E1669,Sheet2!$P$4:$Q$9)</f>
        <v>100-199</v>
      </c>
      <c r="Q1669" t="str">
        <f>LOOKUP(F1669,Sheet2!$S$4:$T$8)</f>
        <v>31-35</v>
      </c>
      <c r="R1669" t="str">
        <f>LOOKUP(G1669,Sheet2!$V$4:$W$7)</f>
        <v>0.4 - 0.69</v>
      </c>
      <c r="S1669" t="str">
        <f>LOOKUP(H1669,Sheet2!$Z$4:$AA$7)</f>
        <v>&lt;=25</v>
      </c>
      <c r="T1669" t="str">
        <f t="shared" si="78"/>
        <v>Positive</v>
      </c>
      <c r="U1669" t="str">
        <f t="shared" si="79"/>
        <v>Negative</v>
      </c>
      <c r="V1669" s="1" t="str">
        <f t="shared" si="80"/>
        <v>Inaccurate Prediction</v>
      </c>
    </row>
    <row r="1670" spans="1:22" x14ac:dyDescent="0.25">
      <c r="A1670" s="1">
        <v>3</v>
      </c>
      <c r="B1670" s="1">
        <v>173</v>
      </c>
      <c r="C1670" s="1">
        <v>84</v>
      </c>
      <c r="D1670" s="1">
        <v>33</v>
      </c>
      <c r="E1670" s="1">
        <v>474</v>
      </c>
      <c r="F1670" s="1">
        <v>35.700000000000003</v>
      </c>
      <c r="G1670" s="1">
        <v>0.25800000000000001</v>
      </c>
      <c r="H1670" s="1">
        <v>22</v>
      </c>
      <c r="I1670" s="1">
        <v>1</v>
      </c>
      <c r="J1670" s="1">
        <f>IFERROR(VLOOKUP(K1670,[1]diabetes_Recognition!$A:$B,2,FALSE),"Not Sampled")</f>
        <v>1</v>
      </c>
      <c r="K1670" s="1">
        <v>1668</v>
      </c>
      <c r="L1670" s="1" t="str">
        <f>LOOKUP(A1670,Sheet2!$D$4:$E$9)</f>
        <v>3-4</v>
      </c>
      <c r="M1670" t="str">
        <f>LOOKUP(B1670,Sheet2!$G$4:$H$9)</f>
        <v>151-175</v>
      </c>
      <c r="N1670" t="str">
        <f>LOOKUP(C1670,Sheet2!$J$4:$K$8)</f>
        <v>80+</v>
      </c>
      <c r="O1670" t="str">
        <f>LOOKUP(D1670,Sheet2!$M$4:$N$8)</f>
        <v>30-39</v>
      </c>
      <c r="P1670" t="str">
        <f>LOOKUP(E1670,Sheet2!$P$4:$Q$9)</f>
        <v>300-499</v>
      </c>
      <c r="Q1670" t="str">
        <f>LOOKUP(F1670,Sheet2!$S$4:$T$8)</f>
        <v>31-35</v>
      </c>
      <c r="R1670" t="str">
        <f>LOOKUP(G1670,Sheet2!$V$4:$W$7)</f>
        <v>0.25 - 0.39</v>
      </c>
      <c r="S1670" t="str">
        <f>LOOKUP(H1670,Sheet2!$Z$4:$AA$7)</f>
        <v>&lt;=25</v>
      </c>
      <c r="T1670" t="str">
        <f t="shared" si="78"/>
        <v>Positive</v>
      </c>
      <c r="U1670" t="str">
        <f t="shared" si="79"/>
        <v>Positive</v>
      </c>
      <c r="V1670" s="1" t="str">
        <f t="shared" si="80"/>
        <v>Accurate Prediction</v>
      </c>
    </row>
    <row r="1671" spans="1:22" x14ac:dyDescent="0.25">
      <c r="A1671" s="1">
        <v>1</v>
      </c>
      <c r="B1671" s="1">
        <v>97</v>
      </c>
      <c r="C1671" s="1">
        <v>68</v>
      </c>
      <c r="D1671" s="1">
        <v>21</v>
      </c>
      <c r="E1671" s="1">
        <v>0</v>
      </c>
      <c r="F1671" s="1">
        <v>27.2</v>
      </c>
      <c r="G1671" s="1">
        <v>1.095</v>
      </c>
      <c r="H1671" s="1">
        <v>22</v>
      </c>
      <c r="I1671" s="1">
        <v>0</v>
      </c>
      <c r="J1671" s="1" t="str">
        <f>IFERROR(VLOOKUP(K1671,[1]diabetes_Recognition!$A:$B,2,FALSE),"Not Sampled")</f>
        <v>Not Sampled</v>
      </c>
      <c r="K1671" s="1">
        <v>1669</v>
      </c>
      <c r="L1671" s="1">
        <f>LOOKUP(A1671,Sheet2!$D$4:$E$9)</f>
        <v>1</v>
      </c>
      <c r="M1671" t="str">
        <f>LOOKUP(B1671,Sheet2!$G$4:$H$9)</f>
        <v>1-99</v>
      </c>
      <c r="N1671" t="str">
        <f>LOOKUP(C1671,Sheet2!$J$4:$K$8)</f>
        <v>60-69</v>
      </c>
      <c r="O1671" t="str">
        <f>LOOKUP(D1671,Sheet2!$M$4:$N$8)</f>
        <v>10-30</v>
      </c>
      <c r="P1671" t="str">
        <f>LOOKUP(E1671,Sheet2!$P$4:$Q$9)</f>
        <v>Unknown</v>
      </c>
      <c r="Q1671" t="str">
        <f>LOOKUP(F1671,Sheet2!$S$4:$T$8)</f>
        <v>26-30</v>
      </c>
      <c r="R1671" t="str">
        <f>LOOKUP(G1671,Sheet2!$V$4:$W$7)</f>
        <v>0.7+</v>
      </c>
      <c r="S1671" t="str">
        <f>LOOKUP(H1671,Sheet2!$Z$4:$AA$7)</f>
        <v>&lt;=25</v>
      </c>
      <c r="T1671" t="str">
        <f t="shared" si="78"/>
        <v>Negative</v>
      </c>
      <c r="U1671" t="str">
        <f t="shared" si="79"/>
        <v>Not Sampled</v>
      </c>
      <c r="V1671" s="1" t="str">
        <f t="shared" si="80"/>
        <v>Not Sampled</v>
      </c>
    </row>
    <row r="1672" spans="1:22" x14ac:dyDescent="0.25">
      <c r="A1672" s="1">
        <v>4</v>
      </c>
      <c r="B1672" s="1">
        <v>144</v>
      </c>
      <c r="C1672" s="1">
        <v>82</v>
      </c>
      <c r="D1672" s="1">
        <v>32</v>
      </c>
      <c r="E1672" s="1">
        <v>0</v>
      </c>
      <c r="F1672" s="1">
        <v>38.5</v>
      </c>
      <c r="G1672" s="1">
        <v>0.55400000000000005</v>
      </c>
      <c r="H1672" s="1">
        <v>37</v>
      </c>
      <c r="I1672" s="1">
        <v>1</v>
      </c>
      <c r="J1672" s="1" t="str">
        <f>IFERROR(VLOOKUP(K1672,[1]diabetes_Recognition!$A:$B,2,FALSE),"Not Sampled")</f>
        <v>Not Sampled</v>
      </c>
      <c r="K1672" s="1">
        <v>1670</v>
      </c>
      <c r="L1672" s="1" t="str">
        <f>LOOKUP(A1672,Sheet2!$D$4:$E$9)</f>
        <v>3-4</v>
      </c>
      <c r="M1672" t="str">
        <f>LOOKUP(B1672,Sheet2!$G$4:$H$9)</f>
        <v>126-150</v>
      </c>
      <c r="N1672" t="str">
        <f>LOOKUP(C1672,Sheet2!$J$4:$K$8)</f>
        <v>80+</v>
      </c>
      <c r="O1672" t="str">
        <f>LOOKUP(D1672,Sheet2!$M$4:$N$8)</f>
        <v>30-39</v>
      </c>
      <c r="P1672" t="str">
        <f>LOOKUP(E1672,Sheet2!$P$4:$Q$9)</f>
        <v>Unknown</v>
      </c>
      <c r="Q1672" t="str">
        <f>LOOKUP(F1672,Sheet2!$S$4:$T$8)</f>
        <v>36+</v>
      </c>
      <c r="R1672" t="str">
        <f>LOOKUP(G1672,Sheet2!$V$4:$W$7)</f>
        <v>0.4 - 0.69</v>
      </c>
      <c r="S1672" t="str">
        <f>LOOKUP(H1672,Sheet2!$Z$4:$AA$7)</f>
        <v>36-45</v>
      </c>
      <c r="T1672" t="str">
        <f t="shared" si="78"/>
        <v>Positive</v>
      </c>
      <c r="U1672" t="str">
        <f t="shared" si="79"/>
        <v>Not Sampled</v>
      </c>
      <c r="V1672" s="1" t="str">
        <f t="shared" si="80"/>
        <v>Not Sampled</v>
      </c>
    </row>
    <row r="1673" spans="1:22" x14ac:dyDescent="0.25">
      <c r="A1673" s="1">
        <v>1</v>
      </c>
      <c r="B1673" s="1">
        <v>83</v>
      </c>
      <c r="C1673" s="1">
        <v>68</v>
      </c>
      <c r="D1673" s="1">
        <v>0</v>
      </c>
      <c r="E1673" s="1">
        <v>0</v>
      </c>
      <c r="F1673" s="1">
        <v>18.2</v>
      </c>
      <c r="G1673" s="1">
        <v>0.624</v>
      </c>
      <c r="H1673" s="1">
        <v>27</v>
      </c>
      <c r="I1673" s="1">
        <v>0</v>
      </c>
      <c r="J1673" s="1">
        <f>IFERROR(VLOOKUP(K1673,[1]diabetes_Recognition!$A:$B,2,FALSE),"Not Sampled")</f>
        <v>0</v>
      </c>
      <c r="K1673" s="1">
        <v>1671</v>
      </c>
      <c r="L1673" s="1">
        <f>LOOKUP(A1673,Sheet2!$D$4:$E$9)</f>
        <v>1</v>
      </c>
      <c r="M1673" t="str">
        <f>LOOKUP(B1673,Sheet2!$G$4:$H$9)</f>
        <v>1-99</v>
      </c>
      <c r="N1673" t="str">
        <f>LOOKUP(C1673,Sheet2!$J$4:$K$8)</f>
        <v>60-69</v>
      </c>
      <c r="O1673" t="str">
        <f>LOOKUP(D1673,Sheet2!$M$4:$N$8)</f>
        <v>Unknown</v>
      </c>
      <c r="P1673" t="str">
        <f>LOOKUP(E1673,Sheet2!$P$4:$Q$9)</f>
        <v>Unknown</v>
      </c>
      <c r="Q1673" t="str">
        <f>LOOKUP(F1673,Sheet2!$S$4:$T$8)</f>
        <v>1-25</v>
      </c>
      <c r="R1673" t="str">
        <f>LOOKUP(G1673,Sheet2!$V$4:$W$7)</f>
        <v>0.4 - 0.69</v>
      </c>
      <c r="S1673" t="str">
        <f>LOOKUP(H1673,Sheet2!$Z$4:$AA$7)</f>
        <v>26-35</v>
      </c>
      <c r="T1673" t="str">
        <f t="shared" si="78"/>
        <v>Negative</v>
      </c>
      <c r="U1673" t="str">
        <f t="shared" si="79"/>
        <v>Negative</v>
      </c>
      <c r="V1673" s="1" t="str">
        <f t="shared" si="80"/>
        <v>Accurate Prediction</v>
      </c>
    </row>
    <row r="1674" spans="1:22" x14ac:dyDescent="0.25">
      <c r="A1674" s="1">
        <v>3</v>
      </c>
      <c r="B1674" s="1">
        <v>129</v>
      </c>
      <c r="C1674" s="1">
        <v>64</v>
      </c>
      <c r="D1674" s="1">
        <v>29</v>
      </c>
      <c r="E1674" s="1">
        <v>115</v>
      </c>
      <c r="F1674" s="1">
        <v>26.4</v>
      </c>
      <c r="G1674" s="1">
        <v>0.219</v>
      </c>
      <c r="H1674" s="1">
        <v>28</v>
      </c>
      <c r="I1674" s="1">
        <v>1</v>
      </c>
      <c r="J1674" s="1" t="str">
        <f>IFERROR(VLOOKUP(K1674,[1]diabetes_Recognition!$A:$B,2,FALSE),"Not Sampled")</f>
        <v>Not Sampled</v>
      </c>
      <c r="K1674" s="1">
        <v>1672</v>
      </c>
      <c r="L1674" s="1" t="str">
        <f>LOOKUP(A1674,Sheet2!$D$4:$E$9)</f>
        <v>3-4</v>
      </c>
      <c r="M1674" t="str">
        <f>LOOKUP(B1674,Sheet2!$G$4:$H$9)</f>
        <v>126-150</v>
      </c>
      <c r="N1674" t="str">
        <f>LOOKUP(C1674,Sheet2!$J$4:$K$8)</f>
        <v>60-69</v>
      </c>
      <c r="O1674" t="str">
        <f>LOOKUP(D1674,Sheet2!$M$4:$N$8)</f>
        <v>10-30</v>
      </c>
      <c r="P1674" t="str">
        <f>LOOKUP(E1674,Sheet2!$P$4:$Q$9)</f>
        <v>100-199</v>
      </c>
      <c r="Q1674" t="str">
        <f>LOOKUP(F1674,Sheet2!$S$4:$T$8)</f>
        <v>26-30</v>
      </c>
      <c r="R1674" t="str">
        <f>LOOKUP(G1674,Sheet2!$V$4:$W$7)</f>
        <v>0.0 - 0.249</v>
      </c>
      <c r="S1674" t="str">
        <f>LOOKUP(H1674,Sheet2!$Z$4:$AA$7)</f>
        <v>26-35</v>
      </c>
      <c r="T1674" t="str">
        <f t="shared" si="78"/>
        <v>Positive</v>
      </c>
      <c r="U1674" t="str">
        <f t="shared" si="79"/>
        <v>Not Sampled</v>
      </c>
      <c r="V1674" s="1" t="str">
        <f t="shared" si="80"/>
        <v>Not Sampled</v>
      </c>
    </row>
    <row r="1675" spans="1:22" x14ac:dyDescent="0.25">
      <c r="A1675" s="1">
        <v>1</v>
      </c>
      <c r="B1675" s="1">
        <v>119</v>
      </c>
      <c r="C1675" s="1">
        <v>88</v>
      </c>
      <c r="D1675" s="1">
        <v>41</v>
      </c>
      <c r="E1675" s="1">
        <v>170</v>
      </c>
      <c r="F1675" s="1">
        <v>45.3</v>
      </c>
      <c r="G1675" s="1">
        <v>0.50700000000000001</v>
      </c>
      <c r="H1675" s="1">
        <v>26</v>
      </c>
      <c r="I1675" s="1">
        <v>0</v>
      </c>
      <c r="J1675" s="1" t="str">
        <f>IFERROR(VLOOKUP(K1675,[1]diabetes_Recognition!$A:$B,2,FALSE),"Not Sampled")</f>
        <v>Not Sampled</v>
      </c>
      <c r="K1675" s="1">
        <v>1673</v>
      </c>
      <c r="L1675" s="1">
        <f>LOOKUP(A1675,Sheet2!$D$4:$E$9)</f>
        <v>1</v>
      </c>
      <c r="M1675" t="str">
        <f>LOOKUP(B1675,Sheet2!$G$4:$H$9)</f>
        <v>100-125</v>
      </c>
      <c r="N1675" t="str">
        <f>LOOKUP(C1675,Sheet2!$J$4:$K$8)</f>
        <v>80+</v>
      </c>
      <c r="O1675" t="str">
        <f>LOOKUP(D1675,Sheet2!$M$4:$N$8)</f>
        <v>40+</v>
      </c>
      <c r="P1675" t="str">
        <f>LOOKUP(E1675,Sheet2!$P$4:$Q$9)</f>
        <v>100-199</v>
      </c>
      <c r="Q1675" t="str">
        <f>LOOKUP(F1675,Sheet2!$S$4:$T$8)</f>
        <v>36+</v>
      </c>
      <c r="R1675" t="str">
        <f>LOOKUP(G1675,Sheet2!$V$4:$W$7)</f>
        <v>0.4 - 0.69</v>
      </c>
      <c r="S1675" t="str">
        <f>LOOKUP(H1675,Sheet2!$Z$4:$AA$7)</f>
        <v>26-35</v>
      </c>
      <c r="T1675" t="str">
        <f t="shared" si="78"/>
        <v>Negative</v>
      </c>
      <c r="U1675" t="str">
        <f t="shared" si="79"/>
        <v>Not Sampled</v>
      </c>
      <c r="V1675" s="1" t="str">
        <f t="shared" si="80"/>
        <v>Not Sampled</v>
      </c>
    </row>
    <row r="1676" spans="1:22" x14ac:dyDescent="0.25">
      <c r="A1676" s="1">
        <v>2</v>
      </c>
      <c r="B1676" s="1">
        <v>94</v>
      </c>
      <c r="C1676" s="1">
        <v>68</v>
      </c>
      <c r="D1676" s="1">
        <v>18</v>
      </c>
      <c r="E1676" s="1">
        <v>76</v>
      </c>
      <c r="F1676" s="1">
        <v>26</v>
      </c>
      <c r="G1676" s="1">
        <v>0.56100000000000005</v>
      </c>
      <c r="H1676" s="1">
        <v>21</v>
      </c>
      <c r="I1676" s="1">
        <v>0</v>
      </c>
      <c r="J1676" s="1" t="str">
        <f>IFERROR(VLOOKUP(K1676,[1]diabetes_Recognition!$A:$B,2,FALSE),"Not Sampled")</f>
        <v>Not Sampled</v>
      </c>
      <c r="K1676" s="1">
        <v>1674</v>
      </c>
      <c r="L1676" s="1">
        <f>LOOKUP(A1676,Sheet2!$D$4:$E$9)</f>
        <v>2</v>
      </c>
      <c r="M1676" t="str">
        <f>LOOKUP(B1676,Sheet2!$G$4:$H$9)</f>
        <v>1-99</v>
      </c>
      <c r="N1676" t="str">
        <f>LOOKUP(C1676,Sheet2!$J$4:$K$8)</f>
        <v>60-69</v>
      </c>
      <c r="O1676" t="str">
        <f>LOOKUP(D1676,Sheet2!$M$4:$N$8)</f>
        <v>10-30</v>
      </c>
      <c r="P1676" t="str">
        <f>LOOKUP(E1676,Sheet2!$P$4:$Q$9)</f>
        <v>1-99</v>
      </c>
      <c r="Q1676" t="str">
        <f>LOOKUP(F1676,Sheet2!$S$4:$T$8)</f>
        <v>26-30</v>
      </c>
      <c r="R1676" t="str">
        <f>LOOKUP(G1676,Sheet2!$V$4:$W$7)</f>
        <v>0.4 - 0.69</v>
      </c>
      <c r="S1676" t="str">
        <f>LOOKUP(H1676,Sheet2!$Z$4:$AA$7)</f>
        <v>&lt;=25</v>
      </c>
      <c r="T1676" t="str">
        <f t="shared" si="78"/>
        <v>Negative</v>
      </c>
      <c r="U1676" t="str">
        <f t="shared" si="79"/>
        <v>Not Sampled</v>
      </c>
      <c r="V1676" s="1" t="str">
        <f t="shared" si="80"/>
        <v>Not Sampled</v>
      </c>
    </row>
    <row r="1677" spans="1:22" x14ac:dyDescent="0.25">
      <c r="A1677" s="1">
        <v>0</v>
      </c>
      <c r="B1677" s="1">
        <v>102</v>
      </c>
      <c r="C1677" s="1">
        <v>64</v>
      </c>
      <c r="D1677" s="1">
        <v>46</v>
      </c>
      <c r="E1677" s="1">
        <v>78</v>
      </c>
      <c r="F1677" s="1">
        <v>40.6</v>
      </c>
      <c r="G1677" s="1">
        <v>0.496</v>
      </c>
      <c r="H1677" s="1">
        <v>21</v>
      </c>
      <c r="I1677" s="1">
        <v>0</v>
      </c>
      <c r="J1677" s="1">
        <f>IFERROR(VLOOKUP(K1677,[1]diabetes_Recognition!$A:$B,2,FALSE),"Not Sampled")</f>
        <v>0</v>
      </c>
      <c r="K1677" s="1">
        <v>1675</v>
      </c>
      <c r="L1677" s="1">
        <f>LOOKUP(A1677,Sheet2!$D$4:$E$9)</f>
        <v>0</v>
      </c>
      <c r="M1677" t="str">
        <f>LOOKUP(B1677,Sheet2!$G$4:$H$9)</f>
        <v>100-125</v>
      </c>
      <c r="N1677" t="str">
        <f>LOOKUP(C1677,Sheet2!$J$4:$K$8)</f>
        <v>60-69</v>
      </c>
      <c r="O1677" t="str">
        <f>LOOKUP(D1677,Sheet2!$M$4:$N$8)</f>
        <v>40+</v>
      </c>
      <c r="P1677" t="str">
        <f>LOOKUP(E1677,Sheet2!$P$4:$Q$9)</f>
        <v>1-99</v>
      </c>
      <c r="Q1677" t="str">
        <f>LOOKUP(F1677,Sheet2!$S$4:$T$8)</f>
        <v>36+</v>
      </c>
      <c r="R1677" t="str">
        <f>LOOKUP(G1677,Sheet2!$V$4:$W$7)</f>
        <v>0.4 - 0.69</v>
      </c>
      <c r="S1677" t="str">
        <f>LOOKUP(H1677,Sheet2!$Z$4:$AA$7)</f>
        <v>&lt;=25</v>
      </c>
      <c r="T1677" t="str">
        <f t="shared" si="78"/>
        <v>Negative</v>
      </c>
      <c r="U1677" t="str">
        <f t="shared" si="79"/>
        <v>Negative</v>
      </c>
      <c r="V1677" s="1" t="str">
        <f t="shared" si="80"/>
        <v>Accurate Prediction</v>
      </c>
    </row>
    <row r="1678" spans="1:22" x14ac:dyDescent="0.25">
      <c r="A1678" s="1">
        <v>2</v>
      </c>
      <c r="B1678" s="1">
        <v>115</v>
      </c>
      <c r="C1678" s="1">
        <v>64</v>
      </c>
      <c r="D1678" s="1">
        <v>22</v>
      </c>
      <c r="E1678" s="1">
        <v>0</v>
      </c>
      <c r="F1678" s="1">
        <v>30.8</v>
      </c>
      <c r="G1678" s="1">
        <v>0.42099999999999999</v>
      </c>
      <c r="H1678" s="1">
        <v>21</v>
      </c>
      <c r="I1678" s="1">
        <v>0</v>
      </c>
      <c r="J1678" s="1" t="str">
        <f>IFERROR(VLOOKUP(K1678,[1]diabetes_Recognition!$A:$B,2,FALSE),"Not Sampled")</f>
        <v>Not Sampled</v>
      </c>
      <c r="K1678" s="1">
        <v>1676</v>
      </c>
      <c r="L1678" s="1">
        <f>LOOKUP(A1678,Sheet2!$D$4:$E$9)</f>
        <v>2</v>
      </c>
      <c r="M1678" t="str">
        <f>LOOKUP(B1678,Sheet2!$G$4:$H$9)</f>
        <v>100-125</v>
      </c>
      <c r="N1678" t="str">
        <f>LOOKUP(C1678,Sheet2!$J$4:$K$8)</f>
        <v>60-69</v>
      </c>
      <c r="O1678" t="str">
        <f>LOOKUP(D1678,Sheet2!$M$4:$N$8)</f>
        <v>10-30</v>
      </c>
      <c r="P1678" t="str">
        <f>LOOKUP(E1678,Sheet2!$P$4:$Q$9)</f>
        <v>Unknown</v>
      </c>
      <c r="Q1678" t="str">
        <f>LOOKUP(F1678,Sheet2!$S$4:$T$8)</f>
        <v>26-30</v>
      </c>
      <c r="R1678" t="str">
        <f>LOOKUP(G1678,Sheet2!$V$4:$W$7)</f>
        <v>0.4 - 0.69</v>
      </c>
      <c r="S1678" t="str">
        <f>LOOKUP(H1678,Sheet2!$Z$4:$AA$7)</f>
        <v>&lt;=25</v>
      </c>
      <c r="T1678" t="str">
        <f t="shared" si="78"/>
        <v>Negative</v>
      </c>
      <c r="U1678" t="str">
        <f t="shared" si="79"/>
        <v>Not Sampled</v>
      </c>
      <c r="V1678" s="1" t="str">
        <f t="shared" si="80"/>
        <v>Not Sampled</v>
      </c>
    </row>
    <row r="1679" spans="1:22" x14ac:dyDescent="0.25">
      <c r="A1679" s="1">
        <v>8</v>
      </c>
      <c r="B1679" s="1">
        <v>151</v>
      </c>
      <c r="C1679" s="1">
        <v>78</v>
      </c>
      <c r="D1679" s="1">
        <v>32</v>
      </c>
      <c r="E1679" s="1">
        <v>210</v>
      </c>
      <c r="F1679" s="1">
        <v>42.9</v>
      </c>
      <c r="G1679" s="1">
        <v>0.51600000000000001</v>
      </c>
      <c r="H1679" s="1">
        <v>36</v>
      </c>
      <c r="I1679" s="1">
        <v>1</v>
      </c>
      <c r="J1679" s="1" t="str">
        <f>IFERROR(VLOOKUP(K1679,[1]diabetes_Recognition!$A:$B,2,FALSE),"Not Sampled")</f>
        <v>Not Sampled</v>
      </c>
      <c r="K1679" s="1">
        <v>1677</v>
      </c>
      <c r="L1679" s="1" t="str">
        <f>LOOKUP(A1679,Sheet2!$D$4:$E$9)</f>
        <v>8+</v>
      </c>
      <c r="M1679" t="str">
        <f>LOOKUP(B1679,Sheet2!$G$4:$H$9)</f>
        <v>151-175</v>
      </c>
      <c r="N1679" t="str">
        <f>LOOKUP(C1679,Sheet2!$J$4:$K$8)</f>
        <v>70-79</v>
      </c>
      <c r="O1679" t="str">
        <f>LOOKUP(D1679,Sheet2!$M$4:$N$8)</f>
        <v>30-39</v>
      </c>
      <c r="P1679" t="str">
        <f>LOOKUP(E1679,Sheet2!$P$4:$Q$9)</f>
        <v>200-399</v>
      </c>
      <c r="Q1679" t="str">
        <f>LOOKUP(F1679,Sheet2!$S$4:$T$8)</f>
        <v>36+</v>
      </c>
      <c r="R1679" t="str">
        <f>LOOKUP(G1679,Sheet2!$V$4:$W$7)</f>
        <v>0.4 - 0.69</v>
      </c>
      <c r="S1679" t="str">
        <f>LOOKUP(H1679,Sheet2!$Z$4:$AA$7)</f>
        <v>36-45</v>
      </c>
      <c r="T1679" t="str">
        <f t="shared" si="78"/>
        <v>Positive</v>
      </c>
      <c r="U1679" t="str">
        <f t="shared" si="79"/>
        <v>Not Sampled</v>
      </c>
      <c r="V1679" s="1" t="str">
        <f t="shared" si="80"/>
        <v>Not Sampled</v>
      </c>
    </row>
    <row r="1680" spans="1:22" x14ac:dyDescent="0.25">
      <c r="A1680" s="1">
        <v>4</v>
      </c>
      <c r="B1680" s="1">
        <v>184</v>
      </c>
      <c r="C1680" s="1">
        <v>78</v>
      </c>
      <c r="D1680" s="1">
        <v>39</v>
      </c>
      <c r="E1680" s="1">
        <v>277</v>
      </c>
      <c r="F1680" s="1">
        <v>37</v>
      </c>
      <c r="G1680" s="1">
        <v>0.26400000000000001</v>
      </c>
      <c r="H1680" s="1">
        <v>31</v>
      </c>
      <c r="I1680" s="1">
        <v>1</v>
      </c>
      <c r="J1680" s="1">
        <f>IFERROR(VLOOKUP(K1680,[1]diabetes_Recognition!$A:$B,2,FALSE),"Not Sampled")</f>
        <v>1</v>
      </c>
      <c r="K1680" s="1">
        <v>1678</v>
      </c>
      <c r="L1680" s="1" t="str">
        <f>LOOKUP(A1680,Sheet2!$D$4:$E$9)</f>
        <v>3-4</v>
      </c>
      <c r="M1680" t="str">
        <f>LOOKUP(B1680,Sheet2!$G$4:$H$9)</f>
        <v>176-200</v>
      </c>
      <c r="N1680" t="str">
        <f>LOOKUP(C1680,Sheet2!$J$4:$K$8)</f>
        <v>70-79</v>
      </c>
      <c r="O1680" t="str">
        <f>LOOKUP(D1680,Sheet2!$M$4:$N$8)</f>
        <v>30-39</v>
      </c>
      <c r="P1680" t="str">
        <f>LOOKUP(E1680,Sheet2!$P$4:$Q$9)</f>
        <v>200-399</v>
      </c>
      <c r="Q1680" t="str">
        <f>LOOKUP(F1680,Sheet2!$S$4:$T$8)</f>
        <v>36+</v>
      </c>
      <c r="R1680" t="str">
        <f>LOOKUP(G1680,Sheet2!$V$4:$W$7)</f>
        <v>0.25 - 0.39</v>
      </c>
      <c r="S1680" t="str">
        <f>LOOKUP(H1680,Sheet2!$Z$4:$AA$7)</f>
        <v>26-35</v>
      </c>
      <c r="T1680" t="str">
        <f t="shared" si="78"/>
        <v>Positive</v>
      </c>
      <c r="U1680" t="str">
        <f t="shared" si="79"/>
        <v>Positive</v>
      </c>
      <c r="V1680" s="1" t="str">
        <f t="shared" si="80"/>
        <v>Accurate Prediction</v>
      </c>
    </row>
    <row r="1681" spans="1:22" x14ac:dyDescent="0.25">
      <c r="A1681" s="1">
        <v>0</v>
      </c>
      <c r="B1681" s="1">
        <v>94</v>
      </c>
      <c r="C1681" s="1">
        <v>0</v>
      </c>
      <c r="D1681" s="1">
        <v>0</v>
      </c>
      <c r="E1681" s="1">
        <v>0</v>
      </c>
      <c r="F1681" s="1">
        <v>0</v>
      </c>
      <c r="G1681" s="1">
        <v>0.25600000000000001</v>
      </c>
      <c r="H1681" s="1">
        <v>25</v>
      </c>
      <c r="I1681" s="1">
        <v>0</v>
      </c>
      <c r="J1681" s="1" t="str">
        <f>IFERROR(VLOOKUP(K1681,[1]diabetes_Recognition!$A:$B,2,FALSE),"Not Sampled")</f>
        <v>Not Sampled</v>
      </c>
      <c r="K1681" s="1">
        <v>1679</v>
      </c>
      <c r="L1681" s="1">
        <f>LOOKUP(A1681,Sheet2!$D$4:$E$9)</f>
        <v>0</v>
      </c>
      <c r="M1681" t="str">
        <f>LOOKUP(B1681,Sheet2!$G$4:$H$9)</f>
        <v>1-99</v>
      </c>
      <c r="N1681" t="str">
        <f>LOOKUP(C1681,Sheet2!$J$4:$K$8)</f>
        <v>Unknown</v>
      </c>
      <c r="O1681" t="str">
        <f>LOOKUP(D1681,Sheet2!$M$4:$N$8)</f>
        <v>Unknown</v>
      </c>
      <c r="P1681" t="str">
        <f>LOOKUP(E1681,Sheet2!$P$4:$Q$9)</f>
        <v>Unknown</v>
      </c>
      <c r="Q1681" t="str">
        <f>LOOKUP(F1681,Sheet2!$S$4:$T$8)</f>
        <v>Unknown</v>
      </c>
      <c r="R1681" t="str">
        <f>LOOKUP(G1681,Sheet2!$V$4:$W$7)</f>
        <v>0.25 - 0.39</v>
      </c>
      <c r="S1681" t="str">
        <f>LOOKUP(H1681,Sheet2!$Z$4:$AA$7)</f>
        <v>&lt;=25</v>
      </c>
      <c r="T1681" t="str">
        <f t="shared" si="78"/>
        <v>Negative</v>
      </c>
      <c r="U1681" t="str">
        <f t="shared" si="79"/>
        <v>Not Sampled</v>
      </c>
      <c r="V1681" s="1" t="str">
        <f t="shared" si="80"/>
        <v>Not Sampled</v>
      </c>
    </row>
    <row r="1682" spans="1:22" x14ac:dyDescent="0.25">
      <c r="A1682" s="1">
        <v>1</v>
      </c>
      <c r="B1682" s="1">
        <v>181</v>
      </c>
      <c r="C1682" s="1">
        <v>64</v>
      </c>
      <c r="D1682" s="1">
        <v>30</v>
      </c>
      <c r="E1682" s="1">
        <v>180</v>
      </c>
      <c r="F1682" s="1">
        <v>34.1</v>
      </c>
      <c r="G1682" s="1">
        <v>0.32800000000000001</v>
      </c>
      <c r="H1682" s="1">
        <v>38</v>
      </c>
      <c r="I1682" s="1">
        <v>1</v>
      </c>
      <c r="J1682" s="1" t="str">
        <f>IFERROR(VLOOKUP(K1682,[1]diabetes_Recognition!$A:$B,2,FALSE),"Not Sampled")</f>
        <v>Not Sampled</v>
      </c>
      <c r="K1682" s="1">
        <v>1680</v>
      </c>
      <c r="L1682" s="1">
        <f>LOOKUP(A1682,Sheet2!$D$4:$E$9)</f>
        <v>1</v>
      </c>
      <c r="M1682" t="str">
        <f>LOOKUP(B1682,Sheet2!$G$4:$H$9)</f>
        <v>176-200</v>
      </c>
      <c r="N1682" t="str">
        <f>LOOKUP(C1682,Sheet2!$J$4:$K$8)</f>
        <v>60-69</v>
      </c>
      <c r="O1682" t="str">
        <f>LOOKUP(D1682,Sheet2!$M$4:$N$8)</f>
        <v>30-39</v>
      </c>
      <c r="P1682" t="str">
        <f>LOOKUP(E1682,Sheet2!$P$4:$Q$9)</f>
        <v>100-199</v>
      </c>
      <c r="Q1682" t="str">
        <f>LOOKUP(F1682,Sheet2!$S$4:$T$8)</f>
        <v>31-35</v>
      </c>
      <c r="R1682" t="str">
        <f>LOOKUP(G1682,Sheet2!$V$4:$W$7)</f>
        <v>0.25 - 0.39</v>
      </c>
      <c r="S1682" t="str">
        <f>LOOKUP(H1682,Sheet2!$Z$4:$AA$7)</f>
        <v>36-45</v>
      </c>
      <c r="T1682" t="str">
        <f t="shared" si="78"/>
        <v>Positive</v>
      </c>
      <c r="U1682" t="str">
        <f t="shared" si="79"/>
        <v>Not Sampled</v>
      </c>
      <c r="V1682" s="1" t="str">
        <f t="shared" si="80"/>
        <v>Not Sampled</v>
      </c>
    </row>
    <row r="1683" spans="1:22" x14ac:dyDescent="0.25">
      <c r="A1683" s="1">
        <v>0</v>
      </c>
      <c r="B1683" s="1">
        <v>135</v>
      </c>
      <c r="C1683" s="1">
        <v>94</v>
      </c>
      <c r="D1683" s="1">
        <v>46</v>
      </c>
      <c r="E1683" s="1">
        <v>145</v>
      </c>
      <c r="F1683" s="1">
        <v>40.6</v>
      </c>
      <c r="G1683" s="1">
        <v>0.28399999999999997</v>
      </c>
      <c r="H1683" s="1">
        <v>26</v>
      </c>
      <c r="I1683" s="1">
        <v>0</v>
      </c>
      <c r="J1683" s="1">
        <f>IFERROR(VLOOKUP(K1683,[1]diabetes_Recognition!$A:$B,2,FALSE),"Not Sampled")</f>
        <v>0</v>
      </c>
      <c r="K1683" s="1">
        <v>1681</v>
      </c>
      <c r="L1683" s="1">
        <f>LOOKUP(A1683,Sheet2!$D$4:$E$9)</f>
        <v>0</v>
      </c>
      <c r="M1683" t="str">
        <f>LOOKUP(B1683,Sheet2!$G$4:$H$9)</f>
        <v>126-150</v>
      </c>
      <c r="N1683" t="str">
        <f>LOOKUP(C1683,Sheet2!$J$4:$K$8)</f>
        <v>80+</v>
      </c>
      <c r="O1683" t="str">
        <f>LOOKUP(D1683,Sheet2!$M$4:$N$8)</f>
        <v>40+</v>
      </c>
      <c r="P1683" t="str">
        <f>LOOKUP(E1683,Sheet2!$P$4:$Q$9)</f>
        <v>100-199</v>
      </c>
      <c r="Q1683" t="str">
        <f>LOOKUP(F1683,Sheet2!$S$4:$T$8)</f>
        <v>36+</v>
      </c>
      <c r="R1683" t="str">
        <f>LOOKUP(G1683,Sheet2!$V$4:$W$7)</f>
        <v>0.25 - 0.39</v>
      </c>
      <c r="S1683" t="str">
        <f>LOOKUP(H1683,Sheet2!$Z$4:$AA$7)</f>
        <v>26-35</v>
      </c>
      <c r="T1683" t="str">
        <f t="shared" si="78"/>
        <v>Negative</v>
      </c>
      <c r="U1683" t="str">
        <f t="shared" si="79"/>
        <v>Negative</v>
      </c>
      <c r="V1683" s="1" t="str">
        <f t="shared" si="80"/>
        <v>Accurate Prediction</v>
      </c>
    </row>
    <row r="1684" spans="1:22" x14ac:dyDescent="0.25">
      <c r="A1684" s="1">
        <v>1</v>
      </c>
      <c r="B1684" s="1">
        <v>95</v>
      </c>
      <c r="C1684" s="1">
        <v>82</v>
      </c>
      <c r="D1684" s="1">
        <v>25</v>
      </c>
      <c r="E1684" s="1">
        <v>180</v>
      </c>
      <c r="F1684" s="1">
        <v>35</v>
      </c>
      <c r="G1684" s="1">
        <v>0.23300000000000001</v>
      </c>
      <c r="H1684" s="1">
        <v>43</v>
      </c>
      <c r="I1684" s="1">
        <v>1</v>
      </c>
      <c r="J1684" s="1">
        <f>IFERROR(VLOOKUP(K1684,[1]diabetes_Recognition!$A:$B,2,FALSE),"Not Sampled")</f>
        <v>0</v>
      </c>
      <c r="K1684" s="1">
        <v>1682</v>
      </c>
      <c r="L1684" s="1">
        <f>LOOKUP(A1684,Sheet2!$D$4:$E$9)</f>
        <v>1</v>
      </c>
      <c r="M1684" t="str">
        <f>LOOKUP(B1684,Sheet2!$G$4:$H$9)</f>
        <v>1-99</v>
      </c>
      <c r="N1684" t="str">
        <f>LOOKUP(C1684,Sheet2!$J$4:$K$8)</f>
        <v>80+</v>
      </c>
      <c r="O1684" t="str">
        <f>LOOKUP(D1684,Sheet2!$M$4:$N$8)</f>
        <v>10-30</v>
      </c>
      <c r="P1684" t="str">
        <f>LOOKUP(E1684,Sheet2!$P$4:$Q$9)</f>
        <v>100-199</v>
      </c>
      <c r="Q1684" t="str">
        <f>LOOKUP(F1684,Sheet2!$S$4:$T$8)</f>
        <v>31-35</v>
      </c>
      <c r="R1684" t="str">
        <f>LOOKUP(G1684,Sheet2!$V$4:$W$7)</f>
        <v>0.0 - 0.249</v>
      </c>
      <c r="S1684" t="str">
        <f>LOOKUP(H1684,Sheet2!$Z$4:$AA$7)</f>
        <v>36-45</v>
      </c>
      <c r="T1684" t="str">
        <f t="shared" si="78"/>
        <v>Positive</v>
      </c>
      <c r="U1684" t="str">
        <f t="shared" si="79"/>
        <v>Negative</v>
      </c>
      <c r="V1684" s="1" t="str">
        <f t="shared" si="80"/>
        <v>Inaccurate Prediction</v>
      </c>
    </row>
    <row r="1685" spans="1:22" x14ac:dyDescent="0.25">
      <c r="A1685" s="1">
        <v>2</v>
      </c>
      <c r="B1685" s="1">
        <v>99</v>
      </c>
      <c r="C1685" s="1">
        <v>0</v>
      </c>
      <c r="D1685" s="1">
        <v>0</v>
      </c>
      <c r="E1685" s="1">
        <v>0</v>
      </c>
      <c r="F1685" s="1">
        <v>22.2</v>
      </c>
      <c r="G1685" s="1">
        <v>0.108</v>
      </c>
      <c r="H1685" s="1">
        <v>23</v>
      </c>
      <c r="I1685" s="1">
        <v>0</v>
      </c>
      <c r="J1685" s="1" t="str">
        <f>IFERROR(VLOOKUP(K1685,[1]diabetes_Recognition!$A:$B,2,FALSE),"Not Sampled")</f>
        <v>Not Sampled</v>
      </c>
      <c r="K1685" s="1">
        <v>1683</v>
      </c>
      <c r="L1685" s="1">
        <f>LOOKUP(A1685,Sheet2!$D$4:$E$9)</f>
        <v>2</v>
      </c>
      <c r="M1685" t="str">
        <f>LOOKUP(B1685,Sheet2!$G$4:$H$9)</f>
        <v>1-99</v>
      </c>
      <c r="N1685" t="str">
        <f>LOOKUP(C1685,Sheet2!$J$4:$K$8)</f>
        <v>Unknown</v>
      </c>
      <c r="O1685" t="str">
        <f>LOOKUP(D1685,Sheet2!$M$4:$N$8)</f>
        <v>Unknown</v>
      </c>
      <c r="P1685" t="str">
        <f>LOOKUP(E1685,Sheet2!$P$4:$Q$9)</f>
        <v>Unknown</v>
      </c>
      <c r="Q1685" t="str">
        <f>LOOKUP(F1685,Sheet2!$S$4:$T$8)</f>
        <v>1-25</v>
      </c>
      <c r="R1685" t="str">
        <f>LOOKUP(G1685,Sheet2!$V$4:$W$7)</f>
        <v>0.0 - 0.249</v>
      </c>
      <c r="S1685" t="str">
        <f>LOOKUP(H1685,Sheet2!$Z$4:$AA$7)</f>
        <v>&lt;=25</v>
      </c>
      <c r="T1685" t="str">
        <f t="shared" si="78"/>
        <v>Negative</v>
      </c>
      <c r="U1685" t="str">
        <f t="shared" si="79"/>
        <v>Not Sampled</v>
      </c>
      <c r="V1685" s="1" t="str">
        <f t="shared" si="80"/>
        <v>Not Sampled</v>
      </c>
    </row>
    <row r="1686" spans="1:22" x14ac:dyDescent="0.25">
      <c r="A1686" s="1">
        <v>3</v>
      </c>
      <c r="B1686" s="1">
        <v>89</v>
      </c>
      <c r="C1686" s="1">
        <v>74</v>
      </c>
      <c r="D1686" s="1">
        <v>16</v>
      </c>
      <c r="E1686" s="1">
        <v>85</v>
      </c>
      <c r="F1686" s="1">
        <v>30.4</v>
      </c>
      <c r="G1686" s="1">
        <v>0.55100000000000005</v>
      </c>
      <c r="H1686" s="1">
        <v>38</v>
      </c>
      <c r="I1686" s="1">
        <v>0</v>
      </c>
      <c r="J1686" s="1" t="str">
        <f>IFERROR(VLOOKUP(K1686,[1]diabetes_Recognition!$A:$B,2,FALSE),"Not Sampled")</f>
        <v>Not Sampled</v>
      </c>
      <c r="K1686" s="1">
        <v>1684</v>
      </c>
      <c r="L1686" s="1" t="str">
        <f>LOOKUP(A1686,Sheet2!$D$4:$E$9)</f>
        <v>3-4</v>
      </c>
      <c r="M1686" t="str">
        <f>LOOKUP(B1686,Sheet2!$G$4:$H$9)</f>
        <v>1-99</v>
      </c>
      <c r="N1686" t="str">
        <f>LOOKUP(C1686,Sheet2!$J$4:$K$8)</f>
        <v>70-79</v>
      </c>
      <c r="O1686" t="str">
        <f>LOOKUP(D1686,Sheet2!$M$4:$N$8)</f>
        <v>10-30</v>
      </c>
      <c r="P1686" t="str">
        <f>LOOKUP(E1686,Sheet2!$P$4:$Q$9)</f>
        <v>1-99</v>
      </c>
      <c r="Q1686" t="str">
        <f>LOOKUP(F1686,Sheet2!$S$4:$T$8)</f>
        <v>26-30</v>
      </c>
      <c r="R1686" t="str">
        <f>LOOKUP(G1686,Sheet2!$V$4:$W$7)</f>
        <v>0.4 - 0.69</v>
      </c>
      <c r="S1686" t="str">
        <f>LOOKUP(H1686,Sheet2!$Z$4:$AA$7)</f>
        <v>36-45</v>
      </c>
      <c r="T1686" t="str">
        <f t="shared" si="78"/>
        <v>Negative</v>
      </c>
      <c r="U1686" t="str">
        <f t="shared" si="79"/>
        <v>Not Sampled</v>
      </c>
      <c r="V1686" s="1" t="str">
        <f t="shared" si="80"/>
        <v>Not Sampled</v>
      </c>
    </row>
    <row r="1687" spans="1:22" x14ac:dyDescent="0.25">
      <c r="A1687" s="1">
        <v>1</v>
      </c>
      <c r="B1687" s="1">
        <v>80</v>
      </c>
      <c r="C1687" s="1">
        <v>74</v>
      </c>
      <c r="D1687" s="1">
        <v>11</v>
      </c>
      <c r="E1687" s="1">
        <v>60</v>
      </c>
      <c r="F1687" s="1">
        <v>30</v>
      </c>
      <c r="G1687" s="1">
        <v>0.52700000000000002</v>
      </c>
      <c r="H1687" s="1">
        <v>22</v>
      </c>
      <c r="I1687" s="1">
        <v>0</v>
      </c>
      <c r="J1687" s="1">
        <f>IFERROR(VLOOKUP(K1687,[1]diabetes_Recognition!$A:$B,2,FALSE),"Not Sampled")</f>
        <v>0</v>
      </c>
      <c r="K1687" s="1">
        <v>1685</v>
      </c>
      <c r="L1687" s="1">
        <f>LOOKUP(A1687,Sheet2!$D$4:$E$9)</f>
        <v>1</v>
      </c>
      <c r="M1687" t="str">
        <f>LOOKUP(B1687,Sheet2!$G$4:$H$9)</f>
        <v>1-99</v>
      </c>
      <c r="N1687" t="str">
        <f>LOOKUP(C1687,Sheet2!$J$4:$K$8)</f>
        <v>70-79</v>
      </c>
      <c r="O1687" t="str">
        <f>LOOKUP(D1687,Sheet2!$M$4:$N$8)</f>
        <v>10-30</v>
      </c>
      <c r="P1687" t="str">
        <f>LOOKUP(E1687,Sheet2!$P$4:$Q$9)</f>
        <v>1-99</v>
      </c>
      <c r="Q1687" t="str">
        <f>LOOKUP(F1687,Sheet2!$S$4:$T$8)</f>
        <v>26-30</v>
      </c>
      <c r="R1687" t="str">
        <f>LOOKUP(G1687,Sheet2!$V$4:$W$7)</f>
        <v>0.4 - 0.69</v>
      </c>
      <c r="S1687" t="str">
        <f>LOOKUP(H1687,Sheet2!$Z$4:$AA$7)</f>
        <v>&lt;=25</v>
      </c>
      <c r="T1687" t="str">
        <f t="shared" si="78"/>
        <v>Negative</v>
      </c>
      <c r="U1687" t="str">
        <f t="shared" si="79"/>
        <v>Negative</v>
      </c>
      <c r="V1687" s="1" t="str">
        <f t="shared" si="80"/>
        <v>Accurate Prediction</v>
      </c>
    </row>
    <row r="1688" spans="1:22" x14ac:dyDescent="0.25">
      <c r="A1688" s="1">
        <v>1</v>
      </c>
      <c r="B1688" s="1">
        <v>173</v>
      </c>
      <c r="C1688" s="1">
        <v>74</v>
      </c>
      <c r="D1688" s="1">
        <v>0</v>
      </c>
      <c r="E1688" s="1">
        <v>0</v>
      </c>
      <c r="F1688" s="1">
        <v>36.799999999999997</v>
      </c>
      <c r="G1688" s="1">
        <v>8.7999999999999995E-2</v>
      </c>
      <c r="H1688" s="1">
        <v>38</v>
      </c>
      <c r="I1688" s="1">
        <v>1</v>
      </c>
      <c r="J1688" s="1" t="str">
        <f>IFERROR(VLOOKUP(K1688,[1]diabetes_Recognition!$A:$B,2,FALSE),"Not Sampled")</f>
        <v>Not Sampled</v>
      </c>
      <c r="K1688" s="1">
        <v>1686</v>
      </c>
      <c r="L1688" s="1">
        <f>LOOKUP(A1688,Sheet2!$D$4:$E$9)</f>
        <v>1</v>
      </c>
      <c r="M1688" t="str">
        <f>LOOKUP(B1688,Sheet2!$G$4:$H$9)</f>
        <v>151-175</v>
      </c>
      <c r="N1688" t="str">
        <f>LOOKUP(C1688,Sheet2!$J$4:$K$8)</f>
        <v>70-79</v>
      </c>
      <c r="O1688" t="str">
        <f>LOOKUP(D1688,Sheet2!$M$4:$N$8)</f>
        <v>Unknown</v>
      </c>
      <c r="P1688" t="str">
        <f>LOOKUP(E1688,Sheet2!$P$4:$Q$9)</f>
        <v>Unknown</v>
      </c>
      <c r="Q1688" t="str">
        <f>LOOKUP(F1688,Sheet2!$S$4:$T$8)</f>
        <v>36+</v>
      </c>
      <c r="R1688" t="str">
        <f>LOOKUP(G1688,Sheet2!$V$4:$W$7)</f>
        <v>0.0 - 0.249</v>
      </c>
      <c r="S1688" t="str">
        <f>LOOKUP(H1688,Sheet2!$Z$4:$AA$7)</f>
        <v>36-45</v>
      </c>
      <c r="T1688" t="str">
        <f t="shared" si="78"/>
        <v>Positive</v>
      </c>
      <c r="U1688" t="str">
        <f t="shared" si="79"/>
        <v>Not Sampled</v>
      </c>
      <c r="V1688" s="1" t="str">
        <f t="shared" si="80"/>
        <v>Not Sampled</v>
      </c>
    </row>
    <row r="1689" spans="1:22" x14ac:dyDescent="0.25">
      <c r="A1689" s="1">
        <v>1</v>
      </c>
      <c r="B1689" s="1">
        <v>109</v>
      </c>
      <c r="C1689" s="1">
        <v>38</v>
      </c>
      <c r="D1689" s="1">
        <v>18</v>
      </c>
      <c r="E1689" s="1">
        <v>120</v>
      </c>
      <c r="F1689" s="1">
        <v>23.1</v>
      </c>
      <c r="G1689" s="1">
        <v>0.40699999999999997</v>
      </c>
      <c r="H1689" s="1">
        <v>26</v>
      </c>
      <c r="I1689" s="1">
        <v>0</v>
      </c>
      <c r="J1689" s="1" t="str">
        <f>IFERROR(VLOOKUP(K1689,[1]diabetes_Recognition!$A:$B,2,FALSE),"Not Sampled")</f>
        <v>Not Sampled</v>
      </c>
      <c r="K1689" s="1">
        <v>1687</v>
      </c>
      <c r="L1689" s="1">
        <f>LOOKUP(A1689,Sheet2!$D$4:$E$9)</f>
        <v>1</v>
      </c>
      <c r="M1689" t="str">
        <f>LOOKUP(B1689,Sheet2!$G$4:$H$9)</f>
        <v>100-125</v>
      </c>
      <c r="N1689" t="str">
        <f>LOOKUP(C1689,Sheet2!$J$4:$K$8)</f>
        <v>1-59</v>
      </c>
      <c r="O1689" t="str">
        <f>LOOKUP(D1689,Sheet2!$M$4:$N$8)</f>
        <v>10-30</v>
      </c>
      <c r="P1689" t="str">
        <f>LOOKUP(E1689,Sheet2!$P$4:$Q$9)</f>
        <v>100-199</v>
      </c>
      <c r="Q1689" t="str">
        <f>LOOKUP(F1689,Sheet2!$S$4:$T$8)</f>
        <v>1-25</v>
      </c>
      <c r="R1689" t="str">
        <f>LOOKUP(G1689,Sheet2!$V$4:$W$7)</f>
        <v>0.4 - 0.69</v>
      </c>
      <c r="S1689" t="str">
        <f>LOOKUP(H1689,Sheet2!$Z$4:$AA$7)</f>
        <v>26-35</v>
      </c>
      <c r="T1689" t="str">
        <f t="shared" si="78"/>
        <v>Negative</v>
      </c>
      <c r="U1689" t="str">
        <f t="shared" si="79"/>
        <v>Not Sampled</v>
      </c>
      <c r="V1689" s="1" t="str">
        <f t="shared" si="80"/>
        <v>Not Sampled</v>
      </c>
    </row>
    <row r="1690" spans="1:22" x14ac:dyDescent="0.25">
      <c r="A1690" s="1">
        <v>1</v>
      </c>
      <c r="B1690" s="1">
        <v>108</v>
      </c>
      <c r="C1690" s="1">
        <v>88</v>
      </c>
      <c r="D1690" s="1">
        <v>19</v>
      </c>
      <c r="E1690" s="1">
        <v>0</v>
      </c>
      <c r="F1690" s="1">
        <v>27.1</v>
      </c>
      <c r="G1690" s="1">
        <v>0.4</v>
      </c>
      <c r="H1690" s="1">
        <v>24</v>
      </c>
      <c r="I1690" s="1">
        <v>0</v>
      </c>
      <c r="J1690" s="1">
        <f>IFERROR(VLOOKUP(K1690,[1]diabetes_Recognition!$A:$B,2,FALSE),"Not Sampled")</f>
        <v>0</v>
      </c>
      <c r="K1690" s="1">
        <v>1688</v>
      </c>
      <c r="L1690" s="1">
        <f>LOOKUP(A1690,Sheet2!$D$4:$E$9)</f>
        <v>1</v>
      </c>
      <c r="M1690" t="str">
        <f>LOOKUP(B1690,Sheet2!$G$4:$H$9)</f>
        <v>100-125</v>
      </c>
      <c r="N1690" t="str">
        <f>LOOKUP(C1690,Sheet2!$J$4:$K$8)</f>
        <v>80+</v>
      </c>
      <c r="O1690" t="str">
        <f>LOOKUP(D1690,Sheet2!$M$4:$N$8)</f>
        <v>10-30</v>
      </c>
      <c r="P1690" t="str">
        <f>LOOKUP(E1690,Sheet2!$P$4:$Q$9)</f>
        <v>Unknown</v>
      </c>
      <c r="Q1690" t="str">
        <f>LOOKUP(F1690,Sheet2!$S$4:$T$8)</f>
        <v>26-30</v>
      </c>
      <c r="R1690" t="str">
        <f>LOOKUP(G1690,Sheet2!$V$4:$W$7)</f>
        <v>0.4 - 0.69</v>
      </c>
      <c r="S1690" t="str">
        <f>LOOKUP(H1690,Sheet2!$Z$4:$AA$7)</f>
        <v>&lt;=25</v>
      </c>
      <c r="T1690" t="str">
        <f t="shared" si="78"/>
        <v>Negative</v>
      </c>
      <c r="U1690" t="str">
        <f t="shared" si="79"/>
        <v>Negative</v>
      </c>
      <c r="V1690" s="1" t="str">
        <f t="shared" si="80"/>
        <v>Accurate Prediction</v>
      </c>
    </row>
    <row r="1691" spans="1:22" x14ac:dyDescent="0.25">
      <c r="A1691" s="1">
        <v>6</v>
      </c>
      <c r="B1691" s="1">
        <v>96</v>
      </c>
      <c r="C1691" s="1">
        <v>0</v>
      </c>
      <c r="D1691" s="1">
        <v>0</v>
      </c>
      <c r="E1691" s="1">
        <v>0</v>
      </c>
      <c r="F1691" s="1">
        <v>23.7</v>
      </c>
      <c r="G1691" s="1">
        <v>0.19</v>
      </c>
      <c r="H1691" s="1">
        <v>28</v>
      </c>
      <c r="I1691" s="1">
        <v>0</v>
      </c>
      <c r="J1691" s="1" t="str">
        <f>IFERROR(VLOOKUP(K1691,[1]diabetes_Recognition!$A:$B,2,FALSE),"Not Sampled")</f>
        <v>Not Sampled</v>
      </c>
      <c r="K1691" s="1">
        <v>1689</v>
      </c>
      <c r="L1691" s="1" t="str">
        <f>LOOKUP(A1691,Sheet2!$D$4:$E$9)</f>
        <v>5-7</v>
      </c>
      <c r="M1691" t="str">
        <f>LOOKUP(B1691,Sheet2!$G$4:$H$9)</f>
        <v>1-99</v>
      </c>
      <c r="N1691" t="str">
        <f>LOOKUP(C1691,Sheet2!$J$4:$K$8)</f>
        <v>Unknown</v>
      </c>
      <c r="O1691" t="str">
        <f>LOOKUP(D1691,Sheet2!$M$4:$N$8)</f>
        <v>Unknown</v>
      </c>
      <c r="P1691" t="str">
        <f>LOOKUP(E1691,Sheet2!$P$4:$Q$9)</f>
        <v>Unknown</v>
      </c>
      <c r="Q1691" t="str">
        <f>LOOKUP(F1691,Sheet2!$S$4:$T$8)</f>
        <v>1-25</v>
      </c>
      <c r="R1691" t="str">
        <f>LOOKUP(G1691,Sheet2!$V$4:$W$7)</f>
        <v>0.0 - 0.249</v>
      </c>
      <c r="S1691" t="str">
        <f>LOOKUP(H1691,Sheet2!$Z$4:$AA$7)</f>
        <v>26-35</v>
      </c>
      <c r="T1691" t="str">
        <f t="shared" si="78"/>
        <v>Negative</v>
      </c>
      <c r="U1691" t="str">
        <f t="shared" si="79"/>
        <v>Not Sampled</v>
      </c>
      <c r="V1691" s="1" t="str">
        <f t="shared" si="80"/>
        <v>Not Sampled</v>
      </c>
    </row>
    <row r="1692" spans="1:22" x14ac:dyDescent="0.25">
      <c r="A1692" s="1">
        <v>1</v>
      </c>
      <c r="B1692" s="1">
        <v>124</v>
      </c>
      <c r="C1692" s="1">
        <v>74</v>
      </c>
      <c r="D1692" s="1">
        <v>36</v>
      </c>
      <c r="E1692" s="1">
        <v>0</v>
      </c>
      <c r="F1692" s="1">
        <v>27.8</v>
      </c>
      <c r="G1692" s="1">
        <v>0.1</v>
      </c>
      <c r="H1692" s="1">
        <v>30</v>
      </c>
      <c r="I1692" s="1">
        <v>0</v>
      </c>
      <c r="J1692" s="1" t="str">
        <f>IFERROR(VLOOKUP(K1692,[1]diabetes_Recognition!$A:$B,2,FALSE),"Not Sampled")</f>
        <v>Not Sampled</v>
      </c>
      <c r="K1692" s="1">
        <v>1690</v>
      </c>
      <c r="L1692" s="1">
        <f>LOOKUP(A1692,Sheet2!$D$4:$E$9)</f>
        <v>1</v>
      </c>
      <c r="M1692" t="str">
        <f>LOOKUP(B1692,Sheet2!$G$4:$H$9)</f>
        <v>100-125</v>
      </c>
      <c r="N1692" t="str">
        <f>LOOKUP(C1692,Sheet2!$J$4:$K$8)</f>
        <v>70-79</v>
      </c>
      <c r="O1692" t="str">
        <f>LOOKUP(D1692,Sheet2!$M$4:$N$8)</f>
        <v>30-39</v>
      </c>
      <c r="P1692" t="str">
        <f>LOOKUP(E1692,Sheet2!$P$4:$Q$9)</f>
        <v>Unknown</v>
      </c>
      <c r="Q1692" t="str">
        <f>LOOKUP(F1692,Sheet2!$S$4:$T$8)</f>
        <v>26-30</v>
      </c>
      <c r="R1692" t="str">
        <f>LOOKUP(G1692,Sheet2!$V$4:$W$7)</f>
        <v>0.0 - 0.249</v>
      </c>
      <c r="S1692" t="str">
        <f>LOOKUP(H1692,Sheet2!$Z$4:$AA$7)</f>
        <v>26-35</v>
      </c>
      <c r="T1692" t="str">
        <f t="shared" si="78"/>
        <v>Negative</v>
      </c>
      <c r="U1692" t="str">
        <f t="shared" si="79"/>
        <v>Not Sampled</v>
      </c>
      <c r="V1692" s="1" t="str">
        <f t="shared" si="80"/>
        <v>Not Sampled</v>
      </c>
    </row>
    <row r="1693" spans="1:22" x14ac:dyDescent="0.25">
      <c r="A1693" s="1">
        <v>7</v>
      </c>
      <c r="B1693" s="1">
        <v>150</v>
      </c>
      <c r="C1693" s="1">
        <v>78</v>
      </c>
      <c r="D1693" s="1">
        <v>29</v>
      </c>
      <c r="E1693" s="1">
        <v>126</v>
      </c>
      <c r="F1693" s="1">
        <v>35.200000000000003</v>
      </c>
      <c r="G1693" s="1">
        <v>0.69199999999999995</v>
      </c>
      <c r="H1693" s="1">
        <v>54</v>
      </c>
      <c r="I1693" s="1">
        <v>1</v>
      </c>
      <c r="J1693" s="1">
        <f>IFERROR(VLOOKUP(K1693,[1]diabetes_Recognition!$A:$B,2,FALSE),"Not Sampled")</f>
        <v>1</v>
      </c>
      <c r="K1693" s="1">
        <v>1691</v>
      </c>
      <c r="L1693" s="1" t="str">
        <f>LOOKUP(A1693,Sheet2!$D$4:$E$9)</f>
        <v>5-7</v>
      </c>
      <c r="M1693" t="str">
        <f>LOOKUP(B1693,Sheet2!$G$4:$H$9)</f>
        <v>126-150</v>
      </c>
      <c r="N1693" t="str">
        <f>LOOKUP(C1693,Sheet2!$J$4:$K$8)</f>
        <v>70-79</v>
      </c>
      <c r="O1693" t="str">
        <f>LOOKUP(D1693,Sheet2!$M$4:$N$8)</f>
        <v>10-30</v>
      </c>
      <c r="P1693" t="str">
        <f>LOOKUP(E1693,Sheet2!$P$4:$Q$9)</f>
        <v>100-199</v>
      </c>
      <c r="Q1693" t="str">
        <f>LOOKUP(F1693,Sheet2!$S$4:$T$8)</f>
        <v>31-35</v>
      </c>
      <c r="R1693" t="str">
        <f>LOOKUP(G1693,Sheet2!$V$4:$W$7)</f>
        <v>0.4 - 0.69</v>
      </c>
      <c r="S1693" t="str">
        <f>LOOKUP(H1693,Sheet2!$Z$4:$AA$7)</f>
        <v>46+</v>
      </c>
      <c r="T1693" t="str">
        <f t="shared" si="78"/>
        <v>Positive</v>
      </c>
      <c r="U1693" t="str">
        <f t="shared" si="79"/>
        <v>Positive</v>
      </c>
      <c r="V1693" s="1" t="str">
        <f t="shared" si="80"/>
        <v>Accurate Prediction</v>
      </c>
    </row>
    <row r="1694" spans="1:22" x14ac:dyDescent="0.25">
      <c r="A1694" s="1">
        <v>4</v>
      </c>
      <c r="B1694" s="1">
        <v>183</v>
      </c>
      <c r="C1694" s="1">
        <v>0</v>
      </c>
      <c r="D1694" s="1">
        <v>0</v>
      </c>
      <c r="E1694" s="1">
        <v>0</v>
      </c>
      <c r="F1694" s="1">
        <v>28.4</v>
      </c>
      <c r="G1694" s="1">
        <v>0.21199999999999999</v>
      </c>
      <c r="H1694" s="1">
        <v>36</v>
      </c>
      <c r="I1694" s="1">
        <v>1</v>
      </c>
      <c r="J1694" s="1" t="str">
        <f>IFERROR(VLOOKUP(K1694,[1]diabetes_Recognition!$A:$B,2,FALSE),"Not Sampled")</f>
        <v>Not Sampled</v>
      </c>
      <c r="K1694" s="1">
        <v>1692</v>
      </c>
      <c r="L1694" s="1" t="str">
        <f>LOOKUP(A1694,Sheet2!$D$4:$E$9)</f>
        <v>3-4</v>
      </c>
      <c r="M1694" t="str">
        <f>LOOKUP(B1694,Sheet2!$G$4:$H$9)</f>
        <v>176-200</v>
      </c>
      <c r="N1694" t="str">
        <f>LOOKUP(C1694,Sheet2!$J$4:$K$8)</f>
        <v>Unknown</v>
      </c>
      <c r="O1694" t="str">
        <f>LOOKUP(D1694,Sheet2!$M$4:$N$8)</f>
        <v>Unknown</v>
      </c>
      <c r="P1694" t="str">
        <f>LOOKUP(E1694,Sheet2!$P$4:$Q$9)</f>
        <v>Unknown</v>
      </c>
      <c r="Q1694" t="str">
        <f>LOOKUP(F1694,Sheet2!$S$4:$T$8)</f>
        <v>26-30</v>
      </c>
      <c r="R1694" t="str">
        <f>LOOKUP(G1694,Sheet2!$V$4:$W$7)</f>
        <v>0.0 - 0.249</v>
      </c>
      <c r="S1694" t="str">
        <f>LOOKUP(H1694,Sheet2!$Z$4:$AA$7)</f>
        <v>36-45</v>
      </c>
      <c r="T1694" t="str">
        <f t="shared" si="78"/>
        <v>Positive</v>
      </c>
      <c r="U1694" t="str">
        <f t="shared" si="79"/>
        <v>Not Sampled</v>
      </c>
      <c r="V1694" s="1" t="str">
        <f t="shared" si="80"/>
        <v>Not Sampled</v>
      </c>
    </row>
    <row r="1695" spans="1:22" x14ac:dyDescent="0.25">
      <c r="A1695" s="1">
        <v>1</v>
      </c>
      <c r="B1695" s="1">
        <v>124</v>
      </c>
      <c r="C1695" s="1">
        <v>60</v>
      </c>
      <c r="D1695" s="1">
        <v>32</v>
      </c>
      <c r="E1695" s="1">
        <v>0</v>
      </c>
      <c r="F1695" s="1">
        <v>35.799999999999997</v>
      </c>
      <c r="G1695" s="1">
        <v>0.51400000000000001</v>
      </c>
      <c r="H1695" s="1">
        <v>21</v>
      </c>
      <c r="I1695" s="1">
        <v>0</v>
      </c>
      <c r="J1695" s="1" t="str">
        <f>IFERROR(VLOOKUP(K1695,[1]diabetes_Recognition!$A:$B,2,FALSE),"Not Sampled")</f>
        <v>Not Sampled</v>
      </c>
      <c r="K1695" s="1">
        <v>1693</v>
      </c>
      <c r="L1695" s="1">
        <f>LOOKUP(A1695,Sheet2!$D$4:$E$9)</f>
        <v>1</v>
      </c>
      <c r="M1695" t="str">
        <f>LOOKUP(B1695,Sheet2!$G$4:$H$9)</f>
        <v>100-125</v>
      </c>
      <c r="N1695" t="str">
        <f>LOOKUP(C1695,Sheet2!$J$4:$K$8)</f>
        <v>60-69</v>
      </c>
      <c r="O1695" t="str">
        <f>LOOKUP(D1695,Sheet2!$M$4:$N$8)</f>
        <v>30-39</v>
      </c>
      <c r="P1695" t="str">
        <f>LOOKUP(E1695,Sheet2!$P$4:$Q$9)</f>
        <v>Unknown</v>
      </c>
      <c r="Q1695" t="str">
        <f>LOOKUP(F1695,Sheet2!$S$4:$T$8)</f>
        <v>31-35</v>
      </c>
      <c r="R1695" t="str">
        <f>LOOKUP(G1695,Sheet2!$V$4:$W$7)</f>
        <v>0.4 - 0.69</v>
      </c>
      <c r="S1695" t="str">
        <f>LOOKUP(H1695,Sheet2!$Z$4:$AA$7)</f>
        <v>&lt;=25</v>
      </c>
      <c r="T1695" t="str">
        <f t="shared" si="78"/>
        <v>Negative</v>
      </c>
      <c r="U1695" t="str">
        <f t="shared" si="79"/>
        <v>Not Sampled</v>
      </c>
      <c r="V1695" s="1" t="str">
        <f t="shared" si="80"/>
        <v>Not Sampled</v>
      </c>
    </row>
    <row r="1696" spans="1:22" x14ac:dyDescent="0.25">
      <c r="A1696" s="1">
        <v>1</v>
      </c>
      <c r="B1696" s="1">
        <v>181</v>
      </c>
      <c r="C1696" s="1">
        <v>78</v>
      </c>
      <c r="D1696" s="1">
        <v>42</v>
      </c>
      <c r="E1696" s="1">
        <v>293</v>
      </c>
      <c r="F1696" s="1">
        <v>40</v>
      </c>
      <c r="G1696" s="1">
        <v>1.258</v>
      </c>
      <c r="H1696" s="1">
        <v>22</v>
      </c>
      <c r="I1696" s="1">
        <v>1</v>
      </c>
      <c r="J1696" s="1" t="str">
        <f>IFERROR(VLOOKUP(K1696,[1]diabetes_Recognition!$A:$B,2,FALSE),"Not Sampled")</f>
        <v>Not Sampled</v>
      </c>
      <c r="K1696" s="1">
        <v>1694</v>
      </c>
      <c r="L1696" s="1">
        <f>LOOKUP(A1696,Sheet2!$D$4:$E$9)</f>
        <v>1</v>
      </c>
      <c r="M1696" t="str">
        <f>LOOKUP(B1696,Sheet2!$G$4:$H$9)</f>
        <v>176-200</v>
      </c>
      <c r="N1696" t="str">
        <f>LOOKUP(C1696,Sheet2!$J$4:$K$8)</f>
        <v>70-79</v>
      </c>
      <c r="O1696" t="str">
        <f>LOOKUP(D1696,Sheet2!$M$4:$N$8)</f>
        <v>40+</v>
      </c>
      <c r="P1696" t="str">
        <f>LOOKUP(E1696,Sheet2!$P$4:$Q$9)</f>
        <v>200-399</v>
      </c>
      <c r="Q1696" t="str">
        <f>LOOKUP(F1696,Sheet2!$S$4:$T$8)</f>
        <v>36+</v>
      </c>
      <c r="R1696" t="str">
        <f>LOOKUP(G1696,Sheet2!$V$4:$W$7)</f>
        <v>0.7+</v>
      </c>
      <c r="S1696" t="str">
        <f>LOOKUP(H1696,Sheet2!$Z$4:$AA$7)</f>
        <v>&lt;=25</v>
      </c>
      <c r="T1696" t="str">
        <f t="shared" si="78"/>
        <v>Positive</v>
      </c>
      <c r="U1696" t="str">
        <f t="shared" si="79"/>
        <v>Not Sampled</v>
      </c>
      <c r="V1696" s="1" t="str">
        <f t="shared" si="80"/>
        <v>Not Sampled</v>
      </c>
    </row>
    <row r="1697" spans="1:22" x14ac:dyDescent="0.25">
      <c r="A1697" s="1">
        <v>1</v>
      </c>
      <c r="B1697" s="1">
        <v>92</v>
      </c>
      <c r="C1697" s="1">
        <v>62</v>
      </c>
      <c r="D1697" s="1">
        <v>25</v>
      </c>
      <c r="E1697" s="1">
        <v>41</v>
      </c>
      <c r="F1697" s="1">
        <v>19.5</v>
      </c>
      <c r="G1697" s="1">
        <v>0.48199999999999998</v>
      </c>
      <c r="H1697" s="1">
        <v>25</v>
      </c>
      <c r="I1697" s="1">
        <v>0</v>
      </c>
      <c r="J1697" s="1" t="str">
        <f>IFERROR(VLOOKUP(K1697,[1]diabetes_Recognition!$A:$B,2,FALSE),"Not Sampled")</f>
        <v>Not Sampled</v>
      </c>
      <c r="K1697" s="1">
        <v>1695</v>
      </c>
      <c r="L1697" s="1">
        <f>LOOKUP(A1697,Sheet2!$D$4:$E$9)</f>
        <v>1</v>
      </c>
      <c r="M1697" t="str">
        <f>LOOKUP(B1697,Sheet2!$G$4:$H$9)</f>
        <v>1-99</v>
      </c>
      <c r="N1697" t="str">
        <f>LOOKUP(C1697,Sheet2!$J$4:$K$8)</f>
        <v>60-69</v>
      </c>
      <c r="O1697" t="str">
        <f>LOOKUP(D1697,Sheet2!$M$4:$N$8)</f>
        <v>10-30</v>
      </c>
      <c r="P1697" t="str">
        <f>LOOKUP(E1697,Sheet2!$P$4:$Q$9)</f>
        <v>1-99</v>
      </c>
      <c r="Q1697" t="str">
        <f>LOOKUP(F1697,Sheet2!$S$4:$T$8)</f>
        <v>1-25</v>
      </c>
      <c r="R1697" t="str">
        <f>LOOKUP(G1697,Sheet2!$V$4:$W$7)</f>
        <v>0.4 - 0.69</v>
      </c>
      <c r="S1697" t="str">
        <f>LOOKUP(H1697,Sheet2!$Z$4:$AA$7)</f>
        <v>&lt;=25</v>
      </c>
      <c r="T1697" t="str">
        <f t="shared" si="78"/>
        <v>Negative</v>
      </c>
      <c r="U1697" t="str">
        <f t="shared" si="79"/>
        <v>Not Sampled</v>
      </c>
      <c r="V1697" s="1" t="str">
        <f t="shared" si="80"/>
        <v>Not Sampled</v>
      </c>
    </row>
    <row r="1698" spans="1:22" x14ac:dyDescent="0.25">
      <c r="A1698" s="1">
        <v>0</v>
      </c>
      <c r="B1698" s="1">
        <v>152</v>
      </c>
      <c r="C1698" s="1">
        <v>82</v>
      </c>
      <c r="D1698" s="1">
        <v>39</v>
      </c>
      <c r="E1698" s="1">
        <v>272</v>
      </c>
      <c r="F1698" s="1">
        <v>41.5</v>
      </c>
      <c r="G1698" s="1">
        <v>0.27</v>
      </c>
      <c r="H1698" s="1">
        <v>27</v>
      </c>
      <c r="I1698" s="1">
        <v>0</v>
      </c>
      <c r="J1698" s="1" t="str">
        <f>IFERROR(VLOOKUP(K1698,[1]diabetes_Recognition!$A:$B,2,FALSE),"Not Sampled")</f>
        <v>Not Sampled</v>
      </c>
      <c r="K1698" s="1">
        <v>1696</v>
      </c>
      <c r="L1698" s="1">
        <f>LOOKUP(A1698,Sheet2!$D$4:$E$9)</f>
        <v>0</v>
      </c>
      <c r="M1698" t="str">
        <f>LOOKUP(B1698,Sheet2!$G$4:$H$9)</f>
        <v>151-175</v>
      </c>
      <c r="N1698" t="str">
        <f>LOOKUP(C1698,Sheet2!$J$4:$K$8)</f>
        <v>80+</v>
      </c>
      <c r="O1698" t="str">
        <f>LOOKUP(D1698,Sheet2!$M$4:$N$8)</f>
        <v>30-39</v>
      </c>
      <c r="P1698" t="str">
        <f>LOOKUP(E1698,Sheet2!$P$4:$Q$9)</f>
        <v>200-399</v>
      </c>
      <c r="Q1698" t="str">
        <f>LOOKUP(F1698,Sheet2!$S$4:$T$8)</f>
        <v>36+</v>
      </c>
      <c r="R1698" t="str">
        <f>LOOKUP(G1698,Sheet2!$V$4:$W$7)</f>
        <v>0.25 - 0.39</v>
      </c>
      <c r="S1698" t="str">
        <f>LOOKUP(H1698,Sheet2!$Z$4:$AA$7)</f>
        <v>26-35</v>
      </c>
      <c r="T1698" t="str">
        <f t="shared" si="78"/>
        <v>Negative</v>
      </c>
      <c r="U1698" t="str">
        <f t="shared" si="79"/>
        <v>Not Sampled</v>
      </c>
      <c r="V1698" s="1" t="str">
        <f t="shared" si="80"/>
        <v>Not Sampled</v>
      </c>
    </row>
    <row r="1699" spans="1:22" x14ac:dyDescent="0.25">
      <c r="A1699" s="1">
        <v>1</v>
      </c>
      <c r="B1699" s="1">
        <v>111</v>
      </c>
      <c r="C1699" s="1">
        <v>62</v>
      </c>
      <c r="D1699" s="1">
        <v>13</v>
      </c>
      <c r="E1699" s="1">
        <v>182</v>
      </c>
      <c r="F1699" s="1">
        <v>24</v>
      </c>
      <c r="G1699" s="1">
        <v>0.13800000000000001</v>
      </c>
      <c r="H1699" s="1">
        <v>23</v>
      </c>
      <c r="I1699" s="1">
        <v>0</v>
      </c>
      <c r="J1699" s="1" t="str">
        <f>IFERROR(VLOOKUP(K1699,[1]diabetes_Recognition!$A:$B,2,FALSE),"Not Sampled")</f>
        <v>Not Sampled</v>
      </c>
      <c r="K1699" s="1">
        <v>1697</v>
      </c>
      <c r="L1699" s="1">
        <f>LOOKUP(A1699,Sheet2!$D$4:$E$9)</f>
        <v>1</v>
      </c>
      <c r="M1699" t="str">
        <f>LOOKUP(B1699,Sheet2!$G$4:$H$9)</f>
        <v>100-125</v>
      </c>
      <c r="N1699" t="str">
        <f>LOOKUP(C1699,Sheet2!$J$4:$K$8)</f>
        <v>60-69</v>
      </c>
      <c r="O1699" t="str">
        <f>LOOKUP(D1699,Sheet2!$M$4:$N$8)</f>
        <v>10-30</v>
      </c>
      <c r="P1699" t="str">
        <f>LOOKUP(E1699,Sheet2!$P$4:$Q$9)</f>
        <v>100-199</v>
      </c>
      <c r="Q1699" t="str">
        <f>LOOKUP(F1699,Sheet2!$S$4:$T$8)</f>
        <v>1-25</v>
      </c>
      <c r="R1699" t="str">
        <f>LOOKUP(G1699,Sheet2!$V$4:$W$7)</f>
        <v>0.0 - 0.249</v>
      </c>
      <c r="S1699" t="str">
        <f>LOOKUP(H1699,Sheet2!$Z$4:$AA$7)</f>
        <v>&lt;=25</v>
      </c>
      <c r="T1699" t="str">
        <f t="shared" si="78"/>
        <v>Negative</v>
      </c>
      <c r="U1699" t="str">
        <f t="shared" si="79"/>
        <v>Not Sampled</v>
      </c>
      <c r="V1699" s="1" t="str">
        <f t="shared" si="80"/>
        <v>Not Sampled</v>
      </c>
    </row>
    <row r="1700" spans="1:22" x14ac:dyDescent="0.25">
      <c r="A1700" s="1">
        <v>3</v>
      </c>
      <c r="B1700" s="1">
        <v>106</v>
      </c>
      <c r="C1700" s="1">
        <v>54</v>
      </c>
      <c r="D1700" s="1">
        <v>21</v>
      </c>
      <c r="E1700" s="1">
        <v>158</v>
      </c>
      <c r="F1700" s="1">
        <v>30.9</v>
      </c>
      <c r="G1700" s="1">
        <v>0.29199999999999998</v>
      </c>
      <c r="H1700" s="1">
        <v>24</v>
      </c>
      <c r="I1700" s="1">
        <v>0</v>
      </c>
      <c r="J1700" s="1">
        <f>IFERROR(VLOOKUP(K1700,[1]diabetes_Recognition!$A:$B,2,FALSE),"Not Sampled")</f>
        <v>0</v>
      </c>
      <c r="K1700" s="1">
        <v>1698</v>
      </c>
      <c r="L1700" s="1" t="str">
        <f>LOOKUP(A1700,Sheet2!$D$4:$E$9)</f>
        <v>3-4</v>
      </c>
      <c r="M1700" t="str">
        <f>LOOKUP(B1700,Sheet2!$G$4:$H$9)</f>
        <v>100-125</v>
      </c>
      <c r="N1700" t="str">
        <f>LOOKUP(C1700,Sheet2!$J$4:$K$8)</f>
        <v>1-59</v>
      </c>
      <c r="O1700" t="str">
        <f>LOOKUP(D1700,Sheet2!$M$4:$N$8)</f>
        <v>10-30</v>
      </c>
      <c r="P1700" t="str">
        <f>LOOKUP(E1700,Sheet2!$P$4:$Q$9)</f>
        <v>100-199</v>
      </c>
      <c r="Q1700" t="str">
        <f>LOOKUP(F1700,Sheet2!$S$4:$T$8)</f>
        <v>26-30</v>
      </c>
      <c r="R1700" t="str">
        <f>LOOKUP(G1700,Sheet2!$V$4:$W$7)</f>
        <v>0.25 - 0.39</v>
      </c>
      <c r="S1700" t="str">
        <f>LOOKUP(H1700,Sheet2!$Z$4:$AA$7)</f>
        <v>&lt;=25</v>
      </c>
      <c r="T1700" t="str">
        <f t="shared" si="78"/>
        <v>Negative</v>
      </c>
      <c r="U1700" t="str">
        <f t="shared" si="79"/>
        <v>Negative</v>
      </c>
      <c r="V1700" s="1" t="str">
        <f t="shared" si="80"/>
        <v>Accurate Prediction</v>
      </c>
    </row>
    <row r="1701" spans="1:22" x14ac:dyDescent="0.25">
      <c r="A1701" s="1">
        <v>3</v>
      </c>
      <c r="B1701" s="1">
        <v>174</v>
      </c>
      <c r="C1701" s="1">
        <v>58</v>
      </c>
      <c r="D1701" s="1">
        <v>22</v>
      </c>
      <c r="E1701" s="1">
        <v>194</v>
      </c>
      <c r="F1701" s="1">
        <v>32.9</v>
      </c>
      <c r="G1701" s="1">
        <v>0.59299999999999997</v>
      </c>
      <c r="H1701" s="1">
        <v>36</v>
      </c>
      <c r="I1701" s="1">
        <v>1</v>
      </c>
      <c r="J1701" s="1">
        <f>IFERROR(VLOOKUP(K1701,[1]diabetes_Recognition!$A:$B,2,FALSE),"Not Sampled")</f>
        <v>1</v>
      </c>
      <c r="K1701" s="1">
        <v>1699</v>
      </c>
      <c r="L1701" s="1" t="str">
        <f>LOOKUP(A1701,Sheet2!$D$4:$E$9)</f>
        <v>3-4</v>
      </c>
      <c r="M1701" t="str">
        <f>LOOKUP(B1701,Sheet2!$G$4:$H$9)</f>
        <v>151-175</v>
      </c>
      <c r="N1701" t="str">
        <f>LOOKUP(C1701,Sheet2!$J$4:$K$8)</f>
        <v>1-59</v>
      </c>
      <c r="O1701" t="str">
        <f>LOOKUP(D1701,Sheet2!$M$4:$N$8)</f>
        <v>10-30</v>
      </c>
      <c r="P1701" t="str">
        <f>LOOKUP(E1701,Sheet2!$P$4:$Q$9)</f>
        <v>100-199</v>
      </c>
      <c r="Q1701" t="str">
        <f>LOOKUP(F1701,Sheet2!$S$4:$T$8)</f>
        <v>31-35</v>
      </c>
      <c r="R1701" t="str">
        <f>LOOKUP(G1701,Sheet2!$V$4:$W$7)</f>
        <v>0.4 - 0.69</v>
      </c>
      <c r="S1701" t="str">
        <f>LOOKUP(H1701,Sheet2!$Z$4:$AA$7)</f>
        <v>36-45</v>
      </c>
      <c r="T1701" t="str">
        <f t="shared" si="78"/>
        <v>Positive</v>
      </c>
      <c r="U1701" t="str">
        <f t="shared" si="79"/>
        <v>Positive</v>
      </c>
      <c r="V1701" s="1" t="str">
        <f t="shared" si="80"/>
        <v>Accurate Prediction</v>
      </c>
    </row>
    <row r="1702" spans="1:22" x14ac:dyDescent="0.25">
      <c r="A1702" s="1">
        <v>7</v>
      </c>
      <c r="B1702" s="1">
        <v>168</v>
      </c>
      <c r="C1702" s="1">
        <v>88</v>
      </c>
      <c r="D1702" s="1">
        <v>42</v>
      </c>
      <c r="E1702" s="1">
        <v>321</v>
      </c>
      <c r="F1702" s="1">
        <v>38.200000000000003</v>
      </c>
      <c r="G1702" s="1">
        <v>0.78700000000000003</v>
      </c>
      <c r="H1702" s="1">
        <v>40</v>
      </c>
      <c r="I1702" s="1">
        <v>1</v>
      </c>
      <c r="J1702" s="1" t="str">
        <f>IFERROR(VLOOKUP(K1702,[1]diabetes_Recognition!$A:$B,2,FALSE),"Not Sampled")</f>
        <v>Not Sampled</v>
      </c>
      <c r="K1702" s="1">
        <v>1700</v>
      </c>
      <c r="L1702" s="1" t="str">
        <f>LOOKUP(A1702,Sheet2!$D$4:$E$9)</f>
        <v>5-7</v>
      </c>
      <c r="M1702" t="str">
        <f>LOOKUP(B1702,Sheet2!$G$4:$H$9)</f>
        <v>151-175</v>
      </c>
      <c r="N1702" t="str">
        <f>LOOKUP(C1702,Sheet2!$J$4:$K$8)</f>
        <v>80+</v>
      </c>
      <c r="O1702" t="str">
        <f>LOOKUP(D1702,Sheet2!$M$4:$N$8)</f>
        <v>40+</v>
      </c>
      <c r="P1702" t="str">
        <f>LOOKUP(E1702,Sheet2!$P$4:$Q$9)</f>
        <v>300-499</v>
      </c>
      <c r="Q1702" t="str">
        <f>LOOKUP(F1702,Sheet2!$S$4:$T$8)</f>
        <v>36+</v>
      </c>
      <c r="R1702" t="str">
        <f>LOOKUP(G1702,Sheet2!$V$4:$W$7)</f>
        <v>0.7+</v>
      </c>
      <c r="S1702" t="str">
        <f>LOOKUP(H1702,Sheet2!$Z$4:$AA$7)</f>
        <v>36-45</v>
      </c>
      <c r="T1702" t="str">
        <f t="shared" si="78"/>
        <v>Positive</v>
      </c>
      <c r="U1702" t="str">
        <f t="shared" si="79"/>
        <v>Not Sampled</v>
      </c>
      <c r="V1702" s="1" t="str">
        <f t="shared" si="80"/>
        <v>Not Sampled</v>
      </c>
    </row>
    <row r="1703" spans="1:22" x14ac:dyDescent="0.25">
      <c r="A1703" s="1">
        <v>6</v>
      </c>
      <c r="B1703" s="1">
        <v>105</v>
      </c>
      <c r="C1703" s="1">
        <v>80</v>
      </c>
      <c r="D1703" s="1">
        <v>28</v>
      </c>
      <c r="E1703" s="1">
        <v>0</v>
      </c>
      <c r="F1703" s="1">
        <v>32.5</v>
      </c>
      <c r="G1703" s="1">
        <v>0.878</v>
      </c>
      <c r="H1703" s="1">
        <v>26</v>
      </c>
      <c r="I1703" s="1">
        <v>0</v>
      </c>
      <c r="J1703" s="1">
        <f>IFERROR(VLOOKUP(K1703,[1]diabetes_Recognition!$A:$B,2,FALSE),"Not Sampled")</f>
        <v>0</v>
      </c>
      <c r="K1703" s="1">
        <v>1701</v>
      </c>
      <c r="L1703" s="1" t="str">
        <f>LOOKUP(A1703,Sheet2!$D$4:$E$9)</f>
        <v>5-7</v>
      </c>
      <c r="M1703" t="str">
        <f>LOOKUP(B1703,Sheet2!$G$4:$H$9)</f>
        <v>100-125</v>
      </c>
      <c r="N1703" t="str">
        <f>LOOKUP(C1703,Sheet2!$J$4:$K$8)</f>
        <v>80+</v>
      </c>
      <c r="O1703" t="str">
        <f>LOOKUP(D1703,Sheet2!$M$4:$N$8)</f>
        <v>10-30</v>
      </c>
      <c r="P1703" t="str">
        <f>LOOKUP(E1703,Sheet2!$P$4:$Q$9)</f>
        <v>Unknown</v>
      </c>
      <c r="Q1703" t="str">
        <f>LOOKUP(F1703,Sheet2!$S$4:$T$8)</f>
        <v>31-35</v>
      </c>
      <c r="R1703" t="str">
        <f>LOOKUP(G1703,Sheet2!$V$4:$W$7)</f>
        <v>0.7+</v>
      </c>
      <c r="S1703" t="str">
        <f>LOOKUP(H1703,Sheet2!$Z$4:$AA$7)</f>
        <v>26-35</v>
      </c>
      <c r="T1703" t="str">
        <f t="shared" si="78"/>
        <v>Negative</v>
      </c>
      <c r="U1703" t="str">
        <f t="shared" si="79"/>
        <v>Negative</v>
      </c>
      <c r="V1703" s="1" t="str">
        <f t="shared" si="80"/>
        <v>Accurate Prediction</v>
      </c>
    </row>
    <row r="1704" spans="1:22" x14ac:dyDescent="0.25">
      <c r="A1704" s="1">
        <v>11</v>
      </c>
      <c r="B1704" s="1">
        <v>138</v>
      </c>
      <c r="C1704" s="1">
        <v>74</v>
      </c>
      <c r="D1704" s="1">
        <v>26</v>
      </c>
      <c r="E1704" s="1">
        <v>144</v>
      </c>
      <c r="F1704" s="1">
        <v>36.1</v>
      </c>
      <c r="G1704" s="1">
        <v>0.55700000000000005</v>
      </c>
      <c r="H1704" s="1">
        <v>50</v>
      </c>
      <c r="I1704" s="1">
        <v>1</v>
      </c>
      <c r="J1704" s="1" t="str">
        <f>IFERROR(VLOOKUP(K1704,[1]diabetes_Recognition!$A:$B,2,FALSE),"Not Sampled")</f>
        <v>Not Sampled</v>
      </c>
      <c r="K1704" s="1">
        <v>1702</v>
      </c>
      <c r="L1704" s="1" t="str">
        <f>LOOKUP(A1704,Sheet2!$D$4:$E$9)</f>
        <v>8+</v>
      </c>
      <c r="M1704" t="str">
        <f>LOOKUP(B1704,Sheet2!$G$4:$H$9)</f>
        <v>126-150</v>
      </c>
      <c r="N1704" t="str">
        <f>LOOKUP(C1704,Sheet2!$J$4:$K$8)</f>
        <v>70-79</v>
      </c>
      <c r="O1704" t="str">
        <f>LOOKUP(D1704,Sheet2!$M$4:$N$8)</f>
        <v>10-30</v>
      </c>
      <c r="P1704" t="str">
        <f>LOOKUP(E1704,Sheet2!$P$4:$Q$9)</f>
        <v>100-199</v>
      </c>
      <c r="Q1704" t="str">
        <f>LOOKUP(F1704,Sheet2!$S$4:$T$8)</f>
        <v>36+</v>
      </c>
      <c r="R1704" t="str">
        <f>LOOKUP(G1704,Sheet2!$V$4:$W$7)</f>
        <v>0.4 - 0.69</v>
      </c>
      <c r="S1704" t="str">
        <f>LOOKUP(H1704,Sheet2!$Z$4:$AA$7)</f>
        <v>46+</v>
      </c>
      <c r="T1704" t="str">
        <f t="shared" si="78"/>
        <v>Positive</v>
      </c>
      <c r="U1704" t="str">
        <f t="shared" si="79"/>
        <v>Not Sampled</v>
      </c>
      <c r="V1704" s="1" t="str">
        <f t="shared" si="80"/>
        <v>Not Sampled</v>
      </c>
    </row>
    <row r="1705" spans="1:22" x14ac:dyDescent="0.25">
      <c r="A1705" s="1">
        <v>3</v>
      </c>
      <c r="B1705" s="1">
        <v>106</v>
      </c>
      <c r="C1705" s="1">
        <v>72</v>
      </c>
      <c r="D1705" s="1">
        <v>0</v>
      </c>
      <c r="E1705" s="1">
        <v>0</v>
      </c>
      <c r="F1705" s="1">
        <v>25.8</v>
      </c>
      <c r="G1705" s="1">
        <v>0.20699999999999999</v>
      </c>
      <c r="H1705" s="1">
        <v>27</v>
      </c>
      <c r="I1705" s="1">
        <v>0</v>
      </c>
      <c r="J1705" s="1" t="str">
        <f>IFERROR(VLOOKUP(K1705,[1]diabetes_Recognition!$A:$B,2,FALSE),"Not Sampled")</f>
        <v>Not Sampled</v>
      </c>
      <c r="K1705" s="1">
        <v>1703</v>
      </c>
      <c r="L1705" s="1" t="str">
        <f>LOOKUP(A1705,Sheet2!$D$4:$E$9)</f>
        <v>3-4</v>
      </c>
      <c r="M1705" t="str">
        <f>LOOKUP(B1705,Sheet2!$G$4:$H$9)</f>
        <v>100-125</v>
      </c>
      <c r="N1705" t="str">
        <f>LOOKUP(C1705,Sheet2!$J$4:$K$8)</f>
        <v>70-79</v>
      </c>
      <c r="O1705" t="str">
        <f>LOOKUP(D1705,Sheet2!$M$4:$N$8)</f>
        <v>Unknown</v>
      </c>
      <c r="P1705" t="str">
        <f>LOOKUP(E1705,Sheet2!$P$4:$Q$9)</f>
        <v>Unknown</v>
      </c>
      <c r="Q1705" t="str">
        <f>LOOKUP(F1705,Sheet2!$S$4:$T$8)</f>
        <v>1-25</v>
      </c>
      <c r="R1705" t="str">
        <f>LOOKUP(G1705,Sheet2!$V$4:$W$7)</f>
        <v>0.0 - 0.249</v>
      </c>
      <c r="S1705" t="str">
        <f>LOOKUP(H1705,Sheet2!$Z$4:$AA$7)</f>
        <v>26-35</v>
      </c>
      <c r="T1705" t="str">
        <f t="shared" si="78"/>
        <v>Negative</v>
      </c>
      <c r="U1705" t="str">
        <f t="shared" si="79"/>
        <v>Not Sampled</v>
      </c>
      <c r="V1705" s="1" t="str">
        <f t="shared" si="80"/>
        <v>Not Sampled</v>
      </c>
    </row>
    <row r="1706" spans="1:22" x14ac:dyDescent="0.25">
      <c r="A1706" s="1">
        <v>6</v>
      </c>
      <c r="B1706" s="1">
        <v>117</v>
      </c>
      <c r="C1706" s="1">
        <v>96</v>
      </c>
      <c r="D1706" s="1">
        <v>0</v>
      </c>
      <c r="E1706" s="1">
        <v>0</v>
      </c>
      <c r="F1706" s="1">
        <v>28.7</v>
      </c>
      <c r="G1706" s="1">
        <v>0.157</v>
      </c>
      <c r="H1706" s="1">
        <v>30</v>
      </c>
      <c r="I1706" s="1">
        <v>0</v>
      </c>
      <c r="J1706" s="1" t="str">
        <f>IFERROR(VLOOKUP(K1706,[1]diabetes_Recognition!$A:$B,2,FALSE),"Not Sampled")</f>
        <v>Not Sampled</v>
      </c>
      <c r="K1706" s="1">
        <v>1704</v>
      </c>
      <c r="L1706" s="1" t="str">
        <f>LOOKUP(A1706,Sheet2!$D$4:$E$9)</f>
        <v>5-7</v>
      </c>
      <c r="M1706" t="str">
        <f>LOOKUP(B1706,Sheet2!$G$4:$H$9)</f>
        <v>100-125</v>
      </c>
      <c r="N1706" t="str">
        <f>LOOKUP(C1706,Sheet2!$J$4:$K$8)</f>
        <v>80+</v>
      </c>
      <c r="O1706" t="str">
        <f>LOOKUP(D1706,Sheet2!$M$4:$N$8)</f>
        <v>Unknown</v>
      </c>
      <c r="P1706" t="str">
        <f>LOOKUP(E1706,Sheet2!$P$4:$Q$9)</f>
        <v>Unknown</v>
      </c>
      <c r="Q1706" t="str">
        <f>LOOKUP(F1706,Sheet2!$S$4:$T$8)</f>
        <v>26-30</v>
      </c>
      <c r="R1706" t="str">
        <f>LOOKUP(G1706,Sheet2!$V$4:$W$7)</f>
        <v>0.0 - 0.249</v>
      </c>
      <c r="S1706" t="str">
        <f>LOOKUP(H1706,Sheet2!$Z$4:$AA$7)</f>
        <v>26-35</v>
      </c>
      <c r="T1706" t="str">
        <f t="shared" si="78"/>
        <v>Negative</v>
      </c>
      <c r="U1706" t="str">
        <f t="shared" si="79"/>
        <v>Not Sampled</v>
      </c>
      <c r="V1706" s="1" t="str">
        <f t="shared" si="80"/>
        <v>Not Sampled</v>
      </c>
    </row>
    <row r="1707" spans="1:22" x14ac:dyDescent="0.25">
      <c r="A1707" s="1">
        <v>2</v>
      </c>
      <c r="B1707" s="1">
        <v>68</v>
      </c>
      <c r="C1707" s="1">
        <v>62</v>
      </c>
      <c r="D1707" s="1">
        <v>13</v>
      </c>
      <c r="E1707" s="1">
        <v>15</v>
      </c>
      <c r="F1707" s="1">
        <v>20.100000000000001</v>
      </c>
      <c r="G1707" s="1">
        <v>0.25700000000000001</v>
      </c>
      <c r="H1707" s="1">
        <v>23</v>
      </c>
      <c r="I1707" s="1">
        <v>0</v>
      </c>
      <c r="J1707" s="1">
        <f>IFERROR(VLOOKUP(K1707,[1]diabetes_Recognition!$A:$B,2,FALSE),"Not Sampled")</f>
        <v>0</v>
      </c>
      <c r="K1707" s="1">
        <v>1705</v>
      </c>
      <c r="L1707" s="1">
        <f>LOOKUP(A1707,Sheet2!$D$4:$E$9)</f>
        <v>2</v>
      </c>
      <c r="M1707" t="str">
        <f>LOOKUP(B1707,Sheet2!$G$4:$H$9)</f>
        <v>1-99</v>
      </c>
      <c r="N1707" t="str">
        <f>LOOKUP(C1707,Sheet2!$J$4:$K$8)</f>
        <v>60-69</v>
      </c>
      <c r="O1707" t="str">
        <f>LOOKUP(D1707,Sheet2!$M$4:$N$8)</f>
        <v>10-30</v>
      </c>
      <c r="P1707" t="str">
        <f>LOOKUP(E1707,Sheet2!$P$4:$Q$9)</f>
        <v>1-99</v>
      </c>
      <c r="Q1707" t="str">
        <f>LOOKUP(F1707,Sheet2!$S$4:$T$8)</f>
        <v>1-25</v>
      </c>
      <c r="R1707" t="str">
        <f>LOOKUP(G1707,Sheet2!$V$4:$W$7)</f>
        <v>0.25 - 0.39</v>
      </c>
      <c r="S1707" t="str">
        <f>LOOKUP(H1707,Sheet2!$Z$4:$AA$7)</f>
        <v>&lt;=25</v>
      </c>
      <c r="T1707" t="str">
        <f t="shared" si="78"/>
        <v>Negative</v>
      </c>
      <c r="U1707" t="str">
        <f t="shared" si="79"/>
        <v>Negative</v>
      </c>
      <c r="V1707" s="1" t="str">
        <f t="shared" si="80"/>
        <v>Accurate Prediction</v>
      </c>
    </row>
    <row r="1708" spans="1:22" x14ac:dyDescent="0.25">
      <c r="A1708" s="1">
        <v>9</v>
      </c>
      <c r="B1708" s="1">
        <v>112</v>
      </c>
      <c r="C1708" s="1">
        <v>82</v>
      </c>
      <c r="D1708" s="1">
        <v>24</v>
      </c>
      <c r="E1708" s="1">
        <v>0</v>
      </c>
      <c r="F1708" s="1">
        <v>28.2</v>
      </c>
      <c r="G1708" s="1">
        <v>1.282</v>
      </c>
      <c r="H1708" s="1">
        <v>50</v>
      </c>
      <c r="I1708" s="1">
        <v>1</v>
      </c>
      <c r="J1708" s="1">
        <f>IFERROR(VLOOKUP(K1708,[1]diabetes_Recognition!$A:$B,2,FALSE),"Not Sampled")</f>
        <v>1</v>
      </c>
      <c r="K1708" s="1">
        <v>1706</v>
      </c>
      <c r="L1708" s="1" t="str">
        <f>LOOKUP(A1708,Sheet2!$D$4:$E$9)</f>
        <v>8+</v>
      </c>
      <c r="M1708" t="str">
        <f>LOOKUP(B1708,Sheet2!$G$4:$H$9)</f>
        <v>100-125</v>
      </c>
      <c r="N1708" t="str">
        <f>LOOKUP(C1708,Sheet2!$J$4:$K$8)</f>
        <v>80+</v>
      </c>
      <c r="O1708" t="str">
        <f>LOOKUP(D1708,Sheet2!$M$4:$N$8)</f>
        <v>10-30</v>
      </c>
      <c r="P1708" t="str">
        <f>LOOKUP(E1708,Sheet2!$P$4:$Q$9)</f>
        <v>Unknown</v>
      </c>
      <c r="Q1708" t="str">
        <f>LOOKUP(F1708,Sheet2!$S$4:$T$8)</f>
        <v>26-30</v>
      </c>
      <c r="R1708" t="str">
        <f>LOOKUP(G1708,Sheet2!$V$4:$W$7)</f>
        <v>0.7+</v>
      </c>
      <c r="S1708" t="str">
        <f>LOOKUP(H1708,Sheet2!$Z$4:$AA$7)</f>
        <v>46+</v>
      </c>
      <c r="T1708" t="str">
        <f t="shared" si="78"/>
        <v>Positive</v>
      </c>
      <c r="U1708" t="str">
        <f t="shared" si="79"/>
        <v>Positive</v>
      </c>
      <c r="V1708" s="1" t="str">
        <f t="shared" si="80"/>
        <v>Accurate Prediction</v>
      </c>
    </row>
    <row r="1709" spans="1:22" x14ac:dyDescent="0.25">
      <c r="A1709" s="1">
        <v>0</v>
      </c>
      <c r="B1709" s="1">
        <v>119</v>
      </c>
      <c r="C1709" s="1">
        <v>0</v>
      </c>
      <c r="D1709" s="1">
        <v>0</v>
      </c>
      <c r="E1709" s="1">
        <v>0</v>
      </c>
      <c r="F1709" s="1">
        <v>32.4</v>
      </c>
      <c r="G1709" s="1">
        <v>0.14099999999999999</v>
      </c>
      <c r="H1709" s="1">
        <v>24</v>
      </c>
      <c r="I1709" s="1">
        <v>1</v>
      </c>
      <c r="J1709" s="1" t="str">
        <f>IFERROR(VLOOKUP(K1709,[1]diabetes_Recognition!$A:$B,2,FALSE),"Not Sampled")</f>
        <v>Not Sampled</v>
      </c>
      <c r="K1709" s="1">
        <v>1707</v>
      </c>
      <c r="L1709" s="1">
        <f>LOOKUP(A1709,Sheet2!$D$4:$E$9)</f>
        <v>0</v>
      </c>
      <c r="M1709" t="str">
        <f>LOOKUP(B1709,Sheet2!$G$4:$H$9)</f>
        <v>100-125</v>
      </c>
      <c r="N1709" t="str">
        <f>LOOKUP(C1709,Sheet2!$J$4:$K$8)</f>
        <v>Unknown</v>
      </c>
      <c r="O1709" t="str">
        <f>LOOKUP(D1709,Sheet2!$M$4:$N$8)</f>
        <v>Unknown</v>
      </c>
      <c r="P1709" t="str">
        <f>LOOKUP(E1709,Sheet2!$P$4:$Q$9)</f>
        <v>Unknown</v>
      </c>
      <c r="Q1709" t="str">
        <f>LOOKUP(F1709,Sheet2!$S$4:$T$8)</f>
        <v>31-35</v>
      </c>
      <c r="R1709" t="str">
        <f>LOOKUP(G1709,Sheet2!$V$4:$W$7)</f>
        <v>0.0 - 0.249</v>
      </c>
      <c r="S1709" t="str">
        <f>LOOKUP(H1709,Sheet2!$Z$4:$AA$7)</f>
        <v>&lt;=25</v>
      </c>
      <c r="T1709" t="str">
        <f t="shared" si="78"/>
        <v>Positive</v>
      </c>
      <c r="U1709" t="str">
        <f t="shared" si="79"/>
        <v>Not Sampled</v>
      </c>
      <c r="V1709" s="1" t="str">
        <f t="shared" si="80"/>
        <v>Not Sampled</v>
      </c>
    </row>
    <row r="1710" spans="1:22" x14ac:dyDescent="0.25">
      <c r="A1710" s="1">
        <v>2</v>
      </c>
      <c r="B1710" s="1">
        <v>112</v>
      </c>
      <c r="C1710" s="1">
        <v>86</v>
      </c>
      <c r="D1710" s="1">
        <v>42</v>
      </c>
      <c r="E1710" s="1">
        <v>160</v>
      </c>
      <c r="F1710" s="1">
        <v>38.4</v>
      </c>
      <c r="G1710" s="1">
        <v>0.246</v>
      </c>
      <c r="H1710" s="1">
        <v>28</v>
      </c>
      <c r="I1710" s="1">
        <v>0</v>
      </c>
      <c r="J1710" s="1" t="str">
        <f>IFERROR(VLOOKUP(K1710,[1]diabetes_Recognition!$A:$B,2,FALSE),"Not Sampled")</f>
        <v>Not Sampled</v>
      </c>
      <c r="K1710" s="1">
        <v>1708</v>
      </c>
      <c r="L1710" s="1">
        <f>LOOKUP(A1710,Sheet2!$D$4:$E$9)</f>
        <v>2</v>
      </c>
      <c r="M1710" t="str">
        <f>LOOKUP(B1710,Sheet2!$G$4:$H$9)</f>
        <v>100-125</v>
      </c>
      <c r="N1710" t="str">
        <f>LOOKUP(C1710,Sheet2!$J$4:$K$8)</f>
        <v>80+</v>
      </c>
      <c r="O1710" t="str">
        <f>LOOKUP(D1710,Sheet2!$M$4:$N$8)</f>
        <v>40+</v>
      </c>
      <c r="P1710" t="str">
        <f>LOOKUP(E1710,Sheet2!$P$4:$Q$9)</f>
        <v>100-199</v>
      </c>
      <c r="Q1710" t="str">
        <f>LOOKUP(F1710,Sheet2!$S$4:$T$8)</f>
        <v>36+</v>
      </c>
      <c r="R1710" t="str">
        <f>LOOKUP(G1710,Sheet2!$V$4:$W$7)</f>
        <v>0.0 - 0.249</v>
      </c>
      <c r="S1710" t="str">
        <f>LOOKUP(H1710,Sheet2!$Z$4:$AA$7)</f>
        <v>26-35</v>
      </c>
      <c r="T1710" t="str">
        <f t="shared" si="78"/>
        <v>Negative</v>
      </c>
      <c r="U1710" t="str">
        <f t="shared" si="79"/>
        <v>Not Sampled</v>
      </c>
      <c r="V1710" s="1" t="str">
        <f t="shared" si="80"/>
        <v>Not Sampled</v>
      </c>
    </row>
    <row r="1711" spans="1:22" x14ac:dyDescent="0.25">
      <c r="A1711" s="1">
        <v>2</v>
      </c>
      <c r="B1711" s="1">
        <v>92</v>
      </c>
      <c r="C1711" s="1">
        <v>76</v>
      </c>
      <c r="D1711" s="1">
        <v>20</v>
      </c>
      <c r="E1711" s="1">
        <v>0</v>
      </c>
      <c r="F1711" s="1">
        <v>24.2</v>
      </c>
      <c r="G1711" s="1">
        <v>1.698</v>
      </c>
      <c r="H1711" s="1">
        <v>28</v>
      </c>
      <c r="I1711" s="1">
        <v>0</v>
      </c>
      <c r="J1711" s="1" t="str">
        <f>IFERROR(VLOOKUP(K1711,[1]diabetes_Recognition!$A:$B,2,FALSE),"Not Sampled")</f>
        <v>Not Sampled</v>
      </c>
      <c r="K1711" s="1">
        <v>1709</v>
      </c>
      <c r="L1711" s="1">
        <f>LOOKUP(A1711,Sheet2!$D$4:$E$9)</f>
        <v>2</v>
      </c>
      <c r="M1711" t="str">
        <f>LOOKUP(B1711,Sheet2!$G$4:$H$9)</f>
        <v>1-99</v>
      </c>
      <c r="N1711" t="str">
        <f>LOOKUP(C1711,Sheet2!$J$4:$K$8)</f>
        <v>70-79</v>
      </c>
      <c r="O1711" t="str">
        <f>LOOKUP(D1711,Sheet2!$M$4:$N$8)</f>
        <v>10-30</v>
      </c>
      <c r="P1711" t="str">
        <f>LOOKUP(E1711,Sheet2!$P$4:$Q$9)</f>
        <v>Unknown</v>
      </c>
      <c r="Q1711" t="str">
        <f>LOOKUP(F1711,Sheet2!$S$4:$T$8)</f>
        <v>1-25</v>
      </c>
      <c r="R1711" t="str">
        <f>LOOKUP(G1711,Sheet2!$V$4:$W$7)</f>
        <v>0.7+</v>
      </c>
      <c r="S1711" t="str">
        <f>LOOKUP(H1711,Sheet2!$Z$4:$AA$7)</f>
        <v>26-35</v>
      </c>
      <c r="T1711" t="str">
        <f t="shared" si="78"/>
        <v>Negative</v>
      </c>
      <c r="U1711" t="str">
        <f t="shared" si="79"/>
        <v>Not Sampled</v>
      </c>
      <c r="V1711" s="1" t="str">
        <f t="shared" si="80"/>
        <v>Not Sampled</v>
      </c>
    </row>
    <row r="1712" spans="1:22" x14ac:dyDescent="0.25">
      <c r="A1712" s="1">
        <v>6</v>
      </c>
      <c r="B1712" s="1">
        <v>183</v>
      </c>
      <c r="C1712" s="1">
        <v>94</v>
      </c>
      <c r="D1712" s="1">
        <v>0</v>
      </c>
      <c r="E1712" s="1">
        <v>0</v>
      </c>
      <c r="F1712" s="1">
        <v>40.799999999999997</v>
      </c>
      <c r="G1712" s="1">
        <v>1.4610000000000001</v>
      </c>
      <c r="H1712" s="1">
        <v>45</v>
      </c>
      <c r="I1712" s="1">
        <v>0</v>
      </c>
      <c r="J1712" s="1" t="str">
        <f>IFERROR(VLOOKUP(K1712,[1]diabetes_Recognition!$A:$B,2,FALSE),"Not Sampled")</f>
        <v>Not Sampled</v>
      </c>
      <c r="K1712" s="1">
        <v>1710</v>
      </c>
      <c r="L1712" s="1" t="str">
        <f>LOOKUP(A1712,Sheet2!$D$4:$E$9)</f>
        <v>5-7</v>
      </c>
      <c r="M1712" t="str">
        <f>LOOKUP(B1712,Sheet2!$G$4:$H$9)</f>
        <v>176-200</v>
      </c>
      <c r="N1712" t="str">
        <f>LOOKUP(C1712,Sheet2!$J$4:$K$8)</f>
        <v>80+</v>
      </c>
      <c r="O1712" t="str">
        <f>LOOKUP(D1712,Sheet2!$M$4:$N$8)</f>
        <v>Unknown</v>
      </c>
      <c r="P1712" t="str">
        <f>LOOKUP(E1712,Sheet2!$P$4:$Q$9)</f>
        <v>Unknown</v>
      </c>
      <c r="Q1712" t="str">
        <f>LOOKUP(F1712,Sheet2!$S$4:$T$8)</f>
        <v>36+</v>
      </c>
      <c r="R1712" t="str">
        <f>LOOKUP(G1712,Sheet2!$V$4:$W$7)</f>
        <v>0.7+</v>
      </c>
      <c r="S1712" t="str">
        <f>LOOKUP(H1712,Sheet2!$Z$4:$AA$7)</f>
        <v>36-45</v>
      </c>
      <c r="T1712" t="str">
        <f t="shared" si="78"/>
        <v>Negative</v>
      </c>
      <c r="U1712" t="str">
        <f t="shared" si="79"/>
        <v>Not Sampled</v>
      </c>
      <c r="V1712" s="1" t="str">
        <f t="shared" si="80"/>
        <v>Not Sampled</v>
      </c>
    </row>
    <row r="1713" spans="1:22" x14ac:dyDescent="0.25">
      <c r="A1713" s="1">
        <v>0</v>
      </c>
      <c r="B1713" s="1">
        <v>94</v>
      </c>
      <c r="C1713" s="1">
        <v>70</v>
      </c>
      <c r="D1713" s="1">
        <v>27</v>
      </c>
      <c r="E1713" s="1">
        <v>115</v>
      </c>
      <c r="F1713" s="1">
        <v>43.5</v>
      </c>
      <c r="G1713" s="1">
        <v>0.34699999999999998</v>
      </c>
      <c r="H1713" s="1">
        <v>21</v>
      </c>
      <c r="I1713" s="1">
        <v>0</v>
      </c>
      <c r="J1713" s="1" t="str">
        <f>IFERROR(VLOOKUP(K1713,[1]diabetes_Recognition!$A:$B,2,FALSE),"Not Sampled")</f>
        <v>Not Sampled</v>
      </c>
      <c r="K1713" s="1">
        <v>1711</v>
      </c>
      <c r="L1713" s="1">
        <f>LOOKUP(A1713,Sheet2!$D$4:$E$9)</f>
        <v>0</v>
      </c>
      <c r="M1713" t="str">
        <f>LOOKUP(B1713,Sheet2!$G$4:$H$9)</f>
        <v>1-99</v>
      </c>
      <c r="N1713" t="str">
        <f>LOOKUP(C1713,Sheet2!$J$4:$K$8)</f>
        <v>70-79</v>
      </c>
      <c r="O1713" t="str">
        <f>LOOKUP(D1713,Sheet2!$M$4:$N$8)</f>
        <v>10-30</v>
      </c>
      <c r="P1713" t="str">
        <f>LOOKUP(E1713,Sheet2!$P$4:$Q$9)</f>
        <v>100-199</v>
      </c>
      <c r="Q1713" t="str">
        <f>LOOKUP(F1713,Sheet2!$S$4:$T$8)</f>
        <v>36+</v>
      </c>
      <c r="R1713" t="str">
        <f>LOOKUP(G1713,Sheet2!$V$4:$W$7)</f>
        <v>0.25 - 0.39</v>
      </c>
      <c r="S1713" t="str">
        <f>LOOKUP(H1713,Sheet2!$Z$4:$AA$7)</f>
        <v>&lt;=25</v>
      </c>
      <c r="T1713" t="str">
        <f t="shared" si="78"/>
        <v>Negative</v>
      </c>
      <c r="U1713" t="str">
        <f t="shared" si="79"/>
        <v>Not Sampled</v>
      </c>
      <c r="V1713" s="1" t="str">
        <f t="shared" si="80"/>
        <v>Not Sampled</v>
      </c>
    </row>
    <row r="1714" spans="1:22" x14ac:dyDescent="0.25">
      <c r="A1714" s="1">
        <v>2</v>
      </c>
      <c r="B1714" s="1">
        <v>108</v>
      </c>
      <c r="C1714" s="1">
        <v>64</v>
      </c>
      <c r="D1714" s="1">
        <v>0</v>
      </c>
      <c r="E1714" s="1">
        <v>0</v>
      </c>
      <c r="F1714" s="1">
        <v>30.8</v>
      </c>
      <c r="G1714" s="1">
        <v>0.158</v>
      </c>
      <c r="H1714" s="1">
        <v>21</v>
      </c>
      <c r="I1714" s="1">
        <v>0</v>
      </c>
      <c r="J1714" s="1">
        <f>IFERROR(VLOOKUP(K1714,[1]diabetes_Recognition!$A:$B,2,FALSE),"Not Sampled")</f>
        <v>0</v>
      </c>
      <c r="K1714" s="1">
        <v>1712</v>
      </c>
      <c r="L1714" s="1">
        <f>LOOKUP(A1714,Sheet2!$D$4:$E$9)</f>
        <v>2</v>
      </c>
      <c r="M1714" t="str">
        <f>LOOKUP(B1714,Sheet2!$G$4:$H$9)</f>
        <v>100-125</v>
      </c>
      <c r="N1714" t="str">
        <f>LOOKUP(C1714,Sheet2!$J$4:$K$8)</f>
        <v>60-69</v>
      </c>
      <c r="O1714" t="str">
        <f>LOOKUP(D1714,Sheet2!$M$4:$N$8)</f>
        <v>Unknown</v>
      </c>
      <c r="P1714" t="str">
        <f>LOOKUP(E1714,Sheet2!$P$4:$Q$9)</f>
        <v>Unknown</v>
      </c>
      <c r="Q1714" t="str">
        <f>LOOKUP(F1714,Sheet2!$S$4:$T$8)</f>
        <v>26-30</v>
      </c>
      <c r="R1714" t="str">
        <f>LOOKUP(G1714,Sheet2!$V$4:$W$7)</f>
        <v>0.0 - 0.249</v>
      </c>
      <c r="S1714" t="str">
        <f>LOOKUP(H1714,Sheet2!$Z$4:$AA$7)</f>
        <v>&lt;=25</v>
      </c>
      <c r="T1714" t="str">
        <f t="shared" si="78"/>
        <v>Negative</v>
      </c>
      <c r="U1714" t="str">
        <f t="shared" si="79"/>
        <v>Negative</v>
      </c>
      <c r="V1714" s="1" t="str">
        <f t="shared" si="80"/>
        <v>Accurate Prediction</v>
      </c>
    </row>
    <row r="1715" spans="1:22" x14ac:dyDescent="0.25">
      <c r="A1715" s="1">
        <v>4</v>
      </c>
      <c r="B1715" s="1">
        <v>90</v>
      </c>
      <c r="C1715" s="1">
        <v>88</v>
      </c>
      <c r="D1715" s="1">
        <v>47</v>
      </c>
      <c r="E1715" s="1">
        <v>54</v>
      </c>
      <c r="F1715" s="1">
        <v>37.700000000000003</v>
      </c>
      <c r="G1715" s="1">
        <v>0.36199999999999999</v>
      </c>
      <c r="H1715" s="1">
        <v>29</v>
      </c>
      <c r="I1715" s="1">
        <v>0</v>
      </c>
      <c r="J1715" s="1" t="str">
        <f>IFERROR(VLOOKUP(K1715,[1]diabetes_Recognition!$A:$B,2,FALSE),"Not Sampled")</f>
        <v>Not Sampled</v>
      </c>
      <c r="K1715" s="1">
        <v>1713</v>
      </c>
      <c r="L1715" s="1" t="str">
        <f>LOOKUP(A1715,Sheet2!$D$4:$E$9)</f>
        <v>3-4</v>
      </c>
      <c r="M1715" t="str">
        <f>LOOKUP(B1715,Sheet2!$G$4:$H$9)</f>
        <v>1-99</v>
      </c>
      <c r="N1715" t="str">
        <f>LOOKUP(C1715,Sheet2!$J$4:$K$8)</f>
        <v>80+</v>
      </c>
      <c r="O1715" t="str">
        <f>LOOKUP(D1715,Sheet2!$M$4:$N$8)</f>
        <v>40+</v>
      </c>
      <c r="P1715" t="str">
        <f>LOOKUP(E1715,Sheet2!$P$4:$Q$9)</f>
        <v>1-99</v>
      </c>
      <c r="Q1715" t="str">
        <f>LOOKUP(F1715,Sheet2!$S$4:$T$8)</f>
        <v>36+</v>
      </c>
      <c r="R1715" t="str">
        <f>LOOKUP(G1715,Sheet2!$V$4:$W$7)</f>
        <v>0.25 - 0.39</v>
      </c>
      <c r="S1715" t="str">
        <f>LOOKUP(H1715,Sheet2!$Z$4:$AA$7)</f>
        <v>26-35</v>
      </c>
      <c r="T1715" t="str">
        <f t="shared" si="78"/>
        <v>Negative</v>
      </c>
      <c r="U1715" t="str">
        <f t="shared" si="79"/>
        <v>Not Sampled</v>
      </c>
      <c r="V1715" s="1" t="str">
        <f t="shared" si="80"/>
        <v>Not Sampled</v>
      </c>
    </row>
    <row r="1716" spans="1:22" x14ac:dyDescent="0.25">
      <c r="A1716" s="1">
        <v>0</v>
      </c>
      <c r="B1716" s="1">
        <v>125</v>
      </c>
      <c r="C1716" s="1">
        <v>68</v>
      </c>
      <c r="D1716" s="1">
        <v>0</v>
      </c>
      <c r="E1716" s="1">
        <v>0</v>
      </c>
      <c r="F1716" s="1">
        <v>24.7</v>
      </c>
      <c r="G1716" s="1">
        <v>0.20599999999999999</v>
      </c>
      <c r="H1716" s="1">
        <v>21</v>
      </c>
      <c r="I1716" s="1">
        <v>0</v>
      </c>
      <c r="J1716" s="1" t="str">
        <f>IFERROR(VLOOKUP(K1716,[1]diabetes_Recognition!$A:$B,2,FALSE),"Not Sampled")</f>
        <v>Not Sampled</v>
      </c>
      <c r="K1716" s="1">
        <v>1714</v>
      </c>
      <c r="L1716" s="1">
        <f>LOOKUP(A1716,Sheet2!$D$4:$E$9)</f>
        <v>0</v>
      </c>
      <c r="M1716" t="str">
        <f>LOOKUP(B1716,Sheet2!$G$4:$H$9)</f>
        <v>100-125</v>
      </c>
      <c r="N1716" t="str">
        <f>LOOKUP(C1716,Sheet2!$J$4:$K$8)</f>
        <v>60-69</v>
      </c>
      <c r="O1716" t="str">
        <f>LOOKUP(D1716,Sheet2!$M$4:$N$8)</f>
        <v>Unknown</v>
      </c>
      <c r="P1716" t="str">
        <f>LOOKUP(E1716,Sheet2!$P$4:$Q$9)</f>
        <v>Unknown</v>
      </c>
      <c r="Q1716" t="str">
        <f>LOOKUP(F1716,Sheet2!$S$4:$T$8)</f>
        <v>1-25</v>
      </c>
      <c r="R1716" t="str">
        <f>LOOKUP(G1716,Sheet2!$V$4:$W$7)</f>
        <v>0.0 - 0.249</v>
      </c>
      <c r="S1716" t="str">
        <f>LOOKUP(H1716,Sheet2!$Z$4:$AA$7)</f>
        <v>&lt;=25</v>
      </c>
      <c r="T1716" t="str">
        <f t="shared" si="78"/>
        <v>Negative</v>
      </c>
      <c r="U1716" t="str">
        <f t="shared" si="79"/>
        <v>Not Sampled</v>
      </c>
      <c r="V1716" s="1" t="str">
        <f t="shared" si="80"/>
        <v>Not Sampled</v>
      </c>
    </row>
    <row r="1717" spans="1:22" x14ac:dyDescent="0.25">
      <c r="A1717" s="1">
        <v>0</v>
      </c>
      <c r="B1717" s="1">
        <v>132</v>
      </c>
      <c r="C1717" s="1">
        <v>78</v>
      </c>
      <c r="D1717" s="1">
        <v>0</v>
      </c>
      <c r="E1717" s="1">
        <v>0</v>
      </c>
      <c r="F1717" s="1">
        <v>32.4</v>
      </c>
      <c r="G1717" s="1">
        <v>0.39300000000000002</v>
      </c>
      <c r="H1717" s="1">
        <v>21</v>
      </c>
      <c r="I1717" s="1">
        <v>0</v>
      </c>
      <c r="J1717" s="1" t="str">
        <f>IFERROR(VLOOKUP(K1717,[1]diabetes_Recognition!$A:$B,2,FALSE),"Not Sampled")</f>
        <v>Not Sampled</v>
      </c>
      <c r="K1717" s="1">
        <v>1715</v>
      </c>
      <c r="L1717" s="1">
        <f>LOOKUP(A1717,Sheet2!$D$4:$E$9)</f>
        <v>0</v>
      </c>
      <c r="M1717" t="str">
        <f>LOOKUP(B1717,Sheet2!$G$4:$H$9)</f>
        <v>126-150</v>
      </c>
      <c r="N1717" t="str">
        <f>LOOKUP(C1717,Sheet2!$J$4:$K$8)</f>
        <v>70-79</v>
      </c>
      <c r="O1717" t="str">
        <f>LOOKUP(D1717,Sheet2!$M$4:$N$8)</f>
        <v>Unknown</v>
      </c>
      <c r="P1717" t="str">
        <f>LOOKUP(E1717,Sheet2!$P$4:$Q$9)</f>
        <v>Unknown</v>
      </c>
      <c r="Q1717" t="str">
        <f>LOOKUP(F1717,Sheet2!$S$4:$T$8)</f>
        <v>31-35</v>
      </c>
      <c r="R1717" t="str">
        <f>LOOKUP(G1717,Sheet2!$V$4:$W$7)</f>
        <v>0.25 - 0.39</v>
      </c>
      <c r="S1717" t="str">
        <f>LOOKUP(H1717,Sheet2!$Z$4:$AA$7)</f>
        <v>&lt;=25</v>
      </c>
      <c r="T1717" t="str">
        <f t="shared" si="78"/>
        <v>Negative</v>
      </c>
      <c r="U1717" t="str">
        <f t="shared" si="79"/>
        <v>Not Sampled</v>
      </c>
      <c r="V1717" s="1" t="str">
        <f t="shared" si="80"/>
        <v>Not Sampled</v>
      </c>
    </row>
    <row r="1718" spans="1:22" x14ac:dyDescent="0.25">
      <c r="A1718" s="1">
        <v>5</v>
      </c>
      <c r="B1718" s="1">
        <v>128</v>
      </c>
      <c r="C1718" s="1">
        <v>80</v>
      </c>
      <c r="D1718" s="1">
        <v>0</v>
      </c>
      <c r="E1718" s="1">
        <v>0</v>
      </c>
      <c r="F1718" s="1">
        <v>34.6</v>
      </c>
      <c r="G1718" s="1">
        <v>0.14399999999999999</v>
      </c>
      <c r="H1718" s="1">
        <v>45</v>
      </c>
      <c r="I1718" s="1">
        <v>0</v>
      </c>
      <c r="J1718" s="1" t="str">
        <f>IFERROR(VLOOKUP(K1718,[1]diabetes_Recognition!$A:$B,2,FALSE),"Not Sampled")</f>
        <v>Not Sampled</v>
      </c>
      <c r="K1718" s="1">
        <v>1716</v>
      </c>
      <c r="L1718" s="1" t="str">
        <f>LOOKUP(A1718,Sheet2!$D$4:$E$9)</f>
        <v>5-7</v>
      </c>
      <c r="M1718" t="str">
        <f>LOOKUP(B1718,Sheet2!$G$4:$H$9)</f>
        <v>126-150</v>
      </c>
      <c r="N1718" t="str">
        <f>LOOKUP(C1718,Sheet2!$J$4:$K$8)</f>
        <v>80+</v>
      </c>
      <c r="O1718" t="str">
        <f>LOOKUP(D1718,Sheet2!$M$4:$N$8)</f>
        <v>Unknown</v>
      </c>
      <c r="P1718" t="str">
        <f>LOOKUP(E1718,Sheet2!$P$4:$Q$9)</f>
        <v>Unknown</v>
      </c>
      <c r="Q1718" t="str">
        <f>LOOKUP(F1718,Sheet2!$S$4:$T$8)</f>
        <v>31-35</v>
      </c>
      <c r="R1718" t="str">
        <f>LOOKUP(G1718,Sheet2!$V$4:$W$7)</f>
        <v>0.0 - 0.249</v>
      </c>
      <c r="S1718" t="str">
        <f>LOOKUP(H1718,Sheet2!$Z$4:$AA$7)</f>
        <v>36-45</v>
      </c>
      <c r="T1718" t="str">
        <f t="shared" si="78"/>
        <v>Negative</v>
      </c>
      <c r="U1718" t="str">
        <f t="shared" si="79"/>
        <v>Not Sampled</v>
      </c>
      <c r="V1718" s="1" t="str">
        <f t="shared" si="80"/>
        <v>Not Sampled</v>
      </c>
    </row>
    <row r="1719" spans="1:22" x14ac:dyDescent="0.25">
      <c r="A1719" s="1">
        <v>4</v>
      </c>
      <c r="B1719" s="1">
        <v>94</v>
      </c>
      <c r="C1719" s="1">
        <v>65</v>
      </c>
      <c r="D1719" s="1">
        <v>22</v>
      </c>
      <c r="E1719" s="1">
        <v>0</v>
      </c>
      <c r="F1719" s="1">
        <v>24.7</v>
      </c>
      <c r="G1719" s="1">
        <v>0.14799999999999999</v>
      </c>
      <c r="H1719" s="1">
        <v>21</v>
      </c>
      <c r="I1719" s="1">
        <v>0</v>
      </c>
      <c r="J1719" s="1" t="str">
        <f>IFERROR(VLOOKUP(K1719,[1]diabetes_Recognition!$A:$B,2,FALSE),"Not Sampled")</f>
        <v>Not Sampled</v>
      </c>
      <c r="K1719" s="1">
        <v>1717</v>
      </c>
      <c r="L1719" s="1" t="str">
        <f>LOOKUP(A1719,Sheet2!$D$4:$E$9)</f>
        <v>3-4</v>
      </c>
      <c r="M1719" t="str">
        <f>LOOKUP(B1719,Sheet2!$G$4:$H$9)</f>
        <v>1-99</v>
      </c>
      <c r="N1719" t="str">
        <f>LOOKUP(C1719,Sheet2!$J$4:$K$8)</f>
        <v>60-69</v>
      </c>
      <c r="O1719" t="str">
        <f>LOOKUP(D1719,Sheet2!$M$4:$N$8)</f>
        <v>10-30</v>
      </c>
      <c r="P1719" t="str">
        <f>LOOKUP(E1719,Sheet2!$P$4:$Q$9)</f>
        <v>Unknown</v>
      </c>
      <c r="Q1719" t="str">
        <f>LOOKUP(F1719,Sheet2!$S$4:$T$8)</f>
        <v>1-25</v>
      </c>
      <c r="R1719" t="str">
        <f>LOOKUP(G1719,Sheet2!$V$4:$W$7)</f>
        <v>0.0 - 0.249</v>
      </c>
      <c r="S1719" t="str">
        <f>LOOKUP(H1719,Sheet2!$Z$4:$AA$7)</f>
        <v>&lt;=25</v>
      </c>
      <c r="T1719" t="str">
        <f t="shared" si="78"/>
        <v>Negative</v>
      </c>
      <c r="U1719" t="str">
        <f t="shared" si="79"/>
        <v>Not Sampled</v>
      </c>
      <c r="V1719" s="1" t="str">
        <f t="shared" si="80"/>
        <v>Not Sampled</v>
      </c>
    </row>
    <row r="1720" spans="1:22" x14ac:dyDescent="0.25">
      <c r="A1720" s="1">
        <v>7</v>
      </c>
      <c r="B1720" s="1">
        <v>114</v>
      </c>
      <c r="C1720" s="1">
        <v>64</v>
      </c>
      <c r="D1720" s="1">
        <v>0</v>
      </c>
      <c r="E1720" s="1">
        <v>0</v>
      </c>
      <c r="F1720" s="1">
        <v>27.4</v>
      </c>
      <c r="G1720" s="1">
        <v>0.73199999999999998</v>
      </c>
      <c r="H1720" s="1">
        <v>34</v>
      </c>
      <c r="I1720" s="1">
        <v>1</v>
      </c>
      <c r="J1720" s="1" t="str">
        <f>IFERROR(VLOOKUP(K1720,[1]diabetes_Recognition!$A:$B,2,FALSE),"Not Sampled")</f>
        <v>Not Sampled</v>
      </c>
      <c r="K1720" s="1">
        <v>1718</v>
      </c>
      <c r="L1720" s="1" t="str">
        <f>LOOKUP(A1720,Sheet2!$D$4:$E$9)</f>
        <v>5-7</v>
      </c>
      <c r="M1720" t="str">
        <f>LOOKUP(B1720,Sheet2!$G$4:$H$9)</f>
        <v>100-125</v>
      </c>
      <c r="N1720" t="str">
        <f>LOOKUP(C1720,Sheet2!$J$4:$K$8)</f>
        <v>60-69</v>
      </c>
      <c r="O1720" t="str">
        <f>LOOKUP(D1720,Sheet2!$M$4:$N$8)</f>
        <v>Unknown</v>
      </c>
      <c r="P1720" t="str">
        <f>LOOKUP(E1720,Sheet2!$P$4:$Q$9)</f>
        <v>Unknown</v>
      </c>
      <c r="Q1720" t="str">
        <f>LOOKUP(F1720,Sheet2!$S$4:$T$8)</f>
        <v>26-30</v>
      </c>
      <c r="R1720" t="str">
        <f>LOOKUP(G1720,Sheet2!$V$4:$W$7)</f>
        <v>0.7+</v>
      </c>
      <c r="S1720" t="str">
        <f>LOOKUP(H1720,Sheet2!$Z$4:$AA$7)</f>
        <v>26-35</v>
      </c>
      <c r="T1720" t="str">
        <f t="shared" si="78"/>
        <v>Positive</v>
      </c>
      <c r="U1720" t="str">
        <f t="shared" si="79"/>
        <v>Not Sampled</v>
      </c>
      <c r="V1720" s="1" t="str">
        <f t="shared" si="80"/>
        <v>Not Sampled</v>
      </c>
    </row>
    <row r="1721" spans="1:22" x14ac:dyDescent="0.25">
      <c r="A1721" s="1">
        <v>0</v>
      </c>
      <c r="B1721" s="1">
        <v>102</v>
      </c>
      <c r="C1721" s="1">
        <v>78</v>
      </c>
      <c r="D1721" s="1">
        <v>40</v>
      </c>
      <c r="E1721" s="1">
        <v>90</v>
      </c>
      <c r="F1721" s="1">
        <v>34.5</v>
      </c>
      <c r="G1721" s="1">
        <v>0.23799999999999999</v>
      </c>
      <c r="H1721" s="1">
        <v>24</v>
      </c>
      <c r="I1721" s="1">
        <v>0</v>
      </c>
      <c r="J1721" s="1" t="str">
        <f>IFERROR(VLOOKUP(K1721,[1]diabetes_Recognition!$A:$B,2,FALSE),"Not Sampled")</f>
        <v>Not Sampled</v>
      </c>
      <c r="K1721" s="1">
        <v>1719</v>
      </c>
      <c r="L1721" s="1">
        <f>LOOKUP(A1721,Sheet2!$D$4:$E$9)</f>
        <v>0</v>
      </c>
      <c r="M1721" t="str">
        <f>LOOKUP(B1721,Sheet2!$G$4:$H$9)</f>
        <v>100-125</v>
      </c>
      <c r="N1721" t="str">
        <f>LOOKUP(C1721,Sheet2!$J$4:$K$8)</f>
        <v>70-79</v>
      </c>
      <c r="O1721" t="str">
        <f>LOOKUP(D1721,Sheet2!$M$4:$N$8)</f>
        <v>40+</v>
      </c>
      <c r="P1721" t="str">
        <f>LOOKUP(E1721,Sheet2!$P$4:$Q$9)</f>
        <v>1-99</v>
      </c>
      <c r="Q1721" t="str">
        <f>LOOKUP(F1721,Sheet2!$S$4:$T$8)</f>
        <v>31-35</v>
      </c>
      <c r="R1721" t="str">
        <f>LOOKUP(G1721,Sheet2!$V$4:$W$7)</f>
        <v>0.0 - 0.249</v>
      </c>
      <c r="S1721" t="str">
        <f>LOOKUP(H1721,Sheet2!$Z$4:$AA$7)</f>
        <v>&lt;=25</v>
      </c>
      <c r="T1721" t="str">
        <f t="shared" si="78"/>
        <v>Negative</v>
      </c>
      <c r="U1721" t="str">
        <f t="shared" si="79"/>
        <v>Not Sampled</v>
      </c>
      <c r="V1721" s="1" t="str">
        <f t="shared" si="80"/>
        <v>Not Sampled</v>
      </c>
    </row>
    <row r="1722" spans="1:22" x14ac:dyDescent="0.25">
      <c r="A1722" s="1">
        <v>2</v>
      </c>
      <c r="B1722" s="1">
        <v>111</v>
      </c>
      <c r="C1722" s="1">
        <v>60</v>
      </c>
      <c r="D1722" s="1">
        <v>0</v>
      </c>
      <c r="E1722" s="1">
        <v>0</v>
      </c>
      <c r="F1722" s="1">
        <v>26.2</v>
      </c>
      <c r="G1722" s="1">
        <v>0.34300000000000003</v>
      </c>
      <c r="H1722" s="1">
        <v>23</v>
      </c>
      <c r="I1722" s="1">
        <v>0</v>
      </c>
      <c r="J1722" s="1" t="str">
        <f>IFERROR(VLOOKUP(K1722,[1]diabetes_Recognition!$A:$B,2,FALSE),"Not Sampled")</f>
        <v>Not Sampled</v>
      </c>
      <c r="K1722" s="1">
        <v>1720</v>
      </c>
      <c r="L1722" s="1">
        <f>LOOKUP(A1722,Sheet2!$D$4:$E$9)</f>
        <v>2</v>
      </c>
      <c r="M1722" t="str">
        <f>LOOKUP(B1722,Sheet2!$G$4:$H$9)</f>
        <v>100-125</v>
      </c>
      <c r="N1722" t="str">
        <f>LOOKUP(C1722,Sheet2!$J$4:$K$8)</f>
        <v>60-69</v>
      </c>
      <c r="O1722" t="str">
        <f>LOOKUP(D1722,Sheet2!$M$4:$N$8)</f>
        <v>Unknown</v>
      </c>
      <c r="P1722" t="str">
        <f>LOOKUP(E1722,Sheet2!$P$4:$Q$9)</f>
        <v>Unknown</v>
      </c>
      <c r="Q1722" t="str">
        <f>LOOKUP(F1722,Sheet2!$S$4:$T$8)</f>
        <v>26-30</v>
      </c>
      <c r="R1722" t="str">
        <f>LOOKUP(G1722,Sheet2!$V$4:$W$7)</f>
        <v>0.25 - 0.39</v>
      </c>
      <c r="S1722" t="str">
        <f>LOOKUP(H1722,Sheet2!$Z$4:$AA$7)</f>
        <v>&lt;=25</v>
      </c>
      <c r="T1722" t="str">
        <f t="shared" si="78"/>
        <v>Negative</v>
      </c>
      <c r="U1722" t="str">
        <f t="shared" si="79"/>
        <v>Not Sampled</v>
      </c>
      <c r="V1722" s="1" t="str">
        <f t="shared" si="80"/>
        <v>Not Sampled</v>
      </c>
    </row>
    <row r="1723" spans="1:22" x14ac:dyDescent="0.25">
      <c r="A1723" s="1">
        <v>1</v>
      </c>
      <c r="B1723" s="1">
        <v>128</v>
      </c>
      <c r="C1723" s="1">
        <v>82</v>
      </c>
      <c r="D1723" s="1">
        <v>17</v>
      </c>
      <c r="E1723" s="1">
        <v>183</v>
      </c>
      <c r="F1723" s="1">
        <v>27.5</v>
      </c>
      <c r="G1723" s="1">
        <v>0.115</v>
      </c>
      <c r="H1723" s="1">
        <v>22</v>
      </c>
      <c r="I1723" s="1">
        <v>0</v>
      </c>
      <c r="J1723" s="1" t="str">
        <f>IFERROR(VLOOKUP(K1723,[1]diabetes_Recognition!$A:$B,2,FALSE),"Not Sampled")</f>
        <v>Not Sampled</v>
      </c>
      <c r="K1723" s="1">
        <v>1721</v>
      </c>
      <c r="L1723" s="1">
        <f>LOOKUP(A1723,Sheet2!$D$4:$E$9)</f>
        <v>1</v>
      </c>
      <c r="M1723" t="str">
        <f>LOOKUP(B1723,Sheet2!$G$4:$H$9)</f>
        <v>126-150</v>
      </c>
      <c r="N1723" t="str">
        <f>LOOKUP(C1723,Sheet2!$J$4:$K$8)</f>
        <v>80+</v>
      </c>
      <c r="O1723" t="str">
        <f>LOOKUP(D1723,Sheet2!$M$4:$N$8)</f>
        <v>10-30</v>
      </c>
      <c r="P1723" t="str">
        <f>LOOKUP(E1723,Sheet2!$P$4:$Q$9)</f>
        <v>100-199</v>
      </c>
      <c r="Q1723" t="str">
        <f>LOOKUP(F1723,Sheet2!$S$4:$T$8)</f>
        <v>26-30</v>
      </c>
      <c r="R1723" t="str">
        <f>LOOKUP(G1723,Sheet2!$V$4:$W$7)</f>
        <v>0.0 - 0.249</v>
      </c>
      <c r="S1723" t="str">
        <f>LOOKUP(H1723,Sheet2!$Z$4:$AA$7)</f>
        <v>&lt;=25</v>
      </c>
      <c r="T1723" t="str">
        <f t="shared" si="78"/>
        <v>Negative</v>
      </c>
      <c r="U1723" t="str">
        <f t="shared" si="79"/>
        <v>Not Sampled</v>
      </c>
      <c r="V1723" s="1" t="str">
        <f t="shared" si="80"/>
        <v>Not Sampled</v>
      </c>
    </row>
    <row r="1724" spans="1:22" x14ac:dyDescent="0.25">
      <c r="A1724" s="1">
        <v>10</v>
      </c>
      <c r="B1724" s="1">
        <v>92</v>
      </c>
      <c r="C1724" s="1">
        <v>62</v>
      </c>
      <c r="D1724" s="1">
        <v>0</v>
      </c>
      <c r="E1724" s="1">
        <v>0</v>
      </c>
      <c r="F1724" s="1">
        <v>25.9</v>
      </c>
      <c r="G1724" s="1">
        <v>0.16700000000000001</v>
      </c>
      <c r="H1724" s="1">
        <v>31</v>
      </c>
      <c r="I1724" s="1">
        <v>0</v>
      </c>
      <c r="J1724" s="1" t="str">
        <f>IFERROR(VLOOKUP(K1724,[1]diabetes_Recognition!$A:$B,2,FALSE),"Not Sampled")</f>
        <v>Not Sampled</v>
      </c>
      <c r="K1724" s="1">
        <v>1722</v>
      </c>
      <c r="L1724" s="1" t="str">
        <f>LOOKUP(A1724,Sheet2!$D$4:$E$9)</f>
        <v>8+</v>
      </c>
      <c r="M1724" t="str">
        <f>LOOKUP(B1724,Sheet2!$G$4:$H$9)</f>
        <v>1-99</v>
      </c>
      <c r="N1724" t="str">
        <f>LOOKUP(C1724,Sheet2!$J$4:$K$8)</f>
        <v>60-69</v>
      </c>
      <c r="O1724" t="str">
        <f>LOOKUP(D1724,Sheet2!$M$4:$N$8)</f>
        <v>Unknown</v>
      </c>
      <c r="P1724" t="str">
        <f>LOOKUP(E1724,Sheet2!$P$4:$Q$9)</f>
        <v>Unknown</v>
      </c>
      <c r="Q1724" t="str">
        <f>LOOKUP(F1724,Sheet2!$S$4:$T$8)</f>
        <v>1-25</v>
      </c>
      <c r="R1724" t="str">
        <f>LOOKUP(G1724,Sheet2!$V$4:$W$7)</f>
        <v>0.0 - 0.249</v>
      </c>
      <c r="S1724" t="str">
        <f>LOOKUP(H1724,Sheet2!$Z$4:$AA$7)</f>
        <v>26-35</v>
      </c>
      <c r="T1724" t="str">
        <f t="shared" si="78"/>
        <v>Negative</v>
      </c>
      <c r="U1724" t="str">
        <f t="shared" si="79"/>
        <v>Not Sampled</v>
      </c>
      <c r="V1724" s="1" t="str">
        <f t="shared" si="80"/>
        <v>Not Sampled</v>
      </c>
    </row>
    <row r="1725" spans="1:22" x14ac:dyDescent="0.25">
      <c r="A1725" s="1">
        <v>13</v>
      </c>
      <c r="B1725" s="1">
        <v>104</v>
      </c>
      <c r="C1725" s="1">
        <v>72</v>
      </c>
      <c r="D1725" s="1">
        <v>0</v>
      </c>
      <c r="E1725" s="1">
        <v>0</v>
      </c>
      <c r="F1725" s="1">
        <v>31.2</v>
      </c>
      <c r="G1725" s="1">
        <v>0.46500000000000002</v>
      </c>
      <c r="H1725" s="1">
        <v>38</v>
      </c>
      <c r="I1725" s="1">
        <v>1</v>
      </c>
      <c r="J1725" s="1" t="str">
        <f>IFERROR(VLOOKUP(K1725,[1]diabetes_Recognition!$A:$B,2,FALSE),"Not Sampled")</f>
        <v>Not Sampled</v>
      </c>
      <c r="K1725" s="1">
        <v>1723</v>
      </c>
      <c r="L1725" s="1" t="str">
        <f>LOOKUP(A1725,Sheet2!$D$4:$E$9)</f>
        <v>8+</v>
      </c>
      <c r="M1725" t="str">
        <f>LOOKUP(B1725,Sheet2!$G$4:$H$9)</f>
        <v>100-125</v>
      </c>
      <c r="N1725" t="str">
        <f>LOOKUP(C1725,Sheet2!$J$4:$K$8)</f>
        <v>70-79</v>
      </c>
      <c r="O1725" t="str">
        <f>LOOKUP(D1725,Sheet2!$M$4:$N$8)</f>
        <v>Unknown</v>
      </c>
      <c r="P1725" t="str">
        <f>LOOKUP(E1725,Sheet2!$P$4:$Q$9)</f>
        <v>Unknown</v>
      </c>
      <c r="Q1725" t="str">
        <f>LOOKUP(F1725,Sheet2!$S$4:$T$8)</f>
        <v>31-35</v>
      </c>
      <c r="R1725" t="str">
        <f>LOOKUP(G1725,Sheet2!$V$4:$W$7)</f>
        <v>0.4 - 0.69</v>
      </c>
      <c r="S1725" t="str">
        <f>LOOKUP(H1725,Sheet2!$Z$4:$AA$7)</f>
        <v>36-45</v>
      </c>
      <c r="T1725" t="str">
        <f t="shared" si="78"/>
        <v>Positive</v>
      </c>
      <c r="U1725" t="str">
        <f t="shared" si="79"/>
        <v>Not Sampled</v>
      </c>
      <c r="V1725" s="1" t="str">
        <f t="shared" si="80"/>
        <v>Not Sampled</v>
      </c>
    </row>
    <row r="1726" spans="1:22" x14ac:dyDescent="0.25">
      <c r="A1726" s="1">
        <v>5</v>
      </c>
      <c r="B1726" s="1">
        <v>104</v>
      </c>
      <c r="C1726" s="1">
        <v>74</v>
      </c>
      <c r="D1726" s="1">
        <v>0</v>
      </c>
      <c r="E1726" s="1">
        <v>0</v>
      </c>
      <c r="F1726" s="1">
        <v>28.8</v>
      </c>
      <c r="G1726" s="1">
        <v>0.153</v>
      </c>
      <c r="H1726" s="1">
        <v>48</v>
      </c>
      <c r="I1726" s="1">
        <v>0</v>
      </c>
      <c r="J1726" s="1" t="str">
        <f>IFERROR(VLOOKUP(K1726,[1]diabetes_Recognition!$A:$B,2,FALSE),"Not Sampled")</f>
        <v>Not Sampled</v>
      </c>
      <c r="K1726" s="1">
        <v>1724</v>
      </c>
      <c r="L1726" s="1" t="str">
        <f>LOOKUP(A1726,Sheet2!$D$4:$E$9)</f>
        <v>5-7</v>
      </c>
      <c r="M1726" t="str">
        <f>LOOKUP(B1726,Sheet2!$G$4:$H$9)</f>
        <v>100-125</v>
      </c>
      <c r="N1726" t="str">
        <f>LOOKUP(C1726,Sheet2!$J$4:$K$8)</f>
        <v>70-79</v>
      </c>
      <c r="O1726" t="str">
        <f>LOOKUP(D1726,Sheet2!$M$4:$N$8)</f>
        <v>Unknown</v>
      </c>
      <c r="P1726" t="str">
        <f>LOOKUP(E1726,Sheet2!$P$4:$Q$9)</f>
        <v>Unknown</v>
      </c>
      <c r="Q1726" t="str">
        <f>LOOKUP(F1726,Sheet2!$S$4:$T$8)</f>
        <v>26-30</v>
      </c>
      <c r="R1726" t="str">
        <f>LOOKUP(G1726,Sheet2!$V$4:$W$7)</f>
        <v>0.0 - 0.249</v>
      </c>
      <c r="S1726" t="str">
        <f>LOOKUP(H1726,Sheet2!$Z$4:$AA$7)</f>
        <v>46+</v>
      </c>
      <c r="T1726" t="str">
        <f t="shared" si="78"/>
        <v>Negative</v>
      </c>
      <c r="U1726" t="str">
        <f t="shared" si="79"/>
        <v>Not Sampled</v>
      </c>
      <c r="V1726" s="1" t="str">
        <f t="shared" si="80"/>
        <v>Not Sampled</v>
      </c>
    </row>
    <row r="1727" spans="1:22" x14ac:dyDescent="0.25">
      <c r="A1727" s="1">
        <v>2</v>
      </c>
      <c r="B1727" s="1">
        <v>94</v>
      </c>
      <c r="C1727" s="1">
        <v>76</v>
      </c>
      <c r="D1727" s="1">
        <v>18</v>
      </c>
      <c r="E1727" s="1">
        <v>66</v>
      </c>
      <c r="F1727" s="1">
        <v>31.6</v>
      </c>
      <c r="G1727" s="1">
        <v>0.64900000000000002</v>
      </c>
      <c r="H1727" s="1">
        <v>23</v>
      </c>
      <c r="I1727" s="1">
        <v>0</v>
      </c>
      <c r="J1727" s="1" t="str">
        <f>IFERROR(VLOOKUP(K1727,[1]diabetes_Recognition!$A:$B,2,FALSE),"Not Sampled")</f>
        <v>Not Sampled</v>
      </c>
      <c r="K1727" s="1">
        <v>1725</v>
      </c>
      <c r="L1727" s="1">
        <f>LOOKUP(A1727,Sheet2!$D$4:$E$9)</f>
        <v>2</v>
      </c>
      <c r="M1727" t="str">
        <f>LOOKUP(B1727,Sheet2!$G$4:$H$9)</f>
        <v>1-99</v>
      </c>
      <c r="N1727" t="str">
        <f>LOOKUP(C1727,Sheet2!$J$4:$K$8)</f>
        <v>70-79</v>
      </c>
      <c r="O1727" t="str">
        <f>LOOKUP(D1727,Sheet2!$M$4:$N$8)</f>
        <v>10-30</v>
      </c>
      <c r="P1727" t="str">
        <f>LOOKUP(E1727,Sheet2!$P$4:$Q$9)</f>
        <v>1-99</v>
      </c>
      <c r="Q1727" t="str">
        <f>LOOKUP(F1727,Sheet2!$S$4:$T$8)</f>
        <v>31-35</v>
      </c>
      <c r="R1727" t="str">
        <f>LOOKUP(G1727,Sheet2!$V$4:$W$7)</f>
        <v>0.4 - 0.69</v>
      </c>
      <c r="S1727" t="str">
        <f>LOOKUP(H1727,Sheet2!$Z$4:$AA$7)</f>
        <v>&lt;=25</v>
      </c>
      <c r="T1727" t="str">
        <f t="shared" si="78"/>
        <v>Negative</v>
      </c>
      <c r="U1727" t="str">
        <f t="shared" si="79"/>
        <v>Not Sampled</v>
      </c>
      <c r="V1727" s="1" t="str">
        <f t="shared" si="80"/>
        <v>Not Sampled</v>
      </c>
    </row>
    <row r="1728" spans="1:22" x14ac:dyDescent="0.25">
      <c r="A1728" s="1">
        <v>7</v>
      </c>
      <c r="B1728" s="1">
        <v>97</v>
      </c>
      <c r="C1728" s="1">
        <v>76</v>
      </c>
      <c r="D1728" s="1">
        <v>32</v>
      </c>
      <c r="E1728" s="1">
        <v>91</v>
      </c>
      <c r="F1728" s="1">
        <v>40.9</v>
      </c>
      <c r="G1728" s="1">
        <v>0.871</v>
      </c>
      <c r="H1728" s="1">
        <v>32</v>
      </c>
      <c r="I1728" s="1">
        <v>1</v>
      </c>
      <c r="J1728" s="1" t="str">
        <f>IFERROR(VLOOKUP(K1728,[1]diabetes_Recognition!$A:$B,2,FALSE),"Not Sampled")</f>
        <v>Not Sampled</v>
      </c>
      <c r="K1728" s="1">
        <v>1726</v>
      </c>
      <c r="L1728" s="1" t="str">
        <f>LOOKUP(A1728,Sheet2!$D$4:$E$9)</f>
        <v>5-7</v>
      </c>
      <c r="M1728" t="str">
        <f>LOOKUP(B1728,Sheet2!$G$4:$H$9)</f>
        <v>1-99</v>
      </c>
      <c r="N1728" t="str">
        <f>LOOKUP(C1728,Sheet2!$J$4:$K$8)</f>
        <v>70-79</v>
      </c>
      <c r="O1728" t="str">
        <f>LOOKUP(D1728,Sheet2!$M$4:$N$8)</f>
        <v>30-39</v>
      </c>
      <c r="P1728" t="str">
        <f>LOOKUP(E1728,Sheet2!$P$4:$Q$9)</f>
        <v>1-99</v>
      </c>
      <c r="Q1728" t="str">
        <f>LOOKUP(F1728,Sheet2!$S$4:$T$8)</f>
        <v>36+</v>
      </c>
      <c r="R1728" t="str">
        <f>LOOKUP(G1728,Sheet2!$V$4:$W$7)</f>
        <v>0.7+</v>
      </c>
      <c r="S1728" t="str">
        <f>LOOKUP(H1728,Sheet2!$Z$4:$AA$7)</f>
        <v>26-35</v>
      </c>
      <c r="T1728" t="str">
        <f t="shared" si="78"/>
        <v>Positive</v>
      </c>
      <c r="U1728" t="str">
        <f t="shared" si="79"/>
        <v>Not Sampled</v>
      </c>
      <c r="V1728" s="1" t="str">
        <f t="shared" si="80"/>
        <v>Not Sampled</v>
      </c>
    </row>
    <row r="1729" spans="1:22" x14ac:dyDescent="0.25">
      <c r="A1729" s="1">
        <v>1</v>
      </c>
      <c r="B1729" s="1">
        <v>100</v>
      </c>
      <c r="C1729" s="1">
        <v>74</v>
      </c>
      <c r="D1729" s="1">
        <v>12</v>
      </c>
      <c r="E1729" s="1">
        <v>46</v>
      </c>
      <c r="F1729" s="1">
        <v>19.5</v>
      </c>
      <c r="G1729" s="1">
        <v>0.14899999999999999</v>
      </c>
      <c r="H1729" s="1">
        <v>28</v>
      </c>
      <c r="I1729" s="1">
        <v>0</v>
      </c>
      <c r="J1729" s="1" t="str">
        <f>IFERROR(VLOOKUP(K1729,[1]diabetes_Recognition!$A:$B,2,FALSE),"Not Sampled")</f>
        <v>Not Sampled</v>
      </c>
      <c r="K1729" s="1">
        <v>1727</v>
      </c>
      <c r="L1729" s="1">
        <f>LOOKUP(A1729,Sheet2!$D$4:$E$9)</f>
        <v>1</v>
      </c>
      <c r="M1729" t="str">
        <f>LOOKUP(B1729,Sheet2!$G$4:$H$9)</f>
        <v>100-125</v>
      </c>
      <c r="N1729" t="str">
        <f>LOOKUP(C1729,Sheet2!$J$4:$K$8)</f>
        <v>70-79</v>
      </c>
      <c r="O1729" t="str">
        <f>LOOKUP(D1729,Sheet2!$M$4:$N$8)</f>
        <v>10-30</v>
      </c>
      <c r="P1729" t="str">
        <f>LOOKUP(E1729,Sheet2!$P$4:$Q$9)</f>
        <v>1-99</v>
      </c>
      <c r="Q1729" t="str">
        <f>LOOKUP(F1729,Sheet2!$S$4:$T$8)</f>
        <v>1-25</v>
      </c>
      <c r="R1729" t="str">
        <f>LOOKUP(G1729,Sheet2!$V$4:$W$7)</f>
        <v>0.0 - 0.249</v>
      </c>
      <c r="S1729" t="str">
        <f>LOOKUP(H1729,Sheet2!$Z$4:$AA$7)</f>
        <v>26-35</v>
      </c>
      <c r="T1729" t="str">
        <f t="shared" si="78"/>
        <v>Negative</v>
      </c>
      <c r="U1729" t="str">
        <f t="shared" si="79"/>
        <v>Not Sampled</v>
      </c>
      <c r="V1729" s="1" t="str">
        <f t="shared" si="80"/>
        <v>Not Sampled</v>
      </c>
    </row>
    <row r="1730" spans="1:22" x14ac:dyDescent="0.25">
      <c r="A1730" s="1">
        <v>0</v>
      </c>
      <c r="B1730" s="1">
        <v>102</v>
      </c>
      <c r="C1730" s="1">
        <v>86</v>
      </c>
      <c r="D1730" s="1">
        <v>17</v>
      </c>
      <c r="E1730" s="1">
        <v>105</v>
      </c>
      <c r="F1730" s="1">
        <v>29.3</v>
      </c>
      <c r="G1730" s="1">
        <v>0.69499999999999995</v>
      </c>
      <c r="H1730" s="1">
        <v>27</v>
      </c>
      <c r="I1730" s="1">
        <v>0</v>
      </c>
      <c r="J1730" s="1">
        <f>IFERROR(VLOOKUP(K1730,[1]diabetes_Recognition!$A:$B,2,FALSE),"Not Sampled")</f>
        <v>0</v>
      </c>
      <c r="K1730" s="1">
        <v>1728</v>
      </c>
      <c r="L1730" s="1">
        <f>LOOKUP(A1730,Sheet2!$D$4:$E$9)</f>
        <v>0</v>
      </c>
      <c r="M1730" t="str">
        <f>LOOKUP(B1730,Sheet2!$G$4:$H$9)</f>
        <v>100-125</v>
      </c>
      <c r="N1730" t="str">
        <f>LOOKUP(C1730,Sheet2!$J$4:$K$8)</f>
        <v>80+</v>
      </c>
      <c r="O1730" t="str">
        <f>LOOKUP(D1730,Sheet2!$M$4:$N$8)</f>
        <v>10-30</v>
      </c>
      <c r="P1730" t="str">
        <f>LOOKUP(E1730,Sheet2!$P$4:$Q$9)</f>
        <v>100-199</v>
      </c>
      <c r="Q1730" t="str">
        <f>LOOKUP(F1730,Sheet2!$S$4:$T$8)</f>
        <v>26-30</v>
      </c>
      <c r="R1730" t="str">
        <f>LOOKUP(G1730,Sheet2!$V$4:$W$7)</f>
        <v>0.4 - 0.69</v>
      </c>
      <c r="S1730" t="str">
        <f>LOOKUP(H1730,Sheet2!$Z$4:$AA$7)</f>
        <v>26-35</v>
      </c>
      <c r="T1730" t="str">
        <f t="shared" si="78"/>
        <v>Negative</v>
      </c>
      <c r="U1730" t="str">
        <f t="shared" si="79"/>
        <v>Negative</v>
      </c>
      <c r="V1730" s="1" t="str">
        <f t="shared" si="80"/>
        <v>Accurate Prediction</v>
      </c>
    </row>
    <row r="1731" spans="1:22" x14ac:dyDescent="0.25">
      <c r="A1731" s="1">
        <v>4</v>
      </c>
      <c r="B1731" s="1">
        <v>128</v>
      </c>
      <c r="C1731" s="1">
        <v>70</v>
      </c>
      <c r="D1731" s="1">
        <v>0</v>
      </c>
      <c r="E1731" s="1">
        <v>0</v>
      </c>
      <c r="F1731" s="1">
        <v>34.299999999999997</v>
      </c>
      <c r="G1731" s="1">
        <v>0.30299999999999999</v>
      </c>
      <c r="H1731" s="1">
        <v>24</v>
      </c>
      <c r="I1731" s="1">
        <v>0</v>
      </c>
      <c r="J1731" s="1">
        <f>IFERROR(VLOOKUP(K1731,[1]diabetes_Recognition!$A:$B,2,FALSE),"Not Sampled")</f>
        <v>0</v>
      </c>
      <c r="K1731" s="1">
        <v>1729</v>
      </c>
      <c r="L1731" s="1" t="str">
        <f>LOOKUP(A1731,Sheet2!$D$4:$E$9)</f>
        <v>3-4</v>
      </c>
      <c r="M1731" t="str">
        <f>LOOKUP(B1731,Sheet2!$G$4:$H$9)</f>
        <v>126-150</v>
      </c>
      <c r="N1731" t="str">
        <f>LOOKUP(C1731,Sheet2!$J$4:$K$8)</f>
        <v>70-79</v>
      </c>
      <c r="O1731" t="str">
        <f>LOOKUP(D1731,Sheet2!$M$4:$N$8)</f>
        <v>Unknown</v>
      </c>
      <c r="P1731" t="str">
        <f>LOOKUP(E1731,Sheet2!$P$4:$Q$9)</f>
        <v>Unknown</v>
      </c>
      <c r="Q1731" t="str">
        <f>LOOKUP(F1731,Sheet2!$S$4:$T$8)</f>
        <v>31-35</v>
      </c>
      <c r="R1731" t="str">
        <f>LOOKUP(G1731,Sheet2!$V$4:$W$7)</f>
        <v>0.25 - 0.39</v>
      </c>
      <c r="S1731" t="str">
        <f>LOOKUP(H1731,Sheet2!$Z$4:$AA$7)</f>
        <v>&lt;=25</v>
      </c>
      <c r="T1731" t="str">
        <f t="shared" ref="T1731:T1794" si="81">IF(I1731=1,"Positive","Negative")</f>
        <v>Negative</v>
      </c>
      <c r="U1731" t="str">
        <f t="shared" ref="U1731:U1794" si="82">IF(J1731=1,"Positive",(IF(J1731=0,"Negative","Not Sampled")))</f>
        <v>Negative</v>
      </c>
      <c r="V1731" s="1" t="str">
        <f t="shared" ref="V1731:V1794" si="83">IF(U1731="Not Sampled","Not Sampled",IF(T1731=U1731,"Accurate Prediction","Inaccurate Prediction"))</f>
        <v>Accurate Prediction</v>
      </c>
    </row>
    <row r="1732" spans="1:22" x14ac:dyDescent="0.25">
      <c r="A1732" s="1">
        <v>6</v>
      </c>
      <c r="B1732" s="1">
        <v>147</v>
      </c>
      <c r="C1732" s="1">
        <v>80</v>
      </c>
      <c r="D1732" s="1">
        <v>0</v>
      </c>
      <c r="E1732" s="1">
        <v>0</v>
      </c>
      <c r="F1732" s="1">
        <v>29.5</v>
      </c>
      <c r="G1732" s="1">
        <v>0.17799999999999999</v>
      </c>
      <c r="H1732" s="1">
        <v>50</v>
      </c>
      <c r="I1732" s="1">
        <v>1</v>
      </c>
      <c r="J1732" s="1">
        <f>IFERROR(VLOOKUP(K1732,[1]diabetes_Recognition!$A:$B,2,FALSE),"Not Sampled")</f>
        <v>1</v>
      </c>
      <c r="K1732" s="1">
        <v>1730</v>
      </c>
      <c r="L1732" s="1" t="str">
        <f>LOOKUP(A1732,Sheet2!$D$4:$E$9)</f>
        <v>5-7</v>
      </c>
      <c r="M1732" t="str">
        <f>LOOKUP(B1732,Sheet2!$G$4:$H$9)</f>
        <v>126-150</v>
      </c>
      <c r="N1732" t="str">
        <f>LOOKUP(C1732,Sheet2!$J$4:$K$8)</f>
        <v>80+</v>
      </c>
      <c r="O1732" t="str">
        <f>LOOKUP(D1732,Sheet2!$M$4:$N$8)</f>
        <v>Unknown</v>
      </c>
      <c r="P1732" t="str">
        <f>LOOKUP(E1732,Sheet2!$P$4:$Q$9)</f>
        <v>Unknown</v>
      </c>
      <c r="Q1732" t="str">
        <f>LOOKUP(F1732,Sheet2!$S$4:$T$8)</f>
        <v>26-30</v>
      </c>
      <c r="R1732" t="str">
        <f>LOOKUP(G1732,Sheet2!$V$4:$W$7)</f>
        <v>0.0 - 0.249</v>
      </c>
      <c r="S1732" t="str">
        <f>LOOKUP(H1732,Sheet2!$Z$4:$AA$7)</f>
        <v>46+</v>
      </c>
      <c r="T1732" t="str">
        <f t="shared" si="81"/>
        <v>Positive</v>
      </c>
      <c r="U1732" t="str">
        <f t="shared" si="82"/>
        <v>Positive</v>
      </c>
      <c r="V1732" s="1" t="str">
        <f t="shared" si="83"/>
        <v>Accurate Prediction</v>
      </c>
    </row>
    <row r="1733" spans="1:22" x14ac:dyDescent="0.25">
      <c r="A1733" s="1">
        <v>4</v>
      </c>
      <c r="B1733" s="1">
        <v>90</v>
      </c>
      <c r="C1733" s="1">
        <v>0</v>
      </c>
      <c r="D1733" s="1">
        <v>0</v>
      </c>
      <c r="E1733" s="1">
        <v>0</v>
      </c>
      <c r="F1733" s="1">
        <v>28</v>
      </c>
      <c r="G1733" s="1">
        <v>0.61</v>
      </c>
      <c r="H1733" s="1">
        <v>31</v>
      </c>
      <c r="I1733" s="1">
        <v>0</v>
      </c>
      <c r="J1733" s="1" t="str">
        <f>IFERROR(VLOOKUP(K1733,[1]diabetes_Recognition!$A:$B,2,FALSE),"Not Sampled")</f>
        <v>Not Sampled</v>
      </c>
      <c r="K1733" s="1">
        <v>1731</v>
      </c>
      <c r="L1733" s="1" t="str">
        <f>LOOKUP(A1733,Sheet2!$D$4:$E$9)</f>
        <v>3-4</v>
      </c>
      <c r="M1733" t="str">
        <f>LOOKUP(B1733,Sheet2!$G$4:$H$9)</f>
        <v>1-99</v>
      </c>
      <c r="N1733" t="str">
        <f>LOOKUP(C1733,Sheet2!$J$4:$K$8)</f>
        <v>Unknown</v>
      </c>
      <c r="O1733" t="str">
        <f>LOOKUP(D1733,Sheet2!$M$4:$N$8)</f>
        <v>Unknown</v>
      </c>
      <c r="P1733" t="str">
        <f>LOOKUP(E1733,Sheet2!$P$4:$Q$9)</f>
        <v>Unknown</v>
      </c>
      <c r="Q1733" t="str">
        <f>LOOKUP(F1733,Sheet2!$S$4:$T$8)</f>
        <v>26-30</v>
      </c>
      <c r="R1733" t="str">
        <f>LOOKUP(G1733,Sheet2!$V$4:$W$7)</f>
        <v>0.4 - 0.69</v>
      </c>
      <c r="S1733" t="str">
        <f>LOOKUP(H1733,Sheet2!$Z$4:$AA$7)</f>
        <v>26-35</v>
      </c>
      <c r="T1733" t="str">
        <f t="shared" si="81"/>
        <v>Negative</v>
      </c>
      <c r="U1733" t="str">
        <f t="shared" si="82"/>
        <v>Not Sampled</v>
      </c>
      <c r="V1733" s="1" t="str">
        <f t="shared" si="83"/>
        <v>Not Sampled</v>
      </c>
    </row>
    <row r="1734" spans="1:22" x14ac:dyDescent="0.25">
      <c r="A1734" s="1">
        <v>3</v>
      </c>
      <c r="B1734" s="1">
        <v>103</v>
      </c>
      <c r="C1734" s="1">
        <v>72</v>
      </c>
      <c r="D1734" s="1">
        <v>30</v>
      </c>
      <c r="E1734" s="1">
        <v>152</v>
      </c>
      <c r="F1734" s="1">
        <v>27.6</v>
      </c>
      <c r="G1734" s="1">
        <v>0.73</v>
      </c>
      <c r="H1734" s="1">
        <v>27</v>
      </c>
      <c r="I1734" s="1">
        <v>0</v>
      </c>
      <c r="J1734" s="1" t="str">
        <f>IFERROR(VLOOKUP(K1734,[1]diabetes_Recognition!$A:$B,2,FALSE),"Not Sampled")</f>
        <v>Not Sampled</v>
      </c>
      <c r="K1734" s="1">
        <v>1732</v>
      </c>
      <c r="L1734" s="1" t="str">
        <f>LOOKUP(A1734,Sheet2!$D$4:$E$9)</f>
        <v>3-4</v>
      </c>
      <c r="M1734" t="str">
        <f>LOOKUP(B1734,Sheet2!$G$4:$H$9)</f>
        <v>100-125</v>
      </c>
      <c r="N1734" t="str">
        <f>LOOKUP(C1734,Sheet2!$J$4:$K$8)</f>
        <v>70-79</v>
      </c>
      <c r="O1734" t="str">
        <f>LOOKUP(D1734,Sheet2!$M$4:$N$8)</f>
        <v>30-39</v>
      </c>
      <c r="P1734" t="str">
        <f>LOOKUP(E1734,Sheet2!$P$4:$Q$9)</f>
        <v>100-199</v>
      </c>
      <c r="Q1734" t="str">
        <f>LOOKUP(F1734,Sheet2!$S$4:$T$8)</f>
        <v>26-30</v>
      </c>
      <c r="R1734" t="str">
        <f>LOOKUP(G1734,Sheet2!$V$4:$W$7)</f>
        <v>0.7+</v>
      </c>
      <c r="S1734" t="str">
        <f>LOOKUP(H1734,Sheet2!$Z$4:$AA$7)</f>
        <v>26-35</v>
      </c>
      <c r="T1734" t="str">
        <f t="shared" si="81"/>
        <v>Negative</v>
      </c>
      <c r="U1734" t="str">
        <f t="shared" si="82"/>
        <v>Not Sampled</v>
      </c>
      <c r="V1734" s="1" t="str">
        <f t="shared" si="83"/>
        <v>Not Sampled</v>
      </c>
    </row>
    <row r="1735" spans="1:22" x14ac:dyDescent="0.25">
      <c r="A1735" s="1">
        <v>2</v>
      </c>
      <c r="B1735" s="1">
        <v>157</v>
      </c>
      <c r="C1735" s="1">
        <v>74</v>
      </c>
      <c r="D1735" s="1">
        <v>35</v>
      </c>
      <c r="E1735" s="1">
        <v>440</v>
      </c>
      <c r="F1735" s="1">
        <v>39.4</v>
      </c>
      <c r="G1735" s="1">
        <v>0.13400000000000001</v>
      </c>
      <c r="H1735" s="1">
        <v>30</v>
      </c>
      <c r="I1735" s="1">
        <v>0</v>
      </c>
      <c r="J1735" s="1">
        <f>IFERROR(VLOOKUP(K1735,[1]diabetes_Recognition!$A:$B,2,FALSE),"Not Sampled")</f>
        <v>0</v>
      </c>
      <c r="K1735" s="1">
        <v>1733</v>
      </c>
      <c r="L1735" s="1">
        <f>LOOKUP(A1735,Sheet2!$D$4:$E$9)</f>
        <v>2</v>
      </c>
      <c r="M1735" t="str">
        <f>LOOKUP(B1735,Sheet2!$G$4:$H$9)</f>
        <v>151-175</v>
      </c>
      <c r="N1735" t="str">
        <f>LOOKUP(C1735,Sheet2!$J$4:$K$8)</f>
        <v>70-79</v>
      </c>
      <c r="O1735" t="str">
        <f>LOOKUP(D1735,Sheet2!$M$4:$N$8)</f>
        <v>30-39</v>
      </c>
      <c r="P1735" t="str">
        <f>LOOKUP(E1735,Sheet2!$P$4:$Q$9)</f>
        <v>300-499</v>
      </c>
      <c r="Q1735" t="str">
        <f>LOOKUP(F1735,Sheet2!$S$4:$T$8)</f>
        <v>36+</v>
      </c>
      <c r="R1735" t="str">
        <f>LOOKUP(G1735,Sheet2!$V$4:$W$7)</f>
        <v>0.0 - 0.249</v>
      </c>
      <c r="S1735" t="str">
        <f>LOOKUP(H1735,Sheet2!$Z$4:$AA$7)</f>
        <v>26-35</v>
      </c>
      <c r="T1735" t="str">
        <f t="shared" si="81"/>
        <v>Negative</v>
      </c>
      <c r="U1735" t="str">
        <f t="shared" si="82"/>
        <v>Negative</v>
      </c>
      <c r="V1735" s="1" t="str">
        <f t="shared" si="83"/>
        <v>Accurate Prediction</v>
      </c>
    </row>
    <row r="1736" spans="1:22" x14ac:dyDescent="0.25">
      <c r="A1736" s="1">
        <v>1</v>
      </c>
      <c r="B1736" s="1">
        <v>167</v>
      </c>
      <c r="C1736" s="1">
        <v>74</v>
      </c>
      <c r="D1736" s="1">
        <v>17</v>
      </c>
      <c r="E1736" s="1">
        <v>144</v>
      </c>
      <c r="F1736" s="1">
        <v>23.4</v>
      </c>
      <c r="G1736" s="1">
        <v>0.44700000000000001</v>
      </c>
      <c r="H1736" s="1">
        <v>33</v>
      </c>
      <c r="I1736" s="1">
        <v>1</v>
      </c>
      <c r="J1736" s="1" t="str">
        <f>IFERROR(VLOOKUP(K1736,[1]diabetes_Recognition!$A:$B,2,FALSE),"Not Sampled")</f>
        <v>Not Sampled</v>
      </c>
      <c r="K1736" s="1">
        <v>1734</v>
      </c>
      <c r="L1736" s="1">
        <f>LOOKUP(A1736,Sheet2!$D$4:$E$9)</f>
        <v>1</v>
      </c>
      <c r="M1736" t="str">
        <f>LOOKUP(B1736,Sheet2!$G$4:$H$9)</f>
        <v>151-175</v>
      </c>
      <c r="N1736" t="str">
        <f>LOOKUP(C1736,Sheet2!$J$4:$K$8)</f>
        <v>70-79</v>
      </c>
      <c r="O1736" t="str">
        <f>LOOKUP(D1736,Sheet2!$M$4:$N$8)</f>
        <v>10-30</v>
      </c>
      <c r="P1736" t="str">
        <f>LOOKUP(E1736,Sheet2!$P$4:$Q$9)</f>
        <v>100-199</v>
      </c>
      <c r="Q1736" t="str">
        <f>LOOKUP(F1736,Sheet2!$S$4:$T$8)</f>
        <v>1-25</v>
      </c>
      <c r="R1736" t="str">
        <f>LOOKUP(G1736,Sheet2!$V$4:$W$7)</f>
        <v>0.4 - 0.69</v>
      </c>
      <c r="S1736" t="str">
        <f>LOOKUP(H1736,Sheet2!$Z$4:$AA$7)</f>
        <v>26-35</v>
      </c>
      <c r="T1736" t="str">
        <f t="shared" si="81"/>
        <v>Positive</v>
      </c>
      <c r="U1736" t="str">
        <f t="shared" si="82"/>
        <v>Not Sampled</v>
      </c>
      <c r="V1736" s="1" t="str">
        <f t="shared" si="83"/>
        <v>Not Sampled</v>
      </c>
    </row>
    <row r="1737" spans="1:22" x14ac:dyDescent="0.25">
      <c r="A1737" s="1">
        <v>0</v>
      </c>
      <c r="B1737" s="1">
        <v>179</v>
      </c>
      <c r="C1737" s="1">
        <v>50</v>
      </c>
      <c r="D1737" s="1">
        <v>36</v>
      </c>
      <c r="E1737" s="1">
        <v>159</v>
      </c>
      <c r="F1737" s="1">
        <v>37.799999999999997</v>
      </c>
      <c r="G1737" s="1">
        <v>0.45500000000000002</v>
      </c>
      <c r="H1737" s="1">
        <v>22</v>
      </c>
      <c r="I1737" s="1">
        <v>1</v>
      </c>
      <c r="J1737" s="1">
        <f>IFERROR(VLOOKUP(K1737,[1]diabetes_Recognition!$A:$B,2,FALSE),"Not Sampled")</f>
        <v>1</v>
      </c>
      <c r="K1737" s="1">
        <v>1735</v>
      </c>
      <c r="L1737" s="1">
        <f>LOOKUP(A1737,Sheet2!$D$4:$E$9)</f>
        <v>0</v>
      </c>
      <c r="M1737" t="str">
        <f>LOOKUP(B1737,Sheet2!$G$4:$H$9)</f>
        <v>176-200</v>
      </c>
      <c r="N1737" t="str">
        <f>LOOKUP(C1737,Sheet2!$J$4:$K$8)</f>
        <v>1-59</v>
      </c>
      <c r="O1737" t="str">
        <f>LOOKUP(D1737,Sheet2!$M$4:$N$8)</f>
        <v>30-39</v>
      </c>
      <c r="P1737" t="str">
        <f>LOOKUP(E1737,Sheet2!$P$4:$Q$9)</f>
        <v>100-199</v>
      </c>
      <c r="Q1737" t="str">
        <f>LOOKUP(F1737,Sheet2!$S$4:$T$8)</f>
        <v>36+</v>
      </c>
      <c r="R1737" t="str">
        <f>LOOKUP(G1737,Sheet2!$V$4:$W$7)</f>
        <v>0.4 - 0.69</v>
      </c>
      <c r="S1737" t="str">
        <f>LOOKUP(H1737,Sheet2!$Z$4:$AA$7)</f>
        <v>&lt;=25</v>
      </c>
      <c r="T1737" t="str">
        <f t="shared" si="81"/>
        <v>Positive</v>
      </c>
      <c r="U1737" t="str">
        <f t="shared" si="82"/>
        <v>Positive</v>
      </c>
      <c r="V1737" s="1" t="str">
        <f t="shared" si="83"/>
        <v>Accurate Prediction</v>
      </c>
    </row>
    <row r="1738" spans="1:22" x14ac:dyDescent="0.25">
      <c r="A1738" s="1">
        <v>11</v>
      </c>
      <c r="B1738" s="1">
        <v>136</v>
      </c>
      <c r="C1738" s="1">
        <v>84</v>
      </c>
      <c r="D1738" s="1">
        <v>35</v>
      </c>
      <c r="E1738" s="1">
        <v>130</v>
      </c>
      <c r="F1738" s="1">
        <v>28.3</v>
      </c>
      <c r="G1738" s="1">
        <v>0.26</v>
      </c>
      <c r="H1738" s="1">
        <v>42</v>
      </c>
      <c r="I1738" s="1">
        <v>1</v>
      </c>
      <c r="J1738" s="1" t="str">
        <f>IFERROR(VLOOKUP(K1738,[1]diabetes_Recognition!$A:$B,2,FALSE),"Not Sampled")</f>
        <v>Not Sampled</v>
      </c>
      <c r="K1738" s="1">
        <v>1736</v>
      </c>
      <c r="L1738" s="1" t="str">
        <f>LOOKUP(A1738,Sheet2!$D$4:$E$9)</f>
        <v>8+</v>
      </c>
      <c r="M1738" t="str">
        <f>LOOKUP(B1738,Sheet2!$G$4:$H$9)</f>
        <v>126-150</v>
      </c>
      <c r="N1738" t="str">
        <f>LOOKUP(C1738,Sheet2!$J$4:$K$8)</f>
        <v>80+</v>
      </c>
      <c r="O1738" t="str">
        <f>LOOKUP(D1738,Sheet2!$M$4:$N$8)</f>
        <v>30-39</v>
      </c>
      <c r="P1738" t="str">
        <f>LOOKUP(E1738,Sheet2!$P$4:$Q$9)</f>
        <v>100-199</v>
      </c>
      <c r="Q1738" t="str">
        <f>LOOKUP(F1738,Sheet2!$S$4:$T$8)</f>
        <v>26-30</v>
      </c>
      <c r="R1738" t="str">
        <f>LOOKUP(G1738,Sheet2!$V$4:$W$7)</f>
        <v>0.25 - 0.39</v>
      </c>
      <c r="S1738" t="str">
        <f>LOOKUP(H1738,Sheet2!$Z$4:$AA$7)</f>
        <v>36-45</v>
      </c>
      <c r="T1738" t="str">
        <f t="shared" si="81"/>
        <v>Positive</v>
      </c>
      <c r="U1738" t="str">
        <f t="shared" si="82"/>
        <v>Not Sampled</v>
      </c>
      <c r="V1738" s="1" t="str">
        <f t="shared" si="83"/>
        <v>Not Sampled</v>
      </c>
    </row>
    <row r="1739" spans="1:22" x14ac:dyDescent="0.25">
      <c r="A1739" s="1">
        <v>0</v>
      </c>
      <c r="B1739" s="1">
        <v>107</v>
      </c>
      <c r="C1739" s="1">
        <v>60</v>
      </c>
      <c r="D1739" s="1">
        <v>25</v>
      </c>
      <c r="E1739" s="1">
        <v>0</v>
      </c>
      <c r="F1739" s="1">
        <v>26.4</v>
      </c>
      <c r="G1739" s="1">
        <v>0.13300000000000001</v>
      </c>
      <c r="H1739" s="1">
        <v>23</v>
      </c>
      <c r="I1739" s="1">
        <v>0</v>
      </c>
      <c r="J1739" s="1" t="str">
        <f>IFERROR(VLOOKUP(K1739,[1]diabetes_Recognition!$A:$B,2,FALSE),"Not Sampled")</f>
        <v>Not Sampled</v>
      </c>
      <c r="K1739" s="1">
        <v>1737</v>
      </c>
      <c r="L1739" s="1">
        <f>LOOKUP(A1739,Sheet2!$D$4:$E$9)</f>
        <v>0</v>
      </c>
      <c r="M1739" t="str">
        <f>LOOKUP(B1739,Sheet2!$G$4:$H$9)</f>
        <v>100-125</v>
      </c>
      <c r="N1739" t="str">
        <f>LOOKUP(C1739,Sheet2!$J$4:$K$8)</f>
        <v>60-69</v>
      </c>
      <c r="O1739" t="str">
        <f>LOOKUP(D1739,Sheet2!$M$4:$N$8)</f>
        <v>10-30</v>
      </c>
      <c r="P1739" t="str">
        <f>LOOKUP(E1739,Sheet2!$P$4:$Q$9)</f>
        <v>Unknown</v>
      </c>
      <c r="Q1739" t="str">
        <f>LOOKUP(F1739,Sheet2!$S$4:$T$8)</f>
        <v>26-30</v>
      </c>
      <c r="R1739" t="str">
        <f>LOOKUP(G1739,Sheet2!$V$4:$W$7)</f>
        <v>0.0 - 0.249</v>
      </c>
      <c r="S1739" t="str">
        <f>LOOKUP(H1739,Sheet2!$Z$4:$AA$7)</f>
        <v>&lt;=25</v>
      </c>
      <c r="T1739" t="str">
        <f t="shared" si="81"/>
        <v>Negative</v>
      </c>
      <c r="U1739" t="str">
        <f t="shared" si="82"/>
        <v>Not Sampled</v>
      </c>
      <c r="V1739" s="1" t="str">
        <f t="shared" si="83"/>
        <v>Not Sampled</v>
      </c>
    </row>
    <row r="1740" spans="1:22" x14ac:dyDescent="0.25">
      <c r="A1740" s="1">
        <v>1</v>
      </c>
      <c r="B1740" s="1">
        <v>91</v>
      </c>
      <c r="C1740" s="1">
        <v>54</v>
      </c>
      <c r="D1740" s="1">
        <v>25</v>
      </c>
      <c r="E1740" s="1">
        <v>100</v>
      </c>
      <c r="F1740" s="1">
        <v>25.2</v>
      </c>
      <c r="G1740" s="1">
        <v>0.23400000000000001</v>
      </c>
      <c r="H1740" s="1">
        <v>23</v>
      </c>
      <c r="I1740" s="1">
        <v>0</v>
      </c>
      <c r="J1740" s="1" t="str">
        <f>IFERROR(VLOOKUP(K1740,[1]diabetes_Recognition!$A:$B,2,FALSE),"Not Sampled")</f>
        <v>Not Sampled</v>
      </c>
      <c r="K1740" s="1">
        <v>1738</v>
      </c>
      <c r="L1740" s="1">
        <f>LOOKUP(A1740,Sheet2!$D$4:$E$9)</f>
        <v>1</v>
      </c>
      <c r="M1740" t="str">
        <f>LOOKUP(B1740,Sheet2!$G$4:$H$9)</f>
        <v>1-99</v>
      </c>
      <c r="N1740" t="str">
        <f>LOOKUP(C1740,Sheet2!$J$4:$K$8)</f>
        <v>1-59</v>
      </c>
      <c r="O1740" t="str">
        <f>LOOKUP(D1740,Sheet2!$M$4:$N$8)</f>
        <v>10-30</v>
      </c>
      <c r="P1740" t="str">
        <f>LOOKUP(E1740,Sheet2!$P$4:$Q$9)</f>
        <v>100-199</v>
      </c>
      <c r="Q1740" t="str">
        <f>LOOKUP(F1740,Sheet2!$S$4:$T$8)</f>
        <v>1-25</v>
      </c>
      <c r="R1740" t="str">
        <f>LOOKUP(G1740,Sheet2!$V$4:$W$7)</f>
        <v>0.0 - 0.249</v>
      </c>
      <c r="S1740" t="str">
        <f>LOOKUP(H1740,Sheet2!$Z$4:$AA$7)</f>
        <v>&lt;=25</v>
      </c>
      <c r="T1740" t="str">
        <f t="shared" si="81"/>
        <v>Negative</v>
      </c>
      <c r="U1740" t="str">
        <f t="shared" si="82"/>
        <v>Not Sampled</v>
      </c>
      <c r="V1740" s="1" t="str">
        <f t="shared" si="83"/>
        <v>Not Sampled</v>
      </c>
    </row>
    <row r="1741" spans="1:22" x14ac:dyDescent="0.25">
      <c r="A1741" s="1">
        <v>1</v>
      </c>
      <c r="B1741" s="1">
        <v>117</v>
      </c>
      <c r="C1741" s="1">
        <v>60</v>
      </c>
      <c r="D1741" s="1">
        <v>23</v>
      </c>
      <c r="E1741" s="1">
        <v>106</v>
      </c>
      <c r="F1741" s="1">
        <v>33.799999999999997</v>
      </c>
      <c r="G1741" s="1">
        <v>0.46600000000000003</v>
      </c>
      <c r="H1741" s="1">
        <v>27</v>
      </c>
      <c r="I1741" s="1">
        <v>0</v>
      </c>
      <c r="J1741" s="1">
        <f>IFERROR(VLOOKUP(K1741,[1]diabetes_Recognition!$A:$B,2,FALSE),"Not Sampled")</f>
        <v>0</v>
      </c>
      <c r="K1741" s="1">
        <v>1739</v>
      </c>
      <c r="L1741" s="1">
        <f>LOOKUP(A1741,Sheet2!$D$4:$E$9)</f>
        <v>1</v>
      </c>
      <c r="M1741" t="str">
        <f>LOOKUP(B1741,Sheet2!$G$4:$H$9)</f>
        <v>100-125</v>
      </c>
      <c r="N1741" t="str">
        <f>LOOKUP(C1741,Sheet2!$J$4:$K$8)</f>
        <v>60-69</v>
      </c>
      <c r="O1741" t="str">
        <f>LOOKUP(D1741,Sheet2!$M$4:$N$8)</f>
        <v>10-30</v>
      </c>
      <c r="P1741" t="str">
        <f>LOOKUP(E1741,Sheet2!$P$4:$Q$9)</f>
        <v>100-199</v>
      </c>
      <c r="Q1741" t="str">
        <f>LOOKUP(F1741,Sheet2!$S$4:$T$8)</f>
        <v>31-35</v>
      </c>
      <c r="R1741" t="str">
        <f>LOOKUP(G1741,Sheet2!$V$4:$W$7)</f>
        <v>0.4 - 0.69</v>
      </c>
      <c r="S1741" t="str">
        <f>LOOKUP(H1741,Sheet2!$Z$4:$AA$7)</f>
        <v>26-35</v>
      </c>
      <c r="T1741" t="str">
        <f t="shared" si="81"/>
        <v>Negative</v>
      </c>
      <c r="U1741" t="str">
        <f t="shared" si="82"/>
        <v>Negative</v>
      </c>
      <c r="V1741" s="1" t="str">
        <f t="shared" si="83"/>
        <v>Accurate Prediction</v>
      </c>
    </row>
    <row r="1742" spans="1:22" x14ac:dyDescent="0.25">
      <c r="A1742" s="1">
        <v>5</v>
      </c>
      <c r="B1742" s="1">
        <v>123</v>
      </c>
      <c r="C1742" s="1">
        <v>74</v>
      </c>
      <c r="D1742" s="1">
        <v>40</v>
      </c>
      <c r="E1742" s="1">
        <v>77</v>
      </c>
      <c r="F1742" s="1">
        <v>34.1</v>
      </c>
      <c r="G1742" s="1">
        <v>0.26900000000000002</v>
      </c>
      <c r="H1742" s="1">
        <v>28</v>
      </c>
      <c r="I1742" s="1">
        <v>0</v>
      </c>
      <c r="J1742" s="1" t="str">
        <f>IFERROR(VLOOKUP(K1742,[1]diabetes_Recognition!$A:$B,2,FALSE),"Not Sampled")</f>
        <v>Not Sampled</v>
      </c>
      <c r="K1742" s="1">
        <v>1740</v>
      </c>
      <c r="L1742" s="1" t="str">
        <f>LOOKUP(A1742,Sheet2!$D$4:$E$9)</f>
        <v>5-7</v>
      </c>
      <c r="M1742" t="str">
        <f>LOOKUP(B1742,Sheet2!$G$4:$H$9)</f>
        <v>100-125</v>
      </c>
      <c r="N1742" t="str">
        <f>LOOKUP(C1742,Sheet2!$J$4:$K$8)</f>
        <v>70-79</v>
      </c>
      <c r="O1742" t="str">
        <f>LOOKUP(D1742,Sheet2!$M$4:$N$8)</f>
        <v>40+</v>
      </c>
      <c r="P1742" t="str">
        <f>LOOKUP(E1742,Sheet2!$P$4:$Q$9)</f>
        <v>1-99</v>
      </c>
      <c r="Q1742" t="str">
        <f>LOOKUP(F1742,Sheet2!$S$4:$T$8)</f>
        <v>31-35</v>
      </c>
      <c r="R1742" t="str">
        <f>LOOKUP(G1742,Sheet2!$V$4:$W$7)</f>
        <v>0.25 - 0.39</v>
      </c>
      <c r="S1742" t="str">
        <f>LOOKUP(H1742,Sheet2!$Z$4:$AA$7)</f>
        <v>26-35</v>
      </c>
      <c r="T1742" t="str">
        <f t="shared" si="81"/>
        <v>Negative</v>
      </c>
      <c r="U1742" t="str">
        <f t="shared" si="82"/>
        <v>Not Sampled</v>
      </c>
      <c r="V1742" s="1" t="str">
        <f t="shared" si="83"/>
        <v>Not Sampled</v>
      </c>
    </row>
    <row r="1743" spans="1:22" x14ac:dyDescent="0.25">
      <c r="A1743" s="1">
        <v>2</v>
      </c>
      <c r="B1743" s="1">
        <v>120</v>
      </c>
      <c r="C1743" s="1">
        <v>54</v>
      </c>
      <c r="D1743" s="1">
        <v>0</v>
      </c>
      <c r="E1743" s="1">
        <v>0</v>
      </c>
      <c r="F1743" s="1">
        <v>26.8</v>
      </c>
      <c r="G1743" s="1">
        <v>0.45500000000000002</v>
      </c>
      <c r="H1743" s="1">
        <v>27</v>
      </c>
      <c r="I1743" s="1">
        <v>0</v>
      </c>
      <c r="J1743" s="1" t="str">
        <f>IFERROR(VLOOKUP(K1743,[1]diabetes_Recognition!$A:$B,2,FALSE),"Not Sampled")</f>
        <v>Not Sampled</v>
      </c>
      <c r="K1743" s="1">
        <v>1741</v>
      </c>
      <c r="L1743" s="1">
        <f>LOOKUP(A1743,Sheet2!$D$4:$E$9)</f>
        <v>2</v>
      </c>
      <c r="M1743" t="str">
        <f>LOOKUP(B1743,Sheet2!$G$4:$H$9)</f>
        <v>100-125</v>
      </c>
      <c r="N1743" t="str">
        <f>LOOKUP(C1743,Sheet2!$J$4:$K$8)</f>
        <v>1-59</v>
      </c>
      <c r="O1743" t="str">
        <f>LOOKUP(D1743,Sheet2!$M$4:$N$8)</f>
        <v>Unknown</v>
      </c>
      <c r="P1743" t="str">
        <f>LOOKUP(E1743,Sheet2!$P$4:$Q$9)</f>
        <v>Unknown</v>
      </c>
      <c r="Q1743" t="str">
        <f>LOOKUP(F1743,Sheet2!$S$4:$T$8)</f>
        <v>26-30</v>
      </c>
      <c r="R1743" t="str">
        <f>LOOKUP(G1743,Sheet2!$V$4:$W$7)</f>
        <v>0.4 - 0.69</v>
      </c>
      <c r="S1743" t="str">
        <f>LOOKUP(H1743,Sheet2!$Z$4:$AA$7)</f>
        <v>26-35</v>
      </c>
      <c r="T1743" t="str">
        <f t="shared" si="81"/>
        <v>Negative</v>
      </c>
      <c r="U1743" t="str">
        <f t="shared" si="82"/>
        <v>Not Sampled</v>
      </c>
      <c r="V1743" s="1" t="str">
        <f t="shared" si="83"/>
        <v>Not Sampled</v>
      </c>
    </row>
    <row r="1744" spans="1:22" x14ac:dyDescent="0.25">
      <c r="A1744" s="1">
        <v>1</v>
      </c>
      <c r="B1744" s="1">
        <v>106</v>
      </c>
      <c r="C1744" s="1">
        <v>70</v>
      </c>
      <c r="D1744" s="1">
        <v>28</v>
      </c>
      <c r="E1744" s="1">
        <v>135</v>
      </c>
      <c r="F1744" s="1">
        <v>34.200000000000003</v>
      </c>
      <c r="G1744" s="1">
        <v>0.14199999999999999</v>
      </c>
      <c r="H1744" s="1">
        <v>22</v>
      </c>
      <c r="I1744" s="1">
        <v>0</v>
      </c>
      <c r="J1744" s="1" t="str">
        <f>IFERROR(VLOOKUP(K1744,[1]diabetes_Recognition!$A:$B,2,FALSE),"Not Sampled")</f>
        <v>Not Sampled</v>
      </c>
      <c r="K1744" s="1">
        <v>1742</v>
      </c>
      <c r="L1744" s="1">
        <f>LOOKUP(A1744,Sheet2!$D$4:$E$9)</f>
        <v>1</v>
      </c>
      <c r="M1744" t="str">
        <f>LOOKUP(B1744,Sheet2!$G$4:$H$9)</f>
        <v>100-125</v>
      </c>
      <c r="N1744" t="str">
        <f>LOOKUP(C1744,Sheet2!$J$4:$K$8)</f>
        <v>70-79</v>
      </c>
      <c r="O1744" t="str">
        <f>LOOKUP(D1744,Sheet2!$M$4:$N$8)</f>
        <v>10-30</v>
      </c>
      <c r="P1744" t="str">
        <f>LOOKUP(E1744,Sheet2!$P$4:$Q$9)</f>
        <v>100-199</v>
      </c>
      <c r="Q1744" t="str">
        <f>LOOKUP(F1744,Sheet2!$S$4:$T$8)</f>
        <v>31-35</v>
      </c>
      <c r="R1744" t="str">
        <f>LOOKUP(G1744,Sheet2!$V$4:$W$7)</f>
        <v>0.0 - 0.249</v>
      </c>
      <c r="S1744" t="str">
        <f>LOOKUP(H1744,Sheet2!$Z$4:$AA$7)</f>
        <v>&lt;=25</v>
      </c>
      <c r="T1744" t="str">
        <f t="shared" si="81"/>
        <v>Negative</v>
      </c>
      <c r="U1744" t="str">
        <f t="shared" si="82"/>
        <v>Not Sampled</v>
      </c>
      <c r="V1744" s="1" t="str">
        <f t="shared" si="83"/>
        <v>Not Sampled</v>
      </c>
    </row>
    <row r="1745" spans="1:22" x14ac:dyDescent="0.25">
      <c r="A1745" s="1">
        <v>2</v>
      </c>
      <c r="B1745" s="1">
        <v>155</v>
      </c>
      <c r="C1745" s="1">
        <v>52</v>
      </c>
      <c r="D1745" s="1">
        <v>27</v>
      </c>
      <c r="E1745" s="1">
        <v>540</v>
      </c>
      <c r="F1745" s="1">
        <v>38.700000000000003</v>
      </c>
      <c r="G1745" s="1">
        <v>0.24</v>
      </c>
      <c r="H1745" s="1">
        <v>25</v>
      </c>
      <c r="I1745" s="1">
        <v>1</v>
      </c>
      <c r="J1745" s="1" t="str">
        <f>IFERROR(VLOOKUP(K1745,[1]diabetes_Recognition!$A:$B,2,FALSE),"Not Sampled")</f>
        <v>Not Sampled</v>
      </c>
      <c r="K1745" s="1">
        <v>1743</v>
      </c>
      <c r="L1745" s="1">
        <f>LOOKUP(A1745,Sheet2!$D$4:$E$9)</f>
        <v>2</v>
      </c>
      <c r="M1745" t="str">
        <f>LOOKUP(B1745,Sheet2!$G$4:$H$9)</f>
        <v>151-175</v>
      </c>
      <c r="N1745" t="str">
        <f>LOOKUP(C1745,Sheet2!$J$4:$K$8)</f>
        <v>1-59</v>
      </c>
      <c r="O1745" t="str">
        <f>LOOKUP(D1745,Sheet2!$M$4:$N$8)</f>
        <v>10-30</v>
      </c>
      <c r="P1745" t="str">
        <f>LOOKUP(E1745,Sheet2!$P$4:$Q$9)</f>
        <v>500+</v>
      </c>
      <c r="Q1745" t="str">
        <f>LOOKUP(F1745,Sheet2!$S$4:$T$8)</f>
        <v>36+</v>
      </c>
      <c r="R1745" t="str">
        <f>LOOKUP(G1745,Sheet2!$V$4:$W$7)</f>
        <v>0.0 - 0.249</v>
      </c>
      <c r="S1745" t="str">
        <f>LOOKUP(H1745,Sheet2!$Z$4:$AA$7)</f>
        <v>&lt;=25</v>
      </c>
      <c r="T1745" t="str">
        <f t="shared" si="81"/>
        <v>Positive</v>
      </c>
      <c r="U1745" t="str">
        <f t="shared" si="82"/>
        <v>Not Sampled</v>
      </c>
      <c r="V1745" s="1" t="str">
        <f t="shared" si="83"/>
        <v>Not Sampled</v>
      </c>
    </row>
    <row r="1746" spans="1:22" x14ac:dyDescent="0.25">
      <c r="A1746" s="1">
        <v>2</v>
      </c>
      <c r="B1746" s="1">
        <v>101</v>
      </c>
      <c r="C1746" s="1">
        <v>58</v>
      </c>
      <c r="D1746" s="1">
        <v>35</v>
      </c>
      <c r="E1746" s="1">
        <v>90</v>
      </c>
      <c r="F1746" s="1">
        <v>21.8</v>
      </c>
      <c r="G1746" s="1">
        <v>0.155</v>
      </c>
      <c r="H1746" s="1">
        <v>22</v>
      </c>
      <c r="I1746" s="1">
        <v>0</v>
      </c>
      <c r="J1746" s="1" t="str">
        <f>IFERROR(VLOOKUP(K1746,[1]diabetes_Recognition!$A:$B,2,FALSE),"Not Sampled")</f>
        <v>Not Sampled</v>
      </c>
      <c r="K1746" s="1">
        <v>1744</v>
      </c>
      <c r="L1746" s="1">
        <f>LOOKUP(A1746,Sheet2!$D$4:$E$9)</f>
        <v>2</v>
      </c>
      <c r="M1746" t="str">
        <f>LOOKUP(B1746,Sheet2!$G$4:$H$9)</f>
        <v>100-125</v>
      </c>
      <c r="N1746" t="str">
        <f>LOOKUP(C1746,Sheet2!$J$4:$K$8)</f>
        <v>1-59</v>
      </c>
      <c r="O1746" t="str">
        <f>LOOKUP(D1746,Sheet2!$M$4:$N$8)</f>
        <v>30-39</v>
      </c>
      <c r="P1746" t="str">
        <f>LOOKUP(E1746,Sheet2!$P$4:$Q$9)</f>
        <v>1-99</v>
      </c>
      <c r="Q1746" t="str">
        <f>LOOKUP(F1746,Sheet2!$S$4:$T$8)</f>
        <v>1-25</v>
      </c>
      <c r="R1746" t="str">
        <f>LOOKUP(G1746,Sheet2!$V$4:$W$7)</f>
        <v>0.0 - 0.249</v>
      </c>
      <c r="S1746" t="str">
        <f>LOOKUP(H1746,Sheet2!$Z$4:$AA$7)</f>
        <v>&lt;=25</v>
      </c>
      <c r="T1746" t="str">
        <f t="shared" si="81"/>
        <v>Negative</v>
      </c>
      <c r="U1746" t="str">
        <f t="shared" si="82"/>
        <v>Not Sampled</v>
      </c>
      <c r="V1746" s="1" t="str">
        <f t="shared" si="83"/>
        <v>Not Sampled</v>
      </c>
    </row>
    <row r="1747" spans="1:22" x14ac:dyDescent="0.25">
      <c r="A1747" s="1">
        <v>1</v>
      </c>
      <c r="B1747" s="1">
        <v>120</v>
      </c>
      <c r="C1747" s="1">
        <v>80</v>
      </c>
      <c r="D1747" s="1">
        <v>48</v>
      </c>
      <c r="E1747" s="1">
        <v>200</v>
      </c>
      <c r="F1747" s="1">
        <v>38.9</v>
      </c>
      <c r="G1747" s="1">
        <v>1.1619999999999999</v>
      </c>
      <c r="H1747" s="1">
        <v>41</v>
      </c>
      <c r="I1747" s="1">
        <v>0</v>
      </c>
      <c r="J1747" s="1" t="str">
        <f>IFERROR(VLOOKUP(K1747,[1]diabetes_Recognition!$A:$B,2,FALSE),"Not Sampled")</f>
        <v>Not Sampled</v>
      </c>
      <c r="K1747" s="1">
        <v>1745</v>
      </c>
      <c r="L1747" s="1">
        <f>LOOKUP(A1747,Sheet2!$D$4:$E$9)</f>
        <v>1</v>
      </c>
      <c r="M1747" t="str">
        <f>LOOKUP(B1747,Sheet2!$G$4:$H$9)</f>
        <v>100-125</v>
      </c>
      <c r="N1747" t="str">
        <f>LOOKUP(C1747,Sheet2!$J$4:$K$8)</f>
        <v>80+</v>
      </c>
      <c r="O1747" t="str">
        <f>LOOKUP(D1747,Sheet2!$M$4:$N$8)</f>
        <v>40+</v>
      </c>
      <c r="P1747" t="str">
        <f>LOOKUP(E1747,Sheet2!$P$4:$Q$9)</f>
        <v>200-399</v>
      </c>
      <c r="Q1747" t="str">
        <f>LOOKUP(F1747,Sheet2!$S$4:$T$8)</f>
        <v>36+</v>
      </c>
      <c r="R1747" t="str">
        <f>LOOKUP(G1747,Sheet2!$V$4:$W$7)</f>
        <v>0.7+</v>
      </c>
      <c r="S1747" t="str">
        <f>LOOKUP(H1747,Sheet2!$Z$4:$AA$7)</f>
        <v>36-45</v>
      </c>
      <c r="T1747" t="str">
        <f t="shared" si="81"/>
        <v>Negative</v>
      </c>
      <c r="U1747" t="str">
        <f t="shared" si="82"/>
        <v>Not Sampled</v>
      </c>
      <c r="V1747" s="1" t="str">
        <f t="shared" si="83"/>
        <v>Not Sampled</v>
      </c>
    </row>
    <row r="1748" spans="1:22" x14ac:dyDescent="0.25">
      <c r="A1748" s="1">
        <v>11</v>
      </c>
      <c r="B1748" s="1">
        <v>127</v>
      </c>
      <c r="C1748" s="1">
        <v>106</v>
      </c>
      <c r="D1748" s="1">
        <v>0</v>
      </c>
      <c r="E1748" s="1">
        <v>0</v>
      </c>
      <c r="F1748" s="1">
        <v>39</v>
      </c>
      <c r="G1748" s="1">
        <v>0.19</v>
      </c>
      <c r="H1748" s="1">
        <v>51</v>
      </c>
      <c r="I1748" s="1">
        <v>0</v>
      </c>
      <c r="J1748" s="1" t="str">
        <f>IFERROR(VLOOKUP(K1748,[1]diabetes_Recognition!$A:$B,2,FALSE),"Not Sampled")</f>
        <v>Not Sampled</v>
      </c>
      <c r="K1748" s="1">
        <v>1746</v>
      </c>
      <c r="L1748" s="1" t="str">
        <f>LOOKUP(A1748,Sheet2!$D$4:$E$9)</f>
        <v>8+</v>
      </c>
      <c r="M1748" t="str">
        <f>LOOKUP(B1748,Sheet2!$G$4:$H$9)</f>
        <v>126-150</v>
      </c>
      <c r="N1748" t="str">
        <f>LOOKUP(C1748,Sheet2!$J$4:$K$8)</f>
        <v>80+</v>
      </c>
      <c r="O1748" t="str">
        <f>LOOKUP(D1748,Sheet2!$M$4:$N$8)</f>
        <v>Unknown</v>
      </c>
      <c r="P1748" t="str">
        <f>LOOKUP(E1748,Sheet2!$P$4:$Q$9)</f>
        <v>Unknown</v>
      </c>
      <c r="Q1748" t="str">
        <f>LOOKUP(F1748,Sheet2!$S$4:$T$8)</f>
        <v>36+</v>
      </c>
      <c r="R1748" t="str">
        <f>LOOKUP(G1748,Sheet2!$V$4:$W$7)</f>
        <v>0.0 - 0.249</v>
      </c>
      <c r="S1748" t="str">
        <f>LOOKUP(H1748,Sheet2!$Z$4:$AA$7)</f>
        <v>46+</v>
      </c>
      <c r="T1748" t="str">
        <f t="shared" si="81"/>
        <v>Negative</v>
      </c>
      <c r="U1748" t="str">
        <f t="shared" si="82"/>
        <v>Not Sampled</v>
      </c>
      <c r="V1748" s="1" t="str">
        <f t="shared" si="83"/>
        <v>Not Sampled</v>
      </c>
    </row>
    <row r="1749" spans="1:22" x14ac:dyDescent="0.25">
      <c r="A1749" s="1">
        <v>3</v>
      </c>
      <c r="B1749" s="1">
        <v>80</v>
      </c>
      <c r="C1749" s="1">
        <v>82</v>
      </c>
      <c r="D1749" s="1">
        <v>31</v>
      </c>
      <c r="E1749" s="1">
        <v>70</v>
      </c>
      <c r="F1749" s="1">
        <v>34.200000000000003</v>
      </c>
      <c r="G1749" s="1">
        <v>1.292</v>
      </c>
      <c r="H1749" s="1">
        <v>27</v>
      </c>
      <c r="I1749" s="1">
        <v>1</v>
      </c>
      <c r="J1749" s="1" t="str">
        <f>IFERROR(VLOOKUP(K1749,[1]diabetes_Recognition!$A:$B,2,FALSE),"Not Sampled")</f>
        <v>Not Sampled</v>
      </c>
      <c r="K1749" s="1">
        <v>1747</v>
      </c>
      <c r="L1749" s="1" t="str">
        <f>LOOKUP(A1749,Sheet2!$D$4:$E$9)</f>
        <v>3-4</v>
      </c>
      <c r="M1749" t="str">
        <f>LOOKUP(B1749,Sheet2!$G$4:$H$9)</f>
        <v>1-99</v>
      </c>
      <c r="N1749" t="str">
        <f>LOOKUP(C1749,Sheet2!$J$4:$K$8)</f>
        <v>80+</v>
      </c>
      <c r="O1749" t="str">
        <f>LOOKUP(D1749,Sheet2!$M$4:$N$8)</f>
        <v>30-39</v>
      </c>
      <c r="P1749" t="str">
        <f>LOOKUP(E1749,Sheet2!$P$4:$Q$9)</f>
        <v>1-99</v>
      </c>
      <c r="Q1749" t="str">
        <f>LOOKUP(F1749,Sheet2!$S$4:$T$8)</f>
        <v>31-35</v>
      </c>
      <c r="R1749" t="str">
        <f>LOOKUP(G1749,Sheet2!$V$4:$W$7)</f>
        <v>0.7+</v>
      </c>
      <c r="S1749" t="str">
        <f>LOOKUP(H1749,Sheet2!$Z$4:$AA$7)</f>
        <v>26-35</v>
      </c>
      <c r="T1749" t="str">
        <f t="shared" si="81"/>
        <v>Positive</v>
      </c>
      <c r="U1749" t="str">
        <f t="shared" si="82"/>
        <v>Not Sampled</v>
      </c>
      <c r="V1749" s="1" t="str">
        <f t="shared" si="83"/>
        <v>Not Sampled</v>
      </c>
    </row>
    <row r="1750" spans="1:22" x14ac:dyDescent="0.25">
      <c r="A1750" s="1">
        <v>10</v>
      </c>
      <c r="B1750" s="1">
        <v>162</v>
      </c>
      <c r="C1750" s="1">
        <v>84</v>
      </c>
      <c r="D1750" s="1">
        <v>0</v>
      </c>
      <c r="E1750" s="1">
        <v>0</v>
      </c>
      <c r="F1750" s="1">
        <v>27.7</v>
      </c>
      <c r="G1750" s="1">
        <v>0.182</v>
      </c>
      <c r="H1750" s="1">
        <v>54</v>
      </c>
      <c r="I1750" s="1">
        <v>0</v>
      </c>
      <c r="J1750" s="1" t="str">
        <f>IFERROR(VLOOKUP(K1750,[1]diabetes_Recognition!$A:$B,2,FALSE),"Not Sampled")</f>
        <v>Not Sampled</v>
      </c>
      <c r="K1750" s="1">
        <v>1748</v>
      </c>
      <c r="L1750" s="1" t="str">
        <f>LOOKUP(A1750,Sheet2!$D$4:$E$9)</f>
        <v>8+</v>
      </c>
      <c r="M1750" t="str">
        <f>LOOKUP(B1750,Sheet2!$G$4:$H$9)</f>
        <v>151-175</v>
      </c>
      <c r="N1750" t="str">
        <f>LOOKUP(C1750,Sheet2!$J$4:$K$8)</f>
        <v>80+</v>
      </c>
      <c r="O1750" t="str">
        <f>LOOKUP(D1750,Sheet2!$M$4:$N$8)</f>
        <v>Unknown</v>
      </c>
      <c r="P1750" t="str">
        <f>LOOKUP(E1750,Sheet2!$P$4:$Q$9)</f>
        <v>Unknown</v>
      </c>
      <c r="Q1750" t="str">
        <f>LOOKUP(F1750,Sheet2!$S$4:$T$8)</f>
        <v>26-30</v>
      </c>
      <c r="R1750" t="str">
        <f>LOOKUP(G1750,Sheet2!$V$4:$W$7)</f>
        <v>0.0 - 0.249</v>
      </c>
      <c r="S1750" t="str">
        <f>LOOKUP(H1750,Sheet2!$Z$4:$AA$7)</f>
        <v>46+</v>
      </c>
      <c r="T1750" t="str">
        <f t="shared" si="81"/>
        <v>Negative</v>
      </c>
      <c r="U1750" t="str">
        <f t="shared" si="82"/>
        <v>Not Sampled</v>
      </c>
      <c r="V1750" s="1" t="str">
        <f t="shared" si="83"/>
        <v>Not Sampled</v>
      </c>
    </row>
    <row r="1751" spans="1:22" x14ac:dyDescent="0.25">
      <c r="A1751" s="1">
        <v>1</v>
      </c>
      <c r="B1751" s="1">
        <v>199</v>
      </c>
      <c r="C1751" s="1">
        <v>76</v>
      </c>
      <c r="D1751" s="1">
        <v>43</v>
      </c>
      <c r="E1751" s="1">
        <v>0</v>
      </c>
      <c r="F1751" s="1">
        <v>42.9</v>
      </c>
      <c r="G1751" s="1">
        <v>1.3939999999999999</v>
      </c>
      <c r="H1751" s="1">
        <v>22</v>
      </c>
      <c r="I1751" s="1">
        <v>1</v>
      </c>
      <c r="J1751" s="1" t="str">
        <f>IFERROR(VLOOKUP(K1751,[1]diabetes_Recognition!$A:$B,2,FALSE),"Not Sampled")</f>
        <v>Not Sampled</v>
      </c>
      <c r="K1751" s="1">
        <v>1749</v>
      </c>
      <c r="L1751" s="1">
        <f>LOOKUP(A1751,Sheet2!$D$4:$E$9)</f>
        <v>1</v>
      </c>
      <c r="M1751" t="str">
        <f>LOOKUP(B1751,Sheet2!$G$4:$H$9)</f>
        <v>176-200</v>
      </c>
      <c r="N1751" t="str">
        <f>LOOKUP(C1751,Sheet2!$J$4:$K$8)</f>
        <v>70-79</v>
      </c>
      <c r="O1751" t="str">
        <f>LOOKUP(D1751,Sheet2!$M$4:$N$8)</f>
        <v>40+</v>
      </c>
      <c r="P1751" t="str">
        <f>LOOKUP(E1751,Sheet2!$P$4:$Q$9)</f>
        <v>Unknown</v>
      </c>
      <c r="Q1751" t="str">
        <f>LOOKUP(F1751,Sheet2!$S$4:$T$8)</f>
        <v>36+</v>
      </c>
      <c r="R1751" t="str">
        <f>LOOKUP(G1751,Sheet2!$V$4:$W$7)</f>
        <v>0.7+</v>
      </c>
      <c r="S1751" t="str">
        <f>LOOKUP(H1751,Sheet2!$Z$4:$AA$7)</f>
        <v>&lt;=25</v>
      </c>
      <c r="T1751" t="str">
        <f t="shared" si="81"/>
        <v>Positive</v>
      </c>
      <c r="U1751" t="str">
        <f t="shared" si="82"/>
        <v>Not Sampled</v>
      </c>
      <c r="V1751" s="1" t="str">
        <f t="shared" si="83"/>
        <v>Not Sampled</v>
      </c>
    </row>
    <row r="1752" spans="1:22" x14ac:dyDescent="0.25">
      <c r="A1752" s="1">
        <v>8</v>
      </c>
      <c r="B1752" s="1">
        <v>167</v>
      </c>
      <c r="C1752" s="1">
        <v>106</v>
      </c>
      <c r="D1752" s="1">
        <v>46</v>
      </c>
      <c r="E1752" s="1">
        <v>231</v>
      </c>
      <c r="F1752" s="1">
        <v>37.6</v>
      </c>
      <c r="G1752" s="1">
        <v>0.16500000000000001</v>
      </c>
      <c r="H1752" s="1">
        <v>43</v>
      </c>
      <c r="I1752" s="1">
        <v>1</v>
      </c>
      <c r="J1752" s="1">
        <f>IFERROR(VLOOKUP(K1752,[1]diabetes_Recognition!$A:$B,2,FALSE),"Not Sampled")</f>
        <v>1</v>
      </c>
      <c r="K1752" s="1">
        <v>1750</v>
      </c>
      <c r="L1752" s="1" t="str">
        <f>LOOKUP(A1752,Sheet2!$D$4:$E$9)</f>
        <v>8+</v>
      </c>
      <c r="M1752" t="str">
        <f>LOOKUP(B1752,Sheet2!$G$4:$H$9)</f>
        <v>151-175</v>
      </c>
      <c r="N1752" t="str">
        <f>LOOKUP(C1752,Sheet2!$J$4:$K$8)</f>
        <v>80+</v>
      </c>
      <c r="O1752" t="str">
        <f>LOOKUP(D1752,Sheet2!$M$4:$N$8)</f>
        <v>40+</v>
      </c>
      <c r="P1752" t="str">
        <f>LOOKUP(E1752,Sheet2!$P$4:$Q$9)</f>
        <v>200-399</v>
      </c>
      <c r="Q1752" t="str">
        <f>LOOKUP(F1752,Sheet2!$S$4:$T$8)</f>
        <v>36+</v>
      </c>
      <c r="R1752" t="str">
        <f>LOOKUP(G1752,Sheet2!$V$4:$W$7)</f>
        <v>0.0 - 0.249</v>
      </c>
      <c r="S1752" t="str">
        <f>LOOKUP(H1752,Sheet2!$Z$4:$AA$7)</f>
        <v>36-45</v>
      </c>
      <c r="T1752" t="str">
        <f t="shared" si="81"/>
        <v>Positive</v>
      </c>
      <c r="U1752" t="str">
        <f t="shared" si="82"/>
        <v>Positive</v>
      </c>
      <c r="V1752" s="1" t="str">
        <f t="shared" si="83"/>
        <v>Accurate Prediction</v>
      </c>
    </row>
    <row r="1753" spans="1:22" x14ac:dyDescent="0.25">
      <c r="A1753" s="1">
        <v>9</v>
      </c>
      <c r="B1753" s="1">
        <v>145</v>
      </c>
      <c r="C1753" s="1">
        <v>80</v>
      </c>
      <c r="D1753" s="1">
        <v>46</v>
      </c>
      <c r="E1753" s="1">
        <v>130</v>
      </c>
      <c r="F1753" s="1">
        <v>37.9</v>
      </c>
      <c r="G1753" s="1">
        <v>0.63700000000000001</v>
      </c>
      <c r="H1753" s="1">
        <v>40</v>
      </c>
      <c r="I1753" s="1">
        <v>1</v>
      </c>
      <c r="J1753" s="1" t="str">
        <f>IFERROR(VLOOKUP(K1753,[1]diabetes_Recognition!$A:$B,2,FALSE),"Not Sampled")</f>
        <v>Not Sampled</v>
      </c>
      <c r="K1753" s="1">
        <v>1751</v>
      </c>
      <c r="L1753" s="1" t="str">
        <f>LOOKUP(A1753,Sheet2!$D$4:$E$9)</f>
        <v>8+</v>
      </c>
      <c r="M1753" t="str">
        <f>LOOKUP(B1753,Sheet2!$G$4:$H$9)</f>
        <v>126-150</v>
      </c>
      <c r="N1753" t="str">
        <f>LOOKUP(C1753,Sheet2!$J$4:$K$8)</f>
        <v>80+</v>
      </c>
      <c r="O1753" t="str">
        <f>LOOKUP(D1753,Sheet2!$M$4:$N$8)</f>
        <v>40+</v>
      </c>
      <c r="P1753" t="str">
        <f>LOOKUP(E1753,Sheet2!$P$4:$Q$9)</f>
        <v>100-199</v>
      </c>
      <c r="Q1753" t="str">
        <f>LOOKUP(F1753,Sheet2!$S$4:$T$8)</f>
        <v>36+</v>
      </c>
      <c r="R1753" t="str">
        <f>LOOKUP(G1753,Sheet2!$V$4:$W$7)</f>
        <v>0.4 - 0.69</v>
      </c>
      <c r="S1753" t="str">
        <f>LOOKUP(H1753,Sheet2!$Z$4:$AA$7)</f>
        <v>36-45</v>
      </c>
      <c r="T1753" t="str">
        <f t="shared" si="81"/>
        <v>Positive</v>
      </c>
      <c r="U1753" t="str">
        <f t="shared" si="82"/>
        <v>Not Sampled</v>
      </c>
      <c r="V1753" s="1" t="str">
        <f t="shared" si="83"/>
        <v>Not Sampled</v>
      </c>
    </row>
    <row r="1754" spans="1:22" x14ac:dyDescent="0.25">
      <c r="A1754" s="1">
        <v>6</v>
      </c>
      <c r="B1754" s="1">
        <v>115</v>
      </c>
      <c r="C1754" s="1">
        <v>60</v>
      </c>
      <c r="D1754" s="1">
        <v>39</v>
      </c>
      <c r="E1754" s="1">
        <v>0</v>
      </c>
      <c r="F1754" s="1">
        <v>33.700000000000003</v>
      </c>
      <c r="G1754" s="1">
        <v>0.245</v>
      </c>
      <c r="H1754" s="1">
        <v>40</v>
      </c>
      <c r="I1754" s="1">
        <v>1</v>
      </c>
      <c r="J1754" s="1" t="str">
        <f>IFERROR(VLOOKUP(K1754,[1]diabetes_Recognition!$A:$B,2,FALSE),"Not Sampled")</f>
        <v>Not Sampled</v>
      </c>
      <c r="K1754" s="1">
        <v>1752</v>
      </c>
      <c r="L1754" s="1" t="str">
        <f>LOOKUP(A1754,Sheet2!$D$4:$E$9)</f>
        <v>5-7</v>
      </c>
      <c r="M1754" t="str">
        <f>LOOKUP(B1754,Sheet2!$G$4:$H$9)</f>
        <v>100-125</v>
      </c>
      <c r="N1754" t="str">
        <f>LOOKUP(C1754,Sheet2!$J$4:$K$8)</f>
        <v>60-69</v>
      </c>
      <c r="O1754" t="str">
        <f>LOOKUP(D1754,Sheet2!$M$4:$N$8)</f>
        <v>30-39</v>
      </c>
      <c r="P1754" t="str">
        <f>LOOKUP(E1754,Sheet2!$P$4:$Q$9)</f>
        <v>Unknown</v>
      </c>
      <c r="Q1754" t="str">
        <f>LOOKUP(F1754,Sheet2!$S$4:$T$8)</f>
        <v>31-35</v>
      </c>
      <c r="R1754" t="str">
        <f>LOOKUP(G1754,Sheet2!$V$4:$W$7)</f>
        <v>0.0 - 0.249</v>
      </c>
      <c r="S1754" t="str">
        <f>LOOKUP(H1754,Sheet2!$Z$4:$AA$7)</f>
        <v>36-45</v>
      </c>
      <c r="T1754" t="str">
        <f t="shared" si="81"/>
        <v>Positive</v>
      </c>
      <c r="U1754" t="str">
        <f t="shared" si="82"/>
        <v>Not Sampled</v>
      </c>
      <c r="V1754" s="1" t="str">
        <f t="shared" si="83"/>
        <v>Not Sampled</v>
      </c>
    </row>
    <row r="1755" spans="1:22" x14ac:dyDescent="0.25">
      <c r="A1755" s="1">
        <v>1</v>
      </c>
      <c r="B1755" s="1">
        <v>112</v>
      </c>
      <c r="C1755" s="1">
        <v>80</v>
      </c>
      <c r="D1755" s="1">
        <v>45</v>
      </c>
      <c r="E1755" s="1">
        <v>132</v>
      </c>
      <c r="F1755" s="1">
        <v>34.799999999999997</v>
      </c>
      <c r="G1755" s="1">
        <v>0.217</v>
      </c>
      <c r="H1755" s="1">
        <v>24</v>
      </c>
      <c r="I1755" s="1">
        <v>0</v>
      </c>
      <c r="J1755" s="1" t="str">
        <f>IFERROR(VLOOKUP(K1755,[1]diabetes_Recognition!$A:$B,2,FALSE),"Not Sampled")</f>
        <v>Not Sampled</v>
      </c>
      <c r="K1755" s="1">
        <v>1753</v>
      </c>
      <c r="L1755" s="1">
        <f>LOOKUP(A1755,Sheet2!$D$4:$E$9)</f>
        <v>1</v>
      </c>
      <c r="M1755" t="str">
        <f>LOOKUP(B1755,Sheet2!$G$4:$H$9)</f>
        <v>100-125</v>
      </c>
      <c r="N1755" t="str">
        <f>LOOKUP(C1755,Sheet2!$J$4:$K$8)</f>
        <v>80+</v>
      </c>
      <c r="O1755" t="str">
        <f>LOOKUP(D1755,Sheet2!$M$4:$N$8)</f>
        <v>40+</v>
      </c>
      <c r="P1755" t="str">
        <f>LOOKUP(E1755,Sheet2!$P$4:$Q$9)</f>
        <v>100-199</v>
      </c>
      <c r="Q1755" t="str">
        <f>LOOKUP(F1755,Sheet2!$S$4:$T$8)</f>
        <v>31-35</v>
      </c>
      <c r="R1755" t="str">
        <f>LOOKUP(G1755,Sheet2!$V$4:$W$7)</f>
        <v>0.0 - 0.249</v>
      </c>
      <c r="S1755" t="str">
        <f>LOOKUP(H1755,Sheet2!$Z$4:$AA$7)</f>
        <v>&lt;=25</v>
      </c>
      <c r="T1755" t="str">
        <f t="shared" si="81"/>
        <v>Negative</v>
      </c>
      <c r="U1755" t="str">
        <f t="shared" si="82"/>
        <v>Not Sampled</v>
      </c>
      <c r="V1755" s="1" t="str">
        <f t="shared" si="83"/>
        <v>Not Sampled</v>
      </c>
    </row>
    <row r="1756" spans="1:22" x14ac:dyDescent="0.25">
      <c r="A1756" s="1">
        <v>4</v>
      </c>
      <c r="B1756" s="1">
        <v>145</v>
      </c>
      <c r="C1756" s="1">
        <v>82</v>
      </c>
      <c r="D1756" s="1">
        <v>18</v>
      </c>
      <c r="E1756" s="1">
        <v>0</v>
      </c>
      <c r="F1756" s="1">
        <v>32.5</v>
      </c>
      <c r="G1756" s="1">
        <v>0.23499999999999999</v>
      </c>
      <c r="H1756" s="1">
        <v>70</v>
      </c>
      <c r="I1756" s="1">
        <v>1</v>
      </c>
      <c r="J1756" s="1">
        <f>IFERROR(VLOOKUP(K1756,[1]diabetes_Recognition!$A:$B,2,FALSE),"Not Sampled")</f>
        <v>1</v>
      </c>
      <c r="K1756" s="1">
        <v>1754</v>
      </c>
      <c r="L1756" s="1" t="str">
        <f>LOOKUP(A1756,Sheet2!$D$4:$E$9)</f>
        <v>3-4</v>
      </c>
      <c r="M1756" t="str">
        <f>LOOKUP(B1756,Sheet2!$G$4:$H$9)</f>
        <v>126-150</v>
      </c>
      <c r="N1756" t="str">
        <f>LOOKUP(C1756,Sheet2!$J$4:$K$8)</f>
        <v>80+</v>
      </c>
      <c r="O1756" t="str">
        <f>LOOKUP(D1756,Sheet2!$M$4:$N$8)</f>
        <v>10-30</v>
      </c>
      <c r="P1756" t="str">
        <f>LOOKUP(E1756,Sheet2!$P$4:$Q$9)</f>
        <v>Unknown</v>
      </c>
      <c r="Q1756" t="str">
        <f>LOOKUP(F1756,Sheet2!$S$4:$T$8)</f>
        <v>31-35</v>
      </c>
      <c r="R1756" t="str">
        <f>LOOKUP(G1756,Sheet2!$V$4:$W$7)</f>
        <v>0.0 - 0.249</v>
      </c>
      <c r="S1756" t="str">
        <f>LOOKUP(H1756,Sheet2!$Z$4:$AA$7)</f>
        <v>46+</v>
      </c>
      <c r="T1756" t="str">
        <f t="shared" si="81"/>
        <v>Positive</v>
      </c>
      <c r="U1756" t="str">
        <f t="shared" si="82"/>
        <v>Positive</v>
      </c>
      <c r="V1756" s="1" t="str">
        <f t="shared" si="83"/>
        <v>Accurate Prediction</v>
      </c>
    </row>
    <row r="1757" spans="1:22" x14ac:dyDescent="0.25">
      <c r="A1757" s="1">
        <v>10</v>
      </c>
      <c r="B1757" s="1">
        <v>111</v>
      </c>
      <c r="C1757" s="1">
        <v>70</v>
      </c>
      <c r="D1757" s="1">
        <v>27</v>
      </c>
      <c r="E1757" s="1">
        <v>0</v>
      </c>
      <c r="F1757" s="1">
        <v>27.5</v>
      </c>
      <c r="G1757" s="1">
        <v>0.14099999999999999</v>
      </c>
      <c r="H1757" s="1">
        <v>40</v>
      </c>
      <c r="I1757" s="1">
        <v>1</v>
      </c>
      <c r="J1757" s="1" t="str">
        <f>IFERROR(VLOOKUP(K1757,[1]diabetes_Recognition!$A:$B,2,FALSE),"Not Sampled")</f>
        <v>Not Sampled</v>
      </c>
      <c r="K1757" s="1">
        <v>1755</v>
      </c>
      <c r="L1757" s="1" t="str">
        <f>LOOKUP(A1757,Sheet2!$D$4:$E$9)</f>
        <v>8+</v>
      </c>
      <c r="M1757" t="str">
        <f>LOOKUP(B1757,Sheet2!$G$4:$H$9)</f>
        <v>100-125</v>
      </c>
      <c r="N1757" t="str">
        <f>LOOKUP(C1757,Sheet2!$J$4:$K$8)</f>
        <v>70-79</v>
      </c>
      <c r="O1757" t="str">
        <f>LOOKUP(D1757,Sheet2!$M$4:$N$8)</f>
        <v>10-30</v>
      </c>
      <c r="P1757" t="str">
        <f>LOOKUP(E1757,Sheet2!$P$4:$Q$9)</f>
        <v>Unknown</v>
      </c>
      <c r="Q1757" t="str">
        <f>LOOKUP(F1757,Sheet2!$S$4:$T$8)</f>
        <v>26-30</v>
      </c>
      <c r="R1757" t="str">
        <f>LOOKUP(G1757,Sheet2!$V$4:$W$7)</f>
        <v>0.0 - 0.249</v>
      </c>
      <c r="S1757" t="str">
        <f>LOOKUP(H1757,Sheet2!$Z$4:$AA$7)</f>
        <v>36-45</v>
      </c>
      <c r="T1757" t="str">
        <f t="shared" si="81"/>
        <v>Positive</v>
      </c>
      <c r="U1757" t="str">
        <f t="shared" si="82"/>
        <v>Not Sampled</v>
      </c>
      <c r="V1757" s="1" t="str">
        <f t="shared" si="83"/>
        <v>Not Sampled</v>
      </c>
    </row>
    <row r="1758" spans="1:22" x14ac:dyDescent="0.25">
      <c r="A1758" s="1">
        <v>6</v>
      </c>
      <c r="B1758" s="1">
        <v>98</v>
      </c>
      <c r="C1758" s="1">
        <v>58</v>
      </c>
      <c r="D1758" s="1">
        <v>33</v>
      </c>
      <c r="E1758" s="1">
        <v>190</v>
      </c>
      <c r="F1758" s="1">
        <v>34</v>
      </c>
      <c r="G1758" s="1">
        <v>0.43</v>
      </c>
      <c r="H1758" s="1">
        <v>43</v>
      </c>
      <c r="I1758" s="1">
        <v>0</v>
      </c>
      <c r="J1758" s="1" t="str">
        <f>IFERROR(VLOOKUP(K1758,[1]diabetes_Recognition!$A:$B,2,FALSE),"Not Sampled")</f>
        <v>Not Sampled</v>
      </c>
      <c r="K1758" s="1">
        <v>1756</v>
      </c>
      <c r="L1758" s="1" t="str">
        <f>LOOKUP(A1758,Sheet2!$D$4:$E$9)</f>
        <v>5-7</v>
      </c>
      <c r="M1758" t="str">
        <f>LOOKUP(B1758,Sheet2!$G$4:$H$9)</f>
        <v>1-99</v>
      </c>
      <c r="N1758" t="str">
        <f>LOOKUP(C1758,Sheet2!$J$4:$K$8)</f>
        <v>1-59</v>
      </c>
      <c r="O1758" t="str">
        <f>LOOKUP(D1758,Sheet2!$M$4:$N$8)</f>
        <v>30-39</v>
      </c>
      <c r="P1758" t="str">
        <f>LOOKUP(E1758,Sheet2!$P$4:$Q$9)</f>
        <v>100-199</v>
      </c>
      <c r="Q1758" t="str">
        <f>LOOKUP(F1758,Sheet2!$S$4:$T$8)</f>
        <v>31-35</v>
      </c>
      <c r="R1758" t="str">
        <f>LOOKUP(G1758,Sheet2!$V$4:$W$7)</f>
        <v>0.4 - 0.69</v>
      </c>
      <c r="S1758" t="str">
        <f>LOOKUP(H1758,Sheet2!$Z$4:$AA$7)</f>
        <v>36-45</v>
      </c>
      <c r="T1758" t="str">
        <f t="shared" si="81"/>
        <v>Negative</v>
      </c>
      <c r="U1758" t="str">
        <f t="shared" si="82"/>
        <v>Not Sampled</v>
      </c>
      <c r="V1758" s="1" t="str">
        <f t="shared" si="83"/>
        <v>Not Sampled</v>
      </c>
    </row>
    <row r="1759" spans="1:22" x14ac:dyDescent="0.25">
      <c r="A1759" s="1">
        <v>9</v>
      </c>
      <c r="B1759" s="1">
        <v>154</v>
      </c>
      <c r="C1759" s="1">
        <v>78</v>
      </c>
      <c r="D1759" s="1">
        <v>30</v>
      </c>
      <c r="E1759" s="1">
        <v>100</v>
      </c>
      <c r="F1759" s="1">
        <v>30.9</v>
      </c>
      <c r="G1759" s="1">
        <v>0.16400000000000001</v>
      </c>
      <c r="H1759" s="1">
        <v>45</v>
      </c>
      <c r="I1759" s="1">
        <v>0</v>
      </c>
      <c r="J1759" s="1">
        <f>IFERROR(VLOOKUP(K1759,[1]diabetes_Recognition!$A:$B,2,FALSE),"Not Sampled")</f>
        <v>1</v>
      </c>
      <c r="K1759" s="1">
        <v>1757</v>
      </c>
      <c r="L1759" s="1" t="str">
        <f>LOOKUP(A1759,Sheet2!$D$4:$E$9)</f>
        <v>8+</v>
      </c>
      <c r="M1759" t="str">
        <f>LOOKUP(B1759,Sheet2!$G$4:$H$9)</f>
        <v>151-175</v>
      </c>
      <c r="N1759" t="str">
        <f>LOOKUP(C1759,Sheet2!$J$4:$K$8)</f>
        <v>70-79</v>
      </c>
      <c r="O1759" t="str">
        <f>LOOKUP(D1759,Sheet2!$M$4:$N$8)</f>
        <v>30-39</v>
      </c>
      <c r="P1759" t="str">
        <f>LOOKUP(E1759,Sheet2!$P$4:$Q$9)</f>
        <v>100-199</v>
      </c>
      <c r="Q1759" t="str">
        <f>LOOKUP(F1759,Sheet2!$S$4:$T$8)</f>
        <v>26-30</v>
      </c>
      <c r="R1759" t="str">
        <f>LOOKUP(G1759,Sheet2!$V$4:$W$7)</f>
        <v>0.0 - 0.249</v>
      </c>
      <c r="S1759" t="str">
        <f>LOOKUP(H1759,Sheet2!$Z$4:$AA$7)</f>
        <v>36-45</v>
      </c>
      <c r="T1759" t="str">
        <f t="shared" si="81"/>
        <v>Negative</v>
      </c>
      <c r="U1759" t="str">
        <f t="shared" si="82"/>
        <v>Positive</v>
      </c>
      <c r="V1759" s="1" t="str">
        <f t="shared" si="83"/>
        <v>Inaccurate Prediction</v>
      </c>
    </row>
    <row r="1760" spans="1:22" x14ac:dyDescent="0.25">
      <c r="A1760" s="1">
        <v>6</v>
      </c>
      <c r="B1760" s="1">
        <v>165</v>
      </c>
      <c r="C1760" s="1">
        <v>68</v>
      </c>
      <c r="D1760" s="1">
        <v>26</v>
      </c>
      <c r="E1760" s="1">
        <v>168</v>
      </c>
      <c r="F1760" s="1">
        <v>33.6</v>
      </c>
      <c r="G1760" s="1">
        <v>0.63100000000000001</v>
      </c>
      <c r="H1760" s="1">
        <v>49</v>
      </c>
      <c r="I1760" s="1">
        <v>0</v>
      </c>
      <c r="J1760" s="1" t="str">
        <f>IFERROR(VLOOKUP(K1760,[1]diabetes_Recognition!$A:$B,2,FALSE),"Not Sampled")</f>
        <v>Not Sampled</v>
      </c>
      <c r="K1760" s="1">
        <v>1758</v>
      </c>
      <c r="L1760" s="1" t="str">
        <f>LOOKUP(A1760,Sheet2!$D$4:$E$9)</f>
        <v>5-7</v>
      </c>
      <c r="M1760" t="str">
        <f>LOOKUP(B1760,Sheet2!$G$4:$H$9)</f>
        <v>151-175</v>
      </c>
      <c r="N1760" t="str">
        <f>LOOKUP(C1760,Sheet2!$J$4:$K$8)</f>
        <v>60-69</v>
      </c>
      <c r="O1760" t="str">
        <f>LOOKUP(D1760,Sheet2!$M$4:$N$8)</f>
        <v>10-30</v>
      </c>
      <c r="P1760" t="str">
        <f>LOOKUP(E1760,Sheet2!$P$4:$Q$9)</f>
        <v>100-199</v>
      </c>
      <c r="Q1760" t="str">
        <f>LOOKUP(F1760,Sheet2!$S$4:$T$8)</f>
        <v>31-35</v>
      </c>
      <c r="R1760" t="str">
        <f>LOOKUP(G1760,Sheet2!$V$4:$W$7)</f>
        <v>0.4 - 0.69</v>
      </c>
      <c r="S1760" t="str">
        <f>LOOKUP(H1760,Sheet2!$Z$4:$AA$7)</f>
        <v>46+</v>
      </c>
      <c r="T1760" t="str">
        <f t="shared" si="81"/>
        <v>Negative</v>
      </c>
      <c r="U1760" t="str">
        <f t="shared" si="82"/>
        <v>Not Sampled</v>
      </c>
      <c r="V1760" s="1" t="str">
        <f t="shared" si="83"/>
        <v>Not Sampled</v>
      </c>
    </row>
    <row r="1761" spans="1:22" x14ac:dyDescent="0.25">
      <c r="A1761" s="1">
        <v>1</v>
      </c>
      <c r="B1761" s="1">
        <v>99</v>
      </c>
      <c r="C1761" s="1">
        <v>58</v>
      </c>
      <c r="D1761" s="1">
        <v>10</v>
      </c>
      <c r="E1761" s="1">
        <v>0</v>
      </c>
      <c r="F1761" s="1">
        <v>25.4</v>
      </c>
      <c r="G1761" s="1">
        <v>0.55100000000000005</v>
      </c>
      <c r="H1761" s="1">
        <v>21</v>
      </c>
      <c r="I1761" s="1">
        <v>0</v>
      </c>
      <c r="J1761" s="1" t="str">
        <f>IFERROR(VLOOKUP(K1761,[1]diabetes_Recognition!$A:$B,2,FALSE),"Not Sampled")</f>
        <v>Not Sampled</v>
      </c>
      <c r="K1761" s="1">
        <v>1759</v>
      </c>
      <c r="L1761" s="1">
        <f>LOOKUP(A1761,Sheet2!$D$4:$E$9)</f>
        <v>1</v>
      </c>
      <c r="M1761" t="str">
        <f>LOOKUP(B1761,Sheet2!$G$4:$H$9)</f>
        <v>1-99</v>
      </c>
      <c r="N1761" t="str">
        <f>LOOKUP(C1761,Sheet2!$J$4:$K$8)</f>
        <v>1-59</v>
      </c>
      <c r="O1761" t="str">
        <f>LOOKUP(D1761,Sheet2!$M$4:$N$8)</f>
        <v>10-30</v>
      </c>
      <c r="P1761" t="str">
        <f>LOOKUP(E1761,Sheet2!$P$4:$Q$9)</f>
        <v>Unknown</v>
      </c>
      <c r="Q1761" t="str">
        <f>LOOKUP(F1761,Sheet2!$S$4:$T$8)</f>
        <v>1-25</v>
      </c>
      <c r="R1761" t="str">
        <f>LOOKUP(G1761,Sheet2!$V$4:$W$7)</f>
        <v>0.4 - 0.69</v>
      </c>
      <c r="S1761" t="str">
        <f>LOOKUP(H1761,Sheet2!$Z$4:$AA$7)</f>
        <v>&lt;=25</v>
      </c>
      <c r="T1761" t="str">
        <f t="shared" si="81"/>
        <v>Negative</v>
      </c>
      <c r="U1761" t="str">
        <f t="shared" si="82"/>
        <v>Not Sampled</v>
      </c>
      <c r="V1761" s="1" t="str">
        <f t="shared" si="83"/>
        <v>Not Sampled</v>
      </c>
    </row>
    <row r="1762" spans="1:22" x14ac:dyDescent="0.25">
      <c r="A1762" s="1">
        <v>10</v>
      </c>
      <c r="B1762" s="1">
        <v>68</v>
      </c>
      <c r="C1762" s="1">
        <v>106</v>
      </c>
      <c r="D1762" s="1">
        <v>23</v>
      </c>
      <c r="E1762" s="1">
        <v>49</v>
      </c>
      <c r="F1762" s="1">
        <v>35.5</v>
      </c>
      <c r="G1762" s="1">
        <v>0.28499999999999998</v>
      </c>
      <c r="H1762" s="1">
        <v>47</v>
      </c>
      <c r="I1762" s="1">
        <v>0</v>
      </c>
      <c r="J1762" s="1" t="str">
        <f>IFERROR(VLOOKUP(K1762,[1]diabetes_Recognition!$A:$B,2,FALSE),"Not Sampled")</f>
        <v>Not Sampled</v>
      </c>
      <c r="K1762" s="1">
        <v>1760</v>
      </c>
      <c r="L1762" s="1" t="str">
        <f>LOOKUP(A1762,Sheet2!$D$4:$E$9)</f>
        <v>8+</v>
      </c>
      <c r="M1762" t="str">
        <f>LOOKUP(B1762,Sheet2!$G$4:$H$9)</f>
        <v>1-99</v>
      </c>
      <c r="N1762" t="str">
        <f>LOOKUP(C1762,Sheet2!$J$4:$K$8)</f>
        <v>80+</v>
      </c>
      <c r="O1762" t="str">
        <f>LOOKUP(D1762,Sheet2!$M$4:$N$8)</f>
        <v>10-30</v>
      </c>
      <c r="P1762" t="str">
        <f>LOOKUP(E1762,Sheet2!$P$4:$Q$9)</f>
        <v>1-99</v>
      </c>
      <c r="Q1762" t="str">
        <f>LOOKUP(F1762,Sheet2!$S$4:$T$8)</f>
        <v>31-35</v>
      </c>
      <c r="R1762" t="str">
        <f>LOOKUP(G1762,Sheet2!$V$4:$W$7)</f>
        <v>0.25 - 0.39</v>
      </c>
      <c r="S1762" t="str">
        <f>LOOKUP(H1762,Sheet2!$Z$4:$AA$7)</f>
        <v>46+</v>
      </c>
      <c r="T1762" t="str">
        <f t="shared" si="81"/>
        <v>Negative</v>
      </c>
      <c r="U1762" t="str">
        <f t="shared" si="82"/>
        <v>Not Sampled</v>
      </c>
      <c r="V1762" s="1" t="str">
        <f t="shared" si="83"/>
        <v>Not Sampled</v>
      </c>
    </row>
    <row r="1763" spans="1:22" x14ac:dyDescent="0.25">
      <c r="A1763" s="1">
        <v>3</v>
      </c>
      <c r="B1763" s="1">
        <v>123</v>
      </c>
      <c r="C1763" s="1">
        <v>100</v>
      </c>
      <c r="D1763" s="1">
        <v>35</v>
      </c>
      <c r="E1763" s="1">
        <v>240</v>
      </c>
      <c r="F1763" s="1">
        <v>57.3</v>
      </c>
      <c r="G1763" s="1">
        <v>0.88</v>
      </c>
      <c r="H1763" s="1">
        <v>22</v>
      </c>
      <c r="I1763" s="1">
        <v>0</v>
      </c>
      <c r="J1763" s="1">
        <f>IFERROR(VLOOKUP(K1763,[1]diabetes_Recognition!$A:$B,2,FALSE),"Not Sampled")</f>
        <v>1</v>
      </c>
      <c r="K1763" s="1">
        <v>1761</v>
      </c>
      <c r="L1763" s="1" t="str">
        <f>LOOKUP(A1763,Sheet2!$D$4:$E$9)</f>
        <v>3-4</v>
      </c>
      <c r="M1763" t="str">
        <f>LOOKUP(B1763,Sheet2!$G$4:$H$9)</f>
        <v>100-125</v>
      </c>
      <c r="N1763" t="str">
        <f>LOOKUP(C1763,Sheet2!$J$4:$K$8)</f>
        <v>80+</v>
      </c>
      <c r="O1763" t="str">
        <f>LOOKUP(D1763,Sheet2!$M$4:$N$8)</f>
        <v>30-39</v>
      </c>
      <c r="P1763" t="str">
        <f>LOOKUP(E1763,Sheet2!$P$4:$Q$9)</f>
        <v>200-399</v>
      </c>
      <c r="Q1763" t="str">
        <f>LOOKUP(F1763,Sheet2!$S$4:$T$8)</f>
        <v>36+</v>
      </c>
      <c r="R1763" t="str">
        <f>LOOKUP(G1763,Sheet2!$V$4:$W$7)</f>
        <v>0.7+</v>
      </c>
      <c r="S1763" t="str">
        <f>LOOKUP(H1763,Sheet2!$Z$4:$AA$7)</f>
        <v>&lt;=25</v>
      </c>
      <c r="T1763" t="str">
        <f t="shared" si="81"/>
        <v>Negative</v>
      </c>
      <c r="U1763" t="str">
        <f t="shared" si="82"/>
        <v>Positive</v>
      </c>
      <c r="V1763" s="1" t="str">
        <f t="shared" si="83"/>
        <v>Inaccurate Prediction</v>
      </c>
    </row>
    <row r="1764" spans="1:22" x14ac:dyDescent="0.25">
      <c r="A1764" s="1">
        <v>8</v>
      </c>
      <c r="B1764" s="1">
        <v>91</v>
      </c>
      <c r="C1764" s="1">
        <v>82</v>
      </c>
      <c r="D1764" s="1">
        <v>0</v>
      </c>
      <c r="E1764" s="1">
        <v>0</v>
      </c>
      <c r="F1764" s="1">
        <v>35.6</v>
      </c>
      <c r="G1764" s="1">
        <v>0.58699999999999997</v>
      </c>
      <c r="H1764" s="1">
        <v>68</v>
      </c>
      <c r="I1764" s="1">
        <v>0</v>
      </c>
      <c r="J1764" s="1" t="str">
        <f>IFERROR(VLOOKUP(K1764,[1]diabetes_Recognition!$A:$B,2,FALSE),"Not Sampled")</f>
        <v>Not Sampled</v>
      </c>
      <c r="K1764" s="1">
        <v>1762</v>
      </c>
      <c r="L1764" s="1" t="str">
        <f>LOOKUP(A1764,Sheet2!$D$4:$E$9)</f>
        <v>8+</v>
      </c>
      <c r="M1764" t="str">
        <f>LOOKUP(B1764,Sheet2!$G$4:$H$9)</f>
        <v>1-99</v>
      </c>
      <c r="N1764" t="str">
        <f>LOOKUP(C1764,Sheet2!$J$4:$K$8)</f>
        <v>80+</v>
      </c>
      <c r="O1764" t="str">
        <f>LOOKUP(D1764,Sheet2!$M$4:$N$8)</f>
        <v>Unknown</v>
      </c>
      <c r="P1764" t="str">
        <f>LOOKUP(E1764,Sheet2!$P$4:$Q$9)</f>
        <v>Unknown</v>
      </c>
      <c r="Q1764" t="str">
        <f>LOOKUP(F1764,Sheet2!$S$4:$T$8)</f>
        <v>31-35</v>
      </c>
      <c r="R1764" t="str">
        <f>LOOKUP(G1764,Sheet2!$V$4:$W$7)</f>
        <v>0.4 - 0.69</v>
      </c>
      <c r="S1764" t="str">
        <f>LOOKUP(H1764,Sheet2!$Z$4:$AA$7)</f>
        <v>46+</v>
      </c>
      <c r="T1764" t="str">
        <f t="shared" si="81"/>
        <v>Negative</v>
      </c>
      <c r="U1764" t="str">
        <f t="shared" si="82"/>
        <v>Not Sampled</v>
      </c>
      <c r="V1764" s="1" t="str">
        <f t="shared" si="83"/>
        <v>Not Sampled</v>
      </c>
    </row>
    <row r="1765" spans="1:22" x14ac:dyDescent="0.25">
      <c r="A1765" s="1">
        <v>6</v>
      </c>
      <c r="B1765" s="1">
        <v>195</v>
      </c>
      <c r="C1765" s="1">
        <v>70</v>
      </c>
      <c r="D1765" s="1">
        <v>0</v>
      </c>
      <c r="E1765" s="1">
        <v>0</v>
      </c>
      <c r="F1765" s="1">
        <v>30.9</v>
      </c>
      <c r="G1765" s="1">
        <v>0.32800000000000001</v>
      </c>
      <c r="H1765" s="1">
        <v>31</v>
      </c>
      <c r="I1765" s="1">
        <v>1</v>
      </c>
      <c r="J1765" s="1" t="str">
        <f>IFERROR(VLOOKUP(K1765,[1]diabetes_Recognition!$A:$B,2,FALSE),"Not Sampled")</f>
        <v>Not Sampled</v>
      </c>
      <c r="K1765" s="1">
        <v>1763</v>
      </c>
      <c r="L1765" s="1" t="str">
        <f>LOOKUP(A1765,Sheet2!$D$4:$E$9)</f>
        <v>5-7</v>
      </c>
      <c r="M1765" t="str">
        <f>LOOKUP(B1765,Sheet2!$G$4:$H$9)</f>
        <v>176-200</v>
      </c>
      <c r="N1765" t="str">
        <f>LOOKUP(C1765,Sheet2!$J$4:$K$8)</f>
        <v>70-79</v>
      </c>
      <c r="O1765" t="str">
        <f>LOOKUP(D1765,Sheet2!$M$4:$N$8)</f>
        <v>Unknown</v>
      </c>
      <c r="P1765" t="str">
        <f>LOOKUP(E1765,Sheet2!$P$4:$Q$9)</f>
        <v>Unknown</v>
      </c>
      <c r="Q1765" t="str">
        <f>LOOKUP(F1765,Sheet2!$S$4:$T$8)</f>
        <v>26-30</v>
      </c>
      <c r="R1765" t="str">
        <f>LOOKUP(G1765,Sheet2!$V$4:$W$7)</f>
        <v>0.25 - 0.39</v>
      </c>
      <c r="S1765" t="str">
        <f>LOOKUP(H1765,Sheet2!$Z$4:$AA$7)</f>
        <v>26-35</v>
      </c>
      <c r="T1765" t="str">
        <f t="shared" si="81"/>
        <v>Positive</v>
      </c>
      <c r="U1765" t="str">
        <f t="shared" si="82"/>
        <v>Not Sampled</v>
      </c>
      <c r="V1765" s="1" t="str">
        <f t="shared" si="83"/>
        <v>Not Sampled</v>
      </c>
    </row>
    <row r="1766" spans="1:22" x14ac:dyDescent="0.25">
      <c r="A1766" s="1">
        <v>9</v>
      </c>
      <c r="B1766" s="1">
        <v>156</v>
      </c>
      <c r="C1766" s="1">
        <v>86</v>
      </c>
      <c r="D1766" s="1">
        <v>0</v>
      </c>
      <c r="E1766" s="1">
        <v>0</v>
      </c>
      <c r="F1766" s="1">
        <v>24.8</v>
      </c>
      <c r="G1766" s="1">
        <v>0.23</v>
      </c>
      <c r="H1766" s="1">
        <v>53</v>
      </c>
      <c r="I1766" s="1">
        <v>1</v>
      </c>
      <c r="J1766" s="1" t="str">
        <f>IFERROR(VLOOKUP(K1766,[1]diabetes_Recognition!$A:$B,2,FALSE),"Not Sampled")</f>
        <v>Not Sampled</v>
      </c>
      <c r="K1766" s="1">
        <v>1764</v>
      </c>
      <c r="L1766" s="1" t="str">
        <f>LOOKUP(A1766,Sheet2!$D$4:$E$9)</f>
        <v>8+</v>
      </c>
      <c r="M1766" t="str">
        <f>LOOKUP(B1766,Sheet2!$G$4:$H$9)</f>
        <v>151-175</v>
      </c>
      <c r="N1766" t="str">
        <f>LOOKUP(C1766,Sheet2!$J$4:$K$8)</f>
        <v>80+</v>
      </c>
      <c r="O1766" t="str">
        <f>LOOKUP(D1766,Sheet2!$M$4:$N$8)</f>
        <v>Unknown</v>
      </c>
      <c r="P1766" t="str">
        <f>LOOKUP(E1766,Sheet2!$P$4:$Q$9)</f>
        <v>Unknown</v>
      </c>
      <c r="Q1766" t="str">
        <f>LOOKUP(F1766,Sheet2!$S$4:$T$8)</f>
        <v>1-25</v>
      </c>
      <c r="R1766" t="str">
        <f>LOOKUP(G1766,Sheet2!$V$4:$W$7)</f>
        <v>0.0 - 0.249</v>
      </c>
      <c r="S1766" t="str">
        <f>LOOKUP(H1766,Sheet2!$Z$4:$AA$7)</f>
        <v>46+</v>
      </c>
      <c r="T1766" t="str">
        <f t="shared" si="81"/>
        <v>Positive</v>
      </c>
      <c r="U1766" t="str">
        <f t="shared" si="82"/>
        <v>Not Sampled</v>
      </c>
      <c r="V1766" s="1" t="str">
        <f t="shared" si="83"/>
        <v>Not Sampled</v>
      </c>
    </row>
    <row r="1767" spans="1:22" x14ac:dyDescent="0.25">
      <c r="A1767" s="1">
        <v>0</v>
      </c>
      <c r="B1767" s="1">
        <v>93</v>
      </c>
      <c r="C1767" s="1">
        <v>60</v>
      </c>
      <c r="D1767" s="1">
        <v>0</v>
      </c>
      <c r="E1767" s="1">
        <v>0</v>
      </c>
      <c r="F1767" s="1">
        <v>35.299999999999997</v>
      </c>
      <c r="G1767" s="1">
        <v>0.26300000000000001</v>
      </c>
      <c r="H1767" s="1">
        <v>25</v>
      </c>
      <c r="I1767" s="1">
        <v>0</v>
      </c>
      <c r="J1767" s="1" t="str">
        <f>IFERROR(VLOOKUP(K1767,[1]diabetes_Recognition!$A:$B,2,FALSE),"Not Sampled")</f>
        <v>Not Sampled</v>
      </c>
      <c r="K1767" s="1">
        <v>1765</v>
      </c>
      <c r="L1767" s="1">
        <f>LOOKUP(A1767,Sheet2!$D$4:$E$9)</f>
        <v>0</v>
      </c>
      <c r="M1767" t="str">
        <f>LOOKUP(B1767,Sheet2!$G$4:$H$9)</f>
        <v>1-99</v>
      </c>
      <c r="N1767" t="str">
        <f>LOOKUP(C1767,Sheet2!$J$4:$K$8)</f>
        <v>60-69</v>
      </c>
      <c r="O1767" t="str">
        <f>LOOKUP(D1767,Sheet2!$M$4:$N$8)</f>
        <v>Unknown</v>
      </c>
      <c r="P1767" t="str">
        <f>LOOKUP(E1767,Sheet2!$P$4:$Q$9)</f>
        <v>Unknown</v>
      </c>
      <c r="Q1767" t="str">
        <f>LOOKUP(F1767,Sheet2!$S$4:$T$8)</f>
        <v>31-35</v>
      </c>
      <c r="R1767" t="str">
        <f>LOOKUP(G1767,Sheet2!$V$4:$W$7)</f>
        <v>0.25 - 0.39</v>
      </c>
      <c r="S1767" t="str">
        <f>LOOKUP(H1767,Sheet2!$Z$4:$AA$7)</f>
        <v>&lt;=25</v>
      </c>
      <c r="T1767" t="str">
        <f t="shared" si="81"/>
        <v>Negative</v>
      </c>
      <c r="U1767" t="str">
        <f t="shared" si="82"/>
        <v>Not Sampled</v>
      </c>
      <c r="V1767" s="1" t="str">
        <f t="shared" si="83"/>
        <v>Not Sampled</v>
      </c>
    </row>
    <row r="1768" spans="1:22" x14ac:dyDescent="0.25">
      <c r="A1768" s="1">
        <v>3</v>
      </c>
      <c r="B1768" s="1">
        <v>121</v>
      </c>
      <c r="C1768" s="1">
        <v>52</v>
      </c>
      <c r="D1768" s="1">
        <v>0</v>
      </c>
      <c r="E1768" s="1">
        <v>0</v>
      </c>
      <c r="F1768" s="1">
        <v>36</v>
      </c>
      <c r="G1768" s="1">
        <v>0.127</v>
      </c>
      <c r="H1768" s="1">
        <v>25</v>
      </c>
      <c r="I1768" s="1">
        <v>1</v>
      </c>
      <c r="J1768" s="1" t="str">
        <f>IFERROR(VLOOKUP(K1768,[1]diabetes_Recognition!$A:$B,2,FALSE),"Not Sampled")</f>
        <v>Not Sampled</v>
      </c>
      <c r="K1768" s="1">
        <v>1766</v>
      </c>
      <c r="L1768" s="1" t="str">
        <f>LOOKUP(A1768,Sheet2!$D$4:$E$9)</f>
        <v>3-4</v>
      </c>
      <c r="M1768" t="str">
        <f>LOOKUP(B1768,Sheet2!$G$4:$H$9)</f>
        <v>100-125</v>
      </c>
      <c r="N1768" t="str">
        <f>LOOKUP(C1768,Sheet2!$J$4:$K$8)</f>
        <v>1-59</v>
      </c>
      <c r="O1768" t="str">
        <f>LOOKUP(D1768,Sheet2!$M$4:$N$8)</f>
        <v>Unknown</v>
      </c>
      <c r="P1768" t="str">
        <f>LOOKUP(E1768,Sheet2!$P$4:$Q$9)</f>
        <v>Unknown</v>
      </c>
      <c r="Q1768" t="str">
        <f>LOOKUP(F1768,Sheet2!$S$4:$T$8)</f>
        <v>36+</v>
      </c>
      <c r="R1768" t="str">
        <f>LOOKUP(G1768,Sheet2!$V$4:$W$7)</f>
        <v>0.0 - 0.249</v>
      </c>
      <c r="S1768" t="str">
        <f>LOOKUP(H1768,Sheet2!$Z$4:$AA$7)</f>
        <v>&lt;=25</v>
      </c>
      <c r="T1768" t="str">
        <f t="shared" si="81"/>
        <v>Positive</v>
      </c>
      <c r="U1768" t="str">
        <f t="shared" si="82"/>
        <v>Not Sampled</v>
      </c>
      <c r="V1768" s="1" t="str">
        <f t="shared" si="83"/>
        <v>Not Sampled</v>
      </c>
    </row>
    <row r="1769" spans="1:22" x14ac:dyDescent="0.25">
      <c r="A1769" s="1">
        <v>2</v>
      </c>
      <c r="B1769" s="1">
        <v>101</v>
      </c>
      <c r="C1769" s="1">
        <v>58</v>
      </c>
      <c r="D1769" s="1">
        <v>17</v>
      </c>
      <c r="E1769" s="1">
        <v>265</v>
      </c>
      <c r="F1769" s="1">
        <v>24.2</v>
      </c>
      <c r="G1769" s="1">
        <v>0.61399999999999999</v>
      </c>
      <c r="H1769" s="1">
        <v>23</v>
      </c>
      <c r="I1769" s="1">
        <v>0</v>
      </c>
      <c r="J1769" s="1" t="str">
        <f>IFERROR(VLOOKUP(K1769,[1]diabetes_Recognition!$A:$B,2,FALSE),"Not Sampled")</f>
        <v>Not Sampled</v>
      </c>
      <c r="K1769" s="1">
        <v>1767</v>
      </c>
      <c r="L1769" s="1">
        <f>LOOKUP(A1769,Sheet2!$D$4:$E$9)</f>
        <v>2</v>
      </c>
      <c r="M1769" t="str">
        <f>LOOKUP(B1769,Sheet2!$G$4:$H$9)</f>
        <v>100-125</v>
      </c>
      <c r="N1769" t="str">
        <f>LOOKUP(C1769,Sheet2!$J$4:$K$8)</f>
        <v>1-59</v>
      </c>
      <c r="O1769" t="str">
        <f>LOOKUP(D1769,Sheet2!$M$4:$N$8)</f>
        <v>10-30</v>
      </c>
      <c r="P1769" t="str">
        <f>LOOKUP(E1769,Sheet2!$P$4:$Q$9)</f>
        <v>200-399</v>
      </c>
      <c r="Q1769" t="str">
        <f>LOOKUP(F1769,Sheet2!$S$4:$T$8)</f>
        <v>1-25</v>
      </c>
      <c r="R1769" t="str">
        <f>LOOKUP(G1769,Sheet2!$V$4:$W$7)</f>
        <v>0.4 - 0.69</v>
      </c>
      <c r="S1769" t="str">
        <f>LOOKUP(H1769,Sheet2!$Z$4:$AA$7)</f>
        <v>&lt;=25</v>
      </c>
      <c r="T1769" t="str">
        <f t="shared" si="81"/>
        <v>Negative</v>
      </c>
      <c r="U1769" t="str">
        <f t="shared" si="82"/>
        <v>Not Sampled</v>
      </c>
      <c r="V1769" s="1" t="str">
        <f t="shared" si="83"/>
        <v>Not Sampled</v>
      </c>
    </row>
    <row r="1770" spans="1:22" x14ac:dyDescent="0.25">
      <c r="A1770" s="1">
        <v>2</v>
      </c>
      <c r="B1770" s="1">
        <v>56</v>
      </c>
      <c r="C1770" s="1">
        <v>56</v>
      </c>
      <c r="D1770" s="1">
        <v>28</v>
      </c>
      <c r="E1770" s="1">
        <v>45</v>
      </c>
      <c r="F1770" s="1">
        <v>24.2</v>
      </c>
      <c r="G1770" s="1">
        <v>0.33200000000000002</v>
      </c>
      <c r="H1770" s="1">
        <v>22</v>
      </c>
      <c r="I1770" s="1">
        <v>0</v>
      </c>
      <c r="J1770" s="1" t="str">
        <f>IFERROR(VLOOKUP(K1770,[1]diabetes_Recognition!$A:$B,2,FALSE),"Not Sampled")</f>
        <v>Not Sampled</v>
      </c>
      <c r="K1770" s="1">
        <v>1768</v>
      </c>
      <c r="L1770" s="1">
        <f>LOOKUP(A1770,Sheet2!$D$4:$E$9)</f>
        <v>2</v>
      </c>
      <c r="M1770" t="str">
        <f>LOOKUP(B1770,Sheet2!$G$4:$H$9)</f>
        <v>1-99</v>
      </c>
      <c r="N1770" t="str">
        <f>LOOKUP(C1770,Sheet2!$J$4:$K$8)</f>
        <v>1-59</v>
      </c>
      <c r="O1770" t="str">
        <f>LOOKUP(D1770,Sheet2!$M$4:$N$8)</f>
        <v>10-30</v>
      </c>
      <c r="P1770" t="str">
        <f>LOOKUP(E1770,Sheet2!$P$4:$Q$9)</f>
        <v>1-99</v>
      </c>
      <c r="Q1770" t="str">
        <f>LOOKUP(F1770,Sheet2!$S$4:$T$8)</f>
        <v>1-25</v>
      </c>
      <c r="R1770" t="str">
        <f>LOOKUP(G1770,Sheet2!$V$4:$W$7)</f>
        <v>0.25 - 0.39</v>
      </c>
      <c r="S1770" t="str">
        <f>LOOKUP(H1770,Sheet2!$Z$4:$AA$7)</f>
        <v>&lt;=25</v>
      </c>
      <c r="T1770" t="str">
        <f t="shared" si="81"/>
        <v>Negative</v>
      </c>
      <c r="U1770" t="str">
        <f t="shared" si="82"/>
        <v>Not Sampled</v>
      </c>
      <c r="V1770" s="1" t="str">
        <f t="shared" si="83"/>
        <v>Not Sampled</v>
      </c>
    </row>
    <row r="1771" spans="1:22" x14ac:dyDescent="0.25">
      <c r="A1771" s="1">
        <v>0</v>
      </c>
      <c r="B1771" s="1">
        <v>162</v>
      </c>
      <c r="C1771" s="1">
        <v>76</v>
      </c>
      <c r="D1771" s="1">
        <v>36</v>
      </c>
      <c r="E1771" s="1">
        <v>0</v>
      </c>
      <c r="F1771" s="1">
        <v>49.6</v>
      </c>
      <c r="G1771" s="1">
        <v>0.36399999999999999</v>
      </c>
      <c r="H1771" s="1">
        <v>26</v>
      </c>
      <c r="I1771" s="1">
        <v>1</v>
      </c>
      <c r="J1771" s="1" t="str">
        <f>IFERROR(VLOOKUP(K1771,[1]diabetes_Recognition!$A:$B,2,FALSE),"Not Sampled")</f>
        <v>Not Sampled</v>
      </c>
      <c r="K1771" s="1">
        <v>1769</v>
      </c>
      <c r="L1771" s="1">
        <f>LOOKUP(A1771,Sheet2!$D$4:$E$9)</f>
        <v>0</v>
      </c>
      <c r="M1771" t="str">
        <f>LOOKUP(B1771,Sheet2!$G$4:$H$9)</f>
        <v>151-175</v>
      </c>
      <c r="N1771" t="str">
        <f>LOOKUP(C1771,Sheet2!$J$4:$K$8)</f>
        <v>70-79</v>
      </c>
      <c r="O1771" t="str">
        <f>LOOKUP(D1771,Sheet2!$M$4:$N$8)</f>
        <v>30-39</v>
      </c>
      <c r="P1771" t="str">
        <f>LOOKUP(E1771,Sheet2!$P$4:$Q$9)</f>
        <v>Unknown</v>
      </c>
      <c r="Q1771" t="str">
        <f>LOOKUP(F1771,Sheet2!$S$4:$T$8)</f>
        <v>36+</v>
      </c>
      <c r="R1771" t="str">
        <f>LOOKUP(G1771,Sheet2!$V$4:$W$7)</f>
        <v>0.25 - 0.39</v>
      </c>
      <c r="S1771" t="str">
        <f>LOOKUP(H1771,Sheet2!$Z$4:$AA$7)</f>
        <v>26-35</v>
      </c>
      <c r="T1771" t="str">
        <f t="shared" si="81"/>
        <v>Positive</v>
      </c>
      <c r="U1771" t="str">
        <f t="shared" si="82"/>
        <v>Not Sampled</v>
      </c>
      <c r="V1771" s="1" t="str">
        <f t="shared" si="83"/>
        <v>Not Sampled</v>
      </c>
    </row>
    <row r="1772" spans="1:22" x14ac:dyDescent="0.25">
      <c r="A1772" s="1">
        <v>0</v>
      </c>
      <c r="B1772" s="1">
        <v>95</v>
      </c>
      <c r="C1772" s="1">
        <v>64</v>
      </c>
      <c r="D1772" s="1">
        <v>39</v>
      </c>
      <c r="E1772" s="1">
        <v>105</v>
      </c>
      <c r="F1772" s="1">
        <v>44.6</v>
      </c>
      <c r="G1772" s="1">
        <v>0.36599999999999999</v>
      </c>
      <c r="H1772" s="1">
        <v>22</v>
      </c>
      <c r="I1772" s="1">
        <v>0</v>
      </c>
      <c r="J1772" s="1" t="str">
        <f>IFERROR(VLOOKUP(K1772,[1]diabetes_Recognition!$A:$B,2,FALSE),"Not Sampled")</f>
        <v>Not Sampled</v>
      </c>
      <c r="K1772" s="1">
        <v>1770</v>
      </c>
      <c r="L1772" s="1">
        <f>LOOKUP(A1772,Sheet2!$D$4:$E$9)</f>
        <v>0</v>
      </c>
      <c r="M1772" t="str">
        <f>LOOKUP(B1772,Sheet2!$G$4:$H$9)</f>
        <v>1-99</v>
      </c>
      <c r="N1772" t="str">
        <f>LOOKUP(C1772,Sheet2!$J$4:$K$8)</f>
        <v>60-69</v>
      </c>
      <c r="O1772" t="str">
        <f>LOOKUP(D1772,Sheet2!$M$4:$N$8)</f>
        <v>30-39</v>
      </c>
      <c r="P1772" t="str">
        <f>LOOKUP(E1772,Sheet2!$P$4:$Q$9)</f>
        <v>100-199</v>
      </c>
      <c r="Q1772" t="str">
        <f>LOOKUP(F1772,Sheet2!$S$4:$T$8)</f>
        <v>36+</v>
      </c>
      <c r="R1772" t="str">
        <f>LOOKUP(G1772,Sheet2!$V$4:$W$7)</f>
        <v>0.25 - 0.39</v>
      </c>
      <c r="S1772" t="str">
        <f>LOOKUP(H1772,Sheet2!$Z$4:$AA$7)</f>
        <v>&lt;=25</v>
      </c>
      <c r="T1772" t="str">
        <f t="shared" si="81"/>
        <v>Negative</v>
      </c>
      <c r="U1772" t="str">
        <f t="shared" si="82"/>
        <v>Not Sampled</v>
      </c>
      <c r="V1772" s="1" t="str">
        <f t="shared" si="83"/>
        <v>Not Sampled</v>
      </c>
    </row>
    <row r="1773" spans="1:22" x14ac:dyDescent="0.25">
      <c r="A1773" s="1">
        <v>4</v>
      </c>
      <c r="B1773" s="1">
        <v>125</v>
      </c>
      <c r="C1773" s="1">
        <v>80</v>
      </c>
      <c r="D1773" s="1">
        <v>0</v>
      </c>
      <c r="E1773" s="1">
        <v>0</v>
      </c>
      <c r="F1773" s="1">
        <v>32.299999999999997</v>
      </c>
      <c r="G1773" s="1">
        <v>0.53600000000000003</v>
      </c>
      <c r="H1773" s="1">
        <v>27</v>
      </c>
      <c r="I1773" s="1">
        <v>1</v>
      </c>
      <c r="J1773" s="1" t="str">
        <f>IFERROR(VLOOKUP(K1773,[1]diabetes_Recognition!$A:$B,2,FALSE),"Not Sampled")</f>
        <v>Not Sampled</v>
      </c>
      <c r="K1773" s="1">
        <v>1771</v>
      </c>
      <c r="L1773" s="1" t="str">
        <f>LOOKUP(A1773,Sheet2!$D$4:$E$9)</f>
        <v>3-4</v>
      </c>
      <c r="M1773" t="str">
        <f>LOOKUP(B1773,Sheet2!$G$4:$H$9)</f>
        <v>100-125</v>
      </c>
      <c r="N1773" t="str">
        <f>LOOKUP(C1773,Sheet2!$J$4:$K$8)</f>
        <v>80+</v>
      </c>
      <c r="O1773" t="str">
        <f>LOOKUP(D1773,Sheet2!$M$4:$N$8)</f>
        <v>Unknown</v>
      </c>
      <c r="P1773" t="str">
        <f>LOOKUP(E1773,Sheet2!$P$4:$Q$9)</f>
        <v>Unknown</v>
      </c>
      <c r="Q1773" t="str">
        <f>LOOKUP(F1773,Sheet2!$S$4:$T$8)</f>
        <v>31-35</v>
      </c>
      <c r="R1773" t="str">
        <f>LOOKUP(G1773,Sheet2!$V$4:$W$7)</f>
        <v>0.4 - 0.69</v>
      </c>
      <c r="S1773" t="str">
        <f>LOOKUP(H1773,Sheet2!$Z$4:$AA$7)</f>
        <v>26-35</v>
      </c>
      <c r="T1773" t="str">
        <f t="shared" si="81"/>
        <v>Positive</v>
      </c>
      <c r="U1773" t="str">
        <f t="shared" si="82"/>
        <v>Not Sampled</v>
      </c>
      <c r="V1773" s="1" t="str">
        <f t="shared" si="83"/>
        <v>Not Sampled</v>
      </c>
    </row>
    <row r="1774" spans="1:22" x14ac:dyDescent="0.25">
      <c r="A1774" s="1">
        <v>5</v>
      </c>
      <c r="B1774" s="1">
        <v>136</v>
      </c>
      <c r="C1774" s="1">
        <v>82</v>
      </c>
      <c r="D1774" s="1">
        <v>0</v>
      </c>
      <c r="E1774" s="1">
        <v>0</v>
      </c>
      <c r="F1774" s="1">
        <v>0</v>
      </c>
      <c r="G1774" s="1">
        <v>0.64</v>
      </c>
      <c r="H1774" s="1">
        <v>69</v>
      </c>
      <c r="I1774" s="1">
        <v>0</v>
      </c>
      <c r="J1774" s="1" t="str">
        <f>IFERROR(VLOOKUP(K1774,[1]diabetes_Recognition!$A:$B,2,FALSE),"Not Sampled")</f>
        <v>Not Sampled</v>
      </c>
      <c r="K1774" s="1">
        <v>1772</v>
      </c>
      <c r="L1774" s="1" t="str">
        <f>LOOKUP(A1774,Sheet2!$D$4:$E$9)</f>
        <v>5-7</v>
      </c>
      <c r="M1774" t="str">
        <f>LOOKUP(B1774,Sheet2!$G$4:$H$9)</f>
        <v>126-150</v>
      </c>
      <c r="N1774" t="str">
        <f>LOOKUP(C1774,Sheet2!$J$4:$K$8)</f>
        <v>80+</v>
      </c>
      <c r="O1774" t="str">
        <f>LOOKUP(D1774,Sheet2!$M$4:$N$8)</f>
        <v>Unknown</v>
      </c>
      <c r="P1774" t="str">
        <f>LOOKUP(E1774,Sheet2!$P$4:$Q$9)</f>
        <v>Unknown</v>
      </c>
      <c r="Q1774" t="str">
        <f>LOOKUP(F1774,Sheet2!$S$4:$T$8)</f>
        <v>Unknown</v>
      </c>
      <c r="R1774" t="str">
        <f>LOOKUP(G1774,Sheet2!$V$4:$W$7)</f>
        <v>0.4 - 0.69</v>
      </c>
      <c r="S1774" t="str">
        <f>LOOKUP(H1774,Sheet2!$Z$4:$AA$7)</f>
        <v>46+</v>
      </c>
      <c r="T1774" t="str">
        <f t="shared" si="81"/>
        <v>Negative</v>
      </c>
      <c r="U1774" t="str">
        <f t="shared" si="82"/>
        <v>Not Sampled</v>
      </c>
      <c r="V1774" s="1" t="str">
        <f t="shared" si="83"/>
        <v>Not Sampled</v>
      </c>
    </row>
    <row r="1775" spans="1:22" x14ac:dyDescent="0.25">
      <c r="A1775" s="1">
        <v>2</v>
      </c>
      <c r="B1775" s="1">
        <v>129</v>
      </c>
      <c r="C1775" s="1">
        <v>74</v>
      </c>
      <c r="D1775" s="1">
        <v>26</v>
      </c>
      <c r="E1775" s="1">
        <v>205</v>
      </c>
      <c r="F1775" s="1">
        <v>33.200000000000003</v>
      </c>
      <c r="G1775" s="1">
        <v>0.59099999999999997</v>
      </c>
      <c r="H1775" s="1">
        <v>25</v>
      </c>
      <c r="I1775" s="1">
        <v>0</v>
      </c>
      <c r="J1775" s="1" t="str">
        <f>IFERROR(VLOOKUP(K1775,[1]diabetes_Recognition!$A:$B,2,FALSE),"Not Sampled")</f>
        <v>Not Sampled</v>
      </c>
      <c r="K1775" s="1">
        <v>1773</v>
      </c>
      <c r="L1775" s="1">
        <f>LOOKUP(A1775,Sheet2!$D$4:$E$9)</f>
        <v>2</v>
      </c>
      <c r="M1775" t="str">
        <f>LOOKUP(B1775,Sheet2!$G$4:$H$9)</f>
        <v>126-150</v>
      </c>
      <c r="N1775" t="str">
        <f>LOOKUP(C1775,Sheet2!$J$4:$K$8)</f>
        <v>70-79</v>
      </c>
      <c r="O1775" t="str">
        <f>LOOKUP(D1775,Sheet2!$M$4:$N$8)</f>
        <v>10-30</v>
      </c>
      <c r="P1775" t="str">
        <f>LOOKUP(E1775,Sheet2!$P$4:$Q$9)</f>
        <v>200-399</v>
      </c>
      <c r="Q1775" t="str">
        <f>LOOKUP(F1775,Sheet2!$S$4:$T$8)</f>
        <v>31-35</v>
      </c>
      <c r="R1775" t="str">
        <f>LOOKUP(G1775,Sheet2!$V$4:$W$7)</f>
        <v>0.4 - 0.69</v>
      </c>
      <c r="S1775" t="str">
        <f>LOOKUP(H1775,Sheet2!$Z$4:$AA$7)</f>
        <v>&lt;=25</v>
      </c>
      <c r="T1775" t="str">
        <f t="shared" si="81"/>
        <v>Negative</v>
      </c>
      <c r="U1775" t="str">
        <f t="shared" si="82"/>
        <v>Not Sampled</v>
      </c>
      <c r="V1775" s="1" t="str">
        <f t="shared" si="83"/>
        <v>Not Sampled</v>
      </c>
    </row>
    <row r="1776" spans="1:22" x14ac:dyDescent="0.25">
      <c r="A1776" s="1">
        <v>3</v>
      </c>
      <c r="B1776" s="1">
        <v>130</v>
      </c>
      <c r="C1776" s="1">
        <v>64</v>
      </c>
      <c r="D1776" s="1">
        <v>0</v>
      </c>
      <c r="E1776" s="1">
        <v>0</v>
      </c>
      <c r="F1776" s="1">
        <v>23.1</v>
      </c>
      <c r="G1776" s="1">
        <v>0.314</v>
      </c>
      <c r="H1776" s="1">
        <v>22</v>
      </c>
      <c r="I1776" s="1">
        <v>0</v>
      </c>
      <c r="J1776" s="1" t="str">
        <f>IFERROR(VLOOKUP(K1776,[1]diabetes_Recognition!$A:$B,2,FALSE),"Not Sampled")</f>
        <v>Not Sampled</v>
      </c>
      <c r="K1776" s="1">
        <v>1774</v>
      </c>
      <c r="L1776" s="1" t="str">
        <f>LOOKUP(A1776,Sheet2!$D$4:$E$9)</f>
        <v>3-4</v>
      </c>
      <c r="M1776" t="str">
        <f>LOOKUP(B1776,Sheet2!$G$4:$H$9)</f>
        <v>126-150</v>
      </c>
      <c r="N1776" t="str">
        <f>LOOKUP(C1776,Sheet2!$J$4:$K$8)</f>
        <v>60-69</v>
      </c>
      <c r="O1776" t="str">
        <f>LOOKUP(D1776,Sheet2!$M$4:$N$8)</f>
        <v>Unknown</v>
      </c>
      <c r="P1776" t="str">
        <f>LOOKUP(E1776,Sheet2!$P$4:$Q$9)</f>
        <v>Unknown</v>
      </c>
      <c r="Q1776" t="str">
        <f>LOOKUP(F1776,Sheet2!$S$4:$T$8)</f>
        <v>1-25</v>
      </c>
      <c r="R1776" t="str">
        <f>LOOKUP(G1776,Sheet2!$V$4:$W$7)</f>
        <v>0.25 - 0.39</v>
      </c>
      <c r="S1776" t="str">
        <f>LOOKUP(H1776,Sheet2!$Z$4:$AA$7)</f>
        <v>&lt;=25</v>
      </c>
      <c r="T1776" t="str">
        <f t="shared" si="81"/>
        <v>Negative</v>
      </c>
      <c r="U1776" t="str">
        <f t="shared" si="82"/>
        <v>Not Sampled</v>
      </c>
      <c r="V1776" s="1" t="str">
        <f t="shared" si="83"/>
        <v>Not Sampled</v>
      </c>
    </row>
    <row r="1777" spans="1:22" x14ac:dyDescent="0.25">
      <c r="A1777" s="1">
        <v>1</v>
      </c>
      <c r="B1777" s="1">
        <v>107</v>
      </c>
      <c r="C1777" s="1">
        <v>50</v>
      </c>
      <c r="D1777" s="1">
        <v>19</v>
      </c>
      <c r="E1777" s="1">
        <v>0</v>
      </c>
      <c r="F1777" s="1">
        <v>28.3</v>
      </c>
      <c r="G1777" s="1">
        <v>0.18099999999999999</v>
      </c>
      <c r="H1777" s="1">
        <v>29</v>
      </c>
      <c r="I1777" s="1">
        <v>0</v>
      </c>
      <c r="J1777" s="1" t="str">
        <f>IFERROR(VLOOKUP(K1777,[1]diabetes_Recognition!$A:$B,2,FALSE),"Not Sampled")</f>
        <v>Not Sampled</v>
      </c>
      <c r="K1777" s="1">
        <v>1775</v>
      </c>
      <c r="L1777" s="1">
        <f>LOOKUP(A1777,Sheet2!$D$4:$E$9)</f>
        <v>1</v>
      </c>
      <c r="M1777" t="str">
        <f>LOOKUP(B1777,Sheet2!$G$4:$H$9)</f>
        <v>100-125</v>
      </c>
      <c r="N1777" t="str">
        <f>LOOKUP(C1777,Sheet2!$J$4:$K$8)</f>
        <v>1-59</v>
      </c>
      <c r="O1777" t="str">
        <f>LOOKUP(D1777,Sheet2!$M$4:$N$8)</f>
        <v>10-30</v>
      </c>
      <c r="P1777" t="str">
        <f>LOOKUP(E1777,Sheet2!$P$4:$Q$9)</f>
        <v>Unknown</v>
      </c>
      <c r="Q1777" t="str">
        <f>LOOKUP(F1777,Sheet2!$S$4:$T$8)</f>
        <v>26-30</v>
      </c>
      <c r="R1777" t="str">
        <f>LOOKUP(G1777,Sheet2!$V$4:$W$7)</f>
        <v>0.0 - 0.249</v>
      </c>
      <c r="S1777" t="str">
        <f>LOOKUP(H1777,Sheet2!$Z$4:$AA$7)</f>
        <v>26-35</v>
      </c>
      <c r="T1777" t="str">
        <f t="shared" si="81"/>
        <v>Negative</v>
      </c>
      <c r="U1777" t="str">
        <f t="shared" si="82"/>
        <v>Not Sampled</v>
      </c>
      <c r="V1777" s="1" t="str">
        <f t="shared" si="83"/>
        <v>Not Sampled</v>
      </c>
    </row>
    <row r="1778" spans="1:22" x14ac:dyDescent="0.25">
      <c r="A1778" s="1">
        <v>1</v>
      </c>
      <c r="B1778" s="1">
        <v>140</v>
      </c>
      <c r="C1778" s="1">
        <v>74</v>
      </c>
      <c r="D1778" s="1">
        <v>26</v>
      </c>
      <c r="E1778" s="1">
        <v>180</v>
      </c>
      <c r="F1778" s="1">
        <v>24.1</v>
      </c>
      <c r="G1778" s="1">
        <v>0.82799999999999996</v>
      </c>
      <c r="H1778" s="1">
        <v>23</v>
      </c>
      <c r="I1778" s="1">
        <v>0</v>
      </c>
      <c r="J1778" s="1" t="str">
        <f>IFERROR(VLOOKUP(K1778,[1]diabetes_Recognition!$A:$B,2,FALSE),"Not Sampled")</f>
        <v>Not Sampled</v>
      </c>
      <c r="K1778" s="1">
        <v>1776</v>
      </c>
      <c r="L1778" s="1">
        <f>LOOKUP(A1778,Sheet2!$D$4:$E$9)</f>
        <v>1</v>
      </c>
      <c r="M1778" t="str">
        <f>LOOKUP(B1778,Sheet2!$G$4:$H$9)</f>
        <v>126-150</v>
      </c>
      <c r="N1778" t="str">
        <f>LOOKUP(C1778,Sheet2!$J$4:$K$8)</f>
        <v>70-79</v>
      </c>
      <c r="O1778" t="str">
        <f>LOOKUP(D1778,Sheet2!$M$4:$N$8)</f>
        <v>10-30</v>
      </c>
      <c r="P1778" t="str">
        <f>LOOKUP(E1778,Sheet2!$P$4:$Q$9)</f>
        <v>100-199</v>
      </c>
      <c r="Q1778" t="str">
        <f>LOOKUP(F1778,Sheet2!$S$4:$T$8)</f>
        <v>1-25</v>
      </c>
      <c r="R1778" t="str">
        <f>LOOKUP(G1778,Sheet2!$V$4:$W$7)</f>
        <v>0.7+</v>
      </c>
      <c r="S1778" t="str">
        <f>LOOKUP(H1778,Sheet2!$Z$4:$AA$7)</f>
        <v>&lt;=25</v>
      </c>
      <c r="T1778" t="str">
        <f t="shared" si="81"/>
        <v>Negative</v>
      </c>
      <c r="U1778" t="str">
        <f t="shared" si="82"/>
        <v>Not Sampled</v>
      </c>
      <c r="V1778" s="1" t="str">
        <f t="shared" si="83"/>
        <v>Not Sampled</v>
      </c>
    </row>
    <row r="1779" spans="1:22" x14ac:dyDescent="0.25">
      <c r="A1779" s="1">
        <v>1</v>
      </c>
      <c r="B1779" s="1">
        <v>144</v>
      </c>
      <c r="C1779" s="1">
        <v>82</v>
      </c>
      <c r="D1779" s="1">
        <v>46</v>
      </c>
      <c r="E1779" s="1">
        <v>180</v>
      </c>
      <c r="F1779" s="1">
        <v>46.1</v>
      </c>
      <c r="G1779" s="1">
        <v>0.33500000000000002</v>
      </c>
      <c r="H1779" s="1">
        <v>46</v>
      </c>
      <c r="I1779" s="1">
        <v>1</v>
      </c>
      <c r="J1779" s="1" t="str">
        <f>IFERROR(VLOOKUP(K1779,[1]diabetes_Recognition!$A:$B,2,FALSE),"Not Sampled")</f>
        <v>Not Sampled</v>
      </c>
      <c r="K1779" s="1">
        <v>1777</v>
      </c>
      <c r="L1779" s="1">
        <f>LOOKUP(A1779,Sheet2!$D$4:$E$9)</f>
        <v>1</v>
      </c>
      <c r="M1779" t="str">
        <f>LOOKUP(B1779,Sheet2!$G$4:$H$9)</f>
        <v>126-150</v>
      </c>
      <c r="N1779" t="str">
        <f>LOOKUP(C1779,Sheet2!$J$4:$K$8)</f>
        <v>80+</v>
      </c>
      <c r="O1779" t="str">
        <f>LOOKUP(D1779,Sheet2!$M$4:$N$8)</f>
        <v>40+</v>
      </c>
      <c r="P1779" t="str">
        <f>LOOKUP(E1779,Sheet2!$P$4:$Q$9)</f>
        <v>100-199</v>
      </c>
      <c r="Q1779" t="str">
        <f>LOOKUP(F1779,Sheet2!$S$4:$T$8)</f>
        <v>36+</v>
      </c>
      <c r="R1779" t="str">
        <f>LOOKUP(G1779,Sheet2!$V$4:$W$7)</f>
        <v>0.25 - 0.39</v>
      </c>
      <c r="S1779" t="str">
        <f>LOOKUP(H1779,Sheet2!$Z$4:$AA$7)</f>
        <v>46+</v>
      </c>
      <c r="T1779" t="str">
        <f t="shared" si="81"/>
        <v>Positive</v>
      </c>
      <c r="U1779" t="str">
        <f t="shared" si="82"/>
        <v>Not Sampled</v>
      </c>
      <c r="V1779" s="1" t="str">
        <f t="shared" si="83"/>
        <v>Not Sampled</v>
      </c>
    </row>
    <row r="1780" spans="1:22" x14ac:dyDescent="0.25">
      <c r="A1780" s="1">
        <v>8</v>
      </c>
      <c r="B1780" s="1">
        <v>107</v>
      </c>
      <c r="C1780" s="1">
        <v>80</v>
      </c>
      <c r="D1780" s="1">
        <v>0</v>
      </c>
      <c r="E1780" s="1">
        <v>0</v>
      </c>
      <c r="F1780" s="1">
        <v>24.6</v>
      </c>
      <c r="G1780" s="1">
        <v>0.85599999999999998</v>
      </c>
      <c r="H1780" s="1">
        <v>34</v>
      </c>
      <c r="I1780" s="1">
        <v>0</v>
      </c>
      <c r="J1780" s="1">
        <f>IFERROR(VLOOKUP(K1780,[1]diabetes_Recognition!$A:$B,2,FALSE),"Not Sampled")</f>
        <v>0</v>
      </c>
      <c r="K1780" s="1">
        <v>1778</v>
      </c>
      <c r="L1780" s="1" t="str">
        <f>LOOKUP(A1780,Sheet2!$D$4:$E$9)</f>
        <v>8+</v>
      </c>
      <c r="M1780" t="str">
        <f>LOOKUP(B1780,Sheet2!$G$4:$H$9)</f>
        <v>100-125</v>
      </c>
      <c r="N1780" t="str">
        <f>LOOKUP(C1780,Sheet2!$J$4:$K$8)</f>
        <v>80+</v>
      </c>
      <c r="O1780" t="str">
        <f>LOOKUP(D1780,Sheet2!$M$4:$N$8)</f>
        <v>Unknown</v>
      </c>
      <c r="P1780" t="str">
        <f>LOOKUP(E1780,Sheet2!$P$4:$Q$9)</f>
        <v>Unknown</v>
      </c>
      <c r="Q1780" t="str">
        <f>LOOKUP(F1780,Sheet2!$S$4:$T$8)</f>
        <v>1-25</v>
      </c>
      <c r="R1780" t="str">
        <f>LOOKUP(G1780,Sheet2!$V$4:$W$7)</f>
        <v>0.7+</v>
      </c>
      <c r="S1780" t="str">
        <f>LOOKUP(H1780,Sheet2!$Z$4:$AA$7)</f>
        <v>26-35</v>
      </c>
      <c r="T1780" t="str">
        <f t="shared" si="81"/>
        <v>Negative</v>
      </c>
      <c r="U1780" t="str">
        <f t="shared" si="82"/>
        <v>Negative</v>
      </c>
      <c r="V1780" s="1" t="str">
        <f t="shared" si="83"/>
        <v>Accurate Prediction</v>
      </c>
    </row>
    <row r="1781" spans="1:22" x14ac:dyDescent="0.25">
      <c r="A1781" s="1">
        <v>13</v>
      </c>
      <c r="B1781" s="1">
        <v>158</v>
      </c>
      <c r="C1781" s="1">
        <v>114</v>
      </c>
      <c r="D1781" s="1">
        <v>0</v>
      </c>
      <c r="E1781" s="1">
        <v>0</v>
      </c>
      <c r="F1781" s="1">
        <v>42.3</v>
      </c>
      <c r="G1781" s="1">
        <v>0.25700000000000001</v>
      </c>
      <c r="H1781" s="1">
        <v>44</v>
      </c>
      <c r="I1781" s="1">
        <v>1</v>
      </c>
      <c r="J1781" s="1" t="str">
        <f>IFERROR(VLOOKUP(K1781,[1]diabetes_Recognition!$A:$B,2,FALSE),"Not Sampled")</f>
        <v>Not Sampled</v>
      </c>
      <c r="K1781" s="1">
        <v>1779</v>
      </c>
      <c r="L1781" s="1" t="str">
        <f>LOOKUP(A1781,Sheet2!$D$4:$E$9)</f>
        <v>8+</v>
      </c>
      <c r="M1781" t="str">
        <f>LOOKUP(B1781,Sheet2!$G$4:$H$9)</f>
        <v>151-175</v>
      </c>
      <c r="N1781" t="str">
        <f>LOOKUP(C1781,Sheet2!$J$4:$K$8)</f>
        <v>80+</v>
      </c>
      <c r="O1781" t="str">
        <f>LOOKUP(D1781,Sheet2!$M$4:$N$8)</f>
        <v>Unknown</v>
      </c>
      <c r="P1781" t="str">
        <f>LOOKUP(E1781,Sheet2!$P$4:$Q$9)</f>
        <v>Unknown</v>
      </c>
      <c r="Q1781" t="str">
        <f>LOOKUP(F1781,Sheet2!$S$4:$T$8)</f>
        <v>36+</v>
      </c>
      <c r="R1781" t="str">
        <f>LOOKUP(G1781,Sheet2!$V$4:$W$7)</f>
        <v>0.25 - 0.39</v>
      </c>
      <c r="S1781" t="str">
        <f>LOOKUP(H1781,Sheet2!$Z$4:$AA$7)</f>
        <v>36-45</v>
      </c>
      <c r="T1781" t="str">
        <f t="shared" si="81"/>
        <v>Positive</v>
      </c>
      <c r="U1781" t="str">
        <f t="shared" si="82"/>
        <v>Not Sampled</v>
      </c>
      <c r="V1781" s="1" t="str">
        <f t="shared" si="83"/>
        <v>Not Sampled</v>
      </c>
    </row>
    <row r="1782" spans="1:22" x14ac:dyDescent="0.25">
      <c r="A1782" s="1">
        <v>2</v>
      </c>
      <c r="B1782" s="1">
        <v>121</v>
      </c>
      <c r="C1782" s="1">
        <v>70</v>
      </c>
      <c r="D1782" s="1">
        <v>32</v>
      </c>
      <c r="E1782" s="1">
        <v>95</v>
      </c>
      <c r="F1782" s="1">
        <v>39.1</v>
      </c>
      <c r="G1782" s="1">
        <v>0.88600000000000001</v>
      </c>
      <c r="H1782" s="1">
        <v>23</v>
      </c>
      <c r="I1782" s="1">
        <v>0</v>
      </c>
      <c r="J1782" s="1" t="str">
        <f>IFERROR(VLOOKUP(K1782,[1]diabetes_Recognition!$A:$B,2,FALSE),"Not Sampled")</f>
        <v>Not Sampled</v>
      </c>
      <c r="K1782" s="1">
        <v>1780</v>
      </c>
      <c r="L1782" s="1">
        <f>LOOKUP(A1782,Sheet2!$D$4:$E$9)</f>
        <v>2</v>
      </c>
      <c r="M1782" t="str">
        <f>LOOKUP(B1782,Sheet2!$G$4:$H$9)</f>
        <v>100-125</v>
      </c>
      <c r="N1782" t="str">
        <f>LOOKUP(C1782,Sheet2!$J$4:$K$8)</f>
        <v>70-79</v>
      </c>
      <c r="O1782" t="str">
        <f>LOOKUP(D1782,Sheet2!$M$4:$N$8)</f>
        <v>30-39</v>
      </c>
      <c r="P1782" t="str">
        <f>LOOKUP(E1782,Sheet2!$P$4:$Q$9)</f>
        <v>1-99</v>
      </c>
      <c r="Q1782" t="str">
        <f>LOOKUP(F1782,Sheet2!$S$4:$T$8)</f>
        <v>36+</v>
      </c>
      <c r="R1782" t="str">
        <f>LOOKUP(G1782,Sheet2!$V$4:$W$7)</f>
        <v>0.7+</v>
      </c>
      <c r="S1782" t="str">
        <f>LOOKUP(H1782,Sheet2!$Z$4:$AA$7)</f>
        <v>&lt;=25</v>
      </c>
      <c r="T1782" t="str">
        <f t="shared" si="81"/>
        <v>Negative</v>
      </c>
      <c r="U1782" t="str">
        <f t="shared" si="82"/>
        <v>Not Sampled</v>
      </c>
      <c r="V1782" s="1" t="str">
        <f t="shared" si="83"/>
        <v>Not Sampled</v>
      </c>
    </row>
    <row r="1783" spans="1:22" x14ac:dyDescent="0.25">
      <c r="A1783" s="1">
        <v>7</v>
      </c>
      <c r="B1783" s="1">
        <v>129</v>
      </c>
      <c r="C1783" s="1">
        <v>68</v>
      </c>
      <c r="D1783" s="1">
        <v>49</v>
      </c>
      <c r="E1783" s="1">
        <v>125</v>
      </c>
      <c r="F1783" s="1">
        <v>38.5</v>
      </c>
      <c r="G1783" s="1">
        <v>0.439</v>
      </c>
      <c r="H1783" s="1">
        <v>43</v>
      </c>
      <c r="I1783" s="1">
        <v>1</v>
      </c>
      <c r="J1783" s="1">
        <f>IFERROR(VLOOKUP(K1783,[1]diabetes_Recognition!$A:$B,2,FALSE),"Not Sampled")</f>
        <v>1</v>
      </c>
      <c r="K1783" s="1">
        <v>1781</v>
      </c>
      <c r="L1783" s="1" t="str">
        <f>LOOKUP(A1783,Sheet2!$D$4:$E$9)</f>
        <v>5-7</v>
      </c>
      <c r="M1783" t="str">
        <f>LOOKUP(B1783,Sheet2!$G$4:$H$9)</f>
        <v>126-150</v>
      </c>
      <c r="N1783" t="str">
        <f>LOOKUP(C1783,Sheet2!$J$4:$K$8)</f>
        <v>60-69</v>
      </c>
      <c r="O1783" t="str">
        <f>LOOKUP(D1783,Sheet2!$M$4:$N$8)</f>
        <v>40+</v>
      </c>
      <c r="P1783" t="str">
        <f>LOOKUP(E1783,Sheet2!$P$4:$Q$9)</f>
        <v>100-199</v>
      </c>
      <c r="Q1783" t="str">
        <f>LOOKUP(F1783,Sheet2!$S$4:$T$8)</f>
        <v>36+</v>
      </c>
      <c r="R1783" t="str">
        <f>LOOKUP(G1783,Sheet2!$V$4:$W$7)</f>
        <v>0.4 - 0.69</v>
      </c>
      <c r="S1783" t="str">
        <f>LOOKUP(H1783,Sheet2!$Z$4:$AA$7)</f>
        <v>36-45</v>
      </c>
      <c r="T1783" t="str">
        <f t="shared" si="81"/>
        <v>Positive</v>
      </c>
      <c r="U1783" t="str">
        <f t="shared" si="82"/>
        <v>Positive</v>
      </c>
      <c r="V1783" s="1" t="str">
        <f t="shared" si="83"/>
        <v>Accurate Prediction</v>
      </c>
    </row>
    <row r="1784" spans="1:22" x14ac:dyDescent="0.25">
      <c r="A1784" s="1">
        <v>2</v>
      </c>
      <c r="B1784" s="1">
        <v>90</v>
      </c>
      <c r="C1784" s="1">
        <v>60</v>
      </c>
      <c r="D1784" s="1">
        <v>0</v>
      </c>
      <c r="E1784" s="1">
        <v>0</v>
      </c>
      <c r="F1784" s="1">
        <v>23.5</v>
      </c>
      <c r="G1784" s="1">
        <v>0.191</v>
      </c>
      <c r="H1784" s="1">
        <v>25</v>
      </c>
      <c r="I1784" s="1">
        <v>0</v>
      </c>
      <c r="J1784" s="1" t="str">
        <f>IFERROR(VLOOKUP(K1784,[1]diabetes_Recognition!$A:$B,2,FALSE),"Not Sampled")</f>
        <v>Not Sampled</v>
      </c>
      <c r="K1784" s="1">
        <v>1782</v>
      </c>
      <c r="L1784" s="1">
        <f>LOOKUP(A1784,Sheet2!$D$4:$E$9)</f>
        <v>2</v>
      </c>
      <c r="M1784" t="str">
        <f>LOOKUP(B1784,Sheet2!$G$4:$H$9)</f>
        <v>1-99</v>
      </c>
      <c r="N1784" t="str">
        <f>LOOKUP(C1784,Sheet2!$J$4:$K$8)</f>
        <v>60-69</v>
      </c>
      <c r="O1784" t="str">
        <f>LOOKUP(D1784,Sheet2!$M$4:$N$8)</f>
        <v>Unknown</v>
      </c>
      <c r="P1784" t="str">
        <f>LOOKUP(E1784,Sheet2!$P$4:$Q$9)</f>
        <v>Unknown</v>
      </c>
      <c r="Q1784" t="str">
        <f>LOOKUP(F1784,Sheet2!$S$4:$T$8)</f>
        <v>1-25</v>
      </c>
      <c r="R1784" t="str">
        <f>LOOKUP(G1784,Sheet2!$V$4:$W$7)</f>
        <v>0.0 - 0.249</v>
      </c>
      <c r="S1784" t="str">
        <f>LOOKUP(H1784,Sheet2!$Z$4:$AA$7)</f>
        <v>&lt;=25</v>
      </c>
      <c r="T1784" t="str">
        <f t="shared" si="81"/>
        <v>Negative</v>
      </c>
      <c r="U1784" t="str">
        <f t="shared" si="82"/>
        <v>Not Sampled</v>
      </c>
      <c r="V1784" s="1" t="str">
        <f t="shared" si="83"/>
        <v>Not Sampled</v>
      </c>
    </row>
    <row r="1785" spans="1:22" x14ac:dyDescent="0.25">
      <c r="A1785" s="1">
        <v>7</v>
      </c>
      <c r="B1785" s="1">
        <v>142</v>
      </c>
      <c r="C1785" s="1">
        <v>90</v>
      </c>
      <c r="D1785" s="1">
        <v>24</v>
      </c>
      <c r="E1785" s="1">
        <v>480</v>
      </c>
      <c r="F1785" s="1">
        <v>30.4</v>
      </c>
      <c r="G1785" s="1">
        <v>0.128</v>
      </c>
      <c r="H1785" s="1">
        <v>43</v>
      </c>
      <c r="I1785" s="1">
        <v>1</v>
      </c>
      <c r="J1785" s="1" t="str">
        <f>IFERROR(VLOOKUP(K1785,[1]diabetes_Recognition!$A:$B,2,FALSE),"Not Sampled")</f>
        <v>Not Sampled</v>
      </c>
      <c r="K1785" s="1">
        <v>1783</v>
      </c>
      <c r="L1785" s="1" t="str">
        <f>LOOKUP(A1785,Sheet2!$D$4:$E$9)</f>
        <v>5-7</v>
      </c>
      <c r="M1785" t="str">
        <f>LOOKUP(B1785,Sheet2!$G$4:$H$9)</f>
        <v>126-150</v>
      </c>
      <c r="N1785" t="str">
        <f>LOOKUP(C1785,Sheet2!$J$4:$K$8)</f>
        <v>80+</v>
      </c>
      <c r="O1785" t="str">
        <f>LOOKUP(D1785,Sheet2!$M$4:$N$8)</f>
        <v>10-30</v>
      </c>
      <c r="P1785" t="str">
        <f>LOOKUP(E1785,Sheet2!$P$4:$Q$9)</f>
        <v>300-499</v>
      </c>
      <c r="Q1785" t="str">
        <f>LOOKUP(F1785,Sheet2!$S$4:$T$8)</f>
        <v>26-30</v>
      </c>
      <c r="R1785" t="str">
        <f>LOOKUP(G1785,Sheet2!$V$4:$W$7)</f>
        <v>0.0 - 0.249</v>
      </c>
      <c r="S1785" t="str">
        <f>LOOKUP(H1785,Sheet2!$Z$4:$AA$7)</f>
        <v>36-45</v>
      </c>
      <c r="T1785" t="str">
        <f t="shared" si="81"/>
        <v>Positive</v>
      </c>
      <c r="U1785" t="str">
        <f t="shared" si="82"/>
        <v>Not Sampled</v>
      </c>
      <c r="V1785" s="1" t="str">
        <f t="shared" si="83"/>
        <v>Not Sampled</v>
      </c>
    </row>
    <row r="1786" spans="1:22" x14ac:dyDescent="0.25">
      <c r="A1786" s="1">
        <v>3</v>
      </c>
      <c r="B1786" s="1">
        <v>169</v>
      </c>
      <c r="C1786" s="1">
        <v>74</v>
      </c>
      <c r="D1786" s="1">
        <v>19</v>
      </c>
      <c r="E1786" s="1">
        <v>125</v>
      </c>
      <c r="F1786" s="1">
        <v>29.9</v>
      </c>
      <c r="G1786" s="1">
        <v>0.26800000000000002</v>
      </c>
      <c r="H1786" s="1">
        <v>31</v>
      </c>
      <c r="I1786" s="1">
        <v>1</v>
      </c>
      <c r="J1786" s="1" t="str">
        <f>IFERROR(VLOOKUP(K1786,[1]diabetes_Recognition!$A:$B,2,FALSE),"Not Sampled")</f>
        <v>Not Sampled</v>
      </c>
      <c r="K1786" s="1">
        <v>1784</v>
      </c>
      <c r="L1786" s="1" t="str">
        <f>LOOKUP(A1786,Sheet2!$D$4:$E$9)</f>
        <v>3-4</v>
      </c>
      <c r="M1786" t="str">
        <f>LOOKUP(B1786,Sheet2!$G$4:$H$9)</f>
        <v>151-175</v>
      </c>
      <c r="N1786" t="str">
        <f>LOOKUP(C1786,Sheet2!$J$4:$K$8)</f>
        <v>70-79</v>
      </c>
      <c r="O1786" t="str">
        <f>LOOKUP(D1786,Sheet2!$M$4:$N$8)</f>
        <v>10-30</v>
      </c>
      <c r="P1786" t="str">
        <f>LOOKUP(E1786,Sheet2!$P$4:$Q$9)</f>
        <v>100-199</v>
      </c>
      <c r="Q1786" t="str">
        <f>LOOKUP(F1786,Sheet2!$S$4:$T$8)</f>
        <v>26-30</v>
      </c>
      <c r="R1786" t="str">
        <f>LOOKUP(G1786,Sheet2!$V$4:$W$7)</f>
        <v>0.25 - 0.39</v>
      </c>
      <c r="S1786" t="str">
        <f>LOOKUP(H1786,Sheet2!$Z$4:$AA$7)</f>
        <v>26-35</v>
      </c>
      <c r="T1786" t="str">
        <f t="shared" si="81"/>
        <v>Positive</v>
      </c>
      <c r="U1786" t="str">
        <f t="shared" si="82"/>
        <v>Not Sampled</v>
      </c>
      <c r="V1786" s="1" t="str">
        <f t="shared" si="83"/>
        <v>Not Sampled</v>
      </c>
    </row>
    <row r="1787" spans="1:22" x14ac:dyDescent="0.25">
      <c r="A1787" s="1">
        <v>0</v>
      </c>
      <c r="B1787" s="1">
        <v>99</v>
      </c>
      <c r="C1787" s="1">
        <v>0</v>
      </c>
      <c r="D1787" s="1">
        <v>0</v>
      </c>
      <c r="E1787" s="1">
        <v>0</v>
      </c>
      <c r="F1787" s="1">
        <v>25</v>
      </c>
      <c r="G1787" s="1">
        <v>0.253</v>
      </c>
      <c r="H1787" s="1">
        <v>22</v>
      </c>
      <c r="I1787" s="1">
        <v>0</v>
      </c>
      <c r="J1787" s="1">
        <f>IFERROR(VLOOKUP(K1787,[1]diabetes_Recognition!$A:$B,2,FALSE),"Not Sampled")</f>
        <v>0</v>
      </c>
      <c r="K1787" s="1">
        <v>1785</v>
      </c>
      <c r="L1787" s="1">
        <f>LOOKUP(A1787,Sheet2!$D$4:$E$9)</f>
        <v>0</v>
      </c>
      <c r="M1787" t="str">
        <f>LOOKUP(B1787,Sheet2!$G$4:$H$9)</f>
        <v>1-99</v>
      </c>
      <c r="N1787" t="str">
        <f>LOOKUP(C1787,Sheet2!$J$4:$K$8)</f>
        <v>Unknown</v>
      </c>
      <c r="O1787" t="str">
        <f>LOOKUP(D1787,Sheet2!$M$4:$N$8)</f>
        <v>Unknown</v>
      </c>
      <c r="P1787" t="str">
        <f>LOOKUP(E1787,Sheet2!$P$4:$Q$9)</f>
        <v>Unknown</v>
      </c>
      <c r="Q1787" t="str">
        <f>LOOKUP(F1787,Sheet2!$S$4:$T$8)</f>
        <v>1-25</v>
      </c>
      <c r="R1787" t="str">
        <f>LOOKUP(G1787,Sheet2!$V$4:$W$7)</f>
        <v>0.25 - 0.39</v>
      </c>
      <c r="S1787" t="str">
        <f>LOOKUP(H1787,Sheet2!$Z$4:$AA$7)</f>
        <v>&lt;=25</v>
      </c>
      <c r="T1787" t="str">
        <f t="shared" si="81"/>
        <v>Negative</v>
      </c>
      <c r="U1787" t="str">
        <f t="shared" si="82"/>
        <v>Negative</v>
      </c>
      <c r="V1787" s="1" t="str">
        <f t="shared" si="83"/>
        <v>Accurate Prediction</v>
      </c>
    </row>
    <row r="1788" spans="1:22" x14ac:dyDescent="0.25">
      <c r="A1788" s="1">
        <v>4</v>
      </c>
      <c r="B1788" s="1">
        <v>127</v>
      </c>
      <c r="C1788" s="1">
        <v>88</v>
      </c>
      <c r="D1788" s="1">
        <v>11</v>
      </c>
      <c r="E1788" s="1">
        <v>155</v>
      </c>
      <c r="F1788" s="1">
        <v>34.5</v>
      </c>
      <c r="G1788" s="1">
        <v>0.59799999999999998</v>
      </c>
      <c r="H1788" s="1">
        <v>28</v>
      </c>
      <c r="I1788" s="1">
        <v>0</v>
      </c>
      <c r="J1788" s="1">
        <f>IFERROR(VLOOKUP(K1788,[1]diabetes_Recognition!$A:$B,2,FALSE),"Not Sampled")</f>
        <v>0</v>
      </c>
      <c r="K1788" s="1">
        <v>1786</v>
      </c>
      <c r="L1788" s="1" t="str">
        <f>LOOKUP(A1788,Sheet2!$D$4:$E$9)</f>
        <v>3-4</v>
      </c>
      <c r="M1788" t="str">
        <f>LOOKUP(B1788,Sheet2!$G$4:$H$9)</f>
        <v>126-150</v>
      </c>
      <c r="N1788" t="str">
        <f>LOOKUP(C1788,Sheet2!$J$4:$K$8)</f>
        <v>80+</v>
      </c>
      <c r="O1788" t="str">
        <f>LOOKUP(D1788,Sheet2!$M$4:$N$8)</f>
        <v>10-30</v>
      </c>
      <c r="P1788" t="str">
        <f>LOOKUP(E1788,Sheet2!$P$4:$Q$9)</f>
        <v>100-199</v>
      </c>
      <c r="Q1788" t="str">
        <f>LOOKUP(F1788,Sheet2!$S$4:$T$8)</f>
        <v>31-35</v>
      </c>
      <c r="R1788" t="str">
        <f>LOOKUP(G1788,Sheet2!$V$4:$W$7)</f>
        <v>0.4 - 0.69</v>
      </c>
      <c r="S1788" t="str">
        <f>LOOKUP(H1788,Sheet2!$Z$4:$AA$7)</f>
        <v>26-35</v>
      </c>
      <c r="T1788" t="str">
        <f t="shared" si="81"/>
        <v>Negative</v>
      </c>
      <c r="U1788" t="str">
        <f t="shared" si="82"/>
        <v>Negative</v>
      </c>
      <c r="V1788" s="1" t="str">
        <f t="shared" si="83"/>
        <v>Accurate Prediction</v>
      </c>
    </row>
    <row r="1789" spans="1:22" x14ac:dyDescent="0.25">
      <c r="A1789" s="1">
        <v>4</v>
      </c>
      <c r="B1789" s="1">
        <v>118</v>
      </c>
      <c r="C1789" s="1">
        <v>70</v>
      </c>
      <c r="D1789" s="1">
        <v>0</v>
      </c>
      <c r="E1789" s="1">
        <v>0</v>
      </c>
      <c r="F1789" s="1">
        <v>44.5</v>
      </c>
      <c r="G1789" s="1">
        <v>0.90400000000000003</v>
      </c>
      <c r="H1789" s="1">
        <v>26</v>
      </c>
      <c r="I1789" s="1">
        <v>0</v>
      </c>
      <c r="J1789" s="1">
        <f>IFERROR(VLOOKUP(K1789,[1]diabetes_Recognition!$A:$B,2,FALSE),"Not Sampled")</f>
        <v>1</v>
      </c>
      <c r="K1789" s="1">
        <v>1787</v>
      </c>
      <c r="L1789" s="1" t="str">
        <f>LOOKUP(A1789,Sheet2!$D$4:$E$9)</f>
        <v>3-4</v>
      </c>
      <c r="M1789" t="str">
        <f>LOOKUP(B1789,Sheet2!$G$4:$H$9)</f>
        <v>100-125</v>
      </c>
      <c r="N1789" t="str">
        <f>LOOKUP(C1789,Sheet2!$J$4:$K$8)</f>
        <v>70-79</v>
      </c>
      <c r="O1789" t="str">
        <f>LOOKUP(D1789,Sheet2!$M$4:$N$8)</f>
        <v>Unknown</v>
      </c>
      <c r="P1789" t="str">
        <f>LOOKUP(E1789,Sheet2!$P$4:$Q$9)</f>
        <v>Unknown</v>
      </c>
      <c r="Q1789" t="str">
        <f>LOOKUP(F1789,Sheet2!$S$4:$T$8)</f>
        <v>36+</v>
      </c>
      <c r="R1789" t="str">
        <f>LOOKUP(G1789,Sheet2!$V$4:$W$7)</f>
        <v>0.7+</v>
      </c>
      <c r="S1789" t="str">
        <f>LOOKUP(H1789,Sheet2!$Z$4:$AA$7)</f>
        <v>26-35</v>
      </c>
      <c r="T1789" t="str">
        <f t="shared" si="81"/>
        <v>Negative</v>
      </c>
      <c r="U1789" t="str">
        <f t="shared" si="82"/>
        <v>Positive</v>
      </c>
      <c r="V1789" s="1" t="str">
        <f t="shared" si="83"/>
        <v>Inaccurate Prediction</v>
      </c>
    </row>
    <row r="1790" spans="1:22" x14ac:dyDescent="0.25">
      <c r="A1790" s="1">
        <v>2</v>
      </c>
      <c r="B1790" s="1">
        <v>122</v>
      </c>
      <c r="C1790" s="1">
        <v>76</v>
      </c>
      <c r="D1790" s="1">
        <v>27</v>
      </c>
      <c r="E1790" s="1">
        <v>200</v>
      </c>
      <c r="F1790" s="1">
        <v>35.9</v>
      </c>
      <c r="G1790" s="1">
        <v>0.48299999999999998</v>
      </c>
      <c r="H1790" s="1">
        <v>26</v>
      </c>
      <c r="I1790" s="1">
        <v>0</v>
      </c>
      <c r="J1790" s="1" t="str">
        <f>IFERROR(VLOOKUP(K1790,[1]diabetes_Recognition!$A:$B,2,FALSE),"Not Sampled")</f>
        <v>Not Sampled</v>
      </c>
      <c r="K1790" s="1">
        <v>1788</v>
      </c>
      <c r="L1790" s="1">
        <f>LOOKUP(A1790,Sheet2!$D$4:$E$9)</f>
        <v>2</v>
      </c>
      <c r="M1790" t="str">
        <f>LOOKUP(B1790,Sheet2!$G$4:$H$9)</f>
        <v>100-125</v>
      </c>
      <c r="N1790" t="str">
        <f>LOOKUP(C1790,Sheet2!$J$4:$K$8)</f>
        <v>70-79</v>
      </c>
      <c r="O1790" t="str">
        <f>LOOKUP(D1790,Sheet2!$M$4:$N$8)</f>
        <v>10-30</v>
      </c>
      <c r="P1790" t="str">
        <f>LOOKUP(E1790,Sheet2!$P$4:$Q$9)</f>
        <v>200-399</v>
      </c>
      <c r="Q1790" t="str">
        <f>LOOKUP(F1790,Sheet2!$S$4:$T$8)</f>
        <v>31-35</v>
      </c>
      <c r="R1790" t="str">
        <f>LOOKUP(G1790,Sheet2!$V$4:$W$7)</f>
        <v>0.4 - 0.69</v>
      </c>
      <c r="S1790" t="str">
        <f>LOOKUP(H1790,Sheet2!$Z$4:$AA$7)</f>
        <v>26-35</v>
      </c>
      <c r="T1790" t="str">
        <f t="shared" si="81"/>
        <v>Negative</v>
      </c>
      <c r="U1790" t="str">
        <f t="shared" si="82"/>
        <v>Not Sampled</v>
      </c>
      <c r="V1790" s="1" t="str">
        <f t="shared" si="83"/>
        <v>Not Sampled</v>
      </c>
    </row>
    <row r="1791" spans="1:22" x14ac:dyDescent="0.25">
      <c r="A1791" s="1">
        <v>6</v>
      </c>
      <c r="B1791" s="1">
        <v>125</v>
      </c>
      <c r="C1791" s="1">
        <v>78</v>
      </c>
      <c r="D1791" s="1">
        <v>31</v>
      </c>
      <c r="E1791" s="1">
        <v>0</v>
      </c>
      <c r="F1791" s="1">
        <v>27.6</v>
      </c>
      <c r="G1791" s="1">
        <v>0.56499999999999995</v>
      </c>
      <c r="H1791" s="1">
        <v>49</v>
      </c>
      <c r="I1791" s="1">
        <v>1</v>
      </c>
      <c r="J1791" s="1" t="str">
        <f>IFERROR(VLOOKUP(K1791,[1]diabetes_Recognition!$A:$B,2,FALSE),"Not Sampled")</f>
        <v>Not Sampled</v>
      </c>
      <c r="K1791" s="1">
        <v>1789</v>
      </c>
      <c r="L1791" s="1" t="str">
        <f>LOOKUP(A1791,Sheet2!$D$4:$E$9)</f>
        <v>5-7</v>
      </c>
      <c r="M1791" t="str">
        <f>LOOKUP(B1791,Sheet2!$G$4:$H$9)</f>
        <v>100-125</v>
      </c>
      <c r="N1791" t="str">
        <f>LOOKUP(C1791,Sheet2!$J$4:$K$8)</f>
        <v>70-79</v>
      </c>
      <c r="O1791" t="str">
        <f>LOOKUP(D1791,Sheet2!$M$4:$N$8)</f>
        <v>30-39</v>
      </c>
      <c r="P1791" t="str">
        <f>LOOKUP(E1791,Sheet2!$P$4:$Q$9)</f>
        <v>Unknown</v>
      </c>
      <c r="Q1791" t="str">
        <f>LOOKUP(F1791,Sheet2!$S$4:$T$8)</f>
        <v>26-30</v>
      </c>
      <c r="R1791" t="str">
        <f>LOOKUP(G1791,Sheet2!$V$4:$W$7)</f>
        <v>0.4 - 0.69</v>
      </c>
      <c r="S1791" t="str">
        <f>LOOKUP(H1791,Sheet2!$Z$4:$AA$7)</f>
        <v>46+</v>
      </c>
      <c r="T1791" t="str">
        <f t="shared" si="81"/>
        <v>Positive</v>
      </c>
      <c r="U1791" t="str">
        <f t="shared" si="82"/>
        <v>Not Sampled</v>
      </c>
      <c r="V1791" s="1" t="str">
        <f t="shared" si="83"/>
        <v>Not Sampled</v>
      </c>
    </row>
    <row r="1792" spans="1:22" x14ac:dyDescent="0.25">
      <c r="A1792" s="1">
        <v>1</v>
      </c>
      <c r="B1792" s="1">
        <v>168</v>
      </c>
      <c r="C1792" s="1">
        <v>88</v>
      </c>
      <c r="D1792" s="1">
        <v>29</v>
      </c>
      <c r="E1792" s="1">
        <v>0</v>
      </c>
      <c r="F1792" s="1">
        <v>35</v>
      </c>
      <c r="G1792" s="1">
        <v>0.90500000000000003</v>
      </c>
      <c r="H1792" s="1">
        <v>52</v>
      </c>
      <c r="I1792" s="1">
        <v>1</v>
      </c>
      <c r="J1792" s="1" t="str">
        <f>IFERROR(VLOOKUP(K1792,[1]diabetes_Recognition!$A:$B,2,FALSE),"Not Sampled")</f>
        <v>Not Sampled</v>
      </c>
      <c r="K1792" s="1">
        <v>1790</v>
      </c>
      <c r="L1792" s="1">
        <f>LOOKUP(A1792,Sheet2!$D$4:$E$9)</f>
        <v>1</v>
      </c>
      <c r="M1792" t="str">
        <f>LOOKUP(B1792,Sheet2!$G$4:$H$9)</f>
        <v>151-175</v>
      </c>
      <c r="N1792" t="str">
        <f>LOOKUP(C1792,Sheet2!$J$4:$K$8)</f>
        <v>80+</v>
      </c>
      <c r="O1792" t="str">
        <f>LOOKUP(D1792,Sheet2!$M$4:$N$8)</f>
        <v>10-30</v>
      </c>
      <c r="P1792" t="str">
        <f>LOOKUP(E1792,Sheet2!$P$4:$Q$9)</f>
        <v>Unknown</v>
      </c>
      <c r="Q1792" t="str">
        <f>LOOKUP(F1792,Sheet2!$S$4:$T$8)</f>
        <v>31-35</v>
      </c>
      <c r="R1792" t="str">
        <f>LOOKUP(G1792,Sheet2!$V$4:$W$7)</f>
        <v>0.7+</v>
      </c>
      <c r="S1792" t="str">
        <f>LOOKUP(H1792,Sheet2!$Z$4:$AA$7)</f>
        <v>46+</v>
      </c>
      <c r="T1792" t="str">
        <f t="shared" si="81"/>
        <v>Positive</v>
      </c>
      <c r="U1792" t="str">
        <f t="shared" si="82"/>
        <v>Not Sampled</v>
      </c>
      <c r="V1792" s="1" t="str">
        <f t="shared" si="83"/>
        <v>Not Sampled</v>
      </c>
    </row>
    <row r="1793" spans="1:22" x14ac:dyDescent="0.25">
      <c r="A1793" s="1">
        <v>2</v>
      </c>
      <c r="B1793" s="1">
        <v>129</v>
      </c>
      <c r="C1793" s="1">
        <v>0</v>
      </c>
      <c r="D1793" s="1">
        <v>0</v>
      </c>
      <c r="E1793" s="1">
        <v>0</v>
      </c>
      <c r="F1793" s="1">
        <v>38.5</v>
      </c>
      <c r="G1793" s="1">
        <v>0.30399999999999999</v>
      </c>
      <c r="H1793" s="1">
        <v>41</v>
      </c>
      <c r="I1793" s="1">
        <v>0</v>
      </c>
      <c r="J1793" s="1" t="str">
        <f>IFERROR(VLOOKUP(K1793,[1]diabetes_Recognition!$A:$B,2,FALSE),"Not Sampled")</f>
        <v>Not Sampled</v>
      </c>
      <c r="K1793" s="1">
        <v>1791</v>
      </c>
      <c r="L1793" s="1">
        <f>LOOKUP(A1793,Sheet2!$D$4:$E$9)</f>
        <v>2</v>
      </c>
      <c r="M1793" t="str">
        <f>LOOKUP(B1793,Sheet2!$G$4:$H$9)</f>
        <v>126-150</v>
      </c>
      <c r="N1793" t="str">
        <f>LOOKUP(C1793,Sheet2!$J$4:$K$8)</f>
        <v>Unknown</v>
      </c>
      <c r="O1793" t="str">
        <f>LOOKUP(D1793,Sheet2!$M$4:$N$8)</f>
        <v>Unknown</v>
      </c>
      <c r="P1793" t="str">
        <f>LOOKUP(E1793,Sheet2!$P$4:$Q$9)</f>
        <v>Unknown</v>
      </c>
      <c r="Q1793" t="str">
        <f>LOOKUP(F1793,Sheet2!$S$4:$T$8)</f>
        <v>36+</v>
      </c>
      <c r="R1793" t="str">
        <f>LOOKUP(G1793,Sheet2!$V$4:$W$7)</f>
        <v>0.25 - 0.39</v>
      </c>
      <c r="S1793" t="str">
        <f>LOOKUP(H1793,Sheet2!$Z$4:$AA$7)</f>
        <v>36-45</v>
      </c>
      <c r="T1793" t="str">
        <f t="shared" si="81"/>
        <v>Negative</v>
      </c>
      <c r="U1793" t="str">
        <f t="shared" si="82"/>
        <v>Not Sampled</v>
      </c>
      <c r="V1793" s="1" t="str">
        <f t="shared" si="83"/>
        <v>Not Sampled</v>
      </c>
    </row>
    <row r="1794" spans="1:22" x14ac:dyDescent="0.25">
      <c r="A1794" s="1">
        <v>4</v>
      </c>
      <c r="B1794" s="1">
        <v>110</v>
      </c>
      <c r="C1794" s="1">
        <v>76</v>
      </c>
      <c r="D1794" s="1">
        <v>20</v>
      </c>
      <c r="E1794" s="1">
        <v>100</v>
      </c>
      <c r="F1794" s="1">
        <v>28.4</v>
      </c>
      <c r="G1794" s="1">
        <v>0.11799999999999999</v>
      </c>
      <c r="H1794" s="1">
        <v>27</v>
      </c>
      <c r="I1794" s="1">
        <v>0</v>
      </c>
      <c r="J1794" s="1" t="str">
        <f>IFERROR(VLOOKUP(K1794,[1]diabetes_Recognition!$A:$B,2,FALSE),"Not Sampled")</f>
        <v>Not Sampled</v>
      </c>
      <c r="K1794" s="1">
        <v>1792</v>
      </c>
      <c r="L1794" s="1" t="str">
        <f>LOOKUP(A1794,Sheet2!$D$4:$E$9)</f>
        <v>3-4</v>
      </c>
      <c r="M1794" t="str">
        <f>LOOKUP(B1794,Sheet2!$G$4:$H$9)</f>
        <v>100-125</v>
      </c>
      <c r="N1794" t="str">
        <f>LOOKUP(C1794,Sheet2!$J$4:$K$8)</f>
        <v>70-79</v>
      </c>
      <c r="O1794" t="str">
        <f>LOOKUP(D1794,Sheet2!$M$4:$N$8)</f>
        <v>10-30</v>
      </c>
      <c r="P1794" t="str">
        <f>LOOKUP(E1794,Sheet2!$P$4:$Q$9)</f>
        <v>100-199</v>
      </c>
      <c r="Q1794" t="str">
        <f>LOOKUP(F1794,Sheet2!$S$4:$T$8)</f>
        <v>26-30</v>
      </c>
      <c r="R1794" t="str">
        <f>LOOKUP(G1794,Sheet2!$V$4:$W$7)</f>
        <v>0.0 - 0.249</v>
      </c>
      <c r="S1794" t="str">
        <f>LOOKUP(H1794,Sheet2!$Z$4:$AA$7)</f>
        <v>26-35</v>
      </c>
      <c r="T1794" t="str">
        <f t="shared" si="81"/>
        <v>Negative</v>
      </c>
      <c r="U1794" t="str">
        <f t="shared" si="82"/>
        <v>Not Sampled</v>
      </c>
      <c r="V1794" s="1" t="str">
        <f t="shared" si="83"/>
        <v>Not Sampled</v>
      </c>
    </row>
    <row r="1795" spans="1:22" x14ac:dyDescent="0.25">
      <c r="A1795" s="1">
        <v>6</v>
      </c>
      <c r="B1795" s="1">
        <v>80</v>
      </c>
      <c r="C1795" s="1">
        <v>80</v>
      </c>
      <c r="D1795" s="1">
        <v>36</v>
      </c>
      <c r="E1795" s="1">
        <v>0</v>
      </c>
      <c r="F1795" s="1">
        <v>39.799999999999997</v>
      </c>
      <c r="G1795" s="1">
        <v>0.17699999999999999</v>
      </c>
      <c r="H1795" s="1">
        <v>28</v>
      </c>
      <c r="I1795" s="1">
        <v>0</v>
      </c>
      <c r="J1795" s="1" t="str">
        <f>IFERROR(VLOOKUP(K1795,[1]diabetes_Recognition!$A:$B,2,FALSE),"Not Sampled")</f>
        <v>Not Sampled</v>
      </c>
      <c r="K1795" s="1">
        <v>1793</v>
      </c>
      <c r="L1795" s="1" t="str">
        <f>LOOKUP(A1795,Sheet2!$D$4:$E$9)</f>
        <v>5-7</v>
      </c>
      <c r="M1795" t="str">
        <f>LOOKUP(B1795,Sheet2!$G$4:$H$9)</f>
        <v>1-99</v>
      </c>
      <c r="N1795" t="str">
        <f>LOOKUP(C1795,Sheet2!$J$4:$K$8)</f>
        <v>80+</v>
      </c>
      <c r="O1795" t="str">
        <f>LOOKUP(D1795,Sheet2!$M$4:$N$8)</f>
        <v>30-39</v>
      </c>
      <c r="P1795" t="str">
        <f>LOOKUP(E1795,Sheet2!$P$4:$Q$9)</f>
        <v>Unknown</v>
      </c>
      <c r="Q1795" t="str">
        <f>LOOKUP(F1795,Sheet2!$S$4:$T$8)</f>
        <v>36+</v>
      </c>
      <c r="R1795" t="str">
        <f>LOOKUP(G1795,Sheet2!$V$4:$W$7)</f>
        <v>0.0 - 0.249</v>
      </c>
      <c r="S1795" t="str">
        <f>LOOKUP(H1795,Sheet2!$Z$4:$AA$7)</f>
        <v>26-35</v>
      </c>
      <c r="T1795" t="str">
        <f t="shared" ref="T1795:T1858" si="84">IF(I1795=1,"Positive","Negative")</f>
        <v>Negative</v>
      </c>
      <c r="U1795" t="str">
        <f t="shared" ref="U1795:U1858" si="85">IF(J1795=1,"Positive",(IF(J1795=0,"Negative","Not Sampled")))</f>
        <v>Not Sampled</v>
      </c>
      <c r="V1795" s="1" t="str">
        <f t="shared" ref="V1795:V1858" si="86">IF(U1795="Not Sampled","Not Sampled",IF(T1795=U1795,"Accurate Prediction","Inaccurate Prediction"))</f>
        <v>Not Sampled</v>
      </c>
    </row>
    <row r="1796" spans="1:22" x14ac:dyDescent="0.25">
      <c r="A1796" s="1">
        <v>10</v>
      </c>
      <c r="B1796" s="1">
        <v>115</v>
      </c>
      <c r="C1796" s="1">
        <v>0</v>
      </c>
      <c r="D1796" s="1">
        <v>0</v>
      </c>
      <c r="E1796" s="1">
        <v>0</v>
      </c>
      <c r="F1796" s="1">
        <v>0</v>
      </c>
      <c r="G1796" s="1">
        <v>0.26100000000000001</v>
      </c>
      <c r="H1796" s="1">
        <v>30</v>
      </c>
      <c r="I1796" s="1">
        <v>1</v>
      </c>
      <c r="J1796" s="1" t="str">
        <f>IFERROR(VLOOKUP(K1796,[1]diabetes_Recognition!$A:$B,2,FALSE),"Not Sampled")</f>
        <v>Not Sampled</v>
      </c>
      <c r="K1796" s="1">
        <v>1794</v>
      </c>
      <c r="L1796" s="1" t="str">
        <f>LOOKUP(A1796,Sheet2!$D$4:$E$9)</f>
        <v>8+</v>
      </c>
      <c r="M1796" t="str">
        <f>LOOKUP(B1796,Sheet2!$G$4:$H$9)</f>
        <v>100-125</v>
      </c>
      <c r="N1796" t="str">
        <f>LOOKUP(C1796,Sheet2!$J$4:$K$8)</f>
        <v>Unknown</v>
      </c>
      <c r="O1796" t="str">
        <f>LOOKUP(D1796,Sheet2!$M$4:$N$8)</f>
        <v>Unknown</v>
      </c>
      <c r="P1796" t="str">
        <f>LOOKUP(E1796,Sheet2!$P$4:$Q$9)</f>
        <v>Unknown</v>
      </c>
      <c r="Q1796" t="str">
        <f>LOOKUP(F1796,Sheet2!$S$4:$T$8)</f>
        <v>Unknown</v>
      </c>
      <c r="R1796" t="str">
        <f>LOOKUP(G1796,Sheet2!$V$4:$W$7)</f>
        <v>0.25 - 0.39</v>
      </c>
      <c r="S1796" t="str">
        <f>LOOKUP(H1796,Sheet2!$Z$4:$AA$7)</f>
        <v>26-35</v>
      </c>
      <c r="T1796" t="str">
        <f t="shared" si="84"/>
        <v>Positive</v>
      </c>
      <c r="U1796" t="str">
        <f t="shared" si="85"/>
        <v>Not Sampled</v>
      </c>
      <c r="V1796" s="1" t="str">
        <f t="shared" si="86"/>
        <v>Not Sampled</v>
      </c>
    </row>
    <row r="1797" spans="1:22" x14ac:dyDescent="0.25">
      <c r="A1797" s="1">
        <v>2</v>
      </c>
      <c r="B1797" s="1">
        <v>127</v>
      </c>
      <c r="C1797" s="1">
        <v>46</v>
      </c>
      <c r="D1797" s="1">
        <v>21</v>
      </c>
      <c r="E1797" s="1">
        <v>335</v>
      </c>
      <c r="F1797" s="1">
        <v>34.4</v>
      </c>
      <c r="G1797" s="1">
        <v>0.17599999999999999</v>
      </c>
      <c r="H1797" s="1">
        <v>22</v>
      </c>
      <c r="I1797" s="1">
        <v>0</v>
      </c>
      <c r="J1797" s="1" t="str">
        <f>IFERROR(VLOOKUP(K1797,[1]diabetes_Recognition!$A:$B,2,FALSE),"Not Sampled")</f>
        <v>Not Sampled</v>
      </c>
      <c r="K1797" s="1">
        <v>1795</v>
      </c>
      <c r="L1797" s="1">
        <f>LOOKUP(A1797,Sheet2!$D$4:$E$9)</f>
        <v>2</v>
      </c>
      <c r="M1797" t="str">
        <f>LOOKUP(B1797,Sheet2!$G$4:$H$9)</f>
        <v>126-150</v>
      </c>
      <c r="N1797" t="str">
        <f>LOOKUP(C1797,Sheet2!$J$4:$K$8)</f>
        <v>1-59</v>
      </c>
      <c r="O1797" t="str">
        <f>LOOKUP(D1797,Sheet2!$M$4:$N$8)</f>
        <v>10-30</v>
      </c>
      <c r="P1797" t="str">
        <f>LOOKUP(E1797,Sheet2!$P$4:$Q$9)</f>
        <v>300-499</v>
      </c>
      <c r="Q1797" t="str">
        <f>LOOKUP(F1797,Sheet2!$S$4:$T$8)</f>
        <v>31-35</v>
      </c>
      <c r="R1797" t="str">
        <f>LOOKUP(G1797,Sheet2!$V$4:$W$7)</f>
        <v>0.0 - 0.249</v>
      </c>
      <c r="S1797" t="str">
        <f>LOOKUP(H1797,Sheet2!$Z$4:$AA$7)</f>
        <v>&lt;=25</v>
      </c>
      <c r="T1797" t="str">
        <f t="shared" si="84"/>
        <v>Negative</v>
      </c>
      <c r="U1797" t="str">
        <f t="shared" si="85"/>
        <v>Not Sampled</v>
      </c>
      <c r="V1797" s="1" t="str">
        <f t="shared" si="86"/>
        <v>Not Sampled</v>
      </c>
    </row>
    <row r="1798" spans="1:22" x14ac:dyDescent="0.25">
      <c r="A1798" s="1">
        <v>9</v>
      </c>
      <c r="B1798" s="1">
        <v>164</v>
      </c>
      <c r="C1798" s="1">
        <v>78</v>
      </c>
      <c r="D1798" s="1">
        <v>0</v>
      </c>
      <c r="E1798" s="1">
        <v>0</v>
      </c>
      <c r="F1798" s="1">
        <v>32.799999999999997</v>
      </c>
      <c r="G1798" s="1">
        <v>0.14799999999999999</v>
      </c>
      <c r="H1798" s="1">
        <v>45</v>
      </c>
      <c r="I1798" s="1">
        <v>1</v>
      </c>
      <c r="J1798" s="1" t="str">
        <f>IFERROR(VLOOKUP(K1798,[1]diabetes_Recognition!$A:$B,2,FALSE),"Not Sampled")</f>
        <v>Not Sampled</v>
      </c>
      <c r="K1798" s="1">
        <v>1796</v>
      </c>
      <c r="L1798" s="1" t="str">
        <f>LOOKUP(A1798,Sheet2!$D$4:$E$9)</f>
        <v>8+</v>
      </c>
      <c r="M1798" t="str">
        <f>LOOKUP(B1798,Sheet2!$G$4:$H$9)</f>
        <v>151-175</v>
      </c>
      <c r="N1798" t="str">
        <f>LOOKUP(C1798,Sheet2!$J$4:$K$8)</f>
        <v>70-79</v>
      </c>
      <c r="O1798" t="str">
        <f>LOOKUP(D1798,Sheet2!$M$4:$N$8)</f>
        <v>Unknown</v>
      </c>
      <c r="P1798" t="str">
        <f>LOOKUP(E1798,Sheet2!$P$4:$Q$9)</f>
        <v>Unknown</v>
      </c>
      <c r="Q1798" t="str">
        <f>LOOKUP(F1798,Sheet2!$S$4:$T$8)</f>
        <v>31-35</v>
      </c>
      <c r="R1798" t="str">
        <f>LOOKUP(G1798,Sheet2!$V$4:$W$7)</f>
        <v>0.0 - 0.249</v>
      </c>
      <c r="S1798" t="str">
        <f>LOOKUP(H1798,Sheet2!$Z$4:$AA$7)</f>
        <v>36-45</v>
      </c>
      <c r="T1798" t="str">
        <f t="shared" si="84"/>
        <v>Positive</v>
      </c>
      <c r="U1798" t="str">
        <f t="shared" si="85"/>
        <v>Not Sampled</v>
      </c>
      <c r="V1798" s="1" t="str">
        <f t="shared" si="86"/>
        <v>Not Sampled</v>
      </c>
    </row>
    <row r="1799" spans="1:22" x14ac:dyDescent="0.25">
      <c r="A1799" s="1">
        <v>2</v>
      </c>
      <c r="B1799" s="1">
        <v>93</v>
      </c>
      <c r="C1799" s="1">
        <v>64</v>
      </c>
      <c r="D1799" s="1">
        <v>32</v>
      </c>
      <c r="E1799" s="1">
        <v>160</v>
      </c>
      <c r="F1799" s="1">
        <v>38</v>
      </c>
      <c r="G1799" s="1">
        <v>0.67400000000000004</v>
      </c>
      <c r="H1799" s="1">
        <v>23</v>
      </c>
      <c r="I1799" s="1">
        <v>1</v>
      </c>
      <c r="J1799" s="1">
        <f>IFERROR(VLOOKUP(K1799,[1]diabetes_Recognition!$A:$B,2,FALSE),"Not Sampled")</f>
        <v>0</v>
      </c>
      <c r="K1799" s="1">
        <v>1797</v>
      </c>
      <c r="L1799" s="1">
        <f>LOOKUP(A1799,Sheet2!$D$4:$E$9)</f>
        <v>2</v>
      </c>
      <c r="M1799" t="str">
        <f>LOOKUP(B1799,Sheet2!$G$4:$H$9)</f>
        <v>1-99</v>
      </c>
      <c r="N1799" t="str">
        <f>LOOKUP(C1799,Sheet2!$J$4:$K$8)</f>
        <v>60-69</v>
      </c>
      <c r="O1799" t="str">
        <f>LOOKUP(D1799,Sheet2!$M$4:$N$8)</f>
        <v>30-39</v>
      </c>
      <c r="P1799" t="str">
        <f>LOOKUP(E1799,Sheet2!$P$4:$Q$9)</f>
        <v>100-199</v>
      </c>
      <c r="Q1799" t="str">
        <f>LOOKUP(F1799,Sheet2!$S$4:$T$8)</f>
        <v>36+</v>
      </c>
      <c r="R1799" t="str">
        <f>LOOKUP(G1799,Sheet2!$V$4:$W$7)</f>
        <v>0.4 - 0.69</v>
      </c>
      <c r="S1799" t="str">
        <f>LOOKUP(H1799,Sheet2!$Z$4:$AA$7)</f>
        <v>&lt;=25</v>
      </c>
      <c r="T1799" t="str">
        <f t="shared" si="84"/>
        <v>Positive</v>
      </c>
      <c r="U1799" t="str">
        <f t="shared" si="85"/>
        <v>Negative</v>
      </c>
      <c r="V1799" s="1" t="str">
        <f t="shared" si="86"/>
        <v>Inaccurate Prediction</v>
      </c>
    </row>
    <row r="1800" spans="1:22" x14ac:dyDescent="0.25">
      <c r="A1800" s="1">
        <v>3</v>
      </c>
      <c r="B1800" s="1">
        <v>158</v>
      </c>
      <c r="C1800" s="1">
        <v>64</v>
      </c>
      <c r="D1800" s="1">
        <v>13</v>
      </c>
      <c r="E1800" s="1">
        <v>387</v>
      </c>
      <c r="F1800" s="1">
        <v>31.2</v>
      </c>
      <c r="G1800" s="1">
        <v>0.29499999999999998</v>
      </c>
      <c r="H1800" s="1">
        <v>24</v>
      </c>
      <c r="I1800" s="1">
        <v>0</v>
      </c>
      <c r="J1800" s="1" t="str">
        <f>IFERROR(VLOOKUP(K1800,[1]diabetes_Recognition!$A:$B,2,FALSE),"Not Sampled")</f>
        <v>Not Sampled</v>
      </c>
      <c r="K1800" s="1">
        <v>1798</v>
      </c>
      <c r="L1800" s="1" t="str">
        <f>LOOKUP(A1800,Sheet2!$D$4:$E$9)</f>
        <v>3-4</v>
      </c>
      <c r="M1800" t="str">
        <f>LOOKUP(B1800,Sheet2!$G$4:$H$9)</f>
        <v>151-175</v>
      </c>
      <c r="N1800" t="str">
        <f>LOOKUP(C1800,Sheet2!$J$4:$K$8)</f>
        <v>60-69</v>
      </c>
      <c r="O1800" t="str">
        <f>LOOKUP(D1800,Sheet2!$M$4:$N$8)</f>
        <v>10-30</v>
      </c>
      <c r="P1800" t="str">
        <f>LOOKUP(E1800,Sheet2!$P$4:$Q$9)</f>
        <v>300-499</v>
      </c>
      <c r="Q1800" t="str">
        <f>LOOKUP(F1800,Sheet2!$S$4:$T$8)</f>
        <v>31-35</v>
      </c>
      <c r="R1800" t="str">
        <f>LOOKUP(G1800,Sheet2!$V$4:$W$7)</f>
        <v>0.25 - 0.39</v>
      </c>
      <c r="S1800" t="str">
        <f>LOOKUP(H1800,Sheet2!$Z$4:$AA$7)</f>
        <v>&lt;=25</v>
      </c>
      <c r="T1800" t="str">
        <f t="shared" si="84"/>
        <v>Negative</v>
      </c>
      <c r="U1800" t="str">
        <f t="shared" si="85"/>
        <v>Not Sampled</v>
      </c>
      <c r="V1800" s="1" t="str">
        <f t="shared" si="86"/>
        <v>Not Sampled</v>
      </c>
    </row>
    <row r="1801" spans="1:22" x14ac:dyDescent="0.25">
      <c r="A1801" s="1">
        <v>5</v>
      </c>
      <c r="B1801" s="1">
        <v>126</v>
      </c>
      <c r="C1801" s="1">
        <v>78</v>
      </c>
      <c r="D1801" s="1">
        <v>27</v>
      </c>
      <c r="E1801" s="1">
        <v>22</v>
      </c>
      <c r="F1801" s="1">
        <v>29.6</v>
      </c>
      <c r="G1801" s="1">
        <v>0.439</v>
      </c>
      <c r="H1801" s="1">
        <v>40</v>
      </c>
      <c r="I1801" s="1">
        <v>0</v>
      </c>
      <c r="J1801" s="1" t="str">
        <f>IFERROR(VLOOKUP(K1801,[1]diabetes_Recognition!$A:$B,2,FALSE),"Not Sampled")</f>
        <v>Not Sampled</v>
      </c>
      <c r="K1801" s="1">
        <v>1799</v>
      </c>
      <c r="L1801" s="1" t="str">
        <f>LOOKUP(A1801,Sheet2!$D$4:$E$9)</f>
        <v>5-7</v>
      </c>
      <c r="M1801" t="str">
        <f>LOOKUP(B1801,Sheet2!$G$4:$H$9)</f>
        <v>126-150</v>
      </c>
      <c r="N1801" t="str">
        <f>LOOKUP(C1801,Sheet2!$J$4:$K$8)</f>
        <v>70-79</v>
      </c>
      <c r="O1801" t="str">
        <f>LOOKUP(D1801,Sheet2!$M$4:$N$8)</f>
        <v>10-30</v>
      </c>
      <c r="P1801" t="str">
        <f>LOOKUP(E1801,Sheet2!$P$4:$Q$9)</f>
        <v>1-99</v>
      </c>
      <c r="Q1801" t="str">
        <f>LOOKUP(F1801,Sheet2!$S$4:$T$8)</f>
        <v>26-30</v>
      </c>
      <c r="R1801" t="str">
        <f>LOOKUP(G1801,Sheet2!$V$4:$W$7)</f>
        <v>0.4 - 0.69</v>
      </c>
      <c r="S1801" t="str">
        <f>LOOKUP(H1801,Sheet2!$Z$4:$AA$7)</f>
        <v>36-45</v>
      </c>
      <c r="T1801" t="str">
        <f t="shared" si="84"/>
        <v>Negative</v>
      </c>
      <c r="U1801" t="str">
        <f t="shared" si="85"/>
        <v>Not Sampled</v>
      </c>
      <c r="V1801" s="1" t="str">
        <f t="shared" si="86"/>
        <v>Not Sampled</v>
      </c>
    </row>
    <row r="1802" spans="1:22" x14ac:dyDescent="0.25">
      <c r="A1802" s="1">
        <v>10</v>
      </c>
      <c r="B1802" s="1">
        <v>129</v>
      </c>
      <c r="C1802" s="1">
        <v>62</v>
      </c>
      <c r="D1802" s="1">
        <v>36</v>
      </c>
      <c r="E1802" s="1">
        <v>0</v>
      </c>
      <c r="F1802" s="1">
        <v>41.2</v>
      </c>
      <c r="G1802" s="1">
        <v>0.441</v>
      </c>
      <c r="H1802" s="1">
        <v>38</v>
      </c>
      <c r="I1802" s="1">
        <v>1</v>
      </c>
      <c r="J1802" s="1" t="str">
        <f>IFERROR(VLOOKUP(K1802,[1]diabetes_Recognition!$A:$B,2,FALSE),"Not Sampled")</f>
        <v>Not Sampled</v>
      </c>
      <c r="K1802" s="1">
        <v>1800</v>
      </c>
      <c r="L1802" s="1" t="str">
        <f>LOOKUP(A1802,Sheet2!$D$4:$E$9)</f>
        <v>8+</v>
      </c>
      <c r="M1802" t="str">
        <f>LOOKUP(B1802,Sheet2!$G$4:$H$9)</f>
        <v>126-150</v>
      </c>
      <c r="N1802" t="str">
        <f>LOOKUP(C1802,Sheet2!$J$4:$K$8)</f>
        <v>60-69</v>
      </c>
      <c r="O1802" t="str">
        <f>LOOKUP(D1802,Sheet2!$M$4:$N$8)</f>
        <v>30-39</v>
      </c>
      <c r="P1802" t="str">
        <f>LOOKUP(E1802,Sheet2!$P$4:$Q$9)</f>
        <v>Unknown</v>
      </c>
      <c r="Q1802" t="str">
        <f>LOOKUP(F1802,Sheet2!$S$4:$T$8)</f>
        <v>36+</v>
      </c>
      <c r="R1802" t="str">
        <f>LOOKUP(G1802,Sheet2!$V$4:$W$7)</f>
        <v>0.4 - 0.69</v>
      </c>
      <c r="S1802" t="str">
        <f>LOOKUP(H1802,Sheet2!$Z$4:$AA$7)</f>
        <v>36-45</v>
      </c>
      <c r="T1802" t="str">
        <f t="shared" si="84"/>
        <v>Positive</v>
      </c>
      <c r="U1802" t="str">
        <f t="shared" si="85"/>
        <v>Not Sampled</v>
      </c>
      <c r="V1802" s="1" t="str">
        <f t="shared" si="86"/>
        <v>Not Sampled</v>
      </c>
    </row>
    <row r="1803" spans="1:22" x14ac:dyDescent="0.25">
      <c r="A1803" s="1">
        <v>0</v>
      </c>
      <c r="B1803" s="1">
        <v>134</v>
      </c>
      <c r="C1803" s="1">
        <v>58</v>
      </c>
      <c r="D1803" s="1">
        <v>20</v>
      </c>
      <c r="E1803" s="1">
        <v>291</v>
      </c>
      <c r="F1803" s="1">
        <v>26.4</v>
      </c>
      <c r="G1803" s="1">
        <v>0.35199999999999998</v>
      </c>
      <c r="H1803" s="1">
        <v>21</v>
      </c>
      <c r="I1803" s="1">
        <v>0</v>
      </c>
      <c r="J1803" s="1" t="str">
        <f>IFERROR(VLOOKUP(K1803,[1]diabetes_Recognition!$A:$B,2,FALSE),"Not Sampled")</f>
        <v>Not Sampled</v>
      </c>
      <c r="K1803" s="1">
        <v>1801</v>
      </c>
      <c r="L1803" s="1">
        <f>LOOKUP(A1803,Sheet2!$D$4:$E$9)</f>
        <v>0</v>
      </c>
      <c r="M1803" t="str">
        <f>LOOKUP(B1803,Sheet2!$G$4:$H$9)</f>
        <v>126-150</v>
      </c>
      <c r="N1803" t="str">
        <f>LOOKUP(C1803,Sheet2!$J$4:$K$8)</f>
        <v>1-59</v>
      </c>
      <c r="O1803" t="str">
        <f>LOOKUP(D1803,Sheet2!$M$4:$N$8)</f>
        <v>10-30</v>
      </c>
      <c r="P1803" t="str">
        <f>LOOKUP(E1803,Sheet2!$P$4:$Q$9)</f>
        <v>200-399</v>
      </c>
      <c r="Q1803" t="str">
        <f>LOOKUP(F1803,Sheet2!$S$4:$T$8)</f>
        <v>26-30</v>
      </c>
      <c r="R1803" t="str">
        <f>LOOKUP(G1803,Sheet2!$V$4:$W$7)</f>
        <v>0.25 - 0.39</v>
      </c>
      <c r="S1803" t="str">
        <f>LOOKUP(H1803,Sheet2!$Z$4:$AA$7)</f>
        <v>&lt;=25</v>
      </c>
      <c r="T1803" t="str">
        <f t="shared" si="84"/>
        <v>Negative</v>
      </c>
      <c r="U1803" t="str">
        <f t="shared" si="85"/>
        <v>Not Sampled</v>
      </c>
      <c r="V1803" s="1" t="str">
        <f t="shared" si="86"/>
        <v>Not Sampled</v>
      </c>
    </row>
    <row r="1804" spans="1:22" x14ac:dyDescent="0.25">
      <c r="A1804" s="1">
        <v>3</v>
      </c>
      <c r="B1804" s="1">
        <v>102</v>
      </c>
      <c r="C1804" s="1">
        <v>74</v>
      </c>
      <c r="D1804" s="1">
        <v>0</v>
      </c>
      <c r="E1804" s="1">
        <v>0</v>
      </c>
      <c r="F1804" s="1">
        <v>29.5</v>
      </c>
      <c r="G1804" s="1">
        <v>0.121</v>
      </c>
      <c r="H1804" s="1">
        <v>32</v>
      </c>
      <c r="I1804" s="1">
        <v>0</v>
      </c>
      <c r="J1804" s="1" t="str">
        <f>IFERROR(VLOOKUP(K1804,[1]diabetes_Recognition!$A:$B,2,FALSE),"Not Sampled")</f>
        <v>Not Sampled</v>
      </c>
      <c r="K1804" s="1">
        <v>1802</v>
      </c>
      <c r="L1804" s="1" t="str">
        <f>LOOKUP(A1804,Sheet2!$D$4:$E$9)</f>
        <v>3-4</v>
      </c>
      <c r="M1804" t="str">
        <f>LOOKUP(B1804,Sheet2!$G$4:$H$9)</f>
        <v>100-125</v>
      </c>
      <c r="N1804" t="str">
        <f>LOOKUP(C1804,Sheet2!$J$4:$K$8)</f>
        <v>70-79</v>
      </c>
      <c r="O1804" t="str">
        <f>LOOKUP(D1804,Sheet2!$M$4:$N$8)</f>
        <v>Unknown</v>
      </c>
      <c r="P1804" t="str">
        <f>LOOKUP(E1804,Sheet2!$P$4:$Q$9)</f>
        <v>Unknown</v>
      </c>
      <c r="Q1804" t="str">
        <f>LOOKUP(F1804,Sheet2!$S$4:$T$8)</f>
        <v>26-30</v>
      </c>
      <c r="R1804" t="str">
        <f>LOOKUP(G1804,Sheet2!$V$4:$W$7)</f>
        <v>0.0 - 0.249</v>
      </c>
      <c r="S1804" t="str">
        <f>LOOKUP(H1804,Sheet2!$Z$4:$AA$7)</f>
        <v>26-35</v>
      </c>
      <c r="T1804" t="str">
        <f t="shared" si="84"/>
        <v>Negative</v>
      </c>
      <c r="U1804" t="str">
        <f t="shared" si="85"/>
        <v>Not Sampled</v>
      </c>
      <c r="V1804" s="1" t="str">
        <f t="shared" si="86"/>
        <v>Not Sampled</v>
      </c>
    </row>
    <row r="1805" spans="1:22" x14ac:dyDescent="0.25">
      <c r="A1805" s="1">
        <v>7</v>
      </c>
      <c r="B1805" s="1">
        <v>187</v>
      </c>
      <c r="C1805" s="1">
        <v>50</v>
      </c>
      <c r="D1805" s="1">
        <v>33</v>
      </c>
      <c r="E1805" s="1">
        <v>392</v>
      </c>
      <c r="F1805" s="1">
        <v>33.9</v>
      </c>
      <c r="G1805" s="1">
        <v>0.82599999999999996</v>
      </c>
      <c r="H1805" s="1">
        <v>34</v>
      </c>
      <c r="I1805" s="1">
        <v>1</v>
      </c>
      <c r="J1805" s="1">
        <f>IFERROR(VLOOKUP(K1805,[1]diabetes_Recognition!$A:$B,2,FALSE),"Not Sampled")</f>
        <v>1</v>
      </c>
      <c r="K1805" s="1">
        <v>1803</v>
      </c>
      <c r="L1805" s="1" t="str">
        <f>LOOKUP(A1805,Sheet2!$D$4:$E$9)</f>
        <v>5-7</v>
      </c>
      <c r="M1805" t="str">
        <f>LOOKUP(B1805,Sheet2!$G$4:$H$9)</f>
        <v>176-200</v>
      </c>
      <c r="N1805" t="str">
        <f>LOOKUP(C1805,Sheet2!$J$4:$K$8)</f>
        <v>1-59</v>
      </c>
      <c r="O1805" t="str">
        <f>LOOKUP(D1805,Sheet2!$M$4:$N$8)</f>
        <v>30-39</v>
      </c>
      <c r="P1805" t="str">
        <f>LOOKUP(E1805,Sheet2!$P$4:$Q$9)</f>
        <v>300-499</v>
      </c>
      <c r="Q1805" t="str">
        <f>LOOKUP(F1805,Sheet2!$S$4:$T$8)</f>
        <v>31-35</v>
      </c>
      <c r="R1805" t="str">
        <f>LOOKUP(G1805,Sheet2!$V$4:$W$7)</f>
        <v>0.7+</v>
      </c>
      <c r="S1805" t="str">
        <f>LOOKUP(H1805,Sheet2!$Z$4:$AA$7)</f>
        <v>26-35</v>
      </c>
      <c r="T1805" t="str">
        <f t="shared" si="84"/>
        <v>Positive</v>
      </c>
      <c r="U1805" t="str">
        <f t="shared" si="85"/>
        <v>Positive</v>
      </c>
      <c r="V1805" s="1" t="str">
        <f t="shared" si="86"/>
        <v>Accurate Prediction</v>
      </c>
    </row>
    <row r="1806" spans="1:22" x14ac:dyDescent="0.25">
      <c r="A1806" s="1">
        <v>3</v>
      </c>
      <c r="B1806" s="1">
        <v>173</v>
      </c>
      <c r="C1806" s="1">
        <v>78</v>
      </c>
      <c r="D1806" s="1">
        <v>39</v>
      </c>
      <c r="E1806" s="1">
        <v>185</v>
      </c>
      <c r="F1806" s="1">
        <v>33.799999999999997</v>
      </c>
      <c r="G1806" s="1">
        <v>0.97</v>
      </c>
      <c r="H1806" s="1">
        <v>31</v>
      </c>
      <c r="I1806" s="1">
        <v>1</v>
      </c>
      <c r="J1806" s="1" t="str">
        <f>IFERROR(VLOOKUP(K1806,[1]diabetes_Recognition!$A:$B,2,FALSE),"Not Sampled")</f>
        <v>Not Sampled</v>
      </c>
      <c r="K1806" s="1">
        <v>1804</v>
      </c>
      <c r="L1806" s="1" t="str">
        <f>LOOKUP(A1806,Sheet2!$D$4:$E$9)</f>
        <v>3-4</v>
      </c>
      <c r="M1806" t="str">
        <f>LOOKUP(B1806,Sheet2!$G$4:$H$9)</f>
        <v>151-175</v>
      </c>
      <c r="N1806" t="str">
        <f>LOOKUP(C1806,Sheet2!$J$4:$K$8)</f>
        <v>70-79</v>
      </c>
      <c r="O1806" t="str">
        <f>LOOKUP(D1806,Sheet2!$M$4:$N$8)</f>
        <v>30-39</v>
      </c>
      <c r="P1806" t="str">
        <f>LOOKUP(E1806,Sheet2!$P$4:$Q$9)</f>
        <v>100-199</v>
      </c>
      <c r="Q1806" t="str">
        <f>LOOKUP(F1806,Sheet2!$S$4:$T$8)</f>
        <v>31-35</v>
      </c>
      <c r="R1806" t="str">
        <f>LOOKUP(G1806,Sheet2!$V$4:$W$7)</f>
        <v>0.7+</v>
      </c>
      <c r="S1806" t="str">
        <f>LOOKUP(H1806,Sheet2!$Z$4:$AA$7)</f>
        <v>26-35</v>
      </c>
      <c r="T1806" t="str">
        <f t="shared" si="84"/>
        <v>Positive</v>
      </c>
      <c r="U1806" t="str">
        <f t="shared" si="85"/>
        <v>Not Sampled</v>
      </c>
      <c r="V1806" s="1" t="str">
        <f t="shared" si="86"/>
        <v>Not Sampled</v>
      </c>
    </row>
    <row r="1807" spans="1:22" x14ac:dyDescent="0.25">
      <c r="A1807" s="1">
        <v>10</v>
      </c>
      <c r="B1807" s="1">
        <v>94</v>
      </c>
      <c r="C1807" s="1">
        <v>72</v>
      </c>
      <c r="D1807" s="1">
        <v>18</v>
      </c>
      <c r="E1807" s="1">
        <v>0</v>
      </c>
      <c r="F1807" s="1">
        <v>23.1</v>
      </c>
      <c r="G1807" s="1">
        <v>0.59499999999999997</v>
      </c>
      <c r="H1807" s="1">
        <v>56</v>
      </c>
      <c r="I1807" s="1">
        <v>0</v>
      </c>
      <c r="J1807" s="1">
        <f>IFERROR(VLOOKUP(K1807,[1]diabetes_Recognition!$A:$B,2,FALSE),"Not Sampled")</f>
        <v>0</v>
      </c>
      <c r="K1807" s="1">
        <v>1805</v>
      </c>
      <c r="L1807" s="1" t="str">
        <f>LOOKUP(A1807,Sheet2!$D$4:$E$9)</f>
        <v>8+</v>
      </c>
      <c r="M1807" t="str">
        <f>LOOKUP(B1807,Sheet2!$G$4:$H$9)</f>
        <v>1-99</v>
      </c>
      <c r="N1807" t="str">
        <f>LOOKUP(C1807,Sheet2!$J$4:$K$8)</f>
        <v>70-79</v>
      </c>
      <c r="O1807" t="str">
        <f>LOOKUP(D1807,Sheet2!$M$4:$N$8)</f>
        <v>10-30</v>
      </c>
      <c r="P1807" t="str">
        <f>LOOKUP(E1807,Sheet2!$P$4:$Q$9)</f>
        <v>Unknown</v>
      </c>
      <c r="Q1807" t="str">
        <f>LOOKUP(F1807,Sheet2!$S$4:$T$8)</f>
        <v>1-25</v>
      </c>
      <c r="R1807" t="str">
        <f>LOOKUP(G1807,Sheet2!$V$4:$W$7)</f>
        <v>0.4 - 0.69</v>
      </c>
      <c r="S1807" t="str">
        <f>LOOKUP(H1807,Sheet2!$Z$4:$AA$7)</f>
        <v>46+</v>
      </c>
      <c r="T1807" t="str">
        <f t="shared" si="84"/>
        <v>Negative</v>
      </c>
      <c r="U1807" t="str">
        <f t="shared" si="85"/>
        <v>Negative</v>
      </c>
      <c r="V1807" s="1" t="str">
        <f t="shared" si="86"/>
        <v>Accurate Prediction</v>
      </c>
    </row>
    <row r="1808" spans="1:22" x14ac:dyDescent="0.25">
      <c r="A1808" s="1">
        <v>1</v>
      </c>
      <c r="B1808" s="1">
        <v>108</v>
      </c>
      <c r="C1808" s="1">
        <v>60</v>
      </c>
      <c r="D1808" s="1">
        <v>46</v>
      </c>
      <c r="E1808" s="1">
        <v>178</v>
      </c>
      <c r="F1808" s="1">
        <v>35.5</v>
      </c>
      <c r="G1808" s="1">
        <v>0.41499999999999998</v>
      </c>
      <c r="H1808" s="1">
        <v>24</v>
      </c>
      <c r="I1808" s="1">
        <v>0</v>
      </c>
      <c r="J1808" s="1" t="str">
        <f>IFERROR(VLOOKUP(K1808,[1]diabetes_Recognition!$A:$B,2,FALSE),"Not Sampled")</f>
        <v>Not Sampled</v>
      </c>
      <c r="K1808" s="1">
        <v>1806</v>
      </c>
      <c r="L1808" s="1">
        <f>LOOKUP(A1808,Sheet2!$D$4:$E$9)</f>
        <v>1</v>
      </c>
      <c r="M1808" t="str">
        <f>LOOKUP(B1808,Sheet2!$G$4:$H$9)</f>
        <v>100-125</v>
      </c>
      <c r="N1808" t="str">
        <f>LOOKUP(C1808,Sheet2!$J$4:$K$8)</f>
        <v>60-69</v>
      </c>
      <c r="O1808" t="str">
        <f>LOOKUP(D1808,Sheet2!$M$4:$N$8)</f>
        <v>40+</v>
      </c>
      <c r="P1808" t="str">
        <f>LOOKUP(E1808,Sheet2!$P$4:$Q$9)</f>
        <v>100-199</v>
      </c>
      <c r="Q1808" t="str">
        <f>LOOKUP(F1808,Sheet2!$S$4:$T$8)</f>
        <v>31-35</v>
      </c>
      <c r="R1808" t="str">
        <f>LOOKUP(G1808,Sheet2!$V$4:$W$7)</f>
        <v>0.4 - 0.69</v>
      </c>
      <c r="S1808" t="str">
        <f>LOOKUP(H1808,Sheet2!$Z$4:$AA$7)</f>
        <v>&lt;=25</v>
      </c>
      <c r="T1808" t="str">
        <f t="shared" si="84"/>
        <v>Negative</v>
      </c>
      <c r="U1808" t="str">
        <f t="shared" si="85"/>
        <v>Not Sampled</v>
      </c>
      <c r="V1808" s="1" t="str">
        <f t="shared" si="86"/>
        <v>Not Sampled</v>
      </c>
    </row>
    <row r="1809" spans="1:22" x14ac:dyDescent="0.25">
      <c r="A1809" s="1">
        <v>5</v>
      </c>
      <c r="B1809" s="1">
        <v>97</v>
      </c>
      <c r="C1809" s="1">
        <v>76</v>
      </c>
      <c r="D1809" s="1">
        <v>27</v>
      </c>
      <c r="E1809" s="1">
        <v>0</v>
      </c>
      <c r="F1809" s="1">
        <v>35.6</v>
      </c>
      <c r="G1809" s="1">
        <v>0.378</v>
      </c>
      <c r="H1809" s="1">
        <v>52</v>
      </c>
      <c r="I1809" s="1">
        <v>1</v>
      </c>
      <c r="J1809" s="1">
        <f>IFERROR(VLOOKUP(K1809,[1]diabetes_Recognition!$A:$B,2,FALSE),"Not Sampled")</f>
        <v>0</v>
      </c>
      <c r="K1809" s="1">
        <v>1807</v>
      </c>
      <c r="L1809" s="1" t="str">
        <f>LOOKUP(A1809,Sheet2!$D$4:$E$9)</f>
        <v>5-7</v>
      </c>
      <c r="M1809" t="str">
        <f>LOOKUP(B1809,Sheet2!$G$4:$H$9)</f>
        <v>1-99</v>
      </c>
      <c r="N1809" t="str">
        <f>LOOKUP(C1809,Sheet2!$J$4:$K$8)</f>
        <v>70-79</v>
      </c>
      <c r="O1809" t="str">
        <f>LOOKUP(D1809,Sheet2!$M$4:$N$8)</f>
        <v>10-30</v>
      </c>
      <c r="P1809" t="str">
        <f>LOOKUP(E1809,Sheet2!$P$4:$Q$9)</f>
        <v>Unknown</v>
      </c>
      <c r="Q1809" t="str">
        <f>LOOKUP(F1809,Sheet2!$S$4:$T$8)</f>
        <v>31-35</v>
      </c>
      <c r="R1809" t="str">
        <f>LOOKUP(G1809,Sheet2!$V$4:$W$7)</f>
        <v>0.25 - 0.39</v>
      </c>
      <c r="S1809" t="str">
        <f>LOOKUP(H1809,Sheet2!$Z$4:$AA$7)</f>
        <v>46+</v>
      </c>
      <c r="T1809" t="str">
        <f t="shared" si="84"/>
        <v>Positive</v>
      </c>
      <c r="U1809" t="str">
        <f t="shared" si="85"/>
        <v>Negative</v>
      </c>
      <c r="V1809" s="1" t="str">
        <f t="shared" si="86"/>
        <v>Inaccurate Prediction</v>
      </c>
    </row>
    <row r="1810" spans="1:22" x14ac:dyDescent="0.25">
      <c r="A1810" s="1">
        <v>4</v>
      </c>
      <c r="B1810" s="1">
        <v>83</v>
      </c>
      <c r="C1810" s="1">
        <v>86</v>
      </c>
      <c r="D1810" s="1">
        <v>19</v>
      </c>
      <c r="E1810" s="1">
        <v>0</v>
      </c>
      <c r="F1810" s="1">
        <v>29.3</v>
      </c>
      <c r="G1810" s="1">
        <v>0.317</v>
      </c>
      <c r="H1810" s="1">
        <v>34</v>
      </c>
      <c r="I1810" s="1">
        <v>0</v>
      </c>
      <c r="J1810" s="1" t="str">
        <f>IFERROR(VLOOKUP(K1810,[1]diabetes_Recognition!$A:$B,2,FALSE),"Not Sampled")</f>
        <v>Not Sampled</v>
      </c>
      <c r="K1810" s="1">
        <v>1808</v>
      </c>
      <c r="L1810" s="1" t="str">
        <f>LOOKUP(A1810,Sheet2!$D$4:$E$9)</f>
        <v>3-4</v>
      </c>
      <c r="M1810" t="str">
        <f>LOOKUP(B1810,Sheet2!$G$4:$H$9)</f>
        <v>1-99</v>
      </c>
      <c r="N1810" t="str">
        <f>LOOKUP(C1810,Sheet2!$J$4:$K$8)</f>
        <v>80+</v>
      </c>
      <c r="O1810" t="str">
        <f>LOOKUP(D1810,Sheet2!$M$4:$N$8)</f>
        <v>10-30</v>
      </c>
      <c r="P1810" t="str">
        <f>LOOKUP(E1810,Sheet2!$P$4:$Q$9)</f>
        <v>Unknown</v>
      </c>
      <c r="Q1810" t="str">
        <f>LOOKUP(F1810,Sheet2!$S$4:$T$8)</f>
        <v>26-30</v>
      </c>
      <c r="R1810" t="str">
        <f>LOOKUP(G1810,Sheet2!$V$4:$W$7)</f>
        <v>0.25 - 0.39</v>
      </c>
      <c r="S1810" t="str">
        <f>LOOKUP(H1810,Sheet2!$Z$4:$AA$7)</f>
        <v>26-35</v>
      </c>
      <c r="T1810" t="str">
        <f t="shared" si="84"/>
        <v>Negative</v>
      </c>
      <c r="U1810" t="str">
        <f t="shared" si="85"/>
        <v>Not Sampled</v>
      </c>
      <c r="V1810" s="1" t="str">
        <f t="shared" si="86"/>
        <v>Not Sampled</v>
      </c>
    </row>
    <row r="1811" spans="1:22" x14ac:dyDescent="0.25">
      <c r="A1811" s="1">
        <v>1</v>
      </c>
      <c r="B1811" s="1">
        <v>114</v>
      </c>
      <c r="C1811" s="1">
        <v>66</v>
      </c>
      <c r="D1811" s="1">
        <v>36</v>
      </c>
      <c r="E1811" s="1">
        <v>200</v>
      </c>
      <c r="F1811" s="1">
        <v>38.1</v>
      </c>
      <c r="G1811" s="1">
        <v>0.28899999999999998</v>
      </c>
      <c r="H1811" s="1">
        <v>21</v>
      </c>
      <c r="I1811" s="1">
        <v>0</v>
      </c>
      <c r="J1811" s="1" t="str">
        <f>IFERROR(VLOOKUP(K1811,[1]diabetes_Recognition!$A:$B,2,FALSE),"Not Sampled")</f>
        <v>Not Sampled</v>
      </c>
      <c r="K1811" s="1">
        <v>1809</v>
      </c>
      <c r="L1811" s="1">
        <f>LOOKUP(A1811,Sheet2!$D$4:$E$9)</f>
        <v>1</v>
      </c>
      <c r="M1811" t="str">
        <f>LOOKUP(B1811,Sheet2!$G$4:$H$9)</f>
        <v>100-125</v>
      </c>
      <c r="N1811" t="str">
        <f>LOOKUP(C1811,Sheet2!$J$4:$K$8)</f>
        <v>60-69</v>
      </c>
      <c r="O1811" t="str">
        <f>LOOKUP(D1811,Sheet2!$M$4:$N$8)</f>
        <v>30-39</v>
      </c>
      <c r="P1811" t="str">
        <f>LOOKUP(E1811,Sheet2!$P$4:$Q$9)</f>
        <v>200-399</v>
      </c>
      <c r="Q1811" t="str">
        <f>LOOKUP(F1811,Sheet2!$S$4:$T$8)</f>
        <v>36+</v>
      </c>
      <c r="R1811" t="str">
        <f>LOOKUP(G1811,Sheet2!$V$4:$W$7)</f>
        <v>0.25 - 0.39</v>
      </c>
      <c r="S1811" t="str">
        <f>LOOKUP(H1811,Sheet2!$Z$4:$AA$7)</f>
        <v>&lt;=25</v>
      </c>
      <c r="T1811" t="str">
        <f t="shared" si="84"/>
        <v>Negative</v>
      </c>
      <c r="U1811" t="str">
        <f t="shared" si="85"/>
        <v>Not Sampled</v>
      </c>
      <c r="V1811" s="1" t="str">
        <f t="shared" si="86"/>
        <v>Not Sampled</v>
      </c>
    </row>
    <row r="1812" spans="1:22" x14ac:dyDescent="0.25">
      <c r="A1812" s="1">
        <v>1</v>
      </c>
      <c r="B1812" s="1">
        <v>149</v>
      </c>
      <c r="C1812" s="1">
        <v>68</v>
      </c>
      <c r="D1812" s="1">
        <v>29</v>
      </c>
      <c r="E1812" s="1">
        <v>127</v>
      </c>
      <c r="F1812" s="1">
        <v>29.3</v>
      </c>
      <c r="G1812" s="1">
        <v>0.34899999999999998</v>
      </c>
      <c r="H1812" s="1">
        <v>42</v>
      </c>
      <c r="I1812" s="1">
        <v>1</v>
      </c>
      <c r="J1812" s="1" t="str">
        <f>IFERROR(VLOOKUP(K1812,[1]diabetes_Recognition!$A:$B,2,FALSE),"Not Sampled")</f>
        <v>Not Sampled</v>
      </c>
      <c r="K1812" s="1">
        <v>1810</v>
      </c>
      <c r="L1812" s="1">
        <f>LOOKUP(A1812,Sheet2!$D$4:$E$9)</f>
        <v>1</v>
      </c>
      <c r="M1812" t="str">
        <f>LOOKUP(B1812,Sheet2!$G$4:$H$9)</f>
        <v>126-150</v>
      </c>
      <c r="N1812" t="str">
        <f>LOOKUP(C1812,Sheet2!$J$4:$K$8)</f>
        <v>60-69</v>
      </c>
      <c r="O1812" t="str">
        <f>LOOKUP(D1812,Sheet2!$M$4:$N$8)</f>
        <v>10-30</v>
      </c>
      <c r="P1812" t="str">
        <f>LOOKUP(E1812,Sheet2!$P$4:$Q$9)</f>
        <v>100-199</v>
      </c>
      <c r="Q1812" t="str">
        <f>LOOKUP(F1812,Sheet2!$S$4:$T$8)</f>
        <v>26-30</v>
      </c>
      <c r="R1812" t="str">
        <f>LOOKUP(G1812,Sheet2!$V$4:$W$7)</f>
        <v>0.25 - 0.39</v>
      </c>
      <c r="S1812" t="str">
        <f>LOOKUP(H1812,Sheet2!$Z$4:$AA$7)</f>
        <v>36-45</v>
      </c>
      <c r="T1812" t="str">
        <f t="shared" si="84"/>
        <v>Positive</v>
      </c>
      <c r="U1812" t="str">
        <f t="shared" si="85"/>
        <v>Not Sampled</v>
      </c>
      <c r="V1812" s="1" t="str">
        <f t="shared" si="86"/>
        <v>Not Sampled</v>
      </c>
    </row>
    <row r="1813" spans="1:22" x14ac:dyDescent="0.25">
      <c r="A1813" s="1">
        <v>5</v>
      </c>
      <c r="B1813" s="1">
        <v>117</v>
      </c>
      <c r="C1813" s="1">
        <v>86</v>
      </c>
      <c r="D1813" s="1">
        <v>30</v>
      </c>
      <c r="E1813" s="1">
        <v>105</v>
      </c>
      <c r="F1813" s="1">
        <v>39.1</v>
      </c>
      <c r="G1813" s="1">
        <v>0.251</v>
      </c>
      <c r="H1813" s="1">
        <v>42</v>
      </c>
      <c r="I1813" s="1">
        <v>0</v>
      </c>
      <c r="J1813" s="1">
        <f>IFERROR(VLOOKUP(K1813,[1]diabetes_Recognition!$A:$B,2,FALSE),"Not Sampled")</f>
        <v>0</v>
      </c>
      <c r="K1813" s="1">
        <v>1811</v>
      </c>
      <c r="L1813" s="1" t="str">
        <f>LOOKUP(A1813,Sheet2!$D$4:$E$9)</f>
        <v>5-7</v>
      </c>
      <c r="M1813" t="str">
        <f>LOOKUP(B1813,Sheet2!$G$4:$H$9)</f>
        <v>100-125</v>
      </c>
      <c r="N1813" t="str">
        <f>LOOKUP(C1813,Sheet2!$J$4:$K$8)</f>
        <v>80+</v>
      </c>
      <c r="O1813" t="str">
        <f>LOOKUP(D1813,Sheet2!$M$4:$N$8)</f>
        <v>30-39</v>
      </c>
      <c r="P1813" t="str">
        <f>LOOKUP(E1813,Sheet2!$P$4:$Q$9)</f>
        <v>100-199</v>
      </c>
      <c r="Q1813" t="str">
        <f>LOOKUP(F1813,Sheet2!$S$4:$T$8)</f>
        <v>36+</v>
      </c>
      <c r="R1813" t="str">
        <f>LOOKUP(G1813,Sheet2!$V$4:$W$7)</f>
        <v>0.25 - 0.39</v>
      </c>
      <c r="S1813" t="str">
        <f>LOOKUP(H1813,Sheet2!$Z$4:$AA$7)</f>
        <v>36-45</v>
      </c>
      <c r="T1813" t="str">
        <f t="shared" si="84"/>
        <v>Negative</v>
      </c>
      <c r="U1813" t="str">
        <f t="shared" si="85"/>
        <v>Negative</v>
      </c>
      <c r="V1813" s="1" t="str">
        <f t="shared" si="86"/>
        <v>Accurate Prediction</v>
      </c>
    </row>
    <row r="1814" spans="1:22" x14ac:dyDescent="0.25">
      <c r="A1814" s="1">
        <v>1</v>
      </c>
      <c r="B1814" s="1">
        <v>111</v>
      </c>
      <c r="C1814" s="1">
        <v>94</v>
      </c>
      <c r="D1814" s="1">
        <v>0</v>
      </c>
      <c r="E1814" s="1">
        <v>0</v>
      </c>
      <c r="F1814" s="1">
        <v>32.799999999999997</v>
      </c>
      <c r="G1814" s="1">
        <v>0.26500000000000001</v>
      </c>
      <c r="H1814" s="1">
        <v>45</v>
      </c>
      <c r="I1814" s="1">
        <v>0</v>
      </c>
      <c r="J1814" s="1" t="str">
        <f>IFERROR(VLOOKUP(K1814,[1]diabetes_Recognition!$A:$B,2,FALSE),"Not Sampled")</f>
        <v>Not Sampled</v>
      </c>
      <c r="K1814" s="1">
        <v>1812</v>
      </c>
      <c r="L1814" s="1">
        <f>LOOKUP(A1814,Sheet2!$D$4:$E$9)</f>
        <v>1</v>
      </c>
      <c r="M1814" t="str">
        <f>LOOKUP(B1814,Sheet2!$G$4:$H$9)</f>
        <v>100-125</v>
      </c>
      <c r="N1814" t="str">
        <f>LOOKUP(C1814,Sheet2!$J$4:$K$8)</f>
        <v>80+</v>
      </c>
      <c r="O1814" t="str">
        <f>LOOKUP(D1814,Sheet2!$M$4:$N$8)</f>
        <v>Unknown</v>
      </c>
      <c r="P1814" t="str">
        <f>LOOKUP(E1814,Sheet2!$P$4:$Q$9)</f>
        <v>Unknown</v>
      </c>
      <c r="Q1814" t="str">
        <f>LOOKUP(F1814,Sheet2!$S$4:$T$8)</f>
        <v>31-35</v>
      </c>
      <c r="R1814" t="str">
        <f>LOOKUP(G1814,Sheet2!$V$4:$W$7)</f>
        <v>0.25 - 0.39</v>
      </c>
      <c r="S1814" t="str">
        <f>LOOKUP(H1814,Sheet2!$Z$4:$AA$7)</f>
        <v>36-45</v>
      </c>
      <c r="T1814" t="str">
        <f t="shared" si="84"/>
        <v>Negative</v>
      </c>
      <c r="U1814" t="str">
        <f t="shared" si="85"/>
        <v>Not Sampled</v>
      </c>
      <c r="V1814" s="1" t="str">
        <f t="shared" si="86"/>
        <v>Not Sampled</v>
      </c>
    </row>
    <row r="1815" spans="1:22" x14ac:dyDescent="0.25">
      <c r="A1815" s="1">
        <v>4</v>
      </c>
      <c r="B1815" s="1">
        <v>112</v>
      </c>
      <c r="C1815" s="1">
        <v>78</v>
      </c>
      <c r="D1815" s="1">
        <v>40</v>
      </c>
      <c r="E1815" s="1">
        <v>0</v>
      </c>
      <c r="F1815" s="1">
        <v>39.4</v>
      </c>
      <c r="G1815" s="1">
        <v>0.23599999999999999</v>
      </c>
      <c r="H1815" s="1">
        <v>38</v>
      </c>
      <c r="I1815" s="1">
        <v>0</v>
      </c>
      <c r="J1815" s="1">
        <f>IFERROR(VLOOKUP(K1815,[1]diabetes_Recognition!$A:$B,2,FALSE),"Not Sampled")</f>
        <v>0</v>
      </c>
      <c r="K1815" s="1">
        <v>1813</v>
      </c>
      <c r="L1815" s="1" t="str">
        <f>LOOKUP(A1815,Sheet2!$D$4:$E$9)</f>
        <v>3-4</v>
      </c>
      <c r="M1815" t="str">
        <f>LOOKUP(B1815,Sheet2!$G$4:$H$9)</f>
        <v>100-125</v>
      </c>
      <c r="N1815" t="str">
        <f>LOOKUP(C1815,Sheet2!$J$4:$K$8)</f>
        <v>70-79</v>
      </c>
      <c r="O1815" t="str">
        <f>LOOKUP(D1815,Sheet2!$M$4:$N$8)</f>
        <v>40+</v>
      </c>
      <c r="P1815" t="str">
        <f>LOOKUP(E1815,Sheet2!$P$4:$Q$9)</f>
        <v>Unknown</v>
      </c>
      <c r="Q1815" t="str">
        <f>LOOKUP(F1815,Sheet2!$S$4:$T$8)</f>
        <v>36+</v>
      </c>
      <c r="R1815" t="str">
        <f>LOOKUP(G1815,Sheet2!$V$4:$W$7)</f>
        <v>0.0 - 0.249</v>
      </c>
      <c r="S1815" t="str">
        <f>LOOKUP(H1815,Sheet2!$Z$4:$AA$7)</f>
        <v>36-45</v>
      </c>
      <c r="T1815" t="str">
        <f t="shared" si="84"/>
        <v>Negative</v>
      </c>
      <c r="U1815" t="str">
        <f t="shared" si="85"/>
        <v>Negative</v>
      </c>
      <c r="V1815" s="1" t="str">
        <f t="shared" si="86"/>
        <v>Accurate Prediction</v>
      </c>
    </row>
    <row r="1816" spans="1:22" x14ac:dyDescent="0.25">
      <c r="A1816" s="1">
        <v>1</v>
      </c>
      <c r="B1816" s="1">
        <v>116</v>
      </c>
      <c r="C1816" s="1">
        <v>78</v>
      </c>
      <c r="D1816" s="1">
        <v>29</v>
      </c>
      <c r="E1816" s="1">
        <v>180</v>
      </c>
      <c r="F1816" s="1">
        <v>36.1</v>
      </c>
      <c r="G1816" s="1">
        <v>0.496</v>
      </c>
      <c r="H1816" s="1">
        <v>25</v>
      </c>
      <c r="I1816" s="1">
        <v>0</v>
      </c>
      <c r="J1816" s="1" t="str">
        <f>IFERROR(VLOOKUP(K1816,[1]diabetes_Recognition!$A:$B,2,FALSE),"Not Sampled")</f>
        <v>Not Sampled</v>
      </c>
      <c r="K1816" s="1">
        <v>1814</v>
      </c>
      <c r="L1816" s="1">
        <f>LOOKUP(A1816,Sheet2!$D$4:$E$9)</f>
        <v>1</v>
      </c>
      <c r="M1816" t="str">
        <f>LOOKUP(B1816,Sheet2!$G$4:$H$9)</f>
        <v>100-125</v>
      </c>
      <c r="N1816" t="str">
        <f>LOOKUP(C1816,Sheet2!$J$4:$K$8)</f>
        <v>70-79</v>
      </c>
      <c r="O1816" t="str">
        <f>LOOKUP(D1816,Sheet2!$M$4:$N$8)</f>
        <v>10-30</v>
      </c>
      <c r="P1816" t="str">
        <f>LOOKUP(E1816,Sheet2!$P$4:$Q$9)</f>
        <v>100-199</v>
      </c>
      <c r="Q1816" t="str">
        <f>LOOKUP(F1816,Sheet2!$S$4:$T$8)</f>
        <v>36+</v>
      </c>
      <c r="R1816" t="str">
        <f>LOOKUP(G1816,Sheet2!$V$4:$W$7)</f>
        <v>0.4 - 0.69</v>
      </c>
      <c r="S1816" t="str">
        <f>LOOKUP(H1816,Sheet2!$Z$4:$AA$7)</f>
        <v>&lt;=25</v>
      </c>
      <c r="T1816" t="str">
        <f t="shared" si="84"/>
        <v>Negative</v>
      </c>
      <c r="U1816" t="str">
        <f t="shared" si="85"/>
        <v>Not Sampled</v>
      </c>
      <c r="V1816" s="1" t="str">
        <f t="shared" si="86"/>
        <v>Not Sampled</v>
      </c>
    </row>
    <row r="1817" spans="1:22" x14ac:dyDescent="0.25">
      <c r="A1817" s="1">
        <v>0</v>
      </c>
      <c r="B1817" s="1">
        <v>141</v>
      </c>
      <c r="C1817" s="1">
        <v>84</v>
      </c>
      <c r="D1817" s="1">
        <v>26</v>
      </c>
      <c r="E1817" s="1">
        <v>0</v>
      </c>
      <c r="F1817" s="1">
        <v>32.4</v>
      </c>
      <c r="G1817" s="1">
        <v>0.433</v>
      </c>
      <c r="H1817" s="1">
        <v>22</v>
      </c>
      <c r="I1817" s="1">
        <v>0</v>
      </c>
      <c r="J1817" s="1" t="str">
        <f>IFERROR(VLOOKUP(K1817,[1]diabetes_Recognition!$A:$B,2,FALSE),"Not Sampled")</f>
        <v>Not Sampled</v>
      </c>
      <c r="K1817" s="1">
        <v>1815</v>
      </c>
      <c r="L1817" s="1">
        <f>LOOKUP(A1817,Sheet2!$D$4:$E$9)</f>
        <v>0</v>
      </c>
      <c r="M1817" t="str">
        <f>LOOKUP(B1817,Sheet2!$G$4:$H$9)</f>
        <v>126-150</v>
      </c>
      <c r="N1817" t="str">
        <f>LOOKUP(C1817,Sheet2!$J$4:$K$8)</f>
        <v>80+</v>
      </c>
      <c r="O1817" t="str">
        <f>LOOKUP(D1817,Sheet2!$M$4:$N$8)</f>
        <v>10-30</v>
      </c>
      <c r="P1817" t="str">
        <f>LOOKUP(E1817,Sheet2!$P$4:$Q$9)</f>
        <v>Unknown</v>
      </c>
      <c r="Q1817" t="str">
        <f>LOOKUP(F1817,Sheet2!$S$4:$T$8)</f>
        <v>31-35</v>
      </c>
      <c r="R1817" t="str">
        <f>LOOKUP(G1817,Sheet2!$V$4:$W$7)</f>
        <v>0.4 - 0.69</v>
      </c>
      <c r="S1817" t="str">
        <f>LOOKUP(H1817,Sheet2!$Z$4:$AA$7)</f>
        <v>&lt;=25</v>
      </c>
      <c r="T1817" t="str">
        <f t="shared" si="84"/>
        <v>Negative</v>
      </c>
      <c r="U1817" t="str">
        <f t="shared" si="85"/>
        <v>Not Sampled</v>
      </c>
      <c r="V1817" s="1" t="str">
        <f t="shared" si="86"/>
        <v>Not Sampled</v>
      </c>
    </row>
    <row r="1818" spans="1:22" x14ac:dyDescent="0.25">
      <c r="A1818" s="1">
        <v>2</v>
      </c>
      <c r="B1818" s="1">
        <v>175</v>
      </c>
      <c r="C1818" s="1">
        <v>88</v>
      </c>
      <c r="D1818" s="1">
        <v>0</v>
      </c>
      <c r="E1818" s="1">
        <v>0</v>
      </c>
      <c r="F1818" s="1">
        <v>22.9</v>
      </c>
      <c r="G1818" s="1">
        <v>0.32600000000000001</v>
      </c>
      <c r="H1818" s="1">
        <v>22</v>
      </c>
      <c r="I1818" s="1">
        <v>0</v>
      </c>
      <c r="J1818" s="1" t="str">
        <f>IFERROR(VLOOKUP(K1818,[1]diabetes_Recognition!$A:$B,2,FALSE),"Not Sampled")</f>
        <v>Not Sampled</v>
      </c>
      <c r="K1818" s="1">
        <v>1816</v>
      </c>
      <c r="L1818" s="1">
        <f>LOOKUP(A1818,Sheet2!$D$4:$E$9)</f>
        <v>2</v>
      </c>
      <c r="M1818" t="str">
        <f>LOOKUP(B1818,Sheet2!$G$4:$H$9)</f>
        <v>151-175</v>
      </c>
      <c r="N1818" t="str">
        <f>LOOKUP(C1818,Sheet2!$J$4:$K$8)</f>
        <v>80+</v>
      </c>
      <c r="O1818" t="str">
        <f>LOOKUP(D1818,Sheet2!$M$4:$N$8)</f>
        <v>Unknown</v>
      </c>
      <c r="P1818" t="str">
        <f>LOOKUP(E1818,Sheet2!$P$4:$Q$9)</f>
        <v>Unknown</v>
      </c>
      <c r="Q1818" t="str">
        <f>LOOKUP(F1818,Sheet2!$S$4:$T$8)</f>
        <v>1-25</v>
      </c>
      <c r="R1818" t="str">
        <f>LOOKUP(G1818,Sheet2!$V$4:$W$7)</f>
        <v>0.25 - 0.39</v>
      </c>
      <c r="S1818" t="str">
        <f>LOOKUP(H1818,Sheet2!$Z$4:$AA$7)</f>
        <v>&lt;=25</v>
      </c>
      <c r="T1818" t="str">
        <f t="shared" si="84"/>
        <v>Negative</v>
      </c>
      <c r="U1818" t="str">
        <f t="shared" si="85"/>
        <v>Not Sampled</v>
      </c>
      <c r="V1818" s="1" t="str">
        <f t="shared" si="86"/>
        <v>Not Sampled</v>
      </c>
    </row>
    <row r="1819" spans="1:22" x14ac:dyDescent="0.25">
      <c r="A1819" s="1">
        <v>2</v>
      </c>
      <c r="B1819" s="1">
        <v>92</v>
      </c>
      <c r="C1819" s="1">
        <v>52</v>
      </c>
      <c r="D1819" s="1">
        <v>0</v>
      </c>
      <c r="E1819" s="1">
        <v>0</v>
      </c>
      <c r="F1819" s="1">
        <v>30.1</v>
      </c>
      <c r="G1819" s="1">
        <v>0.14099999999999999</v>
      </c>
      <c r="H1819" s="1">
        <v>22</v>
      </c>
      <c r="I1819" s="1">
        <v>0</v>
      </c>
      <c r="J1819" s="1" t="str">
        <f>IFERROR(VLOOKUP(K1819,[1]diabetes_Recognition!$A:$B,2,FALSE),"Not Sampled")</f>
        <v>Not Sampled</v>
      </c>
      <c r="K1819" s="1">
        <v>1817</v>
      </c>
      <c r="L1819" s="1">
        <f>LOOKUP(A1819,Sheet2!$D$4:$E$9)</f>
        <v>2</v>
      </c>
      <c r="M1819" t="str">
        <f>LOOKUP(B1819,Sheet2!$G$4:$H$9)</f>
        <v>1-99</v>
      </c>
      <c r="N1819" t="str">
        <f>LOOKUP(C1819,Sheet2!$J$4:$K$8)</f>
        <v>1-59</v>
      </c>
      <c r="O1819" t="str">
        <f>LOOKUP(D1819,Sheet2!$M$4:$N$8)</f>
        <v>Unknown</v>
      </c>
      <c r="P1819" t="str">
        <f>LOOKUP(E1819,Sheet2!$P$4:$Q$9)</f>
        <v>Unknown</v>
      </c>
      <c r="Q1819" t="str">
        <f>LOOKUP(F1819,Sheet2!$S$4:$T$8)</f>
        <v>26-30</v>
      </c>
      <c r="R1819" t="str">
        <f>LOOKUP(G1819,Sheet2!$V$4:$W$7)</f>
        <v>0.0 - 0.249</v>
      </c>
      <c r="S1819" t="str">
        <f>LOOKUP(H1819,Sheet2!$Z$4:$AA$7)</f>
        <v>&lt;=25</v>
      </c>
      <c r="T1819" t="str">
        <f t="shared" si="84"/>
        <v>Negative</v>
      </c>
      <c r="U1819" t="str">
        <f t="shared" si="85"/>
        <v>Not Sampled</v>
      </c>
      <c r="V1819" s="1" t="str">
        <f t="shared" si="86"/>
        <v>Not Sampled</v>
      </c>
    </row>
    <row r="1820" spans="1:22" x14ac:dyDescent="0.25">
      <c r="A1820" s="1">
        <v>3</v>
      </c>
      <c r="B1820" s="1">
        <v>130</v>
      </c>
      <c r="C1820" s="1">
        <v>78</v>
      </c>
      <c r="D1820" s="1">
        <v>23</v>
      </c>
      <c r="E1820" s="1">
        <v>79</v>
      </c>
      <c r="F1820" s="1">
        <v>28.4</v>
      </c>
      <c r="G1820" s="1">
        <v>0.32300000000000001</v>
      </c>
      <c r="H1820" s="1">
        <v>34</v>
      </c>
      <c r="I1820" s="1">
        <v>1</v>
      </c>
      <c r="J1820" s="1" t="str">
        <f>IFERROR(VLOOKUP(K1820,[1]diabetes_Recognition!$A:$B,2,FALSE),"Not Sampled")</f>
        <v>Not Sampled</v>
      </c>
      <c r="K1820" s="1">
        <v>1818</v>
      </c>
      <c r="L1820" s="1" t="str">
        <f>LOOKUP(A1820,Sheet2!$D$4:$E$9)</f>
        <v>3-4</v>
      </c>
      <c r="M1820" t="str">
        <f>LOOKUP(B1820,Sheet2!$G$4:$H$9)</f>
        <v>126-150</v>
      </c>
      <c r="N1820" t="str">
        <f>LOOKUP(C1820,Sheet2!$J$4:$K$8)</f>
        <v>70-79</v>
      </c>
      <c r="O1820" t="str">
        <f>LOOKUP(D1820,Sheet2!$M$4:$N$8)</f>
        <v>10-30</v>
      </c>
      <c r="P1820" t="str">
        <f>LOOKUP(E1820,Sheet2!$P$4:$Q$9)</f>
        <v>1-99</v>
      </c>
      <c r="Q1820" t="str">
        <f>LOOKUP(F1820,Sheet2!$S$4:$T$8)</f>
        <v>26-30</v>
      </c>
      <c r="R1820" t="str">
        <f>LOOKUP(G1820,Sheet2!$V$4:$W$7)</f>
        <v>0.25 - 0.39</v>
      </c>
      <c r="S1820" t="str">
        <f>LOOKUP(H1820,Sheet2!$Z$4:$AA$7)</f>
        <v>26-35</v>
      </c>
      <c r="T1820" t="str">
        <f t="shared" si="84"/>
        <v>Positive</v>
      </c>
      <c r="U1820" t="str">
        <f t="shared" si="85"/>
        <v>Not Sampled</v>
      </c>
      <c r="V1820" s="1" t="str">
        <f t="shared" si="86"/>
        <v>Not Sampled</v>
      </c>
    </row>
    <row r="1821" spans="1:22" x14ac:dyDescent="0.25">
      <c r="A1821" s="1">
        <v>8</v>
      </c>
      <c r="B1821" s="1">
        <v>120</v>
      </c>
      <c r="C1821" s="1">
        <v>86</v>
      </c>
      <c r="D1821" s="1">
        <v>0</v>
      </c>
      <c r="E1821" s="1">
        <v>0</v>
      </c>
      <c r="F1821" s="1">
        <v>28.4</v>
      </c>
      <c r="G1821" s="1">
        <v>0.25900000000000001</v>
      </c>
      <c r="H1821" s="1">
        <v>22</v>
      </c>
      <c r="I1821" s="1">
        <v>1</v>
      </c>
      <c r="J1821" s="1" t="str">
        <f>IFERROR(VLOOKUP(K1821,[1]diabetes_Recognition!$A:$B,2,FALSE),"Not Sampled")</f>
        <v>Not Sampled</v>
      </c>
      <c r="K1821" s="1">
        <v>1819</v>
      </c>
      <c r="L1821" s="1" t="str">
        <f>LOOKUP(A1821,Sheet2!$D$4:$E$9)</f>
        <v>8+</v>
      </c>
      <c r="M1821" t="str">
        <f>LOOKUP(B1821,Sheet2!$G$4:$H$9)</f>
        <v>100-125</v>
      </c>
      <c r="N1821" t="str">
        <f>LOOKUP(C1821,Sheet2!$J$4:$K$8)</f>
        <v>80+</v>
      </c>
      <c r="O1821" t="str">
        <f>LOOKUP(D1821,Sheet2!$M$4:$N$8)</f>
        <v>Unknown</v>
      </c>
      <c r="P1821" t="str">
        <f>LOOKUP(E1821,Sheet2!$P$4:$Q$9)</f>
        <v>Unknown</v>
      </c>
      <c r="Q1821" t="str">
        <f>LOOKUP(F1821,Sheet2!$S$4:$T$8)</f>
        <v>26-30</v>
      </c>
      <c r="R1821" t="str">
        <f>LOOKUP(G1821,Sheet2!$V$4:$W$7)</f>
        <v>0.25 - 0.39</v>
      </c>
      <c r="S1821" t="str">
        <f>LOOKUP(H1821,Sheet2!$Z$4:$AA$7)</f>
        <v>&lt;=25</v>
      </c>
      <c r="T1821" t="str">
        <f t="shared" si="84"/>
        <v>Positive</v>
      </c>
      <c r="U1821" t="str">
        <f t="shared" si="85"/>
        <v>Not Sampled</v>
      </c>
      <c r="V1821" s="1" t="str">
        <f t="shared" si="86"/>
        <v>Not Sampled</v>
      </c>
    </row>
    <row r="1822" spans="1:22" x14ac:dyDescent="0.25">
      <c r="A1822" s="1">
        <v>2</v>
      </c>
      <c r="B1822" s="1">
        <v>174</v>
      </c>
      <c r="C1822" s="1">
        <v>88</v>
      </c>
      <c r="D1822" s="1">
        <v>37</v>
      </c>
      <c r="E1822" s="1">
        <v>120</v>
      </c>
      <c r="F1822" s="1">
        <v>44.5</v>
      </c>
      <c r="G1822" s="1">
        <v>0.64600000000000002</v>
      </c>
      <c r="H1822" s="1">
        <v>24</v>
      </c>
      <c r="I1822" s="1">
        <v>1</v>
      </c>
      <c r="J1822" s="1">
        <f>IFERROR(VLOOKUP(K1822,[1]diabetes_Recognition!$A:$B,2,FALSE),"Not Sampled")</f>
        <v>1</v>
      </c>
      <c r="K1822" s="1">
        <v>1820</v>
      </c>
      <c r="L1822" s="1">
        <f>LOOKUP(A1822,Sheet2!$D$4:$E$9)</f>
        <v>2</v>
      </c>
      <c r="M1822" t="str">
        <f>LOOKUP(B1822,Sheet2!$G$4:$H$9)</f>
        <v>151-175</v>
      </c>
      <c r="N1822" t="str">
        <f>LOOKUP(C1822,Sheet2!$J$4:$K$8)</f>
        <v>80+</v>
      </c>
      <c r="O1822" t="str">
        <f>LOOKUP(D1822,Sheet2!$M$4:$N$8)</f>
        <v>30-39</v>
      </c>
      <c r="P1822" t="str">
        <f>LOOKUP(E1822,Sheet2!$P$4:$Q$9)</f>
        <v>100-199</v>
      </c>
      <c r="Q1822" t="str">
        <f>LOOKUP(F1822,Sheet2!$S$4:$T$8)</f>
        <v>36+</v>
      </c>
      <c r="R1822" t="str">
        <f>LOOKUP(G1822,Sheet2!$V$4:$W$7)</f>
        <v>0.4 - 0.69</v>
      </c>
      <c r="S1822" t="str">
        <f>LOOKUP(H1822,Sheet2!$Z$4:$AA$7)</f>
        <v>&lt;=25</v>
      </c>
      <c r="T1822" t="str">
        <f t="shared" si="84"/>
        <v>Positive</v>
      </c>
      <c r="U1822" t="str">
        <f t="shared" si="85"/>
        <v>Positive</v>
      </c>
      <c r="V1822" s="1" t="str">
        <f t="shared" si="86"/>
        <v>Accurate Prediction</v>
      </c>
    </row>
    <row r="1823" spans="1:22" x14ac:dyDescent="0.25">
      <c r="A1823" s="1">
        <v>2</v>
      </c>
      <c r="B1823" s="1">
        <v>106</v>
      </c>
      <c r="C1823" s="1">
        <v>56</v>
      </c>
      <c r="D1823" s="1">
        <v>27</v>
      </c>
      <c r="E1823" s="1">
        <v>165</v>
      </c>
      <c r="F1823" s="1">
        <v>29</v>
      </c>
      <c r="G1823" s="1">
        <v>0.42599999999999999</v>
      </c>
      <c r="H1823" s="1">
        <v>22</v>
      </c>
      <c r="I1823" s="1">
        <v>0</v>
      </c>
      <c r="J1823" s="1">
        <f>IFERROR(VLOOKUP(K1823,[1]diabetes_Recognition!$A:$B,2,FALSE),"Not Sampled")</f>
        <v>0</v>
      </c>
      <c r="K1823" s="1">
        <v>1821</v>
      </c>
      <c r="L1823" s="1">
        <f>LOOKUP(A1823,Sheet2!$D$4:$E$9)</f>
        <v>2</v>
      </c>
      <c r="M1823" t="str">
        <f>LOOKUP(B1823,Sheet2!$G$4:$H$9)</f>
        <v>100-125</v>
      </c>
      <c r="N1823" t="str">
        <f>LOOKUP(C1823,Sheet2!$J$4:$K$8)</f>
        <v>1-59</v>
      </c>
      <c r="O1823" t="str">
        <f>LOOKUP(D1823,Sheet2!$M$4:$N$8)</f>
        <v>10-30</v>
      </c>
      <c r="P1823" t="str">
        <f>LOOKUP(E1823,Sheet2!$P$4:$Q$9)</f>
        <v>100-199</v>
      </c>
      <c r="Q1823" t="str">
        <f>LOOKUP(F1823,Sheet2!$S$4:$T$8)</f>
        <v>26-30</v>
      </c>
      <c r="R1823" t="str">
        <f>LOOKUP(G1823,Sheet2!$V$4:$W$7)</f>
        <v>0.4 - 0.69</v>
      </c>
      <c r="S1823" t="str">
        <f>LOOKUP(H1823,Sheet2!$Z$4:$AA$7)</f>
        <v>&lt;=25</v>
      </c>
      <c r="T1823" t="str">
        <f t="shared" si="84"/>
        <v>Negative</v>
      </c>
      <c r="U1823" t="str">
        <f t="shared" si="85"/>
        <v>Negative</v>
      </c>
      <c r="V1823" s="1" t="str">
        <f t="shared" si="86"/>
        <v>Accurate Prediction</v>
      </c>
    </row>
    <row r="1824" spans="1:22" x14ac:dyDescent="0.25">
      <c r="A1824" s="1">
        <v>2</v>
      </c>
      <c r="B1824" s="1">
        <v>105</v>
      </c>
      <c r="C1824" s="1">
        <v>75</v>
      </c>
      <c r="D1824" s="1">
        <v>0</v>
      </c>
      <c r="E1824" s="1">
        <v>0</v>
      </c>
      <c r="F1824" s="1">
        <v>23.3</v>
      </c>
      <c r="G1824" s="1">
        <v>0.56000000000000005</v>
      </c>
      <c r="H1824" s="1">
        <v>53</v>
      </c>
      <c r="I1824" s="1">
        <v>0</v>
      </c>
      <c r="J1824" s="1" t="str">
        <f>IFERROR(VLOOKUP(K1824,[1]diabetes_Recognition!$A:$B,2,FALSE),"Not Sampled")</f>
        <v>Not Sampled</v>
      </c>
      <c r="K1824" s="1">
        <v>1822</v>
      </c>
      <c r="L1824" s="1">
        <f>LOOKUP(A1824,Sheet2!$D$4:$E$9)</f>
        <v>2</v>
      </c>
      <c r="M1824" t="str">
        <f>LOOKUP(B1824,Sheet2!$G$4:$H$9)</f>
        <v>100-125</v>
      </c>
      <c r="N1824" t="str">
        <f>LOOKUP(C1824,Sheet2!$J$4:$K$8)</f>
        <v>70-79</v>
      </c>
      <c r="O1824" t="str">
        <f>LOOKUP(D1824,Sheet2!$M$4:$N$8)</f>
        <v>Unknown</v>
      </c>
      <c r="P1824" t="str">
        <f>LOOKUP(E1824,Sheet2!$P$4:$Q$9)</f>
        <v>Unknown</v>
      </c>
      <c r="Q1824" t="str">
        <f>LOOKUP(F1824,Sheet2!$S$4:$T$8)</f>
        <v>1-25</v>
      </c>
      <c r="R1824" t="str">
        <f>LOOKUP(G1824,Sheet2!$V$4:$W$7)</f>
        <v>0.4 - 0.69</v>
      </c>
      <c r="S1824" t="str">
        <f>LOOKUP(H1824,Sheet2!$Z$4:$AA$7)</f>
        <v>46+</v>
      </c>
      <c r="T1824" t="str">
        <f t="shared" si="84"/>
        <v>Negative</v>
      </c>
      <c r="U1824" t="str">
        <f t="shared" si="85"/>
        <v>Not Sampled</v>
      </c>
      <c r="V1824" s="1" t="str">
        <f t="shared" si="86"/>
        <v>Not Sampled</v>
      </c>
    </row>
    <row r="1825" spans="1:22" x14ac:dyDescent="0.25">
      <c r="A1825" s="1">
        <v>4</v>
      </c>
      <c r="B1825" s="1">
        <v>95</v>
      </c>
      <c r="C1825" s="1">
        <v>60</v>
      </c>
      <c r="D1825" s="1">
        <v>32</v>
      </c>
      <c r="E1825" s="1">
        <v>0</v>
      </c>
      <c r="F1825" s="1">
        <v>35.4</v>
      </c>
      <c r="G1825" s="1">
        <v>0.28399999999999997</v>
      </c>
      <c r="H1825" s="1">
        <v>28</v>
      </c>
      <c r="I1825" s="1">
        <v>0</v>
      </c>
      <c r="J1825" s="1" t="str">
        <f>IFERROR(VLOOKUP(K1825,[1]diabetes_Recognition!$A:$B,2,FALSE),"Not Sampled")</f>
        <v>Not Sampled</v>
      </c>
      <c r="K1825" s="1">
        <v>1823</v>
      </c>
      <c r="L1825" s="1" t="str">
        <f>LOOKUP(A1825,Sheet2!$D$4:$E$9)</f>
        <v>3-4</v>
      </c>
      <c r="M1825" t="str">
        <f>LOOKUP(B1825,Sheet2!$G$4:$H$9)</f>
        <v>1-99</v>
      </c>
      <c r="N1825" t="str">
        <f>LOOKUP(C1825,Sheet2!$J$4:$K$8)</f>
        <v>60-69</v>
      </c>
      <c r="O1825" t="str">
        <f>LOOKUP(D1825,Sheet2!$M$4:$N$8)</f>
        <v>30-39</v>
      </c>
      <c r="P1825" t="str">
        <f>LOOKUP(E1825,Sheet2!$P$4:$Q$9)</f>
        <v>Unknown</v>
      </c>
      <c r="Q1825" t="str">
        <f>LOOKUP(F1825,Sheet2!$S$4:$T$8)</f>
        <v>31-35</v>
      </c>
      <c r="R1825" t="str">
        <f>LOOKUP(G1825,Sheet2!$V$4:$W$7)</f>
        <v>0.25 - 0.39</v>
      </c>
      <c r="S1825" t="str">
        <f>LOOKUP(H1825,Sheet2!$Z$4:$AA$7)</f>
        <v>26-35</v>
      </c>
      <c r="T1825" t="str">
        <f t="shared" si="84"/>
        <v>Negative</v>
      </c>
      <c r="U1825" t="str">
        <f t="shared" si="85"/>
        <v>Not Sampled</v>
      </c>
      <c r="V1825" s="1" t="str">
        <f t="shared" si="86"/>
        <v>Not Sampled</v>
      </c>
    </row>
    <row r="1826" spans="1:22" x14ac:dyDescent="0.25">
      <c r="A1826" s="1">
        <v>0</v>
      </c>
      <c r="B1826" s="1">
        <v>126</v>
      </c>
      <c r="C1826" s="1">
        <v>86</v>
      </c>
      <c r="D1826" s="1">
        <v>27</v>
      </c>
      <c r="E1826" s="1">
        <v>120</v>
      </c>
      <c r="F1826" s="1">
        <v>27.4</v>
      </c>
      <c r="G1826" s="1">
        <v>0.51500000000000001</v>
      </c>
      <c r="H1826" s="1">
        <v>21</v>
      </c>
      <c r="I1826" s="1">
        <v>0</v>
      </c>
      <c r="J1826" s="1">
        <f>IFERROR(VLOOKUP(K1826,[1]diabetes_Recognition!$A:$B,2,FALSE),"Not Sampled")</f>
        <v>0</v>
      </c>
      <c r="K1826" s="1">
        <v>1824</v>
      </c>
      <c r="L1826" s="1">
        <f>LOOKUP(A1826,Sheet2!$D$4:$E$9)</f>
        <v>0</v>
      </c>
      <c r="M1826" t="str">
        <f>LOOKUP(B1826,Sheet2!$G$4:$H$9)</f>
        <v>126-150</v>
      </c>
      <c r="N1826" t="str">
        <f>LOOKUP(C1826,Sheet2!$J$4:$K$8)</f>
        <v>80+</v>
      </c>
      <c r="O1826" t="str">
        <f>LOOKUP(D1826,Sheet2!$M$4:$N$8)</f>
        <v>10-30</v>
      </c>
      <c r="P1826" t="str">
        <f>LOOKUP(E1826,Sheet2!$P$4:$Q$9)</f>
        <v>100-199</v>
      </c>
      <c r="Q1826" t="str">
        <f>LOOKUP(F1826,Sheet2!$S$4:$T$8)</f>
        <v>26-30</v>
      </c>
      <c r="R1826" t="str">
        <f>LOOKUP(G1826,Sheet2!$V$4:$W$7)</f>
        <v>0.4 - 0.69</v>
      </c>
      <c r="S1826" t="str">
        <f>LOOKUP(H1826,Sheet2!$Z$4:$AA$7)</f>
        <v>&lt;=25</v>
      </c>
      <c r="T1826" t="str">
        <f t="shared" si="84"/>
        <v>Negative</v>
      </c>
      <c r="U1826" t="str">
        <f t="shared" si="85"/>
        <v>Negative</v>
      </c>
      <c r="V1826" s="1" t="str">
        <f t="shared" si="86"/>
        <v>Accurate Prediction</v>
      </c>
    </row>
    <row r="1827" spans="1:22" x14ac:dyDescent="0.25">
      <c r="A1827" s="1">
        <v>8</v>
      </c>
      <c r="B1827" s="1">
        <v>65</v>
      </c>
      <c r="C1827" s="1">
        <v>72</v>
      </c>
      <c r="D1827" s="1">
        <v>23</v>
      </c>
      <c r="E1827" s="1">
        <v>0</v>
      </c>
      <c r="F1827" s="1">
        <v>32</v>
      </c>
      <c r="G1827" s="1">
        <v>0.6</v>
      </c>
      <c r="H1827" s="1">
        <v>42</v>
      </c>
      <c r="I1827" s="1">
        <v>0</v>
      </c>
      <c r="J1827" s="1">
        <f>IFERROR(VLOOKUP(K1827,[1]diabetes_Recognition!$A:$B,2,FALSE),"Not Sampled")</f>
        <v>0</v>
      </c>
      <c r="K1827" s="1">
        <v>1825</v>
      </c>
      <c r="L1827" s="1" t="str">
        <f>LOOKUP(A1827,Sheet2!$D$4:$E$9)</f>
        <v>8+</v>
      </c>
      <c r="M1827" t="str">
        <f>LOOKUP(B1827,Sheet2!$G$4:$H$9)</f>
        <v>1-99</v>
      </c>
      <c r="N1827" t="str">
        <f>LOOKUP(C1827,Sheet2!$J$4:$K$8)</f>
        <v>70-79</v>
      </c>
      <c r="O1827" t="str">
        <f>LOOKUP(D1827,Sheet2!$M$4:$N$8)</f>
        <v>10-30</v>
      </c>
      <c r="P1827" t="str">
        <f>LOOKUP(E1827,Sheet2!$P$4:$Q$9)</f>
        <v>Unknown</v>
      </c>
      <c r="Q1827" t="str">
        <f>LOOKUP(F1827,Sheet2!$S$4:$T$8)</f>
        <v>31-35</v>
      </c>
      <c r="R1827" t="str">
        <f>LOOKUP(G1827,Sheet2!$V$4:$W$7)</f>
        <v>0.4 - 0.69</v>
      </c>
      <c r="S1827" t="str">
        <f>LOOKUP(H1827,Sheet2!$Z$4:$AA$7)</f>
        <v>36-45</v>
      </c>
      <c r="T1827" t="str">
        <f t="shared" si="84"/>
        <v>Negative</v>
      </c>
      <c r="U1827" t="str">
        <f t="shared" si="85"/>
        <v>Negative</v>
      </c>
      <c r="V1827" s="1" t="str">
        <f t="shared" si="86"/>
        <v>Accurate Prediction</v>
      </c>
    </row>
    <row r="1828" spans="1:22" x14ac:dyDescent="0.25">
      <c r="A1828" s="1">
        <v>2</v>
      </c>
      <c r="B1828" s="1">
        <v>99</v>
      </c>
      <c r="C1828" s="1">
        <v>60</v>
      </c>
      <c r="D1828" s="1">
        <v>17</v>
      </c>
      <c r="E1828" s="1">
        <v>160</v>
      </c>
      <c r="F1828" s="1">
        <v>36.6</v>
      </c>
      <c r="G1828" s="1">
        <v>0.45300000000000001</v>
      </c>
      <c r="H1828" s="1">
        <v>21</v>
      </c>
      <c r="I1828" s="1">
        <v>0</v>
      </c>
      <c r="J1828" s="1" t="str">
        <f>IFERROR(VLOOKUP(K1828,[1]diabetes_Recognition!$A:$B,2,FALSE),"Not Sampled")</f>
        <v>Not Sampled</v>
      </c>
      <c r="K1828" s="1">
        <v>1826</v>
      </c>
      <c r="L1828" s="1">
        <f>LOOKUP(A1828,Sheet2!$D$4:$E$9)</f>
        <v>2</v>
      </c>
      <c r="M1828" t="str">
        <f>LOOKUP(B1828,Sheet2!$G$4:$H$9)</f>
        <v>1-99</v>
      </c>
      <c r="N1828" t="str">
        <f>LOOKUP(C1828,Sheet2!$J$4:$K$8)</f>
        <v>60-69</v>
      </c>
      <c r="O1828" t="str">
        <f>LOOKUP(D1828,Sheet2!$M$4:$N$8)</f>
        <v>10-30</v>
      </c>
      <c r="P1828" t="str">
        <f>LOOKUP(E1828,Sheet2!$P$4:$Q$9)</f>
        <v>100-199</v>
      </c>
      <c r="Q1828" t="str">
        <f>LOOKUP(F1828,Sheet2!$S$4:$T$8)</f>
        <v>36+</v>
      </c>
      <c r="R1828" t="str">
        <f>LOOKUP(G1828,Sheet2!$V$4:$W$7)</f>
        <v>0.4 - 0.69</v>
      </c>
      <c r="S1828" t="str">
        <f>LOOKUP(H1828,Sheet2!$Z$4:$AA$7)</f>
        <v>&lt;=25</v>
      </c>
      <c r="T1828" t="str">
        <f t="shared" si="84"/>
        <v>Negative</v>
      </c>
      <c r="U1828" t="str">
        <f t="shared" si="85"/>
        <v>Not Sampled</v>
      </c>
      <c r="V1828" s="1" t="str">
        <f t="shared" si="86"/>
        <v>Not Sampled</v>
      </c>
    </row>
    <row r="1829" spans="1:22" x14ac:dyDescent="0.25">
      <c r="A1829" s="1">
        <v>1</v>
      </c>
      <c r="B1829" s="1">
        <v>102</v>
      </c>
      <c r="C1829" s="1">
        <v>74</v>
      </c>
      <c r="D1829" s="1">
        <v>0</v>
      </c>
      <c r="E1829" s="1">
        <v>0</v>
      </c>
      <c r="F1829" s="1">
        <v>39.5</v>
      </c>
      <c r="G1829" s="1">
        <v>0.29299999999999998</v>
      </c>
      <c r="H1829" s="1">
        <v>42</v>
      </c>
      <c r="I1829" s="1">
        <v>1</v>
      </c>
      <c r="J1829" s="1" t="str">
        <f>IFERROR(VLOOKUP(K1829,[1]diabetes_Recognition!$A:$B,2,FALSE),"Not Sampled")</f>
        <v>Not Sampled</v>
      </c>
      <c r="K1829" s="1">
        <v>1827</v>
      </c>
      <c r="L1829" s="1">
        <f>LOOKUP(A1829,Sheet2!$D$4:$E$9)</f>
        <v>1</v>
      </c>
      <c r="M1829" t="str">
        <f>LOOKUP(B1829,Sheet2!$G$4:$H$9)</f>
        <v>100-125</v>
      </c>
      <c r="N1829" t="str">
        <f>LOOKUP(C1829,Sheet2!$J$4:$K$8)</f>
        <v>70-79</v>
      </c>
      <c r="O1829" t="str">
        <f>LOOKUP(D1829,Sheet2!$M$4:$N$8)</f>
        <v>Unknown</v>
      </c>
      <c r="P1829" t="str">
        <f>LOOKUP(E1829,Sheet2!$P$4:$Q$9)</f>
        <v>Unknown</v>
      </c>
      <c r="Q1829" t="str">
        <f>LOOKUP(F1829,Sheet2!$S$4:$T$8)</f>
        <v>36+</v>
      </c>
      <c r="R1829" t="str">
        <f>LOOKUP(G1829,Sheet2!$V$4:$W$7)</f>
        <v>0.25 - 0.39</v>
      </c>
      <c r="S1829" t="str">
        <f>LOOKUP(H1829,Sheet2!$Z$4:$AA$7)</f>
        <v>36-45</v>
      </c>
      <c r="T1829" t="str">
        <f t="shared" si="84"/>
        <v>Positive</v>
      </c>
      <c r="U1829" t="str">
        <f t="shared" si="85"/>
        <v>Not Sampled</v>
      </c>
      <c r="V1829" s="1" t="str">
        <f t="shared" si="86"/>
        <v>Not Sampled</v>
      </c>
    </row>
    <row r="1830" spans="1:22" x14ac:dyDescent="0.25">
      <c r="A1830" s="1">
        <v>11</v>
      </c>
      <c r="B1830" s="1">
        <v>120</v>
      </c>
      <c r="C1830" s="1">
        <v>80</v>
      </c>
      <c r="D1830" s="1">
        <v>37</v>
      </c>
      <c r="E1830" s="1">
        <v>150</v>
      </c>
      <c r="F1830" s="1">
        <v>42.3</v>
      </c>
      <c r="G1830" s="1">
        <v>0.78500000000000003</v>
      </c>
      <c r="H1830" s="1">
        <v>48</v>
      </c>
      <c r="I1830" s="1">
        <v>1</v>
      </c>
      <c r="J1830" s="1" t="str">
        <f>IFERROR(VLOOKUP(K1830,[1]diabetes_Recognition!$A:$B,2,FALSE),"Not Sampled")</f>
        <v>Not Sampled</v>
      </c>
      <c r="K1830" s="1">
        <v>1828</v>
      </c>
      <c r="L1830" s="1" t="str">
        <f>LOOKUP(A1830,Sheet2!$D$4:$E$9)</f>
        <v>8+</v>
      </c>
      <c r="M1830" t="str">
        <f>LOOKUP(B1830,Sheet2!$G$4:$H$9)</f>
        <v>100-125</v>
      </c>
      <c r="N1830" t="str">
        <f>LOOKUP(C1830,Sheet2!$J$4:$K$8)</f>
        <v>80+</v>
      </c>
      <c r="O1830" t="str">
        <f>LOOKUP(D1830,Sheet2!$M$4:$N$8)</f>
        <v>30-39</v>
      </c>
      <c r="P1830" t="str">
        <f>LOOKUP(E1830,Sheet2!$P$4:$Q$9)</f>
        <v>100-199</v>
      </c>
      <c r="Q1830" t="str">
        <f>LOOKUP(F1830,Sheet2!$S$4:$T$8)</f>
        <v>36+</v>
      </c>
      <c r="R1830" t="str">
        <f>LOOKUP(G1830,Sheet2!$V$4:$W$7)</f>
        <v>0.7+</v>
      </c>
      <c r="S1830" t="str">
        <f>LOOKUP(H1830,Sheet2!$Z$4:$AA$7)</f>
        <v>46+</v>
      </c>
      <c r="T1830" t="str">
        <f t="shared" si="84"/>
        <v>Positive</v>
      </c>
      <c r="U1830" t="str">
        <f t="shared" si="85"/>
        <v>Not Sampled</v>
      </c>
      <c r="V1830" s="1" t="str">
        <f t="shared" si="86"/>
        <v>Not Sampled</v>
      </c>
    </row>
    <row r="1831" spans="1:22" x14ac:dyDescent="0.25">
      <c r="A1831" s="1">
        <v>3</v>
      </c>
      <c r="B1831" s="1">
        <v>102</v>
      </c>
      <c r="C1831" s="1">
        <v>44</v>
      </c>
      <c r="D1831" s="1">
        <v>20</v>
      </c>
      <c r="E1831" s="1">
        <v>94</v>
      </c>
      <c r="F1831" s="1">
        <v>30.8</v>
      </c>
      <c r="G1831" s="1">
        <v>0.4</v>
      </c>
      <c r="H1831" s="1">
        <v>26</v>
      </c>
      <c r="I1831" s="1">
        <v>0</v>
      </c>
      <c r="J1831" s="1" t="str">
        <f>IFERROR(VLOOKUP(K1831,[1]diabetes_Recognition!$A:$B,2,FALSE),"Not Sampled")</f>
        <v>Not Sampled</v>
      </c>
      <c r="K1831" s="1">
        <v>1829</v>
      </c>
      <c r="L1831" s="1" t="str">
        <f>LOOKUP(A1831,Sheet2!$D$4:$E$9)</f>
        <v>3-4</v>
      </c>
      <c r="M1831" t="str">
        <f>LOOKUP(B1831,Sheet2!$G$4:$H$9)</f>
        <v>100-125</v>
      </c>
      <c r="N1831" t="str">
        <f>LOOKUP(C1831,Sheet2!$J$4:$K$8)</f>
        <v>1-59</v>
      </c>
      <c r="O1831" t="str">
        <f>LOOKUP(D1831,Sheet2!$M$4:$N$8)</f>
        <v>10-30</v>
      </c>
      <c r="P1831" t="str">
        <f>LOOKUP(E1831,Sheet2!$P$4:$Q$9)</f>
        <v>1-99</v>
      </c>
      <c r="Q1831" t="str">
        <f>LOOKUP(F1831,Sheet2!$S$4:$T$8)</f>
        <v>26-30</v>
      </c>
      <c r="R1831" t="str">
        <f>LOOKUP(G1831,Sheet2!$V$4:$W$7)</f>
        <v>0.4 - 0.69</v>
      </c>
      <c r="S1831" t="str">
        <f>LOOKUP(H1831,Sheet2!$Z$4:$AA$7)</f>
        <v>26-35</v>
      </c>
      <c r="T1831" t="str">
        <f t="shared" si="84"/>
        <v>Negative</v>
      </c>
      <c r="U1831" t="str">
        <f t="shared" si="85"/>
        <v>Not Sampled</v>
      </c>
      <c r="V1831" s="1" t="str">
        <f t="shared" si="86"/>
        <v>Not Sampled</v>
      </c>
    </row>
    <row r="1832" spans="1:22" x14ac:dyDescent="0.25">
      <c r="A1832" s="1">
        <v>1</v>
      </c>
      <c r="B1832" s="1">
        <v>109</v>
      </c>
      <c r="C1832" s="1">
        <v>58</v>
      </c>
      <c r="D1832" s="1">
        <v>18</v>
      </c>
      <c r="E1832" s="1">
        <v>116</v>
      </c>
      <c r="F1832" s="1">
        <v>28.5</v>
      </c>
      <c r="G1832" s="1">
        <v>0.219</v>
      </c>
      <c r="H1832" s="1">
        <v>22</v>
      </c>
      <c r="I1832" s="1">
        <v>0</v>
      </c>
      <c r="J1832" s="1">
        <f>IFERROR(VLOOKUP(K1832,[1]diabetes_Recognition!$A:$B,2,FALSE),"Not Sampled")</f>
        <v>0</v>
      </c>
      <c r="K1832" s="1">
        <v>1830</v>
      </c>
      <c r="L1832" s="1">
        <f>LOOKUP(A1832,Sheet2!$D$4:$E$9)</f>
        <v>1</v>
      </c>
      <c r="M1832" t="str">
        <f>LOOKUP(B1832,Sheet2!$G$4:$H$9)</f>
        <v>100-125</v>
      </c>
      <c r="N1832" t="str">
        <f>LOOKUP(C1832,Sheet2!$J$4:$K$8)</f>
        <v>1-59</v>
      </c>
      <c r="O1832" t="str">
        <f>LOOKUP(D1832,Sheet2!$M$4:$N$8)</f>
        <v>10-30</v>
      </c>
      <c r="P1832" t="str">
        <f>LOOKUP(E1832,Sheet2!$P$4:$Q$9)</f>
        <v>100-199</v>
      </c>
      <c r="Q1832" t="str">
        <f>LOOKUP(F1832,Sheet2!$S$4:$T$8)</f>
        <v>26-30</v>
      </c>
      <c r="R1832" t="str">
        <f>LOOKUP(G1832,Sheet2!$V$4:$W$7)</f>
        <v>0.0 - 0.249</v>
      </c>
      <c r="S1832" t="str">
        <f>LOOKUP(H1832,Sheet2!$Z$4:$AA$7)</f>
        <v>&lt;=25</v>
      </c>
      <c r="T1832" t="str">
        <f t="shared" si="84"/>
        <v>Negative</v>
      </c>
      <c r="U1832" t="str">
        <f t="shared" si="85"/>
        <v>Negative</v>
      </c>
      <c r="V1832" s="1" t="str">
        <f t="shared" si="86"/>
        <v>Accurate Prediction</v>
      </c>
    </row>
    <row r="1833" spans="1:22" x14ac:dyDescent="0.25">
      <c r="A1833" s="1">
        <v>9</v>
      </c>
      <c r="B1833" s="1">
        <v>140</v>
      </c>
      <c r="C1833" s="1">
        <v>94</v>
      </c>
      <c r="D1833" s="1">
        <v>0</v>
      </c>
      <c r="E1833" s="1">
        <v>0</v>
      </c>
      <c r="F1833" s="1">
        <v>32.700000000000003</v>
      </c>
      <c r="G1833" s="1">
        <v>0.73399999999999999</v>
      </c>
      <c r="H1833" s="1">
        <v>45</v>
      </c>
      <c r="I1833" s="1">
        <v>1</v>
      </c>
      <c r="J1833" s="1" t="str">
        <f>IFERROR(VLOOKUP(K1833,[1]diabetes_Recognition!$A:$B,2,FALSE),"Not Sampled")</f>
        <v>Not Sampled</v>
      </c>
      <c r="K1833" s="1">
        <v>1831</v>
      </c>
      <c r="L1833" s="1" t="str">
        <f>LOOKUP(A1833,Sheet2!$D$4:$E$9)</f>
        <v>8+</v>
      </c>
      <c r="M1833" t="str">
        <f>LOOKUP(B1833,Sheet2!$G$4:$H$9)</f>
        <v>126-150</v>
      </c>
      <c r="N1833" t="str">
        <f>LOOKUP(C1833,Sheet2!$J$4:$K$8)</f>
        <v>80+</v>
      </c>
      <c r="O1833" t="str">
        <f>LOOKUP(D1833,Sheet2!$M$4:$N$8)</f>
        <v>Unknown</v>
      </c>
      <c r="P1833" t="str">
        <f>LOOKUP(E1833,Sheet2!$P$4:$Q$9)</f>
        <v>Unknown</v>
      </c>
      <c r="Q1833" t="str">
        <f>LOOKUP(F1833,Sheet2!$S$4:$T$8)</f>
        <v>31-35</v>
      </c>
      <c r="R1833" t="str">
        <f>LOOKUP(G1833,Sheet2!$V$4:$W$7)</f>
        <v>0.7+</v>
      </c>
      <c r="S1833" t="str">
        <f>LOOKUP(H1833,Sheet2!$Z$4:$AA$7)</f>
        <v>36-45</v>
      </c>
      <c r="T1833" t="str">
        <f t="shared" si="84"/>
        <v>Positive</v>
      </c>
      <c r="U1833" t="str">
        <f t="shared" si="85"/>
        <v>Not Sampled</v>
      </c>
      <c r="V1833" s="1" t="str">
        <f t="shared" si="86"/>
        <v>Not Sampled</v>
      </c>
    </row>
    <row r="1834" spans="1:22" x14ac:dyDescent="0.25">
      <c r="A1834" s="1">
        <v>13</v>
      </c>
      <c r="B1834" s="1">
        <v>153</v>
      </c>
      <c r="C1834" s="1">
        <v>88</v>
      </c>
      <c r="D1834" s="1">
        <v>37</v>
      </c>
      <c r="E1834" s="1">
        <v>140</v>
      </c>
      <c r="F1834" s="1">
        <v>40.6</v>
      </c>
      <c r="G1834" s="1">
        <v>1.1739999999999999</v>
      </c>
      <c r="H1834" s="1">
        <v>39</v>
      </c>
      <c r="I1834" s="1">
        <v>0</v>
      </c>
      <c r="J1834" s="1" t="str">
        <f>IFERROR(VLOOKUP(K1834,[1]diabetes_Recognition!$A:$B,2,FALSE),"Not Sampled")</f>
        <v>Not Sampled</v>
      </c>
      <c r="K1834" s="1">
        <v>1832</v>
      </c>
      <c r="L1834" s="1" t="str">
        <f>LOOKUP(A1834,Sheet2!$D$4:$E$9)</f>
        <v>8+</v>
      </c>
      <c r="M1834" t="str">
        <f>LOOKUP(B1834,Sheet2!$G$4:$H$9)</f>
        <v>151-175</v>
      </c>
      <c r="N1834" t="str">
        <f>LOOKUP(C1834,Sheet2!$J$4:$K$8)</f>
        <v>80+</v>
      </c>
      <c r="O1834" t="str">
        <f>LOOKUP(D1834,Sheet2!$M$4:$N$8)</f>
        <v>30-39</v>
      </c>
      <c r="P1834" t="str">
        <f>LOOKUP(E1834,Sheet2!$P$4:$Q$9)</f>
        <v>100-199</v>
      </c>
      <c r="Q1834" t="str">
        <f>LOOKUP(F1834,Sheet2!$S$4:$T$8)</f>
        <v>36+</v>
      </c>
      <c r="R1834" t="str">
        <f>LOOKUP(G1834,Sheet2!$V$4:$W$7)</f>
        <v>0.7+</v>
      </c>
      <c r="S1834" t="str">
        <f>LOOKUP(H1834,Sheet2!$Z$4:$AA$7)</f>
        <v>36-45</v>
      </c>
      <c r="T1834" t="str">
        <f t="shared" si="84"/>
        <v>Negative</v>
      </c>
      <c r="U1834" t="str">
        <f t="shared" si="85"/>
        <v>Not Sampled</v>
      </c>
      <c r="V1834" s="1" t="str">
        <f t="shared" si="86"/>
        <v>Not Sampled</v>
      </c>
    </row>
    <row r="1835" spans="1:22" x14ac:dyDescent="0.25">
      <c r="A1835" s="1">
        <v>12</v>
      </c>
      <c r="B1835" s="1">
        <v>100</v>
      </c>
      <c r="C1835" s="1">
        <v>84</v>
      </c>
      <c r="D1835" s="1">
        <v>33</v>
      </c>
      <c r="E1835" s="1">
        <v>105</v>
      </c>
      <c r="F1835" s="1">
        <v>30</v>
      </c>
      <c r="G1835" s="1">
        <v>0.48799999999999999</v>
      </c>
      <c r="H1835" s="1">
        <v>46</v>
      </c>
      <c r="I1835" s="1">
        <v>0</v>
      </c>
      <c r="J1835" s="1" t="str">
        <f>IFERROR(VLOOKUP(K1835,[1]diabetes_Recognition!$A:$B,2,FALSE),"Not Sampled")</f>
        <v>Not Sampled</v>
      </c>
      <c r="K1835" s="1">
        <v>1833</v>
      </c>
      <c r="L1835" s="1" t="str">
        <f>LOOKUP(A1835,Sheet2!$D$4:$E$9)</f>
        <v>8+</v>
      </c>
      <c r="M1835" t="str">
        <f>LOOKUP(B1835,Sheet2!$G$4:$H$9)</f>
        <v>100-125</v>
      </c>
      <c r="N1835" t="str">
        <f>LOOKUP(C1835,Sheet2!$J$4:$K$8)</f>
        <v>80+</v>
      </c>
      <c r="O1835" t="str">
        <f>LOOKUP(D1835,Sheet2!$M$4:$N$8)</f>
        <v>30-39</v>
      </c>
      <c r="P1835" t="str">
        <f>LOOKUP(E1835,Sheet2!$P$4:$Q$9)</f>
        <v>100-199</v>
      </c>
      <c r="Q1835" t="str">
        <f>LOOKUP(F1835,Sheet2!$S$4:$T$8)</f>
        <v>26-30</v>
      </c>
      <c r="R1835" t="str">
        <f>LOOKUP(G1835,Sheet2!$V$4:$W$7)</f>
        <v>0.4 - 0.69</v>
      </c>
      <c r="S1835" t="str">
        <f>LOOKUP(H1835,Sheet2!$Z$4:$AA$7)</f>
        <v>46+</v>
      </c>
      <c r="T1835" t="str">
        <f t="shared" si="84"/>
        <v>Negative</v>
      </c>
      <c r="U1835" t="str">
        <f t="shared" si="85"/>
        <v>Not Sampled</v>
      </c>
      <c r="V1835" s="1" t="str">
        <f t="shared" si="86"/>
        <v>Not Sampled</v>
      </c>
    </row>
    <row r="1836" spans="1:22" x14ac:dyDescent="0.25">
      <c r="A1836" s="1">
        <v>1</v>
      </c>
      <c r="B1836" s="1">
        <v>147</v>
      </c>
      <c r="C1836" s="1">
        <v>94</v>
      </c>
      <c r="D1836" s="1">
        <v>41</v>
      </c>
      <c r="E1836" s="1">
        <v>0</v>
      </c>
      <c r="F1836" s="1">
        <v>49.3</v>
      </c>
      <c r="G1836" s="1">
        <v>0.35799999999999998</v>
      </c>
      <c r="H1836" s="1">
        <v>27</v>
      </c>
      <c r="I1836" s="1">
        <v>1</v>
      </c>
      <c r="J1836" s="1" t="str">
        <f>IFERROR(VLOOKUP(K1836,[1]diabetes_Recognition!$A:$B,2,FALSE),"Not Sampled")</f>
        <v>Not Sampled</v>
      </c>
      <c r="K1836" s="1">
        <v>1834</v>
      </c>
      <c r="L1836" s="1">
        <f>LOOKUP(A1836,Sheet2!$D$4:$E$9)</f>
        <v>1</v>
      </c>
      <c r="M1836" t="str">
        <f>LOOKUP(B1836,Sheet2!$G$4:$H$9)</f>
        <v>126-150</v>
      </c>
      <c r="N1836" t="str">
        <f>LOOKUP(C1836,Sheet2!$J$4:$K$8)</f>
        <v>80+</v>
      </c>
      <c r="O1836" t="str">
        <f>LOOKUP(D1836,Sheet2!$M$4:$N$8)</f>
        <v>40+</v>
      </c>
      <c r="P1836" t="str">
        <f>LOOKUP(E1836,Sheet2!$P$4:$Q$9)</f>
        <v>Unknown</v>
      </c>
      <c r="Q1836" t="str">
        <f>LOOKUP(F1836,Sheet2!$S$4:$T$8)</f>
        <v>36+</v>
      </c>
      <c r="R1836" t="str">
        <f>LOOKUP(G1836,Sheet2!$V$4:$W$7)</f>
        <v>0.25 - 0.39</v>
      </c>
      <c r="S1836" t="str">
        <f>LOOKUP(H1836,Sheet2!$Z$4:$AA$7)</f>
        <v>26-35</v>
      </c>
      <c r="T1836" t="str">
        <f t="shared" si="84"/>
        <v>Positive</v>
      </c>
      <c r="U1836" t="str">
        <f t="shared" si="85"/>
        <v>Not Sampled</v>
      </c>
      <c r="V1836" s="1" t="str">
        <f t="shared" si="86"/>
        <v>Not Sampled</v>
      </c>
    </row>
    <row r="1837" spans="1:22" x14ac:dyDescent="0.25">
      <c r="A1837" s="1">
        <v>1</v>
      </c>
      <c r="B1837" s="1">
        <v>81</v>
      </c>
      <c r="C1837" s="1">
        <v>74</v>
      </c>
      <c r="D1837" s="1">
        <v>41</v>
      </c>
      <c r="E1837" s="1">
        <v>57</v>
      </c>
      <c r="F1837" s="1">
        <v>46.3</v>
      </c>
      <c r="G1837" s="1">
        <v>1.0960000000000001</v>
      </c>
      <c r="H1837" s="1">
        <v>32</v>
      </c>
      <c r="I1837" s="1">
        <v>0</v>
      </c>
      <c r="J1837" s="1" t="str">
        <f>IFERROR(VLOOKUP(K1837,[1]diabetes_Recognition!$A:$B,2,FALSE),"Not Sampled")</f>
        <v>Not Sampled</v>
      </c>
      <c r="K1837" s="1">
        <v>1835</v>
      </c>
      <c r="L1837" s="1">
        <f>LOOKUP(A1837,Sheet2!$D$4:$E$9)</f>
        <v>1</v>
      </c>
      <c r="M1837" t="str">
        <f>LOOKUP(B1837,Sheet2!$G$4:$H$9)</f>
        <v>1-99</v>
      </c>
      <c r="N1837" t="str">
        <f>LOOKUP(C1837,Sheet2!$J$4:$K$8)</f>
        <v>70-79</v>
      </c>
      <c r="O1837" t="str">
        <f>LOOKUP(D1837,Sheet2!$M$4:$N$8)</f>
        <v>40+</v>
      </c>
      <c r="P1837" t="str">
        <f>LOOKUP(E1837,Sheet2!$P$4:$Q$9)</f>
        <v>1-99</v>
      </c>
      <c r="Q1837" t="str">
        <f>LOOKUP(F1837,Sheet2!$S$4:$T$8)</f>
        <v>36+</v>
      </c>
      <c r="R1837" t="str">
        <f>LOOKUP(G1837,Sheet2!$V$4:$W$7)</f>
        <v>0.7+</v>
      </c>
      <c r="S1837" t="str">
        <f>LOOKUP(H1837,Sheet2!$Z$4:$AA$7)</f>
        <v>26-35</v>
      </c>
      <c r="T1837" t="str">
        <f t="shared" si="84"/>
        <v>Negative</v>
      </c>
      <c r="U1837" t="str">
        <f t="shared" si="85"/>
        <v>Not Sampled</v>
      </c>
      <c r="V1837" s="1" t="str">
        <f t="shared" si="86"/>
        <v>Not Sampled</v>
      </c>
    </row>
    <row r="1838" spans="1:22" x14ac:dyDescent="0.25">
      <c r="A1838" s="1">
        <v>3</v>
      </c>
      <c r="B1838" s="1">
        <v>187</v>
      </c>
      <c r="C1838" s="1">
        <v>70</v>
      </c>
      <c r="D1838" s="1">
        <v>22</v>
      </c>
      <c r="E1838" s="1">
        <v>200</v>
      </c>
      <c r="F1838" s="1">
        <v>36.4</v>
      </c>
      <c r="G1838" s="1">
        <v>0.40799999999999997</v>
      </c>
      <c r="H1838" s="1">
        <v>36</v>
      </c>
      <c r="I1838" s="1">
        <v>1</v>
      </c>
      <c r="J1838" s="1" t="str">
        <f>IFERROR(VLOOKUP(K1838,[1]diabetes_Recognition!$A:$B,2,FALSE),"Not Sampled")</f>
        <v>Not Sampled</v>
      </c>
      <c r="K1838" s="1">
        <v>1836</v>
      </c>
      <c r="L1838" s="1" t="str">
        <f>LOOKUP(A1838,Sheet2!$D$4:$E$9)</f>
        <v>3-4</v>
      </c>
      <c r="M1838" t="str">
        <f>LOOKUP(B1838,Sheet2!$G$4:$H$9)</f>
        <v>176-200</v>
      </c>
      <c r="N1838" t="str">
        <f>LOOKUP(C1838,Sheet2!$J$4:$K$8)</f>
        <v>70-79</v>
      </c>
      <c r="O1838" t="str">
        <f>LOOKUP(D1838,Sheet2!$M$4:$N$8)</f>
        <v>10-30</v>
      </c>
      <c r="P1838" t="str">
        <f>LOOKUP(E1838,Sheet2!$P$4:$Q$9)</f>
        <v>200-399</v>
      </c>
      <c r="Q1838" t="str">
        <f>LOOKUP(F1838,Sheet2!$S$4:$T$8)</f>
        <v>36+</v>
      </c>
      <c r="R1838" t="str">
        <f>LOOKUP(G1838,Sheet2!$V$4:$W$7)</f>
        <v>0.4 - 0.69</v>
      </c>
      <c r="S1838" t="str">
        <f>LOOKUP(H1838,Sheet2!$Z$4:$AA$7)</f>
        <v>36-45</v>
      </c>
      <c r="T1838" t="str">
        <f t="shared" si="84"/>
        <v>Positive</v>
      </c>
      <c r="U1838" t="str">
        <f t="shared" si="85"/>
        <v>Not Sampled</v>
      </c>
      <c r="V1838" s="1" t="str">
        <f t="shared" si="86"/>
        <v>Not Sampled</v>
      </c>
    </row>
    <row r="1839" spans="1:22" x14ac:dyDescent="0.25">
      <c r="A1839" s="1">
        <v>6</v>
      </c>
      <c r="B1839" s="1">
        <v>162</v>
      </c>
      <c r="C1839" s="1">
        <v>62</v>
      </c>
      <c r="D1839" s="1">
        <v>0</v>
      </c>
      <c r="E1839" s="1">
        <v>0</v>
      </c>
      <c r="F1839" s="1">
        <v>24.3</v>
      </c>
      <c r="G1839" s="1">
        <v>0.17799999999999999</v>
      </c>
      <c r="H1839" s="1">
        <v>50</v>
      </c>
      <c r="I1839" s="1">
        <v>1</v>
      </c>
      <c r="J1839" s="1" t="str">
        <f>IFERROR(VLOOKUP(K1839,[1]diabetes_Recognition!$A:$B,2,FALSE),"Not Sampled")</f>
        <v>Not Sampled</v>
      </c>
      <c r="K1839" s="1">
        <v>1837</v>
      </c>
      <c r="L1839" s="1" t="str">
        <f>LOOKUP(A1839,Sheet2!$D$4:$E$9)</f>
        <v>5-7</v>
      </c>
      <c r="M1839" t="str">
        <f>LOOKUP(B1839,Sheet2!$G$4:$H$9)</f>
        <v>151-175</v>
      </c>
      <c r="N1839" t="str">
        <f>LOOKUP(C1839,Sheet2!$J$4:$K$8)</f>
        <v>60-69</v>
      </c>
      <c r="O1839" t="str">
        <f>LOOKUP(D1839,Sheet2!$M$4:$N$8)</f>
        <v>Unknown</v>
      </c>
      <c r="P1839" t="str">
        <f>LOOKUP(E1839,Sheet2!$P$4:$Q$9)</f>
        <v>Unknown</v>
      </c>
      <c r="Q1839" t="str">
        <f>LOOKUP(F1839,Sheet2!$S$4:$T$8)</f>
        <v>1-25</v>
      </c>
      <c r="R1839" t="str">
        <f>LOOKUP(G1839,Sheet2!$V$4:$W$7)</f>
        <v>0.0 - 0.249</v>
      </c>
      <c r="S1839" t="str">
        <f>LOOKUP(H1839,Sheet2!$Z$4:$AA$7)</f>
        <v>46+</v>
      </c>
      <c r="T1839" t="str">
        <f t="shared" si="84"/>
        <v>Positive</v>
      </c>
      <c r="U1839" t="str">
        <f t="shared" si="85"/>
        <v>Not Sampled</v>
      </c>
      <c r="V1839" s="1" t="str">
        <f t="shared" si="86"/>
        <v>Not Sampled</v>
      </c>
    </row>
    <row r="1840" spans="1:22" x14ac:dyDescent="0.25">
      <c r="A1840" s="1">
        <v>4</v>
      </c>
      <c r="B1840" s="1">
        <v>136</v>
      </c>
      <c r="C1840" s="1">
        <v>70</v>
      </c>
      <c r="D1840" s="1">
        <v>0</v>
      </c>
      <c r="E1840" s="1">
        <v>0</v>
      </c>
      <c r="F1840" s="1">
        <v>31.2</v>
      </c>
      <c r="G1840" s="1">
        <v>1.1819999999999999</v>
      </c>
      <c r="H1840" s="1">
        <v>22</v>
      </c>
      <c r="I1840" s="1">
        <v>1</v>
      </c>
      <c r="J1840" s="1" t="str">
        <f>IFERROR(VLOOKUP(K1840,[1]diabetes_Recognition!$A:$B,2,FALSE),"Not Sampled")</f>
        <v>Not Sampled</v>
      </c>
      <c r="K1840" s="1">
        <v>1838</v>
      </c>
      <c r="L1840" s="1" t="str">
        <f>LOOKUP(A1840,Sheet2!$D$4:$E$9)</f>
        <v>3-4</v>
      </c>
      <c r="M1840" t="str">
        <f>LOOKUP(B1840,Sheet2!$G$4:$H$9)</f>
        <v>126-150</v>
      </c>
      <c r="N1840" t="str">
        <f>LOOKUP(C1840,Sheet2!$J$4:$K$8)</f>
        <v>70-79</v>
      </c>
      <c r="O1840" t="str">
        <f>LOOKUP(D1840,Sheet2!$M$4:$N$8)</f>
        <v>Unknown</v>
      </c>
      <c r="P1840" t="str">
        <f>LOOKUP(E1840,Sheet2!$P$4:$Q$9)</f>
        <v>Unknown</v>
      </c>
      <c r="Q1840" t="str">
        <f>LOOKUP(F1840,Sheet2!$S$4:$T$8)</f>
        <v>31-35</v>
      </c>
      <c r="R1840" t="str">
        <f>LOOKUP(G1840,Sheet2!$V$4:$W$7)</f>
        <v>0.7+</v>
      </c>
      <c r="S1840" t="str">
        <f>LOOKUP(H1840,Sheet2!$Z$4:$AA$7)</f>
        <v>&lt;=25</v>
      </c>
      <c r="T1840" t="str">
        <f t="shared" si="84"/>
        <v>Positive</v>
      </c>
      <c r="U1840" t="str">
        <f t="shared" si="85"/>
        <v>Not Sampled</v>
      </c>
      <c r="V1840" s="1" t="str">
        <f t="shared" si="86"/>
        <v>Not Sampled</v>
      </c>
    </row>
    <row r="1841" spans="1:22" x14ac:dyDescent="0.25">
      <c r="A1841" s="1">
        <v>1</v>
      </c>
      <c r="B1841" s="1">
        <v>121</v>
      </c>
      <c r="C1841" s="1">
        <v>78</v>
      </c>
      <c r="D1841" s="1">
        <v>39</v>
      </c>
      <c r="E1841" s="1">
        <v>74</v>
      </c>
      <c r="F1841" s="1">
        <v>39</v>
      </c>
      <c r="G1841" s="1">
        <v>0.26100000000000001</v>
      </c>
      <c r="H1841" s="1">
        <v>28</v>
      </c>
      <c r="I1841" s="1">
        <v>0</v>
      </c>
      <c r="J1841" s="1">
        <f>IFERROR(VLOOKUP(K1841,[1]diabetes_Recognition!$A:$B,2,FALSE),"Not Sampled")</f>
        <v>0</v>
      </c>
      <c r="K1841" s="1">
        <v>1839</v>
      </c>
      <c r="L1841" s="1">
        <f>LOOKUP(A1841,Sheet2!$D$4:$E$9)</f>
        <v>1</v>
      </c>
      <c r="M1841" t="str">
        <f>LOOKUP(B1841,Sheet2!$G$4:$H$9)</f>
        <v>100-125</v>
      </c>
      <c r="N1841" t="str">
        <f>LOOKUP(C1841,Sheet2!$J$4:$K$8)</f>
        <v>70-79</v>
      </c>
      <c r="O1841" t="str">
        <f>LOOKUP(D1841,Sheet2!$M$4:$N$8)</f>
        <v>30-39</v>
      </c>
      <c r="P1841" t="str">
        <f>LOOKUP(E1841,Sheet2!$P$4:$Q$9)</f>
        <v>1-99</v>
      </c>
      <c r="Q1841" t="str">
        <f>LOOKUP(F1841,Sheet2!$S$4:$T$8)</f>
        <v>36+</v>
      </c>
      <c r="R1841" t="str">
        <f>LOOKUP(G1841,Sheet2!$V$4:$W$7)</f>
        <v>0.25 - 0.39</v>
      </c>
      <c r="S1841" t="str">
        <f>LOOKUP(H1841,Sheet2!$Z$4:$AA$7)</f>
        <v>26-35</v>
      </c>
      <c r="T1841" t="str">
        <f t="shared" si="84"/>
        <v>Negative</v>
      </c>
      <c r="U1841" t="str">
        <f t="shared" si="85"/>
        <v>Negative</v>
      </c>
      <c r="V1841" s="1" t="str">
        <f t="shared" si="86"/>
        <v>Accurate Prediction</v>
      </c>
    </row>
    <row r="1842" spans="1:22" x14ac:dyDescent="0.25">
      <c r="A1842" s="1">
        <v>3</v>
      </c>
      <c r="B1842" s="1">
        <v>108</v>
      </c>
      <c r="C1842" s="1">
        <v>62</v>
      </c>
      <c r="D1842" s="1">
        <v>24</v>
      </c>
      <c r="E1842" s="1">
        <v>0</v>
      </c>
      <c r="F1842" s="1">
        <v>26</v>
      </c>
      <c r="G1842" s="1">
        <v>0.223</v>
      </c>
      <c r="H1842" s="1">
        <v>25</v>
      </c>
      <c r="I1842" s="1">
        <v>0</v>
      </c>
      <c r="J1842" s="1" t="str">
        <f>IFERROR(VLOOKUP(K1842,[1]diabetes_Recognition!$A:$B,2,FALSE),"Not Sampled")</f>
        <v>Not Sampled</v>
      </c>
      <c r="K1842" s="1">
        <v>1840</v>
      </c>
      <c r="L1842" s="1" t="str">
        <f>LOOKUP(A1842,Sheet2!$D$4:$E$9)</f>
        <v>3-4</v>
      </c>
      <c r="M1842" t="str">
        <f>LOOKUP(B1842,Sheet2!$G$4:$H$9)</f>
        <v>100-125</v>
      </c>
      <c r="N1842" t="str">
        <f>LOOKUP(C1842,Sheet2!$J$4:$K$8)</f>
        <v>60-69</v>
      </c>
      <c r="O1842" t="str">
        <f>LOOKUP(D1842,Sheet2!$M$4:$N$8)</f>
        <v>10-30</v>
      </c>
      <c r="P1842" t="str">
        <f>LOOKUP(E1842,Sheet2!$P$4:$Q$9)</f>
        <v>Unknown</v>
      </c>
      <c r="Q1842" t="str">
        <f>LOOKUP(F1842,Sheet2!$S$4:$T$8)</f>
        <v>26-30</v>
      </c>
      <c r="R1842" t="str">
        <f>LOOKUP(G1842,Sheet2!$V$4:$W$7)</f>
        <v>0.0 - 0.249</v>
      </c>
      <c r="S1842" t="str">
        <f>LOOKUP(H1842,Sheet2!$Z$4:$AA$7)</f>
        <v>&lt;=25</v>
      </c>
      <c r="T1842" t="str">
        <f t="shared" si="84"/>
        <v>Negative</v>
      </c>
      <c r="U1842" t="str">
        <f t="shared" si="85"/>
        <v>Not Sampled</v>
      </c>
      <c r="V1842" s="1" t="str">
        <f t="shared" si="86"/>
        <v>Not Sampled</v>
      </c>
    </row>
    <row r="1843" spans="1:22" x14ac:dyDescent="0.25">
      <c r="A1843" s="1">
        <v>0</v>
      </c>
      <c r="B1843" s="1">
        <v>181</v>
      </c>
      <c r="C1843" s="1">
        <v>88</v>
      </c>
      <c r="D1843" s="1">
        <v>44</v>
      </c>
      <c r="E1843" s="1">
        <v>510</v>
      </c>
      <c r="F1843" s="1">
        <v>43.3</v>
      </c>
      <c r="G1843" s="1">
        <v>0.222</v>
      </c>
      <c r="H1843" s="1">
        <v>26</v>
      </c>
      <c r="I1843" s="1">
        <v>1</v>
      </c>
      <c r="J1843" s="1" t="str">
        <f>IFERROR(VLOOKUP(K1843,[1]diabetes_Recognition!$A:$B,2,FALSE),"Not Sampled")</f>
        <v>Not Sampled</v>
      </c>
      <c r="K1843" s="1">
        <v>1841</v>
      </c>
      <c r="L1843" s="1">
        <f>LOOKUP(A1843,Sheet2!$D$4:$E$9)</f>
        <v>0</v>
      </c>
      <c r="M1843" t="str">
        <f>LOOKUP(B1843,Sheet2!$G$4:$H$9)</f>
        <v>176-200</v>
      </c>
      <c r="N1843" t="str">
        <f>LOOKUP(C1843,Sheet2!$J$4:$K$8)</f>
        <v>80+</v>
      </c>
      <c r="O1843" t="str">
        <f>LOOKUP(D1843,Sheet2!$M$4:$N$8)</f>
        <v>40+</v>
      </c>
      <c r="P1843" t="str">
        <f>LOOKUP(E1843,Sheet2!$P$4:$Q$9)</f>
        <v>500+</v>
      </c>
      <c r="Q1843" t="str">
        <f>LOOKUP(F1843,Sheet2!$S$4:$T$8)</f>
        <v>36+</v>
      </c>
      <c r="R1843" t="str">
        <f>LOOKUP(G1843,Sheet2!$V$4:$W$7)</f>
        <v>0.0 - 0.249</v>
      </c>
      <c r="S1843" t="str">
        <f>LOOKUP(H1843,Sheet2!$Z$4:$AA$7)</f>
        <v>26-35</v>
      </c>
      <c r="T1843" t="str">
        <f t="shared" si="84"/>
        <v>Positive</v>
      </c>
      <c r="U1843" t="str">
        <f t="shared" si="85"/>
        <v>Not Sampled</v>
      </c>
      <c r="V1843" s="1" t="str">
        <f t="shared" si="86"/>
        <v>Not Sampled</v>
      </c>
    </row>
    <row r="1844" spans="1:22" x14ac:dyDescent="0.25">
      <c r="A1844" s="1">
        <v>8</v>
      </c>
      <c r="B1844" s="1">
        <v>154</v>
      </c>
      <c r="C1844" s="1">
        <v>78</v>
      </c>
      <c r="D1844" s="1">
        <v>32</v>
      </c>
      <c r="E1844" s="1">
        <v>0</v>
      </c>
      <c r="F1844" s="1">
        <v>32.4</v>
      </c>
      <c r="G1844" s="1">
        <v>0.443</v>
      </c>
      <c r="H1844" s="1">
        <v>45</v>
      </c>
      <c r="I1844" s="1">
        <v>1</v>
      </c>
      <c r="J1844" s="1">
        <f>IFERROR(VLOOKUP(K1844,[1]diabetes_Recognition!$A:$B,2,FALSE),"Not Sampled")</f>
        <v>1</v>
      </c>
      <c r="K1844" s="1">
        <v>1842</v>
      </c>
      <c r="L1844" s="1" t="str">
        <f>LOOKUP(A1844,Sheet2!$D$4:$E$9)</f>
        <v>8+</v>
      </c>
      <c r="M1844" t="str">
        <f>LOOKUP(B1844,Sheet2!$G$4:$H$9)</f>
        <v>151-175</v>
      </c>
      <c r="N1844" t="str">
        <f>LOOKUP(C1844,Sheet2!$J$4:$K$8)</f>
        <v>70-79</v>
      </c>
      <c r="O1844" t="str">
        <f>LOOKUP(D1844,Sheet2!$M$4:$N$8)</f>
        <v>30-39</v>
      </c>
      <c r="P1844" t="str">
        <f>LOOKUP(E1844,Sheet2!$P$4:$Q$9)</f>
        <v>Unknown</v>
      </c>
      <c r="Q1844" t="str">
        <f>LOOKUP(F1844,Sheet2!$S$4:$T$8)</f>
        <v>31-35</v>
      </c>
      <c r="R1844" t="str">
        <f>LOOKUP(G1844,Sheet2!$V$4:$W$7)</f>
        <v>0.4 - 0.69</v>
      </c>
      <c r="S1844" t="str">
        <f>LOOKUP(H1844,Sheet2!$Z$4:$AA$7)</f>
        <v>36-45</v>
      </c>
      <c r="T1844" t="str">
        <f t="shared" si="84"/>
        <v>Positive</v>
      </c>
      <c r="U1844" t="str">
        <f t="shared" si="85"/>
        <v>Positive</v>
      </c>
      <c r="V1844" s="1" t="str">
        <f t="shared" si="86"/>
        <v>Accurate Prediction</v>
      </c>
    </row>
    <row r="1845" spans="1:22" x14ac:dyDescent="0.25">
      <c r="A1845" s="1">
        <v>1</v>
      </c>
      <c r="B1845" s="1">
        <v>128</v>
      </c>
      <c r="C1845" s="1">
        <v>88</v>
      </c>
      <c r="D1845" s="1">
        <v>39</v>
      </c>
      <c r="E1845" s="1">
        <v>110</v>
      </c>
      <c r="F1845" s="1">
        <v>36.5</v>
      </c>
      <c r="G1845" s="1">
        <v>1.0569999999999999</v>
      </c>
      <c r="H1845" s="1">
        <v>37</v>
      </c>
      <c r="I1845" s="1">
        <v>1</v>
      </c>
      <c r="J1845" s="1" t="str">
        <f>IFERROR(VLOOKUP(K1845,[1]diabetes_Recognition!$A:$B,2,FALSE),"Not Sampled")</f>
        <v>Not Sampled</v>
      </c>
      <c r="K1845" s="1">
        <v>1843</v>
      </c>
      <c r="L1845" s="1">
        <f>LOOKUP(A1845,Sheet2!$D$4:$E$9)</f>
        <v>1</v>
      </c>
      <c r="M1845" t="str">
        <f>LOOKUP(B1845,Sheet2!$G$4:$H$9)</f>
        <v>126-150</v>
      </c>
      <c r="N1845" t="str">
        <f>LOOKUP(C1845,Sheet2!$J$4:$K$8)</f>
        <v>80+</v>
      </c>
      <c r="O1845" t="str">
        <f>LOOKUP(D1845,Sheet2!$M$4:$N$8)</f>
        <v>30-39</v>
      </c>
      <c r="P1845" t="str">
        <f>LOOKUP(E1845,Sheet2!$P$4:$Q$9)</f>
        <v>100-199</v>
      </c>
      <c r="Q1845" t="str">
        <f>LOOKUP(F1845,Sheet2!$S$4:$T$8)</f>
        <v>36+</v>
      </c>
      <c r="R1845" t="str">
        <f>LOOKUP(G1845,Sheet2!$V$4:$W$7)</f>
        <v>0.7+</v>
      </c>
      <c r="S1845" t="str">
        <f>LOOKUP(H1845,Sheet2!$Z$4:$AA$7)</f>
        <v>36-45</v>
      </c>
      <c r="T1845" t="str">
        <f t="shared" si="84"/>
        <v>Positive</v>
      </c>
      <c r="U1845" t="str">
        <f t="shared" si="85"/>
        <v>Not Sampled</v>
      </c>
      <c r="V1845" s="1" t="str">
        <f t="shared" si="86"/>
        <v>Not Sampled</v>
      </c>
    </row>
    <row r="1846" spans="1:22" x14ac:dyDescent="0.25">
      <c r="A1846" s="1">
        <v>7</v>
      </c>
      <c r="B1846" s="1">
        <v>137</v>
      </c>
      <c r="C1846" s="1">
        <v>90</v>
      </c>
      <c r="D1846" s="1">
        <v>41</v>
      </c>
      <c r="E1846" s="1">
        <v>0</v>
      </c>
      <c r="F1846" s="1">
        <v>32</v>
      </c>
      <c r="G1846" s="1">
        <v>0.39100000000000001</v>
      </c>
      <c r="H1846" s="1">
        <v>39</v>
      </c>
      <c r="I1846" s="1">
        <v>0</v>
      </c>
      <c r="J1846" s="1" t="str">
        <f>IFERROR(VLOOKUP(K1846,[1]diabetes_Recognition!$A:$B,2,FALSE),"Not Sampled")</f>
        <v>Not Sampled</v>
      </c>
      <c r="K1846" s="1">
        <v>1844</v>
      </c>
      <c r="L1846" s="1" t="str">
        <f>LOOKUP(A1846,Sheet2!$D$4:$E$9)</f>
        <v>5-7</v>
      </c>
      <c r="M1846" t="str">
        <f>LOOKUP(B1846,Sheet2!$G$4:$H$9)</f>
        <v>126-150</v>
      </c>
      <c r="N1846" t="str">
        <f>LOOKUP(C1846,Sheet2!$J$4:$K$8)</f>
        <v>80+</v>
      </c>
      <c r="O1846" t="str">
        <f>LOOKUP(D1846,Sheet2!$M$4:$N$8)</f>
        <v>40+</v>
      </c>
      <c r="P1846" t="str">
        <f>LOOKUP(E1846,Sheet2!$P$4:$Q$9)</f>
        <v>Unknown</v>
      </c>
      <c r="Q1846" t="str">
        <f>LOOKUP(F1846,Sheet2!$S$4:$T$8)</f>
        <v>31-35</v>
      </c>
      <c r="R1846" t="str">
        <f>LOOKUP(G1846,Sheet2!$V$4:$W$7)</f>
        <v>0.25 - 0.39</v>
      </c>
      <c r="S1846" t="str">
        <f>LOOKUP(H1846,Sheet2!$Z$4:$AA$7)</f>
        <v>36-45</v>
      </c>
      <c r="T1846" t="str">
        <f t="shared" si="84"/>
        <v>Negative</v>
      </c>
      <c r="U1846" t="str">
        <f t="shared" si="85"/>
        <v>Not Sampled</v>
      </c>
      <c r="V1846" s="1" t="str">
        <f t="shared" si="86"/>
        <v>Not Sampled</v>
      </c>
    </row>
    <row r="1847" spans="1:22" x14ac:dyDescent="0.25">
      <c r="A1847" s="1">
        <v>0</v>
      </c>
      <c r="B1847" s="1">
        <v>123</v>
      </c>
      <c r="C1847" s="1">
        <v>72</v>
      </c>
      <c r="D1847" s="1">
        <v>0</v>
      </c>
      <c r="E1847" s="1">
        <v>0</v>
      </c>
      <c r="F1847" s="1">
        <v>36.299999999999997</v>
      </c>
      <c r="G1847" s="1">
        <v>0.25800000000000001</v>
      </c>
      <c r="H1847" s="1">
        <v>52</v>
      </c>
      <c r="I1847" s="1">
        <v>1</v>
      </c>
      <c r="J1847" s="1" t="str">
        <f>IFERROR(VLOOKUP(K1847,[1]diabetes_Recognition!$A:$B,2,FALSE),"Not Sampled")</f>
        <v>Not Sampled</v>
      </c>
      <c r="K1847" s="1">
        <v>1845</v>
      </c>
      <c r="L1847" s="1">
        <f>LOOKUP(A1847,Sheet2!$D$4:$E$9)</f>
        <v>0</v>
      </c>
      <c r="M1847" t="str">
        <f>LOOKUP(B1847,Sheet2!$G$4:$H$9)</f>
        <v>100-125</v>
      </c>
      <c r="N1847" t="str">
        <f>LOOKUP(C1847,Sheet2!$J$4:$K$8)</f>
        <v>70-79</v>
      </c>
      <c r="O1847" t="str">
        <f>LOOKUP(D1847,Sheet2!$M$4:$N$8)</f>
        <v>Unknown</v>
      </c>
      <c r="P1847" t="str">
        <f>LOOKUP(E1847,Sheet2!$P$4:$Q$9)</f>
        <v>Unknown</v>
      </c>
      <c r="Q1847" t="str">
        <f>LOOKUP(F1847,Sheet2!$S$4:$T$8)</f>
        <v>36+</v>
      </c>
      <c r="R1847" t="str">
        <f>LOOKUP(G1847,Sheet2!$V$4:$W$7)</f>
        <v>0.25 - 0.39</v>
      </c>
      <c r="S1847" t="str">
        <f>LOOKUP(H1847,Sheet2!$Z$4:$AA$7)</f>
        <v>46+</v>
      </c>
      <c r="T1847" t="str">
        <f t="shared" si="84"/>
        <v>Positive</v>
      </c>
      <c r="U1847" t="str">
        <f t="shared" si="85"/>
        <v>Not Sampled</v>
      </c>
      <c r="V1847" s="1" t="str">
        <f t="shared" si="86"/>
        <v>Not Sampled</v>
      </c>
    </row>
    <row r="1848" spans="1:22" x14ac:dyDescent="0.25">
      <c r="A1848" s="1">
        <v>1</v>
      </c>
      <c r="B1848" s="1">
        <v>106</v>
      </c>
      <c r="C1848" s="1">
        <v>76</v>
      </c>
      <c r="D1848" s="1">
        <v>0</v>
      </c>
      <c r="E1848" s="1">
        <v>0</v>
      </c>
      <c r="F1848" s="1">
        <v>37.5</v>
      </c>
      <c r="G1848" s="1">
        <v>0.19700000000000001</v>
      </c>
      <c r="H1848" s="1">
        <v>26</v>
      </c>
      <c r="I1848" s="1">
        <v>0</v>
      </c>
      <c r="J1848" s="1" t="str">
        <f>IFERROR(VLOOKUP(K1848,[1]diabetes_Recognition!$A:$B,2,FALSE),"Not Sampled")</f>
        <v>Not Sampled</v>
      </c>
      <c r="K1848" s="1">
        <v>1846</v>
      </c>
      <c r="L1848" s="1">
        <f>LOOKUP(A1848,Sheet2!$D$4:$E$9)</f>
        <v>1</v>
      </c>
      <c r="M1848" t="str">
        <f>LOOKUP(B1848,Sheet2!$G$4:$H$9)</f>
        <v>100-125</v>
      </c>
      <c r="N1848" t="str">
        <f>LOOKUP(C1848,Sheet2!$J$4:$K$8)</f>
        <v>70-79</v>
      </c>
      <c r="O1848" t="str">
        <f>LOOKUP(D1848,Sheet2!$M$4:$N$8)</f>
        <v>Unknown</v>
      </c>
      <c r="P1848" t="str">
        <f>LOOKUP(E1848,Sheet2!$P$4:$Q$9)</f>
        <v>Unknown</v>
      </c>
      <c r="Q1848" t="str">
        <f>LOOKUP(F1848,Sheet2!$S$4:$T$8)</f>
        <v>36+</v>
      </c>
      <c r="R1848" t="str">
        <f>LOOKUP(G1848,Sheet2!$V$4:$W$7)</f>
        <v>0.0 - 0.249</v>
      </c>
      <c r="S1848" t="str">
        <f>LOOKUP(H1848,Sheet2!$Z$4:$AA$7)</f>
        <v>26-35</v>
      </c>
      <c r="T1848" t="str">
        <f t="shared" si="84"/>
        <v>Negative</v>
      </c>
      <c r="U1848" t="str">
        <f t="shared" si="85"/>
        <v>Not Sampled</v>
      </c>
      <c r="V1848" s="1" t="str">
        <f t="shared" si="86"/>
        <v>Not Sampled</v>
      </c>
    </row>
    <row r="1849" spans="1:22" x14ac:dyDescent="0.25">
      <c r="A1849" s="1">
        <v>6</v>
      </c>
      <c r="B1849" s="1">
        <v>190</v>
      </c>
      <c r="C1849" s="1">
        <v>92</v>
      </c>
      <c r="D1849" s="1">
        <v>0</v>
      </c>
      <c r="E1849" s="1">
        <v>0</v>
      </c>
      <c r="F1849" s="1">
        <v>35.5</v>
      </c>
      <c r="G1849" s="1">
        <v>0.27800000000000002</v>
      </c>
      <c r="H1849" s="1">
        <v>66</v>
      </c>
      <c r="I1849" s="1">
        <v>1</v>
      </c>
      <c r="J1849" s="1" t="str">
        <f>IFERROR(VLOOKUP(K1849,[1]diabetes_Recognition!$A:$B,2,FALSE),"Not Sampled")</f>
        <v>Not Sampled</v>
      </c>
      <c r="K1849" s="1">
        <v>1847</v>
      </c>
      <c r="L1849" s="1" t="str">
        <f>LOOKUP(A1849,Sheet2!$D$4:$E$9)</f>
        <v>5-7</v>
      </c>
      <c r="M1849" t="str">
        <f>LOOKUP(B1849,Sheet2!$G$4:$H$9)</f>
        <v>176-200</v>
      </c>
      <c r="N1849" t="str">
        <f>LOOKUP(C1849,Sheet2!$J$4:$K$8)</f>
        <v>80+</v>
      </c>
      <c r="O1849" t="str">
        <f>LOOKUP(D1849,Sheet2!$M$4:$N$8)</f>
        <v>Unknown</v>
      </c>
      <c r="P1849" t="str">
        <f>LOOKUP(E1849,Sheet2!$P$4:$Q$9)</f>
        <v>Unknown</v>
      </c>
      <c r="Q1849" t="str">
        <f>LOOKUP(F1849,Sheet2!$S$4:$T$8)</f>
        <v>31-35</v>
      </c>
      <c r="R1849" t="str">
        <f>LOOKUP(G1849,Sheet2!$V$4:$W$7)</f>
        <v>0.25 - 0.39</v>
      </c>
      <c r="S1849" t="str">
        <f>LOOKUP(H1849,Sheet2!$Z$4:$AA$7)</f>
        <v>46+</v>
      </c>
      <c r="T1849" t="str">
        <f t="shared" si="84"/>
        <v>Positive</v>
      </c>
      <c r="U1849" t="str">
        <f t="shared" si="85"/>
        <v>Not Sampled</v>
      </c>
      <c r="V1849" s="1" t="str">
        <f t="shared" si="86"/>
        <v>Not Sampled</v>
      </c>
    </row>
    <row r="1850" spans="1:22" x14ac:dyDescent="0.25">
      <c r="A1850" s="1">
        <v>2</v>
      </c>
      <c r="B1850" s="1">
        <v>88</v>
      </c>
      <c r="C1850" s="1">
        <v>58</v>
      </c>
      <c r="D1850" s="1">
        <v>26</v>
      </c>
      <c r="E1850" s="1">
        <v>16</v>
      </c>
      <c r="F1850" s="1">
        <v>28.4</v>
      </c>
      <c r="G1850" s="1">
        <v>0.76600000000000001</v>
      </c>
      <c r="H1850" s="1">
        <v>22</v>
      </c>
      <c r="I1850" s="1">
        <v>0</v>
      </c>
      <c r="J1850" s="1" t="str">
        <f>IFERROR(VLOOKUP(K1850,[1]diabetes_Recognition!$A:$B,2,FALSE),"Not Sampled")</f>
        <v>Not Sampled</v>
      </c>
      <c r="K1850" s="1">
        <v>1848</v>
      </c>
      <c r="L1850" s="1">
        <f>LOOKUP(A1850,Sheet2!$D$4:$E$9)</f>
        <v>2</v>
      </c>
      <c r="M1850" t="str">
        <f>LOOKUP(B1850,Sheet2!$G$4:$H$9)</f>
        <v>1-99</v>
      </c>
      <c r="N1850" t="str">
        <f>LOOKUP(C1850,Sheet2!$J$4:$K$8)</f>
        <v>1-59</v>
      </c>
      <c r="O1850" t="str">
        <f>LOOKUP(D1850,Sheet2!$M$4:$N$8)</f>
        <v>10-30</v>
      </c>
      <c r="P1850" t="str">
        <f>LOOKUP(E1850,Sheet2!$P$4:$Q$9)</f>
        <v>1-99</v>
      </c>
      <c r="Q1850" t="str">
        <f>LOOKUP(F1850,Sheet2!$S$4:$T$8)</f>
        <v>26-30</v>
      </c>
      <c r="R1850" t="str">
        <f>LOOKUP(G1850,Sheet2!$V$4:$W$7)</f>
        <v>0.7+</v>
      </c>
      <c r="S1850" t="str">
        <f>LOOKUP(H1850,Sheet2!$Z$4:$AA$7)</f>
        <v>&lt;=25</v>
      </c>
      <c r="T1850" t="str">
        <f t="shared" si="84"/>
        <v>Negative</v>
      </c>
      <c r="U1850" t="str">
        <f t="shared" si="85"/>
        <v>Not Sampled</v>
      </c>
      <c r="V1850" s="1" t="str">
        <f t="shared" si="86"/>
        <v>Not Sampled</v>
      </c>
    </row>
    <row r="1851" spans="1:22" x14ac:dyDescent="0.25">
      <c r="A1851" s="1">
        <v>9</v>
      </c>
      <c r="B1851" s="1">
        <v>170</v>
      </c>
      <c r="C1851" s="1">
        <v>74</v>
      </c>
      <c r="D1851" s="1">
        <v>31</v>
      </c>
      <c r="E1851" s="1">
        <v>0</v>
      </c>
      <c r="F1851" s="1">
        <v>44</v>
      </c>
      <c r="G1851" s="1">
        <v>0.40300000000000002</v>
      </c>
      <c r="H1851" s="1">
        <v>43</v>
      </c>
      <c r="I1851" s="1">
        <v>1</v>
      </c>
      <c r="J1851" s="1" t="str">
        <f>IFERROR(VLOOKUP(K1851,[1]diabetes_Recognition!$A:$B,2,FALSE),"Not Sampled")</f>
        <v>Not Sampled</v>
      </c>
      <c r="K1851" s="1">
        <v>1849</v>
      </c>
      <c r="L1851" s="1" t="str">
        <f>LOOKUP(A1851,Sheet2!$D$4:$E$9)</f>
        <v>8+</v>
      </c>
      <c r="M1851" t="str">
        <f>LOOKUP(B1851,Sheet2!$G$4:$H$9)</f>
        <v>151-175</v>
      </c>
      <c r="N1851" t="str">
        <f>LOOKUP(C1851,Sheet2!$J$4:$K$8)</f>
        <v>70-79</v>
      </c>
      <c r="O1851" t="str">
        <f>LOOKUP(D1851,Sheet2!$M$4:$N$8)</f>
        <v>30-39</v>
      </c>
      <c r="P1851" t="str">
        <f>LOOKUP(E1851,Sheet2!$P$4:$Q$9)</f>
        <v>Unknown</v>
      </c>
      <c r="Q1851" t="str">
        <f>LOOKUP(F1851,Sheet2!$S$4:$T$8)</f>
        <v>36+</v>
      </c>
      <c r="R1851" t="str">
        <f>LOOKUP(G1851,Sheet2!$V$4:$W$7)</f>
        <v>0.4 - 0.69</v>
      </c>
      <c r="S1851" t="str">
        <f>LOOKUP(H1851,Sheet2!$Z$4:$AA$7)</f>
        <v>36-45</v>
      </c>
      <c r="T1851" t="str">
        <f t="shared" si="84"/>
        <v>Positive</v>
      </c>
      <c r="U1851" t="str">
        <f t="shared" si="85"/>
        <v>Not Sampled</v>
      </c>
      <c r="V1851" s="1" t="str">
        <f t="shared" si="86"/>
        <v>Not Sampled</v>
      </c>
    </row>
    <row r="1852" spans="1:22" x14ac:dyDescent="0.25">
      <c r="A1852" s="1">
        <v>9</v>
      </c>
      <c r="B1852" s="1">
        <v>89</v>
      </c>
      <c r="C1852" s="1">
        <v>62</v>
      </c>
      <c r="D1852" s="1">
        <v>0</v>
      </c>
      <c r="E1852" s="1">
        <v>0</v>
      </c>
      <c r="F1852" s="1">
        <v>22.5</v>
      </c>
      <c r="G1852" s="1">
        <v>0.14199999999999999</v>
      </c>
      <c r="H1852" s="1">
        <v>33</v>
      </c>
      <c r="I1852" s="1">
        <v>0</v>
      </c>
      <c r="J1852" s="1" t="str">
        <f>IFERROR(VLOOKUP(K1852,[1]diabetes_Recognition!$A:$B,2,FALSE),"Not Sampled")</f>
        <v>Not Sampled</v>
      </c>
      <c r="K1852" s="1">
        <v>1850</v>
      </c>
      <c r="L1852" s="1" t="str">
        <f>LOOKUP(A1852,Sheet2!$D$4:$E$9)</f>
        <v>8+</v>
      </c>
      <c r="M1852" t="str">
        <f>LOOKUP(B1852,Sheet2!$G$4:$H$9)</f>
        <v>1-99</v>
      </c>
      <c r="N1852" t="str">
        <f>LOOKUP(C1852,Sheet2!$J$4:$K$8)</f>
        <v>60-69</v>
      </c>
      <c r="O1852" t="str">
        <f>LOOKUP(D1852,Sheet2!$M$4:$N$8)</f>
        <v>Unknown</v>
      </c>
      <c r="P1852" t="str">
        <f>LOOKUP(E1852,Sheet2!$P$4:$Q$9)</f>
        <v>Unknown</v>
      </c>
      <c r="Q1852" t="str">
        <f>LOOKUP(F1852,Sheet2!$S$4:$T$8)</f>
        <v>1-25</v>
      </c>
      <c r="R1852" t="str">
        <f>LOOKUP(G1852,Sheet2!$V$4:$W$7)</f>
        <v>0.0 - 0.249</v>
      </c>
      <c r="S1852" t="str">
        <f>LOOKUP(H1852,Sheet2!$Z$4:$AA$7)</f>
        <v>26-35</v>
      </c>
      <c r="T1852" t="str">
        <f t="shared" si="84"/>
        <v>Negative</v>
      </c>
      <c r="U1852" t="str">
        <f t="shared" si="85"/>
        <v>Not Sampled</v>
      </c>
      <c r="V1852" s="1" t="str">
        <f t="shared" si="86"/>
        <v>Not Sampled</v>
      </c>
    </row>
    <row r="1853" spans="1:22" x14ac:dyDescent="0.25">
      <c r="A1853" s="1">
        <v>10</v>
      </c>
      <c r="B1853" s="1">
        <v>101</v>
      </c>
      <c r="C1853" s="1">
        <v>76</v>
      </c>
      <c r="D1853" s="1">
        <v>48</v>
      </c>
      <c r="E1853" s="1">
        <v>180</v>
      </c>
      <c r="F1853" s="1">
        <v>32.9</v>
      </c>
      <c r="G1853" s="1">
        <v>0.17100000000000001</v>
      </c>
      <c r="H1853" s="1">
        <v>63</v>
      </c>
      <c r="I1853" s="1">
        <v>0</v>
      </c>
      <c r="J1853" s="1" t="str">
        <f>IFERROR(VLOOKUP(K1853,[1]diabetes_Recognition!$A:$B,2,FALSE),"Not Sampled")</f>
        <v>Not Sampled</v>
      </c>
      <c r="K1853" s="1">
        <v>1851</v>
      </c>
      <c r="L1853" s="1" t="str">
        <f>LOOKUP(A1853,Sheet2!$D$4:$E$9)</f>
        <v>8+</v>
      </c>
      <c r="M1853" t="str">
        <f>LOOKUP(B1853,Sheet2!$G$4:$H$9)</f>
        <v>100-125</v>
      </c>
      <c r="N1853" t="str">
        <f>LOOKUP(C1853,Sheet2!$J$4:$K$8)</f>
        <v>70-79</v>
      </c>
      <c r="O1853" t="str">
        <f>LOOKUP(D1853,Sheet2!$M$4:$N$8)</f>
        <v>40+</v>
      </c>
      <c r="P1853" t="str">
        <f>LOOKUP(E1853,Sheet2!$P$4:$Q$9)</f>
        <v>100-199</v>
      </c>
      <c r="Q1853" t="str">
        <f>LOOKUP(F1853,Sheet2!$S$4:$T$8)</f>
        <v>31-35</v>
      </c>
      <c r="R1853" t="str">
        <f>LOOKUP(G1853,Sheet2!$V$4:$W$7)</f>
        <v>0.0 - 0.249</v>
      </c>
      <c r="S1853" t="str">
        <f>LOOKUP(H1853,Sheet2!$Z$4:$AA$7)</f>
        <v>46+</v>
      </c>
      <c r="T1853" t="str">
        <f t="shared" si="84"/>
        <v>Negative</v>
      </c>
      <c r="U1853" t="str">
        <f t="shared" si="85"/>
        <v>Not Sampled</v>
      </c>
      <c r="V1853" s="1" t="str">
        <f t="shared" si="86"/>
        <v>Not Sampled</v>
      </c>
    </row>
    <row r="1854" spans="1:22" x14ac:dyDescent="0.25">
      <c r="A1854" s="1">
        <v>2</v>
      </c>
      <c r="B1854" s="1">
        <v>122</v>
      </c>
      <c r="C1854" s="1">
        <v>70</v>
      </c>
      <c r="D1854" s="1">
        <v>27</v>
      </c>
      <c r="E1854" s="1">
        <v>0</v>
      </c>
      <c r="F1854" s="1">
        <v>36.799999999999997</v>
      </c>
      <c r="G1854" s="1">
        <v>0.34</v>
      </c>
      <c r="H1854" s="1">
        <v>27</v>
      </c>
      <c r="I1854" s="1">
        <v>0</v>
      </c>
      <c r="J1854" s="1">
        <f>IFERROR(VLOOKUP(K1854,[1]diabetes_Recognition!$A:$B,2,FALSE),"Not Sampled")</f>
        <v>0</v>
      </c>
      <c r="K1854" s="1">
        <v>1852</v>
      </c>
      <c r="L1854" s="1">
        <f>LOOKUP(A1854,Sheet2!$D$4:$E$9)</f>
        <v>2</v>
      </c>
      <c r="M1854" t="str">
        <f>LOOKUP(B1854,Sheet2!$G$4:$H$9)</f>
        <v>100-125</v>
      </c>
      <c r="N1854" t="str">
        <f>LOOKUP(C1854,Sheet2!$J$4:$K$8)</f>
        <v>70-79</v>
      </c>
      <c r="O1854" t="str">
        <f>LOOKUP(D1854,Sheet2!$M$4:$N$8)</f>
        <v>10-30</v>
      </c>
      <c r="P1854" t="str">
        <f>LOOKUP(E1854,Sheet2!$P$4:$Q$9)</f>
        <v>Unknown</v>
      </c>
      <c r="Q1854" t="str">
        <f>LOOKUP(F1854,Sheet2!$S$4:$T$8)</f>
        <v>36+</v>
      </c>
      <c r="R1854" t="str">
        <f>LOOKUP(G1854,Sheet2!$V$4:$W$7)</f>
        <v>0.25 - 0.39</v>
      </c>
      <c r="S1854" t="str">
        <f>LOOKUP(H1854,Sheet2!$Z$4:$AA$7)</f>
        <v>26-35</v>
      </c>
      <c r="T1854" t="str">
        <f t="shared" si="84"/>
        <v>Negative</v>
      </c>
      <c r="U1854" t="str">
        <f t="shared" si="85"/>
        <v>Negative</v>
      </c>
      <c r="V1854" s="1" t="str">
        <f t="shared" si="86"/>
        <v>Accurate Prediction</v>
      </c>
    </row>
    <row r="1855" spans="1:22" x14ac:dyDescent="0.25">
      <c r="A1855" s="1">
        <v>5</v>
      </c>
      <c r="B1855" s="1">
        <v>121</v>
      </c>
      <c r="C1855" s="1">
        <v>72</v>
      </c>
      <c r="D1855" s="1">
        <v>23</v>
      </c>
      <c r="E1855" s="1">
        <v>112</v>
      </c>
      <c r="F1855" s="1">
        <v>26.2</v>
      </c>
      <c r="G1855" s="1">
        <v>0.245</v>
      </c>
      <c r="H1855" s="1">
        <v>30</v>
      </c>
      <c r="I1855" s="1">
        <v>0</v>
      </c>
      <c r="J1855" s="1" t="str">
        <f>IFERROR(VLOOKUP(K1855,[1]diabetes_Recognition!$A:$B,2,FALSE),"Not Sampled")</f>
        <v>Not Sampled</v>
      </c>
      <c r="K1855" s="1">
        <v>1853</v>
      </c>
      <c r="L1855" s="1" t="str">
        <f>LOOKUP(A1855,Sheet2!$D$4:$E$9)</f>
        <v>5-7</v>
      </c>
      <c r="M1855" t="str">
        <f>LOOKUP(B1855,Sheet2!$G$4:$H$9)</f>
        <v>100-125</v>
      </c>
      <c r="N1855" t="str">
        <f>LOOKUP(C1855,Sheet2!$J$4:$K$8)</f>
        <v>70-79</v>
      </c>
      <c r="O1855" t="str">
        <f>LOOKUP(D1855,Sheet2!$M$4:$N$8)</f>
        <v>10-30</v>
      </c>
      <c r="P1855" t="str">
        <f>LOOKUP(E1855,Sheet2!$P$4:$Q$9)</f>
        <v>100-199</v>
      </c>
      <c r="Q1855" t="str">
        <f>LOOKUP(F1855,Sheet2!$S$4:$T$8)</f>
        <v>26-30</v>
      </c>
      <c r="R1855" t="str">
        <f>LOOKUP(G1855,Sheet2!$V$4:$W$7)</f>
        <v>0.0 - 0.249</v>
      </c>
      <c r="S1855" t="str">
        <f>LOOKUP(H1855,Sheet2!$Z$4:$AA$7)</f>
        <v>26-35</v>
      </c>
      <c r="T1855" t="str">
        <f t="shared" si="84"/>
        <v>Negative</v>
      </c>
      <c r="U1855" t="str">
        <f t="shared" si="85"/>
        <v>Not Sampled</v>
      </c>
      <c r="V1855" s="1" t="str">
        <f t="shared" si="86"/>
        <v>Not Sampled</v>
      </c>
    </row>
    <row r="1856" spans="1:22" x14ac:dyDescent="0.25">
      <c r="A1856" s="1">
        <v>1</v>
      </c>
      <c r="B1856" s="1">
        <v>126</v>
      </c>
      <c r="C1856" s="1">
        <v>60</v>
      </c>
      <c r="D1856" s="1">
        <v>0</v>
      </c>
      <c r="E1856" s="1">
        <v>0</v>
      </c>
      <c r="F1856" s="1">
        <v>30.1</v>
      </c>
      <c r="G1856" s="1">
        <v>0.34899999999999998</v>
      </c>
      <c r="H1856" s="1">
        <v>47</v>
      </c>
      <c r="I1856" s="1">
        <v>1</v>
      </c>
      <c r="J1856" s="1" t="str">
        <f>IFERROR(VLOOKUP(K1856,[1]diabetes_Recognition!$A:$B,2,FALSE),"Not Sampled")</f>
        <v>Not Sampled</v>
      </c>
      <c r="K1856" s="1">
        <v>1854</v>
      </c>
      <c r="L1856" s="1">
        <f>LOOKUP(A1856,Sheet2!$D$4:$E$9)</f>
        <v>1</v>
      </c>
      <c r="M1856" t="str">
        <f>LOOKUP(B1856,Sheet2!$G$4:$H$9)</f>
        <v>126-150</v>
      </c>
      <c r="N1856" t="str">
        <f>LOOKUP(C1856,Sheet2!$J$4:$K$8)</f>
        <v>60-69</v>
      </c>
      <c r="O1856" t="str">
        <f>LOOKUP(D1856,Sheet2!$M$4:$N$8)</f>
        <v>Unknown</v>
      </c>
      <c r="P1856" t="str">
        <f>LOOKUP(E1856,Sheet2!$P$4:$Q$9)</f>
        <v>Unknown</v>
      </c>
      <c r="Q1856" t="str">
        <f>LOOKUP(F1856,Sheet2!$S$4:$T$8)</f>
        <v>26-30</v>
      </c>
      <c r="R1856" t="str">
        <f>LOOKUP(G1856,Sheet2!$V$4:$W$7)</f>
        <v>0.25 - 0.39</v>
      </c>
      <c r="S1856" t="str">
        <f>LOOKUP(H1856,Sheet2!$Z$4:$AA$7)</f>
        <v>46+</v>
      </c>
      <c r="T1856" t="str">
        <f t="shared" si="84"/>
        <v>Positive</v>
      </c>
      <c r="U1856" t="str">
        <f t="shared" si="85"/>
        <v>Not Sampled</v>
      </c>
      <c r="V1856" s="1" t="str">
        <f t="shared" si="86"/>
        <v>Not Sampled</v>
      </c>
    </row>
    <row r="1857" spans="1:22" x14ac:dyDescent="0.25">
      <c r="A1857" s="1">
        <v>10</v>
      </c>
      <c r="B1857" s="1">
        <v>122</v>
      </c>
      <c r="C1857" s="1">
        <v>78</v>
      </c>
      <c r="D1857" s="1">
        <v>31</v>
      </c>
      <c r="E1857" s="1">
        <v>0</v>
      </c>
      <c r="F1857" s="1">
        <v>27.6</v>
      </c>
      <c r="G1857" s="1">
        <v>0.51200000000000001</v>
      </c>
      <c r="H1857" s="1">
        <v>45</v>
      </c>
      <c r="I1857" s="1">
        <v>0</v>
      </c>
      <c r="J1857" s="1" t="str">
        <f>IFERROR(VLOOKUP(K1857,[1]diabetes_Recognition!$A:$B,2,FALSE),"Not Sampled")</f>
        <v>Not Sampled</v>
      </c>
      <c r="K1857" s="1">
        <v>1855</v>
      </c>
      <c r="L1857" s="1" t="str">
        <f>LOOKUP(A1857,Sheet2!$D$4:$E$9)</f>
        <v>8+</v>
      </c>
      <c r="M1857" t="str">
        <f>LOOKUP(B1857,Sheet2!$G$4:$H$9)</f>
        <v>100-125</v>
      </c>
      <c r="N1857" t="str">
        <f>LOOKUP(C1857,Sheet2!$J$4:$K$8)</f>
        <v>70-79</v>
      </c>
      <c r="O1857" t="str">
        <f>LOOKUP(D1857,Sheet2!$M$4:$N$8)</f>
        <v>30-39</v>
      </c>
      <c r="P1857" t="str">
        <f>LOOKUP(E1857,Sheet2!$P$4:$Q$9)</f>
        <v>Unknown</v>
      </c>
      <c r="Q1857" t="str">
        <f>LOOKUP(F1857,Sheet2!$S$4:$T$8)</f>
        <v>26-30</v>
      </c>
      <c r="R1857" t="str">
        <f>LOOKUP(G1857,Sheet2!$V$4:$W$7)</f>
        <v>0.4 - 0.69</v>
      </c>
      <c r="S1857" t="str">
        <f>LOOKUP(H1857,Sheet2!$Z$4:$AA$7)</f>
        <v>36-45</v>
      </c>
      <c r="T1857" t="str">
        <f t="shared" si="84"/>
        <v>Negative</v>
      </c>
      <c r="U1857" t="str">
        <f t="shared" si="85"/>
        <v>Not Sampled</v>
      </c>
      <c r="V1857" s="1" t="str">
        <f t="shared" si="86"/>
        <v>Not Sampled</v>
      </c>
    </row>
    <row r="1858" spans="1:22" x14ac:dyDescent="0.25">
      <c r="A1858" s="1">
        <v>4</v>
      </c>
      <c r="B1858" s="1">
        <v>103</v>
      </c>
      <c r="C1858" s="1">
        <v>60</v>
      </c>
      <c r="D1858" s="1">
        <v>33</v>
      </c>
      <c r="E1858" s="1">
        <v>192</v>
      </c>
      <c r="F1858" s="1">
        <v>24</v>
      </c>
      <c r="G1858" s="1">
        <v>0.96599999999999997</v>
      </c>
      <c r="H1858" s="1">
        <v>33</v>
      </c>
      <c r="I1858" s="1">
        <v>0</v>
      </c>
      <c r="J1858" s="1" t="str">
        <f>IFERROR(VLOOKUP(K1858,[1]diabetes_Recognition!$A:$B,2,FALSE),"Not Sampled")</f>
        <v>Not Sampled</v>
      </c>
      <c r="K1858" s="1">
        <v>1856</v>
      </c>
      <c r="L1858" s="1" t="str">
        <f>LOOKUP(A1858,Sheet2!$D$4:$E$9)</f>
        <v>3-4</v>
      </c>
      <c r="M1858" t="str">
        <f>LOOKUP(B1858,Sheet2!$G$4:$H$9)</f>
        <v>100-125</v>
      </c>
      <c r="N1858" t="str">
        <f>LOOKUP(C1858,Sheet2!$J$4:$K$8)</f>
        <v>60-69</v>
      </c>
      <c r="O1858" t="str">
        <f>LOOKUP(D1858,Sheet2!$M$4:$N$8)</f>
        <v>30-39</v>
      </c>
      <c r="P1858" t="str">
        <f>LOOKUP(E1858,Sheet2!$P$4:$Q$9)</f>
        <v>100-199</v>
      </c>
      <c r="Q1858" t="str">
        <f>LOOKUP(F1858,Sheet2!$S$4:$T$8)</f>
        <v>1-25</v>
      </c>
      <c r="R1858" t="str">
        <f>LOOKUP(G1858,Sheet2!$V$4:$W$7)</f>
        <v>0.7+</v>
      </c>
      <c r="S1858" t="str">
        <f>LOOKUP(H1858,Sheet2!$Z$4:$AA$7)</f>
        <v>26-35</v>
      </c>
      <c r="T1858" t="str">
        <f t="shared" si="84"/>
        <v>Negative</v>
      </c>
      <c r="U1858" t="str">
        <f t="shared" si="85"/>
        <v>Not Sampled</v>
      </c>
      <c r="V1858" s="1" t="str">
        <f t="shared" si="86"/>
        <v>Not Sampled</v>
      </c>
    </row>
    <row r="1859" spans="1:22" x14ac:dyDescent="0.25">
      <c r="A1859" s="1">
        <v>11</v>
      </c>
      <c r="B1859" s="1">
        <v>138</v>
      </c>
      <c r="C1859" s="1">
        <v>76</v>
      </c>
      <c r="D1859" s="1">
        <v>0</v>
      </c>
      <c r="E1859" s="1">
        <v>0</v>
      </c>
      <c r="F1859" s="1">
        <v>33.200000000000003</v>
      </c>
      <c r="G1859" s="1">
        <v>0.42</v>
      </c>
      <c r="H1859" s="1">
        <v>35</v>
      </c>
      <c r="I1859" s="1">
        <v>0</v>
      </c>
      <c r="J1859" s="1" t="str">
        <f>IFERROR(VLOOKUP(K1859,[1]diabetes_Recognition!$A:$B,2,FALSE),"Not Sampled")</f>
        <v>Not Sampled</v>
      </c>
      <c r="K1859" s="1">
        <v>1857</v>
      </c>
      <c r="L1859" s="1" t="str">
        <f>LOOKUP(A1859,Sheet2!$D$4:$E$9)</f>
        <v>8+</v>
      </c>
      <c r="M1859" t="str">
        <f>LOOKUP(B1859,Sheet2!$G$4:$H$9)</f>
        <v>126-150</v>
      </c>
      <c r="N1859" t="str">
        <f>LOOKUP(C1859,Sheet2!$J$4:$K$8)</f>
        <v>70-79</v>
      </c>
      <c r="O1859" t="str">
        <f>LOOKUP(D1859,Sheet2!$M$4:$N$8)</f>
        <v>Unknown</v>
      </c>
      <c r="P1859" t="str">
        <f>LOOKUP(E1859,Sheet2!$P$4:$Q$9)</f>
        <v>Unknown</v>
      </c>
      <c r="Q1859" t="str">
        <f>LOOKUP(F1859,Sheet2!$S$4:$T$8)</f>
        <v>31-35</v>
      </c>
      <c r="R1859" t="str">
        <f>LOOKUP(G1859,Sheet2!$V$4:$W$7)</f>
        <v>0.4 - 0.69</v>
      </c>
      <c r="S1859" t="str">
        <f>LOOKUP(H1859,Sheet2!$Z$4:$AA$7)</f>
        <v>26-35</v>
      </c>
      <c r="T1859" t="str">
        <f t="shared" ref="T1859:T1922" si="87">IF(I1859=1,"Positive","Negative")</f>
        <v>Negative</v>
      </c>
      <c r="U1859" t="str">
        <f t="shared" ref="U1859:U1922" si="88">IF(J1859=1,"Positive",(IF(J1859=0,"Negative","Not Sampled")))</f>
        <v>Not Sampled</v>
      </c>
      <c r="V1859" s="1" t="str">
        <f t="shared" ref="V1859:V1922" si="89">IF(U1859="Not Sampled","Not Sampled",IF(T1859=U1859,"Accurate Prediction","Inaccurate Prediction"))</f>
        <v>Not Sampled</v>
      </c>
    </row>
    <row r="1860" spans="1:22" x14ac:dyDescent="0.25">
      <c r="A1860" s="1">
        <v>9</v>
      </c>
      <c r="B1860" s="1">
        <v>102</v>
      </c>
      <c r="C1860" s="1">
        <v>76</v>
      </c>
      <c r="D1860" s="1">
        <v>37</v>
      </c>
      <c r="E1860" s="1">
        <v>0</v>
      </c>
      <c r="F1860" s="1">
        <v>32.9</v>
      </c>
      <c r="G1860" s="1">
        <v>0.66500000000000004</v>
      </c>
      <c r="H1860" s="1">
        <v>46</v>
      </c>
      <c r="I1860" s="1">
        <v>1</v>
      </c>
      <c r="J1860" s="1" t="str">
        <f>IFERROR(VLOOKUP(K1860,[1]diabetes_Recognition!$A:$B,2,FALSE),"Not Sampled")</f>
        <v>Not Sampled</v>
      </c>
      <c r="K1860" s="1">
        <v>1858</v>
      </c>
      <c r="L1860" s="1" t="str">
        <f>LOOKUP(A1860,Sheet2!$D$4:$E$9)</f>
        <v>8+</v>
      </c>
      <c r="M1860" t="str">
        <f>LOOKUP(B1860,Sheet2!$G$4:$H$9)</f>
        <v>100-125</v>
      </c>
      <c r="N1860" t="str">
        <f>LOOKUP(C1860,Sheet2!$J$4:$K$8)</f>
        <v>70-79</v>
      </c>
      <c r="O1860" t="str">
        <f>LOOKUP(D1860,Sheet2!$M$4:$N$8)</f>
        <v>30-39</v>
      </c>
      <c r="P1860" t="str">
        <f>LOOKUP(E1860,Sheet2!$P$4:$Q$9)</f>
        <v>Unknown</v>
      </c>
      <c r="Q1860" t="str">
        <f>LOOKUP(F1860,Sheet2!$S$4:$T$8)</f>
        <v>31-35</v>
      </c>
      <c r="R1860" t="str">
        <f>LOOKUP(G1860,Sheet2!$V$4:$W$7)</f>
        <v>0.4 - 0.69</v>
      </c>
      <c r="S1860" t="str">
        <f>LOOKUP(H1860,Sheet2!$Z$4:$AA$7)</f>
        <v>46+</v>
      </c>
      <c r="T1860" t="str">
        <f t="shared" si="87"/>
        <v>Positive</v>
      </c>
      <c r="U1860" t="str">
        <f t="shared" si="88"/>
        <v>Not Sampled</v>
      </c>
      <c r="V1860" s="1" t="str">
        <f t="shared" si="89"/>
        <v>Not Sampled</v>
      </c>
    </row>
    <row r="1861" spans="1:22" x14ac:dyDescent="0.25">
      <c r="A1861" s="1">
        <v>2</v>
      </c>
      <c r="B1861" s="1">
        <v>90</v>
      </c>
      <c r="C1861" s="1">
        <v>68</v>
      </c>
      <c r="D1861" s="1">
        <v>42</v>
      </c>
      <c r="E1861" s="1">
        <v>0</v>
      </c>
      <c r="F1861" s="1">
        <v>38.200000000000003</v>
      </c>
      <c r="G1861" s="1">
        <v>0.503</v>
      </c>
      <c r="H1861" s="1">
        <v>27</v>
      </c>
      <c r="I1861" s="1">
        <v>1</v>
      </c>
      <c r="J1861" s="1" t="str">
        <f>IFERROR(VLOOKUP(K1861,[1]diabetes_Recognition!$A:$B,2,FALSE),"Not Sampled")</f>
        <v>Not Sampled</v>
      </c>
      <c r="K1861" s="1">
        <v>1859</v>
      </c>
      <c r="L1861" s="1">
        <f>LOOKUP(A1861,Sheet2!$D$4:$E$9)</f>
        <v>2</v>
      </c>
      <c r="M1861" t="str">
        <f>LOOKUP(B1861,Sheet2!$G$4:$H$9)</f>
        <v>1-99</v>
      </c>
      <c r="N1861" t="str">
        <f>LOOKUP(C1861,Sheet2!$J$4:$K$8)</f>
        <v>60-69</v>
      </c>
      <c r="O1861" t="str">
        <f>LOOKUP(D1861,Sheet2!$M$4:$N$8)</f>
        <v>40+</v>
      </c>
      <c r="P1861" t="str">
        <f>LOOKUP(E1861,Sheet2!$P$4:$Q$9)</f>
        <v>Unknown</v>
      </c>
      <c r="Q1861" t="str">
        <f>LOOKUP(F1861,Sheet2!$S$4:$T$8)</f>
        <v>36+</v>
      </c>
      <c r="R1861" t="str">
        <f>LOOKUP(G1861,Sheet2!$V$4:$W$7)</f>
        <v>0.4 - 0.69</v>
      </c>
      <c r="S1861" t="str">
        <f>LOOKUP(H1861,Sheet2!$Z$4:$AA$7)</f>
        <v>26-35</v>
      </c>
      <c r="T1861" t="str">
        <f t="shared" si="87"/>
        <v>Positive</v>
      </c>
      <c r="U1861" t="str">
        <f t="shared" si="88"/>
        <v>Not Sampled</v>
      </c>
      <c r="V1861" s="1" t="str">
        <f t="shared" si="89"/>
        <v>Not Sampled</v>
      </c>
    </row>
    <row r="1862" spans="1:22" x14ac:dyDescent="0.25">
      <c r="A1862" s="1">
        <v>4</v>
      </c>
      <c r="B1862" s="1">
        <v>111</v>
      </c>
      <c r="C1862" s="1">
        <v>72</v>
      </c>
      <c r="D1862" s="1">
        <v>47</v>
      </c>
      <c r="E1862" s="1">
        <v>207</v>
      </c>
      <c r="F1862" s="1">
        <v>37.1</v>
      </c>
      <c r="G1862" s="1">
        <v>1.39</v>
      </c>
      <c r="H1862" s="1">
        <v>56</v>
      </c>
      <c r="I1862" s="1">
        <v>1</v>
      </c>
      <c r="J1862" s="1" t="str">
        <f>IFERROR(VLOOKUP(K1862,[1]diabetes_Recognition!$A:$B,2,FALSE),"Not Sampled")</f>
        <v>Not Sampled</v>
      </c>
      <c r="K1862" s="1">
        <v>1860</v>
      </c>
      <c r="L1862" s="1" t="str">
        <f>LOOKUP(A1862,Sheet2!$D$4:$E$9)</f>
        <v>3-4</v>
      </c>
      <c r="M1862" t="str">
        <f>LOOKUP(B1862,Sheet2!$G$4:$H$9)</f>
        <v>100-125</v>
      </c>
      <c r="N1862" t="str">
        <f>LOOKUP(C1862,Sheet2!$J$4:$K$8)</f>
        <v>70-79</v>
      </c>
      <c r="O1862" t="str">
        <f>LOOKUP(D1862,Sheet2!$M$4:$N$8)</f>
        <v>40+</v>
      </c>
      <c r="P1862" t="str">
        <f>LOOKUP(E1862,Sheet2!$P$4:$Q$9)</f>
        <v>200-399</v>
      </c>
      <c r="Q1862" t="str">
        <f>LOOKUP(F1862,Sheet2!$S$4:$T$8)</f>
        <v>36+</v>
      </c>
      <c r="R1862" t="str">
        <f>LOOKUP(G1862,Sheet2!$V$4:$W$7)</f>
        <v>0.7+</v>
      </c>
      <c r="S1862" t="str">
        <f>LOOKUP(H1862,Sheet2!$Z$4:$AA$7)</f>
        <v>46+</v>
      </c>
      <c r="T1862" t="str">
        <f t="shared" si="87"/>
        <v>Positive</v>
      </c>
      <c r="U1862" t="str">
        <f t="shared" si="88"/>
        <v>Not Sampled</v>
      </c>
      <c r="V1862" s="1" t="str">
        <f t="shared" si="89"/>
        <v>Not Sampled</v>
      </c>
    </row>
    <row r="1863" spans="1:22" x14ac:dyDescent="0.25">
      <c r="A1863" s="1">
        <v>3</v>
      </c>
      <c r="B1863" s="1">
        <v>180</v>
      </c>
      <c r="C1863" s="1">
        <v>64</v>
      </c>
      <c r="D1863" s="1">
        <v>25</v>
      </c>
      <c r="E1863" s="1">
        <v>70</v>
      </c>
      <c r="F1863" s="1">
        <v>34</v>
      </c>
      <c r="G1863" s="1">
        <v>0.27100000000000002</v>
      </c>
      <c r="H1863" s="1">
        <v>26</v>
      </c>
      <c r="I1863" s="1">
        <v>0</v>
      </c>
      <c r="J1863" s="1" t="str">
        <f>IFERROR(VLOOKUP(K1863,[1]diabetes_Recognition!$A:$B,2,FALSE),"Not Sampled")</f>
        <v>Not Sampled</v>
      </c>
      <c r="K1863" s="1">
        <v>1861</v>
      </c>
      <c r="L1863" s="1" t="str">
        <f>LOOKUP(A1863,Sheet2!$D$4:$E$9)</f>
        <v>3-4</v>
      </c>
      <c r="M1863" t="str">
        <f>LOOKUP(B1863,Sheet2!$G$4:$H$9)</f>
        <v>176-200</v>
      </c>
      <c r="N1863" t="str">
        <f>LOOKUP(C1863,Sheet2!$J$4:$K$8)</f>
        <v>60-69</v>
      </c>
      <c r="O1863" t="str">
        <f>LOOKUP(D1863,Sheet2!$M$4:$N$8)</f>
        <v>10-30</v>
      </c>
      <c r="P1863" t="str">
        <f>LOOKUP(E1863,Sheet2!$P$4:$Q$9)</f>
        <v>1-99</v>
      </c>
      <c r="Q1863" t="str">
        <f>LOOKUP(F1863,Sheet2!$S$4:$T$8)</f>
        <v>31-35</v>
      </c>
      <c r="R1863" t="str">
        <f>LOOKUP(G1863,Sheet2!$V$4:$W$7)</f>
        <v>0.25 - 0.39</v>
      </c>
      <c r="S1863" t="str">
        <f>LOOKUP(H1863,Sheet2!$Z$4:$AA$7)</f>
        <v>26-35</v>
      </c>
      <c r="T1863" t="str">
        <f t="shared" si="87"/>
        <v>Negative</v>
      </c>
      <c r="U1863" t="str">
        <f t="shared" si="88"/>
        <v>Not Sampled</v>
      </c>
      <c r="V1863" s="1" t="str">
        <f t="shared" si="89"/>
        <v>Not Sampled</v>
      </c>
    </row>
    <row r="1864" spans="1:22" x14ac:dyDescent="0.25">
      <c r="A1864" s="1">
        <v>7</v>
      </c>
      <c r="B1864" s="1">
        <v>133</v>
      </c>
      <c r="C1864" s="1">
        <v>84</v>
      </c>
      <c r="D1864" s="1">
        <v>0</v>
      </c>
      <c r="E1864" s="1">
        <v>0</v>
      </c>
      <c r="F1864" s="1">
        <v>40.200000000000003</v>
      </c>
      <c r="G1864" s="1">
        <v>0.69599999999999995</v>
      </c>
      <c r="H1864" s="1">
        <v>37</v>
      </c>
      <c r="I1864" s="1">
        <v>0</v>
      </c>
      <c r="J1864" s="1">
        <f>IFERROR(VLOOKUP(K1864,[1]diabetes_Recognition!$A:$B,2,FALSE),"Not Sampled")</f>
        <v>1</v>
      </c>
      <c r="K1864" s="1">
        <v>1862</v>
      </c>
      <c r="L1864" s="1" t="str">
        <f>LOOKUP(A1864,Sheet2!$D$4:$E$9)</f>
        <v>5-7</v>
      </c>
      <c r="M1864" t="str">
        <f>LOOKUP(B1864,Sheet2!$G$4:$H$9)</f>
        <v>126-150</v>
      </c>
      <c r="N1864" t="str">
        <f>LOOKUP(C1864,Sheet2!$J$4:$K$8)</f>
        <v>80+</v>
      </c>
      <c r="O1864" t="str">
        <f>LOOKUP(D1864,Sheet2!$M$4:$N$8)</f>
        <v>Unknown</v>
      </c>
      <c r="P1864" t="str">
        <f>LOOKUP(E1864,Sheet2!$P$4:$Q$9)</f>
        <v>Unknown</v>
      </c>
      <c r="Q1864" t="str">
        <f>LOOKUP(F1864,Sheet2!$S$4:$T$8)</f>
        <v>36+</v>
      </c>
      <c r="R1864" t="str">
        <f>LOOKUP(G1864,Sheet2!$V$4:$W$7)</f>
        <v>0.4 - 0.69</v>
      </c>
      <c r="S1864" t="str">
        <f>LOOKUP(H1864,Sheet2!$Z$4:$AA$7)</f>
        <v>36-45</v>
      </c>
      <c r="T1864" t="str">
        <f t="shared" si="87"/>
        <v>Negative</v>
      </c>
      <c r="U1864" t="str">
        <f t="shared" si="88"/>
        <v>Positive</v>
      </c>
      <c r="V1864" s="1" t="str">
        <f t="shared" si="89"/>
        <v>Inaccurate Prediction</v>
      </c>
    </row>
    <row r="1865" spans="1:22" x14ac:dyDescent="0.25">
      <c r="A1865" s="1">
        <v>7</v>
      </c>
      <c r="B1865" s="1">
        <v>106</v>
      </c>
      <c r="C1865" s="1">
        <v>92</v>
      </c>
      <c r="D1865" s="1">
        <v>18</v>
      </c>
      <c r="E1865" s="1">
        <v>0</v>
      </c>
      <c r="F1865" s="1">
        <v>22.7</v>
      </c>
      <c r="G1865" s="1">
        <v>0.23499999999999999</v>
      </c>
      <c r="H1865" s="1">
        <v>48</v>
      </c>
      <c r="I1865" s="1">
        <v>0</v>
      </c>
      <c r="J1865" s="1" t="str">
        <f>IFERROR(VLOOKUP(K1865,[1]diabetes_Recognition!$A:$B,2,FALSE),"Not Sampled")</f>
        <v>Not Sampled</v>
      </c>
      <c r="K1865" s="1">
        <v>1863</v>
      </c>
      <c r="L1865" s="1" t="str">
        <f>LOOKUP(A1865,Sheet2!$D$4:$E$9)</f>
        <v>5-7</v>
      </c>
      <c r="M1865" t="str">
        <f>LOOKUP(B1865,Sheet2!$G$4:$H$9)</f>
        <v>100-125</v>
      </c>
      <c r="N1865" t="str">
        <f>LOOKUP(C1865,Sheet2!$J$4:$K$8)</f>
        <v>80+</v>
      </c>
      <c r="O1865" t="str">
        <f>LOOKUP(D1865,Sheet2!$M$4:$N$8)</f>
        <v>10-30</v>
      </c>
      <c r="P1865" t="str">
        <f>LOOKUP(E1865,Sheet2!$P$4:$Q$9)</f>
        <v>Unknown</v>
      </c>
      <c r="Q1865" t="str">
        <f>LOOKUP(F1865,Sheet2!$S$4:$T$8)</f>
        <v>1-25</v>
      </c>
      <c r="R1865" t="str">
        <f>LOOKUP(G1865,Sheet2!$V$4:$W$7)</f>
        <v>0.0 - 0.249</v>
      </c>
      <c r="S1865" t="str">
        <f>LOOKUP(H1865,Sheet2!$Z$4:$AA$7)</f>
        <v>46+</v>
      </c>
      <c r="T1865" t="str">
        <f t="shared" si="87"/>
        <v>Negative</v>
      </c>
      <c r="U1865" t="str">
        <f t="shared" si="88"/>
        <v>Not Sampled</v>
      </c>
      <c r="V1865" s="1" t="str">
        <f t="shared" si="89"/>
        <v>Not Sampled</v>
      </c>
    </row>
    <row r="1866" spans="1:22" x14ac:dyDescent="0.25">
      <c r="A1866" s="1">
        <v>9</v>
      </c>
      <c r="B1866" s="1">
        <v>171</v>
      </c>
      <c r="C1866" s="1">
        <v>110</v>
      </c>
      <c r="D1866" s="1">
        <v>24</v>
      </c>
      <c r="E1866" s="1">
        <v>240</v>
      </c>
      <c r="F1866" s="1">
        <v>45.4</v>
      </c>
      <c r="G1866" s="1">
        <v>0.72099999999999997</v>
      </c>
      <c r="H1866" s="1">
        <v>54</v>
      </c>
      <c r="I1866" s="1">
        <v>1</v>
      </c>
      <c r="J1866" s="1" t="str">
        <f>IFERROR(VLOOKUP(K1866,[1]diabetes_Recognition!$A:$B,2,FALSE),"Not Sampled")</f>
        <v>Not Sampled</v>
      </c>
      <c r="K1866" s="1">
        <v>1864</v>
      </c>
      <c r="L1866" s="1" t="str">
        <f>LOOKUP(A1866,Sheet2!$D$4:$E$9)</f>
        <v>8+</v>
      </c>
      <c r="M1866" t="str">
        <f>LOOKUP(B1866,Sheet2!$G$4:$H$9)</f>
        <v>151-175</v>
      </c>
      <c r="N1866" t="str">
        <f>LOOKUP(C1866,Sheet2!$J$4:$K$8)</f>
        <v>80+</v>
      </c>
      <c r="O1866" t="str">
        <f>LOOKUP(D1866,Sheet2!$M$4:$N$8)</f>
        <v>10-30</v>
      </c>
      <c r="P1866" t="str">
        <f>LOOKUP(E1866,Sheet2!$P$4:$Q$9)</f>
        <v>200-399</v>
      </c>
      <c r="Q1866" t="str">
        <f>LOOKUP(F1866,Sheet2!$S$4:$T$8)</f>
        <v>36+</v>
      </c>
      <c r="R1866" t="str">
        <f>LOOKUP(G1866,Sheet2!$V$4:$W$7)</f>
        <v>0.7+</v>
      </c>
      <c r="S1866" t="str">
        <f>LOOKUP(H1866,Sheet2!$Z$4:$AA$7)</f>
        <v>46+</v>
      </c>
      <c r="T1866" t="str">
        <f t="shared" si="87"/>
        <v>Positive</v>
      </c>
      <c r="U1866" t="str">
        <f t="shared" si="88"/>
        <v>Not Sampled</v>
      </c>
      <c r="V1866" s="1" t="str">
        <f t="shared" si="89"/>
        <v>Not Sampled</v>
      </c>
    </row>
    <row r="1867" spans="1:22" x14ac:dyDescent="0.25">
      <c r="A1867" s="1">
        <v>7</v>
      </c>
      <c r="B1867" s="1">
        <v>159</v>
      </c>
      <c r="C1867" s="1">
        <v>64</v>
      </c>
      <c r="D1867" s="1">
        <v>0</v>
      </c>
      <c r="E1867" s="1">
        <v>0</v>
      </c>
      <c r="F1867" s="1">
        <v>27.4</v>
      </c>
      <c r="G1867" s="1">
        <v>0.29399999999999998</v>
      </c>
      <c r="H1867" s="1">
        <v>40</v>
      </c>
      <c r="I1867" s="1">
        <v>0</v>
      </c>
      <c r="J1867" s="1">
        <f>IFERROR(VLOOKUP(K1867,[1]diabetes_Recognition!$A:$B,2,FALSE),"Not Sampled")</f>
        <v>1</v>
      </c>
      <c r="K1867" s="1">
        <v>1865</v>
      </c>
      <c r="L1867" s="1" t="str">
        <f>LOOKUP(A1867,Sheet2!$D$4:$E$9)</f>
        <v>5-7</v>
      </c>
      <c r="M1867" t="str">
        <f>LOOKUP(B1867,Sheet2!$G$4:$H$9)</f>
        <v>151-175</v>
      </c>
      <c r="N1867" t="str">
        <f>LOOKUP(C1867,Sheet2!$J$4:$K$8)</f>
        <v>60-69</v>
      </c>
      <c r="O1867" t="str">
        <f>LOOKUP(D1867,Sheet2!$M$4:$N$8)</f>
        <v>Unknown</v>
      </c>
      <c r="P1867" t="str">
        <f>LOOKUP(E1867,Sheet2!$P$4:$Q$9)</f>
        <v>Unknown</v>
      </c>
      <c r="Q1867" t="str">
        <f>LOOKUP(F1867,Sheet2!$S$4:$T$8)</f>
        <v>26-30</v>
      </c>
      <c r="R1867" t="str">
        <f>LOOKUP(G1867,Sheet2!$V$4:$W$7)</f>
        <v>0.25 - 0.39</v>
      </c>
      <c r="S1867" t="str">
        <f>LOOKUP(H1867,Sheet2!$Z$4:$AA$7)</f>
        <v>36-45</v>
      </c>
      <c r="T1867" t="str">
        <f t="shared" si="87"/>
        <v>Negative</v>
      </c>
      <c r="U1867" t="str">
        <f t="shared" si="88"/>
        <v>Positive</v>
      </c>
      <c r="V1867" s="1" t="str">
        <f t="shared" si="89"/>
        <v>Inaccurate Prediction</v>
      </c>
    </row>
    <row r="1868" spans="1:22" x14ac:dyDescent="0.25">
      <c r="A1868" s="1">
        <v>0</v>
      </c>
      <c r="B1868" s="1">
        <v>180</v>
      </c>
      <c r="C1868" s="1">
        <v>66</v>
      </c>
      <c r="D1868" s="1">
        <v>39</v>
      </c>
      <c r="E1868" s="1">
        <v>0</v>
      </c>
      <c r="F1868" s="1">
        <v>42</v>
      </c>
      <c r="G1868" s="1">
        <v>1.893</v>
      </c>
      <c r="H1868" s="1">
        <v>25</v>
      </c>
      <c r="I1868" s="1">
        <v>1</v>
      </c>
      <c r="J1868" s="1" t="str">
        <f>IFERROR(VLOOKUP(K1868,[1]diabetes_Recognition!$A:$B,2,FALSE),"Not Sampled")</f>
        <v>Not Sampled</v>
      </c>
      <c r="K1868" s="1">
        <v>1866</v>
      </c>
      <c r="L1868" s="1">
        <f>LOOKUP(A1868,Sheet2!$D$4:$E$9)</f>
        <v>0</v>
      </c>
      <c r="M1868" t="str">
        <f>LOOKUP(B1868,Sheet2!$G$4:$H$9)</f>
        <v>176-200</v>
      </c>
      <c r="N1868" t="str">
        <f>LOOKUP(C1868,Sheet2!$J$4:$K$8)</f>
        <v>60-69</v>
      </c>
      <c r="O1868" t="str">
        <f>LOOKUP(D1868,Sheet2!$M$4:$N$8)</f>
        <v>30-39</v>
      </c>
      <c r="P1868" t="str">
        <f>LOOKUP(E1868,Sheet2!$P$4:$Q$9)</f>
        <v>Unknown</v>
      </c>
      <c r="Q1868" t="str">
        <f>LOOKUP(F1868,Sheet2!$S$4:$T$8)</f>
        <v>36+</v>
      </c>
      <c r="R1868" t="str">
        <f>LOOKUP(G1868,Sheet2!$V$4:$W$7)</f>
        <v>0.7+</v>
      </c>
      <c r="S1868" t="str">
        <f>LOOKUP(H1868,Sheet2!$Z$4:$AA$7)</f>
        <v>&lt;=25</v>
      </c>
      <c r="T1868" t="str">
        <f t="shared" si="87"/>
        <v>Positive</v>
      </c>
      <c r="U1868" t="str">
        <f t="shared" si="88"/>
        <v>Not Sampled</v>
      </c>
      <c r="V1868" s="1" t="str">
        <f t="shared" si="89"/>
        <v>Not Sampled</v>
      </c>
    </row>
    <row r="1869" spans="1:22" x14ac:dyDescent="0.25">
      <c r="A1869" s="1">
        <v>1</v>
      </c>
      <c r="B1869" s="1">
        <v>146</v>
      </c>
      <c r="C1869" s="1">
        <v>56</v>
      </c>
      <c r="D1869" s="1">
        <v>0</v>
      </c>
      <c r="E1869" s="1">
        <v>0</v>
      </c>
      <c r="F1869" s="1">
        <v>29.7</v>
      </c>
      <c r="G1869" s="1">
        <v>0.56399999999999995</v>
      </c>
      <c r="H1869" s="1">
        <v>29</v>
      </c>
      <c r="I1869" s="1">
        <v>0</v>
      </c>
      <c r="J1869" s="1" t="str">
        <f>IFERROR(VLOOKUP(K1869,[1]diabetes_Recognition!$A:$B,2,FALSE),"Not Sampled")</f>
        <v>Not Sampled</v>
      </c>
      <c r="K1869" s="1">
        <v>1867</v>
      </c>
      <c r="L1869" s="1">
        <f>LOOKUP(A1869,Sheet2!$D$4:$E$9)</f>
        <v>1</v>
      </c>
      <c r="M1869" t="str">
        <f>LOOKUP(B1869,Sheet2!$G$4:$H$9)</f>
        <v>126-150</v>
      </c>
      <c r="N1869" t="str">
        <f>LOOKUP(C1869,Sheet2!$J$4:$K$8)</f>
        <v>1-59</v>
      </c>
      <c r="O1869" t="str">
        <f>LOOKUP(D1869,Sheet2!$M$4:$N$8)</f>
        <v>Unknown</v>
      </c>
      <c r="P1869" t="str">
        <f>LOOKUP(E1869,Sheet2!$P$4:$Q$9)</f>
        <v>Unknown</v>
      </c>
      <c r="Q1869" t="str">
        <f>LOOKUP(F1869,Sheet2!$S$4:$T$8)</f>
        <v>26-30</v>
      </c>
      <c r="R1869" t="str">
        <f>LOOKUP(G1869,Sheet2!$V$4:$W$7)</f>
        <v>0.4 - 0.69</v>
      </c>
      <c r="S1869" t="str">
        <f>LOOKUP(H1869,Sheet2!$Z$4:$AA$7)</f>
        <v>26-35</v>
      </c>
      <c r="T1869" t="str">
        <f t="shared" si="87"/>
        <v>Negative</v>
      </c>
      <c r="U1869" t="str">
        <f t="shared" si="88"/>
        <v>Not Sampled</v>
      </c>
      <c r="V1869" s="1" t="str">
        <f t="shared" si="89"/>
        <v>Not Sampled</v>
      </c>
    </row>
    <row r="1870" spans="1:22" x14ac:dyDescent="0.25">
      <c r="A1870" s="1">
        <v>2</v>
      </c>
      <c r="B1870" s="1">
        <v>71</v>
      </c>
      <c r="C1870" s="1">
        <v>70</v>
      </c>
      <c r="D1870" s="1">
        <v>27</v>
      </c>
      <c r="E1870" s="1">
        <v>0</v>
      </c>
      <c r="F1870" s="1">
        <v>28</v>
      </c>
      <c r="G1870" s="1">
        <v>0.58599999999999997</v>
      </c>
      <c r="H1870" s="1">
        <v>22</v>
      </c>
      <c r="I1870" s="1">
        <v>0</v>
      </c>
      <c r="J1870" s="1" t="str">
        <f>IFERROR(VLOOKUP(K1870,[1]diabetes_Recognition!$A:$B,2,FALSE),"Not Sampled")</f>
        <v>Not Sampled</v>
      </c>
      <c r="K1870" s="1">
        <v>1868</v>
      </c>
      <c r="L1870" s="1">
        <f>LOOKUP(A1870,Sheet2!$D$4:$E$9)</f>
        <v>2</v>
      </c>
      <c r="M1870" t="str">
        <f>LOOKUP(B1870,Sheet2!$G$4:$H$9)</f>
        <v>1-99</v>
      </c>
      <c r="N1870" t="str">
        <f>LOOKUP(C1870,Sheet2!$J$4:$K$8)</f>
        <v>70-79</v>
      </c>
      <c r="O1870" t="str">
        <f>LOOKUP(D1870,Sheet2!$M$4:$N$8)</f>
        <v>10-30</v>
      </c>
      <c r="P1870" t="str">
        <f>LOOKUP(E1870,Sheet2!$P$4:$Q$9)</f>
        <v>Unknown</v>
      </c>
      <c r="Q1870" t="str">
        <f>LOOKUP(F1870,Sheet2!$S$4:$T$8)</f>
        <v>26-30</v>
      </c>
      <c r="R1870" t="str">
        <f>LOOKUP(G1870,Sheet2!$V$4:$W$7)</f>
        <v>0.4 - 0.69</v>
      </c>
      <c r="S1870" t="str">
        <f>LOOKUP(H1870,Sheet2!$Z$4:$AA$7)</f>
        <v>&lt;=25</v>
      </c>
      <c r="T1870" t="str">
        <f t="shared" si="87"/>
        <v>Negative</v>
      </c>
      <c r="U1870" t="str">
        <f t="shared" si="88"/>
        <v>Not Sampled</v>
      </c>
      <c r="V1870" s="1" t="str">
        <f t="shared" si="89"/>
        <v>Not Sampled</v>
      </c>
    </row>
    <row r="1871" spans="1:22" x14ac:dyDescent="0.25">
      <c r="A1871" s="1">
        <v>7</v>
      </c>
      <c r="B1871" s="1">
        <v>103</v>
      </c>
      <c r="C1871" s="1">
        <v>66</v>
      </c>
      <c r="D1871" s="1">
        <v>32</v>
      </c>
      <c r="E1871" s="1">
        <v>0</v>
      </c>
      <c r="F1871" s="1">
        <v>39.1</v>
      </c>
      <c r="G1871" s="1">
        <v>0.34399999999999997</v>
      </c>
      <c r="H1871" s="1">
        <v>31</v>
      </c>
      <c r="I1871" s="1">
        <v>1</v>
      </c>
      <c r="J1871" s="1" t="str">
        <f>IFERROR(VLOOKUP(K1871,[1]diabetes_Recognition!$A:$B,2,FALSE),"Not Sampled")</f>
        <v>Not Sampled</v>
      </c>
      <c r="K1871" s="1">
        <v>1869</v>
      </c>
      <c r="L1871" s="1" t="str">
        <f>LOOKUP(A1871,Sheet2!$D$4:$E$9)</f>
        <v>5-7</v>
      </c>
      <c r="M1871" t="str">
        <f>LOOKUP(B1871,Sheet2!$G$4:$H$9)</f>
        <v>100-125</v>
      </c>
      <c r="N1871" t="str">
        <f>LOOKUP(C1871,Sheet2!$J$4:$K$8)</f>
        <v>60-69</v>
      </c>
      <c r="O1871" t="str">
        <f>LOOKUP(D1871,Sheet2!$M$4:$N$8)</f>
        <v>30-39</v>
      </c>
      <c r="P1871" t="str">
        <f>LOOKUP(E1871,Sheet2!$P$4:$Q$9)</f>
        <v>Unknown</v>
      </c>
      <c r="Q1871" t="str">
        <f>LOOKUP(F1871,Sheet2!$S$4:$T$8)</f>
        <v>36+</v>
      </c>
      <c r="R1871" t="str">
        <f>LOOKUP(G1871,Sheet2!$V$4:$W$7)</f>
        <v>0.25 - 0.39</v>
      </c>
      <c r="S1871" t="str">
        <f>LOOKUP(H1871,Sheet2!$Z$4:$AA$7)</f>
        <v>26-35</v>
      </c>
      <c r="T1871" t="str">
        <f t="shared" si="87"/>
        <v>Positive</v>
      </c>
      <c r="U1871" t="str">
        <f t="shared" si="88"/>
        <v>Not Sampled</v>
      </c>
      <c r="V1871" s="1" t="str">
        <f t="shared" si="89"/>
        <v>Not Sampled</v>
      </c>
    </row>
    <row r="1872" spans="1:22" x14ac:dyDescent="0.25">
      <c r="A1872" s="1">
        <v>7</v>
      </c>
      <c r="B1872" s="1">
        <v>105</v>
      </c>
      <c r="C1872" s="1">
        <v>0</v>
      </c>
      <c r="D1872" s="1">
        <v>0</v>
      </c>
      <c r="E1872" s="1">
        <v>0</v>
      </c>
      <c r="F1872" s="1">
        <v>0</v>
      </c>
      <c r="G1872" s="1">
        <v>0.30499999999999999</v>
      </c>
      <c r="H1872" s="1">
        <v>24</v>
      </c>
      <c r="I1872" s="1">
        <v>0</v>
      </c>
      <c r="J1872" s="1" t="str">
        <f>IFERROR(VLOOKUP(K1872,[1]diabetes_Recognition!$A:$B,2,FALSE),"Not Sampled")</f>
        <v>Not Sampled</v>
      </c>
      <c r="K1872" s="1">
        <v>1870</v>
      </c>
      <c r="L1872" s="1" t="str">
        <f>LOOKUP(A1872,Sheet2!$D$4:$E$9)</f>
        <v>5-7</v>
      </c>
      <c r="M1872" t="str">
        <f>LOOKUP(B1872,Sheet2!$G$4:$H$9)</f>
        <v>100-125</v>
      </c>
      <c r="N1872" t="str">
        <f>LOOKUP(C1872,Sheet2!$J$4:$K$8)</f>
        <v>Unknown</v>
      </c>
      <c r="O1872" t="str">
        <f>LOOKUP(D1872,Sheet2!$M$4:$N$8)</f>
        <v>Unknown</v>
      </c>
      <c r="P1872" t="str">
        <f>LOOKUP(E1872,Sheet2!$P$4:$Q$9)</f>
        <v>Unknown</v>
      </c>
      <c r="Q1872" t="str">
        <f>LOOKUP(F1872,Sheet2!$S$4:$T$8)</f>
        <v>Unknown</v>
      </c>
      <c r="R1872" t="str">
        <f>LOOKUP(G1872,Sheet2!$V$4:$W$7)</f>
        <v>0.25 - 0.39</v>
      </c>
      <c r="S1872" t="str">
        <f>LOOKUP(H1872,Sheet2!$Z$4:$AA$7)</f>
        <v>&lt;=25</v>
      </c>
      <c r="T1872" t="str">
        <f t="shared" si="87"/>
        <v>Negative</v>
      </c>
      <c r="U1872" t="str">
        <f t="shared" si="88"/>
        <v>Not Sampled</v>
      </c>
      <c r="V1872" s="1" t="str">
        <f t="shared" si="89"/>
        <v>Not Sampled</v>
      </c>
    </row>
    <row r="1873" spans="1:22" x14ac:dyDescent="0.25">
      <c r="A1873" s="1">
        <v>1</v>
      </c>
      <c r="B1873" s="1">
        <v>103</v>
      </c>
      <c r="C1873" s="1">
        <v>80</v>
      </c>
      <c r="D1873" s="1">
        <v>11</v>
      </c>
      <c r="E1873" s="1">
        <v>82</v>
      </c>
      <c r="F1873" s="1">
        <v>19.399999999999999</v>
      </c>
      <c r="G1873" s="1">
        <v>0.49099999999999999</v>
      </c>
      <c r="H1873" s="1">
        <v>22</v>
      </c>
      <c r="I1873" s="1">
        <v>0</v>
      </c>
      <c r="J1873" s="1">
        <f>IFERROR(VLOOKUP(K1873,[1]diabetes_Recognition!$A:$B,2,FALSE),"Not Sampled")</f>
        <v>0</v>
      </c>
      <c r="K1873" s="1">
        <v>1871</v>
      </c>
      <c r="L1873" s="1">
        <f>LOOKUP(A1873,Sheet2!$D$4:$E$9)</f>
        <v>1</v>
      </c>
      <c r="M1873" t="str">
        <f>LOOKUP(B1873,Sheet2!$G$4:$H$9)</f>
        <v>100-125</v>
      </c>
      <c r="N1873" t="str">
        <f>LOOKUP(C1873,Sheet2!$J$4:$K$8)</f>
        <v>80+</v>
      </c>
      <c r="O1873" t="str">
        <f>LOOKUP(D1873,Sheet2!$M$4:$N$8)</f>
        <v>10-30</v>
      </c>
      <c r="P1873" t="str">
        <f>LOOKUP(E1873,Sheet2!$P$4:$Q$9)</f>
        <v>1-99</v>
      </c>
      <c r="Q1873" t="str">
        <f>LOOKUP(F1873,Sheet2!$S$4:$T$8)</f>
        <v>1-25</v>
      </c>
      <c r="R1873" t="str">
        <f>LOOKUP(G1873,Sheet2!$V$4:$W$7)</f>
        <v>0.4 - 0.69</v>
      </c>
      <c r="S1873" t="str">
        <f>LOOKUP(H1873,Sheet2!$Z$4:$AA$7)</f>
        <v>&lt;=25</v>
      </c>
      <c r="T1873" t="str">
        <f t="shared" si="87"/>
        <v>Negative</v>
      </c>
      <c r="U1873" t="str">
        <f t="shared" si="88"/>
        <v>Negative</v>
      </c>
      <c r="V1873" s="1" t="str">
        <f t="shared" si="89"/>
        <v>Accurate Prediction</v>
      </c>
    </row>
    <row r="1874" spans="1:22" x14ac:dyDescent="0.25">
      <c r="A1874" s="1">
        <v>1</v>
      </c>
      <c r="B1874" s="1">
        <v>101</v>
      </c>
      <c r="C1874" s="1">
        <v>50</v>
      </c>
      <c r="D1874" s="1">
        <v>15</v>
      </c>
      <c r="E1874" s="1">
        <v>36</v>
      </c>
      <c r="F1874" s="1">
        <v>24.2</v>
      </c>
      <c r="G1874" s="1">
        <v>0.52600000000000002</v>
      </c>
      <c r="H1874" s="1">
        <v>26</v>
      </c>
      <c r="I1874" s="1">
        <v>0</v>
      </c>
      <c r="J1874" s="1" t="str">
        <f>IFERROR(VLOOKUP(K1874,[1]diabetes_Recognition!$A:$B,2,FALSE),"Not Sampled")</f>
        <v>Not Sampled</v>
      </c>
      <c r="K1874" s="1">
        <v>1872</v>
      </c>
      <c r="L1874" s="1">
        <f>LOOKUP(A1874,Sheet2!$D$4:$E$9)</f>
        <v>1</v>
      </c>
      <c r="M1874" t="str">
        <f>LOOKUP(B1874,Sheet2!$G$4:$H$9)</f>
        <v>100-125</v>
      </c>
      <c r="N1874" t="str">
        <f>LOOKUP(C1874,Sheet2!$J$4:$K$8)</f>
        <v>1-59</v>
      </c>
      <c r="O1874" t="str">
        <f>LOOKUP(D1874,Sheet2!$M$4:$N$8)</f>
        <v>10-30</v>
      </c>
      <c r="P1874" t="str">
        <f>LOOKUP(E1874,Sheet2!$P$4:$Q$9)</f>
        <v>1-99</v>
      </c>
      <c r="Q1874" t="str">
        <f>LOOKUP(F1874,Sheet2!$S$4:$T$8)</f>
        <v>1-25</v>
      </c>
      <c r="R1874" t="str">
        <f>LOOKUP(G1874,Sheet2!$V$4:$W$7)</f>
        <v>0.4 - 0.69</v>
      </c>
      <c r="S1874" t="str">
        <f>LOOKUP(H1874,Sheet2!$Z$4:$AA$7)</f>
        <v>26-35</v>
      </c>
      <c r="T1874" t="str">
        <f t="shared" si="87"/>
        <v>Negative</v>
      </c>
      <c r="U1874" t="str">
        <f t="shared" si="88"/>
        <v>Not Sampled</v>
      </c>
      <c r="V1874" s="1" t="str">
        <f t="shared" si="89"/>
        <v>Not Sampled</v>
      </c>
    </row>
    <row r="1875" spans="1:22" x14ac:dyDescent="0.25">
      <c r="A1875" s="1">
        <v>5</v>
      </c>
      <c r="B1875" s="1">
        <v>88</v>
      </c>
      <c r="C1875" s="1">
        <v>66</v>
      </c>
      <c r="D1875" s="1">
        <v>21</v>
      </c>
      <c r="E1875" s="1">
        <v>23</v>
      </c>
      <c r="F1875" s="1">
        <v>24.4</v>
      </c>
      <c r="G1875" s="1">
        <v>0.34200000000000003</v>
      </c>
      <c r="H1875" s="1">
        <v>30</v>
      </c>
      <c r="I1875" s="1">
        <v>0</v>
      </c>
      <c r="J1875" s="1" t="str">
        <f>IFERROR(VLOOKUP(K1875,[1]diabetes_Recognition!$A:$B,2,FALSE),"Not Sampled")</f>
        <v>Not Sampled</v>
      </c>
      <c r="K1875" s="1">
        <v>1873</v>
      </c>
      <c r="L1875" s="1" t="str">
        <f>LOOKUP(A1875,Sheet2!$D$4:$E$9)</f>
        <v>5-7</v>
      </c>
      <c r="M1875" t="str">
        <f>LOOKUP(B1875,Sheet2!$G$4:$H$9)</f>
        <v>1-99</v>
      </c>
      <c r="N1875" t="str">
        <f>LOOKUP(C1875,Sheet2!$J$4:$K$8)</f>
        <v>60-69</v>
      </c>
      <c r="O1875" t="str">
        <f>LOOKUP(D1875,Sheet2!$M$4:$N$8)</f>
        <v>10-30</v>
      </c>
      <c r="P1875" t="str">
        <f>LOOKUP(E1875,Sheet2!$P$4:$Q$9)</f>
        <v>1-99</v>
      </c>
      <c r="Q1875" t="str">
        <f>LOOKUP(F1875,Sheet2!$S$4:$T$8)</f>
        <v>1-25</v>
      </c>
      <c r="R1875" t="str">
        <f>LOOKUP(G1875,Sheet2!$V$4:$W$7)</f>
        <v>0.25 - 0.39</v>
      </c>
      <c r="S1875" t="str">
        <f>LOOKUP(H1875,Sheet2!$Z$4:$AA$7)</f>
        <v>26-35</v>
      </c>
      <c r="T1875" t="str">
        <f t="shared" si="87"/>
        <v>Negative</v>
      </c>
      <c r="U1875" t="str">
        <f t="shared" si="88"/>
        <v>Not Sampled</v>
      </c>
      <c r="V1875" s="1" t="str">
        <f t="shared" si="89"/>
        <v>Not Sampled</v>
      </c>
    </row>
    <row r="1876" spans="1:22" x14ac:dyDescent="0.25">
      <c r="A1876" s="1">
        <v>8</v>
      </c>
      <c r="B1876" s="1">
        <v>176</v>
      </c>
      <c r="C1876" s="1">
        <v>90</v>
      </c>
      <c r="D1876" s="1">
        <v>34</v>
      </c>
      <c r="E1876" s="1">
        <v>300</v>
      </c>
      <c r="F1876" s="1">
        <v>33.700000000000003</v>
      </c>
      <c r="G1876" s="1">
        <v>0.46700000000000003</v>
      </c>
      <c r="H1876" s="1">
        <v>58</v>
      </c>
      <c r="I1876" s="1">
        <v>1</v>
      </c>
      <c r="J1876" s="1">
        <f>IFERROR(VLOOKUP(K1876,[1]diabetes_Recognition!$A:$B,2,FALSE),"Not Sampled")</f>
        <v>1</v>
      </c>
      <c r="K1876" s="1">
        <v>1874</v>
      </c>
      <c r="L1876" s="1" t="str">
        <f>LOOKUP(A1876,Sheet2!$D$4:$E$9)</f>
        <v>8+</v>
      </c>
      <c r="M1876" t="str">
        <f>LOOKUP(B1876,Sheet2!$G$4:$H$9)</f>
        <v>176-200</v>
      </c>
      <c r="N1876" t="str">
        <f>LOOKUP(C1876,Sheet2!$J$4:$K$8)</f>
        <v>80+</v>
      </c>
      <c r="O1876" t="str">
        <f>LOOKUP(D1876,Sheet2!$M$4:$N$8)</f>
        <v>30-39</v>
      </c>
      <c r="P1876" t="str">
        <f>LOOKUP(E1876,Sheet2!$P$4:$Q$9)</f>
        <v>300-499</v>
      </c>
      <c r="Q1876" t="str">
        <f>LOOKUP(F1876,Sheet2!$S$4:$T$8)</f>
        <v>31-35</v>
      </c>
      <c r="R1876" t="str">
        <f>LOOKUP(G1876,Sheet2!$V$4:$W$7)</f>
        <v>0.4 - 0.69</v>
      </c>
      <c r="S1876" t="str">
        <f>LOOKUP(H1876,Sheet2!$Z$4:$AA$7)</f>
        <v>46+</v>
      </c>
      <c r="T1876" t="str">
        <f t="shared" si="87"/>
        <v>Positive</v>
      </c>
      <c r="U1876" t="str">
        <f t="shared" si="88"/>
        <v>Positive</v>
      </c>
      <c r="V1876" s="1" t="str">
        <f t="shared" si="89"/>
        <v>Accurate Prediction</v>
      </c>
    </row>
    <row r="1877" spans="1:22" x14ac:dyDescent="0.25">
      <c r="A1877" s="1">
        <v>7</v>
      </c>
      <c r="B1877" s="1">
        <v>150</v>
      </c>
      <c r="C1877" s="1">
        <v>66</v>
      </c>
      <c r="D1877" s="1">
        <v>42</v>
      </c>
      <c r="E1877" s="1">
        <v>342</v>
      </c>
      <c r="F1877" s="1">
        <v>34.700000000000003</v>
      </c>
      <c r="G1877" s="1">
        <v>0.71799999999999997</v>
      </c>
      <c r="H1877" s="1">
        <v>42</v>
      </c>
      <c r="I1877" s="1">
        <v>0</v>
      </c>
      <c r="J1877" s="1" t="str">
        <f>IFERROR(VLOOKUP(K1877,[1]diabetes_Recognition!$A:$B,2,FALSE),"Not Sampled")</f>
        <v>Not Sampled</v>
      </c>
      <c r="K1877" s="1">
        <v>1875</v>
      </c>
      <c r="L1877" s="1" t="str">
        <f>LOOKUP(A1877,Sheet2!$D$4:$E$9)</f>
        <v>5-7</v>
      </c>
      <c r="M1877" t="str">
        <f>LOOKUP(B1877,Sheet2!$G$4:$H$9)</f>
        <v>126-150</v>
      </c>
      <c r="N1877" t="str">
        <f>LOOKUP(C1877,Sheet2!$J$4:$K$8)</f>
        <v>60-69</v>
      </c>
      <c r="O1877" t="str">
        <f>LOOKUP(D1877,Sheet2!$M$4:$N$8)</f>
        <v>40+</v>
      </c>
      <c r="P1877" t="str">
        <f>LOOKUP(E1877,Sheet2!$P$4:$Q$9)</f>
        <v>300-499</v>
      </c>
      <c r="Q1877" t="str">
        <f>LOOKUP(F1877,Sheet2!$S$4:$T$8)</f>
        <v>31-35</v>
      </c>
      <c r="R1877" t="str">
        <f>LOOKUP(G1877,Sheet2!$V$4:$W$7)</f>
        <v>0.7+</v>
      </c>
      <c r="S1877" t="str">
        <f>LOOKUP(H1877,Sheet2!$Z$4:$AA$7)</f>
        <v>36-45</v>
      </c>
      <c r="T1877" t="str">
        <f t="shared" si="87"/>
        <v>Negative</v>
      </c>
      <c r="U1877" t="str">
        <f t="shared" si="88"/>
        <v>Not Sampled</v>
      </c>
      <c r="V1877" s="1" t="str">
        <f t="shared" si="89"/>
        <v>Not Sampled</v>
      </c>
    </row>
    <row r="1878" spans="1:22" x14ac:dyDescent="0.25">
      <c r="A1878" s="1">
        <v>1</v>
      </c>
      <c r="B1878" s="1">
        <v>73</v>
      </c>
      <c r="C1878" s="1">
        <v>50</v>
      </c>
      <c r="D1878" s="1">
        <v>10</v>
      </c>
      <c r="E1878" s="1">
        <v>0</v>
      </c>
      <c r="F1878" s="1">
        <v>23</v>
      </c>
      <c r="G1878" s="1">
        <v>0.248</v>
      </c>
      <c r="H1878" s="1">
        <v>21</v>
      </c>
      <c r="I1878" s="1">
        <v>0</v>
      </c>
      <c r="J1878" s="1" t="str">
        <f>IFERROR(VLOOKUP(K1878,[1]diabetes_Recognition!$A:$B,2,FALSE),"Not Sampled")</f>
        <v>Not Sampled</v>
      </c>
      <c r="K1878" s="1">
        <v>1876</v>
      </c>
      <c r="L1878" s="1">
        <f>LOOKUP(A1878,Sheet2!$D$4:$E$9)</f>
        <v>1</v>
      </c>
      <c r="M1878" t="str">
        <f>LOOKUP(B1878,Sheet2!$G$4:$H$9)</f>
        <v>1-99</v>
      </c>
      <c r="N1878" t="str">
        <f>LOOKUP(C1878,Sheet2!$J$4:$K$8)</f>
        <v>1-59</v>
      </c>
      <c r="O1878" t="str">
        <f>LOOKUP(D1878,Sheet2!$M$4:$N$8)</f>
        <v>10-30</v>
      </c>
      <c r="P1878" t="str">
        <f>LOOKUP(E1878,Sheet2!$P$4:$Q$9)</f>
        <v>Unknown</v>
      </c>
      <c r="Q1878" t="str">
        <f>LOOKUP(F1878,Sheet2!$S$4:$T$8)</f>
        <v>1-25</v>
      </c>
      <c r="R1878" t="str">
        <f>LOOKUP(G1878,Sheet2!$V$4:$W$7)</f>
        <v>0.0 - 0.249</v>
      </c>
      <c r="S1878" t="str">
        <f>LOOKUP(H1878,Sheet2!$Z$4:$AA$7)</f>
        <v>&lt;=25</v>
      </c>
      <c r="T1878" t="str">
        <f t="shared" si="87"/>
        <v>Negative</v>
      </c>
      <c r="U1878" t="str">
        <f t="shared" si="88"/>
        <v>Not Sampled</v>
      </c>
      <c r="V1878" s="1" t="str">
        <f t="shared" si="89"/>
        <v>Not Sampled</v>
      </c>
    </row>
    <row r="1879" spans="1:22" x14ac:dyDescent="0.25">
      <c r="A1879" s="1">
        <v>7</v>
      </c>
      <c r="B1879" s="1">
        <v>187</v>
      </c>
      <c r="C1879" s="1">
        <v>68</v>
      </c>
      <c r="D1879" s="1">
        <v>39</v>
      </c>
      <c r="E1879" s="1">
        <v>304</v>
      </c>
      <c r="F1879" s="1">
        <v>37.700000000000003</v>
      </c>
      <c r="G1879" s="1">
        <v>0.254</v>
      </c>
      <c r="H1879" s="1">
        <v>41</v>
      </c>
      <c r="I1879" s="1">
        <v>1</v>
      </c>
      <c r="J1879" s="1" t="str">
        <f>IFERROR(VLOOKUP(K1879,[1]diabetes_Recognition!$A:$B,2,FALSE),"Not Sampled")</f>
        <v>Not Sampled</v>
      </c>
      <c r="K1879" s="1">
        <v>1877</v>
      </c>
      <c r="L1879" s="1" t="str">
        <f>LOOKUP(A1879,Sheet2!$D$4:$E$9)</f>
        <v>5-7</v>
      </c>
      <c r="M1879" t="str">
        <f>LOOKUP(B1879,Sheet2!$G$4:$H$9)</f>
        <v>176-200</v>
      </c>
      <c r="N1879" t="str">
        <f>LOOKUP(C1879,Sheet2!$J$4:$K$8)</f>
        <v>60-69</v>
      </c>
      <c r="O1879" t="str">
        <f>LOOKUP(D1879,Sheet2!$M$4:$N$8)</f>
        <v>30-39</v>
      </c>
      <c r="P1879" t="str">
        <f>LOOKUP(E1879,Sheet2!$P$4:$Q$9)</f>
        <v>300-499</v>
      </c>
      <c r="Q1879" t="str">
        <f>LOOKUP(F1879,Sheet2!$S$4:$T$8)</f>
        <v>36+</v>
      </c>
      <c r="R1879" t="str">
        <f>LOOKUP(G1879,Sheet2!$V$4:$W$7)</f>
        <v>0.25 - 0.39</v>
      </c>
      <c r="S1879" t="str">
        <f>LOOKUP(H1879,Sheet2!$Z$4:$AA$7)</f>
        <v>36-45</v>
      </c>
      <c r="T1879" t="str">
        <f t="shared" si="87"/>
        <v>Positive</v>
      </c>
      <c r="U1879" t="str">
        <f t="shared" si="88"/>
        <v>Not Sampled</v>
      </c>
      <c r="V1879" s="1" t="str">
        <f t="shared" si="89"/>
        <v>Not Sampled</v>
      </c>
    </row>
    <row r="1880" spans="1:22" x14ac:dyDescent="0.25">
      <c r="A1880" s="1">
        <v>0</v>
      </c>
      <c r="B1880" s="1">
        <v>100</v>
      </c>
      <c r="C1880" s="1">
        <v>88</v>
      </c>
      <c r="D1880" s="1">
        <v>60</v>
      </c>
      <c r="E1880" s="1">
        <v>110</v>
      </c>
      <c r="F1880" s="1">
        <v>46.8</v>
      </c>
      <c r="G1880" s="1">
        <v>0.96199999999999997</v>
      </c>
      <c r="H1880" s="1">
        <v>31</v>
      </c>
      <c r="I1880" s="1">
        <v>0</v>
      </c>
      <c r="J1880" s="1" t="str">
        <f>IFERROR(VLOOKUP(K1880,[1]diabetes_Recognition!$A:$B,2,FALSE),"Not Sampled")</f>
        <v>Not Sampled</v>
      </c>
      <c r="K1880" s="1">
        <v>1878</v>
      </c>
      <c r="L1880" s="1">
        <f>LOOKUP(A1880,Sheet2!$D$4:$E$9)</f>
        <v>0</v>
      </c>
      <c r="M1880" t="str">
        <f>LOOKUP(B1880,Sheet2!$G$4:$H$9)</f>
        <v>100-125</v>
      </c>
      <c r="N1880" t="str">
        <f>LOOKUP(C1880,Sheet2!$J$4:$K$8)</f>
        <v>80+</v>
      </c>
      <c r="O1880" t="str">
        <f>LOOKUP(D1880,Sheet2!$M$4:$N$8)</f>
        <v>40+</v>
      </c>
      <c r="P1880" t="str">
        <f>LOOKUP(E1880,Sheet2!$P$4:$Q$9)</f>
        <v>100-199</v>
      </c>
      <c r="Q1880" t="str">
        <f>LOOKUP(F1880,Sheet2!$S$4:$T$8)</f>
        <v>36+</v>
      </c>
      <c r="R1880" t="str">
        <f>LOOKUP(G1880,Sheet2!$V$4:$W$7)</f>
        <v>0.7+</v>
      </c>
      <c r="S1880" t="str">
        <f>LOOKUP(H1880,Sheet2!$Z$4:$AA$7)</f>
        <v>26-35</v>
      </c>
      <c r="T1880" t="str">
        <f t="shared" si="87"/>
        <v>Negative</v>
      </c>
      <c r="U1880" t="str">
        <f t="shared" si="88"/>
        <v>Not Sampled</v>
      </c>
      <c r="V1880" s="1" t="str">
        <f t="shared" si="89"/>
        <v>Not Sampled</v>
      </c>
    </row>
    <row r="1881" spans="1:22" x14ac:dyDescent="0.25">
      <c r="A1881" s="1">
        <v>0</v>
      </c>
      <c r="B1881" s="1">
        <v>146</v>
      </c>
      <c r="C1881" s="1">
        <v>82</v>
      </c>
      <c r="D1881" s="1">
        <v>0</v>
      </c>
      <c r="E1881" s="1">
        <v>0</v>
      </c>
      <c r="F1881" s="1">
        <v>40.5</v>
      </c>
      <c r="G1881" s="1">
        <v>1.7809999999999999</v>
      </c>
      <c r="H1881" s="1">
        <v>44</v>
      </c>
      <c r="I1881" s="1">
        <v>0</v>
      </c>
      <c r="J1881" s="1" t="str">
        <f>IFERROR(VLOOKUP(K1881,[1]diabetes_Recognition!$A:$B,2,FALSE),"Not Sampled")</f>
        <v>Not Sampled</v>
      </c>
      <c r="K1881" s="1">
        <v>1879</v>
      </c>
      <c r="L1881" s="1">
        <f>LOOKUP(A1881,Sheet2!$D$4:$E$9)</f>
        <v>0</v>
      </c>
      <c r="M1881" t="str">
        <f>LOOKUP(B1881,Sheet2!$G$4:$H$9)</f>
        <v>126-150</v>
      </c>
      <c r="N1881" t="str">
        <f>LOOKUP(C1881,Sheet2!$J$4:$K$8)</f>
        <v>80+</v>
      </c>
      <c r="O1881" t="str">
        <f>LOOKUP(D1881,Sheet2!$M$4:$N$8)</f>
        <v>Unknown</v>
      </c>
      <c r="P1881" t="str">
        <f>LOOKUP(E1881,Sheet2!$P$4:$Q$9)</f>
        <v>Unknown</v>
      </c>
      <c r="Q1881" t="str">
        <f>LOOKUP(F1881,Sheet2!$S$4:$T$8)</f>
        <v>36+</v>
      </c>
      <c r="R1881" t="str">
        <f>LOOKUP(G1881,Sheet2!$V$4:$W$7)</f>
        <v>0.7+</v>
      </c>
      <c r="S1881" t="str">
        <f>LOOKUP(H1881,Sheet2!$Z$4:$AA$7)</f>
        <v>36-45</v>
      </c>
      <c r="T1881" t="str">
        <f t="shared" si="87"/>
        <v>Negative</v>
      </c>
      <c r="U1881" t="str">
        <f t="shared" si="88"/>
        <v>Not Sampled</v>
      </c>
      <c r="V1881" s="1" t="str">
        <f t="shared" si="89"/>
        <v>Not Sampled</v>
      </c>
    </row>
    <row r="1882" spans="1:22" x14ac:dyDescent="0.25">
      <c r="A1882" s="1">
        <v>0</v>
      </c>
      <c r="B1882" s="1">
        <v>105</v>
      </c>
      <c r="C1882" s="1">
        <v>64</v>
      </c>
      <c r="D1882" s="1">
        <v>41</v>
      </c>
      <c r="E1882" s="1">
        <v>142</v>
      </c>
      <c r="F1882" s="1">
        <v>41.5</v>
      </c>
      <c r="G1882" s="1">
        <v>0.17299999999999999</v>
      </c>
      <c r="H1882" s="1">
        <v>22</v>
      </c>
      <c r="I1882" s="1">
        <v>0</v>
      </c>
      <c r="J1882" s="1" t="str">
        <f>IFERROR(VLOOKUP(K1882,[1]diabetes_Recognition!$A:$B,2,FALSE),"Not Sampled")</f>
        <v>Not Sampled</v>
      </c>
      <c r="K1882" s="1">
        <v>1880</v>
      </c>
      <c r="L1882" s="1">
        <f>LOOKUP(A1882,Sheet2!$D$4:$E$9)</f>
        <v>0</v>
      </c>
      <c r="M1882" t="str">
        <f>LOOKUP(B1882,Sheet2!$G$4:$H$9)</f>
        <v>100-125</v>
      </c>
      <c r="N1882" t="str">
        <f>LOOKUP(C1882,Sheet2!$J$4:$K$8)</f>
        <v>60-69</v>
      </c>
      <c r="O1882" t="str">
        <f>LOOKUP(D1882,Sheet2!$M$4:$N$8)</f>
        <v>40+</v>
      </c>
      <c r="P1882" t="str">
        <f>LOOKUP(E1882,Sheet2!$P$4:$Q$9)</f>
        <v>100-199</v>
      </c>
      <c r="Q1882" t="str">
        <f>LOOKUP(F1882,Sheet2!$S$4:$T$8)</f>
        <v>36+</v>
      </c>
      <c r="R1882" t="str">
        <f>LOOKUP(G1882,Sheet2!$V$4:$W$7)</f>
        <v>0.0 - 0.249</v>
      </c>
      <c r="S1882" t="str">
        <f>LOOKUP(H1882,Sheet2!$Z$4:$AA$7)</f>
        <v>&lt;=25</v>
      </c>
      <c r="T1882" t="str">
        <f t="shared" si="87"/>
        <v>Negative</v>
      </c>
      <c r="U1882" t="str">
        <f t="shared" si="88"/>
        <v>Not Sampled</v>
      </c>
      <c r="V1882" s="1" t="str">
        <f t="shared" si="89"/>
        <v>Not Sampled</v>
      </c>
    </row>
    <row r="1883" spans="1:22" x14ac:dyDescent="0.25">
      <c r="A1883" s="1">
        <v>2</v>
      </c>
      <c r="B1883" s="1">
        <v>84</v>
      </c>
      <c r="C1883" s="1">
        <v>0</v>
      </c>
      <c r="D1883" s="1">
        <v>0</v>
      </c>
      <c r="E1883" s="1">
        <v>0</v>
      </c>
      <c r="F1883" s="1">
        <v>0</v>
      </c>
      <c r="G1883" s="1">
        <v>0.30399999999999999</v>
      </c>
      <c r="H1883" s="1">
        <v>21</v>
      </c>
      <c r="I1883" s="1">
        <v>0</v>
      </c>
      <c r="J1883" s="1" t="str">
        <f>IFERROR(VLOOKUP(K1883,[1]diabetes_Recognition!$A:$B,2,FALSE),"Not Sampled")</f>
        <v>Not Sampled</v>
      </c>
      <c r="K1883" s="1">
        <v>1881</v>
      </c>
      <c r="L1883" s="1">
        <f>LOOKUP(A1883,Sheet2!$D$4:$E$9)</f>
        <v>2</v>
      </c>
      <c r="M1883" t="str">
        <f>LOOKUP(B1883,Sheet2!$G$4:$H$9)</f>
        <v>1-99</v>
      </c>
      <c r="N1883" t="str">
        <f>LOOKUP(C1883,Sheet2!$J$4:$K$8)</f>
        <v>Unknown</v>
      </c>
      <c r="O1883" t="str">
        <f>LOOKUP(D1883,Sheet2!$M$4:$N$8)</f>
        <v>Unknown</v>
      </c>
      <c r="P1883" t="str">
        <f>LOOKUP(E1883,Sheet2!$P$4:$Q$9)</f>
        <v>Unknown</v>
      </c>
      <c r="Q1883" t="str">
        <f>LOOKUP(F1883,Sheet2!$S$4:$T$8)</f>
        <v>Unknown</v>
      </c>
      <c r="R1883" t="str">
        <f>LOOKUP(G1883,Sheet2!$V$4:$W$7)</f>
        <v>0.25 - 0.39</v>
      </c>
      <c r="S1883" t="str">
        <f>LOOKUP(H1883,Sheet2!$Z$4:$AA$7)</f>
        <v>&lt;=25</v>
      </c>
      <c r="T1883" t="str">
        <f t="shared" si="87"/>
        <v>Negative</v>
      </c>
      <c r="U1883" t="str">
        <f t="shared" si="88"/>
        <v>Not Sampled</v>
      </c>
      <c r="V1883" s="1" t="str">
        <f t="shared" si="89"/>
        <v>Not Sampled</v>
      </c>
    </row>
    <row r="1884" spans="1:22" x14ac:dyDescent="0.25">
      <c r="A1884" s="1">
        <v>8</v>
      </c>
      <c r="B1884" s="1">
        <v>133</v>
      </c>
      <c r="C1884" s="1">
        <v>72</v>
      </c>
      <c r="D1884" s="1">
        <v>0</v>
      </c>
      <c r="E1884" s="1">
        <v>0</v>
      </c>
      <c r="F1884" s="1">
        <v>32.9</v>
      </c>
      <c r="G1884" s="1">
        <v>0.27</v>
      </c>
      <c r="H1884" s="1">
        <v>39</v>
      </c>
      <c r="I1884" s="1">
        <v>1</v>
      </c>
      <c r="J1884" s="1">
        <f>IFERROR(VLOOKUP(K1884,[1]diabetes_Recognition!$A:$B,2,FALSE),"Not Sampled")</f>
        <v>1</v>
      </c>
      <c r="K1884" s="1">
        <v>1882</v>
      </c>
      <c r="L1884" s="1" t="str">
        <f>LOOKUP(A1884,Sheet2!$D$4:$E$9)</f>
        <v>8+</v>
      </c>
      <c r="M1884" t="str">
        <f>LOOKUP(B1884,Sheet2!$G$4:$H$9)</f>
        <v>126-150</v>
      </c>
      <c r="N1884" t="str">
        <f>LOOKUP(C1884,Sheet2!$J$4:$K$8)</f>
        <v>70-79</v>
      </c>
      <c r="O1884" t="str">
        <f>LOOKUP(D1884,Sheet2!$M$4:$N$8)</f>
        <v>Unknown</v>
      </c>
      <c r="P1884" t="str">
        <f>LOOKUP(E1884,Sheet2!$P$4:$Q$9)</f>
        <v>Unknown</v>
      </c>
      <c r="Q1884" t="str">
        <f>LOOKUP(F1884,Sheet2!$S$4:$T$8)</f>
        <v>31-35</v>
      </c>
      <c r="R1884" t="str">
        <f>LOOKUP(G1884,Sheet2!$V$4:$W$7)</f>
        <v>0.25 - 0.39</v>
      </c>
      <c r="S1884" t="str">
        <f>LOOKUP(H1884,Sheet2!$Z$4:$AA$7)</f>
        <v>36-45</v>
      </c>
      <c r="T1884" t="str">
        <f t="shared" si="87"/>
        <v>Positive</v>
      </c>
      <c r="U1884" t="str">
        <f t="shared" si="88"/>
        <v>Positive</v>
      </c>
      <c r="V1884" s="1" t="str">
        <f t="shared" si="89"/>
        <v>Accurate Prediction</v>
      </c>
    </row>
    <row r="1885" spans="1:22" x14ac:dyDescent="0.25">
      <c r="A1885" s="1">
        <v>5</v>
      </c>
      <c r="B1885" s="1">
        <v>44</v>
      </c>
      <c r="C1885" s="1">
        <v>62</v>
      </c>
      <c r="D1885" s="1">
        <v>0</v>
      </c>
      <c r="E1885" s="1">
        <v>0</v>
      </c>
      <c r="F1885" s="1">
        <v>25</v>
      </c>
      <c r="G1885" s="1">
        <v>0.58699999999999997</v>
      </c>
      <c r="H1885" s="1">
        <v>36</v>
      </c>
      <c r="I1885" s="1">
        <v>0</v>
      </c>
      <c r="J1885" s="1" t="str">
        <f>IFERROR(VLOOKUP(K1885,[1]diabetes_Recognition!$A:$B,2,FALSE),"Not Sampled")</f>
        <v>Not Sampled</v>
      </c>
      <c r="K1885" s="1">
        <v>1883</v>
      </c>
      <c r="L1885" s="1" t="str">
        <f>LOOKUP(A1885,Sheet2!$D$4:$E$9)</f>
        <v>5-7</v>
      </c>
      <c r="M1885" t="str">
        <f>LOOKUP(B1885,Sheet2!$G$4:$H$9)</f>
        <v>1-99</v>
      </c>
      <c r="N1885" t="str">
        <f>LOOKUP(C1885,Sheet2!$J$4:$K$8)</f>
        <v>60-69</v>
      </c>
      <c r="O1885" t="str">
        <f>LOOKUP(D1885,Sheet2!$M$4:$N$8)</f>
        <v>Unknown</v>
      </c>
      <c r="P1885" t="str">
        <f>LOOKUP(E1885,Sheet2!$P$4:$Q$9)</f>
        <v>Unknown</v>
      </c>
      <c r="Q1885" t="str">
        <f>LOOKUP(F1885,Sheet2!$S$4:$T$8)</f>
        <v>1-25</v>
      </c>
      <c r="R1885" t="str">
        <f>LOOKUP(G1885,Sheet2!$V$4:$W$7)</f>
        <v>0.4 - 0.69</v>
      </c>
      <c r="S1885" t="str">
        <f>LOOKUP(H1885,Sheet2!$Z$4:$AA$7)</f>
        <v>36-45</v>
      </c>
      <c r="T1885" t="str">
        <f t="shared" si="87"/>
        <v>Negative</v>
      </c>
      <c r="U1885" t="str">
        <f t="shared" si="88"/>
        <v>Not Sampled</v>
      </c>
      <c r="V1885" s="1" t="str">
        <f t="shared" si="89"/>
        <v>Not Sampled</v>
      </c>
    </row>
    <row r="1886" spans="1:22" x14ac:dyDescent="0.25">
      <c r="A1886" s="1">
        <v>2</v>
      </c>
      <c r="B1886" s="1">
        <v>141</v>
      </c>
      <c r="C1886" s="1">
        <v>58</v>
      </c>
      <c r="D1886" s="1">
        <v>34</v>
      </c>
      <c r="E1886" s="1">
        <v>128</v>
      </c>
      <c r="F1886" s="1">
        <v>25.4</v>
      </c>
      <c r="G1886" s="1">
        <v>0.69899999999999995</v>
      </c>
      <c r="H1886" s="1">
        <v>24</v>
      </c>
      <c r="I1886" s="1">
        <v>0</v>
      </c>
      <c r="J1886" s="1" t="str">
        <f>IFERROR(VLOOKUP(K1886,[1]diabetes_Recognition!$A:$B,2,FALSE),"Not Sampled")</f>
        <v>Not Sampled</v>
      </c>
      <c r="K1886" s="1">
        <v>1884</v>
      </c>
      <c r="L1886" s="1">
        <f>LOOKUP(A1886,Sheet2!$D$4:$E$9)</f>
        <v>2</v>
      </c>
      <c r="M1886" t="str">
        <f>LOOKUP(B1886,Sheet2!$G$4:$H$9)</f>
        <v>126-150</v>
      </c>
      <c r="N1886" t="str">
        <f>LOOKUP(C1886,Sheet2!$J$4:$K$8)</f>
        <v>1-59</v>
      </c>
      <c r="O1886" t="str">
        <f>LOOKUP(D1886,Sheet2!$M$4:$N$8)</f>
        <v>30-39</v>
      </c>
      <c r="P1886" t="str">
        <f>LOOKUP(E1886,Sheet2!$P$4:$Q$9)</f>
        <v>100-199</v>
      </c>
      <c r="Q1886" t="str">
        <f>LOOKUP(F1886,Sheet2!$S$4:$T$8)</f>
        <v>1-25</v>
      </c>
      <c r="R1886" t="str">
        <f>LOOKUP(G1886,Sheet2!$V$4:$W$7)</f>
        <v>0.4 - 0.69</v>
      </c>
      <c r="S1886" t="str">
        <f>LOOKUP(H1886,Sheet2!$Z$4:$AA$7)</f>
        <v>&lt;=25</v>
      </c>
      <c r="T1886" t="str">
        <f t="shared" si="87"/>
        <v>Negative</v>
      </c>
      <c r="U1886" t="str">
        <f t="shared" si="88"/>
        <v>Not Sampled</v>
      </c>
      <c r="V1886" s="1" t="str">
        <f t="shared" si="89"/>
        <v>Not Sampled</v>
      </c>
    </row>
    <row r="1887" spans="1:22" x14ac:dyDescent="0.25">
      <c r="A1887" s="1">
        <v>7</v>
      </c>
      <c r="B1887" s="1">
        <v>114</v>
      </c>
      <c r="C1887" s="1">
        <v>66</v>
      </c>
      <c r="D1887" s="1">
        <v>0</v>
      </c>
      <c r="E1887" s="1">
        <v>0</v>
      </c>
      <c r="F1887" s="1">
        <v>32.799999999999997</v>
      </c>
      <c r="G1887" s="1">
        <v>0.25800000000000001</v>
      </c>
      <c r="H1887" s="1">
        <v>42</v>
      </c>
      <c r="I1887" s="1">
        <v>1</v>
      </c>
      <c r="J1887" s="1" t="str">
        <f>IFERROR(VLOOKUP(K1887,[1]diabetes_Recognition!$A:$B,2,FALSE),"Not Sampled")</f>
        <v>Not Sampled</v>
      </c>
      <c r="K1887" s="1">
        <v>1885</v>
      </c>
      <c r="L1887" s="1" t="str">
        <f>LOOKUP(A1887,Sheet2!$D$4:$E$9)</f>
        <v>5-7</v>
      </c>
      <c r="M1887" t="str">
        <f>LOOKUP(B1887,Sheet2!$G$4:$H$9)</f>
        <v>100-125</v>
      </c>
      <c r="N1887" t="str">
        <f>LOOKUP(C1887,Sheet2!$J$4:$K$8)</f>
        <v>60-69</v>
      </c>
      <c r="O1887" t="str">
        <f>LOOKUP(D1887,Sheet2!$M$4:$N$8)</f>
        <v>Unknown</v>
      </c>
      <c r="P1887" t="str">
        <f>LOOKUP(E1887,Sheet2!$P$4:$Q$9)</f>
        <v>Unknown</v>
      </c>
      <c r="Q1887" t="str">
        <f>LOOKUP(F1887,Sheet2!$S$4:$T$8)</f>
        <v>31-35</v>
      </c>
      <c r="R1887" t="str">
        <f>LOOKUP(G1887,Sheet2!$V$4:$W$7)</f>
        <v>0.25 - 0.39</v>
      </c>
      <c r="S1887" t="str">
        <f>LOOKUP(H1887,Sheet2!$Z$4:$AA$7)</f>
        <v>36-45</v>
      </c>
      <c r="T1887" t="str">
        <f t="shared" si="87"/>
        <v>Positive</v>
      </c>
      <c r="U1887" t="str">
        <f t="shared" si="88"/>
        <v>Not Sampled</v>
      </c>
      <c r="V1887" s="1" t="str">
        <f t="shared" si="89"/>
        <v>Not Sampled</v>
      </c>
    </row>
    <row r="1888" spans="1:22" x14ac:dyDescent="0.25">
      <c r="A1888" s="1">
        <v>5</v>
      </c>
      <c r="B1888" s="1">
        <v>99</v>
      </c>
      <c r="C1888" s="1">
        <v>74</v>
      </c>
      <c r="D1888" s="1">
        <v>27</v>
      </c>
      <c r="E1888" s="1">
        <v>0</v>
      </c>
      <c r="F1888" s="1">
        <v>29</v>
      </c>
      <c r="G1888" s="1">
        <v>0.20300000000000001</v>
      </c>
      <c r="H1888" s="1">
        <v>32</v>
      </c>
      <c r="I1888" s="1">
        <v>0</v>
      </c>
      <c r="J1888" s="1">
        <f>IFERROR(VLOOKUP(K1888,[1]diabetes_Recognition!$A:$B,2,FALSE),"Not Sampled")</f>
        <v>0</v>
      </c>
      <c r="K1888" s="1">
        <v>1886</v>
      </c>
      <c r="L1888" s="1" t="str">
        <f>LOOKUP(A1888,Sheet2!$D$4:$E$9)</f>
        <v>5-7</v>
      </c>
      <c r="M1888" t="str">
        <f>LOOKUP(B1888,Sheet2!$G$4:$H$9)</f>
        <v>1-99</v>
      </c>
      <c r="N1888" t="str">
        <f>LOOKUP(C1888,Sheet2!$J$4:$K$8)</f>
        <v>70-79</v>
      </c>
      <c r="O1888" t="str">
        <f>LOOKUP(D1888,Sheet2!$M$4:$N$8)</f>
        <v>10-30</v>
      </c>
      <c r="P1888" t="str">
        <f>LOOKUP(E1888,Sheet2!$P$4:$Q$9)</f>
        <v>Unknown</v>
      </c>
      <c r="Q1888" t="str">
        <f>LOOKUP(F1888,Sheet2!$S$4:$T$8)</f>
        <v>26-30</v>
      </c>
      <c r="R1888" t="str">
        <f>LOOKUP(G1888,Sheet2!$V$4:$W$7)</f>
        <v>0.0 - 0.249</v>
      </c>
      <c r="S1888" t="str">
        <f>LOOKUP(H1888,Sheet2!$Z$4:$AA$7)</f>
        <v>26-35</v>
      </c>
      <c r="T1888" t="str">
        <f t="shared" si="87"/>
        <v>Negative</v>
      </c>
      <c r="U1888" t="str">
        <f t="shared" si="88"/>
        <v>Negative</v>
      </c>
      <c r="V1888" s="1" t="str">
        <f t="shared" si="89"/>
        <v>Accurate Prediction</v>
      </c>
    </row>
    <row r="1889" spans="1:22" x14ac:dyDescent="0.25">
      <c r="A1889" s="1">
        <v>0</v>
      </c>
      <c r="B1889" s="1">
        <v>109</v>
      </c>
      <c r="C1889" s="1">
        <v>88</v>
      </c>
      <c r="D1889" s="1">
        <v>30</v>
      </c>
      <c r="E1889" s="1">
        <v>0</v>
      </c>
      <c r="F1889" s="1">
        <v>32.5</v>
      </c>
      <c r="G1889" s="1">
        <v>0.85499999999999998</v>
      </c>
      <c r="H1889" s="1">
        <v>38</v>
      </c>
      <c r="I1889" s="1">
        <v>1</v>
      </c>
      <c r="J1889" s="1" t="str">
        <f>IFERROR(VLOOKUP(K1889,[1]diabetes_Recognition!$A:$B,2,FALSE),"Not Sampled")</f>
        <v>Not Sampled</v>
      </c>
      <c r="K1889" s="1">
        <v>1887</v>
      </c>
      <c r="L1889" s="1">
        <f>LOOKUP(A1889,Sheet2!$D$4:$E$9)</f>
        <v>0</v>
      </c>
      <c r="M1889" t="str">
        <f>LOOKUP(B1889,Sheet2!$G$4:$H$9)</f>
        <v>100-125</v>
      </c>
      <c r="N1889" t="str">
        <f>LOOKUP(C1889,Sheet2!$J$4:$K$8)</f>
        <v>80+</v>
      </c>
      <c r="O1889" t="str">
        <f>LOOKUP(D1889,Sheet2!$M$4:$N$8)</f>
        <v>30-39</v>
      </c>
      <c r="P1889" t="str">
        <f>LOOKUP(E1889,Sheet2!$P$4:$Q$9)</f>
        <v>Unknown</v>
      </c>
      <c r="Q1889" t="str">
        <f>LOOKUP(F1889,Sheet2!$S$4:$T$8)</f>
        <v>31-35</v>
      </c>
      <c r="R1889" t="str">
        <f>LOOKUP(G1889,Sheet2!$V$4:$W$7)</f>
        <v>0.7+</v>
      </c>
      <c r="S1889" t="str">
        <f>LOOKUP(H1889,Sheet2!$Z$4:$AA$7)</f>
        <v>36-45</v>
      </c>
      <c r="T1889" t="str">
        <f t="shared" si="87"/>
        <v>Positive</v>
      </c>
      <c r="U1889" t="str">
        <f t="shared" si="88"/>
        <v>Not Sampled</v>
      </c>
      <c r="V1889" s="1" t="str">
        <f t="shared" si="89"/>
        <v>Not Sampled</v>
      </c>
    </row>
    <row r="1890" spans="1:22" x14ac:dyDescent="0.25">
      <c r="A1890" s="1">
        <v>2</v>
      </c>
      <c r="B1890" s="1">
        <v>109</v>
      </c>
      <c r="C1890" s="1">
        <v>92</v>
      </c>
      <c r="D1890" s="1">
        <v>0</v>
      </c>
      <c r="E1890" s="1">
        <v>0</v>
      </c>
      <c r="F1890" s="1">
        <v>42.7</v>
      </c>
      <c r="G1890" s="1">
        <v>0.84499999999999997</v>
      </c>
      <c r="H1890" s="1">
        <v>54</v>
      </c>
      <c r="I1890" s="1">
        <v>0</v>
      </c>
      <c r="J1890" s="1" t="str">
        <f>IFERROR(VLOOKUP(K1890,[1]diabetes_Recognition!$A:$B,2,FALSE),"Not Sampled")</f>
        <v>Not Sampled</v>
      </c>
      <c r="K1890" s="1">
        <v>1888</v>
      </c>
      <c r="L1890" s="1">
        <f>LOOKUP(A1890,Sheet2!$D$4:$E$9)</f>
        <v>2</v>
      </c>
      <c r="M1890" t="str">
        <f>LOOKUP(B1890,Sheet2!$G$4:$H$9)</f>
        <v>100-125</v>
      </c>
      <c r="N1890" t="str">
        <f>LOOKUP(C1890,Sheet2!$J$4:$K$8)</f>
        <v>80+</v>
      </c>
      <c r="O1890" t="str">
        <f>LOOKUP(D1890,Sheet2!$M$4:$N$8)</f>
        <v>Unknown</v>
      </c>
      <c r="P1890" t="str">
        <f>LOOKUP(E1890,Sheet2!$P$4:$Q$9)</f>
        <v>Unknown</v>
      </c>
      <c r="Q1890" t="str">
        <f>LOOKUP(F1890,Sheet2!$S$4:$T$8)</f>
        <v>36+</v>
      </c>
      <c r="R1890" t="str">
        <f>LOOKUP(G1890,Sheet2!$V$4:$W$7)</f>
        <v>0.7+</v>
      </c>
      <c r="S1890" t="str">
        <f>LOOKUP(H1890,Sheet2!$Z$4:$AA$7)</f>
        <v>46+</v>
      </c>
      <c r="T1890" t="str">
        <f t="shared" si="87"/>
        <v>Negative</v>
      </c>
      <c r="U1890" t="str">
        <f t="shared" si="88"/>
        <v>Not Sampled</v>
      </c>
      <c r="V1890" s="1" t="str">
        <f t="shared" si="89"/>
        <v>Not Sampled</v>
      </c>
    </row>
    <row r="1891" spans="1:22" x14ac:dyDescent="0.25">
      <c r="A1891" s="1">
        <v>1</v>
      </c>
      <c r="B1891" s="1">
        <v>95</v>
      </c>
      <c r="C1891" s="1">
        <v>66</v>
      </c>
      <c r="D1891" s="1">
        <v>13</v>
      </c>
      <c r="E1891" s="1">
        <v>38</v>
      </c>
      <c r="F1891" s="1">
        <v>19.600000000000001</v>
      </c>
      <c r="G1891" s="1">
        <v>0.33400000000000002</v>
      </c>
      <c r="H1891" s="1">
        <v>25</v>
      </c>
      <c r="I1891" s="1">
        <v>0</v>
      </c>
      <c r="J1891" s="1" t="str">
        <f>IFERROR(VLOOKUP(K1891,[1]diabetes_Recognition!$A:$B,2,FALSE),"Not Sampled")</f>
        <v>Not Sampled</v>
      </c>
      <c r="K1891" s="1">
        <v>1889</v>
      </c>
      <c r="L1891" s="1">
        <f>LOOKUP(A1891,Sheet2!$D$4:$E$9)</f>
        <v>1</v>
      </c>
      <c r="M1891" t="str">
        <f>LOOKUP(B1891,Sheet2!$G$4:$H$9)</f>
        <v>1-99</v>
      </c>
      <c r="N1891" t="str">
        <f>LOOKUP(C1891,Sheet2!$J$4:$K$8)</f>
        <v>60-69</v>
      </c>
      <c r="O1891" t="str">
        <f>LOOKUP(D1891,Sheet2!$M$4:$N$8)</f>
        <v>10-30</v>
      </c>
      <c r="P1891" t="str">
        <f>LOOKUP(E1891,Sheet2!$P$4:$Q$9)</f>
        <v>1-99</v>
      </c>
      <c r="Q1891" t="str">
        <f>LOOKUP(F1891,Sheet2!$S$4:$T$8)</f>
        <v>1-25</v>
      </c>
      <c r="R1891" t="str">
        <f>LOOKUP(G1891,Sheet2!$V$4:$W$7)</f>
        <v>0.25 - 0.39</v>
      </c>
      <c r="S1891" t="str">
        <f>LOOKUP(H1891,Sheet2!$Z$4:$AA$7)</f>
        <v>&lt;=25</v>
      </c>
      <c r="T1891" t="str">
        <f t="shared" si="87"/>
        <v>Negative</v>
      </c>
      <c r="U1891" t="str">
        <f t="shared" si="88"/>
        <v>Not Sampled</v>
      </c>
      <c r="V1891" s="1" t="str">
        <f t="shared" si="89"/>
        <v>Not Sampled</v>
      </c>
    </row>
    <row r="1892" spans="1:22" x14ac:dyDescent="0.25">
      <c r="A1892" s="1">
        <v>4</v>
      </c>
      <c r="B1892" s="1">
        <v>146</v>
      </c>
      <c r="C1892" s="1">
        <v>85</v>
      </c>
      <c r="D1892" s="1">
        <v>27</v>
      </c>
      <c r="E1892" s="1">
        <v>100</v>
      </c>
      <c r="F1892" s="1">
        <v>28.9</v>
      </c>
      <c r="G1892" s="1">
        <v>0.189</v>
      </c>
      <c r="H1892" s="1">
        <v>27</v>
      </c>
      <c r="I1892" s="1">
        <v>0</v>
      </c>
      <c r="J1892" s="1">
        <f>IFERROR(VLOOKUP(K1892,[1]diabetes_Recognition!$A:$B,2,FALSE),"Not Sampled")</f>
        <v>0</v>
      </c>
      <c r="K1892" s="1">
        <v>1890</v>
      </c>
      <c r="L1892" s="1" t="str">
        <f>LOOKUP(A1892,Sheet2!$D$4:$E$9)</f>
        <v>3-4</v>
      </c>
      <c r="M1892" t="str">
        <f>LOOKUP(B1892,Sheet2!$G$4:$H$9)</f>
        <v>126-150</v>
      </c>
      <c r="N1892" t="str">
        <f>LOOKUP(C1892,Sheet2!$J$4:$K$8)</f>
        <v>80+</v>
      </c>
      <c r="O1892" t="str">
        <f>LOOKUP(D1892,Sheet2!$M$4:$N$8)</f>
        <v>10-30</v>
      </c>
      <c r="P1892" t="str">
        <f>LOOKUP(E1892,Sheet2!$P$4:$Q$9)</f>
        <v>100-199</v>
      </c>
      <c r="Q1892" t="str">
        <f>LOOKUP(F1892,Sheet2!$S$4:$T$8)</f>
        <v>26-30</v>
      </c>
      <c r="R1892" t="str">
        <f>LOOKUP(G1892,Sheet2!$V$4:$W$7)</f>
        <v>0.0 - 0.249</v>
      </c>
      <c r="S1892" t="str">
        <f>LOOKUP(H1892,Sheet2!$Z$4:$AA$7)</f>
        <v>26-35</v>
      </c>
      <c r="T1892" t="str">
        <f t="shared" si="87"/>
        <v>Negative</v>
      </c>
      <c r="U1892" t="str">
        <f t="shared" si="88"/>
        <v>Negative</v>
      </c>
      <c r="V1892" s="1" t="str">
        <f t="shared" si="89"/>
        <v>Accurate Prediction</v>
      </c>
    </row>
    <row r="1893" spans="1:22" x14ac:dyDescent="0.25">
      <c r="A1893" s="1">
        <v>2</v>
      </c>
      <c r="B1893" s="1">
        <v>100</v>
      </c>
      <c r="C1893" s="1">
        <v>66</v>
      </c>
      <c r="D1893" s="1">
        <v>20</v>
      </c>
      <c r="E1893" s="1">
        <v>90</v>
      </c>
      <c r="F1893" s="1">
        <v>32.9</v>
      </c>
      <c r="G1893" s="1">
        <v>0.86699999999999999</v>
      </c>
      <c r="H1893" s="1">
        <v>28</v>
      </c>
      <c r="I1893" s="1">
        <v>1</v>
      </c>
      <c r="J1893" s="1" t="str">
        <f>IFERROR(VLOOKUP(K1893,[1]diabetes_Recognition!$A:$B,2,FALSE),"Not Sampled")</f>
        <v>Not Sampled</v>
      </c>
      <c r="K1893" s="1">
        <v>1891</v>
      </c>
      <c r="L1893" s="1">
        <f>LOOKUP(A1893,Sheet2!$D$4:$E$9)</f>
        <v>2</v>
      </c>
      <c r="M1893" t="str">
        <f>LOOKUP(B1893,Sheet2!$G$4:$H$9)</f>
        <v>100-125</v>
      </c>
      <c r="N1893" t="str">
        <f>LOOKUP(C1893,Sheet2!$J$4:$K$8)</f>
        <v>60-69</v>
      </c>
      <c r="O1893" t="str">
        <f>LOOKUP(D1893,Sheet2!$M$4:$N$8)</f>
        <v>10-30</v>
      </c>
      <c r="P1893" t="str">
        <f>LOOKUP(E1893,Sheet2!$P$4:$Q$9)</f>
        <v>1-99</v>
      </c>
      <c r="Q1893" t="str">
        <f>LOOKUP(F1893,Sheet2!$S$4:$T$8)</f>
        <v>31-35</v>
      </c>
      <c r="R1893" t="str">
        <f>LOOKUP(G1893,Sheet2!$V$4:$W$7)</f>
        <v>0.7+</v>
      </c>
      <c r="S1893" t="str">
        <f>LOOKUP(H1893,Sheet2!$Z$4:$AA$7)</f>
        <v>26-35</v>
      </c>
      <c r="T1893" t="str">
        <f t="shared" si="87"/>
        <v>Positive</v>
      </c>
      <c r="U1893" t="str">
        <f t="shared" si="88"/>
        <v>Not Sampled</v>
      </c>
      <c r="V1893" s="1" t="str">
        <f t="shared" si="89"/>
        <v>Not Sampled</v>
      </c>
    </row>
    <row r="1894" spans="1:22" x14ac:dyDescent="0.25">
      <c r="A1894" s="1">
        <v>5</v>
      </c>
      <c r="B1894" s="1">
        <v>139</v>
      </c>
      <c r="C1894" s="1">
        <v>64</v>
      </c>
      <c r="D1894" s="1">
        <v>35</v>
      </c>
      <c r="E1894" s="1">
        <v>140</v>
      </c>
      <c r="F1894" s="1">
        <v>28.6</v>
      </c>
      <c r="G1894" s="1">
        <v>0.41099999999999998</v>
      </c>
      <c r="H1894" s="1">
        <v>26</v>
      </c>
      <c r="I1894" s="1">
        <v>0</v>
      </c>
      <c r="J1894" s="1" t="str">
        <f>IFERROR(VLOOKUP(K1894,[1]diabetes_Recognition!$A:$B,2,FALSE),"Not Sampled")</f>
        <v>Not Sampled</v>
      </c>
      <c r="K1894" s="1">
        <v>1892</v>
      </c>
      <c r="L1894" s="1" t="str">
        <f>LOOKUP(A1894,Sheet2!$D$4:$E$9)</f>
        <v>5-7</v>
      </c>
      <c r="M1894" t="str">
        <f>LOOKUP(B1894,Sheet2!$G$4:$H$9)</f>
        <v>126-150</v>
      </c>
      <c r="N1894" t="str">
        <f>LOOKUP(C1894,Sheet2!$J$4:$K$8)</f>
        <v>60-69</v>
      </c>
      <c r="O1894" t="str">
        <f>LOOKUP(D1894,Sheet2!$M$4:$N$8)</f>
        <v>30-39</v>
      </c>
      <c r="P1894" t="str">
        <f>LOOKUP(E1894,Sheet2!$P$4:$Q$9)</f>
        <v>100-199</v>
      </c>
      <c r="Q1894" t="str">
        <f>LOOKUP(F1894,Sheet2!$S$4:$T$8)</f>
        <v>26-30</v>
      </c>
      <c r="R1894" t="str">
        <f>LOOKUP(G1894,Sheet2!$V$4:$W$7)</f>
        <v>0.4 - 0.69</v>
      </c>
      <c r="S1894" t="str">
        <f>LOOKUP(H1894,Sheet2!$Z$4:$AA$7)</f>
        <v>26-35</v>
      </c>
      <c r="T1894" t="str">
        <f t="shared" si="87"/>
        <v>Negative</v>
      </c>
      <c r="U1894" t="str">
        <f t="shared" si="88"/>
        <v>Not Sampled</v>
      </c>
      <c r="V1894" s="1" t="str">
        <f t="shared" si="89"/>
        <v>Not Sampled</v>
      </c>
    </row>
    <row r="1895" spans="1:22" x14ac:dyDescent="0.25">
      <c r="A1895" s="1">
        <v>13</v>
      </c>
      <c r="B1895" s="1">
        <v>126</v>
      </c>
      <c r="C1895" s="1">
        <v>90</v>
      </c>
      <c r="D1895" s="1">
        <v>0</v>
      </c>
      <c r="E1895" s="1">
        <v>0</v>
      </c>
      <c r="F1895" s="1">
        <v>43.4</v>
      </c>
      <c r="G1895" s="1">
        <v>0.58299999999999996</v>
      </c>
      <c r="H1895" s="1">
        <v>42</v>
      </c>
      <c r="I1895" s="1">
        <v>1</v>
      </c>
      <c r="J1895" s="1" t="str">
        <f>IFERROR(VLOOKUP(K1895,[1]diabetes_Recognition!$A:$B,2,FALSE),"Not Sampled")</f>
        <v>Not Sampled</v>
      </c>
      <c r="K1895" s="1">
        <v>1893</v>
      </c>
      <c r="L1895" s="1" t="str">
        <f>LOOKUP(A1895,Sheet2!$D$4:$E$9)</f>
        <v>8+</v>
      </c>
      <c r="M1895" t="str">
        <f>LOOKUP(B1895,Sheet2!$G$4:$H$9)</f>
        <v>126-150</v>
      </c>
      <c r="N1895" t="str">
        <f>LOOKUP(C1895,Sheet2!$J$4:$K$8)</f>
        <v>80+</v>
      </c>
      <c r="O1895" t="str">
        <f>LOOKUP(D1895,Sheet2!$M$4:$N$8)</f>
        <v>Unknown</v>
      </c>
      <c r="P1895" t="str">
        <f>LOOKUP(E1895,Sheet2!$P$4:$Q$9)</f>
        <v>Unknown</v>
      </c>
      <c r="Q1895" t="str">
        <f>LOOKUP(F1895,Sheet2!$S$4:$T$8)</f>
        <v>36+</v>
      </c>
      <c r="R1895" t="str">
        <f>LOOKUP(G1895,Sheet2!$V$4:$W$7)</f>
        <v>0.4 - 0.69</v>
      </c>
      <c r="S1895" t="str">
        <f>LOOKUP(H1895,Sheet2!$Z$4:$AA$7)</f>
        <v>36-45</v>
      </c>
      <c r="T1895" t="str">
        <f t="shared" si="87"/>
        <v>Positive</v>
      </c>
      <c r="U1895" t="str">
        <f t="shared" si="88"/>
        <v>Not Sampled</v>
      </c>
      <c r="V1895" s="1" t="str">
        <f t="shared" si="89"/>
        <v>Not Sampled</v>
      </c>
    </row>
    <row r="1896" spans="1:22" x14ac:dyDescent="0.25">
      <c r="A1896" s="1">
        <v>4</v>
      </c>
      <c r="B1896" s="1">
        <v>129</v>
      </c>
      <c r="C1896" s="1">
        <v>86</v>
      </c>
      <c r="D1896" s="1">
        <v>20</v>
      </c>
      <c r="E1896" s="1">
        <v>270</v>
      </c>
      <c r="F1896" s="1">
        <v>35.1</v>
      </c>
      <c r="G1896" s="1">
        <v>0.23100000000000001</v>
      </c>
      <c r="H1896" s="1">
        <v>23</v>
      </c>
      <c r="I1896" s="1">
        <v>0</v>
      </c>
      <c r="J1896" s="1" t="str">
        <f>IFERROR(VLOOKUP(K1896,[1]diabetes_Recognition!$A:$B,2,FALSE),"Not Sampled")</f>
        <v>Not Sampled</v>
      </c>
      <c r="K1896" s="1">
        <v>1894</v>
      </c>
      <c r="L1896" s="1" t="str">
        <f>LOOKUP(A1896,Sheet2!$D$4:$E$9)</f>
        <v>3-4</v>
      </c>
      <c r="M1896" t="str">
        <f>LOOKUP(B1896,Sheet2!$G$4:$H$9)</f>
        <v>126-150</v>
      </c>
      <c r="N1896" t="str">
        <f>LOOKUP(C1896,Sheet2!$J$4:$K$8)</f>
        <v>80+</v>
      </c>
      <c r="O1896" t="str">
        <f>LOOKUP(D1896,Sheet2!$M$4:$N$8)</f>
        <v>10-30</v>
      </c>
      <c r="P1896" t="str">
        <f>LOOKUP(E1896,Sheet2!$P$4:$Q$9)</f>
        <v>200-399</v>
      </c>
      <c r="Q1896" t="str">
        <f>LOOKUP(F1896,Sheet2!$S$4:$T$8)</f>
        <v>31-35</v>
      </c>
      <c r="R1896" t="str">
        <f>LOOKUP(G1896,Sheet2!$V$4:$W$7)</f>
        <v>0.0 - 0.249</v>
      </c>
      <c r="S1896" t="str">
        <f>LOOKUP(H1896,Sheet2!$Z$4:$AA$7)</f>
        <v>&lt;=25</v>
      </c>
      <c r="T1896" t="str">
        <f t="shared" si="87"/>
        <v>Negative</v>
      </c>
      <c r="U1896" t="str">
        <f t="shared" si="88"/>
        <v>Not Sampled</v>
      </c>
      <c r="V1896" s="1" t="str">
        <f t="shared" si="89"/>
        <v>Not Sampled</v>
      </c>
    </row>
    <row r="1897" spans="1:22" x14ac:dyDescent="0.25">
      <c r="A1897" s="1">
        <v>1</v>
      </c>
      <c r="B1897" s="1">
        <v>79</v>
      </c>
      <c r="C1897" s="1">
        <v>75</v>
      </c>
      <c r="D1897" s="1">
        <v>30</v>
      </c>
      <c r="E1897" s="1">
        <v>0</v>
      </c>
      <c r="F1897" s="1">
        <v>32</v>
      </c>
      <c r="G1897" s="1">
        <v>0.39600000000000002</v>
      </c>
      <c r="H1897" s="1">
        <v>22</v>
      </c>
      <c r="I1897" s="1">
        <v>0</v>
      </c>
      <c r="J1897" s="1" t="str">
        <f>IFERROR(VLOOKUP(K1897,[1]diabetes_Recognition!$A:$B,2,FALSE),"Not Sampled")</f>
        <v>Not Sampled</v>
      </c>
      <c r="K1897" s="1">
        <v>1895</v>
      </c>
      <c r="L1897" s="1">
        <f>LOOKUP(A1897,Sheet2!$D$4:$E$9)</f>
        <v>1</v>
      </c>
      <c r="M1897" t="str">
        <f>LOOKUP(B1897,Sheet2!$G$4:$H$9)</f>
        <v>1-99</v>
      </c>
      <c r="N1897" t="str">
        <f>LOOKUP(C1897,Sheet2!$J$4:$K$8)</f>
        <v>70-79</v>
      </c>
      <c r="O1897" t="str">
        <f>LOOKUP(D1897,Sheet2!$M$4:$N$8)</f>
        <v>30-39</v>
      </c>
      <c r="P1897" t="str">
        <f>LOOKUP(E1897,Sheet2!$P$4:$Q$9)</f>
        <v>Unknown</v>
      </c>
      <c r="Q1897" t="str">
        <f>LOOKUP(F1897,Sheet2!$S$4:$T$8)</f>
        <v>31-35</v>
      </c>
      <c r="R1897" t="str">
        <f>LOOKUP(G1897,Sheet2!$V$4:$W$7)</f>
        <v>0.25 - 0.39</v>
      </c>
      <c r="S1897" t="str">
        <f>LOOKUP(H1897,Sheet2!$Z$4:$AA$7)</f>
        <v>&lt;=25</v>
      </c>
      <c r="T1897" t="str">
        <f t="shared" si="87"/>
        <v>Negative</v>
      </c>
      <c r="U1897" t="str">
        <f t="shared" si="88"/>
        <v>Not Sampled</v>
      </c>
      <c r="V1897" s="1" t="str">
        <f t="shared" si="89"/>
        <v>Not Sampled</v>
      </c>
    </row>
    <row r="1898" spans="1:22" x14ac:dyDescent="0.25">
      <c r="A1898" s="1">
        <v>1</v>
      </c>
      <c r="B1898" s="1">
        <v>0</v>
      </c>
      <c r="C1898" s="1">
        <v>48</v>
      </c>
      <c r="D1898" s="1">
        <v>20</v>
      </c>
      <c r="E1898" s="1">
        <v>0</v>
      </c>
      <c r="F1898" s="1">
        <v>24.7</v>
      </c>
      <c r="G1898" s="1">
        <v>0.14000000000000001</v>
      </c>
      <c r="H1898" s="1">
        <v>22</v>
      </c>
      <c r="I1898" s="1">
        <v>0</v>
      </c>
      <c r="J1898" s="1" t="str">
        <f>IFERROR(VLOOKUP(K1898,[1]diabetes_Recognition!$A:$B,2,FALSE),"Not Sampled")</f>
        <v>Not Sampled</v>
      </c>
      <c r="K1898" s="1">
        <v>1896</v>
      </c>
      <c r="L1898" s="1">
        <f>LOOKUP(A1898,Sheet2!$D$4:$E$9)</f>
        <v>1</v>
      </c>
      <c r="M1898" t="str">
        <f>LOOKUP(B1898,Sheet2!$G$4:$H$9)</f>
        <v>Unknown</v>
      </c>
      <c r="N1898" t="str">
        <f>LOOKUP(C1898,Sheet2!$J$4:$K$8)</f>
        <v>1-59</v>
      </c>
      <c r="O1898" t="str">
        <f>LOOKUP(D1898,Sheet2!$M$4:$N$8)</f>
        <v>10-30</v>
      </c>
      <c r="P1898" t="str">
        <f>LOOKUP(E1898,Sheet2!$P$4:$Q$9)</f>
        <v>Unknown</v>
      </c>
      <c r="Q1898" t="str">
        <f>LOOKUP(F1898,Sheet2!$S$4:$T$8)</f>
        <v>1-25</v>
      </c>
      <c r="R1898" t="str">
        <f>LOOKUP(G1898,Sheet2!$V$4:$W$7)</f>
        <v>0.0 - 0.249</v>
      </c>
      <c r="S1898" t="str">
        <f>LOOKUP(H1898,Sheet2!$Z$4:$AA$7)</f>
        <v>&lt;=25</v>
      </c>
      <c r="T1898" t="str">
        <f t="shared" si="87"/>
        <v>Negative</v>
      </c>
      <c r="U1898" t="str">
        <f t="shared" si="88"/>
        <v>Not Sampled</v>
      </c>
      <c r="V1898" s="1" t="str">
        <f t="shared" si="89"/>
        <v>Not Sampled</v>
      </c>
    </row>
    <row r="1899" spans="1:22" x14ac:dyDescent="0.25">
      <c r="A1899" s="1">
        <v>7</v>
      </c>
      <c r="B1899" s="1">
        <v>62</v>
      </c>
      <c r="C1899" s="1">
        <v>78</v>
      </c>
      <c r="D1899" s="1">
        <v>0</v>
      </c>
      <c r="E1899" s="1">
        <v>0</v>
      </c>
      <c r="F1899" s="1">
        <v>32.6</v>
      </c>
      <c r="G1899" s="1">
        <v>0.39100000000000001</v>
      </c>
      <c r="H1899" s="1">
        <v>41</v>
      </c>
      <c r="I1899" s="1">
        <v>0</v>
      </c>
      <c r="J1899" s="1" t="str">
        <f>IFERROR(VLOOKUP(K1899,[1]diabetes_Recognition!$A:$B,2,FALSE),"Not Sampled")</f>
        <v>Not Sampled</v>
      </c>
      <c r="K1899" s="1">
        <v>1897</v>
      </c>
      <c r="L1899" s="1" t="str">
        <f>LOOKUP(A1899,Sheet2!$D$4:$E$9)</f>
        <v>5-7</v>
      </c>
      <c r="M1899" t="str">
        <f>LOOKUP(B1899,Sheet2!$G$4:$H$9)</f>
        <v>1-99</v>
      </c>
      <c r="N1899" t="str">
        <f>LOOKUP(C1899,Sheet2!$J$4:$K$8)</f>
        <v>70-79</v>
      </c>
      <c r="O1899" t="str">
        <f>LOOKUP(D1899,Sheet2!$M$4:$N$8)</f>
        <v>Unknown</v>
      </c>
      <c r="P1899" t="str">
        <f>LOOKUP(E1899,Sheet2!$P$4:$Q$9)</f>
        <v>Unknown</v>
      </c>
      <c r="Q1899" t="str">
        <f>LOOKUP(F1899,Sheet2!$S$4:$T$8)</f>
        <v>31-35</v>
      </c>
      <c r="R1899" t="str">
        <f>LOOKUP(G1899,Sheet2!$V$4:$W$7)</f>
        <v>0.25 - 0.39</v>
      </c>
      <c r="S1899" t="str">
        <f>LOOKUP(H1899,Sheet2!$Z$4:$AA$7)</f>
        <v>36-45</v>
      </c>
      <c r="T1899" t="str">
        <f t="shared" si="87"/>
        <v>Negative</v>
      </c>
      <c r="U1899" t="str">
        <f t="shared" si="88"/>
        <v>Not Sampled</v>
      </c>
      <c r="V1899" s="1" t="str">
        <f t="shared" si="89"/>
        <v>Not Sampled</v>
      </c>
    </row>
    <row r="1900" spans="1:22" x14ac:dyDescent="0.25">
      <c r="A1900" s="1">
        <v>5</v>
      </c>
      <c r="B1900" s="1">
        <v>95</v>
      </c>
      <c r="C1900" s="1">
        <v>72</v>
      </c>
      <c r="D1900" s="1">
        <v>33</v>
      </c>
      <c r="E1900" s="1">
        <v>0</v>
      </c>
      <c r="F1900" s="1">
        <v>37.700000000000003</v>
      </c>
      <c r="G1900" s="1">
        <v>0.37</v>
      </c>
      <c r="H1900" s="1">
        <v>27</v>
      </c>
      <c r="I1900" s="1">
        <v>0</v>
      </c>
      <c r="J1900" s="1">
        <f>IFERROR(VLOOKUP(K1900,[1]diabetes_Recognition!$A:$B,2,FALSE),"Not Sampled")</f>
        <v>0</v>
      </c>
      <c r="K1900" s="1">
        <v>1898</v>
      </c>
      <c r="L1900" s="1" t="str">
        <f>LOOKUP(A1900,Sheet2!$D$4:$E$9)</f>
        <v>5-7</v>
      </c>
      <c r="M1900" t="str">
        <f>LOOKUP(B1900,Sheet2!$G$4:$H$9)</f>
        <v>1-99</v>
      </c>
      <c r="N1900" t="str">
        <f>LOOKUP(C1900,Sheet2!$J$4:$K$8)</f>
        <v>70-79</v>
      </c>
      <c r="O1900" t="str">
        <f>LOOKUP(D1900,Sheet2!$M$4:$N$8)</f>
        <v>30-39</v>
      </c>
      <c r="P1900" t="str">
        <f>LOOKUP(E1900,Sheet2!$P$4:$Q$9)</f>
        <v>Unknown</v>
      </c>
      <c r="Q1900" t="str">
        <f>LOOKUP(F1900,Sheet2!$S$4:$T$8)</f>
        <v>36+</v>
      </c>
      <c r="R1900" t="str">
        <f>LOOKUP(G1900,Sheet2!$V$4:$W$7)</f>
        <v>0.25 - 0.39</v>
      </c>
      <c r="S1900" t="str">
        <f>LOOKUP(H1900,Sheet2!$Z$4:$AA$7)</f>
        <v>26-35</v>
      </c>
      <c r="T1900" t="str">
        <f t="shared" si="87"/>
        <v>Negative</v>
      </c>
      <c r="U1900" t="str">
        <f t="shared" si="88"/>
        <v>Negative</v>
      </c>
      <c r="V1900" s="1" t="str">
        <f t="shared" si="89"/>
        <v>Accurate Prediction</v>
      </c>
    </row>
    <row r="1901" spans="1:22" x14ac:dyDescent="0.25">
      <c r="A1901" s="1">
        <v>0</v>
      </c>
      <c r="B1901" s="1">
        <v>131</v>
      </c>
      <c r="C1901" s="1">
        <v>0</v>
      </c>
      <c r="D1901" s="1">
        <v>0</v>
      </c>
      <c r="E1901" s="1">
        <v>0</v>
      </c>
      <c r="F1901" s="1">
        <v>43.2</v>
      </c>
      <c r="G1901" s="1">
        <v>0.27</v>
      </c>
      <c r="H1901" s="1">
        <v>26</v>
      </c>
      <c r="I1901" s="1">
        <v>1</v>
      </c>
      <c r="J1901" s="1">
        <f>IFERROR(VLOOKUP(K1901,[1]diabetes_Recognition!$A:$B,2,FALSE),"Not Sampled")</f>
        <v>1</v>
      </c>
      <c r="K1901" s="1">
        <v>1899</v>
      </c>
      <c r="L1901" s="1">
        <f>LOOKUP(A1901,Sheet2!$D$4:$E$9)</f>
        <v>0</v>
      </c>
      <c r="M1901" t="str">
        <f>LOOKUP(B1901,Sheet2!$G$4:$H$9)</f>
        <v>126-150</v>
      </c>
      <c r="N1901" t="str">
        <f>LOOKUP(C1901,Sheet2!$J$4:$K$8)</f>
        <v>Unknown</v>
      </c>
      <c r="O1901" t="str">
        <f>LOOKUP(D1901,Sheet2!$M$4:$N$8)</f>
        <v>Unknown</v>
      </c>
      <c r="P1901" t="str">
        <f>LOOKUP(E1901,Sheet2!$P$4:$Q$9)</f>
        <v>Unknown</v>
      </c>
      <c r="Q1901" t="str">
        <f>LOOKUP(F1901,Sheet2!$S$4:$T$8)</f>
        <v>36+</v>
      </c>
      <c r="R1901" t="str">
        <f>LOOKUP(G1901,Sheet2!$V$4:$W$7)</f>
        <v>0.25 - 0.39</v>
      </c>
      <c r="S1901" t="str">
        <f>LOOKUP(H1901,Sheet2!$Z$4:$AA$7)</f>
        <v>26-35</v>
      </c>
      <c r="T1901" t="str">
        <f t="shared" si="87"/>
        <v>Positive</v>
      </c>
      <c r="U1901" t="str">
        <f t="shared" si="88"/>
        <v>Positive</v>
      </c>
      <c r="V1901" s="1" t="str">
        <f t="shared" si="89"/>
        <v>Accurate Prediction</v>
      </c>
    </row>
    <row r="1902" spans="1:22" x14ac:dyDescent="0.25">
      <c r="A1902" s="1">
        <v>2</v>
      </c>
      <c r="B1902" s="1">
        <v>112</v>
      </c>
      <c r="C1902" s="1">
        <v>66</v>
      </c>
      <c r="D1902" s="1">
        <v>22</v>
      </c>
      <c r="E1902" s="1">
        <v>0</v>
      </c>
      <c r="F1902" s="1">
        <v>25</v>
      </c>
      <c r="G1902" s="1">
        <v>0.307</v>
      </c>
      <c r="H1902" s="1">
        <v>24</v>
      </c>
      <c r="I1902" s="1">
        <v>0</v>
      </c>
      <c r="J1902" s="1" t="str">
        <f>IFERROR(VLOOKUP(K1902,[1]diabetes_Recognition!$A:$B,2,FALSE),"Not Sampled")</f>
        <v>Not Sampled</v>
      </c>
      <c r="K1902" s="1">
        <v>1900</v>
      </c>
      <c r="L1902" s="1">
        <f>LOOKUP(A1902,Sheet2!$D$4:$E$9)</f>
        <v>2</v>
      </c>
      <c r="M1902" t="str">
        <f>LOOKUP(B1902,Sheet2!$G$4:$H$9)</f>
        <v>100-125</v>
      </c>
      <c r="N1902" t="str">
        <f>LOOKUP(C1902,Sheet2!$J$4:$K$8)</f>
        <v>60-69</v>
      </c>
      <c r="O1902" t="str">
        <f>LOOKUP(D1902,Sheet2!$M$4:$N$8)</f>
        <v>10-30</v>
      </c>
      <c r="P1902" t="str">
        <f>LOOKUP(E1902,Sheet2!$P$4:$Q$9)</f>
        <v>Unknown</v>
      </c>
      <c r="Q1902" t="str">
        <f>LOOKUP(F1902,Sheet2!$S$4:$T$8)</f>
        <v>1-25</v>
      </c>
      <c r="R1902" t="str">
        <f>LOOKUP(G1902,Sheet2!$V$4:$W$7)</f>
        <v>0.25 - 0.39</v>
      </c>
      <c r="S1902" t="str">
        <f>LOOKUP(H1902,Sheet2!$Z$4:$AA$7)</f>
        <v>&lt;=25</v>
      </c>
      <c r="T1902" t="str">
        <f t="shared" si="87"/>
        <v>Negative</v>
      </c>
      <c r="U1902" t="str">
        <f t="shared" si="88"/>
        <v>Not Sampled</v>
      </c>
      <c r="V1902" s="1" t="str">
        <f t="shared" si="89"/>
        <v>Not Sampled</v>
      </c>
    </row>
    <row r="1903" spans="1:22" x14ac:dyDescent="0.25">
      <c r="A1903" s="1">
        <v>3</v>
      </c>
      <c r="B1903" s="1">
        <v>113</v>
      </c>
      <c r="C1903" s="1">
        <v>44</v>
      </c>
      <c r="D1903" s="1">
        <v>13</v>
      </c>
      <c r="E1903" s="1">
        <v>0</v>
      </c>
      <c r="F1903" s="1">
        <v>22.4</v>
      </c>
      <c r="G1903" s="1">
        <v>0.14000000000000001</v>
      </c>
      <c r="H1903" s="1">
        <v>22</v>
      </c>
      <c r="I1903" s="1">
        <v>0</v>
      </c>
      <c r="J1903" s="1" t="str">
        <f>IFERROR(VLOOKUP(K1903,[1]diabetes_Recognition!$A:$B,2,FALSE),"Not Sampled")</f>
        <v>Not Sampled</v>
      </c>
      <c r="K1903" s="1">
        <v>1901</v>
      </c>
      <c r="L1903" s="1" t="str">
        <f>LOOKUP(A1903,Sheet2!$D$4:$E$9)</f>
        <v>3-4</v>
      </c>
      <c r="M1903" t="str">
        <f>LOOKUP(B1903,Sheet2!$G$4:$H$9)</f>
        <v>100-125</v>
      </c>
      <c r="N1903" t="str">
        <f>LOOKUP(C1903,Sheet2!$J$4:$K$8)</f>
        <v>1-59</v>
      </c>
      <c r="O1903" t="str">
        <f>LOOKUP(D1903,Sheet2!$M$4:$N$8)</f>
        <v>10-30</v>
      </c>
      <c r="P1903" t="str">
        <f>LOOKUP(E1903,Sheet2!$P$4:$Q$9)</f>
        <v>Unknown</v>
      </c>
      <c r="Q1903" t="str">
        <f>LOOKUP(F1903,Sheet2!$S$4:$T$8)</f>
        <v>1-25</v>
      </c>
      <c r="R1903" t="str">
        <f>LOOKUP(G1903,Sheet2!$V$4:$W$7)</f>
        <v>0.0 - 0.249</v>
      </c>
      <c r="S1903" t="str">
        <f>LOOKUP(H1903,Sheet2!$Z$4:$AA$7)</f>
        <v>&lt;=25</v>
      </c>
      <c r="T1903" t="str">
        <f t="shared" si="87"/>
        <v>Negative</v>
      </c>
      <c r="U1903" t="str">
        <f t="shared" si="88"/>
        <v>Not Sampled</v>
      </c>
      <c r="V1903" s="1" t="str">
        <f t="shared" si="89"/>
        <v>Not Sampled</v>
      </c>
    </row>
    <row r="1904" spans="1:22" x14ac:dyDescent="0.25">
      <c r="A1904" s="1">
        <v>2</v>
      </c>
      <c r="B1904" s="1">
        <v>74</v>
      </c>
      <c r="C1904" s="1">
        <v>0</v>
      </c>
      <c r="D1904" s="1">
        <v>0</v>
      </c>
      <c r="E1904" s="1">
        <v>0</v>
      </c>
      <c r="F1904" s="1">
        <v>0</v>
      </c>
      <c r="G1904" s="1">
        <v>0.10199999999999999</v>
      </c>
      <c r="H1904" s="1">
        <v>22</v>
      </c>
      <c r="I1904" s="1">
        <v>0</v>
      </c>
      <c r="J1904" s="1" t="str">
        <f>IFERROR(VLOOKUP(K1904,[1]diabetes_Recognition!$A:$B,2,FALSE),"Not Sampled")</f>
        <v>Not Sampled</v>
      </c>
      <c r="K1904" s="1">
        <v>1902</v>
      </c>
      <c r="L1904" s="1">
        <f>LOOKUP(A1904,Sheet2!$D$4:$E$9)</f>
        <v>2</v>
      </c>
      <c r="M1904" t="str">
        <f>LOOKUP(B1904,Sheet2!$G$4:$H$9)</f>
        <v>1-99</v>
      </c>
      <c r="N1904" t="str">
        <f>LOOKUP(C1904,Sheet2!$J$4:$K$8)</f>
        <v>Unknown</v>
      </c>
      <c r="O1904" t="str">
        <f>LOOKUP(D1904,Sheet2!$M$4:$N$8)</f>
        <v>Unknown</v>
      </c>
      <c r="P1904" t="str">
        <f>LOOKUP(E1904,Sheet2!$P$4:$Q$9)</f>
        <v>Unknown</v>
      </c>
      <c r="Q1904" t="str">
        <f>LOOKUP(F1904,Sheet2!$S$4:$T$8)</f>
        <v>Unknown</v>
      </c>
      <c r="R1904" t="str">
        <f>LOOKUP(G1904,Sheet2!$V$4:$W$7)</f>
        <v>0.0 - 0.249</v>
      </c>
      <c r="S1904" t="str">
        <f>LOOKUP(H1904,Sheet2!$Z$4:$AA$7)</f>
        <v>&lt;=25</v>
      </c>
      <c r="T1904" t="str">
        <f t="shared" si="87"/>
        <v>Negative</v>
      </c>
      <c r="U1904" t="str">
        <f t="shared" si="88"/>
        <v>Not Sampled</v>
      </c>
      <c r="V1904" s="1" t="str">
        <f t="shared" si="89"/>
        <v>Not Sampled</v>
      </c>
    </row>
    <row r="1905" spans="1:22" x14ac:dyDescent="0.25">
      <c r="A1905" s="1">
        <v>7</v>
      </c>
      <c r="B1905" s="1">
        <v>83</v>
      </c>
      <c r="C1905" s="1">
        <v>78</v>
      </c>
      <c r="D1905" s="1">
        <v>26</v>
      </c>
      <c r="E1905" s="1">
        <v>71</v>
      </c>
      <c r="F1905" s="1">
        <v>29.3</v>
      </c>
      <c r="G1905" s="1">
        <v>0.76700000000000002</v>
      </c>
      <c r="H1905" s="1">
        <v>36</v>
      </c>
      <c r="I1905" s="1">
        <v>0</v>
      </c>
      <c r="J1905" s="1" t="str">
        <f>IFERROR(VLOOKUP(K1905,[1]diabetes_Recognition!$A:$B,2,FALSE),"Not Sampled")</f>
        <v>Not Sampled</v>
      </c>
      <c r="K1905" s="1">
        <v>1903</v>
      </c>
      <c r="L1905" s="1" t="str">
        <f>LOOKUP(A1905,Sheet2!$D$4:$E$9)</f>
        <v>5-7</v>
      </c>
      <c r="M1905" t="str">
        <f>LOOKUP(B1905,Sheet2!$G$4:$H$9)</f>
        <v>1-99</v>
      </c>
      <c r="N1905" t="str">
        <f>LOOKUP(C1905,Sheet2!$J$4:$K$8)</f>
        <v>70-79</v>
      </c>
      <c r="O1905" t="str">
        <f>LOOKUP(D1905,Sheet2!$M$4:$N$8)</f>
        <v>10-30</v>
      </c>
      <c r="P1905" t="str">
        <f>LOOKUP(E1905,Sheet2!$P$4:$Q$9)</f>
        <v>1-99</v>
      </c>
      <c r="Q1905" t="str">
        <f>LOOKUP(F1905,Sheet2!$S$4:$T$8)</f>
        <v>26-30</v>
      </c>
      <c r="R1905" t="str">
        <f>LOOKUP(G1905,Sheet2!$V$4:$W$7)</f>
        <v>0.7+</v>
      </c>
      <c r="S1905" t="str">
        <f>LOOKUP(H1905,Sheet2!$Z$4:$AA$7)</f>
        <v>36-45</v>
      </c>
      <c r="T1905" t="str">
        <f t="shared" si="87"/>
        <v>Negative</v>
      </c>
      <c r="U1905" t="str">
        <f t="shared" si="88"/>
        <v>Not Sampled</v>
      </c>
      <c r="V1905" s="1" t="str">
        <f t="shared" si="89"/>
        <v>Not Sampled</v>
      </c>
    </row>
    <row r="1906" spans="1:22" x14ac:dyDescent="0.25">
      <c r="A1906" s="1">
        <v>0</v>
      </c>
      <c r="B1906" s="1">
        <v>101</v>
      </c>
      <c r="C1906" s="1">
        <v>65</v>
      </c>
      <c r="D1906" s="1">
        <v>28</v>
      </c>
      <c r="E1906" s="1">
        <v>0</v>
      </c>
      <c r="F1906" s="1">
        <v>24.6</v>
      </c>
      <c r="G1906" s="1">
        <v>0.23699999999999999</v>
      </c>
      <c r="H1906" s="1">
        <v>22</v>
      </c>
      <c r="I1906" s="1">
        <v>0</v>
      </c>
      <c r="J1906" s="1">
        <f>IFERROR(VLOOKUP(K1906,[1]diabetes_Recognition!$A:$B,2,FALSE),"Not Sampled")</f>
        <v>0</v>
      </c>
      <c r="K1906" s="1">
        <v>1904</v>
      </c>
      <c r="L1906" s="1">
        <f>LOOKUP(A1906,Sheet2!$D$4:$E$9)</f>
        <v>0</v>
      </c>
      <c r="M1906" t="str">
        <f>LOOKUP(B1906,Sheet2!$G$4:$H$9)</f>
        <v>100-125</v>
      </c>
      <c r="N1906" t="str">
        <f>LOOKUP(C1906,Sheet2!$J$4:$K$8)</f>
        <v>60-69</v>
      </c>
      <c r="O1906" t="str">
        <f>LOOKUP(D1906,Sheet2!$M$4:$N$8)</f>
        <v>10-30</v>
      </c>
      <c r="P1906" t="str">
        <f>LOOKUP(E1906,Sheet2!$P$4:$Q$9)</f>
        <v>Unknown</v>
      </c>
      <c r="Q1906" t="str">
        <f>LOOKUP(F1906,Sheet2!$S$4:$T$8)</f>
        <v>1-25</v>
      </c>
      <c r="R1906" t="str">
        <f>LOOKUP(G1906,Sheet2!$V$4:$W$7)</f>
        <v>0.0 - 0.249</v>
      </c>
      <c r="S1906" t="str">
        <f>LOOKUP(H1906,Sheet2!$Z$4:$AA$7)</f>
        <v>&lt;=25</v>
      </c>
      <c r="T1906" t="str">
        <f t="shared" si="87"/>
        <v>Negative</v>
      </c>
      <c r="U1906" t="str">
        <f t="shared" si="88"/>
        <v>Negative</v>
      </c>
      <c r="V1906" s="1" t="str">
        <f t="shared" si="89"/>
        <v>Accurate Prediction</v>
      </c>
    </row>
    <row r="1907" spans="1:22" x14ac:dyDescent="0.25">
      <c r="A1907" s="1">
        <v>5</v>
      </c>
      <c r="B1907" s="1">
        <v>137</v>
      </c>
      <c r="C1907" s="1">
        <v>108</v>
      </c>
      <c r="D1907" s="1">
        <v>0</v>
      </c>
      <c r="E1907" s="1">
        <v>0</v>
      </c>
      <c r="F1907" s="1">
        <v>48.8</v>
      </c>
      <c r="G1907" s="1">
        <v>0.22700000000000001</v>
      </c>
      <c r="H1907" s="1">
        <v>37</v>
      </c>
      <c r="I1907" s="1">
        <v>1</v>
      </c>
      <c r="J1907" s="1" t="str">
        <f>IFERROR(VLOOKUP(K1907,[1]diabetes_Recognition!$A:$B,2,FALSE),"Not Sampled")</f>
        <v>Not Sampled</v>
      </c>
      <c r="K1907" s="1">
        <v>1905</v>
      </c>
      <c r="L1907" s="1" t="str">
        <f>LOOKUP(A1907,Sheet2!$D$4:$E$9)</f>
        <v>5-7</v>
      </c>
      <c r="M1907" t="str">
        <f>LOOKUP(B1907,Sheet2!$G$4:$H$9)</f>
        <v>126-150</v>
      </c>
      <c r="N1907" t="str">
        <f>LOOKUP(C1907,Sheet2!$J$4:$K$8)</f>
        <v>80+</v>
      </c>
      <c r="O1907" t="str">
        <f>LOOKUP(D1907,Sheet2!$M$4:$N$8)</f>
        <v>Unknown</v>
      </c>
      <c r="P1907" t="str">
        <f>LOOKUP(E1907,Sheet2!$P$4:$Q$9)</f>
        <v>Unknown</v>
      </c>
      <c r="Q1907" t="str">
        <f>LOOKUP(F1907,Sheet2!$S$4:$T$8)</f>
        <v>36+</v>
      </c>
      <c r="R1907" t="str">
        <f>LOOKUP(G1907,Sheet2!$V$4:$W$7)</f>
        <v>0.0 - 0.249</v>
      </c>
      <c r="S1907" t="str">
        <f>LOOKUP(H1907,Sheet2!$Z$4:$AA$7)</f>
        <v>36-45</v>
      </c>
      <c r="T1907" t="str">
        <f t="shared" si="87"/>
        <v>Positive</v>
      </c>
      <c r="U1907" t="str">
        <f t="shared" si="88"/>
        <v>Not Sampled</v>
      </c>
      <c r="V1907" s="1" t="str">
        <f t="shared" si="89"/>
        <v>Not Sampled</v>
      </c>
    </row>
    <row r="1908" spans="1:22" x14ac:dyDescent="0.25">
      <c r="A1908" s="1">
        <v>2</v>
      </c>
      <c r="B1908" s="1">
        <v>110</v>
      </c>
      <c r="C1908" s="1">
        <v>74</v>
      </c>
      <c r="D1908" s="1">
        <v>29</v>
      </c>
      <c r="E1908" s="1">
        <v>125</v>
      </c>
      <c r="F1908" s="1">
        <v>32.4</v>
      </c>
      <c r="G1908" s="1">
        <v>0.69799999999999995</v>
      </c>
      <c r="H1908" s="1">
        <v>27</v>
      </c>
      <c r="I1908" s="1">
        <v>0</v>
      </c>
      <c r="J1908" s="1" t="str">
        <f>IFERROR(VLOOKUP(K1908,[1]diabetes_Recognition!$A:$B,2,FALSE),"Not Sampled")</f>
        <v>Not Sampled</v>
      </c>
      <c r="K1908" s="1">
        <v>1906</v>
      </c>
      <c r="L1908" s="1">
        <f>LOOKUP(A1908,Sheet2!$D$4:$E$9)</f>
        <v>2</v>
      </c>
      <c r="M1908" t="str">
        <f>LOOKUP(B1908,Sheet2!$G$4:$H$9)</f>
        <v>100-125</v>
      </c>
      <c r="N1908" t="str">
        <f>LOOKUP(C1908,Sheet2!$J$4:$K$8)</f>
        <v>70-79</v>
      </c>
      <c r="O1908" t="str">
        <f>LOOKUP(D1908,Sheet2!$M$4:$N$8)</f>
        <v>10-30</v>
      </c>
      <c r="P1908" t="str">
        <f>LOOKUP(E1908,Sheet2!$P$4:$Q$9)</f>
        <v>100-199</v>
      </c>
      <c r="Q1908" t="str">
        <f>LOOKUP(F1908,Sheet2!$S$4:$T$8)</f>
        <v>31-35</v>
      </c>
      <c r="R1908" t="str">
        <f>LOOKUP(G1908,Sheet2!$V$4:$W$7)</f>
        <v>0.4 - 0.69</v>
      </c>
      <c r="S1908" t="str">
        <f>LOOKUP(H1908,Sheet2!$Z$4:$AA$7)</f>
        <v>26-35</v>
      </c>
      <c r="T1908" t="str">
        <f t="shared" si="87"/>
        <v>Negative</v>
      </c>
      <c r="U1908" t="str">
        <f t="shared" si="88"/>
        <v>Not Sampled</v>
      </c>
      <c r="V1908" s="1" t="str">
        <f t="shared" si="89"/>
        <v>Not Sampled</v>
      </c>
    </row>
    <row r="1909" spans="1:22" x14ac:dyDescent="0.25">
      <c r="A1909" s="1">
        <v>13</v>
      </c>
      <c r="B1909" s="1">
        <v>106</v>
      </c>
      <c r="C1909" s="1">
        <v>72</v>
      </c>
      <c r="D1909" s="1">
        <v>54</v>
      </c>
      <c r="E1909" s="1">
        <v>0</v>
      </c>
      <c r="F1909" s="1">
        <v>36.6</v>
      </c>
      <c r="G1909" s="1">
        <v>0.17799999999999999</v>
      </c>
      <c r="H1909" s="1">
        <v>45</v>
      </c>
      <c r="I1909" s="1">
        <v>0</v>
      </c>
      <c r="J1909" s="1" t="str">
        <f>IFERROR(VLOOKUP(K1909,[1]diabetes_Recognition!$A:$B,2,FALSE),"Not Sampled")</f>
        <v>Not Sampled</v>
      </c>
      <c r="K1909" s="1">
        <v>1907</v>
      </c>
      <c r="L1909" s="1" t="str">
        <f>LOOKUP(A1909,Sheet2!$D$4:$E$9)</f>
        <v>8+</v>
      </c>
      <c r="M1909" t="str">
        <f>LOOKUP(B1909,Sheet2!$G$4:$H$9)</f>
        <v>100-125</v>
      </c>
      <c r="N1909" t="str">
        <f>LOOKUP(C1909,Sheet2!$J$4:$K$8)</f>
        <v>70-79</v>
      </c>
      <c r="O1909" t="str">
        <f>LOOKUP(D1909,Sheet2!$M$4:$N$8)</f>
        <v>40+</v>
      </c>
      <c r="P1909" t="str">
        <f>LOOKUP(E1909,Sheet2!$P$4:$Q$9)</f>
        <v>Unknown</v>
      </c>
      <c r="Q1909" t="str">
        <f>LOOKUP(F1909,Sheet2!$S$4:$T$8)</f>
        <v>36+</v>
      </c>
      <c r="R1909" t="str">
        <f>LOOKUP(G1909,Sheet2!$V$4:$W$7)</f>
        <v>0.0 - 0.249</v>
      </c>
      <c r="S1909" t="str">
        <f>LOOKUP(H1909,Sheet2!$Z$4:$AA$7)</f>
        <v>36-45</v>
      </c>
      <c r="T1909" t="str">
        <f t="shared" si="87"/>
        <v>Negative</v>
      </c>
      <c r="U1909" t="str">
        <f t="shared" si="88"/>
        <v>Not Sampled</v>
      </c>
      <c r="V1909" s="1" t="str">
        <f t="shared" si="89"/>
        <v>Not Sampled</v>
      </c>
    </row>
    <row r="1910" spans="1:22" x14ac:dyDescent="0.25">
      <c r="A1910" s="1">
        <v>2</v>
      </c>
      <c r="B1910" s="1">
        <v>100</v>
      </c>
      <c r="C1910" s="1">
        <v>68</v>
      </c>
      <c r="D1910" s="1">
        <v>25</v>
      </c>
      <c r="E1910" s="1">
        <v>71</v>
      </c>
      <c r="F1910" s="1">
        <v>38.5</v>
      </c>
      <c r="G1910" s="1">
        <v>0.32400000000000001</v>
      </c>
      <c r="H1910" s="1">
        <v>26</v>
      </c>
      <c r="I1910" s="1">
        <v>0</v>
      </c>
      <c r="J1910" s="1" t="str">
        <f>IFERROR(VLOOKUP(K1910,[1]diabetes_Recognition!$A:$B,2,FALSE),"Not Sampled")</f>
        <v>Not Sampled</v>
      </c>
      <c r="K1910" s="1">
        <v>1908</v>
      </c>
      <c r="L1910" s="1">
        <f>LOOKUP(A1910,Sheet2!$D$4:$E$9)</f>
        <v>2</v>
      </c>
      <c r="M1910" t="str">
        <f>LOOKUP(B1910,Sheet2!$G$4:$H$9)</f>
        <v>100-125</v>
      </c>
      <c r="N1910" t="str">
        <f>LOOKUP(C1910,Sheet2!$J$4:$K$8)</f>
        <v>60-69</v>
      </c>
      <c r="O1910" t="str">
        <f>LOOKUP(D1910,Sheet2!$M$4:$N$8)</f>
        <v>10-30</v>
      </c>
      <c r="P1910" t="str">
        <f>LOOKUP(E1910,Sheet2!$P$4:$Q$9)</f>
        <v>1-99</v>
      </c>
      <c r="Q1910" t="str">
        <f>LOOKUP(F1910,Sheet2!$S$4:$T$8)</f>
        <v>36+</v>
      </c>
      <c r="R1910" t="str">
        <f>LOOKUP(G1910,Sheet2!$V$4:$W$7)</f>
        <v>0.25 - 0.39</v>
      </c>
      <c r="S1910" t="str">
        <f>LOOKUP(H1910,Sheet2!$Z$4:$AA$7)</f>
        <v>26-35</v>
      </c>
      <c r="T1910" t="str">
        <f t="shared" si="87"/>
        <v>Negative</v>
      </c>
      <c r="U1910" t="str">
        <f t="shared" si="88"/>
        <v>Not Sampled</v>
      </c>
      <c r="V1910" s="1" t="str">
        <f t="shared" si="89"/>
        <v>Not Sampled</v>
      </c>
    </row>
    <row r="1911" spans="1:22" x14ac:dyDescent="0.25">
      <c r="A1911" s="1">
        <v>15</v>
      </c>
      <c r="B1911" s="1">
        <v>136</v>
      </c>
      <c r="C1911" s="1">
        <v>70</v>
      </c>
      <c r="D1911" s="1">
        <v>32</v>
      </c>
      <c r="E1911" s="1">
        <v>110</v>
      </c>
      <c r="F1911" s="1">
        <v>37.1</v>
      </c>
      <c r="G1911" s="1">
        <v>0.153</v>
      </c>
      <c r="H1911" s="1">
        <v>43</v>
      </c>
      <c r="I1911" s="1">
        <v>1</v>
      </c>
      <c r="J1911" s="1" t="str">
        <f>IFERROR(VLOOKUP(K1911,[1]diabetes_Recognition!$A:$B,2,FALSE),"Not Sampled")</f>
        <v>Not Sampled</v>
      </c>
      <c r="K1911" s="1">
        <v>1909</v>
      </c>
      <c r="L1911" s="1" t="str">
        <f>LOOKUP(A1911,Sheet2!$D$4:$E$9)</f>
        <v>8+</v>
      </c>
      <c r="M1911" t="str">
        <f>LOOKUP(B1911,Sheet2!$G$4:$H$9)</f>
        <v>126-150</v>
      </c>
      <c r="N1911" t="str">
        <f>LOOKUP(C1911,Sheet2!$J$4:$K$8)</f>
        <v>70-79</v>
      </c>
      <c r="O1911" t="str">
        <f>LOOKUP(D1911,Sheet2!$M$4:$N$8)</f>
        <v>30-39</v>
      </c>
      <c r="P1911" t="str">
        <f>LOOKUP(E1911,Sheet2!$P$4:$Q$9)</f>
        <v>100-199</v>
      </c>
      <c r="Q1911" t="str">
        <f>LOOKUP(F1911,Sheet2!$S$4:$T$8)</f>
        <v>36+</v>
      </c>
      <c r="R1911" t="str">
        <f>LOOKUP(G1911,Sheet2!$V$4:$W$7)</f>
        <v>0.0 - 0.249</v>
      </c>
      <c r="S1911" t="str">
        <f>LOOKUP(H1911,Sheet2!$Z$4:$AA$7)</f>
        <v>36-45</v>
      </c>
      <c r="T1911" t="str">
        <f t="shared" si="87"/>
        <v>Positive</v>
      </c>
      <c r="U1911" t="str">
        <f t="shared" si="88"/>
        <v>Not Sampled</v>
      </c>
      <c r="V1911" s="1" t="str">
        <f t="shared" si="89"/>
        <v>Not Sampled</v>
      </c>
    </row>
    <row r="1912" spans="1:22" x14ac:dyDescent="0.25">
      <c r="A1912" s="1">
        <v>1</v>
      </c>
      <c r="B1912" s="1">
        <v>107</v>
      </c>
      <c r="C1912" s="1">
        <v>68</v>
      </c>
      <c r="D1912" s="1">
        <v>19</v>
      </c>
      <c r="E1912" s="1">
        <v>0</v>
      </c>
      <c r="F1912" s="1">
        <v>26.5</v>
      </c>
      <c r="G1912" s="1">
        <v>0.16500000000000001</v>
      </c>
      <c r="H1912" s="1">
        <v>24</v>
      </c>
      <c r="I1912" s="1">
        <v>0</v>
      </c>
      <c r="J1912" s="1">
        <f>IFERROR(VLOOKUP(K1912,[1]diabetes_Recognition!$A:$B,2,FALSE),"Not Sampled")</f>
        <v>0</v>
      </c>
      <c r="K1912" s="1">
        <v>1910</v>
      </c>
      <c r="L1912" s="1">
        <f>LOOKUP(A1912,Sheet2!$D$4:$E$9)</f>
        <v>1</v>
      </c>
      <c r="M1912" t="str">
        <f>LOOKUP(B1912,Sheet2!$G$4:$H$9)</f>
        <v>100-125</v>
      </c>
      <c r="N1912" t="str">
        <f>LOOKUP(C1912,Sheet2!$J$4:$K$8)</f>
        <v>60-69</v>
      </c>
      <c r="O1912" t="str">
        <f>LOOKUP(D1912,Sheet2!$M$4:$N$8)</f>
        <v>10-30</v>
      </c>
      <c r="P1912" t="str">
        <f>LOOKUP(E1912,Sheet2!$P$4:$Q$9)</f>
        <v>Unknown</v>
      </c>
      <c r="Q1912" t="str">
        <f>LOOKUP(F1912,Sheet2!$S$4:$T$8)</f>
        <v>26-30</v>
      </c>
      <c r="R1912" t="str">
        <f>LOOKUP(G1912,Sheet2!$V$4:$W$7)</f>
        <v>0.0 - 0.249</v>
      </c>
      <c r="S1912" t="str">
        <f>LOOKUP(H1912,Sheet2!$Z$4:$AA$7)</f>
        <v>&lt;=25</v>
      </c>
      <c r="T1912" t="str">
        <f t="shared" si="87"/>
        <v>Negative</v>
      </c>
      <c r="U1912" t="str">
        <f t="shared" si="88"/>
        <v>Negative</v>
      </c>
      <c r="V1912" s="1" t="str">
        <f t="shared" si="89"/>
        <v>Accurate Prediction</v>
      </c>
    </row>
    <row r="1913" spans="1:22" x14ac:dyDescent="0.25">
      <c r="A1913" s="1">
        <v>1</v>
      </c>
      <c r="B1913" s="1">
        <v>80</v>
      </c>
      <c r="C1913" s="1">
        <v>55</v>
      </c>
      <c r="D1913" s="1">
        <v>0</v>
      </c>
      <c r="E1913" s="1">
        <v>0</v>
      </c>
      <c r="F1913" s="1">
        <v>19.100000000000001</v>
      </c>
      <c r="G1913" s="1">
        <v>0.25800000000000001</v>
      </c>
      <c r="H1913" s="1">
        <v>21</v>
      </c>
      <c r="I1913" s="1">
        <v>0</v>
      </c>
      <c r="J1913" s="1" t="str">
        <f>IFERROR(VLOOKUP(K1913,[1]diabetes_Recognition!$A:$B,2,FALSE),"Not Sampled")</f>
        <v>Not Sampled</v>
      </c>
      <c r="K1913" s="1">
        <v>1911</v>
      </c>
      <c r="L1913" s="1">
        <f>LOOKUP(A1913,Sheet2!$D$4:$E$9)</f>
        <v>1</v>
      </c>
      <c r="M1913" t="str">
        <f>LOOKUP(B1913,Sheet2!$G$4:$H$9)</f>
        <v>1-99</v>
      </c>
      <c r="N1913" t="str">
        <f>LOOKUP(C1913,Sheet2!$J$4:$K$8)</f>
        <v>1-59</v>
      </c>
      <c r="O1913" t="str">
        <f>LOOKUP(D1913,Sheet2!$M$4:$N$8)</f>
        <v>Unknown</v>
      </c>
      <c r="P1913" t="str">
        <f>LOOKUP(E1913,Sheet2!$P$4:$Q$9)</f>
        <v>Unknown</v>
      </c>
      <c r="Q1913" t="str">
        <f>LOOKUP(F1913,Sheet2!$S$4:$T$8)</f>
        <v>1-25</v>
      </c>
      <c r="R1913" t="str">
        <f>LOOKUP(G1913,Sheet2!$V$4:$W$7)</f>
        <v>0.25 - 0.39</v>
      </c>
      <c r="S1913" t="str">
        <f>LOOKUP(H1913,Sheet2!$Z$4:$AA$7)</f>
        <v>&lt;=25</v>
      </c>
      <c r="T1913" t="str">
        <f t="shared" si="87"/>
        <v>Negative</v>
      </c>
      <c r="U1913" t="str">
        <f t="shared" si="88"/>
        <v>Not Sampled</v>
      </c>
      <c r="V1913" s="1" t="str">
        <f t="shared" si="89"/>
        <v>Not Sampled</v>
      </c>
    </row>
    <row r="1914" spans="1:22" x14ac:dyDescent="0.25">
      <c r="A1914" s="1">
        <v>4</v>
      </c>
      <c r="B1914" s="1">
        <v>123</v>
      </c>
      <c r="C1914" s="1">
        <v>80</v>
      </c>
      <c r="D1914" s="1">
        <v>15</v>
      </c>
      <c r="E1914" s="1">
        <v>176</v>
      </c>
      <c r="F1914" s="1">
        <v>32</v>
      </c>
      <c r="G1914" s="1">
        <v>0.443</v>
      </c>
      <c r="H1914" s="1">
        <v>34</v>
      </c>
      <c r="I1914" s="1">
        <v>0</v>
      </c>
      <c r="J1914" s="1" t="str">
        <f>IFERROR(VLOOKUP(K1914,[1]diabetes_Recognition!$A:$B,2,FALSE),"Not Sampled")</f>
        <v>Not Sampled</v>
      </c>
      <c r="K1914" s="1">
        <v>1912</v>
      </c>
      <c r="L1914" s="1" t="str">
        <f>LOOKUP(A1914,Sheet2!$D$4:$E$9)</f>
        <v>3-4</v>
      </c>
      <c r="M1914" t="str">
        <f>LOOKUP(B1914,Sheet2!$G$4:$H$9)</f>
        <v>100-125</v>
      </c>
      <c r="N1914" t="str">
        <f>LOOKUP(C1914,Sheet2!$J$4:$K$8)</f>
        <v>80+</v>
      </c>
      <c r="O1914" t="str">
        <f>LOOKUP(D1914,Sheet2!$M$4:$N$8)</f>
        <v>10-30</v>
      </c>
      <c r="P1914" t="str">
        <f>LOOKUP(E1914,Sheet2!$P$4:$Q$9)</f>
        <v>100-199</v>
      </c>
      <c r="Q1914" t="str">
        <f>LOOKUP(F1914,Sheet2!$S$4:$T$8)</f>
        <v>31-35</v>
      </c>
      <c r="R1914" t="str">
        <f>LOOKUP(G1914,Sheet2!$V$4:$W$7)</f>
        <v>0.4 - 0.69</v>
      </c>
      <c r="S1914" t="str">
        <f>LOOKUP(H1914,Sheet2!$Z$4:$AA$7)</f>
        <v>26-35</v>
      </c>
      <c r="T1914" t="str">
        <f t="shared" si="87"/>
        <v>Negative</v>
      </c>
      <c r="U1914" t="str">
        <f t="shared" si="88"/>
        <v>Not Sampled</v>
      </c>
      <c r="V1914" s="1" t="str">
        <f t="shared" si="89"/>
        <v>Not Sampled</v>
      </c>
    </row>
    <row r="1915" spans="1:22" x14ac:dyDescent="0.25">
      <c r="A1915" s="1">
        <v>7</v>
      </c>
      <c r="B1915" s="1">
        <v>81</v>
      </c>
      <c r="C1915" s="1">
        <v>78</v>
      </c>
      <c r="D1915" s="1">
        <v>40</v>
      </c>
      <c r="E1915" s="1">
        <v>48</v>
      </c>
      <c r="F1915" s="1">
        <v>46.7</v>
      </c>
      <c r="G1915" s="1">
        <v>0.26100000000000001</v>
      </c>
      <c r="H1915" s="1">
        <v>42</v>
      </c>
      <c r="I1915" s="1">
        <v>0</v>
      </c>
      <c r="J1915" s="1" t="str">
        <f>IFERROR(VLOOKUP(K1915,[1]diabetes_Recognition!$A:$B,2,FALSE),"Not Sampled")</f>
        <v>Not Sampled</v>
      </c>
      <c r="K1915" s="1">
        <v>1913</v>
      </c>
      <c r="L1915" s="1" t="str">
        <f>LOOKUP(A1915,Sheet2!$D$4:$E$9)</f>
        <v>5-7</v>
      </c>
      <c r="M1915" t="str">
        <f>LOOKUP(B1915,Sheet2!$G$4:$H$9)</f>
        <v>1-99</v>
      </c>
      <c r="N1915" t="str">
        <f>LOOKUP(C1915,Sheet2!$J$4:$K$8)</f>
        <v>70-79</v>
      </c>
      <c r="O1915" t="str">
        <f>LOOKUP(D1915,Sheet2!$M$4:$N$8)</f>
        <v>40+</v>
      </c>
      <c r="P1915" t="str">
        <f>LOOKUP(E1915,Sheet2!$P$4:$Q$9)</f>
        <v>1-99</v>
      </c>
      <c r="Q1915" t="str">
        <f>LOOKUP(F1915,Sheet2!$S$4:$T$8)</f>
        <v>36+</v>
      </c>
      <c r="R1915" t="str">
        <f>LOOKUP(G1915,Sheet2!$V$4:$W$7)</f>
        <v>0.25 - 0.39</v>
      </c>
      <c r="S1915" t="str">
        <f>LOOKUP(H1915,Sheet2!$Z$4:$AA$7)</f>
        <v>36-45</v>
      </c>
      <c r="T1915" t="str">
        <f t="shared" si="87"/>
        <v>Negative</v>
      </c>
      <c r="U1915" t="str">
        <f t="shared" si="88"/>
        <v>Not Sampled</v>
      </c>
      <c r="V1915" s="1" t="str">
        <f t="shared" si="89"/>
        <v>Not Sampled</v>
      </c>
    </row>
    <row r="1916" spans="1:22" x14ac:dyDescent="0.25">
      <c r="A1916" s="1">
        <v>4</v>
      </c>
      <c r="B1916" s="1">
        <v>134</v>
      </c>
      <c r="C1916" s="1">
        <v>72</v>
      </c>
      <c r="D1916" s="1">
        <v>0</v>
      </c>
      <c r="E1916" s="1">
        <v>0</v>
      </c>
      <c r="F1916" s="1">
        <v>23.8</v>
      </c>
      <c r="G1916" s="1">
        <v>0.27700000000000002</v>
      </c>
      <c r="H1916" s="1">
        <v>60</v>
      </c>
      <c r="I1916" s="1">
        <v>1</v>
      </c>
      <c r="J1916" s="1" t="str">
        <f>IFERROR(VLOOKUP(K1916,[1]diabetes_Recognition!$A:$B,2,FALSE),"Not Sampled")</f>
        <v>Not Sampled</v>
      </c>
      <c r="K1916" s="1">
        <v>1914</v>
      </c>
      <c r="L1916" s="1" t="str">
        <f>LOOKUP(A1916,Sheet2!$D$4:$E$9)</f>
        <v>3-4</v>
      </c>
      <c r="M1916" t="str">
        <f>LOOKUP(B1916,Sheet2!$G$4:$H$9)</f>
        <v>126-150</v>
      </c>
      <c r="N1916" t="str">
        <f>LOOKUP(C1916,Sheet2!$J$4:$K$8)</f>
        <v>70-79</v>
      </c>
      <c r="O1916" t="str">
        <f>LOOKUP(D1916,Sheet2!$M$4:$N$8)</f>
        <v>Unknown</v>
      </c>
      <c r="P1916" t="str">
        <f>LOOKUP(E1916,Sheet2!$P$4:$Q$9)</f>
        <v>Unknown</v>
      </c>
      <c r="Q1916" t="str">
        <f>LOOKUP(F1916,Sheet2!$S$4:$T$8)</f>
        <v>1-25</v>
      </c>
      <c r="R1916" t="str">
        <f>LOOKUP(G1916,Sheet2!$V$4:$W$7)</f>
        <v>0.25 - 0.39</v>
      </c>
      <c r="S1916" t="str">
        <f>LOOKUP(H1916,Sheet2!$Z$4:$AA$7)</f>
        <v>46+</v>
      </c>
      <c r="T1916" t="str">
        <f t="shared" si="87"/>
        <v>Positive</v>
      </c>
      <c r="U1916" t="str">
        <f t="shared" si="88"/>
        <v>Not Sampled</v>
      </c>
      <c r="V1916" s="1" t="str">
        <f t="shared" si="89"/>
        <v>Not Sampled</v>
      </c>
    </row>
    <row r="1917" spans="1:22" x14ac:dyDescent="0.25">
      <c r="A1917" s="1">
        <v>2</v>
      </c>
      <c r="B1917" s="1">
        <v>142</v>
      </c>
      <c r="C1917" s="1">
        <v>82</v>
      </c>
      <c r="D1917" s="1">
        <v>18</v>
      </c>
      <c r="E1917" s="1">
        <v>64</v>
      </c>
      <c r="F1917" s="1">
        <v>24.7</v>
      </c>
      <c r="G1917" s="1">
        <v>0.76100000000000001</v>
      </c>
      <c r="H1917" s="1">
        <v>21</v>
      </c>
      <c r="I1917" s="1">
        <v>0</v>
      </c>
      <c r="J1917" s="1">
        <f>IFERROR(VLOOKUP(K1917,[1]diabetes_Recognition!$A:$B,2,FALSE),"Not Sampled")</f>
        <v>0</v>
      </c>
      <c r="K1917" s="1">
        <v>1915</v>
      </c>
      <c r="L1917" s="1">
        <f>LOOKUP(A1917,Sheet2!$D$4:$E$9)</f>
        <v>2</v>
      </c>
      <c r="M1917" t="str">
        <f>LOOKUP(B1917,Sheet2!$G$4:$H$9)</f>
        <v>126-150</v>
      </c>
      <c r="N1917" t="str">
        <f>LOOKUP(C1917,Sheet2!$J$4:$K$8)</f>
        <v>80+</v>
      </c>
      <c r="O1917" t="str">
        <f>LOOKUP(D1917,Sheet2!$M$4:$N$8)</f>
        <v>10-30</v>
      </c>
      <c r="P1917" t="str">
        <f>LOOKUP(E1917,Sheet2!$P$4:$Q$9)</f>
        <v>1-99</v>
      </c>
      <c r="Q1917" t="str">
        <f>LOOKUP(F1917,Sheet2!$S$4:$T$8)</f>
        <v>1-25</v>
      </c>
      <c r="R1917" t="str">
        <f>LOOKUP(G1917,Sheet2!$V$4:$W$7)</f>
        <v>0.7+</v>
      </c>
      <c r="S1917" t="str">
        <f>LOOKUP(H1917,Sheet2!$Z$4:$AA$7)</f>
        <v>&lt;=25</v>
      </c>
      <c r="T1917" t="str">
        <f t="shared" si="87"/>
        <v>Negative</v>
      </c>
      <c r="U1917" t="str">
        <f t="shared" si="88"/>
        <v>Negative</v>
      </c>
      <c r="V1917" s="1" t="str">
        <f t="shared" si="89"/>
        <v>Accurate Prediction</v>
      </c>
    </row>
    <row r="1918" spans="1:22" x14ac:dyDescent="0.25">
      <c r="A1918" s="1">
        <v>6</v>
      </c>
      <c r="B1918" s="1">
        <v>144</v>
      </c>
      <c r="C1918" s="1">
        <v>72</v>
      </c>
      <c r="D1918" s="1">
        <v>27</v>
      </c>
      <c r="E1918" s="1">
        <v>228</v>
      </c>
      <c r="F1918" s="1">
        <v>33.9</v>
      </c>
      <c r="G1918" s="1">
        <v>0.255</v>
      </c>
      <c r="H1918" s="1">
        <v>40</v>
      </c>
      <c r="I1918" s="1">
        <v>0</v>
      </c>
      <c r="J1918" s="1" t="str">
        <f>IFERROR(VLOOKUP(K1918,[1]diabetes_Recognition!$A:$B,2,FALSE),"Not Sampled")</f>
        <v>Not Sampled</v>
      </c>
      <c r="K1918" s="1">
        <v>1916</v>
      </c>
      <c r="L1918" s="1" t="str">
        <f>LOOKUP(A1918,Sheet2!$D$4:$E$9)</f>
        <v>5-7</v>
      </c>
      <c r="M1918" t="str">
        <f>LOOKUP(B1918,Sheet2!$G$4:$H$9)</f>
        <v>126-150</v>
      </c>
      <c r="N1918" t="str">
        <f>LOOKUP(C1918,Sheet2!$J$4:$K$8)</f>
        <v>70-79</v>
      </c>
      <c r="O1918" t="str">
        <f>LOOKUP(D1918,Sheet2!$M$4:$N$8)</f>
        <v>10-30</v>
      </c>
      <c r="P1918" t="str">
        <f>LOOKUP(E1918,Sheet2!$P$4:$Q$9)</f>
        <v>200-399</v>
      </c>
      <c r="Q1918" t="str">
        <f>LOOKUP(F1918,Sheet2!$S$4:$T$8)</f>
        <v>31-35</v>
      </c>
      <c r="R1918" t="str">
        <f>LOOKUP(G1918,Sheet2!$V$4:$W$7)</f>
        <v>0.25 - 0.39</v>
      </c>
      <c r="S1918" t="str">
        <f>LOOKUP(H1918,Sheet2!$Z$4:$AA$7)</f>
        <v>36-45</v>
      </c>
      <c r="T1918" t="str">
        <f t="shared" si="87"/>
        <v>Negative</v>
      </c>
      <c r="U1918" t="str">
        <f t="shared" si="88"/>
        <v>Not Sampled</v>
      </c>
      <c r="V1918" s="1" t="str">
        <f t="shared" si="89"/>
        <v>Not Sampled</v>
      </c>
    </row>
    <row r="1919" spans="1:22" x14ac:dyDescent="0.25">
      <c r="A1919" s="1">
        <v>2</v>
      </c>
      <c r="B1919" s="1">
        <v>92</v>
      </c>
      <c r="C1919" s="1">
        <v>62</v>
      </c>
      <c r="D1919" s="1">
        <v>28</v>
      </c>
      <c r="E1919" s="1">
        <v>0</v>
      </c>
      <c r="F1919" s="1">
        <v>31.6</v>
      </c>
      <c r="G1919" s="1">
        <v>0.13</v>
      </c>
      <c r="H1919" s="1">
        <v>24</v>
      </c>
      <c r="I1919" s="1">
        <v>0</v>
      </c>
      <c r="J1919" s="1">
        <f>IFERROR(VLOOKUP(K1919,[1]diabetes_Recognition!$A:$B,2,FALSE),"Not Sampled")</f>
        <v>0</v>
      </c>
      <c r="K1919" s="1">
        <v>1917</v>
      </c>
      <c r="L1919" s="1">
        <f>LOOKUP(A1919,Sheet2!$D$4:$E$9)</f>
        <v>2</v>
      </c>
      <c r="M1919" t="str">
        <f>LOOKUP(B1919,Sheet2!$G$4:$H$9)</f>
        <v>1-99</v>
      </c>
      <c r="N1919" t="str">
        <f>LOOKUP(C1919,Sheet2!$J$4:$K$8)</f>
        <v>60-69</v>
      </c>
      <c r="O1919" t="str">
        <f>LOOKUP(D1919,Sheet2!$M$4:$N$8)</f>
        <v>10-30</v>
      </c>
      <c r="P1919" t="str">
        <f>LOOKUP(E1919,Sheet2!$P$4:$Q$9)</f>
        <v>Unknown</v>
      </c>
      <c r="Q1919" t="str">
        <f>LOOKUP(F1919,Sheet2!$S$4:$T$8)</f>
        <v>31-35</v>
      </c>
      <c r="R1919" t="str">
        <f>LOOKUP(G1919,Sheet2!$V$4:$W$7)</f>
        <v>0.0 - 0.249</v>
      </c>
      <c r="S1919" t="str">
        <f>LOOKUP(H1919,Sheet2!$Z$4:$AA$7)</f>
        <v>&lt;=25</v>
      </c>
      <c r="T1919" t="str">
        <f t="shared" si="87"/>
        <v>Negative</v>
      </c>
      <c r="U1919" t="str">
        <f t="shared" si="88"/>
        <v>Negative</v>
      </c>
      <c r="V1919" s="1" t="str">
        <f t="shared" si="89"/>
        <v>Accurate Prediction</v>
      </c>
    </row>
    <row r="1920" spans="1:22" x14ac:dyDescent="0.25">
      <c r="A1920" s="1">
        <v>1</v>
      </c>
      <c r="B1920" s="1">
        <v>71</v>
      </c>
      <c r="C1920" s="1">
        <v>48</v>
      </c>
      <c r="D1920" s="1">
        <v>18</v>
      </c>
      <c r="E1920" s="1">
        <v>76</v>
      </c>
      <c r="F1920" s="1">
        <v>20.399999999999999</v>
      </c>
      <c r="G1920" s="1">
        <v>0.32300000000000001</v>
      </c>
      <c r="H1920" s="1">
        <v>22</v>
      </c>
      <c r="I1920" s="1">
        <v>0</v>
      </c>
      <c r="J1920" s="1" t="str">
        <f>IFERROR(VLOOKUP(K1920,[1]diabetes_Recognition!$A:$B,2,FALSE),"Not Sampled")</f>
        <v>Not Sampled</v>
      </c>
      <c r="K1920" s="1">
        <v>1918</v>
      </c>
      <c r="L1920" s="1">
        <f>LOOKUP(A1920,Sheet2!$D$4:$E$9)</f>
        <v>1</v>
      </c>
      <c r="M1920" t="str">
        <f>LOOKUP(B1920,Sheet2!$G$4:$H$9)</f>
        <v>1-99</v>
      </c>
      <c r="N1920" t="str">
        <f>LOOKUP(C1920,Sheet2!$J$4:$K$8)</f>
        <v>1-59</v>
      </c>
      <c r="O1920" t="str">
        <f>LOOKUP(D1920,Sheet2!$M$4:$N$8)</f>
        <v>10-30</v>
      </c>
      <c r="P1920" t="str">
        <f>LOOKUP(E1920,Sheet2!$P$4:$Q$9)</f>
        <v>1-99</v>
      </c>
      <c r="Q1920" t="str">
        <f>LOOKUP(F1920,Sheet2!$S$4:$T$8)</f>
        <v>1-25</v>
      </c>
      <c r="R1920" t="str">
        <f>LOOKUP(G1920,Sheet2!$V$4:$W$7)</f>
        <v>0.25 - 0.39</v>
      </c>
      <c r="S1920" t="str">
        <f>LOOKUP(H1920,Sheet2!$Z$4:$AA$7)</f>
        <v>&lt;=25</v>
      </c>
      <c r="T1920" t="str">
        <f t="shared" si="87"/>
        <v>Negative</v>
      </c>
      <c r="U1920" t="str">
        <f t="shared" si="88"/>
        <v>Not Sampled</v>
      </c>
      <c r="V1920" s="1" t="str">
        <f t="shared" si="89"/>
        <v>Not Sampled</v>
      </c>
    </row>
    <row r="1921" spans="1:22" x14ac:dyDescent="0.25">
      <c r="A1921" s="1">
        <v>6</v>
      </c>
      <c r="B1921" s="1">
        <v>93</v>
      </c>
      <c r="C1921" s="1">
        <v>50</v>
      </c>
      <c r="D1921" s="1">
        <v>30</v>
      </c>
      <c r="E1921" s="1">
        <v>64</v>
      </c>
      <c r="F1921" s="1">
        <v>28.7</v>
      </c>
      <c r="G1921" s="1">
        <v>0.35599999999999998</v>
      </c>
      <c r="H1921" s="1">
        <v>23</v>
      </c>
      <c r="I1921" s="1">
        <v>0</v>
      </c>
      <c r="J1921" s="1">
        <f>IFERROR(VLOOKUP(K1921,[1]diabetes_Recognition!$A:$B,2,FALSE),"Not Sampled")</f>
        <v>0</v>
      </c>
      <c r="K1921" s="1">
        <v>1919</v>
      </c>
      <c r="L1921" s="1" t="str">
        <f>LOOKUP(A1921,Sheet2!$D$4:$E$9)</f>
        <v>5-7</v>
      </c>
      <c r="M1921" t="str">
        <f>LOOKUP(B1921,Sheet2!$G$4:$H$9)</f>
        <v>1-99</v>
      </c>
      <c r="N1921" t="str">
        <f>LOOKUP(C1921,Sheet2!$J$4:$K$8)</f>
        <v>1-59</v>
      </c>
      <c r="O1921" t="str">
        <f>LOOKUP(D1921,Sheet2!$M$4:$N$8)</f>
        <v>30-39</v>
      </c>
      <c r="P1921" t="str">
        <f>LOOKUP(E1921,Sheet2!$P$4:$Q$9)</f>
        <v>1-99</v>
      </c>
      <c r="Q1921" t="str">
        <f>LOOKUP(F1921,Sheet2!$S$4:$T$8)</f>
        <v>26-30</v>
      </c>
      <c r="R1921" t="str">
        <f>LOOKUP(G1921,Sheet2!$V$4:$W$7)</f>
        <v>0.25 - 0.39</v>
      </c>
      <c r="S1921" t="str">
        <f>LOOKUP(H1921,Sheet2!$Z$4:$AA$7)</f>
        <v>&lt;=25</v>
      </c>
      <c r="T1921" t="str">
        <f t="shared" si="87"/>
        <v>Negative</v>
      </c>
      <c r="U1921" t="str">
        <f t="shared" si="88"/>
        <v>Negative</v>
      </c>
      <c r="V1921" s="1" t="str">
        <f t="shared" si="89"/>
        <v>Accurate Prediction</v>
      </c>
    </row>
    <row r="1922" spans="1:22" x14ac:dyDescent="0.25">
      <c r="A1922" s="1">
        <v>1</v>
      </c>
      <c r="B1922" s="1">
        <v>122</v>
      </c>
      <c r="C1922" s="1">
        <v>90</v>
      </c>
      <c r="D1922" s="1">
        <v>51</v>
      </c>
      <c r="E1922" s="1">
        <v>220</v>
      </c>
      <c r="F1922" s="1">
        <v>49.7</v>
      </c>
      <c r="G1922" s="1">
        <v>0.32500000000000001</v>
      </c>
      <c r="H1922" s="1">
        <v>31</v>
      </c>
      <c r="I1922" s="1">
        <v>1</v>
      </c>
      <c r="J1922" s="1" t="str">
        <f>IFERROR(VLOOKUP(K1922,[1]diabetes_Recognition!$A:$B,2,FALSE),"Not Sampled")</f>
        <v>Not Sampled</v>
      </c>
      <c r="K1922" s="1">
        <v>1920</v>
      </c>
      <c r="L1922" s="1">
        <f>LOOKUP(A1922,Sheet2!$D$4:$E$9)</f>
        <v>1</v>
      </c>
      <c r="M1922" t="str">
        <f>LOOKUP(B1922,Sheet2!$G$4:$H$9)</f>
        <v>100-125</v>
      </c>
      <c r="N1922" t="str">
        <f>LOOKUP(C1922,Sheet2!$J$4:$K$8)</f>
        <v>80+</v>
      </c>
      <c r="O1922" t="str">
        <f>LOOKUP(D1922,Sheet2!$M$4:$N$8)</f>
        <v>40+</v>
      </c>
      <c r="P1922" t="str">
        <f>LOOKUP(E1922,Sheet2!$P$4:$Q$9)</f>
        <v>200-399</v>
      </c>
      <c r="Q1922" t="str">
        <f>LOOKUP(F1922,Sheet2!$S$4:$T$8)</f>
        <v>36+</v>
      </c>
      <c r="R1922" t="str">
        <f>LOOKUP(G1922,Sheet2!$V$4:$W$7)</f>
        <v>0.25 - 0.39</v>
      </c>
      <c r="S1922" t="str">
        <f>LOOKUP(H1922,Sheet2!$Z$4:$AA$7)</f>
        <v>26-35</v>
      </c>
      <c r="T1922" t="str">
        <f t="shared" si="87"/>
        <v>Positive</v>
      </c>
      <c r="U1922" t="str">
        <f t="shared" si="88"/>
        <v>Not Sampled</v>
      </c>
      <c r="V1922" s="1" t="str">
        <f t="shared" si="89"/>
        <v>Not Sampled</v>
      </c>
    </row>
    <row r="1923" spans="1:22" x14ac:dyDescent="0.25">
      <c r="A1923" s="1">
        <v>1</v>
      </c>
      <c r="B1923" s="1">
        <v>163</v>
      </c>
      <c r="C1923" s="1">
        <v>72</v>
      </c>
      <c r="D1923" s="1">
        <v>0</v>
      </c>
      <c r="E1923" s="1">
        <v>0</v>
      </c>
      <c r="F1923" s="1">
        <v>39</v>
      </c>
      <c r="G1923" s="1">
        <v>1.222</v>
      </c>
      <c r="H1923" s="1">
        <v>33</v>
      </c>
      <c r="I1923" s="1">
        <v>1</v>
      </c>
      <c r="J1923" s="1" t="str">
        <f>IFERROR(VLOOKUP(K1923,[1]diabetes_Recognition!$A:$B,2,FALSE),"Not Sampled")</f>
        <v>Not Sampled</v>
      </c>
      <c r="K1923" s="1">
        <v>1921</v>
      </c>
      <c r="L1923" s="1">
        <f>LOOKUP(A1923,Sheet2!$D$4:$E$9)</f>
        <v>1</v>
      </c>
      <c r="M1923" t="str">
        <f>LOOKUP(B1923,Sheet2!$G$4:$H$9)</f>
        <v>151-175</v>
      </c>
      <c r="N1923" t="str">
        <f>LOOKUP(C1923,Sheet2!$J$4:$K$8)</f>
        <v>70-79</v>
      </c>
      <c r="O1923" t="str">
        <f>LOOKUP(D1923,Sheet2!$M$4:$N$8)</f>
        <v>Unknown</v>
      </c>
      <c r="P1923" t="str">
        <f>LOOKUP(E1923,Sheet2!$P$4:$Q$9)</f>
        <v>Unknown</v>
      </c>
      <c r="Q1923" t="str">
        <f>LOOKUP(F1923,Sheet2!$S$4:$T$8)</f>
        <v>36+</v>
      </c>
      <c r="R1923" t="str">
        <f>LOOKUP(G1923,Sheet2!$V$4:$W$7)</f>
        <v>0.7+</v>
      </c>
      <c r="S1923" t="str">
        <f>LOOKUP(H1923,Sheet2!$Z$4:$AA$7)</f>
        <v>26-35</v>
      </c>
      <c r="T1923" t="str">
        <f t="shared" ref="T1923:T1986" si="90">IF(I1923=1,"Positive","Negative")</f>
        <v>Positive</v>
      </c>
      <c r="U1923" t="str">
        <f t="shared" ref="U1923:U1986" si="91">IF(J1923=1,"Positive",(IF(J1923=0,"Negative","Not Sampled")))</f>
        <v>Not Sampled</v>
      </c>
      <c r="V1923" s="1" t="str">
        <f t="shared" ref="V1923:V1986" si="92">IF(U1923="Not Sampled","Not Sampled",IF(T1923=U1923,"Accurate Prediction","Inaccurate Prediction"))</f>
        <v>Not Sampled</v>
      </c>
    </row>
    <row r="1924" spans="1:22" x14ac:dyDescent="0.25">
      <c r="A1924" s="1">
        <v>1</v>
      </c>
      <c r="B1924" s="1">
        <v>151</v>
      </c>
      <c r="C1924" s="1">
        <v>60</v>
      </c>
      <c r="D1924" s="1">
        <v>0</v>
      </c>
      <c r="E1924" s="1">
        <v>0</v>
      </c>
      <c r="F1924" s="1">
        <v>26.1</v>
      </c>
      <c r="G1924" s="1">
        <v>0.17899999999999999</v>
      </c>
      <c r="H1924" s="1">
        <v>22</v>
      </c>
      <c r="I1924" s="1">
        <v>0</v>
      </c>
      <c r="J1924" s="1" t="str">
        <f>IFERROR(VLOOKUP(K1924,[1]diabetes_Recognition!$A:$B,2,FALSE),"Not Sampled")</f>
        <v>Not Sampled</v>
      </c>
      <c r="K1924" s="1">
        <v>1922</v>
      </c>
      <c r="L1924" s="1">
        <f>LOOKUP(A1924,Sheet2!$D$4:$E$9)</f>
        <v>1</v>
      </c>
      <c r="M1924" t="str">
        <f>LOOKUP(B1924,Sheet2!$G$4:$H$9)</f>
        <v>151-175</v>
      </c>
      <c r="N1924" t="str">
        <f>LOOKUP(C1924,Sheet2!$J$4:$K$8)</f>
        <v>60-69</v>
      </c>
      <c r="O1924" t="str">
        <f>LOOKUP(D1924,Sheet2!$M$4:$N$8)</f>
        <v>Unknown</v>
      </c>
      <c r="P1924" t="str">
        <f>LOOKUP(E1924,Sheet2!$P$4:$Q$9)</f>
        <v>Unknown</v>
      </c>
      <c r="Q1924" t="str">
        <f>LOOKUP(F1924,Sheet2!$S$4:$T$8)</f>
        <v>26-30</v>
      </c>
      <c r="R1924" t="str">
        <f>LOOKUP(G1924,Sheet2!$V$4:$W$7)</f>
        <v>0.0 - 0.249</v>
      </c>
      <c r="S1924" t="str">
        <f>LOOKUP(H1924,Sheet2!$Z$4:$AA$7)</f>
        <v>&lt;=25</v>
      </c>
      <c r="T1924" t="str">
        <f t="shared" si="90"/>
        <v>Negative</v>
      </c>
      <c r="U1924" t="str">
        <f t="shared" si="91"/>
        <v>Not Sampled</v>
      </c>
      <c r="V1924" s="1" t="str">
        <f t="shared" si="92"/>
        <v>Not Sampled</v>
      </c>
    </row>
    <row r="1925" spans="1:22" x14ac:dyDescent="0.25">
      <c r="A1925" s="1">
        <v>0</v>
      </c>
      <c r="B1925" s="1">
        <v>125</v>
      </c>
      <c r="C1925" s="1">
        <v>96</v>
      </c>
      <c r="D1925" s="1">
        <v>0</v>
      </c>
      <c r="E1925" s="1">
        <v>0</v>
      </c>
      <c r="F1925" s="1">
        <v>22.5</v>
      </c>
      <c r="G1925" s="1">
        <v>0.26200000000000001</v>
      </c>
      <c r="H1925" s="1">
        <v>21</v>
      </c>
      <c r="I1925" s="1">
        <v>0</v>
      </c>
      <c r="J1925" s="1" t="str">
        <f>IFERROR(VLOOKUP(K1925,[1]diabetes_Recognition!$A:$B,2,FALSE),"Not Sampled")</f>
        <v>Not Sampled</v>
      </c>
      <c r="K1925" s="1">
        <v>1923</v>
      </c>
      <c r="L1925" s="1">
        <f>LOOKUP(A1925,Sheet2!$D$4:$E$9)</f>
        <v>0</v>
      </c>
      <c r="M1925" t="str">
        <f>LOOKUP(B1925,Sheet2!$G$4:$H$9)</f>
        <v>100-125</v>
      </c>
      <c r="N1925" t="str">
        <f>LOOKUP(C1925,Sheet2!$J$4:$K$8)</f>
        <v>80+</v>
      </c>
      <c r="O1925" t="str">
        <f>LOOKUP(D1925,Sheet2!$M$4:$N$8)</f>
        <v>Unknown</v>
      </c>
      <c r="P1925" t="str">
        <f>LOOKUP(E1925,Sheet2!$P$4:$Q$9)</f>
        <v>Unknown</v>
      </c>
      <c r="Q1925" t="str">
        <f>LOOKUP(F1925,Sheet2!$S$4:$T$8)</f>
        <v>1-25</v>
      </c>
      <c r="R1925" t="str">
        <f>LOOKUP(G1925,Sheet2!$V$4:$W$7)</f>
        <v>0.25 - 0.39</v>
      </c>
      <c r="S1925" t="str">
        <f>LOOKUP(H1925,Sheet2!$Z$4:$AA$7)</f>
        <v>&lt;=25</v>
      </c>
      <c r="T1925" t="str">
        <f t="shared" si="90"/>
        <v>Negative</v>
      </c>
      <c r="U1925" t="str">
        <f t="shared" si="91"/>
        <v>Not Sampled</v>
      </c>
      <c r="V1925" s="1" t="str">
        <f t="shared" si="92"/>
        <v>Not Sampled</v>
      </c>
    </row>
    <row r="1926" spans="1:22" x14ac:dyDescent="0.25">
      <c r="A1926" s="1">
        <v>1</v>
      </c>
      <c r="B1926" s="1">
        <v>81</v>
      </c>
      <c r="C1926" s="1">
        <v>72</v>
      </c>
      <c r="D1926" s="1">
        <v>18</v>
      </c>
      <c r="E1926" s="1">
        <v>40</v>
      </c>
      <c r="F1926" s="1">
        <v>26.6</v>
      </c>
      <c r="G1926" s="1">
        <v>0.28299999999999997</v>
      </c>
      <c r="H1926" s="1">
        <v>24</v>
      </c>
      <c r="I1926" s="1">
        <v>0</v>
      </c>
      <c r="J1926" s="1" t="str">
        <f>IFERROR(VLOOKUP(K1926,[1]diabetes_Recognition!$A:$B,2,FALSE),"Not Sampled")</f>
        <v>Not Sampled</v>
      </c>
      <c r="K1926" s="1">
        <v>1924</v>
      </c>
      <c r="L1926" s="1">
        <f>LOOKUP(A1926,Sheet2!$D$4:$E$9)</f>
        <v>1</v>
      </c>
      <c r="M1926" t="str">
        <f>LOOKUP(B1926,Sheet2!$G$4:$H$9)</f>
        <v>1-99</v>
      </c>
      <c r="N1926" t="str">
        <f>LOOKUP(C1926,Sheet2!$J$4:$K$8)</f>
        <v>70-79</v>
      </c>
      <c r="O1926" t="str">
        <f>LOOKUP(D1926,Sheet2!$M$4:$N$8)</f>
        <v>10-30</v>
      </c>
      <c r="P1926" t="str">
        <f>LOOKUP(E1926,Sheet2!$P$4:$Q$9)</f>
        <v>1-99</v>
      </c>
      <c r="Q1926" t="str">
        <f>LOOKUP(F1926,Sheet2!$S$4:$T$8)</f>
        <v>26-30</v>
      </c>
      <c r="R1926" t="str">
        <f>LOOKUP(G1926,Sheet2!$V$4:$W$7)</f>
        <v>0.25 - 0.39</v>
      </c>
      <c r="S1926" t="str">
        <f>LOOKUP(H1926,Sheet2!$Z$4:$AA$7)</f>
        <v>&lt;=25</v>
      </c>
      <c r="T1926" t="str">
        <f t="shared" si="90"/>
        <v>Negative</v>
      </c>
      <c r="U1926" t="str">
        <f t="shared" si="91"/>
        <v>Not Sampled</v>
      </c>
      <c r="V1926" s="1" t="str">
        <f t="shared" si="92"/>
        <v>Not Sampled</v>
      </c>
    </row>
    <row r="1927" spans="1:22" x14ac:dyDescent="0.25">
      <c r="A1927" s="1">
        <v>2</v>
      </c>
      <c r="B1927" s="1">
        <v>85</v>
      </c>
      <c r="C1927" s="1">
        <v>65</v>
      </c>
      <c r="D1927" s="1">
        <v>0</v>
      </c>
      <c r="E1927" s="1">
        <v>0</v>
      </c>
      <c r="F1927" s="1">
        <v>39.6</v>
      </c>
      <c r="G1927" s="1">
        <v>0.93</v>
      </c>
      <c r="H1927" s="1">
        <v>27</v>
      </c>
      <c r="I1927" s="1">
        <v>0</v>
      </c>
      <c r="J1927" s="1" t="str">
        <f>IFERROR(VLOOKUP(K1927,[1]diabetes_Recognition!$A:$B,2,FALSE),"Not Sampled")</f>
        <v>Not Sampled</v>
      </c>
      <c r="K1927" s="1">
        <v>1925</v>
      </c>
      <c r="L1927" s="1">
        <f>LOOKUP(A1927,Sheet2!$D$4:$E$9)</f>
        <v>2</v>
      </c>
      <c r="M1927" t="str">
        <f>LOOKUP(B1927,Sheet2!$G$4:$H$9)</f>
        <v>1-99</v>
      </c>
      <c r="N1927" t="str">
        <f>LOOKUP(C1927,Sheet2!$J$4:$K$8)</f>
        <v>60-69</v>
      </c>
      <c r="O1927" t="str">
        <f>LOOKUP(D1927,Sheet2!$M$4:$N$8)</f>
        <v>Unknown</v>
      </c>
      <c r="P1927" t="str">
        <f>LOOKUP(E1927,Sheet2!$P$4:$Q$9)</f>
        <v>Unknown</v>
      </c>
      <c r="Q1927" t="str">
        <f>LOOKUP(F1927,Sheet2!$S$4:$T$8)</f>
        <v>36+</v>
      </c>
      <c r="R1927" t="str">
        <f>LOOKUP(G1927,Sheet2!$V$4:$W$7)</f>
        <v>0.7+</v>
      </c>
      <c r="S1927" t="str">
        <f>LOOKUP(H1927,Sheet2!$Z$4:$AA$7)</f>
        <v>26-35</v>
      </c>
      <c r="T1927" t="str">
        <f t="shared" si="90"/>
        <v>Negative</v>
      </c>
      <c r="U1927" t="str">
        <f t="shared" si="91"/>
        <v>Not Sampled</v>
      </c>
      <c r="V1927" s="1" t="str">
        <f t="shared" si="92"/>
        <v>Not Sampled</v>
      </c>
    </row>
    <row r="1928" spans="1:22" x14ac:dyDescent="0.25">
      <c r="A1928" s="1">
        <v>1</v>
      </c>
      <c r="B1928" s="1">
        <v>126</v>
      </c>
      <c r="C1928" s="1">
        <v>56</v>
      </c>
      <c r="D1928" s="1">
        <v>29</v>
      </c>
      <c r="E1928" s="1">
        <v>152</v>
      </c>
      <c r="F1928" s="1">
        <v>28.7</v>
      </c>
      <c r="G1928" s="1">
        <v>0.80100000000000005</v>
      </c>
      <c r="H1928" s="1">
        <v>21</v>
      </c>
      <c r="I1928" s="1">
        <v>0</v>
      </c>
      <c r="J1928" s="1">
        <f>IFERROR(VLOOKUP(K1928,[1]diabetes_Recognition!$A:$B,2,FALSE),"Not Sampled")</f>
        <v>0</v>
      </c>
      <c r="K1928" s="1">
        <v>1926</v>
      </c>
      <c r="L1928" s="1">
        <f>LOOKUP(A1928,Sheet2!$D$4:$E$9)</f>
        <v>1</v>
      </c>
      <c r="M1928" t="str">
        <f>LOOKUP(B1928,Sheet2!$G$4:$H$9)</f>
        <v>126-150</v>
      </c>
      <c r="N1928" t="str">
        <f>LOOKUP(C1928,Sheet2!$J$4:$K$8)</f>
        <v>1-59</v>
      </c>
      <c r="O1928" t="str">
        <f>LOOKUP(D1928,Sheet2!$M$4:$N$8)</f>
        <v>10-30</v>
      </c>
      <c r="P1928" t="str">
        <f>LOOKUP(E1928,Sheet2!$P$4:$Q$9)</f>
        <v>100-199</v>
      </c>
      <c r="Q1928" t="str">
        <f>LOOKUP(F1928,Sheet2!$S$4:$T$8)</f>
        <v>26-30</v>
      </c>
      <c r="R1928" t="str">
        <f>LOOKUP(G1928,Sheet2!$V$4:$W$7)</f>
        <v>0.7+</v>
      </c>
      <c r="S1928" t="str">
        <f>LOOKUP(H1928,Sheet2!$Z$4:$AA$7)</f>
        <v>&lt;=25</v>
      </c>
      <c r="T1928" t="str">
        <f t="shared" si="90"/>
        <v>Negative</v>
      </c>
      <c r="U1928" t="str">
        <f t="shared" si="91"/>
        <v>Negative</v>
      </c>
      <c r="V1928" s="1" t="str">
        <f t="shared" si="92"/>
        <v>Accurate Prediction</v>
      </c>
    </row>
    <row r="1929" spans="1:22" x14ac:dyDescent="0.25">
      <c r="A1929" s="1">
        <v>1</v>
      </c>
      <c r="B1929" s="1">
        <v>96</v>
      </c>
      <c r="C1929" s="1">
        <v>122</v>
      </c>
      <c r="D1929" s="1">
        <v>0</v>
      </c>
      <c r="E1929" s="1">
        <v>0</v>
      </c>
      <c r="F1929" s="1">
        <v>22.4</v>
      </c>
      <c r="G1929" s="1">
        <v>0.20699999999999999</v>
      </c>
      <c r="H1929" s="1">
        <v>27</v>
      </c>
      <c r="I1929" s="1">
        <v>0</v>
      </c>
      <c r="J1929" s="1" t="str">
        <f>IFERROR(VLOOKUP(K1929,[1]diabetes_Recognition!$A:$B,2,FALSE),"Not Sampled")</f>
        <v>Not Sampled</v>
      </c>
      <c r="K1929" s="1">
        <v>1927</v>
      </c>
      <c r="L1929" s="1">
        <f>LOOKUP(A1929,Sheet2!$D$4:$E$9)</f>
        <v>1</v>
      </c>
      <c r="M1929" t="str">
        <f>LOOKUP(B1929,Sheet2!$G$4:$H$9)</f>
        <v>1-99</v>
      </c>
      <c r="N1929" t="str">
        <f>LOOKUP(C1929,Sheet2!$J$4:$K$8)</f>
        <v>80+</v>
      </c>
      <c r="O1929" t="str">
        <f>LOOKUP(D1929,Sheet2!$M$4:$N$8)</f>
        <v>Unknown</v>
      </c>
      <c r="P1929" t="str">
        <f>LOOKUP(E1929,Sheet2!$P$4:$Q$9)</f>
        <v>Unknown</v>
      </c>
      <c r="Q1929" t="str">
        <f>LOOKUP(F1929,Sheet2!$S$4:$T$8)</f>
        <v>1-25</v>
      </c>
      <c r="R1929" t="str">
        <f>LOOKUP(G1929,Sheet2!$V$4:$W$7)</f>
        <v>0.0 - 0.249</v>
      </c>
      <c r="S1929" t="str">
        <f>LOOKUP(H1929,Sheet2!$Z$4:$AA$7)</f>
        <v>26-35</v>
      </c>
      <c r="T1929" t="str">
        <f t="shared" si="90"/>
        <v>Negative</v>
      </c>
      <c r="U1929" t="str">
        <f t="shared" si="91"/>
        <v>Not Sampled</v>
      </c>
      <c r="V1929" s="1" t="str">
        <f t="shared" si="92"/>
        <v>Not Sampled</v>
      </c>
    </row>
    <row r="1930" spans="1:22" x14ac:dyDescent="0.25">
      <c r="A1930" s="1">
        <v>4</v>
      </c>
      <c r="B1930" s="1">
        <v>144</v>
      </c>
      <c r="C1930" s="1">
        <v>58</v>
      </c>
      <c r="D1930" s="1">
        <v>28</v>
      </c>
      <c r="E1930" s="1">
        <v>140</v>
      </c>
      <c r="F1930" s="1">
        <v>29.5</v>
      </c>
      <c r="G1930" s="1">
        <v>0.28699999999999998</v>
      </c>
      <c r="H1930" s="1">
        <v>37</v>
      </c>
      <c r="I1930" s="1">
        <v>0</v>
      </c>
      <c r="J1930" s="1" t="str">
        <f>IFERROR(VLOOKUP(K1930,[1]diabetes_Recognition!$A:$B,2,FALSE),"Not Sampled")</f>
        <v>Not Sampled</v>
      </c>
      <c r="K1930" s="1">
        <v>1928</v>
      </c>
      <c r="L1930" s="1" t="str">
        <f>LOOKUP(A1930,Sheet2!$D$4:$E$9)</f>
        <v>3-4</v>
      </c>
      <c r="M1930" t="str">
        <f>LOOKUP(B1930,Sheet2!$G$4:$H$9)</f>
        <v>126-150</v>
      </c>
      <c r="N1930" t="str">
        <f>LOOKUP(C1930,Sheet2!$J$4:$K$8)</f>
        <v>1-59</v>
      </c>
      <c r="O1930" t="str">
        <f>LOOKUP(D1930,Sheet2!$M$4:$N$8)</f>
        <v>10-30</v>
      </c>
      <c r="P1930" t="str">
        <f>LOOKUP(E1930,Sheet2!$P$4:$Q$9)</f>
        <v>100-199</v>
      </c>
      <c r="Q1930" t="str">
        <f>LOOKUP(F1930,Sheet2!$S$4:$T$8)</f>
        <v>26-30</v>
      </c>
      <c r="R1930" t="str">
        <f>LOOKUP(G1930,Sheet2!$V$4:$W$7)</f>
        <v>0.25 - 0.39</v>
      </c>
      <c r="S1930" t="str">
        <f>LOOKUP(H1930,Sheet2!$Z$4:$AA$7)</f>
        <v>36-45</v>
      </c>
      <c r="T1930" t="str">
        <f t="shared" si="90"/>
        <v>Negative</v>
      </c>
      <c r="U1930" t="str">
        <f t="shared" si="91"/>
        <v>Not Sampled</v>
      </c>
      <c r="V1930" s="1" t="str">
        <f t="shared" si="92"/>
        <v>Not Sampled</v>
      </c>
    </row>
    <row r="1931" spans="1:22" x14ac:dyDescent="0.25">
      <c r="A1931" s="1">
        <v>3</v>
      </c>
      <c r="B1931" s="1">
        <v>83</v>
      </c>
      <c r="C1931" s="1">
        <v>58</v>
      </c>
      <c r="D1931" s="1">
        <v>31</v>
      </c>
      <c r="E1931" s="1">
        <v>18</v>
      </c>
      <c r="F1931" s="1">
        <v>34.299999999999997</v>
      </c>
      <c r="G1931" s="1">
        <v>0.33600000000000002</v>
      </c>
      <c r="H1931" s="1">
        <v>25</v>
      </c>
      <c r="I1931" s="1">
        <v>0</v>
      </c>
      <c r="J1931" s="1" t="str">
        <f>IFERROR(VLOOKUP(K1931,[1]diabetes_Recognition!$A:$B,2,FALSE),"Not Sampled")</f>
        <v>Not Sampled</v>
      </c>
      <c r="K1931" s="1">
        <v>1929</v>
      </c>
      <c r="L1931" s="1" t="str">
        <f>LOOKUP(A1931,Sheet2!$D$4:$E$9)</f>
        <v>3-4</v>
      </c>
      <c r="M1931" t="str">
        <f>LOOKUP(B1931,Sheet2!$G$4:$H$9)</f>
        <v>1-99</v>
      </c>
      <c r="N1931" t="str">
        <f>LOOKUP(C1931,Sheet2!$J$4:$K$8)</f>
        <v>1-59</v>
      </c>
      <c r="O1931" t="str">
        <f>LOOKUP(D1931,Sheet2!$M$4:$N$8)</f>
        <v>30-39</v>
      </c>
      <c r="P1931" t="str">
        <f>LOOKUP(E1931,Sheet2!$P$4:$Q$9)</f>
        <v>1-99</v>
      </c>
      <c r="Q1931" t="str">
        <f>LOOKUP(F1931,Sheet2!$S$4:$T$8)</f>
        <v>31-35</v>
      </c>
      <c r="R1931" t="str">
        <f>LOOKUP(G1931,Sheet2!$V$4:$W$7)</f>
        <v>0.25 - 0.39</v>
      </c>
      <c r="S1931" t="str">
        <f>LOOKUP(H1931,Sheet2!$Z$4:$AA$7)</f>
        <v>&lt;=25</v>
      </c>
      <c r="T1931" t="str">
        <f t="shared" si="90"/>
        <v>Negative</v>
      </c>
      <c r="U1931" t="str">
        <f t="shared" si="91"/>
        <v>Not Sampled</v>
      </c>
      <c r="V1931" s="1" t="str">
        <f t="shared" si="92"/>
        <v>Not Sampled</v>
      </c>
    </row>
    <row r="1932" spans="1:22" x14ac:dyDescent="0.25">
      <c r="A1932" s="1">
        <v>0</v>
      </c>
      <c r="B1932" s="1">
        <v>95</v>
      </c>
      <c r="C1932" s="1">
        <v>85</v>
      </c>
      <c r="D1932" s="1">
        <v>25</v>
      </c>
      <c r="E1932" s="1">
        <v>36</v>
      </c>
      <c r="F1932" s="1">
        <v>37.4</v>
      </c>
      <c r="G1932" s="1">
        <v>0.247</v>
      </c>
      <c r="H1932" s="1">
        <v>24</v>
      </c>
      <c r="I1932" s="1">
        <v>1</v>
      </c>
      <c r="J1932" s="1">
        <f>IFERROR(VLOOKUP(K1932,[1]diabetes_Recognition!$A:$B,2,FALSE),"Not Sampled")</f>
        <v>0</v>
      </c>
      <c r="K1932" s="1">
        <v>1930</v>
      </c>
      <c r="L1932" s="1">
        <f>LOOKUP(A1932,Sheet2!$D$4:$E$9)</f>
        <v>0</v>
      </c>
      <c r="M1932" t="str">
        <f>LOOKUP(B1932,Sheet2!$G$4:$H$9)</f>
        <v>1-99</v>
      </c>
      <c r="N1932" t="str">
        <f>LOOKUP(C1932,Sheet2!$J$4:$K$8)</f>
        <v>80+</v>
      </c>
      <c r="O1932" t="str">
        <f>LOOKUP(D1932,Sheet2!$M$4:$N$8)</f>
        <v>10-30</v>
      </c>
      <c r="P1932" t="str">
        <f>LOOKUP(E1932,Sheet2!$P$4:$Q$9)</f>
        <v>1-99</v>
      </c>
      <c r="Q1932" t="str">
        <f>LOOKUP(F1932,Sheet2!$S$4:$T$8)</f>
        <v>36+</v>
      </c>
      <c r="R1932" t="str">
        <f>LOOKUP(G1932,Sheet2!$V$4:$W$7)</f>
        <v>0.0 - 0.249</v>
      </c>
      <c r="S1932" t="str">
        <f>LOOKUP(H1932,Sheet2!$Z$4:$AA$7)</f>
        <v>&lt;=25</v>
      </c>
      <c r="T1932" t="str">
        <f t="shared" si="90"/>
        <v>Positive</v>
      </c>
      <c r="U1932" t="str">
        <f t="shared" si="91"/>
        <v>Negative</v>
      </c>
      <c r="V1932" s="1" t="str">
        <f t="shared" si="92"/>
        <v>Inaccurate Prediction</v>
      </c>
    </row>
    <row r="1933" spans="1:22" x14ac:dyDescent="0.25">
      <c r="A1933" s="1">
        <v>3</v>
      </c>
      <c r="B1933" s="1">
        <v>171</v>
      </c>
      <c r="C1933" s="1">
        <v>72</v>
      </c>
      <c r="D1933" s="1">
        <v>33</v>
      </c>
      <c r="E1933" s="1">
        <v>135</v>
      </c>
      <c r="F1933" s="1">
        <v>33.299999999999997</v>
      </c>
      <c r="G1933" s="1">
        <v>0.19900000000000001</v>
      </c>
      <c r="H1933" s="1">
        <v>24</v>
      </c>
      <c r="I1933" s="1">
        <v>1</v>
      </c>
      <c r="J1933" s="1" t="str">
        <f>IFERROR(VLOOKUP(K1933,[1]diabetes_Recognition!$A:$B,2,FALSE),"Not Sampled")</f>
        <v>Not Sampled</v>
      </c>
      <c r="K1933" s="1">
        <v>1931</v>
      </c>
      <c r="L1933" s="1" t="str">
        <f>LOOKUP(A1933,Sheet2!$D$4:$E$9)</f>
        <v>3-4</v>
      </c>
      <c r="M1933" t="str">
        <f>LOOKUP(B1933,Sheet2!$G$4:$H$9)</f>
        <v>151-175</v>
      </c>
      <c r="N1933" t="str">
        <f>LOOKUP(C1933,Sheet2!$J$4:$K$8)</f>
        <v>70-79</v>
      </c>
      <c r="O1933" t="str">
        <f>LOOKUP(D1933,Sheet2!$M$4:$N$8)</f>
        <v>30-39</v>
      </c>
      <c r="P1933" t="str">
        <f>LOOKUP(E1933,Sheet2!$P$4:$Q$9)</f>
        <v>100-199</v>
      </c>
      <c r="Q1933" t="str">
        <f>LOOKUP(F1933,Sheet2!$S$4:$T$8)</f>
        <v>31-35</v>
      </c>
      <c r="R1933" t="str">
        <f>LOOKUP(G1933,Sheet2!$V$4:$W$7)</f>
        <v>0.0 - 0.249</v>
      </c>
      <c r="S1933" t="str">
        <f>LOOKUP(H1933,Sheet2!$Z$4:$AA$7)</f>
        <v>&lt;=25</v>
      </c>
      <c r="T1933" t="str">
        <f t="shared" si="90"/>
        <v>Positive</v>
      </c>
      <c r="U1933" t="str">
        <f t="shared" si="91"/>
        <v>Not Sampled</v>
      </c>
      <c r="V1933" s="1" t="str">
        <f t="shared" si="92"/>
        <v>Not Sampled</v>
      </c>
    </row>
    <row r="1934" spans="1:22" x14ac:dyDescent="0.25">
      <c r="A1934" s="1">
        <v>8</v>
      </c>
      <c r="B1934" s="1">
        <v>155</v>
      </c>
      <c r="C1934" s="1">
        <v>62</v>
      </c>
      <c r="D1934" s="1">
        <v>26</v>
      </c>
      <c r="E1934" s="1">
        <v>495</v>
      </c>
      <c r="F1934" s="1">
        <v>34</v>
      </c>
      <c r="G1934" s="1">
        <v>0.54300000000000004</v>
      </c>
      <c r="H1934" s="1">
        <v>46</v>
      </c>
      <c r="I1934" s="1">
        <v>1</v>
      </c>
      <c r="J1934" s="1" t="str">
        <f>IFERROR(VLOOKUP(K1934,[1]diabetes_Recognition!$A:$B,2,FALSE),"Not Sampled")</f>
        <v>Not Sampled</v>
      </c>
      <c r="K1934" s="1">
        <v>1932</v>
      </c>
      <c r="L1934" s="1" t="str">
        <f>LOOKUP(A1934,Sheet2!$D$4:$E$9)</f>
        <v>8+</v>
      </c>
      <c r="M1934" t="str">
        <f>LOOKUP(B1934,Sheet2!$G$4:$H$9)</f>
        <v>151-175</v>
      </c>
      <c r="N1934" t="str">
        <f>LOOKUP(C1934,Sheet2!$J$4:$K$8)</f>
        <v>60-69</v>
      </c>
      <c r="O1934" t="str">
        <f>LOOKUP(D1934,Sheet2!$M$4:$N$8)</f>
        <v>10-30</v>
      </c>
      <c r="P1934" t="str">
        <f>LOOKUP(E1934,Sheet2!$P$4:$Q$9)</f>
        <v>300-499</v>
      </c>
      <c r="Q1934" t="str">
        <f>LOOKUP(F1934,Sheet2!$S$4:$T$8)</f>
        <v>31-35</v>
      </c>
      <c r="R1934" t="str">
        <f>LOOKUP(G1934,Sheet2!$V$4:$W$7)</f>
        <v>0.4 - 0.69</v>
      </c>
      <c r="S1934" t="str">
        <f>LOOKUP(H1934,Sheet2!$Z$4:$AA$7)</f>
        <v>46+</v>
      </c>
      <c r="T1934" t="str">
        <f t="shared" si="90"/>
        <v>Positive</v>
      </c>
      <c r="U1934" t="str">
        <f t="shared" si="91"/>
        <v>Not Sampled</v>
      </c>
      <c r="V1934" s="1" t="str">
        <f t="shared" si="92"/>
        <v>Not Sampled</v>
      </c>
    </row>
    <row r="1935" spans="1:22" x14ac:dyDescent="0.25">
      <c r="A1935" s="1">
        <v>1</v>
      </c>
      <c r="B1935" s="1">
        <v>89</v>
      </c>
      <c r="C1935" s="1">
        <v>76</v>
      </c>
      <c r="D1935" s="1">
        <v>34</v>
      </c>
      <c r="E1935" s="1">
        <v>37</v>
      </c>
      <c r="F1935" s="1">
        <v>31.2</v>
      </c>
      <c r="G1935" s="1">
        <v>0.192</v>
      </c>
      <c r="H1935" s="1">
        <v>23</v>
      </c>
      <c r="I1935" s="1">
        <v>0</v>
      </c>
      <c r="J1935" s="1" t="str">
        <f>IFERROR(VLOOKUP(K1935,[1]diabetes_Recognition!$A:$B,2,FALSE),"Not Sampled")</f>
        <v>Not Sampled</v>
      </c>
      <c r="K1935" s="1">
        <v>1933</v>
      </c>
      <c r="L1935" s="1">
        <f>LOOKUP(A1935,Sheet2!$D$4:$E$9)</f>
        <v>1</v>
      </c>
      <c r="M1935" t="str">
        <f>LOOKUP(B1935,Sheet2!$G$4:$H$9)</f>
        <v>1-99</v>
      </c>
      <c r="N1935" t="str">
        <f>LOOKUP(C1935,Sheet2!$J$4:$K$8)</f>
        <v>70-79</v>
      </c>
      <c r="O1935" t="str">
        <f>LOOKUP(D1935,Sheet2!$M$4:$N$8)</f>
        <v>30-39</v>
      </c>
      <c r="P1935" t="str">
        <f>LOOKUP(E1935,Sheet2!$P$4:$Q$9)</f>
        <v>1-99</v>
      </c>
      <c r="Q1935" t="str">
        <f>LOOKUP(F1935,Sheet2!$S$4:$T$8)</f>
        <v>31-35</v>
      </c>
      <c r="R1935" t="str">
        <f>LOOKUP(G1935,Sheet2!$V$4:$W$7)</f>
        <v>0.0 - 0.249</v>
      </c>
      <c r="S1935" t="str">
        <f>LOOKUP(H1935,Sheet2!$Z$4:$AA$7)</f>
        <v>&lt;=25</v>
      </c>
      <c r="T1935" t="str">
        <f t="shared" si="90"/>
        <v>Negative</v>
      </c>
      <c r="U1935" t="str">
        <f t="shared" si="91"/>
        <v>Not Sampled</v>
      </c>
      <c r="V1935" s="1" t="str">
        <f t="shared" si="92"/>
        <v>Not Sampled</v>
      </c>
    </row>
    <row r="1936" spans="1:22" x14ac:dyDescent="0.25">
      <c r="A1936" s="1">
        <v>4</v>
      </c>
      <c r="B1936" s="1">
        <v>76</v>
      </c>
      <c r="C1936" s="1">
        <v>62</v>
      </c>
      <c r="D1936" s="1">
        <v>0</v>
      </c>
      <c r="E1936" s="1">
        <v>0</v>
      </c>
      <c r="F1936" s="1">
        <v>34</v>
      </c>
      <c r="G1936" s="1">
        <v>0.39100000000000001</v>
      </c>
      <c r="H1936" s="1">
        <v>25</v>
      </c>
      <c r="I1936" s="1">
        <v>0</v>
      </c>
      <c r="J1936" s="1" t="str">
        <f>IFERROR(VLOOKUP(K1936,[1]diabetes_Recognition!$A:$B,2,FALSE),"Not Sampled")</f>
        <v>Not Sampled</v>
      </c>
      <c r="K1936" s="1">
        <v>1934</v>
      </c>
      <c r="L1936" s="1" t="str">
        <f>LOOKUP(A1936,Sheet2!$D$4:$E$9)</f>
        <v>3-4</v>
      </c>
      <c r="M1936" t="str">
        <f>LOOKUP(B1936,Sheet2!$G$4:$H$9)</f>
        <v>1-99</v>
      </c>
      <c r="N1936" t="str">
        <f>LOOKUP(C1936,Sheet2!$J$4:$K$8)</f>
        <v>60-69</v>
      </c>
      <c r="O1936" t="str">
        <f>LOOKUP(D1936,Sheet2!$M$4:$N$8)</f>
        <v>Unknown</v>
      </c>
      <c r="P1936" t="str">
        <f>LOOKUP(E1936,Sheet2!$P$4:$Q$9)</f>
        <v>Unknown</v>
      </c>
      <c r="Q1936" t="str">
        <f>LOOKUP(F1936,Sheet2!$S$4:$T$8)</f>
        <v>31-35</v>
      </c>
      <c r="R1936" t="str">
        <f>LOOKUP(G1936,Sheet2!$V$4:$W$7)</f>
        <v>0.25 - 0.39</v>
      </c>
      <c r="S1936" t="str">
        <f>LOOKUP(H1936,Sheet2!$Z$4:$AA$7)</f>
        <v>&lt;=25</v>
      </c>
      <c r="T1936" t="str">
        <f t="shared" si="90"/>
        <v>Negative</v>
      </c>
      <c r="U1936" t="str">
        <f t="shared" si="91"/>
        <v>Not Sampled</v>
      </c>
      <c r="V1936" s="1" t="str">
        <f t="shared" si="92"/>
        <v>Not Sampled</v>
      </c>
    </row>
    <row r="1937" spans="1:22" x14ac:dyDescent="0.25">
      <c r="A1937" s="1">
        <v>7</v>
      </c>
      <c r="B1937" s="1">
        <v>160</v>
      </c>
      <c r="C1937" s="1">
        <v>54</v>
      </c>
      <c r="D1937" s="1">
        <v>32</v>
      </c>
      <c r="E1937" s="1">
        <v>175</v>
      </c>
      <c r="F1937" s="1">
        <v>30.5</v>
      </c>
      <c r="G1937" s="1">
        <v>0.58799999999999997</v>
      </c>
      <c r="H1937" s="1">
        <v>39</v>
      </c>
      <c r="I1937" s="1">
        <v>1</v>
      </c>
      <c r="J1937" s="1" t="str">
        <f>IFERROR(VLOOKUP(K1937,[1]diabetes_Recognition!$A:$B,2,FALSE),"Not Sampled")</f>
        <v>Not Sampled</v>
      </c>
      <c r="K1937" s="1">
        <v>1935</v>
      </c>
      <c r="L1937" s="1" t="str">
        <f>LOOKUP(A1937,Sheet2!$D$4:$E$9)</f>
        <v>5-7</v>
      </c>
      <c r="M1937" t="str">
        <f>LOOKUP(B1937,Sheet2!$G$4:$H$9)</f>
        <v>151-175</v>
      </c>
      <c r="N1937" t="str">
        <f>LOOKUP(C1937,Sheet2!$J$4:$K$8)</f>
        <v>1-59</v>
      </c>
      <c r="O1937" t="str">
        <f>LOOKUP(D1937,Sheet2!$M$4:$N$8)</f>
        <v>30-39</v>
      </c>
      <c r="P1937" t="str">
        <f>LOOKUP(E1937,Sheet2!$P$4:$Q$9)</f>
        <v>100-199</v>
      </c>
      <c r="Q1937" t="str">
        <f>LOOKUP(F1937,Sheet2!$S$4:$T$8)</f>
        <v>26-30</v>
      </c>
      <c r="R1937" t="str">
        <f>LOOKUP(G1937,Sheet2!$V$4:$W$7)</f>
        <v>0.4 - 0.69</v>
      </c>
      <c r="S1937" t="str">
        <f>LOOKUP(H1937,Sheet2!$Z$4:$AA$7)</f>
        <v>36-45</v>
      </c>
      <c r="T1937" t="str">
        <f t="shared" si="90"/>
        <v>Positive</v>
      </c>
      <c r="U1937" t="str">
        <f t="shared" si="91"/>
        <v>Not Sampled</v>
      </c>
      <c r="V1937" s="1" t="str">
        <f t="shared" si="92"/>
        <v>Not Sampled</v>
      </c>
    </row>
    <row r="1938" spans="1:22" x14ac:dyDescent="0.25">
      <c r="A1938" s="1">
        <v>4</v>
      </c>
      <c r="B1938" s="1">
        <v>146</v>
      </c>
      <c r="C1938" s="1">
        <v>92</v>
      </c>
      <c r="D1938" s="1">
        <v>0</v>
      </c>
      <c r="E1938" s="1">
        <v>0</v>
      </c>
      <c r="F1938" s="1">
        <v>31.2</v>
      </c>
      <c r="G1938" s="1">
        <v>0.53900000000000003</v>
      </c>
      <c r="H1938" s="1">
        <v>61</v>
      </c>
      <c r="I1938" s="1">
        <v>1</v>
      </c>
      <c r="J1938" s="1" t="str">
        <f>IFERROR(VLOOKUP(K1938,[1]diabetes_Recognition!$A:$B,2,FALSE),"Not Sampled")</f>
        <v>Not Sampled</v>
      </c>
      <c r="K1938" s="1">
        <v>1936</v>
      </c>
      <c r="L1938" s="1" t="str">
        <f>LOOKUP(A1938,Sheet2!$D$4:$E$9)</f>
        <v>3-4</v>
      </c>
      <c r="M1938" t="str">
        <f>LOOKUP(B1938,Sheet2!$G$4:$H$9)</f>
        <v>126-150</v>
      </c>
      <c r="N1938" t="str">
        <f>LOOKUP(C1938,Sheet2!$J$4:$K$8)</f>
        <v>80+</v>
      </c>
      <c r="O1938" t="str">
        <f>LOOKUP(D1938,Sheet2!$M$4:$N$8)</f>
        <v>Unknown</v>
      </c>
      <c r="P1938" t="str">
        <f>LOOKUP(E1938,Sheet2!$P$4:$Q$9)</f>
        <v>Unknown</v>
      </c>
      <c r="Q1938" t="str">
        <f>LOOKUP(F1938,Sheet2!$S$4:$T$8)</f>
        <v>31-35</v>
      </c>
      <c r="R1938" t="str">
        <f>LOOKUP(G1938,Sheet2!$V$4:$W$7)</f>
        <v>0.4 - 0.69</v>
      </c>
      <c r="S1938" t="str">
        <f>LOOKUP(H1938,Sheet2!$Z$4:$AA$7)</f>
        <v>46+</v>
      </c>
      <c r="T1938" t="str">
        <f t="shared" si="90"/>
        <v>Positive</v>
      </c>
      <c r="U1938" t="str">
        <f t="shared" si="91"/>
        <v>Not Sampled</v>
      </c>
      <c r="V1938" s="1" t="str">
        <f t="shared" si="92"/>
        <v>Not Sampled</v>
      </c>
    </row>
    <row r="1939" spans="1:22" x14ac:dyDescent="0.25">
      <c r="A1939" s="1">
        <v>5</v>
      </c>
      <c r="B1939" s="1">
        <v>124</v>
      </c>
      <c r="C1939" s="1">
        <v>74</v>
      </c>
      <c r="D1939" s="1">
        <v>0</v>
      </c>
      <c r="E1939" s="1">
        <v>0</v>
      </c>
      <c r="F1939" s="1">
        <v>34</v>
      </c>
      <c r="G1939" s="1">
        <v>0.22</v>
      </c>
      <c r="H1939" s="1">
        <v>38</v>
      </c>
      <c r="I1939" s="1">
        <v>1</v>
      </c>
      <c r="J1939" s="1" t="str">
        <f>IFERROR(VLOOKUP(K1939,[1]diabetes_Recognition!$A:$B,2,FALSE),"Not Sampled")</f>
        <v>Not Sampled</v>
      </c>
      <c r="K1939" s="1">
        <v>1937</v>
      </c>
      <c r="L1939" s="1" t="str">
        <f>LOOKUP(A1939,Sheet2!$D$4:$E$9)</f>
        <v>5-7</v>
      </c>
      <c r="M1939" t="str">
        <f>LOOKUP(B1939,Sheet2!$G$4:$H$9)</f>
        <v>100-125</v>
      </c>
      <c r="N1939" t="str">
        <f>LOOKUP(C1939,Sheet2!$J$4:$K$8)</f>
        <v>70-79</v>
      </c>
      <c r="O1939" t="str">
        <f>LOOKUP(D1939,Sheet2!$M$4:$N$8)</f>
        <v>Unknown</v>
      </c>
      <c r="P1939" t="str">
        <f>LOOKUP(E1939,Sheet2!$P$4:$Q$9)</f>
        <v>Unknown</v>
      </c>
      <c r="Q1939" t="str">
        <f>LOOKUP(F1939,Sheet2!$S$4:$T$8)</f>
        <v>31-35</v>
      </c>
      <c r="R1939" t="str">
        <f>LOOKUP(G1939,Sheet2!$V$4:$W$7)</f>
        <v>0.0 - 0.249</v>
      </c>
      <c r="S1939" t="str">
        <f>LOOKUP(H1939,Sheet2!$Z$4:$AA$7)</f>
        <v>36-45</v>
      </c>
      <c r="T1939" t="str">
        <f t="shared" si="90"/>
        <v>Positive</v>
      </c>
      <c r="U1939" t="str">
        <f t="shared" si="91"/>
        <v>Not Sampled</v>
      </c>
      <c r="V1939" s="1" t="str">
        <f t="shared" si="92"/>
        <v>Not Sampled</v>
      </c>
    </row>
    <row r="1940" spans="1:22" x14ac:dyDescent="0.25">
      <c r="A1940" s="1">
        <v>5</v>
      </c>
      <c r="B1940" s="1">
        <v>78</v>
      </c>
      <c r="C1940" s="1">
        <v>48</v>
      </c>
      <c r="D1940" s="1">
        <v>0</v>
      </c>
      <c r="E1940" s="1">
        <v>0</v>
      </c>
      <c r="F1940" s="1">
        <v>33.700000000000003</v>
      </c>
      <c r="G1940" s="1">
        <v>0.65400000000000003</v>
      </c>
      <c r="H1940" s="1">
        <v>25</v>
      </c>
      <c r="I1940" s="1">
        <v>0</v>
      </c>
      <c r="J1940" s="1" t="str">
        <f>IFERROR(VLOOKUP(K1940,[1]diabetes_Recognition!$A:$B,2,FALSE),"Not Sampled")</f>
        <v>Not Sampled</v>
      </c>
      <c r="K1940" s="1">
        <v>1938</v>
      </c>
      <c r="L1940" s="1" t="str">
        <f>LOOKUP(A1940,Sheet2!$D$4:$E$9)</f>
        <v>5-7</v>
      </c>
      <c r="M1940" t="str">
        <f>LOOKUP(B1940,Sheet2!$G$4:$H$9)</f>
        <v>1-99</v>
      </c>
      <c r="N1940" t="str">
        <f>LOOKUP(C1940,Sheet2!$J$4:$K$8)</f>
        <v>1-59</v>
      </c>
      <c r="O1940" t="str">
        <f>LOOKUP(D1940,Sheet2!$M$4:$N$8)</f>
        <v>Unknown</v>
      </c>
      <c r="P1940" t="str">
        <f>LOOKUP(E1940,Sheet2!$P$4:$Q$9)</f>
        <v>Unknown</v>
      </c>
      <c r="Q1940" t="str">
        <f>LOOKUP(F1940,Sheet2!$S$4:$T$8)</f>
        <v>31-35</v>
      </c>
      <c r="R1940" t="str">
        <f>LOOKUP(G1940,Sheet2!$V$4:$W$7)</f>
        <v>0.4 - 0.69</v>
      </c>
      <c r="S1940" t="str">
        <f>LOOKUP(H1940,Sheet2!$Z$4:$AA$7)</f>
        <v>&lt;=25</v>
      </c>
      <c r="T1940" t="str">
        <f t="shared" si="90"/>
        <v>Negative</v>
      </c>
      <c r="U1940" t="str">
        <f t="shared" si="91"/>
        <v>Not Sampled</v>
      </c>
      <c r="V1940" s="1" t="str">
        <f t="shared" si="92"/>
        <v>Not Sampled</v>
      </c>
    </row>
    <row r="1941" spans="1:22" x14ac:dyDescent="0.25">
      <c r="A1941" s="1">
        <v>4</v>
      </c>
      <c r="B1941" s="1">
        <v>97</v>
      </c>
      <c r="C1941" s="1">
        <v>60</v>
      </c>
      <c r="D1941" s="1">
        <v>23</v>
      </c>
      <c r="E1941" s="1">
        <v>0</v>
      </c>
      <c r="F1941" s="1">
        <v>28.2</v>
      </c>
      <c r="G1941" s="1">
        <v>0.443</v>
      </c>
      <c r="H1941" s="1">
        <v>22</v>
      </c>
      <c r="I1941" s="1">
        <v>0</v>
      </c>
      <c r="J1941" s="1">
        <f>IFERROR(VLOOKUP(K1941,[1]diabetes_Recognition!$A:$B,2,FALSE),"Not Sampled")</f>
        <v>0</v>
      </c>
      <c r="K1941" s="1">
        <v>1939</v>
      </c>
      <c r="L1941" s="1" t="str">
        <f>LOOKUP(A1941,Sheet2!$D$4:$E$9)</f>
        <v>3-4</v>
      </c>
      <c r="M1941" t="str">
        <f>LOOKUP(B1941,Sheet2!$G$4:$H$9)</f>
        <v>1-99</v>
      </c>
      <c r="N1941" t="str">
        <f>LOOKUP(C1941,Sheet2!$J$4:$K$8)</f>
        <v>60-69</v>
      </c>
      <c r="O1941" t="str">
        <f>LOOKUP(D1941,Sheet2!$M$4:$N$8)</f>
        <v>10-30</v>
      </c>
      <c r="P1941" t="str">
        <f>LOOKUP(E1941,Sheet2!$P$4:$Q$9)</f>
        <v>Unknown</v>
      </c>
      <c r="Q1941" t="str">
        <f>LOOKUP(F1941,Sheet2!$S$4:$T$8)</f>
        <v>26-30</v>
      </c>
      <c r="R1941" t="str">
        <f>LOOKUP(G1941,Sheet2!$V$4:$W$7)</f>
        <v>0.4 - 0.69</v>
      </c>
      <c r="S1941" t="str">
        <f>LOOKUP(H1941,Sheet2!$Z$4:$AA$7)</f>
        <v>&lt;=25</v>
      </c>
      <c r="T1941" t="str">
        <f t="shared" si="90"/>
        <v>Negative</v>
      </c>
      <c r="U1941" t="str">
        <f t="shared" si="91"/>
        <v>Negative</v>
      </c>
      <c r="V1941" s="1" t="str">
        <f t="shared" si="92"/>
        <v>Accurate Prediction</v>
      </c>
    </row>
    <row r="1942" spans="1:22" x14ac:dyDescent="0.25">
      <c r="A1942" s="1">
        <v>4</v>
      </c>
      <c r="B1942" s="1">
        <v>99</v>
      </c>
      <c r="C1942" s="1">
        <v>76</v>
      </c>
      <c r="D1942" s="1">
        <v>15</v>
      </c>
      <c r="E1942" s="1">
        <v>51</v>
      </c>
      <c r="F1942" s="1">
        <v>23.2</v>
      </c>
      <c r="G1942" s="1">
        <v>0.223</v>
      </c>
      <c r="H1942" s="1">
        <v>21</v>
      </c>
      <c r="I1942" s="1">
        <v>0</v>
      </c>
      <c r="J1942" s="1" t="str">
        <f>IFERROR(VLOOKUP(K1942,[1]diabetes_Recognition!$A:$B,2,FALSE),"Not Sampled")</f>
        <v>Not Sampled</v>
      </c>
      <c r="K1942" s="1">
        <v>1940</v>
      </c>
      <c r="L1942" s="1" t="str">
        <f>LOOKUP(A1942,Sheet2!$D$4:$E$9)</f>
        <v>3-4</v>
      </c>
      <c r="M1942" t="str">
        <f>LOOKUP(B1942,Sheet2!$G$4:$H$9)</f>
        <v>1-99</v>
      </c>
      <c r="N1942" t="str">
        <f>LOOKUP(C1942,Sheet2!$J$4:$K$8)</f>
        <v>70-79</v>
      </c>
      <c r="O1942" t="str">
        <f>LOOKUP(D1942,Sheet2!$M$4:$N$8)</f>
        <v>10-30</v>
      </c>
      <c r="P1942" t="str">
        <f>LOOKUP(E1942,Sheet2!$P$4:$Q$9)</f>
        <v>1-99</v>
      </c>
      <c r="Q1942" t="str">
        <f>LOOKUP(F1942,Sheet2!$S$4:$T$8)</f>
        <v>1-25</v>
      </c>
      <c r="R1942" t="str">
        <f>LOOKUP(G1942,Sheet2!$V$4:$W$7)</f>
        <v>0.0 - 0.249</v>
      </c>
      <c r="S1942" t="str">
        <f>LOOKUP(H1942,Sheet2!$Z$4:$AA$7)</f>
        <v>&lt;=25</v>
      </c>
      <c r="T1942" t="str">
        <f t="shared" si="90"/>
        <v>Negative</v>
      </c>
      <c r="U1942" t="str">
        <f t="shared" si="91"/>
        <v>Not Sampled</v>
      </c>
      <c r="V1942" s="1" t="str">
        <f t="shared" si="92"/>
        <v>Not Sampled</v>
      </c>
    </row>
    <row r="1943" spans="1:22" x14ac:dyDescent="0.25">
      <c r="A1943" s="1">
        <v>0</v>
      </c>
      <c r="B1943" s="1">
        <v>162</v>
      </c>
      <c r="C1943" s="1">
        <v>76</v>
      </c>
      <c r="D1943" s="1">
        <v>56</v>
      </c>
      <c r="E1943" s="1">
        <v>100</v>
      </c>
      <c r="F1943" s="1">
        <v>53.2</v>
      </c>
      <c r="G1943" s="1">
        <v>0.75900000000000001</v>
      </c>
      <c r="H1943" s="1">
        <v>25</v>
      </c>
      <c r="I1943" s="1">
        <v>1</v>
      </c>
      <c r="J1943" s="1" t="str">
        <f>IFERROR(VLOOKUP(K1943,[1]diabetes_Recognition!$A:$B,2,FALSE),"Not Sampled")</f>
        <v>Not Sampled</v>
      </c>
      <c r="K1943" s="1">
        <v>1941</v>
      </c>
      <c r="L1943" s="1">
        <f>LOOKUP(A1943,Sheet2!$D$4:$E$9)</f>
        <v>0</v>
      </c>
      <c r="M1943" t="str">
        <f>LOOKUP(B1943,Sheet2!$G$4:$H$9)</f>
        <v>151-175</v>
      </c>
      <c r="N1943" t="str">
        <f>LOOKUP(C1943,Sheet2!$J$4:$K$8)</f>
        <v>70-79</v>
      </c>
      <c r="O1943" t="str">
        <f>LOOKUP(D1943,Sheet2!$M$4:$N$8)</f>
        <v>40+</v>
      </c>
      <c r="P1943" t="str">
        <f>LOOKUP(E1943,Sheet2!$P$4:$Q$9)</f>
        <v>100-199</v>
      </c>
      <c r="Q1943" t="str">
        <f>LOOKUP(F1943,Sheet2!$S$4:$T$8)</f>
        <v>36+</v>
      </c>
      <c r="R1943" t="str">
        <f>LOOKUP(G1943,Sheet2!$V$4:$W$7)</f>
        <v>0.7+</v>
      </c>
      <c r="S1943" t="str">
        <f>LOOKUP(H1943,Sheet2!$Z$4:$AA$7)</f>
        <v>&lt;=25</v>
      </c>
      <c r="T1943" t="str">
        <f t="shared" si="90"/>
        <v>Positive</v>
      </c>
      <c r="U1943" t="str">
        <f t="shared" si="91"/>
        <v>Not Sampled</v>
      </c>
      <c r="V1943" s="1" t="str">
        <f t="shared" si="92"/>
        <v>Not Sampled</v>
      </c>
    </row>
    <row r="1944" spans="1:22" x14ac:dyDescent="0.25">
      <c r="A1944" s="1">
        <v>6</v>
      </c>
      <c r="B1944" s="1">
        <v>111</v>
      </c>
      <c r="C1944" s="1">
        <v>64</v>
      </c>
      <c r="D1944" s="1">
        <v>39</v>
      </c>
      <c r="E1944" s="1">
        <v>0</v>
      </c>
      <c r="F1944" s="1">
        <v>34.200000000000003</v>
      </c>
      <c r="G1944" s="1">
        <v>0.26</v>
      </c>
      <c r="H1944" s="1">
        <v>24</v>
      </c>
      <c r="I1944" s="1">
        <v>0</v>
      </c>
      <c r="J1944" s="1">
        <f>IFERROR(VLOOKUP(K1944,[1]diabetes_Recognition!$A:$B,2,FALSE),"Not Sampled")</f>
        <v>0</v>
      </c>
      <c r="K1944" s="1">
        <v>1942</v>
      </c>
      <c r="L1944" s="1" t="str">
        <f>LOOKUP(A1944,Sheet2!$D$4:$E$9)</f>
        <v>5-7</v>
      </c>
      <c r="M1944" t="str">
        <f>LOOKUP(B1944,Sheet2!$G$4:$H$9)</f>
        <v>100-125</v>
      </c>
      <c r="N1944" t="str">
        <f>LOOKUP(C1944,Sheet2!$J$4:$K$8)</f>
        <v>60-69</v>
      </c>
      <c r="O1944" t="str">
        <f>LOOKUP(D1944,Sheet2!$M$4:$N$8)</f>
        <v>30-39</v>
      </c>
      <c r="P1944" t="str">
        <f>LOOKUP(E1944,Sheet2!$P$4:$Q$9)</f>
        <v>Unknown</v>
      </c>
      <c r="Q1944" t="str">
        <f>LOOKUP(F1944,Sheet2!$S$4:$T$8)</f>
        <v>31-35</v>
      </c>
      <c r="R1944" t="str">
        <f>LOOKUP(G1944,Sheet2!$V$4:$W$7)</f>
        <v>0.25 - 0.39</v>
      </c>
      <c r="S1944" t="str">
        <f>LOOKUP(H1944,Sheet2!$Z$4:$AA$7)</f>
        <v>&lt;=25</v>
      </c>
      <c r="T1944" t="str">
        <f t="shared" si="90"/>
        <v>Negative</v>
      </c>
      <c r="U1944" t="str">
        <f t="shared" si="91"/>
        <v>Negative</v>
      </c>
      <c r="V1944" s="1" t="str">
        <f t="shared" si="92"/>
        <v>Accurate Prediction</v>
      </c>
    </row>
    <row r="1945" spans="1:22" x14ac:dyDescent="0.25">
      <c r="A1945" s="1">
        <v>2</v>
      </c>
      <c r="B1945" s="1">
        <v>107</v>
      </c>
      <c r="C1945" s="1">
        <v>74</v>
      </c>
      <c r="D1945" s="1">
        <v>30</v>
      </c>
      <c r="E1945" s="1">
        <v>100</v>
      </c>
      <c r="F1945" s="1">
        <v>33.6</v>
      </c>
      <c r="G1945" s="1">
        <v>0.40400000000000003</v>
      </c>
      <c r="H1945" s="1">
        <v>23</v>
      </c>
      <c r="I1945" s="1">
        <v>0</v>
      </c>
      <c r="J1945" s="1" t="str">
        <f>IFERROR(VLOOKUP(K1945,[1]diabetes_Recognition!$A:$B,2,FALSE),"Not Sampled")</f>
        <v>Not Sampled</v>
      </c>
      <c r="K1945" s="1">
        <v>1943</v>
      </c>
      <c r="L1945" s="1">
        <f>LOOKUP(A1945,Sheet2!$D$4:$E$9)</f>
        <v>2</v>
      </c>
      <c r="M1945" t="str">
        <f>LOOKUP(B1945,Sheet2!$G$4:$H$9)</f>
        <v>100-125</v>
      </c>
      <c r="N1945" t="str">
        <f>LOOKUP(C1945,Sheet2!$J$4:$K$8)</f>
        <v>70-79</v>
      </c>
      <c r="O1945" t="str">
        <f>LOOKUP(D1945,Sheet2!$M$4:$N$8)</f>
        <v>30-39</v>
      </c>
      <c r="P1945" t="str">
        <f>LOOKUP(E1945,Sheet2!$P$4:$Q$9)</f>
        <v>100-199</v>
      </c>
      <c r="Q1945" t="str">
        <f>LOOKUP(F1945,Sheet2!$S$4:$T$8)</f>
        <v>31-35</v>
      </c>
      <c r="R1945" t="str">
        <f>LOOKUP(G1945,Sheet2!$V$4:$W$7)</f>
        <v>0.4 - 0.69</v>
      </c>
      <c r="S1945" t="str">
        <f>LOOKUP(H1945,Sheet2!$Z$4:$AA$7)</f>
        <v>&lt;=25</v>
      </c>
      <c r="T1945" t="str">
        <f t="shared" si="90"/>
        <v>Negative</v>
      </c>
      <c r="U1945" t="str">
        <f t="shared" si="91"/>
        <v>Not Sampled</v>
      </c>
      <c r="V1945" s="1" t="str">
        <f t="shared" si="92"/>
        <v>Not Sampled</v>
      </c>
    </row>
    <row r="1946" spans="1:22" x14ac:dyDescent="0.25">
      <c r="A1946" s="1">
        <v>5</v>
      </c>
      <c r="B1946" s="1">
        <v>132</v>
      </c>
      <c r="C1946" s="1">
        <v>80</v>
      </c>
      <c r="D1946" s="1">
        <v>0</v>
      </c>
      <c r="E1946" s="1">
        <v>0</v>
      </c>
      <c r="F1946" s="1">
        <v>26.8</v>
      </c>
      <c r="G1946" s="1">
        <v>0.186</v>
      </c>
      <c r="H1946" s="1">
        <v>69</v>
      </c>
      <c r="I1946" s="1">
        <v>0</v>
      </c>
      <c r="J1946" s="1">
        <f>IFERROR(VLOOKUP(K1946,[1]diabetes_Recognition!$A:$B,2,FALSE),"Not Sampled")</f>
        <v>0</v>
      </c>
      <c r="K1946" s="1">
        <v>1944</v>
      </c>
      <c r="L1946" s="1" t="str">
        <f>LOOKUP(A1946,Sheet2!$D$4:$E$9)</f>
        <v>5-7</v>
      </c>
      <c r="M1946" t="str">
        <f>LOOKUP(B1946,Sheet2!$G$4:$H$9)</f>
        <v>126-150</v>
      </c>
      <c r="N1946" t="str">
        <f>LOOKUP(C1946,Sheet2!$J$4:$K$8)</f>
        <v>80+</v>
      </c>
      <c r="O1946" t="str">
        <f>LOOKUP(D1946,Sheet2!$M$4:$N$8)</f>
        <v>Unknown</v>
      </c>
      <c r="P1946" t="str">
        <f>LOOKUP(E1946,Sheet2!$P$4:$Q$9)</f>
        <v>Unknown</v>
      </c>
      <c r="Q1946" t="str">
        <f>LOOKUP(F1946,Sheet2!$S$4:$T$8)</f>
        <v>26-30</v>
      </c>
      <c r="R1946" t="str">
        <f>LOOKUP(G1946,Sheet2!$V$4:$W$7)</f>
        <v>0.0 - 0.249</v>
      </c>
      <c r="S1946" t="str">
        <f>LOOKUP(H1946,Sheet2!$Z$4:$AA$7)</f>
        <v>46+</v>
      </c>
      <c r="T1946" t="str">
        <f t="shared" si="90"/>
        <v>Negative</v>
      </c>
      <c r="U1946" t="str">
        <f t="shared" si="91"/>
        <v>Negative</v>
      </c>
      <c r="V1946" s="1" t="str">
        <f t="shared" si="92"/>
        <v>Accurate Prediction</v>
      </c>
    </row>
    <row r="1947" spans="1:22" x14ac:dyDescent="0.25">
      <c r="A1947" s="1">
        <v>0</v>
      </c>
      <c r="B1947" s="1">
        <v>113</v>
      </c>
      <c r="C1947" s="1">
        <v>76</v>
      </c>
      <c r="D1947" s="1">
        <v>0</v>
      </c>
      <c r="E1947" s="1">
        <v>0</v>
      </c>
      <c r="F1947" s="1">
        <v>33.299999999999997</v>
      </c>
      <c r="G1947" s="1">
        <v>0.27800000000000002</v>
      </c>
      <c r="H1947" s="1">
        <v>23</v>
      </c>
      <c r="I1947" s="1">
        <v>1</v>
      </c>
      <c r="J1947" s="1" t="str">
        <f>IFERROR(VLOOKUP(K1947,[1]diabetes_Recognition!$A:$B,2,FALSE),"Not Sampled")</f>
        <v>Not Sampled</v>
      </c>
      <c r="K1947" s="1">
        <v>1945</v>
      </c>
      <c r="L1947" s="1">
        <f>LOOKUP(A1947,Sheet2!$D$4:$E$9)</f>
        <v>0</v>
      </c>
      <c r="M1947" t="str">
        <f>LOOKUP(B1947,Sheet2!$G$4:$H$9)</f>
        <v>100-125</v>
      </c>
      <c r="N1947" t="str">
        <f>LOOKUP(C1947,Sheet2!$J$4:$K$8)</f>
        <v>70-79</v>
      </c>
      <c r="O1947" t="str">
        <f>LOOKUP(D1947,Sheet2!$M$4:$N$8)</f>
        <v>Unknown</v>
      </c>
      <c r="P1947" t="str">
        <f>LOOKUP(E1947,Sheet2!$P$4:$Q$9)</f>
        <v>Unknown</v>
      </c>
      <c r="Q1947" t="str">
        <f>LOOKUP(F1947,Sheet2!$S$4:$T$8)</f>
        <v>31-35</v>
      </c>
      <c r="R1947" t="str">
        <f>LOOKUP(G1947,Sheet2!$V$4:$W$7)</f>
        <v>0.25 - 0.39</v>
      </c>
      <c r="S1947" t="str">
        <f>LOOKUP(H1947,Sheet2!$Z$4:$AA$7)</f>
        <v>&lt;=25</v>
      </c>
      <c r="T1947" t="str">
        <f t="shared" si="90"/>
        <v>Positive</v>
      </c>
      <c r="U1947" t="str">
        <f t="shared" si="91"/>
        <v>Not Sampled</v>
      </c>
      <c r="V1947" s="1" t="str">
        <f t="shared" si="92"/>
        <v>Not Sampled</v>
      </c>
    </row>
    <row r="1948" spans="1:22" x14ac:dyDescent="0.25">
      <c r="A1948" s="1">
        <v>1</v>
      </c>
      <c r="B1948" s="1">
        <v>88</v>
      </c>
      <c r="C1948" s="1">
        <v>30</v>
      </c>
      <c r="D1948" s="1">
        <v>42</v>
      </c>
      <c r="E1948" s="1">
        <v>99</v>
      </c>
      <c r="F1948" s="1">
        <v>55</v>
      </c>
      <c r="G1948" s="1">
        <v>0.496</v>
      </c>
      <c r="H1948" s="1">
        <v>26</v>
      </c>
      <c r="I1948" s="1">
        <v>1</v>
      </c>
      <c r="J1948" s="1">
        <f>IFERROR(VLOOKUP(K1948,[1]diabetes_Recognition!$A:$B,2,FALSE),"Not Sampled")</f>
        <v>0</v>
      </c>
      <c r="K1948" s="1">
        <v>1946</v>
      </c>
      <c r="L1948" s="1">
        <f>LOOKUP(A1948,Sheet2!$D$4:$E$9)</f>
        <v>1</v>
      </c>
      <c r="M1948" t="str">
        <f>LOOKUP(B1948,Sheet2!$G$4:$H$9)</f>
        <v>1-99</v>
      </c>
      <c r="N1948" t="str">
        <f>LOOKUP(C1948,Sheet2!$J$4:$K$8)</f>
        <v>1-59</v>
      </c>
      <c r="O1948" t="str">
        <f>LOOKUP(D1948,Sheet2!$M$4:$N$8)</f>
        <v>40+</v>
      </c>
      <c r="P1948" t="str">
        <f>LOOKUP(E1948,Sheet2!$P$4:$Q$9)</f>
        <v>1-99</v>
      </c>
      <c r="Q1948" t="str">
        <f>LOOKUP(F1948,Sheet2!$S$4:$T$8)</f>
        <v>36+</v>
      </c>
      <c r="R1948" t="str">
        <f>LOOKUP(G1948,Sheet2!$V$4:$W$7)</f>
        <v>0.4 - 0.69</v>
      </c>
      <c r="S1948" t="str">
        <f>LOOKUP(H1948,Sheet2!$Z$4:$AA$7)</f>
        <v>26-35</v>
      </c>
      <c r="T1948" t="str">
        <f t="shared" si="90"/>
        <v>Positive</v>
      </c>
      <c r="U1948" t="str">
        <f t="shared" si="91"/>
        <v>Negative</v>
      </c>
      <c r="V1948" s="1" t="str">
        <f t="shared" si="92"/>
        <v>Inaccurate Prediction</v>
      </c>
    </row>
    <row r="1949" spans="1:22" x14ac:dyDescent="0.25">
      <c r="A1949" s="1">
        <v>3</v>
      </c>
      <c r="B1949" s="1">
        <v>120</v>
      </c>
      <c r="C1949" s="1">
        <v>70</v>
      </c>
      <c r="D1949" s="1">
        <v>30</v>
      </c>
      <c r="E1949" s="1">
        <v>135</v>
      </c>
      <c r="F1949" s="1">
        <v>42.9</v>
      </c>
      <c r="G1949" s="1">
        <v>0.45200000000000001</v>
      </c>
      <c r="H1949" s="1">
        <v>30</v>
      </c>
      <c r="I1949" s="1">
        <v>0</v>
      </c>
      <c r="J1949" s="1">
        <f>IFERROR(VLOOKUP(K1949,[1]diabetes_Recognition!$A:$B,2,FALSE),"Not Sampled")</f>
        <v>0</v>
      </c>
      <c r="K1949" s="1">
        <v>1947</v>
      </c>
      <c r="L1949" s="1" t="str">
        <f>LOOKUP(A1949,Sheet2!$D$4:$E$9)</f>
        <v>3-4</v>
      </c>
      <c r="M1949" t="str">
        <f>LOOKUP(B1949,Sheet2!$G$4:$H$9)</f>
        <v>100-125</v>
      </c>
      <c r="N1949" t="str">
        <f>LOOKUP(C1949,Sheet2!$J$4:$K$8)</f>
        <v>70-79</v>
      </c>
      <c r="O1949" t="str">
        <f>LOOKUP(D1949,Sheet2!$M$4:$N$8)</f>
        <v>30-39</v>
      </c>
      <c r="P1949" t="str">
        <f>LOOKUP(E1949,Sheet2!$P$4:$Q$9)</f>
        <v>100-199</v>
      </c>
      <c r="Q1949" t="str">
        <f>LOOKUP(F1949,Sheet2!$S$4:$T$8)</f>
        <v>36+</v>
      </c>
      <c r="R1949" t="str">
        <f>LOOKUP(G1949,Sheet2!$V$4:$W$7)</f>
        <v>0.4 - 0.69</v>
      </c>
      <c r="S1949" t="str">
        <f>LOOKUP(H1949,Sheet2!$Z$4:$AA$7)</f>
        <v>26-35</v>
      </c>
      <c r="T1949" t="str">
        <f t="shared" si="90"/>
        <v>Negative</v>
      </c>
      <c r="U1949" t="str">
        <f t="shared" si="91"/>
        <v>Negative</v>
      </c>
      <c r="V1949" s="1" t="str">
        <f t="shared" si="92"/>
        <v>Accurate Prediction</v>
      </c>
    </row>
    <row r="1950" spans="1:22" x14ac:dyDescent="0.25">
      <c r="A1950" s="1">
        <v>1</v>
      </c>
      <c r="B1950" s="1">
        <v>118</v>
      </c>
      <c r="C1950" s="1">
        <v>58</v>
      </c>
      <c r="D1950" s="1">
        <v>36</v>
      </c>
      <c r="E1950" s="1">
        <v>94</v>
      </c>
      <c r="F1950" s="1">
        <v>33.299999999999997</v>
      </c>
      <c r="G1950" s="1">
        <v>0.26100000000000001</v>
      </c>
      <c r="H1950" s="1">
        <v>23</v>
      </c>
      <c r="I1950" s="1">
        <v>0</v>
      </c>
      <c r="J1950" s="1" t="str">
        <f>IFERROR(VLOOKUP(K1950,[1]diabetes_Recognition!$A:$B,2,FALSE),"Not Sampled")</f>
        <v>Not Sampled</v>
      </c>
      <c r="K1950" s="1">
        <v>1948</v>
      </c>
      <c r="L1950" s="1">
        <f>LOOKUP(A1950,Sheet2!$D$4:$E$9)</f>
        <v>1</v>
      </c>
      <c r="M1950" t="str">
        <f>LOOKUP(B1950,Sheet2!$G$4:$H$9)</f>
        <v>100-125</v>
      </c>
      <c r="N1950" t="str">
        <f>LOOKUP(C1950,Sheet2!$J$4:$K$8)</f>
        <v>1-59</v>
      </c>
      <c r="O1950" t="str">
        <f>LOOKUP(D1950,Sheet2!$M$4:$N$8)</f>
        <v>30-39</v>
      </c>
      <c r="P1950" t="str">
        <f>LOOKUP(E1950,Sheet2!$P$4:$Q$9)</f>
        <v>1-99</v>
      </c>
      <c r="Q1950" t="str">
        <f>LOOKUP(F1950,Sheet2!$S$4:$T$8)</f>
        <v>31-35</v>
      </c>
      <c r="R1950" t="str">
        <f>LOOKUP(G1950,Sheet2!$V$4:$W$7)</f>
        <v>0.25 - 0.39</v>
      </c>
      <c r="S1950" t="str">
        <f>LOOKUP(H1950,Sheet2!$Z$4:$AA$7)</f>
        <v>&lt;=25</v>
      </c>
      <c r="T1950" t="str">
        <f t="shared" si="90"/>
        <v>Negative</v>
      </c>
      <c r="U1950" t="str">
        <f t="shared" si="91"/>
        <v>Not Sampled</v>
      </c>
      <c r="V1950" s="1" t="str">
        <f t="shared" si="92"/>
        <v>Not Sampled</v>
      </c>
    </row>
    <row r="1951" spans="1:22" x14ac:dyDescent="0.25">
      <c r="A1951" s="1">
        <v>1</v>
      </c>
      <c r="B1951" s="1">
        <v>117</v>
      </c>
      <c r="C1951" s="1">
        <v>88</v>
      </c>
      <c r="D1951" s="1">
        <v>24</v>
      </c>
      <c r="E1951" s="1">
        <v>145</v>
      </c>
      <c r="F1951" s="1">
        <v>34.5</v>
      </c>
      <c r="G1951" s="1">
        <v>0.40300000000000002</v>
      </c>
      <c r="H1951" s="1">
        <v>40</v>
      </c>
      <c r="I1951" s="1">
        <v>1</v>
      </c>
      <c r="J1951" s="1" t="str">
        <f>IFERROR(VLOOKUP(K1951,[1]diabetes_Recognition!$A:$B,2,FALSE),"Not Sampled")</f>
        <v>Not Sampled</v>
      </c>
      <c r="K1951" s="1">
        <v>1949</v>
      </c>
      <c r="L1951" s="1">
        <f>LOOKUP(A1951,Sheet2!$D$4:$E$9)</f>
        <v>1</v>
      </c>
      <c r="M1951" t="str">
        <f>LOOKUP(B1951,Sheet2!$G$4:$H$9)</f>
        <v>100-125</v>
      </c>
      <c r="N1951" t="str">
        <f>LOOKUP(C1951,Sheet2!$J$4:$K$8)</f>
        <v>80+</v>
      </c>
      <c r="O1951" t="str">
        <f>LOOKUP(D1951,Sheet2!$M$4:$N$8)</f>
        <v>10-30</v>
      </c>
      <c r="P1951" t="str">
        <f>LOOKUP(E1951,Sheet2!$P$4:$Q$9)</f>
        <v>100-199</v>
      </c>
      <c r="Q1951" t="str">
        <f>LOOKUP(F1951,Sheet2!$S$4:$T$8)</f>
        <v>31-35</v>
      </c>
      <c r="R1951" t="str">
        <f>LOOKUP(G1951,Sheet2!$V$4:$W$7)</f>
        <v>0.4 - 0.69</v>
      </c>
      <c r="S1951" t="str">
        <f>LOOKUP(H1951,Sheet2!$Z$4:$AA$7)</f>
        <v>36-45</v>
      </c>
      <c r="T1951" t="str">
        <f t="shared" si="90"/>
        <v>Positive</v>
      </c>
      <c r="U1951" t="str">
        <f t="shared" si="91"/>
        <v>Not Sampled</v>
      </c>
      <c r="V1951" s="1" t="str">
        <f t="shared" si="92"/>
        <v>Not Sampled</v>
      </c>
    </row>
    <row r="1952" spans="1:22" x14ac:dyDescent="0.25">
      <c r="A1952" s="1">
        <v>0</v>
      </c>
      <c r="B1952" s="1">
        <v>105</v>
      </c>
      <c r="C1952" s="1">
        <v>84</v>
      </c>
      <c r="D1952" s="1">
        <v>0</v>
      </c>
      <c r="E1952" s="1">
        <v>0</v>
      </c>
      <c r="F1952" s="1">
        <v>27.9</v>
      </c>
      <c r="G1952" s="1">
        <v>0.74099999999999999</v>
      </c>
      <c r="H1952" s="1">
        <v>62</v>
      </c>
      <c r="I1952" s="1">
        <v>1</v>
      </c>
      <c r="J1952" s="1">
        <f>IFERROR(VLOOKUP(K1952,[1]diabetes_Recognition!$A:$B,2,FALSE),"Not Sampled")</f>
        <v>0</v>
      </c>
      <c r="K1952" s="1">
        <v>1950</v>
      </c>
      <c r="L1952" s="1">
        <f>LOOKUP(A1952,Sheet2!$D$4:$E$9)</f>
        <v>0</v>
      </c>
      <c r="M1952" t="str">
        <f>LOOKUP(B1952,Sheet2!$G$4:$H$9)</f>
        <v>100-125</v>
      </c>
      <c r="N1952" t="str">
        <f>LOOKUP(C1952,Sheet2!$J$4:$K$8)</f>
        <v>80+</v>
      </c>
      <c r="O1952" t="str">
        <f>LOOKUP(D1952,Sheet2!$M$4:$N$8)</f>
        <v>Unknown</v>
      </c>
      <c r="P1952" t="str">
        <f>LOOKUP(E1952,Sheet2!$P$4:$Q$9)</f>
        <v>Unknown</v>
      </c>
      <c r="Q1952" t="str">
        <f>LOOKUP(F1952,Sheet2!$S$4:$T$8)</f>
        <v>26-30</v>
      </c>
      <c r="R1952" t="str">
        <f>LOOKUP(G1952,Sheet2!$V$4:$W$7)</f>
        <v>0.7+</v>
      </c>
      <c r="S1952" t="str">
        <f>LOOKUP(H1952,Sheet2!$Z$4:$AA$7)</f>
        <v>46+</v>
      </c>
      <c r="T1952" t="str">
        <f t="shared" si="90"/>
        <v>Positive</v>
      </c>
      <c r="U1952" t="str">
        <f t="shared" si="91"/>
        <v>Negative</v>
      </c>
      <c r="V1952" s="1" t="str">
        <f t="shared" si="92"/>
        <v>Inaccurate Prediction</v>
      </c>
    </row>
    <row r="1953" spans="1:22" x14ac:dyDescent="0.25">
      <c r="A1953" s="1">
        <v>4</v>
      </c>
      <c r="B1953" s="1">
        <v>173</v>
      </c>
      <c r="C1953" s="1">
        <v>70</v>
      </c>
      <c r="D1953" s="1">
        <v>14</v>
      </c>
      <c r="E1953" s="1">
        <v>168</v>
      </c>
      <c r="F1953" s="1">
        <v>29.7</v>
      </c>
      <c r="G1953" s="1">
        <v>0.36099999999999999</v>
      </c>
      <c r="H1953" s="1">
        <v>33</v>
      </c>
      <c r="I1953" s="1">
        <v>1</v>
      </c>
      <c r="J1953" s="1" t="str">
        <f>IFERROR(VLOOKUP(K1953,[1]diabetes_Recognition!$A:$B,2,FALSE),"Not Sampled")</f>
        <v>Not Sampled</v>
      </c>
      <c r="K1953" s="1">
        <v>1951</v>
      </c>
      <c r="L1953" s="1" t="str">
        <f>LOOKUP(A1953,Sheet2!$D$4:$E$9)</f>
        <v>3-4</v>
      </c>
      <c r="M1953" t="str">
        <f>LOOKUP(B1953,Sheet2!$G$4:$H$9)</f>
        <v>151-175</v>
      </c>
      <c r="N1953" t="str">
        <f>LOOKUP(C1953,Sheet2!$J$4:$K$8)</f>
        <v>70-79</v>
      </c>
      <c r="O1953" t="str">
        <f>LOOKUP(D1953,Sheet2!$M$4:$N$8)</f>
        <v>10-30</v>
      </c>
      <c r="P1953" t="str">
        <f>LOOKUP(E1953,Sheet2!$P$4:$Q$9)</f>
        <v>100-199</v>
      </c>
      <c r="Q1953" t="str">
        <f>LOOKUP(F1953,Sheet2!$S$4:$T$8)</f>
        <v>26-30</v>
      </c>
      <c r="R1953" t="str">
        <f>LOOKUP(G1953,Sheet2!$V$4:$W$7)</f>
        <v>0.25 - 0.39</v>
      </c>
      <c r="S1953" t="str">
        <f>LOOKUP(H1953,Sheet2!$Z$4:$AA$7)</f>
        <v>26-35</v>
      </c>
      <c r="T1953" t="str">
        <f t="shared" si="90"/>
        <v>Positive</v>
      </c>
      <c r="U1953" t="str">
        <f t="shared" si="91"/>
        <v>Not Sampled</v>
      </c>
      <c r="V1953" s="1" t="str">
        <f t="shared" si="92"/>
        <v>Not Sampled</v>
      </c>
    </row>
    <row r="1954" spans="1:22" x14ac:dyDescent="0.25">
      <c r="A1954" s="1">
        <v>9</v>
      </c>
      <c r="B1954" s="1">
        <v>122</v>
      </c>
      <c r="C1954" s="1">
        <v>56</v>
      </c>
      <c r="D1954" s="1">
        <v>0</v>
      </c>
      <c r="E1954" s="1">
        <v>0</v>
      </c>
      <c r="F1954" s="1">
        <v>33.299999999999997</v>
      </c>
      <c r="G1954" s="1">
        <v>1.1140000000000001</v>
      </c>
      <c r="H1954" s="1">
        <v>33</v>
      </c>
      <c r="I1954" s="1">
        <v>1</v>
      </c>
      <c r="J1954" s="1" t="str">
        <f>IFERROR(VLOOKUP(K1954,[1]diabetes_Recognition!$A:$B,2,FALSE),"Not Sampled")</f>
        <v>Not Sampled</v>
      </c>
      <c r="K1954" s="1">
        <v>1952</v>
      </c>
      <c r="L1954" s="1" t="str">
        <f>LOOKUP(A1954,Sheet2!$D$4:$E$9)</f>
        <v>8+</v>
      </c>
      <c r="M1954" t="str">
        <f>LOOKUP(B1954,Sheet2!$G$4:$H$9)</f>
        <v>100-125</v>
      </c>
      <c r="N1954" t="str">
        <f>LOOKUP(C1954,Sheet2!$J$4:$K$8)</f>
        <v>1-59</v>
      </c>
      <c r="O1954" t="str">
        <f>LOOKUP(D1954,Sheet2!$M$4:$N$8)</f>
        <v>Unknown</v>
      </c>
      <c r="P1954" t="str">
        <f>LOOKUP(E1954,Sheet2!$P$4:$Q$9)</f>
        <v>Unknown</v>
      </c>
      <c r="Q1954" t="str">
        <f>LOOKUP(F1954,Sheet2!$S$4:$T$8)</f>
        <v>31-35</v>
      </c>
      <c r="R1954" t="str">
        <f>LOOKUP(G1954,Sheet2!$V$4:$W$7)</f>
        <v>0.7+</v>
      </c>
      <c r="S1954" t="str">
        <f>LOOKUP(H1954,Sheet2!$Z$4:$AA$7)</f>
        <v>26-35</v>
      </c>
      <c r="T1954" t="str">
        <f t="shared" si="90"/>
        <v>Positive</v>
      </c>
      <c r="U1954" t="str">
        <f t="shared" si="91"/>
        <v>Not Sampled</v>
      </c>
      <c r="V1954" s="1" t="str">
        <f t="shared" si="92"/>
        <v>Not Sampled</v>
      </c>
    </row>
    <row r="1955" spans="1:22" x14ac:dyDescent="0.25">
      <c r="A1955" s="1">
        <v>3</v>
      </c>
      <c r="B1955" s="1">
        <v>170</v>
      </c>
      <c r="C1955" s="1">
        <v>64</v>
      </c>
      <c r="D1955" s="1">
        <v>37</v>
      </c>
      <c r="E1955" s="1">
        <v>225</v>
      </c>
      <c r="F1955" s="1">
        <v>34.5</v>
      </c>
      <c r="G1955" s="1">
        <v>0.35599999999999998</v>
      </c>
      <c r="H1955" s="1">
        <v>30</v>
      </c>
      <c r="I1955" s="1">
        <v>1</v>
      </c>
      <c r="J1955" s="1" t="str">
        <f>IFERROR(VLOOKUP(K1955,[1]diabetes_Recognition!$A:$B,2,FALSE),"Not Sampled")</f>
        <v>Not Sampled</v>
      </c>
      <c r="K1955" s="1">
        <v>1953</v>
      </c>
      <c r="L1955" s="1" t="str">
        <f>LOOKUP(A1955,Sheet2!$D$4:$E$9)</f>
        <v>3-4</v>
      </c>
      <c r="M1955" t="str">
        <f>LOOKUP(B1955,Sheet2!$G$4:$H$9)</f>
        <v>151-175</v>
      </c>
      <c r="N1955" t="str">
        <f>LOOKUP(C1955,Sheet2!$J$4:$K$8)</f>
        <v>60-69</v>
      </c>
      <c r="O1955" t="str">
        <f>LOOKUP(D1955,Sheet2!$M$4:$N$8)</f>
        <v>30-39</v>
      </c>
      <c r="P1955" t="str">
        <f>LOOKUP(E1955,Sheet2!$P$4:$Q$9)</f>
        <v>200-399</v>
      </c>
      <c r="Q1955" t="str">
        <f>LOOKUP(F1955,Sheet2!$S$4:$T$8)</f>
        <v>31-35</v>
      </c>
      <c r="R1955" t="str">
        <f>LOOKUP(G1955,Sheet2!$V$4:$W$7)</f>
        <v>0.25 - 0.39</v>
      </c>
      <c r="S1955" t="str">
        <f>LOOKUP(H1955,Sheet2!$Z$4:$AA$7)</f>
        <v>26-35</v>
      </c>
      <c r="T1955" t="str">
        <f t="shared" si="90"/>
        <v>Positive</v>
      </c>
      <c r="U1955" t="str">
        <f t="shared" si="91"/>
        <v>Not Sampled</v>
      </c>
      <c r="V1955" s="1" t="str">
        <f t="shared" si="92"/>
        <v>Not Sampled</v>
      </c>
    </row>
    <row r="1956" spans="1:22" x14ac:dyDescent="0.25">
      <c r="A1956" s="1">
        <v>8</v>
      </c>
      <c r="B1956" s="1">
        <v>84</v>
      </c>
      <c r="C1956" s="1">
        <v>74</v>
      </c>
      <c r="D1956" s="1">
        <v>31</v>
      </c>
      <c r="E1956" s="1">
        <v>0</v>
      </c>
      <c r="F1956" s="1">
        <v>38.299999999999997</v>
      </c>
      <c r="G1956" s="1">
        <v>0.45700000000000002</v>
      </c>
      <c r="H1956" s="1">
        <v>39</v>
      </c>
      <c r="I1956" s="1">
        <v>0</v>
      </c>
      <c r="J1956" s="1">
        <f>IFERROR(VLOOKUP(K1956,[1]diabetes_Recognition!$A:$B,2,FALSE),"Not Sampled")</f>
        <v>0</v>
      </c>
      <c r="K1956" s="1">
        <v>1954</v>
      </c>
      <c r="L1956" s="1" t="str">
        <f>LOOKUP(A1956,Sheet2!$D$4:$E$9)</f>
        <v>8+</v>
      </c>
      <c r="M1956" t="str">
        <f>LOOKUP(B1956,Sheet2!$G$4:$H$9)</f>
        <v>1-99</v>
      </c>
      <c r="N1956" t="str">
        <f>LOOKUP(C1956,Sheet2!$J$4:$K$8)</f>
        <v>70-79</v>
      </c>
      <c r="O1956" t="str">
        <f>LOOKUP(D1956,Sheet2!$M$4:$N$8)</f>
        <v>30-39</v>
      </c>
      <c r="P1956" t="str">
        <f>LOOKUP(E1956,Sheet2!$P$4:$Q$9)</f>
        <v>Unknown</v>
      </c>
      <c r="Q1956" t="str">
        <f>LOOKUP(F1956,Sheet2!$S$4:$T$8)</f>
        <v>36+</v>
      </c>
      <c r="R1956" t="str">
        <f>LOOKUP(G1956,Sheet2!$V$4:$W$7)</f>
        <v>0.4 - 0.69</v>
      </c>
      <c r="S1956" t="str">
        <f>LOOKUP(H1956,Sheet2!$Z$4:$AA$7)</f>
        <v>36-45</v>
      </c>
      <c r="T1956" t="str">
        <f t="shared" si="90"/>
        <v>Negative</v>
      </c>
      <c r="U1956" t="str">
        <f t="shared" si="91"/>
        <v>Negative</v>
      </c>
      <c r="V1956" s="1" t="str">
        <f t="shared" si="92"/>
        <v>Accurate Prediction</v>
      </c>
    </row>
    <row r="1957" spans="1:22" x14ac:dyDescent="0.25">
      <c r="A1957" s="1">
        <v>2</v>
      </c>
      <c r="B1957" s="1">
        <v>96</v>
      </c>
      <c r="C1957" s="1">
        <v>68</v>
      </c>
      <c r="D1957" s="1">
        <v>13</v>
      </c>
      <c r="E1957" s="1">
        <v>49</v>
      </c>
      <c r="F1957" s="1">
        <v>21.1</v>
      </c>
      <c r="G1957" s="1">
        <v>0.64700000000000002</v>
      </c>
      <c r="H1957" s="1">
        <v>26</v>
      </c>
      <c r="I1957" s="1">
        <v>0</v>
      </c>
      <c r="J1957" s="1" t="str">
        <f>IFERROR(VLOOKUP(K1957,[1]diabetes_Recognition!$A:$B,2,FALSE),"Not Sampled")</f>
        <v>Not Sampled</v>
      </c>
      <c r="K1957" s="1">
        <v>1955</v>
      </c>
      <c r="L1957" s="1">
        <f>LOOKUP(A1957,Sheet2!$D$4:$E$9)</f>
        <v>2</v>
      </c>
      <c r="M1957" t="str">
        <f>LOOKUP(B1957,Sheet2!$G$4:$H$9)</f>
        <v>1-99</v>
      </c>
      <c r="N1957" t="str">
        <f>LOOKUP(C1957,Sheet2!$J$4:$K$8)</f>
        <v>60-69</v>
      </c>
      <c r="O1957" t="str">
        <f>LOOKUP(D1957,Sheet2!$M$4:$N$8)</f>
        <v>10-30</v>
      </c>
      <c r="P1957" t="str">
        <f>LOOKUP(E1957,Sheet2!$P$4:$Q$9)</f>
        <v>1-99</v>
      </c>
      <c r="Q1957" t="str">
        <f>LOOKUP(F1957,Sheet2!$S$4:$T$8)</f>
        <v>1-25</v>
      </c>
      <c r="R1957" t="str">
        <f>LOOKUP(G1957,Sheet2!$V$4:$W$7)</f>
        <v>0.4 - 0.69</v>
      </c>
      <c r="S1957" t="str">
        <f>LOOKUP(H1957,Sheet2!$Z$4:$AA$7)</f>
        <v>26-35</v>
      </c>
      <c r="T1957" t="str">
        <f t="shared" si="90"/>
        <v>Negative</v>
      </c>
      <c r="U1957" t="str">
        <f t="shared" si="91"/>
        <v>Not Sampled</v>
      </c>
      <c r="V1957" s="1" t="str">
        <f t="shared" si="92"/>
        <v>Not Sampled</v>
      </c>
    </row>
    <row r="1958" spans="1:22" x14ac:dyDescent="0.25">
      <c r="A1958" s="1">
        <v>2</v>
      </c>
      <c r="B1958" s="1">
        <v>125</v>
      </c>
      <c r="C1958" s="1">
        <v>60</v>
      </c>
      <c r="D1958" s="1">
        <v>20</v>
      </c>
      <c r="E1958" s="1">
        <v>140</v>
      </c>
      <c r="F1958" s="1">
        <v>33.799999999999997</v>
      </c>
      <c r="G1958" s="1">
        <v>8.7999999999999995E-2</v>
      </c>
      <c r="H1958" s="1">
        <v>31</v>
      </c>
      <c r="I1958" s="1">
        <v>0</v>
      </c>
      <c r="J1958" s="1">
        <f>IFERROR(VLOOKUP(K1958,[1]diabetes_Recognition!$A:$B,2,FALSE),"Not Sampled")</f>
        <v>0</v>
      </c>
      <c r="K1958" s="1">
        <v>1956</v>
      </c>
      <c r="L1958" s="1">
        <f>LOOKUP(A1958,Sheet2!$D$4:$E$9)</f>
        <v>2</v>
      </c>
      <c r="M1958" t="str">
        <f>LOOKUP(B1958,Sheet2!$G$4:$H$9)</f>
        <v>100-125</v>
      </c>
      <c r="N1958" t="str">
        <f>LOOKUP(C1958,Sheet2!$J$4:$K$8)</f>
        <v>60-69</v>
      </c>
      <c r="O1958" t="str">
        <f>LOOKUP(D1958,Sheet2!$M$4:$N$8)</f>
        <v>10-30</v>
      </c>
      <c r="P1958" t="str">
        <f>LOOKUP(E1958,Sheet2!$P$4:$Q$9)</f>
        <v>100-199</v>
      </c>
      <c r="Q1958" t="str">
        <f>LOOKUP(F1958,Sheet2!$S$4:$T$8)</f>
        <v>31-35</v>
      </c>
      <c r="R1958" t="str">
        <f>LOOKUP(G1958,Sheet2!$V$4:$W$7)</f>
        <v>0.0 - 0.249</v>
      </c>
      <c r="S1958" t="str">
        <f>LOOKUP(H1958,Sheet2!$Z$4:$AA$7)</f>
        <v>26-35</v>
      </c>
      <c r="T1958" t="str">
        <f t="shared" si="90"/>
        <v>Negative</v>
      </c>
      <c r="U1958" t="str">
        <f t="shared" si="91"/>
        <v>Negative</v>
      </c>
      <c r="V1958" s="1" t="str">
        <f t="shared" si="92"/>
        <v>Accurate Prediction</v>
      </c>
    </row>
    <row r="1959" spans="1:22" x14ac:dyDescent="0.25">
      <c r="A1959" s="1">
        <v>0</v>
      </c>
      <c r="B1959" s="1">
        <v>100</v>
      </c>
      <c r="C1959" s="1">
        <v>70</v>
      </c>
      <c r="D1959" s="1">
        <v>26</v>
      </c>
      <c r="E1959" s="1">
        <v>50</v>
      </c>
      <c r="F1959" s="1">
        <v>30.8</v>
      </c>
      <c r="G1959" s="1">
        <v>0.59699999999999998</v>
      </c>
      <c r="H1959" s="1">
        <v>21</v>
      </c>
      <c r="I1959" s="1">
        <v>0</v>
      </c>
      <c r="J1959" s="1" t="str">
        <f>IFERROR(VLOOKUP(K1959,[1]diabetes_Recognition!$A:$B,2,FALSE),"Not Sampled")</f>
        <v>Not Sampled</v>
      </c>
      <c r="K1959" s="1">
        <v>1957</v>
      </c>
      <c r="L1959" s="1">
        <f>LOOKUP(A1959,Sheet2!$D$4:$E$9)</f>
        <v>0</v>
      </c>
      <c r="M1959" t="str">
        <f>LOOKUP(B1959,Sheet2!$G$4:$H$9)</f>
        <v>100-125</v>
      </c>
      <c r="N1959" t="str">
        <f>LOOKUP(C1959,Sheet2!$J$4:$K$8)</f>
        <v>70-79</v>
      </c>
      <c r="O1959" t="str">
        <f>LOOKUP(D1959,Sheet2!$M$4:$N$8)</f>
        <v>10-30</v>
      </c>
      <c r="P1959" t="str">
        <f>LOOKUP(E1959,Sheet2!$P$4:$Q$9)</f>
        <v>1-99</v>
      </c>
      <c r="Q1959" t="str">
        <f>LOOKUP(F1959,Sheet2!$S$4:$T$8)</f>
        <v>26-30</v>
      </c>
      <c r="R1959" t="str">
        <f>LOOKUP(G1959,Sheet2!$V$4:$W$7)</f>
        <v>0.4 - 0.69</v>
      </c>
      <c r="S1959" t="str">
        <f>LOOKUP(H1959,Sheet2!$Z$4:$AA$7)</f>
        <v>&lt;=25</v>
      </c>
      <c r="T1959" t="str">
        <f t="shared" si="90"/>
        <v>Negative</v>
      </c>
      <c r="U1959" t="str">
        <f t="shared" si="91"/>
        <v>Not Sampled</v>
      </c>
      <c r="V1959" s="1" t="str">
        <f t="shared" si="92"/>
        <v>Not Sampled</v>
      </c>
    </row>
    <row r="1960" spans="1:22" x14ac:dyDescent="0.25">
      <c r="A1960" s="1">
        <v>0</v>
      </c>
      <c r="B1960" s="1">
        <v>93</v>
      </c>
      <c r="C1960" s="1">
        <v>60</v>
      </c>
      <c r="D1960" s="1">
        <v>25</v>
      </c>
      <c r="E1960" s="1">
        <v>92</v>
      </c>
      <c r="F1960" s="1">
        <v>28.7</v>
      </c>
      <c r="G1960" s="1">
        <v>0.53200000000000003</v>
      </c>
      <c r="H1960" s="1">
        <v>22</v>
      </c>
      <c r="I1960" s="1">
        <v>0</v>
      </c>
      <c r="J1960" s="1" t="str">
        <f>IFERROR(VLOOKUP(K1960,[1]diabetes_Recognition!$A:$B,2,FALSE),"Not Sampled")</f>
        <v>Not Sampled</v>
      </c>
      <c r="K1960" s="1">
        <v>1958</v>
      </c>
      <c r="L1960" s="1">
        <f>LOOKUP(A1960,Sheet2!$D$4:$E$9)</f>
        <v>0</v>
      </c>
      <c r="M1960" t="str">
        <f>LOOKUP(B1960,Sheet2!$G$4:$H$9)</f>
        <v>1-99</v>
      </c>
      <c r="N1960" t="str">
        <f>LOOKUP(C1960,Sheet2!$J$4:$K$8)</f>
        <v>60-69</v>
      </c>
      <c r="O1960" t="str">
        <f>LOOKUP(D1960,Sheet2!$M$4:$N$8)</f>
        <v>10-30</v>
      </c>
      <c r="P1960" t="str">
        <f>LOOKUP(E1960,Sheet2!$P$4:$Q$9)</f>
        <v>1-99</v>
      </c>
      <c r="Q1960" t="str">
        <f>LOOKUP(F1960,Sheet2!$S$4:$T$8)</f>
        <v>26-30</v>
      </c>
      <c r="R1960" t="str">
        <f>LOOKUP(G1960,Sheet2!$V$4:$W$7)</f>
        <v>0.4 - 0.69</v>
      </c>
      <c r="S1960" t="str">
        <f>LOOKUP(H1960,Sheet2!$Z$4:$AA$7)</f>
        <v>&lt;=25</v>
      </c>
      <c r="T1960" t="str">
        <f t="shared" si="90"/>
        <v>Negative</v>
      </c>
      <c r="U1960" t="str">
        <f t="shared" si="91"/>
        <v>Not Sampled</v>
      </c>
      <c r="V1960" s="1" t="str">
        <f t="shared" si="92"/>
        <v>Not Sampled</v>
      </c>
    </row>
    <row r="1961" spans="1:22" x14ac:dyDescent="0.25">
      <c r="A1961" s="1">
        <v>0</v>
      </c>
      <c r="B1961" s="1">
        <v>129</v>
      </c>
      <c r="C1961" s="1">
        <v>80</v>
      </c>
      <c r="D1961" s="1">
        <v>0</v>
      </c>
      <c r="E1961" s="1">
        <v>0</v>
      </c>
      <c r="F1961" s="1">
        <v>31.2</v>
      </c>
      <c r="G1961" s="1">
        <v>0.70299999999999996</v>
      </c>
      <c r="H1961" s="1">
        <v>29</v>
      </c>
      <c r="I1961" s="1">
        <v>0</v>
      </c>
      <c r="J1961" s="1" t="str">
        <f>IFERROR(VLOOKUP(K1961,[1]diabetes_Recognition!$A:$B,2,FALSE),"Not Sampled")</f>
        <v>Not Sampled</v>
      </c>
      <c r="K1961" s="1">
        <v>1959</v>
      </c>
      <c r="L1961" s="1">
        <f>LOOKUP(A1961,Sheet2!$D$4:$E$9)</f>
        <v>0</v>
      </c>
      <c r="M1961" t="str">
        <f>LOOKUP(B1961,Sheet2!$G$4:$H$9)</f>
        <v>126-150</v>
      </c>
      <c r="N1961" t="str">
        <f>LOOKUP(C1961,Sheet2!$J$4:$K$8)</f>
        <v>80+</v>
      </c>
      <c r="O1961" t="str">
        <f>LOOKUP(D1961,Sheet2!$M$4:$N$8)</f>
        <v>Unknown</v>
      </c>
      <c r="P1961" t="str">
        <f>LOOKUP(E1961,Sheet2!$P$4:$Q$9)</f>
        <v>Unknown</v>
      </c>
      <c r="Q1961" t="str">
        <f>LOOKUP(F1961,Sheet2!$S$4:$T$8)</f>
        <v>31-35</v>
      </c>
      <c r="R1961" t="str">
        <f>LOOKUP(G1961,Sheet2!$V$4:$W$7)</f>
        <v>0.7+</v>
      </c>
      <c r="S1961" t="str">
        <f>LOOKUP(H1961,Sheet2!$Z$4:$AA$7)</f>
        <v>26-35</v>
      </c>
      <c r="T1961" t="str">
        <f t="shared" si="90"/>
        <v>Negative</v>
      </c>
      <c r="U1961" t="str">
        <f t="shared" si="91"/>
        <v>Not Sampled</v>
      </c>
      <c r="V1961" s="1" t="str">
        <f t="shared" si="92"/>
        <v>Not Sampled</v>
      </c>
    </row>
    <row r="1962" spans="1:22" x14ac:dyDescent="0.25">
      <c r="A1962" s="1">
        <v>5</v>
      </c>
      <c r="B1962" s="1">
        <v>105</v>
      </c>
      <c r="C1962" s="1">
        <v>72</v>
      </c>
      <c r="D1962" s="1">
        <v>29</v>
      </c>
      <c r="E1962" s="1">
        <v>325</v>
      </c>
      <c r="F1962" s="1">
        <v>36.9</v>
      </c>
      <c r="G1962" s="1">
        <v>0.159</v>
      </c>
      <c r="H1962" s="1">
        <v>28</v>
      </c>
      <c r="I1962" s="1">
        <v>0</v>
      </c>
      <c r="J1962" s="1">
        <f>IFERROR(VLOOKUP(K1962,[1]diabetes_Recognition!$A:$B,2,FALSE),"Not Sampled")</f>
        <v>0</v>
      </c>
      <c r="K1962" s="1">
        <v>1960</v>
      </c>
      <c r="L1962" s="1" t="str">
        <f>LOOKUP(A1962,Sheet2!$D$4:$E$9)</f>
        <v>5-7</v>
      </c>
      <c r="M1962" t="str">
        <f>LOOKUP(B1962,Sheet2!$G$4:$H$9)</f>
        <v>100-125</v>
      </c>
      <c r="N1962" t="str">
        <f>LOOKUP(C1962,Sheet2!$J$4:$K$8)</f>
        <v>70-79</v>
      </c>
      <c r="O1962" t="str">
        <f>LOOKUP(D1962,Sheet2!$M$4:$N$8)</f>
        <v>10-30</v>
      </c>
      <c r="P1962" t="str">
        <f>LOOKUP(E1962,Sheet2!$P$4:$Q$9)</f>
        <v>300-499</v>
      </c>
      <c r="Q1962" t="str">
        <f>LOOKUP(F1962,Sheet2!$S$4:$T$8)</f>
        <v>36+</v>
      </c>
      <c r="R1962" t="str">
        <f>LOOKUP(G1962,Sheet2!$V$4:$W$7)</f>
        <v>0.0 - 0.249</v>
      </c>
      <c r="S1962" t="str">
        <f>LOOKUP(H1962,Sheet2!$Z$4:$AA$7)</f>
        <v>26-35</v>
      </c>
      <c r="T1962" t="str">
        <f t="shared" si="90"/>
        <v>Negative</v>
      </c>
      <c r="U1962" t="str">
        <f t="shared" si="91"/>
        <v>Negative</v>
      </c>
      <c r="V1962" s="1" t="str">
        <f t="shared" si="92"/>
        <v>Accurate Prediction</v>
      </c>
    </row>
    <row r="1963" spans="1:22" x14ac:dyDescent="0.25">
      <c r="A1963" s="1">
        <v>3</v>
      </c>
      <c r="B1963" s="1">
        <v>128</v>
      </c>
      <c r="C1963" s="1">
        <v>78</v>
      </c>
      <c r="D1963" s="1">
        <v>0</v>
      </c>
      <c r="E1963" s="1">
        <v>0</v>
      </c>
      <c r="F1963" s="1">
        <v>21.1</v>
      </c>
      <c r="G1963" s="1">
        <v>0.26800000000000002</v>
      </c>
      <c r="H1963" s="1">
        <v>55</v>
      </c>
      <c r="I1963" s="1">
        <v>0</v>
      </c>
      <c r="J1963" s="1" t="str">
        <f>IFERROR(VLOOKUP(K1963,[1]diabetes_Recognition!$A:$B,2,FALSE),"Not Sampled")</f>
        <v>Not Sampled</v>
      </c>
      <c r="K1963" s="1">
        <v>1961</v>
      </c>
      <c r="L1963" s="1" t="str">
        <f>LOOKUP(A1963,Sheet2!$D$4:$E$9)</f>
        <v>3-4</v>
      </c>
      <c r="M1963" t="str">
        <f>LOOKUP(B1963,Sheet2!$G$4:$H$9)</f>
        <v>126-150</v>
      </c>
      <c r="N1963" t="str">
        <f>LOOKUP(C1963,Sheet2!$J$4:$K$8)</f>
        <v>70-79</v>
      </c>
      <c r="O1963" t="str">
        <f>LOOKUP(D1963,Sheet2!$M$4:$N$8)</f>
        <v>Unknown</v>
      </c>
      <c r="P1963" t="str">
        <f>LOOKUP(E1963,Sheet2!$P$4:$Q$9)</f>
        <v>Unknown</v>
      </c>
      <c r="Q1963" t="str">
        <f>LOOKUP(F1963,Sheet2!$S$4:$T$8)</f>
        <v>1-25</v>
      </c>
      <c r="R1963" t="str">
        <f>LOOKUP(G1963,Sheet2!$V$4:$W$7)</f>
        <v>0.25 - 0.39</v>
      </c>
      <c r="S1963" t="str">
        <f>LOOKUP(H1963,Sheet2!$Z$4:$AA$7)</f>
        <v>46+</v>
      </c>
      <c r="T1963" t="str">
        <f t="shared" si="90"/>
        <v>Negative</v>
      </c>
      <c r="U1963" t="str">
        <f t="shared" si="91"/>
        <v>Not Sampled</v>
      </c>
      <c r="V1963" s="1" t="str">
        <f t="shared" si="92"/>
        <v>Not Sampled</v>
      </c>
    </row>
    <row r="1964" spans="1:22" x14ac:dyDescent="0.25">
      <c r="A1964" s="1">
        <v>5</v>
      </c>
      <c r="B1964" s="1">
        <v>106</v>
      </c>
      <c r="C1964" s="1">
        <v>82</v>
      </c>
      <c r="D1964" s="1">
        <v>30</v>
      </c>
      <c r="E1964" s="1">
        <v>0</v>
      </c>
      <c r="F1964" s="1">
        <v>39.5</v>
      </c>
      <c r="G1964" s="1">
        <v>0.28599999999999998</v>
      </c>
      <c r="H1964" s="1">
        <v>38</v>
      </c>
      <c r="I1964" s="1">
        <v>0</v>
      </c>
      <c r="J1964" s="1" t="str">
        <f>IFERROR(VLOOKUP(K1964,[1]diabetes_Recognition!$A:$B,2,FALSE),"Not Sampled")</f>
        <v>Not Sampled</v>
      </c>
      <c r="K1964" s="1">
        <v>1962</v>
      </c>
      <c r="L1964" s="1" t="str">
        <f>LOOKUP(A1964,Sheet2!$D$4:$E$9)</f>
        <v>5-7</v>
      </c>
      <c r="M1964" t="str">
        <f>LOOKUP(B1964,Sheet2!$G$4:$H$9)</f>
        <v>100-125</v>
      </c>
      <c r="N1964" t="str">
        <f>LOOKUP(C1964,Sheet2!$J$4:$K$8)</f>
        <v>80+</v>
      </c>
      <c r="O1964" t="str">
        <f>LOOKUP(D1964,Sheet2!$M$4:$N$8)</f>
        <v>30-39</v>
      </c>
      <c r="P1964" t="str">
        <f>LOOKUP(E1964,Sheet2!$P$4:$Q$9)</f>
        <v>Unknown</v>
      </c>
      <c r="Q1964" t="str">
        <f>LOOKUP(F1964,Sheet2!$S$4:$T$8)</f>
        <v>36+</v>
      </c>
      <c r="R1964" t="str">
        <f>LOOKUP(G1964,Sheet2!$V$4:$W$7)</f>
        <v>0.25 - 0.39</v>
      </c>
      <c r="S1964" t="str">
        <f>LOOKUP(H1964,Sheet2!$Z$4:$AA$7)</f>
        <v>36-45</v>
      </c>
      <c r="T1964" t="str">
        <f t="shared" si="90"/>
        <v>Negative</v>
      </c>
      <c r="U1964" t="str">
        <f t="shared" si="91"/>
        <v>Not Sampled</v>
      </c>
      <c r="V1964" s="1" t="str">
        <f t="shared" si="92"/>
        <v>Not Sampled</v>
      </c>
    </row>
    <row r="1965" spans="1:22" x14ac:dyDescent="0.25">
      <c r="A1965" s="1">
        <v>2</v>
      </c>
      <c r="B1965" s="1">
        <v>108</v>
      </c>
      <c r="C1965" s="1">
        <v>52</v>
      </c>
      <c r="D1965" s="1">
        <v>26</v>
      </c>
      <c r="E1965" s="1">
        <v>63</v>
      </c>
      <c r="F1965" s="1">
        <v>32.5</v>
      </c>
      <c r="G1965" s="1">
        <v>0.318</v>
      </c>
      <c r="H1965" s="1">
        <v>22</v>
      </c>
      <c r="I1965" s="1">
        <v>0</v>
      </c>
      <c r="J1965" s="1" t="str">
        <f>IFERROR(VLOOKUP(K1965,[1]diabetes_Recognition!$A:$B,2,FALSE),"Not Sampled")</f>
        <v>Not Sampled</v>
      </c>
      <c r="K1965" s="1">
        <v>1963</v>
      </c>
      <c r="L1965" s="1">
        <f>LOOKUP(A1965,Sheet2!$D$4:$E$9)</f>
        <v>2</v>
      </c>
      <c r="M1965" t="str">
        <f>LOOKUP(B1965,Sheet2!$G$4:$H$9)</f>
        <v>100-125</v>
      </c>
      <c r="N1965" t="str">
        <f>LOOKUP(C1965,Sheet2!$J$4:$K$8)</f>
        <v>1-59</v>
      </c>
      <c r="O1965" t="str">
        <f>LOOKUP(D1965,Sheet2!$M$4:$N$8)</f>
        <v>10-30</v>
      </c>
      <c r="P1965" t="str">
        <f>LOOKUP(E1965,Sheet2!$P$4:$Q$9)</f>
        <v>1-99</v>
      </c>
      <c r="Q1965" t="str">
        <f>LOOKUP(F1965,Sheet2!$S$4:$T$8)</f>
        <v>31-35</v>
      </c>
      <c r="R1965" t="str">
        <f>LOOKUP(G1965,Sheet2!$V$4:$W$7)</f>
        <v>0.25 - 0.39</v>
      </c>
      <c r="S1965" t="str">
        <f>LOOKUP(H1965,Sheet2!$Z$4:$AA$7)</f>
        <v>&lt;=25</v>
      </c>
      <c r="T1965" t="str">
        <f t="shared" si="90"/>
        <v>Negative</v>
      </c>
      <c r="U1965" t="str">
        <f t="shared" si="91"/>
        <v>Not Sampled</v>
      </c>
      <c r="V1965" s="1" t="str">
        <f t="shared" si="92"/>
        <v>Not Sampled</v>
      </c>
    </row>
    <row r="1966" spans="1:22" x14ac:dyDescent="0.25">
      <c r="A1966" s="1">
        <v>10</v>
      </c>
      <c r="B1966" s="1">
        <v>108</v>
      </c>
      <c r="C1966" s="1">
        <v>66</v>
      </c>
      <c r="D1966" s="1">
        <v>0</v>
      </c>
      <c r="E1966" s="1">
        <v>0</v>
      </c>
      <c r="F1966" s="1">
        <v>32.4</v>
      </c>
      <c r="G1966" s="1">
        <v>0.27200000000000002</v>
      </c>
      <c r="H1966" s="1">
        <v>42</v>
      </c>
      <c r="I1966" s="1">
        <v>1</v>
      </c>
      <c r="J1966" s="1" t="str">
        <f>IFERROR(VLOOKUP(K1966,[1]diabetes_Recognition!$A:$B,2,FALSE),"Not Sampled")</f>
        <v>Not Sampled</v>
      </c>
      <c r="K1966" s="1">
        <v>1964</v>
      </c>
      <c r="L1966" s="1" t="str">
        <f>LOOKUP(A1966,Sheet2!$D$4:$E$9)</f>
        <v>8+</v>
      </c>
      <c r="M1966" t="str">
        <f>LOOKUP(B1966,Sheet2!$G$4:$H$9)</f>
        <v>100-125</v>
      </c>
      <c r="N1966" t="str">
        <f>LOOKUP(C1966,Sheet2!$J$4:$K$8)</f>
        <v>60-69</v>
      </c>
      <c r="O1966" t="str">
        <f>LOOKUP(D1966,Sheet2!$M$4:$N$8)</f>
        <v>Unknown</v>
      </c>
      <c r="P1966" t="str">
        <f>LOOKUP(E1966,Sheet2!$P$4:$Q$9)</f>
        <v>Unknown</v>
      </c>
      <c r="Q1966" t="str">
        <f>LOOKUP(F1966,Sheet2!$S$4:$T$8)</f>
        <v>31-35</v>
      </c>
      <c r="R1966" t="str">
        <f>LOOKUP(G1966,Sheet2!$V$4:$W$7)</f>
        <v>0.25 - 0.39</v>
      </c>
      <c r="S1966" t="str">
        <f>LOOKUP(H1966,Sheet2!$Z$4:$AA$7)</f>
        <v>36-45</v>
      </c>
      <c r="T1966" t="str">
        <f t="shared" si="90"/>
        <v>Positive</v>
      </c>
      <c r="U1966" t="str">
        <f t="shared" si="91"/>
        <v>Not Sampled</v>
      </c>
      <c r="V1966" s="1" t="str">
        <f t="shared" si="92"/>
        <v>Not Sampled</v>
      </c>
    </row>
    <row r="1967" spans="1:22" x14ac:dyDescent="0.25">
      <c r="A1967" s="1">
        <v>4</v>
      </c>
      <c r="B1967" s="1">
        <v>154</v>
      </c>
      <c r="C1967" s="1">
        <v>62</v>
      </c>
      <c r="D1967" s="1">
        <v>31</v>
      </c>
      <c r="E1967" s="1">
        <v>284</v>
      </c>
      <c r="F1967" s="1">
        <v>32.799999999999997</v>
      </c>
      <c r="G1967" s="1">
        <v>0.23699999999999999</v>
      </c>
      <c r="H1967" s="1">
        <v>23</v>
      </c>
      <c r="I1967" s="1">
        <v>0</v>
      </c>
      <c r="J1967" s="1" t="str">
        <f>IFERROR(VLOOKUP(K1967,[1]diabetes_Recognition!$A:$B,2,FALSE),"Not Sampled")</f>
        <v>Not Sampled</v>
      </c>
      <c r="K1967" s="1">
        <v>1965</v>
      </c>
      <c r="L1967" s="1" t="str">
        <f>LOOKUP(A1967,Sheet2!$D$4:$E$9)</f>
        <v>3-4</v>
      </c>
      <c r="M1967" t="str">
        <f>LOOKUP(B1967,Sheet2!$G$4:$H$9)</f>
        <v>151-175</v>
      </c>
      <c r="N1967" t="str">
        <f>LOOKUP(C1967,Sheet2!$J$4:$K$8)</f>
        <v>60-69</v>
      </c>
      <c r="O1967" t="str">
        <f>LOOKUP(D1967,Sheet2!$M$4:$N$8)</f>
        <v>30-39</v>
      </c>
      <c r="P1967" t="str">
        <f>LOOKUP(E1967,Sheet2!$P$4:$Q$9)</f>
        <v>200-399</v>
      </c>
      <c r="Q1967" t="str">
        <f>LOOKUP(F1967,Sheet2!$S$4:$T$8)</f>
        <v>31-35</v>
      </c>
      <c r="R1967" t="str">
        <f>LOOKUP(G1967,Sheet2!$V$4:$W$7)</f>
        <v>0.0 - 0.249</v>
      </c>
      <c r="S1967" t="str">
        <f>LOOKUP(H1967,Sheet2!$Z$4:$AA$7)</f>
        <v>&lt;=25</v>
      </c>
      <c r="T1967" t="str">
        <f t="shared" si="90"/>
        <v>Negative</v>
      </c>
      <c r="U1967" t="str">
        <f t="shared" si="91"/>
        <v>Not Sampled</v>
      </c>
      <c r="V1967" s="1" t="str">
        <f t="shared" si="92"/>
        <v>Not Sampled</v>
      </c>
    </row>
    <row r="1968" spans="1:22" x14ac:dyDescent="0.25">
      <c r="A1968" s="1">
        <v>0</v>
      </c>
      <c r="B1968" s="1">
        <v>102</v>
      </c>
      <c r="C1968" s="1">
        <v>75</v>
      </c>
      <c r="D1968" s="1">
        <v>23</v>
      </c>
      <c r="E1968" s="1">
        <v>0</v>
      </c>
      <c r="F1968" s="1">
        <v>0</v>
      </c>
      <c r="G1968" s="1">
        <v>0.57199999999999995</v>
      </c>
      <c r="H1968" s="1">
        <v>21</v>
      </c>
      <c r="I1968" s="1">
        <v>0</v>
      </c>
      <c r="J1968" s="1" t="str">
        <f>IFERROR(VLOOKUP(K1968,[1]diabetes_Recognition!$A:$B,2,FALSE),"Not Sampled")</f>
        <v>Not Sampled</v>
      </c>
      <c r="K1968" s="1">
        <v>1966</v>
      </c>
      <c r="L1968" s="1">
        <f>LOOKUP(A1968,Sheet2!$D$4:$E$9)</f>
        <v>0</v>
      </c>
      <c r="M1968" t="str">
        <f>LOOKUP(B1968,Sheet2!$G$4:$H$9)</f>
        <v>100-125</v>
      </c>
      <c r="N1968" t="str">
        <f>LOOKUP(C1968,Sheet2!$J$4:$K$8)</f>
        <v>70-79</v>
      </c>
      <c r="O1968" t="str">
        <f>LOOKUP(D1968,Sheet2!$M$4:$N$8)</f>
        <v>10-30</v>
      </c>
      <c r="P1968" t="str">
        <f>LOOKUP(E1968,Sheet2!$P$4:$Q$9)</f>
        <v>Unknown</v>
      </c>
      <c r="Q1968" t="str">
        <f>LOOKUP(F1968,Sheet2!$S$4:$T$8)</f>
        <v>Unknown</v>
      </c>
      <c r="R1968" t="str">
        <f>LOOKUP(G1968,Sheet2!$V$4:$W$7)</f>
        <v>0.4 - 0.69</v>
      </c>
      <c r="S1968" t="str">
        <f>LOOKUP(H1968,Sheet2!$Z$4:$AA$7)</f>
        <v>&lt;=25</v>
      </c>
      <c r="T1968" t="str">
        <f t="shared" si="90"/>
        <v>Negative</v>
      </c>
      <c r="U1968" t="str">
        <f t="shared" si="91"/>
        <v>Not Sampled</v>
      </c>
      <c r="V1968" s="1" t="str">
        <f t="shared" si="92"/>
        <v>Not Sampled</v>
      </c>
    </row>
    <row r="1969" spans="1:22" x14ac:dyDescent="0.25">
      <c r="A1969" s="1">
        <v>9</v>
      </c>
      <c r="B1969" s="1">
        <v>57</v>
      </c>
      <c r="C1969" s="1">
        <v>80</v>
      </c>
      <c r="D1969" s="1">
        <v>37</v>
      </c>
      <c r="E1969" s="1">
        <v>0</v>
      </c>
      <c r="F1969" s="1">
        <v>32.799999999999997</v>
      </c>
      <c r="G1969" s="1">
        <v>9.6000000000000002E-2</v>
      </c>
      <c r="H1969" s="1">
        <v>41</v>
      </c>
      <c r="I1969" s="1">
        <v>0</v>
      </c>
      <c r="J1969" s="1" t="str">
        <f>IFERROR(VLOOKUP(K1969,[1]diabetes_Recognition!$A:$B,2,FALSE),"Not Sampled")</f>
        <v>Not Sampled</v>
      </c>
      <c r="K1969" s="1">
        <v>1967</v>
      </c>
      <c r="L1969" s="1" t="str">
        <f>LOOKUP(A1969,Sheet2!$D$4:$E$9)</f>
        <v>8+</v>
      </c>
      <c r="M1969" t="str">
        <f>LOOKUP(B1969,Sheet2!$G$4:$H$9)</f>
        <v>1-99</v>
      </c>
      <c r="N1969" t="str">
        <f>LOOKUP(C1969,Sheet2!$J$4:$K$8)</f>
        <v>80+</v>
      </c>
      <c r="O1969" t="str">
        <f>LOOKUP(D1969,Sheet2!$M$4:$N$8)</f>
        <v>30-39</v>
      </c>
      <c r="P1969" t="str">
        <f>LOOKUP(E1969,Sheet2!$P$4:$Q$9)</f>
        <v>Unknown</v>
      </c>
      <c r="Q1969" t="str">
        <f>LOOKUP(F1969,Sheet2!$S$4:$T$8)</f>
        <v>31-35</v>
      </c>
      <c r="R1969" t="str">
        <f>LOOKUP(G1969,Sheet2!$V$4:$W$7)</f>
        <v>0.0 - 0.249</v>
      </c>
      <c r="S1969" t="str">
        <f>LOOKUP(H1969,Sheet2!$Z$4:$AA$7)</f>
        <v>36-45</v>
      </c>
      <c r="T1969" t="str">
        <f t="shared" si="90"/>
        <v>Negative</v>
      </c>
      <c r="U1969" t="str">
        <f t="shared" si="91"/>
        <v>Not Sampled</v>
      </c>
      <c r="V1969" s="1" t="str">
        <f t="shared" si="92"/>
        <v>Not Sampled</v>
      </c>
    </row>
    <row r="1970" spans="1:22" x14ac:dyDescent="0.25">
      <c r="A1970" s="1">
        <v>2</v>
      </c>
      <c r="B1970" s="1">
        <v>106</v>
      </c>
      <c r="C1970" s="1">
        <v>64</v>
      </c>
      <c r="D1970" s="1">
        <v>35</v>
      </c>
      <c r="E1970" s="1">
        <v>119</v>
      </c>
      <c r="F1970" s="1">
        <v>30.5</v>
      </c>
      <c r="G1970" s="1">
        <v>1.4</v>
      </c>
      <c r="H1970" s="1">
        <v>34</v>
      </c>
      <c r="I1970" s="1">
        <v>0</v>
      </c>
      <c r="J1970" s="1" t="str">
        <f>IFERROR(VLOOKUP(K1970,[1]diabetes_Recognition!$A:$B,2,FALSE),"Not Sampled")</f>
        <v>Not Sampled</v>
      </c>
      <c r="K1970" s="1">
        <v>1968</v>
      </c>
      <c r="L1970" s="1">
        <f>LOOKUP(A1970,Sheet2!$D$4:$E$9)</f>
        <v>2</v>
      </c>
      <c r="M1970" t="str">
        <f>LOOKUP(B1970,Sheet2!$G$4:$H$9)</f>
        <v>100-125</v>
      </c>
      <c r="N1970" t="str">
        <f>LOOKUP(C1970,Sheet2!$J$4:$K$8)</f>
        <v>60-69</v>
      </c>
      <c r="O1970" t="str">
        <f>LOOKUP(D1970,Sheet2!$M$4:$N$8)</f>
        <v>30-39</v>
      </c>
      <c r="P1970" t="str">
        <f>LOOKUP(E1970,Sheet2!$P$4:$Q$9)</f>
        <v>100-199</v>
      </c>
      <c r="Q1970" t="str">
        <f>LOOKUP(F1970,Sheet2!$S$4:$T$8)</f>
        <v>26-30</v>
      </c>
      <c r="R1970" t="str">
        <f>LOOKUP(G1970,Sheet2!$V$4:$W$7)</f>
        <v>0.7+</v>
      </c>
      <c r="S1970" t="str">
        <f>LOOKUP(H1970,Sheet2!$Z$4:$AA$7)</f>
        <v>26-35</v>
      </c>
      <c r="T1970" t="str">
        <f t="shared" si="90"/>
        <v>Negative</v>
      </c>
      <c r="U1970" t="str">
        <f t="shared" si="91"/>
        <v>Not Sampled</v>
      </c>
      <c r="V1970" s="1" t="str">
        <f t="shared" si="92"/>
        <v>Not Sampled</v>
      </c>
    </row>
    <row r="1971" spans="1:22" x14ac:dyDescent="0.25">
      <c r="A1971" s="1">
        <v>5</v>
      </c>
      <c r="B1971" s="1">
        <v>147</v>
      </c>
      <c r="C1971" s="1">
        <v>78</v>
      </c>
      <c r="D1971" s="1">
        <v>0</v>
      </c>
      <c r="E1971" s="1">
        <v>0</v>
      </c>
      <c r="F1971" s="1">
        <v>33.700000000000003</v>
      </c>
      <c r="G1971" s="1">
        <v>0.218</v>
      </c>
      <c r="H1971" s="1">
        <v>65</v>
      </c>
      <c r="I1971" s="1">
        <v>0</v>
      </c>
      <c r="J1971" s="1" t="str">
        <f>IFERROR(VLOOKUP(K1971,[1]diabetes_Recognition!$A:$B,2,FALSE),"Not Sampled")</f>
        <v>Not Sampled</v>
      </c>
      <c r="K1971" s="1">
        <v>1969</v>
      </c>
      <c r="L1971" s="1" t="str">
        <f>LOOKUP(A1971,Sheet2!$D$4:$E$9)</f>
        <v>5-7</v>
      </c>
      <c r="M1971" t="str">
        <f>LOOKUP(B1971,Sheet2!$G$4:$H$9)</f>
        <v>126-150</v>
      </c>
      <c r="N1971" t="str">
        <f>LOOKUP(C1971,Sheet2!$J$4:$K$8)</f>
        <v>70-79</v>
      </c>
      <c r="O1971" t="str">
        <f>LOOKUP(D1971,Sheet2!$M$4:$N$8)</f>
        <v>Unknown</v>
      </c>
      <c r="P1971" t="str">
        <f>LOOKUP(E1971,Sheet2!$P$4:$Q$9)</f>
        <v>Unknown</v>
      </c>
      <c r="Q1971" t="str">
        <f>LOOKUP(F1971,Sheet2!$S$4:$T$8)</f>
        <v>31-35</v>
      </c>
      <c r="R1971" t="str">
        <f>LOOKUP(G1971,Sheet2!$V$4:$W$7)</f>
        <v>0.0 - 0.249</v>
      </c>
      <c r="S1971" t="str">
        <f>LOOKUP(H1971,Sheet2!$Z$4:$AA$7)</f>
        <v>46+</v>
      </c>
      <c r="T1971" t="str">
        <f t="shared" si="90"/>
        <v>Negative</v>
      </c>
      <c r="U1971" t="str">
        <f t="shared" si="91"/>
        <v>Not Sampled</v>
      </c>
      <c r="V1971" s="1" t="str">
        <f t="shared" si="92"/>
        <v>Not Sampled</v>
      </c>
    </row>
    <row r="1972" spans="1:22" x14ac:dyDescent="0.25">
      <c r="A1972" s="1">
        <v>2</v>
      </c>
      <c r="B1972" s="1">
        <v>90</v>
      </c>
      <c r="C1972" s="1">
        <v>70</v>
      </c>
      <c r="D1972" s="1">
        <v>17</v>
      </c>
      <c r="E1972" s="1">
        <v>0</v>
      </c>
      <c r="F1972" s="1">
        <v>27.3</v>
      </c>
      <c r="G1972" s="1">
        <v>8.5000000000000006E-2</v>
      </c>
      <c r="H1972" s="1">
        <v>22</v>
      </c>
      <c r="I1972" s="1">
        <v>0</v>
      </c>
      <c r="J1972" s="1" t="str">
        <f>IFERROR(VLOOKUP(K1972,[1]diabetes_Recognition!$A:$B,2,FALSE),"Not Sampled")</f>
        <v>Not Sampled</v>
      </c>
      <c r="K1972" s="1">
        <v>1970</v>
      </c>
      <c r="L1972" s="1">
        <f>LOOKUP(A1972,Sheet2!$D$4:$E$9)</f>
        <v>2</v>
      </c>
      <c r="M1972" t="str">
        <f>LOOKUP(B1972,Sheet2!$G$4:$H$9)</f>
        <v>1-99</v>
      </c>
      <c r="N1972" t="str">
        <f>LOOKUP(C1972,Sheet2!$J$4:$K$8)</f>
        <v>70-79</v>
      </c>
      <c r="O1972" t="str">
        <f>LOOKUP(D1972,Sheet2!$M$4:$N$8)</f>
        <v>10-30</v>
      </c>
      <c r="P1972" t="str">
        <f>LOOKUP(E1972,Sheet2!$P$4:$Q$9)</f>
        <v>Unknown</v>
      </c>
      <c r="Q1972" t="str">
        <f>LOOKUP(F1972,Sheet2!$S$4:$T$8)</f>
        <v>26-30</v>
      </c>
      <c r="R1972" t="str">
        <f>LOOKUP(G1972,Sheet2!$V$4:$W$7)</f>
        <v>0.0 - 0.249</v>
      </c>
      <c r="S1972" t="str">
        <f>LOOKUP(H1972,Sheet2!$Z$4:$AA$7)</f>
        <v>&lt;=25</v>
      </c>
      <c r="T1972" t="str">
        <f t="shared" si="90"/>
        <v>Negative</v>
      </c>
      <c r="U1972" t="str">
        <f t="shared" si="91"/>
        <v>Not Sampled</v>
      </c>
      <c r="V1972" s="1" t="str">
        <f t="shared" si="92"/>
        <v>Not Sampled</v>
      </c>
    </row>
    <row r="1973" spans="1:22" x14ac:dyDescent="0.25">
      <c r="A1973" s="1">
        <v>1</v>
      </c>
      <c r="B1973" s="1">
        <v>136</v>
      </c>
      <c r="C1973" s="1">
        <v>74</v>
      </c>
      <c r="D1973" s="1">
        <v>50</v>
      </c>
      <c r="E1973" s="1">
        <v>204</v>
      </c>
      <c r="F1973" s="1">
        <v>37.4</v>
      </c>
      <c r="G1973" s="1">
        <v>0.39900000000000002</v>
      </c>
      <c r="H1973" s="1">
        <v>24</v>
      </c>
      <c r="I1973" s="1">
        <v>0</v>
      </c>
      <c r="J1973" s="1">
        <f>IFERROR(VLOOKUP(K1973,[1]diabetes_Recognition!$A:$B,2,FALSE),"Not Sampled")</f>
        <v>0</v>
      </c>
      <c r="K1973" s="1">
        <v>1971</v>
      </c>
      <c r="L1973" s="1">
        <f>LOOKUP(A1973,Sheet2!$D$4:$E$9)</f>
        <v>1</v>
      </c>
      <c r="M1973" t="str">
        <f>LOOKUP(B1973,Sheet2!$G$4:$H$9)</f>
        <v>126-150</v>
      </c>
      <c r="N1973" t="str">
        <f>LOOKUP(C1973,Sheet2!$J$4:$K$8)</f>
        <v>70-79</v>
      </c>
      <c r="O1973" t="str">
        <f>LOOKUP(D1973,Sheet2!$M$4:$N$8)</f>
        <v>40+</v>
      </c>
      <c r="P1973" t="str">
        <f>LOOKUP(E1973,Sheet2!$P$4:$Q$9)</f>
        <v>200-399</v>
      </c>
      <c r="Q1973" t="str">
        <f>LOOKUP(F1973,Sheet2!$S$4:$T$8)</f>
        <v>36+</v>
      </c>
      <c r="R1973" t="str">
        <f>LOOKUP(G1973,Sheet2!$V$4:$W$7)</f>
        <v>0.25 - 0.39</v>
      </c>
      <c r="S1973" t="str">
        <f>LOOKUP(H1973,Sheet2!$Z$4:$AA$7)</f>
        <v>&lt;=25</v>
      </c>
      <c r="T1973" t="str">
        <f t="shared" si="90"/>
        <v>Negative</v>
      </c>
      <c r="U1973" t="str">
        <f t="shared" si="91"/>
        <v>Negative</v>
      </c>
      <c r="V1973" s="1" t="str">
        <f t="shared" si="92"/>
        <v>Accurate Prediction</v>
      </c>
    </row>
    <row r="1974" spans="1:22" x14ac:dyDescent="0.25">
      <c r="A1974" s="1">
        <v>4</v>
      </c>
      <c r="B1974" s="1">
        <v>114</v>
      </c>
      <c r="C1974" s="1">
        <v>65</v>
      </c>
      <c r="D1974" s="1">
        <v>0</v>
      </c>
      <c r="E1974" s="1">
        <v>0</v>
      </c>
      <c r="F1974" s="1">
        <v>21.9</v>
      </c>
      <c r="G1974" s="1">
        <v>0.432</v>
      </c>
      <c r="H1974" s="1">
        <v>37</v>
      </c>
      <c r="I1974" s="1">
        <v>0</v>
      </c>
      <c r="J1974" s="1">
        <f>IFERROR(VLOOKUP(K1974,[1]diabetes_Recognition!$A:$B,2,FALSE),"Not Sampled")</f>
        <v>0</v>
      </c>
      <c r="K1974" s="1">
        <v>1972</v>
      </c>
      <c r="L1974" s="1" t="str">
        <f>LOOKUP(A1974,Sheet2!$D$4:$E$9)</f>
        <v>3-4</v>
      </c>
      <c r="M1974" t="str">
        <f>LOOKUP(B1974,Sheet2!$G$4:$H$9)</f>
        <v>100-125</v>
      </c>
      <c r="N1974" t="str">
        <f>LOOKUP(C1974,Sheet2!$J$4:$K$8)</f>
        <v>60-69</v>
      </c>
      <c r="O1974" t="str">
        <f>LOOKUP(D1974,Sheet2!$M$4:$N$8)</f>
        <v>Unknown</v>
      </c>
      <c r="P1974" t="str">
        <f>LOOKUP(E1974,Sheet2!$P$4:$Q$9)</f>
        <v>Unknown</v>
      </c>
      <c r="Q1974" t="str">
        <f>LOOKUP(F1974,Sheet2!$S$4:$T$8)</f>
        <v>1-25</v>
      </c>
      <c r="R1974" t="str">
        <f>LOOKUP(G1974,Sheet2!$V$4:$W$7)</f>
        <v>0.4 - 0.69</v>
      </c>
      <c r="S1974" t="str">
        <f>LOOKUP(H1974,Sheet2!$Z$4:$AA$7)</f>
        <v>36-45</v>
      </c>
      <c r="T1974" t="str">
        <f t="shared" si="90"/>
        <v>Negative</v>
      </c>
      <c r="U1974" t="str">
        <f t="shared" si="91"/>
        <v>Negative</v>
      </c>
      <c r="V1974" s="1" t="str">
        <f t="shared" si="92"/>
        <v>Accurate Prediction</v>
      </c>
    </row>
    <row r="1975" spans="1:22" x14ac:dyDescent="0.25">
      <c r="A1975" s="1">
        <v>9</v>
      </c>
      <c r="B1975" s="1">
        <v>156</v>
      </c>
      <c r="C1975" s="1">
        <v>86</v>
      </c>
      <c r="D1975" s="1">
        <v>28</v>
      </c>
      <c r="E1975" s="1">
        <v>155</v>
      </c>
      <c r="F1975" s="1">
        <v>34.299999999999997</v>
      </c>
      <c r="G1975" s="1">
        <v>1.1890000000000001</v>
      </c>
      <c r="H1975" s="1">
        <v>42</v>
      </c>
      <c r="I1975" s="1">
        <v>1</v>
      </c>
      <c r="J1975" s="1" t="str">
        <f>IFERROR(VLOOKUP(K1975,[1]diabetes_Recognition!$A:$B,2,FALSE),"Not Sampled")</f>
        <v>Not Sampled</v>
      </c>
      <c r="K1975" s="1">
        <v>1973</v>
      </c>
      <c r="L1975" s="1" t="str">
        <f>LOOKUP(A1975,Sheet2!$D$4:$E$9)</f>
        <v>8+</v>
      </c>
      <c r="M1975" t="str">
        <f>LOOKUP(B1975,Sheet2!$G$4:$H$9)</f>
        <v>151-175</v>
      </c>
      <c r="N1975" t="str">
        <f>LOOKUP(C1975,Sheet2!$J$4:$K$8)</f>
        <v>80+</v>
      </c>
      <c r="O1975" t="str">
        <f>LOOKUP(D1975,Sheet2!$M$4:$N$8)</f>
        <v>10-30</v>
      </c>
      <c r="P1975" t="str">
        <f>LOOKUP(E1975,Sheet2!$P$4:$Q$9)</f>
        <v>100-199</v>
      </c>
      <c r="Q1975" t="str">
        <f>LOOKUP(F1975,Sheet2!$S$4:$T$8)</f>
        <v>31-35</v>
      </c>
      <c r="R1975" t="str">
        <f>LOOKUP(G1975,Sheet2!$V$4:$W$7)</f>
        <v>0.7+</v>
      </c>
      <c r="S1975" t="str">
        <f>LOOKUP(H1975,Sheet2!$Z$4:$AA$7)</f>
        <v>36-45</v>
      </c>
      <c r="T1975" t="str">
        <f t="shared" si="90"/>
        <v>Positive</v>
      </c>
      <c r="U1975" t="str">
        <f t="shared" si="91"/>
        <v>Not Sampled</v>
      </c>
      <c r="V1975" s="1" t="str">
        <f t="shared" si="92"/>
        <v>Not Sampled</v>
      </c>
    </row>
    <row r="1976" spans="1:22" x14ac:dyDescent="0.25">
      <c r="A1976" s="1">
        <v>1</v>
      </c>
      <c r="B1976" s="1">
        <v>153</v>
      </c>
      <c r="C1976" s="1">
        <v>82</v>
      </c>
      <c r="D1976" s="1">
        <v>42</v>
      </c>
      <c r="E1976" s="1">
        <v>485</v>
      </c>
      <c r="F1976" s="1">
        <v>40.6</v>
      </c>
      <c r="G1976" s="1">
        <v>0.68700000000000006</v>
      </c>
      <c r="H1976" s="1">
        <v>23</v>
      </c>
      <c r="I1976" s="1">
        <v>0</v>
      </c>
      <c r="J1976" s="1" t="str">
        <f>IFERROR(VLOOKUP(K1976,[1]diabetes_Recognition!$A:$B,2,FALSE),"Not Sampled")</f>
        <v>Not Sampled</v>
      </c>
      <c r="K1976" s="1">
        <v>1974</v>
      </c>
      <c r="L1976" s="1">
        <f>LOOKUP(A1976,Sheet2!$D$4:$E$9)</f>
        <v>1</v>
      </c>
      <c r="M1976" t="str">
        <f>LOOKUP(B1976,Sheet2!$G$4:$H$9)</f>
        <v>151-175</v>
      </c>
      <c r="N1976" t="str">
        <f>LOOKUP(C1976,Sheet2!$J$4:$K$8)</f>
        <v>80+</v>
      </c>
      <c r="O1976" t="str">
        <f>LOOKUP(D1976,Sheet2!$M$4:$N$8)</f>
        <v>40+</v>
      </c>
      <c r="P1976" t="str">
        <f>LOOKUP(E1976,Sheet2!$P$4:$Q$9)</f>
        <v>300-499</v>
      </c>
      <c r="Q1976" t="str">
        <f>LOOKUP(F1976,Sheet2!$S$4:$T$8)</f>
        <v>36+</v>
      </c>
      <c r="R1976" t="str">
        <f>LOOKUP(G1976,Sheet2!$V$4:$W$7)</f>
        <v>0.4 - 0.69</v>
      </c>
      <c r="S1976" t="str">
        <f>LOOKUP(H1976,Sheet2!$Z$4:$AA$7)</f>
        <v>&lt;=25</v>
      </c>
      <c r="T1976" t="str">
        <f t="shared" si="90"/>
        <v>Negative</v>
      </c>
      <c r="U1976" t="str">
        <f t="shared" si="91"/>
        <v>Not Sampled</v>
      </c>
      <c r="V1976" s="1" t="str">
        <f t="shared" si="92"/>
        <v>Not Sampled</v>
      </c>
    </row>
    <row r="1977" spans="1:22" x14ac:dyDescent="0.25">
      <c r="A1977" s="1">
        <v>8</v>
      </c>
      <c r="B1977" s="1">
        <v>188</v>
      </c>
      <c r="C1977" s="1">
        <v>78</v>
      </c>
      <c r="D1977" s="1">
        <v>0</v>
      </c>
      <c r="E1977" s="1">
        <v>0</v>
      </c>
      <c r="F1977" s="1">
        <v>47.9</v>
      </c>
      <c r="G1977" s="1">
        <v>0.13700000000000001</v>
      </c>
      <c r="H1977" s="1">
        <v>43</v>
      </c>
      <c r="I1977" s="1">
        <v>1</v>
      </c>
      <c r="J1977" s="1">
        <f>IFERROR(VLOOKUP(K1977,[1]diabetes_Recognition!$A:$B,2,FALSE),"Not Sampled")</f>
        <v>1</v>
      </c>
      <c r="K1977" s="1">
        <v>1975</v>
      </c>
      <c r="L1977" s="1" t="str">
        <f>LOOKUP(A1977,Sheet2!$D$4:$E$9)</f>
        <v>8+</v>
      </c>
      <c r="M1977" t="str">
        <f>LOOKUP(B1977,Sheet2!$G$4:$H$9)</f>
        <v>176-200</v>
      </c>
      <c r="N1977" t="str">
        <f>LOOKUP(C1977,Sheet2!$J$4:$K$8)</f>
        <v>70-79</v>
      </c>
      <c r="O1977" t="str">
        <f>LOOKUP(D1977,Sheet2!$M$4:$N$8)</f>
        <v>Unknown</v>
      </c>
      <c r="P1977" t="str">
        <f>LOOKUP(E1977,Sheet2!$P$4:$Q$9)</f>
        <v>Unknown</v>
      </c>
      <c r="Q1977" t="str">
        <f>LOOKUP(F1977,Sheet2!$S$4:$T$8)</f>
        <v>36+</v>
      </c>
      <c r="R1977" t="str">
        <f>LOOKUP(G1977,Sheet2!$V$4:$W$7)</f>
        <v>0.0 - 0.249</v>
      </c>
      <c r="S1977" t="str">
        <f>LOOKUP(H1977,Sheet2!$Z$4:$AA$7)</f>
        <v>36-45</v>
      </c>
      <c r="T1977" t="str">
        <f t="shared" si="90"/>
        <v>Positive</v>
      </c>
      <c r="U1977" t="str">
        <f t="shared" si="91"/>
        <v>Positive</v>
      </c>
      <c r="V1977" s="1" t="str">
        <f t="shared" si="92"/>
        <v>Accurate Prediction</v>
      </c>
    </row>
    <row r="1978" spans="1:22" x14ac:dyDescent="0.25">
      <c r="A1978" s="1">
        <v>7</v>
      </c>
      <c r="B1978" s="1">
        <v>152</v>
      </c>
      <c r="C1978" s="1">
        <v>88</v>
      </c>
      <c r="D1978" s="1">
        <v>44</v>
      </c>
      <c r="E1978" s="1">
        <v>0</v>
      </c>
      <c r="F1978" s="1">
        <v>50</v>
      </c>
      <c r="G1978" s="1">
        <v>0.33700000000000002</v>
      </c>
      <c r="H1978" s="1">
        <v>36</v>
      </c>
      <c r="I1978" s="1">
        <v>1</v>
      </c>
      <c r="J1978" s="1" t="str">
        <f>IFERROR(VLOOKUP(K1978,[1]diabetes_Recognition!$A:$B,2,FALSE),"Not Sampled")</f>
        <v>Not Sampled</v>
      </c>
      <c r="K1978" s="1">
        <v>1976</v>
      </c>
      <c r="L1978" s="1" t="str">
        <f>LOOKUP(A1978,Sheet2!$D$4:$E$9)</f>
        <v>5-7</v>
      </c>
      <c r="M1978" t="str">
        <f>LOOKUP(B1978,Sheet2!$G$4:$H$9)</f>
        <v>151-175</v>
      </c>
      <c r="N1978" t="str">
        <f>LOOKUP(C1978,Sheet2!$J$4:$K$8)</f>
        <v>80+</v>
      </c>
      <c r="O1978" t="str">
        <f>LOOKUP(D1978,Sheet2!$M$4:$N$8)</f>
        <v>40+</v>
      </c>
      <c r="P1978" t="str">
        <f>LOOKUP(E1978,Sheet2!$P$4:$Q$9)</f>
        <v>Unknown</v>
      </c>
      <c r="Q1978" t="str">
        <f>LOOKUP(F1978,Sheet2!$S$4:$T$8)</f>
        <v>36+</v>
      </c>
      <c r="R1978" t="str">
        <f>LOOKUP(G1978,Sheet2!$V$4:$W$7)</f>
        <v>0.25 - 0.39</v>
      </c>
      <c r="S1978" t="str">
        <f>LOOKUP(H1978,Sheet2!$Z$4:$AA$7)</f>
        <v>36-45</v>
      </c>
      <c r="T1978" t="str">
        <f t="shared" si="90"/>
        <v>Positive</v>
      </c>
      <c r="U1978" t="str">
        <f t="shared" si="91"/>
        <v>Not Sampled</v>
      </c>
      <c r="V1978" s="1" t="str">
        <f t="shared" si="92"/>
        <v>Not Sampled</v>
      </c>
    </row>
    <row r="1979" spans="1:22" x14ac:dyDescent="0.25">
      <c r="A1979" s="1">
        <v>2</v>
      </c>
      <c r="B1979" s="1">
        <v>99</v>
      </c>
      <c r="C1979" s="1">
        <v>52</v>
      </c>
      <c r="D1979" s="1">
        <v>15</v>
      </c>
      <c r="E1979" s="1">
        <v>94</v>
      </c>
      <c r="F1979" s="1">
        <v>24.6</v>
      </c>
      <c r="G1979" s="1">
        <v>0.63700000000000001</v>
      </c>
      <c r="H1979" s="1">
        <v>21</v>
      </c>
      <c r="I1979" s="1">
        <v>0</v>
      </c>
      <c r="J1979" s="1">
        <f>IFERROR(VLOOKUP(K1979,[1]diabetes_Recognition!$A:$B,2,FALSE),"Not Sampled")</f>
        <v>0</v>
      </c>
      <c r="K1979" s="1">
        <v>1977</v>
      </c>
      <c r="L1979" s="1">
        <f>LOOKUP(A1979,Sheet2!$D$4:$E$9)</f>
        <v>2</v>
      </c>
      <c r="M1979" t="str">
        <f>LOOKUP(B1979,Sheet2!$G$4:$H$9)</f>
        <v>1-99</v>
      </c>
      <c r="N1979" t="str">
        <f>LOOKUP(C1979,Sheet2!$J$4:$K$8)</f>
        <v>1-59</v>
      </c>
      <c r="O1979" t="str">
        <f>LOOKUP(D1979,Sheet2!$M$4:$N$8)</f>
        <v>10-30</v>
      </c>
      <c r="P1979" t="str">
        <f>LOOKUP(E1979,Sheet2!$P$4:$Q$9)</f>
        <v>1-99</v>
      </c>
      <c r="Q1979" t="str">
        <f>LOOKUP(F1979,Sheet2!$S$4:$T$8)</f>
        <v>1-25</v>
      </c>
      <c r="R1979" t="str">
        <f>LOOKUP(G1979,Sheet2!$V$4:$W$7)</f>
        <v>0.4 - 0.69</v>
      </c>
      <c r="S1979" t="str">
        <f>LOOKUP(H1979,Sheet2!$Z$4:$AA$7)</f>
        <v>&lt;=25</v>
      </c>
      <c r="T1979" t="str">
        <f t="shared" si="90"/>
        <v>Negative</v>
      </c>
      <c r="U1979" t="str">
        <f t="shared" si="91"/>
        <v>Negative</v>
      </c>
      <c r="V1979" s="1" t="str">
        <f t="shared" si="92"/>
        <v>Accurate Prediction</v>
      </c>
    </row>
    <row r="1980" spans="1:22" x14ac:dyDescent="0.25">
      <c r="A1980" s="1">
        <v>1</v>
      </c>
      <c r="B1980" s="1">
        <v>109</v>
      </c>
      <c r="C1980" s="1">
        <v>56</v>
      </c>
      <c r="D1980" s="1">
        <v>21</v>
      </c>
      <c r="E1980" s="1">
        <v>135</v>
      </c>
      <c r="F1980" s="1">
        <v>25.2</v>
      </c>
      <c r="G1980" s="1">
        <v>0.83299999999999996</v>
      </c>
      <c r="H1980" s="1">
        <v>23</v>
      </c>
      <c r="I1980" s="1">
        <v>0</v>
      </c>
      <c r="J1980" s="1" t="str">
        <f>IFERROR(VLOOKUP(K1980,[1]diabetes_Recognition!$A:$B,2,FALSE),"Not Sampled")</f>
        <v>Not Sampled</v>
      </c>
      <c r="K1980" s="1">
        <v>1978</v>
      </c>
      <c r="L1980" s="1">
        <f>LOOKUP(A1980,Sheet2!$D$4:$E$9)</f>
        <v>1</v>
      </c>
      <c r="M1980" t="str">
        <f>LOOKUP(B1980,Sheet2!$G$4:$H$9)</f>
        <v>100-125</v>
      </c>
      <c r="N1980" t="str">
        <f>LOOKUP(C1980,Sheet2!$J$4:$K$8)</f>
        <v>1-59</v>
      </c>
      <c r="O1980" t="str">
        <f>LOOKUP(D1980,Sheet2!$M$4:$N$8)</f>
        <v>10-30</v>
      </c>
      <c r="P1980" t="str">
        <f>LOOKUP(E1980,Sheet2!$P$4:$Q$9)</f>
        <v>100-199</v>
      </c>
      <c r="Q1980" t="str">
        <f>LOOKUP(F1980,Sheet2!$S$4:$T$8)</f>
        <v>1-25</v>
      </c>
      <c r="R1980" t="str">
        <f>LOOKUP(G1980,Sheet2!$V$4:$W$7)</f>
        <v>0.7+</v>
      </c>
      <c r="S1980" t="str">
        <f>LOOKUP(H1980,Sheet2!$Z$4:$AA$7)</f>
        <v>&lt;=25</v>
      </c>
      <c r="T1980" t="str">
        <f t="shared" si="90"/>
        <v>Negative</v>
      </c>
      <c r="U1980" t="str">
        <f t="shared" si="91"/>
        <v>Not Sampled</v>
      </c>
      <c r="V1980" s="1" t="str">
        <f t="shared" si="92"/>
        <v>Not Sampled</v>
      </c>
    </row>
    <row r="1981" spans="1:22" x14ac:dyDescent="0.25">
      <c r="A1981" s="1">
        <v>2</v>
      </c>
      <c r="B1981" s="1">
        <v>88</v>
      </c>
      <c r="C1981" s="1">
        <v>74</v>
      </c>
      <c r="D1981" s="1">
        <v>19</v>
      </c>
      <c r="E1981" s="1">
        <v>53</v>
      </c>
      <c r="F1981" s="1">
        <v>29</v>
      </c>
      <c r="G1981" s="1">
        <v>0.22900000000000001</v>
      </c>
      <c r="H1981" s="1">
        <v>22</v>
      </c>
      <c r="I1981" s="1">
        <v>0</v>
      </c>
      <c r="J1981" s="1" t="str">
        <f>IFERROR(VLOOKUP(K1981,[1]diabetes_Recognition!$A:$B,2,FALSE),"Not Sampled")</f>
        <v>Not Sampled</v>
      </c>
      <c r="K1981" s="1">
        <v>1979</v>
      </c>
      <c r="L1981" s="1">
        <f>LOOKUP(A1981,Sheet2!$D$4:$E$9)</f>
        <v>2</v>
      </c>
      <c r="M1981" t="str">
        <f>LOOKUP(B1981,Sheet2!$G$4:$H$9)</f>
        <v>1-99</v>
      </c>
      <c r="N1981" t="str">
        <f>LOOKUP(C1981,Sheet2!$J$4:$K$8)</f>
        <v>70-79</v>
      </c>
      <c r="O1981" t="str">
        <f>LOOKUP(D1981,Sheet2!$M$4:$N$8)</f>
        <v>10-30</v>
      </c>
      <c r="P1981" t="str">
        <f>LOOKUP(E1981,Sheet2!$P$4:$Q$9)</f>
        <v>1-99</v>
      </c>
      <c r="Q1981" t="str">
        <f>LOOKUP(F1981,Sheet2!$S$4:$T$8)</f>
        <v>26-30</v>
      </c>
      <c r="R1981" t="str">
        <f>LOOKUP(G1981,Sheet2!$V$4:$W$7)</f>
        <v>0.0 - 0.249</v>
      </c>
      <c r="S1981" t="str">
        <f>LOOKUP(H1981,Sheet2!$Z$4:$AA$7)</f>
        <v>&lt;=25</v>
      </c>
      <c r="T1981" t="str">
        <f t="shared" si="90"/>
        <v>Negative</v>
      </c>
      <c r="U1981" t="str">
        <f t="shared" si="91"/>
        <v>Not Sampled</v>
      </c>
      <c r="V1981" s="1" t="str">
        <f t="shared" si="92"/>
        <v>Not Sampled</v>
      </c>
    </row>
    <row r="1982" spans="1:22" x14ac:dyDescent="0.25">
      <c r="A1982" s="1">
        <v>17</v>
      </c>
      <c r="B1982" s="1">
        <v>163</v>
      </c>
      <c r="C1982" s="1">
        <v>72</v>
      </c>
      <c r="D1982" s="1">
        <v>41</v>
      </c>
      <c r="E1982" s="1">
        <v>114</v>
      </c>
      <c r="F1982" s="1">
        <v>40.9</v>
      </c>
      <c r="G1982" s="1">
        <v>0.81699999999999995</v>
      </c>
      <c r="H1982" s="1">
        <v>47</v>
      </c>
      <c r="I1982" s="1">
        <v>1</v>
      </c>
      <c r="J1982" s="1" t="str">
        <f>IFERROR(VLOOKUP(K1982,[1]diabetes_Recognition!$A:$B,2,FALSE),"Not Sampled")</f>
        <v>Not Sampled</v>
      </c>
      <c r="K1982" s="1">
        <v>1980</v>
      </c>
      <c r="L1982" s="1" t="str">
        <f>LOOKUP(A1982,Sheet2!$D$4:$E$9)</f>
        <v>8+</v>
      </c>
      <c r="M1982" t="str">
        <f>LOOKUP(B1982,Sheet2!$G$4:$H$9)</f>
        <v>151-175</v>
      </c>
      <c r="N1982" t="str">
        <f>LOOKUP(C1982,Sheet2!$J$4:$K$8)</f>
        <v>70-79</v>
      </c>
      <c r="O1982" t="str">
        <f>LOOKUP(D1982,Sheet2!$M$4:$N$8)</f>
        <v>40+</v>
      </c>
      <c r="P1982" t="str">
        <f>LOOKUP(E1982,Sheet2!$P$4:$Q$9)</f>
        <v>100-199</v>
      </c>
      <c r="Q1982" t="str">
        <f>LOOKUP(F1982,Sheet2!$S$4:$T$8)</f>
        <v>36+</v>
      </c>
      <c r="R1982" t="str">
        <f>LOOKUP(G1982,Sheet2!$V$4:$W$7)</f>
        <v>0.7+</v>
      </c>
      <c r="S1982" t="str">
        <f>LOOKUP(H1982,Sheet2!$Z$4:$AA$7)</f>
        <v>46+</v>
      </c>
      <c r="T1982" t="str">
        <f t="shared" si="90"/>
        <v>Positive</v>
      </c>
      <c r="U1982" t="str">
        <f t="shared" si="91"/>
        <v>Not Sampled</v>
      </c>
      <c r="V1982" s="1" t="str">
        <f t="shared" si="92"/>
        <v>Not Sampled</v>
      </c>
    </row>
    <row r="1983" spans="1:22" x14ac:dyDescent="0.25">
      <c r="A1983" s="1">
        <v>4</v>
      </c>
      <c r="B1983" s="1">
        <v>151</v>
      </c>
      <c r="C1983" s="1">
        <v>90</v>
      </c>
      <c r="D1983" s="1">
        <v>38</v>
      </c>
      <c r="E1983" s="1">
        <v>0</v>
      </c>
      <c r="F1983" s="1">
        <v>29.7</v>
      </c>
      <c r="G1983" s="1">
        <v>0.29399999999999998</v>
      </c>
      <c r="H1983" s="1">
        <v>36</v>
      </c>
      <c r="I1983" s="1">
        <v>0</v>
      </c>
      <c r="J1983" s="1" t="str">
        <f>IFERROR(VLOOKUP(K1983,[1]diabetes_Recognition!$A:$B,2,FALSE),"Not Sampled")</f>
        <v>Not Sampled</v>
      </c>
      <c r="K1983" s="1">
        <v>1981</v>
      </c>
      <c r="L1983" s="1" t="str">
        <f>LOOKUP(A1983,Sheet2!$D$4:$E$9)</f>
        <v>3-4</v>
      </c>
      <c r="M1983" t="str">
        <f>LOOKUP(B1983,Sheet2!$G$4:$H$9)</f>
        <v>151-175</v>
      </c>
      <c r="N1983" t="str">
        <f>LOOKUP(C1983,Sheet2!$J$4:$K$8)</f>
        <v>80+</v>
      </c>
      <c r="O1983" t="str">
        <f>LOOKUP(D1983,Sheet2!$M$4:$N$8)</f>
        <v>30-39</v>
      </c>
      <c r="P1983" t="str">
        <f>LOOKUP(E1983,Sheet2!$P$4:$Q$9)</f>
        <v>Unknown</v>
      </c>
      <c r="Q1983" t="str">
        <f>LOOKUP(F1983,Sheet2!$S$4:$T$8)</f>
        <v>26-30</v>
      </c>
      <c r="R1983" t="str">
        <f>LOOKUP(G1983,Sheet2!$V$4:$W$7)</f>
        <v>0.25 - 0.39</v>
      </c>
      <c r="S1983" t="str">
        <f>LOOKUP(H1983,Sheet2!$Z$4:$AA$7)</f>
        <v>36-45</v>
      </c>
      <c r="T1983" t="str">
        <f t="shared" si="90"/>
        <v>Negative</v>
      </c>
      <c r="U1983" t="str">
        <f t="shared" si="91"/>
        <v>Not Sampled</v>
      </c>
      <c r="V1983" s="1" t="str">
        <f t="shared" si="92"/>
        <v>Not Sampled</v>
      </c>
    </row>
    <row r="1984" spans="1:22" x14ac:dyDescent="0.25">
      <c r="A1984" s="1">
        <v>7</v>
      </c>
      <c r="B1984" s="1">
        <v>102</v>
      </c>
      <c r="C1984" s="1">
        <v>74</v>
      </c>
      <c r="D1984" s="1">
        <v>40</v>
      </c>
      <c r="E1984" s="1">
        <v>105</v>
      </c>
      <c r="F1984" s="1">
        <v>37.200000000000003</v>
      </c>
      <c r="G1984" s="1">
        <v>0.20399999999999999</v>
      </c>
      <c r="H1984" s="1">
        <v>45</v>
      </c>
      <c r="I1984" s="1">
        <v>0</v>
      </c>
      <c r="J1984" s="1" t="str">
        <f>IFERROR(VLOOKUP(K1984,[1]diabetes_Recognition!$A:$B,2,FALSE),"Not Sampled")</f>
        <v>Not Sampled</v>
      </c>
      <c r="K1984" s="1">
        <v>1982</v>
      </c>
      <c r="L1984" s="1" t="str">
        <f>LOOKUP(A1984,Sheet2!$D$4:$E$9)</f>
        <v>5-7</v>
      </c>
      <c r="M1984" t="str">
        <f>LOOKUP(B1984,Sheet2!$G$4:$H$9)</f>
        <v>100-125</v>
      </c>
      <c r="N1984" t="str">
        <f>LOOKUP(C1984,Sheet2!$J$4:$K$8)</f>
        <v>70-79</v>
      </c>
      <c r="O1984" t="str">
        <f>LOOKUP(D1984,Sheet2!$M$4:$N$8)</f>
        <v>40+</v>
      </c>
      <c r="P1984" t="str">
        <f>LOOKUP(E1984,Sheet2!$P$4:$Q$9)</f>
        <v>100-199</v>
      </c>
      <c r="Q1984" t="str">
        <f>LOOKUP(F1984,Sheet2!$S$4:$T$8)</f>
        <v>36+</v>
      </c>
      <c r="R1984" t="str">
        <f>LOOKUP(G1984,Sheet2!$V$4:$W$7)</f>
        <v>0.0 - 0.249</v>
      </c>
      <c r="S1984" t="str">
        <f>LOOKUP(H1984,Sheet2!$Z$4:$AA$7)</f>
        <v>36-45</v>
      </c>
      <c r="T1984" t="str">
        <f t="shared" si="90"/>
        <v>Negative</v>
      </c>
      <c r="U1984" t="str">
        <f t="shared" si="91"/>
        <v>Not Sampled</v>
      </c>
      <c r="V1984" s="1" t="str">
        <f t="shared" si="92"/>
        <v>Not Sampled</v>
      </c>
    </row>
    <row r="1985" spans="1:22" x14ac:dyDescent="0.25">
      <c r="A1985" s="1">
        <v>0</v>
      </c>
      <c r="B1985" s="1">
        <v>114</v>
      </c>
      <c r="C1985" s="1">
        <v>80</v>
      </c>
      <c r="D1985" s="1">
        <v>34</v>
      </c>
      <c r="E1985" s="1">
        <v>285</v>
      </c>
      <c r="F1985" s="1">
        <v>44.2</v>
      </c>
      <c r="G1985" s="1">
        <v>0.16700000000000001</v>
      </c>
      <c r="H1985" s="1">
        <v>27</v>
      </c>
      <c r="I1985" s="1">
        <v>0</v>
      </c>
      <c r="J1985" s="1">
        <f>IFERROR(VLOOKUP(K1985,[1]diabetes_Recognition!$A:$B,2,FALSE),"Not Sampled")</f>
        <v>0</v>
      </c>
      <c r="K1985" s="1">
        <v>1983</v>
      </c>
      <c r="L1985" s="1">
        <f>LOOKUP(A1985,Sheet2!$D$4:$E$9)</f>
        <v>0</v>
      </c>
      <c r="M1985" t="str">
        <f>LOOKUP(B1985,Sheet2!$G$4:$H$9)</f>
        <v>100-125</v>
      </c>
      <c r="N1985" t="str">
        <f>LOOKUP(C1985,Sheet2!$J$4:$K$8)</f>
        <v>80+</v>
      </c>
      <c r="O1985" t="str">
        <f>LOOKUP(D1985,Sheet2!$M$4:$N$8)</f>
        <v>30-39</v>
      </c>
      <c r="P1985" t="str">
        <f>LOOKUP(E1985,Sheet2!$P$4:$Q$9)</f>
        <v>200-399</v>
      </c>
      <c r="Q1985" t="str">
        <f>LOOKUP(F1985,Sheet2!$S$4:$T$8)</f>
        <v>36+</v>
      </c>
      <c r="R1985" t="str">
        <f>LOOKUP(G1985,Sheet2!$V$4:$W$7)</f>
        <v>0.0 - 0.249</v>
      </c>
      <c r="S1985" t="str">
        <f>LOOKUP(H1985,Sheet2!$Z$4:$AA$7)</f>
        <v>26-35</v>
      </c>
      <c r="T1985" t="str">
        <f t="shared" si="90"/>
        <v>Negative</v>
      </c>
      <c r="U1985" t="str">
        <f t="shared" si="91"/>
        <v>Negative</v>
      </c>
      <c r="V1985" s="1" t="str">
        <f t="shared" si="92"/>
        <v>Accurate Prediction</v>
      </c>
    </row>
    <row r="1986" spans="1:22" x14ac:dyDescent="0.25">
      <c r="A1986" s="1">
        <v>2</v>
      </c>
      <c r="B1986" s="1">
        <v>100</v>
      </c>
      <c r="C1986" s="1">
        <v>64</v>
      </c>
      <c r="D1986" s="1">
        <v>23</v>
      </c>
      <c r="E1986" s="1">
        <v>0</v>
      </c>
      <c r="F1986" s="1">
        <v>29.7</v>
      </c>
      <c r="G1986" s="1">
        <v>0.36799999999999999</v>
      </c>
      <c r="H1986" s="1">
        <v>21</v>
      </c>
      <c r="I1986" s="1">
        <v>0</v>
      </c>
      <c r="J1986" s="1" t="str">
        <f>IFERROR(VLOOKUP(K1986,[1]diabetes_Recognition!$A:$B,2,FALSE),"Not Sampled")</f>
        <v>Not Sampled</v>
      </c>
      <c r="K1986" s="1">
        <v>1984</v>
      </c>
      <c r="L1986" s="1">
        <f>LOOKUP(A1986,Sheet2!$D$4:$E$9)</f>
        <v>2</v>
      </c>
      <c r="M1986" t="str">
        <f>LOOKUP(B1986,Sheet2!$G$4:$H$9)</f>
        <v>100-125</v>
      </c>
      <c r="N1986" t="str">
        <f>LOOKUP(C1986,Sheet2!$J$4:$K$8)</f>
        <v>60-69</v>
      </c>
      <c r="O1986" t="str">
        <f>LOOKUP(D1986,Sheet2!$M$4:$N$8)</f>
        <v>10-30</v>
      </c>
      <c r="P1986" t="str">
        <f>LOOKUP(E1986,Sheet2!$P$4:$Q$9)</f>
        <v>Unknown</v>
      </c>
      <c r="Q1986" t="str">
        <f>LOOKUP(F1986,Sheet2!$S$4:$T$8)</f>
        <v>26-30</v>
      </c>
      <c r="R1986" t="str">
        <f>LOOKUP(G1986,Sheet2!$V$4:$W$7)</f>
        <v>0.25 - 0.39</v>
      </c>
      <c r="S1986" t="str">
        <f>LOOKUP(H1986,Sheet2!$Z$4:$AA$7)</f>
        <v>&lt;=25</v>
      </c>
      <c r="T1986" t="str">
        <f t="shared" si="90"/>
        <v>Negative</v>
      </c>
      <c r="U1986" t="str">
        <f t="shared" si="91"/>
        <v>Not Sampled</v>
      </c>
      <c r="V1986" s="1" t="str">
        <f t="shared" si="92"/>
        <v>Not Sampled</v>
      </c>
    </row>
    <row r="1987" spans="1:22" x14ac:dyDescent="0.25">
      <c r="A1987" s="1">
        <v>0</v>
      </c>
      <c r="B1987" s="1">
        <v>131</v>
      </c>
      <c r="C1987" s="1">
        <v>88</v>
      </c>
      <c r="D1987" s="1">
        <v>0</v>
      </c>
      <c r="E1987" s="1">
        <v>0</v>
      </c>
      <c r="F1987" s="1">
        <v>31.6</v>
      </c>
      <c r="G1987" s="1">
        <v>0.74299999999999999</v>
      </c>
      <c r="H1987" s="1">
        <v>32</v>
      </c>
      <c r="I1987" s="1">
        <v>1</v>
      </c>
      <c r="J1987" s="1">
        <f>IFERROR(VLOOKUP(K1987,[1]diabetes_Recognition!$A:$B,2,FALSE),"Not Sampled")</f>
        <v>0</v>
      </c>
      <c r="K1987" s="1">
        <v>1985</v>
      </c>
      <c r="L1987" s="1">
        <f>LOOKUP(A1987,Sheet2!$D$4:$E$9)</f>
        <v>0</v>
      </c>
      <c r="M1987" t="str">
        <f>LOOKUP(B1987,Sheet2!$G$4:$H$9)</f>
        <v>126-150</v>
      </c>
      <c r="N1987" t="str">
        <f>LOOKUP(C1987,Sheet2!$J$4:$K$8)</f>
        <v>80+</v>
      </c>
      <c r="O1987" t="str">
        <f>LOOKUP(D1987,Sheet2!$M$4:$N$8)</f>
        <v>Unknown</v>
      </c>
      <c r="P1987" t="str">
        <f>LOOKUP(E1987,Sheet2!$P$4:$Q$9)</f>
        <v>Unknown</v>
      </c>
      <c r="Q1987" t="str">
        <f>LOOKUP(F1987,Sheet2!$S$4:$T$8)</f>
        <v>31-35</v>
      </c>
      <c r="R1987" t="str">
        <f>LOOKUP(G1987,Sheet2!$V$4:$W$7)</f>
        <v>0.7+</v>
      </c>
      <c r="S1987" t="str">
        <f>LOOKUP(H1987,Sheet2!$Z$4:$AA$7)</f>
        <v>26-35</v>
      </c>
      <c r="T1987" t="str">
        <f t="shared" ref="T1987:T2001" si="93">IF(I1987=1,"Positive","Negative")</f>
        <v>Positive</v>
      </c>
      <c r="U1987" t="str">
        <f t="shared" ref="U1987:U2001" si="94">IF(J1987=1,"Positive",(IF(J1987=0,"Negative","Not Sampled")))</f>
        <v>Negative</v>
      </c>
      <c r="V1987" s="1" t="str">
        <f t="shared" ref="V1987:V2001" si="95">IF(U1987="Not Sampled","Not Sampled",IF(T1987=U1987,"Accurate Prediction","Inaccurate Prediction"))</f>
        <v>Inaccurate Prediction</v>
      </c>
    </row>
    <row r="1988" spans="1:22" x14ac:dyDescent="0.25">
      <c r="A1988" s="1">
        <v>6</v>
      </c>
      <c r="B1988" s="1">
        <v>104</v>
      </c>
      <c r="C1988" s="1">
        <v>74</v>
      </c>
      <c r="D1988" s="1">
        <v>18</v>
      </c>
      <c r="E1988" s="1">
        <v>156</v>
      </c>
      <c r="F1988" s="1">
        <v>29.9</v>
      </c>
      <c r="G1988" s="1">
        <v>0.72199999999999998</v>
      </c>
      <c r="H1988" s="1">
        <v>41</v>
      </c>
      <c r="I1988" s="1">
        <v>1</v>
      </c>
      <c r="J1988" s="1">
        <f>IFERROR(VLOOKUP(K1988,[1]diabetes_Recognition!$A:$B,2,FALSE),"Not Sampled")</f>
        <v>0</v>
      </c>
      <c r="K1988" s="1">
        <v>1986</v>
      </c>
      <c r="L1988" s="1" t="str">
        <f>LOOKUP(A1988,Sheet2!$D$4:$E$9)</f>
        <v>5-7</v>
      </c>
      <c r="M1988" t="str">
        <f>LOOKUP(B1988,Sheet2!$G$4:$H$9)</f>
        <v>100-125</v>
      </c>
      <c r="N1988" t="str">
        <f>LOOKUP(C1988,Sheet2!$J$4:$K$8)</f>
        <v>70-79</v>
      </c>
      <c r="O1988" t="str">
        <f>LOOKUP(D1988,Sheet2!$M$4:$N$8)</f>
        <v>10-30</v>
      </c>
      <c r="P1988" t="str">
        <f>LOOKUP(E1988,Sheet2!$P$4:$Q$9)</f>
        <v>100-199</v>
      </c>
      <c r="Q1988" t="str">
        <f>LOOKUP(F1988,Sheet2!$S$4:$T$8)</f>
        <v>26-30</v>
      </c>
      <c r="R1988" t="str">
        <f>LOOKUP(G1988,Sheet2!$V$4:$W$7)</f>
        <v>0.7+</v>
      </c>
      <c r="S1988" t="str">
        <f>LOOKUP(H1988,Sheet2!$Z$4:$AA$7)</f>
        <v>36-45</v>
      </c>
      <c r="T1988" t="str">
        <f t="shared" si="93"/>
        <v>Positive</v>
      </c>
      <c r="U1988" t="str">
        <f t="shared" si="94"/>
        <v>Negative</v>
      </c>
      <c r="V1988" s="1" t="str">
        <f t="shared" si="95"/>
        <v>Inaccurate Prediction</v>
      </c>
    </row>
    <row r="1989" spans="1:22" x14ac:dyDescent="0.25">
      <c r="A1989" s="1">
        <v>3</v>
      </c>
      <c r="B1989" s="1">
        <v>148</v>
      </c>
      <c r="C1989" s="1">
        <v>66</v>
      </c>
      <c r="D1989" s="1">
        <v>25</v>
      </c>
      <c r="E1989" s="1">
        <v>0</v>
      </c>
      <c r="F1989" s="1">
        <v>32.5</v>
      </c>
      <c r="G1989" s="1">
        <v>0.25600000000000001</v>
      </c>
      <c r="H1989" s="1">
        <v>22</v>
      </c>
      <c r="I1989" s="1">
        <v>0</v>
      </c>
      <c r="J1989" s="1" t="str">
        <f>IFERROR(VLOOKUP(K1989,[1]diabetes_Recognition!$A:$B,2,FALSE),"Not Sampled")</f>
        <v>Not Sampled</v>
      </c>
      <c r="K1989" s="1">
        <v>1987</v>
      </c>
      <c r="L1989" s="1" t="str">
        <f>LOOKUP(A1989,Sheet2!$D$4:$E$9)</f>
        <v>3-4</v>
      </c>
      <c r="M1989" t="str">
        <f>LOOKUP(B1989,Sheet2!$G$4:$H$9)</f>
        <v>126-150</v>
      </c>
      <c r="N1989" t="str">
        <f>LOOKUP(C1989,Sheet2!$J$4:$K$8)</f>
        <v>60-69</v>
      </c>
      <c r="O1989" t="str">
        <f>LOOKUP(D1989,Sheet2!$M$4:$N$8)</f>
        <v>10-30</v>
      </c>
      <c r="P1989" t="str">
        <f>LOOKUP(E1989,Sheet2!$P$4:$Q$9)</f>
        <v>Unknown</v>
      </c>
      <c r="Q1989" t="str">
        <f>LOOKUP(F1989,Sheet2!$S$4:$T$8)</f>
        <v>31-35</v>
      </c>
      <c r="R1989" t="str">
        <f>LOOKUP(G1989,Sheet2!$V$4:$W$7)</f>
        <v>0.25 - 0.39</v>
      </c>
      <c r="S1989" t="str">
        <f>LOOKUP(H1989,Sheet2!$Z$4:$AA$7)</f>
        <v>&lt;=25</v>
      </c>
      <c r="T1989" t="str">
        <f t="shared" si="93"/>
        <v>Negative</v>
      </c>
      <c r="U1989" t="str">
        <f t="shared" si="94"/>
        <v>Not Sampled</v>
      </c>
      <c r="V1989" s="1" t="str">
        <f t="shared" si="95"/>
        <v>Not Sampled</v>
      </c>
    </row>
    <row r="1990" spans="1:22" x14ac:dyDescent="0.25">
      <c r="A1990" s="1">
        <v>4</v>
      </c>
      <c r="B1990" s="1">
        <v>120</v>
      </c>
      <c r="C1990" s="1">
        <v>68</v>
      </c>
      <c r="D1990" s="1">
        <v>0</v>
      </c>
      <c r="E1990" s="1">
        <v>0</v>
      </c>
      <c r="F1990" s="1">
        <v>29.6</v>
      </c>
      <c r="G1990" s="1">
        <v>0.70899999999999996</v>
      </c>
      <c r="H1990" s="1">
        <v>34</v>
      </c>
      <c r="I1990" s="1">
        <v>0</v>
      </c>
      <c r="J1990" s="1">
        <f>IFERROR(VLOOKUP(K1990,[1]diabetes_Recognition!$A:$B,2,FALSE),"Not Sampled")</f>
        <v>0</v>
      </c>
      <c r="K1990" s="1">
        <v>1988</v>
      </c>
      <c r="L1990" s="1" t="str">
        <f>LOOKUP(A1990,Sheet2!$D$4:$E$9)</f>
        <v>3-4</v>
      </c>
      <c r="M1990" t="str">
        <f>LOOKUP(B1990,Sheet2!$G$4:$H$9)</f>
        <v>100-125</v>
      </c>
      <c r="N1990" t="str">
        <f>LOOKUP(C1990,Sheet2!$J$4:$K$8)</f>
        <v>60-69</v>
      </c>
      <c r="O1990" t="str">
        <f>LOOKUP(D1990,Sheet2!$M$4:$N$8)</f>
        <v>Unknown</v>
      </c>
      <c r="P1990" t="str">
        <f>LOOKUP(E1990,Sheet2!$P$4:$Q$9)</f>
        <v>Unknown</v>
      </c>
      <c r="Q1990" t="str">
        <f>LOOKUP(F1990,Sheet2!$S$4:$T$8)</f>
        <v>26-30</v>
      </c>
      <c r="R1990" t="str">
        <f>LOOKUP(G1990,Sheet2!$V$4:$W$7)</f>
        <v>0.7+</v>
      </c>
      <c r="S1990" t="str">
        <f>LOOKUP(H1990,Sheet2!$Z$4:$AA$7)</f>
        <v>26-35</v>
      </c>
      <c r="T1990" t="str">
        <f t="shared" si="93"/>
        <v>Negative</v>
      </c>
      <c r="U1990" t="str">
        <f t="shared" si="94"/>
        <v>Negative</v>
      </c>
      <c r="V1990" s="1" t="str">
        <f t="shared" si="95"/>
        <v>Accurate Prediction</v>
      </c>
    </row>
    <row r="1991" spans="1:22" x14ac:dyDescent="0.25">
      <c r="A1991" s="1">
        <v>4</v>
      </c>
      <c r="B1991" s="1">
        <v>110</v>
      </c>
      <c r="C1991" s="1">
        <v>66</v>
      </c>
      <c r="D1991" s="1">
        <v>0</v>
      </c>
      <c r="E1991" s="1">
        <v>0</v>
      </c>
      <c r="F1991" s="1">
        <v>31.9</v>
      </c>
      <c r="G1991" s="1">
        <v>0.47099999999999997</v>
      </c>
      <c r="H1991" s="1">
        <v>29</v>
      </c>
      <c r="I1991" s="1">
        <v>0</v>
      </c>
      <c r="J1991" s="1" t="str">
        <f>IFERROR(VLOOKUP(K1991,[1]diabetes_Recognition!$A:$B,2,FALSE),"Not Sampled")</f>
        <v>Not Sampled</v>
      </c>
      <c r="K1991" s="1">
        <v>1989</v>
      </c>
      <c r="L1991" s="1" t="str">
        <f>LOOKUP(A1991,Sheet2!$D$4:$E$9)</f>
        <v>3-4</v>
      </c>
      <c r="M1991" t="str">
        <f>LOOKUP(B1991,Sheet2!$G$4:$H$9)</f>
        <v>100-125</v>
      </c>
      <c r="N1991" t="str">
        <f>LOOKUP(C1991,Sheet2!$J$4:$K$8)</f>
        <v>60-69</v>
      </c>
      <c r="O1991" t="str">
        <f>LOOKUP(D1991,Sheet2!$M$4:$N$8)</f>
        <v>Unknown</v>
      </c>
      <c r="P1991" t="str">
        <f>LOOKUP(E1991,Sheet2!$P$4:$Q$9)</f>
        <v>Unknown</v>
      </c>
      <c r="Q1991" t="str">
        <f>LOOKUP(F1991,Sheet2!$S$4:$T$8)</f>
        <v>31-35</v>
      </c>
      <c r="R1991" t="str">
        <f>LOOKUP(G1991,Sheet2!$V$4:$W$7)</f>
        <v>0.4 - 0.69</v>
      </c>
      <c r="S1991" t="str">
        <f>LOOKUP(H1991,Sheet2!$Z$4:$AA$7)</f>
        <v>26-35</v>
      </c>
      <c r="T1991" t="str">
        <f t="shared" si="93"/>
        <v>Negative</v>
      </c>
      <c r="U1991" t="str">
        <f t="shared" si="94"/>
        <v>Not Sampled</v>
      </c>
      <c r="V1991" s="1" t="str">
        <f t="shared" si="95"/>
        <v>Not Sampled</v>
      </c>
    </row>
    <row r="1992" spans="1:22" x14ac:dyDescent="0.25">
      <c r="A1992" s="1">
        <v>3</v>
      </c>
      <c r="B1992" s="1">
        <v>111</v>
      </c>
      <c r="C1992" s="1">
        <v>90</v>
      </c>
      <c r="D1992" s="1">
        <v>12</v>
      </c>
      <c r="E1992" s="1">
        <v>78</v>
      </c>
      <c r="F1992" s="1">
        <v>28.4</v>
      </c>
      <c r="G1992" s="1">
        <v>0.495</v>
      </c>
      <c r="H1992" s="1">
        <v>29</v>
      </c>
      <c r="I1992" s="1">
        <v>0</v>
      </c>
      <c r="J1992" s="1">
        <f>IFERROR(VLOOKUP(K1992,[1]diabetes_Recognition!$A:$B,2,FALSE),"Not Sampled")</f>
        <v>0</v>
      </c>
      <c r="K1992" s="1">
        <v>1990</v>
      </c>
      <c r="L1992" s="1" t="str">
        <f>LOOKUP(A1992,Sheet2!$D$4:$E$9)</f>
        <v>3-4</v>
      </c>
      <c r="M1992" t="str">
        <f>LOOKUP(B1992,Sheet2!$G$4:$H$9)</f>
        <v>100-125</v>
      </c>
      <c r="N1992" t="str">
        <f>LOOKUP(C1992,Sheet2!$J$4:$K$8)</f>
        <v>80+</v>
      </c>
      <c r="O1992" t="str">
        <f>LOOKUP(D1992,Sheet2!$M$4:$N$8)</f>
        <v>10-30</v>
      </c>
      <c r="P1992" t="str">
        <f>LOOKUP(E1992,Sheet2!$P$4:$Q$9)</f>
        <v>1-99</v>
      </c>
      <c r="Q1992" t="str">
        <f>LOOKUP(F1992,Sheet2!$S$4:$T$8)</f>
        <v>26-30</v>
      </c>
      <c r="R1992" t="str">
        <f>LOOKUP(G1992,Sheet2!$V$4:$W$7)</f>
        <v>0.4 - 0.69</v>
      </c>
      <c r="S1992" t="str">
        <f>LOOKUP(H1992,Sheet2!$Z$4:$AA$7)</f>
        <v>26-35</v>
      </c>
      <c r="T1992" t="str">
        <f t="shared" si="93"/>
        <v>Negative</v>
      </c>
      <c r="U1992" t="str">
        <f t="shared" si="94"/>
        <v>Negative</v>
      </c>
      <c r="V1992" s="1" t="str">
        <f t="shared" si="95"/>
        <v>Accurate Prediction</v>
      </c>
    </row>
    <row r="1993" spans="1:22" x14ac:dyDescent="0.25">
      <c r="A1993" s="1">
        <v>6</v>
      </c>
      <c r="B1993" s="1">
        <v>102</v>
      </c>
      <c r="C1993" s="1">
        <v>82</v>
      </c>
      <c r="D1993" s="1">
        <v>0</v>
      </c>
      <c r="E1993" s="1">
        <v>0</v>
      </c>
      <c r="F1993" s="1">
        <v>30.8</v>
      </c>
      <c r="G1993" s="1">
        <v>0.18</v>
      </c>
      <c r="H1993" s="1">
        <v>36</v>
      </c>
      <c r="I1993" s="1">
        <v>1</v>
      </c>
      <c r="J1993" s="1">
        <f>IFERROR(VLOOKUP(K1993,[1]diabetes_Recognition!$A:$B,2,FALSE),"Not Sampled")</f>
        <v>0</v>
      </c>
      <c r="K1993" s="1">
        <v>1991</v>
      </c>
      <c r="L1993" s="1" t="str">
        <f>LOOKUP(A1993,Sheet2!$D$4:$E$9)</f>
        <v>5-7</v>
      </c>
      <c r="M1993" t="str">
        <f>LOOKUP(B1993,Sheet2!$G$4:$H$9)</f>
        <v>100-125</v>
      </c>
      <c r="N1993" t="str">
        <f>LOOKUP(C1993,Sheet2!$J$4:$K$8)</f>
        <v>80+</v>
      </c>
      <c r="O1993" t="str">
        <f>LOOKUP(D1993,Sheet2!$M$4:$N$8)</f>
        <v>Unknown</v>
      </c>
      <c r="P1993" t="str">
        <f>LOOKUP(E1993,Sheet2!$P$4:$Q$9)</f>
        <v>Unknown</v>
      </c>
      <c r="Q1993" t="str">
        <f>LOOKUP(F1993,Sheet2!$S$4:$T$8)</f>
        <v>26-30</v>
      </c>
      <c r="R1993" t="str">
        <f>LOOKUP(G1993,Sheet2!$V$4:$W$7)</f>
        <v>0.0 - 0.249</v>
      </c>
      <c r="S1993" t="str">
        <f>LOOKUP(H1993,Sheet2!$Z$4:$AA$7)</f>
        <v>36-45</v>
      </c>
      <c r="T1993" t="str">
        <f t="shared" si="93"/>
        <v>Positive</v>
      </c>
      <c r="U1993" t="str">
        <f t="shared" si="94"/>
        <v>Negative</v>
      </c>
      <c r="V1993" s="1" t="str">
        <f t="shared" si="95"/>
        <v>Inaccurate Prediction</v>
      </c>
    </row>
    <row r="1994" spans="1:22" x14ac:dyDescent="0.25">
      <c r="A1994" s="1">
        <v>6</v>
      </c>
      <c r="B1994" s="1">
        <v>134</v>
      </c>
      <c r="C1994" s="1">
        <v>70</v>
      </c>
      <c r="D1994" s="1">
        <v>23</v>
      </c>
      <c r="E1994" s="1">
        <v>130</v>
      </c>
      <c r="F1994" s="1">
        <v>35.4</v>
      </c>
      <c r="G1994" s="1">
        <v>0.54200000000000004</v>
      </c>
      <c r="H1994" s="1">
        <v>29</v>
      </c>
      <c r="I1994" s="1">
        <v>1</v>
      </c>
      <c r="J1994" s="1" t="str">
        <f>IFERROR(VLOOKUP(K1994,[1]diabetes_Recognition!$A:$B,2,FALSE),"Not Sampled")</f>
        <v>Not Sampled</v>
      </c>
      <c r="K1994" s="1">
        <v>1992</v>
      </c>
      <c r="L1994" s="1" t="str">
        <f>LOOKUP(A1994,Sheet2!$D$4:$E$9)</f>
        <v>5-7</v>
      </c>
      <c r="M1994" t="str">
        <f>LOOKUP(B1994,Sheet2!$G$4:$H$9)</f>
        <v>126-150</v>
      </c>
      <c r="N1994" t="str">
        <f>LOOKUP(C1994,Sheet2!$J$4:$K$8)</f>
        <v>70-79</v>
      </c>
      <c r="O1994" t="str">
        <f>LOOKUP(D1994,Sheet2!$M$4:$N$8)</f>
        <v>10-30</v>
      </c>
      <c r="P1994" t="str">
        <f>LOOKUP(E1994,Sheet2!$P$4:$Q$9)</f>
        <v>100-199</v>
      </c>
      <c r="Q1994" t="str">
        <f>LOOKUP(F1994,Sheet2!$S$4:$T$8)</f>
        <v>31-35</v>
      </c>
      <c r="R1994" t="str">
        <f>LOOKUP(G1994,Sheet2!$V$4:$W$7)</f>
        <v>0.4 - 0.69</v>
      </c>
      <c r="S1994" t="str">
        <f>LOOKUP(H1994,Sheet2!$Z$4:$AA$7)</f>
        <v>26-35</v>
      </c>
      <c r="T1994" t="str">
        <f t="shared" si="93"/>
        <v>Positive</v>
      </c>
      <c r="U1994" t="str">
        <f t="shared" si="94"/>
        <v>Not Sampled</v>
      </c>
      <c r="V1994" s="1" t="str">
        <f t="shared" si="95"/>
        <v>Not Sampled</v>
      </c>
    </row>
    <row r="1995" spans="1:22" x14ac:dyDescent="0.25">
      <c r="A1995" s="1">
        <v>2</v>
      </c>
      <c r="B1995" s="1">
        <v>87</v>
      </c>
      <c r="C1995" s="1">
        <v>0</v>
      </c>
      <c r="D1995" s="1">
        <v>23</v>
      </c>
      <c r="E1995" s="1">
        <v>0</v>
      </c>
      <c r="F1995" s="1">
        <v>28.9</v>
      </c>
      <c r="G1995" s="1">
        <v>0.77300000000000002</v>
      </c>
      <c r="H1995" s="1">
        <v>25</v>
      </c>
      <c r="I1995" s="1">
        <v>0</v>
      </c>
      <c r="J1995" s="1" t="str">
        <f>IFERROR(VLOOKUP(K1995,[1]diabetes_Recognition!$A:$B,2,FALSE),"Not Sampled")</f>
        <v>Not Sampled</v>
      </c>
      <c r="K1995" s="1">
        <v>1993</v>
      </c>
      <c r="L1995" s="1">
        <f>LOOKUP(A1995,Sheet2!$D$4:$E$9)</f>
        <v>2</v>
      </c>
      <c r="M1995" t="str">
        <f>LOOKUP(B1995,Sheet2!$G$4:$H$9)</f>
        <v>1-99</v>
      </c>
      <c r="N1995" t="str">
        <f>LOOKUP(C1995,Sheet2!$J$4:$K$8)</f>
        <v>Unknown</v>
      </c>
      <c r="O1995" t="str">
        <f>LOOKUP(D1995,Sheet2!$M$4:$N$8)</f>
        <v>10-30</v>
      </c>
      <c r="P1995" t="str">
        <f>LOOKUP(E1995,Sheet2!$P$4:$Q$9)</f>
        <v>Unknown</v>
      </c>
      <c r="Q1995" t="str">
        <f>LOOKUP(F1995,Sheet2!$S$4:$T$8)</f>
        <v>26-30</v>
      </c>
      <c r="R1995" t="str">
        <f>LOOKUP(G1995,Sheet2!$V$4:$W$7)</f>
        <v>0.7+</v>
      </c>
      <c r="S1995" t="str">
        <f>LOOKUP(H1995,Sheet2!$Z$4:$AA$7)</f>
        <v>&lt;=25</v>
      </c>
      <c r="T1995" t="str">
        <f t="shared" si="93"/>
        <v>Negative</v>
      </c>
      <c r="U1995" t="str">
        <f t="shared" si="94"/>
        <v>Not Sampled</v>
      </c>
      <c r="V1995" s="1" t="str">
        <f t="shared" si="95"/>
        <v>Not Sampled</v>
      </c>
    </row>
    <row r="1996" spans="1:22" x14ac:dyDescent="0.25">
      <c r="A1996" s="1">
        <v>1</v>
      </c>
      <c r="B1996" s="1">
        <v>79</v>
      </c>
      <c r="C1996" s="1">
        <v>60</v>
      </c>
      <c r="D1996" s="1">
        <v>42</v>
      </c>
      <c r="E1996" s="1">
        <v>48</v>
      </c>
      <c r="F1996" s="1">
        <v>43.5</v>
      </c>
      <c r="G1996" s="1">
        <v>0.67800000000000005</v>
      </c>
      <c r="H1996" s="1">
        <v>23</v>
      </c>
      <c r="I1996" s="1">
        <v>0</v>
      </c>
      <c r="J1996" s="1" t="str">
        <f>IFERROR(VLOOKUP(K1996,[1]diabetes_Recognition!$A:$B,2,FALSE),"Not Sampled")</f>
        <v>Not Sampled</v>
      </c>
      <c r="K1996" s="1">
        <v>1994</v>
      </c>
      <c r="L1996" s="1">
        <f>LOOKUP(A1996,Sheet2!$D$4:$E$9)</f>
        <v>1</v>
      </c>
      <c r="M1996" t="str">
        <f>LOOKUP(B1996,Sheet2!$G$4:$H$9)</f>
        <v>1-99</v>
      </c>
      <c r="N1996" t="str">
        <f>LOOKUP(C1996,Sheet2!$J$4:$K$8)</f>
        <v>60-69</v>
      </c>
      <c r="O1996" t="str">
        <f>LOOKUP(D1996,Sheet2!$M$4:$N$8)</f>
        <v>40+</v>
      </c>
      <c r="P1996" t="str">
        <f>LOOKUP(E1996,Sheet2!$P$4:$Q$9)</f>
        <v>1-99</v>
      </c>
      <c r="Q1996" t="str">
        <f>LOOKUP(F1996,Sheet2!$S$4:$T$8)</f>
        <v>36+</v>
      </c>
      <c r="R1996" t="str">
        <f>LOOKUP(G1996,Sheet2!$V$4:$W$7)</f>
        <v>0.4 - 0.69</v>
      </c>
      <c r="S1996" t="str">
        <f>LOOKUP(H1996,Sheet2!$Z$4:$AA$7)</f>
        <v>&lt;=25</v>
      </c>
      <c r="T1996" t="str">
        <f t="shared" si="93"/>
        <v>Negative</v>
      </c>
      <c r="U1996" t="str">
        <f t="shared" si="94"/>
        <v>Not Sampled</v>
      </c>
      <c r="V1996" s="1" t="str">
        <f t="shared" si="95"/>
        <v>Not Sampled</v>
      </c>
    </row>
    <row r="1997" spans="1:22" x14ac:dyDescent="0.25">
      <c r="A1997" s="1">
        <v>2</v>
      </c>
      <c r="B1997" s="1">
        <v>75</v>
      </c>
      <c r="C1997" s="1">
        <v>64</v>
      </c>
      <c r="D1997" s="1">
        <v>24</v>
      </c>
      <c r="E1997" s="1">
        <v>55</v>
      </c>
      <c r="F1997" s="1">
        <v>29.7</v>
      </c>
      <c r="G1997" s="1">
        <v>0.37</v>
      </c>
      <c r="H1997" s="1">
        <v>33</v>
      </c>
      <c r="I1997" s="1">
        <v>0</v>
      </c>
      <c r="J1997" s="1" t="str">
        <f>IFERROR(VLOOKUP(K1997,[1]diabetes_Recognition!$A:$B,2,FALSE),"Not Sampled")</f>
        <v>Not Sampled</v>
      </c>
      <c r="K1997" s="1">
        <v>1995</v>
      </c>
      <c r="L1997" s="1">
        <f>LOOKUP(A1997,Sheet2!$D$4:$E$9)</f>
        <v>2</v>
      </c>
      <c r="M1997" t="str">
        <f>LOOKUP(B1997,Sheet2!$G$4:$H$9)</f>
        <v>1-99</v>
      </c>
      <c r="N1997" t="str">
        <f>LOOKUP(C1997,Sheet2!$J$4:$K$8)</f>
        <v>60-69</v>
      </c>
      <c r="O1997" t="str">
        <f>LOOKUP(D1997,Sheet2!$M$4:$N$8)</f>
        <v>10-30</v>
      </c>
      <c r="P1997" t="str">
        <f>LOOKUP(E1997,Sheet2!$P$4:$Q$9)</f>
        <v>1-99</v>
      </c>
      <c r="Q1997" t="str">
        <f>LOOKUP(F1997,Sheet2!$S$4:$T$8)</f>
        <v>26-30</v>
      </c>
      <c r="R1997" t="str">
        <f>LOOKUP(G1997,Sheet2!$V$4:$W$7)</f>
        <v>0.25 - 0.39</v>
      </c>
      <c r="S1997" t="str">
        <f>LOOKUP(H1997,Sheet2!$Z$4:$AA$7)</f>
        <v>26-35</v>
      </c>
      <c r="T1997" t="str">
        <f t="shared" si="93"/>
        <v>Negative</v>
      </c>
      <c r="U1997" t="str">
        <f t="shared" si="94"/>
        <v>Not Sampled</v>
      </c>
      <c r="V1997" s="1" t="str">
        <f t="shared" si="95"/>
        <v>Not Sampled</v>
      </c>
    </row>
    <row r="1998" spans="1:22" x14ac:dyDescent="0.25">
      <c r="A1998" s="1">
        <v>8</v>
      </c>
      <c r="B1998" s="1">
        <v>179</v>
      </c>
      <c r="C1998" s="1">
        <v>72</v>
      </c>
      <c r="D1998" s="1">
        <v>42</v>
      </c>
      <c r="E1998" s="1">
        <v>130</v>
      </c>
      <c r="F1998" s="1">
        <v>32.700000000000003</v>
      </c>
      <c r="G1998" s="1">
        <v>0.71899999999999997</v>
      </c>
      <c r="H1998" s="1">
        <v>36</v>
      </c>
      <c r="I1998" s="1">
        <v>1</v>
      </c>
      <c r="J1998" s="1" t="str">
        <f>IFERROR(VLOOKUP(K1998,[1]diabetes_Recognition!$A:$B,2,FALSE),"Not Sampled")</f>
        <v>Not Sampled</v>
      </c>
      <c r="K1998" s="1">
        <v>1996</v>
      </c>
      <c r="L1998" s="1" t="str">
        <f>LOOKUP(A1998,Sheet2!$D$4:$E$9)</f>
        <v>8+</v>
      </c>
      <c r="M1998" t="str">
        <f>LOOKUP(B1998,Sheet2!$G$4:$H$9)</f>
        <v>176-200</v>
      </c>
      <c r="N1998" t="str">
        <f>LOOKUP(C1998,Sheet2!$J$4:$K$8)</f>
        <v>70-79</v>
      </c>
      <c r="O1998" t="str">
        <f>LOOKUP(D1998,Sheet2!$M$4:$N$8)</f>
        <v>40+</v>
      </c>
      <c r="P1998" t="str">
        <f>LOOKUP(E1998,Sheet2!$P$4:$Q$9)</f>
        <v>100-199</v>
      </c>
      <c r="Q1998" t="str">
        <f>LOOKUP(F1998,Sheet2!$S$4:$T$8)</f>
        <v>31-35</v>
      </c>
      <c r="R1998" t="str">
        <f>LOOKUP(G1998,Sheet2!$V$4:$W$7)</f>
        <v>0.7+</v>
      </c>
      <c r="S1998" t="str">
        <f>LOOKUP(H1998,Sheet2!$Z$4:$AA$7)</f>
        <v>36-45</v>
      </c>
      <c r="T1998" t="str">
        <f t="shared" si="93"/>
        <v>Positive</v>
      </c>
      <c r="U1998" t="str">
        <f t="shared" si="94"/>
        <v>Not Sampled</v>
      </c>
      <c r="V1998" s="1" t="str">
        <f t="shared" si="95"/>
        <v>Not Sampled</v>
      </c>
    </row>
    <row r="1999" spans="1:22" x14ac:dyDescent="0.25">
      <c r="A1999" s="1">
        <v>6</v>
      </c>
      <c r="B1999" s="1">
        <v>85</v>
      </c>
      <c r="C1999" s="1">
        <v>78</v>
      </c>
      <c r="D1999" s="1">
        <v>0</v>
      </c>
      <c r="E1999" s="1">
        <v>0</v>
      </c>
      <c r="F1999" s="1">
        <v>31.2</v>
      </c>
      <c r="G1999" s="1">
        <v>0.38200000000000001</v>
      </c>
      <c r="H1999" s="1">
        <v>42</v>
      </c>
      <c r="I1999" s="1">
        <v>0</v>
      </c>
      <c r="J1999" s="1" t="str">
        <f>IFERROR(VLOOKUP(K1999,[1]diabetes_Recognition!$A:$B,2,FALSE),"Not Sampled")</f>
        <v>Not Sampled</v>
      </c>
      <c r="K1999" s="1">
        <v>1997</v>
      </c>
      <c r="L1999" s="1" t="str">
        <f>LOOKUP(A1999,Sheet2!$D$4:$E$9)</f>
        <v>5-7</v>
      </c>
      <c r="M1999" t="str">
        <f>LOOKUP(B1999,Sheet2!$G$4:$H$9)</f>
        <v>1-99</v>
      </c>
      <c r="N1999" t="str">
        <f>LOOKUP(C1999,Sheet2!$J$4:$K$8)</f>
        <v>70-79</v>
      </c>
      <c r="O1999" t="str">
        <f>LOOKUP(D1999,Sheet2!$M$4:$N$8)</f>
        <v>Unknown</v>
      </c>
      <c r="P1999" t="str">
        <f>LOOKUP(E1999,Sheet2!$P$4:$Q$9)</f>
        <v>Unknown</v>
      </c>
      <c r="Q1999" t="str">
        <f>LOOKUP(F1999,Sheet2!$S$4:$T$8)</f>
        <v>31-35</v>
      </c>
      <c r="R1999" t="str">
        <f>LOOKUP(G1999,Sheet2!$V$4:$W$7)</f>
        <v>0.25 - 0.39</v>
      </c>
      <c r="S1999" t="str">
        <f>LOOKUP(H1999,Sheet2!$Z$4:$AA$7)</f>
        <v>36-45</v>
      </c>
      <c r="T1999" t="str">
        <f t="shared" si="93"/>
        <v>Negative</v>
      </c>
      <c r="U1999" t="str">
        <f t="shared" si="94"/>
        <v>Not Sampled</v>
      </c>
      <c r="V1999" s="1" t="str">
        <f t="shared" si="95"/>
        <v>Not Sampled</v>
      </c>
    </row>
    <row r="2000" spans="1:22" x14ac:dyDescent="0.25">
      <c r="A2000" s="1">
        <v>0</v>
      </c>
      <c r="B2000" s="1">
        <v>129</v>
      </c>
      <c r="C2000" s="1">
        <v>110</v>
      </c>
      <c r="D2000" s="1">
        <v>46</v>
      </c>
      <c r="E2000" s="1">
        <v>130</v>
      </c>
      <c r="F2000" s="1">
        <v>67.099999999999994</v>
      </c>
      <c r="G2000" s="1">
        <v>0.31900000000000001</v>
      </c>
      <c r="H2000" s="1">
        <v>26</v>
      </c>
      <c r="I2000" s="1">
        <v>1</v>
      </c>
      <c r="J2000" s="1" t="str">
        <f>IFERROR(VLOOKUP(K2000,[1]diabetes_Recognition!$A:$B,2,FALSE),"Not Sampled")</f>
        <v>Not Sampled</v>
      </c>
      <c r="K2000" s="1">
        <v>1998</v>
      </c>
      <c r="L2000" s="1">
        <f>LOOKUP(A2000,Sheet2!$D$4:$E$9)</f>
        <v>0</v>
      </c>
      <c r="M2000" t="str">
        <f>LOOKUP(B2000,Sheet2!$G$4:$H$9)</f>
        <v>126-150</v>
      </c>
      <c r="N2000" t="str">
        <f>LOOKUP(C2000,Sheet2!$J$4:$K$8)</f>
        <v>80+</v>
      </c>
      <c r="O2000" t="str">
        <f>LOOKUP(D2000,Sheet2!$M$4:$N$8)</f>
        <v>40+</v>
      </c>
      <c r="P2000" t="str">
        <f>LOOKUP(E2000,Sheet2!$P$4:$Q$9)</f>
        <v>100-199</v>
      </c>
      <c r="Q2000" t="str">
        <f>LOOKUP(F2000,Sheet2!$S$4:$T$8)</f>
        <v>36+</v>
      </c>
      <c r="R2000" t="str">
        <f>LOOKUP(G2000,Sheet2!$V$4:$W$7)</f>
        <v>0.25 - 0.39</v>
      </c>
      <c r="S2000" t="str">
        <f>LOOKUP(H2000,Sheet2!$Z$4:$AA$7)</f>
        <v>26-35</v>
      </c>
      <c r="T2000" t="str">
        <f t="shared" si="93"/>
        <v>Positive</v>
      </c>
      <c r="U2000" t="str">
        <f t="shared" si="94"/>
        <v>Not Sampled</v>
      </c>
      <c r="V2000" s="1" t="str">
        <f t="shared" si="95"/>
        <v>Not Sampled</v>
      </c>
    </row>
    <row r="2001" spans="1:22" x14ac:dyDescent="0.25">
      <c r="A2001" s="1">
        <v>2</v>
      </c>
      <c r="B2001" s="1">
        <v>81</v>
      </c>
      <c r="C2001" s="1">
        <v>72</v>
      </c>
      <c r="D2001" s="1">
        <v>15</v>
      </c>
      <c r="E2001" s="1">
        <v>76</v>
      </c>
      <c r="F2001" s="1">
        <v>30.1</v>
      </c>
      <c r="G2001" s="1">
        <v>0.54700000000000004</v>
      </c>
      <c r="H2001" s="1">
        <v>25</v>
      </c>
      <c r="I2001" s="1">
        <v>0</v>
      </c>
      <c r="J2001" s="1" t="str">
        <f>IFERROR(VLOOKUP(K2001,[1]diabetes_Recognition!$A:$B,2,FALSE),"Not Sampled")</f>
        <v>Not Sampled</v>
      </c>
      <c r="K2001" s="1">
        <v>1999</v>
      </c>
      <c r="L2001" s="1">
        <f>LOOKUP(A2001,Sheet2!$D$4:$E$9)</f>
        <v>2</v>
      </c>
      <c r="M2001" t="str">
        <f>LOOKUP(B2001,Sheet2!$G$4:$H$9)</f>
        <v>1-99</v>
      </c>
      <c r="N2001" t="str">
        <f>LOOKUP(C2001,Sheet2!$J$4:$K$8)</f>
        <v>70-79</v>
      </c>
      <c r="O2001" t="str">
        <f>LOOKUP(D2001,Sheet2!$M$4:$N$8)</f>
        <v>10-30</v>
      </c>
      <c r="P2001" t="str">
        <f>LOOKUP(E2001,Sheet2!$P$4:$Q$9)</f>
        <v>1-99</v>
      </c>
      <c r="Q2001" t="str">
        <f>LOOKUP(F2001,Sheet2!$S$4:$T$8)</f>
        <v>26-30</v>
      </c>
      <c r="R2001" t="str">
        <f>LOOKUP(G2001,Sheet2!$V$4:$W$7)</f>
        <v>0.4 - 0.69</v>
      </c>
      <c r="S2001" t="str">
        <f>LOOKUP(H2001,Sheet2!$Z$4:$AA$7)</f>
        <v>&lt;=25</v>
      </c>
      <c r="T2001" t="str">
        <f t="shared" si="93"/>
        <v>Negative</v>
      </c>
      <c r="U2001" t="str">
        <f t="shared" si="94"/>
        <v>Not Sampled</v>
      </c>
      <c r="V2001" s="1" t="str">
        <f t="shared" si="95"/>
        <v>Not Sampled</v>
      </c>
    </row>
  </sheetData>
  <autoFilter ref="A1:W2001" xr:uid="{00000000-0009-0000-0000-000001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diabetes_final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Mitesh Parekh</dc:creator>
  <cp:lastModifiedBy>Mitesh Parekh</cp:lastModifiedBy>
  <dcterms:created xsi:type="dcterms:W3CDTF">2020-08-07T02:13:52Z</dcterms:created>
  <dcterms:modified xsi:type="dcterms:W3CDTF">2020-08-08T01:30:25Z</dcterms:modified>
</cp:coreProperties>
</file>